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comments1.xml" ContentType="application/vnd.openxmlformats-officedocument.spreadsheetml.comments+xml"/>
  <Override PartName="/xl/customProperty3.bin" ContentType="application/vnd.openxmlformats-officedocument.spreadsheetml.customProperty"/>
  <Override PartName="/xl/comments2.xml" ContentType="application/vnd.openxmlformats-officedocument.spreadsheetml.comments+xml"/>
  <Override PartName="/xl/customProperty4.bin" ContentType="application/vnd.openxmlformats-officedocument.spreadsheetml.customProperty"/>
  <Override PartName="/xl/comments3.xml" ContentType="application/vnd.openxmlformats-officedocument.spreadsheetml.comments+xml"/>
  <Override PartName="/xl/customProperty5.bin" ContentType="application/vnd.openxmlformats-officedocument.spreadsheetml.customProperty"/>
  <Override PartName="/xl/comments4.xml" ContentType="application/vnd.openxmlformats-officedocument.spreadsheetml.comments+xml"/>
  <Override PartName="/xl/customProperty6.bin" ContentType="application/vnd.openxmlformats-officedocument.spreadsheetml.customProperty"/>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bookViews>
    <workbookView xWindow="2580" yWindow="2580" windowWidth="13824" windowHeight="7968" xr2:uid="{00000000-000D-0000-FFFF-FFFF00000000}"/>
  </bookViews>
  <sheets>
    <sheet name="Front Page" sheetId="7" r:id="rId1"/>
    <sheet name="Model" sheetId="1" r:id="rId2"/>
    <sheet name="Guidance" sheetId="10" r:id="rId3"/>
    <sheet name="Supplemental" sheetId="11" r:id="rId4"/>
    <sheet name="Summary Page" sheetId="9" r:id="rId5"/>
    <sheet name="Update Log" sheetId="8" r:id="rId6"/>
  </sheets>
  <definedNames>
    <definedName name="_xlnm._FilterDatabase" localSheetId="2" hidden="1">Guidance!$A$5:$U$5</definedName>
    <definedName name="AA.AlternatePriceSourceStartPeriod">"Q1-2018"</definedName>
    <definedName name="AA.CIK">"93410"</definedName>
    <definedName name="AA.ColorizerVersion">"2.0.4.0"</definedName>
    <definedName name="AA.CompareQuarters.LatestMRQ">"Q2-2018"</definedName>
    <definedName name="AA.CSIN">"Z99BO00122"</definedName>
    <definedName name="AA.CurationVersion">"2023.11.1.0"</definedName>
    <definedName name="AA.DBMacroVersion">"1.0.13.0"</definedName>
    <definedName name="AA.FreeCashFlow">"TRUE"</definedName>
    <definedName name="AA.HardcodeChecker.LatestMRQ">"Q3-2019"</definedName>
    <definedName name="AA.ModelChecks.LatestMRQ">"Q3-2021"</definedName>
    <definedName name="AA.ModelChecks.LatestVersionNumber">"2.38.12.0"</definedName>
    <definedName name="AA.ModelColorScheme">"Classic"</definedName>
    <definedName name="AA.ModelVersion">"Q1-2026.23"</definedName>
    <definedName name="AA.NonLibraryWideCurationVersion">"D"</definedName>
    <definedName name="AA.PartialUpdate.BsAvailable">"FALSE"</definedName>
    <definedName name="AA.PartialUpdate.CfsAvailable">"FALSE"</definedName>
    <definedName name="AA.PartialUpdate.IsAvailable">"TRUE"</definedName>
    <definedName name="AA.PeriodLayout">"QFY"</definedName>
    <definedName name="AA.PersonalMacro.VersionNumber">"1.6.1.0"</definedName>
    <definedName name="AA.RowNameEnforcerVersion">"2023.11.1.0"</definedName>
    <definedName name="AA.SessionToUploadId">""</definedName>
    <definedName name="AA.StartWorkModelVersion">"Q1-2026.21"</definedName>
    <definedName name="AA.StartWorkType">""</definedName>
    <definedName name="AA.SubyearType">"Q"</definedName>
    <definedName name="AA.TemplateUpgradeAttempted">"TRUE"</definedName>
    <definedName name="AA.TemplateVersion">"7.5.4.0"</definedName>
    <definedName name="AA.UpdateType">"Regular"</definedName>
    <definedName name="AA.VerifyUnitsAtModelVersion">"Q1-2018.22"</definedName>
    <definedName name="CR.42.Gal.Per.Boe">42</definedName>
    <definedName name="CR.6Mcf.Per.Boe">6</definedName>
    <definedName name="FP.DataSource">'Front Page'!$H$16</definedName>
    <definedName name="FP.DataSourceName">'Front Page'!$H$15</definedName>
    <definedName name="FP.Disclaimer">'Front Page'!$C$22</definedName>
    <definedName name="FP.LastPrice">'Front Page'!$H$20</definedName>
    <definedName name="FP.LastPriceDate">'Front Page'!$F$20</definedName>
    <definedName name="FP.RealTimeToggle">'Front Page'!$H$18</definedName>
    <definedName name="FP.UpdateDate">'Front Page'!$H$11</definedName>
    <definedName name="FP.UpdateEvent">'Front Page'!$H$13</definedName>
    <definedName name="FP_Comment">'Front Page'!$M$13:$P$20</definedName>
    <definedName name="FP_StockPriceOverride">'Front Page'!$C$20:$H$20</definedName>
    <definedName name="GD.CompanyName">Guidance!$B$1</definedName>
    <definedName name="GD.MRQ">Guidance!$F$2</definedName>
    <definedName name="GD_Difference_Mid_Absolute">Guidance!$P:$P</definedName>
    <definedName name="GD_Difference_Mid_Relative">Guidance!$Q:$Q</definedName>
    <definedName name="GD_Guidance_High">Guidance!$J:$J</definedName>
    <definedName name="GD_Guidance_Low">Guidance!$I:$I</definedName>
    <definedName name="GD_Guidance_Mid">Guidance!$K:$K</definedName>
    <definedName name="GD_Header_Column">Guidance!$5:$5</definedName>
    <definedName name="GD_Header_Section">Guidance!$4:$4</definedName>
    <definedName name="GD_Index">Guidance!$A:$A</definedName>
    <definedName name="GD_Item">Guidance!$D:$D</definedName>
    <definedName name="GD_Item_BasePeriod">Guidance!$G:$G</definedName>
    <definedName name="GD_Item_FiscalPeriod">Guidance!$F:$F</definedName>
    <definedName name="GD_Item_Name">Guidance!$E:$E</definedName>
    <definedName name="GD_Model_Output">Guidance!$N:$N</definedName>
    <definedName name="GD_Model_Type">Guidance!$M:$M</definedName>
    <definedName name="GD_Type">Guidance!$B:$B</definedName>
    <definedName name="GD_Update_Date">Guidance!$S:$S</definedName>
    <definedName name="GD_Update_Link">Guidance!$T:$T</definedName>
    <definedName name="HP.MRFX">Model!$B$914</definedName>
    <definedName name="HP.ReportCurrency">Model!$B$913</definedName>
    <definedName name="HP.Ticker">Model!$A$2</definedName>
    <definedName name="HP.TradeCurrency">Model!$B$911</definedName>
    <definedName name="HP.TradeCurrency.HardCoded">Model!$B$912</definedName>
    <definedName name="MO.ApplyTradeCurrencyScaling">Model!$B$910</definedName>
    <definedName name="MO.CFY">Model!$B$918</definedName>
    <definedName name="MO.CompanyName">Model!$A$1</definedName>
    <definedName name="MO.DataSourceIndex">Model!$B$921</definedName>
    <definedName name="MO.DataSourceName">Model!$A$4</definedName>
    <definedName name="MO.FirstForecastedFiscalYear">Model!$B$919</definedName>
    <definedName name="MO.KPI.1">Model!$A$836</definedName>
    <definedName name="MO.KPI.10">Model!$A$845</definedName>
    <definedName name="MO.KPI.2">Model!$A$837</definedName>
    <definedName name="MO.KPI.3">Model!$A$838</definedName>
    <definedName name="MO.KPI.4">Model!$A$839</definedName>
    <definedName name="MO.KPI.5">Model!$A$840</definedName>
    <definedName name="MO.KPI.6">Model!$A$841</definedName>
    <definedName name="MO.KPI.7">Model!$A$842</definedName>
    <definedName name="MO.KPI.8">Model!$A$843</definedName>
    <definedName name="MO.KPI.9">Model!$A$844</definedName>
    <definedName name="MO.KPI.Count">Model!$B$920</definedName>
    <definedName name="MO.LastPrice">Model!$B$3</definedName>
    <definedName name="MO.LastPriceDate">Model!$B$907</definedName>
    <definedName name="MO.LastPriceFormula">Model!$B$909</definedName>
    <definedName name="MO.LastPriceHardcoded">Model!$B$906</definedName>
    <definedName name="MO.MRFP">Model!$B$917</definedName>
    <definedName name="MO.MRFPColumnNumber">Model!$B$916</definedName>
    <definedName name="MO.MRFX.Hardcoded">Model!$B$915</definedName>
    <definedName name="MO.RealTime">Model!$B$4</definedName>
    <definedName name="MO.RealTimeStockPriceToggle">Model!$B$908</definedName>
    <definedName name="MO.ReportCurrency">Model!$B$913</definedName>
    <definedName name="MO.ReportFX">Model!$A$5</definedName>
    <definedName name="MO.Ticker">Model!$A$2</definedName>
    <definedName name="MO.Ticker.Bloomberg">Model!$A$817</definedName>
    <definedName name="MO.Ticker.Source">Model!$A$816</definedName>
    <definedName name="MO.Ticker.CapIQ">Model!$A$818</definedName>
    <definedName name="MO.Ticker.FactSet">Model!$A$819</definedName>
    <definedName name="MO.Ticker.Thomson">Model!$A$820</definedName>
    <definedName name="MO.TradingCurrency">Model!$A$3</definedName>
    <definedName name="MO.ValuationToggle">Model!$B$604</definedName>
    <definedName name="MO_AN_NI_NONGAAP_Diluted">Model!$485:$485</definedName>
    <definedName name="MO_BS_AE">Model!$765:$765</definedName>
    <definedName name="MO_BS_AP">Model!$764:$764</definedName>
    <definedName name="MO_BS_AR">Model!$738:$738</definedName>
    <definedName name="MO_BS_ARandNR">Model!$738:$738</definedName>
    <definedName name="MO_BS_CA">Model!$746:$746</definedName>
    <definedName name="MO_BS_Cash">Model!$735:$735</definedName>
    <definedName name="MO_BS_CL">Model!$768:$768</definedName>
    <definedName name="MO_BS_CommonStock">Model!$781:$781</definedName>
    <definedName name="MO_BS_ContributedSurplus">Model!$782:$782</definedName>
    <definedName name="MO_BS_FL_NonCurrent">Model!$775:$775</definedName>
    <definedName name="MO_BS_Goodwill">Model!$757:$757</definedName>
    <definedName name="MO_BS_INV">Model!$742:$742</definedName>
    <definedName name="MO_BS_NCA">Model!$759:$759</definedName>
    <definedName name="MO_BS_NCI">Model!$788:$788</definedName>
    <definedName name="MO_BS_NCL">Model!$776:$776</definedName>
    <definedName name="MO_BS_OCI">Model!$784:$784</definedName>
    <definedName name="MO_BS_PPE">Model!$753:$753</definedName>
    <definedName name="MO_BS_PPE_Gross">Model!$751:$751</definedName>
    <definedName name="MO_BS_PreferredStock">Model!$780:$780</definedName>
    <definedName name="MO_BS_PrepaidExpensesAndOther">Model!$744:$744</definedName>
    <definedName name="MO_BS_RestrictedCash_Current">Model!$743:$743</definedName>
    <definedName name="MO_BS_RestrictedCash_NonCurrent">Model!$754:$754</definedName>
    <definedName name="MO_BS_RetainedEarnings">Model!$783:$783</definedName>
    <definedName name="MO_BS_SE">Model!$787:$787</definedName>
    <definedName name="MO_BS_STInvestments">Model!$737:$737</definedName>
    <definedName name="MO_BS_TA">Model!$760:$760</definedName>
    <definedName name="MO_BS_TaxLiabilities_Deferred_NonCurrent">Model!$773:$773</definedName>
    <definedName name="MO_BS_TL">Model!$777:$777</definedName>
    <definedName name="MO_BS_TLSE">Model!$789:$789</definedName>
    <definedName name="MO_BS_TreasuryStock">Model!$786:$786</definedName>
    <definedName name="MO_BSS_Cash">Model!$587:$587</definedName>
    <definedName name="MO_BSS_Debt">Model!$590:$590</definedName>
    <definedName name="MO_BSS_Debt_LT">Model!$589:$589</definedName>
    <definedName name="MO_BSS_Debt_Net">Model!$591:$591</definedName>
    <definedName name="MO_BSS_Debt_ST">Model!$588:$588</definedName>
    <definedName name="MO_BSS_Debt_ToCF">Model!$601:$601</definedName>
    <definedName name="MO_BSS_Debt_ToEBITDA">Model!$600:$600</definedName>
    <definedName name="MO_BSS_IE">Model!$593:$593</definedName>
    <definedName name="MO_BSS_IE_Net">Model!$597:$597</definedName>
    <definedName name="MO_BSS_II">Model!$595:$595</definedName>
    <definedName name="MO_BSS_InterestRate_Cash">Model!$596:$596</definedName>
    <definedName name="MO_BSS_InterestRate_Debt">Model!$594:$594</definedName>
    <definedName name="MO_BSS_NetInterestRate_Debt">Model!$598:$598</definedName>
    <definedName name="MO_BSS_WC">Model!$586:$586</definedName>
    <definedName name="MO_CCFS_Balance_Begin">Model!$673:$673</definedName>
    <definedName name="MO_CCFS_Balance_End">Model!$674:$674</definedName>
    <definedName name="MO_CCFS_CFF">Model!$668:$668</definedName>
    <definedName name="MO_CCFS_CFI">Model!$657:$657</definedName>
    <definedName name="MO_CCFS_CFO">Model!$645:$645</definedName>
    <definedName name="MO_CCFS_CFO_BeforeWC">Model!$643:$643</definedName>
    <definedName name="MO_CCFS_FX">Model!$670:$670</definedName>
    <definedName name="MO_CCFS_NetChange">Model!$671:$671</definedName>
    <definedName name="MO_CCFS_Sup_CashInterest">Model!$676:$676</definedName>
    <definedName name="MO_CCFS_Sup_CashTax">Model!$677:$677</definedName>
    <definedName name="MO_CFS_Balance_Begin">Model!$725:$725</definedName>
    <definedName name="MO_CFS_Balance_End">Model!$726:$726</definedName>
    <definedName name="MO_CFS_Buyback">Model!$719:$719</definedName>
    <definedName name="MO_CFS_Capex">Model!$702:$702</definedName>
    <definedName name="MO_CFS_CFF">Model!$720:$720</definedName>
    <definedName name="MO_CFS_CFI">Model!$709:$709</definedName>
    <definedName name="MO_CFS_CFO">Model!$697:$697</definedName>
    <definedName name="MO_CFS_CFO_BeforeWC">Model!$695:$695</definedName>
    <definedName name="MO_CFS_DA">Model!$682:$682</definedName>
    <definedName name="MO_CFS_Dividend_Common">Model!$715:$715</definedName>
    <definedName name="MO_CFS_Dividend_NCI">Model!$716:$716</definedName>
    <definedName name="MO_CFS_FX">Model!$722:$722</definedName>
    <definedName name="MO_CFS_Impairment">Model!$693:$693</definedName>
    <definedName name="MO_CFS_NetChange">Model!$723:$723</definedName>
    <definedName name="MO_CFS_NI">Model!$681:$681</definedName>
    <definedName name="MO_CFS_SBC">Model!$694:$694</definedName>
    <definedName name="MO_CFS_Sup_CashInterest">Model!$728:$728</definedName>
    <definedName name="MO_CFS_Sup_CashTax">Model!$729:$729</definedName>
    <definedName name="MO_CFS_WC">Model!$696:$696</definedName>
    <definedName name="MO_CFSum_Acquisition">Model!$567:$567</definedName>
    <definedName name="MO_CFSum_Capex">Model!$565:$565</definedName>
    <definedName name="MO_CFSum_CFO">Model!$561:$561</definedName>
    <definedName name="MO_CFSum_CFO_BeforeWC">Model!$559:$559</definedName>
    <definedName name="MO_CFSum_CFOPS">Model!$563:$563</definedName>
    <definedName name="MO_CFSum_CFOPS_BeforeWC">Model!$562:$562</definedName>
    <definedName name="MO_CFSum_CFPS">Model!$563:$563</definedName>
    <definedName name="MO_CFSum_ChangeInWC">Model!$560:$560</definedName>
    <definedName name="MO_CFSum_DACF">Model!$492:$492</definedName>
    <definedName name="MO_CFSum_Divestiture">Model!$568:$568</definedName>
    <definedName name="MO_CFSum_Dividend">Model!$569:$569</definedName>
    <definedName name="MO_CFSum_DPS">Model!$570:$570</definedName>
    <definedName name="MO_CFSum_FCF_PostDivPostAD">Model!$578:$578</definedName>
    <definedName name="MO_CFSum_FCF_PostDivPostADPostDebtPostBuyback">Model!$579:$579</definedName>
    <definedName name="MO_CFSum_FCF_PostDivPreAD">Model!$577:$577</definedName>
    <definedName name="MO_CFSum_FCF_PostWCPostDivPostAD">Model!$582:$582</definedName>
    <definedName name="MO_CFSum_FCF_PostWCPostDivPostADPostDebtPostBuyback">Model!$583:$583</definedName>
    <definedName name="MO_CFSum_FCF_PostWCPostDivPreAD">Model!$581:$581</definedName>
    <definedName name="MO_CFSum_FCF_PostWCPreDiv">Model!$580:$580</definedName>
    <definedName name="MO_CFSum_FCF_PreDiv">Model!$576:$576</definedName>
    <definedName name="MO_CFSum_NetDebtIssuance">Model!$572:$572</definedName>
    <definedName name="MO_CFSum_NetShares">Model!$573:$573</definedName>
    <definedName name="MO_CFSum_NetShares_Price">Model!$574:$574</definedName>
    <definedName name="MO_Checks_Bottom">Model!$C$794:$XFD$811</definedName>
    <definedName name="MO_Checks_BS">Model!$791:$791</definedName>
    <definedName name="MO_Checks_CF">Model!$731:$731</definedName>
    <definedName name="MO_Checks_IS">Model!$424:$424</definedName>
    <definedName name="MO_Common_Column_A">Model!$A:$A</definedName>
    <definedName name="MO_Common_Column_B">Model!$B:$B</definedName>
    <definedName name="MO_Common_ColumnHeader">Model!$5:$5</definedName>
    <definedName name="MO_Common_CompanySubtitle">Model!$2:$2</definedName>
    <definedName name="MO_Common_CompanyTitle">Model!$1:$1</definedName>
    <definedName name="MO_Common_FPDays">Model!$3:$3</definedName>
    <definedName name="MO_Common_QEndDate">Model!$4:$4</definedName>
    <definedName name="MO_Common_QEndDate_LWD">Model!$900:$900</definedName>
    <definedName name="MO_IS_DA">Model!$413:$413</definedName>
    <definedName name="MO_IS_EBT">Model!$418:$418</definedName>
    <definedName name="MO_IS_FirstRow">Model!$405:$405</definedName>
    <definedName name="MO_IS_NCI">Model!$421:$421</definedName>
    <definedName name="MO_IS_NI_ContinOp">Model!$420:$420</definedName>
    <definedName name="MO_IS_REV">Model!$408:$408</definedName>
    <definedName name="MO_IS_SGA">Model!$411:$411</definedName>
    <definedName name="MO_IS_Tax">Model!$419:$419</definedName>
    <definedName name="MO_KPI_EmployeeCount">Model!$389:$389</definedName>
    <definedName name="MO_KPI_Energy_AverageDailyProduction_NG">Model!$52:$52</definedName>
    <definedName name="MO_KPI_Energy_AverageDailyProduction_NGL">Model!$68:$68</definedName>
    <definedName name="MO_KPI_Energy_AverageDailyProduction_Oil">Model!$67:$67</definedName>
    <definedName name="MO_KPI_Energy_AverageDailyProduction_Total">Model!$53:$53</definedName>
    <definedName name="MO_KPI_Energy_EquivalentPrice">Model!$119:$119</definedName>
    <definedName name="MO_KPI_Energy_LiquidsPercentage">Model!$63:$63</definedName>
    <definedName name="MO_KPI_Energy_PriceDifferentials_Oil">Model!$130:$130</definedName>
    <definedName name="MO_KPI_Energy_ProductionGrowth">Model!$64:$64</definedName>
    <definedName name="MO_KPI_Energy_ProductionGrowthPerShare">Model!$65:$65</definedName>
    <definedName name="MO_KPI_Energy_ProductionVolume_NG">Model!$61:$61</definedName>
    <definedName name="MO_KPI_Energy_ProductionVolume_Total">Model!$62:$62</definedName>
    <definedName name="MO_KPI_Energy_RealizedPrice_Oil">Model!$118:$118</definedName>
    <definedName name="MO_KPI_ProductiveWells_CrudeOil_Gross">Model!$139:$139</definedName>
    <definedName name="MO_KPI_ProductiveWells_CrudeOil_Net">Model!$147:$147</definedName>
    <definedName name="MO_KPI_ProductiveWells_Gross">Model!$165:$165</definedName>
    <definedName name="MO_KPI_ProductiveWells_NaturalGas_Gross">Model!$155:$155</definedName>
    <definedName name="MO_KPI_ProductiveWells_NaturalGas_Net">Model!$163:$163</definedName>
    <definedName name="MO_KPI_ProductiveWells_Net">Model!$166:$166</definedName>
    <definedName name="MO_KPI_Refiner_Capacity">Model!$265:$265</definedName>
    <definedName name="MO_KPI_Refiner_DailySaleOfRefinedProducts">Model!$208:$208</definedName>
    <definedName name="MO_KPI_Refiner_ProductionOfFuelOil">Model!$342:$342</definedName>
    <definedName name="MO_KPI_Refiner_ProductionOfFuelOil_Daily">Model!$321:$321</definedName>
    <definedName name="MO_KPI_Refiner_ProductionOfGasOil">Model!$340:$340</definedName>
    <definedName name="MO_KPI_Refiner_ProductionOfGasOil_Daily">Model!$319:$319</definedName>
    <definedName name="MO_KPI_Refiner_ProductionOfGasoline">Model!$339:$339</definedName>
    <definedName name="MO_KPI_Refiner_ProductionOfGasoline_Daily">Model!$318:$318</definedName>
    <definedName name="MO_KPI_Refiner_ProductionOfJetFuel">Model!$341:$341</definedName>
    <definedName name="MO_KPI_Refiner_ProductionOfJetFuel_Daily">Model!$320:$320</definedName>
    <definedName name="MO_KPI_Refiner_ProductionOfOthers_Daily">Model!$322:$322</definedName>
    <definedName name="MO_KPI_Refiner_ProductionOfRefinedProducts">Model!$323:$323</definedName>
    <definedName name="MO_KPI_Refiner_ProductionOfRefinedProducts_Total">Model!$344:$344</definedName>
    <definedName name="MO_KPI_Refiner_SaleOfFuelOil">Model!$384:$384</definedName>
    <definedName name="MO_KPI_Refiner_SaleOfFuelOil_Daily">Model!$363:$363</definedName>
    <definedName name="MO_KPI_Refiner_SaleOfGasOil">Model!$383:$383</definedName>
    <definedName name="MO_KPI_Refiner_SaleOfGasOil_Daily">Model!$362:$362</definedName>
    <definedName name="MO_KPI_Refiner_SaleOfGasoline">Model!$215:$215</definedName>
    <definedName name="MO_KPI_Refiner_SaleOfGasoline_Daily">Model!$205:$205</definedName>
    <definedName name="MO_KPI_Refiner_SaleOfJetFuel">Model!$382:$382</definedName>
    <definedName name="MO_KPI_Refiner_SaleOfJetFuel_Daily">Model!$361:$361</definedName>
    <definedName name="MO_KPI_Refiner_SaleOfOthers_Daily">Model!$364:$364</definedName>
    <definedName name="MO_KPI_Refiner_SaleOfRefinedProducts">Model!$219:$219</definedName>
    <definedName name="MO_KPI_Refiner_Throughput">Model!$302:$302</definedName>
    <definedName name="MO_KPI_Refiner_Utilization">Model!$273:$273</definedName>
    <definedName name="MO_KPI_REV_RM">Model!$233:$233</definedName>
    <definedName name="MO_KPI_REV_Seg1">Model!$8:$8</definedName>
    <definedName name="MO_KPI_REV_Seg2">Model!$7:$7</definedName>
    <definedName name="MO_KPI_REV_Upstream">Model!$7:$7</definedName>
    <definedName name="MO_KPI_Stores_EoP">Model!$392:$392</definedName>
    <definedName name="MO_MA_COGS">Model!$399:$399</definedName>
    <definedName name="MO_MA_EBITDAX">Model!$401:$401</definedName>
    <definedName name="MO_MA_EBITDAX_Adj">Model!$402:$402</definedName>
    <definedName name="MO_MA_ExciseTax">Model!$397:$397</definedName>
    <definedName name="MO_MA_OPEX">Model!$398:$398</definedName>
    <definedName name="MO_MA_SGA">Model!$400:$400</definedName>
    <definedName name="MO_OS_EmployeeCount">Model!$389:$389</definedName>
    <definedName name="MO_OS_Energy_AverageDailyProduction_Liquids">Model!$34:$34</definedName>
    <definedName name="MO_OS_Energy_AverageDailyProduction_NG">Model!$52:$52</definedName>
    <definedName name="MO_OS_Energy_AverageDailyProduction_NGL">Model!$68:$68</definedName>
    <definedName name="MO_OS_Energy_AverageDailyProduction_Oil">Model!$34:$34</definedName>
    <definedName name="MO_OS_Energy_AverageDailyProduction_Total">Model!$53:$53</definedName>
    <definedName name="MO_OS_Energy_BenchmarkPrice_HenryHub">Model!$123:$123</definedName>
    <definedName name="MO_OS_Energy_BenchmarkPrice_WTI">Model!$122:$122</definedName>
    <definedName name="MO_OS_Energy_EquivalentPrice">Model!$119:$119</definedName>
    <definedName name="MO_OS_Energy_LiquidsPercentage">Model!$63:$63</definedName>
    <definedName name="MO_OS_Energy_PriceDifferentials_Oil">Model!$130:$130</definedName>
    <definedName name="MO_OS_Energy_ProductionGrowth">Model!$64:$64</definedName>
    <definedName name="MO_OS_Energy_ProductionGrowthPerShare">Model!$65:$65</definedName>
    <definedName name="MO_OS_Energy_ProductionVolume_NG">Model!$61:$61</definedName>
    <definedName name="MO_OS_Energy_ProductionVolume_Oil">Model!$58:$58</definedName>
    <definedName name="MO_OS_Energy_ProductionVolume_Total">Model!$62:$62</definedName>
    <definedName name="MO_OS_Energy_RealizedPrice_Oil">Model!$118:$118</definedName>
    <definedName name="MO_OS_ProductiveWells_CrudeOil_Gross">Model!$139:$139</definedName>
    <definedName name="MO_OS_ProductiveWells_CrudeOil_Net">Model!$147:$147</definedName>
    <definedName name="MO_OS_ProductiveWells_Gross">Model!$165:$165</definedName>
    <definedName name="MO_OS_ProductiveWells_NaturalGas_Gross">Model!$155:$155</definedName>
    <definedName name="MO_OS_ProductiveWells_NaturalGas_Net">Model!$163:$163</definedName>
    <definedName name="MO_OS_ProductiveWells_Net">Model!$166:$166</definedName>
    <definedName name="MO_OS_Refiner_Capacity">Model!$265:$265</definedName>
    <definedName name="MO_OS_Refiner_DailySaleOfRefinedProducts">Model!$208:$208</definedName>
    <definedName name="MO_OS_Refiner_ProductionOfFuelOil">Model!$342:$342</definedName>
    <definedName name="MO_OS_Refiner_ProductionOfFuelOil_Daily">Model!$321:$321</definedName>
    <definedName name="MO_OS_Refiner_ProductionOfGasOil">Model!$340:$340</definedName>
    <definedName name="MO_OS_Refiner_ProductionOfGasOil_Daily">Model!$319:$319</definedName>
    <definedName name="MO_OS_Refiner_ProductionOfGasoline">Model!$339:$339</definedName>
    <definedName name="MO_OS_Refiner_ProductionOfGasoline_Daily">Model!$318:$318</definedName>
    <definedName name="MO_OS_Refiner_ProductionOfJetFuel">Model!$341:$341</definedName>
    <definedName name="MO_OS_Refiner_ProductionOfJetFuel_Daily">Model!$320:$320</definedName>
    <definedName name="MO_OS_Refiner_ProductionOfOthers_Daily">Model!$322:$322</definedName>
    <definedName name="MO_OS_Refiner_ProductionOfRefinedProducts">Model!$323:$323</definedName>
    <definedName name="MO_OS_Refiner_ProductionOfRefinedProducts_Total">Model!$344:$344</definedName>
    <definedName name="MO_OS_Refiner_SaleOfFuelOil">Model!$384:$384</definedName>
    <definedName name="MO_OS_Refiner_SaleOfFuelOil_Daily">Model!$363:$363</definedName>
    <definedName name="MO_OS_Refiner_SaleOfGasOil">Model!$383:$383</definedName>
    <definedName name="MO_OS_Refiner_SaleOfGasOil_Daily">Model!$362:$362</definedName>
    <definedName name="MO_OS_Refiner_SaleOfGasoline">Model!$215:$215</definedName>
    <definedName name="MO_OS_Refiner_SaleOfGasoline_Daily">Model!$205:$205</definedName>
    <definedName name="MO_OS_Refiner_SaleOfJetFuel">Model!$382:$382</definedName>
    <definedName name="MO_OS_Refiner_SaleOfJetFuel_Daily">Model!$361:$361</definedName>
    <definedName name="MO_OS_Refiner_SaleOfOthers_Daily">Model!$364:$364</definedName>
    <definedName name="MO_OS_Refiner_SaleOfRefinedProducts">Model!$219:$219</definedName>
    <definedName name="MO_OS_Refiner_Throughput">Model!$302:$302</definedName>
    <definedName name="MO_OS_Refiner_Utilization">Model!$273:$273</definedName>
    <definedName name="MO_OS_REV_RM">Model!$233:$233</definedName>
    <definedName name="MO_OS_REV_Seg1">Model!$8:$8</definedName>
    <definedName name="MO_OS_REV_Seg2">Model!$7:$7</definedName>
    <definedName name="MO_OS_REV_Upstream">Model!$7:$7</definedName>
    <definedName name="MO_OS_Stores_EoP">Model!$392:$392</definedName>
    <definedName name="MO_OS_UnitEconomics_AdValorem">Model!$110:$110</definedName>
    <definedName name="MO_OS_UnitEconomics_DDA">Model!$111:$111</definedName>
    <definedName name="MO_OS_UnitEconomics_LOE">Model!$109:$109</definedName>
    <definedName name="MO_RIS_Adjustments_Dilution_GAAP">Model!$521:$521</definedName>
    <definedName name="MO_RIS_Adjustments_Dilution_NONGAAP">Model!$524:$524</definedName>
    <definedName name="MO_RIS_Adjustments_NONGAAP">Model!$523:$523</definedName>
    <definedName name="MO_RIS_COGS">Model!$501:$501</definedName>
    <definedName name="MO_RIS_DA">Model!$508:$508</definedName>
    <definedName name="MO_RIS_DisCont">Model!$517:$517</definedName>
    <definedName name="MO_RIS_Dividend_Prefs">Model!$519:$519</definedName>
    <definedName name="MO_RIS_EBIT">Model!$394:$394</definedName>
    <definedName name="MO_RIS_EBITDA_Adj">Model!$393:$393</definedName>
    <definedName name="MO_RIS_EBITDAX">Model!$503:$503</definedName>
    <definedName name="MO_RIS_EBITDAX_Adj">Model!$504:$504</definedName>
    <definedName name="MO_RIS_EBT">Model!$512:$512</definedName>
    <definedName name="MO_RIS_EE">Model!$507:$507</definedName>
    <definedName name="MO_RIS_EI">Model!$497:$497</definedName>
    <definedName name="MO_RIS_EPS_Company2917">Model!$530:$530</definedName>
    <definedName name="MO_RIS_EPS_WAD">Model!$531:$531</definedName>
    <definedName name="MO_RIS_EPS_WAD_Adj">Model!$532:$532</definedName>
    <definedName name="MO_RIS_ExciseTax_AdValorem">Model!$499:$499</definedName>
    <definedName name="MO_RIS_IE">Model!$510:$510</definedName>
    <definedName name="MO_RIS_II">Model!$509:$509</definedName>
    <definedName name="MO_RIS_Impairment">Model!$511:$511</definedName>
    <definedName name="MO_RIS_NCI">Model!$518:$518</definedName>
    <definedName name="MO_RIS_NI_ContinOp">Model!$516:$516</definedName>
    <definedName name="MO_RIS_NI_GAAP_Basic">Model!$520:$520</definedName>
    <definedName name="MO_RIS_NI_GAAP_Diluted">Model!$522:$522</definedName>
    <definedName name="MO_RIS_NI_NONGAAP_Diluted">Model!$525:$525</definedName>
    <definedName name="MO_RIS_OPEX">Model!$500:$500</definedName>
    <definedName name="MO_RIS_REV">Model!$498:$498</definedName>
    <definedName name="MO_RIS_Revenue_Operating">Model!$495:$495</definedName>
    <definedName name="MO_RIS_Revenue_Other">Model!$496:$496</definedName>
    <definedName name="MO_RIS_SGA">Model!$502:$502</definedName>
    <definedName name="MO_RIS_ShareCount_Company2917">Model!$535:$535</definedName>
    <definedName name="MO_RIS_ShareCount_WAD">Model!$536:$536</definedName>
    <definedName name="MO_RIS_ShareCount_WAD_Adj">Model!$537:$537</definedName>
    <definedName name="MO_RIS_Tax_Current">Model!$514:$514</definedName>
    <definedName name="MO_RIS_Tax_Deferred">Model!$515:$515</definedName>
    <definedName name="MO_RIS_TaxRate_Current">Model!$527:$527</definedName>
    <definedName name="MO_RIS_TaxRate_Deferred">Model!$528:$528</definedName>
    <definedName name="MO_SCA_Date_CoverPage">Model!$551:$551</definedName>
    <definedName name="MO_SCA_Ratio_DilutedOverBasic">Model!$554:$554</definedName>
    <definedName name="MO_SCA_ShareCount_CoverPage">Model!$550:$550</definedName>
    <definedName name="MO_SCA_ShareCount_CoverPage_Class1">Model!$550:$550</definedName>
    <definedName name="MO_SCA_ShareCount_CoverPage_Ticker1">Model!$550:$550</definedName>
    <definedName name="MO_SCA_ShareCount_DilutiveShares">Model!$553:$553</definedName>
    <definedName name="MO_SCA_ShareCount_EoP">Model!$542:$542</definedName>
    <definedName name="MO_SCA_ShareCount_EoP_Class1">Model!$542:$542</definedName>
    <definedName name="MO_SCA_ShareCount_EoP_Diluted">Model!$556:$556</definedName>
    <definedName name="MO_SCA_ShareCount_EoP_Growth_Dilutive_QoQ">Model!$543:$543</definedName>
    <definedName name="MO_SCA_ShareCount_EoP_Growth_Dilutive_YoY">Model!$544:$544</definedName>
    <definedName name="MO_SCA_ShareCount_EoP_Growth_NetIssuance_QoQ">Model!$545:$545</definedName>
    <definedName name="MO_SCA_ShareCount_EoP_Growth_NetIssuance_YoY">Model!$546:$546</definedName>
    <definedName name="MO_SCA_ShareCount_EoP_Growth_QoQ">Model!$547:$547</definedName>
    <definedName name="MO_SCA_ShareCount_EoP_Growth_YoY">Model!$548:$548</definedName>
    <definedName name="MO_SCA_ShareCount_EoP_SharesIssued">Model!$540:$540</definedName>
    <definedName name="MO_SCA_ShareCount_EoP_Ticker1">Model!$542:$542</definedName>
    <definedName name="MO_SCA_ShareCount_EoP_Treasury">Model!$541:$541</definedName>
    <definedName name="MO_Section_AdjustedNumbers">Model!$426:$426</definedName>
    <definedName name="MO_Section_AllOtherFinancialResultsMDA">Model!$249:$249</definedName>
    <definedName name="MO_Section_BalanceSheet">Model!$733:$733</definedName>
    <definedName name="MO_Section_BalanceSheetSummary">Model!$585:$585</definedName>
    <definedName name="MO_Section_BenchmarkPricing">Model!$121:$121</definedName>
    <definedName name="MO_Section_CapitalizedCostsRelatedtoOilandGasProducingActivities">Supplemental!$109:$109</definedName>
    <definedName name="MO_Section_CashFlowStatement">Model!$679:$679</definedName>
    <definedName name="MO_Section_CashFlowSummary">Model!$558:$558</definedName>
    <definedName name="MO_Section_ChangesintheStandardizedMeasureofDiscountedFutureNetCashFlowsFromProvedReserves">Supplemental!$820:$820</definedName>
    <definedName name="MO_Section_CostsIncurredinExplorationPropertyAcquisitionsandDevelopment">Supplemental!$6:$6</definedName>
    <definedName name="MO_Section_CumulativeCashFlowStatement">Model!$627:$627</definedName>
    <definedName name="MO_Section_DownstreamOperatingStatsRefiningVolumesMDASupplemental">Model!$168:$168</definedName>
    <definedName name="MO_Section_IncomeStatement">Model!$404:$404</definedName>
    <definedName name="MO_Section_KeyMetricsDashboardMetricsFS">Model!$391:$391</definedName>
    <definedName name="MO_Section_KeyMetricsDownstreamAnnuallyreportedonly10kSupplemental">Model!$264:$264</definedName>
    <definedName name="MO_Section_KeyMetricsEmployeesFS">Model!$388:$388</definedName>
    <definedName name="MO_Section_KeyMetricsProductiveWellsFS">Model!$132:$132</definedName>
    <definedName name="MO_Section_LastRow">Model!$923:$923</definedName>
    <definedName name="MO_Section_MarginAnalysis">Model!$396:$396</definedName>
    <definedName name="MO_Section_ModelChecks">Model!$793:$793</definedName>
    <definedName name="MO_Section_NetProvedReservesofCrudeOilCondensateandSyntheticOil">Supplemental!$476:$476</definedName>
    <definedName name="MO_Section_NetProvedReservesofNaturalGas_1">Supplemental!$660:$660</definedName>
    <definedName name="MO_Section_NetProvedReservesofNaturalGasLiquids">Supplemental!$576:$576</definedName>
    <definedName name="MO_Section_OperatingStatsDifferentialstoBenchmarkPricing">Model!$125:$125</definedName>
    <definedName name="MO_Section_OperatingStatsRealizedPricingExcludingEffectsofHedging">Model!$113:$113</definedName>
    <definedName name="MO_Section_OperatingStatsRealizedPricingExcludingEffectsofHedgingMDA">Model!$113:$113</definedName>
    <definedName name="MO_Section_ResultsofOperationsforOilandGasProducingActivities">Supplemental!$212:$212</definedName>
    <definedName name="MO_Section_ResultsofOperationsforOilandGasProducingActivitiesUnitPricesandCosts">Supplemental!$333:$333</definedName>
    <definedName name="MO_Section_RevenueandVolumeSummary">Model!$6:$6</definedName>
    <definedName name="MO_Section_RevisedIncomeStatement">Model!$494:$494</definedName>
    <definedName name="MO_Section_SegmentedResultsDownstreamFinancialsMDA">Model!$230:$230</definedName>
    <definedName name="MO_Section_SegmentedResultsUpstreamFinancialsFS">Model!$82:$82</definedName>
    <definedName name="MO_Section_ShareCountAnalysis">Model!$539:$539</definedName>
    <definedName name="MO_Section_StandardizedMeasureofDiscountedFutureNetCashFlowsRelatedtoProvedOilandGasReserves">Supplemental!$745:$745</definedName>
    <definedName name="MO_Section_SummaryofNetOilandGasReserves">Supplemental!$379:$379</definedName>
    <definedName name="MO_Section_Tables">Model!$813:$813</definedName>
    <definedName name="MO_Section_Company2747">Supplemental!$860:$860</definedName>
    <definedName name="MO_Section_UpstreamOperatingStatsNaturalGasSalesVolumesMDA">Model!$70:$70</definedName>
    <definedName name="MO_Section_UpstreamOperatingStatsProductionVolumesMDA">Model!$21:$21</definedName>
    <definedName name="MO_Section_Valuation">Model!$603:$603</definedName>
    <definedName name="MO_SNA_ConsensusEstimatePeriodNumber">Model!$861:$861</definedName>
    <definedName name="MO_SNA_ConsensusEstimatePeriodType">Model!$860:$860</definedName>
    <definedName name="MO_SNA_FPStartDate">Model!$870:$870</definedName>
    <definedName name="MO_SNA_Guidance_ApplicablePeriod_FY">Model!$856:$856</definedName>
    <definedName name="MO_SNA_Guidance_ApplicablePeriod_Q">Model!$850:$850</definedName>
    <definedName name="MO_SNA_Guidance_IsLatest_FY">Model!$855:$855</definedName>
    <definedName name="MO_SNA_Guidance_ReportDate_FY">Model!$854:$854</definedName>
    <definedName name="MO_SNA_Guidance_ReportDate_Q">Model!$849:$849</definedName>
    <definedName name="MO_SNA_IsHistoricalPeriod">Model!$871:$871</definedName>
    <definedName name="MO_SNA_LastDataRow">Model!$789:$789</definedName>
    <definedName name="MO_SPT_FXAverage">Model!$893:$893</definedName>
    <definedName name="MO_SPT_FXAverage_Sources">Model!$894:$898</definedName>
    <definedName name="MO_SPT_FXAverage_Sources_Bloomberg">Model!$895:$895</definedName>
    <definedName name="MO_SPT_FXAverage_Sources_CapIQ">Model!$896:$896</definedName>
    <definedName name="MO_SPT_FXAverage_Sources_FactSet">Model!$897:$897</definedName>
    <definedName name="MO_SPT_FXAverage_Sources_RealTimeOff">Model!$894:$894</definedName>
    <definedName name="MO_SPT_FXAverage_Sources_Thomson">Model!$898:$898</definedName>
    <definedName name="MO_SPT_FXEoP">Model!$902:$902</definedName>
    <definedName name="MO_SPT_StockAverage">Model!$886:$886</definedName>
    <definedName name="MO_SPT_StockAverage_Sources">Model!$887:$891</definedName>
    <definedName name="MO_SPT_StockAverage_Sources_Bloomberg">Model!$888:$888</definedName>
    <definedName name="MO_SPT_StockAverage_Sources_CapIQ">Model!$889:$889</definedName>
    <definedName name="MO_SPT_StockAverage_Sources_FactSet">Model!$890:$890</definedName>
    <definedName name="MO_SPT_StockAverage_Sources_RealTimeOff">Model!$887:$887</definedName>
    <definedName name="MO_SPT_StockAverage_Sources_Thomson">Model!$891:$891</definedName>
    <definedName name="MO_SPT_StockEoP">Model!$901:$901</definedName>
    <definedName name="MO_SPT_StockHigh">Model!$872:$872</definedName>
    <definedName name="MO_SPT_StockHigh_Sources">Model!$873:$877</definedName>
    <definedName name="MO_SPT_StockHigh_Sources_Bloomberg">Model!$874:$874</definedName>
    <definedName name="MO_SPT_StockHigh_Sources_CapIQ">Model!$875:$875</definedName>
    <definedName name="MO_SPT_StockHigh_Sources_FactSet">Model!$876:$876</definedName>
    <definedName name="MO_SPT_StockHigh_Sources_RealTimeOff">Model!$873:$873</definedName>
    <definedName name="MO_SPT_StockHigh_Sources_Thomson">Model!$877:$877</definedName>
    <definedName name="MO_SPT_StockLow">Model!$879:$879</definedName>
    <definedName name="MO_SPT_StockLow_Sources">Model!$880:$884</definedName>
    <definedName name="MO_SPT_StockLow_Sources_Bloomberg">Model!$881:$881</definedName>
    <definedName name="MO_SPT_StockLow_Sources_CapIQ">Model!$882:$882</definedName>
    <definedName name="MO_SPT_StockLow_Sources_FactSet">Model!$883:$883</definedName>
    <definedName name="MO_SPT_StockLow_Sources_RealTimeOff">Model!$880:$880</definedName>
    <definedName name="MO_SPT_StockLow_Sources_Thomson">Model!$884:$884</definedName>
    <definedName name="MO_SubSection_BS_CA">Model!$734:$734</definedName>
    <definedName name="MO_SubSection_BS_CL">Model!$762:$762</definedName>
    <definedName name="MO_SubSection_BS_NCA">Model!$748:$748</definedName>
    <definedName name="MO_SubSection_BS_NCL">Model!$770:$770</definedName>
    <definedName name="MO_SubSection_BS_SE">Model!$779:$779</definedName>
    <definedName name="MO_SubSection_CCFS_CFF">Model!$659:$659</definedName>
    <definedName name="MO_SubSection_CCFS_CFI">Model!$647:$647</definedName>
    <definedName name="MO_SubSection_CCFS_CFO">Model!$628:$628</definedName>
    <definedName name="MO_SubSection_CFS_CFF">Model!$711:$711</definedName>
    <definedName name="MO_SubSection_CFS_CFI">Model!$699:$699</definedName>
    <definedName name="MO_SubSection_CFS_CFO">Model!$680:$680</definedName>
    <definedName name="MO_VA_EV">Model!$606:$606</definedName>
    <definedName name="MO_VA_EV_ToEBITDAX">Model!$609:$609</definedName>
    <definedName name="MO_VA_EV_ToFlowing">Model!$610:$610</definedName>
    <definedName name="MO_VA_EVCalc_NCI">Model!$623:$623</definedName>
    <definedName name="MO_VA_EVCalc_Other">Model!$625:$625</definedName>
    <definedName name="MO_VA_EVCalc_Prefs">Model!$624:$624</definedName>
    <definedName name="MO_VA_FCFYield_ToEV">Model!$612:$612</definedName>
    <definedName name="MO_VA_FCFYield_ToMktCap">Model!$611:$611</definedName>
    <definedName name="MO_VA_FX_Average">Model!$618:$618</definedName>
    <definedName name="MO_VA_FX_EoP">Model!$619:$619</definedName>
    <definedName name="MO_VA_MarketCap">Model!$605:$605</definedName>
    <definedName name="MO_VA_P_ToCF">Model!$608:$608</definedName>
    <definedName name="MO_VA_StockPrice">Model!$604:$604</definedName>
    <definedName name="MO_VA_StockPrice_Avg">Model!$616:$616</definedName>
    <definedName name="MO_VA_StockPrice_EoP">Model!$617:$617</definedName>
    <definedName name="MO_VA_StockPrice_High">Model!$614:$614</definedName>
    <definedName name="MO_VA_StockPrice_Low">Model!$615:$615</definedName>
    <definedName name="MO_VA_StockPrice_TradingCurrency">Model!$620:$620</definedName>
    <definedName name="_xlnm.Print_Area" localSheetId="1">Model!$A$1:$CF$789</definedName>
    <definedName name="_xlnm.Print_Area" localSheetId="4">'Summary Page'!$A$1:$CF$119</definedName>
    <definedName name="_xlnm.Print_Titles" localSheetId="1">Model!$5:$5</definedName>
    <definedName name="SP.CompanyName">'Summary Page'!$A$1</definedName>
    <definedName name="SP.ReportFX">'Summary Page'!$B$2</definedName>
    <definedName name="SP.ValuationToggle">'Summary Page'!$B$4</definedName>
    <definedName name="SP_BSR_Capital">'Summary Page'!$81:$81</definedName>
    <definedName name="SP_BSR_CashFlow">'Summary Page'!$80:$80</definedName>
    <definedName name="SP_BSR_CashFlow_LTM">'Summary Page'!$83:$83</definedName>
    <definedName name="SP_BSR_CL">'Summary Page'!$102:$102</definedName>
    <definedName name="SP_BSR_CL_Avg">'Summary Page'!$103:$103</definedName>
    <definedName name="SP_BSR_Debt">'Summary Page'!$96:$96</definedName>
    <definedName name="SP_BSR_Debt_Avg">'Summary Page'!$97:$97</definedName>
    <definedName name="SP_BSR_EBITDA">'Summary Page'!$79:$79</definedName>
    <definedName name="SP_BSR_EBITDA_LTM">'Summary Page'!$82:$82</definedName>
    <definedName name="SP_BSR_SE">'Summary Page'!$88:$88</definedName>
    <definedName name="SP_BSR_SE_Avg">'Summary Page'!$89:$89</definedName>
    <definedName name="SP_BSR_TA">'Summary Page'!$93:$93</definedName>
    <definedName name="SP_BSR_TA_Avg">'Summary Page'!$94:$94</definedName>
    <definedName name="SP_CFA_Acquisition">'Summary Page'!$65:$65</definedName>
    <definedName name="SP_CFA_Capex">'Summary Page'!$61:$61</definedName>
    <definedName name="SP_CFA_CFO">'Summary Page'!$60:$60</definedName>
    <definedName name="SP_CFA_CFO_BeforeWC">'Summary Page'!$58:$58</definedName>
    <definedName name="SP_CFA_CFO_PerShare">'Summary Page'!$72:$72</definedName>
    <definedName name="SP_CFA_Debt">'Summary Page'!$68:$68</definedName>
    <definedName name="SP_CFA_Div">'Summary Page'!$63:$63</definedName>
    <definedName name="SP_CFA_Div_PerShare">'Summary Page'!$74:$74</definedName>
    <definedName name="SP_CFA_Divestiture">'Summary Page'!$66:$66</definedName>
    <definedName name="SP_CFA_Equity">'Summary Page'!$67:$67</definedName>
    <definedName name="SP_CFA_FCF_PerShare">'Summary Page'!$73:$73</definedName>
    <definedName name="SP_CFA_FCF_PostDiv">'Summary Page'!$64:$64</definedName>
    <definedName name="SP_CFA_FCF_PreDiv">'Summary Page'!$62:$62</definedName>
    <definedName name="SP_CFA_NetChange">'Summary Page'!$70:$70</definedName>
    <definedName name="SP_CFA_Other">'Summary Page'!$69:$69</definedName>
    <definedName name="SP_CFA_Payout_vsEPS">'Summary Page'!$76:$76</definedName>
    <definedName name="SP_CFA_Payout_vsFCF">'Summary Page'!$75:$75</definedName>
    <definedName name="SP_CFA_WC">'Summary Page'!$59:$59</definedName>
    <definedName name="SP_Checks_SummaryPage">'Summary Page'!$C$122:$XFD$126</definedName>
    <definedName name="SP_Common_Column_A">'Summary Page'!$A:$A</definedName>
    <definedName name="SP_Common_Column_B">'Summary Page'!$B:$B</definedName>
    <definedName name="SP_Common_ColumnHeader">'Summary Page'!$2:$2</definedName>
    <definedName name="SP_Common_QEndDate">'Summary Page'!$1:$1</definedName>
    <definedName name="SP_CS_Cash">'Summary Page'!$8:$8</definedName>
    <definedName name="SP_CS_Debt">'Summary Page'!$9:$9</definedName>
    <definedName name="SP_CS_EV">'Summary Page'!$11:$11</definedName>
    <definedName name="SP_CS_EVCalc_Other">'Summary Page'!$10:$10</definedName>
    <definedName name="SP_CS_MarketCap">'Summary Page'!$6:$6</definedName>
    <definedName name="SP_CS_ShareCount_EoP_Diluted">'Summary Page'!$5:$5</definedName>
    <definedName name="SP_CS_StockPrice">'Summary Page'!$4:$4</definedName>
    <definedName name="SP_CS_WC">'Summary Page'!$7:$7</definedName>
    <definedName name="SP_GF_COGS">'Summary Page'!$29:$29</definedName>
    <definedName name="SP_GF_DA">'Summary Page'!$32:$32</definedName>
    <definedName name="SP_GF_DisCont">'Summary Page'!$37:$37</definedName>
    <definedName name="SP_GF_Div_Prefs">'Summary Page'!$39:$39</definedName>
    <definedName name="SP_GF_EBITDAX">'Summary Page'!$30:$30</definedName>
    <definedName name="SP_GF_EBT">'Summary Page'!$35:$35</definedName>
    <definedName name="SP_GF_EPS_WAD">'Summary Page'!$41:$41</definedName>
    <definedName name="SP_GF_ExciseTax">'Summary Page'!$26:$26</definedName>
    <definedName name="SP_GF_ExplorationExpense">'Summary Page'!$31:$31</definedName>
    <definedName name="SP_GF_IE">'Summary Page'!$33:$33</definedName>
    <definedName name="SP_GF_IE_Net">'Summary Page'!$33:$33</definedName>
    <definedName name="SP_GF_Impairment">'Summary Page'!$34:$34</definedName>
    <definedName name="SP_GF_NCI">'Summary Page'!$38:$38</definedName>
    <definedName name="SP_GF_NI">'Summary Page'!$40:$40</definedName>
    <definedName name="SP_GF_OPEX">'Summary Page'!$28:$28</definedName>
    <definedName name="SP_GF_Rev">'Summary Page'!$25:$25</definedName>
    <definedName name="SP_GF_SGA">'Summary Page'!$27:$27</definedName>
    <definedName name="SP_GF_ShareCount">'Summary Page'!$42:$42</definedName>
    <definedName name="SP_GF_Tax">'Summary Page'!$36:$36</definedName>
    <definedName name="SP_MA_COGS">'Summary Page'!$50:$50</definedName>
    <definedName name="SP_MA_EBITDA">'Summary Page'!$54:$54</definedName>
    <definedName name="SP_MA_EBITDA_Adj">'Summary Page'!$55:$55</definedName>
    <definedName name="SP_MA_OPEX">'Summary Page'!$53:$53</definedName>
    <definedName name="SP_MA_SGA">'Summary Page'!$51:$51</definedName>
    <definedName name="SP_Company1876_EBITDA">'Summary Page'!$59:$59</definedName>
    <definedName name="SP_Company1876_EBITDAX">'Summary Page'!$45:$45</definedName>
    <definedName name="SP_Company1876_EPS">'Summary Page'!$47:$47</definedName>
    <definedName name="SP_Company1876_NI">'Summary Page'!$46:$46</definedName>
    <definedName name="SP_PR_ROA">'Summary Page'!$95:$95</definedName>
    <definedName name="SP_PR_ROCE">'Summary Page'!$105:$105</definedName>
    <definedName name="SP_PR_ROE">'Summary Page'!$90:$90</definedName>
    <definedName name="SP_PR_ROIC">'Summary Page'!$99:$99</definedName>
    <definedName name="SP_Company2123_CFO">'Summary Page'!$111:$111</definedName>
    <definedName name="SP_Company2123_FCF">'Summary Page'!$112:$112</definedName>
    <definedName name="SP_Company2123_NI_Adj">'Summary Page'!$110:$110</definedName>
    <definedName name="SP_Company2123_Revenue">'Summary Page'!$108:$108</definedName>
    <definedName name="SP_Section_BalanceSheetRatios">'Summary Page'!$78:$78</definedName>
    <definedName name="SP_Section_CapitalizationSummary">'Summary Page'!$3:$3</definedName>
    <definedName name="SP_Section_CashFlowAnalysis">'Summary Page'!$57:$57</definedName>
    <definedName name="SP_Section_Checks">'Summary Page'!$121:$121</definedName>
    <definedName name="SP_Section_CompanySpecificOperationalData">'Summary Page'!$13:$13</definedName>
    <definedName name="SP_Section_GAAPFinancials">'Summary Page'!$24:$24</definedName>
    <definedName name="SP_Section_LastRow">'Summary Page'!$128:$128</definedName>
    <definedName name="SP_Section_MarginAnalysis">'Summary Page'!$49:$49</definedName>
    <definedName name="SP_Section_NonGAAPFinancials">'Summary Page'!$44:$44</definedName>
    <definedName name="SP_Section_PerShareGrowthMetrics">'Summary Page'!$107:$107</definedName>
    <definedName name="SP_Section_ProfitabilityRatios">'Summary Page'!$85:$85</definedName>
    <definedName name="SP_Section_ValuationMetrics">'Summary Page'!$114:$114</definedName>
    <definedName name="SP_VM_EV_ToEBITDA">'Summary Page'!$116:$116</definedName>
    <definedName name="SP_VM_FCFYield_ToEV">'Summary Page'!$119:$119</definedName>
    <definedName name="SP_VM_FCFYield_ToMktCap">'Summary Page'!$118:$118</definedName>
    <definedName name="SP_VM_P_ToCF">'Summary Page'!$117:$117</definedName>
    <definedName name="SP_VM_P_ToE">'Summary Page'!$115:$115</definedName>
    <definedName name="tb_ConsensusEstimate">Model!$A$859:$CF$867</definedName>
    <definedName name="tb_EntireModel">Model!$A$1:$CF$791</definedName>
    <definedName name="tb_Guidance_FY">Model!$A$853:$CF$857</definedName>
    <definedName name="tb_Guidance_Q">Model!$A$848:$CF$851</definedName>
    <definedName name="tb_KeyOutputs">Model!$A$828:$A$833</definedName>
    <definedName name="tb_KPIs">Model!$A$835:$A$846</definedName>
    <definedName name="tb_StockPrice">Model!$A$869:$CF$899</definedName>
    <definedName name="tb_Tickers">Model!$A$815:$A$820</definedName>
    <definedName name="tb_UpdateLog">'Update Log'!$C$10:$H$75</definedName>
    <definedName name="tb_ValuationToggle">Model!$A$822:$B$826</definedName>
    <definedName name="Company2747_functions_Workbook_ID">"3500060f-2651-4c73-b8d4-74c38e29f969"</definedName>
    <definedName name="UL.CSIN">'Update Log'!$H$7</definedName>
    <definedName name="UL.ModelVersion">'Update Log'!$H$8</definedName>
    <definedName name="UL.MRQ">'Update Log'!$F$7</definedName>
    <definedName name="UL.MRQColNum">'Update Log'!$E$7</definedName>
    <definedName name="WS.SourceName" localSheetId="0">"Front Page"</definedName>
    <definedName name="WS.SourceName" localSheetId="1">"Model"</definedName>
    <definedName name="WS.SourceName" localSheetId="4">"Summary Page"</definedName>
    <definedName name="WS.SourceName" localSheetId="3">"Supplemental"</definedName>
    <definedName name="WS.SourceName" localSheetId="5">"Update Log"</definedName>
    <definedName name="WS.HasWorkingRange" localSheetId="3">"TRUE"</definedName>
    <definedName name="WS.WorkingRangeType" localSheetId="3">"Standard"</definedName>
    <definedName name="WS.WorksheetType" localSheetId="3">"Supplemental"</definedName>
    <definedName name="WS_ColumnHeader" localSheetId="3">Supplemental!$5:$5</definedName>
    <definedName name="WS_LastRow" localSheetId="3">Supplemental!$860:$860</definedName>
    <definedName name="WS_PeriodMetadata_FPDays" localSheetId="3">Supplemental!$3:$3</definedName>
    <definedName name="WS_PeriodMetadata_PAnnotation" localSheetId="3">Supplemental!$2:$2</definedName>
    <definedName name="WS_PeriodMetadata_PEndDate" localSheetId="3">Supplemental!$4:$4</definedName>
    <definedName name="WS_RowTitle" localSheetId="3">Supplemental!$A:$A</definedName>
    <definedName name="WS_WorkingRange_FirstColumn" localSheetId="3">Supplemental!$C:$C</definedName>
    <definedName name="WS_WorkingRange_FirstRow" localSheetId="3">Supplemental!$6:$6</definedName>
    <definedName name="WS_WorkingRange_LastColumn" localSheetId="3">Supplemental!$CF:$CF</definedName>
    <definedName name="WS_WorkingRange_LastRow" localSheetId="3">Supplemental!$860:$860</definedName>
    <definedName name="z_Z99BO00122_MO_AN_Acquisitioncosts">Model!$477:$477</definedName>
    <definedName name="z_Z99BO00122_MO_AN_Company0233">Model!$465:$465</definedName>
    <definedName name="z_Z99BO00122_MO_AN_Company0233_1">Model!$480:$480</definedName>
    <definedName name="z_Z99BO00122_MO_AN_Assetsalegains">Model!$440:$440</definedName>
    <definedName name="z_Z99BO00122_MO_AN_Assetsalegains_1">Model!$479:$479</definedName>
    <definedName name="z_Z99BO00122_MO_AN_AssumedTaxRateonfinancing">Model!$491:$491</definedName>
    <definedName name="z_Z99BO00122_MO_AN_ChevronGAAPearnings">Model!$470:$470</definedName>
    <definedName name="z_Z99BO00122_MO_AN_ChevronnonGAAPearnings">Model!$485:$485</definedName>
    <definedName name="z_Z99BO00122_MO_AN_DACFCalculated">Model!$492:$492</definedName>
    <definedName name="z_Z99BO00122_MO_AN_Decomissioningobligations">Model!$472:$472</definedName>
    <definedName name="z_Z99BO00122_MO_AN_Decommissioningobligations">Model!$433:$433</definedName>
    <definedName name="z_Z99BO00122_MO_AN_Earlycontracttermination">Model!$432:$432</definedName>
    <definedName name="z_Z99BO00122_MO_AN_Earlycontracttermination_1">Model!$482:$482</definedName>
    <definedName name="z_Z99BO00122_MO_AN_FXeffect_3">Model!$484:$484</definedName>
    <definedName name="z_Z99BO00122_MO_AN_FXeffects">Model!$444:$444</definedName>
    <definedName name="z_Z99BO00122_MO_AN_FXeffects_1">Model!$456:$456</definedName>
    <definedName name="z_Z99BO00122_MO_AN_FXeffects_2">Model!$467:$467</definedName>
    <definedName name="z_Z99BO00122_MO_AN_Impairmentandwriteoffs">Model!$428:$428</definedName>
    <definedName name="z_Z99BO00122_MO_AN_Impairmentandwriteoffs_1">Model!$438:$438</definedName>
    <definedName name="z_Z99BO00122_MO_AN_Impairmentandwriteoffs_2">Model!$471:$471</definedName>
    <definedName name="z_Z99BO00122_MO_AN_Impairmentandwriteoffs_3">Model!$448:$448</definedName>
    <definedName name="z_Z99BO00122_MO_AN_Impairmentandwriteoffs_4">Model!$454:$454</definedName>
    <definedName name="z_Z99BO00122_MO_AN_Interestincome">Model!$487:$487</definedName>
    <definedName name="z_Z99BO00122_MO_AN_InternationalDownstreamadjustedearnings">Model!$457:$457</definedName>
    <definedName name="z_Z99BO00122_MO_AN_InternationalDownstreamearnings">Model!$453:$453</definedName>
    <definedName name="z_Z99BO00122_MO_AN_InternationalUpstreamadjustedearnings">Model!$445:$445</definedName>
    <definedName name="z_Z99BO00122_MO_AN_InternationalUpstreamearnings">Model!$437:$437</definedName>
    <definedName name="z_Z99BO00122_MO_AN_Legalreserves">Model!$450:$450</definedName>
    <definedName name="z_Z99BO00122_MO_AN_Legalreserves_1">Model!$478:$478</definedName>
    <definedName name="z_Z99BO00122_MO_AN_Lossonearlyretirementofdebt">Model!$463:$463</definedName>
    <definedName name="z_Z99BO00122_MO_AN_Lossonearlyretirementofdebt_1">Model!$476:$476</definedName>
    <definedName name="z_Z99BO00122_MO_AN_Company1945">Model!$434:$434</definedName>
    <definedName name="z_Z99BO00122_MO_AN_Company1945_1">Model!$464:$464</definedName>
    <definedName name="z_Z99BO00122_MO_AN_Other">Model!$488:$488</definedName>
    <definedName name="z_Z99BO00122_MO_AN_Other_4">Model!$443:$443</definedName>
    <definedName name="z_Z99BO00122_MO_AN_Other_5">Model!$483:$483</definedName>
    <definedName name="z_Z99BO00122_MO_AN_Otheradjustedearnings">Model!$468:$468</definedName>
    <definedName name="z_Z99BO00122_MO_AN_Otherearnings">Model!$459:$459</definedName>
    <definedName name="z_Z99BO00122_MO_AN_Otherincome">Model!$489:$489</definedName>
    <definedName name="z_Z99BO00122_MO_AN_Pensionsettlementcharge">Model!$462:$462</definedName>
    <definedName name="z_Z99BO00122_MO_AN_Pensionsettlementcharge_1">Model!$475:$475</definedName>
    <definedName name="z_Z99BO00122_MO_AN_Remediationcharge">Model!$431:$431</definedName>
    <definedName name="z_Z99BO00122_MO_AN_Remediationcharge_1">Model!$461:$461</definedName>
    <definedName name="z_Z99BO00122_MO_AN_Remediationcharge_2">Model!$474:$474</definedName>
    <definedName name="z_Z99BO00122_MO_AN_Severanceaccruals">Model!$429:$429</definedName>
    <definedName name="z_Z99BO00122_MO_AN_Severanceaccruals_1">Model!$439:$439</definedName>
    <definedName name="z_Z99BO00122_MO_AN_Severanceaccruals_2">Model!$449:$449</definedName>
    <definedName name="z_Z99BO00122_MO_AN_Severanceaccruals_3">Model!$455:$455</definedName>
    <definedName name="z_Z99BO00122_MO_AN_Severanceaccruals_4">Model!$460:$460</definedName>
    <definedName name="z_Z99BO00122_MO_AN_Severanceaccruals_5">Model!$473:$473</definedName>
    <definedName name="z_Z99BO00122_MO_AN_Specialitems">Model!$430:$430</definedName>
    <definedName name="z_Z99BO00122_MO_AN_Specialitems_1">"Deleted"</definedName>
    <definedName name="z_Z99BO00122_MO_AN_Specialitems_2">"Deleted"</definedName>
    <definedName name="z_Z99BO00122_MO_AN_Taxitems">Model!$441:$441</definedName>
    <definedName name="z_Z99BO00122_MO_AN_Taxitems_1">Model!$466:$466</definedName>
    <definedName name="z_Z99BO00122_MO_AN_Taxitems_2">Model!$481:$481</definedName>
    <definedName name="z_Z99BO00122_MO_AN_Transactioncosts">Model!$442:$442</definedName>
    <definedName name="z_Z99BO00122_MO_AN_USDownstreamadjustedearnings">Model!$451:$451</definedName>
    <definedName name="z_Z99BO00122_MO_AN_USDownstreamearnings">Model!$447:$447</definedName>
    <definedName name="z_Z99BO00122_MO_AN_USUpstreamadjustedearnings">Model!$435:$435</definedName>
    <definedName name="z_Z99BO00122_MO_AN_USUpstreamearnings">Model!$427:$427</definedName>
    <definedName name="z_Z99BO00122_MO_BlankRow_AN">Model!$493:$493</definedName>
    <definedName name="z_Z99BO00122_MO_BlankRow_AN_1">Model!$436:$436</definedName>
    <definedName name="z_Z99BO00122_MO_BlankRow_AN_2">Model!$446:$446</definedName>
    <definedName name="z_Z99BO00122_MO_BlankRow_AN_3">Model!$452:$452</definedName>
    <definedName name="z_Z99BO00122_MO_BlankRow_AN_4">Model!$458:$458</definedName>
    <definedName name="z_Z99BO00122_MO_BlankRow_AN_5">Model!$469:$469</definedName>
    <definedName name="z_Z99BO00122_MO_BlankRow_AN_6">Model!$486:$486</definedName>
    <definedName name="z_Z99BO00122_MO_BlankRow_AN_7">Model!$490:$490</definedName>
    <definedName name="z_Z99BO00122_MO_BlankRow_BS_1">Model!$747:$747</definedName>
    <definedName name="z_Z99BO00122_MO_BlankRow_BS_2">Model!$761:$761</definedName>
    <definedName name="z_Z99BO00122_MO_BlankRow_BS_3">Model!$769:$769</definedName>
    <definedName name="z_Z99BO00122_MO_BlankRow_BS_4">Model!$778:$778</definedName>
    <definedName name="z_Z99BO00122_MO_BlankRow_BS_5">Model!$790:$790</definedName>
    <definedName name="z_Z99BO00122_MO_BlankRow_BS_6">Model!$792:$792</definedName>
    <definedName name="z_Z99BO00122_MO_BlankRow_BSS">Model!$602:$602</definedName>
    <definedName name="z_Z99BO00122_MO_BlankRow_BSS_1">Model!$592:$592</definedName>
    <definedName name="z_Z99BO00122_MO_BlankRow_BSS_2">Model!$599:$599</definedName>
    <definedName name="z_Z99BO00122_MO_BlankRow_CCFS">Model!$646:$646</definedName>
    <definedName name="z_Z99BO00122_MO_BlankRow_CCFS_1">Model!$658:$658</definedName>
    <definedName name="z_Z99BO00122_MO_BlankRow_CCFS_2">Model!$669:$669</definedName>
    <definedName name="z_Z99BO00122_MO_BlankRow_CCFS_3">Model!$672:$672</definedName>
    <definedName name="z_Z99BO00122_MO_BlankRow_CCFS_4">Model!$678:$678</definedName>
    <definedName name="z_Z99BO00122_MO_BlankRow_CCFS_5">Model!$675:$675</definedName>
    <definedName name="z_Z99BO00122_MO_BlankRow_CFS_2">Model!$698:$698</definedName>
    <definedName name="z_Z99BO00122_MO_BlankRow_CFS_3">Model!$710:$710</definedName>
    <definedName name="z_Z99BO00122_MO_BlankRow_CFS_4">Model!$721:$721</definedName>
    <definedName name="z_Z99BO00122_MO_BlankRow_CFS_5">Model!$724:$724</definedName>
    <definedName name="z_Z99BO00122_MO_BlankRow_CFS_6">Model!$730:$730</definedName>
    <definedName name="z_Z99BO00122_MO_BlankRow_CFS_8">Model!$727:$727</definedName>
    <definedName name="z_Z99BO00122_MO_BlankRow_CFSum">Model!$575:$575</definedName>
    <definedName name="z_Z99BO00122_MO_BlankRow_CFSum_1">Model!$584:$584</definedName>
    <definedName name="z_Z99BO00122_MO_BlankRow_CFSum_2">Model!$571:$571</definedName>
    <definedName name="z_Z99BO00122_MO_BlankRow_IS">Model!$423:$423</definedName>
    <definedName name="z_Z99BO00122_MO_BlankRow_IS_1">Model!$425:$425</definedName>
    <definedName name="z_Z99BO00122_MO_BlankRow_MA">Model!$403:$403</definedName>
    <definedName name="z_Z99BO00122_MO_BlankRow_MA_1">Model!$607:$607</definedName>
    <definedName name="z_Z99BO00122_MO_BlankRow_MA_2">Model!$621:$621</definedName>
    <definedName name="z_Z99BO00122_MO_BlankRow_MA_3">Model!$626:$626</definedName>
    <definedName name="z_Z99BO00122_MO_BlankRow_MA_4">Model!$613:$613</definedName>
    <definedName name="z_Z99BO00122_MO_BlankRow_OS">Model!$11:$11</definedName>
    <definedName name="z_Z99BO00122_MO_BlankRow_OS_1">Model!$20:$20</definedName>
    <definedName name="z_Z99BO00122_MO_BlankRow_OS_10">Model!$112:$112</definedName>
    <definedName name="z_Z99BO00122_MO_BlankRow_OS_100">Supplemental!$650:$650</definedName>
    <definedName name="z_Z99BO00122_MO_BlankRow_OS_101">Supplemental!$659:$659</definedName>
    <definedName name="z_Z99BO00122_MO_BlankRow_OS_102">Supplemental!$717:$717</definedName>
    <definedName name="z_Z99BO00122_MO_BlankRow_OS_103">Supplemental!$726:$726</definedName>
    <definedName name="z_Z99BO00122_MO_BlankRow_OS_104">Supplemental!$735:$735</definedName>
    <definedName name="z_Z99BO00122_MO_BlankRow_OS_105">Supplemental!$744:$744</definedName>
    <definedName name="z_Z99BO00122_MO_BlankRow_OS_106">Supplemental!$795:$795</definedName>
    <definedName name="z_Z99BO00122_MO_BlankRow_OS_107">Supplemental!$803:$803</definedName>
    <definedName name="z_Z99BO00122_MO_BlankRow_OS_108">Supplemental!$811:$811</definedName>
    <definedName name="z_Z99BO00122_MO_BlankRow_OS_109">Supplemental!$819:$819</definedName>
    <definedName name="z_Z99BO00122_MO_BlankRow_OS_11">Model!$120:$120</definedName>
    <definedName name="z_Z99BO00122_MO_BlankRow_OS_110">Supplemental!$833:$833</definedName>
    <definedName name="z_Z99BO00122_MO_BlankRow_OS_111">Supplemental!$846:$846</definedName>
    <definedName name="z_Z99BO00122_MO_BlankRow_OS_112">Supplemental!$859:$859</definedName>
    <definedName name="z_Z99BO00122_MO_BlankRow_OS_113">Model!$324:$324</definedName>
    <definedName name="z_Z99BO00122_MO_BlankRow_OS_114">Model!$331:$331</definedName>
    <definedName name="z_Z99BO00122_MO_BlankRow_OS_115">Model!$338:$338</definedName>
    <definedName name="z_Z99BO00122_MO_BlankRow_OS_116">Model!$366:$366</definedName>
    <definedName name="z_Z99BO00122_MO_BlankRow_OS_117">Model!$373:$373</definedName>
    <definedName name="z_Z99BO00122_MO_BlankRow_OS_118">Model!$380:$380</definedName>
    <definedName name="z_Z99BO00122_MO_BlankRow_OS_119">Model!$395:$395</definedName>
    <definedName name="z_Z99BO00122_MO_BlankRow_OS_12">Model!$124:$124</definedName>
    <definedName name="z_Z99BO00122_MO_BlankRow_OS_13">Model!$131:$131</definedName>
    <definedName name="z_Z99BO00122_MO_BlankRow_OS_14">Model!$170:$170</definedName>
    <definedName name="z_Z99BO00122_MO_BlankRow_OS_15">Model!$174:$174</definedName>
    <definedName name="z_Z99BO00122_MO_BlankRow_OS_16">Model!$176:$176</definedName>
    <definedName name="z_Z99BO00122_MO_BlankRow_OS_17">Model!$179:$179</definedName>
    <definedName name="z_Z99BO00122_MO_BlankRow_OS_18">Model!$184:$184</definedName>
    <definedName name="z_Z99BO00122_MO_BlankRow_OS_19">Model!$186:$186</definedName>
    <definedName name="z_Z99BO00122_MO_BlankRow_OS_2">Model!$55:$55</definedName>
    <definedName name="z_Z99BO00122_MO_BlankRow_OS_20">Model!$191:$191</definedName>
    <definedName name="z_Z99BO00122_MO_BlankRow_OS_21">Model!$194:$194</definedName>
    <definedName name="z_Z99BO00122_MO_BlankRow_OS_22">Model!$196:$196</definedName>
    <definedName name="z_Z99BO00122_MO_BlankRow_OS_23">Model!$202:$202</definedName>
    <definedName name="z_Z99BO00122_MO_BlankRow_OS_24">Model!$225:$225</definedName>
    <definedName name="z_Z99BO00122_MO_BlankRow_OS_25">Model!$229:$229</definedName>
    <definedName name="z_Z99BO00122_MO_BlankRow_OS_26">Model!$237:$237</definedName>
    <definedName name="z_Z99BO00122_MO_BlankRow_OS_27">Model!$240:$240</definedName>
    <definedName name="z_Z99BO00122_MO_BlankRow_OS_28">Model!$248:$248</definedName>
    <definedName name="z_Z99BO00122_MO_BlankRow_OS_29">Model!$256:$256</definedName>
    <definedName name="z_Z99BO00122_MO_BlankRow_OS_3">Model!$69:$69</definedName>
    <definedName name="z_Z99BO00122_MO_BlankRow_OS_30">Model!$263:$263</definedName>
    <definedName name="z_Z99BO00122_MO_BlankRow_OS_31">Model!$283:$283</definedName>
    <definedName name="z_Z99BO00122_MO_BlankRow_OS_32">Model!$289:$289</definedName>
    <definedName name="z_Z99BO00122_MO_BlankRow_OS_33">Model!$299:$299</definedName>
    <definedName name="z_Z99BO00122_MO_BlankRow_OS_34">Model!$274:$274</definedName>
    <definedName name="z_Z99BO00122_MO_BlankRow_OS_35">Model!$310:$310</definedName>
    <definedName name="z_Z99BO00122_MO_BlankRow_OS_36">Model!$317:$317</definedName>
    <definedName name="z_Z99BO00122_MO_BlankRow_OS_37">Model!$345:$345</definedName>
    <definedName name="z_Z99BO00122_MO_BlankRow_OS_38">Model!$352:$352</definedName>
    <definedName name="z_Z99BO00122_MO_BlankRow_OS_39">Model!$359:$359</definedName>
    <definedName name="z_Z99BO00122_MO_BlankRow_OS_4">Model!$74:$74</definedName>
    <definedName name="z_Z99BO00122_MO_BlankRow_OS_41">Model!$387:$387</definedName>
    <definedName name="z_Z99BO00122_MO_BlankRow_OS_42">Model!$16:$16</definedName>
    <definedName name="z_Z99BO00122_MO_BlankRow_OS_44">Model!$732:$732</definedName>
    <definedName name="z_Z99BO00122_MO_BlankRow_OS_45">Model!$100:$100</definedName>
    <definedName name="z_Z99BO00122_MO_BlankRow_OS_46">Model!$244:$244</definedName>
    <definedName name="z_Z99BO00122_MO_BlankRow_OS_47">"Deleted"</definedName>
    <definedName name="z_Z99BO00122_MO_BlankRow_OS_48">Model!$204:$204</definedName>
    <definedName name="z_Z99BO00122_MO_BlankRow_OS_49">Model!$209:$209</definedName>
    <definedName name="z_Z99BO00122_MO_BlankRow_OS_5">Model!$77:$77</definedName>
    <definedName name="z_Z99BO00122_MO_BlankRow_OS_50">Model!$212:$212</definedName>
    <definedName name="z_Z99BO00122_MO_BlankRow_OS_51">Model!$214:$214</definedName>
    <definedName name="z_Z99BO00122_MO_BlankRow_OS_52">Model!$220:$220</definedName>
    <definedName name="z_Z99BO00122_MO_BlankRow_OS_53">"Deleted"</definedName>
    <definedName name="z_Z99BO00122_MO_BlankRow_OS_54">"Deleted"</definedName>
    <definedName name="z_Z99BO00122_MO_BlankRow_OS_57">Model!$390:$390</definedName>
    <definedName name="z_Z99BO00122_MO_BlankRow_OS_58">Model!$549:$549</definedName>
    <definedName name="z_Z99BO00122_MO_BlankRow_OS_59">Model!$557:$557</definedName>
    <definedName name="z_Z99BO00122_MO_BlankRow_OS_6">Model!$81:$81</definedName>
    <definedName name="z_Z99BO00122_MO_BlankRow_OS_60">Model!$266:$266</definedName>
    <definedName name="z_Z99BO00122_MO_BlankRow_OS_61">"Deleted"</definedName>
    <definedName name="z_Z99BO00122_MO_BlankRow_OS_62">Model!$301:$301</definedName>
    <definedName name="z_Z99BO00122_MO_BlankRow_OS_63">Model!$303:$303</definedName>
    <definedName name="z_Z99BO00122_MO_BlankRow_OS_64">Model!$552:$552</definedName>
    <definedName name="z_Z99BO00122_MO_BlankRow_OS_65">Model!$555:$555</definedName>
    <definedName name="z_Z99BO00122_MO_BlankRow_OS_66">Model!$140:$140</definedName>
    <definedName name="z_Z99BO00122_MO_BlankRow_OS_67">Model!$148:$148</definedName>
    <definedName name="z_Z99BO00122_MO_BlankRow_OS_68">Model!$156:$156</definedName>
    <definedName name="z_Z99BO00122_MO_BlankRow_OS_69">Model!$164:$164</definedName>
    <definedName name="z_Z99BO00122_MO_BlankRow_OS_7">Model!$86:$86</definedName>
    <definedName name="z_Z99BO00122_MO_BlankRow_OS_70">Model!$167:$167</definedName>
    <definedName name="z_Z99BO00122_MO_BlankRow_OS_71">Model!$104:$104</definedName>
    <definedName name="z_Z99BO00122_MO_BlankRow_OS_72">Model!$66:$66</definedName>
    <definedName name="z_Z99BO00122_MO_BlankRow_OS_73">Model!$108:$108</definedName>
    <definedName name="z_Z99BO00122_MO_BlankRow_OS_74">Supplemental!$84:$84</definedName>
    <definedName name="z_Z99BO00122_MO_BlankRow_OS_75">Supplemental!$96:$96</definedName>
    <definedName name="z_Z99BO00122_MO_BlankRow_OS_76">Supplemental!$108:$108</definedName>
    <definedName name="z_Z99BO00122_MO_BlankRow_OS_77">Supplemental!$187:$187</definedName>
    <definedName name="z_Z99BO00122_MO_BlankRow_OS_78">Supplemental!$199:$199</definedName>
    <definedName name="z_Z99BO00122_MO_BlankRow_OS_79">Supplemental!$211:$211</definedName>
    <definedName name="z_Z99BO00122_MO_BlankRow_OS_8">Model!$89:$89</definedName>
    <definedName name="z_Z99BO00122_MO_BlankRow_OS_80">Supplemental!$304:$304</definedName>
    <definedName name="z_Z99BO00122_MO_BlankRow_OS_81">Supplemental!$318:$318</definedName>
    <definedName name="z_Z99BO00122_MO_BlankRow_OS_82">Supplemental!$332:$332</definedName>
    <definedName name="z_Z99BO00122_MO_BlankRow_OS_83">Supplemental!$338:$338</definedName>
    <definedName name="z_Z99BO00122_MO_BlankRow_OS_84">Supplemental!$343:$343</definedName>
    <definedName name="z_Z99BO00122_MO_BlankRow_OS_85">Supplemental!$348:$348</definedName>
    <definedName name="z_Z99BO00122_MO_BlankRow_OS_86">Supplemental!$353:$353</definedName>
    <definedName name="z_Z99BO00122_MO_BlankRow_OS_87">Supplemental!$358:$358</definedName>
    <definedName name="z_Z99BO00122_MO_BlankRow_OS_88">Supplemental!$363:$363</definedName>
    <definedName name="z_Z99BO00122_MO_BlankRow_OS_89">Supplemental!$368:$368</definedName>
    <definedName name="z_Z99BO00122_MO_BlankRow_OS_9">Model!$96:$96</definedName>
    <definedName name="z_Z99BO00122_MO_BlankRow_OS_90">Supplemental!$373:$373</definedName>
    <definedName name="z_Z99BO00122_MO_BlankRow_OS_91">Supplemental!$378:$378</definedName>
    <definedName name="z_Z99BO00122_MO_BlankRow_OS_92">Supplemental!$403:$403</definedName>
    <definedName name="z_Z99BO00122_MO_BlankRow_OS_93">Supplemental!$427:$427</definedName>
    <definedName name="z_Z99BO00122_MO_BlankRow_OS_94">Supplemental!$451:$451</definedName>
    <definedName name="z_Z99BO00122_MO_BlankRow_OS_95">Supplemental!$475:$475</definedName>
    <definedName name="z_Z99BO00122_MO_BlankRow_OS_96">Supplemental!$541:$541</definedName>
    <definedName name="z_Z99BO00122_MO_BlankRow_OS_97">Supplemental!$566:$566</definedName>
    <definedName name="z_Z99BO00122_MO_BlankRow_OS_98">Supplemental!$575:$575</definedName>
    <definedName name="z_Z99BO00122_MO_BlankRow_OS_99">Supplemental!$633:$633</definedName>
    <definedName name="z_Z99BO00122_MO_BlankRow_RIS">Model!$506:$506</definedName>
    <definedName name="z_Z99BO00122_MO_BlankRow_RIS_1">Model!$513:$513</definedName>
    <definedName name="z_Z99BO00122_MO_BlankRow_RIS_2">Model!$526:$526</definedName>
    <definedName name="z_Z99BO00122_MO_BlankRow_RIS_3">Model!$529:$529</definedName>
    <definedName name="z_Z99BO00122_MO_BlankRow_RIS_4">Model!$534:$534</definedName>
    <definedName name="z_Z99BO00122_MO_BlankRow_RIS_5">Model!$538:$538</definedName>
    <definedName name="z_Z99BO00122_MO_BlankRow_SNA">Model!$812:$812</definedName>
    <definedName name="z_Z99BO00122_MO_BlankRow_SNA_1">Model!$814:$814</definedName>
    <definedName name="z_Z99BO00122_MO_BlankRow_SNA_10">Model!$892:$892</definedName>
    <definedName name="z_Z99BO00122_MO_BlankRow_SNA_11">Model!$899:$899</definedName>
    <definedName name="z_Z99BO00122_MO_BlankRow_SNA_12">Model!$904:$904</definedName>
    <definedName name="z_Z99BO00122_MO_BlankRow_SNA_13">Model!$922:$922</definedName>
    <definedName name="z_Z99BO00122_MO_BlankRow_SNA_14">Model!$903:$903</definedName>
    <definedName name="z_Z99BO00122_MO_BlankRow_SNA_15">Model!$846:$846</definedName>
    <definedName name="z_Z99BO00122_MO_BlankRow_SNA_16">Model!$847:$847</definedName>
    <definedName name="z_Z99BO00122_MO_BlankRow_SNA_17">Model!$851:$851</definedName>
    <definedName name="z_Z99BO00122_MO_BlankRow_SNA_18">Model!$852:$852</definedName>
    <definedName name="z_Z99BO00122_MO_BlankRow_SNA_19">Model!$857:$857</definedName>
    <definedName name="z_Z99BO00122_MO_BlankRow_SNA_2">Model!$821:$821</definedName>
    <definedName name="z_Z99BO00122_MO_BlankRow_SNA_20">Model!$858:$858</definedName>
    <definedName name="z_Z99BO00122_MO_BlankRow_SNA_3">Model!$827:$827</definedName>
    <definedName name="z_Z99BO00122_MO_BlankRow_SNA_4">Model!$833:$833</definedName>
    <definedName name="z_Z99BO00122_MO_BlankRow_SNA_5">Model!$834:$834</definedName>
    <definedName name="z_Z99BO00122_MO_BlankRow_SNA_6">Model!$867:$867</definedName>
    <definedName name="z_Z99BO00122_MO_BlankRow_SNA_7">Model!$868:$868</definedName>
    <definedName name="z_Z99BO00122_MO_BlankRow_SNA_8">Model!$878:$878</definedName>
    <definedName name="z_Z99BO00122_MO_BlankRow_SNA_9">Model!$885:$885</definedName>
    <definedName name="z_Z99BO00122_MO_BS_accountsandnotesreceivable">Model!$738:$738</definedName>
    <definedName name="z_Z99BO00122_MO_BS_accountspayable">Model!$764:$764</definedName>
    <definedName name="z_Z99BO00122_MO_BS_accruedliabilities">Model!$765:$765</definedName>
    <definedName name="z_Z99BO00122_MO_BS_Accumulatedothercomprehensiveloss">Model!$784:$784</definedName>
    <definedName name="z_Z99BO00122_MO_BS_assetsheldforsale">Model!$758:$758</definedName>
    <definedName name="z_Z99BO00122_MO_BS_BSCheck">Model!$791:$791</definedName>
    <definedName name="z_Z99BO00122_MO_BS_capitalinexcessofparvalue">Model!$782:$782</definedName>
    <definedName name="z_Z99BO00122_MO_BS_capitalleaseobligations">Model!$775:$775</definedName>
    <definedName name="z_Z99BO00122_MO_BS_cashandcashequivalents">Model!$735:$735</definedName>
    <definedName name="z_Z99BO00122_MO_BS_chemicals">Model!$740:$740</definedName>
    <definedName name="z_Z99BO00122_MO_BS_commonstock">Model!$781:$781</definedName>
    <definedName name="z_Z99BO00122_MO_BS_crudeoilandpetroleumproducts">Model!$739:$739</definedName>
    <definedName name="z_Z99BO00122_MO_BS_CurrentAssets">Model!$734:$734</definedName>
    <definedName name="z_Z99BO00122_MO_BS_CurrentLiabilities">Model!$762:$762</definedName>
    <definedName name="z_Z99BO00122_MO_BS_Deferredchargesandotherassets">Model!$756:$756</definedName>
    <definedName name="z_Z99BO00122_MO_BS_Deferredchargesandotherassetsexcludingrestrictedcash">Model!$755:$755</definedName>
    <definedName name="z_Z99BO00122_MO_BS_deferredcompensationandbenefitplantrust">Model!$785:$785</definedName>
    <definedName name="z_Z99BO00122_MO_BS_Deferredcreditsandothernoncurrentobligations">Model!$772:$772</definedName>
    <definedName name="z_Z99BO00122_MO_BS_Federalandothertaxesonincome">Model!$766:$766</definedName>
    <definedName name="z_Z99BO00122_MO_BS_Goodwill">Model!$757:$757</definedName>
    <definedName name="z_Z99BO00122_MO_BS_investmentsandadvances">Model!$750:$750</definedName>
    <definedName name="z_Z99BO00122_MO_BS_lessaccumulateddepreciation">Model!$752:$752</definedName>
    <definedName name="z_Z99BO00122_MO_BS_Longtermdebt">Model!$771:$771</definedName>
    <definedName name="z_Z99BO00122_MO_BS_longtermreceivables">Model!$749:$749</definedName>
    <definedName name="z_Z99BO00122_MO_BS_marketablesecurities">Model!$737:$737</definedName>
    <definedName name="z_Z99BO00122_MO_BS_materials">Model!$741:$741</definedName>
    <definedName name="z_Z99BO00122_MO_BS_NCI">Model!$788:$788</definedName>
    <definedName name="z_Z99BO00122_MO_BS_NetIncomeonReportedISNIonRevised">Model!$795:$795</definedName>
    <definedName name="z_Z99BO00122_MO_BS_NetIncomeonRevisedISNIonCFstatement">Model!$794:$794</definedName>
    <definedName name="z_Z99BO00122_MO_BS_NonCurrentAssets">Model!$748:$748</definedName>
    <definedName name="z_Z99BO00122_MO_BS_noncurrentdeferredincometaxes">Model!$773:$773</definedName>
    <definedName name="z_Z99BO00122_MO_BS_noncurrentemployeebenefitplans">Model!$774:$774</definedName>
    <definedName name="z_Z99BO00122_MO_BS_NonCurrentLiabilities">Model!$770:$770</definedName>
    <definedName name="z_Z99BO00122_MO_BS_Othertaxespayable">Model!$767:$767</definedName>
    <definedName name="z_Z99BO00122_MO_BS_preferredstock">Model!$780:$780</definedName>
    <definedName name="z_Z99BO00122_MO_BS_Prepaidexpensesandothercurrentassets">Model!$745:$745</definedName>
    <definedName name="z_Z99BO00122_MO_BS_Prepaidexpensesandothercurrentassetsexcludingrestrictedcash">Model!$744:$744</definedName>
    <definedName name="z_Z99BO00122_MO_BS_Propertiesplantandequipment">Model!$751:$751</definedName>
    <definedName name="z_Z99BO00122_MO_BS_Propertiesplantandequipment_1">Model!$753:$753</definedName>
    <definedName name="z_Z99BO00122_MO_BS_Restrictedcash">Model!$743:$743</definedName>
    <definedName name="z_Z99BO00122_MO_BS_Restrictedcash_1">Model!$754:$754</definedName>
    <definedName name="z_Z99BO00122_MO_BS_retainedearnings">Model!$783:$783</definedName>
    <definedName name="z_Z99BO00122_MO_BS_ShareholdersEquity">Model!$779:$779</definedName>
    <definedName name="z_Z99BO00122_MO_BS_Shorttermdebt">Model!$763:$763</definedName>
    <definedName name="z_Z99BO00122_MO_BS_timedeposits">Model!$736:$736</definedName>
    <definedName name="z_Z99BO00122_MO_BS_TotalAssets">Model!$760:$760</definedName>
    <definedName name="z_Z99BO00122_MO_BS_TotalCurrentAssets">Model!$746:$746</definedName>
    <definedName name="z_Z99BO00122_MO_BS_TotalCurrentLiabilities">Model!$768:$768</definedName>
    <definedName name="z_Z99BO00122_MO_BS_totalinventories">Model!$742:$742</definedName>
    <definedName name="z_Z99BO00122_MO_BS_TotalLiabilities">Model!$777:$777</definedName>
    <definedName name="z_Z99BO00122_MO_BS_TotalLiabilitiesSE">Model!$789:$789</definedName>
    <definedName name="z_Z99BO00122_MO_BS_TotalNonCurrentAssets">Model!$759:$759</definedName>
    <definedName name="z_Z99BO00122_MO_BS_TotalNonCurrentliabilities">Model!$776:$776</definedName>
    <definedName name="z_Z99BO00122_MO_BS_TotalSE">Model!$787:$787</definedName>
    <definedName name="z_Z99BO00122_MO_BS_treasurycost">Model!$786:$786</definedName>
    <definedName name="z_Z99BO00122_MO_BSS_Cash">Model!$587:$587</definedName>
    <definedName name="z_Z99BO00122_MO_BSS_Debt">Model!$590:$590</definedName>
    <definedName name="z_Z99BO00122_MO_BSS_DebtCashFlow">Model!$601:$601</definedName>
    <definedName name="z_Z99BO00122_MO_BSS_DebtEBITDAX">Model!$600:$600</definedName>
    <definedName name="z_Z99BO00122_MO_BSS_EffectiveInterestRateonCash">Model!$596:$596</definedName>
    <definedName name="z_Z99BO00122_MO_BSS_EffectiveInterestRateonDebt">Model!$594:$594</definedName>
    <definedName name="z_Z99BO00122_MO_BSS_EffectiveNetInterestRateonDebt">Model!$598:$598</definedName>
    <definedName name="z_Z99BO00122_MO_BSS_InterestExpense">Model!$593:$593</definedName>
    <definedName name="z_Z99BO00122_MO_BSS_InterestIncome">Model!$595:$595</definedName>
    <definedName name="z_Z99BO00122_MO_BSS_LTDebt">Model!$589:$589</definedName>
    <definedName name="z_Z99BO00122_MO_BSS_NetDebt">Model!$591:$591</definedName>
    <definedName name="z_Z99BO00122_MO_BSS_NetInterestExpenseIncome">Model!$597:$597</definedName>
    <definedName name="z_Z99BO00122_MO_BSS_STDebt">Model!$588:$588</definedName>
    <definedName name="z_Z99BO00122_MO_BSS_WCSurDef">Model!$586:$586</definedName>
    <definedName name="z_Z99BO00122_MO_CCFS_Company0192">Model!$648:$648</definedName>
    <definedName name="z_Z99BO00122_MO_CCFS_advancetoatlasenergy">Model!$649:$649</definedName>
    <definedName name="z_Z99BO00122_MO_CCFS_BeginningCashBalance">Model!$673:$673</definedName>
    <definedName name="z_Z99BO00122_MO_CCFS_capitalexpenditures">Model!$650:$650</definedName>
    <definedName name="z_Z99BO00122_MO_CCFS_cashcontributionstoemployeepensionplans">Model!$639:$639</definedName>
    <definedName name="z_Z99BO00122_MO_CCFS_Cashdividendscommonstock">Model!$663:$663</definedName>
    <definedName name="z_Z99BO00122_MO_CCFS_Cashpaidforincometaxes">Model!$677:$677</definedName>
    <definedName name="z_Z99BO00122_MO_CCFS_Cashpaidforinterest">Model!$676:$676</definedName>
    <definedName name="z_Z99BO00122_MO_CCFS_CFF">Model!$659:$659</definedName>
    <definedName name="z_Z99BO00122_MO_CCFS_CFI">Model!$647:$647</definedName>
    <definedName name="z_Z99BO00122_MO_CCFS_CFO">Model!$628:$628</definedName>
    <definedName name="z_Z99BO00122_MO_CCFS_CFObeforeWC">Model!$643:$643</definedName>
    <definedName name="z_Z99BO00122_MO_CCFS_deferredincometaxprovision">Model!$635:$635</definedName>
    <definedName name="z_Z99BO00122_MO_CCFS_depreciation">Model!$630:$630</definedName>
    <definedName name="z_Z99BO00122_MO_CCFS_Distributionslessthanincomefromequityaffiliates">Model!$632:$632</definedName>
    <definedName name="z_Z99BO00122_MO_CCFS_distributionstononcontrollinginterests">Model!$664:$664</definedName>
    <definedName name="z_Z99BO00122_MO_CCFS_dryholeexpense">Model!$631:$631</definedName>
    <definedName name="z_Z99BO00122_MO_CCFS_EndingCashBalance">Model!$674:$674</definedName>
    <definedName name="z_Z99BO00122_MO_CCFS_FX">Model!$670:$670</definedName>
    <definedName name="z_Z99BO00122_MO_CCFS_increaseinlongtermreceivables">Model!$637:$637</definedName>
    <definedName name="z_Z99BO00122_MO_CCFS_netbeforetaxgainsonassetretirementsandsales">Model!$633:$633</definedName>
    <definedName name="z_Z99BO00122_MO_CCFS_Netborrowingofloansbyequityaffiliates">Model!$655:$655</definedName>
    <definedName name="z_Z99BO00122_MO_CCFS_netborrowingsofshorttermobligations">Model!$660:$660</definedName>
    <definedName name="z_Z99BO00122_MO_CCFS_NetCFF">Model!$668:$668</definedName>
    <definedName name="z_Z99BO00122_MO_CCFS_NetCFI">Model!$657:$657</definedName>
    <definedName name="z_Z99BO00122_MO_CCFS_NetCFO">Model!$645:$645</definedName>
    <definedName name="z_Z99BO00122_MO_CCFS_NetChangeinCashBalance">Model!$671:$671</definedName>
    <definedName name="z_Z99BO00122_MO_CCFS_Netdecreaseinotherdeferredcharges">Model!$638:$638</definedName>
    <definedName name="z_Z99BO00122_MO_CCFS_netforeigncurrencyeffects">Model!$634:$634</definedName>
    <definedName name="z_Z99BO00122_MO_CCFS_netincomeattributabletononcontrollinginterests">Model!$636:$636</definedName>
    <definedName name="z_Z99BO00122_MO_CCFS_netincomeloss">Model!$629:$629</definedName>
    <definedName name="z_Z99BO00122_MO_CCFS_netincreaseinoperatingworkingcapital">Model!$644:$644</definedName>
    <definedName name="z_Z99BO00122_MO_CCFS_netmaturitiesoftimedeposits">Model!$653:$653</definedName>
    <definedName name="z_Z99BO00122_MO_CCFS_netsalesofmarketablesecurities">Model!$654:$654</definedName>
    <definedName name="z_Z99BO00122_MO_CCFS_Netsalesofothershortterminvestments">Model!$656:$656</definedName>
    <definedName name="z_Z99BO00122_MO_CCFS_netsalesoftreasuryshares">Model!$667:$667</definedName>
    <definedName name="z_Z99BO00122_MO_CCFS_Other">Model!$640:$640</definedName>
    <definedName name="z_Z99BO00122_MO_CCFS_Otherfinancingactivity">Model!$665:$665</definedName>
    <definedName name="z_Z99BO00122_MO_CCFS_Otherinvestingactivities">Model!$652:$652</definedName>
    <definedName name="z_Z99BO00122_MO_CCFS_proceedsanddepositsrelatedtoassetsales">Model!$651:$651</definedName>
    <definedName name="z_Z99BO00122_MO_CCFS_Proceedsfromissuanceoflongtermdebt">Model!$661:$661</definedName>
    <definedName name="z_Z99BO00122_MO_CCFS_Repaymentsoflongtermdebtandotherfinancingobligations">Model!$662:$662</definedName>
    <definedName name="z_Z99BO00122_MO_CCFS_Sharesrepurchased">Model!$666:$666</definedName>
    <definedName name="z_Z99BO00122_MO_CCFS_stockbasedcompensation">Model!$642:$642</definedName>
    <definedName name="z_Z99BO00122_MO_CFS_Company0192">Model!$700:$700</definedName>
    <definedName name="z_Z99BO00122_MO_CFS_advancetoatlasenergy">Model!$701:$701</definedName>
    <definedName name="z_Z99BO00122_MO_CFS_BeginningCashBalance">Model!$725:$725</definedName>
    <definedName name="z_Z99BO00122_MO_CFS_capitalexpenditures">Model!$702:$702</definedName>
    <definedName name="z_Z99BO00122_MO_CFS_cashcontributionstoemployeepensionplans">Model!$691:$691</definedName>
    <definedName name="z_Z99BO00122_MO_CFS_Cashdividendscommonstock">Model!$715:$715</definedName>
    <definedName name="z_Z99BO00122_MO_CFS_Cashpaidforincometaxes">Model!$729:$729</definedName>
    <definedName name="z_Z99BO00122_MO_CFS_Cashpaidforinterest">Model!$728:$728</definedName>
    <definedName name="z_Z99BO00122_MO_CFS_CFCheck">Model!$731:$731</definedName>
    <definedName name="z_Z99BO00122_MO_CFS_CFF">Model!$711:$711</definedName>
    <definedName name="z_Z99BO00122_MO_CFS_CFI">Model!$699:$699</definedName>
    <definedName name="z_Z99BO00122_MO_CFS_CFO">Model!$680:$680</definedName>
    <definedName name="z_Z99BO00122_MO_CFS_CFObeforeWC">Model!$695:$695</definedName>
    <definedName name="z_Z99BO00122_MO_CFS_deferredincometaxprovision">Model!$687:$687</definedName>
    <definedName name="z_Z99BO00122_MO_CFS_depreciation">Model!$682:$682</definedName>
    <definedName name="z_Z99BO00122_MO_CFS_Distributionslessthanincomefromequityaffiliates">Model!$684:$684</definedName>
    <definedName name="z_Z99BO00122_MO_CFS_distributionstononcontrollinginterests">Model!$716:$716</definedName>
    <definedName name="z_Z99BO00122_MO_CFS_dryholeexpense">Model!$683:$683</definedName>
    <definedName name="z_Z99BO00122_MO_CFS_EndingCashBalance">Model!$726:$726</definedName>
    <definedName name="z_Z99BO00122_MO_CFS_FX">Model!$722:$722</definedName>
    <definedName name="z_Z99BO00122_MO_CFS_Impairmentofassets">Model!$693:$693</definedName>
    <definedName name="z_Z99BO00122_MO_CFS_increaseinlongtermreceivables">Model!$689:$689</definedName>
    <definedName name="z_Z99BO00122_MO_CFS_netbeforetaxgainsonassetretirementsandsales">Model!$685:$685</definedName>
    <definedName name="z_Z99BO00122_MO_CFS_Netborrowingofloansbyequityaffiliates">Model!$707:$707</definedName>
    <definedName name="z_Z99BO00122_MO_CFS_netborrowingsofshorttermobligations">Model!$712:$712</definedName>
    <definedName name="z_Z99BO00122_MO_CFS_NetCFF">Model!$720:$720</definedName>
    <definedName name="z_Z99BO00122_MO_CFS_NetCFI">Model!$709:$709</definedName>
    <definedName name="z_Z99BO00122_MO_CFS_NetCFO">Model!$697:$697</definedName>
    <definedName name="z_Z99BO00122_MO_CFS_NetChangeinCashBalance">Model!$723:$723</definedName>
    <definedName name="z_Z99BO00122_MO_CFS_Netdecreaseinotherdeferredcharges">Model!$690:$690</definedName>
    <definedName name="z_Z99BO00122_MO_CFS_netforeigncurrencyeffects">Model!$686:$686</definedName>
    <definedName name="z_Z99BO00122_MO_CFS_netincomeattributabletononcontrollinginterests">Model!$688:$688</definedName>
    <definedName name="z_Z99BO00122_MO_CFS_netincomeloss">Model!$681:$681</definedName>
    <definedName name="z_Z99BO00122_MO_CFS_netincreaseinoperatingworkingcapital">Model!$696:$696</definedName>
    <definedName name="z_Z99BO00122_MO_CFS_netmaturitiesoftimedeposits">Model!$705:$705</definedName>
    <definedName name="z_Z99BO00122_MO_CFS_netsalesofmarketablesecurities">Model!$706:$706</definedName>
    <definedName name="z_Z99BO00122_MO_CFS_Netsalesofothershortterminvestments">Model!$708:$708</definedName>
    <definedName name="z_Z99BO00122_MO_CFS_netsalesoftreasuryshares">Model!$719:$719</definedName>
    <definedName name="z_Z99BO00122_MO_CFS_Other">Model!$692:$692</definedName>
    <definedName name="z_Z99BO00122_MO_CFS_Otherfinancingactivity">Model!$717:$717</definedName>
    <definedName name="z_Z99BO00122_MO_CFS_Otherinvestingactivities">Model!$704:$704</definedName>
    <definedName name="z_Z99BO00122_MO_CFS_proceedsanddepositsrelatedtoassetsales">Model!$703:$703</definedName>
    <definedName name="z_Z99BO00122_MO_CFS_Proceedsfromissuanceoflongtermdebt">Model!$713:$713</definedName>
    <definedName name="z_Z99BO00122_MO_CFS_Repaymentsoflongtermdebtandotherfinancingobligations">Model!$714:$714</definedName>
    <definedName name="z_Z99BO00122_MO_CFS_Sharesrepurchased">Model!$718:$718</definedName>
    <definedName name="z_Z99BO00122_MO_CFS_stockbasedcompensation">Model!$694:$694</definedName>
    <definedName name="z_Z99BO00122_MO_CFSum_Acquisitions">Model!$567:$567</definedName>
    <definedName name="z_Z99BO00122_MO_CFSum_Capex">Model!$565:$565</definedName>
    <definedName name="z_Z99BO00122_MO_CFSum_CashFlowPerDilutedShare">Model!$562:$562</definedName>
    <definedName name="z_Z99BO00122_MO_CFSum_CashFlowPerDilutedShare_1">Model!$563:$563</definedName>
    <definedName name="z_Z99BO00122_MO_CFSum_ChangeinWorkingCapital">Model!$560:$560</definedName>
    <definedName name="z_Z99BO00122_MO_CFSum_ConsensusEstimatesCapex">Model!$566:$566</definedName>
    <definedName name="z_Z99BO00122_MO_CFSum_consensusestimatescashflowperdilutedshare">Model!$564:$564</definedName>
    <definedName name="z_Z99BO00122_MO_CFSum_Divestiture">Model!$568:$568</definedName>
    <definedName name="z_Z99BO00122_MO_CFSum_DividendPaid">Model!$569:$569</definedName>
    <definedName name="z_Z99BO00122_MO_CFSum_DividendPerShare">Model!$570:$570</definedName>
    <definedName name="z_Z99BO00122_MO_CFSum_EstimatedSharePriceforIssuanceBuybacks">Model!$574:$574</definedName>
    <definedName name="z_Z99BO00122_MO_CFSum_FCF">Model!$576:$576</definedName>
    <definedName name="z_Z99BO00122_MO_CFSum_FCF_1">Model!$577:$577</definedName>
    <definedName name="z_Z99BO00122_MO_CFSum_FCF_2">Model!$578:$578</definedName>
    <definedName name="z_Z99BO00122_MO_CFSum_FCF_4">Model!$580:$580</definedName>
    <definedName name="z_Z99BO00122_MO_CFSum_FCFPostDiv_1">Model!$581:$581</definedName>
    <definedName name="z_Z99BO00122_MO_CFSum_FCFPostDiv_2">Model!$582:$582</definedName>
    <definedName name="z_Z99BO00122_MO_CFSum_FCFPostDivDebtBuyback">Model!$579:$579</definedName>
    <definedName name="z_Z99BO00122_MO_CFSum_FCFPostDivDebtBuyback_1">Model!$583:$583</definedName>
    <definedName name="z_Z99BO00122_MO_CFSum_NetDebtIssuanceRepayment">Model!$572:$572</definedName>
    <definedName name="z_Z99BO00122_MO_CFSum_NetShareIssuanceBuybacks">Model!$573:$573</definedName>
    <definedName name="z_Z99BO00122_MO_CFSum_OperatingCashFlowafterWC">Model!$561:$561</definedName>
    <definedName name="z_Z99BO00122_MO_CFSum_OperatingCashFlowbeforeWC">Model!$559:$559</definedName>
    <definedName name="z_Z99BO00122_MO_Checks_SNA_BalanceSheetisnotRepeated">Model!$801:$801</definedName>
    <definedName name="z_Z99BO00122_MO_Checks_SNA_CapexisUpdated">Model!$803:$803</definedName>
    <definedName name="z_Z99BO00122_MO_Checks_SNA_CashFlowisnotRepeated">Model!$799:$799</definedName>
    <definedName name="z_Z99BO00122_MO_Checks_SNA_CashFlowSummarySignsareCorrect">Model!$804:$804</definedName>
    <definedName name="z_Z99BO00122_MO_Checks_SNA_CashisPositive">Model!$796:$796</definedName>
    <definedName name="z_Z99BO00122_MO_Checks_SNA_CFFsubtotalFYSumofQs">Model!$810:$810</definedName>
    <definedName name="z_Z99BO00122_MO_Checks_SNA_CFIsubtotalFYSumofQs">Model!$809:$809</definedName>
    <definedName name="z_Z99BO00122_MO_Checks_SNA_CFOBeforeWCsubtotalFYSumofQs">Model!$807:$807</definedName>
    <definedName name="z_Z99BO00122_MO_Checks_SNA_CFOsubtotalFYSumofQs">Model!$808:$808</definedName>
    <definedName name="z_Z99BO00122_MO_Checks_SNA_CFSummaryFYSumofQs">Model!$811:$811</definedName>
    <definedName name="z_Z99BO00122_MO_Checks_SNA_DebtisPositive">Model!$797:$797</definedName>
    <definedName name="z_Z99BO00122_MO_Checks_SNA_EndingCFEndingCumulativeCF">Model!$802:$802</definedName>
    <definedName name="z_Z99BO00122_MO_Checks_SNA_IncomeStatementisnotRepeated">Model!$800:$800</definedName>
    <definedName name="z_Z99BO00122_MO_Checks_SNA_RISAdjustedNIFYSumofQs">Model!$806:$806</definedName>
    <definedName name="z_Z99BO00122_MO_Checks_SNA_RISNIFYSumofQs">Model!$805:$805</definedName>
    <definedName name="z_Z99BO00122_MO_Checks_SNA_SegmentedRevenueRevenue">Model!$798:$798</definedName>
    <definedName name="z_Z99BO00122_MO_Header_ColumnHeader">Model!$5:$5</definedName>
    <definedName name="z_Z99BO00122_MO_Header_CompanySubTitle">Model!$2:$2</definedName>
    <definedName name="z_Z99BO00122_MO_Header_CompanyTitle">Model!$1:$1</definedName>
    <definedName name="z_Z99BO00122_MO_Header_FPDays">Model!$3:$3</definedName>
    <definedName name="z_Z99BO00122_MO_Header_HeaderRow">Supplemental!$1:$1</definedName>
    <definedName name="z_Z99BO00122_MO_Header_HeaderRow_1">Supplemental!$2:$2</definedName>
    <definedName name="z_Z99BO00122_MO_Header_HeaderRow_2">Supplemental!$3:$3</definedName>
    <definedName name="z_Z99BO00122_MO_Header_HeaderRow_3">Supplemental!$4:$4</definedName>
    <definedName name="z_Z99BO00122_MO_Header_HeaderRow_4">Supplemental!$5:$5</definedName>
    <definedName name="z_Z99BO00122_MO_Header_QEndDate">Model!$4:$4</definedName>
    <definedName name="z_Z99BO00122_MO_IS_depreciation">Model!$413:$413</definedName>
    <definedName name="z_Z99BO00122_MO_IS_explorationexpenses">Model!$412:$412</definedName>
    <definedName name="z_Z99BO00122_MO_IS_Incomefromequityaffiliates">Model!$406:$406</definedName>
    <definedName name="z_Z99BO00122_MO_IS_incomelossbeforeincometaxexpense">Model!$418:$418</definedName>
    <definedName name="z_Z99BO00122_MO_IS_incometaxexpensebenefit">Model!$419:$419</definedName>
    <definedName name="z_Z99BO00122_MO_IS_Interestanddebtexpense">Model!$415:$415</definedName>
    <definedName name="z_Z99BO00122_MO_IS_ISCheck">Model!$424:$424</definedName>
    <definedName name="z_Z99BO00122_MO_IS_lessnetincomeattributabletononcontrollinginterests">Model!$421:$421</definedName>
    <definedName name="z_Z99BO00122_MO_IS_netincomeloss">Model!$420:$420</definedName>
    <definedName name="z_Z99BO00122_MO_IS_netincomelossattributabletochevroncorporation">Model!$422:$422</definedName>
    <definedName name="z_Z99BO00122_MO_IS_operatingexpenses">Model!$410:$410</definedName>
    <definedName name="z_Z99BO00122_MO_IS_Othercomponentsofnetperiodicbenefitcosts">Model!$416:$416</definedName>
    <definedName name="z_Z99BO00122_MO_IS_Otherincome">Model!$407:$407</definedName>
    <definedName name="z_Z99BO00122_MO_IS_purchasedcrudeoilandproducts">Model!$409:$409</definedName>
    <definedName name="z_Z99BO00122_MO_IS_Salesandotheroperatingrevenues">Model!$405:$405</definedName>
    <definedName name="z_Z99BO00122_MO_IS_selling">Model!$411:$411</definedName>
    <definedName name="z_Z99BO00122_MO_IS_Taxesotherthanonincome">Model!$414:$414</definedName>
    <definedName name="z_Z99BO00122_MO_IS_TotalCostsandOtherDeductions">Model!$417:$417</definedName>
    <definedName name="z_Z99BO00122_MO_IS_TotalRevenuesandOtherIncome">Model!$408:$408</definedName>
    <definedName name="z_Z99BO00122_MO_MA_adjustedebitdaxmargin">Model!$402:$402</definedName>
    <definedName name="z_Z99BO00122_MO_MA_AverageFXRate">Model!$618:$618</definedName>
    <definedName name="z_Z99BO00122_MO_MA_COGSMargin">Model!$399:$399</definedName>
    <definedName name="z_Z99BO00122_MO_MA_ebitdaxmargin">Model!$401:$401</definedName>
    <definedName name="z_Z99BO00122_MO_MA_EoPFXRate">Model!$619:$619</definedName>
    <definedName name="z_Z99BO00122_MO_MA_OPEXMargin">Model!$398:$398</definedName>
    <definedName name="z_Z99BO00122_MO_MA_OtherTaxesMargin">Model!$397:$397</definedName>
    <definedName name="z_Z99BO00122_MO_MA_SGAMargin">Model!$400:$400</definedName>
    <definedName name="z_Z99BO00122_MO_MA_StockEoP">Model!$617:$617</definedName>
    <definedName name="z_Z99BO00122_MO_MA_StockPriceTradingCurAvg">Model!$620:$620</definedName>
    <definedName name="z_Z99BO00122_MO_OS_AdjustedEBITDAcalculated">Model!$393:$393</definedName>
    <definedName name="z_Z99BO00122_MO_OS_AffiliatedCompaniesAccretionofdiscount">Supplemental!$842:$842</definedName>
    <definedName name="z_Z99BO00122_MO_OS_AffiliatedCompaniesBoPPresentValue">Supplemental!$834:$834</definedName>
    <definedName name="z_Z99BO00122_MO_OS_AffiliatedCompaniesDevelopmentcostsincurred">Supplemental!$836:$836</definedName>
    <definedName name="z_Z99BO00122_MO_OS_AffiliatedCompaniesExtensionsdiscoveriesandimprovedrecoverylessrelatedcosts">Supplemental!$839:$839</definedName>
    <definedName name="z_Z99BO00122_MO_OS_AffiliatedCompaniesNetChange_2">Supplemental!$844:$844</definedName>
    <definedName name="z_Z99BO00122_MO_OS_AffiliatedCompaniesNetchangeinincometax">Supplemental!$843:$843</definedName>
    <definedName name="z_Z99BO00122_MO_OS_AffiliatedCompaniesNetchangesinpricesdevelopmentandproductioncosts">Supplemental!$841:$841</definedName>
    <definedName name="z_Z99BO00122_MO_OS_AffiliatedCompaniesPurchasesofreserves">Supplemental!$837:$837</definedName>
    <definedName name="z_Z99BO00122_MO_OS_AffiliatedCompaniesRevisionsofpreviousquantityestimates">Supplemental!$840:$840</definedName>
    <definedName name="z_Z99BO00122_MO_OS_AffiliatedCompaniesSalesandtransfersofoilandgasproducednetofproductioncosts">Supplemental!$835:$835</definedName>
    <definedName name="z_Z99BO00122_MO_OS_AffiliatedCompaniesSalesofreserves">Supplemental!$838:$838</definedName>
    <definedName name="z_Z99BO00122_MO_OS_Africa10percentmidyearannualdiscountfortimingofestimatedcashflows">Supplemental!$765:$765</definedName>
    <definedName name="z_Z99BO00122_MO_OS_AfricaAccretionexpense">Supplemental!$245:$245</definedName>
    <definedName name="z_Z99BO00122_MO_OS_AfricaAccumulatedprovisions">Supplemental!$141:$141</definedName>
    <definedName name="z_Z99BO00122_MO_OS_AfricaAverageproductioncosts">Supplemental!$347:$347</definedName>
    <definedName name="z_Z99BO00122_MO_OS_AfricaCrudeaveragesalesprice">Supplemental!$344:$344</definedName>
    <definedName name="z_Z99BO00122_MO_OS_AfricaCrudeOilCondensateandSyntheticOilBoPReserves">Supplemental!$493:$493</definedName>
    <definedName name="z_Z99BO00122_MO_OS_AfricaCrudeOilCondensateandSyntheticOilEoPReserves">Supplemental!$500:$500</definedName>
    <definedName name="z_Z99BO00122_MO_OS_AfricaCrudeOilCondensateandSyntheticOilExtensionsanddiscoveries">Supplemental!$496:$496</definedName>
    <definedName name="z_Z99BO00122_MO_OS_AfricaCrudeOilCondensateandSyntheticOilImprovedrecovery">Supplemental!$495:$495</definedName>
    <definedName name="z_Z99BO00122_MO_OS_AfricaCrudeOilCondensateandSyntheticOilProduction">Supplemental!$499:$499</definedName>
    <definedName name="z_Z99BO00122_MO_OS_AfricaCrudeOilCondensateandSyntheticOilPurchases">Supplemental!$497:$497</definedName>
    <definedName name="z_Z99BO00122_MO_OS_AfricaCrudeOilCondensateandSyntheticOilRevisions">Supplemental!$494:$494</definedName>
    <definedName name="z_Z99BO00122_MO_OS_AfricaCrudeOilCondensateandSyntheticOilSales">Supplemental!$498:$498</definedName>
    <definedName name="z_Z99BO00122_MO_OS_AfricaCrudeOilCondensateProvedDevelopedReserves">Supplemental!$382:$382</definedName>
    <definedName name="z_Z99BO00122_MO_OS_AfricaCrudeOilCondensateProvedUndevelopedReserves">Supplemental!$393:$393</definedName>
    <definedName name="z_Z99BO00122_MO_OS_AfricaDeferredexploratorywells">Supplemental!$135:$135</definedName>
    <definedName name="z_Z99BO00122_MO_OS_AfricaDepreciationanddepletion">Supplemental!$244:$244</definedName>
    <definedName name="z_Z99BO00122_MO_OS_AfricaDevelopment">Supplemental!$38:$38</definedName>
    <definedName name="z_Z99BO00122_MO_OS_AfricaExplorationexpenses">Supplemental!$246:$246</definedName>
    <definedName name="z_Z99BO00122_MO_OS_AfricaFuturecashinflowsfromproduction">Supplemental!$760:$760</definedName>
    <definedName name="z_Z99BO00122_MO_OS_AfricaFuturedevelopmentcosts">Supplemental!$762:$762</definedName>
    <definedName name="z_Z99BO00122_MO_OS_AfricaFutureincometaxes">Supplemental!$763:$763</definedName>
    <definedName name="z_Z99BO00122_MO_OS_AfricaFutureproductioncosts">Supplemental!$761:$761</definedName>
    <definedName name="z_Z99BO00122_MO_OS_AfricaGeologicalandgeophysical">Supplemental!$30:$30</definedName>
    <definedName name="z_Z99BO00122_MO_OS_AfricaGrossCapitalizedCosts">Supplemental!$137:$137</definedName>
    <definedName name="z_Z99BO00122_MO_OS_AfricaGrossGasWells">Model!$151:$151</definedName>
    <definedName name="z_Z99BO00122_MO_OS_AfricaGrossOilWells">Model!$135:$135</definedName>
    <definedName name="z_Z99BO00122_MO_OS_AfricaIncometaxexpensebenefit">Supplemental!$250:$250</definedName>
    <definedName name="z_Z99BO00122_MO_OS_AfricaNaturalgasaveragesalesprice">Supplemental!$346:$346</definedName>
    <definedName name="z_Z99BO00122_MO_OS_AfricaNaturalGasBoPReserves">Supplemental!$677:$677</definedName>
    <definedName name="z_Z99BO00122_MO_OS_AfricaNaturalGasEoPReserves">Supplemental!$684:$684</definedName>
    <definedName name="z_Z99BO00122_MO_OS_AfricaNaturalGasExtensionsanddiscoveries">Supplemental!$680:$680</definedName>
    <definedName name="z_Z99BO00122_MO_OS_AfricaNaturalGasImprovedrecovery">Supplemental!$679:$679</definedName>
    <definedName name="z_Z99BO00122_MO_OS_AfricaNaturalgasliquidsaveragesalesprice">Supplemental!$345:$345</definedName>
    <definedName name="z_Z99BO00122_MO_OS_AfricaNaturalGasProduction">Supplemental!$683:$683</definedName>
    <definedName name="z_Z99BO00122_MO_OS_AfricaNaturalGasProvedDevelopedReserves">Supplemental!$454:$454</definedName>
    <definedName name="z_Z99BO00122_MO_OS_AfricaNaturalGasProvedUndevelopedReserves">Supplemental!$465:$465</definedName>
    <definedName name="z_Z99BO00122_MO_OS_AfricaNaturalGasPurchases">Supplemental!$681:$681</definedName>
    <definedName name="z_Z99BO00122_MO_OS_AfricaNaturalGasRevisions">Supplemental!$678:$678</definedName>
    <definedName name="z_Z99BO00122_MO_OS_AfricaNaturalGasSales">Supplemental!$682:$682</definedName>
    <definedName name="z_Z99BO00122_MO_OS_AfricaNetCapitalizedCosts">Supplemental!$142:$142</definedName>
    <definedName name="z_Z99BO00122_MO_OS_AfricaNetGasWells">Model!$159:$159</definedName>
    <definedName name="z_Z99BO00122_MO_OS_AfricaNetOilWells">Model!$143:$143</definedName>
    <definedName name="z_Z99BO00122_MO_OS_AfricaNGLProvedDevelopedReserves">Supplemental!$430:$430</definedName>
    <definedName name="z_Z99BO00122_MO_OS_AfricaNGLProvedUndevelopedReserves">Supplemental!$441:$441</definedName>
    <definedName name="z_Z99BO00122_MO_OS_AfricaOther">Supplemental!$31:$31</definedName>
    <definedName name="z_Z99BO00122_MO_OS_AfricaOtherincomeloss">Supplemental!$248:$248</definedName>
    <definedName name="z_Z99BO00122_MO_OS_AfricaOtheruncompletedprojects">Supplemental!$136:$136</definedName>
    <definedName name="z_Z99BO00122_MO_OS_africapakistan">Model!$269:$269</definedName>
    <definedName name="z_Z99BO00122_MO_OS_AfricaProductionexpensesexcludingtaxes">Supplemental!$242:$242</definedName>
    <definedName name="z_Z99BO00122_MO_OS_AfricaProvedNoble">Supplemental!$33:$33</definedName>
    <definedName name="z_Z99BO00122_MO_OS_AfricaProvedOther">Supplemental!$34:$34</definedName>
    <definedName name="z_Z99BO00122_MO_OS_AfricaProvedproducingpropertiesDepreciationanddepletion">Supplemental!$139:$139</definedName>
    <definedName name="z_Z99BO00122_MO_OS_AfricaProvedpropertiesandrelatedproducingassets">Supplemental!$133:$133</definedName>
    <definedName name="z_Z99BO00122_MO_OS_AfricaResultsbeforeincometaxes">Supplemental!$249:$249</definedName>
    <definedName name="z_Z99BO00122_MO_OS_AfricaResultsofProducingOperations">Supplemental!$251:$251</definedName>
    <definedName name="z_Z99BO00122_MO_OS_AfricaSalesrevenuesfromnetproduction">Supplemental!$239:$239</definedName>
    <definedName name="z_Z99BO00122_MO_OS_AfricaStandardizedMeasureNetCashFlows">Supplemental!$766:$766</definedName>
    <definedName name="z_Z99BO00122_MO_OS_AfricaSupportequipment">Supplemental!$134:$134</definedName>
    <definedName name="z_Z99BO00122_MO_OS_AfricaSupportequipmentdepreciation">Supplemental!$140:$140</definedName>
    <definedName name="z_Z99BO00122_MO_OS_AfricaSyntheticOilProvedDevelopedReserves">Supplemental!$406:$406</definedName>
    <definedName name="z_Z99BO00122_MO_OS_AfricaSyntheticOilProvedUndevelopedReserves">Supplemental!$417:$417</definedName>
    <definedName name="z_Z99BO00122_MO_OS_AfricaTaxesotherthanonincome">Supplemental!$243:$243</definedName>
    <definedName name="z_Z99BO00122_MO_OS_AfricaTotalCostsIncurred">Supplemental!$39:$39</definedName>
    <definedName name="z_Z99BO00122_MO_OS_AfricaTotalexploration">Supplemental!$32:$32</definedName>
    <definedName name="z_Z99BO00122_MO_OS_AfricaTotalpropertyacquisitions">Supplemental!$37:$37</definedName>
    <definedName name="z_Z99BO00122_MO_OS_AfricaTotalRevenuesfromnetproduction">Supplemental!$241:$241</definedName>
    <definedName name="z_Z99BO00122_MO_OS_AfricaTransfersrevenuesfromnetproduction">Supplemental!$240:$240</definedName>
    <definedName name="z_Z99BO00122_MO_OS_AfricaUndiscountedfuturenetcashflows">Supplemental!$764:$764</definedName>
    <definedName name="z_Z99BO00122_MO_OS_AfricaUnprovedNoble">Supplemental!$35:$35</definedName>
    <definedName name="z_Z99BO00122_MO_OS_AfricaUnprovedOther">Supplemental!$36:$36</definedName>
    <definedName name="z_Z99BO00122_MO_OS_AfricaUnprovedproperties">Supplemental!$132:$132</definedName>
    <definedName name="z_Z99BO00122_MO_OS_AfricaUnprovedpropertiesvaluation">Supplemental!$138:$138</definedName>
    <definedName name="z_Z99BO00122_MO_OS_AfricaUnprovedpropertiesvaluation_1">Supplemental!$247:$247</definedName>
    <definedName name="z_Z99BO00122_MO_OS_AfricaWells">Supplemental!$29:$29</definedName>
    <definedName name="z_Z99BO00122_MO_OS_Allotheradjustedearnings">Model!$262:$262</definedName>
    <definedName name="z_Z99BO00122_MO_OS_Allotherearnings">Model!$260:$260</definedName>
    <definedName name="z_Z99BO00122_MO_OS_Allotherinterestexpense">Model!$257:$257</definedName>
    <definedName name="z_Z99BO00122_MO_OS_Allotherinterestincome">Model!$258:$258</definedName>
    <definedName name="z_Z99BO00122_MO_OS_Allotherinternationalrevenues">Model!$251:$251</definedName>
    <definedName name="z_Z99BO00122_MO_OS_Allotherother">Model!$259:$259</definedName>
    <definedName name="z_Z99BO00122_MO_OS_Allotherrevenuessubtotal">Model!$252:$252</definedName>
    <definedName name="z_Z99BO00122_MO_OS_Allotherspecialitems">Model!$261:$261</definedName>
    <definedName name="z_Z99BO00122_MO_OS_AllotherUSrevenues">Model!$250:$250</definedName>
    <definedName name="z_Z99BO00122_MO_OS_angola">Model!$22:$22</definedName>
    <definedName name="z_Z99BO00122_MO_OS_Angola_1">Model!$35:$35</definedName>
    <definedName name="z_Z99BO00122_MO_OS_Asia10percentmidyearannualdiscountfortimingofestimatedcashflows">Supplemental!$772:$772</definedName>
    <definedName name="z_Z99BO00122_MO_OS_AsiaAccretionexpense">Supplemental!$258:$258</definedName>
    <definedName name="z_Z99BO00122_MO_OS_AsiaAccumulatedprovisions">Supplemental!$152:$152</definedName>
    <definedName name="z_Z99BO00122_MO_OS_AsiaAverageproductioncosts">Supplemental!$352:$352</definedName>
    <definedName name="z_Z99BO00122_MO_OS_AsiaCrudeaveragesalesprice">Supplemental!$349:$349</definedName>
    <definedName name="z_Z99BO00122_MO_OS_AsiaCrudeOilCondensateandSyntheticOilBoPReservesMMbbl">Supplemental!$501:$501</definedName>
    <definedName name="z_Z99BO00122_MO_OS_AsiaCrudeOilCondensateandSyntheticOilEoPReserves">Supplemental!$508:$508</definedName>
    <definedName name="z_Z99BO00122_MO_OS_AsiaCrudeOilCondensateandSyntheticOilExtensionsanddiscoveries">Supplemental!$504:$504</definedName>
    <definedName name="z_Z99BO00122_MO_OS_AsiaCrudeOilCondensateandSyntheticOilImprovedrecovery">Supplemental!$503:$503</definedName>
    <definedName name="z_Z99BO00122_MO_OS_AsiaCrudeOilCondensateandSyntheticOilProduction">Supplemental!$507:$507</definedName>
    <definedName name="z_Z99BO00122_MO_OS_AsiaCrudeOilCondensateandSyntheticOilPurchases">Supplemental!$505:$505</definedName>
    <definedName name="z_Z99BO00122_MO_OS_AsiaCrudeOilCondensateandSyntheticOilRevisions">Supplemental!$502:$502</definedName>
    <definedName name="z_Z99BO00122_MO_OS_AsiaCrudeOilCondensateandSyntheticOilSales">Supplemental!$506:$506</definedName>
    <definedName name="z_Z99BO00122_MO_OS_AsiaCrudeOilCondensateProvedDevelopedReserves">Supplemental!$383:$383</definedName>
    <definedName name="z_Z99BO00122_MO_OS_AsiaCrudeOilCondensateProvedUndevelopedReserves">Supplemental!$394:$394</definedName>
    <definedName name="z_Z99BO00122_MO_OS_AsiaDeferredexploratorywells">Supplemental!$146:$146</definedName>
    <definedName name="z_Z99BO00122_MO_OS_AsiaDepreciationanddepletion">Supplemental!$257:$257</definedName>
    <definedName name="z_Z99BO00122_MO_OS_AsiaDevelopment">Supplemental!$49:$49</definedName>
    <definedName name="z_Z99BO00122_MO_OS_AsiaExplorationexpenses">Supplemental!$259:$259</definedName>
    <definedName name="z_Z99BO00122_MO_OS_AsiaFuturecashinflowsfromproduction">Supplemental!$767:$767</definedName>
    <definedName name="z_Z99BO00122_MO_OS_AsiaFuturedevelopmentcosts">Supplemental!$769:$769</definedName>
    <definedName name="z_Z99BO00122_MO_OS_AsiaFutureincometaxes">Supplemental!$770:$770</definedName>
    <definedName name="z_Z99BO00122_MO_OS_AsiaFutureproductioncosts">Supplemental!$768:$768</definedName>
    <definedName name="z_Z99BO00122_MO_OS_AsiaGeologicalandgeophysical">Supplemental!$41:$41</definedName>
    <definedName name="z_Z99BO00122_MO_OS_AsiaGrossCapitalizedCosts">Supplemental!$148:$148</definedName>
    <definedName name="z_Z99BO00122_MO_OS_AsiaGrossGasWells">Model!$152:$152</definedName>
    <definedName name="z_Z99BO00122_MO_OS_AsiaGrossOilWells">Model!$136:$136</definedName>
    <definedName name="z_Z99BO00122_MO_OS_AsiaIncometaxexpensebenefit">Supplemental!$263:$263</definedName>
    <definedName name="z_Z99BO00122_MO_OS_AsiaNaturalgasaveragesalesprice">Supplemental!$351:$351</definedName>
    <definedName name="z_Z99BO00122_MO_OS_AsiaNaturalGasBoPReserves">Supplemental!$685:$685</definedName>
    <definedName name="z_Z99BO00122_MO_OS_AsiaNaturalGasEoPReserves">Supplemental!$692:$692</definedName>
    <definedName name="z_Z99BO00122_MO_OS_AsiaNaturalGasExtensionsanddiscoveries">Supplemental!$688:$688</definedName>
    <definedName name="z_Z99BO00122_MO_OS_AsiaNaturalGasImprovedrecovery">Supplemental!$687:$687</definedName>
    <definedName name="z_Z99BO00122_MO_OS_AsiaNaturalgasliquidsaveragesalesprice">Supplemental!$350:$350</definedName>
    <definedName name="z_Z99BO00122_MO_OS_AsiaNaturalGasProduction">Supplemental!$691:$691</definedName>
    <definedName name="z_Z99BO00122_MO_OS_AsiaNaturalGasProvedDevelopedReserves">Supplemental!$455:$455</definedName>
    <definedName name="z_Z99BO00122_MO_OS_AsiaNaturalGasProvedUndevelopedReserves">Supplemental!$466:$466</definedName>
    <definedName name="z_Z99BO00122_MO_OS_AsiaNaturalGasPurchases">Supplemental!$689:$689</definedName>
    <definedName name="z_Z99BO00122_MO_OS_AsiaNaturalGasRevisions">Supplemental!$686:$686</definedName>
    <definedName name="z_Z99BO00122_MO_OS_AsiaNaturalGasSales">Supplemental!$690:$690</definedName>
    <definedName name="z_Z99BO00122_MO_OS_AsiaNetCapitalizedCosts">Supplemental!$153:$153</definedName>
    <definedName name="z_Z99BO00122_MO_OS_AsiaNetGasWells">Model!$160:$160</definedName>
    <definedName name="z_Z99BO00122_MO_OS_AsiaNetOilWells">Model!$144:$144</definedName>
    <definedName name="z_Z99BO00122_MO_OS_AsiaNGLBoPReserves">Supplemental!$601:$601</definedName>
    <definedName name="z_Z99BO00122_MO_OS_AsiaNGLEoPReserves">Supplemental!$608:$608</definedName>
    <definedName name="z_Z99BO00122_MO_OS_AsiaNGLExtensionsanddiscoveries">Supplemental!$604:$604</definedName>
    <definedName name="z_Z99BO00122_MO_OS_AsiaNGLImprovedrecovery">Supplemental!$603:$603</definedName>
    <definedName name="z_Z99BO00122_MO_OS_AsiaNGLProduction">Supplemental!$607:$607</definedName>
    <definedName name="z_Z99BO00122_MO_OS_AsiaNGLProvedDevelopedReserves">Supplemental!$431:$431</definedName>
    <definedName name="z_Z99BO00122_MO_OS_AsiaNGLProvedUndevelopedReserves">Supplemental!$442:$442</definedName>
    <definedName name="z_Z99BO00122_MO_OS_AsiaNGLPurchases">Supplemental!$605:$605</definedName>
    <definedName name="z_Z99BO00122_MO_OS_AsiaNGLRevisions">Supplemental!$602:$602</definedName>
    <definedName name="z_Z99BO00122_MO_OS_AsiaNGLSales">Supplemental!$606:$606</definedName>
    <definedName name="z_Z99BO00122_MO_OS_AsiaOther">Supplemental!$42:$42</definedName>
    <definedName name="z_Z99BO00122_MO_OS_AsiaOtherincomeloss">Supplemental!$261:$261</definedName>
    <definedName name="z_Z99BO00122_MO_OS_AsiaOtheruncompletedprojects">Supplemental!$147:$147</definedName>
    <definedName name="z_Z99BO00122_MO_OS_asiapacific">Model!$268:$268</definedName>
    <definedName name="z_Z99BO00122_MO_OS_AsiaProductionexpensesexcludingtaxes">Supplemental!$255:$255</definedName>
    <definedName name="z_Z99BO00122_MO_OS_AsiaProvedNoble">Supplemental!$44:$44</definedName>
    <definedName name="z_Z99BO00122_MO_OS_AsiaProvedOther">Supplemental!$45:$45</definedName>
    <definedName name="z_Z99BO00122_MO_OS_AsiaProvedproducingpropertiesDepreciationanddepletion">Supplemental!$150:$150</definedName>
    <definedName name="z_Z99BO00122_MO_OS_AsiaProvedpropertiesandrelatedproducingassets">Supplemental!$144:$144</definedName>
    <definedName name="z_Z99BO00122_MO_OS_AsiaResultsbeforeincometaxes">Supplemental!$262:$262</definedName>
    <definedName name="z_Z99BO00122_MO_OS_AsiaResultsofProducingOperations">Supplemental!$264:$264</definedName>
    <definedName name="z_Z99BO00122_MO_OS_AsiaSalesrevenuesfromnetproduction">Supplemental!$252:$252</definedName>
    <definedName name="z_Z99BO00122_MO_OS_AsiaStandardizedMeasureNetCashFlows">Supplemental!$773:$773</definedName>
    <definedName name="z_Z99BO00122_MO_OS_AsiaSupportequipment">Supplemental!$145:$145</definedName>
    <definedName name="z_Z99BO00122_MO_OS_AsiaSupportequipmentdepreciation">Supplemental!$151:$151</definedName>
    <definedName name="z_Z99BO00122_MO_OS_AsiaSyntheticOilProvedDevelopedReserves">Supplemental!$407:$407</definedName>
    <definedName name="z_Z99BO00122_MO_OS_AsiaSyntheticOilProvedUndevelopedReserves">Supplemental!$418:$418</definedName>
    <definedName name="z_Z99BO00122_MO_OS_AsiaTaxesotherthanonincome">Supplemental!$256:$256</definedName>
    <definedName name="z_Z99BO00122_MO_OS_AsiaTotalCostsIncurred">Supplemental!$50:$50</definedName>
    <definedName name="z_Z99BO00122_MO_OS_AsiaTotalexploration">Supplemental!$43:$43</definedName>
    <definedName name="z_Z99BO00122_MO_OS_AsiaTotalpropertyacquisitions">Supplemental!$48:$48</definedName>
    <definedName name="z_Z99BO00122_MO_OS_AsiaTotalRevenuesfromnetproduction">Supplemental!$254:$254</definedName>
    <definedName name="z_Z99BO00122_MO_OS_AsiaTransfersrevenuesfromnetproduction">Supplemental!$253:$253</definedName>
    <definedName name="z_Z99BO00122_MO_OS_AsiaUndiscountedfuturenetcashflows">Supplemental!$771:$771</definedName>
    <definedName name="z_Z99BO00122_MO_OS_AsiaUnprovedNoble">Supplemental!$46:$46</definedName>
    <definedName name="z_Z99BO00122_MO_OS_AsiaUnprovedOther">Supplemental!$47:$47</definedName>
    <definedName name="z_Z99BO00122_MO_OS_AsiaUnprovedproperties">Supplemental!$143:$143</definedName>
    <definedName name="z_Z99BO00122_MO_OS_AsiaUnprovedpropertiesvaluation">Supplemental!$149:$149</definedName>
    <definedName name="z_Z99BO00122_MO_OS_AsiaUnprovedpropertiesvaluation_1">Supplemental!$260:$260</definedName>
    <definedName name="z_Z99BO00122_MO_OS_AsiaWells">Supplemental!$40:$40</definedName>
    <definedName name="z_Z99BO00122_MO_OS_australia">Model!$36:$36</definedName>
    <definedName name="z_Z99BO00122_MO_OS_Australia10percentmidyearannualdiscountfortimingofestimatedcashflows">Supplemental!$779:$779</definedName>
    <definedName name="z_Z99BO00122_MO_OS_AustraliaAccretionexpense">Supplemental!$271:$271</definedName>
    <definedName name="z_Z99BO00122_MO_OS_AustraliaAccumulatedprovisions">Supplemental!$163:$163</definedName>
    <definedName name="z_Z99BO00122_MO_OS_AustraliaAverageproductioncosts">Supplemental!$357:$357</definedName>
    <definedName name="z_Z99BO00122_MO_OS_AustraliaCrudeaveragesalesprice">Supplemental!$354:$354</definedName>
    <definedName name="z_Z99BO00122_MO_OS_AustraliaCrudeOilCondensateandSyntheticOilBoPReservesMMbbl">Supplemental!$509:$509</definedName>
    <definedName name="z_Z99BO00122_MO_OS_AustraliaCrudeOilCondensateandSyntheticOilEoPReserves">Supplemental!$516:$516</definedName>
    <definedName name="z_Z99BO00122_MO_OS_AustraliaCrudeOilCondensateandSyntheticOilExtensionsanddiscoveries">Supplemental!$512:$512</definedName>
    <definedName name="z_Z99BO00122_MO_OS_AustraliaCrudeOilCondensateandSyntheticOilImprovedrecovery">Supplemental!$511:$511</definedName>
    <definedName name="z_Z99BO00122_MO_OS_AustraliaCrudeOilCondensateandSyntheticOilProduction">Supplemental!$515:$515</definedName>
    <definedName name="z_Z99BO00122_MO_OS_AustraliaCrudeOilCondensateandSyntheticOilPurchases">Supplemental!$513:$513</definedName>
    <definedName name="z_Z99BO00122_MO_OS_AustraliaCrudeOilCondensateandSyntheticOilRevisions">Supplemental!$510:$510</definedName>
    <definedName name="z_Z99BO00122_MO_OS_AustraliaCrudeOilCondensateandSyntheticOilSales">Supplemental!$514:$514</definedName>
    <definedName name="z_Z99BO00122_MO_OS_AustraliaCrudeOilCondensateProvedDevelopedReserves">Supplemental!$384:$384</definedName>
    <definedName name="z_Z99BO00122_MO_OS_AustraliaCrudeOilCondensateProvedUndevelopedReserves">Supplemental!$395:$395</definedName>
    <definedName name="z_Z99BO00122_MO_OS_AustraliaDeferredexploratorywells">Supplemental!$157:$157</definedName>
    <definedName name="z_Z99BO00122_MO_OS_AustraliaDepreciationanddepletion">Supplemental!$270:$270</definedName>
    <definedName name="z_Z99BO00122_MO_OS_AustraliaDevelopment">Supplemental!$60:$60</definedName>
    <definedName name="z_Z99BO00122_MO_OS_AustraliaExplorationexpenses">Supplemental!$272:$272</definedName>
    <definedName name="z_Z99BO00122_MO_OS_AustraliaFuturecashinflowsfromproduction">Supplemental!$774:$774</definedName>
    <definedName name="z_Z99BO00122_MO_OS_AustraliaFuturedevelopmentcosts">Supplemental!$776:$776</definedName>
    <definedName name="z_Z99BO00122_MO_OS_AustraliaFutureincometaxes">Supplemental!$777:$777</definedName>
    <definedName name="z_Z99BO00122_MO_OS_AustraliaFutureproductioncosts">Supplemental!$775:$775</definedName>
    <definedName name="z_Z99BO00122_MO_OS_AustraliaGeologicalandgeophysical">Supplemental!$52:$52</definedName>
    <definedName name="z_Z99BO00122_MO_OS_AustraliaGrossCapitalizedCosts">Supplemental!$159:$159</definedName>
    <definedName name="z_Z99BO00122_MO_OS_AustraliaGrossGasWells">Model!$153:$153</definedName>
    <definedName name="z_Z99BO00122_MO_OS_AustraliaGrossOilWells">Model!$137:$137</definedName>
    <definedName name="z_Z99BO00122_MO_OS_AustraliaIncometaxexpensebenefit">Supplemental!$276:$276</definedName>
    <definedName name="z_Z99BO00122_MO_OS_australiakurnell50crudethroughput">Model!$293:$293</definedName>
    <definedName name="z_Z99BO00122_MO_OS_australialytton50crudethroughput">Model!$292:$292</definedName>
    <definedName name="z_Z99BO00122_MO_OS_AustraliaNaturalgasaveragesalesprice">Supplemental!$356:$356</definedName>
    <definedName name="z_Z99BO00122_MO_OS_AustraliaNaturalGasBoPReserves">Supplemental!$693:$693</definedName>
    <definedName name="z_Z99BO00122_MO_OS_AustraliaNaturalGasEoPReserves">Supplemental!$700:$700</definedName>
    <definedName name="z_Z99BO00122_MO_OS_AustraliaNaturalGasExtensionsanddiscoveries">Supplemental!$696:$696</definedName>
    <definedName name="z_Z99BO00122_MO_OS_AustraliaNaturalGasImprovedrecovery">Supplemental!$695:$695</definedName>
    <definedName name="z_Z99BO00122_MO_OS_AustraliaNaturalgasliquidsaveragesalesprice">Supplemental!$355:$355</definedName>
    <definedName name="z_Z99BO00122_MO_OS_AustraliaNaturalGasProduction">Supplemental!$699:$699</definedName>
    <definedName name="z_Z99BO00122_MO_OS_AustraliaNaturalGasProvedDevelopedReserves">Supplemental!$456:$456</definedName>
    <definedName name="z_Z99BO00122_MO_OS_AustraliaNaturalGasProvedUndevelopedReserves">Supplemental!$467:$467</definedName>
    <definedName name="z_Z99BO00122_MO_OS_AustraliaNaturalGasPurchases">Supplemental!$697:$697</definedName>
    <definedName name="z_Z99BO00122_MO_OS_AustraliaNaturalGasRevisions">Supplemental!$694:$694</definedName>
    <definedName name="z_Z99BO00122_MO_OS_AustraliaNaturalGasSales">Supplemental!$698:$698</definedName>
    <definedName name="z_Z99BO00122_MO_OS_AustraliaNetCapitalizedCosts">Supplemental!$164:$164</definedName>
    <definedName name="z_Z99BO00122_MO_OS_AustraliaNetGasWells">Model!$161:$161</definedName>
    <definedName name="z_Z99BO00122_MO_OS_AustraliaNetOilWells">Model!$145:$145</definedName>
    <definedName name="z_Z99BO00122_MO_OS_AustraliaNGLBoPReserves">Supplemental!$609:$609</definedName>
    <definedName name="z_Z99BO00122_MO_OS_AustraliaNGLEoPReserves">Supplemental!$616:$616</definedName>
    <definedName name="z_Z99BO00122_MO_OS_AustraliaNGLExtensionsanddiscoveries">Supplemental!$612:$612</definedName>
    <definedName name="z_Z99BO00122_MO_OS_AustraliaNGLImprovedrecovery">Supplemental!$611:$611</definedName>
    <definedName name="z_Z99BO00122_MO_OS_AustraliaNGLProduction">Supplemental!$615:$615</definedName>
    <definedName name="z_Z99BO00122_MO_OS_AustraliaNGLProvedDevelopedReserves">Supplemental!$432:$432</definedName>
    <definedName name="z_Z99BO00122_MO_OS_AustraliaNGLProvedUndevelopedReserves">Supplemental!$443:$443</definedName>
    <definedName name="z_Z99BO00122_MO_OS_AustraliaNGLPurchases">Supplemental!$613:$613</definedName>
    <definedName name="z_Z99BO00122_MO_OS_AustraliaNGLRevisions">Supplemental!$610:$610</definedName>
    <definedName name="z_Z99BO00122_MO_OS_AustraliaNGLSales">Supplemental!$614:$614</definedName>
    <definedName name="z_Z99BO00122_MO_OS_AustraliaOther">Supplemental!$53:$53</definedName>
    <definedName name="z_Z99BO00122_MO_OS_AustraliaOtherincomeloss">Supplemental!$274:$274</definedName>
    <definedName name="z_Z99BO00122_MO_OS_AustraliaOtheruncompletedprojects">Supplemental!$158:$158</definedName>
    <definedName name="z_Z99BO00122_MO_OS_AustraliaProductionexpensesexcludingtaxes">Supplemental!$268:$268</definedName>
    <definedName name="z_Z99BO00122_MO_OS_AustraliaProvedNoble">Supplemental!$55:$55</definedName>
    <definedName name="z_Z99BO00122_MO_OS_AustraliaProvedOther">Supplemental!$56:$56</definedName>
    <definedName name="z_Z99BO00122_MO_OS_AustraliaProvedproducingpropertiesDepreciationanddepletion">Supplemental!$161:$161</definedName>
    <definedName name="z_Z99BO00122_MO_OS_AustraliaProvedpropertiesandrelatedproducingassets">Supplemental!$155:$155</definedName>
    <definedName name="z_Z99BO00122_MO_OS_AustraliaResultsbeforeincometaxes">Supplemental!$275:$275</definedName>
    <definedName name="z_Z99BO00122_MO_OS_AustraliaResultsofProducingOperations">Supplemental!$277:$277</definedName>
    <definedName name="z_Z99BO00122_MO_OS_AustraliaSalesrevenuesfromnetproduction">Supplemental!$265:$265</definedName>
    <definedName name="z_Z99BO00122_MO_OS_AustraliaStandardizedMeasureNetCashFlows">Supplemental!$780:$780</definedName>
    <definedName name="z_Z99BO00122_MO_OS_AustraliaSupportequipment">Supplemental!$156:$156</definedName>
    <definedName name="z_Z99BO00122_MO_OS_AustraliaSupportequipmentdepreciation">Supplemental!$162:$162</definedName>
    <definedName name="z_Z99BO00122_MO_OS_AustraliaSyntheticOilProvedDevelopedReserves">Supplemental!$408:$408</definedName>
    <definedName name="z_Z99BO00122_MO_OS_AustraliaSyntheticOilProvedUndevelopedReserves">Supplemental!$419:$419</definedName>
    <definedName name="z_Z99BO00122_MO_OS_AustraliaTaxesotherthanonincome">Supplemental!$269:$269</definedName>
    <definedName name="z_Z99BO00122_MO_OS_AustraliaTotalCostsIncurred">Supplemental!$61:$61</definedName>
    <definedName name="z_Z99BO00122_MO_OS_AustraliaTotalexploration">Supplemental!$54:$54</definedName>
    <definedName name="z_Z99BO00122_MO_OS_AustraliaTotalpropertyacquisitions">Supplemental!$59:$59</definedName>
    <definedName name="z_Z99BO00122_MO_OS_AustraliaTotalRevenuesfromnetproduction">Supplemental!$267:$267</definedName>
    <definedName name="z_Z99BO00122_MO_OS_AustraliaTransfersrevenuesfromnetproduction">Supplemental!$266:$266</definedName>
    <definedName name="z_Z99BO00122_MO_OS_AustraliaUndiscountedfuturenetcashflows">Supplemental!$778:$778</definedName>
    <definedName name="z_Z99BO00122_MO_OS_AustraliaUnprovedNoble">Supplemental!$57:$57</definedName>
    <definedName name="z_Z99BO00122_MO_OS_AustraliaUnprovedOther">Supplemental!$58:$58</definedName>
    <definedName name="z_Z99BO00122_MO_OS_AustraliaUnprovedproperties">Supplemental!$154:$154</definedName>
    <definedName name="z_Z99BO00122_MO_OS_AustraliaUnprovedpropertiesvaluation">Supplemental!$160:$160</definedName>
    <definedName name="z_Z99BO00122_MO_OS_AustraliaUnprovedpropertiesvaluation_1">Supplemental!$273:$273</definedName>
    <definedName name="z_Z99BO00122_MO_OS_AustraliaWells">Supplemental!$51:$51</definedName>
    <definedName name="z_Z99BO00122_MO_OS_AverageNaturalGasHenryHubNYMEX">Model!$123:$123</definedName>
    <definedName name="z_Z99BO00122_MO_OS_AverageWTINYMEX">Model!$122:$122</definedName>
    <definedName name="z_Z99BO00122_MO_OS_bangladesh">Model!$37:$37</definedName>
    <definedName name="z_Z99BO00122_MO_OS_Brandedservicestations">Model!$392:$392</definedName>
    <definedName name="z_Z99BO00122_MO_OS_Canada_1">Model!$23:$23</definedName>
    <definedName name="z_Z99BO00122_MO_OS_Canada_2">Model!$38:$38</definedName>
    <definedName name="z_Z99BO00122_MO_OS_canadaburnabybritishcolumbiacrudethroughput">Model!$287:$287</definedName>
    <definedName name="z_Z99BO00122_MO_OS_CommonstockissuedEoP">Model!$540:$540</definedName>
    <definedName name="z_Z99BO00122_MO_OS_CommonstockoutstandingEoP">Model!$542:$542</definedName>
    <definedName name="z_Z99BO00122_MO_OS_consensusestimatestotalaveragedailyproductionvolumes">Model!$54:$54</definedName>
    <definedName name="z_Z99BO00122_MO_OS_ConsolidatedCompaniesAccretionofdiscount">Supplemental!$829:$829</definedName>
    <definedName name="z_Z99BO00122_MO_OS_ConsolidatedCompaniesBoPPresentValue">Supplemental!$821:$821</definedName>
    <definedName name="z_Z99BO00122_MO_OS_ConsolidatedCompaniesDevelopmentcostsincurred">Supplemental!$823:$823</definedName>
    <definedName name="z_Z99BO00122_MO_OS_ConsolidatedCompaniesEoPPresentValue">Supplemental!$832:$832</definedName>
    <definedName name="z_Z99BO00122_MO_OS_ConsolidatedCompaniesEoPPresentValue_1">Supplemental!$845:$845</definedName>
    <definedName name="z_Z99BO00122_MO_OS_ConsolidatedCompaniesExtensionsdiscoveriesandimprovedrecoverylessrelatedcosts">Supplemental!$826:$826</definedName>
    <definedName name="z_Z99BO00122_MO_OS_ConsolidatedCompaniesNetChange_2">Supplemental!$831:$831</definedName>
    <definedName name="z_Z99BO00122_MO_OS_ConsolidatedCompaniesNetchangeinincometax">Supplemental!$830:$830</definedName>
    <definedName name="z_Z99BO00122_MO_OS_ConsolidatedCompaniesNetchangesinpricesdevelopmentandproductioncosts">Supplemental!$828:$828</definedName>
    <definedName name="z_Z99BO00122_MO_OS_ConsolidatedCompaniesPurchasesofreserves">Supplemental!$824:$824</definedName>
    <definedName name="z_Z99BO00122_MO_OS_ConsolidatedCompaniesRevisionsofpreviousquantityestimates">Supplemental!$827:$827</definedName>
    <definedName name="z_Z99BO00122_MO_OS_ConsolidatedCompaniesSalesandtransfersofoilandgasproducednetofproductioncosts">Supplemental!$822:$822</definedName>
    <definedName name="z_Z99BO00122_MO_OS_ConsolidatedCompaniesSalesofreserves">Supplemental!$825:$825</definedName>
    <definedName name="z_Z99BO00122_MO_OS_Coverpagecommonstockoutstanding">Model!$550:$550</definedName>
    <definedName name="z_Z99BO00122_MO_OS_Dateofcoverpagesharecount">Model!$551:$551</definedName>
    <definedName name="z_Z99BO00122_MO_OS_DepreciationExpense">"Deleted"</definedName>
    <definedName name="z_Z99BO00122_MO_OS_Dilutedsharecounttobasicsharecountratio">Model!$554:$554</definedName>
    <definedName name="z_Z99BO00122_MO_OS_Dilutiveshares">Model!$553:$553</definedName>
    <definedName name="z_Z99BO00122_MO_OS_discrepancy">Model!$87:$87</definedName>
    <definedName name="z_Z99BO00122_MO_OS_discrepancy_1">Model!$88:$88</definedName>
    <definedName name="z_Z99BO00122_MO_OS_DownstreamAdjustedEarnings">Model!$247:$247</definedName>
    <definedName name="z_Z99BO00122_MO_OS_Downstreamearnings">Model!$13:$13</definedName>
    <definedName name="z_Z99BO00122_MO_OS_downstreamrevenues">Model!$8:$8</definedName>
    <definedName name="z_Z99BO00122_MO_OS_downstreamtotalrefinedproductssold">Model!$19:$19</definedName>
    <definedName name="z_Z99BO00122_MO_OS_downstreamtotalrefineryinput">Model!$18:$18</definedName>
    <definedName name="z_Z99BO00122_MO_OS_EBITcalculated">Model!$394:$394</definedName>
    <definedName name="z_Z99BO00122_MO_OS_elsegundocaliforniacrudethroughput">Model!$276:$276</definedName>
    <definedName name="z_Z99BO00122_MO_OS_europe">Model!$25:$25</definedName>
    <definedName name="z_Z99BO00122_MO_OS_europe_1">Model!$40:$40</definedName>
    <definedName name="z_Z99BO00122_MO_OS_europe_2">Model!$270:$270</definedName>
    <definedName name="z_Z99BO00122_MO_OS_Europe10percentmidyearannualdiscountfortimingofestimatedcashflows">Supplemental!$786:$786</definedName>
    <definedName name="z_Z99BO00122_MO_OS_EuropeAccretionexpense">Supplemental!$284:$284</definedName>
    <definedName name="z_Z99BO00122_MO_OS_EuropeAccumulatedprovisions">Supplemental!$174:$174</definedName>
    <definedName name="z_Z99BO00122_MO_OS_EuropeAverageproductioncosts">Supplemental!$362:$362</definedName>
    <definedName name="z_Z99BO00122_MO_OS_EuropeCrudeaveragesalesprice">Supplemental!$359:$359</definedName>
    <definedName name="z_Z99BO00122_MO_OS_EuropeCrudeOilCondensateandSyntheticOilBoPReservesMMbbl">Supplemental!$517:$517</definedName>
    <definedName name="z_Z99BO00122_MO_OS_EuropeCrudeOilCondensateandSyntheticOilEoPReserves">Supplemental!$524:$524</definedName>
    <definedName name="z_Z99BO00122_MO_OS_EuropeCrudeOilCondensateandSyntheticOilExtensionsanddiscoveries">Supplemental!$520:$520</definedName>
    <definedName name="z_Z99BO00122_MO_OS_EuropeCrudeOilCondensateandSyntheticOilImprovedrecovery">Supplemental!$519:$519</definedName>
    <definedName name="z_Z99BO00122_MO_OS_EuropeCrudeOilCondensateandSyntheticOilProduction">Supplemental!$523:$523</definedName>
    <definedName name="z_Z99BO00122_MO_OS_EuropeCrudeOilCondensateandSyntheticOilPurchases">Supplemental!$521:$521</definedName>
    <definedName name="z_Z99BO00122_MO_OS_EuropeCrudeOilCondensateandSyntheticOilRevisions">Supplemental!$518:$518</definedName>
    <definedName name="z_Z99BO00122_MO_OS_EuropeCrudeOilCondensateandSyntheticOilSales">Supplemental!$522:$522</definedName>
    <definedName name="z_Z99BO00122_MO_OS_EuropeCrudeOilCondensateProvedDevelopedReserves">Supplemental!$385:$385</definedName>
    <definedName name="z_Z99BO00122_MO_OS_EuropeCrudeOilCondensateProvedUndevelopedReserves">Supplemental!$396:$396</definedName>
    <definedName name="z_Z99BO00122_MO_OS_EuropeDeferredexploratorywells">Supplemental!$168:$168</definedName>
    <definedName name="z_Z99BO00122_MO_OS_EuropeDepreciationanddepletion">Supplemental!$283:$283</definedName>
    <definedName name="z_Z99BO00122_MO_OS_EuropeDevelopment">Supplemental!$71:$71</definedName>
    <definedName name="z_Z99BO00122_MO_OS_EuropeExplorationexpenses">Supplemental!$285:$285</definedName>
    <definedName name="z_Z99BO00122_MO_OS_EuropeFuturecashinflowsfromproduction">Supplemental!$781:$781</definedName>
    <definedName name="z_Z99BO00122_MO_OS_EuropeFuturedevelopmentcosts">Supplemental!$783:$783</definedName>
    <definedName name="z_Z99BO00122_MO_OS_EuropeFutureincometaxes">Supplemental!$784:$784</definedName>
    <definedName name="z_Z99BO00122_MO_OS_EuropeFutureproductioncosts">Supplemental!$782:$782</definedName>
    <definedName name="z_Z99BO00122_MO_OS_EuropeGeologicalandgeophysical">Supplemental!$63:$63</definedName>
    <definedName name="z_Z99BO00122_MO_OS_EuropeGrossCapitalizedCosts">Supplemental!$170:$170</definedName>
    <definedName name="z_Z99BO00122_MO_OS_EuropeGrossGasWells">Model!$154:$154</definedName>
    <definedName name="z_Z99BO00122_MO_OS_EuropeGrossOilWells">Model!$138:$138</definedName>
    <definedName name="z_Z99BO00122_MO_OS_EuropeIncometaxexpensebenefit">Supplemental!$289:$289</definedName>
    <definedName name="z_Z99BO00122_MO_OS_EuropeNaturalgasaveragesalesprice">Supplemental!$361:$361</definedName>
    <definedName name="z_Z99BO00122_MO_OS_EuropeNaturalGasBoPReserves">Supplemental!$701:$701</definedName>
    <definedName name="z_Z99BO00122_MO_OS_EuropeNaturalGasEoPReserves">Supplemental!$708:$708</definedName>
    <definedName name="z_Z99BO00122_MO_OS_EuropeNaturalGasExtensionsanddiscoveries">Supplemental!$704:$704</definedName>
    <definedName name="z_Z99BO00122_MO_OS_EuropeNaturalGasImprovedrecovery">Supplemental!$703:$703</definedName>
    <definedName name="z_Z99BO00122_MO_OS_EuropeNaturalgasliquidsaveragesalesprice">Supplemental!$360:$360</definedName>
    <definedName name="z_Z99BO00122_MO_OS_EuropeNaturalGasProduction">Supplemental!$707:$707</definedName>
    <definedName name="z_Z99BO00122_MO_OS_EuropeNaturalGasProvedDevelopedReserves">Supplemental!$457:$457</definedName>
    <definedName name="z_Z99BO00122_MO_OS_EuropeNaturalGasProvedUndevelopedReserves">Supplemental!$468:$468</definedName>
    <definedName name="z_Z99BO00122_MO_OS_EuropeNaturalGasPurchases">Supplemental!$705:$705</definedName>
    <definedName name="z_Z99BO00122_MO_OS_EuropeNaturalGasRevisions">Supplemental!$702:$702</definedName>
    <definedName name="z_Z99BO00122_MO_OS_EuropeNaturalGasSales">Supplemental!$706:$706</definedName>
    <definedName name="z_Z99BO00122_MO_OS_EuropeNetCapitalizedCosts">Supplemental!$175:$175</definedName>
    <definedName name="z_Z99BO00122_MO_OS_EuropeNetGasWells">Model!$162:$162</definedName>
    <definedName name="z_Z99BO00122_MO_OS_EuropeNetOilWells">Model!$146:$146</definedName>
    <definedName name="z_Z99BO00122_MO_OS_EuropeNGLBoPReserves">Supplemental!$617:$617</definedName>
    <definedName name="z_Z99BO00122_MO_OS_EuropeNGLEoPReserves">Supplemental!$624:$624</definedName>
    <definedName name="z_Z99BO00122_MO_OS_EuropeNGLExtensionsanddiscoveries">Supplemental!$620:$620</definedName>
    <definedName name="z_Z99BO00122_MO_OS_EuropeNGLImprovedrecovery">Supplemental!$619:$619</definedName>
    <definedName name="z_Z99BO00122_MO_OS_EuropeNGLProduction">Supplemental!$623:$623</definedName>
    <definedName name="z_Z99BO00122_MO_OS_EuropeNGLProvedDevelopedReserves">Supplemental!$433:$433</definedName>
    <definedName name="z_Z99BO00122_MO_OS_EuropeNGLProvedUndevelopedReserves">Supplemental!$444:$444</definedName>
    <definedName name="z_Z99BO00122_MO_OS_EuropeNGLPurchases">Supplemental!$621:$621</definedName>
    <definedName name="z_Z99BO00122_MO_OS_EuropeNGLRevisions">Supplemental!$618:$618</definedName>
    <definedName name="z_Z99BO00122_MO_OS_EuropeNGLSales">Supplemental!$622:$622</definedName>
    <definedName name="z_Z99BO00122_MO_OS_EuropeOther">Supplemental!$64:$64</definedName>
    <definedName name="z_Z99BO00122_MO_OS_EuropeOtherincomeloss">Supplemental!$287:$287</definedName>
    <definedName name="z_Z99BO00122_MO_OS_EuropeOtheruncompletedprojects">Supplemental!$169:$169</definedName>
    <definedName name="z_Z99BO00122_MO_OS_EuropeProductionexpensesexcludingtaxes">Supplemental!$281:$281</definedName>
    <definedName name="z_Z99BO00122_MO_OS_EuropeProvedNoble">Supplemental!$66:$66</definedName>
    <definedName name="z_Z99BO00122_MO_OS_EuropeProvedOther">Supplemental!$67:$67</definedName>
    <definedName name="z_Z99BO00122_MO_OS_EuropeProvedproducingpropertiesDepreciationanddepletion">Supplemental!$172:$172</definedName>
    <definedName name="z_Z99BO00122_MO_OS_EuropeProvedpropertiesandrelatedproducingassets">Supplemental!$166:$166</definedName>
    <definedName name="z_Z99BO00122_MO_OS_EuropeResultsbeforeincometaxes">Supplemental!$288:$288</definedName>
    <definedName name="z_Z99BO00122_MO_OS_EuropeResultsofProducingOperations">Supplemental!$290:$290</definedName>
    <definedName name="z_Z99BO00122_MO_OS_EuropeSalesrevenuesfromnetproduction">Supplemental!$278:$278</definedName>
    <definedName name="z_Z99BO00122_MO_OS_EuropeStandardizedMeasureNetCashFlows">Supplemental!$787:$787</definedName>
    <definedName name="z_Z99BO00122_MO_OS_EuropeSupportequipment">Supplemental!$167:$167</definedName>
    <definedName name="z_Z99BO00122_MO_OS_EuropeSupportequipmentdepreciation">Supplemental!$173:$173</definedName>
    <definedName name="z_Z99BO00122_MO_OS_EuropeSyntheticOilProvedDevelopedReserves">Supplemental!$409:$409</definedName>
    <definedName name="z_Z99BO00122_MO_OS_EuropeSyntheticOilProvedUndevelopedReserves">Supplemental!$420:$420</definedName>
    <definedName name="z_Z99BO00122_MO_OS_EuropeTaxesotherthanonincome">Supplemental!$282:$282</definedName>
    <definedName name="z_Z99BO00122_MO_OS_EuropeTotalCostsIncurred">Supplemental!$72:$72</definedName>
    <definedName name="z_Z99BO00122_MO_OS_EuropeTotalexploration">Supplemental!$65:$65</definedName>
    <definedName name="z_Z99BO00122_MO_OS_EuropeTotalpropertyacquisitions">Supplemental!$70:$70</definedName>
    <definedName name="z_Z99BO00122_MO_OS_EuropeTotalRevenuesfromnetproduction">Supplemental!$280:$280</definedName>
    <definedName name="z_Z99BO00122_MO_OS_EuropeTransfersrevenuesfromnetproduction">Supplemental!$279:$279</definedName>
    <definedName name="z_Z99BO00122_MO_OS_EuropeUndiscountedfuturenetcashflows">Supplemental!$785:$785</definedName>
    <definedName name="z_Z99BO00122_MO_OS_EuropeUnprovedNoble">Supplemental!$68:$68</definedName>
    <definedName name="z_Z99BO00122_MO_OS_EuropeUnprovedOther">Supplemental!$69:$69</definedName>
    <definedName name="z_Z99BO00122_MO_OS_EuropeUnprovedproperties">Supplemental!$165:$165</definedName>
    <definedName name="z_Z99BO00122_MO_OS_EuropeUnprovedpropertiesvaluation">Supplemental!$171:$171</definedName>
    <definedName name="z_Z99BO00122_MO_OS_EuropeUnprovedpropertiesvaluation_1">Supplemental!$286:$286</definedName>
    <definedName name="z_Z99BO00122_MO_OS_EuropeWells">Supplemental!$62:$62</definedName>
    <definedName name="z_Z99BO00122_MO_OS_fueloilproduction">Model!$307:$307</definedName>
    <definedName name="z_Z99BO00122_MO_OS_fueloilproduction_1">Model!$314:$314</definedName>
    <definedName name="z_Z99BO00122_MO_OS_fueloilproduction_2">Model!$321:$321</definedName>
    <definedName name="z_Z99BO00122_MO_OS_gasoilandkerosenesales">Model!$348:$348</definedName>
    <definedName name="z_Z99BO00122_MO_OS_gasoilandkerosenesales_1">Model!$355:$355</definedName>
    <definedName name="z_Z99BO00122_MO_OS_gasoilproduction">Model!$305:$305</definedName>
    <definedName name="z_Z99BO00122_MO_OS_gasoilproduction_1">Model!$312:$312</definedName>
    <definedName name="z_Z99BO00122_MO_OS_gasoilproduction_2">Model!$319:$319</definedName>
    <definedName name="z_Z99BO00122_MO_OS_gasolineproduction">Model!$304:$304</definedName>
    <definedName name="z_Z99BO00122_MO_OS_gasolineproduction_1">Model!$311:$311</definedName>
    <definedName name="z_Z99BO00122_MO_OS_gasolineproduction_2">Model!$318:$318</definedName>
    <definedName name="z_Z99BO00122_MO_OS_gasolinesales">Model!$346:$346</definedName>
    <definedName name="z_Z99BO00122_MO_OS_gasolinesales_1">Model!$353:$353</definedName>
    <definedName name="z_Z99BO00122_MO_OS_Guyana">Model!$24:$24</definedName>
    <definedName name="z_Z99BO00122_MO_OS_Guyana_1">Model!$39:$39</definedName>
    <definedName name="z_Z99BO00122_MO_OS_impliedinternationalrevenuesfromsalesofliquidsandgas">Model!$84:$84</definedName>
    <definedName name="z_Z99BO00122_MO_OS_impliedusrevenuesfromsalesofliquidsandgas">Model!$83:$83</definedName>
    <definedName name="z_Z99BO00122_MO_OS_indonesia">Model!$26:$26</definedName>
    <definedName name="z_Z99BO00122_MO_OS_indonesia_1">Model!$41:$41</definedName>
    <definedName name="z_Z99BO00122_MO_OS_InternationalDownstreamAdjustedEarnings">Model!$246:$246</definedName>
    <definedName name="z_Z99BO00122_MO_OS_internationaldownstreamearnings">Model!$242:$242</definedName>
    <definedName name="z_Z99BO00122_MO_OS_internationaldownstreamgasolinesales">Model!$187:$187</definedName>
    <definedName name="z_Z99BO00122_MO_OS_internationaldownstreamgasolinesales_1">Model!$197:$197</definedName>
    <definedName name="z_Z99BO00122_MO_OS_internationaldownstreamgasolineyield">Model!$192:$192</definedName>
    <definedName name="z_Z99BO00122_MO_OS_Internationaldownstreamotherrefinedproductsales">Model!$188:$188</definedName>
    <definedName name="z_Z99BO00122_MO_OS_Internationaldownstreamotherrefinedproductsales_1">Model!$198:$198</definedName>
    <definedName name="z_Z99BO00122_MO_OS_Internationaldownstreamotherrefinedproductsyield">Model!$193:$193</definedName>
    <definedName name="z_Z99BO00122_MO_OS_internationaldownstreamproductsales">Model!$201:$201</definedName>
    <definedName name="z_Z99BO00122_MO_OS_internationaldownstreamrevenuegrossofeliminationsandincludingexciseandsimilartaxes">Model!$232:$232</definedName>
    <definedName name="z_Z99BO00122_MO_OS_internationaldownstreamrevenueperbarrelofrefinedproductsold">Model!$239:$239</definedName>
    <definedName name="z_Z99BO00122_MO_OS_internationaldownstreamsalesofnaturalgasliquids">Model!$195:$195</definedName>
    <definedName name="z_Z99BO00122_MO_OS_internationaldownstreamsalesofnaturalgasliquids_1">Model!$200:$200</definedName>
    <definedName name="z_Z99BO00122_MO_OS_internationaldownstreamshareofaffiliatesales">Model!$189:$189</definedName>
    <definedName name="z_Z99BO00122_MO_OS_internationaldownstreamshareofaffiliatesales_1">Model!$199:$199</definedName>
    <definedName name="z_Z99BO00122_MO_OS_internationaldownstreamtotalrefinedproductsales">Model!$190:$190</definedName>
    <definedName name="z_Z99BO00122_MO_OS_InternationalFueloilproduction">Model!$335:$335</definedName>
    <definedName name="z_Z99BO00122_MO_OS_InternationalGasOilandKerosenesales">Model!$376:$376</definedName>
    <definedName name="z_Z99BO00122_MO_OS_InternationalGasoilproduction">Model!$333:$333</definedName>
    <definedName name="z_Z99BO00122_MO_OS_InternationalGasolineproduction">Model!$332:$332</definedName>
    <definedName name="z_Z99BO00122_MO_OS_InternationalGasolinesales">Model!$374:$374</definedName>
    <definedName name="z_Z99BO00122_MO_OS_internationalintersegmenteliminations">Model!$94:$94</definedName>
    <definedName name="z_Z99BO00122_MO_OS_internationalintersegmenteliminations_1">Model!$235:$235</definedName>
    <definedName name="z_Z99BO00122_MO_OS_InternationalJetfuelproduction">Model!$334:$334</definedName>
    <definedName name="z_Z99BO00122_MO_OS_InternationalJetFuelsales">Model!$375:$375</definedName>
    <definedName name="z_Z99BO00122_MO_OS_internationalliquids">Model!$57:$57</definedName>
    <definedName name="z_Z99BO00122_MO_OS_internationalnaturalgas">Model!$60:$60</definedName>
    <definedName name="z_Z99BO00122_MO_OS_internationalnaturalgassoldbutnotproduced">Model!$76:$76</definedName>
    <definedName name="z_Z99BO00122_MO_OS_internationalnetliquidsproduction">Model!$32:$32</definedName>
    <definedName name="z_Z99BO00122_MO_OS_internationalnetnaturalgasproduction">Model!$50:$50</definedName>
    <definedName name="z_Z99BO00122_MO_OS_InternationalOtherPetroleumProductssales">Model!$378:$378</definedName>
    <definedName name="z_Z99BO00122_MO_OS_InternationalOtherproduction">Model!$336:$336</definedName>
    <definedName name="z_Z99BO00122_MO_OS_internationalrefineryinput">Model!$185:$185</definedName>
    <definedName name="z_Z99BO00122_MO_OS_InternationalResidualFuelOilsales">Model!$377:$377</definedName>
    <definedName name="z_Z99BO00122_MO_OS_internationalsalesofnaturalgas">Model!$71:$71</definedName>
    <definedName name="z_Z99BO00122_MO_OS_internationalsalesofnaturalgas_1">Model!$78:$78</definedName>
    <definedName name="z_Z99BO00122_MO_OS_intersegmenteliminationinternationalrevenues">Model!$254:$254</definedName>
    <definedName name="z_Z99BO00122_MO_OS_intersegmenteliminationusrevenues">Model!$253:$253</definedName>
    <definedName name="z_Z99BO00122_MO_OS_Israel">Model!$42:$42</definedName>
    <definedName name="z_Z99BO00122_MO_OS_jetfuelproduction">Model!$306:$306</definedName>
    <definedName name="z_Z99BO00122_MO_OS_jetfuelproduction_1">Model!$313:$313</definedName>
    <definedName name="z_Z99BO00122_MO_OS_jetfuelproduction_2">Model!$320:$320</definedName>
    <definedName name="z_Z99BO00122_MO_OS_jetfuelsales">Model!$347:$347</definedName>
    <definedName name="z_Z99BO00122_MO_OS_jetfuelsales_1">Model!$354:$354</definedName>
    <definedName name="z_Z99BO00122_MO_OS_kapoleihawaiicrudethroughput">Model!$280:$280</definedName>
    <definedName name="z_Z99BO00122_MO_OS_kazakhstaneurasia">Model!$27:$27</definedName>
    <definedName name="z_Z99BO00122_MO_OS_kazakhstaneurasia_1">Model!$43:$43</definedName>
    <definedName name="z_Z99BO00122_MO_OS_Liquids">Model!$34:$34</definedName>
    <definedName name="z_Z99BO00122_MO_OS_Liquids_1">Model!$58:$58</definedName>
    <definedName name="z_Z99BO00122_MO_OS_Liquids_2">Model!$63:$63</definedName>
    <definedName name="z_Z99BO00122_MO_OS_marketingmarginasiapacific">Model!$228:$228</definedName>
    <definedName name="z_Z99BO00122_MO_OS_marketingmarginuseasthoustonmogasracktospot">Model!$227:$227</definedName>
    <definedName name="z_Z99BO00122_MO_OS_marketingmarginuswestweighteddtwtospot">Model!$226:$226</definedName>
    <definedName name="z_Z99BO00122_MO_OS_martiniquefortdefrance115crudethroughput">Model!$294:$294</definedName>
    <definedName name="z_Z99BO00122_MO_OS_myanmar">Model!$44:$44</definedName>
    <definedName name="z_Z99BO00122_MO_OS_Naturalgas">Model!$52:$52</definedName>
    <definedName name="z_Z99BO00122_MO_OS_Naturalgas_1">Model!$61:$61</definedName>
    <definedName name="z_Z99BO00122_MO_OS_naturalgassales">Model!$73:$73</definedName>
    <definedName name="z_Z99BO00122_MO_OS_newzealandwhangarei116crudethroughput">Model!$295:$295</definedName>
    <definedName name="z_Z99BO00122_MO_OS_nigeria">Model!$29:$29</definedName>
    <definedName name="z_Z99BO00122_MO_OS_nigeria_1">Model!$45:$45</definedName>
    <definedName name="z_Z99BO00122_MO_OS_Other">Model!$31:$31</definedName>
    <definedName name="z_Z99BO00122_MO_OS_Other_1">Model!$49:$49</definedName>
    <definedName name="z_Z99BO00122_MO_OS_Other_2">Model!$271:$271</definedName>
    <definedName name="z_Z99BO00122_MO_OS_Other10percentmidyearannualdiscountfortimingofestimatedcashflows">Supplemental!$809:$809</definedName>
    <definedName name="z_Z99BO00122_MO_OS_OtherAccretionexpense">Supplemental!$325:$325</definedName>
    <definedName name="z_Z99BO00122_MO_OS_OtherAccumulatedprovisions">Supplemental!$209:$209</definedName>
    <definedName name="z_Z99BO00122_MO_OS_OtherAmericas10percentmidyearannualdiscountfortimingofestimatedcashflows">Supplemental!$758:$758</definedName>
    <definedName name="z_Z99BO00122_MO_OS_OtherAmericasAccretionexpense">Supplemental!$232:$232</definedName>
    <definedName name="z_Z99BO00122_MO_OS_OtherAmericasAccumulatedprovisions">Supplemental!$130:$130</definedName>
    <definedName name="z_Z99BO00122_MO_OS_OtherAmericasAverageproductioncosts">Supplemental!$342:$342</definedName>
    <definedName name="z_Z99BO00122_MO_OS_OtherAmericasCrudeaveragesalesprice">Supplemental!$339:$339</definedName>
    <definedName name="z_Z99BO00122_MO_OS_OtherAmericasCrudeOilCondensateandSyntheticOilBoPReserves">Supplemental!$485:$485</definedName>
    <definedName name="z_Z99BO00122_MO_OS_OtherAmericasCrudeOilCondensateandSyntheticOilEoPReserves">Supplemental!$492:$492</definedName>
    <definedName name="z_Z99BO00122_MO_OS_OtherAmericasCrudeOilCondensateandSyntheticOilExtensionsanddiscoveries">Supplemental!$488:$488</definedName>
    <definedName name="z_Z99BO00122_MO_OS_OtherAmericasCrudeOilCondensateandSyntheticOilImprovedrecovery">Supplemental!$487:$487</definedName>
    <definedName name="z_Z99BO00122_MO_OS_OtherAmericasCrudeOilCondensateandSyntheticOilProduction">Supplemental!$491:$491</definedName>
    <definedName name="z_Z99BO00122_MO_OS_OtherAmericasCrudeOilCondensateandSyntheticOilPurchases">Supplemental!$489:$489</definedName>
    <definedName name="z_Z99BO00122_MO_OS_OtherAmericasCrudeOilCondensateandSyntheticOilRevisions">Supplemental!$486:$486</definedName>
    <definedName name="z_Z99BO00122_MO_OS_OtherAmericasCrudeOilCondensateandSyntheticOilSales">Supplemental!$490:$490</definedName>
    <definedName name="z_Z99BO00122_MO_OS_OtherAmericasCrudeOilCondensateProvedDevelopedReserves">Supplemental!$381:$381</definedName>
    <definedName name="z_Z99BO00122_MO_OS_OtherAmericasCrudeOilCondensateProvedUndevelopedReserves">Supplemental!$392:$392</definedName>
    <definedName name="z_Z99BO00122_MO_OS_OtherAmericasDeferredexploratorywells">Supplemental!$124:$124</definedName>
    <definedName name="z_Z99BO00122_MO_OS_OtherAmericasDepreciationanddepletion">Supplemental!$231:$231</definedName>
    <definedName name="z_Z99BO00122_MO_OS_OtherAmericasDevelopment">Supplemental!$27:$27</definedName>
    <definedName name="z_Z99BO00122_MO_OS_OtherAmericasExplorationexpenses">Supplemental!$233:$233</definedName>
    <definedName name="z_Z99BO00122_MO_OS_OtherAmericasFuturecashinflowsfromproduction">Supplemental!$753:$753</definedName>
    <definedName name="z_Z99BO00122_MO_OS_OtherAmericasFuturedevelopmentcosts">Supplemental!$755:$755</definedName>
    <definedName name="z_Z99BO00122_MO_OS_OtherAmericasFutureincometaxes">Supplemental!$756:$756</definedName>
    <definedName name="z_Z99BO00122_MO_OS_OtherAmericasFutureproductioncosts">Supplemental!$754:$754</definedName>
    <definedName name="z_Z99BO00122_MO_OS_OtherAmericasGeologicalandgeophysical">Supplemental!$19:$19</definedName>
    <definedName name="z_Z99BO00122_MO_OS_OtherAmericasGrossCapitalizedCosts">Supplemental!$126:$126</definedName>
    <definedName name="z_Z99BO00122_MO_OS_OtherAmericasGrossGasWells">Model!$150:$150</definedName>
    <definedName name="z_Z99BO00122_MO_OS_OtherAmericasGrossOilWells">Model!$134:$134</definedName>
    <definedName name="z_Z99BO00122_MO_OS_OtherAmericasIncometaxexpensebenefit">Supplemental!$237:$237</definedName>
    <definedName name="z_Z99BO00122_MO_OS_OtherAmericasNaturalgasaveragesalesprice">Supplemental!$341:$341</definedName>
    <definedName name="z_Z99BO00122_MO_OS_OtherAmericasNaturalGasBoPReserves">Supplemental!$669:$669</definedName>
    <definedName name="z_Z99BO00122_MO_OS_OtherAmericasNaturalGasEoPReserves">Supplemental!$676:$676</definedName>
    <definedName name="z_Z99BO00122_MO_OS_OtherAmericasNaturalGasExtensionsanddiscoveries">Supplemental!$672:$672</definedName>
    <definedName name="z_Z99BO00122_MO_OS_OtherAmericasNaturalGasImprovedrecovery">Supplemental!$671:$671</definedName>
    <definedName name="z_Z99BO00122_MO_OS_OtherAmericasNaturalgasliquidsaveragesalesprice">Supplemental!$340:$340</definedName>
    <definedName name="z_Z99BO00122_MO_OS_OtherAmericasNaturalGasProduction">Supplemental!$675:$675</definedName>
    <definedName name="z_Z99BO00122_MO_OS_OtherAmericasNaturalGasProvedDevelopedReserves">Supplemental!$453:$453</definedName>
    <definedName name="z_Z99BO00122_MO_OS_OtherAmericasNaturalGasProvedUndevelopedReserves">Supplemental!$464:$464</definedName>
    <definedName name="z_Z99BO00122_MO_OS_OtherAmericasNaturalGasPurchases">Supplemental!$673:$673</definedName>
    <definedName name="z_Z99BO00122_MO_OS_OtherAmericasNaturalGasRevisions">Supplemental!$670:$670</definedName>
    <definedName name="z_Z99BO00122_MO_OS_OtherAmericasNaturalGasSales">Supplemental!$674:$674</definedName>
    <definedName name="z_Z99BO00122_MO_OS_OtherAmericasNetCapitalizedCosts">Supplemental!$131:$131</definedName>
    <definedName name="z_Z99BO00122_MO_OS_OtherAmericasNetGasWells">Model!$158:$158</definedName>
    <definedName name="z_Z99BO00122_MO_OS_OtherAmericasNetOilWells">Model!$142:$142</definedName>
    <definedName name="z_Z99BO00122_MO_OS_OtherAmericasNGLBoPReserves">Supplemental!$585:$585</definedName>
    <definedName name="z_Z99BO00122_MO_OS_OtherAmericasNGLBoPReserves_1">Supplemental!$593:$593</definedName>
    <definedName name="z_Z99BO00122_MO_OS_OtherAmericasNGLEoPReserves">Supplemental!$592:$592</definedName>
    <definedName name="z_Z99BO00122_MO_OS_OtherAmericasNGLEoPReserves_1">Supplemental!$600:$600</definedName>
    <definedName name="z_Z99BO00122_MO_OS_OtherAmericasNGLExtensionsanddiscoveries">Supplemental!$588:$588</definedName>
    <definedName name="z_Z99BO00122_MO_OS_OtherAmericasNGLExtensionsanddiscoveries_1">Supplemental!$596:$596</definedName>
    <definedName name="z_Z99BO00122_MO_OS_OtherAmericasNGLImprovedrecovery">Supplemental!$587:$587</definedName>
    <definedName name="z_Z99BO00122_MO_OS_OtherAmericasNGLImprovedrecovery_1">Supplemental!$595:$595</definedName>
    <definedName name="z_Z99BO00122_MO_OS_OtherAmericasNGLProduction">Supplemental!$591:$591</definedName>
    <definedName name="z_Z99BO00122_MO_OS_OtherAmericasNGLProduction_1">Supplemental!$599:$599</definedName>
    <definedName name="z_Z99BO00122_MO_OS_OtherAmericasNGLProvedDevelopedReserves">Supplemental!$429:$429</definedName>
    <definedName name="z_Z99BO00122_MO_OS_OtherAmericasNGLProvedUndevelopedReserves">Supplemental!$440:$440</definedName>
    <definedName name="z_Z99BO00122_MO_OS_OtherAmericasNGLPurchases">Supplemental!$589:$589</definedName>
    <definedName name="z_Z99BO00122_MO_OS_OtherAmericasNGLPurchases_1">Supplemental!$597:$597</definedName>
    <definedName name="z_Z99BO00122_MO_OS_OtherAmericasNGLRevisions">Supplemental!$586:$586</definedName>
    <definedName name="z_Z99BO00122_MO_OS_OtherAmericasNGLRevisions_1">Supplemental!$594:$594</definedName>
    <definedName name="z_Z99BO00122_MO_OS_OtherAmericasNGLSales">Supplemental!$590:$590</definedName>
    <definedName name="z_Z99BO00122_MO_OS_OtherAmericasNGLSales_1">Supplemental!$598:$598</definedName>
    <definedName name="z_Z99BO00122_MO_OS_OtherAmericasOther">Supplemental!$20:$20</definedName>
    <definedName name="z_Z99BO00122_MO_OS_OtherAmericasOtherincomeloss">Supplemental!$235:$235</definedName>
    <definedName name="z_Z99BO00122_MO_OS_OtherAmericasOtheruncompletedprojects">Supplemental!$125:$125</definedName>
    <definedName name="z_Z99BO00122_MO_OS_OtherAmericasProductionexpensesexcludingtaxes">Supplemental!$229:$229</definedName>
    <definedName name="z_Z99BO00122_MO_OS_OtherAmericasProvedNoble">Supplemental!$22:$22</definedName>
    <definedName name="z_Z99BO00122_MO_OS_OtherAmericasProvedOther">Supplemental!$23:$23</definedName>
    <definedName name="z_Z99BO00122_MO_OS_OtherAmericasProvedproducingpropertiesDepreciationanddepletion">Supplemental!$128:$128</definedName>
    <definedName name="z_Z99BO00122_MO_OS_OtherAmericasProvedpropertiesandrelatedproducingassets">Supplemental!$122:$122</definedName>
    <definedName name="z_Z99BO00122_MO_OS_OtherAmericasResultsbeforeincometaxes">Supplemental!$236:$236</definedName>
    <definedName name="z_Z99BO00122_MO_OS_OtherAmericasResultsofProducingOperations">Supplemental!$238:$238</definedName>
    <definedName name="z_Z99BO00122_MO_OS_OtherAmericasSalesrevenuesfromnetproduction">Supplemental!$226:$226</definedName>
    <definedName name="z_Z99BO00122_MO_OS_OtherAmericasStandardizedMeasureNetCashFlows">Supplemental!$759:$759</definedName>
    <definedName name="z_Z99BO00122_MO_OS_OtherAmericasSupportequipment">Supplemental!$123:$123</definedName>
    <definedName name="z_Z99BO00122_MO_OS_OtherAmericasSupportequipmentdepreciation">Supplemental!$129:$129</definedName>
    <definedName name="z_Z99BO00122_MO_OS_OtherAmericasSyntheticOilProvedDevelopedReserves">Supplemental!$405:$405</definedName>
    <definedName name="z_Z99BO00122_MO_OS_OtherAmericasSyntheticOilProvedUndevelopedReserves">Supplemental!$416:$416</definedName>
    <definedName name="z_Z99BO00122_MO_OS_OtherAmericasTaxesotherthanonincome">Supplemental!$230:$230</definedName>
    <definedName name="z_Z99BO00122_MO_OS_OtherAmericasTotalCostsIncurred">Supplemental!$28:$28</definedName>
    <definedName name="z_Z99BO00122_MO_OS_OtherAmericasTotalexploration">Supplemental!$21:$21</definedName>
    <definedName name="z_Z99BO00122_MO_OS_OtherAmericasTotalpropertyacquisitions">Supplemental!$26:$26</definedName>
    <definedName name="z_Z99BO00122_MO_OS_OtherAmericasTotalRevenuesfromnetproduction">Supplemental!$228:$228</definedName>
    <definedName name="z_Z99BO00122_MO_OS_OtherAmericasTransfersrevenuesfromnetproduction">Supplemental!$227:$227</definedName>
    <definedName name="z_Z99BO00122_MO_OS_OtherAmericasUndiscountedfuturenetcashflows">Supplemental!$757:$757</definedName>
    <definedName name="z_Z99BO00122_MO_OS_OtherAmericasUnprovedNoble">Supplemental!$24:$24</definedName>
    <definedName name="z_Z99BO00122_MO_OS_OtherAmericasUnprovedOther">Supplemental!$25:$25</definedName>
    <definedName name="z_Z99BO00122_MO_OS_OtherAmericasUnprovedproperties">Supplemental!$121:$121</definedName>
    <definedName name="z_Z99BO00122_MO_OS_OtherAmericasUnprovedpropertiesvaluation">Supplemental!$127:$127</definedName>
    <definedName name="z_Z99BO00122_MO_OS_OtherAmericasUnprovedpropertiesvaluation_1">Supplemental!$234:$234</definedName>
    <definedName name="z_Z99BO00122_MO_OS_OtherAmericasWells">Supplemental!$18:$18</definedName>
    <definedName name="z_Z99BO00122_MO_OS_OtherAverageproductioncosts">Supplemental!$377:$377</definedName>
    <definedName name="z_Z99BO00122_MO_OS_OtherCrudeaveragesalesprice">Supplemental!$374:$374</definedName>
    <definedName name="z_Z99BO00122_MO_OS_OtherCrudeOilCondensateandSyntheticOilBoPReservesMMbbl">Supplemental!$558:$558</definedName>
    <definedName name="z_Z99BO00122_MO_OS_OtherCrudeOilCondensateandSyntheticOilEoPReserves">Supplemental!$565:$565</definedName>
    <definedName name="z_Z99BO00122_MO_OS_OtherCrudeOilCondensateandSyntheticOilExtensionsanddiscoveries">Supplemental!$561:$561</definedName>
    <definedName name="z_Z99BO00122_MO_OS_OtherCrudeOilCondensateandSyntheticOilImprovedrecovery">Supplemental!$560:$560</definedName>
    <definedName name="z_Z99BO00122_MO_OS_OtherCrudeOilCondensateandSyntheticOilProduction">Supplemental!$564:$564</definedName>
    <definedName name="z_Z99BO00122_MO_OS_OtherCrudeOilCondensateandSyntheticOilPurchases">Supplemental!$562:$562</definedName>
    <definedName name="z_Z99BO00122_MO_OS_OtherCrudeOilCondensateandSyntheticOilRevisions">Supplemental!$559:$559</definedName>
    <definedName name="z_Z99BO00122_MO_OS_OtherCrudeOilCondensateandSyntheticOilSales">Supplemental!$563:$563</definedName>
    <definedName name="z_Z99BO00122_MO_OS_OtherCrudeOilCondensateProvedDevelopedReserves">Supplemental!$388:$388</definedName>
    <definedName name="z_Z99BO00122_MO_OS_OtherCrudeOilCondensateProvedUndevelopedReserves">Supplemental!$399:$399</definedName>
    <definedName name="z_Z99BO00122_MO_OS_OtherDeferredexploratorywells">Supplemental!$203:$203</definedName>
    <definedName name="z_Z99BO00122_MO_OS_OtherDepreciationanddepletion">Supplemental!$324:$324</definedName>
    <definedName name="z_Z99BO00122_MO_OS_OtherDevelopment">Supplemental!$106:$106</definedName>
    <definedName name="z_Z99BO00122_MO_OS_Otherearnings">Model!$14:$14</definedName>
    <definedName name="z_Z99BO00122_MO_OS_OtherExplorationexpenses">Supplemental!$326:$326</definedName>
    <definedName name="z_Z99BO00122_MO_OS_OtherFuturecashinflowsfromproduction">Supplemental!$804:$804</definedName>
    <definedName name="z_Z99BO00122_MO_OS_OtherFuturedevelopmentcosts">Supplemental!$806:$806</definedName>
    <definedName name="z_Z99BO00122_MO_OS_OtherFutureincometaxes">Supplemental!$807:$807</definedName>
    <definedName name="z_Z99BO00122_MO_OS_OtherFutureproductioncosts">Supplemental!$805:$805</definedName>
    <definedName name="z_Z99BO00122_MO_OS_OtherGeologicalandgeophysical">Supplemental!$98:$98</definedName>
    <definedName name="z_Z99BO00122_MO_OS_OtherGrossCapitalizedCosts">Supplemental!$205:$205</definedName>
    <definedName name="z_Z99BO00122_MO_OS_OtherIncometaxexpensebenefit">Supplemental!$330:$330</definedName>
    <definedName name="z_Z99BO00122_MO_OS_OtherNaturalgasaveragesalesprice">Supplemental!$376:$376</definedName>
    <definedName name="z_Z99BO00122_MO_OS_OtherNaturalGasBoPReserves">Supplemental!$727:$727</definedName>
    <definedName name="z_Z99BO00122_MO_OS_OtherNaturalGasEoPReserves">Supplemental!$734:$734</definedName>
    <definedName name="z_Z99BO00122_MO_OS_OtherNaturalGasExtensionsanddiscoveries">Supplemental!$730:$730</definedName>
    <definedName name="z_Z99BO00122_MO_OS_OtherNaturalGasImprovedrecovery">Supplemental!$729:$729</definedName>
    <definedName name="z_Z99BO00122_MO_OS_OtherNaturalgasliquidsaveragesalesprice">Supplemental!$375:$375</definedName>
    <definedName name="z_Z99BO00122_MO_OS_OtherNaturalGasProduction">Supplemental!$733:$733</definedName>
    <definedName name="z_Z99BO00122_MO_OS_OtherNaturalGasProvedDevelopedReserves">Supplemental!$460:$460</definedName>
    <definedName name="z_Z99BO00122_MO_OS_OtherNaturalGasProvedUndevelopedReserves">Supplemental!$471:$471</definedName>
    <definedName name="z_Z99BO00122_MO_OS_OtherNaturalGasPurchases">Supplemental!$731:$731</definedName>
    <definedName name="z_Z99BO00122_MO_OS_OtherNaturalGasRevisions">Supplemental!$728:$728</definedName>
    <definedName name="z_Z99BO00122_MO_OS_OtherNaturalGasSales">Supplemental!$732:$732</definedName>
    <definedName name="z_Z99BO00122_MO_OS_OtherNetCapitalizedCosts">Supplemental!$210:$210</definedName>
    <definedName name="z_Z99BO00122_MO_OS_OtherNGLBoPReserves">Supplemental!$642:$642</definedName>
    <definedName name="z_Z99BO00122_MO_OS_OtherNGLEoPReserves">Supplemental!$649:$649</definedName>
    <definedName name="z_Z99BO00122_MO_OS_OtherNGLExtensionsanddiscoveries">Supplemental!$645:$645</definedName>
    <definedName name="z_Z99BO00122_MO_OS_OtherNGLImprovedrecovery">Supplemental!$644:$644</definedName>
    <definedName name="z_Z99BO00122_MO_OS_OtherNGLProduction">Supplemental!$648:$648</definedName>
    <definedName name="z_Z99BO00122_MO_OS_OtherNGLProvedDevelopedReserves">Supplemental!$436:$436</definedName>
    <definedName name="z_Z99BO00122_MO_OS_OtherNGLProvedUndevelopedReserves">Supplemental!$447:$447</definedName>
    <definedName name="z_Z99BO00122_MO_OS_OtherNGLPurchases">Supplemental!$646:$646</definedName>
    <definedName name="z_Z99BO00122_MO_OS_OtherNGLRevisions">Supplemental!$643:$643</definedName>
    <definedName name="z_Z99BO00122_MO_OS_OtherNGLSales">Supplemental!$647:$647</definedName>
    <definedName name="z_Z99BO00122_MO_OS_OtherOther">Supplemental!$99:$99</definedName>
    <definedName name="z_Z99BO00122_MO_OS_OtherOtherincomeloss">Supplemental!$328:$328</definedName>
    <definedName name="z_Z99BO00122_MO_OS_OtherOtheruncompletedprojects">Supplemental!$204:$204</definedName>
    <definedName name="z_Z99BO00122_MO_OS_OtherPetroleumProductssales">Model!$350:$350</definedName>
    <definedName name="z_Z99BO00122_MO_OS_OtherPetroleumProductssales_1">Model!$357:$357</definedName>
    <definedName name="z_Z99BO00122_MO_OS_Otherproduction">Model!$308:$308</definedName>
    <definedName name="z_Z99BO00122_MO_OS_Otherproduction_1">Model!$315:$315</definedName>
    <definedName name="z_Z99BO00122_MO_OS_Otherproduction_2">Model!$322:$322</definedName>
    <definedName name="z_Z99BO00122_MO_OS_OtherProductionexpensesexcludingtaxes">Supplemental!$322:$322</definedName>
    <definedName name="z_Z99BO00122_MO_OS_Company2024">Supplemental!$101:$101</definedName>
    <definedName name="z_Z99BO00122_MO_OS_OtherProvedOther">Supplemental!$102:$102</definedName>
    <definedName name="z_Z99BO00122_MO_OS_OtherProvedproducingpropertiesDepreciationanddepletion">Supplemental!$207:$207</definedName>
    <definedName name="z_Z99BO00122_MO_OS_OtherProvedpropertiesandrelatedproducingassets">Supplemental!$201:$201</definedName>
    <definedName name="z_Z99BO00122_MO_OS_OtherResultsbeforeincometaxes">Supplemental!$329:$329</definedName>
    <definedName name="z_Z99BO00122_MO_OS_OtherResultsofProducingOperations">Supplemental!$331:$331</definedName>
    <definedName name="z_Z99BO00122_MO_OS_Otherrevenues">Model!$9:$9</definedName>
    <definedName name="z_Z99BO00122_MO_OS_OtherSalesrevenuesfromnetproduction">Supplemental!$319:$319</definedName>
    <definedName name="z_Z99BO00122_MO_OS_OtherStandardizedMeasureNetCashFlows">Supplemental!$810:$810</definedName>
    <definedName name="z_Z99BO00122_MO_OS_OtherSupportequipment">Supplemental!$202:$202</definedName>
    <definedName name="z_Z99BO00122_MO_OS_OtherSupportequipmentdepreciation">Supplemental!$208:$208</definedName>
    <definedName name="z_Z99BO00122_MO_OS_OtherSyntheticOilProvedDevelopedReserves">Supplemental!$412:$412</definedName>
    <definedName name="z_Z99BO00122_MO_OS_OtherSyntheticOilProvedUndevelopedReserves">Supplemental!$423:$423</definedName>
    <definedName name="z_Z99BO00122_MO_OS_OtherTaxesotherthanonincome">Supplemental!$323:$323</definedName>
    <definedName name="z_Z99BO00122_MO_OS_OtherTotalCostsIncurred">Supplemental!$107:$107</definedName>
    <definedName name="z_Z99BO00122_MO_OS_OtherTotalexploration">Supplemental!$100:$100</definedName>
    <definedName name="z_Z99BO00122_MO_OS_OtherTotalpropertyacquisitions">Supplemental!$105:$105</definedName>
    <definedName name="z_Z99BO00122_MO_OS_OtherTotalRevenuesfromnetproduction">Supplemental!$321:$321</definedName>
    <definedName name="z_Z99BO00122_MO_OS_OtherTransfersrevenuesfromnetproduction">Supplemental!$320:$320</definedName>
    <definedName name="z_Z99BO00122_MO_OS_OtherUndiscountedfuturenetcashflows">Supplemental!$808:$808</definedName>
    <definedName name="z_Z99BO00122_MO_OS_Company2025">Supplemental!$103:$103</definedName>
    <definedName name="z_Z99BO00122_MO_OS_OtherUnprovedOther">Supplemental!$104:$104</definedName>
    <definedName name="z_Z99BO00122_MO_OS_OtherUnprovedproperties">Supplemental!$200:$200</definedName>
    <definedName name="z_Z99BO00122_MO_OS_OtherUnprovedpropertiesvaluation">Supplemental!$206:$206</definedName>
    <definedName name="z_Z99BO00122_MO_OS_OtherUnprovedpropertiesvaluation_1">Supplemental!$327:$327</definedName>
    <definedName name="z_Z99BO00122_MO_OS_OtherWells">Supplemental!$97:$97</definedName>
    <definedName name="z_Z99BO00122_MO_OS_OverallUtilization">Model!$273:$273</definedName>
    <definedName name="z_Z99BO00122_MO_OS_pakistankarachi75crudethroughput">Model!$296:$296</definedName>
    <definedName name="z_Z99BO00122_MO_OS_partitionedzone">Model!$28:$28</definedName>
    <definedName name="z_Z99BO00122_MO_OS_PasadenaCaliforniacrudethroughput">Model!$279:$279</definedName>
    <definedName name="z_Z99BO00122_MO_OS_pascagoulamississippicrudethroughput">Model!$275:$275</definedName>
    <definedName name="z_Z99BO00122_MO_OS_perthamboycrudethroughput">Model!$281:$281</definedName>
    <definedName name="z_Z99BO00122_MO_OS_philippines">Model!$46:$46</definedName>
    <definedName name="z_Z99BO00122_MO_OS_ProductionGrowthPerShare">Model!$65:$65</definedName>
    <definedName name="z_Z99BO00122_MO_OS_QQbasicshareexpansionEoP">Model!$547:$547</definedName>
    <definedName name="z_Z99BO00122_MO_OS_QQbasicshareexpansionfromdilutivesecurities">Model!$543:$543</definedName>
    <definedName name="z_Z99BO00122_MO_OS_QQbasicshareexpansionfromshareissuancebuyback">Model!$545:$545</definedName>
    <definedName name="z_Z99BO00122_MO_OS_Product0339">Model!$130:$130</definedName>
    <definedName name="z_Z99BO00122_MO_OS_realizedinternationalgas">Model!$117:$117</definedName>
    <definedName name="z_Z99BO00122_MO_OS_realizedinternationalliquids">Model!$115:$115</definedName>
    <definedName name="z_Z99BO00122_MO_OS_realizedinternationalliquidstowti">Model!$127:$127</definedName>
    <definedName name="z_Z99BO00122_MO_OS_realizedinternationalnaturalgastohenryhub">Model!$129:$129</definedName>
    <definedName name="z_Z99BO00122_MO_OS_RealizedOil">Model!$118:$118</definedName>
    <definedName name="z_Z99BO00122_MO_OS_realizedusgas">Model!$116:$116</definedName>
    <definedName name="z_Z99BO00122_MO_OS_realizedusliquids">Model!$114:$114</definedName>
    <definedName name="z_Z99BO00122_MO_OS_realizedusliquidstowti">Model!$126:$126</definedName>
    <definedName name="z_Z99BO00122_MO_OS_realizedusnaturalgastohenryhub">Model!$128:$128</definedName>
    <definedName name="z_Z99BO00122_MO_OS_refiningmarginnweuropebrent3111">Model!$224:$224</definedName>
    <definedName name="z_Z99BO00122_MO_OS_refiningmarginsingaporedubai3111">Model!$223:$223</definedName>
    <definedName name="z_Z99BO00122_MO_OS_refiningmarginusgulfcoastmayamars532">Model!$222:$222</definedName>
    <definedName name="z_Z99BO00122_MO_OS_RefiningmarginUSWestCoastBlended532">Model!$221:$221</definedName>
    <definedName name="z_Z99BO00122_MO_OS_reportedinternationalupstreamrevenues">Model!$91:$91</definedName>
    <definedName name="z_Z99BO00122_MO_OS_reportedusupstreamrevenues">Model!$90:$90</definedName>
    <definedName name="z_Z99BO00122_MO_OS_residualfueloilsales">Model!$349:$349</definedName>
    <definedName name="z_Z99BO00122_MO_OS_residualfueloilsales_1">Model!$356:$356</definedName>
    <definedName name="z_Z99BO00122_MO_OS_richmondcaliforniacrudethroughput">Model!$277:$277</definedName>
    <definedName name="z_Z99BO00122_MO_OS_saltlakecityutahcrudethroughput">Model!$278:$278</definedName>
    <definedName name="z_Z99BO00122_MO_OS_singaporepulaumerlimau50crudethroughput">Model!$290:$290</definedName>
    <definedName name="z_Z99BO00122_MO_OS_southafricacapetowncrudethroughput">Model!$286:$286</definedName>
    <definedName name="z_Z99BO00122_MO_OS_southamerica">Model!$30:$30</definedName>
    <definedName name="z_Z99BO00122_MO_OS_southamerica_1">Model!$47:$47</definedName>
    <definedName name="z_Z99BO00122_MO_OS_southkoreayeosu50crudethroughput">Model!$291:$291</definedName>
    <definedName name="z_Z99BO00122_MO_OS_subtotaldownstreamrevenue">Model!$233:$233</definedName>
    <definedName name="z_Z99BO00122_MO_OS_subtotalupstreamrevenues">Model!$92:$92</definedName>
    <definedName name="z_Z99BO00122_MO_OS_SyntheticOilBoPReservesMMbbl">Supplemental!$525:$525</definedName>
    <definedName name="z_Z99BO00122_MO_OS_SyntheticOilBoPReservesMMbbl_1">Supplemental!$550:$550</definedName>
    <definedName name="z_Z99BO00122_MO_OS_SyntheticOilEoPReserves">Supplemental!$532:$532</definedName>
    <definedName name="z_Z99BO00122_MO_OS_SyntheticOilEoPReserves_1">Supplemental!$557:$557</definedName>
    <definedName name="z_Z99BO00122_MO_OS_SyntheticOilExtensionsanddiscoveries">Supplemental!$528:$528</definedName>
    <definedName name="z_Z99BO00122_MO_OS_SyntheticOilExtensionsanddiscoveries_1">Supplemental!$553:$553</definedName>
    <definedName name="z_Z99BO00122_MO_OS_SyntheticOilImprovedrecovery">Supplemental!$527:$527</definedName>
    <definedName name="z_Z99BO00122_MO_OS_SyntheticOilImprovedrecovery_1">Supplemental!$552:$552</definedName>
    <definedName name="z_Z99BO00122_MO_OS_SyntheticOilProduction">Supplemental!$531:$531</definedName>
    <definedName name="z_Z99BO00122_MO_OS_SyntheticOilProduction_1">Supplemental!$556:$556</definedName>
    <definedName name="z_Z99BO00122_MO_OS_SyntheticOilPurchases">Supplemental!$529:$529</definedName>
    <definedName name="z_Z99BO00122_MO_OS_SyntheticOilPurchases_1">Supplemental!$554:$554</definedName>
    <definedName name="z_Z99BO00122_MO_OS_SyntheticOilRevisions">Supplemental!$526:$526</definedName>
    <definedName name="z_Z99BO00122_MO_OS_SyntheticOilRevisions_1">Supplemental!$551:$551</definedName>
    <definedName name="z_Z99BO00122_MO_OS_SyntheticOilSales">Supplemental!$530:$530</definedName>
    <definedName name="z_Z99BO00122_MO_OS_SyntheticOilSales_1">Supplemental!$555:$555</definedName>
    <definedName name="z_Z99BO00122_MO_OS_TCO10percentmidyearannualdiscountfortimingofestimatedcashflows">Supplemental!$801:$801</definedName>
    <definedName name="z_Z99BO00122_MO_OS_TCOAccretionexpense">Supplemental!$311:$311</definedName>
    <definedName name="z_Z99BO00122_MO_OS_TCOAccumulatedprovisions">Supplemental!$197:$197</definedName>
    <definedName name="z_Z99BO00122_MO_OS_TCOAverageproductioncosts">Supplemental!$372:$372</definedName>
    <definedName name="z_Z99BO00122_MO_OS_TCOCrudeaveragesalesprice">Supplemental!$369:$369</definedName>
    <definedName name="z_Z99BO00122_MO_OS_TCOCrudeOilCondensateandSyntheticOilBoPReservesMMbbl">Supplemental!$542:$542</definedName>
    <definedName name="z_Z99BO00122_MO_OS_TCOCrudeOilCondensateandSyntheticOilEoPReserves">Supplemental!$549:$549</definedName>
    <definedName name="z_Z99BO00122_MO_OS_TCOCrudeOilCondensateandSyntheticOilExtensionsanddiscoveries">Supplemental!$545:$545</definedName>
    <definedName name="z_Z99BO00122_MO_OS_TCOCrudeOilCondensateandSyntheticOilImprovedrecovery">Supplemental!$544:$544</definedName>
    <definedName name="z_Z99BO00122_MO_OS_TCOCrudeOilCondensateandSyntheticOilProduction">Supplemental!$548:$548</definedName>
    <definedName name="z_Z99BO00122_MO_OS_TCOCrudeOilCondensateandSyntheticOilPurchases">Supplemental!$546:$546</definedName>
    <definedName name="z_Z99BO00122_MO_OS_TCOCrudeOilCondensateandSyntheticOilRevisions">Supplemental!$543:$543</definedName>
    <definedName name="z_Z99BO00122_MO_OS_TCOCrudeOilCondensateandSyntheticOilSales">Supplemental!$547:$547</definedName>
    <definedName name="z_Z99BO00122_MO_OS_TCOCrudeOilCondensateProvedDevelopedReserves">Supplemental!$387:$387</definedName>
    <definedName name="z_Z99BO00122_MO_OS_TCOCrudeOilCondensateProvedUndevelopedReserves">Supplemental!$398:$398</definedName>
    <definedName name="z_Z99BO00122_MO_OS_TCODeferredexploratorywells">Supplemental!$191:$191</definedName>
    <definedName name="z_Z99BO00122_MO_OS_TCODepreciationanddepletion">Supplemental!$310:$310</definedName>
    <definedName name="z_Z99BO00122_MO_OS_TCODevelopment">Supplemental!$94:$94</definedName>
    <definedName name="z_Z99BO00122_MO_OS_TCOExplorationexpenses">Supplemental!$312:$312</definedName>
    <definedName name="z_Z99BO00122_MO_OS_TCOFuturecashinflowsfromproduction">Supplemental!$796:$796</definedName>
    <definedName name="z_Z99BO00122_MO_OS_TCOFuturedevelopmentcosts">Supplemental!$798:$798</definedName>
    <definedName name="z_Z99BO00122_MO_OS_TCOFutureincometaxes">Supplemental!$799:$799</definedName>
    <definedName name="z_Z99BO00122_MO_OS_TCOFutureproductioncosts">Supplemental!$797:$797</definedName>
    <definedName name="z_Z99BO00122_MO_OS_TCOGeologicalandgeophysical">Supplemental!$86:$86</definedName>
    <definedName name="z_Z99BO00122_MO_OS_TCOGrossCapitalizedCosts">Supplemental!$193:$193</definedName>
    <definedName name="z_Z99BO00122_MO_OS_TCOIncometaxexpensebenefit">Supplemental!$316:$316</definedName>
    <definedName name="z_Z99BO00122_MO_OS_TCONaturalgasaveragesalesprice">Supplemental!$371:$371</definedName>
    <definedName name="z_Z99BO00122_MO_OS_TCONaturalGasBoPReserves">Supplemental!$718:$718</definedName>
    <definedName name="z_Z99BO00122_MO_OS_TCONaturalGasEoPReserves">Supplemental!$725:$725</definedName>
    <definedName name="z_Z99BO00122_MO_OS_TCONaturalGasExtensionsanddiscoveries">Supplemental!$721:$721</definedName>
    <definedName name="z_Z99BO00122_MO_OS_TCONaturalGasImprovedrecovery">Supplemental!$720:$720</definedName>
    <definedName name="z_Z99BO00122_MO_OS_TCONaturalgasliquidsaveragesalesprice">Supplemental!$370:$370</definedName>
    <definedName name="z_Z99BO00122_MO_OS_TCONaturalGasProduction">Supplemental!$724:$724</definedName>
    <definedName name="z_Z99BO00122_MO_OS_TCONaturalGasProvedDevelopedReserves">Supplemental!$459:$459</definedName>
    <definedName name="z_Z99BO00122_MO_OS_TCONaturalGasProvedUndevelopedReserves">Supplemental!$470:$470</definedName>
    <definedName name="z_Z99BO00122_MO_OS_TCONaturalGasPurchases">Supplemental!$722:$722</definedName>
    <definedName name="z_Z99BO00122_MO_OS_TCONaturalGasRevisions">Supplemental!$719:$719</definedName>
    <definedName name="z_Z99BO00122_MO_OS_TCONaturalGasSales">Supplemental!$723:$723</definedName>
    <definedName name="z_Z99BO00122_MO_OS_TCONetCapitalizedCosts">Supplemental!$198:$198</definedName>
    <definedName name="z_Z99BO00122_MO_OS_TCONGLBoPReserves">Supplemental!$634:$634</definedName>
    <definedName name="z_Z99BO00122_MO_OS_TCONGLEoPReserves">Supplemental!$641:$641</definedName>
    <definedName name="z_Z99BO00122_MO_OS_TCONGLExtensionsanddiscoveries">Supplemental!$637:$637</definedName>
    <definedName name="z_Z99BO00122_MO_OS_TCONGLImprovedrecovery">Supplemental!$636:$636</definedName>
    <definedName name="z_Z99BO00122_MO_OS_TCONGLProduction">Supplemental!$640:$640</definedName>
    <definedName name="z_Z99BO00122_MO_OS_TCONGLProvedDevelopedReserves">Supplemental!$435:$435</definedName>
    <definedName name="z_Z99BO00122_MO_OS_TCONGLProvedUndevelopedReserves">Supplemental!$446:$446</definedName>
    <definedName name="z_Z99BO00122_MO_OS_TCONGLPurchases">Supplemental!$638:$638</definedName>
    <definedName name="z_Z99BO00122_MO_OS_TCONGLRevisions">Supplemental!$635:$635</definedName>
    <definedName name="z_Z99BO00122_MO_OS_TCONGLSales">Supplemental!$639:$639</definedName>
    <definedName name="z_Z99BO00122_MO_OS_TCOOther">Supplemental!$87:$87</definedName>
    <definedName name="z_Z99BO00122_MO_OS_TCOOtherincomeloss">Supplemental!$314:$314</definedName>
    <definedName name="z_Z99BO00122_MO_OS_TCOOtheruncompletedprojects">Supplemental!$192:$192</definedName>
    <definedName name="z_Z99BO00122_MO_OS_TCOProductionexpensesexcludingtaxes">Supplemental!$308:$308</definedName>
    <definedName name="z_Z99BO00122_MO_OS_Company2625">Supplemental!$89:$89</definedName>
    <definedName name="z_Z99BO00122_MO_OS_TCOProvedOther">Supplemental!$90:$90</definedName>
    <definedName name="z_Z99BO00122_MO_OS_TCOProvedproducingpropertiesDepreciationanddepletion">Supplemental!$195:$195</definedName>
    <definedName name="z_Z99BO00122_MO_OS_TCOProvedpropertiesandrelatedproducingassets">Supplemental!$189:$189</definedName>
    <definedName name="z_Z99BO00122_MO_OS_TCOResultsbeforeincometaxes">Supplemental!$315:$315</definedName>
    <definedName name="z_Z99BO00122_MO_OS_TCOResultsofProducingOperations">Supplemental!$317:$317</definedName>
    <definedName name="z_Z99BO00122_MO_OS_TCOSalesrevenuesfromnetproduction">Supplemental!$305:$305</definedName>
    <definedName name="z_Z99BO00122_MO_OS_TCOStandardizedMeasureNetCashFlows">Supplemental!$802:$802</definedName>
    <definedName name="z_Z99BO00122_MO_OS_TCOSupportequipment">Supplemental!$190:$190</definedName>
    <definedName name="z_Z99BO00122_MO_OS_TCOSupportequipmentdepreciation">Supplemental!$196:$196</definedName>
    <definedName name="z_Z99BO00122_MO_OS_TCOSyntheticOilProvedDevelopedReserves">Supplemental!$411:$411</definedName>
    <definedName name="z_Z99BO00122_MO_OS_TCOSyntheticOilProvedUndevelopedReserves">Supplemental!$422:$422</definedName>
    <definedName name="z_Z99BO00122_MO_OS_TCOTaxesotherthanonincome">Supplemental!$309:$309</definedName>
    <definedName name="z_Z99BO00122_MO_OS_TCOTotalCostsIncurred">Supplemental!$95:$95</definedName>
    <definedName name="z_Z99BO00122_MO_OS_TCOTotalexploration">Supplemental!$88:$88</definedName>
    <definedName name="z_Z99BO00122_MO_OS_TCOTotalpropertyacquisitions">Supplemental!$93:$93</definedName>
    <definedName name="z_Z99BO00122_MO_OS_TCOTotalRevenuesfromnetproduction">Supplemental!$307:$307</definedName>
    <definedName name="z_Z99BO00122_MO_OS_TCOTransfersrevenuesfromnetproduction">Supplemental!$306:$306</definedName>
    <definedName name="z_Z99BO00122_MO_OS_TCOUndiscountedfuturenetcashflows">Supplemental!$800:$800</definedName>
    <definedName name="z_Z99BO00122_MO_OS_Company2626">Supplemental!$91:$91</definedName>
    <definedName name="z_Z99BO00122_MO_OS_TCOUnprovedOther">Supplemental!$92:$92</definedName>
    <definedName name="z_Z99BO00122_MO_OS_TCOUnprovedproperties">Supplemental!$188:$188</definedName>
    <definedName name="z_Z99BO00122_MO_OS_TCOUnprovedpropertiesvaluation">Supplemental!$194:$194</definedName>
    <definedName name="z_Z99BO00122_MO_OS_TCOUnprovedpropertiesvaluation_1">Supplemental!$313:$313</definedName>
    <definedName name="z_Z99BO00122_MO_OS_TCOWells">Supplemental!$85:$85</definedName>
    <definedName name="z_Z99BO00122_MO_OS_thailand">Model!$48:$48</definedName>
    <definedName name="z_Z99BO00122_MO_OS_thailandmaptaphut64interestcrudethroughput">Model!$297:$297</definedName>
    <definedName name="z_Z99BO00122_MO_OS_thailandmaptaphutcrudethroughput">Model!$284:$284</definedName>
    <definedName name="z_Z99BO00122_MO_OS_TotalAccretionexpense">Supplemental!$297:$297</definedName>
    <definedName name="z_Z99BO00122_MO_OS_TotalAccumulatedprovisions">Supplemental!$185:$185</definedName>
    <definedName name="z_Z99BO00122_MO_OS_TotalAffiliatedCompaniesCrudeOilCondensateProvedDevelopedReserves">Supplemental!$389:$389</definedName>
    <definedName name="z_Z99BO00122_MO_OS_TotalAffiliatedCompaniesCrudeOilCondensateProvedUndevelopedReserves">Supplemental!$400:$400</definedName>
    <definedName name="z_Z99BO00122_MO_OS_TotalAffiliatedCompaniesNaturalGasProvedDevelopedReserves">Supplemental!$461:$461</definedName>
    <definedName name="z_Z99BO00122_MO_OS_TotalAffiliatedCompaniesNaturalGasProvedUndevelopedReserves">Supplemental!$472:$472</definedName>
    <definedName name="z_Z99BO00122_MO_OS_TotalAffiliatedCompaniesNGLProvedDevelopedReserves">Supplemental!$437:$437</definedName>
    <definedName name="z_Z99BO00122_MO_OS_TotalAffiliatedCompaniesNGLProvedUndevelopedReserves">Supplemental!$448:$448</definedName>
    <definedName name="z_Z99BO00122_MO_OS_TotalAffiliatedCompaniesSyntheticOilProvedDevelopedReserves">Supplemental!$413:$413</definedName>
    <definedName name="z_Z99BO00122_MO_OS_TotalAffiliatedCompaniesSyntheticOilProvedUndevelopedReserves">Supplemental!$424:$424</definedName>
    <definedName name="z_Z99BO00122_MO_OS_Totalallotherrevenues">Model!$255:$255</definedName>
    <definedName name="z_Z99BO00122_MO_OS_Totalaveragedailyproductionvolumes">Model!$53:$53</definedName>
    <definedName name="z_Z99BO00122_MO_OS_TotalAverageproductioncosts">Supplemental!$367:$367</definedName>
    <definedName name="z_Z99BO00122_MO_OS_TotalConsolidatedandAffiliatedCompanies10percentmidyearannualdiscountfortimingofestimatedcashflows">Supplemental!$817:$817</definedName>
    <definedName name="z_Z99BO00122_MO_OS_TotalConsolidatedandAffiliatedCompaniesAccretionofdiscount">Supplemental!$855:$855</definedName>
    <definedName name="z_Z99BO00122_MO_OS_TotalConsolidatedandAffiliatedCompaniesBoPPresentValue">Supplemental!$847:$847</definedName>
    <definedName name="z_Z99BO00122_MO_OS_TotalConsolidatedandAffiliatedCompaniesCrudeOilCondensateandSyntheticOilBoPReservesMMbbl">Supplemental!$567:$567</definedName>
    <definedName name="z_Z99BO00122_MO_OS_TotalConsolidatedandAffiliatedCompaniesCrudeOilCondensateandSyntheticOilEoPReserves">Supplemental!$574:$574</definedName>
    <definedName name="z_Z99BO00122_MO_OS_TotalConsolidatedandAffiliatedCompaniesCrudeOilCondensateandSyntheticOilExtensionsanddiscoveries">Supplemental!$570:$570</definedName>
    <definedName name="z_Z99BO00122_MO_OS_TotalConsolidatedandAffiliatedCompaniesCrudeOilCondensateandSyntheticOilImprovedrecovery">Supplemental!$569:$569</definedName>
    <definedName name="z_Z99BO00122_MO_OS_TotalConsolidatedandAffiliatedCompaniesCrudeOilCondensateandSyntheticOilProduction">Supplemental!$573:$573</definedName>
    <definedName name="z_Z99BO00122_MO_OS_TotalConsolidatedandAffiliatedCompaniesCrudeOilCondensateandSyntheticOilPurchases">Supplemental!$571:$571</definedName>
    <definedName name="z_Z99BO00122_MO_OS_TotalConsolidatedandAffiliatedCompaniesCrudeOilCondensateandSyntheticOilRevisions">Supplemental!$568:$568</definedName>
    <definedName name="z_Z99BO00122_MO_OS_TotalConsolidatedandAffiliatedCompaniesCrudeOilCondensateandSyntheticOilSales">Supplemental!$572:$572</definedName>
    <definedName name="z_Z99BO00122_MO_OS_TotalConsolidatedandAffiliatedCompaniesCrudeOilCondensateProvedDevelopedReserves">Supplemental!$390:$390</definedName>
    <definedName name="z_Z99BO00122_MO_OS_TotalConsolidatedandAffiliatedCompaniesCrudeOilCondensateProvedUndevelopedReserves">Supplemental!$401:$401</definedName>
    <definedName name="z_Z99BO00122_MO_OS_TotalConsolidatedandAffiliatedCompaniesDevelopmentcostsincurred">Supplemental!$849:$849</definedName>
    <definedName name="z_Z99BO00122_MO_OS_TotalConsolidatedandAffiliatedCompaniesEoPPresentValue">Supplemental!$858:$858</definedName>
    <definedName name="z_Z99BO00122_MO_OS_TotalConsolidatedandAffiliatedCompaniesExtensionsdiscoveriesandimprovedrecoverylessrelatedcosts">Supplemental!$852:$852</definedName>
    <definedName name="z_Z99BO00122_MO_OS_TotalConsolidatedandAffiliatedCompaniesFuturecashinflowsfromproduction">Supplemental!$812:$812</definedName>
    <definedName name="z_Z99BO00122_MO_OS_TotalConsolidatedandAffiliatedCompaniesFuturedevelopmentcosts">Supplemental!$814:$814</definedName>
    <definedName name="z_Z99BO00122_MO_OS_TotalConsolidatedandAffiliatedCompaniesFutureincometaxes">Supplemental!$815:$815</definedName>
    <definedName name="z_Z99BO00122_MO_OS_TotalConsolidatedandAffiliatedCompaniesFutureproductioncosts">Supplemental!$813:$813</definedName>
    <definedName name="z_Z99BO00122_MO_OS_TotalConsolidatedandAffiliatedCompaniesNaturalGasBoPReserves">Supplemental!$736:$736</definedName>
    <definedName name="z_Z99BO00122_MO_OS_TotalConsolidatedandAffiliatedCompaniesNaturalGasEoPReserves">Supplemental!$743:$743</definedName>
    <definedName name="z_Z99BO00122_MO_OS_TotalConsolidatedandAffiliatedCompaniesNaturalGasExtensionsanddiscoveries">Supplemental!$739:$739</definedName>
    <definedName name="z_Z99BO00122_MO_OS_TotalConsolidatedandAffiliatedCompaniesNaturalGasImprovedrecovery">Supplemental!$738:$738</definedName>
    <definedName name="z_Z99BO00122_MO_OS_TotalConsolidatedandAffiliatedCompaniesNaturalGasProduction">Supplemental!$742:$742</definedName>
    <definedName name="z_Z99BO00122_MO_OS_TotalConsolidatedandAffiliatedCompaniesNaturalGasProvedDevelopedReserves">Supplemental!$462:$462</definedName>
    <definedName name="z_Z99BO00122_MO_OS_TotalConsolidatedandAffiliatedCompaniesNaturalGasProvedUndevelopedReserves">Supplemental!$473:$473</definedName>
    <definedName name="z_Z99BO00122_MO_OS_TotalConsolidatedandAffiliatedCompaniesNaturalGasPurchases">Supplemental!$740:$740</definedName>
    <definedName name="z_Z99BO00122_MO_OS_TotalConsolidatedandAffiliatedCompaniesNaturalGasRevisions">Supplemental!$737:$737</definedName>
    <definedName name="z_Z99BO00122_MO_OS_TotalConsolidatedandAffiliatedCompaniesNaturalGasSales">Supplemental!$741:$741</definedName>
    <definedName name="z_Z99BO00122_MO_OS_TotalConsolidatedandAffiliatedCompaniesNetChange_2">Supplemental!$857:$857</definedName>
    <definedName name="z_Z99BO00122_MO_OS_TotalConsolidatedandAffiliatedCompaniesNetchangeinincometax">Supplemental!$856:$856</definedName>
    <definedName name="z_Z99BO00122_MO_OS_TotalConsolidatedandAffiliatedCompaniesNetchangesinpricesdevelopmentandproductioncosts">Supplemental!$854:$854</definedName>
    <definedName name="z_Z99BO00122_MO_OS_TotalConsolidatedandAffiliatedCompaniesNGLBoPReserves">Supplemental!$651:$651</definedName>
    <definedName name="z_Z99BO00122_MO_OS_TotalConsolidatedandAffiliatedCompaniesNGLEoPReserves">Supplemental!$658:$658</definedName>
    <definedName name="z_Z99BO00122_MO_OS_TotalConsolidatedandAffiliatedCompaniesNGLExtensionsanddiscoveries">Supplemental!$654:$654</definedName>
    <definedName name="z_Z99BO00122_MO_OS_TotalConsolidatedandAffiliatedCompaniesNGLImprovedrecovery">Supplemental!$653:$653</definedName>
    <definedName name="z_Z99BO00122_MO_OS_TotalConsolidatedandAffiliatedCompaniesNGLProduction">Supplemental!$657:$657</definedName>
    <definedName name="z_Z99BO00122_MO_OS_TotalConsolidatedandAffiliatedCompaniesNGLProvedDevelopedReserves">Supplemental!$438:$438</definedName>
    <definedName name="z_Z99BO00122_MO_OS_TotalConsolidatedandAffiliatedCompaniesNGLProvedUndevelopedReserves">Supplemental!$449:$449</definedName>
    <definedName name="z_Z99BO00122_MO_OS_TotalConsolidatedandAffiliatedCompaniesNGLPurchases">Supplemental!$655:$655</definedName>
    <definedName name="z_Z99BO00122_MO_OS_TotalConsolidatedandAffiliatedCompaniesNGLRevisions">Supplemental!$652:$652</definedName>
    <definedName name="z_Z99BO00122_MO_OS_TotalConsolidatedandAffiliatedCompaniesNGLSales">Supplemental!$656:$656</definedName>
    <definedName name="z_Z99BO00122_MO_OS_TotalConsolidatedandAffiliatedCompaniesPurchasesofreserves">Supplemental!$850:$850</definedName>
    <definedName name="z_Z99BO00122_MO_OS_TotalConsolidatedandAffiliatedCompaniesRevisionsofpreviousquantityestimates">Supplemental!$853:$853</definedName>
    <definedName name="z_Z99BO00122_MO_OS_TotalConsolidatedandAffiliatedCompaniesSalesandtransfersofoilandgasproducednetofproductioncosts">Supplemental!$848:$848</definedName>
    <definedName name="z_Z99BO00122_MO_OS_TotalConsolidatedandAffiliatedCompaniesSalesofreserves">Supplemental!$851:$851</definedName>
    <definedName name="z_Z99BO00122_MO_OS_TotalConsolidatedandAffiliatedCompaniesStandardizedMeasureNetCashFlows">Supplemental!$818:$818</definedName>
    <definedName name="z_Z99BO00122_MO_OS_TotalConsolidatedandAffiliatedCompaniesSyntheticOilProvedDevelopedReserves">Supplemental!$414:$414</definedName>
    <definedName name="z_Z99BO00122_MO_OS_TotalConsolidatedandAffiliatedCompaniesSyntheticOilProvedUndevelopedReserves">Supplemental!$425:$425</definedName>
    <definedName name="z_Z99BO00122_MO_OS_TotalConsolidatedandAffiliatedCompaniesUndiscountedfuturenetcashflows">Supplemental!$816:$816</definedName>
    <definedName name="z_Z99BO00122_MO_OS_TotalConsolidatedCompanies10percentmidyearannualdiscountfortimingofestimatedcashflows">Supplemental!$793:$793</definedName>
    <definedName name="z_Z99BO00122_MO_OS_TotalConsolidatedCompaniesCrudeOilCondensateandSyntheticOilBoPReservesMMbbl">Supplemental!$533:$533</definedName>
    <definedName name="z_Z99BO00122_MO_OS_TotalConsolidatedCompaniesCrudeOilCondensateandSyntheticOilEoPReserves">Supplemental!$540:$540</definedName>
    <definedName name="z_Z99BO00122_MO_OS_TotalConsolidatedCompaniesCrudeOilCondensateandSyntheticOilExtensionsanddiscoveries">Supplemental!$536:$536</definedName>
    <definedName name="z_Z99BO00122_MO_OS_TotalConsolidatedCompaniesCrudeOilCondensateandSyntheticOilImprovedrecovery">Supplemental!$535:$535</definedName>
    <definedName name="z_Z99BO00122_MO_OS_TotalConsolidatedCompaniesCrudeOilCondensateandSyntheticOilProduction">Supplemental!$539:$539</definedName>
    <definedName name="z_Z99BO00122_MO_OS_TotalConsolidatedCompaniesCrudeOilCondensateandSyntheticOilPurchases">Supplemental!$537:$537</definedName>
    <definedName name="z_Z99BO00122_MO_OS_TotalConsolidatedCompaniesCrudeOilCondensateandSyntheticOilRevisions">Supplemental!$534:$534</definedName>
    <definedName name="z_Z99BO00122_MO_OS_TotalConsolidatedCompaniesCrudeOilCondensateandSyntheticOilSales">Supplemental!$538:$538</definedName>
    <definedName name="z_Z99BO00122_MO_OS_TotalConsolidatedCompaniesCrudeOilCondensateProvedDevelopedReserves">Supplemental!$386:$386</definedName>
    <definedName name="z_Z99BO00122_MO_OS_TotalConsolidatedCompaniesCrudeOilCondensateProvedUndevelopedReserves">Supplemental!$397:$397</definedName>
    <definedName name="z_Z99BO00122_MO_OS_TotalConsolidatedCompaniesFuturecashinflowsfromproduction">Supplemental!$788:$788</definedName>
    <definedName name="z_Z99BO00122_MO_OS_TotalConsolidatedCompaniesFuturedevelopmentcosts">Supplemental!$790:$790</definedName>
    <definedName name="z_Z99BO00122_MO_OS_TotalConsolidatedCompaniesFutureincometaxes">Supplemental!$791:$791</definedName>
    <definedName name="z_Z99BO00122_MO_OS_TotalConsolidatedCompaniesFutureproductioncosts">Supplemental!$789:$789</definedName>
    <definedName name="z_Z99BO00122_MO_OS_TotalConsolidatedCompaniesGrossGasWells">Model!$155:$155</definedName>
    <definedName name="z_Z99BO00122_MO_OS_TotalConsolidatedCompaniesGrossOilWells">Model!$139:$139</definedName>
    <definedName name="z_Z99BO00122_MO_OS_TotalConsolidatedCompaniesNaturalGasBoPReserves">Supplemental!$709:$709</definedName>
    <definedName name="z_Z99BO00122_MO_OS_TotalConsolidatedCompaniesNaturalGasEoPReserves">Supplemental!$716:$716</definedName>
    <definedName name="z_Z99BO00122_MO_OS_TotalConsolidatedCompaniesNaturalGasExtensionsanddiscoveries">Supplemental!$712:$712</definedName>
    <definedName name="z_Z99BO00122_MO_OS_TotalConsolidatedCompaniesNaturalGasImprovedrecovery">Supplemental!$711:$711</definedName>
    <definedName name="z_Z99BO00122_MO_OS_TotalConsolidatedCompaniesNaturalGasProduction">Supplemental!$715:$715</definedName>
    <definedName name="z_Z99BO00122_MO_OS_TotalConsolidatedCompaniesNaturalGasProvedDevelopedReserves">Supplemental!$458:$458</definedName>
    <definedName name="z_Z99BO00122_MO_OS_TotalConsolidatedCompaniesNaturalGasProvedUndevelopedReserves">Supplemental!$469:$469</definedName>
    <definedName name="z_Z99BO00122_MO_OS_TotalConsolidatedCompaniesNaturalGasPurchases">Supplemental!$713:$713</definedName>
    <definedName name="z_Z99BO00122_MO_OS_TotalConsolidatedCompaniesNaturalGasRevisions">Supplemental!$710:$710</definedName>
    <definedName name="z_Z99BO00122_MO_OS_TotalConsolidatedCompaniesNaturalGasSales">Supplemental!$714:$714</definedName>
    <definedName name="z_Z99BO00122_MO_OS_TotalConsolidatedCompaniesNetGasWells">Model!$163:$163</definedName>
    <definedName name="z_Z99BO00122_MO_OS_TotalConsolidatedCompaniesNetOilWells">Model!$147:$147</definedName>
    <definedName name="z_Z99BO00122_MO_OS_TotalConsolidatedCompaniesNGLBoPReserves">Supplemental!$625:$625</definedName>
    <definedName name="z_Z99BO00122_MO_OS_TotalConsolidatedCompaniesNGLEoPReserves">Supplemental!$632:$632</definedName>
    <definedName name="z_Z99BO00122_MO_OS_TotalConsolidatedCompaniesNGLExtensionsanddiscoveries">Supplemental!$628:$628</definedName>
    <definedName name="z_Z99BO00122_MO_OS_TotalConsolidatedCompaniesNGLImprovedrecovery">Supplemental!$627:$627</definedName>
    <definedName name="z_Z99BO00122_MO_OS_TotalConsolidatedCompaniesNGLProduction">Supplemental!$631:$631</definedName>
    <definedName name="z_Z99BO00122_MO_OS_TotalConsolidatedCompaniesNGLProvedDevelopedReserves">Supplemental!$434:$434</definedName>
    <definedName name="z_Z99BO00122_MO_OS_TotalConsolidatedCompaniesNGLProvedUndevelopedReserves">Supplemental!$445:$445</definedName>
    <definedName name="z_Z99BO00122_MO_OS_TotalConsolidatedCompaniesNGLPurchases">Supplemental!$629:$629</definedName>
    <definedName name="z_Z99BO00122_MO_OS_TotalConsolidatedCompaniesNGLRevisions">Supplemental!$626:$626</definedName>
    <definedName name="z_Z99BO00122_MO_OS_TotalConsolidatedCompaniesNGLSales">Supplemental!$630:$630</definedName>
    <definedName name="z_Z99BO00122_MO_OS_TotalConsolidatedCompaniesStandardizedMeasureNetCashFlows">Supplemental!$794:$794</definedName>
    <definedName name="z_Z99BO00122_MO_OS_TotalConsolidatedCompaniesSyntheticOilProvedDevelopedReserves">Supplemental!$410:$410</definedName>
    <definedName name="z_Z99BO00122_MO_OS_TotalConsolidatedCompaniesSyntheticOilProvedUndevelopedReserves">Supplemental!$421:$421</definedName>
    <definedName name="z_Z99BO00122_MO_OS_TotalConsolidatedCompaniesUndiscountedfuturenetcashflows">Supplemental!$792:$792</definedName>
    <definedName name="z_Z99BO00122_MO_OS_TotalCostsIncurred">Supplemental!$83:$83</definedName>
    <definedName name="z_Z99BO00122_MO_OS_TotalCrudeaveragesalesprice">Supplemental!$364:$364</definedName>
    <definedName name="z_Z99BO00122_MO_OS_TotalCrudeOilCondensateProvedReserves">Supplemental!$402:$402</definedName>
    <definedName name="z_Z99BO00122_MO_OS_TotalCrudeOilProduction">Model!$67:$67</definedName>
    <definedName name="z_Z99BO00122_MO_OS_TotalDeferredexploratorywells">Supplemental!$179:$179</definedName>
    <definedName name="z_Z99BO00122_MO_OS_TotalDepreciationanddepletion">Supplemental!$296:$296</definedName>
    <definedName name="z_Z99BO00122_MO_OS_TotalDevelopment">Supplemental!$82:$82</definedName>
    <definedName name="z_Z99BO00122_MO_OS_TotaldilutedcommonstockoutstandingEoP">Model!$556:$556</definedName>
    <definedName name="z_Z99BO00122_MO_OS_totaldownstreamearnings">Model!$243:$243</definedName>
    <definedName name="z_Z99BO00122_MO_OS_totaldownstreamrevenue">Model!$236:$236</definedName>
    <definedName name="z_Z99BO00122_MO_OS_Totalearnings">Model!$15:$15</definedName>
    <definedName name="z_Z99BO00122_MO_OS_Totalemployees">Model!$389:$389</definedName>
    <definedName name="z_Z99BO00122_MO_OS_Totalexploration">Supplemental!$76:$76</definedName>
    <definedName name="z_Z99BO00122_MO_OS_TotalExplorationexpenses">Supplemental!$298:$298</definedName>
    <definedName name="z_Z99BO00122_MO_OS_TotalGeologicalandgeophysical">Supplemental!$74:$74</definedName>
    <definedName name="z_Z99BO00122_MO_OS_TotalGrossCapitalizedCosts">Supplemental!$181:$181</definedName>
    <definedName name="z_Z99BO00122_MO_OS_TotalGrossWells">Model!$165:$165</definedName>
    <definedName name="z_Z99BO00122_MO_OS_totalimpliedupstreamrevenue">Model!$85:$85</definedName>
    <definedName name="z_Z99BO00122_MO_OS_TotalIncometaxexpensebenefit">Supplemental!$302:$302</definedName>
    <definedName name="z_Z99BO00122_MO_OS_totalinternationalconsolidatedcrudethroughput">Model!$288:$288</definedName>
    <definedName name="z_Z99BO00122_MO_OS_totalinternationalcrudethroughput">Model!$300:$300</definedName>
    <definedName name="z_Z99BO00122_MO_OS_TotalInternationalEquityShareinAffiliatescrudethroughput">Model!$298:$298</definedName>
    <definedName name="z_Z99BO00122_MO_OS_totalinternationalproduction">Model!$316:$316</definedName>
    <definedName name="z_Z99BO00122_MO_OS_TotalInternationalproduction_1">Model!$337:$337</definedName>
    <definedName name="z_Z99BO00122_MO_OS_totalinternationalsales">Model!$358:$358</definedName>
    <definedName name="z_Z99BO00122_MO_OS_TotalInternationalsales_1">Model!$379:$379</definedName>
    <definedName name="z_Z99BO00122_MO_OS_TotalNaturalgasaveragesalesprice">Supplemental!$366:$366</definedName>
    <definedName name="z_Z99BO00122_MO_OS_TotalNaturalgasliquidsaveragesalesprice">Supplemental!$365:$365</definedName>
    <definedName name="z_Z99BO00122_MO_OS_TotalNaturalGasProvedReserves">Supplemental!$474:$474</definedName>
    <definedName name="z_Z99BO00122_MO_OS_totalnaturalgassales">Model!$80:$80</definedName>
    <definedName name="z_Z99BO00122_MO_OS_TotalNetCapitalizedCosts">Supplemental!$186:$186</definedName>
    <definedName name="z_Z99BO00122_MO_OS_TotalNetWells">Model!$166:$166</definedName>
    <definedName name="z_Z99BO00122_MO_OS_TotalNGLproduction">Model!$68:$68</definedName>
    <definedName name="z_Z99BO00122_MO_OS_TotalNGLProvedReserves">Supplemental!$450:$450</definedName>
    <definedName name="z_Z99BO00122_MO_OS_TotalOther">Supplemental!$75:$75</definedName>
    <definedName name="z_Z99BO00122_MO_OS_TotalOtherincomeloss">Supplemental!$300:$300</definedName>
    <definedName name="z_Z99BO00122_MO_OS_TotalOtheruncompletedprojects">Supplemental!$180:$180</definedName>
    <definedName name="z_Z99BO00122_MO_OS_TotalProductionexpensesexcludingtaxes">Supplemental!$294:$294</definedName>
    <definedName name="z_Z99BO00122_MO_OS_TotalProductionVolumeGrowth">Model!$64:$64</definedName>
    <definedName name="z_Z99BO00122_MO_OS_Totalproductionvolumes">Model!$62:$62</definedName>
    <definedName name="z_Z99BO00122_MO_OS_Totalpropertyacquisitions">Supplemental!$81:$81</definedName>
    <definedName name="z_Z99BO00122_MO_OS_TotalProvedNoble">Supplemental!$77:$77</definedName>
    <definedName name="z_Z99BO00122_MO_OS_TotalProvedOther">Supplemental!$78:$78</definedName>
    <definedName name="z_Z99BO00122_MO_OS_TotalProvedproducingpropertiesDepreciationanddepletion">Supplemental!$183:$183</definedName>
    <definedName name="z_Z99BO00122_MO_OS_TotalProvedpropertiesandrelatedproducingassets">Supplemental!$177:$177</definedName>
    <definedName name="z_Z99BO00122_MO_OS_TotalResultsbeforeincometaxes">Supplemental!$301:$301</definedName>
    <definedName name="z_Z99BO00122_MO_OS_TotalResultsofProducingOperations">Supplemental!$303:$303</definedName>
    <definedName name="z_Z99BO00122_MO_OS_TotalRevenuesfromnetproduction">Supplemental!$293:$293</definedName>
    <definedName name="z_Z99BO00122_MO_OS_TotalSalesandotheroperatingrevenue">Model!$10:$10</definedName>
    <definedName name="z_Z99BO00122_MO_OS_TotalSalesrevenuesfromnetproduction">Supplemental!$291:$291</definedName>
    <definedName name="z_Z99BO00122_MO_OS_TotalSupportequipment">Supplemental!$178:$178</definedName>
    <definedName name="z_Z99BO00122_MO_OS_TotalSupportequipmentdepreciation">Supplemental!$184:$184</definedName>
    <definedName name="z_Z99BO00122_MO_OS_TotalSyntheticOilProvedReserves">Supplemental!$426:$426</definedName>
    <definedName name="z_Z99BO00122_MO_OS_TotalTaxesotherthanonincome">Supplemental!$295:$295</definedName>
    <definedName name="z_Z99BO00122_MO_OS_TotalTransfersrevenuesfromnetproduction">Supplemental!$292:$292</definedName>
    <definedName name="z_Z99BO00122_MO_OS_totalunitedstatesconsolidatedcrudethroughput">Model!$282:$282</definedName>
    <definedName name="z_Z99BO00122_MO_OS_totalunitedstatesproduction">Model!$309:$309</definedName>
    <definedName name="z_Z99BO00122_MO_OS_TotalUnitedStatesproduction_1">Model!$330:$330</definedName>
    <definedName name="z_Z99BO00122_MO_OS_totalunitedstatessales">Model!$351:$351</definedName>
    <definedName name="z_Z99BO00122_MO_OS_TotalUnitedStatessales_1">Model!$372:$372</definedName>
    <definedName name="z_Z99BO00122_MO_OS_TotalUnprovedNoble">Supplemental!$79:$79</definedName>
    <definedName name="z_Z99BO00122_MO_OS_TotalUnprovedOther">Supplemental!$80:$80</definedName>
    <definedName name="z_Z99BO00122_MO_OS_TotalUnprovedproperties">Supplemental!$176:$176</definedName>
    <definedName name="z_Z99BO00122_MO_OS_TotalUnprovedpropertiesvaluation">Supplemental!$182:$182</definedName>
    <definedName name="z_Z99BO00122_MO_OS_TotalUnprovedpropertiesvaluation_1">Supplemental!$299:$299</definedName>
    <definedName name="z_Z99BO00122_MO_OS_totalupstreamrevenues">Model!$95:$95</definedName>
    <definedName name="z_Z99BO00122_MO_OS_TotalWells">Supplemental!$73:$73</definedName>
    <definedName name="z_Z99BO00122_MO_OS_totalworldwidecrudethroughput">Model!$302:$302</definedName>
    <definedName name="z_Z99BO00122_MO_OS_totalworldwideproduction">Model!$323:$323</definedName>
    <definedName name="z_Z99BO00122_MO_OS_TotalWorldwideproduction_1">Model!$344:$344</definedName>
    <definedName name="z_Z99BO00122_MO_OS_TotalWorldwiderefiningcapacity">Model!$265:$265</definedName>
    <definedName name="z_Z99BO00122_MO_OS_totalworldwidesales">Model!$365:$365</definedName>
    <definedName name="z_Z99BO00122_MO_OS_TotalWorldwidesales_1">Model!$386:$386</definedName>
    <definedName name="z_Z99BO00122_MO_OS_TreasurystockEoP">Model!$541:$541</definedName>
    <definedName name="z_Z99BO00122_MO_OS_unitedkingdompembrokecrudethroughput">Model!$285:$285</definedName>
    <definedName name="z_Z99BO00122_MO_OS_unitedstates">Model!$267:$267</definedName>
    <definedName name="z_Z99BO00122_MO_OS_UnitedStatesFueloilproduction">Model!$328:$328</definedName>
    <definedName name="z_Z99BO00122_MO_OS_UnitedStatesGasOilandKerosenesales">Model!$369:$369</definedName>
    <definedName name="z_Z99BO00122_MO_OS_UnitedStatesGasoilproduction">Model!$326:$326</definedName>
    <definedName name="z_Z99BO00122_MO_OS_UnitedStatesGasolineproduction">Model!$325:$325</definedName>
    <definedName name="z_Z99BO00122_MO_OS_UnitedStatesGasolinesales">Model!$367:$367</definedName>
    <definedName name="z_Z99BO00122_MO_OS_UnitedStatesGrossGasWells">Model!$149:$149</definedName>
    <definedName name="z_Z99BO00122_MO_OS_UnitedStatesGrossOilWells">Model!$133:$133</definedName>
    <definedName name="z_Z99BO00122_MO_OS_UnitedStatesJetfuelproduction">Model!$327:$327</definedName>
    <definedName name="z_Z99BO00122_MO_OS_UnitedStatesJetFuelsales">Model!$368:$368</definedName>
    <definedName name="z_Z99BO00122_MO_OS_UnitedStatesNetGasWells">Model!$157:$157</definedName>
    <definedName name="z_Z99BO00122_MO_OS_UnitedStatesNetOilWells">Model!$141:$141</definedName>
    <definedName name="z_Z99BO00122_MO_OS_UnitedStatesOtherPetroleumProductssales">Model!$371:$371</definedName>
    <definedName name="z_Z99BO00122_MO_OS_UnitedStatesOtherproduction">Model!$329:$329</definedName>
    <definedName name="z_Z99BO00122_MO_OS_UnitedStatesResidualFueloilsales">Model!$370:$370</definedName>
    <definedName name="z_Z99BO00122_MO_OS_UpstreamAdjustedEarnings">Model!$103:$103</definedName>
    <definedName name="z_Z99BO00122_MO_OS_Upstreamdepreciationanddepletion">Model!$107:$107</definedName>
    <definedName name="z_Z99BO00122_MO_OS_UpstreamDepreciationandDepletion_1">Model!$111:$111</definedName>
    <definedName name="z_Z99BO00122_MO_OS_UpstreamDepreciationExpense">"Deleted"</definedName>
    <definedName name="z_Z99BO00122_MO_OS_Upstreamearnings">Model!$12:$12</definedName>
    <definedName name="z_Z99BO00122_MO_OS_Upstreamearnings_1">Model!$99:$99</definedName>
    <definedName name="z_Z99BO00122_MO_OS_UpstreamInternationalAdjustedEarnings">Model!$102:$102</definedName>
    <definedName name="z_Z99BO00122_MO_OS_upstreaminternationalearnings">Model!$98:$98</definedName>
    <definedName name="z_Z99BO00122_MO_OS_Upstreamproductionexpensesexcludingtaxes">Model!$105:$105</definedName>
    <definedName name="z_Z99BO00122_MO_OS_Upstreamproductionexpensesexcludingtaxes_1">Model!$109:$109</definedName>
    <definedName name="z_Z99BO00122_MO_OS_upstreamrevenues">Model!$7:$7</definedName>
    <definedName name="z_Z99BO00122_MO_OS_Upstreamtaxesotherthanonincome">Model!$106:$106</definedName>
    <definedName name="z_Z99BO00122_MO_OS_Upstreamtaxesotherthanonincome_1">Model!$110:$110</definedName>
    <definedName name="z_Z99BO00122_MO_OS_upstreamtotalproductionvolumes">Model!$17:$17</definedName>
    <definedName name="z_Z99BO00122_MO_OS_UpstreamUSAdjustedEarnings">Model!$101:$101</definedName>
    <definedName name="z_Z99BO00122_MO_OS_upstreamusearnings">Model!$97:$97</definedName>
    <definedName name="z_Z99BO00122_MO_OS_US10percentmidyearannualdiscountfortimingofestimatedcashflows">Supplemental!$751:$751</definedName>
    <definedName name="z_Z99BO00122_MO_OS_USAccretionexpense">Supplemental!$219:$219</definedName>
    <definedName name="z_Z99BO00122_MO_OS_USAccumulatedprovisions">Supplemental!$119:$119</definedName>
    <definedName name="z_Z99BO00122_MO_OS_USAverageproductioncosts">Supplemental!$337:$337</definedName>
    <definedName name="z_Z99BO00122_MO_OS_USCrudeaveragesalesprice">Supplemental!$334:$334</definedName>
    <definedName name="z_Z99BO00122_MO_OS_USCrudeOilCondensateandSyntheticOilBoPReserves">Supplemental!$477:$477</definedName>
    <definedName name="z_Z99BO00122_MO_OS_USCrudeOilCondensateandSyntheticOilEoPReserves">Supplemental!$484:$484</definedName>
    <definedName name="z_Z99BO00122_MO_OS_USCrudeOilCondensateandSyntheticOilExtensionsanddiscoveries">Supplemental!$480:$480</definedName>
    <definedName name="z_Z99BO00122_MO_OS_USCrudeOilCondensateandSyntheticOilImprovedrecovery">Supplemental!$479:$479</definedName>
    <definedName name="z_Z99BO00122_MO_OS_USCrudeOilCondensateandSyntheticOilProduction">Supplemental!$483:$483</definedName>
    <definedName name="z_Z99BO00122_MO_OS_USCrudeOilCondensateandSyntheticOilPurchases">Supplemental!$481:$481</definedName>
    <definedName name="z_Z99BO00122_MO_OS_USCrudeOilCondensateandSyntheticOilRevisions">Supplemental!$478:$478</definedName>
    <definedName name="z_Z99BO00122_MO_OS_USCrudeOilCondensateandSyntheticOilSales">Supplemental!$482:$482</definedName>
    <definedName name="z_Z99BO00122_MO_OS_USCrudeOilCondensateProvedDevelopedReserves">Supplemental!$380:$380</definedName>
    <definedName name="z_Z99BO00122_MO_OS_USCrudeOilCondensateProvedUndevelopedReserves">Supplemental!$391:$391</definedName>
    <definedName name="z_Z99BO00122_MO_OS_USDeferredexploratorywells">Supplemental!$113:$113</definedName>
    <definedName name="z_Z99BO00122_MO_OS_USDepreciationanddepletion">Supplemental!$218:$218</definedName>
    <definedName name="z_Z99BO00122_MO_OS_USDevelopment">Supplemental!$16:$16</definedName>
    <definedName name="z_Z99BO00122_MO_OS_USDownstreamAdjustedEarnings">Model!$245:$245</definedName>
    <definedName name="z_Z99BO00122_MO_OS_usdownstreamearnings">Model!$241:$241</definedName>
    <definedName name="z_Z99BO00122_MO_OS_usdownstreamgasolinesales">Model!$171:$171</definedName>
    <definedName name="z_Z99BO00122_MO_OS_usdownstreamgasolinesales_1">Model!$180:$180</definedName>
    <definedName name="z_Z99BO00122_MO_OS_usdownstreamgasolineyield">Model!$177:$177</definedName>
    <definedName name="z_Z99BO00122_MO_OS_USdownstreamotherrefinedproductsales">Model!$172:$172</definedName>
    <definedName name="z_Z99BO00122_MO_OS_USdownstreamotherrefinedproductsales_1">Model!$181:$181</definedName>
    <definedName name="z_Z99BO00122_MO_OS_USdownstreamotherrefinedproductsyield">Model!$178:$178</definedName>
    <definedName name="z_Z99BO00122_MO_OS_usdownstreamrefineryinput">Model!$169:$169</definedName>
    <definedName name="z_Z99BO00122_MO_OS_usdownstreamrevenuegrossofeliminationsandincludingexciseandsimilartaxes">Model!$231:$231</definedName>
    <definedName name="z_Z99BO00122_MO_OS_usdownstreamrevenueperbarrelofrefinedproductsold">Model!$238:$238</definedName>
    <definedName name="z_Z99BO00122_MO_OS_usdownstreamsalesofnaturalgasliquids">Model!$175:$175</definedName>
    <definedName name="z_Z99BO00122_MO_OS_usdownstreamsalesofnaturalgasliquids_1">Model!$182:$182</definedName>
    <definedName name="z_Z99BO00122_MO_OS_usdownstreamtotalproductsales">Model!$183:$183</definedName>
    <definedName name="z_Z99BO00122_MO_OS_usdownstreamtotalrefinedproductsales">Model!$173:$173</definedName>
    <definedName name="z_Z99BO00122_MO_OS_USExplorationexpenses">Supplemental!$220:$220</definedName>
    <definedName name="z_Z99BO00122_MO_OS_USFuturecashinflowsfromproduction">Supplemental!$746:$746</definedName>
    <definedName name="z_Z99BO00122_MO_OS_USFuturedevelopmentcosts">Supplemental!$748:$748</definedName>
    <definedName name="z_Z99BO00122_MO_OS_USFutureincometaxes">Supplemental!$749:$749</definedName>
    <definedName name="z_Z99BO00122_MO_OS_USFutureproductioncosts">Supplemental!$747:$747</definedName>
    <definedName name="z_Z99BO00122_MO_OS_USGeologicalandgeophysical">Supplemental!$8:$8</definedName>
    <definedName name="z_Z99BO00122_MO_OS_USGrossCapitalizedCosts">Supplemental!$115:$115</definedName>
    <definedName name="z_Z99BO00122_MO_OS_USIncometaxexpensebenefit">Supplemental!$224:$224</definedName>
    <definedName name="z_Z99BO00122_MO_OS_usintersegmenteliminations">Model!$93:$93</definedName>
    <definedName name="z_Z99BO00122_MO_OS_usintersegmenteliminations_1">Model!$234:$234</definedName>
    <definedName name="z_Z99BO00122_MO_OS_usliquids">Model!$56:$56</definedName>
    <definedName name="z_Z99BO00122_MO_OS_usnaturalgas">Model!$59:$59</definedName>
    <definedName name="z_Z99BO00122_MO_OS_USNaturalgasaveragesalesprice">Supplemental!$336:$336</definedName>
    <definedName name="z_Z99BO00122_MO_OS_USNaturalGasBoPReserves">Supplemental!$661:$661</definedName>
    <definedName name="z_Z99BO00122_MO_OS_USNaturalGasEoPReserves">Supplemental!$668:$668</definedName>
    <definedName name="z_Z99BO00122_MO_OS_USNaturalGasExtensionsanddiscoveries">Supplemental!$664:$664</definedName>
    <definedName name="z_Z99BO00122_MO_OS_USNaturalGasImprovedrecovery">Supplemental!$663:$663</definedName>
    <definedName name="z_Z99BO00122_MO_OS_USNaturalgasliquidsaveragesalesprice">Supplemental!$335:$335</definedName>
    <definedName name="z_Z99BO00122_MO_OS_USNaturalGasProduction">Supplemental!$667:$667</definedName>
    <definedName name="z_Z99BO00122_MO_OS_USNaturalGasProvedDevelopedReserves">Supplemental!$452:$452</definedName>
    <definedName name="z_Z99BO00122_MO_OS_USNaturalGasProvedUndevelopedReserves">Supplemental!$463:$463</definedName>
    <definedName name="z_Z99BO00122_MO_OS_USNaturalGasPurchases">Supplemental!$665:$665</definedName>
    <definedName name="z_Z99BO00122_MO_OS_USNaturalGasRevisions">Supplemental!$662:$662</definedName>
    <definedName name="z_Z99BO00122_MO_OS_USNaturalGasSales">Supplemental!$666:$666</definedName>
    <definedName name="z_Z99BO00122_MO_OS_usnaturalgassoldbutnotproduced">Model!$75:$75</definedName>
    <definedName name="z_Z99BO00122_MO_OS_USNetCapitalizedCosts">Supplemental!$120:$120</definedName>
    <definedName name="z_Z99BO00122_MO_OS_usnetliquidsproduction">Model!$33:$33</definedName>
    <definedName name="z_Z99BO00122_MO_OS_usnetnaturalgasproduction">Model!$51:$51</definedName>
    <definedName name="z_Z99BO00122_MO_OS_USNGLBoPReserves">Supplemental!$577:$577</definedName>
    <definedName name="z_Z99BO00122_MO_OS_USNGLEoPReserves">Supplemental!$584:$584</definedName>
    <definedName name="z_Z99BO00122_MO_OS_USNGLExtensionsanddiscoveries">Supplemental!$580:$580</definedName>
    <definedName name="z_Z99BO00122_MO_OS_USNGLImprovedrecovery">Supplemental!$579:$579</definedName>
    <definedName name="z_Z99BO00122_MO_OS_USNGLProduction">Supplemental!$583:$583</definedName>
    <definedName name="z_Z99BO00122_MO_OS_USNGLProvedDevelopedReserves">Supplemental!$428:$428</definedName>
    <definedName name="z_Z99BO00122_MO_OS_USNGLProvedUndevelopedReserves">Supplemental!$439:$439</definedName>
    <definedName name="z_Z99BO00122_MO_OS_USNGLPurchases">Supplemental!$581:$581</definedName>
    <definedName name="z_Z99BO00122_MO_OS_USNGLRevisions">Supplemental!$578:$578</definedName>
    <definedName name="z_Z99BO00122_MO_OS_USNGLSales">Supplemental!$582:$582</definedName>
    <definedName name="z_Z99BO00122_MO_OS_USOther">Supplemental!$9:$9</definedName>
    <definedName name="z_Z99BO00122_MO_OS_USOtherincomeloss">Supplemental!$222:$222</definedName>
    <definedName name="z_Z99BO00122_MO_OS_USOtheruncompletedprojects">Supplemental!$114:$114</definedName>
    <definedName name="z_Z99BO00122_MO_OS_USProductionexpensesexcludingtaxes">Supplemental!$216:$216</definedName>
    <definedName name="z_Z99BO00122_MO_OS_USProvedNoble">Supplemental!$11:$11</definedName>
    <definedName name="z_Z99BO00122_MO_OS_USProvedOther">Supplemental!$12:$12</definedName>
    <definedName name="z_Z99BO00122_MO_OS_USProvedproducingpropertiesDepreciationanddepletion">Supplemental!$117:$117</definedName>
    <definedName name="z_Z99BO00122_MO_OS_USProvedpropertiesandrelatedproducingassets">Supplemental!$111:$111</definedName>
    <definedName name="z_Z99BO00122_MO_OS_USResultsbeforeincometaxes">Supplemental!$223:$223</definedName>
    <definedName name="z_Z99BO00122_MO_OS_USResultsofProducingOperations">Supplemental!$225:$225</definedName>
    <definedName name="z_Z99BO00122_MO_OS_ussalesofnaturalgas">Model!$72:$72</definedName>
    <definedName name="z_Z99BO00122_MO_OS_ussalesofnaturalgas_1">Model!$79:$79</definedName>
    <definedName name="z_Z99BO00122_MO_OS_USSalesrevenuesfromnetproduction">Supplemental!$213:$213</definedName>
    <definedName name="z_Z99BO00122_MO_OS_USStandardizedMeasureNetCashFlows">Supplemental!$752:$752</definedName>
    <definedName name="z_Z99BO00122_MO_OS_USSupportequipment">Supplemental!$112:$112</definedName>
    <definedName name="z_Z99BO00122_MO_OS_USSupportequipmentdepreciation">Supplemental!$118:$118</definedName>
    <definedName name="z_Z99BO00122_MO_OS_USSyntheticOilProvedDevelopedReserves">Supplemental!$404:$404</definedName>
    <definedName name="z_Z99BO00122_MO_OS_USSyntheticOilProvedUndevelopedReserves">Supplemental!$415:$415</definedName>
    <definedName name="z_Z99BO00122_MO_OS_USTaxesotherthanonincome">Supplemental!$217:$217</definedName>
    <definedName name="z_Z99BO00122_MO_OS_USTotalCostsIncurred">Supplemental!$17:$17</definedName>
    <definedName name="z_Z99BO00122_MO_OS_USTotalexploration">Supplemental!$10:$10</definedName>
    <definedName name="z_Z99BO00122_MO_OS_USTotalpropertyacquisitions">Supplemental!$15:$15</definedName>
    <definedName name="z_Z99BO00122_MO_OS_USTotalRevenuesfromnetproduction">Supplemental!$215:$215</definedName>
    <definedName name="z_Z99BO00122_MO_OS_USTransfersrevenuesfromnetproduction">Supplemental!$214:$214</definedName>
    <definedName name="z_Z99BO00122_MO_OS_USUndiscountedfuturenetcashflows">Supplemental!$750:$750</definedName>
    <definedName name="z_Z99BO00122_MO_OS_USUnprovedNoble">Supplemental!$13:$13</definedName>
    <definedName name="z_Z99BO00122_MO_OS_USUnprovedOther">Supplemental!$14:$14</definedName>
    <definedName name="z_Z99BO00122_MO_OS_USUnprovedproperties">Supplemental!$110:$110</definedName>
    <definedName name="z_Z99BO00122_MO_OS_USUnprovedpropertiesvaluation">Supplemental!$116:$116</definedName>
    <definedName name="z_Z99BO00122_MO_OS_USUnprovedpropertiesvaluation_1">Supplemental!$221:$221</definedName>
    <definedName name="z_Z99BO00122_MO_OS_USWells">Supplemental!$7:$7</definedName>
    <definedName name="z_Z99BO00122_MO_OS_WeightedAverageGrossSalesPriceCalculated">Model!$119:$119</definedName>
    <definedName name="z_Z99BO00122_MO_OS_worldwide">Model!$272:$272</definedName>
    <definedName name="z_Z99BO00122_MO_OS_Worldwidedownstreamgasolinesales">Model!$205:$205</definedName>
    <definedName name="z_Z99BO00122_MO_OS_Worldwidedownstreamgasolinesales_1">Model!$215:$215</definedName>
    <definedName name="z_Z99BO00122_MO_OS_Worldwidedownstreamgasolineyield">Model!$210:$210</definedName>
    <definedName name="z_Z99BO00122_MO_OS_Worldwidedownstreamotherrefinedproductsales">Model!$206:$206</definedName>
    <definedName name="z_Z99BO00122_MO_OS_Worldwidedownstreamotherrefinedproductssales">Model!$216:$216</definedName>
    <definedName name="z_Z99BO00122_MO_OS_Worldwidedownstreamotherrefinedproductsyield">Model!$211:$211</definedName>
    <definedName name="z_Z99BO00122_MO_OS_Worldwidedownstreamproductsales">Model!$219:$219</definedName>
    <definedName name="z_Z99BO00122_MO_OS_Worldwidedownstreamsalesofnaturalgasliquids">Model!$213:$213</definedName>
    <definedName name="z_Z99BO00122_MO_OS_Worldwidedownstreamsalesofnaturalgasliquids_1">Model!$218:$218</definedName>
    <definedName name="z_Z99BO00122_MO_OS_Worldwidedownstreamshareofaffiliatesales">Model!$207:$207</definedName>
    <definedName name="z_Z99BO00122_MO_OS_Worldwidedownstreamshareofaffiliatesales_1">Model!$217:$217</definedName>
    <definedName name="z_Z99BO00122_MO_OS_Worldwidedownstreamtotalrefinedproductsales">Model!$208:$208</definedName>
    <definedName name="z_Z99BO00122_MO_OS_WorldwideFueloilproduction">Model!$342:$342</definedName>
    <definedName name="z_Z99BO00122_MO_OS_WorldwideFueloilsales">Model!$363:$363</definedName>
    <definedName name="z_Z99BO00122_MO_OS_WorldwideFueloilsales_1">Model!$384:$384</definedName>
    <definedName name="z_Z99BO00122_MO_OS_WorldwideGasoilproduction">Model!$340:$340</definedName>
    <definedName name="z_Z99BO00122_MO_OS_WorldwideGasoilsales">Model!$361:$361</definedName>
    <definedName name="z_Z99BO00122_MO_OS_WorldwideGasoilsales_1">Model!$383:$383</definedName>
    <definedName name="z_Z99BO00122_MO_OS_WorldwideGasolineproduction">Model!$339:$339</definedName>
    <definedName name="z_Z99BO00122_MO_OS_WorldwideGasolinesales">Model!$360:$360</definedName>
    <definedName name="z_Z99BO00122_MO_OS_WorldwideGasolinesales_1">Model!$381:$381</definedName>
    <definedName name="z_Z99BO00122_MO_OS_WorldwideJetfuelproduction">Model!$341:$341</definedName>
    <definedName name="z_Z99BO00122_MO_OS_WorldwideJetfuelsales">Model!$362:$362</definedName>
    <definedName name="z_Z99BO00122_MO_OS_WorldwideJetfuelsales_1">Model!$382:$382</definedName>
    <definedName name="z_Z99BO00122_MO_OS_WorldwideOtherproduction">Model!$343:$343</definedName>
    <definedName name="z_Z99BO00122_MO_OS_WorldwideOthersales_1">Model!$364:$364</definedName>
    <definedName name="z_Z99BO00122_MO_OS_WorldwideOthersales_2">Model!$385:$385</definedName>
    <definedName name="z_Z99BO00122_MO_OS_Worldwiderefineryinput">Model!$203:$203</definedName>
    <definedName name="z_Z99BO00122_MO_OS_YYbasicshareexpansionEoP">Model!$548:$548</definedName>
    <definedName name="z_Z99BO00122_MO_OS_YYbasicshareexpansionfromdilutivesecurities">Model!$544:$544</definedName>
    <definedName name="z_Z99BO00122_MO_OS_YYbasicshareexpansionfromshareissuancebuyback">Model!$546:$546</definedName>
    <definedName name="z_Z99BO00122_MO_RIS_AdjustedEarningsPerShareWAD">Model!$532:$532</definedName>
    <definedName name="z_Z99BO00122_MO_RIS_AdjustedEBITDAXNoAdjustments">Model!$504:$504</definedName>
    <definedName name="z_Z99BO00122_MO_RIS_AdjustedNetIncome">Model!$525:$525</definedName>
    <definedName name="z_Z99BO00122_MO_RIS_AdjustedSharesOutstandingWAD">Model!$537:$537</definedName>
    <definedName name="z_Z99BO00122_MO_RIS_AdjustmentsforConvertibleSecurities">Model!$521:$521</definedName>
    <definedName name="z_Z99BO00122_MO_RIS_consensusestimatesadjustedearningspersharewad">Model!$533:$533</definedName>
    <definedName name="z_Z99BO00122_MO_RIS_consensusestimatesadjustedebitdax">Model!$505:$505</definedName>
    <definedName name="z_Z99BO00122_MO_RIS_CostofGoodsSold">Model!$501:$501</definedName>
    <definedName name="z_Z99BO00122_MO_RIS_Currenttax">Model!$514:$514</definedName>
    <definedName name="z_Z99BO00122_MO_RIS_Currenttaxrate">Model!$527:$527</definedName>
    <definedName name="z_Z99BO00122_MO_RIS_DDA">Model!$508:$508</definedName>
    <definedName name="z_Z99BO00122_MO_RIS_Deferredtax">Model!$515:$515</definedName>
    <definedName name="z_Z99BO00122_MO_RIS_Deferredtaxrate">Model!$528:$528</definedName>
    <definedName name="z_Z99BO00122_MO_RIS_DilutedNetIncometoCommonShareholders">Model!$522:$522</definedName>
    <definedName name="z_Z99BO00122_MO_RIS_DiscontinuedOperations">Model!$517:$517</definedName>
    <definedName name="z_Z99BO00122_MO_RIS_EarningsPerShareWAB">Model!$530:$530</definedName>
    <definedName name="z_Z99BO00122_MO_RIS_EarningsPerShareWAD">Model!$531:$531</definedName>
    <definedName name="z_Z99BO00122_MO_RIS_EarningstoPreferredandOtherSecurities">Model!$519:$519</definedName>
    <definedName name="z_Z99BO00122_MO_RIS_EBITDAX">Model!$503:$503</definedName>
    <definedName name="z_Z99BO00122_MO_RIS_EBT">Model!$512:$512</definedName>
    <definedName name="z_Z99BO00122_MO_RIS_ExplorationExpense">Model!$507:$507</definedName>
    <definedName name="z_Z99BO00122_MO_RIS_Impairment">Model!$511:$511</definedName>
    <definedName name="z_Z99BO00122_MO_RIS_Incomefromequityaffiliates">Model!$497:$497</definedName>
    <definedName name="z_Z99BO00122_MO_RIS_Interestexpense">Model!$510:$510</definedName>
    <definedName name="z_Z99BO00122_MO_RIS_Interestincome">Model!$509:$509</definedName>
    <definedName name="z_Z99BO00122_MO_RIS_NetIncomefromContinuedOperation">Model!$516:$516</definedName>
    <definedName name="z_Z99BO00122_MO_RIS_NetIncometoCommonShareholders">Model!$520:$520</definedName>
    <definedName name="z_Z99BO00122_MO_RIS_NetIncometoNCI">Model!$518:$518</definedName>
    <definedName name="z_Z99BO00122_MO_RIS_NetRevenue">Model!$498:$498</definedName>
    <definedName name="z_Z99BO00122_MO_RIS_NonGAAPAdjustments">Model!$523:$523</definedName>
    <definedName name="z_Z99BO00122_MO_RIS_NonGAAPAdjustmentsforDilutiveSecurities">Model!$524:$524</definedName>
    <definedName name="z_Z99BO00122_MO_RIS_Operatingexpenses">Model!$500:$500</definedName>
    <definedName name="z_Z99BO00122_MO_RIS_Otherincome">Model!$496:$496</definedName>
    <definedName name="z_Z99BO00122_MO_RIS_Salesandotheroperatingrevenues">Model!$495:$495</definedName>
    <definedName name="z_Z99BO00122_MO_RIS_SGA">Model!$502:$502</definedName>
    <definedName name="z_Z99BO00122_MO_RIS_SharesOutstandingWAB">Model!$535:$535</definedName>
    <definedName name="z_Z99BO00122_MO_RIS_SharesOutstandingWAD">Model!$536:$536</definedName>
    <definedName name="z_Z99BO00122_MO_RIS_Taxesotherthanonincome">Model!$499:$499</definedName>
    <definedName name="z_Z99BO00122_MO_Section_AN_AdjustedNumbersAsReported">Model!$426:$426</definedName>
    <definedName name="z_Z99BO00122_MO_Section_BS_BalanceSheet">Model!$733:$733</definedName>
    <definedName name="z_Z99BO00122_MO_Section_BS_ModelChecks">Model!$793:$793</definedName>
    <definedName name="z_Z99BO00122_MO_Section_BSS_BalanceSheetSummary">Model!$585:$585</definedName>
    <definedName name="z_Z99BO00122_MO_Section_CCFS_CumulativeCashFlowStatement">Model!$627:$627</definedName>
    <definedName name="z_Z99BO00122_MO_Section_CFS_CashFlowStatement">Model!$679:$679</definedName>
    <definedName name="z_Z99BO00122_MO_Section_CFSum_CashFlowSummary">Model!$558:$558</definedName>
    <definedName name="z_Z99BO00122_MO_Section_IS_IncomeStatement">Model!$404:$404</definedName>
    <definedName name="z_Z99BO00122_MO_Section_MA_MarginAnalysis">Model!$396:$396</definedName>
    <definedName name="z_Z99BO00122_MO_Section_OS_AllOtherFinancialResultsMDA">Model!$249:$249</definedName>
    <definedName name="z_Z99BO00122_MO_Section_OS_BenchmarkPricing">Model!$121:$121</definedName>
    <definedName name="z_Z99BO00122_MO_Section_OS_CapitalizedCostsRelatedtoOilandGasProducingActivities">Supplemental!$109:$109</definedName>
    <definedName name="z_Z99BO00122_MO_Section_OS_ChangesintheStandardizedMeasureofDiscountedFutureNetCashFlowsFromProvedReserves">Supplemental!$820:$820</definedName>
    <definedName name="z_Z99BO00122_MO_Section_OS_CostsIncurredinExplorationPropertyAcquisitionsandDevelopment">Supplemental!$6:$6</definedName>
    <definedName name="z_Z99BO00122_MO_Section_OS_DownstreamOperatingStatsRefiningVolumesMDASupplemental">Model!$168:$168</definedName>
    <definedName name="z_Z99BO00122_MO_Section_OS_KeyMetricsDashboardMetricsFS">Model!$391:$391</definedName>
    <definedName name="z_Z99BO00122_MO_Section_OS_KeyMetricsDownstreamAnnuallyreportedonly10kSupplemental">Model!$264:$264</definedName>
    <definedName name="z_Z99BO00122_MO_Section_OS_KeyMetricsEmployeesFS">Model!$388:$388</definedName>
    <definedName name="z_Z99BO00122_MO_Section_OS_KeyMetricsProductiveWellsFS">Model!$132:$132</definedName>
    <definedName name="z_Z99BO00122_MO_Section_OS_NetProvedReservesofCrudeOilCondensateandSyntheticOil">Supplemental!$476:$476</definedName>
    <definedName name="z_Z99BO00122_MO_Section_OS_NetProvedReservesofNaturalGas_1">Supplemental!$660:$660</definedName>
    <definedName name="z_Z99BO00122_MO_Section_OS_NetProvedReservesofNaturalGasLiquids">Supplemental!$576:$576</definedName>
    <definedName name="z_Z99BO00122_MO_Section_OS_OperatingStatsDifferentialstoBenchmarkPricing">Model!$125:$125</definedName>
    <definedName name="z_Z99BO00122_MO_Section_OS_OperatingStatsRealizedPricingExcludingEffectsofHedgingMDA">Model!$113:$113</definedName>
    <definedName name="z_Z99BO00122_MO_Section_OS_ResultsofOperationsforOilandGasProducingActivities">Supplemental!$212:$212</definedName>
    <definedName name="z_Z99BO00122_MO_Section_OS_ResultsofOperationsforOilandGasProducingActivitiesUnitPricesandCosts">Supplemental!$333:$333</definedName>
    <definedName name="z_Z99BO00122_MO_Section_OS_RevenueandVolumeSummary">Model!$6:$6</definedName>
    <definedName name="z_Z99BO00122_MO_Section_OS_SegmentedResultsDownstreamFinancialsMDA">Model!$230:$230</definedName>
    <definedName name="z_Z99BO00122_MO_Section_OS_SegmentedResultsUpstreamFinancialsFS">Model!$82:$82</definedName>
    <definedName name="z_Z99BO00122_MO_Section_OS_ShareCountAnalysis">Model!$539:$539</definedName>
    <definedName name="z_Z99BO00122_MO_Section_OS_StandardizedMeasureofDiscountedFutureNetCashFlowsRelatedtoProvedOilandGasReserves10">Supplemental!$745:$745</definedName>
    <definedName name="z_Z99BO00122_MO_Section_OS_SummaryofNetOilandGasReserves">Supplemental!$379:$379</definedName>
    <definedName name="z_Z99BO00122_MO_Section_OS_Company2747">Supplemental!$860:$860</definedName>
    <definedName name="z_Z99BO00122_MO_Section_OS_UpstreamOperatingStatsNaturalGasSalesVolumesMDA">Model!$70:$70</definedName>
    <definedName name="z_Z99BO00122_MO_Section_OS_UpstreamOperatingStatsProductionVolumesMDA">Model!$21:$21</definedName>
    <definedName name="z_Z99BO00122_MO_Section_RIS_RevisedIncomeStatement">Model!$494:$494</definedName>
    <definedName name="z_Z99BO00122_MO_Section_SNA_Source">Model!$923:$923</definedName>
    <definedName name="z_Z99BO00122_MO_Section_TB_Tables">Model!$813:$813</definedName>
    <definedName name="z_Z99BO00122_MO_Section_VA_Valuation">Model!$603:$603</definedName>
    <definedName name="z_Z99BO00122_MO_SubSection_CCFS_Impairmentofassets">Model!$641:$641</definedName>
    <definedName name="z_Z99BO00122_MO_Unstructured_SNA_AdjustedEBITDAXNoAdjustments">Model!$830:$830</definedName>
    <definedName name="z_Z99BO00122_MO_Unstructured_SNA_AnnualGuidanceTable">Model!$853:$853</definedName>
    <definedName name="z_Z99BO00122_MO_Unstructured_SNA_ApplicablePeriod">Model!$850:$850</definedName>
    <definedName name="z_Z99BO00122_MO_Unstructured_SNA_ApplicablePeriod_1">Model!$856:$856</definedName>
    <definedName name="z_Z99BO00122_MO_Unstructured_SNA_ApplyTradeCurrencyScaling">Model!$910:$910</definedName>
    <definedName name="z_Z99BO00122_MO_Unstructured_SNA_Avg">Model!$825:$825</definedName>
    <definedName name="z_Z99BO00122_MO_Unstructured_SNA_Bloomberg">Model!$874:$874</definedName>
    <definedName name="z_Z99BO00122_MO_Unstructured_SNA_Bloomberg_1">Model!$881:$881</definedName>
    <definedName name="z_Z99BO00122_MO_Unstructured_SNA_Bloomberg_2">Model!$888:$888</definedName>
    <definedName name="z_Z99BO00122_MO_Unstructured_SNA_Bloomberg_3">Model!$895:$895</definedName>
    <definedName name="z_Z99BO00122_MO_Unstructured_SNA_CapitalIQ">Model!$875:$875</definedName>
    <definedName name="z_Z99BO00122_MO_Unstructured_SNA_CapitalIQ_1">Model!$882:$882</definedName>
    <definedName name="z_Z99BO00122_MO_Unstructured_SNA_CapitalIQ_2">Model!$889:$889</definedName>
    <definedName name="z_Z99BO00122_MO_Unstructured_SNA_CapitalIQ_3">Model!$896:$896</definedName>
    <definedName name="z_Z99BO00122_MO_Unstructured_SNA_CashFlowPerDilutedShare">Model!$831:$831</definedName>
    <definedName name="z_Z99BO00122_MO_Unstructured_SNA_ConsensusEstimatesAdjustedEarningsPerShare">Model!$864:$864</definedName>
    <definedName name="z_Z99BO00122_MO_Unstructured_SNA_ConsensusEstimatesAdjustedEBITDAX">Model!$862:$862</definedName>
    <definedName name="z_Z99BO00122_MO_Unstructured_SNA_ConsensusEstimatesCapex">Model!$866:$866</definedName>
    <definedName name="z_Z99BO00122_MO_Unstructured_SNA_ConsensusEstimatesCashFlowPerDilutedShare">Model!$865:$865</definedName>
    <definedName name="z_Z99BO00122_MO_Unstructured_SNA_ConsensusEstimatesTotalaveragedailyproductionvolumes">Model!$863:$863</definedName>
    <definedName name="z_Z99BO00122_MO_Unstructured_SNA_ConsensusEstimateTable">Model!$859:$859</definedName>
    <definedName name="z_Z99BO00122_MO_Unstructured_SNA_CurrentFiscalYear">Model!$918:$918</definedName>
    <definedName name="z_Z99BO00122_MO_Unstructured_SNA_Company0642">Model!$820:$820</definedName>
    <definedName name="z_Z99BO00122_MO_Unstructured_SNA_Company0643">Model!$817:$817</definedName>
    <definedName name="z_Z99BO00122_MO_Unstructured_SNA_Company0643_1">Model!$819:$819</definedName>
    <definedName name="z_Z99BO00122_MO_Unstructured_SNA_Company0643_2">Model!$816:$816</definedName>
    <definedName name="z_Z99BO00122_MO_Unstructured_SNA_DataSourceIndex">Model!$921:$921</definedName>
    <definedName name="z_Z99BO00122_MO_Unstructured_SNA_EoP">Model!$826:$826</definedName>
    <definedName name="z_Z99BO00122_MO_Unstructured_SNA_FactSet">Model!$876:$876</definedName>
    <definedName name="z_Z99BO00122_MO_Unstructured_SNA_FactSet_1">Model!$883:$883</definedName>
    <definedName name="z_Z99BO00122_MO_Unstructured_SNA_FactSet_2">Model!$890:$890</definedName>
    <definedName name="z_Z99BO00122_MO_Unstructured_SNA_FactSet_3">Model!$897:$897</definedName>
    <definedName name="z_Z99BO00122_MO_Unstructured_SNA_FirstForecastFiscalYear">Model!$919:$919</definedName>
    <definedName name="z_Z99BO00122_MO_Unstructured_SNA_FiscalPeriodStartDate">Model!$870:$870</definedName>
    <definedName name="z_Z99BO00122_MO_Unstructured_SNA_FXAverageRealTimeOffSource">Model!$893:$893</definedName>
    <definedName name="z_Z99BO00122_MO_Unstructured_SNA_FXEoP">Model!$902:$902</definedName>
    <definedName name="z_Z99BO00122_MO_Unstructured_SNA_FYorFQ">Model!$860:$860</definedName>
    <definedName name="z_Z99BO00122_MO_Unstructured_SNA_GeneralTable">Model!$905:$905</definedName>
    <definedName name="z_Z99BO00122_MO_Unstructured_SNA_High">Model!$823:$823</definedName>
    <definedName name="z_Z99BO00122_MO_Unstructured_SNA_IsHistoricalPeriod">Model!$871:$871</definedName>
    <definedName name="z_Z99BO00122_MO_Unstructured_SNA_IsLatest">Model!$855:$855</definedName>
    <definedName name="z_Z99BO00122_MO_Unstructured_SNA_KeyOutputs">Model!$828:$828</definedName>
    <definedName name="z_Z99BO00122_MO_Unstructured_SNA_KPICount">Model!$920:$920</definedName>
    <definedName name="z_Z99BO00122_MO_Unstructured_SNA_KPIData">Model!$835:$835</definedName>
    <definedName name="z_Z99BO00122_MO_Unstructured_SNA_LastPrice">Model!$906:$906</definedName>
    <definedName name="z_Z99BO00122_MO_Unstructured_SNA_LastPriceDate">Model!$907:$907</definedName>
    <definedName name="z_Z99BO00122_MO_Unstructured_SNA_LastPriceFormula">Model!$909:$909</definedName>
    <definedName name="z_Z99BO00122_MO_Unstructured_SNA_LastWorkingDayInPeriod">Model!$900:$900</definedName>
    <definedName name="z_Z99BO00122_MO_Unstructured_SNA_Low">Model!$824:$824</definedName>
    <definedName name="z_Z99BO00122_MO_Unstructured_SNA_ModelSheetCurrencyHardcoded">Model!$913:$913</definedName>
    <definedName name="z_Z99BO00122_MO_Unstructured_SNA_MOKPIEnergyAverageDailyProductionNG">Model!$840:$840</definedName>
    <definedName name="z_Z99BO00122_MO_Unstructured_SNA_MOKPIEnergyAverageDailyProductionTotal">Model!$841:$841</definedName>
    <definedName name="z_Z99BO00122_MO_Unstructured_SNA_MOKPIEnergyLiquidsPercentage">Model!$844:$844</definedName>
    <definedName name="z_Z99BO00122_MO_Unstructured_SNA_MOKPIEnergyProductionGrowth">Model!$842:$842</definedName>
    <definedName name="z_Z99BO00122_MO_Unstructured_SNA_MOKPIEnergyProductionGrowthPerShare">Model!$843:$843</definedName>
    <definedName name="z_Z99BO00122_MO_Unstructured_SNA_MOKPIEnergyRealizedPriceOil">Model!$845:$845</definedName>
    <definedName name="z_Z99BO00122_MO_Unstructured_SNA_MOOSEmployeeCount">Model!$839:$839</definedName>
    <definedName name="z_Z99BO00122_MO_Unstructured_SNA_MORISEPSWADAdj">Model!$838:$838</definedName>
    <definedName name="z_Z99BO00122_MO_Unstructured_SNA_MORISNINONGAAPDiluted">Model!$837:$837</definedName>
    <definedName name="z_Z99BO00122_MO_Unstructured_SNA_MORISREV">Model!$836:$836</definedName>
    <definedName name="z_Z99BO00122_MO_Unstructured_SNA_MostRecentFiscalPeriodMRFP">Model!$917:$917</definedName>
    <definedName name="z_Z99BO00122_MO_Unstructured_SNA_MostRecentFX">Model!$914:$914</definedName>
    <definedName name="z_Z99BO00122_MO_Unstructured_SNA_MostRecentFXHardcoded">Model!$915:$915</definedName>
    <definedName name="z_Z99BO00122_MO_Unstructured_SNA_MRFPColumnNumber">Model!$916:$916</definedName>
    <definedName name="z_Z99BO00122_MO_Unstructured_SNA_NetDebtCashFlow">Model!$832:$832</definedName>
    <definedName name="z_Z99BO00122_MO_Unstructured_SNA_Company1923">Model!$818:$818</definedName>
    <definedName name="z_Z99BO00122_MO_Unstructured_SNA_Period">Model!$861:$861</definedName>
    <definedName name="z_Z99BO00122_MO_Unstructured_SNA_QuarterlyGuidanceTable">Model!$848:$848</definedName>
    <definedName name="z_Z99BO00122_MO_Unstructured_SNA_RealTimeOffSource">Model!$873:$873</definedName>
    <definedName name="z_Z99BO00122_MO_Unstructured_SNA_RealTimeOffSource_1">Model!$880:$880</definedName>
    <definedName name="z_Z99BO00122_MO_Unstructured_SNA_RealTimeOffSource_2">Model!$887:$887</definedName>
    <definedName name="z_Z99BO00122_MO_Unstructured_SNA_RealTimeOffSource_3">Model!$894:$894</definedName>
    <definedName name="z_Z99BO00122_MO_Unstructured_SNA_RealTimeStockPrice">Model!$908:$908</definedName>
    <definedName name="z_Z99BO00122_MO_Unstructured_SNA_Refinitiv">Model!$877:$877</definedName>
    <definedName name="z_Z99BO00122_MO_Unstructured_SNA_Refinitiv_1">Model!$884:$884</definedName>
    <definedName name="z_Z99BO00122_MO_Unstructured_SNA_Refinitiv_2">Model!$891:$891</definedName>
    <definedName name="z_Z99BO00122_MO_Unstructured_SNA_Refinitiv_3">Model!$898:$898</definedName>
    <definedName name="z_Z99BO00122_MO_Unstructured_SNA_ReportingDate">Model!$849:$849</definedName>
    <definedName name="z_Z99BO00122_MO_Unstructured_SNA_ReportingDate_1">Model!$854:$854</definedName>
    <definedName name="z_Z99BO00122_MO_Unstructured_SNA_StockAverageRealTimeOffSource">Model!$886:$886</definedName>
    <definedName name="z_Z99BO00122_MO_Unstructured_SNA_StockHighRealTimeOffSource">Model!$872:$872</definedName>
    <definedName name="z_Z99BO00122_MO_Unstructured_SNA_StockLowRealTimeOffSource">Model!$879:$879</definedName>
    <definedName name="z_Z99BO00122_MO_Unstructured_SNA_StockPriceEoP">Model!$901:$901</definedName>
    <definedName name="z_Z99BO00122_MO_Unstructured_SNA_StockPriceTable">Model!$869:$869</definedName>
    <definedName name="z_Z99BO00122_MO_Unstructured_SNA_TickerSymbol">Model!$815:$815</definedName>
    <definedName name="z_Z99BO00122_MO_Unstructured_SNA_Totalaveragedailyproductionvolumes">Model!$829:$829</definedName>
    <definedName name="z_Z99BO00122_MO_Unstructured_SNA_TradeCurrency">Model!$911:$911</definedName>
    <definedName name="z_Z99BO00122_MO_Unstructured_SNA_TradeCurrencyHardcoded">Model!$912:$912</definedName>
    <definedName name="z_Z99BO00122_MO_Unstructured_SNA_ValuationToggleTable">Model!$822:$822</definedName>
    <definedName name="z_Z99BO00122_MO_VA_EnterpriseValueAverage">Model!$606:$606</definedName>
    <definedName name="z_Z99BO00122_MO_VA_enterprisevaluecomponents">Model!$622:$622</definedName>
    <definedName name="z_Z99BO00122_MO_VA_EVEBITDAXAverage">Model!$609:$609</definedName>
    <definedName name="z_Z99BO00122_MO_VA_EVFlowingAverage">Model!$610:$610</definedName>
    <definedName name="z_Z99BO00122_MO_VA_FCFYieldtoAverageEnterpriseValue">Model!$612:$612</definedName>
    <definedName name="z_Z99BO00122_MO_VA_FCFYieldtoAverageMarketCap">Model!$611:$611</definedName>
    <definedName name="z_Z99BO00122_MO_VA_MarketCapAverage">Model!$605:$605</definedName>
    <definedName name="z_Z99BO00122_MO_VA_NoncontrollingInterest">Model!$623:$623</definedName>
    <definedName name="z_Z99BO00122_MO_VA_OtherEVComponents">Model!$625:$625</definedName>
    <definedName name="z_Z99BO00122_MO_VA_PCFAverage">Model!$608:$608</definedName>
    <definedName name="z_Z99BO00122_MO_VA_PreferredShares">Model!$624:$624</definedName>
    <definedName name="z_Z99BO00122_MO_VA_StockAvg">Model!$616:$616</definedName>
    <definedName name="z_Z99BO00122_MO_VA_StockHigh">Model!$614:$614</definedName>
    <definedName name="z_Z99BO00122_MO_VA_StockLow">Model!$615:$615</definedName>
    <definedName name="z_Z99BO00122_MO_VA_StockPriceAverage">Model!$604:$604</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F889" i="1" l="1"/>
  <c r="CF875" i="1"/>
  <c r="CF882" i="1"/>
  <c r="CD882" i="1"/>
  <c r="CD875" i="1"/>
  <c r="CD889" i="1"/>
  <c r="CC889" i="1"/>
  <c r="CE882" i="1"/>
  <c r="CE875" i="1"/>
  <c r="CE889" i="1"/>
  <c r="CC882" i="1"/>
  <c r="CC875" i="1"/>
  <c r="CB882" i="1"/>
  <c r="CB889" i="1"/>
  <c r="CB875" i="1"/>
  <c r="CA882" i="1"/>
  <c r="CA875" i="1"/>
  <c r="BZ882" i="1"/>
  <c r="CA889" i="1"/>
  <c r="BZ889" i="1"/>
  <c r="BZ875" i="1"/>
  <c r="BY889" i="1"/>
  <c r="BY875" i="1"/>
  <c r="BY882" i="1"/>
  <c r="BX889" i="1"/>
  <c r="BX875" i="1"/>
  <c r="BX882" i="1"/>
  <c r="BW875" i="1"/>
  <c r="BW889" i="1"/>
  <c r="BW882" i="1"/>
  <c r="BT882" i="1"/>
  <c r="BT875" i="1"/>
  <c r="BV889" i="1"/>
  <c r="BV882" i="1"/>
  <c r="BV875" i="1"/>
  <c r="BU889" i="1"/>
  <c r="BU882" i="1"/>
  <c r="BU875" i="1"/>
  <c r="BT889" i="1"/>
  <c r="BS889" i="1"/>
  <c r="BS882" i="1"/>
  <c r="BS875" i="1"/>
  <c r="BQ882" i="1"/>
  <c r="BR889" i="1"/>
  <c r="BR875" i="1"/>
  <c r="BR882" i="1"/>
  <c r="BQ889" i="1"/>
  <c r="BQ875" i="1"/>
  <c r="BP882" i="1"/>
  <c r="BP889" i="1"/>
  <c r="BP875" i="1"/>
  <c r="BO882" i="1"/>
  <c r="BO889" i="1"/>
  <c r="BO875" i="1"/>
  <c r="BN889" i="1"/>
  <c r="BN875" i="1"/>
  <c r="BM875" i="1"/>
  <c r="BN882" i="1"/>
  <c r="BM882" i="1"/>
  <c r="BM889" i="1"/>
  <c r="BL889" i="1"/>
  <c r="BL882" i="1"/>
  <c r="BL875" i="1"/>
  <c r="BJ875" i="1"/>
  <c r="BJ882" i="1"/>
  <c r="BK889" i="1"/>
  <c r="BK882" i="1"/>
  <c r="BK875" i="1"/>
  <c r="BJ889" i="1"/>
  <c r="BH882" i="1"/>
  <c r="BI889" i="1"/>
  <c r="BI875" i="1"/>
  <c r="BI882" i="1"/>
  <c r="BH889" i="1"/>
  <c r="BH875" i="1"/>
  <c r="BF875" i="1"/>
  <c r="BF889" i="1"/>
  <c r="BG875" i="1"/>
  <c r="BF882" i="1"/>
  <c r="BG889" i="1"/>
  <c r="BG882" i="1"/>
  <c r="BE882" i="1"/>
  <c r="BE875" i="1"/>
  <c r="BE889" i="1"/>
  <c r="BD875" i="1"/>
  <c r="BC889" i="1"/>
  <c r="BC882" i="1"/>
  <c r="BC875" i="1"/>
  <c r="BD889" i="1"/>
  <c r="BD882" i="1"/>
  <c r="BB882" i="1"/>
  <c r="BA889" i="1"/>
  <c r="BA875" i="1"/>
  <c r="BA882" i="1"/>
  <c r="BB889" i="1"/>
  <c r="BB875" i="1"/>
  <c r="AZ875" i="1"/>
  <c r="AZ882" i="1"/>
  <c r="AZ889" i="1"/>
  <c r="AY889" i="1"/>
  <c r="AY875" i="1"/>
  <c r="AY882" i="1"/>
  <c r="AW882" i="1"/>
  <c r="AW875" i="1"/>
  <c r="AX889" i="1"/>
  <c r="AX882" i="1"/>
  <c r="AX875" i="1"/>
  <c r="AW889" i="1"/>
  <c r="AV889" i="1"/>
  <c r="AV882" i="1"/>
  <c r="AV875" i="1"/>
  <c r="AU882" i="1"/>
  <c r="AU875" i="1"/>
  <c r="AT882" i="1"/>
  <c r="AU889" i="1"/>
  <c r="AT889" i="1"/>
  <c r="AT875" i="1"/>
  <c r="AS889" i="1"/>
  <c r="AS875" i="1"/>
  <c r="AS882" i="1"/>
  <c r="AR875" i="1"/>
  <c r="AR889" i="1"/>
  <c r="AR882" i="1"/>
  <c r="AQ882" i="1"/>
  <c r="AQ875" i="1"/>
  <c r="AQ889" i="1"/>
  <c r="AP882" i="1"/>
  <c r="AP875" i="1"/>
  <c r="AP889" i="1"/>
  <c r="AO882" i="1"/>
  <c r="AO875" i="1"/>
  <c r="AO889" i="1"/>
  <c r="AN882" i="1"/>
  <c r="AN889" i="1"/>
  <c r="AN875" i="1"/>
  <c r="AM889" i="1"/>
  <c r="AM882" i="1"/>
  <c r="AM875" i="1"/>
  <c r="AL889" i="1"/>
  <c r="AL875" i="1"/>
  <c r="AL882" i="1"/>
  <c r="AK889" i="1"/>
  <c r="AK875" i="1"/>
  <c r="AK882" i="1"/>
  <c r="AJ882" i="1"/>
  <c r="AJ889" i="1"/>
  <c r="AJ875" i="1"/>
  <c r="AI889" i="1"/>
  <c r="AI882" i="1"/>
  <c r="AI875" i="1"/>
  <c r="AH889" i="1"/>
  <c r="AH882" i="1"/>
  <c r="AH875" i="1"/>
  <c r="AF889" i="1"/>
  <c r="AF882" i="1"/>
  <c r="AF875" i="1"/>
  <c r="AG875" i="1"/>
  <c r="AE875" i="1"/>
  <c r="AG889" i="1"/>
  <c r="AG882" i="1"/>
  <c r="AE889" i="1"/>
  <c r="AE882" i="1"/>
  <c r="AC889" i="1"/>
  <c r="AC875" i="1"/>
  <c r="AC882" i="1"/>
  <c r="AD889" i="1"/>
  <c r="AD875" i="1"/>
  <c r="AD882" i="1"/>
  <c r="AA882" i="1"/>
  <c r="AA889" i="1"/>
  <c r="AA875" i="1"/>
  <c r="AB889" i="1"/>
  <c r="AB875" i="1"/>
  <c r="AB882" i="1"/>
  <c r="Y882" i="1"/>
  <c r="Y875" i="1"/>
  <c r="Z882" i="1"/>
  <c r="Z889" i="1"/>
  <c r="Z875" i="1"/>
  <c r="Y889" i="1"/>
  <c r="X889" i="1"/>
  <c r="X882" i="1"/>
  <c r="X875" i="1"/>
  <c r="W882" i="1"/>
  <c r="W875" i="1"/>
  <c r="V889" i="1"/>
  <c r="V875" i="1"/>
  <c r="V882" i="1"/>
  <c r="W889" i="1"/>
  <c r="U889" i="1"/>
  <c r="U875" i="1"/>
  <c r="U882" i="1"/>
  <c r="T875" i="1"/>
  <c r="T882" i="1"/>
  <c r="S882" i="1"/>
  <c r="S875" i="1"/>
  <c r="S889" i="1"/>
  <c r="T889" i="1"/>
  <c r="R875" i="1"/>
  <c r="R889" i="1"/>
  <c r="Q882" i="1"/>
  <c r="Q875" i="1"/>
  <c r="Q889" i="1"/>
  <c r="R882" i="1"/>
  <c r="P889" i="1"/>
  <c r="P882" i="1"/>
  <c r="P875" i="1"/>
  <c r="N889" i="1"/>
  <c r="N875" i="1"/>
  <c r="N882" i="1"/>
  <c r="O889" i="1"/>
  <c r="O882" i="1"/>
  <c r="O875" i="1"/>
  <c r="M889" i="1"/>
  <c r="M875" i="1"/>
  <c r="M882" i="1"/>
  <c r="K882" i="1"/>
  <c r="K875" i="1"/>
  <c r="L889" i="1"/>
  <c r="L875" i="1"/>
  <c r="L882" i="1"/>
  <c r="K889" i="1"/>
  <c r="J882" i="1"/>
  <c r="J875" i="1"/>
  <c r="I889" i="1"/>
  <c r="I882" i="1"/>
  <c r="I875" i="1"/>
  <c r="J889" i="1"/>
  <c r="H889" i="1"/>
  <c r="H882" i="1"/>
  <c r="H875" i="1"/>
  <c r="G889" i="1"/>
  <c r="G882" i="1"/>
  <c r="G875" i="1"/>
  <c r="E889" i="1"/>
  <c r="E875" i="1"/>
  <c r="E882" i="1"/>
  <c r="F889" i="1"/>
  <c r="F875" i="1"/>
  <c r="F882" i="1"/>
  <c r="C889" i="1"/>
  <c r="C875" i="1"/>
  <c r="C882" i="1"/>
  <c r="D882" i="1"/>
  <c r="D889" i="1"/>
  <c r="D875" i="1"/>
  <c r="H8" i="8"/>
  <c r="H7" i="8"/>
  <c r="F7" i="8"/>
  <c r="A119" i="9"/>
  <c r="A118" i="9"/>
  <c r="A117" i="9"/>
  <c r="A116" i="9"/>
  <c r="A115" i="9"/>
  <c r="I104" i="9"/>
  <c r="H104" i="9"/>
  <c r="G104" i="9"/>
  <c r="I98" i="9"/>
  <c r="H98" i="9"/>
  <c r="G98" i="9"/>
  <c r="CF74" i="9"/>
  <c r="CE74" i="9"/>
  <c r="CD74" i="9"/>
  <c r="CB74" i="9"/>
  <c r="CA74" i="9"/>
  <c r="BZ74" i="9"/>
  <c r="BY74" i="9"/>
  <c r="BW74" i="9"/>
  <c r="BV74" i="9"/>
  <c r="BU74" i="9"/>
  <c r="BT74" i="9"/>
  <c r="BR74" i="9"/>
  <c r="BQ74" i="9"/>
  <c r="BP74" i="9"/>
  <c r="BO74" i="9"/>
  <c r="BM74" i="9"/>
  <c r="BL74" i="9"/>
  <c r="BK74" i="9"/>
  <c r="BJ74" i="9"/>
  <c r="BH74" i="9"/>
  <c r="BG74" i="9"/>
  <c r="BF74" i="9"/>
  <c r="BE74" i="9"/>
  <c r="BC74" i="9"/>
  <c r="BB74" i="9"/>
  <c r="BA74" i="9"/>
  <c r="AZ74" i="9"/>
  <c r="AX74" i="9"/>
  <c r="AW74" i="9"/>
  <c r="AV74" i="9"/>
  <c r="AU74" i="9"/>
  <c r="AS74" i="9"/>
  <c r="AR74" i="9"/>
  <c r="AQ74" i="9"/>
  <c r="AP74" i="9"/>
  <c r="AN74" i="9"/>
  <c r="AM74" i="9"/>
  <c r="AL74" i="9"/>
  <c r="AK74" i="9"/>
  <c r="AI74" i="9"/>
  <c r="AH74" i="9"/>
  <c r="AG74" i="9"/>
  <c r="AF74" i="9"/>
  <c r="AD74" i="9"/>
  <c r="AC74" i="9"/>
  <c r="AB74" i="9"/>
  <c r="AA74" i="9"/>
  <c r="Y74" i="9"/>
  <c r="X74" i="9"/>
  <c r="W74" i="9"/>
  <c r="V74" i="9"/>
  <c r="U74" i="9"/>
  <c r="T74" i="9"/>
  <c r="S74" i="9"/>
  <c r="R74" i="9"/>
  <c r="Q74" i="9"/>
  <c r="P74" i="9"/>
  <c r="O74" i="9"/>
  <c r="N74" i="9"/>
  <c r="M74" i="9"/>
  <c r="L74" i="9"/>
  <c r="K74" i="9"/>
  <c r="J74" i="9"/>
  <c r="I74" i="9"/>
  <c r="H74" i="9"/>
  <c r="G74" i="9"/>
  <c r="F74" i="9"/>
  <c r="E74" i="9"/>
  <c r="D74" i="9"/>
  <c r="C74" i="9"/>
  <c r="CF69" i="9"/>
  <c r="CE69" i="9"/>
  <c r="CD69" i="9"/>
  <c r="CB69" i="9"/>
  <c r="CA69" i="9"/>
  <c r="BZ69" i="9"/>
  <c r="BY69" i="9"/>
  <c r="BW69" i="9"/>
  <c r="BV69" i="9"/>
  <c r="BU69" i="9"/>
  <c r="CF68" i="9"/>
  <c r="CE68" i="9"/>
  <c r="CD68" i="9"/>
  <c r="CB68" i="9"/>
  <c r="CA68" i="9"/>
  <c r="BZ68" i="9"/>
  <c r="BY68" i="9"/>
  <c r="BW68" i="9"/>
  <c r="BV68" i="9"/>
  <c r="BU68" i="9"/>
  <c r="CF67" i="9"/>
  <c r="CE67" i="9"/>
  <c r="CD67" i="9"/>
  <c r="CB67" i="9"/>
  <c r="CA67" i="9"/>
  <c r="BZ67" i="9"/>
  <c r="BY67" i="9"/>
  <c r="BW67" i="9"/>
  <c r="BV67" i="9"/>
  <c r="BU67" i="9"/>
  <c r="CF66" i="9"/>
  <c r="CE66" i="9"/>
  <c r="CD66" i="9"/>
  <c r="CB66" i="9"/>
  <c r="CA66" i="9"/>
  <c r="BZ66" i="9"/>
  <c r="BY66" i="9"/>
  <c r="BW66" i="9"/>
  <c r="BV66" i="9"/>
  <c r="BU66" i="9"/>
  <c r="A66" i="9"/>
  <c r="CF65" i="9"/>
  <c r="CE65" i="9"/>
  <c r="CD65" i="9"/>
  <c r="CB65" i="9"/>
  <c r="CA65" i="9"/>
  <c r="BZ65" i="9"/>
  <c r="BY65" i="9"/>
  <c r="BW65" i="9"/>
  <c r="BV65" i="9"/>
  <c r="BU65" i="9"/>
  <c r="A65" i="9"/>
  <c r="A63" i="9"/>
  <c r="CF61" i="9"/>
  <c r="CE61" i="9"/>
  <c r="CD61" i="9"/>
  <c r="CB61" i="9"/>
  <c r="CA61" i="9"/>
  <c r="BZ61" i="9"/>
  <c r="BY61" i="9"/>
  <c r="BW61" i="9"/>
  <c r="BV61" i="9"/>
  <c r="BU61" i="9"/>
  <c r="A61" i="9"/>
  <c r="CF59" i="9"/>
  <c r="CE59" i="9"/>
  <c r="CD59" i="9"/>
  <c r="CB59" i="9"/>
  <c r="CA59" i="9"/>
  <c r="BZ59" i="9"/>
  <c r="BY59" i="9"/>
  <c r="BW59" i="9"/>
  <c r="BV59" i="9"/>
  <c r="BU59" i="9"/>
  <c r="A58" i="9"/>
  <c r="A54" i="9"/>
  <c r="A53" i="9"/>
  <c r="A52" i="9"/>
  <c r="A51" i="9"/>
  <c r="A50" i="9"/>
  <c r="A47" i="9"/>
  <c r="A46" i="9"/>
  <c r="A45" i="9"/>
  <c r="A42" i="9"/>
  <c r="A41" i="9"/>
  <c r="A40" i="9"/>
  <c r="CF39" i="9"/>
  <c r="CE39" i="9"/>
  <c r="CD39" i="9"/>
  <c r="CB39" i="9"/>
  <c r="CA39" i="9"/>
  <c r="BZ39" i="9"/>
  <c r="BY39" i="9"/>
  <c r="BW39" i="9"/>
  <c r="BV39" i="9"/>
  <c r="BU39" i="9"/>
  <c r="BT39" i="9"/>
  <c r="BS39" i="9"/>
  <c r="BR39" i="9"/>
  <c r="BQ39" i="9"/>
  <c r="BP39" i="9"/>
  <c r="BO39" i="9"/>
  <c r="BN39" i="9"/>
  <c r="BM39" i="9"/>
  <c r="BL39" i="9"/>
  <c r="BK39" i="9"/>
  <c r="BJ39" i="9"/>
  <c r="BI39" i="9"/>
  <c r="BH39" i="9"/>
  <c r="BG39" i="9"/>
  <c r="BF39" i="9"/>
  <c r="BE39" i="9"/>
  <c r="BD39" i="9"/>
  <c r="BC39" i="9"/>
  <c r="BB39" i="9"/>
  <c r="BA39" i="9"/>
  <c r="AZ39" i="9"/>
  <c r="AY39" i="9"/>
  <c r="AX39" i="9"/>
  <c r="AW39" i="9"/>
  <c r="AV39" i="9"/>
  <c r="AU39" i="9"/>
  <c r="AT39" i="9"/>
  <c r="AS39" i="9"/>
  <c r="AR39" i="9"/>
  <c r="AQ39" i="9"/>
  <c r="AP39" i="9"/>
  <c r="AO39" i="9"/>
  <c r="AN39" i="9"/>
  <c r="AM39" i="9"/>
  <c r="AL39" i="9"/>
  <c r="AK39" i="9"/>
  <c r="AJ39" i="9"/>
  <c r="AI39" i="9"/>
  <c r="AH39" i="9"/>
  <c r="AG39" i="9"/>
  <c r="AF39" i="9"/>
  <c r="AE39" i="9"/>
  <c r="AD39" i="9"/>
  <c r="AC39" i="9"/>
  <c r="AB39" i="9"/>
  <c r="AA39" i="9"/>
  <c r="Z39" i="9"/>
  <c r="Y39" i="9"/>
  <c r="X39" i="9"/>
  <c r="W39" i="9"/>
  <c r="V39" i="9"/>
  <c r="U39" i="9"/>
  <c r="T39" i="9"/>
  <c r="S39" i="9"/>
  <c r="R39" i="9"/>
  <c r="Q39" i="9"/>
  <c r="P39" i="9"/>
  <c r="O39" i="9"/>
  <c r="N39" i="9"/>
  <c r="M39" i="9"/>
  <c r="L39" i="9"/>
  <c r="K39" i="9"/>
  <c r="J39" i="9"/>
  <c r="I39" i="9"/>
  <c r="H39" i="9"/>
  <c r="G39" i="9"/>
  <c r="F39" i="9"/>
  <c r="E39" i="9"/>
  <c r="D39" i="9"/>
  <c r="C39" i="9"/>
  <c r="A39" i="9"/>
  <c r="CF38" i="9"/>
  <c r="CE38" i="9"/>
  <c r="CD38" i="9"/>
  <c r="CB38" i="9"/>
  <c r="CA38" i="9"/>
  <c r="BZ38" i="9"/>
  <c r="BY38" i="9"/>
  <c r="BW38" i="9"/>
  <c r="BV38" i="9"/>
  <c r="BU38" i="9"/>
  <c r="A38" i="9"/>
  <c r="CF37" i="9"/>
  <c r="CE37" i="9"/>
  <c r="CD37" i="9"/>
  <c r="CB37" i="9"/>
  <c r="CA37" i="9"/>
  <c r="BZ37" i="9"/>
  <c r="BY37" i="9"/>
  <c r="BW37" i="9"/>
  <c r="BV37" i="9"/>
  <c r="BU37" i="9"/>
  <c r="BT37" i="9"/>
  <c r="BS37" i="9"/>
  <c r="BR37" i="9"/>
  <c r="BQ37" i="9"/>
  <c r="BP37" i="9"/>
  <c r="BO37" i="9"/>
  <c r="BN37" i="9"/>
  <c r="BM37" i="9"/>
  <c r="BL37" i="9"/>
  <c r="BK37" i="9"/>
  <c r="BJ37" i="9"/>
  <c r="BI37" i="9"/>
  <c r="BH37" i="9"/>
  <c r="BG37" i="9"/>
  <c r="BF37" i="9"/>
  <c r="BE37" i="9"/>
  <c r="BD37" i="9"/>
  <c r="BC37" i="9"/>
  <c r="BB37" i="9"/>
  <c r="BA37" i="9"/>
  <c r="AZ37" i="9"/>
  <c r="AY37" i="9"/>
  <c r="AX37" i="9"/>
  <c r="AW37" i="9"/>
  <c r="AV37" i="9"/>
  <c r="AU37" i="9"/>
  <c r="AT37" i="9"/>
  <c r="AS37" i="9"/>
  <c r="AR37" i="9"/>
  <c r="AQ37" i="9"/>
  <c r="AP37" i="9"/>
  <c r="AO37" i="9"/>
  <c r="AN37" i="9"/>
  <c r="AM37" i="9"/>
  <c r="AL37" i="9"/>
  <c r="AK37" i="9"/>
  <c r="AJ37" i="9"/>
  <c r="AI37" i="9"/>
  <c r="AH37" i="9"/>
  <c r="AG37" i="9"/>
  <c r="AF37" i="9"/>
  <c r="AE37" i="9"/>
  <c r="AD37" i="9"/>
  <c r="AC37" i="9"/>
  <c r="AB37" i="9"/>
  <c r="AA37" i="9"/>
  <c r="Z37" i="9"/>
  <c r="Y37" i="9"/>
  <c r="X37" i="9"/>
  <c r="W37" i="9"/>
  <c r="V37" i="9"/>
  <c r="U37" i="9"/>
  <c r="T37" i="9"/>
  <c r="S37" i="9"/>
  <c r="R37" i="9"/>
  <c r="Q37" i="9"/>
  <c r="P37" i="9"/>
  <c r="O37" i="9"/>
  <c r="N37" i="9"/>
  <c r="M37" i="9"/>
  <c r="L37" i="9"/>
  <c r="K37" i="9"/>
  <c r="J37" i="9"/>
  <c r="I37" i="9"/>
  <c r="H37" i="9"/>
  <c r="G37" i="9"/>
  <c r="F37" i="9"/>
  <c r="E37" i="9"/>
  <c r="D37" i="9"/>
  <c r="C37" i="9"/>
  <c r="A37" i="9"/>
  <c r="A35" i="9"/>
  <c r="CF34" i="9"/>
  <c r="CE34" i="9"/>
  <c r="CD34" i="9"/>
  <c r="CB34" i="9"/>
  <c r="CA34" i="9"/>
  <c r="BZ34" i="9"/>
  <c r="BY34" i="9"/>
  <c r="BW34" i="9"/>
  <c r="BV34" i="9"/>
  <c r="BU34" i="9"/>
  <c r="BT34" i="9"/>
  <c r="BS34" i="9"/>
  <c r="BR34" i="9"/>
  <c r="BQ34" i="9"/>
  <c r="BP34" i="9"/>
  <c r="BO34" i="9"/>
  <c r="BN34" i="9"/>
  <c r="BM34" i="9"/>
  <c r="BL34" i="9"/>
  <c r="BK34" i="9"/>
  <c r="BJ34" i="9"/>
  <c r="BI34" i="9"/>
  <c r="BH34" i="9"/>
  <c r="BG34" i="9"/>
  <c r="BF34" i="9"/>
  <c r="BE34" i="9"/>
  <c r="BD34" i="9"/>
  <c r="BC34" i="9"/>
  <c r="BB34" i="9"/>
  <c r="BA34" i="9"/>
  <c r="AZ34" i="9"/>
  <c r="AY34" i="9"/>
  <c r="AX34" i="9"/>
  <c r="AW34" i="9"/>
  <c r="AV34" i="9"/>
  <c r="AU34" i="9"/>
  <c r="AT34" i="9"/>
  <c r="AS34" i="9"/>
  <c r="AR34" i="9"/>
  <c r="AQ34" i="9"/>
  <c r="AP34" i="9"/>
  <c r="AO34" i="9"/>
  <c r="AN34" i="9"/>
  <c r="AM34" i="9"/>
  <c r="AL34" i="9"/>
  <c r="AK34" i="9"/>
  <c r="AJ34" i="9"/>
  <c r="AI34" i="9"/>
  <c r="AH34" i="9"/>
  <c r="AG34" i="9"/>
  <c r="AF34" i="9"/>
  <c r="AE34" i="9"/>
  <c r="AD34" i="9"/>
  <c r="AC34" i="9"/>
  <c r="AB34" i="9"/>
  <c r="AA34" i="9"/>
  <c r="Z34" i="9"/>
  <c r="Y34" i="9"/>
  <c r="X34" i="9"/>
  <c r="W34" i="9"/>
  <c r="V34" i="9"/>
  <c r="U34" i="9"/>
  <c r="T34" i="9"/>
  <c r="S34" i="9"/>
  <c r="R34" i="9"/>
  <c r="Q34" i="9"/>
  <c r="P34" i="9"/>
  <c r="O34" i="9"/>
  <c r="N34" i="9"/>
  <c r="M34" i="9"/>
  <c r="L34" i="9"/>
  <c r="K34" i="9"/>
  <c r="J34" i="9"/>
  <c r="I34" i="9"/>
  <c r="H34" i="9"/>
  <c r="G34" i="9"/>
  <c r="F34" i="9"/>
  <c r="E34" i="9"/>
  <c r="D34" i="9"/>
  <c r="C34" i="9"/>
  <c r="A34" i="9"/>
  <c r="A33" i="9"/>
  <c r="CF32" i="9"/>
  <c r="CE32" i="9"/>
  <c r="CD32" i="9"/>
  <c r="CB32" i="9"/>
  <c r="CA32" i="9"/>
  <c r="BZ32" i="9"/>
  <c r="BY32" i="9"/>
  <c r="BW32" i="9"/>
  <c r="BV32" i="9"/>
  <c r="BU32" i="9"/>
  <c r="A32" i="9"/>
  <c r="CF31" i="9"/>
  <c r="CE31" i="9"/>
  <c r="CD31" i="9"/>
  <c r="CB31" i="9"/>
  <c r="CA31" i="9"/>
  <c r="BZ31" i="9"/>
  <c r="BY31" i="9"/>
  <c r="BW31" i="9"/>
  <c r="BV31" i="9"/>
  <c r="BU31" i="9"/>
  <c r="A31" i="9"/>
  <c r="A30" i="9"/>
  <c r="A29" i="9"/>
  <c r="A28" i="9"/>
  <c r="A27" i="9"/>
  <c r="A26" i="9"/>
  <c r="A25" i="9"/>
  <c r="CF22" i="9"/>
  <c r="CE22" i="9"/>
  <c r="CD22" i="9"/>
  <c r="CC22" i="9"/>
  <c r="CB22" i="9"/>
  <c r="CA22" i="9"/>
  <c r="BZ22" i="9"/>
  <c r="BY22" i="9"/>
  <c r="BX22" i="9"/>
  <c r="BW22" i="9"/>
  <c r="BV22" i="9"/>
  <c r="BU22" i="9"/>
  <c r="A22" i="9"/>
  <c r="CF20" i="9"/>
  <c r="CE20" i="9"/>
  <c r="CD20" i="9"/>
  <c r="CC20" i="9"/>
  <c r="CB20" i="9"/>
  <c r="CA20" i="9"/>
  <c r="BZ20" i="9"/>
  <c r="BY20" i="9"/>
  <c r="BX20" i="9"/>
  <c r="BW20" i="9"/>
  <c r="BV20" i="9"/>
  <c r="BU20" i="9"/>
  <c r="A20" i="9"/>
  <c r="CF19" i="9"/>
  <c r="CE19" i="9"/>
  <c r="CD19" i="9"/>
  <c r="CC19" i="9"/>
  <c r="CB19" i="9"/>
  <c r="CA19" i="9"/>
  <c r="BZ19" i="9"/>
  <c r="BY19" i="9"/>
  <c r="BX19" i="9"/>
  <c r="BW19" i="9"/>
  <c r="BV19" i="9"/>
  <c r="BU19" i="9"/>
  <c r="BT19" i="9"/>
  <c r="BS19" i="9"/>
  <c r="BR19" i="9"/>
  <c r="BQ19" i="9"/>
  <c r="BP19" i="9"/>
  <c r="BO19" i="9"/>
  <c r="BN19" i="9"/>
  <c r="BM19" i="9"/>
  <c r="BL19" i="9"/>
  <c r="BK19" i="9"/>
  <c r="BJ19" i="9"/>
  <c r="BI19" i="9"/>
  <c r="BH19" i="9"/>
  <c r="BG19" i="9"/>
  <c r="BF19" i="9"/>
  <c r="BE19" i="9"/>
  <c r="BD19" i="9"/>
  <c r="BC19" i="9"/>
  <c r="BB19" i="9"/>
  <c r="BA19" i="9"/>
  <c r="AZ19" i="9"/>
  <c r="AY19" i="9"/>
  <c r="AX19" i="9"/>
  <c r="AW19" i="9"/>
  <c r="AV19" i="9"/>
  <c r="AU19" i="9"/>
  <c r="AT19" i="9"/>
  <c r="AS19" i="9"/>
  <c r="AR19" i="9"/>
  <c r="AQ19" i="9"/>
  <c r="AP19" i="9"/>
  <c r="AO19" i="9"/>
  <c r="AN19" i="9"/>
  <c r="AM19" i="9"/>
  <c r="AL19" i="9"/>
  <c r="AK19" i="9"/>
  <c r="AJ19" i="9"/>
  <c r="AI19" i="9"/>
  <c r="AH19" i="9"/>
  <c r="AG19" i="9"/>
  <c r="AF19" i="9"/>
  <c r="AE19" i="9"/>
  <c r="AD19" i="9"/>
  <c r="AC19" i="9"/>
  <c r="AB19" i="9"/>
  <c r="AA19" i="9"/>
  <c r="Z19" i="9"/>
  <c r="Y19" i="9"/>
  <c r="X19" i="9"/>
  <c r="W19" i="9"/>
  <c r="V19" i="9"/>
  <c r="U19" i="9"/>
  <c r="S19" i="9"/>
  <c r="R19" i="9"/>
  <c r="Q19" i="9"/>
  <c r="P19" i="9"/>
  <c r="N19" i="9"/>
  <c r="M19" i="9"/>
  <c r="L19" i="9"/>
  <c r="K19" i="9"/>
  <c r="I19" i="9"/>
  <c r="H19" i="9"/>
  <c r="G19" i="9"/>
  <c r="F19" i="9"/>
  <c r="E19" i="9"/>
  <c r="D19" i="9"/>
  <c r="C19" i="9"/>
  <c r="A19" i="9"/>
  <c r="CF18" i="9"/>
  <c r="CE18" i="9"/>
  <c r="CD18" i="9"/>
  <c r="CC18" i="9"/>
  <c r="CB18" i="9"/>
  <c r="CA18" i="9"/>
  <c r="BZ18" i="9"/>
  <c r="BY18" i="9"/>
  <c r="BX18" i="9"/>
  <c r="BW18" i="9"/>
  <c r="BV18" i="9"/>
  <c r="BU18" i="9"/>
  <c r="BT18" i="9"/>
  <c r="BS18" i="9"/>
  <c r="BR18" i="9"/>
  <c r="BQ18" i="9"/>
  <c r="BP18" i="9"/>
  <c r="BO18" i="9"/>
  <c r="BN18" i="9"/>
  <c r="BM18" i="9"/>
  <c r="BL18" i="9"/>
  <c r="BK18" i="9"/>
  <c r="BJ18" i="9"/>
  <c r="BI18" i="9"/>
  <c r="BH18" i="9"/>
  <c r="BG18" i="9"/>
  <c r="BF18" i="9"/>
  <c r="BE18" i="9"/>
  <c r="BD18" i="9"/>
  <c r="BC18" i="9"/>
  <c r="BB18" i="9"/>
  <c r="BA18" i="9"/>
  <c r="AZ18" i="9"/>
  <c r="AY18" i="9"/>
  <c r="AX18" i="9"/>
  <c r="AW18" i="9"/>
  <c r="AV18" i="9"/>
  <c r="AU18" i="9"/>
  <c r="AT18" i="9"/>
  <c r="AS18" i="9"/>
  <c r="AR18" i="9"/>
  <c r="AQ18" i="9"/>
  <c r="AP18" i="9"/>
  <c r="AO18" i="9"/>
  <c r="AN18" i="9"/>
  <c r="AM18" i="9"/>
  <c r="AL18" i="9"/>
  <c r="AK18" i="9"/>
  <c r="AJ18" i="9"/>
  <c r="AI18" i="9"/>
  <c r="AH18" i="9"/>
  <c r="AG18" i="9"/>
  <c r="AF18" i="9"/>
  <c r="AE18" i="9"/>
  <c r="AD18" i="9"/>
  <c r="AC18" i="9"/>
  <c r="AB18" i="9"/>
  <c r="AA18" i="9"/>
  <c r="Z18" i="9"/>
  <c r="Y18" i="9"/>
  <c r="X18" i="9"/>
  <c r="W18" i="9"/>
  <c r="V18" i="9"/>
  <c r="U18" i="9"/>
  <c r="S18" i="9"/>
  <c r="R18" i="9"/>
  <c r="Q18" i="9"/>
  <c r="P18" i="9"/>
  <c r="N18" i="9"/>
  <c r="M18" i="9"/>
  <c r="L18" i="9"/>
  <c r="K18" i="9"/>
  <c r="I18" i="9"/>
  <c r="H18" i="9"/>
  <c r="G18" i="9"/>
  <c r="F18" i="9"/>
  <c r="E18" i="9"/>
  <c r="D18" i="9"/>
  <c r="C18" i="9"/>
  <c r="A18" i="9"/>
  <c r="CF16" i="9"/>
  <c r="CE16" i="9"/>
  <c r="CD16" i="9"/>
  <c r="CC16" i="9"/>
  <c r="CB16" i="9"/>
  <c r="CA16" i="9"/>
  <c r="BZ16" i="9"/>
  <c r="BY16" i="9"/>
  <c r="BX16" i="9"/>
  <c r="BW16" i="9"/>
  <c r="BV16" i="9"/>
  <c r="BU16" i="9"/>
  <c r="AC16" i="9"/>
  <c r="AB16" i="9"/>
  <c r="AA16" i="9"/>
  <c r="Z16" i="9"/>
  <c r="Y16" i="9"/>
  <c r="X16" i="9"/>
  <c r="W16" i="9"/>
  <c r="V16" i="9"/>
  <c r="U16" i="9"/>
  <c r="T16" i="9"/>
  <c r="S16" i="9"/>
  <c r="R16" i="9"/>
  <c r="Q16" i="9"/>
  <c r="P16" i="9"/>
  <c r="O16" i="9"/>
  <c r="N16" i="9"/>
  <c r="M16" i="9"/>
  <c r="L16" i="9"/>
  <c r="K16" i="9"/>
  <c r="J16" i="9"/>
  <c r="I16" i="9"/>
  <c r="H16" i="9"/>
  <c r="G16" i="9"/>
  <c r="F16" i="9"/>
  <c r="E16" i="9"/>
  <c r="D16" i="9"/>
  <c r="C16" i="9"/>
  <c r="A16" i="9"/>
  <c r="CF15" i="9"/>
  <c r="CE15" i="9"/>
  <c r="CD15" i="9"/>
  <c r="CC15" i="9"/>
  <c r="CB15" i="9"/>
  <c r="CA15" i="9"/>
  <c r="BZ15" i="9"/>
  <c r="BY15" i="9"/>
  <c r="BX15" i="9"/>
  <c r="BW15" i="9"/>
  <c r="BV15" i="9"/>
  <c r="BU15" i="9"/>
  <c r="BT15" i="9"/>
  <c r="BS15" i="9"/>
  <c r="BR15" i="9"/>
  <c r="BQ15" i="9"/>
  <c r="BP15" i="9"/>
  <c r="BO15" i="9"/>
  <c r="BN15" i="9"/>
  <c r="BM15" i="9"/>
  <c r="BL15" i="9"/>
  <c r="BK15" i="9"/>
  <c r="BJ15" i="9"/>
  <c r="BI15" i="9"/>
  <c r="BH15" i="9"/>
  <c r="BG15" i="9"/>
  <c r="BF15" i="9"/>
  <c r="BE15" i="9"/>
  <c r="BD15" i="9"/>
  <c r="BC15" i="9"/>
  <c r="BB15" i="9"/>
  <c r="BA15" i="9"/>
  <c r="AZ15" i="9"/>
  <c r="AY15" i="9"/>
  <c r="AX15" i="9"/>
  <c r="AW15" i="9"/>
  <c r="AV15" i="9"/>
  <c r="AU15" i="9"/>
  <c r="AT15" i="9"/>
  <c r="AS15" i="9"/>
  <c r="AR15" i="9"/>
  <c r="AQ15" i="9"/>
  <c r="AP15" i="9"/>
  <c r="AO15" i="9"/>
  <c r="AN15" i="9"/>
  <c r="AM15" i="9"/>
  <c r="AL15" i="9"/>
  <c r="AK15" i="9"/>
  <c r="AJ15" i="9"/>
  <c r="AI15" i="9"/>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A15" i="9"/>
  <c r="CF14" i="9"/>
  <c r="CE14" i="9"/>
  <c r="CD14" i="9"/>
  <c r="CC14" i="9"/>
  <c r="CB14" i="9"/>
  <c r="CA14" i="9"/>
  <c r="BZ14" i="9"/>
  <c r="BY14" i="9"/>
  <c r="BX14" i="9"/>
  <c r="BW14" i="9"/>
  <c r="BV14" i="9"/>
  <c r="BU14" i="9"/>
  <c r="BT14" i="9"/>
  <c r="BS14" i="9"/>
  <c r="BR14" i="9"/>
  <c r="BQ14" i="9"/>
  <c r="BP14" i="9"/>
  <c r="BO14" i="9"/>
  <c r="BN14" i="9"/>
  <c r="BM14" i="9"/>
  <c r="BL14" i="9"/>
  <c r="BK14" i="9"/>
  <c r="BJ14" i="9"/>
  <c r="BI14" i="9"/>
  <c r="BH14" i="9"/>
  <c r="BG14" i="9"/>
  <c r="BF14" i="9"/>
  <c r="BE14" i="9"/>
  <c r="BD14" i="9"/>
  <c r="BC14" i="9"/>
  <c r="BB14" i="9"/>
  <c r="BA14" i="9"/>
  <c r="AZ14" i="9"/>
  <c r="AY14" i="9"/>
  <c r="AX14" i="9"/>
  <c r="AW14" i="9"/>
  <c r="AV14" i="9"/>
  <c r="AU14" i="9"/>
  <c r="AT14" i="9"/>
  <c r="AS14" i="9"/>
  <c r="AR14" i="9"/>
  <c r="AQ14" i="9"/>
  <c r="AP14" i="9"/>
  <c r="AO14" i="9"/>
  <c r="AN14" i="9"/>
  <c r="AM14" i="9"/>
  <c r="AL14" i="9"/>
  <c r="AK14" i="9"/>
  <c r="AJ14" i="9"/>
  <c r="AI14" i="9"/>
  <c r="AH14" i="9"/>
  <c r="AG14" i="9"/>
  <c r="AF14" i="9"/>
  <c r="AE14" i="9"/>
  <c r="AD14" i="9"/>
  <c r="AC14" i="9"/>
  <c r="AB14" i="9"/>
  <c r="AA14" i="9"/>
  <c r="Z14" i="9"/>
  <c r="Y14" i="9"/>
  <c r="X14" i="9"/>
  <c r="W14" i="9"/>
  <c r="V14" i="9"/>
  <c r="U14" i="9"/>
  <c r="T14" i="9"/>
  <c r="S14" i="9"/>
  <c r="R14" i="9"/>
  <c r="Q14" i="9"/>
  <c r="P14" i="9"/>
  <c r="O14" i="9"/>
  <c r="N14" i="9"/>
  <c r="M14" i="9"/>
  <c r="L14" i="9"/>
  <c r="K14" i="9"/>
  <c r="J14" i="9"/>
  <c r="I14" i="9"/>
  <c r="H14" i="9"/>
  <c r="G14" i="9"/>
  <c r="F14" i="9"/>
  <c r="E14" i="9"/>
  <c r="D14" i="9"/>
  <c r="C14" i="9"/>
  <c r="A14" i="9"/>
  <c r="A11" i="9"/>
  <c r="A9" i="9"/>
  <c r="A8" i="9"/>
  <c r="A7" i="9"/>
  <c r="A6" i="9"/>
  <c r="A5" i="9"/>
  <c r="A4" i="9"/>
  <c r="C2" i="9"/>
  <c r="C1" i="9"/>
  <c r="A1" i="9"/>
  <c r="BS856" i="11"/>
  <c r="BN856" i="11"/>
  <c r="BI856" i="11"/>
  <c r="BD856" i="11"/>
  <c r="AY856" i="11"/>
  <c r="AT856" i="11"/>
  <c r="AO856" i="11"/>
  <c r="BS855" i="11"/>
  <c r="BN855" i="11"/>
  <c r="BI855" i="11"/>
  <c r="BD855" i="11"/>
  <c r="AY855" i="11"/>
  <c r="AT855" i="11"/>
  <c r="AO855" i="11"/>
  <c r="BS854" i="11"/>
  <c r="BN854" i="11"/>
  <c r="BI854" i="11"/>
  <c r="BD854" i="11"/>
  <c r="AY854" i="11"/>
  <c r="AT854" i="11"/>
  <c r="AO854" i="11"/>
  <c r="BS853" i="11"/>
  <c r="BN853" i="11"/>
  <c r="BI853" i="11"/>
  <c r="BD853" i="11"/>
  <c r="AY853" i="11"/>
  <c r="AT853" i="11"/>
  <c r="AO853" i="11"/>
  <c r="BS852" i="11"/>
  <c r="BN852" i="11"/>
  <c r="BI852" i="11"/>
  <c r="BD852" i="11"/>
  <c r="AY852" i="11"/>
  <c r="AT852" i="11"/>
  <c r="AO852" i="11"/>
  <c r="BS851" i="11"/>
  <c r="BN851" i="11"/>
  <c r="BI851" i="11"/>
  <c r="BD851" i="11"/>
  <c r="AY851" i="11"/>
  <c r="AT851" i="11"/>
  <c r="AO851" i="11"/>
  <c r="BS850" i="11"/>
  <c r="BN850" i="11"/>
  <c r="BI850" i="11"/>
  <c r="BD850" i="11"/>
  <c r="AY850" i="11"/>
  <c r="AT850" i="11"/>
  <c r="AO850" i="11"/>
  <c r="BS849" i="11"/>
  <c r="BN849" i="11"/>
  <c r="BI849" i="11"/>
  <c r="BD849" i="11"/>
  <c r="AY849" i="11"/>
  <c r="AT849" i="11"/>
  <c r="AO849" i="11"/>
  <c r="BS848" i="11"/>
  <c r="BN848" i="11"/>
  <c r="BI848" i="11"/>
  <c r="BD848" i="11"/>
  <c r="BD857" i="11" s="1"/>
  <c r="AY848" i="11"/>
  <c r="AT848" i="11"/>
  <c r="AO848" i="11"/>
  <c r="BS847" i="11"/>
  <c r="BN847" i="11"/>
  <c r="BI847" i="11"/>
  <c r="BD847" i="11"/>
  <c r="AY847" i="11"/>
  <c r="AT847" i="11"/>
  <c r="AO847" i="11"/>
  <c r="BN845" i="11"/>
  <c r="BI845" i="11"/>
  <c r="AY845" i="11"/>
  <c r="AT845" i="11"/>
  <c r="AO845" i="11"/>
  <c r="BS844" i="11"/>
  <c r="BS845" i="11" s="1"/>
  <c r="BN844" i="11"/>
  <c r="BI844" i="11"/>
  <c r="BD844" i="11"/>
  <c r="BD845" i="11" s="1"/>
  <c r="AY844" i="11"/>
  <c r="AT844" i="11"/>
  <c r="AO844" i="11"/>
  <c r="BS832" i="11"/>
  <c r="BN832" i="11"/>
  <c r="AY832" i="11"/>
  <c r="AO832" i="11"/>
  <c r="BS831" i="11"/>
  <c r="BN831" i="11"/>
  <c r="BI831" i="11"/>
  <c r="BI832" i="11" s="1"/>
  <c r="BD831" i="11"/>
  <c r="BD832" i="11" s="1"/>
  <c r="AY831" i="11"/>
  <c r="AT831" i="11"/>
  <c r="AT832" i="11" s="1"/>
  <c r="AO831" i="11"/>
  <c r="BN817" i="11"/>
  <c r="BI817" i="11"/>
  <c r="BD817" i="11"/>
  <c r="AT817" i="11"/>
  <c r="BS815" i="11"/>
  <c r="BN815" i="11"/>
  <c r="AT815" i="11"/>
  <c r="AO815" i="11"/>
  <c r="BN814" i="11"/>
  <c r="AO814" i="11"/>
  <c r="BS813" i="11"/>
  <c r="BI813" i="11"/>
  <c r="BS810" i="11"/>
  <c r="BN810" i="11"/>
  <c r="AY810" i="11"/>
  <c r="AT810" i="11"/>
  <c r="BS808" i="11"/>
  <c r="BN808" i="11"/>
  <c r="BI808" i="11"/>
  <c r="BI810" i="11" s="1"/>
  <c r="BD808" i="11"/>
  <c r="BD810" i="11" s="1"/>
  <c r="AY808" i="11"/>
  <c r="AT808" i="11"/>
  <c r="AO808" i="11"/>
  <c r="AO810" i="11" s="1"/>
  <c r="BN802" i="11"/>
  <c r="BI802" i="11"/>
  <c r="BD802" i="11"/>
  <c r="AY802" i="11"/>
  <c r="AT802" i="11"/>
  <c r="BS800" i="11"/>
  <c r="BS802" i="11" s="1"/>
  <c r="BN800" i="11"/>
  <c r="BI800" i="11"/>
  <c r="BD800" i="11"/>
  <c r="AY800" i="11"/>
  <c r="AT800" i="11"/>
  <c r="AO800" i="11"/>
  <c r="AO802" i="11" s="1"/>
  <c r="BS793" i="11"/>
  <c r="BS817" i="11" s="1"/>
  <c r="BN793" i="11"/>
  <c r="BI793" i="11"/>
  <c r="BD793" i="11"/>
  <c r="AY793" i="11"/>
  <c r="AY817" i="11" s="1"/>
  <c r="AT793" i="11"/>
  <c r="AO793" i="11"/>
  <c r="AO817" i="11" s="1"/>
  <c r="BS792" i="11"/>
  <c r="BS794" i="11" s="1"/>
  <c r="BS791" i="11"/>
  <c r="BN791" i="11"/>
  <c r="BN792" i="11" s="1"/>
  <c r="BN794" i="11" s="1"/>
  <c r="BI791" i="11"/>
  <c r="BI815" i="11" s="1"/>
  <c r="BD791" i="11"/>
  <c r="BD815" i="11" s="1"/>
  <c r="AY791" i="11"/>
  <c r="AY815" i="11" s="1"/>
  <c r="AT791" i="11"/>
  <c r="AO791" i="11"/>
  <c r="BS790" i="11"/>
  <c r="BS814" i="11" s="1"/>
  <c r="BN790" i="11"/>
  <c r="BI790" i="11"/>
  <c r="BI814" i="11" s="1"/>
  <c r="BD790" i="11"/>
  <c r="BD814" i="11" s="1"/>
  <c r="AY790" i="11"/>
  <c r="AY814" i="11" s="1"/>
  <c r="AT790" i="11"/>
  <c r="AT814" i="11" s="1"/>
  <c r="AO790" i="11"/>
  <c r="BS789" i="11"/>
  <c r="BN789" i="11"/>
  <c r="BN813" i="11" s="1"/>
  <c r="BI789" i="11"/>
  <c r="BD789" i="11"/>
  <c r="BD813" i="11" s="1"/>
  <c r="AY789" i="11"/>
  <c r="AY813" i="11" s="1"/>
  <c r="AT789" i="11"/>
  <c r="AT813" i="11" s="1"/>
  <c r="AO789" i="11"/>
  <c r="AO813" i="11" s="1"/>
  <c r="BS788" i="11"/>
  <c r="BS812" i="11" s="1"/>
  <c r="BN788" i="11"/>
  <c r="BN812" i="11" s="1"/>
  <c r="BI788" i="11"/>
  <c r="BD788" i="11"/>
  <c r="AY788" i="11"/>
  <c r="AT788" i="11"/>
  <c r="AO788" i="11"/>
  <c r="AO792" i="11" s="1"/>
  <c r="AO794" i="11" s="1"/>
  <c r="BI787" i="11"/>
  <c r="BD787" i="11"/>
  <c r="AT787" i="11"/>
  <c r="BS785" i="11"/>
  <c r="BS787" i="11" s="1"/>
  <c r="BN785" i="11"/>
  <c r="BN787" i="11" s="1"/>
  <c r="BI785" i="11"/>
  <c r="BD785" i="11"/>
  <c r="AY785" i="11"/>
  <c r="AY787" i="11" s="1"/>
  <c r="AT785" i="11"/>
  <c r="AO785" i="11"/>
  <c r="AO787" i="11" s="1"/>
  <c r="BN780" i="11"/>
  <c r="BI780" i="11"/>
  <c r="AY780" i="11"/>
  <c r="AT780" i="11"/>
  <c r="BS778" i="11"/>
  <c r="BS780" i="11" s="1"/>
  <c r="BN778" i="11"/>
  <c r="BI778" i="11"/>
  <c r="BD778" i="11"/>
  <c r="BD780" i="11" s="1"/>
  <c r="AY778" i="11"/>
  <c r="AT778" i="11"/>
  <c r="AO778" i="11"/>
  <c r="AO780" i="11" s="1"/>
  <c r="AY773" i="11"/>
  <c r="AO773" i="11"/>
  <c r="BS771" i="11"/>
  <c r="BS773" i="11" s="1"/>
  <c r="BN771" i="11"/>
  <c r="BN773" i="11" s="1"/>
  <c r="BI771" i="11"/>
  <c r="BI773" i="11" s="1"/>
  <c r="BD771" i="11"/>
  <c r="BD773" i="11" s="1"/>
  <c r="AY771" i="11"/>
  <c r="AT771" i="11"/>
  <c r="AT773" i="11" s="1"/>
  <c r="AO771" i="11"/>
  <c r="BS766" i="11"/>
  <c r="BN766" i="11"/>
  <c r="AO766" i="11"/>
  <c r="BS764" i="11"/>
  <c r="BN764" i="11"/>
  <c r="BI764" i="11"/>
  <c r="BI766" i="11" s="1"/>
  <c r="BD764" i="11"/>
  <c r="BD766" i="11" s="1"/>
  <c r="AY764" i="11"/>
  <c r="AY766" i="11" s="1"/>
  <c r="AT764" i="11"/>
  <c r="AT766" i="11" s="1"/>
  <c r="AO764" i="11"/>
  <c r="BI759" i="11"/>
  <c r="BD759" i="11"/>
  <c r="AY759" i="11"/>
  <c r="AT759" i="11"/>
  <c r="BS757" i="11"/>
  <c r="BS759" i="11" s="1"/>
  <c r="BN757" i="11"/>
  <c r="BN759" i="11" s="1"/>
  <c r="BI757" i="11"/>
  <c r="BD757" i="11"/>
  <c r="AY757" i="11"/>
  <c r="AT757" i="11"/>
  <c r="AO757" i="11"/>
  <c r="AO759" i="11" s="1"/>
  <c r="AY752" i="11"/>
  <c r="AT752" i="11"/>
  <c r="AO752" i="11"/>
  <c r="BS750" i="11"/>
  <c r="BS752" i="11" s="1"/>
  <c r="BN750" i="11"/>
  <c r="BN752" i="11" s="1"/>
  <c r="BI750" i="11"/>
  <c r="BI752" i="11" s="1"/>
  <c r="BD750" i="11"/>
  <c r="BD752" i="11" s="1"/>
  <c r="AY750" i="11"/>
  <c r="AT750" i="11"/>
  <c r="AO750" i="11"/>
  <c r="BN743" i="11"/>
  <c r="BS742" i="11"/>
  <c r="BN742" i="11"/>
  <c r="BI742" i="11"/>
  <c r="BD742" i="11"/>
  <c r="AY742" i="11"/>
  <c r="AT742" i="11"/>
  <c r="BS741" i="11"/>
  <c r="BD741" i="11"/>
  <c r="AY741" i="11"/>
  <c r="AT741" i="11"/>
  <c r="AO741" i="11"/>
  <c r="BS740" i="11"/>
  <c r="BI740" i="11"/>
  <c r="AT740" i="11"/>
  <c r="AO740" i="11"/>
  <c r="BS739" i="11"/>
  <c r="BD739" i="11"/>
  <c r="AY739" i="11"/>
  <c r="BS738" i="11"/>
  <c r="BN738" i="11"/>
  <c r="AT738" i="11"/>
  <c r="AO738" i="11"/>
  <c r="BS737" i="11"/>
  <c r="BS743" i="11" s="1"/>
  <c r="AO737" i="11"/>
  <c r="BS736" i="11"/>
  <c r="BN736" i="11"/>
  <c r="BI736" i="11"/>
  <c r="BD736" i="11"/>
  <c r="AT736" i="11"/>
  <c r="AO736" i="11"/>
  <c r="BS734" i="11"/>
  <c r="BN734" i="11"/>
  <c r="BI734" i="11"/>
  <c r="BD734" i="11"/>
  <c r="AY734" i="11"/>
  <c r="AT734" i="11"/>
  <c r="AO734" i="11"/>
  <c r="BS725" i="11"/>
  <c r="BN725" i="11"/>
  <c r="BI725" i="11"/>
  <c r="BD725" i="11"/>
  <c r="AY725" i="11"/>
  <c r="AT725" i="11"/>
  <c r="AO725" i="11"/>
  <c r="BS716" i="11"/>
  <c r="BN715" i="11"/>
  <c r="BI715" i="11"/>
  <c r="BD715" i="11"/>
  <c r="AY715" i="11"/>
  <c r="AT715" i="11"/>
  <c r="AO715" i="11"/>
  <c r="AO742" i="11" s="1"/>
  <c r="BN714" i="11"/>
  <c r="BN741" i="11" s="1"/>
  <c r="BI714" i="11"/>
  <c r="BI741" i="11" s="1"/>
  <c r="BD714" i="11"/>
  <c r="AY714" i="11"/>
  <c r="AT714" i="11"/>
  <c r="AO714" i="11"/>
  <c r="BN713" i="11"/>
  <c r="BN740" i="11" s="1"/>
  <c r="BI713" i="11"/>
  <c r="BD713" i="11"/>
  <c r="BD740" i="11" s="1"/>
  <c r="AY713" i="11"/>
  <c r="AY740" i="11" s="1"/>
  <c r="AT713" i="11"/>
  <c r="AO713" i="11"/>
  <c r="BN712" i="11"/>
  <c r="BN739" i="11" s="1"/>
  <c r="BI712" i="11"/>
  <c r="BI739" i="11" s="1"/>
  <c r="BD712" i="11"/>
  <c r="AY712" i="11"/>
  <c r="AT712" i="11"/>
  <c r="AT739" i="11" s="1"/>
  <c r="AO712" i="11"/>
  <c r="AO739" i="11" s="1"/>
  <c r="BN711" i="11"/>
  <c r="BI711" i="11"/>
  <c r="BI738" i="11" s="1"/>
  <c r="BD711" i="11"/>
  <c r="BD738" i="11" s="1"/>
  <c r="AY711" i="11"/>
  <c r="AY738" i="11" s="1"/>
  <c r="AT711" i="11"/>
  <c r="AO711" i="11"/>
  <c r="BN710" i="11"/>
  <c r="BN737" i="11" s="1"/>
  <c r="BI710" i="11"/>
  <c r="BI737" i="11" s="1"/>
  <c r="BI743" i="11" s="1"/>
  <c r="BD710" i="11"/>
  <c r="BD737" i="11" s="1"/>
  <c r="AY710" i="11"/>
  <c r="AY737" i="11" s="1"/>
  <c r="AT710" i="11"/>
  <c r="AT737" i="11" s="1"/>
  <c r="AO710" i="11"/>
  <c r="BN709" i="11"/>
  <c r="BI709" i="11"/>
  <c r="BD709" i="11"/>
  <c r="BD716" i="11" s="1"/>
  <c r="AY709" i="11"/>
  <c r="AT709" i="11"/>
  <c r="AO709" i="11"/>
  <c r="BS708" i="11"/>
  <c r="BN708" i="11"/>
  <c r="BI708" i="11"/>
  <c r="BD708" i="11"/>
  <c r="AY708" i="11"/>
  <c r="AT708" i="11"/>
  <c r="AO708" i="11"/>
  <c r="BS700" i="11"/>
  <c r="BN700" i="11"/>
  <c r="BI700" i="11"/>
  <c r="BD700" i="11"/>
  <c r="AY700" i="11"/>
  <c r="AT700" i="11"/>
  <c r="AO700" i="11"/>
  <c r="BS692" i="11"/>
  <c r="BN692" i="11"/>
  <c r="BI692" i="11"/>
  <c r="BD692" i="11"/>
  <c r="AY692" i="11"/>
  <c r="AT692" i="11"/>
  <c r="AO692" i="11"/>
  <c r="BS684" i="11"/>
  <c r="BN684" i="11"/>
  <c r="BI684" i="11"/>
  <c r="BD684" i="11"/>
  <c r="AY684" i="11"/>
  <c r="AT684" i="11"/>
  <c r="AO684" i="11"/>
  <c r="BS676" i="11"/>
  <c r="BN676" i="11"/>
  <c r="BI676" i="11"/>
  <c r="BD676" i="11"/>
  <c r="AY676" i="11"/>
  <c r="AT676" i="11"/>
  <c r="AO676" i="11"/>
  <c r="BS668" i="11"/>
  <c r="BN668" i="11"/>
  <c r="BI668" i="11"/>
  <c r="BD668" i="11"/>
  <c r="AY668" i="11"/>
  <c r="AT668" i="11"/>
  <c r="AO668" i="11"/>
  <c r="BS657" i="11"/>
  <c r="BN657" i="11"/>
  <c r="BS656" i="11"/>
  <c r="BN656" i="11"/>
  <c r="BI656" i="11"/>
  <c r="BD656" i="11"/>
  <c r="BS655" i="11"/>
  <c r="BI655" i="11"/>
  <c r="BD655" i="11"/>
  <c r="AY655" i="11"/>
  <c r="AT655" i="11"/>
  <c r="BS654" i="11"/>
  <c r="AY654" i="11"/>
  <c r="AT654" i="11"/>
  <c r="AO654" i="11"/>
  <c r="BS653" i="11"/>
  <c r="BS652" i="11"/>
  <c r="BS658" i="11" s="1"/>
  <c r="BN652" i="11"/>
  <c r="AY652" i="11"/>
  <c r="BS651" i="11"/>
  <c r="AY651" i="11"/>
  <c r="AT651" i="11"/>
  <c r="AO651" i="11"/>
  <c r="BS649" i="11"/>
  <c r="BN649" i="11"/>
  <c r="BI649" i="11"/>
  <c r="BD649" i="11"/>
  <c r="AY649" i="11"/>
  <c r="AT649" i="11"/>
  <c r="AO649" i="11"/>
  <c r="BS641" i="11"/>
  <c r="BN641" i="11"/>
  <c r="BI641" i="11"/>
  <c r="BD641" i="11"/>
  <c r="AY641" i="11"/>
  <c r="AT641" i="11"/>
  <c r="AO641" i="11"/>
  <c r="BS632" i="11"/>
  <c r="BN631" i="11"/>
  <c r="BI631" i="11"/>
  <c r="BI657" i="11" s="1"/>
  <c r="BD631" i="11"/>
  <c r="BD657" i="11" s="1"/>
  <c r="AY631" i="11"/>
  <c r="AY657" i="11" s="1"/>
  <c r="AT631" i="11"/>
  <c r="AT657" i="11" s="1"/>
  <c r="AO631" i="11"/>
  <c r="AO657" i="11" s="1"/>
  <c r="BN630" i="11"/>
  <c r="BI630" i="11"/>
  <c r="BD630" i="11"/>
  <c r="AY630" i="11"/>
  <c r="AY656" i="11" s="1"/>
  <c r="AT630" i="11"/>
  <c r="AT656" i="11" s="1"/>
  <c r="AO630" i="11"/>
  <c r="AO656" i="11" s="1"/>
  <c r="BN629" i="11"/>
  <c r="BN655" i="11" s="1"/>
  <c r="BI629" i="11"/>
  <c r="BD629" i="11"/>
  <c r="AY629" i="11"/>
  <c r="AT629" i="11"/>
  <c r="AO629" i="11"/>
  <c r="AO655" i="11" s="1"/>
  <c r="BN628" i="11"/>
  <c r="BN654" i="11" s="1"/>
  <c r="BI628" i="11"/>
  <c r="BI654" i="11" s="1"/>
  <c r="BD628" i="11"/>
  <c r="BD654" i="11" s="1"/>
  <c r="AY628" i="11"/>
  <c r="AT628" i="11"/>
  <c r="AO628" i="11"/>
  <c r="BN627" i="11"/>
  <c r="BN653" i="11" s="1"/>
  <c r="BI627" i="11"/>
  <c r="BI653" i="11" s="1"/>
  <c r="BD627" i="11"/>
  <c r="AY627" i="11"/>
  <c r="AY653" i="11" s="1"/>
  <c r="AT627" i="11"/>
  <c r="AT653" i="11" s="1"/>
  <c r="AO627" i="11"/>
  <c r="AO653" i="11" s="1"/>
  <c r="BN626" i="11"/>
  <c r="BI626" i="11"/>
  <c r="BI652" i="11" s="1"/>
  <c r="BD626" i="11"/>
  <c r="BD652" i="11" s="1"/>
  <c r="AY626" i="11"/>
  <c r="AT626" i="11"/>
  <c r="AO626" i="11"/>
  <c r="AO652" i="11" s="1"/>
  <c r="AO658" i="11" s="1"/>
  <c r="BN625" i="11"/>
  <c r="BN651" i="11" s="1"/>
  <c r="BI625" i="11"/>
  <c r="BD625" i="11"/>
  <c r="BD651" i="11" s="1"/>
  <c r="AY625" i="11"/>
  <c r="AT625" i="11"/>
  <c r="AO625" i="11"/>
  <c r="BS624" i="11"/>
  <c r="BN624" i="11"/>
  <c r="BI624" i="11"/>
  <c r="BD624" i="11"/>
  <c r="AY624" i="11"/>
  <c r="AT624" i="11"/>
  <c r="AO624" i="11"/>
  <c r="BS616" i="11"/>
  <c r="BN616" i="11"/>
  <c r="BI616" i="11"/>
  <c r="BD616" i="11"/>
  <c r="AY616" i="11"/>
  <c r="AT616" i="11"/>
  <c r="AO616" i="11"/>
  <c r="BS608" i="11"/>
  <c r="BN608" i="11"/>
  <c r="BI608" i="11"/>
  <c r="BD608" i="11"/>
  <c r="AY608" i="11"/>
  <c r="AT608" i="11"/>
  <c r="AO608" i="11"/>
  <c r="BS600" i="11"/>
  <c r="BN600" i="11"/>
  <c r="BI600" i="11"/>
  <c r="BD600" i="11"/>
  <c r="AY600" i="11"/>
  <c r="AT600" i="11"/>
  <c r="AO600" i="11"/>
  <c r="BS592" i="11"/>
  <c r="BN592" i="11"/>
  <c r="BI592" i="11"/>
  <c r="BD592" i="11"/>
  <c r="AY592" i="11"/>
  <c r="AT592" i="11"/>
  <c r="AO592" i="11"/>
  <c r="BS584" i="11"/>
  <c r="BN584" i="11"/>
  <c r="BI584" i="11"/>
  <c r="BD584" i="11"/>
  <c r="AY584" i="11"/>
  <c r="AT584" i="11"/>
  <c r="AO584" i="11"/>
  <c r="BS573" i="11"/>
  <c r="BN573" i="11"/>
  <c r="BI573" i="11"/>
  <c r="BD573" i="11"/>
  <c r="BS572" i="11"/>
  <c r="BI572" i="11"/>
  <c r="BD572" i="11"/>
  <c r="AY572" i="11"/>
  <c r="BS571" i="11"/>
  <c r="BN571" i="11"/>
  <c r="AY571" i="11"/>
  <c r="BS570" i="11"/>
  <c r="BN570" i="11"/>
  <c r="BI570" i="11"/>
  <c r="BD570" i="11"/>
  <c r="AO570" i="11"/>
  <c r="BS569" i="11"/>
  <c r="BI569" i="11"/>
  <c r="BD569" i="11"/>
  <c r="AY569" i="11"/>
  <c r="AT569" i="11"/>
  <c r="BS568" i="11"/>
  <c r="BI568" i="11"/>
  <c r="AY568" i="11"/>
  <c r="AT568" i="11"/>
  <c r="AO568" i="11"/>
  <c r="BS567" i="11"/>
  <c r="BN567" i="11"/>
  <c r="AY567" i="11"/>
  <c r="BS565" i="11"/>
  <c r="BN565" i="11"/>
  <c r="BI565" i="11"/>
  <c r="BD565" i="11"/>
  <c r="AY565" i="11"/>
  <c r="AT565" i="11"/>
  <c r="AO565" i="11"/>
  <c r="BS557" i="11"/>
  <c r="BN557" i="11"/>
  <c r="BI557" i="11"/>
  <c r="BD557" i="11"/>
  <c r="AY557" i="11"/>
  <c r="AT557" i="11"/>
  <c r="AO557" i="11"/>
  <c r="BS549" i="11"/>
  <c r="BN549" i="11"/>
  <c r="BI549" i="11"/>
  <c r="BD549" i="11"/>
  <c r="AY549" i="11"/>
  <c r="AT549" i="11"/>
  <c r="AO549" i="11"/>
  <c r="BS540" i="11"/>
  <c r="AY540" i="11"/>
  <c r="AT540" i="11"/>
  <c r="BN539" i="11"/>
  <c r="BI539" i="11"/>
  <c r="BD539" i="11"/>
  <c r="AY539" i="11"/>
  <c r="AY573" i="11" s="1"/>
  <c r="AT539" i="11"/>
  <c r="AT573" i="11" s="1"/>
  <c r="AO539" i="11"/>
  <c r="AO573" i="11" s="1"/>
  <c r="BN538" i="11"/>
  <c r="BN572" i="11" s="1"/>
  <c r="BI538" i="11"/>
  <c r="BD538" i="11"/>
  <c r="AY538" i="11"/>
  <c r="AT538" i="11"/>
  <c r="AT572" i="11" s="1"/>
  <c r="AO538" i="11"/>
  <c r="AO572" i="11" s="1"/>
  <c r="BN537" i="11"/>
  <c r="BI537" i="11"/>
  <c r="BI571" i="11" s="1"/>
  <c r="BD537" i="11"/>
  <c r="BD571" i="11" s="1"/>
  <c r="AY537" i="11"/>
  <c r="AT537" i="11"/>
  <c r="AT571" i="11" s="1"/>
  <c r="AO537" i="11"/>
  <c r="AO571" i="11" s="1"/>
  <c r="BN536" i="11"/>
  <c r="BI536" i="11"/>
  <c r="BD536" i="11"/>
  <c r="AY536" i="11"/>
  <c r="AY570" i="11" s="1"/>
  <c r="AT536" i="11"/>
  <c r="AT570" i="11" s="1"/>
  <c r="AO536" i="11"/>
  <c r="BN535" i="11"/>
  <c r="BN569" i="11" s="1"/>
  <c r="BI535" i="11"/>
  <c r="BD535" i="11"/>
  <c r="AY535" i="11"/>
  <c r="AT535" i="11"/>
  <c r="AO535" i="11"/>
  <c r="AO569" i="11" s="1"/>
  <c r="BN534" i="11"/>
  <c r="BN568" i="11" s="1"/>
  <c r="BI534" i="11"/>
  <c r="BD534" i="11"/>
  <c r="BD568" i="11" s="1"/>
  <c r="AY534" i="11"/>
  <c r="AT534" i="11"/>
  <c r="AO534" i="11"/>
  <c r="BN533" i="11"/>
  <c r="BN540" i="11" s="1"/>
  <c r="BI533" i="11"/>
  <c r="BI567" i="11" s="1"/>
  <c r="BD533" i="11"/>
  <c r="AY533" i="11"/>
  <c r="AT533" i="11"/>
  <c r="AT567" i="11" s="1"/>
  <c r="AT574" i="11" s="1"/>
  <c r="AO533" i="11"/>
  <c r="AO567" i="11" s="1"/>
  <c r="AO574" i="11" s="1"/>
  <c r="BS532" i="11"/>
  <c r="BN532" i="11"/>
  <c r="BI532" i="11"/>
  <c r="BD532" i="11"/>
  <c r="AY532" i="11"/>
  <c r="AT532" i="11"/>
  <c r="AO532" i="11"/>
  <c r="BS524" i="11"/>
  <c r="BN524" i="11"/>
  <c r="BI524" i="11"/>
  <c r="BD524" i="11"/>
  <c r="AY524" i="11"/>
  <c r="AT524" i="11"/>
  <c r="AO524" i="11"/>
  <c r="BS516" i="11"/>
  <c r="BN516" i="11"/>
  <c r="BI516" i="11"/>
  <c r="BD516" i="11"/>
  <c r="AY516" i="11"/>
  <c r="AT516" i="11"/>
  <c r="AO516" i="11"/>
  <c r="BS508" i="11"/>
  <c r="BN508" i="11"/>
  <c r="BI508" i="11"/>
  <c r="BD508" i="11"/>
  <c r="AY508" i="11"/>
  <c r="AT508" i="11"/>
  <c r="AO508" i="11"/>
  <c r="BS500" i="11"/>
  <c r="BN500" i="11"/>
  <c r="BI500" i="11"/>
  <c r="BD500" i="11"/>
  <c r="AY500" i="11"/>
  <c r="AT500" i="11"/>
  <c r="AO500" i="11"/>
  <c r="BS492" i="11"/>
  <c r="BN492" i="11"/>
  <c r="BI492" i="11"/>
  <c r="BD492" i="11"/>
  <c r="AY492" i="11"/>
  <c r="AT492" i="11"/>
  <c r="AO492" i="11"/>
  <c r="BS484" i="11"/>
  <c r="BN484" i="11"/>
  <c r="BI484" i="11"/>
  <c r="BD484" i="11"/>
  <c r="AY484" i="11"/>
  <c r="AT484" i="11"/>
  <c r="AO484" i="11"/>
  <c r="AY473" i="11"/>
  <c r="AO473" i="11"/>
  <c r="BS472" i="11"/>
  <c r="BN472" i="11"/>
  <c r="BI472" i="11"/>
  <c r="BD472" i="11"/>
  <c r="AY472" i="11"/>
  <c r="AT472" i="11"/>
  <c r="AO472" i="11"/>
  <c r="BS469" i="11"/>
  <c r="BS473" i="11" s="1"/>
  <c r="BN469" i="11"/>
  <c r="BN473" i="11" s="1"/>
  <c r="BI469" i="11"/>
  <c r="BI473" i="11" s="1"/>
  <c r="BD469" i="11"/>
  <c r="BD473" i="11" s="1"/>
  <c r="AY469" i="11"/>
  <c r="AT469" i="11"/>
  <c r="AT473" i="11" s="1"/>
  <c r="AO469" i="11"/>
  <c r="BN462" i="11"/>
  <c r="BI462" i="11"/>
  <c r="BS461" i="11"/>
  <c r="BN461" i="11"/>
  <c r="BI461" i="11"/>
  <c r="BD461" i="11"/>
  <c r="BD462" i="11" s="1"/>
  <c r="BD474" i="11" s="1"/>
  <c r="AY461" i="11"/>
  <c r="AT461" i="11"/>
  <c r="AO461" i="11"/>
  <c r="BS458" i="11"/>
  <c r="BS462" i="11" s="1"/>
  <c r="BN458" i="11"/>
  <c r="BI458" i="11"/>
  <c r="BD458" i="11"/>
  <c r="AY458" i="11"/>
  <c r="AY462" i="11" s="1"/>
  <c r="AY474" i="11" s="1"/>
  <c r="AT458" i="11"/>
  <c r="AT462" i="11" s="1"/>
  <c r="AT474" i="11" s="1"/>
  <c r="AO458" i="11"/>
  <c r="AO462" i="11" s="1"/>
  <c r="BS449" i="11"/>
  <c r="BS448" i="11"/>
  <c r="BN448" i="11"/>
  <c r="BI448" i="11"/>
  <c r="BD448" i="11"/>
  <c r="AY448" i="11"/>
  <c r="AT448" i="11"/>
  <c r="AO448" i="11"/>
  <c r="AO449" i="11" s="1"/>
  <c r="BS445" i="11"/>
  <c r="BN445" i="11"/>
  <c r="BI445" i="11"/>
  <c r="BD445" i="11"/>
  <c r="BD449" i="11" s="1"/>
  <c r="AY445" i="11"/>
  <c r="AY449" i="11" s="1"/>
  <c r="AT445" i="11"/>
  <c r="AT449" i="11" s="1"/>
  <c r="AO445" i="11"/>
  <c r="BI438" i="11"/>
  <c r="BD438" i="11"/>
  <c r="AY438" i="11"/>
  <c r="AY450" i="11" s="1"/>
  <c r="BS437" i="11"/>
  <c r="BN437" i="11"/>
  <c r="BN438" i="11" s="1"/>
  <c r="BI437" i="11"/>
  <c r="BD437" i="11"/>
  <c r="AY437" i="11"/>
  <c r="AT437" i="11"/>
  <c r="AO437" i="11"/>
  <c r="BS434" i="11"/>
  <c r="BS438" i="11" s="1"/>
  <c r="BS450" i="11" s="1"/>
  <c r="BN434" i="11"/>
  <c r="BI434" i="11"/>
  <c r="BD434" i="11"/>
  <c r="AY434" i="11"/>
  <c r="AT434" i="11"/>
  <c r="AO434" i="11"/>
  <c r="AO438" i="11" s="1"/>
  <c r="AO450" i="11" s="1"/>
  <c r="BS425" i="11"/>
  <c r="BN425" i="11"/>
  <c r="BS424" i="11"/>
  <c r="BN424" i="11"/>
  <c r="BI424" i="11"/>
  <c r="BD424" i="11"/>
  <c r="AY424" i="11"/>
  <c r="AT424" i="11"/>
  <c r="AO424" i="11"/>
  <c r="BS421" i="11"/>
  <c r="BN421" i="11"/>
  <c r="BI421" i="11"/>
  <c r="BI425" i="11" s="1"/>
  <c r="BD421" i="11"/>
  <c r="BD425" i="11" s="1"/>
  <c r="AY421" i="11"/>
  <c r="AY425" i="11" s="1"/>
  <c r="AT421" i="11"/>
  <c r="AT425" i="11" s="1"/>
  <c r="AO421" i="11"/>
  <c r="AO425" i="11" s="1"/>
  <c r="BD414" i="11"/>
  <c r="AY414" i="11"/>
  <c r="AY426" i="11" s="1"/>
  <c r="AT414" i="11"/>
  <c r="AT426" i="11" s="1"/>
  <c r="BS413" i="11"/>
  <c r="BN413" i="11"/>
  <c r="BI413" i="11"/>
  <c r="BD413" i="11"/>
  <c r="AY413" i="11"/>
  <c r="AT413" i="11"/>
  <c r="AO413" i="11"/>
  <c r="BS410" i="11"/>
  <c r="BS414" i="11" s="1"/>
  <c r="BS426" i="11" s="1"/>
  <c r="BN410" i="11"/>
  <c r="BN414" i="11" s="1"/>
  <c r="BN426" i="11" s="1"/>
  <c r="BI410" i="11"/>
  <c r="BI414" i="11" s="1"/>
  <c r="BD410" i="11"/>
  <c r="AY410" i="11"/>
  <c r="AT410" i="11"/>
  <c r="AO410" i="11"/>
  <c r="BS401" i="11"/>
  <c r="BS402" i="11" s="1"/>
  <c r="BN401" i="11"/>
  <c r="BS400" i="11"/>
  <c r="BN400" i="11"/>
  <c r="BI400" i="11"/>
  <c r="BD400" i="11"/>
  <c r="AY400" i="11"/>
  <c r="AT400" i="11"/>
  <c r="AO400" i="11"/>
  <c r="BS397" i="11"/>
  <c r="BN397" i="11"/>
  <c r="BI397" i="11"/>
  <c r="BI401" i="11" s="1"/>
  <c r="BD397" i="11"/>
  <c r="BD401" i="11" s="1"/>
  <c r="AY397" i="11"/>
  <c r="AY401" i="11" s="1"/>
  <c r="AT397" i="11"/>
  <c r="AT401" i="11" s="1"/>
  <c r="AO397" i="11"/>
  <c r="AO401" i="11" s="1"/>
  <c r="BI390" i="11"/>
  <c r="BI402" i="11" s="1"/>
  <c r="BD390" i="11"/>
  <c r="BD402" i="11" s="1"/>
  <c r="BS389" i="11"/>
  <c r="BN389" i="11"/>
  <c r="BI389" i="11"/>
  <c r="BD389" i="11"/>
  <c r="AY389" i="11"/>
  <c r="AY390" i="11" s="1"/>
  <c r="AY402" i="11" s="1"/>
  <c r="AT389" i="11"/>
  <c r="AO389" i="11"/>
  <c r="BS386" i="11"/>
  <c r="BS390" i="11" s="1"/>
  <c r="BN386" i="11"/>
  <c r="BN390" i="11" s="1"/>
  <c r="BI386" i="11"/>
  <c r="BD386" i="11"/>
  <c r="AY386" i="11"/>
  <c r="AT386" i="11"/>
  <c r="AO386" i="11"/>
  <c r="AO390" i="11" s="1"/>
  <c r="AO402" i="11" s="1"/>
  <c r="AO331" i="11"/>
  <c r="BS329" i="11"/>
  <c r="BS331" i="11" s="1"/>
  <c r="AO329" i="11"/>
  <c r="BS321" i="11"/>
  <c r="BN321" i="11"/>
  <c r="BN329" i="11" s="1"/>
  <c r="BN331" i="11" s="1"/>
  <c r="BI321" i="11"/>
  <c r="BI329" i="11" s="1"/>
  <c r="BI331" i="11" s="1"/>
  <c r="BD321" i="11"/>
  <c r="BD329" i="11" s="1"/>
  <c r="BD331" i="11" s="1"/>
  <c r="AY321" i="11"/>
  <c r="AY329" i="11" s="1"/>
  <c r="AY331" i="11" s="1"/>
  <c r="AT321" i="11"/>
  <c r="AT329" i="11" s="1"/>
  <c r="AT331" i="11" s="1"/>
  <c r="AO321" i="11"/>
  <c r="BN317" i="11"/>
  <c r="BN315" i="11"/>
  <c r="BI315" i="11"/>
  <c r="BI317" i="11" s="1"/>
  <c r="BD315" i="11"/>
  <c r="BD317" i="11" s="1"/>
  <c r="BS307" i="11"/>
  <c r="BS315" i="11" s="1"/>
  <c r="BS317" i="11" s="1"/>
  <c r="BN307" i="11"/>
  <c r="BI307" i="11"/>
  <c r="BD307" i="11"/>
  <c r="AY307" i="11"/>
  <c r="AY315" i="11" s="1"/>
  <c r="AY317" i="11" s="1"/>
  <c r="AT307" i="11"/>
  <c r="AT315" i="11" s="1"/>
  <c r="AT317" i="11" s="1"/>
  <c r="AO307" i="11"/>
  <c r="AO315" i="11" s="1"/>
  <c r="AO317" i="11" s="1"/>
  <c r="BS302" i="11"/>
  <c r="BN302" i="11"/>
  <c r="BI302" i="11"/>
  <c r="BD302" i="11"/>
  <c r="AY302" i="11"/>
  <c r="AT302" i="11"/>
  <c r="AO302" i="11"/>
  <c r="BS300" i="11"/>
  <c r="BN300" i="11"/>
  <c r="BI300" i="11"/>
  <c r="BD300" i="11"/>
  <c r="AY300" i="11"/>
  <c r="AT300" i="11"/>
  <c r="AO300" i="11"/>
  <c r="BS299" i="11"/>
  <c r="BN299" i="11"/>
  <c r="BI299" i="11"/>
  <c r="BD299" i="11"/>
  <c r="AY299" i="11"/>
  <c r="AT299" i="11"/>
  <c r="AO299" i="11"/>
  <c r="BS298" i="11"/>
  <c r="BN298" i="11"/>
  <c r="BI298" i="11"/>
  <c r="BD298" i="11"/>
  <c r="AY298" i="11"/>
  <c r="AT298" i="11"/>
  <c r="AO298" i="11"/>
  <c r="BS297" i="11"/>
  <c r="BN297" i="11"/>
  <c r="BI297" i="11"/>
  <c r="BD297" i="11"/>
  <c r="AY297" i="11"/>
  <c r="AT297" i="11"/>
  <c r="AO297" i="11"/>
  <c r="BS296" i="11"/>
  <c r="BN296" i="11"/>
  <c r="BI296" i="11"/>
  <c r="BD296" i="11"/>
  <c r="AY296" i="11"/>
  <c r="AT296" i="11"/>
  <c r="AO296" i="11"/>
  <c r="BS295" i="11"/>
  <c r="BN295" i="11"/>
  <c r="BI295" i="11"/>
  <c r="BD295" i="11"/>
  <c r="AY295" i="11"/>
  <c r="AT295" i="11"/>
  <c r="AO295" i="11"/>
  <c r="BS294" i="11"/>
  <c r="BN294" i="11"/>
  <c r="BI294" i="11"/>
  <c r="BD294" i="11"/>
  <c r="AY294" i="11"/>
  <c r="AT294" i="11"/>
  <c r="AO294" i="11"/>
  <c r="AO301" i="11" s="1"/>
  <c r="AO303" i="11" s="1"/>
  <c r="AT293" i="11"/>
  <c r="AO293" i="11"/>
  <c r="BS292" i="11"/>
  <c r="BN292" i="11"/>
  <c r="BI292" i="11"/>
  <c r="BD292" i="11"/>
  <c r="AY292" i="11"/>
  <c r="AT292" i="11"/>
  <c r="AO292" i="11"/>
  <c r="BS291" i="11"/>
  <c r="BS293" i="11" s="1"/>
  <c r="BN291" i="11"/>
  <c r="BN293" i="11" s="1"/>
  <c r="BI291" i="11"/>
  <c r="BI293" i="11" s="1"/>
  <c r="BD291" i="11"/>
  <c r="BD293" i="11" s="1"/>
  <c r="AY291" i="11"/>
  <c r="AY293" i="11" s="1"/>
  <c r="AT291" i="11"/>
  <c r="AO291" i="11"/>
  <c r="BN290" i="11"/>
  <c r="BI290" i="11"/>
  <c r="BN288" i="11"/>
  <c r="BI288" i="11"/>
  <c r="BS280" i="11"/>
  <c r="BS288" i="11" s="1"/>
  <c r="BS290" i="11" s="1"/>
  <c r="BN280" i="11"/>
  <c r="BI280" i="11"/>
  <c r="BD280" i="11"/>
  <c r="BD288" i="11" s="1"/>
  <c r="BD290" i="11" s="1"/>
  <c r="AY280" i="11"/>
  <c r="AY288" i="11" s="1"/>
  <c r="AY290" i="11" s="1"/>
  <c r="AT280" i="11"/>
  <c r="AT288" i="11" s="1"/>
  <c r="AT290" i="11" s="1"/>
  <c r="AO280" i="11"/>
  <c r="AO288" i="11" s="1"/>
  <c r="AO290" i="11" s="1"/>
  <c r="AY277" i="11"/>
  <c r="AY275" i="11"/>
  <c r="AT275" i="11"/>
  <c r="AT277" i="11" s="1"/>
  <c r="BS267" i="11"/>
  <c r="BS275" i="11" s="1"/>
  <c r="BS277" i="11" s="1"/>
  <c r="BN267" i="11"/>
  <c r="BN275" i="11" s="1"/>
  <c r="BN277" i="11" s="1"/>
  <c r="BI267" i="11"/>
  <c r="BI275" i="11" s="1"/>
  <c r="BI277" i="11" s="1"/>
  <c r="BD267" i="11"/>
  <c r="BD275" i="11" s="1"/>
  <c r="BD277" i="11" s="1"/>
  <c r="AY267" i="11"/>
  <c r="AT267" i="11"/>
  <c r="AO267" i="11"/>
  <c r="AO275" i="11" s="1"/>
  <c r="AO277" i="11" s="1"/>
  <c r="BS262" i="11"/>
  <c r="BS264" i="11" s="1"/>
  <c r="BS254" i="11"/>
  <c r="BN254" i="11"/>
  <c r="BN262" i="11" s="1"/>
  <c r="BN264" i="11" s="1"/>
  <c r="BI254" i="11"/>
  <c r="BI262" i="11" s="1"/>
  <c r="BI264" i="11" s="1"/>
  <c r="BD254" i="11"/>
  <c r="BD262" i="11" s="1"/>
  <c r="BD264" i="11" s="1"/>
  <c r="AY254" i="11"/>
  <c r="AY262" i="11" s="1"/>
  <c r="AY264" i="11" s="1"/>
  <c r="AT254" i="11"/>
  <c r="AT262" i="11" s="1"/>
  <c r="AT264" i="11" s="1"/>
  <c r="AO254" i="11"/>
  <c r="AO262" i="11" s="1"/>
  <c r="AO264" i="11" s="1"/>
  <c r="BI251" i="11"/>
  <c r="BI249" i="11"/>
  <c r="BD249" i="11"/>
  <c r="BD251" i="11" s="1"/>
  <c r="AY249" i="11"/>
  <c r="AY251" i="11" s="1"/>
  <c r="BS241" i="11"/>
  <c r="BS249" i="11" s="1"/>
  <c r="BS251" i="11" s="1"/>
  <c r="BN241" i="11"/>
  <c r="BN249" i="11" s="1"/>
  <c r="BN251" i="11" s="1"/>
  <c r="BI241" i="11"/>
  <c r="BD241" i="11"/>
  <c r="AY241" i="11"/>
  <c r="AT241" i="11"/>
  <c r="AT249" i="11" s="1"/>
  <c r="AT251" i="11" s="1"/>
  <c r="AO241" i="11"/>
  <c r="AO249" i="11" s="1"/>
  <c r="AO251" i="11" s="1"/>
  <c r="AT238" i="11"/>
  <c r="AO238" i="11"/>
  <c r="AT236" i="11"/>
  <c r="AO236" i="11"/>
  <c r="BS228" i="11"/>
  <c r="BS236" i="11" s="1"/>
  <c r="BS238" i="11" s="1"/>
  <c r="BN228" i="11"/>
  <c r="BN236" i="11" s="1"/>
  <c r="BN238" i="11" s="1"/>
  <c r="BI228" i="11"/>
  <c r="BI236" i="11" s="1"/>
  <c r="BI238" i="11" s="1"/>
  <c r="BD228" i="11"/>
  <c r="BD236" i="11" s="1"/>
  <c r="BD238" i="11" s="1"/>
  <c r="AY228" i="11"/>
  <c r="AY236" i="11" s="1"/>
  <c r="AY238" i="11" s="1"/>
  <c r="AT228" i="11"/>
  <c r="AO228" i="11"/>
  <c r="BS225" i="11"/>
  <c r="BS223" i="11"/>
  <c r="BN223" i="11"/>
  <c r="BN225" i="11" s="1"/>
  <c r="BI223" i="11"/>
  <c r="BI225" i="11" s="1"/>
  <c r="BS215" i="11"/>
  <c r="BN215" i="11"/>
  <c r="BI215" i="11"/>
  <c r="BD215" i="11"/>
  <c r="BD223" i="11" s="1"/>
  <c r="BD225" i="11" s="1"/>
  <c r="AY215" i="11"/>
  <c r="AY223" i="11" s="1"/>
  <c r="AY225" i="11" s="1"/>
  <c r="AT215" i="11"/>
  <c r="AT223" i="11" s="1"/>
  <c r="AT225" i="11" s="1"/>
  <c r="AO215" i="11"/>
  <c r="AO223" i="11" s="1"/>
  <c r="AO225" i="11" s="1"/>
  <c r="BI210" i="11"/>
  <c r="BD210" i="11"/>
  <c r="AY210" i="11"/>
  <c r="BS209" i="11"/>
  <c r="BN209" i="11"/>
  <c r="BI209" i="11"/>
  <c r="BD209" i="11"/>
  <c r="AY209" i="11"/>
  <c r="AT209" i="11"/>
  <c r="AO209" i="11"/>
  <c r="BS205" i="11"/>
  <c r="BS210" i="11" s="1"/>
  <c r="BN205" i="11"/>
  <c r="BN210" i="11" s="1"/>
  <c r="BI205" i="11"/>
  <c r="BD205" i="11"/>
  <c r="AY205" i="11"/>
  <c r="AT205" i="11"/>
  <c r="AO205" i="11"/>
  <c r="AO210" i="11" s="1"/>
  <c r="AT198" i="11"/>
  <c r="AO198" i="11"/>
  <c r="BS197" i="11"/>
  <c r="BN197" i="11"/>
  <c r="BI197" i="11"/>
  <c r="BD197" i="11"/>
  <c r="AY197" i="11"/>
  <c r="AT197" i="11"/>
  <c r="AO197" i="11"/>
  <c r="BS193" i="11"/>
  <c r="BS198" i="11" s="1"/>
  <c r="BN193" i="11"/>
  <c r="BN198" i="11" s="1"/>
  <c r="BI193" i="11"/>
  <c r="BI198" i="11" s="1"/>
  <c r="BD193" i="11"/>
  <c r="BD198" i="11" s="1"/>
  <c r="AY193" i="11"/>
  <c r="AY198" i="11" s="1"/>
  <c r="AT193" i="11"/>
  <c r="AO193" i="11"/>
  <c r="BN185" i="11"/>
  <c r="BI185" i="11"/>
  <c r="BS184" i="11"/>
  <c r="BN184" i="11"/>
  <c r="BI184" i="11"/>
  <c r="BD184" i="11"/>
  <c r="BD185" i="11" s="1"/>
  <c r="AY184" i="11"/>
  <c r="AT184" i="11"/>
  <c r="AO184" i="11"/>
  <c r="BS183" i="11"/>
  <c r="BN183" i="11"/>
  <c r="BI183" i="11"/>
  <c r="BD183" i="11"/>
  <c r="AY183" i="11"/>
  <c r="AT183" i="11"/>
  <c r="AO183" i="11"/>
  <c r="BS182" i="11"/>
  <c r="BS185" i="11" s="1"/>
  <c r="BN182" i="11"/>
  <c r="BI182" i="11"/>
  <c r="BD182" i="11"/>
  <c r="AY182" i="11"/>
  <c r="AT182" i="11"/>
  <c r="AO182" i="11"/>
  <c r="AO185" i="11" s="1"/>
  <c r="AT181" i="11"/>
  <c r="AO181" i="11"/>
  <c r="BS180" i="11"/>
  <c r="BN180" i="11"/>
  <c r="BI180" i="11"/>
  <c r="BD180" i="11"/>
  <c r="AY180" i="11"/>
  <c r="AT180" i="11"/>
  <c r="AO180" i="11"/>
  <c r="BS179" i="11"/>
  <c r="BN179" i="11"/>
  <c r="BI179" i="11"/>
  <c r="BD179" i="11"/>
  <c r="AY179" i="11"/>
  <c r="AT179" i="11"/>
  <c r="AO179" i="11"/>
  <c r="BS178" i="11"/>
  <c r="BN178" i="11"/>
  <c r="BI178" i="11"/>
  <c r="BD178" i="11"/>
  <c r="AY178" i="11"/>
  <c r="AT178" i="11"/>
  <c r="AO178" i="11"/>
  <c r="BS177" i="11"/>
  <c r="BN177" i="11"/>
  <c r="BI177" i="11"/>
  <c r="BD177" i="11"/>
  <c r="AY177" i="11"/>
  <c r="AT177" i="11"/>
  <c r="AO177" i="11"/>
  <c r="BS176" i="11"/>
  <c r="BN176" i="11"/>
  <c r="BI176" i="11"/>
  <c r="BD176" i="11"/>
  <c r="BD181" i="11" s="1"/>
  <c r="AY176" i="11"/>
  <c r="AY181" i="11" s="1"/>
  <c r="AT176" i="11"/>
  <c r="AO176" i="11"/>
  <c r="BD175" i="11"/>
  <c r="AY175" i="11"/>
  <c r="AT175" i="11"/>
  <c r="BS174" i="11"/>
  <c r="BN174" i="11"/>
  <c r="BI174" i="11"/>
  <c r="BD174" i="11"/>
  <c r="AY174" i="11"/>
  <c r="AT174" i="11"/>
  <c r="AO174" i="11"/>
  <c r="BS170" i="11"/>
  <c r="BS175" i="11" s="1"/>
  <c r="BN170" i="11"/>
  <c r="BN175" i="11" s="1"/>
  <c r="BI170" i="11"/>
  <c r="BI175" i="11" s="1"/>
  <c r="BD170" i="11"/>
  <c r="AY170" i="11"/>
  <c r="AT170" i="11"/>
  <c r="AO170" i="11"/>
  <c r="BS164" i="11"/>
  <c r="AO164" i="11"/>
  <c r="BS163" i="11"/>
  <c r="BN163" i="11"/>
  <c r="BI163" i="11"/>
  <c r="BD163" i="11"/>
  <c r="AY163" i="11"/>
  <c r="AT163" i="11"/>
  <c r="AO163" i="11"/>
  <c r="BS159" i="11"/>
  <c r="BN159" i="11"/>
  <c r="BI159" i="11"/>
  <c r="BI164" i="11" s="1"/>
  <c r="BD159" i="11"/>
  <c r="BD164" i="11" s="1"/>
  <c r="AY159" i="11"/>
  <c r="AY164" i="11" s="1"/>
  <c r="AT159" i="11"/>
  <c r="AT164" i="11" s="1"/>
  <c r="AO159" i="11"/>
  <c r="BN153" i="11"/>
  <c r="BI153" i="11"/>
  <c r="BD153" i="11"/>
  <c r="BS152" i="11"/>
  <c r="BN152" i="11"/>
  <c r="BI152" i="11"/>
  <c r="BD152" i="11"/>
  <c r="AY152" i="11"/>
  <c r="AT152" i="11"/>
  <c r="AO152" i="11"/>
  <c r="BS148" i="11"/>
  <c r="BS153" i="11" s="1"/>
  <c r="BN148" i="11"/>
  <c r="BI148" i="11"/>
  <c r="BD148" i="11"/>
  <c r="AY148" i="11"/>
  <c r="AT148" i="11"/>
  <c r="AT153" i="11" s="1"/>
  <c r="AO148" i="11"/>
  <c r="AO153" i="11" s="1"/>
  <c r="AY142" i="11"/>
  <c r="AT142" i="11"/>
  <c r="AO142" i="11"/>
  <c r="BS141" i="11"/>
  <c r="BN141" i="11"/>
  <c r="BI141" i="11"/>
  <c r="BD141" i="11"/>
  <c r="AY141" i="11"/>
  <c r="AT141" i="11"/>
  <c r="AO141" i="11"/>
  <c r="BS137" i="11"/>
  <c r="BS142" i="11" s="1"/>
  <c r="BN137" i="11"/>
  <c r="BN142" i="11" s="1"/>
  <c r="BI137" i="11"/>
  <c r="BI142" i="11" s="1"/>
  <c r="BD137" i="11"/>
  <c r="BD142" i="11" s="1"/>
  <c r="AY137" i="11"/>
  <c r="AT137" i="11"/>
  <c r="AO137" i="11"/>
  <c r="BS131" i="11"/>
  <c r="BN131" i="11"/>
  <c r="BS130" i="11"/>
  <c r="BN130" i="11"/>
  <c r="BI130" i="11"/>
  <c r="BD130" i="11"/>
  <c r="AY130" i="11"/>
  <c r="AT130" i="11"/>
  <c r="AO130" i="11"/>
  <c r="BS126" i="11"/>
  <c r="BN126" i="11"/>
  <c r="BI126" i="11"/>
  <c r="BD126" i="11"/>
  <c r="BD131" i="11" s="1"/>
  <c r="AY126" i="11"/>
  <c r="AY131" i="11" s="1"/>
  <c r="AT126" i="11"/>
  <c r="AT131" i="11" s="1"/>
  <c r="AO126" i="11"/>
  <c r="AO131" i="11" s="1"/>
  <c r="BI120" i="11"/>
  <c r="BD120" i="11"/>
  <c r="BS119" i="11"/>
  <c r="BN119" i="11"/>
  <c r="BI119" i="11"/>
  <c r="BD119" i="11"/>
  <c r="AY119" i="11"/>
  <c r="AY120" i="11" s="1"/>
  <c r="AT119" i="11"/>
  <c r="AO119" i="11"/>
  <c r="BS115" i="11"/>
  <c r="BS120" i="11" s="1"/>
  <c r="BN115" i="11"/>
  <c r="BN120" i="11" s="1"/>
  <c r="BI115" i="11"/>
  <c r="BD115" i="11"/>
  <c r="AY115" i="11"/>
  <c r="AT115" i="11"/>
  <c r="AT120" i="11" s="1"/>
  <c r="AO115" i="11"/>
  <c r="AO120" i="11" s="1"/>
  <c r="AT107" i="11"/>
  <c r="AO107" i="11"/>
  <c r="BS105" i="11"/>
  <c r="BN105" i="11"/>
  <c r="BI105" i="11"/>
  <c r="BD105" i="11"/>
  <c r="AY105" i="11"/>
  <c r="AT105" i="11"/>
  <c r="AO105" i="11"/>
  <c r="BS100" i="11"/>
  <c r="BS107" i="11" s="1"/>
  <c r="BN100" i="11"/>
  <c r="BN107" i="11" s="1"/>
  <c r="BI100" i="11"/>
  <c r="BI107" i="11" s="1"/>
  <c r="BD100" i="11"/>
  <c r="BD107" i="11" s="1"/>
  <c r="AY100" i="11"/>
  <c r="AY107" i="11" s="1"/>
  <c r="AT100" i="11"/>
  <c r="AO100" i="11"/>
  <c r="BS95" i="11"/>
  <c r="BN95" i="11"/>
  <c r="BS93" i="11"/>
  <c r="BN93" i="11"/>
  <c r="BI93" i="11"/>
  <c r="BI95" i="11" s="1"/>
  <c r="BD93" i="11"/>
  <c r="AY93" i="11"/>
  <c r="AT93" i="11"/>
  <c r="AO93" i="11"/>
  <c r="BS88" i="11"/>
  <c r="BN88" i="11"/>
  <c r="BI88" i="11"/>
  <c r="BD88" i="11"/>
  <c r="AY88" i="11"/>
  <c r="AY95" i="11" s="1"/>
  <c r="AT88" i="11"/>
  <c r="AT95" i="11" s="1"/>
  <c r="AO88" i="11"/>
  <c r="AO95" i="11" s="1"/>
  <c r="BS82" i="11"/>
  <c r="BN82" i="11"/>
  <c r="BI82" i="11"/>
  <c r="BD82" i="11"/>
  <c r="AY82" i="11"/>
  <c r="AT82" i="11"/>
  <c r="AO82" i="11"/>
  <c r="AT81" i="11"/>
  <c r="AO81" i="11"/>
  <c r="BS80" i="11"/>
  <c r="BN80" i="11"/>
  <c r="BI80" i="11"/>
  <c r="BD80" i="11"/>
  <c r="AY80" i="11"/>
  <c r="AT80" i="11"/>
  <c r="AO80" i="11"/>
  <c r="BS79" i="11"/>
  <c r="BN79" i="11"/>
  <c r="BI79" i="11"/>
  <c r="BD79" i="11"/>
  <c r="AY79" i="11"/>
  <c r="AT79" i="11"/>
  <c r="AO79" i="11"/>
  <c r="BS78" i="11"/>
  <c r="BN78" i="11"/>
  <c r="BI78" i="11"/>
  <c r="BD78" i="11"/>
  <c r="AY78" i="11"/>
  <c r="AT78" i="11"/>
  <c r="AO78" i="11"/>
  <c r="BS77" i="11"/>
  <c r="BN77" i="11"/>
  <c r="BI77" i="11"/>
  <c r="BD77" i="11"/>
  <c r="BD81" i="11" s="1"/>
  <c r="AY77" i="11"/>
  <c r="AY81" i="11" s="1"/>
  <c r="AT77" i="11"/>
  <c r="AO77" i="11"/>
  <c r="BI76" i="11"/>
  <c r="BD76" i="11"/>
  <c r="BS75" i="11"/>
  <c r="BN75" i="11"/>
  <c r="BI75" i="11"/>
  <c r="BD75" i="11"/>
  <c r="AY75" i="11"/>
  <c r="AY76" i="11" s="1"/>
  <c r="AY83" i="11" s="1"/>
  <c r="AT75" i="11"/>
  <c r="AO75" i="11"/>
  <c r="BS74" i="11"/>
  <c r="BN74" i="11"/>
  <c r="BI74" i="11"/>
  <c r="BD74" i="11"/>
  <c r="AY74" i="11"/>
  <c r="AT74" i="11"/>
  <c r="AO74" i="11"/>
  <c r="BS73" i="11"/>
  <c r="BS76" i="11" s="1"/>
  <c r="BN73" i="11"/>
  <c r="BN76" i="11" s="1"/>
  <c r="BI73" i="11"/>
  <c r="BD73" i="11"/>
  <c r="AY73" i="11"/>
  <c r="AT73" i="11"/>
  <c r="AT76" i="11" s="1"/>
  <c r="AT83" i="11" s="1"/>
  <c r="AO73" i="11"/>
  <c r="BS72" i="11"/>
  <c r="AO72" i="11"/>
  <c r="BS70" i="11"/>
  <c r="BN70" i="11"/>
  <c r="BI70" i="11"/>
  <c r="BD70" i="11"/>
  <c r="AY70" i="11"/>
  <c r="AT70" i="11"/>
  <c r="AO70" i="11"/>
  <c r="BS65" i="11"/>
  <c r="BN65" i="11"/>
  <c r="BI65" i="11"/>
  <c r="BI72" i="11" s="1"/>
  <c r="BD65" i="11"/>
  <c r="BD72" i="11" s="1"/>
  <c r="AY65" i="11"/>
  <c r="AY72" i="11" s="1"/>
  <c r="AT65" i="11"/>
  <c r="AT72" i="11" s="1"/>
  <c r="AO65" i="11"/>
  <c r="BN61" i="11"/>
  <c r="BI61" i="11"/>
  <c r="BS59" i="11"/>
  <c r="BN59" i="11"/>
  <c r="BI59" i="11"/>
  <c r="BD59" i="11"/>
  <c r="BD61" i="11" s="1"/>
  <c r="AY59" i="11"/>
  <c r="AT59" i="11"/>
  <c r="AO59" i="11"/>
  <c r="BS54" i="11"/>
  <c r="BS61" i="11" s="1"/>
  <c r="BN54" i="11"/>
  <c r="BI54" i="11"/>
  <c r="BD54" i="11"/>
  <c r="AY54" i="11"/>
  <c r="AY61" i="11" s="1"/>
  <c r="AT54" i="11"/>
  <c r="AT61" i="11" s="1"/>
  <c r="AO54" i="11"/>
  <c r="AO61" i="11" s="1"/>
  <c r="AY50" i="11"/>
  <c r="AT50" i="11"/>
  <c r="BS48" i="11"/>
  <c r="BN48" i="11"/>
  <c r="BI48" i="11"/>
  <c r="BD48" i="11"/>
  <c r="AY48" i="11"/>
  <c r="AT48" i="11"/>
  <c r="AO48" i="11"/>
  <c r="AO50" i="11" s="1"/>
  <c r="BS43" i="11"/>
  <c r="BS50" i="11" s="1"/>
  <c r="BN43" i="11"/>
  <c r="BN50" i="11" s="1"/>
  <c r="BI43" i="11"/>
  <c r="BI50" i="11" s="1"/>
  <c r="BD43" i="11"/>
  <c r="BD50" i="11" s="1"/>
  <c r="AY43" i="11"/>
  <c r="AT43" i="11"/>
  <c r="AO43" i="11"/>
  <c r="BS39" i="11"/>
  <c r="BS37" i="11"/>
  <c r="BN37" i="11"/>
  <c r="BN39" i="11" s="1"/>
  <c r="BI37" i="11"/>
  <c r="BD37" i="11"/>
  <c r="AY37" i="11"/>
  <c r="AT37" i="11"/>
  <c r="AO37" i="11"/>
  <c r="BS32" i="11"/>
  <c r="BN32" i="11"/>
  <c r="BI32" i="11"/>
  <c r="BD32" i="11"/>
  <c r="BD39" i="11" s="1"/>
  <c r="AY32" i="11"/>
  <c r="AY39" i="11" s="1"/>
  <c r="AT32" i="11"/>
  <c r="AT39" i="11" s="1"/>
  <c r="AO32" i="11"/>
  <c r="AO39" i="11" s="1"/>
  <c r="BI28" i="11"/>
  <c r="BD28" i="11"/>
  <c r="AY28" i="11"/>
  <c r="BS26" i="11"/>
  <c r="BN26" i="11"/>
  <c r="BI26" i="11"/>
  <c r="BD26" i="11"/>
  <c r="AY26" i="11"/>
  <c r="AT26" i="11"/>
  <c r="AO26" i="11"/>
  <c r="BS21" i="11"/>
  <c r="BS28" i="11" s="1"/>
  <c r="BN21" i="11"/>
  <c r="BN28" i="11" s="1"/>
  <c r="BI21" i="11"/>
  <c r="BD21" i="11"/>
  <c r="AY21" i="11"/>
  <c r="AT21" i="11"/>
  <c r="AT28" i="11" s="1"/>
  <c r="AO21" i="11"/>
  <c r="AO28" i="11" s="1"/>
  <c r="AT17" i="11"/>
  <c r="AO17" i="11"/>
  <c r="BS15" i="11"/>
  <c r="BN15" i="11"/>
  <c r="BI15" i="11"/>
  <c r="BD15" i="11"/>
  <c r="AY15" i="11"/>
  <c r="AT15" i="11"/>
  <c r="AO15" i="11"/>
  <c r="BS10" i="11"/>
  <c r="BN10" i="11"/>
  <c r="BN17" i="11" s="1"/>
  <c r="BI10" i="11"/>
  <c r="BI17" i="11" s="1"/>
  <c r="BD10" i="11"/>
  <c r="BD17" i="11" s="1"/>
  <c r="AY10" i="11"/>
  <c r="AY17" i="11" s="1"/>
  <c r="AT10" i="11"/>
  <c r="AO10" i="11"/>
  <c r="C5" i="11"/>
  <c r="CF2" i="11"/>
  <c r="CE2" i="11"/>
  <c r="CD2" i="11"/>
  <c r="CC2" i="11"/>
  <c r="CB2" i="11"/>
  <c r="CA2" i="11"/>
  <c r="BZ2" i="11"/>
  <c r="BY2" i="11"/>
  <c r="BX2" i="11"/>
  <c r="BW2" i="11"/>
  <c r="BV2" i="11"/>
  <c r="BU2" i="11"/>
  <c r="BT2" i="11"/>
  <c r="BS2" i="11"/>
  <c r="BR2" i="11"/>
  <c r="BQ2" i="11"/>
  <c r="BP2" i="11"/>
  <c r="BO2" i="11"/>
  <c r="BN2" i="11"/>
  <c r="BM2" i="11"/>
  <c r="BL2" i="11"/>
  <c r="BK2" i="11"/>
  <c r="BJ2" i="11"/>
  <c r="BI2" i="11"/>
  <c r="BH2" i="11"/>
  <c r="BG2" i="11"/>
  <c r="BF2" i="11"/>
  <c r="BE2" i="11"/>
  <c r="BD2" i="11"/>
  <c r="BC2" i="11"/>
  <c r="BB2" i="11"/>
  <c r="BA2" i="11"/>
  <c r="AZ2" i="11"/>
  <c r="AY2" i="11"/>
  <c r="AX2" i="11"/>
  <c r="AW2" i="11"/>
  <c r="AV2" i="11"/>
  <c r="AU2" i="11"/>
  <c r="AT2" i="11"/>
  <c r="AS2" i="11"/>
  <c r="AR2" i="11"/>
  <c r="AQ2" i="11"/>
  <c r="AP2" i="11"/>
  <c r="AO2" i="11"/>
  <c r="AN2" i="11"/>
  <c r="AM2" i="11"/>
  <c r="AL2" i="11"/>
  <c r="AK2" i="11"/>
  <c r="AJ2" i="11"/>
  <c r="AI2" i="11"/>
  <c r="AH2" i="11"/>
  <c r="AG2" i="11"/>
  <c r="AF2" i="11"/>
  <c r="AE2" i="11"/>
  <c r="AD2" i="11"/>
  <c r="AC2" i="11"/>
  <c r="AB2" i="11"/>
  <c r="AA2" i="11"/>
  <c r="Z2" i="11"/>
  <c r="Y2" i="11"/>
  <c r="X2" i="11"/>
  <c r="W2" i="11"/>
  <c r="V2" i="11"/>
  <c r="U2" i="11"/>
  <c r="T2" i="11"/>
  <c r="S2" i="11"/>
  <c r="R2" i="11"/>
  <c r="Q2" i="11"/>
  <c r="P2" i="11"/>
  <c r="O2" i="11"/>
  <c r="N2" i="11"/>
  <c r="M2" i="11"/>
  <c r="L2" i="11"/>
  <c r="K2" i="11"/>
  <c r="J2" i="11"/>
  <c r="I2" i="11"/>
  <c r="H2" i="11"/>
  <c r="G2" i="11"/>
  <c r="F2" i="11"/>
  <c r="E2" i="11"/>
  <c r="D2" i="11"/>
  <c r="A1" i="11"/>
  <c r="K226" i="10"/>
  <c r="K224" i="10"/>
  <c r="K222" i="10"/>
  <c r="K221" i="10"/>
  <c r="K220" i="10"/>
  <c r="K218" i="10"/>
  <c r="K217" i="10"/>
  <c r="K216" i="10"/>
  <c r="K215" i="10"/>
  <c r="K213" i="10"/>
  <c r="K212" i="10"/>
  <c r="K211" i="10"/>
  <c r="K210" i="10"/>
  <c r="K208" i="10"/>
  <c r="K207" i="10"/>
  <c r="K206" i="10"/>
  <c r="K205" i="10"/>
  <c r="K204" i="10"/>
  <c r="K203" i="10"/>
  <c r="K202" i="10"/>
  <c r="K201" i="10"/>
  <c r="K200" i="10"/>
  <c r="K198" i="10"/>
  <c r="K196" i="10"/>
  <c r="K195" i="10"/>
  <c r="K193" i="10"/>
  <c r="K192" i="10"/>
  <c r="K190" i="10"/>
  <c r="K189" i="10"/>
  <c r="K188" i="10"/>
  <c r="K187" i="10"/>
  <c r="K186" i="10"/>
  <c r="K185" i="10"/>
  <c r="K184" i="10"/>
  <c r="K183" i="10"/>
  <c r="K182" i="10"/>
  <c r="K180" i="10"/>
  <c r="K179" i="10"/>
  <c r="K178" i="10"/>
  <c r="K177" i="10"/>
  <c r="K176" i="10"/>
  <c r="K174" i="10"/>
  <c r="K173" i="10"/>
  <c r="K172" i="10"/>
  <c r="K171" i="10"/>
  <c r="K169" i="10"/>
  <c r="K168" i="10"/>
  <c r="K167" i="10"/>
  <c r="K166" i="10"/>
  <c r="K164" i="10"/>
  <c r="K163" i="10"/>
  <c r="K162" i="10"/>
  <c r="K161" i="10"/>
  <c r="K160" i="10"/>
  <c r="K158" i="10"/>
  <c r="K157" i="10"/>
  <c r="K156" i="10"/>
  <c r="K154" i="10"/>
  <c r="K152" i="10"/>
  <c r="K150" i="10"/>
  <c r="K149" i="10"/>
  <c r="K148" i="10"/>
  <c r="K147" i="10"/>
  <c r="K145" i="10"/>
  <c r="K144" i="10"/>
  <c r="K142" i="10"/>
  <c r="K141" i="10"/>
  <c r="K140" i="10"/>
  <c r="K139" i="10"/>
  <c r="K137" i="10"/>
  <c r="K136" i="10"/>
  <c r="K135" i="10"/>
  <c r="K134" i="10"/>
  <c r="K133" i="10"/>
  <c r="K132" i="10"/>
  <c r="K130" i="10"/>
  <c r="K128" i="10"/>
  <c r="K127" i="10"/>
  <c r="K126" i="10"/>
  <c r="K124" i="10"/>
  <c r="K123" i="10"/>
  <c r="K122" i="10"/>
  <c r="K120" i="10"/>
  <c r="K119" i="10"/>
  <c r="K118" i="10"/>
  <c r="K116" i="10"/>
  <c r="K115" i="10"/>
  <c r="K114" i="10"/>
  <c r="K113" i="10"/>
  <c r="K111" i="10"/>
  <c r="K110" i="10"/>
  <c r="K108" i="10"/>
  <c r="K107" i="10"/>
  <c r="K105" i="10"/>
  <c r="K104" i="10"/>
  <c r="K103" i="10"/>
  <c r="K102" i="10"/>
  <c r="K101" i="10"/>
  <c r="K100" i="10"/>
  <c r="K98" i="10"/>
  <c r="K97" i="10"/>
  <c r="K96" i="10"/>
  <c r="K94" i="10"/>
  <c r="K93" i="10"/>
  <c r="K92" i="10"/>
  <c r="K91" i="10"/>
  <c r="K90" i="10"/>
  <c r="K89" i="10"/>
  <c r="K88" i="10"/>
  <c r="K87" i="10"/>
  <c r="K85" i="10"/>
  <c r="K84" i="10"/>
  <c r="K83" i="10"/>
  <c r="K82" i="10"/>
  <c r="K80" i="10"/>
  <c r="K79" i="10"/>
  <c r="K78" i="10"/>
  <c r="K77" i="10"/>
  <c r="K76" i="10"/>
  <c r="K74" i="10"/>
  <c r="K73" i="10"/>
  <c r="K72" i="10"/>
  <c r="K71" i="10"/>
  <c r="K69" i="10"/>
  <c r="K68" i="10"/>
  <c r="K67" i="10"/>
  <c r="K66" i="10"/>
  <c r="K65" i="10"/>
  <c r="K63" i="10"/>
  <c r="K62" i="10"/>
  <c r="K61" i="10"/>
  <c r="K60" i="10"/>
  <c r="K59" i="10"/>
  <c r="K58" i="10"/>
  <c r="K57" i="10"/>
  <c r="K56" i="10"/>
  <c r="K55" i="10"/>
  <c r="K53" i="10"/>
  <c r="K51" i="10"/>
  <c r="K50" i="10"/>
  <c r="K49" i="10"/>
  <c r="K48" i="10"/>
  <c r="K46" i="10"/>
  <c r="K45" i="10"/>
  <c r="K44" i="10"/>
  <c r="K42" i="10"/>
  <c r="K41" i="10"/>
  <c r="K40" i="10"/>
  <c r="K39" i="10"/>
  <c r="K38" i="10"/>
  <c r="K37" i="10"/>
  <c r="K35" i="10"/>
  <c r="K34" i="10"/>
  <c r="K33" i="10"/>
  <c r="K32" i="10"/>
  <c r="K31" i="10"/>
  <c r="K29" i="10"/>
  <c r="K28" i="10"/>
  <c r="K27" i="10"/>
  <c r="K26" i="10"/>
  <c r="K25" i="10"/>
  <c r="K23" i="10"/>
  <c r="K22" i="10"/>
  <c r="K21" i="10"/>
  <c r="K20" i="10"/>
  <c r="K19" i="10"/>
  <c r="K18" i="10"/>
  <c r="K17" i="10"/>
  <c r="K16" i="10"/>
  <c r="K15" i="10"/>
  <c r="K14" i="10"/>
  <c r="K12" i="10"/>
  <c r="K11" i="10"/>
  <c r="K10" i="10"/>
  <c r="K9" i="10"/>
  <c r="K7" i="10"/>
  <c r="K6" i="10"/>
  <c r="F2" i="10"/>
  <c r="B1" i="10"/>
  <c r="B920" i="1"/>
  <c r="B919" i="1"/>
  <c r="B918" i="1"/>
  <c r="B910" i="1"/>
  <c r="B908" i="1"/>
  <c r="B907" i="1"/>
  <c r="B906" i="1"/>
  <c r="C900" i="1"/>
  <c r="CF898" i="1"/>
  <c r="CE898" i="1"/>
  <c r="CD898" i="1"/>
  <c r="CC898" i="1"/>
  <c r="CB898" i="1"/>
  <c r="CA898" i="1"/>
  <c r="BZ898" i="1"/>
  <c r="BY898" i="1"/>
  <c r="BX898" i="1"/>
  <c r="BW898" i="1"/>
  <c r="BV898" i="1"/>
  <c r="BU898" i="1"/>
  <c r="BT898" i="1"/>
  <c r="BS898" i="1"/>
  <c r="BR898" i="1"/>
  <c r="BQ898" i="1"/>
  <c r="BP898" i="1"/>
  <c r="BO898" i="1"/>
  <c r="BN898" i="1"/>
  <c r="BM898" i="1"/>
  <c r="BL898" i="1"/>
  <c r="BK898" i="1"/>
  <c r="BJ898" i="1"/>
  <c r="BI898" i="1"/>
  <c r="BH898" i="1"/>
  <c r="BG898" i="1"/>
  <c r="BF898" i="1"/>
  <c r="BE898" i="1"/>
  <c r="BD898" i="1"/>
  <c r="BC898" i="1"/>
  <c r="BB898" i="1"/>
  <c r="BA898" i="1"/>
  <c r="AZ898" i="1"/>
  <c r="AY898" i="1"/>
  <c r="AX898" i="1"/>
  <c r="AW898" i="1"/>
  <c r="AV898" i="1"/>
  <c r="AU898" i="1"/>
  <c r="AT898" i="1"/>
  <c r="AS898" i="1"/>
  <c r="AR898" i="1"/>
  <c r="AQ898" i="1"/>
  <c r="AP898" i="1"/>
  <c r="AO898" i="1"/>
  <c r="AN898" i="1"/>
  <c r="AM898" i="1"/>
  <c r="AL898" i="1"/>
  <c r="AK898" i="1"/>
  <c r="AJ898" i="1"/>
  <c r="AI898" i="1"/>
  <c r="AH898" i="1"/>
  <c r="AG898" i="1"/>
  <c r="AF898" i="1"/>
  <c r="AE898" i="1"/>
  <c r="AD898" i="1"/>
  <c r="AC898" i="1"/>
  <c r="AB898" i="1"/>
  <c r="AA898" i="1"/>
  <c r="Z898" i="1"/>
  <c r="Y898" i="1"/>
  <c r="X898" i="1"/>
  <c r="W898" i="1"/>
  <c r="V898" i="1"/>
  <c r="U898" i="1"/>
  <c r="T898" i="1"/>
  <c r="S898" i="1"/>
  <c r="R898" i="1"/>
  <c r="Q898" i="1"/>
  <c r="P898" i="1"/>
  <c r="O898" i="1"/>
  <c r="N898" i="1"/>
  <c r="M898" i="1"/>
  <c r="L898" i="1"/>
  <c r="K898" i="1"/>
  <c r="J898" i="1"/>
  <c r="I898" i="1"/>
  <c r="H898" i="1"/>
  <c r="G898" i="1"/>
  <c r="F898" i="1"/>
  <c r="E898" i="1"/>
  <c r="D898" i="1"/>
  <c r="C898" i="1"/>
  <c r="CF894" i="1"/>
  <c r="CE894" i="1"/>
  <c r="CD894" i="1"/>
  <c r="CC894" i="1"/>
  <c r="CB894" i="1"/>
  <c r="CA894" i="1"/>
  <c r="BZ894" i="1"/>
  <c r="BY894" i="1"/>
  <c r="BX894" i="1"/>
  <c r="BW894" i="1"/>
  <c r="BV894" i="1"/>
  <c r="BU894" i="1"/>
  <c r="CF891" i="1"/>
  <c r="CE891" i="1"/>
  <c r="CD891" i="1"/>
  <c r="CC891" i="1"/>
  <c r="CB891" i="1"/>
  <c r="CA891" i="1"/>
  <c r="BZ891" i="1"/>
  <c r="BY891" i="1"/>
  <c r="BX891" i="1"/>
  <c r="BW891" i="1"/>
  <c r="BV891" i="1"/>
  <c r="BU891" i="1"/>
  <c r="BT891" i="1"/>
  <c r="BS891" i="1"/>
  <c r="BR891" i="1"/>
  <c r="BQ891" i="1"/>
  <c r="BP891" i="1"/>
  <c r="BO891" i="1"/>
  <c r="BN891" i="1"/>
  <c r="BM891" i="1"/>
  <c r="BL891" i="1"/>
  <c r="BK891" i="1"/>
  <c r="BJ891" i="1"/>
  <c r="BI891" i="1"/>
  <c r="BH891" i="1"/>
  <c r="BG891" i="1"/>
  <c r="BF891" i="1"/>
  <c r="BE891" i="1"/>
  <c r="BD891" i="1"/>
  <c r="BC891" i="1"/>
  <c r="BB891" i="1"/>
  <c r="BA891" i="1"/>
  <c r="AZ891" i="1"/>
  <c r="AY891" i="1"/>
  <c r="AX891" i="1"/>
  <c r="AW891" i="1"/>
  <c r="AV891" i="1"/>
  <c r="AU891" i="1"/>
  <c r="AT891" i="1"/>
  <c r="AS891" i="1"/>
  <c r="AR891" i="1"/>
  <c r="AQ891" i="1"/>
  <c r="AP891" i="1"/>
  <c r="AO891" i="1"/>
  <c r="AN891" i="1"/>
  <c r="AM891" i="1"/>
  <c r="AL891" i="1"/>
  <c r="AK891" i="1"/>
  <c r="AJ891" i="1"/>
  <c r="AI891" i="1"/>
  <c r="AH891" i="1"/>
  <c r="AG891" i="1"/>
  <c r="AF891" i="1"/>
  <c r="AE891" i="1"/>
  <c r="AD891" i="1"/>
  <c r="AC891" i="1"/>
  <c r="AB891" i="1"/>
  <c r="AA891" i="1"/>
  <c r="Z891" i="1"/>
  <c r="Y891" i="1"/>
  <c r="X891" i="1"/>
  <c r="W891" i="1"/>
  <c r="V891" i="1"/>
  <c r="U891" i="1"/>
  <c r="T891" i="1"/>
  <c r="S891" i="1"/>
  <c r="R891" i="1"/>
  <c r="Q891" i="1"/>
  <c r="P891" i="1"/>
  <c r="O891" i="1"/>
  <c r="N891" i="1"/>
  <c r="M891" i="1"/>
  <c r="L891" i="1"/>
  <c r="K891" i="1"/>
  <c r="J891" i="1"/>
  <c r="I891" i="1"/>
  <c r="H891" i="1"/>
  <c r="G891" i="1"/>
  <c r="F891" i="1"/>
  <c r="E891" i="1"/>
  <c r="D891" i="1"/>
  <c r="C891" i="1"/>
  <c r="CF884" i="1"/>
  <c r="CE884" i="1"/>
  <c r="CD884" i="1"/>
  <c r="CC884" i="1"/>
  <c r="CB884" i="1"/>
  <c r="CA884" i="1"/>
  <c r="BZ884" i="1"/>
  <c r="BY884" i="1"/>
  <c r="BX884" i="1"/>
  <c r="BW884" i="1"/>
  <c r="BV884" i="1"/>
  <c r="BU884" i="1"/>
  <c r="BT884" i="1"/>
  <c r="BS884" i="1"/>
  <c r="BR884" i="1"/>
  <c r="BQ884" i="1"/>
  <c r="BP884" i="1"/>
  <c r="BO884" i="1"/>
  <c r="BN884" i="1"/>
  <c r="BM884" i="1"/>
  <c r="BL884" i="1"/>
  <c r="BK884" i="1"/>
  <c r="BJ884" i="1"/>
  <c r="BI884" i="1"/>
  <c r="BH884" i="1"/>
  <c r="BG884" i="1"/>
  <c r="BF884" i="1"/>
  <c r="BE884" i="1"/>
  <c r="BD884" i="1"/>
  <c r="BC884" i="1"/>
  <c r="BB884" i="1"/>
  <c r="BA884" i="1"/>
  <c r="AZ884" i="1"/>
  <c r="AY884" i="1"/>
  <c r="AX884" i="1"/>
  <c r="AW884" i="1"/>
  <c r="AV884" i="1"/>
  <c r="AU884" i="1"/>
  <c r="AT884" i="1"/>
  <c r="AS884" i="1"/>
  <c r="AR884" i="1"/>
  <c r="AQ884" i="1"/>
  <c r="AP884" i="1"/>
  <c r="AO884" i="1"/>
  <c r="AN884" i="1"/>
  <c r="AM884" i="1"/>
  <c r="AL884" i="1"/>
  <c r="AK884" i="1"/>
  <c r="AJ884" i="1"/>
  <c r="AI884" i="1"/>
  <c r="AH884" i="1"/>
  <c r="AG884" i="1"/>
  <c r="AF884" i="1"/>
  <c r="AE884" i="1"/>
  <c r="AD884" i="1"/>
  <c r="AC884" i="1"/>
  <c r="AB884" i="1"/>
  <c r="AA884" i="1"/>
  <c r="Z884" i="1"/>
  <c r="Y884" i="1"/>
  <c r="X884" i="1"/>
  <c r="W884" i="1"/>
  <c r="V884" i="1"/>
  <c r="U884" i="1"/>
  <c r="T884" i="1"/>
  <c r="S884" i="1"/>
  <c r="R884" i="1"/>
  <c r="Q884" i="1"/>
  <c r="P884" i="1"/>
  <c r="O884" i="1"/>
  <c r="N884" i="1"/>
  <c r="M884" i="1"/>
  <c r="L884" i="1"/>
  <c r="K884" i="1"/>
  <c r="J884" i="1"/>
  <c r="I884" i="1"/>
  <c r="H884" i="1"/>
  <c r="G884" i="1"/>
  <c r="F884" i="1"/>
  <c r="E884" i="1"/>
  <c r="D884" i="1"/>
  <c r="C884" i="1"/>
  <c r="CF877" i="1"/>
  <c r="CE877" i="1"/>
  <c r="CD877" i="1"/>
  <c r="CC877" i="1"/>
  <c r="CB877" i="1"/>
  <c r="CA877" i="1"/>
  <c r="BZ877" i="1"/>
  <c r="BY877" i="1"/>
  <c r="BX877" i="1"/>
  <c r="BW877" i="1"/>
  <c r="BV877" i="1"/>
  <c r="BU877" i="1"/>
  <c r="BT877" i="1"/>
  <c r="BS877" i="1"/>
  <c r="BR877" i="1"/>
  <c r="BQ877" i="1"/>
  <c r="BP877" i="1"/>
  <c r="BO877" i="1"/>
  <c r="BN877" i="1"/>
  <c r="BM877" i="1"/>
  <c r="BL877" i="1"/>
  <c r="BK877" i="1"/>
  <c r="BJ877" i="1"/>
  <c r="BI877" i="1"/>
  <c r="BH877" i="1"/>
  <c r="BG877" i="1"/>
  <c r="BF877" i="1"/>
  <c r="BE877" i="1"/>
  <c r="BD877" i="1"/>
  <c r="BC877" i="1"/>
  <c r="BB877" i="1"/>
  <c r="BA877" i="1"/>
  <c r="AZ877" i="1"/>
  <c r="AY877" i="1"/>
  <c r="AX877" i="1"/>
  <c r="AW877" i="1"/>
  <c r="AV877" i="1"/>
  <c r="AU877" i="1"/>
  <c r="AT877" i="1"/>
  <c r="AS877" i="1"/>
  <c r="AR877" i="1"/>
  <c r="AQ877" i="1"/>
  <c r="AP877" i="1"/>
  <c r="AO877" i="1"/>
  <c r="AN877" i="1"/>
  <c r="AM877" i="1"/>
  <c r="AL877" i="1"/>
  <c r="AK877" i="1"/>
  <c r="AJ877" i="1"/>
  <c r="AI877" i="1"/>
  <c r="AH877" i="1"/>
  <c r="AG877" i="1"/>
  <c r="AF877" i="1"/>
  <c r="AE877" i="1"/>
  <c r="AD877" i="1"/>
  <c r="AC877" i="1"/>
  <c r="AB877" i="1"/>
  <c r="AA877" i="1"/>
  <c r="Z877" i="1"/>
  <c r="Y877" i="1"/>
  <c r="X877" i="1"/>
  <c r="W877" i="1"/>
  <c r="V877" i="1"/>
  <c r="U877" i="1"/>
  <c r="T877" i="1"/>
  <c r="S877" i="1"/>
  <c r="R877" i="1"/>
  <c r="Q877" i="1"/>
  <c r="P877" i="1"/>
  <c r="O877" i="1"/>
  <c r="N877" i="1"/>
  <c r="M877" i="1"/>
  <c r="L877" i="1"/>
  <c r="K877" i="1"/>
  <c r="J877" i="1"/>
  <c r="I877" i="1"/>
  <c r="H877" i="1"/>
  <c r="G877" i="1"/>
  <c r="F877" i="1"/>
  <c r="E877" i="1"/>
  <c r="D877" i="1"/>
  <c r="C877" i="1"/>
  <c r="CF871" i="1"/>
  <c r="CE871" i="1"/>
  <c r="CD871" i="1"/>
  <c r="CC871" i="1"/>
  <c r="CB871" i="1"/>
  <c r="CA871" i="1"/>
  <c r="BZ871" i="1"/>
  <c r="BY871" i="1"/>
  <c r="BX871" i="1"/>
  <c r="BW871" i="1"/>
  <c r="BV871" i="1"/>
  <c r="BU871" i="1"/>
  <c r="BT871" i="1"/>
  <c r="BT4" i="9" s="1"/>
  <c r="BS871" i="1"/>
  <c r="BS4" i="9" s="1"/>
  <c r="BR871" i="1"/>
  <c r="BR4" i="9" s="1"/>
  <c r="BQ871" i="1"/>
  <c r="BQ4" i="9" s="1"/>
  <c r="BP871" i="1"/>
  <c r="BP4" i="9" s="1"/>
  <c r="BO871" i="1"/>
  <c r="BO4" i="9" s="1"/>
  <c r="BN871" i="1"/>
  <c r="BN4" i="9" s="1"/>
  <c r="BM871" i="1"/>
  <c r="BM4" i="9" s="1"/>
  <c r="BL871" i="1"/>
  <c r="BL4" i="9" s="1"/>
  <c r="BK871" i="1"/>
  <c r="BK4" i="9" s="1"/>
  <c r="BJ871" i="1"/>
  <c r="BJ4" i="9" s="1"/>
  <c r="BI871" i="1"/>
  <c r="BI4" i="9" s="1"/>
  <c r="BH871" i="1"/>
  <c r="BH4" i="9" s="1"/>
  <c r="BG871" i="1"/>
  <c r="BG4" i="9" s="1"/>
  <c r="BF871" i="1"/>
  <c r="BF4" i="9" s="1"/>
  <c r="BE871" i="1"/>
  <c r="BE4" i="9" s="1"/>
  <c r="BD871" i="1"/>
  <c r="BD4" i="9" s="1"/>
  <c r="BC871" i="1"/>
  <c r="BC4" i="9" s="1"/>
  <c r="BB871" i="1"/>
  <c r="BB4" i="9" s="1"/>
  <c r="BA871" i="1"/>
  <c r="BA4" i="9" s="1"/>
  <c r="AZ871" i="1"/>
  <c r="AZ4" i="9" s="1"/>
  <c r="AY871" i="1"/>
  <c r="AY4" i="9" s="1"/>
  <c r="AX871" i="1"/>
  <c r="AX4" i="9" s="1"/>
  <c r="AW871" i="1"/>
  <c r="AW4" i="9" s="1"/>
  <c r="AV871" i="1"/>
  <c r="AV4" i="9" s="1"/>
  <c r="AU871" i="1"/>
  <c r="AU4" i="9" s="1"/>
  <c r="AT871" i="1"/>
  <c r="AT4" i="9" s="1"/>
  <c r="AS871" i="1"/>
  <c r="AS4" i="9" s="1"/>
  <c r="AR871" i="1"/>
  <c r="AR4" i="9" s="1"/>
  <c r="AQ871" i="1"/>
  <c r="AQ4" i="9" s="1"/>
  <c r="AP871" i="1"/>
  <c r="AP4" i="9" s="1"/>
  <c r="AO871" i="1"/>
  <c r="AO4" i="9" s="1"/>
  <c r="AN871" i="1"/>
  <c r="AN4" i="9" s="1"/>
  <c r="AM871" i="1"/>
  <c r="AM4" i="9" s="1"/>
  <c r="AL871" i="1"/>
  <c r="AL4" i="9" s="1"/>
  <c r="AK871" i="1"/>
  <c r="AK4" i="9" s="1"/>
  <c r="AJ871" i="1"/>
  <c r="AJ4" i="9" s="1"/>
  <c r="AI871" i="1"/>
  <c r="AI4" i="9" s="1"/>
  <c r="AH871" i="1"/>
  <c r="AH4" i="9" s="1"/>
  <c r="AG871" i="1"/>
  <c r="AG4" i="9" s="1"/>
  <c r="AF871" i="1"/>
  <c r="AF4" i="9" s="1"/>
  <c r="AE871" i="1"/>
  <c r="AE4" i="9" s="1"/>
  <c r="AD871" i="1"/>
  <c r="AD4" i="9" s="1"/>
  <c r="AC871" i="1"/>
  <c r="AC4" i="9" s="1"/>
  <c r="AB871" i="1"/>
  <c r="AB4" i="9" s="1"/>
  <c r="AA871" i="1"/>
  <c r="AA4" i="9" s="1"/>
  <c r="Z871" i="1"/>
  <c r="Z4" i="9" s="1"/>
  <c r="Y871" i="1"/>
  <c r="Y4" i="9" s="1"/>
  <c r="X871" i="1"/>
  <c r="X4" i="9" s="1"/>
  <c r="W871" i="1"/>
  <c r="W4" i="9" s="1"/>
  <c r="V871" i="1"/>
  <c r="V4" i="9" s="1"/>
  <c r="U871" i="1"/>
  <c r="U4" i="9" s="1"/>
  <c r="T871" i="1"/>
  <c r="T4" i="9" s="1"/>
  <c r="S871" i="1"/>
  <c r="S4" i="9" s="1"/>
  <c r="R871" i="1"/>
  <c r="R4" i="9" s="1"/>
  <c r="Q871" i="1"/>
  <c r="Q4" i="9" s="1"/>
  <c r="P871" i="1"/>
  <c r="P4" i="9" s="1"/>
  <c r="O871" i="1"/>
  <c r="O4" i="9" s="1"/>
  <c r="N871" i="1"/>
  <c r="N4" i="9" s="1"/>
  <c r="M871" i="1"/>
  <c r="M4" i="9" s="1"/>
  <c r="L871" i="1"/>
  <c r="L4" i="9" s="1"/>
  <c r="K871" i="1"/>
  <c r="K4" i="9" s="1"/>
  <c r="J871" i="1"/>
  <c r="J4" i="9" s="1"/>
  <c r="I871" i="1"/>
  <c r="I4" i="9" s="1"/>
  <c r="H871" i="1"/>
  <c r="H4" i="9" s="1"/>
  <c r="G871" i="1"/>
  <c r="G4" i="9" s="1"/>
  <c r="F871" i="1"/>
  <c r="F4" i="9" s="1"/>
  <c r="E871" i="1"/>
  <c r="E4" i="9" s="1"/>
  <c r="D871" i="1"/>
  <c r="D4" i="9" s="1"/>
  <c r="C871" i="1"/>
  <c r="C4" i="9" s="1"/>
  <c r="A865" i="1"/>
  <c r="BT854" i="1"/>
  <c r="BS854" i="1"/>
  <c r="BR854" i="1"/>
  <c r="BQ854" i="1"/>
  <c r="BP854" i="1"/>
  <c r="BO854" i="1"/>
  <c r="BN854" i="1"/>
  <c r="BM854" i="1"/>
  <c r="BL854" i="1"/>
  <c r="BK854" i="1"/>
  <c r="BJ854" i="1"/>
  <c r="BI854" i="1"/>
  <c r="BH854" i="1"/>
  <c r="BG854" i="1"/>
  <c r="BF854" i="1"/>
  <c r="BE854" i="1"/>
  <c r="BD854" i="1"/>
  <c r="BC854" i="1"/>
  <c r="BB854" i="1"/>
  <c r="BA854" i="1"/>
  <c r="AZ854" i="1"/>
  <c r="AY854" i="1"/>
  <c r="AX854" i="1"/>
  <c r="AW854" i="1"/>
  <c r="AV854" i="1"/>
  <c r="AU854" i="1"/>
  <c r="AT854" i="1"/>
  <c r="AS854" i="1"/>
  <c r="AR854" i="1"/>
  <c r="AP854" i="1"/>
  <c r="AO854" i="1"/>
  <c r="AN854" i="1"/>
  <c r="AM854" i="1"/>
  <c r="AJ854" i="1"/>
  <c r="AI854" i="1"/>
  <c r="AC854" i="1"/>
  <c r="A832" i="1"/>
  <c r="A831" i="1"/>
  <c r="A830" i="1"/>
  <c r="A829" i="1"/>
  <c r="CA803" i="1"/>
  <c r="CF802" i="1"/>
  <c r="CE802" i="1"/>
  <c r="CD802" i="1"/>
  <c r="CC802" i="1"/>
  <c r="CB802" i="1"/>
  <c r="CA802" i="1"/>
  <c r="BZ802" i="1"/>
  <c r="BY802" i="1"/>
  <c r="BX802" i="1"/>
  <c r="BW802" i="1"/>
  <c r="BV802" i="1"/>
  <c r="BU802" i="1"/>
  <c r="CF795" i="1"/>
  <c r="CE795" i="1"/>
  <c r="CD795" i="1"/>
  <c r="CC795" i="1"/>
  <c r="CB795" i="1"/>
  <c r="CA795" i="1"/>
  <c r="BZ795" i="1"/>
  <c r="BY795" i="1"/>
  <c r="BX795" i="1"/>
  <c r="BW795" i="1"/>
  <c r="BV795" i="1"/>
  <c r="BU795" i="1"/>
  <c r="CF794" i="1"/>
  <c r="CE794" i="1"/>
  <c r="CD794" i="1"/>
  <c r="CC794" i="1"/>
  <c r="CB794" i="1"/>
  <c r="CA794" i="1"/>
  <c r="BZ794" i="1"/>
  <c r="BY794" i="1"/>
  <c r="BX794" i="1"/>
  <c r="BW794" i="1"/>
  <c r="BV794" i="1"/>
  <c r="BU794" i="1"/>
  <c r="CA788" i="1"/>
  <c r="CB788" i="1" s="1"/>
  <c r="CC788" i="1" s="1"/>
  <c r="CD788" i="1" s="1"/>
  <c r="CE788" i="1" s="1"/>
  <c r="CF788" i="1" s="1"/>
  <c r="BW788" i="1"/>
  <c r="BX788" i="1" s="1"/>
  <c r="BY788" i="1" s="1"/>
  <c r="BZ788" i="1" s="1"/>
  <c r="BV788" i="1"/>
  <c r="BU788" i="1"/>
  <c r="BS788" i="1"/>
  <c r="BN788" i="1"/>
  <c r="BI788" i="1"/>
  <c r="BD788" i="1"/>
  <c r="AY788" i="1"/>
  <c r="AT788" i="1"/>
  <c r="AN788" i="1"/>
  <c r="AI788" i="1"/>
  <c r="AD788" i="1"/>
  <c r="Y788" i="1"/>
  <c r="U788" i="1"/>
  <c r="P788" i="1"/>
  <c r="K788" i="1"/>
  <c r="BT787" i="1"/>
  <c r="BT88" i="9" s="1"/>
  <c r="BR787" i="1"/>
  <c r="BQ787" i="1"/>
  <c r="BQ88" i="9" s="1"/>
  <c r="BP787" i="1"/>
  <c r="BO787" i="1"/>
  <c r="BO88" i="9" s="1"/>
  <c r="BO89" i="9" s="1"/>
  <c r="BM787" i="1"/>
  <c r="BM88" i="9" s="1"/>
  <c r="BL787" i="1"/>
  <c r="BL88" i="9" s="1"/>
  <c r="BK787" i="1"/>
  <c r="BK88" i="9" s="1"/>
  <c r="BJ787" i="1"/>
  <c r="BH787" i="1"/>
  <c r="BH88" i="9" s="1"/>
  <c r="BG787" i="1"/>
  <c r="BF787" i="1"/>
  <c r="BE787" i="1"/>
  <c r="BE88" i="9" s="1"/>
  <c r="BC787" i="1"/>
  <c r="BC88" i="9" s="1"/>
  <c r="BB787" i="1"/>
  <c r="BA787" i="1"/>
  <c r="BA88" i="9" s="1"/>
  <c r="AZ787" i="1"/>
  <c r="AZ88" i="9" s="1"/>
  <c r="AY787" i="1"/>
  <c r="AY88" i="9" s="1"/>
  <c r="AX787" i="1"/>
  <c r="AW787" i="1"/>
  <c r="AW88" i="9" s="1"/>
  <c r="AV787" i="1"/>
  <c r="AV88" i="9" s="1"/>
  <c r="AU787" i="1"/>
  <c r="AU88" i="9" s="1"/>
  <c r="AS787" i="1"/>
  <c r="AS88" i="9" s="1"/>
  <c r="AR787" i="1"/>
  <c r="AR88" i="9" s="1"/>
  <c r="AQ787" i="1"/>
  <c r="AP787" i="1"/>
  <c r="AO787" i="1"/>
  <c r="AO88" i="9" s="1"/>
  <c r="AM787" i="1"/>
  <c r="AM88" i="9" s="1"/>
  <c r="AL787" i="1"/>
  <c r="AK787" i="1"/>
  <c r="AK88" i="9" s="1"/>
  <c r="AJ787" i="1"/>
  <c r="AH787" i="1"/>
  <c r="AG787" i="1"/>
  <c r="AG88" i="9" s="1"/>
  <c r="AF787" i="1"/>
  <c r="AF88" i="9" s="1"/>
  <c r="AE787" i="1"/>
  <c r="AE88" i="9" s="1"/>
  <c r="AC787" i="1"/>
  <c r="AC88" i="9" s="1"/>
  <c r="AB787" i="1"/>
  <c r="AA787" i="1"/>
  <c r="Z787" i="1"/>
  <c r="X787" i="1"/>
  <c r="X88" i="9" s="1"/>
  <c r="W787" i="1"/>
  <c r="W88" i="9" s="1"/>
  <c r="V787" i="1"/>
  <c r="T787" i="1"/>
  <c r="S787" i="1"/>
  <c r="S88" i="9" s="1"/>
  <c r="R787" i="1"/>
  <c r="Q787" i="1"/>
  <c r="Q88" i="9" s="1"/>
  <c r="O787" i="1"/>
  <c r="O88" i="9" s="1"/>
  <c r="N787" i="1"/>
  <c r="M787" i="1"/>
  <c r="M88" i="9" s="1"/>
  <c r="L787" i="1"/>
  <c r="K787" i="1"/>
  <c r="J787" i="1"/>
  <c r="I787" i="1"/>
  <c r="I88" i="9" s="1"/>
  <c r="H787" i="1"/>
  <c r="H88" i="9" s="1"/>
  <c r="G787" i="1"/>
  <c r="G88" i="9" s="1"/>
  <c r="F787" i="1"/>
  <c r="E787" i="1"/>
  <c r="E88" i="9" s="1"/>
  <c r="D787" i="1"/>
  <c r="C787" i="1"/>
  <c r="BS786" i="1"/>
  <c r="BN786" i="1"/>
  <c r="BI786" i="1"/>
  <c r="BD786" i="1"/>
  <c r="AY786" i="1"/>
  <c r="AT786" i="1"/>
  <c r="AN786" i="1"/>
  <c r="AI786" i="1"/>
  <c r="AD786" i="1"/>
  <c r="Y786" i="1"/>
  <c r="U786" i="1"/>
  <c r="P786" i="1"/>
  <c r="K786" i="1"/>
  <c r="CA785" i="1"/>
  <c r="CB785" i="1" s="1"/>
  <c r="CC785" i="1" s="1"/>
  <c r="CD785" i="1" s="1"/>
  <c r="CE785" i="1" s="1"/>
  <c r="CF785" i="1" s="1"/>
  <c r="BZ785" i="1"/>
  <c r="BW785" i="1"/>
  <c r="BX785" i="1" s="1"/>
  <c r="BY785" i="1" s="1"/>
  <c r="BV785" i="1"/>
  <c r="BU785" i="1"/>
  <c r="BS785" i="1"/>
  <c r="BN785" i="1"/>
  <c r="BI785" i="1"/>
  <c r="BD785" i="1"/>
  <c r="AY785" i="1"/>
  <c r="AT785" i="1"/>
  <c r="AN785" i="1"/>
  <c r="AI785" i="1"/>
  <c r="AD785" i="1"/>
  <c r="Y785" i="1"/>
  <c r="U785" i="1"/>
  <c r="P785" i="1"/>
  <c r="K785" i="1"/>
  <c r="CA784" i="1"/>
  <c r="CB784" i="1" s="1"/>
  <c r="CC784" i="1" s="1"/>
  <c r="CD784" i="1" s="1"/>
  <c r="CE784" i="1" s="1"/>
  <c r="CF784" i="1" s="1"/>
  <c r="BU784" i="1"/>
  <c r="BV784" i="1" s="1"/>
  <c r="BW784" i="1" s="1"/>
  <c r="BX784" i="1" s="1"/>
  <c r="BY784" i="1" s="1"/>
  <c r="BZ784" i="1" s="1"/>
  <c r="BS784" i="1"/>
  <c r="BN784" i="1"/>
  <c r="BI784" i="1"/>
  <c r="BD784" i="1"/>
  <c r="AY784" i="1"/>
  <c r="AT784" i="1"/>
  <c r="AN784" i="1"/>
  <c r="AI784" i="1"/>
  <c r="AD784" i="1"/>
  <c r="Y784" i="1"/>
  <c r="U784" i="1"/>
  <c r="P784" i="1"/>
  <c r="K784" i="1"/>
  <c r="BS783" i="1"/>
  <c r="BN783" i="1"/>
  <c r="BI783" i="1"/>
  <c r="BD783" i="1"/>
  <c r="BD787" i="1" s="1"/>
  <c r="AY783" i="1"/>
  <c r="AT783" i="1"/>
  <c r="AN783" i="1"/>
  <c r="AI783" i="1"/>
  <c r="AD783" i="1"/>
  <c r="Y783" i="1"/>
  <c r="U783" i="1"/>
  <c r="P783" i="1"/>
  <c r="K783" i="1"/>
  <c r="CC782" i="1"/>
  <c r="CD782" i="1" s="1"/>
  <c r="CE782" i="1" s="1"/>
  <c r="CF782" i="1" s="1"/>
  <c r="BV782" i="1"/>
  <c r="BW782" i="1" s="1"/>
  <c r="BX782" i="1" s="1"/>
  <c r="BY782" i="1" s="1"/>
  <c r="BZ782" i="1" s="1"/>
  <c r="CA782" i="1" s="1"/>
  <c r="CB782" i="1" s="1"/>
  <c r="BU782" i="1"/>
  <c r="BS782" i="1"/>
  <c r="BN782" i="1"/>
  <c r="BI782" i="1"/>
  <c r="BD782" i="1"/>
  <c r="AY782" i="1"/>
  <c r="AT782" i="1"/>
  <c r="AN782" i="1"/>
  <c r="AI782" i="1"/>
  <c r="AI787" i="1" s="1"/>
  <c r="AD782" i="1"/>
  <c r="Y782" i="1"/>
  <c r="U782" i="1"/>
  <c r="P782" i="1"/>
  <c r="K782" i="1"/>
  <c r="BV781" i="1"/>
  <c r="BU781" i="1"/>
  <c r="BS781" i="1"/>
  <c r="BS787" i="1" s="1"/>
  <c r="BN781" i="1"/>
  <c r="BN787" i="1" s="1"/>
  <c r="BI781" i="1"/>
  <c r="BD781" i="1"/>
  <c r="AY781" i="1"/>
  <c r="AT781" i="1"/>
  <c r="AT787" i="1" s="1"/>
  <c r="AN781" i="1"/>
  <c r="AI781" i="1"/>
  <c r="AD781" i="1"/>
  <c r="Y781" i="1"/>
  <c r="U781" i="1"/>
  <c r="P781" i="1"/>
  <c r="K781" i="1"/>
  <c r="AD780" i="1"/>
  <c r="AD787" i="1" s="1"/>
  <c r="Y780" i="1"/>
  <c r="Y787" i="1" s="1"/>
  <c r="U780" i="1"/>
  <c r="U787" i="1" s="1"/>
  <c r="P780" i="1"/>
  <c r="P787" i="1" s="1"/>
  <c r="K780" i="1"/>
  <c r="BM777" i="1"/>
  <c r="BM789" i="1" s="1"/>
  <c r="BE777" i="1"/>
  <c r="BE789" i="1" s="1"/>
  <c r="AW777" i="1"/>
  <c r="AW789" i="1" s="1"/>
  <c r="AV777" i="1"/>
  <c r="AO777" i="1"/>
  <c r="AO789" i="1" s="1"/>
  <c r="AG777" i="1"/>
  <c r="AF777" i="1"/>
  <c r="Q777" i="1"/>
  <c r="I777" i="1"/>
  <c r="I789" i="1" s="1"/>
  <c r="BT776" i="1"/>
  <c r="BR776" i="1"/>
  <c r="BQ776" i="1"/>
  <c r="BP776" i="1"/>
  <c r="BO776" i="1"/>
  <c r="BN776" i="1"/>
  <c r="BM776" i="1"/>
  <c r="BL776" i="1"/>
  <c r="BK776" i="1"/>
  <c r="BJ776" i="1"/>
  <c r="BH776" i="1"/>
  <c r="BG776" i="1"/>
  <c r="BF776" i="1"/>
  <c r="BF777" i="1" s="1"/>
  <c r="BE776" i="1"/>
  <c r="BC776" i="1"/>
  <c r="BB776" i="1"/>
  <c r="BA776" i="1"/>
  <c r="AZ776" i="1"/>
  <c r="AX776" i="1"/>
  <c r="AX777" i="1" s="1"/>
  <c r="AW776" i="1"/>
  <c r="AV776" i="1"/>
  <c r="AU776" i="1"/>
  <c r="AS776" i="1"/>
  <c r="AR776" i="1"/>
  <c r="AQ776" i="1"/>
  <c r="AP776" i="1"/>
  <c r="AP777" i="1" s="1"/>
  <c r="AO776" i="1"/>
  <c r="AM776" i="1"/>
  <c r="AL776" i="1"/>
  <c r="AK776" i="1"/>
  <c r="AJ776" i="1"/>
  <c r="AI776" i="1"/>
  <c r="AH776" i="1"/>
  <c r="AH777" i="1" s="1"/>
  <c r="AG776" i="1"/>
  <c r="AF776" i="1"/>
  <c r="AE776" i="1"/>
  <c r="AC776" i="1"/>
  <c r="AB776" i="1"/>
  <c r="AA776" i="1"/>
  <c r="Z776" i="1"/>
  <c r="Z777" i="1" s="1"/>
  <c r="X776" i="1"/>
  <c r="W776" i="1"/>
  <c r="V776" i="1"/>
  <c r="T776" i="1"/>
  <c r="S776" i="1"/>
  <c r="R776" i="1"/>
  <c r="R777" i="1" s="1"/>
  <c r="Q776" i="1"/>
  <c r="O776" i="1"/>
  <c r="N776" i="1"/>
  <c r="M776" i="1"/>
  <c r="L776" i="1"/>
  <c r="J776" i="1"/>
  <c r="J777" i="1" s="1"/>
  <c r="I776" i="1"/>
  <c r="H776" i="1"/>
  <c r="G776" i="1"/>
  <c r="F776" i="1"/>
  <c r="E776" i="1"/>
  <c r="D776" i="1"/>
  <c r="C776" i="1"/>
  <c r="AN775" i="1"/>
  <c r="AI775" i="1"/>
  <c r="AD775" i="1"/>
  <c r="Y775" i="1"/>
  <c r="U775" i="1"/>
  <c r="P775" i="1"/>
  <c r="K775" i="1"/>
  <c r="BX774" i="1"/>
  <c r="BY774" i="1" s="1"/>
  <c r="BZ774" i="1" s="1"/>
  <c r="CA774" i="1" s="1"/>
  <c r="CB774" i="1" s="1"/>
  <c r="CC774" i="1" s="1"/>
  <c r="CD774" i="1" s="1"/>
  <c r="CE774" i="1" s="1"/>
  <c r="BW774" i="1"/>
  <c r="BU774" i="1"/>
  <c r="BV774" i="1" s="1"/>
  <c r="BS774" i="1"/>
  <c r="BS776" i="1" s="1"/>
  <c r="BN774" i="1"/>
  <c r="BI774" i="1"/>
  <c r="BD774" i="1"/>
  <c r="AY774" i="1"/>
  <c r="AT774" i="1"/>
  <c r="AN774" i="1"/>
  <c r="AI774" i="1"/>
  <c r="AD774" i="1"/>
  <c r="Y774" i="1"/>
  <c r="U774" i="1"/>
  <c r="P774" i="1"/>
  <c r="K774" i="1"/>
  <c r="BS773" i="1"/>
  <c r="BN773" i="1"/>
  <c r="BI773" i="1"/>
  <c r="BD773" i="1"/>
  <c r="AY773" i="1"/>
  <c r="AY776" i="1" s="1"/>
  <c r="AT773" i="1"/>
  <c r="AN773" i="1"/>
  <c r="AI773" i="1"/>
  <c r="AD773" i="1"/>
  <c r="Y773" i="1"/>
  <c r="U773" i="1"/>
  <c r="P773" i="1"/>
  <c r="K773" i="1"/>
  <c r="K776" i="1" s="1"/>
  <c r="BZ772" i="1"/>
  <c r="CA772" i="1" s="1"/>
  <c r="CB772" i="1" s="1"/>
  <c r="CC772" i="1" s="1"/>
  <c r="CD772" i="1" s="1"/>
  <c r="CE772" i="1" s="1"/>
  <c r="CF772" i="1" s="1"/>
  <c r="BY772" i="1"/>
  <c r="BV772" i="1"/>
  <c r="BW772" i="1" s="1"/>
  <c r="BX772" i="1" s="1"/>
  <c r="BU772" i="1"/>
  <c r="BS772" i="1"/>
  <c r="BN772" i="1"/>
  <c r="BI772" i="1"/>
  <c r="BD772" i="1"/>
  <c r="AY772" i="1"/>
  <c r="AT772" i="1"/>
  <c r="AN772" i="1"/>
  <c r="AN776" i="1" s="1"/>
  <c r="AI772" i="1"/>
  <c r="AD772" i="1"/>
  <c r="Y772" i="1"/>
  <c r="U772" i="1"/>
  <c r="P772" i="1"/>
  <c r="K772" i="1"/>
  <c r="BS771" i="1"/>
  <c r="BN771" i="1"/>
  <c r="BI771" i="1"/>
  <c r="BD771" i="1"/>
  <c r="AY771" i="1"/>
  <c r="AT771" i="1"/>
  <c r="AT776" i="1" s="1"/>
  <c r="AN771" i="1"/>
  <c r="AI771" i="1"/>
  <c r="AD771" i="1"/>
  <c r="AD776" i="1" s="1"/>
  <c r="Y771" i="1"/>
  <c r="Y776" i="1" s="1"/>
  <c r="U771" i="1"/>
  <c r="P771" i="1"/>
  <c r="K771" i="1"/>
  <c r="BT768" i="1"/>
  <c r="BT102" i="9" s="1"/>
  <c r="BT103" i="9" s="1"/>
  <c r="BR768" i="1"/>
  <c r="BR102" i="9" s="1"/>
  <c r="BQ768" i="1"/>
  <c r="BQ102" i="9" s="1"/>
  <c r="BP768" i="1"/>
  <c r="BP102" i="9" s="1"/>
  <c r="BO768" i="1"/>
  <c r="BO102" i="9" s="1"/>
  <c r="BM768" i="1"/>
  <c r="BM102" i="9" s="1"/>
  <c r="BL768" i="1"/>
  <c r="BL102" i="9" s="1"/>
  <c r="BK768" i="1"/>
  <c r="BJ768" i="1"/>
  <c r="BJ102" i="9" s="1"/>
  <c r="BH768" i="1"/>
  <c r="BH102" i="9" s="1"/>
  <c r="BH103" i="9" s="1"/>
  <c r="BG768" i="1"/>
  <c r="BG102" i="9" s="1"/>
  <c r="BF768" i="1"/>
  <c r="BF102" i="9" s="1"/>
  <c r="BE768" i="1"/>
  <c r="BE102" i="9" s="1"/>
  <c r="BC768" i="1"/>
  <c r="BB768" i="1"/>
  <c r="BB102" i="9" s="1"/>
  <c r="BA768" i="1"/>
  <c r="BA102" i="9" s="1"/>
  <c r="AZ768" i="1"/>
  <c r="AZ102" i="9" s="1"/>
  <c r="AX768" i="1"/>
  <c r="AX102" i="9" s="1"/>
  <c r="AW768" i="1"/>
  <c r="AW102" i="9" s="1"/>
  <c r="AV768" i="1"/>
  <c r="AV102" i="9" s="1"/>
  <c r="AU768" i="1"/>
  <c r="AS768" i="1"/>
  <c r="AS102" i="9" s="1"/>
  <c r="AR768" i="1"/>
  <c r="AR102" i="9" s="1"/>
  <c r="AQ768" i="1"/>
  <c r="AQ102" i="9" s="1"/>
  <c r="AP768" i="1"/>
  <c r="AP102" i="9" s="1"/>
  <c r="AO768" i="1"/>
  <c r="AO102" i="9" s="1"/>
  <c r="AM768" i="1"/>
  <c r="AL768" i="1"/>
  <c r="AL102" i="9" s="1"/>
  <c r="AK768" i="1"/>
  <c r="AK102" i="9" s="1"/>
  <c r="AJ768" i="1"/>
  <c r="AJ102" i="9" s="1"/>
  <c r="AH768" i="1"/>
  <c r="AH102" i="9" s="1"/>
  <c r="AG768" i="1"/>
  <c r="AG102" i="9" s="1"/>
  <c r="AF768" i="1"/>
  <c r="AF102" i="9" s="1"/>
  <c r="AE768" i="1"/>
  <c r="AC768" i="1"/>
  <c r="AB768" i="1"/>
  <c r="AA768" i="1"/>
  <c r="AA102" i="9" s="1"/>
  <c r="Z768" i="1"/>
  <c r="Z102" i="9" s="1"/>
  <c r="X768" i="1"/>
  <c r="X102" i="9" s="1"/>
  <c r="W768" i="1"/>
  <c r="V768" i="1"/>
  <c r="V102" i="9" s="1"/>
  <c r="T768" i="1"/>
  <c r="S768" i="1"/>
  <c r="S102" i="9" s="1"/>
  <c r="R768" i="1"/>
  <c r="R102" i="9" s="1"/>
  <c r="Q768" i="1"/>
  <c r="Q102" i="9" s="1"/>
  <c r="O768" i="1"/>
  <c r="N768" i="1"/>
  <c r="M768" i="1"/>
  <c r="L768" i="1"/>
  <c r="J768" i="1"/>
  <c r="J102" i="9" s="1"/>
  <c r="I768" i="1"/>
  <c r="I102" i="9" s="1"/>
  <c r="H768" i="1"/>
  <c r="H102" i="9" s="1"/>
  <c r="G768" i="1"/>
  <c r="F768" i="1"/>
  <c r="E768" i="1"/>
  <c r="D768" i="1"/>
  <c r="C768" i="1"/>
  <c r="C102" i="9" s="1"/>
  <c r="C103" i="9" s="1"/>
  <c r="BU767" i="1"/>
  <c r="BV767" i="1" s="1"/>
  <c r="BW767" i="1" s="1"/>
  <c r="BX767" i="1" s="1"/>
  <c r="BY767" i="1" s="1"/>
  <c r="BZ767" i="1" s="1"/>
  <c r="CA767" i="1" s="1"/>
  <c r="CB767" i="1" s="1"/>
  <c r="CC767" i="1" s="1"/>
  <c r="CD767" i="1" s="1"/>
  <c r="CE767" i="1" s="1"/>
  <c r="CF767" i="1" s="1"/>
  <c r="BS767" i="1"/>
  <c r="BN767" i="1"/>
  <c r="BI767" i="1"/>
  <c r="BD767" i="1"/>
  <c r="AY767" i="1"/>
  <c r="AT767" i="1"/>
  <c r="AN767" i="1"/>
  <c r="AI767" i="1"/>
  <c r="AD767" i="1"/>
  <c r="Y767" i="1"/>
  <c r="U767" i="1"/>
  <c r="P767" i="1"/>
  <c r="K767" i="1"/>
  <c r="BV766" i="1"/>
  <c r="BW766" i="1" s="1"/>
  <c r="BX766" i="1" s="1"/>
  <c r="BY766" i="1" s="1"/>
  <c r="BZ766" i="1" s="1"/>
  <c r="CA766" i="1" s="1"/>
  <c r="CB766" i="1" s="1"/>
  <c r="CC766" i="1" s="1"/>
  <c r="CD766" i="1" s="1"/>
  <c r="CE766" i="1" s="1"/>
  <c r="CF766" i="1" s="1"/>
  <c r="BU766" i="1"/>
  <c r="BS766" i="1"/>
  <c r="BN766" i="1"/>
  <c r="BI766" i="1"/>
  <c r="BD766" i="1"/>
  <c r="AY766" i="1"/>
  <c r="AT766" i="1"/>
  <c r="AN766" i="1"/>
  <c r="AI766" i="1"/>
  <c r="AD766" i="1"/>
  <c r="Y766" i="1"/>
  <c r="U766" i="1"/>
  <c r="P766" i="1"/>
  <c r="K766" i="1"/>
  <c r="BV765" i="1"/>
  <c r="BW765" i="1" s="1"/>
  <c r="BX765" i="1" s="1"/>
  <c r="BY765" i="1" s="1"/>
  <c r="BZ765" i="1" s="1"/>
  <c r="CA765" i="1" s="1"/>
  <c r="CB765" i="1" s="1"/>
  <c r="CC765" i="1" s="1"/>
  <c r="CD765" i="1" s="1"/>
  <c r="CE765" i="1" s="1"/>
  <c r="CF765" i="1" s="1"/>
  <c r="BU765" i="1"/>
  <c r="BS765" i="1"/>
  <c r="BS768" i="1" s="1"/>
  <c r="BN765" i="1"/>
  <c r="BI765" i="1"/>
  <c r="BD765" i="1"/>
  <c r="AY765" i="1"/>
  <c r="AT765" i="1"/>
  <c r="AN765" i="1"/>
  <c r="AI765" i="1"/>
  <c r="AD765" i="1"/>
  <c r="AD768" i="1" s="1"/>
  <c r="Y765" i="1"/>
  <c r="U765" i="1"/>
  <c r="P765" i="1"/>
  <c r="K765" i="1"/>
  <c r="BU764" i="1"/>
  <c r="BV764" i="1" s="1"/>
  <c r="BW764" i="1" s="1"/>
  <c r="BX764" i="1" s="1"/>
  <c r="BY764" i="1" s="1"/>
  <c r="BZ764" i="1" s="1"/>
  <c r="CA764" i="1" s="1"/>
  <c r="CB764" i="1" s="1"/>
  <c r="CC764" i="1" s="1"/>
  <c r="CD764" i="1" s="1"/>
  <c r="CE764" i="1" s="1"/>
  <c r="CF764" i="1" s="1"/>
  <c r="BS764" i="1"/>
  <c r="BN764" i="1"/>
  <c r="BI764" i="1"/>
  <c r="BD764" i="1"/>
  <c r="AY764" i="1"/>
  <c r="AT764" i="1"/>
  <c r="AN764" i="1"/>
  <c r="AI764" i="1"/>
  <c r="AD764" i="1"/>
  <c r="Y764" i="1"/>
  <c r="U764" i="1"/>
  <c r="P764" i="1"/>
  <c r="K764" i="1"/>
  <c r="BS763" i="1"/>
  <c r="BN763" i="1"/>
  <c r="BI763" i="1"/>
  <c r="BD763" i="1"/>
  <c r="BD768" i="1" s="1"/>
  <c r="AY763" i="1"/>
  <c r="AY768" i="1" s="1"/>
  <c r="AT763" i="1"/>
  <c r="AT768" i="1" s="1"/>
  <c r="AN763" i="1"/>
  <c r="AN768" i="1" s="1"/>
  <c r="AI763" i="1"/>
  <c r="AD763" i="1"/>
  <c r="Y763" i="1"/>
  <c r="U763" i="1"/>
  <c r="U768" i="1" s="1"/>
  <c r="P763" i="1"/>
  <c r="P768" i="1" s="1"/>
  <c r="K763" i="1"/>
  <c r="K768" i="1" s="1"/>
  <c r="BH760" i="1"/>
  <c r="BG760" i="1"/>
  <c r="AJ760" i="1"/>
  <c r="AB760" i="1"/>
  <c r="V760" i="1"/>
  <c r="V93" i="9" s="1"/>
  <c r="L760" i="1"/>
  <c r="G760" i="1"/>
  <c r="F760" i="1"/>
  <c r="E760" i="1"/>
  <c r="D760" i="1"/>
  <c r="BT759" i="1"/>
  <c r="BM759" i="1"/>
  <c r="BL759" i="1"/>
  <c r="BK759" i="1"/>
  <c r="BE759" i="1"/>
  <c r="BC759" i="1"/>
  <c r="AW759" i="1"/>
  <c r="AV759" i="1"/>
  <c r="AU759" i="1"/>
  <c r="AO759" i="1"/>
  <c r="AM759" i="1"/>
  <c r="AL759" i="1"/>
  <c r="AG759" i="1"/>
  <c r="AF759" i="1"/>
  <c r="AE759" i="1"/>
  <c r="AC759" i="1"/>
  <c r="AB759" i="1"/>
  <c r="AA759" i="1"/>
  <c r="Z759" i="1"/>
  <c r="X759" i="1"/>
  <c r="W759" i="1"/>
  <c r="V759" i="1"/>
  <c r="U759" i="1"/>
  <c r="U760" i="1" s="1"/>
  <c r="T759" i="1"/>
  <c r="S759" i="1"/>
  <c r="R759" i="1"/>
  <c r="Q759" i="1"/>
  <c r="O759" i="1"/>
  <c r="N759" i="1"/>
  <c r="N760" i="1" s="1"/>
  <c r="M759" i="1"/>
  <c r="M760" i="1" s="1"/>
  <c r="L759" i="1"/>
  <c r="J759" i="1"/>
  <c r="I759" i="1"/>
  <c r="H759" i="1"/>
  <c r="G759" i="1"/>
  <c r="F759" i="1"/>
  <c r="E759" i="1"/>
  <c r="D759" i="1"/>
  <c r="C759" i="1"/>
  <c r="BV758" i="1"/>
  <c r="BW758" i="1" s="1"/>
  <c r="BX758" i="1" s="1"/>
  <c r="BY758" i="1" s="1"/>
  <c r="BZ758" i="1" s="1"/>
  <c r="CA758" i="1" s="1"/>
  <c r="CB758" i="1" s="1"/>
  <c r="CC758" i="1" s="1"/>
  <c r="CD758" i="1" s="1"/>
  <c r="CE758" i="1" s="1"/>
  <c r="CF758" i="1" s="1"/>
  <c r="BU758" i="1"/>
  <c r="BS758" i="1"/>
  <c r="BN758" i="1"/>
  <c r="BI758" i="1"/>
  <c r="BD758" i="1"/>
  <c r="AY758" i="1"/>
  <c r="AT758" i="1"/>
  <c r="AN758" i="1"/>
  <c r="AN759" i="1" s="1"/>
  <c r="AI758" i="1"/>
  <c r="AD758" i="1"/>
  <c r="Y758" i="1"/>
  <c r="U758" i="1"/>
  <c r="P758" i="1"/>
  <c r="K758" i="1"/>
  <c r="BU757" i="1"/>
  <c r="BV757" i="1" s="1"/>
  <c r="BW757" i="1" s="1"/>
  <c r="BX757" i="1" s="1"/>
  <c r="BY757" i="1" s="1"/>
  <c r="BZ757" i="1" s="1"/>
  <c r="CA757" i="1" s="1"/>
  <c r="CB757" i="1" s="1"/>
  <c r="CC757" i="1" s="1"/>
  <c r="CD757" i="1" s="1"/>
  <c r="CE757" i="1" s="1"/>
  <c r="CF757" i="1" s="1"/>
  <c r="BS757" i="1"/>
  <c r="BN757" i="1"/>
  <c r="BI757" i="1"/>
  <c r="BD757" i="1"/>
  <c r="AY757" i="1"/>
  <c r="AT757" i="1"/>
  <c r="AN757" i="1"/>
  <c r="AI757" i="1"/>
  <c r="AD757" i="1"/>
  <c r="Y757" i="1"/>
  <c r="U757" i="1"/>
  <c r="P757" i="1"/>
  <c r="K757" i="1"/>
  <c r="BU756" i="1"/>
  <c r="BS756" i="1"/>
  <c r="BN756" i="1"/>
  <c r="BI756" i="1"/>
  <c r="BD756" i="1"/>
  <c r="BD755" i="1" s="1"/>
  <c r="AY756" i="1"/>
  <c r="AY755" i="1" s="1"/>
  <c r="AT756" i="1"/>
  <c r="AN756" i="1"/>
  <c r="AI756" i="1"/>
  <c r="AD756" i="1"/>
  <c r="Y756" i="1"/>
  <c r="U756" i="1"/>
  <c r="P756" i="1"/>
  <c r="K756" i="1"/>
  <c r="BT755" i="1"/>
  <c r="BR755" i="1"/>
  <c r="BQ755" i="1"/>
  <c r="BP755" i="1"/>
  <c r="BO755" i="1"/>
  <c r="BN755" i="1"/>
  <c r="BM755" i="1"/>
  <c r="BL755" i="1"/>
  <c r="BK755" i="1"/>
  <c r="BJ755" i="1"/>
  <c r="BI755" i="1"/>
  <c r="BH755" i="1"/>
  <c r="BG755" i="1"/>
  <c r="BF755" i="1"/>
  <c r="BE755" i="1"/>
  <c r="BC755" i="1"/>
  <c r="BB755" i="1"/>
  <c r="BA755" i="1"/>
  <c r="AZ755" i="1"/>
  <c r="AX755" i="1"/>
  <c r="AW755" i="1"/>
  <c r="AV755" i="1"/>
  <c r="AU755" i="1"/>
  <c r="AT755" i="1"/>
  <c r="AS755" i="1"/>
  <c r="AR755" i="1"/>
  <c r="AQ755" i="1"/>
  <c r="AP755" i="1"/>
  <c r="AO755" i="1"/>
  <c r="AM755" i="1"/>
  <c r="AL755" i="1"/>
  <c r="AK755" i="1"/>
  <c r="AJ755" i="1"/>
  <c r="AI755" i="1"/>
  <c r="AH755" i="1"/>
  <c r="AG755" i="1"/>
  <c r="AF755" i="1"/>
  <c r="BU754" i="1"/>
  <c r="BV754" i="1" s="1"/>
  <c r="BW754" i="1" s="1"/>
  <c r="BX754" i="1" s="1"/>
  <c r="BY754" i="1" s="1"/>
  <c r="BZ754" i="1" s="1"/>
  <c r="CA754" i="1" s="1"/>
  <c r="CB754" i="1" s="1"/>
  <c r="CC754" i="1" s="1"/>
  <c r="CD754" i="1" s="1"/>
  <c r="CE754" i="1" s="1"/>
  <c r="CF754" i="1" s="1"/>
  <c r="BS754" i="1"/>
  <c r="BS755" i="1" s="1"/>
  <c r="BN754" i="1"/>
  <c r="BI754" i="1"/>
  <c r="BD754" i="1"/>
  <c r="AY754" i="1"/>
  <c r="AT754" i="1"/>
  <c r="AN754" i="1"/>
  <c r="BT753" i="1"/>
  <c r="BR753" i="1"/>
  <c r="BR759" i="1" s="1"/>
  <c r="BQ753" i="1"/>
  <c r="BQ759" i="1" s="1"/>
  <c r="BQ760" i="1" s="1"/>
  <c r="BP753" i="1"/>
  <c r="BP759" i="1" s="1"/>
  <c r="BO753" i="1"/>
  <c r="BO759" i="1" s="1"/>
  <c r="BM753" i="1"/>
  <c r="BL753" i="1"/>
  <c r="BK753" i="1"/>
  <c r="BJ753" i="1"/>
  <c r="BJ759" i="1" s="1"/>
  <c r="BJ760" i="1" s="1"/>
  <c r="BI753" i="1"/>
  <c r="BH753" i="1"/>
  <c r="BH759" i="1" s="1"/>
  <c r="BG753" i="1"/>
  <c r="BG759" i="1" s="1"/>
  <c r="BF753" i="1"/>
  <c r="BF759" i="1" s="1"/>
  <c r="BE753" i="1"/>
  <c r="BC753" i="1"/>
  <c r="BB753" i="1"/>
  <c r="BB759" i="1" s="1"/>
  <c r="BA753" i="1"/>
  <c r="BA759" i="1" s="1"/>
  <c r="AZ753" i="1"/>
  <c r="AZ759" i="1" s="1"/>
  <c r="AX753" i="1"/>
  <c r="AX759" i="1" s="1"/>
  <c r="AW753" i="1"/>
  <c r="AV753" i="1"/>
  <c r="AU753" i="1"/>
  <c r="AT753" i="1"/>
  <c r="AT759" i="1" s="1"/>
  <c r="AS753" i="1"/>
  <c r="AS759" i="1" s="1"/>
  <c r="AR753" i="1"/>
  <c r="AR759" i="1" s="1"/>
  <c r="AR760" i="1" s="1"/>
  <c r="AQ753" i="1"/>
  <c r="AQ759" i="1" s="1"/>
  <c r="AP753" i="1"/>
  <c r="AP759" i="1" s="1"/>
  <c r="AO753" i="1"/>
  <c r="AM753" i="1"/>
  <c r="AL753" i="1"/>
  <c r="AK753" i="1"/>
  <c r="AK759" i="1" s="1"/>
  <c r="AJ753" i="1"/>
  <c r="AJ759" i="1" s="1"/>
  <c r="AI753" i="1"/>
  <c r="AH753" i="1"/>
  <c r="AH759" i="1" s="1"/>
  <c r="AD753" i="1"/>
  <c r="AC753" i="1"/>
  <c r="Y753" i="1"/>
  <c r="U753" i="1"/>
  <c r="P753" i="1"/>
  <c r="K753" i="1"/>
  <c r="BS752" i="1"/>
  <c r="BN752" i="1"/>
  <c r="BI752" i="1"/>
  <c r="BD752" i="1"/>
  <c r="AY752" i="1"/>
  <c r="AT752" i="1"/>
  <c r="AN752" i="1"/>
  <c r="AI752" i="1"/>
  <c r="AD752" i="1"/>
  <c r="Y752" i="1"/>
  <c r="U752" i="1"/>
  <c r="P752" i="1"/>
  <c r="K752" i="1"/>
  <c r="BS751" i="1"/>
  <c r="BS753" i="1" s="1"/>
  <c r="BN751" i="1"/>
  <c r="BN753" i="1" s="1"/>
  <c r="BI751" i="1"/>
  <c r="BD751" i="1"/>
  <c r="BD753" i="1" s="1"/>
  <c r="AY751" i="1"/>
  <c r="AY753" i="1" s="1"/>
  <c r="AT751" i="1"/>
  <c r="AN751" i="1"/>
  <c r="AN753" i="1" s="1"/>
  <c r="AI751" i="1"/>
  <c r="AD751" i="1"/>
  <c r="Y751" i="1"/>
  <c r="U751" i="1"/>
  <c r="P751" i="1"/>
  <c r="K751" i="1"/>
  <c r="BY750" i="1"/>
  <c r="BZ750" i="1" s="1"/>
  <c r="CA750" i="1" s="1"/>
  <c r="CB750" i="1" s="1"/>
  <c r="CC750" i="1" s="1"/>
  <c r="CD750" i="1" s="1"/>
  <c r="CE750" i="1" s="1"/>
  <c r="CF750" i="1" s="1"/>
  <c r="BU750" i="1"/>
  <c r="BV750" i="1" s="1"/>
  <c r="BW750" i="1" s="1"/>
  <c r="BX750" i="1" s="1"/>
  <c r="BS750" i="1"/>
  <c r="BN750" i="1"/>
  <c r="BI750" i="1"/>
  <c r="BD750" i="1"/>
  <c r="BD759" i="1" s="1"/>
  <c r="AY750" i="1"/>
  <c r="AT750" i="1"/>
  <c r="AN750" i="1"/>
  <c r="AI750" i="1"/>
  <c r="AD750" i="1"/>
  <c r="Y750" i="1"/>
  <c r="U750" i="1"/>
  <c r="P750" i="1"/>
  <c r="P759" i="1" s="1"/>
  <c r="K750" i="1"/>
  <c r="BU749" i="1"/>
  <c r="BV749" i="1" s="1"/>
  <c r="BS749" i="1"/>
  <c r="BS759" i="1" s="1"/>
  <c r="BN749" i="1"/>
  <c r="BI749" i="1"/>
  <c r="BI759" i="1" s="1"/>
  <c r="BD749" i="1"/>
  <c r="AY749" i="1"/>
  <c r="AT749" i="1"/>
  <c r="AN749" i="1"/>
  <c r="AI749" i="1"/>
  <c r="AI759" i="1" s="1"/>
  <c r="AD749" i="1"/>
  <c r="AD759" i="1" s="1"/>
  <c r="Y749" i="1"/>
  <c r="Y759" i="1" s="1"/>
  <c r="U749" i="1"/>
  <c r="P749" i="1"/>
  <c r="K749" i="1"/>
  <c r="BT746" i="1"/>
  <c r="BT760" i="1" s="1"/>
  <c r="BO746" i="1"/>
  <c r="BO760" i="1" s="1"/>
  <c r="BG746" i="1"/>
  <c r="BF746" i="1"/>
  <c r="BF760" i="1" s="1"/>
  <c r="AU746" i="1"/>
  <c r="AU760" i="1" s="1"/>
  <c r="AQ746" i="1"/>
  <c r="AQ760" i="1" s="1"/>
  <c r="AP746" i="1"/>
  <c r="AP760" i="1" s="1"/>
  <c r="AO746" i="1"/>
  <c r="AO760" i="1" s="1"/>
  <c r="AH746" i="1"/>
  <c r="AG746" i="1"/>
  <c r="AG760" i="1" s="1"/>
  <c r="AG93" i="9" s="1"/>
  <c r="AF746" i="1"/>
  <c r="AF760" i="1" s="1"/>
  <c r="AE746" i="1"/>
  <c r="AE760" i="1" s="1"/>
  <c r="AB746" i="1"/>
  <c r="AA746" i="1"/>
  <c r="AA760" i="1" s="1"/>
  <c r="Z746" i="1"/>
  <c r="Z760" i="1" s="1"/>
  <c r="X746" i="1"/>
  <c r="X760" i="1" s="1"/>
  <c r="W746" i="1"/>
  <c r="W760" i="1" s="1"/>
  <c r="V746" i="1"/>
  <c r="U746" i="1"/>
  <c r="S746" i="1"/>
  <c r="S760" i="1" s="1"/>
  <c r="R746" i="1"/>
  <c r="R760" i="1" s="1"/>
  <c r="Q746" i="1"/>
  <c r="Q760" i="1" s="1"/>
  <c r="P746" i="1"/>
  <c r="N746" i="1"/>
  <c r="M746" i="1"/>
  <c r="L746" i="1"/>
  <c r="K746" i="1"/>
  <c r="I746" i="1"/>
  <c r="H746" i="1"/>
  <c r="H760" i="1" s="1"/>
  <c r="G746" i="1"/>
  <c r="F746" i="1"/>
  <c r="E746" i="1"/>
  <c r="D746" i="1"/>
  <c r="C746" i="1"/>
  <c r="C760" i="1" s="1"/>
  <c r="BW745" i="1"/>
  <c r="BX745" i="1" s="1"/>
  <c r="BV745" i="1"/>
  <c r="BU745" i="1"/>
  <c r="BU744" i="1" s="1"/>
  <c r="BS745" i="1"/>
  <c r="BN745" i="1"/>
  <c r="BI745" i="1"/>
  <c r="BD745" i="1"/>
  <c r="BD744" i="1" s="1"/>
  <c r="AY745" i="1"/>
  <c r="AY744" i="1" s="1"/>
  <c r="AT745" i="1"/>
  <c r="AN745" i="1"/>
  <c r="AN744" i="1" s="1"/>
  <c r="AI745" i="1"/>
  <c r="AD745" i="1"/>
  <c r="Y745" i="1"/>
  <c r="T745" i="1"/>
  <c r="O745" i="1"/>
  <c r="O744" i="1" s="1"/>
  <c r="J745" i="1"/>
  <c r="J744" i="1" s="1"/>
  <c r="BW744" i="1"/>
  <c r="BT744" i="1"/>
  <c r="BR744" i="1"/>
  <c r="BQ744" i="1"/>
  <c r="BP744" i="1"/>
  <c r="BO744" i="1"/>
  <c r="BN744" i="1"/>
  <c r="BM744" i="1"/>
  <c r="BL744" i="1"/>
  <c r="BK744" i="1"/>
  <c r="BJ744" i="1"/>
  <c r="BH744" i="1"/>
  <c r="BG744" i="1"/>
  <c r="BF744" i="1"/>
  <c r="BE744" i="1"/>
  <c r="BC744" i="1"/>
  <c r="BB744" i="1"/>
  <c r="BA744" i="1"/>
  <c r="AZ744" i="1"/>
  <c r="AX744" i="1"/>
  <c r="AW744" i="1"/>
  <c r="AV744" i="1"/>
  <c r="AU744" i="1"/>
  <c r="AT744" i="1"/>
  <c r="AS744" i="1"/>
  <c r="AR744" i="1"/>
  <c r="AQ744" i="1"/>
  <c r="AP744" i="1"/>
  <c r="AO744" i="1"/>
  <c r="AM744" i="1"/>
  <c r="AL744" i="1"/>
  <c r="AK744" i="1"/>
  <c r="AJ744" i="1"/>
  <c r="AI744" i="1"/>
  <c r="AH744" i="1"/>
  <c r="AG744" i="1"/>
  <c r="AF744" i="1"/>
  <c r="AE744" i="1"/>
  <c r="AD744" i="1"/>
  <c r="AC744" i="1"/>
  <c r="AB744" i="1"/>
  <c r="AA744" i="1"/>
  <c r="Z744" i="1"/>
  <c r="Y744" i="1"/>
  <c r="X744" i="1"/>
  <c r="W744" i="1"/>
  <c r="V744" i="1"/>
  <c r="U744" i="1"/>
  <c r="T744" i="1"/>
  <c r="S744" i="1"/>
  <c r="R744" i="1"/>
  <c r="Q744" i="1"/>
  <c r="P744" i="1"/>
  <c r="N744" i="1"/>
  <c r="M744" i="1"/>
  <c r="L744" i="1"/>
  <c r="K744" i="1"/>
  <c r="I744" i="1"/>
  <c r="H744" i="1"/>
  <c r="G744" i="1"/>
  <c r="F744" i="1"/>
  <c r="E744" i="1"/>
  <c r="D744" i="1"/>
  <c r="C744" i="1"/>
  <c r="BU743" i="1"/>
  <c r="BV743" i="1" s="1"/>
  <c r="BW743" i="1" s="1"/>
  <c r="BX743" i="1" s="1"/>
  <c r="BY743" i="1" s="1"/>
  <c r="BZ743" i="1" s="1"/>
  <c r="CA743" i="1" s="1"/>
  <c r="CB743" i="1" s="1"/>
  <c r="CC743" i="1" s="1"/>
  <c r="CD743" i="1" s="1"/>
  <c r="CE743" i="1" s="1"/>
  <c r="CF743" i="1" s="1"/>
  <c r="BS743" i="1"/>
  <c r="BS744" i="1" s="1"/>
  <c r="BN743" i="1"/>
  <c r="BI743" i="1"/>
  <c r="BI744" i="1" s="1"/>
  <c r="BD743" i="1"/>
  <c r="AY743" i="1"/>
  <c r="AT743" i="1"/>
  <c r="AN743" i="1"/>
  <c r="BV742" i="1"/>
  <c r="BU742" i="1"/>
  <c r="BT742" i="1"/>
  <c r="BS742" i="1"/>
  <c r="BR742" i="1"/>
  <c r="BQ742" i="1"/>
  <c r="BQ746" i="1" s="1"/>
  <c r="BP742" i="1"/>
  <c r="BP746" i="1" s="1"/>
  <c r="BP760" i="1" s="1"/>
  <c r="BO742" i="1"/>
  <c r="BN742" i="1"/>
  <c r="BN746" i="1" s="1"/>
  <c r="BM742" i="1"/>
  <c r="BM746" i="1" s="1"/>
  <c r="BM760" i="1" s="1"/>
  <c r="BL742" i="1"/>
  <c r="BL746" i="1" s="1"/>
  <c r="BL760" i="1" s="1"/>
  <c r="BK742" i="1"/>
  <c r="BK746" i="1" s="1"/>
  <c r="BK760" i="1" s="1"/>
  <c r="BJ742" i="1"/>
  <c r="BJ746" i="1" s="1"/>
  <c r="BH742" i="1"/>
  <c r="BH746" i="1" s="1"/>
  <c r="BG742" i="1"/>
  <c r="BF742" i="1"/>
  <c r="BE742" i="1"/>
  <c r="BE746" i="1" s="1"/>
  <c r="BE760" i="1" s="1"/>
  <c r="BC742" i="1"/>
  <c r="BC746" i="1" s="1"/>
  <c r="BC760" i="1" s="1"/>
  <c r="BB742" i="1"/>
  <c r="BB746" i="1" s="1"/>
  <c r="BA742" i="1"/>
  <c r="BA746" i="1" s="1"/>
  <c r="AZ742" i="1"/>
  <c r="AZ746" i="1" s="1"/>
  <c r="AZ760" i="1" s="1"/>
  <c r="AX742" i="1"/>
  <c r="AX746" i="1" s="1"/>
  <c r="AX760" i="1" s="1"/>
  <c r="AW742" i="1"/>
  <c r="AW746" i="1" s="1"/>
  <c r="AW760" i="1" s="1"/>
  <c r="AV742" i="1"/>
  <c r="AV746" i="1" s="1"/>
  <c r="AV760" i="1" s="1"/>
  <c r="AU742" i="1"/>
  <c r="AS742" i="1"/>
  <c r="AS746" i="1" s="1"/>
  <c r="AR742" i="1"/>
  <c r="AR746" i="1" s="1"/>
  <c r="AQ742" i="1"/>
  <c r="AP742" i="1"/>
  <c r="AO742" i="1"/>
  <c r="AN742" i="1"/>
  <c r="AN746" i="1" s="1"/>
  <c r="AN760" i="1" s="1"/>
  <c r="AM742" i="1"/>
  <c r="AM746" i="1" s="1"/>
  <c r="AM760" i="1" s="1"/>
  <c r="AL742" i="1"/>
  <c r="AL746" i="1" s="1"/>
  <c r="AL760" i="1" s="1"/>
  <c r="AK742" i="1"/>
  <c r="AK746" i="1" s="1"/>
  <c r="AJ742" i="1"/>
  <c r="AJ746" i="1" s="1"/>
  <c r="AI742" i="1"/>
  <c r="AI746" i="1" s="1"/>
  <c r="AI760" i="1" s="1"/>
  <c r="AH742" i="1"/>
  <c r="AG742" i="1"/>
  <c r="AD742" i="1"/>
  <c r="AC742" i="1"/>
  <c r="AC746" i="1" s="1"/>
  <c r="AC760" i="1" s="1"/>
  <c r="Y742" i="1"/>
  <c r="T742" i="1"/>
  <c r="O742" i="1"/>
  <c r="J742" i="1"/>
  <c r="J746" i="1" s="1"/>
  <c r="J760" i="1" s="1"/>
  <c r="BV741" i="1"/>
  <c r="BW741" i="1" s="1"/>
  <c r="BX741" i="1" s="1"/>
  <c r="BY741" i="1" s="1"/>
  <c r="BZ741" i="1" s="1"/>
  <c r="CA741" i="1" s="1"/>
  <c r="CB741" i="1" s="1"/>
  <c r="CC741" i="1" s="1"/>
  <c r="CD741" i="1" s="1"/>
  <c r="CE741" i="1" s="1"/>
  <c r="CF741" i="1" s="1"/>
  <c r="BU741" i="1"/>
  <c r="BS741" i="1"/>
  <c r="BN741" i="1"/>
  <c r="BI741" i="1"/>
  <c r="BD741" i="1"/>
  <c r="AY741" i="1"/>
  <c r="AT741" i="1"/>
  <c r="AN741" i="1"/>
  <c r="AI741" i="1"/>
  <c r="AD741" i="1"/>
  <c r="Y741" i="1"/>
  <c r="T741" i="1"/>
  <c r="O741" i="1"/>
  <c r="J741" i="1"/>
  <c r="BW740" i="1"/>
  <c r="BX740" i="1" s="1"/>
  <c r="BY740" i="1" s="1"/>
  <c r="BZ740" i="1" s="1"/>
  <c r="CA740" i="1" s="1"/>
  <c r="CB740" i="1" s="1"/>
  <c r="CC740" i="1" s="1"/>
  <c r="CD740" i="1" s="1"/>
  <c r="CE740" i="1" s="1"/>
  <c r="CF740" i="1" s="1"/>
  <c r="BV740" i="1"/>
  <c r="BU740" i="1"/>
  <c r="BS740" i="1"/>
  <c r="BN740" i="1"/>
  <c r="BI740" i="1"/>
  <c r="BD740" i="1"/>
  <c r="BD742" i="1" s="1"/>
  <c r="BD746" i="1" s="1"/>
  <c r="AY740" i="1"/>
  <c r="AT740" i="1"/>
  <c r="AN740" i="1"/>
  <c r="AI740" i="1"/>
  <c r="AD740" i="1"/>
  <c r="Y740" i="1"/>
  <c r="T740" i="1"/>
  <c r="O740" i="1"/>
  <c r="J740" i="1"/>
  <c r="BW739" i="1"/>
  <c r="BV739" i="1"/>
  <c r="BU739" i="1"/>
  <c r="BS739" i="1"/>
  <c r="BN739" i="1"/>
  <c r="BI739" i="1"/>
  <c r="BD739" i="1"/>
  <c r="AY739" i="1"/>
  <c r="AY742" i="1" s="1"/>
  <c r="AY746" i="1" s="1"/>
  <c r="AT739" i="1"/>
  <c r="AT742" i="1" s="1"/>
  <c r="AT746" i="1" s="1"/>
  <c r="AN739" i="1"/>
  <c r="AI739" i="1"/>
  <c r="AD739" i="1"/>
  <c r="Y739" i="1"/>
  <c r="T739" i="1"/>
  <c r="O739" i="1"/>
  <c r="J739" i="1"/>
  <c r="BX738" i="1"/>
  <c r="BY738" i="1" s="1"/>
  <c r="BZ738" i="1" s="1"/>
  <c r="CA738" i="1" s="1"/>
  <c r="CB738" i="1" s="1"/>
  <c r="CC738" i="1" s="1"/>
  <c r="CD738" i="1" s="1"/>
  <c r="CE738" i="1" s="1"/>
  <c r="CF738" i="1" s="1"/>
  <c r="BU738" i="1"/>
  <c r="BV738" i="1" s="1"/>
  <c r="BW738" i="1" s="1"/>
  <c r="BS738" i="1"/>
  <c r="BN738" i="1"/>
  <c r="BI738" i="1"/>
  <c r="BD738" i="1"/>
  <c r="AY738" i="1"/>
  <c r="AT738" i="1"/>
  <c r="AN738" i="1"/>
  <c r="AI738" i="1"/>
  <c r="AD738" i="1"/>
  <c r="Y738" i="1"/>
  <c r="T738" i="1"/>
  <c r="O738" i="1"/>
  <c r="J738" i="1"/>
  <c r="BY737" i="1"/>
  <c r="BZ737" i="1" s="1"/>
  <c r="CA737" i="1" s="1"/>
  <c r="CB737" i="1" s="1"/>
  <c r="CC737" i="1" s="1"/>
  <c r="CD737" i="1" s="1"/>
  <c r="CE737" i="1" s="1"/>
  <c r="CF737" i="1" s="1"/>
  <c r="BU737" i="1"/>
  <c r="BV737" i="1" s="1"/>
  <c r="BW737" i="1" s="1"/>
  <c r="BX737" i="1" s="1"/>
  <c r="BS737" i="1"/>
  <c r="BR737" i="1"/>
  <c r="BN737" i="1"/>
  <c r="BI737" i="1"/>
  <c r="BD737" i="1"/>
  <c r="AY737" i="1"/>
  <c r="AT737" i="1"/>
  <c r="AN737" i="1"/>
  <c r="AI737" i="1"/>
  <c r="AD737" i="1"/>
  <c r="Y737" i="1"/>
  <c r="T737" i="1"/>
  <c r="O737" i="1"/>
  <c r="J737" i="1"/>
  <c r="BU736" i="1"/>
  <c r="BV736" i="1" s="1"/>
  <c r="BW736" i="1" s="1"/>
  <c r="BX736" i="1" s="1"/>
  <c r="BY736" i="1" s="1"/>
  <c r="BZ736" i="1" s="1"/>
  <c r="CA736" i="1" s="1"/>
  <c r="CB736" i="1" s="1"/>
  <c r="CC736" i="1" s="1"/>
  <c r="CD736" i="1" s="1"/>
  <c r="CE736" i="1" s="1"/>
  <c r="CF736" i="1" s="1"/>
  <c r="BS736" i="1"/>
  <c r="BS746" i="1" s="1"/>
  <c r="BS760" i="1" s="1"/>
  <c r="BN736" i="1"/>
  <c r="BI736" i="1"/>
  <c r="BD736" i="1"/>
  <c r="AY736" i="1"/>
  <c r="AT736" i="1"/>
  <c r="AN736" i="1"/>
  <c r="AI736" i="1"/>
  <c r="AD736" i="1"/>
  <c r="Y736" i="1"/>
  <c r="Y746" i="1" s="1"/>
  <c r="Y760" i="1" s="1"/>
  <c r="T736" i="1"/>
  <c r="O736" i="1"/>
  <c r="J736" i="1"/>
  <c r="BS735" i="1"/>
  <c r="BN735" i="1"/>
  <c r="BI735" i="1"/>
  <c r="BD735" i="1"/>
  <c r="AY735" i="1"/>
  <c r="AT735" i="1"/>
  <c r="AN735" i="1"/>
  <c r="AI735" i="1"/>
  <c r="AD735" i="1"/>
  <c r="Y735" i="1"/>
  <c r="T735" i="1"/>
  <c r="O735" i="1"/>
  <c r="J735" i="1"/>
  <c r="BT729" i="1"/>
  <c r="BS729" i="1"/>
  <c r="BQ729" i="1"/>
  <c r="BP729" i="1"/>
  <c r="BO729" i="1"/>
  <c r="BN729" i="1"/>
  <c r="BL729" i="1"/>
  <c r="BK729" i="1"/>
  <c r="BJ729" i="1"/>
  <c r="BI729" i="1"/>
  <c r="BG729" i="1"/>
  <c r="BF729" i="1"/>
  <c r="BE729" i="1"/>
  <c r="BD729" i="1"/>
  <c r="BB729" i="1"/>
  <c r="BA729" i="1"/>
  <c r="AZ729" i="1"/>
  <c r="AY729" i="1"/>
  <c r="AW729" i="1"/>
  <c r="AV729" i="1"/>
  <c r="AU729" i="1"/>
  <c r="AT729" i="1"/>
  <c r="AR729" i="1"/>
  <c r="AQ729" i="1"/>
  <c r="AP729" i="1"/>
  <c r="AO729" i="1"/>
  <c r="AM729" i="1"/>
  <c r="AL729" i="1"/>
  <c r="AK729" i="1"/>
  <c r="AJ729" i="1"/>
  <c r="AH729" i="1"/>
  <c r="AG729" i="1"/>
  <c r="AF729" i="1"/>
  <c r="AE729" i="1"/>
  <c r="AC729" i="1"/>
  <c r="AB729" i="1"/>
  <c r="AA729" i="1"/>
  <c r="Z729" i="1"/>
  <c r="X729" i="1"/>
  <c r="W729" i="1"/>
  <c r="V729" i="1"/>
  <c r="U729" i="1"/>
  <c r="S729" i="1"/>
  <c r="R729" i="1"/>
  <c r="Q729" i="1"/>
  <c r="P729" i="1"/>
  <c r="N729" i="1"/>
  <c r="M729" i="1"/>
  <c r="L729" i="1"/>
  <c r="K729" i="1"/>
  <c r="I729" i="1"/>
  <c r="H729" i="1"/>
  <c r="G729" i="1"/>
  <c r="F729" i="1"/>
  <c r="E729" i="1"/>
  <c r="D729" i="1"/>
  <c r="C729" i="1"/>
  <c r="A729" i="1"/>
  <c r="BT728" i="1"/>
  <c r="BS728" i="1"/>
  <c r="BQ728" i="1"/>
  <c r="BP728" i="1"/>
  <c r="BO728" i="1"/>
  <c r="BN728" i="1"/>
  <c r="BL728" i="1"/>
  <c r="BK728" i="1"/>
  <c r="BJ728" i="1"/>
  <c r="BI728" i="1"/>
  <c r="BG728" i="1"/>
  <c r="BF728" i="1"/>
  <c r="BE728" i="1"/>
  <c r="BD728" i="1"/>
  <c r="BB728" i="1"/>
  <c r="BA728" i="1"/>
  <c r="AZ728" i="1"/>
  <c r="AY728" i="1"/>
  <c r="AW728" i="1"/>
  <c r="AV728" i="1"/>
  <c r="AU728" i="1"/>
  <c r="AT728" i="1"/>
  <c r="AR728" i="1"/>
  <c r="AQ728" i="1"/>
  <c r="AP728" i="1"/>
  <c r="AO728" i="1"/>
  <c r="AM728" i="1"/>
  <c r="AL728" i="1"/>
  <c r="AK728" i="1"/>
  <c r="AJ728" i="1"/>
  <c r="AH728" i="1"/>
  <c r="AG728" i="1"/>
  <c r="AF728" i="1"/>
  <c r="AE728" i="1"/>
  <c r="AC728" i="1"/>
  <c r="AB728" i="1"/>
  <c r="AA728" i="1"/>
  <c r="Z728" i="1"/>
  <c r="X728" i="1"/>
  <c r="W728" i="1"/>
  <c r="V728" i="1"/>
  <c r="U728" i="1"/>
  <c r="S728" i="1"/>
  <c r="P728" i="1"/>
  <c r="I728" i="1"/>
  <c r="H728" i="1"/>
  <c r="G728" i="1"/>
  <c r="F728" i="1"/>
  <c r="E728" i="1"/>
  <c r="D728" i="1"/>
  <c r="C728" i="1"/>
  <c r="A728" i="1"/>
  <c r="A726" i="1"/>
  <c r="AJ725" i="1"/>
  <c r="C725" i="1"/>
  <c r="A725" i="1"/>
  <c r="A723" i="1"/>
  <c r="CC722" i="1"/>
  <c r="BX722" i="1"/>
  <c r="BT722" i="1"/>
  <c r="BS722" i="1"/>
  <c r="BQ722" i="1"/>
  <c r="BP722" i="1"/>
  <c r="BO722" i="1"/>
  <c r="BN722" i="1"/>
  <c r="BL722" i="1"/>
  <c r="BK722" i="1"/>
  <c r="BJ722" i="1"/>
  <c r="BI722" i="1"/>
  <c r="BG722" i="1"/>
  <c r="BF722" i="1"/>
  <c r="BE722" i="1"/>
  <c r="BD722" i="1"/>
  <c r="BB722" i="1"/>
  <c r="BA722" i="1"/>
  <c r="AZ722" i="1"/>
  <c r="AY722" i="1"/>
  <c r="AW722" i="1"/>
  <c r="AV722" i="1"/>
  <c r="AU722" i="1"/>
  <c r="AT722" i="1"/>
  <c r="AR722" i="1"/>
  <c r="AQ722" i="1"/>
  <c r="AP722" i="1"/>
  <c r="AO722" i="1"/>
  <c r="AM722" i="1"/>
  <c r="AL722" i="1"/>
  <c r="AK722" i="1"/>
  <c r="AJ722" i="1"/>
  <c r="AH722" i="1"/>
  <c r="AG722" i="1"/>
  <c r="AF722" i="1"/>
  <c r="AE722" i="1"/>
  <c r="AC722" i="1"/>
  <c r="AB722" i="1"/>
  <c r="AA722" i="1"/>
  <c r="Z722" i="1"/>
  <c r="X722" i="1"/>
  <c r="W722" i="1"/>
  <c r="V722" i="1"/>
  <c r="U722" i="1"/>
  <c r="S722" i="1"/>
  <c r="R722" i="1"/>
  <c r="Q722" i="1"/>
  <c r="P722" i="1"/>
  <c r="N722" i="1"/>
  <c r="M722" i="1"/>
  <c r="L722" i="1"/>
  <c r="K722" i="1"/>
  <c r="I722" i="1"/>
  <c r="H722" i="1"/>
  <c r="G722" i="1"/>
  <c r="F722" i="1"/>
  <c r="E722" i="1"/>
  <c r="D722" i="1"/>
  <c r="C722" i="1"/>
  <c r="A722" i="1"/>
  <c r="AR720" i="1"/>
  <c r="A720" i="1"/>
  <c r="CF719" i="1"/>
  <c r="CE719" i="1"/>
  <c r="CD719" i="1"/>
  <c r="CB719" i="1"/>
  <c r="CA719" i="1"/>
  <c r="BZ719" i="1"/>
  <c r="CC719" i="1" s="1"/>
  <c r="BY719" i="1"/>
  <c r="BW719" i="1"/>
  <c r="BV719" i="1"/>
  <c r="BU719" i="1"/>
  <c r="BU786" i="1" s="1"/>
  <c r="BT719" i="1"/>
  <c r="BX719" i="1" s="1"/>
  <c r="BS719" i="1"/>
  <c r="BQ719" i="1"/>
  <c r="BP719" i="1"/>
  <c r="BO719" i="1"/>
  <c r="BN719" i="1"/>
  <c r="BL719" i="1"/>
  <c r="BK719" i="1"/>
  <c r="BJ719" i="1"/>
  <c r="BI719" i="1"/>
  <c r="BG719" i="1"/>
  <c r="BF719" i="1"/>
  <c r="BE719" i="1"/>
  <c r="BD719" i="1"/>
  <c r="BB719" i="1"/>
  <c r="BA719" i="1"/>
  <c r="AZ719" i="1"/>
  <c r="AY719" i="1"/>
  <c r="AW719" i="1"/>
  <c r="AV719" i="1"/>
  <c r="AU719" i="1"/>
  <c r="AT719" i="1"/>
  <c r="AR719" i="1"/>
  <c r="AQ719" i="1"/>
  <c r="AP719" i="1"/>
  <c r="AO719" i="1"/>
  <c r="AM719" i="1"/>
  <c r="AL719" i="1"/>
  <c r="AK719" i="1"/>
  <c r="AJ719" i="1"/>
  <c r="AH719" i="1"/>
  <c r="AG719" i="1"/>
  <c r="AF719" i="1"/>
  <c r="AE719" i="1"/>
  <c r="AC719" i="1"/>
  <c r="AB719" i="1"/>
  <c r="AA719" i="1"/>
  <c r="Z719" i="1"/>
  <c r="X719" i="1"/>
  <c r="W719" i="1"/>
  <c r="V719" i="1"/>
  <c r="U719" i="1"/>
  <c r="S719" i="1"/>
  <c r="R719" i="1"/>
  <c r="Q719" i="1"/>
  <c r="P719" i="1"/>
  <c r="N719" i="1"/>
  <c r="M719" i="1"/>
  <c r="L719" i="1"/>
  <c r="K719" i="1"/>
  <c r="I719" i="1"/>
  <c r="H719" i="1"/>
  <c r="G719" i="1"/>
  <c r="F719" i="1"/>
  <c r="E719" i="1"/>
  <c r="D719" i="1"/>
  <c r="C719" i="1"/>
  <c r="A719" i="1"/>
  <c r="CC718" i="1"/>
  <c r="BX718" i="1"/>
  <c r="BT718" i="1"/>
  <c r="BS718" i="1"/>
  <c r="BR718" i="1"/>
  <c r="BQ718" i="1"/>
  <c r="BP718" i="1"/>
  <c r="BO718" i="1"/>
  <c r="BN718" i="1"/>
  <c r="BM718" i="1"/>
  <c r="BL718" i="1"/>
  <c r="BK718" i="1"/>
  <c r="BJ718" i="1"/>
  <c r="BI718" i="1"/>
  <c r="BH718" i="1"/>
  <c r="BG718" i="1"/>
  <c r="BF718" i="1"/>
  <c r="BE718" i="1"/>
  <c r="BD718" i="1"/>
  <c r="BC718" i="1"/>
  <c r="BB718" i="1"/>
  <c r="BA718" i="1"/>
  <c r="AZ718" i="1"/>
  <c r="AY718" i="1"/>
  <c r="AX718" i="1"/>
  <c r="AW718" i="1"/>
  <c r="AV718" i="1"/>
  <c r="AU718" i="1"/>
  <c r="AT718" i="1"/>
  <c r="AS718" i="1"/>
  <c r="AR718" i="1"/>
  <c r="AQ718" i="1"/>
  <c r="AQ720" i="1" s="1"/>
  <c r="AP718" i="1"/>
  <c r="AO718" i="1"/>
  <c r="AN718" i="1"/>
  <c r="AM718" i="1"/>
  <c r="AL718" i="1"/>
  <c r="AK718" i="1"/>
  <c r="AJ718" i="1"/>
  <c r="AI718" i="1"/>
  <c r="AH718" i="1"/>
  <c r="AG718" i="1"/>
  <c r="AF718" i="1"/>
  <c r="AE718" i="1"/>
  <c r="AD718" i="1"/>
  <c r="AC718" i="1"/>
  <c r="AB718" i="1"/>
  <c r="AA718" i="1"/>
  <c r="Z718" i="1"/>
  <c r="Y718" i="1"/>
  <c r="X718" i="1"/>
  <c r="W718" i="1"/>
  <c r="V718" i="1"/>
  <c r="U718" i="1"/>
  <c r="T718" i="1"/>
  <c r="S718" i="1"/>
  <c r="R718" i="1"/>
  <c r="Q718" i="1"/>
  <c r="P718" i="1"/>
  <c r="O718" i="1"/>
  <c r="N718" i="1"/>
  <c r="M718" i="1"/>
  <c r="L718" i="1"/>
  <c r="K718" i="1"/>
  <c r="J718" i="1"/>
  <c r="I718" i="1"/>
  <c r="H718" i="1"/>
  <c r="G718" i="1"/>
  <c r="F718" i="1"/>
  <c r="E718" i="1"/>
  <c r="D718" i="1"/>
  <c r="C718" i="1"/>
  <c r="A718" i="1"/>
  <c r="CC717" i="1"/>
  <c r="BT717" i="1"/>
  <c r="BX717" i="1" s="1"/>
  <c r="BS717" i="1"/>
  <c r="BQ717" i="1"/>
  <c r="BP717" i="1"/>
  <c r="BO717" i="1"/>
  <c r="BN717" i="1"/>
  <c r="BL717" i="1"/>
  <c r="BK717" i="1"/>
  <c r="BJ717" i="1"/>
  <c r="BI717" i="1"/>
  <c r="BG717" i="1"/>
  <c r="BF717" i="1"/>
  <c r="BE717" i="1"/>
  <c r="BD717" i="1"/>
  <c r="BB717" i="1"/>
  <c r="BA717" i="1"/>
  <c r="AZ717" i="1"/>
  <c r="AY717" i="1"/>
  <c r="AW717" i="1"/>
  <c r="AV717" i="1"/>
  <c r="AU717" i="1"/>
  <c r="AT717" i="1"/>
  <c r="AR717" i="1"/>
  <c r="AQ717" i="1"/>
  <c r="AP717" i="1"/>
  <c r="AO717" i="1"/>
  <c r="AM717" i="1"/>
  <c r="AL717" i="1"/>
  <c r="AK717" i="1"/>
  <c r="AJ717" i="1"/>
  <c r="AH717" i="1"/>
  <c r="AG717" i="1"/>
  <c r="AF717" i="1"/>
  <c r="AE717" i="1"/>
  <c r="AD717" i="1"/>
  <c r="AC717" i="1"/>
  <c r="AB717" i="1"/>
  <c r="AA717" i="1"/>
  <c r="Z717" i="1"/>
  <c r="Y717" i="1"/>
  <c r="X717" i="1"/>
  <c r="W717" i="1"/>
  <c r="V717" i="1"/>
  <c r="U717" i="1"/>
  <c r="T717" i="1"/>
  <c r="S717" i="1"/>
  <c r="R717" i="1"/>
  <c r="Q717" i="1"/>
  <c r="P717" i="1"/>
  <c r="O717" i="1"/>
  <c r="N717" i="1"/>
  <c r="M717" i="1"/>
  <c r="L717" i="1"/>
  <c r="K717" i="1"/>
  <c r="J717" i="1"/>
  <c r="I717" i="1"/>
  <c r="H717" i="1"/>
  <c r="G717" i="1"/>
  <c r="F717" i="1"/>
  <c r="E717" i="1"/>
  <c r="D717" i="1"/>
  <c r="C717" i="1"/>
  <c r="A717" i="1"/>
  <c r="CC716" i="1"/>
  <c r="BX716" i="1"/>
  <c r="BT716" i="1"/>
  <c r="BS716" i="1"/>
  <c r="BQ716" i="1"/>
  <c r="BP716" i="1"/>
  <c r="BO716" i="1"/>
  <c r="BN716" i="1"/>
  <c r="BL716" i="1"/>
  <c r="BK716" i="1"/>
  <c r="BJ716" i="1"/>
  <c r="BI716" i="1"/>
  <c r="BG716" i="1"/>
  <c r="BF716" i="1"/>
  <c r="BE716" i="1"/>
  <c r="BD716" i="1"/>
  <c r="BB716" i="1"/>
  <c r="BA716" i="1"/>
  <c r="AZ716" i="1"/>
  <c r="AY716" i="1"/>
  <c r="AW716" i="1"/>
  <c r="AV716" i="1"/>
  <c r="AU716" i="1"/>
  <c r="AT716" i="1"/>
  <c r="AR716" i="1"/>
  <c r="AQ716" i="1"/>
  <c r="AP716" i="1"/>
  <c r="AO716" i="1"/>
  <c r="AM716" i="1"/>
  <c r="AL716" i="1"/>
  <c r="AK716" i="1"/>
  <c r="AJ716" i="1"/>
  <c r="AH716" i="1"/>
  <c r="AG716" i="1"/>
  <c r="AF716" i="1"/>
  <c r="AE716" i="1"/>
  <c r="AC716" i="1"/>
  <c r="AB716" i="1"/>
  <c r="AA716" i="1"/>
  <c r="Z716" i="1"/>
  <c r="X716" i="1"/>
  <c r="W716" i="1"/>
  <c r="V716" i="1"/>
  <c r="U716" i="1"/>
  <c r="S716" i="1"/>
  <c r="R716" i="1"/>
  <c r="Q716" i="1"/>
  <c r="P716" i="1"/>
  <c r="N716" i="1"/>
  <c r="M716" i="1"/>
  <c r="L716" i="1"/>
  <c r="K716" i="1"/>
  <c r="I716" i="1"/>
  <c r="H716" i="1"/>
  <c r="G716" i="1"/>
  <c r="F716" i="1"/>
  <c r="E716" i="1"/>
  <c r="D716" i="1"/>
  <c r="C716" i="1"/>
  <c r="A716" i="1"/>
  <c r="BT715" i="1"/>
  <c r="BS715" i="1"/>
  <c r="BQ715" i="1"/>
  <c r="BP715" i="1"/>
  <c r="BO715" i="1"/>
  <c r="BN715" i="1"/>
  <c r="BL715" i="1"/>
  <c r="BK715" i="1"/>
  <c r="BJ715" i="1"/>
  <c r="BI715" i="1"/>
  <c r="BG715" i="1"/>
  <c r="BF715" i="1"/>
  <c r="BE715" i="1"/>
  <c r="BD715" i="1"/>
  <c r="BB715" i="1"/>
  <c r="BA715" i="1"/>
  <c r="AZ715" i="1"/>
  <c r="AY715" i="1"/>
  <c r="AW715" i="1"/>
  <c r="AV715" i="1"/>
  <c r="AU715" i="1"/>
  <c r="AT715" i="1"/>
  <c r="AR715" i="1"/>
  <c r="AQ715" i="1"/>
  <c r="AP715" i="1"/>
  <c r="AO715" i="1"/>
  <c r="AM715" i="1"/>
  <c r="AM720" i="1" s="1"/>
  <c r="AL715" i="1"/>
  <c r="AL720" i="1" s="1"/>
  <c r="AK715" i="1"/>
  <c r="AJ715" i="1"/>
  <c r="AH715" i="1"/>
  <c r="AG715" i="1"/>
  <c r="AF715" i="1"/>
  <c r="AE715" i="1"/>
  <c r="AE720" i="1" s="1"/>
  <c r="AC715" i="1"/>
  <c r="AB715" i="1"/>
  <c r="AA715" i="1"/>
  <c r="Z715" i="1"/>
  <c r="X715" i="1"/>
  <c r="W715" i="1"/>
  <c r="V715" i="1"/>
  <c r="U715" i="1"/>
  <c r="S715" i="1"/>
  <c r="R715" i="1"/>
  <c r="Q715" i="1"/>
  <c r="P715" i="1"/>
  <c r="N715" i="1"/>
  <c r="N720" i="1" s="1"/>
  <c r="M715" i="1"/>
  <c r="M720" i="1" s="1"/>
  <c r="L715" i="1"/>
  <c r="K715" i="1"/>
  <c r="I715" i="1"/>
  <c r="H715" i="1"/>
  <c r="G715" i="1"/>
  <c r="F715" i="1"/>
  <c r="F720" i="1" s="1"/>
  <c r="E715" i="1"/>
  <c r="E720" i="1" s="1"/>
  <c r="D715" i="1"/>
  <c r="C715" i="1"/>
  <c r="A715" i="1"/>
  <c r="CC714" i="1"/>
  <c r="BT714" i="1"/>
  <c r="BX714" i="1" s="1"/>
  <c r="BS714" i="1"/>
  <c r="BS720" i="1" s="1"/>
  <c r="BQ714" i="1"/>
  <c r="BQ720" i="1" s="1"/>
  <c r="BP714" i="1"/>
  <c r="BO714" i="1"/>
  <c r="BN714" i="1"/>
  <c r="BL714" i="1"/>
  <c r="BK714" i="1"/>
  <c r="BK720" i="1" s="1"/>
  <c r="BJ714" i="1"/>
  <c r="BJ720" i="1" s="1"/>
  <c r="BI714" i="1"/>
  <c r="BG714" i="1"/>
  <c r="BF714" i="1"/>
  <c r="BE714" i="1"/>
  <c r="BD714" i="1"/>
  <c r="BB714" i="1"/>
  <c r="BB720" i="1" s="1"/>
  <c r="BA714" i="1"/>
  <c r="AZ714" i="1"/>
  <c r="AY714" i="1"/>
  <c r="AW714" i="1"/>
  <c r="AV714" i="1"/>
  <c r="AU714" i="1"/>
  <c r="AU720" i="1" s="1"/>
  <c r="AT714" i="1"/>
  <c r="AT720" i="1" s="1"/>
  <c r="AR714" i="1"/>
  <c r="AQ714" i="1"/>
  <c r="AP714" i="1"/>
  <c r="AO714" i="1"/>
  <c r="AM714" i="1"/>
  <c r="AL714" i="1"/>
  <c r="AK714" i="1"/>
  <c r="AJ714" i="1"/>
  <c r="AH714" i="1"/>
  <c r="AG714" i="1"/>
  <c r="AF714" i="1"/>
  <c r="AE714" i="1"/>
  <c r="AC714" i="1"/>
  <c r="AB714" i="1"/>
  <c r="AA714" i="1"/>
  <c r="Z714" i="1"/>
  <c r="X714" i="1"/>
  <c r="W714" i="1"/>
  <c r="W720" i="1" s="1"/>
  <c r="V714" i="1"/>
  <c r="V720" i="1" s="1"/>
  <c r="U714" i="1"/>
  <c r="S714" i="1"/>
  <c r="R714" i="1"/>
  <c r="Q714" i="1"/>
  <c r="P714" i="1"/>
  <c r="N714" i="1"/>
  <c r="M714" i="1"/>
  <c r="L714" i="1"/>
  <c r="K714" i="1"/>
  <c r="I714" i="1"/>
  <c r="H714" i="1"/>
  <c r="G714" i="1"/>
  <c r="G720" i="1" s="1"/>
  <c r="F714" i="1"/>
  <c r="E714" i="1"/>
  <c r="D714" i="1"/>
  <c r="C714" i="1"/>
  <c r="A714" i="1"/>
  <c r="CF713" i="1"/>
  <c r="CE713" i="1"/>
  <c r="CD713" i="1"/>
  <c r="CC713" i="1"/>
  <c r="CB713" i="1"/>
  <c r="CA713" i="1"/>
  <c r="BZ713" i="1"/>
  <c r="BY713" i="1"/>
  <c r="BX713" i="1"/>
  <c r="BW713" i="1"/>
  <c r="BV713" i="1"/>
  <c r="BU713" i="1"/>
  <c r="BT713" i="1"/>
  <c r="BS713" i="1"/>
  <c r="BQ713" i="1"/>
  <c r="BP713" i="1"/>
  <c r="BP720" i="1" s="1"/>
  <c r="BO713" i="1"/>
  <c r="BO720" i="1" s="1"/>
  <c r="BN713" i="1"/>
  <c r="BL713" i="1"/>
  <c r="BK713" i="1"/>
  <c r="BJ713" i="1"/>
  <c r="BI713" i="1"/>
  <c r="BG713" i="1"/>
  <c r="BG720" i="1" s="1"/>
  <c r="BF713" i="1"/>
  <c r="BE713" i="1"/>
  <c r="BD713" i="1"/>
  <c r="BB713" i="1"/>
  <c r="BA713" i="1"/>
  <c r="AZ713" i="1"/>
  <c r="AY713" i="1"/>
  <c r="AW713" i="1"/>
  <c r="AV713" i="1"/>
  <c r="AU713" i="1"/>
  <c r="AT713" i="1"/>
  <c r="AR713" i="1"/>
  <c r="AQ713" i="1"/>
  <c r="AP713" i="1"/>
  <c r="AO713" i="1"/>
  <c r="AN713" i="1"/>
  <c r="AM713" i="1"/>
  <c r="AL713" i="1"/>
  <c r="AK713" i="1"/>
  <c r="AJ713" i="1"/>
  <c r="AH713" i="1"/>
  <c r="AG713" i="1"/>
  <c r="AF713" i="1"/>
  <c r="AF720" i="1" s="1"/>
  <c r="AE713" i="1"/>
  <c r="AC713" i="1"/>
  <c r="AB713" i="1"/>
  <c r="AA713" i="1"/>
  <c r="Z713" i="1"/>
  <c r="X713" i="1"/>
  <c r="X720" i="1" s="1"/>
  <c r="W713" i="1"/>
  <c r="V713" i="1"/>
  <c r="U713" i="1"/>
  <c r="S713" i="1"/>
  <c r="R713" i="1"/>
  <c r="Q713" i="1"/>
  <c r="P713" i="1"/>
  <c r="P720" i="1" s="1"/>
  <c r="N713" i="1"/>
  <c r="M713" i="1"/>
  <c r="L713" i="1"/>
  <c r="K713" i="1"/>
  <c r="I713" i="1"/>
  <c r="H713" i="1"/>
  <c r="H720" i="1" s="1"/>
  <c r="G713" i="1"/>
  <c r="F713" i="1"/>
  <c r="E713" i="1"/>
  <c r="D713" i="1"/>
  <c r="C713" i="1"/>
  <c r="A713" i="1"/>
  <c r="CC712" i="1"/>
  <c r="BX712" i="1"/>
  <c r="BT712" i="1"/>
  <c r="BS712" i="1"/>
  <c r="BQ712" i="1"/>
  <c r="BP712" i="1"/>
  <c r="BO712" i="1"/>
  <c r="BN712" i="1"/>
  <c r="BL712" i="1"/>
  <c r="BK712" i="1"/>
  <c r="BJ712" i="1"/>
  <c r="BI712" i="1"/>
  <c r="BI720" i="1" s="1"/>
  <c r="BG712" i="1"/>
  <c r="BF712" i="1"/>
  <c r="BE712" i="1"/>
  <c r="BD712" i="1"/>
  <c r="BB712" i="1"/>
  <c r="BA712" i="1"/>
  <c r="BA720" i="1" s="1"/>
  <c r="AZ712" i="1"/>
  <c r="AZ720" i="1" s="1"/>
  <c r="AY712" i="1"/>
  <c r="AY720" i="1" s="1"/>
  <c r="AW712" i="1"/>
  <c r="AV712" i="1"/>
  <c r="AU712" i="1"/>
  <c r="AT712" i="1"/>
  <c r="AR712" i="1"/>
  <c r="AQ712" i="1"/>
  <c r="AP712" i="1"/>
  <c r="AO712" i="1"/>
  <c r="AM712" i="1"/>
  <c r="AL712" i="1"/>
  <c r="AK712" i="1"/>
  <c r="AK720" i="1" s="1"/>
  <c r="AJ712" i="1"/>
  <c r="AJ720" i="1" s="1"/>
  <c r="AH712" i="1"/>
  <c r="AG712" i="1"/>
  <c r="AF712" i="1"/>
  <c r="AE712" i="1"/>
  <c r="AC712" i="1"/>
  <c r="AC720" i="1" s="1"/>
  <c r="AB712" i="1"/>
  <c r="AB720" i="1" s="1"/>
  <c r="AA712" i="1"/>
  <c r="AA720" i="1" s="1"/>
  <c r="Z712" i="1"/>
  <c r="X712" i="1"/>
  <c r="W712" i="1"/>
  <c r="V712" i="1"/>
  <c r="U712" i="1"/>
  <c r="U720" i="1" s="1"/>
  <c r="T712" i="1"/>
  <c r="S712" i="1"/>
  <c r="S720" i="1" s="1"/>
  <c r="R712" i="1"/>
  <c r="Q712" i="1"/>
  <c r="P712" i="1"/>
  <c r="N712" i="1"/>
  <c r="M712" i="1"/>
  <c r="L712" i="1"/>
  <c r="L720" i="1" s="1"/>
  <c r="K712" i="1"/>
  <c r="K720" i="1" s="1"/>
  <c r="I712" i="1"/>
  <c r="H712" i="1"/>
  <c r="G712" i="1"/>
  <c r="F712" i="1"/>
  <c r="E712" i="1"/>
  <c r="D712" i="1"/>
  <c r="D720" i="1" s="1"/>
  <c r="C712" i="1"/>
  <c r="C720" i="1" s="1"/>
  <c r="A712" i="1"/>
  <c r="A711" i="1"/>
  <c r="A709" i="1"/>
  <c r="CC708" i="1"/>
  <c r="BT708" i="1"/>
  <c r="BX708" i="1" s="1"/>
  <c r="BS708" i="1"/>
  <c r="BQ708" i="1"/>
  <c r="BP708" i="1"/>
  <c r="BO708" i="1"/>
  <c r="BN708" i="1"/>
  <c r="BL708" i="1"/>
  <c r="BK708" i="1"/>
  <c r="BJ708" i="1"/>
  <c r="BI708" i="1"/>
  <c r="BG708" i="1"/>
  <c r="BF708" i="1"/>
  <c r="BE708" i="1"/>
  <c r="BD708" i="1"/>
  <c r="BB708" i="1"/>
  <c r="BA708" i="1"/>
  <c r="AZ708" i="1"/>
  <c r="AY708" i="1"/>
  <c r="AW708" i="1"/>
  <c r="AV708" i="1"/>
  <c r="AU708" i="1"/>
  <c r="AT708" i="1"/>
  <c r="AR708" i="1"/>
  <c r="AQ708" i="1"/>
  <c r="AP708" i="1"/>
  <c r="AO708" i="1"/>
  <c r="AM708" i="1"/>
  <c r="AL708" i="1"/>
  <c r="AK708" i="1"/>
  <c r="AJ708" i="1"/>
  <c r="AH708" i="1"/>
  <c r="AG708" i="1"/>
  <c r="AF708" i="1"/>
  <c r="AE708" i="1"/>
  <c r="AC708" i="1"/>
  <c r="AB708" i="1"/>
  <c r="AA708" i="1"/>
  <c r="Z708" i="1"/>
  <c r="X708" i="1"/>
  <c r="W708" i="1"/>
  <c r="V708" i="1"/>
  <c r="U708" i="1"/>
  <c r="S708" i="1"/>
  <c r="R708" i="1"/>
  <c r="Q708" i="1"/>
  <c r="P708" i="1"/>
  <c r="N708" i="1"/>
  <c r="M708" i="1"/>
  <c r="L708" i="1"/>
  <c r="K708" i="1"/>
  <c r="I708" i="1"/>
  <c r="H708" i="1"/>
  <c r="G708" i="1"/>
  <c r="F708" i="1"/>
  <c r="E708" i="1"/>
  <c r="D708" i="1"/>
  <c r="C708" i="1"/>
  <c r="A708" i="1"/>
  <c r="CC707" i="1"/>
  <c r="BX707" i="1"/>
  <c r="BT707" i="1"/>
  <c r="BS707" i="1"/>
  <c r="BQ707" i="1"/>
  <c r="BP707" i="1"/>
  <c r="BO707" i="1"/>
  <c r="BN707" i="1"/>
  <c r="BL707" i="1"/>
  <c r="BK707" i="1"/>
  <c r="BJ707" i="1"/>
  <c r="BI707" i="1"/>
  <c r="BG707" i="1"/>
  <c r="BF707" i="1"/>
  <c r="BE707" i="1"/>
  <c r="BD707" i="1"/>
  <c r="BB707" i="1"/>
  <c r="BA707" i="1"/>
  <c r="AZ707" i="1"/>
  <c r="AY707" i="1"/>
  <c r="AW707" i="1"/>
  <c r="AV707" i="1"/>
  <c r="AU707" i="1"/>
  <c r="AT707" i="1"/>
  <c r="AR707" i="1"/>
  <c r="AQ707" i="1"/>
  <c r="AP707" i="1"/>
  <c r="AO707" i="1"/>
  <c r="AM707" i="1"/>
  <c r="AL707" i="1"/>
  <c r="AK707" i="1"/>
  <c r="AJ707" i="1"/>
  <c r="AH707" i="1"/>
  <c r="AG707" i="1"/>
  <c r="AF707" i="1"/>
  <c r="AE707" i="1"/>
  <c r="AC707" i="1"/>
  <c r="AB707" i="1"/>
  <c r="AA707" i="1"/>
  <c r="Z707" i="1"/>
  <c r="Y707" i="1"/>
  <c r="X707" i="1"/>
  <c r="W707" i="1"/>
  <c r="V707" i="1"/>
  <c r="U707" i="1"/>
  <c r="S707" i="1"/>
  <c r="R707" i="1"/>
  <c r="Q707" i="1"/>
  <c r="P707" i="1"/>
  <c r="N707" i="1"/>
  <c r="M707" i="1"/>
  <c r="L707" i="1"/>
  <c r="K707" i="1"/>
  <c r="I707" i="1"/>
  <c r="H707" i="1"/>
  <c r="G707" i="1"/>
  <c r="F707" i="1"/>
  <c r="E707" i="1"/>
  <c r="D707" i="1"/>
  <c r="C707" i="1"/>
  <c r="A707" i="1"/>
  <c r="CC706" i="1"/>
  <c r="BT706" i="1"/>
  <c r="BX706" i="1" s="1"/>
  <c r="BS706" i="1"/>
  <c r="BQ706" i="1"/>
  <c r="BP706" i="1"/>
  <c r="BO706" i="1"/>
  <c r="BN706" i="1"/>
  <c r="BL706" i="1"/>
  <c r="BK706" i="1"/>
  <c r="BJ706" i="1"/>
  <c r="BI706" i="1"/>
  <c r="BG706" i="1"/>
  <c r="BF706" i="1"/>
  <c r="BE706" i="1"/>
  <c r="BD706" i="1"/>
  <c r="BB706" i="1"/>
  <c r="BA706" i="1"/>
  <c r="AZ706" i="1"/>
  <c r="AY706" i="1"/>
  <c r="AW706" i="1"/>
  <c r="AV706" i="1"/>
  <c r="AV709" i="1" s="1"/>
  <c r="AU706" i="1"/>
  <c r="AT706" i="1"/>
  <c r="AR706" i="1"/>
  <c r="AQ706" i="1"/>
  <c r="AP706" i="1"/>
  <c r="AO706" i="1"/>
  <c r="AM706" i="1"/>
  <c r="AL706" i="1"/>
  <c r="AK706" i="1"/>
  <c r="AJ706" i="1"/>
  <c r="AH706" i="1"/>
  <c r="AG706" i="1"/>
  <c r="AF706" i="1"/>
  <c r="AE706" i="1"/>
  <c r="AC706" i="1"/>
  <c r="AB706" i="1"/>
  <c r="AA706" i="1"/>
  <c r="Z706" i="1"/>
  <c r="X706" i="1"/>
  <c r="W706" i="1"/>
  <c r="V706" i="1"/>
  <c r="U706" i="1"/>
  <c r="S706" i="1"/>
  <c r="R706" i="1"/>
  <c r="Q706" i="1"/>
  <c r="P706" i="1"/>
  <c r="N706" i="1"/>
  <c r="M706" i="1"/>
  <c r="L706" i="1"/>
  <c r="K706" i="1"/>
  <c r="I706" i="1"/>
  <c r="H706" i="1"/>
  <c r="G706" i="1"/>
  <c r="F706" i="1"/>
  <c r="E706" i="1"/>
  <c r="D706" i="1"/>
  <c r="C706" i="1"/>
  <c r="A706" i="1"/>
  <c r="CC705" i="1"/>
  <c r="BX705" i="1"/>
  <c r="BT705" i="1"/>
  <c r="BS705" i="1"/>
  <c r="BQ705" i="1"/>
  <c r="BP705" i="1"/>
  <c r="BO705" i="1"/>
  <c r="BN705" i="1"/>
  <c r="BL705" i="1"/>
  <c r="BK705" i="1"/>
  <c r="BJ705" i="1"/>
  <c r="BI705" i="1"/>
  <c r="BG705" i="1"/>
  <c r="BF705" i="1"/>
  <c r="BE705" i="1"/>
  <c r="BD705" i="1"/>
  <c r="BB705" i="1"/>
  <c r="BA705" i="1"/>
  <c r="AZ705" i="1"/>
  <c r="AY705" i="1"/>
  <c r="AW705" i="1"/>
  <c r="AV705" i="1"/>
  <c r="AU705" i="1"/>
  <c r="AT705" i="1"/>
  <c r="AR705" i="1"/>
  <c r="AQ705" i="1"/>
  <c r="AP705" i="1"/>
  <c r="AO705" i="1"/>
  <c r="AM705" i="1"/>
  <c r="AL705" i="1"/>
  <c r="AK705" i="1"/>
  <c r="AJ705" i="1"/>
  <c r="AI705" i="1"/>
  <c r="AH705" i="1"/>
  <c r="AG705" i="1"/>
  <c r="AF705" i="1"/>
  <c r="AE705" i="1"/>
  <c r="AC705" i="1"/>
  <c r="AB705" i="1"/>
  <c r="AA705" i="1"/>
  <c r="Z705" i="1"/>
  <c r="X705" i="1"/>
  <c r="W705" i="1"/>
  <c r="V705" i="1"/>
  <c r="U705" i="1"/>
  <c r="S705" i="1"/>
  <c r="R705" i="1"/>
  <c r="Q705" i="1"/>
  <c r="P705" i="1"/>
  <c r="N705" i="1"/>
  <c r="M705" i="1"/>
  <c r="L705" i="1"/>
  <c r="K705" i="1"/>
  <c r="I705" i="1"/>
  <c r="H705" i="1"/>
  <c r="G705" i="1"/>
  <c r="F705" i="1"/>
  <c r="E705" i="1"/>
  <c r="D705" i="1"/>
  <c r="C705" i="1"/>
  <c r="A705" i="1"/>
  <c r="CC704" i="1"/>
  <c r="BX704" i="1"/>
  <c r="BT704" i="1"/>
  <c r="BS704" i="1"/>
  <c r="BQ704" i="1"/>
  <c r="BP704" i="1"/>
  <c r="BO704" i="1"/>
  <c r="BN704" i="1"/>
  <c r="BL704" i="1"/>
  <c r="BK704" i="1"/>
  <c r="BJ704" i="1"/>
  <c r="BI704" i="1"/>
  <c r="BG704" i="1"/>
  <c r="BF704" i="1"/>
  <c r="BE704" i="1"/>
  <c r="BD704" i="1"/>
  <c r="BB704" i="1"/>
  <c r="BA704" i="1"/>
  <c r="AZ704" i="1"/>
  <c r="AY704" i="1"/>
  <c r="AW704" i="1"/>
  <c r="AV704" i="1"/>
  <c r="AU704" i="1"/>
  <c r="AT704" i="1"/>
  <c r="AR704" i="1"/>
  <c r="AQ704" i="1"/>
  <c r="AP704" i="1"/>
  <c r="AO704" i="1"/>
  <c r="AM704" i="1"/>
  <c r="AL704" i="1"/>
  <c r="AK704" i="1"/>
  <c r="AJ704" i="1"/>
  <c r="AI704" i="1"/>
  <c r="AH704" i="1"/>
  <c r="AG704" i="1"/>
  <c r="AF704" i="1"/>
  <c r="AE704" i="1"/>
  <c r="AD704" i="1"/>
  <c r="AC704" i="1"/>
  <c r="AB704" i="1"/>
  <c r="AA704" i="1"/>
  <c r="Z704" i="1"/>
  <c r="Y704" i="1"/>
  <c r="X704" i="1"/>
  <c r="W704" i="1"/>
  <c r="V704" i="1"/>
  <c r="U704" i="1"/>
  <c r="T704" i="1"/>
  <c r="S704" i="1"/>
  <c r="R704" i="1"/>
  <c r="Q704" i="1"/>
  <c r="P704" i="1"/>
  <c r="O704" i="1"/>
  <c r="N704" i="1"/>
  <c r="M704" i="1"/>
  <c r="L704" i="1"/>
  <c r="K704" i="1"/>
  <c r="J704" i="1"/>
  <c r="I704" i="1"/>
  <c r="H704" i="1"/>
  <c r="G704" i="1"/>
  <c r="F704" i="1"/>
  <c r="E704" i="1"/>
  <c r="D704" i="1"/>
  <c r="C704" i="1"/>
  <c r="A704" i="1"/>
  <c r="CF703" i="1"/>
  <c r="CE703" i="1"/>
  <c r="CD703" i="1"/>
  <c r="CC703" i="1"/>
  <c r="CB703" i="1"/>
  <c r="CA703" i="1"/>
  <c r="BZ703" i="1"/>
  <c r="BY703" i="1"/>
  <c r="BW703" i="1"/>
  <c r="BV703" i="1"/>
  <c r="BU703" i="1"/>
  <c r="BU709" i="1" s="1"/>
  <c r="BT703" i="1"/>
  <c r="BX703" i="1" s="1"/>
  <c r="BS703" i="1"/>
  <c r="BQ703" i="1"/>
  <c r="BP703" i="1"/>
  <c r="BO703" i="1"/>
  <c r="BN703" i="1"/>
  <c r="BL703" i="1"/>
  <c r="BK703" i="1"/>
  <c r="BJ703" i="1"/>
  <c r="BI703" i="1"/>
  <c r="BG703" i="1"/>
  <c r="BF703" i="1"/>
  <c r="BE703" i="1"/>
  <c r="BD703" i="1"/>
  <c r="BC703" i="1"/>
  <c r="BB703" i="1"/>
  <c r="BA703" i="1"/>
  <c r="AZ703" i="1"/>
  <c r="AY703" i="1"/>
  <c r="AW703" i="1"/>
  <c r="AV703" i="1"/>
  <c r="AU703" i="1"/>
  <c r="AT703" i="1"/>
  <c r="AR703" i="1"/>
  <c r="AQ703" i="1"/>
  <c r="AP703" i="1"/>
  <c r="AO703" i="1"/>
  <c r="AM703" i="1"/>
  <c r="AL703" i="1"/>
  <c r="AK703" i="1"/>
  <c r="AJ703" i="1"/>
  <c r="AH703" i="1"/>
  <c r="AG703" i="1"/>
  <c r="AF703" i="1"/>
  <c r="AE703" i="1"/>
  <c r="AC703" i="1"/>
  <c r="AB703" i="1"/>
  <c r="AA703" i="1"/>
  <c r="Z703" i="1"/>
  <c r="X703" i="1"/>
  <c r="W703" i="1"/>
  <c r="V703" i="1"/>
  <c r="U703" i="1"/>
  <c r="S703" i="1"/>
  <c r="R703" i="1"/>
  <c r="Q703" i="1"/>
  <c r="P703" i="1"/>
  <c r="N703" i="1"/>
  <c r="M703" i="1"/>
  <c r="L703" i="1"/>
  <c r="K703" i="1"/>
  <c r="I703" i="1"/>
  <c r="H703" i="1"/>
  <c r="G703" i="1"/>
  <c r="F703" i="1"/>
  <c r="E703" i="1"/>
  <c r="D703" i="1"/>
  <c r="C703" i="1"/>
  <c r="A703" i="1"/>
  <c r="CF702" i="1"/>
  <c r="CF803" i="1" s="1"/>
  <c r="CE702" i="1"/>
  <c r="CE803" i="1" s="1"/>
  <c r="CD702" i="1"/>
  <c r="CD803" i="1" s="1"/>
  <c r="CB702" i="1"/>
  <c r="CB803" i="1" s="1"/>
  <c r="CA702" i="1"/>
  <c r="BZ702" i="1"/>
  <c r="BZ803" i="1" s="1"/>
  <c r="BY702" i="1"/>
  <c r="BY803" i="1" s="1"/>
  <c r="BX702" i="1"/>
  <c r="BW702" i="1"/>
  <c r="BW803" i="1" s="1"/>
  <c r="BV702" i="1"/>
  <c r="BV803" i="1" s="1"/>
  <c r="BU702" i="1"/>
  <c r="BU803" i="1" s="1"/>
  <c r="BT702" i="1"/>
  <c r="BS702" i="1"/>
  <c r="BQ702" i="1"/>
  <c r="BP702" i="1"/>
  <c r="BO702" i="1"/>
  <c r="BN702" i="1"/>
  <c r="BL702" i="1"/>
  <c r="BK702" i="1"/>
  <c r="BJ702" i="1"/>
  <c r="BI702" i="1"/>
  <c r="BG702" i="1"/>
  <c r="BF702" i="1"/>
  <c r="BE702" i="1"/>
  <c r="BD702" i="1"/>
  <c r="BB702" i="1"/>
  <c r="BA702" i="1"/>
  <c r="AZ702" i="1"/>
  <c r="AY702" i="1"/>
  <c r="AW702" i="1"/>
  <c r="AV702" i="1"/>
  <c r="AU702" i="1"/>
  <c r="AT702" i="1"/>
  <c r="AR702" i="1"/>
  <c r="AQ702" i="1"/>
  <c r="AP702" i="1"/>
  <c r="AO702" i="1"/>
  <c r="AM702" i="1"/>
  <c r="AL702" i="1"/>
  <c r="AK702" i="1"/>
  <c r="AJ702" i="1"/>
  <c r="AI702" i="1"/>
  <c r="AH702" i="1"/>
  <c r="AG702" i="1"/>
  <c r="AF702" i="1"/>
  <c r="AE702" i="1"/>
  <c r="AC702" i="1"/>
  <c r="AB702" i="1"/>
  <c r="AA702" i="1"/>
  <c r="Z702" i="1"/>
  <c r="X702" i="1"/>
  <c r="W702" i="1"/>
  <c r="V702" i="1"/>
  <c r="U702" i="1"/>
  <c r="S702" i="1"/>
  <c r="R702" i="1"/>
  <c r="Q702" i="1"/>
  <c r="P702" i="1"/>
  <c r="N702" i="1"/>
  <c r="M702" i="1"/>
  <c r="L702" i="1"/>
  <c r="K702" i="1"/>
  <c r="I702" i="1"/>
  <c r="H702" i="1"/>
  <c r="G702" i="1"/>
  <c r="F702" i="1"/>
  <c r="E702" i="1"/>
  <c r="D702" i="1"/>
  <c r="C702" i="1"/>
  <c r="A702" i="1"/>
  <c r="CC701" i="1"/>
  <c r="CC69" i="9" s="1"/>
  <c r="BX701" i="1"/>
  <c r="BT701" i="1"/>
  <c r="BS701" i="1"/>
  <c r="BQ701" i="1"/>
  <c r="BP701" i="1"/>
  <c r="BP69" i="9" s="1"/>
  <c r="BO701" i="1"/>
  <c r="BO69" i="9" s="1"/>
  <c r="BN701" i="1"/>
  <c r="BN69" i="9" s="1"/>
  <c r="BM701" i="1"/>
  <c r="BL701" i="1"/>
  <c r="BK701" i="1"/>
  <c r="BJ701" i="1"/>
  <c r="BI701" i="1"/>
  <c r="BH701" i="1"/>
  <c r="BG701" i="1"/>
  <c r="BG69" i="9" s="1"/>
  <c r="BF701" i="1"/>
  <c r="BF69" i="9" s="1"/>
  <c r="BE701" i="1"/>
  <c r="BE69" i="9" s="1"/>
  <c r="BD701" i="1"/>
  <c r="BB701" i="1"/>
  <c r="BA701" i="1"/>
  <c r="AZ701" i="1"/>
  <c r="AZ69" i="9" s="1"/>
  <c r="AY701" i="1"/>
  <c r="AY69" i="9" s="1"/>
  <c r="AW701" i="1"/>
  <c r="AW69" i="9" s="1"/>
  <c r="AV701" i="1"/>
  <c r="AV69" i="9" s="1"/>
  <c r="AU701" i="1"/>
  <c r="AT701" i="1"/>
  <c r="AR701" i="1"/>
  <c r="AR69" i="9" s="1"/>
  <c r="AQ701" i="1"/>
  <c r="AQ69" i="9" s="1"/>
  <c r="AP701" i="1"/>
  <c r="AP69" i="9" s="1"/>
  <c r="AO701" i="1"/>
  <c r="AO69" i="9" s="1"/>
  <c r="AM701" i="1"/>
  <c r="AL701" i="1"/>
  <c r="AK701" i="1"/>
  <c r="AJ701" i="1"/>
  <c r="AJ69" i="9" s="1"/>
  <c r="AH701" i="1"/>
  <c r="AH69" i="9" s="1"/>
  <c r="AG701" i="1"/>
  <c r="AF701" i="1"/>
  <c r="AF69" i="9" s="1"/>
  <c r="AE701" i="1"/>
  <c r="AC701" i="1"/>
  <c r="AB701" i="1"/>
  <c r="AB69" i="9" s="1"/>
  <c r="AA701" i="1"/>
  <c r="AA69" i="9" s="1"/>
  <c r="Z701" i="1"/>
  <c r="Z69" i="9" s="1"/>
  <c r="Y701" i="1"/>
  <c r="X701" i="1"/>
  <c r="X69" i="9" s="1"/>
  <c r="W701" i="1"/>
  <c r="V701" i="1"/>
  <c r="U701" i="1"/>
  <c r="T701" i="1"/>
  <c r="S701" i="1"/>
  <c r="S69" i="9" s="1"/>
  <c r="R701" i="1"/>
  <c r="R69" i="9" s="1"/>
  <c r="Q701" i="1"/>
  <c r="Q69" i="9" s="1"/>
  <c r="P701" i="1"/>
  <c r="P69" i="9" s="1"/>
  <c r="N701" i="1"/>
  <c r="M701" i="1"/>
  <c r="L701" i="1"/>
  <c r="L69" i="9" s="1"/>
  <c r="K701" i="1"/>
  <c r="K69" i="9" s="1"/>
  <c r="J701" i="1"/>
  <c r="I701" i="1"/>
  <c r="H701" i="1"/>
  <c r="H69" i="9" s="1"/>
  <c r="G701" i="1"/>
  <c r="F701" i="1"/>
  <c r="E701" i="1"/>
  <c r="D701" i="1"/>
  <c r="D69" i="9" s="1"/>
  <c r="C701" i="1"/>
  <c r="C69" i="9" s="1"/>
  <c r="A701" i="1"/>
  <c r="CF700" i="1"/>
  <c r="CF709" i="1" s="1"/>
  <c r="CE700" i="1"/>
  <c r="CE709" i="1" s="1"/>
  <c r="CD700" i="1"/>
  <c r="CD709" i="1" s="1"/>
  <c r="CB700" i="1"/>
  <c r="CB709" i="1" s="1"/>
  <c r="CA700" i="1"/>
  <c r="CA709" i="1" s="1"/>
  <c r="BZ700" i="1"/>
  <c r="BZ709" i="1" s="1"/>
  <c r="BY700" i="1"/>
  <c r="BX700" i="1"/>
  <c r="BX709" i="1" s="1"/>
  <c r="BW700" i="1"/>
  <c r="BW709" i="1" s="1"/>
  <c r="BV700" i="1"/>
  <c r="BV709" i="1" s="1"/>
  <c r="BU700" i="1"/>
  <c r="BT700" i="1"/>
  <c r="BS700" i="1"/>
  <c r="BS709" i="1" s="1"/>
  <c r="BP700" i="1"/>
  <c r="BP709" i="1" s="1"/>
  <c r="BO700" i="1"/>
  <c r="BO709" i="1" s="1"/>
  <c r="BN700" i="1"/>
  <c r="BL700" i="1"/>
  <c r="BL709" i="1" s="1"/>
  <c r="BK700" i="1"/>
  <c r="BK709" i="1" s="1"/>
  <c r="BJ700" i="1"/>
  <c r="BJ709" i="1" s="1"/>
  <c r="BI700" i="1"/>
  <c r="BI709" i="1" s="1"/>
  <c r="BH700" i="1"/>
  <c r="BG700" i="1"/>
  <c r="BG709" i="1" s="1"/>
  <c r="BF700" i="1"/>
  <c r="BE700" i="1"/>
  <c r="BD700" i="1"/>
  <c r="BD709" i="1" s="1"/>
  <c r="BC700" i="1"/>
  <c r="BB700" i="1"/>
  <c r="BB709" i="1" s="1"/>
  <c r="BA700" i="1"/>
  <c r="BA709" i="1" s="1"/>
  <c r="AZ700" i="1"/>
  <c r="AZ709" i="1" s="1"/>
  <c r="AY700" i="1"/>
  <c r="AW700" i="1"/>
  <c r="AV700" i="1"/>
  <c r="AU700" i="1"/>
  <c r="AU709" i="1" s="1"/>
  <c r="AT700" i="1"/>
  <c r="AT709" i="1" s="1"/>
  <c r="AS700" i="1"/>
  <c r="AR700" i="1"/>
  <c r="AR709" i="1" s="1"/>
  <c r="AQ700" i="1"/>
  <c r="AP700" i="1"/>
  <c r="AO700" i="1"/>
  <c r="AM700" i="1"/>
  <c r="AM709" i="1" s="1"/>
  <c r="AL700" i="1"/>
  <c r="AL709" i="1" s="1"/>
  <c r="AK700" i="1"/>
  <c r="AK709" i="1" s="1"/>
  <c r="AJ700" i="1"/>
  <c r="AJ709" i="1" s="1"/>
  <c r="AH700" i="1"/>
  <c r="AG700" i="1"/>
  <c r="AF700" i="1"/>
  <c r="AF709" i="1" s="1"/>
  <c r="AE700" i="1"/>
  <c r="AE709" i="1" s="1"/>
  <c r="AC700" i="1"/>
  <c r="AC709" i="1" s="1"/>
  <c r="AB700" i="1"/>
  <c r="AB709" i="1" s="1"/>
  <c r="AA700" i="1"/>
  <c r="Z700" i="1"/>
  <c r="X700" i="1"/>
  <c r="W700" i="1"/>
  <c r="W709" i="1" s="1"/>
  <c r="V700" i="1"/>
  <c r="V709" i="1" s="1"/>
  <c r="U700" i="1"/>
  <c r="U709" i="1" s="1"/>
  <c r="T700" i="1"/>
  <c r="S700" i="1"/>
  <c r="R700" i="1"/>
  <c r="Q700" i="1"/>
  <c r="Q709" i="1" s="1"/>
  <c r="P700" i="1"/>
  <c r="P709" i="1" s="1"/>
  <c r="O700" i="1"/>
  <c r="N700" i="1"/>
  <c r="N709" i="1" s="1"/>
  <c r="M700" i="1"/>
  <c r="M709" i="1" s="1"/>
  <c r="L700" i="1"/>
  <c r="L709" i="1" s="1"/>
  <c r="K700" i="1"/>
  <c r="I700" i="1"/>
  <c r="H700" i="1"/>
  <c r="G700" i="1"/>
  <c r="G709" i="1" s="1"/>
  <c r="F700" i="1"/>
  <c r="F709" i="1" s="1"/>
  <c r="E700" i="1"/>
  <c r="E709" i="1" s="1"/>
  <c r="D700" i="1"/>
  <c r="D709" i="1" s="1"/>
  <c r="C700" i="1"/>
  <c r="A700" i="1"/>
  <c r="A699" i="1"/>
  <c r="A697" i="1"/>
  <c r="CC696" i="1"/>
  <c r="CC59" i="9" s="1"/>
  <c r="BX696" i="1"/>
  <c r="BX59" i="9" s="1"/>
  <c r="BT696" i="1"/>
  <c r="BT59" i="9" s="1"/>
  <c r="BS696" i="1"/>
  <c r="BS59" i="9" s="1"/>
  <c r="BQ696" i="1"/>
  <c r="BQ59" i="9" s="1"/>
  <c r="BP696" i="1"/>
  <c r="BP59" i="9" s="1"/>
  <c r="BO696" i="1"/>
  <c r="BO59" i="9" s="1"/>
  <c r="BN696" i="1"/>
  <c r="BN59" i="9" s="1"/>
  <c r="BM696" i="1"/>
  <c r="BM59" i="9" s="1"/>
  <c r="BL696" i="1"/>
  <c r="BL59" i="9" s="1"/>
  <c r="BK696" i="1"/>
  <c r="BK59" i="9" s="1"/>
  <c r="BJ696" i="1"/>
  <c r="BJ59" i="9" s="1"/>
  <c r="BI696" i="1"/>
  <c r="BI59" i="9" s="1"/>
  <c r="BH696" i="1"/>
  <c r="BH59" i="9" s="1"/>
  <c r="BG696" i="1"/>
  <c r="BG59" i="9" s="1"/>
  <c r="BF696" i="1"/>
  <c r="BF59" i="9" s="1"/>
  <c r="BE696" i="1"/>
  <c r="BE59" i="9" s="1"/>
  <c r="BD696" i="1"/>
  <c r="BD59" i="9" s="1"/>
  <c r="BB696" i="1"/>
  <c r="BB59" i="9" s="1"/>
  <c r="BA696" i="1"/>
  <c r="BA59" i="9" s="1"/>
  <c r="AZ696" i="1"/>
  <c r="AZ59" i="9" s="1"/>
  <c r="AY696" i="1"/>
  <c r="AY59" i="9" s="1"/>
  <c r="AW696" i="1"/>
  <c r="AW59" i="9" s="1"/>
  <c r="AV696" i="1"/>
  <c r="AV59" i="9" s="1"/>
  <c r="AU696" i="1"/>
  <c r="AU59" i="9" s="1"/>
  <c r="AT696" i="1"/>
  <c r="AT59" i="9" s="1"/>
  <c r="AR696" i="1"/>
  <c r="AR59" i="9" s="1"/>
  <c r="AQ696" i="1"/>
  <c r="AQ59" i="9" s="1"/>
  <c r="AP696" i="1"/>
  <c r="AP59" i="9" s="1"/>
  <c r="AO696" i="1"/>
  <c r="AO59" i="9" s="1"/>
  <c r="AM696" i="1"/>
  <c r="AM59" i="9" s="1"/>
  <c r="AL696" i="1"/>
  <c r="AL59" i="9" s="1"/>
  <c r="AK696" i="1"/>
  <c r="AK59" i="9" s="1"/>
  <c r="AJ696" i="1"/>
  <c r="AJ59" i="9" s="1"/>
  <c r="AI696" i="1"/>
  <c r="AI59" i="9" s="1"/>
  <c r="AH696" i="1"/>
  <c r="AH59" i="9" s="1"/>
  <c r="AG696" i="1"/>
  <c r="AG59" i="9" s="1"/>
  <c r="AF696" i="1"/>
  <c r="AF59" i="9" s="1"/>
  <c r="AE696" i="1"/>
  <c r="AE59" i="9" s="1"/>
  <c r="AC696" i="1"/>
  <c r="AC59" i="9" s="1"/>
  <c r="AB696" i="1"/>
  <c r="AB59" i="9" s="1"/>
  <c r="AA696" i="1"/>
  <c r="AA59" i="9" s="1"/>
  <c r="Z696" i="1"/>
  <c r="Z59" i="9" s="1"/>
  <c r="X696" i="1"/>
  <c r="X59" i="9" s="1"/>
  <c r="W696" i="1"/>
  <c r="W59" i="9" s="1"/>
  <c r="V696" i="1"/>
  <c r="V59" i="9" s="1"/>
  <c r="U696" i="1"/>
  <c r="U59" i="9" s="1"/>
  <c r="S696" i="1"/>
  <c r="S59" i="9" s="1"/>
  <c r="R696" i="1"/>
  <c r="R59" i="9" s="1"/>
  <c r="Q696" i="1"/>
  <c r="Q59" i="9" s="1"/>
  <c r="P696" i="1"/>
  <c r="P59" i="9" s="1"/>
  <c r="N696" i="1"/>
  <c r="N59" i="9" s="1"/>
  <c r="M696" i="1"/>
  <c r="M59" i="9" s="1"/>
  <c r="L696" i="1"/>
  <c r="L59" i="9" s="1"/>
  <c r="K696" i="1"/>
  <c r="K59" i="9" s="1"/>
  <c r="I696" i="1"/>
  <c r="I59" i="9" s="1"/>
  <c r="H696" i="1"/>
  <c r="H59" i="9" s="1"/>
  <c r="G696" i="1"/>
  <c r="G59" i="9" s="1"/>
  <c r="F696" i="1"/>
  <c r="F59" i="9" s="1"/>
  <c r="E696" i="1"/>
  <c r="E59" i="9" s="1"/>
  <c r="D696" i="1"/>
  <c r="D59" i="9" s="1"/>
  <c r="C696" i="1"/>
  <c r="C59" i="9" s="1"/>
  <c r="A696" i="1"/>
  <c r="A695" i="1"/>
  <c r="CC694" i="1"/>
  <c r="BT694" i="1"/>
  <c r="BX694" i="1" s="1"/>
  <c r="BS694" i="1"/>
  <c r="BQ694" i="1"/>
  <c r="BP694" i="1"/>
  <c r="BO694" i="1"/>
  <c r="BN694" i="1"/>
  <c r="BL694" i="1"/>
  <c r="BK694" i="1"/>
  <c r="BJ694" i="1"/>
  <c r="BI694" i="1"/>
  <c r="BG694" i="1"/>
  <c r="BF694" i="1"/>
  <c r="BE694" i="1"/>
  <c r="BD694" i="1"/>
  <c r="BB694" i="1"/>
  <c r="BA694" i="1"/>
  <c r="AZ694" i="1"/>
  <c r="AY694" i="1"/>
  <c r="AW694" i="1"/>
  <c r="AV694" i="1"/>
  <c r="AU694" i="1"/>
  <c r="AT694" i="1"/>
  <c r="AS694" i="1"/>
  <c r="AR694" i="1"/>
  <c r="AQ694" i="1"/>
  <c r="AP694" i="1"/>
  <c r="AO694" i="1"/>
  <c r="AN694" i="1"/>
  <c r="AM694" i="1"/>
  <c r="AL694" i="1"/>
  <c r="AK694" i="1"/>
  <c r="AJ694" i="1"/>
  <c r="AH694" i="1"/>
  <c r="AG694" i="1"/>
  <c r="AF694" i="1"/>
  <c r="AE694" i="1"/>
  <c r="AC694" i="1"/>
  <c r="AB694" i="1"/>
  <c r="AA694" i="1"/>
  <c r="Z694" i="1"/>
  <c r="X694" i="1"/>
  <c r="W694" i="1"/>
  <c r="V694" i="1"/>
  <c r="U694" i="1"/>
  <c r="S694" i="1"/>
  <c r="R694" i="1"/>
  <c r="Q694" i="1"/>
  <c r="P694" i="1"/>
  <c r="O694" i="1"/>
  <c r="N694" i="1"/>
  <c r="M694" i="1"/>
  <c r="L694" i="1"/>
  <c r="K694" i="1"/>
  <c r="I694" i="1"/>
  <c r="H694" i="1"/>
  <c r="G694" i="1"/>
  <c r="F694" i="1"/>
  <c r="E694" i="1"/>
  <c r="D694" i="1"/>
  <c r="C694" i="1"/>
  <c r="A694" i="1"/>
  <c r="CF693" i="1"/>
  <c r="CE693" i="1"/>
  <c r="CD693" i="1"/>
  <c r="CC693" i="1"/>
  <c r="CB693" i="1"/>
  <c r="CA693" i="1"/>
  <c r="BZ693" i="1"/>
  <c r="BY693" i="1"/>
  <c r="BW693" i="1"/>
  <c r="BV693" i="1"/>
  <c r="BU693" i="1"/>
  <c r="BX693" i="1" s="1"/>
  <c r="BS693" i="1"/>
  <c r="BR693" i="1"/>
  <c r="BP693" i="1"/>
  <c r="BN693" i="1"/>
  <c r="BM693" i="1"/>
  <c r="BK693" i="1"/>
  <c r="BI693" i="1"/>
  <c r="BD693" i="1"/>
  <c r="AY693" i="1"/>
  <c r="AT693" i="1"/>
  <c r="AS693" i="1"/>
  <c r="AO693" i="1"/>
  <c r="AN693" i="1"/>
  <c r="A693" i="1"/>
  <c r="CC692" i="1"/>
  <c r="BT692" i="1"/>
  <c r="BX692" i="1" s="1"/>
  <c r="BS692" i="1"/>
  <c r="BQ692" i="1"/>
  <c r="BP692" i="1"/>
  <c r="BO692" i="1"/>
  <c r="BN692" i="1"/>
  <c r="BL692" i="1"/>
  <c r="BK692" i="1"/>
  <c r="BJ692" i="1"/>
  <c r="BI692" i="1"/>
  <c r="BG692" i="1"/>
  <c r="BF692" i="1"/>
  <c r="BE692" i="1"/>
  <c r="BD692" i="1"/>
  <c r="BC692" i="1"/>
  <c r="BB692" i="1"/>
  <c r="BA692" i="1"/>
  <c r="AZ692" i="1"/>
  <c r="AY692" i="1"/>
  <c r="AX692" i="1"/>
  <c r="AW692" i="1"/>
  <c r="AV692" i="1"/>
  <c r="AU692" i="1"/>
  <c r="AT692" i="1"/>
  <c r="AR692" i="1"/>
  <c r="AQ692" i="1"/>
  <c r="AP692" i="1"/>
  <c r="AO692" i="1"/>
  <c r="AM692" i="1"/>
  <c r="AL692" i="1"/>
  <c r="AK692" i="1"/>
  <c r="AJ692" i="1"/>
  <c r="AH692" i="1"/>
  <c r="AG692" i="1"/>
  <c r="AF692" i="1"/>
  <c r="AE692" i="1"/>
  <c r="AD692" i="1"/>
  <c r="AC692" i="1"/>
  <c r="AB692" i="1"/>
  <c r="AA692" i="1"/>
  <c r="Z692" i="1"/>
  <c r="X692" i="1"/>
  <c r="W692" i="1"/>
  <c r="V692" i="1"/>
  <c r="U692" i="1"/>
  <c r="T692" i="1"/>
  <c r="S692" i="1"/>
  <c r="R692" i="1"/>
  <c r="Q692" i="1"/>
  <c r="P692" i="1"/>
  <c r="O692" i="1"/>
  <c r="N692" i="1"/>
  <c r="M692" i="1"/>
  <c r="L692" i="1"/>
  <c r="K692" i="1"/>
  <c r="J692" i="1"/>
  <c r="I692" i="1"/>
  <c r="H692" i="1"/>
  <c r="G692" i="1"/>
  <c r="F692" i="1"/>
  <c r="E692" i="1"/>
  <c r="D692" i="1"/>
  <c r="C692" i="1"/>
  <c r="A692" i="1"/>
  <c r="CC691" i="1"/>
  <c r="BT691" i="1"/>
  <c r="BX691" i="1" s="1"/>
  <c r="BS691" i="1"/>
  <c r="BQ691" i="1"/>
  <c r="BP691" i="1"/>
  <c r="BO691" i="1"/>
  <c r="BN691" i="1"/>
  <c r="BL691" i="1"/>
  <c r="BK691" i="1"/>
  <c r="BJ691" i="1"/>
  <c r="BI691" i="1"/>
  <c r="BG691" i="1"/>
  <c r="BF691" i="1"/>
  <c r="BE691" i="1"/>
  <c r="BD691" i="1"/>
  <c r="BB691" i="1"/>
  <c r="BA691" i="1"/>
  <c r="AZ691" i="1"/>
  <c r="AY691" i="1"/>
  <c r="AW691" i="1"/>
  <c r="AV691" i="1"/>
  <c r="AU691" i="1"/>
  <c r="AT691" i="1"/>
  <c r="AS691" i="1"/>
  <c r="AR691" i="1"/>
  <c r="AQ691" i="1"/>
  <c r="AP691" i="1"/>
  <c r="AO691" i="1"/>
  <c r="AN691" i="1"/>
  <c r="AM691" i="1"/>
  <c r="AL691" i="1"/>
  <c r="AK691" i="1"/>
  <c r="AJ691" i="1"/>
  <c r="AI691" i="1"/>
  <c r="AH691" i="1"/>
  <c r="AG691" i="1"/>
  <c r="AF691" i="1"/>
  <c r="AE691" i="1"/>
  <c r="AC691" i="1"/>
  <c r="AB691" i="1"/>
  <c r="AA691" i="1"/>
  <c r="Z691" i="1"/>
  <c r="X691" i="1"/>
  <c r="W691" i="1"/>
  <c r="V691" i="1"/>
  <c r="U691" i="1"/>
  <c r="S691" i="1"/>
  <c r="R691" i="1"/>
  <c r="Q691" i="1"/>
  <c r="P691" i="1"/>
  <c r="N691" i="1"/>
  <c r="M691" i="1"/>
  <c r="L691" i="1"/>
  <c r="K691" i="1"/>
  <c r="I691" i="1"/>
  <c r="H691" i="1"/>
  <c r="G691" i="1"/>
  <c r="F691" i="1"/>
  <c r="E691" i="1"/>
  <c r="D691" i="1"/>
  <c r="C691" i="1"/>
  <c r="A691" i="1"/>
  <c r="CC690" i="1"/>
  <c r="BT690" i="1"/>
  <c r="BX690" i="1" s="1"/>
  <c r="BS690" i="1"/>
  <c r="BQ690" i="1"/>
  <c r="BP690" i="1"/>
  <c r="BO690" i="1"/>
  <c r="BN690" i="1"/>
  <c r="BM690" i="1"/>
  <c r="BL690" i="1"/>
  <c r="BK690" i="1"/>
  <c r="BJ690" i="1"/>
  <c r="BI690" i="1"/>
  <c r="BH690" i="1"/>
  <c r="BG690" i="1"/>
  <c r="BF690" i="1"/>
  <c r="BE690" i="1"/>
  <c r="BD690" i="1"/>
  <c r="BB690" i="1"/>
  <c r="BA690" i="1"/>
  <c r="AZ690" i="1"/>
  <c r="AY690" i="1"/>
  <c r="AW690" i="1"/>
  <c r="AV690" i="1"/>
  <c r="AU690" i="1"/>
  <c r="AT690" i="1"/>
  <c r="AR690" i="1"/>
  <c r="AQ690" i="1"/>
  <c r="AP690" i="1"/>
  <c r="AO690" i="1"/>
  <c r="AN690" i="1"/>
  <c r="AM690" i="1"/>
  <c r="AL690" i="1"/>
  <c r="AK690" i="1"/>
  <c r="AJ690" i="1"/>
  <c r="AH690" i="1"/>
  <c r="AG690" i="1"/>
  <c r="AF690" i="1"/>
  <c r="AE690" i="1"/>
  <c r="AD690" i="1"/>
  <c r="AC690" i="1"/>
  <c r="AB690" i="1"/>
  <c r="AA690" i="1"/>
  <c r="Z690" i="1"/>
  <c r="Y690" i="1"/>
  <c r="X690" i="1"/>
  <c r="W690" i="1"/>
  <c r="V690" i="1"/>
  <c r="U690" i="1"/>
  <c r="T690" i="1"/>
  <c r="S690" i="1"/>
  <c r="R690" i="1"/>
  <c r="Q690" i="1"/>
  <c r="P690" i="1"/>
  <c r="N690" i="1"/>
  <c r="M690" i="1"/>
  <c r="L690" i="1"/>
  <c r="K690" i="1"/>
  <c r="I690" i="1"/>
  <c r="H690" i="1"/>
  <c r="G690" i="1"/>
  <c r="F690" i="1"/>
  <c r="E690" i="1"/>
  <c r="D690" i="1"/>
  <c r="C690" i="1"/>
  <c r="A690" i="1"/>
  <c r="CC689" i="1"/>
  <c r="BX689" i="1"/>
  <c r="BT689" i="1"/>
  <c r="BS689" i="1"/>
  <c r="BQ689" i="1"/>
  <c r="BP689" i="1"/>
  <c r="BO689" i="1"/>
  <c r="BN689" i="1"/>
  <c r="BM689" i="1"/>
  <c r="BL689" i="1"/>
  <c r="BK689" i="1"/>
  <c r="BJ689" i="1"/>
  <c r="BI689" i="1"/>
  <c r="BG689" i="1"/>
  <c r="BF689" i="1"/>
  <c r="BE689" i="1"/>
  <c r="BD689" i="1"/>
  <c r="BC689" i="1"/>
  <c r="BB689" i="1"/>
  <c r="BA689" i="1"/>
  <c r="AZ689" i="1"/>
  <c r="AY689" i="1"/>
  <c r="AX689" i="1"/>
  <c r="AW689" i="1"/>
  <c r="AV689" i="1"/>
  <c r="AU689" i="1"/>
  <c r="AT689" i="1"/>
  <c r="AS689" i="1"/>
  <c r="AR689" i="1"/>
  <c r="AQ689" i="1"/>
  <c r="AP689" i="1"/>
  <c r="AO689" i="1"/>
  <c r="AM689" i="1"/>
  <c r="AL689" i="1"/>
  <c r="AK689" i="1"/>
  <c r="AJ689" i="1"/>
  <c r="AH689" i="1"/>
  <c r="AG689" i="1"/>
  <c r="AF689" i="1"/>
  <c r="AE689" i="1"/>
  <c r="AC689" i="1"/>
  <c r="AB689" i="1"/>
  <c r="AA689" i="1"/>
  <c r="Z689" i="1"/>
  <c r="X689" i="1"/>
  <c r="W689" i="1"/>
  <c r="V689" i="1"/>
  <c r="U689" i="1"/>
  <c r="S689" i="1"/>
  <c r="R689" i="1"/>
  <c r="Q689" i="1"/>
  <c r="P689" i="1"/>
  <c r="N689" i="1"/>
  <c r="M689" i="1"/>
  <c r="L689" i="1"/>
  <c r="K689" i="1"/>
  <c r="J689" i="1"/>
  <c r="I689" i="1"/>
  <c r="H689" i="1"/>
  <c r="G689" i="1"/>
  <c r="F689" i="1"/>
  <c r="E689" i="1"/>
  <c r="D689" i="1"/>
  <c r="C689" i="1"/>
  <c r="A689" i="1"/>
  <c r="CC688" i="1"/>
  <c r="BT688" i="1"/>
  <c r="BX688" i="1" s="1"/>
  <c r="BS688" i="1"/>
  <c r="BR688" i="1"/>
  <c r="BQ688" i="1"/>
  <c r="BP688" i="1"/>
  <c r="BO688" i="1"/>
  <c r="BN688" i="1"/>
  <c r="BL688" i="1"/>
  <c r="BK688" i="1"/>
  <c r="BJ688" i="1"/>
  <c r="BI688" i="1"/>
  <c r="BG688" i="1"/>
  <c r="BF688" i="1"/>
  <c r="BE688" i="1"/>
  <c r="BD688" i="1"/>
  <c r="BB688" i="1"/>
  <c r="BA688" i="1"/>
  <c r="AZ688" i="1"/>
  <c r="AY688" i="1"/>
  <c r="AW688" i="1"/>
  <c r="AV688" i="1"/>
  <c r="AU688" i="1"/>
  <c r="AT688" i="1"/>
  <c r="AR688" i="1"/>
  <c r="AQ688" i="1"/>
  <c r="AP688" i="1"/>
  <c r="AO688" i="1"/>
  <c r="AM688" i="1"/>
  <c r="AL688" i="1"/>
  <c r="AK688" i="1"/>
  <c r="AJ688" i="1"/>
  <c r="AI688" i="1"/>
  <c r="AH688" i="1"/>
  <c r="AG688" i="1"/>
  <c r="AF688" i="1"/>
  <c r="AE688" i="1"/>
  <c r="AD688" i="1"/>
  <c r="AC688" i="1"/>
  <c r="AB688" i="1"/>
  <c r="AA688" i="1"/>
  <c r="Z688" i="1"/>
  <c r="X688" i="1"/>
  <c r="W688" i="1"/>
  <c r="V688" i="1"/>
  <c r="U688" i="1"/>
  <c r="S688" i="1"/>
  <c r="R688" i="1"/>
  <c r="Q688" i="1"/>
  <c r="P688" i="1"/>
  <c r="N688" i="1"/>
  <c r="M688" i="1"/>
  <c r="L688" i="1"/>
  <c r="K688" i="1"/>
  <c r="J688" i="1"/>
  <c r="I688" i="1"/>
  <c r="H688" i="1"/>
  <c r="G688" i="1"/>
  <c r="F688" i="1"/>
  <c r="E688" i="1"/>
  <c r="D688" i="1"/>
  <c r="C688" i="1"/>
  <c r="A688" i="1"/>
  <c r="BT687" i="1"/>
  <c r="BS687" i="1"/>
  <c r="BQ687" i="1"/>
  <c r="BP687" i="1"/>
  <c r="BO687" i="1"/>
  <c r="BN687" i="1"/>
  <c r="BM687" i="1"/>
  <c r="BL687" i="1"/>
  <c r="BK687" i="1"/>
  <c r="BJ687" i="1"/>
  <c r="BI687" i="1"/>
  <c r="BH687" i="1"/>
  <c r="BG687" i="1"/>
  <c r="BF687" i="1"/>
  <c r="BE687" i="1"/>
  <c r="BD687" i="1"/>
  <c r="BB687" i="1"/>
  <c r="BA687" i="1"/>
  <c r="AZ687" i="1"/>
  <c r="AY687" i="1"/>
  <c r="AW687" i="1"/>
  <c r="AV687" i="1"/>
  <c r="AU687" i="1"/>
  <c r="AT687" i="1"/>
  <c r="AR687" i="1"/>
  <c r="AQ687" i="1"/>
  <c r="AP687" i="1"/>
  <c r="AO687" i="1"/>
  <c r="AM687" i="1"/>
  <c r="AL687" i="1"/>
  <c r="AK687" i="1"/>
  <c r="AJ687" i="1"/>
  <c r="AH687" i="1"/>
  <c r="AG687" i="1"/>
  <c r="AF687" i="1"/>
  <c r="AE687" i="1"/>
  <c r="AC687" i="1"/>
  <c r="AB687" i="1"/>
  <c r="AA687" i="1"/>
  <c r="Z687" i="1"/>
  <c r="X687" i="1"/>
  <c r="W687" i="1"/>
  <c r="V687" i="1"/>
  <c r="U687" i="1"/>
  <c r="T687" i="1"/>
  <c r="S687" i="1"/>
  <c r="R687" i="1"/>
  <c r="Q687" i="1"/>
  <c r="P687" i="1"/>
  <c r="N687" i="1"/>
  <c r="M687" i="1"/>
  <c r="L687" i="1"/>
  <c r="K687" i="1"/>
  <c r="I687" i="1"/>
  <c r="H687" i="1"/>
  <c r="G687" i="1"/>
  <c r="F687" i="1"/>
  <c r="E687" i="1"/>
  <c r="D687" i="1"/>
  <c r="C687" i="1"/>
  <c r="A687" i="1"/>
  <c r="CC686" i="1"/>
  <c r="BT686" i="1"/>
  <c r="BX686" i="1" s="1"/>
  <c r="BS686" i="1"/>
  <c r="BQ686" i="1"/>
  <c r="BP686" i="1"/>
  <c r="BO686" i="1"/>
  <c r="BN686" i="1"/>
  <c r="BL686" i="1"/>
  <c r="BK686" i="1"/>
  <c r="BJ686" i="1"/>
  <c r="BI686" i="1"/>
  <c r="BH686" i="1"/>
  <c r="BG686" i="1"/>
  <c r="BF686" i="1"/>
  <c r="BE686" i="1"/>
  <c r="BD686" i="1"/>
  <c r="BC686" i="1"/>
  <c r="BB686" i="1"/>
  <c r="BA686" i="1"/>
  <c r="AZ686" i="1"/>
  <c r="AY686" i="1"/>
  <c r="AW686" i="1"/>
  <c r="AV686" i="1"/>
  <c r="AU686" i="1"/>
  <c r="AT686" i="1"/>
  <c r="AS686" i="1"/>
  <c r="AR686" i="1"/>
  <c r="AQ686" i="1"/>
  <c r="AP686" i="1"/>
  <c r="AO686" i="1"/>
  <c r="AM686" i="1"/>
  <c r="AL686" i="1"/>
  <c r="AK686" i="1"/>
  <c r="AJ686" i="1"/>
  <c r="AH686" i="1"/>
  <c r="AG686" i="1"/>
  <c r="AF686" i="1"/>
  <c r="AE686" i="1"/>
  <c r="AC686" i="1"/>
  <c r="AB686" i="1"/>
  <c r="AA686" i="1"/>
  <c r="Z686" i="1"/>
  <c r="X686" i="1"/>
  <c r="W686" i="1"/>
  <c r="V686" i="1"/>
  <c r="U686" i="1"/>
  <c r="T686" i="1"/>
  <c r="S686" i="1"/>
  <c r="R686" i="1"/>
  <c r="Q686" i="1"/>
  <c r="P686" i="1"/>
  <c r="N686" i="1"/>
  <c r="M686" i="1"/>
  <c r="L686" i="1"/>
  <c r="K686" i="1"/>
  <c r="J686" i="1"/>
  <c r="I686" i="1"/>
  <c r="H686" i="1"/>
  <c r="G686" i="1"/>
  <c r="F686" i="1"/>
  <c r="E686" i="1"/>
  <c r="D686" i="1"/>
  <c r="C686" i="1"/>
  <c r="A686" i="1"/>
  <c r="CC685" i="1"/>
  <c r="BT685" i="1"/>
  <c r="BX685" i="1" s="1"/>
  <c r="BS685" i="1"/>
  <c r="BR685" i="1"/>
  <c r="BQ685" i="1"/>
  <c r="BP685" i="1"/>
  <c r="BO685" i="1"/>
  <c r="BN685" i="1"/>
  <c r="BL685" i="1"/>
  <c r="BK685" i="1"/>
  <c r="BJ685" i="1"/>
  <c r="BI685" i="1"/>
  <c r="BG685" i="1"/>
  <c r="BF685" i="1"/>
  <c r="BE685" i="1"/>
  <c r="BD685" i="1"/>
  <c r="BB685" i="1"/>
  <c r="BA685" i="1"/>
  <c r="AZ685" i="1"/>
  <c r="AY685" i="1"/>
  <c r="AW685" i="1"/>
  <c r="AV685" i="1"/>
  <c r="AU685" i="1"/>
  <c r="AT685" i="1"/>
  <c r="AR685" i="1"/>
  <c r="AQ685" i="1"/>
  <c r="AP685" i="1"/>
  <c r="AO685" i="1"/>
  <c r="AN685" i="1"/>
  <c r="AM685" i="1"/>
  <c r="AL685" i="1"/>
  <c r="AK685" i="1"/>
  <c r="AJ685" i="1"/>
  <c r="AI685" i="1"/>
  <c r="AH685" i="1"/>
  <c r="AG685" i="1"/>
  <c r="AF685" i="1"/>
  <c r="AE685" i="1"/>
  <c r="AD685" i="1"/>
  <c r="AC685" i="1"/>
  <c r="AB685" i="1"/>
  <c r="AA685" i="1"/>
  <c r="Z685" i="1"/>
  <c r="X685" i="1"/>
  <c r="W685" i="1"/>
  <c r="V685" i="1"/>
  <c r="U685" i="1"/>
  <c r="S685" i="1"/>
  <c r="R685" i="1"/>
  <c r="Q685" i="1"/>
  <c r="P685" i="1"/>
  <c r="N685" i="1"/>
  <c r="M685" i="1"/>
  <c r="L685" i="1"/>
  <c r="K685" i="1"/>
  <c r="I685" i="1"/>
  <c r="H685" i="1"/>
  <c r="G685" i="1"/>
  <c r="F685" i="1"/>
  <c r="E685" i="1"/>
  <c r="D685" i="1"/>
  <c r="C685" i="1"/>
  <c r="A685" i="1"/>
  <c r="CC684" i="1"/>
  <c r="BX684" i="1"/>
  <c r="BT684" i="1"/>
  <c r="BS684" i="1"/>
  <c r="BR684" i="1"/>
  <c r="BQ684" i="1"/>
  <c r="BP684" i="1"/>
  <c r="BO684" i="1"/>
  <c r="BN684" i="1"/>
  <c r="BM684" i="1"/>
  <c r="BL684" i="1"/>
  <c r="BK684" i="1"/>
  <c r="BJ684" i="1"/>
  <c r="BI684" i="1"/>
  <c r="BG684" i="1"/>
  <c r="BF684" i="1"/>
  <c r="BE684" i="1"/>
  <c r="BD684" i="1"/>
  <c r="BC684" i="1"/>
  <c r="BB684" i="1"/>
  <c r="BA684" i="1"/>
  <c r="AZ684" i="1"/>
  <c r="AY684" i="1"/>
  <c r="AW684" i="1"/>
  <c r="AV684" i="1"/>
  <c r="AU684" i="1"/>
  <c r="AT684" i="1"/>
  <c r="AR684" i="1"/>
  <c r="AQ684" i="1"/>
  <c r="AP684" i="1"/>
  <c r="AO684" i="1"/>
  <c r="AM684" i="1"/>
  <c r="AL684" i="1"/>
  <c r="AK684" i="1"/>
  <c r="AJ684" i="1"/>
  <c r="AH684" i="1"/>
  <c r="AG684" i="1"/>
  <c r="AF684" i="1"/>
  <c r="AE684" i="1"/>
  <c r="AD684" i="1"/>
  <c r="AC684" i="1"/>
  <c r="AB684" i="1"/>
  <c r="AA684" i="1"/>
  <c r="Z684" i="1"/>
  <c r="X684" i="1"/>
  <c r="W684" i="1"/>
  <c r="V684" i="1"/>
  <c r="U684" i="1"/>
  <c r="T684" i="1"/>
  <c r="S684" i="1"/>
  <c r="R684" i="1"/>
  <c r="Q684" i="1"/>
  <c r="P684" i="1"/>
  <c r="O684" i="1"/>
  <c r="N684" i="1"/>
  <c r="M684" i="1"/>
  <c r="L684" i="1"/>
  <c r="K684" i="1"/>
  <c r="I684" i="1"/>
  <c r="H684" i="1"/>
  <c r="G684" i="1"/>
  <c r="F684" i="1"/>
  <c r="E684" i="1"/>
  <c r="D684" i="1"/>
  <c r="C684" i="1"/>
  <c r="A684" i="1"/>
  <c r="CC683" i="1"/>
  <c r="BT683" i="1"/>
  <c r="BX683" i="1" s="1"/>
  <c r="BS683" i="1"/>
  <c r="BQ683" i="1"/>
  <c r="BP683" i="1"/>
  <c r="BO683" i="1"/>
  <c r="BN683" i="1"/>
  <c r="BL683" i="1"/>
  <c r="BK683" i="1"/>
  <c r="BJ683" i="1"/>
  <c r="BI683" i="1"/>
  <c r="BG683" i="1"/>
  <c r="BF683" i="1"/>
  <c r="BE683" i="1"/>
  <c r="BD683" i="1"/>
  <c r="BC683" i="1"/>
  <c r="BB683" i="1"/>
  <c r="BA683" i="1"/>
  <c r="AZ683" i="1"/>
  <c r="AY683" i="1"/>
  <c r="AW683" i="1"/>
  <c r="AV683" i="1"/>
  <c r="AU683" i="1"/>
  <c r="AT683" i="1"/>
  <c r="AS683" i="1"/>
  <c r="AR683" i="1"/>
  <c r="AQ683" i="1"/>
  <c r="AP683" i="1"/>
  <c r="AO683" i="1"/>
  <c r="AN683" i="1"/>
  <c r="AM683" i="1"/>
  <c r="AL683" i="1"/>
  <c r="AK683" i="1"/>
  <c r="AJ683" i="1"/>
  <c r="AH683" i="1"/>
  <c r="AG683" i="1"/>
  <c r="AF683" i="1"/>
  <c r="AE683" i="1"/>
  <c r="AC683" i="1"/>
  <c r="AB683" i="1"/>
  <c r="AA683" i="1"/>
  <c r="Z683" i="1"/>
  <c r="X683" i="1"/>
  <c r="W683" i="1"/>
  <c r="V683" i="1"/>
  <c r="U683" i="1"/>
  <c r="S683" i="1"/>
  <c r="R683" i="1"/>
  <c r="Q683" i="1"/>
  <c r="P683" i="1"/>
  <c r="N683" i="1"/>
  <c r="M683" i="1"/>
  <c r="L683" i="1"/>
  <c r="K683" i="1"/>
  <c r="J683" i="1"/>
  <c r="I683" i="1"/>
  <c r="H683" i="1"/>
  <c r="G683" i="1"/>
  <c r="F683" i="1"/>
  <c r="E683" i="1"/>
  <c r="D683" i="1"/>
  <c r="C683" i="1"/>
  <c r="A683" i="1"/>
  <c r="CF682" i="1"/>
  <c r="CE682" i="1"/>
  <c r="CD682" i="1"/>
  <c r="CB682" i="1"/>
  <c r="CA682" i="1"/>
  <c r="BZ682" i="1"/>
  <c r="BY682" i="1"/>
  <c r="CC682" i="1" s="1"/>
  <c r="BX682" i="1"/>
  <c r="BW682" i="1"/>
  <c r="BV682" i="1"/>
  <c r="BU682" i="1"/>
  <c r="BU752" i="1" s="1"/>
  <c r="BV752" i="1" s="1"/>
  <c r="BW752" i="1" s="1"/>
  <c r="BX752" i="1" s="1"/>
  <c r="BT682" i="1"/>
  <c r="BS682" i="1"/>
  <c r="BQ682" i="1"/>
  <c r="BQ695" i="1" s="1"/>
  <c r="BQ697" i="1" s="1"/>
  <c r="BP682" i="1"/>
  <c r="BP695" i="1" s="1"/>
  <c r="BP697" i="1" s="1"/>
  <c r="BO682" i="1"/>
  <c r="BO695" i="1" s="1"/>
  <c r="BN682" i="1"/>
  <c r="BM682" i="1"/>
  <c r="BL682" i="1"/>
  <c r="BK682" i="1"/>
  <c r="BJ682" i="1"/>
  <c r="BI682" i="1"/>
  <c r="BH682" i="1"/>
  <c r="BG682" i="1"/>
  <c r="BF682" i="1"/>
  <c r="BE682" i="1"/>
  <c r="BD682" i="1"/>
  <c r="BB682" i="1"/>
  <c r="BA682" i="1"/>
  <c r="BA695" i="1" s="1"/>
  <c r="BA697" i="1" s="1"/>
  <c r="AZ682" i="1"/>
  <c r="AZ695" i="1" s="1"/>
  <c r="AY682" i="1"/>
  <c r="AY695" i="1" s="1"/>
  <c r="AY697" i="1" s="1"/>
  <c r="AW682" i="1"/>
  <c r="AV682" i="1"/>
  <c r="AU682" i="1"/>
  <c r="AT682" i="1"/>
  <c r="AS682" i="1"/>
  <c r="AR682" i="1"/>
  <c r="AR695" i="1" s="1"/>
  <c r="AR697" i="1" s="1"/>
  <c r="AQ682" i="1"/>
  <c r="AQ695" i="1" s="1"/>
  <c r="AQ697" i="1" s="1"/>
  <c r="AP682" i="1"/>
  <c r="AO682" i="1"/>
  <c r="AM682" i="1"/>
  <c r="AL682" i="1"/>
  <c r="AK682" i="1"/>
  <c r="AJ682" i="1"/>
  <c r="AI682" i="1"/>
  <c r="AH682" i="1"/>
  <c r="AG682" i="1"/>
  <c r="AF682" i="1"/>
  <c r="AE682" i="1"/>
  <c r="AC682" i="1"/>
  <c r="AB682" i="1"/>
  <c r="AB695" i="1" s="1"/>
  <c r="AB697" i="1" s="1"/>
  <c r="AA682" i="1"/>
  <c r="AA695" i="1" s="1"/>
  <c r="Z682" i="1"/>
  <c r="Y682" i="1"/>
  <c r="X682" i="1"/>
  <c r="W682" i="1"/>
  <c r="V682" i="1"/>
  <c r="U682" i="1"/>
  <c r="T682" i="1"/>
  <c r="S682" i="1"/>
  <c r="S695" i="1" s="1"/>
  <c r="S697" i="1" s="1"/>
  <c r="R682" i="1"/>
  <c r="Q682" i="1"/>
  <c r="P682" i="1"/>
  <c r="N682" i="1"/>
  <c r="M682" i="1"/>
  <c r="L682" i="1"/>
  <c r="K682" i="1"/>
  <c r="I682" i="1"/>
  <c r="H682" i="1"/>
  <c r="G682" i="1"/>
  <c r="F682" i="1"/>
  <c r="E682" i="1"/>
  <c r="D682" i="1"/>
  <c r="C682" i="1"/>
  <c r="A682" i="1"/>
  <c r="BT681" i="1"/>
  <c r="BS681" i="1"/>
  <c r="BS695" i="1" s="1"/>
  <c r="BS697" i="1" s="1"/>
  <c r="BQ681" i="1"/>
  <c r="BP681" i="1"/>
  <c r="BO681" i="1"/>
  <c r="BN681" i="1"/>
  <c r="BL681" i="1"/>
  <c r="BK681" i="1"/>
  <c r="BJ681" i="1"/>
  <c r="BI681" i="1"/>
  <c r="BG681" i="1"/>
  <c r="BF681" i="1"/>
  <c r="BE681" i="1"/>
  <c r="BD681" i="1"/>
  <c r="BC681" i="1"/>
  <c r="BB681" i="1"/>
  <c r="BB695" i="1" s="1"/>
  <c r="BB697" i="1" s="1"/>
  <c r="BA681" i="1"/>
  <c r="AZ681" i="1"/>
  <c r="AY681" i="1"/>
  <c r="AW681" i="1"/>
  <c r="AV681" i="1"/>
  <c r="AU681" i="1"/>
  <c r="AU695" i="1" s="1"/>
  <c r="AT681" i="1"/>
  <c r="AT695" i="1" s="1"/>
  <c r="AT697" i="1" s="1"/>
  <c r="AS681" i="1"/>
  <c r="AR681" i="1"/>
  <c r="AQ681" i="1"/>
  <c r="AP681" i="1"/>
  <c r="AO681" i="1"/>
  <c r="AN681" i="1"/>
  <c r="AM681" i="1"/>
  <c r="AL681" i="1"/>
  <c r="AK681" i="1"/>
  <c r="AJ681" i="1"/>
  <c r="AI681" i="1"/>
  <c r="AH681" i="1"/>
  <c r="AG681" i="1"/>
  <c r="AF681" i="1"/>
  <c r="AE681" i="1"/>
  <c r="AE695" i="1" s="1"/>
  <c r="AE697" i="1" s="1"/>
  <c r="AC681" i="1"/>
  <c r="AC695" i="1" s="1"/>
  <c r="AC697" i="1" s="1"/>
  <c r="AB681" i="1"/>
  <c r="AA681" i="1"/>
  <c r="Z681" i="1"/>
  <c r="X681" i="1"/>
  <c r="W681" i="1"/>
  <c r="V681" i="1"/>
  <c r="V695" i="1" s="1"/>
  <c r="U681" i="1"/>
  <c r="U695" i="1" s="1"/>
  <c r="U697" i="1" s="1"/>
  <c r="S681" i="1"/>
  <c r="R681" i="1"/>
  <c r="Q681" i="1"/>
  <c r="P681" i="1"/>
  <c r="O681" i="1"/>
  <c r="N681" i="1"/>
  <c r="M681" i="1"/>
  <c r="L681" i="1"/>
  <c r="K681" i="1"/>
  <c r="I681" i="1"/>
  <c r="H681" i="1"/>
  <c r="G681" i="1"/>
  <c r="F681" i="1"/>
  <c r="E681" i="1"/>
  <c r="E695" i="1" s="1"/>
  <c r="E697" i="1" s="1"/>
  <c r="D681" i="1"/>
  <c r="D695" i="1" s="1"/>
  <c r="D697" i="1" s="1"/>
  <c r="C681" i="1"/>
  <c r="A681" i="1"/>
  <c r="A680" i="1"/>
  <c r="BR677" i="1"/>
  <c r="BR729" i="1" s="1"/>
  <c r="BM677" i="1"/>
  <c r="BM729" i="1" s="1"/>
  <c r="BH677" i="1"/>
  <c r="BH729" i="1" s="1"/>
  <c r="BC677" i="1"/>
  <c r="BC729" i="1" s="1"/>
  <c r="AX677" i="1"/>
  <c r="AX729" i="1" s="1"/>
  <c r="AS677" i="1"/>
  <c r="AS729" i="1" s="1"/>
  <c r="AN677" i="1"/>
  <c r="AN729" i="1" s="1"/>
  <c r="AI677" i="1"/>
  <c r="AI729" i="1" s="1"/>
  <c r="AD677" i="1"/>
  <c r="AD729" i="1" s="1"/>
  <c r="Y677" i="1"/>
  <c r="Y729" i="1" s="1"/>
  <c r="T677" i="1"/>
  <c r="T729" i="1" s="1"/>
  <c r="O677" i="1"/>
  <c r="O729" i="1" s="1"/>
  <c r="J677" i="1"/>
  <c r="J729" i="1" s="1"/>
  <c r="BR676" i="1"/>
  <c r="BR728" i="1" s="1"/>
  <c r="BM676" i="1"/>
  <c r="BM728" i="1" s="1"/>
  <c r="BH676" i="1"/>
  <c r="BH728" i="1" s="1"/>
  <c r="BC676" i="1"/>
  <c r="BC728" i="1" s="1"/>
  <c r="AX676" i="1"/>
  <c r="AX728" i="1" s="1"/>
  <c r="AS676" i="1"/>
  <c r="AS728" i="1" s="1"/>
  <c r="AN676" i="1"/>
  <c r="AN728" i="1" s="1"/>
  <c r="AI676" i="1"/>
  <c r="AI728" i="1" s="1"/>
  <c r="AD676" i="1"/>
  <c r="AD728" i="1" s="1"/>
  <c r="Y676" i="1"/>
  <c r="Y728" i="1" s="1"/>
  <c r="T676" i="1"/>
  <c r="T728" i="1" s="1"/>
  <c r="J676" i="1"/>
  <c r="J728" i="1" s="1"/>
  <c r="AI673" i="1"/>
  <c r="AJ673" i="1" s="1"/>
  <c r="AH673" i="1"/>
  <c r="AG673" i="1"/>
  <c r="BO671" i="1"/>
  <c r="BJ671" i="1"/>
  <c r="BG671" i="1"/>
  <c r="BF671" i="1"/>
  <c r="AY671" i="1"/>
  <c r="Z671" i="1"/>
  <c r="H671" i="1"/>
  <c r="BR670" i="1"/>
  <c r="BR722" i="1" s="1"/>
  <c r="BM670" i="1"/>
  <c r="BM722" i="1" s="1"/>
  <c r="BH670" i="1"/>
  <c r="BH722" i="1" s="1"/>
  <c r="BC670" i="1"/>
  <c r="BC722" i="1" s="1"/>
  <c r="AX670" i="1"/>
  <c r="AX722" i="1" s="1"/>
  <c r="AS670" i="1"/>
  <c r="AS722" i="1" s="1"/>
  <c r="AN670" i="1"/>
  <c r="AN722" i="1" s="1"/>
  <c r="AI670" i="1"/>
  <c r="AI722" i="1" s="1"/>
  <c r="AD670" i="1"/>
  <c r="AD722" i="1" s="1"/>
  <c r="Y670" i="1"/>
  <c r="Y722" i="1" s="1"/>
  <c r="T670" i="1"/>
  <c r="T722" i="1" s="1"/>
  <c r="O670" i="1"/>
  <c r="O722" i="1" s="1"/>
  <c r="J670" i="1"/>
  <c r="J722" i="1" s="1"/>
  <c r="BT668" i="1"/>
  <c r="BS668" i="1"/>
  <c r="BQ668" i="1"/>
  <c r="BP668" i="1"/>
  <c r="BO668" i="1"/>
  <c r="BN668" i="1"/>
  <c r="BN671" i="1" s="1"/>
  <c r="BM668" i="1"/>
  <c r="BL668" i="1"/>
  <c r="BK668" i="1"/>
  <c r="BJ668" i="1"/>
  <c r="BI668" i="1"/>
  <c r="BG668" i="1"/>
  <c r="BF668" i="1"/>
  <c r="BE668" i="1"/>
  <c r="BE671" i="1" s="1"/>
  <c r="BD668" i="1"/>
  <c r="BB668" i="1"/>
  <c r="BB671" i="1" s="1"/>
  <c r="BA668" i="1"/>
  <c r="BA671" i="1" s="1"/>
  <c r="AZ668" i="1"/>
  <c r="AY668" i="1"/>
  <c r="AW668" i="1"/>
  <c r="AV668" i="1"/>
  <c r="AU668" i="1"/>
  <c r="AT668" i="1"/>
  <c r="AT671" i="1" s="1"/>
  <c r="AR668" i="1"/>
  <c r="AQ668" i="1"/>
  <c r="AQ671" i="1" s="1"/>
  <c r="AP668" i="1"/>
  <c r="AP671" i="1" s="1"/>
  <c r="AO668" i="1"/>
  <c r="AM668" i="1"/>
  <c r="AL668" i="1"/>
  <c r="AL671" i="1" s="1"/>
  <c r="AK668" i="1"/>
  <c r="AJ668" i="1"/>
  <c r="AH668" i="1"/>
  <c r="AG668" i="1"/>
  <c r="AG671" i="1" s="1"/>
  <c r="AG674" i="1" s="1"/>
  <c r="AF668" i="1"/>
  <c r="AE668" i="1"/>
  <c r="AC668" i="1"/>
  <c r="AB668" i="1"/>
  <c r="AA668" i="1"/>
  <c r="Z668" i="1"/>
  <c r="X668" i="1"/>
  <c r="W668" i="1"/>
  <c r="V668" i="1"/>
  <c r="U668" i="1"/>
  <c r="S668" i="1"/>
  <c r="R668" i="1"/>
  <c r="Q668" i="1"/>
  <c r="P668" i="1"/>
  <c r="N668" i="1"/>
  <c r="N671" i="1" s="1"/>
  <c r="M668" i="1"/>
  <c r="L668" i="1"/>
  <c r="L671" i="1" s="1"/>
  <c r="K668" i="1"/>
  <c r="K671" i="1" s="1"/>
  <c r="I668" i="1"/>
  <c r="H668" i="1"/>
  <c r="G668" i="1"/>
  <c r="F668" i="1"/>
  <c r="F671" i="1" s="1"/>
  <c r="E668" i="1"/>
  <c r="D668" i="1"/>
  <c r="C668" i="1"/>
  <c r="C671" i="1" s="1"/>
  <c r="C674" i="1" s="1"/>
  <c r="D673" i="1" s="1"/>
  <c r="BR667" i="1"/>
  <c r="BR719" i="1" s="1"/>
  <c r="BM667" i="1"/>
  <c r="BM719" i="1" s="1"/>
  <c r="BH667" i="1"/>
  <c r="BH719" i="1" s="1"/>
  <c r="BC667" i="1"/>
  <c r="BC719" i="1" s="1"/>
  <c r="AX667" i="1"/>
  <c r="AX719" i="1" s="1"/>
  <c r="AS667" i="1"/>
  <c r="AS719" i="1" s="1"/>
  <c r="AN667" i="1"/>
  <c r="AN719" i="1" s="1"/>
  <c r="AI667" i="1"/>
  <c r="AI719" i="1" s="1"/>
  <c r="AD667" i="1"/>
  <c r="AD719" i="1" s="1"/>
  <c r="Y667" i="1"/>
  <c r="Y719" i="1" s="1"/>
  <c r="T667" i="1"/>
  <c r="T719" i="1" s="1"/>
  <c r="O667" i="1"/>
  <c r="O719" i="1" s="1"/>
  <c r="J667" i="1"/>
  <c r="J719" i="1" s="1"/>
  <c r="BR665" i="1"/>
  <c r="BR717" i="1" s="1"/>
  <c r="BM665" i="1"/>
  <c r="BM717" i="1" s="1"/>
  <c r="BH665" i="1"/>
  <c r="BH717" i="1" s="1"/>
  <c r="BC665" i="1"/>
  <c r="BC717" i="1" s="1"/>
  <c r="AX665" i="1"/>
  <c r="AX717" i="1" s="1"/>
  <c r="AS665" i="1"/>
  <c r="AS717" i="1" s="1"/>
  <c r="AN665" i="1"/>
  <c r="AN717" i="1" s="1"/>
  <c r="AI665" i="1"/>
  <c r="AI717" i="1" s="1"/>
  <c r="BR664" i="1"/>
  <c r="BR716" i="1" s="1"/>
  <c r="BM664" i="1"/>
  <c r="BM716" i="1" s="1"/>
  <c r="BH664" i="1"/>
  <c r="BH716" i="1" s="1"/>
  <c r="BC664" i="1"/>
  <c r="BC716" i="1" s="1"/>
  <c r="AX664" i="1"/>
  <c r="AX716" i="1" s="1"/>
  <c r="AS664" i="1"/>
  <c r="AS716" i="1" s="1"/>
  <c r="AN664" i="1"/>
  <c r="AN716" i="1" s="1"/>
  <c r="AI664" i="1"/>
  <c r="AI716" i="1" s="1"/>
  <c r="AD664" i="1"/>
  <c r="AD716" i="1" s="1"/>
  <c r="Y664" i="1"/>
  <c r="Y716" i="1" s="1"/>
  <c r="T664" i="1"/>
  <c r="T716" i="1" s="1"/>
  <c r="O664" i="1"/>
  <c r="O716" i="1" s="1"/>
  <c r="J664" i="1"/>
  <c r="J716" i="1" s="1"/>
  <c r="BR663" i="1"/>
  <c r="BR715" i="1" s="1"/>
  <c r="BM663" i="1"/>
  <c r="BM715" i="1" s="1"/>
  <c r="BH663" i="1"/>
  <c r="BH715" i="1" s="1"/>
  <c r="BC663" i="1"/>
  <c r="BC715" i="1" s="1"/>
  <c r="AX663" i="1"/>
  <c r="AX715" i="1" s="1"/>
  <c r="AS663" i="1"/>
  <c r="AS715" i="1" s="1"/>
  <c r="AN663" i="1"/>
  <c r="AN715" i="1" s="1"/>
  <c r="AI663" i="1"/>
  <c r="AI715" i="1" s="1"/>
  <c r="AD663" i="1"/>
  <c r="AD715" i="1" s="1"/>
  <c r="Y663" i="1"/>
  <c r="Y715" i="1" s="1"/>
  <c r="T663" i="1"/>
  <c r="T715" i="1" s="1"/>
  <c r="O663" i="1"/>
  <c r="O715" i="1" s="1"/>
  <c r="J663" i="1"/>
  <c r="J715" i="1" s="1"/>
  <c r="BR662" i="1"/>
  <c r="BR714" i="1" s="1"/>
  <c r="BM662" i="1"/>
  <c r="BM714" i="1" s="1"/>
  <c r="BH662" i="1"/>
  <c r="BH714" i="1" s="1"/>
  <c r="BC662" i="1"/>
  <c r="BC714" i="1" s="1"/>
  <c r="AX662" i="1"/>
  <c r="AX714" i="1" s="1"/>
  <c r="AS662" i="1"/>
  <c r="AS714" i="1" s="1"/>
  <c r="AN662" i="1"/>
  <c r="AN714" i="1" s="1"/>
  <c r="AI662" i="1"/>
  <c r="AI714" i="1" s="1"/>
  <c r="AD662" i="1"/>
  <c r="AD714" i="1" s="1"/>
  <c r="Y662" i="1"/>
  <c r="Y714" i="1" s="1"/>
  <c r="T662" i="1"/>
  <c r="T714" i="1" s="1"/>
  <c r="O662" i="1"/>
  <c r="O714" i="1" s="1"/>
  <c r="J662" i="1"/>
  <c r="J714" i="1" s="1"/>
  <c r="BR661" i="1"/>
  <c r="BR713" i="1" s="1"/>
  <c r="BM661" i="1"/>
  <c r="BM713" i="1" s="1"/>
  <c r="BH661" i="1"/>
  <c r="BH713" i="1" s="1"/>
  <c r="BC661" i="1"/>
  <c r="BC713" i="1" s="1"/>
  <c r="AX661" i="1"/>
  <c r="AX713" i="1" s="1"/>
  <c r="AS661" i="1"/>
  <c r="AS713" i="1" s="1"/>
  <c r="AN661" i="1"/>
  <c r="AI661" i="1"/>
  <c r="AI713" i="1" s="1"/>
  <c r="AD661" i="1"/>
  <c r="AD713" i="1" s="1"/>
  <c r="Y661" i="1"/>
  <c r="Y713" i="1" s="1"/>
  <c r="T661" i="1"/>
  <c r="T713" i="1" s="1"/>
  <c r="O661" i="1"/>
  <c r="O713" i="1" s="1"/>
  <c r="J661" i="1"/>
  <c r="J713" i="1" s="1"/>
  <c r="BR660" i="1"/>
  <c r="BR712" i="1" s="1"/>
  <c r="BM660" i="1"/>
  <c r="BM712" i="1" s="1"/>
  <c r="BH660" i="1"/>
  <c r="BH712" i="1" s="1"/>
  <c r="BC660" i="1"/>
  <c r="AX660" i="1"/>
  <c r="AX712" i="1" s="1"/>
  <c r="AS660" i="1"/>
  <c r="AS712" i="1" s="1"/>
  <c r="AN660" i="1"/>
  <c r="AI660" i="1"/>
  <c r="AI712" i="1" s="1"/>
  <c r="AD660" i="1"/>
  <c r="AD712" i="1" s="1"/>
  <c r="Y660" i="1"/>
  <c r="Y712" i="1" s="1"/>
  <c r="T660" i="1"/>
  <c r="O660" i="1"/>
  <c r="J660" i="1"/>
  <c r="J712" i="1" s="1"/>
  <c r="BT657" i="1"/>
  <c r="BT671" i="1" s="1"/>
  <c r="BS657" i="1"/>
  <c r="BP657" i="1"/>
  <c r="BO657" i="1"/>
  <c r="BN657" i="1"/>
  <c r="BL657" i="1"/>
  <c r="BK657" i="1"/>
  <c r="BJ657" i="1"/>
  <c r="BI657" i="1"/>
  <c r="BG657" i="1"/>
  <c r="BF657" i="1"/>
  <c r="BE657" i="1"/>
  <c r="BD657" i="1"/>
  <c r="BB657" i="1"/>
  <c r="BA657" i="1"/>
  <c r="AZ657" i="1"/>
  <c r="AY657" i="1"/>
  <c r="AW657" i="1"/>
  <c r="AV657" i="1"/>
  <c r="AV671" i="1" s="1"/>
  <c r="AU657" i="1"/>
  <c r="AT657" i="1"/>
  <c r="AR657" i="1"/>
  <c r="AQ657" i="1"/>
  <c r="AP657" i="1"/>
  <c r="AO657" i="1"/>
  <c r="AM657" i="1"/>
  <c r="AL657" i="1"/>
  <c r="AK657" i="1"/>
  <c r="AJ657" i="1"/>
  <c r="AH657" i="1"/>
  <c r="AH671" i="1" s="1"/>
  <c r="AH674" i="1" s="1"/>
  <c r="AG657" i="1"/>
  <c r="AF657" i="1"/>
  <c r="AF671" i="1" s="1"/>
  <c r="AF674" i="1" s="1"/>
  <c r="AE657" i="1"/>
  <c r="AC657" i="1"/>
  <c r="AB657" i="1"/>
  <c r="AA657" i="1"/>
  <c r="Z657" i="1"/>
  <c r="X657" i="1"/>
  <c r="X671" i="1" s="1"/>
  <c r="W657" i="1"/>
  <c r="V657" i="1"/>
  <c r="U657" i="1"/>
  <c r="S657" i="1"/>
  <c r="R657" i="1"/>
  <c r="Q657" i="1"/>
  <c r="P657" i="1"/>
  <c r="N657" i="1"/>
  <c r="M657" i="1"/>
  <c r="L657" i="1"/>
  <c r="K657" i="1"/>
  <c r="I657" i="1"/>
  <c r="H657" i="1"/>
  <c r="G657" i="1"/>
  <c r="G671" i="1" s="1"/>
  <c r="F657" i="1"/>
  <c r="E657" i="1"/>
  <c r="D657" i="1"/>
  <c r="C657" i="1"/>
  <c r="BR656" i="1"/>
  <c r="BR708" i="1" s="1"/>
  <c r="BM656" i="1"/>
  <c r="BM708" i="1" s="1"/>
  <c r="BH656" i="1"/>
  <c r="BH708" i="1" s="1"/>
  <c r="BC656" i="1"/>
  <c r="BC708" i="1" s="1"/>
  <c r="AX656" i="1"/>
  <c r="AX708" i="1" s="1"/>
  <c r="AS656" i="1"/>
  <c r="AS708" i="1" s="1"/>
  <c r="AN656" i="1"/>
  <c r="AN708" i="1" s="1"/>
  <c r="AI656" i="1"/>
  <c r="AI708" i="1" s="1"/>
  <c r="AD656" i="1"/>
  <c r="AD708" i="1" s="1"/>
  <c r="Y656" i="1"/>
  <c r="Y708" i="1" s="1"/>
  <c r="T656" i="1"/>
  <c r="T708" i="1" s="1"/>
  <c r="O656" i="1"/>
  <c r="O708" i="1" s="1"/>
  <c r="J656" i="1"/>
  <c r="J708" i="1" s="1"/>
  <c r="BR655" i="1"/>
  <c r="BR707" i="1" s="1"/>
  <c r="BM655" i="1"/>
  <c r="BM707" i="1" s="1"/>
  <c r="BH655" i="1"/>
  <c r="BH707" i="1" s="1"/>
  <c r="BC655" i="1"/>
  <c r="BC707" i="1" s="1"/>
  <c r="AX655" i="1"/>
  <c r="AX707" i="1" s="1"/>
  <c r="AS655" i="1"/>
  <c r="AS707" i="1" s="1"/>
  <c r="AN655" i="1"/>
  <c r="AN707" i="1" s="1"/>
  <c r="AI655" i="1"/>
  <c r="AI707" i="1" s="1"/>
  <c r="AD655" i="1"/>
  <c r="AD707" i="1" s="1"/>
  <c r="Y655" i="1"/>
  <c r="T655" i="1"/>
  <c r="T707" i="1" s="1"/>
  <c r="O655" i="1"/>
  <c r="O707" i="1" s="1"/>
  <c r="J655" i="1"/>
  <c r="J707" i="1" s="1"/>
  <c r="BR654" i="1"/>
  <c r="BR706" i="1" s="1"/>
  <c r="BM654" i="1"/>
  <c r="BM706" i="1" s="1"/>
  <c r="BH654" i="1"/>
  <c r="BH706" i="1" s="1"/>
  <c r="BC654" i="1"/>
  <c r="BC706" i="1" s="1"/>
  <c r="AX654" i="1"/>
  <c r="AX706" i="1" s="1"/>
  <c r="AS654" i="1"/>
  <c r="AS706" i="1" s="1"/>
  <c r="AN654" i="1"/>
  <c r="AN706" i="1" s="1"/>
  <c r="AI654" i="1"/>
  <c r="AI706" i="1" s="1"/>
  <c r="AD654" i="1"/>
  <c r="AD706" i="1" s="1"/>
  <c r="Y654" i="1"/>
  <c r="Y706" i="1" s="1"/>
  <c r="T654" i="1"/>
  <c r="T706" i="1" s="1"/>
  <c r="O654" i="1"/>
  <c r="O706" i="1" s="1"/>
  <c r="J654" i="1"/>
  <c r="J706" i="1" s="1"/>
  <c r="BR653" i="1"/>
  <c r="BR705" i="1" s="1"/>
  <c r="BM653" i="1"/>
  <c r="BM705" i="1" s="1"/>
  <c r="BH653" i="1"/>
  <c r="BH705" i="1" s="1"/>
  <c r="BC653" i="1"/>
  <c r="BC705" i="1" s="1"/>
  <c r="AX653" i="1"/>
  <c r="AX705" i="1" s="1"/>
  <c r="AS653" i="1"/>
  <c r="AS705" i="1" s="1"/>
  <c r="AN653" i="1"/>
  <c r="AN705" i="1" s="1"/>
  <c r="AI653" i="1"/>
  <c r="AD653" i="1"/>
  <c r="AD705" i="1" s="1"/>
  <c r="Y653" i="1"/>
  <c r="Y705" i="1" s="1"/>
  <c r="T653" i="1"/>
  <c r="T705" i="1" s="1"/>
  <c r="O653" i="1"/>
  <c r="O705" i="1" s="1"/>
  <c r="J653" i="1"/>
  <c r="J705" i="1" s="1"/>
  <c r="BR652" i="1"/>
  <c r="BR704" i="1" s="1"/>
  <c r="BM652" i="1"/>
  <c r="BM704" i="1" s="1"/>
  <c r="BH652" i="1"/>
  <c r="BH704" i="1" s="1"/>
  <c r="BC652" i="1"/>
  <c r="BC704" i="1" s="1"/>
  <c r="AX652" i="1"/>
  <c r="AX704" i="1" s="1"/>
  <c r="AS652" i="1"/>
  <c r="AS704" i="1" s="1"/>
  <c r="AN652" i="1"/>
  <c r="AN704" i="1" s="1"/>
  <c r="BR651" i="1"/>
  <c r="BR703" i="1" s="1"/>
  <c r="BM651" i="1"/>
  <c r="BM703" i="1" s="1"/>
  <c r="BH651" i="1"/>
  <c r="BH703" i="1" s="1"/>
  <c r="BC651" i="1"/>
  <c r="AX651" i="1"/>
  <c r="AX703" i="1" s="1"/>
  <c r="AS651" i="1"/>
  <c r="AS703" i="1" s="1"/>
  <c r="AN651" i="1"/>
  <c r="AN703" i="1" s="1"/>
  <c r="AI651" i="1"/>
  <c r="AI703" i="1" s="1"/>
  <c r="AD651" i="1"/>
  <c r="AD703" i="1" s="1"/>
  <c r="Y651" i="1"/>
  <c r="Y703" i="1" s="1"/>
  <c r="T651" i="1"/>
  <c r="T703" i="1" s="1"/>
  <c r="O651" i="1"/>
  <c r="O703" i="1" s="1"/>
  <c r="J651" i="1"/>
  <c r="J703" i="1" s="1"/>
  <c r="BR650" i="1"/>
  <c r="BR702" i="1" s="1"/>
  <c r="BM650" i="1"/>
  <c r="BM702" i="1" s="1"/>
  <c r="BH650" i="1"/>
  <c r="BH702" i="1" s="1"/>
  <c r="BC650" i="1"/>
  <c r="BC702" i="1" s="1"/>
  <c r="AX650" i="1"/>
  <c r="AX702" i="1" s="1"/>
  <c r="AS650" i="1"/>
  <c r="AS702" i="1" s="1"/>
  <c r="AN650" i="1"/>
  <c r="AN702" i="1" s="1"/>
  <c r="AI650" i="1"/>
  <c r="AD650" i="1"/>
  <c r="AD702" i="1" s="1"/>
  <c r="Y650" i="1"/>
  <c r="Y702" i="1" s="1"/>
  <c r="T650" i="1"/>
  <c r="T702" i="1" s="1"/>
  <c r="O650" i="1"/>
  <c r="O702" i="1" s="1"/>
  <c r="J650" i="1"/>
  <c r="J702" i="1" s="1"/>
  <c r="BR649" i="1"/>
  <c r="BR701" i="1" s="1"/>
  <c r="BR69" i="9" s="1"/>
  <c r="BM649" i="1"/>
  <c r="BH649" i="1"/>
  <c r="BC649" i="1"/>
  <c r="BC701" i="1" s="1"/>
  <c r="AX649" i="1"/>
  <c r="AX701" i="1" s="1"/>
  <c r="AS649" i="1"/>
  <c r="AS701" i="1" s="1"/>
  <c r="AN649" i="1"/>
  <c r="AN701" i="1" s="1"/>
  <c r="AN69" i="9" s="1"/>
  <c r="AI649" i="1"/>
  <c r="AI701" i="1" s="1"/>
  <c r="AI69" i="9" s="1"/>
  <c r="AD649" i="1"/>
  <c r="AD701" i="1" s="1"/>
  <c r="AD69" i="9" s="1"/>
  <c r="Y649" i="1"/>
  <c r="T649" i="1"/>
  <c r="O649" i="1"/>
  <c r="O701" i="1" s="1"/>
  <c r="J649" i="1"/>
  <c r="BS648" i="1"/>
  <c r="BR648" i="1"/>
  <c r="BR700" i="1" s="1"/>
  <c r="BR709" i="1" s="1"/>
  <c r="BQ648" i="1"/>
  <c r="BQ700" i="1" s="1"/>
  <c r="BQ709" i="1" s="1"/>
  <c r="BM648" i="1"/>
  <c r="BM700" i="1" s="1"/>
  <c r="BM709" i="1" s="1"/>
  <c r="BH648" i="1"/>
  <c r="BC648" i="1"/>
  <c r="AX648" i="1"/>
  <c r="AX700" i="1" s="1"/>
  <c r="AS648" i="1"/>
  <c r="AS657" i="1" s="1"/>
  <c r="AN648" i="1"/>
  <c r="AN700" i="1" s="1"/>
  <c r="AI648" i="1"/>
  <c r="AD648" i="1"/>
  <c r="AD657" i="1" s="1"/>
  <c r="Y648" i="1"/>
  <c r="Y700" i="1" s="1"/>
  <c r="Y709" i="1" s="1"/>
  <c r="T648" i="1"/>
  <c r="O648" i="1"/>
  <c r="J648" i="1"/>
  <c r="J700" i="1" s="1"/>
  <c r="BQ645" i="1"/>
  <c r="BP645" i="1"/>
  <c r="BJ645" i="1"/>
  <c r="BI645" i="1"/>
  <c r="BE645" i="1"/>
  <c r="BB645" i="1"/>
  <c r="BA645" i="1"/>
  <c r="AT645" i="1"/>
  <c r="AL645" i="1"/>
  <c r="AK645" i="1"/>
  <c r="AJ645" i="1"/>
  <c r="AG645" i="1"/>
  <c r="AC645" i="1"/>
  <c r="Z645" i="1"/>
  <c r="Y645" i="1"/>
  <c r="X645" i="1"/>
  <c r="U645" i="1"/>
  <c r="Q645" i="1"/>
  <c r="Q671" i="1" s="1"/>
  <c r="P645" i="1"/>
  <c r="P671" i="1" s="1"/>
  <c r="N645" i="1"/>
  <c r="M645" i="1"/>
  <c r="L645" i="1"/>
  <c r="H645" i="1"/>
  <c r="G645" i="1"/>
  <c r="F645" i="1"/>
  <c r="E645" i="1"/>
  <c r="D645" i="1"/>
  <c r="BR644" i="1"/>
  <c r="BR696" i="1" s="1"/>
  <c r="BR59" i="9" s="1"/>
  <c r="BM644" i="1"/>
  <c r="BH644" i="1"/>
  <c r="BC644" i="1"/>
  <c r="BC696" i="1" s="1"/>
  <c r="BC59" i="9" s="1"/>
  <c r="AX644" i="1"/>
  <c r="AX696" i="1" s="1"/>
  <c r="AX59" i="9" s="1"/>
  <c r="AS644" i="1"/>
  <c r="AS696" i="1" s="1"/>
  <c r="AS59" i="9" s="1"/>
  <c r="AN644" i="1"/>
  <c r="AN696" i="1" s="1"/>
  <c r="AN59" i="9" s="1"/>
  <c r="AI644" i="1"/>
  <c r="AD644" i="1"/>
  <c r="AD696" i="1" s="1"/>
  <c r="AD59" i="9" s="1"/>
  <c r="Y644" i="1"/>
  <c r="Y696" i="1" s="1"/>
  <c r="Y59" i="9" s="1"/>
  <c r="T644" i="1"/>
  <c r="T696" i="1" s="1"/>
  <c r="T59" i="9" s="1"/>
  <c r="O644" i="1"/>
  <c r="O696" i="1" s="1"/>
  <c r="O59" i="9" s="1"/>
  <c r="J644" i="1"/>
  <c r="J696" i="1" s="1"/>
  <c r="J59" i="9" s="1"/>
  <c r="BT643" i="1"/>
  <c r="BT645" i="1" s="1"/>
  <c r="BS643" i="1"/>
  <c r="BS645" i="1" s="1"/>
  <c r="BQ643" i="1"/>
  <c r="BP643" i="1"/>
  <c r="BO643" i="1"/>
  <c r="BO645" i="1" s="1"/>
  <c r="BN643" i="1"/>
  <c r="BN645" i="1" s="1"/>
  <c r="BL643" i="1"/>
  <c r="BL645" i="1" s="1"/>
  <c r="BK643" i="1"/>
  <c r="BK645" i="1" s="1"/>
  <c r="BJ643" i="1"/>
  <c r="BI643" i="1"/>
  <c r="BG643" i="1"/>
  <c r="BG645" i="1" s="1"/>
  <c r="BF643" i="1"/>
  <c r="BF645" i="1" s="1"/>
  <c r="BE643" i="1"/>
  <c r="BD643" i="1"/>
  <c r="BD645" i="1" s="1"/>
  <c r="BB643" i="1"/>
  <c r="BA643" i="1"/>
  <c r="AZ643" i="1"/>
  <c r="AZ645" i="1" s="1"/>
  <c r="AY643" i="1"/>
  <c r="AY645" i="1" s="1"/>
  <c r="AW643" i="1"/>
  <c r="AW645" i="1" s="1"/>
  <c r="AV643" i="1"/>
  <c r="AV645" i="1" s="1"/>
  <c r="AU643" i="1"/>
  <c r="AU645" i="1" s="1"/>
  <c r="AT643" i="1"/>
  <c r="AR643" i="1"/>
  <c r="AR645" i="1" s="1"/>
  <c r="AQ643" i="1"/>
  <c r="AQ645" i="1" s="1"/>
  <c r="AP643" i="1"/>
  <c r="AP645" i="1" s="1"/>
  <c r="AO643" i="1"/>
  <c r="AO645" i="1" s="1"/>
  <c r="AM643" i="1"/>
  <c r="AM645" i="1" s="1"/>
  <c r="AL643" i="1"/>
  <c r="AK643" i="1"/>
  <c r="AJ643" i="1"/>
  <c r="AH643" i="1"/>
  <c r="AH645" i="1" s="1"/>
  <c r="AG643" i="1"/>
  <c r="AF643" i="1"/>
  <c r="AF645" i="1" s="1"/>
  <c r="AE643" i="1"/>
  <c r="AE645" i="1" s="1"/>
  <c r="AC643" i="1"/>
  <c r="AB643" i="1"/>
  <c r="AB645" i="1" s="1"/>
  <c r="AA643" i="1"/>
  <c r="AA645" i="1" s="1"/>
  <c r="AA671" i="1" s="1"/>
  <c r="Y643" i="1"/>
  <c r="X643" i="1"/>
  <c r="W643" i="1"/>
  <c r="W645" i="1" s="1"/>
  <c r="V643" i="1"/>
  <c r="V645" i="1" s="1"/>
  <c r="U643" i="1"/>
  <c r="S643" i="1"/>
  <c r="S645" i="1" s="1"/>
  <c r="S671" i="1" s="1"/>
  <c r="R643" i="1"/>
  <c r="R645" i="1" s="1"/>
  <c r="R671" i="1" s="1"/>
  <c r="Q643" i="1"/>
  <c r="P643" i="1"/>
  <c r="N643" i="1"/>
  <c r="M643" i="1"/>
  <c r="L643" i="1"/>
  <c r="K643" i="1"/>
  <c r="K645" i="1" s="1"/>
  <c r="I643" i="1"/>
  <c r="I645" i="1" s="1"/>
  <c r="I671" i="1" s="1"/>
  <c r="H643" i="1"/>
  <c r="G643" i="1"/>
  <c r="F643" i="1"/>
  <c r="E643" i="1"/>
  <c r="D643" i="1"/>
  <c r="C643" i="1"/>
  <c r="C645" i="1" s="1"/>
  <c r="BR642" i="1"/>
  <c r="BR694" i="1" s="1"/>
  <c r="BM642" i="1"/>
  <c r="BM694" i="1" s="1"/>
  <c r="BH642" i="1"/>
  <c r="BH694" i="1" s="1"/>
  <c r="BC642" i="1"/>
  <c r="BC694" i="1" s="1"/>
  <c r="AX642" i="1"/>
  <c r="AX694" i="1" s="1"/>
  <c r="AS642" i="1"/>
  <c r="AN642" i="1"/>
  <c r="AI642" i="1"/>
  <c r="AI694" i="1" s="1"/>
  <c r="AD642" i="1"/>
  <c r="AD694" i="1" s="1"/>
  <c r="Y642" i="1"/>
  <c r="Y694" i="1" s="1"/>
  <c r="T642" i="1"/>
  <c r="T694" i="1" s="1"/>
  <c r="O642" i="1"/>
  <c r="J642" i="1"/>
  <c r="J694" i="1" s="1"/>
  <c r="BR641" i="1"/>
  <c r="BM641" i="1"/>
  <c r="BH641" i="1"/>
  <c r="BH693" i="1" s="1"/>
  <c r="BC641" i="1"/>
  <c r="BC693" i="1" s="1"/>
  <c r="AX641" i="1"/>
  <c r="AX693" i="1" s="1"/>
  <c r="BR640" i="1"/>
  <c r="BR692" i="1" s="1"/>
  <c r="BM640" i="1"/>
  <c r="BM692" i="1" s="1"/>
  <c r="BH640" i="1"/>
  <c r="BH692" i="1" s="1"/>
  <c r="BC640" i="1"/>
  <c r="AX640" i="1"/>
  <c r="AS640" i="1"/>
  <c r="AS692" i="1" s="1"/>
  <c r="AN640" i="1"/>
  <c r="AN692" i="1" s="1"/>
  <c r="AI640" i="1"/>
  <c r="AI692" i="1" s="1"/>
  <c r="AD640" i="1"/>
  <c r="Y640" i="1"/>
  <c r="Y692" i="1" s="1"/>
  <c r="T640" i="1"/>
  <c r="O640" i="1"/>
  <c r="J640" i="1"/>
  <c r="BR639" i="1"/>
  <c r="BR691" i="1" s="1"/>
  <c r="BM639" i="1"/>
  <c r="BM691" i="1" s="1"/>
  <c r="BH639" i="1"/>
  <c r="BH691" i="1" s="1"/>
  <c r="BC639" i="1"/>
  <c r="BC691" i="1" s="1"/>
  <c r="AX639" i="1"/>
  <c r="AX691" i="1" s="1"/>
  <c r="AS639" i="1"/>
  <c r="AN639" i="1"/>
  <c r="AI639" i="1"/>
  <c r="AD639" i="1"/>
  <c r="AD691" i="1" s="1"/>
  <c r="Y639" i="1"/>
  <c r="Y691" i="1" s="1"/>
  <c r="T639" i="1"/>
  <c r="T691" i="1" s="1"/>
  <c r="O639" i="1"/>
  <c r="O691" i="1" s="1"/>
  <c r="J639" i="1"/>
  <c r="J691" i="1" s="1"/>
  <c r="BR638" i="1"/>
  <c r="BR690" i="1" s="1"/>
  <c r="BM638" i="1"/>
  <c r="BH638" i="1"/>
  <c r="BC638" i="1"/>
  <c r="BC690" i="1" s="1"/>
  <c r="AX638" i="1"/>
  <c r="AX690" i="1" s="1"/>
  <c r="AS638" i="1"/>
  <c r="AS690" i="1" s="1"/>
  <c r="AN638" i="1"/>
  <c r="AI638" i="1"/>
  <c r="AI690" i="1" s="1"/>
  <c r="AD638" i="1"/>
  <c r="Y638" i="1"/>
  <c r="T638" i="1"/>
  <c r="O638" i="1"/>
  <c r="O690" i="1" s="1"/>
  <c r="J638" i="1"/>
  <c r="J690" i="1" s="1"/>
  <c r="BR637" i="1"/>
  <c r="BR689" i="1" s="1"/>
  <c r="BM637" i="1"/>
  <c r="BH637" i="1"/>
  <c r="BH689" i="1" s="1"/>
  <c r="BC637" i="1"/>
  <c r="AX637" i="1"/>
  <c r="AS637" i="1"/>
  <c r="AN637" i="1"/>
  <c r="AN689" i="1" s="1"/>
  <c r="AI637" i="1"/>
  <c r="AI689" i="1" s="1"/>
  <c r="AD637" i="1"/>
  <c r="AD689" i="1" s="1"/>
  <c r="Y637" i="1"/>
  <c r="Y689" i="1" s="1"/>
  <c r="T637" i="1"/>
  <c r="T689" i="1" s="1"/>
  <c r="O637" i="1"/>
  <c r="O689" i="1" s="1"/>
  <c r="J637" i="1"/>
  <c r="BR636" i="1"/>
  <c r="BM636" i="1"/>
  <c r="BM688" i="1" s="1"/>
  <c r="BH636" i="1"/>
  <c r="BH688" i="1" s="1"/>
  <c r="BC636" i="1"/>
  <c r="BC688" i="1" s="1"/>
  <c r="AX636" i="1"/>
  <c r="AX688" i="1" s="1"/>
  <c r="AS636" i="1"/>
  <c r="AS688" i="1" s="1"/>
  <c r="AN636" i="1"/>
  <c r="AN688" i="1" s="1"/>
  <c r="AI636" i="1"/>
  <c r="AD636" i="1"/>
  <c r="Y636" i="1"/>
  <c r="Y688" i="1" s="1"/>
  <c r="T636" i="1"/>
  <c r="T688" i="1" s="1"/>
  <c r="O636" i="1"/>
  <c r="O688" i="1" s="1"/>
  <c r="J636" i="1"/>
  <c r="BR635" i="1"/>
  <c r="BR687" i="1" s="1"/>
  <c r="BM635" i="1"/>
  <c r="BH635" i="1"/>
  <c r="BC635" i="1"/>
  <c r="BC687" i="1" s="1"/>
  <c r="AX635" i="1"/>
  <c r="AX687" i="1" s="1"/>
  <c r="AS635" i="1"/>
  <c r="AS687" i="1" s="1"/>
  <c r="AN635" i="1"/>
  <c r="AN687" i="1" s="1"/>
  <c r="AI635" i="1"/>
  <c r="AI687" i="1" s="1"/>
  <c r="AD635" i="1"/>
  <c r="AD687" i="1" s="1"/>
  <c r="Y635" i="1"/>
  <c r="Y687" i="1" s="1"/>
  <c r="T635" i="1"/>
  <c r="O635" i="1"/>
  <c r="O687" i="1" s="1"/>
  <c r="J635" i="1"/>
  <c r="J687" i="1" s="1"/>
  <c r="BR634" i="1"/>
  <c r="BR686" i="1" s="1"/>
  <c r="BM634" i="1"/>
  <c r="BM686" i="1" s="1"/>
  <c r="BH634" i="1"/>
  <c r="BC634" i="1"/>
  <c r="AX634" i="1"/>
  <c r="AX686" i="1" s="1"/>
  <c r="AS634" i="1"/>
  <c r="AN634" i="1"/>
  <c r="AN686" i="1" s="1"/>
  <c r="AI634" i="1"/>
  <c r="AI686" i="1" s="1"/>
  <c r="AD634" i="1"/>
  <c r="AD686" i="1" s="1"/>
  <c r="Y634" i="1"/>
  <c r="Y686" i="1" s="1"/>
  <c r="T634" i="1"/>
  <c r="O634" i="1"/>
  <c r="O686" i="1" s="1"/>
  <c r="J634" i="1"/>
  <c r="BR633" i="1"/>
  <c r="BM633" i="1"/>
  <c r="BM685" i="1" s="1"/>
  <c r="BH633" i="1"/>
  <c r="BH685" i="1" s="1"/>
  <c r="BC633" i="1"/>
  <c r="BC685" i="1" s="1"/>
  <c r="AX633" i="1"/>
  <c r="AX685" i="1" s="1"/>
  <c r="AS633" i="1"/>
  <c r="AS685" i="1" s="1"/>
  <c r="AN633" i="1"/>
  <c r="AI633" i="1"/>
  <c r="AD633" i="1"/>
  <c r="Y633" i="1"/>
  <c r="Y685" i="1" s="1"/>
  <c r="T633" i="1"/>
  <c r="T685" i="1" s="1"/>
  <c r="O633" i="1"/>
  <c r="O685" i="1" s="1"/>
  <c r="J633" i="1"/>
  <c r="J685" i="1" s="1"/>
  <c r="BR632" i="1"/>
  <c r="BM632" i="1"/>
  <c r="BH632" i="1"/>
  <c r="BH684" i="1" s="1"/>
  <c r="BC632" i="1"/>
  <c r="AX632" i="1"/>
  <c r="AX684" i="1" s="1"/>
  <c r="AS632" i="1"/>
  <c r="AS684" i="1" s="1"/>
  <c r="AN632" i="1"/>
  <c r="AN684" i="1" s="1"/>
  <c r="AI632" i="1"/>
  <c r="AI684" i="1" s="1"/>
  <c r="AD632" i="1"/>
  <c r="Y632" i="1"/>
  <c r="Y684" i="1" s="1"/>
  <c r="T632" i="1"/>
  <c r="O632" i="1"/>
  <c r="J632" i="1"/>
  <c r="J684" i="1" s="1"/>
  <c r="BR631" i="1"/>
  <c r="BR683" i="1" s="1"/>
  <c r="BM631" i="1"/>
  <c r="BM683" i="1" s="1"/>
  <c r="BH631" i="1"/>
  <c r="BH683" i="1" s="1"/>
  <c r="BC631" i="1"/>
  <c r="AX631" i="1"/>
  <c r="AX683" i="1" s="1"/>
  <c r="AS631" i="1"/>
  <c r="AN631" i="1"/>
  <c r="AI631" i="1"/>
  <c r="AI683" i="1" s="1"/>
  <c r="AD631" i="1"/>
  <c r="AD683" i="1" s="1"/>
  <c r="Y631" i="1"/>
  <c r="Y683" i="1" s="1"/>
  <c r="T631" i="1"/>
  <c r="T683" i="1" s="1"/>
  <c r="O631" i="1"/>
  <c r="O683" i="1" s="1"/>
  <c r="J631" i="1"/>
  <c r="BR630" i="1"/>
  <c r="BR682" i="1" s="1"/>
  <c r="BM630" i="1"/>
  <c r="BH630" i="1"/>
  <c r="BC630" i="1"/>
  <c r="BC682" i="1" s="1"/>
  <c r="AX630" i="1"/>
  <c r="AX682" i="1" s="1"/>
  <c r="AN630" i="1"/>
  <c r="AN682" i="1" s="1"/>
  <c r="AI630" i="1"/>
  <c r="AI643" i="1" s="1"/>
  <c r="AI645" i="1" s="1"/>
  <c r="AD630" i="1"/>
  <c r="AD682" i="1" s="1"/>
  <c r="Y630" i="1"/>
  <c r="T630" i="1"/>
  <c r="O630" i="1"/>
  <c r="O682" i="1" s="1"/>
  <c r="J630" i="1"/>
  <c r="J682" i="1" s="1"/>
  <c r="BR629" i="1"/>
  <c r="BR643" i="1" s="1"/>
  <c r="BR645" i="1" s="1"/>
  <c r="BM629" i="1"/>
  <c r="BM681" i="1" s="1"/>
  <c r="BH629" i="1"/>
  <c r="BH643" i="1" s="1"/>
  <c r="BH645" i="1" s="1"/>
  <c r="BC629" i="1"/>
  <c r="AX629" i="1"/>
  <c r="AX681" i="1" s="1"/>
  <c r="AN629" i="1"/>
  <c r="AI629" i="1"/>
  <c r="AD629" i="1"/>
  <c r="AD643" i="1" s="1"/>
  <c r="AD645" i="1" s="1"/>
  <c r="Y629" i="1"/>
  <c r="Y681" i="1" s="1"/>
  <c r="T629" i="1"/>
  <c r="O629" i="1"/>
  <c r="O643" i="1" s="1"/>
  <c r="O645" i="1" s="1"/>
  <c r="J629" i="1"/>
  <c r="J681" i="1" s="1"/>
  <c r="CD625" i="1"/>
  <c r="CC625" i="1"/>
  <c r="CB625" i="1"/>
  <c r="CA625" i="1"/>
  <c r="BZ625" i="1"/>
  <c r="BY625" i="1"/>
  <c r="BX625" i="1"/>
  <c r="BW625" i="1"/>
  <c r="BV625" i="1"/>
  <c r="BU625" i="1"/>
  <c r="BT625" i="1"/>
  <c r="BS625" i="1"/>
  <c r="BR625" i="1"/>
  <c r="BQ625" i="1"/>
  <c r="BP625" i="1"/>
  <c r="BO625" i="1"/>
  <c r="BN625" i="1"/>
  <c r="BM625" i="1"/>
  <c r="BL625" i="1"/>
  <c r="BK625" i="1"/>
  <c r="BJ625" i="1"/>
  <c r="BI625" i="1"/>
  <c r="BH625" i="1"/>
  <c r="BG625" i="1"/>
  <c r="BF625" i="1"/>
  <c r="BE625" i="1"/>
  <c r="BD625" i="1"/>
  <c r="BC625" i="1"/>
  <c r="BB625" i="1"/>
  <c r="BA625" i="1"/>
  <c r="AZ625" i="1"/>
  <c r="AY625" i="1"/>
  <c r="AX625" i="1"/>
  <c r="AW625" i="1"/>
  <c r="AV625" i="1"/>
  <c r="AU625" i="1"/>
  <c r="AT625" i="1"/>
  <c r="AS625" i="1"/>
  <c r="AR625" i="1"/>
  <c r="AQ625" i="1"/>
  <c r="AP625" i="1"/>
  <c r="AO625" i="1"/>
  <c r="AN625" i="1"/>
  <c r="AM625" i="1"/>
  <c r="AL625" i="1"/>
  <c r="AK625" i="1"/>
  <c r="AJ625" i="1"/>
  <c r="AI625" i="1"/>
  <c r="AH625" i="1"/>
  <c r="AG625" i="1"/>
  <c r="AF625" i="1"/>
  <c r="AE625" i="1"/>
  <c r="AD625" i="1"/>
  <c r="AC625" i="1"/>
  <c r="AB625" i="1"/>
  <c r="AA625" i="1"/>
  <c r="Z625" i="1"/>
  <c r="Y625" i="1"/>
  <c r="X625" i="1"/>
  <c r="W625" i="1"/>
  <c r="V625" i="1"/>
  <c r="U625" i="1"/>
  <c r="T625" i="1"/>
  <c r="S625" i="1"/>
  <c r="R625" i="1"/>
  <c r="Q625" i="1"/>
  <c r="P625" i="1"/>
  <c r="O625" i="1"/>
  <c r="N625" i="1"/>
  <c r="M625" i="1"/>
  <c r="L625" i="1"/>
  <c r="K625" i="1"/>
  <c r="J625" i="1"/>
  <c r="I625" i="1"/>
  <c r="H625" i="1"/>
  <c r="G625" i="1"/>
  <c r="F625" i="1"/>
  <c r="E625" i="1"/>
  <c r="D625" i="1"/>
  <c r="C625" i="1"/>
  <c r="CF623" i="1"/>
  <c r="CE623" i="1"/>
  <c r="CD623" i="1"/>
  <c r="CD10" i="9" s="1"/>
  <c r="CC623" i="1"/>
  <c r="CC10" i="9" s="1"/>
  <c r="CB623" i="1"/>
  <c r="CB10" i="9" s="1"/>
  <c r="CA623" i="1"/>
  <c r="BZ623" i="1"/>
  <c r="BY623" i="1"/>
  <c r="BX623" i="1"/>
  <c r="BW623" i="1"/>
  <c r="BW10" i="9" s="1"/>
  <c r="BV623" i="1"/>
  <c r="BV10" i="9" s="1"/>
  <c r="BU623" i="1"/>
  <c r="BU10" i="9" s="1"/>
  <c r="BT623" i="1"/>
  <c r="BT10" i="9" s="1"/>
  <c r="BS623" i="1"/>
  <c r="BR623" i="1"/>
  <c r="BQ623" i="1"/>
  <c r="BP623" i="1"/>
  <c r="BO623" i="1"/>
  <c r="BO10" i="9" s="1"/>
  <c r="BN623" i="1"/>
  <c r="BN10" i="9" s="1"/>
  <c r="BM623" i="1"/>
  <c r="BM10" i="9" s="1"/>
  <c r="BL623" i="1"/>
  <c r="BL10" i="9" s="1"/>
  <c r="BK623" i="1"/>
  <c r="BJ623" i="1"/>
  <c r="BI623" i="1"/>
  <c r="BH623" i="1"/>
  <c r="BG623" i="1"/>
  <c r="BG10" i="9" s="1"/>
  <c r="BF623" i="1"/>
  <c r="BF10" i="9" s="1"/>
  <c r="BE623" i="1"/>
  <c r="BE10" i="9" s="1"/>
  <c r="BD623" i="1"/>
  <c r="BD10" i="9" s="1"/>
  <c r="BC623" i="1"/>
  <c r="BB623" i="1"/>
  <c r="BB10" i="9" s="1"/>
  <c r="BA623" i="1"/>
  <c r="AZ623" i="1"/>
  <c r="AY623" i="1"/>
  <c r="AY10" i="9" s="1"/>
  <c r="AX623" i="1"/>
  <c r="AX10" i="9" s="1"/>
  <c r="AW623" i="1"/>
  <c r="AW10" i="9" s="1"/>
  <c r="AV623" i="1"/>
  <c r="AV10" i="9" s="1"/>
  <c r="AU623" i="1"/>
  <c r="AT623" i="1"/>
  <c r="AT10" i="9" s="1"/>
  <c r="AS623" i="1"/>
  <c r="AR623" i="1"/>
  <c r="AQ623" i="1"/>
  <c r="AQ10" i="9" s="1"/>
  <c r="AP623" i="1"/>
  <c r="AP10" i="9" s="1"/>
  <c r="AO623" i="1"/>
  <c r="AO10" i="9" s="1"/>
  <c r="AN623" i="1"/>
  <c r="AN10" i="9" s="1"/>
  <c r="AM623" i="1"/>
  <c r="AL623" i="1"/>
  <c r="AL10" i="9" s="1"/>
  <c r="AK623" i="1"/>
  <c r="AJ623" i="1"/>
  <c r="AI623" i="1"/>
  <c r="AI10" i="9" s="1"/>
  <c r="AH623" i="1"/>
  <c r="AH10" i="9" s="1"/>
  <c r="AG623" i="1"/>
  <c r="AG10" i="9" s="1"/>
  <c r="AF623" i="1"/>
  <c r="AF10" i="9" s="1"/>
  <c r="AE623" i="1"/>
  <c r="AD623" i="1"/>
  <c r="AD10" i="9" s="1"/>
  <c r="AC623" i="1"/>
  <c r="AB623" i="1"/>
  <c r="AB10" i="9" s="1"/>
  <c r="AA623" i="1"/>
  <c r="AA10" i="9" s="1"/>
  <c r="Z623" i="1"/>
  <c r="Z10" i="9" s="1"/>
  <c r="Y623" i="1"/>
  <c r="Y10" i="9" s="1"/>
  <c r="X623" i="1"/>
  <c r="X10" i="9" s="1"/>
  <c r="W623" i="1"/>
  <c r="V623" i="1"/>
  <c r="V10" i="9" s="1"/>
  <c r="U623" i="1"/>
  <c r="T623" i="1"/>
  <c r="T10" i="9" s="1"/>
  <c r="S623" i="1"/>
  <c r="S10" i="9" s="1"/>
  <c r="R623" i="1"/>
  <c r="R10" i="9" s="1"/>
  <c r="Q623" i="1"/>
  <c r="Q10" i="9" s="1"/>
  <c r="P623" i="1"/>
  <c r="P10" i="9" s="1"/>
  <c r="O623" i="1"/>
  <c r="N623" i="1"/>
  <c r="N10" i="9" s="1"/>
  <c r="M623" i="1"/>
  <c r="L623" i="1"/>
  <c r="L10" i="9" s="1"/>
  <c r="K623" i="1"/>
  <c r="K10" i="9" s="1"/>
  <c r="J623" i="1"/>
  <c r="J10" i="9" s="1"/>
  <c r="I623" i="1"/>
  <c r="I10" i="9" s="1"/>
  <c r="H623" i="1"/>
  <c r="H10" i="9" s="1"/>
  <c r="G623" i="1"/>
  <c r="F623" i="1"/>
  <c r="F10" i="9" s="1"/>
  <c r="E623" i="1"/>
  <c r="D623" i="1"/>
  <c r="D10" i="9" s="1"/>
  <c r="C623" i="1"/>
  <c r="C10" i="9" s="1"/>
  <c r="BT620" i="1"/>
  <c r="BN620" i="1"/>
  <c r="BL620" i="1"/>
  <c r="BF620" i="1"/>
  <c r="BF604" i="1" s="1"/>
  <c r="BD620" i="1"/>
  <c r="AX620" i="1"/>
  <c r="AV620" i="1"/>
  <c r="AP620" i="1"/>
  <c r="AN620" i="1"/>
  <c r="AH620" i="1"/>
  <c r="AF620" i="1"/>
  <c r="Z620" i="1"/>
  <c r="Z604" i="1" s="1"/>
  <c r="X620" i="1"/>
  <c r="R620" i="1"/>
  <c r="P620" i="1"/>
  <c r="J620" i="1"/>
  <c r="H620" i="1"/>
  <c r="BT619" i="1"/>
  <c r="BS619" i="1"/>
  <c r="BR619" i="1"/>
  <c r="BQ619" i="1"/>
  <c r="BP619" i="1"/>
  <c r="BO619" i="1"/>
  <c r="BN619" i="1"/>
  <c r="BM619" i="1"/>
  <c r="BL619" i="1"/>
  <c r="BK619" i="1"/>
  <c r="BJ619" i="1"/>
  <c r="BI619" i="1"/>
  <c r="BH619" i="1"/>
  <c r="BG619" i="1"/>
  <c r="BF619" i="1"/>
  <c r="BE619" i="1"/>
  <c r="BD619" i="1"/>
  <c r="BC619" i="1"/>
  <c r="BB619" i="1"/>
  <c r="BA619" i="1"/>
  <c r="AZ619" i="1"/>
  <c r="AY619" i="1"/>
  <c r="AX619" i="1"/>
  <c r="AW619" i="1"/>
  <c r="AV619" i="1"/>
  <c r="AU619" i="1"/>
  <c r="AT619" i="1"/>
  <c r="AS619" i="1"/>
  <c r="AR619" i="1"/>
  <c r="AQ619" i="1"/>
  <c r="AP619" i="1"/>
  <c r="AO619" i="1"/>
  <c r="AN619" i="1"/>
  <c r="AM619" i="1"/>
  <c r="AL619" i="1"/>
  <c r="AK619" i="1"/>
  <c r="AJ619" i="1"/>
  <c r="AI619" i="1"/>
  <c r="AH619" i="1"/>
  <c r="AG619" i="1"/>
  <c r="AF619" i="1"/>
  <c r="AE619" i="1"/>
  <c r="AD619" i="1"/>
  <c r="AC619" i="1"/>
  <c r="AB619" i="1"/>
  <c r="AA619" i="1"/>
  <c r="Z619" i="1"/>
  <c r="Y619" i="1"/>
  <c r="X619" i="1"/>
  <c r="W619" i="1"/>
  <c r="V619" i="1"/>
  <c r="U619" i="1"/>
  <c r="T619" i="1"/>
  <c r="S619" i="1"/>
  <c r="R619" i="1"/>
  <c r="Q619" i="1"/>
  <c r="P619" i="1"/>
  <c r="O619" i="1"/>
  <c r="N619" i="1"/>
  <c r="M619" i="1"/>
  <c r="L619" i="1"/>
  <c r="K619" i="1"/>
  <c r="J619" i="1"/>
  <c r="I619" i="1"/>
  <c r="H619" i="1"/>
  <c r="G619" i="1"/>
  <c r="F619" i="1"/>
  <c r="E619" i="1"/>
  <c r="D619" i="1"/>
  <c r="C619" i="1"/>
  <c r="BT617" i="1"/>
  <c r="BS617" i="1"/>
  <c r="BS620" i="1" s="1"/>
  <c r="BS604" i="1" s="1"/>
  <c r="BR617" i="1"/>
  <c r="BR620" i="1" s="1"/>
  <c r="BQ617" i="1"/>
  <c r="BQ620" i="1" s="1"/>
  <c r="BQ604" i="1" s="1"/>
  <c r="BP617" i="1"/>
  <c r="BP620" i="1" s="1"/>
  <c r="BP604" i="1" s="1"/>
  <c r="BO617" i="1"/>
  <c r="BO620" i="1" s="1"/>
  <c r="BO604" i="1" s="1"/>
  <c r="BN617" i="1"/>
  <c r="BM617" i="1"/>
  <c r="BM620" i="1" s="1"/>
  <c r="BL617" i="1"/>
  <c r="BK617" i="1"/>
  <c r="BK620" i="1" s="1"/>
  <c r="BK604" i="1" s="1"/>
  <c r="BJ617" i="1"/>
  <c r="BJ620" i="1" s="1"/>
  <c r="BI617" i="1"/>
  <c r="BI620" i="1" s="1"/>
  <c r="BI604" i="1" s="1"/>
  <c r="BH617" i="1"/>
  <c r="BH620" i="1" s="1"/>
  <c r="BH604" i="1" s="1"/>
  <c r="BG617" i="1"/>
  <c r="BG620" i="1" s="1"/>
  <c r="BG604" i="1" s="1"/>
  <c r="BF617" i="1"/>
  <c r="BE617" i="1"/>
  <c r="BE620" i="1" s="1"/>
  <c r="BE604" i="1" s="1"/>
  <c r="BD617" i="1"/>
  <c r="BC617" i="1"/>
  <c r="BC620" i="1" s="1"/>
  <c r="BC604" i="1" s="1"/>
  <c r="BB617" i="1"/>
  <c r="BB620" i="1" s="1"/>
  <c r="BA617" i="1"/>
  <c r="BA620" i="1" s="1"/>
  <c r="BA604" i="1" s="1"/>
  <c r="AZ617" i="1"/>
  <c r="AZ620" i="1" s="1"/>
  <c r="AZ604" i="1" s="1"/>
  <c r="AY617" i="1"/>
  <c r="AY620" i="1" s="1"/>
  <c r="AY604" i="1" s="1"/>
  <c r="AX617" i="1"/>
  <c r="AW617" i="1"/>
  <c r="AW620" i="1" s="1"/>
  <c r="AV617" i="1"/>
  <c r="AU617" i="1"/>
  <c r="AU620" i="1" s="1"/>
  <c r="AU604" i="1" s="1"/>
  <c r="AT617" i="1"/>
  <c r="AT620" i="1" s="1"/>
  <c r="AS617" i="1"/>
  <c r="AS620" i="1" s="1"/>
  <c r="AS604" i="1" s="1"/>
  <c r="AR617" i="1"/>
  <c r="AR620" i="1" s="1"/>
  <c r="AR604" i="1" s="1"/>
  <c r="AQ617" i="1"/>
  <c r="AQ620" i="1" s="1"/>
  <c r="AQ604" i="1" s="1"/>
  <c r="AP617" i="1"/>
  <c r="AO617" i="1"/>
  <c r="AO620" i="1" s="1"/>
  <c r="AO604" i="1" s="1"/>
  <c r="AN617" i="1"/>
  <c r="AM617" i="1"/>
  <c r="AM620" i="1" s="1"/>
  <c r="AM604" i="1" s="1"/>
  <c r="AL617" i="1"/>
  <c r="AL620" i="1" s="1"/>
  <c r="AK617" i="1"/>
  <c r="AK620" i="1" s="1"/>
  <c r="AK604" i="1" s="1"/>
  <c r="AJ617" i="1"/>
  <c r="AJ620" i="1" s="1"/>
  <c r="AJ604" i="1" s="1"/>
  <c r="AI617" i="1"/>
  <c r="AI620" i="1" s="1"/>
  <c r="AI604" i="1" s="1"/>
  <c r="AH617" i="1"/>
  <c r="AG617" i="1"/>
  <c r="AG620" i="1" s="1"/>
  <c r="AF617" i="1"/>
  <c r="AE617" i="1"/>
  <c r="AE620" i="1" s="1"/>
  <c r="AE604" i="1" s="1"/>
  <c r="AD617" i="1"/>
  <c r="AD620" i="1" s="1"/>
  <c r="AC617" i="1"/>
  <c r="AC620" i="1" s="1"/>
  <c r="AC604" i="1" s="1"/>
  <c r="AB617" i="1"/>
  <c r="AB620" i="1" s="1"/>
  <c r="AB604" i="1" s="1"/>
  <c r="AA617" i="1"/>
  <c r="AA620" i="1" s="1"/>
  <c r="AA604" i="1" s="1"/>
  <c r="Z617" i="1"/>
  <c r="Y617" i="1"/>
  <c r="Y620" i="1" s="1"/>
  <c r="Y604" i="1" s="1"/>
  <c r="X617" i="1"/>
  <c r="W617" i="1"/>
  <c r="W620" i="1" s="1"/>
  <c r="W604" i="1" s="1"/>
  <c r="V617" i="1"/>
  <c r="V620" i="1" s="1"/>
  <c r="U617" i="1"/>
  <c r="U620" i="1" s="1"/>
  <c r="U604" i="1" s="1"/>
  <c r="T617" i="1"/>
  <c r="T620" i="1" s="1"/>
  <c r="T604" i="1" s="1"/>
  <c r="S617" i="1"/>
  <c r="S620" i="1" s="1"/>
  <c r="S604" i="1" s="1"/>
  <c r="R617" i="1"/>
  <c r="Q617" i="1"/>
  <c r="Q620" i="1" s="1"/>
  <c r="P617" i="1"/>
  <c r="O617" i="1"/>
  <c r="O620" i="1" s="1"/>
  <c r="O604" i="1" s="1"/>
  <c r="N617" i="1"/>
  <c r="N620" i="1" s="1"/>
  <c r="M617" i="1"/>
  <c r="M620" i="1" s="1"/>
  <c r="M604" i="1" s="1"/>
  <c r="L617" i="1"/>
  <c r="L620" i="1" s="1"/>
  <c r="L604" i="1" s="1"/>
  <c r="K617" i="1"/>
  <c r="K620" i="1" s="1"/>
  <c r="K604" i="1" s="1"/>
  <c r="J617" i="1"/>
  <c r="I617" i="1"/>
  <c r="I620" i="1" s="1"/>
  <c r="I604" i="1" s="1"/>
  <c r="H617" i="1"/>
  <c r="G617" i="1"/>
  <c r="G620" i="1" s="1"/>
  <c r="G604" i="1" s="1"/>
  <c r="F617" i="1"/>
  <c r="F620" i="1" s="1"/>
  <c r="E617" i="1"/>
  <c r="E620" i="1" s="1"/>
  <c r="E604" i="1" s="1"/>
  <c r="D617" i="1"/>
  <c r="D620" i="1" s="1"/>
  <c r="D604" i="1" s="1"/>
  <c r="C617" i="1"/>
  <c r="C620" i="1" s="1"/>
  <c r="C604" i="1" s="1"/>
  <c r="CF616" i="1"/>
  <c r="CE616" i="1"/>
  <c r="CD616" i="1"/>
  <c r="CC616" i="1"/>
  <c r="CB616" i="1"/>
  <c r="CA616" i="1"/>
  <c r="BZ616" i="1"/>
  <c r="BY616" i="1"/>
  <c r="BX616" i="1"/>
  <c r="BW616" i="1"/>
  <c r="BV616" i="1"/>
  <c r="BU616" i="1"/>
  <c r="CF615" i="1"/>
  <c r="CE615" i="1"/>
  <c r="CD615" i="1"/>
  <c r="CC615" i="1"/>
  <c r="CB615" i="1"/>
  <c r="CA615" i="1"/>
  <c r="BZ615" i="1"/>
  <c r="BY615" i="1"/>
  <c r="BX615" i="1"/>
  <c r="BW615" i="1"/>
  <c r="BV615" i="1"/>
  <c r="BU615" i="1"/>
  <c r="CF614" i="1"/>
  <c r="CE614" i="1"/>
  <c r="CD614" i="1"/>
  <c r="CC614" i="1"/>
  <c r="CB614" i="1"/>
  <c r="CA614" i="1"/>
  <c r="BZ614" i="1"/>
  <c r="BY614" i="1"/>
  <c r="BX614" i="1"/>
  <c r="BW614" i="1"/>
  <c r="BV614" i="1"/>
  <c r="BU614" i="1"/>
  <c r="A612" i="1"/>
  <c r="A611" i="1"/>
  <c r="A610" i="1"/>
  <c r="A609" i="1"/>
  <c r="A608" i="1"/>
  <c r="A606" i="1"/>
  <c r="A605" i="1"/>
  <c r="BT604" i="1"/>
  <c r="BR604" i="1"/>
  <c r="BN604" i="1"/>
  <c r="BM604" i="1"/>
  <c r="BL604" i="1"/>
  <c r="BJ604" i="1"/>
  <c r="BD604" i="1"/>
  <c r="BB604" i="1"/>
  <c r="AX604" i="1"/>
  <c r="AW604" i="1"/>
  <c r="AV604" i="1"/>
  <c r="AT604" i="1"/>
  <c r="AP604" i="1"/>
  <c r="AN604" i="1"/>
  <c r="AL604" i="1"/>
  <c r="AH604" i="1"/>
  <c r="AG604" i="1"/>
  <c r="AF604" i="1"/>
  <c r="AD604" i="1"/>
  <c r="X604" i="1"/>
  <c r="V604" i="1"/>
  <c r="R604" i="1"/>
  <c r="Q604" i="1"/>
  <c r="P604" i="1"/>
  <c r="N604" i="1"/>
  <c r="J604" i="1"/>
  <c r="H604" i="1"/>
  <c r="F604" i="1"/>
  <c r="A604" i="1"/>
  <c r="AJ596" i="1"/>
  <c r="AJ595" i="1"/>
  <c r="AE595" i="1"/>
  <c r="Z595" i="1"/>
  <c r="U595" i="1"/>
  <c r="P595" i="1"/>
  <c r="K595" i="1"/>
  <c r="F595" i="1"/>
  <c r="E595" i="1"/>
  <c r="D595" i="1"/>
  <c r="C595" i="1"/>
  <c r="W591" i="1"/>
  <c r="BT590" i="1"/>
  <c r="BS590" i="1"/>
  <c r="BR590" i="1"/>
  <c r="BQ590" i="1"/>
  <c r="BP590" i="1"/>
  <c r="BO590" i="1"/>
  <c r="BN590" i="1"/>
  <c r="BM590" i="1"/>
  <c r="BL590" i="1"/>
  <c r="BK590" i="1"/>
  <c r="BJ590" i="1"/>
  <c r="BI590" i="1"/>
  <c r="BH590" i="1"/>
  <c r="BG590" i="1"/>
  <c r="BF590" i="1"/>
  <c r="BE590" i="1"/>
  <c r="BD590" i="1"/>
  <c r="BC590" i="1"/>
  <c r="BB590" i="1"/>
  <c r="BA590" i="1"/>
  <c r="AZ590" i="1"/>
  <c r="AY590" i="1"/>
  <c r="AX590" i="1"/>
  <c r="AW590" i="1"/>
  <c r="AV590" i="1"/>
  <c r="AU590" i="1"/>
  <c r="AT590" i="1"/>
  <c r="AS590" i="1"/>
  <c r="AR590" i="1"/>
  <c r="AQ590" i="1"/>
  <c r="AP590" i="1"/>
  <c r="AO590" i="1"/>
  <c r="AN590" i="1"/>
  <c r="AM590" i="1"/>
  <c r="AL590" i="1"/>
  <c r="AK590" i="1"/>
  <c r="AJ590" i="1"/>
  <c r="AI590" i="1"/>
  <c r="AH590" i="1"/>
  <c r="AG590" i="1"/>
  <c r="AF590" i="1"/>
  <c r="AE590" i="1"/>
  <c r="AD590" i="1"/>
  <c r="AC590" i="1"/>
  <c r="AB590" i="1"/>
  <c r="AA590" i="1"/>
  <c r="Z590" i="1"/>
  <c r="Y590" i="1"/>
  <c r="X590" i="1"/>
  <c r="W590" i="1"/>
  <c r="V590" i="1"/>
  <c r="U590" i="1"/>
  <c r="T590" i="1"/>
  <c r="S590" i="1"/>
  <c r="R590" i="1"/>
  <c r="Q590" i="1"/>
  <c r="P590" i="1"/>
  <c r="O590" i="1"/>
  <c r="N590" i="1"/>
  <c r="M590" i="1"/>
  <c r="L590" i="1"/>
  <c r="K590" i="1"/>
  <c r="J590" i="1"/>
  <c r="I590" i="1"/>
  <c r="H590" i="1"/>
  <c r="G590" i="1"/>
  <c r="F590" i="1"/>
  <c r="E590" i="1"/>
  <c r="D590" i="1"/>
  <c r="C590" i="1"/>
  <c r="BU589" i="1"/>
  <c r="BU771" i="1" s="1"/>
  <c r="BT589" i="1"/>
  <c r="BS589" i="1"/>
  <c r="BR589" i="1"/>
  <c r="BQ589" i="1"/>
  <c r="BP589" i="1"/>
  <c r="BO589" i="1"/>
  <c r="BN589" i="1"/>
  <c r="BM589" i="1"/>
  <c r="BL589" i="1"/>
  <c r="BK589" i="1"/>
  <c r="BJ589" i="1"/>
  <c r="BI589" i="1"/>
  <c r="BH589" i="1"/>
  <c r="BG589" i="1"/>
  <c r="BF589" i="1"/>
  <c r="BE589" i="1"/>
  <c r="BD589" i="1"/>
  <c r="BC589" i="1"/>
  <c r="BB589" i="1"/>
  <c r="BA589" i="1"/>
  <c r="AZ589" i="1"/>
  <c r="AY589" i="1"/>
  <c r="AX589" i="1"/>
  <c r="AW589" i="1"/>
  <c r="AV589" i="1"/>
  <c r="AU589" i="1"/>
  <c r="AT589" i="1"/>
  <c r="AS589" i="1"/>
  <c r="AR589" i="1"/>
  <c r="AQ589" i="1"/>
  <c r="AP589" i="1"/>
  <c r="AO589" i="1"/>
  <c r="AN589" i="1"/>
  <c r="AM589" i="1"/>
  <c r="AL589" i="1"/>
  <c r="AK589" i="1"/>
  <c r="AJ589" i="1"/>
  <c r="AI589" i="1"/>
  <c r="AH589" i="1"/>
  <c r="AG589" i="1"/>
  <c r="AF589" i="1"/>
  <c r="AE589" i="1"/>
  <c r="AD589" i="1"/>
  <c r="AC589" i="1"/>
  <c r="AB589" i="1"/>
  <c r="AA589" i="1"/>
  <c r="Z589" i="1"/>
  <c r="Y589" i="1"/>
  <c r="X589" i="1"/>
  <c r="W589" i="1"/>
  <c r="V589" i="1"/>
  <c r="U589" i="1"/>
  <c r="T589" i="1"/>
  <c r="S589" i="1"/>
  <c r="R589" i="1"/>
  <c r="Q589" i="1"/>
  <c r="P589" i="1"/>
  <c r="O589" i="1"/>
  <c r="N589" i="1"/>
  <c r="M589" i="1"/>
  <c r="L589" i="1"/>
  <c r="K589" i="1"/>
  <c r="J589" i="1"/>
  <c r="I589" i="1"/>
  <c r="H589" i="1"/>
  <c r="G589" i="1"/>
  <c r="F589" i="1"/>
  <c r="E589" i="1"/>
  <c r="D589" i="1"/>
  <c r="C589" i="1"/>
  <c r="BT588" i="1"/>
  <c r="BS588" i="1"/>
  <c r="BR588" i="1"/>
  <c r="BQ588" i="1"/>
  <c r="BP588" i="1"/>
  <c r="BO588" i="1"/>
  <c r="BN588" i="1"/>
  <c r="BM588" i="1"/>
  <c r="BL588" i="1"/>
  <c r="BK588" i="1"/>
  <c r="BJ588" i="1"/>
  <c r="BI588" i="1"/>
  <c r="BH588" i="1"/>
  <c r="BG588" i="1"/>
  <c r="BF588" i="1"/>
  <c r="BE588" i="1"/>
  <c r="BD588" i="1"/>
  <c r="BC588" i="1"/>
  <c r="BB588" i="1"/>
  <c r="BA588"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Y588" i="1"/>
  <c r="X588" i="1"/>
  <c r="W588" i="1"/>
  <c r="V588" i="1"/>
  <c r="U588" i="1"/>
  <c r="T588" i="1"/>
  <c r="S588" i="1"/>
  <c r="R588" i="1"/>
  <c r="Q588" i="1"/>
  <c r="P588" i="1"/>
  <c r="O588" i="1"/>
  <c r="N588" i="1"/>
  <c r="M588" i="1"/>
  <c r="L588" i="1"/>
  <c r="K588" i="1"/>
  <c r="J588" i="1"/>
  <c r="I588" i="1"/>
  <c r="H588" i="1"/>
  <c r="G588" i="1"/>
  <c r="F588" i="1"/>
  <c r="E588" i="1"/>
  <c r="D588" i="1"/>
  <c r="C588" i="1"/>
  <c r="BT587" i="1"/>
  <c r="BS587" i="1"/>
  <c r="BR587" i="1"/>
  <c r="BQ587" i="1"/>
  <c r="BP587" i="1"/>
  <c r="BO587" i="1"/>
  <c r="BO586" i="1" s="1"/>
  <c r="BO7" i="9" s="1"/>
  <c r="BN587" i="1"/>
  <c r="BM587" i="1"/>
  <c r="BL587" i="1"/>
  <c r="BK587" i="1"/>
  <c r="BK586" i="1" s="1"/>
  <c r="BK7" i="9" s="1"/>
  <c r="BJ587" i="1"/>
  <c r="BI587" i="1"/>
  <c r="BH587" i="1"/>
  <c r="BG587" i="1"/>
  <c r="BG586" i="1" s="1"/>
  <c r="BG7" i="9" s="1"/>
  <c r="BF587" i="1"/>
  <c r="BE587" i="1"/>
  <c r="BD587" i="1"/>
  <c r="BC587" i="1"/>
  <c r="BB587" i="1"/>
  <c r="BA587" i="1"/>
  <c r="AZ587" i="1"/>
  <c r="AY587" i="1"/>
  <c r="AY586" i="1" s="1"/>
  <c r="AY7" i="9" s="1"/>
  <c r="AX587" i="1"/>
  <c r="AW587" i="1"/>
  <c r="AV587" i="1"/>
  <c r="AU587" i="1"/>
  <c r="AT587" i="1"/>
  <c r="AS587" i="1"/>
  <c r="AR587" i="1"/>
  <c r="AQ587" i="1"/>
  <c r="AQ586" i="1" s="1"/>
  <c r="AQ7" i="9" s="1"/>
  <c r="AP587" i="1"/>
  <c r="AO587" i="1"/>
  <c r="AN587" i="1"/>
  <c r="AM587" i="1"/>
  <c r="AL587" i="1"/>
  <c r="AK587" i="1"/>
  <c r="AJ587" i="1"/>
  <c r="AI587" i="1"/>
  <c r="AH587" i="1"/>
  <c r="AG587" i="1"/>
  <c r="AF587" i="1"/>
  <c r="AE587" i="1"/>
  <c r="AD587" i="1"/>
  <c r="AC587" i="1"/>
  <c r="AB587" i="1"/>
  <c r="AA587" i="1"/>
  <c r="AA586" i="1" s="1"/>
  <c r="AA7" i="9" s="1"/>
  <c r="Z587" i="1"/>
  <c r="Y587" i="1"/>
  <c r="X587" i="1"/>
  <c r="W587" i="1"/>
  <c r="V587" i="1"/>
  <c r="U587" i="1"/>
  <c r="T587" i="1"/>
  <c r="S587" i="1"/>
  <c r="S586" i="1" s="1"/>
  <c r="S7" i="9" s="1"/>
  <c r="R587" i="1"/>
  <c r="Q587" i="1"/>
  <c r="P587" i="1"/>
  <c r="O587" i="1"/>
  <c r="N587" i="1"/>
  <c r="N586" i="1" s="1"/>
  <c r="N7" i="9" s="1"/>
  <c r="M587" i="1"/>
  <c r="L587" i="1"/>
  <c r="K587" i="1"/>
  <c r="K586" i="1" s="1"/>
  <c r="K7" i="9" s="1"/>
  <c r="J587" i="1"/>
  <c r="I587" i="1"/>
  <c r="H587" i="1"/>
  <c r="G587" i="1"/>
  <c r="F587" i="1"/>
  <c r="E587" i="1"/>
  <c r="D587" i="1"/>
  <c r="C587" i="1"/>
  <c r="C586" i="1" s="1"/>
  <c r="C7" i="9" s="1"/>
  <c r="BT586" i="1"/>
  <c r="BT7" i="9" s="1"/>
  <c r="BM586" i="1"/>
  <c r="BM7" i="9" s="1"/>
  <c r="BL586" i="1"/>
  <c r="BL7" i="9" s="1"/>
  <c r="BE586" i="1"/>
  <c r="BE7" i="9" s="1"/>
  <c r="BD586" i="1"/>
  <c r="BD7" i="9" s="1"/>
  <c r="AZ586" i="1"/>
  <c r="AZ7" i="9" s="1"/>
  <c r="AW586" i="1"/>
  <c r="AW7" i="9" s="1"/>
  <c r="AV586" i="1"/>
  <c r="AV7" i="9" s="1"/>
  <c r="AO586" i="1"/>
  <c r="AO7" i="9" s="1"/>
  <c r="AN586" i="1"/>
  <c r="AN7" i="9" s="1"/>
  <c r="AM586" i="1"/>
  <c r="AM7" i="9" s="1"/>
  <c r="AJ586" i="1"/>
  <c r="AJ7" i="9" s="1"/>
  <c r="AG586" i="1"/>
  <c r="AG7" i="9" s="1"/>
  <c r="AF586" i="1"/>
  <c r="AF7" i="9" s="1"/>
  <c r="AE586" i="1"/>
  <c r="AE7" i="9" s="1"/>
  <c r="X586" i="1"/>
  <c r="X7" i="9" s="1"/>
  <c r="W586" i="1"/>
  <c r="W7" i="9" s="1"/>
  <c r="Q586" i="1"/>
  <c r="Q7" i="9" s="1"/>
  <c r="P586" i="1"/>
  <c r="P7" i="9" s="1"/>
  <c r="I586" i="1"/>
  <c r="I7" i="9" s="1"/>
  <c r="H586" i="1"/>
  <c r="H7" i="9" s="1"/>
  <c r="CC574" i="1"/>
  <c r="BX574" i="1"/>
  <c r="CC573" i="1"/>
  <c r="CC67" i="9" s="1"/>
  <c r="BX573" i="1"/>
  <c r="BX67" i="9" s="1"/>
  <c r="BT573" i="1"/>
  <c r="BT67" i="9" s="1"/>
  <c r="BS573" i="1"/>
  <c r="BS67" i="9" s="1"/>
  <c r="BR573" i="1"/>
  <c r="BR67" i="9" s="1"/>
  <c r="BQ573" i="1"/>
  <c r="BQ67" i="9" s="1"/>
  <c r="BP573" i="1"/>
  <c r="BP67" i="9" s="1"/>
  <c r="BO573" i="1"/>
  <c r="BO67" i="9" s="1"/>
  <c r="BN573" i="1"/>
  <c r="BN67" i="9" s="1"/>
  <c r="BM573" i="1"/>
  <c r="BM67" i="9" s="1"/>
  <c r="BL573" i="1"/>
  <c r="BL67" i="9" s="1"/>
  <c r="BK573" i="1"/>
  <c r="BK67" i="9" s="1"/>
  <c r="BJ573" i="1"/>
  <c r="BJ67" i="9" s="1"/>
  <c r="BI573" i="1"/>
  <c r="BI67" i="9" s="1"/>
  <c r="BH573" i="1"/>
  <c r="BH67" i="9" s="1"/>
  <c r="BG573" i="1"/>
  <c r="BG67" i="9" s="1"/>
  <c r="BF573" i="1"/>
  <c r="BF67" i="9" s="1"/>
  <c r="BE573" i="1"/>
  <c r="BE67" i="9" s="1"/>
  <c r="BD573" i="1"/>
  <c r="BD67" i="9" s="1"/>
  <c r="BC573" i="1"/>
  <c r="BC67" i="9" s="1"/>
  <c r="BB573" i="1"/>
  <c r="BB67" i="9" s="1"/>
  <c r="BA573" i="1"/>
  <c r="BA67" i="9" s="1"/>
  <c r="AZ573" i="1"/>
  <c r="AZ67" i="9" s="1"/>
  <c r="AY573" i="1"/>
  <c r="AY67" i="9" s="1"/>
  <c r="AX573" i="1"/>
  <c r="AX67" i="9" s="1"/>
  <c r="AW573" i="1"/>
  <c r="AW67" i="9" s="1"/>
  <c r="AV573" i="1"/>
  <c r="AV67" i="9" s="1"/>
  <c r="AU573" i="1"/>
  <c r="AU67" i="9" s="1"/>
  <c r="AT573" i="1"/>
  <c r="AT67" i="9" s="1"/>
  <c r="AS573" i="1"/>
  <c r="AS67" i="9" s="1"/>
  <c r="AR573" i="1"/>
  <c r="AR67" i="9" s="1"/>
  <c r="AQ573" i="1"/>
  <c r="AQ67" i="9" s="1"/>
  <c r="AP573" i="1"/>
  <c r="AP67" i="9" s="1"/>
  <c r="AO573" i="1"/>
  <c r="AO67" i="9" s="1"/>
  <c r="AN573" i="1"/>
  <c r="AN67" i="9" s="1"/>
  <c r="AM573" i="1"/>
  <c r="AM67" i="9" s="1"/>
  <c r="AL573" i="1"/>
  <c r="AL67" i="9" s="1"/>
  <c r="AK573" i="1"/>
  <c r="AK67" i="9" s="1"/>
  <c r="AJ573" i="1"/>
  <c r="AJ67" i="9" s="1"/>
  <c r="AI573" i="1"/>
  <c r="AI67" i="9" s="1"/>
  <c r="AH573" i="1"/>
  <c r="AH67" i="9" s="1"/>
  <c r="AG573" i="1"/>
  <c r="AG67" i="9" s="1"/>
  <c r="AF573" i="1"/>
  <c r="AF67" i="9" s="1"/>
  <c r="AE573" i="1"/>
  <c r="AE67" i="9" s="1"/>
  <c r="AD573" i="1"/>
  <c r="AD67" i="9" s="1"/>
  <c r="AC573" i="1"/>
  <c r="AC67" i="9" s="1"/>
  <c r="AB573" i="1"/>
  <c r="AB67" i="9" s="1"/>
  <c r="AA573" i="1"/>
  <c r="AA67" i="9" s="1"/>
  <c r="Z573" i="1"/>
  <c r="Z67" i="9" s="1"/>
  <c r="Y573" i="1"/>
  <c r="Y67" i="9" s="1"/>
  <c r="X573" i="1"/>
  <c r="X67" i="9" s="1"/>
  <c r="W573" i="1"/>
  <c r="W67" i="9" s="1"/>
  <c r="V573" i="1"/>
  <c r="V67" i="9" s="1"/>
  <c r="U573" i="1"/>
  <c r="U67" i="9" s="1"/>
  <c r="T573" i="1"/>
  <c r="T67" i="9" s="1"/>
  <c r="S573" i="1"/>
  <c r="S67" i="9" s="1"/>
  <c r="R573" i="1"/>
  <c r="R67" i="9" s="1"/>
  <c r="Q573" i="1"/>
  <c r="Q67" i="9" s="1"/>
  <c r="P573" i="1"/>
  <c r="P67" i="9" s="1"/>
  <c r="O573" i="1"/>
  <c r="O67" i="9" s="1"/>
  <c r="N573" i="1"/>
  <c r="N67" i="9" s="1"/>
  <c r="M573" i="1"/>
  <c r="M67" i="9" s="1"/>
  <c r="L573" i="1"/>
  <c r="L67" i="9" s="1"/>
  <c r="K573" i="1"/>
  <c r="K67" i="9" s="1"/>
  <c r="J573" i="1"/>
  <c r="J67" i="9" s="1"/>
  <c r="I573" i="1"/>
  <c r="I67" i="9" s="1"/>
  <c r="H573" i="1"/>
  <c r="H67" i="9" s="1"/>
  <c r="G573" i="1"/>
  <c r="G67" i="9" s="1"/>
  <c r="F573" i="1"/>
  <c r="F67" i="9" s="1"/>
  <c r="E573" i="1"/>
  <c r="E67" i="9" s="1"/>
  <c r="D573" i="1"/>
  <c r="D67" i="9" s="1"/>
  <c r="C573" i="1"/>
  <c r="C67" i="9" s="1"/>
  <c r="CC572" i="1"/>
  <c r="CC68" i="9" s="1"/>
  <c r="BX572" i="1"/>
  <c r="BX68" i="9" s="1"/>
  <c r="BT572" i="1"/>
  <c r="BT68" i="9" s="1"/>
  <c r="BS572" i="1"/>
  <c r="BS68" i="9" s="1"/>
  <c r="BR572" i="1"/>
  <c r="BR68" i="9" s="1"/>
  <c r="BQ572" i="1"/>
  <c r="BQ68" i="9" s="1"/>
  <c r="BP572" i="1"/>
  <c r="BP68" i="9" s="1"/>
  <c r="BO572" i="1"/>
  <c r="BO68" i="9" s="1"/>
  <c r="BN572" i="1"/>
  <c r="BN68" i="9" s="1"/>
  <c r="BM572" i="1"/>
  <c r="BM68" i="9" s="1"/>
  <c r="BL572" i="1"/>
  <c r="BL68" i="9" s="1"/>
  <c r="BK572" i="1"/>
  <c r="BK68" i="9" s="1"/>
  <c r="BJ572" i="1"/>
  <c r="BJ68" i="9" s="1"/>
  <c r="BI572" i="1"/>
  <c r="BI68" i="9" s="1"/>
  <c r="BH572" i="1"/>
  <c r="BH68" i="9" s="1"/>
  <c r="BG572" i="1"/>
  <c r="BG68" i="9" s="1"/>
  <c r="BF572" i="1"/>
  <c r="BF68" i="9" s="1"/>
  <c r="BE572" i="1"/>
  <c r="BE68" i="9" s="1"/>
  <c r="BD572" i="1"/>
  <c r="BD68" i="9" s="1"/>
  <c r="BB572" i="1"/>
  <c r="BB68" i="9" s="1"/>
  <c r="BA572" i="1"/>
  <c r="BA68" i="9" s="1"/>
  <c r="AZ572" i="1"/>
  <c r="AZ68" i="9" s="1"/>
  <c r="AY572" i="1"/>
  <c r="AY68" i="9" s="1"/>
  <c r="AX572" i="1"/>
  <c r="AX68" i="9" s="1"/>
  <c r="AW572" i="1"/>
  <c r="AW68" i="9" s="1"/>
  <c r="AV572" i="1"/>
  <c r="AV68" i="9" s="1"/>
  <c r="AU572" i="1"/>
  <c r="AU68" i="9" s="1"/>
  <c r="AT572" i="1"/>
  <c r="AT68" i="9" s="1"/>
  <c r="AS572" i="1"/>
  <c r="AS68" i="9" s="1"/>
  <c r="AR572" i="1"/>
  <c r="AR68" i="9" s="1"/>
  <c r="AQ572" i="1"/>
  <c r="AQ68" i="9" s="1"/>
  <c r="AP572" i="1"/>
  <c r="AP68" i="9" s="1"/>
  <c r="AO572" i="1"/>
  <c r="AO68" i="9" s="1"/>
  <c r="AM572" i="1"/>
  <c r="AM68" i="9" s="1"/>
  <c r="AL572" i="1"/>
  <c r="AL68" i="9" s="1"/>
  <c r="AK572" i="1"/>
  <c r="AK68" i="9" s="1"/>
  <c r="AJ572" i="1"/>
  <c r="AJ68" i="9" s="1"/>
  <c r="AI572" i="1"/>
  <c r="AI68" i="9" s="1"/>
  <c r="AH572" i="1"/>
  <c r="AH68" i="9" s="1"/>
  <c r="AG572" i="1"/>
  <c r="AG68" i="9" s="1"/>
  <c r="AF572" i="1"/>
  <c r="AF68" i="9" s="1"/>
  <c r="AE572" i="1"/>
  <c r="AE68" i="9" s="1"/>
  <c r="AD572" i="1"/>
  <c r="AD68" i="9" s="1"/>
  <c r="AC572" i="1"/>
  <c r="AC68" i="9" s="1"/>
  <c r="AB572" i="1"/>
  <c r="AB68" i="9" s="1"/>
  <c r="AA572" i="1"/>
  <c r="AA68" i="9" s="1"/>
  <c r="Z572" i="1"/>
  <c r="Z68" i="9" s="1"/>
  <c r="Y572" i="1"/>
  <c r="Y68" i="9" s="1"/>
  <c r="X572" i="1"/>
  <c r="X68" i="9" s="1"/>
  <c r="W572" i="1"/>
  <c r="W68" i="9" s="1"/>
  <c r="V572" i="1"/>
  <c r="V68" i="9" s="1"/>
  <c r="U572" i="1"/>
  <c r="U68" i="9" s="1"/>
  <c r="T572" i="1"/>
  <c r="T68" i="9" s="1"/>
  <c r="S572" i="1"/>
  <c r="S68" i="9" s="1"/>
  <c r="R572" i="1"/>
  <c r="R68" i="9" s="1"/>
  <c r="Q572" i="1"/>
  <c r="Q68" i="9" s="1"/>
  <c r="P572" i="1"/>
  <c r="P68" i="9" s="1"/>
  <c r="N572" i="1"/>
  <c r="N68" i="9" s="1"/>
  <c r="M572" i="1"/>
  <c r="M68" i="9" s="1"/>
  <c r="L572" i="1"/>
  <c r="L68" i="9" s="1"/>
  <c r="K572" i="1"/>
  <c r="K68" i="9" s="1"/>
  <c r="J572" i="1"/>
  <c r="J68" i="9" s="1"/>
  <c r="I572" i="1"/>
  <c r="I68" i="9" s="1"/>
  <c r="H572" i="1"/>
  <c r="H68" i="9" s="1"/>
  <c r="G572" i="1"/>
  <c r="G68" i="9" s="1"/>
  <c r="F572" i="1"/>
  <c r="F68" i="9" s="1"/>
  <c r="E572" i="1"/>
  <c r="E68" i="9" s="1"/>
  <c r="D572" i="1"/>
  <c r="D68" i="9" s="1"/>
  <c r="C572" i="1"/>
  <c r="C68" i="9" s="1"/>
  <c r="CC570" i="1"/>
  <c r="CC74" i="9" s="1"/>
  <c r="BX570" i="1"/>
  <c r="BX74" i="9" s="1"/>
  <c r="BS570" i="1"/>
  <c r="BS74" i="9" s="1"/>
  <c r="BN570" i="1"/>
  <c r="BN74" i="9" s="1"/>
  <c r="BI570" i="1"/>
  <c r="BI74" i="9" s="1"/>
  <c r="BD570" i="1"/>
  <c r="BD74" i="9" s="1"/>
  <c r="AY570" i="1"/>
  <c r="AY74" i="9" s="1"/>
  <c r="AT570" i="1"/>
  <c r="AT74" i="9" s="1"/>
  <c r="AO570" i="1"/>
  <c r="AO74" i="9" s="1"/>
  <c r="AJ570" i="1"/>
  <c r="AJ74" i="9" s="1"/>
  <c r="AE570" i="1"/>
  <c r="AE74" i="9" s="1"/>
  <c r="Z570" i="1"/>
  <c r="Z74" i="9" s="1"/>
  <c r="BT569" i="1"/>
  <c r="BT63" i="9" s="1"/>
  <c r="BS569" i="1"/>
  <c r="BS63" i="9" s="1"/>
  <c r="BR569" i="1"/>
  <c r="BR63" i="9" s="1"/>
  <c r="BQ569" i="1"/>
  <c r="BQ63" i="9" s="1"/>
  <c r="BP569" i="1"/>
  <c r="BP63" i="9" s="1"/>
  <c r="BO569" i="1"/>
  <c r="BO63" i="9" s="1"/>
  <c r="BN569" i="1"/>
  <c r="BN63" i="9" s="1"/>
  <c r="BM569" i="1"/>
  <c r="BM63" i="9" s="1"/>
  <c r="BL569" i="1"/>
  <c r="BL63" i="9" s="1"/>
  <c r="BK569" i="1"/>
  <c r="BK63" i="9" s="1"/>
  <c r="BJ569" i="1"/>
  <c r="BJ63" i="9" s="1"/>
  <c r="BI569" i="1"/>
  <c r="BI63" i="9" s="1"/>
  <c r="BH569" i="1"/>
  <c r="BH63" i="9" s="1"/>
  <c r="BG569" i="1"/>
  <c r="BG63" i="9" s="1"/>
  <c r="BF569" i="1"/>
  <c r="BF63" i="9" s="1"/>
  <c r="BE569" i="1"/>
  <c r="BE63" i="9" s="1"/>
  <c r="BD569" i="1"/>
  <c r="BD63" i="9" s="1"/>
  <c r="BC569" i="1"/>
  <c r="BC63" i="9" s="1"/>
  <c r="BB569" i="1"/>
  <c r="BB63" i="9" s="1"/>
  <c r="BA569" i="1"/>
  <c r="BA63" i="9" s="1"/>
  <c r="AZ569" i="1"/>
  <c r="AZ63" i="9" s="1"/>
  <c r="AY569" i="1"/>
  <c r="AY63" i="9" s="1"/>
  <c r="AX569" i="1"/>
  <c r="AX63" i="9" s="1"/>
  <c r="AW569" i="1"/>
  <c r="AW63" i="9" s="1"/>
  <c r="AV569" i="1"/>
  <c r="AV63" i="9" s="1"/>
  <c r="AU569" i="1"/>
  <c r="AU63" i="9" s="1"/>
  <c r="AT569" i="1"/>
  <c r="AT63" i="9" s="1"/>
  <c r="AS569" i="1"/>
  <c r="AS63" i="9" s="1"/>
  <c r="AR569" i="1"/>
  <c r="AR63" i="9" s="1"/>
  <c r="AQ569" i="1"/>
  <c r="AQ63" i="9" s="1"/>
  <c r="AP569" i="1"/>
  <c r="AP63" i="9" s="1"/>
  <c r="AO569" i="1"/>
  <c r="AO63" i="9" s="1"/>
  <c r="AN569" i="1"/>
  <c r="AN63" i="9" s="1"/>
  <c r="AM569" i="1"/>
  <c r="AM63" i="9" s="1"/>
  <c r="AL569" i="1"/>
  <c r="AL63" i="9" s="1"/>
  <c r="AK569" i="1"/>
  <c r="AK63" i="9" s="1"/>
  <c r="AJ569" i="1"/>
  <c r="AJ63" i="9" s="1"/>
  <c r="AI569" i="1"/>
  <c r="AI63" i="9" s="1"/>
  <c r="AH569" i="1"/>
  <c r="AH63" i="9" s="1"/>
  <c r="AG569" i="1"/>
  <c r="AG63" i="9" s="1"/>
  <c r="AF569" i="1"/>
  <c r="AF63" i="9" s="1"/>
  <c r="AE569" i="1"/>
  <c r="AE63" i="9" s="1"/>
  <c r="AD569" i="1"/>
  <c r="AD63" i="9" s="1"/>
  <c r="AC569" i="1"/>
  <c r="AC63" i="9" s="1"/>
  <c r="AB569" i="1"/>
  <c r="AB63" i="9" s="1"/>
  <c r="AA569" i="1"/>
  <c r="AA63" i="9" s="1"/>
  <c r="Z569" i="1"/>
  <c r="Z63" i="9" s="1"/>
  <c r="Y569" i="1"/>
  <c r="Y63" i="9" s="1"/>
  <c r="X569" i="1"/>
  <c r="X63" i="9" s="1"/>
  <c r="W569" i="1"/>
  <c r="W63" i="9" s="1"/>
  <c r="V569" i="1"/>
  <c r="V63" i="9" s="1"/>
  <c r="U569" i="1"/>
  <c r="U63" i="9" s="1"/>
  <c r="T569" i="1"/>
  <c r="T63" i="9" s="1"/>
  <c r="S569" i="1"/>
  <c r="S63" i="9" s="1"/>
  <c r="R569" i="1"/>
  <c r="R63" i="9" s="1"/>
  <c r="Q569" i="1"/>
  <c r="Q63" i="9" s="1"/>
  <c r="P569" i="1"/>
  <c r="P63" i="9" s="1"/>
  <c r="O569" i="1"/>
  <c r="O63" i="9" s="1"/>
  <c r="N569" i="1"/>
  <c r="N63" i="9" s="1"/>
  <c r="M569" i="1"/>
  <c r="M63" i="9" s="1"/>
  <c r="L569" i="1"/>
  <c r="L63" i="9" s="1"/>
  <c r="K569" i="1"/>
  <c r="K63" i="9" s="1"/>
  <c r="J569" i="1"/>
  <c r="J63" i="9" s="1"/>
  <c r="I569" i="1"/>
  <c r="I63" i="9" s="1"/>
  <c r="H569" i="1"/>
  <c r="H63" i="9" s="1"/>
  <c r="G569" i="1"/>
  <c r="G63" i="9" s="1"/>
  <c r="F569" i="1"/>
  <c r="F63" i="9" s="1"/>
  <c r="E569" i="1"/>
  <c r="E63" i="9" s="1"/>
  <c r="D569" i="1"/>
  <c r="D63" i="9" s="1"/>
  <c r="C569" i="1"/>
  <c r="C63" i="9" s="1"/>
  <c r="CC568" i="1"/>
  <c r="CC66" i="9" s="1"/>
  <c r="BX568" i="1"/>
  <c r="BX66" i="9" s="1"/>
  <c r="BT568" i="1"/>
  <c r="BT66" i="9" s="1"/>
  <c r="BS568" i="1"/>
  <c r="BS66" i="9" s="1"/>
  <c r="BR568" i="1"/>
  <c r="BR66" i="9" s="1"/>
  <c r="BQ568" i="1"/>
  <c r="BQ66" i="9" s="1"/>
  <c r="BP568" i="1"/>
  <c r="BP66" i="9" s="1"/>
  <c r="BO568" i="1"/>
  <c r="BO66" i="9" s="1"/>
  <c r="BN568" i="1"/>
  <c r="BN66" i="9" s="1"/>
  <c r="BM568" i="1"/>
  <c r="BM66" i="9" s="1"/>
  <c r="BL568" i="1"/>
  <c r="BL66" i="9" s="1"/>
  <c r="BK568" i="1"/>
  <c r="BK66" i="9" s="1"/>
  <c r="BJ568" i="1"/>
  <c r="BJ66" i="9" s="1"/>
  <c r="BI568" i="1"/>
  <c r="BI66" i="9" s="1"/>
  <c r="BH568" i="1"/>
  <c r="BH66" i="9" s="1"/>
  <c r="BG568" i="1"/>
  <c r="BG66" i="9" s="1"/>
  <c r="BF568" i="1"/>
  <c r="BF66" i="9" s="1"/>
  <c r="BE568" i="1"/>
  <c r="BE66" i="9" s="1"/>
  <c r="BD568" i="1"/>
  <c r="BD66" i="9" s="1"/>
  <c r="BC568" i="1"/>
  <c r="BC66" i="9" s="1"/>
  <c r="BB568" i="1"/>
  <c r="BB66" i="9" s="1"/>
  <c r="BA568" i="1"/>
  <c r="BA66" i="9" s="1"/>
  <c r="AZ568" i="1"/>
  <c r="AZ66" i="9" s="1"/>
  <c r="AY568" i="1"/>
  <c r="AY66" i="9" s="1"/>
  <c r="AX568" i="1"/>
  <c r="AX66" i="9" s="1"/>
  <c r="AW568" i="1"/>
  <c r="AW66" i="9" s="1"/>
  <c r="AV568" i="1"/>
  <c r="AV66" i="9" s="1"/>
  <c r="AU568" i="1"/>
  <c r="AU66" i="9" s="1"/>
  <c r="AT568" i="1"/>
  <c r="AT66" i="9" s="1"/>
  <c r="AS568" i="1"/>
  <c r="AS66" i="9" s="1"/>
  <c r="AR568" i="1"/>
  <c r="AR66" i="9" s="1"/>
  <c r="AQ568" i="1"/>
  <c r="AQ66" i="9" s="1"/>
  <c r="AP568" i="1"/>
  <c r="AP66" i="9" s="1"/>
  <c r="AO568" i="1"/>
  <c r="AO66" i="9" s="1"/>
  <c r="AN568" i="1"/>
  <c r="AN66" i="9" s="1"/>
  <c r="AM568" i="1"/>
  <c r="AM66" i="9" s="1"/>
  <c r="AL568" i="1"/>
  <c r="AL66" i="9" s="1"/>
  <c r="AK568" i="1"/>
  <c r="AK66" i="9" s="1"/>
  <c r="AJ568" i="1"/>
  <c r="AJ66" i="9" s="1"/>
  <c r="AI568" i="1"/>
  <c r="AI66" i="9" s="1"/>
  <c r="AH568" i="1"/>
  <c r="AH66" i="9" s="1"/>
  <c r="AG568" i="1"/>
  <c r="AG66" i="9" s="1"/>
  <c r="AF568" i="1"/>
  <c r="AF66" i="9" s="1"/>
  <c r="AE568" i="1"/>
  <c r="AE66" i="9" s="1"/>
  <c r="AD568" i="1"/>
  <c r="AD66" i="9" s="1"/>
  <c r="AC568" i="1"/>
  <c r="AC66" i="9" s="1"/>
  <c r="AB568" i="1"/>
  <c r="AB66" i="9" s="1"/>
  <c r="AA568" i="1"/>
  <c r="AA66" i="9" s="1"/>
  <c r="Z568" i="1"/>
  <c r="Z66" i="9" s="1"/>
  <c r="Y568" i="1"/>
  <c r="Y66" i="9" s="1"/>
  <c r="X568" i="1"/>
  <c r="X66" i="9" s="1"/>
  <c r="W568" i="1"/>
  <c r="W66" i="9" s="1"/>
  <c r="V568" i="1"/>
  <c r="V66" i="9" s="1"/>
  <c r="U568" i="1"/>
  <c r="U66" i="9" s="1"/>
  <c r="T568" i="1"/>
  <c r="T66" i="9" s="1"/>
  <c r="S568" i="1"/>
  <c r="S66" i="9" s="1"/>
  <c r="R568" i="1"/>
  <c r="R66" i="9" s="1"/>
  <c r="Q568" i="1"/>
  <c r="Q66" i="9" s="1"/>
  <c r="P568" i="1"/>
  <c r="P66" i="9" s="1"/>
  <c r="O568" i="1"/>
  <c r="O66" i="9" s="1"/>
  <c r="N568" i="1"/>
  <c r="N66" i="9" s="1"/>
  <c r="M568" i="1"/>
  <c r="M66" i="9" s="1"/>
  <c r="L568" i="1"/>
  <c r="L66" i="9" s="1"/>
  <c r="K568" i="1"/>
  <c r="K66" i="9" s="1"/>
  <c r="J568" i="1"/>
  <c r="J66" i="9" s="1"/>
  <c r="I568" i="1"/>
  <c r="I66" i="9" s="1"/>
  <c r="H568" i="1"/>
  <c r="H66" i="9" s="1"/>
  <c r="G568" i="1"/>
  <c r="G66" i="9" s="1"/>
  <c r="F568" i="1"/>
  <c r="F66" i="9" s="1"/>
  <c r="E568" i="1"/>
  <c r="E66" i="9" s="1"/>
  <c r="D568" i="1"/>
  <c r="D66" i="9" s="1"/>
  <c r="C568" i="1"/>
  <c r="C66" i="9" s="1"/>
  <c r="BX567" i="1"/>
  <c r="BT567" i="1"/>
  <c r="BS567" i="1"/>
  <c r="BR567" i="1"/>
  <c r="BQ567" i="1"/>
  <c r="BP567" i="1"/>
  <c r="BO567" i="1"/>
  <c r="BN567" i="1"/>
  <c r="BM567" i="1"/>
  <c r="BL567" i="1"/>
  <c r="BK567" i="1"/>
  <c r="BJ567" i="1"/>
  <c r="BI567" i="1"/>
  <c r="BH567" i="1"/>
  <c r="BG567" i="1"/>
  <c r="BF567" i="1"/>
  <c r="BE567" i="1"/>
  <c r="BD567" i="1"/>
  <c r="BC567" i="1"/>
  <c r="BB567" i="1"/>
  <c r="BA567" i="1"/>
  <c r="AZ567" i="1"/>
  <c r="AY567" i="1"/>
  <c r="AX567" i="1"/>
  <c r="AW567" i="1"/>
  <c r="AV567" i="1"/>
  <c r="AU567" i="1"/>
  <c r="AT567" i="1"/>
  <c r="AS567" i="1"/>
  <c r="AR567" i="1"/>
  <c r="AQ567" i="1"/>
  <c r="AP567" i="1"/>
  <c r="AO567" i="1"/>
  <c r="AN567" i="1"/>
  <c r="AM567" i="1"/>
  <c r="AL567" i="1"/>
  <c r="AK567" i="1"/>
  <c r="AJ567" i="1"/>
  <c r="AH567" i="1"/>
  <c r="AG567" i="1"/>
  <c r="AF567" i="1"/>
  <c r="AE567" i="1"/>
  <c r="AC567" i="1"/>
  <c r="AB567" i="1"/>
  <c r="AA567" i="1"/>
  <c r="Z567" i="1"/>
  <c r="Y567" i="1"/>
  <c r="X567" i="1"/>
  <c r="W567" i="1"/>
  <c r="V567" i="1"/>
  <c r="U567" i="1"/>
  <c r="T567" i="1"/>
  <c r="S567" i="1"/>
  <c r="R567" i="1"/>
  <c r="Q567" i="1"/>
  <c r="P567" i="1"/>
  <c r="O567" i="1"/>
  <c r="N567" i="1"/>
  <c r="M567" i="1"/>
  <c r="L567" i="1"/>
  <c r="K567" i="1"/>
  <c r="J567" i="1"/>
  <c r="I567" i="1"/>
  <c r="H567" i="1"/>
  <c r="G567" i="1"/>
  <c r="F567" i="1"/>
  <c r="E567" i="1"/>
  <c r="D567" i="1"/>
  <c r="C567" i="1"/>
  <c r="A566" i="1"/>
  <c r="BX565" i="1"/>
  <c r="BX61" i="9" s="1"/>
  <c r="BT565" i="1"/>
  <c r="BT61" i="9" s="1"/>
  <c r="BS565" i="1"/>
  <c r="BR565" i="1"/>
  <c r="BR61" i="9" s="1"/>
  <c r="BQ565" i="1"/>
  <c r="BQ61" i="9" s="1"/>
  <c r="BP565" i="1"/>
  <c r="BP61" i="9" s="1"/>
  <c r="BO565" i="1"/>
  <c r="BO61" i="9" s="1"/>
  <c r="BN565" i="1"/>
  <c r="BN61" i="9" s="1"/>
  <c r="BM565" i="1"/>
  <c r="BM61" i="9" s="1"/>
  <c r="BL565" i="1"/>
  <c r="BL61" i="9" s="1"/>
  <c r="BK565" i="1"/>
  <c r="BK61" i="9" s="1"/>
  <c r="BJ565" i="1"/>
  <c r="BJ61" i="9" s="1"/>
  <c r="BI565" i="1"/>
  <c r="BI61" i="9" s="1"/>
  <c r="BH565" i="1"/>
  <c r="BH61" i="9" s="1"/>
  <c r="BG565" i="1"/>
  <c r="BG61" i="9" s="1"/>
  <c r="BF565" i="1"/>
  <c r="BF61" i="9" s="1"/>
  <c r="BE565" i="1"/>
  <c r="BE61" i="9" s="1"/>
  <c r="BD565" i="1"/>
  <c r="BD61" i="9" s="1"/>
  <c r="BC565" i="1"/>
  <c r="BC61" i="9" s="1"/>
  <c r="BB565" i="1"/>
  <c r="BB61" i="9" s="1"/>
  <c r="BA565" i="1"/>
  <c r="BA61" i="9" s="1"/>
  <c r="AZ565" i="1"/>
  <c r="AZ61" i="9" s="1"/>
  <c r="AY565" i="1"/>
  <c r="AY61" i="9" s="1"/>
  <c r="AX565" i="1"/>
  <c r="AX61" i="9" s="1"/>
  <c r="AW565" i="1"/>
  <c r="AW61" i="9" s="1"/>
  <c r="AV565" i="1"/>
  <c r="AV61" i="9" s="1"/>
  <c r="AU565" i="1"/>
  <c r="AT565" i="1"/>
  <c r="AT61" i="9" s="1"/>
  <c r="AS565" i="1"/>
  <c r="AS61" i="9" s="1"/>
  <c r="AR565" i="1"/>
  <c r="AR61" i="9" s="1"/>
  <c r="AQ565" i="1"/>
  <c r="AQ61" i="9" s="1"/>
  <c r="AP565" i="1"/>
  <c r="AP61" i="9" s="1"/>
  <c r="AO565" i="1"/>
  <c r="AO61" i="9" s="1"/>
  <c r="AN565" i="1"/>
  <c r="AN61" i="9" s="1"/>
  <c r="AM565" i="1"/>
  <c r="AM61" i="9" s="1"/>
  <c r="AL565" i="1"/>
  <c r="AL61" i="9" s="1"/>
  <c r="AK565" i="1"/>
  <c r="AK61" i="9" s="1"/>
  <c r="AJ565" i="1"/>
  <c r="AJ61" i="9" s="1"/>
  <c r="AI565" i="1"/>
  <c r="AI61" i="9" s="1"/>
  <c r="AH565" i="1"/>
  <c r="AH61" i="9" s="1"/>
  <c r="AG565" i="1"/>
  <c r="AG61" i="9" s="1"/>
  <c r="AF565" i="1"/>
  <c r="AF61" i="9" s="1"/>
  <c r="AE565" i="1"/>
  <c r="AD565" i="1"/>
  <c r="AD61" i="9" s="1"/>
  <c r="AC565" i="1"/>
  <c r="AC61" i="9" s="1"/>
  <c r="AB565" i="1"/>
  <c r="AB61" i="9" s="1"/>
  <c r="AA565" i="1"/>
  <c r="AA61" i="9" s="1"/>
  <c r="Z565" i="1"/>
  <c r="Z61" i="9" s="1"/>
  <c r="Y565" i="1"/>
  <c r="Y61" i="9" s="1"/>
  <c r="X565" i="1"/>
  <c r="X61" i="9" s="1"/>
  <c r="W565" i="1"/>
  <c r="W61" i="9" s="1"/>
  <c r="V565" i="1"/>
  <c r="V61" i="9" s="1"/>
  <c r="U565" i="1"/>
  <c r="U61" i="9" s="1"/>
  <c r="T565" i="1"/>
  <c r="T61" i="9" s="1"/>
  <c r="S565" i="1"/>
  <c r="S61" i="9" s="1"/>
  <c r="R565" i="1"/>
  <c r="R61" i="9" s="1"/>
  <c r="Q565" i="1"/>
  <c r="Q61" i="9" s="1"/>
  <c r="P565" i="1"/>
  <c r="P61" i="9" s="1"/>
  <c r="O565" i="1"/>
  <c r="O61" i="9" s="1"/>
  <c r="N565" i="1"/>
  <c r="N61" i="9" s="1"/>
  <c r="M565" i="1"/>
  <c r="M61" i="9" s="1"/>
  <c r="L565" i="1"/>
  <c r="L61" i="9" s="1"/>
  <c r="K565" i="1"/>
  <c r="K61" i="9" s="1"/>
  <c r="J565" i="1"/>
  <c r="J61" i="9" s="1"/>
  <c r="I565" i="1"/>
  <c r="I61" i="9" s="1"/>
  <c r="H565" i="1"/>
  <c r="H61" i="9" s="1"/>
  <c r="G565" i="1"/>
  <c r="G61" i="9" s="1"/>
  <c r="F565" i="1"/>
  <c r="F61" i="9" s="1"/>
  <c r="E565" i="1"/>
  <c r="E61" i="9" s="1"/>
  <c r="D565" i="1"/>
  <c r="D61" i="9" s="1"/>
  <c r="C565" i="1"/>
  <c r="C61" i="9" s="1"/>
  <c r="BQ563" i="1"/>
  <c r="BP563" i="1"/>
  <c r="BB563" i="1"/>
  <c r="AY563" i="1"/>
  <c r="AY608" i="1" s="1"/>
  <c r="AR563" i="1"/>
  <c r="AQ563" i="1"/>
  <c r="AB563" i="1"/>
  <c r="U563" i="1"/>
  <c r="S563" i="1"/>
  <c r="E563" i="1"/>
  <c r="E608" i="1" s="1"/>
  <c r="D563" i="1"/>
  <c r="BS562" i="1"/>
  <c r="BP562" i="1"/>
  <c r="AU562" i="1"/>
  <c r="AT562" i="1"/>
  <c r="AR562" i="1"/>
  <c r="AE562" i="1"/>
  <c r="D562" i="1"/>
  <c r="BS561" i="1"/>
  <c r="BQ561" i="1"/>
  <c r="BP561" i="1"/>
  <c r="BB561" i="1"/>
  <c r="BA561" i="1"/>
  <c r="AY561" i="1"/>
  <c r="AT561" i="1"/>
  <c r="AR561" i="1"/>
  <c r="AQ561" i="1"/>
  <c r="AE561" i="1"/>
  <c r="AE563" i="1" s="1"/>
  <c r="AC561" i="1"/>
  <c r="AB561" i="1"/>
  <c r="AB580" i="1" s="1"/>
  <c r="AB581" i="1" s="1"/>
  <c r="AB582" i="1" s="1"/>
  <c r="AB583" i="1" s="1"/>
  <c r="U561" i="1"/>
  <c r="S561" i="1"/>
  <c r="E561" i="1"/>
  <c r="D561" i="1"/>
  <c r="D580" i="1" s="1"/>
  <c r="BS560" i="1"/>
  <c r="D560" i="1"/>
  <c r="BS559" i="1"/>
  <c r="BS58" i="9" s="1"/>
  <c r="BQ559" i="1"/>
  <c r="BP559" i="1"/>
  <c r="BO559" i="1"/>
  <c r="BB559" i="1"/>
  <c r="BA559" i="1"/>
  <c r="AZ559" i="1"/>
  <c r="AZ58" i="9" s="1"/>
  <c r="AZ60" i="9" s="1"/>
  <c r="AY559" i="1"/>
  <c r="AY560" i="1" s="1"/>
  <c r="AU559" i="1"/>
  <c r="AU58" i="9" s="1"/>
  <c r="AU60" i="9" s="1"/>
  <c r="AT559" i="1"/>
  <c r="AR559" i="1"/>
  <c r="AQ559" i="1"/>
  <c r="AE559" i="1"/>
  <c r="AE58" i="9" s="1"/>
  <c r="AC559" i="1"/>
  <c r="AB559" i="1"/>
  <c r="AA559" i="1"/>
  <c r="V559" i="1"/>
  <c r="U559" i="1"/>
  <c r="U562" i="1" s="1"/>
  <c r="S559" i="1"/>
  <c r="E559" i="1"/>
  <c r="D559" i="1"/>
  <c r="D58" i="9" s="1"/>
  <c r="D60" i="9" s="1"/>
  <c r="C553" i="1"/>
  <c r="BR551" i="1"/>
  <c r="BM551" i="1"/>
  <c r="BH551" i="1"/>
  <c r="BC551" i="1"/>
  <c r="AX551" i="1"/>
  <c r="AS551" i="1"/>
  <c r="AN551" i="1"/>
  <c r="AI551" i="1"/>
  <c r="AD551" i="1"/>
  <c r="Y551" i="1"/>
  <c r="T551" i="1"/>
  <c r="O551" i="1"/>
  <c r="J551" i="1"/>
  <c r="BR550" i="1"/>
  <c r="BM550" i="1"/>
  <c r="BH550" i="1"/>
  <c r="BC550" i="1"/>
  <c r="AX550" i="1"/>
  <c r="AS550" i="1"/>
  <c r="AN550" i="1"/>
  <c r="AI550" i="1"/>
  <c r="AD550" i="1"/>
  <c r="Y550" i="1"/>
  <c r="T550" i="1"/>
  <c r="O550" i="1"/>
  <c r="J550" i="1"/>
  <c r="BT548" i="1"/>
  <c r="BS548" i="1"/>
  <c r="BQ548" i="1"/>
  <c r="BP548" i="1"/>
  <c r="BO548" i="1"/>
  <c r="BN548" i="1"/>
  <c r="BM548" i="1"/>
  <c r="BL548" i="1"/>
  <c r="BK548" i="1"/>
  <c r="BJ548" i="1"/>
  <c r="BI548" i="1"/>
  <c r="BG548" i="1"/>
  <c r="BF548" i="1"/>
  <c r="BE548" i="1"/>
  <c r="BD548" i="1"/>
  <c r="BB548" i="1"/>
  <c r="BA548" i="1"/>
  <c r="AZ548" i="1"/>
  <c r="AY548" i="1"/>
  <c r="AX548" i="1"/>
  <c r="AW548" i="1"/>
  <c r="AV548" i="1"/>
  <c r="AU548" i="1"/>
  <c r="AT548" i="1"/>
  <c r="AR548" i="1"/>
  <c r="AQ548" i="1"/>
  <c r="AP548" i="1"/>
  <c r="AO548" i="1"/>
  <c r="AJ548" i="1"/>
  <c r="AH548" i="1"/>
  <c r="AA548" i="1"/>
  <c r="Z548" i="1"/>
  <c r="V548" i="1"/>
  <c r="S548" i="1"/>
  <c r="R548" i="1"/>
  <c r="Q548" i="1"/>
  <c r="N548" i="1"/>
  <c r="L548" i="1"/>
  <c r="E548" i="1"/>
  <c r="BQ547" i="1"/>
  <c r="BP547" i="1"/>
  <c r="BO547" i="1"/>
  <c r="BM547" i="1"/>
  <c r="BL547" i="1"/>
  <c r="BK547" i="1"/>
  <c r="BG547" i="1"/>
  <c r="BF547" i="1"/>
  <c r="BB547" i="1"/>
  <c r="BA547" i="1"/>
  <c r="AW547" i="1"/>
  <c r="AV547" i="1"/>
  <c r="AU547" i="1"/>
  <c r="AS547" i="1"/>
  <c r="AR547" i="1"/>
  <c r="AQ547" i="1"/>
  <c r="AM547" i="1"/>
  <c r="AL547" i="1"/>
  <c r="W547" i="1"/>
  <c r="S547" i="1"/>
  <c r="N547" i="1"/>
  <c r="M547" i="1"/>
  <c r="BR542" i="1"/>
  <c r="BM542" i="1"/>
  <c r="BR548" i="1" s="1"/>
  <c r="BH542" i="1"/>
  <c r="BC542" i="1"/>
  <c r="BC548" i="1" s="1"/>
  <c r="AX542" i="1"/>
  <c r="AS542" i="1"/>
  <c r="AN542" i="1"/>
  <c r="AJ542" i="1"/>
  <c r="AH542" i="1"/>
  <c r="AG542" i="1"/>
  <c r="AF542" i="1"/>
  <c r="AE542" i="1"/>
  <c r="AE548" i="1" s="1"/>
  <c r="AC542" i="1"/>
  <c r="AB542" i="1"/>
  <c r="AB548" i="1" s="1"/>
  <c r="AA542" i="1"/>
  <c r="Z542" i="1"/>
  <c r="X542" i="1"/>
  <c r="W542" i="1"/>
  <c r="W548" i="1" s="1"/>
  <c r="V542" i="1"/>
  <c r="U542" i="1"/>
  <c r="U548" i="1" s="1"/>
  <c r="T542" i="1"/>
  <c r="S542" i="1"/>
  <c r="R542" i="1"/>
  <c r="Q542" i="1"/>
  <c r="P542" i="1"/>
  <c r="N542" i="1"/>
  <c r="M542" i="1"/>
  <c r="M548" i="1" s="1"/>
  <c r="L542" i="1"/>
  <c r="K542" i="1"/>
  <c r="I542" i="1"/>
  <c r="H542" i="1"/>
  <c r="I547" i="1" s="1"/>
  <c r="G542" i="1"/>
  <c r="F542" i="1"/>
  <c r="E542" i="1"/>
  <c r="F548" i="1" s="1"/>
  <c r="D542" i="1"/>
  <c r="C542" i="1"/>
  <c r="AI541" i="1"/>
  <c r="AD541" i="1"/>
  <c r="Y541" i="1"/>
  <c r="Y542" i="1" s="1"/>
  <c r="T541" i="1"/>
  <c r="O541" i="1"/>
  <c r="J541" i="1"/>
  <c r="J542" i="1" s="1"/>
  <c r="AI540" i="1"/>
  <c r="AI542" i="1" s="1"/>
  <c r="AD540" i="1"/>
  <c r="AD542" i="1" s="1"/>
  <c r="Y540" i="1"/>
  <c r="T540" i="1"/>
  <c r="O540" i="1"/>
  <c r="O542" i="1" s="1"/>
  <c r="J540" i="1"/>
  <c r="BT537" i="1"/>
  <c r="BT42" i="9" s="1"/>
  <c r="BS537" i="1"/>
  <c r="BS42" i="9" s="1"/>
  <c r="BR537" i="1"/>
  <c r="BR42" i="9" s="1"/>
  <c r="BQ537" i="1"/>
  <c r="BQ42" i="9" s="1"/>
  <c r="BP537" i="1"/>
  <c r="BP42" i="9" s="1"/>
  <c r="BO537" i="1"/>
  <c r="BO42" i="9" s="1"/>
  <c r="BN537" i="1"/>
  <c r="BN42" i="9" s="1"/>
  <c r="BM537" i="1"/>
  <c r="BM42" i="9" s="1"/>
  <c r="BL537" i="1"/>
  <c r="BL42" i="9" s="1"/>
  <c r="BK537" i="1"/>
  <c r="BK42" i="9" s="1"/>
  <c r="BJ537" i="1"/>
  <c r="BJ42" i="9" s="1"/>
  <c r="BI537" i="1"/>
  <c r="BI42" i="9" s="1"/>
  <c r="BH537" i="1"/>
  <c r="BH42" i="9" s="1"/>
  <c r="BG537" i="1"/>
  <c r="BG42" i="9" s="1"/>
  <c r="BF537" i="1"/>
  <c r="BF42" i="9" s="1"/>
  <c r="BE537" i="1"/>
  <c r="BE42" i="9" s="1"/>
  <c r="BD537" i="1"/>
  <c r="BD42" i="9" s="1"/>
  <c r="BC537" i="1"/>
  <c r="BC42" i="9" s="1"/>
  <c r="BB537" i="1"/>
  <c r="BB42" i="9" s="1"/>
  <c r="BA537" i="1"/>
  <c r="BA42" i="9" s="1"/>
  <c r="AZ537" i="1"/>
  <c r="AZ42" i="9" s="1"/>
  <c r="AY537" i="1"/>
  <c r="AY42" i="9" s="1"/>
  <c r="AX537" i="1"/>
  <c r="AX42" i="9" s="1"/>
  <c r="AW537" i="1"/>
  <c r="AW42" i="9" s="1"/>
  <c r="AV537" i="1"/>
  <c r="AV42" i="9" s="1"/>
  <c r="AU537" i="1"/>
  <c r="AU42" i="9" s="1"/>
  <c r="AT537" i="1"/>
  <c r="AT42" i="9" s="1"/>
  <c r="AS537" i="1"/>
  <c r="AS42" i="9" s="1"/>
  <c r="AR537" i="1"/>
  <c r="AR42" i="9" s="1"/>
  <c r="AQ537" i="1"/>
  <c r="AQ42" i="9" s="1"/>
  <c r="AP537" i="1"/>
  <c r="AP42" i="9" s="1"/>
  <c r="AO537" i="1"/>
  <c r="AO42" i="9" s="1"/>
  <c r="AN537" i="1"/>
  <c r="AN42" i="9" s="1"/>
  <c r="AM537" i="1"/>
  <c r="AM42" i="9" s="1"/>
  <c r="AL537" i="1"/>
  <c r="AL42" i="9" s="1"/>
  <c r="AK537" i="1"/>
  <c r="AK42" i="9" s="1"/>
  <c r="AJ537" i="1"/>
  <c r="AJ42" i="9" s="1"/>
  <c r="AI537" i="1"/>
  <c r="AI42" i="9" s="1"/>
  <c r="AH537" i="1"/>
  <c r="AH42" i="9" s="1"/>
  <c r="AG537" i="1"/>
  <c r="AG42" i="9" s="1"/>
  <c r="AF537" i="1"/>
  <c r="AF42" i="9" s="1"/>
  <c r="AE537" i="1"/>
  <c r="AE42" i="9" s="1"/>
  <c r="AD537" i="1"/>
  <c r="AD42" i="9" s="1"/>
  <c r="AC537" i="1"/>
  <c r="AC42" i="9" s="1"/>
  <c r="AB537" i="1"/>
  <c r="AB42" i="9" s="1"/>
  <c r="AA537" i="1"/>
  <c r="AA42" i="9" s="1"/>
  <c r="Z537" i="1"/>
  <c r="Z42" i="9" s="1"/>
  <c r="Y537" i="1"/>
  <c r="Y42" i="9" s="1"/>
  <c r="X537" i="1"/>
  <c r="X42" i="9" s="1"/>
  <c r="W537" i="1"/>
  <c r="W42" i="9" s="1"/>
  <c r="V537" i="1"/>
  <c r="V42" i="9" s="1"/>
  <c r="U537" i="1"/>
  <c r="U42" i="9" s="1"/>
  <c r="T537" i="1"/>
  <c r="T42" i="9" s="1"/>
  <c r="S537" i="1"/>
  <c r="S42" i="9" s="1"/>
  <c r="R537" i="1"/>
  <c r="R42" i="9" s="1"/>
  <c r="Q537" i="1"/>
  <c r="Q42" i="9" s="1"/>
  <c r="P537" i="1"/>
  <c r="P42" i="9" s="1"/>
  <c r="O537" i="1"/>
  <c r="O42" i="9" s="1"/>
  <c r="N537" i="1"/>
  <c r="N42" i="9" s="1"/>
  <c r="M537" i="1"/>
  <c r="M42" i="9" s="1"/>
  <c r="L537" i="1"/>
  <c r="L42" i="9" s="1"/>
  <c r="K537" i="1"/>
  <c r="K42" i="9" s="1"/>
  <c r="J537" i="1"/>
  <c r="J42" i="9" s="1"/>
  <c r="I537" i="1"/>
  <c r="I42" i="9" s="1"/>
  <c r="H537" i="1"/>
  <c r="H42" i="9" s="1"/>
  <c r="G537" i="1"/>
  <c r="G42" i="9" s="1"/>
  <c r="F537" i="1"/>
  <c r="F42" i="9" s="1"/>
  <c r="E537" i="1"/>
  <c r="E42" i="9" s="1"/>
  <c r="D537" i="1"/>
  <c r="D42" i="9" s="1"/>
  <c r="C537" i="1"/>
  <c r="C42" i="9" s="1"/>
  <c r="A533" i="1"/>
  <c r="CC524" i="1"/>
  <c r="BX524" i="1"/>
  <c r="CC523" i="1"/>
  <c r="CC521" i="1"/>
  <c r="BX521" i="1"/>
  <c r="CC519" i="1"/>
  <c r="CC39" i="9" s="1"/>
  <c r="BX519" i="1"/>
  <c r="BX39" i="9" s="1"/>
  <c r="CC518" i="1"/>
  <c r="CC38" i="9" s="1"/>
  <c r="BT518" i="1"/>
  <c r="BS518" i="1"/>
  <c r="BS38" i="9" s="1"/>
  <c r="BQ518" i="1"/>
  <c r="BQ38" i="9" s="1"/>
  <c r="BP518" i="1"/>
  <c r="BP38" i="9" s="1"/>
  <c r="BO518" i="1"/>
  <c r="BO38" i="9" s="1"/>
  <c r="BN518" i="1"/>
  <c r="BN38" i="9" s="1"/>
  <c r="BL518" i="1"/>
  <c r="BL38" i="9" s="1"/>
  <c r="BK518" i="1"/>
  <c r="BK38" i="9" s="1"/>
  <c r="BJ518" i="1"/>
  <c r="BJ38" i="9" s="1"/>
  <c r="BI518" i="1"/>
  <c r="BI38" i="9" s="1"/>
  <c r="BG518" i="1"/>
  <c r="BG38" i="9" s="1"/>
  <c r="BF518" i="1"/>
  <c r="BF38" i="9" s="1"/>
  <c r="BE518" i="1"/>
  <c r="BE38" i="9" s="1"/>
  <c r="BD518" i="1"/>
  <c r="BD38" i="9" s="1"/>
  <c r="BB518" i="1"/>
  <c r="BB38" i="9" s="1"/>
  <c r="BA518" i="1"/>
  <c r="BA38" i="9" s="1"/>
  <c r="AZ518" i="1"/>
  <c r="AZ38" i="9" s="1"/>
  <c r="AY518" i="1"/>
  <c r="AY38" i="9" s="1"/>
  <c r="AW518" i="1"/>
  <c r="AW38" i="9" s="1"/>
  <c r="AV518" i="1"/>
  <c r="AV38" i="9" s="1"/>
  <c r="AU518" i="1"/>
  <c r="AU38" i="9" s="1"/>
  <c r="AT518" i="1"/>
  <c r="AT38" i="9" s="1"/>
  <c r="AR518" i="1"/>
  <c r="AR38" i="9" s="1"/>
  <c r="AQ518" i="1"/>
  <c r="AQ38" i="9" s="1"/>
  <c r="AP518" i="1"/>
  <c r="AP38" i="9" s="1"/>
  <c r="AO518" i="1"/>
  <c r="AO38" i="9" s="1"/>
  <c r="AM518" i="1"/>
  <c r="AM38" i="9" s="1"/>
  <c r="AL518" i="1"/>
  <c r="AL38" i="9" s="1"/>
  <c r="AK518" i="1"/>
  <c r="AK38" i="9" s="1"/>
  <c r="AJ518" i="1"/>
  <c r="AJ38" i="9" s="1"/>
  <c r="AH518" i="1"/>
  <c r="AH38" i="9" s="1"/>
  <c r="AG518" i="1"/>
  <c r="AG38" i="9" s="1"/>
  <c r="AF518" i="1"/>
  <c r="AF38" i="9" s="1"/>
  <c r="AE518" i="1"/>
  <c r="AE38" i="9" s="1"/>
  <c r="AC518" i="1"/>
  <c r="AC38" i="9" s="1"/>
  <c r="AB518" i="1"/>
  <c r="AB38" i="9" s="1"/>
  <c r="AA518" i="1"/>
  <c r="AA38" i="9" s="1"/>
  <c r="Z518" i="1"/>
  <c r="Z38" i="9" s="1"/>
  <c r="X518" i="1"/>
  <c r="X38" i="9" s="1"/>
  <c r="W518" i="1"/>
  <c r="W38" i="9" s="1"/>
  <c r="V518" i="1"/>
  <c r="V38" i="9" s="1"/>
  <c r="U518" i="1"/>
  <c r="U38" i="9" s="1"/>
  <c r="S518" i="1"/>
  <c r="S38" i="9" s="1"/>
  <c r="R518" i="1"/>
  <c r="R38" i="9" s="1"/>
  <c r="Q518" i="1"/>
  <c r="Q38" i="9" s="1"/>
  <c r="P518" i="1"/>
  <c r="P38" i="9" s="1"/>
  <c r="N518" i="1"/>
  <c r="N38" i="9" s="1"/>
  <c r="M518" i="1"/>
  <c r="M38" i="9" s="1"/>
  <c r="L518" i="1"/>
  <c r="L38" i="9" s="1"/>
  <c r="K518" i="1"/>
  <c r="K38" i="9" s="1"/>
  <c r="I518" i="1"/>
  <c r="I38" i="9" s="1"/>
  <c r="H518" i="1"/>
  <c r="H38" i="9" s="1"/>
  <c r="G518" i="1"/>
  <c r="G38" i="9" s="1"/>
  <c r="F518" i="1"/>
  <c r="F38" i="9" s="1"/>
  <c r="E518" i="1"/>
  <c r="E38" i="9" s="1"/>
  <c r="D518" i="1"/>
  <c r="D38" i="9" s="1"/>
  <c r="C518" i="1"/>
  <c r="C38" i="9" s="1"/>
  <c r="CC517" i="1"/>
  <c r="CC37" i="9" s="1"/>
  <c r="BX517" i="1"/>
  <c r="BX37" i="9" s="1"/>
  <c r="BT515" i="1"/>
  <c r="BS515" i="1"/>
  <c r="BR515" i="1"/>
  <c r="BQ515" i="1"/>
  <c r="BQ514" i="1" s="1"/>
  <c r="BP515" i="1"/>
  <c r="BO515" i="1"/>
  <c r="BN515" i="1"/>
  <c r="BM515" i="1"/>
  <c r="BL515" i="1"/>
  <c r="BK515" i="1"/>
  <c r="BJ515" i="1"/>
  <c r="BI515" i="1"/>
  <c r="BH515" i="1"/>
  <c r="BG515" i="1"/>
  <c r="BF515" i="1"/>
  <c r="BE515" i="1"/>
  <c r="BD515" i="1"/>
  <c r="BC515" i="1"/>
  <c r="BB515" i="1"/>
  <c r="BA515" i="1"/>
  <c r="BA514" i="1" s="1"/>
  <c r="AZ515" i="1"/>
  <c r="AY515" i="1"/>
  <c r="AX515" i="1"/>
  <c r="AW515" i="1"/>
  <c r="AW514" i="1" s="1"/>
  <c r="AV515" i="1"/>
  <c r="AU515" i="1"/>
  <c r="AT515" i="1"/>
  <c r="AS515" i="1"/>
  <c r="AR515" i="1"/>
  <c r="AQ515" i="1"/>
  <c r="AP515" i="1"/>
  <c r="AO515" i="1"/>
  <c r="AN515" i="1"/>
  <c r="AM515" i="1"/>
  <c r="AL515" i="1"/>
  <c r="AK515" i="1"/>
  <c r="AK514" i="1" s="1"/>
  <c r="AJ515" i="1"/>
  <c r="AI515" i="1"/>
  <c r="AH515" i="1"/>
  <c r="AG515" i="1"/>
  <c r="AG514" i="1" s="1"/>
  <c r="AF515" i="1"/>
  <c r="AE515" i="1"/>
  <c r="AD515" i="1"/>
  <c r="AC515" i="1"/>
  <c r="AB515" i="1"/>
  <c r="AA515" i="1"/>
  <c r="Z515" i="1"/>
  <c r="Y515" i="1"/>
  <c r="X515" i="1"/>
  <c r="W515" i="1"/>
  <c r="V515" i="1"/>
  <c r="U515" i="1"/>
  <c r="U514" i="1" s="1"/>
  <c r="T515" i="1"/>
  <c r="S515" i="1"/>
  <c r="R515" i="1"/>
  <c r="Q515" i="1"/>
  <c r="Q514" i="1" s="1"/>
  <c r="P515" i="1"/>
  <c r="O515" i="1"/>
  <c r="N515" i="1"/>
  <c r="M515" i="1"/>
  <c r="L515" i="1"/>
  <c r="K515" i="1"/>
  <c r="J515" i="1"/>
  <c r="I515" i="1"/>
  <c r="H515" i="1"/>
  <c r="G515" i="1"/>
  <c r="F515" i="1"/>
  <c r="E515" i="1"/>
  <c r="E514" i="1" s="1"/>
  <c r="D515" i="1"/>
  <c r="C515" i="1"/>
  <c r="BT514" i="1"/>
  <c r="BS514" i="1"/>
  <c r="BO514" i="1"/>
  <c r="BO36" i="9" s="1"/>
  <c r="BN514" i="1"/>
  <c r="BN36" i="9" s="1"/>
  <c r="BL514" i="1"/>
  <c r="BK514" i="1"/>
  <c r="BJ514" i="1"/>
  <c r="BJ36" i="9" s="1"/>
  <c r="BG514" i="1"/>
  <c r="BF514" i="1"/>
  <c r="BF36" i="9" s="1"/>
  <c r="BD514" i="1"/>
  <c r="BB514" i="1"/>
  <c r="BB36" i="9" s="1"/>
  <c r="AY514" i="1"/>
  <c r="AY36" i="9" s="1"/>
  <c r="AV514" i="1"/>
  <c r="AU514" i="1"/>
  <c r="AT514" i="1"/>
  <c r="AT36" i="9" s="1"/>
  <c r="AQ514" i="1"/>
  <c r="AP514" i="1"/>
  <c r="AP36" i="9" s="1"/>
  <c r="AM514" i="1"/>
  <c r="AL514" i="1"/>
  <c r="AL36" i="9" s="1"/>
  <c r="AH514" i="1"/>
  <c r="AH36" i="9" s="1"/>
  <c r="AF514" i="1"/>
  <c r="AE514" i="1"/>
  <c r="AA514" i="1"/>
  <c r="Z514" i="1"/>
  <c r="Z36" i="9" s="1"/>
  <c r="X514" i="1"/>
  <c r="W514" i="1"/>
  <c r="V514" i="1"/>
  <c r="V36" i="9" s="1"/>
  <c r="S514" i="1"/>
  <c r="S36" i="9" s="1"/>
  <c r="R514" i="1"/>
  <c r="R36" i="9" s="1"/>
  <c r="P514" i="1"/>
  <c r="N514" i="1"/>
  <c r="N36" i="9" s="1"/>
  <c r="K514" i="1"/>
  <c r="H514" i="1"/>
  <c r="G514" i="1"/>
  <c r="F514" i="1"/>
  <c r="F36" i="9" s="1"/>
  <c r="C514" i="1"/>
  <c r="C36" i="9" s="1"/>
  <c r="CC511" i="1"/>
  <c r="CC34" i="9" s="1"/>
  <c r="BX511" i="1"/>
  <c r="BX34" i="9" s="1"/>
  <c r="BT510" i="1"/>
  <c r="BS510" i="1"/>
  <c r="BR510" i="1"/>
  <c r="BQ510" i="1"/>
  <c r="BP510" i="1"/>
  <c r="BO510" i="1"/>
  <c r="BN510" i="1"/>
  <c r="BM510" i="1"/>
  <c r="BL510" i="1"/>
  <c r="BK510" i="1"/>
  <c r="BJ510" i="1"/>
  <c r="BI510" i="1"/>
  <c r="BH510" i="1"/>
  <c r="BG510" i="1"/>
  <c r="BF510" i="1"/>
  <c r="BE510" i="1"/>
  <c r="BD510" i="1"/>
  <c r="BC510" i="1"/>
  <c r="BB510" i="1"/>
  <c r="BA510" i="1"/>
  <c r="AZ510" i="1"/>
  <c r="AY510" i="1"/>
  <c r="AW510" i="1"/>
  <c r="AV510" i="1"/>
  <c r="AU510" i="1"/>
  <c r="AT510" i="1"/>
  <c r="AR510" i="1"/>
  <c r="AQ510" i="1"/>
  <c r="AP510" i="1"/>
  <c r="AO510" i="1"/>
  <c r="AM510" i="1"/>
  <c r="AL510" i="1"/>
  <c r="AK510" i="1"/>
  <c r="AJ510" i="1"/>
  <c r="AH510" i="1"/>
  <c r="AG510" i="1"/>
  <c r="AF510" i="1"/>
  <c r="AE510" i="1"/>
  <c r="AC510" i="1"/>
  <c r="AB510" i="1"/>
  <c r="AA510" i="1"/>
  <c r="Z510" i="1"/>
  <c r="X510" i="1"/>
  <c r="W510" i="1"/>
  <c r="V510" i="1"/>
  <c r="U510" i="1"/>
  <c r="S510" i="1"/>
  <c r="R510" i="1"/>
  <c r="Q510" i="1"/>
  <c r="P510" i="1"/>
  <c r="N510" i="1"/>
  <c r="M510" i="1"/>
  <c r="L510" i="1"/>
  <c r="K510" i="1"/>
  <c r="I510" i="1"/>
  <c r="H510" i="1"/>
  <c r="G510" i="1"/>
  <c r="F510" i="1"/>
  <c r="E510" i="1"/>
  <c r="D510" i="1"/>
  <c r="C510" i="1"/>
  <c r="CC508" i="1"/>
  <c r="CC32" i="9" s="1"/>
  <c r="BX508" i="1"/>
  <c r="BX32" i="9" s="1"/>
  <c r="BT508" i="1"/>
  <c r="BT32" i="9" s="1"/>
  <c r="BR508" i="1"/>
  <c r="BR32" i="9" s="1"/>
  <c r="BQ508" i="1"/>
  <c r="BP508" i="1"/>
  <c r="BP32" i="9" s="1"/>
  <c r="BO508" i="1"/>
  <c r="BO32" i="9" s="1"/>
  <c r="BM508" i="1"/>
  <c r="BM32" i="9" s="1"/>
  <c r="BL508" i="1"/>
  <c r="BK508" i="1"/>
  <c r="BK32" i="9" s="1"/>
  <c r="BJ508" i="1"/>
  <c r="BJ32" i="9" s="1"/>
  <c r="BI508" i="1"/>
  <c r="BI32" i="9" s="1"/>
  <c r="BH508" i="1"/>
  <c r="BH32" i="9" s="1"/>
  <c r="BG508" i="1"/>
  <c r="BG32" i="9" s="1"/>
  <c r="BF508" i="1"/>
  <c r="BF32" i="9" s="1"/>
  <c r="BE508" i="1"/>
  <c r="BE32" i="9" s="1"/>
  <c r="BD508" i="1"/>
  <c r="BD32" i="9" s="1"/>
  <c r="BC508" i="1"/>
  <c r="BC32" i="9" s="1"/>
  <c r="BB508" i="1"/>
  <c r="BB32" i="9" s="1"/>
  <c r="BA508" i="1"/>
  <c r="BA32" i="9" s="1"/>
  <c r="AZ508" i="1"/>
  <c r="AZ32" i="9" s="1"/>
  <c r="AY508" i="1"/>
  <c r="AY32" i="9" s="1"/>
  <c r="AW508" i="1"/>
  <c r="AW32" i="9" s="1"/>
  <c r="AV508" i="1"/>
  <c r="AV32" i="9" s="1"/>
  <c r="AU508" i="1"/>
  <c r="AU32" i="9" s="1"/>
  <c r="AT508" i="1"/>
  <c r="AT32" i="9" s="1"/>
  <c r="AR508" i="1"/>
  <c r="AR32" i="9" s="1"/>
  <c r="AQ508" i="1"/>
  <c r="AQ32" i="9" s="1"/>
  <c r="AP508" i="1"/>
  <c r="AP32" i="9" s="1"/>
  <c r="AO508" i="1"/>
  <c r="AO32" i="9" s="1"/>
  <c r="AM508" i="1"/>
  <c r="AM32" i="9" s="1"/>
  <c r="AL508" i="1"/>
  <c r="AL32" i="9" s="1"/>
  <c r="AK508" i="1"/>
  <c r="AK32" i="9" s="1"/>
  <c r="AJ508" i="1"/>
  <c r="AJ32" i="9" s="1"/>
  <c r="AH508" i="1"/>
  <c r="AH32" i="9" s="1"/>
  <c r="AG508" i="1"/>
  <c r="AG32" i="9" s="1"/>
  <c r="AF508" i="1"/>
  <c r="AF32" i="9" s="1"/>
  <c r="AE508" i="1"/>
  <c r="AE32" i="9" s="1"/>
  <c r="AC508" i="1"/>
  <c r="AC32" i="9" s="1"/>
  <c r="AB508" i="1"/>
  <c r="AB32" i="9" s="1"/>
  <c r="AA508" i="1"/>
  <c r="AA32" i="9" s="1"/>
  <c r="Z508" i="1"/>
  <c r="Z32" i="9" s="1"/>
  <c r="X508" i="1"/>
  <c r="X32" i="9" s="1"/>
  <c r="W508" i="1"/>
  <c r="W32" i="9" s="1"/>
  <c r="V508" i="1"/>
  <c r="V32" i="9" s="1"/>
  <c r="U508" i="1"/>
  <c r="U32" i="9" s="1"/>
  <c r="S508" i="1"/>
  <c r="S32" i="9" s="1"/>
  <c r="R508" i="1"/>
  <c r="R32" i="9" s="1"/>
  <c r="Q508" i="1"/>
  <c r="Q32" i="9" s="1"/>
  <c r="P508" i="1"/>
  <c r="P32" i="9" s="1"/>
  <c r="N508" i="1"/>
  <c r="N32" i="9" s="1"/>
  <c r="M508" i="1"/>
  <c r="M32" i="9" s="1"/>
  <c r="L508" i="1"/>
  <c r="L32" i="9" s="1"/>
  <c r="K508" i="1"/>
  <c r="K32" i="9" s="1"/>
  <c r="I508" i="1"/>
  <c r="I32" i="9" s="1"/>
  <c r="H508" i="1"/>
  <c r="H32" i="9" s="1"/>
  <c r="G508" i="1"/>
  <c r="G32" i="9" s="1"/>
  <c r="F508" i="1"/>
  <c r="F32" i="9" s="1"/>
  <c r="E508" i="1"/>
  <c r="E32" i="9" s="1"/>
  <c r="D508" i="1"/>
  <c r="D32" i="9" s="1"/>
  <c r="C508" i="1"/>
  <c r="C32" i="9" s="1"/>
  <c r="CC507" i="1"/>
  <c r="CC31" i="9" s="1"/>
  <c r="BT507" i="1"/>
  <c r="BT31" i="9" s="1"/>
  <c r="BS507" i="1"/>
  <c r="BS31" i="9" s="1"/>
  <c r="BR507" i="1"/>
  <c r="BR31" i="9" s="1"/>
  <c r="BQ507" i="1"/>
  <c r="BQ31" i="9" s="1"/>
  <c r="BP507" i="1"/>
  <c r="BP31" i="9" s="1"/>
  <c r="BO507" i="1"/>
  <c r="BO31" i="9" s="1"/>
  <c r="BN507" i="1"/>
  <c r="BN31" i="9" s="1"/>
  <c r="BM507" i="1"/>
  <c r="BM31" i="9" s="1"/>
  <c r="BL507" i="1"/>
  <c r="BL31" i="9" s="1"/>
  <c r="BK507" i="1"/>
  <c r="BK31" i="9" s="1"/>
  <c r="BJ507" i="1"/>
  <c r="BJ31" i="9" s="1"/>
  <c r="BI507" i="1"/>
  <c r="BI31" i="9" s="1"/>
  <c r="BH507" i="1"/>
  <c r="BH31" i="9" s="1"/>
  <c r="BG507" i="1"/>
  <c r="BG31" i="9" s="1"/>
  <c r="BF507" i="1"/>
  <c r="BF31" i="9" s="1"/>
  <c r="BE507" i="1"/>
  <c r="BE31" i="9" s="1"/>
  <c r="BD507" i="1"/>
  <c r="BD31" i="9" s="1"/>
  <c r="BC507" i="1"/>
  <c r="BC31" i="9" s="1"/>
  <c r="BB507" i="1"/>
  <c r="BB31" i="9" s="1"/>
  <c r="BA507" i="1"/>
  <c r="BA31" i="9" s="1"/>
  <c r="AZ507" i="1"/>
  <c r="AZ31" i="9" s="1"/>
  <c r="AY507" i="1"/>
  <c r="AY31" i="9" s="1"/>
  <c r="AW507" i="1"/>
  <c r="AW31" i="9" s="1"/>
  <c r="AV507" i="1"/>
  <c r="AV31" i="9" s="1"/>
  <c r="AU507" i="1"/>
  <c r="AU31" i="9" s="1"/>
  <c r="AT507" i="1"/>
  <c r="AT31" i="9" s="1"/>
  <c r="AR507" i="1"/>
  <c r="AR31" i="9" s="1"/>
  <c r="AQ507" i="1"/>
  <c r="AQ31" i="9" s="1"/>
  <c r="AP507" i="1"/>
  <c r="AP31" i="9" s="1"/>
  <c r="AO507" i="1"/>
  <c r="AO31" i="9" s="1"/>
  <c r="AM507" i="1"/>
  <c r="AM31" i="9" s="1"/>
  <c r="AL507" i="1"/>
  <c r="AL31" i="9" s="1"/>
  <c r="AK507" i="1"/>
  <c r="AK31" i="9" s="1"/>
  <c r="AJ507" i="1"/>
  <c r="AJ31" i="9" s="1"/>
  <c r="AH507" i="1"/>
  <c r="AH31" i="9" s="1"/>
  <c r="AG507" i="1"/>
  <c r="AG31" i="9" s="1"/>
  <c r="AF507" i="1"/>
  <c r="AF31" i="9" s="1"/>
  <c r="AE507" i="1"/>
  <c r="AE31" i="9" s="1"/>
  <c r="AC507" i="1"/>
  <c r="AC31" i="9" s="1"/>
  <c r="AB507" i="1"/>
  <c r="AB31" i="9" s="1"/>
  <c r="AA507" i="1"/>
  <c r="AA31" i="9" s="1"/>
  <c r="Z507" i="1"/>
  <c r="Z31" i="9" s="1"/>
  <c r="X507" i="1"/>
  <c r="X31" i="9" s="1"/>
  <c r="W507" i="1"/>
  <c r="W31" i="9" s="1"/>
  <c r="V507" i="1"/>
  <c r="V31" i="9" s="1"/>
  <c r="U507" i="1"/>
  <c r="U31" i="9" s="1"/>
  <c r="S507" i="1"/>
  <c r="S31" i="9" s="1"/>
  <c r="R507" i="1"/>
  <c r="R31" i="9" s="1"/>
  <c r="Q507" i="1"/>
  <c r="Q31" i="9" s="1"/>
  <c r="P507" i="1"/>
  <c r="P31" i="9" s="1"/>
  <c r="N507" i="1"/>
  <c r="N31" i="9" s="1"/>
  <c r="M507" i="1"/>
  <c r="M31" i="9" s="1"/>
  <c r="L507" i="1"/>
  <c r="L31" i="9" s="1"/>
  <c r="K507" i="1"/>
  <c r="K31" i="9" s="1"/>
  <c r="I507" i="1"/>
  <c r="I31" i="9" s="1"/>
  <c r="H507" i="1"/>
  <c r="H31" i="9" s="1"/>
  <c r="G507" i="1"/>
  <c r="G31" i="9" s="1"/>
  <c r="F507" i="1"/>
  <c r="F31" i="9" s="1"/>
  <c r="E507" i="1"/>
  <c r="E31" i="9" s="1"/>
  <c r="D507" i="1"/>
  <c r="D31" i="9" s="1"/>
  <c r="C507" i="1"/>
  <c r="C31" i="9" s="1"/>
  <c r="A505" i="1"/>
  <c r="A862" i="1" s="1"/>
  <c r="BT502" i="1"/>
  <c r="BT27" i="9" s="1"/>
  <c r="BS502" i="1"/>
  <c r="BS27" i="9" s="1"/>
  <c r="BQ502" i="1"/>
  <c r="BQ27" i="9" s="1"/>
  <c r="BP502" i="1"/>
  <c r="BP27" i="9" s="1"/>
  <c r="BO502" i="1"/>
  <c r="BO27" i="9" s="1"/>
  <c r="BN502" i="1"/>
  <c r="BN27" i="9" s="1"/>
  <c r="BL502" i="1"/>
  <c r="BL27" i="9" s="1"/>
  <c r="BK502" i="1"/>
  <c r="BK27" i="9" s="1"/>
  <c r="BJ502" i="1"/>
  <c r="BJ27" i="9" s="1"/>
  <c r="BI502" i="1"/>
  <c r="BI27" i="9" s="1"/>
  <c r="BG502" i="1"/>
  <c r="BG27" i="9" s="1"/>
  <c r="BF502" i="1"/>
  <c r="BF27" i="9" s="1"/>
  <c r="BE502" i="1"/>
  <c r="BE27" i="9" s="1"/>
  <c r="BD502" i="1"/>
  <c r="BD27" i="9" s="1"/>
  <c r="BB502" i="1"/>
  <c r="BB27" i="9" s="1"/>
  <c r="BA502" i="1"/>
  <c r="BA27" i="9" s="1"/>
  <c r="AZ502" i="1"/>
  <c r="AZ27" i="9" s="1"/>
  <c r="AY502" i="1"/>
  <c r="AY27" i="9" s="1"/>
  <c r="AW502" i="1"/>
  <c r="AW27" i="9" s="1"/>
  <c r="AV502" i="1"/>
  <c r="AV27" i="9" s="1"/>
  <c r="AU502" i="1"/>
  <c r="AU27" i="9" s="1"/>
  <c r="AT502" i="1"/>
  <c r="AT27" i="9" s="1"/>
  <c r="AR502" i="1"/>
  <c r="AR27" i="9" s="1"/>
  <c r="AQ502" i="1"/>
  <c r="AQ27" i="9" s="1"/>
  <c r="AP502" i="1"/>
  <c r="AP27" i="9" s="1"/>
  <c r="AO502" i="1"/>
  <c r="AO27" i="9" s="1"/>
  <c r="AM502" i="1"/>
  <c r="AM27" i="9" s="1"/>
  <c r="AL502" i="1"/>
  <c r="AL27" i="9" s="1"/>
  <c r="AK502" i="1"/>
  <c r="AK27" i="9" s="1"/>
  <c r="AJ502" i="1"/>
  <c r="AJ27" i="9" s="1"/>
  <c r="AH502" i="1"/>
  <c r="AH27" i="9" s="1"/>
  <c r="AG502" i="1"/>
  <c r="AG27" i="9" s="1"/>
  <c r="AF502" i="1"/>
  <c r="AF27" i="9" s="1"/>
  <c r="AE502" i="1"/>
  <c r="AE27" i="9" s="1"/>
  <c r="AC502" i="1"/>
  <c r="AC27" i="9" s="1"/>
  <c r="AB502" i="1"/>
  <c r="AB27" i="9" s="1"/>
  <c r="AA502" i="1"/>
  <c r="AA27" i="9" s="1"/>
  <c r="Z502" i="1"/>
  <c r="Z27" i="9" s="1"/>
  <c r="X502" i="1"/>
  <c r="X27" i="9" s="1"/>
  <c r="W502" i="1"/>
  <c r="W27" i="9" s="1"/>
  <c r="V502" i="1"/>
  <c r="V27" i="9" s="1"/>
  <c r="U502" i="1"/>
  <c r="U27" i="9" s="1"/>
  <c r="S502" i="1"/>
  <c r="S27" i="9" s="1"/>
  <c r="R502" i="1"/>
  <c r="R27" i="9" s="1"/>
  <c r="Q502" i="1"/>
  <c r="Q27" i="9" s="1"/>
  <c r="P502" i="1"/>
  <c r="P27" i="9" s="1"/>
  <c r="N502" i="1"/>
  <c r="N27" i="9" s="1"/>
  <c r="M502" i="1"/>
  <c r="M27" i="9" s="1"/>
  <c r="L502" i="1"/>
  <c r="L27" i="9" s="1"/>
  <c r="K502" i="1"/>
  <c r="K27" i="9" s="1"/>
  <c r="I502" i="1"/>
  <c r="I27" i="9" s="1"/>
  <c r="H502" i="1"/>
  <c r="H27" i="9" s="1"/>
  <c r="G502" i="1"/>
  <c r="G27" i="9" s="1"/>
  <c r="F502" i="1"/>
  <c r="F27" i="9" s="1"/>
  <c r="E502" i="1"/>
  <c r="E27" i="9" s="1"/>
  <c r="D502" i="1"/>
  <c r="D27" i="9" s="1"/>
  <c r="C502" i="1"/>
  <c r="C27" i="9" s="1"/>
  <c r="BT501" i="1"/>
  <c r="BT29" i="9" s="1"/>
  <c r="BS501" i="1"/>
  <c r="BS29" i="9" s="1"/>
  <c r="BQ501" i="1"/>
  <c r="BQ29" i="9" s="1"/>
  <c r="BP501" i="1"/>
  <c r="BP29" i="9" s="1"/>
  <c r="BO501" i="1"/>
  <c r="BO29" i="9" s="1"/>
  <c r="BN501" i="1"/>
  <c r="BN29" i="9" s="1"/>
  <c r="BL501" i="1"/>
  <c r="BL29" i="9" s="1"/>
  <c r="BK501" i="1"/>
  <c r="BK29" i="9" s="1"/>
  <c r="BJ501" i="1"/>
  <c r="BJ29" i="9" s="1"/>
  <c r="BI501" i="1"/>
  <c r="BI29" i="9" s="1"/>
  <c r="BG501" i="1"/>
  <c r="BG29" i="9" s="1"/>
  <c r="BF501" i="1"/>
  <c r="BF29" i="9" s="1"/>
  <c r="BE501" i="1"/>
  <c r="BE29" i="9" s="1"/>
  <c r="BD501" i="1"/>
  <c r="BD29" i="9" s="1"/>
  <c r="BB501" i="1"/>
  <c r="BB29" i="9" s="1"/>
  <c r="BA501" i="1"/>
  <c r="BA29" i="9" s="1"/>
  <c r="AZ501" i="1"/>
  <c r="AZ29" i="9" s="1"/>
  <c r="AY501" i="1"/>
  <c r="AY29" i="9" s="1"/>
  <c r="AW501" i="1"/>
  <c r="AW29" i="9" s="1"/>
  <c r="AV501" i="1"/>
  <c r="AV29" i="9" s="1"/>
  <c r="AU501" i="1"/>
  <c r="AU29" i="9" s="1"/>
  <c r="AT501" i="1"/>
  <c r="AT29" i="9" s="1"/>
  <c r="AR501" i="1"/>
  <c r="AR29" i="9" s="1"/>
  <c r="AQ501" i="1"/>
  <c r="AQ29" i="9" s="1"/>
  <c r="AP501" i="1"/>
  <c r="AP29" i="9" s="1"/>
  <c r="AO501" i="1"/>
  <c r="AO29" i="9" s="1"/>
  <c r="AM501" i="1"/>
  <c r="AM29" i="9" s="1"/>
  <c r="AL501" i="1"/>
  <c r="AL29" i="9" s="1"/>
  <c r="AK501" i="1"/>
  <c r="AK29" i="9" s="1"/>
  <c r="AJ501" i="1"/>
  <c r="AJ29" i="9" s="1"/>
  <c r="AH501" i="1"/>
  <c r="AH29" i="9" s="1"/>
  <c r="AG501" i="1"/>
  <c r="AG29" i="9" s="1"/>
  <c r="AF501" i="1"/>
  <c r="AF29" i="9" s="1"/>
  <c r="AE501" i="1"/>
  <c r="AE29" i="9" s="1"/>
  <c r="AC501" i="1"/>
  <c r="AC29" i="9" s="1"/>
  <c r="AB501" i="1"/>
  <c r="AB29" i="9" s="1"/>
  <c r="AA501" i="1"/>
  <c r="AA29" i="9" s="1"/>
  <c r="Z501" i="1"/>
  <c r="Z29" i="9" s="1"/>
  <c r="X501" i="1"/>
  <c r="X29" i="9" s="1"/>
  <c r="W501" i="1"/>
  <c r="W29" i="9" s="1"/>
  <c r="V501" i="1"/>
  <c r="V29" i="9" s="1"/>
  <c r="U501" i="1"/>
  <c r="U29" i="9" s="1"/>
  <c r="S501" i="1"/>
  <c r="S29" i="9" s="1"/>
  <c r="R501" i="1"/>
  <c r="R29" i="9" s="1"/>
  <c r="Q501" i="1"/>
  <c r="Q29" i="9" s="1"/>
  <c r="P501" i="1"/>
  <c r="P29" i="9" s="1"/>
  <c r="N501" i="1"/>
  <c r="N29" i="9" s="1"/>
  <c r="N50" i="9" s="1"/>
  <c r="M501" i="1"/>
  <c r="M29" i="9" s="1"/>
  <c r="L501" i="1"/>
  <c r="L29" i="9" s="1"/>
  <c r="K501" i="1"/>
  <c r="K29" i="9" s="1"/>
  <c r="I501" i="1"/>
  <c r="I29" i="9" s="1"/>
  <c r="H501" i="1"/>
  <c r="H29" i="9" s="1"/>
  <c r="G501" i="1"/>
  <c r="G29" i="9" s="1"/>
  <c r="F501" i="1"/>
  <c r="F29" i="9" s="1"/>
  <c r="E501" i="1"/>
  <c r="E29" i="9" s="1"/>
  <c r="D501" i="1"/>
  <c r="D29" i="9" s="1"/>
  <c r="C501" i="1"/>
  <c r="C29" i="9" s="1"/>
  <c r="BT500" i="1"/>
  <c r="BT28" i="9" s="1"/>
  <c r="BS500" i="1"/>
  <c r="BS28" i="9" s="1"/>
  <c r="BQ500" i="1"/>
  <c r="BQ28" i="9" s="1"/>
  <c r="BP500" i="1"/>
  <c r="BP28" i="9" s="1"/>
  <c r="BO500" i="1"/>
  <c r="BO28" i="9" s="1"/>
  <c r="BN500" i="1"/>
  <c r="BN28" i="9" s="1"/>
  <c r="BL500" i="1"/>
  <c r="BL28" i="9" s="1"/>
  <c r="BK500" i="1"/>
  <c r="BK28" i="9" s="1"/>
  <c r="BJ500" i="1"/>
  <c r="BJ28" i="9" s="1"/>
  <c r="BI500" i="1"/>
  <c r="BI28" i="9" s="1"/>
  <c r="BG500" i="1"/>
  <c r="BG28" i="9" s="1"/>
  <c r="BF500" i="1"/>
  <c r="BF28" i="9" s="1"/>
  <c r="BE500" i="1"/>
  <c r="BE28" i="9" s="1"/>
  <c r="BD500" i="1"/>
  <c r="BD28" i="9" s="1"/>
  <c r="BB500" i="1"/>
  <c r="BB28" i="9" s="1"/>
  <c r="BA500" i="1"/>
  <c r="BA28" i="9" s="1"/>
  <c r="AZ500" i="1"/>
  <c r="AZ28" i="9" s="1"/>
  <c r="AY500" i="1"/>
  <c r="AY28" i="9" s="1"/>
  <c r="AW500" i="1"/>
  <c r="AW28" i="9" s="1"/>
  <c r="AV500" i="1"/>
  <c r="AV28" i="9" s="1"/>
  <c r="AU500" i="1"/>
  <c r="AU28" i="9" s="1"/>
  <c r="AT500" i="1"/>
  <c r="AT28" i="9" s="1"/>
  <c r="AR500" i="1"/>
  <c r="AR28" i="9" s="1"/>
  <c r="AQ500" i="1"/>
  <c r="AQ28" i="9" s="1"/>
  <c r="AP500" i="1"/>
  <c r="AP28" i="9" s="1"/>
  <c r="AO500" i="1"/>
  <c r="AO28" i="9" s="1"/>
  <c r="AM500" i="1"/>
  <c r="AM28" i="9" s="1"/>
  <c r="AL500" i="1"/>
  <c r="AL28" i="9" s="1"/>
  <c r="AK500" i="1"/>
  <c r="AK28" i="9" s="1"/>
  <c r="AJ500" i="1"/>
  <c r="AJ28" i="9" s="1"/>
  <c r="AH500" i="1"/>
  <c r="AH28" i="9" s="1"/>
  <c r="AG500" i="1"/>
  <c r="AG28" i="9" s="1"/>
  <c r="AF500" i="1"/>
  <c r="AF28" i="9" s="1"/>
  <c r="AE500" i="1"/>
  <c r="AE28" i="9" s="1"/>
  <c r="AC500" i="1"/>
  <c r="AC28" i="9" s="1"/>
  <c r="AB500" i="1"/>
  <c r="AB28" i="9" s="1"/>
  <c r="AA500" i="1"/>
  <c r="AA28" i="9" s="1"/>
  <c r="Z500" i="1"/>
  <c r="Z28" i="9" s="1"/>
  <c r="X500" i="1"/>
  <c r="X28" i="9" s="1"/>
  <c r="W500" i="1"/>
  <c r="W28" i="9" s="1"/>
  <c r="V500" i="1"/>
  <c r="V28" i="9" s="1"/>
  <c r="U500" i="1"/>
  <c r="U28" i="9" s="1"/>
  <c r="S500" i="1"/>
  <c r="S28" i="9" s="1"/>
  <c r="R500" i="1"/>
  <c r="R28" i="9" s="1"/>
  <c r="Q500" i="1"/>
  <c r="Q28" i="9" s="1"/>
  <c r="P500" i="1"/>
  <c r="P28" i="9" s="1"/>
  <c r="N500" i="1"/>
  <c r="N28" i="9" s="1"/>
  <c r="M500" i="1"/>
  <c r="M28" i="9" s="1"/>
  <c r="L500" i="1"/>
  <c r="L28" i="9" s="1"/>
  <c r="K500" i="1"/>
  <c r="K28" i="9" s="1"/>
  <c r="I500" i="1"/>
  <c r="I28" i="9" s="1"/>
  <c r="H500" i="1"/>
  <c r="H28" i="9" s="1"/>
  <c r="G500" i="1"/>
  <c r="G28" i="9" s="1"/>
  <c r="F500" i="1"/>
  <c r="F28" i="9" s="1"/>
  <c r="E500" i="1"/>
  <c r="E28" i="9" s="1"/>
  <c r="D500" i="1"/>
  <c r="D28" i="9" s="1"/>
  <c r="C500" i="1"/>
  <c r="C28" i="9" s="1"/>
  <c r="BT499" i="1"/>
  <c r="BS499" i="1"/>
  <c r="BS26" i="9" s="1"/>
  <c r="BQ499" i="1"/>
  <c r="BQ26" i="9" s="1"/>
  <c r="BP499" i="1"/>
  <c r="BP26" i="9" s="1"/>
  <c r="BO499" i="1"/>
  <c r="BO26" i="9" s="1"/>
  <c r="BN499" i="1"/>
  <c r="BN26" i="9" s="1"/>
  <c r="BL499" i="1"/>
  <c r="BL26" i="9" s="1"/>
  <c r="BK499" i="1"/>
  <c r="BK26" i="9" s="1"/>
  <c r="BJ499" i="1"/>
  <c r="BJ26" i="9" s="1"/>
  <c r="BI499" i="1"/>
  <c r="BI26" i="9" s="1"/>
  <c r="BG499" i="1"/>
  <c r="BG26" i="9" s="1"/>
  <c r="BF499" i="1"/>
  <c r="BF26" i="9" s="1"/>
  <c r="BE499" i="1"/>
  <c r="BE26" i="9" s="1"/>
  <c r="BE52" i="9" s="1"/>
  <c r="BD499" i="1"/>
  <c r="BD26" i="9" s="1"/>
  <c r="BB499" i="1"/>
  <c r="BB26" i="9" s="1"/>
  <c r="BA499" i="1"/>
  <c r="BA26" i="9" s="1"/>
  <c r="AZ499" i="1"/>
  <c r="AZ26" i="9" s="1"/>
  <c r="AY499" i="1"/>
  <c r="AY26" i="9" s="1"/>
  <c r="AW499" i="1"/>
  <c r="AW26" i="9" s="1"/>
  <c r="AV499" i="1"/>
  <c r="AV26" i="9" s="1"/>
  <c r="AU499" i="1"/>
  <c r="AU26" i="9" s="1"/>
  <c r="AT499" i="1"/>
  <c r="AT26" i="9" s="1"/>
  <c r="AR499" i="1"/>
  <c r="AR26" i="9" s="1"/>
  <c r="AQ499" i="1"/>
  <c r="AQ26" i="9" s="1"/>
  <c r="AP499" i="1"/>
  <c r="AP26" i="9" s="1"/>
  <c r="AO499" i="1"/>
  <c r="AO26" i="9" s="1"/>
  <c r="AM499" i="1"/>
  <c r="AM26" i="9" s="1"/>
  <c r="AL499" i="1"/>
  <c r="AL26" i="9" s="1"/>
  <c r="AK499" i="1"/>
  <c r="AK26" i="9" s="1"/>
  <c r="AJ499" i="1"/>
  <c r="AJ26" i="9" s="1"/>
  <c r="AH499" i="1"/>
  <c r="AH26" i="9" s="1"/>
  <c r="AG499" i="1"/>
  <c r="AG26" i="9" s="1"/>
  <c r="AF499" i="1"/>
  <c r="AF26" i="9" s="1"/>
  <c r="AE499" i="1"/>
  <c r="AE26" i="9" s="1"/>
  <c r="AC499" i="1"/>
  <c r="AC26" i="9" s="1"/>
  <c r="AB499" i="1"/>
  <c r="AB26" i="9" s="1"/>
  <c r="AA499" i="1"/>
  <c r="AA26" i="9" s="1"/>
  <c r="Z499" i="1"/>
  <c r="Z26" i="9" s="1"/>
  <c r="X499" i="1"/>
  <c r="X26" i="9" s="1"/>
  <c r="W499" i="1"/>
  <c r="W26" i="9" s="1"/>
  <c r="V499" i="1"/>
  <c r="V26" i="9" s="1"/>
  <c r="U499" i="1"/>
  <c r="U26" i="9" s="1"/>
  <c r="S499" i="1"/>
  <c r="S26" i="9" s="1"/>
  <c r="R499" i="1"/>
  <c r="R26" i="9" s="1"/>
  <c r="Q499" i="1"/>
  <c r="Q26" i="9" s="1"/>
  <c r="Q52" i="9" s="1"/>
  <c r="P499" i="1"/>
  <c r="P26" i="9" s="1"/>
  <c r="N499" i="1"/>
  <c r="N26" i="9" s="1"/>
  <c r="N52" i="9" s="1"/>
  <c r="M499" i="1"/>
  <c r="M26" i="9" s="1"/>
  <c r="L499" i="1"/>
  <c r="L26" i="9" s="1"/>
  <c r="K499" i="1"/>
  <c r="K26" i="9" s="1"/>
  <c r="I499" i="1"/>
  <c r="I26" i="9" s="1"/>
  <c r="H499" i="1"/>
  <c r="H26" i="9" s="1"/>
  <c r="G499" i="1"/>
  <c r="G26" i="9" s="1"/>
  <c r="F499" i="1"/>
  <c r="F26" i="9" s="1"/>
  <c r="E499" i="1"/>
  <c r="E26" i="9" s="1"/>
  <c r="D499" i="1"/>
  <c r="D26" i="9" s="1"/>
  <c r="C499" i="1"/>
  <c r="C26" i="9" s="1"/>
  <c r="BR498" i="1"/>
  <c r="BH498" i="1"/>
  <c r="AL498" i="1"/>
  <c r="AB498" i="1"/>
  <c r="V498" i="1"/>
  <c r="V25" i="9" s="1"/>
  <c r="S498" i="1"/>
  <c r="N498" i="1"/>
  <c r="N25" i="9" s="1"/>
  <c r="F498" i="1"/>
  <c r="F25" i="9" s="1"/>
  <c r="CC497" i="1"/>
  <c r="BT497" i="1"/>
  <c r="BX497" i="1" s="1"/>
  <c r="BS497" i="1"/>
  <c r="BR497" i="1"/>
  <c r="BQ497" i="1"/>
  <c r="BP497" i="1"/>
  <c r="BO497" i="1"/>
  <c r="BN497" i="1"/>
  <c r="BM497" i="1"/>
  <c r="BL497" i="1"/>
  <c r="BK497" i="1"/>
  <c r="BJ497" i="1"/>
  <c r="BI497" i="1"/>
  <c r="BH497" i="1"/>
  <c r="BG497" i="1"/>
  <c r="BF497" i="1"/>
  <c r="BE497" i="1"/>
  <c r="BD497" i="1"/>
  <c r="BC497" i="1"/>
  <c r="BB497" i="1"/>
  <c r="BA497" i="1"/>
  <c r="AZ497" i="1"/>
  <c r="AY497" i="1"/>
  <c r="AW497" i="1"/>
  <c r="AV497" i="1"/>
  <c r="AU497" i="1"/>
  <c r="AT497" i="1"/>
  <c r="AR497" i="1"/>
  <c r="AQ497" i="1"/>
  <c r="AQ498" i="1" s="1"/>
  <c r="AP497" i="1"/>
  <c r="AO497" i="1"/>
  <c r="AM497" i="1"/>
  <c r="AL497" i="1"/>
  <c r="AK497" i="1"/>
  <c r="AJ497" i="1"/>
  <c r="AH497" i="1"/>
  <c r="AG497" i="1"/>
  <c r="AF497" i="1"/>
  <c r="AF498" i="1" s="1"/>
  <c r="AE497" i="1"/>
  <c r="AC497" i="1"/>
  <c r="AB497" i="1"/>
  <c r="AA497" i="1"/>
  <c r="Z497" i="1"/>
  <c r="X497" i="1"/>
  <c r="W497" i="1"/>
  <c r="V497" i="1"/>
  <c r="U497" i="1"/>
  <c r="S497" i="1"/>
  <c r="R497" i="1"/>
  <c r="Q497" i="1"/>
  <c r="P497" i="1"/>
  <c r="N497" i="1"/>
  <c r="M497" i="1"/>
  <c r="L497" i="1"/>
  <c r="K497" i="1"/>
  <c r="I497" i="1"/>
  <c r="H497" i="1"/>
  <c r="G497" i="1"/>
  <c r="F497" i="1"/>
  <c r="E497" i="1"/>
  <c r="D497" i="1"/>
  <c r="C497" i="1"/>
  <c r="CC496" i="1"/>
  <c r="BT496" i="1"/>
  <c r="BX496" i="1" s="1"/>
  <c r="BS496" i="1"/>
  <c r="BR496" i="1"/>
  <c r="BQ496" i="1"/>
  <c r="BP496" i="1"/>
  <c r="BP498" i="1" s="1"/>
  <c r="BO496" i="1"/>
  <c r="BO498" i="1" s="1"/>
  <c r="BN496" i="1"/>
  <c r="BM496" i="1"/>
  <c r="BL496" i="1"/>
  <c r="BK496" i="1"/>
  <c r="BJ496" i="1"/>
  <c r="BI496" i="1"/>
  <c r="BH496" i="1"/>
  <c r="BG496" i="1"/>
  <c r="BG498" i="1" s="1"/>
  <c r="BF496" i="1"/>
  <c r="BE496" i="1"/>
  <c r="BD496" i="1"/>
  <c r="BC496" i="1"/>
  <c r="BB496" i="1"/>
  <c r="BB498" i="1" s="1"/>
  <c r="BA496" i="1"/>
  <c r="AZ496" i="1"/>
  <c r="AY496" i="1"/>
  <c r="AY498" i="1" s="1"/>
  <c r="AW496" i="1"/>
  <c r="AV496" i="1"/>
  <c r="AU496" i="1"/>
  <c r="AT496" i="1"/>
  <c r="AT498" i="1" s="1"/>
  <c r="AR496" i="1"/>
  <c r="AR498" i="1" s="1"/>
  <c r="AQ496" i="1"/>
  <c r="AP496" i="1"/>
  <c r="AO496" i="1"/>
  <c r="AM496" i="1"/>
  <c r="AL496" i="1"/>
  <c r="AK496" i="1"/>
  <c r="AJ496" i="1"/>
  <c r="AJ498" i="1" s="1"/>
  <c r="AH496" i="1"/>
  <c r="AG496" i="1"/>
  <c r="AF496" i="1"/>
  <c r="AE496" i="1"/>
  <c r="AD496" i="1"/>
  <c r="AC496" i="1"/>
  <c r="AB496" i="1"/>
  <c r="AA496" i="1"/>
  <c r="AA498" i="1" s="1"/>
  <c r="Z496" i="1"/>
  <c r="X496" i="1"/>
  <c r="X498" i="1" s="1"/>
  <c r="W496" i="1"/>
  <c r="V496" i="1"/>
  <c r="U496" i="1"/>
  <c r="S496" i="1"/>
  <c r="R496" i="1"/>
  <c r="Q496" i="1"/>
  <c r="P496" i="1"/>
  <c r="P498" i="1" s="1"/>
  <c r="N496" i="1"/>
  <c r="M496" i="1"/>
  <c r="M498" i="1" s="1"/>
  <c r="L496" i="1"/>
  <c r="K496" i="1"/>
  <c r="K498" i="1" s="1"/>
  <c r="I496" i="1"/>
  <c r="H496" i="1"/>
  <c r="G496" i="1"/>
  <c r="F496" i="1"/>
  <c r="E496" i="1"/>
  <c r="E498" i="1" s="1"/>
  <c r="D496" i="1"/>
  <c r="C496" i="1"/>
  <c r="C498" i="1" s="1"/>
  <c r="BT495" i="1"/>
  <c r="BS495" i="1"/>
  <c r="BR495" i="1"/>
  <c r="BQ495" i="1"/>
  <c r="BQ498" i="1" s="1"/>
  <c r="BP495" i="1"/>
  <c r="BO495" i="1"/>
  <c r="BN495" i="1"/>
  <c r="BN498" i="1" s="1"/>
  <c r="BM495" i="1"/>
  <c r="BM498" i="1" s="1"/>
  <c r="BM25" i="9" s="1"/>
  <c r="BL495" i="1"/>
  <c r="BK495" i="1"/>
  <c r="BJ495" i="1"/>
  <c r="BJ498" i="1" s="1"/>
  <c r="BI495" i="1"/>
  <c r="BI498" i="1" s="1"/>
  <c r="BH495" i="1"/>
  <c r="BG495" i="1"/>
  <c r="BF495" i="1"/>
  <c r="BF498" i="1" s="1"/>
  <c r="BE495" i="1"/>
  <c r="BE498" i="1" s="1"/>
  <c r="BE25" i="9" s="1"/>
  <c r="BD495" i="1"/>
  <c r="BC495" i="1"/>
  <c r="BB495" i="1"/>
  <c r="BA495" i="1"/>
  <c r="BA498" i="1" s="1"/>
  <c r="AZ495" i="1"/>
  <c r="AZ498" i="1" s="1"/>
  <c r="AY495" i="1"/>
  <c r="AW495" i="1"/>
  <c r="AW498" i="1" s="1"/>
  <c r="AW25" i="9" s="1"/>
  <c r="AV495" i="1"/>
  <c r="AV498" i="1" s="1"/>
  <c r="AU495" i="1"/>
  <c r="AT495" i="1"/>
  <c r="AR495" i="1"/>
  <c r="AQ495" i="1"/>
  <c r="AP495" i="1"/>
  <c r="AP498" i="1" s="1"/>
  <c r="AO495" i="1"/>
  <c r="AO498" i="1" s="1"/>
  <c r="AO25" i="9" s="1"/>
  <c r="AM495" i="1"/>
  <c r="AL495" i="1"/>
  <c r="AK495" i="1"/>
  <c r="AK498" i="1" s="1"/>
  <c r="AJ495" i="1"/>
  <c r="AH495" i="1"/>
  <c r="AH498" i="1" s="1"/>
  <c r="AG495" i="1"/>
  <c r="AG498" i="1" s="1"/>
  <c r="AG25" i="9" s="1"/>
  <c r="AF495" i="1"/>
  <c r="AE495" i="1"/>
  <c r="AE498" i="1" s="1"/>
  <c r="AC495" i="1"/>
  <c r="AC498" i="1" s="1"/>
  <c r="AB495" i="1"/>
  <c r="AA495" i="1"/>
  <c r="Z495" i="1"/>
  <c r="Z498" i="1" s="1"/>
  <c r="X495" i="1"/>
  <c r="W495" i="1"/>
  <c r="W498" i="1" s="1"/>
  <c r="V495" i="1"/>
  <c r="U495" i="1"/>
  <c r="U498" i="1" s="1"/>
  <c r="S495" i="1"/>
  <c r="R495" i="1"/>
  <c r="R498" i="1" s="1"/>
  <c r="Q495" i="1"/>
  <c r="Q498" i="1" s="1"/>
  <c r="Q25" i="9" s="1"/>
  <c r="P495" i="1"/>
  <c r="N495" i="1"/>
  <c r="M495" i="1"/>
  <c r="L495" i="1"/>
  <c r="L498" i="1" s="1"/>
  <c r="K495" i="1"/>
  <c r="I495" i="1"/>
  <c r="I498" i="1" s="1"/>
  <c r="I25" i="9" s="1"/>
  <c r="H495" i="1"/>
  <c r="H498" i="1" s="1"/>
  <c r="G495" i="1"/>
  <c r="G498" i="1" s="1"/>
  <c r="G400" i="1" s="1"/>
  <c r="F495" i="1"/>
  <c r="E495" i="1"/>
  <c r="D495" i="1"/>
  <c r="D498" i="1" s="1"/>
  <c r="C495" i="1"/>
  <c r="BQ492" i="1"/>
  <c r="BP492" i="1"/>
  <c r="BO492" i="1"/>
  <c r="BB492" i="1"/>
  <c r="BA492" i="1"/>
  <c r="AZ492" i="1"/>
  <c r="AU492" i="1"/>
  <c r="AR492" i="1"/>
  <c r="AQ492" i="1"/>
  <c r="AC492" i="1"/>
  <c r="AB492" i="1"/>
  <c r="AA492" i="1"/>
  <c r="V492" i="1"/>
  <c r="S492" i="1"/>
  <c r="E492" i="1"/>
  <c r="D492" i="1"/>
  <c r="BT489" i="1"/>
  <c r="BS489" i="1"/>
  <c r="BR489" i="1"/>
  <c r="BQ489" i="1"/>
  <c r="BP489" i="1"/>
  <c r="BO489" i="1"/>
  <c r="BN489" i="1"/>
  <c r="BM489" i="1"/>
  <c r="BL489" i="1"/>
  <c r="BK489" i="1"/>
  <c r="BJ489" i="1"/>
  <c r="BI489" i="1"/>
  <c r="BH489" i="1"/>
  <c r="BG489" i="1"/>
  <c r="BF489" i="1"/>
  <c r="BE489" i="1"/>
  <c r="BD489" i="1"/>
  <c r="BC489" i="1"/>
  <c r="BB489" i="1"/>
  <c r="BA489" i="1"/>
  <c r="AZ489" i="1"/>
  <c r="AY489" i="1"/>
  <c r="AW489" i="1"/>
  <c r="AV489" i="1"/>
  <c r="AU489" i="1"/>
  <c r="AT489" i="1"/>
  <c r="AR489" i="1"/>
  <c r="AQ489" i="1"/>
  <c r="AP489" i="1"/>
  <c r="AO489" i="1"/>
  <c r="AM489" i="1"/>
  <c r="AL489" i="1"/>
  <c r="AK489" i="1"/>
  <c r="AJ489" i="1"/>
  <c r="AH489" i="1"/>
  <c r="AG489" i="1"/>
  <c r="AF489" i="1"/>
  <c r="AE489" i="1"/>
  <c r="AC489" i="1"/>
  <c r="AB489" i="1"/>
  <c r="AA489" i="1"/>
  <c r="Z489" i="1"/>
  <c r="X489" i="1"/>
  <c r="W489" i="1"/>
  <c r="V489" i="1"/>
  <c r="U489" i="1"/>
  <c r="U488" i="1" s="1"/>
  <c r="S489" i="1"/>
  <c r="R489" i="1"/>
  <c r="Q489" i="1"/>
  <c r="P489" i="1"/>
  <c r="P488" i="1" s="1"/>
  <c r="N489" i="1"/>
  <c r="M489" i="1"/>
  <c r="L489" i="1"/>
  <c r="K489" i="1"/>
  <c r="K488" i="1" s="1"/>
  <c r="I489" i="1"/>
  <c r="H489" i="1"/>
  <c r="G489" i="1"/>
  <c r="F489" i="1"/>
  <c r="E489" i="1"/>
  <c r="D489" i="1"/>
  <c r="D488" i="1" s="1"/>
  <c r="C489" i="1"/>
  <c r="AJ488" i="1"/>
  <c r="AE488" i="1"/>
  <c r="Z488" i="1"/>
  <c r="F488" i="1"/>
  <c r="E488" i="1"/>
  <c r="C488" i="1"/>
  <c r="BT484" i="1"/>
  <c r="BS484" i="1"/>
  <c r="BR484" i="1"/>
  <c r="BQ484" i="1"/>
  <c r="BP484" i="1"/>
  <c r="BO484" i="1"/>
  <c r="BN484" i="1"/>
  <c r="BM484" i="1"/>
  <c r="BL484" i="1"/>
  <c r="BK484" i="1"/>
  <c r="BJ484" i="1"/>
  <c r="BI484" i="1"/>
  <c r="BH484" i="1"/>
  <c r="BG484" i="1"/>
  <c r="BF484" i="1"/>
  <c r="BE484" i="1"/>
  <c r="BD484" i="1"/>
  <c r="BC484" i="1"/>
  <c r="BB484" i="1"/>
  <c r="BA484" i="1"/>
  <c r="AZ484" i="1"/>
  <c r="AY484" i="1"/>
  <c r="AX484" i="1"/>
  <c r="AW484" i="1"/>
  <c r="AV484" i="1"/>
  <c r="AU484" i="1"/>
  <c r="AT484" i="1"/>
  <c r="AS484" i="1"/>
  <c r="AR484" i="1"/>
  <c r="AQ484" i="1"/>
  <c r="AP484" i="1"/>
  <c r="AO484" i="1"/>
  <c r="AN484" i="1"/>
  <c r="AM484" i="1"/>
  <c r="AL484" i="1"/>
  <c r="AK484" i="1"/>
  <c r="BT483" i="1"/>
  <c r="BS483" i="1"/>
  <c r="BR483" i="1"/>
  <c r="BQ483" i="1"/>
  <c r="BP483" i="1"/>
  <c r="BO483" i="1"/>
  <c r="BN483" i="1"/>
  <c r="BM483" i="1"/>
  <c r="BL483" i="1"/>
  <c r="BK483" i="1"/>
  <c r="BJ483" i="1"/>
  <c r="BI483" i="1"/>
  <c r="BH483" i="1"/>
  <c r="BG483" i="1"/>
  <c r="BF483" i="1"/>
  <c r="BE483" i="1"/>
  <c r="BD483" i="1"/>
  <c r="BC483" i="1"/>
  <c r="BB483" i="1"/>
  <c r="BA483" i="1"/>
  <c r="AZ483" i="1"/>
  <c r="AY483" i="1"/>
  <c r="AX483" i="1"/>
  <c r="AW483" i="1"/>
  <c r="AV483" i="1"/>
  <c r="AU483" i="1"/>
  <c r="AT483" i="1"/>
  <c r="AS483" i="1"/>
  <c r="AR483" i="1"/>
  <c r="AQ483" i="1"/>
  <c r="AP483" i="1"/>
  <c r="AO483" i="1"/>
  <c r="BT482" i="1"/>
  <c r="BS482" i="1"/>
  <c r="BR482" i="1"/>
  <c r="BQ482" i="1"/>
  <c r="BP482" i="1"/>
  <c r="BO482" i="1"/>
  <c r="BN482" i="1"/>
  <c r="BM482" i="1"/>
  <c r="BL482" i="1"/>
  <c r="BK482" i="1"/>
  <c r="BJ482" i="1"/>
  <c r="BI482" i="1"/>
  <c r="BH482" i="1"/>
  <c r="BG482" i="1"/>
  <c r="BF482" i="1"/>
  <c r="BE482" i="1"/>
  <c r="BD482" i="1"/>
  <c r="BC482" i="1"/>
  <c r="BB482" i="1"/>
  <c r="BA482" i="1"/>
  <c r="AZ482" i="1"/>
  <c r="AY482" i="1"/>
  <c r="AX482" i="1"/>
  <c r="AW482" i="1"/>
  <c r="AV482" i="1"/>
  <c r="AU482" i="1"/>
  <c r="AT482" i="1"/>
  <c r="AS482" i="1"/>
  <c r="AR482" i="1"/>
  <c r="AQ482" i="1"/>
  <c r="AP482" i="1"/>
  <c r="AO482" i="1"/>
  <c r="BT481" i="1"/>
  <c r="BS481" i="1"/>
  <c r="BR481" i="1"/>
  <c r="BQ481" i="1"/>
  <c r="BP481" i="1"/>
  <c r="BO481" i="1"/>
  <c r="BN481" i="1"/>
  <c r="BM481" i="1"/>
  <c r="BL481" i="1"/>
  <c r="BK481" i="1"/>
  <c r="BJ481" i="1"/>
  <c r="BI481" i="1"/>
  <c r="BH481" i="1"/>
  <c r="BG481" i="1"/>
  <c r="BF481" i="1"/>
  <c r="BE481" i="1"/>
  <c r="BD481" i="1"/>
  <c r="BC481" i="1"/>
  <c r="BB481" i="1"/>
  <c r="BA481" i="1"/>
  <c r="AZ481" i="1"/>
  <c r="AY481" i="1"/>
  <c r="AX481" i="1"/>
  <c r="AW481" i="1"/>
  <c r="AV481" i="1"/>
  <c r="AU481" i="1"/>
  <c r="AT481" i="1"/>
  <c r="AS481" i="1"/>
  <c r="AR481" i="1"/>
  <c r="AQ481" i="1"/>
  <c r="AP481" i="1"/>
  <c r="AO481" i="1"/>
  <c r="AN481" i="1"/>
  <c r="AM481" i="1"/>
  <c r="AL481" i="1"/>
  <c r="AK481" i="1"/>
  <c r="BT480" i="1"/>
  <c r="BS480" i="1"/>
  <c r="BR480" i="1"/>
  <c r="BQ480" i="1"/>
  <c r="BP480" i="1"/>
  <c r="BO480" i="1"/>
  <c r="BN480" i="1"/>
  <c r="BM480" i="1"/>
  <c r="BL480" i="1"/>
  <c r="BK480" i="1"/>
  <c r="BJ480" i="1"/>
  <c r="BI480" i="1"/>
  <c r="BH480" i="1"/>
  <c r="BG480" i="1"/>
  <c r="BF480" i="1"/>
  <c r="BE480" i="1"/>
  <c r="BD480" i="1"/>
  <c r="BC480" i="1"/>
  <c r="BB480" i="1"/>
  <c r="BA480" i="1"/>
  <c r="AZ480" i="1"/>
  <c r="AY480" i="1"/>
  <c r="AX480" i="1"/>
  <c r="AW480" i="1"/>
  <c r="AV480" i="1"/>
  <c r="AU480" i="1"/>
  <c r="AT480" i="1"/>
  <c r="AS480" i="1"/>
  <c r="AR480" i="1"/>
  <c r="AQ480" i="1"/>
  <c r="AP480" i="1"/>
  <c r="AO480" i="1"/>
  <c r="AN480" i="1"/>
  <c r="AM480" i="1"/>
  <c r="AL480" i="1"/>
  <c r="AK480" i="1"/>
  <c r="BT479" i="1"/>
  <c r="BS479" i="1"/>
  <c r="BR479" i="1"/>
  <c r="BQ479" i="1"/>
  <c r="BP479" i="1"/>
  <c r="BO479" i="1"/>
  <c r="BN479" i="1"/>
  <c r="BM479" i="1"/>
  <c r="BL479" i="1"/>
  <c r="BK479" i="1"/>
  <c r="BJ479" i="1"/>
  <c r="BI479" i="1"/>
  <c r="BH479" i="1"/>
  <c r="BG479" i="1"/>
  <c r="BF479" i="1"/>
  <c r="BE479" i="1"/>
  <c r="BD479" i="1"/>
  <c r="BC479" i="1"/>
  <c r="BB479" i="1"/>
  <c r="BA479" i="1"/>
  <c r="AZ479" i="1"/>
  <c r="AY479" i="1"/>
  <c r="AX479" i="1"/>
  <c r="AW479" i="1"/>
  <c r="AV479" i="1"/>
  <c r="AU479" i="1"/>
  <c r="AT479" i="1"/>
  <c r="AS479" i="1"/>
  <c r="AR479" i="1"/>
  <c r="AQ479" i="1"/>
  <c r="AP479" i="1"/>
  <c r="AO479" i="1"/>
  <c r="AN479" i="1"/>
  <c r="AM479" i="1"/>
  <c r="AL479" i="1"/>
  <c r="AK479" i="1"/>
  <c r="BT478" i="1"/>
  <c r="BS478" i="1"/>
  <c r="BR478" i="1"/>
  <c r="BQ478" i="1"/>
  <c r="BP478" i="1"/>
  <c r="BO478" i="1"/>
  <c r="BN478" i="1"/>
  <c r="BM478" i="1"/>
  <c r="BL478" i="1"/>
  <c r="BK478" i="1"/>
  <c r="BJ478" i="1"/>
  <c r="BI478" i="1"/>
  <c r="BH478" i="1"/>
  <c r="BG478" i="1"/>
  <c r="BF478" i="1"/>
  <c r="BE478" i="1"/>
  <c r="BD478" i="1"/>
  <c r="BC478" i="1"/>
  <c r="BB478" i="1"/>
  <c r="BA478" i="1"/>
  <c r="AZ478" i="1"/>
  <c r="AY478" i="1"/>
  <c r="AX478" i="1"/>
  <c r="AW478" i="1"/>
  <c r="AV478" i="1"/>
  <c r="AU478" i="1"/>
  <c r="AT478" i="1"/>
  <c r="AS478" i="1"/>
  <c r="AR478" i="1"/>
  <c r="AQ478" i="1"/>
  <c r="AP478" i="1"/>
  <c r="AO478" i="1"/>
  <c r="AN478" i="1"/>
  <c r="AM478" i="1"/>
  <c r="AL478" i="1"/>
  <c r="AK478" i="1"/>
  <c r="BT477" i="1"/>
  <c r="BR477" i="1"/>
  <c r="BQ477" i="1"/>
  <c r="BP477" i="1"/>
  <c r="BO477" i="1"/>
  <c r="BN477" i="1"/>
  <c r="BM477" i="1"/>
  <c r="BL477" i="1"/>
  <c r="BK477" i="1"/>
  <c r="BJ477" i="1"/>
  <c r="BI477" i="1"/>
  <c r="BH477" i="1"/>
  <c r="BG477" i="1"/>
  <c r="BF477" i="1"/>
  <c r="BE477" i="1"/>
  <c r="BD477" i="1"/>
  <c r="BC477" i="1"/>
  <c r="BB477" i="1"/>
  <c r="BA477" i="1"/>
  <c r="AZ477" i="1"/>
  <c r="AY477" i="1"/>
  <c r="AX477" i="1"/>
  <c r="AW477" i="1"/>
  <c r="AV477" i="1"/>
  <c r="AU477" i="1"/>
  <c r="AT477" i="1"/>
  <c r="AS477" i="1"/>
  <c r="AR477" i="1"/>
  <c r="AQ477" i="1"/>
  <c r="AP477" i="1"/>
  <c r="AO477" i="1"/>
  <c r="AN477" i="1"/>
  <c r="AM477" i="1"/>
  <c r="AL477" i="1"/>
  <c r="AK477" i="1"/>
  <c r="BT476" i="1"/>
  <c r="BS476" i="1"/>
  <c r="BR476" i="1"/>
  <c r="BQ476" i="1"/>
  <c r="BP476" i="1"/>
  <c r="BO476" i="1"/>
  <c r="BN476" i="1"/>
  <c r="BM476" i="1"/>
  <c r="BL476" i="1"/>
  <c r="BK476" i="1"/>
  <c r="BJ476" i="1"/>
  <c r="BI476" i="1"/>
  <c r="BH476" i="1"/>
  <c r="BG476" i="1"/>
  <c r="BF476" i="1"/>
  <c r="BE476" i="1"/>
  <c r="BD476" i="1"/>
  <c r="BC476" i="1"/>
  <c r="BB476" i="1"/>
  <c r="BA476" i="1"/>
  <c r="AZ476" i="1"/>
  <c r="AY476" i="1"/>
  <c r="AX476" i="1"/>
  <c r="AW476" i="1"/>
  <c r="AV476" i="1"/>
  <c r="AU476" i="1"/>
  <c r="AT476" i="1"/>
  <c r="AS476" i="1"/>
  <c r="AR476" i="1"/>
  <c r="AQ476" i="1"/>
  <c r="AP476" i="1"/>
  <c r="AO476" i="1"/>
  <c r="AN476" i="1"/>
  <c r="AM476" i="1"/>
  <c r="AL476" i="1"/>
  <c r="AK476" i="1"/>
  <c r="BT475" i="1"/>
  <c r="BS475" i="1"/>
  <c r="BR475" i="1"/>
  <c r="BQ475" i="1"/>
  <c r="BP475" i="1"/>
  <c r="BO475" i="1"/>
  <c r="BN475" i="1"/>
  <c r="BM475" i="1"/>
  <c r="BL475" i="1"/>
  <c r="BK475" i="1"/>
  <c r="BJ475" i="1"/>
  <c r="BI475" i="1"/>
  <c r="BH475" i="1"/>
  <c r="BG475" i="1"/>
  <c r="BF475" i="1"/>
  <c r="BE475" i="1"/>
  <c r="BD475" i="1"/>
  <c r="BC475" i="1"/>
  <c r="BB475" i="1"/>
  <c r="BA475" i="1"/>
  <c r="AZ475" i="1"/>
  <c r="AY475" i="1"/>
  <c r="AX475" i="1"/>
  <c r="AW475" i="1"/>
  <c r="AV475" i="1"/>
  <c r="AU475" i="1"/>
  <c r="AT475" i="1"/>
  <c r="AS475" i="1"/>
  <c r="AR475" i="1"/>
  <c r="AQ475" i="1"/>
  <c r="AP475" i="1"/>
  <c r="AO475" i="1"/>
  <c r="AN475" i="1"/>
  <c r="AM475" i="1"/>
  <c r="AL475" i="1"/>
  <c r="AK475" i="1"/>
  <c r="BT474" i="1"/>
  <c r="BS474" i="1"/>
  <c r="BR474" i="1"/>
  <c r="BQ474" i="1"/>
  <c r="BP474" i="1"/>
  <c r="BO474" i="1"/>
  <c r="BN474" i="1"/>
  <c r="BM474" i="1"/>
  <c r="BL474" i="1"/>
  <c r="BK474" i="1"/>
  <c r="BJ474" i="1"/>
  <c r="BI474" i="1"/>
  <c r="BH474" i="1"/>
  <c r="BG474" i="1"/>
  <c r="BF474" i="1"/>
  <c r="BE474" i="1"/>
  <c r="BD474" i="1"/>
  <c r="BC474" i="1"/>
  <c r="BB474" i="1"/>
  <c r="BA474" i="1"/>
  <c r="AZ474" i="1"/>
  <c r="AY474" i="1"/>
  <c r="AX474" i="1"/>
  <c r="AW474" i="1"/>
  <c r="AV474" i="1"/>
  <c r="AU474" i="1"/>
  <c r="AT474" i="1"/>
  <c r="AS474" i="1"/>
  <c r="AR474" i="1"/>
  <c r="AQ474" i="1"/>
  <c r="AP474" i="1"/>
  <c r="AO474" i="1"/>
  <c r="AN474" i="1"/>
  <c r="AM474" i="1"/>
  <c r="AL474" i="1"/>
  <c r="AK474" i="1"/>
  <c r="BT473" i="1"/>
  <c r="BR473" i="1"/>
  <c r="BQ473" i="1"/>
  <c r="BP473" i="1"/>
  <c r="BO473" i="1"/>
  <c r="BN473" i="1"/>
  <c r="BM473" i="1"/>
  <c r="BL473" i="1"/>
  <c r="BK473" i="1"/>
  <c r="BJ473" i="1"/>
  <c r="BI473" i="1"/>
  <c r="BH473" i="1"/>
  <c r="BG473" i="1"/>
  <c r="BF473" i="1"/>
  <c r="BE473" i="1"/>
  <c r="BD473" i="1"/>
  <c r="BC473" i="1"/>
  <c r="BB473" i="1"/>
  <c r="BA473" i="1"/>
  <c r="AZ473" i="1"/>
  <c r="AY473" i="1"/>
  <c r="AX473" i="1"/>
  <c r="AW473" i="1"/>
  <c r="AV473" i="1"/>
  <c r="AU473" i="1"/>
  <c r="AT473" i="1"/>
  <c r="AS473" i="1"/>
  <c r="AR473" i="1"/>
  <c r="AQ473" i="1"/>
  <c r="AP473" i="1"/>
  <c r="AO473" i="1"/>
  <c r="AN473" i="1"/>
  <c r="AM473" i="1"/>
  <c r="AL473" i="1"/>
  <c r="AK473" i="1"/>
  <c r="BT472" i="1"/>
  <c r="BS472" i="1"/>
  <c r="BS523" i="1" s="1"/>
  <c r="BR472" i="1"/>
  <c r="BQ472" i="1"/>
  <c r="BP472" i="1"/>
  <c r="BO472" i="1"/>
  <c r="BN472" i="1"/>
  <c r="BM472" i="1"/>
  <c r="BL472" i="1"/>
  <c r="BK472" i="1"/>
  <c r="BJ472" i="1"/>
  <c r="BI472" i="1"/>
  <c r="BH472" i="1"/>
  <c r="BG472" i="1"/>
  <c r="BF472" i="1"/>
  <c r="BE472" i="1"/>
  <c r="BD472" i="1"/>
  <c r="BC472" i="1"/>
  <c r="BC523" i="1" s="1"/>
  <c r="BB472" i="1"/>
  <c r="BA472" i="1"/>
  <c r="AZ472" i="1"/>
  <c r="AY472" i="1"/>
  <c r="AX472" i="1"/>
  <c r="AW472" i="1"/>
  <c r="AV472" i="1"/>
  <c r="AU472" i="1"/>
  <c r="AT472" i="1"/>
  <c r="AS472" i="1"/>
  <c r="AR472" i="1"/>
  <c r="AQ472" i="1"/>
  <c r="AP472" i="1"/>
  <c r="AO472" i="1"/>
  <c r="AN472" i="1"/>
  <c r="AM472" i="1"/>
  <c r="AM523" i="1" s="1"/>
  <c r="AL472" i="1"/>
  <c r="AK472" i="1"/>
  <c r="BT471" i="1"/>
  <c r="BS471" i="1"/>
  <c r="BR471" i="1"/>
  <c r="BQ471" i="1"/>
  <c r="BP471" i="1"/>
  <c r="BO471" i="1"/>
  <c r="BN471" i="1"/>
  <c r="BN523" i="1" s="1"/>
  <c r="BM471" i="1"/>
  <c r="BM523" i="1" s="1"/>
  <c r="BL471" i="1"/>
  <c r="BK471" i="1"/>
  <c r="BK523" i="1" s="1"/>
  <c r="BJ471" i="1"/>
  <c r="BI471" i="1"/>
  <c r="BI523" i="1" s="1"/>
  <c r="BH471" i="1"/>
  <c r="BG471" i="1"/>
  <c r="BF471" i="1"/>
  <c r="BF523" i="1" s="1"/>
  <c r="BE471" i="1"/>
  <c r="BD471" i="1"/>
  <c r="BC471" i="1"/>
  <c r="BB471" i="1"/>
  <c r="BA471" i="1"/>
  <c r="AZ471" i="1"/>
  <c r="AY471" i="1"/>
  <c r="AX471" i="1"/>
  <c r="AX523" i="1" s="1"/>
  <c r="AW471" i="1"/>
  <c r="AW523" i="1" s="1"/>
  <c r="AV471" i="1"/>
  <c r="AU471" i="1"/>
  <c r="AU523" i="1" s="1"/>
  <c r="AT471" i="1"/>
  <c r="AS471" i="1"/>
  <c r="AS523" i="1" s="1"/>
  <c r="AR471" i="1"/>
  <c r="AQ471" i="1"/>
  <c r="AP471" i="1"/>
  <c r="AP523" i="1" s="1"/>
  <c r="AO471" i="1"/>
  <c r="AN471" i="1"/>
  <c r="AM471" i="1"/>
  <c r="AL471" i="1"/>
  <c r="AK471" i="1"/>
  <c r="AK467" i="1"/>
  <c r="BS464" i="1"/>
  <c r="BS477" i="1" s="1"/>
  <c r="BQ464" i="1"/>
  <c r="BS457" i="1"/>
  <c r="BP457" i="1"/>
  <c r="BK457" i="1"/>
  <c r="BJ457" i="1"/>
  <c r="BH457" i="1"/>
  <c r="BG457" i="1"/>
  <c r="BC457" i="1"/>
  <c r="BB457" i="1"/>
  <c r="AW457" i="1"/>
  <c r="AU457" i="1"/>
  <c r="AT457" i="1"/>
  <c r="AR457" i="1"/>
  <c r="AN457" i="1"/>
  <c r="AN246" i="1" s="1"/>
  <c r="AM457" i="1"/>
  <c r="AL457" i="1"/>
  <c r="AK456" i="1"/>
  <c r="BT453" i="1"/>
  <c r="BT457" i="1" s="1"/>
  <c r="BS453" i="1"/>
  <c r="BR453" i="1"/>
  <c r="BR457" i="1" s="1"/>
  <c r="BQ453" i="1"/>
  <c r="BQ457" i="1" s="1"/>
  <c r="BP453" i="1"/>
  <c r="BO453" i="1"/>
  <c r="BO457" i="1" s="1"/>
  <c r="BN453" i="1"/>
  <c r="BN457" i="1" s="1"/>
  <c r="BM453" i="1"/>
  <c r="BM457" i="1" s="1"/>
  <c r="BL453" i="1"/>
  <c r="BL457" i="1" s="1"/>
  <c r="BK453" i="1"/>
  <c r="BJ453" i="1"/>
  <c r="BI453" i="1"/>
  <c r="BI457" i="1" s="1"/>
  <c r="BH453" i="1"/>
  <c r="BG453" i="1"/>
  <c r="BF453" i="1"/>
  <c r="BF457" i="1" s="1"/>
  <c r="BE453" i="1"/>
  <c r="BE457" i="1" s="1"/>
  <c r="BD453" i="1"/>
  <c r="BD457" i="1" s="1"/>
  <c r="BC453" i="1"/>
  <c r="BB453" i="1"/>
  <c r="BA453" i="1"/>
  <c r="BA457" i="1" s="1"/>
  <c r="AZ453" i="1"/>
  <c r="AZ457" i="1" s="1"/>
  <c r="AZ246" i="1" s="1"/>
  <c r="AY453" i="1"/>
  <c r="AY457" i="1" s="1"/>
  <c r="AX453" i="1"/>
  <c r="AX457" i="1" s="1"/>
  <c r="AW453" i="1"/>
  <c r="AV453" i="1"/>
  <c r="AV457" i="1" s="1"/>
  <c r="AU453" i="1"/>
  <c r="AT453" i="1"/>
  <c r="AS453" i="1"/>
  <c r="AS457" i="1" s="1"/>
  <c r="AR453" i="1"/>
  <c r="AQ453" i="1"/>
  <c r="AQ457" i="1" s="1"/>
  <c r="AP453" i="1"/>
  <c r="AP457" i="1" s="1"/>
  <c r="AO453" i="1"/>
  <c r="AO457" i="1" s="1"/>
  <c r="AN453" i="1"/>
  <c r="AM453" i="1"/>
  <c r="AL453" i="1"/>
  <c r="AK453" i="1"/>
  <c r="AK457" i="1" s="1"/>
  <c r="BS451" i="1"/>
  <c r="BL451" i="1"/>
  <c r="BK451" i="1"/>
  <c r="BI451" i="1"/>
  <c r="BF451" i="1"/>
  <c r="BD451" i="1"/>
  <c r="BC451" i="1"/>
  <c r="AX451" i="1"/>
  <c r="AU451" i="1"/>
  <c r="AT451" i="1"/>
  <c r="AP451" i="1"/>
  <c r="AN451" i="1"/>
  <c r="AM451" i="1"/>
  <c r="AK451" i="1"/>
  <c r="BT447" i="1"/>
  <c r="BT451" i="1" s="1"/>
  <c r="BS447" i="1"/>
  <c r="BR447" i="1"/>
  <c r="BR451" i="1" s="1"/>
  <c r="BR245" i="1" s="1"/>
  <c r="BR247" i="1" s="1"/>
  <c r="BQ447" i="1"/>
  <c r="BQ451" i="1" s="1"/>
  <c r="BP447" i="1"/>
  <c r="BP451" i="1" s="1"/>
  <c r="BO447" i="1"/>
  <c r="BO451" i="1" s="1"/>
  <c r="BN447" i="1"/>
  <c r="BN451" i="1" s="1"/>
  <c r="BM447" i="1"/>
  <c r="BM451" i="1" s="1"/>
  <c r="BL447" i="1"/>
  <c r="BK447" i="1"/>
  <c r="BJ447" i="1"/>
  <c r="BJ451" i="1" s="1"/>
  <c r="BJ245" i="1" s="1"/>
  <c r="BJ247" i="1" s="1"/>
  <c r="BI447" i="1"/>
  <c r="BH447" i="1"/>
  <c r="BH451" i="1" s="1"/>
  <c r="BG447" i="1"/>
  <c r="BG451" i="1" s="1"/>
  <c r="BF447" i="1"/>
  <c r="BE447" i="1"/>
  <c r="BE451" i="1" s="1"/>
  <c r="BD447" i="1"/>
  <c r="BC447" i="1"/>
  <c r="BB447" i="1"/>
  <c r="BB451" i="1" s="1"/>
  <c r="BB245" i="1" s="1"/>
  <c r="BB247" i="1" s="1"/>
  <c r="BA447" i="1"/>
  <c r="BA451" i="1" s="1"/>
  <c r="AZ447" i="1"/>
  <c r="AZ451" i="1" s="1"/>
  <c r="AY447" i="1"/>
  <c r="AY451" i="1" s="1"/>
  <c r="AX447" i="1"/>
  <c r="AW447" i="1"/>
  <c r="AW451" i="1" s="1"/>
  <c r="AV447" i="1"/>
  <c r="AV451" i="1" s="1"/>
  <c r="AU447" i="1"/>
  <c r="AT447" i="1"/>
  <c r="AS447" i="1"/>
  <c r="AS451" i="1" s="1"/>
  <c r="AR447" i="1"/>
  <c r="AR451" i="1" s="1"/>
  <c r="AQ447" i="1"/>
  <c r="AQ451" i="1" s="1"/>
  <c r="AP447" i="1"/>
  <c r="AO447" i="1"/>
  <c r="AO451" i="1" s="1"/>
  <c r="AN447" i="1"/>
  <c r="AM447" i="1"/>
  <c r="AL447" i="1"/>
  <c r="AL451" i="1" s="1"/>
  <c r="AL245" i="1" s="1"/>
  <c r="AK447" i="1"/>
  <c r="BT445" i="1"/>
  <c r="BQ445" i="1"/>
  <c r="BL445" i="1"/>
  <c r="BK445" i="1"/>
  <c r="BI445" i="1"/>
  <c r="BH445" i="1"/>
  <c r="BD445" i="1"/>
  <c r="BC445" i="1"/>
  <c r="AX445" i="1"/>
  <c r="AV445" i="1"/>
  <c r="AU445" i="1"/>
  <c r="AS445" i="1"/>
  <c r="AO445" i="1"/>
  <c r="AN445" i="1"/>
  <c r="AM445" i="1"/>
  <c r="AK444" i="1"/>
  <c r="AK445" i="1" s="1"/>
  <c r="BT437" i="1"/>
  <c r="BS437" i="1"/>
  <c r="BS445" i="1" s="1"/>
  <c r="BR437" i="1"/>
  <c r="BR445" i="1" s="1"/>
  <c r="BQ437" i="1"/>
  <c r="BP437" i="1"/>
  <c r="BP445" i="1" s="1"/>
  <c r="BO437" i="1"/>
  <c r="BO445" i="1" s="1"/>
  <c r="BN437" i="1"/>
  <c r="BN445" i="1" s="1"/>
  <c r="BM437" i="1"/>
  <c r="BM445" i="1" s="1"/>
  <c r="BL437" i="1"/>
  <c r="BK437" i="1"/>
  <c r="BJ437" i="1"/>
  <c r="BJ445" i="1" s="1"/>
  <c r="BI437" i="1"/>
  <c r="BH437" i="1"/>
  <c r="BG437" i="1"/>
  <c r="BG445" i="1" s="1"/>
  <c r="BF437" i="1"/>
  <c r="BF445" i="1" s="1"/>
  <c r="BE437" i="1"/>
  <c r="BE445" i="1" s="1"/>
  <c r="BD437" i="1"/>
  <c r="BC437" i="1"/>
  <c r="BB437" i="1"/>
  <c r="BB445" i="1" s="1"/>
  <c r="BA437" i="1"/>
  <c r="BA445" i="1" s="1"/>
  <c r="AZ437" i="1"/>
  <c r="AZ445" i="1" s="1"/>
  <c r="AY437" i="1"/>
  <c r="AY445" i="1" s="1"/>
  <c r="AX437" i="1"/>
  <c r="AW437" i="1"/>
  <c r="AW445" i="1" s="1"/>
  <c r="AV437" i="1"/>
  <c r="AU437" i="1"/>
  <c r="AT437" i="1"/>
  <c r="AT445" i="1" s="1"/>
  <c r="AS437" i="1"/>
  <c r="AR437" i="1"/>
  <c r="AR445" i="1" s="1"/>
  <c r="AQ437" i="1"/>
  <c r="AQ445" i="1" s="1"/>
  <c r="AP437" i="1"/>
  <c r="AP445" i="1" s="1"/>
  <c r="AO437" i="1"/>
  <c r="AN437" i="1"/>
  <c r="AM437" i="1"/>
  <c r="AL437" i="1"/>
  <c r="AL445" i="1" s="1"/>
  <c r="AK437" i="1"/>
  <c r="BS435" i="1"/>
  <c r="BQ435" i="1"/>
  <c r="BN435" i="1"/>
  <c r="BM435" i="1"/>
  <c r="BI435" i="1"/>
  <c r="BE435" i="1"/>
  <c r="BD435" i="1"/>
  <c r="BA435" i="1"/>
  <c r="AX435" i="1"/>
  <c r="AW435" i="1"/>
  <c r="AU435" i="1"/>
  <c r="AS435" i="1"/>
  <c r="AP435" i="1"/>
  <c r="AO435" i="1"/>
  <c r="AL435" i="1"/>
  <c r="AK435" i="1"/>
  <c r="BS429" i="1"/>
  <c r="BS473" i="1" s="1"/>
  <c r="BT427" i="1"/>
  <c r="BT435" i="1" s="1"/>
  <c r="BS427" i="1"/>
  <c r="BR427" i="1"/>
  <c r="BR435" i="1" s="1"/>
  <c r="BQ427" i="1"/>
  <c r="BP427" i="1"/>
  <c r="BP435" i="1" s="1"/>
  <c r="BO427" i="1"/>
  <c r="BO435" i="1" s="1"/>
  <c r="BN427" i="1"/>
  <c r="BM427" i="1"/>
  <c r="BL427" i="1"/>
  <c r="BL435" i="1" s="1"/>
  <c r="BK427" i="1"/>
  <c r="BK435" i="1" s="1"/>
  <c r="BJ427" i="1"/>
  <c r="BJ435" i="1" s="1"/>
  <c r="BI427" i="1"/>
  <c r="BH427" i="1"/>
  <c r="BH435" i="1" s="1"/>
  <c r="BG427" i="1"/>
  <c r="BG435" i="1" s="1"/>
  <c r="BF427" i="1"/>
  <c r="BF435" i="1" s="1"/>
  <c r="BE427" i="1"/>
  <c r="BD427" i="1"/>
  <c r="BC427" i="1"/>
  <c r="BC435" i="1" s="1"/>
  <c r="BB427" i="1"/>
  <c r="BB435" i="1" s="1"/>
  <c r="BA427" i="1"/>
  <c r="AZ427" i="1"/>
  <c r="AZ435" i="1" s="1"/>
  <c r="AY427" i="1"/>
  <c r="AY435" i="1" s="1"/>
  <c r="AX427" i="1"/>
  <c r="AW427" i="1"/>
  <c r="AV427" i="1"/>
  <c r="AV435" i="1" s="1"/>
  <c r="AU427" i="1"/>
  <c r="AT427" i="1"/>
  <c r="AT435" i="1" s="1"/>
  <c r="AS427" i="1"/>
  <c r="AR427" i="1"/>
  <c r="AR435" i="1" s="1"/>
  <c r="AQ427" i="1"/>
  <c r="AQ435" i="1" s="1"/>
  <c r="AP427" i="1"/>
  <c r="AO427" i="1"/>
  <c r="AN427" i="1"/>
  <c r="AN435" i="1" s="1"/>
  <c r="AM427" i="1"/>
  <c r="AM435" i="1" s="1"/>
  <c r="AL427" i="1"/>
  <c r="AK427" i="1"/>
  <c r="CF424" i="1"/>
  <c r="CE424" i="1"/>
  <c r="CD424" i="1"/>
  <c r="CC424" i="1"/>
  <c r="CB424" i="1"/>
  <c r="CA424" i="1"/>
  <c r="BZ424" i="1"/>
  <c r="BY424" i="1"/>
  <c r="BX424" i="1"/>
  <c r="BW424" i="1"/>
  <c r="BV424" i="1"/>
  <c r="BU424" i="1"/>
  <c r="BO424" i="1"/>
  <c r="AV424" i="1"/>
  <c r="F424" i="1"/>
  <c r="BL422" i="1"/>
  <c r="BR421" i="1"/>
  <c r="BR518" i="1" s="1"/>
  <c r="BR38" i="9" s="1"/>
  <c r="BM421" i="1"/>
  <c r="BM518" i="1" s="1"/>
  <c r="BM38" i="9" s="1"/>
  <c r="BH421" i="1"/>
  <c r="BH518" i="1" s="1"/>
  <c r="BH38" i="9" s="1"/>
  <c r="BC421" i="1"/>
  <c r="BC518" i="1" s="1"/>
  <c r="BC38" i="9" s="1"/>
  <c r="AX421" i="1"/>
  <c r="AX518" i="1" s="1"/>
  <c r="AX38" i="9" s="1"/>
  <c r="AS421" i="1"/>
  <c r="AS518" i="1" s="1"/>
  <c r="AS38" i="9" s="1"/>
  <c r="AN421" i="1"/>
  <c r="AN518" i="1" s="1"/>
  <c r="AN38" i="9" s="1"/>
  <c r="AI421" i="1"/>
  <c r="AI518" i="1" s="1"/>
  <c r="AI38" i="9" s="1"/>
  <c r="AD421" i="1"/>
  <c r="AD518" i="1" s="1"/>
  <c r="AD38" i="9" s="1"/>
  <c r="Y421" i="1"/>
  <c r="Y518" i="1" s="1"/>
  <c r="Y38" i="9" s="1"/>
  <c r="T421" i="1"/>
  <c r="T518" i="1" s="1"/>
  <c r="T38" i="9" s="1"/>
  <c r="O421" i="1"/>
  <c r="O518" i="1" s="1"/>
  <c r="O38" i="9" s="1"/>
  <c r="J421" i="1"/>
  <c r="J518" i="1" s="1"/>
  <c r="J38" i="9" s="1"/>
  <c r="BS420" i="1"/>
  <c r="AU420" i="1"/>
  <c r="AR420" i="1"/>
  <c r="AJ420" i="1"/>
  <c r="D420" i="1"/>
  <c r="D422" i="1" s="1"/>
  <c r="BR419" i="1"/>
  <c r="BR514" i="1" s="1"/>
  <c r="BM419" i="1"/>
  <c r="BM514" i="1" s="1"/>
  <c r="BH419" i="1"/>
  <c r="BH514" i="1" s="1"/>
  <c r="BC419" i="1"/>
  <c r="BC514" i="1" s="1"/>
  <c r="AX419" i="1"/>
  <c r="AX514" i="1" s="1"/>
  <c r="AS419" i="1"/>
  <c r="AS514" i="1" s="1"/>
  <c r="AS36" i="9" s="1"/>
  <c r="AN419" i="1"/>
  <c r="AN514" i="1" s="1"/>
  <c r="AI419" i="1"/>
  <c r="AI514" i="1" s="1"/>
  <c r="AD419" i="1"/>
  <c r="AD514" i="1" s="1"/>
  <c r="Y419" i="1"/>
  <c r="Y514" i="1" s="1"/>
  <c r="Y36" i="9" s="1"/>
  <c r="T419" i="1"/>
  <c r="T514" i="1" s="1"/>
  <c r="O419" i="1"/>
  <c r="O514" i="1" s="1"/>
  <c r="J419" i="1"/>
  <c r="J514" i="1" s="1"/>
  <c r="BS418" i="1"/>
  <c r="BK418" i="1"/>
  <c r="BK420" i="1" s="1"/>
  <c r="BJ418" i="1"/>
  <c r="BJ420" i="1" s="1"/>
  <c r="BF418" i="1"/>
  <c r="BF394" i="1" s="1"/>
  <c r="BB418" i="1"/>
  <c r="BB420" i="1" s="1"/>
  <c r="BA418" i="1"/>
  <c r="BA420" i="1" s="1"/>
  <c r="AU418" i="1"/>
  <c r="AT418" i="1"/>
  <c r="AT420" i="1" s="1"/>
  <c r="AP418" i="1"/>
  <c r="AP394" i="1" s="1"/>
  <c r="AL418" i="1"/>
  <c r="AL420" i="1" s="1"/>
  <c r="AK418" i="1"/>
  <c r="AK420" i="1" s="1"/>
  <c r="AH418" i="1"/>
  <c r="AH394" i="1" s="1"/>
  <c r="W418" i="1"/>
  <c r="W394" i="1" s="1"/>
  <c r="V418" i="1"/>
  <c r="V420" i="1" s="1"/>
  <c r="U418" i="1"/>
  <c r="U420" i="1" s="1"/>
  <c r="R418" i="1"/>
  <c r="R394" i="1" s="1"/>
  <c r="N418" i="1"/>
  <c r="N420" i="1" s="1"/>
  <c r="G418" i="1"/>
  <c r="G420" i="1" s="1"/>
  <c r="F418" i="1"/>
  <c r="F420" i="1" s="1"/>
  <c r="BT417" i="1"/>
  <c r="BS417" i="1"/>
  <c r="BQ417" i="1"/>
  <c r="BQ418" i="1" s="1"/>
  <c r="BP417" i="1"/>
  <c r="BO417" i="1"/>
  <c r="BN417" i="1"/>
  <c r="BL417" i="1"/>
  <c r="BK417" i="1"/>
  <c r="BJ417" i="1"/>
  <c r="BI417" i="1"/>
  <c r="BG417" i="1"/>
  <c r="BF417" i="1"/>
  <c r="BE417" i="1"/>
  <c r="BD417" i="1"/>
  <c r="BB417" i="1"/>
  <c r="BA417" i="1"/>
  <c r="AZ417" i="1"/>
  <c r="AY417" i="1"/>
  <c r="AW417" i="1"/>
  <c r="AV417" i="1"/>
  <c r="AU417" i="1"/>
  <c r="AT417" i="1"/>
  <c r="AR417" i="1"/>
  <c r="AQ417" i="1"/>
  <c r="AP417" i="1"/>
  <c r="AO417" i="1"/>
  <c r="AM417" i="1"/>
  <c r="AL417" i="1"/>
  <c r="AK417" i="1"/>
  <c r="AJ417" i="1"/>
  <c r="AH417" i="1"/>
  <c r="AG417" i="1"/>
  <c r="AF417" i="1"/>
  <c r="AE417" i="1"/>
  <c r="AC417" i="1"/>
  <c r="AC418" i="1" s="1"/>
  <c r="AB417" i="1"/>
  <c r="AA417" i="1"/>
  <c r="Z417" i="1"/>
  <c r="X417" i="1"/>
  <c r="W417" i="1"/>
  <c r="V417" i="1"/>
  <c r="U417" i="1"/>
  <c r="S417" i="1"/>
  <c r="R417" i="1"/>
  <c r="Q417" i="1"/>
  <c r="P417" i="1"/>
  <c r="N417" i="1"/>
  <c r="M417" i="1"/>
  <c r="L417" i="1"/>
  <c r="K417" i="1"/>
  <c r="I417" i="1"/>
  <c r="H417" i="1"/>
  <c r="G417" i="1"/>
  <c r="F417" i="1"/>
  <c r="E417" i="1"/>
  <c r="D417" i="1"/>
  <c r="C417" i="1"/>
  <c r="BR416" i="1"/>
  <c r="BM416" i="1"/>
  <c r="BH416" i="1"/>
  <c r="BC416" i="1"/>
  <c r="AX416" i="1"/>
  <c r="AS416" i="1"/>
  <c r="AN416" i="1"/>
  <c r="AI416" i="1"/>
  <c r="AX415" i="1"/>
  <c r="AX510" i="1" s="1"/>
  <c r="AS415" i="1"/>
  <c r="AS510" i="1" s="1"/>
  <c r="AN415" i="1"/>
  <c r="AN510" i="1" s="1"/>
  <c r="AI415" i="1"/>
  <c r="AI510" i="1" s="1"/>
  <c r="AD415" i="1"/>
  <c r="AD510" i="1" s="1"/>
  <c r="Y415" i="1"/>
  <c r="Y510" i="1" s="1"/>
  <c r="T415" i="1"/>
  <c r="T510" i="1" s="1"/>
  <c r="O415" i="1"/>
  <c r="O510" i="1" s="1"/>
  <c r="J415" i="1"/>
  <c r="J510" i="1" s="1"/>
  <c r="BR414" i="1"/>
  <c r="BR499" i="1" s="1"/>
  <c r="BM414" i="1"/>
  <c r="BM499" i="1" s="1"/>
  <c r="BM26" i="9" s="1"/>
  <c r="BM52" i="9" s="1"/>
  <c r="BH414" i="1"/>
  <c r="BH499" i="1" s="1"/>
  <c r="BH26" i="9" s="1"/>
  <c r="BC414" i="1"/>
  <c r="BC499" i="1" s="1"/>
  <c r="BC26" i="9" s="1"/>
  <c r="AX414" i="1"/>
  <c r="AX499" i="1" s="1"/>
  <c r="AX26" i="9" s="1"/>
  <c r="AS414" i="1"/>
  <c r="AS499" i="1" s="1"/>
  <c r="AS26" i="9" s="1"/>
  <c r="AN414" i="1"/>
  <c r="AN499" i="1" s="1"/>
  <c r="AN26" i="9" s="1"/>
  <c r="AI414" i="1"/>
  <c r="AI499" i="1" s="1"/>
  <c r="AD414" i="1"/>
  <c r="AD499" i="1" s="1"/>
  <c r="Y414" i="1"/>
  <c r="Y499" i="1" s="1"/>
  <c r="Y26" i="9" s="1"/>
  <c r="T414" i="1"/>
  <c r="T499" i="1" s="1"/>
  <c r="T26" i="9" s="1"/>
  <c r="O414" i="1"/>
  <c r="O499" i="1" s="1"/>
  <c r="O26" i="9" s="1"/>
  <c r="J414" i="1"/>
  <c r="J499" i="1" s="1"/>
  <c r="J26" i="9" s="1"/>
  <c r="AX413" i="1"/>
  <c r="AX508" i="1" s="1"/>
  <c r="AX32" i="9" s="1"/>
  <c r="AS413" i="1"/>
  <c r="AS508" i="1" s="1"/>
  <c r="AS32" i="9" s="1"/>
  <c r="AN413" i="1"/>
  <c r="AN508" i="1" s="1"/>
  <c r="AN32" i="9" s="1"/>
  <c r="AI413" i="1"/>
  <c r="AI508" i="1" s="1"/>
  <c r="AI32" i="9" s="1"/>
  <c r="AD413" i="1"/>
  <c r="AD508" i="1" s="1"/>
  <c r="AD32" i="9" s="1"/>
  <c r="Y413" i="1"/>
  <c r="Y508" i="1" s="1"/>
  <c r="Y32" i="9" s="1"/>
  <c r="T413" i="1"/>
  <c r="T508" i="1" s="1"/>
  <c r="T32" i="9" s="1"/>
  <c r="O413" i="1"/>
  <c r="O508" i="1" s="1"/>
  <c r="O32" i="9" s="1"/>
  <c r="J413" i="1"/>
  <c r="J508" i="1" s="1"/>
  <c r="J32" i="9" s="1"/>
  <c r="AX412" i="1"/>
  <c r="AX507" i="1" s="1"/>
  <c r="AX31" i="9" s="1"/>
  <c r="AS412" i="1"/>
  <c r="AS507" i="1" s="1"/>
  <c r="AS31" i="9" s="1"/>
  <c r="AN412" i="1"/>
  <c r="AN507" i="1" s="1"/>
  <c r="AN31" i="9" s="1"/>
  <c r="AI412" i="1"/>
  <c r="AI507" i="1" s="1"/>
  <c r="AI31" i="9" s="1"/>
  <c r="AD412" i="1"/>
  <c r="AD507" i="1" s="1"/>
  <c r="AD31" i="9" s="1"/>
  <c r="Y412" i="1"/>
  <c r="Y507" i="1" s="1"/>
  <c r="Y31" i="9" s="1"/>
  <c r="T412" i="1"/>
  <c r="T507" i="1" s="1"/>
  <c r="T31" i="9" s="1"/>
  <c r="O412" i="1"/>
  <c r="O507" i="1" s="1"/>
  <c r="O31" i="9" s="1"/>
  <c r="J412" i="1"/>
  <c r="J507" i="1" s="1"/>
  <c r="J31" i="9" s="1"/>
  <c r="BR411" i="1"/>
  <c r="BR502" i="1" s="1"/>
  <c r="BR27" i="9" s="1"/>
  <c r="BM411" i="1"/>
  <c r="BM502" i="1" s="1"/>
  <c r="BM27" i="9" s="1"/>
  <c r="BM51" i="9" s="1"/>
  <c r="BH411" i="1"/>
  <c r="BH502" i="1" s="1"/>
  <c r="BC411" i="1"/>
  <c r="BC502" i="1" s="1"/>
  <c r="BC27" i="9" s="1"/>
  <c r="AX411" i="1"/>
  <c r="AX502" i="1" s="1"/>
  <c r="AX27" i="9" s="1"/>
  <c r="AS411" i="1"/>
  <c r="AS502" i="1" s="1"/>
  <c r="AS27" i="9" s="1"/>
  <c r="AN411" i="1"/>
  <c r="AN502" i="1" s="1"/>
  <c r="AN27" i="9" s="1"/>
  <c r="AI411" i="1"/>
  <c r="AI502" i="1" s="1"/>
  <c r="AD411" i="1"/>
  <c r="AD502" i="1" s="1"/>
  <c r="Y411" i="1"/>
  <c r="Y502" i="1" s="1"/>
  <c r="Y27" i="9" s="1"/>
  <c r="T411" i="1"/>
  <c r="T502" i="1" s="1"/>
  <c r="O411" i="1"/>
  <c r="O502" i="1" s="1"/>
  <c r="O27" i="9" s="1"/>
  <c r="J411" i="1"/>
  <c r="J502" i="1" s="1"/>
  <c r="J27" i="9" s="1"/>
  <c r="BR410" i="1"/>
  <c r="BR500" i="1" s="1"/>
  <c r="BM410" i="1"/>
  <c r="BM500" i="1" s="1"/>
  <c r="BM28" i="9" s="1"/>
  <c r="BM53" i="9" s="1"/>
  <c r="BH410" i="1"/>
  <c r="BC410" i="1"/>
  <c r="BC500" i="1" s="1"/>
  <c r="BC28" i="9" s="1"/>
  <c r="AX410" i="1"/>
  <c r="AX500" i="1" s="1"/>
  <c r="AX28" i="9" s="1"/>
  <c r="AS410" i="1"/>
  <c r="AS500" i="1" s="1"/>
  <c r="AS28" i="9" s="1"/>
  <c r="AN410" i="1"/>
  <c r="AN500" i="1" s="1"/>
  <c r="AN28" i="9" s="1"/>
  <c r="AI410" i="1"/>
  <c r="AI500" i="1" s="1"/>
  <c r="AI28" i="9" s="1"/>
  <c r="AD410" i="1"/>
  <c r="AD500" i="1" s="1"/>
  <c r="Y410" i="1"/>
  <c r="Y500" i="1" s="1"/>
  <c r="Y28" i="9" s="1"/>
  <c r="T410" i="1"/>
  <c r="O410" i="1"/>
  <c r="O500" i="1" s="1"/>
  <c r="O28" i="9" s="1"/>
  <c r="J410" i="1"/>
  <c r="J500" i="1" s="1"/>
  <c r="J28" i="9" s="1"/>
  <c r="BR409" i="1"/>
  <c r="BM409" i="1"/>
  <c r="BM501" i="1" s="1"/>
  <c r="BM29" i="9" s="1"/>
  <c r="BM50" i="9" s="1"/>
  <c r="BH409" i="1"/>
  <c r="BH501" i="1" s="1"/>
  <c r="BC409" i="1"/>
  <c r="AX409" i="1"/>
  <c r="AS409" i="1"/>
  <c r="AS501" i="1" s="1"/>
  <c r="AS29" i="9" s="1"/>
  <c r="AN409" i="1"/>
  <c r="AN501" i="1" s="1"/>
  <c r="AN29" i="9" s="1"/>
  <c r="AI409" i="1"/>
  <c r="AI501" i="1" s="1"/>
  <c r="AI29" i="9" s="1"/>
  <c r="AD409" i="1"/>
  <c r="Y409" i="1"/>
  <c r="Y501" i="1" s="1"/>
  <c r="Y29" i="9" s="1"/>
  <c r="T409" i="1"/>
  <c r="T501" i="1" s="1"/>
  <c r="O409" i="1"/>
  <c r="J409" i="1"/>
  <c r="BT408" i="1"/>
  <c r="BT418" i="1" s="1"/>
  <c r="BT420" i="1" s="1"/>
  <c r="BS408" i="1"/>
  <c r="BR408" i="1"/>
  <c r="BQ408" i="1"/>
  <c r="BP408" i="1"/>
  <c r="BP418" i="1" s="1"/>
  <c r="BO408" i="1"/>
  <c r="BO418" i="1" s="1"/>
  <c r="BO420" i="1" s="1"/>
  <c r="BO422" i="1" s="1"/>
  <c r="BN408" i="1"/>
  <c r="BN418" i="1" s="1"/>
  <c r="BM408" i="1"/>
  <c r="BL408" i="1"/>
  <c r="BL418" i="1" s="1"/>
  <c r="BL420" i="1" s="1"/>
  <c r="BK408" i="1"/>
  <c r="BJ408" i="1"/>
  <c r="BI408" i="1"/>
  <c r="BI418" i="1" s="1"/>
  <c r="BH408" i="1"/>
  <c r="BG408" i="1"/>
  <c r="BG418" i="1" s="1"/>
  <c r="BG420" i="1" s="1"/>
  <c r="BF408" i="1"/>
  <c r="BE408" i="1"/>
  <c r="BE418" i="1" s="1"/>
  <c r="BD408" i="1"/>
  <c r="BC408" i="1"/>
  <c r="BB408" i="1"/>
  <c r="BA408" i="1"/>
  <c r="AZ408" i="1"/>
  <c r="AZ418" i="1" s="1"/>
  <c r="AZ394" i="1" s="1"/>
  <c r="AY408" i="1"/>
  <c r="AX408" i="1"/>
  <c r="AW408" i="1"/>
  <c r="AW418" i="1" s="1"/>
  <c r="AV408" i="1"/>
  <c r="AV418" i="1" s="1"/>
  <c r="AV420" i="1" s="1"/>
  <c r="AU408" i="1"/>
  <c r="AT408" i="1"/>
  <c r="AR408" i="1"/>
  <c r="AR418" i="1" s="1"/>
  <c r="AR394" i="1" s="1"/>
  <c r="AQ408" i="1"/>
  <c r="AQ418" i="1" s="1"/>
  <c r="AQ420" i="1" s="1"/>
  <c r="AQ424" i="1" s="1"/>
  <c r="AP408" i="1"/>
  <c r="AO408" i="1"/>
  <c r="AO418" i="1" s="1"/>
  <c r="AM408" i="1"/>
  <c r="AM418" i="1" s="1"/>
  <c r="AL408" i="1"/>
  <c r="AK408" i="1"/>
  <c r="AJ408" i="1"/>
  <c r="AJ418" i="1" s="1"/>
  <c r="AJ394" i="1" s="1"/>
  <c r="AH408" i="1"/>
  <c r="AG408" i="1"/>
  <c r="AG418" i="1" s="1"/>
  <c r="AF408" i="1"/>
  <c r="AF418" i="1" s="1"/>
  <c r="AF420" i="1" s="1"/>
  <c r="AE408" i="1"/>
  <c r="AE418" i="1" s="1"/>
  <c r="AC408" i="1"/>
  <c r="AB408" i="1"/>
  <c r="AB418" i="1" s="1"/>
  <c r="AB394" i="1" s="1"/>
  <c r="AA408" i="1"/>
  <c r="Z408" i="1"/>
  <c r="Z418" i="1" s="1"/>
  <c r="X408" i="1"/>
  <c r="X418" i="1" s="1"/>
  <c r="X420" i="1" s="1"/>
  <c r="W408" i="1"/>
  <c r="V408" i="1"/>
  <c r="U408" i="1"/>
  <c r="S408" i="1"/>
  <c r="S418" i="1" s="1"/>
  <c r="S420" i="1" s="1"/>
  <c r="R408" i="1"/>
  <c r="Q408" i="1"/>
  <c r="Q418" i="1" s="1"/>
  <c r="P408" i="1"/>
  <c r="P418" i="1" s="1"/>
  <c r="P420" i="1" s="1"/>
  <c r="O408" i="1"/>
  <c r="N408" i="1"/>
  <c r="M408" i="1"/>
  <c r="M418" i="1" s="1"/>
  <c r="L408" i="1"/>
  <c r="L418" i="1" s="1"/>
  <c r="L394" i="1" s="1"/>
  <c r="K408" i="1"/>
  <c r="K418" i="1" s="1"/>
  <c r="K420" i="1" s="1"/>
  <c r="I408" i="1"/>
  <c r="I418" i="1" s="1"/>
  <c r="H408" i="1"/>
  <c r="H418" i="1" s="1"/>
  <c r="H420" i="1" s="1"/>
  <c r="G408" i="1"/>
  <c r="F408" i="1"/>
  <c r="E408" i="1"/>
  <c r="E418" i="1" s="1"/>
  <c r="D408" i="1"/>
  <c r="D418" i="1" s="1"/>
  <c r="D394" i="1" s="1"/>
  <c r="C408" i="1"/>
  <c r="C418" i="1" s="1"/>
  <c r="C420" i="1" s="1"/>
  <c r="AX407" i="1"/>
  <c r="AS407" i="1"/>
  <c r="AN407" i="1"/>
  <c r="AN496" i="1" s="1"/>
  <c r="AI407" i="1"/>
  <c r="AD407" i="1"/>
  <c r="AD489" i="1" s="1"/>
  <c r="Y407" i="1"/>
  <c r="T407" i="1"/>
  <c r="T496" i="1" s="1"/>
  <c r="O407" i="1"/>
  <c r="O489" i="1" s="1"/>
  <c r="J407" i="1"/>
  <c r="AX406" i="1"/>
  <c r="AX497" i="1" s="1"/>
  <c r="AS406" i="1"/>
  <c r="AS497" i="1" s="1"/>
  <c r="AN406" i="1"/>
  <c r="AN497" i="1" s="1"/>
  <c r="AI406" i="1"/>
  <c r="AI497" i="1" s="1"/>
  <c r="AD406" i="1"/>
  <c r="Y406" i="1"/>
  <c r="Y497" i="1" s="1"/>
  <c r="T406" i="1"/>
  <c r="T497" i="1" s="1"/>
  <c r="O406" i="1"/>
  <c r="O497" i="1" s="1"/>
  <c r="J406" i="1"/>
  <c r="J497" i="1" s="1"/>
  <c r="AX405" i="1"/>
  <c r="AS405" i="1"/>
  <c r="AN405" i="1"/>
  <c r="AI405" i="1"/>
  <c r="AD405" i="1"/>
  <c r="AD495" i="1" s="1"/>
  <c r="Y405" i="1"/>
  <c r="Y495" i="1" s="1"/>
  <c r="T405" i="1"/>
  <c r="O405" i="1"/>
  <c r="J405" i="1"/>
  <c r="A402" i="1"/>
  <c r="A55" i="9" s="1"/>
  <c r="BQ400" i="1"/>
  <c r="BM400" i="1"/>
  <c r="BI400" i="1"/>
  <c r="BE400" i="1"/>
  <c r="BA400" i="1"/>
  <c r="AW400" i="1"/>
  <c r="AV400" i="1"/>
  <c r="AP400" i="1"/>
  <c r="AO400" i="1"/>
  <c r="AK400" i="1"/>
  <c r="AH400" i="1"/>
  <c r="AG400" i="1"/>
  <c r="AE400" i="1"/>
  <c r="AC400" i="1"/>
  <c r="Z400" i="1"/>
  <c r="X400" i="1"/>
  <c r="W400" i="1"/>
  <c r="V400" i="1"/>
  <c r="R400" i="1"/>
  <c r="Q400" i="1"/>
  <c r="P400" i="1"/>
  <c r="N400" i="1"/>
  <c r="M400" i="1"/>
  <c r="I400" i="1"/>
  <c r="H400" i="1"/>
  <c r="F400" i="1"/>
  <c r="E400" i="1"/>
  <c r="BQ399" i="1"/>
  <c r="BM399" i="1"/>
  <c r="BI399" i="1"/>
  <c r="BE399" i="1"/>
  <c r="BA399" i="1"/>
  <c r="AW399" i="1"/>
  <c r="AV399" i="1"/>
  <c r="AP399" i="1"/>
  <c r="AO399" i="1"/>
  <c r="AK399" i="1"/>
  <c r="AH399" i="1"/>
  <c r="AG399" i="1"/>
  <c r="AE399" i="1"/>
  <c r="AC399" i="1"/>
  <c r="Z399" i="1"/>
  <c r="X399" i="1"/>
  <c r="W399" i="1"/>
  <c r="V399" i="1"/>
  <c r="R399" i="1"/>
  <c r="Q399" i="1"/>
  <c r="P399" i="1"/>
  <c r="N399" i="1"/>
  <c r="M399" i="1"/>
  <c r="I399" i="1"/>
  <c r="H399" i="1"/>
  <c r="F399" i="1"/>
  <c r="E399" i="1"/>
  <c r="BQ398" i="1"/>
  <c r="BM398" i="1"/>
  <c r="BI398" i="1"/>
  <c r="BE398" i="1"/>
  <c r="BA398" i="1"/>
  <c r="AW398" i="1"/>
  <c r="AV398" i="1"/>
  <c r="AP398" i="1"/>
  <c r="AO398" i="1"/>
  <c r="AK398" i="1"/>
  <c r="AH398" i="1"/>
  <c r="AG398" i="1"/>
  <c r="AE398" i="1"/>
  <c r="AC398" i="1"/>
  <c r="Z398" i="1"/>
  <c r="X398" i="1"/>
  <c r="W398" i="1"/>
  <c r="V398" i="1"/>
  <c r="R398" i="1"/>
  <c r="Q398" i="1"/>
  <c r="P398" i="1"/>
  <c r="N398" i="1"/>
  <c r="M398" i="1"/>
  <c r="I398" i="1"/>
  <c r="H398" i="1"/>
  <c r="F398" i="1"/>
  <c r="E398" i="1"/>
  <c r="BQ397" i="1"/>
  <c r="BM397" i="1"/>
  <c r="BI397" i="1"/>
  <c r="BE397" i="1"/>
  <c r="BA397" i="1"/>
  <c r="AW397" i="1"/>
  <c r="AV397" i="1"/>
  <c r="AP397" i="1"/>
  <c r="AO397" i="1"/>
  <c r="AK397" i="1"/>
  <c r="AH397" i="1"/>
  <c r="AG397" i="1"/>
  <c r="AE397" i="1"/>
  <c r="AC397" i="1"/>
  <c r="Z397" i="1"/>
  <c r="X397" i="1"/>
  <c r="W397" i="1"/>
  <c r="V397" i="1"/>
  <c r="R397" i="1"/>
  <c r="Q397" i="1"/>
  <c r="P397" i="1"/>
  <c r="N397" i="1"/>
  <c r="M397" i="1"/>
  <c r="I397" i="1"/>
  <c r="H397" i="1"/>
  <c r="F397" i="1"/>
  <c r="E397" i="1"/>
  <c r="BS394" i="1"/>
  <c r="BO394" i="1"/>
  <c r="BK394" i="1"/>
  <c r="BJ394" i="1"/>
  <c r="BG394" i="1"/>
  <c r="BB394" i="1"/>
  <c r="AU394" i="1"/>
  <c r="AT394" i="1"/>
  <c r="AQ394" i="1"/>
  <c r="AL394" i="1"/>
  <c r="AF394" i="1"/>
  <c r="X394" i="1"/>
  <c r="V394" i="1"/>
  <c r="U394" i="1"/>
  <c r="P394" i="1"/>
  <c r="N394" i="1"/>
  <c r="F394" i="1"/>
  <c r="BS392" i="1"/>
  <c r="BG386" i="1"/>
  <c r="BC386" i="1"/>
  <c r="BB386" i="1"/>
  <c r="AV386" i="1"/>
  <c r="AL386" i="1"/>
  <c r="AF386" i="1"/>
  <c r="AD386" i="1"/>
  <c r="AA386" i="1"/>
  <c r="X386" i="1"/>
  <c r="V386" i="1"/>
  <c r="N386" i="1"/>
  <c r="M386" i="1"/>
  <c r="H386" i="1"/>
  <c r="BH379" i="1"/>
  <c r="BG379" i="1"/>
  <c r="BF379" i="1"/>
  <c r="BE379" i="1"/>
  <c r="BC379" i="1"/>
  <c r="BB379" i="1"/>
  <c r="BA379" i="1"/>
  <c r="AZ379" i="1"/>
  <c r="AX379" i="1"/>
  <c r="AW379" i="1"/>
  <c r="AV379" i="1"/>
  <c r="AU379" i="1"/>
  <c r="AS379" i="1"/>
  <c r="AS386" i="1" s="1"/>
  <c r="AR379" i="1"/>
  <c r="AQ379" i="1"/>
  <c r="AP379" i="1"/>
  <c r="AN379" i="1"/>
  <c r="AN386" i="1" s="1"/>
  <c r="AM379" i="1"/>
  <c r="AL379" i="1"/>
  <c r="AK379" i="1"/>
  <c r="AI379" i="1"/>
  <c r="AH379" i="1"/>
  <c r="AG379" i="1"/>
  <c r="AF379" i="1"/>
  <c r="AD379" i="1"/>
  <c r="AC379" i="1"/>
  <c r="AB379" i="1"/>
  <c r="AA379" i="1"/>
  <c r="Y379" i="1"/>
  <c r="X379" i="1"/>
  <c r="W379" i="1"/>
  <c r="V379" i="1"/>
  <c r="T379" i="1"/>
  <c r="S379" i="1"/>
  <c r="R379" i="1"/>
  <c r="Q379" i="1"/>
  <c r="O379" i="1"/>
  <c r="N379" i="1"/>
  <c r="M379" i="1"/>
  <c r="L379" i="1"/>
  <c r="J379" i="1"/>
  <c r="I379" i="1"/>
  <c r="H379" i="1"/>
  <c r="G379" i="1"/>
  <c r="BH372" i="1"/>
  <c r="BH386" i="1" s="1"/>
  <c r="BG372" i="1"/>
  <c r="BF372" i="1"/>
  <c r="BF386" i="1" s="1"/>
  <c r="BE372" i="1"/>
  <c r="BE386" i="1" s="1"/>
  <c r="BC372" i="1"/>
  <c r="BB372" i="1"/>
  <c r="BA372" i="1"/>
  <c r="BA386" i="1" s="1"/>
  <c r="AZ372" i="1"/>
  <c r="AZ386" i="1" s="1"/>
  <c r="AX372" i="1"/>
  <c r="AX386" i="1" s="1"/>
  <c r="AW372" i="1"/>
  <c r="AW386" i="1" s="1"/>
  <c r="AV372" i="1"/>
  <c r="AU372" i="1"/>
  <c r="AU386" i="1" s="1"/>
  <c r="AS372" i="1"/>
  <c r="AR372" i="1"/>
  <c r="AR386" i="1" s="1"/>
  <c r="AQ372" i="1"/>
  <c r="AQ386" i="1" s="1"/>
  <c r="AP372" i="1"/>
  <c r="AP386" i="1" s="1"/>
  <c r="AN372" i="1"/>
  <c r="AM372" i="1"/>
  <c r="AM386" i="1" s="1"/>
  <c r="AL372" i="1"/>
  <c r="AK372" i="1"/>
  <c r="AK386" i="1" s="1"/>
  <c r="AI372" i="1"/>
  <c r="AI386" i="1" s="1"/>
  <c r="AH372" i="1"/>
  <c r="AH386" i="1" s="1"/>
  <c r="AG372" i="1"/>
  <c r="AG386" i="1" s="1"/>
  <c r="AF372" i="1"/>
  <c r="AD372" i="1"/>
  <c r="AC372" i="1"/>
  <c r="AC386" i="1" s="1"/>
  <c r="AB372" i="1"/>
  <c r="AB386" i="1" s="1"/>
  <c r="AA372" i="1"/>
  <c r="Y372" i="1"/>
  <c r="Y386" i="1" s="1"/>
  <c r="X372" i="1"/>
  <c r="W372" i="1"/>
  <c r="W386" i="1" s="1"/>
  <c r="V372" i="1"/>
  <c r="T372" i="1"/>
  <c r="T386" i="1" s="1"/>
  <c r="S372" i="1"/>
  <c r="S386" i="1" s="1"/>
  <c r="R372" i="1"/>
  <c r="R386" i="1" s="1"/>
  <c r="Q372" i="1"/>
  <c r="Q386" i="1" s="1"/>
  <c r="O372" i="1"/>
  <c r="O386" i="1" s="1"/>
  <c r="N372" i="1"/>
  <c r="M372" i="1"/>
  <c r="L372" i="1"/>
  <c r="L386" i="1" s="1"/>
  <c r="J372" i="1"/>
  <c r="J386" i="1" s="1"/>
  <c r="I372" i="1"/>
  <c r="I386" i="1" s="1"/>
  <c r="H372" i="1"/>
  <c r="G372" i="1"/>
  <c r="G386" i="1" s="1"/>
  <c r="BP365" i="1"/>
  <c r="BL365" i="1"/>
  <c r="BH365" i="1"/>
  <c r="BF365" i="1"/>
  <c r="BB365" i="1"/>
  <c r="AZ365" i="1"/>
  <c r="AX365" i="1"/>
  <c r="AR365" i="1"/>
  <c r="AJ365" i="1"/>
  <c r="AF365" i="1"/>
  <c r="AB365" i="1"/>
  <c r="Z365" i="1"/>
  <c r="V365" i="1"/>
  <c r="T365" i="1"/>
  <c r="R365" i="1"/>
  <c r="L365" i="1"/>
  <c r="D365" i="1"/>
  <c r="BS364" i="1"/>
  <c r="BN364" i="1"/>
  <c r="BI364" i="1"/>
  <c r="BD364" i="1"/>
  <c r="AY364" i="1"/>
  <c r="AT364" i="1"/>
  <c r="AO364" i="1"/>
  <c r="AJ364" i="1"/>
  <c r="AE364" i="1"/>
  <c r="Z364" i="1"/>
  <c r="U364" i="1"/>
  <c r="P364" i="1"/>
  <c r="K364" i="1"/>
  <c r="F364" i="1"/>
  <c r="E364" i="1"/>
  <c r="D364" i="1"/>
  <c r="C364" i="1"/>
  <c r="BS363" i="1"/>
  <c r="BN363" i="1"/>
  <c r="BI363" i="1"/>
  <c r="BD363" i="1"/>
  <c r="AY363" i="1"/>
  <c r="AT363" i="1"/>
  <c r="AO363" i="1"/>
  <c r="AJ363" i="1"/>
  <c r="AE363" i="1"/>
  <c r="Z363" i="1"/>
  <c r="U363" i="1"/>
  <c r="P363" i="1"/>
  <c r="K363" i="1"/>
  <c r="F363" i="1"/>
  <c r="E363" i="1"/>
  <c r="D363" i="1"/>
  <c r="C363" i="1"/>
  <c r="BS362" i="1"/>
  <c r="BN362" i="1"/>
  <c r="BI362" i="1"/>
  <c r="BD362" i="1"/>
  <c r="AY362" i="1"/>
  <c r="AT362" i="1"/>
  <c r="AO362" i="1"/>
  <c r="AJ362" i="1"/>
  <c r="AE362" i="1"/>
  <c r="Z362" i="1"/>
  <c r="U362" i="1"/>
  <c r="P362" i="1"/>
  <c r="K362" i="1"/>
  <c r="F362" i="1"/>
  <c r="E362" i="1"/>
  <c r="D362" i="1"/>
  <c r="C362" i="1"/>
  <c r="BS361" i="1"/>
  <c r="BN361" i="1"/>
  <c r="BI361" i="1"/>
  <c r="BD361" i="1"/>
  <c r="AY361" i="1"/>
  <c r="AT361" i="1"/>
  <c r="AO361" i="1"/>
  <c r="AJ361" i="1"/>
  <c r="AE361" i="1"/>
  <c r="Z361" i="1"/>
  <c r="U361" i="1"/>
  <c r="P361" i="1"/>
  <c r="K361" i="1"/>
  <c r="F361" i="1"/>
  <c r="E361" i="1"/>
  <c r="D361" i="1"/>
  <c r="C361" i="1"/>
  <c r="BS360" i="1"/>
  <c r="BN360" i="1"/>
  <c r="BI360" i="1"/>
  <c r="BD360" i="1"/>
  <c r="AY360" i="1"/>
  <c r="AT360" i="1"/>
  <c r="AO360" i="1"/>
  <c r="AJ360" i="1"/>
  <c r="AE360" i="1"/>
  <c r="Z360" i="1"/>
  <c r="U360" i="1"/>
  <c r="P360" i="1"/>
  <c r="K360" i="1"/>
  <c r="F360" i="1"/>
  <c r="E360" i="1"/>
  <c r="D360" i="1"/>
  <c r="C360" i="1"/>
  <c r="BT358" i="1"/>
  <c r="BS358" i="1"/>
  <c r="BR358" i="1"/>
  <c r="BQ358" i="1"/>
  <c r="BP358" i="1"/>
  <c r="BO358" i="1"/>
  <c r="BN358" i="1"/>
  <c r="BN365" i="1" s="1"/>
  <c r="BM358" i="1"/>
  <c r="BL358" i="1"/>
  <c r="BK358" i="1"/>
  <c r="BJ358" i="1"/>
  <c r="BI358" i="1"/>
  <c r="BH358" i="1"/>
  <c r="BG358" i="1"/>
  <c r="BF358" i="1"/>
  <c r="BE358" i="1"/>
  <c r="BD358" i="1"/>
  <c r="BC358" i="1"/>
  <c r="BB358" i="1"/>
  <c r="BA358" i="1"/>
  <c r="AZ358" i="1"/>
  <c r="AY358" i="1"/>
  <c r="AX358" i="1"/>
  <c r="AW358" i="1"/>
  <c r="AV358" i="1"/>
  <c r="AV365" i="1" s="1"/>
  <c r="AU358" i="1"/>
  <c r="AT358" i="1"/>
  <c r="AS358" i="1"/>
  <c r="AR358" i="1"/>
  <c r="AQ358" i="1"/>
  <c r="AP358" i="1"/>
  <c r="AP365" i="1" s="1"/>
  <c r="AO358" i="1"/>
  <c r="AN358" i="1"/>
  <c r="AM358" i="1"/>
  <c r="AL358" i="1"/>
  <c r="AK358" i="1"/>
  <c r="AJ358" i="1"/>
  <c r="AI358" i="1"/>
  <c r="AH358" i="1"/>
  <c r="AH365" i="1" s="1"/>
  <c r="AG358" i="1"/>
  <c r="AF358" i="1"/>
  <c r="AE358" i="1"/>
  <c r="AD358" i="1"/>
  <c r="AC358" i="1"/>
  <c r="AB358" i="1"/>
  <c r="AA358" i="1"/>
  <c r="Z358" i="1"/>
  <c r="Y358" i="1"/>
  <c r="X358" i="1"/>
  <c r="X365" i="1" s="1"/>
  <c r="W358" i="1"/>
  <c r="V358" i="1"/>
  <c r="U358" i="1"/>
  <c r="T358" i="1"/>
  <c r="S358" i="1"/>
  <c r="R358" i="1"/>
  <c r="Q358" i="1"/>
  <c r="P358" i="1"/>
  <c r="P365" i="1" s="1"/>
  <c r="O358" i="1"/>
  <c r="N358" i="1"/>
  <c r="M358" i="1"/>
  <c r="L358" i="1"/>
  <c r="K358" i="1"/>
  <c r="J358" i="1"/>
  <c r="J365" i="1" s="1"/>
  <c r="I358" i="1"/>
  <c r="H358" i="1"/>
  <c r="G358" i="1"/>
  <c r="F358" i="1"/>
  <c r="E358" i="1"/>
  <c r="D358" i="1"/>
  <c r="C358" i="1"/>
  <c r="BT351" i="1"/>
  <c r="BT365" i="1" s="1"/>
  <c r="BS351" i="1"/>
  <c r="BR351" i="1"/>
  <c r="BR365" i="1" s="1"/>
  <c r="BQ351" i="1"/>
  <c r="BQ365" i="1" s="1"/>
  <c r="BP351" i="1"/>
  <c r="BO351" i="1"/>
  <c r="BN351" i="1"/>
  <c r="BM351" i="1"/>
  <c r="BL351" i="1"/>
  <c r="BK351" i="1"/>
  <c r="BK365" i="1" s="1"/>
  <c r="BJ351" i="1"/>
  <c r="BJ365" i="1" s="1"/>
  <c r="BI351" i="1"/>
  <c r="BI365" i="1" s="1"/>
  <c r="BH351" i="1"/>
  <c r="BG351" i="1"/>
  <c r="BF351" i="1"/>
  <c r="BE351" i="1"/>
  <c r="BD351" i="1"/>
  <c r="BC351" i="1"/>
  <c r="BC365" i="1" s="1"/>
  <c r="BB351" i="1"/>
  <c r="BA351" i="1"/>
  <c r="BA365" i="1" s="1"/>
  <c r="AZ351" i="1"/>
  <c r="AY351" i="1"/>
  <c r="AX351" i="1"/>
  <c r="AW351" i="1"/>
  <c r="AV351" i="1"/>
  <c r="AU351" i="1"/>
  <c r="AU365" i="1" s="1"/>
  <c r="AT351" i="1"/>
  <c r="AT365" i="1" s="1"/>
  <c r="AS351" i="1"/>
  <c r="AS365" i="1" s="1"/>
  <c r="AR351" i="1"/>
  <c r="AQ351" i="1"/>
  <c r="AP351" i="1"/>
  <c r="AO351" i="1"/>
  <c r="AN351" i="1"/>
  <c r="AN365" i="1" s="1"/>
  <c r="AM351" i="1"/>
  <c r="AM365" i="1" s="1"/>
  <c r="AL351" i="1"/>
  <c r="AL365" i="1" s="1"/>
  <c r="AK351" i="1"/>
  <c r="AK365" i="1" s="1"/>
  <c r="AJ351" i="1"/>
  <c r="AI351" i="1"/>
  <c r="AH351" i="1"/>
  <c r="AG351" i="1"/>
  <c r="AF351" i="1"/>
  <c r="AE351" i="1"/>
  <c r="AE365" i="1" s="1"/>
  <c r="AD351" i="1"/>
  <c r="AD365" i="1" s="1"/>
  <c r="AC351" i="1"/>
  <c r="AC365" i="1" s="1"/>
  <c r="AB351" i="1"/>
  <c r="AA351" i="1"/>
  <c r="Z351" i="1"/>
  <c r="Y351" i="1"/>
  <c r="X351" i="1"/>
  <c r="W351" i="1"/>
  <c r="W365" i="1" s="1"/>
  <c r="V351" i="1"/>
  <c r="U351" i="1"/>
  <c r="U365" i="1" s="1"/>
  <c r="T351" i="1"/>
  <c r="S351" i="1"/>
  <c r="R351" i="1"/>
  <c r="Q351" i="1"/>
  <c r="P351" i="1"/>
  <c r="O351" i="1"/>
  <c r="O365" i="1" s="1"/>
  <c r="N351" i="1"/>
  <c r="N365" i="1" s="1"/>
  <c r="M351" i="1"/>
  <c r="M365" i="1" s="1"/>
  <c r="L351" i="1"/>
  <c r="K351" i="1"/>
  <c r="J351" i="1"/>
  <c r="I351" i="1"/>
  <c r="H351" i="1"/>
  <c r="H365" i="1" s="1"/>
  <c r="G351" i="1"/>
  <c r="G365" i="1" s="1"/>
  <c r="F351" i="1"/>
  <c r="E351" i="1"/>
  <c r="E365" i="1" s="1"/>
  <c r="D351" i="1"/>
  <c r="C351" i="1"/>
  <c r="BH344" i="1"/>
  <c r="BG344" i="1"/>
  <c r="BF344" i="1"/>
  <c r="BE344" i="1"/>
  <c r="BC344" i="1"/>
  <c r="BB344" i="1"/>
  <c r="BA344" i="1"/>
  <c r="AZ344" i="1"/>
  <c r="AX344" i="1"/>
  <c r="AW344" i="1"/>
  <c r="AV344" i="1"/>
  <c r="AU344" i="1"/>
  <c r="AS344" i="1"/>
  <c r="AR344" i="1"/>
  <c r="AQ344" i="1"/>
  <c r="AP344" i="1"/>
  <c r="AN344" i="1"/>
  <c r="AM344" i="1"/>
  <c r="AL344" i="1"/>
  <c r="AK344" i="1"/>
  <c r="AI344" i="1"/>
  <c r="AH344" i="1"/>
  <c r="AG344" i="1"/>
  <c r="AF344" i="1"/>
  <c r="AD344" i="1"/>
  <c r="AC344" i="1"/>
  <c r="AB344" i="1"/>
  <c r="AA344" i="1"/>
  <c r="Y344" i="1"/>
  <c r="X344" i="1"/>
  <c r="W344" i="1"/>
  <c r="V344" i="1"/>
  <c r="T344" i="1"/>
  <c r="S344" i="1"/>
  <c r="R344" i="1"/>
  <c r="Q344" i="1"/>
  <c r="O344" i="1"/>
  <c r="N344" i="1"/>
  <c r="M344" i="1"/>
  <c r="L344" i="1"/>
  <c r="J344" i="1"/>
  <c r="I344" i="1"/>
  <c r="H344" i="1"/>
  <c r="G344" i="1"/>
  <c r="BH337" i="1"/>
  <c r="BG337" i="1"/>
  <c r="BF337" i="1"/>
  <c r="BE337" i="1"/>
  <c r="BC337" i="1"/>
  <c r="BB337" i="1"/>
  <c r="BA337" i="1"/>
  <c r="AZ337" i="1"/>
  <c r="AX337" i="1"/>
  <c r="AW337" i="1"/>
  <c r="AV337" i="1"/>
  <c r="AU337" i="1"/>
  <c r="AS337" i="1"/>
  <c r="AR337" i="1"/>
  <c r="AQ337" i="1"/>
  <c r="AP337" i="1"/>
  <c r="AN337" i="1"/>
  <c r="AM337" i="1"/>
  <c r="AL337" i="1"/>
  <c r="AK337" i="1"/>
  <c r="AI337" i="1"/>
  <c r="AH337" i="1"/>
  <c r="AG337" i="1"/>
  <c r="AF337" i="1"/>
  <c r="AD337" i="1"/>
  <c r="AC337" i="1"/>
  <c r="AB337" i="1"/>
  <c r="AA337" i="1"/>
  <c r="Y337" i="1"/>
  <c r="X337" i="1"/>
  <c r="W337" i="1"/>
  <c r="V337" i="1"/>
  <c r="T337" i="1"/>
  <c r="S337" i="1"/>
  <c r="R337" i="1"/>
  <c r="Q337" i="1"/>
  <c r="O337" i="1"/>
  <c r="N337" i="1"/>
  <c r="M337" i="1"/>
  <c r="L337" i="1"/>
  <c r="J337" i="1"/>
  <c r="I337" i="1"/>
  <c r="H337" i="1"/>
  <c r="G337" i="1"/>
  <c r="BT323" i="1"/>
  <c r="BS323" i="1"/>
  <c r="BR323" i="1"/>
  <c r="BQ323" i="1"/>
  <c r="BP323" i="1"/>
  <c r="BO323" i="1"/>
  <c r="BN323" i="1"/>
  <c r="BM323" i="1"/>
  <c r="BL323" i="1"/>
  <c r="BK323" i="1"/>
  <c r="BJ323" i="1"/>
  <c r="BH323" i="1"/>
  <c r="BG323" i="1"/>
  <c r="BF323" i="1"/>
  <c r="BE323" i="1"/>
  <c r="BC323" i="1"/>
  <c r="BB323" i="1"/>
  <c r="BA323" i="1"/>
  <c r="AZ323" i="1"/>
  <c r="AX323" i="1"/>
  <c r="AW323" i="1"/>
  <c r="AV323" i="1"/>
  <c r="AU323" i="1"/>
  <c r="AS323" i="1"/>
  <c r="AR323" i="1"/>
  <c r="AQ323" i="1"/>
  <c r="AP323" i="1"/>
  <c r="AN323" i="1"/>
  <c r="AM323" i="1"/>
  <c r="AL323" i="1"/>
  <c r="AK323" i="1"/>
  <c r="AJ323" i="1"/>
  <c r="AI323" i="1"/>
  <c r="AH323" i="1"/>
  <c r="AG323" i="1"/>
  <c r="AF323" i="1"/>
  <c r="AE323" i="1"/>
  <c r="AD323" i="1"/>
  <c r="AC323" i="1"/>
  <c r="AB323" i="1"/>
  <c r="AA323" i="1"/>
  <c r="Z323" i="1"/>
  <c r="Y323" i="1"/>
  <c r="X323" i="1"/>
  <c r="W323" i="1"/>
  <c r="V323" i="1"/>
  <c r="U323" i="1"/>
  <c r="T323" i="1"/>
  <c r="S323" i="1"/>
  <c r="R323" i="1"/>
  <c r="Q323" i="1"/>
  <c r="P323" i="1"/>
  <c r="O323" i="1"/>
  <c r="N323" i="1"/>
  <c r="M323" i="1"/>
  <c r="L323" i="1"/>
  <c r="K323" i="1"/>
  <c r="J323" i="1"/>
  <c r="I323" i="1"/>
  <c r="H323" i="1"/>
  <c r="G323" i="1"/>
  <c r="F323" i="1"/>
  <c r="E323" i="1"/>
  <c r="D323" i="1"/>
  <c r="C323" i="1"/>
  <c r="BI322" i="1"/>
  <c r="BD322" i="1"/>
  <c r="AY322" i="1"/>
  <c r="AT322" i="1"/>
  <c r="AO322" i="1"/>
  <c r="BI321" i="1"/>
  <c r="BD321" i="1"/>
  <c r="AY321" i="1"/>
  <c r="AT321" i="1"/>
  <c r="AO321" i="1"/>
  <c r="BI320" i="1"/>
  <c r="BD320" i="1"/>
  <c r="BD323" i="1" s="1"/>
  <c r="AY320" i="1"/>
  <c r="AT320" i="1"/>
  <c r="AO320" i="1"/>
  <c r="BI319" i="1"/>
  <c r="BD319" i="1"/>
  <c r="AY319" i="1"/>
  <c r="AY323" i="1" s="1"/>
  <c r="AT319" i="1"/>
  <c r="AO319" i="1"/>
  <c r="AO323" i="1" s="1"/>
  <c r="BI318" i="1"/>
  <c r="BD318" i="1"/>
  <c r="AY318" i="1"/>
  <c r="AT318" i="1"/>
  <c r="AT323" i="1" s="1"/>
  <c r="AO318" i="1"/>
  <c r="BT316" i="1"/>
  <c r="BS316" i="1"/>
  <c r="BR316" i="1"/>
  <c r="BQ316" i="1"/>
  <c r="BP316" i="1"/>
  <c r="BO316" i="1"/>
  <c r="BN316" i="1"/>
  <c r="BM316" i="1"/>
  <c r="BL316" i="1"/>
  <c r="BK316" i="1"/>
  <c r="BJ316" i="1"/>
  <c r="BI316" i="1"/>
  <c r="BH316" i="1"/>
  <c r="BG316" i="1"/>
  <c r="BF316" i="1"/>
  <c r="BE316" i="1"/>
  <c r="BD316" i="1"/>
  <c r="BC316" i="1"/>
  <c r="BB316" i="1"/>
  <c r="BA316"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Y316" i="1"/>
  <c r="X316" i="1"/>
  <c r="W316" i="1"/>
  <c r="V316" i="1"/>
  <c r="U316" i="1"/>
  <c r="T316" i="1"/>
  <c r="S316" i="1"/>
  <c r="R316" i="1"/>
  <c r="Q316" i="1"/>
  <c r="P316" i="1"/>
  <c r="O316" i="1"/>
  <c r="N316" i="1"/>
  <c r="M316" i="1"/>
  <c r="L316" i="1"/>
  <c r="K316" i="1"/>
  <c r="J316" i="1"/>
  <c r="I316" i="1"/>
  <c r="H316" i="1"/>
  <c r="G316" i="1"/>
  <c r="F316" i="1"/>
  <c r="E316" i="1"/>
  <c r="D316" i="1"/>
  <c r="C316" i="1"/>
  <c r="BT309" i="1"/>
  <c r="BS309" i="1"/>
  <c r="BR309" i="1"/>
  <c r="BQ309" i="1"/>
  <c r="BP309" i="1"/>
  <c r="BO309" i="1"/>
  <c r="BN309" i="1"/>
  <c r="BM309" i="1"/>
  <c r="BL309" i="1"/>
  <c r="BK309" i="1"/>
  <c r="BJ309" i="1"/>
  <c r="BI309" i="1"/>
  <c r="BH309" i="1"/>
  <c r="BG309" i="1"/>
  <c r="BF309" i="1"/>
  <c r="BE309" i="1"/>
  <c r="BD309" i="1"/>
  <c r="BC309" i="1"/>
  <c r="BB309" i="1"/>
  <c r="BA309" i="1"/>
  <c r="AZ309" i="1"/>
  <c r="AY309" i="1"/>
  <c r="AX309" i="1"/>
  <c r="AW309" i="1"/>
  <c r="AV309" i="1"/>
  <c r="AU309" i="1"/>
  <c r="AT309" i="1"/>
  <c r="AS309" i="1"/>
  <c r="AR309" i="1"/>
  <c r="AQ309" i="1"/>
  <c r="AP309" i="1"/>
  <c r="AO309" i="1"/>
  <c r="AN309" i="1"/>
  <c r="AM309" i="1"/>
  <c r="AL309" i="1"/>
  <c r="AK309" i="1"/>
  <c r="AJ309" i="1"/>
  <c r="AI309" i="1"/>
  <c r="AH309" i="1"/>
  <c r="AG309" i="1"/>
  <c r="AF309" i="1"/>
  <c r="AE309" i="1"/>
  <c r="AD309" i="1"/>
  <c r="AC309" i="1"/>
  <c r="AB309" i="1"/>
  <c r="AA309" i="1"/>
  <c r="Z309" i="1"/>
  <c r="Y309" i="1"/>
  <c r="X309" i="1"/>
  <c r="W309" i="1"/>
  <c r="V309" i="1"/>
  <c r="U309" i="1"/>
  <c r="T309" i="1"/>
  <c r="S309" i="1"/>
  <c r="R309" i="1"/>
  <c r="Q309" i="1"/>
  <c r="P309" i="1"/>
  <c r="O309" i="1"/>
  <c r="N309" i="1"/>
  <c r="M309" i="1"/>
  <c r="L309" i="1"/>
  <c r="K309" i="1"/>
  <c r="J309" i="1"/>
  <c r="I309" i="1"/>
  <c r="H309" i="1"/>
  <c r="G309" i="1"/>
  <c r="F309" i="1"/>
  <c r="E309" i="1"/>
  <c r="D309" i="1"/>
  <c r="C309" i="1"/>
  <c r="BI302" i="1"/>
  <c r="BI273" i="1" s="1"/>
  <c r="AY302" i="1"/>
  <c r="AY273" i="1" s="1"/>
  <c r="AT302" i="1"/>
  <c r="AT273" i="1" s="1"/>
  <c r="BN300" i="1"/>
  <c r="BN302" i="1" s="1"/>
  <c r="BN273" i="1" s="1"/>
  <c r="BT298" i="1"/>
  <c r="BS298" i="1"/>
  <c r="BR298" i="1"/>
  <c r="BQ298" i="1"/>
  <c r="BP298" i="1"/>
  <c r="BO298" i="1"/>
  <c r="BN298" i="1"/>
  <c r="BM298" i="1"/>
  <c r="BL298" i="1"/>
  <c r="BK298" i="1"/>
  <c r="BJ298" i="1"/>
  <c r="BI298" i="1"/>
  <c r="BI300" i="1" s="1"/>
  <c r="BH298" i="1"/>
  <c r="BG298" i="1"/>
  <c r="BF298" i="1"/>
  <c r="BE298" i="1"/>
  <c r="BD298" i="1"/>
  <c r="BD300" i="1" s="1"/>
  <c r="BD302" i="1" s="1"/>
  <c r="BD273" i="1" s="1"/>
  <c r="BC298" i="1"/>
  <c r="BB298" i="1"/>
  <c r="BA298" i="1"/>
  <c r="AZ298" i="1"/>
  <c r="AY298" i="1"/>
  <c r="AX298" i="1"/>
  <c r="AW298" i="1"/>
  <c r="AV298" i="1"/>
  <c r="AU298" i="1"/>
  <c r="AT298" i="1"/>
  <c r="AS298" i="1"/>
  <c r="AR298" i="1"/>
  <c r="AQ298" i="1"/>
  <c r="AP298" i="1"/>
  <c r="AO298" i="1"/>
  <c r="AN298" i="1"/>
  <c r="AM298" i="1"/>
  <c r="AL298" i="1"/>
  <c r="AK298" i="1"/>
  <c r="AJ298" i="1"/>
  <c r="AI298" i="1"/>
  <c r="AH298" i="1"/>
  <c r="AG298" i="1"/>
  <c r="AF298" i="1"/>
  <c r="AE298" i="1"/>
  <c r="AD298" i="1"/>
  <c r="AC298" i="1"/>
  <c r="AB298" i="1"/>
  <c r="AA298" i="1"/>
  <c r="Y298" i="1"/>
  <c r="X298" i="1"/>
  <c r="W298" i="1"/>
  <c r="V298" i="1"/>
  <c r="U298" i="1"/>
  <c r="T298" i="1"/>
  <c r="S298" i="1"/>
  <c r="R298" i="1"/>
  <c r="Q298" i="1"/>
  <c r="P298" i="1"/>
  <c r="O298" i="1"/>
  <c r="N298" i="1"/>
  <c r="M298" i="1"/>
  <c r="L298" i="1"/>
  <c r="K298" i="1"/>
  <c r="J298" i="1"/>
  <c r="I298" i="1"/>
  <c r="H298" i="1"/>
  <c r="G298" i="1"/>
  <c r="F298" i="1"/>
  <c r="E298" i="1"/>
  <c r="BT288" i="1"/>
  <c r="BS288" i="1"/>
  <c r="BR288" i="1"/>
  <c r="BQ288" i="1"/>
  <c r="BP288" i="1"/>
  <c r="BO288" i="1"/>
  <c r="BN288" i="1"/>
  <c r="BM288" i="1"/>
  <c r="BL288" i="1"/>
  <c r="BK288" i="1"/>
  <c r="BJ288" i="1"/>
  <c r="BI288" i="1"/>
  <c r="BH288" i="1"/>
  <c r="BG288" i="1"/>
  <c r="BF288" i="1"/>
  <c r="BE288" i="1"/>
  <c r="BD288" i="1"/>
  <c r="BC288" i="1"/>
  <c r="BB288" i="1"/>
  <c r="BA288" i="1"/>
  <c r="AZ288" i="1"/>
  <c r="AY288" i="1"/>
  <c r="AX288" i="1"/>
  <c r="AW288" i="1"/>
  <c r="AV288" i="1"/>
  <c r="AU288" i="1"/>
  <c r="AT288" i="1"/>
  <c r="AS288" i="1"/>
  <c r="AR288" i="1"/>
  <c r="AQ288" i="1"/>
  <c r="AP288" i="1"/>
  <c r="AO288" i="1"/>
  <c r="AN288" i="1"/>
  <c r="AM288" i="1"/>
  <c r="AL288" i="1"/>
  <c r="AK288" i="1"/>
  <c r="AJ288" i="1"/>
  <c r="AI288" i="1"/>
  <c r="AH288" i="1"/>
  <c r="AG288" i="1"/>
  <c r="AF288" i="1"/>
  <c r="AE288" i="1"/>
  <c r="AD288" i="1"/>
  <c r="AC288" i="1"/>
  <c r="AB288" i="1"/>
  <c r="AA288" i="1"/>
  <c r="Z288" i="1"/>
  <c r="Y288" i="1"/>
  <c r="X288" i="1"/>
  <c r="W288" i="1"/>
  <c r="V288" i="1"/>
  <c r="U288" i="1"/>
  <c r="T288" i="1"/>
  <c r="S288" i="1"/>
  <c r="R288" i="1"/>
  <c r="Q288" i="1"/>
  <c r="P288" i="1"/>
  <c r="O288" i="1"/>
  <c r="N288" i="1"/>
  <c r="M288" i="1"/>
  <c r="L288" i="1"/>
  <c r="K288" i="1"/>
  <c r="J288" i="1"/>
  <c r="I288" i="1"/>
  <c r="H288" i="1"/>
  <c r="G288" i="1"/>
  <c r="F288" i="1"/>
  <c r="E288" i="1"/>
  <c r="D288" i="1"/>
  <c r="C288" i="1"/>
  <c r="BT282" i="1"/>
  <c r="BS282" i="1"/>
  <c r="BS302" i="1" s="1"/>
  <c r="BS273" i="1" s="1"/>
  <c r="BR282" i="1"/>
  <c r="BQ282" i="1"/>
  <c r="BP282" i="1"/>
  <c r="BO282" i="1"/>
  <c r="BN282" i="1"/>
  <c r="BM282" i="1"/>
  <c r="BL282" i="1"/>
  <c r="BK282" i="1"/>
  <c r="BJ282" i="1"/>
  <c r="BI282" i="1"/>
  <c r="BH282" i="1"/>
  <c r="BG282" i="1"/>
  <c r="BF282" i="1"/>
  <c r="BE282" i="1"/>
  <c r="BD282" i="1"/>
  <c r="BC282" i="1"/>
  <c r="BB282" i="1"/>
  <c r="BA282" i="1"/>
  <c r="AZ282" i="1"/>
  <c r="AY282" i="1"/>
  <c r="AX282" i="1"/>
  <c r="AW282" i="1"/>
  <c r="AV282" i="1"/>
  <c r="AU282" i="1"/>
  <c r="AT282" i="1"/>
  <c r="AS282" i="1"/>
  <c r="AR282" i="1"/>
  <c r="AQ282" i="1"/>
  <c r="AP282" i="1"/>
  <c r="AO282" i="1"/>
  <c r="AN282" i="1"/>
  <c r="AM282" i="1"/>
  <c r="AL282" i="1"/>
  <c r="AK282" i="1"/>
  <c r="AJ282" i="1"/>
  <c r="AI282" i="1"/>
  <c r="AH282" i="1"/>
  <c r="AG282" i="1"/>
  <c r="AF282" i="1"/>
  <c r="AE282" i="1"/>
  <c r="AD282" i="1"/>
  <c r="AC282" i="1"/>
  <c r="AB282" i="1"/>
  <c r="AA282" i="1"/>
  <c r="Z282" i="1"/>
  <c r="Y282" i="1"/>
  <c r="X282" i="1"/>
  <c r="W282" i="1"/>
  <c r="V282" i="1"/>
  <c r="U282" i="1"/>
  <c r="T282" i="1"/>
  <c r="S282" i="1"/>
  <c r="R282" i="1"/>
  <c r="Q282" i="1"/>
  <c r="P282" i="1"/>
  <c r="O282" i="1"/>
  <c r="N282" i="1"/>
  <c r="M282" i="1"/>
  <c r="L282" i="1"/>
  <c r="K282" i="1"/>
  <c r="J282" i="1"/>
  <c r="I282" i="1"/>
  <c r="H282" i="1"/>
  <c r="G282" i="1"/>
  <c r="F282" i="1"/>
  <c r="E282" i="1"/>
  <c r="D282" i="1"/>
  <c r="C282" i="1"/>
  <c r="AO273" i="1"/>
  <c r="AJ273" i="1"/>
  <c r="AE273" i="1"/>
  <c r="Z273" i="1"/>
  <c r="U273" i="1"/>
  <c r="P273" i="1"/>
  <c r="K273" i="1"/>
  <c r="F273" i="1"/>
  <c r="E273" i="1"/>
  <c r="D273" i="1"/>
  <c r="C273" i="1"/>
  <c r="BH259" i="1"/>
  <c r="BC259" i="1"/>
  <c r="AX259" i="1"/>
  <c r="AS259" i="1"/>
  <c r="AN259" i="1"/>
  <c r="AI259" i="1"/>
  <c r="AD259" i="1"/>
  <c r="Y259" i="1"/>
  <c r="T259" i="1"/>
  <c r="O259" i="1"/>
  <c r="J259" i="1"/>
  <c r="BR258" i="1"/>
  <c r="BM258" i="1"/>
  <c r="BH258" i="1"/>
  <c r="BC258" i="1"/>
  <c r="AX258" i="1"/>
  <c r="AS258" i="1"/>
  <c r="AN258" i="1"/>
  <c r="AI258" i="1"/>
  <c r="AD258" i="1"/>
  <c r="Y258" i="1"/>
  <c r="T258" i="1"/>
  <c r="O258" i="1"/>
  <c r="J258" i="1"/>
  <c r="BR257" i="1"/>
  <c r="BM257" i="1"/>
  <c r="BH257" i="1"/>
  <c r="BC257" i="1"/>
  <c r="AX257" i="1"/>
  <c r="AS257" i="1"/>
  <c r="AN257" i="1"/>
  <c r="AI257" i="1"/>
  <c r="AD257" i="1"/>
  <c r="Y257" i="1"/>
  <c r="BN255" i="1"/>
  <c r="BJ255" i="1"/>
  <c r="BF255" i="1"/>
  <c r="BE255" i="1"/>
  <c r="BB255" i="1"/>
  <c r="AW255" i="1"/>
  <c r="AT255" i="1"/>
  <c r="AP255" i="1"/>
  <c r="AO255" i="1"/>
  <c r="AL255" i="1"/>
  <c r="AH255" i="1"/>
  <c r="AG255" i="1"/>
  <c r="Z255" i="1"/>
  <c r="V255" i="1"/>
  <c r="R255" i="1"/>
  <c r="Q255" i="1"/>
  <c r="N255" i="1"/>
  <c r="I255" i="1"/>
  <c r="F255" i="1"/>
  <c r="CF254" i="1"/>
  <c r="CE254" i="1"/>
  <c r="CD254" i="1"/>
  <c r="CB254" i="1"/>
  <c r="CA254" i="1"/>
  <c r="BZ254" i="1"/>
  <c r="BY254" i="1"/>
  <c r="CC254" i="1" s="1"/>
  <c r="BW254" i="1"/>
  <c r="BV254" i="1"/>
  <c r="BU254" i="1"/>
  <c r="BT254" i="1"/>
  <c r="BS254" i="1"/>
  <c r="BS255" i="1" s="1"/>
  <c r="BQ254" i="1"/>
  <c r="BQ255" i="1" s="1"/>
  <c r="BP254" i="1"/>
  <c r="BP255" i="1" s="1"/>
  <c r="BO254" i="1"/>
  <c r="BR254" i="1" s="1"/>
  <c r="BN254" i="1"/>
  <c r="BM254" i="1" s="1"/>
  <c r="BH254" i="1"/>
  <c r="BC254" i="1"/>
  <c r="AX254" i="1"/>
  <c r="AS254" i="1"/>
  <c r="AN254" i="1"/>
  <c r="AI254" i="1"/>
  <c r="AD254" i="1"/>
  <c r="Y254" i="1"/>
  <c r="T254" i="1"/>
  <c r="O254" i="1"/>
  <c r="J254" i="1"/>
  <c r="CC253" i="1"/>
  <c r="BX253" i="1"/>
  <c r="BR253" i="1"/>
  <c r="BM253" i="1"/>
  <c r="BH253" i="1"/>
  <c r="BC253" i="1"/>
  <c r="AX253" i="1"/>
  <c r="AS253" i="1"/>
  <c r="AN253" i="1"/>
  <c r="AI253" i="1"/>
  <c r="AD253" i="1"/>
  <c r="Y253" i="1"/>
  <c r="T253" i="1"/>
  <c r="O253" i="1"/>
  <c r="J253" i="1"/>
  <c r="CF252" i="1"/>
  <c r="CF255" i="1" s="1"/>
  <c r="CE252" i="1"/>
  <c r="CE255" i="1" s="1"/>
  <c r="CD252" i="1"/>
  <c r="CD255" i="1" s="1"/>
  <c r="CB252" i="1"/>
  <c r="CB255" i="1" s="1"/>
  <c r="CA252" i="1"/>
  <c r="CA255" i="1" s="1"/>
  <c r="BZ252" i="1"/>
  <c r="BZ255" i="1" s="1"/>
  <c r="BY252" i="1"/>
  <c r="BY255" i="1" s="1"/>
  <c r="BW252" i="1"/>
  <c r="BW255" i="1" s="1"/>
  <c r="BV252" i="1"/>
  <c r="BV255" i="1" s="1"/>
  <c r="BU252" i="1"/>
  <c r="BU255" i="1" s="1"/>
  <c r="BL252" i="1"/>
  <c r="BL255" i="1" s="1"/>
  <c r="BK252" i="1"/>
  <c r="BK255" i="1" s="1"/>
  <c r="BJ252" i="1"/>
  <c r="BM252" i="1" s="1"/>
  <c r="BI252" i="1"/>
  <c r="BI255" i="1" s="1"/>
  <c r="BH252" i="1"/>
  <c r="BH255" i="1" s="1"/>
  <c r="BG252" i="1"/>
  <c r="BG255" i="1" s="1"/>
  <c r="BF252" i="1"/>
  <c r="BE252" i="1"/>
  <c r="BD252" i="1"/>
  <c r="BD255" i="1" s="1"/>
  <c r="BB252" i="1"/>
  <c r="BA252" i="1"/>
  <c r="BA255" i="1" s="1"/>
  <c r="AZ252" i="1"/>
  <c r="AZ255" i="1" s="1"/>
  <c r="AY252" i="1"/>
  <c r="AY255" i="1" s="1"/>
  <c r="AW252" i="1"/>
  <c r="AV252" i="1"/>
  <c r="AV255" i="1" s="1"/>
  <c r="AU252" i="1"/>
  <c r="AU255" i="1" s="1"/>
  <c r="AT252" i="1"/>
  <c r="AR252" i="1"/>
  <c r="AR255" i="1" s="1"/>
  <c r="AQ252" i="1"/>
  <c r="AQ255" i="1" s="1"/>
  <c r="AP252" i="1"/>
  <c r="AO252" i="1"/>
  <c r="AN252" i="1"/>
  <c r="AN255" i="1" s="1"/>
  <c r="AM252" i="1"/>
  <c r="AM255" i="1" s="1"/>
  <c r="AL252" i="1"/>
  <c r="AK252" i="1"/>
  <c r="AK255" i="1" s="1"/>
  <c r="AJ252" i="1"/>
  <c r="AJ255" i="1" s="1"/>
  <c r="AH252" i="1"/>
  <c r="AG252" i="1"/>
  <c r="AF252" i="1"/>
  <c r="AF255" i="1" s="1"/>
  <c r="AE252" i="1"/>
  <c r="AE255" i="1" s="1"/>
  <c r="AC252" i="1"/>
  <c r="AC255" i="1" s="1"/>
  <c r="AB252" i="1"/>
  <c r="AB255" i="1" s="1"/>
  <c r="AA252" i="1"/>
  <c r="AA255" i="1" s="1"/>
  <c r="Z252" i="1"/>
  <c r="X252" i="1"/>
  <c r="X255" i="1" s="1"/>
  <c r="W252" i="1"/>
  <c r="W255" i="1" s="1"/>
  <c r="V252" i="1"/>
  <c r="U252" i="1"/>
  <c r="U255" i="1" s="1"/>
  <c r="T252" i="1"/>
  <c r="T255" i="1" s="1"/>
  <c r="S252" i="1"/>
  <c r="S255" i="1" s="1"/>
  <c r="R252" i="1"/>
  <c r="Q252" i="1"/>
  <c r="P252" i="1"/>
  <c r="P255" i="1" s="1"/>
  <c r="N252" i="1"/>
  <c r="M252" i="1"/>
  <c r="M255" i="1" s="1"/>
  <c r="L252" i="1"/>
  <c r="L255" i="1" s="1"/>
  <c r="K252" i="1"/>
  <c r="K255" i="1" s="1"/>
  <c r="I252" i="1"/>
  <c r="H252" i="1"/>
  <c r="H255" i="1" s="1"/>
  <c r="G252" i="1"/>
  <c r="G255" i="1" s="1"/>
  <c r="F252" i="1"/>
  <c r="E252" i="1"/>
  <c r="E255" i="1" s="1"/>
  <c r="D252" i="1"/>
  <c r="D255" i="1" s="1"/>
  <c r="C252" i="1"/>
  <c r="C255" i="1" s="1"/>
  <c r="CC251" i="1"/>
  <c r="BX251" i="1"/>
  <c r="BR251" i="1"/>
  <c r="BM251" i="1"/>
  <c r="BH251" i="1"/>
  <c r="BC251" i="1"/>
  <c r="AX251" i="1"/>
  <c r="AX252" i="1" s="1"/>
  <c r="AX255" i="1" s="1"/>
  <c r="AS251" i="1"/>
  <c r="AS252" i="1" s="1"/>
  <c r="AS255" i="1" s="1"/>
  <c r="AN251" i="1"/>
  <c r="AI251" i="1"/>
  <c r="AD251" i="1"/>
  <c r="Y251" i="1"/>
  <c r="T251" i="1"/>
  <c r="O251" i="1"/>
  <c r="J251" i="1"/>
  <c r="J252" i="1" s="1"/>
  <c r="J255" i="1" s="1"/>
  <c r="CC250" i="1"/>
  <c r="CC252" i="1" s="1"/>
  <c r="CC255" i="1" s="1"/>
  <c r="BX250" i="1"/>
  <c r="BX252" i="1" s="1"/>
  <c r="BT250" i="1"/>
  <c r="BS250" i="1"/>
  <c r="BR250" i="1" s="1"/>
  <c r="BR252" i="1" s="1"/>
  <c r="BR255" i="1" s="1"/>
  <c r="BQ250" i="1"/>
  <c r="BP250" i="1"/>
  <c r="BO250" i="1"/>
  <c r="BN250" i="1"/>
  <c r="BM250" i="1"/>
  <c r="BH250" i="1"/>
  <c r="BC250" i="1"/>
  <c r="BC252" i="1" s="1"/>
  <c r="AX250" i="1"/>
  <c r="AS250" i="1"/>
  <c r="AN250" i="1"/>
  <c r="AI250" i="1"/>
  <c r="AI252" i="1" s="1"/>
  <c r="AI255" i="1" s="1"/>
  <c r="AD250" i="1"/>
  <c r="AD252" i="1" s="1"/>
  <c r="AD255" i="1" s="1"/>
  <c r="Y250" i="1"/>
  <c r="Y252" i="1" s="1"/>
  <c r="Y255" i="1" s="1"/>
  <c r="T250" i="1"/>
  <c r="O250" i="1"/>
  <c r="O252" i="1" s="1"/>
  <c r="J250" i="1"/>
  <c r="AX247" i="1"/>
  <c r="AP247" i="1"/>
  <c r="BT246" i="1"/>
  <c r="BS246" i="1"/>
  <c r="BR246" i="1"/>
  <c r="BQ246" i="1"/>
  <c r="BP246" i="1"/>
  <c r="BO246" i="1"/>
  <c r="BN246" i="1"/>
  <c r="BM246" i="1"/>
  <c r="BL246" i="1"/>
  <c r="BK246" i="1"/>
  <c r="BJ246" i="1"/>
  <c r="BI246" i="1"/>
  <c r="BH246" i="1"/>
  <c r="BG246" i="1"/>
  <c r="BF246" i="1"/>
  <c r="BE246" i="1"/>
  <c r="BD246" i="1"/>
  <c r="BC246" i="1"/>
  <c r="BB246" i="1"/>
  <c r="BA246" i="1"/>
  <c r="AY246" i="1"/>
  <c r="AX246" i="1"/>
  <c r="AW246" i="1"/>
  <c r="AV246" i="1"/>
  <c r="AU246" i="1"/>
  <c r="AT246" i="1"/>
  <c r="AS246" i="1"/>
  <c r="AR246" i="1"/>
  <c r="AQ246" i="1"/>
  <c r="AP246" i="1"/>
  <c r="AO246" i="1"/>
  <c r="AM246" i="1"/>
  <c r="AL246" i="1"/>
  <c r="AK246" i="1"/>
  <c r="BT245" i="1"/>
  <c r="BT247" i="1" s="1"/>
  <c r="BS245" i="1"/>
  <c r="BS247" i="1" s="1"/>
  <c r="BQ245" i="1"/>
  <c r="BQ247" i="1" s="1"/>
  <c r="BP245" i="1"/>
  <c r="BP247" i="1" s="1"/>
  <c r="BO245" i="1"/>
  <c r="BO247" i="1" s="1"/>
  <c r="BN245" i="1"/>
  <c r="BN247" i="1" s="1"/>
  <c r="BM245" i="1"/>
  <c r="BM247" i="1" s="1"/>
  <c r="BL245" i="1"/>
  <c r="BL247" i="1" s="1"/>
  <c r="BK245" i="1"/>
  <c r="BK247" i="1" s="1"/>
  <c r="BI245" i="1"/>
  <c r="BI247" i="1" s="1"/>
  <c r="BH245" i="1"/>
  <c r="BH247" i="1" s="1"/>
  <c r="BG245" i="1"/>
  <c r="BG247" i="1" s="1"/>
  <c r="BF245" i="1"/>
  <c r="BF247" i="1" s="1"/>
  <c r="BE245" i="1"/>
  <c r="BE247" i="1" s="1"/>
  <c r="BD245" i="1"/>
  <c r="BD247" i="1" s="1"/>
  <c r="BC245" i="1"/>
  <c r="BC247" i="1" s="1"/>
  <c r="BA245" i="1"/>
  <c r="BA247" i="1" s="1"/>
  <c r="AZ245" i="1"/>
  <c r="AY245" i="1"/>
  <c r="AY247" i="1" s="1"/>
  <c r="AX245" i="1"/>
  <c r="AW245" i="1"/>
  <c r="AW247" i="1" s="1"/>
  <c r="AV245" i="1"/>
  <c r="AV247" i="1" s="1"/>
  <c r="AU245" i="1"/>
  <c r="AU247" i="1" s="1"/>
  <c r="AT245" i="1"/>
  <c r="AT247" i="1" s="1"/>
  <c r="AS245" i="1"/>
  <c r="AS247" i="1" s="1"/>
  <c r="AR245" i="1"/>
  <c r="AR247" i="1" s="1"/>
  <c r="AQ245" i="1"/>
  <c r="AQ247" i="1" s="1"/>
  <c r="AP245" i="1"/>
  <c r="AO245" i="1"/>
  <c r="AO247" i="1" s="1"/>
  <c r="AN245" i="1"/>
  <c r="AN247" i="1" s="1"/>
  <c r="AM245" i="1"/>
  <c r="AM247" i="1" s="1"/>
  <c r="AK245" i="1"/>
  <c r="AK247" i="1" s="1"/>
  <c r="BT243" i="1"/>
  <c r="BT20" i="9" s="1"/>
  <c r="BS243" i="1"/>
  <c r="BS20" i="9" s="1"/>
  <c r="BR243" i="1"/>
  <c r="BR20" i="9" s="1"/>
  <c r="BQ243" i="1"/>
  <c r="BQ20" i="9" s="1"/>
  <c r="BP243" i="1"/>
  <c r="BP20" i="9" s="1"/>
  <c r="BO243" i="1"/>
  <c r="BO20" i="9" s="1"/>
  <c r="BN243" i="1"/>
  <c r="BN20" i="9" s="1"/>
  <c r="BM243" i="1"/>
  <c r="BM20" i="9" s="1"/>
  <c r="BL243" i="1"/>
  <c r="BL20" i="9" s="1"/>
  <c r="BK243" i="1"/>
  <c r="BK20" i="9" s="1"/>
  <c r="BJ243" i="1"/>
  <c r="BJ20" i="9" s="1"/>
  <c r="BI243" i="1"/>
  <c r="BI20" i="9" s="1"/>
  <c r="BH243" i="1"/>
  <c r="BH20" i="9" s="1"/>
  <c r="BG243" i="1"/>
  <c r="BG20" i="9" s="1"/>
  <c r="BF243" i="1"/>
  <c r="BF20" i="9" s="1"/>
  <c r="BE243" i="1"/>
  <c r="BE20" i="9" s="1"/>
  <c r="BD243" i="1"/>
  <c r="BD20" i="9" s="1"/>
  <c r="BC243" i="1"/>
  <c r="BC20" i="9" s="1"/>
  <c r="BB243" i="1"/>
  <c r="BB20" i="9" s="1"/>
  <c r="BA243" i="1"/>
  <c r="BA20" i="9" s="1"/>
  <c r="AZ243" i="1"/>
  <c r="AZ20" i="9" s="1"/>
  <c r="AY243" i="1"/>
  <c r="AY20" i="9" s="1"/>
  <c r="AX243" i="1"/>
  <c r="AX20" i="9" s="1"/>
  <c r="AW243" i="1"/>
  <c r="AW20" i="9" s="1"/>
  <c r="AV243" i="1"/>
  <c r="AV20" i="9" s="1"/>
  <c r="AU243" i="1"/>
  <c r="AU20" i="9" s="1"/>
  <c r="AT243" i="1"/>
  <c r="AT20" i="9" s="1"/>
  <c r="AS243" i="1"/>
  <c r="AS20" i="9" s="1"/>
  <c r="AR243" i="1"/>
  <c r="AR20" i="9" s="1"/>
  <c r="AQ243" i="1"/>
  <c r="AQ20" i="9" s="1"/>
  <c r="AP243" i="1"/>
  <c r="AP20" i="9" s="1"/>
  <c r="AO243" i="1"/>
  <c r="AO20" i="9" s="1"/>
  <c r="AN243" i="1"/>
  <c r="AN20" i="9" s="1"/>
  <c r="AM243" i="1"/>
  <c r="AM20" i="9" s="1"/>
  <c r="AL243" i="1"/>
  <c r="AL20" i="9" s="1"/>
  <c r="AK243" i="1"/>
  <c r="AK20" i="9" s="1"/>
  <c r="AJ243" i="1"/>
  <c r="AJ20" i="9" s="1"/>
  <c r="AI243" i="1"/>
  <c r="AI20" i="9" s="1"/>
  <c r="AH243" i="1"/>
  <c r="AH20" i="9" s="1"/>
  <c r="AG243" i="1"/>
  <c r="AG20" i="9" s="1"/>
  <c r="AF243" i="1"/>
  <c r="AF20" i="9" s="1"/>
  <c r="AE243" i="1"/>
  <c r="AE20" i="9" s="1"/>
  <c r="AD243" i="1"/>
  <c r="AD20" i="9" s="1"/>
  <c r="AC243" i="1"/>
  <c r="AC20" i="9" s="1"/>
  <c r="AB243" i="1"/>
  <c r="AB20" i="9" s="1"/>
  <c r="AA243" i="1"/>
  <c r="AA20" i="9" s="1"/>
  <c r="Z243" i="1"/>
  <c r="Z20" i="9" s="1"/>
  <c r="Y243" i="1"/>
  <c r="Y20" i="9" s="1"/>
  <c r="X243" i="1"/>
  <c r="X20" i="9" s="1"/>
  <c r="W243" i="1"/>
  <c r="W20" i="9" s="1"/>
  <c r="V243" i="1"/>
  <c r="V20" i="9" s="1"/>
  <c r="U243" i="1"/>
  <c r="U20" i="9" s="1"/>
  <c r="S243" i="1"/>
  <c r="S20" i="9" s="1"/>
  <c r="R243" i="1"/>
  <c r="R20" i="9" s="1"/>
  <c r="Q243" i="1"/>
  <c r="Q20" i="9" s="1"/>
  <c r="P243" i="1"/>
  <c r="P20" i="9" s="1"/>
  <c r="N243" i="1"/>
  <c r="N20" i="9" s="1"/>
  <c r="M243" i="1"/>
  <c r="M20" i="9" s="1"/>
  <c r="L243" i="1"/>
  <c r="L20" i="9" s="1"/>
  <c r="K243" i="1"/>
  <c r="K20" i="9" s="1"/>
  <c r="I243" i="1"/>
  <c r="I20" i="9" s="1"/>
  <c r="H243" i="1"/>
  <c r="H20" i="9" s="1"/>
  <c r="G243" i="1"/>
  <c r="G20" i="9" s="1"/>
  <c r="F243" i="1"/>
  <c r="F20" i="9" s="1"/>
  <c r="E243" i="1"/>
  <c r="E20" i="9" s="1"/>
  <c r="D243" i="1"/>
  <c r="D20" i="9" s="1"/>
  <c r="C243" i="1"/>
  <c r="C20" i="9" s="1"/>
  <c r="T242" i="1"/>
  <c r="T19" i="9" s="1"/>
  <c r="O242" i="1"/>
  <c r="O19" i="9" s="1"/>
  <c r="J242" i="1"/>
  <c r="J19" i="9" s="1"/>
  <c r="T241" i="1"/>
  <c r="T18" i="9" s="1"/>
  <c r="O241" i="1"/>
  <c r="J241" i="1"/>
  <c r="J18" i="9" s="1"/>
  <c r="BJ236" i="1"/>
  <c r="BE236" i="1"/>
  <c r="BB236" i="1"/>
  <c r="AW236" i="1"/>
  <c r="AT236" i="1"/>
  <c r="AO236" i="1"/>
  <c r="AL236" i="1"/>
  <c r="AG236" i="1"/>
  <c r="V236" i="1"/>
  <c r="Q236" i="1"/>
  <c r="N236" i="1"/>
  <c r="I236" i="1"/>
  <c r="F236" i="1"/>
  <c r="CC235" i="1"/>
  <c r="BX235" i="1"/>
  <c r="BR235" i="1"/>
  <c r="BM235" i="1"/>
  <c r="BH235" i="1"/>
  <c r="BC235" i="1"/>
  <c r="AX235" i="1"/>
  <c r="AS235" i="1"/>
  <c r="AN235" i="1"/>
  <c r="AI235" i="1"/>
  <c r="AD235" i="1"/>
  <c r="Y235" i="1"/>
  <c r="CC234" i="1"/>
  <c r="BX234" i="1"/>
  <c r="BR234" i="1"/>
  <c r="BM234" i="1"/>
  <c r="BH234" i="1"/>
  <c r="BC234" i="1"/>
  <c r="AX234" i="1"/>
  <c r="AS234" i="1"/>
  <c r="AN234" i="1"/>
  <c r="AI234" i="1"/>
  <c r="AD234" i="1"/>
  <c r="Y234" i="1"/>
  <c r="BT233" i="1"/>
  <c r="BT236" i="1" s="1"/>
  <c r="BS233" i="1"/>
  <c r="BS236" i="1" s="1"/>
  <c r="BQ233" i="1"/>
  <c r="BQ236" i="1" s="1"/>
  <c r="BP233" i="1"/>
  <c r="BP236" i="1" s="1"/>
  <c r="BO233" i="1"/>
  <c r="BO236" i="1" s="1"/>
  <c r="BN233" i="1"/>
  <c r="BN236" i="1" s="1"/>
  <c r="BL233" i="1"/>
  <c r="BL236" i="1" s="1"/>
  <c r="BK233" i="1"/>
  <c r="BK236" i="1" s="1"/>
  <c r="BJ233" i="1"/>
  <c r="BI233" i="1"/>
  <c r="BI236" i="1" s="1"/>
  <c r="BG233" i="1"/>
  <c r="BG236" i="1" s="1"/>
  <c r="BF233" i="1"/>
  <c r="BF236" i="1" s="1"/>
  <c r="BE233" i="1"/>
  <c r="BD233" i="1"/>
  <c r="BD236" i="1" s="1"/>
  <c r="BB233" i="1"/>
  <c r="BA233" i="1"/>
  <c r="BA236" i="1" s="1"/>
  <c r="AZ233" i="1"/>
  <c r="AZ236" i="1" s="1"/>
  <c r="AY233" i="1"/>
  <c r="AY236" i="1" s="1"/>
  <c r="AW233" i="1"/>
  <c r="AV233" i="1"/>
  <c r="AV236" i="1" s="1"/>
  <c r="AU233" i="1"/>
  <c r="AU236" i="1" s="1"/>
  <c r="AT233" i="1"/>
  <c r="AR233" i="1"/>
  <c r="AR236" i="1" s="1"/>
  <c r="AQ233" i="1"/>
  <c r="AQ236" i="1" s="1"/>
  <c r="AP233" i="1"/>
  <c r="AP236" i="1" s="1"/>
  <c r="AO233" i="1"/>
  <c r="AM233" i="1"/>
  <c r="AM236" i="1" s="1"/>
  <c r="AL233" i="1"/>
  <c r="AK233" i="1"/>
  <c r="AK236" i="1" s="1"/>
  <c r="AJ233" i="1"/>
  <c r="AJ236" i="1" s="1"/>
  <c r="AI233" i="1"/>
  <c r="AI236" i="1" s="1"/>
  <c r="AH233" i="1"/>
  <c r="AH236" i="1" s="1"/>
  <c r="AG233" i="1"/>
  <c r="AF233" i="1"/>
  <c r="AF236" i="1" s="1"/>
  <c r="AE233" i="1"/>
  <c r="AE236" i="1" s="1"/>
  <c r="AC233" i="1"/>
  <c r="AC236" i="1" s="1"/>
  <c r="AB233" i="1"/>
  <c r="AB236" i="1" s="1"/>
  <c r="AA233" i="1"/>
  <c r="AA236" i="1" s="1"/>
  <c r="Z233" i="1"/>
  <c r="Z236" i="1" s="1"/>
  <c r="X233" i="1"/>
  <c r="X236" i="1" s="1"/>
  <c r="W233" i="1"/>
  <c r="W236" i="1" s="1"/>
  <c r="V233" i="1"/>
  <c r="U233" i="1"/>
  <c r="U236" i="1" s="1"/>
  <c r="T233" i="1"/>
  <c r="T236" i="1" s="1"/>
  <c r="S233" i="1"/>
  <c r="S236" i="1" s="1"/>
  <c r="R233" i="1"/>
  <c r="R236" i="1" s="1"/>
  <c r="Q233" i="1"/>
  <c r="P233" i="1"/>
  <c r="P236" i="1" s="1"/>
  <c r="O233" i="1"/>
  <c r="O236" i="1" s="1"/>
  <c r="N233" i="1"/>
  <c r="M233" i="1"/>
  <c r="M236" i="1" s="1"/>
  <c r="L233" i="1"/>
  <c r="L236" i="1" s="1"/>
  <c r="K233" i="1"/>
  <c r="K236" i="1" s="1"/>
  <c r="J233" i="1"/>
  <c r="J236" i="1" s="1"/>
  <c r="I233" i="1"/>
  <c r="H233" i="1"/>
  <c r="H236" i="1" s="1"/>
  <c r="G233" i="1"/>
  <c r="G236" i="1" s="1"/>
  <c r="F233" i="1"/>
  <c r="E233" i="1"/>
  <c r="E236" i="1" s="1"/>
  <c r="D233" i="1"/>
  <c r="D236" i="1" s="1"/>
  <c r="C233" i="1"/>
  <c r="C236" i="1" s="1"/>
  <c r="BR232" i="1"/>
  <c r="BM232" i="1"/>
  <c r="BH232" i="1"/>
  <c r="BH233" i="1" s="1"/>
  <c r="BC232" i="1"/>
  <c r="AX232" i="1"/>
  <c r="AS232" i="1"/>
  <c r="AN232" i="1"/>
  <c r="AI232" i="1"/>
  <c r="AD232" i="1"/>
  <c r="Y232" i="1"/>
  <c r="BR231" i="1"/>
  <c r="BM231" i="1"/>
  <c r="BM233" i="1" s="1"/>
  <c r="BM236" i="1" s="1"/>
  <c r="BH231" i="1"/>
  <c r="BC231" i="1"/>
  <c r="BC233" i="1" s="1"/>
  <c r="BC236" i="1" s="1"/>
  <c r="AX231" i="1"/>
  <c r="AS231" i="1"/>
  <c r="AS233" i="1" s="1"/>
  <c r="AS236" i="1" s="1"/>
  <c r="AN231" i="1"/>
  <c r="AN233" i="1" s="1"/>
  <c r="AN236" i="1" s="1"/>
  <c r="AI231" i="1"/>
  <c r="AD231" i="1"/>
  <c r="Y231" i="1"/>
  <c r="Y233" i="1" s="1"/>
  <c r="Y236" i="1" s="1"/>
  <c r="AJ217" i="1"/>
  <c r="AI217" i="1"/>
  <c r="AE217" i="1"/>
  <c r="AD217" i="1"/>
  <c r="Z217" i="1"/>
  <c r="Y217" i="1"/>
  <c r="U217" i="1"/>
  <c r="T217" i="1"/>
  <c r="P217" i="1"/>
  <c r="O217" i="1"/>
  <c r="K217" i="1"/>
  <c r="J217" i="1"/>
  <c r="F217" i="1"/>
  <c r="E217" i="1"/>
  <c r="D217" i="1"/>
  <c r="C217" i="1"/>
  <c r="CF213" i="1"/>
  <c r="CE213" i="1"/>
  <c r="CD213" i="1"/>
  <c r="CB213" i="1"/>
  <c r="CA213" i="1"/>
  <c r="BZ213" i="1"/>
  <c r="BY213" i="1"/>
  <c r="BW213" i="1"/>
  <c r="BV213" i="1"/>
  <c r="BU213" i="1"/>
  <c r="BT213" i="1"/>
  <c r="BS213" i="1"/>
  <c r="BR213" i="1"/>
  <c r="BQ213" i="1"/>
  <c r="BP213" i="1"/>
  <c r="BO213" i="1"/>
  <c r="BN213" i="1"/>
  <c r="BL213" i="1"/>
  <c r="BK213" i="1"/>
  <c r="BJ213" i="1"/>
  <c r="BI213" i="1"/>
  <c r="BG213" i="1"/>
  <c r="BF213" i="1"/>
  <c r="BE213" i="1"/>
  <c r="BD213" i="1"/>
  <c r="BB213" i="1"/>
  <c r="BA213" i="1"/>
  <c r="AZ213" i="1"/>
  <c r="AY213" i="1"/>
  <c r="AW213" i="1"/>
  <c r="AV213" i="1"/>
  <c r="AU213" i="1"/>
  <c r="AT213" i="1"/>
  <c r="AR213" i="1"/>
  <c r="AQ213" i="1"/>
  <c r="AP213" i="1"/>
  <c r="AO213" i="1"/>
  <c r="AM213" i="1"/>
  <c r="AL213" i="1"/>
  <c r="AK213" i="1"/>
  <c r="AJ213" i="1"/>
  <c r="AH213" i="1"/>
  <c r="AG213" i="1"/>
  <c r="AF213" i="1"/>
  <c r="AE213" i="1"/>
  <c r="AC213" i="1"/>
  <c r="AB213" i="1"/>
  <c r="AA213" i="1"/>
  <c r="Z213" i="1"/>
  <c r="X213" i="1"/>
  <c r="W213" i="1"/>
  <c r="V213" i="1"/>
  <c r="U213" i="1"/>
  <c r="S213" i="1"/>
  <c r="R213" i="1"/>
  <c r="Q213" i="1"/>
  <c r="P213" i="1"/>
  <c r="N213" i="1"/>
  <c r="M213" i="1"/>
  <c r="L213" i="1"/>
  <c r="K213" i="1"/>
  <c r="I213" i="1"/>
  <c r="H213" i="1"/>
  <c r="G213" i="1"/>
  <c r="F213" i="1"/>
  <c r="E213" i="1"/>
  <c r="D213" i="1"/>
  <c r="C213" i="1"/>
  <c r="AL211" i="1"/>
  <c r="AJ211" i="1"/>
  <c r="L211" i="1"/>
  <c r="BR210" i="1"/>
  <c r="BB210" i="1"/>
  <c r="AZ210" i="1"/>
  <c r="AJ210" i="1"/>
  <c r="AB210" i="1"/>
  <c r="N210" i="1"/>
  <c r="L210" i="1"/>
  <c r="BS208" i="1"/>
  <c r="BR208" i="1"/>
  <c r="BO208" i="1"/>
  <c r="BN208" i="1"/>
  <c r="BM208" i="1"/>
  <c r="BJ208" i="1"/>
  <c r="BI208" i="1"/>
  <c r="BH208" i="1"/>
  <c r="BD208" i="1"/>
  <c r="AY208" i="1"/>
  <c r="AV208" i="1"/>
  <c r="AT208" i="1"/>
  <c r="AS208" i="1"/>
  <c r="AQ208" i="1"/>
  <c r="Z208" i="1"/>
  <c r="H208" i="1"/>
  <c r="CF207" i="1"/>
  <c r="CE207" i="1"/>
  <c r="CD207" i="1"/>
  <c r="CB207" i="1"/>
  <c r="CA207" i="1"/>
  <c r="BZ207" i="1"/>
  <c r="BY207" i="1"/>
  <c r="BW207" i="1"/>
  <c r="BV207" i="1"/>
  <c r="BU207" i="1"/>
  <c r="BT207" i="1"/>
  <c r="BQ207" i="1"/>
  <c r="BP207" i="1"/>
  <c r="BO207" i="1"/>
  <c r="BL207" i="1"/>
  <c r="BK207" i="1"/>
  <c r="BJ207" i="1"/>
  <c r="BH207" i="1"/>
  <c r="BG207" i="1"/>
  <c r="BF207" i="1"/>
  <c r="BE207" i="1"/>
  <c r="BC207" i="1"/>
  <c r="BB207" i="1"/>
  <c r="BA207" i="1"/>
  <c r="AZ207" i="1"/>
  <c r="AX207" i="1"/>
  <c r="AW207" i="1"/>
  <c r="AV207" i="1"/>
  <c r="AU207" i="1"/>
  <c r="AS207" i="1"/>
  <c r="AR207" i="1"/>
  <c r="AQ207" i="1"/>
  <c r="AP207" i="1"/>
  <c r="AO207" i="1"/>
  <c r="AN207" i="1"/>
  <c r="AM207" i="1"/>
  <c r="AL207" i="1"/>
  <c r="AK207" i="1"/>
  <c r="AJ207" i="1"/>
  <c r="AI207" i="1"/>
  <c r="AH207" i="1"/>
  <c r="AG207" i="1"/>
  <c r="AF207" i="1"/>
  <c r="AE207" i="1"/>
  <c r="AD207" i="1"/>
  <c r="AC207" i="1"/>
  <c r="AB207" i="1"/>
  <c r="AA207" i="1"/>
  <c r="Z207" i="1"/>
  <c r="Y207" i="1"/>
  <c r="X207" i="1"/>
  <c r="W207" i="1"/>
  <c r="V207" i="1"/>
  <c r="U207" i="1"/>
  <c r="T207" i="1"/>
  <c r="S207" i="1"/>
  <c r="R207" i="1"/>
  <c r="Q207" i="1"/>
  <c r="P207" i="1"/>
  <c r="O207" i="1"/>
  <c r="N207" i="1"/>
  <c r="M207" i="1"/>
  <c r="L207" i="1"/>
  <c r="K207" i="1"/>
  <c r="J207" i="1"/>
  <c r="I207" i="1"/>
  <c r="H207" i="1"/>
  <c r="G207" i="1"/>
  <c r="F207" i="1"/>
  <c r="E207" i="1"/>
  <c r="D207" i="1"/>
  <c r="C207" i="1"/>
  <c r="CF206" i="1"/>
  <c r="CF211" i="1" s="1"/>
  <c r="BV206" i="1"/>
  <c r="BV211" i="1" s="1"/>
  <c r="BT206" i="1"/>
  <c r="BQ206" i="1"/>
  <c r="BQ211" i="1" s="1"/>
  <c r="BP206" i="1"/>
  <c r="BP211" i="1" s="1"/>
  <c r="BO206" i="1"/>
  <c r="BO211" i="1" s="1"/>
  <c r="BL206" i="1"/>
  <c r="BK206" i="1"/>
  <c r="BK211" i="1" s="1"/>
  <c r="BJ206" i="1"/>
  <c r="BJ211" i="1" s="1"/>
  <c r="BG206" i="1"/>
  <c r="BG211" i="1" s="1"/>
  <c r="BF206" i="1"/>
  <c r="BE206" i="1"/>
  <c r="BC206" i="1"/>
  <c r="BC211" i="1" s="1"/>
  <c r="BB206" i="1"/>
  <c r="BB211" i="1" s="1"/>
  <c r="BA206" i="1"/>
  <c r="BA211" i="1" s="1"/>
  <c r="AZ206" i="1"/>
  <c r="AZ211" i="1" s="1"/>
  <c r="AW206" i="1"/>
  <c r="AV206" i="1"/>
  <c r="AU206" i="1"/>
  <c r="AU211" i="1" s="1"/>
  <c r="AR206" i="1"/>
  <c r="AR211" i="1" s="1"/>
  <c r="AQ206" i="1"/>
  <c r="AQ211" i="1" s="1"/>
  <c r="AP206" i="1"/>
  <c r="AP211" i="1" s="1"/>
  <c r="AO206" i="1"/>
  <c r="AM206" i="1"/>
  <c r="AM211" i="1" s="1"/>
  <c r="AL206" i="1"/>
  <c r="AJ206" i="1"/>
  <c r="AH206" i="1"/>
  <c r="AH211" i="1" s="1"/>
  <c r="AG206" i="1"/>
  <c r="AF206" i="1"/>
  <c r="AE206" i="1"/>
  <c r="AE211" i="1" s="1"/>
  <c r="AC206" i="1"/>
  <c r="AC211" i="1" s="1"/>
  <c r="AB206" i="1"/>
  <c r="AB211" i="1" s="1"/>
  <c r="AA206" i="1"/>
  <c r="Z206" i="1"/>
  <c r="Z211" i="1" s="1"/>
  <c r="X206" i="1"/>
  <c r="W206" i="1"/>
  <c r="W211" i="1" s="1"/>
  <c r="V206" i="1"/>
  <c r="V211" i="1" s="1"/>
  <c r="U206" i="1"/>
  <c r="U211" i="1" s="1"/>
  <c r="S206" i="1"/>
  <c r="R206" i="1"/>
  <c r="Q206" i="1"/>
  <c r="P206" i="1"/>
  <c r="N206" i="1"/>
  <c r="N211" i="1" s="1"/>
  <c r="M206" i="1"/>
  <c r="M211" i="1" s="1"/>
  <c r="L206" i="1"/>
  <c r="K206" i="1"/>
  <c r="I206" i="1"/>
  <c r="H206" i="1"/>
  <c r="G206" i="1"/>
  <c r="G211" i="1" s="1"/>
  <c r="F206" i="1"/>
  <c r="F211" i="1" s="1"/>
  <c r="E206" i="1"/>
  <c r="E211" i="1" s="1"/>
  <c r="D206" i="1"/>
  <c r="D211" i="1" s="1"/>
  <c r="C206" i="1"/>
  <c r="BZ205" i="1"/>
  <c r="BZ210" i="1" s="1"/>
  <c r="BT205" i="1"/>
  <c r="BT210" i="1" s="1"/>
  <c r="BS205" i="1"/>
  <c r="BS210" i="1" s="1"/>
  <c r="BR205" i="1"/>
  <c r="BQ205" i="1"/>
  <c r="BQ210" i="1" s="1"/>
  <c r="BP205" i="1"/>
  <c r="BP210" i="1" s="1"/>
  <c r="BO205" i="1"/>
  <c r="BO210" i="1" s="1"/>
  <c r="BN205" i="1"/>
  <c r="BM205" i="1"/>
  <c r="BL205" i="1"/>
  <c r="BL210" i="1" s="1"/>
  <c r="BK205" i="1"/>
  <c r="BK210" i="1" s="1"/>
  <c r="BJ205" i="1"/>
  <c r="BJ210" i="1" s="1"/>
  <c r="BI205" i="1"/>
  <c r="BI210" i="1" s="1"/>
  <c r="BH205" i="1"/>
  <c r="BH210" i="1" s="1"/>
  <c r="BG205" i="1"/>
  <c r="BG210" i="1" s="1"/>
  <c r="BF205" i="1"/>
  <c r="BE205" i="1"/>
  <c r="BD205" i="1"/>
  <c r="BD210" i="1" s="1"/>
  <c r="BC205" i="1"/>
  <c r="BC210" i="1" s="1"/>
  <c r="BB205" i="1"/>
  <c r="BA205" i="1"/>
  <c r="BA210" i="1" s="1"/>
  <c r="AZ205" i="1"/>
  <c r="AY205" i="1"/>
  <c r="AY210" i="1" s="1"/>
  <c r="AX205" i="1"/>
  <c r="AW205" i="1"/>
  <c r="AV205" i="1"/>
  <c r="AV210" i="1" s="1"/>
  <c r="AU205" i="1"/>
  <c r="AU210" i="1" s="1"/>
  <c r="AT205" i="1"/>
  <c r="AT210" i="1" s="1"/>
  <c r="AS205" i="1"/>
  <c r="AS210" i="1" s="1"/>
  <c r="AR205" i="1"/>
  <c r="AR210" i="1" s="1"/>
  <c r="AQ205" i="1"/>
  <c r="AQ210" i="1" s="1"/>
  <c r="AP205" i="1"/>
  <c r="AO205" i="1"/>
  <c r="AN205" i="1"/>
  <c r="AN210" i="1" s="1"/>
  <c r="AM205" i="1"/>
  <c r="AM210" i="1" s="1"/>
  <c r="AL205" i="1"/>
  <c r="AL210" i="1" s="1"/>
  <c r="AK205" i="1"/>
  <c r="AK210" i="1" s="1"/>
  <c r="AJ205" i="1"/>
  <c r="AI205" i="1"/>
  <c r="AI210" i="1" s="1"/>
  <c r="AH205" i="1"/>
  <c r="AG205" i="1"/>
  <c r="AF205" i="1"/>
  <c r="AF210" i="1" s="1"/>
  <c r="AE205" i="1"/>
  <c r="AE210" i="1" s="1"/>
  <c r="AC205" i="1"/>
  <c r="AC210" i="1" s="1"/>
  <c r="AB205" i="1"/>
  <c r="AA205" i="1"/>
  <c r="AA210" i="1" s="1"/>
  <c r="Z205" i="1"/>
  <c r="X205" i="1"/>
  <c r="X210" i="1" s="1"/>
  <c r="W205" i="1"/>
  <c r="W210" i="1" s="1"/>
  <c r="V205" i="1"/>
  <c r="V210" i="1" s="1"/>
  <c r="U205" i="1"/>
  <c r="U210" i="1" s="1"/>
  <c r="S205" i="1"/>
  <c r="R205" i="1"/>
  <c r="Q205" i="1"/>
  <c r="P205" i="1"/>
  <c r="P210" i="1" s="1"/>
  <c r="N205" i="1"/>
  <c r="M205" i="1"/>
  <c r="M210" i="1" s="1"/>
  <c r="L205" i="1"/>
  <c r="K205" i="1"/>
  <c r="I205" i="1"/>
  <c r="H205" i="1"/>
  <c r="H210" i="1" s="1"/>
  <c r="G205" i="1"/>
  <c r="G210" i="1" s="1"/>
  <c r="F205" i="1"/>
  <c r="F210" i="1" s="1"/>
  <c r="E205" i="1"/>
  <c r="E210" i="1" s="1"/>
  <c r="D205" i="1"/>
  <c r="D210" i="1" s="1"/>
  <c r="C205" i="1"/>
  <c r="CF203" i="1"/>
  <c r="CE203" i="1"/>
  <c r="CD203" i="1"/>
  <c r="CB203" i="1"/>
  <c r="CA203" i="1"/>
  <c r="BZ203" i="1"/>
  <c r="BY203" i="1"/>
  <c r="BW203" i="1"/>
  <c r="BV203" i="1"/>
  <c r="BU203" i="1"/>
  <c r="BT203" i="1"/>
  <c r="BS203" i="1"/>
  <c r="BR203" i="1"/>
  <c r="BQ203" i="1"/>
  <c r="BP203" i="1"/>
  <c r="BO203" i="1"/>
  <c r="BN203" i="1"/>
  <c r="BM203" i="1"/>
  <c r="BL203" i="1"/>
  <c r="BK203" i="1"/>
  <c r="BJ203" i="1"/>
  <c r="BI203" i="1"/>
  <c r="BH203" i="1"/>
  <c r="BG203" i="1"/>
  <c r="BF203" i="1"/>
  <c r="BF211" i="1" s="1"/>
  <c r="BE203" i="1"/>
  <c r="BD203" i="1"/>
  <c r="BC203" i="1"/>
  <c r="BB203" i="1"/>
  <c r="BA203" i="1"/>
  <c r="AZ203" i="1"/>
  <c r="AY203" i="1"/>
  <c r="AX203" i="1"/>
  <c r="AW203" i="1"/>
  <c r="AV203" i="1"/>
  <c r="AU203" i="1"/>
  <c r="AT203" i="1"/>
  <c r="AS203" i="1"/>
  <c r="AR203" i="1"/>
  <c r="AQ203" i="1"/>
  <c r="AP203" i="1"/>
  <c r="AO203" i="1"/>
  <c r="AN203" i="1"/>
  <c r="AM203" i="1"/>
  <c r="AL203" i="1"/>
  <c r="AK203" i="1"/>
  <c r="AJ203" i="1"/>
  <c r="AI203" i="1"/>
  <c r="AH203" i="1"/>
  <c r="AG203" i="1"/>
  <c r="AF203" i="1"/>
  <c r="AE203" i="1"/>
  <c r="AD203" i="1"/>
  <c r="AC203" i="1"/>
  <c r="AB203" i="1"/>
  <c r="AA203" i="1"/>
  <c r="Z203" i="1"/>
  <c r="Y203" i="1"/>
  <c r="X203" i="1"/>
  <c r="W203" i="1"/>
  <c r="V203" i="1"/>
  <c r="U203" i="1"/>
  <c r="T203" i="1"/>
  <c r="S203" i="1"/>
  <c r="R203" i="1"/>
  <c r="R211" i="1" s="1"/>
  <c r="Q203" i="1"/>
  <c r="P203" i="1"/>
  <c r="O203" i="1"/>
  <c r="N203" i="1"/>
  <c r="M203" i="1"/>
  <c r="L203" i="1"/>
  <c r="K203" i="1"/>
  <c r="J203" i="1"/>
  <c r="I203" i="1"/>
  <c r="H203" i="1"/>
  <c r="G203" i="1"/>
  <c r="F203" i="1"/>
  <c r="E203" i="1"/>
  <c r="D203" i="1"/>
  <c r="C203" i="1"/>
  <c r="BT193" i="1"/>
  <c r="BQ193" i="1"/>
  <c r="BP193" i="1"/>
  <c r="BO193" i="1"/>
  <c r="BL193" i="1"/>
  <c r="BK193" i="1"/>
  <c r="BJ193" i="1"/>
  <c r="BG193" i="1"/>
  <c r="BF193" i="1"/>
  <c r="BE193" i="1"/>
  <c r="BC193" i="1"/>
  <c r="BB193" i="1"/>
  <c r="BA193" i="1"/>
  <c r="AZ193" i="1"/>
  <c r="AW193" i="1"/>
  <c r="AV193" i="1"/>
  <c r="AU193" i="1"/>
  <c r="AR193" i="1"/>
  <c r="AQ193" i="1"/>
  <c r="AP193" i="1"/>
  <c r="AO193" i="1"/>
  <c r="AN193" i="1"/>
  <c r="AM193" i="1"/>
  <c r="AL193" i="1"/>
  <c r="AJ193" i="1"/>
  <c r="AH193" i="1"/>
  <c r="AG193" i="1"/>
  <c r="AF193" i="1"/>
  <c r="AE193" i="1"/>
  <c r="AC193" i="1"/>
  <c r="AB193" i="1"/>
  <c r="AA193" i="1"/>
  <c r="Z193" i="1"/>
  <c r="X193" i="1"/>
  <c r="W193" i="1"/>
  <c r="V193" i="1"/>
  <c r="U193" i="1"/>
  <c r="S193" i="1"/>
  <c r="R193" i="1"/>
  <c r="Q193" i="1"/>
  <c r="P193" i="1"/>
  <c r="N193" i="1"/>
  <c r="M193" i="1"/>
  <c r="L193" i="1"/>
  <c r="K193" i="1"/>
  <c r="I193" i="1"/>
  <c r="H193" i="1"/>
  <c r="G193" i="1"/>
  <c r="F193" i="1"/>
  <c r="E193" i="1"/>
  <c r="D193" i="1"/>
  <c r="C193" i="1"/>
  <c r="BT192" i="1"/>
  <c r="BS192" i="1"/>
  <c r="BR192" i="1"/>
  <c r="BQ192" i="1"/>
  <c r="BP192" i="1"/>
  <c r="BO192" i="1"/>
  <c r="BN192" i="1"/>
  <c r="BM192" i="1"/>
  <c r="BL192" i="1"/>
  <c r="BK192" i="1"/>
  <c r="BJ192" i="1"/>
  <c r="BI192" i="1"/>
  <c r="BH192" i="1"/>
  <c r="BG192" i="1"/>
  <c r="BF192" i="1"/>
  <c r="BE192" i="1"/>
  <c r="BD192" i="1"/>
  <c r="BC192" i="1"/>
  <c r="BB192" i="1"/>
  <c r="BA192" i="1"/>
  <c r="AZ192" i="1"/>
  <c r="AY192" i="1"/>
  <c r="AX192" i="1"/>
  <c r="AW192" i="1"/>
  <c r="AV192" i="1"/>
  <c r="AU192" i="1"/>
  <c r="AT192" i="1"/>
  <c r="AS192" i="1"/>
  <c r="AR192" i="1"/>
  <c r="AQ192" i="1"/>
  <c r="AP192" i="1"/>
  <c r="AO192" i="1"/>
  <c r="AN192" i="1"/>
  <c r="AM192" i="1"/>
  <c r="AL192" i="1"/>
  <c r="AK192" i="1"/>
  <c r="AJ192" i="1"/>
  <c r="AI192" i="1"/>
  <c r="AH192" i="1"/>
  <c r="AG192" i="1"/>
  <c r="AF192" i="1"/>
  <c r="AE192" i="1"/>
  <c r="AC192" i="1"/>
  <c r="AB192" i="1"/>
  <c r="AA192" i="1"/>
  <c r="Z192" i="1"/>
  <c r="X192" i="1"/>
  <c r="W192" i="1"/>
  <c r="V192" i="1"/>
  <c r="U192" i="1"/>
  <c r="S192" i="1"/>
  <c r="R192" i="1"/>
  <c r="Q192" i="1"/>
  <c r="P192" i="1"/>
  <c r="N192" i="1"/>
  <c r="M192" i="1"/>
  <c r="L192" i="1"/>
  <c r="K192" i="1"/>
  <c r="I192" i="1"/>
  <c r="H192" i="1"/>
  <c r="G192" i="1"/>
  <c r="F192" i="1"/>
  <c r="E192" i="1"/>
  <c r="D192" i="1"/>
  <c r="C192" i="1"/>
  <c r="CD190" i="1"/>
  <c r="BW190" i="1"/>
  <c r="BT190" i="1"/>
  <c r="BQ190" i="1"/>
  <c r="BQ208" i="1" s="1"/>
  <c r="BP190" i="1"/>
  <c r="BP208" i="1" s="1"/>
  <c r="BO190" i="1"/>
  <c r="BL190" i="1"/>
  <c r="BK190" i="1"/>
  <c r="BJ190" i="1"/>
  <c r="BG190" i="1"/>
  <c r="BF190" i="1"/>
  <c r="BE190" i="1"/>
  <c r="BB190" i="1"/>
  <c r="BB208" i="1" s="1"/>
  <c r="BA190" i="1"/>
  <c r="BA208" i="1" s="1"/>
  <c r="AZ190" i="1"/>
  <c r="AZ208" i="1" s="1"/>
  <c r="AW190" i="1"/>
  <c r="AV190" i="1"/>
  <c r="AU190" i="1"/>
  <c r="AR190" i="1"/>
  <c r="AQ190" i="1"/>
  <c r="AP190" i="1"/>
  <c r="AP208" i="1" s="1"/>
  <c r="AO190" i="1"/>
  <c r="AM190" i="1"/>
  <c r="AM208" i="1" s="1"/>
  <c r="AL190" i="1"/>
  <c r="AL208" i="1" s="1"/>
  <c r="AJ190" i="1"/>
  <c r="AH190" i="1"/>
  <c r="AG190" i="1"/>
  <c r="AG208" i="1" s="1"/>
  <c r="AF190" i="1"/>
  <c r="AE190" i="1"/>
  <c r="AC190" i="1"/>
  <c r="AC208" i="1" s="1"/>
  <c r="AB190" i="1"/>
  <c r="AA190" i="1"/>
  <c r="AA208" i="1" s="1"/>
  <c r="Z190" i="1"/>
  <c r="X190" i="1"/>
  <c r="X208" i="1" s="1"/>
  <c r="W190" i="1"/>
  <c r="V190" i="1"/>
  <c r="U190" i="1"/>
  <c r="U208" i="1" s="1"/>
  <c r="T190" i="1"/>
  <c r="S190" i="1"/>
  <c r="S208" i="1" s="1"/>
  <c r="R190" i="1"/>
  <c r="R208" i="1" s="1"/>
  <c r="Q190" i="1"/>
  <c r="P190" i="1"/>
  <c r="O190" i="1"/>
  <c r="N190" i="1"/>
  <c r="M190" i="1"/>
  <c r="M208" i="1" s="1"/>
  <c r="L190" i="1"/>
  <c r="K190" i="1"/>
  <c r="K208" i="1" s="1"/>
  <c r="I190" i="1"/>
  <c r="H190" i="1"/>
  <c r="G190" i="1"/>
  <c r="F190" i="1"/>
  <c r="E190" i="1"/>
  <c r="E208" i="1" s="1"/>
  <c r="D190" i="1"/>
  <c r="C190" i="1"/>
  <c r="C208" i="1" s="1"/>
  <c r="BR189" i="1"/>
  <c r="BR207" i="1" s="1"/>
  <c r="BM189" i="1"/>
  <c r="BM207" i="1" s="1"/>
  <c r="CF188" i="1"/>
  <c r="CE188" i="1"/>
  <c r="CE190" i="1" s="1"/>
  <c r="CD188" i="1"/>
  <c r="CB188" i="1"/>
  <c r="CB190" i="1" s="1"/>
  <c r="CA188" i="1"/>
  <c r="BZ188" i="1"/>
  <c r="BZ190" i="1" s="1"/>
  <c r="BY188" i="1"/>
  <c r="BW188" i="1"/>
  <c r="BV188" i="1"/>
  <c r="BU188" i="1"/>
  <c r="BR188" i="1"/>
  <c r="BM188" i="1"/>
  <c r="BH188" i="1"/>
  <c r="BC188" i="1"/>
  <c r="AX188" i="1"/>
  <c r="AX193" i="1" s="1"/>
  <c r="AS188" i="1"/>
  <c r="AS193" i="1" s="1"/>
  <c r="AN188" i="1"/>
  <c r="AK188" i="1"/>
  <c r="AK190" i="1" s="1"/>
  <c r="CF187" i="1"/>
  <c r="CF190" i="1" s="1"/>
  <c r="CE187" i="1"/>
  <c r="CD187" i="1"/>
  <c r="CB187" i="1"/>
  <c r="CA187" i="1"/>
  <c r="CA190" i="1" s="1"/>
  <c r="BZ187" i="1"/>
  <c r="BY187" i="1"/>
  <c r="BY190" i="1" s="1"/>
  <c r="BW187" i="1"/>
  <c r="BV187" i="1"/>
  <c r="BU187" i="1"/>
  <c r="BU190" i="1" s="1"/>
  <c r="BT178" i="1"/>
  <c r="BR178" i="1"/>
  <c r="BQ178" i="1"/>
  <c r="BP178" i="1"/>
  <c r="BO178" i="1"/>
  <c r="BM178" i="1"/>
  <c r="BL178" i="1"/>
  <c r="BK178" i="1"/>
  <c r="BJ178" i="1"/>
  <c r="BH178" i="1"/>
  <c r="BG178" i="1"/>
  <c r="BF178" i="1"/>
  <c r="BE178" i="1"/>
  <c r="BC178" i="1"/>
  <c r="BB178" i="1"/>
  <c r="BA178" i="1"/>
  <c r="AZ178" i="1"/>
  <c r="AY178" i="1"/>
  <c r="AW178" i="1"/>
  <c r="AV178" i="1"/>
  <c r="AU178" i="1"/>
  <c r="AT178" i="1"/>
  <c r="AR178" i="1"/>
  <c r="AQ178" i="1"/>
  <c r="AP178" i="1"/>
  <c r="AO178" i="1"/>
  <c r="AM178" i="1"/>
  <c r="AL178" i="1"/>
  <c r="AJ178" i="1"/>
  <c r="AG178" i="1"/>
  <c r="AF178" i="1"/>
  <c r="AE178" i="1"/>
  <c r="AC178" i="1"/>
  <c r="AB178" i="1"/>
  <c r="AA178" i="1"/>
  <c r="Z178" i="1"/>
  <c r="X178" i="1"/>
  <c r="W178" i="1"/>
  <c r="V178" i="1"/>
  <c r="U178" i="1"/>
  <c r="S178" i="1"/>
  <c r="R178" i="1"/>
  <c r="Q178" i="1"/>
  <c r="P178" i="1"/>
  <c r="N178" i="1"/>
  <c r="M178" i="1"/>
  <c r="L178" i="1"/>
  <c r="K178" i="1"/>
  <c r="I178" i="1"/>
  <c r="H178" i="1"/>
  <c r="G178" i="1"/>
  <c r="F178" i="1"/>
  <c r="E178" i="1"/>
  <c r="D178" i="1"/>
  <c r="C178" i="1"/>
  <c r="BT177" i="1"/>
  <c r="BS177" i="1"/>
  <c r="BR177" i="1"/>
  <c r="BQ177" i="1"/>
  <c r="BP177" i="1"/>
  <c r="BO177" i="1"/>
  <c r="BN177" i="1"/>
  <c r="BM177" i="1"/>
  <c r="BL177" i="1"/>
  <c r="BK177" i="1"/>
  <c r="BJ177" i="1"/>
  <c r="BI177" i="1"/>
  <c r="BH177" i="1"/>
  <c r="BG177" i="1"/>
  <c r="BF177" i="1"/>
  <c r="BE177" i="1"/>
  <c r="BD177" i="1"/>
  <c r="BC177" i="1"/>
  <c r="BB177" i="1"/>
  <c r="BA177" i="1"/>
  <c r="AZ177" i="1"/>
  <c r="AY177" i="1"/>
  <c r="AX177" i="1"/>
  <c r="AW177" i="1"/>
  <c r="AV177" i="1"/>
  <c r="AU177" i="1"/>
  <c r="AT177" i="1"/>
  <c r="AS177" i="1"/>
  <c r="AR177" i="1"/>
  <c r="AQ177" i="1"/>
  <c r="AP177" i="1"/>
  <c r="AO177" i="1"/>
  <c r="AN177" i="1"/>
  <c r="AM177" i="1"/>
  <c r="AL177" i="1"/>
  <c r="AK177" i="1"/>
  <c r="AJ177" i="1"/>
  <c r="AI177" i="1"/>
  <c r="AH177" i="1"/>
  <c r="AG177" i="1"/>
  <c r="AF177" i="1"/>
  <c r="AE177" i="1"/>
  <c r="AC177" i="1"/>
  <c r="AB177" i="1"/>
  <c r="AA177" i="1"/>
  <c r="Z177" i="1"/>
  <c r="X177" i="1"/>
  <c r="W177" i="1"/>
  <c r="V177" i="1"/>
  <c r="U177" i="1"/>
  <c r="S177" i="1"/>
  <c r="R177" i="1"/>
  <c r="Q177" i="1"/>
  <c r="P177" i="1"/>
  <c r="N177" i="1"/>
  <c r="M177" i="1"/>
  <c r="L177" i="1"/>
  <c r="K177" i="1"/>
  <c r="I177" i="1"/>
  <c r="H177" i="1"/>
  <c r="G177" i="1"/>
  <c r="F177" i="1"/>
  <c r="E177" i="1"/>
  <c r="D177" i="1"/>
  <c r="C177" i="1"/>
  <c r="CA173" i="1"/>
  <c r="BT173" i="1"/>
  <c r="BT208" i="1" s="1"/>
  <c r="BQ173" i="1"/>
  <c r="BP173" i="1"/>
  <c r="BO173" i="1"/>
  <c r="BL173" i="1"/>
  <c r="BL208" i="1" s="1"/>
  <c r="BK173" i="1"/>
  <c r="BJ173" i="1"/>
  <c r="BG173" i="1"/>
  <c r="BF173" i="1"/>
  <c r="BF208" i="1" s="1"/>
  <c r="BE173" i="1"/>
  <c r="BE208" i="1" s="1"/>
  <c r="BC173" i="1"/>
  <c r="BC208" i="1" s="1"/>
  <c r="BB173" i="1"/>
  <c r="BA173" i="1"/>
  <c r="AZ173" i="1"/>
  <c r="AY173" i="1"/>
  <c r="AW173" i="1"/>
  <c r="AV173" i="1"/>
  <c r="AU173" i="1"/>
  <c r="AT173" i="1"/>
  <c r="AR173" i="1"/>
  <c r="AQ173" i="1"/>
  <c r="AP173" i="1"/>
  <c r="AO173" i="1"/>
  <c r="AO208" i="1" s="1"/>
  <c r="AM173" i="1"/>
  <c r="AL173" i="1"/>
  <c r="AJ173" i="1"/>
  <c r="AG173" i="1"/>
  <c r="AF173" i="1"/>
  <c r="AF208" i="1" s="1"/>
  <c r="AE173" i="1"/>
  <c r="AC173" i="1"/>
  <c r="AB173" i="1"/>
  <c r="AA173" i="1"/>
  <c r="Z173" i="1"/>
  <c r="X173" i="1"/>
  <c r="W173" i="1"/>
  <c r="V173" i="1"/>
  <c r="V208" i="1" s="1"/>
  <c r="U173" i="1"/>
  <c r="S173" i="1"/>
  <c r="R173" i="1"/>
  <c r="Q173" i="1"/>
  <c r="Q208" i="1" s="1"/>
  <c r="P173" i="1"/>
  <c r="N173" i="1"/>
  <c r="N208" i="1" s="1"/>
  <c r="M173" i="1"/>
  <c r="L173" i="1"/>
  <c r="K173" i="1"/>
  <c r="I173" i="1"/>
  <c r="H173" i="1"/>
  <c r="G173" i="1"/>
  <c r="F173" i="1"/>
  <c r="F208" i="1" s="1"/>
  <c r="E173" i="1"/>
  <c r="D173" i="1"/>
  <c r="C173" i="1"/>
  <c r="CF172" i="1"/>
  <c r="CE172" i="1"/>
  <c r="CD172" i="1"/>
  <c r="CD206" i="1" s="1"/>
  <c r="CD211" i="1" s="1"/>
  <c r="CB172" i="1"/>
  <c r="CA172" i="1"/>
  <c r="BZ172" i="1"/>
  <c r="BY172" i="1"/>
  <c r="BW172" i="1"/>
  <c r="BV172" i="1"/>
  <c r="BU172" i="1"/>
  <c r="BS172" i="1"/>
  <c r="BR172" i="1"/>
  <c r="BN172" i="1"/>
  <c r="BM172" i="1"/>
  <c r="BM206" i="1" s="1"/>
  <c r="BM211" i="1" s="1"/>
  <c r="BI172" i="1"/>
  <c r="BI178" i="1" s="1"/>
  <c r="BH172" i="1"/>
  <c r="BH206" i="1" s="1"/>
  <c r="BH211" i="1" s="1"/>
  <c r="BD172" i="1"/>
  <c r="AK172" i="1"/>
  <c r="AI172" i="1"/>
  <c r="AI178" i="1" s="1"/>
  <c r="AH172" i="1"/>
  <c r="AH178" i="1" s="1"/>
  <c r="CF171" i="1"/>
  <c r="CE171" i="1"/>
  <c r="CE205" i="1" s="1"/>
  <c r="CE210" i="1" s="1"/>
  <c r="CD171" i="1"/>
  <c r="CD205" i="1" s="1"/>
  <c r="CD210" i="1" s="1"/>
  <c r="CB171" i="1"/>
  <c r="CA171" i="1"/>
  <c r="BZ171" i="1"/>
  <c r="BY171" i="1"/>
  <c r="BY205" i="1" s="1"/>
  <c r="BY210" i="1" s="1"/>
  <c r="BW171" i="1"/>
  <c r="BW205" i="1" s="1"/>
  <c r="BW210" i="1" s="1"/>
  <c r="BV171" i="1"/>
  <c r="BV205" i="1" s="1"/>
  <c r="BV210" i="1" s="1"/>
  <c r="BU171" i="1"/>
  <c r="BU173" i="1" s="1"/>
  <c r="BU19" i="1" s="1"/>
  <c r="BS166" i="1"/>
  <c r="BI166" i="1"/>
  <c r="BS163" i="1"/>
  <c r="BN163" i="1"/>
  <c r="BN166" i="1" s="1"/>
  <c r="BI163" i="1"/>
  <c r="BD163" i="1"/>
  <c r="AY163" i="1"/>
  <c r="AT163" i="1"/>
  <c r="BS155" i="1"/>
  <c r="BN155" i="1"/>
  <c r="BI155" i="1"/>
  <c r="BD155" i="1"/>
  <c r="AY155" i="1"/>
  <c r="AT155" i="1"/>
  <c r="BS147" i="1"/>
  <c r="BN147" i="1"/>
  <c r="BI147" i="1"/>
  <c r="BD147" i="1"/>
  <c r="BD166" i="1" s="1"/>
  <c r="AY147" i="1"/>
  <c r="AY166" i="1" s="1"/>
  <c r="AT147" i="1"/>
  <c r="AT166" i="1" s="1"/>
  <c r="BS139" i="1"/>
  <c r="BS165" i="1" s="1"/>
  <c r="BN139" i="1"/>
  <c r="BI139" i="1"/>
  <c r="BI165" i="1" s="1"/>
  <c r="BD139" i="1"/>
  <c r="AY139" i="1"/>
  <c r="AY165" i="1" s="1"/>
  <c r="AT139" i="1"/>
  <c r="AT165" i="1" s="1"/>
  <c r="BT130" i="1"/>
  <c r="BS130" i="1"/>
  <c r="BR130" i="1"/>
  <c r="BQ130" i="1"/>
  <c r="BP130" i="1"/>
  <c r="BO130" i="1"/>
  <c r="BN130" i="1"/>
  <c r="BM130" i="1"/>
  <c r="BL130" i="1"/>
  <c r="BK130" i="1"/>
  <c r="BJ130" i="1"/>
  <c r="BI130" i="1"/>
  <c r="BH130" i="1"/>
  <c r="BG130" i="1"/>
  <c r="BF130" i="1"/>
  <c r="BE130" i="1"/>
  <c r="BD130" i="1"/>
  <c r="BC130" i="1"/>
  <c r="BB130" i="1"/>
  <c r="BA130" i="1"/>
  <c r="AZ130" i="1"/>
  <c r="AY130" i="1"/>
  <c r="AX130" i="1"/>
  <c r="AW130" i="1"/>
  <c r="AV130" i="1"/>
  <c r="AU130" i="1"/>
  <c r="AT130" i="1"/>
  <c r="AS130" i="1"/>
  <c r="AR130" i="1"/>
  <c r="AQ130" i="1"/>
  <c r="AP130" i="1"/>
  <c r="AO130" i="1"/>
  <c r="AN130" i="1"/>
  <c r="AM130" i="1"/>
  <c r="AL130" i="1"/>
  <c r="AK130" i="1"/>
  <c r="AJ130" i="1"/>
  <c r="AI130" i="1"/>
  <c r="AH130" i="1"/>
  <c r="AG130" i="1"/>
  <c r="AF130" i="1"/>
  <c r="AE130" i="1"/>
  <c r="AD130" i="1"/>
  <c r="AC130" i="1"/>
  <c r="AB130" i="1"/>
  <c r="AA130" i="1"/>
  <c r="Z130" i="1"/>
  <c r="Y130" i="1"/>
  <c r="X130" i="1"/>
  <c r="W130" i="1"/>
  <c r="V130" i="1"/>
  <c r="U130" i="1"/>
  <c r="T130" i="1"/>
  <c r="S130" i="1"/>
  <c r="R130" i="1"/>
  <c r="Q130" i="1"/>
  <c r="P130" i="1"/>
  <c r="O130" i="1"/>
  <c r="N130" i="1"/>
  <c r="M130" i="1"/>
  <c r="L130" i="1"/>
  <c r="K130" i="1"/>
  <c r="J130" i="1"/>
  <c r="I130" i="1"/>
  <c r="H130" i="1"/>
  <c r="G130" i="1"/>
  <c r="F130" i="1"/>
  <c r="E130" i="1"/>
  <c r="D130" i="1"/>
  <c r="C130" i="1"/>
  <c r="BT129" i="1"/>
  <c r="BS129" i="1"/>
  <c r="BR129" i="1"/>
  <c r="BQ129" i="1"/>
  <c r="BP129" i="1"/>
  <c r="BO129" i="1"/>
  <c r="BN129" i="1"/>
  <c r="BM129" i="1"/>
  <c r="BL129" i="1"/>
  <c r="BK129" i="1"/>
  <c r="BJ129" i="1"/>
  <c r="BI129" i="1"/>
  <c r="BH129" i="1"/>
  <c r="BG129" i="1"/>
  <c r="BF129" i="1"/>
  <c r="BE129" i="1"/>
  <c r="BD129" i="1"/>
  <c r="BC129" i="1"/>
  <c r="BB129" i="1"/>
  <c r="BA129" i="1"/>
  <c r="AZ129" i="1"/>
  <c r="AY129" i="1"/>
  <c r="AX129" i="1"/>
  <c r="AW129" i="1"/>
  <c r="AV129" i="1"/>
  <c r="AU129" i="1"/>
  <c r="AT129" i="1"/>
  <c r="AS129" i="1"/>
  <c r="AR129" i="1"/>
  <c r="AQ129" i="1"/>
  <c r="AP129" i="1"/>
  <c r="AO129" i="1"/>
  <c r="AN129" i="1"/>
  <c r="AM129" i="1"/>
  <c r="AL129" i="1"/>
  <c r="AK129" i="1"/>
  <c r="AJ129" i="1"/>
  <c r="AI129" i="1"/>
  <c r="AH129" i="1"/>
  <c r="AG129" i="1"/>
  <c r="AF129" i="1"/>
  <c r="AE129" i="1"/>
  <c r="AD129" i="1"/>
  <c r="AC129" i="1"/>
  <c r="AB129" i="1"/>
  <c r="AA129" i="1"/>
  <c r="Z129" i="1"/>
  <c r="Y129" i="1"/>
  <c r="X129" i="1"/>
  <c r="W129" i="1"/>
  <c r="V129" i="1"/>
  <c r="U129" i="1"/>
  <c r="T129" i="1"/>
  <c r="S129" i="1"/>
  <c r="R129" i="1"/>
  <c r="Q129" i="1"/>
  <c r="P129" i="1"/>
  <c r="O129" i="1"/>
  <c r="N129" i="1"/>
  <c r="M129" i="1"/>
  <c r="L129" i="1"/>
  <c r="K129" i="1"/>
  <c r="J129" i="1"/>
  <c r="I129" i="1"/>
  <c r="H129" i="1"/>
  <c r="G129" i="1"/>
  <c r="F129" i="1"/>
  <c r="E129" i="1"/>
  <c r="D129" i="1"/>
  <c r="C129" i="1"/>
  <c r="BT128" i="1"/>
  <c r="BS128" i="1"/>
  <c r="BR128" i="1"/>
  <c r="BQ128" i="1"/>
  <c r="BP128" i="1"/>
  <c r="BO128" i="1"/>
  <c r="BN128" i="1"/>
  <c r="BM128" i="1"/>
  <c r="BL128" i="1"/>
  <c r="BK128" i="1"/>
  <c r="BJ128" i="1"/>
  <c r="BI128" i="1"/>
  <c r="BH128" i="1"/>
  <c r="BG128" i="1"/>
  <c r="BF128" i="1"/>
  <c r="BE128" i="1"/>
  <c r="BD128" i="1"/>
  <c r="BC128" i="1"/>
  <c r="BB128" i="1"/>
  <c r="BA128" i="1"/>
  <c r="AZ128" i="1"/>
  <c r="AY128" i="1"/>
  <c r="AX128" i="1"/>
  <c r="AW128" i="1"/>
  <c r="AV128" i="1"/>
  <c r="AU128" i="1"/>
  <c r="AT128" i="1"/>
  <c r="AS128" i="1"/>
  <c r="AR128" i="1"/>
  <c r="AQ128" i="1"/>
  <c r="AP128" i="1"/>
  <c r="AO128" i="1"/>
  <c r="AN128" i="1"/>
  <c r="AM128" i="1"/>
  <c r="AL128" i="1"/>
  <c r="AK128" i="1"/>
  <c r="AJ128" i="1"/>
  <c r="AI128" i="1"/>
  <c r="AH128" i="1"/>
  <c r="AG128" i="1"/>
  <c r="AF128" i="1"/>
  <c r="AE128" i="1"/>
  <c r="AD128" i="1"/>
  <c r="AC128" i="1"/>
  <c r="AB128" i="1"/>
  <c r="AA128" i="1"/>
  <c r="Z128" i="1"/>
  <c r="Y128" i="1"/>
  <c r="X128" i="1"/>
  <c r="W128" i="1"/>
  <c r="V128" i="1"/>
  <c r="U128" i="1"/>
  <c r="T128" i="1"/>
  <c r="S128" i="1"/>
  <c r="R128" i="1"/>
  <c r="Q128" i="1"/>
  <c r="P128" i="1"/>
  <c r="O128" i="1"/>
  <c r="N128" i="1"/>
  <c r="M128" i="1"/>
  <c r="L128" i="1"/>
  <c r="K128" i="1"/>
  <c r="J128" i="1"/>
  <c r="I128" i="1"/>
  <c r="H128" i="1"/>
  <c r="G128" i="1"/>
  <c r="F128" i="1"/>
  <c r="E128" i="1"/>
  <c r="D128" i="1"/>
  <c r="C128" i="1"/>
  <c r="BT127" i="1"/>
  <c r="BS127" i="1"/>
  <c r="BR127" i="1"/>
  <c r="BQ127" i="1"/>
  <c r="BP127" i="1"/>
  <c r="BO127" i="1"/>
  <c r="BN127" i="1"/>
  <c r="BM127" i="1"/>
  <c r="BL127" i="1"/>
  <c r="BK127" i="1"/>
  <c r="BJ127" i="1"/>
  <c r="BI127" i="1"/>
  <c r="BH127" i="1"/>
  <c r="BG127" i="1"/>
  <c r="BF127" i="1"/>
  <c r="BE127" i="1"/>
  <c r="BD127" i="1"/>
  <c r="BC127" i="1"/>
  <c r="BB127" i="1"/>
  <c r="BA127" i="1"/>
  <c r="AZ127" i="1"/>
  <c r="AY127" i="1"/>
  <c r="AX127" i="1"/>
  <c r="AW127" i="1"/>
  <c r="AV127" i="1"/>
  <c r="AU127" i="1"/>
  <c r="AT127" i="1"/>
  <c r="AS127" i="1"/>
  <c r="AR127" i="1"/>
  <c r="AQ127" i="1"/>
  <c r="AP127" i="1"/>
  <c r="AO127" i="1"/>
  <c r="AN127" i="1"/>
  <c r="AM127" i="1"/>
  <c r="AL127" i="1"/>
  <c r="AK127" i="1"/>
  <c r="AJ127" i="1"/>
  <c r="AI127" i="1"/>
  <c r="AH127" i="1"/>
  <c r="AG127" i="1"/>
  <c r="AF127" i="1"/>
  <c r="AE127" i="1"/>
  <c r="AD127" i="1"/>
  <c r="AC127" i="1"/>
  <c r="AB127" i="1"/>
  <c r="AA127" i="1"/>
  <c r="Z127" i="1"/>
  <c r="Y127" i="1"/>
  <c r="X127" i="1"/>
  <c r="W127" i="1"/>
  <c r="V127" i="1"/>
  <c r="U127" i="1"/>
  <c r="T127" i="1"/>
  <c r="S127" i="1"/>
  <c r="R127" i="1"/>
  <c r="Q127" i="1"/>
  <c r="P127" i="1"/>
  <c r="O127" i="1"/>
  <c r="N127" i="1"/>
  <c r="M127" i="1"/>
  <c r="L127" i="1"/>
  <c r="K127" i="1"/>
  <c r="J127" i="1"/>
  <c r="I127" i="1"/>
  <c r="H127" i="1"/>
  <c r="G127" i="1"/>
  <c r="F127" i="1"/>
  <c r="E127" i="1"/>
  <c r="D127" i="1"/>
  <c r="C127" i="1"/>
  <c r="BT126" i="1"/>
  <c r="BS126" i="1"/>
  <c r="BR126" i="1"/>
  <c r="BQ126" i="1"/>
  <c r="BP126" i="1"/>
  <c r="BO126" i="1"/>
  <c r="BN126" i="1"/>
  <c r="BM126" i="1"/>
  <c r="BL126" i="1"/>
  <c r="BK126" i="1"/>
  <c r="BJ126" i="1"/>
  <c r="BI126" i="1"/>
  <c r="BH126" i="1"/>
  <c r="BG126" i="1"/>
  <c r="BF126" i="1"/>
  <c r="BE126" i="1"/>
  <c r="BD126" i="1"/>
  <c r="BC126" i="1"/>
  <c r="BB126" i="1"/>
  <c r="BA126" i="1"/>
  <c r="AZ126" i="1"/>
  <c r="AY126" i="1"/>
  <c r="AX126" i="1"/>
  <c r="AW126" i="1"/>
  <c r="AV126" i="1"/>
  <c r="AU126" i="1"/>
  <c r="AT126" i="1"/>
  <c r="AS126" i="1"/>
  <c r="AR126" i="1"/>
  <c r="AQ126" i="1"/>
  <c r="AP126" i="1"/>
  <c r="AO126" i="1"/>
  <c r="AN126" i="1"/>
  <c r="AM126" i="1"/>
  <c r="AL126" i="1"/>
  <c r="AK126" i="1"/>
  <c r="AJ126" i="1"/>
  <c r="AI126" i="1"/>
  <c r="AH126" i="1"/>
  <c r="AG126" i="1"/>
  <c r="AF126" i="1"/>
  <c r="AE126" i="1"/>
  <c r="AD126" i="1"/>
  <c r="AC126" i="1"/>
  <c r="AB126" i="1"/>
  <c r="AA126" i="1"/>
  <c r="Z126" i="1"/>
  <c r="Y126" i="1"/>
  <c r="X126" i="1"/>
  <c r="W126" i="1"/>
  <c r="V126" i="1"/>
  <c r="U126" i="1"/>
  <c r="T126" i="1"/>
  <c r="S126" i="1"/>
  <c r="R126" i="1"/>
  <c r="Q126" i="1"/>
  <c r="P126" i="1"/>
  <c r="O126" i="1"/>
  <c r="N126" i="1"/>
  <c r="M126" i="1"/>
  <c r="L126" i="1"/>
  <c r="K126" i="1"/>
  <c r="J126" i="1"/>
  <c r="I126" i="1"/>
  <c r="H126" i="1"/>
  <c r="G126" i="1"/>
  <c r="F126" i="1"/>
  <c r="E126" i="1"/>
  <c r="D126" i="1"/>
  <c r="C126" i="1"/>
  <c r="CC123" i="1"/>
  <c r="BX123" i="1"/>
  <c r="CC122" i="1"/>
  <c r="BX122" i="1"/>
  <c r="CF117" i="1"/>
  <c r="CE117" i="1"/>
  <c r="CD117" i="1"/>
  <c r="CB117" i="1"/>
  <c r="CA117" i="1"/>
  <c r="BZ117" i="1"/>
  <c r="BY117" i="1"/>
  <c r="BW117" i="1"/>
  <c r="BV117" i="1"/>
  <c r="BU117" i="1"/>
  <c r="CF116" i="1"/>
  <c r="CE116" i="1"/>
  <c r="CD116" i="1"/>
  <c r="CB116" i="1"/>
  <c r="CA116" i="1"/>
  <c r="BZ116" i="1"/>
  <c r="BY116" i="1"/>
  <c r="BW116" i="1"/>
  <c r="BV116" i="1"/>
  <c r="BU116" i="1"/>
  <c r="CF115" i="1"/>
  <c r="CE115" i="1"/>
  <c r="CD115" i="1"/>
  <c r="CB115" i="1"/>
  <c r="CA115" i="1"/>
  <c r="BZ115" i="1"/>
  <c r="BY115" i="1"/>
  <c r="BW115" i="1"/>
  <c r="BV115" i="1"/>
  <c r="BU115" i="1"/>
  <c r="CF114" i="1"/>
  <c r="CE114" i="1"/>
  <c r="CD114" i="1"/>
  <c r="CB114" i="1"/>
  <c r="CA114" i="1"/>
  <c r="BZ114" i="1"/>
  <c r="BY114" i="1"/>
  <c r="BW114" i="1"/>
  <c r="BV114" i="1"/>
  <c r="BU114" i="1"/>
  <c r="BS103" i="1"/>
  <c r="AU103" i="1"/>
  <c r="BT102" i="1"/>
  <c r="BS102" i="1"/>
  <c r="BR102" i="1"/>
  <c r="BR103" i="1" s="1"/>
  <c r="BQ102" i="1"/>
  <c r="BP102" i="1"/>
  <c r="BO102" i="1"/>
  <c r="BN102" i="1"/>
  <c r="BM102" i="1"/>
  <c r="BL102" i="1"/>
  <c r="BK102" i="1"/>
  <c r="BJ102" i="1"/>
  <c r="BJ103" i="1" s="1"/>
  <c r="BI102" i="1"/>
  <c r="BH102" i="1"/>
  <c r="BG102" i="1"/>
  <c r="BF102" i="1"/>
  <c r="BE102" i="1"/>
  <c r="BD102" i="1"/>
  <c r="BC102" i="1"/>
  <c r="BB102" i="1"/>
  <c r="BA102" i="1"/>
  <c r="AZ102" i="1"/>
  <c r="AY102" i="1"/>
  <c r="AX102" i="1"/>
  <c r="AW102" i="1"/>
  <c r="AV102" i="1"/>
  <c r="AU102" i="1"/>
  <c r="AT102" i="1"/>
  <c r="AT103" i="1" s="1"/>
  <c r="AS102" i="1"/>
  <c r="AR102" i="1"/>
  <c r="AQ102" i="1"/>
  <c r="AP102" i="1"/>
  <c r="AO102" i="1"/>
  <c r="AN102" i="1"/>
  <c r="AM102" i="1"/>
  <c r="AL102" i="1"/>
  <c r="AK102" i="1"/>
  <c r="BT101" i="1"/>
  <c r="BS101" i="1"/>
  <c r="BR101" i="1"/>
  <c r="BQ101" i="1"/>
  <c r="BQ103" i="1" s="1"/>
  <c r="BP101" i="1"/>
  <c r="BP103" i="1" s="1"/>
  <c r="BO101" i="1"/>
  <c r="BO103" i="1" s="1"/>
  <c r="BN101" i="1"/>
  <c r="BN103" i="1" s="1"/>
  <c r="BM101" i="1"/>
  <c r="BL101" i="1"/>
  <c r="BK101" i="1"/>
  <c r="BK103" i="1" s="1"/>
  <c r="BJ101" i="1"/>
  <c r="BI101" i="1"/>
  <c r="BI103" i="1" s="1"/>
  <c r="BH101" i="1"/>
  <c r="BH103" i="1" s="1"/>
  <c r="BG101" i="1"/>
  <c r="BG103" i="1" s="1"/>
  <c r="BF101" i="1"/>
  <c r="BF103" i="1" s="1"/>
  <c r="BE101" i="1"/>
  <c r="BD101" i="1"/>
  <c r="BC101" i="1"/>
  <c r="BC103" i="1" s="1"/>
  <c r="BB101" i="1"/>
  <c r="BA101" i="1"/>
  <c r="BA103" i="1" s="1"/>
  <c r="AZ101" i="1"/>
  <c r="AZ103" i="1" s="1"/>
  <c r="AY101" i="1"/>
  <c r="AY103" i="1" s="1"/>
  <c r="AX101" i="1"/>
  <c r="AX103" i="1" s="1"/>
  <c r="AW101" i="1"/>
  <c r="AV101" i="1"/>
  <c r="AU101" i="1"/>
  <c r="AT101" i="1"/>
  <c r="AS101" i="1"/>
  <c r="AS103" i="1" s="1"/>
  <c r="AR101" i="1"/>
  <c r="AR103" i="1" s="1"/>
  <c r="AQ101" i="1"/>
  <c r="AQ103" i="1" s="1"/>
  <c r="AP101" i="1"/>
  <c r="AP103" i="1" s="1"/>
  <c r="AO101" i="1"/>
  <c r="AN101" i="1"/>
  <c r="AM101" i="1"/>
  <c r="AM103" i="1" s="1"/>
  <c r="AL101" i="1"/>
  <c r="AK101" i="1"/>
  <c r="AK103" i="1" s="1"/>
  <c r="BT99" i="1"/>
  <c r="BT16" i="9" s="1"/>
  <c r="BS99" i="1"/>
  <c r="BS16" i="9" s="1"/>
  <c r="BR99" i="1"/>
  <c r="BR16" i="9" s="1"/>
  <c r="BQ99" i="1"/>
  <c r="BQ16" i="9" s="1"/>
  <c r="BP99" i="1"/>
  <c r="BP16" i="9" s="1"/>
  <c r="BO99" i="1"/>
  <c r="BO16" i="9" s="1"/>
  <c r="BN99" i="1"/>
  <c r="BN16" i="9" s="1"/>
  <c r="BM99" i="1"/>
  <c r="BM16" i="9" s="1"/>
  <c r="BL99" i="1"/>
  <c r="BL16" i="9" s="1"/>
  <c r="BK99" i="1"/>
  <c r="BK16" i="9" s="1"/>
  <c r="BJ99" i="1"/>
  <c r="BJ16" i="9" s="1"/>
  <c r="BI99" i="1"/>
  <c r="BI16" i="9" s="1"/>
  <c r="BH99" i="1"/>
  <c r="BH16" i="9" s="1"/>
  <c r="BG99" i="1"/>
  <c r="BG16" i="9" s="1"/>
  <c r="BF99" i="1"/>
  <c r="BF16" i="9" s="1"/>
  <c r="BE99" i="1"/>
  <c r="BE16" i="9" s="1"/>
  <c r="BD99" i="1"/>
  <c r="BD16" i="9" s="1"/>
  <c r="BC99" i="1"/>
  <c r="BC16" i="9" s="1"/>
  <c r="BB99" i="1"/>
  <c r="BB16" i="9" s="1"/>
  <c r="BA99" i="1"/>
  <c r="BA16" i="9" s="1"/>
  <c r="AZ99" i="1"/>
  <c r="AZ16" i="9" s="1"/>
  <c r="AY99" i="1"/>
  <c r="AY16" i="9" s="1"/>
  <c r="AX99" i="1"/>
  <c r="AX16" i="9" s="1"/>
  <c r="AW99" i="1"/>
  <c r="AW16" i="9" s="1"/>
  <c r="AV99" i="1"/>
  <c r="AV16" i="9" s="1"/>
  <c r="AU99" i="1"/>
  <c r="AU16" i="9" s="1"/>
  <c r="AT99" i="1"/>
  <c r="AT16" i="9" s="1"/>
  <c r="AS99" i="1"/>
  <c r="AS16" i="9" s="1"/>
  <c r="AR99" i="1"/>
  <c r="AR16" i="9" s="1"/>
  <c r="AQ99" i="1"/>
  <c r="AQ16" i="9" s="1"/>
  <c r="AP99" i="1"/>
  <c r="AP16" i="9" s="1"/>
  <c r="AO99" i="1"/>
  <c r="AO16" i="9" s="1"/>
  <c r="AN99" i="1"/>
  <c r="AN16" i="9" s="1"/>
  <c r="AM99" i="1"/>
  <c r="AM16" i="9" s="1"/>
  <c r="AL99" i="1"/>
  <c r="AL16" i="9" s="1"/>
  <c r="AK99" i="1"/>
  <c r="AK16" i="9" s="1"/>
  <c r="AJ99" i="1"/>
  <c r="AJ16" i="9" s="1"/>
  <c r="AI99" i="1"/>
  <c r="AI16" i="9" s="1"/>
  <c r="AH99" i="1"/>
  <c r="AH16" i="9" s="1"/>
  <c r="AG99" i="1"/>
  <c r="AG16" i="9" s="1"/>
  <c r="AF99" i="1"/>
  <c r="AF16" i="9" s="1"/>
  <c r="AE99" i="1"/>
  <c r="AE16" i="9" s="1"/>
  <c r="AD99" i="1"/>
  <c r="AD16" i="9" s="1"/>
  <c r="BK95" i="1"/>
  <c r="BI95" i="1"/>
  <c r="BF95" i="1"/>
  <c r="BA95" i="1"/>
  <c r="AK95" i="1"/>
  <c r="AH95" i="1"/>
  <c r="AG95" i="1"/>
  <c r="Z95" i="1"/>
  <c r="Y95" i="1"/>
  <c r="X95" i="1"/>
  <c r="I95" i="1"/>
  <c r="H95" i="1"/>
  <c r="CC94" i="1"/>
  <c r="BX94" i="1"/>
  <c r="BR94" i="1"/>
  <c r="BM94" i="1"/>
  <c r="BH94" i="1"/>
  <c r="BC94" i="1"/>
  <c r="AX94" i="1"/>
  <c r="AS94" i="1"/>
  <c r="AN94" i="1"/>
  <c r="AI94" i="1"/>
  <c r="AD94" i="1"/>
  <c r="Y94" i="1"/>
  <c r="T94" i="1"/>
  <c r="O94" i="1"/>
  <c r="J94" i="1"/>
  <c r="CC93" i="1"/>
  <c r="BX93" i="1"/>
  <c r="BR93" i="1"/>
  <c r="BM93" i="1"/>
  <c r="BH93" i="1"/>
  <c r="BC93" i="1"/>
  <c r="AX93" i="1"/>
  <c r="AS93" i="1"/>
  <c r="AN93" i="1"/>
  <c r="AI93" i="1"/>
  <c r="AD93" i="1"/>
  <c r="Y93" i="1"/>
  <c r="T93" i="1"/>
  <c r="O93" i="1"/>
  <c r="J93" i="1"/>
  <c r="BT92" i="1"/>
  <c r="BT95" i="1" s="1"/>
  <c r="BT7" i="1" s="1"/>
  <c r="BS92" i="1"/>
  <c r="BS95" i="1" s="1"/>
  <c r="BQ92" i="1"/>
  <c r="BQ95" i="1" s="1"/>
  <c r="BP92" i="1"/>
  <c r="BP95" i="1" s="1"/>
  <c r="BO92" i="1"/>
  <c r="BO95" i="1" s="1"/>
  <c r="BN92" i="1"/>
  <c r="BN95" i="1" s="1"/>
  <c r="BM92" i="1"/>
  <c r="BM95" i="1" s="1"/>
  <c r="BL92" i="1"/>
  <c r="BL95" i="1" s="1"/>
  <c r="BL7" i="1" s="1"/>
  <c r="BK92" i="1"/>
  <c r="BJ92" i="1"/>
  <c r="BJ95" i="1" s="1"/>
  <c r="BI92" i="1"/>
  <c r="BG92" i="1"/>
  <c r="BG95" i="1" s="1"/>
  <c r="BF92" i="1"/>
  <c r="BE92" i="1"/>
  <c r="BE95" i="1" s="1"/>
  <c r="BD92" i="1"/>
  <c r="BD95" i="1" s="1"/>
  <c r="BC92" i="1"/>
  <c r="BB92" i="1"/>
  <c r="BB95" i="1" s="1"/>
  <c r="BA92" i="1"/>
  <c r="AZ92" i="1"/>
  <c r="AZ95" i="1" s="1"/>
  <c r="AY92" i="1"/>
  <c r="AY95" i="1" s="1"/>
  <c r="AW92" i="1"/>
  <c r="AW95" i="1" s="1"/>
  <c r="AW7" i="1" s="1"/>
  <c r="AV92" i="1"/>
  <c r="AV95" i="1" s="1"/>
  <c r="AV7" i="1" s="1"/>
  <c r="AU92" i="1"/>
  <c r="AU95" i="1" s="1"/>
  <c r="AU7" i="1" s="1"/>
  <c r="AU9" i="1" s="1"/>
  <c r="AT92" i="1"/>
  <c r="AT95" i="1" s="1"/>
  <c r="AR92" i="1"/>
  <c r="AR95" i="1" s="1"/>
  <c r="AQ92" i="1"/>
  <c r="AQ95" i="1" s="1"/>
  <c r="AP92" i="1"/>
  <c r="AP95" i="1" s="1"/>
  <c r="AO92" i="1"/>
  <c r="AO95" i="1" s="1"/>
  <c r="AN92" i="1"/>
  <c r="AN95" i="1" s="1"/>
  <c r="AM92" i="1"/>
  <c r="AM95" i="1" s="1"/>
  <c r="AM7" i="1" s="1"/>
  <c r="AM10" i="1" s="1"/>
  <c r="AL92" i="1"/>
  <c r="AL95" i="1" s="1"/>
  <c r="AK92" i="1"/>
  <c r="AJ92" i="1"/>
  <c r="AJ95" i="1" s="1"/>
  <c r="AH92" i="1"/>
  <c r="AG92" i="1"/>
  <c r="AF92" i="1"/>
  <c r="AF95" i="1" s="1"/>
  <c r="AE92" i="1"/>
  <c r="AE95" i="1" s="1"/>
  <c r="AC92" i="1"/>
  <c r="AC95" i="1" s="1"/>
  <c r="AB92" i="1"/>
  <c r="AB95" i="1" s="1"/>
  <c r="AA92" i="1"/>
  <c r="AA95" i="1" s="1"/>
  <c r="Z92" i="1"/>
  <c r="X92" i="1"/>
  <c r="W92" i="1"/>
  <c r="W95" i="1" s="1"/>
  <c r="W7" i="1" s="1"/>
  <c r="W10" i="1" s="1"/>
  <c r="V92" i="1"/>
  <c r="V95" i="1" s="1"/>
  <c r="U92" i="1"/>
  <c r="U95" i="1" s="1"/>
  <c r="U7" i="1" s="1"/>
  <c r="U10" i="1" s="1"/>
  <c r="S92" i="1"/>
  <c r="S95" i="1" s="1"/>
  <c r="R92" i="1"/>
  <c r="R95" i="1" s="1"/>
  <c r="Q92" i="1"/>
  <c r="Q95" i="1" s="1"/>
  <c r="P92" i="1"/>
  <c r="P95" i="1" s="1"/>
  <c r="O92" i="1"/>
  <c r="N92" i="1"/>
  <c r="N95" i="1" s="1"/>
  <c r="M92" i="1"/>
  <c r="M95" i="1" s="1"/>
  <c r="M7" i="1" s="1"/>
  <c r="M10" i="1" s="1"/>
  <c r="L92" i="1"/>
  <c r="L95" i="1" s="1"/>
  <c r="K92" i="1"/>
  <c r="K95" i="1" s="1"/>
  <c r="I92" i="1"/>
  <c r="H92" i="1"/>
  <c r="G92" i="1"/>
  <c r="G95" i="1" s="1"/>
  <c r="F92" i="1"/>
  <c r="F95" i="1" s="1"/>
  <c r="E92" i="1"/>
  <c r="E95" i="1" s="1"/>
  <c r="D92" i="1"/>
  <c r="D95" i="1" s="1"/>
  <c r="C92" i="1"/>
  <c r="C95" i="1" s="1"/>
  <c r="BR91" i="1"/>
  <c r="BM91" i="1"/>
  <c r="BH91" i="1"/>
  <c r="BH92" i="1" s="1"/>
  <c r="BC91" i="1"/>
  <c r="AX91" i="1"/>
  <c r="AS91" i="1"/>
  <c r="AN91" i="1"/>
  <c r="AI91" i="1"/>
  <c r="AD91" i="1"/>
  <c r="Y91" i="1"/>
  <c r="Y92" i="1" s="1"/>
  <c r="T91" i="1"/>
  <c r="T92" i="1" s="1"/>
  <c r="O91" i="1"/>
  <c r="J91" i="1"/>
  <c r="BR90" i="1"/>
  <c r="BM90" i="1"/>
  <c r="BH90" i="1"/>
  <c r="BC90" i="1"/>
  <c r="AX90" i="1"/>
  <c r="AX92" i="1" s="1"/>
  <c r="AX95" i="1" s="1"/>
  <c r="AX7" i="1" s="1"/>
  <c r="AS90" i="1"/>
  <c r="AN90" i="1"/>
  <c r="AI90" i="1"/>
  <c r="AI92" i="1" s="1"/>
  <c r="AI95" i="1" s="1"/>
  <c r="AD90" i="1"/>
  <c r="Y90" i="1"/>
  <c r="T90" i="1"/>
  <c r="O90" i="1"/>
  <c r="J90" i="1"/>
  <c r="CC88" i="1"/>
  <c r="CC87" i="1"/>
  <c r="CC76" i="1"/>
  <c r="CC75" i="1"/>
  <c r="BT73" i="1"/>
  <c r="BS73" i="1"/>
  <c r="BR73" i="1"/>
  <c r="BQ73" i="1"/>
  <c r="BP73" i="1"/>
  <c r="BO73" i="1"/>
  <c r="BN73" i="1"/>
  <c r="BM73" i="1"/>
  <c r="BL73" i="1"/>
  <c r="BK73" i="1"/>
  <c r="BJ73" i="1"/>
  <c r="BI73" i="1"/>
  <c r="BH73" i="1"/>
  <c r="BG73" i="1"/>
  <c r="BF73" i="1"/>
  <c r="BE73" i="1"/>
  <c r="BD73" i="1"/>
  <c r="BC73" i="1"/>
  <c r="BB73" i="1"/>
  <c r="BA73" i="1"/>
  <c r="AZ73" i="1"/>
  <c r="AY73" i="1"/>
  <c r="AX73" i="1"/>
  <c r="AW73" i="1"/>
  <c r="AV73" i="1"/>
  <c r="AU73" i="1"/>
  <c r="AT73" i="1"/>
  <c r="AS73" i="1"/>
  <c r="AR73" i="1"/>
  <c r="AQ73" i="1"/>
  <c r="AP73" i="1"/>
  <c r="AO73" i="1"/>
  <c r="AN73" i="1"/>
  <c r="AM73" i="1"/>
  <c r="AL73" i="1"/>
  <c r="AK73" i="1"/>
  <c r="AJ73" i="1"/>
  <c r="AI73" i="1"/>
  <c r="AH73" i="1"/>
  <c r="AG73" i="1"/>
  <c r="AF73" i="1"/>
  <c r="AE73" i="1"/>
  <c r="AD73" i="1"/>
  <c r="AC73" i="1"/>
  <c r="AB73" i="1"/>
  <c r="AA73" i="1"/>
  <c r="Z73" i="1"/>
  <c r="Y73" i="1"/>
  <c r="X73" i="1"/>
  <c r="W73" i="1"/>
  <c r="V73" i="1"/>
  <c r="U73" i="1"/>
  <c r="S73" i="1"/>
  <c r="R73" i="1"/>
  <c r="Q73" i="1"/>
  <c r="P73" i="1"/>
  <c r="N73" i="1"/>
  <c r="M73" i="1"/>
  <c r="L73" i="1"/>
  <c r="K73" i="1"/>
  <c r="I73" i="1"/>
  <c r="H73" i="1"/>
  <c r="G73" i="1"/>
  <c r="F73" i="1"/>
  <c r="E73" i="1"/>
  <c r="D73" i="1"/>
  <c r="C73" i="1"/>
  <c r="A54" i="1"/>
  <c r="CB53" i="1"/>
  <c r="M53" i="1"/>
  <c r="CF52" i="1"/>
  <c r="CE52" i="1"/>
  <c r="CD52" i="1"/>
  <c r="CB52" i="1"/>
  <c r="CA52" i="1"/>
  <c r="BZ52" i="1"/>
  <c r="BY52" i="1"/>
  <c r="BY53" i="1" s="1"/>
  <c r="BY17" i="1" s="1"/>
  <c r="BW52" i="1"/>
  <c r="BV52" i="1"/>
  <c r="BU52" i="1"/>
  <c r="BU53" i="1" s="1"/>
  <c r="BU17" i="1" s="1"/>
  <c r="BS52" i="1"/>
  <c r="BR52" i="1"/>
  <c r="BQ52" i="1"/>
  <c r="BM52" i="1"/>
  <c r="BK52" i="1"/>
  <c r="BJ52" i="1"/>
  <c r="BI52" i="1"/>
  <c r="BI53" i="1" s="1"/>
  <c r="BI17" i="1" s="1"/>
  <c r="BC52" i="1"/>
  <c r="BB52" i="1"/>
  <c r="BA52" i="1"/>
  <c r="AZ52" i="1"/>
  <c r="AY52" i="1"/>
  <c r="AX52" i="1"/>
  <c r="AT52" i="1"/>
  <c r="AS52" i="1"/>
  <c r="AR52" i="1"/>
  <c r="AP52" i="1"/>
  <c r="AO52" i="1"/>
  <c r="AK52" i="1"/>
  <c r="AJ52" i="1"/>
  <c r="AG52" i="1"/>
  <c r="AE52" i="1"/>
  <c r="AC52" i="1"/>
  <c r="AB52" i="1"/>
  <c r="AA52" i="1"/>
  <c r="Z52" i="1"/>
  <c r="Y52" i="1"/>
  <c r="W52" i="1"/>
  <c r="V52" i="1"/>
  <c r="R52" i="1"/>
  <c r="Q52" i="1"/>
  <c r="N52" i="1"/>
  <c r="M52" i="1"/>
  <c r="F52" i="1"/>
  <c r="E52" i="1"/>
  <c r="BT50" i="1"/>
  <c r="BS50" i="1"/>
  <c r="BR50" i="1"/>
  <c r="BQ50" i="1"/>
  <c r="BP50" i="1"/>
  <c r="BP52" i="1" s="1"/>
  <c r="BO50" i="1"/>
  <c r="BO52" i="1" s="1"/>
  <c r="BN50" i="1"/>
  <c r="BN52" i="1" s="1"/>
  <c r="BM50" i="1"/>
  <c r="BL50" i="1"/>
  <c r="BK50" i="1"/>
  <c r="BJ50" i="1"/>
  <c r="BI50" i="1"/>
  <c r="BH50" i="1"/>
  <c r="BG50" i="1"/>
  <c r="BF50" i="1"/>
  <c r="BF52" i="1" s="1"/>
  <c r="BE50" i="1"/>
  <c r="BE52" i="1" s="1"/>
  <c r="BD50" i="1"/>
  <c r="BD52" i="1" s="1"/>
  <c r="BC50" i="1"/>
  <c r="BB50" i="1"/>
  <c r="BA50" i="1"/>
  <c r="AZ50" i="1"/>
  <c r="AY50" i="1"/>
  <c r="AX50" i="1"/>
  <c r="AW50" i="1"/>
  <c r="AW52" i="1" s="1"/>
  <c r="AV50" i="1"/>
  <c r="AV52" i="1" s="1"/>
  <c r="AU50" i="1"/>
  <c r="AU52" i="1" s="1"/>
  <c r="AT50" i="1"/>
  <c r="AS50" i="1"/>
  <c r="AR50" i="1"/>
  <c r="AQ50" i="1"/>
  <c r="AQ52" i="1" s="1"/>
  <c r="AP50" i="1"/>
  <c r="AO50" i="1"/>
  <c r="AN50" i="1"/>
  <c r="AN52" i="1" s="1"/>
  <c r="AN53" i="1" s="1"/>
  <c r="AN17" i="1" s="1"/>
  <c r="AM50" i="1"/>
  <c r="AL50" i="1"/>
  <c r="AL52" i="1" s="1"/>
  <c r="AK50" i="1"/>
  <c r="AJ50" i="1"/>
  <c r="AI50" i="1"/>
  <c r="AH50" i="1"/>
  <c r="AG50" i="1"/>
  <c r="AF50" i="1"/>
  <c r="AF52" i="1" s="1"/>
  <c r="AE50" i="1"/>
  <c r="AD50" i="1"/>
  <c r="AD52" i="1" s="1"/>
  <c r="AC50" i="1"/>
  <c r="AB50" i="1"/>
  <c r="AA50" i="1"/>
  <c r="Z50" i="1"/>
  <c r="Y50" i="1"/>
  <c r="X50" i="1"/>
  <c r="W50" i="1"/>
  <c r="V50" i="1"/>
  <c r="T50" i="1"/>
  <c r="T52" i="1" s="1"/>
  <c r="S50" i="1"/>
  <c r="S52" i="1" s="1"/>
  <c r="R50" i="1"/>
  <c r="Q50" i="1"/>
  <c r="O50" i="1"/>
  <c r="N50" i="1"/>
  <c r="M50" i="1"/>
  <c r="L50" i="1"/>
  <c r="L52" i="1" s="1"/>
  <c r="J50" i="1"/>
  <c r="I50" i="1"/>
  <c r="H50" i="1"/>
  <c r="G50" i="1"/>
  <c r="F50" i="1"/>
  <c r="E50" i="1"/>
  <c r="D50" i="1"/>
  <c r="D52" i="1" s="1"/>
  <c r="C50" i="1"/>
  <c r="C52" i="1" s="1"/>
  <c r="CF34" i="1"/>
  <c r="CF53" i="1" s="1"/>
  <c r="CF17" i="1" s="1"/>
  <c r="CE34" i="1"/>
  <c r="CE53" i="1" s="1"/>
  <c r="CD34" i="1"/>
  <c r="CB34" i="1"/>
  <c r="CA34" i="1"/>
  <c r="CA53" i="1" s="1"/>
  <c r="CA17" i="1" s="1"/>
  <c r="BZ34" i="1"/>
  <c r="BZ53" i="1" s="1"/>
  <c r="BZ17" i="1" s="1"/>
  <c r="BY34" i="1"/>
  <c r="BW34" i="1"/>
  <c r="BW53" i="1" s="1"/>
  <c r="BW17" i="1" s="1"/>
  <c r="BV34" i="1"/>
  <c r="BU34" i="1"/>
  <c r="BQ34" i="1"/>
  <c r="BQ53" i="1" s="1"/>
  <c r="BQ17" i="1" s="1"/>
  <c r="BM34" i="1"/>
  <c r="BM53" i="1" s="1"/>
  <c r="BM17" i="1" s="1"/>
  <c r="BJ34" i="1"/>
  <c r="BI34" i="1"/>
  <c r="BE34" i="1"/>
  <c r="BE53" i="1" s="1"/>
  <c r="BE17" i="1" s="1"/>
  <c r="BC34" i="1"/>
  <c r="BC53" i="1" s="1"/>
  <c r="BC17" i="1" s="1"/>
  <c r="BB34" i="1"/>
  <c r="BB53" i="1" s="1"/>
  <c r="BB17" i="1" s="1"/>
  <c r="BA34" i="1"/>
  <c r="BA53" i="1" s="1"/>
  <c r="BA17" i="1" s="1"/>
  <c r="AU34" i="1"/>
  <c r="AU53" i="1" s="1"/>
  <c r="AU17" i="1" s="1"/>
  <c r="AT34" i="1"/>
  <c r="AT53" i="1" s="1"/>
  <c r="AT17" i="1" s="1"/>
  <c r="AS34" i="1"/>
  <c r="AS53" i="1" s="1"/>
  <c r="AS17" i="1" s="1"/>
  <c r="AR34" i="1"/>
  <c r="AR53" i="1" s="1"/>
  <c r="AR17" i="1" s="1"/>
  <c r="AK34" i="1"/>
  <c r="AK53" i="1" s="1"/>
  <c r="AD34" i="1"/>
  <c r="AC34" i="1"/>
  <c r="AC53" i="1" s="1"/>
  <c r="Y34" i="1"/>
  <c r="Y53" i="1" s="1"/>
  <c r="Y17" i="1" s="1"/>
  <c r="V34" i="1"/>
  <c r="V53" i="1" s="1"/>
  <c r="O34" i="1"/>
  <c r="M34" i="1"/>
  <c r="G34" i="1"/>
  <c r="F34" i="1"/>
  <c r="F53" i="1" s="1"/>
  <c r="F17" i="1" s="1"/>
  <c r="E34" i="1"/>
  <c r="E53" i="1" s="1"/>
  <c r="E17" i="1" s="1"/>
  <c r="BT32" i="1"/>
  <c r="BS32" i="1"/>
  <c r="BR32" i="1"/>
  <c r="BQ32" i="1"/>
  <c r="BP32" i="1"/>
  <c r="BO32" i="1"/>
  <c r="BO34" i="1" s="1"/>
  <c r="BO53" i="1" s="1"/>
  <c r="BO17" i="1" s="1"/>
  <c r="BN32" i="1"/>
  <c r="BN34" i="1" s="1"/>
  <c r="BN53" i="1" s="1"/>
  <c r="BN17" i="1" s="1"/>
  <c r="BM32" i="1"/>
  <c r="BL32" i="1"/>
  <c r="BL34" i="1" s="1"/>
  <c r="BK32" i="1"/>
  <c r="BJ32" i="1"/>
  <c r="BI32" i="1"/>
  <c r="BH32" i="1"/>
  <c r="BH34" i="1" s="1"/>
  <c r="BG32" i="1"/>
  <c r="BF32" i="1"/>
  <c r="BE32" i="1"/>
  <c r="BD32" i="1"/>
  <c r="BD34" i="1" s="1"/>
  <c r="BC32" i="1"/>
  <c r="BB32" i="1"/>
  <c r="BA32" i="1"/>
  <c r="AZ32" i="1"/>
  <c r="AZ34" i="1" s="1"/>
  <c r="AZ53" i="1" s="1"/>
  <c r="AZ17" i="1" s="1"/>
  <c r="AY32" i="1"/>
  <c r="AY34" i="1" s="1"/>
  <c r="AY53" i="1" s="1"/>
  <c r="AY17" i="1" s="1"/>
  <c r="AX32" i="1"/>
  <c r="AW32" i="1"/>
  <c r="AV32" i="1"/>
  <c r="AV34" i="1" s="1"/>
  <c r="AU32" i="1"/>
  <c r="AT32" i="1"/>
  <c r="AS32" i="1"/>
  <c r="AR32" i="1"/>
  <c r="AQ32" i="1"/>
  <c r="AQ34" i="1" s="1"/>
  <c r="AP32" i="1"/>
  <c r="AP34" i="1" s="1"/>
  <c r="AP53" i="1" s="1"/>
  <c r="AP17" i="1" s="1"/>
  <c r="AO32" i="1"/>
  <c r="AN32" i="1"/>
  <c r="AN34" i="1" s="1"/>
  <c r="AM32" i="1"/>
  <c r="AM34" i="1" s="1"/>
  <c r="AL32" i="1"/>
  <c r="AL34" i="1" s="1"/>
  <c r="AL53" i="1" s="1"/>
  <c r="AL17" i="1" s="1"/>
  <c r="AK32" i="1"/>
  <c r="AJ32" i="1"/>
  <c r="AJ34" i="1" s="1"/>
  <c r="AJ53" i="1" s="1"/>
  <c r="AJ17" i="1" s="1"/>
  <c r="AI32" i="1"/>
  <c r="AH32" i="1"/>
  <c r="AG32" i="1"/>
  <c r="AF32" i="1"/>
  <c r="AE32" i="1"/>
  <c r="AD32" i="1"/>
  <c r="AC32" i="1"/>
  <c r="AB32" i="1"/>
  <c r="AA32" i="1"/>
  <c r="AA34" i="1" s="1"/>
  <c r="AA53" i="1" s="1"/>
  <c r="AA17" i="1" s="1"/>
  <c r="Z32" i="1"/>
  <c r="Y32" i="1"/>
  <c r="X32" i="1"/>
  <c r="W32" i="1"/>
  <c r="V32" i="1"/>
  <c r="T32" i="1"/>
  <c r="S32" i="1"/>
  <c r="R32" i="1"/>
  <c r="R34" i="1" s="1"/>
  <c r="R53" i="1" s="1"/>
  <c r="R17" i="1" s="1"/>
  <c r="Q32" i="1"/>
  <c r="O32" i="1"/>
  <c r="N32" i="1"/>
  <c r="M32" i="1"/>
  <c r="L32" i="1"/>
  <c r="J32" i="1"/>
  <c r="I32" i="1"/>
  <c r="I34" i="1" s="1"/>
  <c r="H32" i="1"/>
  <c r="G32" i="1"/>
  <c r="F32" i="1"/>
  <c r="E32" i="1"/>
  <c r="D32" i="1"/>
  <c r="C32" i="1"/>
  <c r="BT19" i="1"/>
  <c r="BS19" i="1"/>
  <c r="BR19" i="1"/>
  <c r="BQ19" i="1"/>
  <c r="BP19" i="1"/>
  <c r="BO19" i="1"/>
  <c r="BN19" i="1"/>
  <c r="BM19" i="1"/>
  <c r="BL19" i="1"/>
  <c r="BJ19" i="1"/>
  <c r="BI19" i="1"/>
  <c r="BH19" i="1"/>
  <c r="BG19" i="1"/>
  <c r="BF19" i="1"/>
  <c r="BE19" i="1"/>
  <c r="BD19" i="1"/>
  <c r="BC19" i="1"/>
  <c r="BB19" i="1"/>
  <c r="BA19" i="1"/>
  <c r="AZ19" i="1"/>
  <c r="AY19" i="1"/>
  <c r="AW19" i="1"/>
  <c r="AV19" i="1"/>
  <c r="AU19" i="1"/>
  <c r="AT19" i="1"/>
  <c r="AS19" i="1"/>
  <c r="AR19" i="1"/>
  <c r="AQ19" i="1"/>
  <c r="AP19" i="1"/>
  <c r="AO19" i="1"/>
  <c r="AM19" i="1"/>
  <c r="AL19" i="1"/>
  <c r="AJ19" i="1"/>
  <c r="AG19" i="1"/>
  <c r="AF19" i="1"/>
  <c r="AE19" i="1"/>
  <c r="AC19" i="1"/>
  <c r="AB19" i="1"/>
  <c r="AA19" i="1"/>
  <c r="Z19" i="1"/>
  <c r="X19" i="1"/>
  <c r="W19" i="1"/>
  <c r="V19" i="1"/>
  <c r="U19" i="1"/>
  <c r="S19" i="1"/>
  <c r="R19" i="1"/>
  <c r="Q19" i="1"/>
  <c r="P19" i="1"/>
  <c r="N19" i="1"/>
  <c r="M19" i="1"/>
  <c r="L19" i="1"/>
  <c r="K19" i="1"/>
  <c r="I19" i="1"/>
  <c r="H19" i="1"/>
  <c r="G19" i="1"/>
  <c r="F19" i="1"/>
  <c r="E19" i="1"/>
  <c r="D19" i="1"/>
  <c r="C19" i="1"/>
  <c r="CF18" i="1"/>
  <c r="CE18" i="1"/>
  <c r="CD18" i="1"/>
  <c r="CB18" i="1"/>
  <c r="CA18" i="1"/>
  <c r="BZ18" i="1"/>
  <c r="BY18" i="1"/>
  <c r="BW18" i="1"/>
  <c r="BV18" i="1"/>
  <c r="BU18" i="1"/>
  <c r="BT18" i="1"/>
  <c r="BS18" i="1"/>
  <c r="BR18" i="1"/>
  <c r="BQ18" i="1"/>
  <c r="BP18" i="1"/>
  <c r="BO18" i="1"/>
  <c r="BN18" i="1"/>
  <c r="BM18" i="1"/>
  <c r="BL18" i="1"/>
  <c r="BK18" i="1"/>
  <c r="BJ18" i="1"/>
  <c r="BI18" i="1"/>
  <c r="BH18" i="1"/>
  <c r="BG18" i="1"/>
  <c r="BF18" i="1"/>
  <c r="BE18" i="1"/>
  <c r="BD18" i="1"/>
  <c r="BC18" i="1"/>
  <c r="BB18" i="1"/>
  <c r="BA18" i="1"/>
  <c r="AZ18" i="1"/>
  <c r="AY18" i="1"/>
  <c r="AX18" i="1"/>
  <c r="AW18" i="1"/>
  <c r="AV18" i="1"/>
  <c r="AU18" i="1"/>
  <c r="AT18" i="1"/>
  <c r="AS18" i="1"/>
  <c r="AR18" i="1"/>
  <c r="AQ18" i="1"/>
  <c r="AP18" i="1"/>
  <c r="AO18"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M18" i="1"/>
  <c r="L18" i="1"/>
  <c r="K18" i="1"/>
  <c r="J18" i="1"/>
  <c r="I18" i="1"/>
  <c r="H18" i="1"/>
  <c r="G18" i="1"/>
  <c r="F18" i="1"/>
  <c r="E18" i="1"/>
  <c r="D18" i="1"/>
  <c r="C18" i="1"/>
  <c r="CE17" i="1"/>
  <c r="CB17" i="1"/>
  <c r="AK17" i="1"/>
  <c r="AC17" i="1"/>
  <c r="V17" i="1"/>
  <c r="M17" i="1"/>
  <c r="BT13" i="1"/>
  <c r="BS13" i="1"/>
  <c r="BR13" i="1"/>
  <c r="BQ13" i="1"/>
  <c r="BP13" i="1"/>
  <c r="BO13" i="1"/>
  <c r="BN13" i="1"/>
  <c r="BM13" i="1"/>
  <c r="BL13" i="1"/>
  <c r="BK13" i="1"/>
  <c r="BJ13" i="1"/>
  <c r="BI13" i="1"/>
  <c r="BH13" i="1"/>
  <c r="BG13" i="1"/>
  <c r="BF13" i="1"/>
  <c r="BE13" i="1"/>
  <c r="BD13" i="1"/>
  <c r="BC13" i="1"/>
  <c r="BB13" i="1"/>
  <c r="BA13" i="1"/>
  <c r="AZ13" i="1"/>
  <c r="AY13" i="1"/>
  <c r="AX13" i="1"/>
  <c r="AW13" i="1"/>
  <c r="AV13" i="1"/>
  <c r="AU13" i="1"/>
  <c r="AT13" i="1"/>
  <c r="AS13" i="1"/>
  <c r="AR13" i="1"/>
  <c r="AQ13" i="1"/>
  <c r="AP13" i="1"/>
  <c r="AO13" i="1"/>
  <c r="AN13" i="1"/>
  <c r="AM13" i="1"/>
  <c r="AL13" i="1"/>
  <c r="AK13" i="1"/>
  <c r="AJ13" i="1"/>
  <c r="AI13" i="1"/>
  <c r="AH13" i="1"/>
  <c r="AG13" i="1"/>
  <c r="AF13" i="1"/>
  <c r="AE13" i="1"/>
  <c r="AD13" i="1"/>
  <c r="AC13" i="1"/>
  <c r="AB13" i="1"/>
  <c r="AA13" i="1"/>
  <c r="Z13" i="1"/>
  <c r="Y13" i="1"/>
  <c r="X13" i="1"/>
  <c r="W13" i="1"/>
  <c r="V13" i="1"/>
  <c r="U13" i="1"/>
  <c r="S13" i="1"/>
  <c r="R13" i="1"/>
  <c r="Q13" i="1"/>
  <c r="P13" i="1"/>
  <c r="N13" i="1"/>
  <c r="M13" i="1"/>
  <c r="L13" i="1"/>
  <c r="K13" i="1"/>
  <c r="I13" i="1"/>
  <c r="H13" i="1"/>
  <c r="G13" i="1"/>
  <c r="F13" i="1"/>
  <c r="E13" i="1"/>
  <c r="D13" i="1"/>
  <c r="C13" i="1"/>
  <c r="BT12" i="1"/>
  <c r="BS12" i="1"/>
  <c r="BR12" i="1"/>
  <c r="BQ12" i="1"/>
  <c r="BP12" i="1"/>
  <c r="BO12" i="1"/>
  <c r="BN12" i="1"/>
  <c r="BM12" i="1"/>
  <c r="BL12" i="1"/>
  <c r="BK12" i="1"/>
  <c r="BJ12" i="1"/>
  <c r="BI12" i="1"/>
  <c r="BH12" i="1"/>
  <c r="BG12" i="1"/>
  <c r="BF12" i="1"/>
  <c r="BE12" i="1"/>
  <c r="BD12" i="1"/>
  <c r="BC12" i="1"/>
  <c r="BB12" i="1"/>
  <c r="BA12"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K12" i="1"/>
  <c r="J12" i="1"/>
  <c r="I12" i="1"/>
  <c r="H12" i="1"/>
  <c r="G12" i="1"/>
  <c r="F12" i="1"/>
  <c r="E12" i="1"/>
  <c r="D12" i="1"/>
  <c r="C12" i="1"/>
  <c r="BT10" i="1"/>
  <c r="BS10" i="1"/>
  <c r="BR10" i="1"/>
  <c r="BQ10" i="1"/>
  <c r="BP10" i="1"/>
  <c r="BO10" i="1"/>
  <c r="BN10" i="1"/>
  <c r="BM10" i="1"/>
  <c r="BM9" i="1" s="1"/>
  <c r="BL10" i="1"/>
  <c r="BL9" i="1" s="1"/>
  <c r="BK10" i="1"/>
  <c r="BJ10" i="1"/>
  <c r="BJ9" i="1" s="1"/>
  <c r="BI10" i="1"/>
  <c r="BH10" i="1"/>
  <c r="BG10" i="1"/>
  <c r="BF10" i="1"/>
  <c r="BE10" i="1"/>
  <c r="BE9" i="1" s="1"/>
  <c r="BD10" i="1"/>
  <c r="BD9" i="1" s="1"/>
  <c r="BC10" i="1"/>
  <c r="BB10" i="1"/>
  <c r="BB9" i="1" s="1"/>
  <c r="BA10" i="1"/>
  <c r="AZ10" i="1"/>
  <c r="AY10" i="1"/>
  <c r="AW10" i="1"/>
  <c r="AW9" i="1" s="1"/>
  <c r="AV10" i="1"/>
  <c r="AV9" i="1" s="1"/>
  <c r="AU10" i="1"/>
  <c r="AT10" i="1"/>
  <c r="AR10" i="1"/>
  <c r="AQ10" i="1"/>
  <c r="AP10" i="1"/>
  <c r="AO10" i="1"/>
  <c r="AJ10" i="1"/>
  <c r="AF10" i="1"/>
  <c r="X10" i="1"/>
  <c r="P10" i="1"/>
  <c r="H10" i="1"/>
  <c r="CF9" i="1"/>
  <c r="CE9" i="1"/>
  <c r="CD9" i="1"/>
  <c r="CC9" i="1"/>
  <c r="CB9" i="1"/>
  <c r="CA9" i="1"/>
  <c r="BZ9" i="1"/>
  <c r="BY9" i="1"/>
  <c r="BW9" i="1"/>
  <c r="BV9" i="1"/>
  <c r="BU9" i="1"/>
  <c r="BO9" i="1"/>
  <c r="BN9" i="1"/>
  <c r="BG9" i="1"/>
  <c r="BF9" i="1"/>
  <c r="AY9" i="1"/>
  <c r="AQ9" i="1"/>
  <c r="AP9" i="1"/>
  <c r="AO9" i="1"/>
  <c r="AN9" i="1"/>
  <c r="AM9" i="1"/>
  <c r="AL9" i="1"/>
  <c r="AK9" i="1"/>
  <c r="AJ9" i="1"/>
  <c r="AI9" i="1"/>
  <c r="AH9" i="1"/>
  <c r="AH10" i="1" s="1"/>
  <c r="AG9" i="1"/>
  <c r="AF9" i="1"/>
  <c r="AE9" i="1"/>
  <c r="AD9" i="1"/>
  <c r="AC9" i="1"/>
  <c r="AB9" i="1"/>
  <c r="AA9" i="1"/>
  <c r="AA10" i="1" s="1"/>
  <c r="Z9" i="1"/>
  <c r="Z10" i="1" s="1"/>
  <c r="Y9" i="1"/>
  <c r="X9" i="1"/>
  <c r="W9" i="1"/>
  <c r="V9" i="1"/>
  <c r="U9" i="1"/>
  <c r="T9" i="1"/>
  <c r="S9" i="1"/>
  <c r="S10" i="1" s="1"/>
  <c r="R9" i="1"/>
  <c r="R10" i="1" s="1"/>
  <c r="Q9" i="1"/>
  <c r="P9" i="1"/>
  <c r="N9" i="1"/>
  <c r="M9" i="1"/>
  <c r="L9" i="1"/>
  <c r="K9" i="1"/>
  <c r="K10" i="1" s="1"/>
  <c r="J9" i="1"/>
  <c r="I9" i="1"/>
  <c r="H9" i="1"/>
  <c r="G9" i="1"/>
  <c r="F9" i="1"/>
  <c r="E9" i="1"/>
  <c r="D9" i="1"/>
  <c r="C9" i="1"/>
  <c r="C10" i="1" s="1"/>
  <c r="BT8" i="1"/>
  <c r="BS8" i="1"/>
  <c r="BQ8" i="1"/>
  <c r="BQ9" i="1" s="1"/>
  <c r="BP8" i="1"/>
  <c r="BP9" i="1" s="1"/>
  <c r="BO8" i="1"/>
  <c r="BN8" i="1"/>
  <c r="BM8" i="1"/>
  <c r="BL8" i="1"/>
  <c r="BK8" i="1"/>
  <c r="BJ8" i="1"/>
  <c r="BI8" i="1"/>
  <c r="BI9" i="1" s="1"/>
  <c r="BG8" i="1"/>
  <c r="BF8" i="1"/>
  <c r="BE8" i="1"/>
  <c r="BD8" i="1"/>
  <c r="BC8" i="1"/>
  <c r="BB8" i="1"/>
  <c r="BA8" i="1"/>
  <c r="BA9" i="1" s="1"/>
  <c r="AZ8" i="1"/>
  <c r="AZ9" i="1" s="1"/>
  <c r="AY8" i="1"/>
  <c r="AW8" i="1"/>
  <c r="AV8" i="1"/>
  <c r="AU8" i="1"/>
  <c r="AT8" i="1"/>
  <c r="AS8" i="1"/>
  <c r="AR8" i="1"/>
  <c r="AR9" i="1" s="1"/>
  <c r="AQ8" i="1"/>
  <c r="AP8" i="1"/>
  <c r="AO8" i="1"/>
  <c r="AN8" i="1"/>
  <c r="AM8" i="1"/>
  <c r="AL8" i="1"/>
  <c r="AK8" i="1"/>
  <c r="AJ8" i="1"/>
  <c r="AI8" i="1"/>
  <c r="AH8" i="1"/>
  <c r="AG8" i="1"/>
  <c r="AF8" i="1"/>
  <c r="AE8" i="1"/>
  <c r="AC8" i="1"/>
  <c r="AB8" i="1"/>
  <c r="AA8" i="1"/>
  <c r="Z8" i="1"/>
  <c r="Y8" i="1"/>
  <c r="X8" i="1"/>
  <c r="W8" i="1"/>
  <c r="V8" i="1"/>
  <c r="U8" i="1"/>
  <c r="T8" i="1"/>
  <c r="S8" i="1"/>
  <c r="R8" i="1"/>
  <c r="Q8" i="1"/>
  <c r="P8" i="1"/>
  <c r="O8" i="1"/>
  <c r="N8" i="1"/>
  <c r="M8" i="1"/>
  <c r="L8" i="1"/>
  <c r="K8" i="1"/>
  <c r="J8" i="1"/>
  <c r="I8" i="1"/>
  <c r="H8" i="1"/>
  <c r="G8" i="1"/>
  <c r="F8" i="1"/>
  <c r="E8" i="1"/>
  <c r="D8" i="1"/>
  <c r="C8" i="1"/>
  <c r="BS7" i="1"/>
  <c r="BS9" i="1" s="1"/>
  <c r="BQ7" i="1"/>
  <c r="BP7" i="1"/>
  <c r="BO7" i="1"/>
  <c r="BN7" i="1"/>
  <c r="BM7" i="1"/>
  <c r="BK7" i="1"/>
  <c r="BK9" i="1" s="1"/>
  <c r="BJ7" i="1"/>
  <c r="BI7" i="1"/>
  <c r="BG7" i="1"/>
  <c r="BF7" i="1"/>
  <c r="BE7" i="1"/>
  <c r="BD7" i="1"/>
  <c r="BB7" i="1"/>
  <c r="BA7" i="1"/>
  <c r="AZ7" i="1"/>
  <c r="AY7" i="1"/>
  <c r="AT7" i="1"/>
  <c r="AR7" i="1"/>
  <c r="AQ7" i="1"/>
  <c r="AP7" i="1"/>
  <c r="AO7" i="1"/>
  <c r="AN7" i="1"/>
  <c r="AL7" i="1"/>
  <c r="AL10" i="1" s="1"/>
  <c r="AK7" i="1"/>
  <c r="AK10" i="1" s="1"/>
  <c r="AJ7" i="1"/>
  <c r="AI7" i="1"/>
  <c r="AH7" i="1"/>
  <c r="AG7" i="1"/>
  <c r="AG10" i="1" s="1"/>
  <c r="AF7" i="1"/>
  <c r="AE7" i="1"/>
  <c r="AE10" i="1" s="1"/>
  <c r="AC7" i="1"/>
  <c r="AC10" i="1" s="1"/>
  <c r="AB7" i="1"/>
  <c r="AB10" i="1" s="1"/>
  <c r="AA7" i="1"/>
  <c r="Z7" i="1"/>
  <c r="Y7" i="1"/>
  <c r="Y10" i="1" s="1"/>
  <c r="X7" i="1"/>
  <c r="V7" i="1"/>
  <c r="V10" i="1" s="1"/>
  <c r="S7" i="1"/>
  <c r="R7" i="1"/>
  <c r="Q7" i="1"/>
  <c r="Q10" i="1" s="1"/>
  <c r="P7" i="1"/>
  <c r="N7" i="1"/>
  <c r="N10" i="1" s="1"/>
  <c r="L7" i="1"/>
  <c r="L10" i="1" s="1"/>
  <c r="K7" i="1"/>
  <c r="I7" i="1"/>
  <c r="I10" i="1" s="1"/>
  <c r="H7" i="1"/>
  <c r="G7" i="1"/>
  <c r="G10" i="1" s="1"/>
  <c r="F7" i="1"/>
  <c r="F10" i="1" s="1"/>
  <c r="E7" i="1"/>
  <c r="E10" i="1" s="1"/>
  <c r="D7" i="1"/>
  <c r="D10" i="1" s="1"/>
  <c r="C7" i="1"/>
  <c r="E5" i="1"/>
  <c r="D5" i="1"/>
  <c r="A5" i="1"/>
  <c r="D4" i="1"/>
  <c r="D3" i="1" s="1"/>
  <c r="A4" i="1"/>
  <c r="C2" i="1"/>
  <c r="C2" i="11" s="1"/>
  <c r="H16" i="7"/>
  <c r="H13" i="7"/>
  <c r="H11" i="7"/>
  <c r="H9" i="7"/>
  <c r="D178" i="10"/>
  <c r="D226" i="10"/>
  <c r="D88" i="10"/>
  <c r="D56" i="10"/>
  <c r="D190" i="10"/>
  <c r="D145" i="10"/>
  <c r="D198" i="10"/>
  <c r="D69" i="10"/>
  <c r="D195" i="10"/>
  <c r="D6" i="10"/>
  <c r="D16" i="10"/>
  <c r="D193" i="10"/>
  <c r="D222" i="10"/>
  <c r="D7" i="10"/>
  <c r="D208" i="10"/>
  <c r="D114" i="10"/>
  <c r="D15" i="10"/>
  <c r="BS60" i="9" l="1"/>
  <c r="BS83" i="9" s="1"/>
  <c r="AE60" i="9"/>
  <c r="AE72" i="9" s="1"/>
  <c r="AE117" i="9" s="1"/>
  <c r="D368" i="1"/>
  <c r="D372" i="1"/>
  <c r="D367" i="1"/>
  <c r="D374" i="1"/>
  <c r="D377" i="1"/>
  <c r="D370" i="1"/>
  <c r="D382" i="1"/>
  <c r="D375" i="1"/>
  <c r="D385" i="1"/>
  <c r="D378" i="1"/>
  <c r="D371" i="1"/>
  <c r="D383" i="1"/>
  <c r="D78" i="1"/>
  <c r="D376" i="1"/>
  <c r="D369" i="1"/>
  <c r="D181" i="1"/>
  <c r="D216" i="1" s="1"/>
  <c r="D180" i="1"/>
  <c r="D200" i="1"/>
  <c r="D182" i="1"/>
  <c r="D56" i="1"/>
  <c r="D198" i="1"/>
  <c r="D197" i="1"/>
  <c r="D59" i="1"/>
  <c r="D79" i="1"/>
  <c r="BT9" i="1"/>
  <c r="AQ53" i="1"/>
  <c r="AQ17" i="1" s="1"/>
  <c r="E4" i="1"/>
  <c r="B2" i="9"/>
  <c r="A5" i="11"/>
  <c r="D57" i="1"/>
  <c r="D84" i="1" s="1"/>
  <c r="D88" i="1" s="1"/>
  <c r="J34" i="1"/>
  <c r="S34" i="1"/>
  <c r="S53" i="1" s="1"/>
  <c r="S17" i="1" s="1"/>
  <c r="AB34" i="1"/>
  <c r="AB53" i="1" s="1"/>
  <c r="AB17" i="1" s="1"/>
  <c r="BF34" i="1"/>
  <c r="BF53" i="1" s="1"/>
  <c r="BF17" i="1" s="1"/>
  <c r="X52" i="1"/>
  <c r="BL52" i="1"/>
  <c r="BL53" i="1" s="1"/>
  <c r="BL17" i="1" s="1"/>
  <c r="BT52" i="1"/>
  <c r="D2" i="9"/>
  <c r="D5" i="11"/>
  <c r="T34" i="1"/>
  <c r="T53" i="1" s="1"/>
  <c r="T17" i="1" s="1"/>
  <c r="AW34" i="1"/>
  <c r="AW53" i="1" s="1"/>
  <c r="AW17" i="1" s="1"/>
  <c r="BR34" i="1"/>
  <c r="BR53" i="1" s="1"/>
  <c r="BR17" i="1" s="1"/>
  <c r="H52" i="1"/>
  <c r="G52" i="1"/>
  <c r="G53" i="1" s="1"/>
  <c r="G17" i="1" s="1"/>
  <c r="E2" i="9"/>
  <c r="E5" i="11"/>
  <c r="C34" i="1"/>
  <c r="C53" i="1" s="1"/>
  <c r="C17" i="1" s="1"/>
  <c r="L34" i="1"/>
  <c r="L53" i="1" s="1"/>
  <c r="L17" i="1" s="1"/>
  <c r="AD53" i="1"/>
  <c r="AD17" i="1" s="1"/>
  <c r="BS34" i="1"/>
  <c r="BS53" i="1" s="1"/>
  <c r="BS17" i="1" s="1"/>
  <c r="I52" i="1"/>
  <c r="I53" i="1" s="1"/>
  <c r="I17" i="1" s="1"/>
  <c r="AD92" i="1"/>
  <c r="AD95" i="1" s="1"/>
  <c r="AD7" i="1" s="1"/>
  <c r="AD10" i="1" s="1"/>
  <c r="BR92" i="1"/>
  <c r="BR95" i="1" s="1"/>
  <c r="BR7" i="1" s="1"/>
  <c r="BR9" i="1" s="1"/>
  <c r="CF173" i="1"/>
  <c r="CF19" i="1" s="1"/>
  <c r="CF205" i="1"/>
  <c r="CF210" i="1" s="1"/>
  <c r="BZ206" i="1"/>
  <c r="BZ211" i="1" s="1"/>
  <c r="C3" i="1"/>
  <c r="C57" i="1" s="1"/>
  <c r="F5" i="1"/>
  <c r="X34" i="1"/>
  <c r="X53" i="1" s="1"/>
  <c r="X17" i="1" s="1"/>
  <c r="AF34" i="1"/>
  <c r="AF53" i="1" s="1"/>
  <c r="AF17" i="1" s="1"/>
  <c r="AV53" i="1"/>
  <c r="AV17" i="1" s="1"/>
  <c r="BD53" i="1"/>
  <c r="BD17" i="1" s="1"/>
  <c r="BT34" i="1"/>
  <c r="D34" i="1"/>
  <c r="D53" i="1" s="1"/>
  <c r="D17" i="1" s="1"/>
  <c r="AE34" i="1"/>
  <c r="AE53" i="1" s="1"/>
  <c r="AE17" i="1" s="1"/>
  <c r="BJ53" i="1"/>
  <c r="BJ17" i="1" s="1"/>
  <c r="CD53" i="1"/>
  <c r="CD17" i="1" s="1"/>
  <c r="J52" i="1"/>
  <c r="AH52" i="1"/>
  <c r="BG52" i="1"/>
  <c r="D60" i="1"/>
  <c r="O95" i="1"/>
  <c r="O7" i="1" s="1"/>
  <c r="BN178" i="1"/>
  <c r="BZ173" i="1"/>
  <c r="BZ19" i="1" s="1"/>
  <c r="H34" i="1"/>
  <c r="H53" i="1" s="1"/>
  <c r="H17" i="1" s="1"/>
  <c r="AO34" i="1"/>
  <c r="AO53" i="1" s="1"/>
  <c r="AO17" i="1" s="1"/>
  <c r="N34" i="1"/>
  <c r="N53" i="1" s="1"/>
  <c r="N17" i="1" s="1"/>
  <c r="W34" i="1"/>
  <c r="W53" i="1" s="1"/>
  <c r="W17" i="1" s="1"/>
  <c r="AG34" i="1"/>
  <c r="AG53" i="1" s="1"/>
  <c r="AG17" i="1" s="1"/>
  <c r="BK34" i="1"/>
  <c r="BK53" i="1" s="1"/>
  <c r="BK17" i="1" s="1"/>
  <c r="BV53" i="1"/>
  <c r="BV17" i="1" s="1"/>
  <c r="AI52" i="1"/>
  <c r="BH52" i="1"/>
  <c r="BH53" i="1" s="1"/>
  <c r="BH17" i="1" s="1"/>
  <c r="A863" i="1"/>
  <c r="AL103" i="1"/>
  <c r="BB103" i="1"/>
  <c r="BD165" i="1"/>
  <c r="CB206" i="1"/>
  <c r="CB211" i="1" s="1"/>
  <c r="BU208" i="1"/>
  <c r="A4" i="11"/>
  <c r="B921" i="1"/>
  <c r="AX34" i="1"/>
  <c r="AX53" i="1" s="1"/>
  <c r="AX17" i="1" s="1"/>
  <c r="AH34" i="1"/>
  <c r="AH53" i="1" s="1"/>
  <c r="AH17" i="1" s="1"/>
  <c r="BC95" i="1"/>
  <c r="BC7" i="1" s="1"/>
  <c r="BC9" i="1" s="1"/>
  <c r="AK206" i="1"/>
  <c r="AK211" i="1" s="1"/>
  <c r="AK178" i="1"/>
  <c r="AK173" i="1"/>
  <c r="AK19" i="1" s="1"/>
  <c r="BS178" i="1"/>
  <c r="BG34" i="1"/>
  <c r="BG53" i="1" s="1"/>
  <c r="BG17" i="1" s="1"/>
  <c r="Q34" i="1"/>
  <c r="Q53" i="1" s="1"/>
  <c r="Q17" i="1" s="1"/>
  <c r="Z34" i="1"/>
  <c r="Z53" i="1" s="1"/>
  <c r="Z17" i="1" s="1"/>
  <c r="AI34" i="1"/>
  <c r="O52" i="1"/>
  <c r="O53" i="1" s="1"/>
  <c r="O17" i="1" s="1"/>
  <c r="J92" i="1"/>
  <c r="J95" i="1" s="1"/>
  <c r="J7" i="1" s="1"/>
  <c r="J10" i="1" s="1"/>
  <c r="P208" i="1"/>
  <c r="D1" i="9"/>
  <c r="D900" i="1"/>
  <c r="D870" i="1"/>
  <c r="BP34" i="1"/>
  <c r="BP53" i="1" s="1"/>
  <c r="BP17" i="1" s="1"/>
  <c r="BU205" i="1"/>
  <c r="BU210" i="1" s="1"/>
  <c r="BM193" i="1"/>
  <c r="I210" i="1"/>
  <c r="R210" i="1"/>
  <c r="CA205" i="1"/>
  <c r="CA210" i="1" s="1"/>
  <c r="H211" i="1"/>
  <c r="Q211" i="1"/>
  <c r="AI798" i="1"/>
  <c r="E798" i="1"/>
  <c r="W798" i="1"/>
  <c r="AZ798" i="1"/>
  <c r="BI798" i="1"/>
  <c r="F798" i="1"/>
  <c r="D381" i="1"/>
  <c r="Z394" i="1"/>
  <c r="Z420" i="1"/>
  <c r="AC420" i="1"/>
  <c r="AC394" i="1"/>
  <c r="BQ420" i="1"/>
  <c r="BQ394" i="1"/>
  <c r="T95" i="1"/>
  <c r="T7" i="1" s="1"/>
  <c r="T10" i="1" s="1"/>
  <c r="BH95" i="1"/>
  <c r="BH7" i="1" s="1"/>
  <c r="BU206" i="1"/>
  <c r="BU211" i="1" s="1"/>
  <c r="I208" i="1"/>
  <c r="AR208" i="1"/>
  <c r="K210" i="1"/>
  <c r="S210" i="1"/>
  <c r="CB205" i="1"/>
  <c r="CB210" i="1" s="1"/>
  <c r="I211" i="1"/>
  <c r="AA211" i="1"/>
  <c r="BE211" i="1"/>
  <c r="P798" i="1"/>
  <c r="X798" i="1"/>
  <c r="AQ798" i="1"/>
  <c r="BA798" i="1"/>
  <c r="BM255" i="1"/>
  <c r="BM798" i="1" s="1"/>
  <c r="CE206" i="1"/>
  <c r="CE211" i="1" s="1"/>
  <c r="CB173" i="1"/>
  <c r="CB19" i="1" s="1"/>
  <c r="AB208" i="1"/>
  <c r="AJ208" i="1"/>
  <c r="AU208" i="1"/>
  <c r="BG208" i="1"/>
  <c r="C210" i="1"/>
  <c r="S211" i="1"/>
  <c r="AV211" i="1"/>
  <c r="G798" i="1"/>
  <c r="AJ798" i="1"/>
  <c r="AR798" i="1"/>
  <c r="BK798" i="1"/>
  <c r="BP798" i="1"/>
  <c r="N798" i="1"/>
  <c r="AL798" i="1"/>
  <c r="BJ798" i="1"/>
  <c r="AN103" i="1"/>
  <c r="AV103" i="1"/>
  <c r="BD103" i="1"/>
  <c r="BL103" i="1"/>
  <c r="BT103" i="1"/>
  <c r="BW206" i="1"/>
  <c r="BW211" i="1" s="1"/>
  <c r="BD178" i="1"/>
  <c r="L208" i="1"/>
  <c r="BV190" i="1"/>
  <c r="C211" i="1"/>
  <c r="K211" i="1"/>
  <c r="AW211" i="1"/>
  <c r="AZ247" i="1"/>
  <c r="H798" i="1"/>
  <c r="AA798" i="1"/>
  <c r="AK798" i="1"/>
  <c r="BD798" i="1"/>
  <c r="BL798" i="1"/>
  <c r="BQ798" i="1"/>
  <c r="AM420" i="1"/>
  <c r="AM394" i="1"/>
  <c r="AM52" i="1"/>
  <c r="AM53" i="1" s="1"/>
  <c r="AM17" i="1" s="1"/>
  <c r="AS92" i="1"/>
  <c r="AS95" i="1" s="1"/>
  <c r="AS7" i="1" s="1"/>
  <c r="AO103" i="1"/>
  <c r="AW103" i="1"/>
  <c r="BE103" i="1"/>
  <c r="BM103" i="1"/>
  <c r="BN165" i="1"/>
  <c r="CF208" i="1"/>
  <c r="BY206" i="1"/>
  <c r="BY211" i="1" s="1"/>
  <c r="D208" i="1"/>
  <c r="AW208" i="1"/>
  <c r="BK19" i="1"/>
  <c r="BK208" i="1"/>
  <c r="BH193" i="1"/>
  <c r="BR193" i="1"/>
  <c r="AO211" i="1"/>
  <c r="BR206" i="1"/>
  <c r="BR211" i="1" s="1"/>
  <c r="O255" i="1"/>
  <c r="BC255" i="1"/>
  <c r="BC798" i="1" s="1"/>
  <c r="S798" i="1"/>
  <c r="AB798" i="1"/>
  <c r="AU798" i="1"/>
  <c r="BS798" i="1"/>
  <c r="AE420" i="1"/>
  <c r="AE394" i="1"/>
  <c r="BN394" i="1"/>
  <c r="BN420" i="1"/>
  <c r="G424" i="1"/>
  <c r="G422" i="1"/>
  <c r="BK422" i="1"/>
  <c r="BK424" i="1"/>
  <c r="BY208" i="1"/>
  <c r="AK193" i="1"/>
  <c r="AE208" i="1"/>
  <c r="BT211" i="1"/>
  <c r="AD233" i="1"/>
  <c r="AD236" i="1" s="1"/>
  <c r="AD8" i="1" s="1"/>
  <c r="BR233" i="1"/>
  <c r="BR236" i="1" s="1"/>
  <c r="BR8" i="1" s="1"/>
  <c r="O18" i="9"/>
  <c r="O243" i="1"/>
  <c r="BX255" i="1"/>
  <c r="K798" i="1"/>
  <c r="AC798" i="1"/>
  <c r="AM798" i="1"/>
  <c r="AV798" i="1"/>
  <c r="BX254" i="1"/>
  <c r="BT255" i="1"/>
  <c r="BT798" i="1" s="1"/>
  <c r="V798" i="1"/>
  <c r="AT798" i="1"/>
  <c r="M420" i="1"/>
  <c r="M394" i="1"/>
  <c r="CA206" i="1"/>
  <c r="CA211" i="1" s="1"/>
  <c r="W208" i="1"/>
  <c r="AG210" i="1"/>
  <c r="AO210" i="1"/>
  <c r="AW210" i="1"/>
  <c r="BE210" i="1"/>
  <c r="BM210" i="1"/>
  <c r="AF211" i="1"/>
  <c r="BH236" i="1"/>
  <c r="BH8" i="1" s="1"/>
  <c r="Y798" i="1"/>
  <c r="C798" i="1"/>
  <c r="L798" i="1"/>
  <c r="U798" i="1"/>
  <c r="AE798" i="1"/>
  <c r="BG798" i="1"/>
  <c r="E420" i="1"/>
  <c r="E394" i="1"/>
  <c r="CA19" i="1"/>
  <c r="CA208" i="1"/>
  <c r="G208" i="1"/>
  <c r="Q210" i="1"/>
  <c r="Z210" i="1"/>
  <c r="AH210" i="1"/>
  <c r="AP210" i="1"/>
  <c r="AX210" i="1"/>
  <c r="BF210" i="1"/>
  <c r="BN210" i="1"/>
  <c r="P211" i="1"/>
  <c r="X211" i="1"/>
  <c r="AG211" i="1"/>
  <c r="BL211" i="1"/>
  <c r="D798" i="1"/>
  <c r="M798" i="1"/>
  <c r="AF798" i="1"/>
  <c r="AY798" i="1"/>
  <c r="BH798" i="1"/>
  <c r="BB798" i="1"/>
  <c r="C381" i="1"/>
  <c r="BI420" i="1"/>
  <c r="BI394" i="1"/>
  <c r="AL247" i="1"/>
  <c r="D379" i="1"/>
  <c r="C422" i="1"/>
  <c r="K424" i="1"/>
  <c r="K422" i="1"/>
  <c r="S422" i="1"/>
  <c r="S424" i="1"/>
  <c r="AD26" i="9"/>
  <c r="BR26" i="9"/>
  <c r="BR52" i="9" s="1"/>
  <c r="BR397" i="1"/>
  <c r="AS33" i="9"/>
  <c r="AS593" i="1"/>
  <c r="O36" i="9"/>
  <c r="BC36" i="9"/>
  <c r="AJ424" i="1"/>
  <c r="BF420" i="1"/>
  <c r="L25" i="9"/>
  <c r="L503" i="1"/>
  <c r="L400" i="1"/>
  <c r="L399" i="1"/>
  <c r="L398" i="1"/>
  <c r="L397" i="1"/>
  <c r="U25" i="9"/>
  <c r="U503" i="1"/>
  <c r="BF25" i="9"/>
  <c r="BF503" i="1"/>
  <c r="BN25" i="9"/>
  <c r="BN50" i="9" s="1"/>
  <c r="BN503" i="1"/>
  <c r="C25" i="9"/>
  <c r="C52" i="9" s="1"/>
  <c r="C400" i="1"/>
  <c r="C399" i="1"/>
  <c r="C398" i="1"/>
  <c r="C397" i="1"/>
  <c r="C503" i="1"/>
  <c r="AY25" i="9"/>
  <c r="AY400" i="1"/>
  <c r="AY399" i="1"/>
  <c r="AY398" i="1"/>
  <c r="AY397" i="1"/>
  <c r="AY503" i="1"/>
  <c r="BG25" i="9"/>
  <c r="BG400" i="1"/>
  <c r="BG399" i="1"/>
  <c r="BG398" i="1"/>
  <c r="BG397" i="1"/>
  <c r="BG503" i="1"/>
  <c r="BO25" i="9"/>
  <c r="BO400" i="1"/>
  <c r="BO399" i="1"/>
  <c r="BO398" i="1"/>
  <c r="BO397" i="1"/>
  <c r="BO503" i="1"/>
  <c r="AF25" i="9"/>
  <c r="AF503" i="1"/>
  <c r="BR25" i="9"/>
  <c r="BR400" i="1"/>
  <c r="BY173" i="1"/>
  <c r="BY19" i="1" s="1"/>
  <c r="BI323" i="1"/>
  <c r="C365" i="1"/>
  <c r="C386" i="1" s="1"/>
  <c r="K365" i="1"/>
  <c r="S365" i="1"/>
  <c r="AA365" i="1"/>
  <c r="AI365" i="1"/>
  <c r="AQ365" i="1"/>
  <c r="AY365" i="1"/>
  <c r="BG365" i="1"/>
  <c r="BO365" i="1"/>
  <c r="D384" i="1"/>
  <c r="BA394" i="1"/>
  <c r="BL394" i="1"/>
  <c r="G397" i="1"/>
  <c r="BN397" i="1"/>
  <c r="G398" i="1"/>
  <c r="BN398" i="1"/>
  <c r="G399" i="1"/>
  <c r="BN399" i="1"/>
  <c r="BN400" i="1"/>
  <c r="AD498" i="1"/>
  <c r="AD27" i="9"/>
  <c r="AI26" i="9"/>
  <c r="R420" i="1"/>
  <c r="D25" i="9"/>
  <c r="D503" i="1"/>
  <c r="D400" i="1"/>
  <c r="D399" i="1"/>
  <c r="D398" i="1"/>
  <c r="D397" i="1"/>
  <c r="AP25" i="9"/>
  <c r="AP503" i="1"/>
  <c r="M25" i="9"/>
  <c r="M51" i="9" s="1"/>
  <c r="M503" i="1"/>
  <c r="BP25" i="9"/>
  <c r="BP503" i="1"/>
  <c r="BP400" i="1"/>
  <c r="BP399" i="1"/>
  <c r="BP398" i="1"/>
  <c r="BP397" i="1"/>
  <c r="AX233" i="1"/>
  <c r="AX236" i="1" s="1"/>
  <c r="AX8" i="1" s="1"/>
  <c r="D386" i="1"/>
  <c r="BD365" i="1"/>
  <c r="C394" i="1"/>
  <c r="AI495" i="1"/>
  <c r="AI408" i="1"/>
  <c r="AD497" i="1"/>
  <c r="AD408" i="1"/>
  <c r="Y496" i="1"/>
  <c r="Y498" i="1" s="1"/>
  <c r="Y489" i="1"/>
  <c r="AN408" i="1"/>
  <c r="AN418" i="1" s="1"/>
  <c r="AV422" i="1"/>
  <c r="BD418" i="1"/>
  <c r="BL424" i="1"/>
  <c r="BT422" i="1"/>
  <c r="BT424" i="1"/>
  <c r="T500" i="1"/>
  <c r="T417" i="1"/>
  <c r="BH417" i="1"/>
  <c r="BH500" i="1"/>
  <c r="AI27" i="9"/>
  <c r="O33" i="9"/>
  <c r="O593" i="1"/>
  <c r="AN417" i="1"/>
  <c r="AT424" i="1"/>
  <c r="AT422" i="1"/>
  <c r="BJ422" i="1"/>
  <c r="BJ424" i="1"/>
  <c r="AP420" i="1"/>
  <c r="AJ422" i="1"/>
  <c r="C424" i="1"/>
  <c r="W25" i="9"/>
  <c r="W53" i="9" s="1"/>
  <c r="W503" i="1"/>
  <c r="AZ25" i="9"/>
  <c r="AZ503" i="1"/>
  <c r="AZ400" i="1"/>
  <c r="AZ399" i="1"/>
  <c r="AZ398" i="1"/>
  <c r="AZ397" i="1"/>
  <c r="E25" i="9"/>
  <c r="E503" i="1"/>
  <c r="X25" i="9"/>
  <c r="X503" i="1"/>
  <c r="AQ25" i="9"/>
  <c r="AQ400" i="1"/>
  <c r="AQ399" i="1"/>
  <c r="AQ398" i="1"/>
  <c r="AQ397" i="1"/>
  <c r="AQ503" i="1"/>
  <c r="S25" i="9"/>
  <c r="S400" i="1"/>
  <c r="S399" i="1"/>
  <c r="S398" i="1"/>
  <c r="S397" i="1"/>
  <c r="S503" i="1"/>
  <c r="I798" i="1"/>
  <c r="Q798" i="1"/>
  <c r="AG798" i="1"/>
  <c r="AO798" i="1"/>
  <c r="AW798" i="1"/>
  <c r="BE798" i="1"/>
  <c r="U397" i="1"/>
  <c r="AF397" i="1"/>
  <c r="U398" i="1"/>
  <c r="AF398" i="1"/>
  <c r="U399" i="1"/>
  <c r="AF399" i="1"/>
  <c r="U400" i="1"/>
  <c r="AF400" i="1"/>
  <c r="AF422" i="1"/>
  <c r="AF424" i="1"/>
  <c r="AO394" i="1"/>
  <c r="AO420" i="1"/>
  <c r="AW394" i="1"/>
  <c r="AW420" i="1"/>
  <c r="BE394" i="1"/>
  <c r="BE420" i="1"/>
  <c r="J501" i="1"/>
  <c r="J417" i="1"/>
  <c r="AX417" i="1"/>
  <c r="AX418" i="1" s="1"/>
  <c r="AX501" i="1"/>
  <c r="N424" i="1"/>
  <c r="N422" i="1"/>
  <c r="AD36" i="9"/>
  <c r="BR36" i="9"/>
  <c r="W420" i="1"/>
  <c r="AR422" i="1"/>
  <c r="AR424" i="1"/>
  <c r="AH25" i="9"/>
  <c r="AH503" i="1"/>
  <c r="BA25" i="9"/>
  <c r="BA503" i="1"/>
  <c r="BI25" i="9"/>
  <c r="BI503" i="1"/>
  <c r="BQ25" i="9"/>
  <c r="BQ503" i="1"/>
  <c r="P25" i="9"/>
  <c r="P503" i="1"/>
  <c r="AR25" i="9"/>
  <c r="AR503" i="1"/>
  <c r="AR400" i="1"/>
  <c r="AR399" i="1"/>
  <c r="AR398" i="1"/>
  <c r="AR397" i="1"/>
  <c r="BB25" i="9"/>
  <c r="BB503" i="1"/>
  <c r="BB400" i="1"/>
  <c r="BB399" i="1"/>
  <c r="BB398" i="1"/>
  <c r="BB397" i="1"/>
  <c r="J243" i="1"/>
  <c r="R798" i="1"/>
  <c r="Z798" i="1"/>
  <c r="AH798" i="1"/>
  <c r="AP798" i="1"/>
  <c r="BF798" i="1"/>
  <c r="BN798" i="1"/>
  <c r="F365" i="1"/>
  <c r="S394" i="1"/>
  <c r="BF397" i="1"/>
  <c r="BF398" i="1"/>
  <c r="BF399" i="1"/>
  <c r="BF400" i="1"/>
  <c r="AI496" i="1"/>
  <c r="AI489" i="1"/>
  <c r="X422" i="1"/>
  <c r="AG394" i="1"/>
  <c r="AG420" i="1"/>
  <c r="O417" i="1"/>
  <c r="O418" i="1" s="1"/>
  <c r="O501" i="1"/>
  <c r="BC417" i="1"/>
  <c r="BC418" i="1" s="1"/>
  <c r="BC501" i="1"/>
  <c r="AD28" i="9"/>
  <c r="BR28" i="9"/>
  <c r="BR53" i="9" s="1"/>
  <c r="BR398" i="1"/>
  <c r="Y33" i="9"/>
  <c r="Y593" i="1"/>
  <c r="AI36" i="9"/>
  <c r="D424" i="1"/>
  <c r="AU422" i="1"/>
  <c r="AU424" i="1"/>
  <c r="BS422" i="1"/>
  <c r="BS424" i="1"/>
  <c r="AN489" i="1"/>
  <c r="G25" i="9"/>
  <c r="G53" i="9" s="1"/>
  <c r="G503" i="1"/>
  <c r="Z25" i="9"/>
  <c r="Z503" i="1"/>
  <c r="AS495" i="1"/>
  <c r="BJ25" i="9"/>
  <c r="BJ503" i="1"/>
  <c r="BJ400" i="1"/>
  <c r="BJ399" i="1"/>
  <c r="BJ398" i="1"/>
  <c r="BJ397" i="1"/>
  <c r="AA25" i="9"/>
  <c r="AA400" i="1"/>
  <c r="AA399" i="1"/>
  <c r="AA398" i="1"/>
  <c r="AA397" i="1"/>
  <c r="AA503" i="1"/>
  <c r="AJ25" i="9"/>
  <c r="AJ503" i="1"/>
  <c r="AJ400" i="1"/>
  <c r="AJ399" i="1"/>
  <c r="AJ398" i="1"/>
  <c r="AJ397" i="1"/>
  <c r="AT25" i="9"/>
  <c r="AT503" i="1"/>
  <c r="AT400" i="1"/>
  <c r="AT399" i="1"/>
  <c r="AT398" i="1"/>
  <c r="AT397" i="1"/>
  <c r="AB25" i="9"/>
  <c r="AB503" i="1"/>
  <c r="AB400" i="1"/>
  <c r="AB399" i="1"/>
  <c r="AB398" i="1"/>
  <c r="AB397" i="1"/>
  <c r="BO255" i="1"/>
  <c r="BO798" i="1" s="1"/>
  <c r="BS365" i="1"/>
  <c r="G394" i="1"/>
  <c r="J495" i="1"/>
  <c r="AX495" i="1"/>
  <c r="H424" i="1"/>
  <c r="H422" i="1"/>
  <c r="P424" i="1"/>
  <c r="P422" i="1"/>
  <c r="Y408" i="1"/>
  <c r="AQ422" i="1"/>
  <c r="AY418" i="1"/>
  <c r="BG422" i="1"/>
  <c r="BG424" i="1"/>
  <c r="T29" i="9"/>
  <c r="BH29" i="9"/>
  <c r="BH399" i="1"/>
  <c r="AI417" i="1"/>
  <c r="AK424" i="1"/>
  <c r="AK422" i="1"/>
  <c r="BA422" i="1"/>
  <c r="BA424" i="1"/>
  <c r="AN36" i="9"/>
  <c r="AB420" i="1"/>
  <c r="H25" i="9"/>
  <c r="H51" i="9" s="1"/>
  <c r="H503" i="1"/>
  <c r="R25" i="9"/>
  <c r="R503" i="1"/>
  <c r="AK25" i="9"/>
  <c r="AK503" i="1"/>
  <c r="AL25" i="9"/>
  <c r="AL53" i="9" s="1"/>
  <c r="AL503" i="1"/>
  <c r="AL400" i="1"/>
  <c r="AL399" i="1"/>
  <c r="AL398" i="1"/>
  <c r="AL397" i="1"/>
  <c r="AH173" i="1"/>
  <c r="BV173" i="1"/>
  <c r="CD173" i="1"/>
  <c r="CD19" i="1" s="1"/>
  <c r="T243" i="1"/>
  <c r="H394" i="1"/>
  <c r="BT394" i="1"/>
  <c r="O495" i="1"/>
  <c r="AS496" i="1"/>
  <c r="AS489" i="1"/>
  <c r="I394" i="1"/>
  <c r="I420" i="1"/>
  <c r="Q394" i="1"/>
  <c r="Q420" i="1"/>
  <c r="BH418" i="1"/>
  <c r="BP420" i="1"/>
  <c r="BP394" i="1"/>
  <c r="U422" i="1"/>
  <c r="AL424" i="1"/>
  <c r="AL422" i="1"/>
  <c r="BB424" i="1"/>
  <c r="AZ420" i="1"/>
  <c r="BB422" i="1"/>
  <c r="U424" i="1"/>
  <c r="BD498" i="1"/>
  <c r="BL498" i="1"/>
  <c r="AI173" i="1"/>
  <c r="BW173" i="1"/>
  <c r="BW19" i="1" s="1"/>
  <c r="CE173" i="1"/>
  <c r="CE19" i="1" s="1"/>
  <c r="I365" i="1"/>
  <c r="Q365" i="1"/>
  <c r="Y365" i="1"/>
  <c r="AG365" i="1"/>
  <c r="AO365" i="1"/>
  <c r="AW365" i="1"/>
  <c r="BE365" i="1"/>
  <c r="BM365" i="1"/>
  <c r="K394" i="1"/>
  <c r="AK394" i="1"/>
  <c r="AV394" i="1"/>
  <c r="T408" i="1"/>
  <c r="T418" i="1" s="1"/>
  <c r="J496" i="1"/>
  <c r="J489" i="1"/>
  <c r="AX496" i="1"/>
  <c r="AX489" i="1"/>
  <c r="J408" i="1"/>
  <c r="J418" i="1" s="1"/>
  <c r="AA418" i="1"/>
  <c r="AS408" i="1"/>
  <c r="AS418" i="1" s="1"/>
  <c r="AD501" i="1"/>
  <c r="AD417" i="1"/>
  <c r="BR417" i="1"/>
  <c r="BR418" i="1" s="1"/>
  <c r="BR501" i="1"/>
  <c r="T27" i="9"/>
  <c r="T400" i="1"/>
  <c r="BH27" i="9"/>
  <c r="BH51" i="9" s="1"/>
  <c r="BH400" i="1"/>
  <c r="AN33" i="9"/>
  <c r="AN593" i="1"/>
  <c r="AS417" i="1"/>
  <c r="F422" i="1"/>
  <c r="V422" i="1"/>
  <c r="V424" i="1"/>
  <c r="L420" i="1"/>
  <c r="AH420" i="1"/>
  <c r="X424" i="1"/>
  <c r="T495" i="1"/>
  <c r="T498" i="1" s="1"/>
  <c r="T399" i="1" s="1"/>
  <c r="AC25" i="9"/>
  <c r="AC503" i="1"/>
  <c r="AV25" i="9"/>
  <c r="AV503" i="1"/>
  <c r="K25" i="9"/>
  <c r="K400" i="1"/>
  <c r="K399" i="1"/>
  <c r="K398" i="1"/>
  <c r="K397" i="1"/>
  <c r="K503" i="1"/>
  <c r="BH25" i="9"/>
  <c r="BH397" i="1"/>
  <c r="Z52" i="9"/>
  <c r="AH52" i="9"/>
  <c r="AP52" i="9"/>
  <c r="AY52" i="9"/>
  <c r="P53" i="9"/>
  <c r="AO53" i="9"/>
  <c r="F50" i="9"/>
  <c r="V50" i="9"/>
  <c r="AE50" i="9"/>
  <c r="AV51" i="9"/>
  <c r="BL32" i="9"/>
  <c r="BN508" i="1"/>
  <c r="BN32" i="9" s="1"/>
  <c r="Q33" i="9"/>
  <c r="Q593" i="1"/>
  <c r="K36" i="9"/>
  <c r="AM36" i="9"/>
  <c r="E36" i="9"/>
  <c r="M514" i="1"/>
  <c r="U36" i="9"/>
  <c r="AC514" i="1"/>
  <c r="AK36" i="9"/>
  <c r="BA36" i="9"/>
  <c r="BI514" i="1"/>
  <c r="BQ36" i="9"/>
  <c r="J547" i="1"/>
  <c r="AG548" i="1"/>
  <c r="AG547" i="1"/>
  <c r="Y417" i="1"/>
  <c r="BM417" i="1"/>
  <c r="BM418" i="1" s="1"/>
  <c r="T36" i="9"/>
  <c r="BH36" i="9"/>
  <c r="AN523" i="1"/>
  <c r="AV523" i="1"/>
  <c r="BD523" i="1"/>
  <c r="BL523" i="1"/>
  <c r="BT523" i="1"/>
  <c r="BX523" i="1" s="1"/>
  <c r="BT498" i="1"/>
  <c r="I52" i="9"/>
  <c r="R52" i="9"/>
  <c r="AA52" i="9"/>
  <c r="AQ52" i="9"/>
  <c r="BJ52" i="9"/>
  <c r="H53" i="9"/>
  <c r="Q53" i="9"/>
  <c r="AG53" i="9"/>
  <c r="BP53" i="9"/>
  <c r="G50" i="9"/>
  <c r="W50" i="9"/>
  <c r="AP50" i="9"/>
  <c r="BF50" i="9"/>
  <c r="BF51" i="9"/>
  <c r="BO51" i="9"/>
  <c r="N503" i="1"/>
  <c r="AK33" i="9"/>
  <c r="AK593" i="1"/>
  <c r="BS36" i="9"/>
  <c r="P548" i="1"/>
  <c r="X548" i="1"/>
  <c r="AC548" i="1"/>
  <c r="X547" i="1"/>
  <c r="BR51" i="9"/>
  <c r="J33" i="9"/>
  <c r="J593" i="1"/>
  <c r="AX33" i="9"/>
  <c r="AX593" i="1"/>
  <c r="BM36" i="9"/>
  <c r="AO523" i="1"/>
  <c r="BE523" i="1"/>
  <c r="AM498" i="1"/>
  <c r="AU498" i="1"/>
  <c r="BC498" i="1"/>
  <c r="BK498" i="1"/>
  <c r="BS498" i="1"/>
  <c r="O496" i="1"/>
  <c r="S52" i="9"/>
  <c r="I53" i="9"/>
  <c r="BP50" i="9"/>
  <c r="P51" i="9"/>
  <c r="AH51" i="9"/>
  <c r="AP51" i="9"/>
  <c r="BG51" i="9"/>
  <c r="BP51" i="9"/>
  <c r="Q503" i="1"/>
  <c r="AG503" i="1"/>
  <c r="AW503" i="1"/>
  <c r="BM503" i="1"/>
  <c r="I33" i="9"/>
  <c r="I593" i="1"/>
  <c r="AA36" i="9"/>
  <c r="AQ36" i="9"/>
  <c r="A864" i="1"/>
  <c r="AQ58" i="9"/>
  <c r="AQ60" i="9" s="1"/>
  <c r="AQ576" i="1"/>
  <c r="AQ577" i="1" s="1"/>
  <c r="AQ578" i="1" s="1"/>
  <c r="AQ579" i="1" s="1"/>
  <c r="AQ562" i="1"/>
  <c r="AQ560" i="1"/>
  <c r="AE25" i="9"/>
  <c r="AE503" i="1"/>
  <c r="AN495" i="1"/>
  <c r="AN798" i="1" s="1"/>
  <c r="AA108" i="9"/>
  <c r="V30" i="9"/>
  <c r="K52" i="9"/>
  <c r="AT52" i="9"/>
  <c r="BB52" i="9"/>
  <c r="BT26" i="9"/>
  <c r="AJ53" i="9"/>
  <c r="AR53" i="9"/>
  <c r="BB53" i="9"/>
  <c r="BJ53" i="9"/>
  <c r="AH50" i="9"/>
  <c r="AR50" i="9"/>
  <c r="AZ50" i="9"/>
  <c r="BQ50" i="9"/>
  <c r="AQ51" i="9"/>
  <c r="BQ51" i="9"/>
  <c r="U33" i="9"/>
  <c r="U593" i="1"/>
  <c r="AC33" i="9"/>
  <c r="AC593" i="1"/>
  <c r="BE33" i="9"/>
  <c r="BE593" i="1"/>
  <c r="BM33" i="9"/>
  <c r="BM593" i="1"/>
  <c r="AE36" i="9"/>
  <c r="BG36" i="9"/>
  <c r="Y547" i="1"/>
  <c r="Y548" i="1"/>
  <c r="AN548" i="1"/>
  <c r="AP547" i="1"/>
  <c r="AN547" i="1"/>
  <c r="AS548" i="1"/>
  <c r="AA547" i="1"/>
  <c r="V58" i="9"/>
  <c r="V60" i="9" s="1"/>
  <c r="V576" i="1"/>
  <c r="V577" i="1" s="1"/>
  <c r="V578" i="1" s="1"/>
  <c r="V579" i="1" s="1"/>
  <c r="V562" i="1"/>
  <c r="T33" i="9"/>
  <c r="T593" i="1"/>
  <c r="AQ523" i="1"/>
  <c r="AY523" i="1"/>
  <c r="BG523" i="1"/>
  <c r="BO523" i="1"/>
  <c r="T489" i="1"/>
  <c r="AT108" i="9"/>
  <c r="AO30" i="9"/>
  <c r="BB108" i="9"/>
  <c r="AW30" i="9"/>
  <c r="BJ108" i="9"/>
  <c r="BE30" i="9"/>
  <c r="BR108" i="9"/>
  <c r="BM30" i="9"/>
  <c r="S108" i="9"/>
  <c r="N30" i="9"/>
  <c r="D52" i="9"/>
  <c r="L52" i="9"/>
  <c r="V52" i="9"/>
  <c r="L53" i="9"/>
  <c r="AB53" i="9"/>
  <c r="AT53" i="9"/>
  <c r="R50" i="9"/>
  <c r="AJ50" i="9"/>
  <c r="BA50" i="9"/>
  <c r="BI50" i="9"/>
  <c r="R51" i="9"/>
  <c r="AA51" i="9"/>
  <c r="AJ51" i="9"/>
  <c r="AR51" i="9"/>
  <c r="BI51" i="9"/>
  <c r="BQ32" i="9"/>
  <c r="BS508" i="1"/>
  <c r="BS32" i="9" s="1"/>
  <c r="AO33" i="9"/>
  <c r="AO593" i="1"/>
  <c r="AO594" i="1" s="1"/>
  <c r="AW33" i="9"/>
  <c r="AW593" i="1"/>
  <c r="AU36" i="9"/>
  <c r="I514" i="1"/>
  <c r="Q36" i="9"/>
  <c r="AG36" i="9"/>
  <c r="AO514" i="1"/>
  <c r="AW36" i="9"/>
  <c r="BE514" i="1"/>
  <c r="AB547" i="1"/>
  <c r="AH547" i="1"/>
  <c r="BP58" i="9"/>
  <c r="BP60" i="9" s="1"/>
  <c r="BP560" i="1"/>
  <c r="BP576" i="1"/>
  <c r="BP577" i="1" s="1"/>
  <c r="BP578" i="1" s="1"/>
  <c r="BP579" i="1" s="1"/>
  <c r="AR523" i="1"/>
  <c r="AZ523" i="1"/>
  <c r="BH523" i="1"/>
  <c r="BP523" i="1"/>
  <c r="N108" i="9"/>
  <c r="I30" i="9"/>
  <c r="V108" i="9"/>
  <c r="Q30" i="9"/>
  <c r="AG30" i="9"/>
  <c r="K108" i="9"/>
  <c r="F30" i="9"/>
  <c r="AV52" i="9"/>
  <c r="BN52" i="9"/>
  <c r="D53" i="9"/>
  <c r="AB50" i="9"/>
  <c r="AK50" i="9"/>
  <c r="AT50" i="9"/>
  <c r="BB50" i="9"/>
  <c r="BJ50" i="9"/>
  <c r="AB51" i="9"/>
  <c r="AK51" i="9"/>
  <c r="BA51" i="9"/>
  <c r="F503" i="1"/>
  <c r="V503" i="1"/>
  <c r="M33" i="9"/>
  <c r="M593" i="1"/>
  <c r="BK36" i="9"/>
  <c r="K548" i="1"/>
  <c r="V547" i="1"/>
  <c r="T547" i="1"/>
  <c r="T548" i="1"/>
  <c r="AL548" i="1"/>
  <c r="AB58" i="9"/>
  <c r="AB60" i="9" s="1"/>
  <c r="AB576" i="1"/>
  <c r="AB577" i="1" s="1"/>
  <c r="AB578" i="1" s="1"/>
  <c r="AB579" i="1" s="1"/>
  <c r="AB562" i="1"/>
  <c r="AB560" i="1"/>
  <c r="AT560" i="1"/>
  <c r="AT580" i="1"/>
  <c r="AT563" i="1"/>
  <c r="AD33" i="9"/>
  <c r="AD593" i="1"/>
  <c r="AK523" i="1"/>
  <c r="BA523" i="1"/>
  <c r="BQ523" i="1"/>
  <c r="F52" i="9"/>
  <c r="X52" i="9"/>
  <c r="AF52" i="9"/>
  <c r="AW52" i="9"/>
  <c r="BF52" i="9"/>
  <c r="BO52" i="9"/>
  <c r="N53" i="9"/>
  <c r="V53" i="9"/>
  <c r="AV53" i="9"/>
  <c r="BE53" i="9"/>
  <c r="D50" i="9"/>
  <c r="L50" i="9"/>
  <c r="AC50" i="9"/>
  <c r="AL50" i="9"/>
  <c r="C51" i="9"/>
  <c r="K51" i="9"/>
  <c r="I503" i="1"/>
  <c r="AO503" i="1"/>
  <c r="BE503" i="1"/>
  <c r="E33" i="9"/>
  <c r="E593" i="1"/>
  <c r="AG33" i="9"/>
  <c r="AG593" i="1"/>
  <c r="G36" i="9"/>
  <c r="AD547" i="1"/>
  <c r="AD548" i="1"/>
  <c r="C554" i="1"/>
  <c r="C556" i="1"/>
  <c r="BH52" i="9"/>
  <c r="AI33" i="9"/>
  <c r="AI593" i="1"/>
  <c r="J36" i="9"/>
  <c r="AX36" i="9"/>
  <c r="AL523" i="1"/>
  <c r="AT523" i="1"/>
  <c r="BB523" i="1"/>
  <c r="BJ523" i="1"/>
  <c r="BR523" i="1"/>
  <c r="P52" i="9"/>
  <c r="AG52" i="9"/>
  <c r="AO52" i="9"/>
  <c r="BG52" i="9"/>
  <c r="F53" i="9"/>
  <c r="AE53" i="9"/>
  <c r="AW53" i="9"/>
  <c r="E50" i="9"/>
  <c r="M50" i="9"/>
  <c r="U50" i="9"/>
  <c r="D51" i="9"/>
  <c r="L51" i="9"/>
  <c r="U51" i="9"/>
  <c r="BX507" i="1"/>
  <c r="BX31" i="9" s="1"/>
  <c r="BA33" i="9"/>
  <c r="BA593" i="1"/>
  <c r="BI33" i="9"/>
  <c r="BI593" i="1"/>
  <c r="BI594" i="1" s="1"/>
  <c r="BQ33" i="9"/>
  <c r="BQ593" i="1"/>
  <c r="W36" i="9"/>
  <c r="AK547" i="1"/>
  <c r="AI548" i="1"/>
  <c r="AI547" i="1"/>
  <c r="BJ547" i="1"/>
  <c r="BH547" i="1"/>
  <c r="BH548" i="1"/>
  <c r="AZ72" i="9"/>
  <c r="AZ62" i="9"/>
  <c r="AZ562" i="1"/>
  <c r="J65" i="9"/>
  <c r="J804" i="1"/>
  <c r="R65" i="9"/>
  <c r="R804" i="1"/>
  <c r="Z65" i="9"/>
  <c r="Z811" i="1"/>
  <c r="Z804" i="1"/>
  <c r="AH65" i="9"/>
  <c r="AH804" i="1"/>
  <c r="AP65" i="9"/>
  <c r="AP804" i="1"/>
  <c r="AX65" i="9"/>
  <c r="AX804" i="1"/>
  <c r="BF65" i="9"/>
  <c r="BF804" i="1"/>
  <c r="BN65" i="9"/>
  <c r="BN811" i="1"/>
  <c r="BN804" i="1"/>
  <c r="G52" i="9"/>
  <c r="W52" i="9"/>
  <c r="AE52" i="9"/>
  <c r="E53" i="9"/>
  <c r="M53" i="9"/>
  <c r="U53" i="9"/>
  <c r="AC53" i="9"/>
  <c r="AK53" i="9"/>
  <c r="BA53" i="9"/>
  <c r="BI53" i="9"/>
  <c r="C50" i="9"/>
  <c r="K50" i="9"/>
  <c r="S50" i="9"/>
  <c r="AA50" i="9"/>
  <c r="AQ50" i="9"/>
  <c r="AY50" i="9"/>
  <c r="BG50" i="9"/>
  <c r="BO50" i="9"/>
  <c r="I51" i="9"/>
  <c r="Q51" i="9"/>
  <c r="AG51" i="9"/>
  <c r="AO51" i="9"/>
  <c r="AW51" i="9"/>
  <c r="BE51" i="9"/>
  <c r="R33" i="9"/>
  <c r="R593" i="1"/>
  <c r="Z33" i="9"/>
  <c r="Z593" i="1"/>
  <c r="AH33" i="9"/>
  <c r="AH593" i="1"/>
  <c r="AP33" i="9"/>
  <c r="AP593" i="1"/>
  <c r="BF33" i="9"/>
  <c r="BF593" i="1"/>
  <c r="BN33" i="9"/>
  <c r="BN593" i="1"/>
  <c r="BN594" i="1" s="1"/>
  <c r="D514" i="1"/>
  <c r="L514" i="1"/>
  <c r="AB514" i="1"/>
  <c r="AJ514" i="1"/>
  <c r="AR514" i="1"/>
  <c r="AZ514" i="1"/>
  <c r="BP514" i="1"/>
  <c r="D548" i="1"/>
  <c r="L547" i="1"/>
  <c r="H547" i="1"/>
  <c r="AR58" i="9"/>
  <c r="AR60" i="9" s="1"/>
  <c r="AR576" i="1"/>
  <c r="AR577" i="1" s="1"/>
  <c r="AR578" i="1" s="1"/>
  <c r="AR579" i="1" s="1"/>
  <c r="BA58" i="9"/>
  <c r="BA60" i="9" s="1"/>
  <c r="BA576" i="1"/>
  <c r="BA577" i="1" s="1"/>
  <c r="BA578" i="1" s="1"/>
  <c r="BA579" i="1" s="1"/>
  <c r="AR560" i="1"/>
  <c r="E580" i="1"/>
  <c r="E560" i="1"/>
  <c r="BS563" i="1"/>
  <c r="BS580" i="1"/>
  <c r="BA562" i="1"/>
  <c r="C65" i="9"/>
  <c r="C804" i="1"/>
  <c r="K65" i="9"/>
  <c r="K811" i="1"/>
  <c r="K804" i="1"/>
  <c r="S65" i="9"/>
  <c r="S804" i="1"/>
  <c r="AA65" i="9"/>
  <c r="AA804" i="1"/>
  <c r="AQ65" i="9"/>
  <c r="AQ804" i="1"/>
  <c r="AY65" i="9"/>
  <c r="AY811" i="1"/>
  <c r="AY804" i="1"/>
  <c r="BG65" i="9"/>
  <c r="BG804" i="1"/>
  <c r="BO65" i="9"/>
  <c r="BO804" i="1"/>
  <c r="BN51" i="9"/>
  <c r="C33" i="9"/>
  <c r="C593" i="1"/>
  <c r="C597" i="1" s="1"/>
  <c r="K33" i="9"/>
  <c r="K593" i="1"/>
  <c r="S33" i="9"/>
  <c r="S593" i="1"/>
  <c r="AA33" i="9"/>
  <c r="AA593" i="1"/>
  <c r="AQ33" i="9"/>
  <c r="AQ593" i="1"/>
  <c r="AY33" i="9"/>
  <c r="AY593" i="1"/>
  <c r="AY594" i="1" s="1"/>
  <c r="BG33" i="9"/>
  <c r="BG593" i="1"/>
  <c r="BO33" i="9"/>
  <c r="BO593" i="1"/>
  <c r="D72" i="9"/>
  <c r="D117" i="9" s="1"/>
  <c r="D62" i="9"/>
  <c r="D83" i="9"/>
  <c r="BB58" i="9"/>
  <c r="BB60" i="9" s="1"/>
  <c r="BB576" i="1"/>
  <c r="BB577" i="1" s="1"/>
  <c r="BB578" i="1" s="1"/>
  <c r="BB579" i="1" s="1"/>
  <c r="BA580" i="1"/>
  <c r="BA581" i="1" s="1"/>
  <c r="BA582" i="1" s="1"/>
  <c r="BA583" i="1" s="1"/>
  <c r="BA560" i="1"/>
  <c r="BB562" i="1"/>
  <c r="D576" i="1"/>
  <c r="D577" i="1" s="1"/>
  <c r="D578" i="1" s="1"/>
  <c r="D579" i="1" s="1"/>
  <c r="D33" i="9"/>
  <c r="D593" i="1"/>
  <c r="L33" i="9"/>
  <c r="L593" i="1"/>
  <c r="AB33" i="9"/>
  <c r="AB593" i="1"/>
  <c r="AJ33" i="9"/>
  <c r="AJ593" i="1"/>
  <c r="AR33" i="9"/>
  <c r="AR593" i="1"/>
  <c r="AZ33" i="9"/>
  <c r="AZ593" i="1"/>
  <c r="BH33" i="9"/>
  <c r="BH593" i="1"/>
  <c r="BP33" i="9"/>
  <c r="BP593" i="1"/>
  <c r="AF548" i="1"/>
  <c r="AF547" i="1"/>
  <c r="AK548" i="1"/>
  <c r="E58" i="9"/>
  <c r="E60" i="9" s="1"/>
  <c r="E111" i="9" s="1"/>
  <c r="E576" i="1"/>
  <c r="E577" i="1" s="1"/>
  <c r="E578" i="1" s="1"/>
  <c r="E579" i="1" s="1"/>
  <c r="AA58" i="9"/>
  <c r="AA60" i="9" s="1"/>
  <c r="AA576" i="1"/>
  <c r="AA577" i="1" s="1"/>
  <c r="AA578" i="1" s="1"/>
  <c r="AA579" i="1" s="1"/>
  <c r="AT58" i="9"/>
  <c r="AT60" i="9" s="1"/>
  <c r="AT576" i="1"/>
  <c r="AT577" i="1" s="1"/>
  <c r="AT578" i="1" s="1"/>
  <c r="AT579" i="1" s="1"/>
  <c r="BO58" i="9"/>
  <c r="BO60" i="9" s="1"/>
  <c r="BO576" i="1"/>
  <c r="BO577" i="1" s="1"/>
  <c r="BO578" i="1" s="1"/>
  <c r="BO579" i="1" s="1"/>
  <c r="BB560" i="1"/>
  <c r="BB580" i="1"/>
  <c r="BB581" i="1" s="1"/>
  <c r="BB582" i="1" s="1"/>
  <c r="BB583" i="1" s="1"/>
  <c r="BO562" i="1"/>
  <c r="AE61" i="9"/>
  <c r="AE576" i="1"/>
  <c r="AE577" i="1" s="1"/>
  <c r="AE578" i="1" s="1"/>
  <c r="AE579" i="1" s="1"/>
  <c r="AU61" i="9"/>
  <c r="AU803" i="1"/>
  <c r="BS61" i="9"/>
  <c r="BS576" i="1"/>
  <c r="BS577" i="1" s="1"/>
  <c r="BS578" i="1" s="1"/>
  <c r="BS579" i="1" s="1"/>
  <c r="F65" i="9"/>
  <c r="F804" i="1"/>
  <c r="N65" i="9"/>
  <c r="N804" i="1"/>
  <c r="V65" i="9"/>
  <c r="V804" i="1"/>
  <c r="AL65" i="9"/>
  <c r="AL804" i="1"/>
  <c r="AT65" i="9"/>
  <c r="AT811" i="1"/>
  <c r="AT804" i="1"/>
  <c r="BB65" i="9"/>
  <c r="BB804" i="1"/>
  <c r="BJ65" i="9"/>
  <c r="BJ804" i="1"/>
  <c r="BR65" i="9"/>
  <c r="BR804" i="1"/>
  <c r="AU576" i="1"/>
  <c r="AU577" i="1" s="1"/>
  <c r="AU578" i="1" s="1"/>
  <c r="AU579" i="1" s="1"/>
  <c r="F33" i="9"/>
  <c r="F593" i="1"/>
  <c r="N33" i="9"/>
  <c r="N593" i="1"/>
  <c r="V33" i="9"/>
  <c r="V593" i="1"/>
  <c r="AL33" i="9"/>
  <c r="AL593" i="1"/>
  <c r="AT33" i="9"/>
  <c r="AT593" i="1"/>
  <c r="AT594" i="1" s="1"/>
  <c r="BB33" i="9"/>
  <c r="BB593" i="1"/>
  <c r="BJ33" i="9"/>
  <c r="BJ593" i="1"/>
  <c r="BR33" i="9"/>
  <c r="BR593" i="1"/>
  <c r="H36" i="9"/>
  <c r="P36" i="9"/>
  <c r="X36" i="9"/>
  <c r="AF36" i="9"/>
  <c r="AV36" i="9"/>
  <c r="BD36" i="9"/>
  <c r="BL36" i="9"/>
  <c r="BT36" i="9"/>
  <c r="O548" i="1"/>
  <c r="AM548" i="1"/>
  <c r="O547" i="1"/>
  <c r="BC547" i="1"/>
  <c r="S58" i="9"/>
  <c r="S60" i="9" s="1"/>
  <c r="S576" i="1"/>
  <c r="S577" i="1" s="1"/>
  <c r="S578" i="1" s="1"/>
  <c r="S579" i="1" s="1"/>
  <c r="AC58" i="9"/>
  <c r="AC60" i="9" s="1"/>
  <c r="AC576" i="1"/>
  <c r="AC577" i="1" s="1"/>
  <c r="AC578" i="1" s="1"/>
  <c r="AC579" i="1" s="1"/>
  <c r="BQ58" i="9"/>
  <c r="BQ60" i="9" s="1"/>
  <c r="BQ576" i="1"/>
  <c r="BQ577" i="1" s="1"/>
  <c r="BQ578" i="1" s="1"/>
  <c r="BQ579" i="1" s="1"/>
  <c r="AC580" i="1"/>
  <c r="AC581" i="1" s="1"/>
  <c r="AC582" i="1" s="1"/>
  <c r="AC583" i="1" s="1"/>
  <c r="AC560" i="1"/>
  <c r="E562" i="1"/>
  <c r="AA562" i="1"/>
  <c r="BQ562" i="1"/>
  <c r="AC563" i="1"/>
  <c r="G65" i="9"/>
  <c r="G804" i="1"/>
  <c r="O65" i="9"/>
  <c r="O804" i="1"/>
  <c r="W65" i="9"/>
  <c r="W804" i="1"/>
  <c r="AE65" i="9"/>
  <c r="AE804" i="1"/>
  <c r="AM65" i="9"/>
  <c r="AM804" i="1"/>
  <c r="AU65" i="9"/>
  <c r="AU804" i="1"/>
  <c r="BC65" i="9"/>
  <c r="BC804" i="1"/>
  <c r="BK65" i="9"/>
  <c r="BK804" i="1"/>
  <c r="BS65" i="9"/>
  <c r="BS804" i="1"/>
  <c r="BS811" i="1"/>
  <c r="AZ576" i="1"/>
  <c r="AZ577" i="1" s="1"/>
  <c r="AZ578" i="1" s="1"/>
  <c r="AZ579" i="1" s="1"/>
  <c r="AE580" i="1"/>
  <c r="AB52" i="9"/>
  <c r="AJ52" i="9"/>
  <c r="AR52" i="9"/>
  <c r="AZ52" i="9"/>
  <c r="BP52" i="9"/>
  <c r="R53" i="9"/>
  <c r="Z53" i="9"/>
  <c r="AH53" i="9"/>
  <c r="AP53" i="9"/>
  <c r="BF53" i="9"/>
  <c r="BN53" i="9"/>
  <c r="H50" i="9"/>
  <c r="P50" i="9"/>
  <c r="X50" i="9"/>
  <c r="AF50" i="9"/>
  <c r="AV50" i="9"/>
  <c r="F51" i="9"/>
  <c r="N51" i="9"/>
  <c r="V51" i="9"/>
  <c r="AL51" i="9"/>
  <c r="AT51" i="9"/>
  <c r="BB51" i="9"/>
  <c r="BJ51" i="9"/>
  <c r="G33" i="9"/>
  <c r="G593" i="1"/>
  <c r="W33" i="9"/>
  <c r="W593" i="1"/>
  <c r="AE33" i="9"/>
  <c r="AE593" i="1"/>
  <c r="AM33" i="9"/>
  <c r="AM593" i="1"/>
  <c r="AU33" i="9"/>
  <c r="AU593" i="1"/>
  <c r="BC33" i="9"/>
  <c r="BC593" i="1"/>
  <c r="BK33" i="9"/>
  <c r="BK593" i="1"/>
  <c r="BS33" i="9"/>
  <c r="BS593" i="1"/>
  <c r="BS594" i="1" s="1"/>
  <c r="BT38" i="9"/>
  <c r="BX518" i="1"/>
  <c r="BX38" i="9" s="1"/>
  <c r="BT547" i="1"/>
  <c r="BR547" i="1"/>
  <c r="Q547" i="1"/>
  <c r="AC547" i="1"/>
  <c r="BE547" i="1"/>
  <c r="S560" i="1"/>
  <c r="AE560" i="1"/>
  <c r="U580" i="1"/>
  <c r="U560" i="1"/>
  <c r="BP580" i="1"/>
  <c r="BP581" i="1" s="1"/>
  <c r="BP582" i="1" s="1"/>
  <c r="BP583" i="1" s="1"/>
  <c r="A866" i="1"/>
  <c r="H65" i="9"/>
  <c r="H804" i="1"/>
  <c r="P65" i="9"/>
  <c r="P811" i="1"/>
  <c r="P804" i="1"/>
  <c r="X65" i="9"/>
  <c r="X804" i="1"/>
  <c r="AF65" i="9"/>
  <c r="AF804" i="1"/>
  <c r="AN65" i="9"/>
  <c r="AN804" i="1"/>
  <c r="AV65" i="9"/>
  <c r="AV804" i="1"/>
  <c r="BD65" i="9"/>
  <c r="BD811" i="1"/>
  <c r="BD804" i="1"/>
  <c r="BL65" i="9"/>
  <c r="BL804" i="1"/>
  <c r="BT65" i="9"/>
  <c r="BT804" i="1"/>
  <c r="D581" i="1"/>
  <c r="D582" i="1" s="1"/>
  <c r="D583" i="1" s="1"/>
  <c r="BK591" i="1"/>
  <c r="E52" i="9"/>
  <c r="M52" i="9"/>
  <c r="U52" i="9"/>
  <c r="AC52" i="9"/>
  <c r="AK52" i="9"/>
  <c r="BA52" i="9"/>
  <c r="BI52" i="9"/>
  <c r="BQ52" i="9"/>
  <c r="C53" i="9"/>
  <c r="K53" i="9"/>
  <c r="S53" i="9"/>
  <c r="AA53" i="9"/>
  <c r="AQ53" i="9"/>
  <c r="AY53" i="9"/>
  <c r="BG53" i="9"/>
  <c r="BO53" i="9"/>
  <c r="I50" i="9"/>
  <c r="Q50" i="9"/>
  <c r="AG50" i="9"/>
  <c r="AO50" i="9"/>
  <c r="AW50" i="9"/>
  <c r="BE50" i="9"/>
  <c r="G51" i="9"/>
  <c r="W51" i="9"/>
  <c r="AE51" i="9"/>
  <c r="H33" i="9"/>
  <c r="H593" i="1"/>
  <c r="P33" i="9"/>
  <c r="P593" i="1"/>
  <c r="X33" i="9"/>
  <c r="X593" i="1"/>
  <c r="AF33" i="9"/>
  <c r="AF593" i="1"/>
  <c r="AV33" i="9"/>
  <c r="AV593" i="1"/>
  <c r="BD33" i="9"/>
  <c r="BD593" i="1"/>
  <c r="BD594" i="1" s="1"/>
  <c r="BL33" i="9"/>
  <c r="BL593" i="1"/>
  <c r="BT33" i="9"/>
  <c r="BT593" i="1"/>
  <c r="R547" i="1"/>
  <c r="U58" i="9"/>
  <c r="U60" i="9" s="1"/>
  <c r="U576" i="1"/>
  <c r="U577" i="1" s="1"/>
  <c r="U578" i="1" s="1"/>
  <c r="U579" i="1" s="1"/>
  <c r="AY58" i="9"/>
  <c r="AY60" i="9" s="1"/>
  <c r="AY576" i="1"/>
  <c r="AY577" i="1" s="1"/>
  <c r="AY578" i="1" s="1"/>
  <c r="AY579" i="1" s="1"/>
  <c r="BQ580" i="1"/>
  <c r="BQ581" i="1" s="1"/>
  <c r="BQ582" i="1" s="1"/>
  <c r="BQ583" i="1" s="1"/>
  <c r="BQ560" i="1"/>
  <c r="S562" i="1"/>
  <c r="AC562" i="1"/>
  <c r="AY562" i="1"/>
  <c r="BA563" i="1"/>
  <c r="I65" i="9"/>
  <c r="I804" i="1"/>
  <c r="Q65" i="9"/>
  <c r="Q804" i="1"/>
  <c r="Y65" i="9"/>
  <c r="Y804" i="1"/>
  <c r="AG65" i="9"/>
  <c r="AG804" i="1"/>
  <c r="AO65" i="9"/>
  <c r="AO811" i="1"/>
  <c r="AO804" i="1"/>
  <c r="AW65" i="9"/>
  <c r="AW804" i="1"/>
  <c r="BE65" i="9"/>
  <c r="BE804" i="1"/>
  <c r="BM65" i="9"/>
  <c r="BM804" i="1"/>
  <c r="BX65" i="9"/>
  <c r="AR580" i="1"/>
  <c r="AR581" i="1" s="1"/>
  <c r="AR582" i="1" s="1"/>
  <c r="AR583" i="1" s="1"/>
  <c r="F8" i="9"/>
  <c r="F796" i="1"/>
  <c r="F586" i="1"/>
  <c r="F7" i="9" s="1"/>
  <c r="F596" i="1"/>
  <c r="N8" i="9"/>
  <c r="N796" i="1"/>
  <c r="V8" i="9"/>
  <c r="V796" i="1"/>
  <c r="V586" i="1"/>
  <c r="V7" i="9" s="1"/>
  <c r="Z596" i="1"/>
  <c r="AD8" i="9"/>
  <c r="AD796" i="1"/>
  <c r="AL8" i="9"/>
  <c r="AL796" i="1"/>
  <c r="AL586" i="1"/>
  <c r="AL7" i="9" s="1"/>
  <c r="AT8" i="9"/>
  <c r="AT796" i="1"/>
  <c r="AT586" i="1"/>
  <c r="AT7" i="9" s="1"/>
  <c r="AT591" i="1"/>
  <c r="BB8" i="9"/>
  <c r="BB796" i="1"/>
  <c r="BB591" i="1"/>
  <c r="BB586" i="1"/>
  <c r="BB7" i="9" s="1"/>
  <c r="BJ8" i="9"/>
  <c r="BJ796" i="1"/>
  <c r="BJ586" i="1"/>
  <c r="BJ7" i="9" s="1"/>
  <c r="BR8" i="9"/>
  <c r="BR796" i="1"/>
  <c r="D8" i="9"/>
  <c r="D796" i="1"/>
  <c r="L8" i="9"/>
  <c r="L796" i="1"/>
  <c r="P596" i="1"/>
  <c r="T8" i="9"/>
  <c r="T796" i="1"/>
  <c r="AB8" i="9"/>
  <c r="AB796" i="1"/>
  <c r="AJ8" i="9"/>
  <c r="AJ796" i="1"/>
  <c r="AR8" i="9"/>
  <c r="AR796" i="1"/>
  <c r="AZ8" i="9"/>
  <c r="AZ796" i="1"/>
  <c r="BH8" i="9"/>
  <c r="BH796" i="1"/>
  <c r="BP8" i="9"/>
  <c r="BP796" i="1"/>
  <c r="U596" i="1"/>
  <c r="AT608" i="1"/>
  <c r="AO671" i="1"/>
  <c r="O695" i="1"/>
  <c r="BD807" i="1"/>
  <c r="AZ697" i="1"/>
  <c r="L586" i="1"/>
  <c r="E8" i="9"/>
  <c r="E796" i="1"/>
  <c r="E586" i="1"/>
  <c r="M8" i="9"/>
  <c r="M796" i="1"/>
  <c r="M586" i="1"/>
  <c r="U8" i="9"/>
  <c r="U796" i="1"/>
  <c r="U586" i="1"/>
  <c r="AC8" i="9"/>
  <c r="AC796" i="1"/>
  <c r="AC586" i="1"/>
  <c r="AK8" i="9"/>
  <c r="AK796" i="1"/>
  <c r="AK586" i="1"/>
  <c r="AS8" i="9"/>
  <c r="AS796" i="1"/>
  <c r="AS586" i="1"/>
  <c r="BA8" i="9"/>
  <c r="BA796" i="1"/>
  <c r="BA586" i="1"/>
  <c r="BI8" i="9"/>
  <c r="BI796" i="1"/>
  <c r="BQ8" i="9"/>
  <c r="BQ796" i="1"/>
  <c r="BQ586" i="1"/>
  <c r="BV589" i="1"/>
  <c r="D9" i="9"/>
  <c r="D797" i="1"/>
  <c r="L9" i="9"/>
  <c r="L797" i="1"/>
  <c r="T9" i="9"/>
  <c r="T797" i="1"/>
  <c r="AB9" i="9"/>
  <c r="AB797" i="1"/>
  <c r="AJ9" i="9"/>
  <c r="AJ797" i="1"/>
  <c r="AR9" i="9"/>
  <c r="AR797" i="1"/>
  <c r="AZ9" i="9"/>
  <c r="AZ797" i="1"/>
  <c r="BH9" i="9"/>
  <c r="BH797" i="1"/>
  <c r="BP9" i="9"/>
  <c r="BP797" i="1"/>
  <c r="AJ591" i="1"/>
  <c r="D596" i="1"/>
  <c r="AM671" i="1"/>
  <c r="AW671" i="1"/>
  <c r="BS671" i="1"/>
  <c r="V671" i="1"/>
  <c r="AI695" i="1"/>
  <c r="W96" i="9"/>
  <c r="W81" i="9"/>
  <c r="AE596" i="1"/>
  <c r="E596" i="1"/>
  <c r="AE608" i="1"/>
  <c r="BS608" i="1"/>
  <c r="AE671" i="1"/>
  <c r="AE807" i="1"/>
  <c r="AA697" i="1"/>
  <c r="AB586" i="1"/>
  <c r="AB7" i="9" s="1"/>
  <c r="G8" i="9"/>
  <c r="G796" i="1"/>
  <c r="O8" i="9"/>
  <c r="O796" i="1"/>
  <c r="W8" i="9"/>
  <c r="W796" i="1"/>
  <c r="AE8" i="9"/>
  <c r="AE796" i="1"/>
  <c r="AM8" i="9"/>
  <c r="AM796" i="1"/>
  <c r="AU8" i="9"/>
  <c r="AU796" i="1"/>
  <c r="BC8" i="9"/>
  <c r="BC796" i="1"/>
  <c r="BK8" i="9"/>
  <c r="BK796" i="1"/>
  <c r="BS8" i="9"/>
  <c r="BS796" i="1"/>
  <c r="F9" i="9"/>
  <c r="F797" i="1"/>
  <c r="N9" i="9"/>
  <c r="N797" i="1"/>
  <c r="V9" i="9"/>
  <c r="V797" i="1"/>
  <c r="AD9" i="9"/>
  <c r="AD797" i="1"/>
  <c r="AL9" i="9"/>
  <c r="AL797" i="1"/>
  <c r="AT9" i="9"/>
  <c r="AT797" i="1"/>
  <c r="BB9" i="9"/>
  <c r="BB797" i="1"/>
  <c r="BJ9" i="9"/>
  <c r="BJ797" i="1"/>
  <c r="BR9" i="9"/>
  <c r="BR797" i="1"/>
  <c r="AL591" i="1"/>
  <c r="AZ591" i="1"/>
  <c r="AS695" i="1"/>
  <c r="D586" i="1"/>
  <c r="D7" i="9" s="1"/>
  <c r="BC586" i="1"/>
  <c r="BC7" i="9" s="1"/>
  <c r="BP586" i="1"/>
  <c r="BP7" i="9" s="1"/>
  <c r="G9" i="9"/>
  <c r="G797" i="1"/>
  <c r="O9" i="9"/>
  <c r="O797" i="1"/>
  <c r="W9" i="9"/>
  <c r="W797" i="1"/>
  <c r="AE9" i="9"/>
  <c r="AE797" i="1"/>
  <c r="AM9" i="9"/>
  <c r="AM797" i="1"/>
  <c r="AU9" i="9"/>
  <c r="AU797" i="1"/>
  <c r="BC9" i="9"/>
  <c r="BC797" i="1"/>
  <c r="BK9" i="9"/>
  <c r="BK797" i="1"/>
  <c r="BS9" i="9"/>
  <c r="BS797" i="1"/>
  <c r="N591" i="1"/>
  <c r="AB591" i="1"/>
  <c r="AM591" i="1"/>
  <c r="W671" i="1"/>
  <c r="BK671" i="1"/>
  <c r="BM671" i="1"/>
  <c r="BC695" i="1"/>
  <c r="AR586" i="1"/>
  <c r="AR7" i="9" s="1"/>
  <c r="H9" i="9"/>
  <c r="H797" i="1"/>
  <c r="H591" i="1"/>
  <c r="P9" i="9"/>
  <c r="P797" i="1"/>
  <c r="P591" i="1"/>
  <c r="X9" i="9"/>
  <c r="X797" i="1"/>
  <c r="X591" i="1"/>
  <c r="AF9" i="9"/>
  <c r="AF797" i="1"/>
  <c r="AF591" i="1"/>
  <c r="AN9" i="9"/>
  <c r="AN797" i="1"/>
  <c r="AN591" i="1"/>
  <c r="AV9" i="9"/>
  <c r="AV797" i="1"/>
  <c r="AV591" i="1"/>
  <c r="BD9" i="9"/>
  <c r="BD797" i="1"/>
  <c r="BD591" i="1"/>
  <c r="BL9" i="9"/>
  <c r="BL797" i="1"/>
  <c r="BL591" i="1"/>
  <c r="BT9" i="9"/>
  <c r="BT797" i="1"/>
  <c r="BT591" i="1"/>
  <c r="D591" i="1"/>
  <c r="BP591" i="1"/>
  <c r="U608" i="1"/>
  <c r="BL671" i="1"/>
  <c r="AY807" i="1"/>
  <c r="AU697" i="1"/>
  <c r="AX547" i="1"/>
  <c r="AE83" i="9"/>
  <c r="AE62" i="9"/>
  <c r="AZ111" i="9"/>
  <c r="AU72" i="9"/>
  <c r="AU62" i="9"/>
  <c r="BS72" i="9"/>
  <c r="BS117" i="9" s="1"/>
  <c r="BS62" i="9"/>
  <c r="S580" i="1"/>
  <c r="S581" i="1" s="1"/>
  <c r="S582" i="1" s="1"/>
  <c r="S583" i="1" s="1"/>
  <c r="AQ580" i="1"/>
  <c r="AQ581" i="1" s="1"/>
  <c r="AQ582" i="1" s="1"/>
  <c r="AQ583" i="1" s="1"/>
  <c r="AY580" i="1"/>
  <c r="D65" i="9"/>
  <c r="D804" i="1"/>
  <c r="L65" i="9"/>
  <c r="L804" i="1"/>
  <c r="T65" i="9"/>
  <c r="T804" i="1"/>
  <c r="AB65" i="9"/>
  <c r="AB804" i="1"/>
  <c r="AJ65" i="9"/>
  <c r="AJ804" i="1"/>
  <c r="AR65" i="9"/>
  <c r="AR804" i="1"/>
  <c r="AZ65" i="9"/>
  <c r="AZ804" i="1"/>
  <c r="BH65" i="9"/>
  <c r="BH804" i="1"/>
  <c r="BP65" i="9"/>
  <c r="BP804" i="1"/>
  <c r="G586" i="1"/>
  <c r="BS586" i="1"/>
  <c r="J8" i="9"/>
  <c r="J796" i="1"/>
  <c r="J586" i="1"/>
  <c r="J7" i="9" s="1"/>
  <c r="R8" i="9"/>
  <c r="R796" i="1"/>
  <c r="R586" i="1"/>
  <c r="R7" i="9" s="1"/>
  <c r="Z8" i="9"/>
  <c r="Z796" i="1"/>
  <c r="Z586" i="1"/>
  <c r="AH8" i="9"/>
  <c r="AH796" i="1"/>
  <c r="AH586" i="1"/>
  <c r="AP8" i="9"/>
  <c r="AP796" i="1"/>
  <c r="AP586" i="1"/>
  <c r="AX8" i="9"/>
  <c r="AX796" i="1"/>
  <c r="AX586" i="1"/>
  <c r="BF8" i="9"/>
  <c r="BF796" i="1"/>
  <c r="BF586" i="1"/>
  <c r="BF7" i="9" s="1"/>
  <c r="BN8" i="9"/>
  <c r="BN796" i="1"/>
  <c r="I9" i="9"/>
  <c r="I797" i="1"/>
  <c r="I591" i="1"/>
  <c r="Q9" i="9"/>
  <c r="Q797" i="1"/>
  <c r="Q591" i="1"/>
  <c r="Y9" i="9"/>
  <c r="Y797" i="1"/>
  <c r="AG9" i="9"/>
  <c r="AG797" i="1"/>
  <c r="AG591" i="1"/>
  <c r="AO9" i="9"/>
  <c r="AO797" i="1"/>
  <c r="AO591" i="1"/>
  <c r="AW9" i="9"/>
  <c r="AW797" i="1"/>
  <c r="AW591" i="1"/>
  <c r="BE9" i="9"/>
  <c r="BE797" i="1"/>
  <c r="BE591" i="1"/>
  <c r="BM9" i="9"/>
  <c r="BM797" i="1"/>
  <c r="BM591" i="1"/>
  <c r="BU590" i="1"/>
  <c r="R591" i="1"/>
  <c r="AR591" i="1"/>
  <c r="BC591" i="1"/>
  <c r="K596" i="1"/>
  <c r="BD671" i="1"/>
  <c r="V697" i="1"/>
  <c r="BO697" i="1"/>
  <c r="AZ547" i="1"/>
  <c r="E65" i="9"/>
  <c r="E804" i="1"/>
  <c r="M65" i="9"/>
  <c r="M804" i="1"/>
  <c r="U65" i="9"/>
  <c r="U811" i="1"/>
  <c r="U804" i="1"/>
  <c r="AC65" i="9"/>
  <c r="AC804" i="1"/>
  <c r="AK65" i="9"/>
  <c r="AK804" i="1"/>
  <c r="AS65" i="9"/>
  <c r="AS804" i="1"/>
  <c r="BA65" i="9"/>
  <c r="BA804" i="1"/>
  <c r="BI65" i="9"/>
  <c r="BI811" i="1"/>
  <c r="BI804" i="1"/>
  <c r="BQ65" i="9"/>
  <c r="BQ804" i="1"/>
  <c r="AU586" i="1"/>
  <c r="AU7" i="9" s="1"/>
  <c r="BH586" i="1"/>
  <c r="BH7" i="9" s="1"/>
  <c r="AI586" i="1"/>
  <c r="AI7" i="9" s="1"/>
  <c r="F591" i="1"/>
  <c r="AE591" i="1"/>
  <c r="D608" i="1"/>
  <c r="AU671" i="1"/>
  <c r="AI700" i="1"/>
  <c r="AI657" i="1"/>
  <c r="O803" i="1"/>
  <c r="BC803" i="1"/>
  <c r="O657" i="1"/>
  <c r="O712" i="1"/>
  <c r="O668" i="1"/>
  <c r="O671" i="1" s="1"/>
  <c r="BC712" i="1"/>
  <c r="BC668" i="1"/>
  <c r="AF695" i="1"/>
  <c r="AN695" i="1"/>
  <c r="AV695" i="1"/>
  <c r="AS709" i="1"/>
  <c r="BN809" i="1"/>
  <c r="D723" i="1"/>
  <c r="AZ723" i="1"/>
  <c r="E723" i="1"/>
  <c r="AX93" i="9"/>
  <c r="M93" i="9"/>
  <c r="M801" i="1"/>
  <c r="H8" i="9"/>
  <c r="H796" i="1"/>
  <c r="P8" i="9"/>
  <c r="P796" i="1"/>
  <c r="X8" i="9"/>
  <c r="X796" i="1"/>
  <c r="AF8" i="9"/>
  <c r="AF796" i="1"/>
  <c r="AN8" i="9"/>
  <c r="AN796" i="1"/>
  <c r="AV8" i="9"/>
  <c r="AV796" i="1"/>
  <c r="BD8" i="9"/>
  <c r="BD796" i="1"/>
  <c r="BL8" i="9"/>
  <c r="BL796" i="1"/>
  <c r="BT8" i="9"/>
  <c r="BT796" i="1"/>
  <c r="J9" i="9"/>
  <c r="J797" i="1"/>
  <c r="R9" i="9"/>
  <c r="R797" i="1"/>
  <c r="Z9" i="9"/>
  <c r="Z797" i="1"/>
  <c r="AH9" i="9"/>
  <c r="AH797" i="1"/>
  <c r="AP9" i="9"/>
  <c r="AP797" i="1"/>
  <c r="AX9" i="9"/>
  <c r="AX797" i="1"/>
  <c r="BF9" i="9"/>
  <c r="BF797" i="1"/>
  <c r="BN9" i="9"/>
  <c r="BN797" i="1"/>
  <c r="AN643" i="1"/>
  <c r="AN645" i="1" s="1"/>
  <c r="BM643" i="1"/>
  <c r="BM645" i="1" s="1"/>
  <c r="AN709" i="1"/>
  <c r="AS69" i="9"/>
  <c r="T803" i="1"/>
  <c r="BH803" i="1"/>
  <c r="Y657" i="1"/>
  <c r="AX657" i="1"/>
  <c r="BH720" i="1"/>
  <c r="P695" i="1"/>
  <c r="X695" i="1"/>
  <c r="AO809" i="1"/>
  <c r="BC709" i="1"/>
  <c r="E803" i="1"/>
  <c r="BA723" i="1"/>
  <c r="BS810" i="1"/>
  <c r="BO723" i="1"/>
  <c r="BQ723" i="1"/>
  <c r="Y93" i="9"/>
  <c r="AZ93" i="9"/>
  <c r="N93" i="9"/>
  <c r="P102" i="9"/>
  <c r="BD102" i="9"/>
  <c r="I8" i="9"/>
  <c r="I796" i="1"/>
  <c r="Q8" i="9"/>
  <c r="Q796" i="1"/>
  <c r="Y8" i="9"/>
  <c r="Y796" i="1"/>
  <c r="AG8" i="9"/>
  <c r="AG796" i="1"/>
  <c r="AO8" i="9"/>
  <c r="AO796" i="1"/>
  <c r="AW8" i="9"/>
  <c r="AW796" i="1"/>
  <c r="BE8" i="9"/>
  <c r="BE796" i="1"/>
  <c r="BM8" i="9"/>
  <c r="BM796" i="1"/>
  <c r="C9" i="9"/>
  <c r="C797" i="1"/>
  <c r="K9" i="9"/>
  <c r="K797" i="1"/>
  <c r="S9" i="9"/>
  <c r="S797" i="1"/>
  <c r="AA9" i="9"/>
  <c r="AA797" i="1"/>
  <c r="AI9" i="9"/>
  <c r="AI797" i="1"/>
  <c r="AQ9" i="9"/>
  <c r="AQ797" i="1"/>
  <c r="AY9" i="9"/>
  <c r="AY797" i="1"/>
  <c r="BG9" i="9"/>
  <c r="BG797" i="1"/>
  <c r="BO9" i="9"/>
  <c r="BO797" i="1"/>
  <c r="AX695" i="1"/>
  <c r="AS643" i="1"/>
  <c r="AS645" i="1" s="1"/>
  <c r="AX643" i="1"/>
  <c r="AX645" i="1" s="1"/>
  <c r="AX69" i="9"/>
  <c r="Y803" i="1"/>
  <c r="BM803" i="1"/>
  <c r="Y720" i="1"/>
  <c r="Z810" i="1" s="1"/>
  <c r="BM720" i="1"/>
  <c r="Y668" i="1"/>
  <c r="AX668" i="1"/>
  <c r="AX671" i="1" s="1"/>
  <c r="H695" i="1"/>
  <c r="BY752" i="1"/>
  <c r="BZ752" i="1" s="1"/>
  <c r="CA752" i="1" s="1"/>
  <c r="CB752" i="1" s="1"/>
  <c r="CC752" i="1" s="1"/>
  <c r="CD752" i="1" s="1"/>
  <c r="CE752" i="1" s="1"/>
  <c r="CF752" i="1" s="1"/>
  <c r="F695" i="1"/>
  <c r="BG695" i="1"/>
  <c r="T709" i="1"/>
  <c r="AG69" i="9"/>
  <c r="AG709" i="1"/>
  <c r="Z803" i="1"/>
  <c r="BP723" i="1"/>
  <c r="BS723" i="1"/>
  <c r="BS93" i="9"/>
  <c r="AT760" i="1"/>
  <c r="BW742" i="1"/>
  <c r="J93" i="9"/>
  <c r="AI93" i="9"/>
  <c r="BA760" i="1"/>
  <c r="BK93" i="9"/>
  <c r="BK801" i="1"/>
  <c r="AA93" i="9"/>
  <c r="AA94" i="9" s="1"/>
  <c r="AA801" i="1"/>
  <c r="AQ93" i="9"/>
  <c r="AQ801" i="1"/>
  <c r="U102" i="9"/>
  <c r="CE625" i="1"/>
  <c r="CE10" i="9" s="1"/>
  <c r="CF774" i="1"/>
  <c r="CF625" i="1" s="1"/>
  <c r="CF10" i="9" s="1"/>
  <c r="BJ10" i="9"/>
  <c r="BR10" i="9"/>
  <c r="BZ10" i="9"/>
  <c r="J695" i="1"/>
  <c r="J709" i="1"/>
  <c r="AX709" i="1"/>
  <c r="O69" i="9"/>
  <c r="BC69" i="9"/>
  <c r="AD803" i="1"/>
  <c r="BR803" i="1"/>
  <c r="J657" i="1"/>
  <c r="BQ657" i="1"/>
  <c r="AD720" i="1"/>
  <c r="BR720" i="1"/>
  <c r="BH668" i="1"/>
  <c r="BH671" i="1" s="1"/>
  <c r="BP671" i="1"/>
  <c r="BH681" i="1"/>
  <c r="G695" i="1"/>
  <c r="AD700" i="1"/>
  <c r="Y69" i="9"/>
  <c r="AY760" i="1"/>
  <c r="BB760" i="1"/>
  <c r="BL93" i="9"/>
  <c r="BL94" i="9" s="1"/>
  <c r="BL801" i="1"/>
  <c r="AU93" i="9"/>
  <c r="AU791" i="1"/>
  <c r="C8" i="9"/>
  <c r="C796" i="1"/>
  <c r="K8" i="9"/>
  <c r="K796" i="1"/>
  <c r="S8" i="9"/>
  <c r="S796" i="1"/>
  <c r="AA8" i="9"/>
  <c r="AA796" i="1"/>
  <c r="AI8" i="9"/>
  <c r="AI796" i="1"/>
  <c r="AQ8" i="9"/>
  <c r="AQ796" i="1"/>
  <c r="AY8" i="9"/>
  <c r="AY796" i="1"/>
  <c r="BG8" i="9"/>
  <c r="BG796" i="1"/>
  <c r="BO8" i="9"/>
  <c r="BO796" i="1"/>
  <c r="E9" i="9"/>
  <c r="E797" i="1"/>
  <c r="M9" i="9"/>
  <c r="M797" i="1"/>
  <c r="U9" i="9"/>
  <c r="U797" i="1"/>
  <c r="AC9" i="9"/>
  <c r="AC797" i="1"/>
  <c r="AK9" i="9"/>
  <c r="AK797" i="1"/>
  <c r="AS9" i="9"/>
  <c r="AS797" i="1"/>
  <c r="BA9" i="9"/>
  <c r="BA797" i="1"/>
  <c r="BI9" i="9"/>
  <c r="BI797" i="1"/>
  <c r="BQ9" i="9"/>
  <c r="BQ797" i="1"/>
  <c r="C591" i="1"/>
  <c r="K591" i="1"/>
  <c r="S591" i="1"/>
  <c r="AA591" i="1"/>
  <c r="AQ591" i="1"/>
  <c r="AY591" i="1"/>
  <c r="BG591" i="1"/>
  <c r="BO591" i="1"/>
  <c r="G10" i="9"/>
  <c r="O10" i="9"/>
  <c r="W10" i="9"/>
  <c r="AE10" i="9"/>
  <c r="AM10" i="9"/>
  <c r="AU10" i="9"/>
  <c r="BC10" i="9"/>
  <c r="BK10" i="9"/>
  <c r="BS10" i="9"/>
  <c r="CA10" i="9"/>
  <c r="BR657" i="1"/>
  <c r="AI720" i="1"/>
  <c r="J668" i="1"/>
  <c r="AI668" i="1"/>
  <c r="AR671" i="1"/>
  <c r="AZ671" i="1"/>
  <c r="BI671" i="1"/>
  <c r="BQ671" i="1"/>
  <c r="BR681" i="1"/>
  <c r="K695" i="1"/>
  <c r="AJ695" i="1"/>
  <c r="BI695" i="1"/>
  <c r="AO709" i="1"/>
  <c r="BS809" i="1"/>
  <c r="I69" i="9"/>
  <c r="I709" i="1"/>
  <c r="AK803" i="1"/>
  <c r="BD760" i="1"/>
  <c r="AK760" i="1"/>
  <c r="AS760" i="1"/>
  <c r="AR801" i="1" s="1"/>
  <c r="BC93" i="9"/>
  <c r="BC801" i="1"/>
  <c r="BM93" i="9"/>
  <c r="BM801" i="1"/>
  <c r="BM791" i="1"/>
  <c r="S93" i="9"/>
  <c r="AE93" i="9"/>
  <c r="AE801" i="1"/>
  <c r="AE791" i="1"/>
  <c r="BQ93" i="9"/>
  <c r="T643" i="1"/>
  <c r="T645" i="1" s="1"/>
  <c r="BM695" i="1"/>
  <c r="T657" i="1"/>
  <c r="BH657" i="1"/>
  <c r="AN803" i="1"/>
  <c r="AN712" i="1"/>
  <c r="AN668" i="1"/>
  <c r="AN671" i="1" s="1"/>
  <c r="AN674" i="1" s="1"/>
  <c r="T668" i="1"/>
  <c r="T671" i="1" s="1"/>
  <c r="AB671" i="1"/>
  <c r="AJ671" i="1"/>
  <c r="AJ674" i="1" s="1"/>
  <c r="AK673" i="1" s="1"/>
  <c r="AL673" i="1" s="1"/>
  <c r="AM673" i="1" s="1"/>
  <c r="AN673" i="1" s="1"/>
  <c r="AO673" i="1" s="1"/>
  <c r="AS668" i="1"/>
  <c r="BR668" i="1"/>
  <c r="BR671" i="1" s="1"/>
  <c r="T681" i="1"/>
  <c r="T695" i="1" s="1"/>
  <c r="L695" i="1"/>
  <c r="W695" i="1"/>
  <c r="Z807" i="1" s="1"/>
  <c r="AK695" i="1"/>
  <c r="BJ695" i="1"/>
  <c r="O709" i="1"/>
  <c r="P809" i="1" s="1"/>
  <c r="J69" i="9"/>
  <c r="BF803" i="1"/>
  <c r="AB723" i="1"/>
  <c r="BB723" i="1"/>
  <c r="AE723" i="1"/>
  <c r="AL93" i="9"/>
  <c r="AL801" i="1"/>
  <c r="BE93" i="9"/>
  <c r="BE801" i="1"/>
  <c r="BE791" i="1"/>
  <c r="BX744" i="1"/>
  <c r="BY745" i="1"/>
  <c r="BW749" i="1"/>
  <c r="Y695" i="1"/>
  <c r="J643" i="1"/>
  <c r="J645" i="1" s="1"/>
  <c r="AS803" i="1"/>
  <c r="BC657" i="1"/>
  <c r="AS720" i="1"/>
  <c r="D671" i="1"/>
  <c r="D674" i="1" s="1"/>
  <c r="E673" i="1" s="1"/>
  <c r="U671" i="1"/>
  <c r="AC671" i="1"/>
  <c r="AK671" i="1"/>
  <c r="AD681" i="1"/>
  <c r="AD695" i="1" s="1"/>
  <c r="BT695" i="1"/>
  <c r="M695" i="1"/>
  <c r="AL695" i="1"/>
  <c r="BK695" i="1"/>
  <c r="BD809" i="1"/>
  <c r="BH709" i="1"/>
  <c r="CC700" i="1"/>
  <c r="BY709" i="1"/>
  <c r="CC809" i="1" s="1"/>
  <c r="BQ803" i="1"/>
  <c r="T720" i="1"/>
  <c r="AC723" i="1"/>
  <c r="AT723" i="1"/>
  <c r="AC93" i="9"/>
  <c r="AM93" i="9"/>
  <c r="AM801" i="1"/>
  <c r="AV93" i="9"/>
  <c r="AV801" i="1"/>
  <c r="C93" i="9"/>
  <c r="C94" i="9" s="1"/>
  <c r="C801" i="1"/>
  <c r="BO93" i="9"/>
  <c r="BO801" i="1"/>
  <c r="AR93" i="9"/>
  <c r="AR94" i="9" s="1"/>
  <c r="BJ93" i="9"/>
  <c r="BJ801" i="1"/>
  <c r="AN102" i="9"/>
  <c r="AN777" i="1"/>
  <c r="BC643" i="1"/>
  <c r="BC645" i="1" s="1"/>
  <c r="J803" i="1"/>
  <c r="AX803" i="1"/>
  <c r="AN657" i="1"/>
  <c r="BM657" i="1"/>
  <c r="J720" i="1"/>
  <c r="AX720" i="1"/>
  <c r="E671" i="1"/>
  <c r="E674" i="1" s="1"/>
  <c r="F673" i="1" s="1"/>
  <c r="F674" i="1" s="1"/>
  <c r="G673" i="1" s="1"/>
  <c r="M671" i="1"/>
  <c r="AD668" i="1"/>
  <c r="AD671" i="1" s="1"/>
  <c r="BD695" i="1"/>
  <c r="BL695" i="1"/>
  <c r="C695" i="1"/>
  <c r="N695" i="1"/>
  <c r="AM695" i="1"/>
  <c r="U809" i="1"/>
  <c r="U723" i="1"/>
  <c r="AY723" i="1"/>
  <c r="AU723" i="1"/>
  <c r="AN93" i="9"/>
  <c r="AN801" i="1"/>
  <c r="AW93" i="9"/>
  <c r="AW801" i="1"/>
  <c r="AW791" i="1"/>
  <c r="BP93" i="9"/>
  <c r="BP801" i="1"/>
  <c r="W93" i="9"/>
  <c r="W801" i="1"/>
  <c r="U93" i="9"/>
  <c r="U801" i="1"/>
  <c r="BS102" i="9"/>
  <c r="BS777" i="1"/>
  <c r="BS789" i="1" s="1"/>
  <c r="BS791" i="1" s="1"/>
  <c r="AI88" i="9"/>
  <c r="T69" i="9"/>
  <c r="BH69" i="9"/>
  <c r="C803" i="1"/>
  <c r="K803" i="1"/>
  <c r="AB803" i="1"/>
  <c r="BA803" i="1"/>
  <c r="BJ803" i="1"/>
  <c r="BS803" i="1"/>
  <c r="X709" i="1"/>
  <c r="Z809" i="1" s="1"/>
  <c r="AW709" i="1"/>
  <c r="AY809" i="1" s="1"/>
  <c r="AR723" i="1"/>
  <c r="AD746" i="1"/>
  <c r="BF93" i="9"/>
  <c r="BF801" i="1"/>
  <c r="BF791" i="1"/>
  <c r="BT93" i="9"/>
  <c r="AJ93" i="9"/>
  <c r="AJ801" i="1"/>
  <c r="AB102" i="9"/>
  <c r="AB777" i="1"/>
  <c r="AB789" i="1" s="1"/>
  <c r="AB791" i="1" s="1"/>
  <c r="AU102" i="9"/>
  <c r="AU103" i="9" s="1"/>
  <c r="AU777" i="1"/>
  <c r="AU789" i="1" s="1"/>
  <c r="P88" i="9"/>
  <c r="BS88" i="9"/>
  <c r="BD88" i="9"/>
  <c r="BD89" i="9" s="1"/>
  <c r="C88" i="9"/>
  <c r="C89" i="9" s="1"/>
  <c r="C789" i="1"/>
  <c r="C791" i="1" s="1"/>
  <c r="K88" i="9"/>
  <c r="T88" i="9"/>
  <c r="BP88" i="9"/>
  <c r="BP89" i="9" s="1"/>
  <c r="BP789" i="1"/>
  <c r="BP791" i="1" s="1"/>
  <c r="AG791" i="1"/>
  <c r="E69" i="9"/>
  <c r="M69" i="9"/>
  <c r="U69" i="9"/>
  <c r="AC69" i="9"/>
  <c r="AK69" i="9"/>
  <c r="BA69" i="9"/>
  <c r="BI69" i="9"/>
  <c r="BQ69" i="9"/>
  <c r="D803" i="1"/>
  <c r="L803" i="1"/>
  <c r="U803" i="1"/>
  <c r="AC803" i="1"/>
  <c r="AL803" i="1"/>
  <c r="AT803" i="1"/>
  <c r="BB803" i="1"/>
  <c r="BK803" i="1"/>
  <c r="BT803" i="1"/>
  <c r="BE720" i="1"/>
  <c r="BX739" i="1"/>
  <c r="T746" i="1"/>
  <c r="O746" i="1"/>
  <c r="X93" i="9"/>
  <c r="X801" i="1"/>
  <c r="AH760" i="1"/>
  <c r="K759" i="1"/>
  <c r="K760" i="1" s="1"/>
  <c r="AY759" i="1"/>
  <c r="L93" i="9"/>
  <c r="L801" i="1"/>
  <c r="BI768" i="1"/>
  <c r="L102" i="9"/>
  <c r="L103" i="9" s="1"/>
  <c r="L777" i="1"/>
  <c r="T102" i="9"/>
  <c r="T103" i="9" s="1"/>
  <c r="T777" i="1"/>
  <c r="T789" i="1" s="1"/>
  <c r="AC102" i="9"/>
  <c r="AC777" i="1"/>
  <c r="AC789" i="1" s="1"/>
  <c r="AC791" i="1" s="1"/>
  <c r="AM102" i="9"/>
  <c r="AM777" i="1"/>
  <c r="AM789" i="1" s="1"/>
  <c r="AM791" i="1" s="1"/>
  <c r="AV103" i="9"/>
  <c r="BL777" i="1"/>
  <c r="BL789" i="1" s="1"/>
  <c r="BL791" i="1" s="1"/>
  <c r="U88" i="9"/>
  <c r="U89" i="9" s="1"/>
  <c r="D88" i="9"/>
  <c r="D789" i="1"/>
  <c r="D791" i="1" s="1"/>
  <c r="L88" i="9"/>
  <c r="L89" i="9" s="1"/>
  <c r="L789" i="1"/>
  <c r="L791" i="1" s="1"/>
  <c r="BG88" i="9"/>
  <c r="AJ10" i="9"/>
  <c r="AR10" i="9"/>
  <c r="AZ10" i="9"/>
  <c r="BH10" i="9"/>
  <c r="BP10" i="9"/>
  <c r="BX10" i="9"/>
  <c r="I695" i="1"/>
  <c r="Q695" i="1"/>
  <c r="AG695" i="1"/>
  <c r="AO695" i="1"/>
  <c r="AW695" i="1"/>
  <c r="BE695" i="1"/>
  <c r="BU751" i="1"/>
  <c r="F69" i="9"/>
  <c r="N69" i="9"/>
  <c r="V69" i="9"/>
  <c r="AL69" i="9"/>
  <c r="AT69" i="9"/>
  <c r="BB69" i="9"/>
  <c r="BJ69" i="9"/>
  <c r="M803" i="1"/>
  <c r="V803" i="1"/>
  <c r="AE803" i="1"/>
  <c r="AM803" i="1"/>
  <c r="BD803" i="1"/>
  <c r="BL803" i="1"/>
  <c r="CC702" i="1"/>
  <c r="AO720" i="1"/>
  <c r="AW720" i="1"/>
  <c r="BF720" i="1"/>
  <c r="BN720" i="1"/>
  <c r="BV786" i="1"/>
  <c r="BW786" i="1" s="1"/>
  <c r="BX786" i="1" s="1"/>
  <c r="BY786" i="1" s="1"/>
  <c r="BZ786" i="1" s="1"/>
  <c r="CA786" i="1" s="1"/>
  <c r="CB786" i="1" s="1"/>
  <c r="CC786" i="1" s="1"/>
  <c r="CD786" i="1" s="1"/>
  <c r="CE786" i="1" s="1"/>
  <c r="CF786" i="1" s="1"/>
  <c r="H93" i="9"/>
  <c r="P760" i="1"/>
  <c r="Y768" i="1"/>
  <c r="BN768" i="1"/>
  <c r="D102" i="9"/>
  <c r="D103" i="9" s="1"/>
  <c r="D777" i="1"/>
  <c r="M102" i="9"/>
  <c r="M777" i="1"/>
  <c r="M789" i="1" s="1"/>
  <c r="M791" i="1" s="1"/>
  <c r="AE102" i="9"/>
  <c r="AE103" i="9" s="1"/>
  <c r="AE777" i="1"/>
  <c r="AE789" i="1" s="1"/>
  <c r="P776" i="1"/>
  <c r="P777" i="1" s="1"/>
  <c r="P789" i="1" s="1"/>
  <c r="BD776" i="1"/>
  <c r="BD777" i="1" s="1"/>
  <c r="BD789" i="1" s="1"/>
  <c r="Y88" i="9"/>
  <c r="Y89" i="9" s="1"/>
  <c r="AN787" i="1"/>
  <c r="AY89" i="9"/>
  <c r="AG801" i="1"/>
  <c r="E10" i="9"/>
  <c r="M10" i="9"/>
  <c r="U10" i="9"/>
  <c r="AC10" i="9"/>
  <c r="AK10" i="9"/>
  <c r="AS10" i="9"/>
  <c r="BA10" i="9"/>
  <c r="BI10" i="9"/>
  <c r="BQ10" i="9"/>
  <c r="BY10" i="9"/>
  <c r="R695" i="1"/>
  <c r="Z695" i="1"/>
  <c r="AH695" i="1"/>
  <c r="AP695" i="1"/>
  <c r="BF695" i="1"/>
  <c r="BN695" i="1"/>
  <c r="R709" i="1"/>
  <c r="Z709" i="1"/>
  <c r="AH709" i="1"/>
  <c r="AP709" i="1"/>
  <c r="AT809" i="1" s="1"/>
  <c r="BF709" i="1"/>
  <c r="BN709" i="1"/>
  <c r="G69" i="9"/>
  <c r="W69" i="9"/>
  <c r="AE69" i="9"/>
  <c r="AM69" i="9"/>
  <c r="AU69" i="9"/>
  <c r="BK69" i="9"/>
  <c r="F803" i="1"/>
  <c r="N803" i="1"/>
  <c r="W803" i="1"/>
  <c r="AF803" i="1"/>
  <c r="AV803" i="1"/>
  <c r="BE803" i="1"/>
  <c r="AG720" i="1"/>
  <c r="AP720" i="1"/>
  <c r="BT720" i="1"/>
  <c r="BI742" i="1"/>
  <c r="BI746" i="1" s="1"/>
  <c r="I760" i="1"/>
  <c r="Q93" i="9"/>
  <c r="Q791" i="1"/>
  <c r="Z93" i="9"/>
  <c r="Z94" i="9" s="1"/>
  <c r="Z801" i="1"/>
  <c r="BU755" i="1"/>
  <c r="AB93" i="9"/>
  <c r="AB801" i="1"/>
  <c r="E102" i="9"/>
  <c r="E777" i="1"/>
  <c r="E789" i="1" s="1"/>
  <c r="E791" i="1" s="1"/>
  <c r="N102" i="9"/>
  <c r="N103" i="9" s="1"/>
  <c r="N777" i="1"/>
  <c r="V103" i="9"/>
  <c r="U776" i="1"/>
  <c r="U777" i="1" s="1"/>
  <c r="U789" i="1" s="1"/>
  <c r="U791" i="1" s="1"/>
  <c r="BI776" i="1"/>
  <c r="H777" i="1"/>
  <c r="H789" i="1" s="1"/>
  <c r="H791" i="1" s="1"/>
  <c r="BT777" i="1"/>
  <c r="BT789" i="1" s="1"/>
  <c r="BT791" i="1" s="1"/>
  <c r="AD88" i="9"/>
  <c r="AF89" i="9" s="1"/>
  <c r="AT88" i="9"/>
  <c r="AT89" i="9" s="1"/>
  <c r="BW781" i="1"/>
  <c r="AQ88" i="9"/>
  <c r="AS89" i="9" s="1"/>
  <c r="C709" i="1"/>
  <c r="K709" i="1"/>
  <c r="S709" i="1"/>
  <c r="S723" i="1" s="1"/>
  <c r="AA709" i="1"/>
  <c r="AA723" i="1" s="1"/>
  <c r="AQ709" i="1"/>
  <c r="AQ723" i="1" s="1"/>
  <c r="AY709" i="1"/>
  <c r="BD69" i="9"/>
  <c r="G803" i="1"/>
  <c r="P803" i="1"/>
  <c r="X803" i="1"/>
  <c r="AG803" i="1"/>
  <c r="AO803" i="1"/>
  <c r="AW803" i="1"/>
  <c r="BN803" i="1"/>
  <c r="Q720" i="1"/>
  <c r="AH720" i="1"/>
  <c r="BD720" i="1"/>
  <c r="BL720" i="1"/>
  <c r="BR746" i="1"/>
  <c r="R93" i="9"/>
  <c r="R801" i="1"/>
  <c r="R791" i="1"/>
  <c r="BN759" i="1"/>
  <c r="BN760" i="1" s="1"/>
  <c r="AN755" i="1"/>
  <c r="BV756" i="1"/>
  <c r="D93" i="9"/>
  <c r="D801" i="1"/>
  <c r="AI768" i="1"/>
  <c r="F102" i="9"/>
  <c r="F103" i="9" s="1"/>
  <c r="F777" i="1"/>
  <c r="F789" i="1" s="1"/>
  <c r="F791" i="1" s="1"/>
  <c r="O102" i="9"/>
  <c r="O103" i="9" s="1"/>
  <c r="O777" i="1"/>
  <c r="O789" i="1" s="1"/>
  <c r="W102" i="9"/>
  <c r="W777" i="1"/>
  <c r="BM69" i="9"/>
  <c r="BX69" i="9"/>
  <c r="H803" i="1"/>
  <c r="Q803" i="1"/>
  <c r="AH803" i="1"/>
  <c r="AP803" i="1"/>
  <c r="BG803" i="1"/>
  <c r="BO803" i="1"/>
  <c r="BX803" i="1"/>
  <c r="BE709" i="1"/>
  <c r="BI809" i="1" s="1"/>
  <c r="I720" i="1"/>
  <c r="R720" i="1"/>
  <c r="Z720" i="1"/>
  <c r="AV720" i="1"/>
  <c r="AO93" i="9"/>
  <c r="AO801" i="1"/>
  <c r="AO791" i="1"/>
  <c r="E93" i="9"/>
  <c r="E94" i="9" s="1"/>
  <c r="E801" i="1"/>
  <c r="G102" i="9"/>
  <c r="G777" i="1"/>
  <c r="G789" i="1" s="1"/>
  <c r="X103" i="9"/>
  <c r="AA88" i="9"/>
  <c r="AA89" i="9" s="1"/>
  <c r="AA789" i="1"/>
  <c r="AA791" i="1" s="1"/>
  <c r="AJ88" i="9"/>
  <c r="AJ89" i="9" s="1"/>
  <c r="I803" i="1"/>
  <c r="R803" i="1"/>
  <c r="AI803" i="1"/>
  <c r="AQ803" i="1"/>
  <c r="AY803" i="1"/>
  <c r="BP803" i="1"/>
  <c r="H709" i="1"/>
  <c r="K809" i="1" s="1"/>
  <c r="BT709" i="1"/>
  <c r="BX809" i="1" s="1"/>
  <c r="AP93" i="9"/>
  <c r="AP801" i="1"/>
  <c r="F93" i="9"/>
  <c r="F94" i="9" s="1"/>
  <c r="F801" i="1"/>
  <c r="BG93" i="9"/>
  <c r="AT102" i="9"/>
  <c r="AT103" i="9" s="1"/>
  <c r="AT777" i="1"/>
  <c r="AT789" i="1" s="1"/>
  <c r="AD102" i="9"/>
  <c r="AD777" i="1"/>
  <c r="AD789" i="1" s="1"/>
  <c r="AJ103" i="9"/>
  <c r="BK102" i="9"/>
  <c r="BK103" i="9" s="1"/>
  <c r="BK777" i="1"/>
  <c r="BK789" i="1" s="1"/>
  <c r="BK791" i="1" s="1"/>
  <c r="AB88" i="9"/>
  <c r="AC89" i="9" s="1"/>
  <c r="S803" i="1"/>
  <c r="AA803" i="1"/>
  <c r="AJ803" i="1"/>
  <c r="AR803" i="1"/>
  <c r="AZ803" i="1"/>
  <c r="BI803" i="1"/>
  <c r="BV744" i="1"/>
  <c r="AF93" i="9"/>
  <c r="AF791" i="1"/>
  <c r="G93" i="9"/>
  <c r="G801" i="1"/>
  <c r="G791" i="1"/>
  <c r="BH93" i="9"/>
  <c r="BH94" i="9" s="1"/>
  <c r="BH801" i="1"/>
  <c r="K102" i="9"/>
  <c r="K103" i="9" s="1"/>
  <c r="K777" i="1"/>
  <c r="K789" i="1" s="1"/>
  <c r="AY102" i="9"/>
  <c r="AY103" i="9" s="1"/>
  <c r="AY777" i="1"/>
  <c r="AY789" i="1" s="1"/>
  <c r="BC102" i="9"/>
  <c r="BC103" i="9" s="1"/>
  <c r="BC777" i="1"/>
  <c r="X777" i="1"/>
  <c r="BN88" i="9"/>
  <c r="AZ789" i="1"/>
  <c r="AZ791" i="1" s="1"/>
  <c r="AG103" i="9"/>
  <c r="AO103" i="9"/>
  <c r="AW103" i="9"/>
  <c r="BE103" i="9"/>
  <c r="BM103" i="9"/>
  <c r="E89" i="9"/>
  <c r="AK89" i="9"/>
  <c r="BJ88" i="9"/>
  <c r="BJ89" i="9" s="1"/>
  <c r="BJ789" i="1"/>
  <c r="BJ791" i="1" s="1"/>
  <c r="BR88" i="9"/>
  <c r="AF789" i="1"/>
  <c r="BS69" i="9"/>
  <c r="J103" i="9"/>
  <c r="Z103" i="9"/>
  <c r="AH103" i="9"/>
  <c r="AP103" i="9"/>
  <c r="AX103" i="9"/>
  <c r="C777" i="1"/>
  <c r="S777" i="1"/>
  <c r="S789" i="1" s="1"/>
  <c r="S791" i="1" s="1"/>
  <c r="AA777" i="1"/>
  <c r="AQ777" i="1"/>
  <c r="AQ789" i="1" s="1"/>
  <c r="AQ791" i="1" s="1"/>
  <c r="BG777" i="1"/>
  <c r="BG789" i="1" s="1"/>
  <c r="BG791" i="1" s="1"/>
  <c r="BO777" i="1"/>
  <c r="BO789" i="1" s="1"/>
  <c r="BO791" i="1" s="1"/>
  <c r="F88" i="9"/>
  <c r="F89" i="9" s="1"/>
  <c r="N88" i="9"/>
  <c r="O89" i="9" s="1"/>
  <c r="N789" i="1"/>
  <c r="N791" i="1" s="1"/>
  <c r="V88" i="9"/>
  <c r="V789" i="1"/>
  <c r="V791" i="1" s="1"/>
  <c r="AL88" i="9"/>
  <c r="AL89" i="9" s="1"/>
  <c r="BB88" i="9"/>
  <c r="BC89" i="9" s="1"/>
  <c r="W789" i="1"/>
  <c r="W791" i="1" s="1"/>
  <c r="AG789" i="1"/>
  <c r="AR789" i="1"/>
  <c r="AR791" i="1" s="1"/>
  <c r="BC789" i="1"/>
  <c r="BC791" i="1" s="1"/>
  <c r="BL69" i="9"/>
  <c r="BT69" i="9"/>
  <c r="AQ103" i="9"/>
  <c r="BO103" i="9"/>
  <c r="AJ777" i="1"/>
  <c r="AJ789" i="1" s="1"/>
  <c r="AJ791" i="1" s="1"/>
  <c r="AR777" i="1"/>
  <c r="AZ777" i="1"/>
  <c r="BH777" i="1"/>
  <c r="BH789" i="1" s="1"/>
  <c r="BH791" i="1" s="1"/>
  <c r="BP777" i="1"/>
  <c r="BI787" i="1"/>
  <c r="W89" i="9"/>
  <c r="AM89" i="9"/>
  <c r="X789" i="1"/>
  <c r="X791" i="1" s="1"/>
  <c r="AR103" i="9"/>
  <c r="AZ103" i="9"/>
  <c r="BP103" i="9"/>
  <c r="AK777" i="1"/>
  <c r="AK789" i="1" s="1"/>
  <c r="AS777" i="1"/>
  <c r="AS789" i="1" s="1"/>
  <c r="BA777" i="1"/>
  <c r="BA789" i="1" s="1"/>
  <c r="BQ777" i="1"/>
  <c r="BQ789" i="1" s="1"/>
  <c r="BQ791" i="1" s="1"/>
  <c r="X89" i="9"/>
  <c r="AV89" i="9"/>
  <c r="AS103" i="9"/>
  <c r="BA103" i="9"/>
  <c r="BQ103" i="9"/>
  <c r="V777" i="1"/>
  <c r="AL777" i="1"/>
  <c r="AL789" i="1" s="1"/>
  <c r="AL791" i="1" s="1"/>
  <c r="BB777" i="1"/>
  <c r="BB789" i="1" s="1"/>
  <c r="BJ777" i="1"/>
  <c r="BR777" i="1"/>
  <c r="BR789" i="1" s="1"/>
  <c r="Q89" i="9"/>
  <c r="AO89" i="9"/>
  <c r="AV789" i="1"/>
  <c r="AV791" i="1" s="1"/>
  <c r="BB103" i="9"/>
  <c r="BJ103" i="9"/>
  <c r="BR103" i="9"/>
  <c r="J88" i="9"/>
  <c r="J89" i="9" s="1"/>
  <c r="J789" i="1"/>
  <c r="J791" i="1" s="1"/>
  <c r="R88" i="9"/>
  <c r="R89" i="9" s="1"/>
  <c r="R789" i="1"/>
  <c r="Z88" i="9"/>
  <c r="Z89" i="9" s="1"/>
  <c r="Z789" i="1"/>
  <c r="Z791" i="1" s="1"/>
  <c r="AH88" i="9"/>
  <c r="AH789" i="1"/>
  <c r="AP88" i="9"/>
  <c r="AP789" i="1"/>
  <c r="AP791" i="1" s="1"/>
  <c r="AX88" i="9"/>
  <c r="AX89" i="9" s="1"/>
  <c r="AX789" i="1"/>
  <c r="AX791" i="1" s="1"/>
  <c r="BF88" i="9"/>
  <c r="BF89" i="9" s="1"/>
  <c r="BF789" i="1"/>
  <c r="Q789" i="1"/>
  <c r="BA89" i="9"/>
  <c r="AY858" i="11"/>
  <c r="AT812" i="11"/>
  <c r="AT816" i="11" s="1"/>
  <c r="AT818" i="11" s="1"/>
  <c r="AT792" i="11"/>
  <c r="AT794" i="11" s="1"/>
  <c r="BN450" i="11"/>
  <c r="AW89" i="9"/>
  <c r="BI39" i="11"/>
  <c r="BD95" i="11"/>
  <c r="AT185" i="11"/>
  <c r="BI449" i="11"/>
  <c r="BI450" i="11" s="1"/>
  <c r="AT652" i="11"/>
  <c r="AT632" i="11"/>
  <c r="BD653" i="11"/>
  <c r="BD658" i="11" s="1"/>
  <c r="BD632" i="11"/>
  <c r="AY736" i="11"/>
  <c r="AY743" i="11" s="1"/>
  <c r="AY716" i="11"/>
  <c r="AO716" i="11"/>
  <c r="BS17" i="11"/>
  <c r="AO175" i="11"/>
  <c r="AY185" i="11"/>
  <c r="AY301" i="11"/>
  <c r="AY303" i="11" s="1"/>
  <c r="AT390" i="11"/>
  <c r="AT402" i="11" s="1"/>
  <c r="BN449" i="11"/>
  <c r="AY632" i="11"/>
  <c r="BI81" i="11"/>
  <c r="BI83" i="11" s="1"/>
  <c r="AY153" i="11"/>
  <c r="AT210" i="11"/>
  <c r="BD301" i="11"/>
  <c r="BD303" i="11" s="1"/>
  <c r="AO414" i="11"/>
  <c r="AO426" i="11" s="1"/>
  <c r="BD426" i="11"/>
  <c r="BD450" i="11"/>
  <c r="BS474" i="11"/>
  <c r="BI716" i="11"/>
  <c r="BD743" i="11"/>
  <c r="BI792" i="11"/>
  <c r="BI794" i="11" s="1"/>
  <c r="BD858" i="11"/>
  <c r="BI857" i="11"/>
  <c r="BI858" i="11" s="1"/>
  <c r="BN857" i="11"/>
  <c r="BN858" i="11" s="1"/>
  <c r="BN72" i="11"/>
  <c r="BN83" i="11"/>
  <c r="BN81" i="11"/>
  <c r="BS81" i="11"/>
  <c r="BS83" i="11" s="1"/>
  <c r="BI131" i="11"/>
  <c r="BI301" i="11"/>
  <c r="BI303" i="11" s="1"/>
  <c r="BI474" i="11"/>
  <c r="BD567" i="11"/>
  <c r="BD574" i="11" s="1"/>
  <c r="BD540" i="11"/>
  <c r="BN574" i="11"/>
  <c r="BN632" i="11"/>
  <c r="AO812" i="11"/>
  <c r="AO816" i="11" s="1"/>
  <c r="AO818" i="11" s="1"/>
  <c r="BD83" i="11"/>
  <c r="AY186" i="11"/>
  <c r="BN301" i="11"/>
  <c r="BN303" i="11" s="1"/>
  <c r="AT438" i="11"/>
  <c r="AT450" i="11" s="1"/>
  <c r="AO474" i="11"/>
  <c r="BN474" i="11"/>
  <c r="BI574" i="11"/>
  <c r="BS574" i="11"/>
  <c r="AT658" i="11"/>
  <c r="BD186" i="11"/>
  <c r="AO186" i="11"/>
  <c r="BS301" i="11"/>
  <c r="BS303" i="11" s="1"/>
  <c r="BN402" i="11"/>
  <c r="BI632" i="11"/>
  <c r="BS858" i="11"/>
  <c r="AO857" i="11"/>
  <c r="AO858" i="11" s="1"/>
  <c r="C4" i="11"/>
  <c r="C3" i="11"/>
  <c r="AO76" i="11"/>
  <c r="AO83" i="11" s="1"/>
  <c r="BN164" i="11"/>
  <c r="BI181" i="11"/>
  <c r="BI186" i="11" s="1"/>
  <c r="BN181" i="11"/>
  <c r="BN186" i="11" s="1"/>
  <c r="BS181" i="11"/>
  <c r="BS186" i="11" s="1"/>
  <c r="AT186" i="11"/>
  <c r="AT301" i="11"/>
  <c r="AT303" i="11" s="1"/>
  <c r="BI426" i="11"/>
  <c r="BN658" i="11"/>
  <c r="AO632" i="11"/>
  <c r="AY658" i="11"/>
  <c r="AT716" i="11"/>
  <c r="AY792" i="11"/>
  <c r="AY794" i="11" s="1"/>
  <c r="AY812" i="11"/>
  <c r="AY816" i="11" s="1"/>
  <c r="AY818" i="11" s="1"/>
  <c r="BI540" i="11"/>
  <c r="BI651" i="11"/>
  <c r="BI658" i="11" s="1"/>
  <c r="BD792" i="11"/>
  <c r="BD794" i="11" s="1"/>
  <c r="BI812" i="11"/>
  <c r="BI816" i="11" s="1"/>
  <c r="BI818" i="11" s="1"/>
  <c r="AY574" i="11"/>
  <c r="BN816" i="11"/>
  <c r="BN818" i="11" s="1"/>
  <c r="AT857" i="11"/>
  <c r="AO540" i="11"/>
  <c r="BN716" i="11"/>
  <c r="AO743" i="11"/>
  <c r="BS816" i="11"/>
  <c r="BS818" i="11" s="1"/>
  <c r="AT743" i="11"/>
  <c r="AT858" i="11"/>
  <c r="AY857" i="11"/>
  <c r="BD812" i="11"/>
  <c r="BD816" i="11" s="1"/>
  <c r="BD818" i="11" s="1"/>
  <c r="BS857" i="11"/>
  <c r="BN93" i="9" l="1"/>
  <c r="BS801" i="1"/>
  <c r="H673" i="1"/>
  <c r="G674" i="1"/>
  <c r="BC420" i="1"/>
  <c r="BC394" i="1"/>
  <c r="K723" i="1"/>
  <c r="BM394" i="1"/>
  <c r="BM420" i="1"/>
  <c r="O394" i="1"/>
  <c r="O420" i="1"/>
  <c r="Y25" i="9"/>
  <c r="Y503" i="1"/>
  <c r="Y400" i="1"/>
  <c r="Y399" i="1"/>
  <c r="Y397" i="1"/>
  <c r="Y398" i="1"/>
  <c r="AX394" i="1"/>
  <c r="AX420" i="1"/>
  <c r="S103" i="9"/>
  <c r="BF103" i="9"/>
  <c r="BR89" i="9"/>
  <c r="BG94" i="9"/>
  <c r="AV723" i="1"/>
  <c r="W103" i="9"/>
  <c r="D94" i="9"/>
  <c r="AT807" i="1"/>
  <c r="AP697" i="1"/>
  <c r="AP559" i="1"/>
  <c r="AP492" i="1"/>
  <c r="AN88" i="9"/>
  <c r="AN89" i="9" s="1"/>
  <c r="AN789" i="1"/>
  <c r="AN791" i="1" s="1"/>
  <c r="M103" i="9"/>
  <c r="AG697" i="1"/>
  <c r="AG561" i="1" s="1"/>
  <c r="AG492" i="1"/>
  <c r="AG559" i="1"/>
  <c r="AH93" i="9"/>
  <c r="AH801" i="1"/>
  <c r="AH791" i="1"/>
  <c r="BI810" i="1"/>
  <c r="BE723" i="1"/>
  <c r="K89" i="9"/>
  <c r="P89" i="9"/>
  <c r="AD760" i="1"/>
  <c r="AD586" i="1"/>
  <c r="BP94" i="9"/>
  <c r="AY810" i="1"/>
  <c r="BJ94" i="9"/>
  <c r="M697" i="1"/>
  <c r="M559" i="1"/>
  <c r="M492" i="1"/>
  <c r="BZ745" i="1"/>
  <c r="BY744" i="1"/>
  <c r="AS671" i="1"/>
  <c r="BM94" i="9"/>
  <c r="K697" i="1"/>
  <c r="K561" i="1" s="1"/>
  <c r="K559" i="1"/>
  <c r="AA96" i="9"/>
  <c r="AA81" i="9"/>
  <c r="BA93" i="9"/>
  <c r="BA94" i="9" s="1"/>
  <c r="BA801" i="1"/>
  <c r="BA791" i="1"/>
  <c r="AT93" i="9"/>
  <c r="AT94" i="9" s="1"/>
  <c r="AT801" i="1"/>
  <c r="AT791" i="1"/>
  <c r="AZ801" i="1"/>
  <c r="AX94" i="9"/>
  <c r="BF591" i="1"/>
  <c r="BO561" i="1"/>
  <c r="Q96" i="9"/>
  <c r="Q81" i="9"/>
  <c r="AN96" i="9"/>
  <c r="AN81" i="9"/>
  <c r="BC697" i="1"/>
  <c r="BC561" i="1" s="1"/>
  <c r="BC559" i="1"/>
  <c r="BC492" i="1"/>
  <c r="BD492" i="1" s="1"/>
  <c r="AM96" i="9"/>
  <c r="AM81" i="9"/>
  <c r="AS697" i="1"/>
  <c r="AS561" i="1" s="1"/>
  <c r="AS559" i="1"/>
  <c r="AS492" i="1"/>
  <c r="AE808" i="1"/>
  <c r="AA561" i="1"/>
  <c r="AJ81" i="9"/>
  <c r="AJ96" i="9"/>
  <c r="AJ600" i="1"/>
  <c r="M7" i="9"/>
  <c r="M591" i="1"/>
  <c r="BJ591" i="1"/>
  <c r="AY83" i="9"/>
  <c r="AY80" i="9" s="1"/>
  <c r="AY62" i="9"/>
  <c r="AY72" i="9"/>
  <c r="AY117" i="9" s="1"/>
  <c r="AU591" i="1"/>
  <c r="BO72" i="9"/>
  <c r="BO62" i="9"/>
  <c r="L36" i="9"/>
  <c r="E597" i="1"/>
  <c r="E598" i="1" s="1"/>
  <c r="E594" i="1"/>
  <c r="F504" i="1"/>
  <c r="F512" i="1"/>
  <c r="F401" i="1"/>
  <c r="Q122" i="9"/>
  <c r="Q54" i="9"/>
  <c r="Q35" i="9"/>
  <c r="Q40" i="9" s="1"/>
  <c r="AW122" i="9"/>
  <c r="AW54" i="9"/>
  <c r="AW35" i="9"/>
  <c r="AW40" i="9" s="1"/>
  <c r="Q504" i="1"/>
  <c r="Q512" i="1"/>
  <c r="Q401" i="1"/>
  <c r="M36" i="9"/>
  <c r="BM108" i="9"/>
  <c r="BA108" i="9"/>
  <c r="AV30" i="9"/>
  <c r="L424" i="1"/>
  <c r="L422" i="1"/>
  <c r="BR420" i="1"/>
  <c r="BR394" i="1"/>
  <c r="W108" i="9"/>
  <c r="R30" i="9"/>
  <c r="BH50" i="9"/>
  <c r="AS498" i="1"/>
  <c r="AS10" i="1"/>
  <c r="AS9" i="1" s="1"/>
  <c r="AT9" i="1" s="1"/>
  <c r="BG108" i="9"/>
  <c r="BB30" i="9"/>
  <c r="U108" i="9"/>
  <c r="P30" i="9"/>
  <c r="AH30" i="9"/>
  <c r="AV108" i="9"/>
  <c r="AQ30" i="9"/>
  <c r="AI498" i="1"/>
  <c r="AI10" i="1"/>
  <c r="AP504" i="1"/>
  <c r="AP512" i="1"/>
  <c r="AP401" i="1"/>
  <c r="BO30" i="9"/>
  <c r="Z108" i="9"/>
  <c r="U30" i="9"/>
  <c r="O20" i="9"/>
  <c r="O13" i="1"/>
  <c r="BT53" i="1"/>
  <c r="BT17" i="1" s="1"/>
  <c r="C60" i="1"/>
  <c r="D218" i="1"/>
  <c r="AU89" i="9"/>
  <c r="BB89" i="9"/>
  <c r="S89" i="9"/>
  <c r="E104" i="9"/>
  <c r="BV755" i="1"/>
  <c r="BW756" i="1"/>
  <c r="AD89" i="9"/>
  <c r="AH697" i="1"/>
  <c r="AH561" i="1" s="1"/>
  <c r="AH559" i="1"/>
  <c r="AH492" i="1"/>
  <c r="U807" i="1"/>
  <c r="Q697" i="1"/>
  <c r="Q559" i="1"/>
  <c r="Q492" i="1"/>
  <c r="BG89" i="9"/>
  <c r="BD697" i="1"/>
  <c r="BD561" i="1" s="1"/>
  <c r="BD601" i="1" s="1"/>
  <c r="BD559" i="1"/>
  <c r="C104" i="9"/>
  <c r="BT697" i="1"/>
  <c r="BT559" i="1"/>
  <c r="BT492" i="1"/>
  <c r="AS723" i="1"/>
  <c r="AL94" i="9"/>
  <c r="BM697" i="1"/>
  <c r="BM561" i="1" s="1"/>
  <c r="BM559" i="1"/>
  <c r="BM492" i="1"/>
  <c r="AE94" i="9"/>
  <c r="BR695" i="1"/>
  <c r="S96" i="9"/>
  <c r="S81" i="9"/>
  <c r="AQ94" i="9"/>
  <c r="BD103" i="9"/>
  <c r="AZ94" i="9"/>
  <c r="X697" i="1"/>
  <c r="X559" i="1"/>
  <c r="X492" i="1"/>
  <c r="AE96" i="9"/>
  <c r="AE81" i="9"/>
  <c r="AE80" i="9"/>
  <c r="AE601" i="1"/>
  <c r="BC81" i="9"/>
  <c r="BC96" i="9"/>
  <c r="BE96" i="9"/>
  <c r="BE81" i="9"/>
  <c r="BP96" i="9"/>
  <c r="BP81" i="9"/>
  <c r="P96" i="9"/>
  <c r="P81" i="9"/>
  <c r="AB96" i="9"/>
  <c r="AB81" i="9"/>
  <c r="AZ96" i="9"/>
  <c r="AZ81" i="9"/>
  <c r="AM674" i="1"/>
  <c r="BA7" i="9"/>
  <c r="BA591" i="1"/>
  <c r="V591" i="1"/>
  <c r="BQ72" i="9"/>
  <c r="BQ62" i="9"/>
  <c r="D36" i="9"/>
  <c r="AZ73" i="9"/>
  <c r="AZ75" i="9" s="1"/>
  <c r="AZ64" i="9"/>
  <c r="AZ70" i="9" s="1"/>
  <c r="AZ126" i="9" s="1"/>
  <c r="AT581" i="1"/>
  <c r="AT582" i="1" s="1"/>
  <c r="AT583" i="1" s="1"/>
  <c r="V122" i="9"/>
  <c r="V35" i="9"/>
  <c r="V40" i="9" s="1"/>
  <c r="V54" i="9"/>
  <c r="AQ62" i="9"/>
  <c r="AQ72" i="9"/>
  <c r="K504" i="1"/>
  <c r="K512" i="1"/>
  <c r="K401" i="1"/>
  <c r="AC504" i="1"/>
  <c r="AC512" i="1"/>
  <c r="AC401" i="1"/>
  <c r="AZ422" i="1"/>
  <c r="AZ424" i="1"/>
  <c r="T20" i="9"/>
  <c r="T13" i="1"/>
  <c r="H512" i="1"/>
  <c r="H504" i="1"/>
  <c r="H401" i="1"/>
  <c r="J498" i="1"/>
  <c r="AF108" i="9"/>
  <c r="AA30" i="9"/>
  <c r="Z504" i="1"/>
  <c r="Z512" i="1"/>
  <c r="Z401" i="1"/>
  <c r="BC29" i="9"/>
  <c r="BC50" i="9" s="1"/>
  <c r="BC399" i="1"/>
  <c r="J20" i="9"/>
  <c r="J13" i="1"/>
  <c r="BQ504" i="1"/>
  <c r="BQ512" i="1"/>
  <c r="BQ401" i="1"/>
  <c r="J29" i="9"/>
  <c r="X512" i="1"/>
  <c r="X504" i="1"/>
  <c r="X401" i="1"/>
  <c r="AZ512" i="1"/>
  <c r="AZ401" i="1"/>
  <c r="AZ504" i="1"/>
  <c r="AN420" i="1"/>
  <c r="AN394" i="1"/>
  <c r="AU108" i="9"/>
  <c r="AP30" i="9"/>
  <c r="R422" i="1"/>
  <c r="R424" i="1"/>
  <c r="AD25" i="9"/>
  <c r="AD503" i="1"/>
  <c r="AF512" i="1"/>
  <c r="AF504" i="1"/>
  <c r="AF401" i="1"/>
  <c r="BG504" i="1"/>
  <c r="BG512" i="1"/>
  <c r="BG401" i="1"/>
  <c r="F2" i="9"/>
  <c r="F5" i="11"/>
  <c r="G5" i="1"/>
  <c r="K5" i="1"/>
  <c r="R723" i="1"/>
  <c r="Z104" i="9"/>
  <c r="AT810" i="1"/>
  <c r="AP723" i="1"/>
  <c r="Z697" i="1"/>
  <c r="Z561" i="1" s="1"/>
  <c r="Z559" i="1"/>
  <c r="I697" i="1"/>
  <c r="I561" i="1" s="1"/>
  <c r="I559" i="1"/>
  <c r="I492" i="1"/>
  <c r="BI102" i="9"/>
  <c r="BI103" i="9" s="1"/>
  <c r="BI777" i="1"/>
  <c r="U94" i="9"/>
  <c r="AC94" i="9"/>
  <c r="CC709" i="1"/>
  <c r="CC567" i="1"/>
  <c r="BN807" i="1"/>
  <c r="BJ697" i="1"/>
  <c r="BJ559" i="1"/>
  <c r="BJ492" i="1"/>
  <c r="K96" i="9"/>
  <c r="K81" i="9"/>
  <c r="K600" i="1"/>
  <c r="BB93" i="9"/>
  <c r="BC94" i="9" s="1"/>
  <c r="BB801" i="1"/>
  <c r="BB791" i="1"/>
  <c r="H697" i="1"/>
  <c r="H561" i="1" s="1"/>
  <c r="H559" i="1"/>
  <c r="H492" i="1"/>
  <c r="BC671" i="1"/>
  <c r="AI709" i="1"/>
  <c r="AJ809" i="1" s="1"/>
  <c r="AI567" i="1"/>
  <c r="V561" i="1"/>
  <c r="AR96" i="9"/>
  <c r="AR81" i="9"/>
  <c r="AG96" i="9"/>
  <c r="AG81" i="9"/>
  <c r="AH7" i="9"/>
  <c r="AH591" i="1"/>
  <c r="AZ112" i="9"/>
  <c r="AU73" i="9"/>
  <c r="AU75" i="9" s="1"/>
  <c r="AU64" i="9"/>
  <c r="AU70" i="9" s="1"/>
  <c r="AU126" i="9" s="1"/>
  <c r="BD96" i="9"/>
  <c r="BD97" i="9" s="1"/>
  <c r="BD98" i="9" s="1"/>
  <c r="BD81" i="9"/>
  <c r="N96" i="9"/>
  <c r="N81" i="9"/>
  <c r="AL96" i="9"/>
  <c r="AL81" i="9"/>
  <c r="AC7" i="9"/>
  <c r="AC591" i="1"/>
  <c r="U83" i="9"/>
  <c r="U72" i="9"/>
  <c r="U117" i="9" s="1"/>
  <c r="U62" i="9"/>
  <c r="AE581" i="1"/>
  <c r="AE582" i="1" s="1"/>
  <c r="AE583" i="1" s="1"/>
  <c r="AY111" i="9"/>
  <c r="AT83" i="9"/>
  <c r="AT80" i="9" s="1"/>
  <c r="AT72" i="9"/>
  <c r="AT117" i="9" s="1"/>
  <c r="AT62" i="9"/>
  <c r="BA72" i="9"/>
  <c r="BA62" i="9"/>
  <c r="Z597" i="1"/>
  <c r="Z598" i="1" s="1"/>
  <c r="Z594" i="1"/>
  <c r="BE512" i="1"/>
  <c r="BE504" i="1"/>
  <c r="BE401" i="1"/>
  <c r="I122" i="9"/>
  <c r="I54" i="9"/>
  <c r="I35" i="9"/>
  <c r="I40" i="9" s="1"/>
  <c r="BP62" i="9"/>
  <c r="BP72" i="9"/>
  <c r="BE36" i="9"/>
  <c r="N122" i="9"/>
  <c r="N54" i="9"/>
  <c r="N35" i="9"/>
  <c r="N40" i="9" s="1"/>
  <c r="AO122" i="9"/>
  <c r="AO54" i="9"/>
  <c r="AO35" i="9"/>
  <c r="U594" i="1"/>
  <c r="U597" i="1"/>
  <c r="U598" i="1" s="1"/>
  <c r="AH108" i="9"/>
  <c r="AC30" i="9"/>
  <c r="AD29" i="9"/>
  <c r="AD50" i="9" s="1"/>
  <c r="AD399" i="1"/>
  <c r="T394" i="1"/>
  <c r="T420" i="1"/>
  <c r="M108" i="9"/>
  <c r="H30" i="9"/>
  <c r="Y418" i="1"/>
  <c r="AX498" i="1"/>
  <c r="AX10" i="1"/>
  <c r="AX9" i="1" s="1"/>
  <c r="AJ512" i="1"/>
  <c r="AJ401" i="1"/>
  <c r="AJ504" i="1"/>
  <c r="AE108" i="9"/>
  <c r="Z30" i="9"/>
  <c r="BQ30" i="9"/>
  <c r="X108" i="9"/>
  <c r="S30" i="9"/>
  <c r="AC108" i="9"/>
  <c r="X30" i="9"/>
  <c r="BE108" i="9"/>
  <c r="AZ30" i="9"/>
  <c r="AK108" i="9"/>
  <c r="AF30" i="9"/>
  <c r="D108" i="9"/>
  <c r="C30" i="9"/>
  <c r="AD397" i="1"/>
  <c r="BI422" i="1"/>
  <c r="BI424" i="1"/>
  <c r="E424" i="1"/>
  <c r="E422" i="1"/>
  <c r="BQ422" i="1"/>
  <c r="BQ424" i="1"/>
  <c r="C870" i="1"/>
  <c r="C367" i="1"/>
  <c r="C374" i="1"/>
  <c r="C369" i="1"/>
  <c r="C376" i="1"/>
  <c r="C180" i="1"/>
  <c r="C379" i="1"/>
  <c r="C372" i="1"/>
  <c r="C384" i="1"/>
  <c r="C377" i="1"/>
  <c r="C370" i="1"/>
  <c r="C382" i="1"/>
  <c r="C368" i="1"/>
  <c r="C375" i="1"/>
  <c r="C378" i="1"/>
  <c r="C371" i="1"/>
  <c r="C200" i="1"/>
  <c r="C198" i="1"/>
  <c r="C181" i="1"/>
  <c r="C216" i="1" s="1"/>
  <c r="C383" i="1"/>
  <c r="C197" i="1"/>
  <c r="C201" i="1" s="1"/>
  <c r="C239" i="1" s="1"/>
  <c r="C182" i="1"/>
  <c r="C218" i="1" s="1"/>
  <c r="C78" i="1"/>
  <c r="C59" i="1"/>
  <c r="C61" i="1" s="1"/>
  <c r="C79" i="1"/>
  <c r="C76" i="1" s="1"/>
  <c r="C56" i="1"/>
  <c r="E3" i="11"/>
  <c r="E4" i="11"/>
  <c r="D215" i="1"/>
  <c r="D183" i="1"/>
  <c r="BQ89" i="9"/>
  <c r="AE89" i="9"/>
  <c r="AD103" i="9"/>
  <c r="F104" i="9"/>
  <c r="I723" i="1"/>
  <c r="AH723" i="1"/>
  <c r="AH799" i="1" s="1"/>
  <c r="E103" i="9"/>
  <c r="AG723" i="1"/>
  <c r="R697" i="1"/>
  <c r="R561" i="1" s="1"/>
  <c r="R492" i="1"/>
  <c r="R559" i="1"/>
  <c r="BN102" i="9"/>
  <c r="BN103" i="9" s="1"/>
  <c r="BN777" i="1"/>
  <c r="BN789" i="1" s="1"/>
  <c r="BN791" i="1" s="1"/>
  <c r="BF723" i="1"/>
  <c r="AW94" i="9"/>
  <c r="K810" i="1"/>
  <c r="AR104" i="9"/>
  <c r="AO807" i="1"/>
  <c r="AK697" i="1"/>
  <c r="AK492" i="1"/>
  <c r="AO492" i="1" s="1"/>
  <c r="AK559" i="1"/>
  <c r="T697" i="1"/>
  <c r="T561" i="1" s="1"/>
  <c r="T559" i="1"/>
  <c r="T492" i="1"/>
  <c r="BO96" i="9"/>
  <c r="BO81" i="9"/>
  <c r="C96" i="9"/>
  <c r="C97" i="9" s="1"/>
  <c r="C98" i="9" s="1"/>
  <c r="C81" i="9"/>
  <c r="C601" i="1"/>
  <c r="C606" i="1"/>
  <c r="C600" i="1"/>
  <c r="AY93" i="9"/>
  <c r="AY94" i="9" s="1"/>
  <c r="AY801" i="1"/>
  <c r="AY791" i="1"/>
  <c r="AI94" i="9"/>
  <c r="BS94" i="9"/>
  <c r="P103" i="9"/>
  <c r="P697" i="1"/>
  <c r="P559" i="1"/>
  <c r="AV697" i="1"/>
  <c r="AV561" i="1" s="1"/>
  <c r="AV559" i="1"/>
  <c r="AV492" i="1"/>
  <c r="BC720" i="1"/>
  <c r="BC572" i="1"/>
  <c r="BC68" i="9" s="1"/>
  <c r="F96" i="9"/>
  <c r="F81" i="9"/>
  <c r="F601" i="1"/>
  <c r="F600" i="1"/>
  <c r="I96" i="9"/>
  <c r="AY581" i="1"/>
  <c r="AY582" i="1" s="1"/>
  <c r="AY583" i="1" s="1"/>
  <c r="AU561" i="1"/>
  <c r="D96" i="9"/>
  <c r="D97" i="9" s="1"/>
  <c r="D81" i="9"/>
  <c r="D80" i="9"/>
  <c r="D600" i="1"/>
  <c r="D601" i="1"/>
  <c r="AF81" i="9"/>
  <c r="AF96" i="9"/>
  <c r="AI697" i="1"/>
  <c r="AI561" i="1" s="1"/>
  <c r="AI559" i="1"/>
  <c r="AI492" i="1"/>
  <c r="BV771" i="1"/>
  <c r="BW589" i="1"/>
  <c r="BW771" i="1" s="1"/>
  <c r="E7" i="9"/>
  <c r="E591" i="1"/>
  <c r="AZ561" i="1"/>
  <c r="AC72" i="9"/>
  <c r="AC62" i="9"/>
  <c r="J591" i="1"/>
  <c r="D597" i="1"/>
  <c r="D598" i="1" s="1"/>
  <c r="D594" i="1"/>
  <c r="BP36" i="9"/>
  <c r="C5" i="9"/>
  <c r="C6" i="9" s="1"/>
  <c r="C11" i="9" s="1"/>
  <c r="C605" i="1"/>
  <c r="AO512" i="1"/>
  <c r="AO504" i="1"/>
  <c r="AO401" i="1"/>
  <c r="BT52" i="9"/>
  <c r="AN498" i="1"/>
  <c r="AN10" i="1"/>
  <c r="BS25" i="9"/>
  <c r="BS503" i="1"/>
  <c r="BS400" i="1"/>
  <c r="BS399" i="1"/>
  <c r="BS398" i="1"/>
  <c r="BS397" i="1"/>
  <c r="T25" i="9"/>
  <c r="T503" i="1"/>
  <c r="T397" i="1"/>
  <c r="AS420" i="1"/>
  <c r="AS394" i="1"/>
  <c r="BP422" i="1"/>
  <c r="BP424" i="1"/>
  <c r="O498" i="1"/>
  <c r="AL504" i="1"/>
  <c r="AL512" i="1"/>
  <c r="AL401" i="1"/>
  <c r="AB424" i="1"/>
  <c r="AB422" i="1"/>
  <c r="AO108" i="9"/>
  <c r="AJ30" i="9"/>
  <c r="G512" i="1"/>
  <c r="G504" i="1"/>
  <c r="G401" i="1"/>
  <c r="O29" i="9"/>
  <c r="BI504" i="1"/>
  <c r="BI512" i="1"/>
  <c r="BI401" i="1"/>
  <c r="BE424" i="1"/>
  <c r="BE422" i="1"/>
  <c r="AQ504" i="1"/>
  <c r="AQ512" i="1"/>
  <c r="AQ401" i="1"/>
  <c r="E504" i="1"/>
  <c r="E512" i="1"/>
  <c r="E401" i="1"/>
  <c r="W512" i="1"/>
  <c r="W504" i="1"/>
  <c r="W401" i="1"/>
  <c r="BO504" i="1"/>
  <c r="BO512" i="1"/>
  <c r="BO401" i="1"/>
  <c r="BN504" i="1"/>
  <c r="BN512" i="1"/>
  <c r="BN401" i="1"/>
  <c r="AD52" i="9"/>
  <c r="BN424" i="1"/>
  <c r="BN422" i="1"/>
  <c r="BZ208" i="1"/>
  <c r="D76" i="1"/>
  <c r="AM697" i="1"/>
  <c r="AM559" i="1"/>
  <c r="AM492" i="1"/>
  <c r="AV94" i="9"/>
  <c r="W697" i="1"/>
  <c r="Z808" i="1" s="1"/>
  <c r="W559" i="1"/>
  <c r="W492" i="1"/>
  <c r="AS93" i="9"/>
  <c r="AS94" i="9" s="1"/>
  <c r="AS801" i="1"/>
  <c r="AS791" i="1"/>
  <c r="BG81" i="9"/>
  <c r="BG96" i="9"/>
  <c r="AD709" i="1"/>
  <c r="AD567" i="1"/>
  <c r="BG697" i="1"/>
  <c r="BG559" i="1"/>
  <c r="BG492" i="1"/>
  <c r="Y94" i="9"/>
  <c r="BA799" i="1"/>
  <c r="AL674" i="1"/>
  <c r="R96" i="9"/>
  <c r="R81" i="9"/>
  <c r="AW96" i="9"/>
  <c r="AW81" i="9"/>
  <c r="AX7" i="9"/>
  <c r="AX591" i="1"/>
  <c r="BT96" i="9"/>
  <c r="BT81" i="9"/>
  <c r="H96" i="9"/>
  <c r="BQ7" i="9"/>
  <c r="BQ591" i="1"/>
  <c r="AS7" i="9"/>
  <c r="AS591" i="1"/>
  <c r="BB96" i="9"/>
  <c r="BB81" i="9"/>
  <c r="P594" i="1"/>
  <c r="P597" i="1"/>
  <c r="P598" i="1" s="1"/>
  <c r="AA62" i="9"/>
  <c r="AA72" i="9"/>
  <c r="BS581" i="1"/>
  <c r="BS582" i="1" s="1"/>
  <c r="BS583" i="1" s="1"/>
  <c r="AR72" i="9"/>
  <c r="AR62" i="9"/>
  <c r="AZ36" i="9"/>
  <c r="AZ527" i="1"/>
  <c r="I512" i="1"/>
  <c r="I504" i="1"/>
  <c r="I401" i="1"/>
  <c r="F122" i="9"/>
  <c r="F54" i="9"/>
  <c r="F35" i="9"/>
  <c r="F40" i="9" s="1"/>
  <c r="I36" i="9"/>
  <c r="I527" i="1"/>
  <c r="BM122" i="9"/>
  <c r="BM54" i="9"/>
  <c r="BM35" i="9"/>
  <c r="BM40" i="9" s="1"/>
  <c r="AE512" i="1"/>
  <c r="AE504" i="1"/>
  <c r="AE401" i="1"/>
  <c r="BK25" i="9"/>
  <c r="BK503" i="1"/>
  <c r="BK400" i="1"/>
  <c r="BK399" i="1"/>
  <c r="BK398" i="1"/>
  <c r="BK397" i="1"/>
  <c r="AC36" i="9"/>
  <c r="AC527" i="1"/>
  <c r="AA420" i="1"/>
  <c r="AA394" i="1"/>
  <c r="BH394" i="1"/>
  <c r="BH420" i="1"/>
  <c r="AQ108" i="9"/>
  <c r="AL30" i="9"/>
  <c r="AT504" i="1"/>
  <c r="AT512" i="1"/>
  <c r="AT401" i="1"/>
  <c r="AA504" i="1"/>
  <c r="AA512" i="1"/>
  <c r="AA401" i="1"/>
  <c r="L108" i="9"/>
  <c r="G30" i="9"/>
  <c r="BN108" i="9"/>
  <c r="BI30" i="9"/>
  <c r="W424" i="1"/>
  <c r="W422" i="1"/>
  <c r="F108" i="9"/>
  <c r="E30" i="9"/>
  <c r="AB108" i="9"/>
  <c r="W30" i="9"/>
  <c r="BH28" i="9"/>
  <c r="BH53" i="9" s="1"/>
  <c r="BH398" i="1"/>
  <c r="AD418" i="1"/>
  <c r="BP512" i="1"/>
  <c r="BP401" i="1"/>
  <c r="BP504" i="1"/>
  <c r="AD400" i="1"/>
  <c r="AY30" i="9"/>
  <c r="BS108" i="9"/>
  <c r="BN30" i="9"/>
  <c r="O798" i="1"/>
  <c r="O9" i="1"/>
  <c r="O10" i="1" s="1"/>
  <c r="BW208" i="1"/>
  <c r="AC424" i="1"/>
  <c r="AC422" i="1"/>
  <c r="CE208" i="1"/>
  <c r="A2" i="1"/>
  <c r="A2" i="11" s="1"/>
  <c r="B911" i="1"/>
  <c r="B909" i="1"/>
  <c r="B4" i="1" s="1"/>
  <c r="AD798" i="1"/>
  <c r="D61" i="1"/>
  <c r="U810" i="1"/>
  <c r="Y102" i="9"/>
  <c r="Y777" i="1"/>
  <c r="Y789" i="1" s="1"/>
  <c r="Y791" i="1" s="1"/>
  <c r="Y586" i="1"/>
  <c r="AW723" i="1"/>
  <c r="BU753" i="1"/>
  <c r="BU759" i="1" s="1"/>
  <c r="BV751" i="1"/>
  <c r="O760" i="1"/>
  <c r="O586" i="1"/>
  <c r="BM89" i="9"/>
  <c r="AP89" i="9"/>
  <c r="AG89" i="9"/>
  <c r="BG103" i="9"/>
  <c r="V89" i="9"/>
  <c r="R103" i="9"/>
  <c r="Q103" i="9"/>
  <c r="BH89" i="9"/>
  <c r="BL103" i="9"/>
  <c r="BL104" i="9" s="1"/>
  <c r="AO94" i="9"/>
  <c r="AI102" i="9"/>
  <c r="AI777" i="1"/>
  <c r="AI789" i="1" s="1"/>
  <c r="AI791" i="1" s="1"/>
  <c r="BX781" i="1"/>
  <c r="P93" i="9"/>
  <c r="P94" i="9" s="1"/>
  <c r="P801" i="1"/>
  <c r="P791" i="1"/>
  <c r="BE697" i="1"/>
  <c r="BE559" i="1"/>
  <c r="BE492" i="1"/>
  <c r="D89" i="9"/>
  <c r="AC103" i="9"/>
  <c r="T760" i="1"/>
  <c r="T586" i="1"/>
  <c r="AI89" i="9"/>
  <c r="N697" i="1"/>
  <c r="N559" i="1"/>
  <c r="N492" i="1"/>
  <c r="AN103" i="9"/>
  <c r="AK674" i="1"/>
  <c r="Y697" i="1"/>
  <c r="Y561" i="1" s="1"/>
  <c r="Y559" i="1"/>
  <c r="Y492" i="1"/>
  <c r="P807" i="1"/>
  <c r="L697" i="1"/>
  <c r="L559" i="1"/>
  <c r="L492" i="1"/>
  <c r="AN720" i="1"/>
  <c r="AN572" i="1"/>
  <c r="AN68" i="9" s="1"/>
  <c r="AK93" i="9"/>
  <c r="AK94" i="9" s="1"/>
  <c r="AK801" i="1"/>
  <c r="AK791" i="1"/>
  <c r="AI671" i="1"/>
  <c r="AI674" i="1" s="1"/>
  <c r="AY96" i="9"/>
  <c r="AY81" i="9"/>
  <c r="AY601" i="1"/>
  <c r="AY600" i="1"/>
  <c r="AU801" i="1"/>
  <c r="BN810" i="1"/>
  <c r="G697" i="1"/>
  <c r="K807" i="1"/>
  <c r="G559" i="1"/>
  <c r="G492" i="1"/>
  <c r="J801" i="1"/>
  <c r="F697" i="1"/>
  <c r="F559" i="1"/>
  <c r="F492" i="1"/>
  <c r="Y671" i="1"/>
  <c r="AX697" i="1"/>
  <c r="AX561" i="1" s="1"/>
  <c r="AX559" i="1"/>
  <c r="AX492" i="1"/>
  <c r="AN697" i="1"/>
  <c r="AN561" i="1" s="1"/>
  <c r="AN559" i="1"/>
  <c r="AN492" i="1"/>
  <c r="O720" i="1"/>
  <c r="O572" i="1"/>
  <c r="O68" i="9" s="1"/>
  <c r="BU9" i="9"/>
  <c r="BU797" i="1"/>
  <c r="BU588" i="1"/>
  <c r="BU763" i="1" s="1"/>
  <c r="BU768" i="1" s="1"/>
  <c r="BV590" i="1"/>
  <c r="Z7" i="9"/>
  <c r="Z591" i="1"/>
  <c r="AV96" i="9"/>
  <c r="AV81" i="9"/>
  <c r="U7" i="9"/>
  <c r="U591" i="1"/>
  <c r="O697" i="1"/>
  <c r="O561" i="1" s="1"/>
  <c r="O559" i="1"/>
  <c r="O492" i="1"/>
  <c r="BH591" i="1"/>
  <c r="S62" i="9"/>
  <c r="S72" i="9"/>
  <c r="AJ597" i="1"/>
  <c r="AJ598" i="1" s="1"/>
  <c r="AJ594" i="1"/>
  <c r="BB72" i="9"/>
  <c r="BB62" i="9"/>
  <c r="AR36" i="9"/>
  <c r="BQ53" i="9"/>
  <c r="AC51" i="9"/>
  <c r="S51" i="9"/>
  <c r="AO36" i="9"/>
  <c r="AY51" i="9"/>
  <c r="Z50" i="9"/>
  <c r="AJ108" i="9"/>
  <c r="AE30" i="9"/>
  <c r="BM512" i="1"/>
  <c r="BM504" i="1"/>
  <c r="BM401" i="1"/>
  <c r="X51" i="9"/>
  <c r="BC25" i="9"/>
  <c r="BC503" i="1"/>
  <c r="BC400" i="1"/>
  <c r="BC398" i="1"/>
  <c r="BC397" i="1"/>
  <c r="BI36" i="9"/>
  <c r="AF51" i="9"/>
  <c r="AF53" i="9"/>
  <c r="H52" i="9"/>
  <c r="J394" i="1"/>
  <c r="J420" i="1"/>
  <c r="BL25" i="9"/>
  <c r="BL503" i="1"/>
  <c r="BL400" i="1"/>
  <c r="BL399" i="1"/>
  <c r="BL398" i="1"/>
  <c r="BL397" i="1"/>
  <c r="Q424" i="1"/>
  <c r="Q422" i="1"/>
  <c r="AK504" i="1"/>
  <c r="AK512" i="1"/>
  <c r="AK401" i="1"/>
  <c r="AY108" i="9"/>
  <c r="AT30" i="9"/>
  <c r="AG424" i="1"/>
  <c r="AG422" i="1"/>
  <c r="AR512" i="1"/>
  <c r="AR527" i="1" s="1"/>
  <c r="AR401" i="1"/>
  <c r="AR504" i="1"/>
  <c r="BA504" i="1"/>
  <c r="BA512" i="1"/>
  <c r="BA401" i="1"/>
  <c r="AW424" i="1"/>
  <c r="AW422" i="1"/>
  <c r="S504" i="1"/>
  <c r="S512" i="1"/>
  <c r="S401" i="1"/>
  <c r="BP30" i="9"/>
  <c r="AD51" i="9"/>
  <c r="C504" i="1"/>
  <c r="C512" i="1"/>
  <c r="C401" i="1"/>
  <c r="BF504" i="1"/>
  <c r="BF512" i="1"/>
  <c r="BF401" i="1"/>
  <c r="L512" i="1"/>
  <c r="L401" i="1"/>
  <c r="L504" i="1"/>
  <c r="AS798" i="1"/>
  <c r="M424" i="1"/>
  <c r="M422" i="1"/>
  <c r="T798" i="1"/>
  <c r="AM422" i="1"/>
  <c r="AM424" i="1"/>
  <c r="Z422" i="1"/>
  <c r="Z424" i="1"/>
  <c r="D890" i="1"/>
  <c r="D888" i="1"/>
  <c r="D886" i="1" s="1"/>
  <c r="D616" i="1" s="1"/>
  <c r="D876" i="1"/>
  <c r="D881" i="1"/>
  <c r="D879" i="1" s="1"/>
  <c r="D615" i="1" s="1"/>
  <c r="D874" i="1"/>
  <c r="D872" i="1" s="1"/>
  <c r="D614" i="1" s="1"/>
  <c r="D883" i="1"/>
  <c r="AK208" i="1"/>
  <c r="D4" i="11"/>
  <c r="D3" i="11"/>
  <c r="D201" i="1"/>
  <c r="D239" i="1" s="1"/>
  <c r="BE89" i="9"/>
  <c r="BT89" i="9"/>
  <c r="BI88" i="9"/>
  <c r="BI89" i="9" s="1"/>
  <c r="BI789" i="1"/>
  <c r="M89" i="9"/>
  <c r="AZ89" i="9"/>
  <c r="AB89" i="9"/>
  <c r="AP94" i="9"/>
  <c r="AF103" i="9"/>
  <c r="AB94" i="9"/>
  <c r="I93" i="9"/>
  <c r="L94" i="9" s="1"/>
  <c r="I801" i="1"/>
  <c r="I791" i="1"/>
  <c r="BN697" i="1"/>
  <c r="BN561" i="1" s="1"/>
  <c r="BN559" i="1"/>
  <c r="CC565" i="1"/>
  <c r="CC61" i="9" s="1"/>
  <c r="AW697" i="1"/>
  <c r="AW561" i="1" s="1"/>
  <c r="AW559" i="1"/>
  <c r="AW492" i="1"/>
  <c r="BX742" i="1"/>
  <c r="BY739" i="1"/>
  <c r="T89" i="9"/>
  <c r="BS89" i="9"/>
  <c r="BF94" i="9"/>
  <c r="AY799" i="1"/>
  <c r="C697" i="1"/>
  <c r="C561" i="1" s="1"/>
  <c r="C559" i="1"/>
  <c r="C492" i="1"/>
  <c r="J723" i="1"/>
  <c r="BO94" i="9"/>
  <c r="T723" i="1"/>
  <c r="BK697" i="1"/>
  <c r="BK559" i="1"/>
  <c r="BK492" i="1"/>
  <c r="BX749" i="1"/>
  <c r="BE94" i="9"/>
  <c r="BQ94" i="9"/>
  <c r="BD93" i="9"/>
  <c r="BD94" i="9" s="1"/>
  <c r="BD801" i="1"/>
  <c r="BD791" i="1"/>
  <c r="BI697" i="1"/>
  <c r="BI559" i="1"/>
  <c r="J671" i="1"/>
  <c r="AQ96" i="9"/>
  <c r="AQ81" i="9"/>
  <c r="U103" i="9"/>
  <c r="J94" i="9"/>
  <c r="J104" i="9" s="1"/>
  <c r="BM723" i="1"/>
  <c r="N94" i="9"/>
  <c r="AJ807" i="1"/>
  <c r="AF697" i="1"/>
  <c r="AF559" i="1"/>
  <c r="AF492" i="1"/>
  <c r="AJ492" i="1" s="1"/>
  <c r="BM96" i="9"/>
  <c r="BM81" i="9"/>
  <c r="BN586" i="1"/>
  <c r="BS7" i="9"/>
  <c r="BS591" i="1"/>
  <c r="BS73" i="9"/>
  <c r="BS75" i="9" s="1"/>
  <c r="BS64" i="9"/>
  <c r="BS70" i="9" s="1"/>
  <c r="BS126" i="9" s="1"/>
  <c r="AE73" i="9"/>
  <c r="AE75" i="9" s="1"/>
  <c r="AE64" i="9"/>
  <c r="AE70" i="9" s="1"/>
  <c r="AE126" i="9" s="1"/>
  <c r="X96" i="9"/>
  <c r="X81" i="9"/>
  <c r="L7" i="9"/>
  <c r="L591" i="1"/>
  <c r="U581" i="1"/>
  <c r="U582" i="1" s="1"/>
  <c r="U583" i="1" s="1"/>
  <c r="F594" i="1"/>
  <c r="F597" i="1"/>
  <c r="F598" i="1" s="1"/>
  <c r="E83" i="9"/>
  <c r="E72" i="9"/>
  <c r="E117" i="9" s="1"/>
  <c r="E62" i="9"/>
  <c r="E112" i="9" s="1"/>
  <c r="AJ36" i="9"/>
  <c r="AJ527" i="1"/>
  <c r="AB72" i="9"/>
  <c r="AB62" i="9"/>
  <c r="AG122" i="9"/>
  <c r="AG54" i="9"/>
  <c r="AG35" i="9"/>
  <c r="AG40" i="9" s="1"/>
  <c r="AL52" i="9"/>
  <c r="BE122" i="9"/>
  <c r="BE54" i="9"/>
  <c r="BE35" i="9"/>
  <c r="BE40" i="9" s="1"/>
  <c r="AA111" i="9"/>
  <c r="V72" i="9"/>
  <c r="V62" i="9"/>
  <c r="AW504" i="1"/>
  <c r="AW512" i="1"/>
  <c r="AW401" i="1"/>
  <c r="AU25" i="9"/>
  <c r="AU503" i="1"/>
  <c r="AU400" i="1"/>
  <c r="AU399" i="1"/>
  <c r="AU398" i="1"/>
  <c r="AU397" i="1"/>
  <c r="N504" i="1"/>
  <c r="N512" i="1"/>
  <c r="N401" i="1"/>
  <c r="AZ53" i="9"/>
  <c r="X53" i="9"/>
  <c r="P108" i="9"/>
  <c r="K30" i="9"/>
  <c r="BD25" i="9"/>
  <c r="BD108" i="9" s="1"/>
  <c r="BD503" i="1"/>
  <c r="BD400" i="1"/>
  <c r="BD399" i="1"/>
  <c r="BD398" i="1"/>
  <c r="BD397" i="1"/>
  <c r="AH208" i="1"/>
  <c r="AH19" i="1"/>
  <c r="AP108" i="9"/>
  <c r="AK30" i="9"/>
  <c r="AB512" i="1"/>
  <c r="AB401" i="1"/>
  <c r="AB504" i="1"/>
  <c r="BJ504" i="1"/>
  <c r="BJ512" i="1"/>
  <c r="BJ401" i="1"/>
  <c r="AW108" i="9"/>
  <c r="AR30" i="9"/>
  <c r="BF108" i="9"/>
  <c r="BA30" i="9"/>
  <c r="AX29" i="9"/>
  <c r="AX399" i="1"/>
  <c r="BD420" i="1"/>
  <c r="BD394" i="1"/>
  <c r="M504" i="1"/>
  <c r="M512" i="1"/>
  <c r="M401" i="1"/>
  <c r="D512" i="1"/>
  <c r="D401" i="1"/>
  <c r="D504" i="1"/>
  <c r="C385" i="1"/>
  <c r="BG30" i="9"/>
  <c r="BK108" i="9"/>
  <c r="BF30" i="9"/>
  <c r="Q108" i="9"/>
  <c r="L30" i="9"/>
  <c r="AX798" i="1"/>
  <c r="BH9" i="1"/>
  <c r="AI53" i="1"/>
  <c r="AI17" i="1" s="1"/>
  <c r="BR798" i="1"/>
  <c r="CB208" i="1"/>
  <c r="J53" i="1"/>
  <c r="J17" i="1" s="1"/>
  <c r="D75" i="1"/>
  <c r="D80" i="1"/>
  <c r="AH89" i="9"/>
  <c r="BL89" i="9"/>
  <c r="BK89" i="9"/>
  <c r="N89" i="9"/>
  <c r="BH104" i="9"/>
  <c r="BG801" i="1"/>
  <c r="AJ810" i="1"/>
  <c r="BR760" i="1"/>
  <c r="BR586" i="1"/>
  <c r="AE809" i="1"/>
  <c r="BI760" i="1"/>
  <c r="BI586" i="1"/>
  <c r="BF697" i="1"/>
  <c r="BF561" i="1" s="1"/>
  <c r="BF559" i="1"/>
  <c r="BF492" i="1"/>
  <c r="H801" i="1"/>
  <c r="AO697" i="1"/>
  <c r="AO561" i="1" s="1"/>
  <c r="AO559" i="1"/>
  <c r="K93" i="9"/>
  <c r="K94" i="9" s="1"/>
  <c r="K791" i="1"/>
  <c r="K801" i="1"/>
  <c r="AJ94" i="9"/>
  <c r="BL697" i="1"/>
  <c r="BL561" i="1" s="1"/>
  <c r="BL559" i="1"/>
  <c r="BL492" i="1"/>
  <c r="AL697" i="1"/>
  <c r="AL559" i="1"/>
  <c r="AL492" i="1"/>
  <c r="AD697" i="1"/>
  <c r="AD561" i="1" s="1"/>
  <c r="AD559" i="1"/>
  <c r="AD492" i="1"/>
  <c r="AE492" i="1" s="1"/>
  <c r="AE810" i="1"/>
  <c r="AJ697" i="1"/>
  <c r="AJ559" i="1"/>
  <c r="AI723" i="1"/>
  <c r="AI591" i="1"/>
  <c r="V723" i="1"/>
  <c r="BH695" i="1"/>
  <c r="BI807" i="1" s="1"/>
  <c r="J697" i="1"/>
  <c r="J561" i="1" s="1"/>
  <c r="J559" i="1"/>
  <c r="J492" i="1"/>
  <c r="BK94" i="9"/>
  <c r="Y723" i="1"/>
  <c r="AX801" i="1"/>
  <c r="AO96" i="9"/>
  <c r="AO97" i="9" s="1"/>
  <c r="AO98" i="9" s="1"/>
  <c r="AO81" i="9"/>
  <c r="AO600" i="1"/>
  <c r="AP7" i="9"/>
  <c r="AP591" i="1"/>
  <c r="G7" i="9"/>
  <c r="G591" i="1"/>
  <c r="BL96" i="9"/>
  <c r="BL81" i="9"/>
  <c r="AK7" i="9"/>
  <c r="AK591" i="1"/>
  <c r="AO674" i="1"/>
  <c r="AP673" i="1" s="1"/>
  <c r="AT96" i="9"/>
  <c r="AT97" i="9" s="1"/>
  <c r="AT98" i="9" s="1"/>
  <c r="AT81" i="9"/>
  <c r="AT601" i="1"/>
  <c r="AT600" i="1"/>
  <c r="BK96" i="9"/>
  <c r="BK81" i="9"/>
  <c r="AE597" i="1"/>
  <c r="AE598" i="1" s="1"/>
  <c r="AE594" i="1"/>
  <c r="D64" i="9"/>
  <c r="D70" i="9" s="1"/>
  <c r="D126" i="9" s="1"/>
  <c r="D73" i="9"/>
  <c r="D75" i="9" s="1"/>
  <c r="K597" i="1"/>
  <c r="K598" i="1" s="1"/>
  <c r="K594" i="1"/>
  <c r="E581" i="1"/>
  <c r="E582" i="1" s="1"/>
  <c r="E583" i="1" s="1"/>
  <c r="AB36" i="9"/>
  <c r="AB527" i="1"/>
  <c r="V504" i="1"/>
  <c r="V512" i="1"/>
  <c r="V401" i="1"/>
  <c r="AL108" i="9"/>
  <c r="AZ51" i="9"/>
  <c r="Z51" i="9"/>
  <c r="AG512" i="1"/>
  <c r="AG504" i="1"/>
  <c r="AG401" i="1"/>
  <c r="AM25" i="9"/>
  <c r="AM108" i="9" s="1"/>
  <c r="AM503" i="1"/>
  <c r="AM400" i="1"/>
  <c r="AM399" i="1"/>
  <c r="AM398" i="1"/>
  <c r="AM397" i="1"/>
  <c r="BT25" i="9"/>
  <c r="BT108" i="9" s="1"/>
  <c r="BT503" i="1"/>
  <c r="BT400" i="1"/>
  <c r="BT399" i="1"/>
  <c r="BT398" i="1"/>
  <c r="BT397" i="1"/>
  <c r="E51" i="9"/>
  <c r="BH503" i="1"/>
  <c r="AV512" i="1"/>
  <c r="AV504" i="1"/>
  <c r="AV401" i="1"/>
  <c r="AH422" i="1"/>
  <c r="AH424" i="1"/>
  <c r="BR29" i="9"/>
  <c r="BR50" i="9" s="1"/>
  <c r="BR399" i="1"/>
  <c r="I424" i="1"/>
  <c r="I422" i="1"/>
  <c r="R504" i="1"/>
  <c r="R512" i="1"/>
  <c r="R401" i="1"/>
  <c r="AY420" i="1"/>
  <c r="AY394" i="1"/>
  <c r="AG108" i="9"/>
  <c r="AB30" i="9"/>
  <c r="BO108" i="9"/>
  <c r="BJ30" i="9"/>
  <c r="AD398" i="1"/>
  <c r="BB504" i="1"/>
  <c r="BB512" i="1"/>
  <c r="BB401" i="1"/>
  <c r="P512" i="1"/>
  <c r="P504" i="1"/>
  <c r="P401" i="1"/>
  <c r="AH504" i="1"/>
  <c r="AH512" i="1"/>
  <c r="AH401" i="1"/>
  <c r="AO424" i="1"/>
  <c r="AO422" i="1"/>
  <c r="AP422" i="1"/>
  <c r="AP424" i="1"/>
  <c r="T28" i="9"/>
  <c r="T398" i="1"/>
  <c r="AI418" i="1"/>
  <c r="R108" i="9"/>
  <c r="M30" i="9"/>
  <c r="E108" i="9"/>
  <c r="D30" i="9"/>
  <c r="BR503" i="1"/>
  <c r="AY504" i="1"/>
  <c r="AY512" i="1"/>
  <c r="AY401" i="1"/>
  <c r="U504" i="1"/>
  <c r="U512" i="1"/>
  <c r="U401" i="1"/>
  <c r="BF422" i="1"/>
  <c r="BF424" i="1"/>
  <c r="J798" i="1"/>
  <c r="BX9" i="1"/>
  <c r="AE424" i="1"/>
  <c r="AE422" i="1"/>
  <c r="BV208" i="1"/>
  <c r="BV19" i="1"/>
  <c r="CD208" i="1"/>
  <c r="E1" i="9"/>
  <c r="E900" i="1"/>
  <c r="E3" i="1"/>
  <c r="F4" i="1"/>
  <c r="D83" i="1"/>
  <c r="D119" i="1"/>
  <c r="D58" i="1"/>
  <c r="E896" i="1"/>
  <c r="D896" i="1"/>
  <c r="J896" i="1"/>
  <c r="I896" i="1"/>
  <c r="H896" i="1"/>
  <c r="G896" i="1"/>
  <c r="C896" i="1"/>
  <c r="F896" i="1"/>
  <c r="Q896" i="1"/>
  <c r="O896" i="1"/>
  <c r="N896" i="1"/>
  <c r="M896" i="1"/>
  <c r="K896" i="1"/>
  <c r="L896" i="1"/>
  <c r="W896" i="1"/>
  <c r="U896" i="1"/>
  <c r="T896" i="1"/>
  <c r="S896" i="1"/>
  <c r="R896" i="1"/>
  <c r="P896" i="1"/>
  <c r="AB896" i="1"/>
  <c r="AA896" i="1"/>
  <c r="Y896" i="1"/>
  <c r="Z896" i="1"/>
  <c r="X896" i="1"/>
  <c r="V896" i="1"/>
  <c r="AH896" i="1"/>
  <c r="AF896" i="1"/>
  <c r="AG896" i="1"/>
  <c r="AE896" i="1"/>
  <c r="AD896" i="1"/>
  <c r="AC896" i="1"/>
  <c r="AN896" i="1"/>
  <c r="AM896" i="1"/>
  <c r="AL896" i="1"/>
  <c r="AK896" i="1"/>
  <c r="AJ896" i="1"/>
  <c r="AI896" i="1"/>
  <c r="AT896" i="1"/>
  <c r="AS896" i="1"/>
  <c r="AR896" i="1"/>
  <c r="AQ896" i="1"/>
  <c r="AP896" i="1"/>
  <c r="AO896" i="1"/>
  <c r="AZ896" i="1"/>
  <c r="AY896" i="1"/>
  <c r="AX896" i="1"/>
  <c r="AW896" i="1"/>
  <c r="AV896" i="1"/>
  <c r="AU896" i="1"/>
  <c r="BG896" i="1"/>
  <c r="BE896" i="1"/>
  <c r="BC896" i="1"/>
  <c r="BD896" i="1"/>
  <c r="BB896" i="1"/>
  <c r="BA896" i="1"/>
  <c r="BL896" i="1"/>
  <c r="BJ896" i="1"/>
  <c r="BK896" i="1"/>
  <c r="BI896" i="1"/>
  <c r="BH896" i="1"/>
  <c r="BF896" i="1"/>
  <c r="BQ896" i="1"/>
  <c r="BR896" i="1"/>
  <c r="BP896" i="1"/>
  <c r="BO896" i="1"/>
  <c r="BN896" i="1"/>
  <c r="BM896" i="1"/>
  <c r="BX896" i="1"/>
  <c r="BW896" i="1"/>
  <c r="BV896" i="1"/>
  <c r="BT896" i="1"/>
  <c r="BU896" i="1"/>
  <c r="BS896" i="1"/>
  <c r="CD896" i="1"/>
  <c r="CC896" i="1"/>
  <c r="CB896" i="1"/>
  <c r="CA896" i="1"/>
  <c r="BZ896" i="1"/>
  <c r="BY896" i="1"/>
  <c r="CF896" i="1"/>
  <c r="CE896" i="1"/>
  <c r="BC104" i="9" l="1"/>
  <c r="L104" i="9"/>
  <c r="U96" i="9"/>
  <c r="U97" i="9" s="1"/>
  <c r="U98" i="9" s="1"/>
  <c r="U81" i="9"/>
  <c r="U80" i="9"/>
  <c r="U600" i="1"/>
  <c r="U601" i="1"/>
  <c r="C897" i="1"/>
  <c r="C895" i="1"/>
  <c r="A893" i="1" s="1"/>
  <c r="A618" i="1"/>
  <c r="A617" i="1"/>
  <c r="A619" i="1"/>
  <c r="A616" i="1"/>
  <c r="A620" i="1"/>
  <c r="A615" i="1"/>
  <c r="A614" i="1"/>
  <c r="A3" i="1"/>
  <c r="A3" i="11" s="1"/>
  <c r="D895" i="1"/>
  <c r="D893" i="1" s="1"/>
  <c r="D618" i="1" s="1"/>
  <c r="B914" i="1"/>
  <c r="D897" i="1"/>
  <c r="BP100" i="9"/>
  <c r="BP516" i="1"/>
  <c r="BP528" i="1"/>
  <c r="AA100" i="9"/>
  <c r="AA516" i="1"/>
  <c r="AA528" i="1"/>
  <c r="AA527" i="1"/>
  <c r="BQ96" i="9"/>
  <c r="BQ97" i="9" s="1"/>
  <c r="BQ98" i="9" s="1"/>
  <c r="BQ81" i="9"/>
  <c r="W58" i="9"/>
  <c r="W60" i="9" s="1"/>
  <c r="W576" i="1"/>
  <c r="W577" i="1" s="1"/>
  <c r="W578" i="1" s="1"/>
  <c r="W579" i="1" s="1"/>
  <c r="W562" i="1"/>
  <c r="BO100" i="9"/>
  <c r="BO516" i="1"/>
  <c r="BO527" i="1"/>
  <c r="BO528" i="1"/>
  <c r="E100" i="9"/>
  <c r="E101" i="9" s="1"/>
  <c r="E516" i="1"/>
  <c r="E527" i="1"/>
  <c r="E528" i="1"/>
  <c r="AJ122" i="9"/>
  <c r="AJ35" i="9"/>
  <c r="AJ40" i="9" s="1"/>
  <c r="AJ54" i="9"/>
  <c r="O25" i="9"/>
  <c r="O503" i="1"/>
  <c r="O400" i="1"/>
  <c r="O398" i="1"/>
  <c r="O397" i="1"/>
  <c r="Y108" i="9"/>
  <c r="T30" i="9"/>
  <c r="T52" i="9"/>
  <c r="BP527" i="1"/>
  <c r="AC73" i="9"/>
  <c r="AC75" i="9" s="1"/>
  <c r="AC64" i="9"/>
  <c r="AC70" i="9" s="1"/>
  <c r="AC126" i="9" s="1"/>
  <c r="E96" i="9"/>
  <c r="E97" i="9" s="1"/>
  <c r="E98" i="9" s="1"/>
  <c r="E80" i="9"/>
  <c r="E81" i="9"/>
  <c r="E600" i="1"/>
  <c r="E601" i="1"/>
  <c r="F97" i="9"/>
  <c r="F98" i="9" s="1"/>
  <c r="T580" i="1"/>
  <c r="T581" i="1" s="1"/>
  <c r="T582" i="1" s="1"/>
  <c r="T583" i="1" s="1"/>
  <c r="T560" i="1"/>
  <c r="T563" i="1"/>
  <c r="BP64" i="9"/>
  <c r="BP70" i="9" s="1"/>
  <c r="BP126" i="9" s="1"/>
  <c r="BP73" i="9"/>
  <c r="BP75" i="9" s="1"/>
  <c r="BE100" i="9"/>
  <c r="BE516" i="1"/>
  <c r="BE528" i="1"/>
  <c r="BJ58" i="9"/>
  <c r="BJ60" i="9" s="1"/>
  <c r="BJ576" i="1"/>
  <c r="BJ577" i="1" s="1"/>
  <c r="BJ578" i="1" s="1"/>
  <c r="BJ579" i="1" s="1"/>
  <c r="BJ562" i="1"/>
  <c r="U104" i="9"/>
  <c r="AZ104" i="9"/>
  <c r="BM580" i="1"/>
  <c r="BM581" i="1" s="1"/>
  <c r="BM582" i="1" s="1"/>
  <c r="BM583" i="1" s="1"/>
  <c r="BM563" i="1"/>
  <c r="BM560" i="1"/>
  <c r="U808" i="1"/>
  <c r="Q561" i="1"/>
  <c r="BL723" i="1"/>
  <c r="AS25" i="9"/>
  <c r="AS503" i="1"/>
  <c r="AS399" i="1"/>
  <c r="AS398" i="1"/>
  <c r="AS397" i="1"/>
  <c r="AS400" i="1"/>
  <c r="K58" i="9"/>
  <c r="K60" i="9" s="1"/>
  <c r="K576" i="1"/>
  <c r="K577" i="1" s="1"/>
  <c r="K578" i="1" s="1"/>
  <c r="K579" i="1" s="1"/>
  <c r="K562" i="1"/>
  <c r="M561" i="1"/>
  <c r="M723" i="1"/>
  <c r="C609" i="1"/>
  <c r="C610" i="1"/>
  <c r="U45" i="9"/>
  <c r="U402" i="1"/>
  <c r="U393" i="1"/>
  <c r="P45" i="9"/>
  <c r="P402" i="1"/>
  <c r="P393" i="1"/>
  <c r="BL563" i="1"/>
  <c r="BL580" i="1"/>
  <c r="BL581" i="1" s="1"/>
  <c r="BL582" i="1" s="1"/>
  <c r="BL583" i="1" s="1"/>
  <c r="BL560" i="1"/>
  <c r="N58" i="9"/>
  <c r="N60" i="9" s="1"/>
  <c r="N576" i="1"/>
  <c r="N577" i="1" s="1"/>
  <c r="N578" i="1" s="1"/>
  <c r="N579" i="1" s="1"/>
  <c r="N562" i="1"/>
  <c r="P104" i="9"/>
  <c r="Y7" i="9"/>
  <c r="Y591" i="1"/>
  <c r="AA45" i="9"/>
  <c r="AA402" i="1"/>
  <c r="AA393" i="1"/>
  <c r="AN25" i="9"/>
  <c r="AN503" i="1"/>
  <c r="AN400" i="1"/>
  <c r="AN399" i="1"/>
  <c r="AN398" i="1"/>
  <c r="AN397" i="1"/>
  <c r="AF122" i="9"/>
  <c r="AF54" i="9"/>
  <c r="AF35" i="9"/>
  <c r="AF40" i="9" s="1"/>
  <c r="Z58" i="9"/>
  <c r="Z60" i="9" s="1"/>
  <c r="Z576" i="1"/>
  <c r="Z577" i="1" s="1"/>
  <c r="Z578" i="1" s="1"/>
  <c r="Z579" i="1" s="1"/>
  <c r="Z562" i="1"/>
  <c r="K2" i="9"/>
  <c r="K5" i="11"/>
  <c r="P5" i="1"/>
  <c r="L5" i="1"/>
  <c r="AF45" i="9"/>
  <c r="AF402" i="1"/>
  <c r="AF393" i="1"/>
  <c r="X45" i="9"/>
  <c r="X402" i="1"/>
  <c r="X393" i="1"/>
  <c r="J25" i="9"/>
  <c r="J503" i="1"/>
  <c r="J400" i="1"/>
  <c r="J398" i="1"/>
  <c r="J397" i="1"/>
  <c r="BD58" i="9"/>
  <c r="BD60" i="9" s="1"/>
  <c r="BD576" i="1"/>
  <c r="BD577" i="1" s="1"/>
  <c r="BD578" i="1" s="1"/>
  <c r="BD579" i="1" s="1"/>
  <c r="BD562" i="1"/>
  <c r="BW755" i="1"/>
  <c r="BX756" i="1"/>
  <c r="AP100" i="9"/>
  <c r="AP516" i="1"/>
  <c r="AP527" i="1"/>
  <c r="AP528" i="1"/>
  <c r="Q91" i="9"/>
  <c r="AY64" i="9"/>
  <c r="AY70" i="9" s="1"/>
  <c r="AY126" i="9" s="1"/>
  <c r="AY73" i="9"/>
  <c r="AY75" i="9" s="1"/>
  <c r="BF96" i="9"/>
  <c r="BF97" i="9" s="1"/>
  <c r="BF98" i="9" s="1"/>
  <c r="BF81" i="9"/>
  <c r="K580" i="1"/>
  <c r="K563" i="1"/>
  <c r="K608" i="1" s="1"/>
  <c r="K560" i="1"/>
  <c r="BJ104" i="9"/>
  <c r="AV799" i="1"/>
  <c r="AR108" i="9"/>
  <c r="AM30" i="9"/>
  <c r="AM51" i="9"/>
  <c r="AM50" i="9"/>
  <c r="AM53" i="9"/>
  <c r="AM52" i="9"/>
  <c r="BO104" i="9"/>
  <c r="U122" i="9"/>
  <c r="U35" i="9"/>
  <c r="U40" i="9" s="1"/>
  <c r="U54" i="9"/>
  <c r="BN122" i="9"/>
  <c r="BN54" i="9"/>
  <c r="BN35" i="9"/>
  <c r="BN40" i="9" s="1"/>
  <c r="AD420" i="1"/>
  <c r="AD394" i="1"/>
  <c r="E45" i="9"/>
  <c r="E393" i="1"/>
  <c r="E402" i="1"/>
  <c r="AK58" i="9"/>
  <c r="AK60" i="9" s="1"/>
  <c r="AK576" i="1"/>
  <c r="AK577" i="1" s="1"/>
  <c r="AK578" i="1" s="1"/>
  <c r="AK579" i="1" s="1"/>
  <c r="AK562" i="1"/>
  <c r="BQ122" i="9"/>
  <c r="BQ54" i="9"/>
  <c r="BQ35" i="9"/>
  <c r="BQ40" i="9" s="1"/>
  <c r="V560" i="1"/>
  <c r="V580" i="1"/>
  <c r="V581" i="1" s="1"/>
  <c r="V582" i="1" s="1"/>
  <c r="V583" i="1" s="1"/>
  <c r="V563" i="1"/>
  <c r="BN808" i="1"/>
  <c r="BJ561" i="1"/>
  <c r="BJ723" i="1"/>
  <c r="AK96" i="9"/>
  <c r="AK81" i="9"/>
  <c r="BA122" i="9"/>
  <c r="BA54" i="9"/>
  <c r="BA35" i="9"/>
  <c r="BA40" i="9" s="1"/>
  <c r="AB45" i="9"/>
  <c r="AB393" i="1"/>
  <c r="AB402" i="1"/>
  <c r="AA112" i="9"/>
  <c r="V73" i="9"/>
  <c r="V75" i="9" s="1"/>
  <c r="V64" i="9"/>
  <c r="V70" i="9" s="1"/>
  <c r="V126" i="9" s="1"/>
  <c r="AF58" i="9"/>
  <c r="AF60" i="9" s="1"/>
  <c r="AF576" i="1"/>
  <c r="AF577" i="1" s="1"/>
  <c r="AF578" i="1" s="1"/>
  <c r="AF579" i="1" s="1"/>
  <c r="AF562" i="1"/>
  <c r="BY749" i="1"/>
  <c r="L100" i="9"/>
  <c r="L516" i="1"/>
  <c r="L528" i="1"/>
  <c r="AE122" i="9"/>
  <c r="AE54" i="9"/>
  <c r="AE35" i="9"/>
  <c r="AE40" i="9" s="1"/>
  <c r="AX580" i="1"/>
  <c r="AX581" i="1" s="1"/>
  <c r="AX582" i="1" s="1"/>
  <c r="AX583" i="1" s="1"/>
  <c r="AX560" i="1"/>
  <c r="AX563" i="1"/>
  <c r="AA73" i="9"/>
  <c r="AA75" i="9" s="1"/>
  <c r="AA64" i="9"/>
  <c r="AA70" i="9" s="1"/>
  <c r="AA126" i="9" s="1"/>
  <c r="BI45" i="9"/>
  <c r="BI402" i="1"/>
  <c r="BI393" i="1"/>
  <c r="D98" i="9"/>
  <c r="BC723" i="1"/>
  <c r="BD810" i="1"/>
  <c r="N91" i="9"/>
  <c r="AI420" i="1"/>
  <c r="AI394" i="1"/>
  <c r="AT122" i="9"/>
  <c r="AT54" i="9"/>
  <c r="AT35" i="9"/>
  <c r="AT40" i="9" s="1"/>
  <c r="I45" i="9"/>
  <c r="I402" i="1"/>
  <c r="I393" i="1"/>
  <c r="AO808" i="1"/>
  <c r="AK561" i="1"/>
  <c r="AK723" i="1"/>
  <c r="AW104" i="9"/>
  <c r="R58" i="9"/>
  <c r="R60" i="9" s="1"/>
  <c r="R576" i="1"/>
  <c r="R577" i="1" s="1"/>
  <c r="R578" i="1" s="1"/>
  <c r="R579" i="1" s="1"/>
  <c r="R562" i="1"/>
  <c r="C83" i="1"/>
  <c r="C58" i="1"/>
  <c r="C119" i="1"/>
  <c r="AZ122" i="9"/>
  <c r="AZ54" i="9"/>
  <c r="AZ35" i="9"/>
  <c r="AZ40" i="9" s="1"/>
  <c r="T50" i="9"/>
  <c r="AC122" i="9"/>
  <c r="AC54" i="9"/>
  <c r="AC35" i="9"/>
  <c r="AC40" i="9" s="1"/>
  <c r="I91" i="9"/>
  <c r="BA73" i="9"/>
  <c r="BA75" i="9" s="1"/>
  <c r="BA64" i="9"/>
  <c r="BA70" i="9" s="1"/>
  <c r="BA126" i="9" s="1"/>
  <c r="AI65" i="9"/>
  <c r="AI804" i="1"/>
  <c r="AJ811" i="1"/>
  <c r="AP799" i="1"/>
  <c r="F3" i="11"/>
  <c r="F4" i="11"/>
  <c r="J399" i="1"/>
  <c r="H45" i="9"/>
  <c r="H402" i="1"/>
  <c r="H393" i="1"/>
  <c r="AC100" i="9"/>
  <c r="AC516" i="1"/>
  <c r="AC528" i="1"/>
  <c r="BQ73" i="9"/>
  <c r="BQ75" i="9" s="1"/>
  <c r="BQ64" i="9"/>
  <c r="BQ70" i="9" s="1"/>
  <c r="BQ126" i="9" s="1"/>
  <c r="BP97" i="9"/>
  <c r="BP98" i="9" s="1"/>
  <c r="BR697" i="1"/>
  <c r="BR559" i="1"/>
  <c r="BR492" i="1"/>
  <c r="BS492" i="1" s="1"/>
  <c r="BS807" i="1"/>
  <c r="AU799" i="1"/>
  <c r="AH58" i="9"/>
  <c r="AH60" i="9" s="1"/>
  <c r="AH576" i="1"/>
  <c r="AH577" i="1" s="1"/>
  <c r="AH578" i="1" s="1"/>
  <c r="AH579" i="1" s="1"/>
  <c r="AH562" i="1"/>
  <c r="Z723" i="1"/>
  <c r="BO122" i="9"/>
  <c r="BO54" i="9"/>
  <c r="BO35" i="9"/>
  <c r="BO40" i="9" s="1"/>
  <c r="BB122" i="9"/>
  <c r="BB54" i="9"/>
  <c r="BB35" i="9"/>
  <c r="BB40" i="9" s="1"/>
  <c r="R122" i="9"/>
  <c r="R54" i="9"/>
  <c r="R35" i="9"/>
  <c r="R40" i="9" s="1"/>
  <c r="Q45" i="9"/>
  <c r="Q402" i="1"/>
  <c r="Q393" i="1"/>
  <c r="AS580" i="1"/>
  <c r="AS581" i="1" s="1"/>
  <c r="AS582" i="1" s="1"/>
  <c r="AS583" i="1" s="1"/>
  <c r="AS560" i="1"/>
  <c r="AS563" i="1"/>
  <c r="BC580" i="1"/>
  <c r="BC581" i="1" s="1"/>
  <c r="BC582" i="1" s="1"/>
  <c r="BC583" i="1" s="1"/>
  <c r="BC563" i="1"/>
  <c r="BC560" i="1"/>
  <c r="BP104" i="9"/>
  <c r="AT492" i="1"/>
  <c r="AD108" i="9"/>
  <c r="Y30" i="9"/>
  <c r="Y53" i="9"/>
  <c r="Y50" i="9"/>
  <c r="Y51" i="9"/>
  <c r="Y52" i="9"/>
  <c r="BC422" i="1"/>
  <c r="BC424" i="1"/>
  <c r="M122" i="9"/>
  <c r="M54" i="9"/>
  <c r="M35" i="9"/>
  <c r="M40" i="9" s="1"/>
  <c r="BI93" i="9"/>
  <c r="BI94" i="9" s="1"/>
  <c r="BI801" i="1"/>
  <c r="BI791" i="1"/>
  <c r="L122" i="9"/>
  <c r="L54" i="9"/>
  <c r="L35" i="9"/>
  <c r="L40" i="9" s="1"/>
  <c r="BJ100" i="9"/>
  <c r="BJ516" i="1"/>
  <c r="BJ528" i="1"/>
  <c r="BJ527" i="1"/>
  <c r="BM97" i="9"/>
  <c r="BM98" i="9" s="1"/>
  <c r="BF104" i="9"/>
  <c r="C45" i="9"/>
  <c r="C402" i="1"/>
  <c r="C393" i="1"/>
  <c r="BM45" i="9"/>
  <c r="BM402" i="1"/>
  <c r="BM393" i="1"/>
  <c r="S73" i="9"/>
  <c r="S75" i="9" s="1"/>
  <c r="S64" i="9"/>
  <c r="S70" i="9" s="1"/>
  <c r="S126" i="9" s="1"/>
  <c r="BL97" i="9"/>
  <c r="BL98" i="9" s="1"/>
  <c r="AD58" i="9"/>
  <c r="AD60" i="9" s="1"/>
  <c r="AD576" i="1"/>
  <c r="AD577" i="1" s="1"/>
  <c r="AD578" i="1" s="1"/>
  <c r="AD579" i="1" s="1"/>
  <c r="AD562" i="1"/>
  <c r="BJ45" i="9"/>
  <c r="BJ393" i="1"/>
  <c r="BJ402" i="1"/>
  <c r="BS96" i="9"/>
  <c r="BS81" i="9"/>
  <c r="BS80" i="9"/>
  <c r="BS601" i="1"/>
  <c r="AQ97" i="9"/>
  <c r="AQ98" i="9" s="1"/>
  <c r="BE104" i="9"/>
  <c r="AX58" i="9"/>
  <c r="AX60" i="9" s="1"/>
  <c r="AX576" i="1"/>
  <c r="AX577" i="1" s="1"/>
  <c r="AX578" i="1" s="1"/>
  <c r="AX579" i="1" s="1"/>
  <c r="AX562" i="1"/>
  <c r="AV45" i="9"/>
  <c r="AV402" i="1"/>
  <c r="AV393" i="1"/>
  <c r="AJ58" i="9"/>
  <c r="AJ60" i="9" s="1"/>
  <c r="AJ576" i="1"/>
  <c r="AJ577" i="1" s="1"/>
  <c r="AJ578" i="1" s="1"/>
  <c r="AJ579" i="1" s="1"/>
  <c r="AJ562" i="1"/>
  <c r="BS103" i="9"/>
  <c r="AJ808" i="1"/>
  <c r="AF561" i="1"/>
  <c r="AF723" i="1"/>
  <c r="BI58" i="9"/>
  <c r="BI60" i="9" s="1"/>
  <c r="BI576" i="1"/>
  <c r="BI577" i="1" s="1"/>
  <c r="BI578" i="1" s="1"/>
  <c r="BI579" i="1" s="1"/>
  <c r="BI562" i="1"/>
  <c r="BN58" i="9"/>
  <c r="BN60" i="9" s="1"/>
  <c r="BN576" i="1"/>
  <c r="BN577" i="1" s="1"/>
  <c r="BN578" i="1" s="1"/>
  <c r="BN579" i="1" s="1"/>
  <c r="BN562" i="1"/>
  <c r="G58" i="9"/>
  <c r="G60" i="9" s="1"/>
  <c r="G576" i="1"/>
  <c r="G577" i="1" s="1"/>
  <c r="G578" i="1" s="1"/>
  <c r="G579" i="1" s="1"/>
  <c r="G562" i="1"/>
  <c r="AY122" i="9"/>
  <c r="AY35" i="9"/>
  <c r="AY40" i="9" s="1"/>
  <c r="AY54" i="9"/>
  <c r="D87" i="1"/>
  <c r="D85" i="1"/>
  <c r="AY45" i="9"/>
  <c r="AY402" i="1"/>
  <c r="AY393" i="1"/>
  <c r="BB100" i="9"/>
  <c r="BB516" i="1"/>
  <c r="BB528" i="1"/>
  <c r="BB527" i="1"/>
  <c r="AY422" i="1"/>
  <c r="AY424" i="1"/>
  <c r="BH512" i="1"/>
  <c r="BH401" i="1"/>
  <c r="BH504" i="1"/>
  <c r="AG100" i="9"/>
  <c r="AG516" i="1"/>
  <c r="AG527" i="1"/>
  <c r="AG528" i="1"/>
  <c r="AP96" i="9"/>
  <c r="AP97" i="9" s="1"/>
  <c r="AP98" i="9" s="1"/>
  <c r="AP81" i="9"/>
  <c r="J58" i="9"/>
  <c r="J60" i="9" s="1"/>
  <c r="J576" i="1"/>
  <c r="J577" i="1" s="1"/>
  <c r="J578" i="1" s="1"/>
  <c r="J579" i="1" s="1"/>
  <c r="J562" i="1"/>
  <c r="AJ561" i="1"/>
  <c r="AJ723" i="1"/>
  <c r="AL58" i="9"/>
  <c r="AL60" i="9" s="1"/>
  <c r="AL576" i="1"/>
  <c r="AL577" i="1" s="1"/>
  <c r="AL578" i="1" s="1"/>
  <c r="AL579" i="1" s="1"/>
  <c r="AL562" i="1"/>
  <c r="AJ104" i="9"/>
  <c r="BR93" i="9"/>
  <c r="BR801" i="1"/>
  <c r="BR791" i="1"/>
  <c r="BQ801" i="1"/>
  <c r="BG122" i="9"/>
  <c r="BG54" i="9"/>
  <c r="BG35" i="9"/>
  <c r="BG40" i="9" s="1"/>
  <c r="M100" i="9"/>
  <c r="M516" i="1"/>
  <c r="M528" i="1"/>
  <c r="AR122" i="9"/>
  <c r="AR54" i="9"/>
  <c r="AR35" i="9"/>
  <c r="AR40" i="9" s="1"/>
  <c r="AB100" i="9"/>
  <c r="AB516" i="1"/>
  <c r="AB528" i="1"/>
  <c r="AU512" i="1"/>
  <c r="AU504" i="1"/>
  <c r="AU401" i="1"/>
  <c r="AU94" i="9"/>
  <c r="BI561" i="1"/>
  <c r="BI723" i="1"/>
  <c r="C58" i="9"/>
  <c r="C60" i="9" s="1"/>
  <c r="C576" i="1"/>
  <c r="C577" i="1" s="1"/>
  <c r="C578" i="1" s="1"/>
  <c r="C579" i="1" s="1"/>
  <c r="C562" i="1"/>
  <c r="BN580" i="1"/>
  <c r="BN560" i="1"/>
  <c r="BN563" i="1"/>
  <c r="BN608" i="1" s="1"/>
  <c r="AP104" i="9"/>
  <c r="BF100" i="9"/>
  <c r="BF516" i="1"/>
  <c r="BF527" i="1"/>
  <c r="BF528" i="1"/>
  <c r="BA45" i="9"/>
  <c r="BA393" i="1"/>
  <c r="BA402" i="1"/>
  <c r="BC512" i="1"/>
  <c r="BC504" i="1"/>
  <c r="BC401" i="1"/>
  <c r="BH96" i="9"/>
  <c r="BH97" i="9" s="1"/>
  <c r="BH98" i="9" s="1"/>
  <c r="BH81" i="9"/>
  <c r="BV9" i="9"/>
  <c r="BV797" i="1"/>
  <c r="BW590" i="1"/>
  <c r="BV588" i="1"/>
  <c r="BV763" i="1" s="1"/>
  <c r="BV768" i="1" s="1"/>
  <c r="AN723" i="1"/>
  <c r="AO810" i="1"/>
  <c r="BE561" i="1"/>
  <c r="O7" i="9"/>
  <c r="O591" i="1"/>
  <c r="AQ89" i="9"/>
  <c r="W122" i="9"/>
  <c r="W54" i="9"/>
  <c r="W35" i="9"/>
  <c r="W40" i="9" s="1"/>
  <c r="AT45" i="9"/>
  <c r="AT393" i="1"/>
  <c r="AT402" i="1"/>
  <c r="BP108" i="9"/>
  <c r="BK30" i="9"/>
  <c r="BK52" i="9"/>
  <c r="BK51" i="9"/>
  <c r="BK53" i="9"/>
  <c r="BK50" i="9"/>
  <c r="I100" i="9"/>
  <c r="I516" i="1"/>
  <c r="I528" i="1"/>
  <c r="AQ45" i="9"/>
  <c r="AQ402" i="1"/>
  <c r="AQ393" i="1"/>
  <c r="O50" i="9"/>
  <c r="AO45" i="9"/>
  <c r="AO402" i="1"/>
  <c r="AO393" i="1"/>
  <c r="AY808" i="1"/>
  <c r="AV58" i="9"/>
  <c r="AV60" i="9" s="1"/>
  <c r="AV576" i="1"/>
  <c r="AV577" i="1" s="1"/>
  <c r="AV578" i="1" s="1"/>
  <c r="AV579" i="1" s="1"/>
  <c r="AV562" i="1"/>
  <c r="D219" i="1"/>
  <c r="D238" i="1"/>
  <c r="C890" i="1"/>
  <c r="C888" i="1"/>
  <c r="C876" i="1"/>
  <c r="C881" i="1"/>
  <c r="C874" i="1"/>
  <c r="C883" i="1"/>
  <c r="H122" i="9"/>
  <c r="H54" i="9"/>
  <c r="H35" i="9"/>
  <c r="H40" i="9" s="1"/>
  <c r="K97" i="9"/>
  <c r="K98" i="9" s="1"/>
  <c r="CC65" i="9"/>
  <c r="AD504" i="1"/>
  <c r="AD512" i="1"/>
  <c r="AD401" i="1"/>
  <c r="AN422" i="1"/>
  <c r="AN424" i="1"/>
  <c r="J50" i="9"/>
  <c r="H100" i="9"/>
  <c r="H516" i="1"/>
  <c r="H528" i="1"/>
  <c r="H527" i="1"/>
  <c r="AC45" i="9"/>
  <c r="AC402" i="1"/>
  <c r="AC393" i="1"/>
  <c r="BT58" i="9"/>
  <c r="BT60" i="9" s="1"/>
  <c r="BT576" i="1"/>
  <c r="BT577" i="1" s="1"/>
  <c r="BT578" i="1" s="1"/>
  <c r="BT579" i="1" s="1"/>
  <c r="BT562" i="1"/>
  <c r="AH580" i="1"/>
  <c r="AH581" i="1" s="1"/>
  <c r="AH582" i="1" s="1"/>
  <c r="AH583" i="1" s="1"/>
  <c r="AH560" i="1"/>
  <c r="AH563" i="1"/>
  <c r="AI25" i="9"/>
  <c r="AI399" i="1"/>
  <c r="AI398" i="1"/>
  <c r="AI503" i="1"/>
  <c r="AI397" i="1"/>
  <c r="AI400" i="1"/>
  <c r="BH30" i="9"/>
  <c r="L527" i="1"/>
  <c r="AU96" i="9"/>
  <c r="AU81" i="9"/>
  <c r="BJ96" i="9"/>
  <c r="BJ81" i="9"/>
  <c r="AJ97" i="9"/>
  <c r="AJ98" i="9" s="1"/>
  <c r="AD7" i="9"/>
  <c r="AD591" i="1"/>
  <c r="AP58" i="9"/>
  <c r="AP60" i="9" s="1"/>
  <c r="AP576" i="1"/>
  <c r="AP577" i="1" s="1"/>
  <c r="AP578" i="1" s="1"/>
  <c r="AP579" i="1" s="1"/>
  <c r="AP562" i="1"/>
  <c r="C723" i="1"/>
  <c r="O422" i="1"/>
  <c r="O424" i="1"/>
  <c r="U100" i="9"/>
  <c r="U101" i="9" s="1"/>
  <c r="U516" i="1"/>
  <c r="U527" i="1"/>
  <c r="U528" i="1"/>
  <c r="BL58" i="9"/>
  <c r="BL60" i="9" s="1"/>
  <c r="BL576" i="1"/>
  <c r="BL577" i="1" s="1"/>
  <c r="BL578" i="1" s="1"/>
  <c r="BL579" i="1" s="1"/>
  <c r="BL562" i="1"/>
  <c r="K122" i="9"/>
  <c r="K35" i="9"/>
  <c r="K40" i="9" s="1"/>
  <c r="K54" i="9"/>
  <c r="AW45" i="9"/>
  <c r="AW402" i="1"/>
  <c r="AW393" i="1"/>
  <c r="L96" i="9"/>
  <c r="L81" i="9"/>
  <c r="BQ104" i="9"/>
  <c r="L45" i="9"/>
  <c r="L393" i="1"/>
  <c r="L402" i="1"/>
  <c r="BQ108" i="9"/>
  <c r="BL30" i="9"/>
  <c r="BL50" i="9"/>
  <c r="BL53" i="9"/>
  <c r="BL52" i="9"/>
  <c r="BL51" i="9"/>
  <c r="AB122" i="9"/>
  <c r="AB54" i="9"/>
  <c r="AB35" i="9"/>
  <c r="AB40" i="9" s="1"/>
  <c r="V100" i="9"/>
  <c r="V516" i="1"/>
  <c r="V528" i="1"/>
  <c r="V527" i="1"/>
  <c r="AQ673" i="1"/>
  <c r="AP674" i="1"/>
  <c r="AI81" i="9"/>
  <c r="AI96" i="9"/>
  <c r="AL97" i="9" s="1"/>
  <c r="AL98" i="9" s="1"/>
  <c r="AO58" i="9"/>
  <c r="AO60" i="9" s="1"/>
  <c r="AO562" i="1"/>
  <c r="AO576" i="1"/>
  <c r="AO577" i="1" s="1"/>
  <c r="AO578" i="1" s="1"/>
  <c r="AO579" i="1" s="1"/>
  <c r="CC803" i="1"/>
  <c r="AI799" i="1"/>
  <c r="AV100" i="9"/>
  <c r="AV516" i="1"/>
  <c r="AV527" i="1"/>
  <c r="AV528" i="1"/>
  <c r="BT30" i="9"/>
  <c r="BT50" i="9"/>
  <c r="BT53" i="9"/>
  <c r="BT51" i="9"/>
  <c r="AG45" i="9"/>
  <c r="AG402" i="1"/>
  <c r="AG393" i="1"/>
  <c r="BR7" i="9"/>
  <c r="BR591" i="1"/>
  <c r="BN7" i="9"/>
  <c r="BN591" i="1"/>
  <c r="AD723" i="1"/>
  <c r="AD799" i="1" s="1"/>
  <c r="BY742" i="1"/>
  <c r="BZ739" i="1"/>
  <c r="AR89" i="9"/>
  <c r="BA100" i="9"/>
  <c r="BA516" i="1"/>
  <c r="BA527" i="1"/>
  <c r="BA528" i="1"/>
  <c r="T51" i="9"/>
  <c r="O723" i="1"/>
  <c r="T799" i="1" s="1"/>
  <c r="P810" i="1"/>
  <c r="BE58" i="9"/>
  <c r="BE60" i="9" s="1"/>
  <c r="BE562" i="1"/>
  <c r="BE576" i="1"/>
  <c r="BE577" i="1" s="1"/>
  <c r="BE578" i="1" s="1"/>
  <c r="BE579" i="1" s="1"/>
  <c r="AD65" i="9"/>
  <c r="AD804" i="1"/>
  <c r="AE811" i="1"/>
  <c r="AV104" i="9"/>
  <c r="AQ100" i="9"/>
  <c r="AQ516" i="1"/>
  <c r="AQ528" i="1"/>
  <c r="AQ527" i="1"/>
  <c r="O399" i="1"/>
  <c r="AU563" i="1"/>
  <c r="AU560" i="1"/>
  <c r="AU580" i="1"/>
  <c r="AU581" i="1" s="1"/>
  <c r="AU582" i="1" s="1"/>
  <c r="AU583" i="1" s="1"/>
  <c r="AY492" i="1"/>
  <c r="Z122" i="9"/>
  <c r="Z54" i="9"/>
  <c r="Z35" i="9"/>
  <c r="Z40" i="9" s="1"/>
  <c r="F1" i="9"/>
  <c r="F897" i="1"/>
  <c r="F895" i="1"/>
  <c r="F893" i="1" s="1"/>
  <c r="F618" i="1" s="1"/>
  <c r="F900" i="1"/>
  <c r="F870" i="1"/>
  <c r="F3" i="1"/>
  <c r="G4" i="1"/>
  <c r="BR504" i="1"/>
  <c r="BR512" i="1"/>
  <c r="BR401" i="1"/>
  <c r="T53" i="9"/>
  <c r="BB45" i="9"/>
  <c r="BB393" i="1"/>
  <c r="BB402" i="1"/>
  <c r="J580" i="1"/>
  <c r="J581" i="1" s="1"/>
  <c r="J582" i="1" s="1"/>
  <c r="J583" i="1" s="1"/>
  <c r="J560" i="1"/>
  <c r="J563" i="1"/>
  <c r="AL561" i="1"/>
  <c r="AL723" i="1"/>
  <c r="BF58" i="9"/>
  <c r="BF60" i="9" s="1"/>
  <c r="BF576" i="1"/>
  <c r="BF577" i="1" s="1"/>
  <c r="BF578" i="1" s="1"/>
  <c r="BF579" i="1" s="1"/>
  <c r="BF562" i="1"/>
  <c r="BL108" i="9"/>
  <c r="M45" i="9"/>
  <c r="M393" i="1"/>
  <c r="M402" i="1"/>
  <c r="AK122" i="9"/>
  <c r="AK54" i="9"/>
  <c r="AK35" i="9"/>
  <c r="AK40" i="9" s="1"/>
  <c r="BD512" i="1"/>
  <c r="BD504" i="1"/>
  <c r="BD401" i="1"/>
  <c r="N100" i="9"/>
  <c r="N516" i="1"/>
  <c r="N527" i="1"/>
  <c r="N528" i="1"/>
  <c r="AZ108" i="9"/>
  <c r="AU30" i="9"/>
  <c r="AU53" i="9"/>
  <c r="AU52" i="9"/>
  <c r="AU51" i="9"/>
  <c r="AU50" i="9"/>
  <c r="AB73" i="9"/>
  <c r="AB75" i="9" s="1"/>
  <c r="AB64" i="9"/>
  <c r="AB70" i="9" s="1"/>
  <c r="AB126" i="9" s="1"/>
  <c r="E73" i="9"/>
  <c r="E75" i="9" s="1"/>
  <c r="E64" i="9"/>
  <c r="E70" i="9" s="1"/>
  <c r="E126" i="9" s="1"/>
  <c r="C580" i="1"/>
  <c r="C560" i="1"/>
  <c r="C563" i="1"/>
  <c r="C608" i="1" s="1"/>
  <c r="BF45" i="9"/>
  <c r="BF393" i="1"/>
  <c r="BF402" i="1"/>
  <c r="S100" i="9"/>
  <c r="S516" i="1"/>
  <c r="S528" i="1"/>
  <c r="S527" i="1"/>
  <c r="AR45" i="9"/>
  <c r="AR393" i="1"/>
  <c r="AR402" i="1"/>
  <c r="BH108" i="9"/>
  <c r="BC30" i="9"/>
  <c r="BC53" i="9"/>
  <c r="BC52" i="9"/>
  <c r="BC51" i="9"/>
  <c r="AN58" i="9"/>
  <c r="AN60" i="9" s="1"/>
  <c r="AN576" i="1"/>
  <c r="AN577" i="1" s="1"/>
  <c r="AN578" i="1" s="1"/>
  <c r="AN579" i="1" s="1"/>
  <c r="AN562" i="1"/>
  <c r="F58" i="9"/>
  <c r="F60" i="9" s="1"/>
  <c r="F576" i="1"/>
  <c r="F577" i="1" s="1"/>
  <c r="F578" i="1" s="1"/>
  <c r="F579" i="1" s="1"/>
  <c r="F562" i="1"/>
  <c r="K808" i="1"/>
  <c r="G561" i="1"/>
  <c r="G723" i="1"/>
  <c r="P492" i="1"/>
  <c r="T7" i="9"/>
  <c r="T591" i="1"/>
  <c r="O93" i="9"/>
  <c r="O801" i="1"/>
  <c r="O791" i="1"/>
  <c r="Q801" i="1"/>
  <c r="Q723" i="1"/>
  <c r="V799" i="1" s="1"/>
  <c r="G122" i="9"/>
  <c r="G35" i="9"/>
  <c r="G40" i="9" s="1"/>
  <c r="G54" i="9"/>
  <c r="AL122" i="9"/>
  <c r="AL54" i="9"/>
  <c r="AL35" i="9"/>
  <c r="AL40" i="9" s="1"/>
  <c r="BG58" i="9"/>
  <c r="BG60" i="9" s="1"/>
  <c r="BG576" i="1"/>
  <c r="BG577" i="1" s="1"/>
  <c r="BG578" i="1" s="1"/>
  <c r="BG579" i="1" s="1"/>
  <c r="BG562" i="1"/>
  <c r="AS104" i="9"/>
  <c r="AM58" i="9"/>
  <c r="AM60" i="9" s="1"/>
  <c r="AM562" i="1"/>
  <c r="AM576" i="1"/>
  <c r="AM577" i="1" s="1"/>
  <c r="AM578" i="1" s="1"/>
  <c r="AM579" i="1" s="1"/>
  <c r="BN100" i="9"/>
  <c r="BN101" i="9" s="1"/>
  <c r="BN527" i="1"/>
  <c r="BN516" i="1"/>
  <c r="BN528" i="1"/>
  <c r="W45" i="9"/>
  <c r="W402" i="1"/>
  <c r="W393" i="1"/>
  <c r="AS422" i="1"/>
  <c r="AS424" i="1"/>
  <c r="BS512" i="1"/>
  <c r="BS504" i="1"/>
  <c r="BS401" i="1"/>
  <c r="AO100" i="9"/>
  <c r="AO101" i="9" s="1"/>
  <c r="AO516" i="1"/>
  <c r="AO528" i="1"/>
  <c r="AI58" i="9"/>
  <c r="AI60" i="9" s="1"/>
  <c r="AI576" i="1"/>
  <c r="AI577" i="1" s="1"/>
  <c r="AI578" i="1" s="1"/>
  <c r="AI579" i="1" s="1"/>
  <c r="AI562" i="1"/>
  <c r="AV563" i="1"/>
  <c r="AV580" i="1"/>
  <c r="AV581" i="1" s="1"/>
  <c r="AV582" i="1" s="1"/>
  <c r="AV583" i="1" s="1"/>
  <c r="AV560" i="1"/>
  <c r="BB799" i="1"/>
  <c r="R580" i="1"/>
  <c r="R581" i="1" s="1"/>
  <c r="R582" i="1" s="1"/>
  <c r="R583" i="1" s="1"/>
  <c r="R560" i="1"/>
  <c r="R563" i="1"/>
  <c r="X122" i="9"/>
  <c r="X54" i="9"/>
  <c r="X35" i="9"/>
  <c r="X40" i="9" s="1"/>
  <c r="AJ45" i="9"/>
  <c r="AJ393" i="1"/>
  <c r="AJ402" i="1"/>
  <c r="BE527" i="1"/>
  <c r="AH96" i="9"/>
  <c r="AH81" i="9"/>
  <c r="BB94" i="9"/>
  <c r="I58" i="9"/>
  <c r="I60" i="9" s="1"/>
  <c r="I576" i="1"/>
  <c r="I577" i="1" s="1"/>
  <c r="I578" i="1" s="1"/>
  <c r="I579" i="1" s="1"/>
  <c r="I562" i="1"/>
  <c r="AD30" i="9"/>
  <c r="AZ45" i="9"/>
  <c r="AZ393" i="1"/>
  <c r="AZ402" i="1"/>
  <c r="Z100" i="9"/>
  <c r="Z101" i="9" s="1"/>
  <c r="Z105" i="9" s="1"/>
  <c r="Z516" i="1"/>
  <c r="Z527" i="1"/>
  <c r="Z528" i="1"/>
  <c r="V91" i="9"/>
  <c r="AE104" i="9"/>
  <c r="BT561" i="1"/>
  <c r="BT723" i="1"/>
  <c r="E105" i="9"/>
  <c r="BR30" i="9"/>
  <c r="AQ122" i="9"/>
  <c r="AQ54" i="9"/>
  <c r="AQ35" i="9"/>
  <c r="AQ40" i="9" s="1"/>
  <c r="AD53" i="9"/>
  <c r="AW91" i="9"/>
  <c r="F100" i="9"/>
  <c r="F101" i="9" s="1"/>
  <c r="F105" i="9" s="1"/>
  <c r="F516" i="1"/>
  <c r="F527" i="1"/>
  <c r="F528" i="1"/>
  <c r="M96" i="9"/>
  <c r="M81" i="9"/>
  <c r="CA745" i="1"/>
  <c r="BZ744" i="1"/>
  <c r="AD93" i="9"/>
  <c r="AD801" i="1"/>
  <c r="AD791" i="1"/>
  <c r="AF801" i="1"/>
  <c r="AI801" i="1"/>
  <c r="AC801" i="1"/>
  <c r="AG58" i="9"/>
  <c r="AG60" i="9" s="1"/>
  <c r="AG562" i="1"/>
  <c r="AG576" i="1"/>
  <c r="AG577" i="1" s="1"/>
  <c r="AG578" i="1" s="1"/>
  <c r="AG579" i="1" s="1"/>
  <c r="AT808" i="1"/>
  <c r="AP561" i="1"/>
  <c r="N801" i="1"/>
  <c r="BN801" i="1"/>
  <c r="AM512" i="1"/>
  <c r="AM504" i="1"/>
  <c r="AM401" i="1"/>
  <c r="D45" i="9"/>
  <c r="D393" i="1"/>
  <c r="D402" i="1"/>
  <c r="BB64" i="9"/>
  <c r="BB70" i="9" s="1"/>
  <c r="BB126" i="9" s="1"/>
  <c r="BB73" i="9"/>
  <c r="BB75" i="9" s="1"/>
  <c r="BK97" i="9"/>
  <c r="BK98" i="9" s="1"/>
  <c r="J422" i="1"/>
  <c r="J424" i="1"/>
  <c r="BM100" i="9"/>
  <c r="BM516" i="1"/>
  <c r="BM528" i="1"/>
  <c r="BM527" i="1"/>
  <c r="AV97" i="9"/>
  <c r="AV98" i="9" s="1"/>
  <c r="P122" i="9"/>
  <c r="P54" i="9"/>
  <c r="P35" i="9"/>
  <c r="P40" i="9" s="1"/>
  <c r="P100" i="9"/>
  <c r="P101" i="9" s="1"/>
  <c r="P516" i="1"/>
  <c r="P528" i="1"/>
  <c r="P527" i="1"/>
  <c r="AO580" i="1"/>
  <c r="AO560" i="1"/>
  <c r="AO563" i="1"/>
  <c r="AO608" i="1" s="1"/>
  <c r="D100" i="9"/>
  <c r="D101" i="9" s="1"/>
  <c r="D516" i="1"/>
  <c r="D528" i="1"/>
  <c r="E378" i="1"/>
  <c r="E342" i="1"/>
  <c r="E328" i="1"/>
  <c r="E367" i="1"/>
  <c r="E374" i="1"/>
  <c r="E327" i="1"/>
  <c r="E384" i="1"/>
  <c r="E377" i="1"/>
  <c r="E370" i="1"/>
  <c r="E339" i="1"/>
  <c r="E334" i="1"/>
  <c r="E382" i="1"/>
  <c r="E325" i="1"/>
  <c r="E375" i="1"/>
  <c r="E368" i="1"/>
  <c r="E332" i="1"/>
  <c r="E371" i="1"/>
  <c r="E343" i="1"/>
  <c r="E340" i="1"/>
  <c r="E335" i="1"/>
  <c r="E329" i="1"/>
  <c r="E326" i="1"/>
  <c r="E376" i="1"/>
  <c r="E369" i="1"/>
  <c r="E333" i="1"/>
  <c r="E180" i="1"/>
  <c r="E381" i="1"/>
  <c r="E372" i="1"/>
  <c r="E344" i="1"/>
  <c r="E341" i="1"/>
  <c r="E336" i="1"/>
  <c r="E181" i="1"/>
  <c r="E200" i="1"/>
  <c r="E182" i="1"/>
  <c r="E218" i="1" s="1"/>
  <c r="E56" i="1"/>
  <c r="E198" i="1"/>
  <c r="E197" i="1"/>
  <c r="E78" i="1"/>
  <c r="E60" i="1"/>
  <c r="E59" i="1"/>
  <c r="E79" i="1"/>
  <c r="E76" i="1" s="1"/>
  <c r="E385" i="1"/>
  <c r="E379" i="1"/>
  <c r="E330" i="1"/>
  <c r="E57" i="1"/>
  <c r="E337" i="1"/>
  <c r="E383" i="1"/>
  <c r="E386" i="1"/>
  <c r="D122" i="9"/>
  <c r="D54" i="9"/>
  <c r="D35" i="9"/>
  <c r="D40" i="9" s="1"/>
  <c r="AH100" i="9"/>
  <c r="AH527" i="1"/>
  <c r="AH516" i="1"/>
  <c r="AH528" i="1"/>
  <c r="R100" i="9"/>
  <c r="R528" i="1"/>
  <c r="R516" i="1"/>
  <c r="R527" i="1"/>
  <c r="BH697" i="1"/>
  <c r="BI808" i="1" s="1"/>
  <c r="BH559" i="1"/>
  <c r="BH492" i="1"/>
  <c r="BI492" i="1" s="1"/>
  <c r="AM94" i="9"/>
  <c r="BF580" i="1"/>
  <c r="BF581" i="1" s="1"/>
  <c r="BF582" i="1" s="1"/>
  <c r="BF583" i="1" s="1"/>
  <c r="BF560" i="1"/>
  <c r="BF563" i="1"/>
  <c r="BI108" i="9"/>
  <c r="BD30" i="9"/>
  <c r="BD50" i="9"/>
  <c r="BD53" i="9"/>
  <c r="BD52" i="9"/>
  <c r="BD51" i="9"/>
  <c r="N45" i="9"/>
  <c r="N393" i="1"/>
  <c r="N402" i="1"/>
  <c r="BE91" i="9"/>
  <c r="BK58" i="9"/>
  <c r="BK60" i="9" s="1"/>
  <c r="BK576" i="1"/>
  <c r="BK577" i="1" s="1"/>
  <c r="BK578" i="1" s="1"/>
  <c r="BK579" i="1" s="1"/>
  <c r="BK562" i="1"/>
  <c r="AW58" i="9"/>
  <c r="AW60" i="9" s="1"/>
  <c r="AW576" i="1"/>
  <c r="AW577" i="1" s="1"/>
  <c r="AW578" i="1" s="1"/>
  <c r="AW579" i="1" s="1"/>
  <c r="AW562" i="1"/>
  <c r="S45" i="9"/>
  <c r="S402" i="1"/>
  <c r="S393" i="1"/>
  <c r="AK100" i="9"/>
  <c r="AK516" i="1"/>
  <c r="AK528" i="1"/>
  <c r="AK527" i="1"/>
  <c r="AO527" i="1"/>
  <c r="O58" i="9"/>
  <c r="O60" i="9" s="1"/>
  <c r="O576" i="1"/>
  <c r="O577" i="1" s="1"/>
  <c r="O578" i="1" s="1"/>
  <c r="O579" i="1" s="1"/>
  <c r="O562" i="1"/>
  <c r="BU102" i="9"/>
  <c r="BU103" i="9" s="1"/>
  <c r="AN563" i="1"/>
  <c r="AN580" i="1"/>
  <c r="AN581" i="1" s="1"/>
  <c r="AN582" i="1" s="1"/>
  <c r="AN583" i="1" s="1"/>
  <c r="AN560" i="1"/>
  <c r="F561" i="1"/>
  <c r="F723" i="1"/>
  <c r="AY97" i="9"/>
  <c r="AY98" i="9" s="1"/>
  <c r="L58" i="9"/>
  <c r="L60" i="9" s="1"/>
  <c r="L576" i="1"/>
  <c r="L577" i="1" s="1"/>
  <c r="L578" i="1" s="1"/>
  <c r="L579" i="1" s="1"/>
  <c r="L562" i="1"/>
  <c r="T93" i="9"/>
  <c r="T801" i="1"/>
  <c r="T791" i="1"/>
  <c r="V801" i="1"/>
  <c r="Y801" i="1"/>
  <c r="S801" i="1"/>
  <c r="AO723" i="1"/>
  <c r="AI103" i="9"/>
  <c r="AI104" i="9" s="1"/>
  <c r="AL103" i="9"/>
  <c r="AL104" i="9" s="1"/>
  <c r="AK103" i="9"/>
  <c r="BW751" i="1"/>
  <c r="BV753" i="1"/>
  <c r="BV759" i="1" s="1"/>
  <c r="BP45" i="9"/>
  <c r="BP393" i="1"/>
  <c r="BP402" i="1"/>
  <c r="E122" i="9"/>
  <c r="E54" i="9"/>
  <c r="E35" i="9"/>
  <c r="E40" i="9" s="1"/>
  <c r="AE45" i="9"/>
  <c r="AE402" i="1"/>
  <c r="AE393" i="1"/>
  <c r="F91" i="9"/>
  <c r="F92" i="9" s="1"/>
  <c r="F95" i="9" s="1"/>
  <c r="AS96" i="9"/>
  <c r="AS97" i="9" s="1"/>
  <c r="AS98" i="9" s="1"/>
  <c r="AS81" i="9"/>
  <c r="BG561" i="1"/>
  <c r="BG723" i="1"/>
  <c r="BG97" i="9"/>
  <c r="BG98" i="9" s="1"/>
  <c r="AM561" i="1"/>
  <c r="AM723" i="1"/>
  <c r="BN45" i="9"/>
  <c r="BN393" i="1"/>
  <c r="BN402" i="1"/>
  <c r="W100" i="9"/>
  <c r="W516" i="1"/>
  <c r="W527" i="1"/>
  <c r="W528" i="1"/>
  <c r="G45" i="9"/>
  <c r="G393" i="1"/>
  <c r="G402" i="1"/>
  <c r="AL100" i="9"/>
  <c r="AL516" i="1"/>
  <c r="AL528" i="1"/>
  <c r="AL527" i="1"/>
  <c r="BS30" i="9"/>
  <c r="BS50" i="9"/>
  <c r="BS52" i="9"/>
  <c r="BS51" i="9"/>
  <c r="BS53" i="9"/>
  <c r="AZ580" i="1"/>
  <c r="AZ581" i="1" s="1"/>
  <c r="AZ582" i="1" s="1"/>
  <c r="AZ583" i="1" s="1"/>
  <c r="AZ560" i="1"/>
  <c r="AZ563" i="1"/>
  <c r="AI580" i="1"/>
  <c r="AI581" i="1" s="1"/>
  <c r="AI582" i="1" s="1"/>
  <c r="AI583" i="1" s="1"/>
  <c r="AI560" i="1"/>
  <c r="AI563" i="1"/>
  <c r="P58" i="9"/>
  <c r="P60" i="9" s="1"/>
  <c r="P562" i="1"/>
  <c r="P576" i="1"/>
  <c r="P577" i="1" s="1"/>
  <c r="P578" i="1" s="1"/>
  <c r="P579" i="1" s="1"/>
  <c r="AY104" i="9"/>
  <c r="AM103" i="9"/>
  <c r="AG799" i="1"/>
  <c r="BN89" i="9"/>
  <c r="C75" i="1"/>
  <c r="C80" i="1"/>
  <c r="AC96" i="9"/>
  <c r="AC81" i="9"/>
  <c r="K601" i="1"/>
  <c r="AC104" i="9"/>
  <c r="I580" i="1"/>
  <c r="I581" i="1" s="1"/>
  <c r="I582" i="1" s="1"/>
  <c r="I583" i="1" s="1"/>
  <c r="I560" i="1"/>
  <c r="I563" i="1"/>
  <c r="BG100" i="9"/>
  <c r="BG516" i="1"/>
  <c r="BG528" i="1"/>
  <c r="BG527" i="1"/>
  <c r="BQ100" i="9"/>
  <c r="BQ101" i="9" s="1"/>
  <c r="BQ516" i="1"/>
  <c r="BQ528" i="1"/>
  <c r="BQ527" i="1"/>
  <c r="Z45" i="9"/>
  <c r="Z393" i="1"/>
  <c r="Z402" i="1"/>
  <c r="K100" i="9"/>
  <c r="K101" i="9" s="1"/>
  <c r="K516" i="1"/>
  <c r="K528" i="1"/>
  <c r="K527" i="1"/>
  <c r="D527" i="1"/>
  <c r="P97" i="9"/>
  <c r="P98" i="9" s="1"/>
  <c r="AE600" i="1"/>
  <c r="X58" i="9"/>
  <c r="X60" i="9" s="1"/>
  <c r="X576" i="1"/>
  <c r="X577" i="1" s="1"/>
  <c r="X578" i="1" s="1"/>
  <c r="X579" i="1" s="1"/>
  <c r="X562" i="1"/>
  <c r="U492" i="1"/>
  <c r="BR422" i="1"/>
  <c r="BR424" i="1"/>
  <c r="F45" i="9"/>
  <c r="F393" i="1"/>
  <c r="F402" i="1"/>
  <c r="BO73" i="9"/>
  <c r="BO75" i="9" s="1"/>
  <c r="BO64" i="9"/>
  <c r="BO70" i="9" s="1"/>
  <c r="BO126" i="9" s="1"/>
  <c r="C84" i="1"/>
  <c r="C88" i="1" s="1"/>
  <c r="BM795" i="1"/>
  <c r="BM424" i="1"/>
  <c r="BM422" i="1"/>
  <c r="AA799" i="1"/>
  <c r="BN94" i="9"/>
  <c r="BM91" i="9"/>
  <c r="W561" i="1"/>
  <c r="W723" i="1"/>
  <c r="BO45" i="9"/>
  <c r="BO402" i="1"/>
  <c r="BO393" i="1"/>
  <c r="BI100" i="9"/>
  <c r="BI101" i="9" s="1"/>
  <c r="BI516" i="1"/>
  <c r="BI528" i="1"/>
  <c r="BS104" i="9"/>
  <c r="AX25" i="9"/>
  <c r="AX503" i="1"/>
  <c r="AX398" i="1"/>
  <c r="AX397" i="1"/>
  <c r="AX400" i="1"/>
  <c r="H58" i="9"/>
  <c r="H60" i="9" s="1"/>
  <c r="H576" i="1"/>
  <c r="H577" i="1" s="1"/>
  <c r="H578" i="1" s="1"/>
  <c r="H579" i="1" s="1"/>
  <c r="H562" i="1"/>
  <c r="AP122" i="9"/>
  <c r="AP54" i="9"/>
  <c r="AP35" i="9"/>
  <c r="AP40" i="9" s="1"/>
  <c r="D63" i="1"/>
  <c r="D62" i="1"/>
  <c r="BT512" i="1"/>
  <c r="BT504" i="1"/>
  <c r="BT401" i="1"/>
  <c r="V45" i="9"/>
  <c r="V393" i="1"/>
  <c r="V402" i="1"/>
  <c r="G96" i="9"/>
  <c r="BK104" i="9"/>
  <c r="AD580" i="1"/>
  <c r="AD581" i="1" s="1"/>
  <c r="AD582" i="1" s="1"/>
  <c r="AD583" i="1" s="1"/>
  <c r="AD560" i="1"/>
  <c r="AD563" i="1"/>
  <c r="BF122" i="9"/>
  <c r="BF54" i="9"/>
  <c r="BF35" i="9"/>
  <c r="BF40" i="9" s="1"/>
  <c r="AG91" i="9"/>
  <c r="J799" i="1"/>
  <c r="BP122" i="9"/>
  <c r="BP54" i="9"/>
  <c r="BP35" i="9"/>
  <c r="BP40" i="9" s="1"/>
  <c r="Z96" i="9"/>
  <c r="Z97" i="9" s="1"/>
  <c r="Z98" i="9" s="1"/>
  <c r="Z81" i="9"/>
  <c r="Z600" i="1"/>
  <c r="Z601" i="1"/>
  <c r="K492" i="1"/>
  <c r="AK104" i="9"/>
  <c r="Y58" i="9"/>
  <c r="Y60" i="9" s="1"/>
  <c r="Y562" i="1"/>
  <c r="Y576" i="1"/>
  <c r="Y577" i="1" s="1"/>
  <c r="Y578" i="1" s="1"/>
  <c r="Y579" i="1" s="1"/>
  <c r="N561" i="1"/>
  <c r="N723" i="1"/>
  <c r="AA795" i="1"/>
  <c r="AA422" i="1"/>
  <c r="AA424" i="1"/>
  <c r="AR73" i="9"/>
  <c r="AR75" i="9" s="1"/>
  <c r="AR64" i="9"/>
  <c r="AR70" i="9" s="1"/>
  <c r="AR126" i="9" s="1"/>
  <c r="AX96" i="9"/>
  <c r="AX97" i="9" s="1"/>
  <c r="AX98" i="9" s="1"/>
  <c r="AX81" i="9"/>
  <c r="Y104" i="9"/>
  <c r="BX771" i="1"/>
  <c r="BO97" i="9"/>
  <c r="BO98" i="9" s="1"/>
  <c r="Y394" i="1"/>
  <c r="Y420" i="1"/>
  <c r="U73" i="9"/>
  <c r="U75" i="9" s="1"/>
  <c r="U64" i="9"/>
  <c r="U70" i="9" s="1"/>
  <c r="U126" i="9" s="1"/>
  <c r="H563" i="1"/>
  <c r="H560" i="1"/>
  <c r="H580" i="1"/>
  <c r="H581" i="1" s="1"/>
  <c r="H582" i="1" s="1"/>
  <c r="H583" i="1" s="1"/>
  <c r="Z580" i="1"/>
  <c r="Z560" i="1"/>
  <c r="Z563" i="1"/>
  <c r="Z608" i="1" s="1"/>
  <c r="G2" i="9"/>
  <c r="G5" i="11"/>
  <c r="H5" i="1"/>
  <c r="AF100" i="9"/>
  <c r="AF516" i="1"/>
  <c r="AF528" i="1"/>
  <c r="AF527" i="1"/>
  <c r="X100" i="9"/>
  <c r="X516" i="1"/>
  <c r="X528" i="1"/>
  <c r="X527" i="1"/>
  <c r="AQ73" i="9"/>
  <c r="AQ75" i="9" s="1"/>
  <c r="AQ64" i="9"/>
  <c r="AQ70" i="9" s="1"/>
  <c r="AQ126" i="9" s="1"/>
  <c r="BA96" i="9"/>
  <c r="BA97" i="9" s="1"/>
  <c r="BA98" i="9" s="1"/>
  <c r="BA81" i="9"/>
  <c r="P600" i="1"/>
  <c r="AQ104" i="9"/>
  <c r="AS799" i="1"/>
  <c r="BD563" i="1"/>
  <c r="BD608" i="1" s="1"/>
  <c r="BD580" i="1"/>
  <c r="BD560" i="1"/>
  <c r="AP45" i="9"/>
  <c r="AP402" i="1"/>
  <c r="AP393" i="1"/>
  <c r="AV122" i="9"/>
  <c r="AV54" i="9"/>
  <c r="AV35" i="9"/>
  <c r="AV40" i="9" s="1"/>
  <c r="Q100" i="9"/>
  <c r="Q516" i="1"/>
  <c r="Q528" i="1"/>
  <c r="Q527" i="1"/>
  <c r="AS58" i="9"/>
  <c r="AS60" i="9" s="1"/>
  <c r="AS576" i="1"/>
  <c r="AS577" i="1" s="1"/>
  <c r="AS578" i="1" s="1"/>
  <c r="AS579" i="1" s="1"/>
  <c r="AS562" i="1"/>
  <c r="BC58" i="9"/>
  <c r="BC60" i="9" s="1"/>
  <c r="BC576" i="1"/>
  <c r="BC577" i="1" s="1"/>
  <c r="BC578" i="1" s="1"/>
  <c r="BC579" i="1" s="1"/>
  <c r="BC562" i="1"/>
  <c r="AX104" i="9"/>
  <c r="BA104" i="9"/>
  <c r="BM104" i="9"/>
  <c r="BG104" i="9"/>
  <c r="AX422" i="1"/>
  <c r="AX424" i="1"/>
  <c r="Y512" i="1"/>
  <c r="Y504" i="1"/>
  <c r="Y401" i="1"/>
  <c r="I673" i="1"/>
  <c r="H674" i="1"/>
  <c r="AY100" i="9"/>
  <c r="AY101" i="9" s="1"/>
  <c r="AY516" i="1"/>
  <c r="AY527" i="1"/>
  <c r="AY528" i="1"/>
  <c r="Y580" i="1"/>
  <c r="Y581" i="1" s="1"/>
  <c r="Y582" i="1" s="1"/>
  <c r="Y583" i="1" s="1"/>
  <c r="Y560" i="1"/>
  <c r="Y563" i="1"/>
  <c r="BY781" i="1"/>
  <c r="Y103" i="9"/>
  <c r="AA103" i="9"/>
  <c r="AA104" i="9" s="1"/>
  <c r="BI122" i="9"/>
  <c r="BI35" i="9"/>
  <c r="BI40" i="9" s="1"/>
  <c r="BI54" i="9"/>
  <c r="AT100" i="9"/>
  <c r="AT101" i="9" s="1"/>
  <c r="AT516" i="1"/>
  <c r="AT527" i="1"/>
  <c r="AT528" i="1"/>
  <c r="BK512" i="1"/>
  <c r="BK504" i="1"/>
  <c r="BK401" i="1"/>
  <c r="E870" i="1"/>
  <c r="AH45" i="9"/>
  <c r="AH402" i="1"/>
  <c r="AH393" i="1"/>
  <c r="BJ122" i="9"/>
  <c r="BJ54" i="9"/>
  <c r="BJ35" i="9"/>
  <c r="BJ40" i="9" s="1"/>
  <c r="R45" i="9"/>
  <c r="R402" i="1"/>
  <c r="R393" i="1"/>
  <c r="AO601" i="1"/>
  <c r="K104" i="9"/>
  <c r="BI7" i="9"/>
  <c r="BI591" i="1"/>
  <c r="BD424" i="1"/>
  <c r="BD422" i="1"/>
  <c r="AW100" i="9"/>
  <c r="AW516" i="1"/>
  <c r="AW528" i="1"/>
  <c r="AW527" i="1"/>
  <c r="N104" i="9"/>
  <c r="BD104" i="9"/>
  <c r="BK561" i="1"/>
  <c r="BK723" i="1"/>
  <c r="AN94" i="9"/>
  <c r="AW580" i="1"/>
  <c r="AW581" i="1" s="1"/>
  <c r="AW582" i="1" s="1"/>
  <c r="AW583" i="1" s="1"/>
  <c r="AW563" i="1"/>
  <c r="AW560" i="1"/>
  <c r="C100" i="9"/>
  <c r="C101" i="9" s="1"/>
  <c r="C105" i="9" s="1"/>
  <c r="C516" i="1"/>
  <c r="C528" i="1"/>
  <c r="C527" i="1"/>
  <c r="AR100" i="9"/>
  <c r="AR516" i="1"/>
  <c r="AR528" i="1"/>
  <c r="AK45" i="9"/>
  <c r="AK402" i="1"/>
  <c r="AK393" i="1"/>
  <c r="BL512" i="1"/>
  <c r="BL504" i="1"/>
  <c r="BL401" i="1"/>
  <c r="BI527" i="1"/>
  <c r="O580" i="1"/>
  <c r="O581" i="1" s="1"/>
  <c r="O582" i="1" s="1"/>
  <c r="O583" i="1" s="1"/>
  <c r="O563" i="1"/>
  <c r="O560" i="1"/>
  <c r="M94" i="9"/>
  <c r="P808" i="1"/>
  <c r="L561" i="1"/>
  <c r="L723" i="1"/>
  <c r="L799" i="1" s="1"/>
  <c r="AX723" i="1"/>
  <c r="AO104" i="9"/>
  <c r="B4" i="11"/>
  <c r="B3" i="1"/>
  <c r="BH422" i="1"/>
  <c r="BH424" i="1"/>
  <c r="AE100" i="9"/>
  <c r="AE101" i="9" s="1"/>
  <c r="AE516" i="1"/>
  <c r="AE527" i="1"/>
  <c r="AE528" i="1"/>
  <c r="Z492" i="1"/>
  <c r="AB103" i="9"/>
  <c r="AB104" i="9" s="1"/>
  <c r="G100" i="9"/>
  <c r="G516" i="1"/>
  <c r="G527" i="1"/>
  <c r="G528" i="1"/>
  <c r="AL45" i="9"/>
  <c r="AL393" i="1"/>
  <c r="AL402" i="1"/>
  <c r="T512" i="1"/>
  <c r="T401" i="1"/>
  <c r="T504" i="1"/>
  <c r="C116" i="9"/>
  <c r="J96" i="9"/>
  <c r="J97" i="9" s="1"/>
  <c r="J98" i="9" s="1"/>
  <c r="J81" i="9"/>
  <c r="BD808" i="1"/>
  <c r="P561" i="1"/>
  <c r="P723" i="1"/>
  <c r="T58" i="9"/>
  <c r="T60" i="9" s="1"/>
  <c r="T576" i="1"/>
  <c r="T577" i="1" s="1"/>
  <c r="T578" i="1" s="1"/>
  <c r="T579" i="1" s="1"/>
  <c r="T562" i="1"/>
  <c r="C215" i="1"/>
  <c r="C183" i="1"/>
  <c r="C122" i="9"/>
  <c r="C54" i="9"/>
  <c r="C35" i="9"/>
  <c r="C40" i="9" s="1"/>
  <c r="S122" i="9"/>
  <c r="S54" i="9"/>
  <c r="S35" i="9"/>
  <c r="S40" i="9" s="1"/>
  <c r="AJ100" i="9"/>
  <c r="AJ101" i="9" s="1"/>
  <c r="AJ516" i="1"/>
  <c r="AJ528" i="1"/>
  <c r="T422" i="1"/>
  <c r="T424" i="1"/>
  <c r="AO40" i="9"/>
  <c r="BE45" i="9"/>
  <c r="BE402" i="1"/>
  <c r="BE393" i="1"/>
  <c r="AY112" i="9"/>
  <c r="AT73" i="9"/>
  <c r="AT75" i="9" s="1"/>
  <c r="AT64" i="9"/>
  <c r="AT70" i="9" s="1"/>
  <c r="AT126" i="9" s="1"/>
  <c r="H723" i="1"/>
  <c r="H799" i="1" s="1"/>
  <c r="BN492" i="1"/>
  <c r="BN723" i="1"/>
  <c r="BD723" i="1"/>
  <c r="BD799" i="1" s="1"/>
  <c r="BG45" i="9"/>
  <c r="BG402" i="1"/>
  <c r="BG393" i="1"/>
  <c r="AZ100" i="9"/>
  <c r="AZ516" i="1"/>
  <c r="AZ528" i="1"/>
  <c r="BQ45" i="9"/>
  <c r="BQ393" i="1"/>
  <c r="BQ402" i="1"/>
  <c r="AA122" i="9"/>
  <c r="AA35" i="9"/>
  <c r="AA40" i="9" s="1"/>
  <c r="AA54" i="9"/>
  <c r="K45" i="9"/>
  <c r="K402" i="1"/>
  <c r="K393" i="1"/>
  <c r="V96" i="9"/>
  <c r="V81" i="9"/>
  <c r="X561" i="1"/>
  <c r="X723" i="1"/>
  <c r="Y799" i="1" s="1"/>
  <c r="BM58" i="9"/>
  <c r="BM60" i="9" s="1"/>
  <c r="BM562" i="1"/>
  <c r="BM576" i="1"/>
  <c r="BM577" i="1" s="1"/>
  <c r="BM578" i="1" s="1"/>
  <c r="BM579" i="1" s="1"/>
  <c r="Q58" i="9"/>
  <c r="Q60" i="9" s="1"/>
  <c r="Q562" i="1"/>
  <c r="Q576" i="1"/>
  <c r="Q577" i="1" s="1"/>
  <c r="Q578" i="1" s="1"/>
  <c r="Q579" i="1" s="1"/>
  <c r="AH122" i="9"/>
  <c r="AH54" i="9"/>
  <c r="AH35" i="9"/>
  <c r="AH40" i="9" s="1"/>
  <c r="M527" i="1"/>
  <c r="AA580" i="1"/>
  <c r="AA581" i="1" s="1"/>
  <c r="AA582" i="1" s="1"/>
  <c r="AA583" i="1" s="1"/>
  <c r="AA563" i="1"/>
  <c r="AA560" i="1"/>
  <c r="BO580" i="1"/>
  <c r="BO581" i="1" s="1"/>
  <c r="BO582" i="1" s="1"/>
  <c r="BO583" i="1" s="1"/>
  <c r="BO560" i="1"/>
  <c r="BO563" i="1"/>
  <c r="AT104" i="9"/>
  <c r="AT105" i="9" s="1"/>
  <c r="M58" i="9"/>
  <c r="M60" i="9" s="1"/>
  <c r="M576" i="1"/>
  <c r="M577" i="1" s="1"/>
  <c r="M578" i="1" s="1"/>
  <c r="M579" i="1" s="1"/>
  <c r="M562" i="1"/>
  <c r="AG563" i="1"/>
  <c r="AG580" i="1"/>
  <c r="AG581" i="1" s="1"/>
  <c r="AG582" i="1" s="1"/>
  <c r="AG583" i="1" s="1"/>
  <c r="AG560" i="1"/>
  <c r="D104" i="9"/>
  <c r="D105" i="9" s="1"/>
  <c r="BG123" i="9" l="1"/>
  <c r="BG55" i="9"/>
  <c r="BN799" i="1"/>
  <c r="BS799" i="1"/>
  <c r="C238" i="1"/>
  <c r="C219" i="1"/>
  <c r="BK799" i="1"/>
  <c r="BP799" i="1"/>
  <c r="AW520" i="1"/>
  <c r="AW794" i="1"/>
  <c r="AW795" i="1"/>
  <c r="AV91" i="9"/>
  <c r="C91" i="9"/>
  <c r="C92" i="9" s="1"/>
  <c r="R111" i="9"/>
  <c r="M83" i="9"/>
  <c r="M80" i="9" s="1"/>
  <c r="M72" i="9"/>
  <c r="M62" i="9"/>
  <c r="AA91" i="9"/>
  <c r="T100" i="9"/>
  <c r="T101" i="9" s="1"/>
  <c r="T516" i="1"/>
  <c r="T528" i="1"/>
  <c r="T527" i="1"/>
  <c r="AO105" i="9"/>
  <c r="K105" i="9"/>
  <c r="AT800" i="1"/>
  <c r="AT520" i="1"/>
  <c r="AT795" i="1"/>
  <c r="AT794" i="1"/>
  <c r="AP123" i="9"/>
  <c r="AP55" i="9"/>
  <c r="BD581" i="1"/>
  <c r="BD582" i="1" s="1"/>
  <c r="BD583" i="1" s="1"/>
  <c r="X520" i="1"/>
  <c r="X794" i="1"/>
  <c r="X795" i="1"/>
  <c r="BX589" i="1"/>
  <c r="BY589" i="1" s="1"/>
  <c r="N560" i="1"/>
  <c r="N580" i="1"/>
  <c r="N581" i="1" s="1"/>
  <c r="N582" i="1" s="1"/>
  <c r="N583" i="1" s="1"/>
  <c r="N563" i="1"/>
  <c r="AP91" i="9"/>
  <c r="F123" i="9"/>
  <c r="K109" i="9"/>
  <c r="F82" i="9"/>
  <c r="F79" i="9" s="1"/>
  <c r="F55" i="9"/>
  <c r="AM799" i="1"/>
  <c r="AR799" i="1"/>
  <c r="AO799" i="1"/>
  <c r="AT799" i="1"/>
  <c r="AK520" i="1"/>
  <c r="AK795" i="1"/>
  <c r="AK794" i="1"/>
  <c r="AM104" i="9"/>
  <c r="E84" i="1"/>
  <c r="E88" i="1" s="1"/>
  <c r="E201" i="1"/>
  <c r="E239" i="1" s="1"/>
  <c r="Z800" i="1"/>
  <c r="Z520" i="1"/>
  <c r="Z794" i="1"/>
  <c r="Z795" i="1"/>
  <c r="N111" i="9"/>
  <c r="I72" i="9"/>
  <c r="I62" i="9"/>
  <c r="AR111" i="9"/>
  <c r="AM83" i="9"/>
  <c r="AM80" i="9" s="1"/>
  <c r="AM72" i="9"/>
  <c r="AM62" i="9"/>
  <c r="AL91" i="9"/>
  <c r="O94" i="9"/>
  <c r="Q94" i="9"/>
  <c r="S94" i="9"/>
  <c r="R94" i="9"/>
  <c r="S800" i="1"/>
  <c r="S520" i="1"/>
  <c r="S794" i="1"/>
  <c r="S795" i="1"/>
  <c r="M123" i="9"/>
  <c r="R109" i="9"/>
  <c r="M55" i="9"/>
  <c r="AQ800" i="1"/>
  <c r="AQ520" i="1"/>
  <c r="AQ795" i="1"/>
  <c r="AQ794" i="1"/>
  <c r="V800" i="1"/>
  <c r="V520" i="1"/>
  <c r="V794" i="1"/>
  <c r="V795" i="1"/>
  <c r="BQ105" i="9"/>
  <c r="BK122" i="9"/>
  <c r="BK54" i="9"/>
  <c r="BK35" i="9"/>
  <c r="BK40" i="9" s="1"/>
  <c r="BW9" i="9"/>
  <c r="BW797" i="1"/>
  <c r="BW588" i="1"/>
  <c r="BW763" i="1" s="1"/>
  <c r="BF800" i="1"/>
  <c r="BF520" i="1"/>
  <c r="BF794" i="1"/>
  <c r="BF795" i="1"/>
  <c r="D111" i="9"/>
  <c r="C62" i="9"/>
  <c r="C83" i="9"/>
  <c r="C80" i="9" s="1"/>
  <c r="C72" i="9"/>
  <c r="C117" i="9" s="1"/>
  <c r="AB800" i="1"/>
  <c r="AB520" i="1"/>
  <c r="AB794" i="1"/>
  <c r="AB795" i="1"/>
  <c r="BG91" i="9"/>
  <c r="AG800" i="1"/>
  <c r="AG520" i="1"/>
  <c r="AG794" i="1"/>
  <c r="AG795" i="1"/>
  <c r="AO111" i="9"/>
  <c r="AJ83" i="9"/>
  <c r="AJ80" i="9" s="1"/>
  <c r="AJ72" i="9"/>
  <c r="AJ117" i="9" s="1"/>
  <c r="AJ62" i="9"/>
  <c r="AJ111" i="9"/>
  <c r="BM123" i="9"/>
  <c r="BM55" i="9"/>
  <c r="AM111" i="9"/>
  <c r="AH83" i="9"/>
  <c r="AH80" i="9" s="1"/>
  <c r="AH62" i="9"/>
  <c r="AH72" i="9"/>
  <c r="AH111" i="9"/>
  <c r="AK580" i="1"/>
  <c r="AK581" i="1" s="1"/>
  <c r="AK582" i="1" s="1"/>
  <c r="AK583" i="1" s="1"/>
  <c r="AK560" i="1"/>
  <c r="AK563" i="1"/>
  <c r="BZ749" i="1"/>
  <c r="AP111" i="9"/>
  <c r="AK83" i="9"/>
  <c r="AK80" i="9" s="1"/>
  <c r="AK72" i="9"/>
  <c r="AK62" i="9"/>
  <c r="AP520" i="1"/>
  <c r="AP125" i="9" s="1"/>
  <c r="AP794" i="1"/>
  <c r="AP795" i="1"/>
  <c r="O108" i="9"/>
  <c r="J30" i="9"/>
  <c r="J51" i="9"/>
  <c r="J53" i="9"/>
  <c r="J52" i="9"/>
  <c r="P2" i="9"/>
  <c r="P5" i="11"/>
  <c r="Q5" i="1"/>
  <c r="U5" i="1"/>
  <c r="M799" i="1"/>
  <c r="R799" i="1"/>
  <c r="BE520" i="1"/>
  <c r="BE794" i="1"/>
  <c r="BE795" i="1"/>
  <c r="V111" i="9"/>
  <c r="Q72" i="9"/>
  <c r="Q83" i="9"/>
  <c r="Q80" i="9" s="1"/>
  <c r="Q62" i="9"/>
  <c r="AE800" i="1"/>
  <c r="AE520" i="1"/>
  <c r="AE794" i="1"/>
  <c r="AE795" i="1"/>
  <c r="AX799" i="1"/>
  <c r="AZ799" i="1"/>
  <c r="AR520" i="1"/>
  <c r="AR794" i="1"/>
  <c r="AR795" i="1"/>
  <c r="AN104" i="9"/>
  <c r="E890" i="1"/>
  <c r="E881" i="1"/>
  <c r="E879" i="1" s="1"/>
  <c r="E615" i="1" s="1"/>
  <c r="E874" i="1"/>
  <c r="E872" i="1" s="1"/>
  <c r="E614" i="1" s="1"/>
  <c r="E888" i="1"/>
  <c r="E886" i="1" s="1"/>
  <c r="E616" i="1" s="1"/>
  <c r="E883" i="1"/>
  <c r="E876" i="1"/>
  <c r="J673" i="1"/>
  <c r="I674" i="1"/>
  <c r="Q520" i="1"/>
  <c r="Q794" i="1"/>
  <c r="Q795" i="1"/>
  <c r="X101" i="9"/>
  <c r="BI520" i="1"/>
  <c r="BI794" i="1"/>
  <c r="BI795" i="1"/>
  <c r="BQ520" i="1"/>
  <c r="BQ794" i="1"/>
  <c r="BQ795" i="1"/>
  <c r="BN123" i="9"/>
  <c r="BN82" i="9"/>
  <c r="BN55" i="9"/>
  <c r="AM563" i="1"/>
  <c r="AM580" i="1"/>
  <c r="AM581" i="1" s="1"/>
  <c r="AM582" i="1" s="1"/>
  <c r="AM583" i="1" s="1"/>
  <c r="AM560" i="1"/>
  <c r="Q111" i="9"/>
  <c r="L83" i="9"/>
  <c r="L80" i="9" s="1"/>
  <c r="L72" i="9"/>
  <c r="L62" i="9"/>
  <c r="BP111" i="9"/>
  <c r="BK72" i="9"/>
  <c r="BK62" i="9"/>
  <c r="AH520" i="1"/>
  <c r="AH794" i="1"/>
  <c r="AH795" i="1"/>
  <c r="BB104" i="9"/>
  <c r="AO800" i="1"/>
  <c r="AO520" i="1"/>
  <c r="AO794" i="1"/>
  <c r="AO795" i="1"/>
  <c r="BC122" i="9"/>
  <c r="BC54" i="9"/>
  <c r="BC35" i="9"/>
  <c r="BC40" i="9" s="1"/>
  <c r="BD45" i="9"/>
  <c r="BD402" i="1"/>
  <c r="BD393" i="1"/>
  <c r="BD600" i="1"/>
  <c r="O799" i="1"/>
  <c r="AI97" i="9"/>
  <c r="AI98" i="9" s="1"/>
  <c r="V101" i="9"/>
  <c r="BB109" i="9"/>
  <c r="AW123" i="9"/>
  <c r="AW55" i="9"/>
  <c r="C799" i="1"/>
  <c r="C726" i="1"/>
  <c r="D799" i="1"/>
  <c r="AC123" i="9"/>
  <c r="AH109" i="9"/>
  <c r="AC55" i="9"/>
  <c r="BE580" i="1"/>
  <c r="BE581" i="1" s="1"/>
  <c r="BE582" i="1" s="1"/>
  <c r="BE583" i="1" s="1"/>
  <c r="BE560" i="1"/>
  <c r="BE563" i="1"/>
  <c r="BC45" i="9"/>
  <c r="BC402" i="1"/>
  <c r="BC393" i="1"/>
  <c r="BI799" i="1"/>
  <c r="AG101" i="9"/>
  <c r="AI111" i="9"/>
  <c r="AD83" i="9"/>
  <c r="AD72" i="9"/>
  <c r="AD62" i="9"/>
  <c r="BB125" i="9"/>
  <c r="BB91" i="9"/>
  <c r="BI123" i="9"/>
  <c r="BN109" i="9"/>
  <c r="BI82" i="9"/>
  <c r="BI55" i="9"/>
  <c r="AE125" i="9"/>
  <c r="AE91" i="9"/>
  <c r="AE92" i="9" s="1"/>
  <c r="AE95" i="9" s="1"/>
  <c r="K581" i="1"/>
  <c r="K582" i="1" s="1"/>
  <c r="K583" i="1" s="1"/>
  <c r="AF109" i="9"/>
  <c r="AA123" i="9"/>
  <c r="AA55" i="9"/>
  <c r="S111" i="9"/>
  <c r="N83" i="9"/>
  <c r="N80" i="9" s="1"/>
  <c r="N72" i="9"/>
  <c r="N62" i="9"/>
  <c r="M580" i="1"/>
  <c r="M581" i="1" s="1"/>
  <c r="M582" i="1" s="1"/>
  <c r="M583" i="1" s="1"/>
  <c r="M560" i="1"/>
  <c r="M563" i="1"/>
  <c r="F99" i="9"/>
  <c r="AW799" i="1"/>
  <c r="U99" i="9"/>
  <c r="AH123" i="9"/>
  <c r="AH55" i="9"/>
  <c r="BZ781" i="1"/>
  <c r="AY800" i="1"/>
  <c r="AY520" i="1"/>
  <c r="AY794" i="1"/>
  <c r="V123" i="9"/>
  <c r="AA109" i="9"/>
  <c r="V55" i="9"/>
  <c r="AX504" i="1"/>
  <c r="AX512" i="1"/>
  <c r="AX401" i="1"/>
  <c r="K800" i="1"/>
  <c r="K520" i="1"/>
  <c r="K795" i="1"/>
  <c r="K794" i="1"/>
  <c r="BS122" i="9"/>
  <c r="BS35" i="9"/>
  <c r="BS40" i="9" s="1"/>
  <c r="BS54" i="9"/>
  <c r="G123" i="9"/>
  <c r="L109" i="9"/>
  <c r="G55" i="9"/>
  <c r="BH58" i="9"/>
  <c r="BH60" i="9" s="1"/>
  <c r="BK83" i="9" s="1"/>
  <c r="BK80" i="9" s="1"/>
  <c r="BH576" i="1"/>
  <c r="BH577" i="1" s="1"/>
  <c r="BH578" i="1" s="1"/>
  <c r="BH579" i="1" s="1"/>
  <c r="BH562" i="1"/>
  <c r="E119" i="1"/>
  <c r="E58" i="1"/>
  <c r="E83" i="1"/>
  <c r="AO581" i="1"/>
  <c r="AO582" i="1" s="1"/>
  <c r="AO583" i="1" s="1"/>
  <c r="D123" i="9"/>
  <c r="E109" i="9"/>
  <c r="D82" i="9"/>
  <c r="D79" i="9" s="1"/>
  <c r="D55" i="9"/>
  <c r="AP580" i="1"/>
  <c r="AP581" i="1" s="1"/>
  <c r="AP582" i="1" s="1"/>
  <c r="AP583" i="1" s="1"/>
  <c r="AP560" i="1"/>
  <c r="AP563" i="1"/>
  <c r="AE105" i="9"/>
  <c r="T96" i="9"/>
  <c r="T97" i="9" s="1"/>
  <c r="T98" i="9" s="1"/>
  <c r="T81" i="9"/>
  <c r="K111" i="9"/>
  <c r="F83" i="9"/>
  <c r="F80" i="9" s="1"/>
  <c r="F72" i="9"/>
  <c r="F117" i="9" s="1"/>
  <c r="F62" i="9"/>
  <c r="F111" i="9"/>
  <c r="AU122" i="9"/>
  <c r="AU54" i="9"/>
  <c r="AU35" i="9"/>
  <c r="AU40" i="9" s="1"/>
  <c r="BD100" i="9"/>
  <c r="BD101" i="9" s="1"/>
  <c r="BD516" i="1"/>
  <c r="BI800" i="1" s="1"/>
  <c r="BD527" i="1"/>
  <c r="BD528" i="1"/>
  <c r="BK111" i="9"/>
  <c r="BF83" i="9"/>
  <c r="BF80" i="9" s="1"/>
  <c r="BF72" i="9"/>
  <c r="BF62" i="9"/>
  <c r="BF111" i="9"/>
  <c r="BB123" i="9"/>
  <c r="BG109" i="9"/>
  <c r="BB55" i="9"/>
  <c r="AB91" i="9"/>
  <c r="BL122" i="9"/>
  <c r="BL54" i="9"/>
  <c r="BL35" i="9"/>
  <c r="BL40" i="9" s="1"/>
  <c r="AU97" i="9"/>
  <c r="AU98" i="9" s="1"/>
  <c r="AN108" i="9"/>
  <c r="AI30" i="9"/>
  <c r="AI50" i="9"/>
  <c r="AI53" i="9"/>
  <c r="AI51" i="9"/>
  <c r="AI52" i="9"/>
  <c r="BA111" i="9"/>
  <c r="AV83" i="9"/>
  <c r="AV80" i="9" s="1"/>
  <c r="AV72" i="9"/>
  <c r="AV62" i="9"/>
  <c r="AV111" i="9"/>
  <c r="AV109" i="9"/>
  <c r="AQ123" i="9"/>
  <c r="AQ55" i="9"/>
  <c r="I520" i="1"/>
  <c r="I794" i="1"/>
  <c r="I795" i="1"/>
  <c r="BC100" i="9"/>
  <c r="BC101" i="9" s="1"/>
  <c r="BC516" i="1"/>
  <c r="BC528" i="1"/>
  <c r="BC527" i="1"/>
  <c r="BI580" i="1"/>
  <c r="BI560" i="1"/>
  <c r="BI563" i="1"/>
  <c r="BI608" i="1" s="1"/>
  <c r="AR125" i="9"/>
  <c r="AR91" i="9"/>
  <c r="AQ111" i="9"/>
  <c r="AL83" i="9"/>
  <c r="AL80" i="9" s="1"/>
  <c r="AL72" i="9"/>
  <c r="AL62" i="9"/>
  <c r="BH45" i="9"/>
  <c r="BH393" i="1"/>
  <c r="BH402" i="1"/>
  <c r="BB800" i="1"/>
  <c r="BB520" i="1"/>
  <c r="BB795" i="1"/>
  <c r="BB794" i="1"/>
  <c r="BS111" i="9"/>
  <c r="BN83" i="9"/>
  <c r="BN80" i="9" s="1"/>
  <c r="BN72" i="9"/>
  <c r="BN117" i="9" s="1"/>
  <c r="BN62" i="9"/>
  <c r="AI422" i="1"/>
  <c r="AI424" i="1"/>
  <c r="U91" i="9"/>
  <c r="U92" i="9" s="1"/>
  <c r="U95" i="9" s="1"/>
  <c r="AM122" i="9"/>
  <c r="AM54" i="9"/>
  <c r="AM35" i="9"/>
  <c r="AM40" i="9" s="1"/>
  <c r="Y96" i="9"/>
  <c r="Y81" i="9"/>
  <c r="U123" i="9"/>
  <c r="Z109" i="9"/>
  <c r="U82" i="9"/>
  <c r="U79" i="9" s="1"/>
  <c r="U55" i="9"/>
  <c r="U105" i="9"/>
  <c r="E800" i="1"/>
  <c r="E520" i="1"/>
  <c r="E794" i="1"/>
  <c r="E795" i="1"/>
  <c r="AB111" i="9"/>
  <c r="W83" i="9"/>
  <c r="W80" i="9" s="1"/>
  <c r="W72" i="9"/>
  <c r="W62" i="9"/>
  <c r="BL45" i="9"/>
  <c r="BP82" i="9" s="1"/>
  <c r="BP79" i="9" s="1"/>
  <c r="BL402" i="1"/>
  <c r="BL393" i="1"/>
  <c r="BC83" i="9"/>
  <c r="BC80" i="9" s="1"/>
  <c r="BC72" i="9"/>
  <c r="BC62" i="9"/>
  <c r="BC108" i="9"/>
  <c r="AX30" i="9"/>
  <c r="AX51" i="9"/>
  <c r="AX53" i="9"/>
  <c r="AX52" i="9"/>
  <c r="AC111" i="9"/>
  <c r="X83" i="9"/>
  <c r="X80" i="9" s="1"/>
  <c r="X72" i="9"/>
  <c r="X62" i="9"/>
  <c r="X111" i="9"/>
  <c r="BG799" i="1"/>
  <c r="F799" i="1"/>
  <c r="E799" i="1"/>
  <c r="BH561" i="1"/>
  <c r="BH723" i="1"/>
  <c r="AH101" i="9"/>
  <c r="E215" i="1"/>
  <c r="E183" i="1"/>
  <c r="M97" i="9"/>
  <c r="M98" i="9" s="1"/>
  <c r="AQ125" i="9"/>
  <c r="AQ91" i="9"/>
  <c r="W123" i="9"/>
  <c r="AB109" i="9"/>
  <c r="W55" i="9"/>
  <c r="AK125" i="9"/>
  <c r="AK91" i="9"/>
  <c r="AL799" i="1"/>
  <c r="AQ799" i="1"/>
  <c r="BZ742" i="1"/>
  <c r="CA739" i="1"/>
  <c r="BR96" i="9"/>
  <c r="BR81" i="9"/>
  <c r="BT122" i="9"/>
  <c r="BT54" i="9"/>
  <c r="BT35" i="9"/>
  <c r="BT40" i="9" s="1"/>
  <c r="K125" i="9"/>
  <c r="K91" i="9"/>
  <c r="K92" i="9" s="1"/>
  <c r="K95" i="9" s="1"/>
  <c r="AD100" i="9"/>
  <c r="AD101" i="9" s="1"/>
  <c r="AD516" i="1"/>
  <c r="AE805" i="1" s="1"/>
  <c r="AD527" i="1"/>
  <c r="AD528" i="1"/>
  <c r="C872" i="1"/>
  <c r="C614" i="1" s="1"/>
  <c r="A872" i="1"/>
  <c r="AU104" i="9"/>
  <c r="AJ799" i="1"/>
  <c r="AJ726" i="1"/>
  <c r="BA109" i="9"/>
  <c r="AV123" i="9"/>
  <c r="AV55" i="9"/>
  <c r="D109" i="9"/>
  <c r="C123" i="9"/>
  <c r="C82" i="9"/>
  <c r="C79" i="9" s="1"/>
  <c r="C55" i="9"/>
  <c r="BI104" i="9"/>
  <c r="BI105" i="9" s="1"/>
  <c r="BI95" i="9"/>
  <c r="AC520" i="1"/>
  <c r="AC794" i="1"/>
  <c r="AC795" i="1"/>
  <c r="AC125" i="9"/>
  <c r="AC91" i="9"/>
  <c r="C62" i="1"/>
  <c r="C63" i="1" s="1"/>
  <c r="AB123" i="9"/>
  <c r="AG109" i="9"/>
  <c r="AB55" i="9"/>
  <c r="AK97" i="9"/>
  <c r="AK98" i="9" s="1"/>
  <c r="BQ125" i="9"/>
  <c r="BQ91" i="9"/>
  <c r="E123" i="9"/>
  <c r="F109" i="9"/>
  <c r="E82" i="9"/>
  <c r="E79" i="9" s="1"/>
  <c r="E55" i="9"/>
  <c r="BY756" i="1"/>
  <c r="BX755" i="1"/>
  <c r="AZ97" i="9"/>
  <c r="AZ98" i="9" s="1"/>
  <c r="X123" i="9"/>
  <c r="AC109" i="9"/>
  <c r="X55" i="9"/>
  <c r="AS504" i="1"/>
  <c r="AS512" i="1"/>
  <c r="AS401" i="1"/>
  <c r="O512" i="1"/>
  <c r="O504" i="1"/>
  <c r="O401" i="1"/>
  <c r="AW97" i="9"/>
  <c r="AW98" i="9" s="1"/>
  <c r="AA520" i="1"/>
  <c r="AA125" i="9" s="1"/>
  <c r="AA794" i="1"/>
  <c r="BM83" i="9"/>
  <c r="BM80" i="9" s="1"/>
  <c r="BM72" i="9"/>
  <c r="BM62" i="9"/>
  <c r="BP83" i="9"/>
  <c r="BP80" i="9" s="1"/>
  <c r="BQ83" i="9"/>
  <c r="BQ80" i="9" s="1"/>
  <c r="BO83" i="9"/>
  <c r="BO80" i="9" s="1"/>
  <c r="BQ123" i="9"/>
  <c r="BQ82" i="9"/>
  <c r="BQ79" i="9" s="1"/>
  <c r="BQ55" i="9"/>
  <c r="BE123" i="9"/>
  <c r="BJ109" i="9"/>
  <c r="BE82" i="9"/>
  <c r="BE79" i="9" s="1"/>
  <c r="BE55" i="9"/>
  <c r="S125" i="9"/>
  <c r="S91" i="9"/>
  <c r="BL100" i="9"/>
  <c r="BL516" i="1"/>
  <c r="BQ800" i="1" s="1"/>
  <c r="BL527" i="1"/>
  <c r="BL528" i="1"/>
  <c r="R123" i="9"/>
  <c r="W109" i="9"/>
  <c r="R55" i="9"/>
  <c r="BK45" i="9"/>
  <c r="BK109" i="9" s="1"/>
  <c r="BK393" i="1"/>
  <c r="BK402" i="1"/>
  <c r="Y100" i="9"/>
  <c r="Y101" i="9" s="1"/>
  <c r="Y105" i="9" s="1"/>
  <c r="Y516" i="1"/>
  <c r="X800" i="1" s="1"/>
  <c r="Y527" i="1"/>
  <c r="Y528" i="1"/>
  <c r="AF800" i="1"/>
  <c r="AF520" i="1"/>
  <c r="AF794" i="1"/>
  <c r="AF795" i="1"/>
  <c r="Y422" i="1"/>
  <c r="Y424" i="1"/>
  <c r="BT45" i="9"/>
  <c r="BT402" i="1"/>
  <c r="BT393" i="1"/>
  <c r="I799" i="1"/>
  <c r="AY105" i="9"/>
  <c r="BG580" i="1"/>
  <c r="BG581" i="1" s="1"/>
  <c r="BG582" i="1" s="1"/>
  <c r="BG583" i="1" s="1"/>
  <c r="BG563" i="1"/>
  <c r="BG560" i="1"/>
  <c r="BP123" i="9"/>
  <c r="BP55" i="9"/>
  <c r="BX751" i="1"/>
  <c r="BW753" i="1"/>
  <c r="BW759" i="1" s="1"/>
  <c r="F560" i="1"/>
  <c r="F580" i="1"/>
  <c r="F563" i="1"/>
  <c r="F608" i="1" s="1"/>
  <c r="T111" i="9"/>
  <c r="O72" i="9"/>
  <c r="O83" i="9"/>
  <c r="O80" i="9" s="1"/>
  <c r="O62" i="9"/>
  <c r="S123" i="9"/>
  <c r="X109" i="9"/>
  <c r="S55" i="9"/>
  <c r="BD122" i="9"/>
  <c r="BD54" i="9"/>
  <c r="BD35" i="9"/>
  <c r="BD40" i="9" s="1"/>
  <c r="D91" i="9"/>
  <c r="D92" i="9" s="1"/>
  <c r="D95" i="9" s="1"/>
  <c r="BF799" i="1"/>
  <c r="AD94" i="9"/>
  <c r="AG94" i="9"/>
  <c r="AF94" i="9"/>
  <c r="AZ123" i="9"/>
  <c r="BE109" i="9"/>
  <c r="AZ55" i="9"/>
  <c r="AJ123" i="9"/>
  <c r="AO109" i="9"/>
  <c r="AJ82" i="9"/>
  <c r="AJ79" i="9" s="1"/>
  <c r="AJ55" i="9"/>
  <c r="BS45" i="9"/>
  <c r="BS393" i="1"/>
  <c r="BS402" i="1"/>
  <c r="G91" i="9"/>
  <c r="Q799" i="1"/>
  <c r="BF123" i="9"/>
  <c r="BF82" i="9"/>
  <c r="BF79" i="9" s="1"/>
  <c r="BF55" i="9"/>
  <c r="AL560" i="1"/>
  <c r="AL580" i="1"/>
  <c r="AL581" i="1" s="1"/>
  <c r="AL582" i="1" s="1"/>
  <c r="AL583" i="1" s="1"/>
  <c r="AL563" i="1"/>
  <c r="U805" i="1"/>
  <c r="U800" i="1"/>
  <c r="U520" i="1"/>
  <c r="U795" i="1"/>
  <c r="U794" i="1"/>
  <c r="AU111" i="9"/>
  <c r="AP83" i="9"/>
  <c r="AP80" i="9" s="1"/>
  <c r="AP62" i="9"/>
  <c r="AP72" i="9"/>
  <c r="AR83" i="9"/>
  <c r="AR80" i="9" s="1"/>
  <c r="AQ83" i="9"/>
  <c r="AQ80" i="9" s="1"/>
  <c r="BH122" i="9"/>
  <c r="BH35" i="9"/>
  <c r="BH40" i="9" s="1"/>
  <c r="BH54" i="9"/>
  <c r="H800" i="1"/>
  <c r="H520" i="1"/>
  <c r="H794" i="1"/>
  <c r="H795" i="1"/>
  <c r="AD45" i="9"/>
  <c r="AH82" i="9" s="1"/>
  <c r="AH79" i="9" s="1"/>
  <c r="AD393" i="1"/>
  <c r="AD402" i="1"/>
  <c r="C879" i="1"/>
  <c r="C615" i="1" s="1"/>
  <c r="A879" i="1"/>
  <c r="AT123" i="9"/>
  <c r="AY109" i="9"/>
  <c r="AT82" i="9"/>
  <c r="AT79" i="9" s="1"/>
  <c r="AT55" i="9"/>
  <c r="BN581" i="1"/>
  <c r="BN582" i="1" s="1"/>
  <c r="BN583" i="1" s="1"/>
  <c r="AJ580" i="1"/>
  <c r="AJ560" i="1"/>
  <c r="AJ563" i="1"/>
  <c r="AJ608" i="1" s="1"/>
  <c r="AJ601" i="1"/>
  <c r="BH100" i="9"/>
  <c r="BH101" i="9" s="1"/>
  <c r="BH105" i="9" s="1"/>
  <c r="BH516" i="1"/>
  <c r="BH527" i="1"/>
  <c r="BH528" i="1"/>
  <c r="L111" i="9"/>
  <c r="G72" i="9"/>
  <c r="G62" i="9"/>
  <c r="BS600" i="1"/>
  <c r="BJ800" i="1"/>
  <c r="BJ520" i="1"/>
  <c r="BJ794" i="1"/>
  <c r="BJ795" i="1"/>
  <c r="M91" i="9"/>
  <c r="BO91" i="9"/>
  <c r="BR58" i="9"/>
  <c r="BR60" i="9" s="1"/>
  <c r="BT83" i="9" s="1"/>
  <c r="BT80" i="9" s="1"/>
  <c r="BR576" i="1"/>
  <c r="BR577" i="1" s="1"/>
  <c r="BR578" i="1" s="1"/>
  <c r="BR579" i="1" s="1"/>
  <c r="BR562" i="1"/>
  <c r="C85" i="1"/>
  <c r="C87" i="1"/>
  <c r="W111" i="9"/>
  <c r="R83" i="9"/>
  <c r="R80" i="9" s="1"/>
  <c r="R62" i="9"/>
  <c r="R72" i="9"/>
  <c r="S83" i="9"/>
  <c r="S80" i="9" s="1"/>
  <c r="E897" i="1"/>
  <c r="BA125" i="9"/>
  <c r="BA91" i="9"/>
  <c r="E895" i="1"/>
  <c r="E893" i="1" s="1"/>
  <c r="E618" i="1" s="1"/>
  <c r="P111" i="9"/>
  <c r="K83" i="9"/>
  <c r="K80" i="9" s="1"/>
  <c r="K62" i="9"/>
  <c r="K72" i="9"/>
  <c r="K117" i="9" s="1"/>
  <c r="AX108" i="9"/>
  <c r="AS30" i="9"/>
  <c r="AS53" i="9"/>
  <c r="AS51" i="9"/>
  <c r="AS52" i="9"/>
  <c r="AS50" i="9"/>
  <c r="T108" i="9"/>
  <c r="O30" i="9"/>
  <c r="O53" i="9"/>
  <c r="O52" i="9"/>
  <c r="O51" i="9"/>
  <c r="AH125" i="9"/>
  <c r="AH91" i="9"/>
  <c r="AL123" i="9"/>
  <c r="AQ109" i="9"/>
  <c r="AL55" i="9"/>
  <c r="Z581" i="1"/>
  <c r="Z582" i="1" s="1"/>
  <c r="Z583" i="1" s="1"/>
  <c r="BN104" i="9"/>
  <c r="BN105" i="9" s="1"/>
  <c r="Y111" i="9"/>
  <c r="T83" i="9"/>
  <c r="T80" i="9" s="1"/>
  <c r="T72" i="9"/>
  <c r="T62" i="9"/>
  <c r="V83" i="9"/>
  <c r="V80" i="9" s="1"/>
  <c r="X799" i="1"/>
  <c r="AC799" i="1"/>
  <c r="AO125" i="9"/>
  <c r="AO91" i="9"/>
  <c r="AO92" i="9" s="1"/>
  <c r="P799" i="1"/>
  <c r="U799" i="1"/>
  <c r="M104" i="9"/>
  <c r="C800" i="1"/>
  <c r="C520" i="1"/>
  <c r="C794" i="1"/>
  <c r="C795" i="1"/>
  <c r="BD105" i="9"/>
  <c r="BI96" i="9"/>
  <c r="BI97" i="9" s="1"/>
  <c r="BI98" i="9" s="1"/>
  <c r="BI99" i="9" s="1"/>
  <c r="BI79" i="9"/>
  <c r="BI81" i="9"/>
  <c r="BI600" i="1"/>
  <c r="BI601" i="1"/>
  <c r="BJ125" i="9"/>
  <c r="BJ91" i="9"/>
  <c r="BK100" i="9"/>
  <c r="BK516" i="1"/>
  <c r="BK528" i="1"/>
  <c r="BK527" i="1"/>
  <c r="AF101" i="9"/>
  <c r="BF125" i="9"/>
  <c r="BF91" i="9"/>
  <c r="BT100" i="9"/>
  <c r="BT101" i="9" s="1"/>
  <c r="BT516" i="1"/>
  <c r="BT528" i="1"/>
  <c r="BT527" i="1"/>
  <c r="M111" i="9"/>
  <c r="H72" i="9"/>
  <c r="H62" i="9"/>
  <c r="BT109" i="9"/>
  <c r="BO123" i="9"/>
  <c r="BO82" i="9"/>
  <c r="BO79" i="9" s="1"/>
  <c r="BO55" i="9"/>
  <c r="BG800" i="1"/>
  <c r="BG520" i="1"/>
  <c r="BG795" i="1"/>
  <c r="BG794" i="1"/>
  <c r="W800" i="1"/>
  <c r="W520" i="1"/>
  <c r="W125" i="9" s="1"/>
  <c r="W794" i="1"/>
  <c r="W795" i="1"/>
  <c r="R800" i="1"/>
  <c r="R520" i="1"/>
  <c r="R794" i="1"/>
  <c r="R795" i="1"/>
  <c r="E61" i="1"/>
  <c r="E216" i="1"/>
  <c r="P800" i="1"/>
  <c r="P520" i="1"/>
  <c r="P795" i="1"/>
  <c r="P794" i="1"/>
  <c r="AD122" i="9"/>
  <c r="AD54" i="9"/>
  <c r="AD35" i="9"/>
  <c r="AD40" i="9" s="1"/>
  <c r="X125" i="9"/>
  <c r="X91" i="9"/>
  <c r="BS100" i="9"/>
  <c r="BS101" i="9" s="1"/>
  <c r="BS516" i="1"/>
  <c r="BS528" i="1"/>
  <c r="BS527" i="1"/>
  <c r="BN800" i="1"/>
  <c r="BN520" i="1"/>
  <c r="BN794" i="1"/>
  <c r="BN795" i="1"/>
  <c r="BL111" i="9"/>
  <c r="BG83" i="9"/>
  <c r="BG80" i="9" s="1"/>
  <c r="BG62" i="9"/>
  <c r="BG72" i="9"/>
  <c r="BG111" i="9"/>
  <c r="G799" i="1"/>
  <c r="AS111" i="9"/>
  <c r="AN83" i="9"/>
  <c r="AN80" i="9" s="1"/>
  <c r="AN72" i="9"/>
  <c r="AN62" i="9"/>
  <c r="AR123" i="9"/>
  <c r="AW109" i="9"/>
  <c r="AR55" i="9"/>
  <c r="C581" i="1"/>
  <c r="C582" i="1" s="1"/>
  <c r="C583" i="1" s="1"/>
  <c r="C611" i="1"/>
  <c r="C612" i="1"/>
  <c r="BR100" i="9"/>
  <c r="BR101" i="9" s="1"/>
  <c r="BR516" i="1"/>
  <c r="BR527" i="1"/>
  <c r="BR528" i="1"/>
  <c r="G1" i="9"/>
  <c r="G895" i="1"/>
  <c r="G893" i="1" s="1"/>
  <c r="G618" i="1" s="1"/>
  <c r="G900" i="1"/>
  <c r="G870" i="1"/>
  <c r="G3" i="1"/>
  <c r="H4" i="1"/>
  <c r="Z125" i="9"/>
  <c r="Z91" i="9"/>
  <c r="Z92" i="9" s="1"/>
  <c r="Z95" i="9" s="1"/>
  <c r="BA800" i="1"/>
  <c r="BA520" i="1"/>
  <c r="BA794" i="1"/>
  <c r="BA795" i="1"/>
  <c r="AR673" i="1"/>
  <c r="AQ674" i="1"/>
  <c r="AH94" i="9"/>
  <c r="BJ97" i="9"/>
  <c r="BJ98" i="9" s="1"/>
  <c r="BT72" i="9"/>
  <c r="BT62" i="9"/>
  <c r="BT111" i="9"/>
  <c r="W91" i="9"/>
  <c r="AN799" i="1"/>
  <c r="BA123" i="9"/>
  <c r="BF109" i="9"/>
  <c r="BA55" i="9"/>
  <c r="AU45" i="9"/>
  <c r="AU402" i="1"/>
  <c r="AU393" i="1"/>
  <c r="BR94" i="9"/>
  <c r="BT94" i="9"/>
  <c r="BN111" i="9"/>
  <c r="BI83" i="9"/>
  <c r="BI80" i="9" s="1"/>
  <c r="BI72" i="9"/>
  <c r="BI117" i="9" s="1"/>
  <c r="BI62" i="9"/>
  <c r="BJ123" i="9"/>
  <c r="BO109" i="9"/>
  <c r="BJ82" i="9"/>
  <c r="BJ79" i="9" s="1"/>
  <c r="BJ55" i="9"/>
  <c r="Q123" i="9"/>
  <c r="V109" i="9"/>
  <c r="Q55" i="9"/>
  <c r="Z799" i="1"/>
  <c r="AE799" i="1"/>
  <c r="BR561" i="1"/>
  <c r="BR723" i="1"/>
  <c r="BR799" i="1" s="1"/>
  <c r="BS808" i="1"/>
  <c r="I123" i="9"/>
  <c r="N109" i="9"/>
  <c r="I55" i="9"/>
  <c r="BC799" i="1"/>
  <c r="L520" i="1"/>
  <c r="L794" i="1"/>
  <c r="L795" i="1"/>
  <c r="AK111" i="9"/>
  <c r="AF83" i="9"/>
  <c r="AF80" i="9" s="1"/>
  <c r="AF72" i="9"/>
  <c r="AF62" i="9"/>
  <c r="AF111" i="9"/>
  <c r="BJ799" i="1"/>
  <c r="BO799" i="1"/>
  <c r="AD422" i="1"/>
  <c r="AD424" i="1"/>
  <c r="AD795" i="1"/>
  <c r="AE111" i="9"/>
  <c r="Z83" i="9"/>
  <c r="Z80" i="9" s="1"/>
  <c r="Z62" i="9"/>
  <c r="Z72" i="9"/>
  <c r="Z117" i="9" s="1"/>
  <c r="Z111" i="9"/>
  <c r="AN512" i="1"/>
  <c r="AN504" i="1"/>
  <c r="AN401" i="1"/>
  <c r="P105" i="9"/>
  <c r="AN97" i="9"/>
  <c r="AN98" i="9" s="1"/>
  <c r="BL799" i="1"/>
  <c r="BQ799" i="1"/>
  <c r="BO111" i="9"/>
  <c r="BJ72" i="9"/>
  <c r="BJ62" i="9"/>
  <c r="CA619" i="1"/>
  <c r="BZ619" i="1"/>
  <c r="CF619" i="1"/>
  <c r="BX619" i="1"/>
  <c r="CE619" i="1"/>
  <c r="BW619" i="1"/>
  <c r="CD619" i="1"/>
  <c r="BV619" i="1"/>
  <c r="CC619" i="1"/>
  <c r="BU619" i="1"/>
  <c r="CB619" i="1"/>
  <c r="BY619" i="1"/>
  <c r="AJ800" i="1"/>
  <c r="AJ520" i="1"/>
  <c r="AJ794" i="1"/>
  <c r="AJ795" i="1"/>
  <c r="L580" i="1"/>
  <c r="L581" i="1" s="1"/>
  <c r="L582" i="1" s="1"/>
  <c r="L583" i="1" s="1"/>
  <c r="L560" i="1"/>
  <c r="L563" i="1"/>
  <c r="BK563" i="1"/>
  <c r="BK580" i="1"/>
  <c r="BK581" i="1" s="1"/>
  <c r="BK582" i="1" s="1"/>
  <c r="BK583" i="1" s="1"/>
  <c r="BK560" i="1"/>
  <c r="BI125" i="9"/>
  <c r="BI91" i="9"/>
  <c r="BI92" i="9" s="1"/>
  <c r="Y45" i="9"/>
  <c r="AB82" i="9" s="1"/>
  <c r="AB79" i="9" s="1"/>
  <c r="Y402" i="1"/>
  <c r="Y393" i="1"/>
  <c r="AD111" i="9"/>
  <c r="Y72" i="9"/>
  <c r="Y83" i="9"/>
  <c r="Y80" i="9" s="1"/>
  <c r="Y62" i="9"/>
  <c r="AB83" i="9"/>
  <c r="AB80" i="9" s="1"/>
  <c r="AA83" i="9"/>
  <c r="AA80" i="9" s="1"/>
  <c r="AC83" i="9"/>
  <c r="AC80" i="9" s="1"/>
  <c r="X563" i="1"/>
  <c r="X580" i="1"/>
  <c r="X581" i="1" s="1"/>
  <c r="X582" i="1" s="1"/>
  <c r="X583" i="1" s="1"/>
  <c r="X560" i="1"/>
  <c r="K123" i="9"/>
  <c r="P109" i="9"/>
  <c r="K82" i="9"/>
  <c r="K79" i="9" s="1"/>
  <c r="K55" i="9"/>
  <c r="AZ520" i="1"/>
  <c r="AZ794" i="1"/>
  <c r="AZ795" i="1"/>
  <c r="P580" i="1"/>
  <c r="P563" i="1"/>
  <c r="P608" i="1" s="1"/>
  <c r="P560" i="1"/>
  <c r="P601" i="1"/>
  <c r="T45" i="9"/>
  <c r="W82" i="9" s="1"/>
  <c r="W79" i="9" s="1"/>
  <c r="T393" i="1"/>
  <c r="T402" i="1"/>
  <c r="G800" i="1"/>
  <c r="G520" i="1"/>
  <c r="G794" i="1"/>
  <c r="G795" i="1"/>
  <c r="B3" i="11"/>
  <c r="CF620" i="1"/>
  <c r="BX620" i="1"/>
  <c r="BY617" i="1"/>
  <c r="CE620" i="1"/>
  <c r="BW620" i="1"/>
  <c r="CF617" i="1"/>
  <c r="BX617" i="1"/>
  <c r="CC620" i="1"/>
  <c r="BU620" i="1"/>
  <c r="CD617" i="1"/>
  <c r="BV617" i="1"/>
  <c r="CB620" i="1"/>
  <c r="CC617" i="1"/>
  <c r="BU617" i="1"/>
  <c r="CA620" i="1"/>
  <c r="CB617" i="1"/>
  <c r="BZ620" i="1"/>
  <c r="CA617" i="1"/>
  <c r="BY620" i="1"/>
  <c r="BZ617" i="1"/>
  <c r="CE617" i="1"/>
  <c r="BW617" i="1"/>
  <c r="CD620" i="1"/>
  <c r="CD604" i="1" s="1"/>
  <c r="BV620" i="1"/>
  <c r="BV604" i="1" s="1"/>
  <c r="BX4" i="9"/>
  <c r="BZ4" i="9"/>
  <c r="CF4" i="9"/>
  <c r="BY4" i="9"/>
  <c r="CB4" i="9"/>
  <c r="BU4" i="9"/>
  <c r="BV4" i="9"/>
  <c r="CC4" i="9"/>
  <c r="CD4" i="9"/>
  <c r="BW4" i="9"/>
  <c r="CE4" i="9"/>
  <c r="CA4" i="9"/>
  <c r="AX111" i="9"/>
  <c r="AS83" i="9"/>
  <c r="AS80" i="9" s="1"/>
  <c r="AS72" i="9"/>
  <c r="AS62" i="9"/>
  <c r="AU83" i="9"/>
  <c r="AU80" i="9" s="1"/>
  <c r="H5" i="11"/>
  <c r="H2" i="9"/>
  <c r="I5" i="1"/>
  <c r="BP91" i="9"/>
  <c r="D110" i="1"/>
  <c r="D111" i="1"/>
  <c r="D65" i="1"/>
  <c r="D109" i="1"/>
  <c r="D64" i="1"/>
  <c r="BS105" i="9"/>
  <c r="W799" i="1"/>
  <c r="AB799" i="1"/>
  <c r="Z123" i="9"/>
  <c r="AE109" i="9"/>
  <c r="Z82" i="9"/>
  <c r="Z79" i="9" s="1"/>
  <c r="Z55" i="9"/>
  <c r="BG101" i="9"/>
  <c r="BG105" i="9" s="1"/>
  <c r="AL800" i="1"/>
  <c r="AL520" i="1"/>
  <c r="AL795" i="1"/>
  <c r="AL794" i="1"/>
  <c r="W101" i="9"/>
  <c r="AE123" i="9"/>
  <c r="AJ109" i="9"/>
  <c r="AE82" i="9"/>
  <c r="AE79" i="9" s="1"/>
  <c r="AE55" i="9"/>
  <c r="T94" i="9"/>
  <c r="V94" i="9"/>
  <c r="W94" i="9"/>
  <c r="X94" i="9"/>
  <c r="BB111" i="9"/>
  <c r="AW83" i="9"/>
  <c r="AW80" i="9" s="1"/>
  <c r="AW72" i="9"/>
  <c r="AW62" i="9"/>
  <c r="AW111" i="9"/>
  <c r="D800" i="1"/>
  <c r="D520" i="1"/>
  <c r="D795" i="1"/>
  <c r="D794" i="1"/>
  <c r="BM800" i="1"/>
  <c r="BM520" i="1"/>
  <c r="BM794" i="1"/>
  <c r="AM45" i="9"/>
  <c r="AM109" i="9" s="1"/>
  <c r="AM393" i="1"/>
  <c r="AM402" i="1"/>
  <c r="AL111" i="9"/>
  <c r="AG83" i="9"/>
  <c r="AG80" i="9" s="1"/>
  <c r="AG72" i="9"/>
  <c r="AG62" i="9"/>
  <c r="AG111" i="9"/>
  <c r="CB745" i="1"/>
  <c r="CA744" i="1"/>
  <c r="F800" i="1"/>
  <c r="F520" i="1"/>
  <c r="F795" i="1"/>
  <c r="F794" i="1"/>
  <c r="BR122" i="9"/>
  <c r="BR54" i="9"/>
  <c r="BR35" i="9"/>
  <c r="BR40" i="9" s="1"/>
  <c r="AI108" i="9"/>
  <c r="G563" i="1"/>
  <c r="G580" i="1"/>
  <c r="G581" i="1" s="1"/>
  <c r="G582" i="1" s="1"/>
  <c r="G583" i="1" s="1"/>
  <c r="G560" i="1"/>
  <c r="N520" i="1"/>
  <c r="N794" i="1"/>
  <c r="N795" i="1"/>
  <c r="BR45" i="9"/>
  <c r="BR393" i="1"/>
  <c r="BR402" i="1"/>
  <c r="F377" i="1"/>
  <c r="F343" i="1"/>
  <c r="F329" i="1"/>
  <c r="F370" i="1"/>
  <c r="F339" i="1"/>
  <c r="F334" i="1"/>
  <c r="F342" i="1"/>
  <c r="F325" i="1"/>
  <c r="F197" i="1"/>
  <c r="F182" i="1"/>
  <c r="F218" i="1" s="1"/>
  <c r="F375" i="1"/>
  <c r="F368" i="1"/>
  <c r="F332" i="1"/>
  <c r="F328" i="1"/>
  <c r="F371" i="1"/>
  <c r="F340" i="1"/>
  <c r="F335" i="1"/>
  <c r="F378" i="1"/>
  <c r="F326" i="1"/>
  <c r="F383" i="1"/>
  <c r="F376" i="1"/>
  <c r="F369" i="1"/>
  <c r="F333" i="1"/>
  <c r="F381" i="1"/>
  <c r="F344" i="1"/>
  <c r="F341" i="1"/>
  <c r="F336" i="1"/>
  <c r="F374" i="1"/>
  <c r="F367" i="1"/>
  <c r="F330" i="1"/>
  <c r="F327" i="1"/>
  <c r="F200" i="1"/>
  <c r="F180" i="1"/>
  <c r="F56" i="1"/>
  <c r="F198" i="1"/>
  <c r="F78" i="1"/>
  <c r="F59" i="1"/>
  <c r="F181" i="1"/>
  <c r="F79" i="1"/>
  <c r="F60" i="1"/>
  <c r="F385" i="1"/>
  <c r="F382" i="1"/>
  <c r="F337" i="1"/>
  <c r="F379" i="1"/>
  <c r="F57" i="1"/>
  <c r="F384" i="1"/>
  <c r="F372" i="1"/>
  <c r="F386" i="1"/>
  <c r="BN96" i="9"/>
  <c r="BN97" i="9" s="1"/>
  <c r="BN98" i="9" s="1"/>
  <c r="BN79" i="9"/>
  <c r="BN81" i="9"/>
  <c r="BN600" i="1"/>
  <c r="BN601" i="1"/>
  <c r="AT111" i="9"/>
  <c r="AO83" i="9"/>
  <c r="AO80" i="9" s="1"/>
  <c r="AO72" i="9"/>
  <c r="AO117" i="9" s="1"/>
  <c r="AO62" i="9"/>
  <c r="L123" i="9"/>
  <c r="Q109" i="9"/>
  <c r="L55" i="9"/>
  <c r="L97" i="9"/>
  <c r="L98" i="9" s="1"/>
  <c r="AD96" i="9"/>
  <c r="AH97" i="9" s="1"/>
  <c r="AH98" i="9" s="1"/>
  <c r="AD81" i="9"/>
  <c r="AD80" i="9"/>
  <c r="AE97" i="9"/>
  <c r="AE98" i="9" s="1"/>
  <c r="AE99" i="9" s="1"/>
  <c r="K99" i="9"/>
  <c r="A886" i="1"/>
  <c r="C886" i="1"/>
  <c r="C616" i="1" s="1"/>
  <c r="AO123" i="9"/>
  <c r="AT109" i="9"/>
  <c r="AO82" i="9"/>
  <c r="AO79" i="9" s="1"/>
  <c r="AO55" i="9"/>
  <c r="BV102" i="9"/>
  <c r="BV103" i="9" s="1"/>
  <c r="AU100" i="9"/>
  <c r="AU516" i="1"/>
  <c r="AU528" i="1"/>
  <c r="AU527" i="1"/>
  <c r="M800" i="1"/>
  <c r="M520" i="1"/>
  <c r="M794" i="1"/>
  <c r="M795" i="1"/>
  <c r="BD109" i="9"/>
  <c r="AY123" i="9"/>
  <c r="AY82" i="9"/>
  <c r="AY79" i="9" s="1"/>
  <c r="AY55" i="9"/>
  <c r="AF799" i="1"/>
  <c r="AF726" i="1"/>
  <c r="BC111" i="9"/>
  <c r="AX83" i="9"/>
  <c r="AX80" i="9" s="1"/>
  <c r="AX62" i="9"/>
  <c r="AX72" i="9"/>
  <c r="AZ83" i="9"/>
  <c r="AZ80" i="9" s="1"/>
  <c r="BA83" i="9"/>
  <c r="BA80" i="9" s="1"/>
  <c r="BB83" i="9"/>
  <c r="BB80" i="9" s="1"/>
  <c r="AX50" i="9"/>
  <c r="L91" i="9"/>
  <c r="Y122" i="9"/>
  <c r="Y54" i="9"/>
  <c r="Y35" i="9"/>
  <c r="Y40" i="9" s="1"/>
  <c r="R125" i="9"/>
  <c r="R91" i="9"/>
  <c r="AT125" i="9"/>
  <c r="AT91" i="9"/>
  <c r="AT92" i="9" s="1"/>
  <c r="BC97" i="9"/>
  <c r="BC98" i="9" s="1"/>
  <c r="D99" i="9"/>
  <c r="BJ560" i="1"/>
  <c r="BJ580" i="1"/>
  <c r="BJ581" i="1" s="1"/>
  <c r="BJ582" i="1" s="1"/>
  <c r="BJ583" i="1" s="1"/>
  <c r="BJ563" i="1"/>
  <c r="BN125" i="9"/>
  <c r="BN91" i="9"/>
  <c r="BN92" i="9" s="1"/>
  <c r="BN95" i="9" s="1"/>
  <c r="AF123" i="9"/>
  <c r="AK109" i="9"/>
  <c r="AF82" i="9"/>
  <c r="AF79" i="9" s="1"/>
  <c r="AF55" i="9"/>
  <c r="AF125" i="9"/>
  <c r="AF91" i="9"/>
  <c r="AS108" i="9"/>
  <c r="AN30" i="9"/>
  <c r="AN51" i="9"/>
  <c r="AN52" i="9"/>
  <c r="AN53" i="9"/>
  <c r="AN50" i="9"/>
  <c r="K799" i="1"/>
  <c r="AM97" i="9"/>
  <c r="AM98" i="9" s="1"/>
  <c r="Q580" i="1"/>
  <c r="Q581" i="1" s="1"/>
  <c r="Q582" i="1" s="1"/>
  <c r="Q583" i="1" s="1"/>
  <c r="Q563" i="1"/>
  <c r="Q560" i="1"/>
  <c r="BE97" i="9"/>
  <c r="BE98" i="9" s="1"/>
  <c r="AR97" i="9"/>
  <c r="AR98" i="9" s="1"/>
  <c r="T122" i="9"/>
  <c r="T54" i="9"/>
  <c r="T35" i="9"/>
  <c r="T40" i="9" s="1"/>
  <c r="AJ125" i="9"/>
  <c r="AJ91" i="9"/>
  <c r="AJ92" i="9" s="1"/>
  <c r="AJ95" i="9" s="1"/>
  <c r="BO800" i="1"/>
  <c r="BO520" i="1"/>
  <c r="BO125" i="9" s="1"/>
  <c r="BO795" i="1"/>
  <c r="BO794" i="1"/>
  <c r="BP800" i="1"/>
  <c r="BP520" i="1"/>
  <c r="BP125" i="9" s="1"/>
  <c r="BP794" i="1"/>
  <c r="BP795" i="1"/>
  <c r="BC105" i="9"/>
  <c r="AK123" i="9"/>
  <c r="AP109" i="9"/>
  <c r="AK55" i="9"/>
  <c r="G3" i="11"/>
  <c r="G4" i="11"/>
  <c r="N799" i="1"/>
  <c r="S799" i="1"/>
  <c r="W563" i="1"/>
  <c r="W580" i="1"/>
  <c r="W581" i="1" s="1"/>
  <c r="W582" i="1" s="1"/>
  <c r="W583" i="1" s="1"/>
  <c r="W560" i="1"/>
  <c r="AC97" i="9"/>
  <c r="AC98" i="9" s="1"/>
  <c r="U111" i="9"/>
  <c r="P83" i="9"/>
  <c r="P80" i="9" s="1"/>
  <c r="P72" i="9"/>
  <c r="P117" i="9" s="1"/>
  <c r="P62" i="9"/>
  <c r="E125" i="9"/>
  <c r="E91" i="9"/>
  <c r="E92" i="9" s="1"/>
  <c r="E95" i="9" s="1"/>
  <c r="N123" i="9"/>
  <c r="S109" i="9"/>
  <c r="N55" i="9"/>
  <c r="E80" i="1"/>
  <c r="E75" i="1"/>
  <c r="P125" i="9"/>
  <c r="P91" i="9"/>
  <c r="P92" i="9" s="1"/>
  <c r="P95" i="9" s="1"/>
  <c r="BM101" i="9"/>
  <c r="BM105" i="9" s="1"/>
  <c r="AM100" i="9"/>
  <c r="AM516" i="1"/>
  <c r="AM527" i="1"/>
  <c r="AM528" i="1"/>
  <c r="BT563" i="1"/>
  <c r="BT560" i="1"/>
  <c r="BT580" i="1"/>
  <c r="BT581" i="1" s="1"/>
  <c r="BT582" i="1" s="1"/>
  <c r="BT583" i="1" s="1"/>
  <c r="AN111" i="9"/>
  <c r="AI83" i="9"/>
  <c r="AI80" i="9" s="1"/>
  <c r="AI62" i="9"/>
  <c r="AI72" i="9"/>
  <c r="BB97" i="9"/>
  <c r="BB98" i="9" s="1"/>
  <c r="F890" i="1"/>
  <c r="F874" i="1"/>
  <c r="F872" i="1" s="1"/>
  <c r="F614" i="1" s="1"/>
  <c r="F888" i="1"/>
  <c r="F886" i="1" s="1"/>
  <c r="F616" i="1" s="1"/>
  <c r="F883" i="1"/>
  <c r="F881" i="1"/>
  <c r="F879" i="1" s="1"/>
  <c r="F615" i="1" s="1"/>
  <c r="F876" i="1"/>
  <c r="BJ111" i="9"/>
  <c r="BE83" i="9"/>
  <c r="BE80" i="9" s="1"/>
  <c r="BE72" i="9"/>
  <c r="BE62" i="9"/>
  <c r="BE111" i="9"/>
  <c r="AG123" i="9"/>
  <c r="AL109" i="9"/>
  <c r="AG82" i="9"/>
  <c r="AG79" i="9" s="1"/>
  <c r="AG55" i="9"/>
  <c r="AV800" i="1"/>
  <c r="AV520" i="1"/>
  <c r="AV794" i="1"/>
  <c r="AV795" i="1"/>
  <c r="BQ111" i="9"/>
  <c r="BL83" i="9"/>
  <c r="BL80" i="9" s="1"/>
  <c r="BL72" i="9"/>
  <c r="BL62" i="9"/>
  <c r="AI504" i="1"/>
  <c r="AI512" i="1"/>
  <c r="AI401" i="1"/>
  <c r="H125" i="9"/>
  <c r="H91" i="9"/>
  <c r="O96" i="9"/>
  <c r="O81" i="9"/>
  <c r="AJ105" i="9"/>
  <c r="O111" i="9"/>
  <c r="J83" i="9"/>
  <c r="J80" i="9" s="1"/>
  <c r="J62" i="9"/>
  <c r="J72" i="9"/>
  <c r="AY795" i="1"/>
  <c r="AY125" i="9"/>
  <c r="AY91" i="9"/>
  <c r="AY92" i="9" s="1"/>
  <c r="AY95" i="9" s="1"/>
  <c r="AF563" i="1"/>
  <c r="AF580" i="1"/>
  <c r="AF581" i="1" s="1"/>
  <c r="AF582" i="1" s="1"/>
  <c r="AF583" i="1" s="1"/>
  <c r="AF560" i="1"/>
  <c r="H123" i="9"/>
  <c r="M109" i="9"/>
  <c r="H55" i="9"/>
  <c r="AZ91" i="9"/>
  <c r="AK799" i="1"/>
  <c r="N97" i="9"/>
  <c r="N98" i="9" s="1"/>
  <c r="BI111" i="9"/>
  <c r="BD83" i="9"/>
  <c r="BD80" i="9" s="1"/>
  <c r="BD72" i="9"/>
  <c r="BD117" i="9" s="1"/>
  <c r="BD62" i="9"/>
  <c r="BD111" i="9"/>
  <c r="J504" i="1"/>
  <c r="J512" i="1"/>
  <c r="J401" i="1"/>
  <c r="L2" i="9"/>
  <c r="L5" i="11"/>
  <c r="M5" i="1"/>
  <c r="P123" i="9"/>
  <c r="U109" i="9"/>
  <c r="P82" i="9"/>
  <c r="P79" i="9" s="1"/>
  <c r="P55" i="9"/>
  <c r="BE799" i="1"/>
  <c r="BO101" i="9"/>
  <c r="BO105" i="9" s="1"/>
  <c r="BP101" i="9"/>
  <c r="BP105" i="9" s="1"/>
  <c r="C893" i="1"/>
  <c r="C618" i="1" s="1"/>
  <c r="CB604" i="1" l="1"/>
  <c r="BZ604" i="1"/>
  <c r="BU604" i="1"/>
  <c r="CF604" i="1"/>
  <c r="BH111" i="9"/>
  <c r="BJ83" i="9"/>
  <c r="BJ80" i="9" s="1"/>
  <c r="CC604" i="1"/>
  <c r="CA604" i="1"/>
  <c r="BY604" i="1"/>
  <c r="BX604" i="1"/>
  <c r="AZ800" i="1"/>
  <c r="M5" i="11"/>
  <c r="M2" i="9"/>
  <c r="N5" i="1"/>
  <c r="AF802" i="1"/>
  <c r="AF731" i="1"/>
  <c r="AG725" i="1"/>
  <c r="AG726" i="1" s="1"/>
  <c r="F216" i="1"/>
  <c r="BR123" i="9"/>
  <c r="BR82" i="9"/>
  <c r="BR79" i="9" s="1"/>
  <c r="BR55" i="9"/>
  <c r="AL530" i="1"/>
  <c r="AL522" i="1"/>
  <c r="AL260" i="1"/>
  <c r="I5" i="11"/>
  <c r="I2" i="9"/>
  <c r="J5" i="1"/>
  <c r="BW604" i="1"/>
  <c r="G530" i="1"/>
  <c r="G522" i="1"/>
  <c r="G260" i="1"/>
  <c r="P581" i="1"/>
  <c r="P582" i="1" s="1"/>
  <c r="P583" i="1" s="1"/>
  <c r="AD112" i="9"/>
  <c r="Y73" i="9"/>
  <c r="Y75" i="9" s="1"/>
  <c r="Y64" i="9"/>
  <c r="Y70" i="9" s="1"/>
  <c r="Y126" i="9" s="1"/>
  <c r="BO112" i="9"/>
  <c r="BJ64" i="9"/>
  <c r="BJ70" i="9" s="1"/>
  <c r="BJ126" i="9" s="1"/>
  <c r="BJ73" i="9"/>
  <c r="BJ75" i="9" s="1"/>
  <c r="AK112" i="9"/>
  <c r="AF73" i="9"/>
  <c r="AF75" i="9" s="1"/>
  <c r="AF64" i="9"/>
  <c r="AF70" i="9" s="1"/>
  <c r="AF126" i="9" s="1"/>
  <c r="AF112" i="9"/>
  <c r="BR560" i="1"/>
  <c r="BR580" i="1"/>
  <c r="BR581" i="1" s="1"/>
  <c r="BR582" i="1" s="1"/>
  <c r="BR583" i="1" s="1"/>
  <c r="BR563" i="1"/>
  <c r="BL112" i="9"/>
  <c r="BG73" i="9"/>
  <c r="BG75" i="9" s="1"/>
  <c r="BG64" i="9"/>
  <c r="BG70" i="9" s="1"/>
  <c r="BG126" i="9" s="1"/>
  <c r="BG112" i="9"/>
  <c r="BG522" i="1"/>
  <c r="BG530" i="1"/>
  <c r="BG260" i="1"/>
  <c r="M112" i="9"/>
  <c r="H73" i="9"/>
  <c r="H75" i="9" s="1"/>
  <c r="H64" i="9"/>
  <c r="H70" i="9" s="1"/>
  <c r="H126" i="9" s="1"/>
  <c r="BK800" i="1"/>
  <c r="BK520" i="1"/>
  <c r="BK795" i="1"/>
  <c r="BK794" i="1"/>
  <c r="W112" i="9"/>
  <c r="R73" i="9"/>
  <c r="R75" i="9" s="1"/>
  <c r="R64" i="9"/>
  <c r="R70" i="9" s="1"/>
  <c r="R126" i="9" s="1"/>
  <c r="U530" i="1"/>
  <c r="U522" i="1"/>
  <c r="U260" i="1"/>
  <c r="AD104" i="9"/>
  <c r="AD105" i="9" s="1"/>
  <c r="F581" i="1"/>
  <c r="F582" i="1" s="1"/>
  <c r="F583" i="1" s="1"/>
  <c r="O45" i="9"/>
  <c r="O393" i="1"/>
  <c r="O402" i="1"/>
  <c r="BQ92" i="9"/>
  <c r="AC800" i="1"/>
  <c r="BH560" i="1"/>
  <c r="BH580" i="1"/>
  <c r="BH581" i="1" s="1"/>
  <c r="BH582" i="1" s="1"/>
  <c r="BH583" i="1" s="1"/>
  <c r="BH563" i="1"/>
  <c r="V97" i="9"/>
  <c r="V98" i="9" s="1"/>
  <c r="BB530" i="1"/>
  <c r="BB522" i="1"/>
  <c r="BB260" i="1"/>
  <c r="AA82" i="9"/>
  <c r="AA79" i="9" s="1"/>
  <c r="BC125" i="9"/>
  <c r="BC91" i="9"/>
  <c r="BF92" i="9" s="1"/>
  <c r="AO805" i="1"/>
  <c r="BI530" i="1"/>
  <c r="BI522" i="1"/>
  <c r="BI260" i="1"/>
  <c r="C118" i="9"/>
  <c r="D112" i="9"/>
  <c r="C119" i="9"/>
  <c r="C73" i="9"/>
  <c r="C75" i="9" s="1"/>
  <c r="C64" i="9"/>
  <c r="C70" i="9" s="1"/>
  <c r="C126" i="9" s="1"/>
  <c r="AR112" i="9"/>
  <c r="AM73" i="9"/>
  <c r="AM75" i="9" s="1"/>
  <c r="AM64" i="9"/>
  <c r="AM70" i="9" s="1"/>
  <c r="AM126" i="9" s="1"/>
  <c r="X530" i="1"/>
  <c r="X522" i="1"/>
  <c r="X260" i="1"/>
  <c r="BL109" i="9"/>
  <c r="AI100" i="9"/>
  <c r="AI516" i="1"/>
  <c r="AI527" i="1"/>
  <c r="AI528" i="1"/>
  <c r="AV530" i="1"/>
  <c r="AV522" i="1"/>
  <c r="AV260" i="1"/>
  <c r="BJ112" i="9"/>
  <c r="BE73" i="9"/>
  <c r="BE75" i="9" s="1"/>
  <c r="BE64" i="9"/>
  <c r="BE70" i="9" s="1"/>
  <c r="BE126" i="9" s="1"/>
  <c r="BE112" i="9"/>
  <c r="AN122" i="9"/>
  <c r="AN54" i="9"/>
  <c r="AN35" i="9"/>
  <c r="AN40" i="9" s="1"/>
  <c r="AT112" i="9"/>
  <c r="AO73" i="9"/>
  <c r="AO75" i="9" s="1"/>
  <c r="AO64" i="9"/>
  <c r="AO70" i="9" s="1"/>
  <c r="AO126" i="9" s="1"/>
  <c r="F84" i="1"/>
  <c r="F88" i="1" s="1"/>
  <c r="F61" i="1"/>
  <c r="F530" i="1"/>
  <c r="F522" i="1"/>
  <c r="F260" i="1"/>
  <c r="F125" i="9"/>
  <c r="CE604" i="1"/>
  <c r="AJ522" i="1"/>
  <c r="AJ530" i="1"/>
  <c r="AJ260" i="1"/>
  <c r="AS112" i="9"/>
  <c r="AN73" i="9"/>
  <c r="AN75" i="9" s="1"/>
  <c r="AN64" i="9"/>
  <c r="AN70" i="9" s="1"/>
  <c r="AN126" i="9" s="1"/>
  <c r="BK101" i="9"/>
  <c r="BK105" i="9" s="1"/>
  <c r="Y112" i="9"/>
  <c r="T73" i="9"/>
  <c r="T75" i="9" s="1"/>
  <c r="T64" i="9"/>
  <c r="T70" i="9" s="1"/>
  <c r="T126" i="9" s="1"/>
  <c r="AA101" i="9"/>
  <c r="AA105" i="9" s="1"/>
  <c r="BR83" i="9"/>
  <c r="BR80" i="9" s="1"/>
  <c r="BR72" i="9"/>
  <c r="BR62" i="9"/>
  <c r="BJ530" i="1"/>
  <c r="BJ522" i="1"/>
  <c r="BJ260" i="1"/>
  <c r="BH800" i="1"/>
  <c r="BH520" i="1"/>
  <c r="BH794" i="1"/>
  <c r="BH795" i="1"/>
  <c r="G125" i="9"/>
  <c r="Y795" i="1"/>
  <c r="BR111" i="9"/>
  <c r="O100" i="9"/>
  <c r="O516" i="1"/>
  <c r="O527" i="1"/>
  <c r="O528" i="1"/>
  <c r="C109" i="1"/>
  <c r="C111" i="1"/>
  <c r="C110" i="1"/>
  <c r="AJ802" i="1"/>
  <c r="AJ731" i="1"/>
  <c r="AK725" i="1"/>
  <c r="AB112" i="9"/>
  <c r="W73" i="9"/>
  <c r="W75" i="9" s="1"/>
  <c r="W64" i="9"/>
  <c r="W70" i="9" s="1"/>
  <c r="W126" i="9" s="1"/>
  <c r="BS112" i="9"/>
  <c r="BN73" i="9"/>
  <c r="BN75" i="9" s="1"/>
  <c r="BN64" i="9"/>
  <c r="BN70" i="9" s="1"/>
  <c r="BN126" i="9" s="1"/>
  <c r="BC800" i="1"/>
  <c r="BC520" i="1"/>
  <c r="BC794" i="1"/>
  <c r="BC795" i="1"/>
  <c r="K112" i="9"/>
  <c r="F64" i="9"/>
  <c r="F70" i="9" s="1"/>
  <c r="F126" i="9" s="1"/>
  <c r="F73" i="9"/>
  <c r="F75" i="9" s="1"/>
  <c r="F112" i="9"/>
  <c r="BS125" i="9"/>
  <c r="BS91" i="9"/>
  <c r="BS92" i="9" s="1"/>
  <c r="BS95" i="9" s="1"/>
  <c r="AX100" i="9"/>
  <c r="AX528" i="1"/>
  <c r="AX516" i="1"/>
  <c r="AX527" i="1"/>
  <c r="J122" i="9"/>
  <c r="J54" i="9"/>
  <c r="J35" i="9"/>
  <c r="J40" i="9" s="1"/>
  <c r="BG125" i="9"/>
  <c r="AJ99" i="9"/>
  <c r="R104" i="9"/>
  <c r="O97" i="9"/>
  <c r="O98" i="9" s="1"/>
  <c r="R97" i="9"/>
  <c r="R98" i="9" s="1"/>
  <c r="S97" i="9"/>
  <c r="S98" i="9" s="1"/>
  <c r="Q97" i="9"/>
  <c r="Q98" i="9" s="1"/>
  <c r="AI45" i="9"/>
  <c r="AM82" i="9" s="1"/>
  <c r="AM79" i="9" s="1"/>
  <c r="AI402" i="1"/>
  <c r="AI393" i="1"/>
  <c r="M530" i="1"/>
  <c r="M522" i="1"/>
  <c r="M260" i="1"/>
  <c r="F80" i="1"/>
  <c r="F75" i="1"/>
  <c r="D522" i="1"/>
  <c r="D530" i="1"/>
  <c r="D260" i="1"/>
  <c r="H4" i="11"/>
  <c r="AN45" i="9"/>
  <c r="AN402" i="1"/>
  <c r="AN393" i="1"/>
  <c r="BT104" i="9"/>
  <c r="BT105" i="9" s="1"/>
  <c r="AH104" i="9"/>
  <c r="AH105" i="9" s="1"/>
  <c r="P99" i="9"/>
  <c r="Z99" i="9"/>
  <c r="H530" i="1"/>
  <c r="H522" i="1"/>
  <c r="H260" i="1"/>
  <c r="BR97" i="9"/>
  <c r="BR98" i="9" s="1"/>
  <c r="BR99" i="9" s="1"/>
  <c r="BT97" i="9"/>
  <c r="BT98" i="9" s="1"/>
  <c r="Y97" i="9"/>
  <c r="Y98" i="9" s="1"/>
  <c r="AB97" i="9"/>
  <c r="AB98" i="9" s="1"/>
  <c r="AA97" i="9"/>
  <c r="AA98" i="9" s="1"/>
  <c r="BL91" i="9"/>
  <c r="BP92" i="9" s="1"/>
  <c r="BM111" i="9"/>
  <c r="BH83" i="9"/>
  <c r="BH80" i="9" s="1"/>
  <c r="BH72" i="9"/>
  <c r="BH62" i="9"/>
  <c r="BH112" i="9" s="1"/>
  <c r="AX45" i="9"/>
  <c r="AX402" i="1"/>
  <c r="AX393" i="1"/>
  <c r="AY522" i="1"/>
  <c r="AY530" i="1"/>
  <c r="AY260" i="1"/>
  <c r="BC123" i="9"/>
  <c r="BH109" i="9"/>
  <c r="BC82" i="9"/>
  <c r="BC79" i="9" s="1"/>
  <c r="BC55" i="9"/>
  <c r="AC82" i="9"/>
  <c r="AC79" i="9" s="1"/>
  <c r="BI805" i="1"/>
  <c r="K673" i="1"/>
  <c r="K674" i="1" s="1"/>
  <c r="L673" i="1" s="1"/>
  <c r="J674" i="1"/>
  <c r="U2" i="9"/>
  <c r="U5" i="11"/>
  <c r="Z5" i="1"/>
  <c r="V5" i="1"/>
  <c r="BM82" i="9"/>
  <c r="BM79" i="9" s="1"/>
  <c r="S104" i="9"/>
  <c r="AK530" i="1"/>
  <c r="AK522" i="1"/>
  <c r="AK260" i="1"/>
  <c r="R112" i="9"/>
  <c r="M73" i="9"/>
  <c r="M75" i="9" s="1"/>
  <c r="M64" i="9"/>
  <c r="M70" i="9" s="1"/>
  <c r="M126" i="9" s="1"/>
  <c r="AV125" i="9"/>
  <c r="BQ112" i="9"/>
  <c r="BL73" i="9"/>
  <c r="BL75" i="9" s="1"/>
  <c r="BL64" i="9"/>
  <c r="BL70" i="9" s="1"/>
  <c r="BL126" i="9" s="1"/>
  <c r="Y91" i="9"/>
  <c r="Y92" i="9" s="1"/>
  <c r="Y95" i="9" s="1"/>
  <c r="AD97" i="9"/>
  <c r="AD98" i="9" s="1"/>
  <c r="AD99" i="9" s="1"/>
  <c r="AF97" i="9"/>
  <c r="AF98" i="9" s="1"/>
  <c r="AG97" i="9"/>
  <c r="AG98" i="9" s="1"/>
  <c r="BN99" i="9"/>
  <c r="X104" i="9"/>
  <c r="X105" i="9" s="1"/>
  <c r="AZ522" i="1"/>
  <c r="AZ530" i="1"/>
  <c r="AZ260" i="1"/>
  <c r="AN100" i="9"/>
  <c r="AN516" i="1"/>
  <c r="AN527" i="1"/>
  <c r="AN528" i="1"/>
  <c r="BR104" i="9"/>
  <c r="BR105" i="9" s="1"/>
  <c r="BR95" i="9"/>
  <c r="BS805" i="1"/>
  <c r="BS800" i="1"/>
  <c r="BS520" i="1"/>
  <c r="BS794" i="1"/>
  <c r="BS795" i="1"/>
  <c r="W530" i="1"/>
  <c r="W522" i="1"/>
  <c r="W260" i="1"/>
  <c r="AS122" i="9"/>
  <c r="AS54" i="9"/>
  <c r="AS35" i="9"/>
  <c r="AS40" i="9" s="1"/>
  <c r="AU112" i="9"/>
  <c r="AP64" i="9"/>
  <c r="AP70" i="9" s="1"/>
  <c r="AP126" i="9" s="1"/>
  <c r="AP73" i="9"/>
  <c r="AP75" i="9" s="1"/>
  <c r="D125" i="9"/>
  <c r="T112" i="9"/>
  <c r="O64" i="9"/>
  <c r="O70" i="9" s="1"/>
  <c r="O126" i="9" s="1"/>
  <c r="O73" i="9"/>
  <c r="O75" i="9" s="1"/>
  <c r="BY751" i="1"/>
  <c r="BX753" i="1"/>
  <c r="BX759" i="1" s="1"/>
  <c r="Y520" i="1"/>
  <c r="Y800" i="1"/>
  <c r="Y794" i="1"/>
  <c r="AS100" i="9"/>
  <c r="AS101" i="9" s="1"/>
  <c r="AS105" i="9" s="1"/>
  <c r="AS516" i="1"/>
  <c r="AS527" i="1"/>
  <c r="AS528" i="1"/>
  <c r="BZ756" i="1"/>
  <c r="BY755" i="1"/>
  <c r="BT91" i="9"/>
  <c r="CB739" i="1"/>
  <c r="CA742" i="1"/>
  <c r="AM91" i="9"/>
  <c r="BD805" i="1"/>
  <c r="BD800" i="1"/>
  <c r="BD520" i="1"/>
  <c r="BD794" i="1"/>
  <c r="BD795" i="1"/>
  <c r="AY99" i="9"/>
  <c r="AY805" i="1"/>
  <c r="S112" i="9"/>
  <c r="N64" i="9"/>
  <c r="N70" i="9" s="1"/>
  <c r="N126" i="9" s="1"/>
  <c r="N73" i="9"/>
  <c r="N75" i="9" s="1"/>
  <c r="BQ530" i="1"/>
  <c r="BQ522" i="1"/>
  <c r="BQ260" i="1"/>
  <c r="AE530" i="1"/>
  <c r="AE522" i="1"/>
  <c r="AE260" i="1"/>
  <c r="E99" i="9"/>
  <c r="Q5" i="11"/>
  <c r="Q2" i="9"/>
  <c r="R5" i="1"/>
  <c r="CA749" i="1"/>
  <c r="BK125" i="9"/>
  <c r="BK91" i="9"/>
  <c r="Q104" i="9"/>
  <c r="F83" i="1"/>
  <c r="F58" i="1"/>
  <c r="F119" i="1"/>
  <c r="N530" i="1"/>
  <c r="N522" i="1"/>
  <c r="N260" i="1"/>
  <c r="N125" i="9"/>
  <c r="BR91" i="9"/>
  <c r="BR92" i="9" s="1"/>
  <c r="CB744" i="1"/>
  <c r="CC745" i="1"/>
  <c r="AM123" i="9"/>
  <c r="AR109" i="9"/>
  <c r="AM55" i="9"/>
  <c r="W104" i="9"/>
  <c r="W105" i="9" s="1"/>
  <c r="AX112" i="9"/>
  <c r="AS73" i="9"/>
  <c r="AS75" i="9" s="1"/>
  <c r="AS64" i="9"/>
  <c r="AS70" i="9" s="1"/>
  <c r="AS126" i="9" s="1"/>
  <c r="T123" i="9"/>
  <c r="Y109" i="9"/>
  <c r="T82" i="9"/>
  <c r="T79" i="9" s="1"/>
  <c r="T55" i="9"/>
  <c r="AG92" i="9"/>
  <c r="AG95" i="9" s="1"/>
  <c r="BN112" i="9"/>
  <c r="BI73" i="9"/>
  <c r="BI75" i="9" s="1"/>
  <c r="BI64" i="9"/>
  <c r="BI70" i="9" s="1"/>
  <c r="BI126" i="9" s="1"/>
  <c r="BT73" i="9"/>
  <c r="BT75" i="9" s="1"/>
  <c r="BT64" i="9"/>
  <c r="BT70" i="9" s="1"/>
  <c r="BT126" i="9" s="1"/>
  <c r="BT112" i="9"/>
  <c r="AS673" i="1"/>
  <c r="AR674" i="1"/>
  <c r="H1" i="9"/>
  <c r="H900" i="1"/>
  <c r="H870" i="1"/>
  <c r="I4" i="1"/>
  <c r="H3" i="1"/>
  <c r="R522" i="1"/>
  <c r="R530" i="1"/>
  <c r="R260" i="1"/>
  <c r="AO99" i="9"/>
  <c r="AO95" i="9"/>
  <c r="L112" i="9"/>
  <c r="G73" i="9"/>
  <c r="G75" i="9" s="1"/>
  <c r="G64" i="9"/>
  <c r="G70" i="9" s="1"/>
  <c r="G126" i="9" s="1"/>
  <c r="BD125" i="9"/>
  <c r="BD91" i="9"/>
  <c r="BD92" i="9" s="1"/>
  <c r="AA522" i="1"/>
  <c r="AA530" i="1"/>
  <c r="AA260" i="1"/>
  <c r="AS45" i="9"/>
  <c r="AS402" i="1"/>
  <c r="AS393" i="1"/>
  <c r="E219" i="1"/>
  <c r="E238" i="1"/>
  <c r="BH123" i="9"/>
  <c r="BM109" i="9"/>
  <c r="BH82" i="9"/>
  <c r="BH79" i="9" s="1"/>
  <c r="BH55" i="9"/>
  <c r="V82" i="9"/>
  <c r="V79" i="9" s="1"/>
  <c r="AI112" i="9"/>
  <c r="AD73" i="9"/>
  <c r="AD75" i="9" s="1"/>
  <c r="AD64" i="9"/>
  <c r="AD70" i="9" s="1"/>
  <c r="AD126" i="9" s="1"/>
  <c r="AB101" i="9"/>
  <c r="AB105" i="9" s="1"/>
  <c r="Q112" i="9"/>
  <c r="L73" i="9"/>
  <c r="L75" i="9" s="1"/>
  <c r="L64" i="9"/>
  <c r="L70" i="9" s="1"/>
  <c r="L126" i="9" s="1"/>
  <c r="BR109" i="9"/>
  <c r="AB522" i="1"/>
  <c r="AB530" i="1"/>
  <c r="AB260" i="1"/>
  <c r="BF522" i="1"/>
  <c r="BF530" i="1"/>
  <c r="BF260" i="1"/>
  <c r="O104" i="9"/>
  <c r="Z522" i="1"/>
  <c r="Z530" i="1"/>
  <c r="Z260" i="1"/>
  <c r="BY771" i="1"/>
  <c r="BZ589" i="1"/>
  <c r="BP522" i="1"/>
  <c r="BP530" i="1"/>
  <c r="BP260" i="1"/>
  <c r="AT95" i="9"/>
  <c r="AT99" i="9"/>
  <c r="J45" i="9"/>
  <c r="J402" i="1"/>
  <c r="J393" i="1"/>
  <c r="BC112" i="9"/>
  <c r="AX64" i="9"/>
  <c r="AX70" i="9" s="1"/>
  <c r="AX126" i="9" s="1"/>
  <c r="AX73" i="9"/>
  <c r="AX75" i="9" s="1"/>
  <c r="F183" i="1"/>
  <c r="F215" i="1"/>
  <c r="F201" i="1"/>
  <c r="F239" i="1" s="1"/>
  <c r="V104" i="9"/>
  <c r="V105" i="9" s="1"/>
  <c r="G199" i="1"/>
  <c r="G217" i="1" s="1"/>
  <c r="G197" i="1"/>
  <c r="G201" i="1" s="1"/>
  <c r="G239" i="1" s="1"/>
  <c r="G182" i="1"/>
  <c r="G218" i="1" s="1"/>
  <c r="G79" i="1"/>
  <c r="G56" i="1"/>
  <c r="G200" i="1"/>
  <c r="G198" i="1"/>
  <c r="G78" i="1"/>
  <c r="G59" i="1"/>
  <c r="G181" i="1"/>
  <c r="G216" i="1" s="1"/>
  <c r="G180" i="1"/>
  <c r="G60" i="1"/>
  <c r="G57" i="1"/>
  <c r="G84" i="1" s="1"/>
  <c r="G88" i="1" s="1"/>
  <c r="X92" i="9"/>
  <c r="X95" i="9" s="1"/>
  <c r="P530" i="1"/>
  <c r="P522" i="1"/>
  <c r="P260" i="1"/>
  <c r="BT520" i="1"/>
  <c r="BT125" i="9" s="1"/>
  <c r="BT795" i="1"/>
  <c r="BT794" i="1"/>
  <c r="O122" i="9"/>
  <c r="O54" i="9"/>
  <c r="O35" i="9"/>
  <c r="O40" i="9" s="1"/>
  <c r="BS123" i="9"/>
  <c r="BS82" i="9"/>
  <c r="BS79" i="9" s="1"/>
  <c r="BS55" i="9"/>
  <c r="AF530" i="1"/>
  <c r="AF522" i="1"/>
  <c r="AF260" i="1"/>
  <c r="AA800" i="1"/>
  <c r="AU105" i="9"/>
  <c r="AX122" i="9"/>
  <c r="AX54" i="9"/>
  <c r="AX35" i="9"/>
  <c r="AX40" i="9" s="1"/>
  <c r="AQ112" i="9"/>
  <c r="AL73" i="9"/>
  <c r="AL75" i="9" s="1"/>
  <c r="AL64" i="9"/>
  <c r="AL70" i="9" s="1"/>
  <c r="AL126" i="9" s="1"/>
  <c r="BI581" i="1"/>
  <c r="BI582" i="1" s="1"/>
  <c r="BI583" i="1" s="1"/>
  <c r="BA112" i="9"/>
  <c r="AV73" i="9"/>
  <c r="AV75" i="9" s="1"/>
  <c r="AV64" i="9"/>
  <c r="AV70" i="9" s="1"/>
  <c r="AV126" i="9" s="1"/>
  <c r="AV112" i="9"/>
  <c r="AB92" i="9"/>
  <c r="AB95" i="9" s="1"/>
  <c r="BK112" i="9"/>
  <c r="BF73" i="9"/>
  <c r="BF75" i="9" s="1"/>
  <c r="BF64" i="9"/>
  <c r="BF70" i="9" s="1"/>
  <c r="BF126" i="9" s="1"/>
  <c r="BF112" i="9"/>
  <c r="AU125" i="9"/>
  <c r="AU91" i="9"/>
  <c r="E87" i="1"/>
  <c r="E85" i="1"/>
  <c r="K522" i="1"/>
  <c r="K530" i="1"/>
  <c r="K260" i="1"/>
  <c r="CA781" i="1"/>
  <c r="AH530" i="1"/>
  <c r="AH522" i="1"/>
  <c r="AH260" i="1"/>
  <c r="AR522" i="1"/>
  <c r="AR530" i="1"/>
  <c r="AR260" i="1"/>
  <c r="AP522" i="1"/>
  <c r="AP530" i="1"/>
  <c r="AP260" i="1"/>
  <c r="AM112" i="9"/>
  <c r="AH73" i="9"/>
  <c r="AH75" i="9" s="1"/>
  <c r="AH64" i="9"/>
  <c r="AH70" i="9" s="1"/>
  <c r="AH126" i="9" s="1"/>
  <c r="AH112" i="9"/>
  <c r="AG530" i="1"/>
  <c r="AG522" i="1"/>
  <c r="AG260" i="1"/>
  <c r="AG125" i="9"/>
  <c r="V530" i="1"/>
  <c r="V522" i="1"/>
  <c r="V260" i="1"/>
  <c r="V125" i="9"/>
  <c r="AQ522" i="1"/>
  <c r="AQ530" i="1"/>
  <c r="AQ260" i="1"/>
  <c r="Z805" i="1"/>
  <c r="AT530" i="1"/>
  <c r="AT522" i="1"/>
  <c r="AT260" i="1"/>
  <c r="X97" i="9"/>
  <c r="X98" i="9" s="1"/>
  <c r="X99" i="9" s="1"/>
  <c r="T91" i="9"/>
  <c r="AL112" i="9"/>
  <c r="AG73" i="9"/>
  <c r="AG75" i="9" s="1"/>
  <c r="AG64" i="9"/>
  <c r="AG70" i="9" s="1"/>
  <c r="AG126" i="9" s="1"/>
  <c r="AG112" i="9"/>
  <c r="BM530" i="1"/>
  <c r="BM522" i="1"/>
  <c r="BM260" i="1"/>
  <c r="BM125" i="9"/>
  <c r="BB112" i="9"/>
  <c r="AW73" i="9"/>
  <c r="AW75" i="9" s="1"/>
  <c r="AW64" i="9"/>
  <c r="AW70" i="9" s="1"/>
  <c r="AW126" i="9" s="1"/>
  <c r="AW112" i="9"/>
  <c r="Y123" i="9"/>
  <c r="AD109" i="9"/>
  <c r="Y82" i="9"/>
  <c r="Y79" i="9" s="1"/>
  <c r="Y55" i="9"/>
  <c r="AE112" i="9"/>
  <c r="Z73" i="9"/>
  <c r="Z75" i="9" s="1"/>
  <c r="Z64" i="9"/>
  <c r="Z70" i="9" s="1"/>
  <c r="Z126" i="9" s="1"/>
  <c r="Z112" i="9"/>
  <c r="L522" i="1"/>
  <c r="L530" i="1"/>
  <c r="L260" i="1"/>
  <c r="G888" i="1"/>
  <c r="G886" i="1" s="1"/>
  <c r="G616" i="1" s="1"/>
  <c r="G890" i="1"/>
  <c r="G874" i="1"/>
  <c r="G872" i="1" s="1"/>
  <c r="G614" i="1" s="1"/>
  <c r="G883" i="1"/>
  <c r="G876" i="1"/>
  <c r="G881" i="1"/>
  <c r="G879" i="1" s="1"/>
  <c r="G615" i="1" s="1"/>
  <c r="BR800" i="1"/>
  <c r="BR520" i="1"/>
  <c r="BR794" i="1"/>
  <c r="BR795" i="1"/>
  <c r="BN530" i="1"/>
  <c r="BN522" i="1"/>
  <c r="BN260" i="1"/>
  <c r="C522" i="1"/>
  <c r="C530" i="1"/>
  <c r="C260" i="1"/>
  <c r="AH92" i="9"/>
  <c r="AH95" i="9" s="1"/>
  <c r="P112" i="9"/>
  <c r="K73" i="9"/>
  <c r="K75" i="9" s="1"/>
  <c r="K64" i="9"/>
  <c r="K70" i="9" s="1"/>
  <c r="K126" i="9" s="1"/>
  <c r="AC101" i="9"/>
  <c r="AC105" i="9" s="1"/>
  <c r="M125" i="9"/>
  <c r="AJ581" i="1"/>
  <c r="AJ582" i="1" s="1"/>
  <c r="AJ583" i="1" s="1"/>
  <c r="BH125" i="9"/>
  <c r="BH91" i="9"/>
  <c r="BH92" i="9" s="1"/>
  <c r="AF104" i="9"/>
  <c r="AF105" i="9" s="1"/>
  <c r="BL800" i="1"/>
  <c r="BL520" i="1"/>
  <c r="BL795" i="1"/>
  <c r="BL794" i="1"/>
  <c r="BR112" i="9"/>
  <c r="BM73" i="9"/>
  <c r="BM75" i="9" s="1"/>
  <c r="BM64" i="9"/>
  <c r="BM70" i="9" s="1"/>
  <c r="BM126" i="9" s="1"/>
  <c r="X82" i="9"/>
  <c r="X79" i="9" s="1"/>
  <c r="AD520" i="1"/>
  <c r="AD800" i="1"/>
  <c r="AD794" i="1"/>
  <c r="AC112" i="9"/>
  <c r="X73" i="9"/>
  <c r="X75" i="9" s="1"/>
  <c r="X64" i="9"/>
  <c r="X70" i="9" s="1"/>
  <c r="X126" i="9" s="1"/>
  <c r="X112" i="9"/>
  <c r="BL123" i="9"/>
  <c r="BQ109" i="9"/>
  <c r="BL82" i="9"/>
  <c r="BL79" i="9" s="1"/>
  <c r="BL55" i="9"/>
  <c r="BS97" i="9"/>
  <c r="BS98" i="9" s="1"/>
  <c r="BS99" i="9" s="1"/>
  <c r="I522" i="1"/>
  <c r="I530" i="1"/>
  <c r="I260" i="1"/>
  <c r="I125" i="9"/>
  <c r="AB125" i="9"/>
  <c r="E62" i="1"/>
  <c r="C802" i="1"/>
  <c r="D725" i="1"/>
  <c r="D726" i="1" s="1"/>
  <c r="C731" i="1"/>
  <c r="BD123" i="9"/>
  <c r="BI109" i="9"/>
  <c r="BD82" i="9"/>
  <c r="BD79" i="9" s="1"/>
  <c r="BD55" i="9"/>
  <c r="AO522" i="1"/>
  <c r="AO530" i="1"/>
  <c r="AO260" i="1"/>
  <c r="BS109" i="9"/>
  <c r="Q530" i="1"/>
  <c r="Q522" i="1"/>
  <c r="Q260" i="1"/>
  <c r="Q125" i="9"/>
  <c r="V112" i="9"/>
  <c r="Q73" i="9"/>
  <c r="Q75" i="9" s="1"/>
  <c r="Q64" i="9"/>
  <c r="Q70" i="9" s="1"/>
  <c r="Q126" i="9" s="1"/>
  <c r="BE522" i="1"/>
  <c r="BE530" i="1"/>
  <c r="BE260" i="1"/>
  <c r="BE125" i="9"/>
  <c r="AO112" i="9"/>
  <c r="AJ73" i="9"/>
  <c r="AJ75" i="9" s="1"/>
  <c r="AJ64" i="9"/>
  <c r="AJ70" i="9" s="1"/>
  <c r="AJ126" i="9" s="1"/>
  <c r="AJ112" i="9"/>
  <c r="BW768" i="1"/>
  <c r="BX763" i="1"/>
  <c r="N112" i="9"/>
  <c r="I73" i="9"/>
  <c r="I75" i="9" s="1"/>
  <c r="I64" i="9"/>
  <c r="I70" i="9" s="1"/>
  <c r="I126" i="9" s="1"/>
  <c r="T520" i="1"/>
  <c r="T800" i="1"/>
  <c r="T794" i="1"/>
  <c r="T795" i="1"/>
  <c r="C95" i="9"/>
  <c r="C99" i="9"/>
  <c r="AW530" i="1"/>
  <c r="AW522" i="1"/>
  <c r="AW260" i="1"/>
  <c r="AW125" i="9"/>
  <c r="J100" i="9"/>
  <c r="J516" i="1"/>
  <c r="J527" i="1"/>
  <c r="J528" i="1"/>
  <c r="AN112" i="9"/>
  <c r="AI73" i="9"/>
  <c r="AI75" i="9" s="1"/>
  <c r="AI64" i="9"/>
  <c r="AI70" i="9" s="1"/>
  <c r="AI126" i="9" s="1"/>
  <c r="U112" i="9"/>
  <c r="P73" i="9"/>
  <c r="P75" i="9" s="1"/>
  <c r="P64" i="9"/>
  <c r="P70" i="9" s="1"/>
  <c r="P126" i="9" s="1"/>
  <c r="AU800" i="1"/>
  <c r="AU520" i="1"/>
  <c r="AU795" i="1"/>
  <c r="AU794" i="1"/>
  <c r="T104" i="9"/>
  <c r="T105" i="9" s="1"/>
  <c r="BI112" i="9"/>
  <c r="BD73" i="9"/>
  <c r="BD75" i="9" s="1"/>
  <c r="BD64" i="9"/>
  <c r="BD70" i="9" s="1"/>
  <c r="BD126" i="9" s="1"/>
  <c r="BD112" i="9"/>
  <c r="AZ125" i="9"/>
  <c r="O112" i="9"/>
  <c r="J73" i="9"/>
  <c r="J75" i="9" s="1"/>
  <c r="J64" i="9"/>
  <c r="J70" i="9" s="1"/>
  <c r="J126" i="9" s="1"/>
  <c r="AM800" i="1"/>
  <c r="AM520" i="1"/>
  <c r="AM125" i="9" s="1"/>
  <c r="AM794" i="1"/>
  <c r="AM795" i="1"/>
  <c r="BO522" i="1"/>
  <c r="BO530" i="1"/>
  <c r="BO260" i="1"/>
  <c r="L125" i="9"/>
  <c r="AU101" i="9"/>
  <c r="F76" i="1"/>
  <c r="BJ101" i="9"/>
  <c r="BJ105" i="9" s="1"/>
  <c r="AU123" i="9"/>
  <c r="AZ109" i="9"/>
  <c r="AU55" i="9"/>
  <c r="BA530" i="1"/>
  <c r="BA522" i="1"/>
  <c r="BA260" i="1"/>
  <c r="G897" i="1"/>
  <c r="BN805" i="1"/>
  <c r="AD91" i="9"/>
  <c r="AD92" i="9" s="1"/>
  <c r="AD95" i="9" s="1"/>
  <c r="AD123" i="9"/>
  <c r="AI109" i="9"/>
  <c r="AD82" i="9"/>
  <c r="AD79" i="9" s="1"/>
  <c r="AD55" i="9"/>
  <c r="AG104" i="9"/>
  <c r="AG105" i="9" s="1"/>
  <c r="BT123" i="9"/>
  <c r="BT82" i="9"/>
  <c r="BT79" i="9" s="1"/>
  <c r="BT55" i="9"/>
  <c r="BK123" i="9"/>
  <c r="BP109" i="9"/>
  <c r="BK82" i="9"/>
  <c r="BK79" i="9" s="1"/>
  <c r="BK55" i="9"/>
  <c r="BL101" i="9"/>
  <c r="BL105" i="9" s="1"/>
  <c r="AC522" i="1"/>
  <c r="AC530" i="1"/>
  <c r="AC260" i="1"/>
  <c r="BH799" i="1"/>
  <c r="BM799" i="1"/>
  <c r="BC73" i="9"/>
  <c r="BC75" i="9" s="1"/>
  <c r="BC64" i="9"/>
  <c r="BC70" i="9" s="1"/>
  <c r="BC126" i="9" s="1"/>
  <c r="W97" i="9"/>
  <c r="W98" i="9" s="1"/>
  <c r="E530" i="1"/>
  <c r="E522" i="1"/>
  <c r="E260" i="1"/>
  <c r="U125" i="9"/>
  <c r="AI122" i="9"/>
  <c r="AI35" i="9"/>
  <c r="AI40" i="9" s="1"/>
  <c r="AI54" i="9"/>
  <c r="BE101" i="9"/>
  <c r="BE105" i="9" s="1"/>
  <c r="BF101" i="9"/>
  <c r="BF105" i="9" s="1"/>
  <c r="BP112" i="9"/>
  <c r="BK73" i="9"/>
  <c r="BK75" i="9" s="1"/>
  <c r="BK64" i="9"/>
  <c r="BK70" i="9" s="1"/>
  <c r="BK126" i="9" s="1"/>
  <c r="BE800" i="1"/>
  <c r="AP112" i="9"/>
  <c r="AK73" i="9"/>
  <c r="AK75" i="9" s="1"/>
  <c r="AK64" i="9"/>
  <c r="AK70" i="9" s="1"/>
  <c r="AK126" i="9" s="1"/>
  <c r="AV101" i="9"/>
  <c r="AV105" i="9" s="1"/>
  <c r="S522" i="1"/>
  <c r="S530" i="1"/>
  <c r="S260" i="1"/>
  <c r="AL125" i="9"/>
  <c r="AU109" i="9"/>
  <c r="C125" i="9"/>
  <c r="BG82" i="9"/>
  <c r="BG79" i="9" s="1"/>
  <c r="BF95" i="9" l="1"/>
  <c r="BF99" i="9"/>
  <c r="BP95" i="9"/>
  <c r="BP99" i="9"/>
  <c r="S553" i="1"/>
  <c r="S531" i="1"/>
  <c r="S41" i="9" s="1"/>
  <c r="S525" i="1"/>
  <c r="C22" i="9"/>
  <c r="C14" i="1"/>
  <c r="C15" i="1" s="1"/>
  <c r="BM525" i="1"/>
  <c r="BM553" i="1"/>
  <c r="BM531" i="1"/>
  <c r="BM41" i="9" s="1"/>
  <c r="T92" i="9"/>
  <c r="V92" i="9"/>
  <c r="V95" i="9" s="1"/>
  <c r="AH22" i="9"/>
  <c r="AH14" i="1"/>
  <c r="AH15" i="1" s="1"/>
  <c r="K531" i="1"/>
  <c r="K41" i="9" s="1"/>
  <c r="K525" i="1"/>
  <c r="G76" i="1"/>
  <c r="BP22" i="9"/>
  <c r="BP259" i="1"/>
  <c r="BP459" i="1"/>
  <c r="BP14" i="1"/>
  <c r="BP15" i="1" s="1"/>
  <c r="H200" i="1"/>
  <c r="H198" i="1"/>
  <c r="H181" i="1"/>
  <c r="H216" i="1" s="1"/>
  <c r="H180" i="1"/>
  <c r="H182" i="1"/>
  <c r="H218" i="1" s="1"/>
  <c r="H78" i="1"/>
  <c r="H59" i="1"/>
  <c r="H56" i="1"/>
  <c r="H197" i="1"/>
  <c r="H199" i="1"/>
  <c r="H217" i="1" s="1"/>
  <c r="H79" i="1"/>
  <c r="H60" i="1"/>
  <c r="H57" i="1"/>
  <c r="H84" i="1" s="1"/>
  <c r="H88" i="1" s="1"/>
  <c r="N22" i="9"/>
  <c r="N14" i="1"/>
  <c r="N15" i="1" s="1"/>
  <c r="BT92" i="9"/>
  <c r="BT95" i="9" s="1"/>
  <c r="AX123" i="9"/>
  <c r="BC109" i="9"/>
  <c r="AX82" i="9"/>
  <c r="AX79" i="9" s="1"/>
  <c r="AX55" i="9"/>
  <c r="AZ82" i="9"/>
  <c r="AZ79" i="9" s="1"/>
  <c r="BA82" i="9"/>
  <c r="BA79" i="9" s="1"/>
  <c r="BB82" i="9"/>
  <c r="BB79" i="9" s="1"/>
  <c r="J91" i="9"/>
  <c r="AX101" i="9"/>
  <c r="AX105" i="9" s="1"/>
  <c r="BA101" i="9"/>
  <c r="BA105" i="9" s="1"/>
  <c r="AZ101" i="9"/>
  <c r="AZ105" i="9" s="1"/>
  <c r="BB101" i="9"/>
  <c r="BB105" i="9" s="1"/>
  <c r="BJ22" i="9"/>
  <c r="BJ459" i="1"/>
  <c r="BJ14" i="1"/>
  <c r="BJ15" i="1" s="1"/>
  <c r="X22" i="9"/>
  <c r="X14" i="1"/>
  <c r="X15" i="1" s="1"/>
  <c r="BI531" i="1"/>
  <c r="BI41" i="9" s="1"/>
  <c r="BI525" i="1"/>
  <c r="O123" i="9"/>
  <c r="T109" i="9"/>
  <c r="O82" i="9"/>
  <c r="O79" i="9" s="1"/>
  <c r="O55" i="9"/>
  <c r="Q82" i="9"/>
  <c r="Q79" i="9" s="1"/>
  <c r="R82" i="9"/>
  <c r="R79" i="9" s="1"/>
  <c r="S82" i="9"/>
  <c r="S79" i="9" s="1"/>
  <c r="G22" i="9"/>
  <c r="G14" i="1"/>
  <c r="G15" i="1" s="1"/>
  <c r="N2" i="9"/>
  <c r="N5" i="11"/>
  <c r="O5" i="1"/>
  <c r="AC22" i="9"/>
  <c r="AC14" i="1"/>
  <c r="AC15" i="1" s="1"/>
  <c r="AW22" i="9"/>
  <c r="AW459" i="1"/>
  <c r="AW14" i="1"/>
  <c r="AW15" i="1" s="1"/>
  <c r="T522" i="1"/>
  <c r="T530" i="1"/>
  <c r="T260" i="1"/>
  <c r="BX768" i="1"/>
  <c r="BX590" i="1"/>
  <c r="BX588" i="1"/>
  <c r="Q22" i="9"/>
  <c r="Q14" i="1"/>
  <c r="Q15" i="1" s="1"/>
  <c r="E109" i="1"/>
  <c r="E110" i="1"/>
  <c r="E65" i="1"/>
  <c r="E64" i="1"/>
  <c r="E111" i="1"/>
  <c r="BR530" i="1"/>
  <c r="BR522" i="1"/>
  <c r="BR260" i="1"/>
  <c r="L22" i="9"/>
  <c r="L14" i="1"/>
  <c r="L15" i="1" s="1"/>
  <c r="T125" i="9"/>
  <c r="AH525" i="1"/>
  <c r="AH531" i="1"/>
  <c r="AH41" i="9" s="1"/>
  <c r="AH553" i="1"/>
  <c r="G215" i="1"/>
  <c r="G183" i="1"/>
  <c r="AB553" i="1"/>
  <c r="AB531" i="1"/>
  <c r="AB41" i="9" s="1"/>
  <c r="AB525" i="1"/>
  <c r="AS123" i="9"/>
  <c r="AX109" i="9"/>
  <c r="AS82" i="9"/>
  <c r="AS79" i="9" s="1"/>
  <c r="AS55" i="9"/>
  <c r="AV82" i="9"/>
  <c r="AV79" i="9" s="1"/>
  <c r="I900" i="1"/>
  <c r="I1" i="9"/>
  <c r="I870" i="1"/>
  <c r="J4" i="1"/>
  <c r="I3" i="1"/>
  <c r="AT673" i="1"/>
  <c r="AT674" i="1" s="1"/>
  <c r="AU673" i="1" s="1"/>
  <c r="AS674" i="1"/>
  <c r="N531" i="1"/>
  <c r="N41" i="9" s="1"/>
  <c r="N525" i="1"/>
  <c r="N553" i="1"/>
  <c r="BK92" i="9"/>
  <c r="AE22" i="9"/>
  <c r="AE14" i="1"/>
  <c r="AE15" i="1" s="1"/>
  <c r="W22" i="9"/>
  <c r="W14" i="1"/>
  <c r="W15" i="1" s="1"/>
  <c r="AZ553" i="1"/>
  <c r="AZ531" i="1"/>
  <c r="AZ41" i="9" s="1"/>
  <c r="AZ525" i="1"/>
  <c r="AG99" i="9"/>
  <c r="M673" i="1"/>
  <c r="L674" i="1"/>
  <c r="BM112" i="9"/>
  <c r="BH64" i="9"/>
  <c r="BH70" i="9" s="1"/>
  <c r="BH126" i="9" s="1"/>
  <c r="BH73" i="9"/>
  <c r="BH75" i="9" s="1"/>
  <c r="AB99" i="9"/>
  <c r="H22" i="9"/>
  <c r="H14" i="1"/>
  <c r="H15" i="1" s="1"/>
  <c r="D553" i="1"/>
  <c r="D531" i="1"/>
  <c r="D41" i="9" s="1"/>
  <c r="D525" i="1"/>
  <c r="BJ531" i="1"/>
  <c r="BJ41" i="9" s="1"/>
  <c r="BJ525" i="1"/>
  <c r="BJ553" i="1"/>
  <c r="AJ22" i="9"/>
  <c r="AJ14" i="1"/>
  <c r="AJ15" i="1" s="1"/>
  <c r="AI520" i="1"/>
  <c r="AI125" i="9" s="1"/>
  <c r="AI794" i="1"/>
  <c r="AI800" i="1"/>
  <c r="AH800" i="1"/>
  <c r="AK800" i="1"/>
  <c r="AJ805" i="1"/>
  <c r="AI795" i="1"/>
  <c r="X525" i="1"/>
  <c r="X531" i="1"/>
  <c r="X41" i="9" s="1"/>
  <c r="X553" i="1"/>
  <c r="BB22" i="9"/>
  <c r="BB459" i="1"/>
  <c r="BB14" i="1"/>
  <c r="BB15" i="1" s="1"/>
  <c r="G553" i="1"/>
  <c r="G525" i="1"/>
  <c r="G531" i="1"/>
  <c r="G41" i="9" s="1"/>
  <c r="J2" i="9"/>
  <c r="J5" i="11"/>
  <c r="AI91" i="9"/>
  <c r="BA22" i="9"/>
  <c r="BA459" i="1"/>
  <c r="BA14" i="1"/>
  <c r="BA15" i="1" s="1"/>
  <c r="BO22" i="9"/>
  <c r="BO459" i="1"/>
  <c r="BO259" i="1"/>
  <c r="BO14" i="1"/>
  <c r="BO15" i="1" s="1"/>
  <c r="AW525" i="1"/>
  <c r="AW553" i="1"/>
  <c r="AW531" i="1"/>
  <c r="AW41" i="9" s="1"/>
  <c r="BW102" i="9"/>
  <c r="BW103" i="9" s="1"/>
  <c r="BE22" i="9"/>
  <c r="BE459" i="1"/>
  <c r="BE14" i="1"/>
  <c r="BE15" i="1" s="1"/>
  <c r="Q525" i="1"/>
  <c r="Q553" i="1"/>
  <c r="Q531" i="1"/>
  <c r="Q41" i="9" s="1"/>
  <c r="E63" i="1"/>
  <c r="C531" i="1"/>
  <c r="C41" i="9" s="1"/>
  <c r="C525" i="1"/>
  <c r="AQ22" i="9"/>
  <c r="AQ459" i="1"/>
  <c r="AQ14" i="1"/>
  <c r="AQ15" i="1" s="1"/>
  <c r="AG22" i="9"/>
  <c r="AG14" i="1"/>
  <c r="AG15" i="1" s="1"/>
  <c r="AP22" i="9"/>
  <c r="AP459" i="1"/>
  <c r="AP14" i="1"/>
  <c r="AP15" i="1" s="1"/>
  <c r="BP553" i="1"/>
  <c r="BP531" i="1"/>
  <c r="BP41" i="9" s="1"/>
  <c r="BP525" i="1"/>
  <c r="AA22" i="9"/>
  <c r="AA14" i="1"/>
  <c r="AA15" i="1" s="1"/>
  <c r="H888" i="1"/>
  <c r="H886" i="1" s="1"/>
  <c r="H616" i="1" s="1"/>
  <c r="H874" i="1"/>
  <c r="H872" i="1" s="1"/>
  <c r="H614" i="1" s="1"/>
  <c r="H883" i="1"/>
  <c r="H890" i="1"/>
  <c r="H876" i="1"/>
  <c r="H881" i="1"/>
  <c r="H879" i="1" s="1"/>
  <c r="H615" i="1" s="1"/>
  <c r="AE531" i="1"/>
  <c r="AE41" i="9" s="1"/>
  <c r="AE525" i="1"/>
  <c r="Y522" i="1"/>
  <c r="Y530" i="1"/>
  <c r="Y260" i="1"/>
  <c r="W525" i="1"/>
  <c r="W531" i="1"/>
  <c r="W41" i="9" s="1"/>
  <c r="AK22" i="9"/>
  <c r="AK459" i="1"/>
  <c r="AK14" i="1"/>
  <c r="AK15" i="1" s="1"/>
  <c r="Y99" i="9"/>
  <c r="H525" i="1"/>
  <c r="H531" i="1"/>
  <c r="H41" i="9" s="1"/>
  <c r="H553" i="1"/>
  <c r="F22" i="9"/>
  <c r="F14" i="1"/>
  <c r="F15" i="1" s="1"/>
  <c r="AI101" i="9"/>
  <c r="AI105" i="9" s="1"/>
  <c r="AL101" i="9"/>
  <c r="AL105" i="9" s="1"/>
  <c r="AK101" i="9"/>
  <c r="AK105" i="9" s="1"/>
  <c r="BB531" i="1"/>
  <c r="BB41" i="9" s="1"/>
  <c r="BB553" i="1"/>
  <c r="BB525" i="1"/>
  <c r="AC531" i="1"/>
  <c r="AC41" i="9" s="1"/>
  <c r="AC553" i="1"/>
  <c r="AC525" i="1"/>
  <c r="BA531" i="1"/>
  <c r="BA41" i="9" s="1"/>
  <c r="BA553" i="1"/>
  <c r="BA525" i="1"/>
  <c r="BH95" i="9"/>
  <c r="BH99" i="9"/>
  <c r="L553" i="1"/>
  <c r="L531" i="1"/>
  <c r="L41" i="9" s="1"/>
  <c r="L525" i="1"/>
  <c r="AT22" i="9"/>
  <c r="AT459" i="1"/>
  <c r="AT14" i="1"/>
  <c r="AT15" i="1" s="1"/>
  <c r="AG525" i="1"/>
  <c r="AG553" i="1"/>
  <c r="AG531" i="1"/>
  <c r="AG41" i="9" s="1"/>
  <c r="AU92" i="9"/>
  <c r="AW92" i="9"/>
  <c r="AF22" i="9"/>
  <c r="AF14" i="1"/>
  <c r="AF15" i="1" s="1"/>
  <c r="BT530" i="1"/>
  <c r="BT522" i="1"/>
  <c r="BT260" i="1"/>
  <c r="BZ771" i="1"/>
  <c r="CA589" i="1"/>
  <c r="H897" i="1"/>
  <c r="CC744" i="1"/>
  <c r="CD745" i="1"/>
  <c r="CB749" i="1"/>
  <c r="CA756" i="1"/>
  <c r="BZ755" i="1"/>
  <c r="AK531" i="1"/>
  <c r="AK41" i="9" s="1"/>
  <c r="AK553" i="1"/>
  <c r="AK525" i="1"/>
  <c r="V2" i="9"/>
  <c r="V5" i="11"/>
  <c r="W5" i="1"/>
  <c r="AY22" i="9"/>
  <c r="AY459" i="1"/>
  <c r="AY14" i="1"/>
  <c r="AY15" i="1" s="1"/>
  <c r="BT99" i="9"/>
  <c r="AI123" i="9"/>
  <c r="AN109" i="9"/>
  <c r="AI82" i="9"/>
  <c r="AI79" i="9" s="1"/>
  <c r="AI55" i="9"/>
  <c r="AK82" i="9"/>
  <c r="AK79" i="9" s="1"/>
  <c r="AL82" i="9"/>
  <c r="AL79" i="9" s="1"/>
  <c r="R105" i="9"/>
  <c r="AK726" i="1"/>
  <c r="AO725" i="1"/>
  <c r="AO726" i="1" s="1"/>
  <c r="BR64" i="9"/>
  <c r="BR70" i="9" s="1"/>
  <c r="BR126" i="9" s="1"/>
  <c r="BR73" i="9"/>
  <c r="BR75" i="9" s="1"/>
  <c r="AJ531" i="1"/>
  <c r="AJ41" i="9" s="1"/>
  <c r="AJ525" i="1"/>
  <c r="F531" i="1"/>
  <c r="F41" i="9" s="1"/>
  <c r="F553" i="1"/>
  <c r="F525" i="1"/>
  <c r="BC92" i="9"/>
  <c r="BE92" i="9"/>
  <c r="I4" i="11"/>
  <c r="I3" i="11"/>
  <c r="BO553" i="1"/>
  <c r="BO531" i="1"/>
  <c r="BO41" i="9" s="1"/>
  <c r="BO525" i="1"/>
  <c r="BE525" i="1"/>
  <c r="BE531" i="1"/>
  <c r="BE41" i="9" s="1"/>
  <c r="BE553" i="1"/>
  <c r="AD530" i="1"/>
  <c r="AD522" i="1"/>
  <c r="AD260" i="1"/>
  <c r="BN22" i="9"/>
  <c r="BN459" i="1"/>
  <c r="BN259" i="1"/>
  <c r="BM259" i="1" s="1"/>
  <c r="BN14" i="1"/>
  <c r="BN15" i="1" s="1"/>
  <c r="AT531" i="1"/>
  <c r="AT41" i="9" s="1"/>
  <c r="AT525" i="1"/>
  <c r="AQ553" i="1"/>
  <c r="AQ531" i="1"/>
  <c r="AQ41" i="9" s="1"/>
  <c r="AQ525" i="1"/>
  <c r="AP525" i="1"/>
  <c r="AP553" i="1"/>
  <c r="AP531" i="1"/>
  <c r="AP41" i="9" s="1"/>
  <c r="AF553" i="1"/>
  <c r="AF525" i="1"/>
  <c r="AF531" i="1"/>
  <c r="AF41" i="9" s="1"/>
  <c r="BF22" i="9"/>
  <c r="BF459" i="1"/>
  <c r="BF14" i="1"/>
  <c r="BF15" i="1" s="1"/>
  <c r="AA553" i="1"/>
  <c r="AA525" i="1"/>
  <c r="AA531" i="1"/>
  <c r="AA41" i="9" s="1"/>
  <c r="H895" i="1"/>
  <c r="H893" i="1" s="1"/>
  <c r="H618" i="1" s="1"/>
  <c r="F62" i="1"/>
  <c r="BQ22" i="9"/>
  <c r="BQ459" i="1"/>
  <c r="BQ259" i="1"/>
  <c r="BQ14" i="1"/>
  <c r="BQ15" i="1" s="1"/>
  <c r="AM92" i="9"/>
  <c r="BZ751" i="1"/>
  <c r="BY753" i="1"/>
  <c r="BY759" i="1" s="1"/>
  <c r="BO92" i="9"/>
  <c r="Z2" i="9"/>
  <c r="Z5" i="11"/>
  <c r="AE5" i="1"/>
  <c r="AA5" i="1"/>
  <c r="BJ92" i="9"/>
  <c r="M22" i="9"/>
  <c r="M14" i="1"/>
  <c r="M15" i="1" s="1"/>
  <c r="AV22" i="9"/>
  <c r="AV459" i="1"/>
  <c r="AV14" i="1"/>
  <c r="AV15" i="1" s="1"/>
  <c r="BG22" i="9"/>
  <c r="BG459" i="1"/>
  <c r="BG14" i="1"/>
  <c r="BG15" i="1" s="1"/>
  <c r="AL22" i="9"/>
  <c r="AL459" i="1"/>
  <c r="AL14" i="1"/>
  <c r="AL15" i="1" s="1"/>
  <c r="AG802" i="1"/>
  <c r="AH725" i="1"/>
  <c r="AH726" i="1" s="1"/>
  <c r="AG731" i="1"/>
  <c r="AW82" i="9"/>
  <c r="AW79" i="9" s="1"/>
  <c r="E22" i="9"/>
  <c r="E14" i="1"/>
  <c r="E15" i="1" s="1"/>
  <c r="W92" i="9"/>
  <c r="W95" i="9" s="1"/>
  <c r="AO22" i="9"/>
  <c r="AO459" i="1"/>
  <c r="AO14" i="1"/>
  <c r="AO15" i="1" s="1"/>
  <c r="I22" i="9"/>
  <c r="I14" i="1"/>
  <c r="I15" i="1" s="1"/>
  <c r="BN525" i="1"/>
  <c r="BN531" i="1"/>
  <c r="BN41" i="9" s="1"/>
  <c r="AR22" i="9"/>
  <c r="AR459" i="1"/>
  <c r="AR14" i="1"/>
  <c r="AR15" i="1" s="1"/>
  <c r="CB781" i="1"/>
  <c r="AX125" i="9"/>
  <c r="AX91" i="9"/>
  <c r="O91" i="9"/>
  <c r="G61" i="1"/>
  <c r="J123" i="9"/>
  <c r="O109" i="9"/>
  <c r="J82" i="9"/>
  <c r="J79" i="9" s="1"/>
  <c r="J55" i="9"/>
  <c r="L82" i="9"/>
  <c r="L79" i="9" s="1"/>
  <c r="M82" i="9"/>
  <c r="M79" i="9" s="1"/>
  <c r="N82" i="9"/>
  <c r="N79" i="9" s="1"/>
  <c r="Z22" i="9"/>
  <c r="Z14" i="1"/>
  <c r="Z15" i="1" s="1"/>
  <c r="BD99" i="9"/>
  <c r="BD95" i="9"/>
  <c r="R22" i="9"/>
  <c r="R14" i="1"/>
  <c r="R15" i="1" s="1"/>
  <c r="F87" i="1"/>
  <c r="F85" i="1"/>
  <c r="R2" i="9"/>
  <c r="R5" i="11"/>
  <c r="S5" i="1"/>
  <c r="BQ531" i="1"/>
  <c r="BQ41" i="9" s="1"/>
  <c r="BQ553" i="1"/>
  <c r="BQ525" i="1"/>
  <c r="AN520" i="1"/>
  <c r="AN794" i="1"/>
  <c r="AN800" i="1"/>
  <c r="AN795" i="1"/>
  <c r="AP800" i="1"/>
  <c r="Y125" i="9"/>
  <c r="AY531" i="1"/>
  <c r="AY41" i="9" s="1"/>
  <c r="AY525" i="1"/>
  <c r="BL92" i="9"/>
  <c r="BM92" i="9"/>
  <c r="AC92" i="9"/>
  <c r="AN123" i="9"/>
  <c r="AS109" i="9"/>
  <c r="AN82" i="9"/>
  <c r="AN79" i="9" s="1"/>
  <c r="AN55" i="9"/>
  <c r="AP82" i="9"/>
  <c r="AP79" i="9" s="1"/>
  <c r="AR82" i="9"/>
  <c r="AR79" i="9" s="1"/>
  <c r="AQ82" i="9"/>
  <c r="AQ79" i="9" s="1"/>
  <c r="M531" i="1"/>
  <c r="M41" i="9" s="1"/>
  <c r="M553" i="1"/>
  <c r="M525" i="1"/>
  <c r="O520" i="1"/>
  <c r="O800" i="1"/>
  <c r="O794" i="1"/>
  <c r="O795" i="1"/>
  <c r="Q800" i="1"/>
  <c r="P805" i="1"/>
  <c r="N800" i="1"/>
  <c r="AN125" i="9"/>
  <c r="AN91" i="9"/>
  <c r="AV531" i="1"/>
  <c r="AV41" i="9" s="1"/>
  <c r="AV553" i="1"/>
  <c r="AV525" i="1"/>
  <c r="BG92" i="9"/>
  <c r="V99" i="9"/>
  <c r="BQ95" i="9"/>
  <c r="BQ99" i="9"/>
  <c r="AL531" i="1"/>
  <c r="AL41" i="9" s="1"/>
  <c r="AL553" i="1"/>
  <c r="AL525" i="1"/>
  <c r="AH99" i="9"/>
  <c r="S22" i="9"/>
  <c r="S14" i="1"/>
  <c r="S15" i="1" s="1"/>
  <c r="E531" i="1"/>
  <c r="E41" i="9" s="1"/>
  <c r="E553" i="1"/>
  <c r="E525" i="1"/>
  <c r="J520" i="1"/>
  <c r="J125" i="9" s="1"/>
  <c r="J800" i="1"/>
  <c r="J794" i="1"/>
  <c r="J795" i="1"/>
  <c r="I800" i="1"/>
  <c r="L800" i="1"/>
  <c r="K805" i="1"/>
  <c r="D802" i="1"/>
  <c r="E725" i="1"/>
  <c r="E726" i="1" s="1"/>
  <c r="D731" i="1"/>
  <c r="BL530" i="1"/>
  <c r="BL522" i="1"/>
  <c r="BL260" i="1"/>
  <c r="V22" i="9"/>
  <c r="V14" i="1"/>
  <c r="V15" i="1" s="1"/>
  <c r="K22" i="9"/>
  <c r="K14" i="1"/>
  <c r="K15" i="1" s="1"/>
  <c r="P22" i="9"/>
  <c r="P14" i="1"/>
  <c r="P15" i="1" s="1"/>
  <c r="G80" i="1"/>
  <c r="G75" i="1"/>
  <c r="BF525" i="1"/>
  <c r="BF531" i="1"/>
  <c r="BF41" i="9" s="1"/>
  <c r="BF553" i="1"/>
  <c r="BR125" i="9"/>
  <c r="AS520" i="1"/>
  <c r="AS794" i="1"/>
  <c r="AS800" i="1"/>
  <c r="AS795" i="1"/>
  <c r="AT805" i="1"/>
  <c r="AS91" i="9"/>
  <c r="AS92" i="9" s="1"/>
  <c r="BS530" i="1"/>
  <c r="BS522" i="1"/>
  <c r="BS260" i="1"/>
  <c r="AN101" i="9"/>
  <c r="AN105" i="9" s="1"/>
  <c r="AP101" i="9"/>
  <c r="AP105" i="9" s="1"/>
  <c r="AR101" i="9"/>
  <c r="AR105" i="9" s="1"/>
  <c r="AQ101" i="9"/>
  <c r="AQ105" i="9" s="1"/>
  <c r="AF92" i="9"/>
  <c r="AF95" i="9" s="1"/>
  <c r="BL125" i="9"/>
  <c r="H3" i="11"/>
  <c r="AX520" i="1"/>
  <c r="AX800" i="1"/>
  <c r="AX794" i="1"/>
  <c r="AX795" i="1"/>
  <c r="AW800" i="1"/>
  <c r="BC530" i="1"/>
  <c r="BC522" i="1"/>
  <c r="BC260" i="1"/>
  <c r="O101" i="9"/>
  <c r="O105" i="9" s="1"/>
  <c r="S101" i="9"/>
  <c r="S105" i="9" s="1"/>
  <c r="R101" i="9"/>
  <c r="Q101" i="9"/>
  <c r="Q105" i="9" s="1"/>
  <c r="BH522" i="1"/>
  <c r="BH530" i="1"/>
  <c r="BH260" i="1"/>
  <c r="AA92" i="9"/>
  <c r="AA95" i="9" s="1"/>
  <c r="U22" i="9"/>
  <c r="U14" i="1"/>
  <c r="U15" i="1" s="1"/>
  <c r="BK530" i="1"/>
  <c r="BK522" i="1"/>
  <c r="BK260" i="1"/>
  <c r="BG553" i="1"/>
  <c r="BG531" i="1"/>
  <c r="BG41" i="9" s="1"/>
  <c r="BG525" i="1"/>
  <c r="AW101" i="9"/>
  <c r="AW105" i="9" s="1"/>
  <c r="AD125" i="9"/>
  <c r="AU82" i="9"/>
  <c r="AU79" i="9" s="1"/>
  <c r="AM530" i="1"/>
  <c r="AM522" i="1"/>
  <c r="AM260" i="1"/>
  <c r="AU530" i="1"/>
  <c r="AU522" i="1"/>
  <c r="AU260" i="1"/>
  <c r="J101" i="9"/>
  <c r="J105" i="9" s="1"/>
  <c r="M101" i="9"/>
  <c r="M105" i="9" s="1"/>
  <c r="N101" i="9"/>
  <c r="N105" i="9" s="1"/>
  <c r="L101" i="9"/>
  <c r="L105" i="9" s="1"/>
  <c r="AO525" i="1"/>
  <c r="AO531" i="1"/>
  <c r="AO41" i="9" s="1"/>
  <c r="I525" i="1"/>
  <c r="I553" i="1"/>
  <c r="I531" i="1"/>
  <c r="I41" i="9" s="1"/>
  <c r="BM22" i="9"/>
  <c r="BM459" i="1"/>
  <c r="BM14" i="1"/>
  <c r="BM15" i="1" s="1"/>
  <c r="V531" i="1"/>
  <c r="V41" i="9" s="1"/>
  <c r="V525" i="1"/>
  <c r="AR531" i="1"/>
  <c r="AR41" i="9" s="1"/>
  <c r="AR525" i="1"/>
  <c r="P531" i="1"/>
  <c r="P41" i="9" s="1"/>
  <c r="P525" i="1"/>
  <c r="G119" i="1"/>
  <c r="G58" i="1"/>
  <c r="G83" i="1"/>
  <c r="F238" i="1"/>
  <c r="F219" i="1"/>
  <c r="Z525" i="1"/>
  <c r="Z531" i="1"/>
  <c r="Z41" i="9" s="1"/>
  <c r="AB22" i="9"/>
  <c r="AB14" i="1"/>
  <c r="AB15" i="1" s="1"/>
  <c r="R525" i="1"/>
  <c r="R531" i="1"/>
  <c r="R41" i="9" s="1"/>
  <c r="R553" i="1"/>
  <c r="BD530" i="1"/>
  <c r="BD522" i="1"/>
  <c r="BD260" i="1"/>
  <c r="CC739" i="1"/>
  <c r="CB742" i="1"/>
  <c r="AZ22" i="9"/>
  <c r="AZ459" i="1"/>
  <c r="AZ14" i="1"/>
  <c r="AZ15" i="1" s="1"/>
  <c r="D22" i="9"/>
  <c r="D14" i="1"/>
  <c r="D15" i="1" s="1"/>
  <c r="BI22" i="9"/>
  <c r="BI459" i="1"/>
  <c r="BI14" i="1"/>
  <c r="BI15" i="1" s="1"/>
  <c r="U531" i="1"/>
  <c r="U41" i="9" s="1"/>
  <c r="U525" i="1"/>
  <c r="AM101" i="9"/>
  <c r="AM105" i="9" s="1"/>
  <c r="AR800" i="1"/>
  <c r="AU531" i="1" l="1"/>
  <c r="AU41" i="9" s="1"/>
  <c r="AU553" i="1"/>
  <c r="AU525" i="1"/>
  <c r="BH22" i="9"/>
  <c r="BH459" i="1"/>
  <c r="BH14" i="1"/>
  <c r="BH15" i="1" s="1"/>
  <c r="E554" i="1"/>
  <c r="E556" i="1"/>
  <c r="M46" i="9"/>
  <c r="M532" i="1"/>
  <c r="M47" i="9" s="1"/>
  <c r="M76" i="9" s="1"/>
  <c r="AA5" i="11"/>
  <c r="AA2" i="9"/>
  <c r="AB5" i="1"/>
  <c r="AQ554" i="1"/>
  <c r="AQ556" i="1"/>
  <c r="BO554" i="1"/>
  <c r="BO556" i="1"/>
  <c r="AW95" i="9"/>
  <c r="AW99" i="9"/>
  <c r="H46" i="9"/>
  <c r="H532" i="1"/>
  <c r="H47" i="9" s="1"/>
  <c r="H76" i="9" s="1"/>
  <c r="W46" i="9"/>
  <c r="W532" i="1"/>
  <c r="W47" i="9" s="1"/>
  <c r="W76" i="9" s="1"/>
  <c r="G46" i="9"/>
  <c r="G532" i="1"/>
  <c r="G47" i="9" s="1"/>
  <c r="G76" i="9" s="1"/>
  <c r="X46" i="9"/>
  <c r="X532" i="1"/>
  <c r="X47" i="9" s="1"/>
  <c r="X76" i="9" s="1"/>
  <c r="BK95" i="9"/>
  <c r="BK99" i="9"/>
  <c r="I888" i="1"/>
  <c r="I886" i="1" s="1"/>
  <c r="I616" i="1" s="1"/>
  <c r="I883" i="1"/>
  <c r="I890" i="1"/>
  <c r="I876" i="1"/>
  <c r="I881" i="1"/>
  <c r="I879" i="1" s="1"/>
  <c r="I615" i="1" s="1"/>
  <c r="I874" i="1"/>
  <c r="I872" i="1" s="1"/>
  <c r="I614" i="1" s="1"/>
  <c r="AH554" i="1"/>
  <c r="AH556" i="1"/>
  <c r="AW470" i="1"/>
  <c r="AW485" i="1" s="1"/>
  <c r="AW468" i="1"/>
  <c r="AW262" i="1" s="1"/>
  <c r="AW261" i="1" s="1"/>
  <c r="BS525" i="1"/>
  <c r="BS531" i="1"/>
  <c r="BS41" i="9" s="1"/>
  <c r="AS530" i="1"/>
  <c r="AS522" i="1"/>
  <c r="AS260" i="1"/>
  <c r="M554" i="1"/>
  <c r="M556" i="1"/>
  <c r="AE2" i="9"/>
  <c r="AE5" i="11"/>
  <c r="AC856" i="1"/>
  <c r="AF5" i="1"/>
  <c r="AJ5" i="1"/>
  <c r="AA46" i="9"/>
  <c r="AA532" i="1"/>
  <c r="AA47" i="9" s="1"/>
  <c r="AA76" i="9" s="1"/>
  <c r="AF46" i="9"/>
  <c r="AF532" i="1"/>
  <c r="AF47" i="9" s="1"/>
  <c r="AF76" i="9" s="1"/>
  <c r="AT46" i="9"/>
  <c r="AT532" i="1"/>
  <c r="AT47" i="9" s="1"/>
  <c r="AD531" i="1"/>
  <c r="AD41" i="9" s="1"/>
  <c r="AD525" i="1"/>
  <c r="AD553" i="1"/>
  <c r="AJ46" i="9"/>
  <c r="AJ532" i="1"/>
  <c r="AJ47" i="9" s="1"/>
  <c r="CA771" i="1"/>
  <c r="CB589" i="1"/>
  <c r="CB771" i="1" s="1"/>
  <c r="AU95" i="9"/>
  <c r="AU99" i="9"/>
  <c r="L46" i="9"/>
  <c r="L532" i="1"/>
  <c r="L47" i="9" s="1"/>
  <c r="L76" i="9" s="1"/>
  <c r="AC46" i="9"/>
  <c r="AC532" i="1"/>
  <c r="AC47" i="9" s="1"/>
  <c r="AC76" i="9" s="1"/>
  <c r="Q554" i="1"/>
  <c r="Q556" i="1"/>
  <c r="G556" i="1"/>
  <c r="G554" i="1"/>
  <c r="AZ46" i="9"/>
  <c r="AZ532" i="1"/>
  <c r="AZ47" i="9" s="1"/>
  <c r="AZ76" i="9" s="1"/>
  <c r="N554" i="1"/>
  <c r="N556" i="1"/>
  <c r="BX9" i="9"/>
  <c r="BX797" i="1"/>
  <c r="BY590" i="1"/>
  <c r="H183" i="1"/>
  <c r="H215" i="1"/>
  <c r="S554" i="1"/>
  <c r="S556" i="1"/>
  <c r="U46" i="9"/>
  <c r="U532" i="1"/>
  <c r="U47" i="9" s="1"/>
  <c r="BD525" i="1"/>
  <c r="BD531" i="1"/>
  <c r="BD41" i="9" s="1"/>
  <c r="I46" i="9"/>
  <c r="I532" i="1"/>
  <c r="I47" i="9" s="1"/>
  <c r="I76" i="9" s="1"/>
  <c r="BC553" i="1"/>
  <c r="BC525" i="1"/>
  <c r="BC531" i="1"/>
  <c r="BC41" i="9" s="1"/>
  <c r="BS22" i="9"/>
  <c r="BS459" i="1"/>
  <c r="BS259" i="1"/>
  <c r="BS14" i="1"/>
  <c r="BS15" i="1" s="1"/>
  <c r="BQ554" i="1"/>
  <c r="BQ556" i="1"/>
  <c r="BN46" i="9"/>
  <c r="BN532" i="1"/>
  <c r="BN47" i="9" s="1"/>
  <c r="AL470" i="1"/>
  <c r="AL485" i="1" s="1"/>
  <c r="AL468" i="1"/>
  <c r="AL262" i="1" s="1"/>
  <c r="AL261" i="1" s="1"/>
  <c r="AV468" i="1"/>
  <c r="AV262" i="1" s="1"/>
  <c r="AV261" i="1" s="1"/>
  <c r="AV470" i="1"/>
  <c r="AV485" i="1" s="1"/>
  <c r="AD22" i="9"/>
  <c r="AD14" i="1"/>
  <c r="AD15" i="1" s="1"/>
  <c r="AK554" i="1"/>
  <c r="AK556" i="1"/>
  <c r="BP46" i="9"/>
  <c r="BP532" i="1"/>
  <c r="BP47" i="9" s="1"/>
  <c r="BP76" i="9" s="1"/>
  <c r="T99" i="9"/>
  <c r="T95" i="9"/>
  <c r="BG554" i="1"/>
  <c r="BG556" i="1"/>
  <c r="Z46" i="9"/>
  <c r="Z532" i="1"/>
  <c r="Z47" i="9" s="1"/>
  <c r="P46" i="9"/>
  <c r="P532" i="1"/>
  <c r="P47" i="9" s="1"/>
  <c r="AO46" i="9"/>
  <c r="AO532" i="1"/>
  <c r="AO47" i="9" s="1"/>
  <c r="AM22" i="9"/>
  <c r="AM459" i="1"/>
  <c r="AM14" i="1"/>
  <c r="AM15" i="1" s="1"/>
  <c r="BK22" i="9"/>
  <c r="BK459" i="1"/>
  <c r="BK14" i="1"/>
  <c r="BK15" i="1" s="1"/>
  <c r="BH553" i="1"/>
  <c r="BH531" i="1"/>
  <c r="BH41" i="9" s="1"/>
  <c r="BH525" i="1"/>
  <c r="BL22" i="9"/>
  <c r="BL459" i="1"/>
  <c r="BL14" i="1"/>
  <c r="BL15" i="1" s="1"/>
  <c r="BG95" i="9"/>
  <c r="BG99" i="9"/>
  <c r="AC95" i="9"/>
  <c r="AC99" i="9"/>
  <c r="S2" i="9"/>
  <c r="S5" i="11"/>
  <c r="T5" i="1"/>
  <c r="CC781" i="1"/>
  <c r="AA554" i="1"/>
  <c r="AA556" i="1"/>
  <c r="AF554" i="1"/>
  <c r="AF556" i="1"/>
  <c r="AY470" i="1"/>
  <c r="AY485" i="1" s="1"/>
  <c r="AY468" i="1"/>
  <c r="AY262" i="1" s="1"/>
  <c r="AY261" i="1" s="1"/>
  <c r="AC554" i="1"/>
  <c r="AC556" i="1"/>
  <c r="Y22" i="9"/>
  <c r="Y14" i="1"/>
  <c r="Y15" i="1" s="1"/>
  <c r="BP554" i="1"/>
  <c r="BP556" i="1"/>
  <c r="Q46" i="9"/>
  <c r="Q532" i="1"/>
  <c r="Q47" i="9" s="1"/>
  <c r="Q76" i="9" s="1"/>
  <c r="AW556" i="1"/>
  <c r="AW554" i="1"/>
  <c r="BJ554" i="1"/>
  <c r="BJ556" i="1"/>
  <c r="N46" i="9"/>
  <c r="N532" i="1"/>
  <c r="N47" i="9" s="1"/>
  <c r="N76" i="9" s="1"/>
  <c r="AH46" i="9"/>
  <c r="AH532" i="1"/>
  <c r="AH47" i="9" s="1"/>
  <c r="AH76" i="9" s="1"/>
  <c r="BX102" i="9"/>
  <c r="BX103" i="9" s="1"/>
  <c r="J92" i="9"/>
  <c r="J99" i="9" s="1"/>
  <c r="L92" i="9"/>
  <c r="M92" i="9"/>
  <c r="N92" i="9"/>
  <c r="H76" i="1"/>
  <c r="BM554" i="1"/>
  <c r="BN553" i="1"/>
  <c r="BM556" i="1"/>
  <c r="AZ468" i="1"/>
  <c r="AZ262" i="1" s="1"/>
  <c r="AZ261" i="1" s="1"/>
  <c r="AZ470" i="1"/>
  <c r="AZ485" i="1" s="1"/>
  <c r="AM553" i="1"/>
  <c r="AM525" i="1"/>
  <c r="AM531" i="1"/>
  <c r="AM41" i="9" s="1"/>
  <c r="BK553" i="1"/>
  <c r="BK531" i="1"/>
  <c r="BK41" i="9" s="1"/>
  <c r="BK525" i="1"/>
  <c r="AS95" i="9"/>
  <c r="AS99" i="9"/>
  <c r="BL553" i="1"/>
  <c r="BL525" i="1"/>
  <c r="BN806" i="1" s="1"/>
  <c r="BL531" i="1"/>
  <c r="BL41" i="9" s="1"/>
  <c r="AV46" i="9"/>
  <c r="AV532" i="1"/>
  <c r="AV47" i="9" s="1"/>
  <c r="AV76" i="9" s="1"/>
  <c r="BM95" i="9"/>
  <c r="BM99" i="9"/>
  <c r="BQ468" i="1"/>
  <c r="BQ262" i="1" s="1"/>
  <c r="BQ261" i="1" s="1"/>
  <c r="BQ470" i="1"/>
  <c r="BQ485" i="1" s="1"/>
  <c r="BE556" i="1"/>
  <c r="BE554" i="1"/>
  <c r="CB756" i="1"/>
  <c r="CA755" i="1"/>
  <c r="BT22" i="9"/>
  <c r="BT459" i="1"/>
  <c r="BT259" i="1"/>
  <c r="BT14" i="1"/>
  <c r="BT15" i="1" s="1"/>
  <c r="AG554" i="1"/>
  <c r="AG556" i="1"/>
  <c r="L556" i="1"/>
  <c r="L554" i="1"/>
  <c r="AQ470" i="1"/>
  <c r="AQ485" i="1" s="1"/>
  <c r="AQ468" i="1"/>
  <c r="AQ262" i="1" s="1"/>
  <c r="AQ261" i="1" s="1"/>
  <c r="AW46" i="9"/>
  <c r="AW532" i="1"/>
  <c r="AW47" i="9" s="1"/>
  <c r="AW76" i="9" s="1"/>
  <c r="BA468" i="1"/>
  <c r="BA262" i="1" s="1"/>
  <c r="BA261" i="1" s="1"/>
  <c r="BA470" i="1"/>
  <c r="BA485" i="1" s="1"/>
  <c r="BJ46" i="9"/>
  <c r="BJ532" i="1"/>
  <c r="BJ47" i="9" s="1"/>
  <c r="BJ76" i="9" s="1"/>
  <c r="AZ554" i="1"/>
  <c r="AZ556" i="1"/>
  <c r="I897" i="1"/>
  <c r="AB46" i="9"/>
  <c r="AB532" i="1"/>
  <c r="AB47" i="9" s="1"/>
  <c r="AB76" i="9" s="1"/>
  <c r="T22" i="9"/>
  <c r="T14" i="1"/>
  <c r="T15" i="1" s="1"/>
  <c r="K46" i="9"/>
  <c r="K532" i="1"/>
  <c r="K47" i="9" s="1"/>
  <c r="BM46" i="9"/>
  <c r="BM532" i="1"/>
  <c r="BM47" i="9" s="1"/>
  <c r="BM76" i="9" s="1"/>
  <c r="BI468" i="1"/>
  <c r="BI262" i="1" s="1"/>
  <c r="BI261" i="1" s="1"/>
  <c r="BI470" i="1"/>
  <c r="BI485" i="1" s="1"/>
  <c r="R554" i="1"/>
  <c r="R556" i="1"/>
  <c r="AR46" i="9"/>
  <c r="AR532" i="1"/>
  <c r="AR47" i="9" s="1"/>
  <c r="AR76" i="9" s="1"/>
  <c r="BM470" i="1"/>
  <c r="BM485" i="1" s="1"/>
  <c r="BM468" i="1"/>
  <c r="BM262" i="1" s="1"/>
  <c r="BM261" i="1" s="1"/>
  <c r="AS125" i="9"/>
  <c r="BF556" i="1"/>
  <c r="BF554" i="1"/>
  <c r="AV556" i="1"/>
  <c r="AV554" i="1"/>
  <c r="BL95" i="9"/>
  <c r="BL99" i="9"/>
  <c r="AH802" i="1"/>
  <c r="AI725" i="1"/>
  <c r="AI726" i="1" s="1"/>
  <c r="AH731" i="1"/>
  <c r="BG470" i="1"/>
  <c r="BG485" i="1" s="1"/>
  <c r="BG468" i="1"/>
  <c r="BG262" i="1" s="1"/>
  <c r="BG261" i="1" s="1"/>
  <c r="BO95" i="9"/>
  <c r="BO99" i="9"/>
  <c r="AP556" i="1"/>
  <c r="AP554" i="1"/>
  <c r="BE95" i="9"/>
  <c r="BE99" i="9"/>
  <c r="W2" i="9"/>
  <c r="W5" i="11"/>
  <c r="X5" i="1"/>
  <c r="BT525" i="1"/>
  <c r="BT531" i="1"/>
  <c r="BT41" i="9" s="1"/>
  <c r="BT553" i="1"/>
  <c r="AG46" i="9"/>
  <c r="AG532" i="1"/>
  <c r="AG47" i="9" s="1"/>
  <c r="AG76" i="9" s="1"/>
  <c r="AK468" i="1"/>
  <c r="AK262" i="1" s="1"/>
  <c r="AK261" i="1" s="1"/>
  <c r="AK470" i="1"/>
  <c r="AK485" i="1" s="1"/>
  <c r="Y525" i="1"/>
  <c r="Y531" i="1"/>
  <c r="Y41" i="9" s="1"/>
  <c r="Y553" i="1"/>
  <c r="BB468" i="1"/>
  <c r="BB262" i="1" s="1"/>
  <c r="BB261" i="1" s="1"/>
  <c r="BB470" i="1"/>
  <c r="BB485" i="1" s="1"/>
  <c r="I895" i="1"/>
  <c r="I893" i="1" s="1"/>
  <c r="I618" i="1" s="1"/>
  <c r="O2" i="9"/>
  <c r="O5" i="11"/>
  <c r="BJ468" i="1"/>
  <c r="BJ262" i="1" s="1"/>
  <c r="BJ261" i="1" s="1"/>
  <c r="BJ470" i="1"/>
  <c r="BJ485" i="1" s="1"/>
  <c r="AA99" i="9"/>
  <c r="H201" i="1"/>
  <c r="H239" i="1" s="1"/>
  <c r="G85" i="1"/>
  <c r="G87" i="1"/>
  <c r="AL46" i="9"/>
  <c r="AL532" i="1"/>
  <c r="AL47" i="9" s="1"/>
  <c r="AL76" i="9" s="1"/>
  <c r="AY46" i="9"/>
  <c r="AY532" i="1"/>
  <c r="AY47" i="9" s="1"/>
  <c r="O92" i="9"/>
  <c r="Q92" i="9"/>
  <c r="R92" i="9"/>
  <c r="S92" i="9"/>
  <c r="AR468" i="1"/>
  <c r="AR262" i="1" s="1"/>
  <c r="AR261" i="1" s="1"/>
  <c r="AR470" i="1"/>
  <c r="AR485" i="1" s="1"/>
  <c r="AO470" i="1"/>
  <c r="AO485" i="1" s="1"/>
  <c r="AO468" i="1"/>
  <c r="AO262" i="1" s="1"/>
  <c r="AO261" i="1" s="1"/>
  <c r="F110" i="1"/>
  <c r="F65" i="1"/>
  <c r="F109" i="1"/>
  <c r="F64" i="1"/>
  <c r="F111" i="1"/>
  <c r="BF470" i="1"/>
  <c r="BF485" i="1" s="1"/>
  <c r="BF468" i="1"/>
  <c r="BF262" i="1" s="1"/>
  <c r="BF261" i="1" s="1"/>
  <c r="AP46" i="9"/>
  <c r="AP532" i="1"/>
  <c r="AP47" i="9" s="1"/>
  <c r="AP76" i="9" s="1"/>
  <c r="BE46" i="9"/>
  <c r="BI806" i="1"/>
  <c r="BE532" i="1"/>
  <c r="BE47" i="9" s="1"/>
  <c r="BE76" i="9" s="1"/>
  <c r="BC95" i="9"/>
  <c r="BC99" i="9"/>
  <c r="CC749" i="1"/>
  <c r="AE46" i="9"/>
  <c r="AE532" i="1"/>
  <c r="AE47" i="9" s="1"/>
  <c r="AP470" i="1"/>
  <c r="AP485" i="1" s="1"/>
  <c r="AP468" i="1"/>
  <c r="AP262" i="1" s="1"/>
  <c r="AP261" i="1" s="1"/>
  <c r="C46" i="9"/>
  <c r="C532" i="1"/>
  <c r="C47" i="9" s="1"/>
  <c r="BE468" i="1"/>
  <c r="BE262" i="1" s="1"/>
  <c r="BE261" i="1" s="1"/>
  <c r="BE470" i="1"/>
  <c r="BE485" i="1" s="1"/>
  <c r="AI92" i="9"/>
  <c r="AL92" i="9"/>
  <c r="AK92" i="9"/>
  <c r="J4" i="11"/>
  <c r="J3" i="11"/>
  <c r="D46" i="9"/>
  <c r="D532" i="1"/>
  <c r="D47" i="9" s="1"/>
  <c r="AV673" i="1"/>
  <c r="AU674" i="1"/>
  <c r="AB554" i="1"/>
  <c r="AB556" i="1"/>
  <c r="T553" i="1"/>
  <c r="T531" i="1"/>
  <c r="T41" i="9" s="1"/>
  <c r="T525" i="1"/>
  <c r="H119" i="1"/>
  <c r="H58" i="1"/>
  <c r="H83" i="1"/>
  <c r="AV92" i="9"/>
  <c r="CD739" i="1"/>
  <c r="CC742" i="1"/>
  <c r="R46" i="9"/>
  <c r="R532" i="1"/>
  <c r="R47" i="9" s="1"/>
  <c r="R76" i="9" s="1"/>
  <c r="G63" i="1"/>
  <c r="G62" i="1"/>
  <c r="AR553" i="1"/>
  <c r="AX522" i="1"/>
  <c r="AX530" i="1"/>
  <c r="AX260" i="1"/>
  <c r="BF46" i="9"/>
  <c r="BF532" i="1"/>
  <c r="BF47" i="9" s="1"/>
  <c r="BF76" i="9" s="1"/>
  <c r="E802" i="1"/>
  <c r="F725" i="1"/>
  <c r="F726" i="1" s="1"/>
  <c r="E731" i="1"/>
  <c r="J522" i="1"/>
  <c r="J530" i="1"/>
  <c r="J260" i="1"/>
  <c r="AL556" i="1"/>
  <c r="AL554" i="1"/>
  <c r="AN92" i="9"/>
  <c r="AQ92" i="9"/>
  <c r="AP92" i="9"/>
  <c r="AR92" i="9"/>
  <c r="O530" i="1"/>
  <c r="O522" i="1"/>
  <c r="O260" i="1"/>
  <c r="AN530" i="1"/>
  <c r="AN522" i="1"/>
  <c r="AN260" i="1"/>
  <c r="O125" i="9"/>
  <c r="BZ753" i="1"/>
  <c r="BZ759" i="1" s="1"/>
  <c r="CA751" i="1"/>
  <c r="F63" i="1"/>
  <c r="AQ46" i="9"/>
  <c r="AQ532" i="1"/>
  <c r="AQ47" i="9" s="1"/>
  <c r="AQ76" i="9" s="1"/>
  <c r="BN468" i="1"/>
  <c r="BN262" i="1" s="1"/>
  <c r="BN261" i="1" s="1"/>
  <c r="BN470" i="1"/>
  <c r="BN485" i="1" s="1"/>
  <c r="BO46" i="9"/>
  <c r="BO532" i="1"/>
  <c r="BO47" i="9" s="1"/>
  <c r="BO76" i="9" s="1"/>
  <c r="F46" i="9"/>
  <c r="F532" i="1"/>
  <c r="F47" i="9" s="1"/>
  <c r="AO802" i="1"/>
  <c r="AP725" i="1"/>
  <c r="AO731" i="1"/>
  <c r="CD744" i="1"/>
  <c r="CE745" i="1"/>
  <c r="BA46" i="9"/>
  <c r="BA532" i="1"/>
  <c r="BA47" i="9" s="1"/>
  <c r="BA76" i="9" s="1"/>
  <c r="BB46" i="9"/>
  <c r="BB532" i="1"/>
  <c r="BB47" i="9" s="1"/>
  <c r="BB76" i="9" s="1"/>
  <c r="H554" i="1"/>
  <c r="H556" i="1"/>
  <c r="AF99" i="9"/>
  <c r="X554" i="1"/>
  <c r="X556" i="1"/>
  <c r="I200" i="1"/>
  <c r="I198" i="1"/>
  <c r="I181" i="1"/>
  <c r="I216" i="1" s="1"/>
  <c r="I78" i="1"/>
  <c r="I59" i="1"/>
  <c r="I199" i="1"/>
  <c r="I217" i="1" s="1"/>
  <c r="I197" i="1"/>
  <c r="I182" i="1"/>
  <c r="I218" i="1" s="1"/>
  <c r="I79" i="1"/>
  <c r="I180" i="1"/>
  <c r="I56" i="1"/>
  <c r="I57" i="1"/>
  <c r="I84" i="1" s="1"/>
  <c r="I88" i="1" s="1"/>
  <c r="I60" i="1"/>
  <c r="G238" i="1"/>
  <c r="G219" i="1"/>
  <c r="BR22" i="9"/>
  <c r="BR459" i="1"/>
  <c r="BR259" i="1"/>
  <c r="BR14" i="1"/>
  <c r="BR15" i="1" s="1"/>
  <c r="BI46" i="9"/>
  <c r="BI532" i="1"/>
  <c r="BI47" i="9" s="1"/>
  <c r="H61" i="1"/>
  <c r="BP468" i="1"/>
  <c r="BP262" i="1" s="1"/>
  <c r="BP261" i="1" s="1"/>
  <c r="BP470" i="1"/>
  <c r="BP485" i="1" s="1"/>
  <c r="W99" i="9"/>
  <c r="BD22" i="9"/>
  <c r="BD459" i="1"/>
  <c r="BD14" i="1"/>
  <c r="BD15" i="1" s="1"/>
  <c r="V46" i="9"/>
  <c r="Z806" i="1"/>
  <c r="V532" i="1"/>
  <c r="V47" i="9" s="1"/>
  <c r="V76" i="9" s="1"/>
  <c r="I554" i="1"/>
  <c r="I556" i="1"/>
  <c r="AU22" i="9"/>
  <c r="AU459" i="1"/>
  <c r="AU14" i="1"/>
  <c r="AU15" i="1" s="1"/>
  <c r="BG46" i="9"/>
  <c r="BG532" i="1"/>
  <c r="BG47" i="9" s="1"/>
  <c r="BG76" i="9" s="1"/>
  <c r="BC22" i="9"/>
  <c r="BC459" i="1"/>
  <c r="BC14" i="1"/>
  <c r="BC15" i="1" s="1"/>
  <c r="E46" i="9"/>
  <c r="E532" i="1"/>
  <c r="E47" i="9" s="1"/>
  <c r="BQ46" i="9"/>
  <c r="BQ532" i="1"/>
  <c r="BQ47" i="9" s="1"/>
  <c r="BQ76" i="9" s="1"/>
  <c r="AX92" i="9"/>
  <c r="AZ92" i="9"/>
  <c r="BA92" i="9"/>
  <c r="BB92" i="9"/>
  <c r="BJ95" i="9"/>
  <c r="BJ99" i="9"/>
  <c r="AM95" i="9"/>
  <c r="AM99" i="9"/>
  <c r="F556" i="1"/>
  <c r="F554" i="1"/>
  <c r="AL725" i="1"/>
  <c r="AL726" i="1" s="1"/>
  <c r="AK802" i="1"/>
  <c r="AK731" i="1"/>
  <c r="AK46" i="9"/>
  <c r="AK532" i="1"/>
  <c r="AK47" i="9" s="1"/>
  <c r="AK76" i="9" s="1"/>
  <c r="AT468" i="1"/>
  <c r="AT262" i="1" s="1"/>
  <c r="AT261" i="1" s="1"/>
  <c r="AT470" i="1"/>
  <c r="AT485" i="1" s="1"/>
  <c r="BA554" i="1"/>
  <c r="BA556" i="1"/>
  <c r="BB556" i="1"/>
  <c r="BB554" i="1"/>
  <c r="BO470" i="1"/>
  <c r="BO485" i="1" s="1"/>
  <c r="BO468" i="1"/>
  <c r="BO262" i="1" s="1"/>
  <c r="BO261" i="1" s="1"/>
  <c r="AI522" i="1"/>
  <c r="AI530" i="1"/>
  <c r="AI260" i="1"/>
  <c r="D554" i="1"/>
  <c r="D556" i="1"/>
  <c r="N673" i="1"/>
  <c r="M674" i="1"/>
  <c r="J1" i="9"/>
  <c r="J900" i="1"/>
  <c r="J870" i="1"/>
  <c r="J895" i="1" s="1"/>
  <c r="J893" i="1" s="1"/>
  <c r="J618" i="1" s="1"/>
  <c r="K4" i="1"/>
  <c r="J3" i="1"/>
  <c r="BR531" i="1"/>
  <c r="BR41" i="9" s="1"/>
  <c r="BR553" i="1"/>
  <c r="BR525" i="1"/>
  <c r="H80" i="1"/>
  <c r="H75" i="1"/>
  <c r="S46" i="9"/>
  <c r="S532" i="1"/>
  <c r="S47" i="9" s="1"/>
  <c r="S76" i="9" s="1"/>
  <c r="J897" i="1" l="1"/>
  <c r="AI22" i="9"/>
  <c r="AI14" i="1"/>
  <c r="AI15" i="1" s="1"/>
  <c r="AZ95" i="9"/>
  <c r="AZ99" i="9"/>
  <c r="BC468" i="1"/>
  <c r="BC262" i="1" s="1"/>
  <c r="BC261" i="1" s="1"/>
  <c r="BC470" i="1"/>
  <c r="BC485" i="1" s="1"/>
  <c r="I5" i="9"/>
  <c r="I6" i="9" s="1"/>
  <c r="I11" i="9" s="1"/>
  <c r="I605" i="1"/>
  <c r="I606" i="1" s="1"/>
  <c r="I83" i="1"/>
  <c r="I58" i="1"/>
  <c r="I119" i="1"/>
  <c r="K110" i="9"/>
  <c r="F124" i="9"/>
  <c r="F86" i="9"/>
  <c r="F87" i="9" s="1"/>
  <c r="F90" i="9" s="1"/>
  <c r="O531" i="1"/>
  <c r="O41" i="9" s="1"/>
  <c r="O553" i="1"/>
  <c r="O525" i="1"/>
  <c r="J22" i="9"/>
  <c r="J14" i="1"/>
  <c r="J15" i="1" s="1"/>
  <c r="AX22" i="9"/>
  <c r="AX459" i="1"/>
  <c r="AX14" i="1"/>
  <c r="AX15" i="1" s="1"/>
  <c r="T46" i="9"/>
  <c r="T532" i="1"/>
  <c r="T47" i="9" s="1"/>
  <c r="T76" i="9" s="1"/>
  <c r="D124" i="9"/>
  <c r="E110" i="9"/>
  <c r="D86" i="9"/>
  <c r="D87" i="9" s="1"/>
  <c r="D90" i="9" s="1"/>
  <c r="C124" i="9"/>
  <c r="D110" i="9"/>
  <c r="C86" i="9"/>
  <c r="C87" i="9" s="1"/>
  <c r="C90" i="9" s="1"/>
  <c r="AP124" i="9"/>
  <c r="AP86" i="9"/>
  <c r="AY76" i="9"/>
  <c r="AY115" i="9"/>
  <c r="Y554" i="1"/>
  <c r="Z553" i="1"/>
  <c r="Y556" i="1"/>
  <c r="AP5" i="9"/>
  <c r="AP6" i="9" s="1"/>
  <c r="AP11" i="9" s="1"/>
  <c r="AP605" i="1"/>
  <c r="AP606" i="1" s="1"/>
  <c r="BM124" i="9"/>
  <c r="BM86" i="9"/>
  <c r="AZ5" i="9"/>
  <c r="AZ6" i="9" s="1"/>
  <c r="AZ11" i="9" s="1"/>
  <c r="AZ605" i="1"/>
  <c r="AZ606" i="1" s="1"/>
  <c r="BT470" i="1"/>
  <c r="BT485" i="1" s="1"/>
  <c r="BT468" i="1"/>
  <c r="BT262" i="1" s="1"/>
  <c r="BT261" i="1" s="1"/>
  <c r="BL556" i="1"/>
  <c r="BL554" i="1"/>
  <c r="AM556" i="1"/>
  <c r="AM554" i="1"/>
  <c r="M95" i="9"/>
  <c r="M99" i="9"/>
  <c r="S110" i="9"/>
  <c r="N124" i="9"/>
  <c r="N86" i="9"/>
  <c r="AF5" i="9"/>
  <c r="AF6" i="9" s="1"/>
  <c r="AF11" i="9" s="1"/>
  <c r="AF605" i="1"/>
  <c r="AF606" i="1" s="1"/>
  <c r="T2" i="9"/>
  <c r="T5" i="11"/>
  <c r="BK468" i="1"/>
  <c r="BK262" i="1" s="1"/>
  <c r="BK261" i="1" s="1"/>
  <c r="BK470" i="1"/>
  <c r="BK485" i="1" s="1"/>
  <c r="P76" i="9"/>
  <c r="P115" i="9"/>
  <c r="AZ124" i="9"/>
  <c r="BE110" i="9"/>
  <c r="AZ86" i="9"/>
  <c r="AE553" i="1"/>
  <c r="AD554" i="1"/>
  <c r="AD556" i="1"/>
  <c r="M5" i="9"/>
  <c r="M6" i="9" s="1"/>
  <c r="M11" i="9" s="1"/>
  <c r="M605" i="1"/>
  <c r="M606" i="1" s="1"/>
  <c r="AQ5" i="9"/>
  <c r="AQ6" i="9" s="1"/>
  <c r="AQ11" i="9" s="1"/>
  <c r="AQ605" i="1"/>
  <c r="AQ606" i="1" s="1"/>
  <c r="BR46" i="9"/>
  <c r="BR110" i="9" s="1"/>
  <c r="BR532" i="1"/>
  <c r="BR47" i="9" s="1"/>
  <c r="BR76" i="9" s="1"/>
  <c r="F5" i="9"/>
  <c r="F6" i="9" s="1"/>
  <c r="F605" i="1"/>
  <c r="AX95" i="9"/>
  <c r="AX99" i="9"/>
  <c r="I215" i="1"/>
  <c r="I183" i="1"/>
  <c r="BA124" i="9"/>
  <c r="BF110" i="9"/>
  <c r="BA86" i="9"/>
  <c r="CA753" i="1"/>
  <c r="CA759" i="1" s="1"/>
  <c r="CB751" i="1"/>
  <c r="CD742" i="1"/>
  <c r="CE739" i="1"/>
  <c r="AY124" i="9"/>
  <c r="BD110" i="9"/>
  <c r="AY86" i="9"/>
  <c r="AY87" i="9" s="1"/>
  <c r="AY90" i="9" s="1"/>
  <c r="BT46" i="9"/>
  <c r="BT110" i="9" s="1"/>
  <c r="BT532" i="1"/>
  <c r="BT47" i="9" s="1"/>
  <c r="BT76" i="9" s="1"/>
  <c r="K76" i="9"/>
  <c r="K115" i="9"/>
  <c r="L95" i="9"/>
  <c r="L99" i="9"/>
  <c r="BJ5" i="9"/>
  <c r="BJ6" i="9" s="1"/>
  <c r="BJ11" i="9" s="1"/>
  <c r="BJ605" i="1"/>
  <c r="BJ606" i="1" s="1"/>
  <c r="BL470" i="1"/>
  <c r="BL485" i="1" s="1"/>
  <c r="BL468" i="1"/>
  <c r="BL262" i="1" s="1"/>
  <c r="BL261" i="1" s="1"/>
  <c r="P124" i="9"/>
  <c r="U110" i="9"/>
  <c r="P86" i="9"/>
  <c r="P87" i="9" s="1"/>
  <c r="P90" i="9" s="1"/>
  <c r="BP124" i="9"/>
  <c r="BP86" i="9"/>
  <c r="BS468" i="1"/>
  <c r="BS262" i="1" s="1"/>
  <c r="BS261" i="1" s="1"/>
  <c r="BS470" i="1"/>
  <c r="BS485" i="1" s="1"/>
  <c r="BD46" i="9"/>
  <c r="BD532" i="1"/>
  <c r="BD47" i="9" s="1"/>
  <c r="BY9" i="9"/>
  <c r="BY797" i="1"/>
  <c r="BY588" i="1"/>
  <c r="BY763" i="1" s="1"/>
  <c r="BY768" i="1" s="1"/>
  <c r="BZ590" i="1"/>
  <c r="L124" i="9"/>
  <c r="Q110" i="9"/>
  <c r="L86" i="9"/>
  <c r="AD46" i="9"/>
  <c r="AD532" i="1"/>
  <c r="AD47" i="9" s="1"/>
  <c r="AD76" i="9" s="1"/>
  <c r="AE806" i="1"/>
  <c r="AH5" i="9"/>
  <c r="AH6" i="9" s="1"/>
  <c r="AH11" i="9" s="1"/>
  <c r="AH605" i="1"/>
  <c r="AH606" i="1" s="1"/>
  <c r="W124" i="9"/>
  <c r="AB110" i="9"/>
  <c r="W86" i="9"/>
  <c r="BR468" i="1"/>
  <c r="BR262" i="1" s="1"/>
  <c r="BR261" i="1" s="1"/>
  <c r="BR470" i="1"/>
  <c r="BR485" i="1" s="1"/>
  <c r="I76" i="1"/>
  <c r="CE744" i="1"/>
  <c r="CF745" i="1"/>
  <c r="CF744" i="1" s="1"/>
  <c r="BS806" i="1"/>
  <c r="AR95" i="9"/>
  <c r="AR99" i="9"/>
  <c r="J525" i="1"/>
  <c r="J553" i="1"/>
  <c r="J531" i="1"/>
  <c r="J41" i="9" s="1"/>
  <c r="AX525" i="1"/>
  <c r="AX531" i="1"/>
  <c r="AX41" i="9" s="1"/>
  <c r="AX553" i="1"/>
  <c r="AV95" i="9"/>
  <c r="AV99" i="9"/>
  <c r="U553" i="1"/>
  <c r="T554" i="1"/>
  <c r="T556" i="1"/>
  <c r="AK95" i="9"/>
  <c r="AK99" i="9"/>
  <c r="Y46" i="9"/>
  <c r="Y532" i="1"/>
  <c r="Y47" i="9" s="1"/>
  <c r="Y76" i="9" s="1"/>
  <c r="X2" i="9"/>
  <c r="X5" i="11"/>
  <c r="Y5" i="1"/>
  <c r="AR124" i="9"/>
  <c r="AW110" i="9"/>
  <c r="AR86" i="9"/>
  <c r="K124" i="9"/>
  <c r="P110" i="9"/>
  <c r="K86" i="9"/>
  <c r="K87" i="9" s="1"/>
  <c r="K90" i="9" s="1"/>
  <c r="L5" i="9"/>
  <c r="L6" i="9" s="1"/>
  <c r="L11" i="9" s="1"/>
  <c r="L605" i="1"/>
  <c r="L606" i="1" s="1"/>
  <c r="AA5" i="9"/>
  <c r="AA6" i="9" s="1"/>
  <c r="AA11" i="9" s="1"/>
  <c r="AA605" i="1"/>
  <c r="AA606" i="1" s="1"/>
  <c r="Z115" i="9"/>
  <c r="Z76" i="9"/>
  <c r="AK5" i="9"/>
  <c r="AK6" i="9" s="1"/>
  <c r="AK11" i="9" s="1"/>
  <c r="AK605" i="1"/>
  <c r="AK606" i="1" s="1"/>
  <c r="BN115" i="9"/>
  <c r="BN76" i="9"/>
  <c r="U76" i="9"/>
  <c r="U115" i="9"/>
  <c r="G5" i="9"/>
  <c r="G6" i="9" s="1"/>
  <c r="G11" i="9" s="1"/>
  <c r="G605" i="1"/>
  <c r="G606" i="1" s="1"/>
  <c r="AA124" i="9"/>
  <c r="AF110" i="9"/>
  <c r="AA86" i="9"/>
  <c r="AS22" i="9"/>
  <c r="AS459" i="1"/>
  <c r="AS14" i="1"/>
  <c r="AS15" i="1" s="1"/>
  <c r="AB5" i="11"/>
  <c r="AB2" i="9"/>
  <c r="AC5" i="1"/>
  <c r="BQ124" i="9"/>
  <c r="BQ86" i="9"/>
  <c r="BG124" i="9"/>
  <c r="BG86" i="9"/>
  <c r="X5" i="9"/>
  <c r="X6" i="9" s="1"/>
  <c r="X11" i="9" s="1"/>
  <c r="X605" i="1"/>
  <c r="X606" i="1" s="1"/>
  <c r="BO124" i="9"/>
  <c r="BO86" i="9"/>
  <c r="AP95" i="9"/>
  <c r="AP99" i="9"/>
  <c r="AR556" i="1"/>
  <c r="AR554" i="1"/>
  <c r="H85" i="1"/>
  <c r="H87" i="1"/>
  <c r="AB5" i="9"/>
  <c r="AB6" i="9" s="1"/>
  <c r="AB11" i="9" s="1"/>
  <c r="AB605" i="1"/>
  <c r="AB606" i="1" s="1"/>
  <c r="AL95" i="9"/>
  <c r="AL99" i="9"/>
  <c r="AE76" i="9"/>
  <c r="AE115" i="9"/>
  <c r="AL124" i="9"/>
  <c r="AQ110" i="9"/>
  <c r="AL86" i="9"/>
  <c r="AV5" i="9"/>
  <c r="AV6" i="9" s="1"/>
  <c r="AV11" i="9" s="1"/>
  <c r="AV605" i="1"/>
  <c r="AV606" i="1" s="1"/>
  <c r="R5" i="9"/>
  <c r="R6" i="9" s="1"/>
  <c r="R11" i="9" s="1"/>
  <c r="R605" i="1"/>
  <c r="R606" i="1" s="1"/>
  <c r="AG5" i="9"/>
  <c r="AG6" i="9" s="1"/>
  <c r="AG11" i="9" s="1"/>
  <c r="AG605" i="1"/>
  <c r="AG606" i="1" s="1"/>
  <c r="CB755" i="1"/>
  <c r="CC756" i="1"/>
  <c r="BK46" i="9"/>
  <c r="BK532" i="1"/>
  <c r="BK47" i="9" s="1"/>
  <c r="BK76" i="9" s="1"/>
  <c r="BM5" i="9"/>
  <c r="BM6" i="9" s="1"/>
  <c r="BM11" i="9" s="1"/>
  <c r="BM605" i="1"/>
  <c r="BM606" i="1" s="1"/>
  <c r="AW5" i="9"/>
  <c r="AW6" i="9" s="1"/>
  <c r="AW11" i="9" s="1"/>
  <c r="AW605" i="1"/>
  <c r="AW606" i="1" s="1"/>
  <c r="AC5" i="9"/>
  <c r="AC6" i="9" s="1"/>
  <c r="AC11" i="9" s="1"/>
  <c r="AC605" i="1"/>
  <c r="AC606" i="1" s="1"/>
  <c r="BH46" i="9"/>
  <c r="BH532" i="1"/>
  <c r="BH47" i="9" s="1"/>
  <c r="BH76" i="9" s="1"/>
  <c r="Z124" i="9"/>
  <c r="AE110" i="9"/>
  <c r="Z86" i="9"/>
  <c r="Z87" i="9" s="1"/>
  <c r="Z90" i="9" s="1"/>
  <c r="BN124" i="9"/>
  <c r="BN86" i="9"/>
  <c r="BN87" i="9" s="1"/>
  <c r="BN90" i="9" s="1"/>
  <c r="U124" i="9"/>
  <c r="Z110" i="9"/>
  <c r="U86" i="9"/>
  <c r="U87" i="9" s="1"/>
  <c r="U90" i="9" s="1"/>
  <c r="Q5" i="9"/>
  <c r="Q6" i="9" s="1"/>
  <c r="Q11" i="9" s="1"/>
  <c r="Q605" i="1"/>
  <c r="Q606" i="1" s="1"/>
  <c r="AT76" i="9"/>
  <c r="AT115" i="9"/>
  <c r="AJ2" i="9"/>
  <c r="AJ5" i="11"/>
  <c r="AG856" i="1"/>
  <c r="AF856" i="1"/>
  <c r="AF855" i="1" s="1"/>
  <c r="AH856" i="1"/>
  <c r="AE856" i="1"/>
  <c r="AD856" i="1"/>
  <c r="AO5" i="1"/>
  <c r="AK5" i="1"/>
  <c r="AS531" i="1"/>
  <c r="AS41" i="9" s="1"/>
  <c r="AS553" i="1"/>
  <c r="AS525" i="1"/>
  <c r="H124" i="9"/>
  <c r="M110" i="9"/>
  <c r="H86" i="9"/>
  <c r="BH468" i="1"/>
  <c r="BH262" i="1" s="1"/>
  <c r="BH261" i="1" s="1"/>
  <c r="BH470" i="1"/>
  <c r="BH485" i="1" s="1"/>
  <c r="BS553" i="1"/>
  <c r="BR554" i="1"/>
  <c r="BR556" i="1"/>
  <c r="J56" i="1"/>
  <c r="J59" i="1"/>
  <c r="J61" i="1" s="1"/>
  <c r="J60" i="1"/>
  <c r="J57" i="1"/>
  <c r="K27" i="1"/>
  <c r="K33" i="1"/>
  <c r="K56" i="1" s="1"/>
  <c r="AK124" i="9"/>
  <c r="AP110" i="9"/>
  <c r="AK86" i="9"/>
  <c r="E115" i="9"/>
  <c r="E76" i="9"/>
  <c r="V124" i="9"/>
  <c r="AA110" i="9"/>
  <c r="V86" i="9"/>
  <c r="K26" i="1"/>
  <c r="I201" i="1"/>
  <c r="I239" i="1" s="1"/>
  <c r="H5" i="9"/>
  <c r="H6" i="9" s="1"/>
  <c r="H11" i="9" s="1"/>
  <c r="H605" i="1"/>
  <c r="H606" i="1" s="1"/>
  <c r="AN22" i="9"/>
  <c r="AN459" i="1"/>
  <c r="AN14" i="1"/>
  <c r="AN15" i="1" s="1"/>
  <c r="AQ95" i="9"/>
  <c r="AQ99" i="9"/>
  <c r="F802" i="1"/>
  <c r="K725" i="1"/>
  <c r="K726" i="1" s="1"/>
  <c r="F731" i="1"/>
  <c r="G725" i="1"/>
  <c r="G726" i="1" s="1"/>
  <c r="H63" i="1"/>
  <c r="H62" i="1"/>
  <c r="AI95" i="9"/>
  <c r="AI99" i="9"/>
  <c r="AE124" i="9"/>
  <c r="AJ110" i="9"/>
  <c r="AE86" i="9"/>
  <c r="AE87" i="9" s="1"/>
  <c r="AE90" i="9" s="1"/>
  <c r="S95" i="9"/>
  <c r="S99" i="9"/>
  <c r="BJ124" i="9"/>
  <c r="BO110" i="9"/>
  <c r="BJ86" i="9"/>
  <c r="BN556" i="1"/>
  <c r="BN554" i="1"/>
  <c r="AM468" i="1"/>
  <c r="AM262" i="1" s="1"/>
  <c r="AM261" i="1" s="1"/>
  <c r="AM470" i="1"/>
  <c r="AM485" i="1" s="1"/>
  <c r="BG5" i="9"/>
  <c r="BG6" i="9" s="1"/>
  <c r="BG11" i="9" s="1"/>
  <c r="BG605" i="1"/>
  <c r="BG606" i="1" s="1"/>
  <c r="BQ5" i="9"/>
  <c r="BQ6" i="9" s="1"/>
  <c r="BQ11" i="9" s="1"/>
  <c r="BQ605" i="1"/>
  <c r="BQ606" i="1" s="1"/>
  <c r="BC46" i="9"/>
  <c r="BC532" i="1"/>
  <c r="BC47" i="9" s="1"/>
  <c r="BC76" i="9" s="1"/>
  <c r="S5" i="9"/>
  <c r="S6" i="9" s="1"/>
  <c r="S11" i="9" s="1"/>
  <c r="S605" i="1"/>
  <c r="S606" i="1" s="1"/>
  <c r="N5" i="9"/>
  <c r="N6" i="9" s="1"/>
  <c r="N11" i="9" s="1"/>
  <c r="N605" i="1"/>
  <c r="N606" i="1" s="1"/>
  <c r="CC771" i="1"/>
  <c r="AT124" i="9"/>
  <c r="AY110" i="9"/>
  <c r="AT86" i="9"/>
  <c r="AT87" i="9" s="1"/>
  <c r="AT90" i="9" s="1"/>
  <c r="AF5" i="11"/>
  <c r="AF2" i="9"/>
  <c r="AE850" i="1"/>
  <c r="AD850" i="1"/>
  <c r="AG5" i="1"/>
  <c r="X124" i="9"/>
  <c r="AC110" i="9"/>
  <c r="X86" i="9"/>
  <c r="AI553" i="1"/>
  <c r="AI531" i="1"/>
  <c r="AI41" i="9" s="1"/>
  <c r="AI525" i="1"/>
  <c r="K1" i="9"/>
  <c r="K900" i="1"/>
  <c r="L4" i="1"/>
  <c r="K3" i="1"/>
  <c r="K22" i="1" s="1"/>
  <c r="K4" i="11"/>
  <c r="O673" i="1"/>
  <c r="N674" i="1"/>
  <c r="BB5" i="9"/>
  <c r="BB6" i="9" s="1"/>
  <c r="BB11" i="9" s="1"/>
  <c r="BB605" i="1"/>
  <c r="BB606" i="1" s="1"/>
  <c r="E124" i="9"/>
  <c r="F110" i="9"/>
  <c r="E86" i="9"/>
  <c r="E87" i="9" s="1"/>
  <c r="E90" i="9" s="1"/>
  <c r="BI76" i="9"/>
  <c r="BI115" i="9"/>
  <c r="AT725" i="1"/>
  <c r="AT726" i="1" s="1"/>
  <c r="AP726" i="1"/>
  <c r="AN525" i="1"/>
  <c r="AN531" i="1"/>
  <c r="AN41" i="9" s="1"/>
  <c r="AN553" i="1"/>
  <c r="AN95" i="9"/>
  <c r="AN99" i="9"/>
  <c r="BJ110" i="9"/>
  <c r="BE124" i="9"/>
  <c r="BE86" i="9"/>
  <c r="R95" i="9"/>
  <c r="R99" i="9"/>
  <c r="BF5" i="9"/>
  <c r="BF6" i="9" s="1"/>
  <c r="BF11" i="9" s="1"/>
  <c r="BF605" i="1"/>
  <c r="BF606" i="1" s="1"/>
  <c r="BE5" i="9"/>
  <c r="BE6" i="9" s="1"/>
  <c r="BE11" i="9" s="1"/>
  <c r="BE605" i="1"/>
  <c r="BE606" i="1" s="1"/>
  <c r="AV124" i="9"/>
  <c r="BA110" i="9"/>
  <c r="AV86" i="9"/>
  <c r="BK554" i="1"/>
  <c r="BK556" i="1"/>
  <c r="U806" i="1"/>
  <c r="BI553" i="1"/>
  <c r="BH554" i="1"/>
  <c r="BH556" i="1"/>
  <c r="BC554" i="1"/>
  <c r="BD553" i="1"/>
  <c r="BC556" i="1"/>
  <c r="AC855" i="1"/>
  <c r="AU46" i="9"/>
  <c r="AY806" i="1"/>
  <c r="AU532" i="1"/>
  <c r="AU47" i="9" s="1"/>
  <c r="AU76" i="9" s="1"/>
  <c r="S124" i="9"/>
  <c r="X110" i="9"/>
  <c r="S86" i="9"/>
  <c r="J890" i="1"/>
  <c r="J888" i="1"/>
  <c r="J886" i="1" s="1"/>
  <c r="J616" i="1" s="1"/>
  <c r="J876" i="1"/>
  <c r="J881" i="1"/>
  <c r="J879" i="1" s="1"/>
  <c r="J615" i="1" s="1"/>
  <c r="J883" i="1"/>
  <c r="J874" i="1"/>
  <c r="J872" i="1" s="1"/>
  <c r="J614" i="1" s="1"/>
  <c r="D5" i="9"/>
  <c r="D6" i="9" s="1"/>
  <c r="D605" i="1"/>
  <c r="BA5" i="9"/>
  <c r="BA6" i="9" s="1"/>
  <c r="BA11" i="9" s="1"/>
  <c r="BA605" i="1"/>
  <c r="BA606" i="1" s="1"/>
  <c r="BB95" i="9"/>
  <c r="BB99" i="9"/>
  <c r="AU468" i="1"/>
  <c r="AU262" i="1" s="1"/>
  <c r="AU261" i="1" s="1"/>
  <c r="AU470" i="1"/>
  <c r="AU485" i="1" s="1"/>
  <c r="BI124" i="9"/>
  <c r="BN110" i="9"/>
  <c r="BI86" i="9"/>
  <c r="BI87" i="9" s="1"/>
  <c r="BI90" i="9" s="1"/>
  <c r="I61" i="1"/>
  <c r="AW673" i="1"/>
  <c r="AV674" i="1"/>
  <c r="CD749" i="1"/>
  <c r="Q95" i="9"/>
  <c r="Q99" i="9"/>
  <c r="AL110" i="9"/>
  <c r="AG124" i="9"/>
  <c r="AG86" i="9"/>
  <c r="AI731" i="1"/>
  <c r="AI802" i="1"/>
  <c r="AB124" i="9"/>
  <c r="AG110" i="9"/>
  <c r="AB86" i="9"/>
  <c r="BB110" i="9"/>
  <c r="AW124" i="9"/>
  <c r="AW86" i="9"/>
  <c r="AH124" i="9"/>
  <c r="AH86" i="9"/>
  <c r="V110" i="9"/>
  <c r="Q124" i="9"/>
  <c r="Q86" i="9"/>
  <c r="AO76" i="9"/>
  <c r="AO115" i="9"/>
  <c r="AC124" i="9"/>
  <c r="AH110" i="9"/>
  <c r="AC86" i="9"/>
  <c r="AJ115" i="9"/>
  <c r="AJ76" i="9"/>
  <c r="BS46" i="9"/>
  <c r="BS532" i="1"/>
  <c r="BS47" i="9" s="1"/>
  <c r="BO5" i="9"/>
  <c r="BO6" i="9" s="1"/>
  <c r="BO11" i="9" s="1"/>
  <c r="BO605" i="1"/>
  <c r="BO606" i="1" s="1"/>
  <c r="M124" i="9"/>
  <c r="R110" i="9"/>
  <c r="M86" i="9"/>
  <c r="AU554" i="1"/>
  <c r="AU556" i="1"/>
  <c r="AL802" i="1"/>
  <c r="AL731" i="1"/>
  <c r="AM725" i="1"/>
  <c r="AM726" i="1" s="1"/>
  <c r="BA95" i="9"/>
  <c r="BA99" i="9"/>
  <c r="BD470" i="1"/>
  <c r="BD485" i="1" s="1"/>
  <c r="BD468" i="1"/>
  <c r="BD262" i="1" s="1"/>
  <c r="BD261" i="1" s="1"/>
  <c r="I75" i="1"/>
  <c r="I80" i="1"/>
  <c r="BG110" i="9"/>
  <c r="BB124" i="9"/>
  <c r="BB86" i="9"/>
  <c r="F76" i="9"/>
  <c r="F115" i="9"/>
  <c r="AQ124" i="9"/>
  <c r="AV110" i="9"/>
  <c r="AQ86" i="9"/>
  <c r="O22" i="9"/>
  <c r="O14" i="1"/>
  <c r="O15" i="1" s="1"/>
  <c r="AL5" i="9"/>
  <c r="AL6" i="9" s="1"/>
  <c r="AL11" i="9" s="1"/>
  <c r="AL605" i="1"/>
  <c r="AL606" i="1" s="1"/>
  <c r="BF124" i="9"/>
  <c r="BK110" i="9"/>
  <c r="BF86" i="9"/>
  <c r="R124" i="9"/>
  <c r="W110" i="9"/>
  <c r="R86" i="9"/>
  <c r="D76" i="9"/>
  <c r="D115" i="9"/>
  <c r="C76" i="9"/>
  <c r="C115" i="9"/>
  <c r="O95" i="9"/>
  <c r="O99" i="9"/>
  <c r="BT554" i="1"/>
  <c r="BT556" i="1"/>
  <c r="BL46" i="9"/>
  <c r="BL110" i="9" s="1"/>
  <c r="BL532" i="1"/>
  <c r="BL47" i="9" s="1"/>
  <c r="BL76" i="9" s="1"/>
  <c r="AM46" i="9"/>
  <c r="AM110" i="9" s="1"/>
  <c r="AM532" i="1"/>
  <c r="AM47" i="9" s="1"/>
  <c r="AM76" i="9" s="1"/>
  <c r="N95" i="9"/>
  <c r="N99" i="9"/>
  <c r="BP5" i="9"/>
  <c r="BP6" i="9" s="1"/>
  <c r="BP11" i="9" s="1"/>
  <c r="BP605" i="1"/>
  <c r="BP606" i="1" s="1"/>
  <c r="CD781" i="1"/>
  <c r="AT110" i="9"/>
  <c r="AO124" i="9"/>
  <c r="AO86" i="9"/>
  <c r="AO87" i="9" s="1"/>
  <c r="AO90" i="9" s="1"/>
  <c r="N110" i="9"/>
  <c r="I124" i="9"/>
  <c r="I86" i="9"/>
  <c r="H238" i="1"/>
  <c r="H219" i="1"/>
  <c r="BD806" i="1"/>
  <c r="AJ124" i="9"/>
  <c r="AO110" i="9"/>
  <c r="AJ86" i="9"/>
  <c r="AJ87" i="9" s="1"/>
  <c r="AJ90" i="9" s="1"/>
  <c r="AF124" i="9"/>
  <c r="AK110" i="9"/>
  <c r="AF86" i="9"/>
  <c r="L110" i="9"/>
  <c r="G124" i="9"/>
  <c r="G86" i="9"/>
  <c r="E5" i="9"/>
  <c r="E6" i="9" s="1"/>
  <c r="E605" i="1"/>
  <c r="L1" i="9" l="1"/>
  <c r="L900" i="1"/>
  <c r="L870" i="1"/>
  <c r="L3" i="1"/>
  <c r="M4" i="1"/>
  <c r="L4" i="11"/>
  <c r="CE749" i="1"/>
  <c r="BH5" i="9"/>
  <c r="BH6" i="9" s="1"/>
  <c r="BH11" i="9" s="1"/>
  <c r="BH605" i="1"/>
  <c r="BH606" i="1" s="1"/>
  <c r="K870" i="1"/>
  <c r="AJ553" i="1"/>
  <c r="AI554" i="1"/>
  <c r="AI556" i="1"/>
  <c r="K31" i="1"/>
  <c r="AD855" i="1"/>
  <c r="Y2" i="9"/>
  <c r="Y5" i="11"/>
  <c r="J554" i="1"/>
  <c r="K553" i="1"/>
  <c r="J556" i="1"/>
  <c r="K41" i="1"/>
  <c r="BY102" i="9"/>
  <c r="BY103" i="9" s="1"/>
  <c r="F606" i="1"/>
  <c r="F611" i="1"/>
  <c r="AD5" i="9"/>
  <c r="AD6" i="9" s="1"/>
  <c r="AD11" i="9" s="1"/>
  <c r="AD605" i="1"/>
  <c r="AD606" i="1" s="1"/>
  <c r="BS115" i="9"/>
  <c r="BS76" i="9"/>
  <c r="AN46" i="9"/>
  <c r="AN532" i="1"/>
  <c r="AN47" i="9" s="1"/>
  <c r="AN76" i="9" s="1"/>
  <c r="AO806" i="1"/>
  <c r="AE855" i="1"/>
  <c r="AA87" i="9"/>
  <c r="AA90" i="9" s="1"/>
  <c r="U554" i="1"/>
  <c r="U556" i="1"/>
  <c r="V553" i="1"/>
  <c r="J46" i="9"/>
  <c r="J532" i="1"/>
  <c r="J47" i="9" s="1"/>
  <c r="J76" i="9" s="1"/>
  <c r="K806" i="1"/>
  <c r="BT124" i="9"/>
  <c r="BT86" i="9"/>
  <c r="F11" i="9"/>
  <c r="F118" i="9"/>
  <c r="AX470" i="1"/>
  <c r="AX485" i="1" s="1"/>
  <c r="AX468" i="1"/>
  <c r="AX262" i="1" s="1"/>
  <c r="AX261" i="1" s="1"/>
  <c r="BT5" i="9"/>
  <c r="BT6" i="9" s="1"/>
  <c r="BT11" i="9" s="1"/>
  <c r="BT605" i="1"/>
  <c r="BT606" i="1" s="1"/>
  <c r="AM731" i="1"/>
  <c r="AM802" i="1"/>
  <c r="AN725" i="1"/>
  <c r="AN726" i="1" s="1"/>
  <c r="E11" i="9"/>
  <c r="E118" i="9"/>
  <c r="AU5" i="9"/>
  <c r="AU6" i="9" s="1"/>
  <c r="AU11" i="9" s="1"/>
  <c r="AU605" i="1"/>
  <c r="AU606" i="1" s="1"/>
  <c r="BS124" i="9"/>
  <c r="BS86" i="9"/>
  <c r="BS87" i="9" s="1"/>
  <c r="BS90" i="9" s="1"/>
  <c r="AG87" i="9"/>
  <c r="AG90" i="9" s="1"/>
  <c r="AX673" i="1"/>
  <c r="AW674" i="1"/>
  <c r="AU124" i="9"/>
  <c r="AZ110" i="9"/>
  <c r="AU86" i="9"/>
  <c r="BI556" i="1"/>
  <c r="BI554" i="1"/>
  <c r="AP802" i="1"/>
  <c r="AQ725" i="1"/>
  <c r="AQ726" i="1" s="1"/>
  <c r="AP731" i="1"/>
  <c r="K83" i="1"/>
  <c r="J58" i="1"/>
  <c r="AC5" i="11"/>
  <c r="AC2" i="9"/>
  <c r="AD5" i="1"/>
  <c r="AD124" i="9"/>
  <c r="AD86" i="9"/>
  <c r="AD87" i="9" s="1"/>
  <c r="AD90" i="9" s="1"/>
  <c r="AE554" i="1"/>
  <c r="AE556" i="1"/>
  <c r="AM5" i="9"/>
  <c r="AM6" i="9" s="1"/>
  <c r="AM11" i="9" s="1"/>
  <c r="AM605" i="1"/>
  <c r="AM606" i="1" s="1"/>
  <c r="AH87" i="9"/>
  <c r="AH90" i="9" s="1"/>
  <c r="AO553" i="1"/>
  <c r="AN554" i="1"/>
  <c r="AN556" i="1"/>
  <c r="AT802" i="1"/>
  <c r="AT731" i="1"/>
  <c r="AU725" i="1"/>
  <c r="G731" i="1"/>
  <c r="G802" i="1"/>
  <c r="H725" i="1"/>
  <c r="H726" i="1" s="1"/>
  <c r="AN470" i="1"/>
  <c r="AN485" i="1" s="1"/>
  <c r="AN468" i="1"/>
  <c r="AN262" i="1" s="1"/>
  <c r="AN261" i="1" s="1"/>
  <c r="BR5" i="9"/>
  <c r="BR6" i="9" s="1"/>
  <c r="BR11" i="9" s="1"/>
  <c r="BR605" i="1"/>
  <c r="BR606" i="1" s="1"/>
  <c r="AS46" i="9"/>
  <c r="AS532" i="1"/>
  <c r="AS47" i="9" s="1"/>
  <c r="AS76" i="9" s="1"/>
  <c r="AT806" i="1"/>
  <c r="BD76" i="9"/>
  <c r="BD115" i="9"/>
  <c r="BR124" i="9"/>
  <c r="BR86" i="9"/>
  <c r="BR87" i="9" s="1"/>
  <c r="BR90" i="9" s="1"/>
  <c r="AM124" i="9"/>
  <c r="AR110" i="9"/>
  <c r="AM86" i="9"/>
  <c r="P673" i="1"/>
  <c r="P674" i="1" s="1"/>
  <c r="Q673" i="1" s="1"/>
  <c r="O674" i="1"/>
  <c r="K43" i="1"/>
  <c r="AS554" i="1"/>
  <c r="AS556" i="1"/>
  <c r="AT553" i="1"/>
  <c r="AG855" i="1"/>
  <c r="AR5" i="9"/>
  <c r="AR6" i="9" s="1"/>
  <c r="AR11" i="9" s="1"/>
  <c r="AR605" i="1"/>
  <c r="AR606" i="1" s="1"/>
  <c r="AD110" i="9"/>
  <c r="Y124" i="9"/>
  <c r="Y86" i="9"/>
  <c r="Y87" i="9" s="1"/>
  <c r="Y90" i="9" s="1"/>
  <c r="AX554" i="1"/>
  <c r="AY553" i="1"/>
  <c r="AX556" i="1"/>
  <c r="BD124" i="9"/>
  <c r="BI110" i="9"/>
  <c r="BD86" i="9"/>
  <c r="BD87" i="9" s="1"/>
  <c r="BD90" i="9" s="1"/>
  <c r="I238" i="1"/>
  <c r="I219" i="1"/>
  <c r="BL5" i="9"/>
  <c r="BL6" i="9" s="1"/>
  <c r="BL11" i="9" s="1"/>
  <c r="BL605" i="1"/>
  <c r="BL606" i="1" s="1"/>
  <c r="AU110" i="9"/>
  <c r="I62" i="1"/>
  <c r="I63" i="1" s="1"/>
  <c r="E611" i="1"/>
  <c r="E606" i="1"/>
  <c r="CE781" i="1"/>
  <c r="AB87" i="9"/>
  <c r="AB90" i="9" s="1"/>
  <c r="D611" i="1"/>
  <c r="D606" i="1"/>
  <c r="BC5" i="9"/>
  <c r="BC6" i="9" s="1"/>
  <c r="BC11" i="9" s="1"/>
  <c r="BC605" i="1"/>
  <c r="BC606" i="1" s="1"/>
  <c r="BK5" i="9"/>
  <c r="BK6" i="9" s="1"/>
  <c r="BK11" i="9" s="1"/>
  <c r="BK605" i="1"/>
  <c r="BK606" i="1" s="1"/>
  <c r="BC124" i="9"/>
  <c r="BH110" i="9"/>
  <c r="BC86" i="9"/>
  <c r="BC87" i="9" s="1"/>
  <c r="BC90" i="9" s="1"/>
  <c r="K802" i="1"/>
  <c r="K731" i="1"/>
  <c r="P725" i="1"/>
  <c r="P726" i="1" s="1"/>
  <c r="L725" i="1"/>
  <c r="L726" i="1" s="1"/>
  <c r="BS556" i="1"/>
  <c r="BS554" i="1"/>
  <c r="BH124" i="9"/>
  <c r="BM110" i="9"/>
  <c r="BH86" i="9"/>
  <c r="BH87" i="9" s="1"/>
  <c r="BH90" i="9" s="1"/>
  <c r="BK124" i="9"/>
  <c r="BP110" i="9"/>
  <c r="BK86" i="9"/>
  <c r="BK87" i="9" s="1"/>
  <c r="BK90" i="9" s="1"/>
  <c r="CE742" i="1"/>
  <c r="CF739" i="1"/>
  <c r="CF742" i="1" s="1"/>
  <c r="T124" i="9"/>
  <c r="Y110" i="9"/>
  <c r="T86" i="9"/>
  <c r="T87" i="9" s="1"/>
  <c r="T90" i="9" s="1"/>
  <c r="O46" i="9"/>
  <c r="O532" i="1"/>
  <c r="O47" i="9" s="1"/>
  <c r="O76" i="9" s="1"/>
  <c r="P806" i="1"/>
  <c r="I87" i="1"/>
  <c r="I85" i="1"/>
  <c r="AF87" i="9"/>
  <c r="AF90" i="9" s="1"/>
  <c r="BL124" i="9"/>
  <c r="BQ110" i="9"/>
  <c r="BL86" i="9"/>
  <c r="D11" i="9"/>
  <c r="D118" i="9"/>
  <c r="BD554" i="1"/>
  <c r="BD556" i="1"/>
  <c r="K376" i="1"/>
  <c r="K371" i="1"/>
  <c r="K378" i="1"/>
  <c r="K377" i="1"/>
  <c r="K342" i="1"/>
  <c r="K325" i="1"/>
  <c r="K180" i="1"/>
  <c r="K382" i="1"/>
  <c r="K375" i="1"/>
  <c r="K368" i="1"/>
  <c r="K332" i="1"/>
  <c r="K328" i="1"/>
  <c r="K372" i="1"/>
  <c r="K340" i="1"/>
  <c r="K335" i="1"/>
  <c r="K385" i="1"/>
  <c r="K379" i="1"/>
  <c r="K343" i="1"/>
  <c r="K326" i="1"/>
  <c r="K369" i="1"/>
  <c r="K337" i="1"/>
  <c r="K333" i="1"/>
  <c r="K329" i="1"/>
  <c r="K341" i="1"/>
  <c r="K336" i="1"/>
  <c r="K374" i="1"/>
  <c r="K367" i="1"/>
  <c r="K327" i="1"/>
  <c r="K200" i="1"/>
  <c r="J200" i="1" s="1"/>
  <c r="J195" i="1" s="1"/>
  <c r="K181" i="1"/>
  <c r="K370" i="1"/>
  <c r="K339" i="1"/>
  <c r="K334" i="1"/>
  <c r="K182" i="1"/>
  <c r="K198" i="1"/>
  <c r="K197" i="1"/>
  <c r="K201" i="1" s="1"/>
  <c r="K79" i="1"/>
  <c r="K78" i="1"/>
  <c r="K344" i="1"/>
  <c r="K384" i="1"/>
  <c r="K381" i="1"/>
  <c r="K330" i="1"/>
  <c r="K383" i="1"/>
  <c r="I594" i="1"/>
  <c r="J594" i="1"/>
  <c r="H594" i="1"/>
  <c r="K386" i="1"/>
  <c r="G594" i="1"/>
  <c r="K3" i="11"/>
  <c r="K29" i="1"/>
  <c r="K47" i="1"/>
  <c r="K25" i="1"/>
  <c r="K32" i="1" s="1"/>
  <c r="K40" i="1"/>
  <c r="K37" i="1"/>
  <c r="K45" i="1"/>
  <c r="K49" i="1"/>
  <c r="K51" i="1"/>
  <c r="K59" i="1" s="1"/>
  <c r="K28" i="1"/>
  <c r="K46" i="1"/>
  <c r="K44" i="1"/>
  <c r="K36" i="1"/>
  <c r="AI46" i="9"/>
  <c r="AI110" i="9" s="1"/>
  <c r="AI532" i="1"/>
  <c r="AI47" i="9" s="1"/>
  <c r="AI76" i="9" s="1"/>
  <c r="AJ806" i="1"/>
  <c r="AG2" i="9"/>
  <c r="AG5" i="11"/>
  <c r="AF850" i="1"/>
  <c r="AH5" i="1"/>
  <c r="CC589" i="1"/>
  <c r="CD589" i="1" s="1"/>
  <c r="BN5" i="9"/>
  <c r="BN6" i="9" s="1"/>
  <c r="BN605" i="1"/>
  <c r="K48" i="1"/>
  <c r="AK2" i="9"/>
  <c r="AK5" i="11"/>
  <c r="AJ850" i="1"/>
  <c r="AI850" i="1"/>
  <c r="AL5" i="1"/>
  <c r="CC755" i="1"/>
  <c r="CD756" i="1"/>
  <c r="AX46" i="9"/>
  <c r="AX532" i="1"/>
  <c r="AX47" i="9" s="1"/>
  <c r="AX76" i="9" s="1"/>
  <c r="BZ9" i="9"/>
  <c r="BZ797" i="1"/>
  <c r="BZ588" i="1"/>
  <c r="BZ763" i="1" s="1"/>
  <c r="BZ768" i="1" s="1"/>
  <c r="CA590" i="1"/>
  <c r="Y5" i="9"/>
  <c r="Y6" i="9" s="1"/>
  <c r="Y11" i="9" s="1"/>
  <c r="Y605" i="1"/>
  <c r="Y606" i="1" s="1"/>
  <c r="O554" i="1"/>
  <c r="P553" i="1"/>
  <c r="O556" i="1"/>
  <c r="BJ87" i="9"/>
  <c r="BJ90" i="9" s="1"/>
  <c r="AO5" i="11"/>
  <c r="AO2" i="9"/>
  <c r="AK856" i="1"/>
  <c r="AL856" i="1"/>
  <c r="AJ856" i="1"/>
  <c r="AI856" i="1"/>
  <c r="AI855" i="1" s="1"/>
  <c r="AM856" i="1"/>
  <c r="AP5" i="1"/>
  <c r="AT5" i="1"/>
  <c r="BS110" i="9"/>
  <c r="BQ87" i="9"/>
  <c r="BQ90" i="9" s="1"/>
  <c r="AS468" i="1"/>
  <c r="AS262" i="1" s="1"/>
  <c r="AS261" i="1" s="1"/>
  <c r="AS470" i="1"/>
  <c r="AS485" i="1" s="1"/>
  <c r="T5" i="9"/>
  <c r="T6" i="9" s="1"/>
  <c r="T11" i="9" s="1"/>
  <c r="T605" i="1"/>
  <c r="T606" i="1" s="1"/>
  <c r="BP87" i="9"/>
  <c r="BP90" i="9" s="1"/>
  <c r="CB753" i="1"/>
  <c r="CB759" i="1" s="1"/>
  <c r="CC751" i="1"/>
  <c r="Z554" i="1"/>
  <c r="Z556" i="1"/>
  <c r="K30" i="1"/>
  <c r="K57" i="1" l="1"/>
  <c r="K34" i="1"/>
  <c r="AL2" i="9"/>
  <c r="AL5" i="11"/>
  <c r="AK850" i="1"/>
  <c r="AM5" i="1"/>
  <c r="Z5" i="9"/>
  <c r="Z6" i="9" s="1"/>
  <c r="Z605" i="1"/>
  <c r="AJ855" i="1"/>
  <c r="O5" i="9"/>
  <c r="O6" i="9" s="1"/>
  <c r="O11" i="9" s="1"/>
  <c r="O605" i="1"/>
  <c r="O606" i="1" s="1"/>
  <c r="BZ102" i="9"/>
  <c r="BZ103" i="9" s="1"/>
  <c r="K50" i="1"/>
  <c r="J79" i="1"/>
  <c r="D116" i="9"/>
  <c r="D119" i="9"/>
  <c r="AN5" i="9"/>
  <c r="AN6" i="9" s="1"/>
  <c r="AN11" i="9" s="1"/>
  <c r="AN605" i="1"/>
  <c r="AN606" i="1" s="1"/>
  <c r="AE5" i="9"/>
  <c r="AE6" i="9" s="1"/>
  <c r="AE605" i="1"/>
  <c r="AH855" i="1"/>
  <c r="F116" i="9"/>
  <c r="F119" i="9"/>
  <c r="V556" i="1"/>
  <c r="V554" i="1"/>
  <c r="W553" i="1"/>
  <c r="AJ554" i="1"/>
  <c r="AJ556" i="1"/>
  <c r="L198" i="1"/>
  <c r="L78" i="1"/>
  <c r="L200" i="1"/>
  <c r="L182" i="1"/>
  <c r="L197" i="1"/>
  <c r="L79" i="1"/>
  <c r="L76" i="1" s="1"/>
  <c r="L181" i="1"/>
  <c r="L199" i="1"/>
  <c r="L217" i="1" s="1"/>
  <c r="L180" i="1"/>
  <c r="L56" i="1"/>
  <c r="L59" i="1"/>
  <c r="L57" i="1"/>
  <c r="L60" i="1"/>
  <c r="L3" i="11"/>
  <c r="AL855" i="1"/>
  <c r="P554" i="1"/>
  <c r="P556" i="1"/>
  <c r="AH2" i="9"/>
  <c r="AH5" i="11"/>
  <c r="AG850" i="1"/>
  <c r="AI5" i="1"/>
  <c r="K239" i="1"/>
  <c r="J201" i="1"/>
  <c r="J239" i="1" s="1"/>
  <c r="AX5" i="9"/>
  <c r="AX6" i="9" s="1"/>
  <c r="AX11" i="9" s="1"/>
  <c r="AX605" i="1"/>
  <c r="AX606" i="1" s="1"/>
  <c r="BG87" i="9"/>
  <c r="BG90" i="9" s="1"/>
  <c r="W87" i="9"/>
  <c r="W90" i="9" s="1"/>
  <c r="H731" i="1"/>
  <c r="H802" i="1"/>
  <c r="I725" i="1"/>
  <c r="I726" i="1" s="1"/>
  <c r="J62" i="1"/>
  <c r="J63" i="1" s="1"/>
  <c r="U5" i="9"/>
  <c r="U6" i="9" s="1"/>
  <c r="U605" i="1"/>
  <c r="AN124" i="9"/>
  <c r="AS110" i="9"/>
  <c r="AN86" i="9"/>
  <c r="K890" i="1"/>
  <c r="K888" i="1"/>
  <c r="K886" i="1" s="1"/>
  <c r="K616" i="1" s="1"/>
  <c r="K876" i="1"/>
  <c r="K881" i="1"/>
  <c r="K879" i="1" s="1"/>
  <c r="K615" i="1" s="1"/>
  <c r="K874" i="1"/>
  <c r="K872" i="1" s="1"/>
  <c r="K614" i="1" s="1"/>
  <c r="K883" i="1"/>
  <c r="K895" i="1"/>
  <c r="K893" i="1" s="1"/>
  <c r="K618" i="1" s="1"/>
  <c r="K897" i="1"/>
  <c r="L890" i="1"/>
  <c r="L888" i="1"/>
  <c r="L886" i="1" s="1"/>
  <c r="L616" i="1" s="1"/>
  <c r="L876" i="1"/>
  <c r="L881" i="1"/>
  <c r="L879" i="1" s="1"/>
  <c r="L615" i="1" s="1"/>
  <c r="L874" i="1"/>
  <c r="L872" i="1" s="1"/>
  <c r="L614" i="1" s="1"/>
  <c r="L883" i="1"/>
  <c r="CC753" i="1"/>
  <c r="CC759" i="1" s="1"/>
  <c r="CD751" i="1"/>
  <c r="BO87" i="9"/>
  <c r="BO90" i="9" s="1"/>
  <c r="AK855" i="1"/>
  <c r="BL87" i="9"/>
  <c r="BL90" i="9" s="1"/>
  <c r="O124" i="9"/>
  <c r="T110" i="9"/>
  <c r="O86" i="9"/>
  <c r="BS5" i="9"/>
  <c r="BS6" i="9" s="1"/>
  <c r="BS605" i="1"/>
  <c r="CF781" i="1"/>
  <c r="AY556" i="1"/>
  <c r="AY554" i="1"/>
  <c r="R673" i="1"/>
  <c r="Q674" i="1"/>
  <c r="AO556" i="1"/>
  <c r="AO554" i="1"/>
  <c r="BT87" i="9"/>
  <c r="BT90" i="9" s="1"/>
  <c r="F610" i="1"/>
  <c r="F609" i="1"/>
  <c r="F612" i="1"/>
  <c r="L895" i="1"/>
  <c r="L893" i="1" s="1"/>
  <c r="L618" i="1" s="1"/>
  <c r="K218" i="1"/>
  <c r="J182" i="1"/>
  <c r="L802" i="1"/>
  <c r="M725" i="1"/>
  <c r="M726" i="1" s="1"/>
  <c r="L731" i="1"/>
  <c r="AQ802" i="1"/>
  <c r="AR725" i="1"/>
  <c r="AR726" i="1" s="1"/>
  <c r="AQ731" i="1"/>
  <c r="AT5" i="11"/>
  <c r="AT2" i="9"/>
  <c r="AO856" i="1"/>
  <c r="AN856" i="1"/>
  <c r="AN855" i="1" s="1"/>
  <c r="AR856" i="1"/>
  <c r="AQ856" i="1"/>
  <c r="AQ855" i="1" s="1"/>
  <c r="AP856" i="1"/>
  <c r="AP855" i="1" s="1"/>
  <c r="AU5" i="1"/>
  <c r="AY5" i="1"/>
  <c r="AX124" i="9"/>
  <c r="BC110" i="9"/>
  <c r="AX86" i="9"/>
  <c r="P731" i="1"/>
  <c r="Q725" i="1"/>
  <c r="Q726" i="1" s="1"/>
  <c r="P802" i="1"/>
  <c r="U725" i="1"/>
  <c r="U726" i="1" s="1"/>
  <c r="E609" i="1"/>
  <c r="E610" i="1"/>
  <c r="E612" i="1"/>
  <c r="AS124" i="9"/>
  <c r="AX110" i="9"/>
  <c r="AS86" i="9"/>
  <c r="X87" i="9"/>
  <c r="X90" i="9" s="1"/>
  <c r="AC87" i="9"/>
  <c r="AC90" i="9" s="1"/>
  <c r="AY673" i="1"/>
  <c r="AY674" i="1" s="1"/>
  <c r="AZ673" i="1" s="1"/>
  <c r="AX674" i="1"/>
  <c r="BF87" i="9"/>
  <c r="BF90" i="9" s="1"/>
  <c r="CF749" i="1"/>
  <c r="AP2" i="9"/>
  <c r="AP5" i="11"/>
  <c r="AO850" i="1"/>
  <c r="AN850" i="1"/>
  <c r="AQ5" i="1"/>
  <c r="CD755" i="1"/>
  <c r="CE756" i="1"/>
  <c r="BD5" i="9"/>
  <c r="BD6" i="9" s="1"/>
  <c r="BD605" i="1"/>
  <c r="AT554" i="1"/>
  <c r="AT556" i="1"/>
  <c r="AY725" i="1"/>
  <c r="AY726" i="1" s="1"/>
  <c r="AU726" i="1"/>
  <c r="AD2" i="9"/>
  <c r="AD5" i="11"/>
  <c r="AC850" i="1"/>
  <c r="BE87" i="9"/>
  <c r="BE90" i="9" s="1"/>
  <c r="BN11" i="9"/>
  <c r="BN118" i="9"/>
  <c r="J180" i="1"/>
  <c r="K215" i="1"/>
  <c r="K183" i="1"/>
  <c r="AS5" i="9"/>
  <c r="AS6" i="9" s="1"/>
  <c r="AS11" i="9" s="1"/>
  <c r="AS605" i="1"/>
  <c r="AS606" i="1" s="1"/>
  <c r="K87" i="1"/>
  <c r="E116" i="9"/>
  <c r="E119" i="9"/>
  <c r="BM87" i="9"/>
  <c r="BM90" i="9" s="1"/>
  <c r="J5" i="9"/>
  <c r="J6" i="9" s="1"/>
  <c r="J11" i="9" s="1"/>
  <c r="J605" i="1"/>
  <c r="J606" i="1" s="1"/>
  <c r="AI5" i="9"/>
  <c r="AI6" i="9" s="1"/>
  <c r="AI11" i="9" s="1"/>
  <c r="AI605" i="1"/>
  <c r="AI606" i="1" s="1"/>
  <c r="L897" i="1"/>
  <c r="BN606" i="1"/>
  <c r="BN611" i="1"/>
  <c r="AM855" i="1"/>
  <c r="CA9" i="9"/>
  <c r="CA797" i="1"/>
  <c r="CA588" i="1"/>
  <c r="CA763" i="1" s="1"/>
  <c r="CA768" i="1" s="1"/>
  <c r="CB590" i="1"/>
  <c r="CD771" i="1"/>
  <c r="CE589" i="1"/>
  <c r="AI124" i="9"/>
  <c r="AN110" i="9"/>
  <c r="AI86" i="9"/>
  <c r="AM87" i="9" s="1"/>
  <c r="AM90" i="9" s="1"/>
  <c r="K75" i="1"/>
  <c r="K80" i="1"/>
  <c r="J78" i="1"/>
  <c r="K216" i="1"/>
  <c r="J181" i="1"/>
  <c r="D609" i="1"/>
  <c r="D610" i="1"/>
  <c r="D612" i="1"/>
  <c r="V87" i="9"/>
  <c r="V90" i="9" s="1"/>
  <c r="BI5" i="9"/>
  <c r="BI6" i="9" s="1"/>
  <c r="BI605" i="1"/>
  <c r="AN731" i="1"/>
  <c r="AN802" i="1"/>
  <c r="J124" i="9"/>
  <c r="O110" i="9"/>
  <c r="J86" i="9"/>
  <c r="K554" i="1"/>
  <c r="K556" i="1"/>
  <c r="M1" i="9"/>
  <c r="M900" i="1"/>
  <c r="M3" i="1"/>
  <c r="N4" i="1"/>
  <c r="M4" i="11"/>
  <c r="N226" i="10"/>
  <c r="Q226" i="10" l="1"/>
  <c r="P226" i="10"/>
  <c r="J216" i="1"/>
  <c r="J172" i="1"/>
  <c r="BD11" i="9"/>
  <c r="BD118" i="9"/>
  <c r="N1" i="9"/>
  <c r="N900" i="1"/>
  <c r="N3" i="1"/>
  <c r="O4" i="1"/>
  <c r="N4" i="11"/>
  <c r="K5" i="9"/>
  <c r="K6" i="9" s="1"/>
  <c r="K605" i="1"/>
  <c r="BI11" i="9"/>
  <c r="BI118" i="9"/>
  <c r="K238" i="1"/>
  <c r="K219" i="1"/>
  <c r="BD606" i="1"/>
  <c r="BD611" i="1"/>
  <c r="AS87" i="9"/>
  <c r="AS90" i="9" s="1"/>
  <c r="AW87" i="9"/>
  <c r="AW90" i="9" s="1"/>
  <c r="AV87" i="9"/>
  <c r="AV90" i="9" s="1"/>
  <c r="R725" i="1"/>
  <c r="R726" i="1" s="1"/>
  <c r="Q802" i="1"/>
  <c r="Q731" i="1"/>
  <c r="AY2" i="9"/>
  <c r="AY5" i="11"/>
  <c r="AW856" i="1"/>
  <c r="AV856" i="1"/>
  <c r="AV855" i="1" s="1"/>
  <c r="AS856" i="1"/>
  <c r="AU856" i="1"/>
  <c r="AU855" i="1" s="1"/>
  <c r="AT856" i="1"/>
  <c r="AT855" i="1" s="1"/>
  <c r="BD5" i="1"/>
  <c r="AZ5" i="1"/>
  <c r="BS611" i="1"/>
  <c r="BS606" i="1"/>
  <c r="U11" i="9"/>
  <c r="U118" i="9"/>
  <c r="P5" i="9"/>
  <c r="P6" i="9" s="1"/>
  <c r="P605" i="1"/>
  <c r="L218" i="1"/>
  <c r="W554" i="1"/>
  <c r="W556" i="1"/>
  <c r="AE611" i="1"/>
  <c r="AE606" i="1"/>
  <c r="J76" i="1"/>
  <c r="J72" i="1"/>
  <c r="J83" i="1"/>
  <c r="Z11" i="9"/>
  <c r="Z118" i="9"/>
  <c r="L83" i="1"/>
  <c r="L58" i="1"/>
  <c r="L119" i="1"/>
  <c r="AE11" i="9"/>
  <c r="AE118" i="9"/>
  <c r="K52" i="1"/>
  <c r="K53" i="1" s="1"/>
  <c r="K17" i="1" s="1"/>
  <c r="K60" i="1"/>
  <c r="AM2" i="9"/>
  <c r="AM5" i="11"/>
  <c r="AL850" i="1"/>
  <c r="AN5" i="1"/>
  <c r="CE771" i="1"/>
  <c r="CF589" i="1"/>
  <c r="CF771" i="1" s="1"/>
  <c r="BN609" i="1"/>
  <c r="BN610" i="1"/>
  <c r="BN612" i="1"/>
  <c r="J215" i="1"/>
  <c r="J183" i="1"/>
  <c r="J171" i="1"/>
  <c r="AR802" i="1"/>
  <c r="AS725" i="1"/>
  <c r="AS726" i="1" s="1"/>
  <c r="AR731" i="1"/>
  <c r="O87" i="9"/>
  <c r="O90" i="9" s="1"/>
  <c r="S87" i="9"/>
  <c r="S90" i="9" s="1"/>
  <c r="R87" i="9"/>
  <c r="R90" i="9" s="1"/>
  <c r="Q87" i="9"/>
  <c r="Q90" i="9" s="1"/>
  <c r="CE751" i="1"/>
  <c r="CD753" i="1"/>
  <c r="CD759" i="1" s="1"/>
  <c r="L215" i="1"/>
  <c r="L183" i="1"/>
  <c r="L75" i="1"/>
  <c r="L80" i="1"/>
  <c r="V5" i="9"/>
  <c r="V6" i="9" s="1"/>
  <c r="V11" i="9" s="1"/>
  <c r="V605" i="1"/>
  <c r="V606" i="1" s="1"/>
  <c r="AU2" i="9"/>
  <c r="AU5" i="11"/>
  <c r="AS850" i="1"/>
  <c r="AT850" i="1"/>
  <c r="AV5" i="1"/>
  <c r="AO5" i="9"/>
  <c r="AO6" i="9" s="1"/>
  <c r="AO605" i="1"/>
  <c r="M870" i="1"/>
  <c r="J71" i="1"/>
  <c r="J73" i="1" s="1"/>
  <c r="J75" i="1"/>
  <c r="J80" i="1"/>
  <c r="J84" i="1"/>
  <c r="J88" i="1" s="1"/>
  <c r="J119" i="1"/>
  <c r="CB9" i="9"/>
  <c r="CB797" i="1"/>
  <c r="CB588" i="1"/>
  <c r="CB763" i="1" s="1"/>
  <c r="AX87" i="9"/>
  <c r="AX90" i="9" s="1"/>
  <c r="AZ87" i="9"/>
  <c r="AZ90" i="9" s="1"/>
  <c r="BA87" i="9"/>
  <c r="BA90" i="9" s="1"/>
  <c r="BB87" i="9"/>
  <c r="BB90" i="9" s="1"/>
  <c r="AU802" i="1"/>
  <c r="AU731" i="1"/>
  <c r="AV725" i="1"/>
  <c r="AV726" i="1" s="1"/>
  <c r="S673" i="1"/>
  <c r="R674" i="1"/>
  <c r="I802" i="1"/>
  <c r="J725" i="1"/>
  <c r="J726" i="1" s="1"/>
  <c r="I731" i="1"/>
  <c r="BN116" i="9"/>
  <c r="BN119" i="9"/>
  <c r="AZ725" i="1"/>
  <c r="AY802" i="1"/>
  <c r="AY731" i="1"/>
  <c r="AQ2" i="9"/>
  <c r="AQ5" i="11"/>
  <c r="AP850" i="1"/>
  <c r="AR5" i="1"/>
  <c r="AN87" i="9"/>
  <c r="AN90" i="9" s="1"/>
  <c r="AQ87" i="9"/>
  <c r="AQ90" i="9" s="1"/>
  <c r="AP87" i="9"/>
  <c r="AP90" i="9" s="1"/>
  <c r="AR87" i="9"/>
  <c r="AR90" i="9" s="1"/>
  <c r="AI2" i="9"/>
  <c r="AI5" i="11"/>
  <c r="AH850" i="1"/>
  <c r="L61" i="1"/>
  <c r="L216" i="1"/>
  <c r="M180" i="1"/>
  <c r="M198" i="1"/>
  <c r="M197" i="1"/>
  <c r="M201" i="1" s="1"/>
  <c r="M239" i="1" s="1"/>
  <c r="M181" i="1"/>
  <c r="M199" i="1"/>
  <c r="M217" i="1" s="1"/>
  <c r="M56" i="1"/>
  <c r="M200" i="1"/>
  <c r="M182" i="1"/>
  <c r="M218" i="1" s="1"/>
  <c r="M60" i="1"/>
  <c r="M59" i="1"/>
  <c r="M61" i="1" s="1"/>
  <c r="M78" i="1"/>
  <c r="M79" i="1"/>
  <c r="M57" i="1"/>
  <c r="M3" i="11"/>
  <c r="BS11" i="9"/>
  <c r="BS118" i="9"/>
  <c r="J87" i="9"/>
  <c r="M87" i="9"/>
  <c r="M90" i="9" s="1"/>
  <c r="N87" i="9"/>
  <c r="N90" i="9" s="1"/>
  <c r="L87" i="9"/>
  <c r="L90" i="9" s="1"/>
  <c r="CE755" i="1"/>
  <c r="CF756" i="1"/>
  <c r="CF755" i="1" s="1"/>
  <c r="CA102" i="9"/>
  <c r="CA103" i="9" s="1"/>
  <c r="BA673" i="1"/>
  <c r="AZ674" i="1"/>
  <c r="M802" i="1"/>
  <c r="N725" i="1"/>
  <c r="N726" i="1" s="1"/>
  <c r="M731" i="1"/>
  <c r="AY5" i="9"/>
  <c r="AY6" i="9" s="1"/>
  <c r="AY605" i="1"/>
  <c r="L84" i="1"/>
  <c r="L88" i="1" s="1"/>
  <c r="AU87" i="9"/>
  <c r="AU90" i="9" s="1"/>
  <c r="AI87" i="9"/>
  <c r="AI90" i="9" s="1"/>
  <c r="AK87" i="9"/>
  <c r="AK90" i="9" s="1"/>
  <c r="AL87" i="9"/>
  <c r="AL90" i="9" s="1"/>
  <c r="AT5" i="9"/>
  <c r="AT6" i="9" s="1"/>
  <c r="AT605" i="1"/>
  <c r="Z725" i="1"/>
  <c r="Z726" i="1" s="1"/>
  <c r="U731" i="1"/>
  <c r="V725" i="1"/>
  <c r="V726" i="1" s="1"/>
  <c r="AO855" i="1"/>
  <c r="AJ5" i="9"/>
  <c r="AJ6" i="9" s="1"/>
  <c r="AJ605" i="1"/>
  <c r="K84" i="1"/>
  <c r="K58" i="1"/>
  <c r="K119" i="1"/>
  <c r="BI606" i="1"/>
  <c r="BI611" i="1"/>
  <c r="J175" i="1"/>
  <c r="J213" i="1" s="1"/>
  <c r="J218" i="1"/>
  <c r="U611" i="1"/>
  <c r="U606" i="1"/>
  <c r="L201" i="1"/>
  <c r="L239" i="1" s="1"/>
  <c r="Z606" i="1"/>
  <c r="Z611" i="1"/>
  <c r="N222" i="10"/>
  <c r="N198" i="10"/>
  <c r="Q198" i="10" l="1"/>
  <c r="P198" i="10"/>
  <c r="Q222" i="10"/>
  <c r="P222" i="10"/>
  <c r="AJ606" i="1"/>
  <c r="AJ611" i="1"/>
  <c r="U609" i="1"/>
  <c r="U612" i="1"/>
  <c r="BI610" i="1"/>
  <c r="BI609" i="1"/>
  <c r="BI612" i="1"/>
  <c r="N802" i="1"/>
  <c r="N731" i="1"/>
  <c r="O725" i="1"/>
  <c r="O726" i="1" s="1"/>
  <c r="M76" i="1"/>
  <c r="M216" i="1"/>
  <c r="AR5" i="11"/>
  <c r="AR2" i="9"/>
  <c r="AQ850" i="1"/>
  <c r="AS5" i="1"/>
  <c r="AV5" i="11"/>
  <c r="AV2" i="9"/>
  <c r="AU850" i="1"/>
  <c r="AW5" i="1"/>
  <c r="L85" i="1"/>
  <c r="L87" i="1"/>
  <c r="AE609" i="1"/>
  <c r="AE610" i="1"/>
  <c r="AE612" i="1"/>
  <c r="P606" i="1"/>
  <c r="P611" i="1"/>
  <c r="AZ2" i="9"/>
  <c r="AZ5" i="11"/>
  <c r="AY850" i="1"/>
  <c r="AX850" i="1"/>
  <c r="BA5" i="1"/>
  <c r="BD610" i="1"/>
  <c r="BD609" i="1"/>
  <c r="BD612" i="1"/>
  <c r="O1" i="9"/>
  <c r="O900" i="1"/>
  <c r="O870" i="1"/>
  <c r="O3" i="1"/>
  <c r="P4" i="1"/>
  <c r="O4" i="11"/>
  <c r="P11" i="9"/>
  <c r="P118" i="9"/>
  <c r="BD5" i="11"/>
  <c r="BD2" i="9"/>
  <c r="BA856" i="1"/>
  <c r="AY856" i="1"/>
  <c r="AY855" i="1" s="1"/>
  <c r="AX856" i="1"/>
  <c r="AX855" i="1" s="1"/>
  <c r="BB856" i="1"/>
  <c r="AZ856" i="1"/>
  <c r="BE5" i="1"/>
  <c r="BI5" i="1"/>
  <c r="N182" i="1"/>
  <c r="N198" i="1"/>
  <c r="N197" i="1"/>
  <c r="N181" i="1"/>
  <c r="N216" i="1" s="1"/>
  <c r="N199" i="1"/>
  <c r="N217" i="1" s="1"/>
  <c r="N56" i="1"/>
  <c r="N200" i="1"/>
  <c r="N180" i="1"/>
  <c r="N59" i="1"/>
  <c r="N78" i="1"/>
  <c r="N79" i="1"/>
  <c r="N60" i="1"/>
  <c r="N57" i="1"/>
  <c r="N84" i="1" s="1"/>
  <c r="N88" i="1" s="1"/>
  <c r="N3" i="11"/>
  <c r="W5" i="9"/>
  <c r="W6" i="9" s="1"/>
  <c r="W11" i="9" s="1"/>
  <c r="W605" i="1"/>
  <c r="W606" i="1" s="1"/>
  <c r="BD116" i="9"/>
  <c r="BD119" i="9"/>
  <c r="K88" i="1"/>
  <c r="K85" i="1"/>
  <c r="BB673" i="1"/>
  <c r="BA674" i="1"/>
  <c r="M215" i="1"/>
  <c r="M183" i="1"/>
  <c r="U116" i="9"/>
  <c r="U119" i="9"/>
  <c r="R802" i="1"/>
  <c r="S725" i="1"/>
  <c r="S726" i="1" s="1"/>
  <c r="R731" i="1"/>
  <c r="N870" i="1"/>
  <c r="J178" i="1"/>
  <c r="J206" i="1"/>
  <c r="J211" i="1" s="1"/>
  <c r="BI116" i="9"/>
  <c r="BI119" i="9"/>
  <c r="M80" i="1"/>
  <c r="M75" i="1"/>
  <c r="L219" i="1"/>
  <c r="L238" i="1"/>
  <c r="AT11" i="9"/>
  <c r="AT118" i="9"/>
  <c r="K76" i="1"/>
  <c r="K61" i="1"/>
  <c r="K62" i="1" s="1"/>
  <c r="BS609" i="1"/>
  <c r="BS610" i="1"/>
  <c r="BS612" i="1"/>
  <c r="AJ11" i="9"/>
  <c r="AJ118" i="9"/>
  <c r="AY611" i="1"/>
  <c r="AY606" i="1"/>
  <c r="BS116" i="9"/>
  <c r="BS119" i="9"/>
  <c r="T673" i="1"/>
  <c r="S674" i="1"/>
  <c r="M890" i="1"/>
  <c r="M888" i="1"/>
  <c r="M886" i="1" s="1"/>
  <c r="M616" i="1" s="1"/>
  <c r="M881" i="1"/>
  <c r="M879" i="1" s="1"/>
  <c r="M615" i="1" s="1"/>
  <c r="M874" i="1"/>
  <c r="M872" i="1" s="1"/>
  <c r="M614" i="1" s="1"/>
  <c r="M883" i="1"/>
  <c r="M876" i="1"/>
  <c r="M897" i="1"/>
  <c r="M895" i="1"/>
  <c r="M893" i="1" s="1"/>
  <c r="M618" i="1" s="1"/>
  <c r="AE116" i="9"/>
  <c r="AE119" i="9"/>
  <c r="J85" i="1"/>
  <c r="J87" i="1"/>
  <c r="K606" i="1"/>
  <c r="K611" i="1"/>
  <c r="AT611" i="1"/>
  <c r="AT606" i="1"/>
  <c r="V731" i="1"/>
  <c r="W725" i="1"/>
  <c r="W726" i="1" s="1"/>
  <c r="AY11" i="9"/>
  <c r="AY118" i="9"/>
  <c r="M83" i="1"/>
  <c r="M119" i="1"/>
  <c r="M58" i="1"/>
  <c r="AZ726" i="1"/>
  <c r="BD725" i="1"/>
  <c r="BD726" i="1" s="1"/>
  <c r="AV731" i="1"/>
  <c r="AV802" i="1"/>
  <c r="AW725" i="1"/>
  <c r="AW726" i="1" s="1"/>
  <c r="AO606" i="1"/>
  <c r="AO611" i="1"/>
  <c r="CE753" i="1"/>
  <c r="CE759" i="1" s="1"/>
  <c r="CF751" i="1"/>
  <c r="CF753" i="1" s="1"/>
  <c r="CF759" i="1" s="1"/>
  <c r="J205" i="1"/>
  <c r="J210" i="1" s="1"/>
  <c r="J177" i="1"/>
  <c r="J173" i="1"/>
  <c r="AN2" i="9"/>
  <c r="AN5" i="11"/>
  <c r="AM850" i="1"/>
  <c r="K11" i="9"/>
  <c r="K118" i="9"/>
  <c r="J731" i="1"/>
  <c r="J802" i="1"/>
  <c r="Z610" i="1"/>
  <c r="Z609" i="1"/>
  <c r="Z612" i="1"/>
  <c r="CC763" i="1"/>
  <c r="CB768" i="1"/>
  <c r="AS731" i="1"/>
  <c r="AS802" i="1"/>
  <c r="Z116" i="9"/>
  <c r="Z119" i="9"/>
  <c r="AS855" i="1"/>
  <c r="AA725" i="1"/>
  <c r="AA726" i="1" s="1"/>
  <c r="AE725" i="1"/>
  <c r="AE726" i="1" s="1"/>
  <c r="Z731" i="1"/>
  <c r="M84" i="1"/>
  <c r="M88" i="1" s="1"/>
  <c r="AR855" i="1"/>
  <c r="AO11" i="9"/>
  <c r="AO118" i="9"/>
  <c r="J238" i="1"/>
  <c r="J219" i="1"/>
  <c r="L62" i="1"/>
  <c r="L63" i="1" s="1"/>
  <c r="N208" i="10"/>
  <c r="N193" i="10"/>
  <c r="N163" i="10"/>
  <c r="N195" i="10"/>
  <c r="Q195" i="10" l="1"/>
  <c r="P195" i="10"/>
  <c r="Q163" i="10"/>
  <c r="P163" i="10"/>
  <c r="Q193" i="10"/>
  <c r="P193" i="10"/>
  <c r="Q208" i="10"/>
  <c r="P208" i="10"/>
  <c r="K110" i="1"/>
  <c r="K65" i="1"/>
  <c r="K109" i="1"/>
  <c r="K64" i="1"/>
  <c r="K111" i="1"/>
  <c r="K63" i="1"/>
  <c r="AB725" i="1"/>
  <c r="AB726" i="1" s="1"/>
  <c r="AA731" i="1"/>
  <c r="AY116" i="9"/>
  <c r="AY119" i="9"/>
  <c r="AE731" i="1"/>
  <c r="AO609" i="1"/>
  <c r="AO610" i="1"/>
  <c r="AO612" i="1"/>
  <c r="M62" i="1"/>
  <c r="M63" i="1"/>
  <c r="N83" i="1"/>
  <c r="N119" i="1"/>
  <c r="N58" i="1"/>
  <c r="AZ855" i="1"/>
  <c r="P116" i="9"/>
  <c r="P119" i="9"/>
  <c r="P1" i="9"/>
  <c r="P900" i="1"/>
  <c r="Q4" i="1"/>
  <c r="P3" i="1"/>
  <c r="P4" i="11"/>
  <c r="AT116" i="9"/>
  <c r="AT119" i="9"/>
  <c r="N76" i="1"/>
  <c r="N201" i="1"/>
  <c r="N239" i="1" s="1"/>
  <c r="O56" i="1"/>
  <c r="O59" i="1"/>
  <c r="O57" i="1"/>
  <c r="O60" i="1"/>
  <c r="O3" i="11"/>
  <c r="P22" i="1"/>
  <c r="P48" i="1"/>
  <c r="P25" i="1"/>
  <c r="P44" i="1"/>
  <c r="P609" i="1"/>
  <c r="P612" i="1"/>
  <c r="AW2" i="9"/>
  <c r="AW5" i="11"/>
  <c r="AV850" i="1"/>
  <c r="AX5" i="1"/>
  <c r="N888" i="1"/>
  <c r="N886" i="1" s="1"/>
  <c r="N616" i="1" s="1"/>
  <c r="N890" i="1"/>
  <c r="N874" i="1"/>
  <c r="N872" i="1" s="1"/>
  <c r="N614" i="1" s="1"/>
  <c r="N883" i="1"/>
  <c r="N881" i="1"/>
  <c r="N879" i="1" s="1"/>
  <c r="N615" i="1" s="1"/>
  <c r="N876" i="1"/>
  <c r="N897" i="1"/>
  <c r="N895" i="1"/>
  <c r="N893" i="1" s="1"/>
  <c r="N618" i="1" s="1"/>
  <c r="BA855" i="1"/>
  <c r="O888" i="1"/>
  <c r="O886" i="1" s="1"/>
  <c r="O616" i="1" s="1"/>
  <c r="O874" i="1"/>
  <c r="O872" i="1" s="1"/>
  <c r="O614" i="1" s="1"/>
  <c r="O883" i="1"/>
  <c r="O876" i="1"/>
  <c r="O881" i="1"/>
  <c r="O879" i="1" s="1"/>
  <c r="O615" i="1" s="1"/>
  <c r="O890" i="1"/>
  <c r="CB102" i="9"/>
  <c r="CB103" i="9" s="1"/>
  <c r="J208" i="1"/>
  <c r="J19" i="1"/>
  <c r="M87" i="1"/>
  <c r="M85" i="1"/>
  <c r="AW855" i="1"/>
  <c r="AJ116" i="9"/>
  <c r="AJ119" i="9"/>
  <c r="N75" i="1"/>
  <c r="N80" i="1"/>
  <c r="P37" i="1"/>
  <c r="P46" i="1"/>
  <c r="BD731" i="1"/>
  <c r="BE725" i="1"/>
  <c r="N61" i="1"/>
  <c r="N218" i="1"/>
  <c r="O897" i="1"/>
  <c r="BA2" i="9"/>
  <c r="BA5" i="11"/>
  <c r="AZ850" i="1"/>
  <c r="BB5" i="1"/>
  <c r="O731" i="1"/>
  <c r="O802" i="1"/>
  <c r="AY609" i="1"/>
  <c r="AY610" i="1"/>
  <c r="AY612" i="1"/>
  <c r="M219" i="1"/>
  <c r="M238" i="1"/>
  <c r="AZ802" i="1"/>
  <c r="BA725" i="1"/>
  <c r="BA726" i="1" s="1"/>
  <c r="AZ731" i="1"/>
  <c r="W731" i="1"/>
  <c r="X725" i="1"/>
  <c r="X726" i="1" s="1"/>
  <c r="K609" i="1"/>
  <c r="K610" i="1"/>
  <c r="K612" i="1"/>
  <c r="U673" i="1"/>
  <c r="U674" i="1" s="1"/>
  <c r="T674" i="1"/>
  <c r="S802" i="1"/>
  <c r="T725" i="1"/>
  <c r="T726" i="1" s="1"/>
  <c r="S731" i="1"/>
  <c r="N215" i="1"/>
  <c r="N183" i="1"/>
  <c r="BI2" i="9"/>
  <c r="BI5" i="11"/>
  <c r="BE856" i="1"/>
  <c r="BD856" i="1"/>
  <c r="BD855" i="1" s="1"/>
  <c r="BG856" i="1"/>
  <c r="BF856" i="1"/>
  <c r="BF855" i="1" s="1"/>
  <c r="BC856" i="1"/>
  <c r="BC855" i="1" s="1"/>
  <c r="BN5" i="1"/>
  <c r="BJ5" i="1"/>
  <c r="O895" i="1"/>
  <c r="O893" i="1" s="1"/>
  <c r="O618" i="1" s="1"/>
  <c r="K116" i="9"/>
  <c r="K119" i="9"/>
  <c r="AX725" i="1"/>
  <c r="AX726" i="1" s="1"/>
  <c r="AW802" i="1"/>
  <c r="AW731" i="1"/>
  <c r="AT610" i="1"/>
  <c r="AT609" i="1"/>
  <c r="AT612" i="1"/>
  <c r="AO116" i="9"/>
  <c r="AO119" i="9"/>
  <c r="CC768" i="1"/>
  <c r="CC588" i="1"/>
  <c r="CC590" i="1"/>
  <c r="L64" i="1"/>
  <c r="L65" i="1"/>
  <c r="P31" i="1"/>
  <c r="P47" i="1"/>
  <c r="BC673" i="1"/>
  <c r="BB674" i="1"/>
  <c r="BE5" i="11"/>
  <c r="BE2" i="9"/>
  <c r="BD850" i="1"/>
  <c r="BC850" i="1"/>
  <c r="BF5" i="1"/>
  <c r="AS5" i="11"/>
  <c r="AS2" i="9"/>
  <c r="AR850" i="1"/>
  <c r="AJ609" i="1"/>
  <c r="AJ610" i="1"/>
  <c r="AJ612" i="1"/>
  <c r="N126" i="10"/>
  <c r="N180" i="10"/>
  <c r="N150" i="10"/>
  <c r="N134" i="10"/>
  <c r="N158" i="10"/>
  <c r="N169" i="10"/>
  <c r="N190" i="10"/>
  <c r="Q190" i="10" l="1"/>
  <c r="P190" i="10"/>
  <c r="P169" i="10"/>
  <c r="Q169" i="10"/>
  <c r="Q158" i="10"/>
  <c r="P158" i="10"/>
  <c r="Q134" i="10"/>
  <c r="P134" i="10"/>
  <c r="Q150" i="10"/>
  <c r="P150" i="10"/>
  <c r="Q180" i="10"/>
  <c r="P180" i="10"/>
  <c r="Q126" i="10"/>
  <c r="P126" i="10"/>
  <c r="O58" i="1"/>
  <c r="N87" i="1"/>
  <c r="N85" i="1"/>
  <c r="CC9" i="9"/>
  <c r="CC797" i="1"/>
  <c r="CD590" i="1"/>
  <c r="CD593" i="1" s="1"/>
  <c r="BE855" i="1"/>
  <c r="Q1" i="9"/>
  <c r="Q900" i="1"/>
  <c r="R4" i="1"/>
  <c r="Q3" i="1"/>
  <c r="Q870" i="1" s="1"/>
  <c r="Q4" i="11"/>
  <c r="BF2" i="9"/>
  <c r="BF5" i="11"/>
  <c r="BE850" i="1"/>
  <c r="BG5" i="1"/>
  <c r="X731" i="1"/>
  <c r="Y725" i="1"/>
  <c r="Y726" i="1" s="1"/>
  <c r="N62" i="1"/>
  <c r="AC725" i="1"/>
  <c r="AC726" i="1" s="1"/>
  <c r="AB731" i="1"/>
  <c r="T731" i="1"/>
  <c r="T802" i="1"/>
  <c r="O61" i="1"/>
  <c r="P375" i="1"/>
  <c r="P370" i="1"/>
  <c r="P332" i="1"/>
  <c r="P377" i="1"/>
  <c r="P368" i="1"/>
  <c r="P328" i="1"/>
  <c r="P340" i="1"/>
  <c r="P335" i="1"/>
  <c r="P200" i="1"/>
  <c r="O200" i="1" s="1"/>
  <c r="O195" i="1" s="1"/>
  <c r="P197" i="1"/>
  <c r="P181" i="1"/>
  <c r="P385" i="1"/>
  <c r="P371" i="1"/>
  <c r="P343" i="1"/>
  <c r="P326" i="1"/>
  <c r="P378" i="1"/>
  <c r="P369" i="1"/>
  <c r="P333" i="1"/>
  <c r="P329" i="1"/>
  <c r="P376" i="1"/>
  <c r="P341" i="1"/>
  <c r="P336" i="1"/>
  <c r="P381" i="1"/>
  <c r="P374" i="1"/>
  <c r="P367" i="1"/>
  <c r="P327" i="1"/>
  <c r="P339" i="1"/>
  <c r="P334" i="1"/>
  <c r="P384" i="1"/>
  <c r="P342" i="1"/>
  <c r="P337" i="1"/>
  <c r="P325" i="1"/>
  <c r="P198" i="1"/>
  <c r="P180" i="1"/>
  <c r="P78" i="1"/>
  <c r="P182" i="1"/>
  <c r="P79" i="1"/>
  <c r="P330" i="1"/>
  <c r="P386" i="1"/>
  <c r="P372" i="1"/>
  <c r="P344" i="1"/>
  <c r="P382" i="1"/>
  <c r="P379" i="1"/>
  <c r="P383" i="1"/>
  <c r="O594" i="1"/>
  <c r="M594" i="1"/>
  <c r="N594" i="1"/>
  <c r="L594" i="1"/>
  <c r="P3" i="11"/>
  <c r="P27" i="1"/>
  <c r="P29" i="1"/>
  <c r="P49" i="1"/>
  <c r="P28" i="1"/>
  <c r="P40" i="1"/>
  <c r="BB855" i="1"/>
  <c r="P26" i="1"/>
  <c r="P32" i="1" s="1"/>
  <c r="P30" i="1"/>
  <c r="V673" i="1"/>
  <c r="U802" i="1"/>
  <c r="BA802" i="1"/>
  <c r="BB725" i="1"/>
  <c r="BB726" i="1" s="1"/>
  <c r="BA731" i="1"/>
  <c r="P43" i="1"/>
  <c r="AX2" i="9"/>
  <c r="AX5" i="11"/>
  <c r="AW850" i="1"/>
  <c r="P45" i="1"/>
  <c r="P33" i="1"/>
  <c r="P56" i="1" s="1"/>
  <c r="P870" i="1"/>
  <c r="M64" i="1"/>
  <c r="M65" i="1"/>
  <c r="CC102" i="9"/>
  <c r="CC103" i="9" s="1"/>
  <c r="AX731" i="1"/>
  <c r="AX802" i="1"/>
  <c r="BJ5" i="11"/>
  <c r="BJ2" i="9"/>
  <c r="BI850" i="1"/>
  <c r="BH850" i="1"/>
  <c r="BK5" i="1"/>
  <c r="BB2" i="9"/>
  <c r="BB5" i="11"/>
  <c r="BA850" i="1"/>
  <c r="BC5" i="1"/>
  <c r="BE726" i="1"/>
  <c r="BI725" i="1"/>
  <c r="BI726" i="1" s="1"/>
  <c r="P51" i="1"/>
  <c r="P59" i="1" s="1"/>
  <c r="P41" i="1"/>
  <c r="BD673" i="1"/>
  <c r="BD674" i="1" s="1"/>
  <c r="BC674" i="1"/>
  <c r="BN2" i="9"/>
  <c r="BN5" i="11"/>
  <c r="BL856" i="1"/>
  <c r="BI856" i="1"/>
  <c r="BK856" i="1"/>
  <c r="BK855" i="1" s="1"/>
  <c r="BJ856" i="1"/>
  <c r="BJ855" i="1" s="1"/>
  <c r="BH856" i="1"/>
  <c r="BH855" i="1" s="1"/>
  <c r="BS5" i="1"/>
  <c r="BO5" i="1"/>
  <c r="N238" i="1"/>
  <c r="N219" i="1"/>
  <c r="P36" i="1"/>
  <c r="N122" i="10"/>
  <c r="P122" i="10" l="1"/>
  <c r="Q122" i="10"/>
  <c r="P34" i="1"/>
  <c r="P57" i="1"/>
  <c r="P84" i="1" s="1"/>
  <c r="P88" i="1" s="1"/>
  <c r="CD510" i="1"/>
  <c r="Q888" i="1"/>
  <c r="Q886" i="1" s="1"/>
  <c r="Q616" i="1" s="1"/>
  <c r="Q890" i="1"/>
  <c r="Q883" i="1"/>
  <c r="Q876" i="1"/>
  <c r="Q881" i="1"/>
  <c r="Q879" i="1" s="1"/>
  <c r="Q615" i="1" s="1"/>
  <c r="Q874" i="1"/>
  <c r="Q872" i="1" s="1"/>
  <c r="Q614" i="1" s="1"/>
  <c r="Q895" i="1"/>
  <c r="Q893" i="1" s="1"/>
  <c r="Q618" i="1" s="1"/>
  <c r="Q897" i="1"/>
  <c r="P119" i="1"/>
  <c r="P58" i="1"/>
  <c r="P83" i="1"/>
  <c r="BI855" i="1"/>
  <c r="BI731" i="1"/>
  <c r="BJ725" i="1"/>
  <c r="O79" i="1"/>
  <c r="R1" i="9"/>
  <c r="R900" i="1"/>
  <c r="R895" i="1"/>
  <c r="R893" i="1" s="1"/>
  <c r="R618" i="1" s="1"/>
  <c r="R870" i="1"/>
  <c r="S4" i="1"/>
  <c r="R3" i="1"/>
  <c r="R4" i="11"/>
  <c r="O62" i="1"/>
  <c r="BS2" i="9"/>
  <c r="BS5" i="11"/>
  <c r="BM856" i="1"/>
  <c r="BQ856" i="1"/>
  <c r="BP856" i="1"/>
  <c r="BO856" i="1"/>
  <c r="BO855" i="1" s="1"/>
  <c r="BN856" i="1"/>
  <c r="BN855" i="1" s="1"/>
  <c r="BT5" i="1"/>
  <c r="BX5" i="1"/>
  <c r="BB802" i="1"/>
  <c r="BB731" i="1"/>
  <c r="BC725" i="1"/>
  <c r="BC726" i="1" s="1"/>
  <c r="BE673" i="1"/>
  <c r="BD802" i="1"/>
  <c r="N64" i="1"/>
  <c r="N65" i="1"/>
  <c r="BL855" i="1"/>
  <c r="BF725" i="1"/>
  <c r="BF726" i="1" s="1"/>
  <c r="BE731" i="1"/>
  <c r="O182" i="1"/>
  <c r="P218" i="1"/>
  <c r="CD9" i="9"/>
  <c r="CD797" i="1"/>
  <c r="CE590" i="1"/>
  <c r="CE593" i="1" s="1"/>
  <c r="CD588" i="1"/>
  <c r="CD763" i="1" s="1"/>
  <c r="CD768" i="1" s="1"/>
  <c r="BO2" i="9"/>
  <c r="BO5" i="11"/>
  <c r="BM850" i="1"/>
  <c r="BN850" i="1"/>
  <c r="BP5" i="1"/>
  <c r="P50" i="1"/>
  <c r="BK2" i="9"/>
  <c r="BK5" i="11"/>
  <c r="BJ850" i="1"/>
  <c r="BL5" i="1"/>
  <c r="W673" i="1"/>
  <c r="V674" i="1"/>
  <c r="V802" i="1" s="1"/>
  <c r="Y731" i="1"/>
  <c r="Q200" i="1"/>
  <c r="Q197" i="1"/>
  <c r="Q181" i="1"/>
  <c r="Q78" i="1"/>
  <c r="Q59" i="1"/>
  <c r="Q61" i="1" s="1"/>
  <c r="Q182" i="1"/>
  <c r="Q199" i="1"/>
  <c r="Q217" i="1" s="1"/>
  <c r="Q180" i="1"/>
  <c r="Q56" i="1"/>
  <c r="Q198" i="1"/>
  <c r="Q79" i="1"/>
  <c r="Q76" i="1" s="1"/>
  <c r="Q60" i="1"/>
  <c r="Q57" i="1"/>
  <c r="Q3" i="11"/>
  <c r="BC2" i="9"/>
  <c r="BC5" i="11"/>
  <c r="BB850" i="1"/>
  <c r="P888" i="1"/>
  <c r="P886" i="1" s="1"/>
  <c r="P616" i="1" s="1"/>
  <c r="P890" i="1"/>
  <c r="P874" i="1"/>
  <c r="P872" i="1" s="1"/>
  <c r="P614" i="1" s="1"/>
  <c r="P883" i="1"/>
  <c r="P876" i="1"/>
  <c r="P881" i="1"/>
  <c r="P879" i="1" s="1"/>
  <c r="P615" i="1" s="1"/>
  <c r="P895" i="1"/>
  <c r="P893" i="1" s="1"/>
  <c r="P618" i="1" s="1"/>
  <c r="P897" i="1"/>
  <c r="P80" i="1"/>
  <c r="O78" i="1"/>
  <c r="P75" i="1"/>
  <c r="P216" i="1"/>
  <c r="O181" i="1"/>
  <c r="AD725" i="1"/>
  <c r="AD726" i="1" s="1"/>
  <c r="AC731" i="1"/>
  <c r="BG2" i="9"/>
  <c r="BG5" i="11"/>
  <c r="BF850" i="1"/>
  <c r="BH5" i="1"/>
  <c r="BG855" i="1"/>
  <c r="P183" i="1"/>
  <c r="O180" i="1"/>
  <c r="P215" i="1"/>
  <c r="P201" i="1"/>
  <c r="N63" i="1"/>
  <c r="N98" i="10"/>
  <c r="N105" i="10"/>
  <c r="N85" i="10"/>
  <c r="N104" i="10"/>
  <c r="N80" i="10"/>
  <c r="P80" i="10" l="1"/>
  <c r="Q80" i="10"/>
  <c r="Q104" i="10"/>
  <c r="P104" i="10"/>
  <c r="Q85" i="10"/>
  <c r="P85" i="10"/>
  <c r="Q105" i="10"/>
  <c r="P105" i="10"/>
  <c r="Q98" i="10"/>
  <c r="P98" i="10"/>
  <c r="CE510" i="1"/>
  <c r="Q58" i="1"/>
  <c r="Q119" i="1"/>
  <c r="Q83" i="1"/>
  <c r="X673" i="1"/>
  <c r="W674" i="1"/>
  <c r="W802" i="1" s="1"/>
  <c r="BT5" i="11"/>
  <c r="BT2" i="9"/>
  <c r="BR850" i="1"/>
  <c r="BS850" i="1"/>
  <c r="BU5" i="1"/>
  <c r="O65" i="1"/>
  <c r="O64" i="1"/>
  <c r="O215" i="1"/>
  <c r="O183" i="1"/>
  <c r="O171" i="1"/>
  <c r="AD731" i="1"/>
  <c r="Q215" i="1"/>
  <c r="Q183" i="1"/>
  <c r="Q75" i="1"/>
  <c r="Q80" i="1"/>
  <c r="P238" i="1"/>
  <c r="P219" i="1"/>
  <c r="Q216" i="1"/>
  <c r="O218" i="1"/>
  <c r="O175" i="1"/>
  <c r="O213" i="1" s="1"/>
  <c r="BN725" i="1"/>
  <c r="BN726" i="1" s="1"/>
  <c r="BJ726" i="1"/>
  <c r="BL5" i="11"/>
  <c r="BL2" i="9"/>
  <c r="BK850" i="1"/>
  <c r="BM5" i="1"/>
  <c r="O63" i="1"/>
  <c r="O216" i="1"/>
  <c r="O172" i="1"/>
  <c r="Q84" i="1"/>
  <c r="Q88" i="1" s="1"/>
  <c r="Q218" i="1"/>
  <c r="Q201" i="1"/>
  <c r="Q239" i="1" s="1"/>
  <c r="BF673" i="1"/>
  <c r="BE674" i="1"/>
  <c r="BE802" i="1" s="1"/>
  <c r="BP855" i="1"/>
  <c r="R199" i="1"/>
  <c r="R217" i="1" s="1"/>
  <c r="R198" i="1"/>
  <c r="R180" i="1"/>
  <c r="R79" i="1"/>
  <c r="R197" i="1"/>
  <c r="R181" i="1"/>
  <c r="R59" i="1"/>
  <c r="R61" i="1" s="1"/>
  <c r="R200" i="1"/>
  <c r="R78" i="1"/>
  <c r="R182" i="1"/>
  <c r="R218" i="1" s="1"/>
  <c r="R56" i="1"/>
  <c r="R60" i="1"/>
  <c r="R57" i="1"/>
  <c r="R84" i="1" s="1"/>
  <c r="R88" i="1" s="1"/>
  <c r="R3" i="11"/>
  <c r="BH2" i="9"/>
  <c r="BH5" i="11"/>
  <c r="BG850" i="1"/>
  <c r="BG725" i="1"/>
  <c r="BG726" i="1" s="1"/>
  <c r="BF731" i="1"/>
  <c r="BC802" i="1"/>
  <c r="BC731" i="1"/>
  <c r="S1" i="9"/>
  <c r="S900" i="1"/>
  <c r="T4" i="1"/>
  <c r="S3" i="1"/>
  <c r="S4" i="11"/>
  <c r="O76" i="1"/>
  <c r="O72" i="1"/>
  <c r="O83" i="1"/>
  <c r="P52" i="1"/>
  <c r="P53" i="1" s="1"/>
  <c r="P60" i="1"/>
  <c r="CD102" i="9"/>
  <c r="CD103" i="9" s="1"/>
  <c r="BM855" i="1"/>
  <c r="R890" i="1"/>
  <c r="R888" i="1"/>
  <c r="R886" i="1" s="1"/>
  <c r="R616" i="1" s="1"/>
  <c r="R876" i="1"/>
  <c r="R881" i="1"/>
  <c r="R879" i="1" s="1"/>
  <c r="R615" i="1" s="1"/>
  <c r="R883" i="1"/>
  <c r="R874" i="1"/>
  <c r="R872" i="1" s="1"/>
  <c r="R614" i="1" s="1"/>
  <c r="O80" i="1"/>
  <c r="O75" i="1"/>
  <c r="O71" i="1"/>
  <c r="O73" i="1" s="1"/>
  <c r="O119" i="1"/>
  <c r="O84" i="1"/>
  <c r="O88" i="1" s="1"/>
  <c r="BP2" i="9"/>
  <c r="BP5" i="11"/>
  <c r="BO850" i="1"/>
  <c r="BQ5" i="1"/>
  <c r="CE9" i="9"/>
  <c r="CE797" i="1"/>
  <c r="CF590" i="1"/>
  <c r="CF593" i="1"/>
  <c r="CE588" i="1"/>
  <c r="CE763" i="1" s="1"/>
  <c r="CE768" i="1" s="1"/>
  <c r="P85" i="1"/>
  <c r="P87" i="1"/>
  <c r="O201" i="1"/>
  <c r="O239" i="1" s="1"/>
  <c r="P239" i="1"/>
  <c r="BX2" i="9"/>
  <c r="BX5" i="11"/>
  <c r="BT856" i="1"/>
  <c r="BT855" i="1" s="1"/>
  <c r="BX859" i="1"/>
  <c r="BS856" i="1"/>
  <c r="BS855" i="1" s="1"/>
  <c r="BR856" i="1"/>
  <c r="CC5" i="1"/>
  <c r="BY5" i="1"/>
  <c r="R897" i="1"/>
  <c r="N42" i="10"/>
  <c r="N91" i="10"/>
  <c r="N89" i="10"/>
  <c r="N69" i="10"/>
  <c r="N74" i="10"/>
  <c r="N50" i="10"/>
  <c r="N39" i="10"/>
  <c r="N67" i="10"/>
  <c r="BX860" i="1"/>
  <c r="Q67" i="10" l="1"/>
  <c r="P67" i="10"/>
  <c r="Q39" i="10"/>
  <c r="P39" i="10"/>
  <c r="Q50" i="10"/>
  <c r="P50" i="10"/>
  <c r="Q74" i="10"/>
  <c r="P74" i="10"/>
  <c r="Q69" i="10"/>
  <c r="P69" i="10"/>
  <c r="Q89" i="10"/>
  <c r="P89" i="10"/>
  <c r="P91" i="10"/>
  <c r="Q91" i="10"/>
  <c r="Q42" i="10"/>
  <c r="P42" i="10"/>
  <c r="P17" i="1"/>
  <c r="P610" i="1"/>
  <c r="Q87" i="1"/>
  <c r="Q85" i="1"/>
  <c r="CE102" i="9"/>
  <c r="CE103" i="9" s="1"/>
  <c r="R75" i="1"/>
  <c r="R80" i="1"/>
  <c r="BJ731" i="1"/>
  <c r="BK725" i="1"/>
  <c r="BK726" i="1" s="1"/>
  <c r="BU5" i="11"/>
  <c r="BU859" i="1"/>
  <c r="BU2" i="9"/>
  <c r="BT850" i="1"/>
  <c r="BV5" i="1"/>
  <c r="BH725" i="1"/>
  <c r="BH726" i="1" s="1"/>
  <c r="BG731" i="1"/>
  <c r="Y673" i="1"/>
  <c r="X674" i="1"/>
  <c r="X802" i="1" s="1"/>
  <c r="O206" i="1"/>
  <c r="O211" i="1" s="1"/>
  <c r="O178" i="1"/>
  <c r="BO725" i="1"/>
  <c r="BN731" i="1"/>
  <c r="Q62" i="1"/>
  <c r="BQ2" i="9"/>
  <c r="BQ5" i="11"/>
  <c r="BP850" i="1"/>
  <c r="BR5" i="1"/>
  <c r="O85" i="1"/>
  <c r="O87" i="1"/>
  <c r="R119" i="1"/>
  <c r="R83" i="1"/>
  <c r="R58" i="1"/>
  <c r="Q238" i="1"/>
  <c r="Q219" i="1"/>
  <c r="CF510" i="1"/>
  <c r="BR855" i="1"/>
  <c r="CF9" i="9"/>
  <c r="CF797" i="1"/>
  <c r="CF588" i="1"/>
  <c r="CF763" i="1" s="1"/>
  <c r="CF768" i="1" s="1"/>
  <c r="S199" i="1"/>
  <c r="S217" i="1" s="1"/>
  <c r="S198" i="1"/>
  <c r="S180" i="1"/>
  <c r="S200" i="1"/>
  <c r="S197" i="1"/>
  <c r="S181" i="1"/>
  <c r="S78" i="1"/>
  <c r="S182" i="1"/>
  <c r="S79" i="1"/>
  <c r="S59" i="1"/>
  <c r="S61" i="1" s="1"/>
  <c r="S56" i="1"/>
  <c r="S60" i="1"/>
  <c r="S57" i="1"/>
  <c r="S3" i="11"/>
  <c r="BQ855" i="1"/>
  <c r="T1" i="9"/>
  <c r="T900" i="1"/>
  <c r="T870" i="1"/>
  <c r="T3" i="1"/>
  <c r="U4" i="1"/>
  <c r="T4" i="11"/>
  <c r="R216" i="1"/>
  <c r="BG673" i="1"/>
  <c r="BF674" i="1"/>
  <c r="BF802" i="1" s="1"/>
  <c r="O205" i="1"/>
  <c r="O210" i="1" s="1"/>
  <c r="O177" i="1"/>
  <c r="O173" i="1"/>
  <c r="CC5" i="11"/>
  <c r="CC2" i="9"/>
  <c r="CC859" i="1"/>
  <c r="CD5" i="1"/>
  <c r="P61" i="1"/>
  <c r="P62" i="1" s="1"/>
  <c r="P76" i="1"/>
  <c r="S870" i="1"/>
  <c r="R201" i="1"/>
  <c r="R239" i="1" s="1"/>
  <c r="BM5" i="11"/>
  <c r="BM2" i="9"/>
  <c r="BL850" i="1"/>
  <c r="O238" i="1"/>
  <c r="O219" i="1"/>
  <c r="BY2" i="9"/>
  <c r="BY5" i="11"/>
  <c r="BY859" i="1"/>
  <c r="BZ5" i="1"/>
  <c r="R76" i="1"/>
  <c r="R183" i="1"/>
  <c r="R215" i="1"/>
  <c r="BY860" i="1"/>
  <c r="CC860" i="1"/>
  <c r="BU860" i="1"/>
  <c r="N59" i="10"/>
  <c r="N33" i="10"/>
  <c r="N11" i="10"/>
  <c r="N27" i="10"/>
  <c r="Q27" i="10" l="1"/>
  <c r="P27" i="10"/>
  <c r="Q11" i="10"/>
  <c r="P11" i="10"/>
  <c r="Q33" i="10"/>
  <c r="P33" i="10"/>
  <c r="Q59" i="10"/>
  <c r="P59" i="10"/>
  <c r="BU861" i="1"/>
  <c r="T890" i="1"/>
  <c r="T876" i="1"/>
  <c r="T881" i="1"/>
  <c r="T879" i="1" s="1"/>
  <c r="T615" i="1" s="1"/>
  <c r="T874" i="1"/>
  <c r="T872" i="1" s="1"/>
  <c r="T614" i="1" s="1"/>
  <c r="T883" i="1"/>
  <c r="T888" i="1"/>
  <c r="T886" i="1" s="1"/>
  <c r="T616" i="1" s="1"/>
  <c r="S83" i="1"/>
  <c r="S58" i="1"/>
  <c r="S119" i="1"/>
  <c r="S215" i="1"/>
  <c r="S183" i="1"/>
  <c r="BR2" i="9"/>
  <c r="BR5" i="11"/>
  <c r="BQ850" i="1"/>
  <c r="U48" i="1"/>
  <c r="S76" i="1"/>
  <c r="BH731" i="1"/>
  <c r="BZ2" i="9"/>
  <c r="BZ5" i="11"/>
  <c r="BZ859" i="1"/>
  <c r="CA5" i="1"/>
  <c r="S890" i="1"/>
  <c r="S876" i="1"/>
  <c r="S881" i="1"/>
  <c r="S879" i="1" s="1"/>
  <c r="S615" i="1" s="1"/>
  <c r="S874" i="1"/>
  <c r="S872" i="1" s="1"/>
  <c r="S614" i="1" s="1"/>
  <c r="S883" i="1"/>
  <c r="S888" i="1"/>
  <c r="S886" i="1" s="1"/>
  <c r="S616" i="1" s="1"/>
  <c r="S897" i="1"/>
  <c r="S895" i="1"/>
  <c r="S893" i="1" s="1"/>
  <c r="S618" i="1" s="1"/>
  <c r="BH673" i="1"/>
  <c r="BG674" i="1"/>
  <c r="BG802" i="1" s="1"/>
  <c r="T895" i="1"/>
  <c r="T893" i="1" s="1"/>
  <c r="T618" i="1" s="1"/>
  <c r="U27" i="1"/>
  <c r="U47" i="1"/>
  <c r="S218" i="1"/>
  <c r="CF102" i="9"/>
  <c r="CF103" i="9" s="1"/>
  <c r="T897" i="1"/>
  <c r="U36" i="1"/>
  <c r="U33" i="1"/>
  <c r="U56" i="1" s="1"/>
  <c r="S75" i="1"/>
  <c r="S80" i="1"/>
  <c r="R62" i="1"/>
  <c r="R63" i="1"/>
  <c r="P111" i="1"/>
  <c r="P109" i="1"/>
  <c r="P65" i="1"/>
  <c r="P110" i="1"/>
  <c r="P64" i="1"/>
  <c r="P63" i="1"/>
  <c r="U31" i="1"/>
  <c r="U26" i="1"/>
  <c r="S216" i="1"/>
  <c r="R85" i="1"/>
  <c r="R87" i="1"/>
  <c r="Q65" i="1"/>
  <c r="Q64" i="1"/>
  <c r="BK731" i="1"/>
  <c r="BL725" i="1"/>
  <c r="BL726" i="1" s="1"/>
  <c r="BS725" i="1"/>
  <c r="BS726" i="1" s="1"/>
  <c r="BO726" i="1"/>
  <c r="R238" i="1"/>
  <c r="R219" i="1"/>
  <c r="U1" i="9"/>
  <c r="U895" i="1"/>
  <c r="U893" i="1" s="1"/>
  <c r="U618" i="1" s="1"/>
  <c r="U900" i="1"/>
  <c r="U870" i="1"/>
  <c r="U3" i="1"/>
  <c r="U46" i="1" s="1"/>
  <c r="V4" i="1"/>
  <c r="U4" i="11"/>
  <c r="U30" i="1"/>
  <c r="S84" i="1"/>
  <c r="S88" i="1" s="1"/>
  <c r="S201" i="1"/>
  <c r="S239" i="1" s="1"/>
  <c r="Q63" i="1"/>
  <c r="BV2" i="9"/>
  <c r="BV5" i="11"/>
  <c r="BV859" i="1"/>
  <c r="BW5" i="1"/>
  <c r="CD2" i="9"/>
  <c r="CD5" i="11"/>
  <c r="CD859" i="1"/>
  <c r="CE5" i="1"/>
  <c r="O19" i="1"/>
  <c r="O208" i="1"/>
  <c r="T59" i="1"/>
  <c r="T56" i="1"/>
  <c r="T57" i="1"/>
  <c r="T60" i="1"/>
  <c r="T3" i="11"/>
  <c r="U43" i="1"/>
  <c r="Z673" i="1"/>
  <c r="Z674" i="1" s="1"/>
  <c r="Y674" i="1"/>
  <c r="Y802" i="1" s="1"/>
  <c r="N19" i="10"/>
  <c r="N7" i="10"/>
  <c r="CD860" i="1"/>
  <c r="BZ860" i="1"/>
  <c r="BV860" i="1"/>
  <c r="BV861" i="1" l="1"/>
  <c r="Q7" i="10"/>
  <c r="P7" i="10"/>
  <c r="Q19" i="10"/>
  <c r="P19" i="10"/>
  <c r="T61" i="1"/>
  <c r="U890" i="1"/>
  <c r="U881" i="1"/>
  <c r="U879" i="1" s="1"/>
  <c r="U615" i="1" s="1"/>
  <c r="U874" i="1"/>
  <c r="U872" i="1" s="1"/>
  <c r="U614" i="1" s="1"/>
  <c r="U883" i="1"/>
  <c r="U888" i="1"/>
  <c r="U886" i="1" s="1"/>
  <c r="U616" i="1" s="1"/>
  <c r="U876" i="1"/>
  <c r="BI673" i="1"/>
  <c r="BI674" i="1" s="1"/>
  <c r="BH674" i="1"/>
  <c r="BH802" i="1" s="1"/>
  <c r="U44" i="1"/>
  <c r="BP725" i="1"/>
  <c r="BP726" i="1" s="1"/>
  <c r="BO731" i="1"/>
  <c r="BX725" i="1"/>
  <c r="BS731" i="1"/>
  <c r="BT725" i="1"/>
  <c r="BT726" i="1" s="1"/>
  <c r="U897" i="1"/>
  <c r="BL731" i="1"/>
  <c r="BM725" i="1"/>
  <c r="BM726" i="1" s="1"/>
  <c r="U51" i="1"/>
  <c r="U59" i="1" s="1"/>
  <c r="U40" i="1"/>
  <c r="S62" i="1"/>
  <c r="S63" i="1" s="1"/>
  <c r="U83" i="1"/>
  <c r="S87" i="1"/>
  <c r="S85" i="1"/>
  <c r="V1" i="9"/>
  <c r="V900" i="1"/>
  <c r="V3" i="1"/>
  <c r="W4" i="1"/>
  <c r="V4" i="11"/>
  <c r="CA2" i="9"/>
  <c r="CA5" i="11"/>
  <c r="CA859" i="1"/>
  <c r="CB5" i="1"/>
  <c r="T58" i="1"/>
  <c r="CE2" i="9"/>
  <c r="CE5" i="11"/>
  <c r="CE859" i="1"/>
  <c r="CF5" i="1"/>
  <c r="U374" i="1"/>
  <c r="U369" i="1"/>
  <c r="U333" i="1"/>
  <c r="U376" i="1"/>
  <c r="U371" i="1"/>
  <c r="U375" i="1"/>
  <c r="U340" i="1"/>
  <c r="U335" i="1"/>
  <c r="U332" i="1"/>
  <c r="U385" i="1"/>
  <c r="U379" i="1"/>
  <c r="U343" i="1"/>
  <c r="U326" i="1"/>
  <c r="U378" i="1"/>
  <c r="U329" i="1"/>
  <c r="U383" i="1"/>
  <c r="U341" i="1"/>
  <c r="U336" i="1"/>
  <c r="U367" i="1"/>
  <c r="U327" i="1"/>
  <c r="U339" i="1"/>
  <c r="U334" i="1"/>
  <c r="U370" i="1"/>
  <c r="U342" i="1"/>
  <c r="U325" i="1"/>
  <c r="U180" i="1"/>
  <c r="U377" i="1"/>
  <c r="U368" i="1"/>
  <c r="U344" i="1"/>
  <c r="U328" i="1"/>
  <c r="U200" i="1"/>
  <c r="T200" i="1" s="1"/>
  <c r="T195" i="1" s="1"/>
  <c r="U182" i="1"/>
  <c r="U79" i="1"/>
  <c r="U198" i="1"/>
  <c r="U181" i="1"/>
  <c r="U197" i="1"/>
  <c r="U201" i="1" s="1"/>
  <c r="U78" i="1"/>
  <c r="U381" i="1"/>
  <c r="U330" i="1"/>
  <c r="U372" i="1"/>
  <c r="U382" i="1"/>
  <c r="U337" i="1"/>
  <c r="U384" i="1"/>
  <c r="U386" i="1"/>
  <c r="T594" i="1"/>
  <c r="Q594" i="1"/>
  <c r="R594" i="1"/>
  <c r="S594" i="1"/>
  <c r="U3" i="11"/>
  <c r="U49" i="1"/>
  <c r="U37" i="1"/>
  <c r="U50" i="1" s="1"/>
  <c r="U29" i="1"/>
  <c r="U22" i="1"/>
  <c r="U28" i="1"/>
  <c r="U41" i="1"/>
  <c r="U25" i="1"/>
  <c r="AA673" i="1"/>
  <c r="Z802" i="1"/>
  <c r="BW2" i="9"/>
  <c r="BW5" i="11"/>
  <c r="BW859" i="1"/>
  <c r="R65" i="1"/>
  <c r="R64" i="1"/>
  <c r="U45" i="1"/>
  <c r="S238" i="1"/>
  <c r="S219" i="1"/>
  <c r="BU862" i="1"/>
  <c r="BU505" i="1" s="1"/>
  <c r="BU865" i="1"/>
  <c r="BU564" i="1" s="1"/>
  <c r="BU866" i="1"/>
  <c r="BU566" i="1" s="1"/>
  <c r="BU864" i="1"/>
  <c r="BU533" i="1" s="1"/>
  <c r="BU863" i="1"/>
  <c r="BU54" i="1" s="1"/>
  <c r="CA860" i="1"/>
  <c r="CE860" i="1"/>
  <c r="BW860" i="1"/>
  <c r="BW861" i="1" l="1"/>
  <c r="BX861" i="1"/>
  <c r="BY861" i="1"/>
  <c r="BZ861" i="1"/>
  <c r="CA861" i="1"/>
  <c r="U52" i="1"/>
  <c r="U60" i="1"/>
  <c r="BQ725" i="1"/>
  <c r="BQ726" i="1" s="1"/>
  <c r="BP731" i="1"/>
  <c r="U216" i="1"/>
  <c r="T181" i="1"/>
  <c r="CF5" i="11"/>
  <c r="CF2" i="9"/>
  <c r="CF859" i="1"/>
  <c r="B187" i="10"/>
  <c r="M105" i="10"/>
  <c r="B12" i="10"/>
  <c r="M160" i="10"/>
  <c r="B72" i="10"/>
  <c r="M80" i="10"/>
  <c r="B183" i="10"/>
  <c r="M27" i="10"/>
  <c r="B68" i="10"/>
  <c r="M167" i="10"/>
  <c r="M145" i="10"/>
  <c r="M147" i="10"/>
  <c r="M154" i="10"/>
  <c r="B149" i="10"/>
  <c r="B40" i="10"/>
  <c r="M11" i="10"/>
  <c r="M88" i="10"/>
  <c r="B139" i="10"/>
  <c r="M55" i="10"/>
  <c r="M19" i="10"/>
  <c r="B16" i="10"/>
  <c r="B110" i="10"/>
  <c r="M206" i="10"/>
  <c r="M113" i="10"/>
  <c r="B185" i="10"/>
  <c r="M139" i="10"/>
  <c r="B59" i="10"/>
  <c r="B32" i="10"/>
  <c r="M28" i="10"/>
  <c r="M23" i="10"/>
  <c r="B154" i="10"/>
  <c r="M168" i="10"/>
  <c r="M178" i="10"/>
  <c r="M224" i="10"/>
  <c r="B83" i="10"/>
  <c r="B169" i="10"/>
  <c r="M122" i="10"/>
  <c r="B200" i="10"/>
  <c r="M217" i="10"/>
  <c r="B120" i="10"/>
  <c r="M108" i="10"/>
  <c r="B92" i="10"/>
  <c r="B67" i="10"/>
  <c r="B190" i="10"/>
  <c r="B18" i="10"/>
  <c r="M193" i="10"/>
  <c r="B150" i="10"/>
  <c r="M152" i="10"/>
  <c r="M69" i="10"/>
  <c r="B161" i="10"/>
  <c r="B55" i="10"/>
  <c r="M216" i="10"/>
  <c r="B53" i="10"/>
  <c r="M207" i="10"/>
  <c r="B15" i="10"/>
  <c r="B213" i="10"/>
  <c r="M48" i="10"/>
  <c r="B195" i="10"/>
  <c r="B171" i="10"/>
  <c r="M82" i="10"/>
  <c r="M133" i="10"/>
  <c r="B61" i="10"/>
  <c r="M37" i="10"/>
  <c r="B115" i="10"/>
  <c r="B222" i="10"/>
  <c r="M98" i="10"/>
  <c r="B180" i="10"/>
  <c r="B69" i="10"/>
  <c r="B10" i="10"/>
  <c r="B96" i="10"/>
  <c r="M100" i="10"/>
  <c r="M156" i="10"/>
  <c r="B205" i="10"/>
  <c r="M38" i="10"/>
  <c r="B38" i="10"/>
  <c r="B23" i="10"/>
  <c r="M208" i="10"/>
  <c r="N87" i="10"/>
  <c r="B137" i="10"/>
  <c r="M77" i="10"/>
  <c r="M220" i="10"/>
  <c r="M102" i="10"/>
  <c r="N176" i="10"/>
  <c r="B119" i="10"/>
  <c r="M211" i="10"/>
  <c r="M49" i="10"/>
  <c r="M89" i="10"/>
  <c r="B202" i="10"/>
  <c r="M137" i="10"/>
  <c r="B184" i="10"/>
  <c r="B101" i="10"/>
  <c r="B78" i="10"/>
  <c r="M180" i="10"/>
  <c r="B27" i="10"/>
  <c r="M132" i="10"/>
  <c r="M182" i="10"/>
  <c r="B56" i="10"/>
  <c r="M174" i="10"/>
  <c r="B39" i="10"/>
  <c r="B122" i="10"/>
  <c r="N192" i="10"/>
  <c r="B156" i="10"/>
  <c r="M73" i="10"/>
  <c r="B135" i="10"/>
  <c r="B19" i="10"/>
  <c r="B46" i="10"/>
  <c r="M103" i="10"/>
  <c r="B124" i="10"/>
  <c r="M179" i="10"/>
  <c r="B164" i="10"/>
  <c r="M7" i="10"/>
  <c r="B172" i="10"/>
  <c r="M196" i="10"/>
  <c r="B33" i="10"/>
  <c r="B103" i="10"/>
  <c r="M22" i="10"/>
  <c r="B173" i="10"/>
  <c r="M190" i="10"/>
  <c r="B48" i="10"/>
  <c r="M58" i="10"/>
  <c r="B93" i="10"/>
  <c r="B87" i="10"/>
  <c r="M187" i="10"/>
  <c r="M71" i="10"/>
  <c r="B66" i="10"/>
  <c r="B218" i="10"/>
  <c r="M110" i="10"/>
  <c r="M6" i="10"/>
  <c r="M136" i="10"/>
  <c r="B132" i="10"/>
  <c r="M29" i="10"/>
  <c r="B105" i="10"/>
  <c r="B211" i="10"/>
  <c r="M128" i="10"/>
  <c r="M18" i="10"/>
  <c r="M91" i="10"/>
  <c r="M94" i="10"/>
  <c r="B141" i="10"/>
  <c r="B128" i="10"/>
  <c r="B136" i="10"/>
  <c r="M210" i="10"/>
  <c r="B22" i="10"/>
  <c r="M67" i="10"/>
  <c r="M169" i="10"/>
  <c r="B76" i="10"/>
  <c r="M84" i="10"/>
  <c r="B174" i="10"/>
  <c r="M203" i="10"/>
  <c r="M171" i="10"/>
  <c r="M76" i="10"/>
  <c r="M161" i="10"/>
  <c r="B178" i="10"/>
  <c r="M134" i="10"/>
  <c r="B94" i="10"/>
  <c r="M39" i="10"/>
  <c r="B104" i="10"/>
  <c r="B37" i="10"/>
  <c r="M90" i="10"/>
  <c r="M59" i="10"/>
  <c r="B26" i="10"/>
  <c r="B198" i="10"/>
  <c r="B160" i="10"/>
  <c r="M21" i="10"/>
  <c r="B14" i="10"/>
  <c r="B7" i="10"/>
  <c r="M130" i="10"/>
  <c r="B88" i="10"/>
  <c r="B210" i="10"/>
  <c r="M72" i="10"/>
  <c r="M188" i="10"/>
  <c r="N224" i="10"/>
  <c r="M104" i="10"/>
  <c r="B50" i="10"/>
  <c r="M119" i="10"/>
  <c r="B127" i="10"/>
  <c r="B216" i="10"/>
  <c r="B212" i="10"/>
  <c r="B71" i="10"/>
  <c r="M150" i="10"/>
  <c r="B74" i="10"/>
  <c r="B21" i="10"/>
  <c r="B130" i="10"/>
  <c r="B6" i="10"/>
  <c r="B134" i="10"/>
  <c r="M195" i="10"/>
  <c r="B186" i="10"/>
  <c r="B60" i="10"/>
  <c r="M61" i="10"/>
  <c r="B118" i="10"/>
  <c r="B226" i="10"/>
  <c r="M85" i="10"/>
  <c r="M157" i="10"/>
  <c r="B133" i="10"/>
  <c r="M114" i="10"/>
  <c r="B9" i="10"/>
  <c r="M10" i="10"/>
  <c r="M201" i="10"/>
  <c r="M41" i="10"/>
  <c r="B206" i="10"/>
  <c r="M15" i="10"/>
  <c r="M17" i="10"/>
  <c r="M148" i="10"/>
  <c r="M124" i="10"/>
  <c r="M226" i="10"/>
  <c r="M123" i="10"/>
  <c r="B102" i="10"/>
  <c r="B45" i="10"/>
  <c r="B182" i="10"/>
  <c r="M115" i="10"/>
  <c r="B57" i="10"/>
  <c r="B111" i="10"/>
  <c r="M222" i="10"/>
  <c r="B73" i="10"/>
  <c r="M212" i="10"/>
  <c r="B221" i="10"/>
  <c r="M186" i="10"/>
  <c r="M83" i="10"/>
  <c r="M184" i="10"/>
  <c r="M200" i="10"/>
  <c r="B196" i="10"/>
  <c r="N215" i="10"/>
  <c r="B63" i="10"/>
  <c r="B79" i="10"/>
  <c r="M44" i="10"/>
  <c r="B58" i="10"/>
  <c r="M42" i="10"/>
  <c r="B147" i="10"/>
  <c r="M142" i="10"/>
  <c r="M213" i="10"/>
  <c r="M45" i="10"/>
  <c r="B114" i="10"/>
  <c r="B167" i="10"/>
  <c r="M127" i="10"/>
  <c r="B20" i="10"/>
  <c r="B31" i="10"/>
  <c r="M177" i="10"/>
  <c r="B177" i="10"/>
  <c r="M33" i="10"/>
  <c r="B116" i="10"/>
  <c r="M116" i="10"/>
  <c r="B97" i="10"/>
  <c r="M9" i="10"/>
  <c r="M96" i="10"/>
  <c r="B208" i="10"/>
  <c r="M221" i="10"/>
  <c r="B203" i="10"/>
  <c r="M198" i="10"/>
  <c r="B42" i="10"/>
  <c r="B204" i="10"/>
  <c r="M166" i="10"/>
  <c r="M16" i="10"/>
  <c r="M126" i="10"/>
  <c r="N144" i="10"/>
  <c r="M202" i="10"/>
  <c r="B144" i="10"/>
  <c r="B152" i="10"/>
  <c r="M162" i="10"/>
  <c r="M12" i="10"/>
  <c r="M164" i="10"/>
  <c r="B62" i="10"/>
  <c r="M60" i="10"/>
  <c r="B140" i="10"/>
  <c r="M79" i="10"/>
  <c r="M163" i="10"/>
  <c r="B29" i="10"/>
  <c r="N113" i="10"/>
  <c r="B217" i="10"/>
  <c r="M204" i="10"/>
  <c r="M53" i="10"/>
  <c r="M140" i="10"/>
  <c r="B65" i="10"/>
  <c r="B108" i="10"/>
  <c r="M68" i="10"/>
  <c r="B77" i="10"/>
  <c r="M65" i="10"/>
  <c r="B49" i="10"/>
  <c r="M32" i="10"/>
  <c r="B113" i="10"/>
  <c r="B192" i="10"/>
  <c r="M87" i="10"/>
  <c r="M192" i="10"/>
  <c r="M173" i="10"/>
  <c r="M101" i="10"/>
  <c r="M31" i="10"/>
  <c r="B28" i="10"/>
  <c r="M158" i="10"/>
  <c r="M135" i="10"/>
  <c r="M50" i="10"/>
  <c r="B84" i="10"/>
  <c r="M56" i="10"/>
  <c r="M66" i="10"/>
  <c r="B85" i="10"/>
  <c r="B158" i="10"/>
  <c r="B145" i="10"/>
  <c r="M144" i="10"/>
  <c r="M141" i="10"/>
  <c r="B220" i="10"/>
  <c r="B11" i="10"/>
  <c r="M97" i="10"/>
  <c r="M111" i="10"/>
  <c r="M176" i="10"/>
  <c r="B157" i="10"/>
  <c r="B98" i="10"/>
  <c r="M40" i="10"/>
  <c r="M205" i="10"/>
  <c r="M189" i="10"/>
  <c r="B193" i="10"/>
  <c r="B91" i="10"/>
  <c r="M51" i="10"/>
  <c r="B179" i="10"/>
  <c r="M118" i="10"/>
  <c r="B189" i="10"/>
  <c r="M20" i="10"/>
  <c r="M93" i="10"/>
  <c r="B25" i="10"/>
  <c r="B89" i="10"/>
  <c r="B168" i="10"/>
  <c r="B35" i="10"/>
  <c r="M92" i="10"/>
  <c r="M62" i="10"/>
  <c r="M57" i="10"/>
  <c r="B176" i="10"/>
  <c r="B82" i="10"/>
  <c r="B90" i="10"/>
  <c r="M46" i="10"/>
  <c r="B162" i="10"/>
  <c r="B34" i="10"/>
  <c r="M35" i="10"/>
  <c r="M107" i="10"/>
  <c r="B80" i="10"/>
  <c r="B163" i="10"/>
  <c r="M185" i="10"/>
  <c r="M63" i="10"/>
  <c r="B916" i="1"/>
  <c r="E7" i="8" s="1"/>
  <c r="M149" i="10"/>
  <c r="N55" i="10"/>
  <c r="B188" i="10"/>
  <c r="M183" i="10"/>
  <c r="M14" i="10"/>
  <c r="B17" i="10"/>
  <c r="B41" i="10"/>
  <c r="M34" i="10"/>
  <c r="B51" i="10"/>
  <c r="M78" i="10"/>
  <c r="B142" i="10"/>
  <c r="B215" i="10"/>
  <c r="B44" i="10"/>
  <c r="M218" i="10"/>
  <c r="M74" i="10"/>
  <c r="M215" i="10"/>
  <c r="B201" i="10"/>
  <c r="M172" i="10"/>
  <c r="M120" i="10"/>
  <c r="B207" i="10"/>
  <c r="B148" i="10"/>
  <c r="B166" i="10"/>
  <c r="B224" i="10"/>
  <c r="M26" i="10"/>
  <c r="B126" i="10"/>
  <c r="B123" i="10"/>
  <c r="B107" i="10"/>
  <c r="B100" i="10"/>
  <c r="M25" i="10"/>
  <c r="BM731" i="1"/>
  <c r="U215" i="1"/>
  <c r="U183" i="1"/>
  <c r="T180" i="1"/>
  <c r="T79" i="1"/>
  <c r="U76" i="1"/>
  <c r="U218" i="1"/>
  <c r="T182" i="1"/>
  <c r="S65" i="1"/>
  <c r="S64" i="1"/>
  <c r="CB2" i="9"/>
  <c r="CB5" i="11"/>
  <c r="CB859" i="1"/>
  <c r="W1" i="9"/>
  <c r="W900" i="1"/>
  <c r="W870" i="1"/>
  <c r="W895" i="1" s="1"/>
  <c r="W893" i="1" s="1"/>
  <c r="W618" i="1" s="1"/>
  <c r="W3" i="1"/>
  <c r="X4" i="1"/>
  <c r="W4" i="11"/>
  <c r="BJ673" i="1"/>
  <c r="BI802" i="1"/>
  <c r="V182" i="1"/>
  <c r="V218" i="1" s="1"/>
  <c r="V198" i="1"/>
  <c r="V200" i="1"/>
  <c r="V199" i="1"/>
  <c r="V217" i="1" s="1"/>
  <c r="V180" i="1"/>
  <c r="V79" i="1"/>
  <c r="V76" i="1" s="1"/>
  <c r="V181" i="1"/>
  <c r="V216" i="1" s="1"/>
  <c r="V197" i="1"/>
  <c r="V56" i="1"/>
  <c r="V59" i="1"/>
  <c r="V57" i="1"/>
  <c r="V78" i="1"/>
  <c r="V60" i="1"/>
  <c r="V3" i="11"/>
  <c r="U87" i="1"/>
  <c r="U32" i="1"/>
  <c r="U80" i="1"/>
  <c r="T78" i="1"/>
  <c r="U75" i="1"/>
  <c r="T62" i="1"/>
  <c r="T63" i="1" s="1"/>
  <c r="AB673" i="1"/>
  <c r="AA674" i="1"/>
  <c r="AA802" i="1" s="1"/>
  <c r="U239" i="1"/>
  <c r="T201" i="1"/>
  <c r="T239" i="1" s="1"/>
  <c r="V870" i="1"/>
  <c r="U61" i="1"/>
  <c r="BT731" i="1"/>
  <c r="BU725" i="1"/>
  <c r="BV865" i="1"/>
  <c r="BV564" i="1" s="1"/>
  <c r="BV864" i="1"/>
  <c r="BV533" i="1" s="1"/>
  <c r="BV863" i="1"/>
  <c r="BV54" i="1" s="1"/>
  <c r="BV862" i="1"/>
  <c r="BV505" i="1" s="1"/>
  <c r="BV866" i="1"/>
  <c r="BV566" i="1" s="1"/>
  <c r="CF860" i="1"/>
  <c r="CB860" i="1"/>
  <c r="CB861" i="1" l="1"/>
  <c r="CC861" i="1"/>
  <c r="CD861" i="1"/>
  <c r="CE861" i="1"/>
  <c r="CF861" i="1"/>
  <c r="V215" i="1"/>
  <c r="V183" i="1"/>
  <c r="U219" i="1"/>
  <c r="U238" i="1"/>
  <c r="V201" i="1"/>
  <c r="V239" i="1" s="1"/>
  <c r="W182" i="1"/>
  <c r="W218" i="1" s="1"/>
  <c r="W79" i="1"/>
  <c r="W76" i="1" s="1"/>
  <c r="W56" i="1"/>
  <c r="W199" i="1"/>
  <c r="W217" i="1" s="1"/>
  <c r="W200" i="1"/>
  <c r="W181" i="1"/>
  <c r="W198" i="1"/>
  <c r="W197" i="1"/>
  <c r="W59" i="1"/>
  <c r="W61" i="1" s="1"/>
  <c r="W78" i="1"/>
  <c r="W180" i="1"/>
  <c r="W57" i="1"/>
  <c r="W60" i="1"/>
  <c r="W3" i="11"/>
  <c r="Q144" i="10"/>
  <c r="P144" i="10"/>
  <c r="Q87" i="10"/>
  <c r="P87" i="10"/>
  <c r="T172" i="1"/>
  <c r="T216" i="1"/>
  <c r="CA865" i="1"/>
  <c r="CA564" i="1" s="1"/>
  <c r="CA864" i="1"/>
  <c r="CA533" i="1" s="1"/>
  <c r="CA866" i="1"/>
  <c r="CA566" i="1" s="1"/>
  <c r="CA862" i="1"/>
  <c r="CA505" i="1" s="1"/>
  <c r="CA863" i="1"/>
  <c r="CA54" i="1" s="1"/>
  <c r="P215" i="10"/>
  <c r="Q215" i="10"/>
  <c r="Q192" i="10"/>
  <c r="P192" i="10"/>
  <c r="AC673" i="1"/>
  <c r="AB674" i="1"/>
  <c r="AB802" i="1" s="1"/>
  <c r="T76" i="1"/>
  <c r="T72" i="1"/>
  <c r="T83" i="1"/>
  <c r="Q113" i="10"/>
  <c r="P113" i="10"/>
  <c r="Q224" i="10"/>
  <c r="P224" i="10"/>
  <c r="Q176" i="10"/>
  <c r="P176" i="10"/>
  <c r="BR725" i="1"/>
  <c r="BR726" i="1" s="1"/>
  <c r="BQ731" i="1"/>
  <c r="BZ863" i="1"/>
  <c r="BZ54" i="1" s="1"/>
  <c r="BZ864" i="1"/>
  <c r="BZ533" i="1" s="1"/>
  <c r="BZ865" i="1"/>
  <c r="BZ564" i="1" s="1"/>
  <c r="BZ862" i="1"/>
  <c r="BZ505" i="1" s="1"/>
  <c r="BZ866" i="1"/>
  <c r="BZ566" i="1" s="1"/>
  <c r="T64" i="1"/>
  <c r="T65" i="1"/>
  <c r="T215" i="1"/>
  <c r="T183" i="1"/>
  <c r="T171" i="1"/>
  <c r="BY863" i="1"/>
  <c r="BY54" i="1" s="1"/>
  <c r="BY862" i="1"/>
  <c r="BY505" i="1" s="1"/>
  <c r="BY866" i="1"/>
  <c r="BY566" i="1" s="1"/>
  <c r="BY865" i="1"/>
  <c r="BY564" i="1" s="1"/>
  <c r="BY864" i="1"/>
  <c r="BY533" i="1" s="1"/>
  <c r="V874" i="1"/>
  <c r="V872" i="1" s="1"/>
  <c r="V614" i="1" s="1"/>
  <c r="V883" i="1"/>
  <c r="V888" i="1"/>
  <c r="V886" i="1" s="1"/>
  <c r="V616" i="1" s="1"/>
  <c r="V890" i="1"/>
  <c r="V881" i="1"/>
  <c r="V879" i="1" s="1"/>
  <c r="V615" i="1" s="1"/>
  <c r="V876" i="1"/>
  <c r="V895" i="1"/>
  <c r="V893" i="1" s="1"/>
  <c r="V618" i="1" s="1"/>
  <c r="V897" i="1"/>
  <c r="T71" i="1"/>
  <c r="T75" i="1"/>
  <c r="T80" i="1"/>
  <c r="T119" i="1"/>
  <c r="T84" i="1"/>
  <c r="T88" i="1" s="1"/>
  <c r="V84" i="1"/>
  <c r="V88" i="1" s="1"/>
  <c r="Q55" i="10"/>
  <c r="P55" i="10"/>
  <c r="W888" i="1"/>
  <c r="W886" i="1" s="1"/>
  <c r="W616" i="1" s="1"/>
  <c r="W874" i="1"/>
  <c r="W872" i="1" s="1"/>
  <c r="W614" i="1" s="1"/>
  <c r="W883" i="1"/>
  <c r="W890" i="1"/>
  <c r="W876" i="1"/>
  <c r="W881" i="1"/>
  <c r="W879" i="1" s="1"/>
  <c r="W615" i="1" s="1"/>
  <c r="W897" i="1"/>
  <c r="V61" i="1"/>
  <c r="BX865" i="1"/>
  <c r="BX564" i="1" s="1"/>
  <c r="BX864" i="1"/>
  <c r="BX533" i="1" s="1"/>
  <c r="BX863" i="1"/>
  <c r="BX54" i="1" s="1"/>
  <c r="BX862" i="1"/>
  <c r="BX505" i="1" s="1"/>
  <c r="BX866" i="1"/>
  <c r="BX566" i="1" s="1"/>
  <c r="BK673" i="1"/>
  <c r="BJ674" i="1"/>
  <c r="BJ802" i="1" s="1"/>
  <c r="V75" i="1"/>
  <c r="V80" i="1"/>
  <c r="U57" i="1"/>
  <c r="U34" i="1"/>
  <c r="U53" i="1" s="1"/>
  <c r="V83" i="1"/>
  <c r="V119" i="1"/>
  <c r="V58" i="1"/>
  <c r="X1" i="9"/>
  <c r="X900" i="1"/>
  <c r="Y4" i="1"/>
  <c r="X3" i="1"/>
  <c r="X4" i="11"/>
  <c r="T218" i="1"/>
  <c r="T175" i="1"/>
  <c r="T213" i="1" s="1"/>
  <c r="BW866" i="1"/>
  <c r="BW566" i="1" s="1"/>
  <c r="BW865" i="1"/>
  <c r="BW564" i="1" s="1"/>
  <c r="BW864" i="1"/>
  <c r="BW533" i="1" s="1"/>
  <c r="BW862" i="1"/>
  <c r="BW505" i="1" s="1"/>
  <c r="BW863" i="1"/>
  <c r="BW54" i="1" s="1"/>
  <c r="U17" i="1" l="1"/>
  <c r="U610" i="1"/>
  <c r="BR731" i="1"/>
  <c r="T87" i="1"/>
  <c r="T85" i="1"/>
  <c r="V238" i="1"/>
  <c r="V219" i="1"/>
  <c r="T178" i="1"/>
  <c r="T206" i="1"/>
  <c r="T211" i="1" s="1"/>
  <c r="W84" i="1"/>
  <c r="W88" i="1" s="1"/>
  <c r="W215" i="1"/>
  <c r="W183" i="1"/>
  <c r="W119" i="1"/>
  <c r="W83" i="1"/>
  <c r="W58" i="1"/>
  <c r="W75" i="1"/>
  <c r="W80" i="1"/>
  <c r="CF865" i="1"/>
  <c r="CF564" i="1" s="1"/>
  <c r="CF864" i="1"/>
  <c r="CF533" i="1" s="1"/>
  <c r="CF863" i="1"/>
  <c r="CF54" i="1" s="1"/>
  <c r="CF862" i="1"/>
  <c r="CF505" i="1" s="1"/>
  <c r="CF866" i="1"/>
  <c r="CF566" i="1" s="1"/>
  <c r="U84" i="1"/>
  <c r="U119" i="1"/>
  <c r="U58" i="1"/>
  <c r="CE862" i="1"/>
  <c r="CE505" i="1" s="1"/>
  <c r="CE866" i="1"/>
  <c r="CE566" i="1" s="1"/>
  <c r="CE864" i="1"/>
  <c r="CE533" i="1" s="1"/>
  <c r="CE863" i="1"/>
  <c r="CE54" i="1" s="1"/>
  <c r="CE865" i="1"/>
  <c r="CE564" i="1" s="1"/>
  <c r="T173" i="1"/>
  <c r="T205" i="1"/>
  <c r="T210" i="1" s="1"/>
  <c r="T177" i="1"/>
  <c r="T219" i="1"/>
  <c r="T238" i="1"/>
  <c r="T73" i="1"/>
  <c r="W201" i="1"/>
  <c r="W239" i="1" s="1"/>
  <c r="CD866" i="1"/>
  <c r="CD566" i="1" s="1"/>
  <c r="CD862" i="1"/>
  <c r="CD505" i="1" s="1"/>
  <c r="CD865" i="1"/>
  <c r="CD564" i="1" s="1"/>
  <c r="CD864" i="1"/>
  <c r="CD533" i="1" s="1"/>
  <c r="CD863" i="1"/>
  <c r="CD54" i="1" s="1"/>
  <c r="Y1" i="9"/>
  <c r="Y900" i="1"/>
  <c r="Z4" i="1"/>
  <c r="Y3" i="1"/>
  <c r="Y4" i="11"/>
  <c r="CC865" i="1"/>
  <c r="CC564" i="1" s="1"/>
  <c r="CC863" i="1"/>
  <c r="CC54" i="1" s="1"/>
  <c r="CC862" i="1"/>
  <c r="CC505" i="1" s="1"/>
  <c r="CC864" i="1"/>
  <c r="CC533" i="1" s="1"/>
  <c r="CC866" i="1"/>
  <c r="CC566" i="1" s="1"/>
  <c r="AD673" i="1"/>
  <c r="AC674" i="1"/>
  <c r="AC802" i="1" s="1"/>
  <c r="X200" i="1"/>
  <c r="X181" i="1"/>
  <c r="X199" i="1"/>
  <c r="X217" i="1" s="1"/>
  <c r="X182" i="1"/>
  <c r="X218" i="1" s="1"/>
  <c r="X198" i="1"/>
  <c r="X197" i="1"/>
  <c r="X59" i="1"/>
  <c r="X56" i="1"/>
  <c r="X180" i="1"/>
  <c r="X78" i="1"/>
  <c r="X79" i="1"/>
  <c r="X60" i="1"/>
  <c r="X57" i="1"/>
  <c r="X84" i="1" s="1"/>
  <c r="X88" i="1" s="1"/>
  <c r="X3" i="11"/>
  <c r="V62" i="1"/>
  <c r="BL673" i="1"/>
  <c r="BK674" i="1"/>
  <c r="BK802" i="1" s="1"/>
  <c r="X870" i="1"/>
  <c r="V87" i="1"/>
  <c r="V85" i="1"/>
  <c r="W216" i="1"/>
  <c r="CB865" i="1"/>
  <c r="CB564" i="1" s="1"/>
  <c r="CB866" i="1"/>
  <c r="CB566" i="1" s="1"/>
  <c r="CB864" i="1"/>
  <c r="CB533" i="1" s="1"/>
  <c r="CB863" i="1"/>
  <c r="CB54" i="1" s="1"/>
  <c r="CB862" i="1"/>
  <c r="CB505" i="1" s="1"/>
  <c r="T19" i="1" l="1"/>
  <c r="T208" i="1"/>
  <c r="U88" i="1"/>
  <c r="U85" i="1"/>
  <c r="W62" i="1"/>
  <c r="W85" i="1"/>
  <c r="W87" i="1"/>
  <c r="X888" i="1"/>
  <c r="X886" i="1" s="1"/>
  <c r="X616" i="1" s="1"/>
  <c r="X874" i="1"/>
  <c r="X872" i="1" s="1"/>
  <c r="X614" i="1" s="1"/>
  <c r="X883" i="1"/>
  <c r="X890" i="1"/>
  <c r="X876" i="1"/>
  <c r="X881" i="1"/>
  <c r="X879" i="1" s="1"/>
  <c r="X615" i="1" s="1"/>
  <c r="X897" i="1"/>
  <c r="X895" i="1"/>
  <c r="X893" i="1" s="1"/>
  <c r="X618" i="1" s="1"/>
  <c r="X76" i="1"/>
  <c r="X80" i="1"/>
  <c r="X75" i="1"/>
  <c r="X216" i="1"/>
  <c r="W238" i="1"/>
  <c r="W219" i="1"/>
  <c r="BM673" i="1"/>
  <c r="BL674" i="1"/>
  <c r="BL802" i="1" s="1"/>
  <c r="X215" i="1"/>
  <c r="X183" i="1"/>
  <c r="V64" i="1"/>
  <c r="V65" i="1"/>
  <c r="X119" i="1"/>
  <c r="X83" i="1"/>
  <c r="X58" i="1"/>
  <c r="Y78" i="1"/>
  <c r="Y59" i="1"/>
  <c r="Y56" i="1"/>
  <c r="Y79" i="1"/>
  <c r="Y60" i="1"/>
  <c r="Y57" i="1"/>
  <c r="Y3" i="11"/>
  <c r="V63" i="1"/>
  <c r="X61" i="1"/>
  <c r="AE673" i="1"/>
  <c r="AE674" i="1" s="1"/>
  <c r="AE802" i="1" s="1"/>
  <c r="AD674" i="1"/>
  <c r="AD802" i="1" s="1"/>
  <c r="Z1" i="9"/>
  <c r="Z900" i="1"/>
  <c r="Z870" i="1"/>
  <c r="AA4" i="1"/>
  <c r="Z3" i="1"/>
  <c r="Z4" i="11"/>
  <c r="U62" i="1"/>
  <c r="X201" i="1"/>
  <c r="X239" i="1" s="1"/>
  <c r="Y870" i="1"/>
  <c r="Z890" i="1" l="1"/>
  <c r="Z876" i="1"/>
  <c r="Z888" i="1"/>
  <c r="Z886" i="1" s="1"/>
  <c r="Z616" i="1" s="1"/>
  <c r="Z881" i="1"/>
  <c r="Z879" i="1" s="1"/>
  <c r="Z615" i="1" s="1"/>
  <c r="Z883" i="1"/>
  <c r="Z874" i="1"/>
  <c r="Z872" i="1" s="1"/>
  <c r="Z614" i="1" s="1"/>
  <c r="Y75" i="1"/>
  <c r="Y80" i="1"/>
  <c r="Y888" i="1"/>
  <c r="Y886" i="1" s="1"/>
  <c r="Y616" i="1" s="1"/>
  <c r="Y883" i="1"/>
  <c r="Y890" i="1"/>
  <c r="Y876" i="1"/>
  <c r="Y881" i="1"/>
  <c r="Y879" i="1" s="1"/>
  <c r="Y615" i="1" s="1"/>
  <c r="Y874" i="1"/>
  <c r="Y872" i="1" s="1"/>
  <c r="Y614" i="1" s="1"/>
  <c r="Y895" i="1"/>
  <c r="Y893" i="1" s="1"/>
  <c r="Y618" i="1" s="1"/>
  <c r="Y897" i="1"/>
  <c r="Z897" i="1"/>
  <c r="X62" i="1"/>
  <c r="BN673" i="1"/>
  <c r="BN674" i="1" s="1"/>
  <c r="BM674" i="1"/>
  <c r="BM802" i="1" s="1"/>
  <c r="W65" i="1"/>
  <c r="W64" i="1"/>
  <c r="Z895" i="1"/>
  <c r="Z893" i="1" s="1"/>
  <c r="Z618" i="1" s="1"/>
  <c r="W63" i="1"/>
  <c r="X85" i="1"/>
  <c r="X87" i="1"/>
  <c r="U111" i="1"/>
  <c r="U110" i="1"/>
  <c r="U65" i="1"/>
  <c r="U109" i="1"/>
  <c r="U64" i="1"/>
  <c r="Y84" i="1"/>
  <c r="Y88" i="1" s="1"/>
  <c r="U63" i="1"/>
  <c r="Y76" i="1"/>
  <c r="Z368" i="1"/>
  <c r="Z339" i="1"/>
  <c r="Z334" i="1"/>
  <c r="Z325" i="1"/>
  <c r="Z375" i="1"/>
  <c r="Z370" i="1"/>
  <c r="Z385" i="1"/>
  <c r="Z343" i="1"/>
  <c r="Z326" i="1"/>
  <c r="Z378" i="1"/>
  <c r="Z371" i="1"/>
  <c r="Z329" i="1"/>
  <c r="Z197" i="1"/>
  <c r="Z180" i="1"/>
  <c r="Z383" i="1"/>
  <c r="Z369" i="1"/>
  <c r="Z344" i="1"/>
  <c r="Z341" i="1"/>
  <c r="Z336" i="1"/>
  <c r="Z333" i="1"/>
  <c r="Z376" i="1"/>
  <c r="Z367" i="1"/>
  <c r="Z327" i="1"/>
  <c r="Z379" i="1"/>
  <c r="Z374" i="1"/>
  <c r="Z372" i="1"/>
  <c r="Z384" i="1"/>
  <c r="Z342" i="1"/>
  <c r="Z377" i="1"/>
  <c r="Z328" i="1"/>
  <c r="Z79" i="1"/>
  <c r="Z382" i="1"/>
  <c r="Z340" i="1"/>
  <c r="Z335" i="1"/>
  <c r="Z332" i="1"/>
  <c r="Z182" i="1"/>
  <c r="Z198" i="1"/>
  <c r="Z181" i="1"/>
  <c r="Z56" i="1"/>
  <c r="Z59" i="1"/>
  <c r="Z78" i="1"/>
  <c r="Z200" i="1"/>
  <c r="Y200" i="1" s="1"/>
  <c r="Y195" i="1" s="1"/>
  <c r="Z60" i="1"/>
  <c r="Z386" i="1"/>
  <c r="Z337" i="1"/>
  <c r="Z381" i="1"/>
  <c r="Z330" i="1"/>
  <c r="Z57" i="1"/>
  <c r="Y594" i="1"/>
  <c r="V594" i="1"/>
  <c r="W594" i="1"/>
  <c r="X594" i="1"/>
  <c r="Z3" i="11"/>
  <c r="Y83" i="1"/>
  <c r="Y58" i="1"/>
  <c r="Y119" i="1"/>
  <c r="X238" i="1"/>
  <c r="X219" i="1"/>
  <c r="AA1" i="9"/>
  <c r="AA900" i="1"/>
  <c r="AB4" i="1"/>
  <c r="AA3" i="1"/>
  <c r="AA4" i="11"/>
  <c r="Y61" i="1"/>
  <c r="Y182" i="1" l="1"/>
  <c r="Z218" i="1"/>
  <c r="Z201" i="1"/>
  <c r="BO673" i="1"/>
  <c r="BN802" i="1"/>
  <c r="AA197" i="1"/>
  <c r="AA201" i="1" s="1"/>
  <c r="AA239" i="1" s="1"/>
  <c r="AA180" i="1"/>
  <c r="AA200" i="1"/>
  <c r="AA181" i="1"/>
  <c r="AA198" i="1"/>
  <c r="AA59" i="1"/>
  <c r="AA61" i="1" s="1"/>
  <c r="AA78" i="1"/>
  <c r="AA199" i="1"/>
  <c r="AA217" i="1" s="1"/>
  <c r="AA182" i="1"/>
  <c r="AA218" i="1" s="1"/>
  <c r="AA79" i="1"/>
  <c r="AA76" i="1" s="1"/>
  <c r="AA56" i="1"/>
  <c r="AA57" i="1"/>
  <c r="AA60" i="1"/>
  <c r="AA3" i="11"/>
  <c r="AB897" i="1"/>
  <c r="AB1" i="9"/>
  <c r="AB895" i="1"/>
  <c r="AB893" i="1" s="1"/>
  <c r="AB618" i="1" s="1"/>
  <c r="AB900" i="1"/>
  <c r="AB870" i="1"/>
  <c r="AB3" i="1"/>
  <c r="AC4" i="1"/>
  <c r="AB4" i="11"/>
  <c r="Z80" i="1"/>
  <c r="Z75" i="1"/>
  <c r="Z84" i="1"/>
  <c r="Z88" i="1" s="1"/>
  <c r="Z61" i="1"/>
  <c r="X64" i="1"/>
  <c r="X65" i="1"/>
  <c r="AA870" i="1"/>
  <c r="Y63" i="1"/>
  <c r="Y62" i="1"/>
  <c r="Z119" i="1"/>
  <c r="Z58" i="1"/>
  <c r="Z83" i="1"/>
  <c r="Z76" i="1"/>
  <c r="X63" i="1"/>
  <c r="Y85" i="1"/>
  <c r="Y87" i="1"/>
  <c r="Y181" i="1"/>
  <c r="Z216" i="1"/>
  <c r="Z215" i="1"/>
  <c r="Z183" i="1"/>
  <c r="Y180" i="1"/>
  <c r="Z238" i="1" l="1"/>
  <c r="Z219" i="1"/>
  <c r="Z85" i="1"/>
  <c r="Z87" i="1"/>
  <c r="AA83" i="1"/>
  <c r="AA58" i="1"/>
  <c r="AA119" i="1"/>
  <c r="AA215" i="1"/>
  <c r="AA183" i="1"/>
  <c r="Y216" i="1"/>
  <c r="Y172" i="1"/>
  <c r="Y65" i="1"/>
  <c r="Y64" i="1"/>
  <c r="Z62" i="1"/>
  <c r="Z63" i="1"/>
  <c r="AA80" i="1"/>
  <c r="AA75" i="1"/>
  <c r="BP673" i="1"/>
  <c r="BO674" i="1"/>
  <c r="BO802" i="1" s="1"/>
  <c r="AC897" i="1"/>
  <c r="AC1" i="9"/>
  <c r="AC900" i="1"/>
  <c r="AC870" i="1"/>
  <c r="AC3" i="1"/>
  <c r="AD4" i="1"/>
  <c r="AC4" i="11"/>
  <c r="Z239" i="1"/>
  <c r="Y201" i="1"/>
  <c r="Y239" i="1" s="1"/>
  <c r="AA890" i="1"/>
  <c r="AA888" i="1"/>
  <c r="AA886" i="1" s="1"/>
  <c r="AA616" i="1" s="1"/>
  <c r="AA876" i="1"/>
  <c r="AA881" i="1"/>
  <c r="AA879" i="1" s="1"/>
  <c r="AA615" i="1" s="1"/>
  <c r="AA874" i="1"/>
  <c r="AA872" i="1" s="1"/>
  <c r="AA614" i="1" s="1"/>
  <c r="AA883" i="1"/>
  <c r="AA895" i="1"/>
  <c r="AA893" i="1" s="1"/>
  <c r="AA618" i="1" s="1"/>
  <c r="AA897" i="1"/>
  <c r="AB198" i="1"/>
  <c r="AB78" i="1"/>
  <c r="AB181" i="1"/>
  <c r="AB197" i="1"/>
  <c r="AB180" i="1"/>
  <c r="AB200" i="1"/>
  <c r="AB199" i="1"/>
  <c r="AB217" i="1" s="1"/>
  <c r="AB182" i="1"/>
  <c r="AB79" i="1"/>
  <c r="AB76" i="1" s="1"/>
  <c r="AB56" i="1"/>
  <c r="AB59" i="1"/>
  <c r="AB60" i="1"/>
  <c r="AB57" i="1"/>
  <c r="AB84" i="1" s="1"/>
  <c r="AB88" i="1" s="1"/>
  <c r="AB3" i="11"/>
  <c r="Y215" i="1"/>
  <c r="Y171" i="1"/>
  <c r="Y183" i="1"/>
  <c r="AB890" i="1"/>
  <c r="AB888" i="1"/>
  <c r="AB886" i="1" s="1"/>
  <c r="AB616" i="1" s="1"/>
  <c r="AB876" i="1"/>
  <c r="AB881" i="1"/>
  <c r="AB879" i="1" s="1"/>
  <c r="AB615" i="1" s="1"/>
  <c r="AB874" i="1"/>
  <c r="AB872" i="1" s="1"/>
  <c r="AB614" i="1" s="1"/>
  <c r="AB883" i="1"/>
  <c r="AA84" i="1"/>
  <c r="AA88" i="1" s="1"/>
  <c r="AA216" i="1"/>
  <c r="Y218" i="1"/>
  <c r="Y175" i="1"/>
  <c r="Y213" i="1" s="1"/>
  <c r="AB83" i="1" l="1"/>
  <c r="AB119" i="1"/>
  <c r="AB58" i="1"/>
  <c r="AB75" i="1"/>
  <c r="AB80" i="1"/>
  <c r="AC890" i="1"/>
  <c r="AC888" i="1"/>
  <c r="AC886" i="1" s="1"/>
  <c r="AC616" i="1" s="1"/>
  <c r="AC881" i="1"/>
  <c r="AC879" i="1" s="1"/>
  <c r="AC615" i="1" s="1"/>
  <c r="AC874" i="1"/>
  <c r="AC872" i="1" s="1"/>
  <c r="AC614" i="1" s="1"/>
  <c r="AC883" i="1"/>
  <c r="AC876" i="1"/>
  <c r="Y238" i="1"/>
  <c r="Y219" i="1"/>
  <c r="Y205" i="1"/>
  <c r="Y210" i="1" s="1"/>
  <c r="Y177" i="1"/>
  <c r="Y173" i="1"/>
  <c r="AB218" i="1"/>
  <c r="Z110" i="1"/>
  <c r="Z109" i="1"/>
  <c r="Z65" i="1"/>
  <c r="Z111" i="1"/>
  <c r="Z64" i="1"/>
  <c r="AA62" i="1"/>
  <c r="AA63" i="1" s="1"/>
  <c r="AA85" i="1"/>
  <c r="AA87" i="1"/>
  <c r="AB215" i="1"/>
  <c r="AB183" i="1"/>
  <c r="AD897" i="1"/>
  <c r="AD1" i="9"/>
  <c r="AD895" i="1"/>
  <c r="AD893" i="1" s="1"/>
  <c r="AD618" i="1" s="1"/>
  <c r="AD870" i="1"/>
  <c r="AD900" i="1"/>
  <c r="AD3" i="1"/>
  <c r="AE4" i="1"/>
  <c r="AD4" i="11"/>
  <c r="Y206" i="1"/>
  <c r="Y211" i="1" s="1"/>
  <c r="Y178" i="1"/>
  <c r="AB201" i="1"/>
  <c r="AB239" i="1" s="1"/>
  <c r="AC198" i="1"/>
  <c r="AC197" i="1"/>
  <c r="AC180" i="1"/>
  <c r="AC181" i="1"/>
  <c r="AC216" i="1" s="1"/>
  <c r="AC78" i="1"/>
  <c r="AC200" i="1"/>
  <c r="AC199" i="1"/>
  <c r="AC217" i="1" s="1"/>
  <c r="AC182" i="1"/>
  <c r="AC218" i="1" s="1"/>
  <c r="AC79" i="1"/>
  <c r="AC76" i="1" s="1"/>
  <c r="AC56" i="1"/>
  <c r="AC60" i="1"/>
  <c r="AC59" i="1"/>
  <c r="AC61" i="1" s="1"/>
  <c r="AC57" i="1"/>
  <c r="AC84" i="1" s="1"/>
  <c r="AC88" i="1" s="1"/>
  <c r="AC3" i="11"/>
  <c r="BQ673" i="1"/>
  <c r="BP674" i="1"/>
  <c r="BP802" i="1" s="1"/>
  <c r="AB61" i="1"/>
  <c r="AB216" i="1"/>
  <c r="AC895" i="1"/>
  <c r="AC893" i="1" s="1"/>
  <c r="AC618" i="1" s="1"/>
  <c r="AA238" i="1"/>
  <c r="AA219" i="1"/>
  <c r="Y208" i="1" l="1"/>
  <c r="Y19" i="1"/>
  <c r="AA65" i="1"/>
  <c r="AA64" i="1"/>
  <c r="AC215" i="1"/>
  <c r="AC183" i="1"/>
  <c r="AD78" i="1"/>
  <c r="AD79" i="1"/>
  <c r="AD76" i="1" s="1"/>
  <c r="AD56" i="1"/>
  <c r="AD60" i="1"/>
  <c r="AD59" i="1"/>
  <c r="AD61" i="1" s="1"/>
  <c r="AD57" i="1"/>
  <c r="AD3" i="11"/>
  <c r="AB62" i="1"/>
  <c r="BR673" i="1"/>
  <c r="BQ674" i="1"/>
  <c r="BQ802" i="1" s="1"/>
  <c r="AC80" i="1"/>
  <c r="AC75" i="1"/>
  <c r="AE1" i="9"/>
  <c r="AE900" i="1"/>
  <c r="AE3" i="1"/>
  <c r="AF4" i="1"/>
  <c r="AE4" i="11"/>
  <c r="AB219" i="1"/>
  <c r="AB238" i="1"/>
  <c r="AC119" i="1"/>
  <c r="AC58" i="1"/>
  <c r="AC83" i="1"/>
  <c r="AC201" i="1"/>
  <c r="AC239" i="1" s="1"/>
  <c r="AD890" i="1"/>
  <c r="AD888" i="1"/>
  <c r="AD886" i="1" s="1"/>
  <c r="AD616" i="1" s="1"/>
  <c r="AD874" i="1"/>
  <c r="AD872" i="1" s="1"/>
  <c r="AD614" i="1" s="1"/>
  <c r="AD883" i="1"/>
  <c r="AD881" i="1"/>
  <c r="AD879" i="1" s="1"/>
  <c r="AD615" i="1" s="1"/>
  <c r="AD876" i="1"/>
  <c r="AB85" i="1"/>
  <c r="AB87" i="1"/>
  <c r="AC62" i="1" l="1"/>
  <c r="AC63" i="1"/>
  <c r="BS673" i="1"/>
  <c r="BS674" i="1" s="1"/>
  <c r="BR674" i="1"/>
  <c r="BR802" i="1" s="1"/>
  <c r="AB64" i="1"/>
  <c r="AB65" i="1"/>
  <c r="AD80" i="1"/>
  <c r="AD75" i="1"/>
  <c r="AB63" i="1"/>
  <c r="AC219" i="1"/>
  <c r="AC238" i="1"/>
  <c r="AF1" i="9"/>
  <c r="AF900" i="1"/>
  <c r="AG4" i="1"/>
  <c r="AF3" i="1"/>
  <c r="AF4" i="11"/>
  <c r="AE367" i="1"/>
  <c r="AE340" i="1"/>
  <c r="AE335" i="1"/>
  <c r="AE326" i="1"/>
  <c r="AE374" i="1"/>
  <c r="AE369" i="1"/>
  <c r="AE378" i="1"/>
  <c r="AE371" i="1"/>
  <c r="AE329" i="1"/>
  <c r="AE182" i="1"/>
  <c r="AE383" i="1"/>
  <c r="AE341" i="1"/>
  <c r="AE336" i="1"/>
  <c r="AE333" i="1"/>
  <c r="AE79" i="1"/>
  <c r="AE76" i="1" s="1"/>
  <c r="AE56" i="1"/>
  <c r="AE376" i="1"/>
  <c r="AE327" i="1"/>
  <c r="AE381" i="1"/>
  <c r="AE330" i="1"/>
  <c r="AE384" i="1"/>
  <c r="AE342" i="1"/>
  <c r="AE339" i="1"/>
  <c r="AE334" i="1"/>
  <c r="AE377" i="1"/>
  <c r="AE370" i="1"/>
  <c r="AE328" i="1"/>
  <c r="AE325" i="1"/>
  <c r="AE368" i="1"/>
  <c r="AE332" i="1"/>
  <c r="AE198" i="1"/>
  <c r="AD198" i="1" s="1"/>
  <c r="AD188" i="1" s="1"/>
  <c r="AD193" i="1" s="1"/>
  <c r="AE379" i="1"/>
  <c r="AE375" i="1"/>
  <c r="AE372" i="1"/>
  <c r="AE343" i="1"/>
  <c r="AE197" i="1"/>
  <c r="AE200" i="1"/>
  <c r="AD200" i="1" s="1"/>
  <c r="AD195" i="1" s="1"/>
  <c r="AE180" i="1"/>
  <c r="AE181" i="1"/>
  <c r="AE59" i="1"/>
  <c r="AE61" i="1" s="1"/>
  <c r="AE78" i="1"/>
  <c r="AE57" i="1"/>
  <c r="AE84" i="1" s="1"/>
  <c r="AE88" i="1" s="1"/>
  <c r="AE385" i="1"/>
  <c r="AE386" i="1"/>
  <c r="AE382" i="1"/>
  <c r="AE60" i="1"/>
  <c r="AE337" i="1"/>
  <c r="AE344" i="1"/>
  <c r="AC594" i="1"/>
  <c r="AB594" i="1"/>
  <c r="AA594" i="1"/>
  <c r="AD594" i="1"/>
  <c r="AE3" i="11"/>
  <c r="AD84" i="1"/>
  <c r="AD88" i="1" s="1"/>
  <c r="AC87" i="1"/>
  <c r="AC85" i="1"/>
  <c r="AE870" i="1"/>
  <c r="AD83" i="1"/>
  <c r="AD119" i="1"/>
  <c r="AD58" i="1"/>
  <c r="AD62" i="1" l="1"/>
  <c r="AD63" i="1" s="1"/>
  <c r="AD85" i="1"/>
  <c r="AD87" i="1"/>
  <c r="AE201" i="1"/>
  <c r="AE239" i="1" s="1"/>
  <c r="AD197" i="1"/>
  <c r="AE216" i="1"/>
  <c r="AD181" i="1"/>
  <c r="AF200" i="1"/>
  <c r="AF199" i="1"/>
  <c r="AF217" i="1" s="1"/>
  <c r="AF181" i="1"/>
  <c r="AF216" i="1" s="1"/>
  <c r="AF198" i="1"/>
  <c r="AF197" i="1"/>
  <c r="AF201" i="1" s="1"/>
  <c r="AF239" i="1" s="1"/>
  <c r="AF180" i="1"/>
  <c r="AF182" i="1"/>
  <c r="AF218" i="1" s="1"/>
  <c r="AF79" i="1"/>
  <c r="AF76" i="1" s="1"/>
  <c r="AF59" i="1"/>
  <c r="AF61" i="1" s="1"/>
  <c r="AF56" i="1"/>
  <c r="AF78" i="1"/>
  <c r="AF60" i="1"/>
  <c r="AF57" i="1"/>
  <c r="AF84" i="1" s="1"/>
  <c r="AF88" i="1" s="1"/>
  <c r="AF3" i="11"/>
  <c r="BT673" i="1"/>
  <c r="BT674" i="1" s="1"/>
  <c r="BT802" i="1" s="1"/>
  <c r="BS802" i="1"/>
  <c r="AE215" i="1"/>
  <c r="AE183" i="1"/>
  <c r="AD180" i="1"/>
  <c r="AG1" i="9"/>
  <c r="AG900" i="1"/>
  <c r="AG895" i="1"/>
  <c r="AG893" i="1" s="1"/>
  <c r="AG618" i="1" s="1"/>
  <c r="AG897" i="1"/>
  <c r="AG870" i="1"/>
  <c r="AH4" i="1"/>
  <c r="AG3" i="1"/>
  <c r="AG4" i="11"/>
  <c r="AE218" i="1"/>
  <c r="AD182" i="1"/>
  <c r="AE888" i="1"/>
  <c r="AE886" i="1" s="1"/>
  <c r="AE616" i="1" s="1"/>
  <c r="AE890" i="1"/>
  <c r="AE874" i="1"/>
  <c r="AE872" i="1" s="1"/>
  <c r="AE614" i="1" s="1"/>
  <c r="AE883" i="1"/>
  <c r="AE876" i="1"/>
  <c r="AE881" i="1"/>
  <c r="AE879" i="1" s="1"/>
  <c r="AE615" i="1" s="1"/>
  <c r="AE895" i="1"/>
  <c r="AE893" i="1" s="1"/>
  <c r="AE618" i="1" s="1"/>
  <c r="AE897" i="1"/>
  <c r="AE75" i="1"/>
  <c r="AE80" i="1"/>
  <c r="AE119" i="1"/>
  <c r="AE58" i="1"/>
  <c r="AE83" i="1"/>
  <c r="AF870" i="1"/>
  <c r="AC65" i="1"/>
  <c r="AC64" i="1"/>
  <c r="AD218" i="1" l="1"/>
  <c r="AD175" i="1"/>
  <c r="AD213" i="1" s="1"/>
  <c r="AF215" i="1"/>
  <c r="AF183" i="1"/>
  <c r="AD201" i="1"/>
  <c r="AD239" i="1" s="1"/>
  <c r="AD187" i="1"/>
  <c r="AF888" i="1"/>
  <c r="AF886" i="1" s="1"/>
  <c r="AF616" i="1" s="1"/>
  <c r="AF890" i="1"/>
  <c r="AF874" i="1"/>
  <c r="AF872" i="1" s="1"/>
  <c r="AF614" i="1" s="1"/>
  <c r="AF883" i="1"/>
  <c r="AF876" i="1"/>
  <c r="AF881" i="1"/>
  <c r="AF879" i="1" s="1"/>
  <c r="AF615" i="1" s="1"/>
  <c r="AF895" i="1"/>
  <c r="AF893" i="1" s="1"/>
  <c r="AF618" i="1" s="1"/>
  <c r="AF897" i="1"/>
  <c r="AE85" i="1"/>
  <c r="AE87" i="1"/>
  <c r="AG200" i="1"/>
  <c r="AG199" i="1"/>
  <c r="AG217" i="1" s="1"/>
  <c r="AG181" i="1"/>
  <c r="AG78" i="1"/>
  <c r="AG59" i="1"/>
  <c r="AG182" i="1"/>
  <c r="AG180" i="1"/>
  <c r="AG79" i="1"/>
  <c r="AG56" i="1"/>
  <c r="AG198" i="1"/>
  <c r="AG197" i="1"/>
  <c r="AG57" i="1"/>
  <c r="AG84" i="1" s="1"/>
  <c r="AG88" i="1" s="1"/>
  <c r="AG60" i="1"/>
  <c r="AG3" i="11"/>
  <c r="AD215" i="1"/>
  <c r="AD183" i="1"/>
  <c r="AD171" i="1"/>
  <c r="AF80" i="1"/>
  <c r="AF75" i="1"/>
  <c r="AD216" i="1"/>
  <c r="AD172" i="1"/>
  <c r="AE62" i="1"/>
  <c r="AE63" i="1"/>
  <c r="AH1" i="9"/>
  <c r="AH900" i="1"/>
  <c r="AI4" i="1"/>
  <c r="AH3" i="1"/>
  <c r="AH4" i="11"/>
  <c r="AE238" i="1"/>
  <c r="AE219" i="1"/>
  <c r="AF119" i="1"/>
  <c r="AF58" i="1"/>
  <c r="AF83" i="1"/>
  <c r="AG888" i="1"/>
  <c r="AG886" i="1" s="1"/>
  <c r="AG616" i="1" s="1"/>
  <c r="AG883" i="1"/>
  <c r="AG890" i="1"/>
  <c r="AG876" i="1"/>
  <c r="AG881" i="1"/>
  <c r="AG879" i="1" s="1"/>
  <c r="AG615" i="1" s="1"/>
  <c r="AG874" i="1"/>
  <c r="AG872" i="1" s="1"/>
  <c r="AG614" i="1" s="1"/>
  <c r="AD65" i="1"/>
  <c r="AD64" i="1"/>
  <c r="AD205" i="1" l="1"/>
  <c r="AD210" i="1" s="1"/>
  <c r="AD177" i="1"/>
  <c r="AD173" i="1"/>
  <c r="AG58" i="1"/>
  <c r="AG83" i="1"/>
  <c r="AG119" i="1"/>
  <c r="AD219" i="1"/>
  <c r="AD238" i="1"/>
  <c r="AG76" i="1"/>
  <c r="AH197" i="1"/>
  <c r="AH180" i="1"/>
  <c r="AH79" i="1"/>
  <c r="AH200" i="1"/>
  <c r="AH182" i="1"/>
  <c r="AH218" i="1" s="1"/>
  <c r="AH199" i="1"/>
  <c r="AH217" i="1" s="1"/>
  <c r="AH56" i="1"/>
  <c r="AH59" i="1"/>
  <c r="AH198" i="1"/>
  <c r="AH181" i="1"/>
  <c r="AH78" i="1"/>
  <c r="AH57" i="1"/>
  <c r="AH60" i="1"/>
  <c r="AH3" i="11"/>
  <c r="AG215" i="1"/>
  <c r="AG183" i="1"/>
  <c r="AI1" i="9"/>
  <c r="AI900" i="1"/>
  <c r="AI870" i="1"/>
  <c r="AJ4" i="1"/>
  <c r="AI3" i="1"/>
  <c r="AI4" i="11"/>
  <c r="AE109" i="1"/>
  <c r="AE65" i="1"/>
  <c r="AE111" i="1"/>
  <c r="AE64" i="1"/>
  <c r="AE110" i="1"/>
  <c r="AG218" i="1"/>
  <c r="AD192" i="1"/>
  <c r="AD190" i="1"/>
  <c r="AF85" i="1"/>
  <c r="AF87" i="1"/>
  <c r="AF238" i="1"/>
  <c r="AF219" i="1"/>
  <c r="AD178" i="1"/>
  <c r="AD206" i="1"/>
  <c r="AD211" i="1" s="1"/>
  <c r="AG61" i="1"/>
  <c r="AF62" i="1"/>
  <c r="AH870" i="1"/>
  <c r="AG75" i="1"/>
  <c r="AG80" i="1"/>
  <c r="AG201" i="1"/>
  <c r="AG239" i="1" s="1"/>
  <c r="AG216" i="1"/>
  <c r="AI890" i="1" l="1"/>
  <c r="AI888" i="1"/>
  <c r="AI886" i="1" s="1"/>
  <c r="AI616" i="1" s="1"/>
  <c r="AI876" i="1"/>
  <c r="AI881" i="1"/>
  <c r="AI879" i="1" s="1"/>
  <c r="AI615" i="1" s="1"/>
  <c r="AI874" i="1"/>
  <c r="AI872" i="1" s="1"/>
  <c r="AI614" i="1" s="1"/>
  <c r="AI883" i="1"/>
  <c r="AF65" i="1"/>
  <c r="AF64" i="1"/>
  <c r="AD208" i="1"/>
  <c r="AD19" i="1"/>
  <c r="AJ1" i="9"/>
  <c r="AJ897" i="1"/>
  <c r="AJ900" i="1"/>
  <c r="AJ895" i="1"/>
  <c r="AJ893" i="1" s="1"/>
  <c r="AJ618" i="1" s="1"/>
  <c r="AJ870" i="1"/>
  <c r="AJ3" i="1"/>
  <c r="AK4" i="1"/>
  <c r="AJ4" i="11"/>
  <c r="AH119" i="1"/>
  <c r="AH58" i="1"/>
  <c r="AH83" i="1"/>
  <c r="AH84" i="1"/>
  <c r="AH88" i="1" s="1"/>
  <c r="AG87" i="1"/>
  <c r="AG85" i="1"/>
  <c r="AH75" i="1"/>
  <c r="AH80" i="1"/>
  <c r="AH76" i="1"/>
  <c r="AG62" i="1"/>
  <c r="AH890" i="1"/>
  <c r="AH888" i="1"/>
  <c r="AH886" i="1" s="1"/>
  <c r="AH616" i="1" s="1"/>
  <c r="AH876" i="1"/>
  <c r="AH881" i="1"/>
  <c r="AH879" i="1" s="1"/>
  <c r="AH615" i="1" s="1"/>
  <c r="AH883" i="1"/>
  <c r="AH874" i="1"/>
  <c r="AH872" i="1" s="1"/>
  <c r="AH614" i="1" s="1"/>
  <c r="AH897" i="1"/>
  <c r="AH895" i="1"/>
  <c r="AH893" i="1" s="1"/>
  <c r="AH618" i="1" s="1"/>
  <c r="AI895" i="1"/>
  <c r="AI893" i="1" s="1"/>
  <c r="AI618" i="1" s="1"/>
  <c r="AF63" i="1"/>
  <c r="AI897" i="1"/>
  <c r="AH216" i="1"/>
  <c r="AH215" i="1"/>
  <c r="AH183" i="1"/>
  <c r="AH201" i="1"/>
  <c r="AH239" i="1" s="1"/>
  <c r="AI56" i="1"/>
  <c r="AI59" i="1"/>
  <c r="AI61" i="1" s="1"/>
  <c r="AI78" i="1"/>
  <c r="AI79" i="1"/>
  <c r="AI57" i="1"/>
  <c r="AI60" i="1"/>
  <c r="AI3" i="11"/>
  <c r="AG238" i="1"/>
  <c r="AG219" i="1"/>
  <c r="AH61" i="1"/>
  <c r="AI75" i="1" l="1"/>
  <c r="AI80" i="1"/>
  <c r="AJ890" i="1"/>
  <c r="AJ876" i="1"/>
  <c r="AJ881" i="1"/>
  <c r="AJ879" i="1" s="1"/>
  <c r="AJ615" i="1" s="1"/>
  <c r="AJ874" i="1"/>
  <c r="AJ872" i="1" s="1"/>
  <c r="AJ614" i="1" s="1"/>
  <c r="AJ883" i="1"/>
  <c r="AJ888" i="1"/>
  <c r="AJ886" i="1" s="1"/>
  <c r="AJ616" i="1" s="1"/>
  <c r="AG64" i="1"/>
  <c r="AG65" i="1"/>
  <c r="AH85" i="1"/>
  <c r="AH87" i="1"/>
  <c r="AH238" i="1"/>
  <c r="AH219" i="1"/>
  <c r="AG63" i="1"/>
  <c r="AH62" i="1"/>
  <c r="AI84" i="1"/>
  <c r="AI88" i="1" s="1"/>
  <c r="AI83" i="1"/>
  <c r="AI58" i="1"/>
  <c r="AI119" i="1"/>
  <c r="AK1" i="9"/>
  <c r="AK900" i="1"/>
  <c r="AK3" i="1"/>
  <c r="AL4" i="1"/>
  <c r="AK4" i="11"/>
  <c r="AI76" i="1"/>
  <c r="AJ341" i="1"/>
  <c r="AJ336" i="1"/>
  <c r="AJ327" i="1"/>
  <c r="AJ368" i="1"/>
  <c r="AJ383" i="1"/>
  <c r="AJ333" i="1"/>
  <c r="AJ376" i="1"/>
  <c r="AJ369" i="1"/>
  <c r="AJ344" i="1"/>
  <c r="AJ198" i="1"/>
  <c r="AI198" i="1" s="1"/>
  <c r="AI188" i="1" s="1"/>
  <c r="AJ381" i="1"/>
  <c r="AJ372" i="1"/>
  <c r="AJ367" i="1"/>
  <c r="AJ374" i="1"/>
  <c r="AJ342" i="1"/>
  <c r="AJ339" i="1"/>
  <c r="AJ334" i="1"/>
  <c r="AJ377" i="1"/>
  <c r="AJ370" i="1"/>
  <c r="AJ328" i="1"/>
  <c r="AJ325" i="1"/>
  <c r="AJ382" i="1"/>
  <c r="AJ332" i="1"/>
  <c r="AJ375" i="1"/>
  <c r="AJ343" i="1"/>
  <c r="AJ340" i="1"/>
  <c r="AJ335" i="1"/>
  <c r="AJ78" i="1"/>
  <c r="AJ385" i="1"/>
  <c r="AJ378" i="1"/>
  <c r="AJ371" i="1"/>
  <c r="AJ329" i="1"/>
  <c r="AJ326" i="1"/>
  <c r="AJ200" i="1"/>
  <c r="AI200" i="1" s="1"/>
  <c r="AI195" i="1" s="1"/>
  <c r="AJ182" i="1"/>
  <c r="AJ59" i="1"/>
  <c r="AJ181" i="1"/>
  <c r="AJ197" i="1"/>
  <c r="AJ180" i="1"/>
  <c r="AJ79" i="1"/>
  <c r="AJ76" i="1" s="1"/>
  <c r="AJ56" i="1"/>
  <c r="AJ384" i="1"/>
  <c r="AJ60" i="1"/>
  <c r="AJ379" i="1"/>
  <c r="AJ330" i="1"/>
  <c r="AJ57" i="1"/>
  <c r="AJ84" i="1" s="1"/>
  <c r="AJ88" i="1" s="1"/>
  <c r="AJ337" i="1"/>
  <c r="AJ386" i="1"/>
  <c r="AF594" i="1"/>
  <c r="AI594" i="1"/>
  <c r="AG594" i="1"/>
  <c r="AH594" i="1"/>
  <c r="AJ3" i="11"/>
  <c r="AI180" i="1" l="1"/>
  <c r="AJ215" i="1"/>
  <c r="AJ183" i="1"/>
  <c r="AJ83" i="1"/>
  <c r="AJ58" i="1"/>
  <c r="AJ119" i="1"/>
  <c r="AH65" i="1"/>
  <c r="AH64" i="1"/>
  <c r="AK199" i="1"/>
  <c r="AK217" i="1" s="1"/>
  <c r="AK197" i="1"/>
  <c r="AK180" i="1"/>
  <c r="AK200" i="1"/>
  <c r="AK182" i="1"/>
  <c r="AK78" i="1"/>
  <c r="AK59" i="1"/>
  <c r="AK61" i="1" s="1"/>
  <c r="AK79" i="1"/>
  <c r="AK76" i="1" s="1"/>
  <c r="AK56" i="1"/>
  <c r="AK60" i="1"/>
  <c r="AK57" i="1"/>
  <c r="AK181" i="1"/>
  <c r="AK216" i="1" s="1"/>
  <c r="AK198" i="1"/>
  <c r="AK3" i="11"/>
  <c r="AI62" i="1"/>
  <c r="AI63" i="1" s="1"/>
  <c r="AJ61" i="1"/>
  <c r="AJ75" i="1"/>
  <c r="AJ80" i="1"/>
  <c r="AK870" i="1"/>
  <c r="AI87" i="1"/>
  <c r="AI85" i="1"/>
  <c r="AL897" i="1"/>
  <c r="AL1" i="9"/>
  <c r="AL900" i="1"/>
  <c r="AL870" i="1"/>
  <c r="AL3" i="1"/>
  <c r="AM4" i="1"/>
  <c r="AL4" i="11"/>
  <c r="AJ218" i="1"/>
  <c r="AI182" i="1"/>
  <c r="AI197" i="1"/>
  <c r="AI201" i="1" s="1"/>
  <c r="AI239" i="1" s="1"/>
  <c r="AJ201" i="1"/>
  <c r="AJ239" i="1" s="1"/>
  <c r="AI181" i="1"/>
  <c r="AI216" i="1" s="1"/>
  <c r="AJ216" i="1"/>
  <c r="AI193" i="1"/>
  <c r="AI190" i="1"/>
  <c r="AI206" i="1"/>
  <c r="AI211" i="1" s="1"/>
  <c r="AH63" i="1"/>
  <c r="AI65" i="1" l="1"/>
  <c r="AI64" i="1"/>
  <c r="AK80" i="1"/>
  <c r="AK75" i="1"/>
  <c r="AL182" i="1"/>
  <c r="AL218" i="1" s="1"/>
  <c r="AL199" i="1"/>
  <c r="AL217" i="1" s="1"/>
  <c r="AL181" i="1"/>
  <c r="AL216" i="1" s="1"/>
  <c r="AL198" i="1"/>
  <c r="AL197" i="1"/>
  <c r="AL78" i="1"/>
  <c r="AL200" i="1"/>
  <c r="AL180" i="1"/>
  <c r="AL59" i="1"/>
  <c r="AL61" i="1" s="1"/>
  <c r="AL57" i="1"/>
  <c r="AL84" i="1" s="1"/>
  <c r="AL88" i="1" s="1"/>
  <c r="AL79" i="1"/>
  <c r="AL76" i="1" s="1"/>
  <c r="AL56" i="1"/>
  <c r="AL60" i="1"/>
  <c r="AL3" i="11"/>
  <c r="AK218" i="1"/>
  <c r="AJ62" i="1"/>
  <c r="AJ85" i="1"/>
  <c r="AJ87" i="1"/>
  <c r="AI208" i="1"/>
  <c r="AI19" i="1"/>
  <c r="AL888" i="1"/>
  <c r="AL886" i="1" s="1"/>
  <c r="AL616" i="1" s="1"/>
  <c r="AL874" i="1"/>
  <c r="AL872" i="1" s="1"/>
  <c r="AL614" i="1" s="1"/>
  <c r="AL883" i="1"/>
  <c r="AL890" i="1"/>
  <c r="AL881" i="1"/>
  <c r="AL879" i="1" s="1"/>
  <c r="AL615" i="1" s="1"/>
  <c r="AL876" i="1"/>
  <c r="AK215" i="1"/>
  <c r="AK183" i="1"/>
  <c r="AM1" i="9"/>
  <c r="AM900" i="1"/>
  <c r="AM895" i="1"/>
  <c r="AM893" i="1" s="1"/>
  <c r="AM618" i="1" s="1"/>
  <c r="AM870" i="1"/>
  <c r="AM3" i="1"/>
  <c r="AN4" i="1"/>
  <c r="AM4" i="11"/>
  <c r="AK890" i="1"/>
  <c r="AK881" i="1"/>
  <c r="AK879" i="1" s="1"/>
  <c r="AK615" i="1" s="1"/>
  <c r="AK874" i="1"/>
  <c r="AK872" i="1" s="1"/>
  <c r="AK614" i="1" s="1"/>
  <c r="AK883" i="1"/>
  <c r="AK888" i="1"/>
  <c r="AK886" i="1" s="1"/>
  <c r="AK616" i="1" s="1"/>
  <c r="AK876" i="1"/>
  <c r="AK895" i="1"/>
  <c r="AK893" i="1" s="1"/>
  <c r="AK618" i="1" s="1"/>
  <c r="AK897" i="1"/>
  <c r="AK84" i="1"/>
  <c r="AK88" i="1" s="1"/>
  <c r="AJ219" i="1"/>
  <c r="AJ238" i="1"/>
  <c r="AK201" i="1"/>
  <c r="AK239" i="1" s="1"/>
  <c r="AL895" i="1"/>
  <c r="AL893" i="1" s="1"/>
  <c r="AL618" i="1" s="1"/>
  <c r="AI175" i="1"/>
  <c r="AI213" i="1" s="1"/>
  <c r="AI218" i="1"/>
  <c r="AK83" i="1"/>
  <c r="AK119" i="1"/>
  <c r="AK58" i="1"/>
  <c r="AI215" i="1"/>
  <c r="AI183" i="1"/>
  <c r="AK62" i="1" l="1"/>
  <c r="AK87" i="1"/>
  <c r="AK85" i="1"/>
  <c r="AM182" i="1"/>
  <c r="AM79" i="1"/>
  <c r="AM76" i="1" s="1"/>
  <c r="AM56" i="1"/>
  <c r="AM198" i="1"/>
  <c r="AM199" i="1"/>
  <c r="AM217" i="1" s="1"/>
  <c r="AM181" i="1"/>
  <c r="AM197" i="1"/>
  <c r="AM78" i="1"/>
  <c r="AM200" i="1"/>
  <c r="AM180" i="1"/>
  <c r="AM59" i="1"/>
  <c r="AM61" i="1" s="1"/>
  <c r="AM57" i="1"/>
  <c r="AM60" i="1"/>
  <c r="AM3" i="11"/>
  <c r="AL83" i="1"/>
  <c r="AL119" i="1"/>
  <c r="AL58" i="1"/>
  <c r="AM888" i="1"/>
  <c r="AM886" i="1" s="1"/>
  <c r="AM616" i="1" s="1"/>
  <c r="AM874" i="1"/>
  <c r="AM872" i="1" s="1"/>
  <c r="AM614" i="1" s="1"/>
  <c r="AM883" i="1"/>
  <c r="AM876" i="1"/>
  <c r="AM890" i="1"/>
  <c r="AM881" i="1"/>
  <c r="AM879" i="1" s="1"/>
  <c r="AM615" i="1" s="1"/>
  <c r="AM897" i="1"/>
  <c r="AJ64" i="1"/>
  <c r="AJ110" i="1"/>
  <c r="AJ109" i="1"/>
  <c r="AJ111" i="1"/>
  <c r="AJ65" i="1"/>
  <c r="AJ63" i="1"/>
  <c r="AL183" i="1"/>
  <c r="AL215" i="1"/>
  <c r="AI219" i="1"/>
  <c r="AI238" i="1"/>
  <c r="AL75" i="1"/>
  <c r="AL80" i="1"/>
  <c r="AN1" i="9"/>
  <c r="AN900" i="1"/>
  <c r="AN897" i="1"/>
  <c r="AN870" i="1"/>
  <c r="AO4" i="1"/>
  <c r="AN3" i="1"/>
  <c r="AN4" i="11"/>
  <c r="AK219" i="1"/>
  <c r="AK238" i="1"/>
  <c r="AL201" i="1"/>
  <c r="AL239" i="1" s="1"/>
  <c r="AO900" i="1" l="1"/>
  <c r="AO1" i="9"/>
  <c r="AO870" i="1"/>
  <c r="AO897" i="1" s="1"/>
  <c r="AP4" i="1"/>
  <c r="AO3" i="1"/>
  <c r="AO4" i="11"/>
  <c r="AN199" i="1"/>
  <c r="AN217" i="1" s="1"/>
  <c r="AN78" i="1"/>
  <c r="AN79" i="1"/>
  <c r="AN59" i="1"/>
  <c r="AN61" i="1" s="1"/>
  <c r="AN57" i="1"/>
  <c r="AN84" i="1" s="1"/>
  <c r="AN88" i="1" s="1"/>
  <c r="AN56" i="1"/>
  <c r="AN60" i="1"/>
  <c r="AN3" i="11"/>
  <c r="AM84" i="1"/>
  <c r="AM88" i="1" s="1"/>
  <c r="AM119" i="1"/>
  <c r="AM83" i="1"/>
  <c r="AM58" i="1"/>
  <c r="AM215" i="1"/>
  <c r="AM183" i="1"/>
  <c r="AL63" i="1"/>
  <c r="AL62" i="1"/>
  <c r="AM218" i="1"/>
  <c r="AM75" i="1"/>
  <c r="AM80" i="1"/>
  <c r="AL87" i="1"/>
  <c r="AL85" i="1"/>
  <c r="AM201" i="1"/>
  <c r="AM239" i="1" s="1"/>
  <c r="AN888" i="1"/>
  <c r="AN886" i="1" s="1"/>
  <c r="AN616" i="1" s="1"/>
  <c r="AN874" i="1"/>
  <c r="AN872" i="1" s="1"/>
  <c r="AN614" i="1" s="1"/>
  <c r="AN883" i="1"/>
  <c r="AN876" i="1"/>
  <c r="AN890" i="1"/>
  <c r="AN881" i="1"/>
  <c r="AN879" i="1" s="1"/>
  <c r="AN615" i="1" s="1"/>
  <c r="AM216" i="1"/>
  <c r="AK65" i="1"/>
  <c r="AK64" i="1"/>
  <c r="AN895" i="1"/>
  <c r="AN893" i="1" s="1"/>
  <c r="AN618" i="1" s="1"/>
  <c r="AL238" i="1"/>
  <c r="AL219" i="1"/>
  <c r="AK63" i="1"/>
  <c r="AO378" i="1" l="1"/>
  <c r="AO328" i="1"/>
  <c r="AO367" i="1"/>
  <c r="AO376" i="1"/>
  <c r="AO369" i="1"/>
  <c r="AO336" i="1"/>
  <c r="AO200" i="1"/>
  <c r="AN200" i="1" s="1"/>
  <c r="AO181" i="1"/>
  <c r="AN175" i="1"/>
  <c r="AO381" i="1"/>
  <c r="AO330" i="1"/>
  <c r="AO327" i="1"/>
  <c r="AO78" i="1"/>
  <c r="AO59" i="1"/>
  <c r="AO61" i="1" s="1"/>
  <c r="AO374" i="1"/>
  <c r="AO339" i="1"/>
  <c r="AO334" i="1"/>
  <c r="AO384" i="1"/>
  <c r="AO377" i="1"/>
  <c r="AO370" i="1"/>
  <c r="AO325" i="1"/>
  <c r="AO382" i="1"/>
  <c r="AO332" i="1"/>
  <c r="AO375" i="1"/>
  <c r="AO372" i="1"/>
  <c r="AO368" i="1"/>
  <c r="AO343" i="1"/>
  <c r="AO335" i="1"/>
  <c r="AO371" i="1"/>
  <c r="AO329" i="1"/>
  <c r="AO326" i="1"/>
  <c r="AO182" i="1"/>
  <c r="AN172" i="1"/>
  <c r="AO337" i="1"/>
  <c r="AO333" i="1"/>
  <c r="AO199" i="1"/>
  <c r="AO217" i="1" s="1"/>
  <c r="AO198" i="1"/>
  <c r="AN198" i="1" s="1"/>
  <c r="AO197" i="1"/>
  <c r="AN195" i="1"/>
  <c r="AO180" i="1"/>
  <c r="AO79" i="1"/>
  <c r="AO76" i="1" s="1"/>
  <c r="AO56" i="1"/>
  <c r="AO60" i="1"/>
  <c r="AO385" i="1"/>
  <c r="AO57" i="1"/>
  <c r="AO84" i="1" s="1"/>
  <c r="AO88" i="1" s="1"/>
  <c r="AO340" i="1"/>
  <c r="AO379" i="1"/>
  <c r="AO344" i="1"/>
  <c r="AO383" i="1"/>
  <c r="AO341" i="1"/>
  <c r="AO342" i="1"/>
  <c r="AM594" i="1"/>
  <c r="AL594" i="1"/>
  <c r="AO386" i="1"/>
  <c r="AK594" i="1"/>
  <c r="AN594" i="1"/>
  <c r="AO3" i="11"/>
  <c r="AP1" i="9"/>
  <c r="AP900" i="1"/>
  <c r="AP870" i="1"/>
  <c r="AP895" i="1" s="1"/>
  <c r="AP893" i="1" s="1"/>
  <c r="AP618" i="1" s="1"/>
  <c r="AQ4" i="1"/>
  <c r="AP3" i="1"/>
  <c r="AP4" i="11"/>
  <c r="AM85" i="1"/>
  <c r="AM87" i="1"/>
  <c r="AN76" i="1"/>
  <c r="AM62" i="1"/>
  <c r="AN80" i="1"/>
  <c r="AN75" i="1"/>
  <c r="AM238" i="1"/>
  <c r="AM219" i="1"/>
  <c r="AN119" i="1"/>
  <c r="AN83" i="1"/>
  <c r="AN58" i="1"/>
  <c r="AO888" i="1"/>
  <c r="AO886" i="1" s="1"/>
  <c r="AO616" i="1" s="1"/>
  <c r="AO890" i="1"/>
  <c r="AO883" i="1"/>
  <c r="AO876" i="1"/>
  <c r="AO881" i="1"/>
  <c r="AO879" i="1" s="1"/>
  <c r="AO615" i="1" s="1"/>
  <c r="AO874" i="1"/>
  <c r="AO872" i="1" s="1"/>
  <c r="AO614" i="1" s="1"/>
  <c r="AO895" i="1"/>
  <c r="AO893" i="1" s="1"/>
  <c r="AO618" i="1" s="1"/>
  <c r="AL65" i="1"/>
  <c r="AL64" i="1"/>
  <c r="AM65" i="1" l="1"/>
  <c r="AM64" i="1"/>
  <c r="AQ1" i="9"/>
  <c r="AQ900" i="1"/>
  <c r="AQ897" i="1"/>
  <c r="AQ895" i="1"/>
  <c r="AQ893" i="1" s="1"/>
  <c r="AQ618" i="1" s="1"/>
  <c r="AQ870" i="1"/>
  <c r="AR4" i="1"/>
  <c r="AQ3" i="1"/>
  <c r="AQ4" i="11"/>
  <c r="AO215" i="1"/>
  <c r="AO183" i="1"/>
  <c r="AN180" i="1"/>
  <c r="AO218" i="1"/>
  <c r="AN182" i="1"/>
  <c r="AN218" i="1" s="1"/>
  <c r="AN181" i="1"/>
  <c r="AN216" i="1" s="1"/>
  <c r="AO216" i="1"/>
  <c r="AN62" i="1"/>
  <c r="AM63" i="1"/>
  <c r="AP897" i="1"/>
  <c r="AO201" i="1"/>
  <c r="AO239" i="1" s="1"/>
  <c r="AN197" i="1"/>
  <c r="AN201" i="1" s="1"/>
  <c r="AN239" i="1" s="1"/>
  <c r="AP890" i="1"/>
  <c r="AP888" i="1"/>
  <c r="AP886" i="1" s="1"/>
  <c r="AP616" i="1" s="1"/>
  <c r="AP876" i="1"/>
  <c r="AP881" i="1"/>
  <c r="AP879" i="1" s="1"/>
  <c r="AP615" i="1" s="1"/>
  <c r="AP883" i="1"/>
  <c r="AP874" i="1"/>
  <c r="AP872" i="1" s="1"/>
  <c r="AP614" i="1" s="1"/>
  <c r="AO119" i="1"/>
  <c r="AO58" i="1"/>
  <c r="AO83" i="1"/>
  <c r="AN85" i="1"/>
  <c r="AN87" i="1"/>
  <c r="AO75" i="1"/>
  <c r="AO80" i="1"/>
  <c r="AP199" i="1"/>
  <c r="AP217" i="1" s="1"/>
  <c r="AP197" i="1"/>
  <c r="AP201" i="1" s="1"/>
  <c r="AP239" i="1" s="1"/>
  <c r="AP180" i="1"/>
  <c r="AP79" i="1"/>
  <c r="AP198" i="1"/>
  <c r="AP181" i="1"/>
  <c r="AP216" i="1" s="1"/>
  <c r="AP200" i="1"/>
  <c r="AP56" i="1"/>
  <c r="AP182" i="1"/>
  <c r="AP218" i="1" s="1"/>
  <c r="AP59" i="1"/>
  <c r="AP61" i="1" s="1"/>
  <c r="AP78" i="1"/>
  <c r="AP57" i="1"/>
  <c r="AP84" i="1" s="1"/>
  <c r="AP88" i="1" s="1"/>
  <c r="AP60" i="1"/>
  <c r="AP3" i="11"/>
  <c r="AN206" i="1"/>
  <c r="AN211" i="1" s="1"/>
  <c r="AN178" i="1"/>
  <c r="AN173" i="1"/>
  <c r="AN213" i="1"/>
  <c r="AO238" i="1" l="1"/>
  <c r="AO219" i="1"/>
  <c r="AP183" i="1"/>
  <c r="AP215" i="1"/>
  <c r="AO62" i="1"/>
  <c r="AQ890" i="1"/>
  <c r="AQ888" i="1"/>
  <c r="AQ886" i="1" s="1"/>
  <c r="AQ616" i="1" s="1"/>
  <c r="AQ876" i="1"/>
  <c r="AQ881" i="1"/>
  <c r="AQ879" i="1" s="1"/>
  <c r="AQ615" i="1" s="1"/>
  <c r="AQ874" i="1"/>
  <c r="AQ872" i="1" s="1"/>
  <c r="AQ614" i="1" s="1"/>
  <c r="AQ883" i="1"/>
  <c r="AN183" i="1"/>
  <c r="AN215" i="1"/>
  <c r="AN208" i="1"/>
  <c r="AN19" i="1"/>
  <c r="AN65" i="1"/>
  <c r="AN64" i="1"/>
  <c r="AP119" i="1"/>
  <c r="AP58" i="1"/>
  <c r="AP83" i="1"/>
  <c r="AN63" i="1"/>
  <c r="AQ199" i="1"/>
  <c r="AQ217" i="1" s="1"/>
  <c r="AQ197" i="1"/>
  <c r="AQ201" i="1" s="1"/>
  <c r="AQ239" i="1" s="1"/>
  <c r="AQ180" i="1"/>
  <c r="AQ200" i="1"/>
  <c r="AQ181" i="1"/>
  <c r="AQ198" i="1"/>
  <c r="AQ79" i="1"/>
  <c r="AQ76" i="1" s="1"/>
  <c r="AQ56" i="1"/>
  <c r="AQ182" i="1"/>
  <c r="AQ218" i="1" s="1"/>
  <c r="AQ59" i="1"/>
  <c r="AQ61" i="1" s="1"/>
  <c r="AQ78" i="1"/>
  <c r="AQ60" i="1"/>
  <c r="AQ57" i="1"/>
  <c r="AQ84" i="1" s="1"/>
  <c r="AQ88" i="1" s="1"/>
  <c r="AQ3" i="11"/>
  <c r="AP75" i="1"/>
  <c r="AP80" i="1"/>
  <c r="AP76" i="1"/>
  <c r="AO85" i="1"/>
  <c r="AO87" i="1"/>
  <c r="AR1" i="9"/>
  <c r="AR900" i="1"/>
  <c r="AR3" i="1"/>
  <c r="AS4" i="1"/>
  <c r="AR4" i="11"/>
  <c r="AR198" i="1" l="1"/>
  <c r="AR78" i="1"/>
  <c r="AR181" i="1"/>
  <c r="AR216" i="1" s="1"/>
  <c r="AR197" i="1"/>
  <c r="AR180" i="1"/>
  <c r="AR79" i="1"/>
  <c r="AR76" i="1" s="1"/>
  <c r="AR56" i="1"/>
  <c r="AR200" i="1"/>
  <c r="AR182" i="1"/>
  <c r="AR59" i="1"/>
  <c r="AR199" i="1"/>
  <c r="AR217" i="1" s="1"/>
  <c r="AR60" i="1"/>
  <c r="AR57" i="1"/>
  <c r="AR84" i="1" s="1"/>
  <c r="AR88" i="1" s="1"/>
  <c r="AR3" i="11"/>
  <c r="AT188" i="1"/>
  <c r="AQ83" i="1"/>
  <c r="AQ58" i="1"/>
  <c r="AQ119" i="1"/>
  <c r="AO109" i="1"/>
  <c r="AO65" i="1"/>
  <c r="AO64" i="1"/>
  <c r="AO111" i="1"/>
  <c r="AO110" i="1"/>
  <c r="AP85" i="1"/>
  <c r="AP87" i="1"/>
  <c r="AN219" i="1"/>
  <c r="AN238" i="1"/>
  <c r="AO63" i="1"/>
  <c r="AP62" i="1"/>
  <c r="AP63" i="1"/>
  <c r="AP238" i="1"/>
  <c r="AP219" i="1"/>
  <c r="AR870" i="1"/>
  <c r="AQ216" i="1"/>
  <c r="AS1" i="9"/>
  <c r="AS900" i="1"/>
  <c r="AS870" i="1"/>
  <c r="AS3" i="1"/>
  <c r="AT4" i="1"/>
  <c r="AS4" i="11"/>
  <c r="AQ75" i="1"/>
  <c r="AQ80" i="1"/>
  <c r="AQ215" i="1"/>
  <c r="AQ183" i="1"/>
  <c r="AQ87" i="1" l="1"/>
  <c r="AQ85" i="1"/>
  <c r="AR83" i="1"/>
  <c r="AR119" i="1"/>
  <c r="AR58" i="1"/>
  <c r="AQ238" i="1"/>
  <c r="AQ219" i="1"/>
  <c r="AS890" i="1"/>
  <c r="AS881" i="1"/>
  <c r="AS879" i="1" s="1"/>
  <c r="AS615" i="1" s="1"/>
  <c r="AS874" i="1"/>
  <c r="AS872" i="1" s="1"/>
  <c r="AS614" i="1" s="1"/>
  <c r="AS888" i="1"/>
  <c r="AS886" i="1" s="1"/>
  <c r="AS616" i="1" s="1"/>
  <c r="AS883" i="1"/>
  <c r="AS876" i="1"/>
  <c r="AR201" i="1"/>
  <c r="AR239" i="1" s="1"/>
  <c r="AT189" i="1"/>
  <c r="AT206" i="1"/>
  <c r="AT211" i="1" s="1"/>
  <c r="AT193" i="1"/>
  <c r="AS897" i="1"/>
  <c r="AS895" i="1"/>
  <c r="AS893" i="1" s="1"/>
  <c r="AS618" i="1" s="1"/>
  <c r="AP65" i="1"/>
  <c r="AP64" i="1"/>
  <c r="AR215" i="1"/>
  <c r="AR183" i="1"/>
  <c r="AT1" i="9"/>
  <c r="AT900" i="1"/>
  <c r="AT3" i="1"/>
  <c r="AT870" i="1" s="1"/>
  <c r="AU4" i="1"/>
  <c r="AT4" i="11"/>
  <c r="AR61" i="1"/>
  <c r="AR75" i="1"/>
  <c r="AR80" i="1"/>
  <c r="AS199" i="1"/>
  <c r="AS217" i="1" s="1"/>
  <c r="AS60" i="1"/>
  <c r="AS59" i="1"/>
  <c r="AS61" i="1" s="1"/>
  <c r="AS78" i="1"/>
  <c r="AS79" i="1"/>
  <c r="AS56" i="1"/>
  <c r="AS57" i="1"/>
  <c r="AS84" i="1" s="1"/>
  <c r="AS88" i="1" s="1"/>
  <c r="AS3" i="11"/>
  <c r="AR890" i="1"/>
  <c r="AR876" i="1"/>
  <c r="AR881" i="1"/>
  <c r="AR879" i="1" s="1"/>
  <c r="AR615" i="1" s="1"/>
  <c r="AR874" i="1"/>
  <c r="AR872" i="1" s="1"/>
  <c r="AR614" i="1" s="1"/>
  <c r="AR888" i="1"/>
  <c r="AR886" i="1" s="1"/>
  <c r="AR616" i="1" s="1"/>
  <c r="AR883" i="1"/>
  <c r="AR897" i="1"/>
  <c r="AR895" i="1"/>
  <c r="AR893" i="1" s="1"/>
  <c r="AR618" i="1" s="1"/>
  <c r="AQ62" i="1"/>
  <c r="AQ63" i="1"/>
  <c r="AR218" i="1"/>
  <c r="AT890" i="1" l="1"/>
  <c r="AT874" i="1"/>
  <c r="AT872" i="1" s="1"/>
  <c r="AT614" i="1" s="1"/>
  <c r="AT888" i="1"/>
  <c r="AT886" i="1" s="1"/>
  <c r="AT616" i="1" s="1"/>
  <c r="AT883" i="1"/>
  <c r="AT881" i="1"/>
  <c r="AT879" i="1" s="1"/>
  <c r="AT615" i="1" s="1"/>
  <c r="AT876" i="1"/>
  <c r="AT897" i="1"/>
  <c r="AT895" i="1"/>
  <c r="AT893" i="1" s="1"/>
  <c r="AT618" i="1" s="1"/>
  <c r="AS80" i="1"/>
  <c r="AS75" i="1"/>
  <c r="AU1" i="9"/>
  <c r="AU900" i="1"/>
  <c r="AU897" i="1"/>
  <c r="AU870" i="1"/>
  <c r="AU3" i="1"/>
  <c r="AV4" i="1"/>
  <c r="AU4" i="11"/>
  <c r="AR219" i="1"/>
  <c r="AR238" i="1"/>
  <c r="AT207" i="1"/>
  <c r="AT199" i="1"/>
  <c r="AT217" i="1" s="1"/>
  <c r="AQ65" i="1"/>
  <c r="AQ64" i="1"/>
  <c r="AR62" i="1"/>
  <c r="AR63" i="1" s="1"/>
  <c r="AR87" i="1"/>
  <c r="AR85" i="1"/>
  <c r="AS58" i="1"/>
  <c r="AS83" i="1"/>
  <c r="AS119" i="1"/>
  <c r="AT377" i="1"/>
  <c r="AT329" i="1"/>
  <c r="AT381" i="1"/>
  <c r="AT327" i="1"/>
  <c r="AT374" i="1"/>
  <c r="AT367" i="1"/>
  <c r="AT334" i="1"/>
  <c r="AS195" i="1"/>
  <c r="AT182" i="1"/>
  <c r="AT370" i="1"/>
  <c r="AT342" i="1"/>
  <c r="AT325" i="1"/>
  <c r="AT332" i="1"/>
  <c r="AT328" i="1"/>
  <c r="AT375" i="1"/>
  <c r="AT368" i="1"/>
  <c r="AT335" i="1"/>
  <c r="AT371" i="1"/>
  <c r="AT326" i="1"/>
  <c r="AT378" i="1"/>
  <c r="AT333" i="1"/>
  <c r="AT383" i="1"/>
  <c r="AT376" i="1"/>
  <c r="AT369" i="1"/>
  <c r="AT341" i="1"/>
  <c r="AT336" i="1"/>
  <c r="AT197" i="1"/>
  <c r="AT200" i="1"/>
  <c r="AS200" i="1" s="1"/>
  <c r="AT180" i="1"/>
  <c r="AT181" i="1"/>
  <c r="AS175" i="1"/>
  <c r="AT78" i="1"/>
  <c r="AS172" i="1"/>
  <c r="AT79" i="1"/>
  <c r="AT76" i="1" s="1"/>
  <c r="AT56" i="1"/>
  <c r="AT60" i="1"/>
  <c r="AT59" i="1"/>
  <c r="AT61" i="1" s="1"/>
  <c r="AT57" i="1"/>
  <c r="AT84" i="1" s="1"/>
  <c r="AT88" i="1" s="1"/>
  <c r="AT330" i="1"/>
  <c r="AT386" i="1"/>
  <c r="AT372" i="1"/>
  <c r="AT339" i="1"/>
  <c r="AT385" i="1"/>
  <c r="AT382" i="1"/>
  <c r="AT344" i="1"/>
  <c r="AT337" i="1"/>
  <c r="AT379" i="1"/>
  <c r="AT343" i="1"/>
  <c r="AT340" i="1"/>
  <c r="AT384" i="1"/>
  <c r="AS594" i="1"/>
  <c r="AP594" i="1"/>
  <c r="AR594" i="1"/>
  <c r="AQ594" i="1"/>
  <c r="AT3" i="11"/>
  <c r="AS76" i="1"/>
  <c r="AT198" i="1"/>
  <c r="AS198" i="1" s="1"/>
  <c r="AT75" i="1" l="1"/>
  <c r="AT80" i="1"/>
  <c r="AU888" i="1"/>
  <c r="AU886" i="1" s="1"/>
  <c r="AU616" i="1" s="1"/>
  <c r="AU874" i="1"/>
  <c r="AU872" i="1" s="1"/>
  <c r="AU614" i="1" s="1"/>
  <c r="AU883" i="1"/>
  <c r="AU890" i="1"/>
  <c r="AU876" i="1"/>
  <c r="AU881" i="1"/>
  <c r="AU879" i="1" s="1"/>
  <c r="AU615" i="1" s="1"/>
  <c r="AS213" i="1"/>
  <c r="AS85" i="1"/>
  <c r="AS87" i="1"/>
  <c r="AU895" i="1"/>
  <c r="AU893" i="1" s="1"/>
  <c r="AU618" i="1" s="1"/>
  <c r="AT201" i="1"/>
  <c r="AT239" i="1" s="1"/>
  <c r="AS197" i="1"/>
  <c r="AS201" i="1" s="1"/>
  <c r="AS239" i="1" s="1"/>
  <c r="AT216" i="1"/>
  <c r="AS181" i="1"/>
  <c r="AS216" i="1" s="1"/>
  <c r="AS62" i="1"/>
  <c r="AS180" i="1"/>
  <c r="AT183" i="1"/>
  <c r="AT215" i="1"/>
  <c r="AT83" i="1"/>
  <c r="AT119" i="1"/>
  <c r="AT58" i="1"/>
  <c r="AR64" i="1"/>
  <c r="AR65" i="1"/>
  <c r="AV1" i="9"/>
  <c r="AV900" i="1"/>
  <c r="AV897" i="1"/>
  <c r="AV870" i="1"/>
  <c r="AW4" i="1"/>
  <c r="AV3" i="1"/>
  <c r="AV4" i="11"/>
  <c r="AS206" i="1"/>
  <c r="AS211" i="1" s="1"/>
  <c r="AS178" i="1"/>
  <c r="AT218" i="1"/>
  <c r="AS182" i="1"/>
  <c r="AS218" i="1" s="1"/>
  <c r="AU182" i="1"/>
  <c r="AU218" i="1" s="1"/>
  <c r="AU79" i="1"/>
  <c r="AU56" i="1"/>
  <c r="AU198" i="1"/>
  <c r="AU200" i="1"/>
  <c r="AU180" i="1"/>
  <c r="AU199" i="1"/>
  <c r="AU217" i="1" s="1"/>
  <c r="AU181" i="1"/>
  <c r="AU216" i="1" s="1"/>
  <c r="AU78" i="1"/>
  <c r="AU197" i="1"/>
  <c r="AU59" i="1"/>
  <c r="AU57" i="1"/>
  <c r="AU84" i="1" s="1"/>
  <c r="AU88" i="1" s="1"/>
  <c r="AU60" i="1"/>
  <c r="AU3" i="11"/>
  <c r="AV888" i="1" l="1"/>
  <c r="AV886" i="1" s="1"/>
  <c r="AV616" i="1" s="1"/>
  <c r="AV874" i="1"/>
  <c r="AV872" i="1" s="1"/>
  <c r="AV614" i="1" s="1"/>
  <c r="AV883" i="1"/>
  <c r="AV890" i="1"/>
  <c r="AV876" i="1"/>
  <c r="AV881" i="1"/>
  <c r="AV879" i="1" s="1"/>
  <c r="AV615" i="1" s="1"/>
  <c r="AT63" i="1"/>
  <c r="AT62" i="1"/>
  <c r="AV895" i="1"/>
  <c r="AV893" i="1" s="1"/>
  <c r="AV618" i="1" s="1"/>
  <c r="AT87" i="1"/>
  <c r="AT85" i="1"/>
  <c r="AU215" i="1"/>
  <c r="AU183" i="1"/>
  <c r="AU61" i="1"/>
  <c r="AU201" i="1"/>
  <c r="AU239" i="1" s="1"/>
  <c r="AU119" i="1"/>
  <c r="AU83" i="1"/>
  <c r="AU58" i="1"/>
  <c r="AV200" i="1"/>
  <c r="AV181" i="1"/>
  <c r="AV216" i="1" s="1"/>
  <c r="AV182" i="1"/>
  <c r="AV218" i="1" s="1"/>
  <c r="AV199" i="1"/>
  <c r="AV217" i="1" s="1"/>
  <c r="AV78" i="1"/>
  <c r="AV198" i="1"/>
  <c r="AV197" i="1"/>
  <c r="AV79" i="1"/>
  <c r="AV76" i="1" s="1"/>
  <c r="AV56" i="1"/>
  <c r="AV180" i="1"/>
  <c r="AV59" i="1"/>
  <c r="AV61" i="1" s="1"/>
  <c r="AV57" i="1"/>
  <c r="AV84" i="1" s="1"/>
  <c r="AV88" i="1" s="1"/>
  <c r="AV60" i="1"/>
  <c r="AV3" i="11"/>
  <c r="AS65" i="1"/>
  <c r="AS64" i="1"/>
  <c r="AT238" i="1"/>
  <c r="AT219" i="1"/>
  <c r="AS215" i="1"/>
  <c r="AS183" i="1"/>
  <c r="AU80" i="1"/>
  <c r="AU75" i="1"/>
  <c r="AU76" i="1"/>
  <c r="AW1" i="9"/>
  <c r="AW900" i="1"/>
  <c r="AX4" i="1"/>
  <c r="AW3" i="1"/>
  <c r="AW4" i="11"/>
  <c r="AS63" i="1"/>
  <c r="AU238" i="1" l="1"/>
  <c r="AU219" i="1"/>
  <c r="AX1" i="9"/>
  <c r="AX900" i="1"/>
  <c r="AX897" i="1"/>
  <c r="AX870" i="1"/>
  <c r="AY4" i="1"/>
  <c r="AX3" i="1"/>
  <c r="AX4" i="11"/>
  <c r="AT111" i="1"/>
  <c r="AT110" i="1"/>
  <c r="AT65" i="1"/>
  <c r="AT64" i="1"/>
  <c r="AT109" i="1"/>
  <c r="AW200" i="1"/>
  <c r="AW181" i="1"/>
  <c r="AW78" i="1"/>
  <c r="AW59" i="1"/>
  <c r="AW182" i="1"/>
  <c r="AW218" i="1" s="1"/>
  <c r="AW199" i="1"/>
  <c r="AW217" i="1" s="1"/>
  <c r="AW198" i="1"/>
  <c r="AW197" i="1"/>
  <c r="AW180" i="1"/>
  <c r="AW79" i="1"/>
  <c r="AW56" i="1"/>
  <c r="AW60" i="1"/>
  <c r="AW57" i="1"/>
  <c r="AW84" i="1" s="1"/>
  <c r="AW88" i="1" s="1"/>
  <c r="AW3" i="11"/>
  <c r="AY188" i="1"/>
  <c r="AV201" i="1"/>
  <c r="AV239" i="1" s="1"/>
  <c r="AU85" i="1"/>
  <c r="AU87" i="1"/>
  <c r="AW870" i="1"/>
  <c r="AV80" i="1"/>
  <c r="AV75" i="1"/>
  <c r="AV119" i="1"/>
  <c r="AV83" i="1"/>
  <c r="AV58" i="1"/>
  <c r="AS219" i="1"/>
  <c r="AS238" i="1"/>
  <c r="AV215" i="1"/>
  <c r="AV183" i="1"/>
  <c r="AU62" i="1"/>
  <c r="AU63" i="1"/>
  <c r="AV62" i="1" l="1"/>
  <c r="AV63" i="1"/>
  <c r="AW201" i="1"/>
  <c r="AW239" i="1" s="1"/>
  <c r="AX890" i="1"/>
  <c r="AX888" i="1"/>
  <c r="AX886" i="1" s="1"/>
  <c r="AX616" i="1" s="1"/>
  <c r="AX876" i="1"/>
  <c r="AX881" i="1"/>
  <c r="AX879" i="1" s="1"/>
  <c r="AX615" i="1" s="1"/>
  <c r="AX883" i="1"/>
  <c r="AX874" i="1"/>
  <c r="AX872" i="1" s="1"/>
  <c r="AX614" i="1" s="1"/>
  <c r="AY193" i="1"/>
  <c r="AY206" i="1"/>
  <c r="AY211" i="1" s="1"/>
  <c r="AY189" i="1"/>
  <c r="AX895" i="1"/>
  <c r="AX893" i="1" s="1"/>
  <c r="AX618" i="1" s="1"/>
  <c r="AV85" i="1"/>
  <c r="AV87" i="1"/>
  <c r="AV238" i="1"/>
  <c r="AV219" i="1"/>
  <c r="AW61" i="1"/>
  <c r="AW75" i="1"/>
  <c r="AW80" i="1"/>
  <c r="AW76" i="1"/>
  <c r="AW216" i="1"/>
  <c r="AX199" i="1"/>
  <c r="AX217" i="1" s="1"/>
  <c r="AX79" i="1"/>
  <c r="AX78" i="1"/>
  <c r="AX56" i="1"/>
  <c r="AX60" i="1"/>
  <c r="AX59" i="1"/>
  <c r="AX61" i="1" s="1"/>
  <c r="AX57" i="1"/>
  <c r="AX84" i="1" s="1"/>
  <c r="AX88" i="1" s="1"/>
  <c r="AX3" i="11"/>
  <c r="AU65" i="1"/>
  <c r="AU64" i="1"/>
  <c r="AW888" i="1"/>
  <c r="AW886" i="1" s="1"/>
  <c r="AW616" i="1" s="1"/>
  <c r="AW883" i="1"/>
  <c r="AW890" i="1"/>
  <c r="AW876" i="1"/>
  <c r="AW881" i="1"/>
  <c r="AW879" i="1" s="1"/>
  <c r="AW615" i="1" s="1"/>
  <c r="AW874" i="1"/>
  <c r="AW872" i="1" s="1"/>
  <c r="AW614" i="1" s="1"/>
  <c r="AW895" i="1"/>
  <c r="AW893" i="1" s="1"/>
  <c r="AW618" i="1" s="1"/>
  <c r="AW897" i="1"/>
  <c r="AW83" i="1"/>
  <c r="AW58" i="1"/>
  <c r="AW119" i="1"/>
  <c r="AW215" i="1"/>
  <c r="AW183" i="1"/>
  <c r="AY1" i="9"/>
  <c r="AY900" i="1"/>
  <c r="AZ4" i="1"/>
  <c r="AY3" i="1"/>
  <c r="AY198" i="1" s="1"/>
  <c r="AX198" i="1" s="1"/>
  <c r="AY4" i="11"/>
  <c r="AZ1" i="9" l="1"/>
  <c r="AZ900" i="1"/>
  <c r="AZ3" i="1"/>
  <c r="BA4" i="1"/>
  <c r="AZ4" i="11"/>
  <c r="AY870" i="1"/>
  <c r="AW62" i="1"/>
  <c r="AX119" i="1"/>
  <c r="AX83" i="1"/>
  <c r="AX58" i="1"/>
  <c r="AY199" i="1"/>
  <c r="AY217" i="1" s="1"/>
  <c r="AY207" i="1"/>
  <c r="AW87" i="1"/>
  <c r="AW85" i="1"/>
  <c r="AX80" i="1"/>
  <c r="AX75" i="1"/>
  <c r="AY376" i="1"/>
  <c r="AY371" i="1"/>
  <c r="AY378" i="1"/>
  <c r="AY374" i="1"/>
  <c r="AY367" i="1"/>
  <c r="AY334" i="1"/>
  <c r="AY197" i="1"/>
  <c r="AX195" i="1"/>
  <c r="AY180" i="1"/>
  <c r="AY370" i="1"/>
  <c r="AY325" i="1"/>
  <c r="AY377" i="1"/>
  <c r="AY332" i="1"/>
  <c r="AY328" i="1"/>
  <c r="AY382" i="1"/>
  <c r="AY375" i="1"/>
  <c r="AY368" i="1"/>
  <c r="AY340" i="1"/>
  <c r="AY335" i="1"/>
  <c r="AY372" i="1"/>
  <c r="AY326" i="1"/>
  <c r="AY379" i="1"/>
  <c r="AY337" i="1"/>
  <c r="AY333" i="1"/>
  <c r="AY329" i="1"/>
  <c r="AY369" i="1"/>
  <c r="AY341" i="1"/>
  <c r="AY336" i="1"/>
  <c r="AY200" i="1"/>
  <c r="AX200" i="1" s="1"/>
  <c r="AY181" i="1"/>
  <c r="AX175" i="1"/>
  <c r="AY327" i="1"/>
  <c r="AY182" i="1"/>
  <c r="AY78" i="1"/>
  <c r="AY56" i="1"/>
  <c r="AX172" i="1"/>
  <c r="AY79" i="1"/>
  <c r="AY59" i="1"/>
  <c r="AY60" i="1"/>
  <c r="AY343" i="1"/>
  <c r="AY344" i="1"/>
  <c r="AY384" i="1"/>
  <c r="AY381" i="1"/>
  <c r="AY385" i="1"/>
  <c r="AY330" i="1"/>
  <c r="AY57" i="1"/>
  <c r="AY383" i="1"/>
  <c r="AY339" i="1"/>
  <c r="AY342" i="1"/>
  <c r="AV594" i="1"/>
  <c r="AX594" i="1"/>
  <c r="AU594" i="1"/>
  <c r="AY386" i="1"/>
  <c r="AW594" i="1"/>
  <c r="AY3" i="11"/>
  <c r="AW238" i="1"/>
  <c r="AW219" i="1"/>
  <c r="AX76" i="1"/>
  <c r="AV64" i="1"/>
  <c r="AV65" i="1"/>
  <c r="AY83" i="1" l="1"/>
  <c r="AY58" i="1"/>
  <c r="AY119" i="1"/>
  <c r="BA1" i="9"/>
  <c r="BA900" i="1"/>
  <c r="BA3" i="1"/>
  <c r="BB4" i="1"/>
  <c r="BA4" i="11"/>
  <c r="AY80" i="1"/>
  <c r="AY75" i="1"/>
  <c r="AX62" i="1"/>
  <c r="AX63" i="1"/>
  <c r="AZ198" i="1"/>
  <c r="AZ78" i="1"/>
  <c r="AZ199" i="1"/>
  <c r="AZ217" i="1" s="1"/>
  <c r="AZ181" i="1"/>
  <c r="AZ216" i="1" s="1"/>
  <c r="AZ197" i="1"/>
  <c r="AZ201" i="1" s="1"/>
  <c r="AZ239" i="1" s="1"/>
  <c r="AZ56" i="1"/>
  <c r="AZ79" i="1"/>
  <c r="AZ76" i="1" s="1"/>
  <c r="AZ59" i="1"/>
  <c r="AZ180" i="1"/>
  <c r="AZ200" i="1"/>
  <c r="AZ182" i="1"/>
  <c r="AZ60" i="1"/>
  <c r="AZ57" i="1"/>
  <c r="AZ84" i="1" s="1"/>
  <c r="AZ88" i="1" s="1"/>
  <c r="AZ3" i="11"/>
  <c r="AY218" i="1"/>
  <c r="AX182" i="1"/>
  <c r="AX218" i="1" s="1"/>
  <c r="AX180" i="1"/>
  <c r="AY215" i="1"/>
  <c r="AY183" i="1"/>
  <c r="AX85" i="1"/>
  <c r="AX87" i="1"/>
  <c r="AZ870" i="1"/>
  <c r="AX197" i="1"/>
  <c r="AX201" i="1" s="1"/>
  <c r="AX239" i="1" s="1"/>
  <c r="AY201" i="1"/>
  <c r="AY239" i="1" s="1"/>
  <c r="AW64" i="1"/>
  <c r="AW65" i="1"/>
  <c r="AY84" i="1"/>
  <c r="AY88" i="1" s="1"/>
  <c r="AY61" i="1"/>
  <c r="AY216" i="1"/>
  <c r="AX181" i="1"/>
  <c r="AX216" i="1" s="1"/>
  <c r="AW63" i="1"/>
  <c r="AY76" i="1"/>
  <c r="AY890" i="1"/>
  <c r="AY888" i="1"/>
  <c r="AY886" i="1" s="1"/>
  <c r="AY616" i="1" s="1"/>
  <c r="AY876" i="1"/>
  <c r="AY881" i="1"/>
  <c r="AY879" i="1" s="1"/>
  <c r="AY615" i="1" s="1"/>
  <c r="AY874" i="1"/>
  <c r="AY872" i="1" s="1"/>
  <c r="AY614" i="1" s="1"/>
  <c r="AY883" i="1"/>
  <c r="AY897" i="1"/>
  <c r="AY895" i="1"/>
  <c r="AY893" i="1" s="1"/>
  <c r="AY618" i="1" s="1"/>
  <c r="AX213" i="1"/>
  <c r="AX178" i="1"/>
  <c r="AX206" i="1"/>
  <c r="AX211" i="1" s="1"/>
  <c r="AX173" i="1"/>
  <c r="AZ890" i="1" l="1"/>
  <c r="AZ888" i="1"/>
  <c r="AZ886" i="1" s="1"/>
  <c r="AZ616" i="1" s="1"/>
  <c r="AZ876" i="1"/>
  <c r="AZ881" i="1"/>
  <c r="AZ879" i="1" s="1"/>
  <c r="AZ615" i="1" s="1"/>
  <c r="AZ874" i="1"/>
  <c r="AZ872" i="1" s="1"/>
  <c r="AZ614" i="1" s="1"/>
  <c r="AZ883" i="1"/>
  <c r="AZ897" i="1"/>
  <c r="AZ895" i="1"/>
  <c r="AZ893" i="1" s="1"/>
  <c r="AZ618" i="1" s="1"/>
  <c r="AZ83" i="1"/>
  <c r="AZ58" i="1"/>
  <c r="AZ119" i="1"/>
  <c r="AX65" i="1"/>
  <c r="AX64" i="1"/>
  <c r="AY238" i="1"/>
  <c r="AY219" i="1"/>
  <c r="AZ218" i="1"/>
  <c r="AZ75" i="1"/>
  <c r="AZ80" i="1"/>
  <c r="BB897" i="1"/>
  <c r="BB900" i="1"/>
  <c r="BB870" i="1"/>
  <c r="BB895" i="1"/>
  <c r="BB893" i="1" s="1"/>
  <c r="BB618" i="1" s="1"/>
  <c r="BB1" i="9"/>
  <c r="BB3" i="1"/>
  <c r="BC4" i="1"/>
  <c r="BB4" i="11"/>
  <c r="AX215" i="1"/>
  <c r="AX183" i="1"/>
  <c r="AZ215" i="1"/>
  <c r="AZ183" i="1"/>
  <c r="BA198" i="1"/>
  <c r="BA199" i="1"/>
  <c r="BA217" i="1" s="1"/>
  <c r="BA197" i="1"/>
  <c r="BA180" i="1"/>
  <c r="BA181" i="1"/>
  <c r="BA56" i="1"/>
  <c r="BA79" i="1"/>
  <c r="BA60" i="1"/>
  <c r="BA59" i="1"/>
  <c r="BA61" i="1" s="1"/>
  <c r="BA200" i="1"/>
  <c r="BA182" i="1"/>
  <c r="BA218" i="1" s="1"/>
  <c r="BA78" i="1"/>
  <c r="BA57" i="1"/>
  <c r="BA84" i="1" s="1"/>
  <c r="BA88" i="1" s="1"/>
  <c r="BA3" i="11"/>
  <c r="AY62" i="1"/>
  <c r="AY63" i="1"/>
  <c r="AX208" i="1"/>
  <c r="AX19" i="1"/>
  <c r="AZ61" i="1"/>
  <c r="BA870" i="1"/>
  <c r="AY85" i="1"/>
  <c r="AY87" i="1"/>
  <c r="AY111" i="1" l="1"/>
  <c r="AY64" i="1"/>
  <c r="AY65" i="1"/>
  <c r="AY110" i="1"/>
  <c r="AY109" i="1"/>
  <c r="BA76" i="1"/>
  <c r="BB888" i="1"/>
  <c r="BB886" i="1" s="1"/>
  <c r="BB616" i="1" s="1"/>
  <c r="BB890" i="1"/>
  <c r="BB874" i="1"/>
  <c r="BB872" i="1" s="1"/>
  <c r="BB614" i="1" s="1"/>
  <c r="BB883" i="1"/>
  <c r="BB881" i="1"/>
  <c r="BB879" i="1" s="1"/>
  <c r="BB615" i="1" s="1"/>
  <c r="BB876" i="1"/>
  <c r="AZ219" i="1"/>
  <c r="AZ238" i="1"/>
  <c r="AX219" i="1"/>
  <c r="AX238" i="1"/>
  <c r="BA80" i="1"/>
  <c r="BA75" i="1"/>
  <c r="BA215" i="1"/>
  <c r="BA183" i="1"/>
  <c r="BA58" i="1"/>
  <c r="BA119" i="1"/>
  <c r="BA83" i="1"/>
  <c r="BA201" i="1"/>
  <c r="BA239" i="1" s="1"/>
  <c r="BA890" i="1"/>
  <c r="BA888" i="1"/>
  <c r="BA886" i="1" s="1"/>
  <c r="BA616" i="1" s="1"/>
  <c r="BA881" i="1"/>
  <c r="BA879" i="1" s="1"/>
  <c r="BA615" i="1" s="1"/>
  <c r="BA874" i="1"/>
  <c r="BA872" i="1" s="1"/>
  <c r="BA614" i="1" s="1"/>
  <c r="BA883" i="1"/>
  <c r="BA876" i="1"/>
  <c r="BA897" i="1"/>
  <c r="BA895" i="1"/>
  <c r="BA893" i="1" s="1"/>
  <c r="BA618" i="1" s="1"/>
  <c r="BA216" i="1"/>
  <c r="BC1" i="9"/>
  <c r="BC900" i="1"/>
  <c r="BC3" i="1"/>
  <c r="BD4" i="1"/>
  <c r="BC4" i="11"/>
  <c r="AZ62" i="1"/>
  <c r="AZ63" i="1" s="1"/>
  <c r="BB182" i="1"/>
  <c r="BB218" i="1" s="1"/>
  <c r="BB199" i="1"/>
  <c r="BB217" i="1" s="1"/>
  <c r="BB181" i="1"/>
  <c r="BB198" i="1"/>
  <c r="BB197" i="1"/>
  <c r="BB79" i="1"/>
  <c r="BB59" i="1"/>
  <c r="BB200" i="1"/>
  <c r="BB180" i="1"/>
  <c r="BB78" i="1"/>
  <c r="BB56" i="1"/>
  <c r="BB60" i="1"/>
  <c r="BB57" i="1"/>
  <c r="BB3" i="11"/>
  <c r="AZ85" i="1"/>
  <c r="AZ87" i="1"/>
  <c r="BC79" i="1" l="1"/>
  <c r="BC56" i="1"/>
  <c r="BC199" i="1"/>
  <c r="BC217" i="1" s="1"/>
  <c r="BC197" i="1"/>
  <c r="BC59" i="1"/>
  <c r="BC78" i="1"/>
  <c r="BC60" i="1"/>
  <c r="BC198" i="1"/>
  <c r="BC57" i="1"/>
  <c r="BC3" i="11"/>
  <c r="BD188" i="1"/>
  <c r="BB75" i="1"/>
  <c r="BB80" i="1"/>
  <c r="BB215" i="1"/>
  <c r="BB183" i="1"/>
  <c r="BB83" i="1"/>
  <c r="BB58" i="1"/>
  <c r="BB119" i="1"/>
  <c r="BB216" i="1"/>
  <c r="BC870" i="1"/>
  <c r="BA87" i="1"/>
  <c r="BA85" i="1"/>
  <c r="BA63" i="1"/>
  <c r="BA62" i="1"/>
  <c r="BA219" i="1"/>
  <c r="BA238" i="1"/>
  <c r="BB61" i="1"/>
  <c r="AZ64" i="1"/>
  <c r="AZ65" i="1"/>
  <c r="BB76" i="1"/>
  <c r="BB84" i="1"/>
  <c r="BB88" i="1" s="1"/>
  <c r="BB201" i="1"/>
  <c r="BB239" i="1" s="1"/>
  <c r="BD900" i="1"/>
  <c r="BD895" i="1"/>
  <c r="BD893" i="1" s="1"/>
  <c r="BD618" i="1" s="1"/>
  <c r="BD1" i="9"/>
  <c r="BD897" i="1"/>
  <c r="BD870" i="1"/>
  <c r="BE4" i="1"/>
  <c r="BD3" i="1"/>
  <c r="BD4" i="11"/>
  <c r="BD375" i="1" l="1"/>
  <c r="BD370" i="1"/>
  <c r="BD332" i="1"/>
  <c r="BD377" i="1"/>
  <c r="BD325" i="1"/>
  <c r="BD328" i="1"/>
  <c r="BD200" i="1"/>
  <c r="BD368" i="1"/>
  <c r="BD340" i="1"/>
  <c r="BD335" i="1"/>
  <c r="BD343" i="1"/>
  <c r="BD326" i="1"/>
  <c r="BD385" i="1"/>
  <c r="BD371" i="1"/>
  <c r="BD333" i="1"/>
  <c r="BD329" i="1"/>
  <c r="BD378" i="1"/>
  <c r="BD369" i="1"/>
  <c r="BD336" i="1"/>
  <c r="BD376" i="1"/>
  <c r="BD327" i="1"/>
  <c r="BD381" i="1"/>
  <c r="BD374" i="1"/>
  <c r="BD367" i="1"/>
  <c r="BD339" i="1"/>
  <c r="BD334" i="1"/>
  <c r="BD197" i="1"/>
  <c r="BC195" i="1"/>
  <c r="BC200" i="1" s="1"/>
  <c r="BD180" i="1"/>
  <c r="BD182" i="1"/>
  <c r="BC175" i="1"/>
  <c r="BC213" i="1" s="1"/>
  <c r="BD59" i="1"/>
  <c r="BD57" i="1"/>
  <c r="BD84" i="1" s="1"/>
  <c r="BD88" i="1" s="1"/>
  <c r="BD78" i="1"/>
  <c r="BD56" i="1"/>
  <c r="BD79" i="1"/>
  <c r="BD181" i="1"/>
  <c r="BD342" i="1"/>
  <c r="BD383" i="1"/>
  <c r="BD337" i="1"/>
  <c r="BD330" i="1"/>
  <c r="BD379" i="1"/>
  <c r="BD384" i="1"/>
  <c r="BD372" i="1"/>
  <c r="BD341" i="1"/>
  <c r="BD382" i="1"/>
  <c r="BD60" i="1"/>
  <c r="BD344" i="1"/>
  <c r="BA594" i="1"/>
  <c r="AZ594" i="1"/>
  <c r="BB594" i="1"/>
  <c r="BD386" i="1"/>
  <c r="BC594" i="1"/>
  <c r="BD3" i="11"/>
  <c r="BA65" i="1"/>
  <c r="BA64" i="1"/>
  <c r="BB87" i="1"/>
  <c r="BB85" i="1"/>
  <c r="BE900" i="1"/>
  <c r="BE895" i="1"/>
  <c r="BE893" i="1" s="1"/>
  <c r="BE618" i="1" s="1"/>
  <c r="BE1" i="9"/>
  <c r="BE897" i="1"/>
  <c r="BE870" i="1"/>
  <c r="BF4" i="1"/>
  <c r="BE3" i="1"/>
  <c r="BE4" i="11"/>
  <c r="BB238" i="1"/>
  <c r="BB219" i="1"/>
  <c r="BD888" i="1"/>
  <c r="BD886" i="1" s="1"/>
  <c r="BD616" i="1" s="1"/>
  <c r="BD890" i="1"/>
  <c r="BD874" i="1"/>
  <c r="BD872" i="1" s="1"/>
  <c r="BD614" i="1" s="1"/>
  <c r="BD883" i="1"/>
  <c r="BD876" i="1"/>
  <c r="BD881" i="1"/>
  <c r="BD879" i="1" s="1"/>
  <c r="BD615" i="1" s="1"/>
  <c r="BC75" i="1"/>
  <c r="BC80" i="1"/>
  <c r="BC61" i="1"/>
  <c r="BC888" i="1"/>
  <c r="BC886" i="1" s="1"/>
  <c r="BC616" i="1" s="1"/>
  <c r="BC890" i="1"/>
  <c r="BC874" i="1"/>
  <c r="BC872" i="1" s="1"/>
  <c r="BC614" i="1" s="1"/>
  <c r="BC883" i="1"/>
  <c r="BC876" i="1"/>
  <c r="BC881" i="1"/>
  <c r="BC879" i="1" s="1"/>
  <c r="BC615" i="1" s="1"/>
  <c r="BC895" i="1"/>
  <c r="BC893" i="1" s="1"/>
  <c r="BC618" i="1" s="1"/>
  <c r="BC897" i="1"/>
  <c r="BC201" i="1"/>
  <c r="BC239" i="1" s="1"/>
  <c r="BD198" i="1"/>
  <c r="BD189" i="1"/>
  <c r="BD193" i="1"/>
  <c r="BD206" i="1"/>
  <c r="BD211" i="1" s="1"/>
  <c r="BC119" i="1"/>
  <c r="BC83" i="1"/>
  <c r="BC58" i="1"/>
  <c r="BB63" i="1"/>
  <c r="BB62" i="1"/>
  <c r="BC84" i="1"/>
  <c r="BC88" i="1" s="1"/>
  <c r="BC76" i="1"/>
  <c r="BC85" i="1" l="1"/>
  <c r="BC87" i="1"/>
  <c r="BD207" i="1"/>
  <c r="BD199" i="1"/>
  <c r="BD217" i="1" s="1"/>
  <c r="BB64" i="1"/>
  <c r="BB65" i="1"/>
  <c r="BE888" i="1"/>
  <c r="BE886" i="1" s="1"/>
  <c r="BE616" i="1" s="1"/>
  <c r="BE890" i="1"/>
  <c r="BE883" i="1"/>
  <c r="BE876" i="1"/>
  <c r="BE881" i="1"/>
  <c r="BE879" i="1" s="1"/>
  <c r="BE615" i="1" s="1"/>
  <c r="BE874" i="1"/>
  <c r="BE872" i="1" s="1"/>
  <c r="BE614" i="1" s="1"/>
  <c r="BD61" i="1"/>
  <c r="BC182" i="1"/>
  <c r="BC218" i="1" s="1"/>
  <c r="BD218" i="1"/>
  <c r="BD216" i="1"/>
  <c r="BC181" i="1"/>
  <c r="BC216" i="1" s="1"/>
  <c r="BD215" i="1"/>
  <c r="BD183" i="1"/>
  <c r="BC180" i="1"/>
  <c r="BD76" i="1"/>
  <c r="BD119" i="1"/>
  <c r="BD83" i="1"/>
  <c r="BD58" i="1"/>
  <c r="BE200" i="1"/>
  <c r="BE181" i="1"/>
  <c r="BE216" i="1" s="1"/>
  <c r="BE78" i="1"/>
  <c r="BE59" i="1"/>
  <c r="BE182" i="1"/>
  <c r="BE218" i="1" s="1"/>
  <c r="BE198" i="1"/>
  <c r="BE197" i="1"/>
  <c r="BE180" i="1"/>
  <c r="BE199" i="1"/>
  <c r="BE217" i="1" s="1"/>
  <c r="BE57" i="1"/>
  <c r="BE84" i="1" s="1"/>
  <c r="BE88" i="1" s="1"/>
  <c r="BE56" i="1"/>
  <c r="BE79" i="1"/>
  <c r="BE60" i="1"/>
  <c r="BE3" i="11"/>
  <c r="BD80" i="1"/>
  <c r="BD75" i="1"/>
  <c r="BC62" i="1"/>
  <c r="BF1" i="9"/>
  <c r="BF900" i="1"/>
  <c r="BG4" i="1"/>
  <c r="BF3" i="1"/>
  <c r="BF4" i="11"/>
  <c r="BD85" i="1" l="1"/>
  <c r="BD87" i="1"/>
  <c r="BD62" i="1"/>
  <c r="BE119" i="1"/>
  <c r="BE83" i="1"/>
  <c r="BE58" i="1"/>
  <c r="BE61" i="1"/>
  <c r="BE76" i="1"/>
  <c r="BF199" i="1"/>
  <c r="BF217" i="1" s="1"/>
  <c r="BF197" i="1"/>
  <c r="BF180" i="1"/>
  <c r="BF79" i="1"/>
  <c r="BF200" i="1"/>
  <c r="BF182" i="1"/>
  <c r="BF218" i="1" s="1"/>
  <c r="BF78" i="1"/>
  <c r="BF198" i="1"/>
  <c r="BF181" i="1"/>
  <c r="BF216" i="1" s="1"/>
  <c r="BF59" i="1"/>
  <c r="BF56" i="1"/>
  <c r="BF60" i="1"/>
  <c r="BF57" i="1"/>
  <c r="BF84" i="1" s="1"/>
  <c r="BF88" i="1" s="1"/>
  <c r="BF3" i="11"/>
  <c r="BC65" i="1"/>
  <c r="BC64" i="1"/>
  <c r="BE75" i="1"/>
  <c r="BE80" i="1"/>
  <c r="BC215" i="1"/>
  <c r="BC183" i="1"/>
  <c r="BC63" i="1"/>
  <c r="BF870" i="1"/>
  <c r="BE215" i="1"/>
  <c r="BE183" i="1"/>
  <c r="BG1" i="9"/>
  <c r="BG900" i="1"/>
  <c r="BG870" i="1"/>
  <c r="BH4" i="1"/>
  <c r="BG3" i="1"/>
  <c r="BG4" i="11"/>
  <c r="BD238" i="1"/>
  <c r="BE201" i="1"/>
  <c r="BE239" i="1" s="1"/>
  <c r="BD201" i="1"/>
  <c r="BD239" i="1" s="1"/>
  <c r="BF888" i="1" l="1"/>
  <c r="BF886" i="1" s="1"/>
  <c r="BF616" i="1" s="1"/>
  <c r="BF876" i="1"/>
  <c r="BF881" i="1"/>
  <c r="BF879" i="1" s="1"/>
  <c r="BF615" i="1" s="1"/>
  <c r="BF890" i="1"/>
  <c r="BF883" i="1"/>
  <c r="BF874" i="1"/>
  <c r="BF872" i="1" s="1"/>
  <c r="BF614" i="1" s="1"/>
  <c r="BF895" i="1"/>
  <c r="BF893" i="1" s="1"/>
  <c r="BF618" i="1" s="1"/>
  <c r="BF897" i="1"/>
  <c r="BH1" i="9"/>
  <c r="BH900" i="1"/>
  <c r="BH3" i="1"/>
  <c r="BI4" i="1"/>
  <c r="BH4" i="11"/>
  <c r="BF80" i="1"/>
  <c r="BF75" i="1"/>
  <c r="BE62" i="1"/>
  <c r="BE87" i="1"/>
  <c r="BE85" i="1"/>
  <c r="BD219" i="1"/>
  <c r="BF183" i="1"/>
  <c r="BF215" i="1"/>
  <c r="BD111" i="1"/>
  <c r="BD110" i="1"/>
  <c r="BD64" i="1"/>
  <c r="BD65" i="1"/>
  <c r="BD109" i="1"/>
  <c r="BG890" i="1"/>
  <c r="BG876" i="1"/>
  <c r="BG881" i="1"/>
  <c r="BG879" i="1" s="1"/>
  <c r="BG615" i="1" s="1"/>
  <c r="BG874" i="1"/>
  <c r="BG872" i="1" s="1"/>
  <c r="BG614" i="1" s="1"/>
  <c r="BG883" i="1"/>
  <c r="BG888" i="1"/>
  <c r="BG886" i="1" s="1"/>
  <c r="BG616" i="1" s="1"/>
  <c r="BG895" i="1"/>
  <c r="BG893" i="1" s="1"/>
  <c r="BG618" i="1" s="1"/>
  <c r="BF119" i="1"/>
  <c r="BF83" i="1"/>
  <c r="BF58" i="1"/>
  <c r="BF61" i="1"/>
  <c r="BD63" i="1"/>
  <c r="BC219" i="1"/>
  <c r="BC238" i="1"/>
  <c r="BF76" i="1"/>
  <c r="BG897" i="1"/>
  <c r="BF201" i="1"/>
  <c r="BF239" i="1" s="1"/>
  <c r="BG199" i="1"/>
  <c r="BG217" i="1" s="1"/>
  <c r="BG197" i="1"/>
  <c r="BG201" i="1" s="1"/>
  <c r="BG239" i="1" s="1"/>
  <c r="BG180" i="1"/>
  <c r="BG200" i="1"/>
  <c r="BG181" i="1"/>
  <c r="BG216" i="1" s="1"/>
  <c r="BG182" i="1"/>
  <c r="BG218" i="1" s="1"/>
  <c r="BG78" i="1"/>
  <c r="BG198" i="1"/>
  <c r="BG56" i="1"/>
  <c r="BG59" i="1"/>
  <c r="BG61" i="1" s="1"/>
  <c r="BG79" i="1"/>
  <c r="BG76" i="1" s="1"/>
  <c r="BG60" i="1"/>
  <c r="BG57" i="1"/>
  <c r="BG3" i="11"/>
  <c r="BI188" i="1"/>
  <c r="BE238" i="1"/>
  <c r="BE219" i="1"/>
  <c r="BG83" i="1" l="1"/>
  <c r="BG58" i="1"/>
  <c r="BG119" i="1"/>
  <c r="BF62" i="1"/>
  <c r="BF238" i="1"/>
  <c r="BF219" i="1"/>
  <c r="BF85" i="1"/>
  <c r="BF87" i="1"/>
  <c r="BI1" i="9"/>
  <c r="BI900" i="1"/>
  <c r="BI895" i="1"/>
  <c r="BI893" i="1" s="1"/>
  <c r="BI618" i="1" s="1"/>
  <c r="BI870" i="1"/>
  <c r="BI3" i="1"/>
  <c r="BJ4" i="1"/>
  <c r="BI4" i="11"/>
  <c r="BE64" i="1"/>
  <c r="BE65" i="1"/>
  <c r="BE63" i="1"/>
  <c r="BG84" i="1"/>
  <c r="BG88" i="1" s="1"/>
  <c r="BG215" i="1"/>
  <c r="BG183" i="1"/>
  <c r="BI206" i="1"/>
  <c r="BI211" i="1" s="1"/>
  <c r="BI193" i="1"/>
  <c r="BI189" i="1"/>
  <c r="BG75" i="1"/>
  <c r="BG80" i="1"/>
  <c r="BH78" i="1"/>
  <c r="BH200" i="1"/>
  <c r="BH199" i="1"/>
  <c r="BH217" i="1" s="1"/>
  <c r="BH56" i="1"/>
  <c r="BH59" i="1"/>
  <c r="BH197" i="1"/>
  <c r="BH79" i="1"/>
  <c r="BH60" i="1"/>
  <c r="BH198" i="1"/>
  <c r="BH57" i="1"/>
  <c r="BH3" i="11"/>
  <c r="BH870" i="1"/>
  <c r="BH75" i="1" l="1"/>
  <c r="BH80" i="1"/>
  <c r="BH76" i="1"/>
  <c r="BI207" i="1"/>
  <c r="BI199" i="1"/>
  <c r="BI217" i="1" s="1"/>
  <c r="BH84" i="1"/>
  <c r="BH88" i="1" s="1"/>
  <c r="BG238" i="1"/>
  <c r="BG219" i="1"/>
  <c r="BI374" i="1"/>
  <c r="BI369" i="1"/>
  <c r="BI333" i="1"/>
  <c r="BI376" i="1"/>
  <c r="BI371" i="1"/>
  <c r="BI370" i="1"/>
  <c r="BI328" i="1"/>
  <c r="BI377" i="1"/>
  <c r="BI368" i="1"/>
  <c r="BI335" i="1"/>
  <c r="BI332" i="1"/>
  <c r="BI375" i="1"/>
  <c r="BI343" i="1"/>
  <c r="BI326" i="1"/>
  <c r="BI385" i="1"/>
  <c r="BI379" i="1"/>
  <c r="BI372" i="1"/>
  <c r="BI329" i="1"/>
  <c r="BI378" i="1"/>
  <c r="BI336" i="1"/>
  <c r="BI327" i="1"/>
  <c r="BI367" i="1"/>
  <c r="BI339" i="1"/>
  <c r="BI334" i="1"/>
  <c r="BI197" i="1"/>
  <c r="BI180" i="1"/>
  <c r="BI342" i="1"/>
  <c r="BI325" i="1"/>
  <c r="BI200" i="1"/>
  <c r="BI182" i="1"/>
  <c r="BH175" i="1"/>
  <c r="BH213" i="1" s="1"/>
  <c r="BI78" i="1"/>
  <c r="BI56" i="1"/>
  <c r="BI181" i="1"/>
  <c r="BI60" i="1"/>
  <c r="BI59" i="1"/>
  <c r="BI61" i="1" s="1"/>
  <c r="BI79" i="1"/>
  <c r="BI76" i="1" s="1"/>
  <c r="BI384" i="1"/>
  <c r="BI386" i="1"/>
  <c r="BI341" i="1"/>
  <c r="BI383" i="1"/>
  <c r="BI381" i="1"/>
  <c r="BI330" i="1"/>
  <c r="BI340" i="1"/>
  <c r="BI382" i="1"/>
  <c r="BI337" i="1"/>
  <c r="BI57" i="1"/>
  <c r="BI84" i="1" s="1"/>
  <c r="BI88" i="1" s="1"/>
  <c r="BI344" i="1"/>
  <c r="BF594" i="1"/>
  <c r="BG594" i="1"/>
  <c r="BH594" i="1"/>
  <c r="BE594" i="1"/>
  <c r="BI3" i="11"/>
  <c r="BI890" i="1"/>
  <c r="BI881" i="1"/>
  <c r="BI879" i="1" s="1"/>
  <c r="BI615" i="1" s="1"/>
  <c r="BI874" i="1"/>
  <c r="BI872" i="1" s="1"/>
  <c r="BI614" i="1" s="1"/>
  <c r="BI883" i="1"/>
  <c r="BI888" i="1"/>
  <c r="BI886" i="1" s="1"/>
  <c r="BI616" i="1" s="1"/>
  <c r="BI876" i="1"/>
  <c r="BF65" i="1"/>
  <c r="BF64" i="1"/>
  <c r="BH201" i="1"/>
  <c r="BH239" i="1" s="1"/>
  <c r="BF63" i="1"/>
  <c r="BH61" i="1"/>
  <c r="BI897" i="1"/>
  <c r="BH83" i="1"/>
  <c r="BH58" i="1"/>
  <c r="BH119" i="1"/>
  <c r="BG62" i="1"/>
  <c r="BG63" i="1"/>
  <c r="BH890" i="1"/>
  <c r="BH876" i="1"/>
  <c r="BH881" i="1"/>
  <c r="BH879" i="1" s="1"/>
  <c r="BH615" i="1" s="1"/>
  <c r="BH874" i="1"/>
  <c r="BH872" i="1" s="1"/>
  <c r="BH614" i="1" s="1"/>
  <c r="BH883" i="1"/>
  <c r="BH888" i="1"/>
  <c r="BH886" i="1" s="1"/>
  <c r="BH616" i="1" s="1"/>
  <c r="BH897" i="1"/>
  <c r="BH895" i="1"/>
  <c r="BH893" i="1" s="1"/>
  <c r="BH618" i="1" s="1"/>
  <c r="BI198" i="1"/>
  <c r="BJ1" i="9"/>
  <c r="BJ900" i="1"/>
  <c r="BJ3" i="1"/>
  <c r="BK4" i="1"/>
  <c r="BJ4" i="11"/>
  <c r="BG87" i="1"/>
  <c r="BG85" i="1"/>
  <c r="BK1" i="9" l="1"/>
  <c r="BK900" i="1"/>
  <c r="BK870" i="1"/>
  <c r="BK3" i="1"/>
  <c r="BL4" i="1"/>
  <c r="BK4" i="11"/>
  <c r="BI80" i="1"/>
  <c r="BI75" i="1"/>
  <c r="BG64" i="1"/>
  <c r="BG65" i="1"/>
  <c r="BH62" i="1"/>
  <c r="BH63" i="1" s="1"/>
  <c r="BJ182" i="1"/>
  <c r="BJ218" i="1" s="1"/>
  <c r="BJ200" i="1"/>
  <c r="BJ78" i="1"/>
  <c r="BJ56" i="1"/>
  <c r="BJ199" i="1"/>
  <c r="BJ217" i="1" s="1"/>
  <c r="BJ181" i="1"/>
  <c r="BJ59" i="1"/>
  <c r="BJ61" i="1" s="1"/>
  <c r="BJ198" i="1"/>
  <c r="BJ79" i="1"/>
  <c r="BJ197" i="1"/>
  <c r="BJ180" i="1"/>
  <c r="BJ60" i="1"/>
  <c r="BJ57" i="1"/>
  <c r="BJ84" i="1" s="1"/>
  <c r="BJ88" i="1" s="1"/>
  <c r="BJ3" i="11"/>
  <c r="BH87" i="1"/>
  <c r="BH85" i="1"/>
  <c r="BI216" i="1"/>
  <c r="BH181" i="1"/>
  <c r="BH216" i="1" s="1"/>
  <c r="BI215" i="1"/>
  <c r="BI183" i="1"/>
  <c r="BH180" i="1"/>
  <c r="BI218" i="1"/>
  <c r="BH182" i="1"/>
  <c r="BH218" i="1" s="1"/>
  <c r="BJ870" i="1"/>
  <c r="BI83" i="1"/>
  <c r="BI58" i="1"/>
  <c r="BI119" i="1"/>
  <c r="BI201" i="1"/>
  <c r="BI239" i="1" s="1"/>
  <c r="BL1" i="9" l="1"/>
  <c r="BL900" i="1"/>
  <c r="BL870" i="1"/>
  <c r="BL895" i="1" s="1"/>
  <c r="BL893" i="1" s="1"/>
  <c r="BL618" i="1" s="1"/>
  <c r="BM4" i="1"/>
  <c r="BL3" i="1"/>
  <c r="BL4" i="11"/>
  <c r="BK182" i="1"/>
  <c r="BK79" i="1"/>
  <c r="BK56" i="1"/>
  <c r="BK198" i="1"/>
  <c r="BK199" i="1"/>
  <c r="BK217" i="1" s="1"/>
  <c r="BK181" i="1"/>
  <c r="BK216" i="1" s="1"/>
  <c r="BK59" i="1"/>
  <c r="BK197" i="1"/>
  <c r="BK200" i="1"/>
  <c r="BK180" i="1"/>
  <c r="BK78" i="1"/>
  <c r="BK57" i="1"/>
  <c r="BK84" i="1" s="1"/>
  <c r="BK88" i="1" s="1"/>
  <c r="BK60" i="1"/>
  <c r="BK3" i="11"/>
  <c r="BK888" i="1"/>
  <c r="BK886" i="1" s="1"/>
  <c r="BK616" i="1" s="1"/>
  <c r="BK874" i="1"/>
  <c r="BK872" i="1" s="1"/>
  <c r="BK614" i="1" s="1"/>
  <c r="BK883" i="1"/>
  <c r="BK890" i="1"/>
  <c r="BK876" i="1"/>
  <c r="BK881" i="1"/>
  <c r="BK879" i="1" s="1"/>
  <c r="BK615" i="1" s="1"/>
  <c r="BK895" i="1"/>
  <c r="BK893" i="1" s="1"/>
  <c r="BK618" i="1" s="1"/>
  <c r="BK897" i="1"/>
  <c r="BJ874" i="1"/>
  <c r="BJ872" i="1" s="1"/>
  <c r="BJ614" i="1" s="1"/>
  <c r="BJ883" i="1"/>
  <c r="BJ888" i="1"/>
  <c r="BJ886" i="1" s="1"/>
  <c r="BJ616" i="1" s="1"/>
  <c r="BJ890" i="1"/>
  <c r="BJ881" i="1"/>
  <c r="BJ879" i="1" s="1"/>
  <c r="BJ615" i="1" s="1"/>
  <c r="BJ876" i="1"/>
  <c r="BJ897" i="1"/>
  <c r="BJ895" i="1"/>
  <c r="BJ893" i="1" s="1"/>
  <c r="BJ618" i="1" s="1"/>
  <c r="BJ215" i="1"/>
  <c r="BJ183" i="1"/>
  <c r="BJ75" i="1"/>
  <c r="BJ80" i="1"/>
  <c r="BJ216" i="1"/>
  <c r="BH215" i="1"/>
  <c r="BH183" i="1"/>
  <c r="BI219" i="1"/>
  <c r="BI238" i="1"/>
  <c r="BI62" i="1"/>
  <c r="BJ201" i="1"/>
  <c r="BJ239" i="1" s="1"/>
  <c r="BH64" i="1"/>
  <c r="BH65" i="1"/>
  <c r="BJ83" i="1"/>
  <c r="BJ58" i="1"/>
  <c r="BJ119" i="1"/>
  <c r="BI87" i="1"/>
  <c r="BI85" i="1"/>
  <c r="BJ76" i="1"/>
  <c r="BJ62" i="1" l="1"/>
  <c r="BK61" i="1"/>
  <c r="BL200" i="1"/>
  <c r="BL181" i="1"/>
  <c r="BL216" i="1" s="1"/>
  <c r="BL182" i="1"/>
  <c r="BL218" i="1" s="1"/>
  <c r="BL199" i="1"/>
  <c r="BL217" i="1" s="1"/>
  <c r="BL198" i="1"/>
  <c r="BL197" i="1"/>
  <c r="BL79" i="1"/>
  <c r="BL180" i="1"/>
  <c r="BL78" i="1"/>
  <c r="BL56" i="1"/>
  <c r="BL59" i="1"/>
  <c r="BL61" i="1" s="1"/>
  <c r="BL57" i="1"/>
  <c r="BL84" i="1" s="1"/>
  <c r="BL88" i="1" s="1"/>
  <c r="BL60" i="1"/>
  <c r="BL3" i="11"/>
  <c r="BM1" i="9"/>
  <c r="BM900" i="1"/>
  <c r="BM870" i="1"/>
  <c r="BN4" i="1"/>
  <c r="BM3" i="1"/>
  <c r="BM4" i="11"/>
  <c r="BH219" i="1"/>
  <c r="BH238" i="1"/>
  <c r="BJ87" i="1"/>
  <c r="BJ85" i="1"/>
  <c r="BK75" i="1"/>
  <c r="BK80" i="1"/>
  <c r="BK119" i="1"/>
  <c r="BK58" i="1"/>
  <c r="BK83" i="1"/>
  <c r="BK215" i="1"/>
  <c r="BK183" i="1"/>
  <c r="BK76" i="1"/>
  <c r="BI111" i="1"/>
  <c r="BI110" i="1"/>
  <c r="BI64" i="1"/>
  <c r="BI65" i="1"/>
  <c r="BI109" i="1"/>
  <c r="BK218" i="1"/>
  <c r="BL888" i="1"/>
  <c r="BL886" i="1" s="1"/>
  <c r="BL616" i="1" s="1"/>
  <c r="BL874" i="1"/>
  <c r="BL872" i="1" s="1"/>
  <c r="BL614" i="1" s="1"/>
  <c r="BL883" i="1"/>
  <c r="BL890" i="1"/>
  <c r="BL876" i="1"/>
  <c r="BL881" i="1"/>
  <c r="BL879" i="1" s="1"/>
  <c r="BL615" i="1" s="1"/>
  <c r="BL897" i="1"/>
  <c r="BI63" i="1"/>
  <c r="BJ238" i="1"/>
  <c r="BJ219" i="1"/>
  <c r="BK201" i="1"/>
  <c r="BK239" i="1" s="1"/>
  <c r="BN1" i="9" l="1"/>
  <c r="BN900" i="1"/>
  <c r="BN870" i="1"/>
  <c r="BO4" i="1"/>
  <c r="BN3" i="1"/>
  <c r="BN4" i="11"/>
  <c r="BM888" i="1"/>
  <c r="BM886" i="1" s="1"/>
  <c r="BM616" i="1" s="1"/>
  <c r="BM883" i="1"/>
  <c r="BM890" i="1"/>
  <c r="BM876" i="1"/>
  <c r="BM881" i="1"/>
  <c r="BM879" i="1" s="1"/>
  <c r="BM615" i="1" s="1"/>
  <c r="BM874" i="1"/>
  <c r="BM872" i="1" s="1"/>
  <c r="BM614" i="1" s="1"/>
  <c r="BM897" i="1"/>
  <c r="BL119" i="1"/>
  <c r="BL83" i="1"/>
  <c r="BL58" i="1"/>
  <c r="BM895" i="1"/>
  <c r="BM893" i="1" s="1"/>
  <c r="BM618" i="1" s="1"/>
  <c r="BL80" i="1"/>
  <c r="BL75" i="1"/>
  <c r="BK85" i="1"/>
  <c r="BK87" i="1"/>
  <c r="BL215" i="1"/>
  <c r="BL183" i="1"/>
  <c r="BL76" i="1"/>
  <c r="BJ65" i="1"/>
  <c r="BJ64" i="1"/>
  <c r="BK238" i="1"/>
  <c r="BK219" i="1"/>
  <c r="BK63" i="1"/>
  <c r="BK62" i="1"/>
  <c r="BM200" i="1"/>
  <c r="BM78" i="1"/>
  <c r="BM59" i="1"/>
  <c r="BM61" i="1" s="1"/>
  <c r="BM199" i="1"/>
  <c r="BM217" i="1" s="1"/>
  <c r="BM197" i="1"/>
  <c r="BM201" i="1" s="1"/>
  <c r="BM239" i="1" s="1"/>
  <c r="BM79" i="1"/>
  <c r="BM76" i="1" s="1"/>
  <c r="BM56" i="1"/>
  <c r="BM198" i="1"/>
  <c r="BM60" i="1"/>
  <c r="BM57" i="1"/>
  <c r="BM84" i="1" s="1"/>
  <c r="BM88" i="1" s="1"/>
  <c r="BM3" i="11"/>
  <c r="BN188" i="1"/>
  <c r="BL201" i="1"/>
  <c r="BL239" i="1" s="1"/>
  <c r="BJ63" i="1"/>
  <c r="BN189" i="1" l="1"/>
  <c r="BN193" i="1"/>
  <c r="BN198" i="1"/>
  <c r="BN206" i="1"/>
  <c r="BN211" i="1" s="1"/>
  <c r="BM119" i="1"/>
  <c r="BM58" i="1"/>
  <c r="BM83" i="1"/>
  <c r="BN368" i="1"/>
  <c r="BN339" i="1"/>
  <c r="BN334" i="1"/>
  <c r="BN325" i="1"/>
  <c r="BN375" i="1"/>
  <c r="BN370" i="1"/>
  <c r="BN377" i="1"/>
  <c r="BN340" i="1"/>
  <c r="BN335" i="1"/>
  <c r="BN332" i="1"/>
  <c r="BN343" i="1"/>
  <c r="BN326" i="1"/>
  <c r="BN197" i="1"/>
  <c r="BN180" i="1"/>
  <c r="BN385" i="1"/>
  <c r="BN329" i="1"/>
  <c r="BN378" i="1"/>
  <c r="BN371" i="1"/>
  <c r="BN341" i="1"/>
  <c r="BN336" i="1"/>
  <c r="BN333" i="1"/>
  <c r="BN383" i="1"/>
  <c r="BN369" i="1"/>
  <c r="BN327" i="1"/>
  <c r="BN376" i="1"/>
  <c r="BN367" i="1"/>
  <c r="BN374" i="1"/>
  <c r="BN342" i="1"/>
  <c r="BN79" i="1"/>
  <c r="BN384" i="1"/>
  <c r="BN344" i="1"/>
  <c r="BN328" i="1"/>
  <c r="BM175" i="1"/>
  <c r="BM213" i="1" s="1"/>
  <c r="BN200" i="1"/>
  <c r="BN182" i="1"/>
  <c r="BN78" i="1"/>
  <c r="BN56" i="1"/>
  <c r="BN60" i="1"/>
  <c r="BN59" i="1"/>
  <c r="BN61" i="1" s="1"/>
  <c r="BN382" i="1"/>
  <c r="BN372" i="1"/>
  <c r="BN181" i="1"/>
  <c r="BN386" i="1"/>
  <c r="BN379" i="1"/>
  <c r="BN337" i="1"/>
  <c r="BN381" i="1"/>
  <c r="BN57" i="1"/>
  <c r="BN84" i="1" s="1"/>
  <c r="BN88" i="1" s="1"/>
  <c r="BN330" i="1"/>
  <c r="BJ594" i="1"/>
  <c r="BK594" i="1"/>
  <c r="BL594" i="1"/>
  <c r="BM594" i="1"/>
  <c r="BN3" i="11"/>
  <c r="BO1" i="9"/>
  <c r="BO900" i="1"/>
  <c r="BP4" i="1"/>
  <c r="BO3" i="1"/>
  <c r="BO870" i="1" s="1"/>
  <c r="BO4" i="11"/>
  <c r="BN890" i="1"/>
  <c r="BN888" i="1"/>
  <c r="BN886" i="1" s="1"/>
  <c r="BN616" i="1" s="1"/>
  <c r="BN876" i="1"/>
  <c r="BN881" i="1"/>
  <c r="BN879" i="1" s="1"/>
  <c r="BN615" i="1" s="1"/>
  <c r="BN883" i="1"/>
  <c r="BN874" i="1"/>
  <c r="BN872" i="1" s="1"/>
  <c r="BN614" i="1" s="1"/>
  <c r="BN897" i="1"/>
  <c r="BN895" i="1"/>
  <c r="BN893" i="1" s="1"/>
  <c r="BN618" i="1" s="1"/>
  <c r="BM75" i="1"/>
  <c r="BM80" i="1"/>
  <c r="BL63" i="1"/>
  <c r="BL62" i="1"/>
  <c r="BL238" i="1"/>
  <c r="BL219" i="1"/>
  <c r="BL85" i="1"/>
  <c r="BL87" i="1"/>
  <c r="BK65" i="1"/>
  <c r="BK64" i="1"/>
  <c r="BO890" i="1" l="1"/>
  <c r="BO888" i="1"/>
  <c r="BO886" i="1" s="1"/>
  <c r="BO616" i="1" s="1"/>
  <c r="BO876" i="1"/>
  <c r="BO881" i="1"/>
  <c r="BO879" i="1" s="1"/>
  <c r="BO615" i="1" s="1"/>
  <c r="BO874" i="1"/>
  <c r="BO872" i="1" s="1"/>
  <c r="BO614" i="1" s="1"/>
  <c r="BO883" i="1"/>
  <c r="BO897" i="1"/>
  <c r="BO895" i="1"/>
  <c r="BO893" i="1" s="1"/>
  <c r="BO618" i="1" s="1"/>
  <c r="BM62" i="1"/>
  <c r="BP1" i="9"/>
  <c r="BP897" i="1"/>
  <c r="BP900" i="1"/>
  <c r="BP895" i="1"/>
  <c r="BP893" i="1" s="1"/>
  <c r="BP618" i="1" s="1"/>
  <c r="BP870" i="1"/>
  <c r="BP3" i="1"/>
  <c r="BQ4" i="1"/>
  <c r="BP4" i="11"/>
  <c r="BN75" i="1"/>
  <c r="BN80" i="1"/>
  <c r="BN119" i="1"/>
  <c r="BN58" i="1"/>
  <c r="BN83" i="1"/>
  <c r="BN76" i="1"/>
  <c r="BM182" i="1"/>
  <c r="BM218" i="1" s="1"/>
  <c r="BN218" i="1"/>
  <c r="BM85" i="1"/>
  <c r="BM87" i="1"/>
  <c r="BN183" i="1"/>
  <c r="BN215" i="1"/>
  <c r="BM180" i="1"/>
  <c r="BO199" i="1"/>
  <c r="BO217" i="1" s="1"/>
  <c r="BO197" i="1"/>
  <c r="BO180" i="1"/>
  <c r="BO200" i="1"/>
  <c r="BO181" i="1"/>
  <c r="BO198" i="1"/>
  <c r="BO182" i="1"/>
  <c r="BO78" i="1"/>
  <c r="BO56" i="1"/>
  <c r="BO60" i="1"/>
  <c r="BO79" i="1"/>
  <c r="BO76" i="1" s="1"/>
  <c r="BO59" i="1"/>
  <c r="BO61" i="1" s="1"/>
  <c r="BO57" i="1"/>
  <c r="BO84" i="1" s="1"/>
  <c r="BO88" i="1" s="1"/>
  <c r="BO3" i="11"/>
  <c r="BL65" i="1"/>
  <c r="BL64" i="1"/>
  <c r="BM181" i="1"/>
  <c r="BM216" i="1" s="1"/>
  <c r="BN216" i="1"/>
  <c r="BN199" i="1"/>
  <c r="BN217" i="1" s="1"/>
  <c r="BN207" i="1"/>
  <c r="BO215" i="1" l="1"/>
  <c r="BO183" i="1"/>
  <c r="BO218" i="1"/>
  <c r="BN85" i="1"/>
  <c r="BN87" i="1"/>
  <c r="BP890" i="1"/>
  <c r="BP888" i="1"/>
  <c r="BP886" i="1" s="1"/>
  <c r="BP616" i="1" s="1"/>
  <c r="BP876" i="1"/>
  <c r="BP881" i="1"/>
  <c r="BP879" i="1" s="1"/>
  <c r="BP615" i="1" s="1"/>
  <c r="BP874" i="1"/>
  <c r="BP872" i="1" s="1"/>
  <c r="BP614" i="1" s="1"/>
  <c r="BP883" i="1"/>
  <c r="BN238" i="1"/>
  <c r="BN62" i="1"/>
  <c r="BN63" i="1"/>
  <c r="BO216" i="1"/>
  <c r="BO83" i="1"/>
  <c r="BO58" i="1"/>
  <c r="BO119" i="1"/>
  <c r="BO201" i="1"/>
  <c r="BO239" i="1" s="1"/>
  <c r="BO75" i="1"/>
  <c r="BO80" i="1"/>
  <c r="BN201" i="1"/>
  <c r="BN239" i="1" s="1"/>
  <c r="BQ1" i="9"/>
  <c r="BQ900" i="1"/>
  <c r="BQ3" i="1"/>
  <c r="BR4" i="1"/>
  <c r="BQ4" i="11"/>
  <c r="BM64" i="1"/>
  <c r="BM65" i="1"/>
  <c r="BM215" i="1"/>
  <c r="BM183" i="1"/>
  <c r="BP198" i="1"/>
  <c r="BP78" i="1"/>
  <c r="BP199" i="1"/>
  <c r="BP217" i="1" s="1"/>
  <c r="BP181" i="1"/>
  <c r="BP216" i="1" s="1"/>
  <c r="BP197" i="1"/>
  <c r="BP201" i="1" s="1"/>
  <c r="BP239" i="1" s="1"/>
  <c r="BP180" i="1"/>
  <c r="BP200" i="1"/>
  <c r="BP182" i="1"/>
  <c r="BP218" i="1" s="1"/>
  <c r="BP56" i="1"/>
  <c r="BP60" i="1"/>
  <c r="BP79" i="1"/>
  <c r="BP76" i="1" s="1"/>
  <c r="BP59" i="1"/>
  <c r="BP61" i="1" s="1"/>
  <c r="BP57" i="1"/>
  <c r="BP84" i="1" s="1"/>
  <c r="BP88" i="1" s="1"/>
  <c r="BP3" i="11"/>
  <c r="BM63" i="1"/>
  <c r="BP75" i="1" l="1"/>
  <c r="BP80" i="1"/>
  <c r="BP215" i="1"/>
  <c r="BP183" i="1"/>
  <c r="BN219" i="1"/>
  <c r="BR1" i="9"/>
  <c r="BR900" i="1"/>
  <c r="BR3" i="1"/>
  <c r="BR870" i="1" s="1"/>
  <c r="BS4" i="1"/>
  <c r="BR4" i="11"/>
  <c r="BQ198" i="1"/>
  <c r="BQ199" i="1"/>
  <c r="BQ217" i="1" s="1"/>
  <c r="BQ197" i="1"/>
  <c r="BQ180" i="1"/>
  <c r="BQ181" i="1"/>
  <c r="BQ200" i="1"/>
  <c r="BQ182" i="1"/>
  <c r="BQ218" i="1" s="1"/>
  <c r="BQ56" i="1"/>
  <c r="BQ78" i="1"/>
  <c r="BQ60" i="1"/>
  <c r="BQ59" i="1"/>
  <c r="BQ79" i="1"/>
  <c r="BQ57" i="1"/>
  <c r="BQ3" i="11"/>
  <c r="BS188" i="1"/>
  <c r="BN110" i="1"/>
  <c r="BN109" i="1"/>
  <c r="BN65" i="1"/>
  <c r="BN64" i="1"/>
  <c r="BN111" i="1"/>
  <c r="BP83" i="1"/>
  <c r="BP119" i="1"/>
  <c r="BP58" i="1"/>
  <c r="BM238" i="1"/>
  <c r="BM219" i="1"/>
  <c r="BQ870" i="1"/>
  <c r="BO62" i="1"/>
  <c r="BO63" i="1"/>
  <c r="BO238" i="1"/>
  <c r="BO219" i="1"/>
  <c r="BO85" i="1"/>
  <c r="BO87" i="1"/>
  <c r="BR890" i="1" l="1"/>
  <c r="BR888" i="1"/>
  <c r="BR886" i="1" s="1"/>
  <c r="BR616" i="1" s="1"/>
  <c r="BR874" i="1"/>
  <c r="BR872" i="1" s="1"/>
  <c r="BR614" i="1" s="1"/>
  <c r="BR883" i="1"/>
  <c r="BR881" i="1"/>
  <c r="BR879" i="1" s="1"/>
  <c r="BR615" i="1" s="1"/>
  <c r="BR876" i="1"/>
  <c r="BR895" i="1"/>
  <c r="BR893" i="1" s="1"/>
  <c r="BR618" i="1" s="1"/>
  <c r="BR897" i="1"/>
  <c r="BQ890" i="1"/>
  <c r="BQ881" i="1"/>
  <c r="BQ879" i="1" s="1"/>
  <c r="BQ615" i="1" s="1"/>
  <c r="BQ888" i="1"/>
  <c r="BQ886" i="1" s="1"/>
  <c r="BQ616" i="1" s="1"/>
  <c r="BQ874" i="1"/>
  <c r="BQ872" i="1" s="1"/>
  <c r="BQ614" i="1" s="1"/>
  <c r="BQ883" i="1"/>
  <c r="BQ876" i="1"/>
  <c r="BQ895" i="1"/>
  <c r="BQ893" i="1" s="1"/>
  <c r="BQ618" i="1" s="1"/>
  <c r="BQ897" i="1"/>
  <c r="BP219" i="1"/>
  <c r="BP238" i="1"/>
  <c r="BQ119" i="1"/>
  <c r="BQ58" i="1"/>
  <c r="BQ83" i="1"/>
  <c r="BS198" i="1"/>
  <c r="BS189" i="1"/>
  <c r="BS193" i="1"/>
  <c r="BS206" i="1"/>
  <c r="BS211" i="1" s="1"/>
  <c r="BS1" i="9"/>
  <c r="BS900" i="1"/>
  <c r="BS870" i="1"/>
  <c r="BS895" i="1" s="1"/>
  <c r="BS893" i="1" s="1"/>
  <c r="BS618" i="1" s="1"/>
  <c r="BS3" i="1"/>
  <c r="BT4" i="1"/>
  <c r="BS4" i="11"/>
  <c r="BQ80" i="1"/>
  <c r="BQ75" i="1"/>
  <c r="BQ84" i="1"/>
  <c r="BQ88" i="1" s="1"/>
  <c r="BQ76" i="1"/>
  <c r="BQ215" i="1"/>
  <c r="BQ183" i="1"/>
  <c r="BP62" i="1"/>
  <c r="BP63" i="1"/>
  <c r="BR197" i="1"/>
  <c r="BR200" i="1"/>
  <c r="BR56" i="1"/>
  <c r="BR78" i="1"/>
  <c r="BR59" i="1"/>
  <c r="BR61" i="1" s="1"/>
  <c r="BR79" i="1"/>
  <c r="BR198" i="1"/>
  <c r="BR199" i="1"/>
  <c r="BR217" i="1" s="1"/>
  <c r="BR60" i="1"/>
  <c r="BR57" i="1"/>
  <c r="BR3" i="11"/>
  <c r="BP87" i="1"/>
  <c r="BP85" i="1"/>
  <c r="BQ216" i="1"/>
  <c r="BO64" i="1"/>
  <c r="BO65" i="1"/>
  <c r="BQ61" i="1"/>
  <c r="BQ201" i="1"/>
  <c r="BQ239" i="1" s="1"/>
  <c r="BR76" i="1" l="1"/>
  <c r="BQ219" i="1"/>
  <c r="BQ238" i="1"/>
  <c r="BS367" i="1"/>
  <c r="BS340" i="1"/>
  <c r="BS335" i="1"/>
  <c r="BS326" i="1"/>
  <c r="BS374" i="1"/>
  <c r="BS369" i="1"/>
  <c r="BS368" i="1"/>
  <c r="BS343" i="1"/>
  <c r="BS182" i="1"/>
  <c r="BS375" i="1"/>
  <c r="BS329" i="1"/>
  <c r="BS79" i="1"/>
  <c r="BS76" i="1" s="1"/>
  <c r="BS56" i="1"/>
  <c r="BS378" i="1"/>
  <c r="BS371" i="1"/>
  <c r="BS341" i="1"/>
  <c r="BS336" i="1"/>
  <c r="BS333" i="1"/>
  <c r="BS383" i="1"/>
  <c r="BS327" i="1"/>
  <c r="BS376" i="1"/>
  <c r="BS330" i="1"/>
  <c r="BS342" i="1"/>
  <c r="BS339" i="1"/>
  <c r="BS334" i="1"/>
  <c r="BS384" i="1"/>
  <c r="BS328" i="1"/>
  <c r="BS325" i="1"/>
  <c r="BS377" i="1"/>
  <c r="BS370" i="1"/>
  <c r="BS332" i="1"/>
  <c r="BS197" i="1"/>
  <c r="BS200" i="1"/>
  <c r="BS180" i="1"/>
  <c r="BS78" i="1"/>
  <c r="BS59" i="1"/>
  <c r="BS61" i="1" s="1"/>
  <c r="BS379" i="1"/>
  <c r="BS57" i="1"/>
  <c r="BS60" i="1"/>
  <c r="BS385" i="1"/>
  <c r="BS372" i="1"/>
  <c r="BS181" i="1"/>
  <c r="BS382" i="1"/>
  <c r="BS337" i="1"/>
  <c r="BS381" i="1"/>
  <c r="BS344" i="1"/>
  <c r="BP594" i="1"/>
  <c r="BQ594" i="1"/>
  <c r="BO594" i="1"/>
  <c r="BS386" i="1"/>
  <c r="BR594" i="1"/>
  <c r="BS3" i="11"/>
  <c r="BR80" i="1"/>
  <c r="BR75" i="1"/>
  <c r="BS897" i="1"/>
  <c r="BR83" i="1"/>
  <c r="BR58" i="1"/>
  <c r="BR119" i="1"/>
  <c r="BQ87" i="1"/>
  <c r="BQ85" i="1"/>
  <c r="BS888" i="1"/>
  <c r="BS886" i="1" s="1"/>
  <c r="BS616" i="1" s="1"/>
  <c r="BS890" i="1"/>
  <c r="BS874" i="1"/>
  <c r="BS872" i="1" s="1"/>
  <c r="BS614" i="1" s="1"/>
  <c r="BS883" i="1"/>
  <c r="BS876" i="1"/>
  <c r="BS881" i="1"/>
  <c r="BS879" i="1" s="1"/>
  <c r="BS615" i="1" s="1"/>
  <c r="BS207" i="1"/>
  <c r="BS199" i="1"/>
  <c r="BS217" i="1" s="1"/>
  <c r="BR84" i="1"/>
  <c r="BR88" i="1" s="1"/>
  <c r="BQ62" i="1"/>
  <c r="BQ63" i="1"/>
  <c r="BR201" i="1"/>
  <c r="BR239" i="1" s="1"/>
  <c r="BP64" i="1"/>
  <c r="BP65" i="1"/>
  <c r="BT900" i="1"/>
  <c r="BT1" i="9"/>
  <c r="BU4" i="1"/>
  <c r="BT3" i="1"/>
  <c r="BT4" i="11"/>
  <c r="BS119" i="1" l="1"/>
  <c r="BS58" i="1"/>
  <c r="BS83" i="1"/>
  <c r="BS80" i="1"/>
  <c r="BS75" i="1"/>
  <c r="BS216" i="1"/>
  <c r="BR181" i="1"/>
  <c r="BR216" i="1" s="1"/>
  <c r="BS215" i="1"/>
  <c r="BS183" i="1"/>
  <c r="BR180" i="1"/>
  <c r="BS218" i="1"/>
  <c r="BR182" i="1"/>
  <c r="BR218" i="1" s="1"/>
  <c r="BT200" i="1"/>
  <c r="BT181" i="1"/>
  <c r="BT180" i="1"/>
  <c r="BT182" i="1"/>
  <c r="BT78" i="1"/>
  <c r="BT59" i="1"/>
  <c r="BT56" i="1"/>
  <c r="BT199" i="1"/>
  <c r="BT79" i="1"/>
  <c r="BT198" i="1"/>
  <c r="BT197" i="1"/>
  <c r="BT57" i="1"/>
  <c r="BT60" i="1"/>
  <c r="BT3" i="11"/>
  <c r="BU900" i="1"/>
  <c r="BU895" i="1"/>
  <c r="BU893" i="1" s="1"/>
  <c r="BU618" i="1" s="1"/>
  <c r="BU1" i="9"/>
  <c r="BU897" i="1"/>
  <c r="BU870" i="1"/>
  <c r="BV4" i="1"/>
  <c r="BU3" i="1"/>
  <c r="BU4" i="11"/>
  <c r="BS201" i="1"/>
  <c r="BS239" i="1" s="1"/>
  <c r="BR62" i="1"/>
  <c r="BT870" i="1"/>
  <c r="BR85" i="1"/>
  <c r="BR87" i="1"/>
  <c r="BQ64" i="1"/>
  <c r="BQ65" i="1"/>
  <c r="BS84" i="1"/>
  <c r="BS88" i="1" s="1"/>
  <c r="BT216" i="1" l="1"/>
  <c r="BT888" i="1"/>
  <c r="BT886" i="1" s="1"/>
  <c r="BT616" i="1" s="1"/>
  <c r="BT874" i="1"/>
  <c r="BT872" i="1" s="1"/>
  <c r="BT614" i="1" s="1"/>
  <c r="BT883" i="1"/>
  <c r="BT890" i="1"/>
  <c r="BT876" i="1"/>
  <c r="BT881" i="1"/>
  <c r="BT879" i="1" s="1"/>
  <c r="BT615" i="1" s="1"/>
  <c r="BT897" i="1"/>
  <c r="BT895" i="1"/>
  <c r="BT893" i="1" s="1"/>
  <c r="BT618" i="1" s="1"/>
  <c r="BT217" i="1"/>
  <c r="BT84" i="1"/>
  <c r="BT119" i="1"/>
  <c r="BT58" i="1"/>
  <c r="BT83" i="1"/>
  <c r="BT61" i="1"/>
  <c r="BT201" i="1"/>
  <c r="BT239" i="1" s="1"/>
  <c r="BT218" i="1"/>
  <c r="BS85" i="1"/>
  <c r="BS87" i="1"/>
  <c r="BU545" i="1"/>
  <c r="BU542" i="1"/>
  <c r="BT80" i="1"/>
  <c r="BT75" i="1"/>
  <c r="BX75" i="1" s="1"/>
  <c r="BT183" i="1"/>
  <c r="BT215" i="1"/>
  <c r="BR183" i="1"/>
  <c r="BR215" i="1"/>
  <c r="BS62" i="1"/>
  <c r="BU888" i="1"/>
  <c r="BU886" i="1" s="1"/>
  <c r="BU883" i="1"/>
  <c r="BU890" i="1"/>
  <c r="BU876" i="1"/>
  <c r="BU881" i="1"/>
  <c r="BU879" i="1" s="1"/>
  <c r="BU874" i="1"/>
  <c r="BU872" i="1" s="1"/>
  <c r="BR64" i="1"/>
  <c r="BR65" i="1"/>
  <c r="BR63" i="1"/>
  <c r="BU200" i="1"/>
  <c r="BU59" i="1"/>
  <c r="BU182" i="1"/>
  <c r="BU218" i="1" s="1"/>
  <c r="BU60" i="1"/>
  <c r="BU79" i="1" s="1"/>
  <c r="BU199" i="1"/>
  <c r="BU217" i="1" s="1"/>
  <c r="BU198" i="1"/>
  <c r="BU57" i="1"/>
  <c r="BU56" i="1"/>
  <c r="BU181" i="1"/>
  <c r="BU216" i="1" s="1"/>
  <c r="BU180" i="1"/>
  <c r="BU197" i="1"/>
  <c r="BU201" i="1" s="1"/>
  <c r="BU232" i="1" s="1"/>
  <c r="BU3" i="11"/>
  <c r="BV1" i="9"/>
  <c r="BV900" i="1"/>
  <c r="BV895" i="1"/>
  <c r="BV893" i="1" s="1"/>
  <c r="BV618" i="1" s="1"/>
  <c r="BV897" i="1"/>
  <c r="BV870" i="1"/>
  <c r="BW4" i="1"/>
  <c r="BV3" i="1"/>
  <c r="BV4" i="11"/>
  <c r="BT76" i="1"/>
  <c r="BX76" i="1" s="1"/>
  <c r="BS238" i="1"/>
  <c r="BS219" i="1"/>
  <c r="BU215" i="1" l="1"/>
  <c r="BU183" i="1"/>
  <c r="BU78" i="1"/>
  <c r="BU61" i="1"/>
  <c r="BV535" i="1"/>
  <c r="BV569" i="1" s="1"/>
  <c r="BU547" i="1"/>
  <c r="BU553" i="1"/>
  <c r="BU556" i="1" s="1"/>
  <c r="BU535" i="1"/>
  <c r="BU548" i="1"/>
  <c r="BV542" i="1"/>
  <c r="BV545" i="1"/>
  <c r="BU83" i="1"/>
  <c r="BU58" i="1"/>
  <c r="BT238" i="1"/>
  <c r="BT219" i="1"/>
  <c r="BT85" i="1"/>
  <c r="BT87" i="1"/>
  <c r="BX87" i="1" s="1"/>
  <c r="BR219" i="1"/>
  <c r="BR238" i="1"/>
  <c r="BT88" i="1"/>
  <c r="BX88" i="1" s="1"/>
  <c r="BV199" i="1"/>
  <c r="BV200" i="1"/>
  <c r="BV182" i="1"/>
  <c r="BV198" i="1"/>
  <c r="BV57" i="1"/>
  <c r="BV59" i="1"/>
  <c r="BV56" i="1"/>
  <c r="BV60" i="1"/>
  <c r="BV79" i="1" s="1"/>
  <c r="BV197" i="1"/>
  <c r="BV180" i="1"/>
  <c r="BV181" i="1"/>
  <c r="BV216" i="1" s="1"/>
  <c r="BV3" i="11"/>
  <c r="BS109" i="1"/>
  <c r="BS65" i="1"/>
  <c r="BS111" i="1"/>
  <c r="BS110" i="1"/>
  <c r="BS64" i="1"/>
  <c r="BW1" i="9"/>
  <c r="BW900" i="1"/>
  <c r="BW897" i="1"/>
  <c r="BW895" i="1"/>
  <c r="BW893" i="1" s="1"/>
  <c r="BW618" i="1" s="1"/>
  <c r="BW545" i="1" s="1"/>
  <c r="BW870" i="1"/>
  <c r="BX4" i="1"/>
  <c r="BW3" i="1"/>
  <c r="BW4" i="11"/>
  <c r="BS63" i="1"/>
  <c r="BT62" i="1"/>
  <c r="BV883" i="1"/>
  <c r="BV890" i="1"/>
  <c r="BV888" i="1"/>
  <c r="BV886" i="1" s="1"/>
  <c r="BV876" i="1"/>
  <c r="BV881" i="1"/>
  <c r="BV879" i="1" s="1"/>
  <c r="BV874" i="1"/>
  <c r="BV872" i="1" s="1"/>
  <c r="BU5" i="9" l="1"/>
  <c r="BU6" i="9" s="1"/>
  <c r="BU605" i="1"/>
  <c r="BW199" i="1"/>
  <c r="BW217" i="1" s="1"/>
  <c r="BW200" i="1"/>
  <c r="BX200" i="1" s="1"/>
  <c r="BX195" i="1" s="1"/>
  <c r="BW182" i="1"/>
  <c r="BW57" i="1"/>
  <c r="BW59" i="1"/>
  <c r="BX59" i="1" s="1"/>
  <c r="BW56" i="1"/>
  <c r="BW60" i="1"/>
  <c r="BW198" i="1"/>
  <c r="BX198" i="1" s="1"/>
  <c r="BW181" i="1"/>
  <c r="BW197" i="1"/>
  <c r="BW180" i="1"/>
  <c r="BX180" i="1" s="1"/>
  <c r="BW3" i="11"/>
  <c r="BV83" i="1"/>
  <c r="BV58" i="1"/>
  <c r="BU90" i="1"/>
  <c r="BU62" i="1"/>
  <c r="BU63" i="1" s="1"/>
  <c r="BV63" i="9"/>
  <c r="BV804" i="1"/>
  <c r="BV715" i="1"/>
  <c r="BV720" i="1" s="1"/>
  <c r="BX1" i="9"/>
  <c r="BX897" i="1"/>
  <c r="BX900" i="1"/>
  <c r="BX895" i="1"/>
  <c r="BX893" i="1" s="1"/>
  <c r="BX618" i="1" s="1"/>
  <c r="BX546" i="1" s="1"/>
  <c r="BX3" i="1"/>
  <c r="BY4" i="1"/>
  <c r="BX4" i="11"/>
  <c r="BV61" i="1"/>
  <c r="BV78" i="1"/>
  <c r="BV80" i="1" s="1"/>
  <c r="BW890" i="1"/>
  <c r="BW888" i="1"/>
  <c r="BW886" i="1" s="1"/>
  <c r="BW876" i="1"/>
  <c r="BW881" i="1"/>
  <c r="BW879" i="1" s="1"/>
  <c r="BW874" i="1"/>
  <c r="BW872" i="1" s="1"/>
  <c r="BW883" i="1"/>
  <c r="BX57" i="1"/>
  <c r="BX115" i="1"/>
  <c r="BX127" i="1" s="1"/>
  <c r="BW542" i="1"/>
  <c r="BW535" i="1" s="1"/>
  <c r="BV553" i="1"/>
  <c r="BV556" i="1" s="1"/>
  <c r="BV548" i="1"/>
  <c r="BV547" i="1"/>
  <c r="BU80" i="1"/>
  <c r="BT65" i="1"/>
  <c r="BT64" i="1"/>
  <c r="BX56" i="1"/>
  <c r="BX58" i="1" s="1"/>
  <c r="BU219" i="1"/>
  <c r="BU231" i="1"/>
  <c r="BT63" i="1"/>
  <c r="BV218" i="1"/>
  <c r="BU569" i="1"/>
  <c r="BV215" i="1"/>
  <c r="BV183" i="1"/>
  <c r="BX189" i="1"/>
  <c r="BX207" i="1" s="1"/>
  <c r="BV201" i="1"/>
  <c r="BV232" i="1" s="1"/>
  <c r="BV217" i="1"/>
  <c r="BX199" i="1"/>
  <c r="BX217" i="1" s="1"/>
  <c r="BU84" i="1"/>
  <c r="BX171" i="1" l="1"/>
  <c r="BV5" i="9"/>
  <c r="BV6" i="9" s="1"/>
  <c r="BV605" i="1"/>
  <c r="BW569" i="1"/>
  <c r="BX535" i="1"/>
  <c r="BY1" i="9"/>
  <c r="BY897" i="1"/>
  <c r="BY900" i="1"/>
  <c r="BY895" i="1"/>
  <c r="BY893" i="1" s="1"/>
  <c r="BY618" i="1" s="1"/>
  <c r="BY545" i="1" s="1"/>
  <c r="BY3" i="1"/>
  <c r="BY870" i="1" s="1"/>
  <c r="BZ4" i="1"/>
  <c r="BY4" i="11"/>
  <c r="BW201" i="1"/>
  <c r="BW232" i="1" s="1"/>
  <c r="BX197" i="1"/>
  <c r="BT594" i="1"/>
  <c r="BX3" i="11"/>
  <c r="BU595" i="1"/>
  <c r="BU593" i="1"/>
  <c r="BX185" i="1"/>
  <c r="BV593" i="1"/>
  <c r="BX32" i="1"/>
  <c r="BV62" i="1"/>
  <c r="BW216" i="1"/>
  <c r="BX181" i="1"/>
  <c r="BV90" i="1"/>
  <c r="BX188" i="1"/>
  <c r="BW593" i="1"/>
  <c r="BX542" i="1"/>
  <c r="BW553" i="1"/>
  <c r="BX553" i="1" s="1"/>
  <c r="BW548" i="1"/>
  <c r="BW547" i="1"/>
  <c r="BX870" i="1"/>
  <c r="BX33" i="1"/>
  <c r="BX50" i="1"/>
  <c r="BX52" i="1" s="1"/>
  <c r="BW83" i="1"/>
  <c r="BW58" i="1"/>
  <c r="BX114" i="1"/>
  <c r="BX126" i="1" s="1"/>
  <c r="BU64" i="1"/>
  <c r="BW79" i="1"/>
  <c r="BX60" i="1"/>
  <c r="BX61" i="1" s="1"/>
  <c r="BX62" i="1" s="1"/>
  <c r="BX232" i="1"/>
  <c r="BU233" i="1"/>
  <c r="BU236" i="1" s="1"/>
  <c r="BV84" i="1"/>
  <c r="BV91" i="1" s="1"/>
  <c r="BX169" i="1"/>
  <c r="BW61" i="1"/>
  <c r="BW78" i="1"/>
  <c r="BV219" i="1"/>
  <c r="BV231" i="1"/>
  <c r="BV233" i="1" s="1"/>
  <c r="BV236" i="1" s="1"/>
  <c r="BU91" i="1"/>
  <c r="BX91" i="1" s="1"/>
  <c r="BX84" i="1"/>
  <c r="BU63" i="9"/>
  <c r="BU715" i="1"/>
  <c r="BU804" i="1"/>
  <c r="BX51" i="1"/>
  <c r="BW84" i="1"/>
  <c r="BW91" i="1" s="1"/>
  <c r="BU85" i="1"/>
  <c r="BW215" i="1"/>
  <c r="BW183" i="1"/>
  <c r="BW218" i="1"/>
  <c r="BX182" i="1"/>
  <c r="BX64" i="1" l="1"/>
  <c r="BX63" i="1"/>
  <c r="BY890" i="1"/>
  <c r="BY888" i="1"/>
  <c r="BY886" i="1" s="1"/>
  <c r="BY881" i="1"/>
  <c r="BY879" i="1" s="1"/>
  <c r="BY874" i="1"/>
  <c r="BY872" i="1" s="1"/>
  <c r="BY883" i="1"/>
  <c r="BY876" i="1"/>
  <c r="BZ1" i="9"/>
  <c r="BZ897" i="1"/>
  <c r="BZ900" i="1"/>
  <c r="BZ895" i="1"/>
  <c r="BZ893" i="1" s="1"/>
  <c r="BZ618" i="1" s="1"/>
  <c r="BZ870" i="1"/>
  <c r="BZ3" i="1"/>
  <c r="CA4" i="1"/>
  <c r="BZ4" i="11"/>
  <c r="BV8" i="1"/>
  <c r="BX172" i="1"/>
  <c r="BX173" i="1" s="1"/>
  <c r="BX216" i="1"/>
  <c r="BU509" i="1"/>
  <c r="BW85" i="1"/>
  <c r="BW90" i="1"/>
  <c r="BU597" i="1"/>
  <c r="BU510" i="1"/>
  <c r="BX593" i="1"/>
  <c r="BX594" i="1" s="1"/>
  <c r="BW219" i="1"/>
  <c r="BW231" i="1"/>
  <c r="BU92" i="1"/>
  <c r="BU95" i="1" s="1"/>
  <c r="BU7" i="1" s="1"/>
  <c r="BY57" i="1"/>
  <c r="BY199" i="1"/>
  <c r="BY181" i="1"/>
  <c r="BY56" i="1"/>
  <c r="BY200" i="1"/>
  <c r="BY182" i="1"/>
  <c r="BY59" i="1"/>
  <c r="BY60" i="1"/>
  <c r="BY180" i="1"/>
  <c r="BY197" i="1"/>
  <c r="BY198" i="1"/>
  <c r="BY3" i="11"/>
  <c r="BX79" i="1"/>
  <c r="BX116" i="1" s="1"/>
  <c r="BX128" i="1" s="1"/>
  <c r="BX890" i="1"/>
  <c r="BX876" i="1"/>
  <c r="BX881" i="1"/>
  <c r="BX879" i="1" s="1"/>
  <c r="BX874" i="1"/>
  <c r="BX872" i="1" s="1"/>
  <c r="BX883" i="1"/>
  <c r="BX888" i="1"/>
  <c r="BX886" i="1" s="1"/>
  <c r="BX193" i="1"/>
  <c r="BX177" i="1"/>
  <c r="BX548" i="1"/>
  <c r="BX556" i="1"/>
  <c r="BY542" i="1"/>
  <c r="BW63" i="9"/>
  <c r="BW715" i="1"/>
  <c r="BW720" i="1" s="1"/>
  <c r="BW804" i="1"/>
  <c r="BW80" i="1"/>
  <c r="BX78" i="1"/>
  <c r="BX80" i="1" s="1"/>
  <c r="BW510" i="1"/>
  <c r="BX218" i="1"/>
  <c r="BX175" i="1"/>
  <c r="BX213" i="1" s="1"/>
  <c r="BU720" i="1"/>
  <c r="BV64" i="1"/>
  <c r="BX203" i="1"/>
  <c r="BX18" i="1"/>
  <c r="BW556" i="1"/>
  <c r="BX83" i="1"/>
  <c r="BX85" i="1" s="1"/>
  <c r="BV63" i="1"/>
  <c r="BX187" i="1"/>
  <c r="BX201" i="1"/>
  <c r="BX239" i="1" s="1"/>
  <c r="BX183" i="1"/>
  <c r="BX219" i="1" s="1"/>
  <c r="BV92" i="1"/>
  <c r="BV95" i="1" s="1"/>
  <c r="BV7" i="1" s="1"/>
  <c r="BV10" i="1" s="1"/>
  <c r="BX34" i="1"/>
  <c r="BX53" i="1" s="1"/>
  <c r="BX215" i="1"/>
  <c r="BU8" i="1"/>
  <c r="BU798" i="1"/>
  <c r="BU495" i="1"/>
  <c r="BW62" i="1"/>
  <c r="BW63" i="1"/>
  <c r="BX554" i="1"/>
  <c r="BV85" i="1"/>
  <c r="BV510" i="1"/>
  <c r="N15" i="10"/>
  <c r="BZ545" i="1" l="1"/>
  <c r="BX715" i="1"/>
  <c r="Q15" i="10"/>
  <c r="P15" i="10"/>
  <c r="BV495" i="1"/>
  <c r="BV498" i="1" s="1"/>
  <c r="BW5" i="9"/>
  <c r="BW6" i="9" s="1"/>
  <c r="BW605" i="1"/>
  <c r="BY216" i="1"/>
  <c r="BZ182" i="1"/>
  <c r="BZ199" i="1"/>
  <c r="BZ217" i="1" s="1"/>
  <c r="BZ197" i="1"/>
  <c r="BZ56" i="1"/>
  <c r="BZ200" i="1"/>
  <c r="BZ60" i="1"/>
  <c r="BZ79" i="1" s="1"/>
  <c r="BZ59" i="1"/>
  <c r="BZ57" i="1"/>
  <c r="BZ181" i="1"/>
  <c r="BZ216" i="1" s="1"/>
  <c r="BZ180" i="1"/>
  <c r="BZ198" i="1"/>
  <c r="BZ3" i="11"/>
  <c r="BY553" i="1"/>
  <c r="BY556" i="1" s="1"/>
  <c r="BY547" i="1"/>
  <c r="BZ542" i="1"/>
  <c r="BZ535" i="1" s="1"/>
  <c r="BZ569" i="1" s="1"/>
  <c r="BY548" i="1"/>
  <c r="BY61" i="1"/>
  <c r="BY78" i="1"/>
  <c r="BY217" i="1"/>
  <c r="BZ888" i="1"/>
  <c r="BZ886" i="1" s="1"/>
  <c r="BZ874" i="1"/>
  <c r="BZ872" i="1" s="1"/>
  <c r="BZ883" i="1"/>
  <c r="BZ890" i="1"/>
  <c r="BZ881" i="1"/>
  <c r="BZ879" i="1" s="1"/>
  <c r="BZ876" i="1"/>
  <c r="BX5" i="9"/>
  <c r="BX6" i="9" s="1"/>
  <c r="BX605" i="1"/>
  <c r="BY535" i="1"/>
  <c r="BY201" i="1"/>
  <c r="BY232" i="1" s="1"/>
  <c r="BU33" i="9"/>
  <c r="BX510" i="1"/>
  <c r="BY215" i="1"/>
  <c r="BY183" i="1"/>
  <c r="BU598" i="1"/>
  <c r="BV798" i="1"/>
  <c r="BW64" i="1"/>
  <c r="BX117" i="1"/>
  <c r="BX129" i="1" s="1"/>
  <c r="BU498" i="1"/>
  <c r="BX190" i="1"/>
  <c r="BX192" i="1"/>
  <c r="BX810" i="1"/>
  <c r="BY58" i="1"/>
  <c r="BW92" i="1"/>
  <c r="BW95" i="1" s="1"/>
  <c r="BW7" i="1" s="1"/>
  <c r="BX90" i="1"/>
  <c r="BX92" i="1" s="1"/>
  <c r="BX95" i="1" s="1"/>
  <c r="BX7" i="1" s="1"/>
  <c r="BX569" i="1"/>
  <c r="BX720" i="1"/>
  <c r="BU10" i="1"/>
  <c r="BX17" i="1"/>
  <c r="N6" i="10"/>
  <c r="N53" i="10"/>
  <c r="N14" i="10"/>
  <c r="BY218" i="1"/>
  <c r="BX206" i="1"/>
  <c r="BX211" i="1" s="1"/>
  <c r="BX178" i="1"/>
  <c r="BX205" i="1"/>
  <c r="BX210" i="1" s="1"/>
  <c r="BY79" i="1"/>
  <c r="BY83" i="1" s="1"/>
  <c r="BW233" i="1"/>
  <c r="BW236" i="1" s="1"/>
  <c r="BX231" i="1"/>
  <c r="CA1" i="9"/>
  <c r="CA900" i="1"/>
  <c r="CA897" i="1"/>
  <c r="CA895" i="1"/>
  <c r="CA893" i="1" s="1"/>
  <c r="CA618" i="1" s="1"/>
  <c r="CA545" i="1" s="1"/>
  <c r="CA3" i="1"/>
  <c r="CB4" i="1"/>
  <c r="CA4" i="11"/>
  <c r="BY90" i="1" l="1"/>
  <c r="BY5" i="9"/>
  <c r="BY6" i="9" s="1"/>
  <c r="BY605" i="1"/>
  <c r="CA182" i="1"/>
  <c r="CA60" i="1"/>
  <c r="CA79" i="1" s="1"/>
  <c r="CA56" i="1"/>
  <c r="CA199" i="1"/>
  <c r="CA181" i="1"/>
  <c r="CA200" i="1"/>
  <c r="CA59" i="1"/>
  <c r="CA57" i="1"/>
  <c r="CA180" i="1"/>
  <c r="CA198" i="1"/>
  <c r="CA197" i="1"/>
  <c r="CA3" i="11"/>
  <c r="Q53" i="10"/>
  <c r="P53" i="10"/>
  <c r="BZ83" i="1"/>
  <c r="BZ58" i="1"/>
  <c r="BU25" i="9"/>
  <c r="BU501" i="1"/>
  <c r="BU502" i="1"/>
  <c r="BU503" i="1"/>
  <c r="BU500" i="1"/>
  <c r="BU499" i="1"/>
  <c r="BZ84" i="1"/>
  <c r="BZ91" i="1" s="1"/>
  <c r="BX238" i="1"/>
  <c r="BX233" i="1"/>
  <c r="BX236" i="1" s="1"/>
  <c r="BX63" i="9"/>
  <c r="BX811" i="1"/>
  <c r="BX804" i="1"/>
  <c r="CA870" i="1"/>
  <c r="BY219" i="1"/>
  <c r="BY231" i="1"/>
  <c r="BZ63" i="9"/>
  <c r="BZ804" i="1"/>
  <c r="BZ715" i="1"/>
  <c r="BZ720" i="1" s="1"/>
  <c r="BZ61" i="1"/>
  <c r="BZ78" i="1"/>
  <c r="BZ80" i="1" s="1"/>
  <c r="Q6" i="10"/>
  <c r="P6" i="10"/>
  <c r="BW10" i="1"/>
  <c r="BZ201" i="1"/>
  <c r="BZ232" i="1" s="1"/>
  <c r="BV25" i="9"/>
  <c r="BV500" i="1"/>
  <c r="BV28" i="9" s="1"/>
  <c r="BV53" i="9" s="1"/>
  <c r="BV502" i="1"/>
  <c r="BV27" i="9" s="1"/>
  <c r="BV51" i="9" s="1"/>
  <c r="BV501" i="1"/>
  <c r="BV29" i="9" s="1"/>
  <c r="BV50" i="9" s="1"/>
  <c r="BV499" i="1"/>
  <c r="BV26" i="9" s="1"/>
  <c r="BV52" i="9" s="1"/>
  <c r="CB1" i="9"/>
  <c r="CB900" i="1"/>
  <c r="CB895" i="1"/>
  <c r="CB893" i="1" s="1"/>
  <c r="CB618" i="1" s="1"/>
  <c r="CB897" i="1"/>
  <c r="CC4" i="1"/>
  <c r="CB3" i="1"/>
  <c r="CC189" i="1" s="1"/>
  <c r="CC207" i="1" s="1"/>
  <c r="CB4" i="11"/>
  <c r="BY80" i="1"/>
  <c r="BW8" i="1"/>
  <c r="BW495" i="1"/>
  <c r="BY84" i="1"/>
  <c r="BY63" i="1"/>
  <c r="BY62" i="1"/>
  <c r="BX208" i="1"/>
  <c r="BX19" i="1"/>
  <c r="BZ547" i="1"/>
  <c r="CA542" i="1"/>
  <c r="BZ548" i="1"/>
  <c r="BZ553" i="1"/>
  <c r="BZ556" i="1" s="1"/>
  <c r="BZ215" i="1"/>
  <c r="BZ183" i="1"/>
  <c r="Q14" i="10"/>
  <c r="P14" i="10"/>
  <c r="BY569" i="1"/>
  <c r="BZ218" i="1"/>
  <c r="BZ5" i="9" l="1"/>
  <c r="BZ6" i="9" s="1"/>
  <c r="BZ605" i="1"/>
  <c r="BU512" i="1"/>
  <c r="BU504" i="1"/>
  <c r="BU401" i="1"/>
  <c r="CA215" i="1"/>
  <c r="CA183" i="1"/>
  <c r="CA218" i="1"/>
  <c r="BU27" i="9"/>
  <c r="BU51" i="9" s="1"/>
  <c r="BU29" i="9"/>
  <c r="BU50" i="9" s="1"/>
  <c r="CA78" i="1"/>
  <c r="CA84" i="1" s="1"/>
  <c r="CA61" i="1"/>
  <c r="BW498" i="1"/>
  <c r="BX495" i="1"/>
  <c r="BX498" i="1" s="1"/>
  <c r="CB870" i="1"/>
  <c r="BX8" i="1"/>
  <c r="BX10" i="1" s="1"/>
  <c r="BX798" i="1"/>
  <c r="CA548" i="1"/>
  <c r="CA553" i="1"/>
  <c r="CA556" i="1" s="1"/>
  <c r="CB542" i="1"/>
  <c r="CB535" i="1" s="1"/>
  <c r="CB569" i="1" s="1"/>
  <c r="CA547" i="1"/>
  <c r="BW798" i="1"/>
  <c r="CC1" i="9"/>
  <c r="CC900" i="1"/>
  <c r="CC895" i="1"/>
  <c r="CC893" i="1" s="1"/>
  <c r="CC618" i="1" s="1"/>
  <c r="CC546" i="1" s="1"/>
  <c r="CC897" i="1"/>
  <c r="CD4" i="1"/>
  <c r="CC3" i="1"/>
  <c r="CC169" i="1" s="1"/>
  <c r="CC4" i="11"/>
  <c r="BY233" i="1"/>
  <c r="BY236" i="1" s="1"/>
  <c r="CA216" i="1"/>
  <c r="CC181" i="1"/>
  <c r="BY63" i="9"/>
  <c r="BY804" i="1"/>
  <c r="BY715" i="1"/>
  <c r="CA217" i="1"/>
  <c r="CC199" i="1"/>
  <c r="CC217" i="1" s="1"/>
  <c r="BY91" i="1"/>
  <c r="CB593" i="1"/>
  <c r="CB200" i="1"/>
  <c r="CC200" i="1" s="1"/>
  <c r="CC195" i="1" s="1"/>
  <c r="CB199" i="1"/>
  <c r="CB217" i="1" s="1"/>
  <c r="CB197" i="1"/>
  <c r="CB59" i="1"/>
  <c r="CC59" i="1" s="1"/>
  <c r="CB57" i="1"/>
  <c r="CC57" i="1" s="1"/>
  <c r="CB56" i="1"/>
  <c r="CB60" i="1"/>
  <c r="CB182" i="1"/>
  <c r="CB218" i="1" s="1"/>
  <c r="CB180" i="1"/>
  <c r="CB181" i="1"/>
  <c r="CB198" i="1"/>
  <c r="CB3" i="11"/>
  <c r="CB545" i="1"/>
  <c r="BY64" i="1"/>
  <c r="BV30" i="9"/>
  <c r="BU26" i="9"/>
  <c r="BU52" i="9" s="1"/>
  <c r="BZ62" i="1"/>
  <c r="CA201" i="1"/>
  <c r="CA232" i="1" s="1"/>
  <c r="CC197" i="1"/>
  <c r="CA58" i="1"/>
  <c r="CA83" i="1"/>
  <c r="BY92" i="1"/>
  <c r="BY95" i="1" s="1"/>
  <c r="BY7" i="1" s="1"/>
  <c r="CA535" i="1"/>
  <c r="BV503" i="1"/>
  <c r="BZ231" i="1"/>
  <c r="BZ233" i="1" s="1"/>
  <c r="BZ236" i="1" s="1"/>
  <c r="BZ219" i="1"/>
  <c r="CA888" i="1"/>
  <c r="CA886" i="1" s="1"/>
  <c r="CA874" i="1"/>
  <c r="CA872" i="1" s="1"/>
  <c r="CA883" i="1"/>
  <c r="CA876" i="1"/>
  <c r="CA890" i="1"/>
  <c r="CA881" i="1"/>
  <c r="CA879" i="1" s="1"/>
  <c r="BU28" i="9"/>
  <c r="BU53" i="9" s="1"/>
  <c r="BZ90" i="1"/>
  <c r="BZ92" i="1" s="1"/>
  <c r="BZ95" i="1" s="1"/>
  <c r="BZ7" i="1" s="1"/>
  <c r="BZ85" i="1"/>
  <c r="CC198" i="1"/>
  <c r="BY85" i="1"/>
  <c r="CB63" i="9" l="1"/>
  <c r="CB804" i="1"/>
  <c r="CB715" i="1"/>
  <c r="CB720" i="1" s="1"/>
  <c r="CC83" i="1"/>
  <c r="CA91" i="1"/>
  <c r="CB183" i="1"/>
  <c r="CB215" i="1"/>
  <c r="BW25" i="9"/>
  <c r="BW500" i="1"/>
  <c r="BW501" i="1"/>
  <c r="BW502" i="1"/>
  <c r="BW499" i="1"/>
  <c r="BW503" i="1" s="1"/>
  <c r="CB510" i="1"/>
  <c r="CC3" i="11"/>
  <c r="BY593" i="1"/>
  <c r="BZ593" i="1"/>
  <c r="CA593" i="1"/>
  <c r="CA569" i="1"/>
  <c r="CC535" i="1"/>
  <c r="CC216" i="1"/>
  <c r="CC172" i="1"/>
  <c r="CD1" i="9"/>
  <c r="CD900" i="1"/>
  <c r="CD895" i="1"/>
  <c r="CD893" i="1" s="1"/>
  <c r="CD618" i="1" s="1"/>
  <c r="CD546" i="1" s="1"/>
  <c r="CD897" i="1"/>
  <c r="CE4" i="1"/>
  <c r="CD3" i="1"/>
  <c r="CD4" i="11"/>
  <c r="BU30" i="9"/>
  <c r="BU45" i="9"/>
  <c r="BU402" i="1"/>
  <c r="BU393" i="1"/>
  <c r="CA80" i="1"/>
  <c r="BU100" i="9"/>
  <c r="BU101" i="9" s="1"/>
  <c r="BU514" i="1"/>
  <c r="BU516" i="1" s="1"/>
  <c r="BU515" i="1"/>
  <c r="CC33" i="1"/>
  <c r="CC32" i="1"/>
  <c r="CC34" i="1" s="1"/>
  <c r="CC185" i="1"/>
  <c r="CC203" i="1" s="1"/>
  <c r="CC182" i="1"/>
  <c r="BZ8" i="1"/>
  <c r="BZ10" i="1" s="1"/>
  <c r="BZ798" i="1"/>
  <c r="BZ495" i="1"/>
  <c r="BZ498" i="1" s="1"/>
  <c r="BZ64" i="1"/>
  <c r="BZ63" i="1"/>
  <c r="CB58" i="1"/>
  <c r="CB83" i="1"/>
  <c r="CC114" i="1"/>
  <c r="CC126" i="1" s="1"/>
  <c r="CC56" i="1"/>
  <c r="CC58" i="1" s="1"/>
  <c r="CB548" i="1"/>
  <c r="CB547" i="1"/>
  <c r="CC542" i="1"/>
  <c r="CB553" i="1"/>
  <c r="CC553" i="1" s="1"/>
  <c r="CC188" i="1"/>
  <c r="CC193" i="1" s="1"/>
  <c r="CB78" i="1"/>
  <c r="CB80" i="1" s="1"/>
  <c r="CB61" i="1"/>
  <c r="CB79" i="1"/>
  <c r="CC60" i="1"/>
  <c r="CC61" i="1" s="1"/>
  <c r="CA90" i="1"/>
  <c r="CA85" i="1"/>
  <c r="CC50" i="1"/>
  <c r="CC52" i="1" s="1"/>
  <c r="CA63" i="1"/>
  <c r="CA62" i="1"/>
  <c r="CB201" i="1"/>
  <c r="CB232" i="1" s="1"/>
  <c r="CC232" i="1" s="1"/>
  <c r="CC239" i="1" s="1"/>
  <c r="BY720" i="1"/>
  <c r="BY8" i="1"/>
  <c r="BY10" i="1" s="1"/>
  <c r="BY495" i="1"/>
  <c r="BY798" i="1" s="1"/>
  <c r="CA5" i="9"/>
  <c r="CA6" i="9" s="1"/>
  <c r="CA605" i="1"/>
  <c r="CB888" i="1"/>
  <c r="CB886" i="1" s="1"/>
  <c r="CB890" i="1"/>
  <c r="CB874" i="1"/>
  <c r="CB872" i="1" s="1"/>
  <c r="CB883" i="1"/>
  <c r="CB876" i="1"/>
  <c r="CB881" i="1"/>
  <c r="CB879" i="1" s="1"/>
  <c r="CC180" i="1"/>
  <c r="BV504" i="1"/>
  <c r="BV401" i="1"/>
  <c r="CC870" i="1"/>
  <c r="CC201" i="1"/>
  <c r="CC187" i="1"/>
  <c r="BV122" i="9"/>
  <c r="BV54" i="9"/>
  <c r="CB216" i="1"/>
  <c r="CC51" i="1"/>
  <c r="BX25" i="9"/>
  <c r="CC115" i="1"/>
  <c r="CC127" i="1" s="1"/>
  <c r="CA231" i="1"/>
  <c r="CA233" i="1" s="1"/>
  <c r="CA236" i="1" s="1"/>
  <c r="CA219" i="1"/>
  <c r="CC554" i="1" l="1"/>
  <c r="BW504" i="1"/>
  <c r="BW401" i="1"/>
  <c r="BU681" i="1"/>
  <c r="BU520" i="1"/>
  <c r="BT800" i="1"/>
  <c r="CC63" i="1"/>
  <c r="CC62" i="1"/>
  <c r="BZ25" i="9"/>
  <c r="BZ502" i="1"/>
  <c r="BZ27" i="9" s="1"/>
  <c r="BZ499" i="1"/>
  <c r="BZ26" i="9" s="1"/>
  <c r="BZ52" i="9" s="1"/>
  <c r="BZ501" i="1"/>
  <c r="BZ29" i="9" s="1"/>
  <c r="BZ50" i="9" s="1"/>
  <c r="BZ500" i="1"/>
  <c r="BZ28" i="9" s="1"/>
  <c r="BZ53" i="9" s="1"/>
  <c r="BU687" i="1"/>
  <c r="CA510" i="1"/>
  <c r="BW27" i="9"/>
  <c r="BW51" i="9" s="1"/>
  <c r="BX502" i="1"/>
  <c r="CA8" i="1"/>
  <c r="CC215" i="1"/>
  <c r="CC183" i="1"/>
  <c r="CC219" i="1" s="1"/>
  <c r="CC171" i="1"/>
  <c r="CC190" i="1"/>
  <c r="CC192" i="1"/>
  <c r="BU123" i="9"/>
  <c r="BU82" i="9"/>
  <c r="BU55" i="9"/>
  <c r="BZ510" i="1"/>
  <c r="BW29" i="9"/>
  <c r="BW50" i="9" s="1"/>
  <c r="BX501" i="1"/>
  <c r="CC175" i="1"/>
  <c r="CC213" i="1" s="1"/>
  <c r="CC218" i="1"/>
  <c r="CC888" i="1"/>
  <c r="CC886" i="1" s="1"/>
  <c r="CC890" i="1"/>
  <c r="CC883" i="1"/>
  <c r="CC876" i="1"/>
  <c r="CC881" i="1"/>
  <c r="CC879" i="1" s="1"/>
  <c r="CC874" i="1"/>
  <c r="CC872" i="1" s="1"/>
  <c r="BY498" i="1"/>
  <c r="CB90" i="1"/>
  <c r="BU36" i="9"/>
  <c r="CA92" i="1"/>
  <c r="CA95" i="1" s="1"/>
  <c r="CA7" i="1" s="1"/>
  <c r="CA10" i="1" s="1"/>
  <c r="CC90" i="1"/>
  <c r="CC556" i="1"/>
  <c r="CD542" i="1"/>
  <c r="CC548" i="1"/>
  <c r="CC117" i="1"/>
  <c r="CC129" i="1" s="1"/>
  <c r="CD199" i="1"/>
  <c r="CD217" i="1" s="1"/>
  <c r="CD198" i="1"/>
  <c r="CD181" i="1"/>
  <c r="CD216" i="1" s="1"/>
  <c r="CD60" i="1"/>
  <c r="CD79" i="1" s="1"/>
  <c r="CD59" i="1"/>
  <c r="CD200" i="1"/>
  <c r="CD182" i="1"/>
  <c r="CD218" i="1" s="1"/>
  <c r="CD56" i="1"/>
  <c r="CD57" i="1"/>
  <c r="CD197" i="1"/>
  <c r="CD180" i="1"/>
  <c r="CD3" i="11"/>
  <c r="CC206" i="1"/>
  <c r="CC211" i="1" s="1"/>
  <c r="CC178" i="1"/>
  <c r="CB556" i="1"/>
  <c r="CC53" i="1"/>
  <c r="CC17" i="1" s="1"/>
  <c r="CC78" i="1"/>
  <c r="CE1" i="9"/>
  <c r="CE897" i="1"/>
  <c r="CE895" i="1"/>
  <c r="CE893" i="1" s="1"/>
  <c r="CE618" i="1" s="1"/>
  <c r="CE900" i="1"/>
  <c r="CE870" i="1"/>
  <c r="CF4" i="1"/>
  <c r="CE3" i="1"/>
  <c r="CE4" i="11"/>
  <c r="CB231" i="1"/>
  <c r="CB233" i="1" s="1"/>
  <c r="CB236" i="1" s="1"/>
  <c r="CB219" i="1"/>
  <c r="BU122" i="9"/>
  <c r="BU54" i="9"/>
  <c r="BU35" i="9"/>
  <c r="BU40" i="9" s="1"/>
  <c r="CC593" i="1"/>
  <c r="CC594" i="1" s="1"/>
  <c r="BY510" i="1"/>
  <c r="BW28" i="9"/>
  <c r="BW53" i="9" s="1"/>
  <c r="BX500" i="1"/>
  <c r="CB62" i="1"/>
  <c r="CC79" i="1"/>
  <c r="CC116" i="1" s="1"/>
  <c r="CC128" i="1" s="1"/>
  <c r="CB84" i="1"/>
  <c r="CC18" i="1"/>
  <c r="BV45" i="9"/>
  <c r="BV402" i="1"/>
  <c r="BV393" i="1"/>
  <c r="CA64" i="1"/>
  <c r="CC231" i="1"/>
  <c r="CD870" i="1"/>
  <c r="CA63" i="9"/>
  <c r="CA804" i="1"/>
  <c r="CA715" i="1"/>
  <c r="BW26" i="9"/>
  <c r="BW52" i="9" s="1"/>
  <c r="BX499" i="1"/>
  <c r="CE546" i="1" l="1"/>
  <c r="CD201" i="1"/>
  <c r="CD232" i="1" s="1"/>
  <c r="BY25" i="9"/>
  <c r="BY499" i="1"/>
  <c r="BY500" i="1"/>
  <c r="BY501" i="1"/>
  <c r="BY502" i="1"/>
  <c r="CA495" i="1"/>
  <c r="BU773" i="1"/>
  <c r="CC238" i="1"/>
  <c r="CC233" i="1"/>
  <c r="CC236" i="1" s="1"/>
  <c r="BV123" i="9"/>
  <c r="BV82" i="9"/>
  <c r="BV55" i="9"/>
  <c r="CB8" i="1"/>
  <c r="CD183" i="1"/>
  <c r="CD215" i="1"/>
  <c r="CC510" i="1"/>
  <c r="CD890" i="1"/>
  <c r="CD888" i="1"/>
  <c r="CD886" i="1" s="1"/>
  <c r="CD883" i="1"/>
  <c r="CD876" i="1"/>
  <c r="CD881" i="1"/>
  <c r="CD879" i="1" s="1"/>
  <c r="CD874" i="1"/>
  <c r="CD872" i="1" s="1"/>
  <c r="CB91" i="1"/>
  <c r="CC91" i="1" s="1"/>
  <c r="CC92" i="1" s="1"/>
  <c r="CC95" i="1" s="1"/>
  <c r="CC7" i="1" s="1"/>
  <c r="CC84" i="1"/>
  <c r="CC85" i="1" s="1"/>
  <c r="CE199" i="1"/>
  <c r="CE217" i="1" s="1"/>
  <c r="CE200" i="1"/>
  <c r="CE182" i="1"/>
  <c r="CE198" i="1"/>
  <c r="CE56" i="1"/>
  <c r="CE60" i="1"/>
  <c r="CE79" i="1" s="1"/>
  <c r="CE57" i="1"/>
  <c r="CE59" i="1"/>
  <c r="CE180" i="1"/>
  <c r="CE181" i="1"/>
  <c r="CE216" i="1" s="1"/>
  <c r="CE197" i="1"/>
  <c r="CE3" i="11"/>
  <c r="CC80" i="1"/>
  <c r="CA798" i="1"/>
  <c r="BW30" i="9"/>
  <c r="BX29" i="9"/>
  <c r="BX399" i="1"/>
  <c r="BZ503" i="1"/>
  <c r="CF897" i="1"/>
  <c r="CF1" i="9"/>
  <c r="CF895" i="1"/>
  <c r="CF893" i="1" s="1"/>
  <c r="CF618" i="1" s="1"/>
  <c r="CF900" i="1"/>
  <c r="CF870" i="1"/>
  <c r="CF3" i="1"/>
  <c r="CF4" i="11"/>
  <c r="BX27" i="9"/>
  <c r="BX51" i="9" s="1"/>
  <c r="BX400" i="1"/>
  <c r="BU522" i="1"/>
  <c r="BU530" i="1"/>
  <c r="BU15" i="1"/>
  <c r="BX26" i="9"/>
  <c r="BX52" i="9" s="1"/>
  <c r="BX397" i="1"/>
  <c r="BX503" i="1"/>
  <c r="CB64" i="1"/>
  <c r="CE542" i="1"/>
  <c r="CE535" i="1" s="1"/>
  <c r="CE569" i="1" s="1"/>
  <c r="CD548" i="1"/>
  <c r="CD553" i="1"/>
  <c r="CD556" i="1" s="1"/>
  <c r="BU783" i="1"/>
  <c r="BU695" i="1"/>
  <c r="BU125" i="9"/>
  <c r="BU91" i="9"/>
  <c r="BU92" i="9" s="1"/>
  <c r="CE890" i="1"/>
  <c r="CE883" i="1"/>
  <c r="CE876" i="1"/>
  <c r="CE881" i="1"/>
  <c r="CE879" i="1" s="1"/>
  <c r="CE874" i="1"/>
  <c r="CE872" i="1" s="1"/>
  <c r="CE888" i="1"/>
  <c r="CE886" i="1" s="1"/>
  <c r="CB5" i="9"/>
  <c r="CB6" i="9" s="1"/>
  <c r="CB605" i="1"/>
  <c r="CB63" i="1"/>
  <c r="CD61" i="1"/>
  <c r="CD78" i="1"/>
  <c r="CD80" i="1" s="1"/>
  <c r="CD535" i="1"/>
  <c r="CD569" i="1" s="1"/>
  <c r="CB92" i="1"/>
  <c r="CB95" i="1" s="1"/>
  <c r="CB7" i="1" s="1"/>
  <c r="CB10" i="1" s="1"/>
  <c r="CC177" i="1"/>
  <c r="CC205" i="1"/>
  <c r="CC210" i="1" s="1"/>
  <c r="CC173" i="1"/>
  <c r="CC208" i="1" s="1"/>
  <c r="BZ51" i="9"/>
  <c r="CD58" i="1"/>
  <c r="CD83" i="1"/>
  <c r="CA720" i="1"/>
  <c r="CC715" i="1"/>
  <c r="BX28" i="9"/>
  <c r="BX53" i="9" s="1"/>
  <c r="BX398" i="1"/>
  <c r="CC5" i="9"/>
  <c r="CC6" i="9" s="1"/>
  <c r="CC605" i="1"/>
  <c r="CB85" i="1"/>
  <c r="BZ30" i="9"/>
  <c r="CC64" i="1"/>
  <c r="BW45" i="9"/>
  <c r="BW402" i="1"/>
  <c r="BW393" i="1"/>
  <c r="CE63" i="9" l="1"/>
  <c r="CE715" i="1"/>
  <c r="CE720" i="1" s="1"/>
  <c r="CE804" i="1"/>
  <c r="BW122" i="9"/>
  <c r="BW54" i="9"/>
  <c r="CC810" i="1"/>
  <c r="BU697" i="1"/>
  <c r="BU559" i="1"/>
  <c r="CA498" i="1"/>
  <c r="CF890" i="1"/>
  <c r="CF876" i="1"/>
  <c r="CF881" i="1"/>
  <c r="CF879" i="1" s="1"/>
  <c r="CF874" i="1"/>
  <c r="CF872" i="1" s="1"/>
  <c r="CF888" i="1"/>
  <c r="CF886" i="1" s="1"/>
  <c r="CF883" i="1"/>
  <c r="CD85" i="1"/>
  <c r="CD90" i="1"/>
  <c r="CD92" i="1" s="1"/>
  <c r="CD95" i="1" s="1"/>
  <c r="CD7" i="1" s="1"/>
  <c r="BU787" i="1"/>
  <c r="CD5" i="9"/>
  <c r="CD6" i="9" s="1"/>
  <c r="CD605" i="1"/>
  <c r="BU525" i="1"/>
  <c r="BU536" i="1"/>
  <c r="BU531" i="1" s="1"/>
  <c r="BU41" i="9" s="1"/>
  <c r="CF546" i="1"/>
  <c r="CD84" i="1"/>
  <c r="CD91" i="1" s="1"/>
  <c r="BY27" i="9"/>
  <c r="BY51" i="9" s="1"/>
  <c r="CC569" i="1"/>
  <c r="CC720" i="1"/>
  <c r="BZ122" i="9"/>
  <c r="BZ54" i="9"/>
  <c r="CD63" i="9"/>
  <c r="CD804" i="1"/>
  <c r="CD715" i="1"/>
  <c r="CD720" i="1" s="1"/>
  <c r="CD62" i="1"/>
  <c r="CD63" i="1"/>
  <c r="CC19" i="1"/>
  <c r="CE83" i="1"/>
  <c r="CE58" i="1"/>
  <c r="BY29" i="9"/>
  <c r="BY50" i="9" s="1"/>
  <c r="CF542" i="1"/>
  <c r="CF535" i="1" s="1"/>
  <c r="CF569" i="1" s="1"/>
  <c r="CE553" i="1"/>
  <c r="CE556" i="1" s="1"/>
  <c r="CE548" i="1"/>
  <c r="CD219" i="1"/>
  <c r="CD231" i="1"/>
  <c r="CD233" i="1" s="1"/>
  <c r="CD236" i="1" s="1"/>
  <c r="BY28" i="9"/>
  <c r="BY53" i="9" s="1"/>
  <c r="CE78" i="1"/>
  <c r="CE80" i="1" s="1"/>
  <c r="CE61" i="1"/>
  <c r="BX401" i="1"/>
  <c r="BX504" i="1"/>
  <c r="BZ504" i="1"/>
  <c r="BZ401" i="1"/>
  <c r="CE201" i="1"/>
  <c r="CE232" i="1" s="1"/>
  <c r="CE218" i="1"/>
  <c r="CB495" i="1"/>
  <c r="CB498" i="1" s="1"/>
  <c r="CC8" i="1"/>
  <c r="CC10" i="1" s="1"/>
  <c r="BY26" i="9"/>
  <c r="BY52" i="9" s="1"/>
  <c r="BW123" i="9"/>
  <c r="BW82" i="9"/>
  <c r="BW55" i="9"/>
  <c r="CF197" i="1"/>
  <c r="CF200" i="1"/>
  <c r="CF182" i="1"/>
  <c r="CF218" i="1" s="1"/>
  <c r="CF199" i="1"/>
  <c r="CF217" i="1" s="1"/>
  <c r="CF181" i="1"/>
  <c r="CF216" i="1" s="1"/>
  <c r="CF56" i="1"/>
  <c r="CF60" i="1"/>
  <c r="CF79" i="1" s="1"/>
  <c r="CF57" i="1"/>
  <c r="CF59" i="1"/>
  <c r="CF198" i="1"/>
  <c r="CF180" i="1"/>
  <c r="CF3" i="11"/>
  <c r="CB798" i="1"/>
  <c r="BY503" i="1"/>
  <c r="BX50" i="9"/>
  <c r="BX30" i="9"/>
  <c r="CE215" i="1"/>
  <c r="CE183" i="1"/>
  <c r="BY30" i="9"/>
  <c r="BU776" i="1"/>
  <c r="BU777" i="1" s="1"/>
  <c r="CE62" i="1" l="1"/>
  <c r="CE63" i="1" s="1"/>
  <c r="CC495" i="1"/>
  <c r="CB25" i="9"/>
  <c r="CB501" i="1"/>
  <c r="CB29" i="9" s="1"/>
  <c r="CB50" i="9" s="1"/>
  <c r="CB500" i="1"/>
  <c r="CB28" i="9" s="1"/>
  <c r="CB502" i="1"/>
  <c r="CB27" i="9" s="1"/>
  <c r="CB499" i="1"/>
  <c r="CB26" i="9" s="1"/>
  <c r="CE90" i="1"/>
  <c r="CA25" i="9"/>
  <c r="CA502" i="1"/>
  <c r="CA503" i="1" s="1"/>
  <c r="CA499" i="1"/>
  <c r="CA501" i="1"/>
  <c r="CA500" i="1"/>
  <c r="CF63" i="9"/>
  <c r="CF804" i="1"/>
  <c r="CF715" i="1"/>
  <c r="CF720" i="1" s="1"/>
  <c r="CE84" i="1"/>
  <c r="CE91" i="1" s="1"/>
  <c r="BU46" i="9"/>
  <c r="BU537" i="1"/>
  <c r="BU532" i="1" s="1"/>
  <c r="BU47" i="9" s="1"/>
  <c r="BU76" i="9" s="1"/>
  <c r="CF83" i="1"/>
  <c r="CF58" i="1"/>
  <c r="CF215" i="1"/>
  <c r="CF183" i="1"/>
  <c r="BU58" i="9"/>
  <c r="BU60" i="9" s="1"/>
  <c r="BU576" i="1"/>
  <c r="BU577" i="1" s="1"/>
  <c r="BU578" i="1" s="1"/>
  <c r="BU579" i="1" s="1"/>
  <c r="BU562" i="1"/>
  <c r="BY504" i="1"/>
  <c r="BY401" i="1"/>
  <c r="CE5" i="9"/>
  <c r="CE6" i="9" s="1"/>
  <c r="CE605" i="1"/>
  <c r="BU561" i="1"/>
  <c r="BU723" i="1"/>
  <c r="BY122" i="9"/>
  <c r="BY54" i="9"/>
  <c r="CD64" i="1"/>
  <c r="CC63" i="9"/>
  <c r="CC804" i="1"/>
  <c r="CC811" i="1"/>
  <c r="CE219" i="1"/>
  <c r="CE231" i="1"/>
  <c r="CE233" i="1" s="1"/>
  <c r="CE236" i="1" s="1"/>
  <c r="CF553" i="1"/>
  <c r="CF556" i="1" s="1"/>
  <c r="CF548" i="1"/>
  <c r="CF78" i="1"/>
  <c r="CF80" i="1" s="1"/>
  <c r="CF61" i="1"/>
  <c r="CF201" i="1"/>
  <c r="CF232" i="1" s="1"/>
  <c r="BZ45" i="9"/>
  <c r="BZ393" i="1"/>
  <c r="BZ402" i="1"/>
  <c r="BU88" i="9"/>
  <c r="BU89" i="9" s="1"/>
  <c r="BU789" i="1"/>
  <c r="BX122" i="9"/>
  <c r="BX54" i="9"/>
  <c r="BX45" i="9"/>
  <c r="BX393" i="1"/>
  <c r="BX402" i="1"/>
  <c r="CD8" i="1"/>
  <c r="CD10" i="1" s="1"/>
  <c r="CD495" i="1"/>
  <c r="CD498" i="1" s="1"/>
  <c r="CA504" i="1" l="1"/>
  <c r="CA401" i="1"/>
  <c r="CF5" i="9"/>
  <c r="CF6" i="9" s="1"/>
  <c r="CF605" i="1"/>
  <c r="CE8" i="1"/>
  <c r="CF62" i="1"/>
  <c r="CF63" i="1"/>
  <c r="CF219" i="1"/>
  <c r="CF231" i="1"/>
  <c r="CF233" i="1" s="1"/>
  <c r="CF236" i="1" s="1"/>
  <c r="CB503" i="1"/>
  <c r="CB30" i="9"/>
  <c r="BZ123" i="9"/>
  <c r="BZ55" i="9"/>
  <c r="CF90" i="1"/>
  <c r="CF92" i="1" s="1"/>
  <c r="CF95" i="1" s="1"/>
  <c r="CF7" i="1" s="1"/>
  <c r="CE85" i="1"/>
  <c r="CC498" i="1"/>
  <c r="CC798" i="1"/>
  <c r="CE92" i="1"/>
  <c r="CE95" i="1" s="1"/>
  <c r="CE7" i="1" s="1"/>
  <c r="CE10" i="1" s="1"/>
  <c r="CD798" i="1"/>
  <c r="CA28" i="9"/>
  <c r="CA53" i="9" s="1"/>
  <c r="CC500" i="1"/>
  <c r="CB52" i="9"/>
  <c r="CA27" i="9"/>
  <c r="CA51" i="9" s="1"/>
  <c r="CC502" i="1"/>
  <c r="BU580" i="1"/>
  <c r="BU581" i="1" s="1"/>
  <c r="BU582" i="1" s="1"/>
  <c r="BU583" i="1" s="1"/>
  <c r="BU560" i="1"/>
  <c r="BU563" i="1"/>
  <c r="BU42" i="9"/>
  <c r="BU72" i="9" s="1"/>
  <c r="BU65" i="1"/>
  <c r="CA29" i="9"/>
  <c r="CA50" i="9" s="1"/>
  <c r="CC501" i="1"/>
  <c r="CB51" i="9"/>
  <c r="CE64" i="1"/>
  <c r="BX123" i="9"/>
  <c r="BX82" i="9"/>
  <c r="BX55" i="9"/>
  <c r="CD25" i="9"/>
  <c r="CD500" i="1"/>
  <c r="CD28" i="9" s="1"/>
  <c r="CD53" i="9" s="1"/>
  <c r="CD502" i="1"/>
  <c r="CD27" i="9" s="1"/>
  <c r="CD51" i="9" s="1"/>
  <c r="CD501" i="1"/>
  <c r="CD29" i="9" s="1"/>
  <c r="CD50" i="9" s="1"/>
  <c r="CD499" i="1"/>
  <c r="CD26" i="9" s="1"/>
  <c r="CD52" i="9" s="1"/>
  <c r="BU735" i="1"/>
  <c r="BT799" i="1"/>
  <c r="BU726" i="1"/>
  <c r="BY45" i="9"/>
  <c r="BY393" i="1"/>
  <c r="BY402" i="1"/>
  <c r="BU83" i="9"/>
  <c r="BU62" i="9"/>
  <c r="BU124" i="9"/>
  <c r="BU86" i="9"/>
  <c r="BU87" i="9" s="1"/>
  <c r="BU90" i="9" s="1"/>
  <c r="BU110" i="9"/>
  <c r="CA26" i="9"/>
  <c r="CA52" i="9" s="1"/>
  <c r="CC499" i="1"/>
  <c r="CB53" i="9"/>
  <c r="CF84" i="1"/>
  <c r="CF91" i="1" s="1"/>
  <c r="BU111" i="9" l="1"/>
  <c r="CD503" i="1"/>
  <c r="BU108" i="9"/>
  <c r="BU109" i="9"/>
  <c r="CC28" i="9"/>
  <c r="CC398" i="1"/>
  <c r="CF85" i="1"/>
  <c r="CE495" i="1"/>
  <c r="CE498" i="1" s="1"/>
  <c r="CA30" i="9"/>
  <c r="CB504" i="1"/>
  <c r="CB401" i="1"/>
  <c r="BV725" i="1"/>
  <c r="BU731" i="1"/>
  <c r="CF8" i="1"/>
  <c r="CF10" i="1" s="1"/>
  <c r="CF495" i="1"/>
  <c r="CF498" i="1" s="1"/>
  <c r="BY123" i="9"/>
  <c r="BY82" i="9"/>
  <c r="BY55" i="9"/>
  <c r="CD30" i="9"/>
  <c r="BZ82" i="9"/>
  <c r="BU73" i="9"/>
  <c r="BU75" i="9" s="1"/>
  <c r="BU64" i="9"/>
  <c r="BU70" i="9" s="1"/>
  <c r="BU126" i="9" s="1"/>
  <c r="BU112" i="9"/>
  <c r="CC29" i="9"/>
  <c r="CC399" i="1"/>
  <c r="CC27" i="9"/>
  <c r="CC400" i="1"/>
  <c r="CC26" i="9"/>
  <c r="CC397" i="1"/>
  <c r="BU587" i="1"/>
  <c r="BU746" i="1"/>
  <c r="CC25" i="9"/>
  <c r="CC503" i="1"/>
  <c r="CA45" i="9"/>
  <c r="CA393" i="1"/>
  <c r="CA402" i="1"/>
  <c r="CB122" i="9"/>
  <c r="CB54" i="9"/>
  <c r="CF64" i="1"/>
  <c r="CC30" i="9" l="1"/>
  <c r="CC50" i="9"/>
  <c r="CE25" i="9"/>
  <c r="CE500" i="1"/>
  <c r="CE28" i="9" s="1"/>
  <c r="CE53" i="9" s="1"/>
  <c r="CE501" i="1"/>
  <c r="CE29" i="9" s="1"/>
  <c r="CE50" i="9" s="1"/>
  <c r="CE503" i="1"/>
  <c r="CE499" i="1"/>
  <c r="CE26" i="9" s="1"/>
  <c r="CE502" i="1"/>
  <c r="CE27" i="9" s="1"/>
  <c r="CE51" i="9" s="1"/>
  <c r="BU8" i="9"/>
  <c r="BU796" i="1"/>
  <c r="BV595" i="1"/>
  <c r="BU591" i="1"/>
  <c r="CB45" i="9"/>
  <c r="CB402" i="1"/>
  <c r="CB393" i="1"/>
  <c r="CC53" i="9"/>
  <c r="CC52" i="9"/>
  <c r="CF25" i="9"/>
  <c r="CF499" i="1"/>
  <c r="CF26" i="9" s="1"/>
  <c r="CF52" i="9" s="1"/>
  <c r="CF501" i="1"/>
  <c r="CF29" i="9" s="1"/>
  <c r="CF50" i="9" s="1"/>
  <c r="CF500" i="1"/>
  <c r="CF28" i="9" s="1"/>
  <c r="CF53" i="9" s="1"/>
  <c r="CF502" i="1"/>
  <c r="CF27" i="9" s="1"/>
  <c r="CF51" i="9" s="1"/>
  <c r="CE798" i="1"/>
  <c r="BU760" i="1"/>
  <c r="BU586" i="1"/>
  <c r="BU7" i="9" s="1"/>
  <c r="CA123" i="9"/>
  <c r="CA82" i="9"/>
  <c r="CA55" i="9"/>
  <c r="CC504" i="1"/>
  <c r="CC401" i="1"/>
  <c r="CC51" i="9"/>
  <c r="CD122" i="9"/>
  <c r="CD54" i="9"/>
  <c r="CF798" i="1"/>
  <c r="CA122" i="9"/>
  <c r="CA54" i="9"/>
  <c r="CD504" i="1"/>
  <c r="CD401" i="1"/>
  <c r="CB123" i="9" l="1"/>
  <c r="CB82" i="9"/>
  <c r="CB55" i="9"/>
  <c r="CE504" i="1"/>
  <c r="CE401" i="1"/>
  <c r="CF503" i="1"/>
  <c r="BU96" i="9"/>
  <c r="BU97" i="9" s="1"/>
  <c r="BU98" i="9" s="1"/>
  <c r="BU99" i="9" s="1"/>
  <c r="BU79" i="9"/>
  <c r="BU80" i="9"/>
  <c r="BU81" i="9"/>
  <c r="BU606" i="1"/>
  <c r="CF30" i="9"/>
  <c r="BV509" i="1"/>
  <c r="BV597" i="1"/>
  <c r="CE30" i="9"/>
  <c r="BU93" i="9"/>
  <c r="BU94" i="9" s="1"/>
  <c r="BU791" i="1"/>
  <c r="BT801" i="1"/>
  <c r="BU11" i="9"/>
  <c r="CD45" i="9"/>
  <c r="CD402" i="1"/>
  <c r="CD393" i="1"/>
  <c r="CC122" i="9"/>
  <c r="CC54" i="9"/>
  <c r="CC45" i="9"/>
  <c r="CC402" i="1"/>
  <c r="CC393" i="1"/>
  <c r="CE52" i="9"/>
  <c r="CF401" i="1" l="1"/>
  <c r="CF504" i="1"/>
  <c r="CC123" i="9"/>
  <c r="CC82" i="9"/>
  <c r="CC55" i="9"/>
  <c r="BV33" i="9"/>
  <c r="BV35" i="9" s="1"/>
  <c r="BV512" i="1"/>
  <c r="CF122" i="9"/>
  <c r="CF54" i="9"/>
  <c r="BU104" i="9"/>
  <c r="BU105" i="9" s="1"/>
  <c r="BU95" i="9"/>
  <c r="CE45" i="9"/>
  <c r="CE402" i="1"/>
  <c r="CE393" i="1"/>
  <c r="CE122" i="9"/>
  <c r="CE54" i="9"/>
  <c r="CD123" i="9"/>
  <c r="CD82" i="9"/>
  <c r="CD55" i="9"/>
  <c r="BV598" i="1"/>
  <c r="BV100" i="9" l="1"/>
  <c r="BV101" i="9" s="1"/>
  <c r="BV514" i="1"/>
  <c r="BV515" i="1"/>
  <c r="CF45" i="9"/>
  <c r="CF393" i="1"/>
  <c r="CF402" i="1"/>
  <c r="CE123" i="9"/>
  <c r="CE82" i="9"/>
  <c r="CE55" i="9"/>
  <c r="BV687" i="1" l="1"/>
  <c r="BV516" i="1"/>
  <c r="CF123" i="9"/>
  <c r="CF82" i="9"/>
  <c r="CF55" i="9"/>
  <c r="BV36" i="9"/>
  <c r="BV40" i="9" s="1"/>
  <c r="BV91" i="9" l="1"/>
  <c r="BV92" i="9" s="1"/>
  <c r="BV681" i="1"/>
  <c r="BV520" i="1"/>
  <c r="BV773" i="1"/>
  <c r="BV695" i="1" l="1"/>
  <c r="BV783" i="1"/>
  <c r="BV776" i="1"/>
  <c r="BV777" i="1" s="1"/>
  <c r="BV522" i="1"/>
  <c r="BV530" i="1"/>
  <c r="BV15" i="1"/>
  <c r="BV125" i="9"/>
  <c r="BV525" i="1" l="1"/>
  <c r="BV536" i="1"/>
  <c r="BV531" i="1" s="1"/>
  <c r="BV41" i="9" s="1"/>
  <c r="BV787" i="1"/>
  <c r="BV697" i="1"/>
  <c r="BV559" i="1"/>
  <c r="BV58" i="9" l="1"/>
  <c r="BV60" i="9" s="1"/>
  <c r="BV576" i="1"/>
  <c r="BV577" i="1" s="1"/>
  <c r="BV578" i="1" s="1"/>
  <c r="BV579" i="1" s="1"/>
  <c r="BV562" i="1"/>
  <c r="BV561" i="1"/>
  <c r="BV723" i="1"/>
  <c r="BV88" i="9"/>
  <c r="BV89" i="9" s="1"/>
  <c r="BV789" i="1"/>
  <c r="BV46" i="9"/>
  <c r="BV537" i="1"/>
  <c r="BV532" i="1" s="1"/>
  <c r="BV47" i="9" s="1"/>
  <c r="BV76" i="9" s="1"/>
  <c r="BV735" i="1" l="1"/>
  <c r="BV726" i="1"/>
  <c r="BV580" i="1"/>
  <c r="BV581" i="1" s="1"/>
  <c r="BV582" i="1" s="1"/>
  <c r="BV583" i="1" s="1"/>
  <c r="BV560" i="1"/>
  <c r="BV563" i="1"/>
  <c r="BV42" i="9"/>
  <c r="BV72" i="9" s="1"/>
  <c r="BV65" i="1"/>
  <c r="BV124" i="9"/>
  <c r="BV86" i="9"/>
  <c r="BV87" i="9" s="1"/>
  <c r="BV90" i="9" s="1"/>
  <c r="BV83" i="9"/>
  <c r="BV62" i="9"/>
  <c r="BV73" i="9" l="1"/>
  <c r="BV75" i="9" s="1"/>
  <c r="BV64" i="9"/>
  <c r="BV70" i="9" s="1"/>
  <c r="BV126" i="9" s="1"/>
  <c r="BV112" i="9"/>
  <c r="BV108" i="9"/>
  <c r="BV109" i="9"/>
  <c r="BV110" i="9"/>
  <c r="BW725" i="1"/>
  <c r="BV731" i="1"/>
  <c r="BV587" i="1"/>
  <c r="BV746" i="1"/>
  <c r="BV111" i="9"/>
  <c r="BV760" i="1" l="1"/>
  <c r="BV586" i="1"/>
  <c r="BV7" i="9" s="1"/>
  <c r="BV8" i="9"/>
  <c r="BV796" i="1"/>
  <c r="BW595" i="1"/>
  <c r="BV591" i="1"/>
  <c r="BV11" i="9" l="1"/>
  <c r="BV96" i="9"/>
  <c r="BV97" i="9" s="1"/>
  <c r="BV98" i="9" s="1"/>
  <c r="BV99" i="9" s="1"/>
  <c r="BV79" i="9"/>
  <c r="BV80" i="9"/>
  <c r="BV81" i="9"/>
  <c r="BV606" i="1"/>
  <c r="BW509" i="1"/>
  <c r="BW597" i="1"/>
  <c r="BX595" i="1"/>
  <c r="BV93" i="9"/>
  <c r="BV94" i="9" s="1"/>
  <c r="BV791" i="1"/>
  <c r="BW598" i="1" l="1"/>
  <c r="BX597" i="1"/>
  <c r="BX598" i="1" s="1"/>
  <c r="BW33" i="9"/>
  <c r="BW35" i="9" s="1"/>
  <c r="BW512" i="1"/>
  <c r="BX509" i="1"/>
  <c r="BV104" i="9"/>
  <c r="BV105" i="9" s="1"/>
  <c r="BV95" i="9"/>
  <c r="BX33" i="9" l="1"/>
  <c r="BX35" i="9" s="1"/>
  <c r="BX512" i="1"/>
  <c r="BW100" i="9"/>
  <c r="BW101" i="9" s="1"/>
  <c r="BW515" i="1"/>
  <c r="BW514" i="1"/>
  <c r="BW36" i="9" l="1"/>
  <c r="BW40" i="9" s="1"/>
  <c r="BX514" i="1"/>
  <c r="BW687" i="1"/>
  <c r="BX515" i="1"/>
  <c r="BX528" i="1" s="1"/>
  <c r="BW516" i="1"/>
  <c r="BX100" i="9"/>
  <c r="BX101" i="9" s="1"/>
  <c r="BX516" i="1"/>
  <c r="BX805" i="1" l="1"/>
  <c r="BX520" i="1"/>
  <c r="BW681" i="1"/>
  <c r="BW520" i="1"/>
  <c r="BW125" i="9" s="1"/>
  <c r="BX687" i="1"/>
  <c r="BW773" i="1"/>
  <c r="BX36" i="9"/>
  <c r="BX40" i="9" s="1"/>
  <c r="BX527" i="1"/>
  <c r="BW91" i="9"/>
  <c r="BW92" i="9" s="1"/>
  <c r="BX125" i="9" l="1"/>
  <c r="BX91" i="9"/>
  <c r="BX92" i="9" s="1"/>
  <c r="BX773" i="1"/>
  <c r="BW776" i="1"/>
  <c r="BW777" i="1" s="1"/>
  <c r="BW522" i="1"/>
  <c r="BW530" i="1"/>
  <c r="BW15" i="1"/>
  <c r="BW695" i="1"/>
  <c r="BX681" i="1"/>
  <c r="BX695" i="1" s="1"/>
  <c r="BW783" i="1"/>
  <c r="BX522" i="1"/>
  <c r="BX530" i="1"/>
  <c r="BX15" i="1"/>
  <c r="BW697" i="1" l="1"/>
  <c r="BW559" i="1"/>
  <c r="BX807" i="1"/>
  <c r="BW536" i="1"/>
  <c r="BW531" i="1" s="1"/>
  <c r="BW41" i="9" s="1"/>
  <c r="BW525" i="1"/>
  <c r="BX536" i="1"/>
  <c r="BX531" i="1" s="1"/>
  <c r="BX41" i="9" s="1"/>
  <c r="BX525" i="1"/>
  <c r="BX776" i="1"/>
  <c r="BX777" i="1" s="1"/>
  <c r="BX783" i="1"/>
  <c r="BW787" i="1"/>
  <c r="BX697" i="1"/>
  <c r="BX559" i="1"/>
  <c r="BX58" i="9" l="1"/>
  <c r="BX60" i="9" s="1"/>
  <c r="BX576" i="1"/>
  <c r="BX577" i="1" s="1"/>
  <c r="BX578" i="1" s="1"/>
  <c r="BX579" i="1" s="1"/>
  <c r="BX562" i="1"/>
  <c r="BX561" i="1"/>
  <c r="BX723" i="1"/>
  <c r="BX726" i="1" s="1"/>
  <c r="BW88" i="9"/>
  <c r="BW89" i="9" s="1"/>
  <c r="BW789" i="1"/>
  <c r="BW46" i="9"/>
  <c r="BW537" i="1"/>
  <c r="BX806" i="1"/>
  <c r="BX787" i="1"/>
  <c r="BW58" i="9"/>
  <c r="BW60" i="9" s="1"/>
  <c r="BW576" i="1"/>
  <c r="BW577" i="1" s="1"/>
  <c r="BW578" i="1" s="1"/>
  <c r="BW579" i="1" s="1"/>
  <c r="BW562" i="1"/>
  <c r="BX46" i="9"/>
  <c r="BX537" i="1"/>
  <c r="BW561" i="1"/>
  <c r="BW723" i="1"/>
  <c r="BX808" i="1"/>
  <c r="BW124" i="9" l="1"/>
  <c r="BW86" i="9"/>
  <c r="BW87" i="9" s="1"/>
  <c r="BW90" i="9" s="1"/>
  <c r="BW83" i="9"/>
  <c r="BW62" i="9"/>
  <c r="BW735" i="1"/>
  <c r="BW726" i="1"/>
  <c r="BX88" i="9"/>
  <c r="BX89" i="9" s="1"/>
  <c r="BX789" i="1"/>
  <c r="CC725" i="1"/>
  <c r="BY725" i="1"/>
  <c r="BW580" i="1"/>
  <c r="BW581" i="1" s="1"/>
  <c r="BW582" i="1" s="1"/>
  <c r="BW583" i="1" s="1"/>
  <c r="BW563" i="1"/>
  <c r="BW560" i="1"/>
  <c r="BX580" i="1"/>
  <c r="BX560" i="1"/>
  <c r="BX563" i="1"/>
  <c r="BX608" i="1" s="1"/>
  <c r="BX42" i="9"/>
  <c r="BX110" i="9" s="1"/>
  <c r="BX65" i="1"/>
  <c r="BX532" i="1"/>
  <c r="BX47" i="9" s="1"/>
  <c r="BW42" i="9"/>
  <c r="BW110" i="9" s="1"/>
  <c r="BW65" i="1"/>
  <c r="BX124" i="9"/>
  <c r="BX86" i="9"/>
  <c r="BX87" i="9" s="1"/>
  <c r="BW532" i="1"/>
  <c r="BW47" i="9" s="1"/>
  <c r="BW76" i="9" s="1"/>
  <c r="BX83" i="9"/>
  <c r="BX72" i="9"/>
  <c r="BX117" i="9" s="1"/>
  <c r="BX62" i="9"/>
  <c r="BX111" i="9"/>
  <c r="BW731" i="1" l="1"/>
  <c r="BW72" i="9"/>
  <c r="BX108" i="9"/>
  <c r="BX109" i="9"/>
  <c r="BW73" i="9"/>
  <c r="BW75" i="9" s="1"/>
  <c r="BW64" i="9"/>
  <c r="BW70" i="9" s="1"/>
  <c r="BW126" i="9" s="1"/>
  <c r="BW112" i="9"/>
  <c r="BX90" i="9"/>
  <c r="BW108" i="9"/>
  <c r="BW109" i="9"/>
  <c r="BX735" i="1"/>
  <c r="BW587" i="1"/>
  <c r="BW746" i="1"/>
  <c r="BX118" i="9"/>
  <c r="BX73" i="9"/>
  <c r="BX75" i="9" s="1"/>
  <c r="BX64" i="9"/>
  <c r="BX70" i="9" s="1"/>
  <c r="BX126" i="9" s="1"/>
  <c r="BX112" i="9"/>
  <c r="BX76" i="9"/>
  <c r="BX115" i="9"/>
  <c r="BX581" i="1"/>
  <c r="BX582" i="1" s="1"/>
  <c r="BX583" i="1" s="1"/>
  <c r="BX611" i="1"/>
  <c r="BW111" i="9"/>
  <c r="BW760" i="1" l="1"/>
  <c r="BW586" i="1"/>
  <c r="BW7" i="9" s="1"/>
  <c r="BW8" i="9"/>
  <c r="BW11" i="9" s="1"/>
  <c r="BW796" i="1"/>
  <c r="BW591" i="1"/>
  <c r="BX596" i="1"/>
  <c r="BX587" i="1"/>
  <c r="BX746" i="1"/>
  <c r="BX731" i="1"/>
  <c r="BX8" i="9" l="1"/>
  <c r="BX796" i="1"/>
  <c r="BY595" i="1"/>
  <c r="BW96" i="9"/>
  <c r="BW97" i="9" s="1"/>
  <c r="BW98" i="9" s="1"/>
  <c r="BW99" i="9" s="1"/>
  <c r="BW80" i="9"/>
  <c r="BW81" i="9"/>
  <c r="BW79" i="9"/>
  <c r="BW606" i="1"/>
  <c r="BX760" i="1"/>
  <c r="BX586" i="1"/>
  <c r="BX7" i="9" s="1"/>
  <c r="BW93" i="9"/>
  <c r="BW94" i="9" s="1"/>
  <c r="BW791" i="1"/>
  <c r="BW104" i="9" l="1"/>
  <c r="BW105" i="9" s="1"/>
  <c r="BW95" i="9"/>
  <c r="BX591" i="1"/>
  <c r="BY509" i="1"/>
  <c r="BY597" i="1"/>
  <c r="BX93" i="9"/>
  <c r="BX94" i="9" s="1"/>
  <c r="BX791" i="1"/>
  <c r="BX11" i="9"/>
  <c r="BX104" i="9" l="1"/>
  <c r="BX105" i="9" s="1"/>
  <c r="BX95" i="9"/>
  <c r="BY598" i="1"/>
  <c r="BY33" i="9"/>
  <c r="BY35" i="9" s="1"/>
  <c r="BY512" i="1"/>
  <c r="BX96" i="9"/>
  <c r="BX97" i="9" s="1"/>
  <c r="BX98" i="9" s="1"/>
  <c r="BX99" i="9" s="1"/>
  <c r="BX81" i="9"/>
  <c r="BX79" i="9"/>
  <c r="BX80" i="9"/>
  <c r="BX600" i="1"/>
  <c r="BX601" i="1"/>
  <c r="BX606" i="1"/>
  <c r="BX116" i="9"/>
  <c r="BX119" i="9"/>
  <c r="BY100" i="9" l="1"/>
  <c r="BY101" i="9" s="1"/>
  <c r="BY514" i="1"/>
  <c r="BY515" i="1"/>
  <c r="BX609" i="1"/>
  <c r="BX610" i="1"/>
  <c r="BX612" i="1"/>
  <c r="BY687" i="1" l="1"/>
  <c r="BY36" i="9"/>
  <c r="BY40" i="9" s="1"/>
  <c r="BY516" i="1"/>
  <c r="BY681" i="1" l="1"/>
  <c r="BY520" i="1"/>
  <c r="BY125" i="9"/>
  <c r="BY91" i="9"/>
  <c r="BY92" i="9" s="1"/>
  <c r="BY773" i="1"/>
  <c r="BY776" i="1" l="1"/>
  <c r="BY777" i="1" s="1"/>
  <c r="BY522" i="1"/>
  <c r="BY530" i="1"/>
  <c r="BY15" i="1"/>
  <c r="BY695" i="1"/>
  <c r="BY783" i="1"/>
  <c r="BY787" i="1" l="1"/>
  <c r="BY697" i="1"/>
  <c r="BY559" i="1"/>
  <c r="BY536" i="1"/>
  <c r="BY531" i="1" s="1"/>
  <c r="BY41" i="9" s="1"/>
  <c r="BY525" i="1"/>
  <c r="BY46" i="9" l="1"/>
  <c r="BY537" i="1"/>
  <c r="BY532" i="1" s="1"/>
  <c r="BY47" i="9" s="1"/>
  <c r="BY76" i="9" s="1"/>
  <c r="BY58" i="9"/>
  <c r="BY60" i="9" s="1"/>
  <c r="BY576" i="1"/>
  <c r="BY577" i="1" s="1"/>
  <c r="BY578" i="1" s="1"/>
  <c r="BY579" i="1" s="1"/>
  <c r="BY562" i="1"/>
  <c r="BY561" i="1"/>
  <c r="BY723" i="1"/>
  <c r="BY88" i="9"/>
  <c r="BY89" i="9" s="1"/>
  <c r="BY789" i="1"/>
  <c r="BY83" i="9" l="1"/>
  <c r="BY62" i="9"/>
  <c r="BY42" i="9"/>
  <c r="BY65" i="1"/>
  <c r="BY726" i="1"/>
  <c r="BY735" i="1"/>
  <c r="BY580" i="1"/>
  <c r="BY581" i="1" s="1"/>
  <c r="BY582" i="1" s="1"/>
  <c r="BY583" i="1" s="1"/>
  <c r="BY560" i="1"/>
  <c r="BY563" i="1"/>
  <c r="BY124" i="9"/>
  <c r="BY86" i="9"/>
  <c r="BY87" i="9" s="1"/>
  <c r="BY90" i="9" s="1"/>
  <c r="BY110" i="9"/>
  <c r="BZ725" i="1" l="1"/>
  <c r="BY731" i="1"/>
  <c r="BY108" i="9"/>
  <c r="BY109" i="9"/>
  <c r="BY111" i="9"/>
  <c r="BY73" i="9"/>
  <c r="BY75" i="9" s="1"/>
  <c r="BY64" i="9"/>
  <c r="BY70" i="9" s="1"/>
  <c r="BY126" i="9" s="1"/>
  <c r="BY112" i="9"/>
  <c r="BY72" i="9"/>
  <c r="BY587" i="1"/>
  <c r="BY746" i="1"/>
  <c r="BY760" i="1" l="1"/>
  <c r="BY586" i="1"/>
  <c r="BY7" i="9" s="1"/>
  <c r="BY8" i="9"/>
  <c r="BY796" i="1"/>
  <c r="BZ595" i="1"/>
  <c r="BY591" i="1" l="1"/>
  <c r="BY606" i="1" s="1"/>
  <c r="BY11" i="9"/>
  <c r="BZ509" i="1"/>
  <c r="BZ597" i="1"/>
  <c r="BY93" i="9"/>
  <c r="BY94" i="9" s="1"/>
  <c r="BY791" i="1"/>
  <c r="BY79" i="9" l="1"/>
  <c r="BY81" i="9"/>
  <c r="BY80" i="9"/>
  <c r="BY96" i="9"/>
  <c r="BY97" i="9" s="1"/>
  <c r="BY98" i="9" s="1"/>
  <c r="BY99" i="9" s="1"/>
  <c r="BZ598" i="1"/>
  <c r="BZ33" i="9"/>
  <c r="BZ35" i="9" s="1"/>
  <c r="BZ512" i="1"/>
  <c r="BY104" i="9"/>
  <c r="BY105" i="9" s="1"/>
  <c r="BY95" i="9"/>
  <c r="BZ100" i="9" l="1"/>
  <c r="BZ101" i="9" s="1"/>
  <c r="BZ515" i="1"/>
  <c r="BZ514" i="1"/>
  <c r="BZ687" i="1" l="1"/>
  <c r="BZ36" i="9"/>
  <c r="BZ40" i="9" s="1"/>
  <c r="BZ516" i="1"/>
  <c r="BZ681" i="1" l="1"/>
  <c r="BZ520" i="1"/>
  <c r="BZ125" i="9" s="1"/>
  <c r="BZ91" i="9"/>
  <c r="BZ92" i="9" s="1"/>
  <c r="BZ773" i="1"/>
  <c r="BZ776" i="1" l="1"/>
  <c r="BZ777" i="1" s="1"/>
  <c r="BZ530" i="1"/>
  <c r="BZ522" i="1"/>
  <c r="BZ15" i="1"/>
  <c r="BZ695" i="1"/>
  <c r="BZ783" i="1"/>
  <c r="BZ787" i="1" l="1"/>
  <c r="BZ697" i="1"/>
  <c r="BZ559" i="1"/>
  <c r="BZ536" i="1"/>
  <c r="BZ531" i="1" s="1"/>
  <c r="BZ41" i="9" s="1"/>
  <c r="BZ525" i="1"/>
  <c r="BZ46" i="9" l="1"/>
  <c r="BZ537" i="1"/>
  <c r="BZ532" i="1"/>
  <c r="BZ47" i="9" s="1"/>
  <c r="BZ76" i="9" s="1"/>
  <c r="BZ58" i="9"/>
  <c r="BZ60" i="9" s="1"/>
  <c r="BZ576" i="1"/>
  <c r="BZ577" i="1" s="1"/>
  <c r="BZ578" i="1" s="1"/>
  <c r="BZ579" i="1" s="1"/>
  <c r="BZ562" i="1"/>
  <c r="BZ561" i="1"/>
  <c r="BZ723" i="1"/>
  <c r="BZ88" i="9"/>
  <c r="BZ89" i="9" s="1"/>
  <c r="BZ789" i="1"/>
  <c r="BZ560" i="1" l="1"/>
  <c r="BZ580" i="1"/>
  <c r="BZ581" i="1" s="1"/>
  <c r="BZ582" i="1" s="1"/>
  <c r="BZ583" i="1" s="1"/>
  <c r="BZ563" i="1"/>
  <c r="BZ83" i="9"/>
  <c r="BZ62" i="9"/>
  <c r="BZ42" i="9"/>
  <c r="BZ65" i="1"/>
  <c r="BZ735" i="1"/>
  <c r="BZ726" i="1"/>
  <c r="BZ124" i="9"/>
  <c r="BZ86" i="9"/>
  <c r="BZ87" i="9" s="1"/>
  <c r="BZ90" i="9" s="1"/>
  <c r="BZ108" i="9" l="1"/>
  <c r="BZ109" i="9"/>
  <c r="BZ110" i="9"/>
  <c r="BZ72" i="9"/>
  <c r="BZ111" i="9"/>
  <c r="BZ731" i="1"/>
  <c r="CA725" i="1"/>
  <c r="BZ64" i="9"/>
  <c r="BZ70" i="9" s="1"/>
  <c r="BZ126" i="9" s="1"/>
  <c r="BZ73" i="9"/>
  <c r="BZ75" i="9" s="1"/>
  <c r="BZ112" i="9"/>
  <c r="BZ587" i="1"/>
  <c r="BZ746" i="1"/>
  <c r="BZ8" i="9" l="1"/>
  <c r="BZ796" i="1"/>
  <c r="CA595" i="1"/>
  <c r="BZ760" i="1"/>
  <c r="BZ586" i="1"/>
  <c r="BZ7" i="9" s="1"/>
  <c r="BZ591" i="1" l="1"/>
  <c r="BZ11" i="9"/>
  <c r="BZ93" i="9"/>
  <c r="BZ94" i="9" s="1"/>
  <c r="BZ791" i="1"/>
  <c r="CA509" i="1"/>
  <c r="CA597" i="1"/>
  <c r="CA598" i="1" l="1"/>
  <c r="CA33" i="9"/>
  <c r="CA35" i="9" s="1"/>
  <c r="CA512" i="1"/>
  <c r="BZ104" i="9"/>
  <c r="BZ105" i="9" s="1"/>
  <c r="BZ95" i="9"/>
  <c r="BZ96" i="9"/>
  <c r="BZ97" i="9" s="1"/>
  <c r="BZ98" i="9" s="1"/>
  <c r="BZ99" i="9" s="1"/>
  <c r="BZ81" i="9"/>
  <c r="BZ80" i="9"/>
  <c r="BZ79" i="9"/>
  <c r="BZ606" i="1"/>
  <c r="CA100" i="9" l="1"/>
  <c r="CA101" i="9" s="1"/>
  <c r="CA515" i="1"/>
  <c r="CA514" i="1"/>
  <c r="CA516" i="1" l="1"/>
  <c r="CA681" i="1"/>
  <c r="CA520" i="1"/>
  <c r="CA687" i="1"/>
  <c r="CA36" i="9"/>
  <c r="CA40" i="9" s="1"/>
  <c r="CA125" i="9" l="1"/>
  <c r="CA91" i="9"/>
  <c r="CA92" i="9" s="1"/>
  <c r="CA773" i="1"/>
  <c r="CA530" i="1"/>
  <c r="CA522" i="1"/>
  <c r="CA15" i="1"/>
  <c r="CA695" i="1"/>
  <c r="CA783" i="1"/>
  <c r="CA697" i="1" l="1"/>
  <c r="CA559" i="1"/>
  <c r="CA536" i="1"/>
  <c r="CA531" i="1" s="1"/>
  <c r="CA41" i="9" s="1"/>
  <c r="CA525" i="1"/>
  <c r="CA776" i="1"/>
  <c r="CA777" i="1" s="1"/>
  <c r="CA787" i="1"/>
  <c r="CA46" i="9" l="1"/>
  <c r="CA537" i="1"/>
  <c r="CA532" i="1" s="1"/>
  <c r="CA47" i="9" s="1"/>
  <c r="CA76" i="9" s="1"/>
  <c r="CA88" i="9"/>
  <c r="CA89" i="9" s="1"/>
  <c r="CA789" i="1"/>
  <c r="CA58" i="9"/>
  <c r="CA60" i="9" s="1"/>
  <c r="CA576" i="1"/>
  <c r="CA577" i="1" s="1"/>
  <c r="CA578" i="1" s="1"/>
  <c r="CA579" i="1" s="1"/>
  <c r="CA562" i="1"/>
  <c r="CA561" i="1"/>
  <c r="CA723" i="1"/>
  <c r="CA62" i="9" l="1"/>
  <c r="CA83" i="9"/>
  <c r="CA735" i="1"/>
  <c r="CA726" i="1"/>
  <c r="CA580" i="1"/>
  <c r="CA581" i="1" s="1"/>
  <c r="CA582" i="1" s="1"/>
  <c r="CA583" i="1" s="1"/>
  <c r="CA563" i="1"/>
  <c r="CA560" i="1"/>
  <c r="CA42" i="9"/>
  <c r="CA111" i="9" s="1"/>
  <c r="CA65" i="1"/>
  <c r="CA124" i="9"/>
  <c r="CA86" i="9"/>
  <c r="CA87" i="9" s="1"/>
  <c r="CA90" i="9" s="1"/>
  <c r="CA110" i="9" l="1"/>
  <c r="CA731" i="1"/>
  <c r="CB725" i="1"/>
  <c r="CA587" i="1"/>
  <c r="CA746" i="1"/>
  <c r="CA108" i="9"/>
  <c r="CA109" i="9"/>
  <c r="CA64" i="9"/>
  <c r="CA70" i="9" s="1"/>
  <c r="CA126" i="9" s="1"/>
  <c r="CA73" i="9"/>
  <c r="CA75" i="9" s="1"/>
  <c r="CA112" i="9"/>
  <c r="CA72" i="9"/>
  <c r="CA760" i="1" l="1"/>
  <c r="CA586" i="1"/>
  <c r="CA7" i="9" s="1"/>
  <c r="CA8" i="9"/>
  <c r="CA796" i="1"/>
  <c r="CB595" i="1"/>
  <c r="CA591" i="1"/>
  <c r="CA11" i="9" l="1"/>
  <c r="CB509" i="1"/>
  <c r="CB597" i="1"/>
  <c r="CC595" i="1"/>
  <c r="CA96" i="9"/>
  <c r="CA97" i="9" s="1"/>
  <c r="CA98" i="9" s="1"/>
  <c r="CA99" i="9" s="1"/>
  <c r="CA81" i="9"/>
  <c r="CA80" i="9"/>
  <c r="CA79" i="9"/>
  <c r="CA606" i="1"/>
  <c r="CA93" i="9"/>
  <c r="CA94" i="9" s="1"/>
  <c r="CA791" i="1"/>
  <c r="CB598" i="1" l="1"/>
  <c r="CC597" i="1"/>
  <c r="CC598" i="1" s="1"/>
  <c r="CA104" i="9"/>
  <c r="CA105" i="9" s="1"/>
  <c r="CA95" i="9"/>
  <c r="CB33" i="9"/>
  <c r="CB35" i="9" s="1"/>
  <c r="CB512" i="1"/>
  <c r="CC509" i="1"/>
  <c r="CC33" i="9" l="1"/>
  <c r="CC35" i="9" s="1"/>
  <c r="CC512" i="1"/>
  <c r="CB100" i="9"/>
  <c r="CB101" i="9" s="1"/>
  <c r="CB515" i="1"/>
  <c r="CB514" i="1"/>
  <c r="CB36" i="9" l="1"/>
  <c r="CB40" i="9" s="1"/>
  <c r="CC514" i="1"/>
  <c r="CB687" i="1"/>
  <c r="CC515" i="1"/>
  <c r="CC528" i="1" s="1"/>
  <c r="CB516" i="1"/>
  <c r="CC100" i="9"/>
  <c r="CC101" i="9" s="1"/>
  <c r="CC516" i="1"/>
  <c r="CB681" i="1" l="1"/>
  <c r="CB520" i="1"/>
  <c r="CC805" i="1"/>
  <c r="CC520" i="1"/>
  <c r="CC687" i="1"/>
  <c r="CB773" i="1"/>
  <c r="CC36" i="9"/>
  <c r="CC40" i="9" s="1"/>
  <c r="CC527" i="1"/>
  <c r="CB125" i="9"/>
  <c r="CB91" i="9"/>
  <c r="CB92" i="9" s="1"/>
  <c r="CC125" i="9" l="1"/>
  <c r="CC91" i="9"/>
  <c r="CC92" i="9" s="1"/>
  <c r="CC773" i="1"/>
  <c r="CB776" i="1"/>
  <c r="CB777" i="1" s="1"/>
  <c r="CC530" i="1"/>
  <c r="CC522" i="1"/>
  <c r="CC15" i="1"/>
  <c r="CB530" i="1"/>
  <c r="CB522" i="1"/>
  <c r="CB15" i="1"/>
  <c r="CB695" i="1"/>
  <c r="CC681" i="1"/>
  <c r="CC695" i="1" s="1"/>
  <c r="CB783" i="1"/>
  <c r="CC525" i="1" l="1"/>
  <c r="CC536" i="1"/>
  <c r="CC531" i="1" s="1"/>
  <c r="CC41" i="9" s="1"/>
  <c r="CB697" i="1"/>
  <c r="CB559" i="1"/>
  <c r="CC807" i="1"/>
  <c r="CC776" i="1"/>
  <c r="CC777" i="1" s="1"/>
  <c r="CC783" i="1"/>
  <c r="CB787" i="1"/>
  <c r="CC697" i="1"/>
  <c r="CC559" i="1"/>
  <c r="CB525" i="1"/>
  <c r="CB536" i="1"/>
  <c r="CB531" i="1" s="1"/>
  <c r="CB41" i="9" s="1"/>
  <c r="CB58" i="9" l="1"/>
  <c r="CB60" i="9" s="1"/>
  <c r="CB562" i="1"/>
  <c r="CB576" i="1"/>
  <c r="CB577" i="1" s="1"/>
  <c r="CB578" i="1" s="1"/>
  <c r="CB579" i="1" s="1"/>
  <c r="CC58" i="9"/>
  <c r="CC60" i="9" s="1"/>
  <c r="CC562" i="1"/>
  <c r="CC576" i="1"/>
  <c r="CC577" i="1" s="1"/>
  <c r="CC578" i="1" s="1"/>
  <c r="CC579" i="1" s="1"/>
  <c r="CB561" i="1"/>
  <c r="CB723" i="1"/>
  <c r="CC808" i="1"/>
  <c r="CC561" i="1"/>
  <c r="CC723" i="1"/>
  <c r="CC726" i="1" s="1"/>
  <c r="CB46" i="9"/>
  <c r="CB537" i="1"/>
  <c r="CC806" i="1"/>
  <c r="CB88" i="9"/>
  <c r="CB89" i="9" s="1"/>
  <c r="CB789" i="1"/>
  <c r="CC787" i="1"/>
  <c r="CC46" i="9"/>
  <c r="CC537" i="1"/>
  <c r="CC532" i="1" s="1"/>
  <c r="CC47" i="9" s="1"/>
  <c r="CC76" i="9" l="1"/>
  <c r="CC115" i="9"/>
  <c r="CB735" i="1"/>
  <c r="CB726" i="1"/>
  <c r="CB731" i="1" s="1"/>
  <c r="CB580" i="1"/>
  <c r="CB581" i="1" s="1"/>
  <c r="CB582" i="1" s="1"/>
  <c r="CB583" i="1" s="1"/>
  <c r="CB563" i="1"/>
  <c r="CB560" i="1"/>
  <c r="CB42" i="9"/>
  <c r="CB72" i="9" s="1"/>
  <c r="CB65" i="1"/>
  <c r="CB532" i="1"/>
  <c r="CB47" i="9" s="1"/>
  <c r="CB76" i="9" s="1"/>
  <c r="CC124" i="9"/>
  <c r="CC86" i="9"/>
  <c r="CC87" i="9" s="1"/>
  <c r="CC110" i="9"/>
  <c r="CB124" i="9"/>
  <c r="CB86" i="9"/>
  <c r="CB87" i="9" s="1"/>
  <c r="CB90" i="9" s="1"/>
  <c r="CB110" i="9"/>
  <c r="CC62" i="9"/>
  <c r="CC83" i="9"/>
  <c r="CC42" i="9"/>
  <c r="CC72" i="9" s="1"/>
  <c r="CC117" i="9" s="1"/>
  <c r="CC65" i="1"/>
  <c r="CC88" i="9"/>
  <c r="CC89" i="9" s="1"/>
  <c r="CC789" i="1"/>
  <c r="CD725" i="1"/>
  <c r="CC580" i="1"/>
  <c r="CC563" i="1"/>
  <c r="CC608" i="1" s="1"/>
  <c r="CC560" i="1"/>
  <c r="CB83" i="9"/>
  <c r="CB62" i="9"/>
  <c r="CB111" i="9" l="1"/>
  <c r="CC118" i="9"/>
  <c r="CC73" i="9"/>
  <c r="CC75" i="9" s="1"/>
  <c r="CC64" i="9"/>
  <c r="CC70" i="9" s="1"/>
  <c r="CC126" i="9" s="1"/>
  <c r="CC112" i="9"/>
  <c r="CC735" i="1"/>
  <c r="CB587" i="1"/>
  <c r="CB746" i="1"/>
  <c r="CC581" i="1"/>
  <c r="CC582" i="1" s="1"/>
  <c r="CC583" i="1" s="1"/>
  <c r="CC611" i="1"/>
  <c r="CC90" i="9"/>
  <c r="CC108" i="9"/>
  <c r="CC109" i="9"/>
  <c r="CC111" i="9"/>
  <c r="CB73" i="9"/>
  <c r="CB75" i="9" s="1"/>
  <c r="CB64" i="9"/>
  <c r="CB70" i="9" s="1"/>
  <c r="CB126" i="9" s="1"/>
  <c r="CB112" i="9"/>
  <c r="CB108" i="9"/>
  <c r="CB109" i="9"/>
  <c r="CC587" i="1" l="1"/>
  <c r="CC746" i="1"/>
  <c r="CC731" i="1"/>
  <c r="CB760" i="1"/>
  <c r="CB586" i="1"/>
  <c r="CB7" i="9" s="1"/>
  <c r="CB8" i="9"/>
  <c r="CB11" i="9" s="1"/>
  <c r="CB796" i="1"/>
  <c r="CC596" i="1"/>
  <c r="CC760" i="1" l="1"/>
  <c r="CC586" i="1"/>
  <c r="CC7" i="9" s="1"/>
  <c r="CB93" i="9"/>
  <c r="CB94" i="9" s="1"/>
  <c r="CB791" i="1"/>
  <c r="CC8" i="9"/>
  <c r="CC11" i="9" s="1"/>
  <c r="CC796" i="1"/>
  <c r="CD595" i="1"/>
  <c r="CC591" i="1"/>
  <c r="CB591" i="1"/>
  <c r="CC116" i="9" l="1"/>
  <c r="CC119" i="9"/>
  <c r="CC79" i="9"/>
  <c r="CC80" i="9"/>
  <c r="CC81" i="9"/>
  <c r="CC96" i="9"/>
  <c r="CC97" i="9" s="1"/>
  <c r="CC98" i="9" s="1"/>
  <c r="CC99" i="9" s="1"/>
  <c r="CC606" i="1"/>
  <c r="CC600" i="1"/>
  <c r="CC601" i="1"/>
  <c r="CB104" i="9"/>
  <c r="CB105" i="9" s="1"/>
  <c r="CB95" i="9"/>
  <c r="CD509" i="1"/>
  <c r="CD597" i="1"/>
  <c r="CD598" i="1" s="1"/>
  <c r="CB96" i="9"/>
  <c r="CB97" i="9" s="1"/>
  <c r="CB98" i="9" s="1"/>
  <c r="CB99" i="9" s="1"/>
  <c r="CB79" i="9"/>
  <c r="CB80" i="9"/>
  <c r="CB81" i="9"/>
  <c r="CB606" i="1"/>
  <c r="CC93" i="9"/>
  <c r="CC94" i="9" s="1"/>
  <c r="CC791" i="1"/>
  <c r="CD33" i="9" l="1"/>
  <c r="CD35" i="9" s="1"/>
  <c r="CD512" i="1"/>
  <c r="CC104" i="9"/>
  <c r="CC105" i="9" s="1"/>
  <c r="CC95" i="9"/>
  <c r="CC609" i="1"/>
  <c r="CC610" i="1"/>
  <c r="CC612" i="1"/>
  <c r="CD100" i="9" l="1"/>
  <c r="CD101" i="9" s="1"/>
  <c r="CD514" i="1"/>
  <c r="CD515" i="1"/>
  <c r="CD687" i="1" s="1"/>
  <c r="CD773" i="1" s="1"/>
  <c r="CD776" i="1" l="1"/>
  <c r="CD777" i="1" s="1"/>
  <c r="CD516" i="1"/>
  <c r="CD36" i="9"/>
  <c r="CD40" i="9" s="1"/>
  <c r="CD681" i="1" l="1"/>
  <c r="CD520" i="1"/>
  <c r="CD125" i="9"/>
  <c r="CD91" i="9"/>
  <c r="CD92" i="9" s="1"/>
  <c r="CD522" i="1" l="1"/>
  <c r="CD530" i="1"/>
  <c r="CD15" i="1"/>
  <c r="CD695" i="1"/>
  <c r="CD783" i="1"/>
  <c r="CD787" i="1" l="1"/>
  <c r="CD697" i="1"/>
  <c r="CD559" i="1"/>
  <c r="CD525" i="1"/>
  <c r="CD536" i="1"/>
  <c r="CD531" i="1" s="1"/>
  <c r="CD41" i="9" s="1"/>
  <c r="CD561" i="1" l="1"/>
  <c r="CD723" i="1"/>
  <c r="CD58" i="9"/>
  <c r="CD60" i="9" s="1"/>
  <c r="CD576" i="1"/>
  <c r="CD577" i="1" s="1"/>
  <c r="CD578" i="1" s="1"/>
  <c r="CD579" i="1" s="1"/>
  <c r="CD562" i="1"/>
  <c r="CD88" i="9"/>
  <c r="CD89" i="9" s="1"/>
  <c r="CD789" i="1"/>
  <c r="CD46" i="9"/>
  <c r="CD537" i="1"/>
  <c r="CD124" i="9" l="1"/>
  <c r="CD86" i="9"/>
  <c r="CD87" i="9" s="1"/>
  <c r="CD90" i="9" s="1"/>
  <c r="CD83" i="9"/>
  <c r="CD62" i="9"/>
  <c r="CD42" i="9"/>
  <c r="CD110" i="9" s="1"/>
  <c r="CD65" i="1"/>
  <c r="CD726" i="1"/>
  <c r="CD735" i="1"/>
  <c r="CD532" i="1"/>
  <c r="CD47" i="9" s="1"/>
  <c r="CD580" i="1"/>
  <c r="CD560" i="1"/>
  <c r="CD563" i="1"/>
  <c r="CD608" i="1" s="1"/>
  <c r="CD72" i="9" l="1"/>
  <c r="CD117" i="9" s="1"/>
  <c r="CD611" i="1"/>
  <c r="CD581" i="1"/>
  <c r="CD582" i="1" s="1"/>
  <c r="CD583" i="1" s="1"/>
  <c r="CD118" i="9"/>
  <c r="CD73" i="9"/>
  <c r="CD75" i="9" s="1"/>
  <c r="CD64" i="9"/>
  <c r="CD70" i="9" s="1"/>
  <c r="CD126" i="9" s="1"/>
  <c r="CD112" i="9"/>
  <c r="CD587" i="1"/>
  <c r="CD746" i="1"/>
  <c r="CD108" i="9"/>
  <c r="CD109" i="9"/>
  <c r="CD76" i="9"/>
  <c r="CD115" i="9"/>
  <c r="CE725" i="1"/>
  <c r="CD731" i="1"/>
  <c r="CD111" i="9"/>
  <c r="CD760" i="1" l="1"/>
  <c r="CD586" i="1"/>
  <c r="CD7" i="9" s="1"/>
  <c r="CD8" i="9"/>
  <c r="CD796" i="1"/>
  <c r="CE595" i="1"/>
  <c r="CD591" i="1" l="1"/>
  <c r="CD600" i="1" s="1"/>
  <c r="CD11" i="9"/>
  <c r="CD116" i="9" s="1"/>
  <c r="CE509" i="1"/>
  <c r="CE597" i="1"/>
  <c r="CE598" i="1" s="1"/>
  <c r="CD79" i="9"/>
  <c r="CD80" i="9"/>
  <c r="CD81" i="9"/>
  <c r="CD96" i="9"/>
  <c r="CD97" i="9" s="1"/>
  <c r="CD98" i="9" s="1"/>
  <c r="CD99" i="9" s="1"/>
  <c r="CD601" i="1"/>
  <c r="CD606" i="1"/>
  <c r="CD93" i="9"/>
  <c r="CD94" i="9" s="1"/>
  <c r="CD791" i="1"/>
  <c r="CD119" i="9" l="1"/>
  <c r="CD610" i="1"/>
  <c r="CD609" i="1"/>
  <c r="CD612" i="1"/>
  <c r="CD104" i="9"/>
  <c r="CD105" i="9" s="1"/>
  <c r="CD95" i="9"/>
  <c r="CE33" i="9"/>
  <c r="CE35" i="9" s="1"/>
  <c r="CE512" i="1"/>
  <c r="CE100" i="9" l="1"/>
  <c r="CE101" i="9" s="1"/>
  <c r="CE515" i="1"/>
  <c r="CE687" i="1" s="1"/>
  <c r="CE773" i="1" s="1"/>
  <c r="CE514" i="1"/>
  <c r="CE36" i="9" l="1"/>
  <c r="CE40" i="9" s="1"/>
  <c r="CE91" i="9" s="1"/>
  <c r="CE92" i="9" s="1"/>
  <c r="CE776" i="1"/>
  <c r="CE777" i="1" s="1"/>
  <c r="CE516" i="1"/>
  <c r="CE681" i="1" l="1"/>
  <c r="CE520" i="1"/>
  <c r="CE522" i="1" l="1"/>
  <c r="CE530" i="1"/>
  <c r="CE15" i="1"/>
  <c r="CE125" i="9"/>
  <c r="CE695" i="1"/>
  <c r="CE783" i="1"/>
  <c r="CE787" i="1" l="1"/>
  <c r="CE697" i="1"/>
  <c r="CE559" i="1"/>
  <c r="CE536" i="1"/>
  <c r="CE531" i="1" s="1"/>
  <c r="CE41" i="9" s="1"/>
  <c r="CE525" i="1"/>
  <c r="CE46" i="9" l="1"/>
  <c r="CE537" i="1"/>
  <c r="CE532" i="1" s="1"/>
  <c r="CE47" i="9" s="1"/>
  <c r="CE58" i="9"/>
  <c r="CE60" i="9" s="1"/>
  <c r="CE576" i="1"/>
  <c r="CE577" i="1" s="1"/>
  <c r="CE578" i="1" s="1"/>
  <c r="CE579" i="1" s="1"/>
  <c r="CE562" i="1"/>
  <c r="CE561" i="1"/>
  <c r="CE723" i="1"/>
  <c r="CE88" i="9"/>
  <c r="CE89" i="9" s="1"/>
  <c r="CE789" i="1"/>
  <c r="CE735" i="1" l="1"/>
  <c r="CE726" i="1"/>
  <c r="CE580" i="1"/>
  <c r="CE560" i="1"/>
  <c r="CE563" i="1"/>
  <c r="CE608" i="1" s="1"/>
  <c r="CE83" i="9"/>
  <c r="CE72" i="9"/>
  <c r="CE117" i="9" s="1"/>
  <c r="CE62" i="9"/>
  <c r="CE42" i="9"/>
  <c r="CE111" i="9" s="1"/>
  <c r="CE65" i="1"/>
  <c r="CE76" i="9"/>
  <c r="CE115" i="9"/>
  <c r="CE124" i="9"/>
  <c r="CE86" i="9"/>
  <c r="CE87" i="9" s="1"/>
  <c r="CE90" i="9" s="1"/>
  <c r="CE110" i="9"/>
  <c r="CE108" i="9" l="1"/>
  <c r="CE109" i="9"/>
  <c r="CE581" i="1"/>
  <c r="CE582" i="1" s="1"/>
  <c r="CE583" i="1" s="1"/>
  <c r="CE611" i="1"/>
  <c r="CF725" i="1"/>
  <c r="CE731" i="1"/>
  <c r="CE118" i="9"/>
  <c r="CE73" i="9"/>
  <c r="CE75" i="9" s="1"/>
  <c r="CE64" i="9"/>
  <c r="CE70" i="9" s="1"/>
  <c r="CE126" i="9" s="1"/>
  <c r="CE112" i="9"/>
  <c r="CE587" i="1"/>
  <c r="CE746" i="1"/>
  <c r="CE8" i="9" l="1"/>
  <c r="CE796" i="1"/>
  <c r="CF595" i="1"/>
  <c r="CE760" i="1"/>
  <c r="CE586" i="1"/>
  <c r="CE7" i="9" s="1"/>
  <c r="CE93" i="9" l="1"/>
  <c r="CE94" i="9" s="1"/>
  <c r="CE791" i="1"/>
  <c r="CE591" i="1"/>
  <c r="CF509" i="1"/>
  <c r="CF597" i="1"/>
  <c r="CF598" i="1" s="1"/>
  <c r="CE11" i="9"/>
  <c r="CE116" i="9" l="1"/>
  <c r="CE119" i="9"/>
  <c r="CF33" i="9"/>
  <c r="CF35" i="9" s="1"/>
  <c r="CF512" i="1"/>
  <c r="CE96" i="9"/>
  <c r="CE97" i="9" s="1"/>
  <c r="CE98" i="9" s="1"/>
  <c r="CE99" i="9" s="1"/>
  <c r="CE80" i="9"/>
  <c r="CE81" i="9"/>
  <c r="CE79" i="9"/>
  <c r="CE606" i="1"/>
  <c r="CE600" i="1"/>
  <c r="CE601" i="1"/>
  <c r="CE104" i="9"/>
  <c r="CE105" i="9" s="1"/>
  <c r="CE95" i="9"/>
  <c r="CF100" i="9" l="1"/>
  <c r="CF101" i="9" s="1"/>
  <c r="CF515" i="1"/>
  <c r="CF687" i="1" s="1"/>
  <c r="CF773" i="1" s="1"/>
  <c r="CF776" i="1" s="1"/>
  <c r="CF777" i="1" s="1"/>
  <c r="CF514" i="1"/>
  <c r="CF36" i="9" s="1"/>
  <c r="CF40" i="9" s="1"/>
  <c r="CE609" i="1"/>
  <c r="CE610" i="1"/>
  <c r="CE612" i="1"/>
  <c r="CF516" i="1" l="1"/>
  <c r="CF91" i="9"/>
  <c r="CF92" i="9" s="1"/>
  <c r="CF681" i="1" l="1"/>
  <c r="CF520" i="1"/>
  <c r="CF522" i="1" l="1"/>
  <c r="CF530" i="1"/>
  <c r="CF15" i="1"/>
  <c r="CF125" i="9"/>
  <c r="CF695" i="1"/>
  <c r="CF783" i="1"/>
  <c r="CF787" i="1" s="1"/>
  <c r="CF88" i="9" l="1"/>
  <c r="CF89" i="9" s="1"/>
  <c r="CF789" i="1"/>
  <c r="CF697" i="1"/>
  <c r="CF559" i="1"/>
  <c r="CF525" i="1"/>
  <c r="CF536" i="1"/>
  <c r="CF531" i="1" s="1"/>
  <c r="CF41" i="9" s="1"/>
  <c r="CF58" i="9" l="1"/>
  <c r="CF60" i="9" s="1"/>
  <c r="CF576" i="1"/>
  <c r="CF577" i="1" s="1"/>
  <c r="CF578" i="1" s="1"/>
  <c r="CF579" i="1" s="1"/>
  <c r="CF562" i="1"/>
  <c r="CF46" i="9"/>
  <c r="CF537" i="1"/>
  <c r="CF561" i="1"/>
  <c r="CF723" i="1"/>
  <c r="CF735" i="1" l="1"/>
  <c r="CF726" i="1"/>
  <c r="CF42" i="9"/>
  <c r="CF65" i="1"/>
  <c r="CF532" i="1"/>
  <c r="CF47" i="9" s="1"/>
  <c r="CF124" i="9"/>
  <c r="CF86" i="9"/>
  <c r="CF87" i="9" s="1"/>
  <c r="CF90" i="9" s="1"/>
  <c r="CF110" i="9"/>
  <c r="CF580" i="1"/>
  <c r="CF560" i="1"/>
  <c r="CF563" i="1"/>
  <c r="CF608" i="1" s="1"/>
  <c r="CF83" i="9"/>
  <c r="CF72" i="9"/>
  <c r="CF117" i="9" s="1"/>
  <c r="CF62" i="9"/>
  <c r="CF111" i="9"/>
  <c r="CF731" i="1" l="1"/>
  <c r="CF76" i="9"/>
  <c r="CF115" i="9"/>
  <c r="CF108" i="9"/>
  <c r="CF109" i="9"/>
  <c r="CF118" i="9"/>
  <c r="CF73" i="9"/>
  <c r="CF75" i="9" s="1"/>
  <c r="CF64" i="9"/>
  <c r="CF70" i="9" s="1"/>
  <c r="CF126" i="9" s="1"/>
  <c r="CF112" i="9"/>
  <c r="CF611" i="1"/>
  <c r="CF581" i="1"/>
  <c r="CF582" i="1" s="1"/>
  <c r="CF583" i="1" s="1"/>
  <c r="CF587" i="1"/>
  <c r="CF746" i="1"/>
  <c r="CF760" i="1" l="1"/>
  <c r="CF586" i="1"/>
  <c r="CF7" i="9" s="1"/>
  <c r="CF8" i="9"/>
  <c r="CF11" i="9" s="1"/>
  <c r="CF796" i="1"/>
  <c r="CF591" i="1"/>
  <c r="CF116" i="9" l="1"/>
  <c r="CF119" i="9"/>
  <c r="CF96" i="9"/>
  <c r="CF97" i="9" s="1"/>
  <c r="CF98" i="9" s="1"/>
  <c r="CF99" i="9" s="1"/>
  <c r="CF81" i="9"/>
  <c r="CF80" i="9"/>
  <c r="CF79" i="9"/>
  <c r="CF600" i="1"/>
  <c r="CF601" i="1"/>
  <c r="CF606" i="1"/>
  <c r="CF93" i="9"/>
  <c r="CF94" i="9" s="1"/>
  <c r="CF791" i="1"/>
  <c r="CF104" i="9" l="1"/>
  <c r="CF105" i="9" s="1"/>
  <c r="CF95" i="9"/>
  <c r="CF610" i="1"/>
  <c r="CF609" i="1"/>
  <c r="CF6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Author1</author>
    <author>Author2</author>
    <author>Author3</author>
    <author>Author4</author>
    <author>Author5</author>
    <author>Author6</author>
    <author>Author7</author>
    <author>Author8</author>
  </authors>
  <commentList>
    <comment ref="AP23" authorId="0" shapeId="0" xr:uid="{00000000-0006-0000-0100-000002000000}">
      <text>
        <r>
          <rPr>
            <b/>
            <sz val="9"/>
            <rFont val="Tahoma"/>
            <family val="2"/>
          </rPr>
          <t>Author:</t>
        </r>
        <r>
          <rPr>
            <sz val="9"/>
            <rFont val="Tahoma"/>
            <family val="2"/>
          </rPr>
          <t xml:space="preserve">
Previously included as part of "Other"</t>
        </r>
      </text>
    </comment>
    <comment ref="AZ25" authorId="0" shapeId="0" xr:uid="{00000000-0006-0000-0100-000003000000}">
      <text>
        <r>
          <rPr>
            <b/>
            <sz val="9"/>
            <rFont val="Tahoma"/>
            <family val="2"/>
          </rPr>
          <t>Author:</t>
        </r>
        <r>
          <rPr>
            <sz val="9"/>
            <rFont val="Tahoma"/>
            <family val="2"/>
          </rPr>
          <t xml:space="preserve">
included in other</t>
        </r>
      </text>
    </comment>
    <comment ref="AX26" authorId="0" shapeId="0" xr:uid="{00000000-0006-0000-0100-000004000000}">
      <text>
        <r>
          <rPr>
            <b/>
            <sz val="9"/>
            <rFont val="Tahoma"/>
            <family val="2"/>
          </rPr>
          <t>Author:</t>
        </r>
        <r>
          <rPr>
            <sz val="9"/>
            <rFont val="Tahoma"/>
            <family val="2"/>
          </rPr>
          <t xml:space="preserve">
decrease due to expiration of the Rokan concession in Indonesia</t>
        </r>
      </text>
    </comment>
    <comment ref="AZ26" authorId="0" shapeId="0" xr:uid="{00000000-0006-0000-0100-000005000000}">
      <text>
        <r>
          <rPr>
            <b/>
            <sz val="9"/>
            <rFont val="Tahoma"/>
            <family val="2"/>
          </rPr>
          <t>Author:</t>
        </r>
        <r>
          <rPr>
            <sz val="9"/>
            <rFont val="Tahoma"/>
            <family val="2"/>
          </rPr>
          <t xml:space="preserve">
included in other</t>
        </r>
      </text>
    </comment>
    <comment ref="BQ30" authorId="1" shapeId="0" xr:uid="{00000000-0006-0000-0100-000006000000}">
      <text>
        <r>
          <rPr>
            <b/>
            <sz val="9"/>
            <rFont val="Tahoma"/>
            <family val="2"/>
          </rPr>
          <t>Author:</t>
        </r>
        <r>
          <rPr>
            <sz val="9"/>
            <rFont val="Tahoma"/>
            <family val="2"/>
          </rPr>
          <t xml:space="preserve">
Argentina</t>
        </r>
      </text>
    </comment>
    <comment ref="BR30" authorId="1" shapeId="0" xr:uid="{00000000-0006-0000-0100-000007000000}">
      <text>
        <r>
          <rPr>
            <b/>
            <sz val="9"/>
            <rFont val="Tahoma"/>
            <family val="2"/>
          </rPr>
          <t>Author:</t>
        </r>
        <r>
          <rPr>
            <sz val="9"/>
            <rFont val="Tahoma"/>
            <family val="2"/>
          </rPr>
          <t xml:space="preserve">
Argentina</t>
        </r>
      </text>
    </comment>
    <comment ref="BS30" authorId="1" shapeId="0" xr:uid="{00000000-0006-0000-0100-000008000000}">
      <text>
        <r>
          <rPr>
            <b/>
            <sz val="9"/>
            <rFont val="Tahoma"/>
            <family val="2"/>
          </rPr>
          <t>Author:</t>
        </r>
        <r>
          <rPr>
            <sz val="9"/>
            <rFont val="Tahoma"/>
            <family val="2"/>
          </rPr>
          <t xml:space="preserve">
Argentina</t>
        </r>
      </text>
    </comment>
    <comment ref="BT30" authorId="2" shapeId="0" xr:uid="{00000000-0006-0000-0100-000009000000}">
      <text>
        <r>
          <rPr>
            <b/>
            <sz val="9"/>
            <rFont val="Tahoma"/>
            <family val="2"/>
          </rPr>
          <t>Author:</t>
        </r>
        <r>
          <rPr>
            <sz val="9"/>
            <rFont val="Tahoma"/>
            <family val="2"/>
          </rPr>
          <t xml:space="preserve">
Argentina</t>
        </r>
      </text>
    </comment>
    <comment ref="BD32" authorId="0" shapeId="0" xr:uid="{00000000-0006-0000-0100-00000A000000}">
      <text>
        <r>
          <rPr>
            <b/>
            <sz val="9"/>
            <rFont val="Tahoma"/>
            <family val="2"/>
          </rPr>
          <t>Author:</t>
        </r>
        <r>
          <rPr>
            <sz val="9"/>
            <rFont val="Tahoma"/>
            <family val="2"/>
          </rPr>
          <t xml:space="preserve">
Reported as 831</t>
        </r>
      </text>
    </comment>
    <comment ref="AZ35" authorId="0" shapeId="0" xr:uid="{00000000-0006-0000-0100-00000B000000}">
      <text>
        <r>
          <rPr>
            <b/>
            <sz val="9"/>
            <rFont val="Tahoma"/>
            <family val="2"/>
          </rPr>
          <t>Author:</t>
        </r>
        <r>
          <rPr>
            <sz val="9"/>
            <rFont val="Tahoma"/>
            <family val="2"/>
          </rPr>
          <t xml:space="preserve">
previously reported within other</t>
        </r>
      </text>
    </comment>
    <comment ref="AP38" authorId="0" shapeId="0" xr:uid="{00000000-0006-0000-0100-00000C000000}">
      <text>
        <r>
          <rPr>
            <b/>
            <sz val="9"/>
            <rFont val="Tahoma"/>
            <family val="2"/>
          </rPr>
          <t>Author:</t>
        </r>
        <r>
          <rPr>
            <sz val="9"/>
            <rFont val="Tahoma"/>
            <family val="2"/>
          </rPr>
          <t xml:space="preserve">
Previously included as part of "Other"</t>
        </r>
      </text>
    </comment>
    <comment ref="AZ40" authorId="0" shapeId="0" xr:uid="{00000000-0006-0000-0100-00000D000000}">
      <text>
        <r>
          <rPr>
            <b/>
            <sz val="9"/>
            <rFont val="Tahoma"/>
            <family val="2"/>
          </rPr>
          <t>Author:</t>
        </r>
        <r>
          <rPr>
            <sz val="9"/>
            <rFont val="Tahoma"/>
            <family val="2"/>
          </rPr>
          <t xml:space="preserve">
included in other</t>
        </r>
      </text>
    </comment>
    <comment ref="AZ41" authorId="0" shapeId="0" xr:uid="{00000000-0006-0000-0100-00000E000000}">
      <text>
        <r>
          <rPr>
            <b/>
            <sz val="9"/>
            <rFont val="Tahoma"/>
            <family val="2"/>
          </rPr>
          <t>Author:</t>
        </r>
        <r>
          <rPr>
            <sz val="9"/>
            <rFont val="Tahoma"/>
            <family val="2"/>
          </rPr>
          <t xml:space="preserve">
included in other</t>
        </r>
      </text>
    </comment>
    <comment ref="AZ44" authorId="0" shapeId="0" xr:uid="{00000000-0006-0000-0100-00000F000000}">
      <text>
        <r>
          <rPr>
            <b/>
            <sz val="9"/>
            <rFont val="Tahoma"/>
            <family val="2"/>
          </rPr>
          <t>Author:</t>
        </r>
        <r>
          <rPr>
            <sz val="9"/>
            <rFont val="Tahoma"/>
            <family val="2"/>
          </rPr>
          <t xml:space="preserve">
included in other</t>
        </r>
      </text>
    </comment>
    <comment ref="BQ47" authorId="1" shapeId="0" xr:uid="{00000000-0006-0000-0100-000010000000}">
      <text>
        <r>
          <rPr>
            <b/>
            <sz val="9"/>
            <rFont val="Tahoma"/>
            <family val="2"/>
          </rPr>
          <t>Author:</t>
        </r>
        <r>
          <rPr>
            <sz val="9"/>
            <rFont val="Tahoma"/>
            <family val="2"/>
          </rPr>
          <t xml:space="preserve">
Argentina</t>
        </r>
      </text>
    </comment>
    <comment ref="BR47" authorId="1" shapeId="0" xr:uid="{00000000-0006-0000-0100-000011000000}">
      <text>
        <r>
          <rPr>
            <b/>
            <sz val="9"/>
            <rFont val="Tahoma"/>
            <family val="2"/>
          </rPr>
          <t>Author:</t>
        </r>
        <r>
          <rPr>
            <sz val="9"/>
            <rFont val="Tahoma"/>
            <family val="2"/>
          </rPr>
          <t xml:space="preserve">
Argentina</t>
        </r>
      </text>
    </comment>
    <comment ref="BS47" authorId="1" shapeId="0" xr:uid="{00000000-0006-0000-0100-000012000000}">
      <text>
        <r>
          <rPr>
            <b/>
            <sz val="9"/>
            <rFont val="Tahoma"/>
            <family val="2"/>
          </rPr>
          <t>Author:</t>
        </r>
        <r>
          <rPr>
            <sz val="9"/>
            <rFont val="Tahoma"/>
            <family val="2"/>
          </rPr>
          <t xml:space="preserve">
Argentina</t>
        </r>
      </text>
    </comment>
    <comment ref="BT47" authorId="2" shapeId="0" xr:uid="{00000000-0006-0000-0100-000013000000}">
      <text>
        <r>
          <rPr>
            <b/>
            <sz val="9"/>
            <rFont val="Tahoma"/>
            <family val="2"/>
          </rPr>
          <t>Author:</t>
        </r>
        <r>
          <rPr>
            <sz val="9"/>
            <rFont val="Tahoma"/>
            <family val="2"/>
          </rPr>
          <t xml:space="preserve">
Argentina</t>
        </r>
      </text>
    </comment>
    <comment ref="Y50" authorId="0" shapeId="0" xr:uid="{00000000-0006-0000-0100-000014000000}">
      <text>
        <r>
          <rPr>
            <b/>
            <sz val="9"/>
            <rFont val="Tahoma"/>
            <family val="2"/>
          </rPr>
          <t>Author:</t>
        </r>
        <r>
          <rPr>
            <sz val="9"/>
            <rFont val="Tahoma"/>
            <family val="2"/>
          </rPr>
          <t xml:space="preserve">
Hardcoded to match statement as reported; does not sum due to rounding error</t>
        </r>
      </text>
    </comment>
    <comment ref="AW50" authorId="0" shapeId="0" xr:uid="{00000000-0006-0000-0100-000015000000}">
      <text>
        <r>
          <rPr>
            <b/>
            <sz val="9"/>
            <rFont val="Tahoma"/>
            <family val="2"/>
          </rPr>
          <t>Author:</t>
        </r>
        <r>
          <rPr>
            <sz val="9"/>
            <rFont val="Tahoma"/>
            <family val="2"/>
          </rPr>
          <t xml:space="preserve">
reported as 5,952</t>
        </r>
      </text>
    </comment>
    <comment ref="BB50" authorId="0" shapeId="0" xr:uid="{00000000-0006-0000-0100-000016000000}">
      <text>
        <r>
          <rPr>
            <b/>
            <sz val="9"/>
            <rFont val="Tahoma"/>
            <family val="2"/>
          </rPr>
          <t>Author:</t>
        </r>
        <r>
          <rPr>
            <sz val="9"/>
            <rFont val="Tahoma"/>
            <family val="2"/>
          </rPr>
          <t xml:space="preserve">
reported 6,212</t>
        </r>
      </text>
    </comment>
    <comment ref="BC50" authorId="0" shapeId="0" xr:uid="{00000000-0006-0000-0100-000017000000}">
      <text>
        <r>
          <rPr>
            <b/>
            <sz val="9"/>
            <rFont val="Tahoma"/>
            <family val="2"/>
          </rPr>
          <t>Author:</t>
        </r>
        <r>
          <rPr>
            <sz val="9"/>
            <rFont val="Tahoma"/>
            <family val="2"/>
          </rPr>
          <t xml:space="preserve">
Reported as 5799</t>
        </r>
      </text>
    </comment>
    <comment ref="BD50" authorId="0" shapeId="0" xr:uid="{00000000-0006-0000-0100-000018000000}">
      <text>
        <r>
          <rPr>
            <b/>
            <sz val="9"/>
            <rFont val="Tahoma"/>
            <family val="2"/>
          </rPr>
          <t>Author:</t>
        </r>
        <r>
          <rPr>
            <sz val="9"/>
            <rFont val="Tahoma"/>
            <family val="2"/>
          </rPr>
          <t xml:space="preserve">
Reported as 5919</t>
        </r>
      </text>
    </comment>
    <comment ref="BA73" authorId="0" shapeId="0" xr:uid="{00000000-0006-0000-0100-000019000000}">
      <text>
        <r>
          <rPr>
            <b/>
            <sz val="9"/>
            <rFont val="Tahoma"/>
            <family val="2"/>
          </rPr>
          <t>Author:</t>
        </r>
        <r>
          <rPr>
            <sz val="9"/>
            <rFont val="Tahoma"/>
            <family val="2"/>
          </rPr>
          <t xml:space="preserve">
Breakdown remains unrestated from Q2-2023 SI</t>
        </r>
      </text>
    </comment>
    <comment ref="AN97" authorId="0" shapeId="0" xr:uid="{00000000-0006-0000-0100-000020000000}">
      <text>
        <r>
          <rPr>
            <b/>
            <sz val="9"/>
            <rFont val="Tahoma"/>
            <family val="2"/>
          </rPr>
          <t>Author:</t>
        </r>
        <r>
          <rPr>
            <sz val="9"/>
            <rFont val="Tahoma"/>
            <family val="2"/>
          </rPr>
          <t xml:space="preserve">
$8.2 billion in impairment charges primarily associated with Appalachia shale and Big Foot. Also contributing to the decrease were lower crude oil and natural gas realizations. Partially offsetting these items were higher crude oil and natural gas production.</t>
        </r>
      </text>
    </comment>
    <comment ref="AQ97" authorId="0" shapeId="0" xr:uid="{00000000-0006-0000-0100-000021000000}">
      <text>
        <r>
          <rPr>
            <b/>
            <sz val="9"/>
            <rFont val="Tahoma"/>
            <family val="2"/>
          </rPr>
          <t>Author:</t>
        </r>
        <r>
          <rPr>
            <sz val="9"/>
            <rFont val="Tahoma"/>
            <family val="2"/>
          </rPr>
          <t xml:space="preserve">
Includes charges of $1.3bn for special items including impairments, write-offs and severance accruals</t>
        </r>
      </text>
    </comment>
    <comment ref="AQ98" authorId="0" shapeId="0" xr:uid="{00000000-0006-0000-0100-000022000000}">
      <text>
        <r>
          <rPr>
            <b/>
            <sz val="9"/>
            <rFont val="Tahoma"/>
            <family val="2"/>
          </rPr>
          <t>Author:</t>
        </r>
        <r>
          <rPr>
            <sz val="9"/>
            <rFont val="Tahoma"/>
            <family val="2"/>
          </rPr>
          <t xml:space="preserve">
Includes charges of $3.9bn for special items including impairments, write-offs and severance accruals</t>
        </r>
      </text>
    </comment>
    <comment ref="A114" authorId="0" shapeId="0" xr:uid="{00000000-0006-0000-0100-000023000000}">
      <text>
        <r>
          <rPr>
            <b/>
            <sz val="9"/>
            <rFont val="Tahoma"/>
            <family val="2"/>
          </rPr>
          <t>Author:</t>
        </r>
        <r>
          <rPr>
            <sz val="9"/>
            <rFont val="Tahoma"/>
            <family val="2"/>
          </rPr>
          <t xml:space="preserve">
Includes NGLs</t>
        </r>
      </text>
    </comment>
    <comment ref="A115" authorId="0" shapeId="0" xr:uid="{00000000-0006-0000-0100-000024000000}">
      <text>
        <r>
          <rPr>
            <b/>
            <sz val="9"/>
            <rFont val="Tahoma"/>
            <family val="2"/>
          </rPr>
          <t>Author:</t>
        </r>
        <r>
          <rPr>
            <sz val="9"/>
            <rFont val="Tahoma"/>
            <family val="2"/>
          </rPr>
          <t xml:space="preserve">
Includes NGLs</t>
        </r>
      </text>
    </comment>
    <comment ref="Y122" authorId="0" shapeId="0" xr:uid="{00000000-0006-0000-0100-000025000000}">
      <text>
        <r>
          <rPr>
            <b/>
            <sz val="9"/>
            <rFont val="Tahoma"/>
            <family val="2"/>
          </rPr>
          <t>Author:</t>
        </r>
        <r>
          <rPr>
            <sz val="9"/>
            <rFont val="Tahoma"/>
            <family val="2"/>
          </rPr>
          <t xml:space="preserve">
As reported on supplemental info pack</t>
        </r>
      </text>
    </comment>
    <comment ref="Z122" authorId="0" shapeId="0" xr:uid="{00000000-0006-0000-0100-000026000000}">
      <text>
        <r>
          <rPr>
            <b/>
            <sz val="9"/>
            <rFont val="Tahoma"/>
            <family val="2"/>
          </rPr>
          <t>Author:</t>
        </r>
        <r>
          <rPr>
            <sz val="9"/>
            <rFont val="Tahoma"/>
            <family val="2"/>
          </rPr>
          <t xml:space="preserve">
As reported on supplemental info pack</t>
        </r>
      </text>
    </comment>
    <comment ref="AA122" authorId="0" shapeId="0" xr:uid="{00000000-0006-0000-0100-000027000000}">
      <text>
        <r>
          <rPr>
            <b/>
            <sz val="9"/>
            <rFont val="Tahoma"/>
            <family val="2"/>
          </rPr>
          <t>Author:</t>
        </r>
        <r>
          <rPr>
            <sz val="9"/>
            <rFont val="Tahoma"/>
            <family val="2"/>
          </rPr>
          <t xml:space="preserve">
As reported on supplemental info pack</t>
        </r>
      </text>
    </comment>
    <comment ref="AB122" authorId="0" shapeId="0" xr:uid="{00000000-0006-0000-0100-000028000000}">
      <text>
        <r>
          <rPr>
            <b/>
            <sz val="9"/>
            <rFont val="Tahoma"/>
            <family val="2"/>
          </rPr>
          <t>Author:</t>
        </r>
        <r>
          <rPr>
            <sz val="9"/>
            <rFont val="Tahoma"/>
            <family val="2"/>
          </rPr>
          <t xml:space="preserve">
As reported on supplemental info pack</t>
        </r>
      </text>
    </comment>
    <comment ref="Y123" authorId="0" shapeId="0" xr:uid="{00000000-0006-0000-0100-000029000000}">
      <text>
        <r>
          <rPr>
            <b/>
            <sz val="9"/>
            <rFont val="Tahoma"/>
            <family val="2"/>
          </rPr>
          <t>Author:</t>
        </r>
        <r>
          <rPr>
            <sz val="9"/>
            <rFont val="Tahoma"/>
            <family val="2"/>
          </rPr>
          <t xml:space="preserve">
As reported on supplemental info pack</t>
        </r>
      </text>
    </comment>
    <comment ref="Z123" authorId="0" shapeId="0" xr:uid="{00000000-0006-0000-0100-00002A000000}">
      <text>
        <r>
          <rPr>
            <b/>
            <sz val="9"/>
            <rFont val="Tahoma"/>
            <family val="2"/>
          </rPr>
          <t>Author:</t>
        </r>
        <r>
          <rPr>
            <sz val="9"/>
            <rFont val="Tahoma"/>
            <family val="2"/>
          </rPr>
          <t xml:space="preserve">
As reported on supplemental info pack</t>
        </r>
      </text>
    </comment>
    <comment ref="AA123" authorId="0" shapeId="0" xr:uid="{00000000-0006-0000-0100-00002B000000}">
      <text>
        <r>
          <rPr>
            <b/>
            <sz val="9"/>
            <rFont val="Tahoma"/>
            <family val="2"/>
          </rPr>
          <t>Author:</t>
        </r>
        <r>
          <rPr>
            <sz val="9"/>
            <rFont val="Tahoma"/>
            <family val="2"/>
          </rPr>
          <t xml:space="preserve">
As reported on supplemental info pack</t>
        </r>
      </text>
    </comment>
    <comment ref="AB123" authorId="0" shapeId="0" xr:uid="{00000000-0006-0000-0100-00002C000000}">
      <text>
        <r>
          <rPr>
            <b/>
            <sz val="9"/>
            <rFont val="Tahoma"/>
            <family val="2"/>
          </rPr>
          <t>Author:</t>
        </r>
        <r>
          <rPr>
            <sz val="9"/>
            <rFont val="Tahoma"/>
            <family val="2"/>
          </rPr>
          <t xml:space="preserve">
As reported on supplemental info pack</t>
        </r>
      </text>
    </comment>
    <comment ref="BD169" authorId="0" shapeId="0" xr:uid="{00000000-0006-0000-0100-00002D000000}">
      <text>
        <r>
          <rPr>
            <b/>
            <sz val="9"/>
            <rFont val="Tahoma"/>
            <family val="2"/>
          </rPr>
          <t>Author:</t>
        </r>
        <r>
          <rPr>
            <sz val="9"/>
            <rFont val="Tahoma"/>
            <family val="2"/>
          </rPr>
          <t xml:space="preserve">
reported as 865 in Supplemental Report, 866 in PR and 10-K</t>
        </r>
      </text>
    </comment>
    <comment ref="Z171" authorId="0" shapeId="0" xr:uid="{00000000-0006-0000-0100-00002E000000}">
      <text>
        <r>
          <rPr>
            <b/>
            <sz val="9"/>
            <rFont val="Tahoma"/>
            <family val="2"/>
          </rPr>
          <t>Author:</t>
        </r>
        <r>
          <rPr>
            <sz val="9"/>
            <rFont val="Tahoma"/>
            <family val="2"/>
          </rPr>
          <t xml:space="preserve">
Breakdown not available on PR</t>
        </r>
      </text>
    </comment>
    <comment ref="AI172" authorId="0" shapeId="0" xr:uid="{00000000-0006-0000-0100-00002F000000}">
      <text>
        <r>
          <rPr>
            <b/>
            <sz val="9"/>
            <rFont val="Tahoma"/>
            <family val="2"/>
          </rPr>
          <t>Author:</t>
        </r>
        <r>
          <rPr>
            <sz val="9"/>
            <rFont val="Tahoma"/>
            <family val="2"/>
          </rPr>
          <t xml:space="preserve">
Calculated. </t>
        </r>
      </text>
    </comment>
    <comment ref="AN172" authorId="0" shapeId="0" xr:uid="{00000000-0006-0000-0100-000030000000}">
      <text>
        <r>
          <rPr>
            <b/>
            <sz val="9"/>
            <rFont val="Tahoma"/>
            <family val="2"/>
          </rPr>
          <t>Author:</t>
        </r>
        <r>
          <rPr>
            <sz val="9"/>
            <rFont val="Tahoma"/>
            <family val="2"/>
          </rPr>
          <t xml:space="preserve">
Calculated.</t>
        </r>
      </text>
    </comment>
    <comment ref="BD172" authorId="0" shapeId="0" xr:uid="{00000000-0006-0000-0100-000031000000}">
      <text>
        <r>
          <rPr>
            <b/>
            <sz val="9"/>
            <rFont val="Tahoma"/>
            <family val="2"/>
          </rPr>
          <t>Author:</t>
        </r>
        <r>
          <rPr>
            <sz val="9"/>
            <rFont val="Tahoma"/>
            <family val="2"/>
          </rPr>
          <t xml:space="preserve">
Calculated</t>
        </r>
      </text>
    </comment>
    <comment ref="BH172" authorId="0" shapeId="0" xr:uid="{00000000-0006-0000-0100-000032000000}">
      <text>
        <r>
          <rPr>
            <b/>
            <sz val="9"/>
            <rFont val="Tahoma"/>
            <family val="2"/>
          </rPr>
          <t>Author:</t>
        </r>
        <r>
          <rPr>
            <sz val="9"/>
            <rFont val="Tahoma"/>
            <family val="2"/>
          </rPr>
          <t xml:space="preserve">
Backed out</t>
        </r>
      </text>
    </comment>
    <comment ref="BD173" authorId="0" shapeId="0" xr:uid="{00000000-0006-0000-0100-000034000000}">
      <text>
        <r>
          <rPr>
            <b/>
            <sz val="9"/>
            <rFont val="Tahoma"/>
            <family val="2"/>
          </rPr>
          <t>Author:</t>
        </r>
        <r>
          <rPr>
            <sz val="9"/>
            <rFont val="Tahoma"/>
            <family val="2"/>
          </rPr>
          <t xml:space="preserve">
Reported</t>
        </r>
      </text>
    </comment>
    <comment ref="BR175" authorId="3" shapeId="0" xr:uid="{00000000-0006-0000-0100-000035000000}">
      <text>
        <r>
          <rPr>
            <b/>
            <sz val="9"/>
            <rFont val="Tahoma"/>
            <family val="2"/>
          </rPr>
          <t>Author:</t>
        </r>
        <r>
          <rPr>
            <sz val="9"/>
            <rFont val="Tahoma"/>
            <family val="2"/>
          </rPr>
          <t xml:space="preserve">
Hardcoded as reported</t>
        </r>
      </text>
    </comment>
    <comment ref="C187" authorId="0" shapeId="0" xr:uid="{00000000-0006-0000-0100-000036000000}">
      <text>
        <r>
          <rPr>
            <b/>
            <sz val="9"/>
            <rFont val="Tahoma"/>
            <family val="2"/>
          </rPr>
          <t>Author:</t>
        </r>
        <r>
          <rPr>
            <sz val="9"/>
            <rFont val="Tahoma"/>
            <family val="2"/>
          </rPr>
          <t xml:space="preserve">
Includes share of affiliates sales</t>
        </r>
      </text>
    </comment>
    <comment ref="D187" authorId="0" shapeId="0" xr:uid="{00000000-0006-0000-0100-000037000000}">
      <text>
        <r>
          <rPr>
            <b/>
            <sz val="9"/>
            <rFont val="Tahoma"/>
            <family val="2"/>
          </rPr>
          <t>Author:</t>
        </r>
        <r>
          <rPr>
            <sz val="9"/>
            <rFont val="Tahoma"/>
            <family val="2"/>
          </rPr>
          <t xml:space="preserve">
Includes share of affiliates sales</t>
        </r>
      </text>
    </comment>
    <comment ref="E187" authorId="0" shapeId="0" xr:uid="{00000000-0006-0000-0100-000038000000}">
      <text>
        <r>
          <rPr>
            <b/>
            <sz val="9"/>
            <rFont val="Tahoma"/>
            <family val="2"/>
          </rPr>
          <t>Author:</t>
        </r>
        <r>
          <rPr>
            <sz val="9"/>
            <rFont val="Tahoma"/>
            <family val="2"/>
          </rPr>
          <t xml:space="preserve">
Includes share of affiliates sales</t>
        </r>
      </text>
    </comment>
    <comment ref="F187" authorId="0" shapeId="0" xr:uid="{00000000-0006-0000-0100-000039000000}">
      <text>
        <r>
          <rPr>
            <b/>
            <sz val="9"/>
            <rFont val="Tahoma"/>
            <family val="2"/>
          </rPr>
          <t>Author:</t>
        </r>
        <r>
          <rPr>
            <sz val="9"/>
            <rFont val="Tahoma"/>
            <family val="2"/>
          </rPr>
          <t xml:space="preserve">
Includes share of affiliates sales</t>
        </r>
      </text>
    </comment>
    <comment ref="K187" authorId="0" shapeId="0" xr:uid="{00000000-0006-0000-0100-00003A000000}">
      <text>
        <r>
          <rPr>
            <b/>
            <sz val="9"/>
            <rFont val="Tahoma"/>
            <family val="2"/>
          </rPr>
          <t>Author:</t>
        </r>
        <r>
          <rPr>
            <sz val="9"/>
            <rFont val="Tahoma"/>
            <family val="2"/>
          </rPr>
          <t xml:space="preserve">
Includes share of affiliates sales</t>
        </r>
      </text>
    </comment>
    <comment ref="P187" authorId="0" shapeId="0" xr:uid="{00000000-0006-0000-0100-00003B000000}">
      <text>
        <r>
          <rPr>
            <b/>
            <sz val="9"/>
            <rFont val="Tahoma"/>
            <family val="2"/>
          </rPr>
          <t>Author:</t>
        </r>
        <r>
          <rPr>
            <sz val="9"/>
            <rFont val="Tahoma"/>
            <family val="2"/>
          </rPr>
          <t xml:space="preserve">
Includes share of affiliates sales</t>
        </r>
      </text>
    </comment>
    <comment ref="U187" authorId="0" shapeId="0" xr:uid="{00000000-0006-0000-0100-00003C000000}">
      <text>
        <r>
          <rPr>
            <b/>
            <sz val="9"/>
            <rFont val="Tahoma"/>
            <family val="2"/>
          </rPr>
          <t>Author:</t>
        </r>
        <r>
          <rPr>
            <sz val="9"/>
            <rFont val="Tahoma"/>
            <family val="2"/>
          </rPr>
          <t xml:space="preserve">
Includes share of affiliates sales</t>
        </r>
      </text>
    </comment>
    <comment ref="Z187" authorId="0" shapeId="0" xr:uid="{00000000-0006-0000-0100-00003D000000}">
      <text>
        <r>
          <rPr>
            <b/>
            <sz val="9"/>
            <rFont val="Tahoma"/>
            <family val="2"/>
          </rPr>
          <t>Author:</t>
        </r>
        <r>
          <rPr>
            <sz val="9"/>
            <rFont val="Tahoma"/>
            <family val="2"/>
          </rPr>
          <t xml:space="preserve">
Includes share of affiliates sales</t>
        </r>
      </text>
    </comment>
    <comment ref="C188" authorId="0" shapeId="0" xr:uid="{00000000-0006-0000-0100-00003E000000}">
      <text>
        <r>
          <rPr>
            <b/>
            <sz val="9"/>
            <rFont val="Tahoma"/>
            <family val="2"/>
          </rPr>
          <t>Author:</t>
        </r>
        <r>
          <rPr>
            <sz val="9"/>
            <rFont val="Tahoma"/>
            <family val="2"/>
          </rPr>
          <t xml:space="preserve">
Includes share of affiliates sales</t>
        </r>
      </text>
    </comment>
    <comment ref="D188" authorId="0" shapeId="0" xr:uid="{00000000-0006-0000-0100-00003F000000}">
      <text>
        <r>
          <rPr>
            <b/>
            <sz val="9"/>
            <rFont val="Tahoma"/>
            <family val="2"/>
          </rPr>
          <t>Author:</t>
        </r>
        <r>
          <rPr>
            <sz val="9"/>
            <rFont val="Tahoma"/>
            <family val="2"/>
          </rPr>
          <t xml:space="preserve">
Includes share of affiliates sales</t>
        </r>
      </text>
    </comment>
    <comment ref="E188" authorId="0" shapeId="0" xr:uid="{00000000-0006-0000-0100-000040000000}">
      <text>
        <r>
          <rPr>
            <b/>
            <sz val="9"/>
            <rFont val="Tahoma"/>
            <family val="2"/>
          </rPr>
          <t>Author:</t>
        </r>
        <r>
          <rPr>
            <sz val="9"/>
            <rFont val="Tahoma"/>
            <family val="2"/>
          </rPr>
          <t xml:space="preserve">
Includes share of affiliates sales</t>
        </r>
      </text>
    </comment>
    <comment ref="F188" authorId="0" shapeId="0" xr:uid="{00000000-0006-0000-0100-000041000000}">
      <text>
        <r>
          <rPr>
            <b/>
            <sz val="9"/>
            <rFont val="Tahoma"/>
            <family val="2"/>
          </rPr>
          <t>Author:</t>
        </r>
        <r>
          <rPr>
            <sz val="9"/>
            <rFont val="Tahoma"/>
            <family val="2"/>
          </rPr>
          <t xml:space="preserve">
Includes share of affiliates sales</t>
        </r>
      </text>
    </comment>
    <comment ref="K188" authorId="0" shapeId="0" xr:uid="{00000000-0006-0000-0100-000042000000}">
      <text>
        <r>
          <rPr>
            <b/>
            <sz val="9"/>
            <rFont val="Tahoma"/>
            <family val="2"/>
          </rPr>
          <t>Author:</t>
        </r>
        <r>
          <rPr>
            <sz val="9"/>
            <rFont val="Tahoma"/>
            <family val="2"/>
          </rPr>
          <t xml:space="preserve">
Includes share of affiliates sales</t>
        </r>
      </text>
    </comment>
    <comment ref="P188" authorId="0" shapeId="0" xr:uid="{00000000-0006-0000-0100-000043000000}">
      <text>
        <r>
          <rPr>
            <b/>
            <sz val="9"/>
            <rFont val="Tahoma"/>
            <family val="2"/>
          </rPr>
          <t>Author:</t>
        </r>
        <r>
          <rPr>
            <sz val="9"/>
            <rFont val="Tahoma"/>
            <family val="2"/>
          </rPr>
          <t xml:space="preserve">
Includes share of affiliates sales</t>
        </r>
      </text>
    </comment>
    <comment ref="U188" authorId="0" shapeId="0" xr:uid="{00000000-0006-0000-0100-000044000000}">
      <text>
        <r>
          <rPr>
            <b/>
            <sz val="9"/>
            <rFont val="Tahoma"/>
            <family val="2"/>
          </rPr>
          <t>Author:</t>
        </r>
        <r>
          <rPr>
            <sz val="9"/>
            <rFont val="Tahoma"/>
            <family val="2"/>
          </rPr>
          <t xml:space="preserve">
Includes share of affiliates sales</t>
        </r>
      </text>
    </comment>
    <comment ref="Z188" authorId="0" shapeId="0" xr:uid="{00000000-0006-0000-0100-000045000000}">
      <text>
        <r>
          <rPr>
            <b/>
            <sz val="9"/>
            <rFont val="Tahoma"/>
            <family val="2"/>
          </rPr>
          <t>Author:</t>
        </r>
        <r>
          <rPr>
            <sz val="9"/>
            <rFont val="Tahoma"/>
            <family val="2"/>
          </rPr>
          <t xml:space="preserve">
Includes share of affiliates sales</t>
        </r>
      </text>
    </comment>
    <comment ref="AD188" authorId="0" shapeId="0" xr:uid="{00000000-0006-0000-0100-000046000000}">
      <text>
        <r>
          <rPr>
            <b/>
            <sz val="9"/>
            <rFont val="Tahoma"/>
            <family val="2"/>
          </rPr>
          <t>Author:</t>
        </r>
        <r>
          <rPr>
            <sz val="9"/>
            <rFont val="Tahoma"/>
            <family val="2"/>
          </rPr>
          <t xml:space="preserve">
Includes share of affiliates sales</t>
        </r>
      </text>
    </comment>
    <comment ref="AE188" authorId="0" shapeId="0" xr:uid="{00000000-0006-0000-0100-000047000000}">
      <text>
        <r>
          <rPr>
            <b/>
            <sz val="9"/>
            <rFont val="Tahoma"/>
            <family val="2"/>
          </rPr>
          <t>Author:</t>
        </r>
        <r>
          <rPr>
            <sz val="9"/>
            <rFont val="Tahoma"/>
            <family val="2"/>
          </rPr>
          <t xml:space="preserve">
Includes share of affiliates sales</t>
        </r>
      </text>
    </comment>
    <comment ref="AI188" authorId="0" shapeId="0" xr:uid="{00000000-0006-0000-0100-000048000000}">
      <text>
        <r>
          <rPr>
            <b/>
            <sz val="9"/>
            <rFont val="Tahoma"/>
            <family val="2"/>
          </rPr>
          <t>Author:</t>
        </r>
        <r>
          <rPr>
            <sz val="9"/>
            <rFont val="Tahoma"/>
            <family val="2"/>
          </rPr>
          <t xml:space="preserve">
Includes share of affiliates sales</t>
        </r>
      </text>
    </comment>
    <comment ref="AJ188" authorId="0" shapeId="0" xr:uid="{00000000-0006-0000-0100-000049000000}">
      <text>
        <r>
          <rPr>
            <b/>
            <sz val="9"/>
            <rFont val="Tahoma"/>
            <family val="2"/>
          </rPr>
          <t>Author:</t>
        </r>
        <r>
          <rPr>
            <sz val="9"/>
            <rFont val="Tahoma"/>
            <family val="2"/>
          </rPr>
          <t xml:space="preserve">
Includes share of affiliates sales</t>
        </r>
      </text>
    </comment>
    <comment ref="AN188" authorId="0" shapeId="0" xr:uid="{00000000-0006-0000-0100-00004A000000}">
      <text>
        <r>
          <rPr>
            <b/>
            <sz val="9"/>
            <rFont val="Tahoma"/>
            <family val="2"/>
          </rPr>
          <t>Author:</t>
        </r>
        <r>
          <rPr>
            <sz val="9"/>
            <rFont val="Tahoma"/>
            <family val="2"/>
          </rPr>
          <t xml:space="preserve">
Estimated; not reported in PR or Company1282. Includes share of affiliate</t>
        </r>
      </text>
    </comment>
    <comment ref="AO188" authorId="0" shapeId="0" xr:uid="{00000000-0006-0000-0100-00004B000000}">
      <text>
        <r>
          <rPr>
            <b/>
            <sz val="9"/>
            <rFont val="Tahoma"/>
            <family val="2"/>
          </rPr>
          <t>Author:</t>
        </r>
        <r>
          <rPr>
            <sz val="9"/>
            <rFont val="Tahoma"/>
            <family val="2"/>
          </rPr>
          <t xml:space="preserve">
Includes share of affiliate.</t>
        </r>
      </text>
    </comment>
    <comment ref="AS188" authorId="0" shapeId="0" xr:uid="{00000000-0006-0000-0100-00004C000000}">
      <text>
        <r>
          <rPr>
            <b/>
            <sz val="9"/>
            <rFont val="Tahoma"/>
            <family val="2"/>
          </rPr>
          <t>Author:</t>
        </r>
        <r>
          <rPr>
            <sz val="9"/>
            <rFont val="Tahoma"/>
            <family val="2"/>
          </rPr>
          <t xml:space="preserve">
Includes sales of affiliate.</t>
        </r>
      </text>
    </comment>
    <comment ref="AX188" authorId="0" shapeId="0" xr:uid="{00000000-0006-0000-0100-00004D000000}">
      <text>
        <r>
          <rPr>
            <b/>
            <sz val="9"/>
            <rFont val="Tahoma"/>
            <family val="2"/>
          </rPr>
          <t>Author:</t>
        </r>
        <r>
          <rPr>
            <sz val="9"/>
            <rFont val="Tahoma"/>
            <family val="2"/>
          </rPr>
          <t xml:space="preserve">
Includes sales of affiliate.</t>
        </r>
      </text>
    </comment>
    <comment ref="BM188" authorId="4" shapeId="0" xr:uid="{00000000-0006-0000-0100-00004E000000}">
      <text>
        <r>
          <rPr>
            <b/>
            <sz val="9"/>
            <rFont val="Tahoma"/>
            <family val="2"/>
          </rPr>
          <t>Author:</t>
        </r>
        <r>
          <rPr>
            <sz val="9"/>
            <rFont val="Tahoma"/>
            <family val="2"/>
          </rPr>
          <t xml:space="preserve">
Backed out from estimate</t>
        </r>
      </text>
    </comment>
    <comment ref="BN188" authorId="4" shapeId="0" xr:uid="{00000000-0006-0000-0100-00004F000000}">
      <text>
        <r>
          <rPr>
            <b/>
            <sz val="9"/>
            <rFont val="Tahoma"/>
            <family val="2"/>
          </rPr>
          <t>Author:</t>
        </r>
        <r>
          <rPr>
            <sz val="9"/>
            <rFont val="Tahoma"/>
            <family val="2"/>
          </rPr>
          <t xml:space="preserve">
Backed out from estimate</t>
        </r>
      </text>
    </comment>
    <comment ref="BR188" authorId="4" shapeId="0" xr:uid="{00000000-0006-0000-0100-000050000000}">
      <text>
        <r>
          <rPr>
            <b/>
            <sz val="9"/>
            <rFont val="Tahoma"/>
            <family val="2"/>
          </rPr>
          <t>Author:</t>
        </r>
        <r>
          <rPr>
            <sz val="9"/>
            <rFont val="Tahoma"/>
            <family val="2"/>
          </rPr>
          <t xml:space="preserve">
Backed out from estimate</t>
        </r>
      </text>
    </comment>
    <comment ref="BS188" authorId="4" shapeId="0" xr:uid="{00000000-0006-0000-0100-000051000000}">
      <text>
        <r>
          <rPr>
            <b/>
            <sz val="9"/>
            <rFont val="Tahoma"/>
            <family val="2"/>
          </rPr>
          <t>Author:</t>
        </r>
        <r>
          <rPr>
            <sz val="9"/>
            <rFont val="Tahoma"/>
            <family val="2"/>
          </rPr>
          <t xml:space="preserve">
Backed out from estimate</t>
        </r>
      </text>
    </comment>
    <comment ref="AS189" authorId="0" shapeId="0" xr:uid="{00000000-0006-0000-0100-000053000000}">
      <text>
        <r>
          <rPr>
            <b/>
            <sz val="9"/>
            <rFont val="Tahoma"/>
            <family val="2"/>
          </rPr>
          <t>Author:</t>
        </r>
        <r>
          <rPr>
            <sz val="9"/>
            <rFont val="Tahoma"/>
            <family val="2"/>
          </rPr>
          <t xml:space="preserve">
Estimate</t>
        </r>
      </text>
    </comment>
    <comment ref="AX189" authorId="0" shapeId="0" xr:uid="{00000000-0006-0000-0100-000054000000}">
      <text>
        <r>
          <rPr>
            <b/>
            <sz val="9"/>
            <rFont val="Tahoma"/>
            <family val="2"/>
          </rPr>
          <t>Author:</t>
        </r>
        <r>
          <rPr>
            <sz val="9"/>
            <rFont val="Tahoma"/>
            <family val="2"/>
          </rPr>
          <t xml:space="preserve">
Estimate</t>
        </r>
      </text>
    </comment>
    <comment ref="BC189" authorId="0" shapeId="0" xr:uid="{00000000-0006-0000-0100-000055000000}">
      <text>
        <r>
          <rPr>
            <b/>
            <sz val="9"/>
            <rFont val="Tahoma"/>
            <family val="2"/>
          </rPr>
          <t>Author:</t>
        </r>
        <r>
          <rPr>
            <sz val="9"/>
            <rFont val="Tahoma"/>
            <family val="2"/>
          </rPr>
          <t xml:space="preserve">
Estimate</t>
        </r>
      </text>
    </comment>
    <comment ref="BH189" authorId="0" shapeId="0" xr:uid="{00000000-0006-0000-0100-000056000000}">
      <text>
        <r>
          <rPr>
            <b/>
            <sz val="9"/>
            <rFont val="Tahoma"/>
            <family val="2"/>
          </rPr>
          <t>Author:</t>
        </r>
        <r>
          <rPr>
            <sz val="9"/>
            <rFont val="Tahoma"/>
            <family val="2"/>
          </rPr>
          <t xml:space="preserve">
Estimated</t>
        </r>
      </text>
    </comment>
    <comment ref="BM189" authorId="4" shapeId="0" xr:uid="{00000000-0006-0000-0100-000057000000}">
      <text>
        <r>
          <rPr>
            <b/>
            <sz val="9"/>
            <rFont val="Tahoma"/>
            <family val="2"/>
          </rPr>
          <t>Author:</t>
        </r>
        <r>
          <rPr>
            <sz val="9"/>
            <rFont val="Tahoma"/>
            <family val="2"/>
          </rPr>
          <t xml:space="preserve">
Estimated</t>
        </r>
      </text>
    </comment>
    <comment ref="BR189" authorId="4" shapeId="0" xr:uid="{00000000-0006-0000-0100-000058000000}">
      <text>
        <r>
          <rPr>
            <b/>
            <sz val="9"/>
            <rFont val="Tahoma"/>
            <family val="2"/>
          </rPr>
          <t>Author:</t>
        </r>
        <r>
          <rPr>
            <sz val="9"/>
            <rFont val="Tahoma"/>
            <family val="2"/>
          </rPr>
          <t xml:space="preserve">
Estimated</t>
        </r>
      </text>
    </comment>
    <comment ref="G192" authorId="0" shapeId="0" xr:uid="{00000000-0006-0000-0100-00005A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H192" authorId="0" shapeId="0" xr:uid="{00000000-0006-0000-0100-00005B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I192" authorId="0" shapeId="0" xr:uid="{00000000-0006-0000-0100-00005C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L192" authorId="0" shapeId="0" xr:uid="{00000000-0006-0000-0100-00005D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M192" authorId="0" shapeId="0" xr:uid="{00000000-0006-0000-0100-00005E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N192" authorId="0" shapeId="0" xr:uid="{00000000-0006-0000-0100-00005F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Q192" authorId="0" shapeId="0" xr:uid="{00000000-0006-0000-0100-000060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R192" authorId="0" shapeId="0" xr:uid="{00000000-0006-0000-0100-000061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S192" authorId="0" shapeId="0" xr:uid="{00000000-0006-0000-0100-000062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V192" authorId="0" shapeId="0" xr:uid="{00000000-0006-0000-0100-000063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W192" authorId="0" shapeId="0" xr:uid="{00000000-0006-0000-0100-000064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X192" authorId="0" shapeId="0" xr:uid="{00000000-0006-0000-0100-000065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AA192" authorId="0" shapeId="0" xr:uid="{00000000-0006-0000-0100-000066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G193" authorId="0" shapeId="0" xr:uid="{00000000-0006-0000-0100-000067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H193" authorId="0" shapeId="0" xr:uid="{00000000-0006-0000-0100-000068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I193" authorId="0" shapeId="0" xr:uid="{00000000-0006-0000-0100-000069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L193" authorId="0" shapeId="0" xr:uid="{00000000-0006-0000-0100-00006A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M193" authorId="0" shapeId="0" xr:uid="{00000000-0006-0000-0100-00006B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N193" authorId="0" shapeId="0" xr:uid="{00000000-0006-0000-0100-00006C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Q193" authorId="0" shapeId="0" xr:uid="{00000000-0006-0000-0100-00006D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R193" authorId="0" shapeId="0" xr:uid="{00000000-0006-0000-0100-00006E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S193" authorId="0" shapeId="0" xr:uid="{00000000-0006-0000-0100-00006F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V193" authorId="0" shapeId="0" xr:uid="{00000000-0006-0000-0100-000070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W193" authorId="0" shapeId="0" xr:uid="{00000000-0006-0000-0100-000071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X193" authorId="0" shapeId="0" xr:uid="{00000000-0006-0000-0100-000072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AA193" authorId="0" shapeId="0" xr:uid="{00000000-0006-0000-0100-000073000000}">
      <text>
        <r>
          <rPr>
            <b/>
            <sz val="9"/>
            <rFont val="Tahoma"/>
            <family val="2"/>
          </rPr>
          <t>Author:</t>
        </r>
        <r>
          <rPr>
            <sz val="9"/>
            <rFont val="Tahoma"/>
            <family val="2"/>
          </rPr>
          <t xml:space="preserve">
Quarterly downstream sales values do not include share of affiliate sales hence the lower yield than reflected in the annual period</t>
        </r>
      </text>
    </comment>
    <comment ref="K197" authorId="0" shapeId="0" xr:uid="{00000000-0006-0000-0100-000074000000}">
      <text>
        <r>
          <rPr>
            <b/>
            <sz val="9"/>
            <rFont val="Tahoma"/>
            <family val="2"/>
          </rPr>
          <t>Author:</t>
        </r>
        <r>
          <rPr>
            <sz val="9"/>
            <rFont val="Tahoma"/>
            <family val="2"/>
          </rPr>
          <t xml:space="preserve">
Includes share of affiliates sales</t>
        </r>
      </text>
    </comment>
    <comment ref="P197" authorId="0" shapeId="0" xr:uid="{00000000-0006-0000-0100-000075000000}">
      <text>
        <r>
          <rPr>
            <b/>
            <sz val="9"/>
            <rFont val="Tahoma"/>
            <family val="2"/>
          </rPr>
          <t>Author:</t>
        </r>
        <r>
          <rPr>
            <sz val="9"/>
            <rFont val="Tahoma"/>
            <family val="2"/>
          </rPr>
          <t xml:space="preserve">
Includes share of affiliates sales</t>
        </r>
      </text>
    </comment>
    <comment ref="U197" authorId="0" shapeId="0" xr:uid="{00000000-0006-0000-0100-000076000000}">
      <text>
        <r>
          <rPr>
            <b/>
            <sz val="9"/>
            <rFont val="Tahoma"/>
            <family val="2"/>
          </rPr>
          <t>Author:</t>
        </r>
        <r>
          <rPr>
            <sz val="9"/>
            <rFont val="Tahoma"/>
            <family val="2"/>
          </rPr>
          <t xml:space="preserve">
Includes share of affiliates sales</t>
        </r>
      </text>
    </comment>
    <comment ref="Z197" authorId="0" shapeId="0" xr:uid="{00000000-0006-0000-0100-000077000000}">
      <text>
        <r>
          <rPr>
            <b/>
            <sz val="9"/>
            <rFont val="Tahoma"/>
            <family val="2"/>
          </rPr>
          <t>Author:</t>
        </r>
        <r>
          <rPr>
            <sz val="9"/>
            <rFont val="Tahoma"/>
            <family val="2"/>
          </rPr>
          <t xml:space="preserve">
Includes share of affiliates sales</t>
        </r>
      </text>
    </comment>
    <comment ref="K198" authorId="0" shapeId="0" xr:uid="{00000000-0006-0000-0100-000078000000}">
      <text>
        <r>
          <rPr>
            <b/>
            <sz val="9"/>
            <rFont val="Tahoma"/>
            <family val="2"/>
          </rPr>
          <t>Author:</t>
        </r>
        <r>
          <rPr>
            <sz val="9"/>
            <rFont val="Tahoma"/>
            <family val="2"/>
          </rPr>
          <t xml:space="preserve">
Includes share of affiliates sales</t>
        </r>
      </text>
    </comment>
    <comment ref="P198" authorId="0" shapeId="0" xr:uid="{00000000-0006-0000-0100-000079000000}">
      <text>
        <r>
          <rPr>
            <b/>
            <sz val="9"/>
            <rFont val="Tahoma"/>
            <family val="2"/>
          </rPr>
          <t>Author:</t>
        </r>
        <r>
          <rPr>
            <sz val="9"/>
            <rFont val="Tahoma"/>
            <family val="2"/>
          </rPr>
          <t xml:space="preserve">
Includes share of affiliates sales</t>
        </r>
      </text>
    </comment>
    <comment ref="U198" authorId="0" shapeId="0" xr:uid="{00000000-0006-0000-0100-00007A000000}">
      <text>
        <r>
          <rPr>
            <b/>
            <sz val="9"/>
            <rFont val="Tahoma"/>
            <family val="2"/>
          </rPr>
          <t>Author:</t>
        </r>
        <r>
          <rPr>
            <sz val="9"/>
            <rFont val="Tahoma"/>
            <family val="2"/>
          </rPr>
          <t xml:space="preserve">
Includes share of affiliates sales</t>
        </r>
      </text>
    </comment>
    <comment ref="Z198" authorId="0" shapeId="0" xr:uid="{00000000-0006-0000-0100-00007B000000}">
      <text>
        <r>
          <rPr>
            <b/>
            <sz val="9"/>
            <rFont val="Tahoma"/>
            <family val="2"/>
          </rPr>
          <t>Author:</t>
        </r>
        <r>
          <rPr>
            <sz val="9"/>
            <rFont val="Tahoma"/>
            <family val="2"/>
          </rPr>
          <t xml:space="preserve">
Includes share of affiliates sales</t>
        </r>
      </text>
    </comment>
    <comment ref="AD198" authorId="0" shapeId="0" xr:uid="{00000000-0006-0000-0100-00007C000000}">
      <text>
        <r>
          <rPr>
            <b/>
            <sz val="9"/>
            <rFont val="Tahoma"/>
            <family val="2"/>
          </rPr>
          <t>Author:</t>
        </r>
        <r>
          <rPr>
            <sz val="9"/>
            <rFont val="Tahoma"/>
            <family val="2"/>
          </rPr>
          <t xml:space="preserve">
Includes share of affiliates sales</t>
        </r>
      </text>
    </comment>
    <comment ref="AI198" authorId="0" shapeId="0" xr:uid="{00000000-0006-0000-0100-00007D000000}">
      <text>
        <r>
          <rPr>
            <b/>
            <sz val="9"/>
            <rFont val="Tahoma"/>
            <family val="2"/>
          </rPr>
          <t>Author:</t>
        </r>
        <r>
          <rPr>
            <sz val="9"/>
            <rFont val="Tahoma"/>
            <family val="2"/>
          </rPr>
          <t xml:space="preserve">
Includes share of affiliates sales</t>
        </r>
      </text>
    </comment>
    <comment ref="AN198" authorId="0" shapeId="0" xr:uid="{00000000-0006-0000-0100-00007E000000}">
      <text>
        <r>
          <rPr>
            <b/>
            <sz val="9"/>
            <rFont val="Tahoma"/>
            <family val="2"/>
          </rPr>
          <t>Author:</t>
        </r>
        <r>
          <rPr>
            <sz val="9"/>
            <rFont val="Tahoma"/>
            <family val="2"/>
          </rPr>
          <t xml:space="preserve">
Includes share of affiliate</t>
        </r>
      </text>
    </comment>
    <comment ref="AO198" authorId="0" shapeId="0" xr:uid="{00000000-0006-0000-0100-00007F000000}">
      <text>
        <r>
          <rPr>
            <b/>
            <sz val="9"/>
            <rFont val="Tahoma"/>
            <family val="2"/>
          </rPr>
          <t>Author:</t>
        </r>
        <r>
          <rPr>
            <sz val="9"/>
            <rFont val="Tahoma"/>
            <family val="2"/>
          </rPr>
          <t xml:space="preserve">
Includes share of affiliate</t>
        </r>
      </text>
    </comment>
    <comment ref="AS198" authorId="0" shapeId="0" xr:uid="{00000000-0006-0000-0100-000080000000}">
      <text>
        <r>
          <rPr>
            <b/>
            <sz val="9"/>
            <rFont val="Tahoma"/>
            <family val="2"/>
          </rPr>
          <t>Author:</t>
        </r>
        <r>
          <rPr>
            <sz val="9"/>
            <rFont val="Tahoma"/>
            <family val="2"/>
          </rPr>
          <t xml:space="preserve">
Includes share of affiliate</t>
        </r>
      </text>
    </comment>
    <comment ref="AT198" authorId="0" shapeId="0" xr:uid="{00000000-0006-0000-0100-000081000000}">
      <text>
        <r>
          <rPr>
            <b/>
            <sz val="9"/>
            <rFont val="Tahoma"/>
            <family val="2"/>
          </rPr>
          <t>Author:</t>
        </r>
        <r>
          <rPr>
            <sz val="9"/>
            <rFont val="Tahoma"/>
            <family val="2"/>
          </rPr>
          <t xml:space="preserve">
Includes share of affiliate</t>
        </r>
      </text>
    </comment>
    <comment ref="BT221" authorId="2" shapeId="0" xr:uid="{00000000-0006-0000-0100-000082000000}">
      <text>
        <r>
          <rPr>
            <b/>
            <sz val="9"/>
            <rFont val="Tahoma"/>
            <family val="2"/>
            <charset val="1"/>
          </rPr>
          <t>Author:</t>
        </r>
        <r>
          <rPr>
            <sz val="9"/>
            <rFont val="Tahoma"/>
            <family val="2"/>
            <charset val="1"/>
          </rPr>
          <t xml:space="preserve">
U.S. West Coast  - ANS 5-3-1-1  (Company2265 Adjusted)
Not comparable YoY</t>
        </r>
      </text>
    </comment>
    <comment ref="BT222" authorId="2" shapeId="0" xr:uid="{00000000-0006-0000-0100-000083000000}">
      <text>
        <r>
          <rPr>
            <b/>
            <sz val="9"/>
            <rFont val="Tahoma"/>
            <family val="2"/>
            <charset val="1"/>
          </rPr>
          <t>Author:</t>
        </r>
        <r>
          <rPr>
            <sz val="9"/>
            <rFont val="Tahoma"/>
            <family val="2"/>
            <charset val="1"/>
          </rPr>
          <t xml:space="preserve">
U.S. Gulf Coast - Mars 5-3-1-1  (Company2265 Adjusted)
Not comparable YoY</t>
        </r>
      </text>
    </comment>
    <comment ref="AF226" authorId="0" shapeId="0" xr:uid="{00000000-0006-0000-0100-000084000000}">
      <text>
        <r>
          <rPr>
            <b/>
            <sz val="9"/>
            <rFont val="Tahoma"/>
            <family val="2"/>
          </rPr>
          <t>Author:</t>
        </r>
        <r>
          <rPr>
            <sz val="9"/>
            <rFont val="Tahoma"/>
            <family val="2"/>
          </rPr>
          <t xml:space="preserve">
Marketing margins are no longer reported in SI. </t>
        </r>
      </text>
    </comment>
    <comment ref="BN250" authorId="4" shapeId="0" xr:uid="{00000000-0006-0000-0100-00008C000000}">
      <text>
        <r>
          <rPr>
            <b/>
            <sz val="9"/>
            <rFont val="Tahoma"/>
            <family val="2"/>
          </rPr>
          <t>Author:</t>
        </r>
        <r>
          <rPr>
            <sz val="9"/>
            <rFont val="Tahoma"/>
            <family val="2"/>
          </rPr>
          <t xml:space="preserve">
Backed out from estimate</t>
        </r>
      </text>
    </comment>
    <comment ref="BO250" authorId="4" shapeId="0" xr:uid="{00000000-0006-0000-0100-00008D000000}">
      <text>
        <r>
          <rPr>
            <b/>
            <sz val="9"/>
            <rFont val="Tahoma"/>
            <family val="2"/>
          </rPr>
          <t>Author:</t>
        </r>
        <r>
          <rPr>
            <sz val="9"/>
            <rFont val="Tahoma"/>
            <family val="2"/>
          </rPr>
          <t xml:space="preserve">
Backed out from estimate</t>
        </r>
      </text>
    </comment>
    <comment ref="BP250" authorId="4" shapeId="0" xr:uid="{00000000-0006-0000-0100-00008E000000}">
      <text>
        <r>
          <rPr>
            <b/>
            <sz val="9"/>
            <rFont val="Tahoma"/>
            <family val="2"/>
          </rPr>
          <t>Author:</t>
        </r>
        <r>
          <rPr>
            <sz val="9"/>
            <rFont val="Tahoma"/>
            <family val="2"/>
          </rPr>
          <t xml:space="preserve">
Backed out from estimate</t>
        </r>
      </text>
    </comment>
    <comment ref="BQ250" authorId="4" shapeId="0" xr:uid="{00000000-0006-0000-0100-00008F000000}">
      <text>
        <r>
          <rPr>
            <b/>
            <sz val="9"/>
            <rFont val="Tahoma"/>
            <family val="2"/>
          </rPr>
          <t>Author:</t>
        </r>
        <r>
          <rPr>
            <sz val="9"/>
            <rFont val="Tahoma"/>
            <family val="2"/>
          </rPr>
          <t xml:space="preserve">
Backed out from estimate</t>
        </r>
      </text>
    </comment>
    <comment ref="BS250" authorId="4" shapeId="0" xr:uid="{00000000-0006-0000-0100-000090000000}">
      <text>
        <r>
          <rPr>
            <b/>
            <sz val="9"/>
            <rFont val="Tahoma"/>
            <family val="2"/>
          </rPr>
          <t>Author:</t>
        </r>
        <r>
          <rPr>
            <sz val="9"/>
            <rFont val="Tahoma"/>
            <family val="2"/>
          </rPr>
          <t xml:space="preserve">
Backed out from estimate</t>
        </r>
      </text>
    </comment>
    <comment ref="BT250" authorId="4" shapeId="0" xr:uid="{0FB64E3A-E34F-407D-89B7-E3A3D4B1F4F1}">
      <text>
        <r>
          <rPr>
            <b/>
            <sz val="9"/>
            <rFont val="Tahoma"/>
            <family val="2"/>
          </rPr>
          <t>Author:</t>
        </r>
        <r>
          <rPr>
            <sz val="9"/>
            <rFont val="Tahoma"/>
            <family val="2"/>
          </rPr>
          <t xml:space="preserve">
Backed out from estimate</t>
        </r>
      </text>
    </comment>
    <comment ref="BN251" authorId="4" shapeId="0" xr:uid="{00000000-0006-0000-0100-000091000000}">
      <text>
        <r>
          <rPr>
            <b/>
            <sz val="9"/>
            <rFont val="Tahoma"/>
            <family val="2"/>
          </rPr>
          <t>Author:</t>
        </r>
        <r>
          <rPr>
            <sz val="9"/>
            <rFont val="Tahoma"/>
            <family val="2"/>
          </rPr>
          <t xml:space="preserve">
Estimate, no longer reported</t>
        </r>
      </text>
    </comment>
    <comment ref="BO251" authorId="4" shapeId="0" xr:uid="{00000000-0006-0000-0100-000092000000}">
      <text>
        <r>
          <rPr>
            <b/>
            <sz val="9"/>
            <rFont val="Tahoma"/>
            <family val="2"/>
          </rPr>
          <t>Author:</t>
        </r>
        <r>
          <rPr>
            <sz val="9"/>
            <rFont val="Tahoma"/>
            <family val="2"/>
          </rPr>
          <t xml:space="preserve">
Estimate, no longer reported</t>
        </r>
      </text>
    </comment>
    <comment ref="BP251" authorId="4" shapeId="0" xr:uid="{00000000-0006-0000-0100-000093000000}">
      <text>
        <r>
          <rPr>
            <b/>
            <sz val="9"/>
            <rFont val="Tahoma"/>
            <family val="2"/>
          </rPr>
          <t>Author:</t>
        </r>
        <r>
          <rPr>
            <sz val="9"/>
            <rFont val="Tahoma"/>
            <family val="2"/>
          </rPr>
          <t xml:space="preserve">
Estimate, no longer reported</t>
        </r>
      </text>
    </comment>
    <comment ref="BQ251" authorId="4" shapeId="0" xr:uid="{00000000-0006-0000-0100-000094000000}">
      <text>
        <r>
          <rPr>
            <b/>
            <sz val="9"/>
            <rFont val="Tahoma"/>
            <family val="2"/>
          </rPr>
          <t>Author:</t>
        </r>
        <r>
          <rPr>
            <sz val="9"/>
            <rFont val="Tahoma"/>
            <family val="2"/>
          </rPr>
          <t xml:space="preserve">
Estimate, no longer reported</t>
        </r>
      </text>
    </comment>
    <comment ref="BS251" authorId="4" shapeId="0" xr:uid="{00000000-0006-0000-0100-000095000000}">
      <text>
        <r>
          <rPr>
            <b/>
            <sz val="9"/>
            <rFont val="Tahoma"/>
            <family val="2"/>
          </rPr>
          <t>Author:</t>
        </r>
        <r>
          <rPr>
            <sz val="9"/>
            <rFont val="Tahoma"/>
            <family val="2"/>
          </rPr>
          <t xml:space="preserve">
Estimate, no longer reported</t>
        </r>
      </text>
    </comment>
    <comment ref="BT251" authorId="4" shapeId="0" xr:uid="{CE449B20-C40C-4340-B363-90D4C6BBB96B}">
      <text>
        <r>
          <rPr>
            <b/>
            <sz val="9"/>
            <rFont val="Tahoma"/>
            <family val="2"/>
          </rPr>
          <t>Author:</t>
        </r>
        <r>
          <rPr>
            <sz val="9"/>
            <rFont val="Tahoma"/>
            <family val="2"/>
          </rPr>
          <t xml:space="preserve">
Estimate, no longer reported</t>
        </r>
      </text>
    </comment>
    <comment ref="BN253" authorId="4" shapeId="0" xr:uid="{00000000-0006-0000-0100-000098000000}">
      <text>
        <r>
          <rPr>
            <b/>
            <sz val="9"/>
            <rFont val="Tahoma"/>
            <family val="2"/>
          </rPr>
          <t>Author:</t>
        </r>
        <r>
          <rPr>
            <sz val="9"/>
            <rFont val="Tahoma"/>
            <family val="2"/>
          </rPr>
          <t xml:space="preserve">
Estimate, no longer reported</t>
        </r>
      </text>
    </comment>
    <comment ref="BO253" authorId="4" shapeId="0" xr:uid="{00000000-0006-0000-0100-000099000000}">
      <text>
        <r>
          <rPr>
            <b/>
            <sz val="9"/>
            <rFont val="Tahoma"/>
            <family val="2"/>
          </rPr>
          <t>Author:</t>
        </r>
        <r>
          <rPr>
            <sz val="9"/>
            <rFont val="Tahoma"/>
            <family val="2"/>
          </rPr>
          <t xml:space="preserve">
Estimate, no longer reported</t>
        </r>
      </text>
    </comment>
    <comment ref="BP253" authorId="4" shapeId="0" xr:uid="{00000000-0006-0000-0100-00009A000000}">
      <text>
        <r>
          <rPr>
            <b/>
            <sz val="9"/>
            <rFont val="Tahoma"/>
            <family val="2"/>
          </rPr>
          <t>Author:</t>
        </r>
        <r>
          <rPr>
            <sz val="9"/>
            <rFont val="Tahoma"/>
            <family val="2"/>
          </rPr>
          <t xml:space="preserve">
Estimate, no longer reported</t>
        </r>
      </text>
    </comment>
    <comment ref="BQ253" authorId="4" shapeId="0" xr:uid="{00000000-0006-0000-0100-00009B000000}">
      <text>
        <r>
          <rPr>
            <b/>
            <sz val="9"/>
            <rFont val="Tahoma"/>
            <family val="2"/>
          </rPr>
          <t>Author:</t>
        </r>
        <r>
          <rPr>
            <sz val="9"/>
            <rFont val="Tahoma"/>
            <family val="2"/>
          </rPr>
          <t xml:space="preserve">
Estimate, no longer reported</t>
        </r>
      </text>
    </comment>
    <comment ref="BS253" authorId="4" shapeId="0" xr:uid="{00000000-0006-0000-0100-00009C000000}">
      <text>
        <r>
          <rPr>
            <b/>
            <sz val="9"/>
            <rFont val="Tahoma"/>
            <family val="2"/>
          </rPr>
          <t>Author:</t>
        </r>
        <r>
          <rPr>
            <sz val="9"/>
            <rFont val="Tahoma"/>
            <family val="2"/>
          </rPr>
          <t xml:space="preserve">
Estimate, no longer reported</t>
        </r>
      </text>
    </comment>
    <comment ref="BT253" authorId="4" shapeId="0" xr:uid="{C839B2D9-42CC-442C-BAB1-639B3515291D}">
      <text>
        <r>
          <rPr>
            <b/>
            <sz val="9"/>
            <rFont val="Tahoma"/>
            <family val="2"/>
          </rPr>
          <t>Author:</t>
        </r>
        <r>
          <rPr>
            <sz val="9"/>
            <rFont val="Tahoma"/>
            <family val="2"/>
          </rPr>
          <t xml:space="preserve">
Estimate, no longer reported</t>
        </r>
      </text>
    </comment>
    <comment ref="BN254" authorId="4" shapeId="0" xr:uid="{00000000-0006-0000-0100-00009E000000}">
      <text>
        <r>
          <rPr>
            <b/>
            <sz val="9"/>
            <rFont val="Tahoma"/>
            <family val="2"/>
          </rPr>
          <t>Author:</t>
        </r>
        <r>
          <rPr>
            <sz val="9"/>
            <rFont val="Tahoma"/>
            <family val="2"/>
          </rPr>
          <t xml:space="preserve">
Backed out from estimate</t>
        </r>
      </text>
    </comment>
    <comment ref="BO254" authorId="4" shapeId="0" xr:uid="{00000000-0006-0000-0100-00009F000000}">
      <text>
        <r>
          <rPr>
            <b/>
            <sz val="9"/>
            <rFont val="Tahoma"/>
            <family val="2"/>
          </rPr>
          <t>Author:</t>
        </r>
        <r>
          <rPr>
            <sz val="9"/>
            <rFont val="Tahoma"/>
            <family val="2"/>
          </rPr>
          <t xml:space="preserve">
Backed out from estimate</t>
        </r>
      </text>
    </comment>
    <comment ref="BP254" authorId="4" shapeId="0" xr:uid="{00000000-0006-0000-0100-0000A0000000}">
      <text>
        <r>
          <rPr>
            <b/>
            <sz val="9"/>
            <rFont val="Tahoma"/>
            <family val="2"/>
          </rPr>
          <t>Author:</t>
        </r>
        <r>
          <rPr>
            <sz val="9"/>
            <rFont val="Tahoma"/>
            <family val="2"/>
          </rPr>
          <t xml:space="preserve">
Backed out from estimate</t>
        </r>
      </text>
    </comment>
    <comment ref="BQ254" authorId="4" shapeId="0" xr:uid="{00000000-0006-0000-0100-0000A1000000}">
      <text>
        <r>
          <rPr>
            <b/>
            <sz val="9"/>
            <rFont val="Tahoma"/>
            <family val="2"/>
          </rPr>
          <t>Author:</t>
        </r>
        <r>
          <rPr>
            <sz val="9"/>
            <rFont val="Tahoma"/>
            <family val="2"/>
          </rPr>
          <t xml:space="preserve">
Backed out from estimate</t>
        </r>
      </text>
    </comment>
    <comment ref="BS254" authorId="4" shapeId="0" xr:uid="{00000000-0006-0000-0100-0000A2000000}">
      <text>
        <r>
          <rPr>
            <b/>
            <sz val="9"/>
            <rFont val="Tahoma"/>
            <family val="2"/>
          </rPr>
          <t>Author:</t>
        </r>
        <r>
          <rPr>
            <sz val="9"/>
            <rFont val="Tahoma"/>
            <family val="2"/>
          </rPr>
          <t xml:space="preserve">
Backed out from estimate</t>
        </r>
      </text>
    </comment>
    <comment ref="BT254" authorId="4" shapeId="0" xr:uid="{441CFD75-D7B1-448C-8917-9B3788F1478A}">
      <text>
        <r>
          <rPr>
            <b/>
            <sz val="9"/>
            <rFont val="Tahoma"/>
            <family val="2"/>
          </rPr>
          <t>Author:</t>
        </r>
        <r>
          <rPr>
            <sz val="9"/>
            <rFont val="Tahoma"/>
            <family val="2"/>
          </rPr>
          <t xml:space="preserve">
Backed out from estimate</t>
        </r>
      </text>
    </comment>
    <comment ref="E257" authorId="0" shapeId="0" xr:uid="{00000000-0006-0000-0100-0000A4000000}">
      <text>
        <r>
          <rPr>
            <b/>
            <sz val="9"/>
            <rFont val="Tahoma"/>
            <family val="2"/>
          </rPr>
          <t>Author:</t>
        </r>
        <r>
          <rPr>
            <sz val="9"/>
            <rFont val="Tahoma"/>
            <family val="2"/>
          </rPr>
          <t xml:space="preserve">
Not reported</t>
        </r>
      </text>
    </comment>
    <comment ref="F257" authorId="0" shapeId="0" xr:uid="{00000000-0006-0000-0100-0000A5000000}">
      <text>
        <r>
          <rPr>
            <b/>
            <sz val="9"/>
            <rFont val="Tahoma"/>
            <family val="2"/>
          </rPr>
          <t>Author:</t>
        </r>
        <r>
          <rPr>
            <sz val="9"/>
            <rFont val="Tahoma"/>
            <family val="2"/>
          </rPr>
          <t xml:space="preserve">
Not reported</t>
        </r>
      </text>
    </comment>
    <comment ref="G257" authorId="0" shapeId="0" xr:uid="{00000000-0006-0000-0100-0000A6000000}">
      <text>
        <r>
          <rPr>
            <b/>
            <sz val="9"/>
            <rFont val="Tahoma"/>
            <family val="2"/>
          </rPr>
          <t>Author:</t>
        </r>
        <r>
          <rPr>
            <sz val="9"/>
            <rFont val="Tahoma"/>
            <family val="2"/>
          </rPr>
          <t xml:space="preserve">
Not reported</t>
        </r>
      </text>
    </comment>
    <comment ref="H257" authorId="0" shapeId="0" xr:uid="{00000000-0006-0000-0100-0000A7000000}">
      <text>
        <r>
          <rPr>
            <b/>
            <sz val="9"/>
            <rFont val="Tahoma"/>
            <family val="2"/>
          </rPr>
          <t>Author:</t>
        </r>
        <r>
          <rPr>
            <sz val="9"/>
            <rFont val="Tahoma"/>
            <family val="2"/>
          </rPr>
          <t xml:space="preserve">
Not reported</t>
        </r>
      </text>
    </comment>
    <comment ref="I257" authorId="0" shapeId="0" xr:uid="{00000000-0006-0000-0100-0000A8000000}">
      <text>
        <r>
          <rPr>
            <b/>
            <sz val="9"/>
            <rFont val="Tahoma"/>
            <family val="2"/>
          </rPr>
          <t>Author:</t>
        </r>
        <r>
          <rPr>
            <sz val="9"/>
            <rFont val="Tahoma"/>
            <family val="2"/>
          </rPr>
          <t xml:space="preserve">
Not reported</t>
        </r>
      </text>
    </comment>
    <comment ref="J257" authorId="0" shapeId="0" xr:uid="{00000000-0006-0000-0100-0000A9000000}">
      <text>
        <r>
          <rPr>
            <b/>
            <sz val="9"/>
            <rFont val="Tahoma"/>
            <family val="2"/>
          </rPr>
          <t>Author:</t>
        </r>
        <r>
          <rPr>
            <sz val="9"/>
            <rFont val="Tahoma"/>
            <family val="2"/>
          </rPr>
          <t xml:space="preserve">
Not reported</t>
        </r>
      </text>
    </comment>
    <comment ref="K257" authorId="0" shapeId="0" xr:uid="{00000000-0006-0000-0100-0000AA000000}">
      <text>
        <r>
          <rPr>
            <b/>
            <sz val="9"/>
            <rFont val="Tahoma"/>
            <family val="2"/>
          </rPr>
          <t>Author:</t>
        </r>
        <r>
          <rPr>
            <sz val="9"/>
            <rFont val="Tahoma"/>
            <family val="2"/>
          </rPr>
          <t xml:space="preserve">
Not reported</t>
        </r>
      </text>
    </comment>
    <comment ref="L257" authorId="0" shapeId="0" xr:uid="{00000000-0006-0000-0100-0000AB000000}">
      <text>
        <r>
          <rPr>
            <b/>
            <sz val="9"/>
            <rFont val="Tahoma"/>
            <family val="2"/>
          </rPr>
          <t>Author:</t>
        </r>
        <r>
          <rPr>
            <sz val="9"/>
            <rFont val="Tahoma"/>
            <family val="2"/>
          </rPr>
          <t xml:space="preserve">
Not reported</t>
        </r>
      </text>
    </comment>
    <comment ref="M257" authorId="0" shapeId="0" xr:uid="{00000000-0006-0000-0100-0000AC000000}">
      <text>
        <r>
          <rPr>
            <b/>
            <sz val="9"/>
            <rFont val="Tahoma"/>
            <family val="2"/>
          </rPr>
          <t>Author:</t>
        </r>
        <r>
          <rPr>
            <sz val="9"/>
            <rFont val="Tahoma"/>
            <family val="2"/>
          </rPr>
          <t xml:space="preserve">
Not reported</t>
        </r>
      </text>
    </comment>
    <comment ref="N257" authorId="0" shapeId="0" xr:uid="{00000000-0006-0000-0100-0000AD000000}">
      <text>
        <r>
          <rPr>
            <b/>
            <sz val="9"/>
            <rFont val="Tahoma"/>
            <family val="2"/>
          </rPr>
          <t>Author:</t>
        </r>
        <r>
          <rPr>
            <sz val="9"/>
            <rFont val="Tahoma"/>
            <family val="2"/>
          </rPr>
          <t xml:space="preserve">
Not reported</t>
        </r>
      </text>
    </comment>
    <comment ref="O257" authorId="0" shapeId="0" xr:uid="{00000000-0006-0000-0100-0000AE000000}">
      <text>
        <r>
          <rPr>
            <b/>
            <sz val="9"/>
            <rFont val="Tahoma"/>
            <family val="2"/>
          </rPr>
          <t>Author:</t>
        </r>
        <r>
          <rPr>
            <sz val="9"/>
            <rFont val="Tahoma"/>
            <family val="2"/>
          </rPr>
          <t xml:space="preserve">
Not reported</t>
        </r>
      </text>
    </comment>
    <comment ref="P257" authorId="0" shapeId="0" xr:uid="{00000000-0006-0000-0100-0000AF000000}">
      <text>
        <r>
          <rPr>
            <b/>
            <sz val="9"/>
            <rFont val="Tahoma"/>
            <family val="2"/>
          </rPr>
          <t>Author:</t>
        </r>
        <r>
          <rPr>
            <sz val="9"/>
            <rFont val="Tahoma"/>
            <family val="2"/>
          </rPr>
          <t xml:space="preserve">
Not reported</t>
        </r>
      </text>
    </comment>
    <comment ref="Q257" authorId="0" shapeId="0" xr:uid="{00000000-0006-0000-0100-0000B0000000}">
      <text>
        <r>
          <rPr>
            <b/>
            <sz val="9"/>
            <rFont val="Tahoma"/>
            <family val="2"/>
          </rPr>
          <t>Author:</t>
        </r>
        <r>
          <rPr>
            <sz val="9"/>
            <rFont val="Tahoma"/>
            <family val="2"/>
          </rPr>
          <t xml:space="preserve">
Not reported</t>
        </r>
      </text>
    </comment>
    <comment ref="R257" authorId="0" shapeId="0" xr:uid="{00000000-0006-0000-0100-0000B1000000}">
      <text>
        <r>
          <rPr>
            <b/>
            <sz val="9"/>
            <rFont val="Tahoma"/>
            <family val="2"/>
          </rPr>
          <t>Author:</t>
        </r>
        <r>
          <rPr>
            <sz val="9"/>
            <rFont val="Tahoma"/>
            <family val="2"/>
          </rPr>
          <t xml:space="preserve">
Not reported</t>
        </r>
      </text>
    </comment>
    <comment ref="S257" authorId="0" shapeId="0" xr:uid="{00000000-0006-0000-0100-0000B2000000}">
      <text>
        <r>
          <rPr>
            <b/>
            <sz val="9"/>
            <rFont val="Tahoma"/>
            <family val="2"/>
          </rPr>
          <t>Author:</t>
        </r>
        <r>
          <rPr>
            <sz val="9"/>
            <rFont val="Tahoma"/>
            <family val="2"/>
          </rPr>
          <t xml:space="preserve">
Not reported</t>
        </r>
      </text>
    </comment>
    <comment ref="T257" authorId="0" shapeId="0" xr:uid="{00000000-0006-0000-0100-0000B3000000}">
      <text>
        <r>
          <rPr>
            <b/>
            <sz val="9"/>
            <rFont val="Tahoma"/>
            <family val="2"/>
          </rPr>
          <t>Author:</t>
        </r>
        <r>
          <rPr>
            <sz val="9"/>
            <rFont val="Tahoma"/>
            <family val="2"/>
          </rPr>
          <t xml:space="preserve">
Not reported</t>
        </r>
      </text>
    </comment>
    <comment ref="U257" authorId="0" shapeId="0" xr:uid="{00000000-0006-0000-0100-0000B4000000}">
      <text>
        <r>
          <rPr>
            <b/>
            <sz val="9"/>
            <rFont val="Tahoma"/>
            <family val="2"/>
          </rPr>
          <t>Author:</t>
        </r>
        <r>
          <rPr>
            <sz val="9"/>
            <rFont val="Tahoma"/>
            <family val="2"/>
          </rPr>
          <t xml:space="preserve">
Not reported</t>
        </r>
      </text>
    </comment>
    <comment ref="V257" authorId="0" shapeId="0" xr:uid="{00000000-0006-0000-0100-0000B5000000}">
      <text>
        <r>
          <rPr>
            <b/>
            <sz val="9"/>
            <rFont val="Tahoma"/>
            <family val="2"/>
          </rPr>
          <t>Author:</t>
        </r>
        <r>
          <rPr>
            <sz val="9"/>
            <rFont val="Tahoma"/>
            <family val="2"/>
          </rPr>
          <t xml:space="preserve">
Not reported</t>
        </r>
      </text>
    </comment>
    <comment ref="W257" authorId="0" shapeId="0" xr:uid="{00000000-0006-0000-0100-0000B6000000}">
      <text>
        <r>
          <rPr>
            <b/>
            <sz val="9"/>
            <rFont val="Tahoma"/>
            <family val="2"/>
          </rPr>
          <t>Author:</t>
        </r>
        <r>
          <rPr>
            <sz val="9"/>
            <rFont val="Tahoma"/>
            <family val="2"/>
          </rPr>
          <t xml:space="preserve">
Not reported</t>
        </r>
      </text>
    </comment>
    <comment ref="BN257" authorId="4" shapeId="0" xr:uid="{00000000-0006-0000-0100-0000B7000000}">
      <text>
        <r>
          <rPr>
            <b/>
            <sz val="9"/>
            <rFont val="Tahoma"/>
            <family val="2"/>
          </rPr>
          <t>Author:</t>
        </r>
        <r>
          <rPr>
            <sz val="9"/>
            <rFont val="Tahoma"/>
            <family val="2"/>
          </rPr>
          <t xml:space="preserve">
Now reported in footnotes of segment earnings new walk</t>
        </r>
      </text>
    </comment>
    <comment ref="BO257" authorId="4" shapeId="0" xr:uid="{00000000-0006-0000-0100-0000B8000000}">
      <text>
        <r>
          <rPr>
            <b/>
            <sz val="9"/>
            <rFont val="Tahoma"/>
            <family val="2"/>
          </rPr>
          <t>Author:</t>
        </r>
        <r>
          <rPr>
            <sz val="9"/>
            <rFont val="Tahoma"/>
            <family val="2"/>
          </rPr>
          <t xml:space="preserve">
Now reported in footnotes of segment earnings new walk</t>
        </r>
      </text>
    </comment>
    <comment ref="BP257" authorId="4" shapeId="0" xr:uid="{00000000-0006-0000-0100-0000B9000000}">
      <text>
        <r>
          <rPr>
            <b/>
            <sz val="9"/>
            <rFont val="Tahoma"/>
            <family val="2"/>
          </rPr>
          <t>Author:</t>
        </r>
        <r>
          <rPr>
            <sz val="9"/>
            <rFont val="Tahoma"/>
            <family val="2"/>
          </rPr>
          <t xml:space="preserve">
Now reported in footnotes of segment earnings new walk</t>
        </r>
      </text>
    </comment>
    <comment ref="BQ257" authorId="4" shapeId="0" xr:uid="{00000000-0006-0000-0100-0000BA000000}">
      <text>
        <r>
          <rPr>
            <b/>
            <sz val="9"/>
            <rFont val="Tahoma"/>
            <family val="2"/>
          </rPr>
          <t>Author:</t>
        </r>
        <r>
          <rPr>
            <sz val="9"/>
            <rFont val="Tahoma"/>
            <family val="2"/>
          </rPr>
          <t xml:space="preserve">
Now reported in footnotes of segment earnings new walk</t>
        </r>
      </text>
    </comment>
    <comment ref="BS257" authorId="4" shapeId="0" xr:uid="{00000000-0006-0000-0100-0000BB000000}">
      <text>
        <r>
          <rPr>
            <b/>
            <sz val="9"/>
            <rFont val="Tahoma"/>
            <family val="2"/>
          </rPr>
          <t>Author:</t>
        </r>
        <r>
          <rPr>
            <sz val="9"/>
            <rFont val="Tahoma"/>
            <family val="2"/>
          </rPr>
          <t xml:space="preserve">
Now reported in footnotes of segment earnings new walk</t>
        </r>
      </text>
    </comment>
    <comment ref="BT257" authorId="4" shapeId="0" xr:uid="{7D6A111F-995A-493A-9B78-3E81A81D37E3}">
      <text>
        <r>
          <rPr>
            <b/>
            <sz val="9"/>
            <rFont val="Tahoma"/>
            <family val="2"/>
          </rPr>
          <t>Author:</t>
        </r>
        <r>
          <rPr>
            <sz val="9"/>
            <rFont val="Tahoma"/>
            <family val="2"/>
          </rPr>
          <t xml:space="preserve">
Now reported in footnotes of segment earnings new walk</t>
        </r>
      </text>
    </comment>
    <comment ref="BN258" authorId="4" shapeId="0" xr:uid="{00000000-0006-0000-0100-0000BD000000}">
      <text>
        <r>
          <rPr>
            <b/>
            <sz val="9"/>
            <rFont val="Tahoma"/>
            <family val="2"/>
          </rPr>
          <t>Author:</t>
        </r>
        <r>
          <rPr>
            <sz val="9"/>
            <rFont val="Tahoma"/>
            <family val="2"/>
          </rPr>
          <t xml:space="preserve">
Now reported in footnotes of segment earnings new walk</t>
        </r>
      </text>
    </comment>
    <comment ref="BO258" authorId="4" shapeId="0" xr:uid="{00000000-0006-0000-0100-0000BE000000}">
      <text>
        <r>
          <rPr>
            <b/>
            <sz val="9"/>
            <rFont val="Tahoma"/>
            <family val="2"/>
          </rPr>
          <t>Author:</t>
        </r>
        <r>
          <rPr>
            <sz val="9"/>
            <rFont val="Tahoma"/>
            <family val="2"/>
          </rPr>
          <t xml:space="preserve">
Now reported in footnotes of segment earnings new walk</t>
        </r>
      </text>
    </comment>
    <comment ref="BP258" authorId="4" shapeId="0" xr:uid="{00000000-0006-0000-0100-0000BF000000}">
      <text>
        <r>
          <rPr>
            <b/>
            <sz val="9"/>
            <rFont val="Tahoma"/>
            <family val="2"/>
          </rPr>
          <t>Author:</t>
        </r>
        <r>
          <rPr>
            <sz val="9"/>
            <rFont val="Tahoma"/>
            <family val="2"/>
          </rPr>
          <t xml:space="preserve">
Now reported in footnotes of segment earnings new walk</t>
        </r>
      </text>
    </comment>
    <comment ref="BQ258" authorId="4" shapeId="0" xr:uid="{00000000-0006-0000-0100-0000C0000000}">
      <text>
        <r>
          <rPr>
            <b/>
            <sz val="9"/>
            <rFont val="Tahoma"/>
            <family val="2"/>
          </rPr>
          <t>Author:</t>
        </r>
        <r>
          <rPr>
            <sz val="9"/>
            <rFont val="Tahoma"/>
            <family val="2"/>
          </rPr>
          <t xml:space="preserve">
Now reported in footnotes of segment earnings new walk</t>
        </r>
      </text>
    </comment>
    <comment ref="BS258" authorId="4" shapeId="0" xr:uid="{00000000-0006-0000-0100-0000C1000000}">
      <text>
        <r>
          <rPr>
            <b/>
            <sz val="9"/>
            <rFont val="Tahoma"/>
            <family val="2"/>
          </rPr>
          <t>Author:</t>
        </r>
        <r>
          <rPr>
            <sz val="9"/>
            <rFont val="Tahoma"/>
            <family val="2"/>
          </rPr>
          <t xml:space="preserve">
Now reported in footnotes of segment earnings new walk</t>
        </r>
      </text>
    </comment>
    <comment ref="BT258" authorId="4" shapeId="0" xr:uid="{C686D920-82FD-4271-B3E3-D3B7485D73DC}">
      <text>
        <r>
          <rPr>
            <b/>
            <sz val="9"/>
            <rFont val="Tahoma"/>
            <family val="2"/>
          </rPr>
          <t>Author:</t>
        </r>
        <r>
          <rPr>
            <sz val="9"/>
            <rFont val="Tahoma"/>
            <family val="2"/>
          </rPr>
          <t xml:space="preserve">
Now reported in footnotes of segment earnings new walk</t>
        </r>
      </text>
    </comment>
    <comment ref="BN259" authorId="4" shapeId="0" xr:uid="{00000000-0006-0000-0100-0000C3000000}">
      <text>
        <r>
          <rPr>
            <b/>
            <sz val="9"/>
            <rFont val="Tahoma"/>
            <family val="2"/>
          </rPr>
          <t>Author:</t>
        </r>
        <r>
          <rPr>
            <sz val="9"/>
            <rFont val="Tahoma"/>
            <family val="2"/>
          </rPr>
          <t xml:space="preserve">
Backed out, no longer reported</t>
        </r>
      </text>
    </comment>
    <comment ref="BO259" authorId="4" shapeId="0" xr:uid="{00000000-0006-0000-0100-0000C4000000}">
      <text>
        <r>
          <rPr>
            <b/>
            <sz val="9"/>
            <rFont val="Tahoma"/>
            <family val="2"/>
          </rPr>
          <t>Author:</t>
        </r>
        <r>
          <rPr>
            <sz val="9"/>
            <rFont val="Tahoma"/>
            <family val="2"/>
          </rPr>
          <t xml:space="preserve">
Backed out, no longer reported</t>
        </r>
      </text>
    </comment>
    <comment ref="BP259" authorId="4" shapeId="0" xr:uid="{00000000-0006-0000-0100-0000C5000000}">
      <text>
        <r>
          <rPr>
            <b/>
            <sz val="9"/>
            <rFont val="Tahoma"/>
            <family val="2"/>
          </rPr>
          <t>Author:</t>
        </r>
        <r>
          <rPr>
            <sz val="9"/>
            <rFont val="Tahoma"/>
            <family val="2"/>
          </rPr>
          <t xml:space="preserve">
Backed out, no longer reported</t>
        </r>
      </text>
    </comment>
    <comment ref="BQ259" authorId="4" shapeId="0" xr:uid="{00000000-0006-0000-0100-0000C6000000}">
      <text>
        <r>
          <rPr>
            <b/>
            <sz val="9"/>
            <rFont val="Tahoma"/>
            <family val="2"/>
          </rPr>
          <t>Author:</t>
        </r>
        <r>
          <rPr>
            <sz val="9"/>
            <rFont val="Tahoma"/>
            <family val="2"/>
          </rPr>
          <t xml:space="preserve">
Backed out, no longer reported</t>
        </r>
      </text>
    </comment>
    <comment ref="BR259" authorId="4" shapeId="0" xr:uid="{00000000-0006-0000-0100-0000C7000000}">
      <text>
        <r>
          <rPr>
            <b/>
            <sz val="9"/>
            <rFont val="Tahoma"/>
            <family val="2"/>
          </rPr>
          <t>Author:</t>
        </r>
        <r>
          <rPr>
            <sz val="9"/>
            <rFont val="Tahoma"/>
            <family val="2"/>
          </rPr>
          <t xml:space="preserve">
Backed out, no longer reported</t>
        </r>
      </text>
    </comment>
    <comment ref="BS259" authorId="4" shapeId="0" xr:uid="{00000000-0006-0000-0100-0000C8000000}">
      <text>
        <r>
          <rPr>
            <b/>
            <sz val="9"/>
            <rFont val="Tahoma"/>
            <family val="2"/>
          </rPr>
          <t>Author:</t>
        </r>
        <r>
          <rPr>
            <sz val="9"/>
            <rFont val="Tahoma"/>
            <family val="2"/>
          </rPr>
          <t xml:space="preserve">
Backed out, no longer reported</t>
        </r>
      </text>
    </comment>
    <comment ref="BT259" authorId="4" shapeId="0" xr:uid="{807439A3-DE77-49B1-A5EC-494C50AD594B}">
      <text>
        <r>
          <rPr>
            <b/>
            <sz val="9"/>
            <rFont val="Tahoma"/>
            <family val="2"/>
          </rPr>
          <t>Author:</t>
        </r>
        <r>
          <rPr>
            <sz val="9"/>
            <rFont val="Tahoma"/>
            <family val="2"/>
          </rPr>
          <t xml:space="preserve">
Backed out, no longer reported</t>
        </r>
      </text>
    </comment>
    <comment ref="BO261" authorId="5" shapeId="0" xr:uid="{00000000-0006-0000-0100-0000C9000000}">
      <text>
        <r>
          <rPr>
            <b/>
            <sz val="9"/>
            <rFont val="Tahoma"/>
            <family val="2"/>
          </rPr>
          <t>Author:</t>
        </r>
        <r>
          <rPr>
            <sz val="9"/>
            <rFont val="Tahoma"/>
            <family val="2"/>
          </rPr>
          <t xml:space="preserve">
180 for Fair value adjustment of Company1245 common stock</t>
        </r>
      </text>
    </comment>
    <comment ref="AE264" authorId="0" shapeId="0" xr:uid="{00000000-0006-0000-0100-0000CA000000}">
      <text>
        <r>
          <rPr>
            <b/>
            <sz val="9"/>
            <rFont val="Tahoma"/>
            <family val="2"/>
          </rPr>
          <t>Author:</t>
        </r>
        <r>
          <rPr>
            <sz val="9"/>
            <rFont val="Tahoma"/>
            <family val="2"/>
          </rPr>
          <t xml:space="preserve">
Reported on annual supplemental. Will be updated when available</t>
        </r>
      </text>
    </comment>
    <comment ref="C298" authorId="0" shapeId="0" xr:uid="{00000000-0006-0000-0100-0000CB000000}">
      <text>
        <r>
          <rPr>
            <b/>
            <sz val="9"/>
            <rFont val="Tahoma"/>
            <family val="2"/>
          </rPr>
          <t>Author:</t>
        </r>
        <r>
          <rPr>
            <sz val="9"/>
            <rFont val="Tahoma"/>
            <family val="2"/>
          </rPr>
          <t xml:space="preserve">
Breakdown not given.</t>
        </r>
      </text>
    </comment>
    <comment ref="D298" authorId="0" shapeId="0" xr:uid="{00000000-0006-0000-0100-0000CC000000}">
      <text>
        <r>
          <rPr>
            <b/>
            <sz val="9"/>
            <rFont val="Tahoma"/>
            <family val="2"/>
          </rPr>
          <t>Author:</t>
        </r>
        <r>
          <rPr>
            <sz val="9"/>
            <rFont val="Tahoma"/>
            <family val="2"/>
          </rPr>
          <t xml:space="preserve">
Breakdown not given.</t>
        </r>
      </text>
    </comment>
    <comment ref="BD307" authorId="0" shapeId="0" xr:uid="{00000000-0006-0000-0100-0000CD000000}">
      <text>
        <r>
          <rPr>
            <b/>
            <sz val="9"/>
            <rFont val="Tahoma"/>
            <family val="2"/>
          </rPr>
          <t>Author:</t>
        </r>
        <r>
          <rPr>
            <sz val="9"/>
            <rFont val="Tahoma"/>
            <family val="2"/>
          </rPr>
          <t xml:space="preserve">
included in other</t>
        </r>
      </text>
    </comment>
    <comment ref="BD314" authorId="0" shapeId="0" xr:uid="{00000000-0006-0000-0100-0000CE000000}">
      <text>
        <r>
          <rPr>
            <b/>
            <sz val="9"/>
            <rFont val="Tahoma"/>
            <family val="2"/>
          </rPr>
          <t>Author:</t>
        </r>
        <r>
          <rPr>
            <sz val="9"/>
            <rFont val="Tahoma"/>
            <family val="2"/>
          </rPr>
          <t xml:space="preserve">
included in other</t>
        </r>
      </text>
    </comment>
    <comment ref="BD321" authorId="0" shapeId="0" xr:uid="{00000000-0006-0000-0100-0000CF000000}">
      <text>
        <r>
          <rPr>
            <b/>
            <sz val="9"/>
            <rFont val="Tahoma"/>
            <family val="2"/>
          </rPr>
          <t>Author:</t>
        </r>
        <r>
          <rPr>
            <sz val="9"/>
            <rFont val="Tahoma"/>
            <family val="2"/>
          </rPr>
          <t xml:space="preserve">
included in other</t>
        </r>
      </text>
    </comment>
    <comment ref="BD328" authorId="0" shapeId="0" xr:uid="{00000000-0006-0000-0100-0000D0000000}">
      <text>
        <r>
          <rPr>
            <b/>
            <sz val="9"/>
            <rFont val="Tahoma"/>
            <family val="2"/>
          </rPr>
          <t>Author:</t>
        </r>
        <r>
          <rPr>
            <sz val="9"/>
            <rFont val="Tahoma"/>
            <family val="2"/>
          </rPr>
          <t xml:space="preserve">
included in other</t>
        </r>
      </text>
    </comment>
    <comment ref="BD335" authorId="0" shapeId="0" xr:uid="{00000000-0006-0000-0100-0000D1000000}">
      <text>
        <r>
          <rPr>
            <b/>
            <sz val="9"/>
            <rFont val="Tahoma"/>
            <family val="2"/>
          </rPr>
          <t>Author:</t>
        </r>
        <r>
          <rPr>
            <sz val="9"/>
            <rFont val="Tahoma"/>
            <family val="2"/>
          </rPr>
          <t xml:space="preserve">
included in other</t>
        </r>
      </text>
    </comment>
    <comment ref="BD342" authorId="0" shapeId="0" xr:uid="{00000000-0006-0000-0100-0000D2000000}">
      <text>
        <r>
          <rPr>
            <b/>
            <sz val="9"/>
            <rFont val="Tahoma"/>
            <family val="2"/>
          </rPr>
          <t>Author:</t>
        </r>
        <r>
          <rPr>
            <sz val="9"/>
            <rFont val="Tahoma"/>
            <family val="2"/>
          </rPr>
          <t xml:space="preserve">
included in other</t>
        </r>
      </text>
    </comment>
    <comment ref="BB404" authorId="0" shapeId="0" xr:uid="{00000000-0006-0000-0100-0000D3000000}">
      <text>
        <r>
          <rPr>
            <b/>
            <sz val="9"/>
            <rFont val="Tahoma"/>
            <family val="2"/>
          </rPr>
          <t>Author:</t>
        </r>
        <r>
          <rPr>
            <sz val="9"/>
            <rFont val="Tahoma"/>
            <family val="2"/>
          </rPr>
          <t xml:space="preserve">
Company reclassified Purchased crude oil and products + Taxes other than on income in 2023</t>
        </r>
      </text>
    </comment>
    <comment ref="AP426" authorId="0" shapeId="0" xr:uid="{00000000-0006-0000-0100-0000D7000000}">
      <text>
        <r>
          <rPr>
            <b/>
            <sz val="9"/>
            <rFont val="Tahoma"/>
            <family val="2"/>
          </rPr>
          <t>Author:</t>
        </r>
        <r>
          <rPr>
            <sz val="9"/>
            <rFont val="Tahoma"/>
            <family val="2"/>
          </rPr>
          <t xml:space="preserve">
Adjusted earnings in 2020 were recast in 2021 to exclude pension settlement costs. GAAP earnings are unaffected.</t>
        </r>
      </text>
    </comment>
    <comment ref="AQ426" authorId="0" shapeId="0" xr:uid="{00000000-0006-0000-0100-0000D8000000}">
      <text>
        <r>
          <rPr>
            <b/>
            <sz val="9"/>
            <rFont val="Tahoma"/>
            <family val="2"/>
          </rPr>
          <t>Author:</t>
        </r>
        <r>
          <rPr>
            <sz val="9"/>
            <rFont val="Tahoma"/>
            <family val="2"/>
          </rPr>
          <t xml:space="preserve">
Adjusted earnings in 2020 were recast in 2021 to exclude pension settlement costs. GAAP earnings are unaffected.</t>
        </r>
      </text>
    </comment>
    <comment ref="BO429" authorId="5" shapeId="0" xr:uid="{00000000-0006-0000-0100-0000D9000000}">
      <text>
        <r>
          <rPr>
            <b/>
            <sz val="9"/>
            <rFont val="Tahoma"/>
            <family val="2"/>
          </rPr>
          <t>Author:</t>
        </r>
        <r>
          <rPr>
            <sz val="9"/>
            <rFont val="Tahoma"/>
            <family val="2"/>
          </rPr>
          <t xml:space="preserve">
Legal reserves</t>
        </r>
      </text>
    </comment>
    <comment ref="BQ429" authorId="1" shapeId="0" xr:uid="{00000000-0006-0000-0100-0000DA000000}">
      <text>
        <r>
          <rPr>
            <b/>
            <sz val="9"/>
            <rFont val="Tahoma"/>
            <family val="2"/>
          </rPr>
          <t>Author:</t>
        </r>
        <r>
          <rPr>
            <sz val="9"/>
            <rFont val="Tahoma"/>
            <family val="2"/>
          </rPr>
          <t xml:space="preserve">
Company1245 severance and transaction costs</t>
        </r>
      </text>
    </comment>
    <comment ref="BS429" authorId="1" shapeId="0" xr:uid="{00000000-0006-0000-0100-0000DB000000}">
      <text>
        <r>
          <rPr>
            <b/>
            <sz val="9"/>
            <rFont val="Tahoma"/>
            <family val="2"/>
          </rPr>
          <t>Author:</t>
        </r>
        <r>
          <rPr>
            <sz val="9"/>
            <rFont val="Tahoma"/>
            <family val="2"/>
          </rPr>
          <t xml:space="preserve">
Company1245 severance and transaction costs+legal reserves</t>
        </r>
      </text>
    </comment>
    <comment ref="BE435" authorId="0" shapeId="0" xr:uid="{00000000-0006-0000-0100-0000DC000000}">
      <text>
        <r>
          <rPr>
            <b/>
            <sz val="9"/>
            <rFont val="Tahoma"/>
            <family val="2"/>
          </rPr>
          <t>Author:</t>
        </r>
        <r>
          <rPr>
            <sz val="9"/>
            <rFont val="Tahoma"/>
            <family val="2"/>
          </rPr>
          <t xml:space="preserve">
no adjustments</t>
        </r>
      </text>
    </comment>
    <comment ref="BF435" authorId="0" shapeId="0" xr:uid="{00000000-0006-0000-0100-0000DD000000}">
      <text>
        <r>
          <rPr>
            <b/>
            <sz val="9"/>
            <rFont val="Tahoma"/>
            <family val="2"/>
          </rPr>
          <t>Author:</t>
        </r>
        <r>
          <rPr>
            <sz val="9"/>
            <rFont val="Tahoma"/>
            <family val="2"/>
          </rPr>
          <t xml:space="preserve">
no adjustments</t>
        </r>
      </text>
    </comment>
    <comment ref="BG435" authorId="0" shapeId="0" xr:uid="{00000000-0006-0000-0100-0000DE000000}">
      <text>
        <r>
          <rPr>
            <b/>
            <sz val="9"/>
            <rFont val="Tahoma"/>
            <family val="2"/>
          </rPr>
          <t>Author:</t>
        </r>
        <r>
          <rPr>
            <sz val="9"/>
            <rFont val="Tahoma"/>
            <family val="2"/>
          </rPr>
          <t xml:space="preserve">
no adjustments</t>
        </r>
      </text>
    </comment>
    <comment ref="BJ435" authorId="0" shapeId="0" xr:uid="{00000000-0006-0000-0100-0000DF000000}">
      <text>
        <r>
          <rPr>
            <b/>
            <sz val="9"/>
            <rFont val="Tahoma"/>
            <family val="2"/>
          </rPr>
          <t>Author:</t>
        </r>
        <r>
          <rPr>
            <sz val="9"/>
            <rFont val="Tahoma"/>
            <family val="2"/>
          </rPr>
          <t xml:space="preserve">
No adjustments</t>
        </r>
      </text>
    </comment>
    <comment ref="BK435" authorId="0" shapeId="0" xr:uid="{00000000-0006-0000-0100-0000E0000000}">
      <text>
        <r>
          <rPr>
            <b/>
            <sz val="9"/>
            <rFont val="Tahoma"/>
            <family val="2"/>
          </rPr>
          <t>Author:</t>
        </r>
        <r>
          <rPr>
            <sz val="9"/>
            <rFont val="Tahoma"/>
            <family val="2"/>
          </rPr>
          <t xml:space="preserve">
No adjustments</t>
        </r>
      </text>
    </comment>
    <comment ref="BL435" authorId="0" shapeId="0" xr:uid="{00000000-0006-0000-0100-0000E1000000}">
      <text>
        <r>
          <rPr>
            <b/>
            <sz val="9"/>
            <rFont val="Tahoma"/>
            <family val="2"/>
          </rPr>
          <t>Author:</t>
        </r>
        <r>
          <rPr>
            <sz val="9"/>
            <rFont val="Tahoma"/>
            <family val="2"/>
          </rPr>
          <t xml:space="preserve">
No adjustments</t>
        </r>
      </text>
    </comment>
    <comment ref="BE451" authorId="0" shapeId="0" xr:uid="{00000000-0006-0000-0100-0000E2000000}">
      <text>
        <r>
          <rPr>
            <b/>
            <sz val="9"/>
            <rFont val="Tahoma"/>
            <family val="2"/>
          </rPr>
          <t>Author:</t>
        </r>
        <r>
          <rPr>
            <sz val="9"/>
            <rFont val="Tahoma"/>
            <family val="2"/>
          </rPr>
          <t xml:space="preserve">
no adjustments</t>
        </r>
      </text>
    </comment>
    <comment ref="BF451" authorId="0" shapeId="0" xr:uid="{00000000-0006-0000-0100-0000E3000000}">
      <text>
        <r>
          <rPr>
            <b/>
            <sz val="9"/>
            <rFont val="Tahoma"/>
            <family val="2"/>
          </rPr>
          <t>Author:</t>
        </r>
        <r>
          <rPr>
            <sz val="9"/>
            <rFont val="Tahoma"/>
            <family val="2"/>
          </rPr>
          <t xml:space="preserve">
no adjustments</t>
        </r>
      </text>
    </comment>
    <comment ref="BG451" authorId="0" shapeId="0" xr:uid="{00000000-0006-0000-0100-0000E4000000}">
      <text>
        <r>
          <rPr>
            <b/>
            <sz val="9"/>
            <rFont val="Tahoma"/>
            <family val="2"/>
          </rPr>
          <t>Author:</t>
        </r>
        <r>
          <rPr>
            <sz val="9"/>
            <rFont val="Tahoma"/>
            <family val="2"/>
          </rPr>
          <t xml:space="preserve">
no adjustments</t>
        </r>
      </text>
    </comment>
    <comment ref="BH451" authorId="0" shapeId="0" xr:uid="{00000000-0006-0000-0100-0000E5000000}">
      <text>
        <r>
          <rPr>
            <b/>
            <sz val="9"/>
            <rFont val="Tahoma"/>
            <family val="2"/>
          </rPr>
          <t>Author:</t>
        </r>
        <r>
          <rPr>
            <sz val="9"/>
            <rFont val="Tahoma"/>
            <family val="2"/>
          </rPr>
          <t xml:space="preserve">
no adjustments</t>
        </r>
      </text>
    </comment>
    <comment ref="BI451" authorId="0" shapeId="0" xr:uid="{00000000-0006-0000-0100-0000E6000000}">
      <text>
        <r>
          <rPr>
            <b/>
            <sz val="9"/>
            <rFont val="Tahoma"/>
            <family val="2"/>
          </rPr>
          <t>Author:</t>
        </r>
        <r>
          <rPr>
            <sz val="9"/>
            <rFont val="Tahoma"/>
            <family val="2"/>
          </rPr>
          <t xml:space="preserve">
no adjustments</t>
        </r>
      </text>
    </comment>
    <comment ref="BJ451" authorId="0" shapeId="0" xr:uid="{00000000-0006-0000-0100-0000E7000000}">
      <text>
        <r>
          <rPr>
            <b/>
            <sz val="9"/>
            <rFont val="Tahoma"/>
            <family val="2"/>
          </rPr>
          <t>Author:</t>
        </r>
        <r>
          <rPr>
            <sz val="9"/>
            <rFont val="Tahoma"/>
            <family val="2"/>
          </rPr>
          <t xml:space="preserve">
No adjustments</t>
        </r>
      </text>
    </comment>
    <comment ref="BK451" authorId="0" shapeId="0" xr:uid="{00000000-0006-0000-0100-0000E8000000}">
      <text>
        <r>
          <rPr>
            <b/>
            <sz val="9"/>
            <rFont val="Tahoma"/>
            <family val="2"/>
          </rPr>
          <t>Author:</t>
        </r>
        <r>
          <rPr>
            <sz val="9"/>
            <rFont val="Tahoma"/>
            <family val="2"/>
          </rPr>
          <t xml:space="preserve">
No adjustments</t>
        </r>
      </text>
    </comment>
    <comment ref="BL451" authorId="0" shapeId="0" xr:uid="{00000000-0006-0000-0100-0000E9000000}">
      <text>
        <r>
          <rPr>
            <b/>
            <sz val="9"/>
            <rFont val="Tahoma"/>
            <family val="2"/>
          </rPr>
          <t>Author:</t>
        </r>
        <r>
          <rPr>
            <sz val="9"/>
            <rFont val="Tahoma"/>
            <family val="2"/>
          </rPr>
          <t xml:space="preserve">
No adjustments</t>
        </r>
      </text>
    </comment>
    <comment ref="BQ451" authorId="1" shapeId="0" xr:uid="{00000000-0006-0000-0100-0000EA000000}">
      <text>
        <r>
          <rPr>
            <b/>
            <sz val="9"/>
            <rFont val="Tahoma"/>
            <family val="2"/>
          </rPr>
          <t>Author:</t>
        </r>
        <r>
          <rPr>
            <sz val="9"/>
            <rFont val="Tahoma"/>
            <family val="2"/>
          </rPr>
          <t xml:space="preserve">
No adjustments as reported</t>
        </r>
      </text>
    </comment>
    <comment ref="BQ462" authorId="1" shapeId="0" xr:uid="{00000000-0006-0000-0100-0000EB000000}">
      <text>
        <r>
          <rPr>
            <b/>
            <sz val="9"/>
            <rFont val="Tahoma"/>
            <family val="2"/>
          </rPr>
          <t>Author:</t>
        </r>
        <r>
          <rPr>
            <sz val="9"/>
            <rFont val="Tahoma"/>
            <family val="2"/>
          </rPr>
          <t xml:space="preserve">
Pension curtailment costs</t>
        </r>
      </text>
    </comment>
    <comment ref="BR462" authorId="3" shapeId="0" xr:uid="{00000000-0006-0000-0100-0000EC000000}">
      <text>
        <r>
          <rPr>
            <b/>
            <sz val="9"/>
            <rFont val="Tahoma"/>
            <family val="2"/>
          </rPr>
          <t>Author:</t>
        </r>
        <r>
          <rPr>
            <sz val="9"/>
            <rFont val="Tahoma"/>
            <family val="2"/>
          </rPr>
          <t xml:space="preserve">
Pension settlement &amp; curtailment costs (including Company1245)</t>
        </r>
      </text>
    </comment>
    <comment ref="BO464" authorId="5" shapeId="0" xr:uid="{00000000-0006-0000-0100-0000ED000000}">
      <text>
        <r>
          <rPr>
            <b/>
            <sz val="9"/>
            <rFont val="Tahoma"/>
            <family val="2"/>
          </rPr>
          <t>Author:</t>
        </r>
        <r>
          <rPr>
            <sz val="9"/>
            <rFont val="Tahoma"/>
            <family val="2"/>
          </rPr>
          <t xml:space="preserve">
Fair value adjustment of Company1245 common stock</t>
        </r>
      </text>
    </comment>
    <comment ref="BP464" authorId="5" shapeId="0" xr:uid="{00000000-0006-0000-0100-0000EE000000}">
      <text>
        <r>
          <rPr>
            <b/>
            <sz val="9"/>
            <rFont val="Tahoma"/>
            <family val="2"/>
          </rPr>
          <t>Author:</t>
        </r>
        <r>
          <rPr>
            <sz val="9"/>
            <rFont val="Tahoma"/>
            <family val="2"/>
          </rPr>
          <t xml:space="preserve">
Fair value adjustment of Company1245 common stock</t>
        </r>
      </text>
    </comment>
    <comment ref="BQ464" authorId="1" shapeId="0" xr:uid="{00000000-0006-0000-0100-0000EF000000}">
      <text>
        <r>
          <rPr>
            <b/>
            <sz val="9"/>
            <rFont val="Tahoma"/>
            <family val="2"/>
          </rPr>
          <t>Author:</t>
        </r>
        <r>
          <rPr>
            <sz val="9"/>
            <rFont val="Tahoma"/>
            <family val="2"/>
          </rPr>
          <t xml:space="preserve">
Fair value adjustment of Company1245 common stock and Company1245 transaction costs</t>
        </r>
      </text>
    </comment>
    <comment ref="BS464" authorId="3" shapeId="0" xr:uid="{00000000-0006-0000-0100-0000F0000000}">
      <text>
        <r>
          <rPr>
            <b/>
            <sz val="9"/>
            <rFont val="Tahoma"/>
            <family val="2"/>
          </rPr>
          <t>Author:</t>
        </r>
        <r>
          <rPr>
            <sz val="9"/>
            <rFont val="Tahoma"/>
            <family val="2"/>
          </rPr>
          <t xml:space="preserve">
Company1245 transaction costs+Fair value adjustment of Company1245 common stock</t>
        </r>
      </text>
    </comment>
    <comment ref="A487" authorId="0" shapeId="0" xr:uid="{00000000-0006-0000-0100-0000F2000000}">
      <text>
        <r>
          <rPr>
            <b/>
            <sz val="9"/>
            <rFont val="Tahoma"/>
            <family val="2"/>
          </rPr>
          <t>Author:</t>
        </r>
        <r>
          <rPr>
            <sz val="9"/>
            <rFont val="Tahoma"/>
            <family val="2"/>
          </rPr>
          <t xml:space="preserve">
Reported in text</t>
        </r>
      </text>
    </comment>
    <comment ref="AO489" authorId="0" shapeId="0" xr:uid="{00000000-0006-0000-0100-0000F3000000}">
      <text>
        <r>
          <rPr>
            <b/>
            <sz val="9"/>
            <rFont val="Tahoma"/>
            <family val="2"/>
          </rPr>
          <t>Author:</t>
        </r>
        <r>
          <rPr>
            <sz val="9"/>
            <rFont val="Tahoma"/>
            <family val="2"/>
          </rPr>
          <t xml:space="preserve">
Interest income not broken out separately from other income</t>
        </r>
      </text>
    </comment>
    <comment ref="AT489" authorId="0" shapeId="0" xr:uid="{00000000-0006-0000-0100-0000F4000000}">
      <text>
        <r>
          <rPr>
            <b/>
            <sz val="9"/>
            <rFont val="Tahoma"/>
            <family val="2"/>
          </rPr>
          <t>Author:</t>
        </r>
        <r>
          <rPr>
            <sz val="9"/>
            <rFont val="Tahoma"/>
            <family val="2"/>
          </rPr>
          <t xml:space="preserve">
Interest income not broken out separately from other income</t>
        </r>
      </text>
    </comment>
    <comment ref="AN508" authorId="0" shapeId="0" xr:uid="{00000000-0006-0000-0100-0000F5000000}">
      <text>
        <r>
          <rPr>
            <b/>
            <sz val="9"/>
            <rFont val="Tahoma"/>
            <family val="2"/>
          </rPr>
          <t>Author:</t>
        </r>
        <r>
          <rPr>
            <sz val="9"/>
            <rFont val="Tahoma"/>
            <family val="2"/>
          </rPr>
          <t xml:space="preserve">
As a result of Company0670’s disciplined approach to capital allocation and a downward revision in its longer-term commodity price outlook, the company will reduce funding to various gas-related opportunities including Appalachia shale, Kitimat LNG, and other international projects. Company0670 is evaluating its strategic alternatives for these assets, including divestment. In addition, the revised oil price outlook resulted in an impairment at Big Foot. Combined, these actions are estimated to result in non-cash, after tax impairment charges of $10 billion to $11 billion in its fourth quarter 2019 results, more than half related to the Appalachia shale.</t>
        </r>
      </text>
    </comment>
    <comment ref="AK523" authorId="0" shapeId="0" xr:uid="{00000000-0006-0000-0100-0000F6000000}">
      <text>
        <r>
          <rPr>
            <b/>
            <sz val="9"/>
            <rFont val="Tahoma"/>
            <family val="2"/>
          </rPr>
          <t>Author:</t>
        </r>
        <r>
          <rPr>
            <sz val="9"/>
            <rFont val="Tahoma"/>
            <family val="2"/>
          </rPr>
          <t xml:space="preserve">
Company begins to reported adjusted earnings.</t>
        </r>
      </text>
    </comment>
    <comment ref="H530" authorId="0" shapeId="0" xr:uid="{00000000-0006-0000-0100-0000F7000000}">
      <text>
        <r>
          <rPr>
            <b/>
            <sz val="9"/>
            <rFont val="Tahoma"/>
            <family val="2"/>
          </rPr>
          <t>Author:</t>
        </r>
        <r>
          <rPr>
            <sz val="9"/>
            <rFont val="Tahoma"/>
            <family val="2"/>
          </rPr>
          <t xml:space="preserve">
2.80 reported - rounding difference</t>
        </r>
      </text>
    </comment>
    <comment ref="I530" authorId="0" shapeId="0" xr:uid="{00000000-0006-0000-0100-0000F8000000}">
      <text>
        <r>
          <rPr>
            <b/>
            <sz val="9"/>
            <rFont val="Tahoma"/>
            <family val="2"/>
          </rPr>
          <t>Author:</t>
        </r>
        <r>
          <rPr>
            <sz val="9"/>
            <rFont val="Tahoma"/>
            <family val="2"/>
          </rPr>
          <t xml:space="preserve">
Reported as 2.58</t>
        </r>
      </text>
    </comment>
    <comment ref="W530" authorId="0" shapeId="0" xr:uid="{00000000-0006-0000-0100-0000F9000000}">
      <text>
        <r>
          <rPr>
            <b/>
            <sz val="9"/>
            <rFont val="Tahoma"/>
            <family val="2"/>
          </rPr>
          <t>Author:</t>
        </r>
        <r>
          <rPr>
            <sz val="9"/>
            <rFont val="Tahoma"/>
            <family val="2"/>
          </rPr>
          <t xml:space="preserve">
Reported as .78 - Rounding difference</t>
        </r>
      </text>
    </comment>
    <comment ref="AC530" authorId="0" shapeId="0" xr:uid="{00000000-0006-0000-0100-0000FA000000}">
      <text>
        <r>
          <rPr>
            <b/>
            <sz val="9"/>
            <rFont val="Tahoma"/>
            <family val="2"/>
          </rPr>
          <t>Author:</t>
        </r>
        <r>
          <rPr>
            <sz val="9"/>
            <rFont val="Tahoma"/>
            <family val="2"/>
          </rPr>
          <t xml:space="preserve">
reported 1.03</t>
        </r>
      </text>
    </comment>
    <comment ref="AM530" authorId="0" shapeId="0" xr:uid="{00000000-0006-0000-0100-0000FB000000}">
      <text>
        <r>
          <rPr>
            <b/>
            <sz val="9"/>
            <rFont val="Tahoma"/>
            <family val="2"/>
          </rPr>
          <t>Author:</t>
        </r>
        <r>
          <rPr>
            <sz val="9"/>
            <rFont val="Tahoma"/>
            <family val="2"/>
          </rPr>
          <t xml:space="preserve">
Reported as $1.38</t>
        </r>
      </text>
    </comment>
    <comment ref="AN530" authorId="0" shapeId="0" xr:uid="{00000000-0006-0000-0100-0000FC000000}">
      <text>
        <r>
          <rPr>
            <b/>
            <sz val="9"/>
            <rFont val="Tahoma"/>
            <family val="2"/>
          </rPr>
          <t>Author:</t>
        </r>
        <r>
          <rPr>
            <sz val="9"/>
            <rFont val="Tahoma"/>
            <family val="2"/>
          </rPr>
          <t xml:space="preserve">
Reported as $(3.51)</t>
        </r>
      </text>
    </comment>
    <comment ref="AQ530" authorId="0" shapeId="0" xr:uid="{00000000-0006-0000-0100-0000FD000000}">
      <text>
        <r>
          <rPr>
            <b/>
            <sz val="9"/>
            <rFont val="Tahoma"/>
            <family val="2"/>
          </rPr>
          <t>Author:</t>
        </r>
        <r>
          <rPr>
            <sz val="9"/>
            <rFont val="Tahoma"/>
            <family val="2"/>
          </rPr>
          <t xml:space="preserve">
Reported as $(4.44). Numerator and denominator are as reported</t>
        </r>
      </text>
    </comment>
    <comment ref="AR530" authorId="0" shapeId="0" xr:uid="{00000000-0006-0000-0100-0000FE000000}">
      <text>
        <r>
          <rPr>
            <b/>
            <sz val="9"/>
            <rFont val="Tahoma"/>
            <family val="2"/>
          </rPr>
          <t>Author:</t>
        </r>
        <r>
          <rPr>
            <sz val="9"/>
            <rFont val="Tahoma"/>
            <family val="2"/>
          </rPr>
          <t xml:space="preserve">
Reported as $(0.12)</t>
        </r>
      </text>
    </comment>
    <comment ref="AS530" authorId="0" shapeId="0" xr:uid="{00000000-0006-0000-0100-0000FF000000}">
      <text>
        <r>
          <rPr>
            <b/>
            <sz val="9"/>
            <rFont val="Tahoma"/>
            <family val="2"/>
          </rPr>
          <t>Author:</t>
        </r>
        <r>
          <rPr>
            <sz val="9"/>
            <rFont val="Tahoma"/>
            <family val="2"/>
          </rPr>
          <t xml:space="preserve">
Reported as $(0.33)</t>
        </r>
      </text>
    </comment>
    <comment ref="AX530" authorId="0" shapeId="0" xr:uid="{00000000-0006-0000-0100-000000010000}">
      <text>
        <r>
          <rPr>
            <b/>
            <sz val="9"/>
            <rFont val="Tahoma"/>
            <family val="2"/>
          </rPr>
          <t>Author:</t>
        </r>
        <r>
          <rPr>
            <sz val="9"/>
            <rFont val="Tahoma"/>
            <family val="2"/>
          </rPr>
          <t xml:space="preserve">
reported as $2.63</t>
        </r>
      </text>
    </comment>
    <comment ref="AY530" authorId="0" shapeId="0" xr:uid="{00000000-0006-0000-0100-000001010000}">
      <text>
        <r>
          <rPr>
            <b/>
            <sz val="9"/>
            <rFont val="Tahoma"/>
            <family val="2"/>
          </rPr>
          <t>Author:</t>
        </r>
        <r>
          <rPr>
            <sz val="9"/>
            <rFont val="Tahoma"/>
            <family val="2"/>
          </rPr>
          <t xml:space="preserve">
reported as $8.15</t>
        </r>
      </text>
    </comment>
    <comment ref="BA530" authorId="0" shapeId="0" xr:uid="{00000000-0006-0000-0100-000002010000}">
      <text>
        <r>
          <rPr>
            <b/>
            <sz val="9"/>
            <rFont val="Tahoma"/>
            <family val="2"/>
          </rPr>
          <t>Author:</t>
        </r>
        <r>
          <rPr>
            <sz val="9"/>
            <rFont val="Tahoma"/>
            <family val="2"/>
          </rPr>
          <t xml:space="preserve">
Reported 5.98</t>
        </r>
      </text>
    </comment>
    <comment ref="BC530" authorId="0" shapeId="0" xr:uid="{00000000-0006-0000-0100-000003010000}">
      <text>
        <r>
          <rPr>
            <b/>
            <sz val="9"/>
            <rFont val="Tahoma"/>
            <family val="2"/>
          </rPr>
          <t>Author:</t>
        </r>
        <r>
          <rPr>
            <sz val="9"/>
            <rFont val="Tahoma"/>
            <family val="2"/>
          </rPr>
          <t xml:space="preserve">
Reported as $ 3.34</t>
        </r>
      </text>
    </comment>
    <comment ref="BG530" authorId="0" shapeId="0" xr:uid="{00000000-0006-0000-0100-000004010000}">
      <text>
        <r>
          <rPr>
            <b/>
            <sz val="9"/>
            <rFont val="Tahoma"/>
            <family val="2"/>
          </rPr>
          <t>Author:</t>
        </r>
        <r>
          <rPr>
            <sz val="9"/>
            <rFont val="Tahoma"/>
            <family val="2"/>
          </rPr>
          <t xml:space="preserve">
Reported as $3.48</t>
        </r>
      </text>
    </comment>
    <comment ref="BH530" authorId="0" shapeId="0" xr:uid="{00000000-0006-0000-0100-000005010000}">
      <text>
        <r>
          <rPr>
            <b/>
            <sz val="9"/>
            <rFont val="Tahoma"/>
            <family val="2"/>
          </rPr>
          <t>Author:</t>
        </r>
        <r>
          <rPr>
            <sz val="9"/>
            <rFont val="Tahoma"/>
            <family val="2"/>
          </rPr>
          <t xml:space="preserve">
reported as 1.23</t>
        </r>
      </text>
    </comment>
    <comment ref="BM530" authorId="1" shapeId="0" xr:uid="{00000000-0006-0000-0100-000006010000}">
      <text>
        <r>
          <rPr>
            <b/>
            <sz val="9"/>
            <rFont val="Tahoma"/>
            <family val="2"/>
          </rPr>
          <t>Author:</t>
        </r>
        <r>
          <rPr>
            <sz val="9"/>
            <rFont val="Tahoma"/>
            <family val="2"/>
          </rPr>
          <t xml:space="preserve">
Reported as 1.85</t>
        </r>
      </text>
    </comment>
    <comment ref="I531" authorId="0" shapeId="0" xr:uid="{00000000-0006-0000-0100-000007010000}">
      <text>
        <r>
          <rPr>
            <b/>
            <sz val="9"/>
            <rFont val="Tahoma"/>
            <family val="2"/>
          </rPr>
          <t>Author:</t>
        </r>
        <r>
          <rPr>
            <sz val="9"/>
            <rFont val="Tahoma"/>
            <family val="2"/>
          </rPr>
          <t xml:space="preserve">
Reported as 2.57 </t>
        </r>
      </text>
    </comment>
    <comment ref="W531" authorId="0" shapeId="0" xr:uid="{00000000-0006-0000-0100-000008010000}">
      <text>
        <r>
          <rPr>
            <b/>
            <sz val="9"/>
            <rFont val="Tahoma"/>
            <family val="2"/>
          </rPr>
          <t>Author:</t>
        </r>
        <r>
          <rPr>
            <sz val="9"/>
            <rFont val="Tahoma"/>
            <family val="2"/>
          </rPr>
          <t xml:space="preserve">
Reported as .78 - Rounding difference</t>
        </r>
      </text>
    </comment>
    <comment ref="AA531" authorId="0" shapeId="0" xr:uid="{00000000-0006-0000-0100-000009010000}">
      <text>
        <r>
          <rPr>
            <b/>
            <sz val="9"/>
            <rFont val="Tahoma"/>
            <family val="2"/>
          </rPr>
          <t>Author:</t>
        </r>
        <r>
          <rPr>
            <sz val="9"/>
            <rFont val="Tahoma"/>
            <family val="2"/>
          </rPr>
          <t xml:space="preserve">
Reported as $1.41</t>
        </r>
      </text>
    </comment>
    <comment ref="AD531" authorId="0" shapeId="0" xr:uid="{00000000-0006-0000-0100-00000A010000}">
      <text>
        <r>
          <rPr>
            <b/>
            <sz val="9"/>
            <rFont val="Tahoma"/>
            <family val="2"/>
          </rPr>
          <t>Author:</t>
        </r>
        <r>
          <rPr>
            <sz val="9"/>
            <rFont val="Tahoma"/>
            <family val="2"/>
          </rPr>
          <t xml:space="preserve">
Reported as 1.64</t>
        </r>
      </text>
    </comment>
    <comment ref="AI531" authorId="0" shapeId="0" xr:uid="{00000000-0006-0000-0100-00000B010000}">
      <text>
        <r>
          <rPr>
            <b/>
            <sz val="9"/>
            <rFont val="Tahoma"/>
            <family val="2"/>
          </rPr>
          <t>Author:</t>
        </r>
        <r>
          <rPr>
            <sz val="9"/>
            <rFont val="Tahoma"/>
            <family val="2"/>
          </rPr>
          <t xml:space="preserve">
Reported as $1.95</t>
        </r>
      </text>
    </comment>
    <comment ref="AL531" authorId="0" shapeId="0" xr:uid="{00000000-0006-0000-0100-00000C010000}">
      <text>
        <r>
          <rPr>
            <b/>
            <sz val="9"/>
            <rFont val="Tahoma"/>
            <family val="2"/>
          </rPr>
          <t>Author:</t>
        </r>
        <r>
          <rPr>
            <sz val="9"/>
            <rFont val="Tahoma"/>
            <family val="2"/>
          </rPr>
          <t xml:space="preserve">
Reported as $ 2.27</t>
        </r>
      </text>
    </comment>
    <comment ref="AN531" authorId="0" shapeId="0" xr:uid="{00000000-0006-0000-0100-00000D010000}">
      <text>
        <r>
          <rPr>
            <b/>
            <sz val="9"/>
            <rFont val="Tahoma"/>
            <family val="2"/>
          </rPr>
          <t>Author:</t>
        </r>
        <r>
          <rPr>
            <sz val="9"/>
            <rFont val="Tahoma"/>
            <family val="2"/>
          </rPr>
          <t xml:space="preserve">
Reported as $(3.51)</t>
        </r>
      </text>
    </comment>
    <comment ref="AQ531" authorId="0" shapeId="0" xr:uid="{00000000-0006-0000-0100-00000E010000}">
      <text>
        <r>
          <rPr>
            <b/>
            <sz val="9"/>
            <rFont val="Tahoma"/>
            <family val="2"/>
          </rPr>
          <t>Author:</t>
        </r>
        <r>
          <rPr>
            <sz val="9"/>
            <rFont val="Tahoma"/>
            <family val="2"/>
          </rPr>
          <t xml:space="preserve">
Reported as $(4.44). Numerator and denominator are as reported</t>
        </r>
      </text>
    </comment>
    <comment ref="AR531" authorId="0" shapeId="0" xr:uid="{00000000-0006-0000-0100-00000F010000}">
      <text>
        <r>
          <rPr>
            <b/>
            <sz val="9"/>
            <rFont val="Tahoma"/>
            <family val="2"/>
          </rPr>
          <t>Author:</t>
        </r>
        <r>
          <rPr>
            <sz val="9"/>
            <rFont val="Tahoma"/>
            <family val="2"/>
          </rPr>
          <t xml:space="preserve">
Reported as $(0.12)</t>
        </r>
      </text>
    </comment>
    <comment ref="AS531" authorId="0" shapeId="0" xr:uid="{00000000-0006-0000-0100-000010010000}">
      <text>
        <r>
          <rPr>
            <b/>
            <sz val="9"/>
            <rFont val="Tahoma"/>
            <family val="2"/>
          </rPr>
          <t>Author:</t>
        </r>
        <r>
          <rPr>
            <sz val="9"/>
            <rFont val="Tahoma"/>
            <family val="2"/>
          </rPr>
          <t xml:space="preserve">
Reported as $(0.33)</t>
        </r>
      </text>
    </comment>
    <comment ref="AW531" authorId="0" shapeId="0" xr:uid="{00000000-0006-0000-0100-000011010000}">
      <text>
        <r>
          <rPr>
            <b/>
            <sz val="9"/>
            <rFont val="Tahoma"/>
            <family val="2"/>
          </rPr>
          <t>Author:</t>
        </r>
        <r>
          <rPr>
            <sz val="9"/>
            <rFont val="Tahoma"/>
            <family val="2"/>
          </rPr>
          <t xml:space="preserve">
reported as $3.19</t>
        </r>
      </text>
    </comment>
    <comment ref="BA531" authorId="0" shapeId="0" xr:uid="{00000000-0006-0000-0100-000012010000}">
      <text>
        <r>
          <rPr>
            <b/>
            <sz val="9"/>
            <rFont val="Tahoma"/>
            <family val="2"/>
          </rPr>
          <t>Author:</t>
        </r>
        <r>
          <rPr>
            <sz val="9"/>
            <rFont val="Tahoma"/>
            <family val="2"/>
          </rPr>
          <t xml:space="preserve">
Reported 5.95</t>
        </r>
      </text>
    </comment>
    <comment ref="BB531" authorId="0" shapeId="0" xr:uid="{00000000-0006-0000-0100-000013010000}">
      <text>
        <r>
          <rPr>
            <b/>
            <sz val="9"/>
            <rFont val="Tahoma"/>
            <family val="2"/>
          </rPr>
          <t>Author:</t>
        </r>
        <r>
          <rPr>
            <sz val="9"/>
            <rFont val="Tahoma"/>
            <family val="2"/>
          </rPr>
          <t xml:space="preserve">
reported 5.78</t>
        </r>
      </text>
    </comment>
    <comment ref="BC531" authorId="0" shapeId="0" xr:uid="{00000000-0006-0000-0100-000014010000}">
      <text>
        <r>
          <rPr>
            <b/>
            <sz val="9"/>
            <rFont val="Tahoma"/>
            <family val="2"/>
          </rPr>
          <t>Author:</t>
        </r>
        <r>
          <rPr>
            <sz val="9"/>
            <rFont val="Tahoma"/>
            <family val="2"/>
          </rPr>
          <t xml:space="preserve">
Reported as $ 3.33</t>
        </r>
      </text>
    </comment>
    <comment ref="BH531" authorId="0" shapeId="0" xr:uid="{00000000-0006-0000-0100-000015010000}">
      <text>
        <r>
          <rPr>
            <b/>
            <sz val="9"/>
            <rFont val="Tahoma"/>
            <family val="2"/>
          </rPr>
          <t>Author:</t>
        </r>
        <r>
          <rPr>
            <sz val="9"/>
            <rFont val="Tahoma"/>
            <family val="2"/>
          </rPr>
          <t xml:space="preserve">
reported as 1.22</t>
        </r>
      </text>
    </comment>
    <comment ref="BK531" authorId="1" shapeId="0" xr:uid="{00000000-0006-0000-0100-000016010000}">
      <text>
        <r>
          <rPr>
            <b/>
            <sz val="9"/>
            <rFont val="Tahoma"/>
            <family val="2"/>
          </rPr>
          <t>Author:</t>
        </r>
        <r>
          <rPr>
            <sz val="9"/>
            <rFont val="Tahoma"/>
            <family val="2"/>
          </rPr>
          <t xml:space="preserve">
Reported as 2.43</t>
        </r>
      </text>
    </comment>
    <comment ref="BM531" authorId="1" shapeId="0" xr:uid="{00000000-0006-0000-0100-000017010000}">
      <text>
        <r>
          <rPr>
            <b/>
            <sz val="9"/>
            <rFont val="Tahoma"/>
            <family val="2"/>
          </rPr>
          <t>Author:</t>
        </r>
        <r>
          <rPr>
            <sz val="9"/>
            <rFont val="Tahoma"/>
            <family val="2"/>
          </rPr>
          <t xml:space="preserve">
Reported as 1.84</t>
        </r>
      </text>
    </comment>
    <comment ref="BP531" authorId="5" shapeId="0" xr:uid="{00000000-0006-0000-0100-000018010000}">
      <text>
        <r>
          <rPr>
            <b/>
            <sz val="9"/>
            <rFont val="Tahoma"/>
            <family val="2"/>
          </rPr>
          <t>Author:</t>
        </r>
        <r>
          <rPr>
            <sz val="9"/>
            <rFont val="Tahoma"/>
            <family val="2"/>
          </rPr>
          <t xml:space="preserve">
reported as $1.45</t>
        </r>
      </text>
    </comment>
    <comment ref="AQ532" authorId="0" shapeId="0" xr:uid="{00000000-0006-0000-0100-000019010000}">
      <text>
        <r>
          <rPr>
            <b/>
            <sz val="9"/>
            <rFont val="Tahoma"/>
            <family val="2"/>
          </rPr>
          <t>Author:</t>
        </r>
        <r>
          <rPr>
            <sz val="9"/>
            <rFont val="Tahoma"/>
            <family val="2"/>
          </rPr>
          <t xml:space="preserve">
Reported as $(1.59)</t>
        </r>
      </text>
    </comment>
    <comment ref="AV532" authorId="0" shapeId="0" xr:uid="{00000000-0006-0000-0100-00001A010000}">
      <text>
        <r>
          <rPr>
            <b/>
            <sz val="9"/>
            <rFont val="Tahoma"/>
            <family val="2"/>
          </rPr>
          <t>Author:</t>
        </r>
        <r>
          <rPr>
            <sz val="9"/>
            <rFont val="Tahoma"/>
            <family val="2"/>
          </rPr>
          <t xml:space="preserve">
Reported as $1.71</t>
        </r>
      </text>
    </comment>
    <comment ref="BA532" authorId="0" shapeId="0" xr:uid="{00000000-0006-0000-0100-00001B010000}">
      <text>
        <r>
          <rPr>
            <b/>
            <sz val="9"/>
            <rFont val="Tahoma"/>
            <family val="2"/>
          </rPr>
          <t>Author:</t>
        </r>
        <r>
          <rPr>
            <sz val="9"/>
            <rFont val="Tahoma"/>
            <family val="2"/>
          </rPr>
          <t xml:space="preserve">
Reported 5.82</t>
        </r>
      </text>
    </comment>
    <comment ref="BM532" authorId="1" shapeId="0" xr:uid="{00000000-0006-0000-0100-00001C010000}">
      <text>
        <r>
          <rPr>
            <b/>
            <sz val="9"/>
            <rFont val="Tahoma"/>
            <family val="2"/>
          </rPr>
          <t>Author:</t>
        </r>
        <r>
          <rPr>
            <sz val="9"/>
            <rFont val="Tahoma"/>
            <family val="2"/>
          </rPr>
          <t xml:space="preserve">
Reported as 2.06</t>
        </r>
      </text>
    </comment>
    <comment ref="BQ532" authorId="1" shapeId="0" xr:uid="{00000000-0006-0000-0100-00001D010000}">
      <text>
        <r>
          <rPr>
            <b/>
            <sz val="9"/>
            <rFont val="Tahoma"/>
            <family val="2"/>
          </rPr>
          <t>Author:</t>
        </r>
        <r>
          <rPr>
            <sz val="9"/>
            <rFont val="Tahoma"/>
            <family val="2"/>
          </rPr>
          <t xml:space="preserve">
Reported as 1.85</t>
        </r>
      </text>
    </comment>
    <comment ref="C542" authorId="0" shapeId="0" xr:uid="{00000000-0006-0000-0100-00001F010000}">
      <text>
        <r>
          <rPr>
            <b/>
            <sz val="9"/>
            <rFont val="Tahoma"/>
            <family val="2"/>
          </rPr>
          <t>Author:</t>
        </r>
        <r>
          <rPr>
            <sz val="9"/>
            <rFont val="Tahoma"/>
            <family val="2"/>
          </rPr>
          <t xml:space="preserve">
Calculated.</t>
        </r>
      </text>
    </comment>
    <comment ref="D542" authorId="0" shapeId="0" xr:uid="{00000000-0006-0000-0100-000020010000}">
      <text>
        <r>
          <rPr>
            <b/>
            <sz val="9"/>
            <rFont val="Tahoma"/>
            <family val="2"/>
          </rPr>
          <t>Author:</t>
        </r>
        <r>
          <rPr>
            <sz val="9"/>
            <rFont val="Tahoma"/>
            <family val="2"/>
          </rPr>
          <t xml:space="preserve">
Calculated.</t>
        </r>
      </text>
    </comment>
    <comment ref="E542" authorId="0" shapeId="0" xr:uid="{00000000-0006-0000-0100-000021010000}">
      <text>
        <r>
          <rPr>
            <b/>
            <sz val="9"/>
            <rFont val="Tahoma"/>
            <family val="2"/>
          </rPr>
          <t>Author:</t>
        </r>
        <r>
          <rPr>
            <sz val="9"/>
            <rFont val="Tahoma"/>
            <family val="2"/>
          </rPr>
          <t xml:space="preserve">
Calculated.</t>
        </r>
      </text>
    </comment>
    <comment ref="F542" authorId="0" shapeId="0" xr:uid="{00000000-0006-0000-0100-000022010000}">
      <text>
        <r>
          <rPr>
            <b/>
            <sz val="9"/>
            <rFont val="Tahoma"/>
            <family val="2"/>
          </rPr>
          <t>Author:</t>
        </r>
        <r>
          <rPr>
            <sz val="9"/>
            <rFont val="Tahoma"/>
            <family val="2"/>
          </rPr>
          <t xml:space="preserve">
Calculated.</t>
        </r>
      </text>
    </comment>
    <comment ref="G542" authorId="0" shapeId="0" xr:uid="{00000000-0006-0000-0100-000023010000}">
      <text>
        <r>
          <rPr>
            <b/>
            <sz val="9"/>
            <rFont val="Tahoma"/>
            <family val="2"/>
          </rPr>
          <t>Author:</t>
        </r>
        <r>
          <rPr>
            <sz val="9"/>
            <rFont val="Tahoma"/>
            <family val="2"/>
          </rPr>
          <t xml:space="preserve">
Calculated.</t>
        </r>
      </text>
    </comment>
    <comment ref="H542" authorId="0" shapeId="0" xr:uid="{00000000-0006-0000-0100-000024010000}">
      <text>
        <r>
          <rPr>
            <b/>
            <sz val="9"/>
            <rFont val="Tahoma"/>
            <family val="2"/>
          </rPr>
          <t>Author:</t>
        </r>
        <r>
          <rPr>
            <sz val="9"/>
            <rFont val="Tahoma"/>
            <family val="2"/>
          </rPr>
          <t xml:space="preserve">
Calculated.</t>
        </r>
      </text>
    </comment>
    <comment ref="I542" authorId="0" shapeId="0" xr:uid="{00000000-0006-0000-0100-000025010000}">
      <text>
        <r>
          <rPr>
            <b/>
            <sz val="9"/>
            <rFont val="Tahoma"/>
            <family val="2"/>
          </rPr>
          <t>Author:</t>
        </r>
        <r>
          <rPr>
            <sz val="9"/>
            <rFont val="Tahoma"/>
            <family val="2"/>
          </rPr>
          <t xml:space="preserve">
Calculated.</t>
        </r>
      </text>
    </comment>
    <comment ref="J542" authorId="0" shapeId="0" xr:uid="{00000000-0006-0000-0100-000026010000}">
      <text>
        <r>
          <rPr>
            <b/>
            <sz val="9"/>
            <rFont val="Tahoma"/>
            <family val="2"/>
          </rPr>
          <t>Author:</t>
        </r>
        <r>
          <rPr>
            <sz val="9"/>
            <rFont val="Tahoma"/>
            <family val="2"/>
          </rPr>
          <t xml:space="preserve">
Calculated.</t>
        </r>
      </text>
    </comment>
    <comment ref="K542" authorId="0" shapeId="0" xr:uid="{00000000-0006-0000-0100-000027010000}">
      <text>
        <r>
          <rPr>
            <b/>
            <sz val="9"/>
            <rFont val="Tahoma"/>
            <family val="2"/>
          </rPr>
          <t>Author:</t>
        </r>
        <r>
          <rPr>
            <sz val="9"/>
            <rFont val="Tahoma"/>
            <family val="2"/>
          </rPr>
          <t xml:space="preserve">
Calculated.</t>
        </r>
      </text>
    </comment>
    <comment ref="L542" authorId="0" shapeId="0" xr:uid="{00000000-0006-0000-0100-000028010000}">
      <text>
        <r>
          <rPr>
            <b/>
            <sz val="9"/>
            <rFont val="Tahoma"/>
            <family val="2"/>
          </rPr>
          <t>Author:</t>
        </r>
        <r>
          <rPr>
            <sz val="9"/>
            <rFont val="Tahoma"/>
            <family val="2"/>
          </rPr>
          <t xml:space="preserve">
Calculated.</t>
        </r>
      </text>
    </comment>
    <comment ref="M542" authorId="0" shapeId="0" xr:uid="{00000000-0006-0000-0100-000029010000}">
      <text>
        <r>
          <rPr>
            <b/>
            <sz val="9"/>
            <rFont val="Tahoma"/>
            <family val="2"/>
          </rPr>
          <t>Author:</t>
        </r>
        <r>
          <rPr>
            <sz val="9"/>
            <rFont val="Tahoma"/>
            <family val="2"/>
          </rPr>
          <t xml:space="preserve">
Calculated.</t>
        </r>
      </text>
    </comment>
    <comment ref="N542" authorId="0" shapeId="0" xr:uid="{00000000-0006-0000-0100-00002A010000}">
      <text>
        <r>
          <rPr>
            <b/>
            <sz val="9"/>
            <rFont val="Tahoma"/>
            <family val="2"/>
          </rPr>
          <t>Author:</t>
        </r>
        <r>
          <rPr>
            <sz val="9"/>
            <rFont val="Tahoma"/>
            <family val="2"/>
          </rPr>
          <t xml:space="preserve">
Calculated.</t>
        </r>
      </text>
    </comment>
    <comment ref="O542" authorId="0" shapeId="0" xr:uid="{00000000-0006-0000-0100-00002B010000}">
      <text>
        <r>
          <rPr>
            <b/>
            <sz val="9"/>
            <rFont val="Tahoma"/>
            <family val="2"/>
          </rPr>
          <t>Author:</t>
        </r>
        <r>
          <rPr>
            <sz val="9"/>
            <rFont val="Tahoma"/>
            <family val="2"/>
          </rPr>
          <t xml:space="preserve">
Calculated.</t>
        </r>
      </text>
    </comment>
    <comment ref="P542" authorId="0" shapeId="0" xr:uid="{00000000-0006-0000-0100-00002C010000}">
      <text>
        <r>
          <rPr>
            <b/>
            <sz val="9"/>
            <rFont val="Tahoma"/>
            <family val="2"/>
          </rPr>
          <t>Author:</t>
        </r>
        <r>
          <rPr>
            <sz val="9"/>
            <rFont val="Tahoma"/>
            <family val="2"/>
          </rPr>
          <t xml:space="preserve">
Calculated.</t>
        </r>
      </text>
    </comment>
    <comment ref="Q542" authorId="0" shapeId="0" xr:uid="{00000000-0006-0000-0100-00002D010000}">
      <text>
        <r>
          <rPr>
            <b/>
            <sz val="9"/>
            <rFont val="Tahoma"/>
            <family val="2"/>
          </rPr>
          <t>Author:</t>
        </r>
        <r>
          <rPr>
            <sz val="9"/>
            <rFont val="Tahoma"/>
            <family val="2"/>
          </rPr>
          <t xml:space="preserve">
Calculated.</t>
        </r>
      </text>
    </comment>
    <comment ref="R542" authorId="0" shapeId="0" xr:uid="{00000000-0006-0000-0100-00002E010000}">
      <text>
        <r>
          <rPr>
            <b/>
            <sz val="9"/>
            <rFont val="Tahoma"/>
            <family val="2"/>
          </rPr>
          <t>Author:</t>
        </r>
        <r>
          <rPr>
            <sz val="9"/>
            <rFont val="Tahoma"/>
            <family val="2"/>
          </rPr>
          <t xml:space="preserve">
Calculated.</t>
        </r>
      </text>
    </comment>
    <comment ref="S542" authorId="0" shapeId="0" xr:uid="{00000000-0006-0000-0100-00002F010000}">
      <text>
        <r>
          <rPr>
            <b/>
            <sz val="9"/>
            <rFont val="Tahoma"/>
            <family val="2"/>
          </rPr>
          <t>Author:</t>
        </r>
        <r>
          <rPr>
            <sz val="9"/>
            <rFont val="Tahoma"/>
            <family val="2"/>
          </rPr>
          <t xml:space="preserve">
Calculated.</t>
        </r>
      </text>
    </comment>
    <comment ref="T542" authorId="0" shapeId="0" xr:uid="{00000000-0006-0000-0100-000030010000}">
      <text>
        <r>
          <rPr>
            <b/>
            <sz val="9"/>
            <rFont val="Tahoma"/>
            <family val="2"/>
          </rPr>
          <t>Author:</t>
        </r>
        <r>
          <rPr>
            <sz val="9"/>
            <rFont val="Tahoma"/>
            <family val="2"/>
          </rPr>
          <t xml:space="preserve">
Calculated.</t>
        </r>
      </text>
    </comment>
    <comment ref="U542" authorId="0" shapeId="0" xr:uid="{00000000-0006-0000-0100-000031010000}">
      <text>
        <r>
          <rPr>
            <b/>
            <sz val="9"/>
            <rFont val="Tahoma"/>
            <family val="2"/>
          </rPr>
          <t>Author:</t>
        </r>
        <r>
          <rPr>
            <sz val="9"/>
            <rFont val="Tahoma"/>
            <family val="2"/>
          </rPr>
          <t xml:space="preserve">
Calculated.</t>
        </r>
      </text>
    </comment>
    <comment ref="V542" authorId="0" shapeId="0" xr:uid="{00000000-0006-0000-0100-000032010000}">
      <text>
        <r>
          <rPr>
            <b/>
            <sz val="9"/>
            <rFont val="Tahoma"/>
            <family val="2"/>
          </rPr>
          <t>Author:</t>
        </r>
        <r>
          <rPr>
            <sz val="9"/>
            <rFont val="Tahoma"/>
            <family val="2"/>
          </rPr>
          <t xml:space="preserve">
Calculated.</t>
        </r>
      </text>
    </comment>
    <comment ref="W542" authorId="0" shapeId="0" xr:uid="{00000000-0006-0000-0100-000033010000}">
      <text>
        <r>
          <rPr>
            <b/>
            <sz val="9"/>
            <rFont val="Tahoma"/>
            <family val="2"/>
          </rPr>
          <t>Author:</t>
        </r>
        <r>
          <rPr>
            <sz val="9"/>
            <rFont val="Tahoma"/>
            <family val="2"/>
          </rPr>
          <t xml:space="preserve">
Calculated.</t>
        </r>
      </text>
    </comment>
    <comment ref="X542" authorId="0" shapeId="0" xr:uid="{00000000-0006-0000-0100-000034010000}">
      <text>
        <r>
          <rPr>
            <b/>
            <sz val="9"/>
            <rFont val="Tahoma"/>
            <family val="2"/>
          </rPr>
          <t>Author:</t>
        </r>
        <r>
          <rPr>
            <sz val="9"/>
            <rFont val="Tahoma"/>
            <family val="2"/>
          </rPr>
          <t xml:space="preserve">
Calculated.</t>
        </r>
      </text>
    </comment>
    <comment ref="Y542" authorId="0" shapeId="0" xr:uid="{00000000-0006-0000-0100-000035010000}">
      <text>
        <r>
          <rPr>
            <b/>
            <sz val="9"/>
            <rFont val="Tahoma"/>
            <family val="2"/>
          </rPr>
          <t>Author:</t>
        </r>
        <r>
          <rPr>
            <sz val="9"/>
            <rFont val="Tahoma"/>
            <family val="2"/>
          </rPr>
          <t xml:space="preserve">
Calculated.</t>
        </r>
      </text>
    </comment>
    <comment ref="Z542" authorId="0" shapeId="0" xr:uid="{00000000-0006-0000-0100-000036010000}">
      <text>
        <r>
          <rPr>
            <b/>
            <sz val="9"/>
            <rFont val="Tahoma"/>
            <family val="2"/>
          </rPr>
          <t>Author:</t>
        </r>
        <r>
          <rPr>
            <sz val="9"/>
            <rFont val="Tahoma"/>
            <family val="2"/>
          </rPr>
          <t xml:space="preserve">
Calculated.</t>
        </r>
      </text>
    </comment>
    <comment ref="AA542" authorId="0" shapeId="0" xr:uid="{00000000-0006-0000-0100-000037010000}">
      <text>
        <r>
          <rPr>
            <b/>
            <sz val="9"/>
            <rFont val="Tahoma"/>
            <family val="2"/>
          </rPr>
          <t>Author:</t>
        </r>
        <r>
          <rPr>
            <sz val="9"/>
            <rFont val="Tahoma"/>
            <family val="2"/>
          </rPr>
          <t xml:space="preserve">
Calculated.</t>
        </r>
      </text>
    </comment>
    <comment ref="AB542" authorId="0" shapeId="0" xr:uid="{00000000-0006-0000-0100-000038010000}">
      <text>
        <r>
          <rPr>
            <b/>
            <sz val="9"/>
            <rFont val="Tahoma"/>
            <family val="2"/>
          </rPr>
          <t>Author:</t>
        </r>
        <r>
          <rPr>
            <sz val="9"/>
            <rFont val="Tahoma"/>
            <family val="2"/>
          </rPr>
          <t xml:space="preserve">
Calculated.</t>
        </r>
      </text>
    </comment>
    <comment ref="AC542" authorId="0" shapeId="0" xr:uid="{00000000-0006-0000-0100-000039010000}">
      <text>
        <r>
          <rPr>
            <b/>
            <sz val="9"/>
            <rFont val="Tahoma"/>
            <family val="2"/>
          </rPr>
          <t>Author:</t>
        </r>
        <r>
          <rPr>
            <sz val="9"/>
            <rFont val="Tahoma"/>
            <family val="2"/>
          </rPr>
          <t xml:space="preserve">
Calculated.</t>
        </r>
      </text>
    </comment>
    <comment ref="AD542" authorId="0" shapeId="0" xr:uid="{00000000-0006-0000-0100-00003A010000}">
      <text>
        <r>
          <rPr>
            <b/>
            <sz val="9"/>
            <rFont val="Tahoma"/>
            <family val="2"/>
          </rPr>
          <t>Author:</t>
        </r>
        <r>
          <rPr>
            <sz val="9"/>
            <rFont val="Tahoma"/>
            <family val="2"/>
          </rPr>
          <t xml:space="preserve">
Calculated.</t>
        </r>
      </text>
    </comment>
    <comment ref="AE542" authorId="0" shapeId="0" xr:uid="{00000000-0006-0000-0100-00003B010000}">
      <text>
        <r>
          <rPr>
            <b/>
            <sz val="9"/>
            <rFont val="Tahoma"/>
            <family val="2"/>
          </rPr>
          <t>Author:</t>
        </r>
        <r>
          <rPr>
            <sz val="9"/>
            <rFont val="Tahoma"/>
            <family val="2"/>
          </rPr>
          <t xml:space="preserve">
Calculated.</t>
        </r>
      </text>
    </comment>
    <comment ref="AF542" authorId="0" shapeId="0" xr:uid="{00000000-0006-0000-0100-00003C010000}">
      <text>
        <r>
          <rPr>
            <b/>
            <sz val="9"/>
            <rFont val="Tahoma"/>
            <family val="2"/>
          </rPr>
          <t>Author:</t>
        </r>
        <r>
          <rPr>
            <sz val="9"/>
            <rFont val="Tahoma"/>
            <family val="2"/>
          </rPr>
          <t xml:space="preserve">
Calculated.</t>
        </r>
      </text>
    </comment>
    <comment ref="AG542" authorId="0" shapeId="0" xr:uid="{00000000-0006-0000-0100-00003D010000}">
      <text>
        <r>
          <rPr>
            <b/>
            <sz val="9"/>
            <rFont val="Tahoma"/>
            <family val="2"/>
          </rPr>
          <t>Author:</t>
        </r>
        <r>
          <rPr>
            <sz val="9"/>
            <rFont val="Tahoma"/>
            <family val="2"/>
          </rPr>
          <t xml:space="preserve">
Calculated.</t>
        </r>
      </text>
    </comment>
    <comment ref="AH542" authorId="0" shapeId="0" xr:uid="{00000000-0006-0000-0100-00003E010000}">
      <text>
        <r>
          <rPr>
            <b/>
            <sz val="9"/>
            <rFont val="Tahoma"/>
            <family val="2"/>
          </rPr>
          <t>Author:</t>
        </r>
        <r>
          <rPr>
            <sz val="9"/>
            <rFont val="Tahoma"/>
            <family val="2"/>
          </rPr>
          <t xml:space="preserve">
Calculated.</t>
        </r>
      </text>
    </comment>
    <comment ref="AI542" authorId="0" shapeId="0" xr:uid="{00000000-0006-0000-0100-00003F010000}">
      <text>
        <r>
          <rPr>
            <b/>
            <sz val="9"/>
            <rFont val="Tahoma"/>
            <family val="2"/>
          </rPr>
          <t>Author:</t>
        </r>
        <r>
          <rPr>
            <sz val="9"/>
            <rFont val="Tahoma"/>
            <family val="2"/>
          </rPr>
          <t xml:space="preserve">
Calculated.</t>
        </r>
      </text>
    </comment>
    <comment ref="AJ542" authorId="0" shapeId="0" xr:uid="{00000000-0006-0000-0100-000040010000}">
      <text>
        <r>
          <rPr>
            <b/>
            <sz val="9"/>
            <rFont val="Tahoma"/>
            <family val="2"/>
          </rPr>
          <t>Author:</t>
        </r>
        <r>
          <rPr>
            <sz val="9"/>
            <rFont val="Tahoma"/>
            <family val="2"/>
          </rPr>
          <t xml:space="preserve">
Calculated.</t>
        </r>
      </text>
    </comment>
    <comment ref="A551" authorId="0" shapeId="0" xr:uid="{00000000-0006-0000-0100-000043010000}">
      <text>
        <r>
          <rPr>
            <b/>
            <sz val="9"/>
            <rFont val="Tahoma"/>
            <family val="2"/>
          </rPr>
          <t>Author:</t>
        </r>
        <r>
          <rPr>
            <sz val="9"/>
            <rFont val="Tahoma"/>
            <family val="2"/>
          </rPr>
          <t xml:space="preserve">
10-Q cover page dates are the same as quarterly EoP dates.</t>
        </r>
      </text>
    </comment>
    <comment ref="A553" authorId="0" shapeId="0" xr:uid="{00000000-0006-0000-0100-000045010000}">
      <text>
        <r>
          <rPr>
            <b/>
            <sz val="9"/>
            <rFont val="Tahoma"/>
            <family val="2"/>
          </rPr>
          <t>Author:</t>
        </r>
        <r>
          <rPr>
            <sz val="9"/>
            <rFont val="Tahoma"/>
            <family val="2"/>
          </rPr>
          <t xml:space="preserve">
In periods where EPS is negative, this amount is calculated using the closest prior period where EPS was positive.</t>
        </r>
      </text>
    </comment>
    <comment ref="AS567" authorId="0" shapeId="0" xr:uid="{00000000-0006-0000-0100-000047010000}">
      <text>
        <r>
          <rPr>
            <b/>
            <sz val="9"/>
            <rFont val="Tahoma"/>
            <family val="2"/>
          </rPr>
          <t>Author:</t>
        </r>
        <r>
          <rPr>
            <sz val="9"/>
            <rFont val="Tahoma"/>
            <family val="2"/>
          </rPr>
          <t xml:space="preserve">
Cash acquired in acquisition of Company1944 Energy</t>
        </r>
      </text>
    </comment>
    <comment ref="BA567" authorId="0" shapeId="0" xr:uid="{00000000-0006-0000-0100-000048010000}">
      <text>
        <r>
          <rPr>
            <b/>
            <sz val="9"/>
            <rFont val="Tahoma"/>
            <family val="2"/>
          </rPr>
          <t>Author:</t>
        </r>
        <r>
          <rPr>
            <sz val="9"/>
            <rFont val="Tahoma"/>
            <family val="2"/>
          </rPr>
          <t xml:space="preserve">
Acquisition of Renewable Energy Group</t>
        </r>
      </text>
    </comment>
    <comment ref="BU568" authorId="6" shapeId="0" xr:uid="{00000000-0006-0000-0100-000049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BV568" authorId="6" shapeId="0" xr:uid="{00000000-0006-0000-0100-00004A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BW568" authorId="6" shapeId="0" xr:uid="{00000000-0006-0000-0100-00004B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BX568" authorId="6" shapeId="0" xr:uid="{00000000-0006-0000-0100-00004C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BY568" authorId="6" shapeId="0" xr:uid="{00000000-0006-0000-0100-00004D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BZ568" authorId="6" shapeId="0" xr:uid="{00000000-0006-0000-0100-00004E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CA568" authorId="6" shapeId="0" xr:uid="{00000000-0006-0000-0100-00004F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CB568" authorId="6" shapeId="0" xr:uid="{00000000-0006-0000-0100-000050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CC568" authorId="6" shapeId="0" xr:uid="{00000000-0006-0000-0100-000051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CD568" authorId="6" shapeId="0" xr:uid="{00000000-0006-0000-0100-000052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CE568" authorId="6" shapeId="0" xr:uid="{00000000-0006-0000-0100-000053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CF568" authorId="6" shapeId="0" xr:uid="{00000000-0006-0000-0100-000054010000}">
      <text>
        <r>
          <rPr>
            <b/>
            <sz val="9"/>
            <rFont val="Tahoma"/>
            <family val="2"/>
          </rPr>
          <t>Author:</t>
        </r>
        <r>
          <rPr>
            <sz val="9"/>
            <rFont val="Tahoma"/>
            <family val="2"/>
          </rPr>
          <t xml:space="preserve">
Per Q3-24 PR: " The company expects to close asset sales in Canada, Congo and Alaska in fourth quarter 2024, as part of its plan to divest $10-15 billion of assets by 2028." Not modelled </t>
        </r>
      </text>
    </comment>
    <comment ref="BL570" authorId="6" shapeId="0" xr:uid="{00000000-0006-0000-0100-000055010000}">
      <text>
        <r>
          <rPr>
            <b/>
            <sz val="9"/>
            <rFont val="Tahoma"/>
            <family val="2"/>
          </rPr>
          <t>Author:</t>
        </r>
        <r>
          <rPr>
            <sz val="9"/>
            <rFont val="Tahoma"/>
            <family val="2"/>
          </rPr>
          <t xml:space="preserve">
quarterly dividend of one dollar and sixty-three cents ($1.63) per share, payable September 10, 2024</t>
        </r>
      </text>
    </comment>
    <comment ref="BU570" authorId="3" shapeId="0" xr:uid="{D22FD5CA-8F0E-4B1D-AEAB-2BBF3D985C65}">
      <text>
        <r>
          <rPr>
            <b/>
            <sz val="9"/>
            <rFont val="Tahoma"/>
            <family val="2"/>
            <charset val="1"/>
          </rPr>
          <t>Author:</t>
        </r>
        <r>
          <rPr>
            <sz val="9"/>
            <rFont val="Tahoma"/>
            <family val="2"/>
            <charset val="1"/>
          </rPr>
          <t xml:space="preserve">
The company’s Board of Directors declared a quarterly dividend of one dollar and seventy-eight cents ($1.78) per share, payable June 10, 2026, to all holders of common stock as shown on the transfer records of the corporation at the close of business on May 19, 2026.</t>
        </r>
      </text>
    </comment>
    <comment ref="A587" authorId="0" shapeId="0" xr:uid="{00000000-0006-0000-0100-000056010000}">
      <text>
        <r>
          <rPr>
            <b/>
            <sz val="9"/>
            <rFont val="Tahoma"/>
            <family val="2"/>
          </rPr>
          <t>Author:</t>
        </r>
        <r>
          <rPr>
            <sz val="9"/>
            <rFont val="Tahoma"/>
            <family val="2"/>
          </rPr>
          <t xml:space="preserve">
Includes restricted cash in non-current assets.</t>
        </r>
      </text>
    </comment>
    <comment ref="BQ648" authorId="7" shapeId="0" xr:uid="{00000000-0006-0000-0100-000058010000}">
      <text>
        <r>
          <rPr>
            <b/>
            <sz val="9"/>
            <rFont val="Tahoma"/>
            <family val="2"/>
            <charset val="1"/>
          </rPr>
          <t>Author:</t>
        </r>
        <r>
          <rPr>
            <sz val="9"/>
            <rFont val="Tahoma"/>
            <family val="2"/>
            <charset val="1"/>
          </rPr>
          <t xml:space="preserve">
Acquisition of Company1245 Company0697 common stock + Acquisition of businesses, net of cash received</t>
        </r>
      </text>
    </comment>
    <comment ref="BS648" authorId="7" shapeId="0" xr:uid="{00000000-0006-0000-0100-000059010000}">
      <text>
        <r>
          <rPr>
            <b/>
            <sz val="9"/>
            <rFont val="Tahoma"/>
            <family val="2"/>
            <charset val="1"/>
          </rPr>
          <t>Author:</t>
        </r>
        <r>
          <rPr>
            <sz val="9"/>
            <rFont val="Tahoma"/>
            <family val="2"/>
            <charset val="1"/>
          </rPr>
          <t xml:space="preserve">
Acquisition of Company1245 Company0697 common stock + Acquisition of businesses, net of cash received</t>
        </r>
      </text>
    </comment>
    <comment ref="AF673" authorId="0" shapeId="0" xr:uid="{00000000-0006-0000-0100-00005B010000}">
      <text>
        <r>
          <rPr>
            <b/>
            <sz val="9"/>
            <rFont val="Tahoma"/>
            <family val="2"/>
          </rPr>
          <t>Author:</t>
        </r>
        <r>
          <rPr>
            <sz val="9"/>
            <rFont val="Tahoma"/>
            <family val="2"/>
          </rPr>
          <t xml:space="preserve">
Hardcoded as reported</t>
        </r>
      </text>
    </comment>
    <comment ref="AS700" authorId="0" shapeId="0" xr:uid="{00000000-0006-0000-0100-000060010000}">
      <text>
        <r>
          <rPr>
            <b/>
            <sz val="9"/>
            <rFont val="Tahoma"/>
            <family val="2"/>
          </rPr>
          <t>Author:</t>
        </r>
        <r>
          <rPr>
            <sz val="9"/>
            <rFont val="Tahoma"/>
            <family val="2"/>
          </rPr>
          <t xml:space="preserve">
Cash acquired in acquisition of Company1944 Energy</t>
        </r>
      </text>
    </comment>
    <comment ref="AF725" authorId="0" shapeId="0" xr:uid="{00000000-0006-0000-0100-000066010000}">
      <text>
        <r>
          <rPr>
            <b/>
            <sz val="9"/>
            <rFont val="Tahoma"/>
            <family val="2"/>
          </rPr>
          <t>Author:</t>
        </r>
        <r>
          <rPr>
            <sz val="9"/>
            <rFont val="Tahoma"/>
            <family val="2"/>
          </rPr>
          <t xml:space="preserve">
Hardcoded as reported</t>
        </r>
      </text>
    </comment>
    <comment ref="AS804" authorId="0" shapeId="0" xr:uid="{00000000-0006-0000-0100-00006D010000}">
      <text>
        <r>
          <rPr>
            <b/>
            <sz val="9"/>
            <rFont val="Tahoma"/>
            <family val="2"/>
          </rPr>
          <t>Author:</t>
        </r>
        <r>
          <rPr>
            <sz val="9"/>
            <rFont val="Tahoma"/>
            <family val="2"/>
          </rPr>
          <t xml:space="preserve">
Cash acquired in acquisition of Company1944 Energy</t>
        </r>
      </text>
    </comment>
    <comment ref="AT804" authorId="0" shapeId="0" xr:uid="{00000000-0006-0000-0100-00006E010000}">
      <text>
        <r>
          <rPr>
            <b/>
            <sz val="9"/>
            <rFont val="Tahoma"/>
            <family val="2"/>
          </rPr>
          <t>Author:</t>
        </r>
        <r>
          <rPr>
            <sz val="9"/>
            <rFont val="Tahoma"/>
            <family val="2"/>
          </rPr>
          <t xml:space="preserve">
Cash acquired in acquisition of Company1944 Energy</t>
        </r>
      </text>
    </comment>
    <comment ref="BG804" authorId="0" shapeId="0" xr:uid="{00000000-0006-0000-0100-00006F010000}">
      <text>
        <r>
          <rPr>
            <b/>
            <sz val="9"/>
            <rFont val="Tahoma"/>
            <family val="2"/>
          </rPr>
          <t>Author:</t>
        </r>
        <r>
          <rPr>
            <sz val="9"/>
            <rFont val="Tahoma"/>
            <family val="2"/>
          </rPr>
          <t xml:space="preserve">
As reported</t>
        </r>
      </text>
    </comment>
    <comment ref="BI804" authorId="0" shapeId="0" xr:uid="{00000000-0006-0000-0100-000070010000}">
      <text>
        <r>
          <rPr>
            <b/>
            <sz val="9"/>
            <rFont val="Tahoma"/>
            <family val="2"/>
          </rPr>
          <t>Author:</t>
        </r>
        <r>
          <rPr>
            <sz val="9"/>
            <rFont val="Tahoma"/>
            <family val="2"/>
          </rPr>
          <t xml:space="preserve">
As reported</t>
        </r>
      </text>
    </comment>
    <comment ref="BQ804" authorId="1" shapeId="0" xr:uid="{00000000-0006-0000-0100-000071010000}">
      <text>
        <r>
          <rPr>
            <b/>
            <sz val="9"/>
            <rFont val="Tahoma"/>
            <family val="2"/>
          </rPr>
          <t>Author:</t>
        </r>
        <r>
          <rPr>
            <sz val="9"/>
            <rFont val="Tahoma"/>
            <family val="2"/>
          </rPr>
          <t xml:space="preserve">
As reported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Author1</author>
    <author>Author2</author>
  </authors>
  <commentList>
    <comment ref="A4" authorId="0" shapeId="0" xr:uid="{00000000-0006-0000-0200-000001000000}">
      <text>
        <r>
          <rPr>
            <b/>
            <sz val="9"/>
            <rFont val="Tahoma"/>
            <family val="2"/>
          </rPr>
          <t>Author:</t>
        </r>
        <r>
          <rPr>
            <sz val="9"/>
            <rFont val="Tahoma"/>
            <family val="2"/>
          </rPr>
          <t xml:space="preserve">
Sort Largest to Smallest to return to default.</t>
        </r>
      </text>
    </comment>
    <comment ref="K6" authorId="0" shapeId="0" xr:uid="{00000000-0006-0000-0200-000002000000}">
      <text>
        <r>
          <rPr>
            <b/>
            <sz val="9"/>
            <rFont val="Tahoma"/>
            <family val="2"/>
          </rPr>
          <t>Author:</t>
        </r>
        <r>
          <rPr>
            <sz val="9"/>
            <rFont val="Tahoma"/>
            <family val="2"/>
          </rPr>
          <t xml:space="preserve">
excl. expected 2026 asset sales</t>
        </r>
      </text>
    </comment>
    <comment ref="N7" authorId="0" shapeId="0" xr:uid="{00000000-0006-0000-0200-000003000000}">
      <text>
        <r>
          <rPr>
            <b/>
            <sz val="9"/>
            <rFont val="Tahoma"/>
            <family val="2"/>
          </rPr>
          <t>Author:</t>
        </r>
        <r>
          <rPr>
            <sz val="9"/>
            <rFont val="Tahoma"/>
            <family val="2"/>
          </rPr>
          <t xml:space="preserve">
Not forecasted out separately in the model.</t>
        </r>
      </text>
    </comment>
    <comment ref="N9" authorId="0" shapeId="0" xr:uid="{00000000-0006-0000-0200-000004000000}">
      <text>
        <r>
          <rPr>
            <b/>
            <sz val="9"/>
            <rFont val="Tahoma"/>
            <family val="2"/>
          </rPr>
          <t>Author:</t>
        </r>
        <r>
          <rPr>
            <sz val="9"/>
            <rFont val="Tahoma"/>
            <family val="2"/>
          </rPr>
          <t xml:space="preserve">
Not forecasted out separately in the model.</t>
        </r>
      </text>
    </comment>
    <comment ref="N10" authorId="0" shapeId="0" xr:uid="{00000000-0006-0000-0200-000005000000}">
      <text>
        <r>
          <rPr>
            <b/>
            <sz val="9"/>
            <rFont val="Tahoma"/>
            <family val="2"/>
          </rPr>
          <t>Author:</t>
        </r>
        <r>
          <rPr>
            <sz val="9"/>
            <rFont val="Tahoma"/>
            <family val="2"/>
          </rPr>
          <t xml:space="preserve">
Not forecasted out separately in the model.</t>
        </r>
      </text>
    </comment>
    <comment ref="N12" authorId="0" shapeId="0" xr:uid="{00000000-0006-0000-0200-000006000000}">
      <text>
        <r>
          <rPr>
            <b/>
            <sz val="9"/>
            <rFont val="Tahoma"/>
            <family val="2"/>
          </rPr>
          <t>Author:</t>
        </r>
        <r>
          <rPr>
            <sz val="9"/>
            <rFont val="Tahoma"/>
            <family val="2"/>
          </rPr>
          <t xml:space="preserve">
Not forecasted out separately in the model.</t>
        </r>
      </text>
    </comment>
    <comment ref="K14" authorId="0" shapeId="0" xr:uid="{00000000-0006-0000-0200-000007000000}">
      <text>
        <r>
          <rPr>
            <b/>
            <sz val="9"/>
            <rFont val="Tahoma"/>
            <family val="2"/>
          </rPr>
          <t>Author:</t>
        </r>
        <r>
          <rPr>
            <sz val="9"/>
            <rFont val="Tahoma"/>
            <family val="2"/>
          </rPr>
          <t xml:space="preserve">
excl. expected 2026 asset sales</t>
        </r>
      </text>
    </comment>
    <comment ref="N16" authorId="0" shapeId="0" xr:uid="{00000000-0006-0000-0200-000008000000}">
      <text>
        <r>
          <rPr>
            <b/>
            <sz val="9"/>
            <rFont val="Tahoma"/>
            <family val="2"/>
          </rPr>
          <t>Author:</t>
        </r>
        <r>
          <rPr>
            <sz val="9"/>
            <rFont val="Tahoma"/>
            <family val="2"/>
          </rPr>
          <t xml:space="preserve">
Not forecasted out separately in the model.</t>
        </r>
      </text>
    </comment>
    <comment ref="N17" authorId="0" shapeId="0" xr:uid="{00000000-0006-0000-0200-000009000000}">
      <text>
        <r>
          <rPr>
            <b/>
            <sz val="9"/>
            <rFont val="Tahoma"/>
            <family val="2"/>
          </rPr>
          <t>Author:</t>
        </r>
        <r>
          <rPr>
            <sz val="9"/>
            <rFont val="Tahoma"/>
            <family val="2"/>
          </rPr>
          <t xml:space="preserve">
Not forecasted out separately in the model.</t>
        </r>
      </text>
    </comment>
    <comment ref="Q17" authorId="0" shapeId="0" xr:uid="{00000000-0006-0000-0200-00000A000000}">
      <text>
        <r>
          <rPr>
            <b/>
            <sz val="9"/>
            <rFont val="Tahoma"/>
            <family val="2"/>
          </rPr>
          <t>Author:</t>
        </r>
        <r>
          <rPr>
            <sz val="9"/>
            <rFont val="Tahoma"/>
            <family val="2"/>
          </rPr>
          <t xml:space="preserve">
Model currently has confirmed dividend per share and guided share repurchase amounts. Would have to stray from other guidance items to tune</t>
        </r>
      </text>
    </comment>
    <comment ref="N18" authorId="0" shapeId="0" xr:uid="{00000000-0006-0000-0200-00000B000000}">
      <text>
        <r>
          <rPr>
            <b/>
            <sz val="9"/>
            <rFont val="Tahoma"/>
            <family val="2"/>
          </rPr>
          <t>Author:</t>
        </r>
        <r>
          <rPr>
            <sz val="9"/>
            <rFont val="Tahoma"/>
            <family val="2"/>
          </rPr>
          <t xml:space="preserve">
Company2747 model does not forecast this number.</t>
        </r>
      </text>
    </comment>
    <comment ref="N20" authorId="0" shapeId="0" xr:uid="{00000000-0006-0000-0200-00000C000000}">
      <text>
        <r>
          <rPr>
            <b/>
            <sz val="9"/>
            <rFont val="Tahoma"/>
            <family val="2"/>
          </rPr>
          <t>Author:</t>
        </r>
        <r>
          <rPr>
            <sz val="9"/>
            <rFont val="Tahoma"/>
            <family val="2"/>
          </rPr>
          <t xml:space="preserve">
Not forecasted out separately in the model.</t>
        </r>
      </text>
    </comment>
    <comment ref="N21" authorId="0" shapeId="0" xr:uid="{00000000-0006-0000-0200-00000D000000}">
      <text>
        <r>
          <rPr>
            <b/>
            <sz val="9"/>
            <rFont val="Tahoma"/>
            <family val="2"/>
          </rPr>
          <t>Author:</t>
        </r>
        <r>
          <rPr>
            <sz val="9"/>
            <rFont val="Tahoma"/>
            <family val="2"/>
          </rPr>
          <t xml:space="preserve">
Not forecasted out separately in the model.</t>
        </r>
      </text>
    </comment>
    <comment ref="N22" authorId="0" shapeId="0" xr:uid="{00000000-0006-0000-0200-00000E000000}">
      <text>
        <r>
          <rPr>
            <b/>
            <sz val="9"/>
            <rFont val="Tahoma"/>
            <family val="2"/>
          </rPr>
          <t>Author:</t>
        </r>
        <r>
          <rPr>
            <sz val="9"/>
            <rFont val="Tahoma"/>
            <family val="2"/>
          </rPr>
          <t xml:space="preserve">
Not forecasted out separately in the model.</t>
        </r>
      </text>
    </comment>
    <comment ref="N23" authorId="0" shapeId="0" xr:uid="{00000000-0006-0000-0200-00000F000000}">
      <text>
        <r>
          <rPr>
            <b/>
            <sz val="9"/>
            <rFont val="Tahoma"/>
            <family val="2"/>
          </rPr>
          <t>Author:</t>
        </r>
        <r>
          <rPr>
            <sz val="9"/>
            <rFont val="Tahoma"/>
            <family val="2"/>
          </rPr>
          <t xml:space="preserve">
Not forecasted out separately in the model.</t>
        </r>
      </text>
    </comment>
    <comment ref="N25" authorId="0" shapeId="0" xr:uid="{00000000-0006-0000-0200-000010000000}">
      <text>
        <r>
          <rPr>
            <b/>
            <sz val="9"/>
            <rFont val="Tahoma"/>
            <family val="2"/>
          </rPr>
          <t>Author:</t>
        </r>
        <r>
          <rPr>
            <sz val="9"/>
            <rFont val="Tahoma"/>
            <family val="2"/>
          </rPr>
          <t xml:space="preserve">
Not forecasted out separately in the model.</t>
        </r>
      </text>
    </comment>
    <comment ref="N26" authorId="0" shapeId="0" xr:uid="{00000000-0006-0000-0200-000011000000}">
      <text>
        <r>
          <rPr>
            <b/>
            <sz val="9"/>
            <rFont val="Tahoma"/>
            <family val="2"/>
          </rPr>
          <t>Author:</t>
        </r>
        <r>
          <rPr>
            <sz val="9"/>
            <rFont val="Tahoma"/>
            <family val="2"/>
          </rPr>
          <t xml:space="preserve">
Not forecasted out separately in the model.</t>
        </r>
      </text>
    </comment>
    <comment ref="N28" authorId="0" shapeId="0" xr:uid="{00000000-0006-0000-0200-000012000000}">
      <text>
        <r>
          <rPr>
            <b/>
            <sz val="9"/>
            <rFont val="Tahoma"/>
            <family val="2"/>
          </rPr>
          <t>Author:</t>
        </r>
        <r>
          <rPr>
            <sz val="9"/>
            <rFont val="Tahoma"/>
            <family val="2"/>
          </rPr>
          <t xml:space="preserve">
Not forecasted out separately in the model.</t>
        </r>
      </text>
    </comment>
    <comment ref="N29" authorId="0" shapeId="0" xr:uid="{00000000-0006-0000-0200-000013000000}">
      <text>
        <r>
          <rPr>
            <b/>
            <sz val="9"/>
            <rFont val="Tahoma"/>
            <family val="2"/>
          </rPr>
          <t>Author:</t>
        </r>
        <r>
          <rPr>
            <sz val="9"/>
            <rFont val="Tahoma"/>
            <family val="2"/>
          </rPr>
          <t xml:space="preserve">
Not forecasted out separately in the model.</t>
        </r>
      </text>
    </comment>
    <comment ref="N31" authorId="0" shapeId="0" xr:uid="{00000000-0006-0000-0200-000014000000}">
      <text>
        <r>
          <rPr>
            <b/>
            <sz val="9"/>
            <rFont val="Tahoma"/>
            <family val="2"/>
          </rPr>
          <t>Author:</t>
        </r>
        <r>
          <rPr>
            <sz val="9"/>
            <rFont val="Tahoma"/>
            <family val="2"/>
          </rPr>
          <t xml:space="preserve">
Not forecasted out separately in the model.</t>
        </r>
      </text>
    </comment>
    <comment ref="N32" authorId="0" shapeId="0" xr:uid="{00000000-0006-0000-0200-000015000000}">
      <text>
        <r>
          <rPr>
            <b/>
            <sz val="9"/>
            <rFont val="Tahoma"/>
            <family val="2"/>
          </rPr>
          <t>Author:</t>
        </r>
        <r>
          <rPr>
            <sz val="9"/>
            <rFont val="Tahoma"/>
            <family val="2"/>
          </rPr>
          <t xml:space="preserve">
Not forecasted out separately in the model.</t>
        </r>
      </text>
    </comment>
    <comment ref="N34" authorId="0" shapeId="0" xr:uid="{00000000-0006-0000-0200-000016000000}">
      <text>
        <r>
          <rPr>
            <b/>
            <sz val="9"/>
            <rFont val="Tahoma"/>
            <family val="2"/>
          </rPr>
          <t>Author:</t>
        </r>
        <r>
          <rPr>
            <sz val="9"/>
            <rFont val="Tahoma"/>
            <family val="2"/>
          </rPr>
          <t xml:space="preserve">
Not forecasted out separately in the model.</t>
        </r>
      </text>
    </comment>
    <comment ref="N35" authorId="0" shapeId="0" xr:uid="{00000000-0006-0000-0200-000017000000}">
      <text>
        <r>
          <rPr>
            <b/>
            <sz val="9"/>
            <rFont val="Tahoma"/>
            <family val="2"/>
          </rPr>
          <t>Author:</t>
        </r>
        <r>
          <rPr>
            <sz val="9"/>
            <rFont val="Tahoma"/>
            <family val="2"/>
          </rPr>
          <t xml:space="preserve">
Not forecasted out separately in the model.</t>
        </r>
      </text>
    </comment>
    <comment ref="N37" authorId="0" shapeId="0" xr:uid="{00000000-0006-0000-0200-000018000000}">
      <text>
        <r>
          <rPr>
            <b/>
            <sz val="9"/>
            <rFont val="Tahoma"/>
            <family val="2"/>
          </rPr>
          <t>Author:</t>
        </r>
        <r>
          <rPr>
            <sz val="9"/>
            <rFont val="Tahoma"/>
            <family val="2"/>
          </rPr>
          <t xml:space="preserve">
Not forecasted out separately in the model.</t>
        </r>
      </text>
    </comment>
    <comment ref="N38" authorId="0" shapeId="0" xr:uid="{00000000-0006-0000-0200-000019000000}">
      <text>
        <r>
          <rPr>
            <b/>
            <sz val="9"/>
            <rFont val="Tahoma"/>
            <family val="2"/>
          </rPr>
          <t>Author:</t>
        </r>
        <r>
          <rPr>
            <sz val="9"/>
            <rFont val="Tahoma"/>
            <family val="2"/>
          </rPr>
          <t xml:space="preserve">
Not forecasted out separately in the model.</t>
        </r>
      </text>
    </comment>
    <comment ref="N40" authorId="0" shapeId="0" xr:uid="{00000000-0006-0000-0200-00001A000000}">
      <text>
        <r>
          <rPr>
            <b/>
            <sz val="9"/>
            <rFont val="Tahoma"/>
            <family val="2"/>
          </rPr>
          <t>Author:</t>
        </r>
        <r>
          <rPr>
            <sz val="9"/>
            <rFont val="Tahoma"/>
            <family val="2"/>
          </rPr>
          <t xml:space="preserve">
Not forecasted out separately in the model.</t>
        </r>
      </text>
    </comment>
    <comment ref="N41" authorId="0" shapeId="0" xr:uid="{00000000-0006-0000-0200-00001B000000}">
      <text>
        <r>
          <rPr>
            <b/>
            <sz val="9"/>
            <rFont val="Tahoma"/>
            <family val="2"/>
          </rPr>
          <t>Author:</t>
        </r>
        <r>
          <rPr>
            <sz val="9"/>
            <rFont val="Tahoma"/>
            <family val="2"/>
          </rPr>
          <t xml:space="preserve">
Not forecasted out separately in the model.</t>
        </r>
      </text>
    </comment>
    <comment ref="N44" authorId="0" shapeId="0" xr:uid="{00000000-0006-0000-0200-00001C000000}">
      <text>
        <r>
          <rPr>
            <b/>
            <sz val="9"/>
            <rFont val="Tahoma"/>
            <family val="2"/>
          </rPr>
          <t>Author:</t>
        </r>
        <r>
          <rPr>
            <sz val="9"/>
            <rFont val="Tahoma"/>
            <family val="2"/>
          </rPr>
          <t xml:space="preserve">
Not forecasted out separately in the model.</t>
        </r>
      </text>
    </comment>
    <comment ref="N45" authorId="0" shapeId="0" xr:uid="{00000000-0006-0000-0200-00001D000000}">
      <text>
        <r>
          <rPr>
            <b/>
            <sz val="9"/>
            <rFont val="Tahoma"/>
            <family val="2"/>
          </rPr>
          <t>Author:</t>
        </r>
        <r>
          <rPr>
            <sz val="9"/>
            <rFont val="Tahoma"/>
            <family val="2"/>
          </rPr>
          <t xml:space="preserve">
Not forecasted out separately in the model.</t>
        </r>
      </text>
    </comment>
    <comment ref="N46" authorId="0" shapeId="0" xr:uid="{00000000-0006-0000-0200-00001E000000}">
      <text>
        <r>
          <rPr>
            <b/>
            <sz val="9"/>
            <rFont val="Tahoma"/>
            <family val="2"/>
          </rPr>
          <t>Author:</t>
        </r>
        <r>
          <rPr>
            <sz val="9"/>
            <rFont val="Tahoma"/>
            <family val="2"/>
          </rPr>
          <t xml:space="preserve">
Not forecasted out separately in the model.</t>
        </r>
      </text>
    </comment>
    <comment ref="N48" authorId="0" shapeId="0" xr:uid="{00000000-0006-0000-0200-00001F000000}">
      <text>
        <r>
          <rPr>
            <b/>
            <sz val="9"/>
            <rFont val="Tahoma"/>
            <family val="2"/>
          </rPr>
          <t>Author:</t>
        </r>
        <r>
          <rPr>
            <sz val="9"/>
            <rFont val="Tahoma"/>
            <family val="2"/>
          </rPr>
          <t xml:space="preserve">
Not forecasted out separately in the model.</t>
        </r>
      </text>
    </comment>
    <comment ref="N49" authorId="0" shapeId="0" xr:uid="{00000000-0006-0000-0200-000020000000}">
      <text>
        <r>
          <rPr>
            <b/>
            <sz val="9"/>
            <rFont val="Tahoma"/>
            <family val="2"/>
          </rPr>
          <t>Author:</t>
        </r>
        <r>
          <rPr>
            <sz val="9"/>
            <rFont val="Tahoma"/>
            <family val="2"/>
          </rPr>
          <t xml:space="preserve">
Not forecasted out separately in the model.</t>
        </r>
      </text>
    </comment>
    <comment ref="N51" authorId="0" shapeId="0" xr:uid="{00000000-0006-0000-0200-000021000000}">
      <text>
        <r>
          <rPr>
            <b/>
            <sz val="9"/>
            <rFont val="Tahoma"/>
            <family val="2"/>
          </rPr>
          <t>Author:</t>
        </r>
        <r>
          <rPr>
            <sz val="9"/>
            <rFont val="Tahoma"/>
            <family val="2"/>
          </rPr>
          <t xml:space="preserve">
Not forecasted out separately in the model.</t>
        </r>
      </text>
    </comment>
    <comment ref="K55" authorId="0" shapeId="0" xr:uid="{00000000-0006-0000-0200-000022000000}">
      <text>
        <r>
          <rPr>
            <b/>
            <sz val="9"/>
            <rFont val="Tahoma"/>
            <family val="2"/>
          </rPr>
          <t>Author:</t>
        </r>
        <r>
          <rPr>
            <sz val="9"/>
            <rFont val="Tahoma"/>
            <family val="2"/>
          </rPr>
          <t xml:space="preserve">
excl. expected 2025 asset sales</t>
        </r>
      </text>
    </comment>
    <comment ref="N56" authorId="0" shapeId="0" xr:uid="{00000000-0006-0000-0200-000023000000}">
      <text>
        <r>
          <rPr>
            <b/>
            <sz val="9"/>
            <rFont val="Tahoma"/>
            <family val="2"/>
          </rPr>
          <t>Author:</t>
        </r>
        <r>
          <rPr>
            <sz val="9"/>
            <rFont val="Tahoma"/>
            <family val="2"/>
          </rPr>
          <t xml:space="preserve">
Not forecasted out separately in the model.</t>
        </r>
      </text>
    </comment>
    <comment ref="N57" authorId="0" shapeId="0" xr:uid="{00000000-0006-0000-0200-000024000000}">
      <text>
        <r>
          <rPr>
            <b/>
            <sz val="9"/>
            <rFont val="Tahoma"/>
            <family val="2"/>
          </rPr>
          <t>Author:</t>
        </r>
        <r>
          <rPr>
            <sz val="9"/>
            <rFont val="Tahoma"/>
            <family val="2"/>
          </rPr>
          <t xml:space="preserve">
Not forecasted out separately in the model.</t>
        </r>
      </text>
    </comment>
    <comment ref="Q57" authorId="0" shapeId="0" xr:uid="{00000000-0006-0000-0200-000025000000}">
      <text>
        <r>
          <rPr>
            <b/>
            <sz val="9"/>
            <rFont val="Tahoma"/>
            <family val="2"/>
          </rPr>
          <t>Author:</t>
        </r>
        <r>
          <rPr>
            <sz val="9"/>
            <rFont val="Tahoma"/>
            <family val="2"/>
          </rPr>
          <t xml:space="preserve">
Model currently has confirmed dividend per share and guided share repurchase amounts. Would have to stray from other guidance items to tune</t>
        </r>
      </text>
    </comment>
    <comment ref="N58" authorId="0" shapeId="0" xr:uid="{00000000-0006-0000-0200-000026000000}">
      <text>
        <r>
          <rPr>
            <b/>
            <sz val="9"/>
            <rFont val="Tahoma"/>
            <family val="2"/>
          </rPr>
          <t>Author:</t>
        </r>
        <r>
          <rPr>
            <sz val="9"/>
            <rFont val="Tahoma"/>
            <family val="2"/>
          </rPr>
          <t xml:space="preserve">
Company2747 model does not forecast this number.</t>
        </r>
      </text>
    </comment>
    <comment ref="N60" authorId="0" shapeId="0" xr:uid="{00000000-0006-0000-0200-000027000000}">
      <text>
        <r>
          <rPr>
            <b/>
            <sz val="9"/>
            <rFont val="Tahoma"/>
            <family val="2"/>
          </rPr>
          <t>Author:</t>
        </r>
        <r>
          <rPr>
            <sz val="9"/>
            <rFont val="Tahoma"/>
            <family val="2"/>
          </rPr>
          <t xml:space="preserve">
Not forecasted out separately in the model.</t>
        </r>
      </text>
    </comment>
    <comment ref="N61" authorId="0" shapeId="0" xr:uid="{00000000-0006-0000-0200-000028000000}">
      <text>
        <r>
          <rPr>
            <b/>
            <sz val="9"/>
            <rFont val="Tahoma"/>
            <family val="2"/>
          </rPr>
          <t>Author:</t>
        </r>
        <r>
          <rPr>
            <sz val="9"/>
            <rFont val="Tahoma"/>
            <family val="2"/>
          </rPr>
          <t xml:space="preserve">
Not forecasted out separately in the model.</t>
        </r>
      </text>
    </comment>
    <comment ref="N62" authorId="0" shapeId="0" xr:uid="{00000000-0006-0000-0200-000029000000}">
      <text>
        <r>
          <rPr>
            <b/>
            <sz val="9"/>
            <rFont val="Tahoma"/>
            <family val="2"/>
          </rPr>
          <t>Author:</t>
        </r>
        <r>
          <rPr>
            <sz val="9"/>
            <rFont val="Tahoma"/>
            <family val="2"/>
          </rPr>
          <t xml:space="preserve">
Not forecasted out separately in the model.</t>
        </r>
      </text>
    </comment>
    <comment ref="N63" authorId="0" shapeId="0" xr:uid="{00000000-0006-0000-0200-00002A000000}">
      <text>
        <r>
          <rPr>
            <b/>
            <sz val="9"/>
            <rFont val="Tahoma"/>
            <family val="2"/>
          </rPr>
          <t>Author:</t>
        </r>
        <r>
          <rPr>
            <sz val="9"/>
            <rFont val="Tahoma"/>
            <family val="2"/>
          </rPr>
          <t xml:space="preserve">
Not forecasted out separately in the model.</t>
        </r>
      </text>
    </comment>
    <comment ref="N65" authorId="0" shapeId="0" xr:uid="{00000000-0006-0000-0200-00002B000000}">
      <text>
        <r>
          <rPr>
            <b/>
            <sz val="9"/>
            <rFont val="Tahoma"/>
            <family val="2"/>
          </rPr>
          <t>Author:</t>
        </r>
        <r>
          <rPr>
            <sz val="9"/>
            <rFont val="Tahoma"/>
            <family val="2"/>
          </rPr>
          <t xml:space="preserve">
Not forecasted out separately in the model.</t>
        </r>
      </text>
    </comment>
    <comment ref="N66" authorId="0" shapeId="0" xr:uid="{00000000-0006-0000-0200-00002C000000}">
      <text>
        <r>
          <rPr>
            <b/>
            <sz val="9"/>
            <rFont val="Tahoma"/>
            <family val="2"/>
          </rPr>
          <t>Author:</t>
        </r>
        <r>
          <rPr>
            <sz val="9"/>
            <rFont val="Tahoma"/>
            <family val="2"/>
          </rPr>
          <t xml:space="preserve">
Not forecasted out separately in the model.</t>
        </r>
      </text>
    </comment>
    <comment ref="N68" authorId="0" shapeId="0" xr:uid="{00000000-0006-0000-0200-00002D000000}">
      <text>
        <r>
          <rPr>
            <b/>
            <sz val="9"/>
            <rFont val="Tahoma"/>
            <family val="2"/>
          </rPr>
          <t>Author:</t>
        </r>
        <r>
          <rPr>
            <sz val="9"/>
            <rFont val="Tahoma"/>
            <family val="2"/>
          </rPr>
          <t xml:space="preserve">
Not forecasted out separately in the model.</t>
        </r>
      </text>
    </comment>
    <comment ref="I69" authorId="1" shapeId="0" xr:uid="{00000000-0006-0000-0200-00002E000000}">
      <text>
        <r>
          <rPr>
            <b/>
            <sz val="9"/>
            <rFont val="Tahoma"/>
            <family val="2"/>
          </rPr>
          <t>Author:</t>
        </r>
        <r>
          <rPr>
            <sz val="9"/>
            <rFont val="Tahoma"/>
            <family val="2"/>
          </rPr>
          <t xml:space="preserve">
B/T asset sales proceeds. ~0.5B</t>
        </r>
      </text>
    </comment>
    <comment ref="J69" authorId="1" shapeId="0" xr:uid="{00000000-0006-0000-0200-00002F000000}">
      <text>
        <r>
          <rPr>
            <b/>
            <sz val="9"/>
            <rFont val="Tahoma"/>
            <family val="2"/>
          </rPr>
          <t>Author:</t>
        </r>
        <r>
          <rPr>
            <sz val="9"/>
            <rFont val="Tahoma"/>
            <family val="2"/>
          </rPr>
          <t xml:space="preserve">
B/T asset sales proceeds. ~0.5B</t>
        </r>
      </text>
    </comment>
    <comment ref="N69" authorId="0" shapeId="0" xr:uid="{00000000-0006-0000-0200-000030000000}">
      <text>
        <r>
          <rPr>
            <b/>
            <sz val="9"/>
            <rFont val="Tahoma"/>
            <family val="2"/>
          </rPr>
          <t>Author:</t>
        </r>
        <r>
          <rPr>
            <sz val="9"/>
            <rFont val="Tahoma"/>
            <family val="2"/>
          </rPr>
          <t xml:space="preserve">
Not forecasted out separately in the model.</t>
        </r>
      </text>
    </comment>
    <comment ref="N71" authorId="0" shapeId="0" xr:uid="{00000000-0006-0000-0200-000031000000}">
      <text>
        <r>
          <rPr>
            <b/>
            <sz val="9"/>
            <rFont val="Tahoma"/>
            <family val="2"/>
          </rPr>
          <t>Author:</t>
        </r>
        <r>
          <rPr>
            <sz val="9"/>
            <rFont val="Tahoma"/>
            <family val="2"/>
          </rPr>
          <t xml:space="preserve">
Not forecasted out separately in the model.</t>
        </r>
      </text>
    </comment>
    <comment ref="N72" authorId="0" shapeId="0" xr:uid="{00000000-0006-0000-0200-000032000000}">
      <text>
        <r>
          <rPr>
            <b/>
            <sz val="9"/>
            <rFont val="Tahoma"/>
            <family val="2"/>
          </rPr>
          <t>Author:</t>
        </r>
        <r>
          <rPr>
            <sz val="9"/>
            <rFont val="Tahoma"/>
            <family val="2"/>
          </rPr>
          <t xml:space="preserve">
Not forecasted out separately in the model.</t>
        </r>
      </text>
    </comment>
    <comment ref="N73" authorId="0" shapeId="0" xr:uid="{00000000-0006-0000-0200-000033000000}">
      <text>
        <r>
          <rPr>
            <b/>
            <sz val="9"/>
            <rFont val="Tahoma"/>
            <family val="2"/>
          </rPr>
          <t>Author:</t>
        </r>
        <r>
          <rPr>
            <sz val="9"/>
            <rFont val="Tahoma"/>
            <family val="2"/>
          </rPr>
          <t xml:space="preserve">
Not forecasted out separately in the model.</t>
        </r>
      </text>
    </comment>
    <comment ref="N76" authorId="0" shapeId="0" xr:uid="{00000000-0006-0000-0200-000034000000}">
      <text>
        <r>
          <rPr>
            <b/>
            <sz val="9"/>
            <rFont val="Tahoma"/>
            <family val="2"/>
          </rPr>
          <t>Author:</t>
        </r>
        <r>
          <rPr>
            <sz val="9"/>
            <rFont val="Tahoma"/>
            <family val="2"/>
          </rPr>
          <t xml:space="preserve">
Not forecasted out separately in the model.</t>
        </r>
      </text>
    </comment>
    <comment ref="N77" authorId="0" shapeId="0" xr:uid="{00000000-0006-0000-0200-000035000000}">
      <text>
        <r>
          <rPr>
            <b/>
            <sz val="9"/>
            <rFont val="Tahoma"/>
            <family val="2"/>
          </rPr>
          <t>Author:</t>
        </r>
        <r>
          <rPr>
            <sz val="9"/>
            <rFont val="Tahoma"/>
            <family val="2"/>
          </rPr>
          <t xml:space="preserve">
Not forecasted out separately in the model.</t>
        </r>
      </text>
    </comment>
    <comment ref="N78" authorId="0" shapeId="0" xr:uid="{00000000-0006-0000-0200-000036000000}">
      <text>
        <r>
          <rPr>
            <b/>
            <sz val="9"/>
            <rFont val="Tahoma"/>
            <family val="2"/>
          </rPr>
          <t>Author:</t>
        </r>
        <r>
          <rPr>
            <sz val="9"/>
            <rFont val="Tahoma"/>
            <family val="2"/>
          </rPr>
          <t xml:space="preserve">
Not forecasted out separately in the model.</t>
        </r>
      </text>
    </comment>
    <comment ref="N79" authorId="0" shapeId="0" xr:uid="{00000000-0006-0000-0200-000037000000}">
      <text>
        <r>
          <rPr>
            <b/>
            <sz val="9"/>
            <rFont val="Tahoma"/>
            <family val="2"/>
          </rPr>
          <t>Author:</t>
        </r>
        <r>
          <rPr>
            <sz val="9"/>
            <rFont val="Tahoma"/>
            <family val="2"/>
          </rPr>
          <t xml:space="preserve">
Not forecasted out separately in the model.</t>
        </r>
      </text>
    </comment>
    <comment ref="N82" authorId="0" shapeId="0" xr:uid="{00000000-0006-0000-0200-000038000000}">
      <text>
        <r>
          <rPr>
            <b/>
            <sz val="9"/>
            <rFont val="Tahoma"/>
            <family val="2"/>
          </rPr>
          <t>Author:</t>
        </r>
        <r>
          <rPr>
            <sz val="9"/>
            <rFont val="Tahoma"/>
            <family val="2"/>
          </rPr>
          <t xml:space="preserve">
Not forecasted out separately in the model.</t>
        </r>
      </text>
    </comment>
    <comment ref="N83" authorId="0" shapeId="0" xr:uid="{00000000-0006-0000-0200-000039000000}">
      <text>
        <r>
          <rPr>
            <b/>
            <sz val="9"/>
            <rFont val="Tahoma"/>
            <family val="2"/>
          </rPr>
          <t>Author:</t>
        </r>
        <r>
          <rPr>
            <sz val="9"/>
            <rFont val="Tahoma"/>
            <family val="2"/>
          </rPr>
          <t xml:space="preserve">
Not forecasted out separately in the model.</t>
        </r>
      </text>
    </comment>
    <comment ref="N84" authorId="0" shapeId="0" xr:uid="{00000000-0006-0000-0200-00003A000000}">
      <text>
        <r>
          <rPr>
            <b/>
            <sz val="9"/>
            <rFont val="Tahoma"/>
            <family val="2"/>
          </rPr>
          <t>Author:</t>
        </r>
        <r>
          <rPr>
            <sz val="9"/>
            <rFont val="Tahoma"/>
            <family val="2"/>
          </rPr>
          <t xml:space="preserve">
Not forecasted out separately in the model.</t>
        </r>
      </text>
    </comment>
    <comment ref="I85" authorId="0" shapeId="0" xr:uid="{00000000-0006-0000-0200-00003B000000}">
      <text>
        <r>
          <rPr>
            <b/>
            <sz val="9"/>
            <rFont val="Tahoma"/>
            <family val="2"/>
          </rPr>
          <t>Author:</t>
        </r>
        <r>
          <rPr>
            <sz val="9"/>
            <rFont val="Tahoma"/>
            <family val="2"/>
          </rPr>
          <t xml:space="preserve">
$3B +/- 20%</t>
        </r>
      </text>
    </comment>
    <comment ref="J85" authorId="0" shapeId="0" xr:uid="{00000000-0006-0000-0200-00003C000000}">
      <text>
        <r>
          <rPr>
            <b/>
            <sz val="9"/>
            <rFont val="Tahoma"/>
            <family val="2"/>
          </rPr>
          <t>Author:</t>
        </r>
        <r>
          <rPr>
            <sz val="9"/>
            <rFont val="Tahoma"/>
            <family val="2"/>
          </rPr>
          <t xml:space="preserve">
$3B +/- 20%</t>
        </r>
      </text>
    </comment>
    <comment ref="K87" authorId="0" shapeId="0" xr:uid="{00000000-0006-0000-0200-00003D000000}">
      <text>
        <r>
          <rPr>
            <b/>
            <sz val="9"/>
            <rFont val="Tahoma"/>
            <family val="2"/>
          </rPr>
          <t>Author:</t>
        </r>
        <r>
          <rPr>
            <sz val="9"/>
            <rFont val="Tahoma"/>
            <family val="2"/>
          </rPr>
          <t xml:space="preserve">
incl. expected 2024 asset sales</t>
        </r>
      </text>
    </comment>
    <comment ref="N88" authorId="0" shapeId="0" xr:uid="{00000000-0006-0000-0200-00003E000000}">
      <text>
        <r>
          <rPr>
            <b/>
            <sz val="9"/>
            <rFont val="Tahoma"/>
            <family val="2"/>
          </rPr>
          <t>Author:</t>
        </r>
        <r>
          <rPr>
            <sz val="9"/>
            <rFont val="Tahoma"/>
            <family val="2"/>
          </rPr>
          <t xml:space="preserve">
Not forecasted out separately in the model.</t>
        </r>
      </text>
    </comment>
    <comment ref="Q89" authorId="0" shapeId="0" xr:uid="{00000000-0006-0000-0200-00003F000000}">
      <text>
        <r>
          <rPr>
            <b/>
            <sz val="9"/>
            <rFont val="Tahoma"/>
            <family val="2"/>
          </rPr>
          <t>Author:</t>
        </r>
        <r>
          <rPr>
            <sz val="9"/>
            <rFont val="Tahoma"/>
            <family val="2"/>
          </rPr>
          <t xml:space="preserve">
Model currently has confirmed dividend per share and guided share repurchase amounts. Would have to stray from other guidance items to tune</t>
        </r>
      </text>
    </comment>
    <comment ref="N90" authorId="0" shapeId="0" xr:uid="{00000000-0006-0000-0200-000040000000}">
      <text>
        <r>
          <rPr>
            <b/>
            <sz val="9"/>
            <rFont val="Tahoma"/>
            <family val="2"/>
          </rPr>
          <t>Author:</t>
        </r>
        <r>
          <rPr>
            <sz val="9"/>
            <rFont val="Tahoma"/>
            <family val="2"/>
          </rPr>
          <t xml:space="preserve">
Company2747 model does not forecast this number.</t>
        </r>
      </text>
    </comment>
    <comment ref="K91" authorId="1" shapeId="0" xr:uid="{00000000-0006-0000-0200-000041000000}">
      <text>
        <r>
          <rPr>
            <b/>
            <sz val="9"/>
            <rFont val="Tahoma"/>
            <family val="2"/>
          </rPr>
          <t>Author:</t>
        </r>
        <r>
          <rPr>
            <sz val="9"/>
            <rFont val="Tahoma"/>
            <family val="2"/>
          </rPr>
          <t xml:space="preserve">
Re-affirmed in Q2-2024 IP</t>
        </r>
      </text>
    </comment>
    <comment ref="K92" authorId="1" shapeId="0" xr:uid="{00000000-0006-0000-0200-000042000000}">
      <text>
        <r>
          <rPr>
            <b/>
            <sz val="9"/>
            <rFont val="Tahoma"/>
            <family val="2"/>
          </rPr>
          <t>Author:</t>
        </r>
        <r>
          <rPr>
            <sz val="9"/>
            <rFont val="Tahoma"/>
            <family val="2"/>
          </rPr>
          <t xml:space="preserve">
Re-affirmed in Q2-2024 IP</t>
        </r>
      </text>
    </comment>
    <comment ref="N92" authorId="0" shapeId="0" xr:uid="{00000000-0006-0000-0200-000043000000}">
      <text>
        <r>
          <rPr>
            <b/>
            <sz val="9"/>
            <rFont val="Tahoma"/>
            <family val="2"/>
          </rPr>
          <t>Author:</t>
        </r>
        <r>
          <rPr>
            <sz val="9"/>
            <rFont val="Tahoma"/>
            <family val="2"/>
          </rPr>
          <t xml:space="preserve">
Not forecasted out separately in the model.</t>
        </r>
      </text>
    </comment>
    <comment ref="N93" authorId="0" shapeId="0" xr:uid="{00000000-0006-0000-0200-000044000000}">
      <text>
        <r>
          <rPr>
            <b/>
            <sz val="9"/>
            <rFont val="Tahoma"/>
            <family val="2"/>
          </rPr>
          <t>Author:</t>
        </r>
        <r>
          <rPr>
            <sz val="9"/>
            <rFont val="Tahoma"/>
            <family val="2"/>
          </rPr>
          <t xml:space="preserve">
Not forecasted out separately in the model.</t>
        </r>
      </text>
    </comment>
    <comment ref="N94" authorId="0" shapeId="0" xr:uid="{00000000-0006-0000-0200-000045000000}">
      <text>
        <r>
          <rPr>
            <b/>
            <sz val="9"/>
            <rFont val="Tahoma"/>
            <family val="2"/>
          </rPr>
          <t>Author:</t>
        </r>
        <r>
          <rPr>
            <sz val="9"/>
            <rFont val="Tahoma"/>
            <family val="2"/>
          </rPr>
          <t xml:space="preserve">
Not forecasted out separately in the model.</t>
        </r>
      </text>
    </comment>
    <comment ref="N96" authorId="0" shapeId="0" xr:uid="{00000000-0006-0000-0200-000046000000}">
      <text>
        <r>
          <rPr>
            <b/>
            <sz val="9"/>
            <rFont val="Tahoma"/>
            <family val="2"/>
          </rPr>
          <t>Author:</t>
        </r>
        <r>
          <rPr>
            <sz val="9"/>
            <rFont val="Tahoma"/>
            <family val="2"/>
          </rPr>
          <t xml:space="preserve">
Not forecasted out separately in the model.</t>
        </r>
      </text>
    </comment>
    <comment ref="N97" authorId="0" shapeId="0" xr:uid="{00000000-0006-0000-0200-000047000000}">
      <text>
        <r>
          <rPr>
            <b/>
            <sz val="9"/>
            <rFont val="Tahoma"/>
            <family val="2"/>
          </rPr>
          <t>Author:</t>
        </r>
        <r>
          <rPr>
            <sz val="9"/>
            <rFont val="Tahoma"/>
            <family val="2"/>
          </rPr>
          <t xml:space="preserve">
Not forecasted out separately in the model.</t>
        </r>
      </text>
    </comment>
    <comment ref="I98" authorId="0" shapeId="0" xr:uid="{00000000-0006-0000-0200-000048000000}">
      <text>
        <r>
          <rPr>
            <b/>
            <sz val="9"/>
            <rFont val="Tahoma"/>
            <family val="2"/>
          </rPr>
          <t>Author:</t>
        </r>
        <r>
          <rPr>
            <sz val="9"/>
            <rFont val="Tahoma"/>
            <family val="2"/>
          </rPr>
          <t xml:space="preserve">
$3B +/- 20%</t>
        </r>
      </text>
    </comment>
    <comment ref="J98" authorId="0" shapeId="0" xr:uid="{00000000-0006-0000-0200-000049000000}">
      <text>
        <r>
          <rPr>
            <b/>
            <sz val="9"/>
            <rFont val="Tahoma"/>
            <family val="2"/>
          </rPr>
          <t>Author:</t>
        </r>
        <r>
          <rPr>
            <sz val="9"/>
            <rFont val="Tahoma"/>
            <family val="2"/>
          </rPr>
          <t xml:space="preserve">
$3B +/- 20%</t>
        </r>
      </text>
    </comment>
    <comment ref="N100" authorId="0" shapeId="0" xr:uid="{00000000-0006-0000-0200-00004A000000}">
      <text>
        <r>
          <rPr>
            <b/>
            <sz val="9"/>
            <rFont val="Tahoma"/>
            <family val="2"/>
          </rPr>
          <t>Author:</t>
        </r>
        <r>
          <rPr>
            <sz val="9"/>
            <rFont val="Tahoma"/>
            <family val="2"/>
          </rPr>
          <t xml:space="preserve">
Not forecasted out separately in the model.</t>
        </r>
      </text>
    </comment>
    <comment ref="N101" authorId="0" shapeId="0" xr:uid="{00000000-0006-0000-0200-00004B000000}">
      <text>
        <r>
          <rPr>
            <b/>
            <sz val="9"/>
            <rFont val="Tahoma"/>
            <family val="2"/>
          </rPr>
          <t>Author:</t>
        </r>
        <r>
          <rPr>
            <sz val="9"/>
            <rFont val="Tahoma"/>
            <family val="2"/>
          </rPr>
          <t xml:space="preserve">
Not forecasted out separately in the model.</t>
        </r>
      </text>
    </comment>
    <comment ref="N102" authorId="0" shapeId="0" xr:uid="{00000000-0006-0000-0200-00004C000000}">
      <text>
        <r>
          <rPr>
            <b/>
            <sz val="9"/>
            <rFont val="Tahoma"/>
            <family val="2"/>
          </rPr>
          <t>Author:</t>
        </r>
        <r>
          <rPr>
            <sz val="9"/>
            <rFont val="Tahoma"/>
            <family val="2"/>
          </rPr>
          <t xml:space="preserve">
Not forecasted out separately in the model.</t>
        </r>
      </text>
    </comment>
    <comment ref="N103" authorId="0" shapeId="0" xr:uid="{00000000-0006-0000-0200-00004D000000}">
      <text>
        <r>
          <rPr>
            <b/>
            <sz val="9"/>
            <rFont val="Tahoma"/>
            <family val="2"/>
          </rPr>
          <t>Author:</t>
        </r>
        <r>
          <rPr>
            <sz val="9"/>
            <rFont val="Tahoma"/>
            <family val="2"/>
          </rPr>
          <t xml:space="preserve">
Not forecasted out separately in the model.</t>
        </r>
      </text>
    </comment>
    <comment ref="Q104" authorId="0" shapeId="0" xr:uid="{00000000-0006-0000-0200-00004E000000}">
      <text>
        <r>
          <rPr>
            <b/>
            <sz val="9"/>
            <rFont val="Tahoma"/>
            <family val="2"/>
          </rPr>
          <t>Author:</t>
        </r>
        <r>
          <rPr>
            <sz val="9"/>
            <rFont val="Tahoma"/>
            <family val="2"/>
          </rPr>
          <t xml:space="preserve">
Model currently has confirmed dividend per share and guided share repurchase amounts. Would have to stray from other guidance items to tune</t>
        </r>
      </text>
    </comment>
    <comment ref="I105" authorId="0" shapeId="0" xr:uid="{00000000-0006-0000-0200-00004F000000}">
      <text>
        <r>
          <rPr>
            <b/>
            <sz val="9"/>
            <rFont val="Tahoma"/>
            <family val="2"/>
          </rPr>
          <t>Author:</t>
        </r>
        <r>
          <rPr>
            <sz val="9"/>
            <rFont val="Tahoma"/>
            <family val="2"/>
          </rPr>
          <t xml:space="preserve">
$3B +/- 20%</t>
        </r>
      </text>
    </comment>
    <comment ref="J105" authorId="0" shapeId="0" xr:uid="{00000000-0006-0000-0200-000050000000}">
      <text>
        <r>
          <rPr>
            <b/>
            <sz val="9"/>
            <rFont val="Tahoma"/>
            <family val="2"/>
          </rPr>
          <t>Author:</t>
        </r>
        <r>
          <rPr>
            <sz val="9"/>
            <rFont val="Tahoma"/>
            <family val="2"/>
          </rPr>
          <t xml:space="preserve">
$3B +/- 20%</t>
        </r>
      </text>
    </comment>
    <comment ref="N107" authorId="0" shapeId="0" xr:uid="{00000000-0006-0000-0200-000051000000}">
      <text>
        <r>
          <rPr>
            <b/>
            <sz val="9"/>
            <rFont val="Tahoma"/>
            <family val="2"/>
          </rPr>
          <t>Author:</t>
        </r>
        <r>
          <rPr>
            <sz val="9"/>
            <rFont val="Tahoma"/>
            <family val="2"/>
          </rPr>
          <t xml:space="preserve">
Not forecasted out separately in the model.</t>
        </r>
      </text>
    </comment>
    <comment ref="N108" authorId="0" shapeId="0" xr:uid="{00000000-0006-0000-0200-000052000000}">
      <text>
        <r>
          <rPr>
            <b/>
            <sz val="9"/>
            <rFont val="Tahoma"/>
            <family val="2"/>
          </rPr>
          <t>Author:</t>
        </r>
        <r>
          <rPr>
            <sz val="9"/>
            <rFont val="Tahoma"/>
            <family val="2"/>
          </rPr>
          <t xml:space="preserve">
Not forecasted out separately in the model.</t>
        </r>
      </text>
    </comment>
    <comment ref="N110" authorId="0" shapeId="0" xr:uid="{00000000-0006-0000-0200-000053000000}">
      <text>
        <r>
          <rPr>
            <b/>
            <sz val="9"/>
            <rFont val="Tahoma"/>
            <family val="2"/>
          </rPr>
          <t>Author:</t>
        </r>
        <r>
          <rPr>
            <sz val="9"/>
            <rFont val="Tahoma"/>
            <family val="2"/>
          </rPr>
          <t xml:space="preserve">
Not forecasted out separately in the model.</t>
        </r>
      </text>
    </comment>
    <comment ref="N111" authorId="0" shapeId="0" xr:uid="{00000000-0006-0000-0200-000054000000}">
      <text>
        <r>
          <rPr>
            <b/>
            <sz val="9"/>
            <rFont val="Tahoma"/>
            <family val="2"/>
          </rPr>
          <t>Author:</t>
        </r>
        <r>
          <rPr>
            <sz val="9"/>
            <rFont val="Tahoma"/>
            <family val="2"/>
          </rPr>
          <t xml:space="preserve">
Not forecasted out separately in the model.</t>
        </r>
      </text>
    </comment>
    <comment ref="N114" authorId="0" shapeId="0" xr:uid="{00000000-0006-0000-0200-000055000000}">
      <text>
        <r>
          <rPr>
            <b/>
            <sz val="9"/>
            <rFont val="Tahoma"/>
            <family val="2"/>
          </rPr>
          <t>Author:</t>
        </r>
        <r>
          <rPr>
            <sz val="9"/>
            <rFont val="Tahoma"/>
            <family val="2"/>
          </rPr>
          <t xml:space="preserve">
Not forecasted out separately in the model.</t>
        </r>
      </text>
    </comment>
    <comment ref="N115" authorId="0" shapeId="0" xr:uid="{00000000-0006-0000-0200-000056000000}">
      <text>
        <r>
          <rPr>
            <b/>
            <sz val="9"/>
            <rFont val="Tahoma"/>
            <family val="2"/>
          </rPr>
          <t>Author:</t>
        </r>
        <r>
          <rPr>
            <sz val="9"/>
            <rFont val="Tahoma"/>
            <family val="2"/>
          </rPr>
          <t xml:space="preserve">
Not forecasted out separately in the model.</t>
        </r>
      </text>
    </comment>
    <comment ref="N116" authorId="0" shapeId="0" xr:uid="{00000000-0006-0000-0200-000057000000}">
      <text>
        <r>
          <rPr>
            <b/>
            <sz val="9"/>
            <rFont val="Tahoma"/>
            <family val="2"/>
          </rPr>
          <t>Author:</t>
        </r>
        <r>
          <rPr>
            <sz val="9"/>
            <rFont val="Tahoma"/>
            <family val="2"/>
          </rPr>
          <t xml:space="preserve">
Not forecasted out separately in the model.</t>
        </r>
      </text>
    </comment>
    <comment ref="N118" authorId="0" shapeId="0" xr:uid="{00000000-0006-0000-0200-000058000000}">
      <text>
        <r>
          <rPr>
            <b/>
            <sz val="9"/>
            <rFont val="Tahoma"/>
            <family val="2"/>
          </rPr>
          <t>Author:</t>
        </r>
        <r>
          <rPr>
            <sz val="9"/>
            <rFont val="Tahoma"/>
            <family val="2"/>
          </rPr>
          <t xml:space="preserve">
Not forecasted out separately in the model.</t>
        </r>
      </text>
    </comment>
    <comment ref="N119" authorId="0" shapeId="0" xr:uid="{00000000-0006-0000-0200-000059000000}">
      <text>
        <r>
          <rPr>
            <b/>
            <sz val="9"/>
            <rFont val="Tahoma"/>
            <family val="2"/>
          </rPr>
          <t>Author:</t>
        </r>
        <r>
          <rPr>
            <sz val="9"/>
            <rFont val="Tahoma"/>
            <family val="2"/>
          </rPr>
          <t xml:space="preserve">
Not forecasted out separately in the model.</t>
        </r>
      </text>
    </comment>
    <comment ref="N120" authorId="0" shapeId="0" xr:uid="{00000000-0006-0000-0200-00005A000000}">
      <text>
        <r>
          <rPr>
            <b/>
            <sz val="9"/>
            <rFont val="Tahoma"/>
            <family val="2"/>
          </rPr>
          <t>Author:</t>
        </r>
        <r>
          <rPr>
            <sz val="9"/>
            <rFont val="Tahoma"/>
            <family val="2"/>
          </rPr>
          <t xml:space="preserve">
Not forecasted out separately in the model.</t>
        </r>
      </text>
    </comment>
    <comment ref="N123" authorId="0" shapeId="0" xr:uid="{00000000-0006-0000-0200-00005B000000}">
      <text>
        <r>
          <rPr>
            <b/>
            <sz val="9"/>
            <rFont val="Tahoma"/>
            <family val="2"/>
          </rPr>
          <t>Author:</t>
        </r>
        <r>
          <rPr>
            <sz val="9"/>
            <rFont val="Tahoma"/>
            <family val="2"/>
          </rPr>
          <t xml:space="preserve">
Not forecasted out separately in the model.</t>
        </r>
      </text>
    </comment>
    <comment ref="N124" authorId="0" shapeId="0" xr:uid="{00000000-0006-0000-0200-00005C000000}">
      <text>
        <r>
          <rPr>
            <b/>
            <sz val="9"/>
            <rFont val="Tahoma"/>
            <family val="2"/>
          </rPr>
          <t>Author:</t>
        </r>
        <r>
          <rPr>
            <sz val="9"/>
            <rFont val="Tahoma"/>
            <family val="2"/>
          </rPr>
          <t xml:space="preserve">
Not forecasted out separately in the model.</t>
        </r>
      </text>
    </comment>
    <comment ref="N127" authorId="0" shapeId="0" xr:uid="{00000000-0006-0000-0200-00005D000000}">
      <text>
        <r>
          <rPr>
            <b/>
            <sz val="9"/>
            <rFont val="Tahoma"/>
            <family val="2"/>
          </rPr>
          <t>Author:</t>
        </r>
        <r>
          <rPr>
            <sz val="9"/>
            <rFont val="Tahoma"/>
            <family val="2"/>
          </rPr>
          <t xml:space="preserve">
Not forecasted out separately in the model.</t>
        </r>
      </text>
    </comment>
    <comment ref="N128" authorId="0" shapeId="0" xr:uid="{00000000-0006-0000-0200-00005E000000}">
      <text>
        <r>
          <rPr>
            <b/>
            <sz val="9"/>
            <rFont val="Tahoma"/>
            <family val="2"/>
          </rPr>
          <t>Author:</t>
        </r>
        <r>
          <rPr>
            <sz val="9"/>
            <rFont val="Tahoma"/>
            <family val="2"/>
          </rPr>
          <t xml:space="preserve">
Not forecasted out separately in the model.</t>
        </r>
      </text>
    </comment>
    <comment ref="N130" authorId="0" shapeId="0" xr:uid="{00000000-0006-0000-0200-00005F000000}">
      <text>
        <r>
          <rPr>
            <b/>
            <sz val="9"/>
            <rFont val="Tahoma"/>
            <family val="2"/>
          </rPr>
          <t>Author:</t>
        </r>
        <r>
          <rPr>
            <sz val="9"/>
            <rFont val="Tahoma"/>
            <family val="2"/>
          </rPr>
          <t xml:space="preserve">
Company2747 model does not forecast this number.</t>
        </r>
      </text>
    </comment>
    <comment ref="N132" authorId="0" shapeId="0" xr:uid="{00000000-0006-0000-0200-000060000000}">
      <text>
        <r>
          <rPr>
            <b/>
            <sz val="9"/>
            <rFont val="Tahoma"/>
            <family val="2"/>
          </rPr>
          <t>Author:</t>
        </r>
        <r>
          <rPr>
            <sz val="9"/>
            <rFont val="Tahoma"/>
            <family val="2"/>
          </rPr>
          <t xml:space="preserve">
Not forecasted out separately in the model.</t>
        </r>
      </text>
    </comment>
    <comment ref="N133" authorId="0" shapeId="0" xr:uid="{00000000-0006-0000-0200-000061000000}">
      <text>
        <r>
          <rPr>
            <b/>
            <sz val="9"/>
            <rFont val="Tahoma"/>
            <family val="2"/>
          </rPr>
          <t>Author:</t>
        </r>
        <r>
          <rPr>
            <sz val="9"/>
            <rFont val="Tahoma"/>
            <family val="2"/>
          </rPr>
          <t xml:space="preserve">
Not forecasted out separately in the model.</t>
        </r>
      </text>
    </comment>
    <comment ref="N135" authorId="0" shapeId="0" xr:uid="{00000000-0006-0000-0200-000062000000}">
      <text>
        <r>
          <rPr>
            <b/>
            <sz val="9"/>
            <rFont val="Tahoma"/>
            <family val="2"/>
          </rPr>
          <t>Author:</t>
        </r>
        <r>
          <rPr>
            <sz val="9"/>
            <rFont val="Tahoma"/>
            <family val="2"/>
          </rPr>
          <t xml:space="preserve">
Not forecasted out separately in the model.</t>
        </r>
      </text>
    </comment>
    <comment ref="N136" authorId="0" shapeId="0" xr:uid="{00000000-0006-0000-0200-000063000000}">
      <text>
        <r>
          <rPr>
            <b/>
            <sz val="9"/>
            <rFont val="Tahoma"/>
            <family val="2"/>
          </rPr>
          <t>Author:</t>
        </r>
        <r>
          <rPr>
            <sz val="9"/>
            <rFont val="Tahoma"/>
            <family val="2"/>
          </rPr>
          <t xml:space="preserve">
Not forecasted out separately in the model.</t>
        </r>
      </text>
    </comment>
    <comment ref="N137" authorId="0" shapeId="0" xr:uid="{00000000-0006-0000-0200-000064000000}">
      <text>
        <r>
          <rPr>
            <b/>
            <sz val="9"/>
            <rFont val="Tahoma"/>
            <family val="2"/>
          </rPr>
          <t>Author:</t>
        </r>
        <r>
          <rPr>
            <sz val="9"/>
            <rFont val="Tahoma"/>
            <family val="2"/>
          </rPr>
          <t xml:space="preserve">
Not forecasted out separately in the model.</t>
        </r>
      </text>
    </comment>
    <comment ref="I139" authorId="0" shapeId="0" xr:uid="{00000000-0006-0000-0200-000065000000}">
      <text>
        <r>
          <rPr>
            <b/>
            <sz val="9"/>
            <rFont val="Tahoma"/>
            <family val="2"/>
          </rPr>
          <t>Author:</t>
        </r>
        <r>
          <rPr>
            <sz val="9"/>
            <rFont val="Tahoma"/>
            <family val="2"/>
          </rPr>
          <t xml:space="preserve">
2022 organic capital and exploratory expenditures will be approximately $15 billion, including $3.6 billion of spending by affiliates</t>
        </r>
      </text>
    </comment>
    <comment ref="J139" authorId="0" shapeId="0" xr:uid="{00000000-0006-0000-0200-000066000000}">
      <text>
        <r>
          <rPr>
            <b/>
            <sz val="9"/>
            <rFont val="Tahoma"/>
            <family val="2"/>
          </rPr>
          <t>Author:</t>
        </r>
        <r>
          <rPr>
            <sz val="9"/>
            <rFont val="Tahoma"/>
            <family val="2"/>
          </rPr>
          <t xml:space="preserve">
2022 organic capital and exploratory expenditures will be approximately $15 billion, including $3.6 billion of spending by affiliates</t>
        </r>
      </text>
    </comment>
    <comment ref="N139" authorId="0" shapeId="0" xr:uid="{00000000-0006-0000-0200-000067000000}">
      <text>
        <r>
          <rPr>
            <b/>
            <sz val="9"/>
            <rFont val="Tahoma"/>
            <family val="2"/>
          </rPr>
          <t>Author:</t>
        </r>
        <r>
          <rPr>
            <sz val="9"/>
            <rFont val="Tahoma"/>
            <family val="2"/>
          </rPr>
          <t xml:space="preserve">
Not forecasted out separately in the model.</t>
        </r>
      </text>
    </comment>
    <comment ref="N140" authorId="0" shapeId="0" xr:uid="{00000000-0006-0000-0200-000068000000}">
      <text>
        <r>
          <rPr>
            <b/>
            <sz val="9"/>
            <rFont val="Tahoma"/>
            <family val="2"/>
          </rPr>
          <t>Author:</t>
        </r>
        <r>
          <rPr>
            <sz val="9"/>
            <rFont val="Tahoma"/>
            <family val="2"/>
          </rPr>
          <t xml:space="preserve">
Not forecasted out separately in the model.</t>
        </r>
      </text>
    </comment>
    <comment ref="N141" authorId="0" shapeId="0" xr:uid="{00000000-0006-0000-0200-000069000000}">
      <text>
        <r>
          <rPr>
            <b/>
            <sz val="9"/>
            <rFont val="Tahoma"/>
            <family val="2"/>
          </rPr>
          <t>Author:</t>
        </r>
        <r>
          <rPr>
            <sz val="9"/>
            <rFont val="Tahoma"/>
            <family val="2"/>
          </rPr>
          <t xml:space="preserve">
Not forecasted out separately in the model.</t>
        </r>
      </text>
    </comment>
    <comment ref="N142" authorId="0" shapeId="0" xr:uid="{00000000-0006-0000-0200-00006A000000}">
      <text>
        <r>
          <rPr>
            <b/>
            <sz val="9"/>
            <rFont val="Tahoma"/>
            <family val="2"/>
          </rPr>
          <t>Author:</t>
        </r>
        <r>
          <rPr>
            <sz val="9"/>
            <rFont val="Tahoma"/>
            <family val="2"/>
          </rPr>
          <t xml:space="preserve">
Not forecasted out separately in the model.</t>
        </r>
      </text>
    </comment>
    <comment ref="N145" authorId="0" shapeId="0" xr:uid="{00000000-0006-0000-0200-00006B000000}">
      <text>
        <r>
          <rPr>
            <b/>
            <sz val="9"/>
            <rFont val="Tahoma"/>
            <family val="2"/>
          </rPr>
          <t>Author:</t>
        </r>
        <r>
          <rPr>
            <sz val="9"/>
            <rFont val="Tahoma"/>
            <family val="2"/>
          </rPr>
          <t xml:space="preserve">
Not forecasted out separately in the model.</t>
        </r>
      </text>
    </comment>
    <comment ref="N147" authorId="0" shapeId="0" xr:uid="{00000000-0006-0000-0200-00006C000000}">
      <text>
        <r>
          <rPr>
            <b/>
            <sz val="9"/>
            <rFont val="Tahoma"/>
            <family val="2"/>
          </rPr>
          <t>Author:</t>
        </r>
        <r>
          <rPr>
            <sz val="9"/>
            <rFont val="Tahoma"/>
            <family val="2"/>
          </rPr>
          <t xml:space="preserve">
Not forecasted out separately in the model.</t>
        </r>
      </text>
    </comment>
    <comment ref="N148" authorId="0" shapeId="0" xr:uid="{00000000-0006-0000-0200-00006D000000}">
      <text>
        <r>
          <rPr>
            <b/>
            <sz val="9"/>
            <rFont val="Tahoma"/>
            <family val="2"/>
          </rPr>
          <t>Author:</t>
        </r>
        <r>
          <rPr>
            <sz val="9"/>
            <rFont val="Tahoma"/>
            <family val="2"/>
          </rPr>
          <t xml:space="preserve">
Not forecasted out separately in the model.</t>
        </r>
      </text>
    </comment>
    <comment ref="N149" authorId="0" shapeId="0" xr:uid="{00000000-0006-0000-0200-00006E000000}">
      <text>
        <r>
          <rPr>
            <b/>
            <sz val="9"/>
            <rFont val="Tahoma"/>
            <family val="2"/>
          </rPr>
          <t>Author:</t>
        </r>
        <r>
          <rPr>
            <sz val="9"/>
            <rFont val="Tahoma"/>
            <family val="2"/>
          </rPr>
          <t xml:space="preserve">
Not forecasted out separately in the model.</t>
        </r>
      </text>
    </comment>
    <comment ref="N152" authorId="0" shapeId="0" xr:uid="{00000000-0006-0000-0200-00006F000000}">
      <text>
        <r>
          <rPr>
            <b/>
            <sz val="9"/>
            <rFont val="Tahoma"/>
            <family val="2"/>
          </rPr>
          <t>Author:</t>
        </r>
        <r>
          <rPr>
            <sz val="9"/>
            <rFont val="Tahoma"/>
            <family val="2"/>
          </rPr>
          <t xml:space="preserve">
Not forecasted out separately in the model.</t>
        </r>
      </text>
    </comment>
    <comment ref="N154" authorId="0" shapeId="0" xr:uid="{00000000-0006-0000-0200-000070000000}">
      <text>
        <r>
          <rPr>
            <b/>
            <sz val="9"/>
            <rFont val="Tahoma"/>
            <family val="2"/>
          </rPr>
          <t>Author:</t>
        </r>
        <r>
          <rPr>
            <sz val="9"/>
            <rFont val="Tahoma"/>
            <family val="2"/>
          </rPr>
          <t xml:space="preserve">
Not forecasted out separately in the model.</t>
        </r>
      </text>
    </comment>
    <comment ref="N156" authorId="0" shapeId="0" xr:uid="{00000000-0006-0000-0200-000071000000}">
      <text>
        <r>
          <rPr>
            <b/>
            <sz val="9"/>
            <rFont val="Tahoma"/>
            <family val="2"/>
          </rPr>
          <t>Author:</t>
        </r>
        <r>
          <rPr>
            <sz val="9"/>
            <rFont val="Tahoma"/>
            <family val="2"/>
          </rPr>
          <t xml:space="preserve">
Not forecasted out separately in the model.</t>
        </r>
      </text>
    </comment>
    <comment ref="N157" authorId="0" shapeId="0" xr:uid="{00000000-0006-0000-0200-000072000000}">
      <text>
        <r>
          <rPr>
            <b/>
            <sz val="9"/>
            <rFont val="Tahoma"/>
            <family val="2"/>
          </rPr>
          <t>Author:</t>
        </r>
        <r>
          <rPr>
            <sz val="9"/>
            <rFont val="Tahoma"/>
            <family val="2"/>
          </rPr>
          <t xml:space="preserve">
Not forecasted out separately in the model.</t>
        </r>
      </text>
    </comment>
    <comment ref="N160" authorId="0" shapeId="0" xr:uid="{00000000-0006-0000-0200-000073000000}">
      <text>
        <r>
          <rPr>
            <b/>
            <sz val="9"/>
            <rFont val="Tahoma"/>
            <family val="2"/>
          </rPr>
          <t>Author:</t>
        </r>
        <r>
          <rPr>
            <sz val="9"/>
            <rFont val="Tahoma"/>
            <family val="2"/>
          </rPr>
          <t xml:space="preserve">
Not forecasted out separately in the model.</t>
        </r>
      </text>
    </comment>
    <comment ref="N161" authorId="0" shapeId="0" xr:uid="{00000000-0006-0000-0200-000074000000}">
      <text>
        <r>
          <rPr>
            <b/>
            <sz val="9"/>
            <rFont val="Tahoma"/>
            <family val="2"/>
          </rPr>
          <t>Author:</t>
        </r>
        <r>
          <rPr>
            <sz val="9"/>
            <rFont val="Tahoma"/>
            <family val="2"/>
          </rPr>
          <t xml:space="preserve">
Not forecasted out separately in the model.</t>
        </r>
      </text>
    </comment>
    <comment ref="N162" authorId="0" shapeId="0" xr:uid="{00000000-0006-0000-0200-000075000000}">
      <text>
        <r>
          <rPr>
            <b/>
            <sz val="9"/>
            <rFont val="Tahoma"/>
            <family val="2"/>
          </rPr>
          <t>Author:</t>
        </r>
        <r>
          <rPr>
            <sz val="9"/>
            <rFont val="Tahoma"/>
            <family val="2"/>
          </rPr>
          <t xml:space="preserve">
Not forecasted out separately in the model.</t>
        </r>
      </text>
    </comment>
    <comment ref="N164" authorId="0" shapeId="0" xr:uid="{00000000-0006-0000-0200-000076000000}">
      <text>
        <r>
          <rPr>
            <b/>
            <sz val="9"/>
            <rFont val="Tahoma"/>
            <family val="2"/>
          </rPr>
          <t>Author:</t>
        </r>
        <r>
          <rPr>
            <sz val="9"/>
            <rFont val="Tahoma"/>
            <family val="2"/>
          </rPr>
          <t xml:space="preserve">
Not forecasted out separately in the model.</t>
        </r>
      </text>
    </comment>
    <comment ref="N166" authorId="0" shapeId="0" xr:uid="{00000000-0006-0000-0200-000077000000}">
      <text>
        <r>
          <rPr>
            <b/>
            <sz val="9"/>
            <rFont val="Tahoma"/>
            <family val="2"/>
          </rPr>
          <t>Author:</t>
        </r>
        <r>
          <rPr>
            <sz val="9"/>
            <rFont val="Tahoma"/>
            <family val="2"/>
          </rPr>
          <t xml:space="preserve">
Not forecasted out separately in the model.</t>
        </r>
      </text>
    </comment>
    <comment ref="K167" authorId="0" shapeId="0" xr:uid="{00000000-0006-0000-0200-000078000000}">
      <text>
        <r>
          <rPr>
            <b/>
            <sz val="9"/>
            <rFont val="Tahoma"/>
            <family val="2"/>
          </rPr>
          <t>Author:</t>
        </r>
        <r>
          <rPr>
            <sz val="9"/>
            <rFont val="Tahoma"/>
            <family val="2"/>
          </rPr>
          <t xml:space="preserve">
less than $2 billion</t>
        </r>
      </text>
    </comment>
    <comment ref="N167" authorId="0" shapeId="0" xr:uid="{00000000-0006-0000-0200-000079000000}">
      <text>
        <r>
          <rPr>
            <b/>
            <sz val="9"/>
            <rFont val="Tahoma"/>
            <family val="2"/>
          </rPr>
          <t>Author:</t>
        </r>
        <r>
          <rPr>
            <sz val="9"/>
            <rFont val="Tahoma"/>
            <family val="2"/>
          </rPr>
          <t xml:space="preserve">
Not forecasted out separately in the model.</t>
        </r>
      </text>
    </comment>
    <comment ref="N168" authorId="0" shapeId="0" xr:uid="{00000000-0006-0000-0200-00007A000000}">
      <text>
        <r>
          <rPr>
            <b/>
            <sz val="9"/>
            <rFont val="Tahoma"/>
            <family val="2"/>
          </rPr>
          <t>Author:</t>
        </r>
        <r>
          <rPr>
            <sz val="9"/>
            <rFont val="Tahoma"/>
            <family val="2"/>
          </rPr>
          <t xml:space="preserve">
Company2747 model does not forecast this number.</t>
        </r>
      </text>
    </comment>
    <comment ref="I169" authorId="0" shapeId="0" xr:uid="{00000000-0006-0000-0200-00007B000000}">
      <text>
        <r>
          <rPr>
            <b/>
            <sz val="9"/>
            <rFont val="Tahoma"/>
            <family val="2"/>
          </rPr>
          <t>Author:</t>
        </r>
        <r>
          <rPr>
            <sz val="9"/>
            <rFont val="Tahoma"/>
            <family val="2"/>
          </rPr>
          <t xml:space="preserve">
Expected proceeds are before tax</t>
        </r>
      </text>
    </comment>
    <comment ref="J169" authorId="0" shapeId="0" xr:uid="{00000000-0006-0000-0200-00007C000000}">
      <text>
        <r>
          <rPr>
            <b/>
            <sz val="9"/>
            <rFont val="Tahoma"/>
            <family val="2"/>
          </rPr>
          <t>Author:</t>
        </r>
        <r>
          <rPr>
            <sz val="9"/>
            <rFont val="Tahoma"/>
            <family val="2"/>
          </rPr>
          <t xml:space="preserve">
Expected proceeds are before tax</t>
        </r>
      </text>
    </comment>
    <comment ref="K169" authorId="0" shapeId="0" xr:uid="{00000000-0006-0000-0200-00007D000000}">
      <text>
        <r>
          <rPr>
            <b/>
            <sz val="9"/>
            <rFont val="Tahoma"/>
            <family val="2"/>
          </rPr>
          <t>Author:</t>
        </r>
        <r>
          <rPr>
            <sz val="9"/>
            <rFont val="Tahoma"/>
            <family val="2"/>
          </rPr>
          <t xml:space="preserve">
Expected proceeds are before tax</t>
        </r>
      </text>
    </comment>
    <comment ref="Q169" authorId="0" shapeId="0" xr:uid="{00000000-0006-0000-0200-00007E000000}">
      <text>
        <r>
          <rPr>
            <b/>
            <sz val="9"/>
            <rFont val="Tahoma"/>
            <family val="2"/>
          </rPr>
          <t>Author:</t>
        </r>
        <r>
          <rPr>
            <sz val="9"/>
            <rFont val="Tahoma"/>
            <family val="2"/>
          </rPr>
          <t xml:space="preserve">
Divestitures not forecasted</t>
        </r>
      </text>
    </comment>
    <comment ref="N171" authorId="0" shapeId="0" xr:uid="{00000000-0006-0000-0200-00007F000000}">
      <text>
        <r>
          <rPr>
            <b/>
            <sz val="9"/>
            <rFont val="Tahoma"/>
            <family val="2"/>
          </rPr>
          <t>Author:</t>
        </r>
        <r>
          <rPr>
            <sz val="9"/>
            <rFont val="Tahoma"/>
            <family val="2"/>
          </rPr>
          <t xml:space="preserve">
Not forecasted out separately in the model.</t>
        </r>
      </text>
    </comment>
    <comment ref="N172" authorId="0" shapeId="0" xr:uid="{00000000-0006-0000-0200-000080000000}">
      <text>
        <r>
          <rPr>
            <b/>
            <sz val="9"/>
            <rFont val="Tahoma"/>
            <family val="2"/>
          </rPr>
          <t>Author:</t>
        </r>
        <r>
          <rPr>
            <sz val="9"/>
            <rFont val="Tahoma"/>
            <family val="2"/>
          </rPr>
          <t xml:space="preserve">
Not forecasted out separately in the model.</t>
        </r>
      </text>
    </comment>
    <comment ref="N173" authorId="0" shapeId="0" xr:uid="{00000000-0006-0000-0200-000081000000}">
      <text>
        <r>
          <rPr>
            <b/>
            <sz val="9"/>
            <rFont val="Tahoma"/>
            <family val="2"/>
          </rPr>
          <t>Author:</t>
        </r>
        <r>
          <rPr>
            <sz val="9"/>
            <rFont val="Tahoma"/>
            <family val="2"/>
          </rPr>
          <t xml:space="preserve">
Not forecasted out separately in the model.</t>
        </r>
      </text>
    </comment>
    <comment ref="N174" authorId="0" shapeId="0" xr:uid="{00000000-0006-0000-0200-000082000000}">
      <text>
        <r>
          <rPr>
            <b/>
            <sz val="9"/>
            <rFont val="Tahoma"/>
            <family val="2"/>
          </rPr>
          <t>Author:</t>
        </r>
        <r>
          <rPr>
            <sz val="9"/>
            <rFont val="Tahoma"/>
            <family val="2"/>
          </rPr>
          <t xml:space="preserve">
Not forecasted out separately in the model.</t>
        </r>
      </text>
    </comment>
    <comment ref="N177" authorId="0" shapeId="0" xr:uid="{00000000-0006-0000-0200-000083000000}">
      <text>
        <r>
          <rPr>
            <b/>
            <sz val="9"/>
            <rFont val="Tahoma"/>
            <family val="2"/>
          </rPr>
          <t>Author:</t>
        </r>
        <r>
          <rPr>
            <sz val="9"/>
            <rFont val="Tahoma"/>
            <family val="2"/>
          </rPr>
          <t xml:space="preserve">
Not forecasted out separately in the model.</t>
        </r>
      </text>
    </comment>
    <comment ref="N178" authorId="0" shapeId="0" xr:uid="{00000000-0006-0000-0200-000084000000}">
      <text>
        <r>
          <rPr>
            <b/>
            <sz val="9"/>
            <rFont val="Tahoma"/>
            <family val="2"/>
          </rPr>
          <t>Author:</t>
        </r>
        <r>
          <rPr>
            <sz val="9"/>
            <rFont val="Tahoma"/>
            <family val="2"/>
          </rPr>
          <t xml:space="preserve">
Not forecasted out separately in the model.</t>
        </r>
      </text>
    </comment>
    <comment ref="N179" authorId="0" shapeId="0" xr:uid="{00000000-0006-0000-0200-000085000000}">
      <text>
        <r>
          <rPr>
            <b/>
            <sz val="9"/>
            <rFont val="Tahoma"/>
            <family val="2"/>
          </rPr>
          <t>Author:</t>
        </r>
        <r>
          <rPr>
            <sz val="9"/>
            <rFont val="Tahoma"/>
            <family val="2"/>
          </rPr>
          <t xml:space="preserve">
Company2747 model does not forecast this number.</t>
        </r>
      </text>
    </comment>
    <comment ref="I180" authorId="0" shapeId="0" xr:uid="{00000000-0006-0000-0200-000086000000}">
      <text>
        <r>
          <rPr>
            <b/>
            <sz val="9"/>
            <rFont val="Tahoma"/>
            <family val="2"/>
          </rPr>
          <t>Author:</t>
        </r>
        <r>
          <rPr>
            <sz val="9"/>
            <rFont val="Tahoma"/>
            <family val="2"/>
          </rPr>
          <t xml:space="preserve">
Expected proceeds are before tax</t>
        </r>
      </text>
    </comment>
    <comment ref="J180" authorId="0" shapeId="0" xr:uid="{00000000-0006-0000-0200-000087000000}">
      <text>
        <r>
          <rPr>
            <b/>
            <sz val="9"/>
            <rFont val="Tahoma"/>
            <family val="2"/>
          </rPr>
          <t>Author:</t>
        </r>
        <r>
          <rPr>
            <sz val="9"/>
            <rFont val="Tahoma"/>
            <family val="2"/>
          </rPr>
          <t xml:space="preserve">
Expected proceeds are before tax</t>
        </r>
      </text>
    </comment>
    <comment ref="K180" authorId="0" shapeId="0" xr:uid="{00000000-0006-0000-0200-000088000000}">
      <text>
        <r>
          <rPr>
            <b/>
            <sz val="9"/>
            <rFont val="Tahoma"/>
            <family val="2"/>
          </rPr>
          <t>Author:</t>
        </r>
        <r>
          <rPr>
            <sz val="9"/>
            <rFont val="Tahoma"/>
            <family val="2"/>
          </rPr>
          <t xml:space="preserve">
Expected proceeds are before tax</t>
        </r>
      </text>
    </comment>
    <comment ref="Q180" authorId="0" shapeId="0" xr:uid="{00000000-0006-0000-0200-000089000000}">
      <text>
        <r>
          <rPr>
            <b/>
            <sz val="9"/>
            <rFont val="Tahoma"/>
            <family val="2"/>
          </rPr>
          <t>Author:</t>
        </r>
        <r>
          <rPr>
            <sz val="9"/>
            <rFont val="Tahoma"/>
            <family val="2"/>
          </rPr>
          <t xml:space="preserve">
Divestitures not forecasted</t>
        </r>
      </text>
    </comment>
    <comment ref="N182" authorId="0" shapeId="0" xr:uid="{00000000-0006-0000-0200-00008A000000}">
      <text>
        <r>
          <rPr>
            <b/>
            <sz val="9"/>
            <rFont val="Tahoma"/>
            <family val="2"/>
          </rPr>
          <t>Author:</t>
        </r>
        <r>
          <rPr>
            <sz val="9"/>
            <rFont val="Tahoma"/>
            <family val="2"/>
          </rPr>
          <t xml:space="preserve">
Not forecasted out separately in the model.</t>
        </r>
      </text>
    </comment>
    <comment ref="N183" authorId="0" shapeId="0" xr:uid="{00000000-0006-0000-0200-00008B000000}">
      <text>
        <r>
          <rPr>
            <b/>
            <sz val="9"/>
            <rFont val="Tahoma"/>
            <family val="2"/>
          </rPr>
          <t>Author:</t>
        </r>
        <r>
          <rPr>
            <sz val="9"/>
            <rFont val="Tahoma"/>
            <family val="2"/>
          </rPr>
          <t xml:space="preserve">
Not forecasted out separately in the model.</t>
        </r>
      </text>
    </comment>
    <comment ref="I184" authorId="0" shapeId="0" xr:uid="{00000000-0006-0000-0200-00008C000000}">
      <text>
        <r>
          <rPr>
            <b/>
            <sz val="9"/>
            <rFont val="Tahoma"/>
            <family val="2"/>
          </rPr>
          <t>Author:</t>
        </r>
        <r>
          <rPr>
            <sz val="9"/>
            <rFont val="Tahoma"/>
            <family val="2"/>
          </rPr>
          <t xml:space="preserve">
In the upstream business, approximately $6.5 billion is allocated to currently producing assets, including about $2 billion for Permian unconventional development. Approximately $3.5 billion of the upstream program is planned for major capital projects underway, of which about 75 percent is associated with the Future Growth Project and Wellhead Pressure Management Project (FGP / WPMP) at the Tengiz field in Kazakhstan. The remaining $1.5 billion is allocated to exploration, early stage development projects, and midstream activities.</t>
        </r>
      </text>
    </comment>
    <comment ref="J184" authorId="0" shapeId="0" xr:uid="{00000000-0006-0000-0200-00008D000000}">
      <text>
        <r>
          <rPr>
            <b/>
            <sz val="9"/>
            <rFont val="Tahoma"/>
            <family val="2"/>
          </rPr>
          <t>Author:</t>
        </r>
        <r>
          <rPr>
            <sz val="9"/>
            <rFont val="Tahoma"/>
            <family val="2"/>
          </rPr>
          <t xml:space="preserve">
In the upstream business, approximately $6.5 billion is allocated to currently producing assets, including about $2 billion for Permian unconventional development. Approximately $3.5 billion of the upstream program is planned for major capital projects underway, of which about 75 percent is associated with the Future Growth Project and Wellhead Pressure Management Project (FGP / WPMP) at the Tengiz field in Kazakhstan. The remaining $1.5 billion is allocated to exploration, early stage development projects, and midstream activities.</t>
        </r>
      </text>
    </comment>
    <comment ref="N184" authorId="0" shapeId="0" xr:uid="{00000000-0006-0000-0200-00008E000000}">
      <text>
        <r>
          <rPr>
            <b/>
            <sz val="9"/>
            <rFont val="Tahoma"/>
            <family val="2"/>
          </rPr>
          <t>Author:</t>
        </r>
        <r>
          <rPr>
            <sz val="9"/>
            <rFont val="Tahoma"/>
            <family val="2"/>
          </rPr>
          <t xml:space="preserve">
Not forecasted out separately in the model.</t>
        </r>
      </text>
    </comment>
    <comment ref="N185" authorId="0" shapeId="0" xr:uid="{00000000-0006-0000-0200-00008F000000}">
      <text>
        <r>
          <rPr>
            <b/>
            <sz val="9"/>
            <rFont val="Tahoma"/>
            <family val="2"/>
          </rPr>
          <t>Author:</t>
        </r>
        <r>
          <rPr>
            <sz val="9"/>
            <rFont val="Tahoma"/>
            <family val="2"/>
          </rPr>
          <t xml:space="preserve">
Not forecasted out separately in the model.</t>
        </r>
      </text>
    </comment>
    <comment ref="N186" authorId="0" shapeId="0" xr:uid="{00000000-0006-0000-0200-000090000000}">
      <text>
        <r>
          <rPr>
            <b/>
            <sz val="9"/>
            <rFont val="Tahoma"/>
            <family val="2"/>
          </rPr>
          <t>Author:</t>
        </r>
        <r>
          <rPr>
            <sz val="9"/>
            <rFont val="Tahoma"/>
            <family val="2"/>
          </rPr>
          <t xml:space="preserve">
Not forecasted out separately in the model.</t>
        </r>
      </text>
    </comment>
    <comment ref="N187" authorId="0" shapeId="0" xr:uid="{00000000-0006-0000-0200-000091000000}">
      <text>
        <r>
          <rPr>
            <b/>
            <sz val="9"/>
            <rFont val="Tahoma"/>
            <family val="2"/>
          </rPr>
          <t>Author:</t>
        </r>
        <r>
          <rPr>
            <sz val="9"/>
            <rFont val="Tahoma"/>
            <family val="2"/>
          </rPr>
          <t xml:space="preserve">
Not forecasted out separately in the model.</t>
        </r>
      </text>
    </comment>
    <comment ref="N188" authorId="0" shapeId="0" xr:uid="{00000000-0006-0000-0200-000092000000}">
      <text>
        <r>
          <rPr>
            <b/>
            <sz val="9"/>
            <rFont val="Tahoma"/>
            <family val="2"/>
          </rPr>
          <t>Author:</t>
        </r>
        <r>
          <rPr>
            <sz val="9"/>
            <rFont val="Tahoma"/>
            <family val="2"/>
          </rPr>
          <t xml:space="preserve">
Not forecasted out separately in the model.</t>
        </r>
      </text>
    </comment>
    <comment ref="N189" authorId="0" shapeId="0" xr:uid="{00000000-0006-0000-0200-000093000000}">
      <text>
        <r>
          <rPr>
            <b/>
            <sz val="9"/>
            <rFont val="Tahoma"/>
            <family val="2"/>
          </rPr>
          <t>Author:</t>
        </r>
        <r>
          <rPr>
            <sz val="9"/>
            <rFont val="Tahoma"/>
            <family val="2"/>
          </rPr>
          <t xml:space="preserve">
Not forecasted out separately in the model.</t>
        </r>
      </text>
    </comment>
    <comment ref="I192" authorId="0" shapeId="0" xr:uid="{00000000-0006-0000-0200-000094000000}">
      <text>
        <r>
          <rPr>
            <b/>
            <sz val="9"/>
            <rFont val="Tahoma"/>
            <family val="2"/>
          </rPr>
          <t>Author:</t>
        </r>
        <r>
          <rPr>
            <sz val="9"/>
            <rFont val="Tahoma"/>
            <family val="2"/>
          </rPr>
          <t xml:space="preserve">
Reaffirmed in Q2-2020</t>
        </r>
      </text>
    </comment>
    <comment ref="J192" authorId="0" shapeId="0" xr:uid="{00000000-0006-0000-0200-000095000000}">
      <text>
        <r>
          <rPr>
            <b/>
            <sz val="9"/>
            <rFont val="Tahoma"/>
            <family val="2"/>
          </rPr>
          <t>Author:</t>
        </r>
        <r>
          <rPr>
            <sz val="9"/>
            <rFont val="Tahoma"/>
            <family val="2"/>
          </rPr>
          <t xml:space="preserve">
Reaffirmed in Q2-2020</t>
        </r>
      </text>
    </comment>
    <comment ref="I193" authorId="0" shapeId="0" xr:uid="{00000000-0006-0000-0200-000096000000}">
      <text>
        <r>
          <rPr>
            <b/>
            <sz val="9"/>
            <rFont val="Tahoma"/>
            <family val="2"/>
          </rPr>
          <t>Author:</t>
        </r>
        <r>
          <rPr>
            <sz val="9"/>
            <rFont val="Tahoma"/>
            <family val="2"/>
          </rPr>
          <t xml:space="preserve">
Reaffirmed in Q2-2020.</t>
        </r>
      </text>
    </comment>
    <comment ref="J193" authorId="0" shapeId="0" xr:uid="{00000000-0006-0000-0200-000097000000}">
      <text>
        <r>
          <rPr>
            <b/>
            <sz val="9"/>
            <rFont val="Tahoma"/>
            <family val="2"/>
          </rPr>
          <t>Author:</t>
        </r>
        <r>
          <rPr>
            <sz val="9"/>
            <rFont val="Tahoma"/>
            <family val="2"/>
          </rPr>
          <t xml:space="preserve">
Reaffirmed in Q2-2020.</t>
        </r>
      </text>
    </comment>
    <comment ref="I196" authorId="0" shapeId="0" xr:uid="{00000000-0006-0000-0200-000098000000}">
      <text>
        <r>
          <rPr>
            <b/>
            <sz val="9"/>
            <rFont val="Tahoma"/>
            <family val="2"/>
          </rPr>
          <t>Author:</t>
        </r>
        <r>
          <rPr>
            <sz val="9"/>
            <rFont val="Tahoma"/>
            <family val="2"/>
          </rPr>
          <t xml:space="preserve">
Permian production by the end of the year 2020 is expected to be about 125,000 barrels of oil equivalent per day, or 20% below prior guidance.. Reaffirmed in Q1-2020</t>
        </r>
      </text>
    </comment>
    <comment ref="J196" authorId="0" shapeId="0" xr:uid="{00000000-0006-0000-0200-000099000000}">
      <text>
        <r>
          <rPr>
            <b/>
            <sz val="9"/>
            <rFont val="Tahoma"/>
            <family val="2"/>
          </rPr>
          <t>Author:</t>
        </r>
        <r>
          <rPr>
            <sz val="9"/>
            <rFont val="Tahoma"/>
            <family val="2"/>
          </rPr>
          <t xml:space="preserve">
Permian production by the end of the year 2020 is expected to be about 125,000 barrels of oil equivalent per day, or 20% below prior guidance.. Reaffirmed in Q1-2020</t>
        </r>
      </text>
    </comment>
    <comment ref="N196" authorId="0" shapeId="0" xr:uid="{00000000-0006-0000-0200-00009A000000}">
      <text>
        <r>
          <rPr>
            <b/>
            <sz val="9"/>
            <rFont val="Tahoma"/>
            <family val="2"/>
          </rPr>
          <t>Author:</t>
        </r>
        <r>
          <rPr>
            <sz val="9"/>
            <rFont val="Tahoma"/>
            <family val="2"/>
          </rPr>
          <t xml:space="preserve">
Company2747 model does not forecast this number.</t>
        </r>
      </text>
    </comment>
    <comment ref="I198" authorId="0" shapeId="0" xr:uid="{00000000-0006-0000-0200-00009B000000}">
      <text>
        <r>
          <rPr>
            <b/>
            <sz val="9"/>
            <rFont val="Tahoma"/>
            <family val="2"/>
          </rPr>
          <t>Author:</t>
        </r>
        <r>
          <rPr>
            <sz val="9"/>
            <rFont val="Tahoma"/>
            <family val="2"/>
          </rPr>
          <t xml:space="preserve">
As a result of Company0670’s disciplined approach to capital allocation and a downward revision in its longer-term commodity price outlook, the company will reduce funding to various gas-related opportunities including Appalachia shale, Kitimat LNG, and other international projects. Company0670 is evaluating its strategic alternatives for these assets, including divestment. In addition, the revised oil price outlook resulted in an impairment at Big Foot. Combined, these actions are estimated to result in non-cash, after tax impairment charges of $10 billion to $11 billion in its fourth quarter 2019 results, more than half related to the Appalachia shale.</t>
        </r>
      </text>
    </comment>
    <comment ref="J198" authorId="0" shapeId="0" xr:uid="{00000000-0006-0000-0200-00009C000000}">
      <text>
        <r>
          <rPr>
            <b/>
            <sz val="9"/>
            <rFont val="Tahoma"/>
            <family val="2"/>
          </rPr>
          <t>Author:</t>
        </r>
        <r>
          <rPr>
            <sz val="9"/>
            <rFont val="Tahoma"/>
            <family val="2"/>
          </rPr>
          <t xml:space="preserve">
As a result of Company0670’s disciplined approach to capital allocation and a downward revision in its longer-term commodity price outlook, the company will reduce funding to various gas-related opportunities including Appalachia shale, Kitimat LNG, and other international projects. Company0670 is evaluating its strategic alternatives for these assets, including divestment. In addition, the revised oil price outlook resulted in an impairment at Big Foot. Combined, these actions are estimated to result in non-cash, after tax impairment charges of $10 billion to $11 billion in its fourth quarter 2019 results, more than half related to the Appalachia shale.</t>
        </r>
      </text>
    </comment>
    <comment ref="K198" authorId="0" shapeId="0" xr:uid="{00000000-0006-0000-0200-00009D000000}">
      <text>
        <r>
          <rPr>
            <b/>
            <sz val="9"/>
            <rFont val="Tahoma"/>
            <family val="2"/>
          </rPr>
          <t>Author:</t>
        </r>
        <r>
          <rPr>
            <sz val="9"/>
            <rFont val="Tahoma"/>
            <family val="2"/>
          </rPr>
          <t xml:space="preserve">
As a result of Company0670’s disciplined approach to capital allocation and a downward revision in its longer-term commodity price outlook, the company will reduce funding to various gas-related opportunities including Appalachia shale, Kitimat LNG, and other international projects. Company0670 is evaluating its strategic alternatives for these assets, including divestment. In addition, the revised oil price outlook resulted in an impairment at Big Foot. Combined, these actions are estimated to result in non-cash, after tax impairment charges of $10 billion to $11 billion in its fourth quarter 2019 results, more than half related to the Appalachia shale.</t>
        </r>
      </text>
    </comment>
    <comment ref="N200" authorId="0" shapeId="0" xr:uid="{00000000-0006-0000-0200-00009E000000}">
      <text>
        <r>
          <rPr>
            <b/>
            <sz val="9"/>
            <rFont val="Tahoma"/>
            <family val="2"/>
          </rPr>
          <t>Author:</t>
        </r>
        <r>
          <rPr>
            <sz val="9"/>
            <rFont val="Tahoma"/>
            <family val="2"/>
          </rPr>
          <t xml:space="preserve">
Not forecasted out separately in the model.</t>
        </r>
      </text>
    </comment>
    <comment ref="N201" authorId="0" shapeId="0" xr:uid="{00000000-0006-0000-0200-00009F000000}">
      <text>
        <r>
          <rPr>
            <b/>
            <sz val="9"/>
            <rFont val="Tahoma"/>
            <family val="2"/>
          </rPr>
          <t>Author:</t>
        </r>
        <r>
          <rPr>
            <sz val="9"/>
            <rFont val="Tahoma"/>
            <family val="2"/>
          </rPr>
          <t xml:space="preserve">
Not forecasted out separately in the model.</t>
        </r>
      </text>
    </comment>
    <comment ref="I202" authorId="0" shapeId="0" xr:uid="{00000000-0006-0000-0200-0000A0000000}">
      <text>
        <r>
          <rPr>
            <b/>
            <sz val="9"/>
            <rFont val="Tahoma"/>
            <family val="2"/>
          </rPr>
          <t>Author:</t>
        </r>
        <r>
          <rPr>
            <sz val="9"/>
            <rFont val="Tahoma"/>
            <family val="2"/>
          </rPr>
          <t xml:space="preserve">
In the upstream business, approximately $11 billion is forecasted to sustain and grow currently producing assets, including about $4 billion for Permian unconventional development and about $1 billion for other international unconventional development. Approximately $5 billion of the upstream program is planned for major capital projects underway, of which about 75 percent is associated with the Future Growth Project and Wellhead Pressure Management Project (FGP / WPMP) at the Tengiz field in Kazakhstan. Global exploration funding is expected to be about $1 billion.</t>
        </r>
      </text>
    </comment>
    <comment ref="J202" authorId="0" shapeId="0" xr:uid="{00000000-0006-0000-0200-0000A1000000}">
      <text>
        <r>
          <rPr>
            <b/>
            <sz val="9"/>
            <rFont val="Tahoma"/>
            <family val="2"/>
          </rPr>
          <t>Author:</t>
        </r>
        <r>
          <rPr>
            <sz val="9"/>
            <rFont val="Tahoma"/>
            <family val="2"/>
          </rPr>
          <t xml:space="preserve">
In the upstream business, approximately $11 billion is forecasted to sustain and grow currently producing assets, including about $4 billion for Permian unconventional development and about $1 billion for other international unconventional development. Approximately $5 billion of the upstream program is planned for major capital projects underway, of which about 75 percent is associated with the Future Growth Project and Wellhead Pressure Management Project (FGP / WPMP) at the Tengiz field in Kazakhstan. Global exploration funding is expected to be about $1 billion.</t>
        </r>
      </text>
    </comment>
    <comment ref="N202" authorId="0" shapeId="0" xr:uid="{00000000-0006-0000-0200-0000A2000000}">
      <text>
        <r>
          <rPr>
            <b/>
            <sz val="9"/>
            <rFont val="Tahoma"/>
            <family val="2"/>
          </rPr>
          <t>Author:</t>
        </r>
        <r>
          <rPr>
            <sz val="9"/>
            <rFont val="Tahoma"/>
            <family val="2"/>
          </rPr>
          <t xml:space="preserve">
Not forecasted out separately in the model.</t>
        </r>
      </text>
    </comment>
    <comment ref="N203" authorId="0" shapeId="0" xr:uid="{00000000-0006-0000-0200-0000A3000000}">
      <text>
        <r>
          <rPr>
            <b/>
            <sz val="9"/>
            <rFont val="Tahoma"/>
            <family val="2"/>
          </rPr>
          <t>Author:</t>
        </r>
        <r>
          <rPr>
            <sz val="9"/>
            <rFont val="Tahoma"/>
            <family val="2"/>
          </rPr>
          <t xml:space="preserve">
Not forecasted out separately in the model.</t>
        </r>
      </text>
    </comment>
    <comment ref="N204" authorId="0" shapeId="0" xr:uid="{00000000-0006-0000-0200-0000A4000000}">
      <text>
        <r>
          <rPr>
            <b/>
            <sz val="9"/>
            <rFont val="Tahoma"/>
            <family val="2"/>
          </rPr>
          <t>Author:</t>
        </r>
        <r>
          <rPr>
            <sz val="9"/>
            <rFont val="Tahoma"/>
            <family val="2"/>
          </rPr>
          <t xml:space="preserve">
Not forecasted out separately in the model.</t>
        </r>
      </text>
    </comment>
    <comment ref="I205" authorId="0" shapeId="0" xr:uid="{00000000-0006-0000-0200-0000A5000000}">
      <text>
        <r>
          <rPr>
            <b/>
            <sz val="9"/>
            <rFont val="Tahoma"/>
            <family val="2"/>
          </rPr>
          <t>Author:</t>
        </r>
        <r>
          <rPr>
            <sz val="9"/>
            <rFont val="Tahoma"/>
            <family val="2"/>
          </rPr>
          <t xml:space="preserve">
Approximately $2.8 billion of planned capital spending is associated with the company’s downstream businesses that refine, market, and transport fuels, and manufacture and distribute lubricants, additives and petrochemicals.</t>
        </r>
      </text>
    </comment>
    <comment ref="J205" authorId="0" shapeId="0" xr:uid="{00000000-0006-0000-0200-0000A6000000}">
      <text>
        <r>
          <rPr>
            <b/>
            <sz val="9"/>
            <rFont val="Tahoma"/>
            <family val="2"/>
          </rPr>
          <t>Author:</t>
        </r>
        <r>
          <rPr>
            <sz val="9"/>
            <rFont val="Tahoma"/>
            <family val="2"/>
          </rPr>
          <t xml:space="preserve">
Approximately $2.8 billion of planned capital spending is associated with the company’s downstream businesses that refine, market, and transport fuels, and manufacture and distribute lubricants, additives and petrochemicals.</t>
        </r>
      </text>
    </comment>
    <comment ref="N205" authorId="0" shapeId="0" xr:uid="{00000000-0006-0000-0200-0000A7000000}">
      <text>
        <r>
          <rPr>
            <b/>
            <sz val="9"/>
            <rFont val="Tahoma"/>
            <family val="2"/>
          </rPr>
          <t>Author:</t>
        </r>
        <r>
          <rPr>
            <sz val="9"/>
            <rFont val="Tahoma"/>
            <family val="2"/>
          </rPr>
          <t xml:space="preserve">
Not forecasted out separately in the model.</t>
        </r>
      </text>
    </comment>
    <comment ref="N206" authorId="0" shapeId="0" xr:uid="{00000000-0006-0000-0200-0000A8000000}">
      <text>
        <r>
          <rPr>
            <b/>
            <sz val="9"/>
            <rFont val="Tahoma"/>
            <family val="2"/>
          </rPr>
          <t>Author:</t>
        </r>
        <r>
          <rPr>
            <sz val="9"/>
            <rFont val="Tahoma"/>
            <family val="2"/>
          </rPr>
          <t xml:space="preserve">
Not forecasted out separately in the model.</t>
        </r>
      </text>
    </comment>
    <comment ref="N207" authorId="0" shapeId="0" xr:uid="{00000000-0006-0000-0200-0000A9000000}">
      <text>
        <r>
          <rPr>
            <b/>
            <sz val="9"/>
            <rFont val="Tahoma"/>
            <family val="2"/>
          </rPr>
          <t>Author:</t>
        </r>
        <r>
          <rPr>
            <sz val="9"/>
            <rFont val="Tahoma"/>
            <family val="2"/>
          </rPr>
          <t xml:space="preserve">
Not forecasted out separately in the model.</t>
        </r>
      </text>
    </comment>
    <comment ref="N210" authorId="0" shapeId="0" xr:uid="{00000000-0006-0000-0200-0000AA000000}">
      <text>
        <r>
          <rPr>
            <b/>
            <sz val="9"/>
            <rFont val="Tahoma"/>
            <family val="2"/>
          </rPr>
          <t>Author:</t>
        </r>
        <r>
          <rPr>
            <sz val="9"/>
            <rFont val="Tahoma"/>
            <family val="2"/>
          </rPr>
          <t xml:space="preserve">
Not forecasted out separately in the model.</t>
        </r>
      </text>
    </comment>
    <comment ref="N211" authorId="0" shapeId="0" xr:uid="{00000000-0006-0000-0200-0000AB000000}">
      <text>
        <r>
          <rPr>
            <b/>
            <sz val="9"/>
            <rFont val="Tahoma"/>
            <family val="2"/>
          </rPr>
          <t>Author:</t>
        </r>
        <r>
          <rPr>
            <sz val="9"/>
            <rFont val="Tahoma"/>
            <family val="2"/>
          </rPr>
          <t xml:space="preserve">
Not forecasted out separately in the model.</t>
        </r>
      </text>
    </comment>
    <comment ref="N212" authorId="0" shapeId="0" xr:uid="{00000000-0006-0000-0200-0000AC000000}">
      <text>
        <r>
          <rPr>
            <b/>
            <sz val="9"/>
            <rFont val="Tahoma"/>
            <family val="2"/>
          </rPr>
          <t>Author:</t>
        </r>
        <r>
          <rPr>
            <sz val="9"/>
            <rFont val="Tahoma"/>
            <family val="2"/>
          </rPr>
          <t xml:space="preserve">
Not forecasted out separately in the model.</t>
        </r>
      </text>
    </comment>
    <comment ref="N213" authorId="0" shapeId="0" xr:uid="{00000000-0006-0000-0200-0000AD000000}">
      <text>
        <r>
          <rPr>
            <b/>
            <sz val="9"/>
            <rFont val="Tahoma"/>
            <family val="2"/>
          </rPr>
          <t>Author:</t>
        </r>
        <r>
          <rPr>
            <sz val="9"/>
            <rFont val="Tahoma"/>
            <family val="2"/>
          </rPr>
          <t xml:space="preserve">
Not forecasted out separately in the model.</t>
        </r>
      </text>
    </comment>
    <comment ref="N216" authorId="0" shapeId="0" xr:uid="{00000000-0006-0000-0200-0000AE000000}">
      <text>
        <r>
          <rPr>
            <b/>
            <sz val="9"/>
            <rFont val="Tahoma"/>
            <family val="2"/>
          </rPr>
          <t>Author:</t>
        </r>
        <r>
          <rPr>
            <sz val="9"/>
            <rFont val="Tahoma"/>
            <family val="2"/>
          </rPr>
          <t xml:space="preserve">
Not forecasted out separately in the model.</t>
        </r>
      </text>
    </comment>
    <comment ref="I217" authorId="0" shapeId="0" xr:uid="{00000000-0006-0000-0200-0000AF000000}">
      <text>
        <r>
          <rPr>
            <b/>
            <sz val="9"/>
            <rFont val="Tahoma"/>
            <family val="2"/>
          </rPr>
          <t>Author:</t>
        </r>
        <r>
          <rPr>
            <sz val="9"/>
            <rFont val="Tahoma"/>
            <family val="2"/>
          </rPr>
          <t xml:space="preserve">
greater than 70 kBOE/d</t>
        </r>
      </text>
    </comment>
    <comment ref="J217" authorId="0" shapeId="0" xr:uid="{00000000-0006-0000-0200-0000B0000000}">
      <text>
        <r>
          <rPr>
            <b/>
            <sz val="9"/>
            <rFont val="Tahoma"/>
            <family val="2"/>
          </rPr>
          <t>Author:</t>
        </r>
        <r>
          <rPr>
            <sz val="9"/>
            <rFont val="Tahoma"/>
            <family val="2"/>
          </rPr>
          <t xml:space="preserve">
greater than 70 kBOE/d</t>
        </r>
      </text>
    </comment>
    <comment ref="K217" authorId="0" shapeId="0" xr:uid="{00000000-0006-0000-0200-0000B1000000}">
      <text>
        <r>
          <rPr>
            <b/>
            <sz val="9"/>
            <rFont val="Tahoma"/>
            <family val="2"/>
          </rPr>
          <t>Author:</t>
        </r>
        <r>
          <rPr>
            <sz val="9"/>
            <rFont val="Tahoma"/>
            <family val="2"/>
          </rPr>
          <t xml:space="preserve">
greater than 70 kBOE/d</t>
        </r>
      </text>
    </comment>
    <comment ref="N217" authorId="0" shapeId="0" xr:uid="{00000000-0006-0000-0200-0000B2000000}">
      <text>
        <r>
          <rPr>
            <b/>
            <sz val="9"/>
            <rFont val="Tahoma"/>
            <family val="2"/>
          </rPr>
          <t>Author:</t>
        </r>
        <r>
          <rPr>
            <sz val="9"/>
            <rFont val="Tahoma"/>
            <family val="2"/>
          </rPr>
          <t xml:space="preserve">
Not forecasted out separately in the model.</t>
        </r>
      </text>
    </comment>
    <comment ref="I218" authorId="0" shapeId="0" xr:uid="{00000000-0006-0000-0200-0000B3000000}">
      <text>
        <r>
          <rPr>
            <b/>
            <sz val="9"/>
            <rFont val="Tahoma"/>
            <family val="2"/>
          </rPr>
          <t>Author:</t>
        </r>
        <r>
          <rPr>
            <sz val="9"/>
            <rFont val="Tahoma"/>
            <family val="2"/>
          </rPr>
          <t xml:space="preserve">
less than $2 billion</t>
        </r>
      </text>
    </comment>
    <comment ref="J218" authorId="0" shapeId="0" xr:uid="{00000000-0006-0000-0200-0000B4000000}">
      <text>
        <r>
          <rPr>
            <b/>
            <sz val="9"/>
            <rFont val="Tahoma"/>
            <family val="2"/>
          </rPr>
          <t>Author:</t>
        </r>
        <r>
          <rPr>
            <sz val="9"/>
            <rFont val="Tahoma"/>
            <family val="2"/>
          </rPr>
          <t xml:space="preserve">
less than $2 billion</t>
        </r>
      </text>
    </comment>
    <comment ref="K218" authorId="0" shapeId="0" xr:uid="{00000000-0006-0000-0200-0000B5000000}">
      <text>
        <r>
          <rPr>
            <b/>
            <sz val="9"/>
            <rFont val="Tahoma"/>
            <family val="2"/>
          </rPr>
          <t>Author:</t>
        </r>
        <r>
          <rPr>
            <sz val="9"/>
            <rFont val="Tahoma"/>
            <family val="2"/>
          </rPr>
          <t xml:space="preserve">
less than $2 billion</t>
        </r>
      </text>
    </comment>
    <comment ref="N218" authorId="0" shapeId="0" xr:uid="{00000000-0006-0000-0200-0000B6000000}">
      <text>
        <r>
          <rPr>
            <b/>
            <sz val="9"/>
            <rFont val="Tahoma"/>
            <family val="2"/>
          </rPr>
          <t>Author:</t>
        </r>
        <r>
          <rPr>
            <sz val="9"/>
            <rFont val="Tahoma"/>
            <family val="2"/>
          </rPr>
          <t xml:space="preserve">
Not forecasted out separately in the model.</t>
        </r>
      </text>
    </comment>
    <comment ref="N220" authorId="0" shapeId="0" xr:uid="{00000000-0006-0000-0200-0000B7000000}">
      <text>
        <r>
          <rPr>
            <b/>
            <sz val="9"/>
            <rFont val="Tahoma"/>
            <family val="2"/>
          </rPr>
          <t>Author:</t>
        </r>
        <r>
          <rPr>
            <sz val="9"/>
            <rFont val="Tahoma"/>
            <family val="2"/>
          </rPr>
          <t xml:space="preserve">
Not forecasted out separately in the model.</t>
        </r>
      </text>
    </comment>
    <comment ref="N221" authorId="0" shapeId="0" xr:uid="{00000000-0006-0000-0200-0000B8000000}">
      <text>
        <r>
          <rPr>
            <b/>
            <sz val="9"/>
            <rFont val="Tahoma"/>
            <family val="2"/>
          </rPr>
          <t>Author:</t>
        </r>
        <r>
          <rPr>
            <sz val="9"/>
            <rFont val="Tahoma"/>
            <family val="2"/>
          </rPr>
          <t xml:space="preserve">
Not forecasted out separately in the model.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Author9</author>
    <author>Author10</author>
  </authors>
  <commentList>
    <comment ref="AO11" authorId="0" shapeId="0" xr:uid="{00000000-0006-0000-0300-000001000000}">
      <text>
        <r>
          <rPr>
            <b/>
            <sz val="9"/>
            <rFont val="Tahoma"/>
            <family val="2"/>
            <charset val="1"/>
          </rPr>
          <t>Author:</t>
        </r>
        <r>
          <rPr>
            <sz val="9"/>
            <rFont val="Tahoma"/>
            <family val="2"/>
            <charset val="1"/>
          </rPr>
          <t xml:space="preserve">
Proved</t>
        </r>
      </text>
    </comment>
    <comment ref="AO13" authorId="0" shapeId="0" xr:uid="{00000000-0006-0000-0300-000002000000}">
      <text>
        <r>
          <rPr>
            <b/>
            <sz val="9"/>
            <rFont val="Tahoma"/>
            <family val="2"/>
            <charset val="1"/>
          </rPr>
          <t>Author:</t>
        </r>
        <r>
          <rPr>
            <sz val="9"/>
            <rFont val="Tahoma"/>
            <family val="2"/>
            <charset val="1"/>
          </rPr>
          <t xml:space="preserve">
Unproved</t>
        </r>
      </text>
    </comment>
    <comment ref="AO22" authorId="0" shapeId="0" xr:uid="{00000000-0006-0000-0300-000003000000}">
      <text>
        <r>
          <rPr>
            <b/>
            <sz val="9"/>
            <rFont val="Tahoma"/>
            <family val="2"/>
            <charset val="1"/>
          </rPr>
          <t>Author:</t>
        </r>
        <r>
          <rPr>
            <sz val="9"/>
            <rFont val="Tahoma"/>
            <family val="2"/>
            <charset val="1"/>
          </rPr>
          <t xml:space="preserve">
Proved</t>
        </r>
      </text>
    </comment>
    <comment ref="AO24" authorId="0" shapeId="0" xr:uid="{00000000-0006-0000-0300-000004000000}">
      <text>
        <r>
          <rPr>
            <b/>
            <sz val="9"/>
            <rFont val="Tahoma"/>
            <family val="2"/>
            <charset val="1"/>
          </rPr>
          <t>Author:</t>
        </r>
        <r>
          <rPr>
            <sz val="9"/>
            <rFont val="Tahoma"/>
            <family val="2"/>
            <charset val="1"/>
          </rPr>
          <t xml:space="preserve">
Unproved</t>
        </r>
      </text>
    </comment>
    <comment ref="AO44" authorId="0" shapeId="0" xr:uid="{00000000-0006-0000-0300-000005000000}">
      <text>
        <r>
          <rPr>
            <b/>
            <sz val="9"/>
            <rFont val="Tahoma"/>
            <family val="2"/>
            <charset val="1"/>
          </rPr>
          <t>Author:</t>
        </r>
        <r>
          <rPr>
            <sz val="9"/>
            <rFont val="Tahoma"/>
            <family val="2"/>
            <charset val="1"/>
          </rPr>
          <t xml:space="preserve">
Proved</t>
        </r>
      </text>
    </comment>
    <comment ref="AO46" authorId="0" shapeId="0" xr:uid="{00000000-0006-0000-0300-000006000000}">
      <text>
        <r>
          <rPr>
            <b/>
            <sz val="9"/>
            <rFont val="Tahoma"/>
            <family val="2"/>
            <charset val="1"/>
          </rPr>
          <t>Author:</t>
        </r>
        <r>
          <rPr>
            <sz val="9"/>
            <rFont val="Tahoma"/>
            <family val="2"/>
            <charset val="1"/>
          </rPr>
          <t xml:space="preserve">
Unproved</t>
        </r>
      </text>
    </comment>
    <comment ref="AO55" authorId="0" shapeId="0" xr:uid="{00000000-0006-0000-0300-000007000000}">
      <text>
        <r>
          <rPr>
            <b/>
            <sz val="9"/>
            <rFont val="Tahoma"/>
            <family val="2"/>
            <charset val="1"/>
          </rPr>
          <t>Author:</t>
        </r>
        <r>
          <rPr>
            <sz val="9"/>
            <rFont val="Tahoma"/>
            <family val="2"/>
            <charset val="1"/>
          </rPr>
          <t xml:space="preserve">
Proved</t>
        </r>
      </text>
    </comment>
    <comment ref="AO57" authorId="0" shapeId="0" xr:uid="{00000000-0006-0000-0300-000008000000}">
      <text>
        <r>
          <rPr>
            <b/>
            <sz val="9"/>
            <rFont val="Tahoma"/>
            <family val="2"/>
            <charset val="1"/>
          </rPr>
          <t>Author:</t>
        </r>
        <r>
          <rPr>
            <sz val="9"/>
            <rFont val="Tahoma"/>
            <family val="2"/>
            <charset val="1"/>
          </rPr>
          <t xml:space="preserve">
Unproved</t>
        </r>
      </text>
    </comment>
    <comment ref="AO77" authorId="0" shapeId="0" xr:uid="{00000000-0006-0000-0300-000009000000}">
      <text>
        <r>
          <rPr>
            <b/>
            <sz val="9"/>
            <rFont val="Tahoma"/>
            <family val="2"/>
            <charset val="1"/>
          </rPr>
          <t>Author:</t>
        </r>
        <r>
          <rPr>
            <sz val="9"/>
            <rFont val="Tahoma"/>
            <family val="2"/>
            <charset val="1"/>
          </rPr>
          <t xml:space="preserve">
Proved</t>
        </r>
      </text>
    </comment>
    <comment ref="AO79" authorId="0" shapeId="0" xr:uid="{00000000-0006-0000-0300-00000A000000}">
      <text>
        <r>
          <rPr>
            <b/>
            <sz val="9"/>
            <rFont val="Tahoma"/>
            <family val="2"/>
            <charset val="1"/>
          </rPr>
          <t>Author:</t>
        </r>
        <r>
          <rPr>
            <sz val="9"/>
            <rFont val="Tahoma"/>
            <family val="2"/>
            <charset val="1"/>
          </rPr>
          <t xml:space="preserve">
Unproved</t>
        </r>
      </text>
    </comment>
    <comment ref="AO335" authorId="1" shapeId="0" xr:uid="{00000000-0006-0000-0300-00000B000000}">
      <text>
        <r>
          <rPr>
            <b/>
            <sz val="9"/>
            <rFont val="Tahoma"/>
            <family val="2"/>
            <charset val="1"/>
          </rPr>
          <t>Author:</t>
        </r>
        <r>
          <rPr>
            <sz val="9"/>
            <rFont val="Tahoma"/>
            <family val="2"/>
            <charset val="1"/>
          </rPr>
          <t xml:space="preserve">
Liquids</t>
        </r>
      </text>
    </comment>
    <comment ref="AT335" authorId="1" shapeId="0" xr:uid="{00000000-0006-0000-0300-00000C000000}">
      <text>
        <r>
          <rPr>
            <b/>
            <sz val="9"/>
            <rFont val="Tahoma"/>
            <family val="2"/>
            <charset val="1"/>
          </rPr>
          <t>Author:</t>
        </r>
        <r>
          <rPr>
            <sz val="9"/>
            <rFont val="Tahoma"/>
            <family val="2"/>
            <charset val="1"/>
          </rPr>
          <t xml:space="preserve">
Liquids</t>
        </r>
      </text>
    </comment>
    <comment ref="AO340" authorId="1" shapeId="0" xr:uid="{00000000-0006-0000-0300-00000D000000}">
      <text>
        <r>
          <rPr>
            <b/>
            <sz val="9"/>
            <rFont val="Tahoma"/>
            <family val="2"/>
            <charset val="1"/>
          </rPr>
          <t>Author:</t>
        </r>
        <r>
          <rPr>
            <sz val="9"/>
            <rFont val="Tahoma"/>
            <family val="2"/>
            <charset val="1"/>
          </rPr>
          <t xml:space="preserve">
Liquids</t>
        </r>
      </text>
    </comment>
    <comment ref="AT340" authorId="1" shapeId="0" xr:uid="{00000000-0006-0000-0300-00000E000000}">
      <text>
        <r>
          <rPr>
            <b/>
            <sz val="9"/>
            <rFont val="Tahoma"/>
            <family val="2"/>
            <charset val="1"/>
          </rPr>
          <t>Author:</t>
        </r>
        <r>
          <rPr>
            <sz val="9"/>
            <rFont val="Tahoma"/>
            <family val="2"/>
            <charset val="1"/>
          </rPr>
          <t xml:space="preserve">
Liquids</t>
        </r>
      </text>
    </comment>
    <comment ref="AO345" authorId="1" shapeId="0" xr:uid="{00000000-0006-0000-0300-00000F000000}">
      <text>
        <r>
          <rPr>
            <b/>
            <sz val="9"/>
            <rFont val="Tahoma"/>
            <family val="2"/>
            <charset val="1"/>
          </rPr>
          <t>Author:</t>
        </r>
        <r>
          <rPr>
            <sz val="9"/>
            <rFont val="Tahoma"/>
            <family val="2"/>
            <charset val="1"/>
          </rPr>
          <t xml:space="preserve">
Liquids</t>
        </r>
      </text>
    </comment>
    <comment ref="AT345" authorId="1" shapeId="0" xr:uid="{00000000-0006-0000-0300-000010000000}">
      <text>
        <r>
          <rPr>
            <b/>
            <sz val="9"/>
            <rFont val="Tahoma"/>
            <family val="2"/>
            <charset val="1"/>
          </rPr>
          <t>Author:</t>
        </r>
        <r>
          <rPr>
            <sz val="9"/>
            <rFont val="Tahoma"/>
            <family val="2"/>
            <charset val="1"/>
          </rPr>
          <t xml:space="preserve">
Liquids</t>
        </r>
      </text>
    </comment>
    <comment ref="AO350" authorId="1" shapeId="0" xr:uid="{00000000-0006-0000-0300-000011000000}">
      <text>
        <r>
          <rPr>
            <b/>
            <sz val="9"/>
            <rFont val="Tahoma"/>
            <family val="2"/>
            <charset val="1"/>
          </rPr>
          <t>Author:</t>
        </r>
        <r>
          <rPr>
            <sz val="9"/>
            <rFont val="Tahoma"/>
            <family val="2"/>
            <charset val="1"/>
          </rPr>
          <t xml:space="preserve">
Liquids</t>
        </r>
      </text>
    </comment>
    <comment ref="AT350" authorId="1" shapeId="0" xr:uid="{00000000-0006-0000-0300-000012000000}">
      <text>
        <r>
          <rPr>
            <b/>
            <sz val="9"/>
            <rFont val="Tahoma"/>
            <family val="2"/>
            <charset val="1"/>
          </rPr>
          <t>Author:</t>
        </r>
        <r>
          <rPr>
            <sz val="9"/>
            <rFont val="Tahoma"/>
            <family val="2"/>
            <charset val="1"/>
          </rPr>
          <t xml:space="preserve">
Liquids</t>
        </r>
      </text>
    </comment>
    <comment ref="AO355" authorId="1" shapeId="0" xr:uid="{00000000-0006-0000-0300-000013000000}">
      <text>
        <r>
          <rPr>
            <b/>
            <sz val="9"/>
            <rFont val="Tahoma"/>
            <family val="2"/>
            <charset val="1"/>
          </rPr>
          <t>Author:</t>
        </r>
        <r>
          <rPr>
            <sz val="9"/>
            <rFont val="Tahoma"/>
            <family val="2"/>
            <charset val="1"/>
          </rPr>
          <t xml:space="preserve">
Liquids</t>
        </r>
      </text>
    </comment>
    <comment ref="AT355" authorId="1" shapeId="0" xr:uid="{00000000-0006-0000-0300-000014000000}">
      <text>
        <r>
          <rPr>
            <b/>
            <sz val="9"/>
            <rFont val="Tahoma"/>
            <family val="2"/>
            <charset val="1"/>
          </rPr>
          <t>Author:</t>
        </r>
        <r>
          <rPr>
            <sz val="9"/>
            <rFont val="Tahoma"/>
            <family val="2"/>
            <charset val="1"/>
          </rPr>
          <t xml:space="preserve">
Liquids</t>
        </r>
      </text>
    </comment>
    <comment ref="AO360" authorId="1" shapeId="0" xr:uid="{00000000-0006-0000-0300-000015000000}">
      <text>
        <r>
          <rPr>
            <b/>
            <sz val="9"/>
            <rFont val="Tahoma"/>
            <family val="2"/>
            <charset val="1"/>
          </rPr>
          <t>Author:</t>
        </r>
        <r>
          <rPr>
            <sz val="9"/>
            <rFont val="Tahoma"/>
            <family val="2"/>
            <charset val="1"/>
          </rPr>
          <t xml:space="preserve">
Liquids</t>
        </r>
      </text>
    </comment>
    <comment ref="AT360" authorId="1" shapeId="0" xr:uid="{00000000-0006-0000-0300-000016000000}">
      <text>
        <r>
          <rPr>
            <b/>
            <sz val="9"/>
            <rFont val="Tahoma"/>
            <family val="2"/>
            <charset val="1"/>
          </rPr>
          <t>Author:</t>
        </r>
        <r>
          <rPr>
            <sz val="9"/>
            <rFont val="Tahoma"/>
            <family val="2"/>
            <charset val="1"/>
          </rPr>
          <t xml:space="preserve">
Liquids</t>
        </r>
      </text>
    </comment>
    <comment ref="AO365" authorId="1" shapeId="0" xr:uid="{00000000-0006-0000-0300-000017000000}">
      <text>
        <r>
          <rPr>
            <b/>
            <sz val="9"/>
            <rFont val="Tahoma"/>
            <family val="2"/>
            <charset val="1"/>
          </rPr>
          <t>Author:</t>
        </r>
        <r>
          <rPr>
            <sz val="9"/>
            <rFont val="Tahoma"/>
            <family val="2"/>
            <charset val="1"/>
          </rPr>
          <t xml:space="preserve">
Liquids</t>
        </r>
      </text>
    </comment>
    <comment ref="AT365" authorId="1" shapeId="0" xr:uid="{00000000-0006-0000-0300-000018000000}">
      <text>
        <r>
          <rPr>
            <b/>
            <sz val="9"/>
            <rFont val="Tahoma"/>
            <family val="2"/>
            <charset val="1"/>
          </rPr>
          <t>Author:</t>
        </r>
        <r>
          <rPr>
            <sz val="9"/>
            <rFont val="Tahoma"/>
            <family val="2"/>
            <charset val="1"/>
          </rPr>
          <t xml:space="preserve">
Liquids</t>
        </r>
      </text>
    </comment>
    <comment ref="AO370" authorId="1" shapeId="0" xr:uid="{00000000-0006-0000-0300-000019000000}">
      <text>
        <r>
          <rPr>
            <b/>
            <sz val="9"/>
            <rFont val="Tahoma"/>
            <family val="2"/>
            <charset val="1"/>
          </rPr>
          <t>Author:</t>
        </r>
        <r>
          <rPr>
            <sz val="9"/>
            <rFont val="Tahoma"/>
            <family val="2"/>
            <charset val="1"/>
          </rPr>
          <t xml:space="preserve">
Liquids</t>
        </r>
      </text>
    </comment>
    <comment ref="AT370" authorId="1" shapeId="0" xr:uid="{00000000-0006-0000-0300-00001A000000}">
      <text>
        <r>
          <rPr>
            <b/>
            <sz val="9"/>
            <rFont val="Tahoma"/>
            <family val="2"/>
            <charset val="1"/>
          </rPr>
          <t>Author:</t>
        </r>
        <r>
          <rPr>
            <sz val="9"/>
            <rFont val="Tahoma"/>
            <family val="2"/>
            <charset val="1"/>
          </rPr>
          <t xml:space="preserve">
Liquids</t>
        </r>
      </text>
    </comment>
    <comment ref="AO375" authorId="1" shapeId="0" xr:uid="{00000000-0006-0000-0300-00001B000000}">
      <text>
        <r>
          <rPr>
            <b/>
            <sz val="9"/>
            <rFont val="Tahoma"/>
            <family val="2"/>
            <charset val="1"/>
          </rPr>
          <t>Author:</t>
        </r>
        <r>
          <rPr>
            <sz val="9"/>
            <rFont val="Tahoma"/>
            <family val="2"/>
            <charset val="1"/>
          </rPr>
          <t xml:space="preserve">
Liquids</t>
        </r>
      </text>
    </comment>
    <comment ref="AT375" authorId="1" shapeId="0" xr:uid="{00000000-0006-0000-0300-00001C000000}">
      <text>
        <r>
          <rPr>
            <b/>
            <sz val="9"/>
            <rFont val="Tahoma"/>
            <family val="2"/>
            <charset val="1"/>
          </rPr>
          <t>Author:</t>
        </r>
        <r>
          <rPr>
            <sz val="9"/>
            <rFont val="Tahoma"/>
            <family val="2"/>
            <charset val="1"/>
          </rPr>
          <t xml:space="preserve">
Liquids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Author1</author>
  </authors>
  <commentList>
    <comment ref="A25" authorId="0" shapeId="0" xr:uid="{00000000-0006-0000-0400-000001000000}">
      <text>
        <r>
          <rPr>
            <b/>
            <sz val="9"/>
            <rFont val="Tahoma"/>
            <family val="2"/>
          </rPr>
          <t>Author:</t>
        </r>
        <r>
          <rPr>
            <sz val="9"/>
            <rFont val="Tahoma"/>
            <family val="2"/>
          </rPr>
          <t xml:space="preserve">
Includes from income from equity investments</t>
        </r>
      </text>
    </comment>
  </commentList>
</comments>
</file>

<file path=xl/sharedStrings.xml><?xml version="1.0" encoding="utf-8"?>
<sst xmlns="http://schemas.openxmlformats.org/spreadsheetml/2006/main" count="2463" uniqueCount="1671">
  <si>
    <t xml:space="preserve">Please contact this email for any model-specific questions: </t>
  </si>
  <si>
    <t>person@example.com</t>
  </si>
  <si>
    <t>Company Model:</t>
  </si>
  <si>
    <t>Comments on Model:</t>
  </si>
  <si>
    <t xml:space="preserve">Updated: </t>
  </si>
  <si>
    <t>For:</t>
  </si>
  <si>
    <t>Consensus Data and Real-Time Stock Price:</t>
  </si>
  <si>
    <t>Bloomberg</t>
  </si>
  <si>
    <t>Real-Time Stock Price:</t>
  </si>
  <si>
    <t>Stock Price Override:</t>
  </si>
  <si>
    <t>Company0670 Company0697</t>
  </si>
  <si>
    <t>USD</t>
  </si>
  <si>
    <t>FY2009</t>
  </si>
  <si>
    <t>Revenue and Volume Summary</t>
  </si>
  <si>
    <t>Upstream revenues, mm</t>
  </si>
  <si>
    <t>Downstream revenues, mm</t>
  </si>
  <si>
    <t>Other revenues, mm</t>
  </si>
  <si>
    <t>Total Sales and other operating revenue, mm</t>
  </si>
  <si>
    <t>Upstream earnings, mm</t>
  </si>
  <si>
    <t>Downstream earnings, mm</t>
  </si>
  <si>
    <t>Other earnings, mm</t>
  </si>
  <si>
    <t>Total earnings, mm</t>
  </si>
  <si>
    <t>Upstream total production volumes, kBOE/d</t>
  </si>
  <si>
    <t>Downstream total refinery input, kbbl/d</t>
  </si>
  <si>
    <t>Downstream total refined products sold, kbbl/d</t>
  </si>
  <si>
    <t>Angola, k bbl/d</t>
  </si>
  <si>
    <t>Europe, k bbl/d</t>
  </si>
  <si>
    <t>Indonesia, k bbl/d</t>
  </si>
  <si>
    <t>Kazakhstan/Eurasia, k bbl/d</t>
  </si>
  <si>
    <t>Partitioned zone, k bbl/d</t>
  </si>
  <si>
    <t>Nigeria, k bbl/d</t>
  </si>
  <si>
    <t>South America, k bbl/d</t>
  </si>
  <si>
    <t>Other, k bbl/d</t>
  </si>
  <si>
    <t>International net liquids production, k bbl/d</t>
  </si>
  <si>
    <t>US net liquids production, k bbl/d</t>
  </si>
  <si>
    <t>Liquids, k bbl/d</t>
  </si>
  <si>
    <t>Australia, MMcf/d</t>
  </si>
  <si>
    <t>Bangladesh, MMcf/d</t>
  </si>
  <si>
    <t>Europe, MMcf/d</t>
  </si>
  <si>
    <t>Indonesia, MMcf/d</t>
  </si>
  <si>
    <t>Kazakhstan/Eurasia, MMcf/d</t>
  </si>
  <si>
    <t>Myanmar, MMcf/d</t>
  </si>
  <si>
    <t>Nigeria, MMcf/d</t>
  </si>
  <si>
    <t>Philippines, MMcf/d</t>
  </si>
  <si>
    <t>South America, MMcf/d</t>
  </si>
  <si>
    <t>Thailand, MMcf/d</t>
  </si>
  <si>
    <t>Other, MMcf/d</t>
  </si>
  <si>
    <t>International net natural gas production, MMcf/d</t>
  </si>
  <si>
    <t>US net natural gas production, MMcf/d</t>
  </si>
  <si>
    <t>Natural gas, MMcf/d</t>
  </si>
  <si>
    <t>Total average daily production volumes, kBOE/d</t>
  </si>
  <si>
    <t>US liquids, MMbbl</t>
  </si>
  <si>
    <t>International liquids, MMbbl</t>
  </si>
  <si>
    <t>Liquids, MMbbl</t>
  </si>
  <si>
    <t>US natural gas, BNcf</t>
  </si>
  <si>
    <t>International natural gas, BNcf</t>
  </si>
  <si>
    <t>Natural gas, BNcf</t>
  </si>
  <si>
    <t>Total production volumes, mmBOE</t>
  </si>
  <si>
    <t>Liquids, %</t>
  </si>
  <si>
    <t>Total Production Volume Growth, %</t>
  </si>
  <si>
    <t>Production Growth Per Share, %</t>
  </si>
  <si>
    <t>Upstream Operating Stats - Natural Gas Sales Volumes (MD&amp;A)</t>
  </si>
  <si>
    <t>International sales of natural gas, MMcf/d</t>
  </si>
  <si>
    <t>US sales of natural gas, MMcf/d</t>
  </si>
  <si>
    <t>Natural gas sales, MMcf/d</t>
  </si>
  <si>
    <t>US natural gas sold but not produced, BNcf</t>
  </si>
  <si>
    <t>International natural gas sold but not produced, BNcf</t>
  </si>
  <si>
    <t>International sales of natural gas, BNcf</t>
  </si>
  <si>
    <t>US sales of natural gas, BNcf</t>
  </si>
  <si>
    <t>Total natural gas sales, BNcf</t>
  </si>
  <si>
    <t>Segmented Results - Upstream Financials (FS)</t>
  </si>
  <si>
    <t>Implied US revenues from sales of liquids and gas, mm</t>
  </si>
  <si>
    <t>Implied international revenues from sales of liquids and gas, mm</t>
  </si>
  <si>
    <t>Total implied upstream revenue, mm</t>
  </si>
  <si>
    <t>Discrepancy, implied US revenues to reported US revenues, mm</t>
  </si>
  <si>
    <t>Discrepancy, implied international revenues to reported US revenues, mm</t>
  </si>
  <si>
    <t>Reported US upstream revenues, mm</t>
  </si>
  <si>
    <t>Reported international upstream revenues, mm</t>
  </si>
  <si>
    <t>Subtotal upstream revenues, mm</t>
  </si>
  <si>
    <t>US intersegment eliminations, mm</t>
  </si>
  <si>
    <t>International intersegment eliminations, mm</t>
  </si>
  <si>
    <t>Total upstream revenues, mm</t>
  </si>
  <si>
    <t>Realized US Liquids, $/bbl</t>
  </si>
  <si>
    <t>Realized International Liquids, $/bbl</t>
  </si>
  <si>
    <t>Realized US gas, $/Mcf</t>
  </si>
  <si>
    <t>Realized International gas, $/Mcf</t>
  </si>
  <si>
    <t>Realized Oil, $/bbl</t>
  </si>
  <si>
    <t>Realized US Liquids to WTI, $/bbl</t>
  </si>
  <si>
    <t>Realized International Liquids to WTI , $/bbl</t>
  </si>
  <si>
    <t>Realized US Natural Gas to Henry Hub, $/Mcf</t>
  </si>
  <si>
    <t>Realized International Natural Gas to Henry Hub, $/Mcf</t>
  </si>
  <si>
    <t>Realized Crude to WTI, $/bbl</t>
  </si>
  <si>
    <t>Downstream Operating Stats - Refining Volumes (MD&amp;A, Supplemental)</t>
  </si>
  <si>
    <t>US downstream refinery input , kbbl/d</t>
  </si>
  <si>
    <t>US downstream gasoline sales , kbbl/d</t>
  </si>
  <si>
    <t>US downstream other refined product sales , kbbl/d</t>
  </si>
  <si>
    <t>US downstream total refined product sales , kbbl/d</t>
  </si>
  <si>
    <t>US Downstream sales of natural gas liquids , kbbl/d</t>
  </si>
  <si>
    <t>US downstream gasoline yield, %</t>
  </si>
  <si>
    <t>US downstream other refined products yield, %</t>
  </si>
  <si>
    <t>US downstream gasoline sales, mmbbl</t>
  </si>
  <si>
    <t>US downstream other refined product sales, mmbbl</t>
  </si>
  <si>
    <t>US downstream sales of natural gas liquids, mmbbl</t>
  </si>
  <si>
    <t>US downstream total product sales, mmbbl</t>
  </si>
  <si>
    <t>International refinery input, kbbl/d</t>
  </si>
  <si>
    <t>International downstream gasoline yield, %</t>
  </si>
  <si>
    <t>International downstream other refined products yield, %</t>
  </si>
  <si>
    <t>International downstream sales of natural gas liquids, kbbl/d</t>
  </si>
  <si>
    <t>International downstream gasoline sales, mmbbl</t>
  </si>
  <si>
    <t>International downstream other refined product sales, mmbbl</t>
  </si>
  <si>
    <t>International downstream share of affiliate sales, mmbbl</t>
  </si>
  <si>
    <t>International downstream sales of natural gas liquids, mmbbl</t>
  </si>
  <si>
    <t>International downstream product sales, mmbbl</t>
  </si>
  <si>
    <t>Refining margin U.S Gulf Coast - Maya/Mars 5-3-2, $/bbl</t>
  </si>
  <si>
    <t>Refining margin Singapore - Dubai 3-1-1-1, $/bbl</t>
  </si>
  <si>
    <t>Refining margin N.W Europe - Brent 3-1-1-1, $/bbl</t>
  </si>
  <si>
    <t>Marketing margin U.S West - Weighted DTW to Spot, $/bbl</t>
  </si>
  <si>
    <t>Marketing margin U.S East - Houston Mogas Rack to Spot, $/bbl</t>
  </si>
  <si>
    <t>Marketing margin Asia-Pacific, $/bbl</t>
  </si>
  <si>
    <t>Segmented Results - Downstream Financials (MD&amp;A)</t>
  </si>
  <si>
    <t>US downstream revenue gross of eliminations and including excise and similar taxes, mm</t>
  </si>
  <si>
    <t>International downstream revenue gross of eliminations and including excise and similar taxes, mm</t>
  </si>
  <si>
    <t>Subtotal downstream revenue, mm</t>
  </si>
  <si>
    <t>Total downstream revenue, mm</t>
  </si>
  <si>
    <t>US downstream revenue per barrel of refined product sold, $</t>
  </si>
  <si>
    <t>International downstream revenue per barrel of refined product sold, $</t>
  </si>
  <si>
    <t>US Downstream Earnings, mm</t>
  </si>
  <si>
    <t>International Downstream Earnings, mm</t>
  </si>
  <si>
    <t>Total Downstream Earnings, mm</t>
  </si>
  <si>
    <t>All Other Financial Results (MD&amp;A)</t>
  </si>
  <si>
    <t>All other US revenues, mm</t>
  </si>
  <si>
    <t>All other international revenues, mm</t>
  </si>
  <si>
    <t>All other revenues subtotal, mm</t>
  </si>
  <si>
    <t>Intersegment elimination US revenues, mm</t>
  </si>
  <si>
    <t>Intersegment elimination international revenues, mm</t>
  </si>
  <si>
    <t>Total all other revenues, mm</t>
  </si>
  <si>
    <t>All other interest expense, mm</t>
  </si>
  <si>
    <t>All other interest income, mm</t>
  </si>
  <si>
    <t>All other - other, mm</t>
  </si>
  <si>
    <t>All other earnings, mm</t>
  </si>
  <si>
    <t>Key Metrics - Downstream - Annually reported only (10k + Supplemental)</t>
  </si>
  <si>
    <t>Pascagoula, Mississippi crude throughput, kbbl/d</t>
  </si>
  <si>
    <t>El Segundo, California crude throughput, kbbl/d</t>
  </si>
  <si>
    <t>Richmond, California crude throughput, kbbl/d</t>
  </si>
  <si>
    <t>Kapolei, Hawaii crude throughput, kbbl/d</t>
  </si>
  <si>
    <t>Salt Lake City, Utah crude throughput, kbbl/d</t>
  </si>
  <si>
    <t>Perth Amboy crude throughput, kbbl/d</t>
  </si>
  <si>
    <t>Total United States - Consolidated crude throughput, kbbl/d</t>
  </si>
  <si>
    <t>United Kingdom - Pembroke crude throughput, kbbl/d</t>
  </si>
  <si>
    <t>Thailand - Map Ta Phut crude throughput, kbbl/d</t>
  </si>
  <si>
    <t>South Africa - Cape Town crude throughput, kbbl/d</t>
  </si>
  <si>
    <t>Canada - Burnaby, British Columbia crude throughput, kbbl/d</t>
  </si>
  <si>
    <t>Total International - Consolidated crude throughput, kbbl/d</t>
  </si>
  <si>
    <t>Australia - Lytton (50%) crude throughput, kbbl/d</t>
  </si>
  <si>
    <t>Australia - Kurnell (50%) crude throughput, kbbl/d</t>
  </si>
  <si>
    <t>Martinique - Fort-de-France (11.5%) crude throughput, kbbl/d</t>
  </si>
  <si>
    <t>New Zealand - Whangarei (11.6%) crude throughput, kbbl/d</t>
  </si>
  <si>
    <t>Pakistan - Karachi (7.5%) crude throughput, kbbl/d</t>
  </si>
  <si>
    <t>Singapore - Pulau Merlimau (50%) crude throughput, kbbl/d</t>
  </si>
  <si>
    <t>South Korea - Yeosu (50%) crude throughput, kbbl/d</t>
  </si>
  <si>
    <t>Thailand - Map Ta Phut (64% interest) crude throughput, kbbl/d</t>
  </si>
  <si>
    <t>Total International - Equity Share in Affiliates crude throughput, kbbl/d</t>
  </si>
  <si>
    <t>Total International crude throughput, kbbl/d</t>
  </si>
  <si>
    <t>Total Worldwide crude throughput, kbbl/d</t>
  </si>
  <si>
    <t>Total United States production, kbbl/d</t>
  </si>
  <si>
    <t>Total International production, kbbl/d</t>
  </si>
  <si>
    <t>Total Worldwide production, kbbl/d</t>
  </si>
  <si>
    <t>Total United States sales, kbbl/d</t>
  </si>
  <si>
    <t>Total International sales, kbbl/d</t>
  </si>
  <si>
    <t>Total Worldwide sales, kbbl/d</t>
  </si>
  <si>
    <t>Margin Analysis</t>
  </si>
  <si>
    <t>Other Taxes Margin, %</t>
  </si>
  <si>
    <t>OPEX Margin, %</t>
  </si>
  <si>
    <t>COGS Margin, %</t>
  </si>
  <si>
    <t>SG&amp;A Margin, %</t>
  </si>
  <si>
    <t>EBITDAX Margin, %</t>
  </si>
  <si>
    <t>Income Statement - As Reported</t>
  </si>
  <si>
    <t>Sales and other operating revenues</t>
  </si>
  <si>
    <t>Income from equity affiliates</t>
  </si>
  <si>
    <t>Other income</t>
  </si>
  <si>
    <t>Total Revenues and Other Income</t>
  </si>
  <si>
    <t>Purchased crude oil and products</t>
  </si>
  <si>
    <t>Operating expenses</t>
  </si>
  <si>
    <t>Selling, general and administrative expenses</t>
  </si>
  <si>
    <t>Exploration expenses</t>
  </si>
  <si>
    <t>Depreciation, depletion and amortization</t>
  </si>
  <si>
    <t>Taxes other than on income</t>
  </si>
  <si>
    <t>Interest and debt expense</t>
  </si>
  <si>
    <t>Other components of net periodic benefit costs</t>
  </si>
  <si>
    <t>Total Costs and Other Deductions</t>
  </si>
  <si>
    <t>Income (Loss) Before Income Tax Expense</t>
  </si>
  <si>
    <t>Income Tax Expense (Benefit)</t>
  </si>
  <si>
    <t>Net Income (Loss)</t>
  </si>
  <si>
    <t>Less: Net income attributable to noncontrolling interests</t>
  </si>
  <si>
    <t>Net Income (Loss) Attributable to Company0670 Company0697</t>
  </si>
  <si>
    <t>IS Check</t>
  </si>
  <si>
    <t>Revised Income Statement</t>
  </si>
  <si>
    <t>Net Revenue</t>
  </si>
  <si>
    <t>SG&amp;A</t>
  </si>
  <si>
    <t>EBITDAX</t>
  </si>
  <si>
    <t>Adjusted EBITDAX (No Adjustments)</t>
  </si>
  <si>
    <t>Exploration Expense</t>
  </si>
  <si>
    <t>DD&amp;A</t>
  </si>
  <si>
    <t>Interest expense</t>
  </si>
  <si>
    <t>EBT</t>
  </si>
  <si>
    <t>Current tax</t>
  </si>
  <si>
    <t>Deferred tax</t>
  </si>
  <si>
    <t>Net Income from Continued Operation</t>
  </si>
  <si>
    <t>Discontinued Operations</t>
  </si>
  <si>
    <t>Net Income to NCI</t>
  </si>
  <si>
    <t>Earnings to Preferred and Other Securities</t>
  </si>
  <si>
    <t>Net Income to Common Shareholders</t>
  </si>
  <si>
    <t>Adjustments for Convertible Securities</t>
  </si>
  <si>
    <t>Diluted Net Income to Common Shareholders</t>
  </si>
  <si>
    <t>Non-GAAP Adjustments</t>
  </si>
  <si>
    <t>Non-GAAP Adjustments for Dilutive Securities</t>
  </si>
  <si>
    <t>Adjusted Net Income</t>
  </si>
  <si>
    <t>Current tax rate</t>
  </si>
  <si>
    <t>Deferred tax rate</t>
  </si>
  <si>
    <t>Earnings Per Share - Company2917</t>
  </si>
  <si>
    <t>Earnings Per Share - WAD</t>
  </si>
  <si>
    <t>Shares Outstanding - Company2917</t>
  </si>
  <si>
    <t>Shares Outstanding - WAD</t>
  </si>
  <si>
    <t>Adjusted Shares Outstanding - WAD</t>
  </si>
  <si>
    <t>Cash Flow Summary</t>
  </si>
  <si>
    <t>Operating Cash Flow before WC</t>
  </si>
  <si>
    <t>Cash Flow Per Diluted Share before WC</t>
  </si>
  <si>
    <t>Capex</t>
  </si>
  <si>
    <t>Acquisitions</t>
  </si>
  <si>
    <t>Divestiture</t>
  </si>
  <si>
    <t>Dividend Paid</t>
  </si>
  <si>
    <t>Dividend Per Share</t>
  </si>
  <si>
    <t>FCF (before WC), Pre Div</t>
  </si>
  <si>
    <t>FCF (before WC), Post Div, Pre A/D</t>
  </si>
  <si>
    <t>FCF (before WC), Post Div, Post A/D</t>
  </si>
  <si>
    <t>Balance Sheet Summary</t>
  </si>
  <si>
    <t>WC Sur/Def, ex Cash &amp; STD</t>
  </si>
  <si>
    <t>Cash</t>
  </si>
  <si>
    <t>Debt</t>
  </si>
  <si>
    <t>Net Debt</t>
  </si>
  <si>
    <t>Net Debt / EBITDAX</t>
  </si>
  <si>
    <t>Net Debt / Cash Flow</t>
  </si>
  <si>
    <t>Valuation</t>
  </si>
  <si>
    <t>Avg</t>
  </si>
  <si>
    <t>Enterprise Value Components</t>
  </si>
  <si>
    <t>Noncontrolling Interest</t>
  </si>
  <si>
    <t>Preferred Shares</t>
  </si>
  <si>
    <t>Other EV Components</t>
  </si>
  <si>
    <t>Cumulative Cash Flow Statement</t>
  </si>
  <si>
    <t>CFO</t>
  </si>
  <si>
    <t>Dry hole expense</t>
  </si>
  <si>
    <t>Distributions less than income from equity affiliates</t>
  </si>
  <si>
    <t>Net before-tax gains on asset retirements and sales</t>
  </si>
  <si>
    <t>Net foreign currency effects</t>
  </si>
  <si>
    <t>Deferred income tax provision</t>
  </si>
  <si>
    <t>Net income attributable to noncontrolling interests</t>
  </si>
  <si>
    <t>Increase in long-term receivables</t>
  </si>
  <si>
    <t>Net decrease in other deferred charges</t>
  </si>
  <si>
    <t>Cash contributions to employee pension plans</t>
  </si>
  <si>
    <t>Other</t>
  </si>
  <si>
    <t>Stock-based compensation</t>
  </si>
  <si>
    <t>CFO before WC</t>
  </si>
  <si>
    <t>Net increase in operating working capital</t>
  </si>
  <si>
    <t>Net CFO</t>
  </si>
  <si>
    <t>CFI</t>
  </si>
  <si>
    <t>Advance to Company0258 Energy</t>
  </si>
  <si>
    <t>Capital expenditures</t>
  </si>
  <si>
    <t>Proceeds and deposits related to asset sales</t>
  </si>
  <si>
    <t>Net maturities of time deposits</t>
  </si>
  <si>
    <t>Net sales of marketable securities</t>
  </si>
  <si>
    <t>Net borrowing of loans by equity affiliates</t>
  </si>
  <si>
    <t>Net sales of other short-term investments</t>
  </si>
  <si>
    <t>Net CFI</t>
  </si>
  <si>
    <t>CFF</t>
  </si>
  <si>
    <t>Net borrowings of short-term obligations</t>
  </si>
  <si>
    <t>Proceeds from issuance of long-term debt</t>
  </si>
  <si>
    <t>Repayments of long-term debt and other financing obligations</t>
  </si>
  <si>
    <t>Cash dividends — common stock</t>
  </si>
  <si>
    <t>Distributions to noncontrolling interests</t>
  </si>
  <si>
    <t>Other financing activity</t>
  </si>
  <si>
    <t>Net sales of treasury shares</t>
  </si>
  <si>
    <t>Net CFF</t>
  </si>
  <si>
    <t>FX</t>
  </si>
  <si>
    <t>Net Change in Cash Balance</t>
  </si>
  <si>
    <t>Beginning Cash Balance</t>
  </si>
  <si>
    <t>Ending Cash Balance</t>
  </si>
  <si>
    <t>Cash Flow Statement</t>
  </si>
  <si>
    <t>CF Check</t>
  </si>
  <si>
    <t>Balance Sheet</t>
  </si>
  <si>
    <t>Current Assets</t>
  </si>
  <si>
    <t>Cash and cash equivalents</t>
  </si>
  <si>
    <t>Time deposits</t>
  </si>
  <si>
    <t>Marketable securities</t>
  </si>
  <si>
    <t>Accounts and notes receivable, net</t>
  </si>
  <si>
    <t>Crude oil and petroleum products</t>
  </si>
  <si>
    <t>Chemicals</t>
  </si>
  <si>
    <t>Materials, supplies and other</t>
  </si>
  <si>
    <t>Total inventories</t>
  </si>
  <si>
    <t>Restricted cash</t>
  </si>
  <si>
    <t>Prepaid expenses and other current assets excluding restricted cash</t>
  </si>
  <si>
    <t>Prepaid expenses and other current assets</t>
  </si>
  <si>
    <t>Total Current Assets</t>
  </si>
  <si>
    <t>Non-Current Assets</t>
  </si>
  <si>
    <t>Long-term receivables</t>
  </si>
  <si>
    <t>Investments and advances</t>
  </si>
  <si>
    <t>Properties, plant and equipment, at cost</t>
  </si>
  <si>
    <t>Less: Accumulated depreciation, depletion and amortization</t>
  </si>
  <si>
    <t>Properties, plant and equipment, net</t>
  </si>
  <si>
    <t>Restricted cash in deferred charges and other assets</t>
  </si>
  <si>
    <t>Deferred charges and other assets excluding restricted cash</t>
  </si>
  <si>
    <t>Deferred charges and other assets</t>
  </si>
  <si>
    <t>Goodwill</t>
  </si>
  <si>
    <t>Assets held for sale</t>
  </si>
  <si>
    <t>Total Non-Current Assets</t>
  </si>
  <si>
    <t>Total Assets</t>
  </si>
  <si>
    <t>Current Liabilities</t>
  </si>
  <si>
    <t>Short-term debt</t>
  </si>
  <si>
    <t>Accounts payable</t>
  </si>
  <si>
    <t>Accrued liabilities</t>
  </si>
  <si>
    <t>Federal and other taxes on income</t>
  </si>
  <si>
    <t>Other taxes payable</t>
  </si>
  <si>
    <t>Total Current Liabilities</t>
  </si>
  <si>
    <t>Non-Current Liabilities</t>
  </si>
  <si>
    <t>Long-term debt</t>
  </si>
  <si>
    <t>Capital lease obligations</t>
  </si>
  <si>
    <t>Deferred credits and other noncurrent obligations</t>
  </si>
  <si>
    <t>Noncurrent deferred income taxes</t>
  </si>
  <si>
    <t>Noncurrent employee benefit plans</t>
  </si>
  <si>
    <t>Total Non-Current liabilities</t>
  </si>
  <si>
    <t>Total Liabilities</t>
  </si>
  <si>
    <t>Shareholders' Equity</t>
  </si>
  <si>
    <t>Preferred stock</t>
  </si>
  <si>
    <t>Common stock</t>
  </si>
  <si>
    <t>Capital in excess of par value</t>
  </si>
  <si>
    <t>Retained earnings</t>
  </si>
  <si>
    <t>Accumulated other comprehensive loss</t>
  </si>
  <si>
    <t>Deferred compensation and benefit plan trust</t>
  </si>
  <si>
    <t>Treasury cost</t>
  </si>
  <si>
    <t>Total SE</t>
  </si>
  <si>
    <t>NCI</t>
  </si>
  <si>
    <t>Total Liabilities &amp; SE</t>
  </si>
  <si>
    <t>BS Check</t>
  </si>
  <si>
    <t>Model Checks</t>
  </si>
  <si>
    <t>Net Income on Revised IS = NI on CF statement</t>
  </si>
  <si>
    <t>Net Income on Reported IS = NI on Revised</t>
  </si>
  <si>
    <t>Segmented Revenue = Revenue</t>
  </si>
  <si>
    <t>Cash Flow is not Repeated</t>
  </si>
  <si>
    <t>Income Statement is not Repeated</t>
  </si>
  <si>
    <t>Balance Sheet is not Repeated</t>
  </si>
  <si>
    <t>Ending CF = Ending Cumulative CF</t>
  </si>
  <si>
    <t>Capex is Updated</t>
  </si>
  <si>
    <t>*Cash Flow Summary Signs are Correct</t>
  </si>
  <si>
    <t>*RIS NI FY = Sum of Qs</t>
  </si>
  <si>
    <t>*RIS Adjusted NI FY = Sum of Qs</t>
  </si>
  <si>
    <t>*CFO Before WC subtotal FY = Sum of Qs</t>
  </si>
  <si>
    <t>*CFO subtotal FY = Sum of Qs</t>
  </si>
  <si>
    <t>*CFI subtotal FY = Sum of Qs</t>
  </si>
  <si>
    <t>*CFF subtotal FY = Sum of Qs</t>
  </si>
  <si>
    <t>*CF Summary FY = Sum of Qs</t>
  </si>
  <si>
    <t>Other Tables</t>
  </si>
  <si>
    <t>Ticker Symbol</t>
  </si>
  <si>
    <t>Ticker0006 US</t>
  </si>
  <si>
    <t>NYSE:CVX</t>
  </si>
  <si>
    <t>Company0640</t>
  </si>
  <si>
    <t>Company0641</t>
  </si>
  <si>
    <t>Valuation Toggle Table</t>
  </si>
  <si>
    <t>High</t>
  </si>
  <si>
    <t>Low</t>
  </si>
  <si>
    <t>Consensus Estimate Table</t>
  </si>
  <si>
    <t>FY or FQ</t>
  </si>
  <si>
    <t>Period</t>
  </si>
  <si>
    <t>Stock Price Table</t>
  </si>
  <si>
    <t>Fiscal Period Start Date</t>
  </si>
  <si>
    <t>Real-Time Off Source</t>
  </si>
  <si>
    <t>Capital IQ</t>
  </si>
  <si>
    <t>FactSet</t>
  </si>
  <si>
    <t>General Table</t>
  </si>
  <si>
    <t>Last Price</t>
  </si>
  <si>
    <t>Last Price Date</t>
  </si>
  <si>
    <t>Real-Time Stock Price</t>
  </si>
  <si>
    <t>Last Price Formula</t>
  </si>
  <si>
    <t>Trade Currency</t>
  </si>
  <si>
    <t>Trade Currency Hardcoded</t>
  </si>
  <si>
    <t>Model Sheet Currency Hardcoded</t>
  </si>
  <si>
    <t>Most Recent FX</t>
  </si>
  <si>
    <t>Most Recent FX Hardcoded</t>
  </si>
  <si>
    <t>MRFP Column Number</t>
  </si>
  <si>
    <t>Most Recent Fiscal Period (MRFP)</t>
  </si>
  <si>
    <t>Current Fiscal Year</t>
  </si>
  <si>
    <t>Data Source Index</t>
  </si>
  <si>
    <t>Guidance</t>
  </si>
  <si>
    <t>Model</t>
  </si>
  <si>
    <t>Difference vs. Mid</t>
  </si>
  <si>
    <t>Update Log</t>
  </si>
  <si>
    <t>Type</t>
  </si>
  <si>
    <t>Item</t>
  </si>
  <si>
    <t>Item Name</t>
  </si>
  <si>
    <t>Fiscal Period</t>
  </si>
  <si>
    <t>Mid</t>
  </si>
  <si>
    <t>Output</t>
  </si>
  <si>
    <t>Absolute</t>
  </si>
  <si>
    <t>Relative</t>
  </si>
  <si>
    <t>Date</t>
  </si>
  <si>
    <t>Link</t>
  </si>
  <si>
    <t>Total average daily production volumes growth, %</t>
  </si>
  <si>
    <t>MO_OS_Energy_AverageDailyProduction_Total</t>
  </si>
  <si>
    <t>FY2019</t>
  </si>
  <si>
    <t>Investor Presentation</t>
  </si>
  <si>
    <t>MO_CFSum_CAPEX</t>
  </si>
  <si>
    <t>FY2018</t>
  </si>
  <si>
    <t>Press Release</t>
  </si>
  <si>
    <t>Reports</t>
  </si>
  <si>
    <t>Capitalization Summary</t>
  </si>
  <si>
    <t>Company-Specific Operational Data</t>
  </si>
  <si>
    <t>GAAP Financials</t>
  </si>
  <si>
    <t>Tax</t>
  </si>
  <si>
    <t>Base Period</t>
  </si>
  <si>
    <t>Non-GAAP Financials</t>
  </si>
  <si>
    <t>Cash Flow Analysis</t>
  </si>
  <si>
    <t>Core FCF, Pre Div</t>
  </si>
  <si>
    <t>Core FCF, Post Div</t>
  </si>
  <si>
    <t>Change in WC</t>
  </si>
  <si>
    <t>New Equity Issuance</t>
  </si>
  <si>
    <t>New Debt Issuance</t>
  </si>
  <si>
    <t>Other Items</t>
  </si>
  <si>
    <t>Change in Cash Position</t>
  </si>
  <si>
    <t>Operating Cash Flow Per Share</t>
  </si>
  <si>
    <t>Core Free Cash Flow Per Share, Pre Div</t>
  </si>
  <si>
    <t>Dividend Payout Ratio vs Core FCF, Pre Div</t>
  </si>
  <si>
    <t>Dividend Payout Ratio vs Earnings Per Share</t>
  </si>
  <si>
    <t>Balance Sheet Ratios</t>
  </si>
  <si>
    <t>Net Debt / EBITDA</t>
  </si>
  <si>
    <t>Net Debt / Capital</t>
  </si>
  <si>
    <t>LTM EBITDA</t>
  </si>
  <si>
    <t>LTM Cash Flow</t>
  </si>
  <si>
    <t>Profitability Ratios</t>
  </si>
  <si>
    <t>Net Income</t>
  </si>
  <si>
    <t>LTM Net Income</t>
  </si>
  <si>
    <t>Shareholder's Equity</t>
  </si>
  <si>
    <t>Average Shareholder's Equity</t>
  </si>
  <si>
    <t>ROE</t>
  </si>
  <si>
    <t>LTM Net Operating Profit</t>
  </si>
  <si>
    <t>Average Total Assets</t>
  </si>
  <si>
    <t>Total Debt</t>
  </si>
  <si>
    <t>Average Book Value of Debt</t>
  </si>
  <si>
    <t>Average Invested Capital</t>
  </si>
  <si>
    <t>ROIC</t>
  </si>
  <si>
    <t>EBIT</t>
  </si>
  <si>
    <t>LTM EBIT</t>
  </si>
  <si>
    <t>Average Current Liabilities</t>
  </si>
  <si>
    <t>Average Capital Employed</t>
  </si>
  <si>
    <t>ROCE</t>
  </si>
  <si>
    <t>Per-Share Growth Metrics</t>
  </si>
  <si>
    <t>Revenue Per Share Growth</t>
  </si>
  <si>
    <t>Adj. Earnings Per Share Growth</t>
  </si>
  <si>
    <t>Operating Cash Flow Per Share Growth</t>
  </si>
  <si>
    <t>Free Cash Flow Per Share Growth</t>
  </si>
  <si>
    <t>Valuation Metrics</t>
  </si>
  <si>
    <t>Check</t>
  </si>
  <si>
    <t>Adjusted EBITDAX</t>
  </si>
  <si>
    <t>Non GAAP NI</t>
  </si>
  <si>
    <t>GAAP NI</t>
  </si>
  <si>
    <t>Change in Cash Summary = Change in Cash Model</t>
  </si>
  <si>
    <t>Update Date</t>
  </si>
  <si>
    <t>Updated By (Initials)</t>
  </si>
  <si>
    <t>Update Type</t>
  </si>
  <si>
    <t>Special Comments</t>
  </si>
  <si>
    <t>Link to Press Release / News Item</t>
  </si>
  <si>
    <t>GJ</t>
  </si>
  <si>
    <t>PR Update</t>
  </si>
  <si>
    <t>Earnings Press Release</t>
  </si>
  <si>
    <t>JW</t>
  </si>
  <si>
    <t>Q3-2018</t>
  </si>
  <si>
    <t>MC JoK</t>
  </si>
  <si>
    <t>Q2-2018</t>
  </si>
  <si>
    <t>VK JaF</t>
  </si>
  <si>
    <t>Q1-2018</t>
  </si>
  <si>
    <t>CK WL</t>
  </si>
  <si>
    <t>FY2017</t>
  </si>
  <si>
    <t>EN &amp; VK</t>
  </si>
  <si>
    <t>Q3-2017</t>
  </si>
  <si>
    <t>CK &amp; SaD</t>
  </si>
  <si>
    <t>Q2-2017</t>
  </si>
  <si>
    <t>AJ</t>
  </si>
  <si>
    <t>Q1-2017</t>
  </si>
  <si>
    <t>New Build</t>
  </si>
  <si>
    <t>Is Historical Period</t>
  </si>
  <si>
    <t xml:space="preserve">VK NO </t>
  </si>
  <si>
    <t>Initial (Press Release)</t>
  </si>
  <si>
    <t>VK NO</t>
  </si>
  <si>
    <t>Q1-2019</t>
  </si>
  <si>
    <t>United States Gasoline production, kbbl/d</t>
  </si>
  <si>
    <t>United States Gas oil production, kbbl/d</t>
  </si>
  <si>
    <t>United States Jet fuel production, kbbl/d</t>
  </si>
  <si>
    <t>United States Fuel oil production, kbbl/d</t>
  </si>
  <si>
    <t>United States Other production, kbbl/d</t>
  </si>
  <si>
    <t>International Gasoline production, kbbl/d</t>
  </si>
  <si>
    <t>International Gas oil production, kbbl/d</t>
  </si>
  <si>
    <t>International Jet fuel production, kbbl/d</t>
  </si>
  <si>
    <t>International Fuel oil production, kbbl/d</t>
  </si>
  <si>
    <t>International Other production, kbbl/d</t>
  </si>
  <si>
    <t>Worldwide Gasoline production, kbbl/d</t>
  </si>
  <si>
    <t>Worldwide Gas oil production, kbbl/d</t>
  </si>
  <si>
    <t>Worldwide Jet fuel production, kbbl/d</t>
  </si>
  <si>
    <t>Worldwide Fuel oil production, kbbl/d</t>
  </si>
  <si>
    <t>Worldwide Other production, kbbl/d</t>
  </si>
  <si>
    <t>United States Gasoline sales, kbbl/d</t>
  </si>
  <si>
    <t>United States Jet Fuel sales, kbbl/d</t>
  </si>
  <si>
    <t>United States Gas Oil and Kerosene sales, kbbl/d</t>
  </si>
  <si>
    <t>United States Residual Fuel oil sales, kbbl/d</t>
  </si>
  <si>
    <t>United States Other Petroleum Products sales, kbbl/d</t>
  </si>
  <si>
    <t>International Gasoline sales, kbbl/d</t>
  </si>
  <si>
    <t>International Jet Fuel sales, kbbl/d</t>
  </si>
  <si>
    <t>International Gas Oil and Kerosene sales, kbbl/d</t>
  </si>
  <si>
    <t>International Residual Fuel Oil sales, kbbl/d</t>
  </si>
  <si>
    <t>International Other Petroleum Products sales, kbbl/d</t>
  </si>
  <si>
    <t>Most Recent Period:</t>
  </si>
  <si>
    <t>Operating Stats - Realized Pricing Excluding Hedging (MD&amp;A)</t>
  </si>
  <si>
    <t>Average WTI - Company1922, $/bbl</t>
  </si>
  <si>
    <t>Average Natural Gas Henry Hub - Company1922, $/MMBtu</t>
  </si>
  <si>
    <t>Benchmark Pricing</t>
  </si>
  <si>
    <t>Operating Stats - Differentials to Benchmark Pricing</t>
  </si>
  <si>
    <t>VS GJ</t>
  </si>
  <si>
    <t>Q2-2019</t>
  </si>
  <si>
    <t>NOPAT</t>
  </si>
  <si>
    <t>After-tax ROA</t>
  </si>
  <si>
    <r>
      <rPr>
        <b/>
        <sz val="7"/>
        <color rgb="FF000000"/>
        <rFont val="Calibri"/>
        <family val="2"/>
        <scheme val="minor"/>
      </rPr>
      <t>DISCLAIMER</t>
    </r>
    <r>
      <rPr>
        <sz val="7"/>
        <color rgb="FF000000"/>
        <rFont val="Calibri"/>
        <family val="2"/>
        <scheme val="minor"/>
      </rPr>
      <t xml:space="preserve">
Access to and use of this model, including the data contained herein (this "Model") is subject to Company2747, Inc.'s (a successor entity to Source Financial Modeling Company0697) ("Company") Terms of Use that you accepted prior to accessing this Model, the applicable Service Agreement between the Company and you (or a corporate entity that has authorized you to access and use this Model on its behalf in accordance with the terms of such Service Agreement) or other similar agreement between you and the Company. BY CONTINUING TO ACCESS OR USE THIS MODEL, YOU EXPRESSLY AGREE TO THE TERMS AND CONDITIONS OF SUCH AGREEMENTS.
</t>
    </r>
    <r>
      <rPr>
        <b/>
        <sz val="7"/>
        <color rgb="FF000000"/>
        <rFont val="Calibri"/>
        <family val="2"/>
        <scheme val="minor"/>
      </rPr>
      <t>The Company and certain of its licensors have exclusive proprietary rights in this Model. This Model is being provided for internal use only. Unless prior written consent by the Company and its licensors has been provided to you, you may not distribute or otherwise furnish this Model to any third party, nor use or permit anyone to use this Model for any unlawful or unauthorized purpose. IF YOU HAVE UNLAWFULLY OBTAINED, OR ARE NOT AUTHORIZED TO USE THIS MODEL, YOU ARE OBLIGATED TO PROMPTLY: (I) RETURN THIS MODEL (AND ANY DERIVATIVE WORKS ARISING FROM OR RELATING THERETO) TO THE AUTHORIZED USER OF THIS MODEL; (II) PROVIDE NOTICE TO THE COMPANY AT person@example.com OF SUCH UNLAWFUL OR UNAUTHORIZED ACCESS AND USE; AND, (III) CERTIFY THAT YOU HAVE DESTROYED THIS MODEL (AND ANY DERIVATIVE WORKS ARISING FROM OR RELATING THERETO) AND ANY COPIES FROM YOUR SYSTEMS SO AS TO ENSURE THEY ARE INCAPABLE OF RETRIEVAL.</t>
    </r>
    <r>
      <rPr>
        <sz val="7"/>
        <color rgb="FF000000"/>
        <rFont val="Calibri"/>
        <family val="2"/>
        <scheme val="minor"/>
      </rPr>
      <t xml:space="preserve">
A portion of the data contained in this Model may be powered by third party contributors and their respective licensors, or derived from data provided by such contributors, including (but not limited to): (i) </t>
    </r>
    <r>
      <rPr>
        <b/>
        <sz val="7"/>
        <color rgb="FF000000"/>
        <rFont val="Calibri"/>
        <family val="2"/>
        <scheme val="minor"/>
      </rPr>
      <t>QuoteMedia Inc.</t>
    </r>
    <r>
      <rPr>
        <sz val="7"/>
        <color rgb="FF000000"/>
        <rFont val="Calibri"/>
        <family val="2"/>
        <scheme val="minor"/>
      </rPr>
      <t xml:space="preserve">: A portion of the market data is powered by Quotemedia.com. All rights reserved. Data delayed 15 minutes unless otherwise indicated; (ii) </t>
    </r>
    <r>
      <rPr>
        <b/>
        <sz val="7"/>
        <color rgb="FF000000"/>
        <rFont val="Calibri"/>
        <family val="2"/>
        <scheme val="minor"/>
      </rPr>
      <t>S&amp;P Global Market Intelligence LLC</t>
    </r>
    <r>
      <rPr>
        <sz val="7"/>
        <color rgb="FF000000"/>
        <rFont val="Calibri"/>
        <family val="2"/>
        <scheme val="minor"/>
      </rPr>
      <t xml:space="preserve">: Copyright (c) {{YEAR}} S&amp;P Global Market Intelligence LLC (and its affiliates as applicable). All rights reserved. Reproduction of any information, opinions, views, data or material, including ratings ("Content") in any form is prohibited except with the prior written permission of the relevant party. Such party, its affiliates and suppliers ("Content Providers") do not guarantee the accuracy, adequacy, completeness, timeliness or availability of any Content and are not responsible for any errors or omissions (negligent or otherwise), regardless of the cause, or for the results obtained from the use of such Content. In no event shall Content Providers be liable for any damages, costs, expenses, legal fees, or losses (including lost income or lost profit and opportunity costs) in connection with any use of the Content. A reference to a particular investment or security, a rating or any observation concerning an investment that is part of the Content is not a recommendation to buy, sell or hold such investment or security, does not address the suitability of an investment or security and should not be relied on as investment advice. Credit ratings are statements of opinions and are not statements of fact; and, (iii) </t>
    </r>
    <r>
      <rPr>
        <b/>
        <sz val="7"/>
        <color rgb="FF000000"/>
        <rFont val="Calibri"/>
        <family val="2"/>
        <scheme val="minor"/>
      </rPr>
      <t>Refinitiv Canada Holdings Limited</t>
    </r>
    <r>
      <rPr>
        <sz val="7"/>
        <color rgb="FF000000"/>
        <rFont val="Calibri"/>
        <family val="2"/>
        <scheme val="minor"/>
      </rPr>
      <t xml:space="preserve">: A portion of the information may be provided by or derived from data provided by Refinitiv.
By accessing or using this Model (including any portion of the data contained herein) you expressly represent that such access or use does not constitute a violation of any applicable law or regulation to which you or the securities are subject.
This Model does not constitute investment advice by the Company or any of its licensors. Reference to a particular investment or security, credit rating or any observation concerning a security or investment in this Model is not a recommendation or solicitation to buy, sell or hold such investment or security or make any other investment decisions. For greater certainty, any forecasts or forward-looking information expressed herein are for illustrative purposes only and do not purport to express any view on what may transpire. Neither the Company nor any of its licensors have performed company-specific research on any projected information, as such, it is your responsibility to express your own views on projected results. This Model does not guarantee future performance and undue reliance should not be placed on such. You are solely responsible for evaluating the merits and risks of any investment based on your own business and financial expertise, the business and financial expertise of professional advisors with whom you have consulted, your financial situation and risk tolerance. Neither the Company, nor any of its licensors, undertake any liability with respect to your reliance on this Model.
This Model is a quantitative tool with no investment views. The Company and its respective directors, officers, employees, agents, contractors, and affiliates may hold long or short positions in the security to which this Model relates, based on their personal views, and may initiate or close out any positions in such security at any time without any notice.
</t>
    </r>
    <r>
      <rPr>
        <b/>
        <sz val="7"/>
        <color rgb="FF000000"/>
        <rFont val="Calibri"/>
        <family val="2"/>
        <scheme val="minor"/>
      </rPr>
      <t>THIS MODEL IS PROVIDED "AS IS" AND ON AN "AS AVAILABLE" BASIS ONLY, WITHOUT WARRANTIES OR CONDITIONS OF ANY KIND. NEITHER THE COMPANY NOR ANY OF ITS LICENSORS NOR THEIR RESPECTIVE AFFILIATES OR SUPPLIERS HAVE LIABILITY FOR THE ACCURACY, TIMELINESS OR COMPLETENESS OF THIS MODEL, OR FOR DELAYS, INTERRUPTIONS OR OMISSIONS HEREIN, NOR FOR ANY LOST PROFITS, INDIRECT, SPECIAL OR CONSEQUENTIAL DAMAGES.</t>
    </r>
    <r>
      <rPr>
        <sz val="7"/>
        <color rgb="FF000000"/>
        <rFont val="Calibri"/>
        <family val="2"/>
        <scheme val="minor"/>
      </rPr>
      <t xml:space="preserve"> Access to data in this Model that is sourced from third party contributors is subject to termination in the event that any agreement between the Company and such third party contributors terminates for any reason.
</t>
    </r>
    <r>
      <rPr>
        <b/>
        <sz val="7"/>
        <color rgb="FF000000"/>
        <rFont val="Calibri"/>
        <family val="2"/>
        <scheme val="minor"/>
      </rPr>
      <t>Copyright 2023 Company2747. All rights reserved.</t>
    </r>
  </si>
  <si>
    <t>First Forecast Fiscal Year</t>
  </si>
  <si>
    <t>Q3-2019</t>
  </si>
  <si>
    <t>GJ NO</t>
  </si>
  <si>
    <t>U.S. Upstream Capex, mm</t>
  </si>
  <si>
    <t>International Upstream Capex, mm</t>
  </si>
  <si>
    <t>U.S. Downstream Capex, mm</t>
  </si>
  <si>
    <t>International Downstream Capex, mm</t>
  </si>
  <si>
    <t>Total Downstream Capex, mm</t>
  </si>
  <si>
    <t>Total Upstream Capex, mm</t>
  </si>
  <si>
    <t>MO_CFSum_Capex</t>
  </si>
  <si>
    <t>Other Capex, mm</t>
  </si>
  <si>
    <t>FY2020</t>
  </si>
  <si>
    <t>Expenditures by Affiliated Companies, mm</t>
  </si>
  <si>
    <t>Q4-2019</t>
  </si>
  <si>
    <t>Impairment</t>
  </si>
  <si>
    <t>MO_RIS_Impairment</t>
  </si>
  <si>
    <t>Impairment of assets</t>
  </si>
  <si>
    <t>Asset sales production impact, kBOE/d</t>
  </si>
  <si>
    <t>Turnarounds, kBOE/d</t>
  </si>
  <si>
    <t>Upstream exploration related inorganic C&amp;E, mm</t>
  </si>
  <si>
    <t>TCO co-lending, mm</t>
  </si>
  <si>
    <t>Tax payment related to cash repatriation, mm</t>
  </si>
  <si>
    <t>z_Z99BO00122_MO_CFS_netsalesoftreasuryshares</t>
  </si>
  <si>
    <t>Ticker0006 C&amp;E, mm</t>
  </si>
  <si>
    <t>FY2021</t>
  </si>
  <si>
    <t>FY2022</t>
  </si>
  <si>
    <t>FY2023</t>
  </si>
  <si>
    <t>Most Recent Period</t>
  </si>
  <si>
    <t>Quarterly (Earnings Report)</t>
  </si>
  <si>
    <t>Annual (Earnings Report)</t>
  </si>
  <si>
    <t>FY2016</t>
  </si>
  <si>
    <t>Upstream Operating Stats - Production Volumes (Company1282)</t>
  </si>
  <si>
    <t>Pasadena, California crude throughput, kbbl/d</t>
  </si>
  <si>
    <t>COGS</t>
  </si>
  <si>
    <t>JA</t>
  </si>
  <si>
    <t>United States refinery crude distillation utilization, %</t>
  </si>
  <si>
    <t>Asia-Pacific refinery crude distillation utilization, %</t>
  </si>
  <si>
    <t>Africa-Pakistan refinery crude distillation utilization, %</t>
  </si>
  <si>
    <t>Europe refinery crude distillation utilization, %</t>
  </si>
  <si>
    <t>Other refinery crude distillation utilization, %</t>
  </si>
  <si>
    <t>Worldwide refinery crude distillation utilization, %</t>
  </si>
  <si>
    <t>Adj. EBITDAX Per Share Growth</t>
  </si>
  <si>
    <t>Other investing activities</t>
  </si>
  <si>
    <t>Permian production, kBOE/d</t>
  </si>
  <si>
    <t>Key Outputs</t>
  </si>
  <si>
    <t>Q1-2020</t>
  </si>
  <si>
    <t>RF</t>
  </si>
  <si>
    <t>Interest income</t>
  </si>
  <si>
    <t>Interest Expense</t>
  </si>
  <si>
    <t>Effective Interest Rate on Debt</t>
  </si>
  <si>
    <t>Interest Income</t>
  </si>
  <si>
    <t>Effective Interest Rate on Cash</t>
  </si>
  <si>
    <t>Net Interest Expense (Income)</t>
  </si>
  <si>
    <t>Effective Net Interest Rate on Debt</t>
  </si>
  <si>
    <t>ST Debt</t>
  </si>
  <si>
    <t>LT Debt</t>
  </si>
  <si>
    <t>Net Debt Issuance (Repayment)</t>
  </si>
  <si>
    <t>Cash is Positive</t>
  </si>
  <si>
    <t>Debt is Positive</t>
  </si>
  <si>
    <t>Net Share Issuance (Buybacks)</t>
  </si>
  <si>
    <t>Estimated Share Price for Issuance/Buybacks, USD</t>
  </si>
  <si>
    <t>FCF (before WC), Post Div, Debt, Buyback, A/D</t>
  </si>
  <si>
    <t>Adjusted Numbers - As Reported</t>
  </si>
  <si>
    <t>Q2-2020</t>
  </si>
  <si>
    <t>EA</t>
  </si>
  <si>
    <t>Q3-2020</t>
  </si>
  <si>
    <t>AhS</t>
  </si>
  <si>
    <t>Refinitiv</t>
  </si>
  <si>
    <t>APR</t>
  </si>
  <si>
    <t>Canada, k bbl/d</t>
  </si>
  <si>
    <t>Canada, MMcf/d</t>
  </si>
  <si>
    <t>z_Z99BO00122_MO_OS_Otherearnings</t>
  </si>
  <si>
    <t>B/T asset sales proceeds, mm</t>
  </si>
  <si>
    <t>Distributions less affiliate income, mm</t>
  </si>
  <si>
    <t>MO_CFSum_Divestiture</t>
  </si>
  <si>
    <t>Capex &amp; Exploratory expenditures, mm</t>
  </si>
  <si>
    <t>Acquisition, net of cash acquired</t>
  </si>
  <si>
    <t>Q1-2021</t>
  </si>
  <si>
    <t>Curtailments, kBOE/d</t>
  </si>
  <si>
    <t>TCO FGP-WPMP personnel, k</t>
  </si>
  <si>
    <t>Refinery Turnarounds (after tax), mm</t>
  </si>
  <si>
    <t>Q2-2021</t>
  </si>
  <si>
    <t>VK</t>
  </si>
  <si>
    <t>Q3-2021</t>
  </si>
  <si>
    <t>Share repurchase</t>
  </si>
  <si>
    <t>MO_CFSum_NetShares</t>
  </si>
  <si>
    <t>Additional pension contribution</t>
  </si>
  <si>
    <t>Organic C&amp;E, mm</t>
  </si>
  <si>
    <t>US Upstream earnings</t>
  </si>
  <si>
    <t>Other earnings</t>
  </si>
  <si>
    <t>Other adjusted earnings</t>
  </si>
  <si>
    <t>Company0670 GAAP earnings</t>
  </si>
  <si>
    <t>Company0670 non-GAAP earnings</t>
  </si>
  <si>
    <t>FX effects</t>
  </si>
  <si>
    <t>FX effect</t>
  </si>
  <si>
    <t>Impairment and write-offs</t>
  </si>
  <si>
    <t>Severance accruals</t>
  </si>
  <si>
    <t>Remediation charge</t>
  </si>
  <si>
    <t>Pension settlement charge</t>
  </si>
  <si>
    <t>Legal reserves</t>
  </si>
  <si>
    <t>Asset sale gains</t>
  </si>
  <si>
    <t>Tax items</t>
  </si>
  <si>
    <t>Company1944 acquisition costs</t>
  </si>
  <si>
    <t>Acquisition costs</t>
  </si>
  <si>
    <t>All other adjusted earnings, mm</t>
  </si>
  <si>
    <t>All other special items, mm</t>
  </si>
  <si>
    <t>US Downstream Adjusted Earnings, mm</t>
  </si>
  <si>
    <t>International Downstream Adjusted Earnings, mm</t>
  </si>
  <si>
    <t>Downstream Adjusted Earnings, mm</t>
  </si>
  <si>
    <t>Upstream US Earnings, mm</t>
  </si>
  <si>
    <t>Upstream International Earnings, mm</t>
  </si>
  <si>
    <t>Upstream Earnings, mm</t>
  </si>
  <si>
    <t>Upstream US Adjusted Earnings, mm</t>
  </si>
  <si>
    <t>Upstream International Adjusted Earnings, mm</t>
  </si>
  <si>
    <t>Upstream Adjusted Earnings, mm</t>
  </si>
  <si>
    <t>US Upstream adjusted earnings</t>
  </si>
  <si>
    <t>International Upstream earnings</t>
  </si>
  <si>
    <t>International Upstream adjusted earnings</t>
  </si>
  <si>
    <t>US Downstream earnings</t>
  </si>
  <si>
    <t>US Downstream adjusted earnings</t>
  </si>
  <si>
    <t>International Downstream earnings</t>
  </si>
  <si>
    <t>International Downstream adjusted earnings</t>
  </si>
  <si>
    <t>Unrestated</t>
  </si>
  <si>
    <t>Company0232 merger termination fee</t>
  </si>
  <si>
    <t>Adjusted Earnings Per Share - WAD</t>
  </si>
  <si>
    <t>Q4-2021</t>
  </si>
  <si>
    <t>Loss on early retirement of debt</t>
  </si>
  <si>
    <t>Q1-2022</t>
  </si>
  <si>
    <t>Federal Income Tax Refund</t>
  </si>
  <si>
    <t>z_Z99BO00122_MO_OS_Allotheradjustedearnings</t>
  </si>
  <si>
    <t>GC</t>
  </si>
  <si>
    <t>10-K</t>
  </si>
  <si>
    <t>Upstream expenditures, mm</t>
  </si>
  <si>
    <t>Worldwide downstream expenditures, mm</t>
  </si>
  <si>
    <t>Investments in technology businesses and other corporate operation, mm</t>
  </si>
  <si>
    <t>OFF</t>
  </si>
  <si>
    <t>Worldwide Gasoline sales, kbbl/d</t>
  </si>
  <si>
    <t>Worldwide Gas oil sales, kbbl/d</t>
  </si>
  <si>
    <t>Worldwide Jet fuel sales, kbbl/d</t>
  </si>
  <si>
    <t>Worldwide Fuel oil sales, kbbl/d</t>
  </si>
  <si>
    <t>Worldwide Other sales, kbbl/d</t>
  </si>
  <si>
    <t>Worldwide refinery input, kbbl/d</t>
  </si>
  <si>
    <t>International downstream share of affiliate sales, kbbl/d</t>
  </si>
  <si>
    <t>International downstream other refined product sales, kbbl/d</t>
  </si>
  <si>
    <t>International downstream gasoline sales, kbbl/d</t>
  </si>
  <si>
    <t>Worldwide downstream gasoline sales, kbbl/d</t>
  </si>
  <si>
    <t>Worldwide downstream share of affiliate sales, kbbl/d</t>
  </si>
  <si>
    <t>Worldwide downstream total refined product sales, kbbl/d</t>
  </si>
  <si>
    <t>International downstream total refined product sales, kbbl/d</t>
  </si>
  <si>
    <t>Worldwide downstream gasoline yield, %</t>
  </si>
  <si>
    <t>Worldwide downstream other refined products yield, %</t>
  </si>
  <si>
    <t>Worldwide downstream sales of natural gas liquids, kbbl/d</t>
  </si>
  <si>
    <t>Worldwide downstream gasoline sales, mmbbl</t>
  </si>
  <si>
    <t>Worldwide downstream other refined products sales, mmbbl</t>
  </si>
  <si>
    <t>Worldwide downstream share of affiliate sales, mmbbl</t>
  </si>
  <si>
    <t>Worldwide downstream sales of natural gas liquids, mmbbl</t>
  </si>
  <si>
    <t>Total Worldwide refining capacity, kbbl/d</t>
  </si>
  <si>
    <t>Worldwide downstream product sales, mmbbl</t>
  </si>
  <si>
    <t>Worldwide downstream other refined product sales, kbbl/d</t>
  </si>
  <si>
    <t>Key Metrics - Employees (FS)</t>
  </si>
  <si>
    <t>Total employees, # of employees</t>
  </si>
  <si>
    <t>Company2434</t>
  </si>
  <si>
    <t>Shares repurchased</t>
  </si>
  <si>
    <t>Q2-2022</t>
  </si>
  <si>
    <t>Expiry of Thiland concessions, mBOE/d</t>
  </si>
  <si>
    <t>Company0416 JV inorganic cash capex, mm</t>
  </si>
  <si>
    <t>Permian production, mBOE/d</t>
  </si>
  <si>
    <t>Angola, MMcf/d</t>
  </si>
  <si>
    <t>Last Working Day In Period</t>
  </si>
  <si>
    <t>Stock Price EoP</t>
  </si>
  <si>
    <t>FX EoP</t>
  </si>
  <si>
    <t>Ticker0006_US</t>
  </si>
  <si>
    <t>Early contract termination</t>
  </si>
  <si>
    <t>Q3-2022</t>
  </si>
  <si>
    <t>Israel, MMcf/d</t>
  </si>
  <si>
    <t>Share Count Analysis</t>
  </si>
  <si>
    <t>Cover page common stock outstanding, mm shares</t>
  </si>
  <si>
    <t>Date of cover page share count, date</t>
  </si>
  <si>
    <t>Common stock issued - EoP, mm shares</t>
  </si>
  <si>
    <t>Treasury stock - EoP, mm shares</t>
  </si>
  <si>
    <t>Common stock outstanding - EoP, mm shares</t>
  </si>
  <si>
    <t>Change in Working Capital</t>
  </si>
  <si>
    <t>Operating Cash Flow after WC</t>
  </si>
  <si>
    <t>Cash Flow Per Diluted Share</t>
  </si>
  <si>
    <t>FCF, Pre Div</t>
  </si>
  <si>
    <t>FCF, Post Div, Pre A/D</t>
  </si>
  <si>
    <t>FCF, Post Div, Post A/D</t>
  </si>
  <si>
    <t>FCF, Post Div, Debt, Buyback, A/D</t>
  </si>
  <si>
    <t>Consensus Estimates - Cash Flow Per Diluted Share</t>
  </si>
  <si>
    <t>KG</t>
  </si>
  <si>
    <t>Q4-2022</t>
  </si>
  <si>
    <t>HC</t>
  </si>
  <si>
    <t>Q1-2023</t>
  </si>
  <si>
    <t>California natural gas earnings (after tax), mm</t>
  </si>
  <si>
    <t>Capex by Affiliated Companies, mm</t>
  </si>
  <si>
    <t>Overall Utilization (calculated), %</t>
  </si>
  <si>
    <t>KPI Data</t>
  </si>
  <si>
    <t>MO_RIS_REV</t>
  </si>
  <si>
    <t>MO_RIS_NI_NONGAAP_Diluted</t>
  </si>
  <si>
    <t>MO_RIS_EPS_WAD_Adj</t>
  </si>
  <si>
    <t>MO_OS_EmployeeCount</t>
  </si>
  <si>
    <t>KPI Count</t>
  </si>
  <si>
    <t>Apply Trade Currency Scaling</t>
  </si>
  <si>
    <t>Q2-2023</t>
  </si>
  <si>
    <t>AL</t>
  </si>
  <si>
    <t>Q3-2023</t>
  </si>
  <si>
    <t>Q/Q basic share expansion from dilutive securities, %</t>
  </si>
  <si>
    <t>Y/Y basic share expansion from dilutive securities, %</t>
  </si>
  <si>
    <t>Q/Q basic share expansion from share issuance (buyback), %</t>
  </si>
  <si>
    <t>Y/Y basic share expansion from share issuance (buyback), %</t>
  </si>
  <si>
    <t>Q/Q basic share expansion - EoP, %</t>
  </si>
  <si>
    <t>Y/Y basic share expansion - EoP, %</t>
  </si>
  <si>
    <t>Dilutive shares, mm shares</t>
  </si>
  <si>
    <t>Diluted share count to basic share count ratio, x</t>
  </si>
  <si>
    <t>Total diluted common stock outstanding - EoP, mm shares</t>
  </si>
  <si>
    <t>EoP</t>
  </si>
  <si>
    <t>Cash paid for interest, net of capitalized interest</t>
  </si>
  <si>
    <t>Cash paid for income taxes</t>
  </si>
  <si>
    <t>PA</t>
  </si>
  <si>
    <t>Company2054 Energy capex</t>
  </si>
  <si>
    <t>Q4-2023</t>
  </si>
  <si>
    <t>Turnarounds &amp; downtime, MBOE/d</t>
  </si>
  <si>
    <t>Company2054 Energy production, MBOE/d</t>
  </si>
  <si>
    <t>MO_CFSum_Dividend</t>
  </si>
  <si>
    <t>Affiliate dividends</t>
  </si>
  <si>
    <t>On October 23, 2023, the company announced the definitive agreement to acquire all outstanding shares  of Company1245 Company0697 in an all-stock transaction valued at $53 billion. Company1245 shareholders will receive 1.025 shares of Company0670 for each Company1245 share. The acquisition is expected to close in the first half of 2024. The acquisition is subject to Company1245 shareholder approval and has not been modelled.</t>
  </si>
  <si>
    <t>Company0078 Return of capital, mm</t>
  </si>
  <si>
    <t>Refining margin U.S West Coast - Blended/ANS 5-3-2, $/bbl</t>
  </si>
  <si>
    <t>MO_KPI_Energy_AverageDailyProduction_NG</t>
  </si>
  <si>
    <t>MO_KPI_Energy_AverageDailyProduction_Total</t>
  </si>
  <si>
    <t>MO_KPI_Energy_ProductionGrowth</t>
  </si>
  <si>
    <t>MO_KPI_Energy_ProductionGrowthPerShare</t>
  </si>
  <si>
    <t>MO_KPI_Energy_LiquidsPercentage</t>
  </si>
  <si>
    <t>MO_KPI_Energy_RealizedPrice_Oil</t>
  </si>
  <si>
    <t>Quarterly Guidance Table</t>
  </si>
  <si>
    <t>Reporting Date</t>
  </si>
  <si>
    <t>Applicable Period</t>
  </si>
  <si>
    <t>Annual Guidance Table</t>
  </si>
  <si>
    <t>Is Latest</t>
  </si>
  <si>
    <t>DACF (Calculated)</t>
  </si>
  <si>
    <t>Assumed Tax Rate on financing, %</t>
  </si>
  <si>
    <t>Weighted Average Gross Sales Price (Calculated), $/bbl</t>
  </si>
  <si>
    <t>Key Metrics - Productive Wells (FS)</t>
  </si>
  <si>
    <t>United States Gross Oil Wells, # of wells</t>
  </si>
  <si>
    <t>Other Americas Gross Oil Wells, # of wells</t>
  </si>
  <si>
    <t>Africa Gross Oil Wells, # of wells</t>
  </si>
  <si>
    <t>Asia Gross Oil Wells, # of wells</t>
  </si>
  <si>
    <t>Australia Gross Oil Wells, # of wells</t>
  </si>
  <si>
    <t>Europe Gross Oil Wells, # of wells</t>
  </si>
  <si>
    <t>Total Consolidated Companies Gross Oil Wells, # of wells</t>
  </si>
  <si>
    <t>Other Americas Net Oil Wells, # of wells</t>
  </si>
  <si>
    <t>Africa Net Oil Wells, # of wells</t>
  </si>
  <si>
    <t>Asia Net Oil Wells, # of wells</t>
  </si>
  <si>
    <t>Australia Net Oil Wells, # of wells</t>
  </si>
  <si>
    <t>Europe Net Oil Wells, # of wells</t>
  </si>
  <si>
    <t>Total Consolidated Companies Net Oil Wells, # of wells</t>
  </si>
  <si>
    <t>United States Net Oil Wells, # of wells</t>
  </si>
  <si>
    <t>Other Americas Gross Gas Wells, # of wells</t>
  </si>
  <si>
    <t>Africa Gross Gas Wells, # of wells</t>
  </si>
  <si>
    <t>Asia Gross Gas Wells, # of wells</t>
  </si>
  <si>
    <t>Australia Gross Gas Wells, # of wells</t>
  </si>
  <si>
    <t>Europe Gross Gas Wells, # of wells</t>
  </si>
  <si>
    <t>Total Consolidated Companies Gross Gas Wells, # of wells</t>
  </si>
  <si>
    <t>United States Net Gas Wells, # of wells</t>
  </si>
  <si>
    <t>Other Americas Net Gas Wells, # of wells</t>
  </si>
  <si>
    <t>Africa Net Gas Wells, # of wells</t>
  </si>
  <si>
    <t>Asia Net Gas Wells, # of wells</t>
  </si>
  <si>
    <t>Australia Net Gas Wells, # of wells</t>
  </si>
  <si>
    <t>Europe Net Gas Wells, # of wells</t>
  </si>
  <si>
    <t>Total Consolidated Companies Net Gas Wells, # of wells</t>
  </si>
  <si>
    <t>United States Gross Gas Wells, # of wells</t>
  </si>
  <si>
    <t>Total Gross Wells, # of wells</t>
  </si>
  <si>
    <t>Total Net Wells, # of wells</t>
  </si>
  <si>
    <t>Total Crude Oil Production, k bbl/d</t>
  </si>
  <si>
    <t>Total NGL production, k bbl/d</t>
  </si>
  <si>
    <t>Upstream Depreciation and Depletion, $/Company0325</t>
  </si>
  <si>
    <t>Upstream taxes other than on income, mm</t>
  </si>
  <si>
    <t>Upstream production expenses excluding taxes, mm</t>
  </si>
  <si>
    <t>Upstream depreciation and depletion, mm</t>
  </si>
  <si>
    <t>Upstream production expenses excluding taxes, $/Company0325</t>
  </si>
  <si>
    <t>Upstream taxes other than on income, $/Company0325</t>
  </si>
  <si>
    <t>CZ</t>
  </si>
  <si>
    <t>Q1-2024</t>
  </si>
  <si>
    <t>FY2024</t>
  </si>
  <si>
    <t>Decommissioning obligations</t>
  </si>
  <si>
    <t>Turnarounds (A/T earnings), mm</t>
  </si>
  <si>
    <t>Share repurchase, mm</t>
  </si>
  <si>
    <t>Q2-2024</t>
  </si>
  <si>
    <t>Decomissioning obligations</t>
  </si>
  <si>
    <t>Company2747</t>
  </si>
  <si>
    <t>Discontinued operations payment, mm</t>
  </si>
  <si>
    <t>Q3-2024</t>
  </si>
  <si>
    <t>Q4-2024</t>
  </si>
  <si>
    <t>KZ</t>
  </si>
  <si>
    <t>Q1-2025</t>
  </si>
  <si>
    <t>Distributions more (less) affiliate income, mm</t>
  </si>
  <si>
    <t>TCO loan repayment, mm</t>
  </si>
  <si>
    <t>FY2025</t>
  </si>
  <si>
    <t>FY2026</t>
  </si>
  <si>
    <t>Costs Incurred in Exploration, Property Acquisitions and Development</t>
  </si>
  <si>
    <t>U.S. Geological and geophysical, mm</t>
  </si>
  <si>
    <t>U.S. Other, mm</t>
  </si>
  <si>
    <t>U.S. Total exploration, mm</t>
  </si>
  <si>
    <t>U.S. Proved - Other, mm</t>
  </si>
  <si>
    <t>U.S. Unproved - Other, mm</t>
  </si>
  <si>
    <t>U.S. Total property acquisitions, mm</t>
  </si>
  <si>
    <t>U.S. Development, mm</t>
  </si>
  <si>
    <t>U.S. Total Costs Incurred, mm</t>
  </si>
  <si>
    <t>U.S. Wells, mm</t>
  </si>
  <si>
    <t>Other Americas Wells, mm</t>
  </si>
  <si>
    <t>Other Americas Geological and geophysical, mm</t>
  </si>
  <si>
    <t>Other Americas Other, mm</t>
  </si>
  <si>
    <t>Other Americas Total exploration, mm</t>
  </si>
  <si>
    <t>Other Americas Proved - Other, mm</t>
  </si>
  <si>
    <t>Other Americas Unproved - Other, mm</t>
  </si>
  <si>
    <t>Other Americas Total property acquisitions, mm</t>
  </si>
  <si>
    <t>Other Americas Development, mm</t>
  </si>
  <si>
    <t>Other Americas Total Costs Incurred, mm</t>
  </si>
  <si>
    <t>Africa Wells, mm</t>
  </si>
  <si>
    <t>Africa Geological and geophysical, mm</t>
  </si>
  <si>
    <t>Africa Other, mm</t>
  </si>
  <si>
    <t>Africa Total exploration, mm</t>
  </si>
  <si>
    <t>Africa Proved - Other, mm</t>
  </si>
  <si>
    <t>Africa Unproved - Other, mm</t>
  </si>
  <si>
    <t>Africa Total property acquisitions, mm</t>
  </si>
  <si>
    <t>Africa Development, mm</t>
  </si>
  <si>
    <t>Africa Total Costs Incurred, mm</t>
  </si>
  <si>
    <t>Asia Wells, mm</t>
  </si>
  <si>
    <t>Asia Geological and geophysical, mm</t>
  </si>
  <si>
    <t>Asia Other, mm</t>
  </si>
  <si>
    <t>Asia Total exploration, mm</t>
  </si>
  <si>
    <t>Asia Proved - Other, mm</t>
  </si>
  <si>
    <t>Asia Unproved - Other, mm</t>
  </si>
  <si>
    <t>Asia Total property acquisitions, mm</t>
  </si>
  <si>
    <t>Asia Development, mm</t>
  </si>
  <si>
    <t>Asia Total Costs Incurred, mm</t>
  </si>
  <si>
    <t>Australia Wells, mm</t>
  </si>
  <si>
    <t>Australia Development, mm</t>
  </si>
  <si>
    <t>Australia Total exploration, mm</t>
  </si>
  <si>
    <t>Australia Total Costs Incurred, mm</t>
  </si>
  <si>
    <t>Australia Total property acquisitions, mm</t>
  </si>
  <si>
    <t>Australia Unproved - Other, mm</t>
  </si>
  <si>
    <t>Australia Proved - Other, mm</t>
  </si>
  <si>
    <t>Australia Other, mm</t>
  </si>
  <si>
    <t>Australia Geological and geophysical, mm</t>
  </si>
  <si>
    <t>Europe Wells, mm</t>
  </si>
  <si>
    <t>Europe Geological and geophysical, mm</t>
  </si>
  <si>
    <t>Europe Other, mm</t>
  </si>
  <si>
    <t>Europe Total exploration, mm</t>
  </si>
  <si>
    <t>Europe Proved - Other, mm</t>
  </si>
  <si>
    <t>Europe Unproved - Other, mm</t>
  </si>
  <si>
    <t>Europe Total property acquisitions, mm</t>
  </si>
  <si>
    <t>Europe Development, mm</t>
  </si>
  <si>
    <t>Europe Total Costs Incurred, mm</t>
  </si>
  <si>
    <t>Total Wells, mm</t>
  </si>
  <si>
    <t>Total Geological and geophysical, mm</t>
  </si>
  <si>
    <t>Total Other, mm</t>
  </si>
  <si>
    <t>Total Proved - Other, mm</t>
  </si>
  <si>
    <t>Total Unproved - Other, mm</t>
  </si>
  <si>
    <t>Total Development, mm</t>
  </si>
  <si>
    <t>Total exploration, mm</t>
  </si>
  <si>
    <t>Total property acquisitions, mm</t>
  </si>
  <si>
    <t>Total Costs Incurred, mm</t>
  </si>
  <si>
    <t>TCO Wells, mm</t>
  </si>
  <si>
    <t>TCO Geological and geophysical, mm</t>
  </si>
  <si>
    <t>TCO Other, mm</t>
  </si>
  <si>
    <t>TCO Total exploration, mm</t>
  </si>
  <si>
    <t>TCO Proved - Other, mm</t>
  </si>
  <si>
    <t>TCO Unproved - Other, mm</t>
  </si>
  <si>
    <t>TCO Total property acquisitions, mm</t>
  </si>
  <si>
    <t>TCO Development, mm</t>
  </si>
  <si>
    <t>TCO Total Costs Incurred, mm</t>
  </si>
  <si>
    <t>Other Wells, mm</t>
  </si>
  <si>
    <t>Other Geological and geophysical, mm</t>
  </si>
  <si>
    <t>Other Other, mm</t>
  </si>
  <si>
    <t>Other Total exploration, mm</t>
  </si>
  <si>
    <t>Other Proved - Other, mm</t>
  </si>
  <si>
    <t>Other Unproved - Other, mm</t>
  </si>
  <si>
    <t>Other Total property acquisitions, mm</t>
  </si>
  <si>
    <t>Other Development, mm</t>
  </si>
  <si>
    <t>Other Total Costs Incurred, mm</t>
  </si>
  <si>
    <t>Capitalized Costs Related to Oil and Gas Producing Activities</t>
  </si>
  <si>
    <t>U.S. Unproved properties, mm</t>
  </si>
  <si>
    <t>U.S. Proved properties and related producing assets, mm</t>
  </si>
  <si>
    <t>U.S. Support equipment, mm</t>
  </si>
  <si>
    <t>U.S. Deferred exploratory wells, mm</t>
  </si>
  <si>
    <t>U.S. Other uncompleted projects, mm</t>
  </si>
  <si>
    <t>U.S. Gross Capitalized Costs, mm</t>
  </si>
  <si>
    <t>U.S. Unproved properties valuation, mm</t>
  </si>
  <si>
    <t>U.S. Proved producing properties – Depreciation and depletion, mm</t>
  </si>
  <si>
    <t>U.S. Support equipment depreciation, mm</t>
  </si>
  <si>
    <t>U.S. Accumulated provisions, mm</t>
  </si>
  <si>
    <t>U.S. Net Capitalized Costs, mm</t>
  </si>
  <si>
    <t>Other Americas Unproved properties, mm</t>
  </si>
  <si>
    <t>Other Americas Proved properties and related producing assets, mm</t>
  </si>
  <si>
    <t>Other Americas Support equipment, mm</t>
  </si>
  <si>
    <t>Other Americas Deferred exploratory wells, mm</t>
  </si>
  <si>
    <t>Other Americas Other uncompleted projects, mm</t>
  </si>
  <si>
    <t>Other Americas Gross Capitalized Costs, mm</t>
  </si>
  <si>
    <t>Other Americas Unproved properties valuation, mm</t>
  </si>
  <si>
    <t>Other Americas Proved producing properties – Depreciation and depletion, mm</t>
  </si>
  <si>
    <t>Other Americas Support equipment depreciation, mm</t>
  </si>
  <si>
    <t>Other Americas Accumulated provisions, mm</t>
  </si>
  <si>
    <t>Other Americas Net Capitalized Costs, mm</t>
  </si>
  <si>
    <t>Africa Unproved properties, mm</t>
  </si>
  <si>
    <t>Africa Proved properties and related producing assets, mm</t>
  </si>
  <si>
    <t>Africa Support equipment, mm</t>
  </si>
  <si>
    <t>Africa Deferred exploratory wells, mm</t>
  </si>
  <si>
    <t>Africa Other uncompleted projects, mm</t>
  </si>
  <si>
    <t>Africa Gross Capitalized Costs, mm</t>
  </si>
  <si>
    <t>Africa Unproved properties valuation, mm</t>
  </si>
  <si>
    <t>Africa Proved producing properties – Depreciation and depletion, mm</t>
  </si>
  <si>
    <t>Africa Support equipment depreciation, mm</t>
  </si>
  <si>
    <t>Africa Accumulated provisions, mm</t>
  </si>
  <si>
    <t>Africa Net Capitalized Costs, mm</t>
  </si>
  <si>
    <t>Asia Unproved properties, mm</t>
  </si>
  <si>
    <t>Asia Proved properties and related producing assets, mm</t>
  </si>
  <si>
    <t>Asia Support equipment, mm</t>
  </si>
  <si>
    <t>Asia Deferred exploratory wells, mm</t>
  </si>
  <si>
    <t>Asia Other uncompleted projects, mm</t>
  </si>
  <si>
    <t>Asia Gross Capitalized Costs, mm</t>
  </si>
  <si>
    <t>Asia Unproved properties valuation, mm</t>
  </si>
  <si>
    <t>Asia Proved producing properties – Depreciation and depletion, mm</t>
  </si>
  <si>
    <t>Asia Support equipment depreciation, mm</t>
  </si>
  <si>
    <t>Asia Accumulated provisions, mm</t>
  </si>
  <si>
    <t>Asia Net Capitalized Costs, mm</t>
  </si>
  <si>
    <t>Australia Unproved properties, mm</t>
  </si>
  <si>
    <t>Australia Proved properties and related producing assets, mm</t>
  </si>
  <si>
    <t>Australia Support equipment, mm</t>
  </si>
  <si>
    <t>Australia Deferred exploratory wells, mm</t>
  </si>
  <si>
    <t>Australia Other uncompleted projects, mm</t>
  </si>
  <si>
    <t>Australia Gross Capitalized Costs, mm</t>
  </si>
  <si>
    <t>Australia Unproved properties valuation, mm</t>
  </si>
  <si>
    <t>Australia Proved producing properties – Depreciation and depletion, mm</t>
  </si>
  <si>
    <t>Australia Support equipment depreciation, mm</t>
  </si>
  <si>
    <t>Australia Accumulated provisions, mm</t>
  </si>
  <si>
    <t>Australia Net Capitalized Costs, mm</t>
  </si>
  <si>
    <t>Europe Unproved properties, mm</t>
  </si>
  <si>
    <t>Europe Proved properties and related producing assets, mm</t>
  </si>
  <si>
    <t>Europe Support equipment, mm</t>
  </si>
  <si>
    <t>Europe Deferred exploratory wells, mm</t>
  </si>
  <si>
    <t>Europe Other uncompleted projects, mm</t>
  </si>
  <si>
    <t>Europe Gross Capitalized Costs, mm</t>
  </si>
  <si>
    <t>Europe Unproved properties valuation, mm</t>
  </si>
  <si>
    <t>Europe Proved producing properties – Depreciation and depletion, mm</t>
  </si>
  <si>
    <t>Europe Support equipment depreciation, mm</t>
  </si>
  <si>
    <t>Europe Accumulated provisions, mm</t>
  </si>
  <si>
    <t>Europe Net Capitalized Costs, mm</t>
  </si>
  <si>
    <t>Total Unproved properties, mm</t>
  </si>
  <si>
    <t>Total Proved properties and related producing assets, mm</t>
  </si>
  <si>
    <t>Total Support equipment, mm</t>
  </si>
  <si>
    <t>Total Deferred exploratory wells, mm</t>
  </si>
  <si>
    <t>Total Other uncompleted projects, mm</t>
  </si>
  <si>
    <t>Total Gross Capitalized Costs, mm</t>
  </si>
  <si>
    <t>Total Unproved properties valuation, mm</t>
  </si>
  <si>
    <t>Total Proved producing properties – Depreciation and depletion, mm</t>
  </si>
  <si>
    <t>Total Support equipment depreciation, mm</t>
  </si>
  <si>
    <t>Total Accumulated provisions, mm</t>
  </si>
  <si>
    <t>Total Net Capitalized Costs, mm</t>
  </si>
  <si>
    <t>Other Unproved properties, mm</t>
  </si>
  <si>
    <t>Other Proved properties and related producing assets, mm</t>
  </si>
  <si>
    <t>Other Support equipment, mm</t>
  </si>
  <si>
    <t>Other Deferred exploratory wells, mm</t>
  </si>
  <si>
    <t>Other Other uncompleted projects, mm</t>
  </si>
  <si>
    <t>Other Gross Capitalized Costs, mm</t>
  </si>
  <si>
    <t>Other Unproved properties valuation, mm</t>
  </si>
  <si>
    <t>Other Proved producing properties – Depreciation and depletion, mm</t>
  </si>
  <si>
    <t>Other Support equipment depreciation, mm</t>
  </si>
  <si>
    <t>Other Accumulated provisions, mm</t>
  </si>
  <si>
    <t>Other Net Capitalized Costs, mm</t>
  </si>
  <si>
    <t>TCO Unproved properties, mm</t>
  </si>
  <si>
    <t>TCO Proved properties and related producing assets, mm</t>
  </si>
  <si>
    <t>TCO Support equipment, mm</t>
  </si>
  <si>
    <t>TCO Deferred exploratory wells, mm</t>
  </si>
  <si>
    <t>TCO Other uncompleted projects, mm</t>
  </si>
  <si>
    <t>TCO Gross Capitalized Costs, mm</t>
  </si>
  <si>
    <t>TCO Unproved properties valuation, mm</t>
  </si>
  <si>
    <t>TCO Proved producing properties – Depreciation and depletion, mm</t>
  </si>
  <si>
    <t>TCO Support equipment depreciation, mm</t>
  </si>
  <si>
    <t>TCO Accumulated provisions, mm</t>
  </si>
  <si>
    <t>TCO Net Capitalized Costs, mm</t>
  </si>
  <si>
    <t>Results of Operations for Oil and Gas Producing Activities</t>
  </si>
  <si>
    <t>Total Revenues from net production</t>
  </si>
  <si>
    <t>U.S. Sales revenues from net production, mm</t>
  </si>
  <si>
    <t>U.S. Transfers revenues from net production, mm</t>
  </si>
  <si>
    <t>U.S. Total Revenues from net production, mm</t>
  </si>
  <si>
    <t>U.S. Production expenses excluding taxes, mm</t>
  </si>
  <si>
    <t>U.S. Taxes other than on income, mm</t>
  </si>
  <si>
    <t>U.S. Depreciation and depletion, mm</t>
  </si>
  <si>
    <t>U.S. Accretion expense, mm</t>
  </si>
  <si>
    <t>U.S. Exploration expenses, mm</t>
  </si>
  <si>
    <t>U.S. Other income (loss), mm</t>
  </si>
  <si>
    <t>U.S. Results before income taxes, mm</t>
  </si>
  <si>
    <t>U.S. Income tax (expense) benefit, mm</t>
  </si>
  <si>
    <t>U.S. Results of Producing Operations, mm</t>
  </si>
  <si>
    <t>Other Americas Sales revenues from net production, mm</t>
  </si>
  <si>
    <t>Other Americas Transfers revenues from net production, mm</t>
  </si>
  <si>
    <t>Other Americas Total Revenues from net production, mm</t>
  </si>
  <si>
    <t>Other Americas Production expenses excluding taxes, mm</t>
  </si>
  <si>
    <t>Other Americas Taxes other than on income, mm</t>
  </si>
  <si>
    <t>Other Americas Depreciation and depletion, mm</t>
  </si>
  <si>
    <t>Other Americas Accretion expense, mm</t>
  </si>
  <si>
    <t>Other Americas Exploration expenses, mm</t>
  </si>
  <si>
    <t>Other Americas Other income (loss), mm</t>
  </si>
  <si>
    <t>Other Americas Results before income taxes, mm</t>
  </si>
  <si>
    <t>Other Americas Income tax (expense) benefit, mm</t>
  </si>
  <si>
    <t>Other Americas Results of Producing Operations, mm</t>
  </si>
  <si>
    <t>Africa Sales revenues from net production, mm</t>
  </si>
  <si>
    <t>Africa Transfers revenues from net production, mm</t>
  </si>
  <si>
    <t>Africa Total Revenues from net production, mm</t>
  </si>
  <si>
    <t>Africa Production expenses excluding taxes, mm</t>
  </si>
  <si>
    <t>Africa Taxes other than on income, mm</t>
  </si>
  <si>
    <t>Africa Depreciation and depletion, mm</t>
  </si>
  <si>
    <t>Africa Accretion expense, mm</t>
  </si>
  <si>
    <t>Africa Exploration expenses, mm</t>
  </si>
  <si>
    <t>Africa Other income (loss), mm</t>
  </si>
  <si>
    <t>Africa Results before income taxes, mm</t>
  </si>
  <si>
    <t>Africa Income tax (expense) benefit, mm</t>
  </si>
  <si>
    <t>Africa Results of Producing Operations, mm</t>
  </si>
  <si>
    <t>Asia Sales revenues from net production, mm</t>
  </si>
  <si>
    <t>Asia Transfers revenues from net production, mm</t>
  </si>
  <si>
    <t>Asia Total Revenues from net production, mm</t>
  </si>
  <si>
    <t>Asia Production expenses excluding taxes, mm</t>
  </si>
  <si>
    <t>Asia Taxes other than on income, mm</t>
  </si>
  <si>
    <t>Asia Depreciation and depletion, mm</t>
  </si>
  <si>
    <t>Asia Accretion expense, mm</t>
  </si>
  <si>
    <t>Asia Exploration expenses, mm</t>
  </si>
  <si>
    <t>Asia Other income (loss), mm</t>
  </si>
  <si>
    <t>Asia Results before income taxes, mm</t>
  </si>
  <si>
    <t>Asia Income tax (expense) benefit, mm</t>
  </si>
  <si>
    <t>Asia Results of Producing Operations, mm</t>
  </si>
  <si>
    <t>Australia Sales revenues from net production, mm</t>
  </si>
  <si>
    <t>Australia Transfers revenues from net production, mm</t>
  </si>
  <si>
    <t>Australia Total Revenues from net production, mm</t>
  </si>
  <si>
    <t>Australia Production expenses excluding taxes, mm</t>
  </si>
  <si>
    <t>Australia Taxes other than on income, mm</t>
  </si>
  <si>
    <t>Australia Depreciation and depletion, mm</t>
  </si>
  <si>
    <t>Australia Accretion expense, mm</t>
  </si>
  <si>
    <t>Australia Exploration expenses, mm</t>
  </si>
  <si>
    <t>Australia Other income (loss), mm</t>
  </si>
  <si>
    <t>Australia Results before income taxes, mm</t>
  </si>
  <si>
    <t>Australia Income tax (expense) benefit, mm</t>
  </si>
  <si>
    <t>Australia Results of Producing Operations, mm</t>
  </si>
  <si>
    <t>Europe Sales revenues from net production, mm</t>
  </si>
  <si>
    <t>Europe Transfers revenues from net production, mm</t>
  </si>
  <si>
    <t>Europe Total Revenues from net production, mm</t>
  </si>
  <si>
    <t>Europe Production expenses excluding taxes, mm</t>
  </si>
  <si>
    <t>Europe Taxes other than on income, mm</t>
  </si>
  <si>
    <t>Europe Depreciation and depletion, mm</t>
  </si>
  <si>
    <t>Europe Accretion expense, mm</t>
  </si>
  <si>
    <t>Europe Exploration expenses, mm</t>
  </si>
  <si>
    <t>Europe Other income (loss), mm</t>
  </si>
  <si>
    <t>Europe Results before income taxes, mm</t>
  </si>
  <si>
    <t>Europe Income tax (expense) benefit, mm</t>
  </si>
  <si>
    <t>Europe Results of Producing Operations, mm</t>
  </si>
  <si>
    <t>Total Sales revenues from net production, mm</t>
  </si>
  <si>
    <t>Total Transfers revenues from net production, mm</t>
  </si>
  <si>
    <t>Total Production expenses excluding taxes, mm</t>
  </si>
  <si>
    <t>Total Taxes other than on income, mm</t>
  </si>
  <si>
    <t>Total Depreciation and depletion, mm</t>
  </si>
  <si>
    <t>Total Accretion expense, mm</t>
  </si>
  <si>
    <t>Total Exploration expenses, mm</t>
  </si>
  <si>
    <t>Total Other income (loss), mm</t>
  </si>
  <si>
    <t>Total Results before income taxes, mm</t>
  </si>
  <si>
    <t>Total Income tax (expense) benefit, mm</t>
  </si>
  <si>
    <t>Total Results of Producing Operations, mm</t>
  </si>
  <si>
    <t>TCO Sales revenues from net production, mm</t>
  </si>
  <si>
    <t>TCO Transfers revenues from net production, mm</t>
  </si>
  <si>
    <t>TCO Total Revenues from net production</t>
  </si>
  <si>
    <t>TCO Production expenses excluding taxes, mm</t>
  </si>
  <si>
    <t>TCO Taxes other than on income, mm</t>
  </si>
  <si>
    <t>TCO Depreciation and depletion, mm</t>
  </si>
  <si>
    <t>TCO Accretion expense, mm</t>
  </si>
  <si>
    <t>TCO Exploration expenses, mm</t>
  </si>
  <si>
    <t>TCO Other income (loss), mm</t>
  </si>
  <si>
    <t>TCO Results before income taxes, mm</t>
  </si>
  <si>
    <t>TCO Income tax (expense) benefit, mm</t>
  </si>
  <si>
    <t>TCO Results of Producing Operations, mm</t>
  </si>
  <si>
    <t>Other Sales revenues from net production, mm</t>
  </si>
  <si>
    <t>Other Transfers revenues from net production, mm</t>
  </si>
  <si>
    <t>Other Total Revenues from net production</t>
  </si>
  <si>
    <t>Other Production expenses excluding taxes, mm</t>
  </si>
  <si>
    <t>Other Taxes other than on income, mm</t>
  </si>
  <si>
    <t>Other Depreciation and depletion, mm</t>
  </si>
  <si>
    <t>Other Accretion expense, mm</t>
  </si>
  <si>
    <t>Other Exploration expenses, mm</t>
  </si>
  <si>
    <t>Other Other income (loss), mm</t>
  </si>
  <si>
    <t>Other Results before income taxes, mm</t>
  </si>
  <si>
    <t>Other Income tax (expense) benefit, mm</t>
  </si>
  <si>
    <t>Other Results of Producing Operations, mm</t>
  </si>
  <si>
    <t>Results of Operations for Oil and Gas Producing Activities - Unit Prices and Costs</t>
  </si>
  <si>
    <t>U.S. Crude average sales price, $/bbl</t>
  </si>
  <si>
    <t>U.S. Natural gas liquids average sales price, $/bbl</t>
  </si>
  <si>
    <t>U.S. Average production costs, $/bbl</t>
  </si>
  <si>
    <t>Other Americas Crude average sales price, $/bbl</t>
  </si>
  <si>
    <t>Other Americas Natural gas liquids average sales price, $/bbl</t>
  </si>
  <si>
    <t>Other Americas Average production costs, $/bbl</t>
  </si>
  <si>
    <t>Africa Crude average sales price, $/bbl</t>
  </si>
  <si>
    <t>Africa Natural gas liquids average sales price, $/bbl</t>
  </si>
  <si>
    <t>Africa Average production costs, $/bbl</t>
  </si>
  <si>
    <t>Asia Crude average sales price, $/bbl</t>
  </si>
  <si>
    <t>Asia Natural gas liquids average sales price, $/bbl</t>
  </si>
  <si>
    <t>Asia Average production costs, $/bbl</t>
  </si>
  <si>
    <t>Australia Crude average sales price, $/bbl</t>
  </si>
  <si>
    <t>Australia Natural gas liquids average sales price, $/bbl</t>
  </si>
  <si>
    <t>Australia Average production costs, $/bbl</t>
  </si>
  <si>
    <t>Europe Crude average sales price, $/bbl</t>
  </si>
  <si>
    <t>Europe Natural gas liquids average sales price, $/bbl</t>
  </si>
  <si>
    <t>Europe Average production costs, $/bbl</t>
  </si>
  <si>
    <t>Total Crude average sales price, $/bbl</t>
  </si>
  <si>
    <t>Total Natural gas liquids average sales price, $/bbl</t>
  </si>
  <si>
    <t>Total Average production costs, $/bbl</t>
  </si>
  <si>
    <t>Summary of Net Oil and Gas Reserves</t>
  </si>
  <si>
    <t>TCO Crude average sales price, $/bbl</t>
  </si>
  <si>
    <t>TCO Natural gas liquids average sales price, $/bbl</t>
  </si>
  <si>
    <t>TCO Average production costs, $/bbl</t>
  </si>
  <si>
    <t>Other Crude average sales price, $/bbl</t>
  </si>
  <si>
    <t>Other Natural gas liquids average sales price, $/bbl</t>
  </si>
  <si>
    <t>Other Average production costs, $/bbl</t>
  </si>
  <si>
    <t>U.S. Crude Oil Condensate Proved Developed Reserves, MMBbls</t>
  </si>
  <si>
    <t>Other Americas Crude Oil Condensate Proved Developed Reserves, MMBbls</t>
  </si>
  <si>
    <t>Africa Crude Oil Condensate Proved Developed Reserves, MMBbls</t>
  </si>
  <si>
    <t>Asia Crude Oil Condensate Proved Developed Reserves, MMBbls</t>
  </si>
  <si>
    <t>Australia Crude Oil Condensate Proved Developed Reserves, MMBbls</t>
  </si>
  <si>
    <t>Europe Crude Oil Condensate Proved Developed Reserves, MMBbls</t>
  </si>
  <si>
    <t>TCO Crude Oil Condensate Proved Developed Reserves, MMBbls</t>
  </si>
  <si>
    <t>Other Crude Oil Condensate Proved Developed Reserves, MMBbls</t>
  </si>
  <si>
    <t>U.S. Crude Oil Condensate Proved Undeveloped Reserves, MMBbls</t>
  </si>
  <si>
    <t>Other Americas Crude Oil Condensate Proved Undeveloped Reserves, MMBbls</t>
  </si>
  <si>
    <t>Africa Crude Oil Condensate Proved Undeveloped Reserves, MMBbls</t>
  </si>
  <si>
    <t>Asia Crude Oil Condensate Proved Undeveloped Reserves, MMBbls</t>
  </si>
  <si>
    <t>Australia Crude Oil Condensate Proved Undeveloped Reserves, MMBbls</t>
  </si>
  <si>
    <t>Europe Crude Oil Condensate Proved Undeveloped Reserves, MMBbls</t>
  </si>
  <si>
    <t>TCO Crude Oil Condensate Proved Undeveloped Reserves, MMBbls</t>
  </si>
  <si>
    <t>Other Crude Oil Condensate Proved Undeveloped Reserves, MMBbls</t>
  </si>
  <si>
    <t>Total Consolidated Companies Crude Oil Condensate Proved Developed Reserves, MMBbls</t>
  </si>
  <si>
    <t>Total Affiliated Companies Crude Oil Condensate Proved Developed Reserves, MMBbls</t>
  </si>
  <si>
    <t>Total Consolidated and Affiliated Companies Crude Oil Condensate Proved Developed Reserves, MMBbls</t>
  </si>
  <si>
    <t>Total Consolidated Companies Crude Oil Condensate Proved Undeveloped Reserves, MMBbls</t>
  </si>
  <si>
    <t>Total Affiliated Companies Crude Oil Condensate Proved Undeveloped Reserves, MMBbls</t>
  </si>
  <si>
    <t>Total Consolidated and Affiliated Companies Crude Oil Condensate Proved Undeveloped Reserves, MMBbls</t>
  </si>
  <si>
    <t>Total Crude Oil Condensate Proved Reserves, MMBbls</t>
  </si>
  <si>
    <t>U.S. Synthetic Oil Proved Developed Reserves, MMBbls</t>
  </si>
  <si>
    <t>Other Americas Synthetic Oil Proved Developed Reserves, MMBbls</t>
  </si>
  <si>
    <t>Africa Synthetic Oil Proved Developed Reserves, MMBbls</t>
  </si>
  <si>
    <t>Asia Synthetic Oil Proved Developed Reserves, MMBbls</t>
  </si>
  <si>
    <t>Australia Synthetic Oil Proved Developed Reserves, MMBbls</t>
  </si>
  <si>
    <t>Europe Synthetic Oil Proved Developed Reserves, MMBbls</t>
  </si>
  <si>
    <t>TCO Synthetic Oil Proved Developed Reserves, MMBbls</t>
  </si>
  <si>
    <t>Other Synthetic Oil Proved Developed Reserves, MMBbls</t>
  </si>
  <si>
    <t>U.S. Synthetic Oil Proved Undeveloped Reserves, MMBbls</t>
  </si>
  <si>
    <t>Other Americas Synthetic Oil Proved Undeveloped Reserves, MMBbls</t>
  </si>
  <si>
    <t>Africa Synthetic Oil Proved Undeveloped Reserves, MMBbls</t>
  </si>
  <si>
    <t>Asia Synthetic Oil Proved Undeveloped Reserves, MMBbls</t>
  </si>
  <si>
    <t>Australia Synthetic Oil Proved Undeveloped Reserves, MMBbls</t>
  </si>
  <si>
    <t>Europe Synthetic Oil Proved Undeveloped Reserves, MMBbls</t>
  </si>
  <si>
    <t>TCO Synthetic Oil Proved Undeveloped Reserves, MMBbls</t>
  </si>
  <si>
    <t>Other Synthetic Oil Proved Undeveloped Reserves, MMBbls</t>
  </si>
  <si>
    <t>Total Synthetic Oil Proved Reserves, MMBbls</t>
  </si>
  <si>
    <t>Total Consolidated Companies Synthetic Oil Proved Developed Reserves, MMBbls</t>
  </si>
  <si>
    <t>Total Affiliated Companies Synthetic Oil Proved Developed Reserves, MMBbls</t>
  </si>
  <si>
    <t>Total Consolidated and Affiliated Companies Synthetic Oil Proved Developed Reserves, MMBbls</t>
  </si>
  <si>
    <t>Total Consolidated Companies Synthetic Oil Proved Undeveloped Reserves, MMBbls</t>
  </si>
  <si>
    <t>Total Affiliated Companies Synthetic Oil Proved Undeveloped Reserves, MMBbls</t>
  </si>
  <si>
    <t>Total Consolidated and Affiliated Companies Synthetic Oil Proved Undeveloped Reserves, MMBbls</t>
  </si>
  <si>
    <t>Total Consolidated Companies NGL Proved Developed Reserves, MMBbls</t>
  </si>
  <si>
    <t>Total Affiliated Companies NGL Proved Developed Reserves, MMBbls</t>
  </si>
  <si>
    <t>Total Consolidated and Affiliated Companies NGL Proved Developed Reserves, MMBbls</t>
  </si>
  <si>
    <t>U.S. NGL Proved Developed Reserves, MMBbls</t>
  </si>
  <si>
    <t>Other Americas NGL Proved Developed Reserves, MMBbls</t>
  </si>
  <si>
    <t>Africa NGL Proved Developed Reserves, MMBbls</t>
  </si>
  <si>
    <t>Asia NGL Proved Developed Reserves, MMBbls</t>
  </si>
  <si>
    <t>Australia NGL Proved Developed Reserves, MMBbls</t>
  </si>
  <si>
    <t>Europe NGL Proved Developed Reserves, MMBbls</t>
  </si>
  <si>
    <t>TCO NGL Proved Developed Reserves, MMBbls</t>
  </si>
  <si>
    <t>Other NGL Proved Developed Reserves, MMBbls</t>
  </si>
  <si>
    <t>U.S. NGL Proved Undeveloped Reserves, MMBbls</t>
  </si>
  <si>
    <t>Other Americas NGL Proved Undeveloped Reserves, MMBbls</t>
  </si>
  <si>
    <t>Africa NGL Proved Undeveloped Reserves, MMBbls</t>
  </si>
  <si>
    <t>Asia NGL Proved Undeveloped Reserves, MMBbls</t>
  </si>
  <si>
    <t>Australia NGL Proved Undeveloped Reserves, MMBbls</t>
  </si>
  <si>
    <t>Europe NGL Proved Undeveloped Reserves, MMBbls</t>
  </si>
  <si>
    <t>TCO NGL Proved Undeveloped Reserves, MMBbls</t>
  </si>
  <si>
    <t>Other NGL Proved Undeveloped Reserves, MMBbls</t>
  </si>
  <si>
    <t>Total NGL Proved Reserves, MMBbls</t>
  </si>
  <si>
    <t>U.S. Natural Gas Proved Developed Reserves, Bcf</t>
  </si>
  <si>
    <t>Other Americas Natural Gas Proved Developed Reserves, Bcf</t>
  </si>
  <si>
    <t>Africa Natural Gas Proved Developed Reserves, Bcf</t>
  </si>
  <si>
    <t>Asia Natural Gas Proved Developed Reserves, Bcf</t>
  </si>
  <si>
    <t>Australia Natural Gas Proved Developed Reserves, Bcf</t>
  </si>
  <si>
    <t>Europe Natural Gas Proved Developed Reserves, Bcf</t>
  </si>
  <si>
    <t>TCO Natural Gas Proved Developed Reserves, Bcf</t>
  </si>
  <si>
    <t>Other Natural Gas Proved Developed Reserves, Bcf</t>
  </si>
  <si>
    <t>U.S. Natural Gas Proved Undeveloped Reserves, Bcf</t>
  </si>
  <si>
    <t>Other Americas Natural Gas Proved Undeveloped Reserves, Bcf</t>
  </si>
  <si>
    <t>Africa Natural Gas Proved Undeveloped Reserves, Bcf</t>
  </si>
  <si>
    <t>Asia Natural Gas Proved Undeveloped Reserves, Bcf</t>
  </si>
  <si>
    <t>Australia Natural Gas Proved Undeveloped Reserves, Bcf</t>
  </si>
  <si>
    <t>Europe Natural Gas Proved Undeveloped Reserves, Bcf</t>
  </si>
  <si>
    <t>TCO Natural Gas Proved Undeveloped Reserves, Bcf</t>
  </si>
  <si>
    <t>Other Natural Gas Proved Undeveloped Reserves, Bcf</t>
  </si>
  <si>
    <t>Total Natural Gas Proved Reserves, Bcf</t>
  </si>
  <si>
    <t>Total Consolidated Companies NGL Proved Undeveloped Reserves, MMBbls</t>
  </si>
  <si>
    <t>Total Affiliated Companies NGL Proved Undeveloped Reserves, MMBbls</t>
  </si>
  <si>
    <t>Total Consolidated and Affiliated Companies NGL Proved Undeveloped Reserves, MMBbls</t>
  </si>
  <si>
    <t>Total Consolidated Companies Natural Gas Proved Developed Reserves, Bcf</t>
  </si>
  <si>
    <t>Total Affiliated Companies Natural Gas Proved Developed Reserves, Bcf</t>
  </si>
  <si>
    <t>Total Consolidated and Affiliated Companies Natural Gas Proved Developed Reserves, Bcf</t>
  </si>
  <si>
    <t>Total Consolidated Companies Natural Gas Proved Undeveloped Reserves, Bcf</t>
  </si>
  <si>
    <t>Total Affiliated Companies Natural Gas Proved Undeveloped Reserves, Bcf</t>
  </si>
  <si>
    <t>Total Consolidated and Affiliated Companies Natural Gas Proved Undeveloped Reserves, Bcf</t>
  </si>
  <si>
    <t>U.S. Natural gas average sales price, $/mcf</t>
  </si>
  <si>
    <t>Other Americas Natural gas average sales price, $/mcf</t>
  </si>
  <si>
    <t>Africa Natural gas average sales price, $/mcf</t>
  </si>
  <si>
    <t>Asia Natural gas average sales price, $/mcf</t>
  </si>
  <si>
    <t>Australia Natural gas average sales price, $/mcf</t>
  </si>
  <si>
    <t>Europe Natural gas average sales price, $/mcf</t>
  </si>
  <si>
    <t>Total Natural gas average sales price, $/mcf</t>
  </si>
  <si>
    <t>TCO Natural gas average sales price, $/mcf</t>
  </si>
  <si>
    <t>Other Natural gas average sales price, $/mcf</t>
  </si>
  <si>
    <t>Net Proved Reserves of Crude Oil, Condensate and Synthetic Oil</t>
  </si>
  <si>
    <t>U.S. Crude Oil, Condensate and Synthetic Oil BoP Reserves, MMbbl</t>
  </si>
  <si>
    <t>U.S. Crude Oil, Condensate and Synthetic Oil Revisions, MMbbl</t>
  </si>
  <si>
    <t>U.S. Crude Oil, Condensate and Synthetic Oil Improved recovery, MMbbl</t>
  </si>
  <si>
    <t>U.S. Crude Oil, Condensate and Synthetic Oil Extensions and discoveries, MMbbl</t>
  </si>
  <si>
    <t>U.S. Crude Oil, Condensate and Synthetic Oil Purchases, MMbbl</t>
  </si>
  <si>
    <t>U.S. Crude Oil, Condensate and Synthetic Oil Sales, MMbbl</t>
  </si>
  <si>
    <t>U.S. Crude Oil, Condensate and Synthetic Oil Production, MMbbl</t>
  </si>
  <si>
    <t>U.S. Crude Oil, Condensate and Synthetic Oil EoP Reserves, MMbbl</t>
  </si>
  <si>
    <t>Other Americas Crude Oil, Condensate and Synthetic Oil BoP Reserves, MMbbl</t>
  </si>
  <si>
    <t>Other Americas Crude Oil, Condensate and Synthetic Oil Revisions, MMbbl</t>
  </si>
  <si>
    <t>Other Americas Crude Oil, Condensate and Synthetic Oil Improved recovery, MMbbl</t>
  </si>
  <si>
    <t>Other Americas Crude Oil, Condensate and Synthetic Oil Extensions and discoveries, MMbbl</t>
  </si>
  <si>
    <t>Other Americas Crude Oil, Condensate and Synthetic Oil Purchases, MMbbl</t>
  </si>
  <si>
    <t>Other Americas Crude Oil, Condensate and Synthetic Oil Sales, MMbbl</t>
  </si>
  <si>
    <t>Other Americas Crude Oil, Condensate and Synthetic Oil Production, MMbbl</t>
  </si>
  <si>
    <t>Other Americas Crude Oil, Condensate and Synthetic Oil EoP Reserves, MMbbl</t>
  </si>
  <si>
    <t>Africa Crude Oil, Condensate and Synthetic Oil BoP Reserves, MMbbl</t>
  </si>
  <si>
    <t>Africa Crude Oil, Condensate and Synthetic Oil Revisions, MMbbl</t>
  </si>
  <si>
    <t>Africa Crude Oil, Condensate and Synthetic Oil Improved recovery, MMbbl</t>
  </si>
  <si>
    <t>Africa Crude Oil, Condensate and Synthetic Oil Extensions and discoveries, MMbbl</t>
  </si>
  <si>
    <t>Africa Crude Oil, Condensate and Synthetic Oil Purchases, MMbbl</t>
  </si>
  <si>
    <t>Africa Crude Oil, Condensate and Synthetic Oil Sales, MMbbl</t>
  </si>
  <si>
    <t>Africa Crude Oil, Condensate and Synthetic Oil Production, MMbbl</t>
  </si>
  <si>
    <t>Africa Crude Oil, Condensate and Synthetic Oil EoP Reserves, MMbbl</t>
  </si>
  <si>
    <t>Asia Crude Oil, Condensate and Synthetic Oil BoP Reserves, MMbbl, MMbbl</t>
  </si>
  <si>
    <t>Asia Crude Oil, Condensate and Synthetic Oil Revisions, MMbbl</t>
  </si>
  <si>
    <t>Asia Crude Oil, Condensate and Synthetic Oil Improved recovery, MMbbl</t>
  </si>
  <si>
    <t>Asia Crude Oil, Condensate and Synthetic Oil Extensions and discoveries, MMbbl</t>
  </si>
  <si>
    <t>Asia Crude Oil, Condensate and Synthetic Oil Purchases, MMbbl</t>
  </si>
  <si>
    <t>Asia Crude Oil, Condensate and Synthetic Oil Sales, MMbbl</t>
  </si>
  <si>
    <t>Asia Crude Oil, Condensate and Synthetic Oil Production, MMbbl</t>
  </si>
  <si>
    <t>Asia Crude Oil, Condensate and Synthetic Oil EoP Reserves, MMbbl</t>
  </si>
  <si>
    <t>Australia Crude Oil, Condensate and Synthetic Oil BoP Reserves, MMbbl, MMbbl</t>
  </si>
  <si>
    <t>Australia Crude Oil, Condensate and Synthetic Oil Revisions, MMbbl</t>
  </si>
  <si>
    <t>Australia Crude Oil, Condensate and Synthetic Oil Improved recovery, MMbbl</t>
  </si>
  <si>
    <t>Australia Crude Oil, Condensate and Synthetic Oil Extensions and discoveries, MMbbl</t>
  </si>
  <si>
    <t>Australia Crude Oil, Condensate and Synthetic Oil Purchases, MMbbl</t>
  </si>
  <si>
    <t>Australia Crude Oil, Condensate and Synthetic Oil Sales, MMbbl</t>
  </si>
  <si>
    <t>Australia Crude Oil, Condensate and Synthetic Oil Production, MMbbl</t>
  </si>
  <si>
    <t>Australia Crude Oil, Condensate and Synthetic Oil EoP Reserves, MMbbl</t>
  </si>
  <si>
    <t>Europe Crude Oil, Condensate and Synthetic Oil BoP Reserves, MMbbl, MMbbl</t>
  </si>
  <si>
    <t>Europe Crude Oil, Condensate and Synthetic Oil Revisions, MMbbl</t>
  </si>
  <si>
    <t>Europe Crude Oil, Condensate and Synthetic Oil Improved recovery, MMbbl</t>
  </si>
  <si>
    <t>Europe Crude Oil, Condensate and Synthetic Oil Extensions and discoveries, MMbbl</t>
  </si>
  <si>
    <t>Europe Crude Oil, Condensate and Synthetic Oil Purchases, MMbbl</t>
  </si>
  <si>
    <t>Europe Crude Oil, Condensate and Synthetic Oil Sales, MMbbl</t>
  </si>
  <si>
    <t>Europe Crude Oil, Condensate and Synthetic Oil Production, MMbbl</t>
  </si>
  <si>
    <t>Europe Crude Oil, Condensate and Synthetic Oil EoP Reserves, MMbbl</t>
  </si>
  <si>
    <t>Synthetic Oil BoP Reserves, MMbbl, MMbbl</t>
  </si>
  <si>
    <t>Synthetic Oil Revisions, MMbbl</t>
  </si>
  <si>
    <t>Synthetic Oil Improved recovery, MMbbl</t>
  </si>
  <si>
    <t>Synthetic Oil Extensions and discoveries, MMbbl</t>
  </si>
  <si>
    <t>Synthetic Oil Purchases, MMbbl</t>
  </si>
  <si>
    <t>Synthetic Oil Sales, MMbbl</t>
  </si>
  <si>
    <t>Synthetic Oil Production, MMbbl</t>
  </si>
  <si>
    <t>Synthetic Oil EoP Reserves, MMbbl</t>
  </si>
  <si>
    <t>Total Consolidated Companies Crude Oil, Condensate and Synthetic Oil BoP Reserves, MMbbl, MMbbl</t>
  </si>
  <si>
    <t>Total Consolidated Companies Crude Oil, Condensate and Synthetic Oil Revisions, MMbbl</t>
  </si>
  <si>
    <t>Total Consolidated Companies Crude Oil, Condensate and Synthetic Oil Improved recovery, MMbbl</t>
  </si>
  <si>
    <t>Total Consolidated Companies Crude Oil, Condensate and Synthetic Oil Extensions and discoveries, MMbbl</t>
  </si>
  <si>
    <t>Total Consolidated Companies Crude Oil, Condensate and Synthetic Oil Purchases, MMbbl</t>
  </si>
  <si>
    <t>Total Consolidated Companies Crude Oil, Condensate and Synthetic Oil Sales, MMbbl</t>
  </si>
  <si>
    <t>Total Consolidated Companies Crude Oil, Condensate and Synthetic Oil Production, MMbbl</t>
  </si>
  <si>
    <t>Total Consolidated Companies Crude Oil, Condensate and Synthetic Oil EoP Reserves, MMbbl</t>
  </si>
  <si>
    <t>TCO Crude Oil, Condensate and Synthetic Oil BoP Reserves, MMbbl, MMbbl</t>
  </si>
  <si>
    <t>TCO Crude Oil, Condensate and Synthetic Oil Revisions, MMbbl</t>
  </si>
  <si>
    <t>TCO Crude Oil, Condensate and Synthetic Oil Improved recovery, MMbbl</t>
  </si>
  <si>
    <t>TCO Crude Oil, Condensate and Synthetic Oil Extensions and discoveries, MMbbl</t>
  </si>
  <si>
    <t>TCO Crude Oil, Condensate and Synthetic Oil Purchases, MMbbl</t>
  </si>
  <si>
    <t>TCO Crude Oil, Condensate and Synthetic Oil Sales, MMbbl</t>
  </si>
  <si>
    <t>TCO Crude Oil, Condensate and Synthetic Oil Production, MMbbl</t>
  </si>
  <si>
    <t>TCO Crude Oil, Condensate and Synthetic Oil EoP Reserves, MMbbl</t>
  </si>
  <si>
    <t>Other Crude Oil, Condensate and Synthetic Oil BoP Reserves, MMbbl, MMbbl</t>
  </si>
  <si>
    <t>Other Crude Oil, Condensate and Synthetic Oil Revisions, MMbbl</t>
  </si>
  <si>
    <t>Other Crude Oil, Condensate and Synthetic Oil Improved recovery, MMbbl</t>
  </si>
  <si>
    <t>Other Crude Oil, Condensate and Synthetic Oil Extensions and discoveries, MMbbl</t>
  </si>
  <si>
    <t>Other Crude Oil, Condensate and Synthetic Oil Purchases, MMbbl</t>
  </si>
  <si>
    <t>Other Crude Oil, Condensate and Synthetic Oil Sales, MMbbl</t>
  </si>
  <si>
    <t>Other Crude Oil, Condensate and Synthetic Oil Production, MMbbl</t>
  </si>
  <si>
    <t>Other Crude Oil, Condensate and Synthetic Oil EoP Reserves, MMbbl</t>
  </si>
  <si>
    <t>Total Consolidated and Affiliated Companies Crude Oil, Condensate and Synthetic Oil BoP Reserves, MMbbl, MMbbl</t>
  </si>
  <si>
    <t>Total Consolidated and Affiliated Companies Crude Oil, Condensate and Synthetic Oil Revisions, MMbbl</t>
  </si>
  <si>
    <t>Total Consolidated and Affiliated Companies Crude Oil, Condensate and Synthetic Oil Improved recovery, MMbbl</t>
  </si>
  <si>
    <t>Total Consolidated and Affiliated Companies Crude Oil, Condensate and Synthetic Oil Extensions and discoveries, MMbbl</t>
  </si>
  <si>
    <t>Total Consolidated and Affiliated Companies Crude Oil, Condensate and Synthetic Oil Purchases, MMbbl</t>
  </si>
  <si>
    <t>Total Consolidated and Affiliated Companies Crude Oil, Condensate and Synthetic Oil Sales, MMbbl</t>
  </si>
  <si>
    <t>Total Consolidated and Affiliated Companies Crude Oil, Condensate and Synthetic Oil Production, MMbbl</t>
  </si>
  <si>
    <t>Total Consolidated and Affiliated Companies Crude Oil, Condensate and Synthetic Oil EoP Reserves, MMbbl</t>
  </si>
  <si>
    <t>Net Proved Reserves of Natural Gas Liquids</t>
  </si>
  <si>
    <t>U.S. NGL BoP Reserves, MMbbl</t>
  </si>
  <si>
    <t>U.S. NGL Revisions, MMbbl</t>
  </si>
  <si>
    <t>U.S. NGL Improved recovery, MMbbl</t>
  </si>
  <si>
    <t>U.S. NGL Extensions and discoveries, MMbbl</t>
  </si>
  <si>
    <t>U.S. NGL Purchases, MMbbl</t>
  </si>
  <si>
    <t>U.S. NGL Sales, MMbbl</t>
  </si>
  <si>
    <t>U.S. NGL Production, MMbbl</t>
  </si>
  <si>
    <t>U.S. NGL EoP Reserves, MMbbl</t>
  </si>
  <si>
    <t>Other Americas NGL BoP Reserves, MMbbl</t>
  </si>
  <si>
    <t>Other Americas NGL Revisions, MMbbl</t>
  </si>
  <si>
    <t>Other Americas NGL Improved recovery, MMbbl</t>
  </si>
  <si>
    <t>Other Americas NGL Extensions and discoveries, MMbbl</t>
  </si>
  <si>
    <t>Other Americas NGL Purchases, MMbbl</t>
  </si>
  <si>
    <t>Other Americas NGL Sales, MMbbl</t>
  </si>
  <si>
    <t>Other Americas NGL Production, MMbbl</t>
  </si>
  <si>
    <t>Other Americas NGL EoP Reserves, MMbbl</t>
  </si>
  <si>
    <t>Asia NGL BoP Reserves, MMbbl</t>
  </si>
  <si>
    <t>Asia NGL Revisions, MMbbl</t>
  </si>
  <si>
    <t>Asia NGL Improved recovery, MMbbl</t>
  </si>
  <si>
    <t>Asia NGL Extensions and discoveries, MMbbl</t>
  </si>
  <si>
    <t>Asia NGL Purchases, MMbbl</t>
  </si>
  <si>
    <t>Asia NGL Sales, MMbbl</t>
  </si>
  <si>
    <t>Asia NGL Production, MMbbl</t>
  </si>
  <si>
    <t>Asia NGL EoP Reserves, MMbbl</t>
  </si>
  <si>
    <t>Australia NGL BoP Reserves, MMbbl</t>
  </si>
  <si>
    <t>Australia NGL Revisions, MMbbl</t>
  </si>
  <si>
    <t>Australia NGL Improved recovery, MMbbl</t>
  </si>
  <si>
    <t>Australia NGL Extensions and discoveries, MMbbl</t>
  </si>
  <si>
    <t>Australia NGL Purchases, MMbbl</t>
  </si>
  <si>
    <t>Australia NGL Sales, MMbbl</t>
  </si>
  <si>
    <t>Australia NGL Production, MMbbl</t>
  </si>
  <si>
    <t>Australia NGL EoP Reserves, MMbbl</t>
  </si>
  <si>
    <t>Europe NGL BoP Reserves, MMbbl</t>
  </si>
  <si>
    <t>Europe NGL Revisions, MMbbl</t>
  </si>
  <si>
    <t>Europe NGL Improved recovery, MMbbl</t>
  </si>
  <si>
    <t>Europe NGL Extensions and discoveries, MMbbl</t>
  </si>
  <si>
    <t>Europe NGL Purchases, MMbbl</t>
  </si>
  <si>
    <t>Europe NGL Sales, MMbbl</t>
  </si>
  <si>
    <t>Europe NGL Production, MMbbl</t>
  </si>
  <si>
    <t>Europe NGL EoP Reserves, MMbbl</t>
  </si>
  <si>
    <t>Total Consolidated Companies NGL BoP Reserves, MMbbl</t>
  </si>
  <si>
    <t>Total Consolidated Companies NGL Revisions, MMbbl</t>
  </si>
  <si>
    <t>Total Consolidated Companies NGL Improved recovery, MMbbl</t>
  </si>
  <si>
    <t>Total Consolidated Companies NGL Extensions and discoveries, MMbbl</t>
  </si>
  <si>
    <t>Total Consolidated Companies NGL Purchases, MMbbl</t>
  </si>
  <si>
    <t>Total Consolidated Companies NGL Sales, MMbbl</t>
  </si>
  <si>
    <t>Total Consolidated Companies NGL Production, MMbbl</t>
  </si>
  <si>
    <t>Total Consolidated Companies NGL EoP Reserves, MMbbl</t>
  </si>
  <si>
    <t>TCO NGL BoP Reserves, MMbbl</t>
  </si>
  <si>
    <t>TCO NGL Revisions, MMbbl</t>
  </si>
  <si>
    <t>TCO NGL Improved recovery, MMbbl</t>
  </si>
  <si>
    <t>TCO NGL Extensions and discoveries, MMbbl</t>
  </si>
  <si>
    <t>TCO NGL Purchases, MMbbl</t>
  </si>
  <si>
    <t>TCO NGL Sales, MMbbl</t>
  </si>
  <si>
    <t>TCO NGL Production, MMbbl</t>
  </si>
  <si>
    <t>TCO NGL EoP Reserves, MMbbl</t>
  </si>
  <si>
    <t>Other NGL BoP Reserves, MMbbl</t>
  </si>
  <si>
    <t>Other NGL Revisions, MMbbl</t>
  </si>
  <si>
    <t>Other NGL Improved recovery, MMbbl</t>
  </si>
  <si>
    <t>Other NGL Extensions and discoveries, MMbbl</t>
  </si>
  <si>
    <t>Other NGL Purchases, MMbbl</t>
  </si>
  <si>
    <t>Other NGL Sales, MMbbl</t>
  </si>
  <si>
    <t>Other NGL Production, MMbbl</t>
  </si>
  <si>
    <t>Other NGL EoP Reserves, MMbbl</t>
  </si>
  <si>
    <t>Total Consolidated and Affiliated Companies NGL BoP Reserves, MMbbl</t>
  </si>
  <si>
    <t>Total Consolidated and Affiliated Companies NGL Revisions, MMbbl</t>
  </si>
  <si>
    <t>Total Consolidated and Affiliated Companies NGL Improved recovery, MMbbl</t>
  </si>
  <si>
    <t>Total Consolidated and Affiliated Companies NGL Extensions and discoveries, MMbbl</t>
  </si>
  <si>
    <t>Total Consolidated and Affiliated Companies NGL Purchases, MMbbl</t>
  </si>
  <si>
    <t>Total Consolidated and Affiliated Companies NGL Sales, MMbbl</t>
  </si>
  <si>
    <t>Total Consolidated and Affiliated Companies NGL Production, MMbbl</t>
  </si>
  <si>
    <t>Total Consolidated and Affiliated Companies NGL EoP Reserves, MMbbl</t>
  </si>
  <si>
    <t>Net Proved Reserves of Natural Gas</t>
  </si>
  <si>
    <t>U.S. Natural Gas BoP Reserves, Bcf</t>
  </si>
  <si>
    <t>U.S. Natural Gas Revisions, Bcf</t>
  </si>
  <si>
    <t>U.S. Natural Gas Improved recovery, Bcf</t>
  </si>
  <si>
    <t>U.S. Natural Gas Extensions and discoveries, Bcf</t>
  </si>
  <si>
    <t>U.S. Natural Gas Purchases, Bcf</t>
  </si>
  <si>
    <t>U.S. Natural Gas Sales, Bcf</t>
  </si>
  <si>
    <t>U.S. Natural Gas Production, Bcf</t>
  </si>
  <si>
    <t>U.S. Natural Gas EoP Reserves, Bcf</t>
  </si>
  <si>
    <t>Other Americas Natural Gas BoP Reserves, Bcf</t>
  </si>
  <si>
    <t>Other Americas Natural Gas Revisions, Bcf</t>
  </si>
  <si>
    <t>Other Americas Natural Gas Improved recovery, Bcf</t>
  </si>
  <si>
    <t>Other Americas Natural Gas Extensions and discoveries, Bcf</t>
  </si>
  <si>
    <t>Other Americas Natural Gas Purchases, Bcf</t>
  </si>
  <si>
    <t>Other Americas Natural Gas Sales, Bcf</t>
  </si>
  <si>
    <t>Other Americas Natural Gas Production, Bcf</t>
  </si>
  <si>
    <t>Other Americas Natural Gas EoP Reserves, Bcf</t>
  </si>
  <si>
    <t>Africa Natural Gas BoP Reserves, Bcf</t>
  </si>
  <si>
    <t>Africa Natural Gas Revisions, Bcf</t>
  </si>
  <si>
    <t>Africa Natural Gas Improved recovery, Bcf</t>
  </si>
  <si>
    <t>Africa Natural Gas Extensions and discoveries, Bcf</t>
  </si>
  <si>
    <t>Africa Natural Gas Purchases, Bcf</t>
  </si>
  <si>
    <t>Africa Natural Gas Sales, Bcf</t>
  </si>
  <si>
    <t>Africa Natural Gas Production, Bcf</t>
  </si>
  <si>
    <t>Africa Natural Gas EoP Reserves, Bcf</t>
  </si>
  <si>
    <t>Asia Natural Gas BoP Reserves, Bcf</t>
  </si>
  <si>
    <t>Asia Natural Gas Revisions, Bcf</t>
  </si>
  <si>
    <t>Asia Natural Gas Improved recovery, Bcf</t>
  </si>
  <si>
    <t>Asia Natural Gas Extensions and discoveries, Bcf</t>
  </si>
  <si>
    <t>Asia Natural Gas Purchases, Bcf</t>
  </si>
  <si>
    <t>Asia Natural Gas Sales, Bcf</t>
  </si>
  <si>
    <t>Asia Natural Gas Production, Bcf</t>
  </si>
  <si>
    <t>Asia Natural Gas EoP Reserves, Bcf</t>
  </si>
  <si>
    <t>Australia Natural Gas BoP Reserves, Bcf</t>
  </si>
  <si>
    <t>Australia Natural Gas Revisions, Bcf</t>
  </si>
  <si>
    <t>Australia Natural Gas Improved recovery, Bcf</t>
  </si>
  <si>
    <t>Australia Natural Gas Extensions and discoveries, Bcf</t>
  </si>
  <si>
    <t>Australia Natural Gas Purchases, Bcf</t>
  </si>
  <si>
    <t>Australia Natural Gas Sales, Bcf</t>
  </si>
  <si>
    <t>Australia Natural Gas Production, Bcf</t>
  </si>
  <si>
    <t>Australia Natural Gas EoP Reserves, Bcf</t>
  </si>
  <si>
    <t>Europe Natural Gas BoP Reserves, Bcf</t>
  </si>
  <si>
    <t>Europe Natural Gas Revisions, Bcf</t>
  </si>
  <si>
    <t>Europe Natural Gas Improved recovery, Bcf</t>
  </si>
  <si>
    <t>Europe Natural Gas Extensions and discoveries, Bcf</t>
  </si>
  <si>
    <t>Europe Natural Gas Purchases, Bcf</t>
  </si>
  <si>
    <t>Europe Natural Gas Sales, Bcf</t>
  </si>
  <si>
    <t>Europe Natural Gas Production, Bcf</t>
  </si>
  <si>
    <t>Europe Natural Gas EoP Reserves, Bcf</t>
  </si>
  <si>
    <t>Total Consolidated Companies Natural Gas BoP Reserves, Bcf</t>
  </si>
  <si>
    <t>Total Consolidated Companies Natural Gas Revisions, Bcf</t>
  </si>
  <si>
    <t>Total Consolidated Companies Natural Gas Improved recovery, Bcf</t>
  </si>
  <si>
    <t>Total Consolidated Companies Natural Gas Extensions and discoveries, Bcf</t>
  </si>
  <si>
    <t>Total Consolidated Companies Natural Gas Purchases, Bcf</t>
  </si>
  <si>
    <t>Total Consolidated Companies Natural Gas Sales, Bcf</t>
  </si>
  <si>
    <t>Total Consolidated Companies Natural Gas Production, Bcf</t>
  </si>
  <si>
    <t>Total Consolidated Companies Natural Gas EoP Reserves, Bcf</t>
  </si>
  <si>
    <t>TCO Natural Gas BoP Reserves, Bcf</t>
  </si>
  <si>
    <t>TCO Natural Gas Revisions, Bcf</t>
  </si>
  <si>
    <t>TCO Natural Gas Improved recovery, Bcf</t>
  </si>
  <si>
    <t>TCO Natural Gas Extensions and discoveries, Bcf</t>
  </si>
  <si>
    <t>TCO Natural Gas Purchases, Bcf</t>
  </si>
  <si>
    <t>TCO Natural Gas Sales, Bcf</t>
  </si>
  <si>
    <t>TCO Natural Gas Production, Bcf</t>
  </si>
  <si>
    <t>TCO Natural Gas EoP Reserves, Bcf</t>
  </si>
  <si>
    <t>Other Natural Gas BoP Reserves, Bcf</t>
  </si>
  <si>
    <t>Other Natural Gas Revisions, Bcf</t>
  </si>
  <si>
    <t>Other Natural Gas Improved recovery, Bcf</t>
  </si>
  <si>
    <t>Other Natural Gas Extensions and discoveries, Bcf</t>
  </si>
  <si>
    <t>Other Natural Gas Purchases, Bcf</t>
  </si>
  <si>
    <t>Other Natural Gas Sales, Bcf</t>
  </si>
  <si>
    <t>Other Natural Gas Production, Bcf</t>
  </si>
  <si>
    <t>Other Natural Gas EoP Reserves, Bcf</t>
  </si>
  <si>
    <t>Total Consolidated and Affiliated Companies Natural Gas BoP Reserves, Bcf</t>
  </si>
  <si>
    <t>Total Consolidated and Affiliated Companies Natural Gas Revisions, Bcf</t>
  </si>
  <si>
    <t>Total Consolidated and Affiliated Companies Natural Gas Improved recovery, Bcf</t>
  </si>
  <si>
    <t>Total Consolidated and Affiliated Companies Natural Gas Extensions and discoveries, Bcf</t>
  </si>
  <si>
    <t>Total Consolidated and Affiliated Companies Natural Gas Purchases, Bcf</t>
  </si>
  <si>
    <t>Total Consolidated and Affiliated Companies Natural Gas Sales, Bcf</t>
  </si>
  <si>
    <t>Total Consolidated and Affiliated Companies Natural Gas Production, Bcf</t>
  </si>
  <si>
    <t>Total Consolidated and Affiliated Companies Natural Gas EoP Reserves, Bcf</t>
  </si>
  <si>
    <t>U.S. Future cash inflows from production, mm</t>
  </si>
  <si>
    <t>U.S. Future production costs, mm</t>
  </si>
  <si>
    <t>U.S. Future development costs, mm</t>
  </si>
  <si>
    <t>U.S. Future income taxes, mm</t>
  </si>
  <si>
    <t>U.S. Undiscounted future net cash flows, mm</t>
  </si>
  <si>
    <t>U.S. 10 percent midyear annual discount for timing of estimated cash flows, mm</t>
  </si>
  <si>
    <t>U.S. Standardized Measure Net Cash Flows, mm</t>
  </si>
  <si>
    <t>Other Americas Future cash inflows from production, mm</t>
  </si>
  <si>
    <t>Other Americas Future production costs, mm</t>
  </si>
  <si>
    <t>Other Americas Future development costs, mm</t>
  </si>
  <si>
    <t>Other Americas Future income taxes, mm</t>
  </si>
  <si>
    <t>Other Americas Undiscounted future net cash flows, mm</t>
  </si>
  <si>
    <t>Other Americas 10 percent midyear annual discount for timing of estimated cash flows, mm</t>
  </si>
  <si>
    <t>Other Americas Standardized Measure Net Cash Flows, mm</t>
  </si>
  <si>
    <t>Asia Future cash inflows from production, mm</t>
  </si>
  <si>
    <t>Asia Future production costs, mm</t>
  </si>
  <si>
    <t>Asia Future development costs, mm</t>
  </si>
  <si>
    <t>Asia Future income taxes, mm</t>
  </si>
  <si>
    <t>Asia Undiscounted future net cash flows, mm</t>
  </si>
  <si>
    <t>Asia 10 percent midyear annual discount for timing of estimated cash flows, mm</t>
  </si>
  <si>
    <t>Asia Standardized Measure Net Cash Flows, mm</t>
  </si>
  <si>
    <t>Africa Future cash inflows from production, mm</t>
  </si>
  <si>
    <t>Africa Future production costs, mm</t>
  </si>
  <si>
    <t>Africa Future development costs, mm</t>
  </si>
  <si>
    <t>Africa Future income taxes, mm</t>
  </si>
  <si>
    <t>Africa Undiscounted future net cash flows, mm</t>
  </si>
  <si>
    <t>Africa 10 percent midyear annual discount for timing of estimated cash flows, mm</t>
  </si>
  <si>
    <t>Africa Standardized Measure Net Cash Flows, mm</t>
  </si>
  <si>
    <t>Australia Future cash inflows from production, mm</t>
  </si>
  <si>
    <t>Australia Future production costs, mm</t>
  </si>
  <si>
    <t>Australia Future development costs, mm</t>
  </si>
  <si>
    <t>Australia Future income taxes, mm</t>
  </si>
  <si>
    <t>Australia Undiscounted future net cash flows, mm</t>
  </si>
  <si>
    <t>Australia 10 percent midyear annual discount for timing of estimated cash flows, mm</t>
  </si>
  <si>
    <t>Australia Standardized Measure Net Cash Flows, mm</t>
  </si>
  <si>
    <t>Europe Future cash inflows from production, mm</t>
  </si>
  <si>
    <t>Europe Future production costs, mm</t>
  </si>
  <si>
    <t>Europe Future development costs, mm</t>
  </si>
  <si>
    <t>Europe Future income taxes, mm</t>
  </si>
  <si>
    <t>Europe Undiscounted future net cash flows, mm</t>
  </si>
  <si>
    <t>Europe 10 percent midyear annual discount for timing of estimated cash flows, mm</t>
  </si>
  <si>
    <t>Europe Standardized Measure Net Cash Flows, mm</t>
  </si>
  <si>
    <t>Total Consolidated Companies Future cash inflows from production, mm</t>
  </si>
  <si>
    <t>Total Consolidated Companies Future production costs, mm</t>
  </si>
  <si>
    <t>Total Consolidated Companies Future development costs, mm</t>
  </si>
  <si>
    <t>Total Consolidated Companies Future income taxes, mm</t>
  </si>
  <si>
    <t>Total Consolidated Companies Undiscounted future net cash flows, mm</t>
  </si>
  <si>
    <t>Total Consolidated Companies 10 percent midyear annual discount for timing of estimated cash flows, mm</t>
  </si>
  <si>
    <t>Total Consolidated Companies Standardized Measure Net Cash Flows, mm</t>
  </si>
  <si>
    <t>TCO Future cash inflows from production, mm</t>
  </si>
  <si>
    <t>TCO Future production costs, mm</t>
  </si>
  <si>
    <t>TCO Future development costs, mm</t>
  </si>
  <si>
    <t>TCO Future income taxes, mm</t>
  </si>
  <si>
    <t>TCO Undiscounted future net cash flows, mm</t>
  </si>
  <si>
    <t>TCO 10 percent midyear annual discount for timing of estimated cash flows, mm</t>
  </si>
  <si>
    <t>TCO Standardized Measure Net Cash Flows, mm</t>
  </si>
  <si>
    <t>Other Future cash inflows from production, mm</t>
  </si>
  <si>
    <t>Other Future production costs, mm</t>
  </si>
  <si>
    <t>Other Future development costs, mm</t>
  </si>
  <si>
    <t>Other Future income taxes, mm</t>
  </si>
  <si>
    <t>Other Undiscounted future net cash flows, mm</t>
  </si>
  <si>
    <t>Other 10 percent midyear annual discount for timing of estimated cash flows, mm</t>
  </si>
  <si>
    <t>Other Standardized Measure Net Cash Flows, mm</t>
  </si>
  <si>
    <t>Total Consolidated and Affiliated Companies Future cash inflows from production, mm</t>
  </si>
  <si>
    <t>Total Consolidated and Affiliated Companies Future production costs, mm</t>
  </si>
  <si>
    <t>Total Consolidated and Affiliated Companies Future development costs, mm</t>
  </si>
  <si>
    <t>Total Consolidated and Affiliated Companies Future income taxes, mm</t>
  </si>
  <si>
    <t>Total Consolidated and Affiliated Companies Undiscounted future net cash flows, mm</t>
  </si>
  <si>
    <t>Total Consolidated and Affiliated Companies 10 percent midyear annual discount for timing of estimated cash flows, mm</t>
  </si>
  <si>
    <t>Total Consolidated and Affiliated Companies Standardized Measure Net Cash Flows, mm</t>
  </si>
  <si>
    <t>Changes in the Standardized Measure of Discounted Future Net Cash Flows From Proved Reserves</t>
  </si>
  <si>
    <t>Consolidated Companies Sales and transfers of oil and gas produced net of production costs, mm</t>
  </si>
  <si>
    <t>Consolidated Companies Development costs incurred, mm</t>
  </si>
  <si>
    <t>Consolidated Companies Purchases of reserves, mm</t>
  </si>
  <si>
    <t>Consolidated Companies Sales of reserves, mm</t>
  </si>
  <si>
    <t>Consolidated Companies Extensions, discoveries and improved recovery less related costs, mm</t>
  </si>
  <si>
    <t>Consolidated Companies Revisions of previous quantity estimates, mm</t>
  </si>
  <si>
    <t>Consolidated Companies Net changes in prices, development and production costs, mm</t>
  </si>
  <si>
    <t>Consolidated Companies Accretion of discount, mm</t>
  </si>
  <si>
    <t>Consolidated Companies Net change in income tax, mm</t>
  </si>
  <si>
    <t>Consolidated Companies Net Change, mm</t>
  </si>
  <si>
    <t>Consolidated Companies BoP Present Value, mm</t>
  </si>
  <si>
    <t>Consolidated Companies EoP Present Value, mm</t>
  </si>
  <si>
    <t>Affiliated Companies Sales and transfers of oil and gas produced net of production costs, mm</t>
  </si>
  <si>
    <t>Affiliated Companies Development costs incurred, mm</t>
  </si>
  <si>
    <t>Affiliated Companies Purchases of reserves, mm</t>
  </si>
  <si>
    <t>Affiliated Companies Sales of reserves, mm</t>
  </si>
  <si>
    <t>Affiliated Companies Extensions, discoveries and improved recovery less related costs, mm</t>
  </si>
  <si>
    <t>Affiliated Companies Revisions of previous quantity estimates, mm</t>
  </si>
  <si>
    <t>Affiliated Companies Net changes in prices, development and production costs, mm</t>
  </si>
  <si>
    <t>Affiliated Companies Accretion of discount, mm</t>
  </si>
  <si>
    <t>Affiliated Companies Net change in income tax, mm</t>
  </si>
  <si>
    <t>Affiliated Companies Net Change, mm</t>
  </si>
  <si>
    <t>Affiliated Companies BoP Present Value, mm</t>
  </si>
  <si>
    <t>Total Consolidated and Affiliated Companies BoP Present Value, mm</t>
  </si>
  <si>
    <t>Total Consolidated and Affiliated Companies EoP Present Value, mm</t>
  </si>
  <si>
    <t>Total Consolidated and Affiliated Companies Sales and transfers of oil and gas produced net of production costs, mm</t>
  </si>
  <si>
    <t>Total Consolidated and Affiliated Companies Development costs incurred, mm</t>
  </si>
  <si>
    <t>Total Consolidated and Affiliated Companies Purchases of reserves, mm</t>
  </si>
  <si>
    <t>Total Consolidated and Affiliated Companies Sales of reserves, mm</t>
  </si>
  <si>
    <t>Total Consolidated and Affiliated Companies Extensions, discoveries and improved recovery less related costs, mm</t>
  </si>
  <si>
    <t>Total Consolidated and Affiliated Companies Revisions of previous quantity estimates, mm</t>
  </si>
  <si>
    <t>Total Consolidated and Affiliated Companies Net changes in prices, development and production costs, mm</t>
  </si>
  <si>
    <t>Total Consolidated and Affiliated Companies Accretion of discount, mm</t>
  </si>
  <si>
    <t>Total Consolidated and Affiliated Companies Net change in income tax, mm</t>
  </si>
  <si>
    <t>Total Consolidated and Affiliated Companies Net Change, mm</t>
  </si>
  <si>
    <t>Standardized Measure of Discounted Future Net Cash Flows Related to Proved Oil and Gas Reserves (10%)</t>
  </si>
  <si>
    <t>Company2240</t>
  </si>
  <si>
    <t>Q2-2025</t>
  </si>
  <si>
    <t>Company0670 share of TCO after tax earnings, mm</t>
  </si>
  <si>
    <t>TCO Dividends, mm</t>
  </si>
  <si>
    <t>U.S. Proved - Company1944, mm</t>
  </si>
  <si>
    <t>U.S. Unproved - Company1944, mm</t>
  </si>
  <si>
    <t>Other Americas Proved - Company1944, mm</t>
  </si>
  <si>
    <t>Other Americas Unproved - Company1944, mm</t>
  </si>
  <si>
    <t>Africa Unproved - Company1944, mm</t>
  </si>
  <si>
    <t>Africa Proved - Company1944, mm</t>
  </si>
  <si>
    <t>Asia Proved - Company1944, mm</t>
  </si>
  <si>
    <t>Asia Unproved - Company1944, mm</t>
  </si>
  <si>
    <t>Australia Proved - Company1944, mm</t>
  </si>
  <si>
    <t>Australia Unproved - Company1944, mm</t>
  </si>
  <si>
    <t>Europe Unproved - Company1944, mm</t>
  </si>
  <si>
    <t>Europe Proved - Company1944, mm</t>
  </si>
  <si>
    <t>Total Proved - Company1944, mm</t>
  </si>
  <si>
    <t>Total Unproved - Company1944, mm</t>
  </si>
  <si>
    <t>TCO Proved - Company1944, mm</t>
  </si>
  <si>
    <t>TCO Unproved - Company1944, mm</t>
  </si>
  <si>
    <t>Other Proved - Company1944, mm</t>
  </si>
  <si>
    <t>Other Unproved - Company1944, mm</t>
  </si>
  <si>
    <t>United States Gasoline production, mmbbl</t>
  </si>
  <si>
    <t>United States Gas oil production, mmbbl</t>
  </si>
  <si>
    <t>United States Jet fuel production, mmbbl</t>
  </si>
  <si>
    <t>United States Fuel oil production, mmbbl</t>
  </si>
  <si>
    <t>United States Other production, mmbbl</t>
  </si>
  <si>
    <t>Total United States production, mmbbl</t>
  </si>
  <si>
    <t>International Gasoline production, mmbbl</t>
  </si>
  <si>
    <t>International Gas oil production, mmbbl</t>
  </si>
  <si>
    <t>International Jet fuel production, mmbbl</t>
  </si>
  <si>
    <t>International Fuel oil production, mmbbl</t>
  </si>
  <si>
    <t>International Other production, mmbbl</t>
  </si>
  <si>
    <t>Total International production, mmbbl</t>
  </si>
  <si>
    <t>Worldwide Gasoline production, mmbbl</t>
  </si>
  <si>
    <t>Worldwide Gas oil production, mmbbl</t>
  </si>
  <si>
    <t>Worldwide Jet fuel production, mmbbl</t>
  </si>
  <si>
    <t>Worldwide Fuel oil production, mmbbl</t>
  </si>
  <si>
    <t>Worldwide Other production, mmbbl</t>
  </si>
  <si>
    <t>Total Worldwide production, mmbbl</t>
  </si>
  <si>
    <t>United States Gasoline sales, mmbbl</t>
  </si>
  <si>
    <t>United States Jet Fuel sales, mmbbl</t>
  </si>
  <si>
    <t>United States Gas Oil and Kerosene sales, mmbbl</t>
  </si>
  <si>
    <t>United States Residual Fuel oil sales, mmbbl</t>
  </si>
  <si>
    <t>United States Other Petroleum Products sales, mmbbl</t>
  </si>
  <si>
    <t>Total United States sales, mmbbl</t>
  </si>
  <si>
    <t>International Gasoline sales, mmbbl</t>
  </si>
  <si>
    <t>International Jet Fuel sales, mmbbl</t>
  </si>
  <si>
    <t>International Gas Oil and Kerosene sales, mmbbl</t>
  </si>
  <si>
    <t>International Residual Fuel Oil sales, mmbbl</t>
  </si>
  <si>
    <t>International Other Petroleum Products sales, mmbbl</t>
  </si>
  <si>
    <t>Total International sales, mmbbl</t>
  </si>
  <si>
    <t>Worldwide Gasoline sales, mmbbl</t>
  </si>
  <si>
    <t>Worldwide Jet fuel sales, mmbbl</t>
  </si>
  <si>
    <t>Worldwide Gas oil sales, mmbbl</t>
  </si>
  <si>
    <t>Worldwide Fuel oil sales, mmbbl</t>
  </si>
  <si>
    <t>Worldwide Other sales, mmbbl</t>
  </si>
  <si>
    <t>Total Worldwide sales, mmbbl</t>
  </si>
  <si>
    <t>Branded service stations, # of stations</t>
  </si>
  <si>
    <t>Key Metrics - Dashboard Metrics (FS)</t>
  </si>
  <si>
    <t>Q3-2025</t>
  </si>
  <si>
    <t>Upstream Turnarounds &amp; downtime, MBOE/d</t>
  </si>
  <si>
    <t>Downstream Turnarounds (A/T earnings), mm</t>
  </si>
  <si>
    <t>Adjusted EBITDA (calculated), mm</t>
  </si>
  <si>
    <t>Guyana, k bbl/d</t>
  </si>
  <si>
    <t>Guyana, MMcf/d</t>
  </si>
  <si>
    <t>All Other segment earnings, mm</t>
  </si>
  <si>
    <t>Q4-2025</t>
  </si>
  <si>
    <t>Transaction costs</t>
  </si>
  <si>
    <t>VG</t>
  </si>
  <si>
    <t>Q1-2026</t>
  </si>
  <si>
    <t>EBIT (calculated), mm</t>
  </si>
  <si>
    <t>OS</t>
  </si>
  <si>
    <t>Q2-2026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</si>
</sst>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_);_(* \(#,##0.0\);_(* &quot;-&quot;??_);_(@_)"/>
    <numFmt numFmtId="165" formatCode="0.00_);\(0.00\)"/>
    <numFmt numFmtId="166" formatCode="_(&quot;$&quot;* #,##0_);_(&quot;$&quot;* \(#,##0\);_(&quot;$&quot;* &quot;-&quot;??_);_(@_)"/>
    <numFmt numFmtId="167" formatCode="_(* #,##0_);_(* \(#,##0\);_(* &quot;-&quot;??_);_(@_)"/>
    <numFmt numFmtId="168" formatCode="_(* 0.0%_);_(* \-0.0%_);_(* &quot;-&quot;??_);_(@_)"/>
    <numFmt numFmtId="169" formatCode="_(* #,##0.0_);_(* \(#,##0.0\);_(* &quot;-&quot;??_);@"/>
    <numFmt numFmtId="170" formatCode="_(&quot;$&quot;* 0.00_);_(&quot;$&quot;* \(0.00\);_(&quot;$&quot;* &quot;-&quot;??_);_(@_)"/>
    <numFmt numFmtId="171" formatCode="_(* 0.0\ \x_);\ _(* &quot;n/a&quot;_);_(* &quot;-&quot;??_);_(@_)"/>
    <numFmt numFmtId="172" formatCode=";;;"/>
    <numFmt numFmtId="173" formatCode="_(&quot;$&quot;* 0.000_);_(&quot;$&quot;* \(0.000\);_(&quot;$&quot;* &quot;-&quot;??_);_(@_)"/>
    <numFmt numFmtId="174" formatCode="_(&quot;$&quot;* #,##0.000_);_(&quot;$&quot;* \(#,##0.000\);_(&quot;$&quot;* &quot;-&quot;??_);_(@_)"/>
    <numFmt numFmtId="175" formatCode="_(* #,##0.0_);_(* \(#,##0.0\);_(* &quot;-&quot;??_);_(&quot;Ticker :   &quot;@_)"/>
    <numFmt numFmtId="176" formatCode="_(&quot;$&quot;* 0.00_);_(&quot;$&quot;* \(0.00\);_(&quot;$&quot;* &quot;-&quot;??_);_(@\ * \ &quot;Toggle  &gt;&gt;&gt;&quot;_)"/>
    <numFmt numFmtId="177" formatCode="_(* 0%_);_(* \-0%_);_(* &quot;-&quot;??_);_(@_)"/>
    <numFmt numFmtId="178" formatCode="_(&quot;$&quot;* 0.0\ \k_);_(* &quot;n/a&quot;_);_(&quot;$&quot;* &quot;-&quot;??_);_(@_)"/>
    <numFmt numFmtId="179" formatCode="_(* #,##0.0_);_(* \(#,##0.0\);_(* &quot;-&quot;??_);_(&quot;Model Sheet Currency :   &quot;@_)"/>
    <numFmt numFmtId="180" formatCode="_(* #,##0.0_);_(* \(#,##0.0\);_(* &quot;-&quot;??_);_(&quot;Source Security Identification #: &quot;@_)"/>
    <numFmt numFmtId="181" formatCode="_(* 0.0%_);_(* &quot;NMF&quot;_);_(* &quot;-&quot;??_);_(@_)"/>
    <numFmt numFmtId="182" formatCode="_(* 0.0%_);_(* &quot;n/a&quot;_);_(* &quot;-&quot;??_);_(@_)"/>
    <numFmt numFmtId="183" formatCode="_(* #,##0.0_);_(* \(#,##0.0\);_(* &quot;-&quot;??_);_(&quot;Model Version #: &quot;@_)"/>
    <numFmt numFmtId="184" formatCode="_(* #,##0.0_);_(* \(#,##0.0\);_(* &quot; - &quot;??_);_(&quot;Last Price (&quot;@&quot;) &quot;_)"/>
    <numFmt numFmtId="185" formatCode="_(* #,##0.0_);_(* \(#,##0.0\);_(* &quot;-&quot;??_);_(&quot;Real-Time Stock Price :   &quot;@_)"/>
    <numFmt numFmtId="186" formatCode="_(&quot;$&quot;* 0.00_);_(&quot;$&quot;* \(0.00\);_(&quot;$&quot;* &quot; - &quot;??_);_(@_)"/>
    <numFmt numFmtId="187" formatCode="_(* #,##0.000_);_(* \(#,##0.000\);_(* &quot;-&quot;??_);_(@_)"/>
    <numFmt numFmtId="188" formatCode="&quot;Most Recent Period:&quot;"/>
    <numFmt numFmtId="189" formatCode="_(* #,##0.0_);_(* \(#,##0.0\);_(* &quot;-&quot;??_);_(&quot;Bloomberg &gt;&gt; &quot;@_)"/>
    <numFmt numFmtId="190" formatCode="_(* #,##0.0_);_(* \(#,##0.0\);_(* &quot;-&quot;??_);_(&quot;Capital IQ &gt;&gt; &quot;@_)"/>
    <numFmt numFmtId="191" formatCode="_(* #,##0.0_);_(* \(#,##0.0\);_(* &quot;-&quot;??_);_(&quot;FactSet &gt;&gt; &quot;@_)"/>
    <numFmt numFmtId="192" formatCode="_(* #,##0.0_);_(* \(#,##0.0\);_(* &quot; -&quot;??_);_(&quot;Refinitiv &gt;&gt; &quot;@_)"/>
    <numFmt numFmtId="193" formatCode="yyyy\-mm\-dd"/>
    <numFmt numFmtId="194" formatCode="_(\$* 0.00_);_(\$* \(0.00\);_(\$* &quot; - &quot;??_);_(@_)"/>
    <numFmt numFmtId="195" formatCode="m\-d\-yy"/>
    <numFmt numFmtId="196" formatCode="_(\$* 0.00_);_(\$* \(0.00\);_(\$* &quot;-&quot;??_);_(@\ * \ &quot;Toggle  &gt;&gt;&gt;&quot;_)"/>
    <numFmt numFmtId="197" formatCode="_(* 0.00\ \x_);\ _(* &quot;n/a&quot;_);_(* &quot;-&quot;??_);_(@_)"/>
    <numFmt numFmtId="198" formatCode="m/d/yy"/>
    <numFmt numFmtId="199" formatCode="_(* #,##0.0_);_(* \(#,##0.0\);_(* &quot;-&quot;??_);_(&quot;Tegus Ticker &gt;&gt; &quot;@_)"/>
    <numFmt numFmtId="200" formatCode="_(&quot;$&quot;* #,##0.00_);_(&quot;$&quot;* \(#,##0.00\);_(&quot;$&quot;* &quot; - &quot;??_);_(@_)"/>
    <numFmt numFmtId="201" formatCode=";;"/>
  </numFmts>
  <fonts count="55" x14ac:knownFonts="1">
    <font>
      <sz val="11"/>
      <name val="Calibri"/>
      <family val="2"/>
    </font>
    <font>
      <sz val="10"/>
      <color theme="1"/>
      <name val="Arial"/>
      <family val="2"/>
    </font>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b/>
      <sz val="11"/>
      <name val="Calibri"/>
      <family val="2"/>
    </font>
    <font>
      <sz val="11"/>
      <name val="Calibri"/>
      <family val="2"/>
      <scheme val="minor"/>
    </font>
    <font>
      <sz val="11"/>
      <color rgb="FFFF0000"/>
      <name val="Calibri"/>
      <family val="2"/>
    </font>
    <font>
      <sz val="22"/>
      <color theme="1"/>
      <name val="Calibri"/>
      <family val="2"/>
      <scheme val="minor"/>
    </font>
    <font>
      <u/>
      <sz val="11"/>
      <color theme="10"/>
      <name val="Calibri"/>
      <family val="2"/>
    </font>
    <font>
      <sz val="14"/>
      <color theme="1"/>
      <name val="Calibri"/>
      <family val="2"/>
      <scheme val="minor"/>
    </font>
    <font>
      <sz val="11"/>
      <color rgb="FF006100"/>
      <name val="Calibri"/>
      <family val="2"/>
      <scheme val="minor"/>
    </font>
    <font>
      <sz val="10"/>
      <color theme="1"/>
      <name val="Calibri"/>
      <family val="2"/>
      <scheme val="minor"/>
    </font>
    <font>
      <b/>
      <sz val="10"/>
      <color theme="1"/>
      <name val="Calibri"/>
      <family val="2"/>
      <scheme val="minor"/>
    </font>
    <font>
      <b/>
      <sz val="14"/>
      <color theme="1"/>
      <name val="Calibri"/>
      <family val="2"/>
      <scheme val="minor"/>
    </font>
    <font>
      <sz val="14"/>
      <name val="Calibri"/>
      <family val="2"/>
      <scheme val="minor"/>
    </font>
    <font>
      <i/>
      <sz val="11"/>
      <name val="Calibri"/>
      <family val="2"/>
    </font>
    <font>
      <sz val="11"/>
      <color rgb="FF000000"/>
      <name val="Calibri"/>
      <family val="2"/>
    </font>
    <font>
      <sz val="11"/>
      <color rgb="FF000000"/>
      <name val="Calibri"/>
      <family val="2"/>
      <scheme val="minor"/>
    </font>
    <font>
      <b/>
      <sz val="11"/>
      <color rgb="FF000000"/>
      <name val="Calibri"/>
      <family val="2"/>
    </font>
    <font>
      <i/>
      <sz val="11"/>
      <color rgb="FF000000"/>
      <name val="Calibri"/>
      <family val="2"/>
      <scheme val="minor"/>
    </font>
    <font>
      <i/>
      <sz val="11"/>
      <color rgb="FF000000"/>
      <name val="Calibri"/>
      <family val="2"/>
    </font>
    <font>
      <b/>
      <sz val="11"/>
      <color rgb="FFFFFFFF"/>
      <name val="Calibri"/>
      <family val="2"/>
    </font>
    <font>
      <b/>
      <sz val="11"/>
      <color rgb="FF000000"/>
      <name val="Calibri"/>
      <family val="2"/>
      <scheme val="minor"/>
    </font>
    <font>
      <u/>
      <sz val="22"/>
      <color theme="10"/>
      <name val="Calibri"/>
      <family val="2"/>
      <scheme val="minor"/>
    </font>
    <font>
      <sz val="10"/>
      <color theme="0"/>
      <name val="Calibri"/>
      <family val="2"/>
      <scheme val="minor"/>
    </font>
    <font>
      <b/>
      <sz val="11"/>
      <color rgb="FFFFFFFF"/>
      <name val="Calibri"/>
      <family val="2"/>
      <scheme val="minor"/>
    </font>
    <font>
      <sz val="11"/>
      <color rgb="FFFFFFFF"/>
      <name val="Calibri"/>
      <family val="2"/>
    </font>
    <font>
      <b/>
      <i/>
      <sz val="11"/>
      <color rgb="FF000000"/>
      <name val="Calibri"/>
      <family val="2"/>
    </font>
    <font>
      <b/>
      <i/>
      <sz val="11"/>
      <color rgb="FF000000"/>
      <name val="Calibri"/>
      <family val="2"/>
      <scheme val="minor"/>
    </font>
    <font>
      <sz val="11"/>
      <color theme="0" tint="-3.7903988769188511E-2"/>
      <name val="Calibri"/>
      <family val="2"/>
    </font>
    <font>
      <b/>
      <sz val="11"/>
      <color theme="0"/>
      <name val="Calibri"/>
      <family val="2"/>
    </font>
    <font>
      <u/>
      <sz val="22"/>
      <color rgb="FF000000"/>
      <name val="Calibri"/>
      <family val="2"/>
      <scheme val="minor"/>
    </font>
    <font>
      <sz val="11"/>
      <color rgb="FFF2F2F2"/>
      <name val="Calibri"/>
      <family val="2"/>
    </font>
    <font>
      <u/>
      <sz val="11"/>
      <color rgb="FF0000FF"/>
      <name val="Calibri"/>
      <family val="2"/>
      <scheme val="minor"/>
    </font>
    <font>
      <u/>
      <sz val="14"/>
      <color rgb="FF0000FF"/>
      <name val="Calibri"/>
      <family val="2"/>
      <scheme val="minor"/>
    </font>
    <font>
      <b/>
      <sz val="9"/>
      <name val="Tahoma"/>
      <family val="2"/>
    </font>
    <font>
      <sz val="9"/>
      <name val="Tahoma"/>
      <family val="2"/>
    </font>
    <font>
      <sz val="11"/>
      <color rgb="FF0000FF"/>
      <name val="Calibri"/>
      <family val="2"/>
    </font>
    <font>
      <sz val="7"/>
      <color rgb="FF000000"/>
      <name val="Calibri"/>
      <family val="2"/>
      <scheme val="minor"/>
    </font>
    <font>
      <b/>
      <sz val="7"/>
      <color rgb="FF000000"/>
      <name val="Calibri"/>
      <family val="2"/>
      <scheme val="minor"/>
    </font>
    <font>
      <sz val="9"/>
      <color theme="1"/>
      <name val="Calibri"/>
      <family val="2"/>
      <scheme val="minor"/>
    </font>
    <font>
      <b/>
      <i/>
      <sz val="11"/>
      <color rgb="FFFFFFFF"/>
      <name val="Calibri"/>
      <family val="2"/>
    </font>
    <font>
      <b/>
      <sz val="14"/>
      <color rgb="FFD04B35"/>
      <name val="Calibri"/>
      <family val="2"/>
      <scheme val="minor"/>
    </font>
    <font>
      <u/>
      <sz val="14"/>
      <color theme="10"/>
      <name val="Calibri"/>
      <family val="2"/>
      <scheme val="minor"/>
    </font>
    <font>
      <u/>
      <sz val="22"/>
      <color theme="1"/>
      <name val="Calibri"/>
      <family val="2"/>
      <scheme val="minor"/>
    </font>
    <font>
      <b/>
      <sz val="11"/>
      <color rgb="FF0000FC"/>
      <name val="Calibri"/>
      <family val="2"/>
    </font>
    <font>
      <sz val="11"/>
      <color rgb="FF0000FC"/>
      <name val="Calibri"/>
      <family val="2"/>
    </font>
    <font>
      <b/>
      <sz val="11"/>
      <color rgb="FF009900"/>
      <name val="Calibri"/>
      <family val="2"/>
    </font>
    <font>
      <i/>
      <sz val="11"/>
      <color rgb="FF0000FC"/>
      <name val="Calibri"/>
      <family val="2"/>
    </font>
    <font>
      <sz val="11"/>
      <color rgb="FF0000FC"/>
      <name val="Calibri"/>
      <family val="2"/>
      <scheme val="minor"/>
    </font>
    <font>
      <sz val="11"/>
      <name val="Calibri"/>
      <family val="2"/>
    </font>
    <font>
      <b/>
      <sz val="9"/>
      <name val="Tahoma"/>
      <family val="2"/>
      <charset val="1"/>
    </font>
    <font>
      <sz val="9"/>
      <name val="Tahoma"/>
      <family val="2"/>
      <charset val="1"/>
    </font>
  </fonts>
  <fills count="8">
    <fill>
      <patternFill patternType="none"/>
    </fill>
    <fill>
      <patternFill patternType="gray125"/>
    </fill>
    <fill>
      <patternFill patternType="solid">
        <fgColor rgb="FFC6EFCE"/>
        <bgColor indexed="64"/>
      </patternFill>
    </fill>
    <fill>
      <patternFill patternType="solid">
        <fgColor rgb="FFFFFFFF"/>
        <bgColor indexed="64"/>
      </patternFill>
    </fill>
    <fill>
      <patternFill patternType="solid">
        <fgColor rgb="FF000000"/>
        <bgColor indexed="64"/>
      </patternFill>
    </fill>
    <fill>
      <patternFill patternType="solid">
        <fgColor rgb="FFF2F2F2"/>
        <bgColor indexed="64"/>
      </patternFill>
    </fill>
    <fill>
      <patternFill patternType="solid">
        <fgColor rgb="FFD0F9F2"/>
        <bgColor indexed="64"/>
      </patternFill>
    </fill>
    <fill>
      <patternFill patternType="solid">
        <fgColor rgb="FFECEDF0"/>
        <bgColor indexed="64"/>
      </patternFill>
    </fill>
  </fills>
  <borders count="37">
    <border>
      <left/>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top style="thin">
        <color auto="1"/>
      </top>
      <bottom style="thin">
        <color auto="1"/>
      </bottom>
      <diagonal/>
    </border>
    <border>
      <left style="thin">
        <color rgb="FF000000"/>
      </left>
      <right/>
      <top/>
      <bottom/>
      <diagonal/>
    </border>
    <border>
      <left/>
      <right/>
      <top style="thin">
        <color rgb="FF000000"/>
      </top>
      <bottom/>
      <diagonal/>
    </border>
    <border>
      <left/>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ck">
        <color auto="1"/>
      </right>
      <top/>
      <bottom/>
      <diagonal/>
    </border>
    <border>
      <left/>
      <right style="thick">
        <color auto="1"/>
      </right>
      <top/>
      <bottom style="thin">
        <color rgb="FF000000"/>
      </bottom>
      <diagonal/>
    </border>
    <border>
      <left/>
      <right style="thick">
        <color auto="1"/>
      </right>
      <top style="thin">
        <color rgb="FF000000"/>
      </top>
      <bottom style="thin">
        <color rgb="FF000000"/>
      </bottom>
      <diagonal/>
    </border>
    <border>
      <left/>
      <right style="thick">
        <color auto="1"/>
      </right>
      <top style="thin">
        <color rgb="FF000000"/>
      </top>
      <bottom/>
      <diagonal/>
    </border>
    <border>
      <left style="thin">
        <color rgb="FF000000"/>
      </left>
      <right/>
      <top/>
      <bottom style="thin">
        <color auto="1"/>
      </bottom>
      <diagonal/>
    </border>
    <border>
      <left/>
      <right style="thick">
        <color auto="1"/>
      </right>
      <top/>
      <bottom style="thin">
        <color auto="1"/>
      </bottom>
      <diagonal/>
    </border>
    <border>
      <left/>
      <right style="thin">
        <color rgb="FF000000"/>
      </right>
      <top/>
      <bottom style="thin">
        <color auto="1"/>
      </bottom>
      <diagonal/>
    </border>
    <border>
      <left/>
      <right style="thick">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rgb="FF000000"/>
      </bottom>
      <diagonal/>
    </border>
    <border>
      <left style="thin">
        <color rgb="FF000000"/>
      </left>
      <right style="thin">
        <color auto="1"/>
      </right>
      <top/>
      <bottom style="thin">
        <color rgb="FF000000"/>
      </bottom>
      <diagonal/>
    </border>
    <border>
      <left style="thin">
        <color auto="1"/>
      </left>
      <right style="thin">
        <color auto="1"/>
      </right>
      <top/>
      <bottom style="thin">
        <color rgb="FF000000"/>
      </bottom>
      <diagonal/>
    </border>
    <border>
      <left/>
      <right style="thin">
        <color rgb="FF000000"/>
      </right>
      <top/>
      <bottom style="thin">
        <color rgb="FF000000"/>
      </bottom>
      <diagonal/>
    </border>
    <border>
      <left style="thin">
        <color auto="1"/>
      </left>
      <right style="thin">
        <color rgb="FF000000"/>
      </right>
      <top/>
      <bottom style="thin">
        <color rgb="FF000000"/>
      </bottom>
      <diagonal/>
    </border>
    <border>
      <left/>
      <right style="thick">
        <color auto="1"/>
      </right>
      <top style="thin">
        <color auto="1"/>
      </top>
      <bottom style="thin">
        <color auto="1"/>
      </bottom>
      <diagonal/>
    </border>
  </borders>
  <cellStyleXfs count="54">
    <xf numFmtId="0" fontId="0" fillId="0" borderId="0"/>
    <xf numFmtId="9" fontId="52" fillId="0" borderId="0"/>
    <xf numFmtId="44" fontId="52" fillId="0" borderId="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2" fillId="0" borderId="0"/>
    <xf numFmtId="44" fontId="52" fillId="0" borderId="0"/>
    <xf numFmtId="44" fontId="2" fillId="0" borderId="0"/>
    <xf numFmtId="44" fontId="2" fillId="0" borderId="0"/>
    <xf numFmtId="44" fontId="2" fillId="0" borderId="0"/>
    <xf numFmtId="44" fontId="2" fillId="0" borderId="0"/>
    <xf numFmtId="44" fontId="52" fillId="0" borderId="0"/>
    <xf numFmtId="44" fontId="2" fillId="0" borderId="0"/>
    <xf numFmtId="44" fontId="2" fillId="0" borderId="0"/>
    <xf numFmtId="44" fontId="2" fillId="0" borderId="0"/>
    <xf numFmtId="44" fontId="2" fillId="0" borderId="0"/>
    <xf numFmtId="0" fontId="12" fillId="2" borderId="0"/>
    <xf numFmtId="0" fontId="4" fillId="0" borderId="0"/>
    <xf numFmtId="0" fontId="10" fillId="0" borderId="0">
      <alignment vertical="top"/>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xf numFmtId="0" fontId="5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5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44" fontId="52" fillId="0" borderId="0"/>
  </cellStyleXfs>
  <cellXfs count="985">
    <xf numFmtId="0" fontId="0" fillId="0" borderId="0" xfId="0"/>
    <xf numFmtId="0" fontId="13" fillId="3" borderId="0" xfId="29" applyFont="1" applyFill="1"/>
    <xf numFmtId="0" fontId="2" fillId="0" borderId="0" xfId="29"/>
    <xf numFmtId="0" fontId="2" fillId="3" borderId="0" xfId="29" applyFill="1"/>
    <xf numFmtId="0" fontId="42" fillId="3" borderId="0" xfId="29" quotePrefix="1" applyFont="1" applyFill="1" applyAlignment="1">
      <alignment horizontal="left" vertical="top" wrapText="1"/>
    </xf>
    <xf numFmtId="0" fontId="2" fillId="3" borderId="1" xfId="29" applyFill="1" applyBorder="1" applyAlignment="1">
      <alignment vertical="top" wrapText="1"/>
    </xf>
    <xf numFmtId="0" fontId="2" fillId="3" borderId="2" xfId="29" applyFill="1" applyBorder="1" applyAlignment="1">
      <alignment vertical="top" wrapText="1"/>
    </xf>
    <xf numFmtId="0" fontId="2" fillId="3" borderId="3" xfId="29" applyFill="1" applyBorder="1" applyAlignment="1">
      <alignment vertical="top" wrapText="1"/>
    </xf>
    <xf numFmtId="0" fontId="2" fillId="3" borderId="4" xfId="29" applyFill="1" applyBorder="1" applyAlignment="1">
      <alignment vertical="top" wrapText="1"/>
    </xf>
    <xf numFmtId="0" fontId="2" fillId="3" borderId="0" xfId="29" applyFill="1" applyAlignment="1">
      <alignment vertical="top" wrapText="1"/>
    </xf>
    <xf numFmtId="0" fontId="2" fillId="3" borderId="5" xfId="29" applyFill="1" applyBorder="1" applyAlignment="1">
      <alignment vertical="top" wrapText="1"/>
    </xf>
    <xf numFmtId="0" fontId="2" fillId="3" borderId="6" xfId="29" applyFill="1" applyBorder="1" applyAlignment="1">
      <alignment vertical="top" wrapText="1"/>
    </xf>
    <xf numFmtId="0" fontId="2" fillId="3" borderId="7" xfId="29" applyFill="1" applyBorder="1" applyAlignment="1">
      <alignment vertical="top" wrapText="1"/>
    </xf>
    <xf numFmtId="0" fontId="40" fillId="3" borderId="8" xfId="29" applyFont="1" applyFill="1" applyBorder="1" applyAlignment="1">
      <alignment vertical="top" wrapText="1"/>
    </xf>
    <xf numFmtId="0" fontId="9" fillId="3" borderId="0" xfId="29" applyFont="1" applyFill="1" applyAlignment="1">
      <alignment horizontal="center"/>
    </xf>
    <xf numFmtId="0" fontId="13" fillId="3" borderId="0" xfId="29" applyFont="1" applyFill="1"/>
    <xf numFmtId="0" fontId="2" fillId="0" borderId="0" xfId="29"/>
    <xf numFmtId="0" fontId="2" fillId="3" borderId="0" xfId="29" applyFill="1"/>
    <xf numFmtId="164" fontId="6" fillId="3" borderId="0" xfId="0" applyNumberFormat="1" applyFont="1" applyFill="1" applyAlignment="1">
      <alignment horizontal="left"/>
    </xf>
    <xf numFmtId="168" fontId="0" fillId="3" borderId="0" xfId="0" applyNumberFormat="1" applyFill="1" applyAlignment="1">
      <alignment horizontal="left"/>
    </xf>
    <xf numFmtId="170" fontId="0" fillId="3" borderId="0" xfId="0" applyNumberFormat="1" applyFill="1"/>
    <xf numFmtId="171" fontId="3" fillId="3" borderId="0" xfId="0" applyNumberFormat="1" applyFont="1" applyFill="1"/>
    <xf numFmtId="167" fontId="0" fillId="3" borderId="0" xfId="0" applyNumberFormat="1" applyFill="1"/>
    <xf numFmtId="164" fontId="6" fillId="3" borderId="0" xfId="0" applyNumberFormat="1" applyFont="1" applyFill="1" applyAlignment="1">
      <alignment horizontal="left" indent="1"/>
    </xf>
    <xf numFmtId="170" fontId="6" fillId="3" borderId="0" xfId="0" applyNumberFormat="1" applyFont="1" applyFill="1"/>
    <xf numFmtId="173" fontId="0" fillId="3" borderId="0" xfId="0" applyNumberFormat="1" applyFill="1"/>
    <xf numFmtId="167" fontId="6" fillId="3" borderId="0" xfId="0" applyNumberFormat="1" applyFont="1" applyFill="1"/>
    <xf numFmtId="167" fontId="0" fillId="3" borderId="2" xfId="0" applyNumberFormat="1" applyFill="1" applyBorder="1"/>
    <xf numFmtId="0" fontId="24" fillId="3" borderId="0" xfId="0" applyFont="1" applyFill="1" applyAlignment="1">
      <alignment horizontal="center"/>
    </xf>
    <xf numFmtId="168" fontId="20" fillId="3" borderId="9" xfId="0" applyNumberFormat="1" applyFont="1" applyFill="1" applyBorder="1"/>
    <xf numFmtId="0" fontId="0" fillId="3" borderId="0" xfId="0" applyFill="1"/>
    <xf numFmtId="167" fontId="20" fillId="3" borderId="0" xfId="0" applyNumberFormat="1" applyFont="1" applyFill="1"/>
    <xf numFmtId="177" fontId="22" fillId="3" borderId="0" xfId="0" applyNumberFormat="1" applyFont="1" applyFill="1"/>
    <xf numFmtId="171" fontId="6" fillId="3" borderId="0" xfId="0" applyNumberFormat="1" applyFont="1" applyFill="1"/>
    <xf numFmtId="171" fontId="0" fillId="3" borderId="0" xfId="0" applyNumberFormat="1" applyFill="1"/>
    <xf numFmtId="178" fontId="0" fillId="3" borderId="0" xfId="0" applyNumberFormat="1" applyFill="1"/>
    <xf numFmtId="167" fontId="20" fillId="3" borderId="7" xfId="0" applyNumberFormat="1" applyFont="1" applyFill="1" applyBorder="1" applyAlignment="1">
      <alignment horizontal="left" indent="1"/>
    </xf>
    <xf numFmtId="167" fontId="18" fillId="3" borderId="0" xfId="0" applyNumberFormat="1" applyFont="1" applyFill="1"/>
    <xf numFmtId="167" fontId="20" fillId="3" borderId="9" xfId="0" applyNumberFormat="1" applyFont="1" applyFill="1" applyBorder="1" applyAlignment="1">
      <alignment horizontal="left" indent="1"/>
    </xf>
    <xf numFmtId="167" fontId="20" fillId="3" borderId="9" xfId="0" applyNumberFormat="1" applyFont="1" applyFill="1" applyBorder="1"/>
    <xf numFmtId="167" fontId="0" fillId="3" borderId="0" xfId="0" applyNumberFormat="1" applyFill="1" applyAlignment="1">
      <alignment horizontal="left" indent="1"/>
    </xf>
    <xf numFmtId="167" fontId="6" fillId="3" borderId="7" xfId="0" applyNumberFormat="1" applyFont="1" applyFill="1" applyBorder="1" applyAlignment="1">
      <alignment horizontal="left"/>
    </xf>
    <xf numFmtId="167" fontId="20" fillId="3" borderId="7" xfId="0" applyNumberFormat="1" applyFont="1" applyFill="1" applyBorder="1" applyAlignment="1">
      <alignment horizontal="left"/>
    </xf>
    <xf numFmtId="167" fontId="18" fillId="3" borderId="0" xfId="0" applyNumberFormat="1" applyFont="1" applyFill="1" applyAlignment="1">
      <alignment horizontal="left" indent="1"/>
    </xf>
    <xf numFmtId="170" fontId="20" fillId="3" borderId="0" xfId="0" applyNumberFormat="1" applyFont="1" applyFill="1"/>
    <xf numFmtId="168" fontId="20" fillId="3" borderId="0" xfId="0" applyNumberFormat="1" applyFont="1" applyFill="1"/>
    <xf numFmtId="164" fontId="20" fillId="3" borderId="7" xfId="0" applyNumberFormat="1" applyFont="1" applyFill="1" applyBorder="1" applyAlignment="1">
      <alignment horizontal="left" indent="1"/>
    </xf>
    <xf numFmtId="164" fontId="20" fillId="3" borderId="9" xfId="0" applyNumberFormat="1" applyFont="1" applyFill="1" applyBorder="1" applyAlignment="1">
      <alignment horizontal="left" indent="1"/>
    </xf>
    <xf numFmtId="167" fontId="20" fillId="3" borderId="0" xfId="0" applyNumberFormat="1" applyFont="1" applyFill="1" applyAlignment="1">
      <alignment horizontal="left"/>
    </xf>
    <xf numFmtId="177" fontId="22" fillId="3" borderId="0" xfId="0" applyNumberFormat="1" applyFont="1" applyFill="1" applyAlignment="1">
      <alignment horizontal="left" indent="1"/>
    </xf>
    <xf numFmtId="168" fontId="20" fillId="3" borderId="9" xfId="0" applyNumberFormat="1" applyFont="1" applyFill="1" applyBorder="1" applyAlignment="1">
      <alignment horizontal="left"/>
    </xf>
    <xf numFmtId="168" fontId="20" fillId="3" borderId="0" xfId="0" applyNumberFormat="1" applyFont="1" applyFill="1" applyAlignment="1">
      <alignment horizontal="left"/>
    </xf>
    <xf numFmtId="167" fontId="20" fillId="3" borderId="0" xfId="0" applyNumberFormat="1" applyFont="1" applyFill="1" applyAlignment="1">
      <alignment horizontal="left" indent="1"/>
    </xf>
    <xf numFmtId="167" fontId="6" fillId="3" borderId="0" xfId="0" applyNumberFormat="1" applyFont="1" applyFill="1" applyAlignment="1">
      <alignment horizontal="left"/>
    </xf>
    <xf numFmtId="167" fontId="17" fillId="3" borderId="0" xfId="0" applyNumberFormat="1" applyFont="1" applyFill="1"/>
    <xf numFmtId="167" fontId="6" fillId="3" borderId="9" xfId="0" applyNumberFormat="1" applyFont="1" applyFill="1" applyBorder="1"/>
    <xf numFmtId="167" fontId="18" fillId="3" borderId="2" xfId="0" applyNumberFormat="1" applyFont="1" applyFill="1" applyBorder="1"/>
    <xf numFmtId="167" fontId="0" fillId="3" borderId="0" xfId="0" applyNumberFormat="1" applyFill="1" applyAlignment="1">
      <alignment horizontal="left" indent="2"/>
    </xf>
    <xf numFmtId="167" fontId="20" fillId="3" borderId="0" xfId="0" applyNumberFormat="1" applyFont="1" applyFill="1" applyAlignment="1">
      <alignment horizontal="left" indent="3"/>
    </xf>
    <xf numFmtId="170" fontId="24" fillId="3" borderId="0" xfId="2" applyNumberFormat="1" applyFont="1" applyFill="1"/>
    <xf numFmtId="167" fontId="21" fillId="3" borderId="0" xfId="1" applyNumberFormat="1" applyFont="1" applyFill="1" applyAlignment="1">
      <alignment horizontal="left" indent="1"/>
    </xf>
    <xf numFmtId="167" fontId="22" fillId="3" borderId="0" xfId="0" applyNumberFormat="1" applyFont="1" applyFill="1"/>
    <xf numFmtId="1" fontId="20" fillId="3" borderId="0" xfId="0" applyNumberFormat="1" applyFont="1" applyFill="1" applyAlignment="1">
      <alignment horizontal="center"/>
    </xf>
    <xf numFmtId="167" fontId="20" fillId="3" borderId="0" xfId="0" applyNumberFormat="1" applyFont="1" applyFill="1" applyAlignment="1">
      <alignment horizontal="left" indent="4"/>
    </xf>
    <xf numFmtId="167" fontId="18" fillId="3" borderId="0" xfId="0" applyNumberFormat="1" applyFont="1" applyFill="1" applyAlignment="1">
      <alignment horizontal="left" indent="4"/>
    </xf>
    <xf numFmtId="164" fontId="20" fillId="3" borderId="0" xfId="0" applyNumberFormat="1" applyFont="1" applyFill="1" applyAlignment="1">
      <alignment horizontal="left" indent="1"/>
    </xf>
    <xf numFmtId="164" fontId="20" fillId="3" borderId="0" xfId="0" applyNumberFormat="1" applyFont="1" applyFill="1" applyAlignment="1">
      <alignment horizontal="left" indent="4"/>
    </xf>
    <xf numFmtId="170" fontId="20" fillId="3" borderId="0" xfId="0" applyNumberFormat="1" applyFont="1" applyFill="1" applyAlignment="1">
      <alignment horizontal="left" indent="1"/>
    </xf>
    <xf numFmtId="168" fontId="0" fillId="3" borderId="0" xfId="0" applyNumberFormat="1" applyFill="1" applyAlignment="1">
      <alignment horizontal="left" indent="1"/>
    </xf>
    <xf numFmtId="168" fontId="0" fillId="3" borderId="0" xfId="0" applyNumberFormat="1" applyFill="1"/>
    <xf numFmtId="168" fontId="20" fillId="3" borderId="7" xfId="0" applyNumberFormat="1" applyFont="1" applyFill="1" applyBorder="1" applyAlignment="1">
      <alignment horizontal="left"/>
    </xf>
    <xf numFmtId="168" fontId="20" fillId="3" borderId="7" xfId="0" applyNumberFormat="1" applyFont="1" applyFill="1" applyBorder="1" applyAlignment="1">
      <alignment horizontal="right"/>
    </xf>
    <xf numFmtId="168" fontId="20" fillId="3" borderId="0" xfId="0" applyNumberFormat="1" applyFont="1" applyFill="1" applyAlignment="1">
      <alignment horizontal="right"/>
    </xf>
    <xf numFmtId="168" fontId="23" fillId="4" borderId="0" xfId="0" applyNumberFormat="1" applyFont="1" applyFill="1"/>
    <xf numFmtId="0" fontId="13" fillId="0" borderId="0" xfId="29" applyFont="1"/>
    <xf numFmtId="170" fontId="20" fillId="3" borderId="0" xfId="0" applyNumberFormat="1" applyFont="1" applyFill="1" applyAlignment="1">
      <alignment horizontal="left"/>
    </xf>
    <xf numFmtId="170" fontId="20" fillId="3" borderId="0" xfId="0" applyNumberFormat="1" applyFont="1" applyFill="1" applyAlignment="1">
      <alignment horizontal="left" indent="4"/>
    </xf>
    <xf numFmtId="170" fontId="19" fillId="3" borderId="0" xfId="2" applyNumberFormat="1" applyFont="1" applyFill="1"/>
    <xf numFmtId="168" fontId="22" fillId="3" borderId="0" xfId="0" applyNumberFormat="1" applyFont="1" applyFill="1" applyAlignment="1">
      <alignment horizontal="left"/>
    </xf>
    <xf numFmtId="177" fontId="17" fillId="3" borderId="0" xfId="0" applyNumberFormat="1" applyFont="1" applyFill="1"/>
    <xf numFmtId="168" fontId="6" fillId="3" borderId="9" xfId="0" applyNumberFormat="1" applyFont="1" applyFill="1" applyBorder="1"/>
    <xf numFmtId="168" fontId="6" fillId="3" borderId="0" xfId="0" applyNumberFormat="1" applyFont="1" applyFill="1"/>
    <xf numFmtId="168" fontId="17" fillId="3" borderId="0" xfId="0" applyNumberFormat="1" applyFont="1" applyFill="1"/>
    <xf numFmtId="168" fontId="6" fillId="3" borderId="7" xfId="0" applyNumberFormat="1" applyFont="1" applyFill="1" applyBorder="1" applyAlignment="1">
      <alignment horizontal="right"/>
    </xf>
    <xf numFmtId="167" fontId="18" fillId="3" borderId="7" xfId="0" applyNumberFormat="1" applyFont="1" applyFill="1" applyBorder="1"/>
    <xf numFmtId="179" fontId="3" fillId="3" borderId="0" xfId="0" applyNumberFormat="1" applyFont="1" applyFill="1"/>
    <xf numFmtId="167" fontId="22" fillId="3" borderId="0" xfId="0" applyNumberFormat="1" applyFont="1" applyFill="1" applyAlignment="1">
      <alignment horizontal="left" indent="4"/>
    </xf>
    <xf numFmtId="167" fontId="21" fillId="3" borderId="0" xfId="0" applyNumberFormat="1" applyFont="1" applyFill="1" applyAlignment="1">
      <alignment horizontal="left" indent="1"/>
    </xf>
    <xf numFmtId="170" fontId="21" fillId="3" borderId="0" xfId="0" applyNumberFormat="1" applyFont="1" applyFill="1" applyAlignment="1">
      <alignment horizontal="left" indent="1"/>
    </xf>
    <xf numFmtId="170" fontId="22" fillId="3" borderId="0" xfId="0" applyNumberFormat="1" applyFont="1" applyFill="1"/>
    <xf numFmtId="167" fontId="20" fillId="3" borderId="7" xfId="0" applyNumberFormat="1" applyFont="1" applyFill="1" applyBorder="1" applyAlignment="1">
      <alignment horizontal="left" indent="4"/>
    </xf>
    <xf numFmtId="167" fontId="20" fillId="3" borderId="9" xfId="0" applyNumberFormat="1" applyFont="1" applyFill="1" applyBorder="1" applyAlignment="1">
      <alignment horizontal="left" indent="4"/>
    </xf>
    <xf numFmtId="164" fontId="20" fillId="3" borderId="7" xfId="0" applyNumberFormat="1" applyFont="1" applyFill="1" applyBorder="1" applyAlignment="1">
      <alignment horizontal="left" indent="4"/>
    </xf>
    <xf numFmtId="164" fontId="20" fillId="3" borderId="9" xfId="0" applyNumberFormat="1" applyFont="1" applyFill="1" applyBorder="1" applyAlignment="1">
      <alignment horizontal="left" indent="4"/>
    </xf>
    <xf numFmtId="177" fontId="22" fillId="3" borderId="0" xfId="0" applyNumberFormat="1" applyFont="1" applyFill="1" applyAlignment="1">
      <alignment horizontal="left" indent="4"/>
    </xf>
    <xf numFmtId="168" fontId="20" fillId="3" borderId="9" xfId="0" applyNumberFormat="1" applyFont="1" applyFill="1" applyBorder="1" applyAlignment="1">
      <alignment horizontal="left" indent="4"/>
    </xf>
    <xf numFmtId="168" fontId="22" fillId="3" borderId="0" xfId="0" applyNumberFormat="1" applyFont="1" applyFill="1" applyAlignment="1">
      <alignment horizontal="left" indent="4"/>
    </xf>
    <xf numFmtId="168" fontId="24" fillId="3" borderId="0" xfId="2" applyNumberFormat="1" applyFont="1" applyFill="1"/>
    <xf numFmtId="168" fontId="24" fillId="3" borderId="7" xfId="2" applyNumberFormat="1" applyFont="1" applyFill="1" applyBorder="1"/>
    <xf numFmtId="167" fontId="20" fillId="3" borderId="7" xfId="0" applyNumberFormat="1" applyFont="1" applyFill="1" applyBorder="1" applyAlignment="1">
      <alignment horizontal="left" indent="3"/>
    </xf>
    <xf numFmtId="170" fontId="18" fillId="3" borderId="0" xfId="0" applyNumberFormat="1" applyFont="1" applyFill="1"/>
    <xf numFmtId="17" fontId="19" fillId="3" borderId="0" xfId="0" applyNumberFormat="1" applyFont="1" applyFill="1" applyAlignment="1">
      <alignment horizontal="center"/>
    </xf>
    <xf numFmtId="0" fontId="25" fillId="3" borderId="0" xfId="18" applyFont="1" applyFill="1"/>
    <xf numFmtId="164" fontId="18" fillId="3" borderId="0" xfId="0" applyNumberFormat="1" applyFont="1" applyFill="1" applyAlignment="1">
      <alignment horizontal="left" indent="2"/>
    </xf>
    <xf numFmtId="170" fontId="18" fillId="3" borderId="0" xfId="0" applyNumberFormat="1" applyFont="1" applyFill="1" applyAlignment="1">
      <alignment horizontal="left"/>
    </xf>
    <xf numFmtId="168" fontId="20" fillId="3" borderId="0" xfId="0" applyNumberFormat="1" applyFont="1" applyFill="1" applyAlignment="1">
      <alignment horizontal="left" indent="1"/>
    </xf>
    <xf numFmtId="167" fontId="18" fillId="3" borderId="0" xfId="0" applyNumberFormat="1" applyFont="1" applyFill="1" applyAlignment="1">
      <alignment horizontal="left"/>
    </xf>
    <xf numFmtId="164" fontId="18" fillId="3" borderId="0" xfId="0" applyNumberFormat="1" applyFont="1" applyFill="1" applyAlignment="1">
      <alignment horizontal="left" indent="4"/>
    </xf>
    <xf numFmtId="167" fontId="22" fillId="3" borderId="0" xfId="0" applyNumberFormat="1" applyFont="1" applyFill="1" applyAlignment="1">
      <alignment horizontal="left" indent="3"/>
    </xf>
    <xf numFmtId="167" fontId="18" fillId="3" borderId="0" xfId="0" applyNumberFormat="1" applyFont="1" applyFill="1" applyAlignment="1">
      <alignment horizontal="left" indent="3"/>
    </xf>
    <xf numFmtId="168" fontId="20" fillId="3" borderId="0" xfId="0" applyNumberFormat="1" applyFont="1" applyFill="1" applyAlignment="1">
      <alignment horizontal="left" indent="3"/>
    </xf>
    <xf numFmtId="170" fontId="20" fillId="3" borderId="0" xfId="0" applyNumberFormat="1" applyFont="1" applyFill="1" applyAlignment="1">
      <alignment horizontal="left" indent="3"/>
    </xf>
    <xf numFmtId="170" fontId="22" fillId="3" borderId="0" xfId="0" applyNumberFormat="1" applyFont="1" applyFill="1" applyAlignment="1">
      <alignment horizontal="left" indent="3"/>
    </xf>
    <xf numFmtId="170" fontId="20" fillId="3" borderId="0" xfId="2" applyNumberFormat="1" applyFont="1" applyFill="1"/>
    <xf numFmtId="164" fontId="27" fillId="4" borderId="0" xfId="38" applyNumberFormat="1" applyFont="1" applyFill="1"/>
    <xf numFmtId="168" fontId="28" fillId="4" borderId="0" xfId="38" applyNumberFormat="1" applyFont="1" applyFill="1"/>
    <xf numFmtId="164" fontId="24" fillId="3" borderId="0" xfId="38" applyNumberFormat="1" applyFont="1" applyFill="1" applyAlignment="1">
      <alignment horizontal="center"/>
    </xf>
    <xf numFmtId="167" fontId="18" fillId="3" borderId="0" xfId="38" applyNumberFormat="1" applyFont="1" applyFill="1"/>
    <xf numFmtId="167" fontId="20" fillId="3" borderId="7" xfId="38" applyNumberFormat="1" applyFont="1" applyFill="1" applyBorder="1"/>
    <xf numFmtId="168" fontId="18" fillId="3" borderId="0" xfId="38" applyNumberFormat="1" applyFont="1" applyFill="1" applyAlignment="1">
      <alignment horizontal="right"/>
    </xf>
    <xf numFmtId="167" fontId="20" fillId="3" borderId="0" xfId="38" applyNumberFormat="1" applyFont="1" applyFill="1"/>
    <xf numFmtId="170" fontId="20" fillId="3" borderId="0" xfId="38" applyNumberFormat="1" applyFont="1" applyFill="1"/>
    <xf numFmtId="168" fontId="20" fillId="3" borderId="0" xfId="38" applyNumberFormat="1" applyFont="1" applyFill="1" applyAlignment="1">
      <alignment horizontal="center"/>
    </xf>
    <xf numFmtId="168" fontId="20" fillId="3" borderId="7" xfId="38" applyNumberFormat="1" applyFont="1" applyFill="1" applyBorder="1" applyAlignment="1">
      <alignment horizontal="right"/>
    </xf>
    <xf numFmtId="168" fontId="20" fillId="3" borderId="0" xfId="38" applyNumberFormat="1" applyFont="1" applyFill="1" applyAlignment="1">
      <alignment horizontal="right"/>
    </xf>
    <xf numFmtId="181" fontId="20" fillId="3" borderId="0" xfId="38" applyNumberFormat="1" applyFont="1" applyFill="1" applyAlignment="1">
      <alignment horizontal="right"/>
    </xf>
    <xf numFmtId="171" fontId="20" fillId="3" borderId="0" xfId="38" applyNumberFormat="1" applyFont="1" applyFill="1"/>
    <xf numFmtId="171" fontId="18" fillId="3" borderId="0" xfId="38" applyNumberFormat="1" applyFont="1" applyFill="1"/>
    <xf numFmtId="168" fontId="23" fillId="4" borderId="0" xfId="38" applyNumberFormat="1" applyFont="1" applyFill="1"/>
    <xf numFmtId="171" fontId="2" fillId="3" borderId="0" xfId="0" applyNumberFormat="1" applyFont="1" applyFill="1"/>
    <xf numFmtId="178" fontId="2" fillId="3" borderId="0" xfId="0" applyNumberFormat="1" applyFont="1" applyFill="1"/>
    <xf numFmtId="0" fontId="6" fillId="3" borderId="0" xfId="0" applyFont="1" applyFill="1"/>
    <xf numFmtId="17" fontId="30" fillId="3" borderId="0" xfId="38" applyNumberFormat="1" applyFont="1" applyFill="1" applyAlignment="1">
      <alignment horizontal="center"/>
    </xf>
    <xf numFmtId="167" fontId="18" fillId="3" borderId="2" xfId="38" applyNumberFormat="1" applyFont="1" applyFill="1" applyBorder="1"/>
    <xf numFmtId="167" fontId="20" fillId="3" borderId="7" xfId="0" applyNumberFormat="1" applyFont="1" applyFill="1" applyBorder="1" applyAlignment="1">
      <alignment horizontal="left" indent="2"/>
    </xf>
    <xf numFmtId="167" fontId="18" fillId="3" borderId="9" xfId="0" applyNumberFormat="1" applyFont="1" applyFill="1" applyBorder="1"/>
    <xf numFmtId="169" fontId="33" fillId="3" borderId="0" xfId="18" applyNumberFormat="1" applyFont="1" applyFill="1" applyAlignment="1">
      <alignment horizontal="left"/>
    </xf>
    <xf numFmtId="0" fontId="18" fillId="3" borderId="0" xfId="38" applyFont="1" applyFill="1"/>
    <xf numFmtId="0" fontId="20" fillId="3" borderId="0" xfId="38" applyFont="1" applyFill="1"/>
    <xf numFmtId="0" fontId="22" fillId="3" borderId="0" xfId="38" applyFont="1" applyFill="1"/>
    <xf numFmtId="168" fontId="18" fillId="3" borderId="0" xfId="38" applyNumberFormat="1" applyFont="1" applyFill="1"/>
    <xf numFmtId="0" fontId="18" fillId="3" borderId="0" xfId="38" applyFont="1" applyFill="1" applyAlignment="1">
      <alignment horizontal="left"/>
    </xf>
    <xf numFmtId="0" fontId="18" fillId="3" borderId="0" xfId="38" applyFont="1" applyFill="1" applyAlignment="1">
      <alignment horizontal="center"/>
    </xf>
    <xf numFmtId="0" fontId="34" fillId="3" borderId="0" xfId="38" applyFont="1" applyFill="1"/>
    <xf numFmtId="0" fontId="23" fillId="4" borderId="0" xfId="38" applyFont="1" applyFill="1" applyAlignment="1">
      <alignment horizontal="left"/>
    </xf>
    <xf numFmtId="0" fontId="23" fillId="4" borderId="0" xfId="38" applyFont="1" applyFill="1" applyAlignment="1">
      <alignment horizontal="centerContinuous"/>
    </xf>
    <xf numFmtId="0" fontId="23" fillId="4" borderId="0" xfId="38" applyFont="1" applyFill="1" applyAlignment="1">
      <alignment horizontal="center"/>
    </xf>
    <xf numFmtId="168" fontId="23" fillId="4" borderId="0" xfId="38" applyNumberFormat="1" applyFont="1" applyFill="1" applyAlignment="1">
      <alignment horizontal="center"/>
    </xf>
    <xf numFmtId="0" fontId="18" fillId="5" borderId="0" xfId="38" applyFont="1" applyFill="1"/>
    <xf numFmtId="0" fontId="22" fillId="5" borderId="0" xfId="38" applyFont="1" applyFill="1"/>
    <xf numFmtId="167" fontId="18" fillId="5" borderId="0" xfId="38" applyNumberFormat="1" applyFont="1" applyFill="1"/>
    <xf numFmtId="14" fontId="18" fillId="5" borderId="0" xfId="38" applyNumberFormat="1" applyFont="1" applyFill="1" applyAlignment="1">
      <alignment horizontal="left"/>
    </xf>
    <xf numFmtId="0" fontId="20" fillId="5" borderId="0" xfId="38" applyFont="1" applyFill="1"/>
    <xf numFmtId="167" fontId="20" fillId="5" borderId="0" xfId="38" applyNumberFormat="1" applyFont="1" applyFill="1" applyAlignment="1">
      <alignment horizontal="center"/>
    </xf>
    <xf numFmtId="168" fontId="20" fillId="5" borderId="0" xfId="38" applyNumberFormat="1" applyFont="1" applyFill="1" applyAlignment="1">
      <alignment horizontal="center"/>
    </xf>
    <xf numFmtId="0" fontId="35" fillId="5" borderId="0" xfId="18" applyFont="1" applyFill="1"/>
    <xf numFmtId="164" fontId="24" fillId="3" borderId="0" xfId="38" applyNumberFormat="1" applyFont="1" applyFill="1" applyAlignment="1">
      <alignment horizontal="left"/>
    </xf>
    <xf numFmtId="164" fontId="30" fillId="3" borderId="0" xfId="38" applyNumberFormat="1" applyFont="1" applyFill="1" applyAlignment="1">
      <alignment horizontal="center"/>
    </xf>
    <xf numFmtId="164" fontId="20" fillId="3" borderId="0" xfId="38" applyNumberFormat="1" applyFont="1" applyFill="1" applyAlignment="1">
      <alignment horizontal="left"/>
    </xf>
    <xf numFmtId="167" fontId="18" fillId="3" borderId="0" xfId="38" applyNumberFormat="1" applyFont="1" applyFill="1" applyAlignment="1">
      <alignment horizontal="left" indent="1"/>
    </xf>
    <xf numFmtId="167" fontId="18" fillId="3" borderId="0" xfId="38" applyNumberFormat="1" applyFont="1" applyFill="1" applyAlignment="1">
      <alignment horizontal="left" indent="3"/>
    </xf>
    <xf numFmtId="167" fontId="20" fillId="3" borderId="7" xfId="38" applyNumberFormat="1" applyFont="1" applyFill="1" applyBorder="1" applyAlignment="1">
      <alignment horizontal="left"/>
    </xf>
    <xf numFmtId="167" fontId="20" fillId="3" borderId="7" xfId="38" applyNumberFormat="1" applyFont="1" applyFill="1" applyBorder="1" applyAlignment="1">
      <alignment horizontal="left" indent="3"/>
    </xf>
    <xf numFmtId="164" fontId="20" fillId="3" borderId="0" xfId="38" applyNumberFormat="1" applyFont="1" applyFill="1" applyAlignment="1">
      <alignment horizontal="left" indent="3"/>
    </xf>
    <xf numFmtId="168" fontId="18" fillId="3" borderId="0" xfId="38" applyNumberFormat="1" applyFont="1" applyFill="1" applyAlignment="1">
      <alignment horizontal="left"/>
    </xf>
    <xf numFmtId="168" fontId="19" fillId="3" borderId="0" xfId="7" applyNumberFormat="1" applyFont="1" applyFill="1"/>
    <xf numFmtId="167" fontId="20" fillId="3" borderId="0" xfId="38" applyNumberFormat="1" applyFont="1" applyFill="1" applyAlignment="1">
      <alignment horizontal="left"/>
    </xf>
    <xf numFmtId="167" fontId="20" fillId="3" borderId="0" xfId="38" applyNumberFormat="1" applyFont="1" applyFill="1" applyAlignment="1">
      <alignment horizontal="left" indent="3"/>
    </xf>
    <xf numFmtId="170" fontId="24" fillId="3" borderId="0" xfId="7" applyNumberFormat="1" applyFont="1" applyFill="1"/>
    <xf numFmtId="170" fontId="20" fillId="3" borderId="0" xfId="38" applyNumberFormat="1" applyFont="1" applyFill="1" applyAlignment="1">
      <alignment horizontal="left" indent="3"/>
    </xf>
    <xf numFmtId="164" fontId="18" fillId="3" borderId="0" xfId="38" applyNumberFormat="1" applyFont="1" applyFill="1" applyAlignment="1">
      <alignment horizontal="left" indent="1"/>
    </xf>
    <xf numFmtId="164" fontId="18" fillId="3" borderId="0" xfId="38" applyNumberFormat="1" applyFont="1" applyFill="1" applyAlignment="1">
      <alignment horizontal="left" indent="3"/>
    </xf>
    <xf numFmtId="168" fontId="18" fillId="3" borderId="0" xfId="38" applyNumberFormat="1" applyFont="1" applyFill="1" applyAlignment="1">
      <alignment horizontal="left" indent="1"/>
    </xf>
    <xf numFmtId="168" fontId="20" fillId="3" borderId="7" xfId="38" applyNumberFormat="1" applyFont="1" applyFill="1" applyBorder="1" applyAlignment="1">
      <alignment horizontal="left"/>
    </xf>
    <xf numFmtId="168" fontId="24" fillId="3" borderId="7" xfId="7" applyNumberFormat="1" applyFont="1" applyFill="1" applyBorder="1"/>
    <xf numFmtId="168" fontId="20" fillId="3" borderId="0" xfId="38" applyNumberFormat="1" applyFont="1" applyFill="1" applyAlignment="1">
      <alignment horizontal="left"/>
    </xf>
    <xf numFmtId="168" fontId="24" fillId="3" borderId="0" xfId="7" applyNumberFormat="1" applyFont="1" applyFill="1"/>
    <xf numFmtId="181" fontId="20" fillId="3" borderId="0" xfId="38" applyNumberFormat="1" applyFont="1" applyFill="1" applyAlignment="1">
      <alignment horizontal="left"/>
    </xf>
    <xf numFmtId="181" fontId="24" fillId="3" borderId="0" xfId="7" applyNumberFormat="1" applyFont="1" applyFill="1"/>
    <xf numFmtId="171" fontId="24" fillId="3" borderId="0" xfId="38" applyNumberFormat="1" applyFont="1" applyFill="1"/>
    <xf numFmtId="171" fontId="20" fillId="3" borderId="0" xfId="38" applyNumberFormat="1" applyFont="1" applyFill="1" applyAlignment="1">
      <alignment horizontal="left" indent="3"/>
    </xf>
    <xf numFmtId="182" fontId="20" fillId="3" borderId="0" xfId="38" applyNumberFormat="1" applyFont="1" applyFill="1" applyAlignment="1">
      <alignment horizontal="left"/>
    </xf>
    <xf numFmtId="182" fontId="24" fillId="3" borderId="0" xfId="7" applyNumberFormat="1" applyFont="1" applyFill="1"/>
    <xf numFmtId="167" fontId="24" fillId="3" borderId="0" xfId="7" applyNumberFormat="1" applyFont="1" applyFill="1"/>
    <xf numFmtId="171" fontId="19" fillId="3" borderId="0" xfId="38" applyNumberFormat="1" applyFont="1" applyFill="1"/>
    <xf numFmtId="171" fontId="18" fillId="3" borderId="0" xfId="38" applyNumberFormat="1" applyFont="1" applyFill="1" applyAlignment="1">
      <alignment horizontal="left" indent="3"/>
    </xf>
    <xf numFmtId="164" fontId="19" fillId="3" borderId="10" xfId="20" applyNumberFormat="1" applyFont="1" applyFill="1" applyBorder="1" applyAlignment="1">
      <alignment horizontal="left" indent="1"/>
    </xf>
    <xf numFmtId="0" fontId="23" fillId="3" borderId="0" xfId="38" applyFont="1" applyFill="1" applyAlignment="1">
      <alignment horizontal="left"/>
    </xf>
    <xf numFmtId="0" fontId="23" fillId="3" borderId="0" xfId="38" applyFont="1" applyFill="1" applyAlignment="1">
      <alignment horizontal="center"/>
    </xf>
    <xf numFmtId="164" fontId="6" fillId="3" borderId="11" xfId="0" applyNumberFormat="1" applyFont="1" applyFill="1" applyBorder="1"/>
    <xf numFmtId="164" fontId="0" fillId="3" borderId="0" xfId="0" applyNumberFormat="1" applyFill="1"/>
    <xf numFmtId="186" fontId="0" fillId="3" borderId="0" xfId="0" applyNumberFormat="1" applyFill="1" applyAlignment="1">
      <alignment horizontal="left" indent="1"/>
    </xf>
    <xf numFmtId="186" fontId="0" fillId="3" borderId="0" xfId="0" applyNumberFormat="1" applyFill="1"/>
    <xf numFmtId="164" fontId="0" fillId="3" borderId="0" xfId="0" applyNumberFormat="1" applyFill="1" applyAlignment="1">
      <alignment horizontal="left" indent="1"/>
    </xf>
    <xf numFmtId="167" fontId="0" fillId="3" borderId="12" xfId="0" applyNumberFormat="1" applyFill="1" applyBorder="1" applyAlignment="1">
      <alignment horizontal="left" indent="1"/>
    </xf>
    <xf numFmtId="167" fontId="0" fillId="3" borderId="12" xfId="0" applyNumberFormat="1" applyFill="1" applyBorder="1"/>
    <xf numFmtId="0" fontId="28" fillId="4" borderId="0" xfId="0" applyFont="1" applyFill="1"/>
    <xf numFmtId="168" fontId="20" fillId="3" borderId="0" xfId="38" applyNumberFormat="1" applyFont="1" applyFill="1"/>
    <xf numFmtId="181" fontId="20" fillId="3" borderId="0" xfId="38" applyNumberFormat="1" applyFont="1" applyFill="1"/>
    <xf numFmtId="182" fontId="20" fillId="3" borderId="0" xfId="38" applyNumberFormat="1" applyFont="1" applyFill="1"/>
    <xf numFmtId="187" fontId="0" fillId="3" borderId="0" xfId="0" applyNumberFormat="1" applyFill="1"/>
    <xf numFmtId="164" fontId="18" fillId="3" borderId="13" xfId="0" applyNumberFormat="1" applyFont="1" applyFill="1" applyBorder="1"/>
    <xf numFmtId="164" fontId="18" fillId="3" borderId="11" xfId="0" applyNumberFormat="1" applyFont="1" applyFill="1" applyBorder="1"/>
    <xf numFmtId="164" fontId="19" fillId="3" borderId="11" xfId="20" applyNumberFormat="1" applyFont="1" applyFill="1" applyBorder="1"/>
    <xf numFmtId="164" fontId="18" fillId="3" borderId="14" xfId="0" applyNumberFormat="1" applyFont="1" applyFill="1" applyBorder="1"/>
    <xf numFmtId="166" fontId="24" fillId="3" borderId="15" xfId="20" applyNumberFormat="1" applyFont="1" applyFill="1" applyBorder="1" applyAlignment="1">
      <alignment horizontal="left"/>
    </xf>
    <xf numFmtId="166" fontId="19" fillId="3" borderId="10" xfId="20" applyNumberFormat="1" applyFont="1" applyFill="1" applyBorder="1" applyAlignment="1">
      <alignment horizontal="left"/>
    </xf>
    <xf numFmtId="17" fontId="18" fillId="3" borderId="0" xfId="0" applyNumberFormat="1" applyFont="1" applyFill="1"/>
    <xf numFmtId="186" fontId="19" fillId="3" borderId="10" xfId="20" applyNumberFormat="1" applyFont="1" applyFill="1" applyBorder="1" applyAlignment="1">
      <alignment horizontal="left" indent="1"/>
    </xf>
    <xf numFmtId="186" fontId="18" fillId="3" borderId="0" xfId="0" applyNumberFormat="1" applyFont="1" applyFill="1"/>
    <xf numFmtId="186" fontId="18" fillId="3" borderId="13" xfId="0" applyNumberFormat="1" applyFont="1" applyFill="1" applyBorder="1"/>
    <xf numFmtId="186" fontId="19" fillId="3" borderId="10" xfId="20" applyNumberFormat="1" applyFont="1" applyFill="1" applyBorder="1" applyAlignment="1">
      <alignment horizontal="left" indent="2"/>
    </xf>
    <xf numFmtId="187" fontId="19" fillId="3" borderId="10" xfId="20" applyNumberFormat="1" applyFont="1" applyFill="1" applyBorder="1" applyAlignment="1">
      <alignment horizontal="left" indent="1"/>
    </xf>
    <xf numFmtId="187" fontId="19" fillId="3" borderId="10" xfId="20" applyNumberFormat="1" applyFont="1" applyFill="1" applyBorder="1" applyAlignment="1">
      <alignment horizontal="left" indent="2"/>
    </xf>
    <xf numFmtId="187" fontId="0" fillId="3" borderId="0" xfId="0" applyNumberFormat="1" applyFill="1" applyAlignment="1">
      <alignment horizontal="left" indent="1"/>
    </xf>
    <xf numFmtId="186" fontId="6" fillId="3" borderId="0" xfId="0" applyNumberFormat="1" applyFont="1" applyFill="1"/>
    <xf numFmtId="167" fontId="19" fillId="2" borderId="0" xfId="17" applyNumberFormat="1" applyFont="1"/>
    <xf numFmtId="167" fontId="19" fillId="2" borderId="0" xfId="17" applyNumberFormat="1" applyFont="1" applyAlignment="1">
      <alignment horizontal="right"/>
    </xf>
    <xf numFmtId="168" fontId="18" fillId="5" borderId="0" xfId="38" applyNumberFormat="1" applyFont="1" applyFill="1"/>
    <xf numFmtId="14" fontId="18" fillId="3" borderId="0" xfId="38" applyNumberFormat="1" applyFont="1" applyFill="1" applyAlignment="1">
      <alignment horizontal="left"/>
    </xf>
    <xf numFmtId="167" fontId="20" fillId="3" borderId="0" xfId="38" applyNumberFormat="1" applyFont="1" applyFill="1" applyAlignment="1">
      <alignment horizontal="center"/>
    </xf>
    <xf numFmtId="0" fontId="35" fillId="3" borderId="0" xfId="18" applyFont="1" applyFill="1"/>
    <xf numFmtId="172" fontId="0" fillId="3" borderId="0" xfId="0" applyNumberFormat="1" applyFill="1"/>
    <xf numFmtId="1" fontId="6" fillId="3" borderId="0" xfId="0" applyNumberFormat="1" applyFont="1" applyFill="1" applyAlignment="1">
      <alignment horizontal="center"/>
    </xf>
    <xf numFmtId="17" fontId="7" fillId="3" borderId="0" xfId="0" applyNumberFormat="1" applyFont="1" applyFill="1" applyAlignment="1">
      <alignment horizontal="center"/>
    </xf>
    <xf numFmtId="0" fontId="5" fillId="3" borderId="0" xfId="0" applyFont="1" applyFill="1" applyAlignment="1">
      <alignment horizontal="center"/>
    </xf>
    <xf numFmtId="170" fontId="18" fillId="3" borderId="0" xfId="0" applyNumberFormat="1" applyFont="1" applyFill="1" applyAlignment="1">
      <alignment horizontal="right"/>
    </xf>
    <xf numFmtId="168" fontId="6" fillId="3" borderId="0" xfId="0" applyNumberFormat="1" applyFont="1" applyFill="1" applyAlignment="1">
      <alignment horizontal="right"/>
    </xf>
    <xf numFmtId="167" fontId="21" fillId="3" borderId="0" xfId="0" applyNumberFormat="1" applyFont="1" applyFill="1"/>
    <xf numFmtId="170" fontId="21" fillId="3" borderId="0" xfId="0" applyNumberFormat="1" applyFont="1" applyFill="1"/>
    <xf numFmtId="170" fontId="21" fillId="3" borderId="0" xfId="2" applyNumberFormat="1" applyFont="1" applyFill="1"/>
    <xf numFmtId="186" fontId="6" fillId="3" borderId="0" xfId="0" applyNumberFormat="1" applyFont="1" applyFill="1" applyAlignment="1">
      <alignment horizontal="right"/>
    </xf>
    <xf numFmtId="186" fontId="0" fillId="3" borderId="0" xfId="0" applyNumberFormat="1" applyFill="1" applyAlignment="1">
      <alignment horizontal="right"/>
    </xf>
    <xf numFmtId="165" fontId="18" fillId="3" borderId="0" xfId="0" applyNumberFormat="1" applyFont="1" applyFill="1"/>
    <xf numFmtId="174" fontId="18" fillId="3" borderId="0" xfId="0" applyNumberFormat="1" applyFont="1" applyFill="1"/>
    <xf numFmtId="165" fontId="19" fillId="3" borderId="0" xfId="0" applyNumberFormat="1" applyFont="1" applyFill="1"/>
    <xf numFmtId="174" fontId="19" fillId="3" borderId="0" xfId="2" applyNumberFormat="1" applyFont="1" applyFill="1"/>
    <xf numFmtId="164" fontId="19" fillId="3" borderId="0" xfId="20" applyNumberFormat="1" applyFont="1" applyFill="1"/>
    <xf numFmtId="168" fontId="18" fillId="3" borderId="0" xfId="38" applyNumberFormat="1" applyFont="1" applyFill="1" applyAlignment="1">
      <alignment horizontal="center"/>
    </xf>
    <xf numFmtId="171" fontId="20" fillId="3" borderId="0" xfId="38" applyNumberFormat="1" applyFont="1" applyFill="1" applyAlignment="1">
      <alignment horizontal="right"/>
    </xf>
    <xf numFmtId="182" fontId="20" fillId="3" borderId="0" xfId="38" applyNumberFormat="1" applyFont="1" applyFill="1" applyAlignment="1">
      <alignment horizontal="right"/>
    </xf>
    <xf numFmtId="171" fontId="18" fillId="3" borderId="0" xfId="38" applyNumberFormat="1" applyFont="1" applyFill="1" applyAlignment="1">
      <alignment horizontal="right"/>
    </xf>
    <xf numFmtId="167" fontId="18" fillId="3" borderId="2" xfId="0" applyNumberFormat="1" applyFont="1" applyFill="1" applyBorder="1" applyAlignment="1">
      <alignment horizontal="left" indent="1"/>
    </xf>
    <xf numFmtId="167" fontId="18" fillId="3" borderId="2" xfId="0" applyNumberFormat="1" applyFont="1" applyFill="1" applyBorder="1" applyAlignment="1">
      <alignment horizontal="left" indent="4"/>
    </xf>
    <xf numFmtId="167" fontId="18" fillId="3" borderId="2" xfId="0" applyNumberFormat="1" applyFont="1" applyFill="1" applyBorder="1" applyAlignment="1">
      <alignment horizontal="left" indent="3"/>
    </xf>
    <xf numFmtId="167" fontId="20" fillId="3" borderId="2" xfId="0" applyNumberFormat="1" applyFont="1" applyFill="1" applyBorder="1" applyAlignment="1">
      <alignment horizontal="left" indent="2"/>
    </xf>
    <xf numFmtId="167" fontId="20" fillId="3" borderId="2" xfId="0" applyNumberFormat="1" applyFont="1" applyFill="1" applyBorder="1" applyAlignment="1">
      <alignment horizontal="left" indent="4"/>
    </xf>
    <xf numFmtId="164" fontId="18" fillId="3" borderId="2" xfId="0" applyNumberFormat="1" applyFont="1" applyFill="1" applyBorder="1" applyAlignment="1">
      <alignment horizontal="left" indent="2"/>
    </xf>
    <xf numFmtId="164" fontId="18" fillId="3" borderId="2" xfId="0" applyNumberFormat="1" applyFont="1" applyFill="1" applyBorder="1" applyAlignment="1">
      <alignment horizontal="left" indent="4"/>
    </xf>
    <xf numFmtId="168" fontId="18" fillId="3" borderId="2" xfId="0" applyNumberFormat="1" applyFont="1" applyFill="1" applyBorder="1" applyAlignment="1">
      <alignment horizontal="left"/>
    </xf>
    <xf numFmtId="168" fontId="18" fillId="3" borderId="2" xfId="0" applyNumberFormat="1" applyFont="1" applyFill="1" applyBorder="1" applyAlignment="1">
      <alignment horizontal="left" indent="4"/>
    </xf>
    <xf numFmtId="168" fontId="18" fillId="3" borderId="2" xfId="0" applyNumberFormat="1" applyFont="1" applyFill="1" applyBorder="1"/>
    <xf numFmtId="168" fontId="0" fillId="3" borderId="2" xfId="0" applyNumberFormat="1" applyFill="1" applyBorder="1"/>
    <xf numFmtId="168" fontId="20" fillId="3" borderId="7" xfId="0" applyNumberFormat="1" applyFont="1" applyFill="1" applyBorder="1" applyAlignment="1">
      <alignment horizontal="left" indent="4"/>
    </xf>
    <xf numFmtId="168" fontId="20" fillId="3" borderId="7" xfId="0" applyNumberFormat="1" applyFont="1" applyFill="1" applyBorder="1"/>
    <xf numFmtId="168" fontId="20" fillId="3" borderId="2" xfId="0" applyNumberFormat="1" applyFont="1" applyFill="1" applyBorder="1" applyAlignment="1">
      <alignment horizontal="left" indent="1"/>
    </xf>
    <xf numFmtId="168" fontId="24" fillId="3" borderId="2" xfId="2" applyNumberFormat="1" applyFont="1" applyFill="1" applyBorder="1"/>
    <xf numFmtId="168" fontId="20" fillId="3" borderId="2" xfId="0" applyNumberFormat="1" applyFont="1" applyFill="1" applyBorder="1" applyAlignment="1">
      <alignment horizontal="right"/>
    </xf>
    <xf numFmtId="168" fontId="6" fillId="3" borderId="2" xfId="0" applyNumberFormat="1" applyFont="1" applyFill="1" applyBorder="1" applyAlignment="1">
      <alignment horizontal="right"/>
    </xf>
    <xf numFmtId="164" fontId="0" fillId="3" borderId="10" xfId="0" applyNumberFormat="1" applyFill="1" applyBorder="1"/>
    <xf numFmtId="186" fontId="0" fillId="3" borderId="10" xfId="0" applyNumberFormat="1" applyFill="1" applyBorder="1"/>
    <xf numFmtId="187" fontId="0" fillId="3" borderId="10" xfId="0" applyNumberFormat="1" applyFill="1" applyBorder="1"/>
    <xf numFmtId="167" fontId="18" fillId="3" borderId="2" xfId="38" applyNumberFormat="1" applyFont="1" applyFill="1" applyBorder="1" applyAlignment="1">
      <alignment horizontal="left" indent="1"/>
    </xf>
    <xf numFmtId="167" fontId="18" fillId="3" borderId="2" xfId="38" applyNumberFormat="1" applyFont="1" applyFill="1" applyBorder="1" applyAlignment="1">
      <alignment horizontal="left" indent="3"/>
    </xf>
    <xf numFmtId="168" fontId="18" fillId="3" borderId="2" xfId="38" applyNumberFormat="1" applyFont="1" applyFill="1" applyBorder="1" applyAlignment="1">
      <alignment horizontal="left" indent="1"/>
    </xf>
    <xf numFmtId="168" fontId="19" fillId="3" borderId="2" xfId="7" applyNumberFormat="1" applyFont="1" applyFill="1" applyBorder="1"/>
    <xf numFmtId="168" fontId="18" fillId="3" borderId="2" xfId="38" applyNumberFormat="1" applyFont="1" applyFill="1" applyBorder="1" applyAlignment="1">
      <alignment horizontal="right"/>
    </xf>
    <xf numFmtId="164" fontId="6" fillId="3" borderId="10" xfId="0" applyNumberFormat="1" applyFont="1" applyFill="1" applyBorder="1"/>
    <xf numFmtId="165" fontId="0" fillId="3" borderId="10" xfId="0" applyNumberFormat="1" applyFill="1" applyBorder="1"/>
    <xf numFmtId="174" fontId="0" fillId="3" borderId="10" xfId="0" applyNumberFormat="1" applyFill="1" applyBorder="1"/>
    <xf numFmtId="164" fontId="19" fillId="3" borderId="16" xfId="20" applyNumberFormat="1" applyFont="1" applyFill="1" applyBorder="1" applyAlignment="1">
      <alignment horizontal="left" indent="1"/>
    </xf>
    <xf numFmtId="164" fontId="18" fillId="3" borderId="16" xfId="0" applyNumberFormat="1" applyFont="1" applyFill="1" applyBorder="1"/>
    <xf numFmtId="164" fontId="19" fillId="3" borderId="16" xfId="20" applyNumberFormat="1" applyFont="1" applyFill="1" applyBorder="1"/>
    <xf numFmtId="164" fontId="19" fillId="3" borderId="2" xfId="20" applyNumberFormat="1" applyFont="1" applyFill="1" applyBorder="1"/>
    <xf numFmtId="167" fontId="18" fillId="3" borderId="4" xfId="0" applyNumberFormat="1" applyFont="1" applyFill="1" applyBorder="1"/>
    <xf numFmtId="170" fontId="18" fillId="3" borderId="4" xfId="0" applyNumberFormat="1" applyFont="1" applyFill="1" applyBorder="1"/>
    <xf numFmtId="164" fontId="18" fillId="3" borderId="1" xfId="0" applyNumberFormat="1" applyFont="1" applyFill="1" applyBorder="1"/>
    <xf numFmtId="165" fontId="19" fillId="3" borderId="5" xfId="20" applyNumberFormat="1" applyFont="1" applyFill="1" applyBorder="1" applyAlignment="1">
      <alignment horizontal="left" indent="1"/>
    </xf>
    <xf numFmtId="174" fontId="19" fillId="3" borderId="5" xfId="20" applyNumberFormat="1" applyFont="1" applyFill="1" applyBorder="1" applyAlignment="1">
      <alignment horizontal="left" indent="1"/>
    </xf>
    <xf numFmtId="164" fontId="19" fillId="3" borderId="5" xfId="20" applyNumberFormat="1" applyFont="1" applyFill="1" applyBorder="1" applyAlignment="1">
      <alignment horizontal="left" indent="1"/>
    </xf>
    <xf numFmtId="164" fontId="19" fillId="3" borderId="3" xfId="20" applyNumberFormat="1" applyFont="1" applyFill="1" applyBorder="1" applyAlignment="1">
      <alignment horizontal="left" indent="1"/>
    </xf>
    <xf numFmtId="167" fontId="24" fillId="3" borderId="17" xfId="20" applyNumberFormat="1" applyFont="1" applyFill="1" applyBorder="1"/>
    <xf numFmtId="189" fontId="19" fillId="3" borderId="18" xfId="20" applyNumberFormat="1" applyFont="1" applyFill="1" applyBorder="1" applyAlignment="1">
      <alignment horizontal="left" indent="1"/>
    </xf>
    <xf numFmtId="190" fontId="19" fillId="3" borderId="18" xfId="20" applyNumberFormat="1" applyFont="1" applyFill="1" applyBorder="1" applyAlignment="1">
      <alignment horizontal="left" indent="1"/>
    </xf>
    <xf numFmtId="191" fontId="19" fillId="3" borderId="18" xfId="20" applyNumberFormat="1" applyFont="1" applyFill="1" applyBorder="1" applyAlignment="1">
      <alignment horizontal="left" indent="1"/>
    </xf>
    <xf numFmtId="0" fontId="24" fillId="3" borderId="8" xfId="20" applyFont="1" applyFill="1" applyBorder="1"/>
    <xf numFmtId="167" fontId="19" fillId="3" borderId="5" xfId="20" applyNumberFormat="1" applyFont="1" applyFill="1" applyBorder="1" applyAlignment="1">
      <alignment horizontal="left" indent="1"/>
    </xf>
    <xf numFmtId="167" fontId="19" fillId="3" borderId="3" xfId="20" applyNumberFormat="1" applyFont="1" applyFill="1" applyBorder="1" applyAlignment="1">
      <alignment horizontal="left" indent="1"/>
    </xf>
    <xf numFmtId="186" fontId="19" fillId="3" borderId="0" xfId="20" applyNumberFormat="1" applyFont="1" applyFill="1"/>
    <xf numFmtId="167" fontId="18" fillId="3" borderId="9" xfId="0" applyNumberFormat="1" applyFont="1" applyFill="1" applyBorder="1" applyAlignment="1">
      <alignment horizontal="left" indent="1"/>
    </xf>
    <xf numFmtId="167" fontId="18" fillId="3" borderId="9" xfId="0" applyNumberFormat="1" applyFont="1" applyFill="1" applyBorder="1" applyAlignment="1">
      <alignment horizontal="left" indent="3"/>
    </xf>
    <xf numFmtId="167" fontId="3" fillId="3" borderId="6" xfId="20" applyNumberFormat="1" applyFont="1" applyFill="1" applyBorder="1" applyAlignment="1">
      <alignment horizontal="left"/>
    </xf>
    <xf numFmtId="167" fontId="2" fillId="3" borderId="4" xfId="20" applyNumberFormat="1" applyFill="1" applyBorder="1" applyAlignment="1">
      <alignment horizontal="left" indent="1"/>
    </xf>
    <xf numFmtId="0" fontId="4" fillId="3" borderId="19" xfId="18" applyFill="1" applyBorder="1"/>
    <xf numFmtId="167" fontId="18" fillId="3" borderId="0" xfId="0" applyNumberFormat="1" applyFont="1" applyFill="1" applyAlignment="1">
      <alignment horizontal="left" indent="2"/>
    </xf>
    <xf numFmtId="167" fontId="18" fillId="3" borderId="2" xfId="0" applyNumberFormat="1" applyFont="1" applyFill="1" applyBorder="1" applyAlignment="1">
      <alignment horizontal="left" indent="2"/>
    </xf>
    <xf numFmtId="167" fontId="18" fillId="3" borderId="7" xfId="0" applyNumberFormat="1" applyFont="1" applyFill="1" applyBorder="1" applyAlignment="1">
      <alignment horizontal="left" indent="1"/>
    </xf>
    <xf numFmtId="167" fontId="18" fillId="3" borderId="7" xfId="0" applyNumberFormat="1" applyFont="1" applyFill="1" applyBorder="1" applyAlignment="1">
      <alignment horizontal="left" indent="3"/>
    </xf>
    <xf numFmtId="167" fontId="18" fillId="3" borderId="0" xfId="0" applyNumberFormat="1" applyFont="1" applyFill="1" applyAlignment="1">
      <alignment horizontal="right"/>
    </xf>
    <xf numFmtId="167" fontId="18" fillId="3" borderId="12" xfId="0" applyNumberFormat="1" applyFont="1" applyFill="1" applyBorder="1" applyAlignment="1">
      <alignment horizontal="left" indent="1"/>
    </xf>
    <xf numFmtId="167" fontId="18" fillId="3" borderId="12" xfId="0" applyNumberFormat="1" applyFont="1" applyFill="1" applyBorder="1" applyAlignment="1">
      <alignment horizontal="left" indent="3"/>
    </xf>
    <xf numFmtId="167" fontId="18" fillId="3" borderId="12" xfId="0" applyNumberFormat="1" applyFont="1" applyFill="1" applyBorder="1"/>
    <xf numFmtId="1" fontId="18" fillId="3" borderId="0" xfId="0" applyNumberFormat="1" applyFont="1" applyFill="1" applyAlignment="1">
      <alignment horizontal="center"/>
    </xf>
    <xf numFmtId="176" fontId="20" fillId="3" borderId="0" xfId="38" applyNumberFormat="1" applyFont="1" applyFill="1" applyAlignment="1">
      <alignment horizontal="left" indent="1"/>
    </xf>
    <xf numFmtId="186" fontId="20" fillId="3" borderId="0" xfId="38" applyNumberFormat="1" applyFont="1" applyFill="1" applyAlignment="1">
      <alignment horizontal="right"/>
    </xf>
    <xf numFmtId="167" fontId="23" fillId="4" borderId="0" xfId="38" applyNumberFormat="1" applyFont="1" applyFill="1"/>
    <xf numFmtId="167" fontId="23" fillId="4" borderId="0" xfId="0" applyNumberFormat="1" applyFont="1" applyFill="1"/>
    <xf numFmtId="187" fontId="18" fillId="3" borderId="0" xfId="0" applyNumberFormat="1" applyFont="1" applyFill="1"/>
    <xf numFmtId="192" fontId="19" fillId="3" borderId="20" xfId="20" applyNumberFormat="1" applyFont="1" applyFill="1" applyBorder="1" applyAlignment="1">
      <alignment horizontal="left" indent="1"/>
    </xf>
    <xf numFmtId="0" fontId="20" fillId="3" borderId="0" xfId="38" applyFont="1" applyFill="1" applyAlignment="1">
      <alignment horizontal="left"/>
    </xf>
    <xf numFmtId="0" fontId="20" fillId="3" borderId="0" xfId="38" applyFont="1" applyFill="1" applyAlignment="1">
      <alignment horizontal="center"/>
    </xf>
    <xf numFmtId="0" fontId="39" fillId="3" borderId="0" xfId="38" applyFont="1" applyFill="1" applyAlignment="1">
      <alignment horizontal="center"/>
    </xf>
    <xf numFmtId="170" fontId="22" fillId="3" borderId="0" xfId="0" applyNumberFormat="1" applyFont="1" applyFill="1" applyAlignment="1">
      <alignment horizontal="right"/>
    </xf>
    <xf numFmtId="167" fontId="22" fillId="3" borderId="0" xfId="0" applyNumberFormat="1" applyFont="1" applyFill="1" applyAlignment="1">
      <alignment horizontal="right"/>
    </xf>
    <xf numFmtId="175" fontId="2" fillId="3" borderId="0" xfId="0" applyNumberFormat="1" applyFont="1" applyFill="1" applyAlignment="1">
      <alignment horizontal="left"/>
    </xf>
    <xf numFmtId="172" fontId="6" fillId="3" borderId="0" xfId="0" applyNumberFormat="1" applyFont="1" applyFill="1"/>
    <xf numFmtId="184" fontId="3" fillId="3" borderId="0" xfId="0" applyNumberFormat="1" applyFont="1" applyFill="1" applyAlignment="1">
      <alignment horizontal="left"/>
    </xf>
    <xf numFmtId="170" fontId="5" fillId="3" borderId="0" xfId="2" applyNumberFormat="1" applyFont="1" applyFill="1" applyAlignment="1">
      <alignment horizontal="center"/>
    </xf>
    <xf numFmtId="164" fontId="6" fillId="3" borderId="0" xfId="0" applyNumberFormat="1" applyFont="1" applyFill="1" applyAlignment="1">
      <alignment horizontal="center"/>
    </xf>
    <xf numFmtId="185" fontId="3" fillId="3" borderId="0" xfId="0" applyNumberFormat="1" applyFont="1" applyFill="1"/>
    <xf numFmtId="0" fontId="6" fillId="3" borderId="0" xfId="0" applyFont="1" applyFill="1" applyAlignment="1">
      <alignment horizontal="center"/>
    </xf>
    <xf numFmtId="164" fontId="6" fillId="3" borderId="0" xfId="0" applyNumberFormat="1" applyFont="1" applyFill="1"/>
    <xf numFmtId="164" fontId="17" fillId="3" borderId="0" xfId="0" applyNumberFormat="1" applyFont="1" applyFill="1"/>
    <xf numFmtId="171" fontId="20" fillId="3" borderId="0" xfId="0" applyNumberFormat="1" applyFont="1" applyFill="1" applyAlignment="1">
      <alignment horizontal="right"/>
    </xf>
    <xf numFmtId="186" fontId="20" fillId="3" borderId="0" xfId="0" applyNumberFormat="1" applyFont="1" applyFill="1"/>
    <xf numFmtId="171" fontId="18" fillId="3" borderId="0" xfId="0" applyNumberFormat="1" applyFont="1" applyFill="1" applyAlignment="1">
      <alignment horizontal="right"/>
    </xf>
    <xf numFmtId="178" fontId="18" fillId="3" borderId="0" xfId="0" applyNumberFormat="1" applyFont="1" applyFill="1" applyAlignment="1">
      <alignment horizontal="right"/>
    </xf>
    <xf numFmtId="168" fontId="18" fillId="3" borderId="0" xfId="0" applyNumberFormat="1" applyFont="1" applyFill="1" applyAlignment="1">
      <alignment horizontal="right"/>
    </xf>
    <xf numFmtId="169" fontId="19" fillId="3" borderId="0" xfId="0" applyNumberFormat="1" applyFont="1" applyFill="1" applyAlignment="1">
      <alignment horizontal="center"/>
    </xf>
    <xf numFmtId="172" fontId="18" fillId="3" borderId="0" xfId="0" applyNumberFormat="1" applyFont="1" applyFill="1"/>
    <xf numFmtId="1" fontId="22" fillId="3" borderId="0" xfId="0" applyNumberFormat="1" applyFont="1" applyFill="1" applyAlignment="1">
      <alignment horizontal="center"/>
    </xf>
    <xf numFmtId="172" fontId="22" fillId="3" borderId="0" xfId="0" applyNumberFormat="1" applyFont="1" applyFill="1"/>
    <xf numFmtId="0" fontId="24" fillId="3" borderId="0" xfId="2" applyNumberFormat="1" applyFont="1" applyFill="1" applyAlignment="1">
      <alignment horizontal="center"/>
    </xf>
    <xf numFmtId="170" fontId="18" fillId="3" borderId="0" xfId="0" applyNumberFormat="1" applyFont="1" applyFill="1" applyAlignment="1">
      <alignment horizontal="left" indent="1"/>
    </xf>
    <xf numFmtId="170" fontId="18" fillId="3" borderId="0" xfId="0" applyNumberFormat="1" applyFont="1" applyFill="1" applyAlignment="1">
      <alignment horizontal="left" indent="4"/>
    </xf>
    <xf numFmtId="164" fontId="18" fillId="3" borderId="0" xfId="0" applyNumberFormat="1" applyFont="1" applyFill="1" applyAlignment="1">
      <alignment horizontal="left" indent="1"/>
    </xf>
    <xf numFmtId="168" fontId="18" fillId="3" borderId="0" xfId="0" applyNumberFormat="1" applyFont="1" applyFill="1" applyAlignment="1">
      <alignment horizontal="left" indent="4"/>
    </xf>
    <xf numFmtId="168" fontId="18" fillId="3" borderId="0" xfId="0" applyNumberFormat="1" applyFont="1" applyFill="1"/>
    <xf numFmtId="168" fontId="18" fillId="3" borderId="0" xfId="0" applyNumberFormat="1" applyFont="1" applyFill="1" applyAlignment="1">
      <alignment horizontal="left"/>
    </xf>
    <xf numFmtId="164" fontId="18" fillId="3" borderId="0" xfId="0" applyNumberFormat="1" applyFont="1" applyFill="1" applyAlignment="1">
      <alignment horizontal="left" indent="3"/>
    </xf>
    <xf numFmtId="167" fontId="20" fillId="3" borderId="9" xfId="0" applyNumberFormat="1" applyFont="1" applyFill="1" applyBorder="1" applyAlignment="1">
      <alignment horizontal="left" indent="3"/>
    </xf>
    <xf numFmtId="164" fontId="21" fillId="3" borderId="7" xfId="0" applyNumberFormat="1" applyFont="1" applyFill="1" applyBorder="1" applyAlignment="1">
      <alignment horizontal="left" indent="1"/>
    </xf>
    <xf numFmtId="164" fontId="22" fillId="3" borderId="7" xfId="0" applyNumberFormat="1" applyFont="1" applyFill="1" applyBorder="1" applyAlignment="1">
      <alignment horizontal="left" indent="3"/>
    </xf>
    <xf numFmtId="173" fontId="18" fillId="3" borderId="0" xfId="0" applyNumberFormat="1" applyFont="1" applyFill="1" applyAlignment="1">
      <alignment horizontal="left" indent="3"/>
    </xf>
    <xf numFmtId="173" fontId="19" fillId="3" borderId="0" xfId="2" applyNumberFormat="1" applyFont="1" applyFill="1"/>
    <xf numFmtId="173" fontId="18" fillId="3" borderId="0" xfId="0" applyNumberFormat="1" applyFont="1" applyFill="1"/>
    <xf numFmtId="173" fontId="20" fillId="3" borderId="0" xfId="0" applyNumberFormat="1" applyFont="1" applyFill="1" applyAlignment="1">
      <alignment horizontal="left" indent="3"/>
    </xf>
    <xf numFmtId="164" fontId="21" fillId="3" borderId="0" xfId="0" applyNumberFormat="1" applyFont="1" applyFill="1" applyAlignment="1">
      <alignment horizontal="left" indent="1"/>
    </xf>
    <xf numFmtId="164" fontId="22" fillId="3" borderId="0" xfId="0" applyNumberFormat="1" applyFont="1" applyFill="1" applyAlignment="1">
      <alignment horizontal="left" indent="3"/>
    </xf>
    <xf numFmtId="171" fontId="20" fillId="3" borderId="0" xfId="0" applyNumberFormat="1" applyFont="1" applyFill="1" applyAlignment="1">
      <alignment horizontal="left" indent="3"/>
    </xf>
    <xf numFmtId="171" fontId="20" fillId="3" borderId="0" xfId="0" applyNumberFormat="1" applyFont="1" applyFill="1"/>
    <xf numFmtId="0" fontId="18" fillId="3" borderId="0" xfId="0" applyFont="1" applyFill="1" applyAlignment="1">
      <alignment horizontal="left" indent="3"/>
    </xf>
    <xf numFmtId="0" fontId="18" fillId="3" borderId="0" xfId="0" applyFont="1" applyFill="1"/>
    <xf numFmtId="171" fontId="19" fillId="3" borderId="0" xfId="0" applyNumberFormat="1" applyFont="1" applyFill="1"/>
    <xf numFmtId="171" fontId="18" fillId="3" borderId="0" xfId="0" applyNumberFormat="1" applyFont="1" applyFill="1" applyAlignment="1">
      <alignment horizontal="left" indent="3"/>
    </xf>
    <xf numFmtId="171" fontId="18" fillId="3" borderId="0" xfId="0" applyNumberFormat="1" applyFont="1" applyFill="1"/>
    <xf numFmtId="178" fontId="18" fillId="3" borderId="0" xfId="0" applyNumberFormat="1" applyFont="1" applyFill="1" applyAlignment="1">
      <alignment horizontal="left" indent="3"/>
    </xf>
    <xf numFmtId="178" fontId="18" fillId="3" borderId="0" xfId="0" applyNumberFormat="1" applyFont="1" applyFill="1"/>
    <xf numFmtId="168" fontId="19" fillId="3" borderId="0" xfId="2" applyNumberFormat="1" applyFont="1" applyFill="1"/>
    <xf numFmtId="186" fontId="19" fillId="3" borderId="0" xfId="2" applyNumberFormat="1" applyFont="1" applyFill="1"/>
    <xf numFmtId="187" fontId="19" fillId="3" borderId="0" xfId="2" applyNumberFormat="1" applyFont="1" applyFill="1"/>
    <xf numFmtId="164" fontId="20" fillId="3" borderId="0" xfId="0" applyNumberFormat="1" applyFont="1" applyFill="1" applyAlignment="1">
      <alignment horizontal="left" indent="3"/>
    </xf>
    <xf numFmtId="164" fontId="20" fillId="3" borderId="0" xfId="0" applyNumberFormat="1" applyFont="1" applyFill="1" applyAlignment="1">
      <alignment horizontal="left"/>
    </xf>
    <xf numFmtId="164" fontId="18" fillId="3" borderId="0" xfId="0" applyNumberFormat="1" applyFont="1" applyFill="1" applyAlignment="1">
      <alignment horizontal="right"/>
    </xf>
    <xf numFmtId="164" fontId="19" fillId="3" borderId="12" xfId="20" applyNumberFormat="1" applyFont="1" applyFill="1" applyBorder="1" applyAlignment="1">
      <alignment horizontal="left" indent="1"/>
    </xf>
    <xf numFmtId="167" fontId="20" fillId="3" borderId="10" xfId="0" applyNumberFormat="1" applyFont="1" applyFill="1" applyBorder="1"/>
    <xf numFmtId="167" fontId="24" fillId="3" borderId="0" xfId="20" applyNumberFormat="1" applyFont="1" applyFill="1"/>
    <xf numFmtId="167" fontId="18" fillId="3" borderId="10" xfId="0" applyNumberFormat="1" applyFont="1" applyFill="1" applyBorder="1"/>
    <xf numFmtId="167" fontId="19" fillId="3" borderId="0" xfId="20" applyNumberFormat="1" applyFont="1" applyFill="1"/>
    <xf numFmtId="167" fontId="19" fillId="3" borderId="16" xfId="20" applyNumberFormat="1" applyFont="1" applyFill="1" applyBorder="1" applyAlignment="1">
      <alignment horizontal="left" indent="1"/>
    </xf>
    <xf numFmtId="0" fontId="20" fillId="3" borderId="0" xfId="0" applyFont="1" applyFill="1"/>
    <xf numFmtId="167" fontId="19" fillId="3" borderId="11" xfId="20" applyNumberFormat="1" applyFont="1" applyFill="1" applyBorder="1" applyAlignment="1">
      <alignment horizontal="left" indent="1"/>
    </xf>
    <xf numFmtId="167" fontId="18" fillId="3" borderId="11" xfId="0" applyNumberFormat="1" applyFont="1" applyFill="1" applyBorder="1"/>
    <xf numFmtId="167" fontId="19" fillId="3" borderId="1" xfId="20" applyNumberFormat="1" applyFont="1" applyFill="1" applyBorder="1" applyAlignment="1">
      <alignment horizontal="left" indent="1"/>
    </xf>
    <xf numFmtId="167" fontId="19" fillId="3" borderId="12" xfId="20" applyNumberFormat="1" applyFont="1" applyFill="1" applyBorder="1" applyAlignment="1">
      <alignment horizontal="left" indent="1"/>
    </xf>
    <xf numFmtId="167" fontId="19" fillId="3" borderId="12" xfId="20" applyNumberFormat="1" applyFont="1" applyFill="1" applyBorder="1"/>
    <xf numFmtId="0" fontId="18" fillId="3" borderId="11" xfId="0" applyFont="1" applyFill="1" applyBorder="1"/>
    <xf numFmtId="0" fontId="4" fillId="3" borderId="21" xfId="18" applyFill="1" applyBorder="1"/>
    <xf numFmtId="0" fontId="20" fillId="3" borderId="6" xfId="0" applyFont="1" applyFill="1" applyBorder="1"/>
    <xf numFmtId="167" fontId="20" fillId="3" borderId="22" xfId="0" applyNumberFormat="1" applyFont="1" applyFill="1" applyBorder="1"/>
    <xf numFmtId="167" fontId="19" fillId="2" borderId="22" xfId="17" applyNumberFormat="1" applyFont="1" applyBorder="1" applyAlignment="1">
      <alignment horizontal="right"/>
    </xf>
    <xf numFmtId="167" fontId="18" fillId="3" borderId="23" xfId="0" applyNumberFormat="1" applyFont="1" applyFill="1" applyBorder="1"/>
    <xf numFmtId="0" fontId="20" fillId="3" borderId="22" xfId="0" applyFont="1" applyFill="1" applyBorder="1"/>
    <xf numFmtId="165" fontId="18" fillId="3" borderId="22" xfId="0" applyNumberFormat="1" applyFont="1" applyFill="1" applyBorder="1"/>
    <xf numFmtId="174" fontId="18" fillId="3" borderId="22" xfId="0" applyNumberFormat="1" applyFont="1" applyFill="1" applyBorder="1"/>
    <xf numFmtId="164" fontId="18" fillId="3" borderId="24" xfId="0" applyNumberFormat="1" applyFont="1" applyFill="1" applyBorder="1"/>
    <xf numFmtId="164" fontId="18" fillId="3" borderId="25" xfId="0" applyNumberFormat="1" applyFont="1" applyFill="1" applyBorder="1"/>
    <xf numFmtId="186" fontId="18" fillId="3" borderId="22" xfId="0" applyNumberFormat="1" applyFont="1" applyFill="1" applyBorder="1"/>
    <xf numFmtId="0" fontId="18" fillId="3" borderId="22" xfId="0" applyFont="1" applyFill="1" applyBorder="1"/>
    <xf numFmtId="164" fontId="27" fillId="4" borderId="22" xfId="38" applyNumberFormat="1" applyFont="1" applyFill="1" applyBorder="1"/>
    <xf numFmtId="168" fontId="28" fillId="4" borderId="22" xfId="38" applyNumberFormat="1" applyFont="1" applyFill="1" applyBorder="1"/>
    <xf numFmtId="167" fontId="21" fillId="3" borderId="0" xfId="0" applyNumberFormat="1" applyFont="1" applyFill="1" applyAlignment="1">
      <alignment horizontal="right"/>
    </xf>
    <xf numFmtId="193" fontId="18" fillId="3" borderId="0" xfId="0" applyNumberFormat="1" applyFont="1" applyFill="1"/>
    <xf numFmtId="167" fontId="20" fillId="3" borderId="7" xfId="0" applyNumberFormat="1" applyFont="1" applyFill="1" applyBorder="1"/>
    <xf numFmtId="167" fontId="6" fillId="3" borderId="7" xfId="0" applyNumberFormat="1" applyFont="1" applyFill="1" applyBorder="1"/>
    <xf numFmtId="167" fontId="24" fillId="3" borderId="0" xfId="0" applyNumberFormat="1" applyFont="1" applyFill="1"/>
    <xf numFmtId="173" fontId="24" fillId="3" borderId="0" xfId="2" applyNumberFormat="1" applyFont="1" applyFill="1"/>
    <xf numFmtId="17" fontId="19" fillId="3" borderId="0" xfId="20" applyNumberFormat="1" applyFont="1" applyFill="1"/>
    <xf numFmtId="17" fontId="18" fillId="3" borderId="22" xfId="0" applyNumberFormat="1" applyFont="1" applyFill="1" applyBorder="1"/>
    <xf numFmtId="17" fontId="18" fillId="3" borderId="13" xfId="0" applyNumberFormat="1" applyFont="1" applyFill="1" applyBorder="1"/>
    <xf numFmtId="194" fontId="18" fillId="3" borderId="0" xfId="0" applyNumberFormat="1" applyFont="1" applyFill="1"/>
    <xf numFmtId="194" fontId="18" fillId="3" borderId="13" xfId="0" applyNumberFormat="1" applyFont="1" applyFill="1" applyBorder="1"/>
    <xf numFmtId="187" fontId="19" fillId="3" borderId="0" xfId="20" applyNumberFormat="1" applyFont="1" applyFill="1"/>
    <xf numFmtId="187" fontId="18" fillId="3" borderId="22" xfId="0" applyNumberFormat="1" applyFont="1" applyFill="1" applyBorder="1"/>
    <xf numFmtId="187" fontId="18" fillId="3" borderId="13" xfId="0" applyNumberFormat="1" applyFont="1" applyFill="1" applyBorder="1"/>
    <xf numFmtId="164" fontId="19" fillId="3" borderId="26" xfId="20" applyNumberFormat="1" applyFont="1" applyFill="1" applyBorder="1" applyAlignment="1">
      <alignment horizontal="left" indent="1"/>
    </xf>
    <xf numFmtId="187" fontId="19" fillId="3" borderId="2" xfId="20" applyNumberFormat="1" applyFont="1" applyFill="1" applyBorder="1"/>
    <xf numFmtId="187" fontId="18" fillId="3" borderId="2" xfId="0" applyNumberFormat="1" applyFont="1" applyFill="1" applyBorder="1"/>
    <xf numFmtId="187" fontId="18" fillId="3" borderId="27" xfId="0" applyNumberFormat="1" applyFont="1" applyFill="1" applyBorder="1"/>
    <xf numFmtId="187" fontId="18" fillId="3" borderId="28" xfId="0" applyNumberFormat="1" applyFont="1" applyFill="1" applyBorder="1"/>
    <xf numFmtId="194" fontId="0" fillId="3" borderId="0" xfId="0" applyNumberFormat="1" applyFill="1" applyAlignment="1">
      <alignment horizontal="right"/>
    </xf>
    <xf numFmtId="187" fontId="0" fillId="3" borderId="0" xfId="0" applyNumberFormat="1" applyFill="1" applyAlignment="1">
      <alignment horizontal="right"/>
    </xf>
    <xf numFmtId="164" fontId="18" fillId="3" borderId="0" xfId="0" applyNumberFormat="1" applyFont="1" applyFill="1" applyAlignment="1">
      <alignment horizontal="left"/>
    </xf>
    <xf numFmtId="167" fontId="23" fillId="4" borderId="0" xfId="0" applyNumberFormat="1" applyFont="1" applyFill="1" applyAlignment="1">
      <alignment horizontal="left"/>
    </xf>
    <xf numFmtId="167" fontId="23" fillId="4" borderId="0" xfId="0" applyNumberFormat="1" applyFont="1" applyFill="1" applyAlignment="1">
      <alignment horizontal="left" indent="3"/>
    </xf>
    <xf numFmtId="195" fontId="18" fillId="3" borderId="0" xfId="0" applyNumberFormat="1" applyFont="1" applyFill="1"/>
    <xf numFmtId="164" fontId="18" fillId="3" borderId="12" xfId="0" applyNumberFormat="1" applyFont="1" applyFill="1" applyBorder="1" applyAlignment="1">
      <alignment horizontal="left" indent="3"/>
    </xf>
    <xf numFmtId="196" fontId="6" fillId="3" borderId="0" xfId="0" applyNumberFormat="1" applyFont="1" applyFill="1" applyAlignment="1">
      <alignment horizontal="left"/>
    </xf>
    <xf numFmtId="170" fontId="24" fillId="3" borderId="0" xfId="0" applyNumberFormat="1" applyFont="1" applyFill="1" applyAlignment="1">
      <alignment horizontal="left"/>
    </xf>
    <xf numFmtId="167" fontId="20" fillId="3" borderId="9" xfId="0" applyNumberFormat="1" applyFont="1" applyFill="1" applyBorder="1" applyAlignment="1">
      <alignment horizontal="left"/>
    </xf>
    <xf numFmtId="186" fontId="20" fillId="3" borderId="0" xfId="0" applyNumberFormat="1" applyFont="1" applyFill="1" applyAlignment="1">
      <alignment horizontal="right"/>
    </xf>
    <xf numFmtId="186" fontId="18" fillId="3" borderId="0" xfId="0" applyNumberFormat="1" applyFont="1" applyFill="1" applyAlignment="1">
      <alignment horizontal="right"/>
    </xf>
    <xf numFmtId="194" fontId="18" fillId="3" borderId="0" xfId="0" applyNumberFormat="1" applyFont="1" applyFill="1" applyAlignment="1">
      <alignment horizontal="right"/>
    </xf>
    <xf numFmtId="187" fontId="18" fillId="3" borderId="0" xfId="0" applyNumberFormat="1" applyFont="1" applyFill="1" applyAlignment="1">
      <alignment horizontal="right"/>
    </xf>
    <xf numFmtId="164" fontId="0" fillId="0" borderId="0" xfId="0" applyNumberFormat="1"/>
    <xf numFmtId="0" fontId="6" fillId="0" borderId="0" xfId="0" applyFont="1"/>
    <xf numFmtId="164" fontId="6" fillId="0" borderId="0" xfId="0" applyNumberFormat="1" applyFont="1" applyAlignment="1">
      <alignment horizontal="center"/>
    </xf>
    <xf numFmtId="164" fontId="6" fillId="0" borderId="0" xfId="0" applyNumberFormat="1" applyFont="1"/>
    <xf numFmtId="167" fontId="0" fillId="0" borderId="0" xfId="0" applyNumberFormat="1"/>
    <xf numFmtId="167" fontId="6" fillId="0" borderId="0" xfId="0" applyNumberFormat="1" applyFont="1"/>
    <xf numFmtId="167" fontId="22" fillId="0" borderId="0" xfId="0" applyNumberFormat="1" applyFont="1"/>
    <xf numFmtId="167" fontId="17" fillId="0" borderId="0" xfId="0" applyNumberFormat="1" applyFont="1"/>
    <xf numFmtId="177" fontId="17" fillId="0" borderId="0" xfId="0" applyNumberFormat="1" applyFont="1"/>
    <xf numFmtId="168" fontId="0" fillId="0" borderId="0" xfId="0" applyNumberFormat="1"/>
    <xf numFmtId="168" fontId="6" fillId="0" borderId="0" xfId="0" applyNumberFormat="1" applyFont="1"/>
    <xf numFmtId="170" fontId="0" fillId="0" borderId="0" xfId="0" applyNumberFormat="1"/>
    <xf numFmtId="168" fontId="17" fillId="0" borderId="0" xfId="0" applyNumberFormat="1" applyFont="1"/>
    <xf numFmtId="170" fontId="6" fillId="0" borderId="0" xfId="0" applyNumberFormat="1" applyFont="1"/>
    <xf numFmtId="164" fontId="17" fillId="0" borderId="0" xfId="0" applyNumberFormat="1" applyFont="1"/>
    <xf numFmtId="170" fontId="22" fillId="0" borderId="0" xfId="0" applyNumberFormat="1" applyFont="1"/>
    <xf numFmtId="173" fontId="0" fillId="0" borderId="0" xfId="0" applyNumberFormat="1"/>
    <xf numFmtId="171" fontId="6" fillId="0" borderId="0" xfId="0" applyNumberFormat="1" applyFont="1"/>
    <xf numFmtId="186" fontId="6" fillId="0" borderId="0" xfId="0" applyNumberFormat="1" applyFont="1"/>
    <xf numFmtId="171" fontId="0" fillId="0" borderId="0" xfId="0" applyNumberFormat="1"/>
    <xf numFmtId="178" fontId="0" fillId="0" borderId="0" xfId="0" applyNumberFormat="1"/>
    <xf numFmtId="186" fontId="0" fillId="0" borderId="0" xfId="0" applyNumberFormat="1"/>
    <xf numFmtId="187" fontId="0" fillId="0" borderId="0" xfId="0" applyNumberFormat="1"/>
    <xf numFmtId="165" fontId="0" fillId="0" borderId="0" xfId="0" applyNumberFormat="1"/>
    <xf numFmtId="174" fontId="0" fillId="0" borderId="0" xfId="0" applyNumberFormat="1"/>
    <xf numFmtId="0" fontId="31" fillId="0" borderId="0" xfId="38" applyFont="1"/>
    <xf numFmtId="0" fontId="52" fillId="0" borderId="0" xfId="38"/>
    <xf numFmtId="0" fontId="6" fillId="0" borderId="0" xfId="38" applyFont="1"/>
    <xf numFmtId="0" fontId="17" fillId="0" borderId="0" xfId="38" applyFont="1"/>
    <xf numFmtId="168" fontId="52" fillId="0" borderId="0" xfId="38" applyNumberFormat="1"/>
    <xf numFmtId="0" fontId="52" fillId="0" borderId="0" xfId="38" applyAlignment="1">
      <alignment horizontal="left"/>
    </xf>
    <xf numFmtId="0" fontId="8" fillId="0" borderId="0" xfId="38" applyFont="1"/>
    <xf numFmtId="0" fontId="32" fillId="0" borderId="0" xfId="38" applyFont="1" applyAlignment="1">
      <alignment horizontal="left"/>
    </xf>
    <xf numFmtId="0" fontId="32" fillId="0" borderId="0" xfId="38" applyFont="1" applyAlignment="1">
      <alignment horizontal="center"/>
    </xf>
    <xf numFmtId="164" fontId="52" fillId="0" borderId="0" xfId="38" applyNumberFormat="1"/>
    <xf numFmtId="170" fontId="6" fillId="0" borderId="0" xfId="38" applyNumberFormat="1" applyFont="1"/>
    <xf numFmtId="167" fontId="52" fillId="0" borderId="0" xfId="38" applyNumberFormat="1"/>
    <xf numFmtId="167" fontId="6" fillId="0" borderId="0" xfId="38" applyNumberFormat="1" applyFont="1"/>
    <xf numFmtId="164" fontId="6" fillId="0" borderId="0" xfId="38" applyNumberFormat="1" applyFont="1"/>
    <xf numFmtId="168" fontId="6" fillId="0" borderId="0" xfId="38" applyNumberFormat="1" applyFont="1"/>
    <xf numFmtId="181" fontId="6" fillId="0" borderId="0" xfId="38" applyNumberFormat="1" applyFont="1"/>
    <xf numFmtId="171" fontId="6" fillId="0" borderId="0" xfId="38" applyNumberFormat="1" applyFont="1"/>
    <xf numFmtId="182" fontId="6" fillId="0" borderId="0" xfId="38" applyNumberFormat="1" applyFont="1"/>
    <xf numFmtId="171" fontId="52" fillId="0" borderId="0" xfId="38" applyNumberFormat="1"/>
    <xf numFmtId="167" fontId="0" fillId="3" borderId="7" xfId="0" applyNumberFormat="1" applyFill="1" applyBorder="1" applyAlignment="1">
      <alignment horizontal="left" indent="1"/>
    </xf>
    <xf numFmtId="167" fontId="18" fillId="3" borderId="7" xfId="0" applyNumberFormat="1" applyFont="1" applyFill="1" applyBorder="1" applyAlignment="1">
      <alignment horizontal="left" indent="4"/>
    </xf>
    <xf numFmtId="167" fontId="0" fillId="3" borderId="7" xfId="0" applyNumberFormat="1" applyFill="1" applyBorder="1"/>
    <xf numFmtId="167" fontId="0" fillId="3" borderId="7" xfId="0" applyNumberFormat="1" applyFill="1" applyBorder="1" applyAlignment="1">
      <alignment horizontal="left"/>
    </xf>
    <xf numFmtId="168" fontId="20" fillId="3" borderId="0" xfId="0" applyNumberFormat="1" applyFont="1" applyFill="1" applyAlignment="1">
      <alignment horizontal="left" indent="4"/>
    </xf>
    <xf numFmtId="168" fontId="6" fillId="3" borderId="0" xfId="0" applyNumberFormat="1" applyFont="1" applyFill="1" applyAlignment="1">
      <alignment horizontal="left"/>
    </xf>
    <xf numFmtId="168" fontId="6" fillId="3" borderId="7" xfId="0" applyNumberFormat="1" applyFont="1" applyFill="1" applyBorder="1" applyAlignment="1">
      <alignment horizontal="left"/>
    </xf>
    <xf numFmtId="167" fontId="19" fillId="3" borderId="0" xfId="20" applyNumberFormat="1" applyFont="1" applyFill="1" applyAlignment="1">
      <alignment horizontal="left" indent="1"/>
    </xf>
    <xf numFmtId="167" fontId="24" fillId="3" borderId="6" xfId="20" applyNumberFormat="1" applyFont="1" applyFill="1" applyBorder="1" applyAlignment="1">
      <alignment horizontal="left"/>
    </xf>
    <xf numFmtId="167" fontId="19" fillId="3" borderId="4" xfId="20" applyNumberFormat="1" applyFont="1" applyFill="1" applyBorder="1" applyAlignment="1">
      <alignment horizontal="left" indent="1"/>
    </xf>
    <xf numFmtId="167" fontId="18" fillId="3" borderId="27" xfId="0" applyNumberFormat="1" applyFont="1" applyFill="1" applyBorder="1"/>
    <xf numFmtId="167" fontId="18" fillId="3" borderId="29" xfId="0" applyNumberFormat="1" applyFont="1" applyFill="1" applyBorder="1"/>
    <xf numFmtId="167" fontId="18" fillId="3" borderId="22" xfId="0" applyNumberFormat="1" applyFont="1" applyFill="1" applyBorder="1"/>
    <xf numFmtId="170" fontId="18" fillId="3" borderId="0" xfId="0" applyNumberFormat="1" applyFont="1" applyFill="1" applyAlignment="1">
      <alignment horizontal="left" indent="3"/>
    </xf>
    <xf numFmtId="167" fontId="22" fillId="3" borderId="0" xfId="0" applyNumberFormat="1" applyFont="1" applyFill="1" applyAlignment="1">
      <alignment horizontal="left" indent="1"/>
    </xf>
    <xf numFmtId="168" fontId="22" fillId="3" borderId="0" xfId="0" applyNumberFormat="1" applyFont="1" applyFill="1"/>
    <xf numFmtId="167" fontId="22" fillId="3" borderId="2" xfId="0" applyNumberFormat="1" applyFont="1" applyFill="1" applyBorder="1" applyAlignment="1">
      <alignment horizontal="left" indent="1"/>
    </xf>
    <xf numFmtId="164" fontId="22" fillId="3" borderId="2" xfId="0" applyNumberFormat="1" applyFont="1" applyFill="1" applyBorder="1" applyAlignment="1">
      <alignment horizontal="left" indent="3"/>
    </xf>
    <xf numFmtId="168" fontId="22" fillId="3" borderId="2" xfId="0" applyNumberFormat="1" applyFont="1" applyFill="1" applyBorder="1"/>
    <xf numFmtId="167" fontId="22" fillId="3" borderId="0" xfId="0" applyNumberFormat="1" applyFont="1" applyFill="1" applyAlignment="1">
      <alignment horizontal="left"/>
    </xf>
    <xf numFmtId="197" fontId="22" fillId="3" borderId="0" xfId="0" applyNumberFormat="1" applyFont="1" applyFill="1"/>
    <xf numFmtId="167" fontId="18" fillId="3" borderId="0" xfId="38" applyNumberFormat="1" applyFont="1" applyFill="1" applyAlignment="1">
      <alignment horizontal="left"/>
    </xf>
    <xf numFmtId="164" fontId="18" fillId="3" borderId="2" xfId="38" applyNumberFormat="1" applyFont="1" applyFill="1" applyBorder="1" applyAlignment="1">
      <alignment horizontal="left" indent="1"/>
    </xf>
    <xf numFmtId="186" fontId="18" fillId="3" borderId="2" xfId="38" applyNumberFormat="1" applyFont="1" applyFill="1" applyBorder="1" applyAlignment="1">
      <alignment horizontal="left"/>
    </xf>
    <xf numFmtId="167" fontId="0" fillId="3" borderId="0" xfId="0" applyNumberFormat="1" applyFill="1" applyAlignment="1">
      <alignment horizontal="left"/>
    </xf>
    <xf numFmtId="167" fontId="19" fillId="3" borderId="7" xfId="20" applyNumberFormat="1" applyFont="1" applyFill="1" applyBorder="1"/>
    <xf numFmtId="167" fontId="18" fillId="3" borderId="6" xfId="0" applyNumberFormat="1" applyFont="1" applyFill="1" applyBorder="1"/>
    <xf numFmtId="167" fontId="19" fillId="3" borderId="2" xfId="20" applyNumberFormat="1" applyFont="1" applyFill="1" applyBorder="1"/>
    <xf numFmtId="167" fontId="18" fillId="3" borderId="1" xfId="0" applyNumberFormat="1" applyFont="1" applyFill="1" applyBorder="1"/>
    <xf numFmtId="167" fontId="24" fillId="3" borderId="7" xfId="20" applyNumberFormat="1" applyFont="1" applyFill="1" applyBorder="1" applyAlignment="1">
      <alignment horizontal="left"/>
    </xf>
    <xf numFmtId="167" fontId="24" fillId="3" borderId="0" xfId="20" applyNumberFormat="1" applyFont="1" applyFill="1" applyAlignment="1">
      <alignment horizontal="left"/>
    </xf>
    <xf numFmtId="167" fontId="24" fillId="3" borderId="2" xfId="20" applyNumberFormat="1" applyFont="1" applyFill="1" applyBorder="1" applyAlignment="1">
      <alignment horizontal="left"/>
    </xf>
    <xf numFmtId="198" fontId="24" fillId="3" borderId="0" xfId="20" applyNumberFormat="1" applyFont="1" applyFill="1" applyAlignment="1">
      <alignment horizontal="right"/>
    </xf>
    <xf numFmtId="198" fontId="20" fillId="3" borderId="0" xfId="0" applyNumberFormat="1" applyFont="1" applyFill="1" applyAlignment="1">
      <alignment horizontal="right"/>
    </xf>
    <xf numFmtId="198" fontId="20" fillId="3" borderId="22" xfId="0" applyNumberFormat="1" applyFont="1" applyFill="1" applyBorder="1" applyAlignment="1">
      <alignment horizontal="right"/>
    </xf>
    <xf numFmtId="198" fontId="20" fillId="3" borderId="4" xfId="0" applyNumberFormat="1" applyFont="1" applyFill="1" applyBorder="1" applyAlignment="1">
      <alignment horizontal="right"/>
    </xf>
    <xf numFmtId="0" fontId="24" fillId="3" borderId="0" xfId="20" applyFont="1" applyFill="1" applyAlignment="1">
      <alignment horizontal="right"/>
    </xf>
    <xf numFmtId="0" fontId="20" fillId="3" borderId="0" xfId="0" applyFont="1" applyFill="1" applyAlignment="1">
      <alignment horizontal="right"/>
    </xf>
    <xf numFmtId="0" fontId="20" fillId="3" borderId="22" xfId="0" applyFont="1" applyFill="1" applyBorder="1" applyAlignment="1">
      <alignment horizontal="right"/>
    </xf>
    <xf numFmtId="0" fontId="20" fillId="3" borderId="4" xfId="0" applyFont="1" applyFill="1" applyBorder="1" applyAlignment="1">
      <alignment horizontal="right"/>
    </xf>
    <xf numFmtId="0" fontId="11" fillId="3" borderId="0" xfId="29" applyFont="1" applyFill="1" applyAlignment="1">
      <alignment vertical="center"/>
    </xf>
    <xf numFmtId="0" fontId="15" fillId="3" borderId="0" xfId="29" applyFont="1" applyFill="1" applyAlignment="1">
      <alignment vertical="center"/>
    </xf>
    <xf numFmtId="0" fontId="2" fillId="3" borderId="0" xfId="29" applyFill="1" applyAlignment="1">
      <alignment vertical="center"/>
    </xf>
    <xf numFmtId="0" fontId="15" fillId="3" borderId="0" xfId="29" applyFont="1" applyFill="1" applyAlignment="1">
      <alignment horizontal="center" vertical="center"/>
    </xf>
    <xf numFmtId="0" fontId="11" fillId="3" borderId="0" xfId="29" applyFont="1" applyFill="1"/>
    <xf numFmtId="14" fontId="11" fillId="3" borderId="0" xfId="29" applyNumberFormat="1" applyFont="1" applyFill="1" applyAlignment="1">
      <alignment horizontal="center" vertical="center"/>
    </xf>
    <xf numFmtId="0" fontId="11" fillId="3" borderId="0" xfId="29" applyFont="1" applyFill="1" applyAlignment="1">
      <alignment horizontal="center"/>
    </xf>
    <xf numFmtId="0" fontId="14" fillId="3" borderId="0" xfId="29" applyFont="1" applyFill="1"/>
    <xf numFmtId="0" fontId="26" fillId="3" borderId="0" xfId="29" applyFont="1" applyFill="1" applyAlignment="1">
      <alignment horizontal="center"/>
    </xf>
    <xf numFmtId="1" fontId="13" fillId="3" borderId="0" xfId="29" applyNumberFormat="1" applyFont="1" applyFill="1" applyAlignment="1">
      <alignment horizontal="center"/>
    </xf>
    <xf numFmtId="0" fontId="14" fillId="3" borderId="0" xfId="29" quotePrefix="1" applyFont="1" applyFill="1"/>
    <xf numFmtId="0" fontId="15" fillId="3" borderId="0" xfId="29" applyFont="1" applyFill="1"/>
    <xf numFmtId="193" fontId="13" fillId="3" borderId="0" xfId="29" applyNumberFormat="1" applyFont="1" applyFill="1"/>
    <xf numFmtId="188" fontId="15" fillId="3" borderId="0" xfId="29" applyNumberFormat="1" applyFont="1" applyFill="1" applyAlignment="1">
      <alignment horizontal="center" vertical="center"/>
    </xf>
    <xf numFmtId="180" fontId="3" fillId="3" borderId="0" xfId="29" applyNumberFormat="1" applyFont="1" applyFill="1" applyAlignment="1">
      <alignment horizontal="right"/>
    </xf>
    <xf numFmtId="183" fontId="3" fillId="3" borderId="0" xfId="29" applyNumberFormat="1" applyFont="1" applyFill="1" applyAlignment="1">
      <alignment horizontal="right"/>
    </xf>
    <xf numFmtId="14" fontId="7" fillId="3" borderId="30" xfId="29" applyNumberFormat="1" applyFont="1" applyFill="1" applyBorder="1" applyAlignment="1">
      <alignment horizontal="center"/>
    </xf>
    <xf numFmtId="0" fontId="7" fillId="3" borderId="30" xfId="29" applyFont="1" applyFill="1" applyBorder="1" applyAlignment="1">
      <alignment horizontal="center"/>
    </xf>
    <xf numFmtId="0" fontId="2" fillId="3" borderId="30" xfId="29" applyFill="1" applyBorder="1" applyAlignment="1">
      <alignment horizontal="center"/>
    </xf>
    <xf numFmtId="0" fontId="7" fillId="3" borderId="30" xfId="29" applyFont="1" applyFill="1" applyBorder="1" applyAlignment="1">
      <alignment horizontal="left"/>
    </xf>
    <xf numFmtId="0" fontId="4" fillId="3" borderId="31" xfId="18" applyFill="1" applyBorder="1"/>
    <xf numFmtId="0" fontId="4" fillId="3" borderId="30" xfId="18" applyFill="1" applyBorder="1"/>
    <xf numFmtId="14" fontId="7" fillId="3" borderId="32" xfId="29" applyNumberFormat="1" applyFont="1" applyFill="1" applyBorder="1" applyAlignment="1">
      <alignment horizontal="center"/>
    </xf>
    <xf numFmtId="0" fontId="7" fillId="3" borderId="33" xfId="29" applyFont="1" applyFill="1" applyBorder="1" applyAlignment="1">
      <alignment horizontal="center"/>
    </xf>
    <xf numFmtId="0" fontId="2" fillId="3" borderId="33" xfId="29" applyFill="1" applyBorder="1" applyAlignment="1">
      <alignment horizontal="center"/>
    </xf>
    <xf numFmtId="0" fontId="7" fillId="3" borderId="33" xfId="29" applyFont="1" applyFill="1" applyBorder="1" applyAlignment="1">
      <alignment horizontal="left"/>
    </xf>
    <xf numFmtId="0" fontId="4" fillId="3" borderId="34" xfId="18" applyFill="1" applyBorder="1"/>
    <xf numFmtId="0" fontId="4" fillId="3" borderId="35" xfId="18" applyFill="1" applyBorder="1"/>
    <xf numFmtId="14" fontId="7" fillId="3" borderId="20" xfId="29" applyNumberFormat="1" applyFont="1" applyFill="1" applyBorder="1" applyAlignment="1">
      <alignment horizontal="center"/>
    </xf>
    <xf numFmtId="0" fontId="7" fillId="3" borderId="20" xfId="29" applyFont="1" applyFill="1" applyBorder="1" applyAlignment="1">
      <alignment horizontal="center"/>
    </xf>
    <xf numFmtId="0" fontId="2" fillId="3" borderId="20" xfId="29" applyFill="1" applyBorder="1" applyAlignment="1">
      <alignment horizontal="center"/>
    </xf>
    <xf numFmtId="0" fontId="7" fillId="3" borderId="20" xfId="29" applyFont="1" applyFill="1" applyBorder="1" applyAlignment="1">
      <alignment horizontal="left"/>
    </xf>
    <xf numFmtId="0" fontId="4" fillId="3" borderId="20" xfId="18" applyFill="1" applyBorder="1"/>
    <xf numFmtId="0" fontId="4" fillId="3" borderId="30" xfId="18" applyFill="1" applyBorder="1" applyAlignment="1">
      <alignment horizontal="left"/>
    </xf>
    <xf numFmtId="14" fontId="11" fillId="6" borderId="0" xfId="29" applyNumberFormat="1" applyFont="1" applyFill="1" applyAlignment="1">
      <alignment horizontal="center" vertical="center"/>
    </xf>
    <xf numFmtId="0" fontId="16" fillId="6" borderId="0" xfId="29" applyFont="1" applyFill="1" applyAlignment="1">
      <alignment horizontal="center" vertical="center"/>
    </xf>
    <xf numFmtId="1" fontId="44" fillId="7" borderId="0" xfId="29" applyNumberFormat="1" applyFont="1" applyFill="1" applyAlignment="1">
      <alignment horizontal="center" vertical="center"/>
    </xf>
    <xf numFmtId="170" fontId="44" fillId="7" borderId="0" xfId="2" applyNumberFormat="1" applyFont="1" applyFill="1" applyAlignment="1">
      <alignment horizontal="center" vertical="center"/>
    </xf>
    <xf numFmtId="0" fontId="24" fillId="3" borderId="30" xfId="29" applyFont="1" applyFill="1" applyBorder="1" applyAlignment="1">
      <alignment horizontal="center"/>
    </xf>
    <xf numFmtId="0" fontId="24" fillId="3" borderId="17" xfId="29" applyFont="1" applyFill="1" applyBorder="1" applyAlignment="1">
      <alignment horizontal="left"/>
    </xf>
    <xf numFmtId="168" fontId="18" fillId="3" borderId="0" xfId="0" applyNumberFormat="1" applyFont="1" applyFill="1" applyAlignment="1">
      <alignment horizontal="left" indent="3"/>
    </xf>
    <xf numFmtId="167" fontId="19" fillId="3" borderId="0" xfId="2" applyNumberFormat="1" applyFont="1" applyFill="1"/>
    <xf numFmtId="167" fontId="24" fillId="3" borderId="7" xfId="2" applyNumberFormat="1" applyFont="1" applyFill="1" applyBorder="1"/>
    <xf numFmtId="167" fontId="20" fillId="3" borderId="7" xfId="0" applyNumberFormat="1" applyFont="1" applyFill="1" applyBorder="1" applyAlignment="1">
      <alignment horizontal="right"/>
    </xf>
    <xf numFmtId="167" fontId="19" fillId="3" borderId="7" xfId="2" applyNumberFormat="1" applyFont="1" applyFill="1" applyBorder="1"/>
    <xf numFmtId="167" fontId="18" fillId="3" borderId="7" xfId="0" applyNumberFormat="1" applyFont="1" applyFill="1" applyBorder="1" applyAlignment="1">
      <alignment horizontal="right"/>
    </xf>
    <xf numFmtId="167" fontId="24" fillId="3" borderId="0" xfId="2" applyNumberFormat="1" applyFont="1" applyFill="1"/>
    <xf numFmtId="167" fontId="20" fillId="3" borderId="0" xfId="0" applyNumberFormat="1" applyFont="1" applyFill="1" applyAlignment="1">
      <alignment horizontal="right"/>
    </xf>
    <xf numFmtId="44" fontId="0" fillId="3" borderId="0" xfId="0" applyNumberFormat="1" applyFill="1" applyAlignment="1">
      <alignment horizontal="left"/>
    </xf>
    <xf numFmtId="44" fontId="18" fillId="3" borderId="0" xfId="0" applyNumberFormat="1" applyFont="1" applyFill="1" applyAlignment="1">
      <alignment horizontal="left" indent="4"/>
    </xf>
    <xf numFmtId="44" fontId="18" fillId="3" borderId="0" xfId="0" applyNumberFormat="1" applyFont="1" applyFill="1"/>
    <xf numFmtId="44" fontId="0" fillId="3" borderId="0" xfId="0" applyNumberFormat="1" applyFill="1"/>
    <xf numFmtId="44" fontId="0" fillId="0" borderId="0" xfId="0" applyNumberFormat="1"/>
    <xf numFmtId="170" fontId="6" fillId="3" borderId="0" xfId="2" applyNumberFormat="1" applyFont="1" applyFill="1"/>
    <xf numFmtId="167" fontId="6" fillId="3" borderId="2" xfId="0" applyNumberFormat="1" applyFont="1" applyFill="1" applyBorder="1"/>
    <xf numFmtId="0" fontId="11" fillId="0" borderId="0" xfId="29" applyFont="1"/>
    <xf numFmtId="0" fontId="45" fillId="3" borderId="0" xfId="18" applyFont="1" applyFill="1"/>
    <xf numFmtId="199" fontId="19" fillId="3" borderId="18" xfId="20" applyNumberFormat="1" applyFont="1" applyFill="1" applyBorder="1" applyAlignment="1">
      <alignment horizontal="left" indent="1"/>
    </xf>
    <xf numFmtId="197" fontId="17" fillId="3" borderId="0" xfId="0" applyNumberFormat="1" applyFont="1" applyFill="1"/>
    <xf numFmtId="200" fontId="0" fillId="3" borderId="0" xfId="0" applyNumberFormat="1" applyFill="1" applyAlignment="1">
      <alignment horizontal="left"/>
    </xf>
    <xf numFmtId="200" fontId="18" fillId="3" borderId="0" xfId="0" applyNumberFormat="1" applyFont="1" applyFill="1" applyAlignment="1">
      <alignment horizontal="left" indent="4"/>
    </xf>
    <xf numFmtId="200" fontId="18" fillId="3" borderId="0" xfId="0" applyNumberFormat="1" applyFont="1" applyFill="1"/>
    <xf numFmtId="200" fontId="0" fillId="3" borderId="0" xfId="0" applyNumberFormat="1" applyFill="1"/>
    <xf numFmtId="200" fontId="0" fillId="0" borderId="0" xfId="0" applyNumberFormat="1"/>
    <xf numFmtId="0" fontId="46" fillId="3" borderId="0" xfId="18" applyFont="1" applyFill="1"/>
    <xf numFmtId="175" fontId="2" fillId="3" borderId="0" xfId="38" applyNumberFormat="1" applyFont="1" applyFill="1" applyAlignment="1">
      <alignment horizontal="left"/>
    </xf>
    <xf numFmtId="169" fontId="19" fillId="3" borderId="0" xfId="38" applyNumberFormat="1" applyFont="1" applyFill="1" applyAlignment="1">
      <alignment horizontal="center"/>
    </xf>
    <xf numFmtId="201" fontId="52" fillId="3" borderId="0" xfId="38" applyNumberFormat="1" applyFill="1"/>
    <xf numFmtId="184" fontId="3" fillId="3" borderId="0" xfId="38" applyNumberFormat="1" applyFont="1" applyFill="1" applyAlignment="1">
      <alignment horizontal="left"/>
    </xf>
    <xf numFmtId="170" fontId="5" fillId="3" borderId="0" xfId="51" applyNumberFormat="1" applyFont="1" applyFill="1" applyAlignment="1">
      <alignment horizontal="center"/>
    </xf>
    <xf numFmtId="185" fontId="3" fillId="3" borderId="0" xfId="38" applyNumberFormat="1" applyFont="1" applyFill="1"/>
    <xf numFmtId="0" fontId="6" fillId="3" borderId="0" xfId="38" applyFont="1" applyFill="1" applyAlignment="1">
      <alignment horizontal="center"/>
    </xf>
    <xf numFmtId="179" fontId="3" fillId="3" borderId="0" xfId="38" applyNumberFormat="1" applyFont="1" applyFill="1"/>
    <xf numFmtId="0" fontId="24" fillId="3" borderId="0" xfId="51" applyNumberFormat="1" applyFont="1" applyFill="1" applyAlignment="1">
      <alignment horizontal="center"/>
    </xf>
    <xf numFmtId="0" fontId="52" fillId="3" borderId="0" xfId="38" applyFill="1"/>
    <xf numFmtId="167" fontId="20" fillId="3" borderId="0" xfId="38" applyNumberFormat="1" applyFont="1" applyFill="1" applyAlignment="1">
      <alignment horizontal="left" indent="4"/>
    </xf>
    <xf numFmtId="0" fontId="28" fillId="4" borderId="0" xfId="38" applyFont="1" applyFill="1"/>
    <xf numFmtId="17" fontId="52" fillId="3" borderId="0" xfId="38" applyNumberFormat="1" applyFill="1" applyAlignment="1">
      <alignment horizontal="center"/>
    </xf>
    <xf numFmtId="167" fontId="18" fillId="3" borderId="0" xfId="38" applyNumberFormat="1" applyFont="1" applyFill="1" applyAlignment="1">
      <alignment horizontal="left" indent="4"/>
    </xf>
    <xf numFmtId="167" fontId="52" fillId="3" borderId="0" xfId="38" applyNumberFormat="1" applyFill="1"/>
    <xf numFmtId="167" fontId="18" fillId="3" borderId="2" xfId="38" applyNumberFormat="1" applyFont="1" applyFill="1" applyBorder="1" applyAlignment="1">
      <alignment horizontal="left" indent="4"/>
    </xf>
    <xf numFmtId="167" fontId="18" fillId="3" borderId="9" xfId="38" applyNumberFormat="1" applyFont="1" applyFill="1" applyBorder="1" applyAlignment="1">
      <alignment horizontal="left" indent="4"/>
    </xf>
    <xf numFmtId="167" fontId="18" fillId="3" borderId="9" xfId="38" applyNumberFormat="1" applyFont="1" applyFill="1" applyBorder="1"/>
    <xf numFmtId="167" fontId="18" fillId="3" borderId="0" xfId="38" applyNumberFormat="1" applyFont="1" applyFill="1" applyAlignment="1">
      <alignment horizontal="left" indent="2"/>
    </xf>
    <xf numFmtId="167" fontId="18" fillId="3" borderId="2" xfId="38" applyNumberFormat="1" applyFont="1" applyFill="1" applyBorder="1" applyAlignment="1">
      <alignment horizontal="left" indent="2"/>
    </xf>
    <xf numFmtId="167" fontId="18" fillId="3" borderId="9" xfId="38" applyNumberFormat="1" applyFont="1" applyFill="1" applyBorder="1" applyAlignment="1">
      <alignment horizontal="left" indent="1"/>
    </xf>
    <xf numFmtId="167" fontId="20" fillId="3" borderId="9" xfId="38" applyNumberFormat="1" applyFont="1" applyFill="1" applyBorder="1" applyAlignment="1">
      <alignment horizontal="left" indent="4"/>
    </xf>
    <xf numFmtId="167" fontId="20" fillId="3" borderId="9" xfId="38" applyNumberFormat="1" applyFont="1" applyFill="1" applyBorder="1"/>
    <xf numFmtId="200" fontId="18" fillId="3" borderId="0" xfId="38" applyNumberFormat="1" applyFont="1" applyFill="1" applyAlignment="1">
      <alignment horizontal="left"/>
    </xf>
    <xf numFmtId="200" fontId="18" fillId="3" borderId="0" xfId="38" applyNumberFormat="1" applyFont="1" applyFill="1" applyAlignment="1">
      <alignment horizontal="left" indent="4"/>
    </xf>
    <xf numFmtId="200" fontId="18" fillId="3" borderId="0" xfId="38" applyNumberFormat="1" applyFont="1" applyFill="1"/>
    <xf numFmtId="200" fontId="20" fillId="3" borderId="0" xfId="38" applyNumberFormat="1" applyFont="1" applyFill="1" applyAlignment="1">
      <alignment horizontal="left"/>
    </xf>
    <xf numFmtId="200" fontId="20" fillId="3" borderId="0" xfId="38" applyNumberFormat="1" applyFont="1" applyFill="1" applyAlignment="1">
      <alignment horizontal="left" indent="4"/>
    </xf>
    <xf numFmtId="200" fontId="20" fillId="3" borderId="0" xfId="38" applyNumberFormat="1" applyFont="1" applyFill="1"/>
    <xf numFmtId="167" fontId="20" fillId="3" borderId="9" xfId="38" applyNumberFormat="1" applyFont="1" applyFill="1" applyBorder="1" applyAlignment="1">
      <alignment horizontal="left"/>
    </xf>
    <xf numFmtId="200" fontId="52" fillId="0" borderId="0" xfId="38" applyNumberFormat="1"/>
    <xf numFmtId="200" fontId="6" fillId="0" borderId="0" xfId="38" applyNumberFormat="1" applyFont="1"/>
    <xf numFmtId="167" fontId="18" fillId="3" borderId="0" xfId="4" applyNumberFormat="1" applyFont="1" applyFill="1" applyAlignment="1">
      <alignment horizontal="left"/>
    </xf>
    <xf numFmtId="167" fontId="18" fillId="3" borderId="0" xfId="4" applyNumberFormat="1" applyFont="1" applyFill="1" applyAlignment="1">
      <alignment horizontal="left" indent="4"/>
    </xf>
    <xf numFmtId="167" fontId="18" fillId="3" borderId="0" xfId="4" applyNumberFormat="1" applyFont="1" applyFill="1" applyBorder="1"/>
    <xf numFmtId="167" fontId="18" fillId="3" borderId="0" xfId="4" applyNumberFormat="1" applyFont="1" applyFill="1"/>
    <xf numFmtId="167" fontId="0" fillId="3" borderId="0" xfId="4" applyNumberFormat="1" applyFont="1" applyFill="1"/>
    <xf numFmtId="167" fontId="0" fillId="0" borderId="0" xfId="4" applyNumberFormat="1" applyFont="1" applyFill="1"/>
    <xf numFmtId="0" fontId="36" fillId="3" borderId="0" xfId="18" applyFont="1" applyFill="1"/>
    <xf numFmtId="201" fontId="18" fillId="3" borderId="0" xfId="38" applyNumberFormat="1" applyFont="1" applyFill="1"/>
    <xf numFmtId="17" fontId="18" fillId="3" borderId="0" xfId="38" applyNumberFormat="1" applyFont="1" applyFill="1" applyAlignment="1">
      <alignment horizontal="center"/>
    </xf>
    <xf numFmtId="164" fontId="6" fillId="3" borderId="0" xfId="38" applyNumberFormat="1" applyFont="1" applyFill="1"/>
    <xf numFmtId="167" fontId="6" fillId="3" borderId="0" xfId="38" applyNumberFormat="1" applyFont="1" applyFill="1"/>
    <xf numFmtId="200" fontId="52" fillId="3" borderId="0" xfId="38" applyNumberFormat="1" applyFill="1"/>
    <xf numFmtId="200" fontId="6" fillId="3" borderId="0" xfId="38" applyNumberFormat="1" applyFont="1" applyFill="1"/>
    <xf numFmtId="200" fontId="18" fillId="3" borderId="0" xfId="2" applyNumberFormat="1" applyFont="1" applyFill="1" applyAlignment="1">
      <alignment horizontal="left"/>
    </xf>
    <xf numFmtId="200" fontId="19" fillId="3" borderId="0" xfId="2" applyNumberFormat="1" applyFont="1" applyFill="1"/>
    <xf numFmtId="200" fontId="0" fillId="3" borderId="0" xfId="0" applyNumberFormat="1" applyFill="1" applyAlignment="1">
      <alignment horizontal="right"/>
    </xf>
    <xf numFmtId="200" fontId="52" fillId="3" borderId="0" xfId="2" applyNumberFormat="1" applyFill="1"/>
    <xf numFmtId="200" fontId="52" fillId="0" borderId="0" xfId="2" applyNumberFormat="1"/>
    <xf numFmtId="200" fontId="20" fillId="3" borderId="0" xfId="2" applyNumberFormat="1" applyFont="1" applyFill="1" applyAlignment="1">
      <alignment horizontal="left"/>
    </xf>
    <xf numFmtId="200" fontId="24" fillId="3" borderId="0" xfId="2" applyNumberFormat="1" applyFont="1" applyFill="1"/>
    <xf numFmtId="200" fontId="20" fillId="3" borderId="0" xfId="2" applyNumberFormat="1" applyFont="1" applyFill="1" applyAlignment="1">
      <alignment horizontal="right"/>
    </xf>
    <xf numFmtId="200" fontId="6" fillId="3" borderId="0" xfId="2" applyNumberFormat="1" applyFont="1" applyFill="1"/>
    <xf numFmtId="200" fontId="6" fillId="0" borderId="0" xfId="2" applyNumberFormat="1" applyFont="1"/>
    <xf numFmtId="200" fontId="23" fillId="4" borderId="0" xfId="0" applyNumberFormat="1" applyFont="1" applyFill="1"/>
    <xf numFmtId="200" fontId="6" fillId="3" borderId="0" xfId="0" applyNumberFormat="1" applyFont="1" applyFill="1"/>
    <xf numFmtId="200" fontId="6" fillId="0" borderId="0" xfId="0" applyNumberFormat="1" applyFont="1"/>
    <xf numFmtId="200" fontId="18" fillId="3" borderId="0" xfId="0" applyNumberFormat="1" applyFont="1" applyFill="1" applyAlignment="1">
      <alignment horizontal="left"/>
    </xf>
    <xf numFmtId="200" fontId="18" fillId="3" borderId="0" xfId="0" applyNumberFormat="1" applyFont="1" applyFill="1" applyAlignment="1">
      <alignment horizontal="right"/>
    </xf>
    <xf numFmtId="200" fontId="18" fillId="3" borderId="0" xfId="0" applyNumberFormat="1" applyFont="1" applyFill="1" applyAlignment="1">
      <alignment horizontal="left" indent="1"/>
    </xf>
    <xf numFmtId="0" fontId="19" fillId="0" borderId="0" xfId="29" applyFont="1"/>
    <xf numFmtId="0" fontId="22" fillId="3" borderId="0" xfId="0" applyFont="1" applyFill="1"/>
    <xf numFmtId="1" fontId="22" fillId="3" borderId="22" xfId="0" applyNumberFormat="1" applyFont="1" applyFill="1" applyBorder="1" applyAlignment="1">
      <alignment horizontal="center"/>
    </xf>
    <xf numFmtId="1" fontId="20" fillId="3" borderId="22" xfId="0" applyNumberFormat="1" applyFont="1" applyFill="1" applyBorder="1" applyAlignment="1">
      <alignment horizontal="center"/>
    </xf>
    <xf numFmtId="17" fontId="19" fillId="3" borderId="22" xfId="0" applyNumberFormat="1" applyFont="1" applyFill="1" applyBorder="1" applyAlignment="1">
      <alignment horizontal="center"/>
    </xf>
    <xf numFmtId="0" fontId="24" fillId="3" borderId="22" xfId="0" applyFont="1" applyFill="1" applyBorder="1" applyAlignment="1">
      <alignment horizontal="center"/>
    </xf>
    <xf numFmtId="167" fontId="6" fillId="3" borderId="29" xfId="0" applyNumberFormat="1" applyFont="1" applyFill="1" applyBorder="1"/>
    <xf numFmtId="167" fontId="20" fillId="3" borderId="29" xfId="0" applyNumberFormat="1" applyFont="1" applyFill="1" applyBorder="1"/>
    <xf numFmtId="167" fontId="6" fillId="3" borderId="36" xfId="0" applyNumberFormat="1" applyFont="1" applyFill="1" applyBorder="1"/>
    <xf numFmtId="167" fontId="22" fillId="3" borderId="22" xfId="0" applyNumberFormat="1" applyFont="1" applyFill="1" applyBorder="1"/>
    <xf numFmtId="177" fontId="22" fillId="3" borderId="22" xfId="0" applyNumberFormat="1" applyFont="1" applyFill="1" applyBorder="1"/>
    <xf numFmtId="168" fontId="18" fillId="3" borderId="27" xfId="0" applyNumberFormat="1" applyFont="1" applyFill="1" applyBorder="1"/>
    <xf numFmtId="168" fontId="20" fillId="3" borderId="36" xfId="0" applyNumberFormat="1" applyFont="1" applyFill="1" applyBorder="1"/>
    <xf numFmtId="167" fontId="6" fillId="3" borderId="22" xfId="0" applyNumberFormat="1" applyFont="1" applyFill="1" applyBorder="1"/>
    <xf numFmtId="167" fontId="0" fillId="3" borderId="22" xfId="0" applyNumberFormat="1" applyFill="1" applyBorder="1"/>
    <xf numFmtId="200" fontId="18" fillId="3" borderId="22" xfId="0" applyNumberFormat="1" applyFont="1" applyFill="1" applyBorder="1"/>
    <xf numFmtId="44" fontId="18" fillId="3" borderId="22" xfId="0" applyNumberFormat="1" applyFont="1" applyFill="1" applyBorder="1"/>
    <xf numFmtId="170" fontId="18" fillId="3" borderId="22" xfId="0" applyNumberFormat="1" applyFont="1" applyFill="1" applyBorder="1"/>
    <xf numFmtId="200" fontId="20" fillId="3" borderId="22" xfId="2" applyNumberFormat="1" applyFont="1" applyFill="1" applyBorder="1" applyAlignment="1">
      <alignment horizontal="right"/>
    </xf>
    <xf numFmtId="200" fontId="0" fillId="3" borderId="22" xfId="0" applyNumberFormat="1" applyFill="1" applyBorder="1" applyAlignment="1">
      <alignment horizontal="right"/>
    </xf>
    <xf numFmtId="170" fontId="18" fillId="3" borderId="22" xfId="0" applyNumberFormat="1" applyFont="1" applyFill="1" applyBorder="1" applyAlignment="1">
      <alignment horizontal="right"/>
    </xf>
    <xf numFmtId="167" fontId="18" fillId="3" borderId="22" xfId="0" applyNumberFormat="1" applyFont="1" applyFill="1" applyBorder="1" applyAlignment="1">
      <alignment horizontal="right"/>
    </xf>
    <xf numFmtId="167" fontId="20" fillId="3" borderId="29" xfId="0" applyNumberFormat="1" applyFont="1" applyFill="1" applyBorder="1" applyAlignment="1">
      <alignment horizontal="right"/>
    </xf>
    <xf numFmtId="167" fontId="18" fillId="3" borderId="29" xfId="0" applyNumberFormat="1" applyFont="1" applyFill="1" applyBorder="1" applyAlignment="1">
      <alignment horizontal="right"/>
    </xf>
    <xf numFmtId="167" fontId="20" fillId="3" borderId="22" xfId="0" applyNumberFormat="1" applyFont="1" applyFill="1" applyBorder="1" applyAlignment="1">
      <alignment horizontal="right"/>
    </xf>
    <xf numFmtId="168" fontId="17" fillId="3" borderId="22" xfId="0" applyNumberFormat="1" applyFont="1" applyFill="1" applyBorder="1"/>
    <xf numFmtId="170" fontId="20" fillId="3" borderId="22" xfId="0" applyNumberFormat="1" applyFont="1" applyFill="1" applyBorder="1"/>
    <xf numFmtId="168" fontId="18" fillId="3" borderId="22" xfId="0" applyNumberFormat="1" applyFont="1" applyFill="1" applyBorder="1"/>
    <xf numFmtId="168" fontId="20" fillId="3" borderId="29" xfId="0" applyNumberFormat="1" applyFont="1" applyFill="1" applyBorder="1"/>
    <xf numFmtId="168" fontId="20" fillId="3" borderId="22" xfId="0" applyNumberFormat="1" applyFont="1" applyFill="1" applyBorder="1"/>
    <xf numFmtId="167" fontId="18" fillId="3" borderId="22" xfId="4" applyNumberFormat="1" applyFont="1" applyFill="1" applyBorder="1"/>
    <xf numFmtId="168" fontId="6" fillId="3" borderId="22" xfId="0" applyNumberFormat="1" applyFont="1" applyFill="1" applyBorder="1" applyAlignment="1">
      <alignment horizontal="right"/>
    </xf>
    <xf numFmtId="168" fontId="20" fillId="3" borderId="22" xfId="0" applyNumberFormat="1" applyFont="1" applyFill="1" applyBorder="1" applyAlignment="1">
      <alignment horizontal="right"/>
    </xf>
    <xf numFmtId="168" fontId="6" fillId="3" borderId="27" xfId="0" applyNumberFormat="1" applyFont="1" applyFill="1" applyBorder="1" applyAlignment="1">
      <alignment horizontal="right"/>
    </xf>
    <xf numFmtId="168" fontId="6" fillId="3" borderId="29" xfId="0" applyNumberFormat="1" applyFont="1" applyFill="1" applyBorder="1" applyAlignment="1">
      <alignment horizontal="right"/>
    </xf>
    <xf numFmtId="167" fontId="21" fillId="3" borderId="22" xfId="0" applyNumberFormat="1" applyFont="1" applyFill="1" applyBorder="1"/>
    <xf numFmtId="167" fontId="18" fillId="3" borderId="36" xfId="0" applyNumberFormat="1" applyFont="1" applyFill="1" applyBorder="1"/>
    <xf numFmtId="170" fontId="22" fillId="3" borderId="22" xfId="0" applyNumberFormat="1" applyFont="1" applyFill="1" applyBorder="1"/>
    <xf numFmtId="168" fontId="22" fillId="3" borderId="22" xfId="0" applyNumberFormat="1" applyFont="1" applyFill="1" applyBorder="1"/>
    <xf numFmtId="168" fontId="22" fillId="3" borderId="27" xfId="0" applyNumberFormat="1" applyFont="1" applyFill="1" applyBorder="1"/>
    <xf numFmtId="195" fontId="18" fillId="3" borderId="22" xfId="0" applyNumberFormat="1" applyFont="1" applyFill="1" applyBorder="1"/>
    <xf numFmtId="170" fontId="20" fillId="3" borderId="22" xfId="2" applyNumberFormat="1" applyFont="1" applyFill="1" applyBorder="1"/>
    <xf numFmtId="170" fontId="22" fillId="3" borderId="22" xfId="0" applyNumberFormat="1" applyFont="1" applyFill="1" applyBorder="1" applyAlignment="1">
      <alignment horizontal="right"/>
    </xf>
    <xf numFmtId="167" fontId="21" fillId="3" borderId="22" xfId="0" applyNumberFormat="1" applyFont="1" applyFill="1" applyBorder="1" applyAlignment="1">
      <alignment horizontal="right"/>
    </xf>
    <xf numFmtId="173" fontId="18" fillId="3" borderId="22" xfId="0" applyNumberFormat="1" applyFont="1" applyFill="1" applyBorder="1"/>
    <xf numFmtId="171" fontId="20" fillId="3" borderId="22" xfId="0" applyNumberFormat="1" applyFont="1" applyFill="1" applyBorder="1"/>
    <xf numFmtId="186" fontId="20" fillId="3" borderId="22" xfId="0" applyNumberFormat="1" applyFont="1" applyFill="1" applyBorder="1" applyAlignment="1">
      <alignment horizontal="right"/>
    </xf>
    <xf numFmtId="171" fontId="18" fillId="3" borderId="22" xfId="0" applyNumberFormat="1" applyFont="1" applyFill="1" applyBorder="1"/>
    <xf numFmtId="178" fontId="18" fillId="3" borderId="22" xfId="0" applyNumberFormat="1" applyFont="1" applyFill="1" applyBorder="1"/>
    <xf numFmtId="168" fontId="18" fillId="3" borderId="22" xfId="0" applyNumberFormat="1" applyFont="1" applyFill="1" applyBorder="1" applyAlignment="1">
      <alignment horizontal="right"/>
    </xf>
    <xf numFmtId="186" fontId="18" fillId="3" borderId="22" xfId="0" applyNumberFormat="1" applyFont="1" applyFill="1" applyBorder="1" applyAlignment="1">
      <alignment horizontal="right"/>
    </xf>
    <xf numFmtId="194" fontId="18" fillId="3" borderId="22" xfId="0" applyNumberFormat="1" applyFont="1" applyFill="1" applyBorder="1" applyAlignment="1">
      <alignment horizontal="right"/>
    </xf>
    <xf numFmtId="187" fontId="18" fillId="3" borderId="22" xfId="0" applyNumberFormat="1" applyFont="1" applyFill="1" applyBorder="1" applyAlignment="1">
      <alignment horizontal="right"/>
    </xf>
    <xf numFmtId="17" fontId="30" fillId="3" borderId="22" xfId="38" applyNumberFormat="1" applyFont="1" applyFill="1" applyBorder="1" applyAlignment="1">
      <alignment horizontal="center"/>
    </xf>
    <xf numFmtId="164" fontId="24" fillId="3" borderId="22" xfId="38" applyNumberFormat="1" applyFont="1" applyFill="1" applyBorder="1" applyAlignment="1">
      <alignment horizontal="center"/>
    </xf>
    <xf numFmtId="186" fontId="20" fillId="3" borderId="22" xfId="38" applyNumberFormat="1" applyFont="1" applyFill="1" applyBorder="1" applyAlignment="1">
      <alignment horizontal="right"/>
    </xf>
    <xf numFmtId="167" fontId="20" fillId="3" borderId="29" xfId="38" applyNumberFormat="1" applyFont="1" applyFill="1" applyBorder="1"/>
    <xf numFmtId="167" fontId="18" fillId="3" borderId="22" xfId="38" applyNumberFormat="1" applyFont="1" applyFill="1" applyBorder="1"/>
    <xf numFmtId="167" fontId="18" fillId="3" borderId="27" xfId="38" applyNumberFormat="1" applyFont="1" applyFill="1" applyBorder="1"/>
    <xf numFmtId="168" fontId="18" fillId="3" borderId="22" xfId="38" applyNumberFormat="1" applyFont="1" applyFill="1" applyBorder="1" applyAlignment="1">
      <alignment horizontal="right"/>
    </xf>
    <xf numFmtId="167" fontId="20" fillId="3" borderId="22" xfId="38" applyNumberFormat="1" applyFont="1" applyFill="1" applyBorder="1"/>
    <xf numFmtId="170" fontId="20" fillId="3" borderId="22" xfId="38" applyNumberFormat="1" applyFont="1" applyFill="1" applyBorder="1"/>
    <xf numFmtId="168" fontId="20" fillId="3" borderId="22" xfId="38" applyNumberFormat="1" applyFont="1" applyFill="1" applyBorder="1" applyAlignment="1">
      <alignment horizontal="center"/>
    </xf>
    <xf numFmtId="168" fontId="18" fillId="3" borderId="27" xfId="38" applyNumberFormat="1" applyFont="1" applyFill="1" applyBorder="1" applyAlignment="1">
      <alignment horizontal="right"/>
    </xf>
    <xf numFmtId="168" fontId="20" fillId="3" borderId="29" xfId="38" applyNumberFormat="1" applyFont="1" applyFill="1" applyBorder="1" applyAlignment="1">
      <alignment horizontal="right"/>
    </xf>
    <xf numFmtId="168" fontId="20" fillId="3" borderId="22" xfId="38" applyNumberFormat="1" applyFont="1" applyFill="1" applyBorder="1" applyAlignment="1">
      <alignment horizontal="right"/>
    </xf>
    <xf numFmtId="181" fontId="20" fillId="3" borderId="22" xfId="38" applyNumberFormat="1" applyFont="1" applyFill="1" applyBorder="1" applyAlignment="1">
      <alignment horizontal="right"/>
    </xf>
    <xf numFmtId="171" fontId="20" fillId="3" borderId="22" xfId="38" applyNumberFormat="1" applyFont="1" applyFill="1" applyBorder="1"/>
    <xf numFmtId="182" fontId="20" fillId="3" borderId="22" xfId="38" applyNumberFormat="1" applyFont="1" applyFill="1" applyBorder="1" applyAlignment="1">
      <alignment horizontal="right"/>
    </xf>
    <xf numFmtId="171" fontId="18" fillId="3" borderId="22" xfId="38" applyNumberFormat="1" applyFont="1" applyFill="1" applyBorder="1"/>
    <xf numFmtId="168" fontId="18" fillId="3" borderId="22" xfId="38" applyNumberFormat="1" applyFont="1" applyFill="1" applyBorder="1"/>
    <xf numFmtId="201" fontId="18" fillId="3" borderId="22" xfId="38" applyNumberFormat="1" applyFont="1" applyFill="1" applyBorder="1"/>
    <xf numFmtId="0" fontId="20" fillId="3" borderId="22" xfId="38" applyFont="1" applyFill="1" applyBorder="1" applyAlignment="1">
      <alignment horizontal="center"/>
    </xf>
    <xf numFmtId="17" fontId="18" fillId="3" borderId="22" xfId="38" applyNumberFormat="1" applyFont="1" applyFill="1" applyBorder="1" applyAlignment="1">
      <alignment horizontal="center"/>
    </xf>
    <xf numFmtId="167" fontId="18" fillId="3" borderId="36" xfId="38" applyNumberFormat="1" applyFont="1" applyFill="1" applyBorder="1"/>
    <xf numFmtId="200" fontId="18" fillId="3" borderId="22" xfId="38" applyNumberFormat="1" applyFont="1" applyFill="1" applyBorder="1"/>
    <xf numFmtId="200" fontId="20" fillId="3" borderId="22" xfId="38" applyNumberFormat="1" applyFont="1" applyFill="1" applyBorder="1"/>
    <xf numFmtId="167" fontId="20" fillId="3" borderId="36" xfId="38" applyNumberFormat="1" applyFont="1" applyFill="1" applyBorder="1"/>
    <xf numFmtId="197" fontId="17" fillId="3" borderId="22" xfId="0" applyNumberFormat="1" applyFont="1" applyFill="1" applyBorder="1"/>
    <xf numFmtId="200" fontId="0" fillId="3" borderId="22" xfId="0" applyNumberFormat="1" applyFill="1" applyBorder="1"/>
    <xf numFmtId="168" fontId="6" fillId="3" borderId="22" xfId="0" applyNumberFormat="1" applyFont="1" applyFill="1" applyBorder="1"/>
    <xf numFmtId="186" fontId="20" fillId="3" borderId="22" xfId="0" applyNumberFormat="1" applyFont="1" applyFill="1" applyBorder="1"/>
    <xf numFmtId="200" fontId="23" fillId="4" borderId="22" xfId="0" applyNumberFormat="1" applyFont="1" applyFill="1" applyBorder="1"/>
    <xf numFmtId="168" fontId="23" fillId="4" borderId="22" xfId="0" applyNumberFormat="1" applyFont="1" applyFill="1" applyBorder="1"/>
    <xf numFmtId="167" fontId="23" fillId="4" borderId="22" xfId="0" applyNumberFormat="1" applyFont="1" applyFill="1" applyBorder="1"/>
    <xf numFmtId="170" fontId="6" fillId="3" borderId="22" xfId="0" applyNumberFormat="1" applyFont="1" applyFill="1" applyBorder="1"/>
    <xf numFmtId="164" fontId="23" fillId="4" borderId="0" xfId="0" applyNumberFormat="1" applyFont="1" applyFill="1"/>
    <xf numFmtId="164" fontId="23" fillId="4" borderId="22" xfId="0" applyNumberFormat="1" applyFont="1" applyFill="1" applyBorder="1"/>
    <xf numFmtId="164" fontId="18" fillId="3" borderId="0" xfId="0" applyNumberFormat="1" applyFont="1" applyFill="1"/>
    <xf numFmtId="164" fontId="18" fillId="3" borderId="22" xfId="0" applyNumberFormat="1" applyFont="1" applyFill="1" applyBorder="1"/>
    <xf numFmtId="164" fontId="18" fillId="3" borderId="2" xfId="0" applyNumberFormat="1" applyFont="1" applyFill="1" applyBorder="1"/>
    <xf numFmtId="164" fontId="18" fillId="3" borderId="27" xfId="0" applyNumberFormat="1" applyFont="1" applyFill="1" applyBorder="1"/>
    <xf numFmtId="164" fontId="27" fillId="4" borderId="0" xfId="0" applyNumberFormat="1" applyFont="1" applyFill="1"/>
    <xf numFmtId="164" fontId="27" fillId="4" borderId="22" xfId="0" applyNumberFormat="1" applyFont="1" applyFill="1" applyBorder="1"/>
    <xf numFmtId="164" fontId="20" fillId="3" borderId="0" xfId="38" applyNumberFormat="1" applyFont="1" applyFill="1"/>
    <xf numFmtId="164" fontId="28" fillId="4" borderId="0" xfId="38" applyNumberFormat="1" applyFont="1" applyFill="1"/>
    <xf numFmtId="164" fontId="18" fillId="3" borderId="0" xfId="38" applyNumberFormat="1" applyFont="1" applyFill="1"/>
    <xf numFmtId="164" fontId="18" fillId="3" borderId="22" xfId="38" applyNumberFormat="1" applyFont="1" applyFill="1" applyBorder="1"/>
    <xf numFmtId="164" fontId="23" fillId="4" borderId="0" xfId="38" applyNumberFormat="1" applyFont="1" applyFill="1"/>
    <xf numFmtId="164" fontId="23" fillId="4" borderId="22" xfId="38" applyNumberFormat="1" applyFont="1" applyFill="1" applyBorder="1"/>
    <xf numFmtId="167" fontId="20" fillId="3" borderId="36" xfId="0" applyNumberFormat="1" applyFont="1" applyFill="1" applyBorder="1"/>
    <xf numFmtId="164" fontId="0" fillId="3" borderId="2" xfId="0" applyNumberFormat="1" applyFill="1" applyBorder="1"/>
    <xf numFmtId="164" fontId="20" fillId="3" borderId="7" xfId="0" applyNumberFormat="1" applyFont="1" applyFill="1" applyBorder="1"/>
    <xf numFmtId="164" fontId="6" fillId="3" borderId="7" xfId="0" applyNumberFormat="1" applyFont="1" applyFill="1" applyBorder="1"/>
    <xf numFmtId="164" fontId="20" fillId="3" borderId="29" xfId="0" applyNumberFormat="1" applyFont="1" applyFill="1" applyBorder="1"/>
    <xf numFmtId="164" fontId="20" fillId="3" borderId="9" xfId="0" applyNumberFormat="1" applyFont="1" applyFill="1" applyBorder="1"/>
    <xf numFmtId="164" fontId="6" fillId="3" borderId="9" xfId="0" applyNumberFormat="1" applyFont="1" applyFill="1" applyBorder="1"/>
    <xf numFmtId="164" fontId="20" fillId="3" borderId="36" xfId="0" applyNumberFormat="1" applyFont="1" applyFill="1" applyBorder="1"/>
    <xf numFmtId="164" fontId="20" fillId="3" borderId="0" xfId="0" applyNumberFormat="1" applyFont="1" applyFill="1"/>
    <xf numFmtId="164" fontId="20" fillId="3" borderId="22" xfId="0" applyNumberFormat="1" applyFont="1" applyFill="1" applyBorder="1"/>
    <xf numFmtId="164" fontId="43" fillId="4" borderId="0" xfId="0" applyNumberFormat="1" applyFont="1" applyFill="1"/>
    <xf numFmtId="164" fontId="22" fillId="3" borderId="7" xfId="0" applyNumberFormat="1" applyFont="1" applyFill="1" applyBorder="1"/>
    <xf numFmtId="164" fontId="22" fillId="3" borderId="29" xfId="0" applyNumberFormat="1" applyFont="1" applyFill="1" applyBorder="1"/>
    <xf numFmtId="164" fontId="0" fillId="3" borderId="22" xfId="0" applyNumberFormat="1" applyFill="1" applyBorder="1"/>
    <xf numFmtId="164" fontId="18" fillId="3" borderId="12" xfId="0" applyNumberFormat="1" applyFont="1" applyFill="1" applyBorder="1"/>
    <xf numFmtId="164" fontId="18" fillId="3" borderId="23" xfId="0" applyNumberFormat="1" applyFont="1" applyFill="1" applyBorder="1"/>
    <xf numFmtId="164" fontId="22" fillId="3" borderId="0" xfId="0" applyNumberFormat="1" applyFont="1" applyFill="1"/>
    <xf numFmtId="164" fontId="22" fillId="3" borderId="22" xfId="0" applyNumberFormat="1" applyFont="1" applyFill="1" applyBorder="1"/>
    <xf numFmtId="164" fontId="20" fillId="3" borderId="8" xfId="0" applyNumberFormat="1" applyFont="1" applyFill="1" applyBorder="1"/>
    <xf numFmtId="164" fontId="20" fillId="3" borderId="6" xfId="0" applyNumberFormat="1" applyFont="1" applyFill="1" applyBorder="1"/>
    <xf numFmtId="164" fontId="20" fillId="3" borderId="5" xfId="0" applyNumberFormat="1" applyFont="1" applyFill="1" applyBorder="1"/>
    <xf numFmtId="164" fontId="20" fillId="3" borderId="4" xfId="0" applyNumberFormat="1" applyFont="1" applyFill="1" applyBorder="1"/>
    <xf numFmtId="164" fontId="19" fillId="2" borderId="0" xfId="17" applyNumberFormat="1" applyFont="1" applyAlignment="1">
      <alignment horizontal="right"/>
    </xf>
    <xf numFmtId="164" fontId="19" fillId="2" borderId="22" xfId="17" applyNumberFormat="1" applyFont="1" applyBorder="1" applyAlignment="1">
      <alignment horizontal="right"/>
    </xf>
    <xf numFmtId="164" fontId="18" fillId="3" borderId="2" xfId="38" applyNumberFormat="1" applyFont="1" applyFill="1" applyBorder="1" applyAlignment="1">
      <alignment horizontal="right"/>
    </xf>
    <xf numFmtId="164" fontId="18" fillId="3" borderId="27" xfId="38" applyNumberFormat="1" applyFont="1" applyFill="1" applyBorder="1" applyAlignment="1">
      <alignment horizontal="right"/>
    </xf>
    <xf numFmtId="164" fontId="20" fillId="3" borderId="22" xfId="38" applyNumberFormat="1" applyFont="1" applyFill="1" applyBorder="1"/>
    <xf numFmtId="164" fontId="28" fillId="4" borderId="22" xfId="38" applyNumberFormat="1" applyFont="1" applyFill="1" applyBorder="1"/>
    <xf numFmtId="186" fontId="20" fillId="3" borderId="0" xfId="38" applyNumberFormat="1" applyFont="1" applyFill="1" applyAlignment="1">
      <alignment horizontal="left"/>
    </xf>
    <xf numFmtId="167" fontId="48" fillId="3" borderId="0" xfId="0" applyNumberFormat="1" applyFont="1" applyFill="1"/>
    <xf numFmtId="167" fontId="48" fillId="3" borderId="22" xfId="0" applyNumberFormat="1" applyFont="1" applyFill="1" applyBorder="1"/>
    <xf numFmtId="167" fontId="48" fillId="3" borderId="2" xfId="0" applyNumberFormat="1" applyFont="1" applyFill="1" applyBorder="1"/>
    <xf numFmtId="167" fontId="48" fillId="3" borderId="27" xfId="0" applyNumberFormat="1" applyFont="1" applyFill="1" applyBorder="1"/>
    <xf numFmtId="167" fontId="47" fillId="3" borderId="7" xfId="0" applyNumberFormat="1" applyFont="1" applyFill="1" applyBorder="1"/>
    <xf numFmtId="167" fontId="47" fillId="3" borderId="2" xfId="0" applyNumberFormat="1" applyFont="1" applyFill="1" applyBorder="1"/>
    <xf numFmtId="167" fontId="47" fillId="3" borderId="27" xfId="0" applyNumberFormat="1" applyFont="1" applyFill="1" applyBorder="1"/>
    <xf numFmtId="167" fontId="47" fillId="3" borderId="0" xfId="0" applyNumberFormat="1" applyFont="1" applyFill="1"/>
    <xf numFmtId="200" fontId="48" fillId="3" borderId="0" xfId="0" applyNumberFormat="1" applyFont="1" applyFill="1"/>
    <xf numFmtId="200" fontId="48" fillId="3" borderId="22" xfId="0" applyNumberFormat="1" applyFont="1" applyFill="1" applyBorder="1"/>
    <xf numFmtId="200" fontId="48" fillId="3" borderId="0" xfId="2" applyNumberFormat="1" applyFont="1" applyFill="1" applyAlignment="1">
      <alignment horizontal="right"/>
    </xf>
    <xf numFmtId="200" fontId="48" fillId="3" borderId="0" xfId="0" applyNumberFormat="1" applyFont="1" applyFill="1" applyAlignment="1">
      <alignment horizontal="right"/>
    </xf>
    <xf numFmtId="200" fontId="48" fillId="3" borderId="22" xfId="2" applyNumberFormat="1" applyFont="1" applyFill="1" applyBorder="1" applyAlignment="1">
      <alignment horizontal="right"/>
    </xf>
    <xf numFmtId="167" fontId="47" fillId="3" borderId="22" xfId="0" applyNumberFormat="1" applyFont="1" applyFill="1" applyBorder="1"/>
    <xf numFmtId="168" fontId="50" fillId="3" borderId="0" xfId="0" applyNumberFormat="1" applyFont="1" applyFill="1"/>
    <xf numFmtId="170" fontId="47" fillId="3" borderId="0" xfId="0" applyNumberFormat="1" applyFont="1" applyFill="1"/>
    <xf numFmtId="170" fontId="47" fillId="3" borderId="22" xfId="0" applyNumberFormat="1" applyFont="1" applyFill="1" applyBorder="1"/>
    <xf numFmtId="167" fontId="47" fillId="3" borderId="29" xfId="0" applyNumberFormat="1" applyFont="1" applyFill="1" applyBorder="1"/>
    <xf numFmtId="168" fontId="47" fillId="3" borderId="0" xfId="0" applyNumberFormat="1" applyFont="1" applyFill="1" applyAlignment="1">
      <alignment horizontal="right"/>
    </xf>
    <xf numFmtId="168" fontId="47" fillId="3" borderId="2" xfId="0" applyNumberFormat="1" applyFont="1" applyFill="1" applyBorder="1" applyAlignment="1">
      <alignment horizontal="right"/>
    </xf>
    <xf numFmtId="168" fontId="48" fillId="3" borderId="0" xfId="0" applyNumberFormat="1" applyFont="1" applyFill="1"/>
    <xf numFmtId="168" fontId="48" fillId="3" borderId="22" xfId="0" applyNumberFormat="1" applyFont="1" applyFill="1" applyBorder="1"/>
    <xf numFmtId="167" fontId="48" fillId="3" borderId="7" xfId="0" applyNumberFormat="1" applyFont="1" applyFill="1" applyBorder="1"/>
    <xf numFmtId="168" fontId="47" fillId="3" borderId="0" xfId="0" applyNumberFormat="1" applyFont="1" applyFill="1"/>
    <xf numFmtId="164" fontId="48" fillId="3" borderId="0" xfId="0" applyNumberFormat="1" applyFont="1" applyFill="1"/>
    <xf numFmtId="164" fontId="48" fillId="3" borderId="22" xfId="0" applyNumberFormat="1" applyFont="1" applyFill="1" applyBorder="1"/>
    <xf numFmtId="164" fontId="48" fillId="3" borderId="12" xfId="0" applyNumberFormat="1" applyFont="1" applyFill="1" applyBorder="1"/>
    <xf numFmtId="195" fontId="48" fillId="3" borderId="0" xfId="0" applyNumberFormat="1" applyFont="1" applyFill="1"/>
    <xf numFmtId="195" fontId="48" fillId="3" borderId="22" xfId="0" applyNumberFormat="1" applyFont="1" applyFill="1" applyBorder="1"/>
    <xf numFmtId="197" fontId="50" fillId="3" borderId="0" xfId="0" applyNumberFormat="1" applyFont="1" applyFill="1"/>
    <xf numFmtId="170" fontId="48" fillId="3" borderId="0" xfId="0" applyNumberFormat="1" applyFont="1" applyFill="1"/>
    <xf numFmtId="170" fontId="48" fillId="3" borderId="22" xfId="0" applyNumberFormat="1" applyFont="1" applyFill="1" applyBorder="1"/>
    <xf numFmtId="186" fontId="47" fillId="3" borderId="0" xfId="0" applyNumberFormat="1" applyFont="1" applyFill="1"/>
    <xf numFmtId="186" fontId="47" fillId="3" borderId="0" xfId="0" applyNumberFormat="1" applyFont="1" applyFill="1" applyAlignment="1">
      <alignment horizontal="left"/>
    </xf>
    <xf numFmtId="167" fontId="48" fillId="3" borderId="9" xfId="0" applyNumberFormat="1" applyFont="1" applyFill="1" applyBorder="1"/>
    <xf numFmtId="167" fontId="48" fillId="3" borderId="36" xfId="0" applyNumberFormat="1" applyFont="1" applyFill="1" applyBorder="1"/>
    <xf numFmtId="167" fontId="48" fillId="3" borderId="29" xfId="0" applyNumberFormat="1" applyFont="1" applyFill="1" applyBorder="1"/>
    <xf numFmtId="167" fontId="51" fillId="3" borderId="4" xfId="20" applyNumberFormat="1" applyFont="1" applyFill="1" applyBorder="1"/>
    <xf numFmtId="167" fontId="51" fillId="3" borderId="1" xfId="20" applyNumberFormat="1" applyFont="1" applyFill="1" applyBorder="1"/>
    <xf numFmtId="198" fontId="47" fillId="3" borderId="0" xfId="0" applyNumberFormat="1" applyFont="1" applyFill="1" applyAlignment="1">
      <alignment horizontal="right"/>
    </xf>
    <xf numFmtId="198" fontId="47" fillId="3" borderId="22" xfId="0" applyNumberFormat="1" applyFont="1" applyFill="1" applyBorder="1" applyAlignment="1">
      <alignment horizontal="right"/>
    </xf>
    <xf numFmtId="186" fontId="51" fillId="3" borderId="0" xfId="20" applyNumberFormat="1" applyFont="1" applyFill="1"/>
    <xf numFmtId="186" fontId="48" fillId="3" borderId="0" xfId="0" applyNumberFormat="1" applyFont="1" applyFill="1"/>
    <xf numFmtId="186" fontId="48" fillId="3" borderId="22" xfId="0" applyNumberFormat="1" applyFont="1" applyFill="1" applyBorder="1"/>
    <xf numFmtId="187" fontId="51" fillId="3" borderId="0" xfId="20" applyNumberFormat="1" applyFont="1" applyFill="1"/>
    <xf numFmtId="187" fontId="48" fillId="3" borderId="0" xfId="0" applyNumberFormat="1" applyFont="1" applyFill="1"/>
    <xf numFmtId="187" fontId="48" fillId="3" borderId="22" xfId="0" applyNumberFormat="1" applyFont="1" applyFill="1" applyBorder="1"/>
    <xf numFmtId="194" fontId="51" fillId="3" borderId="0" xfId="20" applyNumberFormat="1" applyFont="1" applyFill="1"/>
    <xf numFmtId="194" fontId="48" fillId="3" borderId="0" xfId="0" applyNumberFormat="1" applyFont="1" applyFill="1"/>
    <xf numFmtId="194" fontId="48" fillId="3" borderId="22" xfId="0" applyNumberFormat="1" applyFont="1" applyFill="1" applyBorder="1"/>
    <xf numFmtId="1" fontId="6" fillId="5" borderId="0" xfId="0" applyNumberFormat="1" applyFont="1" applyFill="1" applyAlignment="1">
      <alignment horizontal="center"/>
    </xf>
    <xf numFmtId="1" fontId="20" fillId="5" borderId="0" xfId="0" applyNumberFormat="1" applyFont="1" applyFill="1" applyAlignment="1">
      <alignment horizontal="center"/>
    </xf>
    <xf numFmtId="17" fontId="48" fillId="5" borderId="0" xfId="0" applyNumberFormat="1" applyFont="1" applyFill="1" applyAlignment="1">
      <alignment horizontal="center"/>
    </xf>
    <xf numFmtId="17" fontId="19" fillId="5" borderId="0" xfId="0" applyNumberFormat="1" applyFont="1" applyFill="1" applyAlignment="1">
      <alignment horizontal="center"/>
    </xf>
    <xf numFmtId="17" fontId="7" fillId="5" borderId="0" xfId="0" applyNumberFormat="1" applyFont="1" applyFill="1" applyAlignment="1">
      <alignment horizontal="center"/>
    </xf>
    <xf numFmtId="0" fontId="47" fillId="5" borderId="0" xfId="0" applyFont="1" applyFill="1" applyAlignment="1">
      <alignment horizontal="center"/>
    </xf>
    <xf numFmtId="0" fontId="24" fillId="5" borderId="0" xfId="0" applyFont="1" applyFill="1" applyAlignment="1">
      <alignment horizontal="center"/>
    </xf>
    <xf numFmtId="0" fontId="5" fillId="5" borderId="0" xfId="0" applyFont="1" applyFill="1" applyAlignment="1">
      <alignment horizontal="center"/>
    </xf>
    <xf numFmtId="167" fontId="18" fillId="5" borderId="0" xfId="0" applyNumberFormat="1" applyFont="1" applyFill="1"/>
    <xf numFmtId="167" fontId="18" fillId="5" borderId="2" xfId="0" applyNumberFormat="1" applyFont="1" applyFill="1" applyBorder="1"/>
    <xf numFmtId="167" fontId="20" fillId="5" borderId="7" xfId="0" applyNumberFormat="1" applyFont="1" applyFill="1" applyBorder="1"/>
    <xf numFmtId="167" fontId="6" fillId="5" borderId="7" xfId="0" applyNumberFormat="1" applyFont="1" applyFill="1" applyBorder="1"/>
    <xf numFmtId="167" fontId="20" fillId="5" borderId="0" xfId="0" applyNumberFormat="1" applyFont="1" applyFill="1"/>
    <xf numFmtId="167" fontId="6" fillId="5" borderId="0" xfId="0" applyNumberFormat="1" applyFont="1" applyFill="1"/>
    <xf numFmtId="167" fontId="48" fillId="5" borderId="0" xfId="0" applyNumberFormat="1" applyFont="1" applyFill="1"/>
    <xf numFmtId="167" fontId="48" fillId="5" borderId="2" xfId="0" applyNumberFormat="1" applyFont="1" applyFill="1" applyBorder="1"/>
    <xf numFmtId="167" fontId="47" fillId="5" borderId="7" xfId="0" applyNumberFormat="1" applyFont="1" applyFill="1" applyBorder="1"/>
    <xf numFmtId="167" fontId="47" fillId="5" borderId="2" xfId="0" applyNumberFormat="1" applyFont="1" applyFill="1" applyBorder="1"/>
    <xf numFmtId="167" fontId="20" fillId="5" borderId="2" xfId="0" applyNumberFormat="1" applyFont="1" applyFill="1" applyBorder="1"/>
    <xf numFmtId="167" fontId="20" fillId="5" borderId="9" xfId="0" applyNumberFormat="1" applyFont="1" applyFill="1" applyBorder="1"/>
    <xf numFmtId="167" fontId="6" fillId="5" borderId="9" xfId="0" applyNumberFormat="1" applyFont="1" applyFill="1" applyBorder="1"/>
    <xf numFmtId="167" fontId="22" fillId="5" borderId="0" xfId="0" applyNumberFormat="1" applyFont="1" applyFill="1"/>
    <xf numFmtId="167" fontId="22" fillId="5" borderId="0" xfId="0" applyNumberFormat="1" applyFont="1" applyFill="1" applyAlignment="1">
      <alignment horizontal="right"/>
    </xf>
    <xf numFmtId="167" fontId="22" fillId="5" borderId="0" xfId="0" applyNumberFormat="1" applyFont="1" applyFill="1" applyAlignment="1">
      <alignment horizontal="center"/>
    </xf>
    <xf numFmtId="164" fontId="18" fillId="5" borderId="0" xfId="0" applyNumberFormat="1" applyFont="1" applyFill="1"/>
    <xf numFmtId="164" fontId="0" fillId="5" borderId="0" xfId="0" applyNumberFormat="1" applyFill="1"/>
    <xf numFmtId="164" fontId="18" fillId="5" borderId="2" xfId="0" applyNumberFormat="1" applyFont="1" applyFill="1" applyBorder="1"/>
    <xf numFmtId="164" fontId="0" fillId="5" borderId="2" xfId="0" applyNumberFormat="1" applyFill="1" applyBorder="1"/>
    <xf numFmtId="164" fontId="20" fillId="5" borderId="7" xfId="0" applyNumberFormat="1" applyFont="1" applyFill="1" applyBorder="1"/>
    <xf numFmtId="164" fontId="6" fillId="5" borderId="7" xfId="0" applyNumberFormat="1" applyFont="1" applyFill="1" applyBorder="1"/>
    <xf numFmtId="164" fontId="20" fillId="5" borderId="9" xfId="0" applyNumberFormat="1" applyFont="1" applyFill="1" applyBorder="1"/>
    <xf numFmtId="164" fontId="6" fillId="5" borderId="9" xfId="0" applyNumberFormat="1" applyFont="1" applyFill="1" applyBorder="1"/>
    <xf numFmtId="177" fontId="22" fillId="5" borderId="0" xfId="0" applyNumberFormat="1" applyFont="1" applyFill="1"/>
    <xf numFmtId="177" fontId="17" fillId="5" borderId="0" xfId="0" applyNumberFormat="1" applyFont="1" applyFill="1"/>
    <xf numFmtId="168" fontId="18" fillId="5" borderId="2" xfId="0" applyNumberFormat="1" applyFont="1" applyFill="1" applyBorder="1"/>
    <xf numFmtId="168" fontId="0" fillId="5" borderId="2" xfId="0" applyNumberFormat="1" applyFill="1" applyBorder="1"/>
    <xf numFmtId="168" fontId="20" fillId="5" borderId="9" xfId="0" applyNumberFormat="1" applyFont="1" applyFill="1" applyBorder="1"/>
    <xf numFmtId="168" fontId="6" fillId="5" borderId="9" xfId="0" applyNumberFormat="1" applyFont="1" applyFill="1" applyBorder="1"/>
    <xf numFmtId="167" fontId="47" fillId="5" borderId="0" xfId="0" applyNumberFormat="1" applyFont="1" applyFill="1"/>
    <xf numFmtId="167" fontId="0" fillId="5" borderId="0" xfId="0" applyNumberFormat="1" applyFill="1"/>
    <xf numFmtId="200" fontId="0" fillId="5" borderId="0" xfId="0" applyNumberFormat="1" applyFill="1"/>
    <xf numFmtId="200" fontId="18" fillId="5" borderId="0" xfId="0" applyNumberFormat="1" applyFont="1" applyFill="1"/>
    <xf numFmtId="44" fontId="0" fillId="5" borderId="0" xfId="0" applyNumberFormat="1" applyFill="1"/>
    <xf numFmtId="44" fontId="18" fillId="5" borderId="0" xfId="0" applyNumberFormat="1" applyFont="1" applyFill="1"/>
    <xf numFmtId="170" fontId="18" fillId="5" borderId="0" xfId="0" applyNumberFormat="1" applyFont="1" applyFill="1"/>
    <xf numFmtId="200" fontId="48" fillId="5" borderId="0" xfId="0" applyNumberFormat="1" applyFont="1" applyFill="1"/>
    <xf numFmtId="200" fontId="48" fillId="5" borderId="0" xfId="2" applyNumberFormat="1" applyFont="1" applyFill="1" applyAlignment="1">
      <alignment horizontal="right"/>
    </xf>
    <xf numFmtId="200" fontId="48" fillId="5" borderId="0" xfId="0" applyNumberFormat="1" applyFont="1" applyFill="1" applyAlignment="1">
      <alignment horizontal="right"/>
    </xf>
    <xf numFmtId="200" fontId="18" fillId="5" borderId="0" xfId="0" applyNumberFormat="1" applyFont="1" applyFill="1" applyAlignment="1">
      <alignment horizontal="right"/>
    </xf>
    <xf numFmtId="200" fontId="20" fillId="5" borderId="0" xfId="2" applyNumberFormat="1" applyFont="1" applyFill="1" applyAlignment="1">
      <alignment horizontal="right"/>
    </xf>
    <xf numFmtId="200" fontId="0" fillId="5" borderId="0" xfId="0" applyNumberFormat="1" applyFill="1" applyAlignment="1">
      <alignment horizontal="right"/>
    </xf>
    <xf numFmtId="170" fontId="18" fillId="5" borderId="0" xfId="0" applyNumberFormat="1" applyFont="1" applyFill="1" applyAlignment="1">
      <alignment horizontal="right"/>
    </xf>
    <xf numFmtId="167" fontId="18" fillId="5" borderId="0" xfId="0" applyNumberFormat="1" applyFont="1" applyFill="1" applyAlignment="1">
      <alignment horizontal="right"/>
    </xf>
    <xf numFmtId="167" fontId="48" fillId="5" borderId="0" xfId="0" applyNumberFormat="1" applyFont="1" applyFill="1" applyAlignment="1">
      <alignment horizontal="right"/>
    </xf>
    <xf numFmtId="167" fontId="20" fillId="5" borderId="7" xfId="0" applyNumberFormat="1" applyFont="1" applyFill="1" applyBorder="1" applyAlignment="1">
      <alignment horizontal="right"/>
    </xf>
    <xf numFmtId="167" fontId="18" fillId="5" borderId="7" xfId="0" applyNumberFormat="1" applyFont="1" applyFill="1" applyBorder="1" applyAlignment="1">
      <alignment horizontal="right"/>
    </xf>
    <xf numFmtId="167" fontId="48" fillId="5" borderId="2" xfId="0" applyNumberFormat="1" applyFont="1" applyFill="1" applyBorder="1" applyAlignment="1">
      <alignment horizontal="right"/>
    </xf>
    <xf numFmtId="167" fontId="18" fillId="5" borderId="2" xfId="0" applyNumberFormat="1" applyFont="1" applyFill="1" applyBorder="1" applyAlignment="1">
      <alignment horizontal="right"/>
    </xf>
    <xf numFmtId="167" fontId="20" fillId="5" borderId="0" xfId="0" applyNumberFormat="1" applyFont="1" applyFill="1" applyAlignment="1">
      <alignment horizontal="right"/>
    </xf>
    <xf numFmtId="164" fontId="20" fillId="5" borderId="0" xfId="0" applyNumberFormat="1" applyFont="1" applyFill="1"/>
    <xf numFmtId="168" fontId="22" fillId="5" borderId="0" xfId="0" applyNumberFormat="1" applyFont="1" applyFill="1"/>
    <xf numFmtId="168" fontId="17" fillId="5" borderId="0" xfId="0" applyNumberFormat="1" applyFont="1" applyFill="1"/>
    <xf numFmtId="168" fontId="50" fillId="5" borderId="0" xfId="0" applyNumberFormat="1" applyFont="1" applyFill="1"/>
    <xf numFmtId="170" fontId="20" fillId="5" borderId="0" xfId="0" applyNumberFormat="1" applyFont="1" applyFill="1"/>
    <xf numFmtId="170" fontId="47" fillId="5" borderId="0" xfId="0" applyNumberFormat="1" applyFont="1" applyFill="1"/>
    <xf numFmtId="170" fontId="6" fillId="5" borderId="0" xfId="0" applyNumberFormat="1" applyFont="1" applyFill="1"/>
    <xf numFmtId="167" fontId="0" fillId="5" borderId="2" xfId="0" applyNumberFormat="1" applyFill="1" applyBorder="1"/>
    <xf numFmtId="168" fontId="18" fillId="5" borderId="0" xfId="0" applyNumberFormat="1" applyFont="1" applyFill="1"/>
    <xf numFmtId="168" fontId="48" fillId="5" borderId="0" xfId="0" applyNumberFormat="1" applyFont="1" applyFill="1"/>
    <xf numFmtId="168" fontId="20" fillId="5" borderId="7" xfId="0" applyNumberFormat="1" applyFont="1" applyFill="1" applyBorder="1"/>
    <xf numFmtId="168" fontId="47" fillId="5" borderId="7" xfId="0" applyNumberFormat="1" applyFont="1" applyFill="1" applyBorder="1"/>
    <xf numFmtId="168" fontId="6" fillId="5" borderId="0" xfId="0" applyNumberFormat="1" applyFont="1" applyFill="1"/>
    <xf numFmtId="168" fontId="20" fillId="5" borderId="0" xfId="0" applyNumberFormat="1" applyFont="1" applyFill="1"/>
    <xf numFmtId="167" fontId="18" fillId="5" borderId="7" xfId="0" applyNumberFormat="1" applyFont="1" applyFill="1" applyBorder="1"/>
    <xf numFmtId="167" fontId="48" fillId="5" borderId="7" xfId="0" applyNumberFormat="1" applyFont="1" applyFill="1" applyBorder="1"/>
    <xf numFmtId="167" fontId="0" fillId="5" borderId="7" xfId="0" applyNumberFormat="1" applyFill="1" applyBorder="1"/>
    <xf numFmtId="167" fontId="48" fillId="5" borderId="0" xfId="4" applyNumberFormat="1" applyFont="1" applyFill="1" applyBorder="1"/>
    <xf numFmtId="167" fontId="18" fillId="5" borderId="0" xfId="4" applyNumberFormat="1" applyFont="1" applyFill="1" applyBorder="1"/>
    <xf numFmtId="167" fontId="18" fillId="5" borderId="0" xfId="4" applyNumberFormat="1" applyFont="1" applyFill="1"/>
    <xf numFmtId="168" fontId="20" fillId="5" borderId="0" xfId="0" applyNumberFormat="1" applyFont="1" applyFill="1" applyAlignment="1">
      <alignment horizontal="right"/>
    </xf>
    <xf numFmtId="168" fontId="6" fillId="5" borderId="0" xfId="0" applyNumberFormat="1" applyFont="1" applyFill="1" applyAlignment="1">
      <alignment horizontal="right"/>
    </xf>
    <xf numFmtId="168" fontId="47" fillId="5" borderId="0" xfId="0" applyNumberFormat="1" applyFont="1" applyFill="1" applyAlignment="1">
      <alignment horizontal="right"/>
    </xf>
    <xf numFmtId="168" fontId="20" fillId="5" borderId="2" xfId="0" applyNumberFormat="1" applyFont="1" applyFill="1" applyBorder="1" applyAlignment="1">
      <alignment horizontal="right"/>
    </xf>
    <xf numFmtId="168" fontId="6" fillId="5" borderId="2" xfId="0" applyNumberFormat="1" applyFont="1" applyFill="1" applyBorder="1" applyAlignment="1">
      <alignment horizontal="right"/>
    </xf>
    <xf numFmtId="168" fontId="47" fillId="5" borderId="2" xfId="0" applyNumberFormat="1" applyFont="1" applyFill="1" applyBorder="1" applyAlignment="1">
      <alignment horizontal="right"/>
    </xf>
    <xf numFmtId="168" fontId="20" fillId="5" borderId="7" xfId="0" applyNumberFormat="1" applyFont="1" applyFill="1" applyBorder="1" applyAlignment="1">
      <alignment horizontal="right"/>
    </xf>
    <xf numFmtId="168" fontId="6" fillId="5" borderId="7" xfId="0" applyNumberFormat="1" applyFont="1" applyFill="1" applyBorder="1" applyAlignment="1">
      <alignment horizontal="right"/>
    </xf>
    <xf numFmtId="167" fontId="18" fillId="5" borderId="9" xfId="0" applyNumberFormat="1" applyFont="1" applyFill="1" applyBorder="1"/>
    <xf numFmtId="164" fontId="22" fillId="5" borderId="7" xfId="0" applyNumberFormat="1" applyFont="1" applyFill="1" applyBorder="1"/>
    <xf numFmtId="168" fontId="47" fillId="5" borderId="0" xfId="0" applyNumberFormat="1" applyFont="1" applyFill="1"/>
    <xf numFmtId="170" fontId="22" fillId="5" borderId="0" xfId="0" applyNumberFormat="1" applyFont="1" applyFill="1"/>
    <xf numFmtId="170" fontId="22" fillId="5" borderId="0" xfId="0" applyNumberFormat="1" applyFont="1" applyFill="1" applyAlignment="1">
      <alignment horizontal="right"/>
    </xf>
    <xf numFmtId="164" fontId="48" fillId="5" borderId="0" xfId="0" applyNumberFormat="1" applyFont="1" applyFill="1"/>
    <xf numFmtId="164" fontId="48" fillId="5" borderId="12" xfId="0" applyNumberFormat="1" applyFont="1" applyFill="1" applyBorder="1"/>
    <xf numFmtId="164" fontId="18" fillId="5" borderId="12" xfId="0" applyNumberFormat="1" applyFont="1" applyFill="1" applyBorder="1"/>
    <xf numFmtId="164" fontId="48" fillId="5" borderId="11" xfId="0" applyNumberFormat="1" applyFont="1" applyFill="1" applyBorder="1"/>
    <xf numFmtId="168" fontId="22" fillId="5" borderId="2" xfId="0" applyNumberFormat="1" applyFont="1" applyFill="1" applyBorder="1"/>
    <xf numFmtId="195" fontId="48" fillId="5" borderId="0" xfId="0" applyNumberFormat="1" applyFont="1" applyFill="1"/>
    <xf numFmtId="195" fontId="18" fillId="5" borderId="0" xfId="0" applyNumberFormat="1" applyFont="1" applyFill="1"/>
    <xf numFmtId="197" fontId="22" fillId="5" borderId="0" xfId="0" applyNumberFormat="1" applyFont="1" applyFill="1"/>
    <xf numFmtId="197" fontId="50" fillId="5" borderId="0" xfId="0" applyNumberFormat="1" applyFont="1" applyFill="1"/>
    <xf numFmtId="170" fontId="20" fillId="5" borderId="0" xfId="2" applyNumberFormat="1" applyFont="1" applyFill="1" applyAlignment="1">
      <alignment horizontal="right" indent="1"/>
    </xf>
    <xf numFmtId="170" fontId="20" fillId="5" borderId="0" xfId="2" applyNumberFormat="1" applyFont="1" applyFill="1"/>
    <xf numFmtId="170" fontId="6" fillId="5" borderId="0" xfId="2" applyNumberFormat="1" applyFont="1" applyFill="1"/>
    <xf numFmtId="170" fontId="48" fillId="5" borderId="0" xfId="0" applyNumberFormat="1" applyFont="1" applyFill="1"/>
    <xf numFmtId="170" fontId="0" fillId="5" borderId="0" xfId="0" applyNumberFormat="1" applyFill="1"/>
    <xf numFmtId="173" fontId="18" fillId="5" borderId="0" xfId="0" applyNumberFormat="1" applyFont="1" applyFill="1"/>
    <xf numFmtId="186" fontId="20" fillId="5" borderId="0" xfId="0" applyNumberFormat="1" applyFont="1" applyFill="1"/>
    <xf numFmtId="186" fontId="47" fillId="5" borderId="0" xfId="0" applyNumberFormat="1" applyFont="1" applyFill="1"/>
    <xf numFmtId="164" fontId="22" fillId="5" borderId="0" xfId="0" applyNumberFormat="1" applyFont="1" applyFill="1"/>
    <xf numFmtId="167" fontId="18" fillId="5" borderId="12" xfId="0" applyNumberFormat="1" applyFont="1" applyFill="1" applyBorder="1"/>
    <xf numFmtId="171" fontId="6" fillId="5" borderId="0" xfId="0" applyNumberFormat="1" applyFont="1" applyFill="1" applyAlignment="1">
      <alignment horizontal="right"/>
    </xf>
    <xf numFmtId="171" fontId="20" fillId="5" borderId="0" xfId="0" applyNumberFormat="1" applyFont="1" applyFill="1" applyAlignment="1">
      <alignment horizontal="right"/>
    </xf>
    <xf numFmtId="0" fontId="18" fillId="5" borderId="0" xfId="0" applyFont="1" applyFill="1"/>
    <xf numFmtId="186" fontId="6" fillId="5" borderId="0" xfId="0" applyNumberFormat="1" applyFont="1" applyFill="1" applyAlignment="1">
      <alignment horizontal="right"/>
    </xf>
    <xf numFmtId="186" fontId="6" fillId="5" borderId="0" xfId="0" applyNumberFormat="1" applyFont="1" applyFill="1"/>
    <xf numFmtId="171" fontId="18" fillId="5" borderId="0" xfId="0" applyNumberFormat="1" applyFont="1" applyFill="1" applyAlignment="1">
      <alignment horizontal="right"/>
    </xf>
    <xf numFmtId="171" fontId="0" fillId="5" borderId="0" xfId="0" applyNumberFormat="1" applyFill="1" applyAlignment="1">
      <alignment horizontal="right"/>
    </xf>
    <xf numFmtId="178" fontId="0" fillId="5" borderId="0" xfId="0" applyNumberFormat="1" applyFill="1" applyAlignment="1">
      <alignment horizontal="right"/>
    </xf>
    <xf numFmtId="178" fontId="18" fillId="5" borderId="0" xfId="0" applyNumberFormat="1" applyFont="1" applyFill="1" applyAlignment="1">
      <alignment horizontal="right"/>
    </xf>
    <xf numFmtId="168" fontId="0" fillId="5" borderId="0" xfId="0" applyNumberFormat="1" applyFill="1" applyAlignment="1">
      <alignment horizontal="right"/>
    </xf>
    <xf numFmtId="168" fontId="18" fillId="5" borderId="0" xfId="0" applyNumberFormat="1" applyFont="1" applyFill="1" applyAlignment="1">
      <alignment horizontal="right"/>
    </xf>
    <xf numFmtId="186" fontId="0" fillId="5" borderId="0" xfId="0" applyNumberFormat="1" applyFill="1" applyAlignment="1">
      <alignment horizontal="right"/>
    </xf>
    <xf numFmtId="186" fontId="0" fillId="5" borderId="0" xfId="0" applyNumberFormat="1" applyFill="1"/>
    <xf numFmtId="186" fontId="18" fillId="5" borderId="0" xfId="0" applyNumberFormat="1" applyFont="1" applyFill="1"/>
    <xf numFmtId="194" fontId="0" fillId="5" borderId="0" xfId="0" applyNumberFormat="1" applyFill="1" applyAlignment="1">
      <alignment horizontal="right"/>
    </xf>
    <xf numFmtId="194" fontId="0" fillId="5" borderId="0" xfId="0" applyNumberFormat="1" applyFill="1"/>
    <xf numFmtId="194" fontId="18" fillId="5" borderId="0" xfId="0" applyNumberFormat="1" applyFont="1" applyFill="1"/>
    <xf numFmtId="187" fontId="0" fillId="5" borderId="0" xfId="0" applyNumberFormat="1" applyFill="1" applyAlignment="1">
      <alignment horizontal="right"/>
    </xf>
    <xf numFmtId="187" fontId="0" fillId="5" borderId="0" xfId="0" applyNumberFormat="1" applyFill="1"/>
    <xf numFmtId="187" fontId="18" fillId="5" borderId="0" xfId="0" applyNumberFormat="1" applyFont="1" applyFill="1"/>
    <xf numFmtId="167" fontId="48" fillId="5" borderId="9" xfId="0" applyNumberFormat="1" applyFont="1" applyFill="1" applyBorder="1"/>
    <xf numFmtId="17" fontId="29" fillId="5" borderId="0" xfId="38" applyNumberFormat="1" applyFont="1" applyFill="1" applyAlignment="1">
      <alignment horizontal="center"/>
    </xf>
    <xf numFmtId="17" fontId="30" fillId="5" borderId="0" xfId="38" applyNumberFormat="1" applyFont="1" applyFill="1" applyAlignment="1">
      <alignment horizontal="center"/>
    </xf>
    <xf numFmtId="164" fontId="20" fillId="5" borderId="0" xfId="38" applyNumberFormat="1" applyFont="1" applyFill="1" applyAlignment="1">
      <alignment horizontal="center"/>
    </xf>
    <xf numFmtId="164" fontId="24" fillId="5" borderId="0" xfId="38" applyNumberFormat="1" applyFont="1" applyFill="1" applyAlignment="1">
      <alignment horizontal="center"/>
    </xf>
    <xf numFmtId="186" fontId="20" fillId="5" borderId="0" xfId="38" applyNumberFormat="1" applyFont="1" applyFill="1" applyAlignment="1">
      <alignment horizontal="right"/>
    </xf>
    <xf numFmtId="186" fontId="20" fillId="5" borderId="0" xfId="38" applyNumberFormat="1" applyFont="1" applyFill="1"/>
    <xf numFmtId="164" fontId="18" fillId="5" borderId="2" xfId="38" applyNumberFormat="1" applyFont="1" applyFill="1" applyBorder="1" applyAlignment="1">
      <alignment horizontal="right"/>
    </xf>
    <xf numFmtId="164" fontId="18" fillId="5" borderId="2" xfId="38" applyNumberFormat="1" applyFont="1" applyFill="1" applyBorder="1"/>
    <xf numFmtId="167" fontId="20" fillId="5" borderId="7" xfId="38" applyNumberFormat="1" applyFont="1" applyFill="1" applyBorder="1"/>
    <xf numFmtId="167" fontId="18" fillId="5" borderId="2" xfId="38" applyNumberFormat="1" applyFont="1" applyFill="1" applyBorder="1"/>
    <xf numFmtId="164" fontId="20" fillId="5" borderId="0" xfId="38" applyNumberFormat="1" applyFont="1" applyFill="1"/>
    <xf numFmtId="168" fontId="18" fillId="5" borderId="0" xfId="38" applyNumberFormat="1" applyFont="1" applyFill="1" applyAlignment="1">
      <alignment horizontal="right"/>
    </xf>
    <xf numFmtId="167" fontId="20" fillId="5" borderId="0" xfId="38" applyNumberFormat="1" applyFont="1" applyFill="1"/>
    <xf numFmtId="170" fontId="20" fillId="5" borderId="0" xfId="38" applyNumberFormat="1" applyFont="1" applyFill="1"/>
    <xf numFmtId="164" fontId="18" fillId="5" borderId="0" xfId="38" applyNumberFormat="1" applyFont="1" applyFill="1"/>
    <xf numFmtId="168" fontId="18" fillId="5" borderId="2" xfId="38" applyNumberFormat="1" applyFont="1" applyFill="1" applyBorder="1" applyAlignment="1">
      <alignment horizontal="right"/>
    </xf>
    <xf numFmtId="168" fontId="18" fillId="5" borderId="2" xfId="38" applyNumberFormat="1" applyFont="1" applyFill="1" applyBorder="1"/>
    <xf numFmtId="168" fontId="20" fillId="5" borderId="7" xfId="38" applyNumberFormat="1" applyFont="1" applyFill="1" applyBorder="1" applyAlignment="1">
      <alignment horizontal="right"/>
    </xf>
    <xf numFmtId="168" fontId="20" fillId="5" borderId="0" xfId="38" applyNumberFormat="1" applyFont="1" applyFill="1" applyAlignment="1">
      <alignment horizontal="right"/>
    </xf>
    <xf numFmtId="181" fontId="20" fillId="5" borderId="0" xfId="38" applyNumberFormat="1" applyFont="1" applyFill="1" applyAlignment="1">
      <alignment horizontal="right"/>
    </xf>
    <xf numFmtId="171" fontId="20" fillId="5" borderId="0" xfId="38" applyNumberFormat="1" applyFont="1" applyFill="1" applyAlignment="1">
      <alignment horizontal="right"/>
    </xf>
    <xf numFmtId="182" fontId="20" fillId="5" borderId="0" xfId="38" applyNumberFormat="1" applyFont="1" applyFill="1" applyAlignment="1">
      <alignment horizontal="right"/>
    </xf>
    <xf numFmtId="171" fontId="18" fillId="5" borderId="0" xfId="38" applyNumberFormat="1" applyFont="1" applyFill="1" applyAlignment="1">
      <alignment horizontal="right"/>
    </xf>
    <xf numFmtId="0" fontId="49" fillId="3" borderId="0" xfId="38" applyFont="1" applyFill="1" applyAlignment="1">
      <alignment horizontal="center"/>
    </xf>
    <xf numFmtId="0" fontId="49" fillId="3" borderId="22" xfId="38" applyFont="1" applyFill="1" applyBorder="1" applyAlignment="1">
      <alignment horizontal="center"/>
    </xf>
    <xf numFmtId="0" fontId="6" fillId="5" borderId="0" xfId="38" applyFont="1" applyFill="1" applyAlignment="1">
      <alignment horizontal="center"/>
    </xf>
    <xf numFmtId="0" fontId="20" fillId="5" borderId="0" xfId="38" applyFont="1" applyFill="1" applyAlignment="1">
      <alignment horizontal="center"/>
    </xf>
    <xf numFmtId="17" fontId="52" fillId="5" borderId="0" xfId="38" applyNumberFormat="1" applyFill="1" applyAlignment="1">
      <alignment horizontal="center"/>
    </xf>
    <xf numFmtId="17" fontId="18" fillId="5" borderId="0" xfId="38" applyNumberFormat="1" applyFont="1" applyFill="1" applyAlignment="1">
      <alignment horizontal="center"/>
    </xf>
    <xf numFmtId="0" fontId="49" fillId="5" borderId="0" xfId="38" applyFont="1" applyFill="1" applyAlignment="1">
      <alignment horizontal="center"/>
    </xf>
    <xf numFmtId="167" fontId="48" fillId="5" borderId="0" xfId="38" applyNumberFormat="1" applyFont="1" applyFill="1"/>
    <xf numFmtId="167" fontId="48" fillId="5" borderId="2" xfId="38" applyNumberFormat="1" applyFont="1" applyFill="1" applyBorder="1"/>
    <xf numFmtId="167" fontId="18" fillId="5" borderId="9" xfId="38" applyNumberFormat="1" applyFont="1" applyFill="1" applyBorder="1"/>
    <xf numFmtId="200" fontId="18" fillId="5" borderId="0" xfId="38" applyNumberFormat="1" applyFont="1" applyFill="1"/>
    <xf numFmtId="200" fontId="48" fillId="5" borderId="0" xfId="38" applyNumberFormat="1" applyFont="1" applyFill="1"/>
    <xf numFmtId="200" fontId="20" fillId="5" borderId="0" xfId="38" applyNumberFormat="1" applyFont="1" applyFill="1"/>
    <xf numFmtId="200" fontId="47" fillId="5" borderId="0" xfId="38" applyNumberFormat="1" applyFont="1" applyFill="1"/>
    <xf numFmtId="167" fontId="20" fillId="5" borderId="9" xfId="38" applyNumberFormat="1" applyFont="1" applyFill="1" applyBorder="1"/>
    <xf numFmtId="167" fontId="47" fillId="5" borderId="0" xfId="38" applyNumberFormat="1" applyFont="1" applyFill="1"/>
    <xf numFmtId="0" fontId="13" fillId="3" borderId="0" xfId="29" applyFont="1" applyFill="1" applyAlignment="1">
      <alignment horizontal="left" wrapText="1" indent="1"/>
    </xf>
  </cellXfs>
  <cellStyles count="54">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Currency 2" xfId="6" xr:uid="{00000000-0005-0000-0000-000006000000}"/>
    <cellStyle name="Currency 2 2" xfId="7" xr:uid="{00000000-0005-0000-0000-000007000000}"/>
    <cellStyle name="Currency 2 2 2" xfId="8" xr:uid="{00000000-0005-0000-0000-000008000000}"/>
    <cellStyle name="Currency 2 3" xfId="9" xr:uid="{00000000-0005-0000-0000-000009000000}"/>
    <cellStyle name="Currency 2 3 2" xfId="10" xr:uid="{00000000-0005-0000-0000-00000A000000}"/>
    <cellStyle name="Currency 2 4" xfId="11" xr:uid="{00000000-0005-0000-0000-00000B000000}"/>
    <cellStyle name="Currency 2 4 2" xfId="12" xr:uid="{00000000-0005-0000-0000-00000C000000}"/>
    <cellStyle name="Currency 2 5" xfId="13" xr:uid="{00000000-0005-0000-0000-00000D000000}"/>
    <cellStyle name="Currency 2 6" xfId="14" xr:uid="{00000000-0005-0000-0000-00000E000000}"/>
    <cellStyle name="Currency 2 7" xfId="15" xr:uid="{00000000-0005-0000-0000-00000F000000}"/>
    <cellStyle name="Currency 2 8" xfId="16" xr:uid="{00000000-0005-0000-0000-000010000000}"/>
    <cellStyle name="Currency 3" xfId="51" xr:uid="{00000000-0005-0000-0000-000033000000}"/>
    <cellStyle name="Currency 3 2" xfId="53" xr:uid="{00000000-0005-0000-0000-000035000000}"/>
    <cellStyle name="Good" xfId="17" xr:uid="{00000000-0005-0000-0000-000011000000}"/>
    <cellStyle name="Hyperlink" xfId="18" xr:uid="{00000000-0005-0000-0000-000012000000}"/>
    <cellStyle name="Hyperlink 2" xfId="19" xr:uid="{00000000-0005-0000-0000-000013000000}"/>
    <cellStyle name="Normal" xfId="0" builtinId="0"/>
    <cellStyle name="Normal 2" xfId="20" xr:uid="{00000000-0005-0000-0000-000014000000}"/>
    <cellStyle name="Normal 2 2" xfId="21" xr:uid="{00000000-0005-0000-0000-000015000000}"/>
    <cellStyle name="Normal 2 2 2" xfId="22" xr:uid="{00000000-0005-0000-0000-000016000000}"/>
    <cellStyle name="Normal 2 3" xfId="23" xr:uid="{00000000-0005-0000-0000-000017000000}"/>
    <cellStyle name="Normal 2 3 2" xfId="24" xr:uid="{00000000-0005-0000-0000-000018000000}"/>
    <cellStyle name="Normal 2 4" xfId="25" xr:uid="{00000000-0005-0000-0000-000019000000}"/>
    <cellStyle name="Normal 2 5" xfId="26" xr:uid="{00000000-0005-0000-0000-00001A000000}"/>
    <cellStyle name="Normal 2 6" xfId="27" xr:uid="{00000000-0005-0000-0000-00001B000000}"/>
    <cellStyle name="Normal 2 7" xfId="28" xr:uid="{00000000-0005-0000-0000-00001C000000}"/>
    <cellStyle name="Normal 3" xfId="29" xr:uid="{00000000-0005-0000-0000-00001D000000}"/>
    <cellStyle name="Normal 3 2" xfId="30" xr:uid="{00000000-0005-0000-0000-00001E000000}"/>
    <cellStyle name="Normal 3 2 2" xfId="31" xr:uid="{00000000-0005-0000-0000-00001F000000}"/>
    <cellStyle name="Normal 3 3" xfId="32" xr:uid="{00000000-0005-0000-0000-000020000000}"/>
    <cellStyle name="Normal 3 3 2" xfId="33" xr:uid="{00000000-0005-0000-0000-000021000000}"/>
    <cellStyle name="Normal 3 4" xfId="34" xr:uid="{00000000-0005-0000-0000-000022000000}"/>
    <cellStyle name="Normal 3 5" xfId="35" xr:uid="{00000000-0005-0000-0000-000023000000}"/>
    <cellStyle name="Normal 3 6" xfId="36" xr:uid="{00000000-0005-0000-0000-000024000000}"/>
    <cellStyle name="Normal 3 7" xfId="37" xr:uid="{00000000-0005-0000-0000-000025000000}"/>
    <cellStyle name="Normal 4" xfId="38" xr:uid="{00000000-0005-0000-0000-000026000000}"/>
    <cellStyle name="Normal 5" xfId="39" xr:uid="{00000000-0005-0000-0000-000027000000}"/>
    <cellStyle name="Normal 5 2" xfId="52" xr:uid="{00000000-0005-0000-0000-000034000000}"/>
    <cellStyle name="Percent" xfId="1" xr:uid="{00000000-0005-0000-0000-000001000000}"/>
    <cellStyle name="Percent 2" xfId="40" xr:uid="{00000000-0005-0000-0000-000028000000}"/>
    <cellStyle name="Percent 2 2" xfId="41" xr:uid="{00000000-0005-0000-0000-000029000000}"/>
    <cellStyle name="Percent 2 2 2" xfId="42" xr:uid="{00000000-0005-0000-0000-00002A000000}"/>
    <cellStyle name="Percent 2 3" xfId="43" xr:uid="{00000000-0005-0000-0000-00002B000000}"/>
    <cellStyle name="Percent 2 3 2" xfId="44" xr:uid="{00000000-0005-0000-0000-00002C000000}"/>
    <cellStyle name="Percent 2 4" xfId="45" xr:uid="{00000000-0005-0000-0000-00002D000000}"/>
    <cellStyle name="Percent 2 5" xfId="46" xr:uid="{00000000-0005-0000-0000-00002E000000}"/>
    <cellStyle name="Percent 2 6" xfId="47" xr:uid="{00000000-0005-0000-0000-00002F000000}"/>
    <cellStyle name="Percent 2 7" xfId="48" xr:uid="{00000000-0005-0000-0000-000030000000}"/>
    <cellStyle name="Percent 3" xfId="49" xr:uid="{00000000-0005-0000-0000-000031000000}"/>
    <cellStyle name="Percent 3 2" xfId="50" xr:uid="{00000000-0005-0000-0000-000032000000}"/>
  </cellStyles>
  <dxfs count="11">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ont>
        <color rgb="FFF2F2F2"/>
      </font>
      <fill>
        <patternFill>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5</xdr:col>
      <xdr:colOff>169545</xdr:colOff>
      <xdr:row>6</xdr:row>
      <xdr:rowOff>19050</xdr:rowOff>
    </xdr:to>
    <xdr:pic>
      <xdr:nvPicPr>
        <xdr:cNvPr id="9" name="SourceByASLogo">
          <a:extLst>
            <a:ext uri="{FF2B5EF4-FFF2-40B4-BE49-F238E27FC236}">
              <a16:creationId xmlns:a16="http://schemas.microsoft.com/office/drawing/2014/main" id="{B904B019-DA8F-4144-B44B-F097250FA815}"/>
            </a:ext>
          </a:extLst>
        </xdr:cNvPr>
        <xdr:cNvPicPr>
          <a:picLocks noChangeAspect="1"/>
        </xdr:cNvPicPr>
      </xdr:nvPicPr>
      <xdr:blipFill>
        <a:blip xmlns:r="http://schemas.openxmlformats.org/officeDocument/2006/relationships" r:embed="rId1"/>
        <a:stretch>
          <a:fillRect/>
        </a:stretch>
      </xdr:blipFill>
      <xdr:spPr>
        <a:xfrm>
          <a:off x="876300" y="180975"/>
          <a:ext cx="2133600" cy="971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1266190</xdr:colOff>
      <xdr:row>6</xdr:row>
      <xdr:rowOff>131445</xdr:rowOff>
    </xdr:to>
    <xdr:pic>
      <xdr:nvPicPr>
        <xdr:cNvPr id="9" name="SourceByASLogo">
          <a:extLst>
            <a:ext uri="{FF2B5EF4-FFF2-40B4-BE49-F238E27FC236}">
              <a16:creationId xmlns:a16="http://schemas.microsoft.com/office/drawing/2014/main" id="{0036C11B-ED5F-4092-9C1B-93B76A61892C}"/>
            </a:ext>
          </a:extLst>
        </xdr:cNvPr>
        <xdr:cNvPicPr>
          <a:picLocks noChangeAspect="1"/>
        </xdr:cNvPicPr>
      </xdr:nvPicPr>
      <xdr:blipFill>
        <a:blip xmlns:r="http://schemas.openxmlformats.org/officeDocument/2006/relationships" r:embed="rId1"/>
        <a:stretch>
          <a:fillRect/>
        </a:stretch>
      </xdr:blipFill>
      <xdr:spPr>
        <a:xfrm>
          <a:off x="933450" y="180975"/>
          <a:ext cx="2305050" cy="10382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xample.com/" TargetMode="External"/><Relationship Id="rId1" Type="http://schemas.openxmlformats.org/officeDocument/2006/relationships/hyperlink" Target="https://example.com/" TargetMode="External"/><Relationship Id="rId5" Type="http://schemas.openxmlformats.org/officeDocument/2006/relationships/drawing" Target="../drawings/drawing1.xml"/><Relationship Id="rId4"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2.bin"/><Relationship Id="rId1" Type="http://schemas.openxmlformats.org/officeDocument/2006/relationships/hyperlink" Target="https://example.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17" Type="http://schemas.openxmlformats.org/officeDocument/2006/relationships/hyperlink" Target="https://example.com/" TargetMode="External"/><Relationship Id="rId21" Type="http://schemas.openxmlformats.org/officeDocument/2006/relationships/hyperlink" Target="https://example.com/" TargetMode="External"/><Relationship Id="rId42" Type="http://schemas.openxmlformats.org/officeDocument/2006/relationships/hyperlink" Target="https://example.com/" TargetMode="External"/><Relationship Id="rId63" Type="http://schemas.openxmlformats.org/officeDocument/2006/relationships/hyperlink" Target="https://example.com/" TargetMode="External"/><Relationship Id="rId84" Type="http://schemas.openxmlformats.org/officeDocument/2006/relationships/hyperlink" Target="https://example.com/" TargetMode="External"/><Relationship Id="rId16" Type="http://schemas.openxmlformats.org/officeDocument/2006/relationships/hyperlink" Target="https://example.com/" TargetMode="External"/><Relationship Id="rId107" Type="http://schemas.openxmlformats.org/officeDocument/2006/relationships/hyperlink" Target="https://example.com/" TargetMode="External"/><Relationship Id="rId11" Type="http://schemas.openxmlformats.org/officeDocument/2006/relationships/hyperlink" Target="https://example.com/" TargetMode="External"/><Relationship Id="rId32" Type="http://schemas.openxmlformats.org/officeDocument/2006/relationships/hyperlink" Target="https://example.com/" TargetMode="External"/><Relationship Id="rId37" Type="http://schemas.openxmlformats.org/officeDocument/2006/relationships/hyperlink" Target="https://example.com/" TargetMode="External"/><Relationship Id="rId53" Type="http://schemas.openxmlformats.org/officeDocument/2006/relationships/hyperlink" Target="https://example.com/" TargetMode="External"/><Relationship Id="rId58" Type="http://schemas.openxmlformats.org/officeDocument/2006/relationships/hyperlink" Target="https://example.com/" TargetMode="External"/><Relationship Id="rId74" Type="http://schemas.openxmlformats.org/officeDocument/2006/relationships/hyperlink" Target="https://example.com/" TargetMode="External"/><Relationship Id="rId79" Type="http://schemas.openxmlformats.org/officeDocument/2006/relationships/hyperlink" Target="https://example.com/" TargetMode="External"/><Relationship Id="rId102" Type="http://schemas.openxmlformats.org/officeDocument/2006/relationships/hyperlink" Target="https://example.com/" TargetMode="External"/><Relationship Id="rId123" Type="http://schemas.openxmlformats.org/officeDocument/2006/relationships/hyperlink" Target="https://example.com/" TargetMode="External"/><Relationship Id="rId128" Type="http://schemas.openxmlformats.org/officeDocument/2006/relationships/hyperlink" Target="https://example.com/" TargetMode="External"/><Relationship Id="rId5" Type="http://schemas.openxmlformats.org/officeDocument/2006/relationships/hyperlink" Target="https://example.com/" TargetMode="External"/><Relationship Id="rId90" Type="http://schemas.openxmlformats.org/officeDocument/2006/relationships/hyperlink" Target="https://example.com/" TargetMode="External"/><Relationship Id="rId95" Type="http://schemas.openxmlformats.org/officeDocument/2006/relationships/hyperlink" Target="https://example.com/" TargetMode="External"/><Relationship Id="rId22" Type="http://schemas.openxmlformats.org/officeDocument/2006/relationships/hyperlink" Target="https://example.com/" TargetMode="External"/><Relationship Id="rId27" Type="http://schemas.openxmlformats.org/officeDocument/2006/relationships/hyperlink" Target="https://example.com/" TargetMode="External"/><Relationship Id="rId43" Type="http://schemas.openxmlformats.org/officeDocument/2006/relationships/hyperlink" Target="https://example.com/" TargetMode="External"/><Relationship Id="rId48" Type="http://schemas.openxmlformats.org/officeDocument/2006/relationships/hyperlink" Target="https://example.com/" TargetMode="External"/><Relationship Id="rId64" Type="http://schemas.openxmlformats.org/officeDocument/2006/relationships/hyperlink" Target="https://example.com/" TargetMode="External"/><Relationship Id="rId69" Type="http://schemas.openxmlformats.org/officeDocument/2006/relationships/hyperlink" Target="https://example.com/" TargetMode="External"/><Relationship Id="rId113" Type="http://schemas.openxmlformats.org/officeDocument/2006/relationships/hyperlink" Target="https://example.com/" TargetMode="External"/><Relationship Id="rId118" Type="http://schemas.openxmlformats.org/officeDocument/2006/relationships/hyperlink" Target="https://example.com/" TargetMode="External"/><Relationship Id="rId80" Type="http://schemas.openxmlformats.org/officeDocument/2006/relationships/hyperlink" Target="https://example.com/" TargetMode="External"/><Relationship Id="rId85" Type="http://schemas.openxmlformats.org/officeDocument/2006/relationships/hyperlink" Target="https://example.com/" TargetMode="External"/><Relationship Id="rId12" Type="http://schemas.openxmlformats.org/officeDocument/2006/relationships/hyperlink" Target="https://example.com/" TargetMode="External"/><Relationship Id="rId17" Type="http://schemas.openxmlformats.org/officeDocument/2006/relationships/hyperlink" Target="https://example.com/" TargetMode="External"/><Relationship Id="rId33" Type="http://schemas.openxmlformats.org/officeDocument/2006/relationships/hyperlink" Target="https://example.com/" TargetMode="External"/><Relationship Id="rId38" Type="http://schemas.openxmlformats.org/officeDocument/2006/relationships/hyperlink" Target="https://example.com/" TargetMode="External"/><Relationship Id="rId59" Type="http://schemas.openxmlformats.org/officeDocument/2006/relationships/hyperlink" Target="https://example.com/" TargetMode="External"/><Relationship Id="rId103" Type="http://schemas.openxmlformats.org/officeDocument/2006/relationships/hyperlink" Target="https://example.com/" TargetMode="External"/><Relationship Id="rId108" Type="http://schemas.openxmlformats.org/officeDocument/2006/relationships/hyperlink" Target="https://example.com/" TargetMode="External"/><Relationship Id="rId124" Type="http://schemas.openxmlformats.org/officeDocument/2006/relationships/hyperlink" Target="https://example.com/" TargetMode="External"/><Relationship Id="rId129" Type="http://schemas.openxmlformats.org/officeDocument/2006/relationships/hyperlink" Target="https://example.com/" TargetMode="External"/><Relationship Id="rId54" Type="http://schemas.openxmlformats.org/officeDocument/2006/relationships/hyperlink" Target="https://example.com/" TargetMode="External"/><Relationship Id="rId70" Type="http://schemas.openxmlformats.org/officeDocument/2006/relationships/hyperlink" Target="https://example.com/" TargetMode="External"/><Relationship Id="rId75" Type="http://schemas.openxmlformats.org/officeDocument/2006/relationships/hyperlink" Target="https://example.com/" TargetMode="External"/><Relationship Id="rId91" Type="http://schemas.openxmlformats.org/officeDocument/2006/relationships/hyperlink" Target="https://example.com/" TargetMode="External"/><Relationship Id="rId96" Type="http://schemas.openxmlformats.org/officeDocument/2006/relationships/hyperlink" Target="https://example.com/" TargetMode="External"/><Relationship Id="rId1" Type="http://schemas.openxmlformats.org/officeDocument/2006/relationships/hyperlink" Target="https://example.com/" TargetMode="External"/><Relationship Id="rId6" Type="http://schemas.openxmlformats.org/officeDocument/2006/relationships/hyperlink" Target="https://example.com/" TargetMode="External"/><Relationship Id="rId23" Type="http://schemas.openxmlformats.org/officeDocument/2006/relationships/hyperlink" Target="https://example.com/" TargetMode="External"/><Relationship Id="rId28" Type="http://schemas.openxmlformats.org/officeDocument/2006/relationships/hyperlink" Target="https://example.com/" TargetMode="External"/><Relationship Id="rId49" Type="http://schemas.openxmlformats.org/officeDocument/2006/relationships/hyperlink" Target="https://example.com/" TargetMode="External"/><Relationship Id="rId114" Type="http://schemas.openxmlformats.org/officeDocument/2006/relationships/hyperlink" Target="https://example.com/" TargetMode="External"/><Relationship Id="rId119" Type="http://schemas.openxmlformats.org/officeDocument/2006/relationships/hyperlink" Target="https://example.com/" TargetMode="External"/><Relationship Id="rId44" Type="http://schemas.openxmlformats.org/officeDocument/2006/relationships/hyperlink" Target="https://example.com/" TargetMode="External"/><Relationship Id="rId60" Type="http://schemas.openxmlformats.org/officeDocument/2006/relationships/hyperlink" Target="https://example.com/" TargetMode="External"/><Relationship Id="rId65" Type="http://schemas.openxmlformats.org/officeDocument/2006/relationships/hyperlink" Target="https://example.com/" TargetMode="External"/><Relationship Id="rId81" Type="http://schemas.openxmlformats.org/officeDocument/2006/relationships/hyperlink" Target="https://example.com/" TargetMode="External"/><Relationship Id="rId86" Type="http://schemas.openxmlformats.org/officeDocument/2006/relationships/hyperlink" Target="https://example.com/" TargetMode="External"/><Relationship Id="rId130" Type="http://schemas.openxmlformats.org/officeDocument/2006/relationships/printerSettings" Target="../printerSettings/printerSettings3.bin"/><Relationship Id="rId13" Type="http://schemas.openxmlformats.org/officeDocument/2006/relationships/hyperlink" Target="https://example.com/" TargetMode="External"/><Relationship Id="rId18" Type="http://schemas.openxmlformats.org/officeDocument/2006/relationships/hyperlink" Target="https://example.com/" TargetMode="External"/><Relationship Id="rId39" Type="http://schemas.openxmlformats.org/officeDocument/2006/relationships/hyperlink" Target="https://example.com/" TargetMode="External"/><Relationship Id="rId109" Type="http://schemas.openxmlformats.org/officeDocument/2006/relationships/hyperlink" Target="https://example.com/" TargetMode="External"/><Relationship Id="rId34" Type="http://schemas.openxmlformats.org/officeDocument/2006/relationships/hyperlink" Target="https://example.com/" TargetMode="External"/><Relationship Id="rId50" Type="http://schemas.openxmlformats.org/officeDocument/2006/relationships/hyperlink" Target="https://example.com/" TargetMode="External"/><Relationship Id="rId55" Type="http://schemas.openxmlformats.org/officeDocument/2006/relationships/hyperlink" Target="https://example.com/" TargetMode="External"/><Relationship Id="rId76" Type="http://schemas.openxmlformats.org/officeDocument/2006/relationships/hyperlink" Target="https://example.com/" TargetMode="External"/><Relationship Id="rId97" Type="http://schemas.openxmlformats.org/officeDocument/2006/relationships/hyperlink" Target="https://example.com/" TargetMode="External"/><Relationship Id="rId104" Type="http://schemas.openxmlformats.org/officeDocument/2006/relationships/hyperlink" Target="https://example.com/" TargetMode="External"/><Relationship Id="rId120" Type="http://schemas.openxmlformats.org/officeDocument/2006/relationships/hyperlink" Target="https://example.com/" TargetMode="External"/><Relationship Id="rId125" Type="http://schemas.openxmlformats.org/officeDocument/2006/relationships/hyperlink" Target="https://example.com/" TargetMode="External"/><Relationship Id="rId7" Type="http://schemas.openxmlformats.org/officeDocument/2006/relationships/hyperlink" Target="https://example.com/" TargetMode="External"/><Relationship Id="rId71" Type="http://schemas.openxmlformats.org/officeDocument/2006/relationships/hyperlink" Target="https://example.com/" TargetMode="External"/><Relationship Id="rId92" Type="http://schemas.openxmlformats.org/officeDocument/2006/relationships/hyperlink" Target="https://example.com/" TargetMode="External"/><Relationship Id="rId2" Type="http://schemas.openxmlformats.org/officeDocument/2006/relationships/hyperlink" Target="https://example.com/" TargetMode="External"/><Relationship Id="rId29" Type="http://schemas.openxmlformats.org/officeDocument/2006/relationships/hyperlink" Target="https://example.com/" TargetMode="External"/><Relationship Id="rId24" Type="http://schemas.openxmlformats.org/officeDocument/2006/relationships/hyperlink" Target="https://example.com/" TargetMode="External"/><Relationship Id="rId40" Type="http://schemas.openxmlformats.org/officeDocument/2006/relationships/hyperlink" Target="https://example.com/" TargetMode="External"/><Relationship Id="rId45" Type="http://schemas.openxmlformats.org/officeDocument/2006/relationships/hyperlink" Target="https://example.com/" TargetMode="External"/><Relationship Id="rId66" Type="http://schemas.openxmlformats.org/officeDocument/2006/relationships/hyperlink" Target="https://example.com/" TargetMode="External"/><Relationship Id="rId87" Type="http://schemas.openxmlformats.org/officeDocument/2006/relationships/hyperlink" Target="https://example.com/" TargetMode="External"/><Relationship Id="rId110" Type="http://schemas.openxmlformats.org/officeDocument/2006/relationships/hyperlink" Target="https://example.com/" TargetMode="External"/><Relationship Id="rId115" Type="http://schemas.openxmlformats.org/officeDocument/2006/relationships/hyperlink" Target="https://example.com/" TargetMode="External"/><Relationship Id="rId131" Type="http://schemas.openxmlformats.org/officeDocument/2006/relationships/customProperty" Target="../customProperty3.bin"/><Relationship Id="rId61" Type="http://schemas.openxmlformats.org/officeDocument/2006/relationships/hyperlink" Target="https://example.com/" TargetMode="External"/><Relationship Id="rId82" Type="http://schemas.openxmlformats.org/officeDocument/2006/relationships/hyperlink" Target="https://example.com/" TargetMode="External"/><Relationship Id="rId19" Type="http://schemas.openxmlformats.org/officeDocument/2006/relationships/hyperlink" Target="https://example.com/" TargetMode="External"/><Relationship Id="rId14" Type="http://schemas.openxmlformats.org/officeDocument/2006/relationships/hyperlink" Target="https://example.com/" TargetMode="External"/><Relationship Id="rId30" Type="http://schemas.openxmlformats.org/officeDocument/2006/relationships/hyperlink" Target="https://example.com/" TargetMode="External"/><Relationship Id="rId35" Type="http://schemas.openxmlformats.org/officeDocument/2006/relationships/hyperlink" Target="https://example.com/" TargetMode="External"/><Relationship Id="rId56" Type="http://schemas.openxmlformats.org/officeDocument/2006/relationships/hyperlink" Target="https://example.com/" TargetMode="External"/><Relationship Id="rId77" Type="http://schemas.openxmlformats.org/officeDocument/2006/relationships/hyperlink" Target="https://example.com/" TargetMode="External"/><Relationship Id="rId100" Type="http://schemas.openxmlformats.org/officeDocument/2006/relationships/hyperlink" Target="https://example.com/" TargetMode="External"/><Relationship Id="rId105" Type="http://schemas.openxmlformats.org/officeDocument/2006/relationships/hyperlink" Target="https://example.com/" TargetMode="External"/><Relationship Id="rId126" Type="http://schemas.openxmlformats.org/officeDocument/2006/relationships/hyperlink" Target="https://example.com/" TargetMode="External"/><Relationship Id="rId8" Type="http://schemas.openxmlformats.org/officeDocument/2006/relationships/hyperlink" Target="https://example.com/" TargetMode="External"/><Relationship Id="rId51" Type="http://schemas.openxmlformats.org/officeDocument/2006/relationships/hyperlink" Target="https://example.com/" TargetMode="External"/><Relationship Id="rId72" Type="http://schemas.openxmlformats.org/officeDocument/2006/relationships/hyperlink" Target="https://example.com/" TargetMode="External"/><Relationship Id="rId93" Type="http://schemas.openxmlformats.org/officeDocument/2006/relationships/hyperlink" Target="https://example.com/" TargetMode="External"/><Relationship Id="rId98" Type="http://schemas.openxmlformats.org/officeDocument/2006/relationships/hyperlink" Target="https://example.com/" TargetMode="External"/><Relationship Id="rId121" Type="http://schemas.openxmlformats.org/officeDocument/2006/relationships/hyperlink" Target="https://example.com/" TargetMode="External"/><Relationship Id="rId3" Type="http://schemas.openxmlformats.org/officeDocument/2006/relationships/hyperlink" Target="https://example.com/" TargetMode="External"/><Relationship Id="rId25" Type="http://schemas.openxmlformats.org/officeDocument/2006/relationships/hyperlink" Target="https://example.com/" TargetMode="External"/><Relationship Id="rId46" Type="http://schemas.openxmlformats.org/officeDocument/2006/relationships/hyperlink" Target="https://example.com/" TargetMode="External"/><Relationship Id="rId67" Type="http://schemas.openxmlformats.org/officeDocument/2006/relationships/hyperlink" Target="https://example.com/" TargetMode="External"/><Relationship Id="rId116" Type="http://schemas.openxmlformats.org/officeDocument/2006/relationships/hyperlink" Target="https://example.com/" TargetMode="External"/><Relationship Id="rId20" Type="http://schemas.openxmlformats.org/officeDocument/2006/relationships/hyperlink" Target="https://example.com/" TargetMode="External"/><Relationship Id="rId41" Type="http://schemas.openxmlformats.org/officeDocument/2006/relationships/hyperlink" Target="https://example.com/" TargetMode="External"/><Relationship Id="rId62" Type="http://schemas.openxmlformats.org/officeDocument/2006/relationships/hyperlink" Target="https://example.com/" TargetMode="External"/><Relationship Id="rId83" Type="http://schemas.openxmlformats.org/officeDocument/2006/relationships/hyperlink" Target="https://example.com/" TargetMode="External"/><Relationship Id="rId88" Type="http://schemas.openxmlformats.org/officeDocument/2006/relationships/hyperlink" Target="https://example.com/" TargetMode="External"/><Relationship Id="rId111" Type="http://schemas.openxmlformats.org/officeDocument/2006/relationships/hyperlink" Target="https://example.com/" TargetMode="External"/><Relationship Id="rId132" Type="http://schemas.openxmlformats.org/officeDocument/2006/relationships/vmlDrawing" Target="../drawings/vmlDrawing2.vml"/><Relationship Id="rId15" Type="http://schemas.openxmlformats.org/officeDocument/2006/relationships/hyperlink" Target="https://example.com/" TargetMode="External"/><Relationship Id="rId36" Type="http://schemas.openxmlformats.org/officeDocument/2006/relationships/hyperlink" Target="https://example.com/" TargetMode="External"/><Relationship Id="rId57" Type="http://schemas.openxmlformats.org/officeDocument/2006/relationships/hyperlink" Target="https://example.com/" TargetMode="External"/><Relationship Id="rId106" Type="http://schemas.openxmlformats.org/officeDocument/2006/relationships/hyperlink" Target="https://example.com/" TargetMode="External"/><Relationship Id="rId127" Type="http://schemas.openxmlformats.org/officeDocument/2006/relationships/hyperlink" Target="https://example.com/" TargetMode="External"/><Relationship Id="rId10" Type="http://schemas.openxmlformats.org/officeDocument/2006/relationships/hyperlink" Target="https://example.com/" TargetMode="External"/><Relationship Id="rId31" Type="http://schemas.openxmlformats.org/officeDocument/2006/relationships/hyperlink" Target="https://example.com/" TargetMode="External"/><Relationship Id="rId52" Type="http://schemas.openxmlformats.org/officeDocument/2006/relationships/hyperlink" Target="https://example.com/" TargetMode="External"/><Relationship Id="rId73" Type="http://schemas.openxmlformats.org/officeDocument/2006/relationships/hyperlink" Target="https://example.com/" TargetMode="External"/><Relationship Id="rId78" Type="http://schemas.openxmlformats.org/officeDocument/2006/relationships/hyperlink" Target="https://example.com/" TargetMode="External"/><Relationship Id="rId94" Type="http://schemas.openxmlformats.org/officeDocument/2006/relationships/hyperlink" Target="https://example.com/" TargetMode="External"/><Relationship Id="rId99" Type="http://schemas.openxmlformats.org/officeDocument/2006/relationships/hyperlink" Target="https://example.com/" TargetMode="External"/><Relationship Id="rId101" Type="http://schemas.openxmlformats.org/officeDocument/2006/relationships/hyperlink" Target="https://example.com/" TargetMode="External"/><Relationship Id="rId122" Type="http://schemas.openxmlformats.org/officeDocument/2006/relationships/hyperlink" Target="https://example.com/" TargetMode="External"/><Relationship Id="rId4" Type="http://schemas.openxmlformats.org/officeDocument/2006/relationships/hyperlink" Target="https://example.com/" TargetMode="External"/><Relationship Id="rId9" Type="http://schemas.openxmlformats.org/officeDocument/2006/relationships/hyperlink" Target="https://example.com/" TargetMode="External"/><Relationship Id="rId26" Type="http://schemas.openxmlformats.org/officeDocument/2006/relationships/hyperlink" Target="https://example.com/" TargetMode="External"/><Relationship Id="rId47" Type="http://schemas.openxmlformats.org/officeDocument/2006/relationships/hyperlink" Target="https://example.com/" TargetMode="External"/><Relationship Id="rId68" Type="http://schemas.openxmlformats.org/officeDocument/2006/relationships/hyperlink" Target="https://example.com/" TargetMode="External"/><Relationship Id="rId89" Type="http://schemas.openxmlformats.org/officeDocument/2006/relationships/hyperlink" Target="https://example.com/" TargetMode="External"/><Relationship Id="rId112" Type="http://schemas.openxmlformats.org/officeDocument/2006/relationships/hyperlink" Target="https://example.com/" TargetMode="External"/><Relationship Id="rId133"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4.bin"/><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6" Type="http://schemas.openxmlformats.org/officeDocument/2006/relationships/hyperlink" Target="https://example.com/" TargetMode="External"/><Relationship Id="rId21" Type="http://schemas.openxmlformats.org/officeDocument/2006/relationships/hyperlink" Target="https://example.com/" TargetMode="External"/><Relationship Id="rId34" Type="http://schemas.openxmlformats.org/officeDocument/2006/relationships/hyperlink" Target="https://example.com/" TargetMode="External"/><Relationship Id="rId42" Type="http://schemas.openxmlformats.org/officeDocument/2006/relationships/hyperlink" Target="https://example.com/" TargetMode="External"/><Relationship Id="rId47" Type="http://schemas.openxmlformats.org/officeDocument/2006/relationships/hyperlink" Target="https://example.com/" TargetMode="External"/><Relationship Id="rId50" Type="http://schemas.openxmlformats.org/officeDocument/2006/relationships/hyperlink" Target="https://example.com/" TargetMode="External"/><Relationship Id="rId55" Type="http://schemas.openxmlformats.org/officeDocument/2006/relationships/hyperlink" Target="https://example.com/" TargetMode="External"/><Relationship Id="rId63" Type="http://schemas.openxmlformats.org/officeDocument/2006/relationships/hyperlink" Target="https://example.com/" TargetMode="External"/><Relationship Id="rId7" Type="http://schemas.openxmlformats.org/officeDocument/2006/relationships/hyperlink" Target="https://example.com/" TargetMode="External"/><Relationship Id="rId2" Type="http://schemas.openxmlformats.org/officeDocument/2006/relationships/hyperlink" Target="https://example.com/" TargetMode="External"/><Relationship Id="rId16" Type="http://schemas.openxmlformats.org/officeDocument/2006/relationships/hyperlink" Target="https://example.com/" TargetMode="External"/><Relationship Id="rId29" Type="http://schemas.openxmlformats.org/officeDocument/2006/relationships/hyperlink" Target="https://example.com/" TargetMode="External"/><Relationship Id="rId11" Type="http://schemas.openxmlformats.org/officeDocument/2006/relationships/hyperlink" Target="https://example.com/" TargetMode="External"/><Relationship Id="rId24" Type="http://schemas.openxmlformats.org/officeDocument/2006/relationships/hyperlink" Target="https://example.com/" TargetMode="External"/><Relationship Id="rId32" Type="http://schemas.openxmlformats.org/officeDocument/2006/relationships/hyperlink" Target="https://example.com/" TargetMode="External"/><Relationship Id="rId37" Type="http://schemas.openxmlformats.org/officeDocument/2006/relationships/hyperlink" Target="https://example.com/" TargetMode="External"/><Relationship Id="rId40" Type="http://schemas.openxmlformats.org/officeDocument/2006/relationships/hyperlink" Target="https://example.com/" TargetMode="External"/><Relationship Id="rId45" Type="http://schemas.openxmlformats.org/officeDocument/2006/relationships/hyperlink" Target="https://example.com/" TargetMode="External"/><Relationship Id="rId53" Type="http://schemas.openxmlformats.org/officeDocument/2006/relationships/hyperlink" Target="https://example.com/" TargetMode="External"/><Relationship Id="rId58" Type="http://schemas.openxmlformats.org/officeDocument/2006/relationships/hyperlink" Target="https://example.com/" TargetMode="External"/><Relationship Id="rId66" Type="http://schemas.openxmlformats.org/officeDocument/2006/relationships/drawing" Target="../drawings/drawing2.xml"/><Relationship Id="rId5" Type="http://schemas.openxmlformats.org/officeDocument/2006/relationships/hyperlink" Target="https://example.com/" TargetMode="External"/><Relationship Id="rId61" Type="http://schemas.openxmlformats.org/officeDocument/2006/relationships/hyperlink" Target="https://example.com/" TargetMode="External"/><Relationship Id="rId19" Type="http://schemas.openxmlformats.org/officeDocument/2006/relationships/hyperlink" Target="https://example.com/" TargetMode="External"/><Relationship Id="rId14" Type="http://schemas.openxmlformats.org/officeDocument/2006/relationships/hyperlink" Target="https://example.com/" TargetMode="External"/><Relationship Id="rId22" Type="http://schemas.openxmlformats.org/officeDocument/2006/relationships/hyperlink" Target="https://example.com/" TargetMode="External"/><Relationship Id="rId27" Type="http://schemas.openxmlformats.org/officeDocument/2006/relationships/hyperlink" Target="https://example.com/" TargetMode="External"/><Relationship Id="rId30" Type="http://schemas.openxmlformats.org/officeDocument/2006/relationships/hyperlink" Target="https://example.com/" TargetMode="External"/><Relationship Id="rId35" Type="http://schemas.openxmlformats.org/officeDocument/2006/relationships/hyperlink" Target="https://example.com/" TargetMode="External"/><Relationship Id="rId43" Type="http://schemas.openxmlformats.org/officeDocument/2006/relationships/hyperlink" Target="https://example.com/" TargetMode="External"/><Relationship Id="rId48" Type="http://schemas.openxmlformats.org/officeDocument/2006/relationships/hyperlink" Target="https://example.com/" TargetMode="External"/><Relationship Id="rId56" Type="http://schemas.openxmlformats.org/officeDocument/2006/relationships/hyperlink" Target="https://example.com/" TargetMode="External"/><Relationship Id="rId64" Type="http://schemas.openxmlformats.org/officeDocument/2006/relationships/hyperlink" Target="https://example.com/" TargetMode="External"/><Relationship Id="rId8" Type="http://schemas.openxmlformats.org/officeDocument/2006/relationships/hyperlink" Target="https://example.com/" TargetMode="External"/><Relationship Id="rId51" Type="http://schemas.openxmlformats.org/officeDocument/2006/relationships/hyperlink" Target="https://example.com/" TargetMode="External"/><Relationship Id="rId3" Type="http://schemas.openxmlformats.org/officeDocument/2006/relationships/hyperlink" Target="https://example.com/" TargetMode="External"/><Relationship Id="rId12" Type="http://schemas.openxmlformats.org/officeDocument/2006/relationships/hyperlink" Target="https://example.com/" TargetMode="External"/><Relationship Id="rId17" Type="http://schemas.openxmlformats.org/officeDocument/2006/relationships/hyperlink" Target="https://example.com/" TargetMode="External"/><Relationship Id="rId25" Type="http://schemas.openxmlformats.org/officeDocument/2006/relationships/hyperlink" Target="https://example.com/" TargetMode="External"/><Relationship Id="rId33" Type="http://schemas.openxmlformats.org/officeDocument/2006/relationships/hyperlink" Target="https://example.com/" TargetMode="External"/><Relationship Id="rId38" Type="http://schemas.openxmlformats.org/officeDocument/2006/relationships/hyperlink" Target="https://example.com/" TargetMode="External"/><Relationship Id="rId46" Type="http://schemas.openxmlformats.org/officeDocument/2006/relationships/hyperlink" Target="https://example.com/" TargetMode="External"/><Relationship Id="rId59" Type="http://schemas.openxmlformats.org/officeDocument/2006/relationships/hyperlink" Target="https://example.com/" TargetMode="External"/><Relationship Id="rId20" Type="http://schemas.openxmlformats.org/officeDocument/2006/relationships/hyperlink" Target="https://example.com/" TargetMode="External"/><Relationship Id="rId41" Type="http://schemas.openxmlformats.org/officeDocument/2006/relationships/hyperlink" Target="https://example.com/" TargetMode="External"/><Relationship Id="rId54" Type="http://schemas.openxmlformats.org/officeDocument/2006/relationships/hyperlink" Target="https://example.com/" TargetMode="External"/><Relationship Id="rId62" Type="http://schemas.openxmlformats.org/officeDocument/2006/relationships/hyperlink" Target="https://example.com/" TargetMode="External"/><Relationship Id="rId1" Type="http://schemas.openxmlformats.org/officeDocument/2006/relationships/hyperlink" Target="https://example.com/" TargetMode="External"/><Relationship Id="rId6" Type="http://schemas.openxmlformats.org/officeDocument/2006/relationships/hyperlink" Target="https://example.com/" TargetMode="External"/><Relationship Id="rId15" Type="http://schemas.openxmlformats.org/officeDocument/2006/relationships/hyperlink" Target="https://example.com/" TargetMode="External"/><Relationship Id="rId23" Type="http://schemas.openxmlformats.org/officeDocument/2006/relationships/hyperlink" Target="https://example.com/" TargetMode="External"/><Relationship Id="rId28" Type="http://schemas.openxmlformats.org/officeDocument/2006/relationships/hyperlink" Target="https://example.com/" TargetMode="External"/><Relationship Id="rId36" Type="http://schemas.openxmlformats.org/officeDocument/2006/relationships/hyperlink" Target="https://example.com/" TargetMode="External"/><Relationship Id="rId49" Type="http://schemas.openxmlformats.org/officeDocument/2006/relationships/hyperlink" Target="https://example.com/" TargetMode="External"/><Relationship Id="rId57" Type="http://schemas.openxmlformats.org/officeDocument/2006/relationships/hyperlink" Target="https://example.com/" TargetMode="External"/><Relationship Id="rId10" Type="http://schemas.openxmlformats.org/officeDocument/2006/relationships/hyperlink" Target="https://example.com/" TargetMode="External"/><Relationship Id="rId31" Type="http://schemas.openxmlformats.org/officeDocument/2006/relationships/hyperlink" Target="https://example.com/" TargetMode="External"/><Relationship Id="rId44" Type="http://schemas.openxmlformats.org/officeDocument/2006/relationships/hyperlink" Target="https://example.com/" TargetMode="External"/><Relationship Id="rId52" Type="http://schemas.openxmlformats.org/officeDocument/2006/relationships/hyperlink" Target="https://example.com/" TargetMode="External"/><Relationship Id="rId60" Type="http://schemas.openxmlformats.org/officeDocument/2006/relationships/hyperlink" Target="https://example.com/" TargetMode="External"/><Relationship Id="rId65" Type="http://schemas.openxmlformats.org/officeDocument/2006/relationships/customProperty" Target="../customProperty6.bin"/><Relationship Id="rId4" Type="http://schemas.openxmlformats.org/officeDocument/2006/relationships/hyperlink" Target="https://example.com/" TargetMode="External"/><Relationship Id="rId9" Type="http://schemas.openxmlformats.org/officeDocument/2006/relationships/hyperlink" Target="https://example.com/" TargetMode="External"/><Relationship Id="rId13" Type="http://schemas.openxmlformats.org/officeDocument/2006/relationships/hyperlink" Target="https://example.com/" TargetMode="External"/><Relationship Id="rId18" Type="http://schemas.openxmlformats.org/officeDocument/2006/relationships/hyperlink" Target="https://example.com/" TargetMode="External"/><Relationship Id="rId39" Type="http://schemas.openxmlformats.org/officeDocument/2006/relationships/hyperlink" Target="https://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29926-8353-40E5-B721-6B50CBAF82A0}">
  <sheetPr codeName="Sheet5">
    <pageSetUpPr fitToPage="1"/>
  </sheetPr>
  <dimension ref="A1:AG67"/>
  <sheetViews>
    <sheetView showGridLines="0" tabSelected="1" workbookViewId="0"/>
  </sheetViews>
  <sheetFormatPr defaultColWidth="8.5546875" defaultRowHeight="14.4" x14ac:dyDescent="0.3"/>
  <cols>
    <col min="1" max="1" width="5.5546875" style="16" customWidth="1"/>
    <col min="2" max="2" width="7.5546875" style="16" customWidth="1"/>
    <col min="3" max="3" width="10.44140625" style="16" customWidth="1"/>
    <col min="4" max="4" width="13.5546875" style="16" customWidth="1"/>
    <col min="5" max="5" width="5.44140625" style="16" customWidth="1"/>
    <col min="6" max="6" width="13.5546875" style="16" customWidth="1"/>
    <col min="7" max="7" width="6.5546875" style="16" customWidth="1"/>
    <col min="8" max="8" width="31.5546875" style="16" customWidth="1"/>
    <col min="9" max="15" width="8.5546875" style="16" customWidth="1"/>
    <col min="16" max="16" width="45.5546875" style="16" customWidth="1"/>
    <col min="17" max="17" width="8.5546875" style="16" customWidth="1"/>
    <col min="18" max="16384" width="8.5546875" style="16"/>
  </cols>
  <sheetData>
    <row r="1" spans="1:23" x14ac:dyDescent="0.3">
      <c r="A1" s="17"/>
      <c r="B1" s="17"/>
      <c r="C1" s="17"/>
      <c r="D1" s="17"/>
      <c r="E1" s="17"/>
      <c r="F1" s="17"/>
      <c r="G1" s="17"/>
      <c r="H1" s="17"/>
      <c r="I1" s="17"/>
      <c r="J1" s="17"/>
      <c r="K1" s="17"/>
      <c r="L1" s="17"/>
      <c r="M1" s="17"/>
      <c r="N1" s="17"/>
      <c r="O1" s="17"/>
      <c r="P1" s="17"/>
      <c r="Q1" s="17"/>
      <c r="R1" s="17"/>
      <c r="S1" s="17"/>
      <c r="T1" s="17"/>
      <c r="U1" s="17"/>
      <c r="V1" s="17"/>
      <c r="W1" s="17"/>
    </row>
    <row r="2" spans="1:23" x14ac:dyDescent="0.3">
      <c r="A2" s="17"/>
      <c r="B2" s="17"/>
      <c r="C2" s="17"/>
      <c r="D2" s="17"/>
      <c r="E2" s="17"/>
      <c r="F2" s="17"/>
      <c r="G2" s="17"/>
      <c r="H2" s="17"/>
      <c r="I2" s="17"/>
      <c r="J2" s="17"/>
      <c r="K2" s="17"/>
      <c r="L2" s="17"/>
      <c r="M2" s="17"/>
      <c r="N2" s="17"/>
      <c r="O2" s="17"/>
      <c r="P2" s="17"/>
      <c r="Q2" s="17"/>
      <c r="R2" s="17"/>
      <c r="S2" s="17"/>
      <c r="T2" s="17"/>
      <c r="U2" s="17"/>
      <c r="V2" s="17"/>
      <c r="W2" s="17"/>
    </row>
    <row r="3" spans="1:23" x14ac:dyDescent="0.3">
      <c r="A3" s="17"/>
      <c r="B3" s="17"/>
      <c r="C3" s="17"/>
      <c r="D3" s="17"/>
      <c r="E3" s="17"/>
      <c r="F3" s="17"/>
      <c r="G3" s="17"/>
      <c r="H3" s="17"/>
      <c r="I3" s="17"/>
      <c r="J3" s="17"/>
      <c r="K3" s="17"/>
      <c r="L3" s="17"/>
      <c r="M3" s="17"/>
      <c r="N3" s="17"/>
      <c r="O3" s="17"/>
      <c r="P3" s="17"/>
      <c r="Q3" s="17"/>
      <c r="R3" s="17"/>
      <c r="S3" s="17"/>
      <c r="T3" s="17"/>
      <c r="U3" s="17"/>
      <c r="V3" s="17"/>
      <c r="W3" s="17"/>
    </row>
    <row r="4" spans="1:23" x14ac:dyDescent="0.3">
      <c r="A4" s="17"/>
      <c r="B4" s="17"/>
      <c r="C4" s="17"/>
      <c r="D4" s="17"/>
      <c r="E4" s="17"/>
      <c r="F4" s="17"/>
      <c r="G4" s="17"/>
      <c r="H4" s="17"/>
      <c r="I4" s="17"/>
      <c r="J4" s="17"/>
      <c r="K4" s="17"/>
      <c r="L4" s="17"/>
      <c r="M4" s="17"/>
      <c r="N4" s="17"/>
      <c r="O4" s="17"/>
      <c r="P4" s="17"/>
      <c r="Q4" s="17"/>
      <c r="R4" s="17"/>
      <c r="S4" s="17"/>
      <c r="T4" s="17"/>
      <c r="U4" s="17"/>
      <c r="V4" s="17"/>
      <c r="W4" s="17"/>
    </row>
    <row r="5" spans="1:23" x14ac:dyDescent="0.3">
      <c r="A5" s="17"/>
      <c r="B5" s="17"/>
      <c r="C5" s="17"/>
      <c r="D5" s="17"/>
      <c r="E5" s="17"/>
      <c r="F5" s="17"/>
      <c r="G5" s="17"/>
      <c r="H5" s="17"/>
      <c r="I5" s="17"/>
      <c r="J5" s="17"/>
      <c r="K5" s="17"/>
      <c r="L5" s="17"/>
      <c r="M5" s="17"/>
      <c r="N5" s="17"/>
      <c r="O5" s="17"/>
      <c r="P5" s="17"/>
      <c r="Q5" s="17"/>
      <c r="R5" s="17"/>
      <c r="S5" s="17"/>
      <c r="T5" s="17"/>
      <c r="U5" s="17"/>
      <c r="V5" s="17"/>
      <c r="W5" s="17"/>
    </row>
    <row r="6" spans="1:23" ht="18" x14ac:dyDescent="0.3">
      <c r="A6" s="17"/>
      <c r="B6" s="17"/>
      <c r="C6" s="17"/>
      <c r="D6" s="17"/>
      <c r="E6" s="17"/>
      <c r="F6" s="17"/>
      <c r="G6" s="17"/>
      <c r="H6" s="17"/>
      <c r="I6" s="17"/>
      <c r="J6" s="17"/>
      <c r="K6" s="17"/>
      <c r="L6" s="17"/>
      <c r="M6" s="508" t="s">
        <v>0</v>
      </c>
      <c r="N6" s="17"/>
      <c r="O6" s="17"/>
      <c r="P6" s="17"/>
      <c r="Q6" s="17"/>
      <c r="R6" s="17"/>
      <c r="S6" s="17"/>
      <c r="T6" s="17"/>
      <c r="U6" s="17"/>
      <c r="V6" s="17"/>
      <c r="W6" s="17"/>
    </row>
    <row r="7" spans="1:23" ht="18" x14ac:dyDescent="0.35">
      <c r="A7" s="17"/>
      <c r="B7" s="17"/>
      <c r="C7" s="17"/>
      <c r="D7" s="17"/>
      <c r="E7" s="17"/>
      <c r="F7" s="17"/>
      <c r="G7" s="17"/>
      <c r="H7" s="17"/>
      <c r="I7" s="17"/>
      <c r="J7" s="17"/>
      <c r="K7" s="17"/>
      <c r="L7" s="17"/>
      <c r="M7" s="611" t="s">
        <v>1</v>
      </c>
      <c r="N7" s="611"/>
      <c r="O7" s="611"/>
      <c r="P7" s="17"/>
      <c r="Q7" s="17"/>
      <c r="R7" s="17"/>
      <c r="S7" s="17"/>
      <c r="T7" s="17"/>
      <c r="U7" s="17"/>
      <c r="V7" s="17"/>
      <c r="W7" s="17"/>
    </row>
    <row r="8" spans="1:23" ht="28.8" x14ac:dyDescent="0.55000000000000004">
      <c r="A8" s="17"/>
      <c r="B8" s="17"/>
      <c r="C8" s="17"/>
      <c r="D8" s="17"/>
      <c r="E8" s="17"/>
      <c r="F8" s="14"/>
      <c r="G8" s="14"/>
      <c r="H8" s="14"/>
      <c r="I8" s="14"/>
      <c r="J8" s="14"/>
      <c r="K8" s="14"/>
      <c r="L8" s="17"/>
      <c r="M8" s="17"/>
      <c r="N8" s="17"/>
      <c r="O8" s="17"/>
      <c r="P8" s="17"/>
      <c r="Q8" s="17"/>
      <c r="R8" s="17"/>
      <c r="S8" s="17"/>
      <c r="T8" s="17"/>
      <c r="U8" s="17"/>
      <c r="V8" s="17"/>
      <c r="W8" s="17"/>
    </row>
    <row r="9" spans="1:23" ht="18" x14ac:dyDescent="0.35">
      <c r="A9" s="17"/>
      <c r="B9" s="17"/>
      <c r="C9" s="509" t="s">
        <v>2</v>
      </c>
      <c r="D9" s="510"/>
      <c r="E9" s="510"/>
      <c r="F9" s="510"/>
      <c r="G9" s="510"/>
      <c r="H9" s="511" t="str">
        <f>Model!A1</f>
        <v>Company0670 Company0697</v>
      </c>
      <c r="I9" s="510"/>
      <c r="J9" s="510"/>
      <c r="K9" s="510"/>
      <c r="L9" s="510"/>
      <c r="M9" s="563"/>
      <c r="N9" s="510"/>
      <c r="O9" s="510"/>
      <c r="Q9" s="17"/>
      <c r="R9" s="17"/>
      <c r="S9" s="17"/>
      <c r="T9" s="17"/>
      <c r="U9" s="17"/>
      <c r="V9" s="17"/>
      <c r="W9" s="17"/>
    </row>
    <row r="10" spans="1:23" ht="18" x14ac:dyDescent="0.35">
      <c r="A10" s="17"/>
      <c r="B10" s="17"/>
      <c r="C10" s="512"/>
      <c r="D10" s="17"/>
      <c r="E10" s="17"/>
      <c r="F10" s="17"/>
      <c r="G10" s="17"/>
      <c r="H10" s="17"/>
      <c r="I10" s="17"/>
      <c r="J10" s="17"/>
      <c r="K10" s="17"/>
      <c r="L10" s="17"/>
      <c r="M10" s="564"/>
      <c r="N10" s="17"/>
      <c r="O10" s="17"/>
      <c r="Q10" s="17"/>
      <c r="R10" s="17"/>
      <c r="S10" s="17"/>
      <c r="T10" s="17"/>
      <c r="U10" s="17"/>
      <c r="V10" s="17"/>
      <c r="W10" s="17"/>
    </row>
    <row r="11" spans="1:23" ht="18" x14ac:dyDescent="0.3">
      <c r="A11" s="17"/>
      <c r="B11" s="17"/>
      <c r="C11" s="509" t="s">
        <v>4</v>
      </c>
      <c r="D11" s="17"/>
      <c r="E11" s="17"/>
      <c r="F11" s="17"/>
      <c r="G11" s="17"/>
      <c r="H11" s="542">
        <f ca="1">OFFSET('Update Log'!$C$10,1,0,1,1)</f>
        <v>46149</v>
      </c>
      <c r="I11" s="17"/>
      <c r="J11" s="17"/>
      <c r="K11" s="17"/>
      <c r="L11" s="17"/>
      <c r="M11" s="17"/>
      <c r="N11" s="17"/>
      <c r="O11" s="17"/>
      <c r="Q11" s="17"/>
      <c r="R11" s="17"/>
      <c r="S11" s="17"/>
      <c r="T11" s="17"/>
      <c r="U11" s="17"/>
      <c r="V11" s="17"/>
      <c r="W11" s="17"/>
    </row>
    <row r="12" spans="1:23" ht="18" x14ac:dyDescent="0.35">
      <c r="A12" s="17"/>
      <c r="B12" s="17"/>
      <c r="C12" s="17"/>
      <c r="D12" s="17"/>
      <c r="E12" s="17"/>
      <c r="F12" s="17"/>
      <c r="G12" s="17"/>
      <c r="H12" s="514"/>
      <c r="I12" s="17"/>
      <c r="J12" s="17"/>
      <c r="K12" s="17"/>
      <c r="L12" s="17"/>
      <c r="M12" s="509" t="s">
        <v>3</v>
      </c>
      <c r="N12" s="17"/>
      <c r="O12" s="17"/>
      <c r="Q12" s="17"/>
      <c r="R12" s="17"/>
      <c r="S12" s="17"/>
      <c r="T12" s="17"/>
      <c r="U12" s="17"/>
      <c r="V12" s="17"/>
      <c r="W12" s="17"/>
    </row>
    <row r="13" spans="1:23" ht="18" x14ac:dyDescent="0.3">
      <c r="A13" s="17"/>
      <c r="B13" s="17"/>
      <c r="C13" s="509" t="s">
        <v>5</v>
      </c>
      <c r="D13" s="17"/>
      <c r="E13" s="17"/>
      <c r="F13" s="17"/>
      <c r="G13" s="17"/>
      <c r="H13" s="543" t="str">
        <f ca="1">OFFSET('Update Log'!$E$10,1,0,1,1)</f>
        <v>Quarterly (Earnings Report)</v>
      </c>
      <c r="I13" s="17"/>
      <c r="J13" s="17"/>
      <c r="K13" s="17"/>
      <c r="L13" s="17"/>
      <c r="M13" s="4" t="s">
        <v>752</v>
      </c>
      <c r="N13" s="3"/>
      <c r="O13" s="3"/>
      <c r="P13" s="2"/>
      <c r="Q13" s="17"/>
      <c r="R13" s="17"/>
      <c r="S13" s="17"/>
      <c r="T13" s="17"/>
      <c r="U13" s="17"/>
      <c r="V13" s="17"/>
      <c r="W13" s="17"/>
    </row>
    <row r="14" spans="1:23" x14ac:dyDescent="0.3">
      <c r="A14" s="17"/>
      <c r="B14" s="17"/>
      <c r="C14" s="17"/>
      <c r="D14" s="17"/>
      <c r="E14" s="17"/>
      <c r="F14" s="17"/>
      <c r="G14" s="17"/>
      <c r="H14" s="17"/>
      <c r="I14" s="17"/>
      <c r="J14" s="17"/>
      <c r="K14" s="17"/>
      <c r="L14" s="17"/>
      <c r="M14" s="4"/>
      <c r="N14" s="3"/>
      <c r="O14" s="3"/>
      <c r="P14" s="2"/>
      <c r="Q14" s="17"/>
      <c r="R14" s="17"/>
      <c r="S14" s="17"/>
      <c r="T14" s="17"/>
      <c r="U14" s="17"/>
      <c r="V14" s="17"/>
      <c r="W14" s="17"/>
    </row>
    <row r="15" spans="1:23" ht="18.75" customHeight="1" x14ac:dyDescent="0.3">
      <c r="A15" s="17"/>
      <c r="B15" s="17"/>
      <c r="C15" s="509" t="s">
        <v>6</v>
      </c>
      <c r="D15" s="510"/>
      <c r="E15" s="510"/>
      <c r="F15" s="510"/>
      <c r="G15" s="510"/>
      <c r="H15" s="544" t="s">
        <v>7</v>
      </c>
      <c r="I15" s="17"/>
      <c r="J15" s="515"/>
      <c r="K15" s="17"/>
      <c r="L15" s="17"/>
      <c r="M15" s="4"/>
      <c r="N15" s="3"/>
      <c r="O15" s="3"/>
      <c r="P15" s="2"/>
      <c r="Q15" s="17"/>
      <c r="R15" s="17"/>
      <c r="S15" s="17"/>
      <c r="T15" s="17"/>
      <c r="U15" s="17"/>
      <c r="V15" s="17"/>
      <c r="W15" s="17"/>
    </row>
    <row r="16" spans="1:23" ht="15" customHeight="1" x14ac:dyDescent="0.3">
      <c r="A16" s="17"/>
      <c r="B16" s="17"/>
      <c r="C16" s="510"/>
      <c r="D16" s="15"/>
      <c r="E16" s="15"/>
      <c r="F16" s="15"/>
      <c r="G16" s="15"/>
      <c r="H16" s="516">
        <f>IF(FP.DataSourceName="Bloomberg",1,IF(FP.DataSourceName="Capital IQ",2,IF(FP.DataSourceName="FactSet",3,IF(FP.DataSourceName="Refinitiv",4))))</f>
        <v>1</v>
      </c>
      <c r="I16" s="517"/>
      <c r="J16" s="515"/>
      <c r="K16" s="17"/>
      <c r="L16" s="17"/>
      <c r="M16" s="4"/>
      <c r="N16" s="3"/>
      <c r="O16" s="3"/>
      <c r="P16" s="2"/>
      <c r="Q16" s="17"/>
      <c r="R16" s="17"/>
      <c r="S16" s="17"/>
      <c r="T16" s="17"/>
      <c r="U16" s="17"/>
      <c r="V16" s="17"/>
      <c r="W16" s="17"/>
    </row>
    <row r="17" spans="1:23" s="74" customFormat="1" ht="18" x14ac:dyDescent="0.35">
      <c r="A17" s="15"/>
      <c r="B17" s="15"/>
      <c r="C17" s="512"/>
      <c r="D17" s="15"/>
      <c r="E17" s="15"/>
      <c r="F17" s="15"/>
      <c r="G17" s="15"/>
      <c r="H17" s="15"/>
      <c r="I17" s="517"/>
      <c r="J17" s="515"/>
      <c r="K17" s="17"/>
      <c r="L17" s="17"/>
      <c r="M17" s="4"/>
      <c r="N17" s="1"/>
      <c r="O17" s="1"/>
      <c r="P17" s="984"/>
      <c r="Q17" s="15"/>
      <c r="R17" s="15"/>
      <c r="S17" s="15"/>
      <c r="T17" s="15"/>
      <c r="U17" s="15"/>
      <c r="V17" s="15"/>
      <c r="W17" s="17"/>
    </row>
    <row r="18" spans="1:23" s="74" customFormat="1" ht="18.75" customHeight="1" x14ac:dyDescent="0.3">
      <c r="A18" s="15"/>
      <c r="B18" s="15"/>
      <c r="C18" s="509" t="s">
        <v>8</v>
      </c>
      <c r="D18" s="510"/>
      <c r="E18" s="510"/>
      <c r="F18" s="510"/>
      <c r="G18" s="510"/>
      <c r="H18" s="544" t="s">
        <v>662</v>
      </c>
      <c r="I18" s="518"/>
      <c r="J18" s="518"/>
      <c r="K18" s="17"/>
      <c r="L18" s="17"/>
      <c r="M18" s="4"/>
      <c r="N18" s="1"/>
      <c r="O18" s="1"/>
      <c r="P18" s="984"/>
      <c r="Q18" s="15"/>
      <c r="R18" s="15"/>
      <c r="S18" s="15"/>
      <c r="T18" s="15"/>
      <c r="U18" s="15"/>
      <c r="V18" s="15"/>
      <c r="W18" s="17"/>
    </row>
    <row r="19" spans="1:23" s="74" customFormat="1" x14ac:dyDescent="0.3">
      <c r="A19" s="15"/>
      <c r="B19" s="15"/>
      <c r="C19" s="510"/>
      <c r="D19" s="15"/>
      <c r="E19" s="15"/>
      <c r="F19" s="15"/>
      <c r="G19" s="15"/>
      <c r="H19" s="15"/>
      <c r="I19" s="517"/>
      <c r="J19" s="515"/>
      <c r="K19" s="17"/>
      <c r="L19" s="17"/>
      <c r="M19" s="4"/>
      <c r="N19" s="1"/>
      <c r="O19" s="1"/>
      <c r="P19" s="984"/>
      <c r="Q19" s="15"/>
      <c r="R19" s="15"/>
      <c r="S19" s="15"/>
      <c r="T19" s="15"/>
      <c r="U19" s="15"/>
      <c r="V19" s="15"/>
      <c r="W19" s="17"/>
    </row>
    <row r="20" spans="1:23" s="74" customFormat="1" ht="18.75" customHeight="1" x14ac:dyDescent="0.35">
      <c r="A20" s="15"/>
      <c r="B20" s="15"/>
      <c r="C20" s="519" t="s">
        <v>9</v>
      </c>
      <c r="D20" s="15"/>
      <c r="E20" s="15"/>
      <c r="F20" s="520">
        <v>46148</v>
      </c>
      <c r="G20" s="15"/>
      <c r="H20" s="545">
        <v>185.16</v>
      </c>
      <c r="I20" s="517"/>
      <c r="J20" s="515"/>
      <c r="K20" s="17"/>
      <c r="L20" s="17"/>
      <c r="M20" s="4"/>
      <c r="N20" s="1"/>
      <c r="O20" s="1"/>
      <c r="P20" s="984"/>
      <c r="Q20" s="15"/>
      <c r="R20" s="15"/>
      <c r="S20" s="15"/>
      <c r="T20" s="15"/>
      <c r="U20" s="15"/>
      <c r="V20" s="15"/>
      <c r="W20" s="17"/>
    </row>
    <row r="21" spans="1:23" s="74" customFormat="1" x14ac:dyDescent="0.3">
      <c r="A21" s="15"/>
      <c r="B21" s="15"/>
      <c r="C21" s="15"/>
      <c r="D21" s="17"/>
      <c r="E21" s="17"/>
      <c r="F21" s="17"/>
      <c r="G21" s="17"/>
      <c r="H21" s="17"/>
      <c r="I21" s="17"/>
      <c r="J21" s="17"/>
      <c r="K21" s="17"/>
      <c r="L21" s="17"/>
      <c r="M21" s="17"/>
      <c r="N21" s="15"/>
      <c r="O21" s="15"/>
      <c r="P21" s="15"/>
      <c r="Q21" s="15"/>
      <c r="R21" s="15"/>
      <c r="S21" s="15"/>
      <c r="T21" s="15"/>
      <c r="U21" s="15"/>
      <c r="V21" s="15"/>
      <c r="W21" s="15"/>
    </row>
    <row r="22" spans="1:23" ht="16.350000000000001" customHeight="1" x14ac:dyDescent="0.3">
      <c r="A22" s="17"/>
      <c r="B22" s="17"/>
      <c r="C22" s="13" t="s">
        <v>526</v>
      </c>
      <c r="D22" s="12"/>
      <c r="E22" s="12"/>
      <c r="F22" s="12"/>
      <c r="G22" s="12"/>
      <c r="H22" s="12"/>
      <c r="I22" s="12"/>
      <c r="J22" s="12"/>
      <c r="K22" s="12"/>
      <c r="L22" s="12"/>
      <c r="M22" s="12"/>
      <c r="N22" s="12"/>
      <c r="O22" s="12"/>
      <c r="P22" s="11"/>
      <c r="Q22" s="17"/>
      <c r="R22" s="17"/>
      <c r="S22" s="17"/>
      <c r="T22" s="17"/>
      <c r="U22" s="17"/>
      <c r="V22" s="17"/>
      <c r="W22" s="17"/>
    </row>
    <row r="23" spans="1:23" ht="16.350000000000001" customHeight="1" x14ac:dyDescent="0.3">
      <c r="A23" s="17"/>
      <c r="B23" s="17"/>
      <c r="C23" s="10"/>
      <c r="D23" s="9"/>
      <c r="E23" s="9"/>
      <c r="F23" s="9"/>
      <c r="G23" s="9"/>
      <c r="H23" s="9"/>
      <c r="I23" s="9"/>
      <c r="J23" s="9"/>
      <c r="K23" s="9"/>
      <c r="L23" s="9"/>
      <c r="M23" s="9"/>
      <c r="N23" s="9"/>
      <c r="O23" s="9"/>
      <c r="P23" s="8"/>
      <c r="Q23" s="17"/>
      <c r="R23" s="17"/>
      <c r="S23" s="17"/>
      <c r="T23" s="17"/>
      <c r="U23" s="17"/>
      <c r="V23" s="17"/>
      <c r="W23" s="17"/>
    </row>
    <row r="24" spans="1:23" ht="16.350000000000001" customHeight="1" x14ac:dyDescent="0.3">
      <c r="A24" s="17"/>
      <c r="B24" s="17"/>
      <c r="C24" s="10"/>
      <c r="D24" s="9"/>
      <c r="E24" s="9"/>
      <c r="F24" s="9"/>
      <c r="G24" s="9"/>
      <c r="H24" s="9"/>
      <c r="I24" s="9"/>
      <c r="J24" s="9"/>
      <c r="K24" s="9"/>
      <c r="L24" s="9"/>
      <c r="M24" s="9"/>
      <c r="N24" s="9"/>
      <c r="O24" s="9"/>
      <c r="P24" s="8"/>
      <c r="Q24" s="17"/>
      <c r="R24" s="17"/>
      <c r="S24" s="17"/>
      <c r="T24" s="17"/>
      <c r="U24" s="17"/>
      <c r="V24" s="17"/>
      <c r="W24" s="17"/>
    </row>
    <row r="25" spans="1:23" ht="16.350000000000001" customHeight="1" x14ac:dyDescent="0.3">
      <c r="A25" s="17"/>
      <c r="B25" s="17"/>
      <c r="C25" s="10"/>
      <c r="D25" s="9"/>
      <c r="E25" s="9"/>
      <c r="F25" s="9"/>
      <c r="G25" s="9"/>
      <c r="H25" s="9"/>
      <c r="I25" s="9"/>
      <c r="J25" s="9"/>
      <c r="K25" s="9"/>
      <c r="L25" s="9"/>
      <c r="M25" s="9"/>
      <c r="N25" s="9"/>
      <c r="O25" s="9"/>
      <c r="P25" s="8"/>
      <c r="Q25" s="17"/>
      <c r="R25" s="17"/>
      <c r="S25" s="17"/>
      <c r="T25" s="17"/>
      <c r="U25" s="17"/>
      <c r="V25" s="17"/>
      <c r="W25" s="17"/>
    </row>
    <row r="26" spans="1:23" ht="16.350000000000001" customHeight="1" x14ac:dyDescent="0.3">
      <c r="A26" s="17"/>
      <c r="B26" s="17"/>
      <c r="C26" s="10"/>
      <c r="D26" s="9"/>
      <c r="E26" s="9"/>
      <c r="F26" s="9"/>
      <c r="G26" s="9"/>
      <c r="H26" s="9"/>
      <c r="I26" s="9"/>
      <c r="J26" s="9"/>
      <c r="K26" s="9"/>
      <c r="L26" s="9"/>
      <c r="M26" s="9"/>
      <c r="N26" s="9"/>
      <c r="O26" s="9"/>
      <c r="P26" s="8"/>
      <c r="Q26" s="17"/>
      <c r="R26" s="17"/>
      <c r="S26" s="17"/>
      <c r="T26" s="17"/>
      <c r="U26" s="17"/>
      <c r="V26" s="17"/>
      <c r="W26" s="17"/>
    </row>
    <row r="27" spans="1:23" ht="16.350000000000001" customHeight="1" x14ac:dyDescent="0.3">
      <c r="A27" s="17"/>
      <c r="B27" s="17"/>
      <c r="C27" s="10"/>
      <c r="D27" s="9"/>
      <c r="E27" s="9"/>
      <c r="F27" s="9"/>
      <c r="G27" s="9"/>
      <c r="H27" s="9"/>
      <c r="I27" s="9"/>
      <c r="J27" s="9"/>
      <c r="K27" s="9"/>
      <c r="L27" s="9"/>
      <c r="M27" s="9"/>
      <c r="N27" s="9"/>
      <c r="O27" s="9"/>
      <c r="P27" s="8"/>
      <c r="Q27" s="17"/>
      <c r="R27" s="17"/>
      <c r="S27" s="17"/>
      <c r="T27" s="17"/>
      <c r="U27" s="17"/>
      <c r="V27" s="17"/>
      <c r="W27" s="17"/>
    </row>
    <row r="28" spans="1:23" ht="16.350000000000001" customHeight="1" x14ac:dyDescent="0.3">
      <c r="A28" s="17"/>
      <c r="B28" s="17"/>
      <c r="C28" s="10"/>
      <c r="D28" s="9"/>
      <c r="E28" s="9"/>
      <c r="F28" s="9"/>
      <c r="G28" s="9"/>
      <c r="H28" s="9"/>
      <c r="I28" s="9"/>
      <c r="J28" s="9"/>
      <c r="K28" s="9"/>
      <c r="L28" s="9"/>
      <c r="M28" s="9"/>
      <c r="N28" s="9"/>
      <c r="O28" s="9"/>
      <c r="P28" s="8"/>
      <c r="Q28" s="17"/>
      <c r="R28" s="17"/>
      <c r="S28" s="17"/>
      <c r="T28" s="17"/>
      <c r="U28" s="17"/>
      <c r="V28" s="17"/>
      <c r="W28" s="17"/>
    </row>
    <row r="29" spans="1:23" ht="16.350000000000001" customHeight="1" x14ac:dyDescent="0.3">
      <c r="A29" s="17"/>
      <c r="B29" s="17"/>
      <c r="C29" s="10"/>
      <c r="D29" s="9"/>
      <c r="E29" s="9"/>
      <c r="F29" s="9"/>
      <c r="G29" s="9"/>
      <c r="H29" s="9"/>
      <c r="I29" s="9"/>
      <c r="J29" s="9"/>
      <c r="K29" s="9"/>
      <c r="L29" s="9"/>
      <c r="M29" s="9"/>
      <c r="N29" s="9"/>
      <c r="O29" s="9"/>
      <c r="P29" s="8"/>
      <c r="Q29" s="17"/>
      <c r="R29" s="17"/>
      <c r="S29" s="17"/>
      <c r="T29" s="17"/>
      <c r="U29" s="17"/>
      <c r="V29" s="17"/>
      <c r="W29" s="17"/>
    </row>
    <row r="30" spans="1:23" ht="16.350000000000001" customHeight="1" x14ac:dyDescent="0.3">
      <c r="A30" s="17"/>
      <c r="B30" s="17"/>
      <c r="C30" s="10"/>
      <c r="D30" s="9"/>
      <c r="E30" s="9"/>
      <c r="F30" s="9"/>
      <c r="G30" s="9"/>
      <c r="H30" s="9"/>
      <c r="I30" s="9"/>
      <c r="J30" s="9"/>
      <c r="K30" s="9"/>
      <c r="L30" s="9"/>
      <c r="M30" s="9"/>
      <c r="N30" s="9"/>
      <c r="O30" s="9"/>
      <c r="P30" s="8"/>
      <c r="Q30" s="17"/>
      <c r="R30" s="17"/>
      <c r="S30" s="17"/>
      <c r="T30" s="17"/>
      <c r="U30" s="17"/>
      <c r="V30" s="17"/>
      <c r="W30" s="17"/>
    </row>
    <row r="31" spans="1:23" ht="16.350000000000001" customHeight="1" x14ac:dyDescent="0.3">
      <c r="A31" s="17"/>
      <c r="B31" s="17"/>
      <c r="C31" s="10"/>
      <c r="D31" s="9"/>
      <c r="E31" s="9"/>
      <c r="F31" s="9"/>
      <c r="G31" s="9"/>
      <c r="H31" s="9"/>
      <c r="I31" s="9"/>
      <c r="J31" s="9"/>
      <c r="K31" s="9"/>
      <c r="L31" s="9"/>
      <c r="M31" s="9"/>
      <c r="N31" s="9"/>
      <c r="O31" s="9"/>
      <c r="P31" s="8"/>
      <c r="Q31" s="17"/>
      <c r="R31" s="17"/>
      <c r="S31" s="17"/>
      <c r="T31" s="17"/>
      <c r="U31" s="17"/>
      <c r="V31" s="17"/>
      <c r="W31" s="17"/>
    </row>
    <row r="32" spans="1:23" ht="16.350000000000001" customHeight="1" x14ac:dyDescent="0.3">
      <c r="A32" s="17"/>
      <c r="B32" s="17"/>
      <c r="C32" s="10"/>
      <c r="D32" s="9"/>
      <c r="E32" s="9"/>
      <c r="F32" s="9"/>
      <c r="G32" s="9"/>
      <c r="H32" s="9"/>
      <c r="I32" s="9"/>
      <c r="J32" s="9"/>
      <c r="K32" s="9"/>
      <c r="L32" s="9"/>
      <c r="M32" s="9"/>
      <c r="N32" s="9"/>
      <c r="O32" s="9"/>
      <c r="P32" s="8"/>
      <c r="Q32" s="17"/>
      <c r="R32" s="17"/>
      <c r="S32" s="17"/>
      <c r="T32" s="17"/>
      <c r="U32" s="17"/>
      <c r="V32" s="17"/>
      <c r="W32" s="17"/>
    </row>
    <row r="33" spans="1:23" ht="16.350000000000001" customHeight="1" x14ac:dyDescent="0.3">
      <c r="A33" s="17"/>
      <c r="B33" s="17"/>
      <c r="C33" s="10"/>
      <c r="D33" s="9"/>
      <c r="E33" s="9"/>
      <c r="F33" s="9"/>
      <c r="G33" s="9"/>
      <c r="H33" s="9"/>
      <c r="I33" s="9"/>
      <c r="J33" s="9"/>
      <c r="K33" s="9"/>
      <c r="L33" s="9"/>
      <c r="M33" s="9"/>
      <c r="N33" s="9"/>
      <c r="O33" s="9"/>
      <c r="P33" s="8"/>
      <c r="Q33" s="17"/>
      <c r="R33" s="17"/>
      <c r="S33" s="17"/>
      <c r="T33" s="17"/>
      <c r="U33" s="17"/>
      <c r="V33" s="17"/>
      <c r="W33" s="17"/>
    </row>
    <row r="34" spans="1:23" ht="16.350000000000001" customHeight="1" x14ac:dyDescent="0.3">
      <c r="A34" s="17"/>
      <c r="B34" s="17"/>
      <c r="C34" s="10"/>
      <c r="D34" s="9"/>
      <c r="E34" s="9"/>
      <c r="F34" s="9"/>
      <c r="G34" s="9"/>
      <c r="H34" s="9"/>
      <c r="I34" s="9"/>
      <c r="J34" s="9"/>
      <c r="K34" s="9"/>
      <c r="L34" s="9"/>
      <c r="M34" s="9"/>
      <c r="N34" s="9"/>
      <c r="O34" s="9"/>
      <c r="P34" s="8"/>
      <c r="Q34" s="17"/>
      <c r="R34" s="17"/>
      <c r="S34" s="17"/>
      <c r="T34" s="17"/>
      <c r="U34" s="17"/>
      <c r="V34" s="17"/>
      <c r="W34" s="17"/>
    </row>
    <row r="35" spans="1:23" ht="16.350000000000001" customHeight="1" x14ac:dyDescent="0.3">
      <c r="A35" s="17"/>
      <c r="B35" s="17"/>
      <c r="C35" s="10"/>
      <c r="D35" s="9"/>
      <c r="E35" s="9"/>
      <c r="F35" s="9"/>
      <c r="G35" s="9"/>
      <c r="H35" s="9"/>
      <c r="I35" s="9"/>
      <c r="J35" s="9"/>
      <c r="K35" s="9"/>
      <c r="L35" s="9"/>
      <c r="M35" s="9"/>
      <c r="N35" s="9"/>
      <c r="O35" s="9"/>
      <c r="P35" s="8"/>
      <c r="Q35" s="17"/>
      <c r="R35" s="17"/>
      <c r="S35" s="17"/>
      <c r="T35" s="17"/>
      <c r="U35" s="17"/>
      <c r="V35" s="17"/>
      <c r="W35" s="17"/>
    </row>
    <row r="36" spans="1:23" ht="16.350000000000001" customHeight="1" x14ac:dyDescent="0.3">
      <c r="A36" s="17"/>
      <c r="B36" s="17"/>
      <c r="C36" s="10"/>
      <c r="D36" s="9"/>
      <c r="E36" s="9"/>
      <c r="F36" s="9"/>
      <c r="G36" s="9"/>
      <c r="H36" s="9"/>
      <c r="I36" s="9"/>
      <c r="J36" s="9"/>
      <c r="K36" s="9"/>
      <c r="L36" s="9"/>
      <c r="M36" s="9"/>
      <c r="N36" s="9"/>
      <c r="O36" s="9"/>
      <c r="P36" s="8"/>
      <c r="Q36" s="17"/>
      <c r="R36" s="17"/>
      <c r="S36" s="17"/>
      <c r="T36" s="17"/>
      <c r="U36" s="17"/>
      <c r="V36" s="17"/>
      <c r="W36" s="17"/>
    </row>
    <row r="37" spans="1:23" ht="16.350000000000001" customHeight="1" x14ac:dyDescent="0.3">
      <c r="A37" s="17"/>
      <c r="B37" s="17"/>
      <c r="C37" s="10"/>
      <c r="D37" s="9"/>
      <c r="E37" s="9"/>
      <c r="F37" s="9"/>
      <c r="G37" s="9"/>
      <c r="H37" s="9"/>
      <c r="I37" s="9"/>
      <c r="J37" s="9"/>
      <c r="K37" s="9"/>
      <c r="L37" s="9"/>
      <c r="M37" s="9"/>
      <c r="N37" s="9"/>
      <c r="O37" s="9"/>
      <c r="P37" s="8"/>
      <c r="Q37" s="17"/>
      <c r="R37" s="17"/>
      <c r="S37" s="17"/>
      <c r="T37" s="17"/>
      <c r="U37" s="17"/>
      <c r="V37" s="17"/>
      <c r="W37" s="17"/>
    </row>
    <row r="38" spans="1:23" ht="16.350000000000001" customHeight="1" x14ac:dyDescent="0.3">
      <c r="A38" s="17"/>
      <c r="B38" s="17"/>
      <c r="C38" s="10"/>
      <c r="D38" s="9"/>
      <c r="E38" s="9"/>
      <c r="F38" s="9"/>
      <c r="G38" s="9"/>
      <c r="H38" s="9"/>
      <c r="I38" s="9"/>
      <c r="J38" s="9"/>
      <c r="K38" s="9"/>
      <c r="L38" s="9"/>
      <c r="M38" s="9"/>
      <c r="N38" s="9"/>
      <c r="O38" s="9"/>
      <c r="P38" s="8"/>
      <c r="Q38" s="17"/>
      <c r="R38" s="17"/>
      <c r="S38" s="17"/>
      <c r="T38" s="17"/>
      <c r="U38" s="17"/>
      <c r="V38" s="17"/>
      <c r="W38" s="17"/>
    </row>
    <row r="39" spans="1:23" ht="16.350000000000001" customHeight="1" x14ac:dyDescent="0.3">
      <c r="A39" s="17"/>
      <c r="B39" s="17"/>
      <c r="C39" s="10"/>
      <c r="D39" s="9"/>
      <c r="E39" s="9"/>
      <c r="F39" s="9"/>
      <c r="G39" s="9"/>
      <c r="H39" s="9"/>
      <c r="I39" s="9"/>
      <c r="J39" s="9"/>
      <c r="K39" s="9"/>
      <c r="L39" s="9"/>
      <c r="M39" s="9"/>
      <c r="N39" s="9"/>
      <c r="O39" s="9"/>
      <c r="P39" s="8"/>
      <c r="Q39" s="17"/>
      <c r="R39" s="17"/>
      <c r="S39" s="17"/>
      <c r="T39" s="17"/>
      <c r="U39" s="17"/>
      <c r="V39" s="17"/>
      <c r="W39" s="17"/>
    </row>
    <row r="40" spans="1:23" ht="16.350000000000001" customHeight="1" x14ac:dyDescent="0.3">
      <c r="A40" s="17"/>
      <c r="B40" s="17"/>
      <c r="C40" s="10"/>
      <c r="D40" s="9"/>
      <c r="E40" s="9"/>
      <c r="F40" s="9"/>
      <c r="G40" s="9"/>
      <c r="H40" s="9"/>
      <c r="I40" s="9"/>
      <c r="J40" s="9"/>
      <c r="K40" s="9"/>
      <c r="L40" s="9"/>
      <c r="M40" s="9"/>
      <c r="N40" s="9"/>
      <c r="O40" s="9"/>
      <c r="P40" s="8"/>
      <c r="Q40" s="17"/>
      <c r="R40" s="17"/>
      <c r="S40" s="17"/>
      <c r="T40" s="17"/>
      <c r="U40" s="17"/>
      <c r="V40" s="17"/>
      <c r="W40" s="17"/>
    </row>
    <row r="41" spans="1:23" ht="16.350000000000001" customHeight="1" x14ac:dyDescent="0.3">
      <c r="A41" s="17"/>
      <c r="B41" s="17"/>
      <c r="C41" s="7"/>
      <c r="D41" s="6"/>
      <c r="E41" s="6"/>
      <c r="F41" s="6"/>
      <c r="G41" s="6"/>
      <c r="H41" s="6"/>
      <c r="I41" s="6"/>
      <c r="J41" s="6"/>
      <c r="K41" s="6"/>
      <c r="L41" s="6"/>
      <c r="M41" s="6"/>
      <c r="N41" s="6"/>
      <c r="O41" s="6"/>
      <c r="P41" s="5"/>
      <c r="Q41" s="17"/>
      <c r="R41" s="17"/>
      <c r="S41" s="17"/>
      <c r="T41" s="17"/>
      <c r="U41" s="17"/>
      <c r="V41" s="17"/>
      <c r="W41" s="17"/>
    </row>
    <row r="42" spans="1:23" x14ac:dyDescent="0.3">
      <c r="A42" s="17"/>
      <c r="B42" s="17"/>
      <c r="C42" s="17"/>
      <c r="D42" s="17"/>
      <c r="E42" s="17"/>
      <c r="F42" s="17"/>
      <c r="G42" s="17"/>
      <c r="H42" s="17"/>
      <c r="I42" s="17"/>
      <c r="J42" s="17"/>
      <c r="K42" s="17"/>
      <c r="L42" s="17"/>
      <c r="M42" s="17"/>
      <c r="N42" s="17"/>
      <c r="O42" s="17"/>
      <c r="P42" s="17"/>
      <c r="Q42" s="17"/>
      <c r="R42" s="17"/>
      <c r="S42" s="17"/>
      <c r="T42" s="17"/>
      <c r="U42" s="17"/>
      <c r="V42" s="17"/>
      <c r="W42" s="17"/>
    </row>
    <row r="43" spans="1:23" x14ac:dyDescent="0.3">
      <c r="A43" s="17"/>
      <c r="B43" s="17"/>
      <c r="C43" s="17"/>
      <c r="D43" s="17"/>
      <c r="E43" s="17"/>
      <c r="F43" s="17"/>
      <c r="G43" s="17"/>
      <c r="H43" s="17"/>
      <c r="I43" s="17"/>
      <c r="J43" s="17"/>
      <c r="K43" s="17"/>
      <c r="L43" s="17"/>
      <c r="M43" s="17"/>
      <c r="N43" s="17"/>
      <c r="O43" s="17"/>
      <c r="P43" s="17"/>
      <c r="Q43" s="17"/>
      <c r="R43" s="17"/>
      <c r="S43" s="17"/>
      <c r="T43" s="17"/>
      <c r="U43" s="17"/>
      <c r="V43" s="17"/>
      <c r="W43" s="17"/>
    </row>
    <row r="44" spans="1:23" x14ac:dyDescent="0.3">
      <c r="A44" s="17"/>
      <c r="B44" s="17"/>
      <c r="C44" s="17"/>
      <c r="D44" s="17"/>
      <c r="E44" s="17"/>
      <c r="F44" s="17"/>
      <c r="G44" s="17"/>
      <c r="H44" s="17"/>
      <c r="I44" s="17"/>
      <c r="J44" s="17"/>
      <c r="K44" s="17"/>
      <c r="L44" s="17"/>
      <c r="M44" s="17"/>
      <c r="N44" s="17"/>
      <c r="O44" s="17"/>
      <c r="P44" s="17"/>
      <c r="Q44" s="17"/>
      <c r="R44" s="17"/>
      <c r="S44" s="17"/>
      <c r="T44" s="17"/>
      <c r="U44" s="17"/>
      <c r="V44" s="17"/>
      <c r="W44" s="17"/>
    </row>
    <row r="45" spans="1:23" x14ac:dyDescent="0.3">
      <c r="A45" s="17"/>
      <c r="B45" s="17"/>
      <c r="C45" s="17"/>
      <c r="D45" s="17"/>
      <c r="E45" s="17"/>
      <c r="F45" s="17"/>
      <c r="G45" s="17"/>
      <c r="H45" s="17"/>
      <c r="I45" s="17"/>
      <c r="J45" s="17"/>
      <c r="K45" s="17"/>
      <c r="L45" s="17"/>
      <c r="M45" s="17"/>
      <c r="N45" s="17"/>
      <c r="O45" s="17"/>
      <c r="P45" s="17"/>
      <c r="Q45" s="17"/>
      <c r="R45" s="17"/>
      <c r="S45" s="17"/>
      <c r="T45" s="17"/>
      <c r="U45" s="17"/>
      <c r="V45" s="17"/>
      <c r="W45" s="17"/>
    </row>
    <row r="46" spans="1:23" x14ac:dyDescent="0.3">
      <c r="A46" s="17"/>
      <c r="B46" s="17"/>
      <c r="C46" s="17"/>
      <c r="D46" s="17"/>
      <c r="E46" s="17"/>
      <c r="F46" s="17"/>
      <c r="G46" s="17"/>
      <c r="H46" s="17"/>
      <c r="I46" s="17"/>
      <c r="J46" s="17"/>
      <c r="K46" s="17"/>
      <c r="L46" s="17"/>
      <c r="M46" s="17"/>
      <c r="N46" s="17"/>
      <c r="O46" s="17"/>
      <c r="P46" s="17"/>
      <c r="Q46" s="17"/>
      <c r="R46" s="17"/>
      <c r="S46" s="17"/>
      <c r="T46" s="17"/>
      <c r="U46" s="17"/>
      <c r="V46" s="17"/>
      <c r="W46" s="17"/>
    </row>
    <row r="47" spans="1:23" x14ac:dyDescent="0.3">
      <c r="A47" s="17"/>
      <c r="B47" s="17"/>
      <c r="C47" s="17"/>
      <c r="D47" s="17"/>
      <c r="E47" s="17"/>
      <c r="F47" s="17"/>
      <c r="G47" s="17"/>
      <c r="H47" s="17"/>
      <c r="I47" s="17"/>
      <c r="J47" s="17"/>
      <c r="K47" s="17"/>
      <c r="L47" s="17"/>
      <c r="M47" s="17"/>
      <c r="N47" s="17"/>
      <c r="O47" s="17"/>
      <c r="P47" s="17"/>
      <c r="Q47" s="17"/>
      <c r="R47" s="17"/>
      <c r="S47" s="17"/>
      <c r="T47" s="17"/>
      <c r="U47" s="17"/>
      <c r="V47" s="17"/>
      <c r="W47" s="17"/>
    </row>
    <row r="48" spans="1:23" x14ac:dyDescent="0.3">
      <c r="A48" s="17"/>
      <c r="B48" s="17"/>
      <c r="C48" s="17"/>
      <c r="D48" s="17"/>
      <c r="E48" s="17"/>
      <c r="F48" s="17"/>
      <c r="G48" s="17"/>
      <c r="H48" s="17"/>
      <c r="I48" s="17"/>
      <c r="J48" s="17"/>
      <c r="K48" s="17"/>
      <c r="L48" s="17"/>
      <c r="M48" s="17"/>
      <c r="N48" s="17"/>
      <c r="O48" s="17"/>
      <c r="P48" s="17"/>
      <c r="Q48" s="17"/>
      <c r="R48" s="17"/>
      <c r="S48" s="17"/>
      <c r="T48" s="17"/>
      <c r="U48" s="17"/>
      <c r="V48" s="17"/>
      <c r="W48" s="17"/>
    </row>
    <row r="49" spans="1:23" x14ac:dyDescent="0.3">
      <c r="A49" s="17"/>
      <c r="B49" s="17"/>
      <c r="C49" s="17"/>
      <c r="D49" s="17"/>
      <c r="E49" s="17"/>
      <c r="F49" s="17"/>
      <c r="G49" s="17"/>
      <c r="H49" s="17"/>
      <c r="I49" s="17"/>
      <c r="J49" s="17"/>
      <c r="K49" s="17"/>
      <c r="L49" s="17"/>
      <c r="M49" s="17"/>
      <c r="N49" s="17"/>
      <c r="O49" s="17"/>
      <c r="P49" s="17"/>
      <c r="Q49" s="17"/>
      <c r="R49" s="17"/>
      <c r="S49" s="17"/>
      <c r="T49" s="17"/>
      <c r="U49" s="17"/>
      <c r="V49" s="17"/>
      <c r="W49" s="17"/>
    </row>
    <row r="50" spans="1:23" x14ac:dyDescent="0.3">
      <c r="A50" s="17"/>
      <c r="B50" s="17"/>
      <c r="C50" s="17"/>
      <c r="D50" s="17"/>
      <c r="E50" s="17"/>
      <c r="F50" s="17"/>
      <c r="G50" s="17"/>
      <c r="H50" s="17"/>
      <c r="I50" s="17"/>
      <c r="J50" s="17"/>
      <c r="K50" s="17"/>
      <c r="L50" s="17"/>
      <c r="M50" s="17"/>
      <c r="N50" s="17"/>
      <c r="O50" s="17"/>
      <c r="P50" s="17"/>
      <c r="Q50" s="17"/>
      <c r="R50" s="17"/>
      <c r="S50" s="17"/>
      <c r="T50" s="17"/>
      <c r="U50" s="17"/>
      <c r="V50" s="17"/>
      <c r="W50" s="17"/>
    </row>
    <row r="51" spans="1:23" x14ac:dyDescent="0.3">
      <c r="A51" s="17"/>
      <c r="B51" s="17"/>
      <c r="C51" s="17"/>
      <c r="D51" s="17"/>
      <c r="E51" s="17"/>
      <c r="F51" s="17"/>
      <c r="G51" s="17"/>
      <c r="H51" s="17"/>
      <c r="I51" s="17"/>
      <c r="J51" s="17"/>
      <c r="K51" s="17"/>
      <c r="L51" s="17"/>
      <c r="M51" s="17"/>
      <c r="N51" s="17"/>
      <c r="O51" s="17"/>
      <c r="P51" s="17"/>
      <c r="Q51" s="17"/>
      <c r="R51" s="17"/>
      <c r="S51" s="17"/>
      <c r="T51" s="17"/>
      <c r="U51" s="17"/>
      <c r="V51" s="17"/>
      <c r="W51" s="17"/>
    </row>
    <row r="52" spans="1:23" x14ac:dyDescent="0.3">
      <c r="A52" s="17"/>
      <c r="B52" s="17"/>
      <c r="C52" s="17"/>
      <c r="D52" s="17"/>
      <c r="E52" s="17"/>
      <c r="F52" s="17"/>
      <c r="G52" s="17"/>
      <c r="H52" s="17"/>
      <c r="I52" s="17"/>
      <c r="J52" s="17"/>
      <c r="K52" s="17"/>
      <c r="L52" s="17"/>
      <c r="M52" s="17"/>
      <c r="N52" s="17"/>
      <c r="O52" s="17"/>
      <c r="P52" s="17"/>
      <c r="Q52" s="17"/>
      <c r="R52" s="17"/>
      <c r="S52" s="17"/>
      <c r="T52" s="17"/>
      <c r="U52" s="17"/>
      <c r="V52" s="17"/>
      <c r="W52" s="17"/>
    </row>
    <row r="53" spans="1:23" x14ac:dyDescent="0.3">
      <c r="A53" s="17"/>
      <c r="B53" s="17"/>
      <c r="C53" s="17"/>
      <c r="D53" s="17"/>
      <c r="E53" s="17"/>
      <c r="F53" s="17"/>
      <c r="G53" s="17"/>
      <c r="H53" s="17"/>
      <c r="I53" s="17"/>
      <c r="J53" s="17"/>
      <c r="K53" s="17"/>
      <c r="L53" s="17"/>
      <c r="M53" s="17"/>
      <c r="N53" s="17"/>
      <c r="O53" s="17"/>
      <c r="P53" s="17"/>
      <c r="Q53" s="17"/>
      <c r="R53" s="17"/>
      <c r="S53" s="17"/>
      <c r="T53" s="17"/>
      <c r="U53" s="17"/>
      <c r="V53" s="17"/>
      <c r="W53" s="17"/>
    </row>
    <row r="54" spans="1:23" x14ac:dyDescent="0.3">
      <c r="A54" s="17"/>
      <c r="B54" s="17"/>
      <c r="C54" s="17"/>
      <c r="D54" s="17"/>
      <c r="E54" s="17"/>
      <c r="F54" s="17"/>
      <c r="G54" s="17"/>
      <c r="H54" s="17"/>
      <c r="I54" s="17"/>
      <c r="J54" s="17"/>
      <c r="K54" s="17"/>
      <c r="L54" s="17"/>
      <c r="M54" s="17"/>
      <c r="N54" s="17"/>
      <c r="O54" s="17"/>
      <c r="P54" s="17"/>
      <c r="Q54" s="17"/>
      <c r="R54" s="17"/>
      <c r="S54" s="17"/>
      <c r="T54" s="17"/>
      <c r="U54" s="17"/>
      <c r="V54" s="17"/>
      <c r="W54" s="17"/>
    </row>
    <row r="55" spans="1:23" x14ac:dyDescent="0.3">
      <c r="A55" s="17"/>
      <c r="B55" s="17"/>
      <c r="C55" s="17"/>
      <c r="D55" s="17"/>
      <c r="E55" s="17"/>
      <c r="F55" s="17"/>
      <c r="G55" s="17"/>
      <c r="H55" s="17"/>
      <c r="I55" s="17"/>
      <c r="J55" s="17"/>
      <c r="K55" s="17"/>
      <c r="L55" s="17"/>
      <c r="M55" s="17"/>
      <c r="N55" s="17"/>
      <c r="O55" s="17"/>
      <c r="P55" s="17"/>
      <c r="Q55" s="17"/>
      <c r="R55" s="17"/>
      <c r="S55" s="17"/>
      <c r="T55" s="17"/>
      <c r="U55" s="17"/>
      <c r="V55" s="17"/>
      <c r="W55" s="17"/>
    </row>
    <row r="56" spans="1:23" x14ac:dyDescent="0.3">
      <c r="A56" s="17"/>
      <c r="B56" s="17"/>
      <c r="C56" s="17"/>
      <c r="D56" s="17"/>
      <c r="E56" s="17"/>
      <c r="F56" s="17"/>
      <c r="G56" s="17"/>
      <c r="H56" s="17"/>
      <c r="I56" s="17"/>
      <c r="J56" s="17"/>
      <c r="K56" s="17"/>
      <c r="L56" s="17"/>
      <c r="M56" s="17"/>
      <c r="N56" s="17"/>
      <c r="O56" s="17"/>
      <c r="P56" s="17"/>
      <c r="Q56" s="17"/>
      <c r="R56" s="17"/>
      <c r="S56" s="17"/>
      <c r="T56" s="17"/>
      <c r="U56" s="17"/>
      <c r="V56" s="17"/>
      <c r="W56" s="17"/>
    </row>
    <row r="57" spans="1:23" x14ac:dyDescent="0.3">
      <c r="A57" s="17"/>
      <c r="B57" s="17"/>
      <c r="C57" s="17"/>
      <c r="D57" s="17"/>
      <c r="E57" s="17"/>
      <c r="F57" s="17"/>
      <c r="G57" s="17"/>
      <c r="H57" s="17"/>
      <c r="I57" s="17"/>
      <c r="J57" s="17"/>
      <c r="K57" s="17"/>
      <c r="L57" s="17"/>
      <c r="M57" s="17"/>
      <c r="N57" s="17"/>
      <c r="O57" s="17"/>
      <c r="P57" s="17"/>
      <c r="Q57" s="17"/>
      <c r="R57" s="17"/>
      <c r="S57" s="17"/>
      <c r="T57" s="17"/>
      <c r="U57" s="17"/>
      <c r="V57" s="17"/>
      <c r="W57" s="17"/>
    </row>
    <row r="67" spans="33:33" x14ac:dyDescent="0.3">
      <c r="AG67" s="634"/>
    </row>
  </sheetData>
  <mergeCells count="3">
    <mergeCell ref="F8:K8"/>
    <mergeCell ref="C22:P41"/>
    <mergeCell ref="M13:P20"/>
  </mergeCells>
  <conditionalFormatting sqref="C20:H20">
    <cfRule type="expression" dxfId="10" priority="50">
      <formula>AND(FP.RealTimeToggle="ON",MO.RealTime="ON")</formula>
    </cfRule>
  </conditionalFormatting>
  <dataValidations count="3">
    <dataValidation type="list" allowBlank="1" showInputMessage="1" showErrorMessage="1" sqref="H18" xr:uid="{00000000-0002-0000-0000-000000000000}">
      <formula1>"ON, OFF"</formula1>
    </dataValidation>
    <dataValidation allowBlank="1" showInputMessage="1" showErrorMessage="1" sqref="H16" xr:uid="{00000000-0002-0000-0000-000001000000}"/>
    <dataValidation type="list" allowBlank="1" showInputMessage="1" showErrorMessage="1" sqref="H15" xr:uid="{00000000-0002-0000-0000-000002000000}">
      <formula1>"Bloomberg, Capital IQ, FactSet, Refinitiv"</formula1>
    </dataValidation>
  </dataValidations>
  <hyperlinks>
    <hyperlink ref="M7" r:id="rId1" tooltip="Click to directly email Source support" xr:uid="{00000000-0004-0000-0000-000000000000}"/>
    <hyperlink ref="M7:O7" r:id="rId2" tooltip="Click to directly email Source support" display="person@example.com" xr:uid="{00000000-0004-0000-0000-000001000000}"/>
  </hyperlinks>
  <pageMargins left="0.7" right="0.7" top="0.75" bottom="0.75" header="0.3" footer="0.3"/>
  <pageSetup scale="45" orientation="portrait" r:id="rId3"/>
  <customProperties>
    <customPr name="CarouselSheetID" r:id="rId4"/>
  </customProperties>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C36B0-2168-4554-98A9-0931423FAC60}">
  <sheetPr codeName="Sheet2">
    <pageSetUpPr fitToPage="1"/>
  </sheetPr>
  <dimension ref="A1:CG924"/>
  <sheetViews>
    <sheetView zoomScale="85" zoomScaleNormal="85" workbookViewId="0">
      <pane xSplit="2" ySplit="5" topLeftCell="BN6" activePane="bottomRight" state="frozenSplit"/>
      <selection pane="topRight" activeCell="C1" sqref="C1"/>
      <selection pane="bottomLeft" activeCell="A6" sqref="A6"/>
      <selection pane="bottomRight"/>
    </sheetView>
  </sheetViews>
  <sheetFormatPr defaultColWidth="9.44140625" defaultRowHeight="14.4" outlineLevelRow="2" outlineLevelCol="1" x14ac:dyDescent="0.3"/>
  <cols>
    <col min="1" max="1" width="48.33203125" customWidth="1"/>
    <col min="2" max="2" width="11.33203125" bestFit="1" customWidth="1"/>
    <col min="3" max="6" width="9.5546875" customWidth="1"/>
    <col min="7" max="10" width="9.5546875" hidden="1" customWidth="1" outlineLevel="1"/>
    <col min="11" max="11" width="9.5546875" customWidth="1" collapsed="1"/>
    <col min="12" max="15" width="9.5546875" hidden="1" customWidth="1" outlineLevel="1"/>
    <col min="16" max="16" width="9.5546875" customWidth="1" collapsed="1"/>
    <col min="17" max="20" width="9.5546875" hidden="1" customWidth="1" outlineLevel="1"/>
    <col min="21" max="21" width="9.5546875" customWidth="1" collapsed="1"/>
    <col min="22" max="25" width="9.5546875" hidden="1" customWidth="1" outlineLevel="1"/>
    <col min="26" max="26" width="9.5546875" customWidth="1" collapsed="1"/>
    <col min="27" max="30" width="9.5546875" hidden="1" customWidth="1" outlineLevel="1"/>
    <col min="31" max="31" width="9.5546875" customWidth="1" collapsed="1"/>
    <col min="32" max="35" width="9.5546875" hidden="1" customWidth="1" outlineLevel="1"/>
    <col min="36" max="36" width="9.5546875" customWidth="1" collapsed="1"/>
    <col min="37" max="40" width="9.5546875" hidden="1" customWidth="1" outlineLevel="1"/>
    <col min="41" max="41" width="9.5546875" customWidth="1" collapsed="1"/>
    <col min="42" max="45" width="9.5546875" hidden="1" customWidth="1" outlineLevel="1"/>
    <col min="46" max="46" width="9.5546875" customWidth="1" collapsed="1"/>
    <col min="47" max="50" width="9.5546875" hidden="1" customWidth="1" outlineLevel="1"/>
    <col min="51" max="51" width="9.5546875" customWidth="1" collapsed="1"/>
    <col min="52" max="55" width="9.5546875" hidden="1" customWidth="1" outlineLevel="1"/>
    <col min="56" max="56" width="9.5546875" customWidth="1" collapsed="1"/>
    <col min="57" max="60" width="9.5546875" hidden="1" customWidth="1" outlineLevel="1"/>
    <col min="61" max="61" width="9.5546875" customWidth="1" collapsed="1"/>
    <col min="62" max="65" width="9.5546875" hidden="1" customWidth="1" outlineLevel="1"/>
    <col min="66" max="66" width="9.5546875" customWidth="1" collapsed="1"/>
    <col min="67" max="70" width="9.5546875" customWidth="1" outlineLevel="1"/>
    <col min="71" max="71" width="9.5546875" customWidth="1"/>
    <col min="72" max="75" width="9.5546875" customWidth="1" outlineLevel="1"/>
    <col min="76" max="76" width="9.5546875" customWidth="1"/>
    <col min="77" max="80" width="9.5546875" customWidth="1" outlineLevel="1"/>
    <col min="81" max="84" width="9.5546875" customWidth="1"/>
    <col min="85" max="85" width="8.5546875" customWidth="1"/>
    <col min="86" max="86" width="9.44140625" customWidth="1"/>
  </cols>
  <sheetData>
    <row r="1" spans="1:85" s="424" customFormat="1" ht="28.8" x14ac:dyDescent="0.55000000000000004">
      <c r="A1" s="102" t="s">
        <v>10</v>
      </c>
      <c r="B1" s="722"/>
      <c r="C1" s="722"/>
      <c r="D1" s="722"/>
      <c r="E1" s="722"/>
      <c r="F1" s="722"/>
      <c r="G1" s="722"/>
      <c r="H1" s="722"/>
      <c r="I1" s="722"/>
      <c r="J1" s="722"/>
      <c r="K1" s="722"/>
      <c r="L1" s="722"/>
      <c r="M1" s="722"/>
      <c r="N1" s="722"/>
      <c r="O1" s="722"/>
      <c r="P1" s="722"/>
      <c r="Q1" s="722"/>
      <c r="R1" s="722"/>
      <c r="S1" s="722"/>
      <c r="T1" s="722"/>
      <c r="U1" s="722"/>
      <c r="V1" s="722"/>
      <c r="W1" s="722"/>
      <c r="X1" s="722"/>
      <c r="Y1" s="722"/>
      <c r="Z1" s="722"/>
      <c r="AA1" s="722"/>
      <c r="AB1" s="722"/>
      <c r="AC1" s="722"/>
      <c r="AD1" s="722"/>
      <c r="AE1" s="722"/>
      <c r="AF1" s="722"/>
      <c r="AG1" s="722"/>
      <c r="AH1" s="722"/>
      <c r="AI1" s="722"/>
      <c r="AJ1" s="722"/>
      <c r="AK1" s="722"/>
      <c r="AL1" s="722"/>
      <c r="AM1" s="722"/>
      <c r="AN1" s="722"/>
      <c r="AO1" s="722"/>
      <c r="AP1" s="722"/>
      <c r="AQ1" s="722"/>
      <c r="AR1" s="722"/>
      <c r="AS1" s="722"/>
      <c r="AT1" s="722"/>
      <c r="AU1" s="722"/>
      <c r="AV1" s="722"/>
      <c r="AW1" s="722"/>
      <c r="AX1" s="722"/>
      <c r="AY1" s="722"/>
      <c r="AZ1" s="722"/>
      <c r="BA1" s="722"/>
      <c r="BB1" s="722"/>
      <c r="BC1" s="722"/>
      <c r="BD1" s="722"/>
      <c r="BE1" s="722"/>
      <c r="BF1" s="722"/>
      <c r="BG1" s="722"/>
      <c r="BH1" s="722"/>
      <c r="BI1" s="722"/>
      <c r="BJ1" s="722"/>
      <c r="BK1" s="722"/>
      <c r="BL1" s="722"/>
      <c r="BM1" s="722"/>
      <c r="BN1" s="722"/>
      <c r="BO1" s="722"/>
      <c r="BP1" s="722"/>
      <c r="BQ1" s="722"/>
      <c r="BR1" s="722"/>
      <c r="BS1" s="722"/>
      <c r="BT1" s="723"/>
      <c r="BU1" s="722"/>
      <c r="BV1" s="722"/>
      <c r="BW1" s="722"/>
      <c r="BX1" s="722"/>
      <c r="BY1" s="722"/>
      <c r="BZ1" s="722"/>
      <c r="CA1" s="722"/>
      <c r="CB1" s="722"/>
      <c r="CC1" s="722"/>
      <c r="CD1" s="722"/>
      <c r="CE1" s="722"/>
      <c r="CF1" s="722"/>
      <c r="CG1" s="190"/>
    </row>
    <row r="2" spans="1:85" s="425" customFormat="1" x14ac:dyDescent="0.3">
      <c r="A2" s="314" t="str">
        <f>CHOOSE(MO.DataSourceIndex,MO.Ticker.Bloomberg,MO.Ticker.CapIQ,MO.Ticker.FactSet,MO.Ticker.Thomson)</f>
        <v>Ticker0006 US</v>
      </c>
      <c r="B2" s="328"/>
      <c r="C2" s="222">
        <f>EOMONTH(C4,-12)</f>
        <v>39813</v>
      </c>
      <c r="D2" s="329"/>
      <c r="E2" s="329"/>
      <c r="F2" s="329"/>
      <c r="G2" s="329"/>
      <c r="H2" s="329"/>
      <c r="I2" s="329"/>
      <c r="J2" s="329"/>
      <c r="K2" s="329"/>
      <c r="L2" s="329"/>
      <c r="M2" s="329"/>
      <c r="N2" s="329"/>
      <c r="O2" s="329"/>
      <c r="P2" s="329"/>
      <c r="Q2" s="329"/>
      <c r="R2" s="329"/>
      <c r="S2" s="329"/>
      <c r="T2" s="329"/>
      <c r="U2" s="329"/>
      <c r="V2" s="329"/>
      <c r="W2" s="329"/>
      <c r="X2" s="329"/>
      <c r="Y2" s="329"/>
      <c r="Z2" s="329"/>
      <c r="AA2" s="329"/>
      <c r="AB2" s="329"/>
      <c r="AC2" s="329"/>
      <c r="AD2" s="329"/>
      <c r="AE2" s="329"/>
      <c r="AF2" s="329"/>
      <c r="AG2" s="329"/>
      <c r="AH2" s="329"/>
      <c r="AI2" s="329"/>
      <c r="AJ2" s="329"/>
      <c r="AK2" s="329"/>
      <c r="AL2" s="329"/>
      <c r="AM2" s="330"/>
      <c r="AN2" s="329"/>
      <c r="AO2" s="329"/>
      <c r="AP2" s="302"/>
      <c r="AQ2" s="302"/>
      <c r="AR2" s="330"/>
      <c r="AS2" s="331"/>
      <c r="AT2" s="329"/>
      <c r="AU2" s="302"/>
      <c r="AV2" s="302"/>
      <c r="AW2" s="330"/>
      <c r="AX2" s="331"/>
      <c r="AY2" s="329"/>
      <c r="AZ2" s="302"/>
      <c r="BA2" s="330"/>
      <c r="BB2" s="330"/>
      <c r="BC2" s="331"/>
      <c r="BD2" s="329"/>
      <c r="BE2" s="302"/>
      <c r="BF2" s="330"/>
      <c r="BG2" s="330"/>
      <c r="BH2" s="331"/>
      <c r="BI2" s="329"/>
      <c r="BJ2" s="302"/>
      <c r="BK2" s="330"/>
      <c r="BL2" s="330"/>
      <c r="BM2" s="331"/>
      <c r="BN2" s="329"/>
      <c r="BO2" s="330"/>
      <c r="BP2" s="330"/>
      <c r="BQ2" s="330"/>
      <c r="BR2" s="330"/>
      <c r="BS2" s="635"/>
      <c r="BT2" s="636"/>
      <c r="BU2" s="329"/>
      <c r="BV2" s="329"/>
      <c r="BW2" s="329"/>
      <c r="BX2" s="329"/>
      <c r="BY2" s="329"/>
      <c r="BZ2" s="329"/>
      <c r="CA2" s="329"/>
      <c r="CB2" s="329"/>
      <c r="CC2" s="329"/>
      <c r="CD2" s="329"/>
      <c r="CE2" s="329"/>
      <c r="CF2" s="329"/>
      <c r="CG2" s="315"/>
    </row>
    <row r="3" spans="1:85" s="426" customFormat="1" x14ac:dyDescent="0.3">
      <c r="A3" s="316" t="str">
        <f ca="1">HP.TradeCurrency</f>
        <v>USD</v>
      </c>
      <c r="B3" s="317">
        <f ca="1">IF(MO.RealTime="OFF",MO.LastPriceHardcoded,MO.LastPriceFormula)</f>
        <v>185.16</v>
      </c>
      <c r="C3" s="813">
        <f>C4-C2</f>
        <v>365</v>
      </c>
      <c r="D3" s="813">
        <f t="shared" ref="D3:J3" si="0">D4-C4</f>
        <v>365</v>
      </c>
      <c r="E3" s="813">
        <f t="shared" si="0"/>
        <v>365</v>
      </c>
      <c r="F3" s="813">
        <f t="shared" si="0"/>
        <v>366</v>
      </c>
      <c r="G3" s="223">
        <f t="shared" si="0"/>
        <v>90</v>
      </c>
      <c r="H3" s="223">
        <f t="shared" si="0"/>
        <v>91</v>
      </c>
      <c r="I3" s="223">
        <f t="shared" si="0"/>
        <v>92</v>
      </c>
      <c r="J3" s="223">
        <f t="shared" si="0"/>
        <v>92</v>
      </c>
      <c r="K3" s="813">
        <f>K4-F4</f>
        <v>365</v>
      </c>
      <c r="L3" s="223">
        <f>L4-K4</f>
        <v>90</v>
      </c>
      <c r="M3" s="223">
        <f>M4-L4</f>
        <v>91</v>
      </c>
      <c r="N3" s="223">
        <f>N4-M4</f>
        <v>92</v>
      </c>
      <c r="O3" s="223">
        <f>O4-N4</f>
        <v>92</v>
      </c>
      <c r="P3" s="813">
        <f>P4-K4</f>
        <v>365</v>
      </c>
      <c r="Q3" s="223">
        <f>Q4-P4</f>
        <v>90</v>
      </c>
      <c r="R3" s="223">
        <f>R4-Q4</f>
        <v>91</v>
      </c>
      <c r="S3" s="223">
        <f>S4-R4</f>
        <v>92</v>
      </c>
      <c r="T3" s="223">
        <f>T4-S4</f>
        <v>92</v>
      </c>
      <c r="U3" s="813">
        <f>U4-P4</f>
        <v>365</v>
      </c>
      <c r="V3" s="223">
        <f>V4-U4</f>
        <v>91</v>
      </c>
      <c r="W3" s="223">
        <f>W4-V4</f>
        <v>91</v>
      </c>
      <c r="X3" s="223">
        <f>X4-W4</f>
        <v>92</v>
      </c>
      <c r="Y3" s="223">
        <f>Y4-X4</f>
        <v>92</v>
      </c>
      <c r="Z3" s="813">
        <f>Z4-U4</f>
        <v>366</v>
      </c>
      <c r="AA3" s="62">
        <f>AA4-Z4</f>
        <v>90</v>
      </c>
      <c r="AB3" s="223">
        <f>AB4-AA4</f>
        <v>91</v>
      </c>
      <c r="AC3" s="223">
        <f>AC4-AB4</f>
        <v>92</v>
      </c>
      <c r="AD3" s="223">
        <f>AD4-AC4</f>
        <v>92</v>
      </c>
      <c r="AE3" s="813">
        <f>AE4-Z4</f>
        <v>365</v>
      </c>
      <c r="AF3" s="62">
        <f>AF4-AE4</f>
        <v>90</v>
      </c>
      <c r="AG3" s="223">
        <f>AG4-AF4</f>
        <v>91</v>
      </c>
      <c r="AH3" s="223">
        <f>AH4-AG4</f>
        <v>92</v>
      </c>
      <c r="AI3" s="223">
        <f>AI4-AH4</f>
        <v>92</v>
      </c>
      <c r="AJ3" s="813">
        <f>AJ4-AE4</f>
        <v>365</v>
      </c>
      <c r="AK3" s="62">
        <f>AK4-AJ4</f>
        <v>90</v>
      </c>
      <c r="AL3" s="223">
        <f>AL4-AK4</f>
        <v>91</v>
      </c>
      <c r="AM3" s="223">
        <f>AM4-AL4</f>
        <v>92</v>
      </c>
      <c r="AN3" s="223">
        <f>AN4-AM4</f>
        <v>92</v>
      </c>
      <c r="AO3" s="813">
        <f>AO4-AJ4</f>
        <v>365</v>
      </c>
      <c r="AP3" s="62">
        <f>AP4-AO4</f>
        <v>91</v>
      </c>
      <c r="AQ3" s="223">
        <f>AQ4-AP4</f>
        <v>91</v>
      </c>
      <c r="AR3" s="223">
        <f>AR4-AQ4</f>
        <v>92</v>
      </c>
      <c r="AS3" s="223">
        <f>AS4-AR4</f>
        <v>92</v>
      </c>
      <c r="AT3" s="813">
        <f>AT4-AO4</f>
        <v>366</v>
      </c>
      <c r="AU3" s="62">
        <f>AU4-AT4</f>
        <v>90</v>
      </c>
      <c r="AV3" s="223">
        <f>AV4-AU4</f>
        <v>91</v>
      </c>
      <c r="AW3" s="223">
        <f>AW4-AV4</f>
        <v>92</v>
      </c>
      <c r="AX3" s="223">
        <f>AX4-AW4</f>
        <v>92</v>
      </c>
      <c r="AY3" s="813">
        <f>AY4-AT4</f>
        <v>365</v>
      </c>
      <c r="AZ3" s="62">
        <f>AZ4-AY4</f>
        <v>90</v>
      </c>
      <c r="BA3" s="223">
        <f>BA4-AZ4</f>
        <v>91</v>
      </c>
      <c r="BB3" s="223">
        <f>BB4-BA4</f>
        <v>92</v>
      </c>
      <c r="BC3" s="223">
        <f>BC4-BB4</f>
        <v>92</v>
      </c>
      <c r="BD3" s="813">
        <f>BD4-AY4</f>
        <v>365</v>
      </c>
      <c r="BE3" s="62">
        <f>BE4-BD4</f>
        <v>90</v>
      </c>
      <c r="BF3" s="223">
        <f>BF4-BE4</f>
        <v>91</v>
      </c>
      <c r="BG3" s="223">
        <f>BG4-BF4</f>
        <v>92</v>
      </c>
      <c r="BH3" s="223">
        <f>BH4-BG4</f>
        <v>92</v>
      </c>
      <c r="BI3" s="813">
        <f>BI4-BD4</f>
        <v>365</v>
      </c>
      <c r="BJ3" s="62">
        <f>BJ4-BI4</f>
        <v>91</v>
      </c>
      <c r="BK3" s="223">
        <f>BK4-BJ4</f>
        <v>91</v>
      </c>
      <c r="BL3" s="223">
        <f>BL4-BK4</f>
        <v>92</v>
      </c>
      <c r="BM3" s="223">
        <f>BM4-BL4</f>
        <v>92</v>
      </c>
      <c r="BN3" s="813">
        <f>BN4-BI4</f>
        <v>366</v>
      </c>
      <c r="BO3" s="62">
        <f>BO4-BN4</f>
        <v>90</v>
      </c>
      <c r="BP3" s="223">
        <f>BP4-BO4</f>
        <v>91</v>
      </c>
      <c r="BQ3" s="223">
        <f>BQ4-BP4</f>
        <v>92</v>
      </c>
      <c r="BR3" s="223">
        <f>BR4-BQ4</f>
        <v>92</v>
      </c>
      <c r="BS3" s="813">
        <f>BS4-BN4</f>
        <v>365</v>
      </c>
      <c r="BT3" s="637">
        <f>BT4-BS4</f>
        <v>90</v>
      </c>
      <c r="BU3" s="62">
        <f>BU4-BT4</f>
        <v>91</v>
      </c>
      <c r="BV3" s="62">
        <f>BV4-BU4</f>
        <v>92</v>
      </c>
      <c r="BW3" s="62">
        <f>BW4-BV4</f>
        <v>92</v>
      </c>
      <c r="BX3" s="814">
        <f>BX4-BS4</f>
        <v>365</v>
      </c>
      <c r="BY3" s="62">
        <f>BY4-BX4</f>
        <v>90</v>
      </c>
      <c r="BZ3" s="62">
        <f>BZ4-BY4</f>
        <v>91</v>
      </c>
      <c r="CA3" s="62">
        <f>CA4-BZ4</f>
        <v>92</v>
      </c>
      <c r="CB3" s="62">
        <f>CB4-CA4</f>
        <v>92</v>
      </c>
      <c r="CC3" s="814">
        <f>CC4-BX4</f>
        <v>365</v>
      </c>
      <c r="CD3" s="814">
        <f>CD4-CC4</f>
        <v>366</v>
      </c>
      <c r="CE3" s="814">
        <f>CE4-CD4</f>
        <v>365</v>
      </c>
      <c r="CF3" s="814">
        <f>CF4-CE4</f>
        <v>365</v>
      </c>
      <c r="CG3" s="318"/>
    </row>
    <row r="4" spans="1:85" x14ac:dyDescent="0.3">
      <c r="A4" s="319" t="str">
        <f>FP.DataSourceName</f>
        <v>Bloomberg</v>
      </c>
      <c r="B4" s="320" t="str">
        <f ca="1">IF(AND(MO.RealTimeStockPriceToggle,MO.LastPriceFormula&lt;&gt;"N/A"),"ON","OFF")</f>
        <v>OFF</v>
      </c>
      <c r="C4" s="815">
        <v>40178</v>
      </c>
      <c r="D4" s="816">
        <f>EOMONTH(C4,12)</f>
        <v>40543</v>
      </c>
      <c r="E4" s="816">
        <f>EOMONTH(D4,12)</f>
        <v>40908</v>
      </c>
      <c r="F4" s="816">
        <f>EOMONTH(E4,12)</f>
        <v>41274</v>
      </c>
      <c r="G4" s="101">
        <f>EOMONTH(F4,3)</f>
        <v>41364</v>
      </c>
      <c r="H4" s="101">
        <f>EOMONTH(G4,3)</f>
        <v>41455</v>
      </c>
      <c r="I4" s="101">
        <f>EOMONTH(H4,3)</f>
        <v>41547</v>
      </c>
      <c r="J4" s="101">
        <f>EOMONTH(I4,3)</f>
        <v>41639</v>
      </c>
      <c r="K4" s="816">
        <f>J4</f>
        <v>41639</v>
      </c>
      <c r="L4" s="101">
        <f>EOMONTH(K4,3)</f>
        <v>41729</v>
      </c>
      <c r="M4" s="101">
        <f>EOMONTH(L4,3)</f>
        <v>41820</v>
      </c>
      <c r="N4" s="101">
        <f>EOMONTH(M4,3)</f>
        <v>41912</v>
      </c>
      <c r="O4" s="101">
        <f>EOMONTH(N4,3)</f>
        <v>42004</v>
      </c>
      <c r="P4" s="816">
        <f>O4</f>
        <v>42004</v>
      </c>
      <c r="Q4" s="101">
        <f>EOMONTH(P4,3)</f>
        <v>42094</v>
      </c>
      <c r="R4" s="101">
        <f>EOMONTH(Q4,3)</f>
        <v>42185</v>
      </c>
      <c r="S4" s="101">
        <f>EOMONTH(R4,3)</f>
        <v>42277</v>
      </c>
      <c r="T4" s="101">
        <f>EOMONTH(S4,3)</f>
        <v>42369</v>
      </c>
      <c r="U4" s="816">
        <f>T4</f>
        <v>42369</v>
      </c>
      <c r="V4" s="101">
        <f>EOMONTH(U4,3)</f>
        <v>42460</v>
      </c>
      <c r="W4" s="224">
        <f>EOMONTH(V4,3)</f>
        <v>42551</v>
      </c>
      <c r="X4" s="101">
        <f>EOMONTH(W4,3)</f>
        <v>42643</v>
      </c>
      <c r="Y4" s="224">
        <f>EOMONTH(X4,3)</f>
        <v>42735</v>
      </c>
      <c r="Z4" s="817">
        <f>Y4</f>
        <v>42735</v>
      </c>
      <c r="AA4" s="101">
        <f>EOMONTH(Z4,3)</f>
        <v>42825</v>
      </c>
      <c r="AB4" s="224">
        <f>EOMONTH(AA4,3)</f>
        <v>42916</v>
      </c>
      <c r="AC4" s="101">
        <f>EOMONTH(AB4,3)</f>
        <v>43008</v>
      </c>
      <c r="AD4" s="224">
        <f>EOMONTH(AC4,3)</f>
        <v>43100</v>
      </c>
      <c r="AE4" s="817">
        <f>AD4</f>
        <v>43100</v>
      </c>
      <c r="AF4" s="101">
        <f>EOMONTH(AE4,3)</f>
        <v>43190</v>
      </c>
      <c r="AG4" s="224">
        <f>EOMONTH(AF4,3)</f>
        <v>43281</v>
      </c>
      <c r="AH4" s="101">
        <f>EOMONTH(AG4,3)</f>
        <v>43373</v>
      </c>
      <c r="AI4" s="224">
        <f>EOMONTH(AH4,3)</f>
        <v>43465</v>
      </c>
      <c r="AJ4" s="817">
        <f>AI4</f>
        <v>43465</v>
      </c>
      <c r="AK4" s="101">
        <f>EOMONTH(AJ4,3)</f>
        <v>43555</v>
      </c>
      <c r="AL4" s="224">
        <f>EOMONTH(AK4,3)</f>
        <v>43646</v>
      </c>
      <c r="AM4" s="101">
        <f>EOMONTH(AL4,3)</f>
        <v>43738</v>
      </c>
      <c r="AN4" s="224">
        <f>EOMONTH(AM4,3)</f>
        <v>43830</v>
      </c>
      <c r="AO4" s="817">
        <f>AN4</f>
        <v>43830</v>
      </c>
      <c r="AP4" s="101">
        <f>EOMONTH(AO4,3)</f>
        <v>43921</v>
      </c>
      <c r="AQ4" s="224">
        <f>EOMONTH(AP4,3)</f>
        <v>44012</v>
      </c>
      <c r="AR4" s="101">
        <f>EOMONTH(AQ4,3)</f>
        <v>44104</v>
      </c>
      <c r="AS4" s="224">
        <f>EOMONTH(AR4,3)</f>
        <v>44196</v>
      </c>
      <c r="AT4" s="817">
        <f>AS4</f>
        <v>44196</v>
      </c>
      <c r="AU4" s="101">
        <f>EOMONTH(AT4,3)</f>
        <v>44286</v>
      </c>
      <c r="AV4" s="224">
        <f>EOMONTH(AU4,3)</f>
        <v>44377</v>
      </c>
      <c r="AW4" s="101">
        <f>EOMONTH(AV4,3)</f>
        <v>44469</v>
      </c>
      <c r="AX4" s="224">
        <f>EOMONTH(AW4,3)</f>
        <v>44561</v>
      </c>
      <c r="AY4" s="817">
        <f>AX4</f>
        <v>44561</v>
      </c>
      <c r="AZ4" s="101">
        <f>EOMONTH(AY4,3)</f>
        <v>44651</v>
      </c>
      <c r="BA4" s="224">
        <f>EOMONTH(AZ4,3)</f>
        <v>44742</v>
      </c>
      <c r="BB4" s="101">
        <f>EOMONTH(BA4,3)</f>
        <v>44834</v>
      </c>
      <c r="BC4" s="224">
        <f>EOMONTH(BB4,3)</f>
        <v>44926</v>
      </c>
      <c r="BD4" s="817">
        <f>BC4</f>
        <v>44926</v>
      </c>
      <c r="BE4" s="101">
        <f>EOMONTH(BD4,3)</f>
        <v>45016</v>
      </c>
      <c r="BF4" s="224">
        <f>EOMONTH(BE4,3)</f>
        <v>45107</v>
      </c>
      <c r="BG4" s="101">
        <f>EOMONTH(BF4,3)</f>
        <v>45199</v>
      </c>
      <c r="BH4" s="224">
        <f>EOMONTH(BG4,3)</f>
        <v>45291</v>
      </c>
      <c r="BI4" s="817">
        <f>BH4</f>
        <v>45291</v>
      </c>
      <c r="BJ4" s="101">
        <f>EOMONTH(BI4,3)</f>
        <v>45382</v>
      </c>
      <c r="BK4" s="224">
        <f>EOMONTH(BJ4,3)</f>
        <v>45473</v>
      </c>
      <c r="BL4" s="101">
        <f>EOMONTH(BK4,3)</f>
        <v>45565</v>
      </c>
      <c r="BM4" s="224">
        <f>EOMONTH(BL4,3)</f>
        <v>45657</v>
      </c>
      <c r="BN4" s="817">
        <f>BM4</f>
        <v>45657</v>
      </c>
      <c r="BO4" s="101">
        <f>EOMONTH(BN4,3)</f>
        <v>45747</v>
      </c>
      <c r="BP4" s="224">
        <f>EOMONTH(BO4,3)</f>
        <v>45838</v>
      </c>
      <c r="BQ4" s="101">
        <f>EOMONTH(BP4,3)</f>
        <v>45930</v>
      </c>
      <c r="BR4" s="224">
        <f>EOMONTH(BQ4,3)</f>
        <v>46022</v>
      </c>
      <c r="BS4" s="817">
        <f>BR4</f>
        <v>46022</v>
      </c>
      <c r="BT4" s="638">
        <f>EOMONTH(BS4,3)</f>
        <v>46112</v>
      </c>
      <c r="BU4" s="101">
        <f>EOMONTH(BT4,3)</f>
        <v>46203</v>
      </c>
      <c r="BV4" s="101">
        <f>EOMONTH(BU4,3)</f>
        <v>46295</v>
      </c>
      <c r="BW4" s="101">
        <f>EOMONTH(BV4,3)</f>
        <v>46387</v>
      </c>
      <c r="BX4" s="816">
        <f>BW4</f>
        <v>46387</v>
      </c>
      <c r="BY4" s="101">
        <f>EOMONTH(BX4,3)</f>
        <v>46477</v>
      </c>
      <c r="BZ4" s="101">
        <f>EOMONTH(BY4,3)</f>
        <v>46568</v>
      </c>
      <c r="CA4" s="101">
        <f>EOMONTH(BZ4,3)</f>
        <v>46660</v>
      </c>
      <c r="CB4" s="101">
        <f>EOMONTH(CA4,3)</f>
        <v>46752</v>
      </c>
      <c r="CC4" s="816">
        <f>CB4</f>
        <v>46752</v>
      </c>
      <c r="CD4" s="816">
        <f>EOMONTH(CC4,12)</f>
        <v>47118</v>
      </c>
      <c r="CE4" s="816">
        <f>EOMONTH(CD4,12)</f>
        <v>47483</v>
      </c>
      <c r="CF4" s="816">
        <f>EOMONTH(CE4,12)</f>
        <v>47848</v>
      </c>
      <c r="CG4" s="30"/>
    </row>
    <row r="5" spans="1:85" s="425" customFormat="1" x14ac:dyDescent="0.3">
      <c r="A5" s="85" t="str">
        <f>MO.ReportCurrency</f>
        <v>USD</v>
      </c>
      <c r="B5" s="332"/>
      <c r="C5" s="818" t="s">
        <v>12</v>
      </c>
      <c r="D5" s="819" t="str">
        <f>CONCATENATE("FY",RIGHT(C5,4)+1)</f>
        <v>FY2010</v>
      </c>
      <c r="E5" s="819" t="str">
        <f>CONCATENATE("FY",RIGHT(D5,4)+1)</f>
        <v>FY2011</v>
      </c>
      <c r="F5" s="819" t="str">
        <f>CONCATENATE("FY",RIGHT(E5,4)+1)</f>
        <v>FY2012</v>
      </c>
      <c r="G5" s="28" t="str">
        <f>CONCATENATE("Q1","-",RIGHT(F5,4)+1)</f>
        <v>Q1-2013</v>
      </c>
      <c r="H5" s="28" t="str">
        <f>CONCATENATE("Q2","-",RIGHT(G5,4))</f>
        <v>Q2-2013</v>
      </c>
      <c r="I5" s="28" t="str">
        <f>CONCATENATE("Q3","-",RIGHT(H5,4))</f>
        <v>Q3-2013</v>
      </c>
      <c r="J5" s="28" t="str">
        <f>CONCATENATE("Q4","-",RIGHT(I5,4))</f>
        <v>Q4-2013</v>
      </c>
      <c r="K5" s="819" t="str">
        <f>CONCATENATE("FY",RIGHT(F5,4)+1)</f>
        <v>FY2013</v>
      </c>
      <c r="L5" s="28" t="str">
        <f>CONCATENATE("Q1","-",RIGHT(K5,4)+1)</f>
        <v>Q1-2014</v>
      </c>
      <c r="M5" s="28" t="str">
        <f>CONCATENATE("Q2","-",RIGHT(L5,4))</f>
        <v>Q2-2014</v>
      </c>
      <c r="N5" s="28" t="str">
        <f>CONCATENATE("Q3","-",RIGHT(M5,4))</f>
        <v>Q3-2014</v>
      </c>
      <c r="O5" s="28" t="str">
        <f>CONCATENATE("Q4","-",RIGHT(N5,4))</f>
        <v>Q4-2014</v>
      </c>
      <c r="P5" s="819" t="str">
        <f>CONCATENATE("FY",RIGHT(K5,4)+1)</f>
        <v>FY2014</v>
      </c>
      <c r="Q5" s="28" t="str">
        <f>CONCATENATE("Q1","-",RIGHT(P5,4)+1)</f>
        <v>Q1-2015</v>
      </c>
      <c r="R5" s="28" t="str">
        <f>CONCATENATE("Q2","-",RIGHT(Q5,4))</f>
        <v>Q2-2015</v>
      </c>
      <c r="S5" s="28" t="str">
        <f>CONCATENATE("Q3","-",RIGHT(R5,4))</f>
        <v>Q3-2015</v>
      </c>
      <c r="T5" s="28" t="str">
        <f>CONCATENATE("Q4","-",RIGHT(S5,4))</f>
        <v>Q4-2015</v>
      </c>
      <c r="U5" s="819" t="str">
        <f>CONCATENATE("FY",RIGHT(P5,4)+1)</f>
        <v>FY2015</v>
      </c>
      <c r="V5" s="28" t="str">
        <f>CONCATENATE("Q1","-",RIGHT(U5,4)+1)</f>
        <v>Q1-2016</v>
      </c>
      <c r="W5" s="225" t="str">
        <f>CONCATENATE("Q2","-",RIGHT(V5,4))</f>
        <v>Q2-2016</v>
      </c>
      <c r="X5" s="28" t="str">
        <f>CONCATENATE("Q3","-",RIGHT(W5,4))</f>
        <v>Q3-2016</v>
      </c>
      <c r="Y5" s="225" t="str">
        <f>CONCATENATE("Q4","-",RIGHT(X5,4))</f>
        <v>Q4-2016</v>
      </c>
      <c r="Z5" s="820" t="str">
        <f>CONCATENATE("FY",RIGHT(U5,4)+1)</f>
        <v>FY2016</v>
      </c>
      <c r="AA5" s="28" t="str">
        <f>CONCATENATE("Q1","-",RIGHT(Z5,4)+1)</f>
        <v>Q1-2017</v>
      </c>
      <c r="AB5" s="225" t="str">
        <f>CONCATENATE("Q2","-",RIGHT(AA5,4))</f>
        <v>Q2-2017</v>
      </c>
      <c r="AC5" s="28" t="str">
        <f>CONCATENATE("Q3","-",RIGHT(AB5,4))</f>
        <v>Q3-2017</v>
      </c>
      <c r="AD5" s="225" t="str">
        <f>CONCATENATE("Q4","-",RIGHT(AC5,4))</f>
        <v>Q4-2017</v>
      </c>
      <c r="AE5" s="820" t="str">
        <f>CONCATENATE("FY",RIGHT(Z5,4)+1)</f>
        <v>FY2017</v>
      </c>
      <c r="AF5" s="28" t="str">
        <f>CONCATENATE("Q1","-",RIGHT(AE5,4)+1)</f>
        <v>Q1-2018</v>
      </c>
      <c r="AG5" s="225" t="str">
        <f>CONCATENATE("Q2","-",RIGHT(AF5,4))</f>
        <v>Q2-2018</v>
      </c>
      <c r="AH5" s="28" t="str">
        <f>CONCATENATE("Q3","-",RIGHT(AG5,4))</f>
        <v>Q3-2018</v>
      </c>
      <c r="AI5" s="225" t="str">
        <f>CONCATENATE("Q4","-",RIGHT(AH5,4))</f>
        <v>Q4-2018</v>
      </c>
      <c r="AJ5" s="820" t="str">
        <f>CONCATENATE("FY",RIGHT(AE5,4)+1)</f>
        <v>FY2018</v>
      </c>
      <c r="AK5" s="28" t="str">
        <f>CONCATENATE("Q1","-",RIGHT(AJ5,4)+1)</f>
        <v>Q1-2019</v>
      </c>
      <c r="AL5" s="225" t="str">
        <f>CONCATENATE("Q2","-",RIGHT(AK5,4))</f>
        <v>Q2-2019</v>
      </c>
      <c r="AM5" s="28" t="str">
        <f>CONCATENATE("Q3","-",RIGHT(AL5,4))</f>
        <v>Q3-2019</v>
      </c>
      <c r="AN5" s="225" t="str">
        <f>CONCATENATE("Q4","-",RIGHT(AM5,4))</f>
        <v>Q4-2019</v>
      </c>
      <c r="AO5" s="820" t="str">
        <f>CONCATENATE("FY",RIGHT(AJ5,4)+1)</f>
        <v>FY2019</v>
      </c>
      <c r="AP5" s="28" t="str">
        <f>CONCATENATE("Q1","-",RIGHT(AO5,4)+1)</f>
        <v>Q1-2020</v>
      </c>
      <c r="AQ5" s="225" t="str">
        <f>CONCATENATE("Q2","-",RIGHT(AP5,4))</f>
        <v>Q2-2020</v>
      </c>
      <c r="AR5" s="28" t="str">
        <f>CONCATENATE("Q3","-",RIGHT(AQ5,4))</f>
        <v>Q3-2020</v>
      </c>
      <c r="AS5" s="225" t="str">
        <f>CONCATENATE("Q4","-",RIGHT(AR5,4))</f>
        <v>Q4-2020</v>
      </c>
      <c r="AT5" s="820" t="str">
        <f>CONCATENATE("FY",RIGHT(AO5,4)+1)</f>
        <v>FY2020</v>
      </c>
      <c r="AU5" s="28" t="str">
        <f>CONCATENATE("Q1","-",RIGHT(AT5,4)+1)</f>
        <v>Q1-2021</v>
      </c>
      <c r="AV5" s="225" t="str">
        <f>CONCATENATE("Q2","-",RIGHT(AU5,4))</f>
        <v>Q2-2021</v>
      </c>
      <c r="AW5" s="28" t="str">
        <f>CONCATENATE("Q3","-",RIGHT(AV5,4))</f>
        <v>Q3-2021</v>
      </c>
      <c r="AX5" s="28" t="str">
        <f>CONCATENATE("Q4","-",RIGHT(AW5,4))</f>
        <v>Q4-2021</v>
      </c>
      <c r="AY5" s="819" t="str">
        <f>CONCATENATE("FY",RIGHT(AT5,4)+1)</f>
        <v>FY2021</v>
      </c>
      <c r="AZ5" s="28" t="str">
        <f>CONCATENATE("Q1","-",RIGHT(AY5,4)+1)</f>
        <v>Q1-2022</v>
      </c>
      <c r="BA5" s="225" t="str">
        <f>CONCATENATE("Q2","-",RIGHT(AZ5,4))</f>
        <v>Q2-2022</v>
      </c>
      <c r="BB5" s="28" t="str">
        <f>CONCATENATE("Q3","-",RIGHT(BA5,4))</f>
        <v>Q3-2022</v>
      </c>
      <c r="BC5" s="28" t="str">
        <f>CONCATENATE("Q4","-",RIGHT(BB5,4))</f>
        <v>Q4-2022</v>
      </c>
      <c r="BD5" s="819" t="str">
        <f>CONCATENATE("FY",RIGHT(AY5,4)+1)</f>
        <v>FY2022</v>
      </c>
      <c r="BE5" s="28" t="str">
        <f>CONCATENATE("Q1","-",RIGHT(BD5,4)+1)</f>
        <v>Q1-2023</v>
      </c>
      <c r="BF5" s="28" t="str">
        <f>CONCATENATE("Q2","-",RIGHT(BE5,4))</f>
        <v>Q2-2023</v>
      </c>
      <c r="BG5" s="28" t="str">
        <f>CONCATENATE("Q3","-",RIGHT(BF5,4))</f>
        <v>Q3-2023</v>
      </c>
      <c r="BH5" s="28" t="str">
        <f>CONCATENATE("Q4","-",RIGHT(BG5,4))</f>
        <v>Q4-2023</v>
      </c>
      <c r="BI5" s="819" t="str">
        <f>CONCATENATE("FY",RIGHT(BD5,4)+1)</f>
        <v>FY2023</v>
      </c>
      <c r="BJ5" s="28" t="str">
        <f>CONCATENATE("Q1","-",RIGHT(BI5,4)+1)</f>
        <v>Q1-2024</v>
      </c>
      <c r="BK5" s="28" t="str">
        <f>CONCATENATE("Q2","-",RIGHT(BJ5,4))</f>
        <v>Q2-2024</v>
      </c>
      <c r="BL5" s="28" t="str">
        <f>CONCATENATE("Q3","-",RIGHT(BK5,4))</f>
        <v>Q3-2024</v>
      </c>
      <c r="BM5" s="28" t="str">
        <f>CONCATENATE("Q4","-",RIGHT(BL5,4))</f>
        <v>Q4-2024</v>
      </c>
      <c r="BN5" s="819" t="str">
        <f>CONCATENATE("FY",RIGHT(BI5,4)+1)</f>
        <v>FY2024</v>
      </c>
      <c r="BO5" s="28" t="str">
        <f>CONCATENATE("Q1","-",RIGHT(BN5,4)+1)</f>
        <v>Q1-2025</v>
      </c>
      <c r="BP5" s="28" t="str">
        <f>CONCATENATE("Q2","-",RIGHT(BO5,4))</f>
        <v>Q2-2025</v>
      </c>
      <c r="BQ5" s="28" t="str">
        <f>CONCATENATE("Q3","-",RIGHT(BP5,4))</f>
        <v>Q3-2025</v>
      </c>
      <c r="BR5" s="28" t="str">
        <f>CONCATENATE("Q4","-",RIGHT(BQ5,4))</f>
        <v>Q4-2025</v>
      </c>
      <c r="BS5" s="819" t="str">
        <f>CONCATENATE("FY",RIGHT(BN5,4)+1)</f>
        <v>FY2025</v>
      </c>
      <c r="BT5" s="639" t="str">
        <f>CONCATENATE("Q1","-",RIGHT(BS5,4)+1)</f>
        <v>Q1-2026</v>
      </c>
      <c r="BU5" s="28" t="str">
        <f>CONCATENATE("Q2","-",RIGHT(BT5,4))</f>
        <v>Q2-2026</v>
      </c>
      <c r="BV5" s="28" t="str">
        <f>CONCATENATE("Q3","-",RIGHT(BU5,4))</f>
        <v>Q3-2026</v>
      </c>
      <c r="BW5" s="28" t="str">
        <f>CONCATENATE("Q4","-",RIGHT(BV5,4))</f>
        <v>Q4-2026</v>
      </c>
      <c r="BX5" s="819" t="str">
        <f>CONCATENATE("FY",RIGHT(BS5,4)+1)</f>
        <v>FY2026</v>
      </c>
      <c r="BY5" s="28" t="str">
        <f>CONCATENATE("Q1","-",RIGHT(BX5,4)+1)</f>
        <v>Q1-2027</v>
      </c>
      <c r="BZ5" s="28" t="str">
        <f>CONCATENATE("Q2","-",RIGHT(BY5,4))</f>
        <v>Q2-2027</v>
      </c>
      <c r="CA5" s="28" t="str">
        <f>CONCATENATE("Q3","-",RIGHT(BZ5,4))</f>
        <v>Q3-2027</v>
      </c>
      <c r="CB5" s="28" t="str">
        <f>CONCATENATE("Q4","-",RIGHT(CA5,4))</f>
        <v>Q4-2027</v>
      </c>
      <c r="CC5" s="819" t="str">
        <f>CONCATENATE("FY",RIGHT(BX5,4)+1)</f>
        <v>FY2027</v>
      </c>
      <c r="CD5" s="819" t="str">
        <f>CONCATENATE("FY",RIGHT(CC5,4)+1)</f>
        <v>FY2028</v>
      </c>
      <c r="CE5" s="819" t="str">
        <f>CONCATENATE("FY",RIGHT(CD5,4)+1)</f>
        <v>FY2029</v>
      </c>
      <c r="CF5" s="819" t="str">
        <f>CONCATENATE("FY",RIGHT(CE5,4)+1)</f>
        <v>FY2030</v>
      </c>
      <c r="CG5" s="131"/>
    </row>
    <row r="6" spans="1:85" s="427" customFormat="1" x14ac:dyDescent="0.3">
      <c r="A6" s="720" t="s">
        <v>13</v>
      </c>
      <c r="B6" s="720"/>
      <c r="C6" s="720"/>
      <c r="D6" s="720"/>
      <c r="E6" s="720"/>
      <c r="F6" s="720"/>
      <c r="G6" s="720"/>
      <c r="H6" s="720"/>
      <c r="I6" s="720"/>
      <c r="J6" s="720"/>
      <c r="K6" s="720"/>
      <c r="L6" s="720"/>
      <c r="M6" s="720"/>
      <c r="N6" s="720"/>
      <c r="O6" s="720"/>
      <c r="P6" s="720"/>
      <c r="Q6" s="720"/>
      <c r="R6" s="720"/>
      <c r="S6" s="720"/>
      <c r="T6" s="720"/>
      <c r="U6" s="720"/>
      <c r="V6" s="720"/>
      <c r="W6" s="720"/>
      <c r="X6" s="720"/>
      <c r="Y6" s="720"/>
      <c r="Z6" s="720"/>
      <c r="AA6" s="720"/>
      <c r="AB6" s="720"/>
      <c r="AC6" s="720"/>
      <c r="AD6" s="720"/>
      <c r="AE6" s="720"/>
      <c r="AF6" s="720"/>
      <c r="AG6" s="720"/>
      <c r="AH6" s="720"/>
      <c r="AI6" s="720"/>
      <c r="AJ6" s="720"/>
      <c r="AK6" s="720"/>
      <c r="AL6" s="720"/>
      <c r="AM6" s="720"/>
      <c r="AN6" s="720"/>
      <c r="AO6" s="720"/>
      <c r="AP6" s="720"/>
      <c r="AQ6" s="720"/>
      <c r="AR6" s="720"/>
      <c r="AS6" s="720"/>
      <c r="AT6" s="720"/>
      <c r="AU6" s="720"/>
      <c r="AV6" s="720"/>
      <c r="AW6" s="720"/>
      <c r="AX6" s="720"/>
      <c r="AY6" s="720"/>
      <c r="AZ6" s="720"/>
      <c r="BA6" s="720"/>
      <c r="BB6" s="720"/>
      <c r="BC6" s="720"/>
      <c r="BD6" s="720"/>
      <c r="BE6" s="720"/>
      <c r="BF6" s="720"/>
      <c r="BG6" s="720"/>
      <c r="BH6" s="720"/>
      <c r="BI6" s="720"/>
      <c r="BJ6" s="720"/>
      <c r="BK6" s="720"/>
      <c r="BL6" s="720"/>
      <c r="BM6" s="720"/>
      <c r="BN6" s="720"/>
      <c r="BO6" s="720"/>
      <c r="BP6" s="720"/>
      <c r="BQ6" s="720"/>
      <c r="BR6" s="720"/>
      <c r="BS6" s="720"/>
      <c r="BT6" s="721"/>
      <c r="BU6" s="720"/>
      <c r="BV6" s="720"/>
      <c r="BW6" s="720"/>
      <c r="BX6" s="720"/>
      <c r="BY6" s="720"/>
      <c r="BZ6" s="720"/>
      <c r="CA6" s="720"/>
      <c r="CB6" s="720"/>
      <c r="CC6" s="720"/>
      <c r="CD6" s="720"/>
      <c r="CE6" s="720"/>
      <c r="CF6" s="720"/>
      <c r="CG6" s="321"/>
    </row>
    <row r="7" spans="1:85" s="428" customFormat="1" x14ac:dyDescent="0.3">
      <c r="A7" s="43" t="s">
        <v>14</v>
      </c>
      <c r="B7" s="64"/>
      <c r="C7" s="821">
        <f t="shared" ref="C7:AH7" si="1">C95</f>
        <v>22688</v>
      </c>
      <c r="D7" s="821">
        <f t="shared" si="1"/>
        <v>27616</v>
      </c>
      <c r="E7" s="821">
        <f t="shared" si="1"/>
        <v>29709</v>
      </c>
      <c r="F7" s="821">
        <f t="shared" si="1"/>
        <v>25875</v>
      </c>
      <c r="G7" s="37">
        <f t="shared" si="1"/>
        <v>6628</v>
      </c>
      <c r="H7" s="37">
        <f t="shared" si="1"/>
        <v>6493</v>
      </c>
      <c r="I7" s="37">
        <f t="shared" si="1"/>
        <v>6275</v>
      </c>
      <c r="J7" s="37">
        <f t="shared" si="1"/>
        <v>6263</v>
      </c>
      <c r="K7" s="821">
        <f t="shared" si="1"/>
        <v>25659</v>
      </c>
      <c r="L7" s="37">
        <f t="shared" si="1"/>
        <v>8932</v>
      </c>
      <c r="M7" s="37">
        <f t="shared" si="1"/>
        <v>8562</v>
      </c>
      <c r="N7" s="37">
        <f t="shared" si="1"/>
        <v>7316</v>
      </c>
      <c r="O7" s="37">
        <f t="shared" si="1"/>
        <v>6453</v>
      </c>
      <c r="P7" s="821">
        <f t="shared" si="1"/>
        <v>31263</v>
      </c>
      <c r="Q7" s="37">
        <f t="shared" si="1"/>
        <v>5461</v>
      </c>
      <c r="R7" s="37">
        <f t="shared" si="1"/>
        <v>5107</v>
      </c>
      <c r="S7" s="37">
        <f t="shared" si="1"/>
        <v>4808</v>
      </c>
      <c r="T7" s="37">
        <f t="shared" si="1"/>
        <v>4328</v>
      </c>
      <c r="U7" s="821">
        <f t="shared" si="1"/>
        <v>19704</v>
      </c>
      <c r="V7" s="37">
        <f t="shared" si="1"/>
        <v>3833</v>
      </c>
      <c r="W7" s="37">
        <f t="shared" si="1"/>
        <v>3756</v>
      </c>
      <c r="X7" s="37">
        <f t="shared" si="1"/>
        <v>4053</v>
      </c>
      <c r="Y7" s="37">
        <f t="shared" si="1"/>
        <v>4768</v>
      </c>
      <c r="Z7" s="821">
        <f t="shared" si="1"/>
        <v>16410</v>
      </c>
      <c r="AA7" s="37">
        <f t="shared" si="1"/>
        <v>4860</v>
      </c>
      <c r="AB7" s="37">
        <f t="shared" si="1"/>
        <v>5081</v>
      </c>
      <c r="AC7" s="37">
        <f t="shared" si="1"/>
        <v>5310</v>
      </c>
      <c r="AD7" s="37">
        <f t="shared" si="1"/>
        <v>5859</v>
      </c>
      <c r="AE7" s="821">
        <f t="shared" si="1"/>
        <v>21110</v>
      </c>
      <c r="AF7" s="37">
        <f t="shared" si="1"/>
        <v>7261</v>
      </c>
      <c r="AG7" s="37">
        <f t="shared" si="1"/>
        <v>7318</v>
      </c>
      <c r="AH7" s="37">
        <f t="shared" si="1"/>
        <v>8774</v>
      </c>
      <c r="AI7" s="37">
        <f t="shared" ref="AI7:AQ7" si="2">AI95</f>
        <v>9716</v>
      </c>
      <c r="AJ7" s="821">
        <f t="shared" si="2"/>
        <v>33069</v>
      </c>
      <c r="AK7" s="37">
        <f t="shared" si="2"/>
        <v>8440</v>
      </c>
      <c r="AL7" s="37">
        <f t="shared" si="2"/>
        <v>7935</v>
      </c>
      <c r="AM7" s="37">
        <f t="shared" si="2"/>
        <v>7508</v>
      </c>
      <c r="AN7" s="37">
        <f t="shared" si="2"/>
        <v>7824</v>
      </c>
      <c r="AO7" s="821">
        <f t="shared" si="2"/>
        <v>31707</v>
      </c>
      <c r="AP7" s="37">
        <f t="shared" si="2"/>
        <v>8126</v>
      </c>
      <c r="AQ7" s="37">
        <f t="shared" si="2"/>
        <v>4657</v>
      </c>
      <c r="AR7" s="37">
        <f>AR95</f>
        <v>5701</v>
      </c>
      <c r="AS7" s="37">
        <f t="shared" ref="AS7:AT7" si="3">AS95</f>
        <v>7827</v>
      </c>
      <c r="AT7" s="821">
        <f t="shared" si="3"/>
        <v>26311</v>
      </c>
      <c r="AU7" s="37">
        <f t="shared" ref="AU7:AY7" si="4">AU95</f>
        <v>9351</v>
      </c>
      <c r="AV7" s="37">
        <f t="shared" si="4"/>
        <v>9533</v>
      </c>
      <c r="AW7" s="37">
        <f t="shared" si="4"/>
        <v>11975</v>
      </c>
      <c r="AX7" s="37">
        <f t="shared" si="4"/>
        <v>13133</v>
      </c>
      <c r="AY7" s="821">
        <f t="shared" si="4"/>
        <v>43992</v>
      </c>
      <c r="AZ7" s="37">
        <f t="shared" ref="AZ7" si="5">AZ95</f>
        <v>14250</v>
      </c>
      <c r="BA7" s="37">
        <f t="shared" ref="BA7:BC7" si="6">BA95</f>
        <v>15849</v>
      </c>
      <c r="BB7" s="37">
        <f t="shared" si="6"/>
        <v>18229</v>
      </c>
      <c r="BC7" s="37">
        <f t="shared" si="6"/>
        <v>14965</v>
      </c>
      <c r="BD7" s="821">
        <f t="shared" ref="BD7:BI7" si="7">BD95</f>
        <v>63293</v>
      </c>
      <c r="BE7" s="37">
        <f t="shared" si="7"/>
        <v>12311</v>
      </c>
      <c r="BF7" s="37">
        <f t="shared" si="7"/>
        <v>10145</v>
      </c>
      <c r="BG7" s="37">
        <f t="shared" si="7"/>
        <v>10858</v>
      </c>
      <c r="BH7" s="37">
        <f t="shared" si="7"/>
        <v>12428</v>
      </c>
      <c r="BI7" s="821">
        <f t="shared" si="7"/>
        <v>45742</v>
      </c>
      <c r="BJ7" s="37">
        <f t="shared" ref="BJ7:BX7" si="8">BJ95</f>
        <v>11436</v>
      </c>
      <c r="BK7" s="37">
        <f t="shared" si="8"/>
        <v>10546</v>
      </c>
      <c r="BL7" s="37">
        <f t="shared" si="8"/>
        <v>11883</v>
      </c>
      <c r="BM7" s="37">
        <f t="shared" si="8"/>
        <v>12983</v>
      </c>
      <c r="BN7" s="821">
        <f t="shared" si="8"/>
        <v>46848</v>
      </c>
      <c r="BO7" s="37">
        <f t="shared" ref="BO7:BW7" si="9">BO95</f>
        <v>12421</v>
      </c>
      <c r="BP7" s="37">
        <f t="shared" si="9"/>
        <v>11068</v>
      </c>
      <c r="BQ7" s="37">
        <f t="shared" si="9"/>
        <v>15165</v>
      </c>
      <c r="BR7" s="37">
        <f t="shared" si="9"/>
        <v>14798</v>
      </c>
      <c r="BS7" s="821">
        <f t="shared" si="9"/>
        <v>53452</v>
      </c>
      <c r="BT7" s="480">
        <f>BT95</f>
        <v>13179</v>
      </c>
      <c r="BU7" s="37">
        <f t="shared" si="9"/>
        <v>20860.125</v>
      </c>
      <c r="BV7" s="37">
        <f t="shared" si="9"/>
        <v>18227.78</v>
      </c>
      <c r="BW7" s="37">
        <f t="shared" si="9"/>
        <v>17820.829999999998</v>
      </c>
      <c r="BX7" s="821">
        <f t="shared" si="8"/>
        <v>70087.735000000001</v>
      </c>
      <c r="BY7" s="37">
        <f t="shared" ref="BY7:CF7" si="10">BY95</f>
        <v>15224.25</v>
      </c>
      <c r="BZ7" s="37">
        <f t="shared" si="10"/>
        <v>13830.283000000003</v>
      </c>
      <c r="CA7" s="37">
        <f t="shared" si="10"/>
        <v>14098.091999999997</v>
      </c>
      <c r="CB7" s="37">
        <f t="shared" si="10"/>
        <v>14449.464</v>
      </c>
      <c r="CC7" s="821">
        <f t="shared" si="10"/>
        <v>57602.089000000007</v>
      </c>
      <c r="CD7" s="821">
        <f t="shared" si="10"/>
        <v>50948.760000000009</v>
      </c>
      <c r="CE7" s="821">
        <f t="shared" si="10"/>
        <v>49764.214999999997</v>
      </c>
      <c r="CF7" s="821">
        <f t="shared" si="10"/>
        <v>47954.919999999984</v>
      </c>
      <c r="CG7" s="22"/>
    </row>
    <row r="8" spans="1:85" s="428" customFormat="1" x14ac:dyDescent="0.3">
      <c r="A8" s="43" t="s">
        <v>15</v>
      </c>
      <c r="B8" s="64"/>
      <c r="C8" s="821">
        <f t="shared" ref="C8:AH8" si="11">C236</f>
        <v>144010</v>
      </c>
      <c r="D8" s="821">
        <f t="shared" si="11"/>
        <v>169949</v>
      </c>
      <c r="E8" s="821">
        <f t="shared" si="11"/>
        <v>214132</v>
      </c>
      <c r="F8" s="821">
        <f t="shared" si="11"/>
        <v>204333</v>
      </c>
      <c r="G8" s="37">
        <f t="shared" si="11"/>
        <v>47581</v>
      </c>
      <c r="H8" s="37">
        <f t="shared" si="11"/>
        <v>48740</v>
      </c>
      <c r="I8" s="37">
        <f t="shared" si="11"/>
        <v>50233</v>
      </c>
      <c r="J8" s="37">
        <f t="shared" si="11"/>
        <v>47582</v>
      </c>
      <c r="K8" s="821">
        <f t="shared" si="11"/>
        <v>194136</v>
      </c>
      <c r="L8" s="37">
        <f t="shared" si="11"/>
        <v>41972</v>
      </c>
      <c r="M8" s="37">
        <f t="shared" si="11"/>
        <v>46945</v>
      </c>
      <c r="N8" s="37">
        <f t="shared" si="11"/>
        <v>44436</v>
      </c>
      <c r="O8" s="37">
        <f t="shared" si="11"/>
        <v>35623</v>
      </c>
      <c r="P8" s="821">
        <f t="shared" si="11"/>
        <v>168976</v>
      </c>
      <c r="Q8" s="37">
        <f t="shared" si="11"/>
        <v>26818</v>
      </c>
      <c r="R8" s="37">
        <f t="shared" si="11"/>
        <v>31689</v>
      </c>
      <c r="S8" s="37">
        <f t="shared" si="11"/>
        <v>27913</v>
      </c>
      <c r="T8" s="37">
        <f t="shared" si="11"/>
        <v>23655</v>
      </c>
      <c r="U8" s="821">
        <f t="shared" si="11"/>
        <v>110075</v>
      </c>
      <c r="V8" s="37">
        <f t="shared" si="11"/>
        <v>19208</v>
      </c>
      <c r="W8" s="37">
        <f t="shared" si="11"/>
        <v>24055</v>
      </c>
      <c r="X8" s="37">
        <f t="shared" si="11"/>
        <v>25066</v>
      </c>
      <c r="Y8" s="37">
        <f t="shared" si="11"/>
        <v>25330</v>
      </c>
      <c r="Z8" s="821">
        <f t="shared" si="11"/>
        <v>93659</v>
      </c>
      <c r="AA8" s="37">
        <f t="shared" si="11"/>
        <v>26612</v>
      </c>
      <c r="AB8" s="37">
        <f t="shared" si="11"/>
        <v>27748</v>
      </c>
      <c r="AC8" s="37">
        <f t="shared" si="11"/>
        <v>28529</v>
      </c>
      <c r="AD8" s="37">
        <f t="shared" si="11"/>
        <v>30466</v>
      </c>
      <c r="AE8" s="821">
        <f t="shared" si="11"/>
        <v>113355</v>
      </c>
      <c r="AF8" s="37">
        <f t="shared" si="11"/>
        <v>28646</v>
      </c>
      <c r="AG8" s="37">
        <f t="shared" si="11"/>
        <v>33115</v>
      </c>
      <c r="AH8" s="37">
        <f t="shared" si="11"/>
        <v>33274</v>
      </c>
      <c r="AI8" s="37">
        <f t="shared" ref="AI8:AQ8" si="12">AI236</f>
        <v>30562</v>
      </c>
      <c r="AJ8" s="821">
        <f t="shared" si="12"/>
        <v>125597</v>
      </c>
      <c r="AK8" s="37">
        <f t="shared" si="12"/>
        <v>25683</v>
      </c>
      <c r="AL8" s="37">
        <f t="shared" si="12"/>
        <v>28328</v>
      </c>
      <c r="AM8" s="37">
        <f t="shared" si="12"/>
        <v>27210</v>
      </c>
      <c r="AN8" s="37">
        <f t="shared" si="12"/>
        <v>26691</v>
      </c>
      <c r="AO8" s="821">
        <f t="shared" si="12"/>
        <v>107912</v>
      </c>
      <c r="AP8" s="37">
        <f t="shared" si="12"/>
        <v>21514</v>
      </c>
      <c r="AQ8" s="37">
        <f t="shared" si="12"/>
        <v>11236</v>
      </c>
      <c r="AR8" s="37">
        <f>AR236</f>
        <v>18259</v>
      </c>
      <c r="AS8" s="37">
        <f t="shared" ref="AS8:AU8" si="13">AS236</f>
        <v>17074</v>
      </c>
      <c r="AT8" s="821">
        <f t="shared" si="13"/>
        <v>68083</v>
      </c>
      <c r="AU8" s="37">
        <f t="shared" si="13"/>
        <v>21701</v>
      </c>
      <c r="AV8" s="37">
        <f>AV236</f>
        <v>26559</v>
      </c>
      <c r="AW8" s="37">
        <f>AW236</f>
        <v>30538</v>
      </c>
      <c r="AX8" s="37">
        <f>AX236</f>
        <v>32692</v>
      </c>
      <c r="AY8" s="821">
        <f>AY236</f>
        <v>111490</v>
      </c>
      <c r="AZ8" s="37">
        <f t="shared" ref="AZ8" si="14">AZ236</f>
        <v>38048</v>
      </c>
      <c r="BA8" s="37">
        <f t="shared" ref="BA8:BD8" si="15">BA236</f>
        <v>49485</v>
      </c>
      <c r="BB8" s="37">
        <f t="shared" si="15"/>
        <v>45247</v>
      </c>
      <c r="BC8" s="37">
        <f t="shared" si="15"/>
        <v>39528</v>
      </c>
      <c r="BD8" s="821">
        <f t="shared" si="15"/>
        <v>172308</v>
      </c>
      <c r="BE8" s="37">
        <f t="shared" ref="BE8:BI8" si="16">BE236</f>
        <v>36501</v>
      </c>
      <c r="BF8" s="37">
        <f t="shared" si="16"/>
        <v>37035</v>
      </c>
      <c r="BG8" s="37">
        <f t="shared" si="16"/>
        <v>41032</v>
      </c>
      <c r="BH8" s="37">
        <f t="shared" si="16"/>
        <v>36470</v>
      </c>
      <c r="BI8" s="821">
        <f t="shared" si="16"/>
        <v>151038</v>
      </c>
      <c r="BJ8" s="37">
        <f t="shared" ref="BJ8:BX8" si="17">BJ236</f>
        <v>35117</v>
      </c>
      <c r="BK8" s="37">
        <f t="shared" si="17"/>
        <v>38995</v>
      </c>
      <c r="BL8" s="37">
        <f t="shared" si="17"/>
        <v>37016</v>
      </c>
      <c r="BM8" s="37">
        <f t="shared" si="17"/>
        <v>35306</v>
      </c>
      <c r="BN8" s="821">
        <f t="shared" si="17"/>
        <v>146434</v>
      </c>
      <c r="BO8" s="37">
        <f t="shared" ref="BO8:BW8" si="18">BO236</f>
        <v>33661</v>
      </c>
      <c r="BP8" s="37">
        <f t="shared" si="18"/>
        <v>33277</v>
      </c>
      <c r="BQ8" s="37">
        <f t="shared" si="18"/>
        <v>32980</v>
      </c>
      <c r="BR8" s="37">
        <f t="shared" si="18"/>
        <v>30958</v>
      </c>
      <c r="BS8" s="821">
        <f t="shared" si="18"/>
        <v>130876</v>
      </c>
      <c r="BT8" s="480">
        <f>BT236</f>
        <v>34363</v>
      </c>
      <c r="BU8" s="37">
        <f t="shared" si="18"/>
        <v>37949.317499999997</v>
      </c>
      <c r="BV8" s="37">
        <f t="shared" si="18"/>
        <v>36536.31</v>
      </c>
      <c r="BW8" s="37">
        <f t="shared" si="18"/>
        <v>36101.61</v>
      </c>
      <c r="BX8" s="821">
        <f t="shared" si="17"/>
        <v>144950.23750000002</v>
      </c>
      <c r="BY8" s="37">
        <f t="shared" ref="BY8:CF8" si="19">BY236</f>
        <v>36588.074999999997</v>
      </c>
      <c r="BZ8" s="37">
        <f t="shared" si="19"/>
        <v>37949.317499999997</v>
      </c>
      <c r="CA8" s="37">
        <f t="shared" si="19"/>
        <v>38523.509999999995</v>
      </c>
      <c r="CB8" s="37">
        <f t="shared" si="19"/>
        <v>37716.21</v>
      </c>
      <c r="CC8" s="821">
        <f t="shared" si="19"/>
        <v>150777.11249999999</v>
      </c>
      <c r="CD8" s="821">
        <f t="shared" si="19"/>
        <v>141384.97499999998</v>
      </c>
      <c r="CE8" s="821">
        <f t="shared" si="19"/>
        <v>140985.5625</v>
      </c>
      <c r="CF8" s="821">
        <f t="shared" si="19"/>
        <v>140985.5625</v>
      </c>
      <c r="CG8" s="22"/>
    </row>
    <row r="9" spans="1:85" s="428" customFormat="1" x14ac:dyDescent="0.3">
      <c r="A9" s="242" t="s">
        <v>16</v>
      </c>
      <c r="B9" s="243"/>
      <c r="C9" s="822">
        <f t="shared" ref="C9:AO9" si="20">C255</f>
        <v>704</v>
      </c>
      <c r="D9" s="822">
        <f t="shared" si="20"/>
        <v>633</v>
      </c>
      <c r="E9" s="822">
        <f t="shared" si="20"/>
        <v>530</v>
      </c>
      <c r="F9" s="822">
        <f t="shared" si="20"/>
        <v>382</v>
      </c>
      <c r="G9" s="56">
        <f t="shared" si="20"/>
        <v>87</v>
      </c>
      <c r="H9" s="56">
        <f t="shared" si="20"/>
        <v>74</v>
      </c>
      <c r="I9" s="56">
        <f t="shared" si="20"/>
        <v>95</v>
      </c>
      <c r="J9" s="56">
        <f t="shared" si="20"/>
        <v>105</v>
      </c>
      <c r="K9" s="822">
        <f t="shared" si="20"/>
        <v>361</v>
      </c>
      <c r="L9" s="56">
        <f t="shared" si="20"/>
        <v>74</v>
      </c>
      <c r="M9" s="56">
        <f t="shared" si="20"/>
        <v>76</v>
      </c>
      <c r="N9" s="56">
        <f t="shared" si="20"/>
        <v>70</v>
      </c>
      <c r="O9" s="56">
        <f t="shared" si="20"/>
        <v>35</v>
      </c>
      <c r="P9" s="822">
        <f t="shared" si="20"/>
        <v>255</v>
      </c>
      <c r="Q9" s="56">
        <f t="shared" si="20"/>
        <v>36</v>
      </c>
      <c r="R9" s="56">
        <f t="shared" si="20"/>
        <v>33</v>
      </c>
      <c r="S9" s="56">
        <f t="shared" si="20"/>
        <v>46</v>
      </c>
      <c r="T9" s="56">
        <f t="shared" si="20"/>
        <v>31</v>
      </c>
      <c r="U9" s="822">
        <f t="shared" si="20"/>
        <v>146</v>
      </c>
      <c r="V9" s="56">
        <f t="shared" si="20"/>
        <v>29</v>
      </c>
      <c r="W9" s="56">
        <f t="shared" si="20"/>
        <v>33</v>
      </c>
      <c r="X9" s="56">
        <f t="shared" si="20"/>
        <v>40</v>
      </c>
      <c r="Y9" s="56">
        <f t="shared" si="20"/>
        <v>44</v>
      </c>
      <c r="Z9" s="822">
        <f t="shared" si="20"/>
        <v>146</v>
      </c>
      <c r="AA9" s="56">
        <f t="shared" si="20"/>
        <v>52</v>
      </c>
      <c r="AB9" s="56">
        <f t="shared" si="20"/>
        <v>48</v>
      </c>
      <c r="AC9" s="56">
        <f t="shared" si="20"/>
        <v>53</v>
      </c>
      <c r="AD9" s="56">
        <f t="shared" si="20"/>
        <v>56</v>
      </c>
      <c r="AE9" s="822">
        <f t="shared" si="20"/>
        <v>209</v>
      </c>
      <c r="AF9" s="56">
        <f t="shared" si="20"/>
        <v>61</v>
      </c>
      <c r="AG9" s="56">
        <f t="shared" si="20"/>
        <v>58</v>
      </c>
      <c r="AH9" s="56">
        <f t="shared" si="20"/>
        <v>57</v>
      </c>
      <c r="AI9" s="56">
        <f t="shared" si="20"/>
        <v>60</v>
      </c>
      <c r="AJ9" s="822">
        <f t="shared" si="20"/>
        <v>236</v>
      </c>
      <c r="AK9" s="56">
        <f t="shared" si="20"/>
        <v>66</v>
      </c>
      <c r="AL9" s="56">
        <f t="shared" si="20"/>
        <v>60</v>
      </c>
      <c r="AM9" s="56">
        <f t="shared" si="20"/>
        <v>61</v>
      </c>
      <c r="AN9" s="56">
        <f t="shared" si="20"/>
        <v>59</v>
      </c>
      <c r="AO9" s="822">
        <f t="shared" si="20"/>
        <v>246</v>
      </c>
      <c r="AP9" s="56">
        <f>AP10-SUM(AP7:AP8)</f>
        <v>65</v>
      </c>
      <c r="AQ9" s="56">
        <f>AQ10-SUM(AQ7:AQ8)</f>
        <v>33</v>
      </c>
      <c r="AR9" s="56">
        <f>AR10-SUM(AR7:AR8)</f>
        <v>37</v>
      </c>
      <c r="AS9" s="56">
        <f>AS10-SUM(AS7:AS8)</f>
        <v>-58</v>
      </c>
      <c r="AT9" s="822">
        <f>SUM(AP9,AQ9,AR9,AS9)</f>
        <v>77</v>
      </c>
      <c r="AU9" s="56">
        <f>AU10-SUM(AU7:AU8)</f>
        <v>24</v>
      </c>
      <c r="AV9" s="56">
        <f>AV10-SUM(AV7:AV8)</f>
        <v>25</v>
      </c>
      <c r="AW9" s="56">
        <f>AW10-SUM(AW7:AW8)</f>
        <v>39</v>
      </c>
      <c r="AX9" s="56">
        <f>AX10-SUM(AX7:AX8)</f>
        <v>36</v>
      </c>
      <c r="AY9" s="822">
        <f>AY10-SUM(AY7:AY8)</f>
        <v>124</v>
      </c>
      <c r="AZ9" s="56">
        <f t="shared" ref="AZ9" si="21">AZ10-SUM(AZ7:AZ8)</f>
        <v>16</v>
      </c>
      <c r="BA9" s="56">
        <f t="shared" ref="BA9:BF9" si="22">BA10-SUM(BA7:BA8)</f>
        <v>38</v>
      </c>
      <c r="BB9" s="56">
        <f t="shared" si="22"/>
        <v>32</v>
      </c>
      <c r="BC9" s="56">
        <f t="shared" si="22"/>
        <v>30</v>
      </c>
      <c r="BD9" s="822">
        <f t="shared" si="22"/>
        <v>116</v>
      </c>
      <c r="BE9" s="56">
        <f t="shared" si="22"/>
        <v>30</v>
      </c>
      <c r="BF9" s="56">
        <f t="shared" si="22"/>
        <v>36</v>
      </c>
      <c r="BG9" s="56">
        <f t="shared" ref="BG9:BL9" si="23">BG10-SUM(BG7:BG8)</f>
        <v>32</v>
      </c>
      <c r="BH9" s="56">
        <f t="shared" si="23"/>
        <v>35</v>
      </c>
      <c r="BI9" s="822">
        <f t="shared" si="23"/>
        <v>133</v>
      </c>
      <c r="BJ9" s="56">
        <f t="shared" si="23"/>
        <v>27</v>
      </c>
      <c r="BK9" s="56">
        <f t="shared" si="23"/>
        <v>33</v>
      </c>
      <c r="BL9" s="56">
        <f t="shared" si="23"/>
        <v>27</v>
      </c>
      <c r="BM9" s="56">
        <f t="shared" ref="BM9:BS9" si="24">BM10-SUM(BM7:BM8)</f>
        <v>45</v>
      </c>
      <c r="BN9" s="822">
        <f t="shared" si="24"/>
        <v>132</v>
      </c>
      <c r="BO9" s="56">
        <f t="shared" si="24"/>
        <v>19</v>
      </c>
      <c r="BP9" s="56">
        <f t="shared" si="24"/>
        <v>30</v>
      </c>
      <c r="BQ9" s="56">
        <f t="shared" si="24"/>
        <v>24</v>
      </c>
      <c r="BR9" s="56">
        <f>BR10-SUM(BR7:BR8)</f>
        <v>31</v>
      </c>
      <c r="BS9" s="822">
        <f t="shared" si="24"/>
        <v>104</v>
      </c>
      <c r="BT9" s="478">
        <f>BT10-SUM(BT7:BT8)</f>
        <v>14</v>
      </c>
      <c r="BU9" s="56">
        <f>BU255</f>
        <v>130</v>
      </c>
      <c r="BV9" s="56">
        <f>BV255</f>
        <v>130</v>
      </c>
      <c r="BW9" s="56">
        <f>BW255</f>
        <v>130</v>
      </c>
      <c r="BX9" s="822">
        <f t="shared" ref="BX9" si="25">BX255</f>
        <v>404</v>
      </c>
      <c r="BY9" s="56">
        <f t="shared" ref="BY9:CF9" si="26">BY255</f>
        <v>130</v>
      </c>
      <c r="BZ9" s="56">
        <f t="shared" si="26"/>
        <v>130</v>
      </c>
      <c r="CA9" s="56">
        <f t="shared" si="26"/>
        <v>130</v>
      </c>
      <c r="CB9" s="56">
        <f t="shared" si="26"/>
        <v>130</v>
      </c>
      <c r="CC9" s="822">
        <f t="shared" si="26"/>
        <v>520</v>
      </c>
      <c r="CD9" s="822">
        <f t="shared" si="26"/>
        <v>520</v>
      </c>
      <c r="CE9" s="822">
        <f t="shared" si="26"/>
        <v>520</v>
      </c>
      <c r="CF9" s="822">
        <f t="shared" si="26"/>
        <v>520</v>
      </c>
      <c r="CG9" s="22"/>
    </row>
    <row r="10" spans="1:85" s="429" customFormat="1" x14ac:dyDescent="0.3">
      <c r="A10" s="42" t="s">
        <v>17</v>
      </c>
      <c r="B10" s="90"/>
      <c r="C10" s="823">
        <f t="shared" ref="C10:AH10" si="27">SUM(C7:C9)</f>
        <v>167402</v>
      </c>
      <c r="D10" s="823">
        <f t="shared" si="27"/>
        <v>198198</v>
      </c>
      <c r="E10" s="823">
        <f t="shared" si="27"/>
        <v>244371</v>
      </c>
      <c r="F10" s="823">
        <f t="shared" si="27"/>
        <v>230590</v>
      </c>
      <c r="G10" s="393">
        <f t="shared" si="27"/>
        <v>54296</v>
      </c>
      <c r="H10" s="393">
        <f t="shared" si="27"/>
        <v>55307</v>
      </c>
      <c r="I10" s="393">
        <f t="shared" si="27"/>
        <v>56603</v>
      </c>
      <c r="J10" s="393">
        <f t="shared" si="27"/>
        <v>53950</v>
      </c>
      <c r="K10" s="823">
        <f t="shared" si="27"/>
        <v>220156</v>
      </c>
      <c r="L10" s="393">
        <f t="shared" si="27"/>
        <v>50978</v>
      </c>
      <c r="M10" s="393">
        <f t="shared" si="27"/>
        <v>55583</v>
      </c>
      <c r="N10" s="393">
        <f t="shared" si="27"/>
        <v>51822</v>
      </c>
      <c r="O10" s="393">
        <f t="shared" si="27"/>
        <v>42111</v>
      </c>
      <c r="P10" s="823">
        <f t="shared" si="27"/>
        <v>200494</v>
      </c>
      <c r="Q10" s="393">
        <f t="shared" si="27"/>
        <v>32315</v>
      </c>
      <c r="R10" s="393">
        <f t="shared" si="27"/>
        <v>36829</v>
      </c>
      <c r="S10" s="393">
        <f t="shared" si="27"/>
        <v>32767</v>
      </c>
      <c r="T10" s="393">
        <f t="shared" si="27"/>
        <v>28014</v>
      </c>
      <c r="U10" s="823">
        <f t="shared" si="27"/>
        <v>129925</v>
      </c>
      <c r="V10" s="393">
        <f t="shared" si="27"/>
        <v>23070</v>
      </c>
      <c r="W10" s="393">
        <f t="shared" si="27"/>
        <v>27844</v>
      </c>
      <c r="X10" s="393">
        <f t="shared" si="27"/>
        <v>29159</v>
      </c>
      <c r="Y10" s="394">
        <f t="shared" si="27"/>
        <v>30142</v>
      </c>
      <c r="Z10" s="824">
        <f t="shared" si="27"/>
        <v>110215</v>
      </c>
      <c r="AA10" s="394">
        <f t="shared" si="27"/>
        <v>31524</v>
      </c>
      <c r="AB10" s="393">
        <f t="shared" si="27"/>
        <v>32877</v>
      </c>
      <c r="AC10" s="393">
        <f t="shared" si="27"/>
        <v>33892</v>
      </c>
      <c r="AD10" s="394">
        <f t="shared" si="27"/>
        <v>36381</v>
      </c>
      <c r="AE10" s="824">
        <f t="shared" si="27"/>
        <v>134674</v>
      </c>
      <c r="AF10" s="394">
        <f t="shared" si="27"/>
        <v>35968</v>
      </c>
      <c r="AG10" s="393">
        <f t="shared" si="27"/>
        <v>40491</v>
      </c>
      <c r="AH10" s="393">
        <f t="shared" si="27"/>
        <v>42105</v>
      </c>
      <c r="AI10" s="394">
        <f>AI495</f>
        <v>40338</v>
      </c>
      <c r="AJ10" s="824">
        <f>AJ495</f>
        <v>158902</v>
      </c>
      <c r="AK10" s="394">
        <f>SUM(AK7:AK9)</f>
        <v>34189</v>
      </c>
      <c r="AL10" s="393">
        <f>SUM(AL7:AL9)</f>
        <v>36323</v>
      </c>
      <c r="AM10" s="393">
        <f>SUM(AM7:AM9)</f>
        <v>34779</v>
      </c>
      <c r="AN10" s="394">
        <f t="shared" ref="AN10:AT10" si="28">AN495</f>
        <v>34574</v>
      </c>
      <c r="AO10" s="824">
        <f t="shared" si="28"/>
        <v>139865</v>
      </c>
      <c r="AP10" s="394">
        <f t="shared" si="28"/>
        <v>29705</v>
      </c>
      <c r="AQ10" s="393">
        <f t="shared" si="28"/>
        <v>15926</v>
      </c>
      <c r="AR10" s="393">
        <f t="shared" si="28"/>
        <v>23997</v>
      </c>
      <c r="AS10" s="394">
        <f t="shared" si="28"/>
        <v>24843</v>
      </c>
      <c r="AT10" s="824">
        <f t="shared" si="28"/>
        <v>94471</v>
      </c>
      <c r="AU10" s="394">
        <f t="shared" ref="AU10:AV10" si="29">AU495</f>
        <v>31076</v>
      </c>
      <c r="AV10" s="393">
        <f t="shared" si="29"/>
        <v>36117</v>
      </c>
      <c r="AW10" s="393">
        <f t="shared" ref="AW10:BB10" si="30">AW495</f>
        <v>42552</v>
      </c>
      <c r="AX10" s="394">
        <f t="shared" si="30"/>
        <v>45861</v>
      </c>
      <c r="AY10" s="824">
        <f t="shared" si="30"/>
        <v>155606</v>
      </c>
      <c r="AZ10" s="394">
        <f t="shared" si="30"/>
        <v>52314</v>
      </c>
      <c r="BA10" s="393">
        <f t="shared" si="30"/>
        <v>65372</v>
      </c>
      <c r="BB10" s="393">
        <f t="shared" si="30"/>
        <v>63508</v>
      </c>
      <c r="BC10" s="394">
        <f t="shared" ref="BC10:BI10" si="31">BC495</f>
        <v>54523</v>
      </c>
      <c r="BD10" s="824">
        <f t="shared" si="31"/>
        <v>235717</v>
      </c>
      <c r="BE10" s="394">
        <f t="shared" si="31"/>
        <v>48842</v>
      </c>
      <c r="BF10" s="393">
        <f t="shared" si="31"/>
        <v>47216</v>
      </c>
      <c r="BG10" s="393">
        <f t="shared" si="31"/>
        <v>51922</v>
      </c>
      <c r="BH10" s="394">
        <f t="shared" si="31"/>
        <v>48933</v>
      </c>
      <c r="BI10" s="824">
        <f t="shared" si="31"/>
        <v>196913</v>
      </c>
      <c r="BJ10" s="394">
        <f t="shared" ref="BJ10:BO10" si="32">BJ495</f>
        <v>46580</v>
      </c>
      <c r="BK10" s="393">
        <f t="shared" si="32"/>
        <v>49574</v>
      </c>
      <c r="BL10" s="393">
        <f t="shared" si="32"/>
        <v>48926</v>
      </c>
      <c r="BM10" s="394">
        <f t="shared" si="32"/>
        <v>48334</v>
      </c>
      <c r="BN10" s="824">
        <f t="shared" si="32"/>
        <v>193414</v>
      </c>
      <c r="BO10" s="394">
        <f t="shared" si="32"/>
        <v>46101</v>
      </c>
      <c r="BP10" s="393">
        <f t="shared" ref="BP10" si="33">BP495</f>
        <v>44375</v>
      </c>
      <c r="BQ10" s="393">
        <f>BQ495</f>
        <v>48169</v>
      </c>
      <c r="BR10" s="394">
        <f>BR495</f>
        <v>45787</v>
      </c>
      <c r="BS10" s="824">
        <f>BS495</f>
        <v>184432</v>
      </c>
      <c r="BT10" s="640">
        <f>BT495</f>
        <v>47556</v>
      </c>
      <c r="BU10" s="393">
        <f>SUM(BU7:BU9)</f>
        <v>58939.442499999997</v>
      </c>
      <c r="BV10" s="393">
        <f>SUM(BV7:BV9)</f>
        <v>54894.09</v>
      </c>
      <c r="BW10" s="393">
        <f>SUM(BW7:BW9)</f>
        <v>54052.44</v>
      </c>
      <c r="BX10" s="823">
        <f t="shared" ref="BX10" si="34">SUM(BX7:BX9)</f>
        <v>215441.97250000003</v>
      </c>
      <c r="BY10" s="393">
        <f t="shared" ref="BY10:CF10" si="35">SUM(BY7:BY9)</f>
        <v>51942.324999999997</v>
      </c>
      <c r="BZ10" s="393">
        <f t="shared" si="35"/>
        <v>51909.6005</v>
      </c>
      <c r="CA10" s="393">
        <f t="shared" si="35"/>
        <v>52751.601999999992</v>
      </c>
      <c r="CB10" s="393">
        <f t="shared" si="35"/>
        <v>52295.673999999999</v>
      </c>
      <c r="CC10" s="823">
        <f t="shared" si="35"/>
        <v>208899.2015</v>
      </c>
      <c r="CD10" s="823">
        <f t="shared" si="35"/>
        <v>192853.73499999999</v>
      </c>
      <c r="CE10" s="823">
        <f t="shared" si="35"/>
        <v>191269.7775</v>
      </c>
      <c r="CF10" s="823">
        <f t="shared" si="35"/>
        <v>189460.48249999998</v>
      </c>
      <c r="CG10" s="26"/>
    </row>
    <row r="11" spans="1:85" s="429" customFormat="1" x14ac:dyDescent="0.3">
      <c r="A11" s="48"/>
      <c r="B11" s="63"/>
      <c r="C11" s="825"/>
      <c r="D11" s="825"/>
      <c r="E11" s="825"/>
      <c r="F11" s="825"/>
      <c r="G11" s="31"/>
      <c r="H11" s="31"/>
      <c r="I11" s="31"/>
      <c r="J11" s="31"/>
      <c r="K11" s="825"/>
      <c r="L11" s="31"/>
      <c r="M11" s="31"/>
      <c r="N11" s="31"/>
      <c r="O11" s="31"/>
      <c r="P11" s="825"/>
      <c r="Q11" s="31"/>
      <c r="R11" s="31"/>
      <c r="S11" s="31"/>
      <c r="T11" s="31"/>
      <c r="U11" s="825"/>
      <c r="V11" s="31"/>
      <c r="W11" s="31"/>
      <c r="X11" s="31"/>
      <c r="Y11" s="31"/>
      <c r="Z11" s="825"/>
      <c r="AA11" s="31"/>
      <c r="AB11" s="31"/>
      <c r="AC11" s="31"/>
      <c r="AD11" s="31"/>
      <c r="AE11" s="825"/>
      <c r="AF11" s="31"/>
      <c r="AG11" s="31"/>
      <c r="AH11" s="31"/>
      <c r="AI11" s="31"/>
      <c r="AJ11" s="825"/>
      <c r="AK11" s="31"/>
      <c r="AL11" s="31"/>
      <c r="AM11" s="31"/>
      <c r="AN11" s="31"/>
      <c r="AO11" s="825"/>
      <c r="AP11" s="31"/>
      <c r="AQ11" s="31"/>
      <c r="AR11" s="31"/>
      <c r="AS11" s="31"/>
      <c r="AT11" s="825"/>
      <c r="AU11" s="31"/>
      <c r="AV11" s="31"/>
      <c r="AW11" s="31"/>
      <c r="AX11" s="31"/>
      <c r="AY11" s="825"/>
      <c r="AZ11" s="31"/>
      <c r="BA11" s="31"/>
      <c r="BB11" s="31"/>
      <c r="BC11" s="31"/>
      <c r="BD11" s="825"/>
      <c r="BE11" s="31"/>
      <c r="BF11" s="31"/>
      <c r="BG11" s="31"/>
      <c r="BH11" s="31"/>
      <c r="BI11" s="825"/>
      <c r="BJ11" s="31"/>
      <c r="BK11" s="31"/>
      <c r="BL11" s="31"/>
      <c r="BM11" s="31"/>
      <c r="BN11" s="825"/>
      <c r="BO11" s="31"/>
      <c r="BP11" s="31"/>
      <c r="BQ11" s="31"/>
      <c r="BR11" s="31"/>
      <c r="BS11" s="825"/>
      <c r="BT11" s="379"/>
      <c r="BU11" s="31"/>
      <c r="BV11" s="31"/>
      <c r="BW11" s="31"/>
      <c r="BX11" s="825"/>
      <c r="BY11" s="31"/>
      <c r="BZ11" s="31"/>
      <c r="CA11" s="31"/>
      <c r="CB11" s="31"/>
      <c r="CC11" s="825"/>
      <c r="CD11" s="825"/>
      <c r="CE11" s="825"/>
      <c r="CF11" s="825"/>
      <c r="CG11" s="26"/>
    </row>
    <row r="12" spans="1:85" s="428" customFormat="1" x14ac:dyDescent="0.3">
      <c r="A12" s="43" t="s">
        <v>18</v>
      </c>
      <c r="B12" s="64"/>
      <c r="C12" s="821">
        <f t="shared" ref="C12:AQ12" si="36">C99</f>
        <v>10932</v>
      </c>
      <c r="D12" s="821">
        <f t="shared" si="36"/>
        <v>17677</v>
      </c>
      <c r="E12" s="821">
        <f t="shared" si="36"/>
        <v>24786</v>
      </c>
      <c r="F12" s="821">
        <f t="shared" si="36"/>
        <v>23788</v>
      </c>
      <c r="G12" s="37">
        <f t="shared" si="36"/>
        <v>5916</v>
      </c>
      <c r="H12" s="37">
        <f t="shared" si="36"/>
        <v>4949</v>
      </c>
      <c r="I12" s="37">
        <f t="shared" si="36"/>
        <v>5092</v>
      </c>
      <c r="J12" s="37">
        <f t="shared" si="36"/>
        <v>4852</v>
      </c>
      <c r="K12" s="821">
        <f t="shared" si="36"/>
        <v>20809</v>
      </c>
      <c r="L12" s="37">
        <f t="shared" si="36"/>
        <v>4307</v>
      </c>
      <c r="M12" s="37">
        <f t="shared" si="36"/>
        <v>5264</v>
      </c>
      <c r="N12" s="37">
        <f t="shared" si="36"/>
        <v>4649</v>
      </c>
      <c r="O12" s="37">
        <f t="shared" si="36"/>
        <v>2673</v>
      </c>
      <c r="P12" s="821">
        <f t="shared" si="36"/>
        <v>16893</v>
      </c>
      <c r="Q12" s="37">
        <f t="shared" si="36"/>
        <v>1560</v>
      </c>
      <c r="R12" s="37">
        <f t="shared" si="36"/>
        <v>-2219</v>
      </c>
      <c r="S12" s="37">
        <f t="shared" si="36"/>
        <v>59</v>
      </c>
      <c r="T12" s="37">
        <f t="shared" si="36"/>
        <v>-1361</v>
      </c>
      <c r="U12" s="821">
        <f t="shared" si="36"/>
        <v>-1961</v>
      </c>
      <c r="V12" s="37">
        <f t="shared" si="36"/>
        <v>-1459</v>
      </c>
      <c r="W12" s="37">
        <f t="shared" si="36"/>
        <v>-2462</v>
      </c>
      <c r="X12" s="37">
        <f t="shared" si="36"/>
        <v>454</v>
      </c>
      <c r="Y12" s="37">
        <f t="shared" si="36"/>
        <v>930</v>
      </c>
      <c r="Z12" s="821">
        <f t="shared" si="36"/>
        <v>-2537</v>
      </c>
      <c r="AA12" s="37">
        <f t="shared" si="36"/>
        <v>1517</v>
      </c>
      <c r="AB12" s="37">
        <f t="shared" si="36"/>
        <v>853</v>
      </c>
      <c r="AC12" s="37">
        <f t="shared" si="36"/>
        <v>489</v>
      </c>
      <c r="AD12" s="37">
        <f t="shared" si="36"/>
        <v>5291</v>
      </c>
      <c r="AE12" s="821">
        <f t="shared" si="36"/>
        <v>8150</v>
      </c>
      <c r="AF12" s="37">
        <f t="shared" si="36"/>
        <v>3352</v>
      </c>
      <c r="AG12" s="37">
        <f t="shared" si="36"/>
        <v>3295</v>
      </c>
      <c r="AH12" s="37">
        <f t="shared" si="36"/>
        <v>3379</v>
      </c>
      <c r="AI12" s="37">
        <f t="shared" si="36"/>
        <v>3290</v>
      </c>
      <c r="AJ12" s="821">
        <f t="shared" si="36"/>
        <v>13316</v>
      </c>
      <c r="AK12" s="37">
        <f t="shared" si="36"/>
        <v>3123</v>
      </c>
      <c r="AL12" s="37">
        <f t="shared" si="36"/>
        <v>3483</v>
      </c>
      <c r="AM12" s="37">
        <f t="shared" si="36"/>
        <v>2704</v>
      </c>
      <c r="AN12" s="37">
        <f t="shared" si="36"/>
        <v>-6734</v>
      </c>
      <c r="AO12" s="821">
        <f t="shared" si="36"/>
        <v>2576</v>
      </c>
      <c r="AP12" s="37">
        <f t="shared" si="36"/>
        <v>2920</v>
      </c>
      <c r="AQ12" s="37">
        <f t="shared" si="36"/>
        <v>-6089</v>
      </c>
      <c r="AR12" s="37">
        <f>AR99</f>
        <v>235</v>
      </c>
      <c r="AS12" s="37">
        <f t="shared" ref="AS12:AU12" si="37">AS99</f>
        <v>501</v>
      </c>
      <c r="AT12" s="821">
        <f t="shared" si="37"/>
        <v>-2433</v>
      </c>
      <c r="AU12" s="37">
        <f t="shared" si="37"/>
        <v>2350</v>
      </c>
      <c r="AV12" s="37">
        <f t="shared" ref="AV12:BA12" si="38">AV99</f>
        <v>3178</v>
      </c>
      <c r="AW12" s="37">
        <f t="shared" si="38"/>
        <v>5135</v>
      </c>
      <c r="AX12" s="37">
        <f t="shared" si="38"/>
        <v>5155</v>
      </c>
      <c r="AY12" s="821">
        <f t="shared" si="38"/>
        <v>15818</v>
      </c>
      <c r="AZ12" s="37">
        <f t="shared" si="38"/>
        <v>6934</v>
      </c>
      <c r="BA12" s="37">
        <f t="shared" si="38"/>
        <v>8558</v>
      </c>
      <c r="BB12" s="37">
        <f t="shared" ref="BB12:BG12" si="39">BB99</f>
        <v>9307</v>
      </c>
      <c r="BC12" s="37">
        <f t="shared" si="39"/>
        <v>5485</v>
      </c>
      <c r="BD12" s="821">
        <f t="shared" si="39"/>
        <v>30284</v>
      </c>
      <c r="BE12" s="37">
        <f t="shared" si="39"/>
        <v>5161</v>
      </c>
      <c r="BF12" s="37">
        <f t="shared" si="39"/>
        <v>4936</v>
      </c>
      <c r="BG12" s="37">
        <f t="shared" si="39"/>
        <v>5755</v>
      </c>
      <c r="BH12" s="37">
        <f t="shared" ref="BH12:BN12" si="40">BH99</f>
        <v>1586</v>
      </c>
      <c r="BI12" s="821">
        <f t="shared" si="40"/>
        <v>17438</v>
      </c>
      <c r="BJ12" s="37">
        <f t="shared" si="40"/>
        <v>5239</v>
      </c>
      <c r="BK12" s="37">
        <f t="shared" si="40"/>
        <v>4470</v>
      </c>
      <c r="BL12" s="37">
        <f t="shared" si="40"/>
        <v>4589</v>
      </c>
      <c r="BM12" s="37">
        <f t="shared" si="40"/>
        <v>4304</v>
      </c>
      <c r="BN12" s="821">
        <f t="shared" si="40"/>
        <v>18602</v>
      </c>
      <c r="BO12" s="37">
        <f t="shared" ref="BO12:BT12" si="41">BO99</f>
        <v>3758</v>
      </c>
      <c r="BP12" s="37">
        <f t="shared" si="41"/>
        <v>2727</v>
      </c>
      <c r="BQ12" s="37">
        <f t="shared" si="41"/>
        <v>3302</v>
      </c>
      <c r="BR12" s="37">
        <f t="shared" si="41"/>
        <v>3035</v>
      </c>
      <c r="BS12" s="821">
        <f t="shared" si="41"/>
        <v>12822</v>
      </c>
      <c r="BT12" s="480">
        <f t="shared" si="41"/>
        <v>3909</v>
      </c>
      <c r="BU12" s="37"/>
      <c r="BV12" s="37"/>
      <c r="BW12" s="37"/>
      <c r="BX12" s="821"/>
      <c r="BY12" s="37"/>
      <c r="BZ12" s="37"/>
      <c r="CA12" s="37"/>
      <c r="CB12" s="37"/>
      <c r="CC12" s="821"/>
      <c r="CD12" s="821"/>
      <c r="CE12" s="821"/>
      <c r="CF12" s="821"/>
      <c r="CG12" s="22"/>
    </row>
    <row r="13" spans="1:85" s="428" customFormat="1" x14ac:dyDescent="0.3">
      <c r="A13" s="43" t="s">
        <v>19</v>
      </c>
      <c r="B13" s="64"/>
      <c r="C13" s="821">
        <f t="shared" ref="C13:AQ13" si="42">C243</f>
        <v>473</v>
      </c>
      <c r="D13" s="821">
        <f t="shared" si="42"/>
        <v>2478</v>
      </c>
      <c r="E13" s="821">
        <f t="shared" si="42"/>
        <v>3591</v>
      </c>
      <c r="F13" s="821">
        <f t="shared" si="42"/>
        <v>4299</v>
      </c>
      <c r="G13" s="37">
        <f t="shared" si="42"/>
        <v>701</v>
      </c>
      <c r="H13" s="37">
        <f t="shared" si="42"/>
        <v>766</v>
      </c>
      <c r="I13" s="37">
        <f t="shared" si="42"/>
        <v>380</v>
      </c>
      <c r="J13" s="37">
        <f t="shared" si="42"/>
        <v>390</v>
      </c>
      <c r="K13" s="821">
        <f t="shared" si="42"/>
        <v>2237</v>
      </c>
      <c r="L13" s="37">
        <f t="shared" si="42"/>
        <v>710</v>
      </c>
      <c r="M13" s="37">
        <f t="shared" si="42"/>
        <v>721</v>
      </c>
      <c r="N13" s="37">
        <f t="shared" si="42"/>
        <v>1387</v>
      </c>
      <c r="O13" s="37">
        <f t="shared" si="42"/>
        <v>1518</v>
      </c>
      <c r="P13" s="821">
        <f t="shared" si="42"/>
        <v>4336</v>
      </c>
      <c r="Q13" s="37">
        <f t="shared" si="42"/>
        <v>1423</v>
      </c>
      <c r="R13" s="37">
        <f t="shared" si="42"/>
        <v>2956</v>
      </c>
      <c r="S13" s="37">
        <f t="shared" si="42"/>
        <v>2211</v>
      </c>
      <c r="T13" s="37">
        <f t="shared" si="42"/>
        <v>1011</v>
      </c>
      <c r="U13" s="821">
        <f t="shared" si="42"/>
        <v>7601</v>
      </c>
      <c r="V13" s="37">
        <f t="shared" si="42"/>
        <v>735</v>
      </c>
      <c r="W13" s="37">
        <f t="shared" si="42"/>
        <v>1278</v>
      </c>
      <c r="X13" s="37">
        <f t="shared" si="42"/>
        <v>1065</v>
      </c>
      <c r="Y13" s="37">
        <f t="shared" si="42"/>
        <v>357</v>
      </c>
      <c r="Z13" s="821">
        <f t="shared" si="42"/>
        <v>3435</v>
      </c>
      <c r="AA13" s="37">
        <f t="shared" si="42"/>
        <v>926</v>
      </c>
      <c r="AB13" s="37">
        <f t="shared" si="42"/>
        <v>1195</v>
      </c>
      <c r="AC13" s="37">
        <f t="shared" si="42"/>
        <v>1814</v>
      </c>
      <c r="AD13" s="37">
        <f t="shared" si="42"/>
        <v>1279</v>
      </c>
      <c r="AE13" s="821">
        <f t="shared" si="42"/>
        <v>5214</v>
      </c>
      <c r="AF13" s="37">
        <f t="shared" si="42"/>
        <v>728</v>
      </c>
      <c r="AG13" s="37">
        <f t="shared" si="42"/>
        <v>838</v>
      </c>
      <c r="AH13" s="37">
        <f t="shared" si="42"/>
        <v>1373</v>
      </c>
      <c r="AI13" s="37">
        <f t="shared" si="42"/>
        <v>859</v>
      </c>
      <c r="AJ13" s="821">
        <f t="shared" si="42"/>
        <v>3798</v>
      </c>
      <c r="AK13" s="37">
        <f t="shared" si="42"/>
        <v>252</v>
      </c>
      <c r="AL13" s="37">
        <f t="shared" si="42"/>
        <v>729</v>
      </c>
      <c r="AM13" s="37">
        <f t="shared" si="42"/>
        <v>828</v>
      </c>
      <c r="AN13" s="37">
        <f t="shared" si="42"/>
        <v>672</v>
      </c>
      <c r="AO13" s="821">
        <f t="shared" si="42"/>
        <v>2481</v>
      </c>
      <c r="AP13" s="37">
        <f t="shared" si="42"/>
        <v>1103</v>
      </c>
      <c r="AQ13" s="37">
        <f t="shared" si="42"/>
        <v>-1010</v>
      </c>
      <c r="AR13" s="37">
        <f>AR243</f>
        <v>292</v>
      </c>
      <c r="AS13" s="37">
        <f t="shared" ref="AS13:AU13" si="43">AS243</f>
        <v>-338</v>
      </c>
      <c r="AT13" s="821">
        <f t="shared" si="43"/>
        <v>47</v>
      </c>
      <c r="AU13" s="37">
        <f t="shared" si="43"/>
        <v>5</v>
      </c>
      <c r="AV13" s="37">
        <f t="shared" ref="AV13:BA13" si="44">AV243</f>
        <v>839</v>
      </c>
      <c r="AW13" s="37">
        <f t="shared" si="44"/>
        <v>1310</v>
      </c>
      <c r="AX13" s="37">
        <f t="shared" si="44"/>
        <v>760</v>
      </c>
      <c r="AY13" s="821">
        <f t="shared" si="44"/>
        <v>2914</v>
      </c>
      <c r="AZ13" s="37">
        <f t="shared" si="44"/>
        <v>331</v>
      </c>
      <c r="BA13" s="37">
        <f t="shared" si="44"/>
        <v>3523</v>
      </c>
      <c r="BB13" s="37">
        <f t="shared" ref="BB13:BG13" si="45">BB243</f>
        <v>2530</v>
      </c>
      <c r="BC13" s="37">
        <f t="shared" si="45"/>
        <v>1771</v>
      </c>
      <c r="BD13" s="821">
        <f t="shared" si="45"/>
        <v>8155</v>
      </c>
      <c r="BE13" s="37">
        <f t="shared" si="45"/>
        <v>1800</v>
      </c>
      <c r="BF13" s="37">
        <f t="shared" si="45"/>
        <v>1507</v>
      </c>
      <c r="BG13" s="37">
        <f t="shared" si="45"/>
        <v>1683</v>
      </c>
      <c r="BH13" s="37">
        <f t="shared" ref="BH13:BN13" si="46">BH243</f>
        <v>1147</v>
      </c>
      <c r="BI13" s="821">
        <f t="shared" si="46"/>
        <v>6137</v>
      </c>
      <c r="BJ13" s="37">
        <f t="shared" si="46"/>
        <v>783</v>
      </c>
      <c r="BK13" s="37">
        <f t="shared" si="46"/>
        <v>597</v>
      </c>
      <c r="BL13" s="37">
        <f t="shared" si="46"/>
        <v>595</v>
      </c>
      <c r="BM13" s="37">
        <f t="shared" si="46"/>
        <v>-248</v>
      </c>
      <c r="BN13" s="821">
        <f t="shared" si="46"/>
        <v>1727</v>
      </c>
      <c r="BO13" s="37">
        <f t="shared" ref="BO13:BT13" si="47">BO243</f>
        <v>325</v>
      </c>
      <c r="BP13" s="37">
        <f t="shared" si="47"/>
        <v>737</v>
      </c>
      <c r="BQ13" s="37">
        <f t="shared" si="47"/>
        <v>1137</v>
      </c>
      <c r="BR13" s="37">
        <f t="shared" si="47"/>
        <v>823</v>
      </c>
      <c r="BS13" s="821">
        <f t="shared" si="47"/>
        <v>3022</v>
      </c>
      <c r="BT13" s="480">
        <f t="shared" si="47"/>
        <v>-817</v>
      </c>
      <c r="BU13" s="37"/>
      <c r="BV13" s="37"/>
      <c r="BW13" s="37"/>
      <c r="BX13" s="821"/>
      <c r="BY13" s="37"/>
      <c r="BZ13" s="37"/>
      <c r="CA13" s="37"/>
      <c r="CB13" s="37"/>
      <c r="CC13" s="821"/>
      <c r="CD13" s="821"/>
      <c r="CE13" s="821"/>
      <c r="CF13" s="821"/>
      <c r="CG13" s="22"/>
    </row>
    <row r="14" spans="1:85" s="428" customFormat="1" x14ac:dyDescent="0.3">
      <c r="A14" s="242" t="s">
        <v>20</v>
      </c>
      <c r="B14" s="243"/>
      <c r="C14" s="822">
        <f t="shared" ref="C14:AQ14" si="48">C260</f>
        <v>-922</v>
      </c>
      <c r="D14" s="822">
        <f t="shared" si="48"/>
        <v>-1131</v>
      </c>
      <c r="E14" s="822">
        <f t="shared" si="48"/>
        <v>-1482</v>
      </c>
      <c r="F14" s="822">
        <f t="shared" si="48"/>
        <v>-1908</v>
      </c>
      <c r="G14" s="56">
        <f t="shared" si="48"/>
        <v>-439</v>
      </c>
      <c r="H14" s="56">
        <f t="shared" si="48"/>
        <v>-350</v>
      </c>
      <c r="I14" s="56">
        <f t="shared" si="48"/>
        <v>-522</v>
      </c>
      <c r="J14" s="56">
        <f t="shared" si="48"/>
        <v>-312</v>
      </c>
      <c r="K14" s="822">
        <f t="shared" si="48"/>
        <v>-1623</v>
      </c>
      <c r="L14" s="56">
        <f t="shared" si="48"/>
        <v>-505</v>
      </c>
      <c r="M14" s="56">
        <f t="shared" si="48"/>
        <v>-320</v>
      </c>
      <c r="N14" s="56">
        <f t="shared" si="48"/>
        <v>-443</v>
      </c>
      <c r="O14" s="56">
        <f t="shared" si="48"/>
        <v>-720</v>
      </c>
      <c r="P14" s="822">
        <f t="shared" si="48"/>
        <v>-1988</v>
      </c>
      <c r="Q14" s="56">
        <f t="shared" si="48"/>
        <v>-416</v>
      </c>
      <c r="R14" s="56">
        <f t="shared" si="48"/>
        <v>-166</v>
      </c>
      <c r="S14" s="56">
        <f t="shared" si="48"/>
        <v>-233</v>
      </c>
      <c r="T14" s="56">
        <f t="shared" si="48"/>
        <v>-238</v>
      </c>
      <c r="U14" s="822">
        <f t="shared" si="48"/>
        <v>-1053</v>
      </c>
      <c r="V14" s="56">
        <f t="shared" si="48"/>
        <v>-1</v>
      </c>
      <c r="W14" s="56">
        <f t="shared" si="48"/>
        <v>-286</v>
      </c>
      <c r="X14" s="56">
        <f t="shared" si="48"/>
        <v>-236</v>
      </c>
      <c r="Y14" s="56">
        <f t="shared" si="48"/>
        <v>-872</v>
      </c>
      <c r="Z14" s="822">
        <f t="shared" si="48"/>
        <v>-1395</v>
      </c>
      <c r="AA14" s="56">
        <f t="shared" si="48"/>
        <v>239</v>
      </c>
      <c r="AB14" s="56">
        <f t="shared" si="48"/>
        <v>-598</v>
      </c>
      <c r="AC14" s="56">
        <f t="shared" si="48"/>
        <v>-351</v>
      </c>
      <c r="AD14" s="56">
        <f t="shared" si="48"/>
        <v>-3459</v>
      </c>
      <c r="AE14" s="822">
        <f t="shared" si="48"/>
        <v>-4169</v>
      </c>
      <c r="AF14" s="56">
        <f t="shared" si="48"/>
        <v>-442</v>
      </c>
      <c r="AG14" s="56">
        <f t="shared" si="48"/>
        <v>-724</v>
      </c>
      <c r="AH14" s="56">
        <f t="shared" si="48"/>
        <v>-705</v>
      </c>
      <c r="AI14" s="56">
        <f t="shared" si="48"/>
        <v>-419</v>
      </c>
      <c r="AJ14" s="822">
        <f t="shared" si="48"/>
        <v>-2290</v>
      </c>
      <c r="AK14" s="56">
        <f t="shared" si="48"/>
        <v>-726</v>
      </c>
      <c r="AL14" s="56">
        <f t="shared" si="48"/>
        <v>93</v>
      </c>
      <c r="AM14" s="56">
        <f t="shared" si="48"/>
        <v>-952</v>
      </c>
      <c r="AN14" s="56">
        <f t="shared" si="48"/>
        <v>-548</v>
      </c>
      <c r="AO14" s="822">
        <f t="shared" si="48"/>
        <v>-2133</v>
      </c>
      <c r="AP14" s="56">
        <f t="shared" si="48"/>
        <v>-424</v>
      </c>
      <c r="AQ14" s="56">
        <f t="shared" si="48"/>
        <v>-1171</v>
      </c>
      <c r="AR14" s="56">
        <f>AR260</f>
        <v>-734</v>
      </c>
      <c r="AS14" s="56">
        <f t="shared" ref="AS14:AU14" si="49">AS260</f>
        <v>-828</v>
      </c>
      <c r="AT14" s="822">
        <f t="shared" si="49"/>
        <v>-3157</v>
      </c>
      <c r="AU14" s="56">
        <f t="shared" si="49"/>
        <v>-978</v>
      </c>
      <c r="AV14" s="56">
        <f t="shared" ref="AV14:BA14" si="50">AV260</f>
        <v>-935</v>
      </c>
      <c r="AW14" s="56">
        <f t="shared" si="50"/>
        <v>-334</v>
      </c>
      <c r="AX14" s="56">
        <f t="shared" si="50"/>
        <v>-860</v>
      </c>
      <c r="AY14" s="822">
        <f t="shared" si="50"/>
        <v>-3107</v>
      </c>
      <c r="AZ14" s="56">
        <f t="shared" si="50"/>
        <v>-1006</v>
      </c>
      <c r="BA14" s="56">
        <f t="shared" si="50"/>
        <v>-459</v>
      </c>
      <c r="BB14" s="56">
        <f t="shared" ref="BB14:BG14" si="51">BB260</f>
        <v>-606</v>
      </c>
      <c r="BC14" s="56">
        <f t="shared" si="51"/>
        <v>-903</v>
      </c>
      <c r="BD14" s="822">
        <f t="shared" si="51"/>
        <v>-2974</v>
      </c>
      <c r="BE14" s="56">
        <f t="shared" si="51"/>
        <v>-387</v>
      </c>
      <c r="BF14" s="56">
        <f t="shared" si="51"/>
        <v>-433</v>
      </c>
      <c r="BG14" s="56">
        <f t="shared" si="51"/>
        <v>-912</v>
      </c>
      <c r="BH14" s="56">
        <f t="shared" ref="BH14:BN14" si="52">BH260</f>
        <v>-474</v>
      </c>
      <c r="BI14" s="822">
        <f t="shared" si="52"/>
        <v>-2206</v>
      </c>
      <c r="BJ14" s="56">
        <f t="shared" si="52"/>
        <v>-521</v>
      </c>
      <c r="BK14" s="56">
        <f t="shared" si="52"/>
        <v>-633</v>
      </c>
      <c r="BL14" s="56">
        <f t="shared" si="52"/>
        <v>-697</v>
      </c>
      <c r="BM14" s="56">
        <f t="shared" si="52"/>
        <v>-817</v>
      </c>
      <c r="BN14" s="822">
        <f t="shared" si="52"/>
        <v>-2668</v>
      </c>
      <c r="BO14" s="56">
        <f t="shared" ref="BO14:BT14" si="53">BO260</f>
        <v>-583</v>
      </c>
      <c r="BP14" s="56">
        <f t="shared" si="53"/>
        <v>-974</v>
      </c>
      <c r="BQ14" s="56">
        <f t="shared" si="53"/>
        <v>-900</v>
      </c>
      <c r="BR14" s="56">
        <f t="shared" si="53"/>
        <v>-1088</v>
      </c>
      <c r="BS14" s="822">
        <f t="shared" si="53"/>
        <v>-3545</v>
      </c>
      <c r="BT14" s="478">
        <f t="shared" si="53"/>
        <v>-882</v>
      </c>
      <c r="BU14" s="56"/>
      <c r="BV14" s="56"/>
      <c r="BW14" s="56"/>
      <c r="BX14" s="822"/>
      <c r="BY14" s="56"/>
      <c r="BZ14" s="56"/>
      <c r="CA14" s="56"/>
      <c r="CB14" s="56"/>
      <c r="CC14" s="822"/>
      <c r="CD14" s="822"/>
      <c r="CE14" s="822"/>
      <c r="CF14" s="822"/>
      <c r="CG14" s="22"/>
    </row>
    <row r="15" spans="1:85" s="429" customFormat="1" x14ac:dyDescent="0.3">
      <c r="A15" s="42" t="s">
        <v>21</v>
      </c>
      <c r="B15" s="90"/>
      <c r="C15" s="823">
        <f t="shared" ref="C15:AQ15" si="54">SUM(C12:C14)</f>
        <v>10483</v>
      </c>
      <c r="D15" s="823">
        <f t="shared" si="54"/>
        <v>19024</v>
      </c>
      <c r="E15" s="823">
        <f t="shared" si="54"/>
        <v>26895</v>
      </c>
      <c r="F15" s="823">
        <f t="shared" si="54"/>
        <v>26179</v>
      </c>
      <c r="G15" s="393">
        <f t="shared" si="54"/>
        <v>6178</v>
      </c>
      <c r="H15" s="393">
        <f t="shared" si="54"/>
        <v>5365</v>
      </c>
      <c r="I15" s="393">
        <f t="shared" si="54"/>
        <v>4950</v>
      </c>
      <c r="J15" s="393">
        <f t="shared" si="54"/>
        <v>4930</v>
      </c>
      <c r="K15" s="823">
        <f t="shared" si="54"/>
        <v>21423</v>
      </c>
      <c r="L15" s="393">
        <f t="shared" si="54"/>
        <v>4512</v>
      </c>
      <c r="M15" s="393">
        <f t="shared" si="54"/>
        <v>5665</v>
      </c>
      <c r="N15" s="393">
        <f t="shared" si="54"/>
        <v>5593</v>
      </c>
      <c r="O15" s="393">
        <f t="shared" si="54"/>
        <v>3471</v>
      </c>
      <c r="P15" s="823">
        <f t="shared" si="54"/>
        <v>19241</v>
      </c>
      <c r="Q15" s="393">
        <f t="shared" si="54"/>
        <v>2567</v>
      </c>
      <c r="R15" s="393">
        <f t="shared" si="54"/>
        <v>571</v>
      </c>
      <c r="S15" s="393">
        <f t="shared" si="54"/>
        <v>2037</v>
      </c>
      <c r="T15" s="393">
        <f t="shared" si="54"/>
        <v>-588</v>
      </c>
      <c r="U15" s="823">
        <f t="shared" si="54"/>
        <v>4587</v>
      </c>
      <c r="V15" s="393">
        <f t="shared" si="54"/>
        <v>-725</v>
      </c>
      <c r="W15" s="393">
        <f t="shared" si="54"/>
        <v>-1470</v>
      </c>
      <c r="X15" s="393">
        <f t="shared" si="54"/>
        <v>1283</v>
      </c>
      <c r="Y15" s="393">
        <f t="shared" si="54"/>
        <v>415</v>
      </c>
      <c r="Z15" s="823">
        <f t="shared" si="54"/>
        <v>-497</v>
      </c>
      <c r="AA15" s="393">
        <f t="shared" si="54"/>
        <v>2682</v>
      </c>
      <c r="AB15" s="393">
        <f t="shared" si="54"/>
        <v>1450</v>
      </c>
      <c r="AC15" s="393">
        <f t="shared" si="54"/>
        <v>1952</v>
      </c>
      <c r="AD15" s="393">
        <f t="shared" si="54"/>
        <v>3111</v>
      </c>
      <c r="AE15" s="823">
        <f t="shared" si="54"/>
        <v>9195</v>
      </c>
      <c r="AF15" s="393">
        <f t="shared" si="54"/>
        <v>3638</v>
      </c>
      <c r="AG15" s="393">
        <f t="shared" si="54"/>
        <v>3409</v>
      </c>
      <c r="AH15" s="393">
        <f t="shared" si="54"/>
        <v>4047</v>
      </c>
      <c r="AI15" s="393">
        <f t="shared" si="54"/>
        <v>3730</v>
      </c>
      <c r="AJ15" s="823">
        <f t="shared" si="54"/>
        <v>14824</v>
      </c>
      <c r="AK15" s="393">
        <f t="shared" si="54"/>
        <v>2649</v>
      </c>
      <c r="AL15" s="393">
        <f t="shared" si="54"/>
        <v>4305</v>
      </c>
      <c r="AM15" s="393">
        <f t="shared" si="54"/>
        <v>2580</v>
      </c>
      <c r="AN15" s="393">
        <f t="shared" si="54"/>
        <v>-6610</v>
      </c>
      <c r="AO15" s="823">
        <f t="shared" si="54"/>
        <v>2924</v>
      </c>
      <c r="AP15" s="393">
        <f t="shared" si="54"/>
        <v>3599</v>
      </c>
      <c r="AQ15" s="393">
        <f t="shared" si="54"/>
        <v>-8270</v>
      </c>
      <c r="AR15" s="393">
        <f>SUM(AR12:AR14)</f>
        <v>-207</v>
      </c>
      <c r="AS15" s="393">
        <f t="shared" ref="AS15:AU15" si="55">SUM(AS12:AS14)</f>
        <v>-665</v>
      </c>
      <c r="AT15" s="823">
        <f t="shared" si="55"/>
        <v>-5543</v>
      </c>
      <c r="AU15" s="393">
        <f t="shared" si="55"/>
        <v>1377</v>
      </c>
      <c r="AV15" s="393">
        <f t="shared" ref="AV15:BA15" si="56">SUM(AV12:AV14)</f>
        <v>3082</v>
      </c>
      <c r="AW15" s="393">
        <f t="shared" si="56"/>
        <v>6111</v>
      </c>
      <c r="AX15" s="393">
        <f t="shared" si="56"/>
        <v>5055</v>
      </c>
      <c r="AY15" s="823">
        <f t="shared" si="56"/>
        <v>15625</v>
      </c>
      <c r="AZ15" s="393">
        <f t="shared" si="56"/>
        <v>6259</v>
      </c>
      <c r="BA15" s="393">
        <f t="shared" si="56"/>
        <v>11622</v>
      </c>
      <c r="BB15" s="393">
        <f t="shared" ref="BB15:BG15" si="57">SUM(BB12:BB14)</f>
        <v>11231</v>
      </c>
      <c r="BC15" s="393">
        <f t="shared" si="57"/>
        <v>6353</v>
      </c>
      <c r="BD15" s="823">
        <f t="shared" si="57"/>
        <v>35465</v>
      </c>
      <c r="BE15" s="393">
        <f t="shared" si="57"/>
        <v>6574</v>
      </c>
      <c r="BF15" s="393">
        <f t="shared" si="57"/>
        <v>6010</v>
      </c>
      <c r="BG15" s="393">
        <f t="shared" si="57"/>
        <v>6526</v>
      </c>
      <c r="BH15" s="393">
        <f t="shared" ref="BH15:BN15" si="58">SUM(BH12:BH14)</f>
        <v>2259</v>
      </c>
      <c r="BI15" s="823">
        <f t="shared" si="58"/>
        <v>21369</v>
      </c>
      <c r="BJ15" s="393">
        <f t="shared" si="58"/>
        <v>5501</v>
      </c>
      <c r="BK15" s="393">
        <f t="shared" si="58"/>
        <v>4434</v>
      </c>
      <c r="BL15" s="393">
        <f t="shared" si="58"/>
        <v>4487</v>
      </c>
      <c r="BM15" s="393">
        <f t="shared" si="58"/>
        <v>3239</v>
      </c>
      <c r="BN15" s="823">
        <f t="shared" si="58"/>
        <v>17661</v>
      </c>
      <c r="BO15" s="393">
        <f t="shared" ref="BO15:BT15" si="59">SUM(BO12:BO14)</f>
        <v>3500</v>
      </c>
      <c r="BP15" s="393">
        <f t="shared" si="59"/>
        <v>2490</v>
      </c>
      <c r="BQ15" s="393">
        <f t="shared" si="59"/>
        <v>3539</v>
      </c>
      <c r="BR15" s="393">
        <f t="shared" si="59"/>
        <v>2770</v>
      </c>
      <c r="BS15" s="823">
        <f t="shared" si="59"/>
        <v>12299</v>
      </c>
      <c r="BT15" s="641">
        <f t="shared" si="59"/>
        <v>2210</v>
      </c>
      <c r="BU15" s="393">
        <f>MO_RIS_NI_GAAP_Basic</f>
        <v>9898.3570799616391</v>
      </c>
      <c r="BV15" s="393">
        <f ca="1">MO_RIS_NI_GAAP_Basic</f>
        <v>7375.6396585150669</v>
      </c>
      <c r="BW15" s="393">
        <f ca="1">MO_RIS_NI_GAAP_Basic</f>
        <v>6589.1302558136995</v>
      </c>
      <c r="BX15" s="823">
        <f t="shared" ref="BX15" ca="1" si="60">MO_RIS_NI_GAAP_Basic</f>
        <v>26073.126994290426</v>
      </c>
      <c r="BY15" s="393">
        <f t="shared" ref="BY15:CF15" ca="1" si="61">MO_RIS_NI_GAAP_Basic</f>
        <v>5996.1876456438331</v>
      </c>
      <c r="BZ15" s="393">
        <f t="shared" ca="1" si="61"/>
        <v>6012.9054832387683</v>
      </c>
      <c r="CA15" s="393">
        <f t="shared" ca="1" si="61"/>
        <v>6177.5099706536939</v>
      </c>
      <c r="CB15" s="393">
        <f t="shared" ca="1" si="61"/>
        <v>6087.3182936936973</v>
      </c>
      <c r="CC15" s="823">
        <f t="shared" ca="1" si="61"/>
        <v>24273.92139322999</v>
      </c>
      <c r="CD15" s="823">
        <f t="shared" ca="1" si="61"/>
        <v>23151.580506500002</v>
      </c>
      <c r="CE15" s="823">
        <f t="shared" ca="1" si="61"/>
        <v>23269.9517175</v>
      </c>
      <c r="CF15" s="823">
        <f t="shared" ca="1" si="61"/>
        <v>16219.818112999996</v>
      </c>
      <c r="CG15" s="26"/>
    </row>
    <row r="16" spans="1:85" s="429" customFormat="1" x14ac:dyDescent="0.3">
      <c r="A16" s="48"/>
      <c r="B16" s="63"/>
      <c r="C16" s="825"/>
      <c r="D16" s="825"/>
      <c r="E16" s="825"/>
      <c r="F16" s="825"/>
      <c r="G16" s="31"/>
      <c r="H16" s="31"/>
      <c r="I16" s="31"/>
      <c r="J16" s="31"/>
      <c r="K16" s="825"/>
      <c r="L16" s="31"/>
      <c r="M16" s="31"/>
      <c r="N16" s="31"/>
      <c r="O16" s="31"/>
      <c r="P16" s="825"/>
      <c r="Q16" s="31"/>
      <c r="R16" s="31"/>
      <c r="S16" s="31"/>
      <c r="T16" s="31"/>
      <c r="U16" s="825"/>
      <c r="V16" s="31"/>
      <c r="W16" s="31"/>
      <c r="X16" s="31"/>
      <c r="Y16" s="31"/>
      <c r="Z16" s="825"/>
      <c r="AA16" s="31"/>
      <c r="AB16" s="31"/>
      <c r="AC16" s="31"/>
      <c r="AD16" s="31"/>
      <c r="AE16" s="825"/>
      <c r="AF16" s="31"/>
      <c r="AG16" s="31"/>
      <c r="AH16" s="31"/>
      <c r="AI16" s="31"/>
      <c r="AJ16" s="825"/>
      <c r="AK16" s="31"/>
      <c r="AL16" s="31"/>
      <c r="AM16" s="31"/>
      <c r="AN16" s="31"/>
      <c r="AO16" s="825"/>
      <c r="AP16" s="31"/>
      <c r="AQ16" s="31"/>
      <c r="AR16" s="31"/>
      <c r="AS16" s="31"/>
      <c r="AT16" s="825"/>
      <c r="AU16" s="31"/>
      <c r="AV16" s="31"/>
      <c r="AW16" s="31"/>
      <c r="AX16" s="31"/>
      <c r="AY16" s="825"/>
      <c r="AZ16" s="31"/>
      <c r="BA16" s="31"/>
      <c r="BB16" s="31"/>
      <c r="BC16" s="31"/>
      <c r="BD16" s="825"/>
      <c r="BE16" s="31"/>
      <c r="BF16" s="31"/>
      <c r="BG16" s="31"/>
      <c r="BH16" s="31"/>
      <c r="BI16" s="825"/>
      <c r="BJ16" s="31"/>
      <c r="BK16" s="31"/>
      <c r="BL16" s="31"/>
      <c r="BM16" s="31"/>
      <c r="BN16" s="825"/>
      <c r="BO16" s="31"/>
      <c r="BP16" s="31"/>
      <c r="BQ16" s="31"/>
      <c r="BR16" s="31"/>
      <c r="BS16" s="825"/>
      <c r="BT16" s="379"/>
      <c r="BU16" s="31"/>
      <c r="BV16" s="31"/>
      <c r="BW16" s="31"/>
      <c r="BX16" s="825"/>
      <c r="BY16" s="31"/>
      <c r="BZ16" s="31"/>
      <c r="CA16" s="31"/>
      <c r="CB16" s="31"/>
      <c r="CC16" s="825"/>
      <c r="CD16" s="825"/>
      <c r="CE16" s="825"/>
      <c r="CF16" s="825"/>
      <c r="CG16" s="26"/>
    </row>
    <row r="17" spans="1:85" s="429" customFormat="1" x14ac:dyDescent="0.3">
      <c r="A17" s="48" t="s">
        <v>22</v>
      </c>
      <c r="B17" s="63"/>
      <c r="C17" s="825">
        <f t="shared" ref="C17:AH17" si="62">C53</f>
        <v>2348.5</v>
      </c>
      <c r="D17" s="825">
        <f t="shared" si="62"/>
        <v>2396.5</v>
      </c>
      <c r="E17" s="825">
        <f t="shared" si="62"/>
        <v>2312</v>
      </c>
      <c r="F17" s="825">
        <f t="shared" si="62"/>
        <v>2255</v>
      </c>
      <c r="G17" s="31">
        <f t="shared" si="62"/>
        <v>2644.8333333333335</v>
      </c>
      <c r="H17" s="31">
        <f t="shared" si="62"/>
        <v>2582</v>
      </c>
      <c r="I17" s="31">
        <f t="shared" si="62"/>
        <v>2585.6666666666665</v>
      </c>
      <c r="J17" s="31">
        <f t="shared" si="62"/>
        <v>2575.5</v>
      </c>
      <c r="K17" s="825">
        <f t="shared" si="62"/>
        <v>2596.7789954337895</v>
      </c>
      <c r="L17" s="31">
        <f t="shared" si="62"/>
        <v>2588.5</v>
      </c>
      <c r="M17" s="31">
        <f t="shared" si="62"/>
        <v>2544.8333333333335</v>
      </c>
      <c r="N17" s="31">
        <f t="shared" si="62"/>
        <v>2567.8333333333335</v>
      </c>
      <c r="O17" s="31">
        <f t="shared" si="62"/>
        <v>2582</v>
      </c>
      <c r="P17" s="825">
        <f t="shared" si="62"/>
        <v>2570.7657534246573</v>
      </c>
      <c r="Q17" s="31">
        <f t="shared" si="62"/>
        <v>2681.5</v>
      </c>
      <c r="R17" s="31">
        <f t="shared" si="62"/>
        <v>2595.8333333333335</v>
      </c>
      <c r="S17" s="31">
        <f t="shared" si="62"/>
        <v>2538.8333333333335</v>
      </c>
      <c r="T17" s="31">
        <f t="shared" si="62"/>
        <v>2672.5</v>
      </c>
      <c r="U17" s="825">
        <f t="shared" si="62"/>
        <v>2621.9136986301369</v>
      </c>
      <c r="V17" s="31">
        <f t="shared" si="62"/>
        <v>2666</v>
      </c>
      <c r="W17" s="31">
        <f t="shared" si="62"/>
        <v>2527.5</v>
      </c>
      <c r="X17" s="31">
        <f t="shared" si="62"/>
        <v>2513.1666666666665</v>
      </c>
      <c r="Y17" s="26">
        <f t="shared" si="62"/>
        <v>2669.5</v>
      </c>
      <c r="Z17" s="826">
        <f t="shared" si="62"/>
        <v>2594.3333333333335</v>
      </c>
      <c r="AA17" s="31">
        <f t="shared" si="62"/>
        <v>2675.8333333333335</v>
      </c>
      <c r="AB17" s="31">
        <f t="shared" si="62"/>
        <v>2779.5</v>
      </c>
      <c r="AC17" s="31">
        <f t="shared" si="62"/>
        <v>2716.5</v>
      </c>
      <c r="AD17" s="26">
        <f t="shared" si="62"/>
        <v>2740</v>
      </c>
      <c r="AE17" s="826">
        <f t="shared" si="62"/>
        <v>2728.3333333333335</v>
      </c>
      <c r="AF17" s="31">
        <f t="shared" si="62"/>
        <v>2851.833333333333</v>
      </c>
      <c r="AG17" s="31">
        <f t="shared" si="62"/>
        <v>2825.666666666667</v>
      </c>
      <c r="AH17" s="31">
        <f t="shared" si="62"/>
        <v>2955.666666666667</v>
      </c>
      <c r="AI17" s="26">
        <f t="shared" ref="AI17:AQ17" si="63">AI53</f>
        <v>3083.333333333333</v>
      </c>
      <c r="AJ17" s="826">
        <f t="shared" si="63"/>
        <v>2930.166666666667</v>
      </c>
      <c r="AK17" s="31">
        <f t="shared" si="63"/>
        <v>3037.5</v>
      </c>
      <c r="AL17" s="31">
        <f t="shared" si="63"/>
        <v>3084.166666666667</v>
      </c>
      <c r="AM17" s="31">
        <f t="shared" si="63"/>
        <v>3032.5</v>
      </c>
      <c r="AN17" s="26">
        <f t="shared" si="63"/>
        <v>3078</v>
      </c>
      <c r="AO17" s="826">
        <f t="shared" si="63"/>
        <v>3057.833333333333</v>
      </c>
      <c r="AP17" s="31">
        <f t="shared" si="63"/>
        <v>3234.833333333333</v>
      </c>
      <c r="AQ17" s="31">
        <f t="shared" si="63"/>
        <v>2988.333333333333</v>
      </c>
      <c r="AR17" s="31">
        <f>AR53</f>
        <v>2834.333333333333</v>
      </c>
      <c r="AS17" s="26">
        <f t="shared" ref="AS17:AU17" si="64">AS53</f>
        <v>3277.333333333333</v>
      </c>
      <c r="AT17" s="826">
        <f t="shared" si="64"/>
        <v>3083</v>
      </c>
      <c r="AU17" s="31">
        <f t="shared" si="64"/>
        <v>3121</v>
      </c>
      <c r="AV17" s="31">
        <f t="shared" ref="AV17:BA17" si="65">AV53</f>
        <v>3125.5</v>
      </c>
      <c r="AW17" s="31">
        <f t="shared" si="65"/>
        <v>3033.833333333333</v>
      </c>
      <c r="AX17" s="26">
        <f t="shared" si="65"/>
        <v>3117.333333333333</v>
      </c>
      <c r="AY17" s="826">
        <f t="shared" si="65"/>
        <v>3098.833333333333</v>
      </c>
      <c r="AZ17" s="31">
        <f t="shared" si="65"/>
        <v>3060.5</v>
      </c>
      <c r="BA17" s="31">
        <f t="shared" si="65"/>
        <v>2895.666666666667</v>
      </c>
      <c r="BB17" s="31">
        <f t="shared" ref="BB17:BD17" si="66">BB53</f>
        <v>3026.833333333333</v>
      </c>
      <c r="BC17" s="26">
        <f t="shared" si="66"/>
        <v>3011.5</v>
      </c>
      <c r="BD17" s="826">
        <f t="shared" si="66"/>
        <v>2999.666666666667</v>
      </c>
      <c r="BE17" s="31">
        <f t="shared" ref="BE17:BI17" si="67">BE53</f>
        <v>2978.833333333333</v>
      </c>
      <c r="BF17" s="31">
        <f t="shared" si="67"/>
        <v>2958.833333333333</v>
      </c>
      <c r="BG17" s="31">
        <f t="shared" si="67"/>
        <v>3146.166666666667</v>
      </c>
      <c r="BH17" s="26">
        <f t="shared" si="67"/>
        <v>3392.5</v>
      </c>
      <c r="BI17" s="826">
        <f t="shared" si="67"/>
        <v>3120.666666666667</v>
      </c>
      <c r="BJ17" s="31">
        <f t="shared" ref="BJ17:BX17" si="68">BJ53</f>
        <v>3345.833333333333</v>
      </c>
      <c r="BK17" s="31">
        <f t="shared" si="68"/>
        <v>3291.833333333333</v>
      </c>
      <c r="BL17" s="31">
        <f t="shared" si="68"/>
        <v>3364</v>
      </c>
      <c r="BM17" s="26">
        <f t="shared" si="68"/>
        <v>3349.333333333333</v>
      </c>
      <c r="BN17" s="826">
        <f t="shared" si="68"/>
        <v>3338</v>
      </c>
      <c r="BO17" s="31">
        <f t="shared" ref="BO17:BW17" si="69">BO53</f>
        <v>3352.666666666667</v>
      </c>
      <c r="BP17" s="31">
        <f t="shared" si="69"/>
        <v>3395.166666666667</v>
      </c>
      <c r="BQ17" s="31">
        <f t="shared" si="69"/>
        <v>4084.833333333333</v>
      </c>
      <c r="BR17" s="26">
        <f t="shared" si="69"/>
        <v>4045</v>
      </c>
      <c r="BS17" s="826">
        <f t="shared" si="69"/>
        <v>3722.166666666667</v>
      </c>
      <c r="BT17" s="379">
        <f>BT53</f>
        <v>3858.5</v>
      </c>
      <c r="BU17" s="31">
        <f t="shared" si="69"/>
        <v>4016.666666666667</v>
      </c>
      <c r="BV17" s="31">
        <f t="shared" si="69"/>
        <v>4266.666666666667</v>
      </c>
      <c r="BW17" s="31">
        <f t="shared" si="69"/>
        <v>4016.666666666667</v>
      </c>
      <c r="BX17" s="825">
        <f t="shared" si="68"/>
        <v>4040.6803652968038</v>
      </c>
      <c r="BY17" s="31">
        <f t="shared" ref="BY17:CF17" si="70">BY53</f>
        <v>4000</v>
      </c>
      <c r="BZ17" s="31">
        <f t="shared" si="70"/>
        <v>3900</v>
      </c>
      <c r="CA17" s="31">
        <f t="shared" si="70"/>
        <v>3900</v>
      </c>
      <c r="CB17" s="31">
        <f t="shared" si="70"/>
        <v>3900</v>
      </c>
      <c r="CC17" s="825">
        <f t="shared" si="70"/>
        <v>3924.6575342465758</v>
      </c>
      <c r="CD17" s="825">
        <f t="shared" si="70"/>
        <v>3666.666666666667</v>
      </c>
      <c r="CE17" s="825">
        <f t="shared" si="70"/>
        <v>3666.666666666667</v>
      </c>
      <c r="CF17" s="825">
        <f t="shared" si="70"/>
        <v>3650</v>
      </c>
      <c r="CG17" s="26"/>
    </row>
    <row r="18" spans="1:85" s="429" customFormat="1" x14ac:dyDescent="0.3">
      <c r="A18" s="48" t="s">
        <v>23</v>
      </c>
      <c r="B18" s="63"/>
      <c r="C18" s="825">
        <f t="shared" ref="C18:AH18" si="71">C169+C185</f>
        <v>1878</v>
      </c>
      <c r="D18" s="825">
        <f t="shared" si="71"/>
        <v>1894</v>
      </c>
      <c r="E18" s="825">
        <f t="shared" si="71"/>
        <v>1787</v>
      </c>
      <c r="F18" s="825">
        <f t="shared" si="71"/>
        <v>1702</v>
      </c>
      <c r="G18" s="31">
        <f t="shared" si="71"/>
        <v>1394</v>
      </c>
      <c r="H18" s="31">
        <f t="shared" si="71"/>
        <v>1686</v>
      </c>
      <c r="I18" s="31">
        <f t="shared" si="71"/>
        <v>1716</v>
      </c>
      <c r="J18" s="31">
        <f t="shared" si="71"/>
        <v>1749</v>
      </c>
      <c r="K18" s="825">
        <f t="shared" si="71"/>
        <v>1638</v>
      </c>
      <c r="L18" s="31">
        <f t="shared" si="71"/>
        <v>1646</v>
      </c>
      <c r="M18" s="31">
        <f t="shared" si="71"/>
        <v>1605</v>
      </c>
      <c r="N18" s="31">
        <f t="shared" si="71"/>
        <v>1759</v>
      </c>
      <c r="O18" s="31">
        <f t="shared" si="71"/>
        <v>1749</v>
      </c>
      <c r="P18" s="825">
        <f t="shared" si="71"/>
        <v>1690</v>
      </c>
      <c r="Q18" s="31">
        <f t="shared" si="71"/>
        <v>1700</v>
      </c>
      <c r="R18" s="31">
        <f t="shared" si="71"/>
        <v>1690</v>
      </c>
      <c r="S18" s="31">
        <f t="shared" si="71"/>
        <v>1719</v>
      </c>
      <c r="T18" s="31">
        <f t="shared" si="71"/>
        <v>1699</v>
      </c>
      <c r="U18" s="825">
        <f t="shared" si="71"/>
        <v>1702</v>
      </c>
      <c r="V18" s="31">
        <f t="shared" si="71"/>
        <v>1752</v>
      </c>
      <c r="W18" s="31">
        <f t="shared" si="71"/>
        <v>1719</v>
      </c>
      <c r="X18" s="31">
        <f t="shared" si="71"/>
        <v>1760</v>
      </c>
      <c r="Y18" s="26">
        <f t="shared" si="71"/>
        <v>1522</v>
      </c>
      <c r="Z18" s="826">
        <f t="shared" si="71"/>
        <v>1688</v>
      </c>
      <c r="AA18" s="31">
        <f t="shared" si="71"/>
        <v>1665</v>
      </c>
      <c r="AB18" s="31">
        <f t="shared" si="71"/>
        <v>1654</v>
      </c>
      <c r="AC18" s="31">
        <f t="shared" si="71"/>
        <v>1732</v>
      </c>
      <c r="AD18" s="26">
        <f t="shared" si="71"/>
        <v>1595</v>
      </c>
      <c r="AE18" s="826">
        <f t="shared" si="71"/>
        <v>1661</v>
      </c>
      <c r="AF18" s="31">
        <f t="shared" si="71"/>
        <v>1642</v>
      </c>
      <c r="AG18" s="31">
        <f t="shared" si="71"/>
        <v>1595</v>
      </c>
      <c r="AH18" s="31">
        <f t="shared" si="71"/>
        <v>1625</v>
      </c>
      <c r="AI18" s="26">
        <f t="shared" ref="AI18:AQ18" si="72">AI169+AI185</f>
        <v>1583</v>
      </c>
      <c r="AJ18" s="826">
        <f t="shared" si="72"/>
        <v>1611</v>
      </c>
      <c r="AK18" s="31">
        <f t="shared" si="72"/>
        <v>1530</v>
      </c>
      <c r="AL18" s="31">
        <f t="shared" si="72"/>
        <v>1559</v>
      </c>
      <c r="AM18" s="31">
        <f t="shared" si="72"/>
        <v>1617</v>
      </c>
      <c r="AN18" s="26">
        <f t="shared" si="72"/>
        <v>1551</v>
      </c>
      <c r="AO18" s="826">
        <f t="shared" si="72"/>
        <v>1564</v>
      </c>
      <c r="AP18" s="31">
        <f t="shared" si="72"/>
        <v>1600</v>
      </c>
      <c r="AQ18" s="31">
        <f t="shared" si="72"/>
        <v>1170</v>
      </c>
      <c r="AR18" s="31">
        <f>AR169+AR185</f>
        <v>1390</v>
      </c>
      <c r="AS18" s="26">
        <f t="shared" ref="AS18:AU18" si="73">AS169+AS185</f>
        <v>1347</v>
      </c>
      <c r="AT18" s="826">
        <f t="shared" si="73"/>
        <v>1377</v>
      </c>
      <c r="AU18" s="31">
        <f t="shared" si="73"/>
        <v>1417</v>
      </c>
      <c r="AV18" s="31">
        <f t="shared" ref="AV18:BA18" si="74">AV169+AV185</f>
        <v>1536</v>
      </c>
      <c r="AW18" s="31">
        <f t="shared" si="74"/>
        <v>1479</v>
      </c>
      <c r="AX18" s="26">
        <f t="shared" si="74"/>
        <v>1484</v>
      </c>
      <c r="AY18" s="826">
        <f t="shared" si="74"/>
        <v>1479</v>
      </c>
      <c r="AZ18" s="31">
        <f t="shared" si="74"/>
        <v>1534</v>
      </c>
      <c r="BA18" s="31">
        <f t="shared" si="74"/>
        <v>1515</v>
      </c>
      <c r="BB18" s="31">
        <f t="shared" ref="BB18:BD18" si="75">BB169+BB185</f>
        <v>1430</v>
      </c>
      <c r="BC18" s="26">
        <f t="shared" si="75"/>
        <v>1541</v>
      </c>
      <c r="BD18" s="826">
        <f t="shared" si="75"/>
        <v>1504</v>
      </c>
      <c r="BE18" s="31">
        <f t="shared" ref="BE18:BI18" si="76">BE169+BE185</f>
        <v>1518</v>
      </c>
      <c r="BF18" s="31">
        <f t="shared" si="76"/>
        <v>1585</v>
      </c>
      <c r="BG18" s="31">
        <f t="shared" si="76"/>
        <v>1586</v>
      </c>
      <c r="BH18" s="26">
        <f t="shared" si="76"/>
        <v>1552</v>
      </c>
      <c r="BI18" s="826">
        <f t="shared" si="76"/>
        <v>1560</v>
      </c>
      <c r="BJ18" s="31">
        <f t="shared" ref="BJ18:BX18" si="77">BJ169+BJ185</f>
        <v>1499</v>
      </c>
      <c r="BK18" s="31">
        <f t="shared" si="77"/>
        <v>1506</v>
      </c>
      <c r="BL18" s="31">
        <f t="shared" si="77"/>
        <v>1584</v>
      </c>
      <c r="BM18" s="26">
        <f t="shared" si="77"/>
        <v>1512</v>
      </c>
      <c r="BN18" s="826">
        <f t="shared" si="77"/>
        <v>1526</v>
      </c>
      <c r="BO18" s="31">
        <f t="shared" ref="BO18:BW18" si="78">BO169+BO185</f>
        <v>1610</v>
      </c>
      <c r="BP18" s="31">
        <f t="shared" si="78"/>
        <v>1685</v>
      </c>
      <c r="BQ18" s="31">
        <f t="shared" si="78"/>
        <v>1706</v>
      </c>
      <c r="BR18" s="26">
        <f t="shared" si="78"/>
        <v>1651</v>
      </c>
      <c r="BS18" s="826">
        <f t="shared" si="78"/>
        <v>1663</v>
      </c>
      <c r="BT18" s="379">
        <f>BT169+BT185</f>
        <v>1637</v>
      </c>
      <c r="BU18" s="31">
        <f t="shared" si="78"/>
        <v>1650</v>
      </c>
      <c r="BV18" s="31">
        <f t="shared" si="78"/>
        <v>1650</v>
      </c>
      <c r="BW18" s="31">
        <f t="shared" si="78"/>
        <v>1650</v>
      </c>
      <c r="BX18" s="825">
        <f t="shared" si="77"/>
        <v>1646.7945205479452</v>
      </c>
      <c r="BY18" s="31">
        <f t="shared" ref="BY18:CF18" si="79">BY169+BY185</f>
        <v>1650</v>
      </c>
      <c r="BZ18" s="31">
        <f t="shared" si="79"/>
        <v>1650</v>
      </c>
      <c r="CA18" s="31">
        <f t="shared" si="79"/>
        <v>1650</v>
      </c>
      <c r="CB18" s="31">
        <f t="shared" si="79"/>
        <v>1650</v>
      </c>
      <c r="CC18" s="825">
        <f t="shared" si="79"/>
        <v>1650</v>
      </c>
      <c r="CD18" s="825">
        <f t="shared" si="79"/>
        <v>1675</v>
      </c>
      <c r="CE18" s="825">
        <f t="shared" si="79"/>
        <v>1675</v>
      </c>
      <c r="CF18" s="825">
        <f t="shared" si="79"/>
        <v>1675</v>
      </c>
      <c r="CG18" s="26"/>
    </row>
    <row r="19" spans="1:85" s="429" customFormat="1" x14ac:dyDescent="0.3">
      <c r="A19" s="48" t="s">
        <v>24</v>
      </c>
      <c r="B19" s="63"/>
      <c r="C19" s="825">
        <f t="shared" ref="C19:AH19" si="80">C190+C173</f>
        <v>3254</v>
      </c>
      <c r="D19" s="825">
        <f t="shared" si="80"/>
        <v>3113</v>
      </c>
      <c r="E19" s="825">
        <f t="shared" si="80"/>
        <v>2949</v>
      </c>
      <c r="F19" s="825">
        <f t="shared" si="80"/>
        <v>2765</v>
      </c>
      <c r="G19" s="31">
        <f t="shared" si="80"/>
        <v>2547</v>
      </c>
      <c r="H19" s="31">
        <f t="shared" si="80"/>
        <v>2761</v>
      </c>
      <c r="I19" s="31">
        <f t="shared" si="80"/>
        <v>2756</v>
      </c>
      <c r="J19" s="31">
        <f t="shared" si="80"/>
        <v>1220.5108695652175</v>
      </c>
      <c r="K19" s="825">
        <f t="shared" si="80"/>
        <v>2711</v>
      </c>
      <c r="L19" s="31">
        <f t="shared" si="80"/>
        <v>2601</v>
      </c>
      <c r="M19" s="31">
        <f t="shared" si="80"/>
        <v>2735</v>
      </c>
      <c r="N19" s="31">
        <f t="shared" si="80"/>
        <v>2727</v>
      </c>
      <c r="O19" s="31">
        <f t="shared" si="80"/>
        <v>1231.5</v>
      </c>
      <c r="P19" s="825">
        <f t="shared" si="80"/>
        <v>2711</v>
      </c>
      <c r="Q19" s="31">
        <f t="shared" si="80"/>
        <v>2786</v>
      </c>
      <c r="R19" s="31">
        <f t="shared" si="80"/>
        <v>2707</v>
      </c>
      <c r="S19" s="31">
        <f t="shared" si="80"/>
        <v>2749</v>
      </c>
      <c r="T19" s="31">
        <f t="shared" si="80"/>
        <v>1230.5326086956525</v>
      </c>
      <c r="U19" s="825">
        <f t="shared" si="80"/>
        <v>2735</v>
      </c>
      <c r="V19" s="31">
        <f t="shared" si="80"/>
        <v>2646</v>
      </c>
      <c r="W19" s="31">
        <f t="shared" si="80"/>
        <v>2712</v>
      </c>
      <c r="X19" s="31">
        <f t="shared" si="80"/>
        <v>2713</v>
      </c>
      <c r="Y19" s="26">
        <f t="shared" si="80"/>
        <v>1135.5108695652175</v>
      </c>
      <c r="Z19" s="826">
        <f t="shared" si="80"/>
        <v>2675</v>
      </c>
      <c r="AA19" s="31">
        <f t="shared" si="80"/>
        <v>2598</v>
      </c>
      <c r="AB19" s="31">
        <f t="shared" si="80"/>
        <v>2688</v>
      </c>
      <c r="AC19" s="31">
        <f t="shared" si="80"/>
        <v>2781</v>
      </c>
      <c r="AD19" s="26">
        <f t="shared" si="80"/>
        <v>2690.9782608695655</v>
      </c>
      <c r="AE19" s="826">
        <f t="shared" si="80"/>
        <v>2690</v>
      </c>
      <c r="AF19" s="31">
        <f t="shared" si="80"/>
        <v>2621</v>
      </c>
      <c r="AG19" s="31">
        <f t="shared" si="80"/>
        <v>2718</v>
      </c>
      <c r="AH19" s="31">
        <f t="shared" si="80"/>
        <v>2669</v>
      </c>
      <c r="AI19" s="26">
        <f t="shared" ref="AI19:AQ19" si="81">AI190+AI173</f>
        <v>2475.9021739130435</v>
      </c>
      <c r="AJ19" s="826">
        <f t="shared" si="81"/>
        <v>2655</v>
      </c>
      <c r="AK19" s="31">
        <f t="shared" si="81"/>
        <v>2606</v>
      </c>
      <c r="AL19" s="31">
        <f t="shared" si="81"/>
        <v>2541</v>
      </c>
      <c r="AM19" s="31">
        <f t="shared" si="81"/>
        <v>2650</v>
      </c>
      <c r="AN19" s="26">
        <f t="shared" si="81"/>
        <v>2512.826086956522</v>
      </c>
      <c r="AO19" s="826">
        <f t="shared" si="81"/>
        <v>2577</v>
      </c>
      <c r="AP19" s="31">
        <f t="shared" si="81"/>
        <v>2430</v>
      </c>
      <c r="AQ19" s="31">
        <f t="shared" si="81"/>
        <v>1931</v>
      </c>
      <c r="AR19" s="31">
        <f>AR190+AR173</f>
        <v>2286</v>
      </c>
      <c r="AS19" s="26">
        <f t="shared" ref="AS19:AU19" si="82">AS190+AS173</f>
        <v>2248</v>
      </c>
      <c r="AT19" s="826">
        <f t="shared" si="82"/>
        <v>2224</v>
      </c>
      <c r="AU19" s="31">
        <f t="shared" si="82"/>
        <v>2317</v>
      </c>
      <c r="AV19" s="31">
        <f t="shared" ref="AV19:BA19" si="83">AV190+AV173</f>
        <v>2441</v>
      </c>
      <c r="AW19" s="31">
        <f t="shared" si="83"/>
        <v>2574</v>
      </c>
      <c r="AX19" s="26">
        <f t="shared" si="83"/>
        <v>2483.054347826087</v>
      </c>
      <c r="AY19" s="826">
        <f t="shared" si="83"/>
        <v>2454</v>
      </c>
      <c r="AZ19" s="31">
        <f t="shared" si="83"/>
        <v>2544</v>
      </c>
      <c r="BA19" s="31">
        <f t="shared" si="83"/>
        <v>2547</v>
      </c>
      <c r="BB19" s="31">
        <f t="shared" ref="BB19:BD19" si="84">BB190+BB173</f>
        <v>2685</v>
      </c>
      <c r="BC19" s="26">
        <f t="shared" si="84"/>
        <v>2677</v>
      </c>
      <c r="BD19" s="826">
        <f t="shared" si="84"/>
        <v>2614</v>
      </c>
      <c r="BE19" s="31">
        <f t="shared" ref="BE19:BI19" si="85">BE190+BE173</f>
        <v>2712</v>
      </c>
      <c r="BF19" s="31">
        <f t="shared" si="85"/>
        <v>2748</v>
      </c>
      <c r="BG19" s="31">
        <f t="shared" si="85"/>
        <v>2734</v>
      </c>
      <c r="BH19" s="26">
        <f t="shared" si="85"/>
        <v>2735</v>
      </c>
      <c r="BI19" s="826">
        <f t="shared" si="85"/>
        <v>2732</v>
      </c>
      <c r="BJ19" s="31">
        <f t="shared" ref="BJ19:BX19" si="86">BJ190+BJ173</f>
        <v>2678</v>
      </c>
      <c r="BK19" s="31">
        <f t="shared" si="86"/>
        <v>2812</v>
      </c>
      <c r="BL19" s="31">
        <f t="shared" si="86"/>
        <v>2819</v>
      </c>
      <c r="BM19" s="26">
        <f t="shared" si="86"/>
        <v>2814</v>
      </c>
      <c r="BN19" s="826">
        <f t="shared" si="86"/>
        <v>2781</v>
      </c>
      <c r="BO19" s="31">
        <f t="shared" ref="BO19:BW19" si="87">BO190+BO173</f>
        <v>2691</v>
      </c>
      <c r="BP19" s="31">
        <f t="shared" si="87"/>
        <v>2854</v>
      </c>
      <c r="BQ19" s="31">
        <f t="shared" si="87"/>
        <v>2820</v>
      </c>
      <c r="BR19" s="26">
        <f t="shared" si="87"/>
        <v>2839</v>
      </c>
      <c r="BS19" s="826">
        <f t="shared" si="87"/>
        <v>2801</v>
      </c>
      <c r="BT19" s="379">
        <f>BT190+BT173</f>
        <v>2758</v>
      </c>
      <c r="BU19" s="31">
        <f t="shared" si="87"/>
        <v>2877.5</v>
      </c>
      <c r="BV19" s="31">
        <f t="shared" si="87"/>
        <v>2747.5</v>
      </c>
      <c r="BW19" s="31">
        <f t="shared" si="87"/>
        <v>2682.5</v>
      </c>
      <c r="BX19" s="825">
        <f t="shared" si="86"/>
        <v>2766.1164383561645</v>
      </c>
      <c r="BY19" s="31">
        <f t="shared" ref="BY19:CF19" si="88">BY190+BY173</f>
        <v>2812.5</v>
      </c>
      <c r="BZ19" s="31">
        <f t="shared" si="88"/>
        <v>2877.5</v>
      </c>
      <c r="CA19" s="31">
        <f t="shared" si="88"/>
        <v>2877.5</v>
      </c>
      <c r="CB19" s="31">
        <f t="shared" si="88"/>
        <v>2812.5</v>
      </c>
      <c r="CC19" s="825">
        <f t="shared" si="88"/>
        <v>2845.0890410958905</v>
      </c>
      <c r="CD19" s="825">
        <f t="shared" si="88"/>
        <v>3007.5</v>
      </c>
      <c r="CE19" s="825">
        <f t="shared" si="88"/>
        <v>3007.5</v>
      </c>
      <c r="CF19" s="825">
        <f t="shared" si="88"/>
        <v>3007.5</v>
      </c>
      <c r="CG19" s="26"/>
    </row>
    <row r="20" spans="1:85" s="429" customFormat="1" x14ac:dyDescent="0.3">
      <c r="A20" s="48"/>
      <c r="B20" s="63"/>
      <c r="C20" s="825"/>
      <c r="D20" s="825"/>
      <c r="E20" s="825"/>
      <c r="F20" s="825"/>
      <c r="G20" s="31"/>
      <c r="H20" s="31"/>
      <c r="I20" s="31"/>
      <c r="J20" s="31"/>
      <c r="K20" s="825"/>
      <c r="L20" s="31"/>
      <c r="M20" s="31"/>
      <c r="N20" s="31"/>
      <c r="O20" s="31"/>
      <c r="P20" s="825"/>
      <c r="Q20" s="31"/>
      <c r="R20" s="31"/>
      <c r="S20" s="31"/>
      <c r="T20" s="31"/>
      <c r="U20" s="825"/>
      <c r="V20" s="31"/>
      <c r="W20" s="31"/>
      <c r="X20" s="31"/>
      <c r="Y20" s="31"/>
      <c r="Z20" s="825"/>
      <c r="AA20" s="31"/>
      <c r="AB20" s="31"/>
      <c r="AC20" s="31"/>
      <c r="AD20" s="31"/>
      <c r="AE20" s="825"/>
      <c r="AF20" s="31"/>
      <c r="AG20" s="31"/>
      <c r="AH20" s="31"/>
      <c r="AI20" s="31"/>
      <c r="AJ20" s="825"/>
      <c r="AK20" s="31"/>
      <c r="AL20" s="31"/>
      <c r="AM20" s="31"/>
      <c r="AN20" s="31"/>
      <c r="AO20" s="825"/>
      <c r="AP20" s="31"/>
      <c r="AQ20" s="31"/>
      <c r="AR20" s="31"/>
      <c r="AS20" s="31"/>
      <c r="AT20" s="825"/>
      <c r="AU20" s="31"/>
      <c r="AV20" s="31"/>
      <c r="AW20" s="31"/>
      <c r="AX20" s="31"/>
      <c r="AY20" s="825"/>
      <c r="AZ20" s="31"/>
      <c r="BA20" s="31"/>
      <c r="BB20" s="31"/>
      <c r="BC20" s="31"/>
      <c r="BD20" s="825"/>
      <c r="BE20" s="31"/>
      <c r="BF20" s="31"/>
      <c r="BG20" s="31"/>
      <c r="BH20" s="31"/>
      <c r="BI20" s="825"/>
      <c r="BJ20" s="31"/>
      <c r="BK20" s="31"/>
      <c r="BL20" s="31"/>
      <c r="BM20" s="31"/>
      <c r="BN20" s="825"/>
      <c r="BO20" s="31"/>
      <c r="BP20" s="31"/>
      <c r="BQ20" s="31"/>
      <c r="BR20" s="31"/>
      <c r="BS20" s="825"/>
      <c r="BT20" s="379"/>
      <c r="BU20" s="31"/>
      <c r="BV20" s="31"/>
      <c r="BW20" s="31"/>
      <c r="BX20" s="825"/>
      <c r="BY20" s="31"/>
      <c r="BZ20" s="31"/>
      <c r="CA20" s="31"/>
      <c r="CB20" s="31"/>
      <c r="CC20" s="825"/>
      <c r="CD20" s="825"/>
      <c r="CE20" s="825"/>
      <c r="CF20" s="825"/>
      <c r="CG20" s="26"/>
    </row>
    <row r="21" spans="1:85" s="427" customFormat="1" x14ac:dyDescent="0.3">
      <c r="A21" s="720" t="s">
        <v>558</v>
      </c>
      <c r="B21" s="720"/>
      <c r="C21" s="720"/>
      <c r="D21" s="720"/>
      <c r="E21" s="720"/>
      <c r="F21" s="720"/>
      <c r="G21" s="720"/>
      <c r="H21" s="720"/>
      <c r="I21" s="720"/>
      <c r="J21" s="720"/>
      <c r="K21" s="720"/>
      <c r="L21" s="720"/>
      <c r="M21" s="720"/>
      <c r="N21" s="720"/>
      <c r="O21" s="720"/>
      <c r="P21" s="720"/>
      <c r="Q21" s="720"/>
      <c r="R21" s="720"/>
      <c r="S21" s="720"/>
      <c r="T21" s="720"/>
      <c r="U21" s="720"/>
      <c r="V21" s="720"/>
      <c r="W21" s="720"/>
      <c r="X21" s="720"/>
      <c r="Y21" s="720"/>
      <c r="Z21" s="720"/>
      <c r="AA21" s="720"/>
      <c r="AB21" s="720"/>
      <c r="AC21" s="720"/>
      <c r="AD21" s="720"/>
      <c r="AE21" s="720"/>
      <c r="AF21" s="720"/>
      <c r="AG21" s="720"/>
      <c r="AH21" s="720"/>
      <c r="AI21" s="720"/>
      <c r="AJ21" s="720"/>
      <c r="AK21" s="720"/>
      <c r="AL21" s="720"/>
      <c r="AM21" s="720"/>
      <c r="AN21" s="720"/>
      <c r="AO21" s="720"/>
      <c r="AP21" s="720"/>
      <c r="AQ21" s="720"/>
      <c r="AR21" s="720"/>
      <c r="AS21" s="720"/>
      <c r="AT21" s="720"/>
      <c r="AU21" s="720"/>
      <c r="AV21" s="720"/>
      <c r="AW21" s="720"/>
      <c r="AX21" s="720"/>
      <c r="AY21" s="720"/>
      <c r="AZ21" s="720"/>
      <c r="BA21" s="720"/>
      <c r="BB21" s="720"/>
      <c r="BC21" s="720"/>
      <c r="BD21" s="720"/>
      <c r="BE21" s="720"/>
      <c r="BF21" s="720"/>
      <c r="BG21" s="720"/>
      <c r="BH21" s="720"/>
      <c r="BI21" s="720"/>
      <c r="BJ21" s="720"/>
      <c r="BK21" s="720"/>
      <c r="BL21" s="720"/>
      <c r="BM21" s="720"/>
      <c r="BN21" s="720"/>
      <c r="BO21" s="720"/>
      <c r="BP21" s="720"/>
      <c r="BQ21" s="720"/>
      <c r="BR21" s="720"/>
      <c r="BS21" s="720"/>
      <c r="BT21" s="721"/>
      <c r="BU21" s="720"/>
      <c r="BV21" s="720"/>
      <c r="BW21" s="720"/>
      <c r="BX21" s="720"/>
      <c r="BY21" s="720"/>
      <c r="BZ21" s="720"/>
      <c r="CA21" s="720"/>
      <c r="CB21" s="720"/>
      <c r="CC21" s="720"/>
      <c r="CD21" s="720"/>
      <c r="CE21" s="720"/>
      <c r="CF21" s="720"/>
      <c r="CG21" s="321"/>
    </row>
    <row r="22" spans="1:85" s="428" customFormat="1" hidden="1" outlineLevel="1" x14ac:dyDescent="0.3">
      <c r="A22" s="109" t="s">
        <v>25</v>
      </c>
      <c r="B22" s="64"/>
      <c r="C22" s="827">
        <v>141</v>
      </c>
      <c r="D22" s="827">
        <v>152</v>
      </c>
      <c r="E22" s="827">
        <v>139</v>
      </c>
      <c r="F22" s="827">
        <v>128</v>
      </c>
      <c r="G22" s="763">
        <v>120</v>
      </c>
      <c r="H22" s="763">
        <v>122</v>
      </c>
      <c r="I22" s="763">
        <v>120</v>
      </c>
      <c r="J22" s="763">
        <v>116</v>
      </c>
      <c r="K22" s="821">
        <f>SUM(G22*G$3,H22*H$3,I22*I$3,J22*J$3)/K$3</f>
        <v>119.49041095890411</v>
      </c>
      <c r="L22" s="763">
        <v>118</v>
      </c>
      <c r="M22" s="763">
        <v>113</v>
      </c>
      <c r="N22" s="763">
        <v>110</v>
      </c>
      <c r="O22" s="763">
        <v>114</v>
      </c>
      <c r="P22" s="821">
        <f>SUM(L22*L$3,M22*M$3,N22*N$3,O22*O$3)/P$3</f>
        <v>113.72876712328767</v>
      </c>
      <c r="Q22" s="763">
        <v>113</v>
      </c>
      <c r="R22" s="763">
        <v>111</v>
      </c>
      <c r="S22" s="763">
        <v>106</v>
      </c>
      <c r="T22" s="763">
        <v>110</v>
      </c>
      <c r="U22" s="821">
        <f>SUM(Q22*Q$3,R22*R$3,S22*S$3,T22*T$3)/U$3</f>
        <v>109.98082191780821</v>
      </c>
      <c r="V22" s="763">
        <v>111</v>
      </c>
      <c r="W22" s="763">
        <v>107</v>
      </c>
      <c r="X22" s="763">
        <v>105</v>
      </c>
      <c r="Y22" s="763">
        <v>107</v>
      </c>
      <c r="Z22" s="827">
        <v>108</v>
      </c>
      <c r="AA22" s="763">
        <v>105</v>
      </c>
      <c r="AB22" s="763">
        <v>116</v>
      </c>
      <c r="AC22" s="763">
        <v>117</v>
      </c>
      <c r="AD22" s="763">
        <v>113</v>
      </c>
      <c r="AE22" s="827">
        <v>113</v>
      </c>
      <c r="AF22" s="763">
        <v>111</v>
      </c>
      <c r="AG22" s="763">
        <v>108</v>
      </c>
      <c r="AH22" s="763">
        <v>105</v>
      </c>
      <c r="AI22" s="763">
        <v>104</v>
      </c>
      <c r="AJ22" s="827">
        <v>107</v>
      </c>
      <c r="AK22" s="763">
        <v>105</v>
      </c>
      <c r="AL22" s="763">
        <v>102</v>
      </c>
      <c r="AM22" s="763">
        <v>94</v>
      </c>
      <c r="AN22" s="763">
        <v>88</v>
      </c>
      <c r="AO22" s="827">
        <v>97</v>
      </c>
      <c r="AP22" s="763">
        <v>97</v>
      </c>
      <c r="AQ22" s="763">
        <v>89</v>
      </c>
      <c r="AR22" s="763">
        <v>88</v>
      </c>
      <c r="AS22" s="763">
        <v>81</v>
      </c>
      <c r="AT22" s="827">
        <v>89</v>
      </c>
      <c r="AU22" s="763">
        <v>83</v>
      </c>
      <c r="AV22" s="763">
        <v>77</v>
      </c>
      <c r="AW22" s="763">
        <v>76</v>
      </c>
      <c r="AX22" s="763">
        <v>78</v>
      </c>
      <c r="AY22" s="827">
        <v>79</v>
      </c>
      <c r="AZ22" s="763">
        <v>75</v>
      </c>
      <c r="BA22" s="763">
        <v>71</v>
      </c>
      <c r="BB22" s="763">
        <v>71</v>
      </c>
      <c r="BC22" s="763">
        <v>62</v>
      </c>
      <c r="BD22" s="827">
        <v>70</v>
      </c>
      <c r="BE22" s="763">
        <v>67</v>
      </c>
      <c r="BF22" s="763">
        <v>70</v>
      </c>
      <c r="BG22" s="763">
        <v>66</v>
      </c>
      <c r="BH22" s="763">
        <v>69</v>
      </c>
      <c r="BI22" s="827">
        <v>68</v>
      </c>
      <c r="BJ22" s="763">
        <v>67</v>
      </c>
      <c r="BK22" s="763">
        <v>66</v>
      </c>
      <c r="BL22" s="763">
        <v>63</v>
      </c>
      <c r="BM22" s="763">
        <v>64</v>
      </c>
      <c r="BN22" s="827">
        <v>64</v>
      </c>
      <c r="BO22" s="763">
        <v>59</v>
      </c>
      <c r="BP22" s="763">
        <v>55</v>
      </c>
      <c r="BQ22" s="763">
        <v>59</v>
      </c>
      <c r="BR22" s="763">
        <v>59</v>
      </c>
      <c r="BS22" s="827">
        <v>58</v>
      </c>
      <c r="BT22" s="764">
        <v>57</v>
      </c>
      <c r="BU22" s="37"/>
      <c r="BV22" s="37"/>
      <c r="BW22" s="37"/>
      <c r="BX22" s="821"/>
      <c r="BY22" s="37"/>
      <c r="BZ22" s="37"/>
      <c r="CA22" s="37"/>
      <c r="CB22" s="37"/>
      <c r="CC22" s="821"/>
      <c r="CD22" s="821"/>
      <c r="CE22" s="821"/>
      <c r="CF22" s="821"/>
      <c r="CG22" s="22"/>
    </row>
    <row r="23" spans="1:85" s="428" customFormat="1" hidden="1" outlineLevel="1" x14ac:dyDescent="0.3">
      <c r="A23" s="109" t="s">
        <v>596</v>
      </c>
      <c r="B23" s="64"/>
      <c r="C23" s="821"/>
      <c r="D23" s="821"/>
      <c r="E23" s="821"/>
      <c r="F23" s="821"/>
      <c r="G23" s="37"/>
      <c r="H23" s="37"/>
      <c r="I23" s="37"/>
      <c r="J23" s="37"/>
      <c r="K23" s="821"/>
      <c r="L23" s="37"/>
      <c r="M23" s="37"/>
      <c r="N23" s="37"/>
      <c r="O23" s="37"/>
      <c r="P23" s="821"/>
      <c r="Q23" s="37"/>
      <c r="R23" s="37"/>
      <c r="S23" s="37"/>
      <c r="T23" s="37"/>
      <c r="U23" s="821"/>
      <c r="V23" s="37"/>
      <c r="W23" s="37"/>
      <c r="X23" s="37"/>
      <c r="Y23" s="37"/>
      <c r="Z23" s="821"/>
      <c r="AA23" s="37"/>
      <c r="AB23" s="37"/>
      <c r="AC23" s="37"/>
      <c r="AD23" s="37"/>
      <c r="AE23" s="821"/>
      <c r="AF23" s="37"/>
      <c r="AG23" s="37"/>
      <c r="AH23" s="37"/>
      <c r="AI23" s="37"/>
      <c r="AJ23" s="821"/>
      <c r="AK23" s="37"/>
      <c r="AL23" s="37"/>
      <c r="AM23" s="37"/>
      <c r="AN23" s="37"/>
      <c r="AO23" s="821"/>
      <c r="AP23" s="763">
        <v>141</v>
      </c>
      <c r="AQ23" s="763">
        <v>152</v>
      </c>
      <c r="AR23" s="763">
        <v>117</v>
      </c>
      <c r="AS23" s="763">
        <v>141</v>
      </c>
      <c r="AT23" s="827">
        <v>138</v>
      </c>
      <c r="AU23" s="763">
        <v>143</v>
      </c>
      <c r="AV23" s="763">
        <v>138</v>
      </c>
      <c r="AW23" s="763">
        <v>131</v>
      </c>
      <c r="AX23" s="763">
        <v>131</v>
      </c>
      <c r="AY23" s="827">
        <v>136</v>
      </c>
      <c r="AZ23" s="763">
        <v>113</v>
      </c>
      <c r="BA23" s="763">
        <v>112</v>
      </c>
      <c r="BB23" s="763">
        <v>118</v>
      </c>
      <c r="BC23" s="763">
        <v>120</v>
      </c>
      <c r="BD23" s="827">
        <v>116</v>
      </c>
      <c r="BE23" s="763">
        <v>118</v>
      </c>
      <c r="BF23" s="763">
        <v>106</v>
      </c>
      <c r="BG23" s="763">
        <v>107</v>
      </c>
      <c r="BH23" s="763">
        <v>122</v>
      </c>
      <c r="BI23" s="827">
        <v>114</v>
      </c>
      <c r="BJ23" s="763">
        <v>110</v>
      </c>
      <c r="BK23" s="763">
        <v>117</v>
      </c>
      <c r="BL23" s="763">
        <v>115</v>
      </c>
      <c r="BM23" s="763">
        <v>98</v>
      </c>
      <c r="BN23" s="827">
        <v>110</v>
      </c>
      <c r="BO23" s="763">
        <v>43</v>
      </c>
      <c r="BP23" s="763">
        <v>47</v>
      </c>
      <c r="BQ23" s="763">
        <v>48</v>
      </c>
      <c r="BR23" s="763">
        <v>47</v>
      </c>
      <c r="BS23" s="827">
        <v>46</v>
      </c>
      <c r="BT23" s="764">
        <v>55</v>
      </c>
      <c r="BU23" s="37"/>
      <c r="BV23" s="37"/>
      <c r="BW23" s="37"/>
      <c r="BX23" s="821"/>
      <c r="BY23" s="37"/>
      <c r="BZ23" s="37"/>
      <c r="CA23" s="37"/>
      <c r="CB23" s="37"/>
      <c r="CC23" s="821"/>
      <c r="CD23" s="821"/>
      <c r="CE23" s="821"/>
      <c r="CF23" s="821"/>
      <c r="CG23" s="22"/>
    </row>
    <row r="24" spans="1:85" s="428" customFormat="1" hidden="1" outlineLevel="1" x14ac:dyDescent="0.3">
      <c r="A24" s="109" t="s">
        <v>1661</v>
      </c>
      <c r="B24" s="64"/>
      <c r="C24" s="821"/>
      <c r="D24" s="821"/>
      <c r="E24" s="821"/>
      <c r="F24" s="821"/>
      <c r="G24" s="37"/>
      <c r="H24" s="37"/>
      <c r="I24" s="37"/>
      <c r="J24" s="37"/>
      <c r="K24" s="821"/>
      <c r="L24" s="37"/>
      <c r="M24" s="37"/>
      <c r="N24" s="37"/>
      <c r="O24" s="37"/>
      <c r="P24" s="821"/>
      <c r="Q24" s="37"/>
      <c r="R24" s="37"/>
      <c r="S24" s="37"/>
      <c r="T24" s="37"/>
      <c r="U24" s="821"/>
      <c r="V24" s="37"/>
      <c r="W24" s="37"/>
      <c r="X24" s="37"/>
      <c r="Y24" s="37"/>
      <c r="Z24" s="821"/>
      <c r="AA24" s="37"/>
      <c r="AB24" s="37"/>
      <c r="AC24" s="37"/>
      <c r="AD24" s="37"/>
      <c r="AE24" s="821"/>
      <c r="AF24" s="37"/>
      <c r="AG24" s="37"/>
      <c r="AH24" s="37"/>
      <c r="AI24" s="37"/>
      <c r="AJ24" s="821"/>
      <c r="AK24" s="37"/>
      <c r="AL24" s="37"/>
      <c r="AM24" s="37"/>
      <c r="AN24" s="37"/>
      <c r="AO24" s="821"/>
      <c r="AP24" s="37"/>
      <c r="AQ24" s="37"/>
      <c r="AR24" s="37"/>
      <c r="AS24" s="37"/>
      <c r="AT24" s="821"/>
      <c r="AU24" s="37"/>
      <c r="AV24" s="37"/>
      <c r="AW24" s="37"/>
      <c r="AX24" s="37"/>
      <c r="AY24" s="821"/>
      <c r="AZ24" s="37"/>
      <c r="BA24" s="37"/>
      <c r="BB24" s="37"/>
      <c r="BC24" s="37"/>
      <c r="BD24" s="821"/>
      <c r="BE24" s="37"/>
      <c r="BF24" s="37"/>
      <c r="BG24" s="37"/>
      <c r="BH24" s="37"/>
      <c r="BI24" s="821"/>
      <c r="BJ24" s="37"/>
      <c r="BK24" s="37"/>
      <c r="BL24" s="37"/>
      <c r="BM24" s="37"/>
      <c r="BN24" s="821"/>
      <c r="BO24" s="37"/>
      <c r="BP24" s="37"/>
      <c r="BQ24" s="763">
        <v>210</v>
      </c>
      <c r="BR24" s="763">
        <v>261</v>
      </c>
      <c r="BS24" s="827">
        <v>119</v>
      </c>
      <c r="BT24" s="764">
        <v>284</v>
      </c>
      <c r="BU24" s="37"/>
      <c r="BV24" s="37"/>
      <c r="BW24" s="37"/>
      <c r="BX24" s="821"/>
      <c r="BY24" s="37"/>
      <c r="BZ24" s="37"/>
      <c r="CA24" s="37"/>
      <c r="CB24" s="37"/>
      <c r="CC24" s="821"/>
      <c r="CD24" s="821"/>
      <c r="CE24" s="821"/>
      <c r="CF24" s="821"/>
      <c r="CG24" s="22"/>
    </row>
    <row r="25" spans="1:85" s="428" customFormat="1" hidden="1" outlineLevel="1" x14ac:dyDescent="0.3">
      <c r="A25" s="109" t="s">
        <v>26</v>
      </c>
      <c r="B25" s="64"/>
      <c r="C25" s="827">
        <v>115</v>
      </c>
      <c r="D25" s="827">
        <v>101</v>
      </c>
      <c r="E25" s="827">
        <v>93</v>
      </c>
      <c r="F25" s="827">
        <v>75</v>
      </c>
      <c r="G25" s="763">
        <v>71</v>
      </c>
      <c r="H25" s="763">
        <v>66</v>
      </c>
      <c r="I25" s="763">
        <v>56</v>
      </c>
      <c r="J25" s="763">
        <v>57</v>
      </c>
      <c r="K25" s="821">
        <f t="shared" ref="K25:K31" si="89">SUM(G25*G$3,H25*H$3,I25*I$3,J25*J$3)/K$3</f>
        <v>62.443835616438356</v>
      </c>
      <c r="L25" s="763">
        <v>59</v>
      </c>
      <c r="M25" s="763">
        <v>52</v>
      </c>
      <c r="N25" s="763">
        <v>43</v>
      </c>
      <c r="O25" s="763">
        <v>53</v>
      </c>
      <c r="P25" s="821">
        <f t="shared" ref="P25:P31" si="90">SUM(L25*L$3,M25*M$3,N25*N$3,O25*O$3)/P$3</f>
        <v>51.709589041095889</v>
      </c>
      <c r="Q25" s="763">
        <v>47</v>
      </c>
      <c r="R25" s="763">
        <v>55</v>
      </c>
      <c r="S25" s="763">
        <v>58</v>
      </c>
      <c r="T25" s="763">
        <v>62</v>
      </c>
      <c r="U25" s="821">
        <f t="shared" ref="U25:U31" si="91">SUM(Q25*Q$3,R25*R$3,S25*S$3,T25*T$3)/U$3</f>
        <v>55.547945205479451</v>
      </c>
      <c r="V25" s="763">
        <v>58</v>
      </c>
      <c r="W25" s="763">
        <v>49</v>
      </c>
      <c r="X25" s="763">
        <v>56</v>
      </c>
      <c r="Y25" s="763">
        <v>65</v>
      </c>
      <c r="Z25" s="827">
        <v>57</v>
      </c>
      <c r="AA25" s="763">
        <v>69</v>
      </c>
      <c r="AB25" s="763">
        <v>68</v>
      </c>
      <c r="AC25" s="763">
        <v>59</v>
      </c>
      <c r="AD25" s="763">
        <v>59</v>
      </c>
      <c r="AE25" s="827">
        <v>64</v>
      </c>
      <c r="AF25" s="763">
        <v>57</v>
      </c>
      <c r="AG25" s="763">
        <v>46</v>
      </c>
      <c r="AH25" s="763">
        <v>50</v>
      </c>
      <c r="AI25" s="763">
        <v>66</v>
      </c>
      <c r="AJ25" s="827">
        <v>55</v>
      </c>
      <c r="AK25" s="763">
        <v>65</v>
      </c>
      <c r="AL25" s="763">
        <v>49</v>
      </c>
      <c r="AM25" s="763">
        <v>44</v>
      </c>
      <c r="AN25" s="763">
        <v>29</v>
      </c>
      <c r="AO25" s="827">
        <v>47</v>
      </c>
      <c r="AP25" s="763">
        <v>13</v>
      </c>
      <c r="AQ25" s="763">
        <v>13</v>
      </c>
      <c r="AR25" s="763">
        <v>12</v>
      </c>
      <c r="AS25" s="763">
        <v>12</v>
      </c>
      <c r="AT25" s="827">
        <v>13</v>
      </c>
      <c r="AU25" s="763">
        <v>13</v>
      </c>
      <c r="AV25" s="763">
        <v>11</v>
      </c>
      <c r="AW25" s="763">
        <v>13</v>
      </c>
      <c r="AX25" s="763">
        <v>16</v>
      </c>
      <c r="AY25" s="827">
        <v>13</v>
      </c>
      <c r="AZ25" s="37"/>
      <c r="BA25" s="37"/>
      <c r="BB25" s="37"/>
      <c r="BC25" s="37"/>
      <c r="BD25" s="821"/>
      <c r="BE25" s="37"/>
      <c r="BF25" s="37"/>
      <c r="BG25" s="37"/>
      <c r="BH25" s="37"/>
      <c r="BI25" s="821"/>
      <c r="BJ25" s="37"/>
      <c r="BK25" s="37"/>
      <c r="BL25" s="37"/>
      <c r="BM25" s="37"/>
      <c r="BN25" s="821"/>
      <c r="BO25" s="37"/>
      <c r="BP25" s="37"/>
      <c r="BQ25" s="37"/>
      <c r="BR25" s="37"/>
      <c r="BS25" s="821"/>
      <c r="BT25" s="480"/>
      <c r="BU25" s="37"/>
      <c r="BV25" s="37"/>
      <c r="BW25" s="37"/>
      <c r="BX25" s="821"/>
      <c r="BY25" s="37"/>
      <c r="BZ25" s="37"/>
      <c r="CA25" s="37"/>
      <c r="CB25" s="37"/>
      <c r="CC25" s="821"/>
      <c r="CD25" s="821"/>
      <c r="CE25" s="821"/>
      <c r="CF25" s="821"/>
      <c r="CG25" s="22"/>
    </row>
    <row r="26" spans="1:85" s="428" customFormat="1" hidden="1" outlineLevel="1" x14ac:dyDescent="0.3">
      <c r="A26" s="109" t="s">
        <v>27</v>
      </c>
      <c r="B26" s="64"/>
      <c r="C26" s="827">
        <v>199</v>
      </c>
      <c r="D26" s="827">
        <v>187</v>
      </c>
      <c r="E26" s="827">
        <v>166</v>
      </c>
      <c r="F26" s="827">
        <v>158</v>
      </c>
      <c r="G26" s="763">
        <v>150</v>
      </c>
      <c r="H26" s="763">
        <v>154</v>
      </c>
      <c r="I26" s="763">
        <v>159</v>
      </c>
      <c r="J26" s="763">
        <v>160</v>
      </c>
      <c r="K26" s="821">
        <f t="shared" si="89"/>
        <v>155.78630136986303</v>
      </c>
      <c r="L26" s="763">
        <v>149</v>
      </c>
      <c r="M26" s="763">
        <v>145</v>
      </c>
      <c r="N26" s="763">
        <v>149</v>
      </c>
      <c r="O26" s="763">
        <v>156</v>
      </c>
      <c r="P26" s="821">
        <f t="shared" si="90"/>
        <v>149.76712328767124</v>
      </c>
      <c r="Q26" s="763">
        <v>173</v>
      </c>
      <c r="R26" s="763">
        <v>161</v>
      </c>
      <c r="S26" s="763">
        <v>176</v>
      </c>
      <c r="T26" s="763">
        <v>196</v>
      </c>
      <c r="U26" s="821">
        <f t="shared" si="91"/>
        <v>176.56164383561645</v>
      </c>
      <c r="V26" s="763">
        <v>198</v>
      </c>
      <c r="W26" s="763">
        <v>158</v>
      </c>
      <c r="X26" s="763">
        <v>147</v>
      </c>
      <c r="Y26" s="763">
        <v>189</v>
      </c>
      <c r="Z26" s="827">
        <v>173</v>
      </c>
      <c r="AA26" s="763">
        <v>135</v>
      </c>
      <c r="AB26" s="763">
        <v>137</v>
      </c>
      <c r="AC26" s="763">
        <v>140</v>
      </c>
      <c r="AD26" s="763">
        <v>135</v>
      </c>
      <c r="AE26" s="827">
        <v>137</v>
      </c>
      <c r="AF26" s="763">
        <v>114</v>
      </c>
      <c r="AG26" s="763">
        <v>112</v>
      </c>
      <c r="AH26" s="763">
        <v>114</v>
      </c>
      <c r="AI26" s="763">
        <v>114</v>
      </c>
      <c r="AJ26" s="827">
        <v>113</v>
      </c>
      <c r="AK26" s="763">
        <v>98</v>
      </c>
      <c r="AL26" s="763">
        <v>99</v>
      </c>
      <c r="AM26" s="763">
        <v>102</v>
      </c>
      <c r="AN26" s="763">
        <v>103</v>
      </c>
      <c r="AO26" s="827">
        <v>101</v>
      </c>
      <c r="AP26" s="763">
        <v>106</v>
      </c>
      <c r="AQ26" s="763">
        <v>122</v>
      </c>
      <c r="AR26" s="763">
        <v>109</v>
      </c>
      <c r="AS26" s="763">
        <v>186</v>
      </c>
      <c r="AT26" s="827">
        <v>131</v>
      </c>
      <c r="AU26" s="763">
        <v>84</v>
      </c>
      <c r="AV26" s="763">
        <v>76</v>
      </c>
      <c r="AW26" s="763">
        <v>86</v>
      </c>
      <c r="AX26" s="763">
        <v>2</v>
      </c>
      <c r="AY26" s="827">
        <v>62</v>
      </c>
      <c r="AZ26" s="37"/>
      <c r="BA26" s="37"/>
      <c r="BB26" s="37"/>
      <c r="BC26" s="37"/>
      <c r="BD26" s="821"/>
      <c r="BE26" s="37"/>
      <c r="BF26" s="37"/>
      <c r="BG26" s="37"/>
      <c r="BH26" s="37"/>
      <c r="BI26" s="821"/>
      <c r="BJ26" s="37"/>
      <c r="BK26" s="37"/>
      <c r="BL26" s="37"/>
      <c r="BM26" s="37"/>
      <c r="BN26" s="821"/>
      <c r="BO26" s="37"/>
      <c r="BP26" s="37"/>
      <c r="BQ26" s="37"/>
      <c r="BR26" s="37"/>
      <c r="BS26" s="821"/>
      <c r="BT26" s="480"/>
      <c r="BU26" s="37"/>
      <c r="BV26" s="37"/>
      <c r="BW26" s="37"/>
      <c r="BX26" s="821"/>
      <c r="BY26" s="37"/>
      <c r="BZ26" s="37"/>
      <c r="CA26" s="37"/>
      <c r="CB26" s="37"/>
      <c r="CC26" s="821"/>
      <c r="CD26" s="821"/>
      <c r="CE26" s="821"/>
      <c r="CF26" s="821"/>
      <c r="CG26" s="22"/>
    </row>
    <row r="27" spans="1:85" s="428" customFormat="1" hidden="1" outlineLevel="1" x14ac:dyDescent="0.3">
      <c r="A27" s="109" t="s">
        <v>28</v>
      </c>
      <c r="B27" s="64"/>
      <c r="C27" s="827">
        <v>70</v>
      </c>
      <c r="D27" s="827">
        <v>67</v>
      </c>
      <c r="E27" s="827">
        <v>64</v>
      </c>
      <c r="F27" s="827">
        <v>63</v>
      </c>
      <c r="G27" s="763">
        <v>335</v>
      </c>
      <c r="H27" s="763">
        <v>315</v>
      </c>
      <c r="I27" s="763">
        <v>313</v>
      </c>
      <c r="J27" s="763">
        <v>333</v>
      </c>
      <c r="K27" s="821">
        <f t="shared" si="89"/>
        <v>323.96438356164384</v>
      </c>
      <c r="L27" s="763">
        <v>326</v>
      </c>
      <c r="M27" s="763">
        <v>294</v>
      </c>
      <c r="N27" s="763">
        <v>310</v>
      </c>
      <c r="O27" s="763">
        <v>333</v>
      </c>
      <c r="P27" s="821">
        <f t="shared" si="90"/>
        <v>315.75342465753425</v>
      </c>
      <c r="Q27" s="763">
        <v>361</v>
      </c>
      <c r="R27" s="763">
        <v>350</v>
      </c>
      <c r="S27" s="763">
        <v>308</v>
      </c>
      <c r="T27" s="763">
        <v>354</v>
      </c>
      <c r="U27" s="821">
        <f t="shared" si="91"/>
        <v>343.13424657534244</v>
      </c>
      <c r="V27" s="763">
        <v>381</v>
      </c>
      <c r="W27" s="763">
        <v>357</v>
      </c>
      <c r="X27" s="763">
        <v>298</v>
      </c>
      <c r="Y27" s="763">
        <v>373</v>
      </c>
      <c r="Z27" s="827">
        <v>352</v>
      </c>
      <c r="AA27" s="763">
        <v>363</v>
      </c>
      <c r="AB27" s="763">
        <v>352</v>
      </c>
      <c r="AC27" s="763">
        <v>334</v>
      </c>
      <c r="AD27" s="763">
        <v>347</v>
      </c>
      <c r="AE27" s="827">
        <v>349</v>
      </c>
      <c r="AF27" s="763">
        <v>342</v>
      </c>
      <c r="AG27" s="763">
        <v>337</v>
      </c>
      <c r="AH27" s="763">
        <v>312</v>
      </c>
      <c r="AI27" s="763">
        <v>343</v>
      </c>
      <c r="AJ27" s="827">
        <v>333</v>
      </c>
      <c r="AK27" s="763">
        <v>361</v>
      </c>
      <c r="AL27" s="763">
        <v>348</v>
      </c>
      <c r="AM27" s="763">
        <v>344</v>
      </c>
      <c r="AN27" s="763">
        <v>377</v>
      </c>
      <c r="AO27" s="827">
        <v>357</v>
      </c>
      <c r="AP27" s="763">
        <v>388</v>
      </c>
      <c r="AQ27" s="763">
        <v>351</v>
      </c>
      <c r="AR27" s="763">
        <v>309</v>
      </c>
      <c r="AS27" s="763">
        <v>327</v>
      </c>
      <c r="AT27" s="827">
        <v>344</v>
      </c>
      <c r="AU27" s="763">
        <v>309</v>
      </c>
      <c r="AV27" s="763">
        <v>314</v>
      </c>
      <c r="AW27" s="763">
        <v>246</v>
      </c>
      <c r="AX27" s="763">
        <v>329</v>
      </c>
      <c r="AY27" s="827">
        <v>299</v>
      </c>
      <c r="AZ27" s="763">
        <v>310</v>
      </c>
      <c r="BA27" s="763">
        <v>291</v>
      </c>
      <c r="BB27" s="763">
        <v>297</v>
      </c>
      <c r="BC27" s="763">
        <v>342</v>
      </c>
      <c r="BD27" s="827">
        <v>310</v>
      </c>
      <c r="BE27" s="763">
        <v>324</v>
      </c>
      <c r="BF27" s="763">
        <v>333</v>
      </c>
      <c r="BG27" s="763">
        <v>302</v>
      </c>
      <c r="BH27" s="763">
        <v>334</v>
      </c>
      <c r="BI27" s="827">
        <v>323</v>
      </c>
      <c r="BJ27" s="763">
        <v>343</v>
      </c>
      <c r="BK27" s="763">
        <v>326</v>
      </c>
      <c r="BL27" s="763">
        <v>330</v>
      </c>
      <c r="BM27" s="763">
        <v>317</v>
      </c>
      <c r="BN27" s="827">
        <v>329</v>
      </c>
      <c r="BO27" s="763">
        <v>431</v>
      </c>
      <c r="BP27" s="763">
        <v>458</v>
      </c>
      <c r="BQ27" s="763">
        <v>483</v>
      </c>
      <c r="BR27" s="763">
        <v>408</v>
      </c>
      <c r="BS27" s="827">
        <v>445</v>
      </c>
      <c r="BT27" s="764">
        <v>285</v>
      </c>
      <c r="BU27" s="37"/>
      <c r="BV27" s="37"/>
      <c r="BW27" s="37"/>
      <c r="BX27" s="821"/>
      <c r="BY27" s="37"/>
      <c r="BZ27" s="37"/>
      <c r="CA27" s="37"/>
      <c r="CB27" s="37"/>
      <c r="CC27" s="821"/>
      <c r="CD27" s="821"/>
      <c r="CE27" s="821"/>
      <c r="CF27" s="821"/>
      <c r="CG27" s="22"/>
    </row>
    <row r="28" spans="1:85" s="428" customFormat="1" hidden="1" outlineLevel="1" x14ac:dyDescent="0.3">
      <c r="A28" s="109" t="s">
        <v>29</v>
      </c>
      <c r="B28" s="64"/>
      <c r="C28" s="827">
        <v>101</v>
      </c>
      <c r="D28" s="827">
        <v>94</v>
      </c>
      <c r="E28" s="827">
        <v>88</v>
      </c>
      <c r="F28" s="827">
        <v>86</v>
      </c>
      <c r="G28" s="763">
        <v>86</v>
      </c>
      <c r="H28" s="763">
        <v>84</v>
      </c>
      <c r="I28" s="763">
        <v>84</v>
      </c>
      <c r="J28" s="763">
        <v>83</v>
      </c>
      <c r="K28" s="821">
        <f t="shared" si="89"/>
        <v>84.241095890410961</v>
      </c>
      <c r="L28" s="763">
        <v>80</v>
      </c>
      <c r="M28" s="763">
        <v>80</v>
      </c>
      <c r="N28" s="763">
        <v>77</v>
      </c>
      <c r="O28" s="763">
        <v>76</v>
      </c>
      <c r="P28" s="821">
        <f t="shared" si="90"/>
        <v>78.235616438356161</v>
      </c>
      <c r="Q28" s="763">
        <v>74</v>
      </c>
      <c r="R28" s="763">
        <v>35</v>
      </c>
      <c r="S28" s="763">
        <v>0</v>
      </c>
      <c r="T28" s="763">
        <v>0</v>
      </c>
      <c r="U28" s="821">
        <f t="shared" si="91"/>
        <v>26.972602739726028</v>
      </c>
      <c r="V28" s="763">
        <v>0</v>
      </c>
      <c r="W28" s="763">
        <v>1</v>
      </c>
      <c r="X28" s="763">
        <v>0</v>
      </c>
      <c r="Y28" s="763">
        <v>0</v>
      </c>
      <c r="Z28" s="827">
        <v>0</v>
      </c>
      <c r="AA28" s="763">
        <v>0</v>
      </c>
      <c r="AB28" s="763">
        <v>0</v>
      </c>
      <c r="AC28" s="763">
        <v>0</v>
      </c>
      <c r="AD28" s="763">
        <v>0</v>
      </c>
      <c r="AE28" s="827">
        <v>0</v>
      </c>
      <c r="AF28" s="763">
        <v>0</v>
      </c>
      <c r="AG28" s="763">
        <v>0</v>
      </c>
      <c r="AH28" s="763">
        <v>0</v>
      </c>
      <c r="AI28" s="37"/>
      <c r="AJ28" s="821"/>
      <c r="AK28" s="763">
        <v>0</v>
      </c>
      <c r="AL28" s="763">
        <v>0</v>
      </c>
      <c r="AM28" s="763">
        <v>0</v>
      </c>
      <c r="AN28" s="763">
        <v>0</v>
      </c>
      <c r="AO28" s="827">
        <v>0</v>
      </c>
      <c r="AP28" s="37"/>
      <c r="AQ28" s="37"/>
      <c r="AR28" s="763">
        <v>29</v>
      </c>
      <c r="AS28" s="763">
        <v>39</v>
      </c>
      <c r="AT28" s="827">
        <v>17</v>
      </c>
      <c r="AU28" s="763">
        <v>57</v>
      </c>
      <c r="AV28" s="763">
        <v>57</v>
      </c>
      <c r="AW28" s="763">
        <v>55</v>
      </c>
      <c r="AX28" s="763">
        <v>56</v>
      </c>
      <c r="AY28" s="827">
        <v>56</v>
      </c>
      <c r="AZ28" s="763">
        <v>57</v>
      </c>
      <c r="BA28" s="763">
        <v>58</v>
      </c>
      <c r="BB28" s="763">
        <v>59</v>
      </c>
      <c r="BC28" s="763">
        <v>59</v>
      </c>
      <c r="BD28" s="827">
        <v>58</v>
      </c>
      <c r="BE28" s="763">
        <v>59</v>
      </c>
      <c r="BF28" s="763">
        <v>61</v>
      </c>
      <c r="BG28" s="763">
        <v>60</v>
      </c>
      <c r="BH28" s="763">
        <v>60</v>
      </c>
      <c r="BI28" s="827">
        <v>60</v>
      </c>
      <c r="BJ28" s="763">
        <v>60</v>
      </c>
      <c r="BK28" s="763">
        <v>60</v>
      </c>
      <c r="BL28" s="763">
        <v>60</v>
      </c>
      <c r="BM28" s="763">
        <v>60</v>
      </c>
      <c r="BN28" s="827">
        <v>60</v>
      </c>
      <c r="BO28" s="763">
        <v>62</v>
      </c>
      <c r="BP28" s="763">
        <v>63</v>
      </c>
      <c r="BQ28" s="763">
        <v>66</v>
      </c>
      <c r="BR28" s="763">
        <v>69</v>
      </c>
      <c r="BS28" s="827">
        <v>65</v>
      </c>
      <c r="BT28" s="764">
        <v>59</v>
      </c>
      <c r="BU28" s="37"/>
      <c r="BV28" s="37"/>
      <c r="BW28" s="37"/>
      <c r="BX28" s="821"/>
      <c r="BY28" s="37"/>
      <c r="BZ28" s="37"/>
      <c r="CA28" s="37"/>
      <c r="CB28" s="37"/>
      <c r="CC28" s="821"/>
      <c r="CD28" s="821"/>
      <c r="CE28" s="821"/>
      <c r="CF28" s="821"/>
      <c r="CG28" s="22"/>
    </row>
    <row r="29" spans="1:85" s="428" customFormat="1" hidden="1" outlineLevel="1" x14ac:dyDescent="0.3">
      <c r="A29" s="109" t="s">
        <v>30</v>
      </c>
      <c r="B29" s="64"/>
      <c r="C29" s="827">
        <v>225</v>
      </c>
      <c r="D29" s="827">
        <v>239</v>
      </c>
      <c r="E29" s="827">
        <v>236</v>
      </c>
      <c r="F29" s="827">
        <v>242</v>
      </c>
      <c r="G29" s="763">
        <v>239</v>
      </c>
      <c r="H29" s="763">
        <v>223</v>
      </c>
      <c r="I29" s="763">
        <v>247</v>
      </c>
      <c r="J29" s="763">
        <v>242</v>
      </c>
      <c r="K29" s="821">
        <f t="shared" si="89"/>
        <v>237.78356164383561</v>
      </c>
      <c r="L29" s="763">
        <v>248</v>
      </c>
      <c r="M29" s="763">
        <v>245</v>
      </c>
      <c r="N29" s="763">
        <v>248</v>
      </c>
      <c r="O29" s="763">
        <v>247</v>
      </c>
      <c r="P29" s="821">
        <f t="shared" si="90"/>
        <v>247</v>
      </c>
      <c r="Q29" s="763">
        <v>235</v>
      </c>
      <c r="R29" s="763">
        <v>231</v>
      </c>
      <c r="S29" s="763">
        <v>228</v>
      </c>
      <c r="T29" s="763">
        <v>225</v>
      </c>
      <c r="U29" s="821">
        <f t="shared" si="91"/>
        <v>229.7178082191781</v>
      </c>
      <c r="V29" s="763">
        <v>226</v>
      </c>
      <c r="W29" s="763">
        <v>214</v>
      </c>
      <c r="X29" s="763">
        <v>209</v>
      </c>
      <c r="Y29" s="763">
        <v>186</v>
      </c>
      <c r="Z29" s="827">
        <v>208</v>
      </c>
      <c r="AA29" s="763">
        <v>214</v>
      </c>
      <c r="AB29" s="763">
        <v>220</v>
      </c>
      <c r="AC29" s="763">
        <v>209</v>
      </c>
      <c r="AD29" s="763">
        <v>210</v>
      </c>
      <c r="AE29" s="827">
        <v>213</v>
      </c>
      <c r="AF29" s="763">
        <v>210</v>
      </c>
      <c r="AG29" s="763">
        <v>203</v>
      </c>
      <c r="AH29" s="763">
        <v>198</v>
      </c>
      <c r="AI29" s="763">
        <v>189</v>
      </c>
      <c r="AJ29" s="827">
        <v>200</v>
      </c>
      <c r="AK29" s="763">
        <v>188</v>
      </c>
      <c r="AL29" s="763">
        <v>184</v>
      </c>
      <c r="AM29" s="763">
        <v>170</v>
      </c>
      <c r="AN29" s="763">
        <v>150</v>
      </c>
      <c r="AO29" s="827">
        <v>173</v>
      </c>
      <c r="AP29" s="763">
        <v>176</v>
      </c>
      <c r="AQ29" s="763">
        <v>140</v>
      </c>
      <c r="AR29" s="763">
        <v>126</v>
      </c>
      <c r="AS29" s="763">
        <v>119</v>
      </c>
      <c r="AT29" s="827">
        <v>140</v>
      </c>
      <c r="AU29" s="763">
        <v>136</v>
      </c>
      <c r="AV29" s="763">
        <v>120</v>
      </c>
      <c r="AW29" s="763">
        <v>124</v>
      </c>
      <c r="AX29" s="763">
        <v>117</v>
      </c>
      <c r="AY29" s="827">
        <v>124</v>
      </c>
      <c r="AZ29" s="763">
        <v>115</v>
      </c>
      <c r="BA29" s="763">
        <v>107</v>
      </c>
      <c r="BB29" s="763">
        <v>104</v>
      </c>
      <c r="BC29" s="763">
        <v>104</v>
      </c>
      <c r="BD29" s="827">
        <v>107</v>
      </c>
      <c r="BE29" s="763">
        <v>110</v>
      </c>
      <c r="BF29" s="763">
        <v>98</v>
      </c>
      <c r="BG29" s="763">
        <v>119</v>
      </c>
      <c r="BH29" s="763">
        <v>110</v>
      </c>
      <c r="BI29" s="827">
        <v>109</v>
      </c>
      <c r="BJ29" s="763">
        <v>96</v>
      </c>
      <c r="BK29" s="763">
        <v>95</v>
      </c>
      <c r="BL29" s="763">
        <v>106</v>
      </c>
      <c r="BM29" s="763">
        <v>98</v>
      </c>
      <c r="BN29" s="827">
        <v>99</v>
      </c>
      <c r="BO29" s="763">
        <v>101</v>
      </c>
      <c r="BP29" s="763">
        <v>103</v>
      </c>
      <c r="BQ29" s="763">
        <v>102</v>
      </c>
      <c r="BR29" s="763">
        <v>83</v>
      </c>
      <c r="BS29" s="827">
        <v>97</v>
      </c>
      <c r="BT29" s="764">
        <v>94</v>
      </c>
      <c r="BU29" s="37"/>
      <c r="BV29" s="37"/>
      <c r="BW29" s="37"/>
      <c r="BX29" s="821"/>
      <c r="BY29" s="37"/>
      <c r="BZ29" s="37"/>
      <c r="CA29" s="37"/>
      <c r="CB29" s="37"/>
      <c r="CC29" s="821"/>
      <c r="CD29" s="821"/>
      <c r="CE29" s="821"/>
      <c r="CF29" s="821"/>
      <c r="CG29" s="22"/>
    </row>
    <row r="30" spans="1:85" s="428" customFormat="1" hidden="1" outlineLevel="1" x14ac:dyDescent="0.3">
      <c r="A30" s="109" t="s">
        <v>31</v>
      </c>
      <c r="B30" s="64"/>
      <c r="C30" s="827">
        <v>36</v>
      </c>
      <c r="D30" s="827">
        <v>55</v>
      </c>
      <c r="E30" s="827">
        <v>59</v>
      </c>
      <c r="F30" s="827">
        <v>27</v>
      </c>
      <c r="G30" s="763">
        <v>80</v>
      </c>
      <c r="H30" s="763">
        <v>84</v>
      </c>
      <c r="I30" s="763">
        <v>85</v>
      </c>
      <c r="J30" s="763">
        <v>88</v>
      </c>
      <c r="K30" s="821">
        <f t="shared" si="89"/>
        <v>84.273972602739732</v>
      </c>
      <c r="L30" s="763">
        <v>92</v>
      </c>
      <c r="M30" s="763">
        <v>101</v>
      </c>
      <c r="N30" s="763">
        <v>103</v>
      </c>
      <c r="O30" s="763">
        <v>102</v>
      </c>
      <c r="P30" s="821">
        <f t="shared" si="90"/>
        <v>99.536986301369865</v>
      </c>
      <c r="Q30" s="763">
        <v>101</v>
      </c>
      <c r="R30" s="763">
        <v>96</v>
      </c>
      <c r="S30" s="763">
        <v>96</v>
      </c>
      <c r="T30" s="763">
        <v>95</v>
      </c>
      <c r="U30" s="821">
        <f t="shared" si="91"/>
        <v>96.980821917808214</v>
      </c>
      <c r="V30" s="763">
        <v>94</v>
      </c>
      <c r="W30" s="763">
        <v>90</v>
      </c>
      <c r="X30" s="763">
        <v>91</v>
      </c>
      <c r="Y30" s="763">
        <v>92</v>
      </c>
      <c r="Z30" s="827">
        <v>92</v>
      </c>
      <c r="AA30" s="763">
        <v>91</v>
      </c>
      <c r="AB30" s="763">
        <v>88</v>
      </c>
      <c r="AC30" s="763">
        <v>82</v>
      </c>
      <c r="AD30" s="763">
        <v>72</v>
      </c>
      <c r="AE30" s="827">
        <v>83</v>
      </c>
      <c r="AF30" s="763">
        <v>69</v>
      </c>
      <c r="AG30" s="763">
        <v>68</v>
      </c>
      <c r="AH30" s="763">
        <v>74</v>
      </c>
      <c r="AI30" s="763">
        <v>79</v>
      </c>
      <c r="AJ30" s="827">
        <v>72</v>
      </c>
      <c r="AK30" s="763">
        <v>74</v>
      </c>
      <c r="AL30" s="763">
        <v>61</v>
      </c>
      <c r="AM30" s="763">
        <v>61</v>
      </c>
      <c r="AN30" s="763">
        <v>63</v>
      </c>
      <c r="AO30" s="827">
        <v>65</v>
      </c>
      <c r="AP30" s="763">
        <v>68</v>
      </c>
      <c r="AQ30" s="763">
        <v>48</v>
      </c>
      <c r="AR30" s="763">
        <v>31</v>
      </c>
      <c r="AS30" s="763">
        <v>27</v>
      </c>
      <c r="AT30" s="827">
        <v>42</v>
      </c>
      <c r="AU30" s="763">
        <v>32</v>
      </c>
      <c r="AV30" s="763">
        <v>34</v>
      </c>
      <c r="AW30" s="763">
        <v>28</v>
      </c>
      <c r="AX30" s="763">
        <v>30</v>
      </c>
      <c r="AY30" s="827">
        <v>31</v>
      </c>
      <c r="AZ30" s="763">
        <v>32</v>
      </c>
      <c r="BA30" s="763">
        <v>32</v>
      </c>
      <c r="BB30" s="763">
        <v>35</v>
      </c>
      <c r="BC30" s="763">
        <v>39</v>
      </c>
      <c r="BD30" s="827">
        <v>35</v>
      </c>
      <c r="BE30" s="763">
        <v>37</v>
      </c>
      <c r="BF30" s="763">
        <v>37</v>
      </c>
      <c r="BG30" s="763">
        <v>36</v>
      </c>
      <c r="BH30" s="763">
        <v>39</v>
      </c>
      <c r="BI30" s="827">
        <v>37</v>
      </c>
      <c r="BJ30" s="763">
        <v>41</v>
      </c>
      <c r="BK30" s="763">
        <v>40</v>
      </c>
      <c r="BL30" s="763">
        <v>44</v>
      </c>
      <c r="BM30" s="763">
        <v>48</v>
      </c>
      <c r="BN30" s="827">
        <v>43</v>
      </c>
      <c r="BO30" s="763">
        <v>48</v>
      </c>
      <c r="BP30" s="763">
        <v>48</v>
      </c>
      <c r="BQ30" s="763">
        <v>53</v>
      </c>
      <c r="BR30" s="763">
        <v>61</v>
      </c>
      <c r="BS30" s="827">
        <v>52</v>
      </c>
      <c r="BT30" s="764">
        <v>61</v>
      </c>
      <c r="BU30" s="37"/>
      <c r="BV30" s="37"/>
      <c r="BW30" s="37"/>
      <c r="BX30" s="821"/>
      <c r="BY30" s="37"/>
      <c r="BZ30" s="37"/>
      <c r="CA30" s="37"/>
      <c r="CB30" s="37"/>
      <c r="CC30" s="821"/>
      <c r="CD30" s="821"/>
      <c r="CE30" s="821"/>
      <c r="CF30" s="821"/>
      <c r="CG30" s="22"/>
    </row>
    <row r="31" spans="1:85" s="428" customFormat="1" hidden="1" outlineLevel="1" x14ac:dyDescent="0.3">
      <c r="A31" s="244" t="s">
        <v>32</v>
      </c>
      <c r="B31" s="243"/>
      <c r="C31" s="828">
        <v>198</v>
      </c>
      <c r="D31" s="828">
        <v>233</v>
      </c>
      <c r="E31" s="828">
        <v>235</v>
      </c>
      <c r="F31" s="828">
        <v>230</v>
      </c>
      <c r="G31" s="765">
        <v>224</v>
      </c>
      <c r="H31" s="765">
        <v>210</v>
      </c>
      <c r="I31" s="765">
        <v>215</v>
      </c>
      <c r="J31" s="765">
        <v>207</v>
      </c>
      <c r="K31" s="822">
        <f t="shared" si="89"/>
        <v>213.95616438356166</v>
      </c>
      <c r="L31" s="765">
        <v>203</v>
      </c>
      <c r="M31" s="765">
        <v>204</v>
      </c>
      <c r="N31" s="765">
        <v>195</v>
      </c>
      <c r="O31" s="765">
        <v>189</v>
      </c>
      <c r="P31" s="822">
        <f t="shared" si="90"/>
        <v>197.70410958904111</v>
      </c>
      <c r="Q31" s="765">
        <v>208</v>
      </c>
      <c r="R31" s="765">
        <v>172</v>
      </c>
      <c r="S31" s="765">
        <v>201</v>
      </c>
      <c r="T31" s="765">
        <v>234</v>
      </c>
      <c r="U31" s="822">
        <f t="shared" si="91"/>
        <v>203.813698630137</v>
      </c>
      <c r="V31" s="765">
        <v>223</v>
      </c>
      <c r="W31" s="765">
        <v>212</v>
      </c>
      <c r="X31" s="765">
        <v>236</v>
      </c>
      <c r="Y31" s="765">
        <v>225</v>
      </c>
      <c r="Z31" s="828">
        <v>225</v>
      </c>
      <c r="AA31" s="765">
        <v>227</v>
      </c>
      <c r="AB31" s="765">
        <v>240</v>
      </c>
      <c r="AC31" s="765">
        <v>253</v>
      </c>
      <c r="AD31" s="765">
        <v>259</v>
      </c>
      <c r="AE31" s="828">
        <v>245</v>
      </c>
      <c r="AF31" s="765">
        <v>283</v>
      </c>
      <c r="AG31" s="765">
        <v>274</v>
      </c>
      <c r="AH31" s="765">
        <v>280</v>
      </c>
      <c r="AI31" s="765">
        <v>293</v>
      </c>
      <c r="AJ31" s="828">
        <v>284</v>
      </c>
      <c r="AK31" s="765">
        <v>294</v>
      </c>
      <c r="AL31" s="765">
        <v>310</v>
      </c>
      <c r="AM31" s="765">
        <v>289</v>
      </c>
      <c r="AN31" s="765">
        <v>312</v>
      </c>
      <c r="AO31" s="828">
        <v>301</v>
      </c>
      <c r="AP31" s="765">
        <v>174</v>
      </c>
      <c r="AQ31" s="765">
        <v>162</v>
      </c>
      <c r="AR31" s="765">
        <v>155</v>
      </c>
      <c r="AS31" s="765">
        <v>166</v>
      </c>
      <c r="AT31" s="828">
        <v>164</v>
      </c>
      <c r="AU31" s="765">
        <v>167</v>
      </c>
      <c r="AV31" s="765">
        <v>163</v>
      </c>
      <c r="AW31" s="765">
        <v>156</v>
      </c>
      <c r="AX31" s="765">
        <v>140</v>
      </c>
      <c r="AY31" s="828">
        <v>156</v>
      </c>
      <c r="AZ31" s="765">
        <v>154</v>
      </c>
      <c r="BA31" s="765">
        <v>128</v>
      </c>
      <c r="BB31" s="765">
        <v>132</v>
      </c>
      <c r="BC31" s="765">
        <v>126</v>
      </c>
      <c r="BD31" s="828">
        <v>136</v>
      </c>
      <c r="BE31" s="765">
        <v>134</v>
      </c>
      <c r="BF31" s="765">
        <v>122</v>
      </c>
      <c r="BG31" s="765">
        <v>113</v>
      </c>
      <c r="BH31" s="765">
        <v>117</v>
      </c>
      <c r="BI31" s="828">
        <v>122</v>
      </c>
      <c r="BJ31" s="765">
        <v>121</v>
      </c>
      <c r="BK31" s="765">
        <v>119</v>
      </c>
      <c r="BL31" s="765">
        <v>116</v>
      </c>
      <c r="BM31" s="765">
        <v>112</v>
      </c>
      <c r="BN31" s="828">
        <v>118</v>
      </c>
      <c r="BO31" s="765">
        <v>78</v>
      </c>
      <c r="BP31" s="765">
        <v>76</v>
      </c>
      <c r="BQ31" s="765">
        <v>78</v>
      </c>
      <c r="BR31" s="765">
        <v>83</v>
      </c>
      <c r="BS31" s="828">
        <v>80</v>
      </c>
      <c r="BT31" s="766">
        <v>79</v>
      </c>
      <c r="BU31" s="56"/>
      <c r="BV31" s="56"/>
      <c r="BW31" s="56"/>
      <c r="BX31" s="822"/>
      <c r="BY31" s="56"/>
      <c r="BZ31" s="56"/>
      <c r="CA31" s="56"/>
      <c r="CB31" s="56"/>
      <c r="CC31" s="822"/>
      <c r="CD31" s="822"/>
      <c r="CE31" s="822"/>
      <c r="CF31" s="822"/>
      <c r="CG31" s="22"/>
    </row>
    <row r="32" spans="1:85" s="429" customFormat="1" collapsed="1" x14ac:dyDescent="0.3">
      <c r="A32" s="134" t="s">
        <v>33</v>
      </c>
      <c r="B32" s="90"/>
      <c r="C32" s="823">
        <f t="shared" ref="C32:AR32" si="92">SUM(C22:C31)</f>
        <v>1085</v>
      </c>
      <c r="D32" s="823">
        <f t="shared" si="92"/>
        <v>1128</v>
      </c>
      <c r="E32" s="823">
        <f t="shared" si="92"/>
        <v>1080</v>
      </c>
      <c r="F32" s="823">
        <f t="shared" si="92"/>
        <v>1009</v>
      </c>
      <c r="G32" s="393">
        <f t="shared" si="92"/>
        <v>1305</v>
      </c>
      <c r="H32" s="393">
        <f t="shared" si="92"/>
        <v>1258</v>
      </c>
      <c r="I32" s="393">
        <f t="shared" si="92"/>
        <v>1279</v>
      </c>
      <c r="J32" s="393">
        <f t="shared" si="92"/>
        <v>1286</v>
      </c>
      <c r="K32" s="823">
        <f t="shared" si="92"/>
        <v>1281.9397260273972</v>
      </c>
      <c r="L32" s="393">
        <f t="shared" si="92"/>
        <v>1275</v>
      </c>
      <c r="M32" s="393">
        <f t="shared" si="92"/>
        <v>1234</v>
      </c>
      <c r="N32" s="393">
        <f t="shared" si="92"/>
        <v>1235</v>
      </c>
      <c r="O32" s="393">
        <f t="shared" si="92"/>
        <v>1270</v>
      </c>
      <c r="P32" s="823">
        <f t="shared" si="92"/>
        <v>1253.435616438356</v>
      </c>
      <c r="Q32" s="393">
        <f t="shared" si="92"/>
        <v>1312</v>
      </c>
      <c r="R32" s="393">
        <f t="shared" si="92"/>
        <v>1211</v>
      </c>
      <c r="S32" s="393">
        <f t="shared" si="92"/>
        <v>1173</v>
      </c>
      <c r="T32" s="393">
        <f t="shared" si="92"/>
        <v>1276</v>
      </c>
      <c r="U32" s="823">
        <f t="shared" si="92"/>
        <v>1242.7095890410958</v>
      </c>
      <c r="V32" s="393">
        <f t="shared" si="92"/>
        <v>1291</v>
      </c>
      <c r="W32" s="393">
        <f t="shared" si="92"/>
        <v>1188</v>
      </c>
      <c r="X32" s="393">
        <f t="shared" si="92"/>
        <v>1142</v>
      </c>
      <c r="Y32" s="393">
        <f t="shared" si="92"/>
        <v>1237</v>
      </c>
      <c r="Z32" s="823">
        <f t="shared" si="92"/>
        <v>1215</v>
      </c>
      <c r="AA32" s="393">
        <f t="shared" si="92"/>
        <v>1204</v>
      </c>
      <c r="AB32" s="393">
        <f t="shared" si="92"/>
        <v>1221</v>
      </c>
      <c r="AC32" s="393">
        <f t="shared" si="92"/>
        <v>1194</v>
      </c>
      <c r="AD32" s="393">
        <f t="shared" si="92"/>
        <v>1195</v>
      </c>
      <c r="AE32" s="823">
        <f t="shared" si="92"/>
        <v>1204</v>
      </c>
      <c r="AF32" s="393">
        <f t="shared" si="92"/>
        <v>1186</v>
      </c>
      <c r="AG32" s="393">
        <f t="shared" si="92"/>
        <v>1148</v>
      </c>
      <c r="AH32" s="393">
        <f t="shared" si="92"/>
        <v>1133</v>
      </c>
      <c r="AI32" s="393">
        <f t="shared" si="92"/>
        <v>1188</v>
      </c>
      <c r="AJ32" s="823">
        <f t="shared" si="92"/>
        <v>1164</v>
      </c>
      <c r="AK32" s="393">
        <f t="shared" si="92"/>
        <v>1185</v>
      </c>
      <c r="AL32" s="393">
        <f t="shared" si="92"/>
        <v>1153</v>
      </c>
      <c r="AM32" s="393">
        <f t="shared" si="92"/>
        <v>1104</v>
      </c>
      <c r="AN32" s="393">
        <f t="shared" si="92"/>
        <v>1122</v>
      </c>
      <c r="AO32" s="823">
        <f t="shared" si="92"/>
        <v>1141</v>
      </c>
      <c r="AP32" s="393">
        <f t="shared" si="92"/>
        <v>1163</v>
      </c>
      <c r="AQ32" s="393">
        <f t="shared" si="92"/>
        <v>1077</v>
      </c>
      <c r="AR32" s="393">
        <f t="shared" si="92"/>
        <v>976</v>
      </c>
      <c r="AS32" s="393">
        <f t="shared" ref="AS32:AV32" si="93">SUM(AS22:AS31)</f>
        <v>1098</v>
      </c>
      <c r="AT32" s="823">
        <f t="shared" si="93"/>
        <v>1078</v>
      </c>
      <c r="AU32" s="393">
        <f t="shared" si="93"/>
        <v>1024</v>
      </c>
      <c r="AV32" s="393">
        <f t="shared" si="93"/>
        <v>990</v>
      </c>
      <c r="AW32" s="393">
        <f t="shared" ref="AW32:BD32" si="94">SUM(AW22:AW31)</f>
        <v>915</v>
      </c>
      <c r="AX32" s="393">
        <f t="shared" si="94"/>
        <v>899</v>
      </c>
      <c r="AY32" s="823">
        <f t="shared" si="94"/>
        <v>956</v>
      </c>
      <c r="AZ32" s="393">
        <f t="shared" si="94"/>
        <v>856</v>
      </c>
      <c r="BA32" s="393">
        <f t="shared" si="94"/>
        <v>799</v>
      </c>
      <c r="BB32" s="393">
        <f t="shared" si="94"/>
        <v>816</v>
      </c>
      <c r="BC32" s="393">
        <f t="shared" si="94"/>
        <v>852</v>
      </c>
      <c r="BD32" s="823">
        <f t="shared" si="94"/>
        <v>832</v>
      </c>
      <c r="BE32" s="393">
        <f t="shared" ref="BE32:BJ32" si="95">SUM(BE22:BE31)</f>
        <v>849</v>
      </c>
      <c r="BF32" s="393">
        <f t="shared" si="95"/>
        <v>827</v>
      </c>
      <c r="BG32" s="393">
        <f t="shared" si="95"/>
        <v>803</v>
      </c>
      <c r="BH32" s="393">
        <f t="shared" si="95"/>
        <v>851</v>
      </c>
      <c r="BI32" s="823">
        <f t="shared" si="95"/>
        <v>833</v>
      </c>
      <c r="BJ32" s="393">
        <f t="shared" si="95"/>
        <v>838</v>
      </c>
      <c r="BK32" s="393">
        <f t="shared" ref="BK32:BP32" si="96">SUM(BK22:BK31)</f>
        <v>823</v>
      </c>
      <c r="BL32" s="393">
        <f t="shared" si="96"/>
        <v>834</v>
      </c>
      <c r="BM32" s="393">
        <f t="shared" si="96"/>
        <v>797</v>
      </c>
      <c r="BN32" s="823">
        <f t="shared" si="96"/>
        <v>823</v>
      </c>
      <c r="BO32" s="393">
        <f t="shared" si="96"/>
        <v>822</v>
      </c>
      <c r="BP32" s="393">
        <f t="shared" si="96"/>
        <v>850</v>
      </c>
      <c r="BQ32" s="393">
        <f>SUM(BQ22:BQ31)</f>
        <v>1099</v>
      </c>
      <c r="BR32" s="393">
        <f>SUM(BR22:BR31)</f>
        <v>1071</v>
      </c>
      <c r="BS32" s="823">
        <f>SUM(BS22:BS31)</f>
        <v>962</v>
      </c>
      <c r="BT32" s="641">
        <f>SUM(BT22:BT31)</f>
        <v>974</v>
      </c>
      <c r="BU32" s="767">
        <v>1000</v>
      </c>
      <c r="BV32" s="767">
        <v>1250</v>
      </c>
      <c r="BW32" s="767">
        <v>1000</v>
      </c>
      <c r="BX32" s="823">
        <f>SUM(BT32*BT$3,BU32*BU$3,BV32*BV$3,BW32*BW$3)/BX$3</f>
        <v>1056.6027397260275</v>
      </c>
      <c r="BY32" s="767">
        <v>1000</v>
      </c>
      <c r="BZ32" s="767">
        <v>1000</v>
      </c>
      <c r="CA32" s="767">
        <v>1000</v>
      </c>
      <c r="CB32" s="767">
        <v>1000</v>
      </c>
      <c r="CC32" s="823">
        <f>SUM(BY32*BY$3,BZ32*BZ$3,CA32*CA$3,CB32*CB$3)/CC$3</f>
        <v>1000</v>
      </c>
      <c r="CD32" s="829">
        <v>925</v>
      </c>
      <c r="CE32" s="829">
        <v>925</v>
      </c>
      <c r="CF32" s="829">
        <v>925</v>
      </c>
      <c r="CG32" s="26"/>
    </row>
    <row r="33" spans="1:85" s="429" customFormat="1" x14ac:dyDescent="0.3">
      <c r="A33" s="245" t="s">
        <v>34</v>
      </c>
      <c r="B33" s="246"/>
      <c r="C33" s="830">
        <v>484</v>
      </c>
      <c r="D33" s="830">
        <v>489</v>
      </c>
      <c r="E33" s="830">
        <v>465</v>
      </c>
      <c r="F33" s="830">
        <v>455</v>
      </c>
      <c r="G33" s="768">
        <v>455</v>
      </c>
      <c r="H33" s="768">
        <v>455</v>
      </c>
      <c r="I33" s="768">
        <v>448</v>
      </c>
      <c r="J33" s="768">
        <v>440</v>
      </c>
      <c r="K33" s="831">
        <f>SUM(G33*G$3,H33*H$3,I33*I$3,J33*J$3)/K$3</f>
        <v>449.45479452054792</v>
      </c>
      <c r="L33" s="768">
        <v>438</v>
      </c>
      <c r="M33" s="768">
        <v>460</v>
      </c>
      <c r="N33" s="768">
        <v>464</v>
      </c>
      <c r="O33" s="768">
        <v>462</v>
      </c>
      <c r="P33" s="831">
        <f>SUM(L33*L$3,M33*M$3,N33*N$3,O33*O$3)/P$3</f>
        <v>456.08767123287669</v>
      </c>
      <c r="Q33" s="768">
        <v>489</v>
      </c>
      <c r="R33" s="768">
        <v>511</v>
      </c>
      <c r="S33" s="768">
        <v>505</v>
      </c>
      <c r="T33" s="768">
        <v>499</v>
      </c>
      <c r="U33" s="831">
        <f>SUM(Q33*Q$3,R33*R$3,S33*S$3,T33*T$3)/U$3</f>
        <v>501.03835616438357</v>
      </c>
      <c r="V33" s="768">
        <v>490</v>
      </c>
      <c r="W33" s="768">
        <v>501</v>
      </c>
      <c r="X33" s="768">
        <v>519</v>
      </c>
      <c r="Y33" s="768">
        <v>508</v>
      </c>
      <c r="Z33" s="830">
        <v>504</v>
      </c>
      <c r="AA33" s="768">
        <v>504</v>
      </c>
      <c r="AB33" s="768">
        <v>530</v>
      </c>
      <c r="AC33" s="768">
        <v>525</v>
      </c>
      <c r="AD33" s="768">
        <v>518</v>
      </c>
      <c r="AE33" s="830">
        <v>519</v>
      </c>
      <c r="AF33" s="768">
        <v>567</v>
      </c>
      <c r="AG33" s="768">
        <v>575</v>
      </c>
      <c r="AH33" s="768">
        <v>654</v>
      </c>
      <c r="AI33" s="768">
        <v>674</v>
      </c>
      <c r="AJ33" s="830">
        <v>618</v>
      </c>
      <c r="AK33" s="768">
        <v>690</v>
      </c>
      <c r="AL33" s="768">
        <v>710</v>
      </c>
      <c r="AM33" s="768">
        <v>726</v>
      </c>
      <c r="AN33" s="768">
        <v>771</v>
      </c>
      <c r="AO33" s="830">
        <v>724</v>
      </c>
      <c r="AP33" s="768">
        <v>803</v>
      </c>
      <c r="AQ33" s="768">
        <v>747</v>
      </c>
      <c r="AR33" s="768">
        <v>731</v>
      </c>
      <c r="AS33" s="768">
        <v>880</v>
      </c>
      <c r="AT33" s="830">
        <v>790</v>
      </c>
      <c r="AU33" s="768">
        <v>802</v>
      </c>
      <c r="AV33" s="768">
        <v>857</v>
      </c>
      <c r="AW33" s="768">
        <v>842</v>
      </c>
      <c r="AX33" s="768">
        <v>929</v>
      </c>
      <c r="AY33" s="830">
        <v>858</v>
      </c>
      <c r="AZ33" s="768">
        <v>880</v>
      </c>
      <c r="BA33" s="768">
        <v>888</v>
      </c>
      <c r="BB33" s="768">
        <v>891</v>
      </c>
      <c r="BC33" s="768">
        <v>895</v>
      </c>
      <c r="BD33" s="830">
        <v>888</v>
      </c>
      <c r="BE33" s="768">
        <v>877</v>
      </c>
      <c r="BF33" s="768">
        <v>916</v>
      </c>
      <c r="BG33" s="768">
        <v>1028</v>
      </c>
      <c r="BH33" s="768">
        <v>1164</v>
      </c>
      <c r="BI33" s="830">
        <v>997</v>
      </c>
      <c r="BJ33" s="768">
        <v>1130</v>
      </c>
      <c r="BK33" s="768">
        <v>1132</v>
      </c>
      <c r="BL33" s="768">
        <v>1156</v>
      </c>
      <c r="BM33" s="768">
        <v>1189</v>
      </c>
      <c r="BN33" s="830">
        <v>1152</v>
      </c>
      <c r="BO33" s="768">
        <v>1159</v>
      </c>
      <c r="BP33" s="768">
        <v>1218</v>
      </c>
      <c r="BQ33" s="768">
        <v>1496</v>
      </c>
      <c r="BR33" s="768">
        <v>1488</v>
      </c>
      <c r="BS33" s="830">
        <v>1341</v>
      </c>
      <c r="BT33" s="769">
        <v>1461</v>
      </c>
      <c r="BU33" s="768">
        <v>1500</v>
      </c>
      <c r="BV33" s="768">
        <v>1500</v>
      </c>
      <c r="BW33" s="768">
        <v>1500</v>
      </c>
      <c r="BX33" s="831">
        <f>SUM(BT33*BT$3,BU33*BU$3,BV33*BV$3,BW33*BW$3)/BX$3</f>
        <v>1490.3835616438357</v>
      </c>
      <c r="BY33" s="768">
        <v>1500</v>
      </c>
      <c r="BZ33" s="768">
        <v>1500</v>
      </c>
      <c r="CA33" s="768">
        <v>1500</v>
      </c>
      <c r="CB33" s="768">
        <v>1500</v>
      </c>
      <c r="CC33" s="831">
        <f>SUM(BY33*BY$3,BZ33*BZ$3,CA33*CA$3,CB33*CB$3)/CC$3</f>
        <v>1500</v>
      </c>
      <c r="CD33" s="830">
        <v>1325</v>
      </c>
      <c r="CE33" s="830">
        <v>1325</v>
      </c>
      <c r="CF33" s="830">
        <v>1325</v>
      </c>
      <c r="CG33" s="26"/>
    </row>
    <row r="34" spans="1:85" s="429" customFormat="1" x14ac:dyDescent="0.3">
      <c r="A34" s="36" t="s">
        <v>35</v>
      </c>
      <c r="B34" s="90"/>
      <c r="C34" s="823">
        <f t="shared" ref="C34:AH34" si="97">SUM(C32:C33)</f>
        <v>1569</v>
      </c>
      <c r="D34" s="823">
        <f t="shared" si="97"/>
        <v>1617</v>
      </c>
      <c r="E34" s="823">
        <f t="shared" si="97"/>
        <v>1545</v>
      </c>
      <c r="F34" s="823">
        <f t="shared" si="97"/>
        <v>1464</v>
      </c>
      <c r="G34" s="393">
        <f t="shared" si="97"/>
        <v>1760</v>
      </c>
      <c r="H34" s="393">
        <f t="shared" si="97"/>
        <v>1713</v>
      </c>
      <c r="I34" s="393">
        <f t="shared" si="97"/>
        <v>1727</v>
      </c>
      <c r="J34" s="393">
        <f t="shared" si="97"/>
        <v>1726</v>
      </c>
      <c r="K34" s="823">
        <f t="shared" si="97"/>
        <v>1731.3945205479451</v>
      </c>
      <c r="L34" s="393">
        <f t="shared" si="97"/>
        <v>1713</v>
      </c>
      <c r="M34" s="393">
        <f t="shared" si="97"/>
        <v>1694</v>
      </c>
      <c r="N34" s="393">
        <f t="shared" si="97"/>
        <v>1699</v>
      </c>
      <c r="O34" s="393">
        <f t="shared" si="97"/>
        <v>1732</v>
      </c>
      <c r="P34" s="823">
        <f t="shared" si="97"/>
        <v>1709.5232876712325</v>
      </c>
      <c r="Q34" s="393">
        <f t="shared" si="97"/>
        <v>1801</v>
      </c>
      <c r="R34" s="393">
        <f t="shared" si="97"/>
        <v>1722</v>
      </c>
      <c r="S34" s="393">
        <f t="shared" si="97"/>
        <v>1678</v>
      </c>
      <c r="T34" s="393">
        <f t="shared" si="97"/>
        <v>1775</v>
      </c>
      <c r="U34" s="823">
        <f t="shared" si="97"/>
        <v>1743.7479452054795</v>
      </c>
      <c r="V34" s="393">
        <f t="shared" si="97"/>
        <v>1781</v>
      </c>
      <c r="W34" s="393">
        <f t="shared" si="97"/>
        <v>1689</v>
      </c>
      <c r="X34" s="393">
        <f t="shared" si="97"/>
        <v>1661</v>
      </c>
      <c r="Y34" s="393">
        <f t="shared" si="97"/>
        <v>1745</v>
      </c>
      <c r="Z34" s="823">
        <f t="shared" si="97"/>
        <v>1719</v>
      </c>
      <c r="AA34" s="393">
        <f t="shared" si="97"/>
        <v>1708</v>
      </c>
      <c r="AB34" s="393">
        <f t="shared" si="97"/>
        <v>1751</v>
      </c>
      <c r="AC34" s="393">
        <f t="shared" si="97"/>
        <v>1719</v>
      </c>
      <c r="AD34" s="393">
        <f t="shared" si="97"/>
        <v>1713</v>
      </c>
      <c r="AE34" s="823">
        <f t="shared" si="97"/>
        <v>1723</v>
      </c>
      <c r="AF34" s="393">
        <f t="shared" si="97"/>
        <v>1753</v>
      </c>
      <c r="AG34" s="393">
        <f t="shared" si="97"/>
        <v>1723</v>
      </c>
      <c r="AH34" s="393">
        <f t="shared" si="97"/>
        <v>1787</v>
      </c>
      <c r="AI34" s="393">
        <f t="shared" ref="AI34:AQ34" si="98">SUM(AI32:AI33)</f>
        <v>1862</v>
      </c>
      <c r="AJ34" s="823">
        <f t="shared" si="98"/>
        <v>1782</v>
      </c>
      <c r="AK34" s="393">
        <f t="shared" si="98"/>
        <v>1875</v>
      </c>
      <c r="AL34" s="393">
        <f t="shared" si="98"/>
        <v>1863</v>
      </c>
      <c r="AM34" s="393">
        <f t="shared" si="98"/>
        <v>1830</v>
      </c>
      <c r="AN34" s="393">
        <f t="shared" si="98"/>
        <v>1893</v>
      </c>
      <c r="AO34" s="823">
        <f t="shared" si="98"/>
        <v>1865</v>
      </c>
      <c r="AP34" s="393">
        <f t="shared" si="98"/>
        <v>1966</v>
      </c>
      <c r="AQ34" s="393">
        <f t="shared" si="98"/>
        <v>1824</v>
      </c>
      <c r="AR34" s="393">
        <f>SUM(AR32:AR33)</f>
        <v>1707</v>
      </c>
      <c r="AS34" s="393">
        <f t="shared" ref="AS34:AU34" si="99">SUM(AS32:AS33)</f>
        <v>1978</v>
      </c>
      <c r="AT34" s="823">
        <f t="shared" si="99"/>
        <v>1868</v>
      </c>
      <c r="AU34" s="393">
        <f t="shared" si="99"/>
        <v>1826</v>
      </c>
      <c r="AV34" s="393">
        <f t="shared" ref="AV34:BA34" si="100">SUM(AV32:AV33)</f>
        <v>1847</v>
      </c>
      <c r="AW34" s="393">
        <f t="shared" si="100"/>
        <v>1757</v>
      </c>
      <c r="AX34" s="393">
        <f t="shared" si="100"/>
        <v>1828</v>
      </c>
      <c r="AY34" s="823">
        <f t="shared" si="100"/>
        <v>1814</v>
      </c>
      <c r="AZ34" s="393">
        <f t="shared" si="100"/>
        <v>1736</v>
      </c>
      <c r="BA34" s="393">
        <f t="shared" si="100"/>
        <v>1687</v>
      </c>
      <c r="BB34" s="393">
        <f t="shared" ref="BB34:BD34" si="101">SUM(BB32:BB33)</f>
        <v>1707</v>
      </c>
      <c r="BC34" s="393">
        <f t="shared" si="101"/>
        <v>1747</v>
      </c>
      <c r="BD34" s="823">
        <f t="shared" si="101"/>
        <v>1720</v>
      </c>
      <c r="BE34" s="393">
        <f t="shared" ref="BE34:BI34" si="102">SUM(BE32:BE33)</f>
        <v>1726</v>
      </c>
      <c r="BF34" s="393">
        <f t="shared" si="102"/>
        <v>1743</v>
      </c>
      <c r="BG34" s="393">
        <f t="shared" si="102"/>
        <v>1831</v>
      </c>
      <c r="BH34" s="31">
        <f t="shared" si="102"/>
        <v>2015</v>
      </c>
      <c r="BI34" s="825">
        <f t="shared" si="102"/>
        <v>1830</v>
      </c>
      <c r="BJ34" s="393">
        <f t="shared" ref="BJ34:BX34" si="103">SUM(BJ32:BJ33)</f>
        <v>1968</v>
      </c>
      <c r="BK34" s="393">
        <f t="shared" si="103"/>
        <v>1955</v>
      </c>
      <c r="BL34" s="393">
        <f t="shared" si="103"/>
        <v>1990</v>
      </c>
      <c r="BM34" s="31">
        <f t="shared" si="103"/>
        <v>1986</v>
      </c>
      <c r="BN34" s="825">
        <f t="shared" si="103"/>
        <v>1975</v>
      </c>
      <c r="BO34" s="393">
        <f t="shared" ref="BO34:BW34" si="104">SUM(BO32:BO33)</f>
        <v>1981</v>
      </c>
      <c r="BP34" s="393">
        <f t="shared" si="104"/>
        <v>2068</v>
      </c>
      <c r="BQ34" s="393">
        <f t="shared" si="104"/>
        <v>2595</v>
      </c>
      <c r="BR34" s="31">
        <f t="shared" si="104"/>
        <v>2559</v>
      </c>
      <c r="BS34" s="825">
        <f t="shared" si="104"/>
        <v>2303</v>
      </c>
      <c r="BT34" s="641">
        <f>SUM(BT32:BT33)</f>
        <v>2435</v>
      </c>
      <c r="BU34" s="393">
        <f t="shared" si="104"/>
        <v>2500</v>
      </c>
      <c r="BV34" s="393">
        <f t="shared" si="104"/>
        <v>2750</v>
      </c>
      <c r="BW34" s="393">
        <f t="shared" si="104"/>
        <v>2500</v>
      </c>
      <c r="BX34" s="823">
        <f t="shared" si="103"/>
        <v>2546.9863013698632</v>
      </c>
      <c r="BY34" s="393">
        <f t="shared" ref="BY34:CF34" si="105">SUM(BY32:BY33)</f>
        <v>2500</v>
      </c>
      <c r="BZ34" s="393">
        <f t="shared" si="105"/>
        <v>2500</v>
      </c>
      <c r="CA34" s="393">
        <f t="shared" si="105"/>
        <v>2500</v>
      </c>
      <c r="CB34" s="393">
        <f t="shared" si="105"/>
        <v>2500</v>
      </c>
      <c r="CC34" s="823">
        <f t="shared" si="105"/>
        <v>2500</v>
      </c>
      <c r="CD34" s="823">
        <f t="shared" si="105"/>
        <v>2250</v>
      </c>
      <c r="CE34" s="823">
        <f t="shared" si="105"/>
        <v>2250</v>
      </c>
      <c r="CF34" s="823">
        <f t="shared" si="105"/>
        <v>2250</v>
      </c>
      <c r="CG34" s="26"/>
    </row>
    <row r="35" spans="1:85" s="428" customFormat="1" hidden="1" outlineLevel="1" x14ac:dyDescent="0.3">
      <c r="A35" s="109" t="s">
        <v>694</v>
      </c>
      <c r="B35" s="64"/>
      <c r="C35" s="821"/>
      <c r="D35" s="821"/>
      <c r="E35" s="821"/>
      <c r="F35" s="821"/>
      <c r="G35" s="37"/>
      <c r="H35" s="37"/>
      <c r="I35" s="37"/>
      <c r="J35" s="37"/>
      <c r="K35" s="821"/>
      <c r="L35" s="37"/>
      <c r="M35" s="37"/>
      <c r="N35" s="37"/>
      <c r="O35" s="37"/>
      <c r="P35" s="821"/>
      <c r="Q35" s="37"/>
      <c r="R35" s="37"/>
      <c r="S35" s="37"/>
      <c r="T35" s="37"/>
      <c r="U35" s="821"/>
      <c r="V35" s="37"/>
      <c r="W35" s="37"/>
      <c r="X35" s="37"/>
      <c r="Y35" s="37"/>
      <c r="Z35" s="821"/>
      <c r="AA35" s="37"/>
      <c r="AB35" s="37"/>
      <c r="AC35" s="37"/>
      <c r="AD35" s="37"/>
      <c r="AE35" s="821"/>
      <c r="AF35" s="37"/>
      <c r="AG35" s="37"/>
      <c r="AH35" s="37"/>
      <c r="AI35" s="37"/>
      <c r="AJ35" s="821"/>
      <c r="AK35" s="37"/>
      <c r="AL35" s="37"/>
      <c r="AM35" s="37"/>
      <c r="AN35" s="37"/>
      <c r="AO35" s="821"/>
      <c r="AP35" s="37"/>
      <c r="AQ35" s="37"/>
      <c r="AR35" s="37"/>
      <c r="AS35" s="37"/>
      <c r="AT35" s="821"/>
      <c r="AU35" s="37"/>
      <c r="AV35" s="37"/>
      <c r="AW35" s="37"/>
      <c r="AX35" s="37"/>
      <c r="AY35" s="821"/>
      <c r="AZ35" s="763">
        <v>281</v>
      </c>
      <c r="BA35" s="763">
        <v>224</v>
      </c>
      <c r="BB35" s="763">
        <v>271</v>
      </c>
      <c r="BC35" s="763">
        <v>260</v>
      </c>
      <c r="BD35" s="827">
        <v>259</v>
      </c>
      <c r="BE35" s="763">
        <v>300</v>
      </c>
      <c r="BF35" s="763">
        <v>290</v>
      </c>
      <c r="BG35" s="763">
        <v>284</v>
      </c>
      <c r="BH35" s="763">
        <v>261</v>
      </c>
      <c r="BI35" s="827">
        <v>284</v>
      </c>
      <c r="BJ35" s="763">
        <v>247</v>
      </c>
      <c r="BK35" s="763">
        <v>293</v>
      </c>
      <c r="BL35" s="763">
        <v>310</v>
      </c>
      <c r="BM35" s="763">
        <v>296</v>
      </c>
      <c r="BN35" s="827">
        <v>287</v>
      </c>
      <c r="BO35" s="763">
        <v>315</v>
      </c>
      <c r="BP35" s="763">
        <v>315</v>
      </c>
      <c r="BQ35" s="763">
        <v>397</v>
      </c>
      <c r="BR35" s="763">
        <v>377</v>
      </c>
      <c r="BS35" s="827">
        <v>351</v>
      </c>
      <c r="BT35" s="764">
        <v>362</v>
      </c>
      <c r="BU35" s="37"/>
      <c r="BV35" s="37"/>
      <c r="BW35" s="37"/>
      <c r="BX35" s="821"/>
      <c r="BY35" s="37"/>
      <c r="BZ35" s="37"/>
      <c r="CA35" s="37"/>
      <c r="CB35" s="37"/>
      <c r="CC35" s="821"/>
      <c r="CD35" s="821"/>
      <c r="CE35" s="821"/>
      <c r="CF35" s="821"/>
      <c r="CG35" s="22"/>
    </row>
    <row r="36" spans="1:85" s="428" customFormat="1" hidden="1" outlineLevel="1" x14ac:dyDescent="0.3">
      <c r="A36" s="109" t="s">
        <v>36</v>
      </c>
      <c r="B36" s="64"/>
      <c r="C36" s="827">
        <v>434</v>
      </c>
      <c r="D36" s="827">
        <v>458</v>
      </c>
      <c r="E36" s="827">
        <v>448</v>
      </c>
      <c r="F36" s="827">
        <v>428</v>
      </c>
      <c r="G36" s="763">
        <v>433</v>
      </c>
      <c r="H36" s="763">
        <v>391</v>
      </c>
      <c r="I36" s="763">
        <v>450</v>
      </c>
      <c r="J36" s="763">
        <v>410</v>
      </c>
      <c r="K36" s="821">
        <f>SUM(G36*G$3,H36*H$3,I36*I$3,J36*J$3)/K$3</f>
        <v>421.01643835616437</v>
      </c>
      <c r="L36" s="763">
        <v>434</v>
      </c>
      <c r="M36" s="763">
        <v>423</v>
      </c>
      <c r="N36" s="763">
        <v>479</v>
      </c>
      <c r="O36" s="763">
        <v>430</v>
      </c>
      <c r="P36" s="821">
        <f>SUM(L36*L$3,M36*M$3,N36*N$3,O36*O$3)/P$3</f>
        <v>441.59178082191778</v>
      </c>
      <c r="Q36" s="763">
        <v>457</v>
      </c>
      <c r="R36" s="763">
        <v>396</v>
      </c>
      <c r="S36" s="763">
        <v>446</v>
      </c>
      <c r="T36" s="763">
        <v>457</v>
      </c>
      <c r="U36" s="821">
        <f>SUM(Q36*Q$3,R36*R$3,S36*S$3,T36*T$3)/U$3</f>
        <v>439.01917808219179</v>
      </c>
      <c r="V36" s="763">
        <v>474</v>
      </c>
      <c r="W36" s="763">
        <v>409</v>
      </c>
      <c r="X36" s="763">
        <v>721</v>
      </c>
      <c r="Y36" s="763">
        <v>854</v>
      </c>
      <c r="Z36" s="827">
        <v>615</v>
      </c>
      <c r="AA36" s="763">
        <v>1061</v>
      </c>
      <c r="AB36" s="763">
        <v>1316</v>
      </c>
      <c r="AC36" s="763">
        <v>1551</v>
      </c>
      <c r="AD36" s="763">
        <v>1552</v>
      </c>
      <c r="AE36" s="827">
        <v>1372</v>
      </c>
      <c r="AF36" s="763">
        <v>1973</v>
      </c>
      <c r="AG36" s="763">
        <v>2012</v>
      </c>
      <c r="AH36" s="763">
        <v>2578</v>
      </c>
      <c r="AI36" s="763">
        <v>2643</v>
      </c>
      <c r="AJ36" s="827">
        <v>2304</v>
      </c>
      <c r="AK36" s="763">
        <v>2202</v>
      </c>
      <c r="AL36" s="763">
        <v>2661</v>
      </c>
      <c r="AM36" s="763">
        <v>2644</v>
      </c>
      <c r="AN36" s="763">
        <v>2331</v>
      </c>
      <c r="AO36" s="827">
        <v>2460</v>
      </c>
      <c r="AP36" s="763">
        <v>2588</v>
      </c>
      <c r="AQ36" s="763">
        <v>2470</v>
      </c>
      <c r="AR36" s="763">
        <v>2239</v>
      </c>
      <c r="AS36" s="763">
        <v>2276</v>
      </c>
      <c r="AT36" s="827">
        <v>2392</v>
      </c>
      <c r="AU36" s="763">
        <v>2344</v>
      </c>
      <c r="AV36" s="763">
        <v>2240</v>
      </c>
      <c r="AW36" s="763">
        <v>2614</v>
      </c>
      <c r="AX36" s="763">
        <v>2534</v>
      </c>
      <c r="AY36" s="827">
        <v>2434</v>
      </c>
      <c r="AZ36" s="763">
        <v>2560</v>
      </c>
      <c r="BA36" s="763">
        <v>2411</v>
      </c>
      <c r="BB36" s="763">
        <v>2849</v>
      </c>
      <c r="BC36" s="763">
        <v>2748</v>
      </c>
      <c r="BD36" s="827">
        <v>2643</v>
      </c>
      <c r="BE36" s="763">
        <v>2697</v>
      </c>
      <c r="BF36" s="763">
        <v>2632</v>
      </c>
      <c r="BG36" s="763">
        <v>2676</v>
      </c>
      <c r="BH36" s="763">
        <v>2709</v>
      </c>
      <c r="BI36" s="827">
        <v>2678</v>
      </c>
      <c r="BJ36" s="763">
        <v>2715</v>
      </c>
      <c r="BK36" s="763">
        <v>2542</v>
      </c>
      <c r="BL36" s="763">
        <v>2607</v>
      </c>
      <c r="BM36" s="763">
        <v>2635</v>
      </c>
      <c r="BN36" s="827">
        <v>2625</v>
      </c>
      <c r="BO36" s="763">
        <v>2562</v>
      </c>
      <c r="BP36" s="763">
        <v>2510</v>
      </c>
      <c r="BQ36" s="763">
        <v>2650</v>
      </c>
      <c r="BR36" s="763">
        <v>2697</v>
      </c>
      <c r="BS36" s="827">
        <v>2605</v>
      </c>
      <c r="BT36" s="764">
        <v>2523</v>
      </c>
      <c r="BU36" s="37"/>
      <c r="BV36" s="37"/>
      <c r="BW36" s="37"/>
      <c r="BX36" s="821"/>
      <c r="BY36" s="37"/>
      <c r="BZ36" s="37"/>
      <c r="CA36" s="37"/>
      <c r="CB36" s="37"/>
      <c r="CC36" s="821"/>
      <c r="CD36" s="821"/>
      <c r="CE36" s="821"/>
      <c r="CF36" s="821"/>
      <c r="CG36" s="22"/>
    </row>
    <row r="37" spans="1:85" s="428" customFormat="1" hidden="1" outlineLevel="1" x14ac:dyDescent="0.3">
      <c r="A37" s="109" t="s">
        <v>37</v>
      </c>
      <c r="B37" s="64"/>
      <c r="C37" s="827">
        <v>387</v>
      </c>
      <c r="D37" s="827">
        <v>404</v>
      </c>
      <c r="E37" s="827">
        <v>434</v>
      </c>
      <c r="F37" s="827">
        <v>550</v>
      </c>
      <c r="G37" s="763">
        <v>658</v>
      </c>
      <c r="H37" s="763">
        <v>684</v>
      </c>
      <c r="I37" s="763">
        <v>675</v>
      </c>
      <c r="J37" s="763">
        <v>634</v>
      </c>
      <c r="K37" s="821">
        <f>SUM(G37*G$3,H37*H$3,I37*I$3,J37*J$3)/K$3</f>
        <v>662.7178082191781</v>
      </c>
      <c r="L37" s="763">
        <v>649</v>
      </c>
      <c r="M37" s="763">
        <v>593</v>
      </c>
      <c r="N37" s="763">
        <v>651</v>
      </c>
      <c r="O37" s="763">
        <v>679</v>
      </c>
      <c r="P37" s="821">
        <f>SUM(L37*L$3,M37*M$3,N37*N$3,O37*O$3)/P$3</f>
        <v>643.10410958904106</v>
      </c>
      <c r="Q37" s="763">
        <v>742</v>
      </c>
      <c r="R37" s="763">
        <v>738</v>
      </c>
      <c r="S37" s="763">
        <v>660</v>
      </c>
      <c r="T37" s="763">
        <v>742</v>
      </c>
      <c r="U37" s="821">
        <f>SUM(Q37*Q$3,R37*R$3,S37*S$3,T37*T$3)/U$3</f>
        <v>720.33424657534249</v>
      </c>
      <c r="V37" s="763">
        <v>694</v>
      </c>
      <c r="W37" s="763">
        <v>647</v>
      </c>
      <c r="X37" s="763">
        <v>620</v>
      </c>
      <c r="Y37" s="763">
        <v>673</v>
      </c>
      <c r="Z37" s="827">
        <v>658</v>
      </c>
      <c r="AA37" s="763">
        <v>660</v>
      </c>
      <c r="AB37" s="763">
        <v>623</v>
      </c>
      <c r="AC37" s="763">
        <v>639</v>
      </c>
      <c r="AD37" s="763">
        <v>644</v>
      </c>
      <c r="AE37" s="827">
        <v>642</v>
      </c>
      <c r="AF37" s="763">
        <v>646</v>
      </c>
      <c r="AG37" s="763">
        <v>641</v>
      </c>
      <c r="AH37" s="763">
        <v>649</v>
      </c>
      <c r="AI37" s="763">
        <v>657</v>
      </c>
      <c r="AJ37" s="827">
        <v>648</v>
      </c>
      <c r="AK37" s="763">
        <v>637</v>
      </c>
      <c r="AL37" s="763">
        <v>634</v>
      </c>
      <c r="AM37" s="763">
        <v>636</v>
      </c>
      <c r="AN37" s="763">
        <v>646</v>
      </c>
      <c r="AO37" s="827">
        <v>638</v>
      </c>
      <c r="AP37" s="763">
        <v>644</v>
      </c>
      <c r="AQ37" s="763">
        <v>543</v>
      </c>
      <c r="AR37" s="763">
        <v>631</v>
      </c>
      <c r="AS37" s="763">
        <v>670</v>
      </c>
      <c r="AT37" s="827">
        <v>622</v>
      </c>
      <c r="AU37" s="763">
        <v>678</v>
      </c>
      <c r="AV37" s="763">
        <v>667</v>
      </c>
      <c r="AW37" s="763">
        <v>583</v>
      </c>
      <c r="AX37" s="763">
        <v>691</v>
      </c>
      <c r="AY37" s="827">
        <v>655</v>
      </c>
      <c r="AZ37" s="763">
        <v>675</v>
      </c>
      <c r="BA37" s="763">
        <v>635</v>
      </c>
      <c r="BB37" s="763">
        <v>841</v>
      </c>
      <c r="BC37" s="763">
        <v>633</v>
      </c>
      <c r="BD37" s="827">
        <v>696</v>
      </c>
      <c r="BE37" s="763">
        <v>598</v>
      </c>
      <c r="BF37" s="763">
        <v>580</v>
      </c>
      <c r="BG37" s="763">
        <v>624</v>
      </c>
      <c r="BH37" s="763">
        <v>640</v>
      </c>
      <c r="BI37" s="827">
        <v>610</v>
      </c>
      <c r="BJ37" s="763">
        <v>612</v>
      </c>
      <c r="BK37" s="763">
        <v>575</v>
      </c>
      <c r="BL37" s="763">
        <v>592</v>
      </c>
      <c r="BM37" s="763">
        <v>529</v>
      </c>
      <c r="BN37" s="827">
        <v>577</v>
      </c>
      <c r="BO37" s="763">
        <v>510</v>
      </c>
      <c r="BP37" s="763">
        <v>476</v>
      </c>
      <c r="BQ37" s="763">
        <v>519</v>
      </c>
      <c r="BR37" s="763">
        <v>471</v>
      </c>
      <c r="BS37" s="827">
        <v>494</v>
      </c>
      <c r="BT37" s="764">
        <v>424</v>
      </c>
      <c r="BU37" s="37"/>
      <c r="BV37" s="37"/>
      <c r="BW37" s="37"/>
      <c r="BX37" s="821"/>
      <c r="BY37" s="37"/>
      <c r="BZ37" s="37"/>
      <c r="CA37" s="37"/>
      <c r="CB37" s="37"/>
      <c r="CC37" s="821"/>
      <c r="CD37" s="821"/>
      <c r="CE37" s="821"/>
      <c r="CF37" s="821"/>
      <c r="CG37" s="22"/>
    </row>
    <row r="38" spans="1:85" s="428" customFormat="1" hidden="1" outlineLevel="1" x14ac:dyDescent="0.3">
      <c r="A38" s="109" t="s">
        <v>597</v>
      </c>
      <c r="B38" s="64"/>
      <c r="C38" s="821"/>
      <c r="D38" s="821"/>
      <c r="E38" s="821"/>
      <c r="F38" s="821"/>
      <c r="G38" s="37"/>
      <c r="H38" s="37"/>
      <c r="I38" s="37"/>
      <c r="J38" s="37"/>
      <c r="K38" s="821"/>
      <c r="L38" s="37"/>
      <c r="M38" s="37"/>
      <c r="N38" s="37"/>
      <c r="O38" s="37"/>
      <c r="P38" s="821"/>
      <c r="Q38" s="37"/>
      <c r="R38" s="37"/>
      <c r="S38" s="37"/>
      <c r="T38" s="37"/>
      <c r="U38" s="821"/>
      <c r="V38" s="37"/>
      <c r="W38" s="37"/>
      <c r="X38" s="37"/>
      <c r="Y38" s="37"/>
      <c r="Z38" s="821"/>
      <c r="AA38" s="37"/>
      <c r="AB38" s="37"/>
      <c r="AC38" s="37"/>
      <c r="AD38" s="37"/>
      <c r="AE38" s="821"/>
      <c r="AF38" s="37"/>
      <c r="AG38" s="37"/>
      <c r="AH38" s="37"/>
      <c r="AI38" s="37"/>
      <c r="AJ38" s="821"/>
      <c r="AK38" s="37"/>
      <c r="AL38" s="37"/>
      <c r="AM38" s="37"/>
      <c r="AN38" s="37"/>
      <c r="AO38" s="821"/>
      <c r="AP38" s="763">
        <v>115</v>
      </c>
      <c r="AQ38" s="763">
        <v>127</v>
      </c>
      <c r="AR38" s="763">
        <v>126</v>
      </c>
      <c r="AS38" s="763">
        <v>135</v>
      </c>
      <c r="AT38" s="827">
        <v>126</v>
      </c>
      <c r="AU38" s="763">
        <v>149</v>
      </c>
      <c r="AV38" s="763">
        <v>149</v>
      </c>
      <c r="AW38" s="763">
        <v>149</v>
      </c>
      <c r="AX38" s="763">
        <v>152</v>
      </c>
      <c r="AY38" s="827">
        <v>150</v>
      </c>
      <c r="AZ38" s="763">
        <v>141</v>
      </c>
      <c r="BA38" s="763">
        <v>135</v>
      </c>
      <c r="BB38" s="763">
        <v>137</v>
      </c>
      <c r="BC38" s="763">
        <v>126</v>
      </c>
      <c r="BD38" s="827">
        <v>135</v>
      </c>
      <c r="BE38" s="763">
        <v>125</v>
      </c>
      <c r="BF38" s="763">
        <v>72</v>
      </c>
      <c r="BG38" s="763">
        <v>109</v>
      </c>
      <c r="BH38" s="763">
        <v>132</v>
      </c>
      <c r="BI38" s="827">
        <v>110</v>
      </c>
      <c r="BJ38" s="763">
        <v>127</v>
      </c>
      <c r="BK38" s="763">
        <v>134</v>
      </c>
      <c r="BL38" s="763">
        <v>147</v>
      </c>
      <c r="BM38" s="763">
        <v>115</v>
      </c>
      <c r="BN38" s="827">
        <v>131</v>
      </c>
      <c r="BO38" s="763">
        <v>10</v>
      </c>
      <c r="BP38" s="763">
        <v>10</v>
      </c>
      <c r="BQ38" s="763">
        <v>10</v>
      </c>
      <c r="BR38" s="763">
        <v>9</v>
      </c>
      <c r="BS38" s="827">
        <v>10</v>
      </c>
      <c r="BT38" s="764">
        <v>10</v>
      </c>
      <c r="BU38" s="37"/>
      <c r="BV38" s="37"/>
      <c r="BW38" s="37"/>
      <c r="BX38" s="821"/>
      <c r="BY38" s="37"/>
      <c r="BZ38" s="37"/>
      <c r="CA38" s="37"/>
      <c r="CB38" s="37"/>
      <c r="CC38" s="821"/>
      <c r="CD38" s="821"/>
      <c r="CE38" s="821"/>
      <c r="CF38" s="821"/>
      <c r="CG38" s="22"/>
    </row>
    <row r="39" spans="1:85" s="428" customFormat="1" hidden="1" outlineLevel="1" x14ac:dyDescent="0.3">
      <c r="A39" s="109" t="s">
        <v>1662</v>
      </c>
      <c r="B39" s="64"/>
      <c r="C39" s="821"/>
      <c r="D39" s="821"/>
      <c r="E39" s="821"/>
      <c r="F39" s="821"/>
      <c r="G39" s="37"/>
      <c r="H39" s="37"/>
      <c r="I39" s="37"/>
      <c r="J39" s="37"/>
      <c r="K39" s="821"/>
      <c r="L39" s="37"/>
      <c r="M39" s="37"/>
      <c r="N39" s="37"/>
      <c r="O39" s="37"/>
      <c r="P39" s="821"/>
      <c r="Q39" s="37"/>
      <c r="R39" s="37"/>
      <c r="S39" s="37"/>
      <c r="T39" s="37"/>
      <c r="U39" s="821"/>
      <c r="V39" s="37"/>
      <c r="W39" s="37"/>
      <c r="X39" s="37"/>
      <c r="Y39" s="37"/>
      <c r="Z39" s="821"/>
      <c r="AA39" s="37"/>
      <c r="AB39" s="37"/>
      <c r="AC39" s="37"/>
      <c r="AD39" s="37"/>
      <c r="AE39" s="821"/>
      <c r="AF39" s="37"/>
      <c r="AG39" s="37"/>
      <c r="AH39" s="37"/>
      <c r="AI39" s="37"/>
      <c r="AJ39" s="821"/>
      <c r="AK39" s="37"/>
      <c r="AL39" s="37"/>
      <c r="AM39" s="37"/>
      <c r="AN39" s="37"/>
      <c r="AO39" s="821"/>
      <c r="AP39" s="37"/>
      <c r="AQ39" s="37"/>
      <c r="AR39" s="37"/>
      <c r="AS39" s="37"/>
      <c r="AT39" s="821"/>
      <c r="AU39" s="37"/>
      <c r="AV39" s="37"/>
      <c r="AW39" s="37"/>
      <c r="AX39" s="37"/>
      <c r="AY39" s="821"/>
      <c r="AZ39" s="37"/>
      <c r="BA39" s="37"/>
      <c r="BB39" s="37"/>
      <c r="BC39" s="37"/>
      <c r="BD39" s="821"/>
      <c r="BE39" s="37"/>
      <c r="BF39" s="37"/>
      <c r="BG39" s="37"/>
      <c r="BH39" s="37"/>
      <c r="BI39" s="821"/>
      <c r="BJ39" s="37"/>
      <c r="BK39" s="37"/>
      <c r="BL39" s="37"/>
      <c r="BM39" s="37"/>
      <c r="BN39" s="821"/>
      <c r="BO39" s="37"/>
      <c r="BP39" s="37"/>
      <c r="BQ39" s="763">
        <v>18</v>
      </c>
      <c r="BR39" s="763">
        <v>21</v>
      </c>
      <c r="BS39" s="827">
        <v>10</v>
      </c>
      <c r="BT39" s="764">
        <v>24</v>
      </c>
      <c r="BU39" s="37"/>
      <c r="BV39" s="37"/>
      <c r="BW39" s="37"/>
      <c r="BX39" s="821"/>
      <c r="BY39" s="37"/>
      <c r="BZ39" s="37"/>
      <c r="CA39" s="37"/>
      <c r="CB39" s="37"/>
      <c r="CC39" s="821"/>
      <c r="CD39" s="821"/>
      <c r="CE39" s="821"/>
      <c r="CF39" s="821"/>
      <c r="CG39" s="22"/>
    </row>
    <row r="40" spans="1:85" s="428" customFormat="1" hidden="1" outlineLevel="1" x14ac:dyDescent="0.3">
      <c r="A40" s="109" t="s">
        <v>38</v>
      </c>
      <c r="B40" s="64"/>
      <c r="C40" s="827">
        <v>383</v>
      </c>
      <c r="D40" s="827">
        <v>346</v>
      </c>
      <c r="E40" s="827">
        <v>278</v>
      </c>
      <c r="F40" s="827">
        <v>239</v>
      </c>
      <c r="G40" s="763">
        <v>218</v>
      </c>
      <c r="H40" s="763">
        <v>207</v>
      </c>
      <c r="I40" s="763">
        <v>157</v>
      </c>
      <c r="J40" s="763">
        <v>185</v>
      </c>
      <c r="K40" s="821">
        <f>SUM(G40*G$3,H40*H$3,I40*I$3,J40*J$3)/K$3</f>
        <v>191.56438356164384</v>
      </c>
      <c r="L40" s="763">
        <v>199</v>
      </c>
      <c r="M40" s="763">
        <v>168</v>
      </c>
      <c r="N40" s="763">
        <v>157</v>
      </c>
      <c r="O40" s="763">
        <v>170</v>
      </c>
      <c r="P40" s="821">
        <f>SUM(L40*L$3,M40*M$3,N40*N$3,O40*O$3)/P$3</f>
        <v>173.37534246575342</v>
      </c>
      <c r="Q40" s="763">
        <v>146</v>
      </c>
      <c r="R40" s="763">
        <v>166</v>
      </c>
      <c r="S40" s="763">
        <v>163</v>
      </c>
      <c r="T40" s="763">
        <v>184</v>
      </c>
      <c r="U40" s="821">
        <f>SUM(Q40*Q$3,R40*R$3,S40*S$3,T40*T$3)/U$3</f>
        <v>164.84931506849315</v>
      </c>
      <c r="V40" s="763">
        <v>161</v>
      </c>
      <c r="W40" s="763">
        <v>152</v>
      </c>
      <c r="X40" s="763">
        <v>140</v>
      </c>
      <c r="Y40" s="763">
        <v>229</v>
      </c>
      <c r="Z40" s="827">
        <v>170</v>
      </c>
      <c r="AA40" s="763">
        <v>247</v>
      </c>
      <c r="AB40" s="763">
        <v>234</v>
      </c>
      <c r="AC40" s="763">
        <v>157</v>
      </c>
      <c r="AD40" s="763">
        <v>193</v>
      </c>
      <c r="AE40" s="827">
        <v>208</v>
      </c>
      <c r="AF40" s="763">
        <v>190</v>
      </c>
      <c r="AG40" s="763">
        <v>176</v>
      </c>
      <c r="AH40" s="763">
        <v>157</v>
      </c>
      <c r="AI40" s="763">
        <v>188</v>
      </c>
      <c r="AJ40" s="827">
        <v>178</v>
      </c>
      <c r="AK40" s="763">
        <v>184</v>
      </c>
      <c r="AL40" s="763">
        <v>126</v>
      </c>
      <c r="AM40" s="763">
        <v>107</v>
      </c>
      <c r="AN40" s="763">
        <v>56</v>
      </c>
      <c r="AO40" s="827">
        <v>119</v>
      </c>
      <c r="AP40" s="763">
        <v>5</v>
      </c>
      <c r="AQ40" s="763">
        <v>5</v>
      </c>
      <c r="AR40" s="763">
        <v>5</v>
      </c>
      <c r="AS40" s="763">
        <v>5</v>
      </c>
      <c r="AT40" s="827">
        <v>5</v>
      </c>
      <c r="AU40" s="763">
        <v>5</v>
      </c>
      <c r="AV40" s="763">
        <v>5</v>
      </c>
      <c r="AW40" s="763">
        <v>7</v>
      </c>
      <c r="AX40" s="763">
        <v>9</v>
      </c>
      <c r="AY40" s="827">
        <v>6</v>
      </c>
      <c r="AZ40" s="37"/>
      <c r="BA40" s="37"/>
      <c r="BB40" s="37"/>
      <c r="BC40" s="37"/>
      <c r="BD40" s="821"/>
      <c r="BE40" s="37"/>
      <c r="BF40" s="37"/>
      <c r="BG40" s="37"/>
      <c r="BH40" s="37"/>
      <c r="BI40" s="821"/>
      <c r="BJ40" s="37"/>
      <c r="BK40" s="37"/>
      <c r="BL40" s="37"/>
      <c r="BM40" s="37"/>
      <c r="BN40" s="821"/>
      <c r="BO40" s="37"/>
      <c r="BP40" s="37"/>
      <c r="BQ40" s="37"/>
      <c r="BR40" s="37"/>
      <c r="BS40" s="821"/>
      <c r="BT40" s="480"/>
      <c r="BU40" s="37"/>
      <c r="BV40" s="37"/>
      <c r="BW40" s="37"/>
      <c r="BX40" s="821"/>
      <c r="BY40" s="37"/>
      <c r="BZ40" s="37"/>
      <c r="CA40" s="37"/>
      <c r="CB40" s="37"/>
      <c r="CC40" s="821"/>
      <c r="CD40" s="821"/>
      <c r="CE40" s="821"/>
      <c r="CF40" s="821"/>
      <c r="CG40" s="22"/>
    </row>
    <row r="41" spans="1:85" s="428" customFormat="1" hidden="1" outlineLevel="1" x14ac:dyDescent="0.3">
      <c r="A41" s="109" t="s">
        <v>39</v>
      </c>
      <c r="B41" s="64"/>
      <c r="C41" s="827">
        <v>268</v>
      </c>
      <c r="D41" s="827">
        <v>236</v>
      </c>
      <c r="E41" s="827">
        <v>253</v>
      </c>
      <c r="F41" s="827">
        <v>236</v>
      </c>
      <c r="G41" s="763">
        <v>225</v>
      </c>
      <c r="H41" s="763">
        <v>225</v>
      </c>
      <c r="I41" s="763">
        <v>226</v>
      </c>
      <c r="J41" s="763">
        <v>227</v>
      </c>
      <c r="K41" s="821">
        <f>SUM(G41*G$3,H41*H$3,I41*I$3,J41*J$3)/K$3</f>
        <v>225.75616438356164</v>
      </c>
      <c r="L41" s="763">
        <v>219</v>
      </c>
      <c r="M41" s="763">
        <v>216</v>
      </c>
      <c r="N41" s="763">
        <v>213</v>
      </c>
      <c r="O41" s="763">
        <v>207</v>
      </c>
      <c r="P41" s="821">
        <f>SUM(L41*L$3,M41*M$3,N41*N$3,O41*O$3)/P$3</f>
        <v>213.71506849315068</v>
      </c>
      <c r="Q41" s="763">
        <v>193</v>
      </c>
      <c r="R41" s="763">
        <v>188</v>
      </c>
      <c r="S41" s="763">
        <v>169</v>
      </c>
      <c r="T41" s="763">
        <v>191</v>
      </c>
      <c r="U41" s="821">
        <f>SUM(Q41*Q$3,R41*R$3,S41*S$3,T41*T$3)/U$3</f>
        <v>185.2</v>
      </c>
      <c r="V41" s="763">
        <v>174</v>
      </c>
      <c r="W41" s="763">
        <v>196</v>
      </c>
      <c r="X41" s="763">
        <v>168</v>
      </c>
      <c r="Y41" s="763">
        <v>188</v>
      </c>
      <c r="Z41" s="827">
        <v>182</v>
      </c>
      <c r="AA41" s="763">
        <v>197</v>
      </c>
      <c r="AB41" s="763">
        <v>188</v>
      </c>
      <c r="AC41" s="763">
        <v>128</v>
      </c>
      <c r="AD41" s="763">
        <v>139</v>
      </c>
      <c r="AE41" s="827">
        <v>163</v>
      </c>
      <c r="AF41" s="763">
        <v>136</v>
      </c>
      <c r="AG41" s="763">
        <v>111</v>
      </c>
      <c r="AH41" s="763">
        <v>120</v>
      </c>
      <c r="AI41" s="763">
        <v>85</v>
      </c>
      <c r="AJ41" s="827">
        <v>113</v>
      </c>
      <c r="AK41" s="763">
        <v>46</v>
      </c>
      <c r="AL41" s="763">
        <v>60</v>
      </c>
      <c r="AM41" s="763">
        <v>34</v>
      </c>
      <c r="AN41" s="763">
        <v>69</v>
      </c>
      <c r="AO41" s="827">
        <v>52</v>
      </c>
      <c r="AP41" s="763">
        <v>36</v>
      </c>
      <c r="AQ41" s="763">
        <v>46</v>
      </c>
      <c r="AR41" s="763">
        <v>56</v>
      </c>
      <c r="AS41" s="763">
        <v>35</v>
      </c>
      <c r="AT41" s="827">
        <v>43</v>
      </c>
      <c r="AU41" s="763">
        <v>39</v>
      </c>
      <c r="AV41" s="763">
        <v>33</v>
      </c>
      <c r="AW41" s="763">
        <v>23</v>
      </c>
      <c r="AX41" s="763">
        <v>23</v>
      </c>
      <c r="AY41" s="827">
        <v>29</v>
      </c>
      <c r="AZ41" s="37"/>
      <c r="BA41" s="37"/>
      <c r="BB41" s="37"/>
      <c r="BC41" s="37"/>
      <c r="BD41" s="821"/>
      <c r="BE41" s="37"/>
      <c r="BF41" s="37"/>
      <c r="BG41" s="37"/>
      <c r="BH41" s="37"/>
      <c r="BI41" s="821"/>
      <c r="BJ41" s="37"/>
      <c r="BK41" s="37"/>
      <c r="BL41" s="37"/>
      <c r="BM41" s="37"/>
      <c r="BN41" s="821"/>
      <c r="BO41" s="37"/>
      <c r="BP41" s="37"/>
      <c r="BQ41" s="37"/>
      <c r="BR41" s="37"/>
      <c r="BS41" s="821"/>
      <c r="BT41" s="480"/>
      <c r="BU41" s="37"/>
      <c r="BV41" s="37"/>
      <c r="BW41" s="37"/>
      <c r="BX41" s="821"/>
      <c r="BY41" s="37"/>
      <c r="BZ41" s="37"/>
      <c r="CA41" s="37"/>
      <c r="CB41" s="37"/>
      <c r="CC41" s="821"/>
      <c r="CD41" s="821"/>
      <c r="CE41" s="821"/>
      <c r="CF41" s="821"/>
      <c r="CG41" s="22"/>
    </row>
    <row r="42" spans="1:85" s="428" customFormat="1" hidden="1" outlineLevel="1" x14ac:dyDescent="0.3">
      <c r="A42" s="109" t="s">
        <v>701</v>
      </c>
      <c r="B42" s="64"/>
      <c r="C42" s="821"/>
      <c r="D42" s="821"/>
      <c r="E42" s="821"/>
      <c r="F42" s="821"/>
      <c r="G42" s="37"/>
      <c r="H42" s="37"/>
      <c r="I42" s="37"/>
      <c r="J42" s="37"/>
      <c r="K42" s="821"/>
      <c r="L42" s="37"/>
      <c r="M42" s="37"/>
      <c r="N42" s="37"/>
      <c r="O42" s="37"/>
      <c r="P42" s="821"/>
      <c r="Q42" s="37"/>
      <c r="R42" s="37"/>
      <c r="S42" s="37"/>
      <c r="T42" s="37"/>
      <c r="U42" s="821"/>
      <c r="V42" s="37"/>
      <c r="W42" s="37"/>
      <c r="X42" s="37"/>
      <c r="Y42" s="37"/>
      <c r="Z42" s="821"/>
      <c r="AA42" s="37"/>
      <c r="AB42" s="37"/>
      <c r="AC42" s="37"/>
      <c r="AD42" s="37"/>
      <c r="AE42" s="821"/>
      <c r="AF42" s="37"/>
      <c r="AG42" s="37"/>
      <c r="AH42" s="37"/>
      <c r="AI42" s="37"/>
      <c r="AJ42" s="821"/>
      <c r="AK42" s="37"/>
      <c r="AL42" s="37"/>
      <c r="AM42" s="37"/>
      <c r="AN42" s="37"/>
      <c r="AO42" s="821"/>
      <c r="AP42" s="37"/>
      <c r="AQ42" s="37"/>
      <c r="AR42" s="37"/>
      <c r="AS42" s="763">
        <v>462</v>
      </c>
      <c r="AT42" s="827">
        <v>116</v>
      </c>
      <c r="AU42" s="763">
        <v>515</v>
      </c>
      <c r="AV42" s="763">
        <v>520</v>
      </c>
      <c r="AW42" s="763">
        <v>597</v>
      </c>
      <c r="AX42" s="763">
        <v>530</v>
      </c>
      <c r="AY42" s="827">
        <v>541</v>
      </c>
      <c r="AZ42" s="763">
        <v>600</v>
      </c>
      <c r="BA42" s="763">
        <v>597</v>
      </c>
      <c r="BB42" s="763">
        <v>635</v>
      </c>
      <c r="BC42" s="763">
        <v>575</v>
      </c>
      <c r="BD42" s="827">
        <v>602</v>
      </c>
      <c r="BE42" s="763">
        <v>598</v>
      </c>
      <c r="BF42" s="763">
        <v>549</v>
      </c>
      <c r="BG42" s="763">
        <v>615</v>
      </c>
      <c r="BH42" s="763">
        <v>502</v>
      </c>
      <c r="BI42" s="827">
        <v>566</v>
      </c>
      <c r="BJ42" s="763">
        <v>578</v>
      </c>
      <c r="BK42" s="763">
        <v>574</v>
      </c>
      <c r="BL42" s="763">
        <v>640</v>
      </c>
      <c r="BM42" s="763">
        <v>577</v>
      </c>
      <c r="BN42" s="827">
        <v>592</v>
      </c>
      <c r="BO42" s="763">
        <v>630</v>
      </c>
      <c r="BP42" s="763">
        <v>496</v>
      </c>
      <c r="BQ42" s="763">
        <v>642</v>
      </c>
      <c r="BR42" s="763">
        <v>557</v>
      </c>
      <c r="BS42" s="827">
        <v>581</v>
      </c>
      <c r="BT42" s="764">
        <v>492</v>
      </c>
      <c r="BU42" s="37"/>
      <c r="BV42" s="37"/>
      <c r="BW42" s="37"/>
      <c r="BX42" s="821"/>
      <c r="BY42" s="37"/>
      <c r="BZ42" s="37"/>
      <c r="CA42" s="37"/>
      <c r="CB42" s="37"/>
      <c r="CC42" s="821"/>
      <c r="CD42" s="821"/>
      <c r="CE42" s="821"/>
      <c r="CF42" s="821"/>
      <c r="CG42" s="22"/>
    </row>
    <row r="43" spans="1:85" s="428" customFormat="1" hidden="1" outlineLevel="1" x14ac:dyDescent="0.3">
      <c r="A43" s="109" t="s">
        <v>40</v>
      </c>
      <c r="B43" s="64"/>
      <c r="C43" s="827">
        <v>171</v>
      </c>
      <c r="D43" s="827">
        <v>160</v>
      </c>
      <c r="E43" s="827">
        <v>154</v>
      </c>
      <c r="F43" s="827">
        <v>149</v>
      </c>
      <c r="G43" s="763">
        <v>499</v>
      </c>
      <c r="H43" s="763">
        <v>469</v>
      </c>
      <c r="I43" s="763">
        <v>486</v>
      </c>
      <c r="J43" s="763">
        <v>513</v>
      </c>
      <c r="K43" s="821">
        <f t="shared" ref="K43:K49" si="106">SUM(G43*G$3,H43*H$3,I43*I$3,J43*J$3)/K$3</f>
        <v>491.77260273972604</v>
      </c>
      <c r="L43" s="763">
        <v>488</v>
      </c>
      <c r="M43" s="763">
        <v>437</v>
      </c>
      <c r="N43" s="763">
        <v>461</v>
      </c>
      <c r="O43" s="763">
        <v>501</v>
      </c>
      <c r="P43" s="821">
        <f t="shared" ref="P43:P49" si="107">SUM(L43*L$3,M43*M$3,N43*N$3,O43*O$3)/P$3</f>
        <v>471.75616438356167</v>
      </c>
      <c r="Q43" s="763">
        <v>527</v>
      </c>
      <c r="R43" s="763">
        <v>516</v>
      </c>
      <c r="S43" s="763">
        <v>439</v>
      </c>
      <c r="T43" s="763">
        <v>512</v>
      </c>
      <c r="U43" s="821">
        <f t="shared" ref="U43:U49" si="108">SUM(Q43*Q$3,R43*R$3,S43*S$3,T43*T$3)/U$3</f>
        <v>498.29589041095892</v>
      </c>
      <c r="V43" s="763">
        <v>552</v>
      </c>
      <c r="W43" s="763">
        <v>543</v>
      </c>
      <c r="X43" s="763">
        <v>479</v>
      </c>
      <c r="Y43" s="763">
        <v>594</v>
      </c>
      <c r="Z43" s="827">
        <v>542</v>
      </c>
      <c r="AA43" s="763">
        <v>595</v>
      </c>
      <c r="AB43" s="763">
        <v>535</v>
      </c>
      <c r="AC43" s="763">
        <v>497</v>
      </c>
      <c r="AD43" s="763">
        <v>552</v>
      </c>
      <c r="AE43" s="827">
        <v>544</v>
      </c>
      <c r="AF43" s="763">
        <v>543</v>
      </c>
      <c r="AG43" s="763">
        <v>537</v>
      </c>
      <c r="AH43" s="763">
        <v>482</v>
      </c>
      <c r="AI43" s="763">
        <v>506</v>
      </c>
      <c r="AJ43" s="827">
        <v>517</v>
      </c>
      <c r="AK43" s="763">
        <v>565</v>
      </c>
      <c r="AL43" s="763">
        <v>544</v>
      </c>
      <c r="AM43" s="763">
        <v>530</v>
      </c>
      <c r="AN43" s="763">
        <v>591</v>
      </c>
      <c r="AO43" s="827">
        <v>558</v>
      </c>
      <c r="AP43" s="763">
        <v>595</v>
      </c>
      <c r="AQ43" s="763">
        <v>562</v>
      </c>
      <c r="AR43" s="763">
        <v>484</v>
      </c>
      <c r="AS43" s="763">
        <v>534</v>
      </c>
      <c r="AT43" s="827">
        <v>544</v>
      </c>
      <c r="AU43" s="763">
        <v>515</v>
      </c>
      <c r="AV43" s="763">
        <v>508</v>
      </c>
      <c r="AW43" s="763">
        <v>349</v>
      </c>
      <c r="AX43" s="763">
        <v>550</v>
      </c>
      <c r="AY43" s="827">
        <v>480</v>
      </c>
      <c r="AZ43" s="763">
        <v>557</v>
      </c>
      <c r="BA43" s="763">
        <v>510</v>
      </c>
      <c r="BB43" s="763">
        <v>513</v>
      </c>
      <c r="BC43" s="763">
        <v>483</v>
      </c>
      <c r="BD43" s="827">
        <v>516</v>
      </c>
      <c r="BE43" s="763">
        <v>512</v>
      </c>
      <c r="BF43" s="763">
        <v>487</v>
      </c>
      <c r="BG43" s="763">
        <v>422</v>
      </c>
      <c r="BH43" s="763">
        <v>501</v>
      </c>
      <c r="BI43" s="827">
        <v>480</v>
      </c>
      <c r="BJ43" s="763">
        <v>515</v>
      </c>
      <c r="BK43" s="763">
        <v>478</v>
      </c>
      <c r="BL43" s="763">
        <v>483</v>
      </c>
      <c r="BM43" s="763">
        <v>465</v>
      </c>
      <c r="BN43" s="827">
        <v>485</v>
      </c>
      <c r="BO43" s="763">
        <v>500</v>
      </c>
      <c r="BP43" s="763">
        <v>458</v>
      </c>
      <c r="BQ43" s="763">
        <v>465</v>
      </c>
      <c r="BR43" s="763">
        <v>485</v>
      </c>
      <c r="BS43" s="827">
        <v>477</v>
      </c>
      <c r="BT43" s="764">
        <v>392</v>
      </c>
      <c r="BU43" s="37"/>
      <c r="BV43" s="37"/>
      <c r="BW43" s="37"/>
      <c r="BX43" s="821"/>
      <c r="BY43" s="37"/>
      <c r="BZ43" s="37"/>
      <c r="CA43" s="37"/>
      <c r="CB43" s="37"/>
      <c r="CC43" s="821"/>
      <c r="CD43" s="821"/>
      <c r="CE43" s="821"/>
      <c r="CF43" s="821"/>
      <c r="CG43" s="22"/>
    </row>
    <row r="44" spans="1:85" s="428" customFormat="1" hidden="1" outlineLevel="1" x14ac:dyDescent="0.3">
      <c r="A44" s="109" t="s">
        <v>41</v>
      </c>
      <c r="B44" s="64"/>
      <c r="C44" s="827">
        <v>76</v>
      </c>
      <c r="D44" s="827">
        <v>81</v>
      </c>
      <c r="E44" s="827">
        <v>86</v>
      </c>
      <c r="F44" s="827">
        <v>94</v>
      </c>
      <c r="G44" s="763">
        <v>0</v>
      </c>
      <c r="H44" s="763">
        <v>0</v>
      </c>
      <c r="I44" s="763">
        <v>0</v>
      </c>
      <c r="J44" s="763">
        <v>0</v>
      </c>
      <c r="K44" s="821">
        <f t="shared" si="106"/>
        <v>0</v>
      </c>
      <c r="L44" s="763">
        <v>0</v>
      </c>
      <c r="M44" s="763">
        <v>0</v>
      </c>
      <c r="N44" s="763">
        <v>0</v>
      </c>
      <c r="O44" s="763">
        <v>0</v>
      </c>
      <c r="P44" s="821">
        <f t="shared" si="107"/>
        <v>0</v>
      </c>
      <c r="Q44" s="763">
        <v>135</v>
      </c>
      <c r="R44" s="763">
        <v>105</v>
      </c>
      <c r="S44" s="763">
        <v>116</v>
      </c>
      <c r="T44" s="763">
        <v>114</v>
      </c>
      <c r="U44" s="821">
        <f t="shared" si="108"/>
        <v>117.43835616438356</v>
      </c>
      <c r="V44" s="763">
        <v>120</v>
      </c>
      <c r="W44" s="763">
        <v>135</v>
      </c>
      <c r="X44" s="763">
        <v>120</v>
      </c>
      <c r="Y44" s="763">
        <v>136</v>
      </c>
      <c r="Z44" s="827">
        <v>128</v>
      </c>
      <c r="AA44" s="763">
        <v>127</v>
      </c>
      <c r="AB44" s="763">
        <v>137</v>
      </c>
      <c r="AC44" s="763">
        <v>108</v>
      </c>
      <c r="AD44" s="763">
        <v>92</v>
      </c>
      <c r="AE44" s="827">
        <v>116</v>
      </c>
      <c r="AF44" s="763">
        <v>97</v>
      </c>
      <c r="AG44" s="763">
        <v>109</v>
      </c>
      <c r="AH44" s="763">
        <v>94</v>
      </c>
      <c r="AI44" s="763">
        <v>94</v>
      </c>
      <c r="AJ44" s="827">
        <v>98</v>
      </c>
      <c r="AK44" s="763">
        <v>101</v>
      </c>
      <c r="AL44" s="763">
        <v>93</v>
      </c>
      <c r="AM44" s="763">
        <v>86</v>
      </c>
      <c r="AN44" s="763">
        <v>90</v>
      </c>
      <c r="AO44" s="827">
        <v>93</v>
      </c>
      <c r="AP44" s="763">
        <v>96</v>
      </c>
      <c r="AQ44" s="763">
        <v>93</v>
      </c>
      <c r="AR44" s="763">
        <v>90</v>
      </c>
      <c r="AS44" s="763">
        <v>87</v>
      </c>
      <c r="AT44" s="827">
        <v>92</v>
      </c>
      <c r="AU44" s="763">
        <v>95</v>
      </c>
      <c r="AV44" s="763">
        <v>100</v>
      </c>
      <c r="AW44" s="763">
        <v>86</v>
      </c>
      <c r="AX44" s="763">
        <v>86</v>
      </c>
      <c r="AY44" s="827">
        <v>92</v>
      </c>
      <c r="AZ44" s="37"/>
      <c r="BA44" s="37"/>
      <c r="BB44" s="37"/>
      <c r="BC44" s="37"/>
      <c r="BD44" s="821"/>
      <c r="BE44" s="37"/>
      <c r="BF44" s="37"/>
      <c r="BG44" s="37"/>
      <c r="BH44" s="37"/>
      <c r="BI44" s="821"/>
      <c r="BJ44" s="37"/>
      <c r="BK44" s="37"/>
      <c r="BL44" s="37"/>
      <c r="BM44" s="37"/>
      <c r="BN44" s="821"/>
      <c r="BO44" s="37"/>
      <c r="BP44" s="37"/>
      <c r="BQ44" s="37"/>
      <c r="BR44" s="37"/>
      <c r="BS44" s="821"/>
      <c r="BT44" s="480"/>
      <c r="BU44" s="37"/>
      <c r="BV44" s="37"/>
      <c r="BW44" s="37"/>
      <c r="BX44" s="821"/>
      <c r="BY44" s="37"/>
      <c r="BZ44" s="37"/>
      <c r="CA44" s="37"/>
      <c r="CB44" s="37"/>
      <c r="CC44" s="821"/>
      <c r="CD44" s="821"/>
      <c r="CE44" s="821"/>
      <c r="CF44" s="821"/>
      <c r="CG44" s="22"/>
    </row>
    <row r="45" spans="1:85" s="428" customFormat="1" hidden="1" outlineLevel="1" x14ac:dyDescent="0.3">
      <c r="A45" s="109" t="s">
        <v>42</v>
      </c>
      <c r="B45" s="64"/>
      <c r="C45" s="827">
        <v>48</v>
      </c>
      <c r="D45" s="827">
        <v>86</v>
      </c>
      <c r="E45" s="827">
        <v>142</v>
      </c>
      <c r="F45" s="827">
        <v>165</v>
      </c>
      <c r="G45" s="763">
        <v>0</v>
      </c>
      <c r="H45" s="763">
        <v>0</v>
      </c>
      <c r="I45" s="763">
        <v>0</v>
      </c>
      <c r="J45" s="763">
        <v>0</v>
      </c>
      <c r="K45" s="821">
        <f t="shared" si="106"/>
        <v>0</v>
      </c>
      <c r="L45" s="763">
        <v>0</v>
      </c>
      <c r="M45" s="763">
        <v>0</v>
      </c>
      <c r="N45" s="763">
        <v>0</v>
      </c>
      <c r="O45" s="763">
        <v>0</v>
      </c>
      <c r="P45" s="821">
        <f t="shared" si="107"/>
        <v>0</v>
      </c>
      <c r="Q45" s="763">
        <v>236</v>
      </c>
      <c r="R45" s="763">
        <v>222</v>
      </c>
      <c r="S45" s="763">
        <v>249</v>
      </c>
      <c r="T45" s="763">
        <v>276</v>
      </c>
      <c r="U45" s="821">
        <f t="shared" si="108"/>
        <v>245.86849315068494</v>
      </c>
      <c r="V45" s="763">
        <v>245</v>
      </c>
      <c r="W45" s="763">
        <v>172</v>
      </c>
      <c r="X45" s="763">
        <v>92</v>
      </c>
      <c r="Y45" s="763">
        <v>125</v>
      </c>
      <c r="Z45" s="827">
        <v>159</v>
      </c>
      <c r="AA45" s="763">
        <v>174</v>
      </c>
      <c r="AB45" s="763">
        <v>256</v>
      </c>
      <c r="AC45" s="763">
        <v>220</v>
      </c>
      <c r="AD45" s="763">
        <v>240</v>
      </c>
      <c r="AE45" s="827">
        <v>223</v>
      </c>
      <c r="AF45" s="763">
        <v>201</v>
      </c>
      <c r="AG45" s="763">
        <v>262</v>
      </c>
      <c r="AH45" s="763">
        <v>228</v>
      </c>
      <c r="AI45" s="763">
        <v>241</v>
      </c>
      <c r="AJ45" s="827">
        <v>233</v>
      </c>
      <c r="AK45" s="763">
        <v>266</v>
      </c>
      <c r="AL45" s="763">
        <v>253</v>
      </c>
      <c r="AM45" s="763">
        <v>182</v>
      </c>
      <c r="AN45" s="763">
        <v>162</v>
      </c>
      <c r="AO45" s="827">
        <v>215</v>
      </c>
      <c r="AP45" s="763">
        <v>279</v>
      </c>
      <c r="AQ45" s="763">
        <v>265</v>
      </c>
      <c r="AR45" s="763">
        <v>269</v>
      </c>
      <c r="AS45" s="763">
        <v>226</v>
      </c>
      <c r="AT45" s="827">
        <v>260</v>
      </c>
      <c r="AU45" s="763">
        <v>272</v>
      </c>
      <c r="AV45" s="763">
        <v>236</v>
      </c>
      <c r="AW45" s="763">
        <v>258</v>
      </c>
      <c r="AX45" s="763">
        <v>218</v>
      </c>
      <c r="AY45" s="827">
        <v>246</v>
      </c>
      <c r="AZ45" s="763">
        <v>274</v>
      </c>
      <c r="BA45" s="763">
        <v>247</v>
      </c>
      <c r="BB45" s="763">
        <v>279</v>
      </c>
      <c r="BC45" s="763">
        <v>265</v>
      </c>
      <c r="BD45" s="827">
        <v>266</v>
      </c>
      <c r="BE45" s="763">
        <v>241</v>
      </c>
      <c r="BF45" s="763">
        <v>208</v>
      </c>
      <c r="BG45" s="763">
        <v>238</v>
      </c>
      <c r="BH45" s="763">
        <v>220</v>
      </c>
      <c r="BI45" s="827">
        <v>227</v>
      </c>
      <c r="BJ45" s="763">
        <v>110</v>
      </c>
      <c r="BK45" s="763">
        <v>196</v>
      </c>
      <c r="BL45" s="763">
        <v>219</v>
      </c>
      <c r="BM45" s="763">
        <v>207</v>
      </c>
      <c r="BN45" s="827">
        <v>183</v>
      </c>
      <c r="BO45" s="763">
        <v>247</v>
      </c>
      <c r="BP45" s="763">
        <v>251</v>
      </c>
      <c r="BQ45" s="763">
        <v>229</v>
      </c>
      <c r="BR45" s="763">
        <v>155</v>
      </c>
      <c r="BS45" s="827">
        <v>220</v>
      </c>
      <c r="BT45" s="764">
        <v>157</v>
      </c>
      <c r="BU45" s="37"/>
      <c r="BV45" s="37"/>
      <c r="BW45" s="37"/>
      <c r="BX45" s="821"/>
      <c r="BY45" s="37"/>
      <c r="BZ45" s="37"/>
      <c r="CA45" s="37"/>
      <c r="CB45" s="37"/>
      <c r="CC45" s="821"/>
      <c r="CD45" s="821"/>
      <c r="CE45" s="821"/>
      <c r="CF45" s="821"/>
      <c r="CG45" s="22"/>
    </row>
    <row r="46" spans="1:85" s="428" customFormat="1" hidden="1" outlineLevel="1" x14ac:dyDescent="0.3">
      <c r="A46" s="109" t="s">
        <v>43</v>
      </c>
      <c r="B46" s="64"/>
      <c r="C46" s="827">
        <v>137</v>
      </c>
      <c r="D46" s="827">
        <v>124</v>
      </c>
      <c r="E46" s="827">
        <v>126</v>
      </c>
      <c r="F46" s="827">
        <v>120</v>
      </c>
      <c r="G46" s="763">
        <v>123</v>
      </c>
      <c r="H46" s="763">
        <v>133</v>
      </c>
      <c r="I46" s="763">
        <v>123</v>
      </c>
      <c r="J46" s="763">
        <v>96</v>
      </c>
      <c r="K46" s="821">
        <f t="shared" si="106"/>
        <v>118.68767123287671</v>
      </c>
      <c r="L46" s="763">
        <v>112</v>
      </c>
      <c r="M46" s="763">
        <v>118</v>
      </c>
      <c r="N46" s="763">
        <v>119</v>
      </c>
      <c r="O46" s="763">
        <v>124</v>
      </c>
      <c r="P46" s="821">
        <f t="shared" si="107"/>
        <v>118.28493150684932</v>
      </c>
      <c r="Q46" s="763">
        <v>99</v>
      </c>
      <c r="R46" s="763">
        <v>115</v>
      </c>
      <c r="S46" s="763">
        <v>134</v>
      </c>
      <c r="T46" s="763">
        <v>139</v>
      </c>
      <c r="U46" s="821">
        <f t="shared" si="108"/>
        <v>121.89315068493151</v>
      </c>
      <c r="V46" s="763">
        <v>140</v>
      </c>
      <c r="W46" s="763">
        <v>146</v>
      </c>
      <c r="X46" s="763">
        <v>133</v>
      </c>
      <c r="Y46" s="763">
        <v>131</v>
      </c>
      <c r="Z46" s="827">
        <v>138</v>
      </c>
      <c r="AA46" s="763">
        <v>104</v>
      </c>
      <c r="AB46" s="763">
        <v>140</v>
      </c>
      <c r="AC46" s="763">
        <v>135</v>
      </c>
      <c r="AD46" s="763">
        <v>137</v>
      </c>
      <c r="AE46" s="827">
        <v>129</v>
      </c>
      <c r="AF46" s="763">
        <v>138</v>
      </c>
      <c r="AG46" s="763">
        <v>142</v>
      </c>
      <c r="AH46" s="763">
        <v>137</v>
      </c>
      <c r="AI46" s="763">
        <v>133</v>
      </c>
      <c r="AJ46" s="827">
        <v>138</v>
      </c>
      <c r="AK46" s="763">
        <v>137</v>
      </c>
      <c r="AL46" s="763">
        <v>152</v>
      </c>
      <c r="AM46" s="763">
        <v>127</v>
      </c>
      <c r="AN46" s="763">
        <v>127</v>
      </c>
      <c r="AO46" s="827">
        <v>136</v>
      </c>
      <c r="AP46" s="763">
        <v>100</v>
      </c>
      <c r="AQ46" s="763">
        <v>0</v>
      </c>
      <c r="AR46" s="763">
        <v>0</v>
      </c>
      <c r="AS46" s="763">
        <v>0</v>
      </c>
      <c r="AT46" s="827">
        <v>25</v>
      </c>
      <c r="AU46" s="763">
        <v>0</v>
      </c>
      <c r="AV46" s="763">
        <v>0</v>
      </c>
      <c r="AW46" s="37"/>
      <c r="AX46" s="763">
        <v>0</v>
      </c>
      <c r="AY46" s="827">
        <v>0</v>
      </c>
      <c r="AZ46" s="37"/>
      <c r="BA46" s="37"/>
      <c r="BB46" s="37"/>
      <c r="BC46" s="37"/>
      <c r="BD46" s="821"/>
      <c r="BE46" s="37"/>
      <c r="BF46" s="37"/>
      <c r="BG46" s="37"/>
      <c r="BH46" s="37"/>
      <c r="BI46" s="821"/>
      <c r="BJ46" s="37"/>
      <c r="BK46" s="37"/>
      <c r="BL46" s="37"/>
      <c r="BM46" s="37"/>
      <c r="BN46" s="821"/>
      <c r="BO46" s="37"/>
      <c r="BP46" s="37"/>
      <c r="BQ46" s="37"/>
      <c r="BR46" s="37"/>
      <c r="BS46" s="821"/>
      <c r="BT46" s="480"/>
      <c r="BU46" s="37"/>
      <c r="BV46" s="37"/>
      <c r="BW46" s="37"/>
      <c r="BX46" s="821"/>
      <c r="BY46" s="37"/>
      <c r="BZ46" s="37"/>
      <c r="CA46" s="37"/>
      <c r="CB46" s="37"/>
      <c r="CC46" s="821"/>
      <c r="CD46" s="821"/>
      <c r="CE46" s="821"/>
      <c r="CF46" s="821"/>
      <c r="CG46" s="22"/>
    </row>
    <row r="47" spans="1:85" s="428" customFormat="1" hidden="1" outlineLevel="1" x14ac:dyDescent="0.3">
      <c r="A47" s="109" t="s">
        <v>44</v>
      </c>
      <c r="B47" s="64"/>
      <c r="C47" s="827">
        <v>471</v>
      </c>
      <c r="D47" s="827">
        <v>484</v>
      </c>
      <c r="E47" s="827">
        <v>434</v>
      </c>
      <c r="F47" s="827">
        <v>395</v>
      </c>
      <c r="G47" s="763">
        <v>441</v>
      </c>
      <c r="H47" s="763">
        <v>426</v>
      </c>
      <c r="I47" s="763">
        <v>403</v>
      </c>
      <c r="J47" s="763">
        <v>421</v>
      </c>
      <c r="K47" s="821">
        <f t="shared" si="106"/>
        <v>422.64109589041095</v>
      </c>
      <c r="L47" s="763">
        <v>412</v>
      </c>
      <c r="M47" s="763">
        <v>370</v>
      </c>
      <c r="N47" s="763">
        <v>372</v>
      </c>
      <c r="O47" s="763">
        <v>263</v>
      </c>
      <c r="P47" s="821">
        <f t="shared" si="107"/>
        <v>353.89041095890411</v>
      </c>
      <c r="Q47" s="763">
        <v>375</v>
      </c>
      <c r="R47" s="763">
        <v>354</v>
      </c>
      <c r="S47" s="763">
        <v>334</v>
      </c>
      <c r="T47" s="763">
        <v>327</v>
      </c>
      <c r="U47" s="821">
        <f t="shared" si="108"/>
        <v>347.33150684931508</v>
      </c>
      <c r="V47" s="763">
        <v>306</v>
      </c>
      <c r="W47" s="763">
        <v>265</v>
      </c>
      <c r="X47" s="763">
        <v>252</v>
      </c>
      <c r="Y47" s="763">
        <v>205</v>
      </c>
      <c r="Z47" s="827">
        <v>257</v>
      </c>
      <c r="AA47" s="763">
        <v>194</v>
      </c>
      <c r="AB47" s="763">
        <v>195</v>
      </c>
      <c r="AC47" s="763">
        <v>159</v>
      </c>
      <c r="AD47" s="763">
        <v>140</v>
      </c>
      <c r="AE47" s="827">
        <v>171</v>
      </c>
      <c r="AF47" s="763">
        <v>122</v>
      </c>
      <c r="AG47" s="763">
        <v>122</v>
      </c>
      <c r="AH47" s="763">
        <v>117</v>
      </c>
      <c r="AI47" s="763">
        <v>118</v>
      </c>
      <c r="AJ47" s="827">
        <v>119</v>
      </c>
      <c r="AK47" s="763">
        <v>109</v>
      </c>
      <c r="AL47" s="763">
        <v>96</v>
      </c>
      <c r="AM47" s="763">
        <v>97</v>
      </c>
      <c r="AN47" s="763">
        <v>93</v>
      </c>
      <c r="AO47" s="827">
        <v>98</v>
      </c>
      <c r="AP47" s="763">
        <v>84</v>
      </c>
      <c r="AQ47" s="763">
        <v>38</v>
      </c>
      <c r="AR47" s="763">
        <v>25</v>
      </c>
      <c r="AS47" s="763">
        <v>24</v>
      </c>
      <c r="AT47" s="827">
        <v>42</v>
      </c>
      <c r="AU47" s="763">
        <v>28</v>
      </c>
      <c r="AV47" s="763">
        <v>31</v>
      </c>
      <c r="AW47" s="763">
        <v>33</v>
      </c>
      <c r="AX47" s="763">
        <v>35</v>
      </c>
      <c r="AY47" s="827">
        <v>32</v>
      </c>
      <c r="AZ47" s="763">
        <v>38</v>
      </c>
      <c r="BA47" s="763">
        <v>37</v>
      </c>
      <c r="BB47" s="763">
        <v>24</v>
      </c>
      <c r="BC47" s="763">
        <v>35</v>
      </c>
      <c r="BD47" s="827">
        <v>34</v>
      </c>
      <c r="BE47" s="763">
        <v>36</v>
      </c>
      <c r="BF47" s="763">
        <v>37</v>
      </c>
      <c r="BG47" s="763">
        <v>33</v>
      </c>
      <c r="BH47" s="763">
        <v>38</v>
      </c>
      <c r="BI47" s="827">
        <v>36</v>
      </c>
      <c r="BJ47" s="763">
        <v>39</v>
      </c>
      <c r="BK47" s="763">
        <v>41</v>
      </c>
      <c r="BL47" s="763">
        <v>49</v>
      </c>
      <c r="BM47" s="763">
        <v>59</v>
      </c>
      <c r="BN47" s="827">
        <v>47</v>
      </c>
      <c r="BO47" s="763">
        <v>61</v>
      </c>
      <c r="BP47" s="763">
        <v>61</v>
      </c>
      <c r="BQ47" s="763">
        <v>74</v>
      </c>
      <c r="BR47" s="763">
        <v>99</v>
      </c>
      <c r="BS47" s="827">
        <v>74</v>
      </c>
      <c r="BT47" s="764">
        <v>94</v>
      </c>
      <c r="BU47" s="37"/>
      <c r="BV47" s="37"/>
      <c r="BW47" s="37"/>
      <c r="BX47" s="821"/>
      <c r="BY47" s="37"/>
      <c r="BZ47" s="37"/>
      <c r="CA47" s="37"/>
      <c r="CB47" s="37"/>
      <c r="CC47" s="821"/>
      <c r="CD47" s="821"/>
      <c r="CE47" s="821"/>
      <c r="CF47" s="821"/>
      <c r="CG47" s="22"/>
    </row>
    <row r="48" spans="1:85" s="428" customFormat="1" hidden="1" outlineLevel="1" x14ac:dyDescent="0.3">
      <c r="A48" s="109" t="s">
        <v>45</v>
      </c>
      <c r="B48" s="64"/>
      <c r="C48" s="827">
        <v>794</v>
      </c>
      <c r="D48" s="827">
        <v>875</v>
      </c>
      <c r="E48" s="827">
        <v>867</v>
      </c>
      <c r="F48" s="827">
        <v>1060</v>
      </c>
      <c r="G48" s="763">
        <v>1073</v>
      </c>
      <c r="H48" s="763">
        <v>1025</v>
      </c>
      <c r="I48" s="763">
        <v>964</v>
      </c>
      <c r="J48" s="763">
        <v>955</v>
      </c>
      <c r="K48" s="821">
        <f t="shared" si="106"/>
        <v>1003.8164383561644</v>
      </c>
      <c r="L48" s="763">
        <v>1045</v>
      </c>
      <c r="M48" s="763">
        <v>1102</v>
      </c>
      <c r="N48" s="763">
        <v>1040</v>
      </c>
      <c r="O48" s="763">
        <v>1002</v>
      </c>
      <c r="P48" s="821">
        <f t="shared" si="107"/>
        <v>1047.1123287671232</v>
      </c>
      <c r="Q48" s="763">
        <v>1024</v>
      </c>
      <c r="R48" s="763">
        <v>1050</v>
      </c>
      <c r="S48" s="763">
        <v>1029</v>
      </c>
      <c r="T48" s="763">
        <v>1027</v>
      </c>
      <c r="U48" s="821">
        <f t="shared" si="108"/>
        <v>1032.4986301369863</v>
      </c>
      <c r="V48" s="763">
        <v>1039</v>
      </c>
      <c r="W48" s="763">
        <v>1030</v>
      </c>
      <c r="X48" s="763">
        <v>1085</v>
      </c>
      <c r="Y48" s="763">
        <v>1049</v>
      </c>
      <c r="Z48" s="827">
        <v>1051</v>
      </c>
      <c r="AA48" s="763">
        <v>1011</v>
      </c>
      <c r="AB48" s="763">
        <v>1058</v>
      </c>
      <c r="AC48" s="763">
        <v>1005</v>
      </c>
      <c r="AD48" s="763">
        <v>1052</v>
      </c>
      <c r="AE48" s="827">
        <v>1031</v>
      </c>
      <c r="AF48" s="763">
        <v>1037</v>
      </c>
      <c r="AG48" s="763">
        <v>1005</v>
      </c>
      <c r="AH48" s="763">
        <v>997</v>
      </c>
      <c r="AI48" s="763">
        <v>1049</v>
      </c>
      <c r="AJ48" s="827">
        <v>1022</v>
      </c>
      <c r="AK48" s="763">
        <v>1019</v>
      </c>
      <c r="AL48" s="763">
        <v>1045</v>
      </c>
      <c r="AM48" s="763">
        <v>1058</v>
      </c>
      <c r="AN48" s="763">
        <v>1031</v>
      </c>
      <c r="AO48" s="827">
        <v>1038</v>
      </c>
      <c r="AP48" s="763">
        <v>1017</v>
      </c>
      <c r="AQ48" s="763">
        <v>867</v>
      </c>
      <c r="AR48" s="763">
        <v>904</v>
      </c>
      <c r="AS48" s="763">
        <v>886</v>
      </c>
      <c r="AT48" s="827">
        <v>918</v>
      </c>
      <c r="AU48" s="763">
        <v>860</v>
      </c>
      <c r="AV48" s="763">
        <v>833</v>
      </c>
      <c r="AW48" s="763">
        <v>675</v>
      </c>
      <c r="AX48" s="763">
        <v>580</v>
      </c>
      <c r="AY48" s="827">
        <v>736</v>
      </c>
      <c r="AZ48" s="763">
        <v>509</v>
      </c>
      <c r="BA48" s="763">
        <v>270</v>
      </c>
      <c r="BB48" s="763">
        <v>206</v>
      </c>
      <c r="BC48" s="763">
        <v>210</v>
      </c>
      <c r="BD48" s="827">
        <v>298</v>
      </c>
      <c r="BE48" s="763">
        <v>197</v>
      </c>
      <c r="BF48" s="763">
        <v>177</v>
      </c>
      <c r="BG48" s="763">
        <v>187</v>
      </c>
      <c r="BH48" s="763">
        <v>205</v>
      </c>
      <c r="BI48" s="827">
        <v>192</v>
      </c>
      <c r="BJ48" s="763">
        <v>212</v>
      </c>
      <c r="BK48" s="763">
        <v>198</v>
      </c>
      <c r="BL48" s="763">
        <v>188</v>
      </c>
      <c r="BM48" s="763">
        <v>203</v>
      </c>
      <c r="BN48" s="827">
        <v>200</v>
      </c>
      <c r="BO48" s="763">
        <v>204</v>
      </c>
      <c r="BP48" s="763">
        <v>197</v>
      </c>
      <c r="BQ48" s="763">
        <v>179</v>
      </c>
      <c r="BR48" s="763">
        <v>217</v>
      </c>
      <c r="BS48" s="827">
        <v>199</v>
      </c>
      <c r="BT48" s="764">
        <v>233</v>
      </c>
      <c r="BU48" s="37"/>
      <c r="BV48" s="37"/>
      <c r="BW48" s="37"/>
      <c r="BX48" s="821"/>
      <c r="BY48" s="37"/>
      <c r="BZ48" s="37"/>
      <c r="CA48" s="37"/>
      <c r="CB48" s="37"/>
      <c r="CC48" s="821"/>
      <c r="CD48" s="821"/>
      <c r="CE48" s="821"/>
      <c r="CF48" s="821"/>
      <c r="CG48" s="22"/>
    </row>
    <row r="49" spans="1:85" s="428" customFormat="1" hidden="1" outlineLevel="1" x14ac:dyDescent="0.3">
      <c r="A49" s="244" t="s">
        <v>46</v>
      </c>
      <c r="B49" s="243"/>
      <c r="C49" s="828">
        <v>109</v>
      </c>
      <c r="D49" s="828">
        <v>109</v>
      </c>
      <c r="E49" s="828">
        <v>101</v>
      </c>
      <c r="F49" s="828">
        <v>107</v>
      </c>
      <c r="G49" s="765">
        <v>384</v>
      </c>
      <c r="H49" s="765">
        <v>427</v>
      </c>
      <c r="I49" s="765">
        <v>426</v>
      </c>
      <c r="J49" s="765">
        <v>395</v>
      </c>
      <c r="K49" s="822">
        <f t="shared" si="106"/>
        <v>408.0794520547945</v>
      </c>
      <c r="L49" s="765">
        <v>483</v>
      </c>
      <c r="M49" s="765">
        <v>434</v>
      </c>
      <c r="N49" s="765">
        <v>443</v>
      </c>
      <c r="O49" s="765">
        <v>458</v>
      </c>
      <c r="P49" s="822">
        <f t="shared" si="107"/>
        <v>454.4</v>
      </c>
      <c r="Q49" s="765">
        <v>92</v>
      </c>
      <c r="R49" s="765">
        <v>81</v>
      </c>
      <c r="S49" s="765">
        <v>75</v>
      </c>
      <c r="T49" s="765">
        <v>96</v>
      </c>
      <c r="U49" s="822">
        <f t="shared" si="108"/>
        <v>85.980821917808214</v>
      </c>
      <c r="V49" s="765">
        <v>139</v>
      </c>
      <c r="W49" s="765">
        <v>248</v>
      </c>
      <c r="X49" s="765">
        <v>226</v>
      </c>
      <c r="Y49" s="765">
        <v>319</v>
      </c>
      <c r="Z49" s="828">
        <v>232</v>
      </c>
      <c r="AA49" s="765">
        <v>431</v>
      </c>
      <c r="AB49" s="765">
        <v>462</v>
      </c>
      <c r="AC49" s="765">
        <v>454</v>
      </c>
      <c r="AD49" s="765">
        <v>501</v>
      </c>
      <c r="AE49" s="828">
        <v>463</v>
      </c>
      <c r="AF49" s="765">
        <v>517</v>
      </c>
      <c r="AG49" s="765">
        <v>519</v>
      </c>
      <c r="AH49" s="765">
        <v>392</v>
      </c>
      <c r="AI49" s="765">
        <v>513</v>
      </c>
      <c r="AJ49" s="828">
        <v>485</v>
      </c>
      <c r="AK49" s="765">
        <v>547</v>
      </c>
      <c r="AL49" s="765">
        <v>533</v>
      </c>
      <c r="AM49" s="765">
        <v>471</v>
      </c>
      <c r="AN49" s="765">
        <v>551</v>
      </c>
      <c r="AO49" s="828">
        <v>525</v>
      </c>
      <c r="AP49" s="765">
        <v>490</v>
      </c>
      <c r="AQ49" s="765">
        <v>508</v>
      </c>
      <c r="AR49" s="765">
        <v>428</v>
      </c>
      <c r="AS49" s="765">
        <v>564</v>
      </c>
      <c r="AT49" s="828">
        <v>498</v>
      </c>
      <c r="AU49" s="765">
        <v>627</v>
      </c>
      <c r="AV49" s="765">
        <v>671</v>
      </c>
      <c r="AW49" s="765">
        <v>579</v>
      </c>
      <c r="AX49" s="765">
        <v>602</v>
      </c>
      <c r="AY49" s="828">
        <v>619</v>
      </c>
      <c r="AZ49" s="765">
        <v>484</v>
      </c>
      <c r="BA49" s="765">
        <v>481</v>
      </c>
      <c r="BB49" s="765">
        <v>456</v>
      </c>
      <c r="BC49" s="765">
        <v>463</v>
      </c>
      <c r="BD49" s="828">
        <v>471</v>
      </c>
      <c r="BE49" s="765">
        <v>471</v>
      </c>
      <c r="BF49" s="765">
        <v>446</v>
      </c>
      <c r="BG49" s="765">
        <v>428</v>
      </c>
      <c r="BH49" s="765">
        <v>453</v>
      </c>
      <c r="BI49" s="828">
        <v>449</v>
      </c>
      <c r="BJ49" s="765">
        <v>455</v>
      </c>
      <c r="BK49" s="765">
        <v>347</v>
      </c>
      <c r="BL49" s="765">
        <v>315</v>
      </c>
      <c r="BM49" s="765">
        <v>351</v>
      </c>
      <c r="BN49" s="828">
        <v>367</v>
      </c>
      <c r="BO49" s="765">
        <v>332</v>
      </c>
      <c r="BP49" s="765">
        <v>325</v>
      </c>
      <c r="BQ49" s="765">
        <v>491</v>
      </c>
      <c r="BR49" s="765">
        <v>426</v>
      </c>
      <c r="BS49" s="828">
        <v>395</v>
      </c>
      <c r="BT49" s="766">
        <v>450</v>
      </c>
      <c r="BU49" s="56"/>
      <c r="BV49" s="56"/>
      <c r="BW49" s="56"/>
      <c r="BX49" s="822"/>
      <c r="BY49" s="56"/>
      <c r="BZ49" s="56"/>
      <c r="CA49" s="56"/>
      <c r="CB49" s="56"/>
      <c r="CC49" s="822"/>
      <c r="CD49" s="822"/>
      <c r="CE49" s="822"/>
      <c r="CF49" s="822"/>
      <c r="CG49" s="22"/>
    </row>
    <row r="50" spans="1:85" s="429" customFormat="1" collapsed="1" x14ac:dyDescent="0.3">
      <c r="A50" s="134" t="s">
        <v>47</v>
      </c>
      <c r="B50" s="90"/>
      <c r="C50" s="823">
        <f>SUM(C35:C49)</f>
        <v>3278</v>
      </c>
      <c r="D50" s="823">
        <f t="shared" ref="D50:AZ50" si="109">SUM(D35:D49)</f>
        <v>3363</v>
      </c>
      <c r="E50" s="823">
        <f t="shared" si="109"/>
        <v>3323</v>
      </c>
      <c r="F50" s="823">
        <f t="shared" si="109"/>
        <v>3543</v>
      </c>
      <c r="G50" s="393">
        <f t="shared" si="109"/>
        <v>4054</v>
      </c>
      <c r="H50" s="393">
        <f t="shared" si="109"/>
        <v>3987</v>
      </c>
      <c r="I50" s="393">
        <f t="shared" si="109"/>
        <v>3910</v>
      </c>
      <c r="J50" s="393">
        <f t="shared" si="109"/>
        <v>3836</v>
      </c>
      <c r="K50" s="823">
        <f t="shared" si="109"/>
        <v>3946.0520547945198</v>
      </c>
      <c r="L50" s="393">
        <f t="shared" si="109"/>
        <v>4041</v>
      </c>
      <c r="M50" s="393">
        <f t="shared" si="109"/>
        <v>3861</v>
      </c>
      <c r="N50" s="393">
        <f t="shared" si="109"/>
        <v>3935</v>
      </c>
      <c r="O50" s="393">
        <f t="shared" si="109"/>
        <v>3834</v>
      </c>
      <c r="P50" s="823">
        <f t="shared" si="109"/>
        <v>3917.2301369863012</v>
      </c>
      <c r="Q50" s="393">
        <f t="shared" si="109"/>
        <v>4026</v>
      </c>
      <c r="R50" s="393">
        <f t="shared" si="109"/>
        <v>3931</v>
      </c>
      <c r="S50" s="393">
        <f t="shared" si="109"/>
        <v>3814</v>
      </c>
      <c r="T50" s="393">
        <f t="shared" si="109"/>
        <v>4065</v>
      </c>
      <c r="U50" s="823">
        <f t="shared" si="109"/>
        <v>3958.7095890410965</v>
      </c>
      <c r="V50" s="393">
        <f t="shared" si="109"/>
        <v>4044</v>
      </c>
      <c r="W50" s="393">
        <f t="shared" si="109"/>
        <v>3943</v>
      </c>
      <c r="X50" s="393">
        <f t="shared" si="109"/>
        <v>4036</v>
      </c>
      <c r="Y50" s="393">
        <f t="shared" si="109"/>
        <v>4503</v>
      </c>
      <c r="Z50" s="823">
        <f t="shared" si="109"/>
        <v>4132</v>
      </c>
      <c r="AA50" s="393">
        <f t="shared" si="109"/>
        <v>4801</v>
      </c>
      <c r="AB50" s="393">
        <f t="shared" si="109"/>
        <v>5144</v>
      </c>
      <c r="AC50" s="393">
        <f t="shared" si="109"/>
        <v>5053</v>
      </c>
      <c r="AD50" s="393">
        <f t="shared" si="109"/>
        <v>5242</v>
      </c>
      <c r="AE50" s="823">
        <f t="shared" si="109"/>
        <v>5062</v>
      </c>
      <c r="AF50" s="393">
        <f t="shared" si="109"/>
        <v>5600</v>
      </c>
      <c r="AG50" s="393">
        <f t="shared" si="109"/>
        <v>5636</v>
      </c>
      <c r="AH50" s="393">
        <f t="shared" si="109"/>
        <v>5951</v>
      </c>
      <c r="AI50" s="393">
        <f t="shared" si="109"/>
        <v>6227</v>
      </c>
      <c r="AJ50" s="823">
        <f t="shared" si="109"/>
        <v>5855</v>
      </c>
      <c r="AK50" s="393">
        <f t="shared" si="109"/>
        <v>5813</v>
      </c>
      <c r="AL50" s="393">
        <f t="shared" si="109"/>
        <v>6197</v>
      </c>
      <c r="AM50" s="393">
        <f t="shared" si="109"/>
        <v>5972</v>
      </c>
      <c r="AN50" s="393">
        <f t="shared" si="109"/>
        <v>5747</v>
      </c>
      <c r="AO50" s="823">
        <f t="shared" si="109"/>
        <v>5932</v>
      </c>
      <c r="AP50" s="393">
        <f t="shared" si="109"/>
        <v>6049</v>
      </c>
      <c r="AQ50" s="393">
        <f t="shared" si="109"/>
        <v>5524</v>
      </c>
      <c r="AR50" s="393">
        <f t="shared" si="109"/>
        <v>5257</v>
      </c>
      <c r="AS50" s="393">
        <f t="shared" si="109"/>
        <v>5904</v>
      </c>
      <c r="AT50" s="823">
        <f t="shared" si="109"/>
        <v>5683</v>
      </c>
      <c r="AU50" s="393">
        <f t="shared" si="109"/>
        <v>6127</v>
      </c>
      <c r="AV50" s="393">
        <f t="shared" si="109"/>
        <v>5993</v>
      </c>
      <c r="AW50" s="393">
        <f t="shared" si="109"/>
        <v>5953</v>
      </c>
      <c r="AX50" s="393">
        <f t="shared" si="109"/>
        <v>6010</v>
      </c>
      <c r="AY50" s="823">
        <f t="shared" si="109"/>
        <v>6020</v>
      </c>
      <c r="AZ50" s="393">
        <f t="shared" si="109"/>
        <v>6119</v>
      </c>
      <c r="BA50" s="393">
        <f t="shared" ref="BA50:BF50" si="110">SUM(BA35:BA49)</f>
        <v>5547</v>
      </c>
      <c r="BB50" s="393">
        <f t="shared" si="110"/>
        <v>6211</v>
      </c>
      <c r="BC50" s="393">
        <f t="shared" si="110"/>
        <v>5798</v>
      </c>
      <c r="BD50" s="823">
        <f t="shared" si="110"/>
        <v>5920</v>
      </c>
      <c r="BE50" s="393">
        <f t="shared" si="110"/>
        <v>5775</v>
      </c>
      <c r="BF50" s="393">
        <f t="shared" si="110"/>
        <v>5478</v>
      </c>
      <c r="BG50" s="393">
        <f t="shared" ref="BG50:BL50" si="111">SUM(BG35:BG49)</f>
        <v>5616</v>
      </c>
      <c r="BH50" s="393">
        <f t="shared" si="111"/>
        <v>5661</v>
      </c>
      <c r="BI50" s="823">
        <f t="shared" si="111"/>
        <v>5632</v>
      </c>
      <c r="BJ50" s="393">
        <f t="shared" si="111"/>
        <v>5610</v>
      </c>
      <c r="BK50" s="393">
        <f t="shared" si="111"/>
        <v>5378</v>
      </c>
      <c r="BL50" s="393">
        <f t="shared" si="111"/>
        <v>5550</v>
      </c>
      <c r="BM50" s="393">
        <f t="shared" ref="BM50:BS50" si="112">SUM(BM35:BM49)</f>
        <v>5437</v>
      </c>
      <c r="BN50" s="823">
        <f t="shared" si="112"/>
        <v>5494</v>
      </c>
      <c r="BO50" s="393">
        <f t="shared" si="112"/>
        <v>5371</v>
      </c>
      <c r="BP50" s="393">
        <f t="shared" si="112"/>
        <v>5099</v>
      </c>
      <c r="BQ50" s="393">
        <f t="shared" si="112"/>
        <v>5674</v>
      </c>
      <c r="BR50" s="393">
        <f t="shared" si="112"/>
        <v>5514</v>
      </c>
      <c r="BS50" s="823">
        <f t="shared" si="112"/>
        <v>5416</v>
      </c>
      <c r="BT50" s="641">
        <f>SUM(BT35:BT49)</f>
        <v>5161</v>
      </c>
      <c r="BU50" s="767">
        <v>5600</v>
      </c>
      <c r="BV50" s="767">
        <v>5600</v>
      </c>
      <c r="BW50" s="767">
        <v>5600</v>
      </c>
      <c r="BX50" s="823">
        <f>SUM(BT50*BT$3,BU50*BU$3,BV50*BV$3,BW50*BW$3)/BX$3</f>
        <v>5491.7534246575342</v>
      </c>
      <c r="BY50" s="767">
        <v>5500</v>
      </c>
      <c r="BZ50" s="767">
        <v>5400</v>
      </c>
      <c r="CA50" s="767">
        <v>5400</v>
      </c>
      <c r="CB50" s="767">
        <v>5400</v>
      </c>
      <c r="CC50" s="823">
        <f>SUM(BY50*BY$3,BZ50*BZ$3,CA50*CA$3,CB50*CB$3)/CC$3</f>
        <v>5424.6575342465758</v>
      </c>
      <c r="CD50" s="829">
        <v>5400</v>
      </c>
      <c r="CE50" s="829">
        <v>5400</v>
      </c>
      <c r="CF50" s="829">
        <v>5300</v>
      </c>
      <c r="CG50" s="26"/>
    </row>
    <row r="51" spans="1:85" s="429" customFormat="1" x14ac:dyDescent="0.3">
      <c r="A51" s="245" t="s">
        <v>48</v>
      </c>
      <c r="B51" s="246"/>
      <c r="C51" s="830">
        <v>1399</v>
      </c>
      <c r="D51" s="830">
        <v>1314</v>
      </c>
      <c r="E51" s="830">
        <v>1279</v>
      </c>
      <c r="F51" s="830">
        <v>1203</v>
      </c>
      <c r="G51" s="768">
        <v>1255</v>
      </c>
      <c r="H51" s="768">
        <v>1227</v>
      </c>
      <c r="I51" s="768">
        <v>1242</v>
      </c>
      <c r="J51" s="768">
        <v>1261</v>
      </c>
      <c r="K51" s="831">
        <f>SUM(G51*G$3,H51*H$3,I51*I$3,J51*J$3)/K$3</f>
        <v>1246.2547945205479</v>
      </c>
      <c r="L51" s="768">
        <v>1212</v>
      </c>
      <c r="M51" s="768">
        <v>1244</v>
      </c>
      <c r="N51" s="768">
        <v>1278</v>
      </c>
      <c r="O51" s="768">
        <v>1266</v>
      </c>
      <c r="P51" s="831">
        <f>SUM(L51*L$3,M51*M$3,N51*N$3,O51*O$3)/P$3</f>
        <v>1250.2246575342465</v>
      </c>
      <c r="Q51" s="768">
        <v>1257</v>
      </c>
      <c r="R51" s="768">
        <v>1312</v>
      </c>
      <c r="S51" s="768">
        <v>1351</v>
      </c>
      <c r="T51" s="768">
        <v>1320</v>
      </c>
      <c r="U51" s="831">
        <f>SUM(Q51*Q$3,R51*R$3,S51*S$3,T51*T$3)/U$3</f>
        <v>1310.2849315068493</v>
      </c>
      <c r="V51" s="768">
        <v>1266</v>
      </c>
      <c r="W51" s="768">
        <v>1088</v>
      </c>
      <c r="X51" s="768">
        <v>1077</v>
      </c>
      <c r="Y51" s="768">
        <v>1044</v>
      </c>
      <c r="Z51" s="830">
        <v>1120</v>
      </c>
      <c r="AA51" s="768">
        <v>1006</v>
      </c>
      <c r="AB51" s="768">
        <v>1027</v>
      </c>
      <c r="AC51" s="768">
        <v>932</v>
      </c>
      <c r="AD51" s="768">
        <v>920</v>
      </c>
      <c r="AE51" s="830">
        <v>970</v>
      </c>
      <c r="AF51" s="768">
        <v>993</v>
      </c>
      <c r="AG51" s="768">
        <v>980</v>
      </c>
      <c r="AH51" s="768">
        <v>1061</v>
      </c>
      <c r="AI51" s="768">
        <v>1101</v>
      </c>
      <c r="AJ51" s="830">
        <v>1034</v>
      </c>
      <c r="AK51" s="768">
        <v>1162</v>
      </c>
      <c r="AL51" s="768">
        <v>1130</v>
      </c>
      <c r="AM51" s="768">
        <v>1243</v>
      </c>
      <c r="AN51" s="768">
        <v>1363</v>
      </c>
      <c r="AO51" s="830">
        <v>1225</v>
      </c>
      <c r="AP51" s="768">
        <v>1564</v>
      </c>
      <c r="AQ51" s="768">
        <v>1462</v>
      </c>
      <c r="AR51" s="768">
        <v>1507</v>
      </c>
      <c r="AS51" s="768">
        <v>1892</v>
      </c>
      <c r="AT51" s="830">
        <v>1607</v>
      </c>
      <c r="AU51" s="768">
        <v>1643</v>
      </c>
      <c r="AV51" s="768">
        <v>1678</v>
      </c>
      <c r="AW51" s="768">
        <v>1708</v>
      </c>
      <c r="AX51" s="768">
        <v>1726</v>
      </c>
      <c r="AY51" s="830">
        <v>1689</v>
      </c>
      <c r="AZ51" s="768">
        <v>1828</v>
      </c>
      <c r="BA51" s="768">
        <v>1705</v>
      </c>
      <c r="BB51" s="768">
        <v>1708</v>
      </c>
      <c r="BC51" s="768">
        <v>1789</v>
      </c>
      <c r="BD51" s="830">
        <v>1758</v>
      </c>
      <c r="BE51" s="768">
        <v>1742</v>
      </c>
      <c r="BF51" s="768">
        <v>1817</v>
      </c>
      <c r="BG51" s="768">
        <v>2275</v>
      </c>
      <c r="BH51" s="768">
        <v>2604</v>
      </c>
      <c r="BI51" s="830">
        <v>2112</v>
      </c>
      <c r="BJ51" s="768">
        <v>2657</v>
      </c>
      <c r="BK51" s="768">
        <v>2643</v>
      </c>
      <c r="BL51" s="768">
        <v>2694</v>
      </c>
      <c r="BM51" s="768">
        <v>2743</v>
      </c>
      <c r="BN51" s="830">
        <v>2684</v>
      </c>
      <c r="BO51" s="768">
        <v>2859</v>
      </c>
      <c r="BP51" s="768">
        <v>2864</v>
      </c>
      <c r="BQ51" s="768">
        <v>3265</v>
      </c>
      <c r="BR51" s="768">
        <v>3402</v>
      </c>
      <c r="BS51" s="830">
        <v>3099</v>
      </c>
      <c r="BT51" s="769">
        <v>3380</v>
      </c>
      <c r="BU51" s="768">
        <v>3500</v>
      </c>
      <c r="BV51" s="768">
        <v>3500</v>
      </c>
      <c r="BW51" s="768">
        <v>3500</v>
      </c>
      <c r="BX51" s="831">
        <f>SUM(BT51*BT$3,BU51*BU$3,BV51*BV$3,BW51*BW$3)/BX$3</f>
        <v>3470.4109589041095</v>
      </c>
      <c r="BY51" s="768">
        <v>3500</v>
      </c>
      <c r="BZ51" s="768">
        <v>3000</v>
      </c>
      <c r="CA51" s="768">
        <v>3000</v>
      </c>
      <c r="CB51" s="768">
        <v>3000</v>
      </c>
      <c r="CC51" s="831">
        <f>SUM(BY51*BY$3,BZ51*BZ$3,CA51*CA$3,CB51*CB$3)/CC$3</f>
        <v>3123.2876712328766</v>
      </c>
      <c r="CD51" s="830">
        <v>3100</v>
      </c>
      <c r="CE51" s="830">
        <v>3100</v>
      </c>
      <c r="CF51" s="830">
        <v>3100</v>
      </c>
      <c r="CG51" s="26"/>
    </row>
    <row r="52" spans="1:85" s="429" customFormat="1" x14ac:dyDescent="0.3">
      <c r="A52" s="38" t="s">
        <v>49</v>
      </c>
      <c r="B52" s="91"/>
      <c r="C52" s="832">
        <f t="shared" ref="C52:AH52" si="113">SUM(C50:C51)</f>
        <v>4677</v>
      </c>
      <c r="D52" s="832">
        <f t="shared" si="113"/>
        <v>4677</v>
      </c>
      <c r="E52" s="832">
        <f t="shared" si="113"/>
        <v>4602</v>
      </c>
      <c r="F52" s="832">
        <f t="shared" si="113"/>
        <v>4746</v>
      </c>
      <c r="G52" s="39">
        <f t="shared" si="113"/>
        <v>5309</v>
      </c>
      <c r="H52" s="39">
        <f t="shared" si="113"/>
        <v>5214</v>
      </c>
      <c r="I52" s="39">
        <f t="shared" si="113"/>
        <v>5152</v>
      </c>
      <c r="J52" s="39">
        <f t="shared" si="113"/>
        <v>5097</v>
      </c>
      <c r="K52" s="832">
        <f t="shared" si="113"/>
        <v>5192.3068493150677</v>
      </c>
      <c r="L52" s="39">
        <f t="shared" si="113"/>
        <v>5253</v>
      </c>
      <c r="M52" s="39">
        <f t="shared" si="113"/>
        <v>5105</v>
      </c>
      <c r="N52" s="39">
        <f t="shared" si="113"/>
        <v>5213</v>
      </c>
      <c r="O52" s="39">
        <f t="shared" si="113"/>
        <v>5100</v>
      </c>
      <c r="P52" s="832">
        <f t="shared" si="113"/>
        <v>5167.4547945205477</v>
      </c>
      <c r="Q52" s="39">
        <f t="shared" si="113"/>
        <v>5283</v>
      </c>
      <c r="R52" s="39">
        <f t="shared" si="113"/>
        <v>5243</v>
      </c>
      <c r="S52" s="39">
        <f t="shared" si="113"/>
        <v>5165</v>
      </c>
      <c r="T52" s="39">
        <f t="shared" si="113"/>
        <v>5385</v>
      </c>
      <c r="U52" s="832">
        <f t="shared" si="113"/>
        <v>5268.9945205479453</v>
      </c>
      <c r="V52" s="39">
        <f t="shared" si="113"/>
        <v>5310</v>
      </c>
      <c r="W52" s="39">
        <f t="shared" si="113"/>
        <v>5031</v>
      </c>
      <c r="X52" s="39">
        <f t="shared" si="113"/>
        <v>5113</v>
      </c>
      <c r="Y52" s="55">
        <f t="shared" si="113"/>
        <v>5547</v>
      </c>
      <c r="Z52" s="833">
        <f t="shared" si="113"/>
        <v>5252</v>
      </c>
      <c r="AA52" s="55">
        <f t="shared" si="113"/>
        <v>5807</v>
      </c>
      <c r="AB52" s="39">
        <f t="shared" si="113"/>
        <v>6171</v>
      </c>
      <c r="AC52" s="39">
        <f t="shared" si="113"/>
        <v>5985</v>
      </c>
      <c r="AD52" s="55">
        <f t="shared" si="113"/>
        <v>6162</v>
      </c>
      <c r="AE52" s="833">
        <f t="shared" si="113"/>
        <v>6032</v>
      </c>
      <c r="AF52" s="55">
        <f t="shared" si="113"/>
        <v>6593</v>
      </c>
      <c r="AG52" s="39">
        <f t="shared" si="113"/>
        <v>6616</v>
      </c>
      <c r="AH52" s="39">
        <f t="shared" si="113"/>
        <v>7012</v>
      </c>
      <c r="AI52" s="55">
        <f t="shared" ref="AI52:AQ52" si="114">SUM(AI50:AI51)</f>
        <v>7328</v>
      </c>
      <c r="AJ52" s="833">
        <f t="shared" si="114"/>
        <v>6889</v>
      </c>
      <c r="AK52" s="55">
        <f t="shared" si="114"/>
        <v>6975</v>
      </c>
      <c r="AL52" s="39">
        <f t="shared" si="114"/>
        <v>7327</v>
      </c>
      <c r="AM52" s="39">
        <f t="shared" si="114"/>
        <v>7215</v>
      </c>
      <c r="AN52" s="55">
        <f t="shared" si="114"/>
        <v>7110</v>
      </c>
      <c r="AO52" s="833">
        <f t="shared" si="114"/>
        <v>7157</v>
      </c>
      <c r="AP52" s="55">
        <f t="shared" si="114"/>
        <v>7613</v>
      </c>
      <c r="AQ52" s="39">
        <f t="shared" si="114"/>
        <v>6986</v>
      </c>
      <c r="AR52" s="39">
        <f>SUM(AR50:AR51)</f>
        <v>6764</v>
      </c>
      <c r="AS52" s="55">
        <f t="shared" ref="AS52:AU52" si="115">SUM(AS50:AS51)</f>
        <v>7796</v>
      </c>
      <c r="AT52" s="833">
        <f t="shared" si="115"/>
        <v>7290</v>
      </c>
      <c r="AU52" s="55">
        <f t="shared" si="115"/>
        <v>7770</v>
      </c>
      <c r="AV52" s="39">
        <f t="shared" ref="AV52:BA52" si="116">SUM(AV50:AV51)</f>
        <v>7671</v>
      </c>
      <c r="AW52" s="39">
        <f t="shared" si="116"/>
        <v>7661</v>
      </c>
      <c r="AX52" s="55">
        <f t="shared" si="116"/>
        <v>7736</v>
      </c>
      <c r="AY52" s="833">
        <f t="shared" si="116"/>
        <v>7709</v>
      </c>
      <c r="AZ52" s="55">
        <f t="shared" si="116"/>
        <v>7947</v>
      </c>
      <c r="BA52" s="39">
        <f t="shared" si="116"/>
        <v>7252</v>
      </c>
      <c r="BB52" s="39">
        <f t="shared" ref="BB52:BD52" si="117">SUM(BB50:BB51)</f>
        <v>7919</v>
      </c>
      <c r="BC52" s="55">
        <f t="shared" si="117"/>
        <v>7587</v>
      </c>
      <c r="BD52" s="833">
        <f t="shared" si="117"/>
        <v>7678</v>
      </c>
      <c r="BE52" s="55">
        <f t="shared" ref="BE52:BI52" si="118">SUM(BE50:BE51)</f>
        <v>7517</v>
      </c>
      <c r="BF52" s="39">
        <f t="shared" si="118"/>
        <v>7295</v>
      </c>
      <c r="BG52" s="39">
        <f t="shared" si="118"/>
        <v>7891</v>
      </c>
      <c r="BH52" s="562">
        <f t="shared" si="118"/>
        <v>8265</v>
      </c>
      <c r="BI52" s="833">
        <f t="shared" si="118"/>
        <v>7744</v>
      </c>
      <c r="BJ52" s="55">
        <f t="shared" ref="BJ52:BX52" si="119">SUM(BJ50:BJ51)</f>
        <v>8267</v>
      </c>
      <c r="BK52" s="39">
        <f t="shared" si="119"/>
        <v>8021</v>
      </c>
      <c r="BL52" s="39">
        <f t="shared" si="119"/>
        <v>8244</v>
      </c>
      <c r="BM52" s="562">
        <f t="shared" si="119"/>
        <v>8180</v>
      </c>
      <c r="BN52" s="833">
        <f t="shared" si="119"/>
        <v>8178</v>
      </c>
      <c r="BO52" s="55">
        <f t="shared" ref="BO52:BW52" si="120">SUM(BO50:BO51)</f>
        <v>8230</v>
      </c>
      <c r="BP52" s="39">
        <f t="shared" si="120"/>
        <v>7963</v>
      </c>
      <c r="BQ52" s="39">
        <f t="shared" si="120"/>
        <v>8939</v>
      </c>
      <c r="BR52" s="562">
        <f t="shared" si="120"/>
        <v>8916</v>
      </c>
      <c r="BS52" s="833">
        <f t="shared" si="120"/>
        <v>8515</v>
      </c>
      <c r="BT52" s="642">
        <f>SUM(BT50:BT51)</f>
        <v>8541</v>
      </c>
      <c r="BU52" s="39">
        <f t="shared" si="120"/>
        <v>9100</v>
      </c>
      <c r="BV52" s="39">
        <f t="shared" si="120"/>
        <v>9100</v>
      </c>
      <c r="BW52" s="39">
        <f t="shared" si="120"/>
        <v>9100</v>
      </c>
      <c r="BX52" s="832">
        <f t="shared" si="119"/>
        <v>8962.1643835616433</v>
      </c>
      <c r="BY52" s="39">
        <f t="shared" ref="BY52:CF52" si="121">SUM(BY50:BY51)</f>
        <v>9000</v>
      </c>
      <c r="BZ52" s="39">
        <f t="shared" si="121"/>
        <v>8400</v>
      </c>
      <c r="CA52" s="39">
        <f t="shared" si="121"/>
        <v>8400</v>
      </c>
      <c r="CB52" s="39">
        <f t="shared" si="121"/>
        <v>8400</v>
      </c>
      <c r="CC52" s="832">
        <f t="shared" si="121"/>
        <v>8547.9452054794529</v>
      </c>
      <c r="CD52" s="832">
        <f t="shared" si="121"/>
        <v>8500</v>
      </c>
      <c r="CE52" s="832">
        <f t="shared" si="121"/>
        <v>8500</v>
      </c>
      <c r="CF52" s="832">
        <f t="shared" si="121"/>
        <v>8400</v>
      </c>
      <c r="CG52" s="26"/>
    </row>
    <row r="53" spans="1:85" s="429" customFormat="1" x14ac:dyDescent="0.3">
      <c r="A53" s="42" t="s">
        <v>50</v>
      </c>
      <c r="B53" s="90"/>
      <c r="C53" s="823">
        <f t="shared" ref="C53:AH53" si="122">C34+C52/CR.6Mcf.Per.Boe</f>
        <v>2348.5</v>
      </c>
      <c r="D53" s="823">
        <f t="shared" si="122"/>
        <v>2396.5</v>
      </c>
      <c r="E53" s="823">
        <f t="shared" si="122"/>
        <v>2312</v>
      </c>
      <c r="F53" s="823">
        <f t="shared" si="122"/>
        <v>2255</v>
      </c>
      <c r="G53" s="393">
        <f t="shared" si="122"/>
        <v>2644.8333333333335</v>
      </c>
      <c r="H53" s="393">
        <f t="shared" si="122"/>
        <v>2582</v>
      </c>
      <c r="I53" s="393">
        <f t="shared" si="122"/>
        <v>2585.6666666666665</v>
      </c>
      <c r="J53" s="393">
        <f t="shared" si="122"/>
        <v>2575.5</v>
      </c>
      <c r="K53" s="823">
        <f t="shared" si="122"/>
        <v>2596.7789954337895</v>
      </c>
      <c r="L53" s="393">
        <f t="shared" si="122"/>
        <v>2588.5</v>
      </c>
      <c r="M53" s="393">
        <f t="shared" si="122"/>
        <v>2544.8333333333335</v>
      </c>
      <c r="N53" s="393">
        <f t="shared" si="122"/>
        <v>2567.8333333333335</v>
      </c>
      <c r="O53" s="393">
        <f t="shared" si="122"/>
        <v>2582</v>
      </c>
      <c r="P53" s="823">
        <f t="shared" si="122"/>
        <v>2570.7657534246573</v>
      </c>
      <c r="Q53" s="393">
        <f t="shared" si="122"/>
        <v>2681.5</v>
      </c>
      <c r="R53" s="393">
        <f t="shared" si="122"/>
        <v>2595.8333333333335</v>
      </c>
      <c r="S53" s="393">
        <f t="shared" si="122"/>
        <v>2538.8333333333335</v>
      </c>
      <c r="T53" s="393">
        <f t="shared" si="122"/>
        <v>2672.5</v>
      </c>
      <c r="U53" s="823">
        <f t="shared" si="122"/>
        <v>2621.9136986301369</v>
      </c>
      <c r="V53" s="393">
        <f t="shared" si="122"/>
        <v>2666</v>
      </c>
      <c r="W53" s="393">
        <f t="shared" si="122"/>
        <v>2527.5</v>
      </c>
      <c r="X53" s="393">
        <f t="shared" si="122"/>
        <v>2513.1666666666665</v>
      </c>
      <c r="Y53" s="394">
        <f t="shared" si="122"/>
        <v>2669.5</v>
      </c>
      <c r="Z53" s="824">
        <f t="shared" si="122"/>
        <v>2594.3333333333335</v>
      </c>
      <c r="AA53" s="394">
        <f t="shared" si="122"/>
        <v>2675.8333333333335</v>
      </c>
      <c r="AB53" s="393">
        <f t="shared" si="122"/>
        <v>2779.5</v>
      </c>
      <c r="AC53" s="393">
        <f t="shared" si="122"/>
        <v>2716.5</v>
      </c>
      <c r="AD53" s="394">
        <f t="shared" si="122"/>
        <v>2740</v>
      </c>
      <c r="AE53" s="824">
        <f t="shared" si="122"/>
        <v>2728.3333333333335</v>
      </c>
      <c r="AF53" s="394">
        <f t="shared" si="122"/>
        <v>2851.833333333333</v>
      </c>
      <c r="AG53" s="393">
        <f t="shared" si="122"/>
        <v>2825.666666666667</v>
      </c>
      <c r="AH53" s="393">
        <f t="shared" si="122"/>
        <v>2955.666666666667</v>
      </c>
      <c r="AI53" s="394">
        <f t="shared" ref="AI53:AQ53" si="123">AI34+AI52/CR.6Mcf.Per.Boe</f>
        <v>3083.333333333333</v>
      </c>
      <c r="AJ53" s="824">
        <f t="shared" si="123"/>
        <v>2930.166666666667</v>
      </c>
      <c r="AK53" s="394">
        <f t="shared" si="123"/>
        <v>3037.5</v>
      </c>
      <c r="AL53" s="393">
        <f t="shared" si="123"/>
        <v>3084.166666666667</v>
      </c>
      <c r="AM53" s="393">
        <f t="shared" si="123"/>
        <v>3032.5</v>
      </c>
      <c r="AN53" s="394">
        <f t="shared" si="123"/>
        <v>3078</v>
      </c>
      <c r="AO53" s="824">
        <f t="shared" si="123"/>
        <v>3057.833333333333</v>
      </c>
      <c r="AP53" s="394">
        <f t="shared" si="123"/>
        <v>3234.833333333333</v>
      </c>
      <c r="AQ53" s="393">
        <f t="shared" si="123"/>
        <v>2988.333333333333</v>
      </c>
      <c r="AR53" s="393">
        <f>AR34+AR52/CR.6Mcf.Per.Boe</f>
        <v>2834.333333333333</v>
      </c>
      <c r="AS53" s="394">
        <f t="shared" ref="AS53:AU53" si="124">AS34+AS52/CR.6Mcf.Per.Boe</f>
        <v>3277.333333333333</v>
      </c>
      <c r="AT53" s="824">
        <f t="shared" si="124"/>
        <v>3083</v>
      </c>
      <c r="AU53" s="394">
        <f t="shared" si="124"/>
        <v>3121</v>
      </c>
      <c r="AV53" s="393">
        <f t="shared" ref="AV53:BA53" si="125">AV34+AV52/CR.6Mcf.Per.Boe</f>
        <v>3125.5</v>
      </c>
      <c r="AW53" s="393">
        <f t="shared" si="125"/>
        <v>3033.833333333333</v>
      </c>
      <c r="AX53" s="394">
        <f t="shared" si="125"/>
        <v>3117.333333333333</v>
      </c>
      <c r="AY53" s="824">
        <f t="shared" si="125"/>
        <v>3098.833333333333</v>
      </c>
      <c r="AZ53" s="394">
        <f t="shared" si="125"/>
        <v>3060.5</v>
      </c>
      <c r="BA53" s="393">
        <f t="shared" si="125"/>
        <v>2895.666666666667</v>
      </c>
      <c r="BB53" s="393">
        <f t="shared" ref="BB53:BD53" si="126">BB34+BB52/CR.6Mcf.Per.Boe</f>
        <v>3026.833333333333</v>
      </c>
      <c r="BC53" s="394">
        <f t="shared" si="126"/>
        <v>3011.5</v>
      </c>
      <c r="BD53" s="824">
        <f t="shared" si="126"/>
        <v>2999.666666666667</v>
      </c>
      <c r="BE53" s="394">
        <f t="shared" ref="BE53:BI53" si="127">BE34+BE52/CR.6Mcf.Per.Boe</f>
        <v>2978.833333333333</v>
      </c>
      <c r="BF53" s="393">
        <f t="shared" si="127"/>
        <v>2958.833333333333</v>
      </c>
      <c r="BG53" s="393">
        <f t="shared" si="127"/>
        <v>3146.166666666667</v>
      </c>
      <c r="BH53" s="394">
        <f t="shared" si="127"/>
        <v>3392.5</v>
      </c>
      <c r="BI53" s="824">
        <f t="shared" si="127"/>
        <v>3120.666666666667</v>
      </c>
      <c r="BJ53" s="394">
        <f t="shared" ref="BJ53:BN53" si="128">BJ34+BJ52/CR.6Mcf.Per.Boe</f>
        <v>3345.833333333333</v>
      </c>
      <c r="BK53" s="393">
        <f t="shared" si="128"/>
        <v>3291.833333333333</v>
      </c>
      <c r="BL53" s="393">
        <f t="shared" si="128"/>
        <v>3364</v>
      </c>
      <c r="BM53" s="394">
        <f t="shared" si="128"/>
        <v>3349.333333333333</v>
      </c>
      <c r="BN53" s="824">
        <f t="shared" si="128"/>
        <v>3338</v>
      </c>
      <c r="BO53" s="394">
        <f t="shared" ref="BO53:BW53" si="129">BO34+BO52/CR.6Mcf.Per.Boe</f>
        <v>3352.666666666667</v>
      </c>
      <c r="BP53" s="393">
        <f t="shared" si="129"/>
        <v>3395.166666666667</v>
      </c>
      <c r="BQ53" s="393">
        <f t="shared" si="129"/>
        <v>4084.833333333333</v>
      </c>
      <c r="BR53" s="394">
        <f t="shared" si="129"/>
        <v>4045</v>
      </c>
      <c r="BS53" s="824">
        <f t="shared" si="129"/>
        <v>3722.166666666667</v>
      </c>
      <c r="BT53" s="640">
        <f>BT34+BT52/CR.6Mcf.Per.Boe</f>
        <v>3858.5</v>
      </c>
      <c r="BU53" s="393">
        <f t="shared" si="129"/>
        <v>4016.666666666667</v>
      </c>
      <c r="BV53" s="393">
        <f t="shared" si="129"/>
        <v>4266.666666666667</v>
      </c>
      <c r="BW53" s="393">
        <f t="shared" si="129"/>
        <v>4016.666666666667</v>
      </c>
      <c r="BX53" s="823">
        <f>BX34+BX52/CR.6Mcf.Per.Boe</f>
        <v>4040.6803652968038</v>
      </c>
      <c r="BY53" s="393">
        <f t="shared" ref="BY53:CF53" si="130">BY34+BY52/CR.6Mcf.Per.Boe</f>
        <v>4000</v>
      </c>
      <c r="BZ53" s="393">
        <f t="shared" si="130"/>
        <v>3900</v>
      </c>
      <c r="CA53" s="393">
        <f t="shared" si="130"/>
        <v>3900</v>
      </c>
      <c r="CB53" s="393">
        <f t="shared" si="130"/>
        <v>3900</v>
      </c>
      <c r="CC53" s="823">
        <f t="shared" si="130"/>
        <v>3924.6575342465758</v>
      </c>
      <c r="CD53" s="823">
        <f t="shared" si="130"/>
        <v>3666.666666666667</v>
      </c>
      <c r="CE53" s="823">
        <f t="shared" si="130"/>
        <v>3666.666666666667</v>
      </c>
      <c r="CF53" s="823">
        <f t="shared" si="130"/>
        <v>3650</v>
      </c>
      <c r="CG53" s="26"/>
    </row>
    <row r="54" spans="1:85" s="430" customFormat="1" x14ac:dyDescent="0.3">
      <c r="A54" s="60" t="str">
        <f>CONCATENATE("Consensus Estimates - ",IFERROR(LEFT(A53,FIND("(",A53)-1),A53))</f>
        <v>Consensus Estimates - Total average daily production volumes, kBOE/d</v>
      </c>
      <c r="B54" s="86"/>
      <c r="C54" s="834"/>
      <c r="D54" s="834"/>
      <c r="E54" s="834"/>
      <c r="F54" s="834"/>
      <c r="G54" s="61"/>
      <c r="H54" s="61"/>
      <c r="I54" s="61"/>
      <c r="J54" s="61"/>
      <c r="K54" s="834"/>
      <c r="L54" s="61"/>
      <c r="M54" s="61"/>
      <c r="N54" s="61"/>
      <c r="O54" s="61"/>
      <c r="P54" s="834"/>
      <c r="Q54" s="61"/>
      <c r="R54" s="61"/>
      <c r="S54" s="61"/>
      <c r="T54" s="61"/>
      <c r="U54" s="834"/>
      <c r="V54" s="61"/>
      <c r="W54" s="61"/>
      <c r="X54" s="61"/>
      <c r="Y54" s="61"/>
      <c r="Z54" s="835"/>
      <c r="AA54" s="61"/>
      <c r="AB54" s="61"/>
      <c r="AC54" s="61"/>
      <c r="AD54" s="61"/>
      <c r="AE54" s="835"/>
      <c r="AF54" s="61"/>
      <c r="AG54" s="61"/>
      <c r="AH54" s="61"/>
      <c r="AI54" s="61"/>
      <c r="AJ54" s="835"/>
      <c r="AK54" s="61"/>
      <c r="AL54" s="61"/>
      <c r="AM54" s="61"/>
      <c r="AN54" s="61"/>
      <c r="AO54" s="835"/>
      <c r="AP54" s="61"/>
      <c r="AQ54" s="61"/>
      <c r="AR54" s="61"/>
      <c r="AS54" s="61"/>
      <c r="AT54" s="835"/>
      <c r="AU54" s="61"/>
      <c r="AV54" s="61"/>
      <c r="AW54" s="61"/>
      <c r="AX54" s="61"/>
      <c r="AY54" s="835"/>
      <c r="AZ54" s="61"/>
      <c r="BA54" s="61"/>
      <c r="BB54" s="61"/>
      <c r="BC54" s="61"/>
      <c r="BD54" s="835"/>
      <c r="BE54" s="61"/>
      <c r="BF54" s="61"/>
      <c r="BG54" s="61"/>
      <c r="BH54" s="61"/>
      <c r="BI54" s="835"/>
      <c r="BJ54" s="61"/>
      <c r="BK54" s="61"/>
      <c r="BL54" s="61"/>
      <c r="BM54" s="61"/>
      <c r="BN54" s="835"/>
      <c r="BO54" s="61"/>
      <c r="BP54" s="61"/>
      <c r="BQ54" s="61"/>
      <c r="BR54" s="61"/>
      <c r="BS54" s="835"/>
      <c r="BT54" s="643"/>
      <c r="BU54" s="313" t="str">
        <f t="shared" ref="BU54:CC54" ca="1" si="131">IFERROR(VLOOKUP($A54,tb_ConsensusEstimate,MATCH(BU$5,OFFSET(tb_ConsensusEstimate,0,0,1,COLUMNS(tb_ConsensusEstimate)),0),FALSE),"-")</f>
        <v>n/a</v>
      </c>
      <c r="BV54" s="313" t="str">
        <f t="shared" ca="1" si="131"/>
        <v>n/a</v>
      </c>
      <c r="BW54" s="313" t="str">
        <f t="shared" ca="1" si="131"/>
        <v>n/a</v>
      </c>
      <c r="BX54" s="835" t="str">
        <f t="shared" ca="1" si="131"/>
        <v>n/a</v>
      </c>
      <c r="BY54" s="313" t="str">
        <f t="shared" ca="1" si="131"/>
        <v>n/a</v>
      </c>
      <c r="BZ54" s="313" t="str">
        <f t="shared" ca="1" si="131"/>
        <v>n/a</v>
      </c>
      <c r="CA54" s="313" t="str">
        <f t="shared" ca="1" si="131"/>
        <v>n/a</v>
      </c>
      <c r="CB54" s="313" t="str">
        <f t="shared" ca="1" si="131"/>
        <v>n/a</v>
      </c>
      <c r="CC54" s="835" t="str">
        <f t="shared" ca="1" si="131"/>
        <v>n/a</v>
      </c>
      <c r="CD54" s="835" t="str">
        <f ca="1">IFERROR(VLOOKUP($A54,tb_ConsensusEstimate,MATCH(CD5,OFFSET(tb_ConsensusEstimate,0,0,1,COLUMNS(tb_ConsensusEstimate)),0),FALSE),"-")</f>
        <v>n/a</v>
      </c>
      <c r="CE54" s="835" t="str">
        <f ca="1">IFERROR(VLOOKUP($A54,tb_ConsensusEstimate,MATCH(CE5,OFFSET(tb_ConsensusEstimate,0,0,1,COLUMNS(tb_ConsensusEstimate)),0),FALSE),"-")</f>
        <v>n/a</v>
      </c>
      <c r="CF54" s="835" t="str">
        <f ca="1">IFERROR(VLOOKUP($A54,tb_ConsensusEstimate,MATCH(CF5,OFFSET(tb_ConsensusEstimate,0,0,1,COLUMNS(tb_ConsensusEstimate)),0),FALSE),"-")</f>
        <v>n/a</v>
      </c>
      <c r="CG54" s="61"/>
    </row>
    <row r="55" spans="1:85" s="431" customFormat="1" x14ac:dyDescent="0.3">
      <c r="A55" s="60"/>
      <c r="B55" s="86"/>
      <c r="C55" s="834"/>
      <c r="D55" s="834"/>
      <c r="E55" s="834"/>
      <c r="F55" s="834"/>
      <c r="G55" s="61"/>
      <c r="H55" s="61"/>
      <c r="I55" s="61"/>
      <c r="J55" s="61"/>
      <c r="K55" s="834"/>
      <c r="L55" s="61"/>
      <c r="M55" s="61"/>
      <c r="N55" s="61"/>
      <c r="O55" s="61"/>
      <c r="P55" s="834"/>
      <c r="Q55" s="61"/>
      <c r="R55" s="61"/>
      <c r="S55" s="61"/>
      <c r="T55" s="61"/>
      <c r="U55" s="834"/>
      <c r="V55" s="61"/>
      <c r="W55" s="61"/>
      <c r="X55" s="61"/>
      <c r="Y55" s="61"/>
      <c r="Z55" s="835"/>
      <c r="AA55" s="61"/>
      <c r="AB55" s="61"/>
      <c r="AC55" s="61"/>
      <c r="AD55" s="61"/>
      <c r="AE55" s="835"/>
      <c r="AF55" s="61"/>
      <c r="AG55" s="61"/>
      <c r="AH55" s="61"/>
      <c r="AI55" s="61"/>
      <c r="AJ55" s="835"/>
      <c r="AK55" s="61"/>
      <c r="AL55" s="61"/>
      <c r="AM55" s="61"/>
      <c r="AN55" s="61"/>
      <c r="AO55" s="835"/>
      <c r="AP55" s="61"/>
      <c r="AQ55" s="61"/>
      <c r="AR55" s="61"/>
      <c r="AS55" s="61"/>
      <c r="AT55" s="835"/>
      <c r="AU55" s="61"/>
      <c r="AV55" s="61"/>
      <c r="AW55" s="61"/>
      <c r="AX55" s="61"/>
      <c r="AY55" s="835"/>
      <c r="AZ55" s="61"/>
      <c r="BA55" s="61"/>
      <c r="BB55" s="61"/>
      <c r="BC55" s="61"/>
      <c r="BD55" s="835"/>
      <c r="BE55" s="61"/>
      <c r="BF55" s="61"/>
      <c r="BG55" s="61"/>
      <c r="BH55" s="61"/>
      <c r="BI55" s="835"/>
      <c r="BJ55" s="61"/>
      <c r="BK55" s="61"/>
      <c r="BL55" s="61"/>
      <c r="BM55" s="61"/>
      <c r="BN55" s="835"/>
      <c r="BO55" s="61"/>
      <c r="BP55" s="61"/>
      <c r="BQ55" s="61"/>
      <c r="BR55" s="61"/>
      <c r="BS55" s="835"/>
      <c r="BT55" s="643"/>
      <c r="BU55" s="61"/>
      <c r="BV55" s="61"/>
      <c r="BW55" s="61"/>
      <c r="BX55" s="836"/>
      <c r="BY55" s="61"/>
      <c r="BZ55" s="61"/>
      <c r="CA55" s="61"/>
      <c r="CB55" s="61"/>
      <c r="CC55" s="836"/>
      <c r="CD55" s="836"/>
      <c r="CE55" s="836"/>
      <c r="CF55" s="836"/>
      <c r="CG55" s="54"/>
    </row>
    <row r="56" spans="1:85" s="424" customFormat="1" x14ac:dyDescent="0.3">
      <c r="A56" s="103" t="s">
        <v>51</v>
      </c>
      <c r="B56" s="107"/>
      <c r="C56" s="837">
        <f t="shared" ref="C56:AH56" si="132">C33*C$3/1000</f>
        <v>176.66</v>
      </c>
      <c r="D56" s="837">
        <f t="shared" si="132"/>
        <v>178.48500000000001</v>
      </c>
      <c r="E56" s="837">
        <f t="shared" si="132"/>
        <v>169.72499999999999</v>
      </c>
      <c r="F56" s="837">
        <f t="shared" si="132"/>
        <v>166.53</v>
      </c>
      <c r="G56" s="722">
        <f t="shared" si="132"/>
        <v>40.950000000000003</v>
      </c>
      <c r="H56" s="722">
        <f t="shared" si="132"/>
        <v>41.405000000000001</v>
      </c>
      <c r="I56" s="722">
        <f t="shared" si="132"/>
        <v>41.216000000000001</v>
      </c>
      <c r="J56" s="722">
        <f t="shared" si="132"/>
        <v>40.479999999999997</v>
      </c>
      <c r="K56" s="837">
        <f t="shared" si="132"/>
        <v>164.05099999999999</v>
      </c>
      <c r="L56" s="722">
        <f t="shared" si="132"/>
        <v>39.42</v>
      </c>
      <c r="M56" s="722">
        <f t="shared" si="132"/>
        <v>41.86</v>
      </c>
      <c r="N56" s="722">
        <f t="shared" si="132"/>
        <v>42.688000000000002</v>
      </c>
      <c r="O56" s="722">
        <f t="shared" si="132"/>
        <v>42.503999999999998</v>
      </c>
      <c r="P56" s="837">
        <f t="shared" si="132"/>
        <v>166.47200000000001</v>
      </c>
      <c r="Q56" s="722">
        <f t="shared" si="132"/>
        <v>44.01</v>
      </c>
      <c r="R56" s="722">
        <f t="shared" si="132"/>
        <v>46.500999999999998</v>
      </c>
      <c r="S56" s="722">
        <f t="shared" si="132"/>
        <v>46.46</v>
      </c>
      <c r="T56" s="722">
        <f t="shared" si="132"/>
        <v>45.908000000000001</v>
      </c>
      <c r="U56" s="837">
        <f t="shared" si="132"/>
        <v>182.87899999999999</v>
      </c>
      <c r="V56" s="722">
        <f t="shared" si="132"/>
        <v>44.59</v>
      </c>
      <c r="W56" s="722">
        <f t="shared" si="132"/>
        <v>45.591000000000001</v>
      </c>
      <c r="X56" s="722">
        <f t="shared" si="132"/>
        <v>47.747999999999998</v>
      </c>
      <c r="Y56" s="190">
        <f t="shared" si="132"/>
        <v>46.735999999999997</v>
      </c>
      <c r="Z56" s="838">
        <f t="shared" si="132"/>
        <v>184.464</v>
      </c>
      <c r="AA56" s="722">
        <f t="shared" si="132"/>
        <v>45.36</v>
      </c>
      <c r="AB56" s="722">
        <f t="shared" si="132"/>
        <v>48.23</v>
      </c>
      <c r="AC56" s="722">
        <f t="shared" si="132"/>
        <v>48.3</v>
      </c>
      <c r="AD56" s="190">
        <f t="shared" si="132"/>
        <v>47.655999999999999</v>
      </c>
      <c r="AE56" s="838">
        <f t="shared" si="132"/>
        <v>189.435</v>
      </c>
      <c r="AF56" s="722">
        <f t="shared" si="132"/>
        <v>51.03</v>
      </c>
      <c r="AG56" s="722">
        <f t="shared" si="132"/>
        <v>52.325000000000003</v>
      </c>
      <c r="AH56" s="722">
        <f t="shared" si="132"/>
        <v>60.167999999999999</v>
      </c>
      <c r="AI56" s="190">
        <f t="shared" ref="AI56:BG56" si="133">AI33*AI$3/1000</f>
        <v>62.008000000000003</v>
      </c>
      <c r="AJ56" s="838">
        <f t="shared" si="133"/>
        <v>225.57</v>
      </c>
      <c r="AK56" s="722">
        <f t="shared" si="133"/>
        <v>62.1</v>
      </c>
      <c r="AL56" s="722">
        <f t="shared" si="133"/>
        <v>64.61</v>
      </c>
      <c r="AM56" s="722">
        <f t="shared" si="133"/>
        <v>66.792000000000002</v>
      </c>
      <c r="AN56" s="190">
        <f t="shared" si="133"/>
        <v>70.932000000000002</v>
      </c>
      <c r="AO56" s="838">
        <f t="shared" si="133"/>
        <v>264.26</v>
      </c>
      <c r="AP56" s="722">
        <f t="shared" si="133"/>
        <v>73.072999999999993</v>
      </c>
      <c r="AQ56" s="722">
        <f t="shared" si="133"/>
        <v>67.977000000000004</v>
      </c>
      <c r="AR56" s="722">
        <f t="shared" si="133"/>
        <v>67.251999999999995</v>
      </c>
      <c r="AS56" s="190">
        <f t="shared" si="133"/>
        <v>80.959999999999994</v>
      </c>
      <c r="AT56" s="838">
        <f t="shared" si="133"/>
        <v>289.14</v>
      </c>
      <c r="AU56" s="722">
        <f t="shared" si="133"/>
        <v>72.180000000000007</v>
      </c>
      <c r="AV56" s="722">
        <f t="shared" si="133"/>
        <v>77.986999999999995</v>
      </c>
      <c r="AW56" s="722">
        <f t="shared" si="133"/>
        <v>77.463999999999999</v>
      </c>
      <c r="AX56" s="190">
        <f t="shared" si="133"/>
        <v>85.468000000000004</v>
      </c>
      <c r="AY56" s="838">
        <f t="shared" si="133"/>
        <v>313.17</v>
      </c>
      <c r="AZ56" s="722">
        <f t="shared" si="133"/>
        <v>79.2</v>
      </c>
      <c r="BA56" s="722">
        <f t="shared" si="133"/>
        <v>80.808000000000007</v>
      </c>
      <c r="BB56" s="722">
        <f t="shared" si="133"/>
        <v>81.971999999999994</v>
      </c>
      <c r="BC56" s="190">
        <f t="shared" si="133"/>
        <v>82.34</v>
      </c>
      <c r="BD56" s="838">
        <f t="shared" si="133"/>
        <v>324.12</v>
      </c>
      <c r="BE56" s="722">
        <f t="shared" si="133"/>
        <v>78.930000000000007</v>
      </c>
      <c r="BF56" s="722">
        <f t="shared" si="133"/>
        <v>83.355999999999995</v>
      </c>
      <c r="BG56" s="722">
        <f t="shared" si="133"/>
        <v>94.575999999999993</v>
      </c>
      <c r="BH56" s="190">
        <f t="shared" ref="BH56:BI56" si="134">BH33*BH$3/1000</f>
        <v>107.08799999999999</v>
      </c>
      <c r="BI56" s="838">
        <f t="shared" si="134"/>
        <v>363.90499999999997</v>
      </c>
      <c r="BJ56" s="722">
        <f t="shared" ref="BJ56:BN56" si="135">BJ33*BJ$3/1000</f>
        <v>102.83</v>
      </c>
      <c r="BK56" s="722">
        <f t="shared" si="135"/>
        <v>103.012</v>
      </c>
      <c r="BL56" s="722">
        <f t="shared" si="135"/>
        <v>106.352</v>
      </c>
      <c r="BM56" s="190">
        <f t="shared" si="135"/>
        <v>109.38800000000001</v>
      </c>
      <c r="BN56" s="838">
        <f t="shared" si="135"/>
        <v>421.63200000000001</v>
      </c>
      <c r="BO56" s="722">
        <f t="shared" ref="BO56:BW56" si="136">BO33*BO$3/1000</f>
        <v>104.31</v>
      </c>
      <c r="BP56" s="722">
        <f t="shared" si="136"/>
        <v>110.83799999999999</v>
      </c>
      <c r="BQ56" s="722">
        <f t="shared" si="136"/>
        <v>137.63200000000001</v>
      </c>
      <c r="BR56" s="190">
        <f t="shared" si="136"/>
        <v>136.89599999999999</v>
      </c>
      <c r="BS56" s="838">
        <f t="shared" si="136"/>
        <v>489.46499999999997</v>
      </c>
      <c r="BT56" s="723">
        <f>BT33*BT$3/1000</f>
        <v>131.49</v>
      </c>
      <c r="BU56" s="722">
        <f t="shared" si="136"/>
        <v>136.5</v>
      </c>
      <c r="BV56" s="722">
        <f t="shared" si="136"/>
        <v>138</v>
      </c>
      <c r="BW56" s="722">
        <f t="shared" si="136"/>
        <v>138</v>
      </c>
      <c r="BX56" s="837">
        <f>SUM(BT56,BU56,BV56,BW56)</f>
        <v>543.99</v>
      </c>
      <c r="BY56" s="722">
        <f>BY33*BY$3/1000</f>
        <v>135</v>
      </c>
      <c r="BZ56" s="722">
        <f>BZ33*BZ$3/1000</f>
        <v>136.5</v>
      </c>
      <c r="CA56" s="722">
        <f>CA33*CA$3/1000</f>
        <v>138</v>
      </c>
      <c r="CB56" s="722">
        <f>CB33*CB$3/1000</f>
        <v>138</v>
      </c>
      <c r="CC56" s="837">
        <f>SUM(BY56,BZ56,CA56,CB56)</f>
        <v>547.5</v>
      </c>
      <c r="CD56" s="837">
        <f>CD33*CD3/1000</f>
        <v>484.95</v>
      </c>
      <c r="CE56" s="837">
        <f>CE33*CE3/1000</f>
        <v>483.625</v>
      </c>
      <c r="CF56" s="837">
        <f>CF33*CF3/1000</f>
        <v>483.625</v>
      </c>
      <c r="CG56" s="190"/>
    </row>
    <row r="57" spans="1:85" s="424" customFormat="1" x14ac:dyDescent="0.3">
      <c r="A57" s="247" t="s">
        <v>52</v>
      </c>
      <c r="B57" s="248"/>
      <c r="C57" s="839">
        <f t="shared" ref="C57:AH57" si="137">C32*C$3/1000</f>
        <v>396.02499999999998</v>
      </c>
      <c r="D57" s="839">
        <f t="shared" si="137"/>
        <v>411.72</v>
      </c>
      <c r="E57" s="839">
        <f t="shared" si="137"/>
        <v>394.2</v>
      </c>
      <c r="F57" s="839">
        <f t="shared" si="137"/>
        <v>369.29399999999998</v>
      </c>
      <c r="G57" s="724">
        <f t="shared" si="137"/>
        <v>117.45</v>
      </c>
      <c r="H57" s="724">
        <f t="shared" si="137"/>
        <v>114.47799999999999</v>
      </c>
      <c r="I57" s="724">
        <f t="shared" si="137"/>
        <v>117.66800000000001</v>
      </c>
      <c r="J57" s="724">
        <f t="shared" si="137"/>
        <v>118.312</v>
      </c>
      <c r="K57" s="839">
        <f t="shared" si="137"/>
        <v>467.90800000000002</v>
      </c>
      <c r="L57" s="724">
        <f t="shared" si="137"/>
        <v>114.75</v>
      </c>
      <c r="M57" s="724">
        <f t="shared" si="137"/>
        <v>112.294</v>
      </c>
      <c r="N57" s="724">
        <f t="shared" si="137"/>
        <v>113.62</v>
      </c>
      <c r="O57" s="724">
        <f t="shared" si="137"/>
        <v>116.84</v>
      </c>
      <c r="P57" s="839">
        <f t="shared" si="137"/>
        <v>457.50399999999996</v>
      </c>
      <c r="Q57" s="724">
        <f t="shared" si="137"/>
        <v>118.08</v>
      </c>
      <c r="R57" s="724">
        <f t="shared" si="137"/>
        <v>110.20099999999999</v>
      </c>
      <c r="S57" s="724">
        <f t="shared" si="137"/>
        <v>107.916</v>
      </c>
      <c r="T57" s="724">
        <f t="shared" si="137"/>
        <v>117.392</v>
      </c>
      <c r="U57" s="839">
        <f t="shared" si="137"/>
        <v>453.58899999999994</v>
      </c>
      <c r="V57" s="724">
        <f t="shared" si="137"/>
        <v>117.48099999999999</v>
      </c>
      <c r="W57" s="724">
        <f t="shared" si="137"/>
        <v>108.108</v>
      </c>
      <c r="X57" s="724">
        <f t="shared" si="137"/>
        <v>105.06399999999999</v>
      </c>
      <c r="Y57" s="735">
        <f t="shared" si="137"/>
        <v>113.804</v>
      </c>
      <c r="Z57" s="840">
        <f t="shared" si="137"/>
        <v>444.69</v>
      </c>
      <c r="AA57" s="724">
        <f t="shared" si="137"/>
        <v>108.36</v>
      </c>
      <c r="AB57" s="724">
        <f t="shared" si="137"/>
        <v>111.111</v>
      </c>
      <c r="AC57" s="724">
        <f t="shared" si="137"/>
        <v>109.848</v>
      </c>
      <c r="AD57" s="735">
        <f t="shared" si="137"/>
        <v>109.94</v>
      </c>
      <c r="AE57" s="840">
        <f t="shared" si="137"/>
        <v>439.46</v>
      </c>
      <c r="AF57" s="724">
        <f t="shared" si="137"/>
        <v>106.74</v>
      </c>
      <c r="AG57" s="724">
        <f t="shared" si="137"/>
        <v>104.468</v>
      </c>
      <c r="AH57" s="724">
        <f t="shared" si="137"/>
        <v>104.236</v>
      </c>
      <c r="AI57" s="735">
        <f t="shared" ref="AI57:BG57" si="138">AI32*AI$3/1000</f>
        <v>109.29600000000001</v>
      </c>
      <c r="AJ57" s="840">
        <f t="shared" si="138"/>
        <v>424.86</v>
      </c>
      <c r="AK57" s="724">
        <f t="shared" si="138"/>
        <v>106.65</v>
      </c>
      <c r="AL57" s="724">
        <f t="shared" si="138"/>
        <v>104.923</v>
      </c>
      <c r="AM57" s="724">
        <f t="shared" si="138"/>
        <v>101.568</v>
      </c>
      <c r="AN57" s="735">
        <f t="shared" si="138"/>
        <v>103.224</v>
      </c>
      <c r="AO57" s="840">
        <f t="shared" si="138"/>
        <v>416.46499999999997</v>
      </c>
      <c r="AP57" s="724">
        <f t="shared" si="138"/>
        <v>105.833</v>
      </c>
      <c r="AQ57" s="724">
        <f t="shared" si="138"/>
        <v>98.007000000000005</v>
      </c>
      <c r="AR57" s="724">
        <f t="shared" si="138"/>
        <v>89.792000000000002</v>
      </c>
      <c r="AS57" s="735">
        <f t="shared" si="138"/>
        <v>101.01600000000001</v>
      </c>
      <c r="AT57" s="840">
        <f t="shared" si="138"/>
        <v>394.548</v>
      </c>
      <c r="AU57" s="724">
        <f t="shared" si="138"/>
        <v>92.16</v>
      </c>
      <c r="AV57" s="724">
        <f t="shared" si="138"/>
        <v>90.09</v>
      </c>
      <c r="AW57" s="724">
        <f t="shared" si="138"/>
        <v>84.18</v>
      </c>
      <c r="AX57" s="735">
        <f t="shared" si="138"/>
        <v>82.707999999999998</v>
      </c>
      <c r="AY57" s="840">
        <f t="shared" si="138"/>
        <v>348.94</v>
      </c>
      <c r="AZ57" s="724">
        <f t="shared" si="138"/>
        <v>77.040000000000006</v>
      </c>
      <c r="BA57" s="724">
        <f t="shared" si="138"/>
        <v>72.709000000000003</v>
      </c>
      <c r="BB57" s="724">
        <f t="shared" si="138"/>
        <v>75.072000000000003</v>
      </c>
      <c r="BC57" s="735">
        <f t="shared" si="138"/>
        <v>78.384</v>
      </c>
      <c r="BD57" s="840">
        <f t="shared" si="138"/>
        <v>303.68</v>
      </c>
      <c r="BE57" s="724">
        <f t="shared" si="138"/>
        <v>76.41</v>
      </c>
      <c r="BF57" s="724">
        <f t="shared" si="138"/>
        <v>75.257000000000005</v>
      </c>
      <c r="BG57" s="724">
        <f t="shared" si="138"/>
        <v>73.876000000000005</v>
      </c>
      <c r="BH57" s="735">
        <f t="shared" ref="BH57:BI57" si="139">BH32*BH$3/1000</f>
        <v>78.292000000000002</v>
      </c>
      <c r="BI57" s="840">
        <f t="shared" si="139"/>
        <v>304.04500000000002</v>
      </c>
      <c r="BJ57" s="724">
        <f t="shared" ref="BJ57:BN57" si="140">BJ32*BJ$3/1000</f>
        <v>76.257999999999996</v>
      </c>
      <c r="BK57" s="724">
        <f t="shared" si="140"/>
        <v>74.893000000000001</v>
      </c>
      <c r="BL57" s="724">
        <f t="shared" si="140"/>
        <v>76.727999999999994</v>
      </c>
      <c r="BM57" s="735">
        <f t="shared" si="140"/>
        <v>73.323999999999998</v>
      </c>
      <c r="BN57" s="840">
        <f t="shared" si="140"/>
        <v>301.21800000000002</v>
      </c>
      <c r="BO57" s="724">
        <f t="shared" ref="BO57:BW57" si="141">BO32*BO$3/1000</f>
        <v>73.98</v>
      </c>
      <c r="BP57" s="724">
        <f t="shared" si="141"/>
        <v>77.349999999999994</v>
      </c>
      <c r="BQ57" s="724">
        <f t="shared" si="141"/>
        <v>101.108</v>
      </c>
      <c r="BR57" s="735">
        <f t="shared" si="141"/>
        <v>98.531999999999996</v>
      </c>
      <c r="BS57" s="840">
        <f t="shared" si="141"/>
        <v>351.13</v>
      </c>
      <c r="BT57" s="725">
        <f>BT32*BT$3/1000</f>
        <v>87.66</v>
      </c>
      <c r="BU57" s="724">
        <f t="shared" si="141"/>
        <v>91</v>
      </c>
      <c r="BV57" s="724">
        <f t="shared" si="141"/>
        <v>115</v>
      </c>
      <c r="BW57" s="724">
        <f t="shared" si="141"/>
        <v>92</v>
      </c>
      <c r="BX57" s="839">
        <f>SUM(BT57,BU57,BV57,BW57)</f>
        <v>385.65999999999997</v>
      </c>
      <c r="BY57" s="724">
        <f>BY32*BY$3/1000</f>
        <v>90</v>
      </c>
      <c r="BZ57" s="724">
        <f>BZ32*BZ$3/1000</f>
        <v>91</v>
      </c>
      <c r="CA57" s="724">
        <f>CA32*CA$3/1000</f>
        <v>92</v>
      </c>
      <c r="CB57" s="724">
        <f>CB32*CB$3/1000</f>
        <v>92</v>
      </c>
      <c r="CC57" s="839">
        <f>SUM(BY57,BZ57,CA57,CB57)</f>
        <v>365</v>
      </c>
      <c r="CD57" s="839">
        <f>CD32*CD3/1000</f>
        <v>338.55</v>
      </c>
      <c r="CE57" s="839">
        <f>CE32*CE3/1000</f>
        <v>337.625</v>
      </c>
      <c r="CF57" s="839">
        <f>CF32*CF3/1000</f>
        <v>337.625</v>
      </c>
      <c r="CG57" s="190"/>
    </row>
    <row r="58" spans="1:85" s="427" customFormat="1" x14ac:dyDescent="0.3">
      <c r="A58" s="46" t="s">
        <v>53</v>
      </c>
      <c r="B58" s="92"/>
      <c r="C58" s="841">
        <f t="shared" ref="C58:AH58" si="142">SUM(C56:C57)</f>
        <v>572.68499999999995</v>
      </c>
      <c r="D58" s="841">
        <f t="shared" si="142"/>
        <v>590.20500000000004</v>
      </c>
      <c r="E58" s="841">
        <f t="shared" si="142"/>
        <v>563.92499999999995</v>
      </c>
      <c r="F58" s="841">
        <f t="shared" si="142"/>
        <v>535.82399999999996</v>
      </c>
      <c r="G58" s="736">
        <f t="shared" si="142"/>
        <v>158.4</v>
      </c>
      <c r="H58" s="736">
        <f t="shared" si="142"/>
        <v>155.88299999999998</v>
      </c>
      <c r="I58" s="736">
        <f t="shared" si="142"/>
        <v>158.88400000000001</v>
      </c>
      <c r="J58" s="736">
        <f t="shared" si="142"/>
        <v>158.792</v>
      </c>
      <c r="K58" s="841">
        <f t="shared" si="142"/>
        <v>631.95900000000006</v>
      </c>
      <c r="L58" s="736">
        <f t="shared" si="142"/>
        <v>154.17000000000002</v>
      </c>
      <c r="M58" s="736">
        <f t="shared" si="142"/>
        <v>154.154</v>
      </c>
      <c r="N58" s="736">
        <f t="shared" si="142"/>
        <v>156.30799999999999</v>
      </c>
      <c r="O58" s="736">
        <f t="shared" si="142"/>
        <v>159.34399999999999</v>
      </c>
      <c r="P58" s="841">
        <f t="shared" si="142"/>
        <v>623.976</v>
      </c>
      <c r="Q58" s="736">
        <f t="shared" si="142"/>
        <v>162.09</v>
      </c>
      <c r="R58" s="736">
        <f t="shared" si="142"/>
        <v>156.702</v>
      </c>
      <c r="S58" s="736">
        <f t="shared" si="142"/>
        <v>154.376</v>
      </c>
      <c r="T58" s="736">
        <f t="shared" si="142"/>
        <v>163.30000000000001</v>
      </c>
      <c r="U58" s="841">
        <f t="shared" si="142"/>
        <v>636.46799999999996</v>
      </c>
      <c r="V58" s="736">
        <f t="shared" si="142"/>
        <v>162.071</v>
      </c>
      <c r="W58" s="736">
        <f t="shared" si="142"/>
        <v>153.69900000000001</v>
      </c>
      <c r="X58" s="736">
        <f t="shared" si="142"/>
        <v>152.81199999999998</v>
      </c>
      <c r="Y58" s="737">
        <f t="shared" si="142"/>
        <v>160.54</v>
      </c>
      <c r="Z58" s="842">
        <f t="shared" si="142"/>
        <v>629.154</v>
      </c>
      <c r="AA58" s="736">
        <f t="shared" si="142"/>
        <v>153.72</v>
      </c>
      <c r="AB58" s="736">
        <f t="shared" si="142"/>
        <v>159.34100000000001</v>
      </c>
      <c r="AC58" s="736">
        <f t="shared" si="142"/>
        <v>158.148</v>
      </c>
      <c r="AD58" s="737">
        <f t="shared" si="142"/>
        <v>157.596</v>
      </c>
      <c r="AE58" s="842">
        <f t="shared" si="142"/>
        <v>628.89499999999998</v>
      </c>
      <c r="AF58" s="736">
        <f t="shared" si="142"/>
        <v>157.76999999999998</v>
      </c>
      <c r="AG58" s="736">
        <f t="shared" si="142"/>
        <v>156.79300000000001</v>
      </c>
      <c r="AH58" s="736">
        <f t="shared" si="142"/>
        <v>164.404</v>
      </c>
      <c r="AI58" s="737">
        <f t="shared" ref="AI58:AQ58" si="143">SUM(AI56:AI57)</f>
        <v>171.304</v>
      </c>
      <c r="AJ58" s="842">
        <f t="shared" si="143"/>
        <v>650.43000000000006</v>
      </c>
      <c r="AK58" s="736">
        <f t="shared" si="143"/>
        <v>168.75</v>
      </c>
      <c r="AL58" s="736">
        <f t="shared" si="143"/>
        <v>169.53300000000002</v>
      </c>
      <c r="AM58" s="736">
        <f t="shared" si="143"/>
        <v>168.36</v>
      </c>
      <c r="AN58" s="737">
        <f t="shared" si="143"/>
        <v>174.15600000000001</v>
      </c>
      <c r="AO58" s="842">
        <f t="shared" si="143"/>
        <v>680.72499999999991</v>
      </c>
      <c r="AP58" s="736">
        <f t="shared" si="143"/>
        <v>178.90600000000001</v>
      </c>
      <c r="AQ58" s="736">
        <f t="shared" si="143"/>
        <v>165.98400000000001</v>
      </c>
      <c r="AR58" s="736">
        <f>SUM(AR56:AR57)</f>
        <v>157.04399999999998</v>
      </c>
      <c r="AS58" s="737">
        <f t="shared" ref="AS58:AU58" si="144">SUM(AS56:AS57)</f>
        <v>181.976</v>
      </c>
      <c r="AT58" s="842">
        <f t="shared" si="144"/>
        <v>683.68799999999999</v>
      </c>
      <c r="AU58" s="736">
        <f t="shared" si="144"/>
        <v>164.34</v>
      </c>
      <c r="AV58" s="736">
        <f t="shared" ref="AV58:BA58" si="145">SUM(AV56:AV57)</f>
        <v>168.077</v>
      </c>
      <c r="AW58" s="736">
        <f t="shared" si="145"/>
        <v>161.64400000000001</v>
      </c>
      <c r="AX58" s="737">
        <f t="shared" si="145"/>
        <v>168.17599999999999</v>
      </c>
      <c r="AY58" s="842">
        <f t="shared" si="145"/>
        <v>662.11</v>
      </c>
      <c r="AZ58" s="736">
        <f t="shared" si="145"/>
        <v>156.24</v>
      </c>
      <c r="BA58" s="736">
        <f t="shared" si="145"/>
        <v>153.517</v>
      </c>
      <c r="BB58" s="736">
        <f t="shared" ref="BB58:BD58" si="146">SUM(BB56:BB57)</f>
        <v>157.04399999999998</v>
      </c>
      <c r="BC58" s="737">
        <f t="shared" si="146"/>
        <v>160.72399999999999</v>
      </c>
      <c r="BD58" s="842">
        <f t="shared" si="146"/>
        <v>627.79999999999995</v>
      </c>
      <c r="BE58" s="736">
        <f t="shared" ref="BE58:BI58" si="147">SUM(BE56:BE57)</f>
        <v>155.34</v>
      </c>
      <c r="BF58" s="736">
        <f t="shared" si="147"/>
        <v>158.613</v>
      </c>
      <c r="BG58" s="736">
        <f t="shared" si="147"/>
        <v>168.452</v>
      </c>
      <c r="BH58" s="737">
        <f t="shared" si="147"/>
        <v>185.38</v>
      </c>
      <c r="BI58" s="842">
        <f t="shared" si="147"/>
        <v>667.95</v>
      </c>
      <c r="BJ58" s="736">
        <f t="shared" ref="BJ58:BX58" si="148">SUM(BJ56:BJ57)</f>
        <v>179.08799999999999</v>
      </c>
      <c r="BK58" s="736">
        <f t="shared" si="148"/>
        <v>177.905</v>
      </c>
      <c r="BL58" s="736">
        <f t="shared" si="148"/>
        <v>183.07999999999998</v>
      </c>
      <c r="BM58" s="737">
        <f t="shared" si="148"/>
        <v>182.71199999999999</v>
      </c>
      <c r="BN58" s="842">
        <f t="shared" si="148"/>
        <v>722.85</v>
      </c>
      <c r="BO58" s="736">
        <f t="shared" ref="BO58:BW58" si="149">SUM(BO56:BO57)</f>
        <v>178.29000000000002</v>
      </c>
      <c r="BP58" s="736">
        <f t="shared" si="149"/>
        <v>188.18799999999999</v>
      </c>
      <c r="BQ58" s="736">
        <f t="shared" si="149"/>
        <v>238.74</v>
      </c>
      <c r="BR58" s="737">
        <f t="shared" si="149"/>
        <v>235.428</v>
      </c>
      <c r="BS58" s="842">
        <f t="shared" si="149"/>
        <v>840.59500000000003</v>
      </c>
      <c r="BT58" s="738">
        <f>SUM(BT56:BT57)</f>
        <v>219.15</v>
      </c>
      <c r="BU58" s="736">
        <f t="shared" si="149"/>
        <v>227.5</v>
      </c>
      <c r="BV58" s="736">
        <f t="shared" si="149"/>
        <v>253</v>
      </c>
      <c r="BW58" s="736">
        <f t="shared" si="149"/>
        <v>230</v>
      </c>
      <c r="BX58" s="841">
        <f t="shared" si="148"/>
        <v>929.65</v>
      </c>
      <c r="BY58" s="736">
        <f t="shared" ref="BY58:CF58" si="150">SUM(BY56:BY57)</f>
        <v>225</v>
      </c>
      <c r="BZ58" s="736">
        <f t="shared" si="150"/>
        <v>227.5</v>
      </c>
      <c r="CA58" s="736">
        <f t="shared" si="150"/>
        <v>230</v>
      </c>
      <c r="CB58" s="736">
        <f t="shared" si="150"/>
        <v>230</v>
      </c>
      <c r="CC58" s="841">
        <f t="shared" si="150"/>
        <v>912.5</v>
      </c>
      <c r="CD58" s="841">
        <f t="shared" si="150"/>
        <v>823.5</v>
      </c>
      <c r="CE58" s="841">
        <f t="shared" si="150"/>
        <v>821.25</v>
      </c>
      <c r="CF58" s="841">
        <f t="shared" si="150"/>
        <v>821.25</v>
      </c>
      <c r="CG58" s="321"/>
    </row>
    <row r="59" spans="1:85" s="424" customFormat="1" x14ac:dyDescent="0.3">
      <c r="A59" s="103" t="s">
        <v>54</v>
      </c>
      <c r="B59" s="107"/>
      <c r="C59" s="837">
        <f t="shared" ref="C59:AH59" si="151">C51*C$3/1000</f>
        <v>510.63499999999999</v>
      </c>
      <c r="D59" s="837">
        <f t="shared" si="151"/>
        <v>479.61</v>
      </c>
      <c r="E59" s="837">
        <f t="shared" si="151"/>
        <v>466.83499999999998</v>
      </c>
      <c r="F59" s="837">
        <f t="shared" si="151"/>
        <v>440.298</v>
      </c>
      <c r="G59" s="722">
        <f t="shared" si="151"/>
        <v>112.95</v>
      </c>
      <c r="H59" s="722">
        <f t="shared" si="151"/>
        <v>111.657</v>
      </c>
      <c r="I59" s="722">
        <f t="shared" si="151"/>
        <v>114.264</v>
      </c>
      <c r="J59" s="722">
        <f t="shared" si="151"/>
        <v>116.012</v>
      </c>
      <c r="K59" s="837">
        <f t="shared" si="151"/>
        <v>454.88299999999998</v>
      </c>
      <c r="L59" s="722">
        <f t="shared" si="151"/>
        <v>109.08</v>
      </c>
      <c r="M59" s="722">
        <f t="shared" si="151"/>
        <v>113.20399999999999</v>
      </c>
      <c r="N59" s="722">
        <f t="shared" si="151"/>
        <v>117.57599999999999</v>
      </c>
      <c r="O59" s="722">
        <f t="shared" si="151"/>
        <v>116.47199999999999</v>
      </c>
      <c r="P59" s="837">
        <f t="shared" si="151"/>
        <v>456.33199999999994</v>
      </c>
      <c r="Q59" s="722">
        <f t="shared" si="151"/>
        <v>113.13</v>
      </c>
      <c r="R59" s="722">
        <f t="shared" si="151"/>
        <v>119.392</v>
      </c>
      <c r="S59" s="722">
        <f t="shared" si="151"/>
        <v>124.292</v>
      </c>
      <c r="T59" s="722">
        <f t="shared" si="151"/>
        <v>121.44</v>
      </c>
      <c r="U59" s="837">
        <f t="shared" si="151"/>
        <v>478.25400000000002</v>
      </c>
      <c r="V59" s="722">
        <f t="shared" si="151"/>
        <v>115.206</v>
      </c>
      <c r="W59" s="722">
        <f t="shared" si="151"/>
        <v>99.007999999999996</v>
      </c>
      <c r="X59" s="722">
        <f t="shared" si="151"/>
        <v>99.084000000000003</v>
      </c>
      <c r="Y59" s="190">
        <f t="shared" si="151"/>
        <v>96.048000000000002</v>
      </c>
      <c r="Z59" s="838">
        <f t="shared" si="151"/>
        <v>409.92</v>
      </c>
      <c r="AA59" s="722">
        <f t="shared" si="151"/>
        <v>90.54</v>
      </c>
      <c r="AB59" s="722">
        <f t="shared" si="151"/>
        <v>93.456999999999994</v>
      </c>
      <c r="AC59" s="722">
        <f t="shared" si="151"/>
        <v>85.744</v>
      </c>
      <c r="AD59" s="190">
        <f t="shared" si="151"/>
        <v>84.64</v>
      </c>
      <c r="AE59" s="838">
        <f t="shared" si="151"/>
        <v>354.05</v>
      </c>
      <c r="AF59" s="722">
        <f t="shared" si="151"/>
        <v>89.37</v>
      </c>
      <c r="AG59" s="722">
        <f t="shared" si="151"/>
        <v>89.18</v>
      </c>
      <c r="AH59" s="722">
        <f t="shared" si="151"/>
        <v>97.611999999999995</v>
      </c>
      <c r="AI59" s="190">
        <f t="shared" ref="AI59:BG59" si="152">AI51*AI$3/1000</f>
        <v>101.292</v>
      </c>
      <c r="AJ59" s="838">
        <f t="shared" si="152"/>
        <v>377.41</v>
      </c>
      <c r="AK59" s="722">
        <f t="shared" si="152"/>
        <v>104.58</v>
      </c>
      <c r="AL59" s="722">
        <f t="shared" si="152"/>
        <v>102.83</v>
      </c>
      <c r="AM59" s="722">
        <f t="shared" si="152"/>
        <v>114.35599999999999</v>
      </c>
      <c r="AN59" s="190">
        <f t="shared" si="152"/>
        <v>125.396</v>
      </c>
      <c r="AO59" s="838">
        <f t="shared" si="152"/>
        <v>447.125</v>
      </c>
      <c r="AP59" s="722">
        <f t="shared" si="152"/>
        <v>142.32400000000001</v>
      </c>
      <c r="AQ59" s="722">
        <f t="shared" si="152"/>
        <v>133.042</v>
      </c>
      <c r="AR59" s="722">
        <f t="shared" si="152"/>
        <v>138.64400000000001</v>
      </c>
      <c r="AS59" s="190">
        <f t="shared" si="152"/>
        <v>174.06399999999999</v>
      </c>
      <c r="AT59" s="838">
        <f t="shared" si="152"/>
        <v>588.16200000000003</v>
      </c>
      <c r="AU59" s="722">
        <f t="shared" si="152"/>
        <v>147.87</v>
      </c>
      <c r="AV59" s="722">
        <f t="shared" si="152"/>
        <v>152.69800000000001</v>
      </c>
      <c r="AW59" s="722">
        <f t="shared" si="152"/>
        <v>157.136</v>
      </c>
      <c r="AX59" s="190">
        <f t="shared" si="152"/>
        <v>158.792</v>
      </c>
      <c r="AY59" s="838">
        <f t="shared" si="152"/>
        <v>616.48500000000001</v>
      </c>
      <c r="AZ59" s="722">
        <f t="shared" si="152"/>
        <v>164.52</v>
      </c>
      <c r="BA59" s="722">
        <f t="shared" si="152"/>
        <v>155.155</v>
      </c>
      <c r="BB59" s="722">
        <f t="shared" si="152"/>
        <v>157.136</v>
      </c>
      <c r="BC59" s="190">
        <f t="shared" si="152"/>
        <v>164.58799999999999</v>
      </c>
      <c r="BD59" s="838">
        <f t="shared" si="152"/>
        <v>641.66999999999996</v>
      </c>
      <c r="BE59" s="722">
        <f t="shared" si="152"/>
        <v>156.78</v>
      </c>
      <c r="BF59" s="722">
        <f t="shared" si="152"/>
        <v>165.34700000000001</v>
      </c>
      <c r="BG59" s="722">
        <f t="shared" si="152"/>
        <v>209.3</v>
      </c>
      <c r="BH59" s="190">
        <f t="shared" ref="BH59:BI59" si="153">BH51*BH$3/1000</f>
        <v>239.56800000000001</v>
      </c>
      <c r="BI59" s="838">
        <f t="shared" si="153"/>
        <v>770.88</v>
      </c>
      <c r="BJ59" s="722">
        <f t="shared" ref="BJ59:BN59" si="154">BJ51*BJ$3/1000</f>
        <v>241.78700000000001</v>
      </c>
      <c r="BK59" s="722">
        <f t="shared" si="154"/>
        <v>240.51300000000001</v>
      </c>
      <c r="BL59" s="722">
        <f t="shared" si="154"/>
        <v>247.84800000000001</v>
      </c>
      <c r="BM59" s="190">
        <f t="shared" si="154"/>
        <v>252.35599999999999</v>
      </c>
      <c r="BN59" s="838">
        <f t="shared" si="154"/>
        <v>982.34400000000005</v>
      </c>
      <c r="BO59" s="722">
        <f t="shared" ref="BO59:BW59" si="155">BO51*BO$3/1000</f>
        <v>257.31</v>
      </c>
      <c r="BP59" s="722">
        <f t="shared" si="155"/>
        <v>260.62400000000002</v>
      </c>
      <c r="BQ59" s="722">
        <f t="shared" si="155"/>
        <v>300.38</v>
      </c>
      <c r="BR59" s="190">
        <f t="shared" si="155"/>
        <v>312.98399999999998</v>
      </c>
      <c r="BS59" s="838">
        <f t="shared" si="155"/>
        <v>1131.135</v>
      </c>
      <c r="BT59" s="723">
        <f>BT51*BT$3/1000</f>
        <v>304.2</v>
      </c>
      <c r="BU59" s="722">
        <f t="shared" si="155"/>
        <v>318.5</v>
      </c>
      <c r="BV59" s="722">
        <f t="shared" si="155"/>
        <v>322</v>
      </c>
      <c r="BW59" s="722">
        <f t="shared" si="155"/>
        <v>322</v>
      </c>
      <c r="BX59" s="837">
        <f>SUM(BT59,BU59,BV59,BW59)</f>
        <v>1266.7</v>
      </c>
      <c r="BY59" s="722">
        <f>BY51*BY$3/1000</f>
        <v>315</v>
      </c>
      <c r="BZ59" s="722">
        <f>BZ51*BZ$3/1000</f>
        <v>273</v>
      </c>
      <c r="CA59" s="722">
        <f>CA51*CA$3/1000</f>
        <v>276</v>
      </c>
      <c r="CB59" s="722">
        <f>CB51*CB$3/1000</f>
        <v>276</v>
      </c>
      <c r="CC59" s="837">
        <f>SUM(BY59,BZ59,CA59,CB59)</f>
        <v>1140</v>
      </c>
      <c r="CD59" s="837">
        <f>CD51*CD3/1000</f>
        <v>1134.5999999999999</v>
      </c>
      <c r="CE59" s="837">
        <f>CE51*CE3/1000</f>
        <v>1131.5</v>
      </c>
      <c r="CF59" s="837">
        <f>CF51*CF3/1000</f>
        <v>1131.5</v>
      </c>
      <c r="CG59" s="190"/>
    </row>
    <row r="60" spans="1:85" s="424" customFormat="1" x14ac:dyDescent="0.3">
      <c r="A60" s="247" t="s">
        <v>55</v>
      </c>
      <c r="B60" s="248"/>
      <c r="C60" s="839">
        <f t="shared" ref="C60:AH60" si="156">C50*C$3/1000</f>
        <v>1196.47</v>
      </c>
      <c r="D60" s="839">
        <f t="shared" si="156"/>
        <v>1227.4949999999999</v>
      </c>
      <c r="E60" s="839">
        <f t="shared" si="156"/>
        <v>1212.895</v>
      </c>
      <c r="F60" s="839">
        <f t="shared" si="156"/>
        <v>1296.7380000000001</v>
      </c>
      <c r="G60" s="724">
        <f t="shared" si="156"/>
        <v>364.86</v>
      </c>
      <c r="H60" s="724">
        <f t="shared" si="156"/>
        <v>362.81700000000001</v>
      </c>
      <c r="I60" s="724">
        <f t="shared" si="156"/>
        <v>359.72</v>
      </c>
      <c r="J60" s="724">
        <f t="shared" si="156"/>
        <v>352.91199999999998</v>
      </c>
      <c r="K60" s="839">
        <f t="shared" si="156"/>
        <v>1440.3089999999997</v>
      </c>
      <c r="L60" s="724">
        <f t="shared" si="156"/>
        <v>363.69</v>
      </c>
      <c r="M60" s="724">
        <f t="shared" si="156"/>
        <v>351.351</v>
      </c>
      <c r="N60" s="724">
        <f t="shared" si="156"/>
        <v>362.02</v>
      </c>
      <c r="O60" s="724">
        <f t="shared" si="156"/>
        <v>352.72800000000001</v>
      </c>
      <c r="P60" s="839">
        <f t="shared" si="156"/>
        <v>1429.789</v>
      </c>
      <c r="Q60" s="724">
        <f t="shared" si="156"/>
        <v>362.34</v>
      </c>
      <c r="R60" s="724">
        <f t="shared" si="156"/>
        <v>357.721</v>
      </c>
      <c r="S60" s="724">
        <f t="shared" si="156"/>
        <v>350.88799999999998</v>
      </c>
      <c r="T60" s="724">
        <f t="shared" si="156"/>
        <v>373.98</v>
      </c>
      <c r="U60" s="839">
        <f t="shared" si="156"/>
        <v>1444.9290000000003</v>
      </c>
      <c r="V60" s="724">
        <f t="shared" si="156"/>
        <v>368.00400000000002</v>
      </c>
      <c r="W60" s="724">
        <f t="shared" si="156"/>
        <v>358.81299999999999</v>
      </c>
      <c r="X60" s="724">
        <f t="shared" si="156"/>
        <v>371.31200000000001</v>
      </c>
      <c r="Y60" s="735">
        <f t="shared" si="156"/>
        <v>414.27600000000001</v>
      </c>
      <c r="Z60" s="840">
        <f t="shared" si="156"/>
        <v>1512.3119999999999</v>
      </c>
      <c r="AA60" s="724">
        <f t="shared" si="156"/>
        <v>432.09</v>
      </c>
      <c r="AB60" s="724">
        <f t="shared" si="156"/>
        <v>468.10399999999998</v>
      </c>
      <c r="AC60" s="724">
        <f t="shared" si="156"/>
        <v>464.87599999999998</v>
      </c>
      <c r="AD60" s="735">
        <f t="shared" si="156"/>
        <v>482.26400000000001</v>
      </c>
      <c r="AE60" s="840">
        <f t="shared" si="156"/>
        <v>1847.63</v>
      </c>
      <c r="AF60" s="724">
        <f t="shared" si="156"/>
        <v>504</v>
      </c>
      <c r="AG60" s="724">
        <f t="shared" si="156"/>
        <v>512.87599999999998</v>
      </c>
      <c r="AH60" s="724">
        <f t="shared" si="156"/>
        <v>547.49199999999996</v>
      </c>
      <c r="AI60" s="735">
        <f t="shared" ref="AI60:BG60" si="157">AI50*AI$3/1000</f>
        <v>572.88400000000001</v>
      </c>
      <c r="AJ60" s="840">
        <f t="shared" si="157"/>
        <v>2137.0749999999998</v>
      </c>
      <c r="AK60" s="724">
        <f t="shared" si="157"/>
        <v>523.16999999999996</v>
      </c>
      <c r="AL60" s="724">
        <f t="shared" si="157"/>
        <v>563.92700000000002</v>
      </c>
      <c r="AM60" s="724">
        <f t="shared" si="157"/>
        <v>549.42399999999998</v>
      </c>
      <c r="AN60" s="735">
        <f t="shared" si="157"/>
        <v>528.72400000000005</v>
      </c>
      <c r="AO60" s="840">
        <f t="shared" si="157"/>
        <v>2165.1799999999998</v>
      </c>
      <c r="AP60" s="724">
        <f t="shared" si="157"/>
        <v>550.45899999999995</v>
      </c>
      <c r="AQ60" s="724">
        <f t="shared" si="157"/>
        <v>502.68400000000003</v>
      </c>
      <c r="AR60" s="724">
        <f t="shared" si="157"/>
        <v>483.64400000000001</v>
      </c>
      <c r="AS60" s="735">
        <f t="shared" si="157"/>
        <v>543.16800000000001</v>
      </c>
      <c r="AT60" s="840">
        <f t="shared" si="157"/>
        <v>2079.9780000000001</v>
      </c>
      <c r="AU60" s="724">
        <f t="shared" si="157"/>
        <v>551.42999999999995</v>
      </c>
      <c r="AV60" s="724">
        <f t="shared" si="157"/>
        <v>545.36300000000006</v>
      </c>
      <c r="AW60" s="724">
        <f t="shared" si="157"/>
        <v>547.67600000000004</v>
      </c>
      <c r="AX60" s="735">
        <f t="shared" si="157"/>
        <v>552.91999999999996</v>
      </c>
      <c r="AY60" s="840">
        <f t="shared" si="157"/>
        <v>2197.3000000000002</v>
      </c>
      <c r="AZ60" s="724">
        <f t="shared" si="157"/>
        <v>550.71</v>
      </c>
      <c r="BA60" s="724">
        <f t="shared" si="157"/>
        <v>504.77699999999999</v>
      </c>
      <c r="BB60" s="724">
        <f t="shared" si="157"/>
        <v>571.41200000000003</v>
      </c>
      <c r="BC60" s="735">
        <f t="shared" si="157"/>
        <v>533.41600000000005</v>
      </c>
      <c r="BD60" s="840">
        <f t="shared" si="157"/>
        <v>2160.8000000000002</v>
      </c>
      <c r="BE60" s="724">
        <f t="shared" si="157"/>
        <v>519.75</v>
      </c>
      <c r="BF60" s="724">
        <f t="shared" si="157"/>
        <v>498.49799999999999</v>
      </c>
      <c r="BG60" s="724">
        <f t="shared" si="157"/>
        <v>516.67200000000003</v>
      </c>
      <c r="BH60" s="735">
        <f t="shared" ref="BH60:BI60" si="158">BH50*BH$3/1000</f>
        <v>520.81200000000001</v>
      </c>
      <c r="BI60" s="840">
        <f t="shared" si="158"/>
        <v>2055.6799999999998</v>
      </c>
      <c r="BJ60" s="724">
        <f t="shared" ref="BJ60:BN60" si="159">BJ50*BJ$3/1000</f>
        <v>510.51</v>
      </c>
      <c r="BK60" s="724">
        <f t="shared" si="159"/>
        <v>489.39800000000002</v>
      </c>
      <c r="BL60" s="724">
        <f t="shared" si="159"/>
        <v>510.6</v>
      </c>
      <c r="BM60" s="735">
        <f t="shared" si="159"/>
        <v>500.20400000000001</v>
      </c>
      <c r="BN60" s="840">
        <f t="shared" si="159"/>
        <v>2010.8040000000001</v>
      </c>
      <c r="BO60" s="724">
        <f t="shared" ref="BO60:BW60" si="160">BO50*BO$3/1000</f>
        <v>483.39</v>
      </c>
      <c r="BP60" s="724">
        <f t="shared" si="160"/>
        <v>464.00900000000001</v>
      </c>
      <c r="BQ60" s="724">
        <f t="shared" si="160"/>
        <v>522.00800000000004</v>
      </c>
      <c r="BR60" s="735">
        <f t="shared" si="160"/>
        <v>507.28800000000001</v>
      </c>
      <c r="BS60" s="840">
        <f t="shared" si="160"/>
        <v>1976.84</v>
      </c>
      <c r="BT60" s="725">
        <f>BT50*BT$3/1000</f>
        <v>464.49</v>
      </c>
      <c r="BU60" s="724">
        <f t="shared" si="160"/>
        <v>509.6</v>
      </c>
      <c r="BV60" s="724">
        <f t="shared" si="160"/>
        <v>515.20000000000005</v>
      </c>
      <c r="BW60" s="724">
        <f t="shared" si="160"/>
        <v>515.20000000000005</v>
      </c>
      <c r="BX60" s="839">
        <f>SUM(BT60,BU60,BV60,BW60)</f>
        <v>2004.49</v>
      </c>
      <c r="BY60" s="724">
        <f>BY50*BY$3/1000</f>
        <v>495</v>
      </c>
      <c r="BZ60" s="724">
        <f>BZ50*BZ$3/1000</f>
        <v>491.4</v>
      </c>
      <c r="CA60" s="724">
        <f>CA50*CA$3/1000</f>
        <v>496.8</v>
      </c>
      <c r="CB60" s="724">
        <f>CB50*CB$3/1000</f>
        <v>496.8</v>
      </c>
      <c r="CC60" s="839">
        <f>SUM(BY60,BZ60,CA60,CB60)</f>
        <v>1980</v>
      </c>
      <c r="CD60" s="839">
        <f>CD50*CD3/1000</f>
        <v>1976.4</v>
      </c>
      <c r="CE60" s="839">
        <f>CE50*CE3/1000</f>
        <v>1971</v>
      </c>
      <c r="CF60" s="839">
        <f>CF50*CF3/1000</f>
        <v>1934.5</v>
      </c>
      <c r="CG60" s="190"/>
    </row>
    <row r="61" spans="1:85" s="427" customFormat="1" x14ac:dyDescent="0.3">
      <c r="A61" s="47" t="s">
        <v>56</v>
      </c>
      <c r="B61" s="93"/>
      <c r="C61" s="843">
        <f t="shared" ref="C61:AH61" si="161">SUM(C59:C60)</f>
        <v>1707.105</v>
      </c>
      <c r="D61" s="843">
        <f t="shared" si="161"/>
        <v>1707.105</v>
      </c>
      <c r="E61" s="843">
        <f t="shared" si="161"/>
        <v>1679.73</v>
      </c>
      <c r="F61" s="843">
        <f t="shared" si="161"/>
        <v>1737.0360000000001</v>
      </c>
      <c r="G61" s="739">
        <f t="shared" si="161"/>
        <v>477.81</v>
      </c>
      <c r="H61" s="739">
        <f t="shared" si="161"/>
        <v>474.47399999999999</v>
      </c>
      <c r="I61" s="739">
        <f t="shared" si="161"/>
        <v>473.98400000000004</v>
      </c>
      <c r="J61" s="739">
        <f t="shared" si="161"/>
        <v>468.92399999999998</v>
      </c>
      <c r="K61" s="843">
        <f t="shared" si="161"/>
        <v>1895.1919999999998</v>
      </c>
      <c r="L61" s="739">
        <f t="shared" si="161"/>
        <v>472.77</v>
      </c>
      <c r="M61" s="739">
        <f t="shared" si="161"/>
        <v>464.55500000000001</v>
      </c>
      <c r="N61" s="739">
        <f t="shared" si="161"/>
        <v>479.596</v>
      </c>
      <c r="O61" s="739">
        <f t="shared" si="161"/>
        <v>469.2</v>
      </c>
      <c r="P61" s="843">
        <f t="shared" si="161"/>
        <v>1886.1209999999999</v>
      </c>
      <c r="Q61" s="739">
        <f t="shared" si="161"/>
        <v>475.46999999999997</v>
      </c>
      <c r="R61" s="739">
        <f t="shared" si="161"/>
        <v>477.113</v>
      </c>
      <c r="S61" s="739">
        <f t="shared" si="161"/>
        <v>475.17999999999995</v>
      </c>
      <c r="T61" s="739">
        <f t="shared" si="161"/>
        <v>495.42</v>
      </c>
      <c r="U61" s="843">
        <f t="shared" si="161"/>
        <v>1923.1830000000004</v>
      </c>
      <c r="V61" s="739">
        <f t="shared" si="161"/>
        <v>483.21000000000004</v>
      </c>
      <c r="W61" s="739">
        <f t="shared" si="161"/>
        <v>457.82099999999997</v>
      </c>
      <c r="X61" s="739">
        <f t="shared" si="161"/>
        <v>470.39600000000002</v>
      </c>
      <c r="Y61" s="740">
        <f t="shared" si="161"/>
        <v>510.32400000000001</v>
      </c>
      <c r="Z61" s="844">
        <f t="shared" si="161"/>
        <v>1922.232</v>
      </c>
      <c r="AA61" s="739">
        <f t="shared" si="161"/>
        <v>522.63</v>
      </c>
      <c r="AB61" s="739">
        <f t="shared" si="161"/>
        <v>561.56099999999992</v>
      </c>
      <c r="AC61" s="739">
        <f t="shared" si="161"/>
        <v>550.62</v>
      </c>
      <c r="AD61" s="740">
        <f t="shared" si="161"/>
        <v>566.904</v>
      </c>
      <c r="AE61" s="844">
        <f t="shared" si="161"/>
        <v>2201.6800000000003</v>
      </c>
      <c r="AF61" s="739">
        <f t="shared" si="161"/>
        <v>593.37</v>
      </c>
      <c r="AG61" s="739">
        <f t="shared" si="161"/>
        <v>602.05600000000004</v>
      </c>
      <c r="AH61" s="739">
        <f t="shared" si="161"/>
        <v>645.10399999999993</v>
      </c>
      <c r="AI61" s="740">
        <f t="shared" ref="AI61:AQ61" si="162">SUM(AI59:AI60)</f>
        <v>674.17600000000004</v>
      </c>
      <c r="AJ61" s="844">
        <f t="shared" si="162"/>
        <v>2514.4849999999997</v>
      </c>
      <c r="AK61" s="739">
        <f t="shared" si="162"/>
        <v>627.75</v>
      </c>
      <c r="AL61" s="739">
        <f t="shared" si="162"/>
        <v>666.75700000000006</v>
      </c>
      <c r="AM61" s="739">
        <f t="shared" si="162"/>
        <v>663.78</v>
      </c>
      <c r="AN61" s="740">
        <f t="shared" si="162"/>
        <v>654.12</v>
      </c>
      <c r="AO61" s="844">
        <f t="shared" si="162"/>
        <v>2612.3049999999998</v>
      </c>
      <c r="AP61" s="739">
        <f t="shared" si="162"/>
        <v>692.7829999999999</v>
      </c>
      <c r="AQ61" s="739">
        <f t="shared" si="162"/>
        <v>635.726</v>
      </c>
      <c r="AR61" s="739">
        <f>SUM(AR59:AR60)</f>
        <v>622.28800000000001</v>
      </c>
      <c r="AS61" s="740">
        <f t="shared" ref="AS61:AU61" si="163">SUM(AS59:AS60)</f>
        <v>717.23199999999997</v>
      </c>
      <c r="AT61" s="844">
        <f t="shared" si="163"/>
        <v>2668.1400000000003</v>
      </c>
      <c r="AU61" s="739">
        <f t="shared" si="163"/>
        <v>699.3</v>
      </c>
      <c r="AV61" s="739">
        <f t="shared" ref="AV61:BA61" si="164">SUM(AV59:AV60)</f>
        <v>698.06100000000004</v>
      </c>
      <c r="AW61" s="739">
        <f t="shared" si="164"/>
        <v>704.81200000000001</v>
      </c>
      <c r="AX61" s="740">
        <f t="shared" si="164"/>
        <v>711.71199999999999</v>
      </c>
      <c r="AY61" s="844">
        <f t="shared" si="164"/>
        <v>2813.7850000000003</v>
      </c>
      <c r="AZ61" s="739">
        <f t="shared" si="164"/>
        <v>715.23</v>
      </c>
      <c r="BA61" s="739">
        <f t="shared" si="164"/>
        <v>659.93200000000002</v>
      </c>
      <c r="BB61" s="739">
        <f t="shared" ref="BB61:BD61" si="165">SUM(BB59:BB60)</f>
        <v>728.548</v>
      </c>
      <c r="BC61" s="740">
        <f t="shared" si="165"/>
        <v>698.00400000000002</v>
      </c>
      <c r="BD61" s="844">
        <f t="shared" si="165"/>
        <v>2802.4700000000003</v>
      </c>
      <c r="BE61" s="739">
        <f t="shared" ref="BE61:BI61" si="166">SUM(BE59:BE60)</f>
        <v>676.53</v>
      </c>
      <c r="BF61" s="739">
        <f t="shared" si="166"/>
        <v>663.84500000000003</v>
      </c>
      <c r="BG61" s="739">
        <f t="shared" si="166"/>
        <v>725.97199999999998</v>
      </c>
      <c r="BH61" s="740">
        <f t="shared" si="166"/>
        <v>760.38</v>
      </c>
      <c r="BI61" s="844">
        <f t="shared" si="166"/>
        <v>2826.56</v>
      </c>
      <c r="BJ61" s="739">
        <f t="shared" ref="BJ61:BX61" si="167">SUM(BJ59:BJ60)</f>
        <v>752.29700000000003</v>
      </c>
      <c r="BK61" s="739">
        <f t="shared" si="167"/>
        <v>729.91100000000006</v>
      </c>
      <c r="BL61" s="739">
        <f t="shared" si="167"/>
        <v>758.44800000000009</v>
      </c>
      <c r="BM61" s="740">
        <f t="shared" si="167"/>
        <v>752.56</v>
      </c>
      <c r="BN61" s="844">
        <f t="shared" si="167"/>
        <v>2993.1480000000001</v>
      </c>
      <c r="BO61" s="739">
        <f t="shared" ref="BO61:BW61" si="168">SUM(BO59:BO60)</f>
        <v>740.7</v>
      </c>
      <c r="BP61" s="739">
        <f t="shared" si="168"/>
        <v>724.63300000000004</v>
      </c>
      <c r="BQ61" s="739">
        <f t="shared" si="168"/>
        <v>822.38800000000003</v>
      </c>
      <c r="BR61" s="740">
        <f t="shared" si="168"/>
        <v>820.27199999999993</v>
      </c>
      <c r="BS61" s="844">
        <f t="shared" si="168"/>
        <v>3107.9749999999999</v>
      </c>
      <c r="BT61" s="741">
        <f>SUM(BT59:BT60)</f>
        <v>768.69</v>
      </c>
      <c r="BU61" s="739">
        <f t="shared" si="168"/>
        <v>828.1</v>
      </c>
      <c r="BV61" s="739">
        <f t="shared" si="168"/>
        <v>837.2</v>
      </c>
      <c r="BW61" s="739">
        <f t="shared" si="168"/>
        <v>837.2</v>
      </c>
      <c r="BX61" s="843">
        <f t="shared" si="167"/>
        <v>3271.19</v>
      </c>
      <c r="BY61" s="739">
        <f t="shared" ref="BY61:CF61" si="169">SUM(BY59:BY60)</f>
        <v>810</v>
      </c>
      <c r="BZ61" s="739">
        <f t="shared" si="169"/>
        <v>764.4</v>
      </c>
      <c r="CA61" s="739">
        <f t="shared" si="169"/>
        <v>772.8</v>
      </c>
      <c r="CB61" s="739">
        <f t="shared" si="169"/>
        <v>772.8</v>
      </c>
      <c r="CC61" s="843">
        <f t="shared" si="169"/>
        <v>3120</v>
      </c>
      <c r="CD61" s="843">
        <f t="shared" si="169"/>
        <v>3111</v>
      </c>
      <c r="CE61" s="843">
        <f t="shared" si="169"/>
        <v>3102.5</v>
      </c>
      <c r="CF61" s="843">
        <f t="shared" si="169"/>
        <v>3066</v>
      </c>
      <c r="CG61" s="321"/>
    </row>
    <row r="62" spans="1:85" s="429" customFormat="1" x14ac:dyDescent="0.3">
      <c r="A62" s="42" t="s">
        <v>57</v>
      </c>
      <c r="B62" s="90"/>
      <c r="C62" s="823">
        <f t="shared" ref="C62:AH62" si="170">C58+C61/CR.6Mcf.Per.Boe</f>
        <v>857.20249999999987</v>
      </c>
      <c r="D62" s="823">
        <f t="shared" si="170"/>
        <v>874.72250000000008</v>
      </c>
      <c r="E62" s="823">
        <f t="shared" si="170"/>
        <v>843.87999999999988</v>
      </c>
      <c r="F62" s="823">
        <f t="shared" si="170"/>
        <v>825.32999999999993</v>
      </c>
      <c r="G62" s="393">
        <f t="shared" si="170"/>
        <v>238.03500000000003</v>
      </c>
      <c r="H62" s="393">
        <f t="shared" si="170"/>
        <v>234.96199999999999</v>
      </c>
      <c r="I62" s="393">
        <f t="shared" si="170"/>
        <v>237.88133333333337</v>
      </c>
      <c r="J62" s="393">
        <f t="shared" si="170"/>
        <v>236.946</v>
      </c>
      <c r="K62" s="823">
        <f t="shared" si="170"/>
        <v>947.82433333333336</v>
      </c>
      <c r="L62" s="393">
        <f t="shared" si="170"/>
        <v>232.96500000000003</v>
      </c>
      <c r="M62" s="393">
        <f t="shared" si="170"/>
        <v>231.57983333333334</v>
      </c>
      <c r="N62" s="393">
        <f t="shared" si="170"/>
        <v>236.24066666666664</v>
      </c>
      <c r="O62" s="393">
        <f t="shared" si="170"/>
        <v>237.54399999999998</v>
      </c>
      <c r="P62" s="823">
        <f t="shared" si="170"/>
        <v>938.32950000000005</v>
      </c>
      <c r="Q62" s="393">
        <f t="shared" si="170"/>
        <v>241.33499999999998</v>
      </c>
      <c r="R62" s="393">
        <f t="shared" si="170"/>
        <v>236.22083333333333</v>
      </c>
      <c r="S62" s="393">
        <f t="shared" si="170"/>
        <v>233.57266666666666</v>
      </c>
      <c r="T62" s="393">
        <f t="shared" si="170"/>
        <v>245.87</v>
      </c>
      <c r="U62" s="823">
        <f t="shared" si="170"/>
        <v>956.99850000000004</v>
      </c>
      <c r="V62" s="393">
        <f t="shared" si="170"/>
        <v>242.60599999999999</v>
      </c>
      <c r="W62" s="393">
        <f t="shared" si="170"/>
        <v>230.0025</v>
      </c>
      <c r="X62" s="393">
        <f t="shared" si="170"/>
        <v>231.2113333333333</v>
      </c>
      <c r="Y62" s="394">
        <f t="shared" si="170"/>
        <v>245.59399999999999</v>
      </c>
      <c r="Z62" s="824">
        <f t="shared" si="170"/>
        <v>949.52600000000007</v>
      </c>
      <c r="AA62" s="393">
        <f t="shared" si="170"/>
        <v>240.82499999999999</v>
      </c>
      <c r="AB62" s="393">
        <f t="shared" si="170"/>
        <v>252.93450000000001</v>
      </c>
      <c r="AC62" s="393">
        <f t="shared" si="170"/>
        <v>249.91800000000001</v>
      </c>
      <c r="AD62" s="394">
        <f t="shared" si="170"/>
        <v>252.07999999999998</v>
      </c>
      <c r="AE62" s="824">
        <f t="shared" si="170"/>
        <v>995.8416666666667</v>
      </c>
      <c r="AF62" s="393">
        <f t="shared" si="170"/>
        <v>256.66499999999996</v>
      </c>
      <c r="AG62" s="393">
        <f t="shared" si="170"/>
        <v>257.13566666666668</v>
      </c>
      <c r="AH62" s="393">
        <f t="shared" si="170"/>
        <v>271.92133333333334</v>
      </c>
      <c r="AI62" s="394">
        <f t="shared" ref="AI62:AQ62" si="171">AI58+AI61/CR.6Mcf.Per.Boe</f>
        <v>283.66666666666669</v>
      </c>
      <c r="AJ62" s="824">
        <f t="shared" si="171"/>
        <v>1069.5108333333333</v>
      </c>
      <c r="AK62" s="393">
        <f t="shared" si="171"/>
        <v>273.375</v>
      </c>
      <c r="AL62" s="393">
        <f t="shared" si="171"/>
        <v>280.65916666666669</v>
      </c>
      <c r="AM62" s="393">
        <f t="shared" si="171"/>
        <v>278.99</v>
      </c>
      <c r="AN62" s="394">
        <f t="shared" si="171"/>
        <v>283.17599999999999</v>
      </c>
      <c r="AO62" s="824">
        <f t="shared" si="171"/>
        <v>1116.1091666666666</v>
      </c>
      <c r="AP62" s="393">
        <f t="shared" si="171"/>
        <v>294.3698333333333</v>
      </c>
      <c r="AQ62" s="393">
        <f t="shared" si="171"/>
        <v>271.93833333333333</v>
      </c>
      <c r="AR62" s="393">
        <f>AR58+AR61/CR.6Mcf.Per.Boe</f>
        <v>260.75866666666667</v>
      </c>
      <c r="AS62" s="394">
        <f t="shared" ref="AS62:AU62" si="172">AS58+AS61/CR.6Mcf.Per.Boe</f>
        <v>301.51466666666664</v>
      </c>
      <c r="AT62" s="824">
        <f t="shared" si="172"/>
        <v>1128.3780000000002</v>
      </c>
      <c r="AU62" s="393">
        <f t="shared" si="172"/>
        <v>280.89</v>
      </c>
      <c r="AV62" s="393">
        <f t="shared" ref="AV62:BA62" si="173">AV58+AV61/CR.6Mcf.Per.Boe</f>
        <v>284.4205</v>
      </c>
      <c r="AW62" s="393">
        <f t="shared" si="173"/>
        <v>279.11266666666666</v>
      </c>
      <c r="AX62" s="394">
        <f t="shared" si="173"/>
        <v>286.79466666666667</v>
      </c>
      <c r="AY62" s="824">
        <f t="shared" si="173"/>
        <v>1131.0741666666668</v>
      </c>
      <c r="AZ62" s="393">
        <f t="shared" si="173"/>
        <v>275.44499999999999</v>
      </c>
      <c r="BA62" s="393">
        <f t="shared" si="173"/>
        <v>263.50566666666668</v>
      </c>
      <c r="BB62" s="393">
        <f t="shared" ref="BB62:BD62" si="174">BB58+BB61/CR.6Mcf.Per.Boe</f>
        <v>278.46866666666665</v>
      </c>
      <c r="BC62" s="394">
        <f t="shared" si="174"/>
        <v>277.05799999999999</v>
      </c>
      <c r="BD62" s="824">
        <f t="shared" si="174"/>
        <v>1094.8783333333333</v>
      </c>
      <c r="BE62" s="393">
        <f t="shared" ref="BE62:BI62" si="175">BE58+BE61/CR.6Mcf.Per.Boe</f>
        <v>268.09500000000003</v>
      </c>
      <c r="BF62" s="393">
        <f t="shared" si="175"/>
        <v>269.25383333333332</v>
      </c>
      <c r="BG62" s="393">
        <f t="shared" si="175"/>
        <v>289.44733333333335</v>
      </c>
      <c r="BH62" s="394">
        <f t="shared" si="175"/>
        <v>312.11</v>
      </c>
      <c r="BI62" s="824">
        <f t="shared" si="175"/>
        <v>1139.0433333333333</v>
      </c>
      <c r="BJ62" s="393">
        <f t="shared" ref="BJ62:BX62" si="176">BJ58+BJ61/CR.6Mcf.Per.Boe</f>
        <v>304.4708333333333</v>
      </c>
      <c r="BK62" s="393">
        <f t="shared" si="176"/>
        <v>299.55683333333332</v>
      </c>
      <c r="BL62" s="393">
        <f t="shared" si="176"/>
        <v>309.488</v>
      </c>
      <c r="BM62" s="394">
        <f t="shared" si="176"/>
        <v>308.13866666666667</v>
      </c>
      <c r="BN62" s="824">
        <f t="shared" si="176"/>
        <v>1221.7080000000001</v>
      </c>
      <c r="BO62" s="393">
        <f t="shared" ref="BO62:BW62" si="177">BO58+BO61/CR.6Mcf.Per.Boe</f>
        <v>301.74</v>
      </c>
      <c r="BP62" s="393">
        <f t="shared" si="177"/>
        <v>308.96016666666668</v>
      </c>
      <c r="BQ62" s="393">
        <f t="shared" si="177"/>
        <v>375.80466666666666</v>
      </c>
      <c r="BR62" s="394">
        <f t="shared" si="177"/>
        <v>372.14</v>
      </c>
      <c r="BS62" s="824">
        <f t="shared" si="177"/>
        <v>1358.5908333333332</v>
      </c>
      <c r="BT62" s="641">
        <f>BT58+BT61/CR.6Mcf.Per.Boe</f>
        <v>347.26499999999999</v>
      </c>
      <c r="BU62" s="393">
        <f t="shared" si="177"/>
        <v>365.51666666666665</v>
      </c>
      <c r="BV62" s="393">
        <f t="shared" si="177"/>
        <v>392.5333333333333</v>
      </c>
      <c r="BW62" s="393">
        <f t="shared" si="177"/>
        <v>369.5333333333333</v>
      </c>
      <c r="BX62" s="823">
        <f t="shared" si="176"/>
        <v>1474.8483333333334</v>
      </c>
      <c r="BY62" s="393">
        <f t="shared" ref="BY62:CF62" si="178">BY58+BY61/CR.6Mcf.Per.Boe</f>
        <v>360</v>
      </c>
      <c r="BZ62" s="393">
        <f t="shared" si="178"/>
        <v>354.9</v>
      </c>
      <c r="CA62" s="393">
        <f t="shared" si="178"/>
        <v>358.79999999999995</v>
      </c>
      <c r="CB62" s="393">
        <f t="shared" si="178"/>
        <v>358.79999999999995</v>
      </c>
      <c r="CC62" s="823">
        <f t="shared" si="178"/>
        <v>1432.5</v>
      </c>
      <c r="CD62" s="823">
        <f t="shared" si="178"/>
        <v>1342</v>
      </c>
      <c r="CE62" s="823">
        <f t="shared" si="178"/>
        <v>1338.3333333333335</v>
      </c>
      <c r="CF62" s="823">
        <f t="shared" si="178"/>
        <v>1332.25</v>
      </c>
      <c r="CG62" s="26"/>
    </row>
    <row r="63" spans="1:85" s="432" customFormat="1" x14ac:dyDescent="0.3">
      <c r="A63" s="49" t="s">
        <v>58</v>
      </c>
      <c r="B63" s="94"/>
      <c r="C63" s="845">
        <f t="shared" ref="C63:AH63" si="179">(C58/C62)</f>
        <v>0.66808601234830745</v>
      </c>
      <c r="D63" s="845">
        <f t="shared" si="179"/>
        <v>0.67473398706446897</v>
      </c>
      <c r="E63" s="845">
        <f t="shared" si="179"/>
        <v>0.66825259515570934</v>
      </c>
      <c r="F63" s="845">
        <f t="shared" si="179"/>
        <v>0.64922394678492235</v>
      </c>
      <c r="G63" s="32">
        <f t="shared" si="179"/>
        <v>0.66544835843468397</v>
      </c>
      <c r="H63" s="32">
        <f t="shared" si="179"/>
        <v>0.66343919442292787</v>
      </c>
      <c r="I63" s="32">
        <f t="shared" si="179"/>
        <v>0.6679128529070516</v>
      </c>
      <c r="J63" s="32">
        <f t="shared" si="179"/>
        <v>0.67016113376043485</v>
      </c>
      <c r="K63" s="845">
        <f t="shared" si="179"/>
        <v>0.66674696752879314</v>
      </c>
      <c r="L63" s="32">
        <f t="shared" si="179"/>
        <v>0.66177322773807223</v>
      </c>
      <c r="M63" s="32">
        <f t="shared" si="179"/>
        <v>0.66566245333682617</v>
      </c>
      <c r="N63" s="32">
        <f t="shared" si="179"/>
        <v>0.6616473031738821</v>
      </c>
      <c r="O63" s="32">
        <f t="shared" si="179"/>
        <v>0.67079783113865221</v>
      </c>
      <c r="P63" s="845">
        <f t="shared" si="179"/>
        <v>0.66498602036917731</v>
      </c>
      <c r="Q63" s="32">
        <f t="shared" si="179"/>
        <v>0.67163900801790055</v>
      </c>
      <c r="R63" s="32">
        <f t="shared" si="179"/>
        <v>0.66337078651685388</v>
      </c>
      <c r="S63" s="32">
        <f t="shared" si="179"/>
        <v>0.66093349963894177</v>
      </c>
      <c r="T63" s="32">
        <f t="shared" si="179"/>
        <v>0.66417212347988774</v>
      </c>
      <c r="U63" s="845">
        <f t="shared" si="179"/>
        <v>0.66506687314556912</v>
      </c>
      <c r="V63" s="32">
        <f t="shared" si="179"/>
        <v>0.66804201050262568</v>
      </c>
      <c r="W63" s="32">
        <f t="shared" si="179"/>
        <v>0.6682492581602375</v>
      </c>
      <c r="X63" s="32">
        <f t="shared" si="179"/>
        <v>0.66091915909543075</v>
      </c>
      <c r="Y63" s="79">
        <f t="shared" si="179"/>
        <v>0.65368046450646189</v>
      </c>
      <c r="Z63" s="846">
        <f t="shared" si="179"/>
        <v>0.66259796993447251</v>
      </c>
      <c r="AA63" s="32">
        <f t="shared" si="179"/>
        <v>0.63830582373092493</v>
      </c>
      <c r="AB63" s="32">
        <f t="shared" si="179"/>
        <v>0.62996941896024461</v>
      </c>
      <c r="AC63" s="32">
        <f t="shared" si="179"/>
        <v>0.6327995582551077</v>
      </c>
      <c r="AD63" s="79">
        <f t="shared" si="179"/>
        <v>0.62518248175182489</v>
      </c>
      <c r="AE63" s="846">
        <f t="shared" si="179"/>
        <v>0.63152107513744649</v>
      </c>
      <c r="AF63" s="32">
        <f t="shared" si="179"/>
        <v>0.61469230319677404</v>
      </c>
      <c r="AG63" s="32">
        <f t="shared" si="179"/>
        <v>0.60976760646455108</v>
      </c>
      <c r="AH63" s="32">
        <f t="shared" si="179"/>
        <v>0.60460133077703848</v>
      </c>
      <c r="AI63" s="79">
        <f t="shared" ref="AI63:AQ63" si="180">(AI58/AI62)</f>
        <v>0.60389189189189185</v>
      </c>
      <c r="AJ63" s="846">
        <f t="shared" si="180"/>
        <v>0.60815653262044267</v>
      </c>
      <c r="AK63" s="32">
        <f t="shared" si="180"/>
        <v>0.61728395061728392</v>
      </c>
      <c r="AL63" s="32">
        <f t="shared" si="180"/>
        <v>0.60405295865982167</v>
      </c>
      <c r="AM63" s="32">
        <f t="shared" si="180"/>
        <v>0.60346248969497118</v>
      </c>
      <c r="AN63" s="79">
        <f t="shared" si="180"/>
        <v>0.61500974658869401</v>
      </c>
      <c r="AO63" s="846">
        <f t="shared" si="180"/>
        <v>0.60990897694445956</v>
      </c>
      <c r="AP63" s="32">
        <f t="shared" si="180"/>
        <v>0.60775928692874448</v>
      </c>
      <c r="AQ63" s="32">
        <f t="shared" si="180"/>
        <v>0.61037367540435028</v>
      </c>
      <c r="AR63" s="32">
        <f>(AR58/AR62)</f>
        <v>0.60225802657885441</v>
      </c>
      <c r="AS63" s="79">
        <f t="shared" ref="AS63:AU63" si="181">(AS58/AS62)</f>
        <v>0.60353946297803096</v>
      </c>
      <c r="AT63" s="846">
        <f t="shared" si="181"/>
        <v>0.60590334090171905</v>
      </c>
      <c r="AU63" s="32">
        <f t="shared" si="181"/>
        <v>0.58506888817686642</v>
      </c>
      <c r="AV63" s="32">
        <f t="shared" ref="AV63:BA63" si="182">(AV58/AV62)</f>
        <v>0.59094544872820343</v>
      </c>
      <c r="AW63" s="32">
        <f t="shared" si="182"/>
        <v>0.57913530736691754</v>
      </c>
      <c r="AX63" s="79">
        <f t="shared" si="182"/>
        <v>0.58639863130881087</v>
      </c>
      <c r="AY63" s="846">
        <f t="shared" si="182"/>
        <v>0.58538159522400901</v>
      </c>
      <c r="AZ63" s="32">
        <f t="shared" si="182"/>
        <v>0.56722757719326911</v>
      </c>
      <c r="BA63" s="32">
        <f t="shared" si="182"/>
        <v>0.58259468170829976</v>
      </c>
      <c r="BB63" s="32">
        <f t="shared" ref="BB63:BD63" si="183">(BB58/BB62)</f>
        <v>0.56395572931005999</v>
      </c>
      <c r="BC63" s="79">
        <f t="shared" si="183"/>
        <v>0.58010957994354972</v>
      </c>
      <c r="BD63" s="846">
        <f t="shared" si="183"/>
        <v>0.57339704411601289</v>
      </c>
      <c r="BE63" s="32">
        <f t="shared" ref="BE63:BI63" si="184">(BE58/BE62)</f>
        <v>0.57942147373132658</v>
      </c>
      <c r="BF63" s="32">
        <f t="shared" si="184"/>
        <v>0.58908353517715317</v>
      </c>
      <c r="BG63" s="32">
        <f t="shared" si="184"/>
        <v>0.58197806854902789</v>
      </c>
      <c r="BH63" s="79">
        <f t="shared" si="184"/>
        <v>0.59395725865880611</v>
      </c>
      <c r="BI63" s="846">
        <f t="shared" si="184"/>
        <v>0.58641315958128615</v>
      </c>
      <c r="BJ63" s="32">
        <f t="shared" ref="BJ63:BX63" si="185">(BJ58/BJ62)</f>
        <v>0.5881942714819427</v>
      </c>
      <c r="BK63" s="32">
        <f t="shared" si="185"/>
        <v>0.59389398005164296</v>
      </c>
      <c r="BL63" s="32">
        <f t="shared" si="185"/>
        <v>0.59155766944114141</v>
      </c>
      <c r="BM63" s="79">
        <f t="shared" si="185"/>
        <v>0.59295382165605093</v>
      </c>
      <c r="BN63" s="846">
        <f t="shared" si="185"/>
        <v>0.59167165967645297</v>
      </c>
      <c r="BO63" s="32">
        <f t="shared" ref="BO63:BW63" si="186">(BO58/BO62)</f>
        <v>0.59087293696559962</v>
      </c>
      <c r="BP63" s="32">
        <f t="shared" si="186"/>
        <v>0.60910117323646351</v>
      </c>
      <c r="BQ63" s="32">
        <f t="shared" si="186"/>
        <v>0.63527683708025628</v>
      </c>
      <c r="BR63" s="79">
        <f t="shared" si="186"/>
        <v>0.63263288009888752</v>
      </c>
      <c r="BS63" s="846">
        <f t="shared" si="186"/>
        <v>0.618725652621681</v>
      </c>
      <c r="BT63" s="644">
        <f>(BT58/BT62)</f>
        <v>0.63107425165219644</v>
      </c>
      <c r="BU63" s="32">
        <f t="shared" si="186"/>
        <v>0.62240663900414939</v>
      </c>
      <c r="BV63" s="32">
        <f t="shared" si="186"/>
        <v>0.64453125</v>
      </c>
      <c r="BW63" s="32">
        <f t="shared" si="186"/>
        <v>0.62240663900414939</v>
      </c>
      <c r="BX63" s="845">
        <f t="shared" si="185"/>
        <v>0.63033600065091433</v>
      </c>
      <c r="BY63" s="32">
        <f t="shared" ref="BY63:CF63" si="187">(BY58/BY62)</f>
        <v>0.625</v>
      </c>
      <c r="BZ63" s="32">
        <f t="shared" si="187"/>
        <v>0.64102564102564108</v>
      </c>
      <c r="CA63" s="32">
        <f t="shared" si="187"/>
        <v>0.64102564102564108</v>
      </c>
      <c r="CB63" s="32">
        <f t="shared" si="187"/>
        <v>0.64102564102564108</v>
      </c>
      <c r="CC63" s="845">
        <f t="shared" si="187"/>
        <v>0.63699825479930194</v>
      </c>
      <c r="CD63" s="845">
        <f t="shared" si="187"/>
        <v>0.61363636363636365</v>
      </c>
      <c r="CE63" s="845">
        <f t="shared" si="187"/>
        <v>0.61363636363636354</v>
      </c>
      <c r="CF63" s="845">
        <f t="shared" si="187"/>
        <v>0.61643835616438358</v>
      </c>
      <c r="CG63" s="79"/>
    </row>
    <row r="64" spans="1:85" s="433" customFormat="1" x14ac:dyDescent="0.3">
      <c r="A64" s="249" t="s">
        <v>59</v>
      </c>
      <c r="B64" s="250"/>
      <c r="C64" s="847"/>
      <c r="D64" s="847">
        <f>D62/C62-1</f>
        <v>2.0438577815627301E-2</v>
      </c>
      <c r="E64" s="847">
        <f>E62/D62-1</f>
        <v>-3.5259753807636351E-2</v>
      </c>
      <c r="F64" s="847">
        <f>F62/E62-1</f>
        <v>-2.1981798359956395E-2</v>
      </c>
      <c r="G64" s="251"/>
      <c r="H64" s="251"/>
      <c r="I64" s="251"/>
      <c r="J64" s="251"/>
      <c r="K64" s="847">
        <f t="shared" ref="K64:AU64" si="188">K62/F62-1</f>
        <v>0.14841861235303866</v>
      </c>
      <c r="L64" s="251">
        <f t="shared" si="188"/>
        <v>-2.1299388745352532E-2</v>
      </c>
      <c r="M64" s="251">
        <f t="shared" si="188"/>
        <v>-1.4394526207074598E-2</v>
      </c>
      <c r="N64" s="251">
        <f t="shared" si="188"/>
        <v>-6.8969962614415792E-3</v>
      </c>
      <c r="O64" s="251">
        <f t="shared" si="188"/>
        <v>2.5237817899437243E-3</v>
      </c>
      <c r="P64" s="847">
        <f t="shared" si="188"/>
        <v>-1.0017503243392789E-2</v>
      </c>
      <c r="Q64" s="251">
        <f t="shared" si="188"/>
        <v>3.5928143712574689E-2</v>
      </c>
      <c r="R64" s="251">
        <f t="shared" si="188"/>
        <v>2.0040605147684909E-2</v>
      </c>
      <c r="S64" s="251">
        <f t="shared" si="188"/>
        <v>-1.1293567858765452E-2</v>
      </c>
      <c r="T64" s="251">
        <f t="shared" si="188"/>
        <v>3.5050348567002398E-2</v>
      </c>
      <c r="U64" s="847">
        <f t="shared" si="188"/>
        <v>1.9895996022719187E-2</v>
      </c>
      <c r="V64" s="251">
        <f t="shared" si="188"/>
        <v>5.2665382145151707E-3</v>
      </c>
      <c r="W64" s="251">
        <f t="shared" si="188"/>
        <v>-2.6324237560192643E-2</v>
      </c>
      <c r="X64" s="251">
        <f t="shared" si="188"/>
        <v>-1.0109630407667658E-2</v>
      </c>
      <c r="Y64" s="252">
        <f t="shared" si="188"/>
        <v>-1.1225444340505764E-3</v>
      </c>
      <c r="Z64" s="848">
        <f t="shared" si="188"/>
        <v>-7.8082672020907129E-3</v>
      </c>
      <c r="AA64" s="251">
        <f t="shared" si="188"/>
        <v>-7.3411209945343225E-3</v>
      </c>
      <c r="AB64" s="251">
        <f t="shared" si="188"/>
        <v>9.9703264094955557E-2</v>
      </c>
      <c r="AC64" s="251">
        <f t="shared" si="188"/>
        <v>8.090722196432143E-2</v>
      </c>
      <c r="AD64" s="252">
        <f t="shared" si="188"/>
        <v>2.6409439970031867E-2</v>
      </c>
      <c r="AE64" s="848">
        <f t="shared" si="188"/>
        <v>4.8777670823828556E-2</v>
      </c>
      <c r="AF64" s="251">
        <f t="shared" si="188"/>
        <v>6.5773902211148982E-2</v>
      </c>
      <c r="AG64" s="251">
        <f t="shared" si="188"/>
        <v>1.660970198476952E-2</v>
      </c>
      <c r="AH64" s="251">
        <f t="shared" si="188"/>
        <v>8.8042211178599894E-2</v>
      </c>
      <c r="AI64" s="252">
        <f t="shared" si="188"/>
        <v>0.1253041362530416</v>
      </c>
      <c r="AJ64" s="848">
        <f t="shared" si="188"/>
        <v>7.3976786805131312E-2</v>
      </c>
      <c r="AK64" s="251">
        <f t="shared" si="188"/>
        <v>6.5104318859213528E-2</v>
      </c>
      <c r="AL64" s="251">
        <f t="shared" si="188"/>
        <v>9.1482835908930138E-2</v>
      </c>
      <c r="AM64" s="251">
        <f t="shared" si="188"/>
        <v>2.5995263335964802E-2</v>
      </c>
      <c r="AN64" s="252">
        <f t="shared" si="188"/>
        <v>-1.7297297297298453E-3</v>
      </c>
      <c r="AO64" s="848">
        <f t="shared" si="188"/>
        <v>4.3569762812126767E-2</v>
      </c>
      <c r="AP64" s="251">
        <f t="shared" si="188"/>
        <v>7.6798658741045411E-2</v>
      </c>
      <c r="AQ64" s="251">
        <f t="shared" si="188"/>
        <v>-3.1072683058632866E-2</v>
      </c>
      <c r="AR64" s="251">
        <f>AR62/AM62-1</f>
        <v>-6.5347622973344288E-2</v>
      </c>
      <c r="AS64" s="252">
        <f t="shared" si="188"/>
        <v>6.4760667099848401E-2</v>
      </c>
      <c r="AT64" s="848">
        <f t="shared" si="188"/>
        <v>1.0992502973499629E-2</v>
      </c>
      <c r="AU64" s="251">
        <f t="shared" si="188"/>
        <v>-4.5792169600711974E-2</v>
      </c>
      <c r="AV64" s="251">
        <f t="shared" ref="AV64:BA64" si="189">AV62/AQ62-1</f>
        <v>4.5900725041829293E-2</v>
      </c>
      <c r="AW64" s="251">
        <f t="shared" si="189"/>
        <v>7.0386922262730689E-2</v>
      </c>
      <c r="AX64" s="252">
        <f t="shared" si="189"/>
        <v>-4.8820179007322939E-2</v>
      </c>
      <c r="AY64" s="848">
        <f t="shared" si="189"/>
        <v>2.3894179669106119E-3</v>
      </c>
      <c r="AZ64" s="251">
        <f t="shared" si="189"/>
        <v>-1.9384812560076847E-2</v>
      </c>
      <c r="BA64" s="251">
        <f t="shared" si="189"/>
        <v>-7.3534901082493387E-2</v>
      </c>
      <c r="BB64" s="251">
        <f t="shared" ref="BB64:BD64" si="190">BB62/AW62-1</f>
        <v>-2.3073119815415488E-3</v>
      </c>
      <c r="BC64" s="252">
        <f t="shared" si="190"/>
        <v>-3.3949957228400329E-2</v>
      </c>
      <c r="BD64" s="848">
        <f t="shared" si="190"/>
        <v>-3.2001290808368776E-2</v>
      </c>
      <c r="BE64" s="251">
        <f t="shared" ref="BE64:BI64" si="191">BE62/AZ62-1</f>
        <v>-2.6684093013124133E-2</v>
      </c>
      <c r="BF64" s="251">
        <f t="shared" si="191"/>
        <v>2.1814205134108366E-2</v>
      </c>
      <c r="BG64" s="251">
        <f t="shared" si="191"/>
        <v>3.9425141787346574E-2</v>
      </c>
      <c r="BH64" s="252">
        <f t="shared" si="191"/>
        <v>0.12651502573468387</v>
      </c>
      <c r="BI64" s="848">
        <f t="shared" si="191"/>
        <v>4.0337815312812442E-2</v>
      </c>
      <c r="BJ64" s="251">
        <f t="shared" ref="BJ64:BX64" si="192">BJ62/BE62-1</f>
        <v>0.13568262494016392</v>
      </c>
      <c r="BK64" s="251">
        <f t="shared" si="192"/>
        <v>0.11254435869993795</v>
      </c>
      <c r="BL64" s="251">
        <f t="shared" si="192"/>
        <v>6.9237696667902693E-2</v>
      </c>
      <c r="BM64" s="252">
        <f t="shared" si="192"/>
        <v>-1.2724146401375647E-2</v>
      </c>
      <c r="BN64" s="848">
        <f t="shared" si="192"/>
        <v>7.2573768045113951E-2</v>
      </c>
      <c r="BO64" s="251">
        <f t="shared" ref="BO64:BP64" si="193">BO62/BJ62-1</f>
        <v>-8.9691130787019624E-3</v>
      </c>
      <c r="BP64" s="251">
        <f t="shared" si="193"/>
        <v>3.1390815654903648E-2</v>
      </c>
      <c r="BQ64" s="251">
        <f t="shared" ref="BQ64:BW64" si="194">BQ62/BL62-1</f>
        <v>0.21427863654379697</v>
      </c>
      <c r="BR64" s="252">
        <f t="shared" si="194"/>
        <v>0.20770302547770703</v>
      </c>
      <c r="BS64" s="848">
        <f t="shared" si="194"/>
        <v>0.11204218465732652</v>
      </c>
      <c r="BT64" s="645">
        <f>BT62/BO62-1</f>
        <v>0.15087492543249148</v>
      </c>
      <c r="BU64" s="251">
        <f t="shared" si="194"/>
        <v>0.183054341956703</v>
      </c>
      <c r="BV64" s="251">
        <f t="shared" si="194"/>
        <v>4.4514260067730183E-2</v>
      </c>
      <c r="BW64" s="251">
        <f t="shared" si="194"/>
        <v>-7.004532344458192E-3</v>
      </c>
      <c r="BX64" s="847">
        <f t="shared" si="192"/>
        <v>8.5572121603941564E-2</v>
      </c>
      <c r="BY64" s="251">
        <f>BY62/BT62-1</f>
        <v>3.6672281974860832E-2</v>
      </c>
      <c r="BZ64" s="251">
        <f>BZ62/BU62-1</f>
        <v>-2.9045643153526979E-2</v>
      </c>
      <c r="CA64" s="251">
        <f>CA62/BV62-1</f>
        <v>-8.59375E-2</v>
      </c>
      <c r="CB64" s="251">
        <f>CB62/BW62-1</f>
        <v>-2.9045643153526979E-2</v>
      </c>
      <c r="CC64" s="847">
        <f>CC62/BX62-1</f>
        <v>-2.8713686944081274E-2</v>
      </c>
      <c r="CD64" s="847">
        <f>CD62/CC62-1</f>
        <v>-6.3176265270506127E-2</v>
      </c>
      <c r="CE64" s="847">
        <f>CE62/CD62-1</f>
        <v>-2.732240437158362E-3</v>
      </c>
      <c r="CF64" s="847">
        <f>CF62/CE62-1</f>
        <v>-4.5454545454546302E-3</v>
      </c>
      <c r="CG64" s="69"/>
    </row>
    <row r="65" spans="1:85" s="434" customFormat="1" x14ac:dyDescent="0.3">
      <c r="A65" s="50" t="s">
        <v>60</v>
      </c>
      <c r="B65" s="95"/>
      <c r="C65" s="849"/>
      <c r="D65" s="849">
        <f>(D62/D537)/(C62/C537)-1</f>
        <v>1.7620668707527098E-2</v>
      </c>
      <c r="E65" s="849">
        <f>(E62/E537)/(D62/D537)-1</f>
        <v>-3.2484320736575367E-2</v>
      </c>
      <c r="F65" s="849">
        <f>(F62/F537)/(E62/E537)-1</f>
        <v>-4.0467398895155382E-3</v>
      </c>
      <c r="G65" s="29"/>
      <c r="H65" s="29"/>
      <c r="I65" s="29"/>
      <c r="J65" s="29"/>
      <c r="K65" s="849">
        <f t="shared" ref="K65:AP65" si="195">(K62/K537)/(F62/F537)-1</f>
        <v>0.16765130628898706</v>
      </c>
      <c r="L65" s="29">
        <f t="shared" si="195"/>
        <v>-3.6123679513517803E-3</v>
      </c>
      <c r="M65" s="29">
        <f t="shared" si="195"/>
        <v>3.4604708401388962E-3</v>
      </c>
      <c r="N65" s="29">
        <f t="shared" si="195"/>
        <v>1.0561058421435954E-2</v>
      </c>
      <c r="O65" s="29">
        <f t="shared" si="195"/>
        <v>2.1510341602846372E-2</v>
      </c>
      <c r="P65" s="849">
        <f t="shared" si="195"/>
        <v>7.9763268791670505E-3</v>
      </c>
      <c r="Q65" s="29">
        <f t="shared" si="195"/>
        <v>5.4105072257065734E-2</v>
      </c>
      <c r="R65" s="29">
        <f t="shared" si="195"/>
        <v>3.3963603243529983E-2</v>
      </c>
      <c r="S65" s="29">
        <f t="shared" si="195"/>
        <v>1.4173309964613523E-3</v>
      </c>
      <c r="T65" s="29">
        <f t="shared" si="195"/>
        <v>4.0206512507907854E-2</v>
      </c>
      <c r="U65" s="849">
        <f t="shared" si="195"/>
        <v>3.2366661224909832E-2</v>
      </c>
      <c r="V65" s="29">
        <f t="shared" si="195"/>
        <v>8.8810944773896061E-3</v>
      </c>
      <c r="W65" s="29">
        <f t="shared" si="195"/>
        <v>-2.3874437832580364E-2</v>
      </c>
      <c r="X65" s="29">
        <f t="shared" si="195"/>
        <v>-1.585026732687167E-2</v>
      </c>
      <c r="Y65" s="80">
        <f t="shared" si="195"/>
        <v>-9.43628805774821E-3</v>
      </c>
      <c r="Z65" s="850">
        <f t="shared" si="195"/>
        <v>-6.6522574428677927E-3</v>
      </c>
      <c r="AA65" s="29">
        <f t="shared" si="195"/>
        <v>-2.0757829382906601E-2</v>
      </c>
      <c r="AB65" s="29">
        <f t="shared" si="195"/>
        <v>8.7492755927550681E-2</v>
      </c>
      <c r="AC65" s="29">
        <f t="shared" si="195"/>
        <v>7.3759437827376928E-2</v>
      </c>
      <c r="AD65" s="80">
        <f t="shared" si="195"/>
        <v>1.7738936869850841E-2</v>
      </c>
      <c r="AE65" s="850">
        <f t="shared" si="195"/>
        <v>3.504696923192574E-2</v>
      </c>
      <c r="AF65" s="29">
        <f t="shared" si="195"/>
        <v>5.5844338613632249E-2</v>
      </c>
      <c r="AG65" s="29">
        <f t="shared" si="195"/>
        <v>2.8700076932717256E-3</v>
      </c>
      <c r="AH65" s="29">
        <f t="shared" si="195"/>
        <v>7.578844838942933E-2</v>
      </c>
      <c r="AI65" s="80">
        <f t="shared" si="195"/>
        <v>0.12490460735065079</v>
      </c>
      <c r="AJ65" s="850">
        <f t="shared" si="195"/>
        <v>6.4733471992622027E-2</v>
      </c>
      <c r="AK65" s="29">
        <f t="shared" si="195"/>
        <v>7.2092015732325931E-2</v>
      </c>
      <c r="AL65" s="29">
        <f t="shared" si="195"/>
        <v>0.10064383147279532</v>
      </c>
      <c r="AM65" s="29">
        <f t="shared" si="195"/>
        <v>3.8750808673754022E-2</v>
      </c>
      <c r="AN65" s="80">
        <f t="shared" si="195"/>
        <v>1.6667963580722533E-2</v>
      </c>
      <c r="AO65" s="850">
        <f t="shared" si="195"/>
        <v>5.4021837063620737E-2</v>
      </c>
      <c r="AP65" s="29">
        <f t="shared" si="195"/>
        <v>9.7056786675695506E-2</v>
      </c>
      <c r="AQ65" s="29">
        <f t="shared" ref="AQ65:BQ65" si="196">(AQ62/AQ537)/(AL62/AL537)-1</f>
        <v>-5.1079343796044396E-3</v>
      </c>
      <c r="AR65" s="29">
        <f t="shared" si="196"/>
        <v>-4.4978261990835988E-2</v>
      </c>
      <c r="AS65" s="80">
        <f t="shared" si="196"/>
        <v>4.3358171008678781E-2</v>
      </c>
      <c r="AT65" s="850">
        <f t="shared" si="196"/>
        <v>2.4561772739193799E-2</v>
      </c>
      <c r="AU65" s="29">
        <f t="shared" si="196"/>
        <v>-7.0814183610532155E-2</v>
      </c>
      <c r="AV65" s="29">
        <f t="shared" si="196"/>
        <v>8.545145330671966E-3</v>
      </c>
      <c r="AW65" s="29">
        <f t="shared" si="196"/>
        <v>3.2743036227987687E-2</v>
      </c>
      <c r="AX65" s="80">
        <f t="shared" si="196"/>
        <v>-5.4440907158793461E-2</v>
      </c>
      <c r="AY65" s="850">
        <f t="shared" si="196"/>
        <v>-2.3840191580680958E-2</v>
      </c>
      <c r="AZ65" s="29">
        <f t="shared" si="196"/>
        <v>-3.3834264907064537E-2</v>
      </c>
      <c r="BA65" s="29">
        <f t="shared" si="196"/>
        <v>-9.0174840243801735E-2</v>
      </c>
      <c r="BB65" s="29">
        <f t="shared" si="196"/>
        <v>-1.2030691468967403E-2</v>
      </c>
      <c r="BC65" s="80">
        <f t="shared" si="196"/>
        <v>-3.2766883323485541E-2</v>
      </c>
      <c r="BD65" s="850">
        <f t="shared" si="196"/>
        <v>-4.1980232052970079E-2</v>
      </c>
      <c r="BE65" s="29">
        <f t="shared" si="196"/>
        <v>-4.27788497695758E-3</v>
      </c>
      <c r="BF65" s="29">
        <f t="shared" si="196"/>
        <v>6.6272059194527166E-2</v>
      </c>
      <c r="BG65" s="29">
        <f t="shared" si="196"/>
        <v>7.4254198977646402E-2</v>
      </c>
      <c r="BH65" s="80">
        <f t="shared" si="196"/>
        <v>0.15764930101138552</v>
      </c>
      <c r="BI65" s="850">
        <f t="shared" si="196"/>
        <v>7.3518066614493227E-2</v>
      </c>
      <c r="BJ65" s="29">
        <f t="shared" si="196"/>
        <v>0.16741648346933857</v>
      </c>
      <c r="BK65" s="29">
        <f t="shared" si="196"/>
        <v>0.13807710521781469</v>
      </c>
      <c r="BL65" s="29">
        <f t="shared" si="196"/>
        <v>0.11070118225270575</v>
      </c>
      <c r="BM65" s="80">
        <f t="shared" si="196"/>
        <v>3.7676544607831985E-2</v>
      </c>
      <c r="BN65" s="850">
        <f t="shared" si="196"/>
        <v>0.11018702174257444</v>
      </c>
      <c r="BO65" s="29">
        <f t="shared" si="196"/>
        <v>4.6299058603951337E-2</v>
      </c>
      <c r="BP65" s="29">
        <f t="shared" si="196"/>
        <v>9.6605882831497514E-2</v>
      </c>
      <c r="BQ65" s="29">
        <f t="shared" si="196"/>
        <v>0.12754288827988058</v>
      </c>
      <c r="BR65" s="80">
        <f t="shared" ref="BR65:CC65" si="197">(BR62/BR537)/(BM62/BM537)-1</f>
        <v>7.488607599320285E-2</v>
      </c>
      <c r="BS65" s="850">
        <f t="shared" si="197"/>
        <v>8.8649373090140315E-2</v>
      </c>
      <c r="BT65" s="646">
        <f>(BT62/BT537)/(BO62/BO537)-1</f>
        <v>1.5000518794706874E-2</v>
      </c>
      <c r="BU65" s="29">
        <f t="shared" ca="1" si="197"/>
        <v>2.4760826774651079E-2</v>
      </c>
      <c r="BV65" s="29">
        <f t="shared" ca="1" si="197"/>
        <v>2.4437469973084047E-2</v>
      </c>
      <c r="BW65" s="29">
        <f t="shared" ca="1" si="197"/>
        <v>-5.9323233463093317E-4</v>
      </c>
      <c r="BX65" s="849">
        <f t="shared" ca="1" si="197"/>
        <v>1.2524920695809794E-2</v>
      </c>
      <c r="BY65" s="29">
        <f t="shared" ca="1" si="197"/>
        <v>3.757451744217466E-2</v>
      </c>
      <c r="BZ65" s="29">
        <f t="shared" ca="1" si="197"/>
        <v>-2.5821172883547683E-2</v>
      </c>
      <c r="CA65" s="29">
        <f t="shared" ca="1" si="197"/>
        <v>-8.59375E-2</v>
      </c>
      <c r="CB65" s="29">
        <f t="shared" ca="1" si="197"/>
        <v>-2.9045643153526868E-2</v>
      </c>
      <c r="CC65" s="849">
        <f t="shared" ca="1" si="197"/>
        <v>-2.610152112040609E-2</v>
      </c>
      <c r="CD65" s="849">
        <f ca="1">(CD62/CD537)/(CC62/CC537)-1</f>
        <v>-6.3176265270506016E-2</v>
      </c>
      <c r="CE65" s="849">
        <f ca="1">(CE62/CE537)/(CD62/CD537)-1</f>
        <v>-2.7322404371582509E-3</v>
      </c>
      <c r="CF65" s="849">
        <f ca="1">(CF62/CF537)/(CE62/CE537)-1</f>
        <v>-4.5454545454547413E-3</v>
      </c>
      <c r="CG65" s="81"/>
    </row>
    <row r="66" spans="1:85" s="429" customFormat="1" hidden="1" outlineLevel="1" x14ac:dyDescent="0.3">
      <c r="A66" s="48"/>
      <c r="B66" s="63"/>
      <c r="C66" s="825"/>
      <c r="D66" s="825"/>
      <c r="E66" s="825"/>
      <c r="F66" s="825"/>
      <c r="G66" s="31"/>
      <c r="H66" s="31"/>
      <c r="I66" s="31"/>
      <c r="J66" s="31"/>
      <c r="K66" s="825"/>
      <c r="L66" s="31"/>
      <c r="M66" s="31"/>
      <c r="N66" s="31"/>
      <c r="O66" s="31"/>
      <c r="P66" s="825"/>
      <c r="Q66" s="31"/>
      <c r="R66" s="31"/>
      <c r="S66" s="31"/>
      <c r="T66" s="31"/>
      <c r="U66" s="825"/>
      <c r="V66" s="31"/>
      <c r="W66" s="31"/>
      <c r="X66" s="31"/>
      <c r="Y66" s="31"/>
      <c r="Z66" s="825"/>
      <c r="AA66" s="31"/>
      <c r="AB66" s="31"/>
      <c r="AC66" s="31"/>
      <c r="AD66" s="31"/>
      <c r="AE66" s="825"/>
      <c r="AF66" s="31"/>
      <c r="AG66" s="31"/>
      <c r="AH66" s="31"/>
      <c r="AI66" s="31"/>
      <c r="AJ66" s="825"/>
      <c r="AK66" s="31"/>
      <c r="AL66" s="31"/>
      <c r="AM66" s="31"/>
      <c r="AN66" s="31"/>
      <c r="AO66" s="825"/>
      <c r="AP66" s="31"/>
      <c r="AQ66" s="31"/>
      <c r="AR66" s="31"/>
      <c r="AS66" s="31"/>
      <c r="AT66" s="825"/>
      <c r="AU66" s="31"/>
      <c r="AV66" s="31"/>
      <c r="AW66" s="31"/>
      <c r="AX66" s="31"/>
      <c r="AY66" s="825"/>
      <c r="AZ66" s="31"/>
      <c r="BA66" s="31"/>
      <c r="BB66" s="31"/>
      <c r="BC66" s="31"/>
      <c r="BD66" s="825"/>
      <c r="BE66" s="31"/>
      <c r="BF66" s="31"/>
      <c r="BG66" s="31"/>
      <c r="BH66" s="31"/>
      <c r="BI66" s="825"/>
      <c r="BJ66" s="31"/>
      <c r="BK66" s="31"/>
      <c r="BL66" s="31"/>
      <c r="BM66" s="31"/>
      <c r="BN66" s="825"/>
      <c r="BO66" s="31"/>
      <c r="BP66" s="31"/>
      <c r="BQ66" s="31"/>
      <c r="BR66" s="31"/>
      <c r="BS66" s="825"/>
      <c r="BT66" s="379"/>
      <c r="BU66" s="31"/>
      <c r="BV66" s="31"/>
      <c r="BW66" s="31"/>
      <c r="BX66" s="825"/>
      <c r="BY66" s="31"/>
      <c r="BZ66" s="31"/>
      <c r="CA66" s="31"/>
      <c r="CB66" s="31"/>
      <c r="CC66" s="825"/>
      <c r="CD66" s="825"/>
      <c r="CE66" s="825"/>
      <c r="CF66" s="825"/>
      <c r="CG66" s="26"/>
    </row>
    <row r="67" spans="1:85" s="428" customFormat="1" hidden="1" outlineLevel="1" x14ac:dyDescent="0.3">
      <c r="A67" s="106" t="s">
        <v>800</v>
      </c>
      <c r="B67" s="64"/>
      <c r="C67" s="821"/>
      <c r="D67" s="821"/>
      <c r="E67" s="821"/>
      <c r="F67" s="821"/>
      <c r="G67" s="37"/>
      <c r="H67" s="37"/>
      <c r="I67" s="37"/>
      <c r="J67" s="37"/>
      <c r="K67" s="821"/>
      <c r="L67" s="37"/>
      <c r="M67" s="37"/>
      <c r="N67" s="37"/>
      <c r="O67" s="37"/>
      <c r="P67" s="821"/>
      <c r="Q67" s="37"/>
      <c r="R67" s="37"/>
      <c r="S67" s="37"/>
      <c r="T67" s="37"/>
      <c r="U67" s="821"/>
      <c r="V67" s="37"/>
      <c r="W67" s="37"/>
      <c r="X67" s="37"/>
      <c r="Y67" s="37"/>
      <c r="Z67" s="821"/>
      <c r="AA67" s="37"/>
      <c r="AB67" s="37"/>
      <c r="AC67" s="37"/>
      <c r="AD67" s="37"/>
      <c r="AE67" s="821"/>
      <c r="AF67" s="37"/>
      <c r="AG67" s="37"/>
      <c r="AH67" s="37"/>
      <c r="AI67" s="37"/>
      <c r="AJ67" s="821"/>
      <c r="AK67" s="37"/>
      <c r="AL67" s="37"/>
      <c r="AM67" s="37"/>
      <c r="AN67" s="37"/>
      <c r="AO67" s="821"/>
      <c r="AP67" s="37"/>
      <c r="AQ67" s="37"/>
      <c r="AR67" s="37"/>
      <c r="AS67" s="37"/>
      <c r="AT67" s="827">
        <v>1635</v>
      </c>
      <c r="AU67" s="37"/>
      <c r="AV67" s="37"/>
      <c r="AW67" s="37"/>
      <c r="AX67" s="37"/>
      <c r="AY67" s="827">
        <v>1553</v>
      </c>
      <c r="AZ67" s="37"/>
      <c r="BA67" s="37"/>
      <c r="BB67" s="37"/>
      <c r="BC67" s="37"/>
      <c r="BD67" s="827">
        <v>1440</v>
      </c>
      <c r="BE67" s="37"/>
      <c r="BF67" s="37"/>
      <c r="BG67" s="37"/>
      <c r="BH67" s="37"/>
      <c r="BI67" s="827">
        <v>1497</v>
      </c>
      <c r="BJ67" s="37"/>
      <c r="BK67" s="37"/>
      <c r="BL67" s="37"/>
      <c r="BM67" s="37"/>
      <c r="BN67" s="827">
        <v>1560</v>
      </c>
      <c r="BO67" s="37"/>
      <c r="BP67" s="37"/>
      <c r="BQ67" s="37"/>
      <c r="BR67" s="37"/>
      <c r="BS67" s="827">
        <v>1827</v>
      </c>
      <c r="BT67" s="480"/>
      <c r="BU67" s="37"/>
      <c r="BV67" s="37"/>
      <c r="BW67" s="37"/>
      <c r="BX67" s="821"/>
      <c r="BY67" s="37"/>
      <c r="BZ67" s="37"/>
      <c r="CA67" s="37"/>
      <c r="CB67" s="37"/>
      <c r="CC67" s="821"/>
      <c r="CD67" s="821"/>
      <c r="CE67" s="821"/>
      <c r="CF67" s="821"/>
      <c r="CG67" s="22"/>
    </row>
    <row r="68" spans="1:85" s="428" customFormat="1" hidden="1" outlineLevel="1" x14ac:dyDescent="0.3">
      <c r="A68" s="106" t="s">
        <v>801</v>
      </c>
      <c r="B68" s="64"/>
      <c r="C68" s="821"/>
      <c r="D68" s="821"/>
      <c r="E68" s="821"/>
      <c r="F68" s="821"/>
      <c r="G68" s="37"/>
      <c r="H68" s="37"/>
      <c r="I68" s="37"/>
      <c r="J68" s="37"/>
      <c r="K68" s="821"/>
      <c r="L68" s="37"/>
      <c r="M68" s="37"/>
      <c r="N68" s="37"/>
      <c r="O68" s="37"/>
      <c r="P68" s="821"/>
      <c r="Q68" s="37"/>
      <c r="R68" s="37"/>
      <c r="S68" s="37"/>
      <c r="T68" s="37"/>
      <c r="U68" s="821"/>
      <c r="V68" s="37"/>
      <c r="W68" s="37"/>
      <c r="X68" s="37"/>
      <c r="Y68" s="37"/>
      <c r="Z68" s="821"/>
      <c r="AA68" s="37"/>
      <c r="AB68" s="37"/>
      <c r="AC68" s="37"/>
      <c r="AD68" s="37"/>
      <c r="AE68" s="821"/>
      <c r="AF68" s="37"/>
      <c r="AG68" s="37"/>
      <c r="AH68" s="37"/>
      <c r="AI68" s="37"/>
      <c r="AJ68" s="821"/>
      <c r="AK68" s="37"/>
      <c r="AL68" s="37"/>
      <c r="AM68" s="37"/>
      <c r="AN68" s="37"/>
      <c r="AO68" s="821"/>
      <c r="AP68" s="37"/>
      <c r="AQ68" s="37"/>
      <c r="AR68" s="37"/>
      <c r="AS68" s="37"/>
      <c r="AT68" s="827">
        <v>233</v>
      </c>
      <c r="AU68" s="37"/>
      <c r="AV68" s="37"/>
      <c r="AW68" s="37"/>
      <c r="AX68" s="37"/>
      <c r="AY68" s="827">
        <v>261</v>
      </c>
      <c r="AZ68" s="37"/>
      <c r="BA68" s="37"/>
      <c r="BB68" s="37"/>
      <c r="BC68" s="37"/>
      <c r="BD68" s="827">
        <v>279</v>
      </c>
      <c r="BE68" s="37"/>
      <c r="BF68" s="37"/>
      <c r="BG68" s="37"/>
      <c r="BH68" s="37"/>
      <c r="BI68" s="827">
        <v>333</v>
      </c>
      <c r="BJ68" s="37"/>
      <c r="BK68" s="37"/>
      <c r="BL68" s="37"/>
      <c r="BM68" s="37"/>
      <c r="BN68" s="827">
        <v>415</v>
      </c>
      <c r="BO68" s="37"/>
      <c r="BP68" s="37"/>
      <c r="BQ68" s="37"/>
      <c r="BR68" s="37"/>
      <c r="BS68" s="827">
        <v>477</v>
      </c>
      <c r="BT68" s="480"/>
      <c r="BU68" s="37"/>
      <c r="BV68" s="37"/>
      <c r="BW68" s="37"/>
      <c r="BX68" s="821"/>
      <c r="BY68" s="37"/>
      <c r="BZ68" s="37"/>
      <c r="CA68" s="37"/>
      <c r="CB68" s="37"/>
      <c r="CC68" s="821"/>
      <c r="CD68" s="821"/>
      <c r="CE68" s="821"/>
      <c r="CF68" s="821"/>
      <c r="CG68" s="22"/>
    </row>
    <row r="69" spans="1:85" s="429" customFormat="1" collapsed="1" x14ac:dyDescent="0.3">
      <c r="A69" s="48"/>
      <c r="B69" s="63"/>
      <c r="C69" s="825"/>
      <c r="D69" s="825"/>
      <c r="E69" s="825"/>
      <c r="F69" s="825"/>
      <c r="G69" s="31"/>
      <c r="H69" s="31"/>
      <c r="I69" s="31"/>
      <c r="J69" s="31"/>
      <c r="K69" s="825"/>
      <c r="L69" s="31"/>
      <c r="M69" s="31"/>
      <c r="N69" s="31"/>
      <c r="O69" s="31"/>
      <c r="P69" s="825"/>
      <c r="Q69" s="31"/>
      <c r="R69" s="31"/>
      <c r="S69" s="31"/>
      <c r="T69" s="31"/>
      <c r="U69" s="825"/>
      <c r="V69" s="31"/>
      <c r="W69" s="31"/>
      <c r="X69" s="31"/>
      <c r="Y69" s="31"/>
      <c r="Z69" s="825"/>
      <c r="AA69" s="31"/>
      <c r="AB69" s="31"/>
      <c r="AC69" s="31"/>
      <c r="AD69" s="31"/>
      <c r="AE69" s="825"/>
      <c r="AF69" s="31"/>
      <c r="AG69" s="31"/>
      <c r="AH69" s="31"/>
      <c r="AI69" s="31"/>
      <c r="AJ69" s="825"/>
      <c r="AK69" s="31"/>
      <c r="AL69" s="31"/>
      <c r="AM69" s="31"/>
      <c r="AN69" s="31"/>
      <c r="AO69" s="825"/>
      <c r="AP69" s="31"/>
      <c r="AQ69" s="31"/>
      <c r="AR69" s="31"/>
      <c r="AS69" s="31"/>
      <c r="AT69" s="825"/>
      <c r="AU69" s="31"/>
      <c r="AV69" s="31"/>
      <c r="AW69" s="31"/>
      <c r="AX69" s="31"/>
      <c r="AY69" s="825"/>
      <c r="AZ69" s="31"/>
      <c r="BA69" s="31"/>
      <c r="BB69" s="31"/>
      <c r="BC69" s="31"/>
      <c r="BD69" s="825"/>
      <c r="BE69" s="31"/>
      <c r="BF69" s="31"/>
      <c r="BG69" s="31"/>
      <c r="BH69" s="31"/>
      <c r="BI69" s="825"/>
      <c r="BJ69" s="31"/>
      <c r="BK69" s="31"/>
      <c r="BL69" s="31"/>
      <c r="BM69" s="31"/>
      <c r="BN69" s="825"/>
      <c r="BO69" s="31"/>
      <c r="BP69" s="31"/>
      <c r="BQ69" s="31"/>
      <c r="BR69" s="31"/>
      <c r="BS69" s="825"/>
      <c r="BT69" s="379"/>
      <c r="BU69" s="31"/>
      <c r="BV69" s="31"/>
      <c r="BW69" s="31"/>
      <c r="BX69" s="825"/>
      <c r="BY69" s="31"/>
      <c r="BZ69" s="31"/>
      <c r="CA69" s="31"/>
      <c r="CB69" s="31"/>
      <c r="CC69" s="825"/>
      <c r="CD69" s="825"/>
      <c r="CE69" s="825"/>
      <c r="CF69" s="825"/>
      <c r="CG69" s="26"/>
    </row>
    <row r="70" spans="1:85" s="427" customFormat="1" x14ac:dyDescent="0.3">
      <c r="A70" s="720" t="s">
        <v>61</v>
      </c>
      <c r="B70" s="720"/>
      <c r="C70" s="720"/>
      <c r="D70" s="720"/>
      <c r="E70" s="720"/>
      <c r="F70" s="720"/>
      <c r="G70" s="720"/>
      <c r="H70" s="720"/>
      <c r="I70" s="720"/>
      <c r="J70" s="720"/>
      <c r="K70" s="720"/>
      <c r="L70" s="720"/>
      <c r="M70" s="720"/>
      <c r="N70" s="720"/>
      <c r="O70" s="720"/>
      <c r="P70" s="720"/>
      <c r="Q70" s="720"/>
      <c r="R70" s="720"/>
      <c r="S70" s="720"/>
      <c r="T70" s="720"/>
      <c r="U70" s="720"/>
      <c r="V70" s="720"/>
      <c r="W70" s="720"/>
      <c r="X70" s="720"/>
      <c r="Y70" s="720"/>
      <c r="Z70" s="720"/>
      <c r="AA70" s="720"/>
      <c r="AB70" s="720"/>
      <c r="AC70" s="720"/>
      <c r="AD70" s="720"/>
      <c r="AE70" s="720"/>
      <c r="AF70" s="720"/>
      <c r="AG70" s="720"/>
      <c r="AH70" s="720"/>
      <c r="AI70" s="720"/>
      <c r="AJ70" s="720"/>
      <c r="AK70" s="720"/>
      <c r="AL70" s="720"/>
      <c r="AM70" s="720"/>
      <c r="AN70" s="720"/>
      <c r="AO70" s="720"/>
      <c r="AP70" s="720"/>
      <c r="AQ70" s="720"/>
      <c r="AR70" s="720"/>
      <c r="AS70" s="720"/>
      <c r="AT70" s="720"/>
      <c r="AU70" s="720"/>
      <c r="AV70" s="720"/>
      <c r="AW70" s="720"/>
      <c r="AX70" s="720"/>
      <c r="AY70" s="720"/>
      <c r="AZ70" s="720"/>
      <c r="BA70" s="720"/>
      <c r="BB70" s="720"/>
      <c r="BC70" s="720"/>
      <c r="BD70" s="720"/>
      <c r="BE70" s="720"/>
      <c r="BF70" s="720"/>
      <c r="BG70" s="720"/>
      <c r="BH70" s="720"/>
      <c r="BI70" s="720"/>
      <c r="BJ70" s="720"/>
      <c r="BK70" s="720"/>
      <c r="BL70" s="720"/>
      <c r="BM70" s="720"/>
      <c r="BN70" s="720"/>
      <c r="BO70" s="720"/>
      <c r="BP70" s="720"/>
      <c r="BQ70" s="720"/>
      <c r="BR70" s="720"/>
      <c r="BS70" s="720"/>
      <c r="BT70" s="721"/>
      <c r="BU70" s="720"/>
      <c r="BV70" s="720"/>
      <c r="BW70" s="720"/>
      <c r="BX70" s="720"/>
      <c r="BY70" s="720"/>
      <c r="BZ70" s="720"/>
      <c r="CA70" s="720"/>
      <c r="CB70" s="720"/>
      <c r="CC70" s="720"/>
      <c r="CD70" s="720"/>
      <c r="CE70" s="720"/>
      <c r="CF70" s="720"/>
      <c r="CG70" s="321"/>
    </row>
    <row r="71" spans="1:85" s="428" customFormat="1" hidden="1" outlineLevel="2" x14ac:dyDescent="0.3">
      <c r="A71" s="43" t="s">
        <v>62</v>
      </c>
      <c r="B71" s="64"/>
      <c r="C71" s="827">
        <v>4062</v>
      </c>
      <c r="D71" s="827">
        <v>4493</v>
      </c>
      <c r="E71" s="827">
        <v>4361</v>
      </c>
      <c r="F71" s="827">
        <v>4315</v>
      </c>
      <c r="G71" s="763">
        <v>4498</v>
      </c>
      <c r="H71" s="763">
        <v>4272</v>
      </c>
      <c r="I71" s="763">
        <v>4072</v>
      </c>
      <c r="J71" s="37">
        <f>J78*1000/J$3</f>
        <v>4167.5978260869579</v>
      </c>
      <c r="K71" s="827">
        <v>4251</v>
      </c>
      <c r="L71" s="763">
        <v>4041</v>
      </c>
      <c r="M71" s="763">
        <v>4132</v>
      </c>
      <c r="N71" s="763">
        <v>4290</v>
      </c>
      <c r="O71" s="37">
        <f>O78*1000/O$3</f>
        <v>4745.413043478261</v>
      </c>
      <c r="P71" s="827">
        <v>4304</v>
      </c>
      <c r="Q71" s="763">
        <v>4026</v>
      </c>
      <c r="R71" s="763">
        <v>3931</v>
      </c>
      <c r="S71" s="763">
        <v>4105</v>
      </c>
      <c r="T71" s="37">
        <f>T78*1000/T$3</f>
        <v>5124.065217391304</v>
      </c>
      <c r="U71" s="827">
        <v>4299</v>
      </c>
      <c r="V71" s="763">
        <v>4044</v>
      </c>
      <c r="W71" s="763">
        <v>4503</v>
      </c>
      <c r="X71" s="763">
        <v>4306</v>
      </c>
      <c r="Y71" s="763">
        <v>4598</v>
      </c>
      <c r="Z71" s="827">
        <v>4491</v>
      </c>
      <c r="AA71" s="763">
        <v>4801</v>
      </c>
      <c r="AB71" s="763">
        <v>5142</v>
      </c>
      <c r="AC71" s="763">
        <v>4978</v>
      </c>
      <c r="AD71" s="763">
        <v>5270</v>
      </c>
      <c r="AE71" s="827">
        <v>5081</v>
      </c>
      <c r="AF71" s="763">
        <v>5475</v>
      </c>
      <c r="AG71" s="763">
        <v>4979</v>
      </c>
      <c r="AH71" s="763">
        <v>5681</v>
      </c>
      <c r="AI71" s="763">
        <v>6271</v>
      </c>
      <c r="AJ71" s="827">
        <v>5604</v>
      </c>
      <c r="AK71" s="763">
        <v>5836</v>
      </c>
      <c r="AL71" s="763">
        <v>6007</v>
      </c>
      <c r="AM71" s="763">
        <v>5923</v>
      </c>
      <c r="AN71" s="763">
        <v>5713</v>
      </c>
      <c r="AO71" s="827">
        <v>5869</v>
      </c>
      <c r="AP71" s="763">
        <v>6226</v>
      </c>
      <c r="AQ71" s="763">
        <v>5430</v>
      </c>
      <c r="AR71" s="763">
        <v>5513</v>
      </c>
      <c r="AS71" s="763">
        <v>5369</v>
      </c>
      <c r="AT71" s="827">
        <v>5634</v>
      </c>
      <c r="AU71" s="763">
        <v>5430</v>
      </c>
      <c r="AV71" s="763">
        <v>4756</v>
      </c>
      <c r="AW71" s="763">
        <v>5450</v>
      </c>
      <c r="AX71" s="763">
        <v>5077</v>
      </c>
      <c r="AY71" s="827">
        <v>5178</v>
      </c>
      <c r="AZ71" s="763">
        <v>4875</v>
      </c>
      <c r="BA71" s="763">
        <v>4537</v>
      </c>
      <c r="BB71" s="763">
        <v>7990</v>
      </c>
      <c r="BC71" s="763">
        <v>5734</v>
      </c>
      <c r="BD71" s="827">
        <v>5789</v>
      </c>
      <c r="BE71" s="763">
        <v>5785</v>
      </c>
      <c r="BF71" s="763">
        <v>5676</v>
      </c>
      <c r="BG71" s="763">
        <v>5600</v>
      </c>
      <c r="BH71" s="763">
        <v>5549</v>
      </c>
      <c r="BI71" s="827">
        <v>6025</v>
      </c>
      <c r="BJ71" s="763">
        <v>5770</v>
      </c>
      <c r="BK71" s="763">
        <v>5389</v>
      </c>
      <c r="BL71" s="763">
        <v>5576</v>
      </c>
      <c r="BM71" s="763">
        <v>5973</v>
      </c>
      <c r="BN71" s="827">
        <v>5678</v>
      </c>
      <c r="BO71" s="763">
        <v>5377</v>
      </c>
      <c r="BP71" s="763">
        <v>5507</v>
      </c>
      <c r="BQ71" s="763">
        <v>5682</v>
      </c>
      <c r="BR71" s="763">
        <v>5567</v>
      </c>
      <c r="BS71" s="827">
        <v>5535</v>
      </c>
      <c r="BT71" s="764">
        <v>5405</v>
      </c>
      <c r="BU71" s="37"/>
      <c r="BV71" s="37"/>
      <c r="BW71" s="37"/>
      <c r="BX71" s="821"/>
      <c r="BY71" s="37"/>
      <c r="BZ71" s="37"/>
      <c r="CA71" s="37"/>
      <c r="CB71" s="37"/>
      <c r="CC71" s="821"/>
      <c r="CD71" s="821"/>
      <c r="CE71" s="821"/>
      <c r="CF71" s="821"/>
      <c r="CG71" s="22"/>
    </row>
    <row r="72" spans="1:85" s="428" customFormat="1" hidden="1" outlineLevel="2" x14ac:dyDescent="0.3">
      <c r="A72" s="43" t="s">
        <v>63</v>
      </c>
      <c r="B72" s="64"/>
      <c r="C72" s="827">
        <v>5901</v>
      </c>
      <c r="D72" s="827">
        <v>5932</v>
      </c>
      <c r="E72" s="827">
        <v>5836</v>
      </c>
      <c r="F72" s="827">
        <v>5470</v>
      </c>
      <c r="G72" s="763">
        <v>6095</v>
      </c>
      <c r="H72" s="763">
        <v>5651</v>
      </c>
      <c r="I72" s="763">
        <v>5643</v>
      </c>
      <c r="J72" s="37">
        <f>J79*1000/J$3</f>
        <v>4558.1304347826108</v>
      </c>
      <c r="K72" s="827">
        <v>5483</v>
      </c>
      <c r="L72" s="763">
        <v>4936</v>
      </c>
      <c r="M72" s="763">
        <v>3676</v>
      </c>
      <c r="N72" s="763">
        <v>3697</v>
      </c>
      <c r="O72" s="37">
        <f>O79*1000/O$3</f>
        <v>3687.9891304347807</v>
      </c>
      <c r="P72" s="827">
        <v>3995</v>
      </c>
      <c r="Q72" s="763">
        <v>4139</v>
      </c>
      <c r="R72" s="763">
        <v>3777</v>
      </c>
      <c r="S72" s="763">
        <v>3896</v>
      </c>
      <c r="T72" s="37">
        <f>T79*1000/T$3</f>
        <v>3843.4347826086955</v>
      </c>
      <c r="U72" s="827">
        <v>3913</v>
      </c>
      <c r="V72" s="763">
        <v>3808</v>
      </c>
      <c r="W72" s="763">
        <v>3154</v>
      </c>
      <c r="X72" s="763">
        <v>3263</v>
      </c>
      <c r="Y72" s="763">
        <v>3045</v>
      </c>
      <c r="Z72" s="827">
        <v>3317</v>
      </c>
      <c r="AA72" s="763">
        <v>3142</v>
      </c>
      <c r="AB72" s="763">
        <v>3265</v>
      </c>
      <c r="AC72" s="763">
        <v>3455</v>
      </c>
      <c r="AD72" s="763">
        <v>3456</v>
      </c>
      <c r="AE72" s="827">
        <v>3331</v>
      </c>
      <c r="AF72" s="763">
        <v>3408</v>
      </c>
      <c r="AG72" s="763">
        <v>3289</v>
      </c>
      <c r="AH72" s="763">
        <v>3334</v>
      </c>
      <c r="AI72" s="763">
        <v>3891</v>
      </c>
      <c r="AJ72" s="827">
        <v>3481</v>
      </c>
      <c r="AK72" s="763">
        <v>4255</v>
      </c>
      <c r="AL72" s="763">
        <v>3744</v>
      </c>
      <c r="AM72" s="763">
        <v>3945</v>
      </c>
      <c r="AN72" s="763">
        <v>4121</v>
      </c>
      <c r="AO72" s="827">
        <v>4016</v>
      </c>
      <c r="AP72" s="763">
        <v>4363</v>
      </c>
      <c r="AQ72" s="763">
        <v>3863</v>
      </c>
      <c r="AR72" s="763">
        <v>3776</v>
      </c>
      <c r="AS72" s="763">
        <v>3581</v>
      </c>
      <c r="AT72" s="827">
        <v>3894</v>
      </c>
      <c r="AU72" s="763">
        <v>3911</v>
      </c>
      <c r="AV72" s="763">
        <v>3776</v>
      </c>
      <c r="AW72" s="763">
        <v>4076</v>
      </c>
      <c r="AX72" s="763">
        <v>4260</v>
      </c>
      <c r="AY72" s="827">
        <v>4007</v>
      </c>
      <c r="AZ72" s="763">
        <v>4461</v>
      </c>
      <c r="BA72" s="763">
        <v>4364</v>
      </c>
      <c r="BB72" s="763">
        <v>4464</v>
      </c>
      <c r="BC72" s="763">
        <v>4224</v>
      </c>
      <c r="BD72" s="827">
        <v>4378</v>
      </c>
      <c r="BE72" s="763">
        <v>4096</v>
      </c>
      <c r="BF72" s="763">
        <v>4529</v>
      </c>
      <c r="BG72" s="763">
        <v>4942</v>
      </c>
      <c r="BH72" s="763">
        <v>4969</v>
      </c>
      <c r="BI72" s="828">
        <v>4637</v>
      </c>
      <c r="BJ72" s="763">
        <v>5138</v>
      </c>
      <c r="BK72" s="763">
        <v>5242</v>
      </c>
      <c r="BL72" s="763">
        <v>5378</v>
      </c>
      <c r="BM72" s="763">
        <v>4933</v>
      </c>
      <c r="BN72" s="828">
        <v>5172</v>
      </c>
      <c r="BO72" s="763">
        <v>5416</v>
      </c>
      <c r="BP72" s="763">
        <v>5594</v>
      </c>
      <c r="BQ72" s="763">
        <v>6031</v>
      </c>
      <c r="BR72" s="763">
        <v>5819</v>
      </c>
      <c r="BS72" s="828">
        <v>5717</v>
      </c>
      <c r="BT72" s="764">
        <v>6078</v>
      </c>
      <c r="BU72" s="37"/>
      <c r="BV72" s="37"/>
      <c r="BW72" s="37"/>
      <c r="BX72" s="821"/>
      <c r="BY72" s="37"/>
      <c r="BZ72" s="37"/>
      <c r="CA72" s="37"/>
      <c r="CB72" s="37"/>
      <c r="CC72" s="821"/>
      <c r="CD72" s="821"/>
      <c r="CE72" s="821"/>
      <c r="CF72" s="821"/>
      <c r="CG72" s="22"/>
    </row>
    <row r="73" spans="1:85" s="429" customFormat="1" hidden="1" outlineLevel="2" x14ac:dyDescent="0.3">
      <c r="A73" s="42" t="s">
        <v>64</v>
      </c>
      <c r="B73" s="90"/>
      <c r="C73" s="823">
        <f t="shared" ref="C73:AQ73" si="198">SUM(C71:C72)</f>
        <v>9963</v>
      </c>
      <c r="D73" s="823">
        <f t="shared" si="198"/>
        <v>10425</v>
      </c>
      <c r="E73" s="823">
        <f t="shared" si="198"/>
        <v>10197</v>
      </c>
      <c r="F73" s="823">
        <f t="shared" si="198"/>
        <v>9785</v>
      </c>
      <c r="G73" s="393">
        <f t="shared" si="198"/>
        <v>10593</v>
      </c>
      <c r="H73" s="393">
        <f t="shared" si="198"/>
        <v>9923</v>
      </c>
      <c r="I73" s="393">
        <f t="shared" si="198"/>
        <v>9715</v>
      </c>
      <c r="J73" s="393">
        <f t="shared" si="198"/>
        <v>8725.7282608695677</v>
      </c>
      <c r="K73" s="823">
        <f t="shared" si="198"/>
        <v>9734</v>
      </c>
      <c r="L73" s="393">
        <f t="shared" si="198"/>
        <v>8977</v>
      </c>
      <c r="M73" s="393">
        <f t="shared" si="198"/>
        <v>7808</v>
      </c>
      <c r="N73" s="393">
        <f t="shared" si="198"/>
        <v>7987</v>
      </c>
      <c r="O73" s="393">
        <f t="shared" si="198"/>
        <v>8433.4021739130421</v>
      </c>
      <c r="P73" s="823">
        <f t="shared" si="198"/>
        <v>8299</v>
      </c>
      <c r="Q73" s="393">
        <f t="shared" si="198"/>
        <v>8165</v>
      </c>
      <c r="R73" s="393">
        <f t="shared" si="198"/>
        <v>7708</v>
      </c>
      <c r="S73" s="393">
        <f t="shared" si="198"/>
        <v>8001</v>
      </c>
      <c r="T73" s="393">
        <f t="shared" si="198"/>
        <v>8967.5</v>
      </c>
      <c r="U73" s="823">
        <f t="shared" si="198"/>
        <v>8212</v>
      </c>
      <c r="V73" s="393">
        <f t="shared" si="198"/>
        <v>7852</v>
      </c>
      <c r="W73" s="393">
        <f t="shared" si="198"/>
        <v>7657</v>
      </c>
      <c r="X73" s="393">
        <f t="shared" si="198"/>
        <v>7569</v>
      </c>
      <c r="Y73" s="394">
        <f t="shared" si="198"/>
        <v>7643</v>
      </c>
      <c r="Z73" s="824">
        <f t="shared" si="198"/>
        <v>7808</v>
      </c>
      <c r="AA73" s="394">
        <f t="shared" si="198"/>
        <v>7943</v>
      </c>
      <c r="AB73" s="393">
        <f t="shared" si="198"/>
        <v>8407</v>
      </c>
      <c r="AC73" s="393">
        <f t="shared" si="198"/>
        <v>8433</v>
      </c>
      <c r="AD73" s="394">
        <f t="shared" si="198"/>
        <v>8726</v>
      </c>
      <c r="AE73" s="824">
        <f t="shared" si="198"/>
        <v>8412</v>
      </c>
      <c r="AF73" s="394">
        <f t="shared" si="198"/>
        <v>8883</v>
      </c>
      <c r="AG73" s="393">
        <f t="shared" si="198"/>
        <v>8268</v>
      </c>
      <c r="AH73" s="393">
        <f t="shared" si="198"/>
        <v>9015</v>
      </c>
      <c r="AI73" s="394">
        <f t="shared" si="198"/>
        <v>10162</v>
      </c>
      <c r="AJ73" s="824">
        <f t="shared" si="198"/>
        <v>9085</v>
      </c>
      <c r="AK73" s="394">
        <f t="shared" si="198"/>
        <v>10091</v>
      </c>
      <c r="AL73" s="393">
        <f t="shared" si="198"/>
        <v>9751</v>
      </c>
      <c r="AM73" s="393">
        <f t="shared" si="198"/>
        <v>9868</v>
      </c>
      <c r="AN73" s="394">
        <f t="shared" si="198"/>
        <v>9834</v>
      </c>
      <c r="AO73" s="824">
        <f t="shared" si="198"/>
        <v>9885</v>
      </c>
      <c r="AP73" s="394">
        <f t="shared" si="198"/>
        <v>10589</v>
      </c>
      <c r="AQ73" s="393">
        <f t="shared" si="198"/>
        <v>9293</v>
      </c>
      <c r="AR73" s="393">
        <f>SUM(AR71:AR72)</f>
        <v>9289</v>
      </c>
      <c r="AS73" s="394">
        <f t="shared" ref="AS73:AT73" si="199">SUM(AS71:AS72)</f>
        <v>8950</v>
      </c>
      <c r="AT73" s="824">
        <f t="shared" si="199"/>
        <v>9528</v>
      </c>
      <c r="AU73" s="394">
        <f t="shared" ref="AU73" si="200">SUM(AU71:AU72)</f>
        <v>9341</v>
      </c>
      <c r="AV73" s="393">
        <f t="shared" ref="AV73:BA73" si="201">SUM(AV71:AV72)</f>
        <v>8532</v>
      </c>
      <c r="AW73" s="393">
        <f t="shared" si="201"/>
        <v>9526</v>
      </c>
      <c r="AX73" s="394">
        <f t="shared" si="201"/>
        <v>9337</v>
      </c>
      <c r="AY73" s="824">
        <f t="shared" si="201"/>
        <v>9185</v>
      </c>
      <c r="AZ73" s="394">
        <f t="shared" si="201"/>
        <v>9336</v>
      </c>
      <c r="BA73" s="393">
        <f t="shared" si="201"/>
        <v>8901</v>
      </c>
      <c r="BB73" s="393">
        <f t="shared" ref="BB73:BG73" si="202">SUM(BB71:BB72)</f>
        <v>12454</v>
      </c>
      <c r="BC73" s="394">
        <f t="shared" si="202"/>
        <v>9958</v>
      </c>
      <c r="BD73" s="824">
        <f t="shared" si="202"/>
        <v>10167</v>
      </c>
      <c r="BE73" s="394">
        <f t="shared" si="202"/>
        <v>9881</v>
      </c>
      <c r="BF73" s="393">
        <f t="shared" si="202"/>
        <v>10205</v>
      </c>
      <c r="BG73" s="393">
        <f t="shared" si="202"/>
        <v>10542</v>
      </c>
      <c r="BH73" s="394">
        <f t="shared" ref="BH73:BN73" si="203">SUM(BH71:BH72)</f>
        <v>10518</v>
      </c>
      <c r="BI73" s="826">
        <f t="shared" si="203"/>
        <v>10662</v>
      </c>
      <c r="BJ73" s="394">
        <f t="shared" si="203"/>
        <v>10908</v>
      </c>
      <c r="BK73" s="393">
        <f t="shared" si="203"/>
        <v>10631</v>
      </c>
      <c r="BL73" s="393">
        <f t="shared" si="203"/>
        <v>10954</v>
      </c>
      <c r="BM73" s="394">
        <f t="shared" si="203"/>
        <v>10906</v>
      </c>
      <c r="BN73" s="826">
        <f t="shared" si="203"/>
        <v>10850</v>
      </c>
      <c r="BO73" s="394">
        <f t="shared" ref="BO73:BT73" si="204">SUM(BO71:BO72)</f>
        <v>10793</v>
      </c>
      <c r="BP73" s="393">
        <f t="shared" si="204"/>
        <v>11101</v>
      </c>
      <c r="BQ73" s="393">
        <f t="shared" si="204"/>
        <v>11713</v>
      </c>
      <c r="BR73" s="394">
        <f t="shared" si="204"/>
        <v>11386</v>
      </c>
      <c r="BS73" s="826">
        <f t="shared" si="204"/>
        <v>11252</v>
      </c>
      <c r="BT73" s="640">
        <f t="shared" si="204"/>
        <v>11483</v>
      </c>
      <c r="BU73" s="393"/>
      <c r="BV73" s="393"/>
      <c r="BW73" s="393"/>
      <c r="BX73" s="823"/>
      <c r="BY73" s="393"/>
      <c r="BZ73" s="393"/>
      <c r="CA73" s="393"/>
      <c r="CB73" s="393"/>
      <c r="CC73" s="823"/>
      <c r="CD73" s="823"/>
      <c r="CE73" s="823"/>
      <c r="CF73" s="823"/>
      <c r="CG73" s="26"/>
    </row>
    <row r="74" spans="1:85" s="429" customFormat="1" hidden="1" outlineLevel="2" x14ac:dyDescent="0.3">
      <c r="A74" s="48"/>
      <c r="B74" s="63"/>
      <c r="C74" s="825"/>
      <c r="D74" s="825"/>
      <c r="E74" s="825"/>
      <c r="F74" s="825"/>
      <c r="G74" s="31"/>
      <c r="H74" s="31"/>
      <c r="I74" s="31"/>
      <c r="J74" s="31"/>
      <c r="K74" s="825"/>
      <c r="L74" s="31"/>
      <c r="M74" s="31"/>
      <c r="N74" s="31"/>
      <c r="O74" s="31"/>
      <c r="P74" s="825"/>
      <c r="Q74" s="31"/>
      <c r="R74" s="31"/>
      <c r="S74" s="31"/>
      <c r="T74" s="31"/>
      <c r="U74" s="825"/>
      <c r="V74" s="31"/>
      <c r="W74" s="31"/>
      <c r="X74" s="31"/>
      <c r="Y74" s="31"/>
      <c r="Z74" s="825"/>
      <c r="AA74" s="31"/>
      <c r="AB74" s="31"/>
      <c r="AC74" s="31"/>
      <c r="AD74" s="31"/>
      <c r="AE74" s="825"/>
      <c r="AF74" s="31"/>
      <c r="AG74" s="31"/>
      <c r="AH74" s="31"/>
      <c r="AI74" s="31"/>
      <c r="AJ74" s="825"/>
      <c r="AK74" s="31"/>
      <c r="AL74" s="31"/>
      <c r="AM74" s="31"/>
      <c r="AN74" s="31"/>
      <c r="AO74" s="825"/>
      <c r="AP74" s="31"/>
      <c r="AQ74" s="31"/>
      <c r="AR74" s="31"/>
      <c r="AS74" s="31"/>
      <c r="AT74" s="825"/>
      <c r="AU74" s="31"/>
      <c r="AV74" s="31"/>
      <c r="AW74" s="31"/>
      <c r="AX74" s="31"/>
      <c r="AY74" s="825"/>
      <c r="AZ74" s="31"/>
      <c r="BA74" s="31"/>
      <c r="BB74" s="31"/>
      <c r="BC74" s="31"/>
      <c r="BD74" s="825"/>
      <c r="BE74" s="31"/>
      <c r="BF74" s="31"/>
      <c r="BG74" s="31"/>
      <c r="BH74" s="31"/>
      <c r="BI74" s="825"/>
      <c r="BJ74" s="31"/>
      <c r="BK74" s="31"/>
      <c r="BL74" s="31"/>
      <c r="BM74" s="31"/>
      <c r="BN74" s="825"/>
      <c r="BO74" s="31"/>
      <c r="BP74" s="31"/>
      <c r="BQ74" s="31"/>
      <c r="BR74" s="31"/>
      <c r="BS74" s="825"/>
      <c r="BT74" s="379"/>
      <c r="BU74" s="31"/>
      <c r="BV74" s="31"/>
      <c r="BW74" s="31"/>
      <c r="BX74" s="825"/>
      <c r="BY74" s="31"/>
      <c r="BZ74" s="31"/>
      <c r="CA74" s="31"/>
      <c r="CB74" s="31"/>
      <c r="CC74" s="825"/>
      <c r="CD74" s="825"/>
      <c r="CE74" s="825"/>
      <c r="CF74" s="825"/>
      <c r="CG74" s="26"/>
    </row>
    <row r="75" spans="1:85" s="429" customFormat="1" hidden="1" outlineLevel="1" collapsed="1" x14ac:dyDescent="0.3">
      <c r="A75" s="48" t="s">
        <v>65</v>
      </c>
      <c r="B75" s="63"/>
      <c r="C75" s="825">
        <f t="shared" ref="C75:AQ75" si="205">C78-C59</f>
        <v>971.99500000000012</v>
      </c>
      <c r="D75" s="825">
        <f t="shared" si="205"/>
        <v>1160.335</v>
      </c>
      <c r="E75" s="825">
        <f t="shared" si="205"/>
        <v>1124.93</v>
      </c>
      <c r="F75" s="825">
        <f t="shared" si="205"/>
        <v>1138.992</v>
      </c>
      <c r="G75" s="31">
        <f t="shared" si="205"/>
        <v>291.87</v>
      </c>
      <c r="H75" s="31">
        <f t="shared" si="205"/>
        <v>277.09500000000003</v>
      </c>
      <c r="I75" s="31">
        <f t="shared" si="205"/>
        <v>260.36</v>
      </c>
      <c r="J75" s="31">
        <f t="shared" si="205"/>
        <v>267.4070000000001</v>
      </c>
      <c r="K75" s="825">
        <f t="shared" si="205"/>
        <v>1096.732</v>
      </c>
      <c r="L75" s="31">
        <f t="shared" si="205"/>
        <v>254.61</v>
      </c>
      <c r="M75" s="31">
        <f t="shared" si="205"/>
        <v>262.80799999999999</v>
      </c>
      <c r="N75" s="31">
        <f t="shared" si="205"/>
        <v>277.10400000000004</v>
      </c>
      <c r="O75" s="31">
        <f t="shared" si="205"/>
        <v>320.10599999999999</v>
      </c>
      <c r="P75" s="825">
        <f t="shared" si="205"/>
        <v>1114.6280000000002</v>
      </c>
      <c r="Q75" s="31">
        <f t="shared" si="205"/>
        <v>249.20999999999998</v>
      </c>
      <c r="R75" s="31">
        <f t="shared" si="205"/>
        <v>238.32900000000001</v>
      </c>
      <c r="S75" s="31">
        <f t="shared" si="205"/>
        <v>253.36800000000002</v>
      </c>
      <c r="T75" s="31">
        <f t="shared" si="205"/>
        <v>349.97399999999999</v>
      </c>
      <c r="U75" s="825">
        <f t="shared" si="205"/>
        <v>1090.8809999999999</v>
      </c>
      <c r="V75" s="31">
        <f t="shared" si="205"/>
        <v>252.798</v>
      </c>
      <c r="W75" s="31">
        <f t="shared" si="205"/>
        <v>310.76500000000004</v>
      </c>
      <c r="X75" s="31">
        <f t="shared" si="205"/>
        <v>297.06799999999998</v>
      </c>
      <c r="Y75" s="26">
        <f t="shared" si="205"/>
        <v>326.96800000000002</v>
      </c>
      <c r="Z75" s="826">
        <f t="shared" si="205"/>
        <v>1233.7859999999998</v>
      </c>
      <c r="AA75" s="26">
        <f t="shared" si="205"/>
        <v>341.54999999999995</v>
      </c>
      <c r="AB75" s="31">
        <f t="shared" si="205"/>
        <v>374.46500000000003</v>
      </c>
      <c r="AC75" s="31">
        <f t="shared" si="205"/>
        <v>372.23199999999997</v>
      </c>
      <c r="AD75" s="26">
        <f t="shared" si="205"/>
        <v>400.2</v>
      </c>
      <c r="AE75" s="826">
        <f t="shared" si="205"/>
        <v>1500.5150000000001</v>
      </c>
      <c r="AF75" s="26">
        <f t="shared" si="205"/>
        <v>403.38</v>
      </c>
      <c r="AG75" s="31">
        <f t="shared" si="205"/>
        <v>363.90899999999999</v>
      </c>
      <c r="AH75" s="31">
        <f t="shared" si="205"/>
        <v>425.04000000000008</v>
      </c>
      <c r="AI75" s="26">
        <f t="shared" si="205"/>
        <v>475.64</v>
      </c>
      <c r="AJ75" s="826">
        <f t="shared" si="205"/>
        <v>1668.05</v>
      </c>
      <c r="AK75" s="26">
        <f t="shared" si="205"/>
        <v>420.66</v>
      </c>
      <c r="AL75" s="31">
        <f t="shared" si="205"/>
        <v>443.80699999999996</v>
      </c>
      <c r="AM75" s="31">
        <f t="shared" si="205"/>
        <v>430.56000000000006</v>
      </c>
      <c r="AN75" s="26">
        <f t="shared" si="205"/>
        <v>400.2</v>
      </c>
      <c r="AO75" s="826">
        <f t="shared" si="205"/>
        <v>1695.06</v>
      </c>
      <c r="AP75" s="26">
        <f t="shared" si="205"/>
        <v>424.24200000000002</v>
      </c>
      <c r="AQ75" s="31">
        <f t="shared" si="205"/>
        <v>361.08799999999997</v>
      </c>
      <c r="AR75" s="31">
        <f>AR78-AR59</f>
        <v>368.55200000000002</v>
      </c>
      <c r="AS75" s="26">
        <f t="shared" ref="AS75:AU75" si="206">AS78-AS59</f>
        <v>319.88400000000001</v>
      </c>
      <c r="AT75" s="826">
        <f t="shared" si="206"/>
        <v>1473.8819999999998</v>
      </c>
      <c r="AU75" s="26">
        <f t="shared" si="206"/>
        <v>340.83</v>
      </c>
      <c r="AV75" s="31">
        <f t="shared" ref="AV75:BG75" si="207">AV78-AV59</f>
        <v>280.09799999999996</v>
      </c>
      <c r="AW75" s="31">
        <f t="shared" si="207"/>
        <v>344.26400000000001</v>
      </c>
      <c r="AX75" s="26">
        <f t="shared" si="207"/>
        <v>308.29200000000003</v>
      </c>
      <c r="AY75" s="826">
        <f t="shared" si="207"/>
        <v>1273.4850000000001</v>
      </c>
      <c r="AZ75" s="26">
        <f t="shared" si="207"/>
        <v>274.23</v>
      </c>
      <c r="BA75" s="31">
        <f t="shared" si="207"/>
        <v>257.71199999999999</v>
      </c>
      <c r="BB75" s="31">
        <f t="shared" si="207"/>
        <v>577.94400000000007</v>
      </c>
      <c r="BC75" s="26">
        <f t="shared" si="207"/>
        <v>362.94000000000005</v>
      </c>
      <c r="BD75" s="826">
        <f t="shared" si="207"/>
        <v>1471.3150000000001</v>
      </c>
      <c r="BE75" s="26">
        <f t="shared" si="207"/>
        <v>363.87</v>
      </c>
      <c r="BF75" s="31">
        <f t="shared" si="207"/>
        <v>351.16899999999998</v>
      </c>
      <c r="BG75" s="31">
        <f t="shared" si="207"/>
        <v>305.90000000000003</v>
      </c>
      <c r="BH75" s="26">
        <f t="shared" ref="BH75:BJ76" si="208">BH78-BH59</f>
        <v>270.93999999999994</v>
      </c>
      <c r="BI75" s="826">
        <f t="shared" si="208"/>
        <v>1428.2449999999999</v>
      </c>
      <c r="BJ75" s="26">
        <f t="shared" si="208"/>
        <v>283.28300000000002</v>
      </c>
      <c r="BK75" s="31">
        <f t="shared" ref="BK75:BN76" si="209">BK78-BK59</f>
        <v>249.886</v>
      </c>
      <c r="BL75" s="31">
        <f t="shared" si="209"/>
        <v>265.14399999999995</v>
      </c>
      <c r="BM75" s="26">
        <f t="shared" si="209"/>
        <v>297.15999999999997</v>
      </c>
      <c r="BN75" s="826">
        <f t="shared" si="209"/>
        <v>1095.8040000000001</v>
      </c>
      <c r="BO75" s="26">
        <f t="shared" ref="BO75:BQ76" si="210">BO78-BO59</f>
        <v>226.62</v>
      </c>
      <c r="BP75" s="31">
        <f t="shared" si="210"/>
        <v>240.51299999999998</v>
      </c>
      <c r="BQ75" s="31">
        <f t="shared" si="210"/>
        <v>222.36400000000003</v>
      </c>
      <c r="BR75" s="26">
        <f t="shared" ref="BR75:BT76" si="211">BR78-BR59</f>
        <v>199.18</v>
      </c>
      <c r="BS75" s="826">
        <f t="shared" si="211"/>
        <v>889.1400000000001</v>
      </c>
      <c r="BT75" s="647">
        <f t="shared" si="211"/>
        <v>182.25</v>
      </c>
      <c r="BU75" s="770">
        <v>320</v>
      </c>
      <c r="BV75" s="770">
        <v>283</v>
      </c>
      <c r="BW75" s="770">
        <v>320</v>
      </c>
      <c r="BX75" s="825">
        <f>SUM(BT75,BU75,BV75,BW75)</f>
        <v>1105.25</v>
      </c>
      <c r="BY75" s="770">
        <v>283</v>
      </c>
      <c r="BZ75" s="770">
        <v>283</v>
      </c>
      <c r="CA75" s="770">
        <v>283</v>
      </c>
      <c r="CB75" s="770">
        <v>283</v>
      </c>
      <c r="CC75" s="825">
        <f>SUM(BY75,BZ75,CA75,CB75)</f>
        <v>1132</v>
      </c>
      <c r="CD75" s="851">
        <v>1150</v>
      </c>
      <c r="CE75" s="851">
        <v>1150</v>
      </c>
      <c r="CF75" s="851">
        <v>1150</v>
      </c>
      <c r="CG75" s="26"/>
    </row>
    <row r="76" spans="1:85" s="429" customFormat="1" hidden="1" outlineLevel="1" x14ac:dyDescent="0.3">
      <c r="A76" s="48" t="s">
        <v>66</v>
      </c>
      <c r="B76" s="63"/>
      <c r="C76" s="825">
        <f t="shared" ref="C76:AQ76" si="212">C79-C60</f>
        <v>957.39499999999975</v>
      </c>
      <c r="D76" s="825">
        <f t="shared" si="212"/>
        <v>937.68499999999995</v>
      </c>
      <c r="E76" s="825">
        <f t="shared" si="212"/>
        <v>917.24499999999989</v>
      </c>
      <c r="F76" s="825">
        <f t="shared" si="212"/>
        <v>705.28199999999993</v>
      </c>
      <c r="G76" s="31">
        <f t="shared" si="212"/>
        <v>183.68999999999994</v>
      </c>
      <c r="H76" s="31">
        <f t="shared" si="212"/>
        <v>151.42399999999998</v>
      </c>
      <c r="I76" s="31">
        <f t="shared" si="212"/>
        <v>159.43599999999992</v>
      </c>
      <c r="J76" s="31">
        <f t="shared" si="212"/>
        <v>66.436000000000206</v>
      </c>
      <c r="K76" s="825">
        <f t="shared" si="212"/>
        <v>560.98600000000033</v>
      </c>
      <c r="L76" s="31">
        <f t="shared" si="212"/>
        <v>80.550000000000011</v>
      </c>
      <c r="M76" s="31">
        <f t="shared" si="212"/>
        <v>-16.83499999999998</v>
      </c>
      <c r="N76" s="31">
        <f t="shared" si="212"/>
        <v>-21.895999999999958</v>
      </c>
      <c r="O76" s="31">
        <f t="shared" si="212"/>
        <v>-13.433000000000163</v>
      </c>
      <c r="P76" s="825">
        <f t="shared" si="212"/>
        <v>28.385999999999967</v>
      </c>
      <c r="Q76" s="31">
        <f t="shared" si="212"/>
        <v>10.170000000000016</v>
      </c>
      <c r="R76" s="31">
        <f t="shared" si="212"/>
        <v>-14.01400000000001</v>
      </c>
      <c r="S76" s="31">
        <f t="shared" si="212"/>
        <v>7.5440000000000396</v>
      </c>
      <c r="T76" s="31">
        <f t="shared" si="212"/>
        <v>-20.384000000000015</v>
      </c>
      <c r="U76" s="825">
        <f t="shared" si="212"/>
        <v>-16.684000000000424</v>
      </c>
      <c r="V76" s="31">
        <f t="shared" si="212"/>
        <v>-21.475999999999999</v>
      </c>
      <c r="W76" s="31">
        <f t="shared" si="212"/>
        <v>-71.798999999999978</v>
      </c>
      <c r="X76" s="31">
        <f t="shared" si="212"/>
        <v>-71.115999999999985</v>
      </c>
      <c r="Y76" s="26">
        <f t="shared" si="212"/>
        <v>-134.13600000000002</v>
      </c>
      <c r="Z76" s="826">
        <f t="shared" si="212"/>
        <v>-298.28999999999996</v>
      </c>
      <c r="AA76" s="26">
        <f t="shared" si="212"/>
        <v>-149.31</v>
      </c>
      <c r="AB76" s="31">
        <f t="shared" si="212"/>
        <v>-170.98899999999998</v>
      </c>
      <c r="AC76" s="31">
        <f t="shared" si="212"/>
        <v>-147.01599999999996</v>
      </c>
      <c r="AD76" s="26">
        <f t="shared" si="212"/>
        <v>-164.31200000000001</v>
      </c>
      <c r="AE76" s="826">
        <f t="shared" si="212"/>
        <v>-631.81500000000005</v>
      </c>
      <c r="AF76" s="26">
        <f t="shared" si="212"/>
        <v>-197.27999999999997</v>
      </c>
      <c r="AG76" s="31">
        <f t="shared" si="212"/>
        <v>-213.577</v>
      </c>
      <c r="AH76" s="31">
        <f t="shared" si="212"/>
        <v>-240.76399999999995</v>
      </c>
      <c r="AI76" s="26">
        <f t="shared" si="212"/>
        <v>-214.91200000000003</v>
      </c>
      <c r="AJ76" s="826">
        <f t="shared" si="212"/>
        <v>-866.50999999999976</v>
      </c>
      <c r="AK76" s="26">
        <f t="shared" si="212"/>
        <v>-140.21999999999997</v>
      </c>
      <c r="AL76" s="31">
        <f t="shared" si="212"/>
        <v>-223.22300000000001</v>
      </c>
      <c r="AM76" s="31">
        <f t="shared" si="212"/>
        <v>-186.48399999999998</v>
      </c>
      <c r="AN76" s="26">
        <f t="shared" si="212"/>
        <v>-149.59200000000004</v>
      </c>
      <c r="AO76" s="826">
        <f t="shared" si="212"/>
        <v>-699.33999999999992</v>
      </c>
      <c r="AP76" s="26">
        <f t="shared" si="212"/>
        <v>-153.42599999999993</v>
      </c>
      <c r="AQ76" s="31">
        <f t="shared" si="212"/>
        <v>-151.15100000000001</v>
      </c>
      <c r="AR76" s="31">
        <f>AR79-AR60</f>
        <v>-136.25200000000001</v>
      </c>
      <c r="AS76" s="26">
        <f t="shared" ref="AS76:AU76" si="213">AS79-AS60</f>
        <v>-213.71600000000001</v>
      </c>
      <c r="AT76" s="826">
        <f t="shared" si="213"/>
        <v>-654.77400000000011</v>
      </c>
      <c r="AU76" s="26">
        <f t="shared" si="213"/>
        <v>-199.43999999999994</v>
      </c>
      <c r="AV76" s="31">
        <f t="shared" ref="AV76:BG76" si="214">AV79-AV60</f>
        <v>-201.74700000000007</v>
      </c>
      <c r="AW76" s="31">
        <f t="shared" si="214"/>
        <v>-172.68400000000003</v>
      </c>
      <c r="AX76" s="26">
        <f t="shared" si="214"/>
        <v>-160.99999999999994</v>
      </c>
      <c r="AY76" s="826">
        <f t="shared" si="214"/>
        <v>-734.74500000000012</v>
      </c>
      <c r="AZ76" s="26">
        <f t="shared" si="214"/>
        <v>-149.22000000000003</v>
      </c>
      <c r="BA76" s="31">
        <f t="shared" si="214"/>
        <v>-107.65299999999996</v>
      </c>
      <c r="BB76" s="31">
        <f t="shared" si="214"/>
        <v>-160.72400000000005</v>
      </c>
      <c r="BC76" s="26">
        <f t="shared" si="214"/>
        <v>-144.80800000000005</v>
      </c>
      <c r="BD76" s="826">
        <f t="shared" si="214"/>
        <v>-562.83000000000015</v>
      </c>
      <c r="BE76" s="26">
        <f t="shared" si="214"/>
        <v>-151.11000000000001</v>
      </c>
      <c r="BF76" s="31">
        <f t="shared" si="214"/>
        <v>-86.35899999999998</v>
      </c>
      <c r="BG76" s="31">
        <f t="shared" si="214"/>
        <v>-62.008000000000038</v>
      </c>
      <c r="BH76" s="26">
        <f t="shared" si="208"/>
        <v>-63.663999999999987</v>
      </c>
      <c r="BI76" s="826">
        <f t="shared" si="208"/>
        <v>-363.17499999999973</v>
      </c>
      <c r="BJ76" s="26">
        <f t="shared" si="208"/>
        <v>-42.951999999999998</v>
      </c>
      <c r="BK76" s="31">
        <f t="shared" si="209"/>
        <v>-12.376000000000033</v>
      </c>
      <c r="BL76" s="31">
        <f t="shared" si="209"/>
        <v>-15.824000000000012</v>
      </c>
      <c r="BM76" s="26">
        <f t="shared" si="209"/>
        <v>-46.367999999999995</v>
      </c>
      <c r="BN76" s="826">
        <f t="shared" si="209"/>
        <v>-117.85200000000009</v>
      </c>
      <c r="BO76" s="26">
        <f t="shared" si="210"/>
        <v>4.0500000000000114</v>
      </c>
      <c r="BP76" s="31">
        <f t="shared" si="210"/>
        <v>45.044999999999959</v>
      </c>
      <c r="BQ76" s="31">
        <f t="shared" si="210"/>
        <v>32.843999999999937</v>
      </c>
      <c r="BR76" s="26">
        <f t="shared" si="211"/>
        <v>28.059999999999945</v>
      </c>
      <c r="BS76" s="826">
        <f t="shared" si="211"/>
        <v>109.86500000000001</v>
      </c>
      <c r="BT76" s="647">
        <f t="shared" si="211"/>
        <v>82.529999999999973</v>
      </c>
      <c r="BU76" s="770">
        <v>45</v>
      </c>
      <c r="BV76" s="770">
        <v>-43</v>
      </c>
      <c r="BW76" s="770">
        <v>45</v>
      </c>
      <c r="BX76" s="825">
        <f>SUM(BT76,BU76,BV76,BW76)</f>
        <v>129.52999999999997</v>
      </c>
      <c r="BY76" s="770">
        <v>-43</v>
      </c>
      <c r="BZ76" s="770">
        <v>-43</v>
      </c>
      <c r="CA76" s="770">
        <v>-43</v>
      </c>
      <c r="CB76" s="770">
        <v>-43</v>
      </c>
      <c r="CC76" s="825">
        <f>SUM(BY76,BZ76,CA76,CB76)</f>
        <v>-172</v>
      </c>
      <c r="CD76" s="851">
        <v>-172</v>
      </c>
      <c r="CE76" s="851">
        <v>-172</v>
      </c>
      <c r="CF76" s="851">
        <v>-172</v>
      </c>
      <c r="CG76" s="26"/>
    </row>
    <row r="77" spans="1:85" s="429" customFormat="1" hidden="1" outlineLevel="1" x14ac:dyDescent="0.3">
      <c r="A77" s="48"/>
      <c r="B77" s="63"/>
      <c r="C77" s="825"/>
      <c r="D77" s="825"/>
      <c r="E77" s="825"/>
      <c r="F77" s="825"/>
      <c r="G77" s="31"/>
      <c r="H77" s="31"/>
      <c r="I77" s="31"/>
      <c r="J77" s="31"/>
      <c r="K77" s="825"/>
      <c r="L77" s="31"/>
      <c r="M77" s="31"/>
      <c r="N77" s="31"/>
      <c r="O77" s="31"/>
      <c r="P77" s="825"/>
      <c r="Q77" s="31"/>
      <c r="R77" s="31"/>
      <c r="S77" s="31"/>
      <c r="T77" s="31"/>
      <c r="U77" s="825"/>
      <c r="V77" s="31"/>
      <c r="W77" s="31"/>
      <c r="X77" s="31"/>
      <c r="Y77" s="31"/>
      <c r="Z77" s="825"/>
      <c r="AA77" s="31"/>
      <c r="AB77" s="31"/>
      <c r="AC77" s="31"/>
      <c r="AD77" s="31"/>
      <c r="AE77" s="825"/>
      <c r="AF77" s="31"/>
      <c r="AG77" s="31"/>
      <c r="AH77" s="31"/>
      <c r="AI77" s="31"/>
      <c r="AJ77" s="825"/>
      <c r="AK77" s="31"/>
      <c r="AL77" s="31"/>
      <c r="AM77" s="31"/>
      <c r="AN77" s="31"/>
      <c r="AO77" s="825"/>
      <c r="AP77" s="31"/>
      <c r="AQ77" s="31"/>
      <c r="AR77" s="31"/>
      <c r="AS77" s="31"/>
      <c r="AT77" s="825"/>
      <c r="AU77" s="31"/>
      <c r="AV77" s="31"/>
      <c r="AW77" s="31"/>
      <c r="AX77" s="31"/>
      <c r="AY77" s="825"/>
      <c r="AZ77" s="31"/>
      <c r="BA77" s="31"/>
      <c r="BB77" s="31"/>
      <c r="BC77" s="31"/>
      <c r="BD77" s="825"/>
      <c r="BE77" s="31"/>
      <c r="BF77" s="31"/>
      <c r="BG77" s="31"/>
      <c r="BH77" s="31"/>
      <c r="BI77" s="825"/>
      <c r="BJ77" s="31"/>
      <c r="BK77" s="31"/>
      <c r="BL77" s="31"/>
      <c r="BM77" s="31"/>
      <c r="BN77" s="825"/>
      <c r="BO77" s="31"/>
      <c r="BP77" s="31"/>
      <c r="BQ77" s="31"/>
      <c r="BR77" s="31"/>
      <c r="BS77" s="825"/>
      <c r="BT77" s="379"/>
      <c r="BU77" s="31"/>
      <c r="BV77" s="31"/>
      <c r="BW77" s="31"/>
      <c r="BX77" s="825"/>
      <c r="BY77" s="31"/>
      <c r="BZ77" s="31"/>
      <c r="CA77" s="31"/>
      <c r="CB77" s="31"/>
      <c r="CC77" s="825"/>
      <c r="CD77" s="825"/>
      <c r="CE77" s="825"/>
      <c r="CF77" s="825"/>
      <c r="CG77" s="26"/>
    </row>
    <row r="78" spans="1:85" s="428" customFormat="1" hidden="1" outlineLevel="1" x14ac:dyDescent="0.3">
      <c r="A78" s="43" t="s">
        <v>67</v>
      </c>
      <c r="B78" s="64"/>
      <c r="C78" s="821">
        <f t="shared" ref="C78:I79" si="215">C71*C$3/1000</f>
        <v>1482.63</v>
      </c>
      <c r="D78" s="821">
        <f t="shared" si="215"/>
        <v>1639.9449999999999</v>
      </c>
      <c r="E78" s="821">
        <f t="shared" si="215"/>
        <v>1591.7650000000001</v>
      </c>
      <c r="F78" s="821">
        <f t="shared" si="215"/>
        <v>1579.29</v>
      </c>
      <c r="G78" s="37">
        <f t="shared" si="215"/>
        <v>404.82</v>
      </c>
      <c r="H78" s="37">
        <f t="shared" si="215"/>
        <v>388.75200000000001</v>
      </c>
      <c r="I78" s="37">
        <f t="shared" si="215"/>
        <v>374.62400000000002</v>
      </c>
      <c r="J78" s="37">
        <f>K78-SUM(G78,H78,I78)</f>
        <v>383.4190000000001</v>
      </c>
      <c r="K78" s="821">
        <f t="shared" ref="K78:N79" si="216">K71*K$3/1000</f>
        <v>1551.615</v>
      </c>
      <c r="L78" s="37">
        <f t="shared" si="216"/>
        <v>363.69</v>
      </c>
      <c r="M78" s="37">
        <f t="shared" si="216"/>
        <v>376.012</v>
      </c>
      <c r="N78" s="37">
        <f t="shared" si="216"/>
        <v>394.68</v>
      </c>
      <c r="O78" s="37">
        <f>P78-SUM(L78,M78,N78)</f>
        <v>436.57799999999997</v>
      </c>
      <c r="P78" s="821">
        <f t="shared" ref="P78:S79" si="217">P71*P$3/1000</f>
        <v>1570.96</v>
      </c>
      <c r="Q78" s="37">
        <f t="shared" si="217"/>
        <v>362.34</v>
      </c>
      <c r="R78" s="37">
        <f t="shared" si="217"/>
        <v>357.721</v>
      </c>
      <c r="S78" s="37">
        <f t="shared" si="217"/>
        <v>377.66</v>
      </c>
      <c r="T78" s="37">
        <f>U78-SUM(Q78,R78,S78)</f>
        <v>471.41399999999999</v>
      </c>
      <c r="U78" s="821">
        <f t="shared" ref="U78:AQ78" si="218">U71*U$3/1000</f>
        <v>1569.135</v>
      </c>
      <c r="V78" s="37">
        <f t="shared" si="218"/>
        <v>368.00400000000002</v>
      </c>
      <c r="W78" s="37">
        <f t="shared" si="218"/>
        <v>409.77300000000002</v>
      </c>
      <c r="X78" s="37">
        <f t="shared" si="218"/>
        <v>396.15199999999999</v>
      </c>
      <c r="Y78" s="22">
        <f t="shared" si="218"/>
        <v>423.01600000000002</v>
      </c>
      <c r="Z78" s="852">
        <f t="shared" si="218"/>
        <v>1643.7059999999999</v>
      </c>
      <c r="AA78" s="22">
        <f t="shared" si="218"/>
        <v>432.09</v>
      </c>
      <c r="AB78" s="37">
        <f t="shared" si="218"/>
        <v>467.92200000000003</v>
      </c>
      <c r="AC78" s="37">
        <f t="shared" si="218"/>
        <v>457.976</v>
      </c>
      <c r="AD78" s="22">
        <f t="shared" si="218"/>
        <v>484.84</v>
      </c>
      <c r="AE78" s="852">
        <f t="shared" si="218"/>
        <v>1854.5650000000001</v>
      </c>
      <c r="AF78" s="22">
        <f t="shared" si="218"/>
        <v>492.75</v>
      </c>
      <c r="AG78" s="37">
        <f t="shared" si="218"/>
        <v>453.089</v>
      </c>
      <c r="AH78" s="37">
        <f t="shared" si="218"/>
        <v>522.65200000000004</v>
      </c>
      <c r="AI78" s="22">
        <f t="shared" si="218"/>
        <v>576.93200000000002</v>
      </c>
      <c r="AJ78" s="852">
        <f t="shared" si="218"/>
        <v>2045.46</v>
      </c>
      <c r="AK78" s="22">
        <f t="shared" si="218"/>
        <v>525.24</v>
      </c>
      <c r="AL78" s="37">
        <f t="shared" si="218"/>
        <v>546.63699999999994</v>
      </c>
      <c r="AM78" s="37">
        <f t="shared" si="218"/>
        <v>544.91600000000005</v>
      </c>
      <c r="AN78" s="22">
        <f t="shared" si="218"/>
        <v>525.596</v>
      </c>
      <c r="AO78" s="852">
        <f t="shared" si="218"/>
        <v>2142.1849999999999</v>
      </c>
      <c r="AP78" s="22">
        <f t="shared" si="218"/>
        <v>566.56600000000003</v>
      </c>
      <c r="AQ78" s="37">
        <f t="shared" si="218"/>
        <v>494.13</v>
      </c>
      <c r="AR78" s="37">
        <f>AR71*AR$3/1000</f>
        <v>507.19600000000003</v>
      </c>
      <c r="AS78" s="22">
        <f t="shared" ref="AS78:AU78" si="219">AS71*AS$3/1000</f>
        <v>493.94799999999998</v>
      </c>
      <c r="AT78" s="852">
        <f t="shared" si="219"/>
        <v>2062.0439999999999</v>
      </c>
      <c r="AU78" s="22">
        <f t="shared" si="219"/>
        <v>488.7</v>
      </c>
      <c r="AV78" s="37">
        <f t="shared" ref="AV78:AY79" si="220">AV71*AV$3/1000</f>
        <v>432.79599999999999</v>
      </c>
      <c r="AW78" s="37">
        <f t="shared" si="220"/>
        <v>501.4</v>
      </c>
      <c r="AX78" s="22">
        <f t="shared" si="220"/>
        <v>467.084</v>
      </c>
      <c r="AY78" s="852">
        <f t="shared" si="220"/>
        <v>1889.97</v>
      </c>
      <c r="AZ78" s="22">
        <f t="shared" ref="AZ78:BB79" si="221">AZ71*AZ$3/1000</f>
        <v>438.75</v>
      </c>
      <c r="BA78" s="37">
        <f t="shared" si="221"/>
        <v>412.86700000000002</v>
      </c>
      <c r="BB78" s="37">
        <f t="shared" si="221"/>
        <v>735.08</v>
      </c>
      <c r="BC78" s="22">
        <f t="shared" ref="BC78:BE79" si="222">BC71*BC$3/1000</f>
        <v>527.52800000000002</v>
      </c>
      <c r="BD78" s="852">
        <f t="shared" si="222"/>
        <v>2112.9850000000001</v>
      </c>
      <c r="BE78" s="22">
        <f t="shared" si="222"/>
        <v>520.65</v>
      </c>
      <c r="BF78" s="37">
        <f t="shared" ref="BF78:BI79" si="223">BF71*BF$3/1000</f>
        <v>516.51599999999996</v>
      </c>
      <c r="BG78" s="37">
        <f t="shared" si="223"/>
        <v>515.20000000000005</v>
      </c>
      <c r="BH78" s="22">
        <f t="shared" si="223"/>
        <v>510.50799999999998</v>
      </c>
      <c r="BI78" s="852">
        <f t="shared" si="223"/>
        <v>2199.125</v>
      </c>
      <c r="BJ78" s="22">
        <f t="shared" ref="BJ78:BL79" si="224">BJ71*BJ$3/1000</f>
        <v>525.07000000000005</v>
      </c>
      <c r="BK78" s="37">
        <f t="shared" si="224"/>
        <v>490.399</v>
      </c>
      <c r="BL78" s="37">
        <f t="shared" si="224"/>
        <v>512.99199999999996</v>
      </c>
      <c r="BM78" s="22">
        <f t="shared" ref="BM78:BO79" si="225">BM71*BM$3/1000</f>
        <v>549.51599999999996</v>
      </c>
      <c r="BN78" s="852">
        <f t="shared" si="225"/>
        <v>2078.1480000000001</v>
      </c>
      <c r="BO78" s="22">
        <f t="shared" si="225"/>
        <v>483.93</v>
      </c>
      <c r="BP78" s="37">
        <f t="shared" ref="BP78:BS79" si="226">BP71*BP$3/1000</f>
        <v>501.137</v>
      </c>
      <c r="BQ78" s="37">
        <f t="shared" si="226"/>
        <v>522.74400000000003</v>
      </c>
      <c r="BR78" s="22">
        <f t="shared" si="226"/>
        <v>512.16399999999999</v>
      </c>
      <c r="BS78" s="852">
        <f t="shared" si="226"/>
        <v>2020.2750000000001</v>
      </c>
      <c r="BT78" s="648">
        <f>BT71*BT$3/1000</f>
        <v>486.45</v>
      </c>
      <c r="BU78" s="37">
        <f t="shared" ref="BU78:BW79" si="227">BU59+BU75</f>
        <v>638.5</v>
      </c>
      <c r="BV78" s="37">
        <f t="shared" si="227"/>
        <v>605</v>
      </c>
      <c r="BW78" s="37">
        <f t="shared" si="227"/>
        <v>642</v>
      </c>
      <c r="BX78" s="821">
        <f>SUM(BT78,BU78,BV78,BW78)</f>
        <v>2371.9499999999998</v>
      </c>
      <c r="BY78" s="37">
        <f t="shared" ref="BY78:CB79" si="228">BY59+BY75</f>
        <v>598</v>
      </c>
      <c r="BZ78" s="37">
        <f t="shared" si="228"/>
        <v>556</v>
      </c>
      <c r="CA78" s="37">
        <f t="shared" si="228"/>
        <v>559</v>
      </c>
      <c r="CB78" s="37">
        <f t="shared" si="228"/>
        <v>559</v>
      </c>
      <c r="CC78" s="821">
        <f>SUM(BY78,BZ78,CA78,CB78)</f>
        <v>2272</v>
      </c>
      <c r="CD78" s="821">
        <f t="shared" ref="CD78:CF79" si="229">CD59+CD75</f>
        <v>2284.6</v>
      </c>
      <c r="CE78" s="821">
        <f t="shared" si="229"/>
        <v>2281.5</v>
      </c>
      <c r="CF78" s="821">
        <f t="shared" si="229"/>
        <v>2281.5</v>
      </c>
      <c r="CG78" s="22"/>
    </row>
    <row r="79" spans="1:85" s="428" customFormat="1" hidden="1" outlineLevel="1" x14ac:dyDescent="0.3">
      <c r="A79" s="43" t="s">
        <v>68</v>
      </c>
      <c r="B79" s="64"/>
      <c r="C79" s="821">
        <f t="shared" si="215"/>
        <v>2153.8649999999998</v>
      </c>
      <c r="D79" s="821">
        <f t="shared" si="215"/>
        <v>2165.1799999999998</v>
      </c>
      <c r="E79" s="821">
        <f t="shared" si="215"/>
        <v>2130.14</v>
      </c>
      <c r="F79" s="821">
        <f t="shared" si="215"/>
        <v>2002.02</v>
      </c>
      <c r="G79" s="37">
        <f t="shared" si="215"/>
        <v>548.54999999999995</v>
      </c>
      <c r="H79" s="37">
        <f t="shared" si="215"/>
        <v>514.24099999999999</v>
      </c>
      <c r="I79" s="37">
        <f t="shared" si="215"/>
        <v>519.15599999999995</v>
      </c>
      <c r="J79" s="37">
        <f>K79-SUM(G79,H79,I79)</f>
        <v>419.34800000000018</v>
      </c>
      <c r="K79" s="821">
        <f t="shared" si="216"/>
        <v>2001.2950000000001</v>
      </c>
      <c r="L79" s="37">
        <f t="shared" si="216"/>
        <v>444.24</v>
      </c>
      <c r="M79" s="37">
        <f t="shared" si="216"/>
        <v>334.51600000000002</v>
      </c>
      <c r="N79" s="37">
        <f t="shared" si="216"/>
        <v>340.12400000000002</v>
      </c>
      <c r="O79" s="37">
        <f>P79-SUM(L79,M79,N79)</f>
        <v>339.29499999999985</v>
      </c>
      <c r="P79" s="821">
        <f t="shared" si="217"/>
        <v>1458.175</v>
      </c>
      <c r="Q79" s="37">
        <f t="shared" si="217"/>
        <v>372.51</v>
      </c>
      <c r="R79" s="37">
        <f t="shared" si="217"/>
        <v>343.70699999999999</v>
      </c>
      <c r="S79" s="37">
        <f t="shared" si="217"/>
        <v>358.43200000000002</v>
      </c>
      <c r="T79" s="37">
        <f>U79-SUM(Q79,R79,S79)</f>
        <v>353.596</v>
      </c>
      <c r="U79" s="821">
        <f t="shared" ref="U79:AQ79" si="230">U72*U$3/1000</f>
        <v>1428.2449999999999</v>
      </c>
      <c r="V79" s="37">
        <f t="shared" si="230"/>
        <v>346.52800000000002</v>
      </c>
      <c r="W79" s="37">
        <f t="shared" si="230"/>
        <v>287.01400000000001</v>
      </c>
      <c r="X79" s="37">
        <f t="shared" si="230"/>
        <v>300.19600000000003</v>
      </c>
      <c r="Y79" s="22">
        <f t="shared" si="230"/>
        <v>280.14</v>
      </c>
      <c r="Z79" s="852">
        <f t="shared" si="230"/>
        <v>1214.0219999999999</v>
      </c>
      <c r="AA79" s="22">
        <f t="shared" si="230"/>
        <v>282.77999999999997</v>
      </c>
      <c r="AB79" s="37">
        <f t="shared" si="230"/>
        <v>297.11500000000001</v>
      </c>
      <c r="AC79" s="37">
        <f t="shared" si="230"/>
        <v>317.86</v>
      </c>
      <c r="AD79" s="22">
        <f t="shared" si="230"/>
        <v>317.952</v>
      </c>
      <c r="AE79" s="852">
        <f t="shared" si="230"/>
        <v>1215.8150000000001</v>
      </c>
      <c r="AF79" s="22">
        <f t="shared" si="230"/>
        <v>306.72000000000003</v>
      </c>
      <c r="AG79" s="37">
        <f t="shared" si="230"/>
        <v>299.29899999999998</v>
      </c>
      <c r="AH79" s="37">
        <f t="shared" si="230"/>
        <v>306.72800000000001</v>
      </c>
      <c r="AI79" s="22">
        <f t="shared" si="230"/>
        <v>357.97199999999998</v>
      </c>
      <c r="AJ79" s="852">
        <f t="shared" si="230"/>
        <v>1270.5650000000001</v>
      </c>
      <c r="AK79" s="22">
        <f t="shared" si="230"/>
        <v>382.95</v>
      </c>
      <c r="AL79" s="37">
        <f t="shared" si="230"/>
        <v>340.70400000000001</v>
      </c>
      <c r="AM79" s="37">
        <f t="shared" si="230"/>
        <v>362.94</v>
      </c>
      <c r="AN79" s="22">
        <f t="shared" si="230"/>
        <v>379.13200000000001</v>
      </c>
      <c r="AO79" s="852">
        <f t="shared" si="230"/>
        <v>1465.84</v>
      </c>
      <c r="AP79" s="22">
        <f t="shared" si="230"/>
        <v>397.03300000000002</v>
      </c>
      <c r="AQ79" s="37">
        <f t="shared" si="230"/>
        <v>351.53300000000002</v>
      </c>
      <c r="AR79" s="37">
        <f>AR72*AR$3/1000</f>
        <v>347.392</v>
      </c>
      <c r="AS79" s="22">
        <f t="shared" ref="AS79:AU79" si="231">AS72*AS$3/1000</f>
        <v>329.452</v>
      </c>
      <c r="AT79" s="852">
        <f t="shared" si="231"/>
        <v>1425.204</v>
      </c>
      <c r="AU79" s="22">
        <f t="shared" si="231"/>
        <v>351.99</v>
      </c>
      <c r="AV79" s="37">
        <f t="shared" si="220"/>
        <v>343.61599999999999</v>
      </c>
      <c r="AW79" s="37">
        <f t="shared" si="220"/>
        <v>374.99200000000002</v>
      </c>
      <c r="AX79" s="22">
        <f t="shared" si="220"/>
        <v>391.92</v>
      </c>
      <c r="AY79" s="852">
        <f t="shared" si="220"/>
        <v>1462.5550000000001</v>
      </c>
      <c r="AZ79" s="22">
        <f t="shared" si="221"/>
        <v>401.49</v>
      </c>
      <c r="BA79" s="37">
        <f t="shared" si="221"/>
        <v>397.12400000000002</v>
      </c>
      <c r="BB79" s="37">
        <f t="shared" si="221"/>
        <v>410.68799999999999</v>
      </c>
      <c r="BC79" s="22">
        <f t="shared" si="222"/>
        <v>388.608</v>
      </c>
      <c r="BD79" s="852">
        <f t="shared" si="222"/>
        <v>1597.97</v>
      </c>
      <c r="BE79" s="22">
        <f t="shared" si="222"/>
        <v>368.64</v>
      </c>
      <c r="BF79" s="37">
        <f t="shared" si="223"/>
        <v>412.13900000000001</v>
      </c>
      <c r="BG79" s="37">
        <f t="shared" si="223"/>
        <v>454.66399999999999</v>
      </c>
      <c r="BH79" s="22">
        <f t="shared" si="223"/>
        <v>457.14800000000002</v>
      </c>
      <c r="BI79" s="852">
        <f t="shared" si="223"/>
        <v>1692.5050000000001</v>
      </c>
      <c r="BJ79" s="22">
        <f t="shared" si="224"/>
        <v>467.55799999999999</v>
      </c>
      <c r="BK79" s="37">
        <f t="shared" si="224"/>
        <v>477.02199999999999</v>
      </c>
      <c r="BL79" s="37">
        <f t="shared" si="224"/>
        <v>494.77600000000001</v>
      </c>
      <c r="BM79" s="22">
        <f t="shared" si="225"/>
        <v>453.83600000000001</v>
      </c>
      <c r="BN79" s="852">
        <f t="shared" si="225"/>
        <v>1892.952</v>
      </c>
      <c r="BO79" s="22">
        <f t="shared" si="225"/>
        <v>487.44</v>
      </c>
      <c r="BP79" s="37">
        <f t="shared" si="226"/>
        <v>509.05399999999997</v>
      </c>
      <c r="BQ79" s="37">
        <f t="shared" si="226"/>
        <v>554.85199999999998</v>
      </c>
      <c r="BR79" s="22">
        <f t="shared" si="226"/>
        <v>535.34799999999996</v>
      </c>
      <c r="BS79" s="852">
        <f t="shared" si="226"/>
        <v>2086.7049999999999</v>
      </c>
      <c r="BT79" s="648">
        <f>BT72*BT$3/1000</f>
        <v>547.02</v>
      </c>
      <c r="BU79" s="37">
        <f t="shared" si="227"/>
        <v>554.6</v>
      </c>
      <c r="BV79" s="37">
        <f t="shared" si="227"/>
        <v>472.20000000000005</v>
      </c>
      <c r="BW79" s="37">
        <f t="shared" si="227"/>
        <v>560.20000000000005</v>
      </c>
      <c r="BX79" s="821">
        <f>SUM(BT79,BU79,BV79,BW79)</f>
        <v>2134.02</v>
      </c>
      <c r="BY79" s="37">
        <f t="shared" si="228"/>
        <v>452</v>
      </c>
      <c r="BZ79" s="37">
        <f t="shared" si="228"/>
        <v>448.4</v>
      </c>
      <c r="CA79" s="37">
        <f t="shared" si="228"/>
        <v>453.8</v>
      </c>
      <c r="CB79" s="37">
        <f t="shared" si="228"/>
        <v>453.8</v>
      </c>
      <c r="CC79" s="821">
        <f>SUM(BY79,BZ79,CA79,CB79)</f>
        <v>1808</v>
      </c>
      <c r="CD79" s="821">
        <f t="shared" si="229"/>
        <v>1804.4</v>
      </c>
      <c r="CE79" s="821">
        <f t="shared" si="229"/>
        <v>1799</v>
      </c>
      <c r="CF79" s="821">
        <f t="shared" si="229"/>
        <v>1762.5</v>
      </c>
      <c r="CG79" s="22"/>
    </row>
    <row r="80" spans="1:85" s="429" customFormat="1" hidden="1" outlineLevel="1" x14ac:dyDescent="0.3">
      <c r="A80" s="42" t="s">
        <v>69</v>
      </c>
      <c r="B80" s="90"/>
      <c r="C80" s="823">
        <f t="shared" ref="C80:AH80" si="232">SUM(C78:C79)</f>
        <v>3636.4949999999999</v>
      </c>
      <c r="D80" s="823">
        <f t="shared" si="232"/>
        <v>3805.125</v>
      </c>
      <c r="E80" s="823">
        <f t="shared" si="232"/>
        <v>3721.9049999999997</v>
      </c>
      <c r="F80" s="823">
        <f t="shared" si="232"/>
        <v>3581.31</v>
      </c>
      <c r="G80" s="393">
        <f t="shared" si="232"/>
        <v>953.36999999999989</v>
      </c>
      <c r="H80" s="393">
        <f t="shared" si="232"/>
        <v>902.99299999999994</v>
      </c>
      <c r="I80" s="393">
        <f t="shared" si="232"/>
        <v>893.78</v>
      </c>
      <c r="J80" s="393">
        <f t="shared" si="232"/>
        <v>802.76700000000028</v>
      </c>
      <c r="K80" s="823">
        <f t="shared" si="232"/>
        <v>3552.91</v>
      </c>
      <c r="L80" s="393">
        <f t="shared" si="232"/>
        <v>807.93000000000006</v>
      </c>
      <c r="M80" s="393">
        <f t="shared" si="232"/>
        <v>710.52800000000002</v>
      </c>
      <c r="N80" s="393">
        <f t="shared" si="232"/>
        <v>734.80400000000009</v>
      </c>
      <c r="O80" s="393">
        <f t="shared" si="232"/>
        <v>775.87299999999982</v>
      </c>
      <c r="P80" s="823">
        <f t="shared" si="232"/>
        <v>3029.1350000000002</v>
      </c>
      <c r="Q80" s="393">
        <f t="shared" si="232"/>
        <v>734.84999999999991</v>
      </c>
      <c r="R80" s="393">
        <f t="shared" si="232"/>
        <v>701.428</v>
      </c>
      <c r="S80" s="393">
        <f t="shared" si="232"/>
        <v>736.0920000000001</v>
      </c>
      <c r="T80" s="393">
        <f t="shared" si="232"/>
        <v>825.01</v>
      </c>
      <c r="U80" s="823">
        <f t="shared" si="232"/>
        <v>2997.38</v>
      </c>
      <c r="V80" s="393">
        <f t="shared" si="232"/>
        <v>714.53200000000004</v>
      </c>
      <c r="W80" s="393">
        <f t="shared" si="232"/>
        <v>696.78700000000003</v>
      </c>
      <c r="X80" s="393">
        <f t="shared" si="232"/>
        <v>696.34799999999996</v>
      </c>
      <c r="Y80" s="394">
        <f t="shared" si="232"/>
        <v>703.15599999999995</v>
      </c>
      <c r="Z80" s="824">
        <f t="shared" si="232"/>
        <v>2857.7280000000001</v>
      </c>
      <c r="AA80" s="394">
        <f t="shared" si="232"/>
        <v>714.86999999999989</v>
      </c>
      <c r="AB80" s="393">
        <f t="shared" si="232"/>
        <v>765.03700000000003</v>
      </c>
      <c r="AC80" s="393">
        <f t="shared" si="232"/>
        <v>775.83600000000001</v>
      </c>
      <c r="AD80" s="394">
        <f t="shared" si="232"/>
        <v>802.79199999999992</v>
      </c>
      <c r="AE80" s="824">
        <f t="shared" si="232"/>
        <v>3070.38</v>
      </c>
      <c r="AF80" s="394">
        <f t="shared" si="232"/>
        <v>799.47</v>
      </c>
      <c r="AG80" s="393">
        <f t="shared" si="232"/>
        <v>752.38799999999992</v>
      </c>
      <c r="AH80" s="393">
        <f t="shared" si="232"/>
        <v>829.38000000000011</v>
      </c>
      <c r="AI80" s="394">
        <f t="shared" ref="AI80:AQ80" si="233">SUM(AI78:AI79)</f>
        <v>934.904</v>
      </c>
      <c r="AJ80" s="824">
        <f t="shared" si="233"/>
        <v>3316.0250000000001</v>
      </c>
      <c r="AK80" s="394">
        <f t="shared" si="233"/>
        <v>908.19</v>
      </c>
      <c r="AL80" s="393">
        <f t="shared" si="233"/>
        <v>887.34099999999989</v>
      </c>
      <c r="AM80" s="393">
        <f t="shared" si="233"/>
        <v>907.85599999999999</v>
      </c>
      <c r="AN80" s="394">
        <f t="shared" si="233"/>
        <v>904.72800000000007</v>
      </c>
      <c r="AO80" s="824">
        <f t="shared" si="233"/>
        <v>3608.0249999999996</v>
      </c>
      <c r="AP80" s="394">
        <f t="shared" si="233"/>
        <v>963.59900000000005</v>
      </c>
      <c r="AQ80" s="393">
        <f t="shared" si="233"/>
        <v>845.66300000000001</v>
      </c>
      <c r="AR80" s="393">
        <f>SUM(AR78:AR79)</f>
        <v>854.58799999999997</v>
      </c>
      <c r="AS80" s="394">
        <f t="shared" ref="AS80:AU80" si="234">SUM(AS78:AS79)</f>
        <v>823.4</v>
      </c>
      <c r="AT80" s="824">
        <f t="shared" si="234"/>
        <v>3487.2479999999996</v>
      </c>
      <c r="AU80" s="394">
        <f t="shared" si="234"/>
        <v>840.69</v>
      </c>
      <c r="AV80" s="393">
        <f t="shared" ref="AV80:BA80" si="235">SUM(AV78:AV79)</f>
        <v>776.41200000000003</v>
      </c>
      <c r="AW80" s="393">
        <f t="shared" si="235"/>
        <v>876.39200000000005</v>
      </c>
      <c r="AX80" s="394">
        <f t="shared" si="235"/>
        <v>859.00400000000002</v>
      </c>
      <c r="AY80" s="824">
        <f t="shared" si="235"/>
        <v>3352.5250000000001</v>
      </c>
      <c r="AZ80" s="394">
        <f t="shared" si="235"/>
        <v>840.24</v>
      </c>
      <c r="BA80" s="393">
        <f t="shared" si="235"/>
        <v>809.99099999999999</v>
      </c>
      <c r="BB80" s="393">
        <f t="shared" ref="BB80:BD80" si="236">SUM(BB78:BB79)</f>
        <v>1145.768</v>
      </c>
      <c r="BC80" s="394">
        <f t="shared" si="236"/>
        <v>916.13599999999997</v>
      </c>
      <c r="BD80" s="824">
        <f t="shared" si="236"/>
        <v>3710.9549999999999</v>
      </c>
      <c r="BE80" s="394">
        <f t="shared" ref="BE80:BI80" si="237">SUM(BE78:BE79)</f>
        <v>889.29</v>
      </c>
      <c r="BF80" s="393">
        <f t="shared" si="237"/>
        <v>928.65499999999997</v>
      </c>
      <c r="BG80" s="393">
        <f t="shared" si="237"/>
        <v>969.86400000000003</v>
      </c>
      <c r="BH80" s="394">
        <f t="shared" si="237"/>
        <v>967.65599999999995</v>
      </c>
      <c r="BI80" s="824">
        <f t="shared" si="237"/>
        <v>3891.63</v>
      </c>
      <c r="BJ80" s="394">
        <f t="shared" ref="BJ80:BX80" si="238">SUM(BJ78:BJ79)</f>
        <v>992.62800000000004</v>
      </c>
      <c r="BK80" s="393">
        <f t="shared" si="238"/>
        <v>967.42100000000005</v>
      </c>
      <c r="BL80" s="393">
        <f t="shared" si="238"/>
        <v>1007.768</v>
      </c>
      <c r="BM80" s="394">
        <f t="shared" si="238"/>
        <v>1003.352</v>
      </c>
      <c r="BN80" s="824">
        <f t="shared" si="238"/>
        <v>3971.1000000000004</v>
      </c>
      <c r="BO80" s="394">
        <f t="shared" ref="BO80:BW80" si="239">SUM(BO78:BO79)</f>
        <v>971.37</v>
      </c>
      <c r="BP80" s="393">
        <f t="shared" si="239"/>
        <v>1010.191</v>
      </c>
      <c r="BQ80" s="393">
        <f t="shared" si="239"/>
        <v>1077.596</v>
      </c>
      <c r="BR80" s="394">
        <f t="shared" si="239"/>
        <v>1047.5119999999999</v>
      </c>
      <c r="BS80" s="824">
        <f t="shared" si="239"/>
        <v>4106.9799999999996</v>
      </c>
      <c r="BT80" s="640">
        <f>SUM(BT78:BT79)</f>
        <v>1033.47</v>
      </c>
      <c r="BU80" s="393">
        <f t="shared" si="239"/>
        <v>1193.0999999999999</v>
      </c>
      <c r="BV80" s="393">
        <f t="shared" si="239"/>
        <v>1077.2</v>
      </c>
      <c r="BW80" s="393">
        <f t="shared" si="239"/>
        <v>1202.2</v>
      </c>
      <c r="BX80" s="823">
        <f t="shared" si="238"/>
        <v>4505.9699999999993</v>
      </c>
      <c r="BY80" s="393">
        <f t="shared" ref="BY80:CF80" si="240">SUM(BY78:BY79)</f>
        <v>1050</v>
      </c>
      <c r="BZ80" s="393">
        <f t="shared" si="240"/>
        <v>1004.4</v>
      </c>
      <c r="CA80" s="393">
        <f t="shared" si="240"/>
        <v>1012.8</v>
      </c>
      <c r="CB80" s="393">
        <f t="shared" si="240"/>
        <v>1012.8</v>
      </c>
      <c r="CC80" s="823">
        <f t="shared" si="240"/>
        <v>4080</v>
      </c>
      <c r="CD80" s="823">
        <f t="shared" si="240"/>
        <v>4089</v>
      </c>
      <c r="CE80" s="823">
        <f t="shared" si="240"/>
        <v>4080.5</v>
      </c>
      <c r="CF80" s="823">
        <f t="shared" si="240"/>
        <v>4044</v>
      </c>
      <c r="CG80" s="26"/>
    </row>
    <row r="81" spans="1:85" s="429" customFormat="1" collapsed="1" x14ac:dyDescent="0.3">
      <c r="A81" s="48"/>
      <c r="B81" s="63"/>
      <c r="C81" s="825"/>
      <c r="D81" s="825"/>
      <c r="E81" s="825"/>
      <c r="F81" s="825"/>
      <c r="G81" s="31"/>
      <c r="H81" s="31"/>
      <c r="I81" s="31"/>
      <c r="J81" s="31"/>
      <c r="K81" s="825"/>
      <c r="L81" s="31"/>
      <c r="M81" s="31"/>
      <c r="N81" s="31"/>
      <c r="O81" s="31"/>
      <c r="P81" s="825"/>
      <c r="Q81" s="31"/>
      <c r="R81" s="31"/>
      <c r="S81" s="31"/>
      <c r="T81" s="31"/>
      <c r="U81" s="825"/>
      <c r="V81" s="31"/>
      <c r="W81" s="31"/>
      <c r="X81" s="31"/>
      <c r="Y81" s="31"/>
      <c r="Z81" s="825"/>
      <c r="AA81" s="31"/>
      <c r="AB81" s="31"/>
      <c r="AC81" s="31"/>
      <c r="AD81" s="31"/>
      <c r="AE81" s="825"/>
      <c r="AF81" s="31"/>
      <c r="AG81" s="31"/>
      <c r="AH81" s="31"/>
      <c r="AI81" s="31"/>
      <c r="AJ81" s="825"/>
      <c r="AK81" s="31"/>
      <c r="AL81" s="31"/>
      <c r="AM81" s="31"/>
      <c r="AN81" s="31"/>
      <c r="AO81" s="825"/>
      <c r="AP81" s="31"/>
      <c r="AQ81" s="31"/>
      <c r="AR81" s="31"/>
      <c r="AS81" s="31"/>
      <c r="AT81" s="825"/>
      <c r="AU81" s="31"/>
      <c r="AV81" s="31"/>
      <c r="AW81" s="31"/>
      <c r="AX81" s="31"/>
      <c r="AY81" s="825"/>
      <c r="AZ81" s="31"/>
      <c r="BA81" s="31"/>
      <c r="BB81" s="31"/>
      <c r="BC81" s="31"/>
      <c r="BD81" s="825"/>
      <c r="BE81" s="31"/>
      <c r="BF81" s="31"/>
      <c r="BG81" s="31"/>
      <c r="BH81" s="31"/>
      <c r="BI81" s="825"/>
      <c r="BJ81" s="31"/>
      <c r="BK81" s="31"/>
      <c r="BL81" s="31"/>
      <c r="BM81" s="31"/>
      <c r="BN81" s="825"/>
      <c r="BO81" s="31"/>
      <c r="BP81" s="31"/>
      <c r="BQ81" s="31"/>
      <c r="BR81" s="31"/>
      <c r="BS81" s="825"/>
      <c r="BT81" s="379"/>
      <c r="BU81" s="31"/>
      <c r="BV81" s="31"/>
      <c r="BW81" s="31"/>
      <c r="BX81" s="825"/>
      <c r="BY81" s="31"/>
      <c r="BZ81" s="31"/>
      <c r="CA81" s="31"/>
      <c r="CB81" s="31"/>
      <c r="CC81" s="825"/>
      <c r="CD81" s="825"/>
      <c r="CE81" s="825"/>
      <c r="CF81" s="825"/>
      <c r="CG81" s="26"/>
    </row>
    <row r="82" spans="1:85" s="427" customFormat="1" x14ac:dyDescent="0.3">
      <c r="A82" s="720" t="s">
        <v>70</v>
      </c>
      <c r="B82" s="720"/>
      <c r="C82" s="720"/>
      <c r="D82" s="720"/>
      <c r="E82" s="720"/>
      <c r="F82" s="720"/>
      <c r="G82" s="720"/>
      <c r="H82" s="720"/>
      <c r="I82" s="720"/>
      <c r="J82" s="720"/>
      <c r="K82" s="720"/>
      <c r="L82" s="720"/>
      <c r="M82" s="720"/>
      <c r="N82" s="720"/>
      <c r="O82" s="720"/>
      <c r="P82" s="720"/>
      <c r="Q82" s="720"/>
      <c r="R82" s="720"/>
      <c r="S82" s="720"/>
      <c r="T82" s="720"/>
      <c r="U82" s="720"/>
      <c r="V82" s="720"/>
      <c r="W82" s="720"/>
      <c r="X82" s="720"/>
      <c r="Y82" s="720"/>
      <c r="Z82" s="720"/>
      <c r="AA82" s="720"/>
      <c r="AB82" s="720"/>
      <c r="AC82" s="720"/>
      <c r="AD82" s="720"/>
      <c r="AE82" s="720"/>
      <c r="AF82" s="720"/>
      <c r="AG82" s="720"/>
      <c r="AH82" s="720"/>
      <c r="AI82" s="720"/>
      <c r="AJ82" s="720"/>
      <c r="AK82" s="720"/>
      <c r="AL82" s="720"/>
      <c r="AM82" s="720"/>
      <c r="AN82" s="720"/>
      <c r="AO82" s="720"/>
      <c r="AP82" s="720"/>
      <c r="AQ82" s="720"/>
      <c r="AR82" s="720"/>
      <c r="AS82" s="720"/>
      <c r="AT82" s="720"/>
      <c r="AU82" s="720"/>
      <c r="AV82" s="720"/>
      <c r="AW82" s="720"/>
      <c r="AX82" s="720"/>
      <c r="AY82" s="720"/>
      <c r="AZ82" s="720"/>
      <c r="BA82" s="720"/>
      <c r="BB82" s="720"/>
      <c r="BC82" s="720"/>
      <c r="BD82" s="720"/>
      <c r="BE82" s="720"/>
      <c r="BF82" s="720"/>
      <c r="BG82" s="720"/>
      <c r="BH82" s="720"/>
      <c r="BI82" s="720"/>
      <c r="BJ82" s="720"/>
      <c r="BK82" s="720"/>
      <c r="BL82" s="720"/>
      <c r="BM82" s="720"/>
      <c r="BN82" s="720"/>
      <c r="BO82" s="720"/>
      <c r="BP82" s="720"/>
      <c r="BQ82" s="720"/>
      <c r="BR82" s="720"/>
      <c r="BS82" s="720"/>
      <c r="BT82" s="721"/>
      <c r="BU82" s="720"/>
      <c r="BV82" s="720"/>
      <c r="BW82" s="720"/>
      <c r="BX82" s="720"/>
      <c r="BY82" s="720"/>
      <c r="BZ82" s="720"/>
      <c r="CA82" s="720"/>
      <c r="CB82" s="720"/>
      <c r="CC82" s="720"/>
      <c r="CD82" s="720"/>
      <c r="CE82" s="720"/>
      <c r="CF82" s="720"/>
      <c r="CG82" s="321"/>
    </row>
    <row r="83" spans="1:85" s="428" customFormat="1" hidden="1" outlineLevel="1" x14ac:dyDescent="0.3">
      <c r="A83" s="43" t="s">
        <v>71</v>
      </c>
      <c r="B83" s="64"/>
      <c r="C83" s="821">
        <f t="shared" ref="C83:AQ83" si="241">(C56*C114)+(C79*C116)</f>
        <v>17637.154049999997</v>
      </c>
      <c r="D83" s="821">
        <f t="shared" si="241"/>
        <v>22001.407950000001</v>
      </c>
      <c r="E83" s="821">
        <f t="shared" si="241"/>
        <v>25155.65035</v>
      </c>
      <c r="F83" s="821">
        <f t="shared" si="241"/>
        <v>21140.6541</v>
      </c>
      <c r="G83" s="37">
        <f t="shared" si="241"/>
        <v>5575.3559999999998</v>
      </c>
      <c r="H83" s="37">
        <f t="shared" si="241"/>
        <v>5763.4422299999997</v>
      </c>
      <c r="I83" s="37">
        <f t="shared" si="241"/>
        <v>5682.2447600000005</v>
      </c>
      <c r="J83" s="37">
        <f t="shared" si="241"/>
        <v>5043.1581999999999</v>
      </c>
      <c r="K83" s="821">
        <f t="shared" si="241"/>
        <v>22076.570609999999</v>
      </c>
      <c r="L83" s="37">
        <f t="shared" si="241"/>
        <v>5725.5605999999998</v>
      </c>
      <c r="M83" s="37">
        <f t="shared" si="241"/>
        <v>5237.7088400000002</v>
      </c>
      <c r="N83" s="37">
        <f t="shared" si="241"/>
        <v>4908.6140000000005</v>
      </c>
      <c r="O83" s="37">
        <f t="shared" si="241"/>
        <v>3931.2836199999992</v>
      </c>
      <c r="P83" s="821">
        <f t="shared" si="241"/>
        <v>19692.171860000002</v>
      </c>
      <c r="Q83" s="37">
        <f t="shared" si="241"/>
        <v>2742.8688000000002</v>
      </c>
      <c r="R83" s="37">
        <f t="shared" si="241"/>
        <v>2998.45273</v>
      </c>
      <c r="S83" s="37">
        <f t="shared" si="241"/>
        <v>2652.91752</v>
      </c>
      <c r="T83" s="37">
        <f t="shared" si="241"/>
        <v>2166.4674800000003</v>
      </c>
      <c r="U83" s="821">
        <f t="shared" si="241"/>
        <v>10551.163699999999</v>
      </c>
      <c r="V83" s="37">
        <f t="shared" si="241"/>
        <v>1638.6060600000001</v>
      </c>
      <c r="W83" s="37">
        <f t="shared" si="241"/>
        <v>1978.98883</v>
      </c>
      <c r="X83" s="37">
        <f t="shared" si="241"/>
        <v>2328.3166799999999</v>
      </c>
      <c r="Y83" s="22">
        <f t="shared" si="241"/>
        <v>2443.7463199999997</v>
      </c>
      <c r="Z83" s="852">
        <f t="shared" si="241"/>
        <v>8386.5349800000004</v>
      </c>
      <c r="AA83" s="22">
        <f t="shared" si="241"/>
        <v>2709.3329999999996</v>
      </c>
      <c r="AB83" s="37">
        <f t="shared" si="241"/>
        <v>2686.9933999999998</v>
      </c>
      <c r="AC83" s="37">
        <f t="shared" si="241"/>
        <v>2592.5369999999998</v>
      </c>
      <c r="AD83" s="22">
        <f t="shared" si="241"/>
        <v>2979.9094399999999</v>
      </c>
      <c r="AE83" s="852">
        <f t="shared" si="241"/>
        <v>10988.752049999999</v>
      </c>
      <c r="AF83" s="22">
        <f t="shared" si="241"/>
        <v>3483.3779999999997</v>
      </c>
      <c r="AG83" s="37">
        <f t="shared" si="241"/>
        <v>3558.0581400000001</v>
      </c>
      <c r="AH83" s="37">
        <f t="shared" si="241"/>
        <v>4281.92472</v>
      </c>
      <c r="AI83" s="22">
        <f t="shared" si="241"/>
        <v>4168.4086799999995</v>
      </c>
      <c r="AJ83" s="852">
        <f t="shared" si="241"/>
        <v>15484.657800000001</v>
      </c>
      <c r="AK83" s="22">
        <f t="shared" si="241"/>
        <v>3637.404</v>
      </c>
      <c r="AL83" s="37">
        <f t="shared" si="241"/>
        <v>3617.8888199999997</v>
      </c>
      <c r="AM83" s="37">
        <f t="shared" si="241"/>
        <v>3473.3302800000006</v>
      </c>
      <c r="AN83" s="22">
        <f t="shared" si="241"/>
        <v>3727.4416400000005</v>
      </c>
      <c r="AO83" s="852">
        <f t="shared" si="241"/>
        <v>14424.946</v>
      </c>
      <c r="AP83" s="22">
        <f t="shared" si="241"/>
        <v>2972.6114599999996</v>
      </c>
      <c r="AQ83" s="37">
        <f t="shared" si="241"/>
        <v>1596.0180599999999</v>
      </c>
      <c r="AR83" s="37">
        <f>(AR56*AR114)+(AR79*AR116)</f>
        <v>2416.1840399999996</v>
      </c>
      <c r="AS83" s="22">
        <f t="shared" ref="AS83:AU83" si="242">(AS56*AS114)+(AS79*AS116)</f>
        <v>3170.6594799999998</v>
      </c>
      <c r="AT83" s="852">
        <f t="shared" si="242"/>
        <v>10224.144120000001</v>
      </c>
      <c r="AU83" s="22">
        <f t="shared" si="242"/>
        <v>4199.7645000000002</v>
      </c>
      <c r="AV83" s="37">
        <f t="shared" ref="AV83:AY83" si="243">(AV56*AV114)+(AV79*AV116)</f>
        <v>4959.747519999999</v>
      </c>
      <c r="AW83" s="37">
        <f t="shared" si="243"/>
        <v>5696.9178400000001</v>
      </c>
      <c r="AX83" s="22">
        <f t="shared" si="243"/>
        <v>7286.0660399999997</v>
      </c>
      <c r="AY83" s="852">
        <f t="shared" si="243"/>
        <v>22104.856250000001</v>
      </c>
      <c r="AZ83" s="22">
        <f t="shared" ref="AZ83:BD83" si="244">(AZ56*AZ114)+(AZ79*AZ116)</f>
        <v>7712.8289999999997</v>
      </c>
      <c r="BA83" s="37">
        <f t="shared" si="244"/>
        <v>9638.588960000001</v>
      </c>
      <c r="BB83" s="37">
        <f t="shared" si="244"/>
        <v>9103.0899599999993</v>
      </c>
      <c r="BC83" s="22">
        <f t="shared" si="244"/>
        <v>7354.163520000001</v>
      </c>
      <c r="BD83" s="852">
        <f t="shared" si="244"/>
        <v>33731.9787</v>
      </c>
      <c r="BE83" s="22">
        <f t="shared" ref="BE83:BI83" si="245">(BE56*BE114)+(BE79*BE116)</f>
        <v>5612.6970000000001</v>
      </c>
      <c r="BF83" s="37">
        <f t="shared" si="245"/>
        <v>5199.0402100000001</v>
      </c>
      <c r="BG83" s="37">
        <f t="shared" si="245"/>
        <v>6535.4168799999998</v>
      </c>
      <c r="BH83" s="22">
        <f t="shared" si="245"/>
        <v>7025.5744799999993</v>
      </c>
      <c r="BI83" s="852">
        <f t="shared" si="245"/>
        <v>24366.020299999996</v>
      </c>
      <c r="BJ83" s="22">
        <f t="shared" ref="BJ83:BN83" si="246">(BJ56*BJ114)+(BJ79*BJ116)</f>
        <v>6479.1290199999994</v>
      </c>
      <c r="BK83" s="37">
        <f t="shared" si="246"/>
        <v>6527.8049200000005</v>
      </c>
      <c r="BL83" s="37">
        <f t="shared" si="246"/>
        <v>6106.5975200000003</v>
      </c>
      <c r="BM83" s="22">
        <f t="shared" si="246"/>
        <v>6545.90488</v>
      </c>
      <c r="BN83" s="852">
        <f t="shared" si="246"/>
        <v>25681.25376</v>
      </c>
      <c r="BO83" s="22">
        <f t="shared" ref="BO83:BW83" si="247">(BO56*BO114)+(BO79*BO116)</f>
        <v>6982.7705999999998</v>
      </c>
      <c r="BP83" s="37">
        <f t="shared" si="247"/>
        <v>6185.5757600000006</v>
      </c>
      <c r="BQ83" s="37">
        <f t="shared" si="247"/>
        <v>7604.9398799999999</v>
      </c>
      <c r="BR83" s="22">
        <f t="shared" si="247"/>
        <v>7068.278119999999</v>
      </c>
      <c r="BS83" s="852">
        <f t="shared" si="247"/>
        <v>27835.6957</v>
      </c>
      <c r="BT83" s="648">
        <f>(BT56*BT114)+(BT79*BT116)</f>
        <v>8186.2002000000002</v>
      </c>
      <c r="BU83" s="37">
        <f t="shared" si="247"/>
        <v>10016.199999999999</v>
      </c>
      <c r="BV83" s="37">
        <f t="shared" si="247"/>
        <v>8962.5299999999988</v>
      </c>
      <c r="BW83" s="37">
        <f t="shared" si="247"/>
        <v>8624.6899999999987</v>
      </c>
      <c r="BX83" s="821">
        <f>SUM(BT83,BU83,BV83,BW83)</f>
        <v>35789.620199999998</v>
      </c>
      <c r="BY83" s="37">
        <f>(BY56*BY114)+(BY79*BY116)</f>
        <v>8059.6100000000006</v>
      </c>
      <c r="BZ83" s="37">
        <f>(BZ56*BZ114)+(BZ79*BZ116)</f>
        <v>7535.8130000000001</v>
      </c>
      <c r="CA83" s="37">
        <f>(CA56*CA114)+(CA79*CA116)</f>
        <v>7630.7219999999998</v>
      </c>
      <c r="CB83" s="37">
        <f>(CB56*CB114)+(CB79*CB116)</f>
        <v>7766.1440000000002</v>
      </c>
      <c r="CC83" s="821">
        <f>SUM(BY83,BZ83,CA83,CB83)</f>
        <v>30992.289000000001</v>
      </c>
      <c r="CD83" s="821">
        <f>(CD56*CD114)+(CD79*CD116)</f>
        <v>26932.85</v>
      </c>
      <c r="CE83" s="821">
        <f>(CE56*CE114)+(CE79*CE116)</f>
        <v>26284.639999999996</v>
      </c>
      <c r="CF83" s="821">
        <f>(CF56*CF114)+(CF79*CF116)</f>
        <v>25217.402499999997</v>
      </c>
      <c r="CG83" s="22"/>
    </row>
    <row r="84" spans="1:85" s="428" customFormat="1" hidden="1" outlineLevel="1" x14ac:dyDescent="0.3">
      <c r="A84" s="43" t="s">
        <v>72</v>
      </c>
      <c r="B84" s="64"/>
      <c r="C84" s="821">
        <f t="shared" ref="C84:AQ84" si="248">(C57*C115)+(C78*C117)</f>
        <v>28110.865549999999</v>
      </c>
      <c r="D84" s="821">
        <f t="shared" si="248"/>
        <v>37533.154399999999</v>
      </c>
      <c r="E84" s="821">
        <f t="shared" si="248"/>
        <v>48602.739349999996</v>
      </c>
      <c r="F84" s="821">
        <f t="shared" si="248"/>
        <v>47083.619819999993</v>
      </c>
      <c r="G84" s="37">
        <f t="shared" si="248"/>
        <v>13555.107900000001</v>
      </c>
      <c r="H84" s="37">
        <f t="shared" si="248"/>
        <v>13033.032739999999</v>
      </c>
      <c r="I84" s="37">
        <f t="shared" si="248"/>
        <v>14474.384840000001</v>
      </c>
      <c r="J84" s="37">
        <f t="shared" si="248"/>
        <v>14103.29709</v>
      </c>
      <c r="K84" s="821">
        <f t="shared" si="248"/>
        <v>56082.50073</v>
      </c>
      <c r="L84" s="37">
        <f t="shared" si="248"/>
        <v>13503.763799999999</v>
      </c>
      <c r="M84" s="37">
        <f t="shared" si="248"/>
        <v>13607.08986</v>
      </c>
      <c r="N84" s="37">
        <f t="shared" si="248"/>
        <v>12879.305400000001</v>
      </c>
      <c r="O84" s="37">
        <f t="shared" si="248"/>
        <v>10331.298439999999</v>
      </c>
      <c r="P84" s="821">
        <f t="shared" si="248"/>
        <v>50447.660479999999</v>
      </c>
      <c r="Q84" s="37">
        <f t="shared" si="248"/>
        <v>7304.8626000000004</v>
      </c>
      <c r="R84" s="37">
        <f t="shared" si="248"/>
        <v>7767.234019999999</v>
      </c>
      <c r="S84" s="37">
        <f t="shared" si="248"/>
        <v>6607.4814000000006</v>
      </c>
      <c r="T84" s="37">
        <f t="shared" si="248"/>
        <v>6425.1861799999997</v>
      </c>
      <c r="U84" s="821">
        <f t="shared" si="248"/>
        <v>28209.14183</v>
      </c>
      <c r="V84" s="37">
        <f t="shared" si="248"/>
        <v>4862.29198</v>
      </c>
      <c r="W84" s="37">
        <f t="shared" si="248"/>
        <v>5961.7548900000002</v>
      </c>
      <c r="X84" s="37">
        <f t="shared" si="248"/>
        <v>5971.9444799999992</v>
      </c>
      <c r="Y84" s="22">
        <f t="shared" si="248"/>
        <v>6777.9868399999996</v>
      </c>
      <c r="Z84" s="852">
        <f t="shared" si="248"/>
        <v>23777.179019999996</v>
      </c>
      <c r="AA84" s="22">
        <f t="shared" si="248"/>
        <v>7145.8740000000007</v>
      </c>
      <c r="AB84" s="37">
        <f t="shared" si="248"/>
        <v>7047.5059199999996</v>
      </c>
      <c r="AC84" s="37">
        <f t="shared" si="248"/>
        <v>7431.79864</v>
      </c>
      <c r="AD84" s="22">
        <f t="shared" si="248"/>
        <v>8621.6604000000007</v>
      </c>
      <c r="AE84" s="852">
        <f t="shared" si="248"/>
        <v>30303.781899999998</v>
      </c>
      <c r="AF84" s="22">
        <f t="shared" si="248"/>
        <v>9407.6036999999997</v>
      </c>
      <c r="AG84" s="37">
        <f t="shared" si="248"/>
        <v>9618.5034400000004</v>
      </c>
      <c r="AH84" s="37">
        <f t="shared" si="248"/>
        <v>10681.588240000001</v>
      </c>
      <c r="AI84" s="22">
        <f t="shared" si="248"/>
        <v>10389.393480000001</v>
      </c>
      <c r="AJ84" s="852">
        <f t="shared" si="248"/>
        <v>40163.198400000001</v>
      </c>
      <c r="AK84" s="22">
        <f t="shared" si="248"/>
        <v>9635.4603000000006</v>
      </c>
      <c r="AL84" s="37">
        <f t="shared" si="248"/>
        <v>9476.6126000000004</v>
      </c>
      <c r="AM84" s="37">
        <f t="shared" si="248"/>
        <v>8757.3456800000004</v>
      </c>
      <c r="AN84" s="22">
        <f t="shared" si="248"/>
        <v>8835.3736400000016</v>
      </c>
      <c r="AO84" s="852">
        <f t="shared" si="248"/>
        <v>36702.213649999998</v>
      </c>
      <c r="AP84" s="22">
        <f t="shared" si="248"/>
        <v>7719.4826800000001</v>
      </c>
      <c r="AQ84" s="37">
        <f t="shared" si="248"/>
        <v>4290.4707300000009</v>
      </c>
      <c r="AR84" s="37">
        <f>(AR57*AR115)+(AR78*AR117)</f>
        <v>5471.2887600000004</v>
      </c>
      <c r="AS84" s="22">
        <f t="shared" ref="AS84:AU84" si="249">(AS57*AS115)+(AS78*AS117)</f>
        <v>6160.3448399999997</v>
      </c>
      <c r="AT84" s="852">
        <f t="shared" si="249"/>
        <v>27433.764239999997</v>
      </c>
      <c r="AU84" s="22">
        <f t="shared" si="249"/>
        <v>7432.6031999999996</v>
      </c>
      <c r="AV84" s="37">
        <f t="shared" ref="AV84:AY84" si="250">(AV57*AV115)+(AV78*AV117)</f>
        <v>7725.74712</v>
      </c>
      <c r="AW84" s="37">
        <f t="shared" si="250"/>
        <v>8866.2975999999999</v>
      </c>
      <c r="AX84" s="22">
        <f t="shared" si="250"/>
        <v>9786.3702799999992</v>
      </c>
      <c r="AY84" s="852">
        <f t="shared" si="250"/>
        <v>33724.620300000002</v>
      </c>
      <c r="AZ84" s="22">
        <f t="shared" ref="AZ84:BD84" si="251">(AZ57*AZ115)+(AZ78*AZ117)</f>
        <v>11080.314900000001</v>
      </c>
      <c r="BA84" s="37">
        <f t="shared" si="251"/>
        <v>11248.893110000001</v>
      </c>
      <c r="BB84" s="37">
        <f t="shared" si="251"/>
        <v>14307.346880000001</v>
      </c>
      <c r="BC84" s="22">
        <f t="shared" si="251"/>
        <v>11548.000080000002</v>
      </c>
      <c r="BD84" s="852">
        <f t="shared" si="251"/>
        <v>48148.416550000002</v>
      </c>
      <c r="BE84" s="22">
        <f t="shared" ref="BE84:BI84" si="252">(BE57*BE115)+(BE78*BE117)</f>
        <v>9949.7348999999995</v>
      </c>
      <c r="BF84" s="37">
        <f t="shared" si="252"/>
        <v>8995.8614200000011</v>
      </c>
      <c r="BG84" s="37">
        <f t="shared" si="252"/>
        <v>9173.772640000001</v>
      </c>
      <c r="BH84" s="22">
        <f t="shared" si="252"/>
        <v>9567.6991600000001</v>
      </c>
      <c r="BI84" s="852">
        <f t="shared" si="252"/>
        <v>38711.297750000005</v>
      </c>
      <c r="BJ84" s="22">
        <f t="shared" ref="BJ84:BN84" si="253">(BJ57*BJ115)+(BJ78*BJ117)</f>
        <v>9336.9876599999989</v>
      </c>
      <c r="BK84" s="37">
        <f t="shared" si="253"/>
        <v>8975.1207000000013</v>
      </c>
      <c r="BL84" s="37">
        <f t="shared" si="253"/>
        <v>9243.14984</v>
      </c>
      <c r="BM84" s="22">
        <f>(BM57*BM115)+(BM78*BM117)</f>
        <v>9151.6926399999993</v>
      </c>
      <c r="BN84" s="852">
        <f t="shared" si="253"/>
        <v>36712.984199999999</v>
      </c>
      <c r="BO84" s="22">
        <f t="shared" ref="BO84:BW84" si="254">(BO57*BO115)+(BO78*BO117)</f>
        <v>8453.2878000000001</v>
      </c>
      <c r="BP84" s="37">
        <f t="shared" si="254"/>
        <v>8162.5543999999991</v>
      </c>
      <c r="BQ84" s="37">
        <f t="shared" si="254"/>
        <v>9982.4599999999991</v>
      </c>
      <c r="BR84" s="22">
        <f>(BR57*BR115)+(BR78*BR117)</f>
        <v>9238.3290399999987</v>
      </c>
      <c r="BS84" s="852">
        <f t="shared" si="254"/>
        <v>35845.321400000001</v>
      </c>
      <c r="BT84" s="648">
        <f>(BT57*BT115)+(BT78*BT117)</f>
        <v>10193.9355</v>
      </c>
      <c r="BU84" s="37">
        <f t="shared" si="254"/>
        <v>11843.924999999999</v>
      </c>
      <c r="BV84" s="37">
        <f t="shared" si="254"/>
        <v>12265.25</v>
      </c>
      <c r="BW84" s="37">
        <f t="shared" si="254"/>
        <v>10596.14</v>
      </c>
      <c r="BX84" s="821">
        <f>SUM(BT84,BU84,BV84,BW84)</f>
        <v>44899.250499999995</v>
      </c>
      <c r="BY84" s="37">
        <f>(BY57*BY115)+(BY78*BY117)</f>
        <v>10164.640000000001</v>
      </c>
      <c r="BZ84" s="37">
        <f>(BZ57*BZ115)+(BZ78*BZ117)</f>
        <v>9294.4700000000012</v>
      </c>
      <c r="CA84" s="37">
        <f>(CA57*CA115)+(CA78*CA117)</f>
        <v>9467.369999999999</v>
      </c>
      <c r="CB84" s="37">
        <f>(CB57*CB115)+(CB78*CB117)</f>
        <v>9683.32</v>
      </c>
      <c r="CC84" s="821">
        <f>SUM(BY84,BZ84,CA84,CB84)</f>
        <v>38609.800000000003</v>
      </c>
      <c r="CD84" s="821">
        <f>(CD57*CD115)+(CD78*CD117)</f>
        <v>41015.910000000003</v>
      </c>
      <c r="CE84" s="821">
        <f>(CE57*CE115)+(CE78*CE117)</f>
        <v>40479.574999999997</v>
      </c>
      <c r="CF84" s="821">
        <f>(CF57*CF115)+(CF78*CF117)</f>
        <v>39737.517499999994</v>
      </c>
      <c r="CG84" s="22"/>
    </row>
    <row r="85" spans="1:85" s="429" customFormat="1" hidden="1" outlineLevel="1" x14ac:dyDescent="0.3">
      <c r="A85" s="42" t="s">
        <v>73</v>
      </c>
      <c r="B85" s="90"/>
      <c r="C85" s="823">
        <f t="shared" ref="C85:AH85" si="255">SUM(C83:C84)</f>
        <v>45748.0196</v>
      </c>
      <c r="D85" s="823">
        <f t="shared" si="255"/>
        <v>59534.56235</v>
      </c>
      <c r="E85" s="823">
        <f t="shared" si="255"/>
        <v>73758.3897</v>
      </c>
      <c r="F85" s="823">
        <f t="shared" si="255"/>
        <v>68224.273919999992</v>
      </c>
      <c r="G85" s="393">
        <f t="shared" si="255"/>
        <v>19130.463900000002</v>
      </c>
      <c r="H85" s="393">
        <f t="shared" si="255"/>
        <v>18796.474969999999</v>
      </c>
      <c r="I85" s="393">
        <f t="shared" si="255"/>
        <v>20156.6296</v>
      </c>
      <c r="J85" s="393">
        <f t="shared" si="255"/>
        <v>19146.455289999998</v>
      </c>
      <c r="K85" s="823">
        <f t="shared" si="255"/>
        <v>78159.071339999995</v>
      </c>
      <c r="L85" s="393">
        <f t="shared" si="255"/>
        <v>19229.324399999998</v>
      </c>
      <c r="M85" s="393">
        <f t="shared" si="255"/>
        <v>18844.798699999999</v>
      </c>
      <c r="N85" s="393">
        <f t="shared" si="255"/>
        <v>17787.919400000002</v>
      </c>
      <c r="O85" s="393">
        <f t="shared" si="255"/>
        <v>14262.582059999997</v>
      </c>
      <c r="P85" s="823">
        <f t="shared" si="255"/>
        <v>70139.832339999994</v>
      </c>
      <c r="Q85" s="393">
        <f t="shared" si="255"/>
        <v>10047.731400000001</v>
      </c>
      <c r="R85" s="393">
        <f t="shared" si="255"/>
        <v>10765.686749999999</v>
      </c>
      <c r="S85" s="393">
        <f t="shared" si="255"/>
        <v>9260.3989199999996</v>
      </c>
      <c r="T85" s="393">
        <f t="shared" si="255"/>
        <v>8591.6536599999999</v>
      </c>
      <c r="U85" s="823">
        <f t="shared" si="255"/>
        <v>38760.305529999998</v>
      </c>
      <c r="V85" s="393">
        <f t="shared" si="255"/>
        <v>6500.89804</v>
      </c>
      <c r="W85" s="393">
        <f t="shared" si="255"/>
        <v>7940.7437200000004</v>
      </c>
      <c r="X85" s="393">
        <f t="shared" si="255"/>
        <v>8300.2611599999982</v>
      </c>
      <c r="Y85" s="394">
        <f t="shared" si="255"/>
        <v>9221.7331599999998</v>
      </c>
      <c r="Z85" s="824">
        <f t="shared" si="255"/>
        <v>32163.713999999996</v>
      </c>
      <c r="AA85" s="394">
        <f t="shared" si="255"/>
        <v>9855.2070000000003</v>
      </c>
      <c r="AB85" s="393">
        <f t="shared" si="255"/>
        <v>9734.499319999999</v>
      </c>
      <c r="AC85" s="393">
        <f t="shared" si="255"/>
        <v>10024.335639999999</v>
      </c>
      <c r="AD85" s="394">
        <f t="shared" si="255"/>
        <v>11601.56984</v>
      </c>
      <c r="AE85" s="824">
        <f t="shared" si="255"/>
        <v>41292.533949999997</v>
      </c>
      <c r="AF85" s="394">
        <f t="shared" si="255"/>
        <v>12890.9817</v>
      </c>
      <c r="AG85" s="393">
        <f t="shared" si="255"/>
        <v>13176.561580000001</v>
      </c>
      <c r="AH85" s="393">
        <f t="shared" si="255"/>
        <v>14963.51296</v>
      </c>
      <c r="AI85" s="394">
        <f t="shared" ref="AI85:AQ85" si="256">SUM(AI83:AI84)</f>
        <v>14557.802159999999</v>
      </c>
      <c r="AJ85" s="824">
        <f t="shared" si="256"/>
        <v>55647.856200000002</v>
      </c>
      <c r="AK85" s="394">
        <f t="shared" si="256"/>
        <v>13272.864300000001</v>
      </c>
      <c r="AL85" s="393">
        <f t="shared" si="256"/>
        <v>13094.501420000001</v>
      </c>
      <c r="AM85" s="393">
        <f t="shared" si="256"/>
        <v>12230.67596</v>
      </c>
      <c r="AN85" s="394">
        <f t="shared" si="256"/>
        <v>12562.815280000003</v>
      </c>
      <c r="AO85" s="824">
        <f t="shared" si="256"/>
        <v>51127.159650000001</v>
      </c>
      <c r="AP85" s="394">
        <f t="shared" si="256"/>
        <v>10692.094139999999</v>
      </c>
      <c r="AQ85" s="393">
        <f t="shared" si="256"/>
        <v>5886.4887900000012</v>
      </c>
      <c r="AR85" s="393">
        <f>SUM(AR83:AR84)</f>
        <v>7887.4727999999996</v>
      </c>
      <c r="AS85" s="394">
        <f t="shared" ref="AS85:AU85" si="257">SUM(AS83:AS84)</f>
        <v>9331.00432</v>
      </c>
      <c r="AT85" s="824">
        <f t="shared" si="257"/>
        <v>37657.908360000001</v>
      </c>
      <c r="AU85" s="394">
        <f t="shared" si="257"/>
        <v>11632.367699999999</v>
      </c>
      <c r="AV85" s="393">
        <f t="shared" ref="AV85:BA85" si="258">SUM(AV83:AV84)</f>
        <v>12685.494639999999</v>
      </c>
      <c r="AW85" s="393">
        <f t="shared" si="258"/>
        <v>14563.21544</v>
      </c>
      <c r="AX85" s="394">
        <f t="shared" si="258"/>
        <v>17072.436320000001</v>
      </c>
      <c r="AY85" s="824">
        <f t="shared" si="258"/>
        <v>55829.476550000007</v>
      </c>
      <c r="AZ85" s="394">
        <f t="shared" si="258"/>
        <v>18793.143900000003</v>
      </c>
      <c r="BA85" s="393">
        <f t="shared" si="258"/>
        <v>20887.482070000002</v>
      </c>
      <c r="BB85" s="393">
        <f t="shared" ref="BB85:BD85" si="259">SUM(BB83:BB84)</f>
        <v>23410.436840000002</v>
      </c>
      <c r="BC85" s="394">
        <f t="shared" si="259"/>
        <v>18902.163600000003</v>
      </c>
      <c r="BD85" s="824">
        <f t="shared" si="259"/>
        <v>81880.395250000001</v>
      </c>
      <c r="BE85" s="394">
        <f t="shared" ref="BE85:BI85" si="260">SUM(BE83:BE84)</f>
        <v>15562.4319</v>
      </c>
      <c r="BF85" s="393">
        <f t="shared" si="260"/>
        <v>14194.90163</v>
      </c>
      <c r="BG85" s="393">
        <f t="shared" si="260"/>
        <v>15709.18952</v>
      </c>
      <c r="BH85" s="394">
        <f t="shared" si="260"/>
        <v>16593.273639999999</v>
      </c>
      <c r="BI85" s="824">
        <f t="shared" si="260"/>
        <v>63077.318050000002</v>
      </c>
      <c r="BJ85" s="394">
        <f t="shared" ref="BJ85:BX85" si="261">SUM(BJ83:BJ84)</f>
        <v>15816.116679999999</v>
      </c>
      <c r="BK85" s="393">
        <f t="shared" si="261"/>
        <v>15502.925620000002</v>
      </c>
      <c r="BL85" s="393">
        <f t="shared" si="261"/>
        <v>15349.747360000001</v>
      </c>
      <c r="BM85" s="394">
        <f t="shared" si="261"/>
        <v>15697.597519999999</v>
      </c>
      <c r="BN85" s="824">
        <f t="shared" si="261"/>
        <v>62394.237959999999</v>
      </c>
      <c r="BO85" s="394">
        <f t="shared" ref="BO85:BW85" si="262">SUM(BO83:BO84)</f>
        <v>15436.0584</v>
      </c>
      <c r="BP85" s="393">
        <f t="shared" si="262"/>
        <v>14348.130160000001</v>
      </c>
      <c r="BQ85" s="393">
        <f t="shared" si="262"/>
        <v>17587.399879999997</v>
      </c>
      <c r="BR85" s="394">
        <f t="shared" si="262"/>
        <v>16306.607159999998</v>
      </c>
      <c r="BS85" s="824">
        <f t="shared" si="262"/>
        <v>63681.017099999997</v>
      </c>
      <c r="BT85" s="640">
        <f>SUM(BT83:BT84)</f>
        <v>18380.135699999999</v>
      </c>
      <c r="BU85" s="393">
        <f t="shared" si="262"/>
        <v>21860.125</v>
      </c>
      <c r="BV85" s="393">
        <f t="shared" si="262"/>
        <v>21227.78</v>
      </c>
      <c r="BW85" s="393">
        <f t="shared" si="262"/>
        <v>19220.829999999998</v>
      </c>
      <c r="BX85" s="823">
        <f t="shared" si="261"/>
        <v>80688.870699999999</v>
      </c>
      <c r="BY85" s="393">
        <f t="shared" ref="BY85:CF85" si="263">SUM(BY83:BY84)</f>
        <v>18224.25</v>
      </c>
      <c r="BZ85" s="393">
        <f t="shared" si="263"/>
        <v>16830.283000000003</v>
      </c>
      <c r="CA85" s="393">
        <f t="shared" si="263"/>
        <v>17098.091999999997</v>
      </c>
      <c r="CB85" s="393">
        <f t="shared" si="263"/>
        <v>17449.464</v>
      </c>
      <c r="CC85" s="823">
        <f t="shared" si="263"/>
        <v>69602.089000000007</v>
      </c>
      <c r="CD85" s="823">
        <f t="shared" si="263"/>
        <v>67948.760000000009</v>
      </c>
      <c r="CE85" s="823">
        <f t="shared" si="263"/>
        <v>66764.214999999997</v>
      </c>
      <c r="CF85" s="823">
        <f t="shared" si="263"/>
        <v>64954.919999999991</v>
      </c>
      <c r="CG85" s="26"/>
    </row>
    <row r="86" spans="1:85" s="429" customFormat="1" hidden="1" outlineLevel="1" x14ac:dyDescent="0.3">
      <c r="A86" s="52"/>
      <c r="B86" s="63"/>
      <c r="C86" s="825"/>
      <c r="D86" s="825"/>
      <c r="E86" s="825"/>
      <c r="F86" s="825"/>
      <c r="G86" s="31"/>
      <c r="H86" s="31"/>
      <c r="I86" s="31"/>
      <c r="J86" s="31"/>
      <c r="K86" s="825"/>
      <c r="L86" s="31"/>
      <c r="M86" s="31"/>
      <c r="N86" s="31"/>
      <c r="O86" s="31"/>
      <c r="P86" s="825"/>
      <c r="Q86" s="31"/>
      <c r="R86" s="31"/>
      <c r="S86" s="31"/>
      <c r="T86" s="31"/>
      <c r="U86" s="825"/>
      <c r="V86" s="31"/>
      <c r="W86" s="31"/>
      <c r="X86" s="31"/>
      <c r="Y86" s="31"/>
      <c r="Z86" s="825"/>
      <c r="AA86" s="31"/>
      <c r="AB86" s="31"/>
      <c r="AC86" s="31"/>
      <c r="AD86" s="31"/>
      <c r="AE86" s="825"/>
      <c r="AF86" s="31"/>
      <c r="AG86" s="31"/>
      <c r="AH86" s="31"/>
      <c r="AI86" s="31"/>
      <c r="AJ86" s="825"/>
      <c r="AK86" s="31"/>
      <c r="AL86" s="31"/>
      <c r="AM86" s="31"/>
      <c r="AN86" s="31"/>
      <c r="AO86" s="825"/>
      <c r="AP86" s="31"/>
      <c r="AQ86" s="31"/>
      <c r="AR86" s="31"/>
      <c r="AS86" s="31"/>
      <c r="AT86" s="825"/>
      <c r="AU86" s="31"/>
      <c r="AV86" s="31"/>
      <c r="AW86" s="31"/>
      <c r="AX86" s="31"/>
      <c r="AY86" s="825"/>
      <c r="AZ86" s="31"/>
      <c r="BA86" s="31"/>
      <c r="BB86" s="31"/>
      <c r="BC86" s="31"/>
      <c r="BD86" s="825"/>
      <c r="BE86" s="31"/>
      <c r="BF86" s="31"/>
      <c r="BG86" s="31"/>
      <c r="BH86" s="31"/>
      <c r="BI86" s="825"/>
      <c r="BJ86" s="31"/>
      <c r="BK86" s="31"/>
      <c r="BL86" s="31"/>
      <c r="BM86" s="31"/>
      <c r="BN86" s="825"/>
      <c r="BO86" s="31"/>
      <c r="BP86" s="31"/>
      <c r="BQ86" s="31"/>
      <c r="BR86" s="31"/>
      <c r="BS86" s="825"/>
      <c r="BT86" s="379"/>
      <c r="BU86" s="31"/>
      <c r="BV86" s="31"/>
      <c r="BW86" s="31"/>
      <c r="BX86" s="825"/>
      <c r="BY86" s="31"/>
      <c r="BZ86" s="31"/>
      <c r="CA86" s="31"/>
      <c r="CB86" s="31"/>
      <c r="CC86" s="825"/>
      <c r="CD86" s="825"/>
      <c r="CE86" s="825"/>
      <c r="CF86" s="825"/>
      <c r="CG86" s="26"/>
    </row>
    <row r="87" spans="1:85" s="429" customFormat="1" hidden="1" outlineLevel="1" x14ac:dyDescent="0.3">
      <c r="A87" s="48" t="s">
        <v>74</v>
      </c>
      <c r="B87" s="63"/>
      <c r="C87" s="825">
        <f t="shared" ref="C87:AH87" si="264">C90-C83</f>
        <v>1884.8459500000026</v>
      </c>
      <c r="D87" s="825">
        <f t="shared" si="264"/>
        <v>2153.5920499999993</v>
      </c>
      <c r="E87" s="825">
        <f t="shared" si="264"/>
        <v>2582.3496500000001</v>
      </c>
      <c r="F87" s="825">
        <f t="shared" si="264"/>
        <v>2504.3459000000003</v>
      </c>
      <c r="G87" s="31">
        <f t="shared" si="264"/>
        <v>691.64400000000023</v>
      </c>
      <c r="H87" s="31">
        <f t="shared" si="264"/>
        <v>649.55777000000035</v>
      </c>
      <c r="I87" s="31">
        <f t="shared" si="264"/>
        <v>713.7552399999995</v>
      </c>
      <c r="J87" s="31">
        <f t="shared" si="264"/>
        <v>797.84180000000015</v>
      </c>
      <c r="K87" s="825">
        <f t="shared" si="264"/>
        <v>2840.4293900000011</v>
      </c>
      <c r="L87" s="31">
        <f t="shared" si="264"/>
        <v>1019.4394000000002</v>
      </c>
      <c r="M87" s="31">
        <f t="shared" si="264"/>
        <v>727.29115999999976</v>
      </c>
      <c r="N87" s="31">
        <f t="shared" si="264"/>
        <v>767.38599999999951</v>
      </c>
      <c r="O87" s="31">
        <f t="shared" si="264"/>
        <v>592.71638000000075</v>
      </c>
      <c r="P87" s="825">
        <f t="shared" si="264"/>
        <v>3217.8281399999978</v>
      </c>
      <c r="Q87" s="31">
        <f t="shared" si="264"/>
        <v>606.13119999999981</v>
      </c>
      <c r="R87" s="31">
        <f t="shared" si="264"/>
        <v>534.54727000000003</v>
      </c>
      <c r="S87" s="31">
        <f t="shared" si="264"/>
        <v>554.08248000000003</v>
      </c>
      <c r="T87" s="31">
        <f t="shared" si="264"/>
        <v>492.53251999999975</v>
      </c>
      <c r="U87" s="825">
        <f t="shared" si="264"/>
        <v>2196.8363000000008</v>
      </c>
      <c r="V87" s="31">
        <f t="shared" si="264"/>
        <v>433.39393999999993</v>
      </c>
      <c r="W87" s="31">
        <f t="shared" si="264"/>
        <v>488.01116999999999</v>
      </c>
      <c r="X87" s="31">
        <f t="shared" si="264"/>
        <v>518.68332000000009</v>
      </c>
      <c r="Y87" s="31">
        <f t="shared" si="264"/>
        <v>535.25368000000026</v>
      </c>
      <c r="Z87" s="825">
        <f t="shared" si="264"/>
        <v>1978.4650199999996</v>
      </c>
      <c r="AA87" s="31">
        <f t="shared" si="264"/>
        <v>530.66700000000037</v>
      </c>
      <c r="AB87" s="31">
        <f t="shared" si="264"/>
        <v>448.00660000000016</v>
      </c>
      <c r="AC87" s="31">
        <f t="shared" si="264"/>
        <v>652.46300000000019</v>
      </c>
      <c r="AD87" s="31">
        <f t="shared" si="264"/>
        <v>642.0905600000001</v>
      </c>
      <c r="AE87" s="825">
        <f t="shared" si="264"/>
        <v>2253.2479500000009</v>
      </c>
      <c r="AF87" s="31">
        <f t="shared" si="264"/>
        <v>1093.6220000000003</v>
      </c>
      <c r="AG87" s="31">
        <f t="shared" si="264"/>
        <v>1485.9418599999999</v>
      </c>
      <c r="AH87" s="31">
        <f t="shared" si="264"/>
        <v>2502.07528</v>
      </c>
      <c r="AI87" s="31">
        <f t="shared" ref="AI87:BT87" si="265">AI90-AI83</f>
        <v>2317.5913200000005</v>
      </c>
      <c r="AJ87" s="825">
        <f t="shared" si="265"/>
        <v>7406.3421999999991</v>
      </c>
      <c r="AK87" s="31">
        <f t="shared" si="265"/>
        <v>2244.596</v>
      </c>
      <c r="AL87" s="31">
        <f t="shared" si="265"/>
        <v>2309.1111800000003</v>
      </c>
      <c r="AM87" s="31">
        <f t="shared" si="265"/>
        <v>2128.6697199999994</v>
      </c>
      <c r="AN87" s="31">
        <f t="shared" si="265"/>
        <v>2219.5583599999995</v>
      </c>
      <c r="AO87" s="825">
        <f t="shared" si="265"/>
        <v>8933.0540000000001</v>
      </c>
      <c r="AP87" s="31">
        <f t="shared" si="265"/>
        <v>1493.3885400000004</v>
      </c>
      <c r="AQ87" s="31">
        <f t="shared" si="265"/>
        <v>947.98194000000012</v>
      </c>
      <c r="AR87" s="31">
        <f t="shared" si="265"/>
        <v>950.81596000000036</v>
      </c>
      <c r="AS87" s="31">
        <f t="shared" si="265"/>
        <v>1029.3405200000002</v>
      </c>
      <c r="AT87" s="825">
        <f t="shared" si="265"/>
        <v>4352.8558799999992</v>
      </c>
      <c r="AU87" s="31">
        <f t="shared" si="265"/>
        <v>1591.2354999999998</v>
      </c>
      <c r="AV87" s="31">
        <f t="shared" si="265"/>
        <v>1074.252480000001</v>
      </c>
      <c r="AW87" s="31">
        <f t="shared" si="265"/>
        <v>1677.0821599999999</v>
      </c>
      <c r="AX87" s="31">
        <f t="shared" si="265"/>
        <v>2733.9339600000003</v>
      </c>
      <c r="AY87" s="825">
        <f t="shared" si="265"/>
        <v>7114.1437499999993</v>
      </c>
      <c r="AZ87" s="31">
        <f t="shared" si="265"/>
        <v>3603.1710000000003</v>
      </c>
      <c r="BA87" s="31">
        <f t="shared" si="265"/>
        <v>4593.411039999999</v>
      </c>
      <c r="BB87" s="31">
        <f t="shared" si="265"/>
        <v>4079.9100400000007</v>
      </c>
      <c r="BC87" s="31">
        <f t="shared" si="265"/>
        <v>4736.836479999999</v>
      </c>
      <c r="BD87" s="825">
        <f t="shared" si="265"/>
        <v>17090.0213</v>
      </c>
      <c r="BE87" s="31">
        <f t="shared" si="265"/>
        <v>4010.3029999999999</v>
      </c>
      <c r="BF87" s="26">
        <f t="shared" si="265"/>
        <v>3555.9597899999999</v>
      </c>
      <c r="BG87" s="26">
        <f t="shared" si="265"/>
        <v>3742.5831200000002</v>
      </c>
      <c r="BH87" s="26">
        <f t="shared" si="265"/>
        <v>4433.4255200000007</v>
      </c>
      <c r="BI87" s="826">
        <f t="shared" si="265"/>
        <v>15748.979700000004</v>
      </c>
      <c r="BJ87" s="26">
        <f t="shared" si="265"/>
        <v>4687.8709800000006</v>
      </c>
      <c r="BK87" s="26">
        <f t="shared" si="265"/>
        <v>4759.1950799999995</v>
      </c>
      <c r="BL87" s="26">
        <f t="shared" si="265"/>
        <v>4623.4024799999997</v>
      </c>
      <c r="BM87" s="26">
        <f t="shared" si="265"/>
        <v>4572.09512</v>
      </c>
      <c r="BN87" s="826">
        <f t="shared" si="265"/>
        <v>18620.74624</v>
      </c>
      <c r="BO87" s="26">
        <f t="shared" si="265"/>
        <v>4532.2294000000002</v>
      </c>
      <c r="BP87" s="26">
        <f t="shared" si="265"/>
        <v>4199.4242399999994</v>
      </c>
      <c r="BQ87" s="26">
        <f t="shared" si="265"/>
        <v>4556.0601200000001</v>
      </c>
      <c r="BR87" s="26">
        <f t="shared" si="265"/>
        <v>4388.721880000001</v>
      </c>
      <c r="BS87" s="826">
        <f t="shared" si="265"/>
        <v>17682.3043</v>
      </c>
      <c r="BT87" s="647">
        <f t="shared" si="265"/>
        <v>4655.7997999999998</v>
      </c>
      <c r="BU87" s="770">
        <v>4000</v>
      </c>
      <c r="BV87" s="770">
        <v>4000</v>
      </c>
      <c r="BW87" s="770">
        <v>4600</v>
      </c>
      <c r="BX87" s="825">
        <f>SUM(BT87,BU87,BV87,BW87)</f>
        <v>17255.799800000001</v>
      </c>
      <c r="BY87" s="770">
        <v>4000</v>
      </c>
      <c r="BZ87" s="770">
        <v>4000</v>
      </c>
      <c r="CA87" s="770">
        <v>4000</v>
      </c>
      <c r="CB87" s="770">
        <v>4000</v>
      </c>
      <c r="CC87" s="825">
        <f>SUM(BY87,BZ87,CA87,CB87)</f>
        <v>16000</v>
      </c>
      <c r="CD87" s="851">
        <v>12000</v>
      </c>
      <c r="CE87" s="851">
        <v>12000</v>
      </c>
      <c r="CF87" s="851">
        <v>12000</v>
      </c>
      <c r="CG87" s="26"/>
    </row>
    <row r="88" spans="1:85" s="429" customFormat="1" hidden="1" outlineLevel="1" x14ac:dyDescent="0.3">
      <c r="A88" s="48" t="s">
        <v>75</v>
      </c>
      <c r="B88" s="63"/>
      <c r="C88" s="825">
        <f t="shared" ref="C88:AH88" si="266">C91-C84</f>
        <v>3829.1344500000014</v>
      </c>
      <c r="D88" s="825">
        <f t="shared" si="266"/>
        <v>3600.8456000000006</v>
      </c>
      <c r="E88" s="825">
        <f t="shared" si="266"/>
        <v>6495.2606500000038</v>
      </c>
      <c r="F88" s="825">
        <f t="shared" si="266"/>
        <v>6469.3801800000074</v>
      </c>
      <c r="G88" s="31">
        <f t="shared" si="266"/>
        <v>-644.10790000000088</v>
      </c>
      <c r="H88" s="31">
        <f t="shared" si="266"/>
        <v>-1287.0327399999987</v>
      </c>
      <c r="I88" s="31">
        <f t="shared" si="266"/>
        <v>-1475.3848400000006</v>
      </c>
      <c r="J88" s="31">
        <f t="shared" si="266"/>
        <v>-1118.29709</v>
      </c>
      <c r="K88" s="825">
        <f t="shared" si="266"/>
        <v>-5441.5007299999997</v>
      </c>
      <c r="L88" s="31">
        <f t="shared" si="266"/>
        <v>-1622.7637999999988</v>
      </c>
      <c r="M88" s="31">
        <f t="shared" si="266"/>
        <v>-153.08986000000004</v>
      </c>
      <c r="N88" s="31">
        <f t="shared" si="266"/>
        <v>-795.3054000000011</v>
      </c>
      <c r="O88" s="31">
        <f t="shared" si="266"/>
        <v>-835.29843999999866</v>
      </c>
      <c r="P88" s="825">
        <f t="shared" si="266"/>
        <v>-3532.6604799999986</v>
      </c>
      <c r="Q88" s="31">
        <f t="shared" si="266"/>
        <v>-89.862600000000384</v>
      </c>
      <c r="R88" s="31">
        <f t="shared" si="266"/>
        <v>-359.23401999999896</v>
      </c>
      <c r="S88" s="31">
        <f t="shared" si="266"/>
        <v>-67.481400000000576</v>
      </c>
      <c r="T88" s="31">
        <f t="shared" si="266"/>
        <v>-509.18617999999969</v>
      </c>
      <c r="U88" s="825">
        <f t="shared" si="266"/>
        <v>-1130.1418300000005</v>
      </c>
      <c r="V88" s="31">
        <f t="shared" si="266"/>
        <v>158.70802000000003</v>
      </c>
      <c r="W88" s="31">
        <f t="shared" si="266"/>
        <v>-584.75489000000016</v>
      </c>
      <c r="X88" s="31">
        <f t="shared" si="266"/>
        <v>-44.944479999999203</v>
      </c>
      <c r="Y88" s="31">
        <f t="shared" si="266"/>
        <v>-322.98683999999957</v>
      </c>
      <c r="Z88" s="825">
        <f t="shared" si="266"/>
        <v>-997.17901999999594</v>
      </c>
      <c r="AA88" s="31">
        <f t="shared" si="266"/>
        <v>-564.87400000000071</v>
      </c>
      <c r="AB88" s="31">
        <f t="shared" si="266"/>
        <v>-195.50591999999961</v>
      </c>
      <c r="AC88" s="31">
        <f t="shared" si="266"/>
        <v>-240.79863999999998</v>
      </c>
      <c r="AD88" s="31">
        <f t="shared" si="266"/>
        <v>-565.66040000000066</v>
      </c>
      <c r="AE88" s="825">
        <f t="shared" si="266"/>
        <v>-1623.7818999999981</v>
      </c>
      <c r="AF88" s="31">
        <f t="shared" si="266"/>
        <v>-751.60369999999966</v>
      </c>
      <c r="AG88" s="31">
        <f t="shared" si="266"/>
        <v>-738.50344000000041</v>
      </c>
      <c r="AH88" s="31">
        <f t="shared" si="266"/>
        <v>-369.58824000000095</v>
      </c>
      <c r="AI88" s="31">
        <f t="shared" ref="AI88:BT88" si="267">AI91-AI84</f>
        <v>-415.39348000000064</v>
      </c>
      <c r="AJ88" s="825">
        <f t="shared" si="267"/>
        <v>-2341.1984000000011</v>
      </c>
      <c r="AK88" s="31">
        <f t="shared" si="267"/>
        <v>-266.46030000000064</v>
      </c>
      <c r="AL88" s="31">
        <f t="shared" si="267"/>
        <v>-499.61260000000038</v>
      </c>
      <c r="AM88" s="31">
        <f t="shared" si="267"/>
        <v>-150.34568000000036</v>
      </c>
      <c r="AN88" s="31">
        <f t="shared" si="267"/>
        <v>-160.37364000000161</v>
      </c>
      <c r="AO88" s="825">
        <f t="shared" si="267"/>
        <v>-1074.2136499999979</v>
      </c>
      <c r="AP88" s="31">
        <f t="shared" si="267"/>
        <v>1293.5173199999999</v>
      </c>
      <c r="AQ88" s="31">
        <f t="shared" si="267"/>
        <v>263.52926999999909</v>
      </c>
      <c r="AR88" s="31">
        <f t="shared" si="267"/>
        <v>439.71123999999963</v>
      </c>
      <c r="AS88" s="31">
        <f t="shared" si="267"/>
        <v>1165.6551600000003</v>
      </c>
      <c r="AT88" s="825">
        <f t="shared" si="267"/>
        <v>-629.76423999999679</v>
      </c>
      <c r="AU88" s="31">
        <f t="shared" si="267"/>
        <v>1357.3968000000004</v>
      </c>
      <c r="AV88" s="31">
        <f t="shared" si="267"/>
        <v>1790.25288</v>
      </c>
      <c r="AW88" s="31">
        <f t="shared" si="267"/>
        <v>2395.7024000000001</v>
      </c>
      <c r="AX88" s="31">
        <f t="shared" si="267"/>
        <v>1566.6297200000008</v>
      </c>
      <c r="AY88" s="825">
        <f t="shared" si="267"/>
        <v>7196.3796999999977</v>
      </c>
      <c r="AZ88" s="31">
        <f t="shared" si="267"/>
        <v>2421.6850999999988</v>
      </c>
      <c r="BA88" s="31">
        <f t="shared" si="267"/>
        <v>2981.1068899999991</v>
      </c>
      <c r="BB88" s="31">
        <f t="shared" si="267"/>
        <v>978.65311999999903</v>
      </c>
      <c r="BC88" s="31">
        <f t="shared" si="267"/>
        <v>1589.9999199999984</v>
      </c>
      <c r="BD88" s="825">
        <f t="shared" si="267"/>
        <v>8007.5834499999983</v>
      </c>
      <c r="BE88" s="31">
        <f t="shared" si="267"/>
        <v>1246.2651000000005</v>
      </c>
      <c r="BF88" s="26">
        <f t="shared" si="267"/>
        <v>880.13857999999891</v>
      </c>
      <c r="BG88" s="26">
        <f t="shared" si="267"/>
        <v>1459.227359999999</v>
      </c>
      <c r="BH88" s="26">
        <f t="shared" si="267"/>
        <v>2532.3008399999999</v>
      </c>
      <c r="BI88" s="826">
        <f t="shared" si="267"/>
        <v>5093.7022499999948</v>
      </c>
      <c r="BJ88" s="26">
        <f t="shared" si="267"/>
        <v>1446.0123400000011</v>
      </c>
      <c r="BK88" s="26">
        <f t="shared" si="267"/>
        <v>1245.8792999999987</v>
      </c>
      <c r="BL88" s="26">
        <f t="shared" si="267"/>
        <v>2086.85016</v>
      </c>
      <c r="BM88" s="26">
        <f t="shared" si="267"/>
        <v>1980.3073600000007</v>
      </c>
      <c r="BN88" s="826">
        <f t="shared" si="267"/>
        <v>6753.015800000001</v>
      </c>
      <c r="BO88" s="26">
        <f t="shared" si="267"/>
        <v>1517.7121999999999</v>
      </c>
      <c r="BP88" s="26">
        <f t="shared" si="267"/>
        <v>1019.4456000000009</v>
      </c>
      <c r="BQ88" s="26">
        <f t="shared" si="267"/>
        <v>2135.5400000000009</v>
      </c>
      <c r="BR88" s="26">
        <f t="shared" si="267"/>
        <v>2351.6709600000013</v>
      </c>
      <c r="BS88" s="826">
        <f t="shared" si="267"/>
        <v>7015.6785999999993</v>
      </c>
      <c r="BT88" s="647">
        <f t="shared" si="267"/>
        <v>1819.0645000000004</v>
      </c>
      <c r="BU88" s="770">
        <v>1000</v>
      </c>
      <c r="BV88" s="770">
        <v>1000</v>
      </c>
      <c r="BW88" s="770">
        <v>1000</v>
      </c>
      <c r="BX88" s="825">
        <f>SUM(BT88,BU88,BV88,BW88)</f>
        <v>4819.0645000000004</v>
      </c>
      <c r="BY88" s="770">
        <v>1000</v>
      </c>
      <c r="BZ88" s="770">
        <v>1000</v>
      </c>
      <c r="CA88" s="770">
        <v>1000</v>
      </c>
      <c r="CB88" s="770">
        <v>1000</v>
      </c>
      <c r="CC88" s="825">
        <f>SUM(BY88,BZ88,CA88,CB88)</f>
        <v>4000</v>
      </c>
      <c r="CD88" s="851">
        <v>3000</v>
      </c>
      <c r="CE88" s="851">
        <v>3000</v>
      </c>
      <c r="CF88" s="851">
        <v>3000</v>
      </c>
      <c r="CG88" s="26"/>
    </row>
    <row r="89" spans="1:85" s="428" customFormat="1" hidden="1" outlineLevel="1" x14ac:dyDescent="0.3">
      <c r="A89" s="43"/>
      <c r="B89" s="64"/>
      <c r="C89" s="821"/>
      <c r="D89" s="821"/>
      <c r="E89" s="821"/>
      <c r="F89" s="821"/>
      <c r="G89" s="37"/>
      <c r="H89" s="37"/>
      <c r="I89" s="37"/>
      <c r="J89" s="37"/>
      <c r="K89" s="821"/>
      <c r="L89" s="37"/>
      <c r="M89" s="37"/>
      <c r="N89" s="37"/>
      <c r="O89" s="37"/>
      <c r="P89" s="821"/>
      <c r="Q89" s="37"/>
      <c r="R89" s="37"/>
      <c r="S89" s="37"/>
      <c r="T89" s="37"/>
      <c r="U89" s="821"/>
      <c r="V89" s="37"/>
      <c r="W89" s="37"/>
      <c r="X89" s="37"/>
      <c r="Y89" s="37"/>
      <c r="Z89" s="821"/>
      <c r="AA89" s="37"/>
      <c r="AB89" s="37"/>
      <c r="AC89" s="37"/>
      <c r="AD89" s="37"/>
      <c r="AE89" s="821"/>
      <c r="AF89" s="37"/>
      <c r="AG89" s="37"/>
      <c r="AH89" s="37"/>
      <c r="AI89" s="37"/>
      <c r="AJ89" s="821"/>
      <c r="AK89" s="37"/>
      <c r="AL89" s="37"/>
      <c r="AM89" s="37"/>
      <c r="AN89" s="37"/>
      <c r="AO89" s="821"/>
      <c r="AP89" s="37"/>
      <c r="AQ89" s="37"/>
      <c r="AR89" s="37"/>
      <c r="AS89" s="37"/>
      <c r="AT89" s="821"/>
      <c r="AU89" s="37"/>
      <c r="AV89" s="37"/>
      <c r="AW89" s="37"/>
      <c r="AX89" s="37"/>
      <c r="AY89" s="821"/>
      <c r="AZ89" s="37"/>
      <c r="BA89" s="37"/>
      <c r="BB89" s="37"/>
      <c r="BC89" s="37"/>
      <c r="BD89" s="821"/>
      <c r="BE89" s="37"/>
      <c r="BF89" s="37"/>
      <c r="BG89" s="37"/>
      <c r="BH89" s="37"/>
      <c r="BI89" s="821"/>
      <c r="BJ89" s="37"/>
      <c r="BK89" s="37"/>
      <c r="BL89" s="37"/>
      <c r="BM89" s="37"/>
      <c r="BN89" s="821"/>
      <c r="BO89" s="37"/>
      <c r="BP89" s="37"/>
      <c r="BQ89" s="37"/>
      <c r="BR89" s="37"/>
      <c r="BS89" s="821"/>
      <c r="BT89" s="480"/>
      <c r="BU89" s="37"/>
      <c r="BV89" s="37"/>
      <c r="BW89" s="37"/>
      <c r="BX89" s="821"/>
      <c r="BY89" s="37"/>
      <c r="BZ89" s="37"/>
      <c r="CA89" s="37"/>
      <c r="CB89" s="37"/>
      <c r="CC89" s="821"/>
      <c r="CD89" s="821"/>
      <c r="CE89" s="821"/>
      <c r="CF89" s="821"/>
      <c r="CG89" s="22"/>
    </row>
    <row r="90" spans="1:85" s="428" customFormat="1" hidden="1" outlineLevel="1" x14ac:dyDescent="0.3">
      <c r="A90" s="43" t="s">
        <v>76</v>
      </c>
      <c r="B90" s="64"/>
      <c r="C90" s="827">
        <v>19522</v>
      </c>
      <c r="D90" s="827">
        <v>24155</v>
      </c>
      <c r="E90" s="827">
        <v>27738</v>
      </c>
      <c r="F90" s="827">
        <v>23645</v>
      </c>
      <c r="G90" s="763">
        <v>6267</v>
      </c>
      <c r="H90" s="763">
        <v>6413</v>
      </c>
      <c r="I90" s="763">
        <v>6396</v>
      </c>
      <c r="J90" s="37">
        <f>K90-SUM(G90,H90,I90)</f>
        <v>5841</v>
      </c>
      <c r="K90" s="827">
        <v>24917</v>
      </c>
      <c r="L90" s="763">
        <v>6745</v>
      </c>
      <c r="M90" s="763">
        <v>5965</v>
      </c>
      <c r="N90" s="763">
        <v>5676</v>
      </c>
      <c r="O90" s="37">
        <f>P90-SUM(L90,M90,N90)</f>
        <v>4524</v>
      </c>
      <c r="P90" s="827">
        <v>22910</v>
      </c>
      <c r="Q90" s="763">
        <v>3349</v>
      </c>
      <c r="R90" s="763">
        <v>3533</v>
      </c>
      <c r="S90" s="763">
        <v>3207</v>
      </c>
      <c r="T90" s="37">
        <f>U90-SUM(Q90,R90,S90)</f>
        <v>2659</v>
      </c>
      <c r="U90" s="827">
        <v>12748</v>
      </c>
      <c r="V90" s="763">
        <v>2072</v>
      </c>
      <c r="W90" s="763">
        <v>2467</v>
      </c>
      <c r="X90" s="763">
        <v>2847</v>
      </c>
      <c r="Y90" s="37">
        <f>Z90-SUM(V90,W90,X90)</f>
        <v>2979</v>
      </c>
      <c r="Z90" s="827">
        <v>10365</v>
      </c>
      <c r="AA90" s="763">
        <v>3240</v>
      </c>
      <c r="AB90" s="763">
        <v>3135</v>
      </c>
      <c r="AC90" s="763">
        <v>3245</v>
      </c>
      <c r="AD90" s="37">
        <f>AE90-SUM(AA90,AB90,AC90)</f>
        <v>3622</v>
      </c>
      <c r="AE90" s="827">
        <v>13242</v>
      </c>
      <c r="AF90" s="763">
        <v>4577</v>
      </c>
      <c r="AG90" s="763">
        <v>5044</v>
      </c>
      <c r="AH90" s="763">
        <v>6784</v>
      </c>
      <c r="AI90" s="37">
        <f>AJ90-SUM(AF90,AG90,AH90)</f>
        <v>6486</v>
      </c>
      <c r="AJ90" s="827">
        <v>22891</v>
      </c>
      <c r="AK90" s="763">
        <v>5882</v>
      </c>
      <c r="AL90" s="763">
        <v>5927</v>
      </c>
      <c r="AM90" s="763">
        <v>5602</v>
      </c>
      <c r="AN90" s="37">
        <f>AO90-SUM(AK90,AL90,AM90)</f>
        <v>5947</v>
      </c>
      <c r="AO90" s="827">
        <v>23358</v>
      </c>
      <c r="AP90" s="763">
        <v>4466</v>
      </c>
      <c r="AQ90" s="763">
        <v>2544</v>
      </c>
      <c r="AR90" s="763">
        <v>3367</v>
      </c>
      <c r="AS90" s="37">
        <f>AT90-SUM(AP90,AQ90,AR90)</f>
        <v>4200</v>
      </c>
      <c r="AT90" s="827">
        <v>14577</v>
      </c>
      <c r="AU90" s="763">
        <v>5791</v>
      </c>
      <c r="AV90" s="763">
        <v>6034</v>
      </c>
      <c r="AW90" s="763">
        <v>7374</v>
      </c>
      <c r="AX90" s="37">
        <f>AY90-SUM(AU90,AV90,AW90)</f>
        <v>10020</v>
      </c>
      <c r="AY90" s="827">
        <v>29219</v>
      </c>
      <c r="AZ90" s="763">
        <v>11316</v>
      </c>
      <c r="BA90" s="763">
        <v>14232</v>
      </c>
      <c r="BB90" s="763">
        <v>13183</v>
      </c>
      <c r="BC90" s="37">
        <f>BD90-SUM(AZ90,BA90,BB90)</f>
        <v>12091</v>
      </c>
      <c r="BD90" s="827">
        <v>50822</v>
      </c>
      <c r="BE90" s="763">
        <v>9623</v>
      </c>
      <c r="BF90" s="763">
        <v>8755</v>
      </c>
      <c r="BG90" s="763">
        <v>10278</v>
      </c>
      <c r="BH90" s="22">
        <f>BI90-SUM(BE90,BF90,BG90)</f>
        <v>11459</v>
      </c>
      <c r="BI90" s="827">
        <v>40115</v>
      </c>
      <c r="BJ90" s="763">
        <v>11167</v>
      </c>
      <c r="BK90" s="763">
        <v>11287</v>
      </c>
      <c r="BL90" s="763">
        <v>10730</v>
      </c>
      <c r="BM90" s="22">
        <f>BN90-SUM(BJ90,BK90,BL90)</f>
        <v>11118</v>
      </c>
      <c r="BN90" s="827">
        <v>44302</v>
      </c>
      <c r="BO90" s="763">
        <v>11515</v>
      </c>
      <c r="BP90" s="763">
        <v>10385</v>
      </c>
      <c r="BQ90" s="763">
        <v>12161</v>
      </c>
      <c r="BR90" s="22">
        <f>BS90-SUM(BO90,BP90,BQ90)</f>
        <v>11457</v>
      </c>
      <c r="BS90" s="827">
        <v>45518</v>
      </c>
      <c r="BT90" s="764">
        <v>12842</v>
      </c>
      <c r="BU90" s="37">
        <f t="shared" ref="BU90:BW91" si="268">BU83+BU87</f>
        <v>14016.199999999999</v>
      </c>
      <c r="BV90" s="37">
        <f t="shared" si="268"/>
        <v>12962.529999999999</v>
      </c>
      <c r="BW90" s="37">
        <f t="shared" si="268"/>
        <v>13224.689999999999</v>
      </c>
      <c r="BX90" s="821">
        <f>SUM(BT90,BU90,BV90,BW90)</f>
        <v>53045.42</v>
      </c>
      <c r="BY90" s="37">
        <f t="shared" ref="BY90:CB91" si="269">BY83+BY87</f>
        <v>12059.61</v>
      </c>
      <c r="BZ90" s="37">
        <f t="shared" si="269"/>
        <v>11535.813</v>
      </c>
      <c r="CA90" s="37">
        <f t="shared" si="269"/>
        <v>11630.722</v>
      </c>
      <c r="CB90" s="37">
        <f t="shared" si="269"/>
        <v>11766.144</v>
      </c>
      <c r="CC90" s="821">
        <f>SUM(BY90,BZ90,CA90,CB90)</f>
        <v>46992.289000000004</v>
      </c>
      <c r="CD90" s="821">
        <f t="shared" ref="CD90:CF91" si="270">CD83+CD87</f>
        <v>38932.85</v>
      </c>
      <c r="CE90" s="821">
        <f t="shared" si="270"/>
        <v>38284.639999999999</v>
      </c>
      <c r="CF90" s="821">
        <f t="shared" si="270"/>
        <v>37217.402499999997</v>
      </c>
      <c r="CG90" s="22"/>
    </row>
    <row r="91" spans="1:85" s="428" customFormat="1" hidden="1" outlineLevel="1" x14ac:dyDescent="0.3">
      <c r="A91" s="43" t="s">
        <v>77</v>
      </c>
      <c r="B91" s="64"/>
      <c r="C91" s="827">
        <v>31940</v>
      </c>
      <c r="D91" s="827">
        <v>41134</v>
      </c>
      <c r="E91" s="827">
        <v>55098</v>
      </c>
      <c r="F91" s="827">
        <v>53553</v>
      </c>
      <c r="G91" s="763">
        <v>12911</v>
      </c>
      <c r="H91" s="763">
        <v>11746</v>
      </c>
      <c r="I91" s="763">
        <v>12999</v>
      </c>
      <c r="J91" s="37">
        <f>K91-SUM(G91,H91,I91)</f>
        <v>12985</v>
      </c>
      <c r="K91" s="827">
        <v>50641</v>
      </c>
      <c r="L91" s="763">
        <v>11881</v>
      </c>
      <c r="M91" s="763">
        <v>13454</v>
      </c>
      <c r="N91" s="763">
        <v>12084</v>
      </c>
      <c r="O91" s="37">
        <f>P91-SUM(L91,M91,N91)</f>
        <v>9496</v>
      </c>
      <c r="P91" s="827">
        <v>46915</v>
      </c>
      <c r="Q91" s="763">
        <v>7215</v>
      </c>
      <c r="R91" s="763">
        <v>7408</v>
      </c>
      <c r="S91" s="763">
        <v>6540</v>
      </c>
      <c r="T91" s="37">
        <f>U91-SUM(Q91,R91,S91)</f>
        <v>5916</v>
      </c>
      <c r="U91" s="827">
        <v>27079</v>
      </c>
      <c r="V91" s="763">
        <v>5021</v>
      </c>
      <c r="W91" s="763">
        <v>5377</v>
      </c>
      <c r="X91" s="763">
        <v>5927</v>
      </c>
      <c r="Y91" s="37">
        <f>Z91-SUM(V91,W91,X91)</f>
        <v>6455</v>
      </c>
      <c r="Z91" s="827">
        <v>22780</v>
      </c>
      <c r="AA91" s="763">
        <v>6581</v>
      </c>
      <c r="AB91" s="763">
        <v>6852</v>
      </c>
      <c r="AC91" s="763">
        <v>7191</v>
      </c>
      <c r="AD91" s="37">
        <f>AE91-SUM(AA91,AB91,AC91)</f>
        <v>8056</v>
      </c>
      <c r="AE91" s="827">
        <v>28680</v>
      </c>
      <c r="AF91" s="763">
        <v>8656</v>
      </c>
      <c r="AG91" s="763">
        <v>8880</v>
      </c>
      <c r="AH91" s="763">
        <v>10312</v>
      </c>
      <c r="AI91" s="37">
        <f>AJ91-SUM(AF91,AG91,AH91)</f>
        <v>9974</v>
      </c>
      <c r="AJ91" s="827">
        <v>37822</v>
      </c>
      <c r="AK91" s="763">
        <v>9369</v>
      </c>
      <c r="AL91" s="763">
        <v>8977</v>
      </c>
      <c r="AM91" s="763">
        <v>8607</v>
      </c>
      <c r="AN91" s="37">
        <f>AO91-SUM(AK91,AL91,AM91)</f>
        <v>8675</v>
      </c>
      <c r="AO91" s="827">
        <v>35628</v>
      </c>
      <c r="AP91" s="763">
        <v>9013</v>
      </c>
      <c r="AQ91" s="763">
        <v>4554</v>
      </c>
      <c r="AR91" s="763">
        <v>5911</v>
      </c>
      <c r="AS91" s="37">
        <f>AT91-SUM(AP91,AQ91,AR91)</f>
        <v>7326</v>
      </c>
      <c r="AT91" s="827">
        <v>26804</v>
      </c>
      <c r="AU91" s="763">
        <v>8790</v>
      </c>
      <c r="AV91" s="763">
        <v>9516</v>
      </c>
      <c r="AW91" s="763">
        <v>11262</v>
      </c>
      <c r="AX91" s="37">
        <f>AY91-SUM(AU91,AV91,AW91)</f>
        <v>11353</v>
      </c>
      <c r="AY91" s="827">
        <v>40921</v>
      </c>
      <c r="AZ91" s="763">
        <v>13502</v>
      </c>
      <c r="BA91" s="763">
        <v>14230</v>
      </c>
      <c r="BB91" s="763">
        <v>15286</v>
      </c>
      <c r="BC91" s="37">
        <f>BD91-SUM(AZ91,BA91,BB91)</f>
        <v>13138</v>
      </c>
      <c r="BD91" s="827">
        <v>56156</v>
      </c>
      <c r="BE91" s="763">
        <v>11196</v>
      </c>
      <c r="BF91" s="763">
        <v>9876</v>
      </c>
      <c r="BG91" s="763">
        <v>10633</v>
      </c>
      <c r="BH91" s="22">
        <f>BI91-SUM(BE91,BF91,BG91)</f>
        <v>12100</v>
      </c>
      <c r="BI91" s="827">
        <v>43805</v>
      </c>
      <c r="BJ91" s="763">
        <v>10783</v>
      </c>
      <c r="BK91" s="763">
        <v>10221</v>
      </c>
      <c r="BL91" s="763">
        <v>11330</v>
      </c>
      <c r="BM91" s="22">
        <f>BN91-SUM(BJ91,BK91,BL91)</f>
        <v>11132</v>
      </c>
      <c r="BN91" s="827">
        <v>43466</v>
      </c>
      <c r="BO91" s="763">
        <v>9971</v>
      </c>
      <c r="BP91" s="763">
        <v>9182</v>
      </c>
      <c r="BQ91" s="763">
        <v>12118</v>
      </c>
      <c r="BR91" s="22">
        <f>BS91-SUM(BO91,BP91,BQ91)</f>
        <v>11590</v>
      </c>
      <c r="BS91" s="827">
        <v>42861</v>
      </c>
      <c r="BT91" s="764">
        <v>12013</v>
      </c>
      <c r="BU91" s="37">
        <f t="shared" si="268"/>
        <v>12843.924999999999</v>
      </c>
      <c r="BV91" s="37">
        <f t="shared" si="268"/>
        <v>13265.25</v>
      </c>
      <c r="BW91" s="37">
        <f t="shared" si="268"/>
        <v>11596.14</v>
      </c>
      <c r="BX91" s="821">
        <f>SUM(BT91,BU91,BV91,BW91)</f>
        <v>49718.315000000002</v>
      </c>
      <c r="BY91" s="37">
        <f t="shared" si="269"/>
        <v>11164.640000000001</v>
      </c>
      <c r="BZ91" s="37">
        <f t="shared" si="269"/>
        <v>10294.470000000001</v>
      </c>
      <c r="CA91" s="37">
        <f t="shared" si="269"/>
        <v>10467.369999999999</v>
      </c>
      <c r="CB91" s="37">
        <f t="shared" si="269"/>
        <v>10683.32</v>
      </c>
      <c r="CC91" s="821">
        <f>SUM(BY91,BZ91,CA91,CB91)</f>
        <v>42609.8</v>
      </c>
      <c r="CD91" s="821">
        <f t="shared" si="270"/>
        <v>44015.91</v>
      </c>
      <c r="CE91" s="821">
        <f t="shared" si="270"/>
        <v>43479.574999999997</v>
      </c>
      <c r="CF91" s="821">
        <f t="shared" si="270"/>
        <v>42737.517499999994</v>
      </c>
      <c r="CG91" s="22"/>
    </row>
    <row r="92" spans="1:85" s="429" customFormat="1" hidden="1" outlineLevel="1" x14ac:dyDescent="0.3">
      <c r="A92" s="42" t="s">
        <v>78</v>
      </c>
      <c r="B92" s="90"/>
      <c r="C92" s="823">
        <f t="shared" ref="C92:AH92" si="271">SUM(C90:C91)</f>
        <v>51462</v>
      </c>
      <c r="D92" s="823">
        <f t="shared" si="271"/>
        <v>65289</v>
      </c>
      <c r="E92" s="823">
        <f t="shared" si="271"/>
        <v>82836</v>
      </c>
      <c r="F92" s="823">
        <f t="shared" si="271"/>
        <v>77198</v>
      </c>
      <c r="G92" s="393">
        <f t="shared" si="271"/>
        <v>19178</v>
      </c>
      <c r="H92" s="393">
        <f t="shared" si="271"/>
        <v>18159</v>
      </c>
      <c r="I92" s="393">
        <f t="shared" si="271"/>
        <v>19395</v>
      </c>
      <c r="J92" s="393">
        <f t="shared" si="271"/>
        <v>18826</v>
      </c>
      <c r="K92" s="823">
        <f t="shared" si="271"/>
        <v>75558</v>
      </c>
      <c r="L92" s="393">
        <f t="shared" si="271"/>
        <v>18626</v>
      </c>
      <c r="M92" s="393">
        <f t="shared" si="271"/>
        <v>19419</v>
      </c>
      <c r="N92" s="393">
        <f t="shared" si="271"/>
        <v>17760</v>
      </c>
      <c r="O92" s="393">
        <f t="shared" si="271"/>
        <v>14020</v>
      </c>
      <c r="P92" s="823">
        <f t="shared" si="271"/>
        <v>69825</v>
      </c>
      <c r="Q92" s="393">
        <f t="shared" si="271"/>
        <v>10564</v>
      </c>
      <c r="R92" s="393">
        <f t="shared" si="271"/>
        <v>10941</v>
      </c>
      <c r="S92" s="393">
        <f t="shared" si="271"/>
        <v>9747</v>
      </c>
      <c r="T92" s="393">
        <f t="shared" si="271"/>
        <v>8575</v>
      </c>
      <c r="U92" s="823">
        <f t="shared" si="271"/>
        <v>39827</v>
      </c>
      <c r="V92" s="393">
        <f t="shared" si="271"/>
        <v>7093</v>
      </c>
      <c r="W92" s="393">
        <f t="shared" si="271"/>
        <v>7844</v>
      </c>
      <c r="X92" s="393">
        <f t="shared" si="271"/>
        <v>8774</v>
      </c>
      <c r="Y92" s="393">
        <f t="shared" si="271"/>
        <v>9434</v>
      </c>
      <c r="Z92" s="823">
        <f t="shared" si="271"/>
        <v>33145</v>
      </c>
      <c r="AA92" s="393">
        <f t="shared" si="271"/>
        <v>9821</v>
      </c>
      <c r="AB92" s="393">
        <f t="shared" si="271"/>
        <v>9987</v>
      </c>
      <c r="AC92" s="393">
        <f t="shared" si="271"/>
        <v>10436</v>
      </c>
      <c r="AD92" s="393">
        <f t="shared" si="271"/>
        <v>11678</v>
      </c>
      <c r="AE92" s="823">
        <f t="shared" si="271"/>
        <v>41922</v>
      </c>
      <c r="AF92" s="393">
        <f t="shared" si="271"/>
        <v>13233</v>
      </c>
      <c r="AG92" s="393">
        <f t="shared" si="271"/>
        <v>13924</v>
      </c>
      <c r="AH92" s="393">
        <f t="shared" si="271"/>
        <v>17096</v>
      </c>
      <c r="AI92" s="393">
        <f t="shared" ref="AI92:AQ92" si="272">SUM(AI90:AI91)</f>
        <v>16460</v>
      </c>
      <c r="AJ92" s="823">
        <f t="shared" si="272"/>
        <v>60713</v>
      </c>
      <c r="AK92" s="393">
        <f t="shared" si="272"/>
        <v>15251</v>
      </c>
      <c r="AL92" s="393">
        <f t="shared" si="272"/>
        <v>14904</v>
      </c>
      <c r="AM92" s="393">
        <f t="shared" si="272"/>
        <v>14209</v>
      </c>
      <c r="AN92" s="393">
        <f t="shared" si="272"/>
        <v>14622</v>
      </c>
      <c r="AO92" s="823">
        <f t="shared" si="272"/>
        <v>58986</v>
      </c>
      <c r="AP92" s="393">
        <f t="shared" si="272"/>
        <v>13479</v>
      </c>
      <c r="AQ92" s="393">
        <f t="shared" si="272"/>
        <v>7098</v>
      </c>
      <c r="AR92" s="393">
        <f>SUM(AR90:AR91)</f>
        <v>9278</v>
      </c>
      <c r="AS92" s="393">
        <f t="shared" ref="AS92" si="273">SUM(AS90:AS91)</f>
        <v>11526</v>
      </c>
      <c r="AT92" s="823">
        <f t="shared" ref="AT92:AU92" si="274">SUM(AT90:AT91)</f>
        <v>41381</v>
      </c>
      <c r="AU92" s="393">
        <f t="shared" si="274"/>
        <v>14581</v>
      </c>
      <c r="AV92" s="393">
        <f t="shared" ref="AV92:BA92" si="275">SUM(AV90:AV91)</f>
        <v>15550</v>
      </c>
      <c r="AW92" s="393">
        <f t="shared" si="275"/>
        <v>18636</v>
      </c>
      <c r="AX92" s="393">
        <f t="shared" si="275"/>
        <v>21373</v>
      </c>
      <c r="AY92" s="823">
        <f t="shared" si="275"/>
        <v>70140</v>
      </c>
      <c r="AZ92" s="393">
        <f t="shared" si="275"/>
        <v>24818</v>
      </c>
      <c r="BA92" s="393">
        <f t="shared" si="275"/>
        <v>28462</v>
      </c>
      <c r="BB92" s="393">
        <f t="shared" ref="BB92:BD92" si="276">SUM(BB90:BB91)</f>
        <v>28469</v>
      </c>
      <c r="BC92" s="393">
        <f t="shared" si="276"/>
        <v>25229</v>
      </c>
      <c r="BD92" s="823">
        <f t="shared" si="276"/>
        <v>106978</v>
      </c>
      <c r="BE92" s="393">
        <f>SUM(BE90:BE91)</f>
        <v>20819</v>
      </c>
      <c r="BF92" s="394">
        <f t="shared" ref="BF92:BI92" si="277">SUM(BF90:BF91)</f>
        <v>18631</v>
      </c>
      <c r="BG92" s="394">
        <f t="shared" si="277"/>
        <v>20911</v>
      </c>
      <c r="BH92" s="394">
        <f t="shared" si="277"/>
        <v>23559</v>
      </c>
      <c r="BI92" s="824">
        <f t="shared" si="277"/>
        <v>83920</v>
      </c>
      <c r="BJ92" s="394">
        <f t="shared" ref="BJ92:BX92" si="278">SUM(BJ90:BJ91)</f>
        <v>21950</v>
      </c>
      <c r="BK92" s="394">
        <f t="shared" si="278"/>
        <v>21508</v>
      </c>
      <c r="BL92" s="394">
        <f t="shared" si="278"/>
        <v>22060</v>
      </c>
      <c r="BM92" s="394">
        <f t="shared" si="278"/>
        <v>22250</v>
      </c>
      <c r="BN92" s="824">
        <f t="shared" si="278"/>
        <v>87768</v>
      </c>
      <c r="BO92" s="394">
        <f t="shared" ref="BO92:BW92" si="279">SUM(BO90:BO91)</f>
        <v>21486</v>
      </c>
      <c r="BP92" s="394">
        <f t="shared" si="279"/>
        <v>19567</v>
      </c>
      <c r="BQ92" s="394">
        <f t="shared" si="279"/>
        <v>24279</v>
      </c>
      <c r="BR92" s="394">
        <f t="shared" si="279"/>
        <v>23047</v>
      </c>
      <c r="BS92" s="824">
        <f t="shared" si="279"/>
        <v>88379</v>
      </c>
      <c r="BT92" s="640">
        <f>SUM(BT90:BT91)</f>
        <v>24855</v>
      </c>
      <c r="BU92" s="393">
        <f t="shared" si="279"/>
        <v>26860.125</v>
      </c>
      <c r="BV92" s="393">
        <f t="shared" si="279"/>
        <v>26227.78</v>
      </c>
      <c r="BW92" s="393">
        <f t="shared" si="279"/>
        <v>24820.829999999998</v>
      </c>
      <c r="BX92" s="823">
        <f t="shared" si="278"/>
        <v>102763.735</v>
      </c>
      <c r="BY92" s="393">
        <f t="shared" ref="BY92:CF92" si="280">SUM(BY90:BY91)</f>
        <v>23224.25</v>
      </c>
      <c r="BZ92" s="393">
        <f t="shared" si="280"/>
        <v>21830.283000000003</v>
      </c>
      <c r="CA92" s="393">
        <f t="shared" si="280"/>
        <v>22098.091999999997</v>
      </c>
      <c r="CB92" s="393">
        <f t="shared" si="280"/>
        <v>22449.464</v>
      </c>
      <c r="CC92" s="823">
        <f t="shared" si="280"/>
        <v>89602.089000000007</v>
      </c>
      <c r="CD92" s="823">
        <f t="shared" si="280"/>
        <v>82948.760000000009</v>
      </c>
      <c r="CE92" s="823">
        <f t="shared" si="280"/>
        <v>81764.214999999997</v>
      </c>
      <c r="CF92" s="823">
        <f t="shared" si="280"/>
        <v>79954.919999999984</v>
      </c>
      <c r="CG92" s="26"/>
    </row>
    <row r="93" spans="1:85" s="428" customFormat="1" hidden="1" outlineLevel="1" x14ac:dyDescent="0.3">
      <c r="A93" s="43" t="s">
        <v>79</v>
      </c>
      <c r="B93" s="64"/>
      <c r="C93" s="827">
        <v>-10297</v>
      </c>
      <c r="D93" s="827">
        <v>-13839</v>
      </c>
      <c r="E93" s="827">
        <v>-18115</v>
      </c>
      <c r="F93" s="827">
        <v>-17229</v>
      </c>
      <c r="G93" s="763">
        <v>-4194</v>
      </c>
      <c r="H93" s="763">
        <v>-4217</v>
      </c>
      <c r="I93" s="763">
        <v>-4405</v>
      </c>
      <c r="J93" s="37">
        <f>K93-SUM(G93,H93,I93)</f>
        <v>-4049</v>
      </c>
      <c r="K93" s="827">
        <v>-16865</v>
      </c>
      <c r="L93" s="763">
        <v>-3932</v>
      </c>
      <c r="M93" s="763">
        <v>-4260</v>
      </c>
      <c r="N93" s="763">
        <v>-4127</v>
      </c>
      <c r="O93" s="37">
        <f>P93-SUM(L93,M93,N93)</f>
        <v>-3136</v>
      </c>
      <c r="P93" s="827">
        <v>-15455</v>
      </c>
      <c r="Q93" s="763">
        <v>-2111</v>
      </c>
      <c r="R93" s="763">
        <v>-2553</v>
      </c>
      <c r="S93" s="763">
        <v>-2165</v>
      </c>
      <c r="T93" s="37">
        <f>U93-SUM(Q93,R93,S93)</f>
        <v>-1802</v>
      </c>
      <c r="U93" s="827">
        <v>-8631</v>
      </c>
      <c r="V93" s="763">
        <v>-1331</v>
      </c>
      <c r="W93" s="763">
        <v>-1810</v>
      </c>
      <c r="X93" s="763">
        <v>-1979</v>
      </c>
      <c r="Y93" s="37">
        <f>Z93-SUM(V93,W93,X93)</f>
        <v>-2097</v>
      </c>
      <c r="Z93" s="827">
        <v>-7217</v>
      </c>
      <c r="AA93" s="763">
        <v>-2241</v>
      </c>
      <c r="AB93" s="763">
        <v>-2198</v>
      </c>
      <c r="AC93" s="763">
        <v>-2298</v>
      </c>
      <c r="AD93" s="37">
        <f>AE93-SUM(AA93,AB93,AC93)</f>
        <v>-2604</v>
      </c>
      <c r="AE93" s="827">
        <v>-9341</v>
      </c>
      <c r="AF93" s="763">
        <v>-2757</v>
      </c>
      <c r="AG93" s="763">
        <v>-3185</v>
      </c>
      <c r="AH93" s="763">
        <v>-4277</v>
      </c>
      <c r="AI93" s="37">
        <f>AJ93-SUM(AF93,AG93,AH93)</f>
        <v>-3746</v>
      </c>
      <c r="AJ93" s="827">
        <v>-13965</v>
      </c>
      <c r="AK93" s="763">
        <v>-3519</v>
      </c>
      <c r="AL93" s="763">
        <v>-3865</v>
      </c>
      <c r="AM93" s="763">
        <v>-3686</v>
      </c>
      <c r="AN93" s="37">
        <f>AO93-SUM(AK93,AL93,AM93)</f>
        <v>-3874</v>
      </c>
      <c r="AO93" s="827">
        <v>-14944</v>
      </c>
      <c r="AP93" s="763">
        <v>-2812</v>
      </c>
      <c r="AQ93" s="763">
        <v>-1420</v>
      </c>
      <c r="AR93" s="763">
        <v>-1916</v>
      </c>
      <c r="AS93" s="37">
        <f>AT93-SUM(AP93,AQ93,AR93)</f>
        <v>-1920</v>
      </c>
      <c r="AT93" s="827">
        <v>-8068</v>
      </c>
      <c r="AU93" s="763">
        <v>-2855</v>
      </c>
      <c r="AV93" s="763">
        <v>-3256</v>
      </c>
      <c r="AW93" s="763">
        <v>-3520</v>
      </c>
      <c r="AX93" s="37">
        <f>AY93-SUM(AU93,AV93,AW93)</f>
        <v>-5523</v>
      </c>
      <c r="AY93" s="827">
        <v>-15154</v>
      </c>
      <c r="AZ93" s="763">
        <v>-6919</v>
      </c>
      <c r="BA93" s="763">
        <v>-8475</v>
      </c>
      <c r="BB93" s="763">
        <v>-7138</v>
      </c>
      <c r="BC93" s="37">
        <f>BD93-SUM(AZ93,BA93,BB93)</f>
        <v>-7338</v>
      </c>
      <c r="BD93" s="827">
        <v>-29870</v>
      </c>
      <c r="BE93" s="763">
        <v>-5902</v>
      </c>
      <c r="BF93" s="763">
        <v>-6067</v>
      </c>
      <c r="BG93" s="763">
        <v>-6797</v>
      </c>
      <c r="BH93" s="22">
        <f>BI93-SUM(BE93,BF93,BG93)</f>
        <v>-7541</v>
      </c>
      <c r="BI93" s="827">
        <v>-26307</v>
      </c>
      <c r="BJ93" s="763">
        <v>-7589</v>
      </c>
      <c r="BK93" s="763">
        <v>-7890</v>
      </c>
      <c r="BL93" s="763">
        <v>-7432</v>
      </c>
      <c r="BM93" s="22">
        <f>BN93-SUM(BJ93,BK93,BL93)</f>
        <v>-6751</v>
      </c>
      <c r="BN93" s="827">
        <v>-29662</v>
      </c>
      <c r="BO93" s="763">
        <v>-7112</v>
      </c>
      <c r="BP93" s="763">
        <v>-6321</v>
      </c>
      <c r="BQ93" s="763">
        <v>-6538</v>
      </c>
      <c r="BR93" s="22">
        <f>BS93-SUM(BO93,BP93,BQ93)</f>
        <v>-5939</v>
      </c>
      <c r="BS93" s="827">
        <v>-25910</v>
      </c>
      <c r="BT93" s="764">
        <v>-6755</v>
      </c>
      <c r="BU93" s="763">
        <v>-4000</v>
      </c>
      <c r="BV93" s="763">
        <v>-5000</v>
      </c>
      <c r="BW93" s="763">
        <v>-5000</v>
      </c>
      <c r="BX93" s="821">
        <f>SUM(BT93,BU93,BV93,BW93)</f>
        <v>-20755</v>
      </c>
      <c r="BY93" s="763">
        <v>-5000</v>
      </c>
      <c r="BZ93" s="763">
        <v>-5000</v>
      </c>
      <c r="CA93" s="763">
        <v>-5000</v>
      </c>
      <c r="CB93" s="763">
        <v>-5000</v>
      </c>
      <c r="CC93" s="821">
        <f>SUM(BY93,BZ93,CA93,CB93)</f>
        <v>-20000</v>
      </c>
      <c r="CD93" s="827">
        <v>-20000</v>
      </c>
      <c r="CE93" s="827">
        <v>-20000</v>
      </c>
      <c r="CF93" s="827">
        <v>-20000</v>
      </c>
      <c r="CG93" s="22"/>
    </row>
    <row r="94" spans="1:85" s="428" customFormat="1" hidden="1" outlineLevel="1" x14ac:dyDescent="0.3">
      <c r="A94" s="43" t="s">
        <v>80</v>
      </c>
      <c r="B94" s="64"/>
      <c r="C94" s="827">
        <v>-18477</v>
      </c>
      <c r="D94" s="827">
        <v>-23834</v>
      </c>
      <c r="E94" s="827">
        <v>-35012</v>
      </c>
      <c r="F94" s="827">
        <v>-34094</v>
      </c>
      <c r="G94" s="763">
        <v>-8356</v>
      </c>
      <c r="H94" s="763">
        <v>-7449</v>
      </c>
      <c r="I94" s="763">
        <v>-8715</v>
      </c>
      <c r="J94" s="37">
        <f>K94-SUM(G94,H94,I94)</f>
        <v>-8514</v>
      </c>
      <c r="K94" s="827">
        <v>-33034</v>
      </c>
      <c r="L94" s="763">
        <v>-5762</v>
      </c>
      <c r="M94" s="763">
        <v>-6597</v>
      </c>
      <c r="N94" s="763">
        <v>-6317</v>
      </c>
      <c r="O94" s="37">
        <f>P94-SUM(L94,M94,N94)</f>
        <v>-4431</v>
      </c>
      <c r="P94" s="827">
        <v>-23107</v>
      </c>
      <c r="Q94" s="763">
        <v>-2992</v>
      </c>
      <c r="R94" s="763">
        <v>-3281</v>
      </c>
      <c r="S94" s="763">
        <v>-2774</v>
      </c>
      <c r="T94" s="37">
        <f>U94-SUM(Q94,R94,S94)</f>
        <v>-2445</v>
      </c>
      <c r="U94" s="827">
        <v>-11492</v>
      </c>
      <c r="V94" s="763">
        <v>-1929</v>
      </c>
      <c r="W94" s="763">
        <v>-2278</v>
      </c>
      <c r="X94" s="763">
        <v>-2742</v>
      </c>
      <c r="Y94" s="37">
        <f>Z94-SUM(V94,W94,X94)</f>
        <v>-2569</v>
      </c>
      <c r="Z94" s="827">
        <v>-9518</v>
      </c>
      <c r="AA94" s="763">
        <v>-2720</v>
      </c>
      <c r="AB94" s="763">
        <v>-2708</v>
      </c>
      <c r="AC94" s="763">
        <v>-2828</v>
      </c>
      <c r="AD94" s="37">
        <f>AE94-SUM(AA94,AB94,AC94)</f>
        <v>-3215</v>
      </c>
      <c r="AE94" s="827">
        <v>-11471</v>
      </c>
      <c r="AF94" s="763">
        <v>-3215</v>
      </c>
      <c r="AG94" s="763">
        <v>-3421</v>
      </c>
      <c r="AH94" s="763">
        <v>-4045</v>
      </c>
      <c r="AI94" s="37">
        <f>AJ94-SUM(AF94,AG94,AH94)</f>
        <v>-2998</v>
      </c>
      <c r="AJ94" s="827">
        <v>-13679</v>
      </c>
      <c r="AK94" s="763">
        <v>-3292</v>
      </c>
      <c r="AL94" s="763">
        <v>-3104</v>
      </c>
      <c r="AM94" s="763">
        <v>-3015</v>
      </c>
      <c r="AN94" s="37">
        <f>AO94-SUM(AK94,AL94,AM94)</f>
        <v>-2924</v>
      </c>
      <c r="AO94" s="827">
        <v>-12335</v>
      </c>
      <c r="AP94" s="763">
        <v>-2541</v>
      </c>
      <c r="AQ94" s="763">
        <v>-1021</v>
      </c>
      <c r="AR94" s="763">
        <v>-1661</v>
      </c>
      <c r="AS94" s="37">
        <f>AT94-SUM(AP94,AQ94,AR94)</f>
        <v>-1779</v>
      </c>
      <c r="AT94" s="827">
        <v>-7002</v>
      </c>
      <c r="AU94" s="763">
        <v>-2375</v>
      </c>
      <c r="AV94" s="763">
        <v>-2761</v>
      </c>
      <c r="AW94" s="763">
        <v>-3141</v>
      </c>
      <c r="AX94" s="37">
        <f>AY94-SUM(AU94,AV94,AW94)</f>
        <v>-2717</v>
      </c>
      <c r="AY94" s="827">
        <v>-10994</v>
      </c>
      <c r="AZ94" s="763">
        <v>-3649</v>
      </c>
      <c r="BA94" s="763">
        <v>-4138</v>
      </c>
      <c r="BB94" s="763">
        <v>-3102</v>
      </c>
      <c r="BC94" s="37">
        <f>BD94-SUM(AZ94,BA94,BB94)</f>
        <v>-2926</v>
      </c>
      <c r="BD94" s="827">
        <v>-13815</v>
      </c>
      <c r="BE94" s="763">
        <v>-2606</v>
      </c>
      <c r="BF94" s="763">
        <v>-2419</v>
      </c>
      <c r="BG94" s="763">
        <v>-3256</v>
      </c>
      <c r="BH94" s="22">
        <f>BI94-SUM(BE94,BF94,BG94)</f>
        <v>-3590</v>
      </c>
      <c r="BI94" s="828">
        <v>-11871</v>
      </c>
      <c r="BJ94" s="763">
        <v>-2925</v>
      </c>
      <c r="BK94" s="763">
        <v>-3072</v>
      </c>
      <c r="BL94" s="763">
        <v>-2745</v>
      </c>
      <c r="BM94" s="22">
        <f>BN94-SUM(BJ94,BK94,BL94)</f>
        <v>-2516</v>
      </c>
      <c r="BN94" s="828">
        <v>-11258</v>
      </c>
      <c r="BO94" s="763">
        <v>-1953</v>
      </c>
      <c r="BP94" s="763">
        <v>-2178</v>
      </c>
      <c r="BQ94" s="763">
        <v>-2576</v>
      </c>
      <c r="BR94" s="22">
        <f>BS94-SUM(BO94,BP94,BQ94)</f>
        <v>-2310</v>
      </c>
      <c r="BS94" s="828">
        <v>-9017</v>
      </c>
      <c r="BT94" s="764">
        <v>-4921</v>
      </c>
      <c r="BU94" s="763">
        <v>-2000</v>
      </c>
      <c r="BV94" s="763">
        <v>-3000</v>
      </c>
      <c r="BW94" s="763">
        <v>-2000</v>
      </c>
      <c r="BX94" s="821">
        <f>SUM(BT94,BU94,BV94,BW94)</f>
        <v>-11921</v>
      </c>
      <c r="BY94" s="763">
        <v>-3000</v>
      </c>
      <c r="BZ94" s="763">
        <v>-3000</v>
      </c>
      <c r="CA94" s="763">
        <v>-3000</v>
      </c>
      <c r="CB94" s="763">
        <v>-3000</v>
      </c>
      <c r="CC94" s="821">
        <f>SUM(BY94,BZ94,CA94,CB94)</f>
        <v>-12000</v>
      </c>
      <c r="CD94" s="827">
        <v>-12000</v>
      </c>
      <c r="CE94" s="827">
        <v>-12000</v>
      </c>
      <c r="CF94" s="827">
        <v>-12000</v>
      </c>
      <c r="CG94" s="22"/>
    </row>
    <row r="95" spans="1:85" s="429" customFormat="1" hidden="1" outlineLevel="1" x14ac:dyDescent="0.3">
      <c r="A95" s="42" t="s">
        <v>81</v>
      </c>
      <c r="B95" s="90"/>
      <c r="C95" s="823">
        <f t="shared" ref="C95:AH95" si="281">SUM(C92:C94)</f>
        <v>22688</v>
      </c>
      <c r="D95" s="823">
        <f t="shared" si="281"/>
        <v>27616</v>
      </c>
      <c r="E95" s="823">
        <f t="shared" si="281"/>
        <v>29709</v>
      </c>
      <c r="F95" s="823">
        <f t="shared" si="281"/>
        <v>25875</v>
      </c>
      <c r="G95" s="393">
        <f t="shared" si="281"/>
        <v>6628</v>
      </c>
      <c r="H95" s="393">
        <f t="shared" si="281"/>
        <v>6493</v>
      </c>
      <c r="I95" s="393">
        <f t="shared" si="281"/>
        <v>6275</v>
      </c>
      <c r="J95" s="393">
        <f t="shared" si="281"/>
        <v>6263</v>
      </c>
      <c r="K95" s="823">
        <f t="shared" si="281"/>
        <v>25659</v>
      </c>
      <c r="L95" s="393">
        <f t="shared" si="281"/>
        <v>8932</v>
      </c>
      <c r="M95" s="393">
        <f t="shared" si="281"/>
        <v>8562</v>
      </c>
      <c r="N95" s="393">
        <f t="shared" si="281"/>
        <v>7316</v>
      </c>
      <c r="O95" s="393">
        <f t="shared" si="281"/>
        <v>6453</v>
      </c>
      <c r="P95" s="823">
        <f t="shared" si="281"/>
        <v>31263</v>
      </c>
      <c r="Q95" s="393">
        <f t="shared" si="281"/>
        <v>5461</v>
      </c>
      <c r="R95" s="393">
        <f t="shared" si="281"/>
        <v>5107</v>
      </c>
      <c r="S95" s="393">
        <f t="shared" si="281"/>
        <v>4808</v>
      </c>
      <c r="T95" s="393">
        <f t="shared" si="281"/>
        <v>4328</v>
      </c>
      <c r="U95" s="823">
        <f t="shared" si="281"/>
        <v>19704</v>
      </c>
      <c r="V95" s="393">
        <f t="shared" si="281"/>
        <v>3833</v>
      </c>
      <c r="W95" s="393">
        <f t="shared" si="281"/>
        <v>3756</v>
      </c>
      <c r="X95" s="393">
        <f t="shared" si="281"/>
        <v>4053</v>
      </c>
      <c r="Y95" s="393">
        <f t="shared" si="281"/>
        <v>4768</v>
      </c>
      <c r="Z95" s="823">
        <f t="shared" si="281"/>
        <v>16410</v>
      </c>
      <c r="AA95" s="393">
        <f t="shared" si="281"/>
        <v>4860</v>
      </c>
      <c r="AB95" s="393">
        <f t="shared" si="281"/>
        <v>5081</v>
      </c>
      <c r="AC95" s="393">
        <f t="shared" si="281"/>
        <v>5310</v>
      </c>
      <c r="AD95" s="393">
        <f t="shared" si="281"/>
        <v>5859</v>
      </c>
      <c r="AE95" s="823">
        <f t="shared" si="281"/>
        <v>21110</v>
      </c>
      <c r="AF95" s="393">
        <f t="shared" si="281"/>
        <v>7261</v>
      </c>
      <c r="AG95" s="393">
        <f t="shared" si="281"/>
        <v>7318</v>
      </c>
      <c r="AH95" s="393">
        <f t="shared" si="281"/>
        <v>8774</v>
      </c>
      <c r="AI95" s="393">
        <f t="shared" ref="AI95:AQ95" si="282">SUM(AI92:AI94)</f>
        <v>9716</v>
      </c>
      <c r="AJ95" s="823">
        <f t="shared" si="282"/>
        <v>33069</v>
      </c>
      <c r="AK95" s="393">
        <f t="shared" si="282"/>
        <v>8440</v>
      </c>
      <c r="AL95" s="393">
        <f t="shared" si="282"/>
        <v>7935</v>
      </c>
      <c r="AM95" s="393">
        <f t="shared" si="282"/>
        <v>7508</v>
      </c>
      <c r="AN95" s="393">
        <f t="shared" si="282"/>
        <v>7824</v>
      </c>
      <c r="AO95" s="823">
        <f t="shared" si="282"/>
        <v>31707</v>
      </c>
      <c r="AP95" s="393">
        <f t="shared" si="282"/>
        <v>8126</v>
      </c>
      <c r="AQ95" s="393">
        <f t="shared" si="282"/>
        <v>4657</v>
      </c>
      <c r="AR95" s="393">
        <f>SUM(AR92:AR94)</f>
        <v>5701</v>
      </c>
      <c r="AS95" s="393">
        <f t="shared" ref="AS95" si="283">SUM(AS92:AS94)</f>
        <v>7827</v>
      </c>
      <c r="AT95" s="823">
        <f t="shared" ref="AT95:AU95" si="284">SUM(AT92:AT94)</f>
        <v>26311</v>
      </c>
      <c r="AU95" s="393">
        <f t="shared" si="284"/>
        <v>9351</v>
      </c>
      <c r="AV95" s="393">
        <f t="shared" ref="AV95:BA95" si="285">SUM(AV92:AV94)</f>
        <v>9533</v>
      </c>
      <c r="AW95" s="393">
        <f t="shared" si="285"/>
        <v>11975</v>
      </c>
      <c r="AX95" s="393">
        <f t="shared" si="285"/>
        <v>13133</v>
      </c>
      <c r="AY95" s="823">
        <f t="shared" si="285"/>
        <v>43992</v>
      </c>
      <c r="AZ95" s="393">
        <f t="shared" si="285"/>
        <v>14250</v>
      </c>
      <c r="BA95" s="394">
        <f t="shared" si="285"/>
        <v>15849</v>
      </c>
      <c r="BB95" s="393">
        <f t="shared" ref="BB95:BD95" si="286">SUM(BB92:BB94)</f>
        <v>18229</v>
      </c>
      <c r="BC95" s="393">
        <f t="shared" si="286"/>
        <v>14965</v>
      </c>
      <c r="BD95" s="823">
        <f t="shared" si="286"/>
        <v>63293</v>
      </c>
      <c r="BE95" s="393">
        <f>SUM(BE92:BE94)</f>
        <v>12311</v>
      </c>
      <c r="BF95" s="394">
        <f t="shared" ref="BF95:BI95" si="287">SUM(BF92:BF94)</f>
        <v>10145</v>
      </c>
      <c r="BG95" s="394">
        <f t="shared" si="287"/>
        <v>10858</v>
      </c>
      <c r="BH95" s="394">
        <f t="shared" si="287"/>
        <v>12428</v>
      </c>
      <c r="BI95" s="826">
        <f t="shared" si="287"/>
        <v>45742</v>
      </c>
      <c r="BJ95" s="394">
        <f t="shared" ref="BJ95:BX95" si="288">SUM(BJ92:BJ94)</f>
        <v>11436</v>
      </c>
      <c r="BK95" s="394">
        <f t="shared" si="288"/>
        <v>10546</v>
      </c>
      <c r="BL95" s="394">
        <f t="shared" si="288"/>
        <v>11883</v>
      </c>
      <c r="BM95" s="394">
        <f t="shared" si="288"/>
        <v>12983</v>
      </c>
      <c r="BN95" s="826">
        <f t="shared" si="288"/>
        <v>46848</v>
      </c>
      <c r="BO95" s="394">
        <f t="shared" ref="BO95:BW95" si="289">SUM(BO92:BO94)</f>
        <v>12421</v>
      </c>
      <c r="BP95" s="394">
        <f t="shared" si="289"/>
        <v>11068</v>
      </c>
      <c r="BQ95" s="394">
        <f t="shared" si="289"/>
        <v>15165</v>
      </c>
      <c r="BR95" s="394">
        <f t="shared" si="289"/>
        <v>14798</v>
      </c>
      <c r="BS95" s="826">
        <f t="shared" si="289"/>
        <v>53452</v>
      </c>
      <c r="BT95" s="640">
        <f>SUM(BT92:BT94)</f>
        <v>13179</v>
      </c>
      <c r="BU95" s="393">
        <f t="shared" si="289"/>
        <v>20860.125</v>
      </c>
      <c r="BV95" s="393">
        <f t="shared" si="289"/>
        <v>18227.78</v>
      </c>
      <c r="BW95" s="393">
        <f t="shared" si="289"/>
        <v>17820.829999999998</v>
      </c>
      <c r="BX95" s="823">
        <f t="shared" si="288"/>
        <v>70087.735000000001</v>
      </c>
      <c r="BY95" s="393">
        <f t="shared" ref="BY95:CF95" si="290">SUM(BY92:BY94)</f>
        <v>15224.25</v>
      </c>
      <c r="BZ95" s="393">
        <f t="shared" si="290"/>
        <v>13830.283000000003</v>
      </c>
      <c r="CA95" s="393">
        <f t="shared" si="290"/>
        <v>14098.091999999997</v>
      </c>
      <c r="CB95" s="393">
        <f t="shared" si="290"/>
        <v>14449.464</v>
      </c>
      <c r="CC95" s="823">
        <f t="shared" si="290"/>
        <v>57602.089000000007</v>
      </c>
      <c r="CD95" s="823">
        <f t="shared" si="290"/>
        <v>50948.760000000009</v>
      </c>
      <c r="CE95" s="823">
        <f t="shared" si="290"/>
        <v>49764.214999999997</v>
      </c>
      <c r="CF95" s="823">
        <f t="shared" si="290"/>
        <v>47954.919999999984</v>
      </c>
      <c r="CG95" s="26"/>
    </row>
    <row r="96" spans="1:85" s="429" customFormat="1" hidden="1" outlineLevel="1" x14ac:dyDescent="0.3">
      <c r="A96" s="48"/>
      <c r="B96" s="63"/>
      <c r="C96" s="825"/>
      <c r="D96" s="825"/>
      <c r="E96" s="825"/>
      <c r="F96" s="825"/>
      <c r="G96" s="31"/>
      <c r="H96" s="31"/>
      <c r="I96" s="31"/>
      <c r="J96" s="31"/>
      <c r="K96" s="825"/>
      <c r="L96" s="31"/>
      <c r="M96" s="31"/>
      <c r="N96" s="31"/>
      <c r="O96" s="31"/>
      <c r="P96" s="825"/>
      <c r="Q96" s="31"/>
      <c r="R96" s="31"/>
      <c r="S96" s="31"/>
      <c r="T96" s="31"/>
      <c r="U96" s="825"/>
      <c r="V96" s="31"/>
      <c r="W96" s="31"/>
      <c r="X96" s="31"/>
      <c r="Y96" s="31"/>
      <c r="Z96" s="825"/>
      <c r="AA96" s="31"/>
      <c r="AB96" s="31"/>
      <c r="AC96" s="31"/>
      <c r="AD96" s="31"/>
      <c r="AE96" s="825"/>
      <c r="AF96" s="31"/>
      <c r="AG96" s="31"/>
      <c r="AH96" s="31"/>
      <c r="AI96" s="31"/>
      <c r="AJ96" s="825"/>
      <c r="AK96" s="31"/>
      <c r="AL96" s="31"/>
      <c r="AM96" s="31"/>
      <c r="AN96" s="31"/>
      <c r="AO96" s="825"/>
      <c r="AP96" s="31"/>
      <c r="AQ96" s="31"/>
      <c r="AR96" s="31"/>
      <c r="AS96" s="31"/>
      <c r="AT96" s="825"/>
      <c r="AU96" s="31"/>
      <c r="AV96" s="31"/>
      <c r="AW96" s="31"/>
      <c r="AX96" s="31"/>
      <c r="AY96" s="825"/>
      <c r="AZ96" s="31"/>
      <c r="BA96" s="31"/>
      <c r="BB96" s="31"/>
      <c r="BC96" s="31"/>
      <c r="BD96" s="825"/>
      <c r="BE96" s="31"/>
      <c r="BF96" s="31"/>
      <c r="BG96" s="31"/>
      <c r="BH96" s="31"/>
      <c r="BI96" s="825"/>
      <c r="BJ96" s="31"/>
      <c r="BK96" s="31"/>
      <c r="BL96" s="31"/>
      <c r="BM96" s="31"/>
      <c r="BN96" s="825"/>
      <c r="BO96" s="31"/>
      <c r="BP96" s="31"/>
      <c r="BQ96" s="31"/>
      <c r="BR96" s="31"/>
      <c r="BS96" s="825"/>
      <c r="BT96" s="379"/>
      <c r="BU96" s="31"/>
      <c r="BV96" s="31"/>
      <c r="BW96" s="31"/>
      <c r="BX96" s="825"/>
      <c r="BY96" s="31"/>
      <c r="BZ96" s="31"/>
      <c r="CA96" s="31"/>
      <c r="CB96" s="31"/>
      <c r="CC96" s="825"/>
      <c r="CD96" s="825"/>
      <c r="CE96" s="825"/>
      <c r="CF96" s="825"/>
      <c r="CG96" s="26"/>
    </row>
    <row r="97" spans="1:85" s="428" customFormat="1" hidden="1" outlineLevel="1" x14ac:dyDescent="0.3">
      <c r="A97" s="40" t="s">
        <v>636</v>
      </c>
      <c r="B97" s="64"/>
      <c r="C97" s="827">
        <v>2262</v>
      </c>
      <c r="D97" s="827">
        <v>4122</v>
      </c>
      <c r="E97" s="827">
        <v>6512</v>
      </c>
      <c r="F97" s="827">
        <v>5332</v>
      </c>
      <c r="G97" s="763">
        <v>1132</v>
      </c>
      <c r="H97" s="763">
        <v>1083</v>
      </c>
      <c r="I97" s="763">
        <v>1026</v>
      </c>
      <c r="J97" s="763">
        <v>803</v>
      </c>
      <c r="K97" s="827">
        <v>4044</v>
      </c>
      <c r="L97" s="763">
        <v>912</v>
      </c>
      <c r="M97" s="763">
        <v>1054</v>
      </c>
      <c r="N97" s="763">
        <v>929</v>
      </c>
      <c r="O97" s="763">
        <v>432</v>
      </c>
      <c r="P97" s="827">
        <v>3327</v>
      </c>
      <c r="Q97" s="763">
        <v>-460</v>
      </c>
      <c r="R97" s="763">
        <v>-1038</v>
      </c>
      <c r="S97" s="763">
        <v>-603</v>
      </c>
      <c r="T97" s="763">
        <v>-1954</v>
      </c>
      <c r="U97" s="827">
        <v>-4055</v>
      </c>
      <c r="V97" s="763">
        <v>-850</v>
      </c>
      <c r="W97" s="763">
        <v>-1113</v>
      </c>
      <c r="X97" s="763">
        <v>-212</v>
      </c>
      <c r="Y97" s="763">
        <v>121</v>
      </c>
      <c r="Z97" s="827">
        <v>-2054</v>
      </c>
      <c r="AA97" s="763">
        <v>80</v>
      </c>
      <c r="AB97" s="763">
        <v>-102</v>
      </c>
      <c r="AC97" s="763">
        <v>-26</v>
      </c>
      <c r="AD97" s="763">
        <v>3688</v>
      </c>
      <c r="AE97" s="827">
        <v>3640</v>
      </c>
      <c r="AF97" s="763">
        <v>648</v>
      </c>
      <c r="AG97" s="763">
        <v>838</v>
      </c>
      <c r="AH97" s="763">
        <v>828</v>
      </c>
      <c r="AI97" s="763">
        <v>964</v>
      </c>
      <c r="AJ97" s="827">
        <v>3278</v>
      </c>
      <c r="AK97" s="763">
        <v>748</v>
      </c>
      <c r="AL97" s="763">
        <v>896</v>
      </c>
      <c r="AM97" s="763">
        <v>727</v>
      </c>
      <c r="AN97" s="763">
        <v>-7465</v>
      </c>
      <c r="AO97" s="827">
        <v>-5094</v>
      </c>
      <c r="AP97" s="763">
        <v>241</v>
      </c>
      <c r="AQ97" s="763">
        <v>-2066</v>
      </c>
      <c r="AR97" s="763">
        <v>116</v>
      </c>
      <c r="AS97" s="763">
        <v>101</v>
      </c>
      <c r="AT97" s="827">
        <v>-1608</v>
      </c>
      <c r="AU97" s="763">
        <v>941</v>
      </c>
      <c r="AV97" s="763">
        <v>1446</v>
      </c>
      <c r="AW97" s="763">
        <v>1962</v>
      </c>
      <c r="AX97" s="763">
        <v>2970</v>
      </c>
      <c r="AY97" s="827">
        <v>7319</v>
      </c>
      <c r="AZ97" s="763">
        <v>3238</v>
      </c>
      <c r="BA97" s="763">
        <v>3367</v>
      </c>
      <c r="BB97" s="763">
        <v>3398</v>
      </c>
      <c r="BC97" s="763">
        <v>2618</v>
      </c>
      <c r="BD97" s="827">
        <v>12621</v>
      </c>
      <c r="BE97" s="763">
        <v>1781</v>
      </c>
      <c r="BF97" s="763">
        <v>1640</v>
      </c>
      <c r="BG97" s="763">
        <v>2074</v>
      </c>
      <c r="BH97" s="763">
        <v>-1347</v>
      </c>
      <c r="BI97" s="827">
        <v>4148</v>
      </c>
      <c r="BJ97" s="763">
        <v>2075</v>
      </c>
      <c r="BK97" s="763">
        <v>2161</v>
      </c>
      <c r="BL97" s="763">
        <v>1946</v>
      </c>
      <c r="BM97" s="763">
        <v>1420</v>
      </c>
      <c r="BN97" s="827">
        <v>7602</v>
      </c>
      <c r="BO97" s="763">
        <v>1858</v>
      </c>
      <c r="BP97" s="763">
        <v>1418</v>
      </c>
      <c r="BQ97" s="763">
        <v>1282</v>
      </c>
      <c r="BR97" s="763">
        <v>1258</v>
      </c>
      <c r="BS97" s="827">
        <v>5815</v>
      </c>
      <c r="BT97" s="764">
        <v>2112</v>
      </c>
      <c r="BU97" s="37"/>
      <c r="BV97" s="37"/>
      <c r="BW97" s="37"/>
      <c r="BX97" s="821"/>
      <c r="BY97" s="37"/>
      <c r="BZ97" s="37"/>
      <c r="CA97" s="37"/>
      <c r="CB97" s="37"/>
      <c r="CC97" s="821"/>
      <c r="CD97" s="821"/>
      <c r="CE97" s="821"/>
      <c r="CF97" s="821"/>
      <c r="CG97" s="22"/>
    </row>
    <row r="98" spans="1:85" s="428" customFormat="1" hidden="1" outlineLevel="1" x14ac:dyDescent="0.3">
      <c r="A98" s="40" t="s">
        <v>637</v>
      </c>
      <c r="B98" s="64"/>
      <c r="C98" s="827">
        <v>8670</v>
      </c>
      <c r="D98" s="827">
        <v>13555</v>
      </c>
      <c r="E98" s="827">
        <v>18274</v>
      </c>
      <c r="F98" s="827">
        <v>18456</v>
      </c>
      <c r="G98" s="763">
        <v>4784</v>
      </c>
      <c r="H98" s="763">
        <v>3866</v>
      </c>
      <c r="I98" s="763">
        <v>4066</v>
      </c>
      <c r="J98" s="763">
        <v>4049</v>
      </c>
      <c r="K98" s="827">
        <v>16765</v>
      </c>
      <c r="L98" s="763">
        <v>3395</v>
      </c>
      <c r="M98" s="763">
        <v>4210</v>
      </c>
      <c r="N98" s="763">
        <v>3720</v>
      </c>
      <c r="O98" s="763">
        <v>2241</v>
      </c>
      <c r="P98" s="827">
        <v>13566</v>
      </c>
      <c r="Q98" s="763">
        <v>2020</v>
      </c>
      <c r="R98" s="763">
        <v>-1181</v>
      </c>
      <c r="S98" s="763">
        <v>662</v>
      </c>
      <c r="T98" s="763">
        <v>593</v>
      </c>
      <c r="U98" s="827">
        <v>2094</v>
      </c>
      <c r="V98" s="763">
        <v>-609</v>
      </c>
      <c r="W98" s="763">
        <v>-1349</v>
      </c>
      <c r="X98" s="763">
        <v>666</v>
      </c>
      <c r="Y98" s="763">
        <v>809</v>
      </c>
      <c r="Z98" s="827">
        <v>-483</v>
      </c>
      <c r="AA98" s="763">
        <v>1437</v>
      </c>
      <c r="AB98" s="763">
        <v>955</v>
      </c>
      <c r="AC98" s="763">
        <v>515</v>
      </c>
      <c r="AD98" s="763">
        <v>1603</v>
      </c>
      <c r="AE98" s="827">
        <v>4510</v>
      </c>
      <c r="AF98" s="763">
        <v>2704</v>
      </c>
      <c r="AG98" s="763">
        <v>2457</v>
      </c>
      <c r="AH98" s="763">
        <v>2551</v>
      </c>
      <c r="AI98" s="763">
        <v>2326</v>
      </c>
      <c r="AJ98" s="827">
        <v>10038</v>
      </c>
      <c r="AK98" s="763">
        <v>2375</v>
      </c>
      <c r="AL98" s="763">
        <v>2587</v>
      </c>
      <c r="AM98" s="763">
        <v>1977</v>
      </c>
      <c r="AN98" s="763">
        <v>731</v>
      </c>
      <c r="AO98" s="827">
        <v>7670</v>
      </c>
      <c r="AP98" s="763">
        <v>2679</v>
      </c>
      <c r="AQ98" s="763">
        <v>-4023</v>
      </c>
      <c r="AR98" s="763">
        <v>119</v>
      </c>
      <c r="AS98" s="763">
        <v>400</v>
      </c>
      <c r="AT98" s="827">
        <v>-825</v>
      </c>
      <c r="AU98" s="763">
        <v>1409</v>
      </c>
      <c r="AV98" s="763">
        <v>1732</v>
      </c>
      <c r="AW98" s="763">
        <v>3173</v>
      </c>
      <c r="AX98" s="763">
        <v>2185</v>
      </c>
      <c r="AY98" s="827">
        <v>8499</v>
      </c>
      <c r="AZ98" s="763">
        <v>3696</v>
      </c>
      <c r="BA98" s="763">
        <v>5191</v>
      </c>
      <c r="BB98" s="763">
        <v>5909</v>
      </c>
      <c r="BC98" s="763">
        <v>2867</v>
      </c>
      <c r="BD98" s="827">
        <v>17663</v>
      </c>
      <c r="BE98" s="763">
        <v>3380</v>
      </c>
      <c r="BF98" s="763">
        <v>3296</v>
      </c>
      <c r="BG98" s="763">
        <v>3681</v>
      </c>
      <c r="BH98" s="765">
        <v>2933</v>
      </c>
      <c r="BI98" s="828">
        <v>13290</v>
      </c>
      <c r="BJ98" s="763">
        <v>3164</v>
      </c>
      <c r="BK98" s="763">
        <v>2309</v>
      </c>
      <c r="BL98" s="763">
        <v>2643</v>
      </c>
      <c r="BM98" s="765">
        <v>2884</v>
      </c>
      <c r="BN98" s="828">
        <v>11000</v>
      </c>
      <c r="BO98" s="763">
        <v>1900</v>
      </c>
      <c r="BP98" s="763">
        <v>1309</v>
      </c>
      <c r="BQ98" s="763">
        <v>2020</v>
      </c>
      <c r="BR98" s="765">
        <v>1777</v>
      </c>
      <c r="BS98" s="828">
        <v>7007</v>
      </c>
      <c r="BT98" s="764">
        <v>1797</v>
      </c>
      <c r="BU98" s="37"/>
      <c r="BV98" s="37"/>
      <c r="BW98" s="37"/>
      <c r="BX98" s="821"/>
      <c r="BY98" s="37"/>
      <c r="BZ98" s="37"/>
      <c r="CA98" s="37"/>
      <c r="CB98" s="37"/>
      <c r="CC98" s="821"/>
      <c r="CD98" s="821"/>
      <c r="CE98" s="821"/>
      <c r="CF98" s="821"/>
      <c r="CG98" s="22"/>
    </row>
    <row r="99" spans="1:85" s="429" customFormat="1" hidden="1" outlineLevel="1" x14ac:dyDescent="0.3">
      <c r="A99" s="41" t="s">
        <v>638</v>
      </c>
      <c r="B99" s="90"/>
      <c r="C99" s="829">
        <v>10932</v>
      </c>
      <c r="D99" s="829">
        <v>17677</v>
      </c>
      <c r="E99" s="829">
        <v>24786</v>
      </c>
      <c r="F99" s="829">
        <v>23788</v>
      </c>
      <c r="G99" s="767">
        <v>5916</v>
      </c>
      <c r="H99" s="767">
        <v>4949</v>
      </c>
      <c r="I99" s="767">
        <v>5092</v>
      </c>
      <c r="J99" s="767">
        <v>4852</v>
      </c>
      <c r="K99" s="829">
        <v>20809</v>
      </c>
      <c r="L99" s="767">
        <v>4307</v>
      </c>
      <c r="M99" s="767">
        <v>5264</v>
      </c>
      <c r="N99" s="767">
        <v>4649</v>
      </c>
      <c r="O99" s="767">
        <v>2673</v>
      </c>
      <c r="P99" s="829">
        <v>16893</v>
      </c>
      <c r="Q99" s="767">
        <v>1560</v>
      </c>
      <c r="R99" s="767">
        <v>-2219</v>
      </c>
      <c r="S99" s="767">
        <v>59</v>
      </c>
      <c r="T99" s="767">
        <v>-1361</v>
      </c>
      <c r="U99" s="829">
        <v>-1961</v>
      </c>
      <c r="V99" s="767">
        <v>-1459</v>
      </c>
      <c r="W99" s="767">
        <v>-2462</v>
      </c>
      <c r="X99" s="767">
        <v>454</v>
      </c>
      <c r="Y99" s="767">
        <v>930</v>
      </c>
      <c r="Z99" s="829">
        <v>-2537</v>
      </c>
      <c r="AA99" s="767">
        <v>1517</v>
      </c>
      <c r="AB99" s="767">
        <v>853</v>
      </c>
      <c r="AC99" s="767">
        <v>489</v>
      </c>
      <c r="AD99" s="394">
        <f t="shared" ref="AD99:AR99" si="291">SUM(AD97:AD98)</f>
        <v>5291</v>
      </c>
      <c r="AE99" s="824">
        <f t="shared" si="291"/>
        <v>8150</v>
      </c>
      <c r="AF99" s="394">
        <f t="shared" si="291"/>
        <v>3352</v>
      </c>
      <c r="AG99" s="394">
        <f t="shared" si="291"/>
        <v>3295</v>
      </c>
      <c r="AH99" s="394">
        <f t="shared" si="291"/>
        <v>3379</v>
      </c>
      <c r="AI99" s="394">
        <f t="shared" si="291"/>
        <v>3290</v>
      </c>
      <c r="AJ99" s="824">
        <f t="shared" si="291"/>
        <v>13316</v>
      </c>
      <c r="AK99" s="394">
        <f t="shared" si="291"/>
        <v>3123</v>
      </c>
      <c r="AL99" s="394">
        <f t="shared" si="291"/>
        <v>3483</v>
      </c>
      <c r="AM99" s="394">
        <f t="shared" si="291"/>
        <v>2704</v>
      </c>
      <c r="AN99" s="394">
        <f t="shared" si="291"/>
        <v>-6734</v>
      </c>
      <c r="AO99" s="824">
        <f t="shared" si="291"/>
        <v>2576</v>
      </c>
      <c r="AP99" s="394">
        <f t="shared" si="291"/>
        <v>2920</v>
      </c>
      <c r="AQ99" s="394">
        <f t="shared" si="291"/>
        <v>-6089</v>
      </c>
      <c r="AR99" s="394">
        <f t="shared" si="291"/>
        <v>235</v>
      </c>
      <c r="AS99" s="394">
        <f t="shared" ref="AS99:AU99" si="292">SUM(AS97:AS98)</f>
        <v>501</v>
      </c>
      <c r="AT99" s="824">
        <f t="shared" si="292"/>
        <v>-2433</v>
      </c>
      <c r="AU99" s="394">
        <f t="shared" si="292"/>
        <v>2350</v>
      </c>
      <c r="AV99" s="394">
        <f t="shared" ref="AV99:BA99" si="293">SUM(AV97:AV98)</f>
        <v>3178</v>
      </c>
      <c r="AW99" s="394">
        <f t="shared" si="293"/>
        <v>5135</v>
      </c>
      <c r="AX99" s="394">
        <f t="shared" si="293"/>
        <v>5155</v>
      </c>
      <c r="AY99" s="824">
        <f t="shared" si="293"/>
        <v>15818</v>
      </c>
      <c r="AZ99" s="394">
        <f t="shared" si="293"/>
        <v>6934</v>
      </c>
      <c r="BA99" s="394">
        <f t="shared" si="293"/>
        <v>8558</v>
      </c>
      <c r="BB99" s="394">
        <f t="shared" ref="BB99:BG99" si="294">SUM(BB97:BB98)</f>
        <v>9307</v>
      </c>
      <c r="BC99" s="394">
        <f t="shared" si="294"/>
        <v>5485</v>
      </c>
      <c r="BD99" s="824">
        <f t="shared" si="294"/>
        <v>30284</v>
      </c>
      <c r="BE99" s="394">
        <f t="shared" si="294"/>
        <v>5161</v>
      </c>
      <c r="BF99" s="394">
        <f t="shared" si="294"/>
        <v>4936</v>
      </c>
      <c r="BG99" s="394">
        <f t="shared" si="294"/>
        <v>5755</v>
      </c>
      <c r="BH99" s="26">
        <f t="shared" ref="BH99:BN99" si="295">SUM(BH97:BH98)</f>
        <v>1586</v>
      </c>
      <c r="BI99" s="826">
        <f t="shared" si="295"/>
        <v>17438</v>
      </c>
      <c r="BJ99" s="394">
        <f t="shared" si="295"/>
        <v>5239</v>
      </c>
      <c r="BK99" s="394">
        <f t="shared" si="295"/>
        <v>4470</v>
      </c>
      <c r="BL99" s="394">
        <f t="shared" si="295"/>
        <v>4589</v>
      </c>
      <c r="BM99" s="26">
        <f t="shared" si="295"/>
        <v>4304</v>
      </c>
      <c r="BN99" s="826">
        <f t="shared" si="295"/>
        <v>18602</v>
      </c>
      <c r="BO99" s="394">
        <f t="shared" ref="BO99:BT99" si="296">SUM(BO97:BO98)</f>
        <v>3758</v>
      </c>
      <c r="BP99" s="394">
        <f t="shared" si="296"/>
        <v>2727</v>
      </c>
      <c r="BQ99" s="394">
        <f t="shared" si="296"/>
        <v>3302</v>
      </c>
      <c r="BR99" s="26">
        <f t="shared" si="296"/>
        <v>3035</v>
      </c>
      <c r="BS99" s="826">
        <f t="shared" si="296"/>
        <v>12822</v>
      </c>
      <c r="BT99" s="640">
        <f t="shared" si="296"/>
        <v>3909</v>
      </c>
      <c r="BU99" s="393"/>
      <c r="BV99" s="393"/>
      <c r="BW99" s="393"/>
      <c r="BX99" s="823"/>
      <c r="BY99" s="393"/>
      <c r="BZ99" s="393"/>
      <c r="CA99" s="393"/>
      <c r="CB99" s="393"/>
      <c r="CC99" s="823"/>
      <c r="CD99" s="823"/>
      <c r="CE99" s="823"/>
      <c r="CF99" s="823"/>
      <c r="CG99" s="26"/>
    </row>
    <row r="100" spans="1:85" s="429" customFormat="1" hidden="1" outlineLevel="1" x14ac:dyDescent="0.3">
      <c r="A100" s="48"/>
      <c r="B100" s="63"/>
      <c r="C100" s="825"/>
      <c r="D100" s="825"/>
      <c r="E100" s="825"/>
      <c r="F100" s="825"/>
      <c r="G100" s="31"/>
      <c r="H100" s="31"/>
      <c r="I100" s="31"/>
      <c r="J100" s="31"/>
      <c r="K100" s="825"/>
      <c r="L100" s="31"/>
      <c r="M100" s="31"/>
      <c r="N100" s="31"/>
      <c r="O100" s="31"/>
      <c r="P100" s="825"/>
      <c r="Q100" s="31"/>
      <c r="R100" s="31"/>
      <c r="S100" s="31"/>
      <c r="T100" s="31"/>
      <c r="U100" s="825"/>
      <c r="V100" s="31"/>
      <c r="W100" s="31"/>
      <c r="X100" s="31"/>
      <c r="Y100" s="31"/>
      <c r="Z100" s="825"/>
      <c r="AA100" s="31"/>
      <c r="AB100" s="31"/>
      <c r="AC100" s="31"/>
      <c r="AD100" s="31"/>
      <c r="AE100" s="825"/>
      <c r="AF100" s="31"/>
      <c r="AG100" s="31"/>
      <c r="AH100" s="31"/>
      <c r="AI100" s="31"/>
      <c r="AJ100" s="825"/>
      <c r="AK100" s="31"/>
      <c r="AL100" s="31"/>
      <c r="AM100" s="31"/>
      <c r="AN100" s="31"/>
      <c r="AO100" s="825"/>
      <c r="AP100" s="31"/>
      <c r="AQ100" s="31"/>
      <c r="AR100" s="31"/>
      <c r="AS100" s="31"/>
      <c r="AT100" s="825"/>
      <c r="AU100" s="31"/>
      <c r="AV100" s="31"/>
      <c r="AW100" s="31"/>
      <c r="AX100" s="31"/>
      <c r="AY100" s="825"/>
      <c r="AZ100" s="31"/>
      <c r="BA100" s="31"/>
      <c r="BB100" s="31"/>
      <c r="BC100" s="31"/>
      <c r="BD100" s="825"/>
      <c r="BE100" s="31"/>
      <c r="BF100" s="31"/>
      <c r="BG100" s="31"/>
      <c r="BH100" s="31"/>
      <c r="BI100" s="825"/>
      <c r="BJ100" s="31"/>
      <c r="BK100" s="31"/>
      <c r="BL100" s="31"/>
      <c r="BM100" s="31"/>
      <c r="BN100" s="825"/>
      <c r="BO100" s="31"/>
      <c r="BP100" s="31"/>
      <c r="BQ100" s="31"/>
      <c r="BR100" s="31"/>
      <c r="BS100" s="825"/>
      <c r="BT100" s="379"/>
      <c r="BU100" s="31"/>
      <c r="BV100" s="31"/>
      <c r="BW100" s="31"/>
      <c r="BX100" s="825"/>
      <c r="BY100" s="31"/>
      <c r="BZ100" s="31"/>
      <c r="CA100" s="31"/>
      <c r="CB100" s="31"/>
      <c r="CC100" s="825"/>
      <c r="CD100" s="825"/>
      <c r="CE100" s="825"/>
      <c r="CF100" s="825"/>
      <c r="CG100" s="26"/>
    </row>
    <row r="101" spans="1:85" s="428" customFormat="1" hidden="1" outlineLevel="1" x14ac:dyDescent="0.3">
      <c r="A101" s="40" t="s">
        <v>639</v>
      </c>
      <c r="B101" s="64"/>
      <c r="C101" s="821"/>
      <c r="D101" s="821"/>
      <c r="E101" s="821"/>
      <c r="F101" s="821"/>
      <c r="G101" s="37"/>
      <c r="H101" s="37"/>
      <c r="I101" s="37"/>
      <c r="J101" s="37"/>
      <c r="K101" s="821"/>
      <c r="L101" s="37"/>
      <c r="M101" s="37"/>
      <c r="N101" s="37"/>
      <c r="O101" s="37"/>
      <c r="P101" s="821"/>
      <c r="Q101" s="37"/>
      <c r="R101" s="37"/>
      <c r="S101" s="37"/>
      <c r="T101" s="37"/>
      <c r="U101" s="821"/>
      <c r="V101" s="37"/>
      <c r="W101" s="37"/>
      <c r="X101" s="37"/>
      <c r="Y101" s="37"/>
      <c r="Z101" s="821"/>
      <c r="AA101" s="37"/>
      <c r="AB101" s="37"/>
      <c r="AC101" s="37"/>
      <c r="AD101" s="37"/>
      <c r="AE101" s="821"/>
      <c r="AF101" s="37"/>
      <c r="AG101" s="37"/>
      <c r="AH101" s="37"/>
      <c r="AI101" s="37"/>
      <c r="AJ101" s="821"/>
      <c r="AK101" s="22">
        <f t="shared" ref="AK101:AO101" si="297">AK435</f>
        <v>748</v>
      </c>
      <c r="AL101" s="22">
        <f t="shared" si="297"/>
        <v>896</v>
      </c>
      <c r="AM101" s="22">
        <f t="shared" si="297"/>
        <v>727</v>
      </c>
      <c r="AN101" s="22">
        <f t="shared" si="297"/>
        <v>705</v>
      </c>
      <c r="AO101" s="852">
        <f t="shared" si="297"/>
        <v>3076</v>
      </c>
      <c r="AP101" s="22">
        <f t="shared" ref="AP101:AU101" si="298">AP435</f>
        <v>241</v>
      </c>
      <c r="AQ101" s="22">
        <f t="shared" si="298"/>
        <v>-756</v>
      </c>
      <c r="AR101" s="22">
        <f t="shared" si="298"/>
        <v>116</v>
      </c>
      <c r="AS101" s="22">
        <f t="shared" si="298"/>
        <v>121</v>
      </c>
      <c r="AT101" s="852">
        <f t="shared" si="298"/>
        <v>-278</v>
      </c>
      <c r="AU101" s="22">
        <f t="shared" si="298"/>
        <v>941</v>
      </c>
      <c r="AV101" s="22">
        <f t="shared" ref="AV101:BA101" si="299">AV435</f>
        <v>1566</v>
      </c>
      <c r="AW101" s="22">
        <f t="shared" si="299"/>
        <v>1762</v>
      </c>
      <c r="AX101" s="22">
        <f t="shared" si="299"/>
        <v>2450</v>
      </c>
      <c r="AY101" s="852">
        <f t="shared" si="299"/>
        <v>6719</v>
      </c>
      <c r="AZ101" s="22">
        <f t="shared" si="299"/>
        <v>3238</v>
      </c>
      <c r="BA101" s="22">
        <f t="shared" si="299"/>
        <v>3967</v>
      </c>
      <c r="BB101" s="22">
        <f t="shared" ref="BB101:BG101" si="300">BB435</f>
        <v>3398</v>
      </c>
      <c r="BC101" s="22">
        <f t="shared" si="300"/>
        <v>2618</v>
      </c>
      <c r="BD101" s="852">
        <f t="shared" si="300"/>
        <v>13221</v>
      </c>
      <c r="BE101" s="22">
        <f t="shared" si="300"/>
        <v>1781</v>
      </c>
      <c r="BF101" s="22">
        <f t="shared" si="300"/>
        <v>1640</v>
      </c>
      <c r="BG101" s="22">
        <f t="shared" si="300"/>
        <v>2074</v>
      </c>
      <c r="BH101" s="22">
        <f t="shared" ref="BH101:BN101" si="301">BH435</f>
        <v>2368</v>
      </c>
      <c r="BI101" s="852">
        <f t="shared" si="301"/>
        <v>7863</v>
      </c>
      <c r="BJ101" s="22">
        <f t="shared" si="301"/>
        <v>2075</v>
      </c>
      <c r="BK101" s="22">
        <f t="shared" si="301"/>
        <v>2161</v>
      </c>
      <c r="BL101" s="22">
        <f t="shared" si="301"/>
        <v>1946</v>
      </c>
      <c r="BM101" s="22">
        <f t="shared" si="301"/>
        <v>1603</v>
      </c>
      <c r="BN101" s="852">
        <f t="shared" si="301"/>
        <v>7785</v>
      </c>
      <c r="BO101" s="22">
        <f>BO435</f>
        <v>1988</v>
      </c>
      <c r="BP101" s="22">
        <f t="shared" ref="BP101" si="302">BP435</f>
        <v>1303</v>
      </c>
      <c r="BQ101" s="22">
        <f>BQ435</f>
        <v>1527</v>
      </c>
      <c r="BR101" s="22">
        <f>BR435</f>
        <v>1258</v>
      </c>
      <c r="BS101" s="852">
        <f>BS435</f>
        <v>6075</v>
      </c>
      <c r="BT101" s="648">
        <f>BT435</f>
        <v>2112</v>
      </c>
      <c r="BU101" s="37"/>
      <c r="BV101" s="37"/>
      <c r="BW101" s="37"/>
      <c r="BX101" s="821"/>
      <c r="BY101" s="37"/>
      <c r="BZ101" s="37"/>
      <c r="CA101" s="37"/>
      <c r="CB101" s="37"/>
      <c r="CC101" s="821"/>
      <c r="CD101" s="821"/>
      <c r="CE101" s="821"/>
      <c r="CF101" s="821"/>
      <c r="CG101" s="22"/>
    </row>
    <row r="102" spans="1:85" s="428" customFormat="1" hidden="1" outlineLevel="1" x14ac:dyDescent="0.3">
      <c r="A102" s="40" t="s">
        <v>640</v>
      </c>
      <c r="B102" s="64"/>
      <c r="C102" s="821"/>
      <c r="D102" s="821"/>
      <c r="E102" s="821"/>
      <c r="F102" s="821"/>
      <c r="G102" s="37"/>
      <c r="H102" s="37"/>
      <c r="I102" s="37"/>
      <c r="J102" s="37"/>
      <c r="K102" s="821"/>
      <c r="L102" s="37"/>
      <c r="M102" s="37"/>
      <c r="N102" s="37"/>
      <c r="O102" s="37"/>
      <c r="P102" s="821"/>
      <c r="Q102" s="37"/>
      <c r="R102" s="37"/>
      <c r="S102" s="37"/>
      <c r="T102" s="37"/>
      <c r="U102" s="821"/>
      <c r="V102" s="37"/>
      <c r="W102" s="37"/>
      <c r="X102" s="37"/>
      <c r="Y102" s="37"/>
      <c r="Z102" s="821"/>
      <c r="AA102" s="37"/>
      <c r="AB102" s="37"/>
      <c r="AC102" s="37"/>
      <c r="AD102" s="37"/>
      <c r="AE102" s="821"/>
      <c r="AF102" s="37"/>
      <c r="AG102" s="37"/>
      <c r="AH102" s="37"/>
      <c r="AI102" s="37"/>
      <c r="AJ102" s="821"/>
      <c r="AK102" s="22">
        <f t="shared" ref="AK102:AO102" si="303">AK445</f>
        <v>2543</v>
      </c>
      <c r="AL102" s="22">
        <f t="shared" si="303"/>
        <v>2385</v>
      </c>
      <c r="AM102" s="22">
        <f t="shared" si="303"/>
        <v>1928</v>
      </c>
      <c r="AN102" s="22">
        <f t="shared" si="303"/>
        <v>1937</v>
      </c>
      <c r="AO102" s="852">
        <f t="shared" si="303"/>
        <v>8793</v>
      </c>
      <c r="AP102" s="22">
        <f t="shared" ref="AP102:AU102" si="304">AP445</f>
        <v>1531</v>
      </c>
      <c r="AQ102" s="22">
        <f t="shared" si="304"/>
        <v>-571</v>
      </c>
      <c r="AR102" s="22">
        <f t="shared" si="304"/>
        <v>356</v>
      </c>
      <c r="AS102" s="22">
        <f t="shared" si="304"/>
        <v>784</v>
      </c>
      <c r="AT102" s="852">
        <f t="shared" si="304"/>
        <v>2100</v>
      </c>
      <c r="AU102" s="22">
        <f t="shared" si="304"/>
        <v>1461</v>
      </c>
      <c r="AV102" s="22">
        <f t="shared" ref="AV102:AZ102" si="305">AV445</f>
        <v>1654</v>
      </c>
      <c r="AW102" s="22">
        <f t="shared" si="305"/>
        <v>2888</v>
      </c>
      <c r="AX102" s="22">
        <f t="shared" si="305"/>
        <v>2194</v>
      </c>
      <c r="AY102" s="852">
        <f t="shared" si="305"/>
        <v>8197</v>
      </c>
      <c r="AZ102" s="22">
        <f t="shared" si="305"/>
        <v>3840</v>
      </c>
      <c r="BA102" s="22">
        <f t="shared" ref="BA102:BF102" si="306">BA445</f>
        <v>4388</v>
      </c>
      <c r="BB102" s="22">
        <f t="shared" si="306"/>
        <v>5469</v>
      </c>
      <c r="BC102" s="22">
        <f t="shared" si="306"/>
        <v>4025</v>
      </c>
      <c r="BD102" s="852">
        <f t="shared" si="306"/>
        <v>17722</v>
      </c>
      <c r="BE102" s="22">
        <f t="shared" si="306"/>
        <v>3566</v>
      </c>
      <c r="BF102" s="22">
        <f t="shared" si="306"/>
        <v>3061</v>
      </c>
      <c r="BG102" s="22">
        <f t="shared" ref="BG102:BL102" si="307">BG445</f>
        <v>2537</v>
      </c>
      <c r="BH102" s="22">
        <f t="shared" si="307"/>
        <v>3095</v>
      </c>
      <c r="BI102" s="852">
        <f t="shared" si="307"/>
        <v>12259</v>
      </c>
      <c r="BJ102" s="22">
        <f t="shared" si="307"/>
        <v>3142</v>
      </c>
      <c r="BK102" s="22">
        <f t="shared" si="307"/>
        <v>2546</v>
      </c>
      <c r="BL102" s="22">
        <f t="shared" si="307"/>
        <v>2630</v>
      </c>
      <c r="BM102" s="22">
        <f>BM445</f>
        <v>2531</v>
      </c>
      <c r="BN102" s="852">
        <f>BN445</f>
        <v>10849</v>
      </c>
      <c r="BO102" s="22">
        <f>BO445</f>
        <v>2091</v>
      </c>
      <c r="BP102" s="22">
        <f t="shared" ref="BP102" si="308">BP445</f>
        <v>1545</v>
      </c>
      <c r="BQ102" s="22">
        <f>BQ445</f>
        <v>2001</v>
      </c>
      <c r="BR102" s="22">
        <f>BR445</f>
        <v>1902</v>
      </c>
      <c r="BS102" s="852">
        <f>BS445</f>
        <v>7540</v>
      </c>
      <c r="BT102" s="648">
        <f>BT445</f>
        <v>2030</v>
      </c>
      <c r="BU102" s="37"/>
      <c r="BV102" s="37"/>
      <c r="BW102" s="37"/>
      <c r="BX102" s="821"/>
      <c r="BY102" s="37"/>
      <c r="BZ102" s="37"/>
      <c r="CA102" s="37"/>
      <c r="CB102" s="37"/>
      <c r="CC102" s="821"/>
      <c r="CD102" s="821"/>
      <c r="CE102" s="821"/>
      <c r="CF102" s="821"/>
      <c r="CG102" s="22"/>
    </row>
    <row r="103" spans="1:85" s="429" customFormat="1" hidden="1" outlineLevel="1" x14ac:dyDescent="0.3">
      <c r="A103" s="41" t="s">
        <v>641</v>
      </c>
      <c r="B103" s="90"/>
      <c r="C103" s="823"/>
      <c r="D103" s="823"/>
      <c r="E103" s="823"/>
      <c r="F103" s="823"/>
      <c r="G103" s="393"/>
      <c r="H103" s="393"/>
      <c r="I103" s="393"/>
      <c r="J103" s="393"/>
      <c r="K103" s="823"/>
      <c r="L103" s="393"/>
      <c r="M103" s="393"/>
      <c r="N103" s="393"/>
      <c r="O103" s="393"/>
      <c r="P103" s="823"/>
      <c r="Q103" s="393"/>
      <c r="R103" s="393"/>
      <c r="S103" s="393"/>
      <c r="T103" s="393"/>
      <c r="U103" s="823"/>
      <c r="V103" s="393"/>
      <c r="W103" s="393"/>
      <c r="X103" s="393"/>
      <c r="Y103" s="393"/>
      <c r="Z103" s="823"/>
      <c r="AA103" s="393"/>
      <c r="AB103" s="393"/>
      <c r="AC103" s="393"/>
      <c r="AD103" s="393"/>
      <c r="AE103" s="823"/>
      <c r="AF103" s="393"/>
      <c r="AG103" s="393"/>
      <c r="AH103" s="393"/>
      <c r="AI103" s="393"/>
      <c r="AJ103" s="823"/>
      <c r="AK103" s="394">
        <f t="shared" ref="AK103:BD103" si="309">SUM(AK101:AK102)</f>
        <v>3291</v>
      </c>
      <c r="AL103" s="394">
        <f t="shared" si="309"/>
        <v>3281</v>
      </c>
      <c r="AM103" s="394">
        <f t="shared" si="309"/>
        <v>2655</v>
      </c>
      <c r="AN103" s="394">
        <f t="shared" si="309"/>
        <v>2642</v>
      </c>
      <c r="AO103" s="824">
        <f t="shared" si="309"/>
        <v>11869</v>
      </c>
      <c r="AP103" s="394">
        <f t="shared" si="309"/>
        <v>1772</v>
      </c>
      <c r="AQ103" s="394">
        <f t="shared" si="309"/>
        <v>-1327</v>
      </c>
      <c r="AR103" s="394">
        <f t="shared" si="309"/>
        <v>472</v>
      </c>
      <c r="AS103" s="394">
        <f t="shared" si="309"/>
        <v>905</v>
      </c>
      <c r="AT103" s="824">
        <f t="shared" si="309"/>
        <v>1822</v>
      </c>
      <c r="AU103" s="394">
        <f t="shared" si="309"/>
        <v>2402</v>
      </c>
      <c r="AV103" s="394">
        <f t="shared" si="309"/>
        <v>3220</v>
      </c>
      <c r="AW103" s="394">
        <f t="shared" si="309"/>
        <v>4650</v>
      </c>
      <c r="AX103" s="394">
        <f t="shared" si="309"/>
        <v>4644</v>
      </c>
      <c r="AY103" s="824">
        <f t="shared" si="309"/>
        <v>14916</v>
      </c>
      <c r="AZ103" s="394">
        <f t="shared" si="309"/>
        <v>7078</v>
      </c>
      <c r="BA103" s="394">
        <f t="shared" si="309"/>
        <v>8355</v>
      </c>
      <c r="BB103" s="394">
        <f t="shared" si="309"/>
        <v>8867</v>
      </c>
      <c r="BC103" s="394">
        <f t="shared" si="309"/>
        <v>6643</v>
      </c>
      <c r="BD103" s="824">
        <f t="shared" si="309"/>
        <v>30943</v>
      </c>
      <c r="BE103" s="394">
        <f t="shared" ref="BE103:BJ103" si="310">SUM(BE101:BE102)</f>
        <v>5347</v>
      </c>
      <c r="BF103" s="394">
        <f t="shared" si="310"/>
        <v>4701</v>
      </c>
      <c r="BG103" s="394">
        <f t="shared" si="310"/>
        <v>4611</v>
      </c>
      <c r="BH103" s="394">
        <f t="shared" si="310"/>
        <v>5463</v>
      </c>
      <c r="BI103" s="824">
        <f t="shared" si="310"/>
        <v>20122</v>
      </c>
      <c r="BJ103" s="394">
        <f t="shared" si="310"/>
        <v>5217</v>
      </c>
      <c r="BK103" s="394">
        <f t="shared" ref="BK103:BO103" si="311">SUM(BK101:BK102)</f>
        <v>4707</v>
      </c>
      <c r="BL103" s="394">
        <f t="shared" si="311"/>
        <v>4576</v>
      </c>
      <c r="BM103" s="394">
        <f t="shared" si="311"/>
        <v>4134</v>
      </c>
      <c r="BN103" s="824">
        <f t="shared" si="311"/>
        <v>18634</v>
      </c>
      <c r="BO103" s="394">
        <f t="shared" si="311"/>
        <v>4079</v>
      </c>
      <c r="BP103" s="394">
        <f t="shared" ref="BP103" si="312">SUM(BP101:BP102)</f>
        <v>2848</v>
      </c>
      <c r="BQ103" s="394">
        <f>SUM(BQ101:BQ102)</f>
        <v>3528</v>
      </c>
      <c r="BR103" s="394">
        <f>SUM(BR101:BR102)</f>
        <v>3160</v>
      </c>
      <c r="BS103" s="824">
        <f>SUM(BS101:BS102)</f>
        <v>13615</v>
      </c>
      <c r="BT103" s="640">
        <f>SUM(BT101:BT102)</f>
        <v>4142</v>
      </c>
      <c r="BU103" s="393"/>
      <c r="BV103" s="393"/>
      <c r="BW103" s="393"/>
      <c r="BX103" s="823"/>
      <c r="BY103" s="393"/>
      <c r="BZ103" s="393"/>
      <c r="CA103" s="393"/>
      <c r="CB103" s="393"/>
      <c r="CC103" s="823"/>
      <c r="CD103" s="823"/>
      <c r="CE103" s="823"/>
      <c r="CF103" s="823"/>
      <c r="CG103" s="26"/>
    </row>
    <row r="104" spans="1:85" s="429" customFormat="1" hidden="1" outlineLevel="1" x14ac:dyDescent="0.3">
      <c r="A104" s="48"/>
      <c r="B104" s="63"/>
      <c r="C104" s="825"/>
      <c r="D104" s="825"/>
      <c r="E104" s="825"/>
      <c r="F104" s="825"/>
      <c r="G104" s="31"/>
      <c r="H104" s="31"/>
      <c r="I104" s="31"/>
      <c r="J104" s="31"/>
      <c r="K104" s="825"/>
      <c r="L104" s="31"/>
      <c r="M104" s="31"/>
      <c r="N104" s="31"/>
      <c r="O104" s="31"/>
      <c r="P104" s="825"/>
      <c r="Q104" s="31"/>
      <c r="R104" s="31"/>
      <c r="S104" s="31"/>
      <c r="T104" s="31"/>
      <c r="U104" s="825"/>
      <c r="V104" s="31"/>
      <c r="W104" s="31"/>
      <c r="X104" s="31"/>
      <c r="Y104" s="31"/>
      <c r="Z104" s="825"/>
      <c r="AA104" s="31"/>
      <c r="AB104" s="31"/>
      <c r="AC104" s="31"/>
      <c r="AD104" s="31"/>
      <c r="AE104" s="825"/>
      <c r="AF104" s="31"/>
      <c r="AG104" s="31"/>
      <c r="AH104" s="31"/>
      <c r="AI104" s="31"/>
      <c r="AJ104" s="825"/>
      <c r="AK104" s="31"/>
      <c r="AL104" s="31"/>
      <c r="AM104" s="31"/>
      <c r="AN104" s="31"/>
      <c r="AO104" s="825"/>
      <c r="AP104" s="31"/>
      <c r="AQ104" s="31"/>
      <c r="AR104" s="31"/>
      <c r="AS104" s="31"/>
      <c r="AT104" s="825"/>
      <c r="AU104" s="31"/>
      <c r="AV104" s="31"/>
      <c r="AW104" s="31"/>
      <c r="AX104" s="31"/>
      <c r="AY104" s="825"/>
      <c r="AZ104" s="31"/>
      <c r="BA104" s="31"/>
      <c r="BB104" s="31"/>
      <c r="BC104" s="31"/>
      <c r="BD104" s="825"/>
      <c r="BE104" s="31"/>
      <c r="BF104" s="31"/>
      <c r="BG104" s="31"/>
      <c r="BH104" s="31"/>
      <c r="BI104" s="825"/>
      <c r="BJ104" s="31"/>
      <c r="BK104" s="31"/>
      <c r="BL104" s="31"/>
      <c r="BM104" s="31"/>
      <c r="BN104" s="825"/>
      <c r="BO104" s="31"/>
      <c r="BP104" s="31"/>
      <c r="BQ104" s="31"/>
      <c r="BR104" s="31"/>
      <c r="BS104" s="825"/>
      <c r="BT104" s="379"/>
      <c r="BU104" s="31"/>
      <c r="BV104" s="31"/>
      <c r="BW104" s="31"/>
      <c r="BX104" s="825"/>
      <c r="BY104" s="31"/>
      <c r="BZ104" s="31"/>
      <c r="CA104" s="31"/>
      <c r="CB104" s="31"/>
      <c r="CC104" s="825"/>
      <c r="CD104" s="825"/>
      <c r="CE104" s="825"/>
      <c r="CF104" s="825"/>
      <c r="CG104" s="26"/>
    </row>
    <row r="105" spans="1:85" s="428" customFormat="1" hidden="1" outlineLevel="1" x14ac:dyDescent="0.3">
      <c r="A105" s="106" t="s">
        <v>804</v>
      </c>
      <c r="B105" s="64"/>
      <c r="C105" s="827">
        <v>8224</v>
      </c>
      <c r="D105" s="827">
        <v>9182</v>
      </c>
      <c r="E105" s="827">
        <v>11425</v>
      </c>
      <c r="F105" s="827">
        <v>12346</v>
      </c>
      <c r="G105" s="37"/>
      <c r="H105" s="37"/>
      <c r="I105" s="37"/>
      <c r="J105" s="37"/>
      <c r="K105" s="827">
        <v>13304</v>
      </c>
      <c r="L105" s="37"/>
      <c r="M105" s="37"/>
      <c r="N105" s="37"/>
      <c r="O105" s="37"/>
      <c r="P105" s="827">
        <v>13689</v>
      </c>
      <c r="Q105" s="37"/>
      <c r="R105" s="37"/>
      <c r="S105" s="37"/>
      <c r="T105" s="37"/>
      <c r="U105" s="827">
        <v>11481</v>
      </c>
      <c r="V105" s="37"/>
      <c r="W105" s="37"/>
      <c r="X105" s="37"/>
      <c r="Y105" s="37"/>
      <c r="Z105" s="827">
        <v>10141</v>
      </c>
      <c r="AA105" s="37"/>
      <c r="AB105" s="37"/>
      <c r="AC105" s="37"/>
      <c r="AD105" s="37"/>
      <c r="AE105" s="827">
        <v>9091</v>
      </c>
      <c r="AF105" s="37"/>
      <c r="AG105" s="37"/>
      <c r="AH105" s="37"/>
      <c r="AI105" s="37"/>
      <c r="AJ105" s="827">
        <v>9410</v>
      </c>
      <c r="AK105" s="37"/>
      <c r="AL105" s="37"/>
      <c r="AM105" s="37"/>
      <c r="AN105" s="37"/>
      <c r="AO105" s="827">
        <v>9709</v>
      </c>
      <c r="AP105" s="37"/>
      <c r="AQ105" s="37"/>
      <c r="AR105" s="37"/>
      <c r="AS105" s="37"/>
      <c r="AT105" s="827">
        <v>9460</v>
      </c>
      <c r="AU105" s="37"/>
      <c r="AV105" s="37"/>
      <c r="AW105" s="37"/>
      <c r="AX105" s="37"/>
      <c r="AY105" s="827">
        <v>9484</v>
      </c>
      <c r="AZ105" s="37"/>
      <c r="BA105" s="37"/>
      <c r="BB105" s="37"/>
      <c r="BC105" s="37"/>
      <c r="BD105" s="827">
        <v>9328</v>
      </c>
      <c r="BE105" s="37"/>
      <c r="BF105" s="37"/>
      <c r="BG105" s="37"/>
      <c r="BH105" s="37"/>
      <c r="BI105" s="827">
        <v>9801</v>
      </c>
      <c r="BJ105" s="37"/>
      <c r="BK105" s="37"/>
      <c r="BL105" s="37"/>
      <c r="BM105" s="37"/>
      <c r="BN105" s="827">
        <v>9615</v>
      </c>
      <c r="BO105" s="37"/>
      <c r="BP105" s="37"/>
      <c r="BQ105" s="37"/>
      <c r="BR105" s="37"/>
      <c r="BS105" s="827">
        <v>10935</v>
      </c>
      <c r="BT105" s="480"/>
      <c r="BU105" s="37"/>
      <c r="BV105" s="37"/>
      <c r="BW105" s="37"/>
      <c r="BX105" s="821"/>
      <c r="BY105" s="37"/>
      <c r="BZ105" s="37"/>
      <c r="CA105" s="37"/>
      <c r="CB105" s="37"/>
      <c r="CC105" s="821"/>
      <c r="CD105" s="821"/>
      <c r="CE105" s="821"/>
      <c r="CF105" s="821"/>
      <c r="CG105" s="22"/>
    </row>
    <row r="106" spans="1:85" s="428" customFormat="1" hidden="1" outlineLevel="1" x14ac:dyDescent="0.3">
      <c r="A106" s="106" t="s">
        <v>803</v>
      </c>
      <c r="B106" s="64"/>
      <c r="C106" s="827">
        <v>836</v>
      </c>
      <c r="D106" s="827">
        <v>1195</v>
      </c>
      <c r="E106" s="827">
        <v>1527</v>
      </c>
      <c r="F106" s="827">
        <v>1522</v>
      </c>
      <c r="G106" s="37"/>
      <c r="H106" s="37"/>
      <c r="I106" s="37"/>
      <c r="J106" s="37"/>
      <c r="K106" s="827">
        <v>1408</v>
      </c>
      <c r="L106" s="37"/>
      <c r="M106" s="37"/>
      <c r="N106" s="37"/>
      <c r="O106" s="37"/>
      <c r="P106" s="827">
        <v>1331</v>
      </c>
      <c r="Q106" s="37"/>
      <c r="R106" s="37"/>
      <c r="S106" s="37"/>
      <c r="T106" s="37"/>
      <c r="U106" s="827">
        <v>866</v>
      </c>
      <c r="V106" s="37"/>
      <c r="W106" s="37"/>
      <c r="X106" s="37"/>
      <c r="Y106" s="37"/>
      <c r="Z106" s="827">
        <v>701</v>
      </c>
      <c r="AA106" s="37"/>
      <c r="AB106" s="37"/>
      <c r="AC106" s="37"/>
      <c r="AD106" s="37"/>
      <c r="AE106" s="827">
        <v>800</v>
      </c>
      <c r="AF106" s="37"/>
      <c r="AG106" s="37"/>
      <c r="AH106" s="37"/>
      <c r="AI106" s="37"/>
      <c r="AJ106" s="827">
        <v>996</v>
      </c>
      <c r="AK106" s="37"/>
      <c r="AL106" s="37"/>
      <c r="AM106" s="37"/>
      <c r="AN106" s="37"/>
      <c r="AO106" s="827">
        <v>999</v>
      </c>
      <c r="AP106" s="37"/>
      <c r="AQ106" s="37"/>
      <c r="AR106" s="37"/>
      <c r="AS106" s="37"/>
      <c r="AT106" s="827">
        <v>870</v>
      </c>
      <c r="AU106" s="37"/>
      <c r="AV106" s="37"/>
      <c r="AW106" s="37"/>
      <c r="AX106" s="37"/>
      <c r="AY106" s="827">
        <v>1368</v>
      </c>
      <c r="AZ106" s="37"/>
      <c r="BA106" s="37"/>
      <c r="BB106" s="37"/>
      <c r="BC106" s="37"/>
      <c r="BD106" s="827">
        <v>1949</v>
      </c>
      <c r="BE106" s="37"/>
      <c r="BF106" s="37"/>
      <c r="BG106" s="37"/>
      <c r="BH106" s="37"/>
      <c r="BI106" s="827">
        <v>1720</v>
      </c>
      <c r="BJ106" s="37"/>
      <c r="BK106" s="37"/>
      <c r="BL106" s="37"/>
      <c r="BM106" s="37"/>
      <c r="BN106" s="827">
        <v>1913</v>
      </c>
      <c r="BO106" s="37"/>
      <c r="BP106" s="37"/>
      <c r="BQ106" s="37"/>
      <c r="BR106" s="37"/>
      <c r="BS106" s="827">
        <v>1928</v>
      </c>
      <c r="BT106" s="480"/>
      <c r="BU106" s="37"/>
      <c r="BV106" s="37"/>
      <c r="BW106" s="37"/>
      <c r="BX106" s="821"/>
      <c r="BY106" s="37"/>
      <c r="BZ106" s="37"/>
      <c r="CA106" s="37"/>
      <c r="CB106" s="37"/>
      <c r="CC106" s="821"/>
      <c r="CD106" s="821"/>
      <c r="CE106" s="821"/>
      <c r="CF106" s="821"/>
      <c r="CG106" s="22"/>
    </row>
    <row r="107" spans="1:85" s="428" customFormat="1" hidden="1" outlineLevel="1" x14ac:dyDescent="0.3">
      <c r="A107" s="492" t="s">
        <v>805</v>
      </c>
      <c r="B107" s="64"/>
      <c r="C107" s="827">
        <v>9545</v>
      </c>
      <c r="D107" s="827">
        <v>10398</v>
      </c>
      <c r="E107" s="827">
        <v>10026</v>
      </c>
      <c r="F107" s="827">
        <v>10700</v>
      </c>
      <c r="G107" s="37"/>
      <c r="H107" s="37"/>
      <c r="I107" s="37"/>
      <c r="J107" s="37"/>
      <c r="K107" s="827">
        <v>11568</v>
      </c>
      <c r="L107" s="37"/>
      <c r="M107" s="37"/>
      <c r="N107" s="37"/>
      <c r="O107" s="37"/>
      <c r="P107" s="827">
        <v>13026</v>
      </c>
      <c r="Q107" s="37"/>
      <c r="R107" s="37"/>
      <c r="S107" s="37"/>
      <c r="T107" s="37"/>
      <c r="U107" s="827">
        <v>17325</v>
      </c>
      <c r="V107" s="37"/>
      <c r="W107" s="37"/>
      <c r="X107" s="37"/>
      <c r="Y107" s="37"/>
      <c r="Z107" s="827">
        <v>16010</v>
      </c>
      <c r="AA107" s="37"/>
      <c r="AB107" s="37"/>
      <c r="AC107" s="37"/>
      <c r="AD107" s="37"/>
      <c r="AE107" s="827">
        <v>15647</v>
      </c>
      <c r="AF107" s="37"/>
      <c r="AG107" s="37"/>
      <c r="AH107" s="37"/>
      <c r="AI107" s="37"/>
      <c r="AJ107" s="827">
        <v>15177</v>
      </c>
      <c r="AK107" s="37"/>
      <c r="AL107" s="37"/>
      <c r="AM107" s="37"/>
      <c r="AN107" s="37"/>
      <c r="AO107" s="827">
        <v>21029</v>
      </c>
      <c r="AP107" s="37"/>
      <c r="AQ107" s="37"/>
      <c r="AR107" s="37"/>
      <c r="AS107" s="37"/>
      <c r="AT107" s="827">
        <v>15776</v>
      </c>
      <c r="AU107" s="37"/>
      <c r="AV107" s="37"/>
      <c r="AW107" s="37"/>
      <c r="AX107" s="37"/>
      <c r="AY107" s="827">
        <v>14289</v>
      </c>
      <c r="AZ107" s="37"/>
      <c r="BA107" s="37"/>
      <c r="BB107" s="37"/>
      <c r="BC107" s="37"/>
      <c r="BD107" s="827">
        <v>12180</v>
      </c>
      <c r="BE107" s="37"/>
      <c r="BF107" s="37"/>
      <c r="BG107" s="37"/>
      <c r="BH107" s="37"/>
      <c r="BI107" s="827">
        <v>13379</v>
      </c>
      <c r="BJ107" s="37"/>
      <c r="BK107" s="37"/>
      <c r="BL107" s="37"/>
      <c r="BM107" s="37"/>
      <c r="BN107" s="827">
        <v>13714</v>
      </c>
      <c r="BO107" s="37"/>
      <c r="BP107" s="37"/>
      <c r="BQ107" s="37"/>
      <c r="BR107" s="37"/>
      <c r="BS107" s="827">
        <v>16415</v>
      </c>
      <c r="BT107" s="480"/>
      <c r="BU107" s="37"/>
      <c r="BV107" s="37"/>
      <c r="BW107" s="37"/>
      <c r="BX107" s="821"/>
      <c r="BY107" s="37"/>
      <c r="BZ107" s="37"/>
      <c r="CA107" s="37"/>
      <c r="CB107" s="37"/>
      <c r="CC107" s="821"/>
      <c r="CD107" s="821"/>
      <c r="CE107" s="821"/>
      <c r="CF107" s="821"/>
      <c r="CG107" s="22"/>
    </row>
    <row r="108" spans="1:85" s="428" customFormat="1" hidden="1" outlineLevel="1" x14ac:dyDescent="0.3">
      <c r="A108" s="106"/>
      <c r="B108" s="64"/>
      <c r="C108" s="821"/>
      <c r="D108" s="821"/>
      <c r="E108" s="821"/>
      <c r="F108" s="821"/>
      <c r="G108" s="37"/>
      <c r="H108" s="37"/>
      <c r="I108" s="37"/>
      <c r="J108" s="37"/>
      <c r="K108" s="821"/>
      <c r="L108" s="37"/>
      <c r="M108" s="37"/>
      <c r="N108" s="37"/>
      <c r="O108" s="37"/>
      <c r="P108" s="821"/>
      <c r="Q108" s="37"/>
      <c r="R108" s="37"/>
      <c r="S108" s="37"/>
      <c r="T108" s="37"/>
      <c r="U108" s="821"/>
      <c r="V108" s="37"/>
      <c r="W108" s="37"/>
      <c r="X108" s="37"/>
      <c r="Y108" s="37"/>
      <c r="Z108" s="821"/>
      <c r="AA108" s="37"/>
      <c r="AB108" s="37"/>
      <c r="AC108" s="37"/>
      <c r="AD108" s="37"/>
      <c r="AE108" s="821"/>
      <c r="AF108" s="37"/>
      <c r="AG108" s="37"/>
      <c r="AH108" s="37"/>
      <c r="AI108" s="37"/>
      <c r="AJ108" s="821"/>
      <c r="AK108" s="37"/>
      <c r="AL108" s="37"/>
      <c r="AM108" s="37"/>
      <c r="AN108" s="37"/>
      <c r="AO108" s="821"/>
      <c r="AP108" s="37"/>
      <c r="AQ108" s="37"/>
      <c r="AR108" s="37"/>
      <c r="AS108" s="37"/>
      <c r="AT108" s="821"/>
      <c r="AU108" s="37"/>
      <c r="AV108" s="37"/>
      <c r="AW108" s="37"/>
      <c r="AX108" s="37"/>
      <c r="AY108" s="821"/>
      <c r="AZ108" s="37"/>
      <c r="BA108" s="37"/>
      <c r="BB108" s="37"/>
      <c r="BC108" s="37"/>
      <c r="BD108" s="821"/>
      <c r="BE108" s="37"/>
      <c r="BF108" s="37"/>
      <c r="BG108" s="37"/>
      <c r="BH108" s="37"/>
      <c r="BI108" s="821"/>
      <c r="BJ108" s="37"/>
      <c r="BK108" s="37"/>
      <c r="BL108" s="37"/>
      <c r="BM108" s="37"/>
      <c r="BN108" s="821"/>
      <c r="BO108" s="37"/>
      <c r="BP108" s="37"/>
      <c r="BQ108" s="37"/>
      <c r="BR108" s="37"/>
      <c r="BS108" s="821"/>
      <c r="BT108" s="480"/>
      <c r="BU108" s="37"/>
      <c r="BV108" s="37"/>
      <c r="BW108" s="37"/>
      <c r="BX108" s="821"/>
      <c r="BY108" s="37"/>
      <c r="BZ108" s="37"/>
      <c r="CA108" s="37"/>
      <c r="CB108" s="37"/>
      <c r="CC108" s="821"/>
      <c r="CD108" s="821"/>
      <c r="CE108" s="821"/>
      <c r="CF108" s="821"/>
      <c r="CG108" s="22"/>
    </row>
    <row r="109" spans="1:85" s="571" customFormat="1" hidden="1" outlineLevel="1" x14ac:dyDescent="0.3">
      <c r="A109" s="567" t="s">
        <v>806</v>
      </c>
      <c r="B109" s="568"/>
      <c r="C109" s="853">
        <f>C105/C62</f>
        <v>9.5939990842303899</v>
      </c>
      <c r="D109" s="853">
        <f>D105/D62</f>
        <v>10.497043348033232</v>
      </c>
      <c r="E109" s="853">
        <f>E105/E62</f>
        <v>13.53865478504053</v>
      </c>
      <c r="F109" s="853">
        <f>F105/F62</f>
        <v>14.958864938872937</v>
      </c>
      <c r="G109" s="569"/>
      <c r="H109" s="569"/>
      <c r="I109" s="569"/>
      <c r="J109" s="569"/>
      <c r="K109" s="853">
        <f>K105/K62</f>
        <v>14.036356244634641</v>
      </c>
      <c r="L109" s="569"/>
      <c r="M109" s="569"/>
      <c r="N109" s="569"/>
      <c r="O109" s="569"/>
      <c r="P109" s="853">
        <f>P105/P62</f>
        <v>14.588691925384419</v>
      </c>
      <c r="Q109" s="569"/>
      <c r="R109" s="569"/>
      <c r="S109" s="569"/>
      <c r="T109" s="569"/>
      <c r="U109" s="853">
        <f>U105/U62</f>
        <v>11.996884007655185</v>
      </c>
      <c r="V109" s="569"/>
      <c r="W109" s="569"/>
      <c r="X109" s="569"/>
      <c r="Y109" s="569"/>
      <c r="Z109" s="853">
        <f>Z105/Z62</f>
        <v>10.680065632747286</v>
      </c>
      <c r="AA109" s="569"/>
      <c r="AB109" s="569"/>
      <c r="AC109" s="569"/>
      <c r="AD109" s="569"/>
      <c r="AE109" s="853">
        <f>AE105/AE62</f>
        <v>9.1289612639224771</v>
      </c>
      <c r="AF109" s="569"/>
      <c r="AG109" s="569"/>
      <c r="AH109" s="569"/>
      <c r="AI109" s="569"/>
      <c r="AJ109" s="853">
        <f>AJ105/AJ62</f>
        <v>8.7984148516494702</v>
      </c>
      <c r="AK109" s="569"/>
      <c r="AL109" s="569"/>
      <c r="AM109" s="569"/>
      <c r="AN109" s="569"/>
      <c r="AO109" s="853">
        <f>AO105/AO62</f>
        <v>8.6989698588325073</v>
      </c>
      <c r="AP109" s="569"/>
      <c r="AQ109" s="569"/>
      <c r="AR109" s="569"/>
      <c r="AS109" s="569"/>
      <c r="AT109" s="853">
        <f>AT105/AT62</f>
        <v>8.3837153861560569</v>
      </c>
      <c r="AU109" s="569"/>
      <c r="AV109" s="569"/>
      <c r="AW109" s="569"/>
      <c r="AX109" s="569"/>
      <c r="AY109" s="853">
        <f>AY105/AY62</f>
        <v>8.3849497048896726</v>
      </c>
      <c r="AZ109" s="569"/>
      <c r="BA109" s="569"/>
      <c r="BB109" s="569"/>
      <c r="BC109" s="569"/>
      <c r="BD109" s="853">
        <f>BD105/BD62</f>
        <v>8.5196680909751006</v>
      </c>
      <c r="BE109" s="569"/>
      <c r="BF109" s="569"/>
      <c r="BG109" s="569"/>
      <c r="BH109" s="569"/>
      <c r="BI109" s="853">
        <f>BI105/BI62</f>
        <v>8.604589231313998</v>
      </c>
      <c r="BJ109" s="569"/>
      <c r="BK109" s="569"/>
      <c r="BL109" s="569"/>
      <c r="BM109" s="569"/>
      <c r="BN109" s="853">
        <f>BN105/BN62</f>
        <v>7.8701293598797744</v>
      </c>
      <c r="BO109" s="569"/>
      <c r="BP109" s="569"/>
      <c r="BQ109" s="569"/>
      <c r="BR109" s="569"/>
      <c r="BS109" s="853">
        <f>BS105/BS62</f>
        <v>8.0487809366199912</v>
      </c>
      <c r="BT109" s="649"/>
      <c r="BU109" s="569"/>
      <c r="BV109" s="569"/>
      <c r="BW109" s="569"/>
      <c r="BX109" s="854"/>
      <c r="BY109" s="569"/>
      <c r="BZ109" s="569"/>
      <c r="CA109" s="569"/>
      <c r="CB109" s="569"/>
      <c r="CC109" s="854"/>
      <c r="CD109" s="854"/>
      <c r="CE109" s="854"/>
      <c r="CF109" s="854"/>
      <c r="CG109" s="570"/>
    </row>
    <row r="110" spans="1:85" s="571" customFormat="1" hidden="1" outlineLevel="1" x14ac:dyDescent="0.3">
      <c r="A110" s="567" t="s">
        <v>807</v>
      </c>
      <c r="B110" s="568"/>
      <c r="C110" s="853">
        <f>C106/C62</f>
        <v>0.97526547111096862</v>
      </c>
      <c r="D110" s="853">
        <f>D106/D62</f>
        <v>1.3661475496514608</v>
      </c>
      <c r="E110" s="853">
        <f>E106/E62</f>
        <v>1.8094989808977582</v>
      </c>
      <c r="F110" s="853">
        <f>F106/F62</f>
        <v>1.8441108405122801</v>
      </c>
      <c r="G110" s="569"/>
      <c r="H110" s="569"/>
      <c r="I110" s="569"/>
      <c r="J110" s="569"/>
      <c r="K110" s="853">
        <f>K106/K62</f>
        <v>1.4855073355716759</v>
      </c>
      <c r="L110" s="569"/>
      <c r="M110" s="569"/>
      <c r="N110" s="569"/>
      <c r="O110" s="569"/>
      <c r="P110" s="853">
        <f>P106/P62</f>
        <v>1.4184782637655535</v>
      </c>
      <c r="Q110" s="569"/>
      <c r="R110" s="569"/>
      <c r="S110" s="569"/>
      <c r="T110" s="569"/>
      <c r="U110" s="853">
        <f>U106/U62</f>
        <v>0.90491259913155553</v>
      </c>
      <c r="V110" s="569"/>
      <c r="W110" s="569"/>
      <c r="X110" s="569"/>
      <c r="Y110" s="569"/>
      <c r="Z110" s="853">
        <f>Z106/Z62</f>
        <v>0.73826309126869616</v>
      </c>
      <c r="AA110" s="569"/>
      <c r="AB110" s="569"/>
      <c r="AC110" s="569"/>
      <c r="AD110" s="569"/>
      <c r="AE110" s="853">
        <f>AE106/AE62</f>
        <v>0.80334055781959979</v>
      </c>
      <c r="AF110" s="569"/>
      <c r="AG110" s="569"/>
      <c r="AH110" s="569"/>
      <c r="AI110" s="569"/>
      <c r="AJ110" s="853">
        <f>AJ106/AJ62</f>
        <v>0.93126686421284499</v>
      </c>
      <c r="AK110" s="569"/>
      <c r="AL110" s="569"/>
      <c r="AM110" s="569"/>
      <c r="AN110" s="569"/>
      <c r="AO110" s="853">
        <f>AO106/AO62</f>
        <v>0.89507373457345496</v>
      </c>
      <c r="AP110" s="569"/>
      <c r="AQ110" s="569"/>
      <c r="AR110" s="569"/>
      <c r="AS110" s="569"/>
      <c r="AT110" s="853">
        <f>AT106/AT62</f>
        <v>0.7710182226168889</v>
      </c>
      <c r="AU110" s="569"/>
      <c r="AV110" s="569"/>
      <c r="AW110" s="569"/>
      <c r="AX110" s="569"/>
      <c r="AY110" s="853">
        <f>AY106/AY62</f>
        <v>1.2094697592038246</v>
      </c>
      <c r="AZ110" s="569"/>
      <c r="BA110" s="569"/>
      <c r="BB110" s="569"/>
      <c r="BC110" s="569"/>
      <c r="BD110" s="853">
        <f>BD106/BD62</f>
        <v>1.7801064654063541</v>
      </c>
      <c r="BE110" s="569"/>
      <c r="BF110" s="569"/>
      <c r="BG110" s="569"/>
      <c r="BH110" s="569"/>
      <c r="BI110" s="853">
        <f>BI106/BI62</f>
        <v>1.5100391264013955</v>
      </c>
      <c r="BJ110" s="569"/>
      <c r="BK110" s="569"/>
      <c r="BL110" s="569"/>
      <c r="BM110" s="569"/>
      <c r="BN110" s="853">
        <f>BN106/BN62</f>
        <v>1.5658406100312021</v>
      </c>
      <c r="BO110" s="569"/>
      <c r="BP110" s="569"/>
      <c r="BQ110" s="569"/>
      <c r="BR110" s="569"/>
      <c r="BS110" s="853">
        <f>BS106/BS62</f>
        <v>1.4191174801832047</v>
      </c>
      <c r="BT110" s="649"/>
      <c r="BU110" s="569"/>
      <c r="BV110" s="569"/>
      <c r="BW110" s="569"/>
      <c r="BX110" s="854"/>
      <c r="BY110" s="569"/>
      <c r="BZ110" s="569"/>
      <c r="CA110" s="569"/>
      <c r="CB110" s="569"/>
      <c r="CC110" s="854"/>
      <c r="CD110" s="854"/>
      <c r="CE110" s="854"/>
      <c r="CF110" s="854"/>
      <c r="CG110" s="570"/>
    </row>
    <row r="111" spans="1:85" s="560" customFormat="1" hidden="1" outlineLevel="1" x14ac:dyDescent="0.3">
      <c r="A111" s="556" t="s">
        <v>802</v>
      </c>
      <c r="B111" s="557"/>
      <c r="C111" s="855">
        <f>C107/C62</f>
        <v>11.135058518844732</v>
      </c>
      <c r="D111" s="855">
        <f>D107/D62</f>
        <v>11.887198511527941</v>
      </c>
      <c r="E111" s="855">
        <f>E107/E62</f>
        <v>11.880836137839506</v>
      </c>
      <c r="F111" s="855">
        <f>F107/F62</f>
        <v>12.964511165230878</v>
      </c>
      <c r="G111" s="558"/>
      <c r="H111" s="558"/>
      <c r="I111" s="558"/>
      <c r="J111" s="558"/>
      <c r="K111" s="855">
        <f>K107/K62</f>
        <v>12.204793222935473</v>
      </c>
      <c r="L111" s="558"/>
      <c r="M111" s="558"/>
      <c r="N111" s="558"/>
      <c r="O111" s="558"/>
      <c r="P111" s="855">
        <f>P107/P62</f>
        <v>13.882117102787452</v>
      </c>
      <c r="Q111" s="558"/>
      <c r="R111" s="558"/>
      <c r="S111" s="558"/>
      <c r="T111" s="558"/>
      <c r="U111" s="855">
        <f>U107/U62</f>
        <v>18.103476651217321</v>
      </c>
      <c r="V111" s="558"/>
      <c r="W111" s="558"/>
      <c r="X111" s="558"/>
      <c r="Y111" s="558"/>
      <c r="Z111" s="855">
        <f>Z107/Z62</f>
        <v>16.861044352655956</v>
      </c>
      <c r="AA111" s="558"/>
      <c r="AB111" s="558"/>
      <c r="AC111" s="558"/>
      <c r="AD111" s="558"/>
      <c r="AE111" s="855">
        <f>AE107/AE62</f>
        <v>15.712337135254097</v>
      </c>
      <c r="AF111" s="558"/>
      <c r="AG111" s="558"/>
      <c r="AH111" s="558"/>
      <c r="AI111" s="558"/>
      <c r="AJ111" s="855">
        <f>AJ107/AJ62</f>
        <v>14.190599596544526</v>
      </c>
      <c r="AK111" s="558"/>
      <c r="AL111" s="558"/>
      <c r="AM111" s="558"/>
      <c r="AN111" s="558"/>
      <c r="AO111" s="855">
        <f>AO107/AO62</f>
        <v>18.841346911256441</v>
      </c>
      <c r="AP111" s="558"/>
      <c r="AQ111" s="558"/>
      <c r="AR111" s="558"/>
      <c r="AS111" s="558"/>
      <c r="AT111" s="855">
        <f>AT107/AT62</f>
        <v>13.981130436786252</v>
      </c>
      <c r="AU111" s="558"/>
      <c r="AV111" s="558"/>
      <c r="AW111" s="558"/>
      <c r="AX111" s="558"/>
      <c r="AY111" s="855">
        <f>AY107/AY62</f>
        <v>12.633123822561</v>
      </c>
      <c r="AZ111" s="558"/>
      <c r="BA111" s="558"/>
      <c r="BB111" s="558"/>
      <c r="BC111" s="558"/>
      <c r="BD111" s="855">
        <f>BD107/BD62</f>
        <v>11.124523729425036</v>
      </c>
      <c r="BE111" s="558"/>
      <c r="BF111" s="558"/>
      <c r="BG111" s="558"/>
      <c r="BH111" s="558"/>
      <c r="BI111" s="855">
        <f>BI107/BI62</f>
        <v>11.745821786118761</v>
      </c>
      <c r="BJ111" s="558"/>
      <c r="BK111" s="558"/>
      <c r="BL111" s="558"/>
      <c r="BM111" s="558"/>
      <c r="BN111" s="855">
        <f>BN107/BN62</f>
        <v>11.22526823103393</v>
      </c>
      <c r="BO111" s="558"/>
      <c r="BP111" s="558"/>
      <c r="BQ111" s="558"/>
      <c r="BR111" s="558"/>
      <c r="BS111" s="855">
        <f>BS107/BS62</f>
        <v>12.082372114734079</v>
      </c>
      <c r="BT111" s="650"/>
      <c r="BU111" s="558"/>
      <c r="BV111" s="558"/>
      <c r="BW111" s="558"/>
      <c r="BX111" s="856"/>
      <c r="BY111" s="558"/>
      <c r="BZ111" s="558"/>
      <c r="CA111" s="558"/>
      <c r="CB111" s="558"/>
      <c r="CC111" s="856"/>
      <c r="CD111" s="856"/>
      <c r="CE111" s="856"/>
      <c r="CF111" s="856"/>
      <c r="CG111" s="559"/>
    </row>
    <row r="112" spans="1:85" s="435" customFormat="1" collapsed="1" x14ac:dyDescent="0.3">
      <c r="A112" s="333"/>
      <c r="B112" s="334"/>
      <c r="C112" s="857"/>
      <c r="D112" s="857"/>
      <c r="E112" s="857"/>
      <c r="F112" s="857"/>
      <c r="G112" s="100"/>
      <c r="H112" s="100"/>
      <c r="I112" s="100"/>
      <c r="J112" s="100"/>
      <c r="K112" s="857"/>
      <c r="L112" s="100"/>
      <c r="M112" s="100"/>
      <c r="N112" s="100"/>
      <c r="O112" s="100"/>
      <c r="P112" s="857"/>
      <c r="Q112" s="100"/>
      <c r="R112" s="100"/>
      <c r="S112" s="100"/>
      <c r="T112" s="100"/>
      <c r="U112" s="857"/>
      <c r="V112" s="100"/>
      <c r="W112" s="100"/>
      <c r="X112" s="100"/>
      <c r="Y112" s="100"/>
      <c r="Z112" s="857"/>
      <c r="AA112" s="100"/>
      <c r="AB112" s="100"/>
      <c r="AC112" s="100"/>
      <c r="AD112" s="100"/>
      <c r="AE112" s="857"/>
      <c r="AF112" s="100"/>
      <c r="AG112" s="100"/>
      <c r="AH112" s="100"/>
      <c r="AI112" s="100"/>
      <c r="AJ112" s="857"/>
      <c r="AK112" s="100"/>
      <c r="AL112" s="100"/>
      <c r="AM112" s="100"/>
      <c r="AN112" s="100"/>
      <c r="AO112" s="857"/>
      <c r="AP112" s="100"/>
      <c r="AQ112" s="100"/>
      <c r="AR112" s="100"/>
      <c r="AS112" s="100"/>
      <c r="AT112" s="857"/>
      <c r="AU112" s="100"/>
      <c r="AV112" s="100"/>
      <c r="AW112" s="100"/>
      <c r="AX112" s="100"/>
      <c r="AY112" s="857"/>
      <c r="AZ112" s="100"/>
      <c r="BA112" s="100"/>
      <c r="BB112" s="100"/>
      <c r="BC112" s="100"/>
      <c r="BD112" s="857"/>
      <c r="BE112" s="100"/>
      <c r="BF112" s="100"/>
      <c r="BG112" s="100"/>
      <c r="BH112" s="100"/>
      <c r="BI112" s="857"/>
      <c r="BJ112" s="100"/>
      <c r="BK112" s="100"/>
      <c r="BL112" s="100"/>
      <c r="BM112" s="100"/>
      <c r="BN112" s="857"/>
      <c r="BO112" s="100"/>
      <c r="BP112" s="100"/>
      <c r="BQ112" s="100"/>
      <c r="BR112" s="100"/>
      <c r="BS112" s="857"/>
      <c r="BT112" s="651"/>
      <c r="BU112" s="100"/>
      <c r="BV112" s="100"/>
      <c r="BW112" s="100"/>
      <c r="BX112" s="857"/>
      <c r="BY112" s="100"/>
      <c r="BZ112" s="100"/>
      <c r="CA112" s="100"/>
      <c r="CB112" s="100"/>
      <c r="CC112" s="857"/>
      <c r="CD112" s="857"/>
      <c r="CE112" s="857"/>
      <c r="CF112" s="857"/>
      <c r="CG112" s="20"/>
    </row>
    <row r="113" spans="1:85" s="427" customFormat="1" x14ac:dyDescent="0.3">
      <c r="A113" s="720" t="s">
        <v>517</v>
      </c>
      <c r="B113" s="720"/>
      <c r="C113" s="720"/>
      <c r="D113" s="720"/>
      <c r="E113" s="720"/>
      <c r="F113" s="720"/>
      <c r="G113" s="720"/>
      <c r="H113" s="720"/>
      <c r="I113" s="720"/>
      <c r="J113" s="720"/>
      <c r="K113" s="720"/>
      <c r="L113" s="720"/>
      <c r="M113" s="720"/>
      <c r="N113" s="720"/>
      <c r="O113" s="720"/>
      <c r="P113" s="720"/>
      <c r="Q113" s="720"/>
      <c r="R113" s="720"/>
      <c r="S113" s="720"/>
      <c r="T113" s="720"/>
      <c r="U113" s="720"/>
      <c r="V113" s="720"/>
      <c r="W113" s="720"/>
      <c r="X113" s="720"/>
      <c r="Y113" s="720"/>
      <c r="Z113" s="720"/>
      <c r="AA113" s="720"/>
      <c r="AB113" s="720"/>
      <c r="AC113" s="720"/>
      <c r="AD113" s="720"/>
      <c r="AE113" s="720"/>
      <c r="AF113" s="720"/>
      <c r="AG113" s="720"/>
      <c r="AH113" s="720"/>
      <c r="AI113" s="720"/>
      <c r="AJ113" s="720"/>
      <c r="AK113" s="720"/>
      <c r="AL113" s="720"/>
      <c r="AM113" s="720"/>
      <c r="AN113" s="720"/>
      <c r="AO113" s="720"/>
      <c r="AP113" s="720"/>
      <c r="AQ113" s="720"/>
      <c r="AR113" s="720"/>
      <c r="AS113" s="720"/>
      <c r="AT113" s="720"/>
      <c r="AU113" s="720"/>
      <c r="AV113" s="720"/>
      <c r="AW113" s="720"/>
      <c r="AX113" s="720"/>
      <c r="AY113" s="720"/>
      <c r="AZ113" s="720"/>
      <c r="BA113" s="720"/>
      <c r="BB113" s="720"/>
      <c r="BC113" s="720"/>
      <c r="BD113" s="720"/>
      <c r="BE113" s="720"/>
      <c r="BF113" s="720"/>
      <c r="BG113" s="720"/>
      <c r="BH113" s="720"/>
      <c r="BI113" s="720"/>
      <c r="BJ113" s="720"/>
      <c r="BK113" s="720"/>
      <c r="BL113" s="720"/>
      <c r="BM113" s="720"/>
      <c r="BN113" s="720"/>
      <c r="BO113" s="720"/>
      <c r="BP113" s="720"/>
      <c r="BQ113" s="720"/>
      <c r="BR113" s="720"/>
      <c r="BS113" s="720"/>
      <c r="BT113" s="721"/>
      <c r="BU113" s="720"/>
      <c r="BV113" s="720"/>
      <c r="BW113" s="720"/>
      <c r="BX113" s="720"/>
      <c r="BY113" s="720"/>
      <c r="BZ113" s="720"/>
      <c r="CA113" s="720"/>
      <c r="CB113" s="720"/>
      <c r="CC113" s="720"/>
      <c r="CD113" s="720"/>
      <c r="CE113" s="720"/>
      <c r="CF113" s="720"/>
      <c r="CG113" s="321"/>
    </row>
    <row r="114" spans="1:85" s="571" customFormat="1" x14ac:dyDescent="0.3">
      <c r="A114" s="567" t="s">
        <v>82</v>
      </c>
      <c r="B114" s="568"/>
      <c r="C114" s="858">
        <v>54.36</v>
      </c>
      <c r="D114" s="858">
        <v>71.59</v>
      </c>
      <c r="E114" s="858">
        <v>97.51</v>
      </c>
      <c r="F114" s="858">
        <v>95.21</v>
      </c>
      <c r="G114" s="771">
        <v>94.49</v>
      </c>
      <c r="H114" s="771">
        <v>92.25</v>
      </c>
      <c r="I114" s="771">
        <v>97.18</v>
      </c>
      <c r="J114" s="771">
        <v>89.88</v>
      </c>
      <c r="K114" s="858">
        <v>93.46</v>
      </c>
      <c r="L114" s="771">
        <v>91.49</v>
      </c>
      <c r="M114" s="771">
        <v>92.44</v>
      </c>
      <c r="N114" s="771">
        <v>87.42</v>
      </c>
      <c r="O114" s="771">
        <v>65.83</v>
      </c>
      <c r="P114" s="858">
        <v>84.13</v>
      </c>
      <c r="Q114" s="771">
        <v>43.11</v>
      </c>
      <c r="R114" s="771">
        <v>50.29</v>
      </c>
      <c r="S114" s="771">
        <v>41.98</v>
      </c>
      <c r="T114" s="771">
        <v>35.33</v>
      </c>
      <c r="U114" s="858">
        <v>42.7</v>
      </c>
      <c r="V114" s="771">
        <v>26.49</v>
      </c>
      <c r="W114" s="771">
        <v>35.79</v>
      </c>
      <c r="X114" s="771">
        <v>36.880000000000003</v>
      </c>
      <c r="Y114" s="771">
        <v>40.42</v>
      </c>
      <c r="Z114" s="858">
        <v>35</v>
      </c>
      <c r="AA114" s="771">
        <v>44.83</v>
      </c>
      <c r="AB114" s="771">
        <v>41.42</v>
      </c>
      <c r="AC114" s="771">
        <v>41.83</v>
      </c>
      <c r="AD114" s="771">
        <v>50.12</v>
      </c>
      <c r="AE114" s="858">
        <v>44.53</v>
      </c>
      <c r="AF114" s="771">
        <v>56.12</v>
      </c>
      <c r="AG114" s="771">
        <v>58.79</v>
      </c>
      <c r="AH114" s="771">
        <v>61.99</v>
      </c>
      <c r="AI114" s="771">
        <v>55.62</v>
      </c>
      <c r="AJ114" s="858">
        <v>58.17</v>
      </c>
      <c r="AK114" s="771">
        <v>48.46</v>
      </c>
      <c r="AL114" s="771">
        <v>52.41</v>
      </c>
      <c r="AM114" s="771">
        <v>46.84</v>
      </c>
      <c r="AN114" s="771">
        <v>46.67</v>
      </c>
      <c r="AO114" s="858">
        <v>48.54</v>
      </c>
      <c r="AP114" s="771">
        <v>37.42</v>
      </c>
      <c r="AQ114" s="771">
        <v>19.29</v>
      </c>
      <c r="AR114" s="771">
        <v>31.33</v>
      </c>
      <c r="AS114" s="771">
        <v>33.1</v>
      </c>
      <c r="AT114" s="858">
        <v>30.53</v>
      </c>
      <c r="AU114" s="771">
        <v>47.7</v>
      </c>
      <c r="AV114" s="771">
        <v>54.08</v>
      </c>
      <c r="AW114" s="771">
        <v>57.81</v>
      </c>
      <c r="AX114" s="771">
        <v>63.33</v>
      </c>
      <c r="AY114" s="858">
        <v>56.06</v>
      </c>
      <c r="AZ114" s="771">
        <v>76.599999999999994</v>
      </c>
      <c r="BA114" s="771">
        <v>88.71</v>
      </c>
      <c r="BB114" s="771">
        <v>75.73</v>
      </c>
      <c r="BC114" s="771">
        <v>66</v>
      </c>
      <c r="BD114" s="858">
        <v>76.709999999999994</v>
      </c>
      <c r="BE114" s="771">
        <v>59.06</v>
      </c>
      <c r="BF114" s="771">
        <v>56.29</v>
      </c>
      <c r="BG114" s="771">
        <v>62.42</v>
      </c>
      <c r="BH114" s="771">
        <v>58.69</v>
      </c>
      <c r="BI114" s="858">
        <v>59.19</v>
      </c>
      <c r="BJ114" s="771">
        <v>57.37</v>
      </c>
      <c r="BK114" s="771">
        <v>59.85</v>
      </c>
      <c r="BL114" s="771">
        <v>54.86</v>
      </c>
      <c r="BM114" s="771">
        <v>53.12</v>
      </c>
      <c r="BN114" s="858">
        <v>56.24</v>
      </c>
      <c r="BO114" s="771">
        <v>55.26</v>
      </c>
      <c r="BP114" s="771">
        <v>47.77</v>
      </c>
      <c r="BQ114" s="771">
        <v>48.12</v>
      </c>
      <c r="BR114" s="771">
        <v>42.99</v>
      </c>
      <c r="BS114" s="858">
        <v>48.13</v>
      </c>
      <c r="BT114" s="772">
        <v>51.94</v>
      </c>
      <c r="BU114" s="569">
        <f>BU122+BU126</f>
        <v>68.3</v>
      </c>
      <c r="BV114" s="569">
        <f>BV122+BV126</f>
        <v>59.3</v>
      </c>
      <c r="BW114" s="569">
        <f>BW122+BW126</f>
        <v>53.769999999999996</v>
      </c>
      <c r="BX114" s="854">
        <f>SUM(BT114*BT56,BU114*BU56,BV114*BV56,BW114*BW56)/BX56</f>
        <v>58.376441846357466</v>
      </c>
      <c r="BY114" s="569">
        <f>BY122+BY126</f>
        <v>51.230000000000004</v>
      </c>
      <c r="BZ114" s="569">
        <f>BZ122+BZ126</f>
        <v>50.05</v>
      </c>
      <c r="CA114" s="569">
        <f>CA122+CA126</f>
        <v>49.08</v>
      </c>
      <c r="CB114" s="569">
        <f>CB122+CB126</f>
        <v>48.45</v>
      </c>
      <c r="CC114" s="854">
        <f>SUM(BY114*BY56,BZ114*BZ56,CA114*CA56,CB114*CB56)/CC56</f>
        <v>49.693178082191778</v>
      </c>
      <c r="CD114" s="854">
        <f>CD122+CD126</f>
        <v>47.239999999999995</v>
      </c>
      <c r="CE114" s="854">
        <f>CE122+CE126</f>
        <v>46.239999999999995</v>
      </c>
      <c r="CF114" s="854">
        <f>CF122+CF126</f>
        <v>44.379999999999995</v>
      </c>
      <c r="CG114" s="570"/>
    </row>
    <row r="115" spans="1:85" s="571" customFormat="1" x14ac:dyDescent="0.3">
      <c r="A115" s="567" t="s">
        <v>83</v>
      </c>
      <c r="B115" s="569"/>
      <c r="C115" s="858">
        <v>55.97</v>
      </c>
      <c r="D115" s="858">
        <v>72.680000000000007</v>
      </c>
      <c r="E115" s="858">
        <v>101.53</v>
      </c>
      <c r="F115" s="858">
        <v>101.88</v>
      </c>
      <c r="G115" s="771">
        <v>94.49</v>
      </c>
      <c r="H115" s="771">
        <v>93.71</v>
      </c>
      <c r="I115" s="771">
        <v>104.29</v>
      </c>
      <c r="J115" s="771">
        <v>100.57</v>
      </c>
      <c r="K115" s="858">
        <v>100.26</v>
      </c>
      <c r="L115" s="771">
        <v>98.6</v>
      </c>
      <c r="M115" s="771">
        <v>101.15</v>
      </c>
      <c r="N115" s="771">
        <v>93.45</v>
      </c>
      <c r="O115" s="771">
        <v>68.319999999999993</v>
      </c>
      <c r="P115" s="858">
        <v>90.42</v>
      </c>
      <c r="Q115" s="771">
        <v>46.49</v>
      </c>
      <c r="R115" s="771">
        <v>55.94</v>
      </c>
      <c r="S115" s="771">
        <v>44.85</v>
      </c>
      <c r="T115" s="771">
        <v>38.71</v>
      </c>
      <c r="U115" s="858">
        <v>46.52</v>
      </c>
      <c r="V115" s="771">
        <v>29.14</v>
      </c>
      <c r="W115" s="771">
        <v>40.25</v>
      </c>
      <c r="X115" s="771">
        <v>41.08</v>
      </c>
      <c r="Y115" s="771">
        <v>44.43</v>
      </c>
      <c r="Z115" s="858">
        <v>38.61</v>
      </c>
      <c r="AA115" s="771">
        <v>48.56</v>
      </c>
      <c r="AB115" s="771">
        <v>44.94</v>
      </c>
      <c r="AC115" s="771">
        <v>47.81</v>
      </c>
      <c r="AD115" s="771">
        <v>56.68</v>
      </c>
      <c r="AE115" s="858">
        <v>49.46</v>
      </c>
      <c r="AF115" s="771">
        <v>61.13</v>
      </c>
      <c r="AG115" s="771">
        <v>67.61</v>
      </c>
      <c r="AH115" s="771">
        <v>68.73</v>
      </c>
      <c r="AI115" s="771">
        <v>59.11</v>
      </c>
      <c r="AJ115" s="858">
        <v>64.25</v>
      </c>
      <c r="AK115" s="771">
        <v>57.99</v>
      </c>
      <c r="AL115" s="771">
        <v>62.03</v>
      </c>
      <c r="AM115" s="771">
        <v>56.07</v>
      </c>
      <c r="AN115" s="771">
        <v>56.52</v>
      </c>
      <c r="AO115" s="858">
        <v>58.14</v>
      </c>
      <c r="AP115" s="771">
        <v>42.64</v>
      </c>
      <c r="AQ115" s="771">
        <v>21.19</v>
      </c>
      <c r="AR115" s="771">
        <v>38.96</v>
      </c>
      <c r="AS115" s="771">
        <v>40.299999999999997</v>
      </c>
      <c r="AT115" s="858">
        <v>45.7</v>
      </c>
      <c r="AU115" s="771">
        <v>55.62</v>
      </c>
      <c r="AV115" s="771">
        <v>62.12</v>
      </c>
      <c r="AW115" s="771">
        <v>67.92</v>
      </c>
      <c r="AX115" s="771">
        <v>73.709999999999994</v>
      </c>
      <c r="AY115" s="858">
        <v>64.53</v>
      </c>
      <c r="AZ115" s="771">
        <v>93.31</v>
      </c>
      <c r="BA115" s="771">
        <v>102.3</v>
      </c>
      <c r="BB115" s="771">
        <v>89.14</v>
      </c>
      <c r="BC115" s="771">
        <v>77.67</v>
      </c>
      <c r="BD115" s="858">
        <v>90.71</v>
      </c>
      <c r="BE115" s="771">
        <v>68.89</v>
      </c>
      <c r="BF115" s="771">
        <v>68.06</v>
      </c>
      <c r="BG115" s="771">
        <v>75.64</v>
      </c>
      <c r="BH115" s="771">
        <v>74.540000000000006</v>
      </c>
      <c r="BI115" s="858">
        <v>71.7</v>
      </c>
      <c r="BJ115" s="771">
        <v>72.52</v>
      </c>
      <c r="BK115" s="771">
        <v>74.92</v>
      </c>
      <c r="BL115" s="771">
        <v>70.59</v>
      </c>
      <c r="BM115" s="771">
        <v>67.33</v>
      </c>
      <c r="BN115" s="858">
        <v>71.38</v>
      </c>
      <c r="BO115" s="771">
        <v>67.69</v>
      </c>
      <c r="BP115" s="771">
        <v>58.88</v>
      </c>
      <c r="BQ115" s="771">
        <v>63.16</v>
      </c>
      <c r="BR115" s="771">
        <v>57.53</v>
      </c>
      <c r="BS115" s="858">
        <v>61.58</v>
      </c>
      <c r="BT115" s="772">
        <v>77.5</v>
      </c>
      <c r="BU115" s="569">
        <f>BU122+BU127</f>
        <v>86.3</v>
      </c>
      <c r="BV115" s="569">
        <f>BV122+BV127</f>
        <v>74.3</v>
      </c>
      <c r="BW115" s="569">
        <f>BW122+BW127</f>
        <v>68.77</v>
      </c>
      <c r="BX115" s="854">
        <f>SUM(BT115*BT57,BU115*BU57,BV115*BV57,BW115*BW57)/BX57</f>
        <v>76.53967225016855</v>
      </c>
      <c r="BY115" s="569">
        <f>BY122+BY127</f>
        <v>66.23</v>
      </c>
      <c r="BZ115" s="569">
        <f>BZ122+BZ127</f>
        <v>65.05</v>
      </c>
      <c r="CA115" s="569">
        <f>CA122+CA127</f>
        <v>64.08</v>
      </c>
      <c r="CB115" s="569">
        <f>CB122+CB127</f>
        <v>63.45</v>
      </c>
      <c r="CC115" s="854">
        <f>SUM(BY115*BY57,BZ115*BZ57,CA115*CA57,CB115*CB57)/CC57</f>
        <v>64.693178082191793</v>
      </c>
      <c r="CD115" s="854">
        <f>CD122+CD127</f>
        <v>62.239999999999995</v>
      </c>
      <c r="CE115" s="854">
        <f>CE122+CE127</f>
        <v>61.239999999999995</v>
      </c>
      <c r="CF115" s="854">
        <f>CF122+CF127</f>
        <v>59.379999999999995</v>
      </c>
      <c r="CG115" s="570"/>
    </row>
    <row r="116" spans="1:85" s="571" customFormat="1" x14ac:dyDescent="0.3">
      <c r="A116" s="567" t="s">
        <v>84</v>
      </c>
      <c r="B116" s="568"/>
      <c r="C116" s="858">
        <v>3.73</v>
      </c>
      <c r="D116" s="858">
        <v>4.26</v>
      </c>
      <c r="E116" s="858">
        <v>4.04</v>
      </c>
      <c r="F116" s="858">
        <v>2.64</v>
      </c>
      <c r="G116" s="771">
        <v>3.11</v>
      </c>
      <c r="H116" s="771">
        <v>3.78</v>
      </c>
      <c r="I116" s="771">
        <v>3.23</v>
      </c>
      <c r="J116" s="771">
        <v>3.35</v>
      </c>
      <c r="K116" s="858">
        <v>3.37</v>
      </c>
      <c r="L116" s="771">
        <v>4.7699999999999996</v>
      </c>
      <c r="M116" s="771">
        <v>4.09</v>
      </c>
      <c r="N116" s="771">
        <v>3.46</v>
      </c>
      <c r="O116" s="771">
        <v>3.34</v>
      </c>
      <c r="P116" s="858">
        <v>3.9</v>
      </c>
      <c r="Q116" s="771">
        <v>2.27</v>
      </c>
      <c r="R116" s="771">
        <v>1.92</v>
      </c>
      <c r="S116" s="771">
        <v>1.96</v>
      </c>
      <c r="T116" s="771">
        <v>1.54</v>
      </c>
      <c r="U116" s="858">
        <v>1.92</v>
      </c>
      <c r="V116" s="771">
        <v>1.32</v>
      </c>
      <c r="W116" s="771">
        <v>1.21</v>
      </c>
      <c r="X116" s="771">
        <v>1.89</v>
      </c>
      <c r="Y116" s="771">
        <v>1.98</v>
      </c>
      <c r="Z116" s="858">
        <v>1.59</v>
      </c>
      <c r="AA116" s="771">
        <v>2.39</v>
      </c>
      <c r="AB116" s="771">
        <v>2.3199999999999998</v>
      </c>
      <c r="AC116" s="771">
        <v>1.8</v>
      </c>
      <c r="AD116" s="771">
        <v>1.86</v>
      </c>
      <c r="AE116" s="858">
        <v>2.1</v>
      </c>
      <c r="AF116" s="771">
        <v>2.02</v>
      </c>
      <c r="AG116" s="771">
        <v>1.61</v>
      </c>
      <c r="AH116" s="771">
        <v>1.8</v>
      </c>
      <c r="AI116" s="771">
        <v>2.0099999999999998</v>
      </c>
      <c r="AJ116" s="858">
        <v>1.86</v>
      </c>
      <c r="AK116" s="771">
        <v>1.64</v>
      </c>
      <c r="AL116" s="771">
        <v>0.68</v>
      </c>
      <c r="AM116" s="771">
        <v>0.95</v>
      </c>
      <c r="AN116" s="771">
        <v>1.1000000000000001</v>
      </c>
      <c r="AO116" s="858">
        <v>1.0900000000000001</v>
      </c>
      <c r="AP116" s="771">
        <v>0.6</v>
      </c>
      <c r="AQ116" s="771">
        <v>0.81</v>
      </c>
      <c r="AR116" s="771">
        <v>0.89</v>
      </c>
      <c r="AS116" s="771">
        <v>1.49</v>
      </c>
      <c r="AT116" s="858">
        <v>0.98</v>
      </c>
      <c r="AU116" s="771">
        <v>2.15</v>
      </c>
      <c r="AV116" s="771">
        <v>2.16</v>
      </c>
      <c r="AW116" s="771">
        <v>3.25</v>
      </c>
      <c r="AX116" s="771">
        <v>4.78</v>
      </c>
      <c r="AY116" s="858">
        <v>3.11</v>
      </c>
      <c r="AZ116" s="771">
        <v>4.0999999999999996</v>
      </c>
      <c r="BA116" s="771">
        <v>6.22</v>
      </c>
      <c r="BB116" s="771">
        <v>7.05</v>
      </c>
      <c r="BC116" s="771">
        <v>4.9400000000000004</v>
      </c>
      <c r="BD116" s="858">
        <v>5.55</v>
      </c>
      <c r="BE116" s="771">
        <v>2.58</v>
      </c>
      <c r="BF116" s="771">
        <v>1.23</v>
      </c>
      <c r="BG116" s="771">
        <v>1.39</v>
      </c>
      <c r="BH116" s="771">
        <v>1.62</v>
      </c>
      <c r="BI116" s="858">
        <v>1.67</v>
      </c>
      <c r="BJ116" s="771">
        <v>1.24</v>
      </c>
      <c r="BK116" s="771">
        <v>0.76</v>
      </c>
      <c r="BL116" s="771">
        <v>0.55000000000000004</v>
      </c>
      <c r="BM116" s="771">
        <v>1.62</v>
      </c>
      <c r="BN116" s="858">
        <v>1.04</v>
      </c>
      <c r="BO116" s="771">
        <v>2.5</v>
      </c>
      <c r="BP116" s="771">
        <v>1.75</v>
      </c>
      <c r="BQ116" s="771">
        <v>1.77</v>
      </c>
      <c r="BR116" s="771">
        <v>2.21</v>
      </c>
      <c r="BS116" s="858">
        <v>2.0499999999999998</v>
      </c>
      <c r="BT116" s="772">
        <v>2.48</v>
      </c>
      <c r="BU116" s="569">
        <f>BU128+BU123</f>
        <v>1.25</v>
      </c>
      <c r="BV116" s="569">
        <f>BV128+BV123</f>
        <v>1.65</v>
      </c>
      <c r="BW116" s="569">
        <f>BW128+BW123</f>
        <v>2.15</v>
      </c>
      <c r="BX116" s="854">
        <f>SUM(BT116*BT79,BU116*BU79,BV116*BV79,BW116*BW79)/BX79</f>
        <v>1.8900570753788626</v>
      </c>
      <c r="BY116" s="569">
        <f>BY128+BY123</f>
        <v>2.5300000000000002</v>
      </c>
      <c r="BZ116" s="569">
        <f>BZ128+BZ123</f>
        <v>1.5699999999999998</v>
      </c>
      <c r="CA116" s="569">
        <f>CA128+CA123</f>
        <v>1.8900000000000001</v>
      </c>
      <c r="CB116" s="569">
        <f>CB128+CB123</f>
        <v>2.38</v>
      </c>
      <c r="CC116" s="854">
        <f>SUM(BY116*BY79,BZ116*BZ79,CA116*CA79,CB116*CB79)/CC79</f>
        <v>2.0936250000000003</v>
      </c>
      <c r="CD116" s="854">
        <f>CD128+CD123</f>
        <v>2.23</v>
      </c>
      <c r="CE116" s="854">
        <f>CE128+CE123</f>
        <v>2.1800000000000002</v>
      </c>
      <c r="CF116" s="854">
        <f>CF128+CF123</f>
        <v>2.13</v>
      </c>
      <c r="CG116" s="570"/>
    </row>
    <row r="117" spans="1:85" s="571" customFormat="1" x14ac:dyDescent="0.3">
      <c r="A117" s="567" t="s">
        <v>85</v>
      </c>
      <c r="B117" s="568"/>
      <c r="C117" s="858">
        <v>4.01</v>
      </c>
      <c r="D117" s="858">
        <v>4.6399999999999997</v>
      </c>
      <c r="E117" s="858">
        <v>5.39</v>
      </c>
      <c r="F117" s="858">
        <v>5.99</v>
      </c>
      <c r="G117" s="771">
        <v>6.07</v>
      </c>
      <c r="H117" s="771">
        <v>5.93</v>
      </c>
      <c r="I117" s="771">
        <v>5.88</v>
      </c>
      <c r="J117" s="771">
        <v>5.75</v>
      </c>
      <c r="K117" s="858">
        <v>5.91</v>
      </c>
      <c r="L117" s="771">
        <v>6.02</v>
      </c>
      <c r="M117" s="771">
        <v>5.98</v>
      </c>
      <c r="N117" s="771">
        <v>5.73</v>
      </c>
      <c r="O117" s="771">
        <v>5.38</v>
      </c>
      <c r="P117" s="858">
        <v>5.78</v>
      </c>
      <c r="Q117" s="771">
        <v>5.01</v>
      </c>
      <c r="R117" s="771">
        <v>4.4800000000000004</v>
      </c>
      <c r="S117" s="771">
        <v>4.68</v>
      </c>
      <c r="T117" s="771">
        <v>3.99</v>
      </c>
      <c r="U117" s="858">
        <v>4.53</v>
      </c>
      <c r="V117" s="771">
        <v>3.91</v>
      </c>
      <c r="W117" s="771">
        <v>3.93</v>
      </c>
      <c r="X117" s="771">
        <v>4.18</v>
      </c>
      <c r="Y117" s="771">
        <v>4.07</v>
      </c>
      <c r="Z117" s="858">
        <v>4.0199999999999996</v>
      </c>
      <c r="AA117" s="771">
        <v>4.3600000000000003</v>
      </c>
      <c r="AB117" s="771">
        <v>4.3899999999999997</v>
      </c>
      <c r="AC117" s="771">
        <v>4.76</v>
      </c>
      <c r="AD117" s="771">
        <v>4.93</v>
      </c>
      <c r="AE117" s="858">
        <v>4.62</v>
      </c>
      <c r="AF117" s="771">
        <v>5.85</v>
      </c>
      <c r="AG117" s="771">
        <v>5.64</v>
      </c>
      <c r="AH117" s="771">
        <v>6.73</v>
      </c>
      <c r="AI117" s="771">
        <v>6.81</v>
      </c>
      <c r="AJ117" s="858">
        <v>6.29</v>
      </c>
      <c r="AK117" s="771">
        <v>6.57</v>
      </c>
      <c r="AL117" s="771">
        <v>5.43</v>
      </c>
      <c r="AM117" s="771">
        <v>5.62</v>
      </c>
      <c r="AN117" s="771">
        <v>5.71</v>
      </c>
      <c r="AO117" s="858">
        <v>5.83</v>
      </c>
      <c r="AP117" s="771">
        <v>5.66</v>
      </c>
      <c r="AQ117" s="771">
        <v>4.4800000000000004</v>
      </c>
      <c r="AR117" s="771">
        <v>3.89</v>
      </c>
      <c r="AS117" s="771">
        <v>4.2300000000000004</v>
      </c>
      <c r="AT117" s="858">
        <v>4.5599999999999996</v>
      </c>
      <c r="AU117" s="771">
        <v>4.72</v>
      </c>
      <c r="AV117" s="771">
        <v>4.92</v>
      </c>
      <c r="AW117" s="771">
        <v>6.28</v>
      </c>
      <c r="AX117" s="771">
        <v>7.9</v>
      </c>
      <c r="AY117" s="858">
        <v>5.93</v>
      </c>
      <c r="AZ117" s="771">
        <v>8.8699999999999992</v>
      </c>
      <c r="BA117" s="771">
        <v>9.23</v>
      </c>
      <c r="BB117" s="771">
        <v>10.36</v>
      </c>
      <c r="BC117" s="771">
        <v>10.35</v>
      </c>
      <c r="BD117" s="858">
        <v>9.75</v>
      </c>
      <c r="BE117" s="771">
        <v>9</v>
      </c>
      <c r="BF117" s="771">
        <v>7.5</v>
      </c>
      <c r="BG117" s="771">
        <v>6.96</v>
      </c>
      <c r="BH117" s="771">
        <v>7.31</v>
      </c>
      <c r="BI117" s="858">
        <v>7.69</v>
      </c>
      <c r="BJ117" s="771">
        <v>7.25</v>
      </c>
      <c r="BK117" s="771">
        <v>6.86</v>
      </c>
      <c r="BL117" s="771">
        <v>7.46</v>
      </c>
      <c r="BM117" s="771">
        <v>7.67</v>
      </c>
      <c r="BN117" s="858">
        <v>7.32</v>
      </c>
      <c r="BO117" s="771">
        <v>7.12</v>
      </c>
      <c r="BP117" s="771">
        <v>7.2</v>
      </c>
      <c r="BQ117" s="771">
        <v>6.88</v>
      </c>
      <c r="BR117" s="771">
        <v>6.97</v>
      </c>
      <c r="BS117" s="858">
        <v>7.04</v>
      </c>
      <c r="BT117" s="772">
        <v>6.99</v>
      </c>
      <c r="BU117" s="569">
        <f>BU123+BU129</f>
        <v>6.25</v>
      </c>
      <c r="BV117" s="569">
        <f>BV123+BV129</f>
        <v>6.15</v>
      </c>
      <c r="BW117" s="569">
        <f>BW123+BW129</f>
        <v>6.65</v>
      </c>
      <c r="BX117" s="854">
        <f>SUM(BT117*BT78,BU117*BU78,BV117*BV78,BW117*BW78)/BX78</f>
        <v>6.4845213853580397</v>
      </c>
      <c r="BY117" s="569">
        <f>BY123+BY129</f>
        <v>7.03</v>
      </c>
      <c r="BZ117" s="569">
        <f>BZ123+BZ129</f>
        <v>6.07</v>
      </c>
      <c r="CA117" s="569">
        <f>CA123+CA129</f>
        <v>6.3900000000000006</v>
      </c>
      <c r="CB117" s="569">
        <f>CB123+CB129</f>
        <v>6.88</v>
      </c>
      <c r="CC117" s="854">
        <f>SUM(BY117*BY78,BZ117*BZ78,CA117*CA78,CB117*CB78)/CC78</f>
        <v>6.6006998239436623</v>
      </c>
      <c r="CD117" s="854">
        <f>CD123+CD129</f>
        <v>8.73</v>
      </c>
      <c r="CE117" s="854">
        <f>CE123+CE129</f>
        <v>8.68</v>
      </c>
      <c r="CF117" s="854">
        <f>CF123+CF129</f>
        <v>8.629999999999999</v>
      </c>
      <c r="CG117" s="570"/>
    </row>
    <row r="118" spans="1:85" s="571" customFormat="1" x14ac:dyDescent="0.3">
      <c r="A118" s="567" t="s">
        <v>86</v>
      </c>
      <c r="B118" s="568"/>
      <c r="C118" s="858">
        <v>56.8</v>
      </c>
      <c r="D118" s="858">
        <v>74.8</v>
      </c>
      <c r="E118" s="858">
        <v>102.19</v>
      </c>
      <c r="F118" s="858">
        <v>101.72</v>
      </c>
      <c r="G118" s="771">
        <v>101.68</v>
      </c>
      <c r="H118" s="771">
        <v>99.14</v>
      </c>
      <c r="I118" s="771">
        <v>103.75</v>
      </c>
      <c r="J118" s="771">
        <v>95.85</v>
      </c>
      <c r="K118" s="858">
        <v>100.13</v>
      </c>
      <c r="L118" s="771">
        <v>97.27</v>
      </c>
      <c r="M118" s="771">
        <v>99.06</v>
      </c>
      <c r="N118" s="771">
        <v>94.07</v>
      </c>
      <c r="O118" s="771">
        <v>70.819999999999993</v>
      </c>
      <c r="P118" s="858">
        <v>90.14</v>
      </c>
      <c r="Q118" s="771">
        <v>46.16</v>
      </c>
      <c r="R118" s="771">
        <v>54.41</v>
      </c>
      <c r="S118" s="771">
        <v>45.56</v>
      </c>
      <c r="T118" s="771">
        <v>38.14</v>
      </c>
      <c r="U118" s="858">
        <v>46.12</v>
      </c>
      <c r="V118" s="771">
        <v>28.44</v>
      </c>
      <c r="W118" s="771">
        <v>38.85</v>
      </c>
      <c r="X118" s="771">
        <v>40.1</v>
      </c>
      <c r="Y118" s="771">
        <v>43.59</v>
      </c>
      <c r="Z118" s="858">
        <v>37.83</v>
      </c>
      <c r="AA118" s="771">
        <v>47.88</v>
      </c>
      <c r="AB118" s="771">
        <v>44.91</v>
      </c>
      <c r="AC118" s="771">
        <v>45</v>
      </c>
      <c r="AD118" s="771">
        <v>54.06</v>
      </c>
      <c r="AE118" s="858">
        <v>47.92</v>
      </c>
      <c r="AF118" s="771">
        <v>61.27</v>
      </c>
      <c r="AG118" s="771">
        <v>65.19</v>
      </c>
      <c r="AH118" s="771">
        <v>68.150000000000006</v>
      </c>
      <c r="AI118" s="771">
        <v>62.2</v>
      </c>
      <c r="AJ118" s="858">
        <v>64.260000000000005</v>
      </c>
      <c r="AK118" s="771">
        <v>55.72</v>
      </c>
      <c r="AL118" s="771">
        <v>61.7</v>
      </c>
      <c r="AM118" s="771">
        <v>56.95</v>
      </c>
      <c r="AN118" s="771">
        <v>55.91</v>
      </c>
      <c r="AO118" s="858">
        <v>67.56</v>
      </c>
      <c r="AP118" s="771">
        <v>45.43</v>
      </c>
      <c r="AQ118" s="771">
        <v>23</v>
      </c>
      <c r="AR118" s="771">
        <v>38.04</v>
      </c>
      <c r="AS118" s="771">
        <v>39.94</v>
      </c>
      <c r="AT118" s="858">
        <v>36.840000000000003</v>
      </c>
      <c r="AU118" s="771">
        <v>55.71</v>
      </c>
      <c r="AV118" s="771">
        <v>63.51</v>
      </c>
      <c r="AW118" s="771">
        <v>67.73</v>
      </c>
      <c r="AX118" s="771">
        <v>73.040000000000006</v>
      </c>
      <c r="AY118" s="858">
        <v>65.290000000000006</v>
      </c>
      <c r="AZ118" s="771">
        <v>91.08</v>
      </c>
      <c r="BA118" s="771">
        <v>106.11</v>
      </c>
      <c r="BB118" s="771">
        <v>90.83</v>
      </c>
      <c r="BC118" s="771">
        <v>81.7</v>
      </c>
      <c r="BD118" s="858">
        <v>92.41</v>
      </c>
      <c r="BE118" s="771">
        <v>71.87</v>
      </c>
      <c r="BF118" s="771">
        <v>70.72</v>
      </c>
      <c r="BG118" s="771">
        <v>80.400000000000006</v>
      </c>
      <c r="BH118" s="771">
        <v>76.239999999999995</v>
      </c>
      <c r="BI118" s="858">
        <v>75.040000000000006</v>
      </c>
      <c r="BJ118" s="771">
        <v>74</v>
      </c>
      <c r="BK118" s="771">
        <v>78.900000000000006</v>
      </c>
      <c r="BL118" s="771">
        <v>73.040000000000006</v>
      </c>
      <c r="BM118" s="771">
        <v>68.23</v>
      </c>
      <c r="BN118" s="858">
        <v>73.47</v>
      </c>
      <c r="BO118" s="771">
        <v>69.77</v>
      </c>
      <c r="BP118" s="771">
        <v>61.49</v>
      </c>
      <c r="BQ118" s="771">
        <v>62.93</v>
      </c>
      <c r="BR118" s="771">
        <v>56.19</v>
      </c>
      <c r="BS118" s="858">
        <v>62.22</v>
      </c>
      <c r="BT118" s="772">
        <v>68.83</v>
      </c>
      <c r="BU118" s="569"/>
      <c r="BV118" s="569"/>
      <c r="BW118" s="569"/>
      <c r="BX118" s="854"/>
      <c r="BY118" s="569"/>
      <c r="BZ118" s="569"/>
      <c r="CA118" s="569"/>
      <c r="CB118" s="569"/>
      <c r="CC118" s="854"/>
      <c r="CD118" s="854"/>
      <c r="CE118" s="854"/>
      <c r="CF118" s="854"/>
      <c r="CG118" s="570"/>
    </row>
    <row r="119" spans="1:85" s="571" customFormat="1" x14ac:dyDescent="0.3">
      <c r="A119" s="567" t="s">
        <v>768</v>
      </c>
      <c r="B119" s="568"/>
      <c r="C119" s="853">
        <f>SUM(C56*C114,C57*C115,C78*C117,C79*C116)/SUM(C56,C57,C78/6,C79/6)</f>
        <v>38.810044898591109</v>
      </c>
      <c r="D119" s="853">
        <f t="shared" ref="D119:BG119" si="313">SUM(D56*D114,D57*D115,D78*D117,D79*D116)/SUM(D56,D57,D78/6,D79/6)</f>
        <v>48.623756148457304</v>
      </c>
      <c r="E119" s="853">
        <f t="shared" si="313"/>
        <v>62.28318076745262</v>
      </c>
      <c r="F119" s="853">
        <f t="shared" si="313"/>
        <v>60.231068985944304</v>
      </c>
      <c r="G119" s="570">
        <f t="shared" si="313"/>
        <v>60.29235853070486</v>
      </c>
      <c r="H119" s="570">
        <f t="shared" si="313"/>
        <v>61.349835156675418</v>
      </c>
      <c r="I119" s="570">
        <f t="shared" si="313"/>
        <v>65.476057179857548</v>
      </c>
      <c r="J119" s="570">
        <f t="shared" si="313"/>
        <v>65.438614871157753</v>
      </c>
      <c r="K119" s="853">
        <f t="shared" si="313"/>
        <v>63.849677540048113</v>
      </c>
      <c r="L119" s="570">
        <f t="shared" si="313"/>
        <v>66.577769929888319</v>
      </c>
      <c r="M119" s="570">
        <f t="shared" si="313"/>
        <v>69.13611172935677</v>
      </c>
      <c r="N119" s="570">
        <f t="shared" si="313"/>
        <v>63.807364831417424</v>
      </c>
      <c r="O119" s="570">
        <f t="shared" si="313"/>
        <v>49.410280142984419</v>
      </c>
      <c r="P119" s="853">
        <f t="shared" si="313"/>
        <v>62.134881626153046</v>
      </c>
      <c r="Q119" s="570">
        <f t="shared" si="313"/>
        <v>35.30909071741079</v>
      </c>
      <c r="R119" s="570">
        <f t="shared" si="313"/>
        <v>39.347311529933471</v>
      </c>
      <c r="S119" s="570">
        <f t="shared" si="313"/>
        <v>33.424044496098297</v>
      </c>
      <c r="T119" s="570">
        <f t="shared" si="313"/>
        <v>28.562520132313097</v>
      </c>
      <c r="U119" s="853">
        <f t="shared" si="313"/>
        <v>34.11904618534583</v>
      </c>
      <c r="V119" s="570">
        <f t="shared" si="313"/>
        <v>23.121730499514509</v>
      </c>
      <c r="W119" s="570">
        <f t="shared" si="313"/>
        <v>29.428672924512394</v>
      </c>
      <c r="X119" s="570">
        <f t="shared" si="313"/>
        <v>30.870908468776733</v>
      </c>
      <c r="Y119" s="570">
        <f t="shared" si="313"/>
        <v>33.203631645779275</v>
      </c>
      <c r="Z119" s="853">
        <f t="shared" si="313"/>
        <v>29.095795166096458</v>
      </c>
      <c r="AA119" s="570">
        <f t="shared" si="313"/>
        <v>36.117519652575453</v>
      </c>
      <c r="AB119" s="570">
        <f t="shared" si="313"/>
        <v>33.936187807328295</v>
      </c>
      <c r="AC119" s="570">
        <f t="shared" si="313"/>
        <v>34.87283405344855</v>
      </c>
      <c r="AD119" s="570">
        <f t="shared" si="313"/>
        <v>39.813940223110919</v>
      </c>
      <c r="AE119" s="853">
        <f t="shared" si="313"/>
        <v>36.201673599999992</v>
      </c>
      <c r="AF119" s="570">
        <f t="shared" si="313"/>
        <v>44.296622854492036</v>
      </c>
      <c r="AG119" s="570">
        <f t="shared" si="313"/>
        <v>46.693769751692997</v>
      </c>
      <c r="AH119" s="570">
        <f t="shared" si="313"/>
        <v>49.444255965952273</v>
      </c>
      <c r="AI119" s="570">
        <f t="shared" si="313"/>
        <v>44.502759913752691</v>
      </c>
      <c r="AJ119" s="853">
        <f t="shared" si="313"/>
        <v>46.25369267330737</v>
      </c>
      <c r="AK119" s="570">
        <f t="shared" si="313"/>
        <v>41.462800243662443</v>
      </c>
      <c r="AL119" s="570">
        <f t="shared" si="313"/>
        <v>41.252507047637252</v>
      </c>
      <c r="AM119" s="570">
        <f t="shared" si="313"/>
        <v>38.26039811972371</v>
      </c>
      <c r="AN119" s="570">
        <f t="shared" si="313"/>
        <v>38.661477916194791</v>
      </c>
      <c r="AO119" s="853">
        <f t="shared" si="313"/>
        <v>39.878835587188611</v>
      </c>
      <c r="AP119" s="570">
        <f t="shared" si="313"/>
        <v>31.493108778199687</v>
      </c>
      <c r="AQ119" s="570">
        <f t="shared" si="313"/>
        <v>19.178738943519296</v>
      </c>
      <c r="AR119" s="570">
        <f t="shared" si="313"/>
        <v>26.337637601761305</v>
      </c>
      <c r="AS119" s="570">
        <f t="shared" si="313"/>
        <v>29.231614948602175</v>
      </c>
      <c r="AT119" s="853">
        <f t="shared" si="313"/>
        <v>29.771545138888879</v>
      </c>
      <c r="AU119" s="570">
        <f t="shared" si="313"/>
        <v>38.207182342218054</v>
      </c>
      <c r="AV119" s="570">
        <f t="shared" si="313"/>
        <v>42.643328234934224</v>
      </c>
      <c r="AW119" s="570">
        <f t="shared" si="313"/>
        <v>47.327831373330675</v>
      </c>
      <c r="AX119" s="570">
        <f t="shared" si="313"/>
        <v>54.83475794139374</v>
      </c>
      <c r="AY119" s="853">
        <f t="shared" si="313"/>
        <v>45.729474313618013</v>
      </c>
      <c r="AZ119" s="570">
        <f t="shared" si="313"/>
        <v>63.430349331713238</v>
      </c>
      <c r="BA119" s="570">
        <f t="shared" si="313"/>
        <v>72.39639489039584</v>
      </c>
      <c r="BB119" s="570">
        <f t="shared" si="313"/>
        <v>67.270339266831172</v>
      </c>
      <c r="BC119" s="570">
        <f t="shared" si="313"/>
        <v>60.310655577299421</v>
      </c>
      <c r="BD119" s="853">
        <f t="shared" si="313"/>
        <v>65.699179967784445</v>
      </c>
      <c r="BE119" s="570">
        <f t="shared" si="313"/>
        <v>51.267256016207938</v>
      </c>
      <c r="BF119" s="570">
        <f t="shared" si="313"/>
        <v>45.294854570972262</v>
      </c>
      <c r="BG119" s="570">
        <f t="shared" si="313"/>
        <v>47.589760312151618</v>
      </c>
      <c r="BH119" s="570">
        <f t="shared" ref="BH119:BO119" si="314">SUM(BH56*BH114,BH57*BH115,BH78*BH117,BH79*BH116)/SUM(BH56,BH57,BH78/6,BH79/6)</f>
        <v>47.866685244161367</v>
      </c>
      <c r="BI119" s="853">
        <f t="shared" si="314"/>
        <v>47.910887163848081</v>
      </c>
      <c r="BJ119" s="570">
        <f t="shared" si="314"/>
        <v>45.906888536714199</v>
      </c>
      <c r="BK119" s="570">
        <f t="shared" si="314"/>
        <v>45.712218594875011</v>
      </c>
      <c r="BL119" s="570">
        <f t="shared" si="314"/>
        <v>43.726324801257967</v>
      </c>
      <c r="BM119" s="570">
        <f t="shared" si="314"/>
        <v>44.858310402243447</v>
      </c>
      <c r="BN119" s="853">
        <f t="shared" si="314"/>
        <v>45.059751541850225</v>
      </c>
      <c r="BO119" s="570">
        <f t="shared" si="314"/>
        <v>45.375482164116576</v>
      </c>
      <c r="BP119" s="570">
        <f>SUM(BP56*BP114,BP57*BP115,BP78*BP117,BP79*BP116)/SUM(BP56,BP57,BP78/6,BP79/6)</f>
        <v>40.241208047981623</v>
      </c>
      <c r="BQ119" s="570">
        <f>SUM(BQ56*BQ114,BQ57*BQ115,BQ78*BQ117,BQ79*BQ116)/SUM(BQ56,BQ57,BQ78/6,BQ79/6)</f>
        <v>42.040990360297613</v>
      </c>
      <c r="BR119" s="570">
        <f>SUM(BR56*BR114,BR57*BR115,BR78*BR117,BR79*BR116)/SUM(BR56,BR57,BR78/6,BR79/6)</f>
        <v>39.770919222139113</v>
      </c>
      <c r="BS119" s="853">
        <f>SUM(BS56*BS114,BS57*BS115,BS78*BS117,BS79*BS116)/SUM(BS56,BS57,BS78/6,BS79/6)</f>
        <v>41.755534104507383</v>
      </c>
      <c r="BT119" s="713">
        <f>SUM(BT56*BT114,BT57*BT115,BT78*BT117,BT79*BT116)/SUM(BT56,BT57,BT78/6,BT79/6)</f>
        <v>46.960578699268005</v>
      </c>
      <c r="BU119" s="569"/>
      <c r="BV119" s="569"/>
      <c r="BW119" s="569"/>
      <c r="BX119" s="854"/>
      <c r="BY119" s="569"/>
      <c r="BZ119" s="569"/>
      <c r="CA119" s="569"/>
      <c r="CB119" s="569"/>
      <c r="CC119" s="854"/>
      <c r="CD119" s="854"/>
      <c r="CE119" s="854"/>
      <c r="CF119" s="854"/>
      <c r="CG119" s="570"/>
    </row>
    <row r="120" spans="1:85" s="571" customFormat="1" x14ac:dyDescent="0.3">
      <c r="A120" s="633"/>
      <c r="B120" s="568"/>
      <c r="C120" s="854"/>
      <c r="D120" s="854"/>
      <c r="E120" s="854"/>
      <c r="F120" s="854"/>
      <c r="G120" s="569"/>
      <c r="H120" s="569"/>
      <c r="I120" s="569"/>
      <c r="J120" s="569"/>
      <c r="K120" s="854"/>
      <c r="L120" s="569"/>
      <c r="M120" s="569"/>
      <c r="N120" s="569"/>
      <c r="O120" s="569"/>
      <c r="P120" s="854"/>
      <c r="Q120" s="569"/>
      <c r="R120" s="569"/>
      <c r="S120" s="569"/>
      <c r="T120" s="569"/>
      <c r="U120" s="854"/>
      <c r="V120" s="569"/>
      <c r="W120" s="569"/>
      <c r="X120" s="569"/>
      <c r="Y120" s="569"/>
      <c r="Z120" s="854"/>
      <c r="AA120" s="569"/>
      <c r="AB120" s="569"/>
      <c r="AC120" s="569"/>
      <c r="AD120" s="569"/>
      <c r="AE120" s="854"/>
      <c r="AF120" s="569"/>
      <c r="AG120" s="569"/>
      <c r="AH120" s="569"/>
      <c r="AI120" s="569"/>
      <c r="AJ120" s="854"/>
      <c r="AK120" s="569"/>
      <c r="AL120" s="569"/>
      <c r="AM120" s="569"/>
      <c r="AN120" s="569"/>
      <c r="AO120" s="854"/>
      <c r="AP120" s="569"/>
      <c r="AQ120" s="569"/>
      <c r="AR120" s="569"/>
      <c r="AS120" s="569"/>
      <c r="AT120" s="854"/>
      <c r="AU120" s="569"/>
      <c r="AV120" s="569"/>
      <c r="AW120" s="569"/>
      <c r="AX120" s="569"/>
      <c r="AY120" s="854"/>
      <c r="AZ120" s="569"/>
      <c r="BA120" s="569"/>
      <c r="BB120" s="569"/>
      <c r="BC120" s="569"/>
      <c r="BD120" s="854"/>
      <c r="BE120" s="569"/>
      <c r="BF120" s="569"/>
      <c r="BG120" s="569"/>
      <c r="BH120" s="569"/>
      <c r="BI120" s="854"/>
      <c r="BJ120" s="569"/>
      <c r="BK120" s="569"/>
      <c r="BL120" s="569"/>
      <c r="BM120" s="569"/>
      <c r="BN120" s="854"/>
      <c r="BO120" s="569"/>
      <c r="BP120" s="569"/>
      <c r="BQ120" s="569"/>
      <c r="BR120" s="569"/>
      <c r="BS120" s="854"/>
      <c r="BT120" s="649"/>
      <c r="BU120" s="569"/>
      <c r="BV120" s="569"/>
      <c r="BW120" s="569"/>
      <c r="BX120" s="854"/>
      <c r="BY120" s="569"/>
      <c r="BZ120" s="569"/>
      <c r="CA120" s="569"/>
      <c r="CB120" s="569"/>
      <c r="CC120" s="854"/>
      <c r="CD120" s="854"/>
      <c r="CE120" s="854"/>
      <c r="CF120" s="854"/>
      <c r="CG120" s="570"/>
    </row>
    <row r="121" spans="1:85" s="630" customFormat="1" x14ac:dyDescent="0.3">
      <c r="A121" s="628" t="s">
        <v>520</v>
      </c>
      <c r="B121" s="628"/>
      <c r="C121" s="628"/>
      <c r="D121" s="628"/>
      <c r="E121" s="628"/>
      <c r="F121" s="628"/>
      <c r="G121" s="628"/>
      <c r="H121" s="628"/>
      <c r="I121" s="628"/>
      <c r="J121" s="628"/>
      <c r="K121" s="628"/>
      <c r="L121" s="628"/>
      <c r="M121" s="628"/>
      <c r="N121" s="628"/>
      <c r="O121" s="628"/>
      <c r="P121" s="628"/>
      <c r="Q121" s="628"/>
      <c r="R121" s="628"/>
      <c r="S121" s="628"/>
      <c r="T121" s="628"/>
      <c r="U121" s="628"/>
      <c r="V121" s="628"/>
      <c r="W121" s="628"/>
      <c r="X121" s="628"/>
      <c r="Y121" s="628"/>
      <c r="Z121" s="628"/>
      <c r="AA121" s="628"/>
      <c r="AB121" s="628"/>
      <c r="AC121" s="628"/>
      <c r="AD121" s="628"/>
      <c r="AE121" s="628"/>
      <c r="AF121" s="628"/>
      <c r="AG121" s="628"/>
      <c r="AH121" s="628"/>
      <c r="AI121" s="628"/>
      <c r="AJ121" s="628"/>
      <c r="AK121" s="628"/>
      <c r="AL121" s="628"/>
      <c r="AM121" s="628"/>
      <c r="AN121" s="628"/>
      <c r="AO121" s="628"/>
      <c r="AP121" s="628"/>
      <c r="AQ121" s="628"/>
      <c r="AR121" s="628"/>
      <c r="AS121" s="628"/>
      <c r="AT121" s="628"/>
      <c r="AU121" s="628"/>
      <c r="AV121" s="628"/>
      <c r="AW121" s="628"/>
      <c r="AX121" s="628"/>
      <c r="AY121" s="628"/>
      <c r="AZ121" s="628"/>
      <c r="BA121" s="628"/>
      <c r="BB121" s="628"/>
      <c r="BC121" s="628"/>
      <c r="BD121" s="628"/>
      <c r="BE121" s="628"/>
      <c r="BF121" s="628"/>
      <c r="BG121" s="628"/>
      <c r="BH121" s="628"/>
      <c r="BI121" s="628"/>
      <c r="BJ121" s="628"/>
      <c r="BK121" s="628"/>
      <c r="BL121" s="628"/>
      <c r="BM121" s="628"/>
      <c r="BN121" s="628"/>
      <c r="BO121" s="628"/>
      <c r="BP121" s="628"/>
      <c r="BQ121" s="628"/>
      <c r="BR121" s="628"/>
      <c r="BS121" s="628"/>
      <c r="BT121" s="716"/>
      <c r="BU121" s="628"/>
      <c r="BV121" s="628"/>
      <c r="BW121" s="628"/>
      <c r="BX121" s="628"/>
      <c r="BY121" s="628"/>
      <c r="BZ121" s="628"/>
      <c r="CA121" s="628"/>
      <c r="CB121" s="628"/>
      <c r="CC121" s="628"/>
      <c r="CD121" s="628"/>
      <c r="CE121" s="628"/>
      <c r="CF121" s="628"/>
      <c r="CG121" s="629"/>
    </row>
    <row r="122" spans="1:85" s="622" customFormat="1" x14ac:dyDescent="0.3">
      <c r="A122" s="618" t="s">
        <v>518</v>
      </c>
      <c r="B122" s="619"/>
      <c r="C122" s="859">
        <v>62.09</v>
      </c>
      <c r="D122" s="859">
        <v>79.61</v>
      </c>
      <c r="E122" s="859">
        <v>95.11</v>
      </c>
      <c r="F122" s="859">
        <v>94.15</v>
      </c>
      <c r="G122" s="773">
        <v>94.36</v>
      </c>
      <c r="H122" s="773">
        <v>94.17</v>
      </c>
      <c r="I122" s="773">
        <v>105.81</v>
      </c>
      <c r="J122" s="773">
        <v>97.61</v>
      </c>
      <c r="K122" s="859">
        <v>98.05</v>
      </c>
      <c r="L122" s="773">
        <v>98.61</v>
      </c>
      <c r="M122" s="773">
        <v>102.99</v>
      </c>
      <c r="N122" s="773">
        <v>97.25</v>
      </c>
      <c r="O122" s="773">
        <v>73.2</v>
      </c>
      <c r="P122" s="859">
        <v>92.91</v>
      </c>
      <c r="Q122" s="773">
        <v>48.57</v>
      </c>
      <c r="R122" s="773">
        <v>57.95</v>
      </c>
      <c r="S122" s="773">
        <v>46.5</v>
      </c>
      <c r="T122" s="773">
        <v>42.06</v>
      </c>
      <c r="U122" s="859">
        <v>48.79</v>
      </c>
      <c r="V122" s="773">
        <v>33.630000000000003</v>
      </c>
      <c r="W122" s="773">
        <v>45.59</v>
      </c>
      <c r="X122" s="773">
        <v>47</v>
      </c>
      <c r="Y122" s="773">
        <v>49.23</v>
      </c>
      <c r="Z122" s="859">
        <v>43.34</v>
      </c>
      <c r="AA122" s="773">
        <v>51.7</v>
      </c>
      <c r="AB122" s="773">
        <v>48.11</v>
      </c>
      <c r="AC122" s="773">
        <v>48.18</v>
      </c>
      <c r="AD122" s="773">
        <v>55.23</v>
      </c>
      <c r="AE122" s="859">
        <v>50.79</v>
      </c>
      <c r="AF122" s="773">
        <v>62.9</v>
      </c>
      <c r="AG122" s="773">
        <v>68.03</v>
      </c>
      <c r="AH122" s="773">
        <v>69.5</v>
      </c>
      <c r="AI122" s="773">
        <v>59.98</v>
      </c>
      <c r="AJ122" s="859">
        <v>65.2</v>
      </c>
      <c r="AK122" s="773">
        <v>54.87</v>
      </c>
      <c r="AL122" s="773">
        <v>59.88</v>
      </c>
      <c r="AM122" s="773">
        <v>56.34</v>
      </c>
      <c r="AN122" s="773">
        <v>56.82</v>
      </c>
      <c r="AO122" s="859">
        <v>56.98</v>
      </c>
      <c r="AP122" s="773">
        <v>45.34</v>
      </c>
      <c r="AQ122" s="773">
        <v>27.96</v>
      </c>
      <c r="AR122" s="773">
        <v>40.89</v>
      </c>
      <c r="AS122" s="773">
        <v>42.52</v>
      </c>
      <c r="AT122" s="859">
        <v>39.159999999999997</v>
      </c>
      <c r="AU122" s="773">
        <v>58.09</v>
      </c>
      <c r="AV122" s="773">
        <v>66.19</v>
      </c>
      <c r="AW122" s="773">
        <v>70.58</v>
      </c>
      <c r="AX122" s="773">
        <v>77.33</v>
      </c>
      <c r="AY122" s="859">
        <v>68.14</v>
      </c>
      <c r="AZ122" s="773">
        <v>95.18</v>
      </c>
      <c r="BA122" s="773">
        <v>108.83</v>
      </c>
      <c r="BB122" s="773">
        <v>93.06</v>
      </c>
      <c r="BC122" s="773">
        <v>82.79</v>
      </c>
      <c r="BD122" s="859">
        <v>94.9</v>
      </c>
      <c r="BE122" s="773">
        <v>75.930000000000007</v>
      </c>
      <c r="BF122" s="773">
        <v>73.540000000000006</v>
      </c>
      <c r="BG122" s="773">
        <v>82.25</v>
      </c>
      <c r="BH122" s="773">
        <v>78.53</v>
      </c>
      <c r="BI122" s="859">
        <v>77.58</v>
      </c>
      <c r="BJ122" s="773">
        <v>77.5</v>
      </c>
      <c r="BK122" s="773">
        <v>81.81</v>
      </c>
      <c r="BL122" s="773">
        <v>76.430000000000007</v>
      </c>
      <c r="BM122" s="773">
        <v>70.73</v>
      </c>
      <c r="BN122" s="859">
        <v>76.63</v>
      </c>
      <c r="BO122" s="773">
        <v>71.78</v>
      </c>
      <c r="BP122" s="773">
        <v>64.569999999999993</v>
      </c>
      <c r="BQ122" s="773">
        <v>65.78</v>
      </c>
      <c r="BR122" s="774">
        <v>59.62</v>
      </c>
      <c r="BS122" s="860">
        <v>65.39</v>
      </c>
      <c r="BT122" s="775">
        <v>72.739999999999995</v>
      </c>
      <c r="BU122" s="774">
        <v>88.3</v>
      </c>
      <c r="BV122" s="774">
        <v>81.3</v>
      </c>
      <c r="BW122" s="774">
        <v>75.77</v>
      </c>
      <c r="BX122" s="861">
        <f>AVERAGE(BT122,BU122,BV122,BW122)</f>
        <v>79.527499999999989</v>
      </c>
      <c r="BY122" s="774">
        <v>73.23</v>
      </c>
      <c r="BZ122" s="774">
        <v>72.05</v>
      </c>
      <c r="CA122" s="774">
        <v>71.08</v>
      </c>
      <c r="CB122" s="774">
        <v>70.45</v>
      </c>
      <c r="CC122" s="861">
        <f>AVERAGE(BY122,BZ122,CA122,CB122)</f>
        <v>71.702500000000001</v>
      </c>
      <c r="CD122" s="860">
        <v>67.239999999999995</v>
      </c>
      <c r="CE122" s="860">
        <v>66.239999999999995</v>
      </c>
      <c r="CF122" s="860">
        <v>64.38</v>
      </c>
      <c r="CG122" s="621"/>
    </row>
    <row r="123" spans="1:85" s="622" customFormat="1" x14ac:dyDescent="0.3">
      <c r="A123" s="618" t="s">
        <v>519</v>
      </c>
      <c r="B123" s="619"/>
      <c r="C123" s="859">
        <v>4.16</v>
      </c>
      <c r="D123" s="859">
        <v>4.38</v>
      </c>
      <c r="E123" s="859">
        <v>4.03</v>
      </c>
      <c r="F123" s="859">
        <v>2.83</v>
      </c>
      <c r="G123" s="773">
        <v>3.48</v>
      </c>
      <c r="H123" s="773">
        <v>4.0199999999999996</v>
      </c>
      <c r="I123" s="773">
        <v>3.56</v>
      </c>
      <c r="J123" s="773">
        <v>3.85</v>
      </c>
      <c r="K123" s="859">
        <v>3.73</v>
      </c>
      <c r="L123" s="773">
        <v>4.71</v>
      </c>
      <c r="M123" s="773">
        <v>4.58</v>
      </c>
      <c r="N123" s="773">
        <v>3.95</v>
      </c>
      <c r="O123" s="773">
        <v>3.83</v>
      </c>
      <c r="P123" s="859">
        <v>4.26</v>
      </c>
      <c r="Q123" s="773">
        <v>2.81</v>
      </c>
      <c r="R123" s="773">
        <v>2.74</v>
      </c>
      <c r="S123" s="773">
        <v>2.73</v>
      </c>
      <c r="T123" s="773">
        <v>2.23</v>
      </c>
      <c r="U123" s="859">
        <v>2.63</v>
      </c>
      <c r="V123" s="773">
        <v>1.98</v>
      </c>
      <c r="W123" s="773">
        <v>2.2400000000000002</v>
      </c>
      <c r="X123" s="773">
        <v>2.25</v>
      </c>
      <c r="Y123" s="773">
        <v>2.98</v>
      </c>
      <c r="Z123" s="859">
        <v>2.46</v>
      </c>
      <c r="AA123" s="773">
        <v>3.32</v>
      </c>
      <c r="AB123" s="773">
        <v>3.18</v>
      </c>
      <c r="AC123" s="773">
        <v>2.99</v>
      </c>
      <c r="AD123" s="773">
        <v>2.93</v>
      </c>
      <c r="AE123" s="859">
        <v>3.11</v>
      </c>
      <c r="AF123" s="773">
        <v>3.01</v>
      </c>
      <c r="AG123" s="773">
        <v>2.86</v>
      </c>
      <c r="AH123" s="773">
        <v>2.9</v>
      </c>
      <c r="AI123" s="773">
        <v>3.65</v>
      </c>
      <c r="AJ123" s="859">
        <v>3.08</v>
      </c>
      <c r="AK123" s="773">
        <v>2.94</v>
      </c>
      <c r="AL123" s="773">
        <v>2.57</v>
      </c>
      <c r="AM123" s="773">
        <v>2.38</v>
      </c>
      <c r="AN123" s="773">
        <v>2.4</v>
      </c>
      <c r="AO123" s="859">
        <v>2.56</v>
      </c>
      <c r="AP123" s="773">
        <v>1.9</v>
      </c>
      <c r="AQ123" s="773">
        <v>1.7</v>
      </c>
      <c r="AR123" s="773">
        <v>2</v>
      </c>
      <c r="AS123" s="773">
        <v>2.52</v>
      </c>
      <c r="AT123" s="859">
        <v>2.0299999999999998</v>
      </c>
      <c r="AU123" s="773">
        <v>3.5</v>
      </c>
      <c r="AV123" s="773">
        <v>2.95</v>
      </c>
      <c r="AW123" s="773">
        <v>4.3499999999999996</v>
      </c>
      <c r="AX123" s="773">
        <v>4.75</v>
      </c>
      <c r="AY123" s="859">
        <v>3.89</v>
      </c>
      <c r="AZ123" s="773">
        <v>4.67</v>
      </c>
      <c r="BA123" s="773">
        <v>7.5</v>
      </c>
      <c r="BB123" s="773">
        <v>8.0299999999999994</v>
      </c>
      <c r="BC123" s="773">
        <v>5.55</v>
      </c>
      <c r="BD123" s="859">
        <v>6.45</v>
      </c>
      <c r="BE123" s="773">
        <v>2.64</v>
      </c>
      <c r="BF123" s="773">
        <v>2.16</v>
      </c>
      <c r="BG123" s="773">
        <v>2.59</v>
      </c>
      <c r="BH123" s="773">
        <v>2.74</v>
      </c>
      <c r="BI123" s="859">
        <v>2.5299999999999998</v>
      </c>
      <c r="BJ123" s="773">
        <v>2.15</v>
      </c>
      <c r="BK123" s="773">
        <v>2.0699999999999998</v>
      </c>
      <c r="BL123" s="773">
        <v>2.11</v>
      </c>
      <c r="BM123" s="773">
        <v>2.44</v>
      </c>
      <c r="BN123" s="859">
        <v>2.19</v>
      </c>
      <c r="BO123" s="773">
        <v>4.1399999999999997</v>
      </c>
      <c r="BP123" s="773">
        <v>3.19</v>
      </c>
      <c r="BQ123" s="773">
        <v>3.03</v>
      </c>
      <c r="BR123" s="774">
        <v>3.73</v>
      </c>
      <c r="BS123" s="860">
        <v>3.52</v>
      </c>
      <c r="BT123" s="775">
        <v>4.71</v>
      </c>
      <c r="BU123" s="774">
        <v>2.75</v>
      </c>
      <c r="BV123" s="774">
        <v>3.15</v>
      </c>
      <c r="BW123" s="774">
        <v>3.65</v>
      </c>
      <c r="BX123" s="861">
        <f>AVERAGE(BT123,BU123,BV123,BW123)</f>
        <v>3.5649999999999999</v>
      </c>
      <c r="BY123" s="774">
        <v>4.03</v>
      </c>
      <c r="BZ123" s="774">
        <v>3.07</v>
      </c>
      <c r="CA123" s="774">
        <v>3.39</v>
      </c>
      <c r="CB123" s="774">
        <v>3.88</v>
      </c>
      <c r="CC123" s="861">
        <f>AVERAGE(BY123,BZ123,CA123,CB123)</f>
        <v>3.5925000000000002</v>
      </c>
      <c r="CD123" s="860">
        <v>3.73</v>
      </c>
      <c r="CE123" s="860">
        <v>3.68</v>
      </c>
      <c r="CF123" s="860">
        <v>3.63</v>
      </c>
      <c r="CG123" s="621"/>
    </row>
    <row r="124" spans="1:85" s="627" customFormat="1" x14ac:dyDescent="0.3">
      <c r="A124" s="623"/>
      <c r="B124" s="624"/>
      <c r="C124" s="862"/>
      <c r="D124" s="862"/>
      <c r="E124" s="862"/>
      <c r="F124" s="862"/>
      <c r="G124" s="625"/>
      <c r="H124" s="625"/>
      <c r="I124" s="625"/>
      <c r="J124" s="625"/>
      <c r="K124" s="862"/>
      <c r="L124" s="625"/>
      <c r="M124" s="625"/>
      <c r="N124" s="625"/>
      <c r="O124" s="625"/>
      <c r="P124" s="862"/>
      <c r="Q124" s="625"/>
      <c r="R124" s="625"/>
      <c r="S124" s="625"/>
      <c r="T124" s="625"/>
      <c r="U124" s="862"/>
      <c r="V124" s="625"/>
      <c r="W124" s="625"/>
      <c r="X124" s="625"/>
      <c r="Y124" s="625"/>
      <c r="Z124" s="862"/>
      <c r="AA124" s="625"/>
      <c r="AB124" s="625"/>
      <c r="AC124" s="625"/>
      <c r="AD124" s="625"/>
      <c r="AE124" s="862"/>
      <c r="AF124" s="625"/>
      <c r="AG124" s="625"/>
      <c r="AH124" s="625"/>
      <c r="AI124" s="625"/>
      <c r="AJ124" s="862"/>
      <c r="AK124" s="625"/>
      <c r="AL124" s="625"/>
      <c r="AM124" s="625"/>
      <c r="AN124" s="625"/>
      <c r="AO124" s="862"/>
      <c r="AP124" s="625"/>
      <c r="AQ124" s="625"/>
      <c r="AR124" s="625"/>
      <c r="AS124" s="625"/>
      <c r="AT124" s="862"/>
      <c r="AU124" s="625"/>
      <c r="AV124" s="625"/>
      <c r="AW124" s="625"/>
      <c r="AX124" s="625"/>
      <c r="AY124" s="862"/>
      <c r="AZ124" s="625"/>
      <c r="BA124" s="625"/>
      <c r="BB124" s="625"/>
      <c r="BC124" s="625"/>
      <c r="BD124" s="862"/>
      <c r="BE124" s="625"/>
      <c r="BF124" s="625"/>
      <c r="BG124" s="625"/>
      <c r="BH124" s="625"/>
      <c r="BI124" s="862"/>
      <c r="BJ124" s="625"/>
      <c r="BK124" s="625"/>
      <c r="BL124" s="625"/>
      <c r="BM124" s="625"/>
      <c r="BN124" s="862"/>
      <c r="BO124" s="625"/>
      <c r="BP124" s="625"/>
      <c r="BQ124" s="625"/>
      <c r="BR124" s="625"/>
      <c r="BS124" s="862"/>
      <c r="BT124" s="652"/>
      <c r="BU124" s="625"/>
      <c r="BV124" s="625"/>
      <c r="BW124" s="625"/>
      <c r="BX124" s="862"/>
      <c r="BY124" s="625"/>
      <c r="BZ124" s="625"/>
      <c r="CA124" s="625"/>
      <c r="CB124" s="625"/>
      <c r="CC124" s="862"/>
      <c r="CD124" s="862"/>
      <c r="CE124" s="862"/>
      <c r="CF124" s="862"/>
      <c r="CG124" s="626"/>
    </row>
    <row r="125" spans="1:85" s="630" customFormat="1" x14ac:dyDescent="0.3">
      <c r="A125" s="628" t="s">
        <v>521</v>
      </c>
      <c r="B125" s="628"/>
      <c r="C125" s="628"/>
      <c r="D125" s="628"/>
      <c r="E125" s="628"/>
      <c r="F125" s="628"/>
      <c r="G125" s="628"/>
      <c r="H125" s="628"/>
      <c r="I125" s="628"/>
      <c r="J125" s="628"/>
      <c r="K125" s="628"/>
      <c r="L125" s="628"/>
      <c r="M125" s="628"/>
      <c r="N125" s="628"/>
      <c r="O125" s="628"/>
      <c r="P125" s="628"/>
      <c r="Q125" s="628"/>
      <c r="R125" s="628"/>
      <c r="S125" s="628"/>
      <c r="T125" s="628"/>
      <c r="U125" s="628"/>
      <c r="V125" s="628"/>
      <c r="W125" s="628"/>
      <c r="X125" s="628"/>
      <c r="Y125" s="628"/>
      <c r="Z125" s="628"/>
      <c r="AA125" s="628"/>
      <c r="AB125" s="628"/>
      <c r="AC125" s="628"/>
      <c r="AD125" s="628"/>
      <c r="AE125" s="628"/>
      <c r="AF125" s="628"/>
      <c r="AG125" s="628"/>
      <c r="AH125" s="628"/>
      <c r="AI125" s="628"/>
      <c r="AJ125" s="628"/>
      <c r="AK125" s="628"/>
      <c r="AL125" s="628"/>
      <c r="AM125" s="628"/>
      <c r="AN125" s="628"/>
      <c r="AO125" s="628"/>
      <c r="AP125" s="628"/>
      <c r="AQ125" s="628"/>
      <c r="AR125" s="628"/>
      <c r="AS125" s="628"/>
      <c r="AT125" s="628"/>
      <c r="AU125" s="628"/>
      <c r="AV125" s="628"/>
      <c r="AW125" s="628"/>
      <c r="AX125" s="628"/>
      <c r="AY125" s="628"/>
      <c r="AZ125" s="628"/>
      <c r="BA125" s="628"/>
      <c r="BB125" s="628"/>
      <c r="BC125" s="628"/>
      <c r="BD125" s="628"/>
      <c r="BE125" s="628"/>
      <c r="BF125" s="628"/>
      <c r="BG125" s="628"/>
      <c r="BH125" s="628"/>
      <c r="BI125" s="628"/>
      <c r="BJ125" s="628"/>
      <c r="BK125" s="628"/>
      <c r="BL125" s="628"/>
      <c r="BM125" s="628"/>
      <c r="BN125" s="628"/>
      <c r="BO125" s="628"/>
      <c r="BP125" s="628"/>
      <c r="BQ125" s="628"/>
      <c r="BR125" s="628"/>
      <c r="BS125" s="628"/>
      <c r="BT125" s="716"/>
      <c r="BU125" s="628"/>
      <c r="BV125" s="628"/>
      <c r="BW125" s="628"/>
      <c r="BX125" s="628"/>
      <c r="BY125" s="628"/>
      <c r="BZ125" s="628"/>
      <c r="CA125" s="628"/>
      <c r="CB125" s="628"/>
      <c r="CC125" s="628"/>
      <c r="CD125" s="628"/>
      <c r="CE125" s="628"/>
      <c r="CF125" s="628"/>
      <c r="CG125" s="629"/>
    </row>
    <row r="126" spans="1:85" s="571" customFormat="1" x14ac:dyDescent="0.3">
      <c r="A126" s="631" t="s">
        <v>87</v>
      </c>
      <c r="B126" s="619"/>
      <c r="C126" s="861">
        <f t="shared" ref="C126:AT126" si="315">C114-C122</f>
        <v>-7.730000000000004</v>
      </c>
      <c r="D126" s="861">
        <f t="shared" si="315"/>
        <v>-8.019999999999996</v>
      </c>
      <c r="E126" s="861">
        <f t="shared" si="315"/>
        <v>2.4000000000000057</v>
      </c>
      <c r="F126" s="861">
        <f t="shared" si="315"/>
        <v>1.0599999999999881</v>
      </c>
      <c r="G126" s="632">
        <f t="shared" si="315"/>
        <v>0.12999999999999545</v>
      </c>
      <c r="H126" s="632">
        <f t="shared" si="315"/>
        <v>-1.9200000000000017</v>
      </c>
      <c r="I126" s="632">
        <f t="shared" si="315"/>
        <v>-8.6299999999999955</v>
      </c>
      <c r="J126" s="632">
        <f t="shared" si="315"/>
        <v>-7.730000000000004</v>
      </c>
      <c r="K126" s="861">
        <f t="shared" si="315"/>
        <v>-4.5900000000000034</v>
      </c>
      <c r="L126" s="632">
        <f t="shared" si="315"/>
        <v>-7.1200000000000045</v>
      </c>
      <c r="M126" s="632">
        <f t="shared" si="315"/>
        <v>-10.549999999999997</v>
      </c>
      <c r="N126" s="632">
        <f t="shared" si="315"/>
        <v>-9.8299999999999983</v>
      </c>
      <c r="O126" s="632">
        <f t="shared" si="315"/>
        <v>-7.3700000000000045</v>
      </c>
      <c r="P126" s="861">
        <f t="shared" si="315"/>
        <v>-8.7800000000000011</v>
      </c>
      <c r="Q126" s="632">
        <f t="shared" si="315"/>
        <v>-5.4600000000000009</v>
      </c>
      <c r="R126" s="632">
        <f t="shared" si="315"/>
        <v>-7.6600000000000037</v>
      </c>
      <c r="S126" s="632">
        <f t="shared" si="315"/>
        <v>-4.5200000000000031</v>
      </c>
      <c r="T126" s="632">
        <f t="shared" si="315"/>
        <v>-6.730000000000004</v>
      </c>
      <c r="U126" s="861">
        <f t="shared" si="315"/>
        <v>-6.0899999999999963</v>
      </c>
      <c r="V126" s="632">
        <f t="shared" si="315"/>
        <v>-7.1400000000000041</v>
      </c>
      <c r="W126" s="632">
        <f t="shared" si="315"/>
        <v>-9.8000000000000043</v>
      </c>
      <c r="X126" s="632">
        <f t="shared" si="315"/>
        <v>-10.119999999999997</v>
      </c>
      <c r="Y126" s="620">
        <f t="shared" si="315"/>
        <v>-8.8099999999999952</v>
      </c>
      <c r="Z126" s="863">
        <f t="shared" si="315"/>
        <v>-8.3400000000000034</v>
      </c>
      <c r="AA126" s="620">
        <f t="shared" si="315"/>
        <v>-6.8700000000000045</v>
      </c>
      <c r="AB126" s="632">
        <f t="shared" si="315"/>
        <v>-6.6899999999999977</v>
      </c>
      <c r="AC126" s="632">
        <f t="shared" si="315"/>
        <v>-6.3500000000000014</v>
      </c>
      <c r="AD126" s="620">
        <f t="shared" si="315"/>
        <v>-5.1099999999999994</v>
      </c>
      <c r="AE126" s="863">
        <f t="shared" si="315"/>
        <v>-6.259999999999998</v>
      </c>
      <c r="AF126" s="620">
        <f t="shared" si="315"/>
        <v>-6.7800000000000011</v>
      </c>
      <c r="AG126" s="632">
        <f t="shared" si="315"/>
        <v>-9.240000000000002</v>
      </c>
      <c r="AH126" s="632">
        <f t="shared" si="315"/>
        <v>-7.509999999999998</v>
      </c>
      <c r="AI126" s="620">
        <f t="shared" si="315"/>
        <v>-4.3599999999999994</v>
      </c>
      <c r="AJ126" s="863">
        <f t="shared" si="315"/>
        <v>-7.0300000000000011</v>
      </c>
      <c r="AK126" s="620">
        <f t="shared" si="315"/>
        <v>-6.4099999999999966</v>
      </c>
      <c r="AL126" s="632">
        <f t="shared" si="315"/>
        <v>-7.470000000000006</v>
      </c>
      <c r="AM126" s="632">
        <f t="shared" si="315"/>
        <v>-9.5</v>
      </c>
      <c r="AN126" s="620">
        <f t="shared" si="315"/>
        <v>-10.149999999999999</v>
      </c>
      <c r="AO126" s="863">
        <f t="shared" si="315"/>
        <v>-8.4399999999999977</v>
      </c>
      <c r="AP126" s="620">
        <f t="shared" si="315"/>
        <v>-7.9200000000000017</v>
      </c>
      <c r="AQ126" s="632">
        <f t="shared" si="315"/>
        <v>-8.6700000000000017</v>
      </c>
      <c r="AR126" s="632">
        <f t="shared" si="315"/>
        <v>-9.5600000000000023</v>
      </c>
      <c r="AS126" s="620">
        <f t="shared" si="315"/>
        <v>-9.4200000000000017</v>
      </c>
      <c r="AT126" s="863">
        <f t="shared" si="315"/>
        <v>-8.6299999999999955</v>
      </c>
      <c r="AU126" s="620">
        <f t="shared" ref="AU126" si="316">AU114-AU122</f>
        <v>-10.39</v>
      </c>
      <c r="AV126" s="632">
        <f t="shared" ref="AV126:BA126" si="317">AV114-AV122</f>
        <v>-12.11</v>
      </c>
      <c r="AW126" s="632">
        <f t="shared" si="317"/>
        <v>-12.769999999999996</v>
      </c>
      <c r="AX126" s="620">
        <f t="shared" si="317"/>
        <v>-14</v>
      </c>
      <c r="AY126" s="863">
        <f t="shared" si="317"/>
        <v>-12.079999999999998</v>
      </c>
      <c r="AZ126" s="620">
        <f t="shared" si="317"/>
        <v>-18.580000000000013</v>
      </c>
      <c r="BA126" s="632">
        <f t="shared" si="317"/>
        <v>-20.120000000000005</v>
      </c>
      <c r="BB126" s="632">
        <f t="shared" ref="BB126:BG126" si="318">BB114-BB122</f>
        <v>-17.329999999999998</v>
      </c>
      <c r="BC126" s="620">
        <f t="shared" si="318"/>
        <v>-16.790000000000006</v>
      </c>
      <c r="BD126" s="863">
        <f t="shared" si="318"/>
        <v>-18.190000000000012</v>
      </c>
      <c r="BE126" s="620">
        <f t="shared" si="318"/>
        <v>-16.870000000000005</v>
      </c>
      <c r="BF126" s="632">
        <f t="shared" si="318"/>
        <v>-17.250000000000007</v>
      </c>
      <c r="BG126" s="632">
        <f t="shared" si="318"/>
        <v>-19.829999999999998</v>
      </c>
      <c r="BH126" s="620">
        <f t="shared" ref="BH126:BN126" si="319">BH114-BH122</f>
        <v>-19.840000000000003</v>
      </c>
      <c r="BI126" s="863">
        <f t="shared" si="319"/>
        <v>-18.39</v>
      </c>
      <c r="BJ126" s="620">
        <f t="shared" si="319"/>
        <v>-20.130000000000003</v>
      </c>
      <c r="BK126" s="632">
        <f t="shared" si="319"/>
        <v>-21.96</v>
      </c>
      <c r="BL126" s="632">
        <f t="shared" si="319"/>
        <v>-21.570000000000007</v>
      </c>
      <c r="BM126" s="620">
        <f t="shared" si="319"/>
        <v>-17.610000000000007</v>
      </c>
      <c r="BN126" s="863">
        <f t="shared" si="319"/>
        <v>-20.389999999999993</v>
      </c>
      <c r="BO126" s="620">
        <f t="shared" ref="BO126:BP126" si="320">BO114-BO122</f>
        <v>-16.520000000000003</v>
      </c>
      <c r="BP126" s="632">
        <f t="shared" si="320"/>
        <v>-16.79999999999999</v>
      </c>
      <c r="BQ126" s="632">
        <f>BQ114-BQ122</f>
        <v>-17.660000000000004</v>
      </c>
      <c r="BR126" s="620">
        <f>BR114-BR122</f>
        <v>-16.629999999999995</v>
      </c>
      <c r="BS126" s="863">
        <f>BS114-BS122</f>
        <v>-17.259999999999998</v>
      </c>
      <c r="BT126" s="653">
        <f>BT114-BT122</f>
        <v>-20.799999999999997</v>
      </c>
      <c r="BU126" s="774">
        <v>-20</v>
      </c>
      <c r="BV126" s="774">
        <v>-22</v>
      </c>
      <c r="BW126" s="774">
        <v>-22</v>
      </c>
      <c r="BX126" s="861">
        <f>BX114-BX122</f>
        <v>-21.151058153642524</v>
      </c>
      <c r="BY126" s="774">
        <v>-22</v>
      </c>
      <c r="BZ126" s="774">
        <v>-22</v>
      </c>
      <c r="CA126" s="774">
        <v>-22</v>
      </c>
      <c r="CB126" s="774">
        <v>-22</v>
      </c>
      <c r="CC126" s="861">
        <f>CC114-CC122</f>
        <v>-22.009321917808222</v>
      </c>
      <c r="CD126" s="860">
        <v>-20</v>
      </c>
      <c r="CE126" s="860">
        <v>-20</v>
      </c>
      <c r="CF126" s="860">
        <v>-20</v>
      </c>
      <c r="CG126" s="570"/>
    </row>
    <row r="127" spans="1:85" s="571" customFormat="1" x14ac:dyDescent="0.3">
      <c r="A127" s="631" t="s">
        <v>88</v>
      </c>
      <c r="B127" s="619"/>
      <c r="C127" s="861">
        <f t="shared" ref="C127:AT127" si="321">C115-C122</f>
        <v>-6.1200000000000045</v>
      </c>
      <c r="D127" s="861">
        <f t="shared" si="321"/>
        <v>-6.9299999999999926</v>
      </c>
      <c r="E127" s="861">
        <f t="shared" si="321"/>
        <v>6.4200000000000017</v>
      </c>
      <c r="F127" s="861">
        <f t="shared" si="321"/>
        <v>7.7299999999999898</v>
      </c>
      <c r="G127" s="632">
        <f t="shared" si="321"/>
        <v>0.12999999999999545</v>
      </c>
      <c r="H127" s="632">
        <f t="shared" si="321"/>
        <v>-0.46000000000000796</v>
      </c>
      <c r="I127" s="632">
        <f t="shared" si="321"/>
        <v>-1.519999999999996</v>
      </c>
      <c r="J127" s="632">
        <f t="shared" si="321"/>
        <v>2.9599999999999937</v>
      </c>
      <c r="K127" s="861">
        <f t="shared" si="321"/>
        <v>2.210000000000008</v>
      </c>
      <c r="L127" s="632">
        <f t="shared" si="321"/>
        <v>-1.0000000000005116E-2</v>
      </c>
      <c r="M127" s="632">
        <f t="shared" si="321"/>
        <v>-1.8399999999999892</v>
      </c>
      <c r="N127" s="632">
        <f t="shared" si="321"/>
        <v>-3.7999999999999972</v>
      </c>
      <c r="O127" s="632">
        <f t="shared" si="321"/>
        <v>-4.8800000000000097</v>
      </c>
      <c r="P127" s="861">
        <f t="shared" si="321"/>
        <v>-2.4899999999999949</v>
      </c>
      <c r="Q127" s="632">
        <f t="shared" si="321"/>
        <v>-2.0799999999999983</v>
      </c>
      <c r="R127" s="632">
        <f t="shared" si="321"/>
        <v>-2.0100000000000051</v>
      </c>
      <c r="S127" s="632">
        <f t="shared" si="321"/>
        <v>-1.6499999999999986</v>
      </c>
      <c r="T127" s="632">
        <f t="shared" si="321"/>
        <v>-3.3500000000000014</v>
      </c>
      <c r="U127" s="861">
        <f t="shared" si="321"/>
        <v>-2.269999999999996</v>
      </c>
      <c r="V127" s="632">
        <f t="shared" si="321"/>
        <v>-4.490000000000002</v>
      </c>
      <c r="W127" s="632">
        <f t="shared" si="321"/>
        <v>-5.3400000000000034</v>
      </c>
      <c r="X127" s="632">
        <f t="shared" si="321"/>
        <v>-5.9200000000000017</v>
      </c>
      <c r="Y127" s="620">
        <f t="shared" si="321"/>
        <v>-4.7999999999999972</v>
      </c>
      <c r="Z127" s="863">
        <f t="shared" si="321"/>
        <v>-4.730000000000004</v>
      </c>
      <c r="AA127" s="620">
        <f t="shared" si="321"/>
        <v>-3.1400000000000006</v>
      </c>
      <c r="AB127" s="632">
        <f t="shared" si="321"/>
        <v>-3.1700000000000017</v>
      </c>
      <c r="AC127" s="632">
        <f t="shared" si="321"/>
        <v>-0.36999999999999744</v>
      </c>
      <c r="AD127" s="620">
        <f t="shared" si="321"/>
        <v>1.4500000000000028</v>
      </c>
      <c r="AE127" s="863">
        <f t="shared" si="321"/>
        <v>-1.3299999999999983</v>
      </c>
      <c r="AF127" s="620">
        <f t="shared" si="321"/>
        <v>-1.769999999999996</v>
      </c>
      <c r="AG127" s="632">
        <f t="shared" si="321"/>
        <v>-0.42000000000000171</v>
      </c>
      <c r="AH127" s="632">
        <f t="shared" si="321"/>
        <v>-0.76999999999999602</v>
      </c>
      <c r="AI127" s="620">
        <f t="shared" si="321"/>
        <v>-0.86999999999999744</v>
      </c>
      <c r="AJ127" s="863">
        <f t="shared" si="321"/>
        <v>-0.95000000000000284</v>
      </c>
      <c r="AK127" s="620">
        <f t="shared" si="321"/>
        <v>3.1200000000000045</v>
      </c>
      <c r="AL127" s="632">
        <f t="shared" si="321"/>
        <v>2.1499999999999986</v>
      </c>
      <c r="AM127" s="632">
        <f t="shared" si="321"/>
        <v>-0.27000000000000313</v>
      </c>
      <c r="AN127" s="620">
        <f t="shared" si="321"/>
        <v>-0.29999999999999716</v>
      </c>
      <c r="AO127" s="863">
        <f t="shared" si="321"/>
        <v>1.1600000000000037</v>
      </c>
      <c r="AP127" s="620">
        <f t="shared" si="321"/>
        <v>-2.7000000000000028</v>
      </c>
      <c r="AQ127" s="632">
        <f t="shared" si="321"/>
        <v>-6.77</v>
      </c>
      <c r="AR127" s="632">
        <f t="shared" si="321"/>
        <v>-1.9299999999999997</v>
      </c>
      <c r="AS127" s="620">
        <f t="shared" si="321"/>
        <v>-2.220000000000006</v>
      </c>
      <c r="AT127" s="863">
        <f t="shared" si="321"/>
        <v>6.5400000000000063</v>
      </c>
      <c r="AU127" s="620">
        <f t="shared" ref="AU127" si="322">AU115-AU122</f>
        <v>-2.470000000000006</v>
      </c>
      <c r="AV127" s="632">
        <f t="shared" ref="AV127:BG127" si="323">AV115-AV122</f>
        <v>-4.07</v>
      </c>
      <c r="AW127" s="632">
        <f t="shared" si="323"/>
        <v>-2.6599999999999966</v>
      </c>
      <c r="AX127" s="620">
        <f t="shared" si="323"/>
        <v>-3.6200000000000045</v>
      </c>
      <c r="AY127" s="863">
        <f t="shared" si="323"/>
        <v>-3.6099999999999994</v>
      </c>
      <c r="AZ127" s="620">
        <f t="shared" si="323"/>
        <v>-1.8700000000000045</v>
      </c>
      <c r="BA127" s="632">
        <f t="shared" si="323"/>
        <v>-6.5300000000000011</v>
      </c>
      <c r="BB127" s="632">
        <f t="shared" si="323"/>
        <v>-3.9200000000000017</v>
      </c>
      <c r="BC127" s="620">
        <f t="shared" si="323"/>
        <v>-5.1200000000000045</v>
      </c>
      <c r="BD127" s="863">
        <f t="shared" si="323"/>
        <v>-4.1900000000000119</v>
      </c>
      <c r="BE127" s="620">
        <f t="shared" si="323"/>
        <v>-7.0400000000000063</v>
      </c>
      <c r="BF127" s="632">
        <f t="shared" si="323"/>
        <v>-5.480000000000004</v>
      </c>
      <c r="BG127" s="632">
        <f t="shared" si="323"/>
        <v>-6.6099999999999994</v>
      </c>
      <c r="BH127" s="620">
        <f t="shared" ref="BH127:BJ128" si="324">BH115-BH122</f>
        <v>-3.9899999999999949</v>
      </c>
      <c r="BI127" s="863">
        <f t="shared" si="324"/>
        <v>-5.8799999999999955</v>
      </c>
      <c r="BJ127" s="620">
        <f t="shared" si="324"/>
        <v>-4.980000000000004</v>
      </c>
      <c r="BK127" s="632">
        <f t="shared" ref="BK127:BN128" si="325">BK115-BK122</f>
        <v>-6.8900000000000006</v>
      </c>
      <c r="BL127" s="632">
        <f t="shared" si="325"/>
        <v>-5.8400000000000034</v>
      </c>
      <c r="BM127" s="620">
        <f t="shared" si="325"/>
        <v>-3.4000000000000057</v>
      </c>
      <c r="BN127" s="863">
        <f t="shared" si="325"/>
        <v>-5.25</v>
      </c>
      <c r="BO127" s="620">
        <f t="shared" ref="BO127:BP127" si="326">BO115-BO122</f>
        <v>-4.0900000000000034</v>
      </c>
      <c r="BP127" s="632">
        <f t="shared" si="326"/>
        <v>-5.6899999999999906</v>
      </c>
      <c r="BQ127" s="632">
        <f t="shared" ref="BQ127:BS128" si="327">BQ115-BQ122</f>
        <v>-2.6200000000000045</v>
      </c>
      <c r="BR127" s="620">
        <f t="shared" si="327"/>
        <v>-2.0899999999999963</v>
      </c>
      <c r="BS127" s="863">
        <f t="shared" si="327"/>
        <v>-3.8100000000000023</v>
      </c>
      <c r="BT127" s="653">
        <f>BT115-BT122</f>
        <v>4.7600000000000051</v>
      </c>
      <c r="BU127" s="774">
        <v>-2</v>
      </c>
      <c r="BV127" s="774">
        <v>-7</v>
      </c>
      <c r="BW127" s="774">
        <v>-7</v>
      </c>
      <c r="BX127" s="861">
        <f>BX115-BX122</f>
        <v>-2.987827749831439</v>
      </c>
      <c r="BY127" s="774">
        <v>-7</v>
      </c>
      <c r="BZ127" s="774">
        <v>-7</v>
      </c>
      <c r="CA127" s="774">
        <v>-7</v>
      </c>
      <c r="CB127" s="774">
        <v>-7</v>
      </c>
      <c r="CC127" s="861">
        <f>CC115-CC122</f>
        <v>-7.009321917808208</v>
      </c>
      <c r="CD127" s="860">
        <v>-5</v>
      </c>
      <c r="CE127" s="860">
        <v>-5</v>
      </c>
      <c r="CF127" s="860">
        <v>-5</v>
      </c>
      <c r="CG127" s="570"/>
    </row>
    <row r="128" spans="1:85" s="571" customFormat="1" x14ac:dyDescent="0.3">
      <c r="A128" s="631" t="s">
        <v>89</v>
      </c>
      <c r="B128" s="619"/>
      <c r="C128" s="861">
        <f t="shared" ref="C128:AT128" si="328">C116-C123</f>
        <v>-0.43000000000000016</v>
      </c>
      <c r="D128" s="861">
        <f t="shared" si="328"/>
        <v>-0.12000000000000011</v>
      </c>
      <c r="E128" s="861">
        <f t="shared" si="328"/>
        <v>9.9999999999997868E-3</v>
      </c>
      <c r="F128" s="861">
        <f t="shared" si="328"/>
        <v>-0.18999999999999995</v>
      </c>
      <c r="G128" s="632">
        <f t="shared" si="328"/>
        <v>-0.37000000000000011</v>
      </c>
      <c r="H128" s="632">
        <f t="shared" si="328"/>
        <v>-0.23999999999999977</v>
      </c>
      <c r="I128" s="632">
        <f t="shared" si="328"/>
        <v>-0.33000000000000007</v>
      </c>
      <c r="J128" s="632">
        <f t="shared" si="328"/>
        <v>-0.5</v>
      </c>
      <c r="K128" s="861">
        <f t="shared" si="328"/>
        <v>-0.35999999999999988</v>
      </c>
      <c r="L128" s="632">
        <f t="shared" si="328"/>
        <v>5.9999999999999609E-2</v>
      </c>
      <c r="M128" s="632">
        <f t="shared" si="328"/>
        <v>-0.49000000000000021</v>
      </c>
      <c r="N128" s="632">
        <f t="shared" si="328"/>
        <v>-0.49000000000000021</v>
      </c>
      <c r="O128" s="632">
        <f t="shared" si="328"/>
        <v>-0.49000000000000021</v>
      </c>
      <c r="P128" s="861">
        <f t="shared" si="328"/>
        <v>-0.35999999999999988</v>
      </c>
      <c r="Q128" s="632">
        <f t="shared" si="328"/>
        <v>-0.54</v>
      </c>
      <c r="R128" s="632">
        <f t="shared" si="328"/>
        <v>-0.82000000000000028</v>
      </c>
      <c r="S128" s="632">
        <f t="shared" si="328"/>
        <v>-0.77</v>
      </c>
      <c r="T128" s="632">
        <f t="shared" si="328"/>
        <v>-0.69</v>
      </c>
      <c r="U128" s="861">
        <f t="shared" si="328"/>
        <v>-0.71</v>
      </c>
      <c r="V128" s="632">
        <f t="shared" si="328"/>
        <v>-0.65999999999999992</v>
      </c>
      <c r="W128" s="632">
        <f t="shared" si="328"/>
        <v>-1.0300000000000002</v>
      </c>
      <c r="X128" s="632">
        <f t="shared" si="328"/>
        <v>-0.3600000000000001</v>
      </c>
      <c r="Y128" s="620">
        <f t="shared" si="328"/>
        <v>-1</v>
      </c>
      <c r="Z128" s="863">
        <f t="shared" si="328"/>
        <v>-0.86999999999999988</v>
      </c>
      <c r="AA128" s="620">
        <f t="shared" si="328"/>
        <v>-0.92999999999999972</v>
      </c>
      <c r="AB128" s="632">
        <f t="shared" si="328"/>
        <v>-0.86000000000000032</v>
      </c>
      <c r="AC128" s="632">
        <f t="shared" si="328"/>
        <v>-1.1900000000000002</v>
      </c>
      <c r="AD128" s="620">
        <f t="shared" si="328"/>
        <v>-1.07</v>
      </c>
      <c r="AE128" s="863">
        <f t="shared" si="328"/>
        <v>-1.0099999999999998</v>
      </c>
      <c r="AF128" s="620">
        <f t="shared" si="328"/>
        <v>-0.98999999999999977</v>
      </c>
      <c r="AG128" s="632">
        <f t="shared" si="328"/>
        <v>-1.2499999999999998</v>
      </c>
      <c r="AH128" s="632">
        <f t="shared" si="328"/>
        <v>-1.0999999999999999</v>
      </c>
      <c r="AI128" s="620">
        <f t="shared" si="328"/>
        <v>-1.6400000000000001</v>
      </c>
      <c r="AJ128" s="863">
        <f t="shared" si="328"/>
        <v>-1.22</v>
      </c>
      <c r="AK128" s="620">
        <f t="shared" si="328"/>
        <v>-1.3</v>
      </c>
      <c r="AL128" s="632">
        <f t="shared" si="328"/>
        <v>-1.8899999999999997</v>
      </c>
      <c r="AM128" s="632">
        <f t="shared" si="328"/>
        <v>-1.43</v>
      </c>
      <c r="AN128" s="620">
        <f t="shared" si="328"/>
        <v>-1.2999999999999998</v>
      </c>
      <c r="AO128" s="863">
        <f t="shared" si="328"/>
        <v>-1.47</v>
      </c>
      <c r="AP128" s="620">
        <f t="shared" si="328"/>
        <v>-1.2999999999999998</v>
      </c>
      <c r="AQ128" s="632">
        <f t="shared" si="328"/>
        <v>-0.8899999999999999</v>
      </c>
      <c r="AR128" s="632">
        <f t="shared" si="328"/>
        <v>-1.1099999999999999</v>
      </c>
      <c r="AS128" s="620">
        <f t="shared" si="328"/>
        <v>-1.03</v>
      </c>
      <c r="AT128" s="863">
        <f t="shared" si="328"/>
        <v>-1.0499999999999998</v>
      </c>
      <c r="AU128" s="620">
        <f t="shared" ref="AU128" si="329">AU116-AU123</f>
        <v>-1.35</v>
      </c>
      <c r="AV128" s="632">
        <f t="shared" ref="AV128:BG128" si="330">AV116-AV123</f>
        <v>-0.79</v>
      </c>
      <c r="AW128" s="632">
        <f t="shared" si="330"/>
        <v>-1.0999999999999996</v>
      </c>
      <c r="AX128" s="620">
        <f t="shared" si="330"/>
        <v>3.0000000000000249E-2</v>
      </c>
      <c r="AY128" s="863">
        <f t="shared" si="330"/>
        <v>-0.78000000000000025</v>
      </c>
      <c r="AZ128" s="620">
        <f t="shared" si="330"/>
        <v>-0.57000000000000028</v>
      </c>
      <c r="BA128" s="632">
        <f t="shared" si="330"/>
        <v>-1.2800000000000002</v>
      </c>
      <c r="BB128" s="632">
        <f t="shared" si="330"/>
        <v>-0.97999999999999954</v>
      </c>
      <c r="BC128" s="620">
        <f t="shared" si="330"/>
        <v>-0.60999999999999943</v>
      </c>
      <c r="BD128" s="863">
        <f t="shared" si="330"/>
        <v>-0.90000000000000036</v>
      </c>
      <c r="BE128" s="620">
        <f t="shared" si="330"/>
        <v>-6.0000000000000053E-2</v>
      </c>
      <c r="BF128" s="632">
        <f t="shared" si="330"/>
        <v>-0.93000000000000016</v>
      </c>
      <c r="BG128" s="632">
        <f t="shared" si="330"/>
        <v>-1.2</v>
      </c>
      <c r="BH128" s="620">
        <f t="shared" si="324"/>
        <v>-1.1200000000000001</v>
      </c>
      <c r="BI128" s="863">
        <f t="shared" si="324"/>
        <v>-0.85999999999999988</v>
      </c>
      <c r="BJ128" s="620">
        <f t="shared" si="324"/>
        <v>-0.90999999999999992</v>
      </c>
      <c r="BK128" s="632">
        <f t="shared" si="325"/>
        <v>-1.3099999999999998</v>
      </c>
      <c r="BL128" s="632">
        <f t="shared" si="325"/>
        <v>-1.5599999999999998</v>
      </c>
      <c r="BM128" s="620">
        <f t="shared" si="325"/>
        <v>-0.81999999999999984</v>
      </c>
      <c r="BN128" s="863">
        <f t="shared" si="325"/>
        <v>-1.1499999999999999</v>
      </c>
      <c r="BO128" s="620">
        <f t="shared" ref="BO128:BP128" si="331">BO116-BO123</f>
        <v>-1.6399999999999997</v>
      </c>
      <c r="BP128" s="632">
        <f t="shared" si="331"/>
        <v>-1.44</v>
      </c>
      <c r="BQ128" s="632">
        <f t="shared" si="327"/>
        <v>-1.2599999999999998</v>
      </c>
      <c r="BR128" s="620">
        <f t="shared" si="327"/>
        <v>-1.52</v>
      </c>
      <c r="BS128" s="863">
        <f t="shared" si="327"/>
        <v>-1.4700000000000002</v>
      </c>
      <c r="BT128" s="653">
        <f>BT116-BT123</f>
        <v>-2.23</v>
      </c>
      <c r="BU128" s="774">
        <v>-1.5</v>
      </c>
      <c r="BV128" s="774">
        <v>-1.5</v>
      </c>
      <c r="BW128" s="774">
        <v>-1.5</v>
      </c>
      <c r="BX128" s="861">
        <f>BX116-BX123</f>
        <v>-1.6749429246211374</v>
      </c>
      <c r="BY128" s="774">
        <v>-1.5</v>
      </c>
      <c r="BZ128" s="774">
        <v>-1.5</v>
      </c>
      <c r="CA128" s="774">
        <v>-1.5</v>
      </c>
      <c r="CB128" s="774">
        <v>-1.5</v>
      </c>
      <c r="CC128" s="861">
        <f>CC116-CC123</f>
        <v>-1.498875</v>
      </c>
      <c r="CD128" s="860">
        <v>-1.5</v>
      </c>
      <c r="CE128" s="860">
        <v>-1.5</v>
      </c>
      <c r="CF128" s="860">
        <v>-1.5</v>
      </c>
      <c r="CG128" s="570"/>
    </row>
    <row r="129" spans="1:85" s="571" customFormat="1" x14ac:dyDescent="0.3">
      <c r="A129" s="631" t="s">
        <v>90</v>
      </c>
      <c r="B129" s="619"/>
      <c r="C129" s="861">
        <f t="shared" ref="C129:AT129" si="332">C117-C123</f>
        <v>-0.15000000000000036</v>
      </c>
      <c r="D129" s="861">
        <f t="shared" si="332"/>
        <v>0.25999999999999979</v>
      </c>
      <c r="E129" s="861">
        <f t="shared" si="332"/>
        <v>1.3599999999999994</v>
      </c>
      <c r="F129" s="861">
        <f t="shared" si="332"/>
        <v>3.16</v>
      </c>
      <c r="G129" s="632">
        <f t="shared" si="332"/>
        <v>2.5900000000000003</v>
      </c>
      <c r="H129" s="632">
        <f t="shared" si="332"/>
        <v>1.9100000000000001</v>
      </c>
      <c r="I129" s="632">
        <f t="shared" si="332"/>
        <v>2.3199999999999998</v>
      </c>
      <c r="J129" s="632">
        <f t="shared" si="332"/>
        <v>1.9</v>
      </c>
      <c r="K129" s="861">
        <f t="shared" si="332"/>
        <v>2.1800000000000002</v>
      </c>
      <c r="L129" s="632">
        <f t="shared" si="332"/>
        <v>1.3099999999999996</v>
      </c>
      <c r="M129" s="632">
        <f t="shared" si="332"/>
        <v>1.4000000000000004</v>
      </c>
      <c r="N129" s="632">
        <f t="shared" si="332"/>
        <v>1.7800000000000002</v>
      </c>
      <c r="O129" s="632">
        <f t="shared" si="332"/>
        <v>1.5499999999999998</v>
      </c>
      <c r="P129" s="861">
        <f t="shared" si="332"/>
        <v>1.5200000000000005</v>
      </c>
      <c r="Q129" s="632">
        <f t="shared" si="332"/>
        <v>2.1999999999999997</v>
      </c>
      <c r="R129" s="632">
        <f t="shared" si="332"/>
        <v>1.7400000000000002</v>
      </c>
      <c r="S129" s="632">
        <f t="shared" si="332"/>
        <v>1.9499999999999997</v>
      </c>
      <c r="T129" s="632">
        <f t="shared" si="332"/>
        <v>1.7600000000000002</v>
      </c>
      <c r="U129" s="861">
        <f t="shared" si="332"/>
        <v>1.9000000000000004</v>
      </c>
      <c r="V129" s="632">
        <f t="shared" si="332"/>
        <v>1.9300000000000002</v>
      </c>
      <c r="W129" s="632">
        <f t="shared" si="332"/>
        <v>1.69</v>
      </c>
      <c r="X129" s="632">
        <f t="shared" si="332"/>
        <v>1.9299999999999997</v>
      </c>
      <c r="Y129" s="620">
        <f t="shared" si="332"/>
        <v>1.0900000000000003</v>
      </c>
      <c r="Z129" s="863">
        <f t="shared" si="332"/>
        <v>1.5599999999999996</v>
      </c>
      <c r="AA129" s="620">
        <f t="shared" si="332"/>
        <v>1.0400000000000005</v>
      </c>
      <c r="AB129" s="632">
        <f t="shared" si="332"/>
        <v>1.2099999999999995</v>
      </c>
      <c r="AC129" s="632">
        <f t="shared" si="332"/>
        <v>1.7699999999999996</v>
      </c>
      <c r="AD129" s="620">
        <f t="shared" si="332"/>
        <v>1.9999999999999996</v>
      </c>
      <c r="AE129" s="863">
        <f t="shared" si="332"/>
        <v>1.5100000000000002</v>
      </c>
      <c r="AF129" s="620">
        <f t="shared" si="332"/>
        <v>2.84</v>
      </c>
      <c r="AG129" s="632">
        <f t="shared" si="332"/>
        <v>2.78</v>
      </c>
      <c r="AH129" s="632">
        <f t="shared" si="332"/>
        <v>3.8300000000000005</v>
      </c>
      <c r="AI129" s="620">
        <f t="shared" si="332"/>
        <v>3.1599999999999997</v>
      </c>
      <c r="AJ129" s="863">
        <f t="shared" si="332"/>
        <v>3.21</v>
      </c>
      <c r="AK129" s="620">
        <f t="shared" si="332"/>
        <v>3.6300000000000003</v>
      </c>
      <c r="AL129" s="632">
        <f t="shared" si="332"/>
        <v>2.86</v>
      </c>
      <c r="AM129" s="632">
        <f t="shared" si="332"/>
        <v>3.24</v>
      </c>
      <c r="AN129" s="620">
        <f t="shared" si="332"/>
        <v>3.31</v>
      </c>
      <c r="AO129" s="863">
        <f t="shared" si="332"/>
        <v>3.27</v>
      </c>
      <c r="AP129" s="620">
        <f t="shared" si="332"/>
        <v>3.7600000000000002</v>
      </c>
      <c r="AQ129" s="632">
        <f t="shared" si="332"/>
        <v>2.7800000000000002</v>
      </c>
      <c r="AR129" s="632">
        <f t="shared" si="332"/>
        <v>1.8900000000000001</v>
      </c>
      <c r="AS129" s="620">
        <f t="shared" si="332"/>
        <v>1.7100000000000004</v>
      </c>
      <c r="AT129" s="863">
        <f t="shared" si="332"/>
        <v>2.5299999999999998</v>
      </c>
      <c r="AU129" s="620">
        <f t="shared" ref="AU129" si="333">AU117-AU123</f>
        <v>1.2199999999999998</v>
      </c>
      <c r="AV129" s="632">
        <f t="shared" ref="AV129:BA129" si="334">AV117-AV123</f>
        <v>1.9699999999999998</v>
      </c>
      <c r="AW129" s="632">
        <f t="shared" si="334"/>
        <v>1.9300000000000006</v>
      </c>
      <c r="AX129" s="620">
        <f t="shared" si="334"/>
        <v>3.1500000000000004</v>
      </c>
      <c r="AY129" s="863">
        <f t="shared" si="334"/>
        <v>2.0399999999999996</v>
      </c>
      <c r="AZ129" s="620">
        <f t="shared" si="334"/>
        <v>4.1999999999999993</v>
      </c>
      <c r="BA129" s="632">
        <f t="shared" si="334"/>
        <v>1.7300000000000004</v>
      </c>
      <c r="BB129" s="632">
        <f t="shared" ref="BB129:BG129" si="335">BB117-BB123</f>
        <v>2.33</v>
      </c>
      <c r="BC129" s="620">
        <f t="shared" si="335"/>
        <v>4.8</v>
      </c>
      <c r="BD129" s="863">
        <f t="shared" si="335"/>
        <v>3.3</v>
      </c>
      <c r="BE129" s="620">
        <f t="shared" si="335"/>
        <v>6.3599999999999994</v>
      </c>
      <c r="BF129" s="632">
        <f t="shared" si="335"/>
        <v>5.34</v>
      </c>
      <c r="BG129" s="632">
        <f t="shared" si="335"/>
        <v>4.37</v>
      </c>
      <c r="BH129" s="620">
        <f t="shared" ref="BH129:BN129" si="336">BH117-BH123</f>
        <v>4.5699999999999994</v>
      </c>
      <c r="BI129" s="863">
        <f t="shared" si="336"/>
        <v>5.16</v>
      </c>
      <c r="BJ129" s="620">
        <f t="shared" si="336"/>
        <v>5.0999999999999996</v>
      </c>
      <c r="BK129" s="632">
        <f t="shared" si="336"/>
        <v>4.7900000000000009</v>
      </c>
      <c r="BL129" s="632">
        <f t="shared" si="336"/>
        <v>5.35</v>
      </c>
      <c r="BM129" s="620">
        <f t="shared" si="336"/>
        <v>5.23</v>
      </c>
      <c r="BN129" s="863">
        <f t="shared" si="336"/>
        <v>5.1300000000000008</v>
      </c>
      <c r="BO129" s="620">
        <f t="shared" ref="BO129:BP129" si="337">BO117-BO123</f>
        <v>2.9800000000000004</v>
      </c>
      <c r="BP129" s="632">
        <f t="shared" si="337"/>
        <v>4.01</v>
      </c>
      <c r="BQ129" s="632">
        <f>BQ117-BQ123</f>
        <v>3.85</v>
      </c>
      <c r="BR129" s="620">
        <f>BR117-BR123</f>
        <v>3.2399999999999998</v>
      </c>
      <c r="BS129" s="863">
        <f>BS117-BS123</f>
        <v>3.52</v>
      </c>
      <c r="BT129" s="653">
        <f>BT117-BT123</f>
        <v>2.2800000000000002</v>
      </c>
      <c r="BU129" s="774">
        <v>3.5</v>
      </c>
      <c r="BV129" s="774">
        <v>3</v>
      </c>
      <c r="BW129" s="774">
        <v>3</v>
      </c>
      <c r="BX129" s="861">
        <f>BX117-BX123</f>
        <v>2.9195213853580397</v>
      </c>
      <c r="BY129" s="774">
        <v>3</v>
      </c>
      <c r="BZ129" s="774">
        <v>3</v>
      </c>
      <c r="CA129" s="774">
        <v>3</v>
      </c>
      <c r="CB129" s="774">
        <v>3</v>
      </c>
      <c r="CC129" s="861">
        <f>CC117-CC123</f>
        <v>3.008199823943662</v>
      </c>
      <c r="CD129" s="860">
        <v>5</v>
      </c>
      <c r="CE129" s="860">
        <v>5</v>
      </c>
      <c r="CF129" s="860">
        <v>5</v>
      </c>
      <c r="CG129" s="570"/>
    </row>
    <row r="130" spans="1:85" s="571" customFormat="1" x14ac:dyDescent="0.3">
      <c r="A130" s="631" t="s">
        <v>91</v>
      </c>
      <c r="B130" s="619"/>
      <c r="C130" s="861">
        <f t="shared" ref="C130:AQ130" si="338">C118-C122</f>
        <v>-5.2900000000000063</v>
      </c>
      <c r="D130" s="861">
        <f t="shared" si="338"/>
        <v>-4.8100000000000023</v>
      </c>
      <c r="E130" s="861">
        <f t="shared" si="338"/>
        <v>7.0799999999999983</v>
      </c>
      <c r="F130" s="861">
        <f t="shared" si="338"/>
        <v>7.5699999999999932</v>
      </c>
      <c r="G130" s="632">
        <f t="shared" si="338"/>
        <v>7.3200000000000074</v>
      </c>
      <c r="H130" s="632">
        <f t="shared" si="338"/>
        <v>4.9699999999999989</v>
      </c>
      <c r="I130" s="632">
        <f t="shared" si="338"/>
        <v>-2.0600000000000023</v>
      </c>
      <c r="J130" s="632">
        <f t="shared" si="338"/>
        <v>-1.7600000000000051</v>
      </c>
      <c r="K130" s="861">
        <f t="shared" si="338"/>
        <v>2.0799999999999983</v>
      </c>
      <c r="L130" s="632">
        <f t="shared" si="338"/>
        <v>-1.3400000000000034</v>
      </c>
      <c r="M130" s="632">
        <f t="shared" si="338"/>
        <v>-3.9299999999999926</v>
      </c>
      <c r="N130" s="632">
        <f t="shared" si="338"/>
        <v>-3.1800000000000068</v>
      </c>
      <c r="O130" s="632">
        <f t="shared" si="338"/>
        <v>-2.3800000000000097</v>
      </c>
      <c r="P130" s="861">
        <f t="shared" si="338"/>
        <v>-2.769999999999996</v>
      </c>
      <c r="Q130" s="632">
        <f t="shared" si="338"/>
        <v>-2.4100000000000037</v>
      </c>
      <c r="R130" s="632">
        <f t="shared" si="338"/>
        <v>-3.5400000000000063</v>
      </c>
      <c r="S130" s="632">
        <f t="shared" si="338"/>
        <v>-0.93999999999999773</v>
      </c>
      <c r="T130" s="632">
        <f t="shared" si="338"/>
        <v>-3.9200000000000017</v>
      </c>
      <c r="U130" s="861">
        <f t="shared" si="338"/>
        <v>-2.6700000000000017</v>
      </c>
      <c r="V130" s="632">
        <f t="shared" si="338"/>
        <v>-5.1900000000000013</v>
      </c>
      <c r="W130" s="632">
        <f t="shared" si="338"/>
        <v>-6.740000000000002</v>
      </c>
      <c r="X130" s="632">
        <f t="shared" si="338"/>
        <v>-6.8999999999999986</v>
      </c>
      <c r="Y130" s="620">
        <f t="shared" si="338"/>
        <v>-5.6399999999999935</v>
      </c>
      <c r="Z130" s="863">
        <f t="shared" si="338"/>
        <v>-5.5100000000000051</v>
      </c>
      <c r="AA130" s="620">
        <f t="shared" si="338"/>
        <v>-3.8200000000000003</v>
      </c>
      <c r="AB130" s="632">
        <f t="shared" si="338"/>
        <v>-3.2000000000000028</v>
      </c>
      <c r="AC130" s="632">
        <f t="shared" si="338"/>
        <v>-3.1799999999999997</v>
      </c>
      <c r="AD130" s="620">
        <f t="shared" si="338"/>
        <v>-1.1699999999999946</v>
      </c>
      <c r="AE130" s="863">
        <f t="shared" si="338"/>
        <v>-2.8699999999999974</v>
      </c>
      <c r="AF130" s="620">
        <f t="shared" si="338"/>
        <v>-1.6299999999999955</v>
      </c>
      <c r="AG130" s="632">
        <f t="shared" si="338"/>
        <v>-2.8400000000000034</v>
      </c>
      <c r="AH130" s="632">
        <f t="shared" si="338"/>
        <v>-1.3499999999999943</v>
      </c>
      <c r="AI130" s="620">
        <f t="shared" si="338"/>
        <v>2.220000000000006</v>
      </c>
      <c r="AJ130" s="863">
        <f t="shared" si="338"/>
        <v>-0.93999999999999773</v>
      </c>
      <c r="AK130" s="620">
        <f t="shared" si="338"/>
        <v>0.85000000000000142</v>
      </c>
      <c r="AL130" s="632">
        <f t="shared" si="338"/>
        <v>1.8200000000000003</v>
      </c>
      <c r="AM130" s="632">
        <f t="shared" si="338"/>
        <v>0.60999999999999943</v>
      </c>
      <c r="AN130" s="620">
        <f t="shared" si="338"/>
        <v>-0.91000000000000369</v>
      </c>
      <c r="AO130" s="863">
        <f t="shared" si="338"/>
        <v>10.580000000000005</v>
      </c>
      <c r="AP130" s="620">
        <f t="shared" si="338"/>
        <v>8.9999999999996305E-2</v>
      </c>
      <c r="AQ130" s="632">
        <f t="shared" si="338"/>
        <v>-4.9600000000000009</v>
      </c>
      <c r="AR130" s="632">
        <f>AR118-AR122</f>
        <v>-2.8500000000000014</v>
      </c>
      <c r="AS130" s="620">
        <f t="shared" ref="AS130:AU130" si="339">AS118-AS122</f>
        <v>-2.5800000000000054</v>
      </c>
      <c r="AT130" s="863">
        <f t="shared" si="339"/>
        <v>-2.3199999999999932</v>
      </c>
      <c r="AU130" s="620">
        <f t="shared" si="339"/>
        <v>-2.3800000000000026</v>
      </c>
      <c r="AV130" s="632">
        <f t="shared" ref="AV130:BA130" si="340">AV118-AV122</f>
        <v>-2.6799999999999997</v>
      </c>
      <c r="AW130" s="632">
        <f t="shared" si="340"/>
        <v>-2.8499999999999943</v>
      </c>
      <c r="AX130" s="620">
        <f t="shared" si="340"/>
        <v>-4.289999999999992</v>
      </c>
      <c r="AY130" s="863">
        <f t="shared" si="340"/>
        <v>-2.8499999999999943</v>
      </c>
      <c r="AZ130" s="620">
        <f t="shared" si="340"/>
        <v>-4.1000000000000085</v>
      </c>
      <c r="BA130" s="632">
        <f t="shared" si="340"/>
        <v>-2.7199999999999989</v>
      </c>
      <c r="BB130" s="632">
        <f t="shared" ref="BB130:BG130" si="341">BB118-BB122</f>
        <v>-2.230000000000004</v>
      </c>
      <c r="BC130" s="620">
        <f t="shared" si="341"/>
        <v>-1.0900000000000034</v>
      </c>
      <c r="BD130" s="863">
        <f t="shared" si="341"/>
        <v>-2.4900000000000091</v>
      </c>
      <c r="BE130" s="620">
        <f t="shared" si="341"/>
        <v>-4.0600000000000023</v>
      </c>
      <c r="BF130" s="632">
        <f t="shared" si="341"/>
        <v>-2.8200000000000074</v>
      </c>
      <c r="BG130" s="632">
        <f t="shared" si="341"/>
        <v>-1.8499999999999943</v>
      </c>
      <c r="BH130" s="620">
        <f t="shared" ref="BH130:BN130" si="342">BH118-BH122</f>
        <v>-2.2900000000000063</v>
      </c>
      <c r="BI130" s="863">
        <f t="shared" si="342"/>
        <v>-2.539999999999992</v>
      </c>
      <c r="BJ130" s="620">
        <f t="shared" si="342"/>
        <v>-3.5</v>
      </c>
      <c r="BK130" s="632">
        <f t="shared" si="342"/>
        <v>-2.9099999999999966</v>
      </c>
      <c r="BL130" s="632">
        <f t="shared" si="342"/>
        <v>-3.3900000000000006</v>
      </c>
      <c r="BM130" s="620">
        <f t="shared" si="342"/>
        <v>-2.5</v>
      </c>
      <c r="BN130" s="863">
        <f t="shared" si="342"/>
        <v>-3.1599999999999966</v>
      </c>
      <c r="BO130" s="620">
        <f t="shared" ref="BO130:BP130" si="343">BO118-BO122</f>
        <v>-2.0100000000000051</v>
      </c>
      <c r="BP130" s="632">
        <f t="shared" si="343"/>
        <v>-3.0799999999999912</v>
      </c>
      <c r="BQ130" s="632">
        <f>BQ118-BQ122</f>
        <v>-2.8500000000000014</v>
      </c>
      <c r="BR130" s="620">
        <f>BR118-BR122</f>
        <v>-3.4299999999999997</v>
      </c>
      <c r="BS130" s="863">
        <f>BS118-BS122</f>
        <v>-3.1700000000000017</v>
      </c>
      <c r="BT130" s="653">
        <f>BT118-BT122</f>
        <v>-3.9099999999999966</v>
      </c>
      <c r="BU130" s="632"/>
      <c r="BV130" s="632"/>
      <c r="BW130" s="632"/>
      <c r="BX130" s="861"/>
      <c r="BY130" s="632"/>
      <c r="BZ130" s="632"/>
      <c r="CA130" s="632"/>
      <c r="CB130" s="632"/>
      <c r="CC130" s="861"/>
      <c r="CD130" s="861"/>
      <c r="CE130" s="861"/>
      <c r="CF130" s="861"/>
      <c r="CG130" s="570"/>
    </row>
    <row r="131" spans="1:85" s="435" customFormat="1" x14ac:dyDescent="0.3">
      <c r="A131" s="104"/>
      <c r="B131" s="77"/>
      <c r="C131" s="864"/>
      <c r="D131" s="864"/>
      <c r="E131" s="864"/>
      <c r="F131" s="864"/>
      <c r="G131" s="226"/>
      <c r="H131" s="226"/>
      <c r="I131" s="226"/>
      <c r="J131" s="226"/>
      <c r="K131" s="864"/>
      <c r="L131" s="226"/>
      <c r="M131" s="226"/>
      <c r="N131" s="226"/>
      <c r="O131" s="226"/>
      <c r="P131" s="864"/>
      <c r="Q131" s="226"/>
      <c r="R131" s="226"/>
      <c r="S131" s="226"/>
      <c r="T131" s="226"/>
      <c r="U131" s="864"/>
      <c r="V131" s="226"/>
      <c r="W131" s="226"/>
      <c r="X131" s="226"/>
      <c r="Y131" s="226"/>
      <c r="Z131" s="864"/>
      <c r="AA131" s="226"/>
      <c r="AB131" s="226"/>
      <c r="AC131" s="226"/>
      <c r="AD131" s="226"/>
      <c r="AE131" s="864"/>
      <c r="AF131" s="226"/>
      <c r="AG131" s="226"/>
      <c r="AH131" s="226"/>
      <c r="AI131" s="226"/>
      <c r="AJ131" s="864"/>
      <c r="AK131" s="226"/>
      <c r="AL131" s="226"/>
      <c r="AM131" s="226"/>
      <c r="AN131" s="226"/>
      <c r="AO131" s="864"/>
      <c r="AP131" s="226"/>
      <c r="AQ131" s="226"/>
      <c r="AR131" s="226"/>
      <c r="AS131" s="226"/>
      <c r="AT131" s="864"/>
      <c r="AU131" s="226"/>
      <c r="AV131" s="226"/>
      <c r="AW131" s="226"/>
      <c r="AX131" s="226"/>
      <c r="AY131" s="864"/>
      <c r="AZ131" s="226"/>
      <c r="BA131" s="226"/>
      <c r="BB131" s="226"/>
      <c r="BC131" s="226"/>
      <c r="BD131" s="864"/>
      <c r="BE131" s="226"/>
      <c r="BF131" s="226"/>
      <c r="BG131" s="226"/>
      <c r="BH131" s="226"/>
      <c r="BI131" s="864"/>
      <c r="BJ131" s="226"/>
      <c r="BK131" s="226"/>
      <c r="BL131" s="226"/>
      <c r="BM131" s="226"/>
      <c r="BN131" s="864"/>
      <c r="BO131" s="226"/>
      <c r="BP131" s="226"/>
      <c r="BQ131" s="226"/>
      <c r="BR131" s="226"/>
      <c r="BS131" s="864"/>
      <c r="BT131" s="654"/>
      <c r="BU131" s="226"/>
      <c r="BV131" s="226"/>
      <c r="BW131" s="226"/>
      <c r="BX131" s="864"/>
      <c r="BY131" s="226"/>
      <c r="BZ131" s="226"/>
      <c r="CA131" s="226"/>
      <c r="CB131" s="226"/>
      <c r="CC131" s="864"/>
      <c r="CD131" s="864"/>
      <c r="CE131" s="864"/>
      <c r="CF131" s="864"/>
      <c r="CG131" s="20"/>
    </row>
    <row r="132" spans="1:85" s="427" customFormat="1" x14ac:dyDescent="0.3">
      <c r="A132" s="720" t="s">
        <v>769</v>
      </c>
      <c r="B132" s="720"/>
      <c r="C132" s="720"/>
      <c r="D132" s="720"/>
      <c r="E132" s="720"/>
      <c r="F132" s="720"/>
      <c r="G132" s="720"/>
      <c r="H132" s="720"/>
      <c r="I132" s="720"/>
      <c r="J132" s="720"/>
      <c r="K132" s="720"/>
      <c r="L132" s="720"/>
      <c r="M132" s="720"/>
      <c r="N132" s="720"/>
      <c r="O132" s="720"/>
      <c r="P132" s="720"/>
      <c r="Q132" s="720"/>
      <c r="R132" s="720"/>
      <c r="S132" s="720"/>
      <c r="T132" s="720"/>
      <c r="U132" s="720"/>
      <c r="V132" s="720"/>
      <c r="W132" s="720"/>
      <c r="X132" s="720"/>
      <c r="Y132" s="720"/>
      <c r="Z132" s="720"/>
      <c r="AA132" s="720"/>
      <c r="AB132" s="720"/>
      <c r="AC132" s="720"/>
      <c r="AD132" s="720"/>
      <c r="AE132" s="720"/>
      <c r="AF132" s="720"/>
      <c r="AG132" s="720"/>
      <c r="AH132" s="720"/>
      <c r="AI132" s="720"/>
      <c r="AJ132" s="720"/>
      <c r="AK132" s="720"/>
      <c r="AL132" s="720"/>
      <c r="AM132" s="720"/>
      <c r="AN132" s="720"/>
      <c r="AO132" s="720"/>
      <c r="AP132" s="720"/>
      <c r="AQ132" s="720"/>
      <c r="AR132" s="720"/>
      <c r="AS132" s="720"/>
      <c r="AT132" s="720"/>
      <c r="AU132" s="720"/>
      <c r="AV132" s="720"/>
      <c r="AW132" s="720"/>
      <c r="AX132" s="720"/>
      <c r="AY132" s="720"/>
      <c r="AZ132" s="720"/>
      <c r="BA132" s="720"/>
      <c r="BB132" s="720"/>
      <c r="BC132" s="720"/>
      <c r="BD132" s="720"/>
      <c r="BE132" s="720"/>
      <c r="BF132" s="720"/>
      <c r="BG132" s="720"/>
      <c r="BH132" s="720"/>
      <c r="BI132" s="720"/>
      <c r="BJ132" s="720"/>
      <c r="BK132" s="720"/>
      <c r="BL132" s="720"/>
      <c r="BM132" s="720"/>
      <c r="BN132" s="720"/>
      <c r="BO132" s="720"/>
      <c r="BP132" s="720"/>
      <c r="BQ132" s="720"/>
      <c r="BR132" s="720"/>
      <c r="BS132" s="720"/>
      <c r="BT132" s="721"/>
      <c r="BU132" s="720"/>
      <c r="BV132" s="720"/>
      <c r="BW132" s="720"/>
      <c r="BX132" s="720"/>
      <c r="BY132" s="720"/>
      <c r="BZ132" s="720"/>
      <c r="CA132" s="720"/>
      <c r="CB132" s="720"/>
      <c r="CC132" s="720"/>
      <c r="CD132" s="720"/>
      <c r="CE132" s="720"/>
      <c r="CF132" s="720"/>
      <c r="CG132" s="321"/>
    </row>
    <row r="133" spans="1:85" s="428" customFormat="1" hidden="1" outlineLevel="1" x14ac:dyDescent="0.3">
      <c r="A133" s="43" t="s">
        <v>770</v>
      </c>
      <c r="B133" s="549"/>
      <c r="C133" s="865"/>
      <c r="D133" s="865"/>
      <c r="E133" s="865"/>
      <c r="F133" s="865"/>
      <c r="G133" s="298"/>
      <c r="H133" s="298"/>
      <c r="I133" s="298"/>
      <c r="J133" s="298"/>
      <c r="K133" s="865"/>
      <c r="L133" s="298"/>
      <c r="M133" s="298"/>
      <c r="N133" s="298"/>
      <c r="O133" s="298"/>
      <c r="P133" s="865"/>
      <c r="Q133" s="298"/>
      <c r="R133" s="298"/>
      <c r="S133" s="298"/>
      <c r="T133" s="298"/>
      <c r="U133" s="865"/>
      <c r="V133" s="298"/>
      <c r="W133" s="298"/>
      <c r="X133" s="298"/>
      <c r="Y133" s="298"/>
      <c r="Z133" s="865"/>
      <c r="AA133" s="298"/>
      <c r="AB133" s="298"/>
      <c r="AC133" s="298"/>
      <c r="AD133" s="298"/>
      <c r="AE133" s="865"/>
      <c r="AF133" s="298"/>
      <c r="AG133" s="298"/>
      <c r="AH133" s="298"/>
      <c r="AI133" s="298"/>
      <c r="AJ133" s="865"/>
      <c r="AK133" s="298"/>
      <c r="AL133" s="298"/>
      <c r="AM133" s="298"/>
      <c r="AN133" s="298"/>
      <c r="AO133" s="865"/>
      <c r="AP133" s="298"/>
      <c r="AQ133" s="298"/>
      <c r="AR133" s="298"/>
      <c r="AS133" s="298"/>
      <c r="AT133" s="866">
        <v>42933</v>
      </c>
      <c r="AU133" s="298"/>
      <c r="AV133" s="298"/>
      <c r="AW133" s="298"/>
      <c r="AX133" s="298"/>
      <c r="AY133" s="866">
        <v>37346</v>
      </c>
      <c r="AZ133" s="298"/>
      <c r="BA133" s="298"/>
      <c r="BB133" s="298"/>
      <c r="BC133" s="298"/>
      <c r="BD133" s="866">
        <v>34834</v>
      </c>
      <c r="BE133" s="298"/>
      <c r="BF133" s="298"/>
      <c r="BG133" s="298"/>
      <c r="BH133" s="298"/>
      <c r="BI133" s="866">
        <v>36547</v>
      </c>
      <c r="BJ133" s="298"/>
      <c r="BK133" s="298"/>
      <c r="BL133" s="298"/>
      <c r="BM133" s="298"/>
      <c r="BN133" s="866">
        <v>35135</v>
      </c>
      <c r="BO133" s="298"/>
      <c r="BP133" s="298"/>
      <c r="BQ133" s="298"/>
      <c r="BR133" s="298"/>
      <c r="BS133" s="866">
        <v>37907</v>
      </c>
      <c r="BT133" s="655"/>
      <c r="BU133" s="298"/>
      <c r="BV133" s="298"/>
      <c r="BW133" s="298"/>
      <c r="BX133" s="865"/>
      <c r="BY133" s="298"/>
      <c r="BZ133" s="298"/>
      <c r="CA133" s="298"/>
      <c r="CB133" s="298"/>
      <c r="CC133" s="865"/>
      <c r="CD133" s="865"/>
      <c r="CE133" s="865"/>
      <c r="CF133" s="865"/>
      <c r="CG133" s="22"/>
    </row>
    <row r="134" spans="1:85" s="428" customFormat="1" hidden="1" outlineLevel="1" x14ac:dyDescent="0.3">
      <c r="A134" s="43" t="s">
        <v>771</v>
      </c>
      <c r="B134" s="549"/>
      <c r="C134" s="865"/>
      <c r="D134" s="865"/>
      <c r="E134" s="865"/>
      <c r="F134" s="865"/>
      <c r="G134" s="298"/>
      <c r="H134" s="298"/>
      <c r="I134" s="298"/>
      <c r="J134" s="298"/>
      <c r="K134" s="865"/>
      <c r="L134" s="298"/>
      <c r="M134" s="298"/>
      <c r="N134" s="298"/>
      <c r="O134" s="298"/>
      <c r="P134" s="865"/>
      <c r="Q134" s="298"/>
      <c r="R134" s="298"/>
      <c r="S134" s="298"/>
      <c r="T134" s="298"/>
      <c r="U134" s="865"/>
      <c r="V134" s="298"/>
      <c r="W134" s="298"/>
      <c r="X134" s="298"/>
      <c r="Y134" s="298"/>
      <c r="Z134" s="865"/>
      <c r="AA134" s="298"/>
      <c r="AB134" s="298"/>
      <c r="AC134" s="298"/>
      <c r="AD134" s="298"/>
      <c r="AE134" s="865"/>
      <c r="AF134" s="298"/>
      <c r="AG134" s="298"/>
      <c r="AH134" s="298"/>
      <c r="AI134" s="298"/>
      <c r="AJ134" s="865"/>
      <c r="AK134" s="298"/>
      <c r="AL134" s="298"/>
      <c r="AM134" s="298"/>
      <c r="AN134" s="298"/>
      <c r="AO134" s="865"/>
      <c r="AP134" s="298"/>
      <c r="AQ134" s="298"/>
      <c r="AR134" s="298"/>
      <c r="AS134" s="298"/>
      <c r="AT134" s="866">
        <v>1077</v>
      </c>
      <c r="AU134" s="298"/>
      <c r="AV134" s="298"/>
      <c r="AW134" s="298"/>
      <c r="AX134" s="298"/>
      <c r="AY134" s="866">
        <v>1094</v>
      </c>
      <c r="AZ134" s="298"/>
      <c r="BA134" s="298"/>
      <c r="BB134" s="298"/>
      <c r="BC134" s="298"/>
      <c r="BD134" s="866">
        <v>1144</v>
      </c>
      <c r="BE134" s="298"/>
      <c r="BF134" s="298"/>
      <c r="BG134" s="298"/>
      <c r="BH134" s="298"/>
      <c r="BI134" s="866">
        <v>1231</v>
      </c>
      <c r="BJ134" s="298"/>
      <c r="BK134" s="298"/>
      <c r="BL134" s="298"/>
      <c r="BM134" s="298"/>
      <c r="BN134" s="866">
        <v>1277</v>
      </c>
      <c r="BO134" s="298"/>
      <c r="BP134" s="298"/>
      <c r="BQ134" s="298"/>
      <c r="BR134" s="298"/>
      <c r="BS134" s="866">
        <v>1123</v>
      </c>
      <c r="BT134" s="655"/>
      <c r="BU134" s="298"/>
      <c r="BV134" s="298"/>
      <c r="BW134" s="298"/>
      <c r="BX134" s="865"/>
      <c r="BY134" s="298"/>
      <c r="BZ134" s="298"/>
      <c r="CA134" s="298"/>
      <c r="CB134" s="298"/>
      <c r="CC134" s="865"/>
      <c r="CD134" s="865"/>
      <c r="CE134" s="865"/>
      <c r="CF134" s="865"/>
      <c r="CG134" s="22"/>
    </row>
    <row r="135" spans="1:85" s="428" customFormat="1" hidden="1" outlineLevel="1" x14ac:dyDescent="0.3">
      <c r="A135" s="43" t="s">
        <v>772</v>
      </c>
      <c r="B135" s="549"/>
      <c r="C135" s="865"/>
      <c r="D135" s="865"/>
      <c r="E135" s="865"/>
      <c r="F135" s="865"/>
      <c r="G135" s="298"/>
      <c r="H135" s="298"/>
      <c r="I135" s="298"/>
      <c r="J135" s="298"/>
      <c r="K135" s="865"/>
      <c r="L135" s="298"/>
      <c r="M135" s="298"/>
      <c r="N135" s="298"/>
      <c r="O135" s="298"/>
      <c r="P135" s="865"/>
      <c r="Q135" s="298"/>
      <c r="R135" s="298"/>
      <c r="S135" s="298"/>
      <c r="T135" s="298"/>
      <c r="U135" s="865"/>
      <c r="V135" s="298"/>
      <c r="W135" s="298"/>
      <c r="X135" s="298"/>
      <c r="Y135" s="298"/>
      <c r="Z135" s="865"/>
      <c r="AA135" s="298"/>
      <c r="AB135" s="298"/>
      <c r="AC135" s="298"/>
      <c r="AD135" s="298"/>
      <c r="AE135" s="865"/>
      <c r="AF135" s="298"/>
      <c r="AG135" s="298"/>
      <c r="AH135" s="298"/>
      <c r="AI135" s="298"/>
      <c r="AJ135" s="865"/>
      <c r="AK135" s="298"/>
      <c r="AL135" s="298"/>
      <c r="AM135" s="298"/>
      <c r="AN135" s="298"/>
      <c r="AO135" s="865"/>
      <c r="AP135" s="298"/>
      <c r="AQ135" s="298"/>
      <c r="AR135" s="298"/>
      <c r="AS135" s="298"/>
      <c r="AT135" s="866">
        <v>1732</v>
      </c>
      <c r="AU135" s="298"/>
      <c r="AV135" s="298"/>
      <c r="AW135" s="298"/>
      <c r="AX135" s="298"/>
      <c r="AY135" s="866">
        <v>1744</v>
      </c>
      <c r="AZ135" s="298"/>
      <c r="BA135" s="298"/>
      <c r="BB135" s="298"/>
      <c r="BC135" s="298"/>
      <c r="BD135" s="866">
        <v>1623</v>
      </c>
      <c r="BE135" s="298"/>
      <c r="BF135" s="298"/>
      <c r="BG135" s="298"/>
      <c r="BH135" s="298"/>
      <c r="BI135" s="866">
        <v>1645</v>
      </c>
      <c r="BJ135" s="298"/>
      <c r="BK135" s="298"/>
      <c r="BL135" s="298"/>
      <c r="BM135" s="298"/>
      <c r="BN135" s="866">
        <v>1679</v>
      </c>
      <c r="BO135" s="298"/>
      <c r="BP135" s="298"/>
      <c r="BQ135" s="298"/>
      <c r="BR135" s="298"/>
      <c r="BS135" s="866">
        <v>1635</v>
      </c>
      <c r="BT135" s="655"/>
      <c r="BU135" s="298"/>
      <c r="BV135" s="298"/>
      <c r="BW135" s="298"/>
      <c r="BX135" s="865"/>
      <c r="BY135" s="298"/>
      <c r="BZ135" s="298"/>
      <c r="CA135" s="298"/>
      <c r="CB135" s="298"/>
      <c r="CC135" s="865"/>
      <c r="CD135" s="865"/>
      <c r="CE135" s="865"/>
      <c r="CF135" s="865"/>
      <c r="CG135" s="22"/>
    </row>
    <row r="136" spans="1:85" s="428" customFormat="1" hidden="1" outlineLevel="1" x14ac:dyDescent="0.3">
      <c r="A136" s="43" t="s">
        <v>773</v>
      </c>
      <c r="B136" s="549"/>
      <c r="C136" s="865"/>
      <c r="D136" s="865"/>
      <c r="E136" s="865"/>
      <c r="F136" s="865"/>
      <c r="G136" s="298"/>
      <c r="H136" s="298"/>
      <c r="I136" s="298"/>
      <c r="J136" s="298"/>
      <c r="K136" s="865"/>
      <c r="L136" s="298"/>
      <c r="M136" s="298"/>
      <c r="N136" s="298"/>
      <c r="O136" s="298"/>
      <c r="P136" s="865"/>
      <c r="Q136" s="298"/>
      <c r="R136" s="298"/>
      <c r="S136" s="298"/>
      <c r="T136" s="298"/>
      <c r="U136" s="865"/>
      <c r="V136" s="298"/>
      <c r="W136" s="298"/>
      <c r="X136" s="298"/>
      <c r="Y136" s="298"/>
      <c r="Z136" s="865"/>
      <c r="AA136" s="298"/>
      <c r="AB136" s="298"/>
      <c r="AC136" s="298"/>
      <c r="AD136" s="298"/>
      <c r="AE136" s="865"/>
      <c r="AF136" s="298"/>
      <c r="AG136" s="298"/>
      <c r="AH136" s="298"/>
      <c r="AI136" s="298"/>
      <c r="AJ136" s="865"/>
      <c r="AK136" s="298"/>
      <c r="AL136" s="298"/>
      <c r="AM136" s="298"/>
      <c r="AN136" s="298"/>
      <c r="AO136" s="865"/>
      <c r="AP136" s="298"/>
      <c r="AQ136" s="298"/>
      <c r="AR136" s="298"/>
      <c r="AS136" s="298"/>
      <c r="AT136" s="866">
        <v>14210</v>
      </c>
      <c r="AU136" s="298"/>
      <c r="AV136" s="298"/>
      <c r="AW136" s="298"/>
      <c r="AX136" s="298"/>
      <c r="AY136" s="866">
        <v>2276</v>
      </c>
      <c r="AZ136" s="298"/>
      <c r="BA136" s="298"/>
      <c r="BB136" s="298"/>
      <c r="BC136" s="298"/>
      <c r="BD136" s="866">
        <v>1764</v>
      </c>
      <c r="BE136" s="298"/>
      <c r="BF136" s="298"/>
      <c r="BG136" s="298"/>
      <c r="BH136" s="298"/>
      <c r="BI136" s="866">
        <v>1910</v>
      </c>
      <c r="BJ136" s="298"/>
      <c r="BK136" s="298"/>
      <c r="BL136" s="298"/>
      <c r="BM136" s="298"/>
      <c r="BN136" s="866">
        <v>1699</v>
      </c>
      <c r="BO136" s="298"/>
      <c r="BP136" s="298"/>
      <c r="BQ136" s="298"/>
      <c r="BR136" s="298"/>
      <c r="BS136" s="866">
        <v>1750</v>
      </c>
      <c r="BT136" s="655"/>
      <c r="BU136" s="298"/>
      <c r="BV136" s="298"/>
      <c r="BW136" s="298"/>
      <c r="BX136" s="865"/>
      <c r="BY136" s="298"/>
      <c r="BZ136" s="298"/>
      <c r="CA136" s="298"/>
      <c r="CB136" s="298"/>
      <c r="CC136" s="865"/>
      <c r="CD136" s="865"/>
      <c r="CE136" s="865"/>
      <c r="CF136" s="865"/>
      <c r="CG136" s="22"/>
    </row>
    <row r="137" spans="1:85" s="428" customFormat="1" hidden="1" outlineLevel="1" x14ac:dyDescent="0.3">
      <c r="A137" s="43" t="s">
        <v>774</v>
      </c>
      <c r="B137" s="549"/>
      <c r="C137" s="865"/>
      <c r="D137" s="865"/>
      <c r="E137" s="865"/>
      <c r="F137" s="865"/>
      <c r="G137" s="298"/>
      <c r="H137" s="298"/>
      <c r="I137" s="298"/>
      <c r="J137" s="298"/>
      <c r="K137" s="865"/>
      <c r="L137" s="298"/>
      <c r="M137" s="298"/>
      <c r="N137" s="298"/>
      <c r="O137" s="298"/>
      <c r="P137" s="865"/>
      <c r="Q137" s="298"/>
      <c r="R137" s="298"/>
      <c r="S137" s="298"/>
      <c r="T137" s="298"/>
      <c r="U137" s="865"/>
      <c r="V137" s="298"/>
      <c r="W137" s="298"/>
      <c r="X137" s="298"/>
      <c r="Y137" s="298"/>
      <c r="Z137" s="865"/>
      <c r="AA137" s="298"/>
      <c r="AB137" s="298"/>
      <c r="AC137" s="298"/>
      <c r="AD137" s="298"/>
      <c r="AE137" s="865"/>
      <c r="AF137" s="298"/>
      <c r="AG137" s="298"/>
      <c r="AH137" s="298"/>
      <c r="AI137" s="298"/>
      <c r="AJ137" s="865"/>
      <c r="AK137" s="298"/>
      <c r="AL137" s="298"/>
      <c r="AM137" s="298"/>
      <c r="AN137" s="298"/>
      <c r="AO137" s="865"/>
      <c r="AP137" s="298"/>
      <c r="AQ137" s="298"/>
      <c r="AR137" s="298"/>
      <c r="AS137" s="298"/>
      <c r="AT137" s="866">
        <v>533</v>
      </c>
      <c r="AU137" s="298"/>
      <c r="AV137" s="298"/>
      <c r="AW137" s="298"/>
      <c r="AX137" s="298"/>
      <c r="AY137" s="866">
        <v>533</v>
      </c>
      <c r="AZ137" s="298"/>
      <c r="BA137" s="298"/>
      <c r="BB137" s="298"/>
      <c r="BC137" s="298"/>
      <c r="BD137" s="866">
        <v>532</v>
      </c>
      <c r="BE137" s="298"/>
      <c r="BF137" s="298"/>
      <c r="BG137" s="298"/>
      <c r="BH137" s="298"/>
      <c r="BI137" s="866">
        <v>532</v>
      </c>
      <c r="BJ137" s="298"/>
      <c r="BK137" s="298"/>
      <c r="BL137" s="298"/>
      <c r="BM137" s="298"/>
      <c r="BN137" s="866">
        <v>532</v>
      </c>
      <c r="BO137" s="298"/>
      <c r="BP137" s="298"/>
      <c r="BQ137" s="298"/>
      <c r="BR137" s="298"/>
      <c r="BS137" s="866">
        <v>532</v>
      </c>
      <c r="BT137" s="655"/>
      <c r="BU137" s="298"/>
      <c r="BV137" s="298"/>
      <c r="BW137" s="298"/>
      <c r="BX137" s="865"/>
      <c r="BY137" s="298"/>
      <c r="BZ137" s="298"/>
      <c r="CA137" s="298"/>
      <c r="CB137" s="298"/>
      <c r="CC137" s="865"/>
      <c r="CD137" s="865"/>
      <c r="CE137" s="865"/>
      <c r="CF137" s="865"/>
      <c r="CG137" s="22"/>
    </row>
    <row r="138" spans="1:85" s="428" customFormat="1" hidden="1" outlineLevel="1" x14ac:dyDescent="0.3">
      <c r="A138" s="43" t="s">
        <v>775</v>
      </c>
      <c r="B138" s="549"/>
      <c r="C138" s="865"/>
      <c r="D138" s="865"/>
      <c r="E138" s="865"/>
      <c r="F138" s="865"/>
      <c r="G138" s="298"/>
      <c r="H138" s="298"/>
      <c r="I138" s="298"/>
      <c r="J138" s="298"/>
      <c r="K138" s="865"/>
      <c r="L138" s="298"/>
      <c r="M138" s="298"/>
      <c r="N138" s="298"/>
      <c r="O138" s="298"/>
      <c r="P138" s="865"/>
      <c r="Q138" s="298"/>
      <c r="R138" s="298"/>
      <c r="S138" s="298"/>
      <c r="T138" s="298"/>
      <c r="U138" s="865"/>
      <c r="V138" s="298"/>
      <c r="W138" s="298"/>
      <c r="X138" s="298"/>
      <c r="Y138" s="298"/>
      <c r="Z138" s="865"/>
      <c r="AA138" s="298"/>
      <c r="AB138" s="298"/>
      <c r="AC138" s="298"/>
      <c r="AD138" s="298"/>
      <c r="AE138" s="865"/>
      <c r="AF138" s="298"/>
      <c r="AG138" s="298"/>
      <c r="AH138" s="298"/>
      <c r="AI138" s="298"/>
      <c r="AJ138" s="865"/>
      <c r="AK138" s="298"/>
      <c r="AL138" s="298"/>
      <c r="AM138" s="298"/>
      <c r="AN138" s="298"/>
      <c r="AO138" s="865"/>
      <c r="AP138" s="298"/>
      <c r="AQ138" s="298"/>
      <c r="AR138" s="298"/>
      <c r="AS138" s="298"/>
      <c r="AT138" s="866">
        <v>29</v>
      </c>
      <c r="AU138" s="298"/>
      <c r="AV138" s="298"/>
      <c r="AW138" s="298"/>
      <c r="AX138" s="298"/>
      <c r="AY138" s="866">
        <v>34</v>
      </c>
      <c r="AZ138" s="298"/>
      <c r="BA138" s="298"/>
      <c r="BB138" s="298"/>
      <c r="BC138" s="298"/>
      <c r="BD138" s="866">
        <v>38</v>
      </c>
      <c r="BE138" s="298"/>
      <c r="BF138" s="298"/>
      <c r="BG138" s="298"/>
      <c r="BH138" s="298"/>
      <c r="BI138" s="866">
        <v>28</v>
      </c>
      <c r="BJ138" s="298"/>
      <c r="BK138" s="298"/>
      <c r="BL138" s="298"/>
      <c r="BM138" s="298"/>
      <c r="BN138" s="866">
        <v>27</v>
      </c>
      <c r="BO138" s="298"/>
      <c r="BP138" s="298"/>
      <c r="BQ138" s="298"/>
      <c r="BR138" s="298"/>
      <c r="BS138" s="866">
        <v>33</v>
      </c>
      <c r="BT138" s="655"/>
      <c r="BU138" s="298"/>
      <c r="BV138" s="298"/>
      <c r="BW138" s="298"/>
      <c r="BX138" s="865"/>
      <c r="BY138" s="298"/>
      <c r="BZ138" s="298"/>
      <c r="CA138" s="298"/>
      <c r="CB138" s="298"/>
      <c r="CC138" s="865"/>
      <c r="CD138" s="865"/>
      <c r="CE138" s="865"/>
      <c r="CF138" s="865"/>
      <c r="CG138" s="22"/>
    </row>
    <row r="139" spans="1:85" s="429" customFormat="1" hidden="1" outlineLevel="1" x14ac:dyDescent="0.3">
      <c r="A139" s="42" t="s">
        <v>776</v>
      </c>
      <c r="B139" s="550"/>
      <c r="C139" s="867"/>
      <c r="D139" s="867"/>
      <c r="E139" s="867"/>
      <c r="F139" s="867"/>
      <c r="G139" s="551"/>
      <c r="H139" s="551"/>
      <c r="I139" s="551"/>
      <c r="J139" s="551"/>
      <c r="K139" s="867"/>
      <c r="L139" s="551"/>
      <c r="M139" s="551"/>
      <c r="N139" s="551"/>
      <c r="O139" s="551"/>
      <c r="P139" s="867"/>
      <c r="Q139" s="551"/>
      <c r="R139" s="551"/>
      <c r="S139" s="551"/>
      <c r="T139" s="551"/>
      <c r="U139" s="867"/>
      <c r="V139" s="551"/>
      <c r="W139" s="551"/>
      <c r="X139" s="551"/>
      <c r="Y139" s="551"/>
      <c r="Z139" s="867"/>
      <c r="AA139" s="551"/>
      <c r="AB139" s="551"/>
      <c r="AC139" s="551"/>
      <c r="AD139" s="551"/>
      <c r="AE139" s="867"/>
      <c r="AF139" s="551"/>
      <c r="AG139" s="551"/>
      <c r="AH139" s="551"/>
      <c r="AI139" s="551"/>
      <c r="AJ139" s="867"/>
      <c r="AK139" s="551"/>
      <c r="AL139" s="551"/>
      <c r="AM139" s="551"/>
      <c r="AN139" s="551"/>
      <c r="AO139" s="867"/>
      <c r="AP139" s="551"/>
      <c r="AQ139" s="551"/>
      <c r="AR139" s="551"/>
      <c r="AS139" s="551"/>
      <c r="AT139" s="867">
        <f>AT133+AT134+AT135+AT136+AT137+AT138</f>
        <v>60514</v>
      </c>
      <c r="AU139" s="551"/>
      <c r="AV139" s="551"/>
      <c r="AW139" s="551"/>
      <c r="AX139" s="551"/>
      <c r="AY139" s="867">
        <f>AY133+AY134+AY135+AY136+AY137+AY138</f>
        <v>43027</v>
      </c>
      <c r="AZ139" s="551"/>
      <c r="BA139" s="551"/>
      <c r="BB139" s="551"/>
      <c r="BC139" s="551"/>
      <c r="BD139" s="867">
        <f>BD133+BD134+BD135+BD136+BD137+BD138</f>
        <v>39935</v>
      </c>
      <c r="BE139" s="551"/>
      <c r="BF139" s="551"/>
      <c r="BG139" s="551"/>
      <c r="BH139" s="551"/>
      <c r="BI139" s="867">
        <f>BI133+BI134+BI135+BI136+BI137+BI138</f>
        <v>41893</v>
      </c>
      <c r="BJ139" s="551"/>
      <c r="BK139" s="551"/>
      <c r="BL139" s="551"/>
      <c r="BM139" s="551"/>
      <c r="BN139" s="867">
        <f>BN133+BN134+BN135+BN136+BN137+BN138</f>
        <v>40349</v>
      </c>
      <c r="BO139" s="551"/>
      <c r="BP139" s="551"/>
      <c r="BQ139" s="551"/>
      <c r="BR139" s="551"/>
      <c r="BS139" s="867">
        <f>BS133+BS134+BS135+BS136+BS137+BS138</f>
        <v>42980</v>
      </c>
      <c r="BT139" s="656"/>
      <c r="BU139" s="551"/>
      <c r="BV139" s="551"/>
      <c r="BW139" s="551"/>
      <c r="BX139" s="867"/>
      <c r="BY139" s="551"/>
      <c r="BZ139" s="551"/>
      <c r="CA139" s="551"/>
      <c r="CB139" s="551"/>
      <c r="CC139" s="867"/>
      <c r="CD139" s="867"/>
      <c r="CE139" s="867"/>
      <c r="CF139" s="867"/>
      <c r="CG139" s="26"/>
    </row>
    <row r="140" spans="1:85" s="428" customFormat="1" hidden="1" outlineLevel="1" x14ac:dyDescent="0.3">
      <c r="A140" s="106"/>
      <c r="B140" s="549"/>
      <c r="C140" s="865"/>
      <c r="D140" s="865"/>
      <c r="E140" s="865"/>
      <c r="F140" s="865"/>
      <c r="G140" s="298"/>
      <c r="H140" s="298"/>
      <c r="I140" s="298"/>
      <c r="J140" s="298"/>
      <c r="K140" s="865"/>
      <c r="L140" s="298"/>
      <c r="M140" s="298"/>
      <c r="N140" s="298"/>
      <c r="O140" s="298"/>
      <c r="P140" s="865"/>
      <c r="Q140" s="298"/>
      <c r="R140" s="298"/>
      <c r="S140" s="298"/>
      <c r="T140" s="298"/>
      <c r="U140" s="865"/>
      <c r="V140" s="298"/>
      <c r="W140" s="298"/>
      <c r="X140" s="298"/>
      <c r="Y140" s="298"/>
      <c r="Z140" s="865"/>
      <c r="AA140" s="298"/>
      <c r="AB140" s="298"/>
      <c r="AC140" s="298"/>
      <c r="AD140" s="298"/>
      <c r="AE140" s="865"/>
      <c r="AF140" s="298"/>
      <c r="AG140" s="298"/>
      <c r="AH140" s="298"/>
      <c r="AI140" s="298"/>
      <c r="AJ140" s="865"/>
      <c r="AK140" s="298"/>
      <c r="AL140" s="298"/>
      <c r="AM140" s="298"/>
      <c r="AN140" s="298"/>
      <c r="AO140" s="865"/>
      <c r="AP140" s="298"/>
      <c r="AQ140" s="298"/>
      <c r="AR140" s="298"/>
      <c r="AS140" s="298"/>
      <c r="AT140" s="865"/>
      <c r="AU140" s="298"/>
      <c r="AV140" s="298"/>
      <c r="AW140" s="298"/>
      <c r="AX140" s="298"/>
      <c r="AY140" s="865"/>
      <c r="AZ140" s="298"/>
      <c r="BA140" s="298"/>
      <c r="BB140" s="298"/>
      <c r="BC140" s="298"/>
      <c r="BD140" s="865"/>
      <c r="BE140" s="298"/>
      <c r="BF140" s="298"/>
      <c r="BG140" s="298"/>
      <c r="BH140" s="298"/>
      <c r="BI140" s="865"/>
      <c r="BJ140" s="298"/>
      <c r="BK140" s="298"/>
      <c r="BL140" s="298"/>
      <c r="BM140" s="298"/>
      <c r="BN140" s="865"/>
      <c r="BO140" s="298"/>
      <c r="BP140" s="298"/>
      <c r="BQ140" s="298"/>
      <c r="BR140" s="298"/>
      <c r="BS140" s="865"/>
      <c r="BT140" s="655"/>
      <c r="BU140" s="298"/>
      <c r="BV140" s="298"/>
      <c r="BW140" s="298"/>
      <c r="BX140" s="865"/>
      <c r="BY140" s="298"/>
      <c r="BZ140" s="298"/>
      <c r="CA140" s="298"/>
      <c r="CB140" s="298"/>
      <c r="CC140" s="865"/>
      <c r="CD140" s="865"/>
      <c r="CE140" s="865"/>
      <c r="CF140" s="865"/>
      <c r="CG140" s="22"/>
    </row>
    <row r="141" spans="1:85" s="428" customFormat="1" hidden="1" outlineLevel="1" x14ac:dyDescent="0.3">
      <c r="A141" s="43" t="s">
        <v>783</v>
      </c>
      <c r="B141" s="549"/>
      <c r="C141" s="865"/>
      <c r="D141" s="865"/>
      <c r="E141" s="865"/>
      <c r="F141" s="865"/>
      <c r="G141" s="298"/>
      <c r="H141" s="298"/>
      <c r="I141" s="298"/>
      <c r="J141" s="298"/>
      <c r="K141" s="865"/>
      <c r="L141" s="298"/>
      <c r="M141" s="298"/>
      <c r="N141" s="298"/>
      <c r="O141" s="298"/>
      <c r="P141" s="865"/>
      <c r="Q141" s="298"/>
      <c r="R141" s="298"/>
      <c r="S141" s="298"/>
      <c r="T141" s="298"/>
      <c r="U141" s="865"/>
      <c r="V141" s="298"/>
      <c r="W141" s="298"/>
      <c r="X141" s="298"/>
      <c r="Y141" s="298"/>
      <c r="Z141" s="865"/>
      <c r="AA141" s="298"/>
      <c r="AB141" s="298"/>
      <c r="AC141" s="298"/>
      <c r="AD141" s="298"/>
      <c r="AE141" s="865"/>
      <c r="AF141" s="298"/>
      <c r="AG141" s="298"/>
      <c r="AH141" s="298"/>
      <c r="AI141" s="298"/>
      <c r="AJ141" s="865"/>
      <c r="AK141" s="298"/>
      <c r="AL141" s="298"/>
      <c r="AM141" s="298"/>
      <c r="AN141" s="298"/>
      <c r="AO141" s="865"/>
      <c r="AP141" s="298"/>
      <c r="AQ141" s="298"/>
      <c r="AR141" s="298"/>
      <c r="AS141" s="298"/>
      <c r="AT141" s="866">
        <v>31380</v>
      </c>
      <c r="AU141" s="298"/>
      <c r="AV141" s="298"/>
      <c r="AW141" s="298"/>
      <c r="AX141" s="298"/>
      <c r="AY141" s="866">
        <v>28321</v>
      </c>
      <c r="AZ141" s="298"/>
      <c r="BA141" s="298"/>
      <c r="BB141" s="298"/>
      <c r="BC141" s="298"/>
      <c r="BD141" s="866">
        <v>27364</v>
      </c>
      <c r="BE141" s="298"/>
      <c r="BF141" s="298"/>
      <c r="BG141" s="298"/>
      <c r="BH141" s="298"/>
      <c r="BI141" s="866">
        <v>26111</v>
      </c>
      <c r="BJ141" s="298"/>
      <c r="BK141" s="298"/>
      <c r="BL141" s="298"/>
      <c r="BM141" s="298"/>
      <c r="BN141" s="866">
        <v>24099</v>
      </c>
      <c r="BO141" s="298"/>
      <c r="BP141" s="298"/>
      <c r="BQ141" s="298"/>
      <c r="BR141" s="298"/>
      <c r="BS141" s="866">
        <v>24534</v>
      </c>
      <c r="BT141" s="655"/>
      <c r="BU141" s="298"/>
      <c r="BV141" s="298"/>
      <c r="BW141" s="298"/>
      <c r="BX141" s="865"/>
      <c r="BY141" s="298"/>
      <c r="BZ141" s="298"/>
      <c r="CA141" s="298"/>
      <c r="CB141" s="298"/>
      <c r="CC141" s="865"/>
      <c r="CD141" s="865"/>
      <c r="CE141" s="865"/>
      <c r="CF141" s="865"/>
      <c r="CG141" s="22"/>
    </row>
    <row r="142" spans="1:85" s="428" customFormat="1" hidden="1" outlineLevel="1" x14ac:dyDescent="0.3">
      <c r="A142" s="43" t="s">
        <v>777</v>
      </c>
      <c r="B142" s="549"/>
      <c r="C142" s="865"/>
      <c r="D142" s="865"/>
      <c r="E142" s="865"/>
      <c r="F142" s="865"/>
      <c r="G142" s="298"/>
      <c r="H142" s="298"/>
      <c r="I142" s="298"/>
      <c r="J142" s="298"/>
      <c r="K142" s="865"/>
      <c r="L142" s="298"/>
      <c r="M142" s="298"/>
      <c r="N142" s="298"/>
      <c r="O142" s="298"/>
      <c r="P142" s="865"/>
      <c r="Q142" s="298"/>
      <c r="R142" s="298"/>
      <c r="S142" s="298"/>
      <c r="T142" s="298"/>
      <c r="U142" s="865"/>
      <c r="V142" s="298"/>
      <c r="W142" s="298"/>
      <c r="X142" s="298"/>
      <c r="Y142" s="298"/>
      <c r="Z142" s="865"/>
      <c r="AA142" s="298"/>
      <c r="AB142" s="298"/>
      <c r="AC142" s="298"/>
      <c r="AD142" s="298"/>
      <c r="AE142" s="865"/>
      <c r="AF142" s="298"/>
      <c r="AG142" s="298"/>
      <c r="AH142" s="298"/>
      <c r="AI142" s="298"/>
      <c r="AJ142" s="865"/>
      <c r="AK142" s="298"/>
      <c r="AL142" s="298"/>
      <c r="AM142" s="298"/>
      <c r="AN142" s="298"/>
      <c r="AO142" s="865"/>
      <c r="AP142" s="298"/>
      <c r="AQ142" s="298"/>
      <c r="AR142" s="298"/>
      <c r="AS142" s="298"/>
      <c r="AT142" s="866">
        <v>687</v>
      </c>
      <c r="AU142" s="298"/>
      <c r="AV142" s="298"/>
      <c r="AW142" s="298"/>
      <c r="AX142" s="298"/>
      <c r="AY142" s="866">
        <v>682</v>
      </c>
      <c r="AZ142" s="298"/>
      <c r="BA142" s="298"/>
      <c r="BB142" s="298"/>
      <c r="BC142" s="298"/>
      <c r="BD142" s="866">
        <v>708</v>
      </c>
      <c r="BE142" s="298"/>
      <c r="BF142" s="298"/>
      <c r="BG142" s="298"/>
      <c r="BH142" s="298"/>
      <c r="BI142" s="866">
        <v>741</v>
      </c>
      <c r="BJ142" s="298"/>
      <c r="BK142" s="298"/>
      <c r="BL142" s="298"/>
      <c r="BM142" s="298"/>
      <c r="BN142" s="866">
        <v>752</v>
      </c>
      <c r="BO142" s="298"/>
      <c r="BP142" s="298"/>
      <c r="BQ142" s="298"/>
      <c r="BR142" s="298"/>
      <c r="BS142" s="866">
        <v>564</v>
      </c>
      <c r="BT142" s="655"/>
      <c r="BU142" s="298"/>
      <c r="BV142" s="298"/>
      <c r="BW142" s="298"/>
      <c r="BX142" s="865"/>
      <c r="BY142" s="298"/>
      <c r="BZ142" s="298"/>
      <c r="CA142" s="298"/>
      <c r="CB142" s="298"/>
      <c r="CC142" s="865"/>
      <c r="CD142" s="865"/>
      <c r="CE142" s="865"/>
      <c r="CF142" s="865"/>
      <c r="CG142" s="22"/>
    </row>
    <row r="143" spans="1:85" s="428" customFormat="1" hidden="1" outlineLevel="1" x14ac:dyDescent="0.3">
      <c r="A143" s="43" t="s">
        <v>778</v>
      </c>
      <c r="B143" s="549"/>
      <c r="C143" s="865"/>
      <c r="D143" s="865"/>
      <c r="E143" s="865"/>
      <c r="F143" s="865"/>
      <c r="G143" s="298"/>
      <c r="H143" s="298"/>
      <c r="I143" s="298"/>
      <c r="J143" s="298"/>
      <c r="K143" s="865"/>
      <c r="L143" s="298"/>
      <c r="M143" s="298"/>
      <c r="N143" s="298"/>
      <c r="O143" s="298"/>
      <c r="P143" s="865"/>
      <c r="Q143" s="298"/>
      <c r="R143" s="298"/>
      <c r="S143" s="298"/>
      <c r="T143" s="298"/>
      <c r="U143" s="865"/>
      <c r="V143" s="298"/>
      <c r="W143" s="298"/>
      <c r="X143" s="298"/>
      <c r="Y143" s="298"/>
      <c r="Z143" s="865"/>
      <c r="AA143" s="298"/>
      <c r="AB143" s="298"/>
      <c r="AC143" s="298"/>
      <c r="AD143" s="298"/>
      <c r="AE143" s="865"/>
      <c r="AF143" s="298"/>
      <c r="AG143" s="298"/>
      <c r="AH143" s="298"/>
      <c r="AI143" s="298"/>
      <c r="AJ143" s="865"/>
      <c r="AK143" s="298"/>
      <c r="AL143" s="298"/>
      <c r="AM143" s="298"/>
      <c r="AN143" s="298"/>
      <c r="AO143" s="865"/>
      <c r="AP143" s="298"/>
      <c r="AQ143" s="298"/>
      <c r="AR143" s="298"/>
      <c r="AS143" s="298"/>
      <c r="AT143" s="866">
        <v>679</v>
      </c>
      <c r="AU143" s="298"/>
      <c r="AV143" s="298"/>
      <c r="AW143" s="298"/>
      <c r="AX143" s="298"/>
      <c r="AY143" s="866">
        <v>683</v>
      </c>
      <c r="AZ143" s="298"/>
      <c r="BA143" s="298"/>
      <c r="BB143" s="298"/>
      <c r="BC143" s="298"/>
      <c r="BD143" s="866">
        <v>635</v>
      </c>
      <c r="BE143" s="298"/>
      <c r="BF143" s="298"/>
      <c r="BG143" s="298"/>
      <c r="BH143" s="298"/>
      <c r="BI143" s="866">
        <v>643</v>
      </c>
      <c r="BJ143" s="298"/>
      <c r="BK143" s="298"/>
      <c r="BL143" s="298"/>
      <c r="BM143" s="298"/>
      <c r="BN143" s="866">
        <v>653</v>
      </c>
      <c r="BO143" s="298"/>
      <c r="BP143" s="298"/>
      <c r="BQ143" s="298"/>
      <c r="BR143" s="298"/>
      <c r="BS143" s="866">
        <v>623</v>
      </c>
      <c r="BT143" s="655"/>
      <c r="BU143" s="298"/>
      <c r="BV143" s="298"/>
      <c r="BW143" s="298"/>
      <c r="BX143" s="865"/>
      <c r="BY143" s="298"/>
      <c r="BZ143" s="298"/>
      <c r="CA143" s="298"/>
      <c r="CB143" s="298"/>
      <c r="CC143" s="865"/>
      <c r="CD143" s="865"/>
      <c r="CE143" s="865"/>
      <c r="CF143" s="865"/>
      <c r="CG143" s="22"/>
    </row>
    <row r="144" spans="1:85" s="428" customFormat="1" hidden="1" outlineLevel="1" x14ac:dyDescent="0.3">
      <c r="A144" s="43" t="s">
        <v>779</v>
      </c>
      <c r="B144" s="549"/>
      <c r="C144" s="865"/>
      <c r="D144" s="865"/>
      <c r="E144" s="865"/>
      <c r="F144" s="865"/>
      <c r="G144" s="298"/>
      <c r="H144" s="298"/>
      <c r="I144" s="298"/>
      <c r="J144" s="298"/>
      <c r="K144" s="865"/>
      <c r="L144" s="298"/>
      <c r="M144" s="298"/>
      <c r="N144" s="298"/>
      <c r="O144" s="298"/>
      <c r="P144" s="865"/>
      <c r="Q144" s="298"/>
      <c r="R144" s="298"/>
      <c r="S144" s="298"/>
      <c r="T144" s="298"/>
      <c r="U144" s="865"/>
      <c r="V144" s="298"/>
      <c r="W144" s="298"/>
      <c r="X144" s="298"/>
      <c r="Y144" s="298"/>
      <c r="Z144" s="865"/>
      <c r="AA144" s="298"/>
      <c r="AB144" s="298"/>
      <c r="AC144" s="298"/>
      <c r="AD144" s="298"/>
      <c r="AE144" s="865"/>
      <c r="AF144" s="298"/>
      <c r="AG144" s="298"/>
      <c r="AH144" s="298"/>
      <c r="AI144" s="298"/>
      <c r="AJ144" s="865"/>
      <c r="AK144" s="298"/>
      <c r="AL144" s="298"/>
      <c r="AM144" s="298"/>
      <c r="AN144" s="298"/>
      <c r="AO144" s="865"/>
      <c r="AP144" s="298"/>
      <c r="AQ144" s="298"/>
      <c r="AR144" s="298"/>
      <c r="AS144" s="298"/>
      <c r="AT144" s="866">
        <v>12492</v>
      </c>
      <c r="AU144" s="298"/>
      <c r="AV144" s="298"/>
      <c r="AW144" s="298"/>
      <c r="AX144" s="298"/>
      <c r="AY144" s="866">
        <v>1158</v>
      </c>
      <c r="AZ144" s="298"/>
      <c r="BA144" s="298"/>
      <c r="BB144" s="298"/>
      <c r="BC144" s="298"/>
      <c r="BD144" s="866">
        <v>779</v>
      </c>
      <c r="BE144" s="298"/>
      <c r="BF144" s="298"/>
      <c r="BG144" s="298"/>
      <c r="BH144" s="298"/>
      <c r="BI144" s="866">
        <v>855</v>
      </c>
      <c r="BJ144" s="298"/>
      <c r="BK144" s="298"/>
      <c r="BL144" s="298"/>
      <c r="BM144" s="298"/>
      <c r="BN144" s="866">
        <v>807</v>
      </c>
      <c r="BO144" s="298"/>
      <c r="BP144" s="298"/>
      <c r="BQ144" s="298"/>
      <c r="BR144" s="298"/>
      <c r="BS144" s="866">
        <v>834</v>
      </c>
      <c r="BT144" s="655"/>
      <c r="BU144" s="298"/>
      <c r="BV144" s="298"/>
      <c r="BW144" s="298"/>
      <c r="BX144" s="865"/>
      <c r="BY144" s="298"/>
      <c r="BZ144" s="298"/>
      <c r="CA144" s="298"/>
      <c r="CB144" s="298"/>
      <c r="CC144" s="865"/>
      <c r="CD144" s="865"/>
      <c r="CE144" s="865"/>
      <c r="CF144" s="865"/>
      <c r="CG144" s="22"/>
    </row>
    <row r="145" spans="1:85" s="428" customFormat="1" hidden="1" outlineLevel="1" x14ac:dyDescent="0.3">
      <c r="A145" s="43" t="s">
        <v>780</v>
      </c>
      <c r="B145" s="549"/>
      <c r="C145" s="865"/>
      <c r="D145" s="865"/>
      <c r="E145" s="865"/>
      <c r="F145" s="865"/>
      <c r="G145" s="298"/>
      <c r="H145" s="298"/>
      <c r="I145" s="298"/>
      <c r="J145" s="298"/>
      <c r="K145" s="865"/>
      <c r="L145" s="298"/>
      <c r="M145" s="298"/>
      <c r="N145" s="298"/>
      <c r="O145" s="298"/>
      <c r="P145" s="865"/>
      <c r="Q145" s="298"/>
      <c r="R145" s="298"/>
      <c r="S145" s="298"/>
      <c r="T145" s="298"/>
      <c r="U145" s="865"/>
      <c r="V145" s="298"/>
      <c r="W145" s="298"/>
      <c r="X145" s="298"/>
      <c r="Y145" s="298"/>
      <c r="Z145" s="865"/>
      <c r="AA145" s="298"/>
      <c r="AB145" s="298"/>
      <c r="AC145" s="298"/>
      <c r="AD145" s="298"/>
      <c r="AE145" s="865"/>
      <c r="AF145" s="298"/>
      <c r="AG145" s="298"/>
      <c r="AH145" s="298"/>
      <c r="AI145" s="298"/>
      <c r="AJ145" s="865"/>
      <c r="AK145" s="298"/>
      <c r="AL145" s="298"/>
      <c r="AM145" s="298"/>
      <c r="AN145" s="298"/>
      <c r="AO145" s="865"/>
      <c r="AP145" s="298"/>
      <c r="AQ145" s="298"/>
      <c r="AR145" s="298"/>
      <c r="AS145" s="298"/>
      <c r="AT145" s="866">
        <v>299</v>
      </c>
      <c r="AU145" s="298"/>
      <c r="AV145" s="298"/>
      <c r="AW145" s="298"/>
      <c r="AX145" s="298"/>
      <c r="AY145" s="866">
        <v>299</v>
      </c>
      <c r="AZ145" s="298"/>
      <c r="BA145" s="298"/>
      <c r="BB145" s="298"/>
      <c r="BC145" s="298"/>
      <c r="BD145" s="866">
        <v>299</v>
      </c>
      <c r="BE145" s="298"/>
      <c r="BF145" s="298"/>
      <c r="BG145" s="298"/>
      <c r="BH145" s="298"/>
      <c r="BI145" s="866">
        <v>299</v>
      </c>
      <c r="BJ145" s="298"/>
      <c r="BK145" s="298"/>
      <c r="BL145" s="298"/>
      <c r="BM145" s="298"/>
      <c r="BN145" s="866">
        <v>299</v>
      </c>
      <c r="BO145" s="298"/>
      <c r="BP145" s="298"/>
      <c r="BQ145" s="298"/>
      <c r="BR145" s="298"/>
      <c r="BS145" s="866">
        <v>299</v>
      </c>
      <c r="BT145" s="655"/>
      <c r="BU145" s="298"/>
      <c r="BV145" s="298"/>
      <c r="BW145" s="298"/>
      <c r="BX145" s="865"/>
      <c r="BY145" s="298"/>
      <c r="BZ145" s="298"/>
      <c r="CA145" s="298"/>
      <c r="CB145" s="298"/>
      <c r="CC145" s="865"/>
      <c r="CD145" s="865"/>
      <c r="CE145" s="865"/>
      <c r="CF145" s="865"/>
      <c r="CG145" s="22"/>
    </row>
    <row r="146" spans="1:85" s="428" customFormat="1" hidden="1" outlineLevel="1" x14ac:dyDescent="0.3">
      <c r="A146" s="43" t="s">
        <v>781</v>
      </c>
      <c r="B146" s="549"/>
      <c r="C146" s="865"/>
      <c r="D146" s="865"/>
      <c r="E146" s="865"/>
      <c r="F146" s="865"/>
      <c r="G146" s="298"/>
      <c r="H146" s="298"/>
      <c r="I146" s="298"/>
      <c r="J146" s="298"/>
      <c r="K146" s="865"/>
      <c r="L146" s="298"/>
      <c r="M146" s="298"/>
      <c r="N146" s="298"/>
      <c r="O146" s="298"/>
      <c r="P146" s="865"/>
      <c r="Q146" s="298"/>
      <c r="R146" s="298"/>
      <c r="S146" s="298"/>
      <c r="T146" s="298"/>
      <c r="U146" s="865"/>
      <c r="V146" s="298"/>
      <c r="W146" s="298"/>
      <c r="X146" s="298"/>
      <c r="Y146" s="298"/>
      <c r="Z146" s="865"/>
      <c r="AA146" s="298"/>
      <c r="AB146" s="298"/>
      <c r="AC146" s="298"/>
      <c r="AD146" s="298"/>
      <c r="AE146" s="865"/>
      <c r="AF146" s="298"/>
      <c r="AG146" s="298"/>
      <c r="AH146" s="298"/>
      <c r="AI146" s="298"/>
      <c r="AJ146" s="865"/>
      <c r="AK146" s="298"/>
      <c r="AL146" s="298"/>
      <c r="AM146" s="298"/>
      <c r="AN146" s="298"/>
      <c r="AO146" s="865"/>
      <c r="AP146" s="298"/>
      <c r="AQ146" s="298"/>
      <c r="AR146" s="298"/>
      <c r="AS146" s="298"/>
      <c r="AT146" s="866">
        <v>6</v>
      </c>
      <c r="AU146" s="298"/>
      <c r="AV146" s="298"/>
      <c r="AW146" s="298"/>
      <c r="AX146" s="298"/>
      <c r="AY146" s="866">
        <v>7</v>
      </c>
      <c r="AZ146" s="298"/>
      <c r="BA146" s="298"/>
      <c r="BB146" s="298"/>
      <c r="BC146" s="298"/>
      <c r="BD146" s="866">
        <v>7</v>
      </c>
      <c r="BE146" s="298"/>
      <c r="BF146" s="298"/>
      <c r="BG146" s="298"/>
      <c r="BH146" s="298"/>
      <c r="BI146" s="866">
        <v>5</v>
      </c>
      <c r="BJ146" s="298"/>
      <c r="BK146" s="298"/>
      <c r="BL146" s="298"/>
      <c r="BM146" s="298"/>
      <c r="BN146" s="866">
        <v>5</v>
      </c>
      <c r="BO146" s="298"/>
      <c r="BP146" s="298"/>
      <c r="BQ146" s="298"/>
      <c r="BR146" s="298"/>
      <c r="BS146" s="866">
        <v>6</v>
      </c>
      <c r="BT146" s="655"/>
      <c r="BU146" s="298"/>
      <c r="BV146" s="298"/>
      <c r="BW146" s="298"/>
      <c r="BX146" s="865"/>
      <c r="BY146" s="298"/>
      <c r="BZ146" s="298"/>
      <c r="CA146" s="298"/>
      <c r="CB146" s="298"/>
      <c r="CC146" s="865"/>
      <c r="CD146" s="865"/>
      <c r="CE146" s="865"/>
      <c r="CF146" s="865"/>
      <c r="CG146" s="22"/>
    </row>
    <row r="147" spans="1:85" s="428" customFormat="1" hidden="1" outlineLevel="1" x14ac:dyDescent="0.3">
      <c r="A147" s="42" t="s">
        <v>782</v>
      </c>
      <c r="B147" s="552"/>
      <c r="C147" s="868"/>
      <c r="D147" s="868"/>
      <c r="E147" s="868"/>
      <c r="F147" s="868"/>
      <c r="G147" s="553"/>
      <c r="H147" s="553"/>
      <c r="I147" s="553"/>
      <c r="J147" s="553"/>
      <c r="K147" s="868"/>
      <c r="L147" s="553"/>
      <c r="M147" s="553"/>
      <c r="N147" s="553"/>
      <c r="O147" s="553"/>
      <c r="P147" s="868"/>
      <c r="Q147" s="553"/>
      <c r="R147" s="553"/>
      <c r="S147" s="553"/>
      <c r="T147" s="553"/>
      <c r="U147" s="868"/>
      <c r="V147" s="553"/>
      <c r="W147" s="553"/>
      <c r="X147" s="553"/>
      <c r="Y147" s="553"/>
      <c r="Z147" s="868"/>
      <c r="AA147" s="553"/>
      <c r="AB147" s="553"/>
      <c r="AC147" s="553"/>
      <c r="AD147" s="553"/>
      <c r="AE147" s="868"/>
      <c r="AF147" s="553"/>
      <c r="AG147" s="553"/>
      <c r="AH147" s="553"/>
      <c r="AI147" s="553"/>
      <c r="AJ147" s="868"/>
      <c r="AK147" s="553"/>
      <c r="AL147" s="553"/>
      <c r="AM147" s="553"/>
      <c r="AN147" s="553"/>
      <c r="AO147" s="868"/>
      <c r="AP147" s="553"/>
      <c r="AQ147" s="553"/>
      <c r="AR147" s="553"/>
      <c r="AS147" s="553"/>
      <c r="AT147" s="867">
        <f>AT141+AT142+AT143+AT144+AT145+AT146</f>
        <v>45543</v>
      </c>
      <c r="AU147" s="553"/>
      <c r="AV147" s="553"/>
      <c r="AW147" s="553"/>
      <c r="AX147" s="553"/>
      <c r="AY147" s="867">
        <f>AY141+AY142+AY143+AY144+AY145+AY146</f>
        <v>31150</v>
      </c>
      <c r="AZ147" s="553"/>
      <c r="BA147" s="553"/>
      <c r="BB147" s="553"/>
      <c r="BC147" s="553"/>
      <c r="BD147" s="867">
        <f>BD141+BD142+BD143+BD144+BD145+BD146</f>
        <v>29792</v>
      </c>
      <c r="BE147" s="553"/>
      <c r="BF147" s="553"/>
      <c r="BG147" s="553"/>
      <c r="BH147" s="553"/>
      <c r="BI147" s="867">
        <f>BI141+BI142+BI143+BI144+BI145+BI146</f>
        <v>28654</v>
      </c>
      <c r="BJ147" s="553"/>
      <c r="BK147" s="553"/>
      <c r="BL147" s="553"/>
      <c r="BM147" s="553"/>
      <c r="BN147" s="867">
        <f>BN141+BN142+BN143+BN144+BN145+BN146</f>
        <v>26615</v>
      </c>
      <c r="BO147" s="553"/>
      <c r="BP147" s="553"/>
      <c r="BQ147" s="553"/>
      <c r="BR147" s="553"/>
      <c r="BS147" s="867">
        <f>BS141+BS142+BS143+BS144+BS145+BS146</f>
        <v>26860</v>
      </c>
      <c r="BT147" s="657"/>
      <c r="BU147" s="553"/>
      <c r="BV147" s="553"/>
      <c r="BW147" s="553"/>
      <c r="BX147" s="868"/>
      <c r="BY147" s="553"/>
      <c r="BZ147" s="553"/>
      <c r="CA147" s="553"/>
      <c r="CB147" s="553"/>
      <c r="CC147" s="868"/>
      <c r="CD147" s="868"/>
      <c r="CE147" s="868"/>
      <c r="CF147" s="868"/>
      <c r="CG147" s="22"/>
    </row>
    <row r="148" spans="1:85" s="428" customFormat="1" hidden="1" outlineLevel="1" x14ac:dyDescent="0.3">
      <c r="A148" s="106"/>
      <c r="B148" s="549"/>
      <c r="C148" s="865"/>
      <c r="D148" s="865"/>
      <c r="E148" s="865"/>
      <c r="F148" s="865"/>
      <c r="G148" s="298"/>
      <c r="H148" s="298"/>
      <c r="I148" s="298"/>
      <c r="J148" s="298"/>
      <c r="K148" s="865"/>
      <c r="L148" s="298"/>
      <c r="M148" s="298"/>
      <c r="N148" s="298"/>
      <c r="O148" s="298"/>
      <c r="P148" s="865"/>
      <c r="Q148" s="298"/>
      <c r="R148" s="298"/>
      <c r="S148" s="298"/>
      <c r="T148" s="298"/>
      <c r="U148" s="865"/>
      <c r="V148" s="298"/>
      <c r="W148" s="298"/>
      <c r="X148" s="298"/>
      <c r="Y148" s="298"/>
      <c r="Z148" s="865"/>
      <c r="AA148" s="298"/>
      <c r="AB148" s="298"/>
      <c r="AC148" s="298"/>
      <c r="AD148" s="298"/>
      <c r="AE148" s="865"/>
      <c r="AF148" s="298"/>
      <c r="AG148" s="298"/>
      <c r="AH148" s="298"/>
      <c r="AI148" s="298"/>
      <c r="AJ148" s="865"/>
      <c r="AK148" s="298"/>
      <c r="AL148" s="298"/>
      <c r="AM148" s="298"/>
      <c r="AN148" s="298"/>
      <c r="AO148" s="865"/>
      <c r="AP148" s="298"/>
      <c r="AQ148" s="298"/>
      <c r="AR148" s="298"/>
      <c r="AS148" s="298"/>
      <c r="AT148" s="865"/>
      <c r="AU148" s="298"/>
      <c r="AV148" s="298"/>
      <c r="AW148" s="298"/>
      <c r="AX148" s="298"/>
      <c r="AY148" s="865"/>
      <c r="AZ148" s="298"/>
      <c r="BA148" s="298"/>
      <c r="BB148" s="298"/>
      <c r="BC148" s="298"/>
      <c r="BD148" s="865"/>
      <c r="BE148" s="298"/>
      <c r="BF148" s="298"/>
      <c r="BG148" s="298"/>
      <c r="BH148" s="298"/>
      <c r="BI148" s="865"/>
      <c r="BJ148" s="298"/>
      <c r="BK148" s="298"/>
      <c r="BL148" s="298"/>
      <c r="BM148" s="298"/>
      <c r="BN148" s="865"/>
      <c r="BO148" s="298"/>
      <c r="BP148" s="298"/>
      <c r="BQ148" s="298"/>
      <c r="BR148" s="298"/>
      <c r="BS148" s="865"/>
      <c r="BT148" s="655"/>
      <c r="BU148" s="298"/>
      <c r="BV148" s="298"/>
      <c r="BW148" s="298"/>
      <c r="BX148" s="865"/>
      <c r="BY148" s="298"/>
      <c r="BZ148" s="298"/>
      <c r="CA148" s="298"/>
      <c r="CB148" s="298"/>
      <c r="CC148" s="865"/>
      <c r="CD148" s="865"/>
      <c r="CE148" s="865"/>
      <c r="CF148" s="865"/>
      <c r="CG148" s="22"/>
    </row>
    <row r="149" spans="1:85" s="428" customFormat="1" hidden="1" outlineLevel="1" x14ac:dyDescent="0.3">
      <c r="A149" s="43" t="s">
        <v>797</v>
      </c>
      <c r="B149" s="549"/>
      <c r="C149" s="865"/>
      <c r="D149" s="865"/>
      <c r="E149" s="865"/>
      <c r="F149" s="865"/>
      <c r="G149" s="298"/>
      <c r="H149" s="298"/>
      <c r="I149" s="298"/>
      <c r="J149" s="298"/>
      <c r="K149" s="865"/>
      <c r="L149" s="298"/>
      <c r="M149" s="298"/>
      <c r="N149" s="298"/>
      <c r="O149" s="298"/>
      <c r="P149" s="865"/>
      <c r="Q149" s="298"/>
      <c r="R149" s="298"/>
      <c r="S149" s="298"/>
      <c r="T149" s="298"/>
      <c r="U149" s="865"/>
      <c r="V149" s="298"/>
      <c r="W149" s="298"/>
      <c r="X149" s="298"/>
      <c r="Y149" s="298"/>
      <c r="Z149" s="865"/>
      <c r="AA149" s="298"/>
      <c r="AB149" s="298"/>
      <c r="AC149" s="298"/>
      <c r="AD149" s="298"/>
      <c r="AE149" s="865"/>
      <c r="AF149" s="298"/>
      <c r="AG149" s="298"/>
      <c r="AH149" s="298"/>
      <c r="AI149" s="298"/>
      <c r="AJ149" s="865"/>
      <c r="AK149" s="298"/>
      <c r="AL149" s="298"/>
      <c r="AM149" s="298"/>
      <c r="AN149" s="298"/>
      <c r="AO149" s="865"/>
      <c r="AP149" s="298"/>
      <c r="AQ149" s="298"/>
      <c r="AR149" s="298"/>
      <c r="AS149" s="298"/>
      <c r="AT149" s="866">
        <v>2859</v>
      </c>
      <c r="AU149" s="298"/>
      <c r="AV149" s="298"/>
      <c r="AW149" s="298"/>
      <c r="AX149" s="298"/>
      <c r="AY149" s="866">
        <v>2430</v>
      </c>
      <c r="AZ149" s="298"/>
      <c r="BA149" s="298"/>
      <c r="BB149" s="298"/>
      <c r="BC149" s="298"/>
      <c r="BD149" s="866">
        <v>2078</v>
      </c>
      <c r="BE149" s="298"/>
      <c r="BF149" s="298"/>
      <c r="BG149" s="298"/>
      <c r="BH149" s="298"/>
      <c r="BI149" s="866">
        <v>2731</v>
      </c>
      <c r="BJ149" s="298"/>
      <c r="BK149" s="298"/>
      <c r="BL149" s="298"/>
      <c r="BM149" s="298"/>
      <c r="BN149" s="866">
        <v>2110</v>
      </c>
      <c r="BO149" s="298"/>
      <c r="BP149" s="298"/>
      <c r="BQ149" s="298"/>
      <c r="BR149" s="298"/>
      <c r="BS149" s="866">
        <v>1901</v>
      </c>
      <c r="BT149" s="655"/>
      <c r="BU149" s="298"/>
      <c r="BV149" s="298"/>
      <c r="BW149" s="298"/>
      <c r="BX149" s="865"/>
      <c r="BY149" s="298"/>
      <c r="BZ149" s="298"/>
      <c r="CA149" s="298"/>
      <c r="CB149" s="298"/>
      <c r="CC149" s="865"/>
      <c r="CD149" s="865"/>
      <c r="CE149" s="865"/>
      <c r="CF149" s="865"/>
      <c r="CG149" s="22"/>
    </row>
    <row r="150" spans="1:85" s="428" customFormat="1" hidden="1" outlineLevel="1" x14ac:dyDescent="0.3">
      <c r="A150" s="43" t="s">
        <v>784</v>
      </c>
      <c r="B150" s="549"/>
      <c r="C150" s="865"/>
      <c r="D150" s="865"/>
      <c r="E150" s="865"/>
      <c r="F150" s="865"/>
      <c r="G150" s="298"/>
      <c r="H150" s="298"/>
      <c r="I150" s="298"/>
      <c r="J150" s="298"/>
      <c r="K150" s="865"/>
      <c r="L150" s="298"/>
      <c r="M150" s="298"/>
      <c r="N150" s="298"/>
      <c r="O150" s="298"/>
      <c r="P150" s="865"/>
      <c r="Q150" s="298"/>
      <c r="R150" s="298"/>
      <c r="S150" s="298"/>
      <c r="T150" s="298"/>
      <c r="U150" s="865"/>
      <c r="V150" s="298"/>
      <c r="W150" s="298"/>
      <c r="X150" s="298"/>
      <c r="Y150" s="298"/>
      <c r="Z150" s="865"/>
      <c r="AA150" s="298"/>
      <c r="AB150" s="298"/>
      <c r="AC150" s="298"/>
      <c r="AD150" s="298"/>
      <c r="AE150" s="865"/>
      <c r="AF150" s="298"/>
      <c r="AG150" s="298"/>
      <c r="AH150" s="298"/>
      <c r="AI150" s="298"/>
      <c r="AJ150" s="865"/>
      <c r="AK150" s="298"/>
      <c r="AL150" s="298"/>
      <c r="AM150" s="298"/>
      <c r="AN150" s="298"/>
      <c r="AO150" s="865"/>
      <c r="AP150" s="298"/>
      <c r="AQ150" s="298"/>
      <c r="AR150" s="298"/>
      <c r="AS150" s="298"/>
      <c r="AT150" s="866">
        <v>216</v>
      </c>
      <c r="AU150" s="298"/>
      <c r="AV150" s="298"/>
      <c r="AW150" s="298"/>
      <c r="AX150" s="298"/>
      <c r="AY150" s="866">
        <v>245</v>
      </c>
      <c r="AZ150" s="298"/>
      <c r="BA150" s="298"/>
      <c r="BB150" s="298"/>
      <c r="BC150" s="298"/>
      <c r="BD150" s="866">
        <v>266</v>
      </c>
      <c r="BE150" s="298"/>
      <c r="BF150" s="298"/>
      <c r="BG150" s="298"/>
      <c r="BH150" s="298"/>
      <c r="BI150" s="866">
        <v>284</v>
      </c>
      <c r="BJ150" s="298"/>
      <c r="BK150" s="298"/>
      <c r="BL150" s="298"/>
      <c r="BM150" s="298"/>
      <c r="BN150" s="866">
        <v>0</v>
      </c>
      <c r="BO150" s="298"/>
      <c r="BP150" s="298"/>
      <c r="BQ150" s="298"/>
      <c r="BR150" s="298"/>
      <c r="BS150" s="865"/>
      <c r="BT150" s="655"/>
      <c r="BU150" s="298"/>
      <c r="BV150" s="298"/>
      <c r="BW150" s="298"/>
      <c r="BX150" s="865"/>
      <c r="BY150" s="298"/>
      <c r="BZ150" s="298"/>
      <c r="CA150" s="298"/>
      <c r="CB150" s="298"/>
      <c r="CC150" s="865"/>
      <c r="CD150" s="865"/>
      <c r="CE150" s="865"/>
      <c r="CF150" s="865"/>
      <c r="CG150" s="22"/>
    </row>
    <row r="151" spans="1:85" s="428" customFormat="1" hidden="1" outlineLevel="1" x14ac:dyDescent="0.3">
      <c r="A151" s="43" t="s">
        <v>785</v>
      </c>
      <c r="B151" s="549"/>
      <c r="C151" s="865"/>
      <c r="D151" s="865"/>
      <c r="E151" s="865"/>
      <c r="F151" s="865"/>
      <c r="G151" s="298"/>
      <c r="H151" s="298"/>
      <c r="I151" s="298"/>
      <c r="J151" s="298"/>
      <c r="K151" s="865"/>
      <c r="L151" s="298"/>
      <c r="M151" s="298"/>
      <c r="N151" s="298"/>
      <c r="O151" s="298"/>
      <c r="P151" s="865"/>
      <c r="Q151" s="298"/>
      <c r="R151" s="298"/>
      <c r="S151" s="298"/>
      <c r="T151" s="298"/>
      <c r="U151" s="865"/>
      <c r="V151" s="298"/>
      <c r="W151" s="298"/>
      <c r="X151" s="298"/>
      <c r="Y151" s="298"/>
      <c r="Z151" s="865"/>
      <c r="AA151" s="298"/>
      <c r="AB151" s="298"/>
      <c r="AC151" s="298"/>
      <c r="AD151" s="298"/>
      <c r="AE151" s="865"/>
      <c r="AF151" s="298"/>
      <c r="AG151" s="298"/>
      <c r="AH151" s="298"/>
      <c r="AI151" s="298"/>
      <c r="AJ151" s="865"/>
      <c r="AK151" s="298"/>
      <c r="AL151" s="298"/>
      <c r="AM151" s="298"/>
      <c r="AN151" s="298"/>
      <c r="AO151" s="865"/>
      <c r="AP151" s="298"/>
      <c r="AQ151" s="298"/>
      <c r="AR151" s="298"/>
      <c r="AS151" s="298"/>
      <c r="AT151" s="866">
        <v>50</v>
      </c>
      <c r="AU151" s="298"/>
      <c r="AV151" s="298"/>
      <c r="AW151" s="298"/>
      <c r="AX151" s="298"/>
      <c r="AY151" s="866">
        <v>50</v>
      </c>
      <c r="AZ151" s="298"/>
      <c r="BA151" s="298"/>
      <c r="BB151" s="298"/>
      <c r="BC151" s="298"/>
      <c r="BD151" s="866">
        <v>46</v>
      </c>
      <c r="BE151" s="298"/>
      <c r="BF151" s="298"/>
      <c r="BG151" s="298"/>
      <c r="BH151" s="298"/>
      <c r="BI151" s="866">
        <v>47</v>
      </c>
      <c r="BJ151" s="298"/>
      <c r="BK151" s="298"/>
      <c r="BL151" s="298"/>
      <c r="BM151" s="298"/>
      <c r="BN151" s="866">
        <v>48</v>
      </c>
      <c r="BO151" s="298"/>
      <c r="BP151" s="298"/>
      <c r="BQ151" s="298"/>
      <c r="BR151" s="298"/>
      <c r="BS151" s="866">
        <v>46</v>
      </c>
      <c r="BT151" s="655"/>
      <c r="BU151" s="298"/>
      <c r="BV151" s="298"/>
      <c r="BW151" s="298"/>
      <c r="BX151" s="865"/>
      <c r="BY151" s="298"/>
      <c r="BZ151" s="298"/>
      <c r="CA151" s="298"/>
      <c r="CB151" s="298"/>
      <c r="CC151" s="865"/>
      <c r="CD151" s="865"/>
      <c r="CE151" s="865"/>
      <c r="CF151" s="865"/>
      <c r="CG151" s="22"/>
    </row>
    <row r="152" spans="1:85" s="428" customFormat="1" hidden="1" outlineLevel="1" x14ac:dyDescent="0.3">
      <c r="A152" s="43" t="s">
        <v>786</v>
      </c>
      <c r="B152" s="549"/>
      <c r="C152" s="865"/>
      <c r="D152" s="865"/>
      <c r="E152" s="865"/>
      <c r="F152" s="865"/>
      <c r="G152" s="298"/>
      <c r="H152" s="298"/>
      <c r="I152" s="298"/>
      <c r="J152" s="298"/>
      <c r="K152" s="865"/>
      <c r="L152" s="298"/>
      <c r="M152" s="298"/>
      <c r="N152" s="298"/>
      <c r="O152" s="298"/>
      <c r="P152" s="865"/>
      <c r="Q152" s="298"/>
      <c r="R152" s="298"/>
      <c r="S152" s="298"/>
      <c r="T152" s="298"/>
      <c r="U152" s="865"/>
      <c r="V152" s="298"/>
      <c r="W152" s="298"/>
      <c r="X152" s="298"/>
      <c r="Y152" s="298"/>
      <c r="Z152" s="865"/>
      <c r="AA152" s="298"/>
      <c r="AB152" s="298"/>
      <c r="AC152" s="298"/>
      <c r="AD152" s="298"/>
      <c r="AE152" s="865"/>
      <c r="AF152" s="298"/>
      <c r="AG152" s="298"/>
      <c r="AH152" s="298"/>
      <c r="AI152" s="298"/>
      <c r="AJ152" s="865"/>
      <c r="AK152" s="298"/>
      <c r="AL152" s="298"/>
      <c r="AM152" s="298"/>
      <c r="AN152" s="298"/>
      <c r="AO152" s="865"/>
      <c r="AP152" s="298"/>
      <c r="AQ152" s="298"/>
      <c r="AR152" s="298"/>
      <c r="AS152" s="298"/>
      <c r="AT152" s="866">
        <v>3179</v>
      </c>
      <c r="AU152" s="298"/>
      <c r="AV152" s="298"/>
      <c r="AW152" s="298"/>
      <c r="AX152" s="298"/>
      <c r="AY152" s="866">
        <v>2454</v>
      </c>
      <c r="AZ152" s="298"/>
      <c r="BA152" s="298"/>
      <c r="BB152" s="298"/>
      <c r="BC152" s="298"/>
      <c r="BD152" s="866">
        <v>1431</v>
      </c>
      <c r="BE152" s="298"/>
      <c r="BF152" s="298"/>
      <c r="BG152" s="298"/>
      <c r="BH152" s="298"/>
      <c r="BI152" s="866">
        <v>1366</v>
      </c>
      <c r="BJ152" s="298"/>
      <c r="BK152" s="298"/>
      <c r="BL152" s="298"/>
      <c r="BM152" s="298"/>
      <c r="BN152" s="866">
        <v>1309</v>
      </c>
      <c r="BO152" s="298"/>
      <c r="BP152" s="298"/>
      <c r="BQ152" s="298"/>
      <c r="BR152" s="298"/>
      <c r="BS152" s="866">
        <v>1432</v>
      </c>
      <c r="BT152" s="655"/>
      <c r="BU152" s="298"/>
      <c r="BV152" s="298"/>
      <c r="BW152" s="298"/>
      <c r="BX152" s="865"/>
      <c r="BY152" s="298"/>
      <c r="BZ152" s="298"/>
      <c r="CA152" s="298"/>
      <c r="CB152" s="298"/>
      <c r="CC152" s="865"/>
      <c r="CD152" s="865"/>
      <c r="CE152" s="865"/>
      <c r="CF152" s="865"/>
      <c r="CG152" s="22"/>
    </row>
    <row r="153" spans="1:85" s="428" customFormat="1" hidden="1" outlineLevel="1" x14ac:dyDescent="0.3">
      <c r="A153" s="43" t="s">
        <v>787</v>
      </c>
      <c r="B153" s="549"/>
      <c r="C153" s="865"/>
      <c r="D153" s="865"/>
      <c r="E153" s="865"/>
      <c r="F153" s="865"/>
      <c r="G153" s="298"/>
      <c r="H153" s="298"/>
      <c r="I153" s="298"/>
      <c r="J153" s="298"/>
      <c r="K153" s="865"/>
      <c r="L153" s="298"/>
      <c r="M153" s="298"/>
      <c r="N153" s="298"/>
      <c r="O153" s="298"/>
      <c r="P153" s="865"/>
      <c r="Q153" s="298"/>
      <c r="R153" s="298"/>
      <c r="S153" s="298"/>
      <c r="T153" s="298"/>
      <c r="U153" s="865"/>
      <c r="V153" s="298"/>
      <c r="W153" s="298"/>
      <c r="X153" s="298"/>
      <c r="Y153" s="298"/>
      <c r="Z153" s="865"/>
      <c r="AA153" s="298"/>
      <c r="AB153" s="298"/>
      <c r="AC153" s="298"/>
      <c r="AD153" s="298"/>
      <c r="AE153" s="865"/>
      <c r="AF153" s="298"/>
      <c r="AG153" s="298"/>
      <c r="AH153" s="298"/>
      <c r="AI153" s="298"/>
      <c r="AJ153" s="865"/>
      <c r="AK153" s="298"/>
      <c r="AL153" s="298"/>
      <c r="AM153" s="298"/>
      <c r="AN153" s="298"/>
      <c r="AO153" s="865"/>
      <c r="AP153" s="298"/>
      <c r="AQ153" s="298"/>
      <c r="AR153" s="298"/>
      <c r="AS153" s="298"/>
      <c r="AT153" s="866">
        <v>101</v>
      </c>
      <c r="AU153" s="298"/>
      <c r="AV153" s="298"/>
      <c r="AW153" s="298"/>
      <c r="AX153" s="298"/>
      <c r="AY153" s="866">
        <v>105</v>
      </c>
      <c r="AZ153" s="298"/>
      <c r="BA153" s="298"/>
      <c r="BB153" s="298"/>
      <c r="BC153" s="298"/>
      <c r="BD153" s="866">
        <v>109</v>
      </c>
      <c r="BE153" s="298"/>
      <c r="BF153" s="298"/>
      <c r="BG153" s="298"/>
      <c r="BH153" s="298"/>
      <c r="BI153" s="866">
        <v>114</v>
      </c>
      <c r="BJ153" s="298"/>
      <c r="BK153" s="298"/>
      <c r="BL153" s="298"/>
      <c r="BM153" s="298"/>
      <c r="BN153" s="866">
        <v>118</v>
      </c>
      <c r="BO153" s="298"/>
      <c r="BP153" s="298"/>
      <c r="BQ153" s="298"/>
      <c r="BR153" s="298"/>
      <c r="BS153" s="866">
        <v>121</v>
      </c>
      <c r="BT153" s="655"/>
      <c r="BU153" s="298"/>
      <c r="BV153" s="298"/>
      <c r="BW153" s="298"/>
      <c r="BX153" s="865"/>
      <c r="BY153" s="298"/>
      <c r="BZ153" s="298"/>
      <c r="CA153" s="298"/>
      <c r="CB153" s="298"/>
      <c r="CC153" s="865"/>
      <c r="CD153" s="865"/>
      <c r="CE153" s="865"/>
      <c r="CF153" s="865"/>
      <c r="CG153" s="22"/>
    </row>
    <row r="154" spans="1:85" s="428" customFormat="1" hidden="1" outlineLevel="1" x14ac:dyDescent="0.3">
      <c r="A154" s="43" t="s">
        <v>788</v>
      </c>
      <c r="B154" s="549"/>
      <c r="C154" s="865"/>
      <c r="D154" s="865"/>
      <c r="E154" s="865"/>
      <c r="F154" s="865"/>
      <c r="G154" s="298"/>
      <c r="H154" s="298"/>
      <c r="I154" s="298"/>
      <c r="J154" s="298"/>
      <c r="K154" s="865"/>
      <c r="L154" s="298"/>
      <c r="M154" s="298"/>
      <c r="N154" s="298"/>
      <c r="O154" s="298"/>
      <c r="P154" s="865"/>
      <c r="Q154" s="298"/>
      <c r="R154" s="298"/>
      <c r="S154" s="298"/>
      <c r="T154" s="298"/>
      <c r="U154" s="865"/>
      <c r="V154" s="298"/>
      <c r="W154" s="298"/>
      <c r="X154" s="298"/>
      <c r="Y154" s="298"/>
      <c r="Z154" s="865"/>
      <c r="AA154" s="298"/>
      <c r="AB154" s="298"/>
      <c r="AC154" s="298"/>
      <c r="AD154" s="298"/>
      <c r="AE154" s="865"/>
      <c r="AF154" s="298"/>
      <c r="AG154" s="298"/>
      <c r="AH154" s="298"/>
      <c r="AI154" s="298"/>
      <c r="AJ154" s="865"/>
      <c r="AK154" s="298"/>
      <c r="AL154" s="298"/>
      <c r="AM154" s="298"/>
      <c r="AN154" s="298"/>
      <c r="AO154" s="865"/>
      <c r="AP154" s="298"/>
      <c r="AQ154" s="298"/>
      <c r="AR154" s="298"/>
      <c r="AS154" s="298"/>
      <c r="AT154" s="866">
        <v>0</v>
      </c>
      <c r="AU154" s="298"/>
      <c r="AV154" s="298"/>
      <c r="AW154" s="298"/>
      <c r="AX154" s="298"/>
      <c r="AY154" s="866">
        <v>0</v>
      </c>
      <c r="AZ154" s="298"/>
      <c r="BA154" s="298"/>
      <c r="BB154" s="298"/>
      <c r="BC154" s="298"/>
      <c r="BD154" s="866">
        <v>0</v>
      </c>
      <c r="BE154" s="298"/>
      <c r="BF154" s="298"/>
      <c r="BG154" s="298"/>
      <c r="BH154" s="298"/>
      <c r="BI154" s="866">
        <v>0</v>
      </c>
      <c r="BJ154" s="298"/>
      <c r="BK154" s="298"/>
      <c r="BL154" s="298"/>
      <c r="BM154" s="298"/>
      <c r="BN154" s="866">
        <v>0</v>
      </c>
      <c r="BO154" s="298"/>
      <c r="BP154" s="298"/>
      <c r="BQ154" s="298"/>
      <c r="BR154" s="298"/>
      <c r="BS154" s="865"/>
      <c r="BT154" s="655"/>
      <c r="BU154" s="298"/>
      <c r="BV154" s="298"/>
      <c r="BW154" s="298"/>
      <c r="BX154" s="865"/>
      <c r="BY154" s="298"/>
      <c r="BZ154" s="298"/>
      <c r="CA154" s="298"/>
      <c r="CB154" s="298"/>
      <c r="CC154" s="865"/>
      <c r="CD154" s="865"/>
      <c r="CE154" s="865"/>
      <c r="CF154" s="865"/>
      <c r="CG154" s="22"/>
    </row>
    <row r="155" spans="1:85" s="428" customFormat="1" hidden="1" outlineLevel="1" x14ac:dyDescent="0.3">
      <c r="A155" s="42" t="s">
        <v>789</v>
      </c>
      <c r="B155" s="552"/>
      <c r="C155" s="868"/>
      <c r="D155" s="868"/>
      <c r="E155" s="868"/>
      <c r="F155" s="868"/>
      <c r="G155" s="553"/>
      <c r="H155" s="553"/>
      <c r="I155" s="553"/>
      <c r="J155" s="553"/>
      <c r="K155" s="868"/>
      <c r="L155" s="553"/>
      <c r="M155" s="553"/>
      <c r="N155" s="553"/>
      <c r="O155" s="553"/>
      <c r="P155" s="868"/>
      <c r="Q155" s="553"/>
      <c r="R155" s="553"/>
      <c r="S155" s="553"/>
      <c r="T155" s="553"/>
      <c r="U155" s="868"/>
      <c r="V155" s="553"/>
      <c r="W155" s="553"/>
      <c r="X155" s="553"/>
      <c r="Y155" s="553"/>
      <c r="Z155" s="868"/>
      <c r="AA155" s="553"/>
      <c r="AB155" s="553"/>
      <c r="AC155" s="553"/>
      <c r="AD155" s="553"/>
      <c r="AE155" s="868"/>
      <c r="AF155" s="553"/>
      <c r="AG155" s="553"/>
      <c r="AH155" s="553"/>
      <c r="AI155" s="553"/>
      <c r="AJ155" s="868"/>
      <c r="AK155" s="553"/>
      <c r="AL155" s="553"/>
      <c r="AM155" s="553"/>
      <c r="AN155" s="553"/>
      <c r="AO155" s="868"/>
      <c r="AP155" s="553"/>
      <c r="AQ155" s="553"/>
      <c r="AR155" s="553"/>
      <c r="AS155" s="553"/>
      <c r="AT155" s="867">
        <f>AT149+AT150+AT151+AT152+AT153+AT154</f>
        <v>6405</v>
      </c>
      <c r="AU155" s="553"/>
      <c r="AV155" s="553"/>
      <c r="AW155" s="553"/>
      <c r="AX155" s="553"/>
      <c r="AY155" s="867">
        <f>AY149+AY150+AY151+AY152+AY153+AY154</f>
        <v>5284</v>
      </c>
      <c r="AZ155" s="553"/>
      <c r="BA155" s="553"/>
      <c r="BB155" s="553"/>
      <c r="BC155" s="553"/>
      <c r="BD155" s="867">
        <f>BD149+BD150+BD151+BD152+BD153+BD154</f>
        <v>3930</v>
      </c>
      <c r="BE155" s="553"/>
      <c r="BF155" s="553"/>
      <c r="BG155" s="553"/>
      <c r="BH155" s="553"/>
      <c r="BI155" s="867">
        <f>BI149+BI150+BI151+BI152+BI153+BI154</f>
        <v>4542</v>
      </c>
      <c r="BJ155" s="553"/>
      <c r="BK155" s="553"/>
      <c r="BL155" s="553"/>
      <c r="BM155" s="553"/>
      <c r="BN155" s="867">
        <f>BN149+BN150+BN151+BN152+BN153+BN154</f>
        <v>3585</v>
      </c>
      <c r="BO155" s="553"/>
      <c r="BP155" s="553"/>
      <c r="BQ155" s="553"/>
      <c r="BR155" s="553"/>
      <c r="BS155" s="867">
        <f>BS149+BS150+BS151+BS152+BS153+BS154</f>
        <v>3500</v>
      </c>
      <c r="BT155" s="657"/>
      <c r="BU155" s="553"/>
      <c r="BV155" s="553"/>
      <c r="BW155" s="553"/>
      <c r="BX155" s="868"/>
      <c r="BY155" s="553"/>
      <c r="BZ155" s="553"/>
      <c r="CA155" s="553"/>
      <c r="CB155" s="553"/>
      <c r="CC155" s="868"/>
      <c r="CD155" s="868"/>
      <c r="CE155" s="868"/>
      <c r="CF155" s="868"/>
      <c r="CG155" s="22"/>
    </row>
    <row r="156" spans="1:85" s="428" customFormat="1" hidden="1" outlineLevel="1" x14ac:dyDescent="0.3">
      <c r="A156" s="106"/>
      <c r="B156" s="549"/>
      <c r="C156" s="865"/>
      <c r="D156" s="865"/>
      <c r="E156" s="865"/>
      <c r="F156" s="865"/>
      <c r="G156" s="298"/>
      <c r="H156" s="298"/>
      <c r="I156" s="298"/>
      <c r="J156" s="298"/>
      <c r="K156" s="865"/>
      <c r="L156" s="298"/>
      <c r="M156" s="298"/>
      <c r="N156" s="298"/>
      <c r="O156" s="298"/>
      <c r="P156" s="865"/>
      <c r="Q156" s="298"/>
      <c r="R156" s="298"/>
      <c r="S156" s="298"/>
      <c r="T156" s="298"/>
      <c r="U156" s="865"/>
      <c r="V156" s="298"/>
      <c r="W156" s="298"/>
      <c r="X156" s="298"/>
      <c r="Y156" s="298"/>
      <c r="Z156" s="865"/>
      <c r="AA156" s="298"/>
      <c r="AB156" s="298"/>
      <c r="AC156" s="298"/>
      <c r="AD156" s="298"/>
      <c r="AE156" s="865"/>
      <c r="AF156" s="298"/>
      <c r="AG156" s="298"/>
      <c r="AH156" s="298"/>
      <c r="AI156" s="298"/>
      <c r="AJ156" s="865"/>
      <c r="AK156" s="298"/>
      <c r="AL156" s="298"/>
      <c r="AM156" s="298"/>
      <c r="AN156" s="298"/>
      <c r="AO156" s="865"/>
      <c r="AP156" s="298"/>
      <c r="AQ156" s="298"/>
      <c r="AR156" s="298"/>
      <c r="AS156" s="298"/>
      <c r="AT156" s="865"/>
      <c r="AU156" s="298"/>
      <c r="AV156" s="298"/>
      <c r="AW156" s="298"/>
      <c r="AX156" s="298"/>
      <c r="AY156" s="865"/>
      <c r="AZ156" s="298"/>
      <c r="BA156" s="298"/>
      <c r="BB156" s="298"/>
      <c r="BC156" s="298"/>
      <c r="BD156" s="865"/>
      <c r="BE156" s="298"/>
      <c r="BF156" s="298"/>
      <c r="BG156" s="298"/>
      <c r="BH156" s="298"/>
      <c r="BI156" s="865"/>
      <c r="BJ156" s="298"/>
      <c r="BK156" s="298"/>
      <c r="BL156" s="298"/>
      <c r="BM156" s="298"/>
      <c r="BN156" s="865"/>
      <c r="BO156" s="298"/>
      <c r="BP156" s="298"/>
      <c r="BQ156" s="298"/>
      <c r="BR156" s="298"/>
      <c r="BS156" s="865"/>
      <c r="BT156" s="655"/>
      <c r="BU156" s="298"/>
      <c r="BV156" s="298"/>
      <c r="BW156" s="298"/>
      <c r="BX156" s="865"/>
      <c r="BY156" s="298"/>
      <c r="BZ156" s="298"/>
      <c r="CA156" s="298"/>
      <c r="CB156" s="298"/>
      <c r="CC156" s="865"/>
      <c r="CD156" s="865"/>
      <c r="CE156" s="865"/>
      <c r="CF156" s="865"/>
      <c r="CG156" s="22"/>
    </row>
    <row r="157" spans="1:85" s="428" customFormat="1" hidden="1" outlineLevel="1" x14ac:dyDescent="0.3">
      <c r="A157" s="43" t="s">
        <v>790</v>
      </c>
      <c r="B157" s="549"/>
      <c r="C157" s="865"/>
      <c r="D157" s="865"/>
      <c r="E157" s="865"/>
      <c r="F157" s="865"/>
      <c r="G157" s="298"/>
      <c r="H157" s="298"/>
      <c r="I157" s="298"/>
      <c r="J157" s="298"/>
      <c r="K157" s="865"/>
      <c r="L157" s="298"/>
      <c r="M157" s="298"/>
      <c r="N157" s="298"/>
      <c r="O157" s="298"/>
      <c r="P157" s="865"/>
      <c r="Q157" s="298"/>
      <c r="R157" s="298"/>
      <c r="S157" s="298"/>
      <c r="T157" s="298"/>
      <c r="U157" s="865"/>
      <c r="V157" s="298"/>
      <c r="W157" s="298"/>
      <c r="X157" s="298"/>
      <c r="Y157" s="298"/>
      <c r="Z157" s="865"/>
      <c r="AA157" s="298"/>
      <c r="AB157" s="298"/>
      <c r="AC157" s="298"/>
      <c r="AD157" s="298"/>
      <c r="AE157" s="865"/>
      <c r="AF157" s="298"/>
      <c r="AG157" s="298"/>
      <c r="AH157" s="298"/>
      <c r="AI157" s="298"/>
      <c r="AJ157" s="865"/>
      <c r="AK157" s="298"/>
      <c r="AL157" s="298"/>
      <c r="AM157" s="298"/>
      <c r="AN157" s="298"/>
      <c r="AO157" s="865"/>
      <c r="AP157" s="298"/>
      <c r="AQ157" s="298"/>
      <c r="AR157" s="298"/>
      <c r="AS157" s="298"/>
      <c r="AT157" s="866">
        <v>2322</v>
      </c>
      <c r="AU157" s="298"/>
      <c r="AV157" s="298"/>
      <c r="AW157" s="298"/>
      <c r="AX157" s="298"/>
      <c r="AY157" s="866">
        <v>2055</v>
      </c>
      <c r="AZ157" s="298"/>
      <c r="BA157" s="298"/>
      <c r="BB157" s="298"/>
      <c r="BC157" s="298"/>
      <c r="BD157" s="866">
        <v>1712</v>
      </c>
      <c r="BE157" s="298"/>
      <c r="BF157" s="298"/>
      <c r="BG157" s="298"/>
      <c r="BH157" s="298"/>
      <c r="BI157" s="866">
        <v>2092</v>
      </c>
      <c r="BJ157" s="298"/>
      <c r="BK157" s="298"/>
      <c r="BL157" s="298"/>
      <c r="BM157" s="298"/>
      <c r="BN157" s="866">
        <v>1758</v>
      </c>
      <c r="BO157" s="298"/>
      <c r="BP157" s="298"/>
      <c r="BQ157" s="298"/>
      <c r="BR157" s="298"/>
      <c r="BS157" s="866">
        <v>1528</v>
      </c>
      <c r="BT157" s="655"/>
      <c r="BU157" s="298"/>
      <c r="BV157" s="298"/>
      <c r="BW157" s="298"/>
      <c r="BX157" s="865"/>
      <c r="BY157" s="298"/>
      <c r="BZ157" s="298"/>
      <c r="CA157" s="298"/>
      <c r="CB157" s="298"/>
      <c r="CC157" s="865"/>
      <c r="CD157" s="865"/>
      <c r="CE157" s="865"/>
      <c r="CF157" s="865"/>
      <c r="CG157" s="22"/>
    </row>
    <row r="158" spans="1:85" s="428" customFormat="1" hidden="1" outlineLevel="1" x14ac:dyDescent="0.3">
      <c r="A158" s="43" t="s">
        <v>791</v>
      </c>
      <c r="B158" s="549"/>
      <c r="C158" s="865"/>
      <c r="D158" s="865"/>
      <c r="E158" s="865"/>
      <c r="F158" s="865"/>
      <c r="G158" s="298"/>
      <c r="H158" s="298"/>
      <c r="I158" s="298"/>
      <c r="J158" s="298"/>
      <c r="K158" s="865"/>
      <c r="L158" s="298"/>
      <c r="M158" s="298"/>
      <c r="N158" s="298"/>
      <c r="O158" s="298"/>
      <c r="P158" s="865"/>
      <c r="Q158" s="298"/>
      <c r="R158" s="298"/>
      <c r="S158" s="298"/>
      <c r="T158" s="298"/>
      <c r="U158" s="865"/>
      <c r="V158" s="298"/>
      <c r="W158" s="298"/>
      <c r="X158" s="298"/>
      <c r="Y158" s="298"/>
      <c r="Z158" s="865"/>
      <c r="AA158" s="298"/>
      <c r="AB158" s="298"/>
      <c r="AC158" s="298"/>
      <c r="AD158" s="298"/>
      <c r="AE158" s="865"/>
      <c r="AF158" s="298"/>
      <c r="AG158" s="298"/>
      <c r="AH158" s="298"/>
      <c r="AI158" s="298"/>
      <c r="AJ158" s="865"/>
      <c r="AK158" s="298"/>
      <c r="AL158" s="298"/>
      <c r="AM158" s="298"/>
      <c r="AN158" s="298"/>
      <c r="AO158" s="865"/>
      <c r="AP158" s="298"/>
      <c r="AQ158" s="298"/>
      <c r="AR158" s="298"/>
      <c r="AS158" s="298"/>
      <c r="AT158" s="866">
        <v>135</v>
      </c>
      <c r="AU158" s="298"/>
      <c r="AV158" s="298"/>
      <c r="AW158" s="298"/>
      <c r="AX158" s="298"/>
      <c r="AY158" s="866">
        <v>161</v>
      </c>
      <c r="AZ158" s="298"/>
      <c r="BA158" s="298"/>
      <c r="BB158" s="298"/>
      <c r="BC158" s="298"/>
      <c r="BD158" s="866">
        <v>176</v>
      </c>
      <c r="BE158" s="298"/>
      <c r="BF158" s="298"/>
      <c r="BG158" s="298"/>
      <c r="BH158" s="298"/>
      <c r="BI158" s="866">
        <v>189</v>
      </c>
      <c r="BJ158" s="298"/>
      <c r="BK158" s="298"/>
      <c r="BL158" s="298"/>
      <c r="BM158" s="298"/>
      <c r="BN158" s="866">
        <v>0</v>
      </c>
      <c r="BO158" s="298"/>
      <c r="BP158" s="298"/>
      <c r="BQ158" s="298"/>
      <c r="BR158" s="298"/>
      <c r="BS158" s="865"/>
      <c r="BT158" s="655"/>
      <c r="BU158" s="298"/>
      <c r="BV158" s="298"/>
      <c r="BW158" s="298"/>
      <c r="BX158" s="865"/>
      <c r="BY158" s="298"/>
      <c r="BZ158" s="298"/>
      <c r="CA158" s="298"/>
      <c r="CB158" s="298"/>
      <c r="CC158" s="865"/>
      <c r="CD158" s="865"/>
      <c r="CE158" s="865"/>
      <c r="CF158" s="865"/>
      <c r="CG158" s="22"/>
    </row>
    <row r="159" spans="1:85" s="428" customFormat="1" hidden="1" outlineLevel="1" x14ac:dyDescent="0.3">
      <c r="A159" s="43" t="s">
        <v>792</v>
      </c>
      <c r="B159" s="549"/>
      <c r="C159" s="865"/>
      <c r="D159" s="865"/>
      <c r="E159" s="865"/>
      <c r="F159" s="865"/>
      <c r="G159" s="298"/>
      <c r="H159" s="298"/>
      <c r="I159" s="298"/>
      <c r="J159" s="298"/>
      <c r="K159" s="865"/>
      <c r="L159" s="298"/>
      <c r="M159" s="298"/>
      <c r="N159" s="298"/>
      <c r="O159" s="298"/>
      <c r="P159" s="865"/>
      <c r="Q159" s="298"/>
      <c r="R159" s="298"/>
      <c r="S159" s="298"/>
      <c r="T159" s="298"/>
      <c r="U159" s="865"/>
      <c r="V159" s="298"/>
      <c r="W159" s="298"/>
      <c r="X159" s="298"/>
      <c r="Y159" s="298"/>
      <c r="Z159" s="865"/>
      <c r="AA159" s="298"/>
      <c r="AB159" s="298"/>
      <c r="AC159" s="298"/>
      <c r="AD159" s="298"/>
      <c r="AE159" s="865"/>
      <c r="AF159" s="298"/>
      <c r="AG159" s="298"/>
      <c r="AH159" s="298"/>
      <c r="AI159" s="298"/>
      <c r="AJ159" s="865"/>
      <c r="AK159" s="298"/>
      <c r="AL159" s="298"/>
      <c r="AM159" s="298"/>
      <c r="AN159" s="298"/>
      <c r="AO159" s="865"/>
      <c r="AP159" s="298"/>
      <c r="AQ159" s="298"/>
      <c r="AR159" s="298"/>
      <c r="AS159" s="298"/>
      <c r="AT159" s="866">
        <v>19</v>
      </c>
      <c r="AU159" s="298"/>
      <c r="AV159" s="298"/>
      <c r="AW159" s="298"/>
      <c r="AX159" s="298"/>
      <c r="AY159" s="866">
        <v>19</v>
      </c>
      <c r="AZ159" s="298"/>
      <c r="BA159" s="298"/>
      <c r="BB159" s="298"/>
      <c r="BC159" s="298"/>
      <c r="BD159" s="866">
        <v>17</v>
      </c>
      <c r="BE159" s="298"/>
      <c r="BF159" s="298"/>
      <c r="BG159" s="298"/>
      <c r="BH159" s="298"/>
      <c r="BI159" s="866">
        <v>18</v>
      </c>
      <c r="BJ159" s="298"/>
      <c r="BK159" s="298"/>
      <c r="BL159" s="298"/>
      <c r="BM159" s="298"/>
      <c r="BN159" s="866">
        <v>18</v>
      </c>
      <c r="BO159" s="298"/>
      <c r="BP159" s="298"/>
      <c r="BQ159" s="298"/>
      <c r="BR159" s="298"/>
      <c r="BS159" s="866">
        <v>18</v>
      </c>
      <c r="BT159" s="655"/>
      <c r="BU159" s="298"/>
      <c r="BV159" s="298"/>
      <c r="BW159" s="298"/>
      <c r="BX159" s="865"/>
      <c r="BY159" s="298"/>
      <c r="BZ159" s="298"/>
      <c r="CA159" s="298"/>
      <c r="CB159" s="298"/>
      <c r="CC159" s="865"/>
      <c r="CD159" s="865"/>
      <c r="CE159" s="865"/>
      <c r="CF159" s="865"/>
      <c r="CG159" s="22"/>
    </row>
    <row r="160" spans="1:85" s="428" customFormat="1" hidden="1" outlineLevel="1" x14ac:dyDescent="0.3">
      <c r="A160" s="43" t="s">
        <v>793</v>
      </c>
      <c r="B160" s="549"/>
      <c r="C160" s="865"/>
      <c r="D160" s="865"/>
      <c r="E160" s="865"/>
      <c r="F160" s="865"/>
      <c r="G160" s="298"/>
      <c r="H160" s="298"/>
      <c r="I160" s="298"/>
      <c r="J160" s="298"/>
      <c r="K160" s="865"/>
      <c r="L160" s="298"/>
      <c r="M160" s="298"/>
      <c r="N160" s="298"/>
      <c r="O160" s="298"/>
      <c r="P160" s="865"/>
      <c r="Q160" s="298"/>
      <c r="R160" s="298"/>
      <c r="S160" s="298"/>
      <c r="T160" s="298"/>
      <c r="U160" s="865"/>
      <c r="V160" s="298"/>
      <c r="W160" s="298"/>
      <c r="X160" s="298"/>
      <c r="Y160" s="298"/>
      <c r="Z160" s="865"/>
      <c r="AA160" s="298"/>
      <c r="AB160" s="298"/>
      <c r="AC160" s="298"/>
      <c r="AD160" s="298"/>
      <c r="AE160" s="865"/>
      <c r="AF160" s="298"/>
      <c r="AG160" s="298"/>
      <c r="AH160" s="298"/>
      <c r="AI160" s="298"/>
      <c r="AJ160" s="865"/>
      <c r="AK160" s="298"/>
      <c r="AL160" s="298"/>
      <c r="AM160" s="298"/>
      <c r="AN160" s="298"/>
      <c r="AO160" s="865"/>
      <c r="AP160" s="298"/>
      <c r="AQ160" s="298"/>
      <c r="AR160" s="298"/>
      <c r="AS160" s="298"/>
      <c r="AT160" s="866">
        <v>1732</v>
      </c>
      <c r="AU160" s="298"/>
      <c r="AV160" s="298"/>
      <c r="AW160" s="298"/>
      <c r="AX160" s="298"/>
      <c r="AY160" s="866">
        <v>1168</v>
      </c>
      <c r="AZ160" s="298"/>
      <c r="BA160" s="298"/>
      <c r="BB160" s="298"/>
      <c r="BC160" s="298"/>
      <c r="BD160" s="866">
        <v>436</v>
      </c>
      <c r="BE160" s="298"/>
      <c r="BF160" s="298"/>
      <c r="BG160" s="298"/>
      <c r="BH160" s="298"/>
      <c r="BI160" s="866">
        <v>414</v>
      </c>
      <c r="BJ160" s="298"/>
      <c r="BK160" s="298"/>
      <c r="BL160" s="298"/>
      <c r="BM160" s="298"/>
      <c r="BN160" s="866">
        <v>405</v>
      </c>
      <c r="BO160" s="298"/>
      <c r="BP160" s="298"/>
      <c r="BQ160" s="298"/>
      <c r="BR160" s="298"/>
      <c r="BS160" s="866">
        <v>455</v>
      </c>
      <c r="BT160" s="655"/>
      <c r="BU160" s="298"/>
      <c r="BV160" s="298"/>
      <c r="BW160" s="298"/>
      <c r="BX160" s="865"/>
      <c r="BY160" s="298"/>
      <c r="BZ160" s="298"/>
      <c r="CA160" s="298"/>
      <c r="CB160" s="298"/>
      <c r="CC160" s="865"/>
      <c r="CD160" s="865"/>
      <c r="CE160" s="865"/>
      <c r="CF160" s="865"/>
      <c r="CG160" s="22"/>
    </row>
    <row r="161" spans="1:85" s="428" customFormat="1" hidden="1" outlineLevel="1" x14ac:dyDescent="0.3">
      <c r="A161" s="43" t="s">
        <v>794</v>
      </c>
      <c r="B161" s="549"/>
      <c r="C161" s="865"/>
      <c r="D161" s="865"/>
      <c r="E161" s="865"/>
      <c r="F161" s="865"/>
      <c r="G161" s="298"/>
      <c r="H161" s="298"/>
      <c r="I161" s="298"/>
      <c r="J161" s="298"/>
      <c r="K161" s="865"/>
      <c r="L161" s="298"/>
      <c r="M161" s="298"/>
      <c r="N161" s="298"/>
      <c r="O161" s="298"/>
      <c r="P161" s="865"/>
      <c r="Q161" s="298"/>
      <c r="R161" s="298"/>
      <c r="S161" s="298"/>
      <c r="T161" s="298"/>
      <c r="U161" s="865"/>
      <c r="V161" s="298"/>
      <c r="W161" s="298"/>
      <c r="X161" s="298"/>
      <c r="Y161" s="298"/>
      <c r="Z161" s="865"/>
      <c r="AA161" s="298"/>
      <c r="AB161" s="298"/>
      <c r="AC161" s="298"/>
      <c r="AD161" s="298"/>
      <c r="AE161" s="865"/>
      <c r="AF161" s="298"/>
      <c r="AG161" s="298"/>
      <c r="AH161" s="298"/>
      <c r="AI161" s="298"/>
      <c r="AJ161" s="865"/>
      <c r="AK161" s="298"/>
      <c r="AL161" s="298"/>
      <c r="AM161" s="298"/>
      <c r="AN161" s="298"/>
      <c r="AO161" s="865"/>
      <c r="AP161" s="298"/>
      <c r="AQ161" s="298"/>
      <c r="AR161" s="298"/>
      <c r="AS161" s="298"/>
      <c r="AT161" s="866">
        <v>25</v>
      </c>
      <c r="AU161" s="298"/>
      <c r="AV161" s="298"/>
      <c r="AW161" s="298"/>
      <c r="AX161" s="298"/>
      <c r="AY161" s="866">
        <v>29</v>
      </c>
      <c r="AZ161" s="298"/>
      <c r="BA161" s="298"/>
      <c r="BB161" s="298"/>
      <c r="BC161" s="298"/>
      <c r="BD161" s="866">
        <v>29</v>
      </c>
      <c r="BE161" s="298"/>
      <c r="BF161" s="298"/>
      <c r="BG161" s="298"/>
      <c r="BH161" s="298"/>
      <c r="BI161" s="866">
        <v>31</v>
      </c>
      <c r="BJ161" s="298"/>
      <c r="BK161" s="298"/>
      <c r="BL161" s="298"/>
      <c r="BM161" s="298"/>
      <c r="BN161" s="866">
        <v>33</v>
      </c>
      <c r="BO161" s="298"/>
      <c r="BP161" s="298"/>
      <c r="BQ161" s="298"/>
      <c r="BR161" s="298"/>
      <c r="BS161" s="866">
        <v>34</v>
      </c>
      <c r="BT161" s="655"/>
      <c r="BU161" s="298"/>
      <c r="BV161" s="298"/>
      <c r="BW161" s="298"/>
      <c r="BX161" s="865"/>
      <c r="BY161" s="298"/>
      <c r="BZ161" s="298"/>
      <c r="CA161" s="298"/>
      <c r="CB161" s="298"/>
      <c r="CC161" s="865"/>
      <c r="CD161" s="865"/>
      <c r="CE161" s="865"/>
      <c r="CF161" s="865"/>
      <c r="CG161" s="22"/>
    </row>
    <row r="162" spans="1:85" s="428" customFormat="1" hidden="1" outlineLevel="1" x14ac:dyDescent="0.3">
      <c r="A162" s="43" t="s">
        <v>795</v>
      </c>
      <c r="B162" s="549"/>
      <c r="C162" s="865"/>
      <c r="D162" s="865"/>
      <c r="E162" s="865"/>
      <c r="F162" s="865"/>
      <c r="G162" s="298"/>
      <c r="H162" s="298"/>
      <c r="I162" s="298"/>
      <c r="J162" s="298"/>
      <c r="K162" s="865"/>
      <c r="L162" s="298"/>
      <c r="M162" s="298"/>
      <c r="N162" s="298"/>
      <c r="O162" s="298"/>
      <c r="P162" s="865"/>
      <c r="Q162" s="298"/>
      <c r="R162" s="298"/>
      <c r="S162" s="298"/>
      <c r="T162" s="298"/>
      <c r="U162" s="865"/>
      <c r="V162" s="298"/>
      <c r="W162" s="298"/>
      <c r="X162" s="298"/>
      <c r="Y162" s="298"/>
      <c r="Z162" s="865"/>
      <c r="AA162" s="298"/>
      <c r="AB162" s="298"/>
      <c r="AC162" s="298"/>
      <c r="AD162" s="298"/>
      <c r="AE162" s="865"/>
      <c r="AF162" s="298"/>
      <c r="AG162" s="298"/>
      <c r="AH162" s="298"/>
      <c r="AI162" s="298"/>
      <c r="AJ162" s="865"/>
      <c r="AK162" s="298"/>
      <c r="AL162" s="298"/>
      <c r="AM162" s="298"/>
      <c r="AN162" s="298"/>
      <c r="AO162" s="865"/>
      <c r="AP162" s="298"/>
      <c r="AQ162" s="298"/>
      <c r="AR162" s="298"/>
      <c r="AS162" s="298"/>
      <c r="AT162" s="866">
        <v>0</v>
      </c>
      <c r="AU162" s="298"/>
      <c r="AV162" s="298"/>
      <c r="AW162" s="298"/>
      <c r="AX162" s="298"/>
      <c r="AY162" s="866">
        <v>0</v>
      </c>
      <c r="AZ162" s="298"/>
      <c r="BA162" s="298"/>
      <c r="BB162" s="298"/>
      <c r="BC162" s="298"/>
      <c r="BD162" s="866">
        <v>0</v>
      </c>
      <c r="BE162" s="298"/>
      <c r="BF162" s="298"/>
      <c r="BG162" s="298"/>
      <c r="BH162" s="298"/>
      <c r="BI162" s="869">
        <v>0</v>
      </c>
      <c r="BJ162" s="298"/>
      <c r="BK162" s="298"/>
      <c r="BL162" s="298"/>
      <c r="BM162" s="298"/>
      <c r="BN162" s="869">
        <v>0</v>
      </c>
      <c r="BO162" s="298"/>
      <c r="BP162" s="298"/>
      <c r="BQ162" s="298"/>
      <c r="BR162" s="298"/>
      <c r="BS162" s="870"/>
      <c r="BT162" s="655"/>
      <c r="BU162" s="298"/>
      <c r="BV162" s="298"/>
      <c r="BW162" s="298"/>
      <c r="BX162" s="865"/>
      <c r="BY162" s="298"/>
      <c r="BZ162" s="298"/>
      <c r="CA162" s="298"/>
      <c r="CB162" s="298"/>
      <c r="CC162" s="865"/>
      <c r="CD162" s="865"/>
      <c r="CE162" s="865"/>
      <c r="CF162" s="865"/>
      <c r="CG162" s="22"/>
    </row>
    <row r="163" spans="1:85" s="428" customFormat="1" hidden="1" outlineLevel="1" x14ac:dyDescent="0.3">
      <c r="A163" s="42" t="s">
        <v>796</v>
      </c>
      <c r="B163" s="552"/>
      <c r="C163" s="868"/>
      <c r="D163" s="868"/>
      <c r="E163" s="868"/>
      <c r="F163" s="868"/>
      <c r="G163" s="553"/>
      <c r="H163" s="553"/>
      <c r="I163" s="553"/>
      <c r="J163" s="553"/>
      <c r="K163" s="868"/>
      <c r="L163" s="553"/>
      <c r="M163" s="553"/>
      <c r="N163" s="553"/>
      <c r="O163" s="553"/>
      <c r="P163" s="868"/>
      <c r="Q163" s="553"/>
      <c r="R163" s="553"/>
      <c r="S163" s="553"/>
      <c r="T163" s="553"/>
      <c r="U163" s="868"/>
      <c r="V163" s="553"/>
      <c r="W163" s="553"/>
      <c r="X163" s="553"/>
      <c r="Y163" s="553"/>
      <c r="Z163" s="868"/>
      <c r="AA163" s="553"/>
      <c r="AB163" s="553"/>
      <c r="AC163" s="553"/>
      <c r="AD163" s="553"/>
      <c r="AE163" s="868"/>
      <c r="AF163" s="553"/>
      <c r="AG163" s="553"/>
      <c r="AH163" s="553"/>
      <c r="AI163" s="553"/>
      <c r="AJ163" s="868"/>
      <c r="AK163" s="553"/>
      <c r="AL163" s="553"/>
      <c r="AM163" s="553"/>
      <c r="AN163" s="553"/>
      <c r="AO163" s="868"/>
      <c r="AP163" s="553"/>
      <c r="AQ163" s="553"/>
      <c r="AR163" s="553"/>
      <c r="AS163" s="553"/>
      <c r="AT163" s="867">
        <f>AT157+AT158+AT159+AT160+AT161+AT162</f>
        <v>4233</v>
      </c>
      <c r="AU163" s="553"/>
      <c r="AV163" s="553"/>
      <c r="AW163" s="553"/>
      <c r="AX163" s="553"/>
      <c r="AY163" s="867">
        <f>AY157+AY158+AY159+AY160+AY161+AY162</f>
        <v>3432</v>
      </c>
      <c r="AZ163" s="553"/>
      <c r="BA163" s="553"/>
      <c r="BB163" s="553"/>
      <c r="BC163" s="553"/>
      <c r="BD163" s="867">
        <f>BD157+BD158+BD159+BD160+BD161+BD162</f>
        <v>2370</v>
      </c>
      <c r="BE163" s="553"/>
      <c r="BF163" s="553"/>
      <c r="BG163" s="553"/>
      <c r="BH163" s="553"/>
      <c r="BI163" s="871">
        <f>BI157+BI158+BI159+BI160+BI161+BI162</f>
        <v>2744</v>
      </c>
      <c r="BJ163" s="553"/>
      <c r="BK163" s="553"/>
      <c r="BL163" s="553"/>
      <c r="BM163" s="553"/>
      <c r="BN163" s="871">
        <f>BN157+BN158+BN159+BN160+BN161+BN162</f>
        <v>2214</v>
      </c>
      <c r="BO163" s="553"/>
      <c r="BP163" s="553"/>
      <c r="BQ163" s="553"/>
      <c r="BR163" s="553"/>
      <c r="BS163" s="871">
        <f>BS157+BS158+BS159+BS160+BS161+BS162</f>
        <v>2035</v>
      </c>
      <c r="BT163" s="657"/>
      <c r="BU163" s="553"/>
      <c r="BV163" s="553"/>
      <c r="BW163" s="553"/>
      <c r="BX163" s="868"/>
      <c r="BY163" s="553"/>
      <c r="BZ163" s="553"/>
      <c r="CA163" s="553"/>
      <c r="CB163" s="553"/>
      <c r="CC163" s="868"/>
      <c r="CD163" s="868"/>
      <c r="CE163" s="868"/>
      <c r="CF163" s="868"/>
      <c r="CG163" s="22"/>
    </row>
    <row r="164" spans="1:85" s="428" customFormat="1" hidden="1" outlineLevel="1" x14ac:dyDescent="0.3">
      <c r="A164" s="106"/>
      <c r="B164" s="549"/>
      <c r="C164" s="865"/>
      <c r="D164" s="865"/>
      <c r="E164" s="865"/>
      <c r="F164" s="865"/>
      <c r="G164" s="298"/>
      <c r="H164" s="298"/>
      <c r="I164" s="298"/>
      <c r="J164" s="298"/>
      <c r="K164" s="865"/>
      <c r="L164" s="298"/>
      <c r="M164" s="298"/>
      <c r="N164" s="298"/>
      <c r="O164" s="298"/>
      <c r="P164" s="865"/>
      <c r="Q164" s="298"/>
      <c r="R164" s="298"/>
      <c r="S164" s="298"/>
      <c r="T164" s="298"/>
      <c r="U164" s="865"/>
      <c r="V164" s="298"/>
      <c r="W164" s="298"/>
      <c r="X164" s="298"/>
      <c r="Y164" s="298"/>
      <c r="Z164" s="865"/>
      <c r="AA164" s="298"/>
      <c r="AB164" s="298"/>
      <c r="AC164" s="298"/>
      <c r="AD164" s="298"/>
      <c r="AE164" s="865"/>
      <c r="AF164" s="298"/>
      <c r="AG164" s="298"/>
      <c r="AH164" s="298"/>
      <c r="AI164" s="298"/>
      <c r="AJ164" s="865"/>
      <c r="AK164" s="298"/>
      <c r="AL164" s="298"/>
      <c r="AM164" s="298"/>
      <c r="AN164" s="298"/>
      <c r="AO164" s="865"/>
      <c r="AP164" s="298"/>
      <c r="AQ164" s="298"/>
      <c r="AR164" s="298"/>
      <c r="AS164" s="298"/>
      <c r="AT164" s="865"/>
      <c r="AU164" s="298"/>
      <c r="AV164" s="298"/>
      <c r="AW164" s="298"/>
      <c r="AX164" s="298"/>
      <c r="AY164" s="865"/>
      <c r="AZ164" s="298"/>
      <c r="BA164" s="298"/>
      <c r="BB164" s="298"/>
      <c r="BC164" s="298"/>
      <c r="BD164" s="865"/>
      <c r="BE164" s="298"/>
      <c r="BF164" s="298"/>
      <c r="BG164" s="298"/>
      <c r="BH164" s="298"/>
      <c r="BI164" s="865"/>
      <c r="BJ164" s="298"/>
      <c r="BK164" s="298"/>
      <c r="BL164" s="298"/>
      <c r="BM164" s="298"/>
      <c r="BN164" s="865"/>
      <c r="BO164" s="298"/>
      <c r="BP164" s="298"/>
      <c r="BQ164" s="298"/>
      <c r="BR164" s="298"/>
      <c r="BS164" s="865"/>
      <c r="BT164" s="655"/>
      <c r="BU164" s="298"/>
      <c r="BV164" s="298"/>
      <c r="BW164" s="298"/>
      <c r="BX164" s="865"/>
      <c r="BY164" s="298"/>
      <c r="BZ164" s="298"/>
      <c r="CA164" s="298"/>
      <c r="CB164" s="298"/>
      <c r="CC164" s="865"/>
      <c r="CD164" s="865"/>
      <c r="CE164" s="865"/>
      <c r="CF164" s="865"/>
      <c r="CG164" s="22"/>
    </row>
    <row r="165" spans="1:85" s="429" customFormat="1" hidden="1" outlineLevel="1" x14ac:dyDescent="0.3">
      <c r="A165" s="48" t="s">
        <v>798</v>
      </c>
      <c r="B165" s="554"/>
      <c r="C165" s="871"/>
      <c r="D165" s="871"/>
      <c r="E165" s="871"/>
      <c r="F165" s="871"/>
      <c r="G165" s="555"/>
      <c r="H165" s="555"/>
      <c r="I165" s="555"/>
      <c r="J165" s="555"/>
      <c r="K165" s="871"/>
      <c r="L165" s="555"/>
      <c r="M165" s="555"/>
      <c r="N165" s="555"/>
      <c r="O165" s="555"/>
      <c r="P165" s="871"/>
      <c r="Q165" s="555"/>
      <c r="R165" s="555"/>
      <c r="S165" s="555"/>
      <c r="T165" s="555"/>
      <c r="U165" s="871"/>
      <c r="V165" s="555"/>
      <c r="W165" s="555"/>
      <c r="X165" s="555"/>
      <c r="Y165" s="555"/>
      <c r="Z165" s="871"/>
      <c r="AA165" s="555"/>
      <c r="AB165" s="555"/>
      <c r="AC165" s="555"/>
      <c r="AD165" s="555"/>
      <c r="AE165" s="871"/>
      <c r="AF165" s="555"/>
      <c r="AG165" s="555"/>
      <c r="AH165" s="555"/>
      <c r="AI165" s="555"/>
      <c r="AJ165" s="871"/>
      <c r="AK165" s="555"/>
      <c r="AL165" s="555"/>
      <c r="AM165" s="555"/>
      <c r="AN165" s="555"/>
      <c r="AO165" s="871"/>
      <c r="AP165" s="555"/>
      <c r="AQ165" s="555"/>
      <c r="AR165" s="555"/>
      <c r="AS165" s="555"/>
      <c r="AT165" s="871">
        <f>AT139+AT155</f>
        <v>66919</v>
      </c>
      <c r="AU165" s="555"/>
      <c r="AV165" s="555"/>
      <c r="AW165" s="555"/>
      <c r="AX165" s="555"/>
      <c r="AY165" s="871">
        <f>AY139+AY155</f>
        <v>48311</v>
      </c>
      <c r="AZ165" s="555"/>
      <c r="BA165" s="555"/>
      <c r="BB165" s="555"/>
      <c r="BC165" s="555"/>
      <c r="BD165" s="871">
        <f>BD139+BD155</f>
        <v>43865</v>
      </c>
      <c r="BE165" s="555"/>
      <c r="BF165" s="555"/>
      <c r="BG165" s="555"/>
      <c r="BH165" s="555"/>
      <c r="BI165" s="871">
        <f>BI139+BI155</f>
        <v>46435</v>
      </c>
      <c r="BJ165" s="555"/>
      <c r="BK165" s="555"/>
      <c r="BL165" s="555"/>
      <c r="BM165" s="555"/>
      <c r="BN165" s="871">
        <f>BN139+BN155</f>
        <v>43934</v>
      </c>
      <c r="BO165" s="555"/>
      <c r="BP165" s="555"/>
      <c r="BQ165" s="555"/>
      <c r="BR165" s="555"/>
      <c r="BS165" s="871">
        <f>BS139+BS155</f>
        <v>46480</v>
      </c>
      <c r="BT165" s="658"/>
      <c r="BU165" s="555"/>
      <c r="BV165" s="555"/>
      <c r="BW165" s="555"/>
      <c r="BX165" s="871"/>
      <c r="BY165" s="555"/>
      <c r="BZ165" s="555"/>
      <c r="CA165" s="555"/>
      <c r="CB165" s="555"/>
      <c r="CC165" s="871"/>
      <c r="CD165" s="871"/>
      <c r="CE165" s="871"/>
      <c r="CF165" s="871"/>
      <c r="CG165" s="26"/>
    </row>
    <row r="166" spans="1:85" s="429" customFormat="1" hidden="1" outlineLevel="1" x14ac:dyDescent="0.3">
      <c r="A166" s="48" t="s">
        <v>799</v>
      </c>
      <c r="B166" s="554"/>
      <c r="C166" s="871"/>
      <c r="D166" s="871"/>
      <c r="E166" s="871"/>
      <c r="F166" s="871"/>
      <c r="G166" s="555"/>
      <c r="H166" s="555"/>
      <c r="I166" s="555"/>
      <c r="J166" s="555"/>
      <c r="K166" s="871"/>
      <c r="L166" s="555"/>
      <c r="M166" s="555"/>
      <c r="N166" s="555"/>
      <c r="O166" s="555"/>
      <c r="P166" s="871"/>
      <c r="Q166" s="555"/>
      <c r="R166" s="555"/>
      <c r="S166" s="555"/>
      <c r="T166" s="555"/>
      <c r="U166" s="871"/>
      <c r="V166" s="555"/>
      <c r="W166" s="555"/>
      <c r="X166" s="555"/>
      <c r="Y166" s="555"/>
      <c r="Z166" s="871"/>
      <c r="AA166" s="555"/>
      <c r="AB166" s="555"/>
      <c r="AC166" s="555"/>
      <c r="AD166" s="555"/>
      <c r="AE166" s="871"/>
      <c r="AF166" s="555"/>
      <c r="AG166" s="555"/>
      <c r="AH166" s="555"/>
      <c r="AI166" s="555"/>
      <c r="AJ166" s="871"/>
      <c r="AK166" s="555"/>
      <c r="AL166" s="555"/>
      <c r="AM166" s="555"/>
      <c r="AN166" s="555"/>
      <c r="AO166" s="871"/>
      <c r="AP166" s="555"/>
      <c r="AQ166" s="555"/>
      <c r="AR166" s="555"/>
      <c r="AS166" s="555"/>
      <c r="AT166" s="871">
        <f>AT147+AT163</f>
        <v>49776</v>
      </c>
      <c r="AU166" s="555"/>
      <c r="AV166" s="555"/>
      <c r="AW166" s="555"/>
      <c r="AX166" s="555"/>
      <c r="AY166" s="871">
        <f>AY147+AY163</f>
        <v>34582</v>
      </c>
      <c r="AZ166" s="555"/>
      <c r="BA166" s="555"/>
      <c r="BB166" s="555"/>
      <c r="BC166" s="555"/>
      <c r="BD166" s="871">
        <f>BD147+BD163</f>
        <v>32162</v>
      </c>
      <c r="BE166" s="555"/>
      <c r="BF166" s="555"/>
      <c r="BG166" s="555"/>
      <c r="BH166" s="555"/>
      <c r="BI166" s="871">
        <f>BI147+BI163</f>
        <v>31398</v>
      </c>
      <c r="BJ166" s="555"/>
      <c r="BK166" s="555"/>
      <c r="BL166" s="555"/>
      <c r="BM166" s="555"/>
      <c r="BN166" s="871">
        <f>BN147+BN163</f>
        <v>28829</v>
      </c>
      <c r="BO166" s="555"/>
      <c r="BP166" s="555"/>
      <c r="BQ166" s="555"/>
      <c r="BR166" s="555"/>
      <c r="BS166" s="871">
        <f>BS147+BS163</f>
        <v>28895</v>
      </c>
      <c r="BT166" s="658"/>
      <c r="BU166" s="555"/>
      <c r="BV166" s="555"/>
      <c r="BW166" s="555"/>
      <c r="BX166" s="871"/>
      <c r="BY166" s="555"/>
      <c r="BZ166" s="555"/>
      <c r="CA166" s="555"/>
      <c r="CB166" s="555"/>
      <c r="CC166" s="871"/>
      <c r="CD166" s="871"/>
      <c r="CE166" s="871"/>
      <c r="CF166" s="871"/>
      <c r="CG166" s="26"/>
    </row>
    <row r="167" spans="1:85" s="435" customFormat="1" collapsed="1" x14ac:dyDescent="0.3">
      <c r="A167" s="104"/>
      <c r="B167" s="77"/>
      <c r="C167" s="864"/>
      <c r="D167" s="864"/>
      <c r="E167" s="864"/>
      <c r="F167" s="864"/>
      <c r="G167" s="226"/>
      <c r="H167" s="226"/>
      <c r="I167" s="226"/>
      <c r="J167" s="226"/>
      <c r="K167" s="864"/>
      <c r="L167" s="226"/>
      <c r="M167" s="226"/>
      <c r="N167" s="226"/>
      <c r="O167" s="226"/>
      <c r="P167" s="864"/>
      <c r="Q167" s="226"/>
      <c r="R167" s="226"/>
      <c r="S167" s="226"/>
      <c r="T167" s="226"/>
      <c r="U167" s="864"/>
      <c r="V167" s="226"/>
      <c r="W167" s="226"/>
      <c r="X167" s="226"/>
      <c r="Y167" s="226"/>
      <c r="Z167" s="864"/>
      <c r="AA167" s="226"/>
      <c r="AB167" s="226"/>
      <c r="AC167" s="226"/>
      <c r="AD167" s="226"/>
      <c r="AE167" s="864"/>
      <c r="AF167" s="226"/>
      <c r="AG167" s="226"/>
      <c r="AH167" s="226"/>
      <c r="AI167" s="226"/>
      <c r="AJ167" s="864"/>
      <c r="AK167" s="226"/>
      <c r="AL167" s="226"/>
      <c r="AM167" s="226"/>
      <c r="AN167" s="226"/>
      <c r="AO167" s="864"/>
      <c r="AP167" s="226"/>
      <c r="AQ167" s="226"/>
      <c r="AR167" s="226"/>
      <c r="AS167" s="226"/>
      <c r="AT167" s="864"/>
      <c r="AU167" s="226"/>
      <c r="AV167" s="226"/>
      <c r="AW167" s="226"/>
      <c r="AX167" s="226"/>
      <c r="AY167" s="864"/>
      <c r="AZ167" s="226"/>
      <c r="BA167" s="226"/>
      <c r="BB167" s="226"/>
      <c r="BC167" s="226"/>
      <c r="BD167" s="864"/>
      <c r="BE167" s="226"/>
      <c r="BF167" s="226"/>
      <c r="BG167" s="226"/>
      <c r="BH167" s="226"/>
      <c r="BI167" s="864"/>
      <c r="BJ167" s="226"/>
      <c r="BK167" s="226"/>
      <c r="BL167" s="226"/>
      <c r="BM167" s="226"/>
      <c r="BN167" s="864"/>
      <c r="BO167" s="226"/>
      <c r="BP167" s="226"/>
      <c r="BQ167" s="226"/>
      <c r="BR167" s="226"/>
      <c r="BS167" s="864"/>
      <c r="BT167" s="654"/>
      <c r="BU167" s="226"/>
      <c r="BV167" s="226"/>
      <c r="BW167" s="226"/>
      <c r="BX167" s="864"/>
      <c r="BY167" s="226"/>
      <c r="BZ167" s="226"/>
      <c r="CA167" s="226"/>
      <c r="CB167" s="226"/>
      <c r="CC167" s="864"/>
      <c r="CD167" s="864"/>
      <c r="CE167" s="864"/>
      <c r="CF167" s="864"/>
      <c r="CG167" s="20"/>
    </row>
    <row r="168" spans="1:85" s="427" customFormat="1" x14ac:dyDescent="0.3">
      <c r="A168" s="720" t="s">
        <v>92</v>
      </c>
      <c r="B168" s="720"/>
      <c r="C168" s="720"/>
      <c r="D168" s="720"/>
      <c r="E168" s="720"/>
      <c r="F168" s="720"/>
      <c r="G168" s="720"/>
      <c r="H168" s="720"/>
      <c r="I168" s="720"/>
      <c r="J168" s="720"/>
      <c r="K168" s="720"/>
      <c r="L168" s="720"/>
      <c r="M168" s="720"/>
      <c r="N168" s="720"/>
      <c r="O168" s="720"/>
      <c r="P168" s="720"/>
      <c r="Q168" s="720"/>
      <c r="R168" s="720"/>
      <c r="S168" s="720"/>
      <c r="T168" s="720"/>
      <c r="U168" s="720"/>
      <c r="V168" s="720"/>
      <c r="W168" s="720"/>
      <c r="X168" s="720"/>
      <c r="Y168" s="720"/>
      <c r="Z168" s="720"/>
      <c r="AA168" s="720"/>
      <c r="AB168" s="720"/>
      <c r="AC168" s="720"/>
      <c r="AD168" s="720"/>
      <c r="AE168" s="720"/>
      <c r="AF168" s="720"/>
      <c r="AG168" s="720"/>
      <c r="AH168" s="720"/>
      <c r="AI168" s="720"/>
      <c r="AJ168" s="720"/>
      <c r="AK168" s="720"/>
      <c r="AL168" s="720"/>
      <c r="AM168" s="720"/>
      <c r="AN168" s="720"/>
      <c r="AO168" s="720"/>
      <c r="AP168" s="720"/>
      <c r="AQ168" s="720"/>
      <c r="AR168" s="720"/>
      <c r="AS168" s="720"/>
      <c r="AT168" s="720"/>
      <c r="AU168" s="720"/>
      <c r="AV168" s="720"/>
      <c r="AW168" s="720"/>
      <c r="AX168" s="720"/>
      <c r="AY168" s="720"/>
      <c r="AZ168" s="720"/>
      <c r="BA168" s="720"/>
      <c r="BB168" s="720"/>
      <c r="BC168" s="720"/>
      <c r="BD168" s="720"/>
      <c r="BE168" s="720"/>
      <c r="BF168" s="720"/>
      <c r="BG168" s="720"/>
      <c r="BH168" s="720"/>
      <c r="BI168" s="720"/>
      <c r="BJ168" s="720"/>
      <c r="BK168" s="720"/>
      <c r="BL168" s="720"/>
      <c r="BM168" s="720"/>
      <c r="BN168" s="720"/>
      <c r="BO168" s="720"/>
      <c r="BP168" s="720"/>
      <c r="BQ168" s="720"/>
      <c r="BR168" s="720"/>
      <c r="BS168" s="720"/>
      <c r="BT168" s="721"/>
      <c r="BU168" s="720"/>
      <c r="BV168" s="720"/>
      <c r="BW168" s="720"/>
      <c r="BX168" s="720"/>
      <c r="BY168" s="720"/>
      <c r="BZ168" s="720"/>
      <c r="CA168" s="720"/>
      <c r="CB168" s="720"/>
      <c r="CC168" s="720"/>
      <c r="CD168" s="720"/>
      <c r="CE168" s="720"/>
      <c r="CF168" s="720"/>
      <c r="CG168" s="321"/>
    </row>
    <row r="169" spans="1:85" s="429" customFormat="1" hidden="1" outlineLevel="1" x14ac:dyDescent="0.3">
      <c r="A169" s="48" t="s">
        <v>93</v>
      </c>
      <c r="B169" s="63"/>
      <c r="C169" s="851">
        <v>899</v>
      </c>
      <c r="D169" s="851">
        <v>890</v>
      </c>
      <c r="E169" s="851">
        <v>854</v>
      </c>
      <c r="F169" s="851">
        <v>833</v>
      </c>
      <c r="G169" s="770">
        <v>576</v>
      </c>
      <c r="H169" s="770">
        <v>814</v>
      </c>
      <c r="I169" s="770">
        <v>831</v>
      </c>
      <c r="J169" s="770">
        <v>871</v>
      </c>
      <c r="K169" s="851">
        <v>774</v>
      </c>
      <c r="L169" s="770">
        <v>872</v>
      </c>
      <c r="M169" s="770">
        <v>761</v>
      </c>
      <c r="N169" s="770">
        <v>921</v>
      </c>
      <c r="O169" s="770">
        <v>927</v>
      </c>
      <c r="P169" s="851">
        <v>871</v>
      </c>
      <c r="Q169" s="770">
        <v>918</v>
      </c>
      <c r="R169" s="770">
        <v>916</v>
      </c>
      <c r="S169" s="770">
        <v>942</v>
      </c>
      <c r="T169" s="770">
        <v>916</v>
      </c>
      <c r="U169" s="851">
        <v>924</v>
      </c>
      <c r="V169" s="770">
        <v>957</v>
      </c>
      <c r="W169" s="770">
        <v>955</v>
      </c>
      <c r="X169" s="770">
        <v>970</v>
      </c>
      <c r="Y169" s="770">
        <v>721</v>
      </c>
      <c r="Z169" s="851">
        <v>900</v>
      </c>
      <c r="AA169" s="770">
        <v>912</v>
      </c>
      <c r="AB169" s="770">
        <v>928</v>
      </c>
      <c r="AC169" s="770">
        <v>931</v>
      </c>
      <c r="AD169" s="770">
        <v>834</v>
      </c>
      <c r="AE169" s="851">
        <v>901</v>
      </c>
      <c r="AF169" s="770">
        <v>930</v>
      </c>
      <c r="AG169" s="770">
        <v>856</v>
      </c>
      <c r="AH169" s="770">
        <v>915</v>
      </c>
      <c r="AI169" s="770">
        <v>918</v>
      </c>
      <c r="AJ169" s="851">
        <v>905</v>
      </c>
      <c r="AK169" s="770">
        <v>861</v>
      </c>
      <c r="AL169" s="770">
        <v>960</v>
      </c>
      <c r="AM169" s="770">
        <v>992</v>
      </c>
      <c r="AN169" s="770">
        <v>975</v>
      </c>
      <c r="AO169" s="851">
        <v>947</v>
      </c>
      <c r="AP169" s="770">
        <v>965</v>
      </c>
      <c r="AQ169" s="770">
        <v>581</v>
      </c>
      <c r="AR169" s="770">
        <v>820</v>
      </c>
      <c r="AS169" s="770">
        <v>806</v>
      </c>
      <c r="AT169" s="851">
        <v>793</v>
      </c>
      <c r="AU169" s="770">
        <v>881</v>
      </c>
      <c r="AV169" s="770">
        <v>956</v>
      </c>
      <c r="AW169" s="770">
        <v>895</v>
      </c>
      <c r="AX169" s="770">
        <v>882</v>
      </c>
      <c r="AY169" s="851">
        <v>903</v>
      </c>
      <c r="AZ169" s="770">
        <v>915</v>
      </c>
      <c r="BA169" s="770">
        <v>881</v>
      </c>
      <c r="BB169" s="770">
        <v>779</v>
      </c>
      <c r="BC169" s="770">
        <v>888</v>
      </c>
      <c r="BD169" s="851">
        <v>865</v>
      </c>
      <c r="BE169" s="770">
        <v>890</v>
      </c>
      <c r="BF169" s="770">
        <v>962</v>
      </c>
      <c r="BG169" s="770">
        <v>961</v>
      </c>
      <c r="BH169" s="770">
        <v>923</v>
      </c>
      <c r="BI169" s="851">
        <v>934</v>
      </c>
      <c r="BJ169" s="770">
        <v>857</v>
      </c>
      <c r="BK169" s="770">
        <v>868</v>
      </c>
      <c r="BL169" s="770">
        <v>968</v>
      </c>
      <c r="BM169" s="770">
        <v>874</v>
      </c>
      <c r="BN169" s="851">
        <v>892</v>
      </c>
      <c r="BO169" s="770">
        <v>1004</v>
      </c>
      <c r="BP169" s="770">
        <v>1033</v>
      </c>
      <c r="BQ169" s="770">
        <v>1051</v>
      </c>
      <c r="BR169" s="770">
        <v>995</v>
      </c>
      <c r="BS169" s="851">
        <v>1020</v>
      </c>
      <c r="BT169" s="776">
        <v>1027</v>
      </c>
      <c r="BU169" s="770">
        <v>1000</v>
      </c>
      <c r="BV169" s="770">
        <v>1000</v>
      </c>
      <c r="BW169" s="770">
        <v>1000</v>
      </c>
      <c r="BX169" s="825">
        <f>SUM(BT169*BT$3,BU169*BU$3,BV169*BV$3,BW169*BW$3)/BX$3</f>
        <v>1006.6575342465753</v>
      </c>
      <c r="BY169" s="770">
        <v>1000</v>
      </c>
      <c r="BZ169" s="770">
        <v>1000</v>
      </c>
      <c r="CA169" s="770">
        <v>1000</v>
      </c>
      <c r="CB169" s="770">
        <v>1000</v>
      </c>
      <c r="CC169" s="825">
        <f>SUM(BY169*BY$3,BZ169*BZ$3,CA169*CA$3,CB169*CB$3)/CC$3</f>
        <v>1000</v>
      </c>
      <c r="CD169" s="851">
        <v>1000</v>
      </c>
      <c r="CE169" s="851">
        <v>1000</v>
      </c>
      <c r="CF169" s="851">
        <v>1000</v>
      </c>
      <c r="CG169" s="26"/>
    </row>
    <row r="170" spans="1:85" s="427" customFormat="1" hidden="1" outlineLevel="1" x14ac:dyDescent="0.3">
      <c r="A170" s="65"/>
      <c r="B170" s="66"/>
      <c r="C170" s="872"/>
      <c r="D170" s="872"/>
      <c r="E170" s="872"/>
      <c r="F170" s="872"/>
      <c r="G170" s="742"/>
      <c r="H170" s="742"/>
      <c r="I170" s="742"/>
      <c r="J170" s="742"/>
      <c r="K170" s="872"/>
      <c r="L170" s="742"/>
      <c r="M170" s="742"/>
      <c r="N170" s="742"/>
      <c r="O170" s="742"/>
      <c r="P170" s="872"/>
      <c r="Q170" s="742"/>
      <c r="R170" s="742"/>
      <c r="S170" s="742"/>
      <c r="T170" s="742"/>
      <c r="U170" s="872"/>
      <c r="V170" s="742"/>
      <c r="W170" s="742"/>
      <c r="X170" s="742"/>
      <c r="Y170" s="742"/>
      <c r="Z170" s="872"/>
      <c r="AA170" s="742"/>
      <c r="AB170" s="742"/>
      <c r="AC170" s="742"/>
      <c r="AD170" s="742"/>
      <c r="AE170" s="872"/>
      <c r="AF170" s="742"/>
      <c r="AG170" s="742"/>
      <c r="AH170" s="742"/>
      <c r="AI170" s="742"/>
      <c r="AJ170" s="872"/>
      <c r="AK170" s="742"/>
      <c r="AL170" s="742"/>
      <c r="AM170" s="742"/>
      <c r="AN170" s="742"/>
      <c r="AO170" s="872"/>
      <c r="AP170" s="742"/>
      <c r="AQ170" s="742"/>
      <c r="AR170" s="742"/>
      <c r="AS170" s="742"/>
      <c r="AT170" s="872"/>
      <c r="AU170" s="742"/>
      <c r="AV170" s="742"/>
      <c r="AW170" s="742"/>
      <c r="AX170" s="742"/>
      <c r="AY170" s="872"/>
      <c r="AZ170" s="742"/>
      <c r="BA170" s="742"/>
      <c r="BB170" s="742"/>
      <c r="BC170" s="742"/>
      <c r="BD170" s="872"/>
      <c r="BE170" s="742"/>
      <c r="BF170" s="742"/>
      <c r="BG170" s="742"/>
      <c r="BH170" s="742"/>
      <c r="BI170" s="872"/>
      <c r="BJ170" s="742"/>
      <c r="BK170" s="742"/>
      <c r="BL170" s="742"/>
      <c r="BM170" s="742"/>
      <c r="BN170" s="872"/>
      <c r="BO170" s="742"/>
      <c r="BP170" s="742"/>
      <c r="BQ170" s="742"/>
      <c r="BR170" s="742"/>
      <c r="BS170" s="872"/>
      <c r="BT170" s="743"/>
      <c r="BU170" s="742"/>
      <c r="BV170" s="742"/>
      <c r="BW170" s="742"/>
      <c r="BX170" s="872"/>
      <c r="BY170" s="742"/>
      <c r="BZ170" s="742"/>
      <c r="CA170" s="742"/>
      <c r="CB170" s="742"/>
      <c r="CC170" s="872"/>
      <c r="CD170" s="872"/>
      <c r="CE170" s="872"/>
      <c r="CF170" s="872"/>
      <c r="CG170" s="321"/>
    </row>
    <row r="171" spans="1:85" s="428" customFormat="1" hidden="1" outlineLevel="1" x14ac:dyDescent="0.3">
      <c r="A171" s="43" t="s">
        <v>94</v>
      </c>
      <c r="B171" s="64"/>
      <c r="C171" s="827">
        <v>720</v>
      </c>
      <c r="D171" s="827">
        <v>700</v>
      </c>
      <c r="E171" s="827">
        <v>649</v>
      </c>
      <c r="F171" s="827">
        <v>624</v>
      </c>
      <c r="G171" s="763">
        <v>579</v>
      </c>
      <c r="H171" s="763">
        <v>626</v>
      </c>
      <c r="I171" s="763">
        <v>636</v>
      </c>
      <c r="J171" s="37">
        <f>J180/J$3*1000</f>
        <v>610.40217391304361</v>
      </c>
      <c r="K171" s="827">
        <v>613</v>
      </c>
      <c r="L171" s="763">
        <v>593</v>
      </c>
      <c r="M171" s="763">
        <v>612</v>
      </c>
      <c r="N171" s="763">
        <v>629</v>
      </c>
      <c r="O171" s="37">
        <f>O180/O$3*1000</f>
        <v>625.48913043478251</v>
      </c>
      <c r="P171" s="827">
        <v>615</v>
      </c>
      <c r="Q171" s="763">
        <v>602</v>
      </c>
      <c r="R171" s="763">
        <v>631</v>
      </c>
      <c r="S171" s="763">
        <v>637</v>
      </c>
      <c r="T171" s="37">
        <f>T180/T$3*1000</f>
        <v>613.69565217391312</v>
      </c>
      <c r="U171" s="827">
        <v>621</v>
      </c>
      <c r="V171" s="763">
        <v>616</v>
      </c>
      <c r="W171" s="763">
        <v>646</v>
      </c>
      <c r="X171" s="763">
        <v>653</v>
      </c>
      <c r="Y171" s="37">
        <f>Y180/Y$3*1000</f>
        <v>608.99999999999989</v>
      </c>
      <c r="Z171" s="827">
        <v>631</v>
      </c>
      <c r="AA171" s="763">
        <v>584</v>
      </c>
      <c r="AB171" s="763">
        <v>653</v>
      </c>
      <c r="AC171" s="763">
        <v>649</v>
      </c>
      <c r="AD171" s="37">
        <f>AD180/AD$3*1000</f>
        <v>613.41304347826087</v>
      </c>
      <c r="AE171" s="827">
        <v>625</v>
      </c>
      <c r="AF171" s="763">
        <v>601</v>
      </c>
      <c r="AG171" s="763">
        <v>642</v>
      </c>
      <c r="AH171" s="763">
        <v>629</v>
      </c>
      <c r="AI171" s="763">
        <v>618</v>
      </c>
      <c r="AJ171" s="827">
        <v>627</v>
      </c>
      <c r="AK171" s="763">
        <v>619</v>
      </c>
      <c r="AL171" s="763">
        <v>689</v>
      </c>
      <c r="AM171" s="763">
        <v>702</v>
      </c>
      <c r="AN171" s="763">
        <v>656</v>
      </c>
      <c r="AO171" s="827">
        <v>667</v>
      </c>
      <c r="AP171" s="763">
        <v>625</v>
      </c>
      <c r="AQ171" s="763">
        <v>502</v>
      </c>
      <c r="AR171" s="763">
        <v>603</v>
      </c>
      <c r="AS171" s="763">
        <v>594</v>
      </c>
      <c r="AT171" s="827">
        <v>581</v>
      </c>
      <c r="AU171" s="763">
        <v>608</v>
      </c>
      <c r="AV171" s="763">
        <v>678</v>
      </c>
      <c r="AW171" s="763">
        <v>671</v>
      </c>
      <c r="AX171" s="763">
        <v>663</v>
      </c>
      <c r="AY171" s="827">
        <v>655</v>
      </c>
      <c r="AZ171" s="763">
        <v>644</v>
      </c>
      <c r="BA171" s="763">
        <v>634</v>
      </c>
      <c r="BB171" s="763">
        <v>639</v>
      </c>
      <c r="BC171" s="763">
        <v>640</v>
      </c>
      <c r="BD171" s="827">
        <v>639</v>
      </c>
      <c r="BE171" s="763">
        <v>609</v>
      </c>
      <c r="BF171" s="763">
        <v>673</v>
      </c>
      <c r="BG171" s="763">
        <v>652</v>
      </c>
      <c r="BH171" s="763">
        <v>636</v>
      </c>
      <c r="BI171" s="827">
        <v>642</v>
      </c>
      <c r="BJ171" s="763">
        <v>621</v>
      </c>
      <c r="BK171" s="763">
        <v>692</v>
      </c>
      <c r="BL171" s="763">
        <v>684</v>
      </c>
      <c r="BM171" s="763">
        <v>669</v>
      </c>
      <c r="BN171" s="827">
        <v>667</v>
      </c>
      <c r="BO171" s="763">
        <v>676</v>
      </c>
      <c r="BP171" s="763">
        <v>712</v>
      </c>
      <c r="BQ171" s="763">
        <v>676</v>
      </c>
      <c r="BR171" s="763">
        <v>676</v>
      </c>
      <c r="BS171" s="827">
        <v>685</v>
      </c>
      <c r="BT171" s="764">
        <v>637</v>
      </c>
      <c r="BU171" s="37">
        <f>BU$169*BU177</f>
        <v>650</v>
      </c>
      <c r="BV171" s="37">
        <f>BV$169*BV177</f>
        <v>650</v>
      </c>
      <c r="BW171" s="37">
        <f>BW$169*BW177</f>
        <v>650</v>
      </c>
      <c r="BX171" s="821">
        <f>BX180/BX$3*1000</f>
        <v>646.79452054794513</v>
      </c>
      <c r="BY171" s="37">
        <f>BY$169*BY177</f>
        <v>650</v>
      </c>
      <c r="BZ171" s="37">
        <f>BZ$169*BZ177</f>
        <v>650</v>
      </c>
      <c r="CA171" s="37">
        <f>CA$169*CA177</f>
        <v>650</v>
      </c>
      <c r="CB171" s="37">
        <f>CB$169*CB177</f>
        <v>650</v>
      </c>
      <c r="CC171" s="821">
        <f>CC180/CC$3*1000</f>
        <v>650</v>
      </c>
      <c r="CD171" s="821">
        <f>CD169*CD177</f>
        <v>650</v>
      </c>
      <c r="CE171" s="821">
        <f>CE169*CE177</f>
        <v>650</v>
      </c>
      <c r="CF171" s="821">
        <f>CF169*CF177</f>
        <v>650</v>
      </c>
      <c r="CG171" s="22"/>
    </row>
    <row r="172" spans="1:85" s="428" customFormat="1" hidden="1" outlineLevel="1" x14ac:dyDescent="0.3">
      <c r="A172" s="43" t="s">
        <v>95</v>
      </c>
      <c r="B172" s="64"/>
      <c r="C172" s="827">
        <v>683</v>
      </c>
      <c r="D172" s="827">
        <v>649</v>
      </c>
      <c r="E172" s="827">
        <v>608</v>
      </c>
      <c r="F172" s="827">
        <v>587</v>
      </c>
      <c r="G172" s="763">
        <v>519</v>
      </c>
      <c r="H172" s="763">
        <v>587</v>
      </c>
      <c r="I172" s="763">
        <v>559</v>
      </c>
      <c r="J172" s="37">
        <f>J181/J$3*1000</f>
        <v>610.10869565217388</v>
      </c>
      <c r="K172" s="827">
        <v>569</v>
      </c>
      <c r="L172" s="763">
        <v>605</v>
      </c>
      <c r="M172" s="763">
        <v>576</v>
      </c>
      <c r="N172" s="763">
        <v>593</v>
      </c>
      <c r="O172" s="37">
        <f>O181/O$3*1000</f>
        <v>606.01086956521749</v>
      </c>
      <c r="P172" s="827">
        <v>595</v>
      </c>
      <c r="Q172" s="763">
        <v>604</v>
      </c>
      <c r="R172" s="763">
        <v>598</v>
      </c>
      <c r="S172" s="763">
        <v>609</v>
      </c>
      <c r="T172" s="37">
        <f>T181/T$3*1000</f>
        <v>616.83695652173947</v>
      </c>
      <c r="U172" s="827">
        <v>607</v>
      </c>
      <c r="V172" s="763">
        <v>594</v>
      </c>
      <c r="W172" s="763">
        <v>617</v>
      </c>
      <c r="X172" s="763">
        <v>591</v>
      </c>
      <c r="Y172" s="37">
        <f>Y181/Y$3*1000</f>
        <v>526.5108695652176</v>
      </c>
      <c r="Z172" s="827">
        <v>582</v>
      </c>
      <c r="AA172" s="763">
        <v>569</v>
      </c>
      <c r="AB172" s="763">
        <v>584</v>
      </c>
      <c r="AC172" s="763">
        <v>576</v>
      </c>
      <c r="AD172" s="37">
        <f>AD181/AD$3*1000</f>
        <v>559.06521739130437</v>
      </c>
      <c r="AE172" s="827">
        <v>572</v>
      </c>
      <c r="AF172" s="763">
        <v>584</v>
      </c>
      <c r="AG172" s="763">
        <v>601</v>
      </c>
      <c r="AH172" s="37">
        <f>1234-AH171</f>
        <v>605</v>
      </c>
      <c r="AI172" s="37">
        <f>1211-AI171</f>
        <v>593</v>
      </c>
      <c r="AJ172" s="827">
        <v>591</v>
      </c>
      <c r="AK172" s="37">
        <f>1191-AK171</f>
        <v>572</v>
      </c>
      <c r="AL172" s="763">
        <v>589</v>
      </c>
      <c r="AM172" s="763">
        <v>592</v>
      </c>
      <c r="AN172" s="37">
        <f>(AO172*AO$3-SUM(AK172*AK$3,AL172*AL$3,AM172*AM$3))/AN$3</f>
        <v>578.82608695652175</v>
      </c>
      <c r="AO172" s="827">
        <v>583</v>
      </c>
      <c r="AP172" s="763">
        <v>534</v>
      </c>
      <c r="AQ172" s="763">
        <v>325</v>
      </c>
      <c r="AR172" s="763">
        <v>401</v>
      </c>
      <c r="AS172" s="37">
        <f>(AT172*AT$3-SUM(AP172*AP$3,AQ172*AQ$3,AR172*AR$3))/AS$3</f>
        <v>428.16304347826087</v>
      </c>
      <c r="AT172" s="827">
        <v>422</v>
      </c>
      <c r="AU172" s="763">
        <v>442</v>
      </c>
      <c r="AV172" s="763">
        <v>481</v>
      </c>
      <c r="AW172" s="763">
        <v>517</v>
      </c>
      <c r="AX172" s="37">
        <f>(AY172*AY$3-SUM(AU172*AU$3,AV172*AV$3,AW172*AW$3))/AX$3</f>
        <v>495.05434782608694</v>
      </c>
      <c r="AY172" s="827">
        <v>484</v>
      </c>
      <c r="AZ172" s="763">
        <v>573</v>
      </c>
      <c r="BA172" s="763">
        <v>576</v>
      </c>
      <c r="BB172" s="763">
        <v>609</v>
      </c>
      <c r="BC172" s="763">
        <v>596</v>
      </c>
      <c r="BD172" s="821">
        <f>BD173-BD171</f>
        <v>589</v>
      </c>
      <c r="BE172" s="763">
        <v>643</v>
      </c>
      <c r="BF172" s="763">
        <v>622</v>
      </c>
      <c r="BG172" s="763">
        <v>651</v>
      </c>
      <c r="BH172" s="37">
        <f>BH173-BH171</f>
        <v>662</v>
      </c>
      <c r="BI172" s="821">
        <f>BI173-BI171</f>
        <v>645</v>
      </c>
      <c r="BJ172" s="763">
        <v>627</v>
      </c>
      <c r="BK172" s="763">
        <v>635</v>
      </c>
      <c r="BL172" s="763">
        <v>628</v>
      </c>
      <c r="BM172" s="37">
        <f>BM173-BM171</f>
        <v>588</v>
      </c>
      <c r="BN172" s="821">
        <f>BN173-BN171</f>
        <v>619</v>
      </c>
      <c r="BO172" s="763">
        <v>617</v>
      </c>
      <c r="BP172" s="763">
        <v>669</v>
      </c>
      <c r="BQ172" s="763">
        <v>627</v>
      </c>
      <c r="BR172" s="37">
        <f>BR173-BR171</f>
        <v>617</v>
      </c>
      <c r="BS172" s="821">
        <f>BS173-BS171</f>
        <v>632</v>
      </c>
      <c r="BT172" s="764">
        <v>628</v>
      </c>
      <c r="BU172" s="37">
        <f>(BU$169*BU178)</f>
        <v>650</v>
      </c>
      <c r="BV172" s="37">
        <f>(BV$169*BV178)</f>
        <v>650</v>
      </c>
      <c r="BW172" s="37">
        <f>(BW$169*BW178)</f>
        <v>650</v>
      </c>
      <c r="BX172" s="821">
        <f>BX181/BX$3*1000</f>
        <v>644.57534246575335</v>
      </c>
      <c r="BY172" s="37">
        <f>(BY$169*BY178)</f>
        <v>650</v>
      </c>
      <c r="BZ172" s="37">
        <f>(BZ$169*BZ178)</f>
        <v>650</v>
      </c>
      <c r="CA172" s="37">
        <f>(CA$169*CA178)</f>
        <v>650</v>
      </c>
      <c r="CB172" s="37">
        <f>(CB$169*CB178)</f>
        <v>650</v>
      </c>
      <c r="CC172" s="821">
        <f>CC181/CC$3*1000</f>
        <v>650</v>
      </c>
      <c r="CD172" s="821">
        <f>(CD169*CD178)</f>
        <v>700</v>
      </c>
      <c r="CE172" s="821">
        <f>(CE169*CE178)</f>
        <v>700</v>
      </c>
      <c r="CF172" s="821">
        <f>(CF169*CF178)</f>
        <v>700</v>
      </c>
      <c r="CG172" s="22"/>
    </row>
    <row r="173" spans="1:85" s="429" customFormat="1" hidden="1" outlineLevel="1" x14ac:dyDescent="0.3">
      <c r="A173" s="42" t="s">
        <v>96</v>
      </c>
      <c r="B173" s="90"/>
      <c r="C173" s="823">
        <f t="shared" ref="C173:AR173" si="344">SUM(C171:C172)</f>
        <v>1403</v>
      </c>
      <c r="D173" s="823">
        <f t="shared" si="344"/>
        <v>1349</v>
      </c>
      <c r="E173" s="823">
        <f t="shared" si="344"/>
        <v>1257</v>
      </c>
      <c r="F173" s="823">
        <f t="shared" si="344"/>
        <v>1211</v>
      </c>
      <c r="G173" s="393">
        <f t="shared" si="344"/>
        <v>1098</v>
      </c>
      <c r="H173" s="393">
        <f t="shared" si="344"/>
        <v>1213</v>
      </c>
      <c r="I173" s="393">
        <f t="shared" si="344"/>
        <v>1195</v>
      </c>
      <c r="J173" s="393">
        <f t="shared" si="344"/>
        <v>1220.5108695652175</v>
      </c>
      <c r="K173" s="823">
        <f t="shared" si="344"/>
        <v>1182</v>
      </c>
      <c r="L173" s="393">
        <f t="shared" si="344"/>
        <v>1198</v>
      </c>
      <c r="M173" s="393">
        <f t="shared" si="344"/>
        <v>1188</v>
      </c>
      <c r="N173" s="393">
        <f t="shared" si="344"/>
        <v>1222</v>
      </c>
      <c r="O173" s="393">
        <f t="shared" si="344"/>
        <v>1231.5</v>
      </c>
      <c r="P173" s="823">
        <f t="shared" si="344"/>
        <v>1210</v>
      </c>
      <c r="Q173" s="393">
        <f t="shared" si="344"/>
        <v>1206</v>
      </c>
      <c r="R173" s="393">
        <f t="shared" si="344"/>
        <v>1229</v>
      </c>
      <c r="S173" s="393">
        <f t="shared" si="344"/>
        <v>1246</v>
      </c>
      <c r="T173" s="393">
        <f t="shared" si="344"/>
        <v>1230.5326086956525</v>
      </c>
      <c r="U173" s="823">
        <f t="shared" si="344"/>
        <v>1228</v>
      </c>
      <c r="V173" s="393">
        <f t="shared" si="344"/>
        <v>1210</v>
      </c>
      <c r="W173" s="393">
        <f t="shared" si="344"/>
        <v>1263</v>
      </c>
      <c r="X173" s="393">
        <f t="shared" si="344"/>
        <v>1244</v>
      </c>
      <c r="Y173" s="393">
        <f t="shared" si="344"/>
        <v>1135.5108695652175</v>
      </c>
      <c r="Z173" s="823">
        <f t="shared" si="344"/>
        <v>1213</v>
      </c>
      <c r="AA173" s="393">
        <f t="shared" si="344"/>
        <v>1153</v>
      </c>
      <c r="AB173" s="393">
        <f t="shared" si="344"/>
        <v>1237</v>
      </c>
      <c r="AC173" s="393">
        <f t="shared" si="344"/>
        <v>1225</v>
      </c>
      <c r="AD173" s="393">
        <f t="shared" si="344"/>
        <v>1172.4782608695652</v>
      </c>
      <c r="AE173" s="823">
        <f t="shared" si="344"/>
        <v>1197</v>
      </c>
      <c r="AF173" s="393">
        <f t="shared" si="344"/>
        <v>1185</v>
      </c>
      <c r="AG173" s="393">
        <f t="shared" si="344"/>
        <v>1243</v>
      </c>
      <c r="AH173" s="393">
        <f t="shared" si="344"/>
        <v>1234</v>
      </c>
      <c r="AI173" s="393">
        <f t="shared" si="344"/>
        <v>1211</v>
      </c>
      <c r="AJ173" s="823">
        <f t="shared" si="344"/>
        <v>1218</v>
      </c>
      <c r="AK173" s="393">
        <f t="shared" si="344"/>
        <v>1191</v>
      </c>
      <c r="AL173" s="393">
        <f t="shared" si="344"/>
        <v>1278</v>
      </c>
      <c r="AM173" s="393">
        <f t="shared" si="344"/>
        <v>1294</v>
      </c>
      <c r="AN173" s="393">
        <f t="shared" si="344"/>
        <v>1234.8260869565217</v>
      </c>
      <c r="AO173" s="823">
        <f t="shared" si="344"/>
        <v>1250</v>
      </c>
      <c r="AP173" s="393">
        <f t="shared" si="344"/>
        <v>1159</v>
      </c>
      <c r="AQ173" s="393">
        <f t="shared" si="344"/>
        <v>827</v>
      </c>
      <c r="AR173" s="393">
        <f t="shared" si="344"/>
        <v>1004</v>
      </c>
      <c r="AS173" s="767">
        <v>1020</v>
      </c>
      <c r="AT173" s="823">
        <f t="shared" ref="AT173:BC173" si="345">SUM(AT171:AT172)</f>
        <v>1003</v>
      </c>
      <c r="AU173" s="393">
        <f t="shared" si="345"/>
        <v>1050</v>
      </c>
      <c r="AV173" s="393">
        <f t="shared" si="345"/>
        <v>1159</v>
      </c>
      <c r="AW173" s="393">
        <f t="shared" si="345"/>
        <v>1188</v>
      </c>
      <c r="AX173" s="393">
        <f t="shared" si="345"/>
        <v>1158.054347826087</v>
      </c>
      <c r="AY173" s="823">
        <f t="shared" si="345"/>
        <v>1139</v>
      </c>
      <c r="AZ173" s="393">
        <f t="shared" si="345"/>
        <v>1217</v>
      </c>
      <c r="BA173" s="393">
        <f t="shared" si="345"/>
        <v>1210</v>
      </c>
      <c r="BB173" s="393">
        <f t="shared" si="345"/>
        <v>1248</v>
      </c>
      <c r="BC173" s="393">
        <f t="shared" si="345"/>
        <v>1236</v>
      </c>
      <c r="BD173" s="829">
        <v>1228</v>
      </c>
      <c r="BE173" s="393">
        <f>SUM(BE171:BE172)</f>
        <v>1252</v>
      </c>
      <c r="BF173" s="393">
        <f>SUM(BF171:BF172)</f>
        <v>1295</v>
      </c>
      <c r="BG173" s="393">
        <f>SUM(BG171:BG172)</f>
        <v>1303</v>
      </c>
      <c r="BH173" s="767">
        <v>1298</v>
      </c>
      <c r="BI173" s="829">
        <v>1287</v>
      </c>
      <c r="BJ173" s="393">
        <f>SUM(BJ171:BJ172)</f>
        <v>1248</v>
      </c>
      <c r="BK173" s="393">
        <f>SUM(BK171:BK172)</f>
        <v>1327</v>
      </c>
      <c r="BL173" s="393">
        <f>SUM(BL171:BL172)</f>
        <v>1312</v>
      </c>
      <c r="BM173" s="767">
        <v>1257</v>
      </c>
      <c r="BN173" s="829">
        <v>1286</v>
      </c>
      <c r="BO173" s="393">
        <f>SUM(BO171:BO172)</f>
        <v>1293</v>
      </c>
      <c r="BP173" s="393">
        <f>SUM(BP171:BP172)</f>
        <v>1381</v>
      </c>
      <c r="BQ173" s="393">
        <f>SUM(BQ171:BQ172)</f>
        <v>1303</v>
      </c>
      <c r="BR173" s="767">
        <v>1293</v>
      </c>
      <c r="BS173" s="829">
        <v>1317</v>
      </c>
      <c r="BT173" s="641">
        <f>SUM(BT171:BT172)</f>
        <v>1265</v>
      </c>
      <c r="BU173" s="393">
        <f t="shared" ref="BU173:CF173" si="346">SUM(BU171:BU172)</f>
        <v>1300</v>
      </c>
      <c r="BV173" s="393">
        <f t="shared" si="346"/>
        <v>1300</v>
      </c>
      <c r="BW173" s="393">
        <f t="shared" si="346"/>
        <v>1300</v>
      </c>
      <c r="BX173" s="823">
        <f t="shared" si="346"/>
        <v>1291.3698630136985</v>
      </c>
      <c r="BY173" s="393">
        <f t="shared" si="346"/>
        <v>1300</v>
      </c>
      <c r="BZ173" s="393">
        <f t="shared" si="346"/>
        <v>1300</v>
      </c>
      <c r="CA173" s="393">
        <f t="shared" si="346"/>
        <v>1300</v>
      </c>
      <c r="CB173" s="393">
        <f t="shared" si="346"/>
        <v>1300</v>
      </c>
      <c r="CC173" s="823">
        <f t="shared" si="346"/>
        <v>1300</v>
      </c>
      <c r="CD173" s="823">
        <f t="shared" si="346"/>
        <v>1350</v>
      </c>
      <c r="CE173" s="823">
        <f t="shared" si="346"/>
        <v>1350</v>
      </c>
      <c r="CF173" s="823">
        <f t="shared" si="346"/>
        <v>1350</v>
      </c>
      <c r="CG173" s="26"/>
    </row>
    <row r="174" spans="1:85" s="427" customFormat="1" hidden="1" outlineLevel="1" x14ac:dyDescent="0.3">
      <c r="A174" s="65"/>
      <c r="B174" s="66"/>
      <c r="C174" s="872"/>
      <c r="D174" s="872"/>
      <c r="E174" s="872"/>
      <c r="F174" s="872"/>
      <c r="G174" s="742"/>
      <c r="H174" s="742"/>
      <c r="I174" s="742"/>
      <c r="J174" s="742"/>
      <c r="K174" s="872"/>
      <c r="L174" s="742"/>
      <c r="M174" s="742"/>
      <c r="N174" s="742"/>
      <c r="O174" s="742"/>
      <c r="P174" s="872"/>
      <c r="Q174" s="742"/>
      <c r="R174" s="742"/>
      <c r="S174" s="742"/>
      <c r="T174" s="742"/>
      <c r="U174" s="872"/>
      <c r="V174" s="742"/>
      <c r="W174" s="742"/>
      <c r="X174" s="742"/>
      <c r="Y174" s="742"/>
      <c r="Z174" s="872"/>
      <c r="AA174" s="742"/>
      <c r="AB174" s="742"/>
      <c r="AC174" s="742"/>
      <c r="AD174" s="742"/>
      <c r="AE174" s="872"/>
      <c r="AF174" s="742"/>
      <c r="AG174" s="742"/>
      <c r="AH174" s="742"/>
      <c r="AI174" s="742"/>
      <c r="AJ174" s="872"/>
      <c r="AK174" s="742"/>
      <c r="AL174" s="742"/>
      <c r="AM174" s="742"/>
      <c r="AN174" s="742"/>
      <c r="AO174" s="872"/>
      <c r="AP174" s="742"/>
      <c r="AQ174" s="742"/>
      <c r="AR174" s="742"/>
      <c r="AS174" s="742"/>
      <c r="AT174" s="872"/>
      <c r="AU174" s="742"/>
      <c r="AV174" s="742"/>
      <c r="AW174" s="742"/>
      <c r="AX174" s="742"/>
      <c r="AY174" s="872"/>
      <c r="AZ174" s="742"/>
      <c r="BA174" s="742"/>
      <c r="BB174" s="742"/>
      <c r="BC174" s="742"/>
      <c r="BD174" s="872"/>
      <c r="BE174" s="742"/>
      <c r="BF174" s="742"/>
      <c r="BG174" s="742"/>
      <c r="BH174" s="742"/>
      <c r="BI174" s="872"/>
      <c r="BJ174" s="742"/>
      <c r="BK174" s="742"/>
      <c r="BL174" s="742"/>
      <c r="BM174" s="742"/>
      <c r="BN174" s="872"/>
      <c r="BO174" s="742"/>
      <c r="BP174" s="742"/>
      <c r="BQ174" s="742"/>
      <c r="BR174" s="742"/>
      <c r="BS174" s="872"/>
      <c r="BT174" s="743"/>
      <c r="BU174" s="742"/>
      <c r="BV174" s="742"/>
      <c r="BW174" s="742"/>
      <c r="BX174" s="872"/>
      <c r="BY174" s="742"/>
      <c r="BZ174" s="742"/>
      <c r="CA174" s="742"/>
      <c r="CB174" s="742"/>
      <c r="CC174" s="872"/>
      <c r="CD174" s="872"/>
      <c r="CE174" s="872"/>
      <c r="CF174" s="872"/>
      <c r="CG174" s="321"/>
    </row>
    <row r="175" spans="1:85" s="429" customFormat="1" hidden="1" outlineLevel="1" x14ac:dyDescent="0.3">
      <c r="A175" s="48" t="s">
        <v>97</v>
      </c>
      <c r="B175" s="63"/>
      <c r="C175" s="851">
        <v>144</v>
      </c>
      <c r="D175" s="851">
        <v>139</v>
      </c>
      <c r="E175" s="851">
        <v>146</v>
      </c>
      <c r="F175" s="851">
        <v>141</v>
      </c>
      <c r="G175" s="770">
        <v>120</v>
      </c>
      <c r="H175" s="770">
        <v>130</v>
      </c>
      <c r="I175" s="770">
        <v>121</v>
      </c>
      <c r="J175" s="31">
        <f>J182/J3*1000</f>
        <v>128.94565217391303</v>
      </c>
      <c r="K175" s="851">
        <v>125</v>
      </c>
      <c r="L175" s="770">
        <v>114</v>
      </c>
      <c r="M175" s="770">
        <v>116</v>
      </c>
      <c r="N175" s="770">
        <v>120</v>
      </c>
      <c r="O175" s="31">
        <f>O182/O3*1000</f>
        <v>133.79347826086956</v>
      </c>
      <c r="P175" s="851">
        <v>121</v>
      </c>
      <c r="Q175" s="770">
        <v>106</v>
      </c>
      <c r="R175" s="770">
        <v>136</v>
      </c>
      <c r="S175" s="770">
        <v>138</v>
      </c>
      <c r="T175" s="31">
        <f>T182/T3*1000</f>
        <v>127.64130434782611</v>
      </c>
      <c r="U175" s="851">
        <v>127</v>
      </c>
      <c r="V175" s="770">
        <v>105</v>
      </c>
      <c r="W175" s="770">
        <v>115</v>
      </c>
      <c r="X175" s="770">
        <v>127</v>
      </c>
      <c r="Y175" s="31">
        <f>Y182/Y3*1000</f>
        <v>112.89130434782611</v>
      </c>
      <c r="Z175" s="851">
        <v>115</v>
      </c>
      <c r="AA175" s="770">
        <v>106</v>
      </c>
      <c r="AB175" s="770">
        <v>118</v>
      </c>
      <c r="AC175" s="770">
        <v>100</v>
      </c>
      <c r="AD175" s="31">
        <f>AD182/AD3*1000</f>
        <v>112.03260869565216</v>
      </c>
      <c r="AE175" s="851">
        <v>109</v>
      </c>
      <c r="AF175" s="770">
        <v>55</v>
      </c>
      <c r="AG175" s="770">
        <v>73</v>
      </c>
      <c r="AH175" s="770">
        <v>74</v>
      </c>
      <c r="AI175" s="31">
        <f>AI182/AI3*1000</f>
        <v>93.576086956521749</v>
      </c>
      <c r="AJ175" s="851">
        <v>74</v>
      </c>
      <c r="AK175" s="770">
        <v>91</v>
      </c>
      <c r="AL175" s="770">
        <v>89</v>
      </c>
      <c r="AM175" s="770">
        <v>105</v>
      </c>
      <c r="AN175" s="31">
        <f>(AO175*AO$3-SUM(AK175*AK$3,AL175*AL$3,AM175*AM$3))/AN$3</f>
        <v>118.65217391304348</v>
      </c>
      <c r="AO175" s="851">
        <v>101</v>
      </c>
      <c r="AP175" s="770">
        <v>27</v>
      </c>
      <c r="AQ175" s="770">
        <v>23</v>
      </c>
      <c r="AR175" s="770">
        <v>25</v>
      </c>
      <c r="AS175" s="31">
        <f>(AT175*AT$3-SUM(AP175*AP$3,AQ175*AQ$3,AR175*AR$3))/AS$3</f>
        <v>25</v>
      </c>
      <c r="AT175" s="851">
        <v>25</v>
      </c>
      <c r="AU175" s="770">
        <v>29</v>
      </c>
      <c r="AV175" s="770">
        <v>29</v>
      </c>
      <c r="AW175" s="770">
        <v>23</v>
      </c>
      <c r="AX175" s="31">
        <f>(AY175*AY$3-SUM(AU175*AU$3,AV175*AV$3,AW175*AW$3))/AX$3</f>
        <v>35</v>
      </c>
      <c r="AY175" s="851">
        <v>29</v>
      </c>
      <c r="AZ175" s="770">
        <v>31</v>
      </c>
      <c r="BA175" s="770">
        <v>37</v>
      </c>
      <c r="BB175" s="770">
        <v>21</v>
      </c>
      <c r="BC175" s="31">
        <f>(BD175*BD$3-SUM(AZ175*AZ$3,BA175*BA$3,BB175*BB$3))/BC$3</f>
        <v>19.195652173913043</v>
      </c>
      <c r="BD175" s="851">
        <v>27</v>
      </c>
      <c r="BE175" s="770">
        <v>20</v>
      </c>
      <c r="BF175" s="770">
        <v>20</v>
      </c>
      <c r="BG175" s="770">
        <v>23</v>
      </c>
      <c r="BH175" s="31">
        <f>(BI175*BI$3-SUM(BE175*BE$3,BF175*BF$3,BG175*BG$3))/BH$3</f>
        <v>24.934782608695652</v>
      </c>
      <c r="BI175" s="851">
        <v>22</v>
      </c>
      <c r="BJ175" s="770">
        <v>21</v>
      </c>
      <c r="BK175" s="770">
        <v>23</v>
      </c>
      <c r="BL175" s="770">
        <v>21</v>
      </c>
      <c r="BM175" s="31">
        <f>(BN175*BN$3-SUM(BJ175*BJ$3,BK175*BK$3,BL175*BL$3))/BM$3</f>
        <v>19.021739130434781</v>
      </c>
      <c r="BN175" s="851">
        <v>21</v>
      </c>
      <c r="BO175" s="770">
        <v>19</v>
      </c>
      <c r="BP175" s="770">
        <v>30</v>
      </c>
      <c r="BQ175" s="770">
        <v>29</v>
      </c>
      <c r="BR175" s="770">
        <v>28</v>
      </c>
      <c r="BS175" s="851">
        <v>26</v>
      </c>
      <c r="BT175" s="776">
        <v>25</v>
      </c>
      <c r="BU175" s="770">
        <v>22</v>
      </c>
      <c r="BV175" s="770">
        <v>22</v>
      </c>
      <c r="BW175" s="770">
        <v>22</v>
      </c>
      <c r="BX175" s="825">
        <f>BX182/BX3*1000</f>
        <v>22.739726027397264</v>
      </c>
      <c r="BY175" s="770">
        <v>22</v>
      </c>
      <c r="BZ175" s="770">
        <v>22</v>
      </c>
      <c r="CA175" s="770">
        <v>22</v>
      </c>
      <c r="CB175" s="770">
        <v>22</v>
      </c>
      <c r="CC175" s="825">
        <f>CC182/CC3*1000</f>
        <v>22.000000000000004</v>
      </c>
      <c r="CD175" s="851">
        <v>30</v>
      </c>
      <c r="CE175" s="851">
        <v>30</v>
      </c>
      <c r="CF175" s="851">
        <v>30</v>
      </c>
      <c r="CG175" s="26"/>
    </row>
    <row r="176" spans="1:85" s="427" customFormat="1" hidden="1" outlineLevel="1" x14ac:dyDescent="0.3">
      <c r="A176" s="65"/>
      <c r="B176" s="66"/>
      <c r="C176" s="872"/>
      <c r="D176" s="872"/>
      <c r="E176" s="872"/>
      <c r="F176" s="872"/>
      <c r="G176" s="742"/>
      <c r="H176" s="742"/>
      <c r="I176" s="742"/>
      <c r="J176" s="742"/>
      <c r="K176" s="872"/>
      <c r="L176" s="742"/>
      <c r="M176" s="742"/>
      <c r="N176" s="742"/>
      <c r="O176" s="742"/>
      <c r="P176" s="872"/>
      <c r="Q176" s="742"/>
      <c r="R176" s="742"/>
      <c r="S176" s="742"/>
      <c r="T176" s="742"/>
      <c r="U176" s="872"/>
      <c r="V176" s="742"/>
      <c r="W176" s="742"/>
      <c r="X176" s="742"/>
      <c r="Y176" s="742"/>
      <c r="Z176" s="872"/>
      <c r="AA176" s="742"/>
      <c r="AB176" s="742"/>
      <c r="AC176" s="742"/>
      <c r="AD176" s="742"/>
      <c r="AE176" s="872"/>
      <c r="AF176" s="742"/>
      <c r="AG176" s="742"/>
      <c r="AH176" s="742"/>
      <c r="AI176" s="742"/>
      <c r="AJ176" s="872"/>
      <c r="AK176" s="742"/>
      <c r="AL176" s="742"/>
      <c r="AM176" s="742"/>
      <c r="AN176" s="742"/>
      <c r="AO176" s="872"/>
      <c r="AP176" s="742"/>
      <c r="AQ176" s="742"/>
      <c r="AR176" s="742"/>
      <c r="AS176" s="742"/>
      <c r="AT176" s="872"/>
      <c r="AU176" s="742"/>
      <c r="AV176" s="742"/>
      <c r="AW176" s="742"/>
      <c r="AX176" s="742"/>
      <c r="AY176" s="872"/>
      <c r="AZ176" s="742"/>
      <c r="BA176" s="742"/>
      <c r="BB176" s="742"/>
      <c r="BC176" s="742"/>
      <c r="BD176" s="872"/>
      <c r="BE176" s="742"/>
      <c r="BF176" s="742"/>
      <c r="BG176" s="742"/>
      <c r="BH176" s="742"/>
      <c r="BI176" s="872"/>
      <c r="BJ176" s="742"/>
      <c r="BK176" s="742"/>
      <c r="BL176" s="742"/>
      <c r="BM176" s="742"/>
      <c r="BN176" s="872"/>
      <c r="BO176" s="742"/>
      <c r="BP176" s="742"/>
      <c r="BQ176" s="742"/>
      <c r="BR176" s="742"/>
      <c r="BS176" s="872"/>
      <c r="BT176" s="743"/>
      <c r="BU176" s="742"/>
      <c r="BV176" s="742"/>
      <c r="BW176" s="742"/>
      <c r="BX176" s="872"/>
      <c r="BY176" s="742"/>
      <c r="BZ176" s="742"/>
      <c r="CA176" s="742"/>
      <c r="CB176" s="742"/>
      <c r="CC176" s="872"/>
      <c r="CD176" s="872"/>
      <c r="CE176" s="872"/>
      <c r="CF176" s="872"/>
      <c r="CG176" s="321"/>
    </row>
    <row r="177" spans="1:85" s="436" customFormat="1" hidden="1" outlineLevel="1" x14ac:dyDescent="0.3">
      <c r="A177" s="78" t="s">
        <v>98</v>
      </c>
      <c r="B177" s="96"/>
      <c r="C177" s="873">
        <f t="shared" ref="C177:W177" si="347">C171/C169</f>
        <v>0.80088987764182429</v>
      </c>
      <c r="D177" s="873">
        <f t="shared" si="347"/>
        <v>0.7865168539325843</v>
      </c>
      <c r="E177" s="873">
        <f t="shared" si="347"/>
        <v>0.75995316159250581</v>
      </c>
      <c r="F177" s="873">
        <f t="shared" si="347"/>
        <v>0.74909963985594241</v>
      </c>
      <c r="G177" s="483">
        <f t="shared" si="347"/>
        <v>1.0052083333333333</v>
      </c>
      <c r="H177" s="483">
        <f t="shared" si="347"/>
        <v>0.76904176904176902</v>
      </c>
      <c r="I177" s="483">
        <f t="shared" si="347"/>
        <v>0.76534296028880866</v>
      </c>
      <c r="J177" s="483">
        <f t="shared" si="347"/>
        <v>0.70080616981979749</v>
      </c>
      <c r="K177" s="873">
        <f t="shared" si="347"/>
        <v>0.79198966408268734</v>
      </c>
      <c r="L177" s="483">
        <f t="shared" si="347"/>
        <v>0.68004587155963303</v>
      </c>
      <c r="M177" s="483">
        <f t="shared" si="347"/>
        <v>0.80420499342969776</v>
      </c>
      <c r="N177" s="483">
        <f t="shared" si="347"/>
        <v>0.6829533116178067</v>
      </c>
      <c r="O177" s="483">
        <f t="shared" si="347"/>
        <v>0.67474555602457664</v>
      </c>
      <c r="P177" s="873">
        <f t="shared" si="347"/>
        <v>0.70608495981630315</v>
      </c>
      <c r="Q177" s="483">
        <f t="shared" si="347"/>
        <v>0.65577342047930287</v>
      </c>
      <c r="R177" s="483">
        <f t="shared" si="347"/>
        <v>0.68886462882096067</v>
      </c>
      <c r="S177" s="483">
        <f t="shared" si="347"/>
        <v>0.67622080679405516</v>
      </c>
      <c r="T177" s="483">
        <f t="shared" si="347"/>
        <v>0.66997341940383526</v>
      </c>
      <c r="U177" s="873">
        <f t="shared" si="347"/>
        <v>0.67207792207792205</v>
      </c>
      <c r="V177" s="483">
        <f t="shared" si="347"/>
        <v>0.64367816091954022</v>
      </c>
      <c r="W177" s="483">
        <f t="shared" si="347"/>
        <v>0.67643979057591619</v>
      </c>
      <c r="X177" s="483">
        <f t="shared" ref="X177:Z178" si="348">X171/X$169</f>
        <v>0.67319587628865984</v>
      </c>
      <c r="Y177" s="82">
        <f t="shared" si="348"/>
        <v>0.84466019417475713</v>
      </c>
      <c r="Z177" s="874">
        <f t="shared" si="348"/>
        <v>0.70111111111111113</v>
      </c>
      <c r="AA177" s="82">
        <f>AA171/AA169</f>
        <v>0.64035087719298245</v>
      </c>
      <c r="AB177" s="483">
        <f>AB171/AB169</f>
        <v>0.70366379310344829</v>
      </c>
      <c r="AC177" s="483">
        <f t="shared" ref="AC177:AE178" si="349">AC171/AC$169</f>
        <v>0.69709989258861438</v>
      </c>
      <c r="AD177" s="82">
        <f t="shared" si="349"/>
        <v>0.73550724637681164</v>
      </c>
      <c r="AE177" s="874">
        <f t="shared" si="349"/>
        <v>0.69367369589345174</v>
      </c>
      <c r="AF177" s="82">
        <f>AF171/AF169</f>
        <v>0.64623655913978495</v>
      </c>
      <c r="AG177" s="483">
        <f>AG171/AG169</f>
        <v>0.75</v>
      </c>
      <c r="AH177" s="483">
        <f t="shared" ref="AH177:AJ178" si="350">AH171/AH$169</f>
        <v>0.687431693989071</v>
      </c>
      <c r="AI177" s="82">
        <f t="shared" si="350"/>
        <v>0.67320261437908502</v>
      </c>
      <c r="AJ177" s="874">
        <f t="shared" si="350"/>
        <v>0.6928176795580111</v>
      </c>
      <c r="AK177" s="82">
        <f>AK171/AK169</f>
        <v>0.71893147502903598</v>
      </c>
      <c r="AL177" s="483">
        <f>AL171/AL169</f>
        <v>0.71770833333333328</v>
      </c>
      <c r="AM177" s="483">
        <f>AM171/AM169</f>
        <v>0.70766129032258063</v>
      </c>
      <c r="AN177" s="82">
        <f>AN171/AN$169</f>
        <v>0.67282051282051281</v>
      </c>
      <c r="AO177" s="874">
        <f>AO171/AO$169</f>
        <v>0.70432946145723341</v>
      </c>
      <c r="AP177" s="82">
        <f>AP171/AP169</f>
        <v>0.64766839378238339</v>
      </c>
      <c r="AQ177" s="483">
        <f>AQ171/AQ169</f>
        <v>0.86402753872633387</v>
      </c>
      <c r="AR177" s="483">
        <f>AR171/AR169</f>
        <v>0.73536585365853657</v>
      </c>
      <c r="AS177" s="82">
        <f>AS171/AS$169</f>
        <v>0.73697270471464016</v>
      </c>
      <c r="AT177" s="874">
        <f>AT171/AT$169</f>
        <v>0.73266078184110972</v>
      </c>
      <c r="AU177" s="82">
        <f>AU171/AU169</f>
        <v>0.69012485811577751</v>
      </c>
      <c r="AV177" s="483">
        <f>AV171/AV169</f>
        <v>0.70920502092050208</v>
      </c>
      <c r="AW177" s="483">
        <f>AW171/AW169</f>
        <v>0.74972067039106149</v>
      </c>
      <c r="AX177" s="82">
        <f>AX171/AX$169</f>
        <v>0.75170068027210879</v>
      </c>
      <c r="AY177" s="874">
        <f>AY171/AY$169</f>
        <v>0.72535991140642309</v>
      </c>
      <c r="AZ177" s="82">
        <f>AZ171/AZ169</f>
        <v>0.70382513661202184</v>
      </c>
      <c r="BA177" s="483">
        <f>BA171/BA169</f>
        <v>0.71963677639046542</v>
      </c>
      <c r="BB177" s="483">
        <f>BB171/BB169</f>
        <v>0.82028241335044927</v>
      </c>
      <c r="BC177" s="82">
        <f>BC171/BC$169</f>
        <v>0.72072072072072069</v>
      </c>
      <c r="BD177" s="874">
        <f>BD171/BD$169</f>
        <v>0.73872832369942198</v>
      </c>
      <c r="BE177" s="82">
        <f>BE171/BE169</f>
        <v>0.68426966292134828</v>
      </c>
      <c r="BF177" s="483">
        <f>BF171/BF169</f>
        <v>0.6995841995841996</v>
      </c>
      <c r="BG177" s="483">
        <f>BG171/BG169</f>
        <v>0.67845993756503642</v>
      </c>
      <c r="BH177" s="82">
        <f>BH171/BH$169</f>
        <v>0.68905742145178761</v>
      </c>
      <c r="BI177" s="874">
        <f>BI171/BI$169</f>
        <v>0.68736616702355458</v>
      </c>
      <c r="BJ177" s="82">
        <f>BJ171/BJ169</f>
        <v>0.72462077012835469</v>
      </c>
      <c r="BK177" s="483">
        <f>BK171/BK169</f>
        <v>0.79723502304147464</v>
      </c>
      <c r="BL177" s="483">
        <f>BL171/BL169</f>
        <v>0.70661157024793386</v>
      </c>
      <c r="BM177" s="82">
        <f>BM171/BM$169</f>
        <v>0.76544622425629294</v>
      </c>
      <c r="BN177" s="874">
        <f>BN171/BN$169</f>
        <v>0.74775784753363228</v>
      </c>
      <c r="BO177" s="82">
        <f>BO171/BO169</f>
        <v>0.67330677290836649</v>
      </c>
      <c r="BP177" s="483">
        <f>BP171/BP169</f>
        <v>0.68925459825750246</v>
      </c>
      <c r="BQ177" s="483">
        <f>BQ171/BQ169</f>
        <v>0.6431969552806851</v>
      </c>
      <c r="BR177" s="82">
        <f>BR171/BR$169</f>
        <v>0.67939698492462308</v>
      </c>
      <c r="BS177" s="874">
        <f>BS171/BS$169</f>
        <v>0.67156862745098034</v>
      </c>
      <c r="BT177" s="659">
        <f>BT171/BT169</f>
        <v>0.620253164556962</v>
      </c>
      <c r="BU177" s="777">
        <v>0.65</v>
      </c>
      <c r="BV177" s="777">
        <v>0.65</v>
      </c>
      <c r="BW177" s="777">
        <v>0.65</v>
      </c>
      <c r="BX177" s="873">
        <f>BX171/BX$169</f>
        <v>0.64251694200255827</v>
      </c>
      <c r="BY177" s="777">
        <v>0.65</v>
      </c>
      <c r="BZ177" s="777">
        <v>0.65</v>
      </c>
      <c r="CA177" s="777">
        <v>0.65</v>
      </c>
      <c r="CB177" s="777">
        <v>0.65</v>
      </c>
      <c r="CC177" s="873">
        <f>CC171/CC$169</f>
        <v>0.65</v>
      </c>
      <c r="CD177" s="875">
        <v>0.65</v>
      </c>
      <c r="CE177" s="875">
        <v>0.65</v>
      </c>
      <c r="CF177" s="875">
        <v>0.65</v>
      </c>
      <c r="CG177" s="82"/>
    </row>
    <row r="178" spans="1:85" s="436" customFormat="1" hidden="1" outlineLevel="1" x14ac:dyDescent="0.3">
      <c r="A178" s="78" t="s">
        <v>99</v>
      </c>
      <c r="B178" s="96"/>
      <c r="C178" s="873">
        <f t="shared" ref="C178:W178" si="351">C172/C$169</f>
        <v>0.75973303670745274</v>
      </c>
      <c r="D178" s="873">
        <f t="shared" si="351"/>
        <v>0.72921348314606738</v>
      </c>
      <c r="E178" s="873">
        <f t="shared" si="351"/>
        <v>0.71194379391100704</v>
      </c>
      <c r="F178" s="873">
        <f t="shared" si="351"/>
        <v>0.70468187274909966</v>
      </c>
      <c r="G178" s="483">
        <f t="shared" si="351"/>
        <v>0.90104166666666663</v>
      </c>
      <c r="H178" s="483">
        <f t="shared" si="351"/>
        <v>0.72113022113022118</v>
      </c>
      <c r="I178" s="483">
        <f t="shared" si="351"/>
        <v>0.67268351383874847</v>
      </c>
      <c r="J178" s="483">
        <f t="shared" si="351"/>
        <v>0.70046922577746717</v>
      </c>
      <c r="K178" s="873">
        <f t="shared" si="351"/>
        <v>0.73514211886304914</v>
      </c>
      <c r="L178" s="483">
        <f t="shared" si="351"/>
        <v>0.69380733944954132</v>
      </c>
      <c r="M178" s="483">
        <f t="shared" si="351"/>
        <v>0.75689881734559794</v>
      </c>
      <c r="N178" s="483">
        <f t="shared" si="351"/>
        <v>0.64386536373507053</v>
      </c>
      <c r="O178" s="483">
        <f t="shared" si="351"/>
        <v>0.65373340837671789</v>
      </c>
      <c r="P178" s="873">
        <f t="shared" si="351"/>
        <v>0.68312284730195183</v>
      </c>
      <c r="Q178" s="483">
        <f t="shared" si="351"/>
        <v>0.65795206971677556</v>
      </c>
      <c r="R178" s="483">
        <f t="shared" si="351"/>
        <v>0.65283842794759828</v>
      </c>
      <c r="S178" s="483">
        <f t="shared" si="351"/>
        <v>0.64649681528662417</v>
      </c>
      <c r="T178" s="483">
        <f t="shared" si="351"/>
        <v>0.6734027909625977</v>
      </c>
      <c r="U178" s="873">
        <f t="shared" si="351"/>
        <v>0.65692640692640691</v>
      </c>
      <c r="V178" s="483">
        <f t="shared" si="351"/>
        <v>0.62068965517241381</v>
      </c>
      <c r="W178" s="483">
        <f t="shared" si="351"/>
        <v>0.64607329842931938</v>
      </c>
      <c r="X178" s="483">
        <f t="shared" si="348"/>
        <v>0.60927835051546386</v>
      </c>
      <c r="Y178" s="82">
        <f t="shared" si="348"/>
        <v>0.73025085931375533</v>
      </c>
      <c r="Z178" s="874">
        <f t="shared" si="348"/>
        <v>0.64666666666666661</v>
      </c>
      <c r="AA178" s="82">
        <f>AA172/AA$169</f>
        <v>0.62390350877192979</v>
      </c>
      <c r="AB178" s="483">
        <f>AB172/AB$169</f>
        <v>0.62931034482758619</v>
      </c>
      <c r="AC178" s="483">
        <f t="shared" si="349"/>
        <v>0.61868958109559613</v>
      </c>
      <c r="AD178" s="82">
        <f t="shared" si="349"/>
        <v>0.67034198727974148</v>
      </c>
      <c r="AE178" s="874">
        <f t="shared" si="349"/>
        <v>0.63485016648168702</v>
      </c>
      <c r="AF178" s="82">
        <f>AF172/AF$169</f>
        <v>0.6279569892473118</v>
      </c>
      <c r="AG178" s="483">
        <f>AG172/AG$169</f>
        <v>0.70210280373831779</v>
      </c>
      <c r="AH178" s="483">
        <f t="shared" si="350"/>
        <v>0.66120218579234968</v>
      </c>
      <c r="AI178" s="82">
        <f t="shared" si="350"/>
        <v>0.64596949891067534</v>
      </c>
      <c r="AJ178" s="874">
        <f t="shared" si="350"/>
        <v>0.65303867403314919</v>
      </c>
      <c r="AK178" s="82">
        <f>AK172/AK$169</f>
        <v>0.66434378629500579</v>
      </c>
      <c r="AL178" s="483">
        <f>AL172/AL$169</f>
        <v>0.61354166666666665</v>
      </c>
      <c r="AM178" s="483">
        <f>AM172/AM$169</f>
        <v>0.59677419354838712</v>
      </c>
      <c r="AN178" s="82">
        <f>AN172/AN$169</f>
        <v>0.59366778149386845</v>
      </c>
      <c r="AO178" s="874">
        <f>AO172/AO$169</f>
        <v>0.61562829989440337</v>
      </c>
      <c r="AP178" s="82">
        <f>AP172/AP$169</f>
        <v>0.55336787564766843</v>
      </c>
      <c r="AQ178" s="483">
        <f>AQ172/AQ$169</f>
        <v>0.55938037865748713</v>
      </c>
      <c r="AR178" s="483">
        <f>AR172/AR$169</f>
        <v>0.48902439024390243</v>
      </c>
      <c r="AS178" s="82">
        <f>AS172/AS$169</f>
        <v>0.53121965692091921</v>
      </c>
      <c r="AT178" s="874">
        <f>AT172/AT$169</f>
        <v>0.53215636822194201</v>
      </c>
      <c r="AU178" s="82">
        <f>AU172/AU$169</f>
        <v>0.50170261066969357</v>
      </c>
      <c r="AV178" s="483">
        <f>AV172/AV$169</f>
        <v>0.5031380753138075</v>
      </c>
      <c r="AW178" s="483">
        <f>AW172/AW$169</f>
        <v>0.5776536312849162</v>
      </c>
      <c r="AX178" s="82">
        <f>AX172/AX$169</f>
        <v>0.56128610864635708</v>
      </c>
      <c r="AY178" s="874">
        <f>AY172/AY$169</f>
        <v>0.53599114064230347</v>
      </c>
      <c r="AZ178" s="82">
        <f>AZ172/AZ$169</f>
        <v>0.6262295081967213</v>
      </c>
      <c r="BA178" s="483">
        <f>BA172/BA$169</f>
        <v>0.65380249716231553</v>
      </c>
      <c r="BB178" s="483">
        <f>BB172/BB$169</f>
        <v>0.78177150192554556</v>
      </c>
      <c r="BC178" s="82">
        <f>BC172/BC$169</f>
        <v>0.6711711711711712</v>
      </c>
      <c r="BD178" s="874">
        <f>BD172/BD$169</f>
        <v>0.68092485549132953</v>
      </c>
      <c r="BE178" s="82">
        <f>BE172/BE$169</f>
        <v>0.72247191011235956</v>
      </c>
      <c r="BF178" s="483">
        <f>BF172/BF$169</f>
        <v>0.64656964656964655</v>
      </c>
      <c r="BG178" s="483">
        <f>BG172/BG$169</f>
        <v>0.67741935483870963</v>
      </c>
      <c r="BH178" s="82">
        <f>BH172/BH$169</f>
        <v>0.71722643553629473</v>
      </c>
      <c r="BI178" s="874">
        <f>BI172/BI$169</f>
        <v>0.69057815845824411</v>
      </c>
      <c r="BJ178" s="82">
        <f>BJ172/BJ$169</f>
        <v>0.73162193698949829</v>
      </c>
      <c r="BK178" s="483">
        <f>BK172/BK$169</f>
        <v>0.73156682027649766</v>
      </c>
      <c r="BL178" s="483">
        <f>BL172/BL$169</f>
        <v>0.64876033057851235</v>
      </c>
      <c r="BM178" s="82">
        <f>BM172/BM$169</f>
        <v>0.67276887871853552</v>
      </c>
      <c r="BN178" s="874">
        <f>BN172/BN$169</f>
        <v>0.69394618834080712</v>
      </c>
      <c r="BO178" s="82">
        <f>BO172/BO$169</f>
        <v>0.61454183266932272</v>
      </c>
      <c r="BP178" s="483">
        <f>BP172/BP$169</f>
        <v>0.64762826718296229</v>
      </c>
      <c r="BQ178" s="483">
        <f>BQ172/BQ$169</f>
        <v>0.59657469077069458</v>
      </c>
      <c r="BR178" s="82">
        <f>BR172/BR$169</f>
        <v>0.62010050251256277</v>
      </c>
      <c r="BS178" s="874">
        <f>BS172/BS$169</f>
        <v>0.61960784313725492</v>
      </c>
      <c r="BT178" s="659">
        <f>BT172/BT$169</f>
        <v>0.61148977604673804</v>
      </c>
      <c r="BU178" s="777">
        <v>0.65</v>
      </c>
      <c r="BV178" s="777">
        <v>0.65</v>
      </c>
      <c r="BW178" s="777">
        <v>0.65</v>
      </c>
      <c r="BX178" s="873">
        <f>BX172/BX$169</f>
        <v>0.64031244046485036</v>
      </c>
      <c r="BY178" s="777">
        <v>0.65</v>
      </c>
      <c r="BZ178" s="777">
        <v>0.65</v>
      </c>
      <c r="CA178" s="777">
        <v>0.65</v>
      </c>
      <c r="CB178" s="777">
        <v>0.65</v>
      </c>
      <c r="CC178" s="873">
        <f>CC172/CC$169</f>
        <v>0.65</v>
      </c>
      <c r="CD178" s="875">
        <v>0.7</v>
      </c>
      <c r="CE178" s="875">
        <v>0.7</v>
      </c>
      <c r="CF178" s="875">
        <v>0.7</v>
      </c>
      <c r="CG178" s="82"/>
    </row>
    <row r="179" spans="1:85" s="427" customFormat="1" hidden="1" outlineLevel="1" x14ac:dyDescent="0.3">
      <c r="A179" s="65"/>
      <c r="B179" s="66"/>
      <c r="C179" s="872"/>
      <c r="D179" s="872"/>
      <c r="E179" s="872"/>
      <c r="F179" s="872"/>
      <c r="G179" s="742"/>
      <c r="H179" s="742"/>
      <c r="I179" s="742"/>
      <c r="J179" s="742"/>
      <c r="K179" s="872"/>
      <c r="L179" s="742"/>
      <c r="M179" s="742"/>
      <c r="N179" s="742"/>
      <c r="O179" s="742"/>
      <c r="P179" s="872"/>
      <c r="Q179" s="742"/>
      <c r="R179" s="742"/>
      <c r="S179" s="742"/>
      <c r="T179" s="742"/>
      <c r="U179" s="872"/>
      <c r="V179" s="742"/>
      <c r="W179" s="742"/>
      <c r="X179" s="742"/>
      <c r="Y179" s="742"/>
      <c r="Z179" s="872"/>
      <c r="AA179" s="742"/>
      <c r="AB179" s="742"/>
      <c r="AC179" s="742"/>
      <c r="AD179" s="742"/>
      <c r="AE179" s="872"/>
      <c r="AF179" s="742"/>
      <c r="AG179" s="742"/>
      <c r="AH179" s="742"/>
      <c r="AI179" s="742"/>
      <c r="AJ179" s="872"/>
      <c r="AK179" s="742"/>
      <c r="AL179" s="742"/>
      <c r="AM179" s="742"/>
      <c r="AN179" s="742"/>
      <c r="AO179" s="872"/>
      <c r="AP179" s="742"/>
      <c r="AQ179" s="742"/>
      <c r="AR179" s="742"/>
      <c r="AS179" s="742"/>
      <c r="AT179" s="872"/>
      <c r="AU179" s="742"/>
      <c r="AV179" s="742"/>
      <c r="AW179" s="742"/>
      <c r="AX179" s="742"/>
      <c r="AY179" s="872"/>
      <c r="AZ179" s="742"/>
      <c r="BA179" s="742"/>
      <c r="BB179" s="742"/>
      <c r="BC179" s="742"/>
      <c r="BD179" s="872"/>
      <c r="BE179" s="742"/>
      <c r="BF179" s="742"/>
      <c r="BG179" s="742"/>
      <c r="BH179" s="742"/>
      <c r="BI179" s="872"/>
      <c r="BJ179" s="742"/>
      <c r="BK179" s="742"/>
      <c r="BL179" s="742"/>
      <c r="BM179" s="742"/>
      <c r="BN179" s="872"/>
      <c r="BO179" s="742"/>
      <c r="BP179" s="742"/>
      <c r="BQ179" s="742"/>
      <c r="BR179" s="742"/>
      <c r="BS179" s="872"/>
      <c r="BT179" s="743"/>
      <c r="BU179" s="742"/>
      <c r="BV179" s="742"/>
      <c r="BW179" s="742"/>
      <c r="BX179" s="872"/>
      <c r="BY179" s="742"/>
      <c r="BZ179" s="742"/>
      <c r="CA179" s="742"/>
      <c r="CB179" s="742"/>
      <c r="CC179" s="872"/>
      <c r="CD179" s="872"/>
      <c r="CE179" s="872"/>
      <c r="CF179" s="872"/>
      <c r="CG179" s="321"/>
    </row>
    <row r="180" spans="1:85" s="428" customFormat="1" hidden="1" outlineLevel="1" x14ac:dyDescent="0.3">
      <c r="A180" s="43" t="s">
        <v>100</v>
      </c>
      <c r="B180" s="64"/>
      <c r="C180" s="821">
        <f t="shared" ref="C180:I181" si="352">C171*C$3/1000</f>
        <v>262.8</v>
      </c>
      <c r="D180" s="821">
        <f t="shared" si="352"/>
        <v>255.5</v>
      </c>
      <c r="E180" s="821">
        <f t="shared" si="352"/>
        <v>236.88499999999999</v>
      </c>
      <c r="F180" s="821">
        <f t="shared" si="352"/>
        <v>228.38399999999999</v>
      </c>
      <c r="G180" s="37">
        <f t="shared" si="352"/>
        <v>52.11</v>
      </c>
      <c r="H180" s="37">
        <f t="shared" si="352"/>
        <v>56.966000000000001</v>
      </c>
      <c r="I180" s="37">
        <f t="shared" si="352"/>
        <v>58.512</v>
      </c>
      <c r="J180" s="37">
        <f>0+(K180-SUM(G180,H180,I180))</f>
        <v>56.157000000000011</v>
      </c>
      <c r="K180" s="821">
        <f t="shared" ref="K180:N181" si="353">K171*K$3/1000</f>
        <v>223.745</v>
      </c>
      <c r="L180" s="37">
        <f t="shared" si="353"/>
        <v>53.37</v>
      </c>
      <c r="M180" s="37">
        <f t="shared" si="353"/>
        <v>55.692</v>
      </c>
      <c r="N180" s="37">
        <f t="shared" si="353"/>
        <v>57.868000000000002</v>
      </c>
      <c r="O180" s="37">
        <f>P180-SUM(L180,M180,N180)</f>
        <v>57.544999999999987</v>
      </c>
      <c r="P180" s="821">
        <f t="shared" ref="P180:S181" si="354">P171*P$3/1000</f>
        <v>224.47499999999999</v>
      </c>
      <c r="Q180" s="37">
        <f t="shared" si="354"/>
        <v>54.18</v>
      </c>
      <c r="R180" s="37">
        <f t="shared" si="354"/>
        <v>57.420999999999999</v>
      </c>
      <c r="S180" s="37">
        <f t="shared" si="354"/>
        <v>58.603999999999999</v>
      </c>
      <c r="T180" s="37">
        <f>U180-SUM(Q180,R180,S180)</f>
        <v>56.460000000000008</v>
      </c>
      <c r="U180" s="821">
        <f t="shared" ref="U180:X181" si="355">U171*U$3/1000</f>
        <v>226.66499999999999</v>
      </c>
      <c r="V180" s="37">
        <f t="shared" si="355"/>
        <v>56.055999999999997</v>
      </c>
      <c r="W180" s="37">
        <f t="shared" si="355"/>
        <v>58.786000000000001</v>
      </c>
      <c r="X180" s="37">
        <f t="shared" si="355"/>
        <v>60.076000000000001</v>
      </c>
      <c r="Y180" s="37">
        <f>Z180-SUM(V180,W180,X180)</f>
        <v>56.027999999999992</v>
      </c>
      <c r="Z180" s="852">
        <f t="shared" ref="Z180:AC181" si="356">Z171*Z$3/1000</f>
        <v>230.946</v>
      </c>
      <c r="AA180" s="22">
        <f t="shared" si="356"/>
        <v>52.56</v>
      </c>
      <c r="AB180" s="37">
        <f t="shared" si="356"/>
        <v>59.423000000000002</v>
      </c>
      <c r="AC180" s="37">
        <f t="shared" si="356"/>
        <v>59.707999999999998</v>
      </c>
      <c r="AD180" s="37">
        <f>AE180-SUM(AA180,AB180,AC180)</f>
        <v>56.433999999999997</v>
      </c>
      <c r="AE180" s="852">
        <f t="shared" ref="AE180:AH181" si="357">AE171*AE$3/1000</f>
        <v>228.125</v>
      </c>
      <c r="AF180" s="22">
        <f t="shared" si="357"/>
        <v>54.09</v>
      </c>
      <c r="AG180" s="37">
        <f t="shared" si="357"/>
        <v>58.421999999999997</v>
      </c>
      <c r="AH180" s="37">
        <f t="shared" si="357"/>
        <v>57.868000000000002</v>
      </c>
      <c r="AI180" s="37">
        <f>AJ180-SUM(AF180,AG180,AH180)</f>
        <v>58.474999999999994</v>
      </c>
      <c r="AJ180" s="852">
        <f t="shared" ref="AJ180:AM181" si="358">AJ171*AJ$3/1000</f>
        <v>228.85499999999999</v>
      </c>
      <c r="AK180" s="22">
        <f t="shared" si="358"/>
        <v>55.71</v>
      </c>
      <c r="AL180" s="37">
        <f t="shared" si="358"/>
        <v>62.698999999999998</v>
      </c>
      <c r="AM180" s="37">
        <f t="shared" si="358"/>
        <v>64.584000000000003</v>
      </c>
      <c r="AN180" s="37">
        <f>AO180-SUM(AK180,AL180,AM180)</f>
        <v>60.462000000000018</v>
      </c>
      <c r="AO180" s="852">
        <f t="shared" ref="AO180:AQ181" si="359">AO171*AO$3/1000</f>
        <v>243.45500000000001</v>
      </c>
      <c r="AP180" s="22">
        <f t="shared" si="359"/>
        <v>56.875</v>
      </c>
      <c r="AQ180" s="37">
        <f t="shared" si="359"/>
        <v>45.682000000000002</v>
      </c>
      <c r="AR180" s="37">
        <f>AR171*AR$3/1000</f>
        <v>55.475999999999999</v>
      </c>
      <c r="AS180" s="37">
        <f>AT180-SUM(AP180,AQ180,AR180)</f>
        <v>54.612999999999971</v>
      </c>
      <c r="AT180" s="852">
        <f t="shared" ref="AT180:AU180" si="360">AT171*AT$3/1000</f>
        <v>212.64599999999999</v>
      </c>
      <c r="AU180" s="22">
        <f t="shared" si="360"/>
        <v>54.72</v>
      </c>
      <c r="AV180" s="37">
        <f t="shared" ref="AV180:AW181" si="361">AV171*AV$3/1000</f>
        <v>61.698</v>
      </c>
      <c r="AW180" s="37">
        <f t="shared" si="361"/>
        <v>61.731999999999999</v>
      </c>
      <c r="AX180" s="37">
        <f>AY180-SUM(AU180,AV180,AW180)</f>
        <v>60.924999999999983</v>
      </c>
      <c r="AY180" s="852">
        <f t="shared" ref="AY180:AZ181" si="362">AY171*AY$3/1000</f>
        <v>239.07499999999999</v>
      </c>
      <c r="AZ180" s="22">
        <f t="shared" si="362"/>
        <v>57.96</v>
      </c>
      <c r="BA180" s="37">
        <f>BA171*BA$3/1000</f>
        <v>57.694000000000003</v>
      </c>
      <c r="BB180" s="37">
        <f>BB171*BB$3/1000</f>
        <v>58.787999999999997</v>
      </c>
      <c r="BC180" s="37">
        <f>BD180-SUM(AZ180,BA180,BB180)</f>
        <v>58.793000000000006</v>
      </c>
      <c r="BD180" s="852">
        <f t="shared" ref="BD180:BD181" si="363">BD171*BD$3/1000</f>
        <v>233.23500000000001</v>
      </c>
      <c r="BE180" s="22">
        <f t="shared" ref="BE180:BG181" si="364">BE171*BE$3/1000</f>
        <v>54.81</v>
      </c>
      <c r="BF180" s="37">
        <f t="shared" si="364"/>
        <v>61.243000000000002</v>
      </c>
      <c r="BG180" s="37">
        <f t="shared" si="364"/>
        <v>59.984000000000002</v>
      </c>
      <c r="BH180" s="37">
        <f>BI180-SUM(BE180,BF180,BG180)</f>
        <v>58.293000000000006</v>
      </c>
      <c r="BI180" s="852">
        <f t="shared" ref="BI180:BI181" si="365">BI171*BI$3/1000</f>
        <v>234.33</v>
      </c>
      <c r="BJ180" s="22">
        <f t="shared" ref="BJ180:BL181" si="366">BJ171*BJ$3/1000</f>
        <v>56.511000000000003</v>
      </c>
      <c r="BK180" s="37">
        <f t="shared" si="366"/>
        <v>62.972000000000001</v>
      </c>
      <c r="BL180" s="37">
        <f t="shared" si="366"/>
        <v>62.927999999999997</v>
      </c>
      <c r="BM180" s="37">
        <f>BN180-SUM(BJ180,BK180,BL180)</f>
        <v>61.711000000000013</v>
      </c>
      <c r="BN180" s="852">
        <f t="shared" ref="BN180:BN181" si="367">BN171*BN$3/1000</f>
        <v>244.12200000000001</v>
      </c>
      <c r="BO180" s="22">
        <f t="shared" ref="BO180:BQ181" si="368">BO171*BO$3/1000</f>
        <v>60.84</v>
      </c>
      <c r="BP180" s="37">
        <f t="shared" si="368"/>
        <v>64.792000000000002</v>
      </c>
      <c r="BQ180" s="37">
        <f t="shared" si="368"/>
        <v>62.192</v>
      </c>
      <c r="BR180" s="37">
        <f>BS180-SUM(BO180,BP180,BQ180)</f>
        <v>62.200999999999993</v>
      </c>
      <c r="BS180" s="852">
        <f t="shared" ref="BS180:BW181" si="369">BS171*BS$3/1000</f>
        <v>250.02500000000001</v>
      </c>
      <c r="BT180" s="648">
        <f>BT171*BT$3/1000</f>
        <v>57.33</v>
      </c>
      <c r="BU180" s="37">
        <f t="shared" si="369"/>
        <v>59.15</v>
      </c>
      <c r="BV180" s="37">
        <f t="shared" si="369"/>
        <v>59.8</v>
      </c>
      <c r="BW180" s="37">
        <f t="shared" si="369"/>
        <v>59.8</v>
      </c>
      <c r="BX180" s="821">
        <f>SUM(BT180,BU180,BV180,BW180)</f>
        <v>236.07999999999998</v>
      </c>
      <c r="BY180" s="37">
        <f t="shared" ref="BY180:CB181" si="370">BY171*BY$3/1000</f>
        <v>58.5</v>
      </c>
      <c r="BZ180" s="37">
        <f t="shared" si="370"/>
        <v>59.15</v>
      </c>
      <c r="CA180" s="37">
        <f t="shared" si="370"/>
        <v>59.8</v>
      </c>
      <c r="CB180" s="37">
        <f t="shared" si="370"/>
        <v>59.8</v>
      </c>
      <c r="CC180" s="821">
        <f>SUM(BY180,BZ180,CA180,CB180)</f>
        <v>237.25</v>
      </c>
      <c r="CD180" s="821">
        <f>CD171*CD3/1000</f>
        <v>237.9</v>
      </c>
      <c r="CE180" s="821">
        <f>CE171*CE3/1000</f>
        <v>237.25</v>
      </c>
      <c r="CF180" s="821">
        <f>CF171*CF3/1000</f>
        <v>237.25</v>
      </c>
      <c r="CG180" s="22"/>
    </row>
    <row r="181" spans="1:85" s="428" customFormat="1" hidden="1" outlineLevel="1" x14ac:dyDescent="0.3">
      <c r="A181" s="43" t="s">
        <v>101</v>
      </c>
      <c r="B181" s="64"/>
      <c r="C181" s="821">
        <f t="shared" si="352"/>
        <v>249.29499999999999</v>
      </c>
      <c r="D181" s="821">
        <f t="shared" si="352"/>
        <v>236.88499999999999</v>
      </c>
      <c r="E181" s="821">
        <f t="shared" si="352"/>
        <v>221.92</v>
      </c>
      <c r="F181" s="821">
        <f t="shared" si="352"/>
        <v>214.84200000000001</v>
      </c>
      <c r="G181" s="37">
        <f t="shared" si="352"/>
        <v>46.71</v>
      </c>
      <c r="H181" s="37">
        <f t="shared" si="352"/>
        <v>53.417000000000002</v>
      </c>
      <c r="I181" s="37">
        <f t="shared" si="352"/>
        <v>51.427999999999997</v>
      </c>
      <c r="J181" s="37">
        <f>0+(K181-SUM(G181,H181,I181))</f>
        <v>56.129999999999995</v>
      </c>
      <c r="K181" s="821">
        <f t="shared" si="353"/>
        <v>207.685</v>
      </c>
      <c r="L181" s="37">
        <f t="shared" si="353"/>
        <v>54.45</v>
      </c>
      <c r="M181" s="37">
        <f t="shared" si="353"/>
        <v>52.415999999999997</v>
      </c>
      <c r="N181" s="37">
        <f t="shared" si="353"/>
        <v>54.555999999999997</v>
      </c>
      <c r="O181" s="37">
        <f>P181-SUM(L181,M181,N181)</f>
        <v>55.753000000000014</v>
      </c>
      <c r="P181" s="821">
        <f t="shared" si="354"/>
        <v>217.17500000000001</v>
      </c>
      <c r="Q181" s="37">
        <f t="shared" si="354"/>
        <v>54.36</v>
      </c>
      <c r="R181" s="37">
        <f t="shared" si="354"/>
        <v>54.417999999999999</v>
      </c>
      <c r="S181" s="37">
        <f t="shared" si="354"/>
        <v>56.027999999999999</v>
      </c>
      <c r="T181" s="37">
        <f>U181-SUM(Q181,R181,S181)</f>
        <v>56.749000000000024</v>
      </c>
      <c r="U181" s="821">
        <f t="shared" si="355"/>
        <v>221.55500000000001</v>
      </c>
      <c r="V181" s="37">
        <f t="shared" si="355"/>
        <v>54.054000000000002</v>
      </c>
      <c r="W181" s="37">
        <f t="shared" si="355"/>
        <v>56.146999999999998</v>
      </c>
      <c r="X181" s="37">
        <f t="shared" si="355"/>
        <v>54.372</v>
      </c>
      <c r="Y181" s="37">
        <f>Z181-SUM(V181,W181,X181)</f>
        <v>48.439000000000021</v>
      </c>
      <c r="Z181" s="852">
        <f t="shared" si="356"/>
        <v>213.012</v>
      </c>
      <c r="AA181" s="22">
        <f t="shared" si="356"/>
        <v>51.21</v>
      </c>
      <c r="AB181" s="37">
        <f t="shared" si="356"/>
        <v>53.143999999999998</v>
      </c>
      <c r="AC181" s="37">
        <f t="shared" si="356"/>
        <v>52.991999999999997</v>
      </c>
      <c r="AD181" s="37">
        <f>AE181-SUM(AA181,AB181,AC181)</f>
        <v>51.433999999999997</v>
      </c>
      <c r="AE181" s="852">
        <f t="shared" si="357"/>
        <v>208.78</v>
      </c>
      <c r="AF181" s="22">
        <f t="shared" si="357"/>
        <v>52.56</v>
      </c>
      <c r="AG181" s="37">
        <f t="shared" si="357"/>
        <v>54.691000000000003</v>
      </c>
      <c r="AH181" s="37">
        <f t="shared" si="357"/>
        <v>55.66</v>
      </c>
      <c r="AI181" s="37">
        <f>AJ181-SUM(AF181,AG181,AH181)</f>
        <v>52.804000000000002</v>
      </c>
      <c r="AJ181" s="852">
        <f t="shared" si="358"/>
        <v>215.715</v>
      </c>
      <c r="AK181" s="22">
        <f t="shared" si="358"/>
        <v>51.48</v>
      </c>
      <c r="AL181" s="37">
        <f t="shared" si="358"/>
        <v>53.598999999999997</v>
      </c>
      <c r="AM181" s="37">
        <f t="shared" si="358"/>
        <v>54.463999999999999</v>
      </c>
      <c r="AN181" s="37">
        <f>AO181-SUM(AK181,AL181,AM181)</f>
        <v>53.251999999999981</v>
      </c>
      <c r="AO181" s="852">
        <f t="shared" si="359"/>
        <v>212.79499999999999</v>
      </c>
      <c r="AP181" s="22">
        <f t="shared" si="359"/>
        <v>48.594000000000001</v>
      </c>
      <c r="AQ181" s="37">
        <f t="shared" si="359"/>
        <v>29.574999999999999</v>
      </c>
      <c r="AR181" s="37">
        <f>AR172*AR$3/1000</f>
        <v>36.892000000000003</v>
      </c>
      <c r="AS181" s="37">
        <f>AT181-SUM(AP181,AQ181,AR181)</f>
        <v>39.390999999999991</v>
      </c>
      <c r="AT181" s="852">
        <f t="shared" ref="AT181:AU181" si="371">AT172*AT$3/1000</f>
        <v>154.452</v>
      </c>
      <c r="AU181" s="22">
        <f t="shared" si="371"/>
        <v>39.78</v>
      </c>
      <c r="AV181" s="37">
        <f t="shared" si="361"/>
        <v>43.771000000000001</v>
      </c>
      <c r="AW181" s="37">
        <f t="shared" si="361"/>
        <v>47.564</v>
      </c>
      <c r="AX181" s="37">
        <f>AY181-SUM(AU181,AV181,AW181)</f>
        <v>45.544999999999987</v>
      </c>
      <c r="AY181" s="852">
        <f t="shared" si="362"/>
        <v>176.66</v>
      </c>
      <c r="AZ181" s="22">
        <f t="shared" si="362"/>
        <v>51.57</v>
      </c>
      <c r="BA181" s="37">
        <f>BA172*BA$3/1000</f>
        <v>52.415999999999997</v>
      </c>
      <c r="BB181" s="37">
        <f>BB172*BB$3/1000</f>
        <v>56.027999999999999</v>
      </c>
      <c r="BC181" s="37">
        <f>BD181-SUM(AZ181,BA181,BB181)</f>
        <v>54.971000000000032</v>
      </c>
      <c r="BD181" s="852">
        <f t="shared" si="363"/>
        <v>214.98500000000001</v>
      </c>
      <c r="BE181" s="22">
        <f t="shared" si="364"/>
        <v>57.87</v>
      </c>
      <c r="BF181" s="37">
        <f t="shared" si="364"/>
        <v>56.601999999999997</v>
      </c>
      <c r="BG181" s="37">
        <f t="shared" si="364"/>
        <v>59.892000000000003</v>
      </c>
      <c r="BH181" s="37">
        <f>BI181-SUM(BE181,BF181,BG181)</f>
        <v>61.061000000000007</v>
      </c>
      <c r="BI181" s="852">
        <f t="shared" si="365"/>
        <v>235.42500000000001</v>
      </c>
      <c r="BJ181" s="22">
        <f t="shared" si="366"/>
        <v>57.057000000000002</v>
      </c>
      <c r="BK181" s="37">
        <f t="shared" si="366"/>
        <v>57.784999999999997</v>
      </c>
      <c r="BL181" s="37">
        <f t="shared" si="366"/>
        <v>57.776000000000003</v>
      </c>
      <c r="BM181" s="37">
        <f>BN181-SUM(BJ181,BK181,BL181)</f>
        <v>53.936000000000007</v>
      </c>
      <c r="BN181" s="852">
        <f t="shared" si="367"/>
        <v>226.554</v>
      </c>
      <c r="BO181" s="22">
        <f t="shared" si="368"/>
        <v>55.53</v>
      </c>
      <c r="BP181" s="37">
        <f t="shared" si="368"/>
        <v>60.878999999999998</v>
      </c>
      <c r="BQ181" s="37">
        <f t="shared" si="368"/>
        <v>57.683999999999997</v>
      </c>
      <c r="BR181" s="37">
        <f>BS181-SUM(BO181,BP181,BQ181)</f>
        <v>56.587000000000018</v>
      </c>
      <c r="BS181" s="852">
        <f t="shared" si="369"/>
        <v>230.68</v>
      </c>
      <c r="BT181" s="648">
        <f>BT172*BT$3/1000</f>
        <v>56.52</v>
      </c>
      <c r="BU181" s="37">
        <f t="shared" si="369"/>
        <v>59.15</v>
      </c>
      <c r="BV181" s="37">
        <f t="shared" si="369"/>
        <v>59.8</v>
      </c>
      <c r="BW181" s="37">
        <f t="shared" si="369"/>
        <v>59.8</v>
      </c>
      <c r="BX181" s="821">
        <f>SUM(BT181,BU181,BV181,BW181)</f>
        <v>235.26999999999998</v>
      </c>
      <c r="BY181" s="37">
        <f t="shared" si="370"/>
        <v>58.5</v>
      </c>
      <c r="BZ181" s="37">
        <f t="shared" si="370"/>
        <v>59.15</v>
      </c>
      <c r="CA181" s="37">
        <f t="shared" si="370"/>
        <v>59.8</v>
      </c>
      <c r="CB181" s="37">
        <f t="shared" si="370"/>
        <v>59.8</v>
      </c>
      <c r="CC181" s="821">
        <f>SUM(BY181,BZ181,CA181,CB181)</f>
        <v>237.25</v>
      </c>
      <c r="CD181" s="821">
        <f>CD172*CD3/1000</f>
        <v>256.2</v>
      </c>
      <c r="CE181" s="821">
        <f>CE172*CE3/1000</f>
        <v>255.5</v>
      </c>
      <c r="CF181" s="821">
        <f>CF172*CF3/1000</f>
        <v>255.5</v>
      </c>
      <c r="CG181" s="22"/>
    </row>
    <row r="182" spans="1:85" s="428" customFormat="1" hidden="1" outlineLevel="1" x14ac:dyDescent="0.3">
      <c r="A182" s="43" t="s">
        <v>102</v>
      </c>
      <c r="B182" s="64"/>
      <c r="C182" s="821">
        <f t="shared" ref="C182:I182" si="372">C175*C$3/1000</f>
        <v>52.56</v>
      </c>
      <c r="D182" s="821">
        <f t="shared" si="372"/>
        <v>50.734999999999999</v>
      </c>
      <c r="E182" s="821">
        <f t="shared" si="372"/>
        <v>53.29</v>
      </c>
      <c r="F182" s="821">
        <f t="shared" si="372"/>
        <v>51.606000000000002</v>
      </c>
      <c r="G182" s="37">
        <f t="shared" si="372"/>
        <v>10.8</v>
      </c>
      <c r="H182" s="37">
        <f t="shared" si="372"/>
        <v>11.83</v>
      </c>
      <c r="I182" s="37">
        <f t="shared" si="372"/>
        <v>11.132</v>
      </c>
      <c r="J182" s="37">
        <f>K182-SUM(G182,H182,I182)</f>
        <v>11.863</v>
      </c>
      <c r="K182" s="821">
        <f>K175*K$3/1000</f>
        <v>45.625</v>
      </c>
      <c r="L182" s="37">
        <f>L175*L$3/1000</f>
        <v>10.26</v>
      </c>
      <c r="M182" s="37">
        <f>M175*M$3/1000</f>
        <v>10.555999999999999</v>
      </c>
      <c r="N182" s="37">
        <f>N175*N$3/1000</f>
        <v>11.04</v>
      </c>
      <c r="O182" s="37">
        <f>P182-SUM(L182,M182,N182)</f>
        <v>12.309000000000001</v>
      </c>
      <c r="P182" s="821">
        <f>P175*P$3/1000</f>
        <v>44.164999999999999</v>
      </c>
      <c r="Q182" s="37">
        <f>Q175*Q$3/1000</f>
        <v>9.5399999999999991</v>
      </c>
      <c r="R182" s="37">
        <f>R175*R$3/1000</f>
        <v>12.375999999999999</v>
      </c>
      <c r="S182" s="37">
        <f>S175*S$3/1000</f>
        <v>12.696</v>
      </c>
      <c r="T182" s="37">
        <f>U182-SUM(Q182,R182,S182)</f>
        <v>11.743000000000002</v>
      </c>
      <c r="U182" s="821">
        <f>U175*U$3/1000</f>
        <v>46.354999999999997</v>
      </c>
      <c r="V182" s="37">
        <f>V175*V$3/1000</f>
        <v>9.5549999999999997</v>
      </c>
      <c r="W182" s="37">
        <f>W175*W$3/1000</f>
        <v>10.465</v>
      </c>
      <c r="X182" s="37">
        <f>X175*X$3/1000</f>
        <v>11.683999999999999</v>
      </c>
      <c r="Y182" s="37">
        <f>Z182-SUM(V182,W182,X182)</f>
        <v>10.386000000000003</v>
      </c>
      <c r="Z182" s="852">
        <f>Z175*Z$3/1000</f>
        <v>42.09</v>
      </c>
      <c r="AA182" s="22">
        <f>AA175*AA$3/1000</f>
        <v>9.5399999999999991</v>
      </c>
      <c r="AB182" s="37">
        <f>AB175*AB$3/1000</f>
        <v>10.738</v>
      </c>
      <c r="AC182" s="37">
        <f>AC175*AC$3/1000</f>
        <v>9.1999999999999993</v>
      </c>
      <c r="AD182" s="37">
        <f>AE182-SUM(AA182,AB182,AC182)</f>
        <v>10.306999999999999</v>
      </c>
      <c r="AE182" s="852">
        <f>AE175*AE$3/1000</f>
        <v>39.784999999999997</v>
      </c>
      <c r="AF182" s="22">
        <f>AF175*AF$3/1000</f>
        <v>4.95</v>
      </c>
      <c r="AG182" s="37">
        <f>AG175*AG$3/1000</f>
        <v>6.6429999999999998</v>
      </c>
      <c r="AH182" s="37">
        <f>AH175*AH$3/1000</f>
        <v>6.8079999999999998</v>
      </c>
      <c r="AI182" s="37">
        <f>AJ182-SUM(AF182,AG182,AH182)</f>
        <v>8.6090000000000018</v>
      </c>
      <c r="AJ182" s="852">
        <f>AJ175*AJ$3/1000</f>
        <v>27.01</v>
      </c>
      <c r="AK182" s="22">
        <f>AK175*AK$3/1000</f>
        <v>8.19</v>
      </c>
      <c r="AL182" s="37">
        <f>AL175*AL$3/1000</f>
        <v>8.0990000000000002</v>
      </c>
      <c r="AM182" s="37">
        <f>AM175*AM$3/1000</f>
        <v>9.66</v>
      </c>
      <c r="AN182" s="37">
        <f>AO182-SUM(AK182,AL182,AM182)</f>
        <v>10.916</v>
      </c>
      <c r="AO182" s="852">
        <f>AO175*AO$3/1000</f>
        <v>36.865000000000002</v>
      </c>
      <c r="AP182" s="22">
        <f>AP175*AP$3/1000</f>
        <v>2.4569999999999999</v>
      </c>
      <c r="AQ182" s="37">
        <f>AQ175*AQ$3/1000</f>
        <v>2.093</v>
      </c>
      <c r="AR182" s="37">
        <f>AR175*AR$3/1000</f>
        <v>2.2999999999999998</v>
      </c>
      <c r="AS182" s="37">
        <f>AT182-SUM(AP182,AQ182,AR182)</f>
        <v>2.3000000000000007</v>
      </c>
      <c r="AT182" s="852">
        <f>AT175*AT$3/1000</f>
        <v>9.15</v>
      </c>
      <c r="AU182" s="22">
        <f>AU175*AU$3/1000</f>
        <v>2.61</v>
      </c>
      <c r="AV182" s="37">
        <f>AV175*AV$3/1000</f>
        <v>2.6389999999999998</v>
      </c>
      <c r="AW182" s="37">
        <f>AW175*AW$3/1000</f>
        <v>2.1160000000000001</v>
      </c>
      <c r="AX182" s="37">
        <f>AY182-SUM(AU182,AV182,AW182)</f>
        <v>3.2200000000000006</v>
      </c>
      <c r="AY182" s="852">
        <f>AY175*AY$3/1000</f>
        <v>10.585000000000001</v>
      </c>
      <c r="AZ182" s="22">
        <f>AZ175*AZ$3/1000</f>
        <v>2.79</v>
      </c>
      <c r="BA182" s="37">
        <f>BA175*BA$3/1000</f>
        <v>3.367</v>
      </c>
      <c r="BB182" s="37">
        <f>BB175*BB$3/1000</f>
        <v>1.9319999999999999</v>
      </c>
      <c r="BC182" s="37">
        <f>BD182-SUM(AZ182,BA182,BB182)</f>
        <v>1.766</v>
      </c>
      <c r="BD182" s="852">
        <f>BD175*BD$3/1000</f>
        <v>9.8550000000000004</v>
      </c>
      <c r="BE182" s="22">
        <f>BE175*BE$3/1000</f>
        <v>1.8</v>
      </c>
      <c r="BF182" s="37">
        <f>BF175*BF$3/1000</f>
        <v>1.82</v>
      </c>
      <c r="BG182" s="37">
        <f>BG175*BG$3/1000</f>
        <v>2.1160000000000001</v>
      </c>
      <c r="BH182" s="37">
        <f>BI182-SUM(BE182,BF182,BG182)</f>
        <v>2.2939999999999987</v>
      </c>
      <c r="BI182" s="852">
        <f>BI175*BI$3/1000</f>
        <v>8.0299999999999994</v>
      </c>
      <c r="BJ182" s="22">
        <f>BJ175*BJ$3/1000</f>
        <v>1.911</v>
      </c>
      <c r="BK182" s="37">
        <f>BK175*BK$3/1000</f>
        <v>2.093</v>
      </c>
      <c r="BL182" s="37">
        <f>BL175*BL$3/1000</f>
        <v>1.9319999999999999</v>
      </c>
      <c r="BM182" s="37">
        <f>BN182-SUM(BJ182,BK182,BL182)</f>
        <v>1.75</v>
      </c>
      <c r="BN182" s="852">
        <f>BN175*BN$3/1000</f>
        <v>7.6859999999999999</v>
      </c>
      <c r="BO182" s="22">
        <f>BO175*BO$3/1000</f>
        <v>1.71</v>
      </c>
      <c r="BP182" s="37">
        <f>BP175*BP$3/1000</f>
        <v>2.73</v>
      </c>
      <c r="BQ182" s="37">
        <f>BQ175*BQ$3/1000</f>
        <v>2.6680000000000001</v>
      </c>
      <c r="BR182" s="37">
        <f>BS182-SUM(BO182,BP182,BQ182)</f>
        <v>2.3820000000000006</v>
      </c>
      <c r="BS182" s="852">
        <f>BS175*BS$3/1000</f>
        <v>9.49</v>
      </c>
      <c r="BT182" s="648">
        <f>BT175*BT$3/1000</f>
        <v>2.25</v>
      </c>
      <c r="BU182" s="37">
        <f>BU175*BU$3/1000</f>
        <v>2.0019999999999998</v>
      </c>
      <c r="BV182" s="37">
        <f>BV175*BV$3/1000</f>
        <v>2.024</v>
      </c>
      <c r="BW182" s="37">
        <f>BW175*BW$3/1000</f>
        <v>2.024</v>
      </c>
      <c r="BX182" s="821">
        <f>SUM(BT182,BU182,BV182,BW182)</f>
        <v>8.3000000000000007</v>
      </c>
      <c r="BY182" s="37">
        <f>BY175*BY$3/1000</f>
        <v>1.98</v>
      </c>
      <c r="BZ182" s="37">
        <f>BZ175*BZ$3/1000</f>
        <v>2.0019999999999998</v>
      </c>
      <c r="CA182" s="37">
        <f>CA175*CA$3/1000</f>
        <v>2.024</v>
      </c>
      <c r="CB182" s="37">
        <f>CB175*CB$3/1000</f>
        <v>2.024</v>
      </c>
      <c r="CC182" s="821">
        <f>SUM(BY182,BZ182,CA182,CB182)</f>
        <v>8.0300000000000011</v>
      </c>
      <c r="CD182" s="821">
        <f>CD175*CD3/1000</f>
        <v>10.98</v>
      </c>
      <c r="CE182" s="821">
        <f>CE175*CE3/1000</f>
        <v>10.95</v>
      </c>
      <c r="CF182" s="821">
        <f>CF175*CF3/1000</f>
        <v>10.95</v>
      </c>
      <c r="CG182" s="22"/>
    </row>
    <row r="183" spans="1:85" s="429" customFormat="1" hidden="1" outlineLevel="1" x14ac:dyDescent="0.3">
      <c r="A183" s="42" t="s">
        <v>103</v>
      </c>
      <c r="B183" s="90"/>
      <c r="C183" s="823">
        <f t="shared" ref="C183:AH183" si="373">SUM(C180:C182)</f>
        <v>564.65499999999997</v>
      </c>
      <c r="D183" s="823">
        <f t="shared" si="373"/>
        <v>543.12</v>
      </c>
      <c r="E183" s="823">
        <f t="shared" si="373"/>
        <v>512.09499999999991</v>
      </c>
      <c r="F183" s="823">
        <f t="shared" si="373"/>
        <v>494.83199999999999</v>
      </c>
      <c r="G183" s="393">
        <f t="shared" si="373"/>
        <v>109.61999999999999</v>
      </c>
      <c r="H183" s="393">
        <f t="shared" si="373"/>
        <v>122.21300000000001</v>
      </c>
      <c r="I183" s="393">
        <f t="shared" si="373"/>
        <v>121.072</v>
      </c>
      <c r="J183" s="393">
        <f t="shared" si="373"/>
        <v>124.15</v>
      </c>
      <c r="K183" s="823">
        <f t="shared" si="373"/>
        <v>477.05500000000001</v>
      </c>
      <c r="L183" s="393">
        <f t="shared" si="373"/>
        <v>118.08</v>
      </c>
      <c r="M183" s="393">
        <f t="shared" si="373"/>
        <v>118.664</v>
      </c>
      <c r="N183" s="393">
        <f t="shared" si="373"/>
        <v>123.464</v>
      </c>
      <c r="O183" s="393">
        <f t="shared" si="373"/>
        <v>125.607</v>
      </c>
      <c r="P183" s="823">
        <f t="shared" si="373"/>
        <v>485.815</v>
      </c>
      <c r="Q183" s="393">
        <f t="shared" si="373"/>
        <v>118.07999999999998</v>
      </c>
      <c r="R183" s="393">
        <f t="shared" si="373"/>
        <v>124.215</v>
      </c>
      <c r="S183" s="393">
        <f t="shared" si="373"/>
        <v>127.328</v>
      </c>
      <c r="T183" s="393">
        <f t="shared" si="373"/>
        <v>124.95200000000003</v>
      </c>
      <c r="U183" s="823">
        <f t="shared" si="373"/>
        <v>494.57500000000005</v>
      </c>
      <c r="V183" s="393">
        <f t="shared" si="373"/>
        <v>119.66499999999999</v>
      </c>
      <c r="W183" s="393">
        <f t="shared" si="373"/>
        <v>125.398</v>
      </c>
      <c r="X183" s="393">
        <f t="shared" si="373"/>
        <v>126.13200000000001</v>
      </c>
      <c r="Y183" s="393">
        <f t="shared" si="373"/>
        <v>114.85300000000001</v>
      </c>
      <c r="Z183" s="824">
        <f t="shared" si="373"/>
        <v>486.048</v>
      </c>
      <c r="AA183" s="394">
        <f t="shared" si="373"/>
        <v>113.31</v>
      </c>
      <c r="AB183" s="393">
        <f t="shared" si="373"/>
        <v>123.30500000000001</v>
      </c>
      <c r="AC183" s="393">
        <f t="shared" si="373"/>
        <v>121.89999999999999</v>
      </c>
      <c r="AD183" s="393">
        <f t="shared" si="373"/>
        <v>118.175</v>
      </c>
      <c r="AE183" s="824">
        <f t="shared" si="373"/>
        <v>476.68999999999994</v>
      </c>
      <c r="AF183" s="394">
        <f t="shared" si="373"/>
        <v>111.60000000000001</v>
      </c>
      <c r="AG183" s="393">
        <f t="shared" si="373"/>
        <v>119.756</v>
      </c>
      <c r="AH183" s="393">
        <f t="shared" si="373"/>
        <v>120.33599999999998</v>
      </c>
      <c r="AI183" s="393">
        <f t="shared" ref="AI183:AQ183" si="374">SUM(AI180:AI182)</f>
        <v>119.88800000000001</v>
      </c>
      <c r="AJ183" s="824">
        <f t="shared" si="374"/>
        <v>471.58</v>
      </c>
      <c r="AK183" s="394">
        <f t="shared" si="374"/>
        <v>115.38</v>
      </c>
      <c r="AL183" s="393">
        <f t="shared" si="374"/>
        <v>124.39700000000001</v>
      </c>
      <c r="AM183" s="393">
        <f t="shared" si="374"/>
        <v>128.708</v>
      </c>
      <c r="AN183" s="393">
        <f t="shared" si="374"/>
        <v>124.63</v>
      </c>
      <c r="AO183" s="824">
        <f t="shared" si="374"/>
        <v>493.11500000000001</v>
      </c>
      <c r="AP183" s="394">
        <f t="shared" si="374"/>
        <v>107.92599999999999</v>
      </c>
      <c r="AQ183" s="393">
        <f t="shared" si="374"/>
        <v>77.350000000000009</v>
      </c>
      <c r="AR183" s="393">
        <f>SUM(AR180:AR182)</f>
        <v>94.667999999999992</v>
      </c>
      <c r="AS183" s="393">
        <f t="shared" ref="AS183:AU183" si="375">SUM(AS180:AS182)</f>
        <v>96.303999999999959</v>
      </c>
      <c r="AT183" s="824">
        <f t="shared" si="375"/>
        <v>376.24799999999993</v>
      </c>
      <c r="AU183" s="394">
        <f t="shared" si="375"/>
        <v>97.11</v>
      </c>
      <c r="AV183" s="393">
        <f t="shared" ref="AV183:BA183" si="376">SUM(AV180:AV182)</f>
        <v>108.10799999999999</v>
      </c>
      <c r="AW183" s="393">
        <f t="shared" si="376"/>
        <v>111.41199999999999</v>
      </c>
      <c r="AX183" s="393">
        <f t="shared" si="376"/>
        <v>109.68999999999997</v>
      </c>
      <c r="AY183" s="824">
        <f t="shared" si="376"/>
        <v>426.32</v>
      </c>
      <c r="AZ183" s="394">
        <f t="shared" si="376"/>
        <v>112.32000000000001</v>
      </c>
      <c r="BA183" s="393">
        <f t="shared" si="376"/>
        <v>113.477</v>
      </c>
      <c r="BB183" s="393">
        <f t="shared" ref="BB183:BD183" si="377">SUM(BB180:BB182)</f>
        <v>116.748</v>
      </c>
      <c r="BC183" s="393">
        <f t="shared" si="377"/>
        <v>115.53000000000004</v>
      </c>
      <c r="BD183" s="824">
        <f t="shared" si="377"/>
        <v>458.07500000000005</v>
      </c>
      <c r="BE183" s="394">
        <f t="shared" ref="BE183:BI183" si="378">SUM(BE180:BE182)</f>
        <v>114.48</v>
      </c>
      <c r="BF183" s="393">
        <f t="shared" si="378"/>
        <v>119.66499999999999</v>
      </c>
      <c r="BG183" s="393">
        <f t="shared" si="378"/>
        <v>121.992</v>
      </c>
      <c r="BH183" s="393">
        <f t="shared" si="378"/>
        <v>121.64800000000001</v>
      </c>
      <c r="BI183" s="824">
        <f t="shared" si="378"/>
        <v>477.78499999999997</v>
      </c>
      <c r="BJ183" s="394">
        <f t="shared" ref="BJ183:BX183" si="379">SUM(BJ180:BJ182)</f>
        <v>115.47900000000001</v>
      </c>
      <c r="BK183" s="393">
        <f t="shared" si="379"/>
        <v>122.85000000000001</v>
      </c>
      <c r="BL183" s="393">
        <f t="shared" si="379"/>
        <v>122.63600000000001</v>
      </c>
      <c r="BM183" s="393">
        <f t="shared" si="379"/>
        <v>117.39700000000002</v>
      </c>
      <c r="BN183" s="824">
        <f t="shared" si="379"/>
        <v>478.36200000000002</v>
      </c>
      <c r="BO183" s="394">
        <f t="shared" ref="BO183:BW183" si="380">SUM(BO180:BO182)</f>
        <v>118.08</v>
      </c>
      <c r="BP183" s="393">
        <f t="shared" si="380"/>
        <v>128.40099999999998</v>
      </c>
      <c r="BQ183" s="393">
        <f t="shared" si="380"/>
        <v>122.54400000000001</v>
      </c>
      <c r="BR183" s="393">
        <f t="shared" si="380"/>
        <v>121.17000000000002</v>
      </c>
      <c r="BS183" s="824">
        <f t="shared" si="380"/>
        <v>490.19500000000005</v>
      </c>
      <c r="BT183" s="640">
        <f>SUM(BT180:BT182)</f>
        <v>116.1</v>
      </c>
      <c r="BU183" s="393">
        <f t="shared" si="380"/>
        <v>120.30199999999999</v>
      </c>
      <c r="BV183" s="393">
        <f t="shared" si="380"/>
        <v>121.624</v>
      </c>
      <c r="BW183" s="393">
        <f t="shared" si="380"/>
        <v>121.624</v>
      </c>
      <c r="BX183" s="823">
        <f t="shared" si="379"/>
        <v>479.65</v>
      </c>
      <c r="BY183" s="393">
        <f t="shared" ref="BY183:CF183" si="381">SUM(BY180:BY182)</f>
        <v>118.98</v>
      </c>
      <c r="BZ183" s="393">
        <f t="shared" si="381"/>
        <v>120.30199999999999</v>
      </c>
      <c r="CA183" s="393">
        <f t="shared" si="381"/>
        <v>121.624</v>
      </c>
      <c r="CB183" s="393">
        <f t="shared" si="381"/>
        <v>121.624</v>
      </c>
      <c r="CC183" s="823">
        <f t="shared" si="381"/>
        <v>482.53</v>
      </c>
      <c r="CD183" s="823">
        <f t="shared" si="381"/>
        <v>505.08000000000004</v>
      </c>
      <c r="CE183" s="823">
        <f t="shared" si="381"/>
        <v>503.7</v>
      </c>
      <c r="CF183" s="823">
        <f t="shared" si="381"/>
        <v>503.7</v>
      </c>
      <c r="CG183" s="26"/>
    </row>
    <row r="184" spans="1:85" s="427" customFormat="1" hidden="1" outlineLevel="1" x14ac:dyDescent="0.3">
      <c r="A184" s="65"/>
      <c r="B184" s="66"/>
      <c r="C184" s="872"/>
      <c r="D184" s="872"/>
      <c r="E184" s="872"/>
      <c r="F184" s="872"/>
      <c r="G184" s="742"/>
      <c r="H184" s="742"/>
      <c r="I184" s="742"/>
      <c r="J184" s="742"/>
      <c r="K184" s="872"/>
      <c r="L184" s="742"/>
      <c r="M184" s="742"/>
      <c r="N184" s="742"/>
      <c r="O184" s="742"/>
      <c r="P184" s="872"/>
      <c r="Q184" s="742"/>
      <c r="R184" s="742"/>
      <c r="S184" s="742"/>
      <c r="T184" s="742"/>
      <c r="U184" s="872"/>
      <c r="V184" s="742"/>
      <c r="W184" s="742"/>
      <c r="X184" s="742"/>
      <c r="Y184" s="742"/>
      <c r="Z184" s="872"/>
      <c r="AA184" s="742"/>
      <c r="AB184" s="742"/>
      <c r="AC184" s="742"/>
      <c r="AD184" s="742"/>
      <c r="AE184" s="872"/>
      <c r="AF184" s="742"/>
      <c r="AG184" s="742"/>
      <c r="AH184" s="742"/>
      <c r="AI184" s="742"/>
      <c r="AJ184" s="872"/>
      <c r="AK184" s="742"/>
      <c r="AL184" s="742"/>
      <c r="AM184" s="742"/>
      <c r="AN184" s="742"/>
      <c r="AO184" s="872"/>
      <c r="AP184" s="742"/>
      <c r="AQ184" s="742"/>
      <c r="AR184" s="742"/>
      <c r="AS184" s="742"/>
      <c r="AT184" s="872"/>
      <c r="AU184" s="742"/>
      <c r="AV184" s="742"/>
      <c r="AW184" s="742"/>
      <c r="AX184" s="742"/>
      <c r="AY184" s="872"/>
      <c r="AZ184" s="742"/>
      <c r="BA184" s="742"/>
      <c r="BB184" s="742"/>
      <c r="BC184" s="742"/>
      <c r="BD184" s="872"/>
      <c r="BE184" s="742"/>
      <c r="BF184" s="742"/>
      <c r="BG184" s="742"/>
      <c r="BH184" s="742"/>
      <c r="BI184" s="872"/>
      <c r="BJ184" s="742"/>
      <c r="BK184" s="742"/>
      <c r="BL184" s="742"/>
      <c r="BM184" s="742"/>
      <c r="BN184" s="872"/>
      <c r="BO184" s="742"/>
      <c r="BP184" s="742"/>
      <c r="BQ184" s="742"/>
      <c r="BR184" s="742"/>
      <c r="BS184" s="872"/>
      <c r="BT184" s="743"/>
      <c r="BU184" s="742"/>
      <c r="BV184" s="742"/>
      <c r="BW184" s="742"/>
      <c r="BX184" s="872"/>
      <c r="BY184" s="742"/>
      <c r="BZ184" s="742"/>
      <c r="CA184" s="742"/>
      <c r="CB184" s="742"/>
      <c r="CC184" s="872"/>
      <c r="CD184" s="872"/>
      <c r="CE184" s="872"/>
      <c r="CF184" s="872"/>
      <c r="CG184" s="321"/>
    </row>
    <row r="185" spans="1:85" s="429" customFormat="1" hidden="1" outlineLevel="1" x14ac:dyDescent="0.3">
      <c r="A185" s="48" t="s">
        <v>104</v>
      </c>
      <c r="B185" s="63"/>
      <c r="C185" s="851">
        <v>979</v>
      </c>
      <c r="D185" s="851">
        <v>1004</v>
      </c>
      <c r="E185" s="851">
        <v>933</v>
      </c>
      <c r="F185" s="851">
        <v>869</v>
      </c>
      <c r="G185" s="770">
        <v>818</v>
      </c>
      <c r="H185" s="770">
        <v>872</v>
      </c>
      <c r="I185" s="770">
        <v>885</v>
      </c>
      <c r="J185" s="770">
        <v>878</v>
      </c>
      <c r="K185" s="851">
        <v>864</v>
      </c>
      <c r="L185" s="770">
        <v>774</v>
      </c>
      <c r="M185" s="770">
        <v>844</v>
      </c>
      <c r="N185" s="770">
        <v>838</v>
      </c>
      <c r="O185" s="770">
        <v>822</v>
      </c>
      <c r="P185" s="851">
        <v>819</v>
      </c>
      <c r="Q185" s="770">
        <v>782</v>
      </c>
      <c r="R185" s="770">
        <v>774</v>
      </c>
      <c r="S185" s="770">
        <v>777</v>
      </c>
      <c r="T185" s="770">
        <v>783</v>
      </c>
      <c r="U185" s="851">
        <v>778</v>
      </c>
      <c r="V185" s="770">
        <v>795</v>
      </c>
      <c r="W185" s="770">
        <v>764</v>
      </c>
      <c r="X185" s="770">
        <v>790</v>
      </c>
      <c r="Y185" s="770">
        <v>801</v>
      </c>
      <c r="Z185" s="851">
        <v>788</v>
      </c>
      <c r="AA185" s="770">
        <v>753</v>
      </c>
      <c r="AB185" s="770">
        <v>726</v>
      </c>
      <c r="AC185" s="770">
        <v>801</v>
      </c>
      <c r="AD185" s="770">
        <v>761</v>
      </c>
      <c r="AE185" s="851">
        <v>760</v>
      </c>
      <c r="AF185" s="770">
        <v>712</v>
      </c>
      <c r="AG185" s="770">
        <v>739</v>
      </c>
      <c r="AH185" s="770">
        <v>710</v>
      </c>
      <c r="AI185" s="770">
        <v>665</v>
      </c>
      <c r="AJ185" s="851">
        <v>706</v>
      </c>
      <c r="AK185" s="770">
        <v>669</v>
      </c>
      <c r="AL185" s="770">
        <v>599</v>
      </c>
      <c r="AM185" s="770">
        <v>625</v>
      </c>
      <c r="AN185" s="770">
        <v>576</v>
      </c>
      <c r="AO185" s="851">
        <v>617</v>
      </c>
      <c r="AP185" s="770">
        <v>635</v>
      </c>
      <c r="AQ185" s="770">
        <v>589</v>
      </c>
      <c r="AR185" s="770">
        <v>570</v>
      </c>
      <c r="AS185" s="770">
        <v>541</v>
      </c>
      <c r="AT185" s="851">
        <v>584</v>
      </c>
      <c r="AU185" s="770">
        <v>536</v>
      </c>
      <c r="AV185" s="770">
        <v>580</v>
      </c>
      <c r="AW185" s="770">
        <v>584</v>
      </c>
      <c r="AX185" s="770">
        <v>602</v>
      </c>
      <c r="AY185" s="851">
        <v>576</v>
      </c>
      <c r="AZ185" s="770">
        <v>619</v>
      </c>
      <c r="BA185" s="770">
        <v>634</v>
      </c>
      <c r="BB185" s="770">
        <v>651</v>
      </c>
      <c r="BC185" s="770">
        <v>653</v>
      </c>
      <c r="BD185" s="851">
        <v>639</v>
      </c>
      <c r="BE185" s="770">
        <v>628</v>
      </c>
      <c r="BF185" s="770">
        <v>623</v>
      </c>
      <c r="BG185" s="770">
        <v>625</v>
      </c>
      <c r="BH185" s="770">
        <v>629</v>
      </c>
      <c r="BI185" s="851">
        <v>626</v>
      </c>
      <c r="BJ185" s="770">
        <v>642</v>
      </c>
      <c r="BK185" s="770">
        <v>638</v>
      </c>
      <c r="BL185" s="770">
        <v>616</v>
      </c>
      <c r="BM185" s="770">
        <v>638</v>
      </c>
      <c r="BN185" s="851">
        <v>634</v>
      </c>
      <c r="BO185" s="770">
        <v>606</v>
      </c>
      <c r="BP185" s="770">
        <v>652</v>
      </c>
      <c r="BQ185" s="770">
        <v>655</v>
      </c>
      <c r="BR185" s="770">
        <v>656</v>
      </c>
      <c r="BS185" s="851">
        <v>643</v>
      </c>
      <c r="BT185" s="776">
        <v>610</v>
      </c>
      <c r="BU185" s="770">
        <v>650</v>
      </c>
      <c r="BV185" s="770">
        <v>650</v>
      </c>
      <c r="BW185" s="770">
        <v>650</v>
      </c>
      <c r="BX185" s="825">
        <f>SUM(BT185*BT$3,BU185*BU$3,BV185*BV$3,BW185*BW$3)/BX$3</f>
        <v>640.13698630136992</v>
      </c>
      <c r="BY185" s="770">
        <v>650</v>
      </c>
      <c r="BZ185" s="770">
        <v>650</v>
      </c>
      <c r="CA185" s="770">
        <v>650</v>
      </c>
      <c r="CB185" s="770">
        <v>650</v>
      </c>
      <c r="CC185" s="825">
        <f>SUM(BY185*BY$3,BZ185*BZ$3,CA185*CA$3,CB185*CB$3)/CC$3</f>
        <v>650</v>
      </c>
      <c r="CD185" s="851">
        <v>675</v>
      </c>
      <c r="CE185" s="851">
        <v>675</v>
      </c>
      <c r="CF185" s="851">
        <v>675</v>
      </c>
      <c r="CG185" s="26"/>
    </row>
    <row r="186" spans="1:85" s="427" customFormat="1" hidden="1" outlineLevel="1" x14ac:dyDescent="0.3">
      <c r="A186" s="65"/>
      <c r="B186" s="66"/>
      <c r="C186" s="872"/>
      <c r="D186" s="872"/>
      <c r="E186" s="872"/>
      <c r="F186" s="872"/>
      <c r="G186" s="742"/>
      <c r="H186" s="742"/>
      <c r="I186" s="742"/>
      <c r="J186" s="742"/>
      <c r="K186" s="872"/>
      <c r="L186" s="742"/>
      <c r="M186" s="742"/>
      <c r="N186" s="742"/>
      <c r="O186" s="742"/>
      <c r="P186" s="872"/>
      <c r="Q186" s="742"/>
      <c r="R186" s="742"/>
      <c r="S186" s="742"/>
      <c r="T186" s="742"/>
      <c r="U186" s="872"/>
      <c r="V186" s="742"/>
      <c r="W186" s="742"/>
      <c r="X186" s="742"/>
      <c r="Y186" s="742"/>
      <c r="Z186" s="872"/>
      <c r="AA186" s="742"/>
      <c r="AB186" s="742"/>
      <c r="AC186" s="742"/>
      <c r="AD186" s="742"/>
      <c r="AE186" s="872"/>
      <c r="AF186" s="742"/>
      <c r="AG186" s="742"/>
      <c r="AH186" s="742"/>
      <c r="AI186" s="742"/>
      <c r="AJ186" s="872"/>
      <c r="AK186" s="742"/>
      <c r="AL186" s="742"/>
      <c r="AM186" s="742"/>
      <c r="AN186" s="742"/>
      <c r="AO186" s="872"/>
      <c r="AP186" s="742"/>
      <c r="AQ186" s="742"/>
      <c r="AR186" s="742"/>
      <c r="AS186" s="742"/>
      <c r="AT186" s="872"/>
      <c r="AU186" s="742"/>
      <c r="AV186" s="742"/>
      <c r="AW186" s="742"/>
      <c r="AX186" s="742"/>
      <c r="AY186" s="872"/>
      <c r="AZ186" s="742"/>
      <c r="BA186" s="742"/>
      <c r="BB186" s="742"/>
      <c r="BC186" s="742"/>
      <c r="BD186" s="872"/>
      <c r="BE186" s="742"/>
      <c r="BF186" s="742"/>
      <c r="BG186" s="742"/>
      <c r="BH186" s="742"/>
      <c r="BI186" s="872"/>
      <c r="BJ186" s="742"/>
      <c r="BK186" s="742"/>
      <c r="BL186" s="742"/>
      <c r="BM186" s="742"/>
      <c r="BN186" s="872"/>
      <c r="BO186" s="742"/>
      <c r="BP186" s="742"/>
      <c r="BQ186" s="742"/>
      <c r="BR186" s="742"/>
      <c r="BS186" s="872"/>
      <c r="BT186" s="743"/>
      <c r="BU186" s="742"/>
      <c r="BV186" s="742"/>
      <c r="BW186" s="742"/>
      <c r="BX186" s="872"/>
      <c r="BY186" s="742"/>
      <c r="BZ186" s="742"/>
      <c r="CA186" s="742"/>
      <c r="CB186" s="742"/>
      <c r="CC186" s="872"/>
      <c r="CD186" s="872"/>
      <c r="CE186" s="872"/>
      <c r="CF186" s="872"/>
      <c r="CG186" s="321"/>
    </row>
    <row r="187" spans="1:85" s="428" customFormat="1" hidden="1" outlineLevel="1" x14ac:dyDescent="0.3">
      <c r="A187" s="43" t="s">
        <v>671</v>
      </c>
      <c r="B187" s="64"/>
      <c r="C187" s="827">
        <v>555</v>
      </c>
      <c r="D187" s="827">
        <v>521</v>
      </c>
      <c r="E187" s="827">
        <v>447</v>
      </c>
      <c r="F187" s="827">
        <v>412</v>
      </c>
      <c r="G187" s="763">
        <v>282</v>
      </c>
      <c r="H187" s="763">
        <v>302</v>
      </c>
      <c r="I187" s="763">
        <v>325</v>
      </c>
      <c r="J187" s="37"/>
      <c r="K187" s="827">
        <v>398</v>
      </c>
      <c r="L187" s="763">
        <v>296</v>
      </c>
      <c r="M187" s="763">
        <v>335</v>
      </c>
      <c r="N187" s="763">
        <v>319</v>
      </c>
      <c r="O187" s="37"/>
      <c r="P187" s="827">
        <v>403</v>
      </c>
      <c r="Q187" s="763">
        <v>360</v>
      </c>
      <c r="R187" s="763">
        <v>350</v>
      </c>
      <c r="S187" s="763">
        <v>325</v>
      </c>
      <c r="T187" s="37"/>
      <c r="U187" s="827">
        <v>389</v>
      </c>
      <c r="V187" s="763">
        <v>360</v>
      </c>
      <c r="W187" s="763">
        <v>345</v>
      </c>
      <c r="X187" s="763">
        <v>378</v>
      </c>
      <c r="Y187" s="37"/>
      <c r="Z187" s="827">
        <v>382</v>
      </c>
      <c r="AA187" s="763">
        <v>331</v>
      </c>
      <c r="AB187" s="763">
        <v>334</v>
      </c>
      <c r="AC187" s="763">
        <v>352</v>
      </c>
      <c r="AD187" s="37">
        <f>AD197/AD$3*1000</f>
        <v>441.92391304347825</v>
      </c>
      <c r="AE187" s="827">
        <v>365</v>
      </c>
      <c r="AF187" s="763">
        <v>332</v>
      </c>
      <c r="AG187" s="763">
        <v>297</v>
      </c>
      <c r="AH187" s="763">
        <v>301</v>
      </c>
      <c r="AI187" s="763">
        <v>276</v>
      </c>
      <c r="AJ187" s="827">
        <v>336</v>
      </c>
      <c r="AK187" s="763">
        <v>262</v>
      </c>
      <c r="AL187" s="763">
        <v>273</v>
      </c>
      <c r="AM187" s="763">
        <v>256</v>
      </c>
      <c r="AN187" s="763">
        <v>241</v>
      </c>
      <c r="AO187" s="827">
        <v>289</v>
      </c>
      <c r="AP187" s="763">
        <v>242</v>
      </c>
      <c r="AQ187" s="763">
        <v>197</v>
      </c>
      <c r="AR187" s="763">
        <v>242</v>
      </c>
      <c r="AS187" s="763">
        <v>233</v>
      </c>
      <c r="AT187" s="827">
        <v>264</v>
      </c>
      <c r="AU187" s="763">
        <v>257</v>
      </c>
      <c r="AV187" s="763">
        <v>269</v>
      </c>
      <c r="AW187" s="763">
        <v>314</v>
      </c>
      <c r="AX187" s="763">
        <v>282</v>
      </c>
      <c r="AY187" s="827">
        <v>321</v>
      </c>
      <c r="AZ187" s="763">
        <v>281</v>
      </c>
      <c r="BA187" s="763">
        <v>281</v>
      </c>
      <c r="BB187" s="763">
        <v>306</v>
      </c>
      <c r="BC187" s="763">
        <v>288</v>
      </c>
      <c r="BD187" s="827">
        <v>289</v>
      </c>
      <c r="BE187" s="763">
        <v>297</v>
      </c>
      <c r="BF187" s="763">
        <v>323</v>
      </c>
      <c r="BG187" s="763">
        <v>275</v>
      </c>
      <c r="BH187" s="763">
        <v>333</v>
      </c>
      <c r="BI187" s="827">
        <v>307</v>
      </c>
      <c r="BJ187" s="763">
        <v>319</v>
      </c>
      <c r="BK187" s="763">
        <v>352</v>
      </c>
      <c r="BL187" s="763">
        <v>335</v>
      </c>
      <c r="BM187" s="763">
        <v>361</v>
      </c>
      <c r="BN187" s="827">
        <v>342</v>
      </c>
      <c r="BO187" s="763">
        <v>356</v>
      </c>
      <c r="BP187" s="763">
        <v>361</v>
      </c>
      <c r="BQ187" s="763">
        <v>336</v>
      </c>
      <c r="BR187" s="763">
        <v>333</v>
      </c>
      <c r="BS187" s="827">
        <v>346</v>
      </c>
      <c r="BT187" s="764">
        <v>291</v>
      </c>
      <c r="BU187" s="37">
        <f>BU192*BU185</f>
        <v>292.5</v>
      </c>
      <c r="BV187" s="37">
        <f>BV192*BV185</f>
        <v>292.5</v>
      </c>
      <c r="BW187" s="37">
        <f>BW192*BW185</f>
        <v>292.5</v>
      </c>
      <c r="BX187" s="821">
        <f>BX197/BX$3*1000</f>
        <v>292.13013698630135</v>
      </c>
      <c r="BY187" s="37">
        <f>BY192*BY185</f>
        <v>292.5</v>
      </c>
      <c r="BZ187" s="37">
        <f>BZ192*BZ185</f>
        <v>292.5</v>
      </c>
      <c r="CA187" s="37">
        <f>CA192*CA185</f>
        <v>292.5</v>
      </c>
      <c r="CB187" s="37">
        <f>CB192*CB185</f>
        <v>292.5</v>
      </c>
      <c r="CC187" s="821">
        <f>CC197/CC$3*1000</f>
        <v>292.5</v>
      </c>
      <c r="CD187" s="821">
        <f>CD192*CD185</f>
        <v>337.5</v>
      </c>
      <c r="CE187" s="821">
        <f>CE192*CE185</f>
        <v>337.5</v>
      </c>
      <c r="CF187" s="821">
        <f>CF192*CF185</f>
        <v>337.5</v>
      </c>
      <c r="CG187" s="22"/>
    </row>
    <row r="188" spans="1:85" s="428" customFormat="1" hidden="1" outlineLevel="1" x14ac:dyDescent="0.3">
      <c r="A188" s="43" t="s">
        <v>670</v>
      </c>
      <c r="B188" s="64"/>
      <c r="C188" s="827">
        <v>1296</v>
      </c>
      <c r="D188" s="827">
        <v>1243</v>
      </c>
      <c r="E188" s="827">
        <v>1245</v>
      </c>
      <c r="F188" s="827">
        <v>1142</v>
      </c>
      <c r="G188" s="763">
        <v>708</v>
      </c>
      <c r="H188" s="763">
        <v>763</v>
      </c>
      <c r="I188" s="763">
        <v>762</v>
      </c>
      <c r="J188" s="37"/>
      <c r="K188" s="827">
        <v>1131</v>
      </c>
      <c r="L188" s="763">
        <v>648</v>
      </c>
      <c r="M188" s="763">
        <v>742</v>
      </c>
      <c r="N188" s="763">
        <v>703</v>
      </c>
      <c r="O188" s="37"/>
      <c r="P188" s="827">
        <v>1098</v>
      </c>
      <c r="Q188" s="763">
        <v>735</v>
      </c>
      <c r="R188" s="763">
        <v>761</v>
      </c>
      <c r="S188" s="763">
        <v>762</v>
      </c>
      <c r="T188" s="37"/>
      <c r="U188" s="827">
        <v>1118</v>
      </c>
      <c r="V188" s="763">
        <v>707</v>
      </c>
      <c r="W188" s="763">
        <v>742</v>
      </c>
      <c r="X188" s="763">
        <v>700</v>
      </c>
      <c r="Y188" s="37"/>
      <c r="Z188" s="827">
        <v>1080</v>
      </c>
      <c r="AA188" s="763">
        <v>753</v>
      </c>
      <c r="AB188" s="763">
        <v>768</v>
      </c>
      <c r="AC188" s="763">
        <v>835</v>
      </c>
      <c r="AD188" s="37">
        <f>AD198/AD$3*1000</f>
        <v>1076.576086956522</v>
      </c>
      <c r="AE188" s="827">
        <v>1128</v>
      </c>
      <c r="AF188" s="763">
        <v>743</v>
      </c>
      <c r="AG188" s="763">
        <v>800</v>
      </c>
      <c r="AH188" s="763">
        <v>766</v>
      </c>
      <c r="AI188" s="37">
        <f>AI198/AI$3*1000</f>
        <v>988.90217391304338</v>
      </c>
      <c r="AJ188" s="827">
        <v>1101</v>
      </c>
      <c r="AK188" s="37">
        <f>1415-AK187</f>
        <v>1153</v>
      </c>
      <c r="AL188" s="763">
        <v>650</v>
      </c>
      <c r="AM188" s="763">
        <v>701</v>
      </c>
      <c r="AN188" s="37">
        <f>AN190-AN187</f>
        <v>1037</v>
      </c>
      <c r="AO188" s="827">
        <v>1038</v>
      </c>
      <c r="AP188" s="763">
        <v>675</v>
      </c>
      <c r="AQ188" s="763">
        <v>556</v>
      </c>
      <c r="AR188" s="763">
        <v>690</v>
      </c>
      <c r="AS188" s="37">
        <f>AS190-AS187-AS189</f>
        <v>640</v>
      </c>
      <c r="AT188" s="821">
        <f>SUM(AP3*AP188,AQ3*AQ188,AR3*AR188,AS3*AS188)/SUM(AP3,AQ3,AR3,AS3)</f>
        <v>640.38524590163934</v>
      </c>
      <c r="AU188" s="763">
        <v>670</v>
      </c>
      <c r="AV188" s="763">
        <v>671</v>
      </c>
      <c r="AW188" s="763">
        <v>717</v>
      </c>
      <c r="AX188" s="37">
        <f>AX190-AX187-AX189</f>
        <v>688</v>
      </c>
      <c r="AY188" s="821">
        <f>SUM(AU3*AU188,AV3*AV188,AW3*AW188,AX3*AX188)/SUM(AU3,AV3,AW3,AX3)</f>
        <v>686.63287671232877</v>
      </c>
      <c r="AZ188" s="763">
        <v>693</v>
      </c>
      <c r="BA188" s="763">
        <v>673</v>
      </c>
      <c r="BB188" s="763">
        <v>732</v>
      </c>
      <c r="BC188" s="37">
        <f>BC190-BC187-BC189</f>
        <v>773</v>
      </c>
      <c r="BD188" s="821">
        <f>SUM(AZ3*AZ188,BA3*BA188,BB3*BB188,BC3*BC188)/SUM(AZ3,BA3,BB3,BC3)</f>
        <v>718.00821917808219</v>
      </c>
      <c r="BE188" s="763">
        <v>780</v>
      </c>
      <c r="BF188" s="763">
        <v>764</v>
      </c>
      <c r="BG188" s="763">
        <v>756</v>
      </c>
      <c r="BH188" s="37">
        <f>BH190-BH187-BH189</f>
        <v>704</v>
      </c>
      <c r="BI188" s="821">
        <f>SUM(BE3*BE188,BF3*BF188,BG3*BG188,BH3*BH188)/SUM(BE3,BF3,BG3,BH3)</f>
        <v>750.80547945205478</v>
      </c>
      <c r="BJ188" s="763">
        <v>722</v>
      </c>
      <c r="BK188" s="763">
        <v>739</v>
      </c>
      <c r="BL188" s="763">
        <v>782</v>
      </c>
      <c r="BM188" s="37">
        <f>BM190-BM187-BM189</f>
        <v>806</v>
      </c>
      <c r="BN188" s="821">
        <f>SUM(BJ3*BJ188,BK3*BK188,BL3*BL188,BM3*BM188)/SUM(BJ3,BK3,BL3,BM3)</f>
        <v>762.42349726775956</v>
      </c>
      <c r="BO188" s="763">
        <v>689</v>
      </c>
      <c r="BP188" s="763">
        <v>722</v>
      </c>
      <c r="BQ188" s="763">
        <v>793</v>
      </c>
      <c r="BR188" s="37">
        <f>BR190-BR187-BR189</f>
        <v>825</v>
      </c>
      <c r="BS188" s="821">
        <f>SUM(BO3*BO188,BP3*BP188,BQ3*BQ188,BR3*BR188)/SUM(BO3,BP3,BQ3,BR3)</f>
        <v>757.72054794520545</v>
      </c>
      <c r="BT188" s="764">
        <v>798</v>
      </c>
      <c r="BU188" s="37">
        <f>BU193*BU185</f>
        <v>909.99999999999989</v>
      </c>
      <c r="BV188" s="37">
        <f>BV193*BV185</f>
        <v>780</v>
      </c>
      <c r="BW188" s="37">
        <f>BW193*BW185</f>
        <v>715.00000000000011</v>
      </c>
      <c r="BX188" s="821">
        <f>BX198/BX$3*1000</f>
        <v>800.46575342465758</v>
      </c>
      <c r="BY188" s="37">
        <f>BY193*BY185</f>
        <v>845</v>
      </c>
      <c r="BZ188" s="37">
        <f>BZ193*BZ185</f>
        <v>909.99999999999989</v>
      </c>
      <c r="CA188" s="37">
        <f>CA193*CA185</f>
        <v>909.99999999999989</v>
      </c>
      <c r="CB188" s="37">
        <f>CB193*CB185</f>
        <v>845</v>
      </c>
      <c r="CC188" s="821">
        <f>CC198/CC$3*1000</f>
        <v>877.58904109589037</v>
      </c>
      <c r="CD188" s="821">
        <f>CD193*CD185</f>
        <v>944.99999999999989</v>
      </c>
      <c r="CE188" s="821">
        <f>CE193*CE185</f>
        <v>944.99999999999989</v>
      </c>
      <c r="CF188" s="821">
        <f>CF193*CF185</f>
        <v>944.99999999999989</v>
      </c>
      <c r="CG188" s="22"/>
    </row>
    <row r="189" spans="1:85" s="428" customFormat="1" hidden="1" outlineLevel="1" x14ac:dyDescent="0.3">
      <c r="A189" s="43" t="s">
        <v>669</v>
      </c>
      <c r="B189" s="64"/>
      <c r="C189" s="821"/>
      <c r="D189" s="821"/>
      <c r="E189" s="821"/>
      <c r="F189" s="821"/>
      <c r="G189" s="763">
        <v>459</v>
      </c>
      <c r="H189" s="763">
        <v>483</v>
      </c>
      <c r="I189" s="763">
        <v>474</v>
      </c>
      <c r="J189" s="37"/>
      <c r="K189" s="821"/>
      <c r="L189" s="763">
        <v>459</v>
      </c>
      <c r="M189" s="763">
        <v>470</v>
      </c>
      <c r="N189" s="763">
        <v>483</v>
      </c>
      <c r="O189" s="37"/>
      <c r="P189" s="821"/>
      <c r="Q189" s="763">
        <v>485</v>
      </c>
      <c r="R189" s="763">
        <v>367</v>
      </c>
      <c r="S189" s="763">
        <v>416</v>
      </c>
      <c r="T189" s="37"/>
      <c r="U189" s="821"/>
      <c r="V189" s="763">
        <v>369</v>
      </c>
      <c r="W189" s="763">
        <v>362</v>
      </c>
      <c r="X189" s="763">
        <v>391</v>
      </c>
      <c r="Y189" s="37"/>
      <c r="Z189" s="821"/>
      <c r="AA189" s="763">
        <v>361</v>
      </c>
      <c r="AB189" s="763">
        <v>349</v>
      </c>
      <c r="AC189" s="763">
        <v>369</v>
      </c>
      <c r="AD189" s="37"/>
      <c r="AE189" s="821"/>
      <c r="AF189" s="763">
        <v>361</v>
      </c>
      <c r="AG189" s="763">
        <v>378</v>
      </c>
      <c r="AH189" s="763">
        <v>368</v>
      </c>
      <c r="AI189" s="37"/>
      <c r="AJ189" s="821"/>
      <c r="AK189" s="37"/>
      <c r="AL189" s="763">
        <v>340</v>
      </c>
      <c r="AM189" s="763">
        <v>399</v>
      </c>
      <c r="AN189" s="37"/>
      <c r="AO189" s="821"/>
      <c r="AP189" s="763">
        <v>354</v>
      </c>
      <c r="AQ189" s="763">
        <v>351</v>
      </c>
      <c r="AR189" s="763">
        <v>350</v>
      </c>
      <c r="AS189" s="763">
        <v>355</v>
      </c>
      <c r="AT189" s="821">
        <f>AT190-AT188-AT187</f>
        <v>316.61475409836066</v>
      </c>
      <c r="AU189" s="763">
        <v>340</v>
      </c>
      <c r="AV189" s="763">
        <v>342</v>
      </c>
      <c r="AW189" s="763">
        <v>355</v>
      </c>
      <c r="AX189" s="763">
        <v>355</v>
      </c>
      <c r="AY189" s="821">
        <f>AY190-AY188-AY187</f>
        <v>307.36712328767123</v>
      </c>
      <c r="AZ189" s="763">
        <v>353</v>
      </c>
      <c r="BA189" s="763">
        <v>383</v>
      </c>
      <c r="BB189" s="763">
        <v>399</v>
      </c>
      <c r="BC189" s="763">
        <v>380</v>
      </c>
      <c r="BD189" s="821">
        <f>BD190-BD188-BD187</f>
        <v>378.99178082191781</v>
      </c>
      <c r="BE189" s="763">
        <v>383</v>
      </c>
      <c r="BF189" s="763">
        <v>366</v>
      </c>
      <c r="BG189" s="763">
        <v>400</v>
      </c>
      <c r="BH189" s="763">
        <v>400</v>
      </c>
      <c r="BI189" s="821">
        <f>BI190-BI188-BI187</f>
        <v>387.19452054794522</v>
      </c>
      <c r="BJ189" s="763">
        <v>389</v>
      </c>
      <c r="BK189" s="763">
        <v>394</v>
      </c>
      <c r="BL189" s="763">
        <v>390</v>
      </c>
      <c r="BM189" s="37">
        <f>BL189</f>
        <v>390</v>
      </c>
      <c r="BN189" s="821">
        <f>BN190-BN188-BN187</f>
        <v>390.57650273224044</v>
      </c>
      <c r="BO189" s="763">
        <v>353</v>
      </c>
      <c r="BP189" s="763">
        <v>390</v>
      </c>
      <c r="BQ189" s="763">
        <v>388</v>
      </c>
      <c r="BR189" s="37">
        <f>BQ189</f>
        <v>388</v>
      </c>
      <c r="BS189" s="821">
        <f>BS190-BS188-BS187</f>
        <v>380.27945205479455</v>
      </c>
      <c r="BT189" s="764">
        <v>404</v>
      </c>
      <c r="BU189" s="763">
        <v>375</v>
      </c>
      <c r="BV189" s="763">
        <v>375</v>
      </c>
      <c r="BW189" s="763">
        <v>375</v>
      </c>
      <c r="BX189" s="821">
        <f>SUM(BT189*BT$3,BU189*BU$3,BV189*BV$3,BW189*BW$3)/SUM(BT$3,BU$3,BV$3,BW$3)</f>
        <v>382.15068493150687</v>
      </c>
      <c r="BY189" s="763">
        <v>375</v>
      </c>
      <c r="BZ189" s="763">
        <v>375</v>
      </c>
      <c r="CA189" s="763">
        <v>375</v>
      </c>
      <c r="CB189" s="763">
        <v>375</v>
      </c>
      <c r="CC189" s="821">
        <f>SUM(BY189*BY$3,BZ189*BZ$3,CA189*CA$3,CB189*CB$3)/SUM(BY$3,BZ$3,CA$3,CB$3)</f>
        <v>375</v>
      </c>
      <c r="CD189" s="827">
        <v>375</v>
      </c>
      <c r="CE189" s="827">
        <v>375</v>
      </c>
      <c r="CF189" s="827">
        <v>375</v>
      </c>
      <c r="CG189" s="22"/>
    </row>
    <row r="190" spans="1:85" s="429" customFormat="1" hidden="1" outlineLevel="1" x14ac:dyDescent="0.3">
      <c r="A190" s="42" t="s">
        <v>675</v>
      </c>
      <c r="B190" s="90"/>
      <c r="C190" s="823">
        <f t="shared" ref="C190:I190" si="382">SUM(C187:C189)</f>
        <v>1851</v>
      </c>
      <c r="D190" s="823">
        <f t="shared" si="382"/>
        <v>1764</v>
      </c>
      <c r="E190" s="823">
        <f t="shared" si="382"/>
        <v>1692</v>
      </c>
      <c r="F190" s="823">
        <f t="shared" si="382"/>
        <v>1554</v>
      </c>
      <c r="G190" s="393">
        <f t="shared" si="382"/>
        <v>1449</v>
      </c>
      <c r="H190" s="393">
        <f t="shared" si="382"/>
        <v>1548</v>
      </c>
      <c r="I190" s="393">
        <f t="shared" si="382"/>
        <v>1561</v>
      </c>
      <c r="J190" s="393"/>
      <c r="K190" s="823">
        <f t="shared" ref="K190:X190" si="383">SUM(K187:K189)</f>
        <v>1529</v>
      </c>
      <c r="L190" s="393">
        <f t="shared" si="383"/>
        <v>1403</v>
      </c>
      <c r="M190" s="393">
        <f t="shared" si="383"/>
        <v>1547</v>
      </c>
      <c r="N190" s="393">
        <f t="shared" si="383"/>
        <v>1505</v>
      </c>
      <c r="O190" s="393">
        <f t="shared" si="383"/>
        <v>0</v>
      </c>
      <c r="P190" s="823">
        <f t="shared" si="383"/>
        <v>1501</v>
      </c>
      <c r="Q190" s="393">
        <f t="shared" si="383"/>
        <v>1580</v>
      </c>
      <c r="R190" s="393">
        <f t="shared" si="383"/>
        <v>1478</v>
      </c>
      <c r="S190" s="393">
        <f t="shared" si="383"/>
        <v>1503</v>
      </c>
      <c r="T190" s="393">
        <f t="shared" si="383"/>
        <v>0</v>
      </c>
      <c r="U190" s="823">
        <f t="shared" si="383"/>
        <v>1507</v>
      </c>
      <c r="V190" s="393">
        <f t="shared" si="383"/>
        <v>1436</v>
      </c>
      <c r="W190" s="393">
        <f t="shared" si="383"/>
        <v>1449</v>
      </c>
      <c r="X190" s="393">
        <f t="shared" si="383"/>
        <v>1469</v>
      </c>
      <c r="Y190" s="393"/>
      <c r="Z190" s="823">
        <f t="shared" ref="Z190:AM190" si="384">SUM(Z187:Z189)</f>
        <v>1462</v>
      </c>
      <c r="AA190" s="393">
        <f t="shared" si="384"/>
        <v>1445</v>
      </c>
      <c r="AB190" s="393">
        <f t="shared" si="384"/>
        <v>1451</v>
      </c>
      <c r="AC190" s="393">
        <f t="shared" si="384"/>
        <v>1556</v>
      </c>
      <c r="AD190" s="393">
        <f t="shared" si="384"/>
        <v>1518.5000000000002</v>
      </c>
      <c r="AE190" s="823">
        <f t="shared" si="384"/>
        <v>1493</v>
      </c>
      <c r="AF190" s="393">
        <f t="shared" si="384"/>
        <v>1436</v>
      </c>
      <c r="AG190" s="393">
        <f t="shared" si="384"/>
        <v>1475</v>
      </c>
      <c r="AH190" s="393">
        <f t="shared" si="384"/>
        <v>1435</v>
      </c>
      <c r="AI190" s="393">
        <f t="shared" si="384"/>
        <v>1264.9021739130435</v>
      </c>
      <c r="AJ190" s="823">
        <f t="shared" si="384"/>
        <v>1437</v>
      </c>
      <c r="AK190" s="393">
        <f t="shared" si="384"/>
        <v>1415</v>
      </c>
      <c r="AL190" s="393">
        <f t="shared" si="384"/>
        <v>1263</v>
      </c>
      <c r="AM190" s="393">
        <f t="shared" si="384"/>
        <v>1356</v>
      </c>
      <c r="AN190" s="767">
        <v>1278</v>
      </c>
      <c r="AO190" s="823">
        <f>SUM(AO187:AO189)</f>
        <v>1327</v>
      </c>
      <c r="AP190" s="393">
        <f>SUM(AP187:AP189)</f>
        <v>1271</v>
      </c>
      <c r="AQ190" s="393">
        <f>SUM(AQ187:AQ189)</f>
        <v>1104</v>
      </c>
      <c r="AR190" s="393">
        <f>SUM(AR187:AR189)</f>
        <v>1282</v>
      </c>
      <c r="AS190" s="767">
        <v>1228</v>
      </c>
      <c r="AT190" s="829">
        <v>1221</v>
      </c>
      <c r="AU190" s="393">
        <f>SUM(AU187:AU189)</f>
        <v>1267</v>
      </c>
      <c r="AV190" s="393">
        <f>SUM(AV187:AV189)</f>
        <v>1282</v>
      </c>
      <c r="AW190" s="393">
        <f>SUM(AW187:AW189)</f>
        <v>1386</v>
      </c>
      <c r="AX190" s="767">
        <v>1325</v>
      </c>
      <c r="AY190" s="829">
        <v>1315</v>
      </c>
      <c r="AZ190" s="393">
        <f>SUM(AZ187:AZ189)</f>
        <v>1327</v>
      </c>
      <c r="BA190" s="393">
        <f>SUM(BA187:BA189)</f>
        <v>1337</v>
      </c>
      <c r="BB190" s="393">
        <f>SUM(BB187:BB189)</f>
        <v>1437</v>
      </c>
      <c r="BC190" s="767">
        <v>1441</v>
      </c>
      <c r="BD190" s="829">
        <v>1386</v>
      </c>
      <c r="BE190" s="393">
        <f>SUM(BE187:BE189)</f>
        <v>1460</v>
      </c>
      <c r="BF190" s="393">
        <f>SUM(BF187:BF189)</f>
        <v>1453</v>
      </c>
      <c r="BG190" s="393">
        <f>SUM(BG187:BG189)</f>
        <v>1431</v>
      </c>
      <c r="BH190" s="767">
        <v>1437</v>
      </c>
      <c r="BI190" s="829">
        <v>1445</v>
      </c>
      <c r="BJ190" s="393">
        <f>SUM(BJ187:BJ189)</f>
        <v>1430</v>
      </c>
      <c r="BK190" s="393">
        <f>SUM(BK187:BK189)</f>
        <v>1485</v>
      </c>
      <c r="BL190" s="393">
        <f>SUM(BL187:BL189)</f>
        <v>1507</v>
      </c>
      <c r="BM190" s="767">
        <v>1557</v>
      </c>
      <c r="BN190" s="829">
        <v>1495</v>
      </c>
      <c r="BO190" s="393">
        <f>SUM(BO187:BO189)</f>
        <v>1398</v>
      </c>
      <c r="BP190" s="393">
        <f>SUM(BP187:BP189)</f>
        <v>1473</v>
      </c>
      <c r="BQ190" s="393">
        <f>SUM(BQ187:BQ189)</f>
        <v>1517</v>
      </c>
      <c r="BR190" s="767">
        <v>1546</v>
      </c>
      <c r="BS190" s="829">
        <v>1484</v>
      </c>
      <c r="BT190" s="641">
        <f>SUM(BT187:BT189)</f>
        <v>1493</v>
      </c>
      <c r="BU190" s="393">
        <f t="shared" ref="BU190:CF190" si="385">SUM(BU187:BU189)</f>
        <v>1577.5</v>
      </c>
      <c r="BV190" s="393">
        <f t="shared" si="385"/>
        <v>1447.5</v>
      </c>
      <c r="BW190" s="393">
        <f t="shared" si="385"/>
        <v>1382.5</v>
      </c>
      <c r="BX190" s="823">
        <f t="shared" si="385"/>
        <v>1474.7465753424658</v>
      </c>
      <c r="BY190" s="393">
        <f t="shared" si="385"/>
        <v>1512.5</v>
      </c>
      <c r="BZ190" s="393">
        <f t="shared" si="385"/>
        <v>1577.5</v>
      </c>
      <c r="CA190" s="393">
        <f t="shared" si="385"/>
        <v>1577.5</v>
      </c>
      <c r="CB190" s="393">
        <f t="shared" si="385"/>
        <v>1512.5</v>
      </c>
      <c r="CC190" s="823">
        <f t="shared" si="385"/>
        <v>1545.0890410958905</v>
      </c>
      <c r="CD190" s="823">
        <f t="shared" si="385"/>
        <v>1657.5</v>
      </c>
      <c r="CE190" s="823">
        <f t="shared" si="385"/>
        <v>1657.5</v>
      </c>
      <c r="CF190" s="823">
        <f t="shared" si="385"/>
        <v>1657.5</v>
      </c>
      <c r="CG190" s="26"/>
    </row>
    <row r="191" spans="1:85" s="429" customFormat="1" hidden="1" outlineLevel="1" x14ac:dyDescent="0.3">
      <c r="A191" s="52"/>
      <c r="B191" s="63"/>
      <c r="C191" s="825"/>
      <c r="D191" s="825"/>
      <c r="E191" s="825"/>
      <c r="F191" s="825"/>
      <c r="G191" s="31"/>
      <c r="H191" s="31"/>
      <c r="I191" s="31"/>
      <c r="J191" s="31"/>
      <c r="K191" s="825"/>
      <c r="L191" s="31"/>
      <c r="M191" s="31"/>
      <c r="N191" s="31"/>
      <c r="O191" s="31"/>
      <c r="P191" s="825"/>
      <c r="Q191" s="31"/>
      <c r="R191" s="31"/>
      <c r="S191" s="31"/>
      <c r="T191" s="31"/>
      <c r="U191" s="825"/>
      <c r="V191" s="31"/>
      <c r="W191" s="31"/>
      <c r="X191" s="31"/>
      <c r="Y191" s="31"/>
      <c r="Z191" s="825"/>
      <c r="AA191" s="31"/>
      <c r="AB191" s="31"/>
      <c r="AC191" s="31"/>
      <c r="AD191" s="31"/>
      <c r="AE191" s="825"/>
      <c r="AF191" s="31"/>
      <c r="AG191" s="31"/>
      <c r="AH191" s="31"/>
      <c r="AI191" s="31"/>
      <c r="AJ191" s="825"/>
      <c r="AK191" s="31"/>
      <c r="AL191" s="31"/>
      <c r="AM191" s="31"/>
      <c r="AN191" s="31"/>
      <c r="AO191" s="825"/>
      <c r="AP191" s="31"/>
      <c r="AQ191" s="31"/>
      <c r="AR191" s="31"/>
      <c r="AS191" s="31"/>
      <c r="AT191" s="825"/>
      <c r="AU191" s="31"/>
      <c r="AV191" s="31"/>
      <c r="AW191" s="31"/>
      <c r="AX191" s="31"/>
      <c r="AY191" s="825"/>
      <c r="AZ191" s="31"/>
      <c r="BA191" s="31"/>
      <c r="BB191" s="31"/>
      <c r="BC191" s="31"/>
      <c r="BD191" s="825"/>
      <c r="BE191" s="31"/>
      <c r="BF191" s="31"/>
      <c r="BG191" s="31"/>
      <c r="BH191" s="31"/>
      <c r="BI191" s="825"/>
      <c r="BJ191" s="31"/>
      <c r="BK191" s="31"/>
      <c r="BL191" s="31"/>
      <c r="BM191" s="31"/>
      <c r="BN191" s="825"/>
      <c r="BO191" s="31"/>
      <c r="BP191" s="31"/>
      <c r="BQ191" s="31"/>
      <c r="BR191" s="31"/>
      <c r="BS191" s="825"/>
      <c r="BT191" s="379"/>
      <c r="BU191" s="31"/>
      <c r="BV191" s="31"/>
      <c r="BW191" s="31"/>
      <c r="BX191" s="825"/>
      <c r="BY191" s="31"/>
      <c r="BZ191" s="31"/>
      <c r="CA191" s="31"/>
      <c r="CB191" s="31"/>
      <c r="CC191" s="825"/>
      <c r="CD191" s="825"/>
      <c r="CE191" s="825"/>
      <c r="CF191" s="825"/>
      <c r="CG191" s="26"/>
    </row>
    <row r="192" spans="1:85" s="436" customFormat="1" hidden="1" outlineLevel="1" x14ac:dyDescent="0.3">
      <c r="A192" s="78" t="s">
        <v>105</v>
      </c>
      <c r="B192" s="96"/>
      <c r="C192" s="873">
        <f t="shared" ref="C192:I193" si="386">C187/C$185</f>
        <v>0.56690500510725228</v>
      </c>
      <c r="D192" s="873">
        <f t="shared" si="386"/>
        <v>0.5189243027888446</v>
      </c>
      <c r="E192" s="873">
        <f t="shared" si="386"/>
        <v>0.47909967845659163</v>
      </c>
      <c r="F192" s="873">
        <f t="shared" si="386"/>
        <v>0.47410817031070196</v>
      </c>
      <c r="G192" s="483">
        <f t="shared" si="386"/>
        <v>0.34474327628361856</v>
      </c>
      <c r="H192" s="483">
        <f t="shared" si="386"/>
        <v>0.34633027522935778</v>
      </c>
      <c r="I192" s="483">
        <f t="shared" si="386"/>
        <v>0.3672316384180791</v>
      </c>
      <c r="J192" s="483"/>
      <c r="K192" s="873">
        <f t="shared" ref="K192:N193" si="387">K187/K$185</f>
        <v>0.46064814814814814</v>
      </c>
      <c r="L192" s="483">
        <f t="shared" si="387"/>
        <v>0.38242894056847543</v>
      </c>
      <c r="M192" s="483">
        <f t="shared" si="387"/>
        <v>0.39691943127962087</v>
      </c>
      <c r="N192" s="483">
        <f t="shared" si="387"/>
        <v>0.38066825775656327</v>
      </c>
      <c r="O192" s="483"/>
      <c r="P192" s="873">
        <f t="shared" ref="P192:S193" si="388">P187/P$185</f>
        <v>0.49206349206349204</v>
      </c>
      <c r="Q192" s="483">
        <f t="shared" si="388"/>
        <v>0.46035805626598464</v>
      </c>
      <c r="R192" s="483">
        <f t="shared" si="388"/>
        <v>0.45219638242894056</v>
      </c>
      <c r="S192" s="483">
        <f t="shared" si="388"/>
        <v>0.41827541827541825</v>
      </c>
      <c r="T192" s="483"/>
      <c r="U192" s="873">
        <f t="shared" ref="U192:X193" si="389">U187/U$185</f>
        <v>0.5</v>
      </c>
      <c r="V192" s="483">
        <f t="shared" si="389"/>
        <v>0.45283018867924529</v>
      </c>
      <c r="W192" s="483">
        <f t="shared" si="389"/>
        <v>0.45157068062827227</v>
      </c>
      <c r="X192" s="483">
        <f t="shared" si="389"/>
        <v>0.47848101265822784</v>
      </c>
      <c r="Y192" s="483"/>
      <c r="Z192" s="874">
        <f t="shared" ref="Z192:AQ192" si="390">Z187/Z$185</f>
        <v>0.48477157360406092</v>
      </c>
      <c r="AA192" s="82">
        <f t="shared" si="390"/>
        <v>0.43957503320053121</v>
      </c>
      <c r="AB192" s="483">
        <f t="shared" si="390"/>
        <v>0.46005509641873277</v>
      </c>
      <c r="AC192" s="483">
        <f t="shared" si="390"/>
        <v>0.4394506866416979</v>
      </c>
      <c r="AD192" s="82">
        <f t="shared" si="390"/>
        <v>0.5807147346169228</v>
      </c>
      <c r="AE192" s="874">
        <f t="shared" si="390"/>
        <v>0.48026315789473684</v>
      </c>
      <c r="AF192" s="82">
        <f t="shared" si="390"/>
        <v>0.46629213483146065</v>
      </c>
      <c r="AG192" s="483">
        <f t="shared" si="390"/>
        <v>0.40189445196211099</v>
      </c>
      <c r="AH192" s="483">
        <f t="shared" si="390"/>
        <v>0.42394366197183098</v>
      </c>
      <c r="AI192" s="82">
        <f>AI187/AI$185</f>
        <v>0.41503759398496243</v>
      </c>
      <c r="AJ192" s="874">
        <f t="shared" si="390"/>
        <v>0.47592067988668557</v>
      </c>
      <c r="AK192" s="82">
        <f t="shared" si="390"/>
        <v>0.39162929745889385</v>
      </c>
      <c r="AL192" s="483">
        <f t="shared" si="390"/>
        <v>0.45575959933222038</v>
      </c>
      <c r="AM192" s="483">
        <f t="shared" si="390"/>
        <v>0.40960000000000002</v>
      </c>
      <c r="AN192" s="82">
        <f t="shared" si="390"/>
        <v>0.41840277777777779</v>
      </c>
      <c r="AO192" s="874">
        <f t="shared" si="390"/>
        <v>0.46839546191247972</v>
      </c>
      <c r="AP192" s="82">
        <f t="shared" si="390"/>
        <v>0.38110236220472443</v>
      </c>
      <c r="AQ192" s="483">
        <f t="shared" si="390"/>
        <v>0.33446519524617996</v>
      </c>
      <c r="AR192" s="483">
        <f>AR187/AR$185</f>
        <v>0.42456140350877192</v>
      </c>
      <c r="AS192" s="82">
        <f t="shared" ref="AS192:AT192" si="391">AS187/AS$185</f>
        <v>0.43068391866913125</v>
      </c>
      <c r="AT192" s="874">
        <f t="shared" si="391"/>
        <v>0.45205479452054792</v>
      </c>
      <c r="AU192" s="82">
        <f>AU187/AU$185</f>
        <v>0.47947761194029853</v>
      </c>
      <c r="AV192" s="483">
        <f t="shared" ref="AV192:AY193" si="392">AV187/AV$185</f>
        <v>0.46379310344827585</v>
      </c>
      <c r="AW192" s="483">
        <f t="shared" si="392"/>
        <v>0.53767123287671237</v>
      </c>
      <c r="AX192" s="82">
        <f t="shared" si="392"/>
        <v>0.46843853820598008</v>
      </c>
      <c r="AY192" s="874">
        <f t="shared" si="392"/>
        <v>0.55729166666666663</v>
      </c>
      <c r="AZ192" s="82">
        <f t="shared" ref="AZ192:BB193" si="393">AZ187/AZ$185</f>
        <v>0.45395799676898224</v>
      </c>
      <c r="BA192" s="483">
        <f t="shared" si="393"/>
        <v>0.44321766561514198</v>
      </c>
      <c r="BB192" s="483">
        <f t="shared" si="393"/>
        <v>0.47004608294930877</v>
      </c>
      <c r="BC192" s="82">
        <f t="shared" ref="BC192:BE193" si="394">BC187/BC$185</f>
        <v>0.44104134762633995</v>
      </c>
      <c r="BD192" s="874">
        <f t="shared" si="394"/>
        <v>0.45226917057902971</v>
      </c>
      <c r="BE192" s="82">
        <f t="shared" si="394"/>
        <v>0.47292993630573249</v>
      </c>
      <c r="BF192" s="483">
        <f t="shared" ref="BF192:BI193" si="395">BF187/BF$185</f>
        <v>0.5184590690208668</v>
      </c>
      <c r="BG192" s="483">
        <f t="shared" si="395"/>
        <v>0.44</v>
      </c>
      <c r="BH192" s="82">
        <f t="shared" si="395"/>
        <v>0.52941176470588236</v>
      </c>
      <c r="BI192" s="874">
        <f t="shared" si="395"/>
        <v>0.49041533546325877</v>
      </c>
      <c r="BJ192" s="82">
        <f t="shared" ref="BJ192:BL193" si="396">BJ187/BJ$185</f>
        <v>0.49688473520249221</v>
      </c>
      <c r="BK192" s="483">
        <f t="shared" si="396"/>
        <v>0.55172413793103448</v>
      </c>
      <c r="BL192" s="483">
        <f t="shared" si="396"/>
        <v>0.54383116883116878</v>
      </c>
      <c r="BM192" s="82">
        <f t="shared" ref="BM192:BO193" si="397">BM187/BM$185</f>
        <v>0.56583072100313481</v>
      </c>
      <c r="BN192" s="874">
        <f t="shared" si="397"/>
        <v>0.5394321766561514</v>
      </c>
      <c r="BO192" s="82">
        <f t="shared" si="397"/>
        <v>0.58745874587458746</v>
      </c>
      <c r="BP192" s="483">
        <f t="shared" ref="BP192:BS193" si="398">BP187/BP$185</f>
        <v>0.55368098159509205</v>
      </c>
      <c r="BQ192" s="483">
        <f t="shared" si="398"/>
        <v>0.51297709923664125</v>
      </c>
      <c r="BR192" s="82">
        <f t="shared" si="398"/>
        <v>0.50762195121951215</v>
      </c>
      <c r="BS192" s="874">
        <f t="shared" si="398"/>
        <v>0.53810264385692064</v>
      </c>
      <c r="BT192" s="659">
        <f>BT187/BT$185</f>
        <v>0.47704918032786886</v>
      </c>
      <c r="BU192" s="777">
        <v>0.45</v>
      </c>
      <c r="BV192" s="777">
        <v>0.45</v>
      </c>
      <c r="BW192" s="777">
        <v>0.45</v>
      </c>
      <c r="BX192" s="873">
        <f>BX187/BX$185</f>
        <v>0.45635566017547607</v>
      </c>
      <c r="BY192" s="777">
        <v>0.45</v>
      </c>
      <c r="BZ192" s="777">
        <v>0.45</v>
      </c>
      <c r="CA192" s="777">
        <v>0.45</v>
      </c>
      <c r="CB192" s="777">
        <v>0.45</v>
      </c>
      <c r="CC192" s="873">
        <f>CC187/CC$185</f>
        <v>0.45</v>
      </c>
      <c r="CD192" s="875">
        <v>0.5</v>
      </c>
      <c r="CE192" s="875">
        <v>0.5</v>
      </c>
      <c r="CF192" s="875">
        <v>0.5</v>
      </c>
      <c r="CG192" s="82"/>
    </row>
    <row r="193" spans="1:85" s="436" customFormat="1" hidden="1" outlineLevel="1" x14ac:dyDescent="0.3">
      <c r="A193" s="78" t="s">
        <v>106</v>
      </c>
      <c r="B193" s="96"/>
      <c r="C193" s="873">
        <f t="shared" si="386"/>
        <v>1.3237997957099081</v>
      </c>
      <c r="D193" s="873">
        <f t="shared" si="386"/>
        <v>1.2380478087649402</v>
      </c>
      <c r="E193" s="873">
        <f t="shared" si="386"/>
        <v>1.3344051446945338</v>
      </c>
      <c r="F193" s="873">
        <f t="shared" si="386"/>
        <v>1.3141542002301496</v>
      </c>
      <c r="G193" s="483">
        <f t="shared" si="386"/>
        <v>0.86552567237163813</v>
      </c>
      <c r="H193" s="483">
        <f t="shared" si="386"/>
        <v>0.875</v>
      </c>
      <c r="I193" s="483">
        <f t="shared" si="386"/>
        <v>0.86101694915254234</v>
      </c>
      <c r="J193" s="483"/>
      <c r="K193" s="873">
        <f t="shared" si="387"/>
        <v>1.3090277777777777</v>
      </c>
      <c r="L193" s="483">
        <f t="shared" si="387"/>
        <v>0.83720930232558144</v>
      </c>
      <c r="M193" s="483">
        <f t="shared" si="387"/>
        <v>0.87914691943127965</v>
      </c>
      <c r="N193" s="483">
        <f t="shared" si="387"/>
        <v>0.83890214797136042</v>
      </c>
      <c r="O193" s="483"/>
      <c r="P193" s="873">
        <f t="shared" si="388"/>
        <v>1.3406593406593406</v>
      </c>
      <c r="Q193" s="483">
        <f t="shared" si="388"/>
        <v>0.93989769820971869</v>
      </c>
      <c r="R193" s="483">
        <f t="shared" si="388"/>
        <v>0.98320413436692511</v>
      </c>
      <c r="S193" s="483">
        <f t="shared" si="388"/>
        <v>0.98069498069498073</v>
      </c>
      <c r="T193" s="483"/>
      <c r="U193" s="873">
        <f t="shared" si="389"/>
        <v>1.4370179948586119</v>
      </c>
      <c r="V193" s="483">
        <f t="shared" si="389"/>
        <v>0.88930817610062896</v>
      </c>
      <c r="W193" s="483">
        <f t="shared" si="389"/>
        <v>0.97120418848167545</v>
      </c>
      <c r="X193" s="483">
        <f t="shared" si="389"/>
        <v>0.88607594936708856</v>
      </c>
      <c r="Y193" s="483"/>
      <c r="Z193" s="874">
        <f t="shared" ref="Z193:AQ193" si="399">Z188/Z$185</f>
        <v>1.3705583756345177</v>
      </c>
      <c r="AA193" s="82">
        <f t="shared" si="399"/>
        <v>1</v>
      </c>
      <c r="AB193" s="483">
        <f t="shared" si="399"/>
        <v>1.0578512396694215</v>
      </c>
      <c r="AC193" s="483">
        <f t="shared" si="399"/>
        <v>1.0424469413233459</v>
      </c>
      <c r="AD193" s="82">
        <f t="shared" si="399"/>
        <v>1.4146860538193455</v>
      </c>
      <c r="AE193" s="874">
        <f t="shared" si="399"/>
        <v>1.4842105263157894</v>
      </c>
      <c r="AF193" s="82">
        <f t="shared" si="399"/>
        <v>1.0435393258426966</v>
      </c>
      <c r="AG193" s="483">
        <f t="shared" si="399"/>
        <v>1.0825439783491204</v>
      </c>
      <c r="AH193" s="483">
        <f t="shared" si="399"/>
        <v>1.0788732394366196</v>
      </c>
      <c r="AI193" s="82">
        <f t="shared" si="399"/>
        <v>1.4870709382151028</v>
      </c>
      <c r="AJ193" s="874">
        <f t="shared" si="399"/>
        <v>1.5594900849858357</v>
      </c>
      <c r="AK193" s="82">
        <f t="shared" si="399"/>
        <v>1.7234678624813153</v>
      </c>
      <c r="AL193" s="483">
        <f t="shared" si="399"/>
        <v>1.0851419031719534</v>
      </c>
      <c r="AM193" s="483">
        <f t="shared" si="399"/>
        <v>1.1215999999999999</v>
      </c>
      <c r="AN193" s="82">
        <f t="shared" si="399"/>
        <v>1.8003472222222223</v>
      </c>
      <c r="AO193" s="874">
        <f t="shared" si="399"/>
        <v>1.6823338735818476</v>
      </c>
      <c r="AP193" s="82">
        <f t="shared" si="399"/>
        <v>1.0629921259842521</v>
      </c>
      <c r="AQ193" s="483">
        <f t="shared" si="399"/>
        <v>0.94397283531409171</v>
      </c>
      <c r="AR193" s="483">
        <f>AR188/AR$185</f>
        <v>1.2105263157894737</v>
      </c>
      <c r="AS193" s="82">
        <f t="shared" ref="AS193:AU193" si="400">AS188/AS$185</f>
        <v>1.1829944547134936</v>
      </c>
      <c r="AT193" s="874">
        <f t="shared" si="400"/>
        <v>1.0965500785986975</v>
      </c>
      <c r="AU193" s="82">
        <f t="shared" si="400"/>
        <v>1.25</v>
      </c>
      <c r="AV193" s="483">
        <f t="shared" si="392"/>
        <v>1.1568965517241379</v>
      </c>
      <c r="AW193" s="483">
        <f t="shared" si="392"/>
        <v>1.2277397260273972</v>
      </c>
      <c r="AX193" s="82">
        <f t="shared" si="392"/>
        <v>1.1428571428571428</v>
      </c>
      <c r="AY193" s="874">
        <f t="shared" si="392"/>
        <v>1.1920709665144598</v>
      </c>
      <c r="AZ193" s="82">
        <f t="shared" si="393"/>
        <v>1.1195476575121164</v>
      </c>
      <c r="BA193" s="483">
        <f t="shared" si="393"/>
        <v>1.0615141955835963</v>
      </c>
      <c r="BB193" s="483">
        <f t="shared" si="393"/>
        <v>1.1244239631336406</v>
      </c>
      <c r="BC193" s="82">
        <f t="shared" si="394"/>
        <v>1.1837672281776417</v>
      </c>
      <c r="BD193" s="874">
        <f t="shared" si="394"/>
        <v>1.1236435354899565</v>
      </c>
      <c r="BE193" s="82">
        <f t="shared" si="394"/>
        <v>1.2420382165605095</v>
      </c>
      <c r="BF193" s="483">
        <f t="shared" si="395"/>
        <v>1.2263242375601926</v>
      </c>
      <c r="BG193" s="483">
        <f t="shared" si="395"/>
        <v>1.2096</v>
      </c>
      <c r="BH193" s="82">
        <f t="shared" si="395"/>
        <v>1.1192368839427662</v>
      </c>
      <c r="BI193" s="874">
        <f t="shared" si="395"/>
        <v>1.1993697754825157</v>
      </c>
      <c r="BJ193" s="82">
        <f t="shared" si="396"/>
        <v>1.1246105919003115</v>
      </c>
      <c r="BK193" s="483">
        <f t="shared" si="396"/>
        <v>1.1583072100313481</v>
      </c>
      <c r="BL193" s="483">
        <f t="shared" si="396"/>
        <v>1.2694805194805194</v>
      </c>
      <c r="BM193" s="82">
        <f t="shared" si="397"/>
        <v>1.2633228840125392</v>
      </c>
      <c r="BN193" s="874">
        <f t="shared" si="397"/>
        <v>1.2025607212425229</v>
      </c>
      <c r="BO193" s="82">
        <f t="shared" si="397"/>
        <v>1.136963696369637</v>
      </c>
      <c r="BP193" s="483">
        <f t="shared" si="398"/>
        <v>1.1073619631901841</v>
      </c>
      <c r="BQ193" s="483">
        <f t="shared" si="398"/>
        <v>1.2106870229007634</v>
      </c>
      <c r="BR193" s="82">
        <f t="shared" si="398"/>
        <v>1.2576219512195121</v>
      </c>
      <c r="BS193" s="874">
        <f t="shared" si="398"/>
        <v>1.1784145380174269</v>
      </c>
      <c r="BT193" s="659">
        <f>BT188/BT$185</f>
        <v>1.3081967213114754</v>
      </c>
      <c r="BU193" s="777">
        <v>1.4</v>
      </c>
      <c r="BV193" s="777">
        <v>1.2</v>
      </c>
      <c r="BW193" s="777">
        <v>1.1000000000000001</v>
      </c>
      <c r="BX193" s="873">
        <f>BX188/BX$185</f>
        <v>1.2504600898780227</v>
      </c>
      <c r="BY193" s="777">
        <v>1.3</v>
      </c>
      <c r="BZ193" s="777">
        <v>1.4</v>
      </c>
      <c r="CA193" s="777">
        <v>1.4</v>
      </c>
      <c r="CB193" s="777">
        <v>1.3</v>
      </c>
      <c r="CC193" s="873">
        <f>CC188/CC$185</f>
        <v>1.3501369863013697</v>
      </c>
      <c r="CD193" s="875">
        <v>1.4</v>
      </c>
      <c r="CE193" s="875">
        <v>1.4</v>
      </c>
      <c r="CF193" s="875">
        <v>1.4</v>
      </c>
      <c r="CG193" s="82"/>
    </row>
    <row r="194" spans="1:85" s="427" customFormat="1" hidden="1" outlineLevel="1" x14ac:dyDescent="0.3">
      <c r="A194" s="65"/>
      <c r="B194" s="66"/>
      <c r="C194" s="872"/>
      <c r="D194" s="872"/>
      <c r="E194" s="872"/>
      <c r="F194" s="872"/>
      <c r="G194" s="742"/>
      <c r="H194" s="742"/>
      <c r="I194" s="742"/>
      <c r="J194" s="742"/>
      <c r="K194" s="872"/>
      <c r="L194" s="742"/>
      <c r="M194" s="742"/>
      <c r="N194" s="742"/>
      <c r="O194" s="742"/>
      <c r="P194" s="872"/>
      <c r="Q194" s="742"/>
      <c r="R194" s="742"/>
      <c r="S194" s="742"/>
      <c r="T194" s="742"/>
      <c r="U194" s="872"/>
      <c r="V194" s="742"/>
      <c r="W194" s="742"/>
      <c r="X194" s="742"/>
      <c r="Y194" s="742"/>
      <c r="Z194" s="872"/>
      <c r="AA194" s="742"/>
      <c r="AB194" s="742"/>
      <c r="AC194" s="742"/>
      <c r="AD194" s="742"/>
      <c r="AE194" s="872"/>
      <c r="AF194" s="742"/>
      <c r="AG194" s="742"/>
      <c r="AH194" s="742"/>
      <c r="AI194" s="742"/>
      <c r="AJ194" s="872"/>
      <c r="AK194" s="742"/>
      <c r="AL194" s="742"/>
      <c r="AM194" s="742"/>
      <c r="AN194" s="742"/>
      <c r="AO194" s="872"/>
      <c r="AP194" s="742"/>
      <c r="AQ194" s="742"/>
      <c r="AR194" s="742"/>
      <c r="AS194" s="742"/>
      <c r="AT194" s="872"/>
      <c r="AU194" s="742"/>
      <c r="AV194" s="742"/>
      <c r="AW194" s="742"/>
      <c r="AX194" s="742"/>
      <c r="AY194" s="872"/>
      <c r="AZ194" s="742"/>
      <c r="BA194" s="742"/>
      <c r="BB194" s="742"/>
      <c r="BC194" s="742"/>
      <c r="BD194" s="872"/>
      <c r="BE194" s="742"/>
      <c r="BF194" s="742"/>
      <c r="BG194" s="742"/>
      <c r="BH194" s="742"/>
      <c r="BI194" s="872"/>
      <c r="BJ194" s="742"/>
      <c r="BK194" s="742"/>
      <c r="BL194" s="742"/>
      <c r="BM194" s="742"/>
      <c r="BN194" s="872"/>
      <c r="BO194" s="742"/>
      <c r="BP194" s="742"/>
      <c r="BQ194" s="742"/>
      <c r="BR194" s="742"/>
      <c r="BS194" s="872"/>
      <c r="BT194" s="743"/>
      <c r="BU194" s="742"/>
      <c r="BV194" s="742"/>
      <c r="BW194" s="742"/>
      <c r="BX194" s="872"/>
      <c r="BY194" s="742"/>
      <c r="BZ194" s="742"/>
      <c r="CA194" s="742"/>
      <c r="CB194" s="742"/>
      <c r="CC194" s="872"/>
      <c r="CD194" s="872"/>
      <c r="CE194" s="872"/>
      <c r="CF194" s="872"/>
      <c r="CG194" s="321"/>
    </row>
    <row r="195" spans="1:85" s="429" customFormat="1" hidden="1" outlineLevel="1" x14ac:dyDescent="0.3">
      <c r="A195" s="48" t="s">
        <v>107</v>
      </c>
      <c r="B195" s="63"/>
      <c r="C195" s="851">
        <v>88</v>
      </c>
      <c r="D195" s="851">
        <v>78</v>
      </c>
      <c r="E195" s="851">
        <v>63</v>
      </c>
      <c r="F195" s="851">
        <v>64</v>
      </c>
      <c r="G195" s="770">
        <v>67</v>
      </c>
      <c r="H195" s="770">
        <v>55</v>
      </c>
      <c r="I195" s="770">
        <v>63</v>
      </c>
      <c r="J195" s="31">
        <f>J200/J3*1000</f>
        <v>63.032608695652165</v>
      </c>
      <c r="K195" s="851">
        <v>62</v>
      </c>
      <c r="L195" s="770">
        <v>54</v>
      </c>
      <c r="M195" s="770">
        <v>56</v>
      </c>
      <c r="N195" s="770">
        <v>55</v>
      </c>
      <c r="O195" s="31">
        <f>O200/O3*1000</f>
        <v>66.891304347826122</v>
      </c>
      <c r="P195" s="851">
        <v>58</v>
      </c>
      <c r="Q195" s="770">
        <v>80</v>
      </c>
      <c r="R195" s="770">
        <v>60</v>
      </c>
      <c r="S195" s="770">
        <v>57</v>
      </c>
      <c r="T195" s="31">
        <f>T200/T3*1000</f>
        <v>63.271739130434796</v>
      </c>
      <c r="U195" s="851">
        <v>65</v>
      </c>
      <c r="V195" s="770">
        <v>64</v>
      </c>
      <c r="W195" s="770">
        <v>68</v>
      </c>
      <c r="X195" s="770">
        <v>46</v>
      </c>
      <c r="Y195" s="31">
        <f>Y200/Y3*1000</f>
        <v>66.108695652173921</v>
      </c>
      <c r="Z195" s="851">
        <v>61</v>
      </c>
      <c r="AA195" s="770">
        <v>65</v>
      </c>
      <c r="AB195" s="770">
        <v>68</v>
      </c>
      <c r="AC195" s="770">
        <v>62</v>
      </c>
      <c r="AD195" s="31">
        <f>AD200/AD3*1000</f>
        <v>61.065217391304337</v>
      </c>
      <c r="AE195" s="851">
        <v>64</v>
      </c>
      <c r="AF195" s="770">
        <v>60</v>
      </c>
      <c r="AG195" s="770">
        <v>62</v>
      </c>
      <c r="AH195" s="770">
        <v>64</v>
      </c>
      <c r="AI195" s="31">
        <f>AI200/AI3*1000</f>
        <v>61.956521739130423</v>
      </c>
      <c r="AJ195" s="851">
        <v>62</v>
      </c>
      <c r="AK195" s="770">
        <v>74</v>
      </c>
      <c r="AL195" s="770">
        <v>81</v>
      </c>
      <c r="AM195" s="770">
        <v>71</v>
      </c>
      <c r="AN195" s="31">
        <f>(AO195*AO$3-SUM(AK195*AK$3,AL195*AL$3,AM195*AM$3))/AN$3</f>
        <v>62.141304347826086</v>
      </c>
      <c r="AO195" s="851">
        <v>72</v>
      </c>
      <c r="AP195" s="770">
        <v>81</v>
      </c>
      <c r="AQ195" s="770">
        <v>73</v>
      </c>
      <c r="AR195" s="770">
        <v>80</v>
      </c>
      <c r="AS195" s="31">
        <f>(AT195*AT$3-SUM(AP195*AP$3,AQ195*AQ$3,AR195*AR$3))/AS$3</f>
        <v>62.065217391304351</v>
      </c>
      <c r="AT195" s="851">
        <v>74</v>
      </c>
      <c r="AU195" s="770">
        <v>76</v>
      </c>
      <c r="AV195" s="770">
        <v>74</v>
      </c>
      <c r="AW195" s="770">
        <v>129</v>
      </c>
      <c r="AX195" s="31">
        <f>(AY195*AY$3-SUM(AU195*AU$3,AV195*AV$3,AW195*AW$3))/AX$3</f>
        <v>104.32608695652173</v>
      </c>
      <c r="AY195" s="851">
        <v>96</v>
      </c>
      <c r="AZ195" s="770">
        <v>120</v>
      </c>
      <c r="BA195" s="770">
        <v>141</v>
      </c>
      <c r="BB195" s="770">
        <v>123</v>
      </c>
      <c r="BC195" s="31">
        <f>(BD195*BD$3-SUM(AZ195*AZ$3,BA195*BA$3,BB195*BB$3))/BC$3</f>
        <v>124</v>
      </c>
      <c r="BD195" s="851">
        <v>127</v>
      </c>
      <c r="BE195" s="770">
        <v>137</v>
      </c>
      <c r="BF195" s="770">
        <v>177</v>
      </c>
      <c r="BG195" s="770">
        <v>174</v>
      </c>
      <c r="BH195" s="770">
        <v>126</v>
      </c>
      <c r="BI195" s="851">
        <v>153</v>
      </c>
      <c r="BJ195" s="770">
        <v>139</v>
      </c>
      <c r="BK195" s="770">
        <v>117</v>
      </c>
      <c r="BL195" s="770">
        <v>152</v>
      </c>
      <c r="BM195" s="770">
        <v>136</v>
      </c>
      <c r="BN195" s="851">
        <v>136</v>
      </c>
      <c r="BO195" s="770">
        <v>123</v>
      </c>
      <c r="BP195" s="770">
        <v>124</v>
      </c>
      <c r="BQ195" s="770">
        <v>109</v>
      </c>
      <c r="BR195" s="770">
        <v>138</v>
      </c>
      <c r="BS195" s="851">
        <v>123</v>
      </c>
      <c r="BT195" s="776">
        <v>111</v>
      </c>
      <c r="BU195" s="770">
        <v>140</v>
      </c>
      <c r="BV195" s="770">
        <v>120</v>
      </c>
      <c r="BW195" s="770">
        <v>150</v>
      </c>
      <c r="BX195" s="825">
        <f>BX200/BX3*1000</f>
        <v>130.32876712328763</v>
      </c>
      <c r="BY195" s="770">
        <v>130</v>
      </c>
      <c r="BZ195" s="770">
        <v>140</v>
      </c>
      <c r="CA195" s="770">
        <v>150</v>
      </c>
      <c r="CB195" s="770">
        <v>150</v>
      </c>
      <c r="CC195" s="825">
        <f>CC200/CC3*1000</f>
        <v>142.57534246575341</v>
      </c>
      <c r="CD195" s="851">
        <v>175</v>
      </c>
      <c r="CE195" s="851">
        <v>175</v>
      </c>
      <c r="CF195" s="851">
        <v>175</v>
      </c>
      <c r="CG195" s="26"/>
    </row>
    <row r="196" spans="1:85" s="427" customFormat="1" hidden="1" outlineLevel="1" x14ac:dyDescent="0.3">
      <c r="A196" s="65"/>
      <c r="B196" s="66"/>
      <c r="C196" s="872"/>
      <c r="D196" s="872"/>
      <c r="E196" s="872"/>
      <c r="F196" s="872"/>
      <c r="G196" s="742"/>
      <c r="H196" s="742"/>
      <c r="I196" s="742"/>
      <c r="J196" s="742"/>
      <c r="K196" s="872"/>
      <c r="L196" s="742"/>
      <c r="M196" s="742"/>
      <c r="N196" s="742"/>
      <c r="O196" s="742"/>
      <c r="P196" s="872"/>
      <c r="Q196" s="742"/>
      <c r="R196" s="742"/>
      <c r="S196" s="742"/>
      <c r="T196" s="742"/>
      <c r="U196" s="872"/>
      <c r="V196" s="742"/>
      <c r="W196" s="742"/>
      <c r="X196" s="742"/>
      <c r="Y196" s="742"/>
      <c r="Z196" s="872"/>
      <c r="AA196" s="742"/>
      <c r="AB196" s="742"/>
      <c r="AC196" s="742"/>
      <c r="AD196" s="742"/>
      <c r="AE196" s="872"/>
      <c r="AF196" s="742"/>
      <c r="AG196" s="742"/>
      <c r="AH196" s="742"/>
      <c r="AI196" s="742"/>
      <c r="AJ196" s="872"/>
      <c r="AK196" s="742"/>
      <c r="AL196" s="742"/>
      <c r="AM196" s="742"/>
      <c r="AN196" s="742"/>
      <c r="AO196" s="872"/>
      <c r="AP196" s="742"/>
      <c r="AQ196" s="742"/>
      <c r="AR196" s="742"/>
      <c r="AS196" s="742"/>
      <c r="AT196" s="872"/>
      <c r="AU196" s="742"/>
      <c r="AV196" s="742"/>
      <c r="AW196" s="742"/>
      <c r="AX196" s="742"/>
      <c r="AY196" s="872"/>
      <c r="AZ196" s="742"/>
      <c r="BA196" s="742"/>
      <c r="BB196" s="742"/>
      <c r="BC196" s="742"/>
      <c r="BD196" s="872"/>
      <c r="BE196" s="742"/>
      <c r="BF196" s="742"/>
      <c r="BG196" s="742"/>
      <c r="BH196" s="742"/>
      <c r="BI196" s="872"/>
      <c r="BJ196" s="742"/>
      <c r="BK196" s="742"/>
      <c r="BL196" s="742"/>
      <c r="BM196" s="742"/>
      <c r="BN196" s="872"/>
      <c r="BO196" s="742"/>
      <c r="BP196" s="742"/>
      <c r="BQ196" s="742"/>
      <c r="BR196" s="742"/>
      <c r="BS196" s="872"/>
      <c r="BT196" s="743"/>
      <c r="BU196" s="742"/>
      <c r="BV196" s="742"/>
      <c r="BW196" s="742"/>
      <c r="BX196" s="872"/>
      <c r="BY196" s="742"/>
      <c r="BZ196" s="742"/>
      <c r="CA196" s="742"/>
      <c r="CB196" s="742"/>
      <c r="CC196" s="872"/>
      <c r="CD196" s="872"/>
      <c r="CE196" s="872"/>
      <c r="CF196" s="872"/>
      <c r="CG196" s="321"/>
    </row>
    <row r="197" spans="1:85" s="428" customFormat="1" hidden="1" outlineLevel="1" x14ac:dyDescent="0.3">
      <c r="A197" s="43" t="s">
        <v>108</v>
      </c>
      <c r="B197" s="64"/>
      <c r="C197" s="821">
        <f t="shared" ref="C197:I198" si="401">C187*C$3/1000</f>
        <v>202.57499999999999</v>
      </c>
      <c r="D197" s="821">
        <f t="shared" si="401"/>
        <v>190.16499999999999</v>
      </c>
      <c r="E197" s="821">
        <f t="shared" si="401"/>
        <v>163.155</v>
      </c>
      <c r="F197" s="821">
        <f t="shared" si="401"/>
        <v>150.792</v>
      </c>
      <c r="G197" s="37">
        <f t="shared" si="401"/>
        <v>25.38</v>
      </c>
      <c r="H197" s="37">
        <f t="shared" si="401"/>
        <v>27.481999999999999</v>
      </c>
      <c r="I197" s="37">
        <f t="shared" si="401"/>
        <v>29.9</v>
      </c>
      <c r="J197" s="37"/>
      <c r="K197" s="821">
        <f t="shared" ref="K197:N198" si="402">K187*K$3/1000</f>
        <v>145.27000000000001</v>
      </c>
      <c r="L197" s="37">
        <f t="shared" si="402"/>
        <v>26.64</v>
      </c>
      <c r="M197" s="37">
        <f t="shared" si="402"/>
        <v>30.484999999999999</v>
      </c>
      <c r="N197" s="37">
        <f t="shared" si="402"/>
        <v>29.347999999999999</v>
      </c>
      <c r="O197" s="37"/>
      <c r="P197" s="821">
        <f t="shared" ref="P197:S198" si="403">P187*P$3/1000</f>
        <v>147.095</v>
      </c>
      <c r="Q197" s="37">
        <f t="shared" si="403"/>
        <v>32.4</v>
      </c>
      <c r="R197" s="37">
        <f t="shared" si="403"/>
        <v>31.85</v>
      </c>
      <c r="S197" s="37">
        <f t="shared" si="403"/>
        <v>29.9</v>
      </c>
      <c r="T197" s="37"/>
      <c r="U197" s="821">
        <f t="shared" ref="U197:X198" si="404">U187*U$3/1000</f>
        <v>141.98500000000001</v>
      </c>
      <c r="V197" s="37">
        <f t="shared" si="404"/>
        <v>32.76</v>
      </c>
      <c r="W197" s="37">
        <f t="shared" si="404"/>
        <v>31.395</v>
      </c>
      <c r="X197" s="37">
        <f t="shared" si="404"/>
        <v>34.776000000000003</v>
      </c>
      <c r="Y197" s="37"/>
      <c r="Z197" s="852">
        <f t="shared" ref="Z197:AC198" si="405">Z187*Z$3/1000</f>
        <v>139.81200000000001</v>
      </c>
      <c r="AA197" s="22">
        <f t="shared" si="405"/>
        <v>29.79</v>
      </c>
      <c r="AB197" s="37">
        <f t="shared" si="405"/>
        <v>30.393999999999998</v>
      </c>
      <c r="AC197" s="37">
        <f t="shared" si="405"/>
        <v>32.384</v>
      </c>
      <c r="AD197" s="22">
        <f>AE197-SUM(AA197,AB197,AC197)</f>
        <v>40.656999999999996</v>
      </c>
      <c r="AE197" s="852">
        <f t="shared" ref="AE197:AH198" si="406">AE187*AE$3/1000</f>
        <v>133.22499999999999</v>
      </c>
      <c r="AF197" s="22">
        <f t="shared" si="406"/>
        <v>29.88</v>
      </c>
      <c r="AG197" s="37">
        <f t="shared" si="406"/>
        <v>27.027000000000001</v>
      </c>
      <c r="AH197" s="37">
        <f t="shared" si="406"/>
        <v>27.692</v>
      </c>
      <c r="AI197" s="22">
        <f>AJ197-SUM(AF197,AG197,AH197)</f>
        <v>38.041000000000011</v>
      </c>
      <c r="AJ197" s="852">
        <f t="shared" ref="AJ197:AM198" si="407">AJ187*AJ$3/1000</f>
        <v>122.64</v>
      </c>
      <c r="AK197" s="22">
        <f t="shared" si="407"/>
        <v>23.58</v>
      </c>
      <c r="AL197" s="37">
        <f t="shared" si="407"/>
        <v>24.843</v>
      </c>
      <c r="AM197" s="37">
        <f t="shared" si="407"/>
        <v>23.552</v>
      </c>
      <c r="AN197" s="22">
        <f>AO197-SUM(AK197,AL197,AM197)</f>
        <v>33.510000000000005</v>
      </c>
      <c r="AO197" s="852">
        <f t="shared" ref="AO197:AQ199" si="408">AO187*AO$3/1000</f>
        <v>105.485</v>
      </c>
      <c r="AP197" s="22">
        <f t="shared" si="408"/>
        <v>22.021999999999998</v>
      </c>
      <c r="AQ197" s="37">
        <f t="shared" si="408"/>
        <v>17.927</v>
      </c>
      <c r="AR197" s="37">
        <f>AR187*AR$3/1000</f>
        <v>22.263999999999999</v>
      </c>
      <c r="AS197" s="22">
        <f>AT197-SUM(AP197,AQ197,AR197)</f>
        <v>34.411000000000001</v>
      </c>
      <c r="AT197" s="852">
        <f t="shared" ref="AT197:AU197" si="409">AT187*AT$3/1000</f>
        <v>96.623999999999995</v>
      </c>
      <c r="AU197" s="22">
        <f t="shared" si="409"/>
        <v>23.13</v>
      </c>
      <c r="AV197" s="37">
        <f t="shared" ref="AV197:AW199" si="410">AV187*AV$3/1000</f>
        <v>24.478999999999999</v>
      </c>
      <c r="AW197" s="37">
        <f t="shared" si="410"/>
        <v>28.888000000000002</v>
      </c>
      <c r="AX197" s="22">
        <f>AY197-SUM(AU197,AV197,AW197)</f>
        <v>40.668000000000006</v>
      </c>
      <c r="AY197" s="852">
        <f t="shared" ref="AY197:AZ199" si="411">AY187*AY$3/1000</f>
        <v>117.16500000000001</v>
      </c>
      <c r="AZ197" s="22">
        <f t="shared" si="411"/>
        <v>25.29</v>
      </c>
      <c r="BA197" s="37">
        <f t="shared" ref="BA197:BB199" si="412">BA187*BA$3/1000</f>
        <v>25.571000000000002</v>
      </c>
      <c r="BB197" s="37">
        <f t="shared" si="412"/>
        <v>28.152000000000001</v>
      </c>
      <c r="BC197" s="22">
        <f t="shared" ref="BC197" si="413">BC187*BC$3/1000</f>
        <v>26.495999999999999</v>
      </c>
      <c r="BD197" s="852">
        <f t="shared" ref="BD197:BD199" si="414">BD187*BD$3/1000</f>
        <v>105.485</v>
      </c>
      <c r="BE197" s="22">
        <f t="shared" ref="BE197:BF199" si="415">BE187*BE$3/1000</f>
        <v>26.73</v>
      </c>
      <c r="BF197" s="37">
        <f t="shared" si="415"/>
        <v>29.393000000000001</v>
      </c>
      <c r="BG197" s="37">
        <f t="shared" ref="BG197:BI199" si="416">BG187*BG$3/1000</f>
        <v>25.3</v>
      </c>
      <c r="BH197" s="22">
        <f t="shared" si="416"/>
        <v>30.635999999999999</v>
      </c>
      <c r="BI197" s="852">
        <f t="shared" si="416"/>
        <v>112.05500000000001</v>
      </c>
      <c r="BJ197" s="22">
        <f t="shared" ref="BJ197:BK199" si="417">BJ187*BJ$3/1000</f>
        <v>29.029</v>
      </c>
      <c r="BK197" s="37">
        <f t="shared" si="417"/>
        <v>32.031999999999996</v>
      </c>
      <c r="BL197" s="37">
        <f t="shared" ref="BL197:BN199" si="418">BL187*BL$3/1000</f>
        <v>30.82</v>
      </c>
      <c r="BM197" s="22">
        <f t="shared" si="418"/>
        <v>33.212000000000003</v>
      </c>
      <c r="BN197" s="852">
        <f t="shared" si="418"/>
        <v>125.172</v>
      </c>
      <c r="BO197" s="22">
        <f t="shared" ref="BO197:BP199" si="419">BO187*BO$3/1000</f>
        <v>32.04</v>
      </c>
      <c r="BP197" s="37">
        <f t="shared" si="419"/>
        <v>32.850999999999999</v>
      </c>
      <c r="BQ197" s="37">
        <f t="shared" ref="BQ197:BW199" si="420">BQ187*BQ$3/1000</f>
        <v>30.911999999999999</v>
      </c>
      <c r="BR197" s="22">
        <f t="shared" si="420"/>
        <v>30.635999999999999</v>
      </c>
      <c r="BS197" s="852">
        <f t="shared" si="420"/>
        <v>126.29</v>
      </c>
      <c r="BT197" s="648">
        <f>BT187*BT$3/1000</f>
        <v>26.19</v>
      </c>
      <c r="BU197" s="37">
        <f t="shared" si="420"/>
        <v>26.6175</v>
      </c>
      <c r="BV197" s="37">
        <f t="shared" si="420"/>
        <v>26.91</v>
      </c>
      <c r="BW197" s="37">
        <f t="shared" si="420"/>
        <v>26.91</v>
      </c>
      <c r="BX197" s="821">
        <f>SUM(BT197,BU197,BV197,BW197)</f>
        <v>106.6275</v>
      </c>
      <c r="BY197" s="37">
        <f t="shared" ref="BY197:CB199" si="421">BY187*BY$3/1000</f>
        <v>26.324999999999999</v>
      </c>
      <c r="BZ197" s="37">
        <f t="shared" si="421"/>
        <v>26.6175</v>
      </c>
      <c r="CA197" s="37">
        <f t="shared" si="421"/>
        <v>26.91</v>
      </c>
      <c r="CB197" s="37">
        <f t="shared" si="421"/>
        <v>26.91</v>
      </c>
      <c r="CC197" s="821">
        <f>SUM(BY197,BZ197,CA197,CB197)</f>
        <v>106.76249999999999</v>
      </c>
      <c r="CD197" s="821">
        <f>CD187*CD3/1000</f>
        <v>123.52500000000001</v>
      </c>
      <c r="CE197" s="821">
        <f>CE187*CE3/1000</f>
        <v>123.1875</v>
      </c>
      <c r="CF197" s="821">
        <f>CF187*CF3/1000</f>
        <v>123.1875</v>
      </c>
      <c r="CG197" s="22"/>
    </row>
    <row r="198" spans="1:85" s="428" customFormat="1" hidden="1" outlineLevel="1" x14ac:dyDescent="0.3">
      <c r="A198" s="43" t="s">
        <v>109</v>
      </c>
      <c r="B198" s="64"/>
      <c r="C198" s="821">
        <f t="shared" si="401"/>
        <v>473.04</v>
      </c>
      <c r="D198" s="821">
        <f t="shared" si="401"/>
        <v>453.69499999999999</v>
      </c>
      <c r="E198" s="821">
        <f t="shared" si="401"/>
        <v>454.42500000000001</v>
      </c>
      <c r="F198" s="821">
        <f t="shared" si="401"/>
        <v>417.97199999999998</v>
      </c>
      <c r="G198" s="37">
        <f t="shared" si="401"/>
        <v>63.72</v>
      </c>
      <c r="H198" s="37">
        <f t="shared" si="401"/>
        <v>69.433000000000007</v>
      </c>
      <c r="I198" s="37">
        <f t="shared" si="401"/>
        <v>70.103999999999999</v>
      </c>
      <c r="J198" s="37"/>
      <c r="K198" s="821">
        <f t="shared" si="402"/>
        <v>412.815</v>
      </c>
      <c r="L198" s="37">
        <f t="shared" si="402"/>
        <v>58.32</v>
      </c>
      <c r="M198" s="37">
        <f t="shared" si="402"/>
        <v>67.522000000000006</v>
      </c>
      <c r="N198" s="37">
        <f t="shared" si="402"/>
        <v>64.676000000000002</v>
      </c>
      <c r="O198" s="37"/>
      <c r="P198" s="821">
        <f t="shared" si="403"/>
        <v>400.77</v>
      </c>
      <c r="Q198" s="37">
        <f t="shared" si="403"/>
        <v>66.150000000000006</v>
      </c>
      <c r="R198" s="37">
        <f t="shared" si="403"/>
        <v>69.251000000000005</v>
      </c>
      <c r="S198" s="37">
        <f t="shared" si="403"/>
        <v>70.103999999999999</v>
      </c>
      <c r="T198" s="37"/>
      <c r="U198" s="821">
        <f t="shared" si="404"/>
        <v>408.07</v>
      </c>
      <c r="V198" s="37">
        <f t="shared" si="404"/>
        <v>64.337000000000003</v>
      </c>
      <c r="W198" s="37">
        <f t="shared" si="404"/>
        <v>67.522000000000006</v>
      </c>
      <c r="X198" s="37">
        <f t="shared" si="404"/>
        <v>64.400000000000006</v>
      </c>
      <c r="Y198" s="37"/>
      <c r="Z198" s="852">
        <f t="shared" si="405"/>
        <v>395.28</v>
      </c>
      <c r="AA198" s="22">
        <f t="shared" si="405"/>
        <v>67.77</v>
      </c>
      <c r="AB198" s="37">
        <f t="shared" si="405"/>
        <v>69.888000000000005</v>
      </c>
      <c r="AC198" s="37">
        <f t="shared" si="405"/>
        <v>76.819999999999993</v>
      </c>
      <c r="AD198" s="22">
        <f>AE198-SUM(AA198,AB198,AC198,AA199,AB199,AC199)</f>
        <v>99.045000000000016</v>
      </c>
      <c r="AE198" s="852">
        <f t="shared" si="406"/>
        <v>411.72</v>
      </c>
      <c r="AF198" s="22">
        <f t="shared" si="406"/>
        <v>66.87</v>
      </c>
      <c r="AG198" s="37">
        <f t="shared" si="406"/>
        <v>72.8</v>
      </c>
      <c r="AH198" s="37">
        <f t="shared" si="406"/>
        <v>70.471999999999994</v>
      </c>
      <c r="AI198" s="22">
        <f>AJ198-SUM(AF198,AG198,AH198,AF199,AG199,AH199)</f>
        <v>90.978999999999985</v>
      </c>
      <c r="AJ198" s="852">
        <f t="shared" si="407"/>
        <v>401.86500000000001</v>
      </c>
      <c r="AK198" s="22">
        <f t="shared" si="407"/>
        <v>103.77</v>
      </c>
      <c r="AL198" s="37">
        <f t="shared" si="407"/>
        <v>59.15</v>
      </c>
      <c r="AM198" s="37">
        <f t="shared" si="407"/>
        <v>64.492000000000004</v>
      </c>
      <c r="AN198" s="22">
        <f>AO198-SUM(AK198,AL198,AM198,AK199,AL199,AM199)</f>
        <v>83.810000000000059</v>
      </c>
      <c r="AO198" s="852">
        <f t="shared" si="408"/>
        <v>378.87</v>
      </c>
      <c r="AP198" s="22">
        <f t="shared" si="408"/>
        <v>61.424999999999997</v>
      </c>
      <c r="AQ198" s="37">
        <f t="shared" si="408"/>
        <v>50.595999999999997</v>
      </c>
      <c r="AR198" s="37">
        <f>AR188*AR$3/1000</f>
        <v>63.48</v>
      </c>
      <c r="AS198" s="22">
        <f>AT198-SUM(AP198,AQ198,AR198,AP199,AQ199,AR199)</f>
        <v>-37.474999999999994</v>
      </c>
      <c r="AT198" s="852">
        <f t="shared" ref="AT198:AU198" si="422">AT188*AT$3/1000</f>
        <v>234.381</v>
      </c>
      <c r="AU198" s="22">
        <f t="shared" si="422"/>
        <v>60.3</v>
      </c>
      <c r="AV198" s="37">
        <f t="shared" si="410"/>
        <v>61.061</v>
      </c>
      <c r="AW198" s="37">
        <f t="shared" si="410"/>
        <v>65.963999999999999</v>
      </c>
      <c r="AX198" s="22">
        <f>AY198-SUM(AU198,AV198,AW198)</f>
        <v>63.296000000000021</v>
      </c>
      <c r="AY198" s="852">
        <f t="shared" si="411"/>
        <v>250.62100000000001</v>
      </c>
      <c r="AZ198" s="22">
        <f t="shared" si="411"/>
        <v>62.37</v>
      </c>
      <c r="BA198" s="37">
        <f t="shared" si="412"/>
        <v>61.243000000000002</v>
      </c>
      <c r="BB198" s="37">
        <f t="shared" si="412"/>
        <v>67.343999999999994</v>
      </c>
      <c r="BC198" s="22">
        <f t="shared" ref="BC198" si="423">BC188*BC$3/1000</f>
        <v>71.116</v>
      </c>
      <c r="BD198" s="852">
        <f t="shared" si="414"/>
        <v>262.07299999999998</v>
      </c>
      <c r="BE198" s="22">
        <f t="shared" si="415"/>
        <v>70.2</v>
      </c>
      <c r="BF198" s="37">
        <f t="shared" si="415"/>
        <v>69.524000000000001</v>
      </c>
      <c r="BG198" s="37">
        <f t="shared" si="416"/>
        <v>69.552000000000007</v>
      </c>
      <c r="BH198" s="22">
        <f t="shared" si="416"/>
        <v>64.768000000000001</v>
      </c>
      <c r="BI198" s="852">
        <f t="shared" si="416"/>
        <v>274.04399999999998</v>
      </c>
      <c r="BJ198" s="22">
        <f t="shared" si="417"/>
        <v>65.701999999999998</v>
      </c>
      <c r="BK198" s="37">
        <f t="shared" si="417"/>
        <v>67.248999999999995</v>
      </c>
      <c r="BL198" s="37">
        <f t="shared" si="418"/>
        <v>71.944000000000003</v>
      </c>
      <c r="BM198" s="22">
        <f t="shared" si="418"/>
        <v>74.152000000000001</v>
      </c>
      <c r="BN198" s="852">
        <f t="shared" si="418"/>
        <v>279.04700000000003</v>
      </c>
      <c r="BO198" s="22">
        <f t="shared" si="419"/>
        <v>62.01</v>
      </c>
      <c r="BP198" s="37">
        <f t="shared" si="419"/>
        <v>65.701999999999998</v>
      </c>
      <c r="BQ198" s="37">
        <f t="shared" si="420"/>
        <v>72.956000000000003</v>
      </c>
      <c r="BR198" s="22">
        <f t="shared" si="420"/>
        <v>75.900000000000006</v>
      </c>
      <c r="BS198" s="852">
        <f t="shared" si="420"/>
        <v>276.56799999999998</v>
      </c>
      <c r="BT198" s="648">
        <f>BT188*BT$3/1000</f>
        <v>71.819999999999993</v>
      </c>
      <c r="BU198" s="37">
        <f t="shared" si="420"/>
        <v>82.809999999999988</v>
      </c>
      <c r="BV198" s="37">
        <f t="shared" si="420"/>
        <v>71.760000000000005</v>
      </c>
      <c r="BW198" s="37">
        <f t="shared" si="420"/>
        <v>65.780000000000015</v>
      </c>
      <c r="BX198" s="821">
        <f>SUM(BT198,BU198,BV198,BW198)</f>
        <v>292.17</v>
      </c>
      <c r="BY198" s="37">
        <f t="shared" si="421"/>
        <v>76.05</v>
      </c>
      <c r="BZ198" s="37">
        <f t="shared" si="421"/>
        <v>82.809999999999988</v>
      </c>
      <c r="CA198" s="37">
        <f t="shared" si="421"/>
        <v>83.719999999999985</v>
      </c>
      <c r="CB198" s="37">
        <f t="shared" si="421"/>
        <v>77.739999999999995</v>
      </c>
      <c r="CC198" s="821">
        <f>SUM(BY198,BZ198,CA198,CB198)</f>
        <v>320.32</v>
      </c>
      <c r="CD198" s="821">
        <f>CD188*CD3/1000</f>
        <v>345.86999999999995</v>
      </c>
      <c r="CE198" s="821">
        <f>CE188*CE3/1000</f>
        <v>344.92499999999995</v>
      </c>
      <c r="CF198" s="821">
        <f>CF188*CF3/1000</f>
        <v>344.92499999999995</v>
      </c>
      <c r="CG198" s="22"/>
    </row>
    <row r="199" spans="1:85" s="428" customFormat="1" hidden="1" outlineLevel="1" x14ac:dyDescent="0.3">
      <c r="A199" s="43" t="s">
        <v>110</v>
      </c>
      <c r="B199" s="64"/>
      <c r="C199" s="821"/>
      <c r="D199" s="821"/>
      <c r="E199" s="821"/>
      <c r="F199" s="821"/>
      <c r="G199" s="37">
        <f>G189*G$3/1000</f>
        <v>41.31</v>
      </c>
      <c r="H199" s="37">
        <f>H189*H$3/1000</f>
        <v>43.953000000000003</v>
      </c>
      <c r="I199" s="37">
        <f>I189*I$3/1000</f>
        <v>43.607999999999997</v>
      </c>
      <c r="J199" s="37"/>
      <c r="K199" s="821"/>
      <c r="L199" s="37">
        <f>L189*L$3/1000</f>
        <v>41.31</v>
      </c>
      <c r="M199" s="37">
        <f>M189*M$3/1000</f>
        <v>42.77</v>
      </c>
      <c r="N199" s="37">
        <f>N189*N$3/1000</f>
        <v>44.436</v>
      </c>
      <c r="O199" s="37"/>
      <c r="P199" s="821"/>
      <c r="Q199" s="37">
        <f>Q189*Q$3/1000</f>
        <v>43.65</v>
      </c>
      <c r="R199" s="37">
        <f>R189*R$3/1000</f>
        <v>33.396999999999998</v>
      </c>
      <c r="S199" s="37">
        <f>S189*S$3/1000</f>
        <v>38.271999999999998</v>
      </c>
      <c r="T199" s="37"/>
      <c r="U199" s="821"/>
      <c r="V199" s="37">
        <f>V189*V$3/1000</f>
        <v>33.579000000000001</v>
      </c>
      <c r="W199" s="37">
        <f>W189*W$3/1000</f>
        <v>32.942</v>
      </c>
      <c r="X199" s="37">
        <f>X189*X$3/1000</f>
        <v>35.972000000000001</v>
      </c>
      <c r="Y199" s="37"/>
      <c r="Z199" s="821"/>
      <c r="AA199" s="22">
        <f>AA189*AA$3/1000</f>
        <v>32.49</v>
      </c>
      <c r="AB199" s="37">
        <f>AB189*AB$3/1000</f>
        <v>31.759</v>
      </c>
      <c r="AC199" s="37">
        <f>AC189*AC$3/1000</f>
        <v>33.948</v>
      </c>
      <c r="AD199" s="37"/>
      <c r="AE199" s="821"/>
      <c r="AF199" s="22">
        <f>AF189*AF$3/1000</f>
        <v>32.49</v>
      </c>
      <c r="AG199" s="37">
        <f>AG189*AG$3/1000</f>
        <v>34.398000000000003</v>
      </c>
      <c r="AH199" s="37">
        <f>AH189*AH$3/1000</f>
        <v>33.856000000000002</v>
      </c>
      <c r="AI199" s="37"/>
      <c r="AJ199" s="821"/>
      <c r="AK199" s="22">
        <f>AK189*AK$3/1000</f>
        <v>0</v>
      </c>
      <c r="AL199" s="37">
        <f>AL189*AL$3/1000</f>
        <v>30.94</v>
      </c>
      <c r="AM199" s="37">
        <f>AM189*AM$3/1000</f>
        <v>36.707999999999998</v>
      </c>
      <c r="AN199" s="22">
        <f>AN189*AN$3/1000</f>
        <v>0</v>
      </c>
      <c r="AO199" s="852">
        <f t="shared" si="408"/>
        <v>0</v>
      </c>
      <c r="AP199" s="22">
        <f t="shared" si="408"/>
        <v>32.213999999999999</v>
      </c>
      <c r="AQ199" s="37">
        <f t="shared" si="408"/>
        <v>31.940999999999999</v>
      </c>
      <c r="AR199" s="37">
        <f>AR189*AR$3/1000</f>
        <v>32.200000000000003</v>
      </c>
      <c r="AS199" s="22">
        <f>AS189*AS$3/1000</f>
        <v>32.659999999999997</v>
      </c>
      <c r="AT199" s="852">
        <f t="shared" ref="AT199:AU199" si="424">AT189*AT$3/1000</f>
        <v>115.881</v>
      </c>
      <c r="AU199" s="22">
        <f t="shared" si="424"/>
        <v>30.6</v>
      </c>
      <c r="AV199" s="37">
        <f t="shared" si="410"/>
        <v>31.122</v>
      </c>
      <c r="AW199" s="37">
        <f t="shared" si="410"/>
        <v>32.659999999999997</v>
      </c>
      <c r="AX199" s="22">
        <f>AX189*AX$3/1000</f>
        <v>32.659999999999997</v>
      </c>
      <c r="AY199" s="852">
        <f t="shared" si="411"/>
        <v>112.18899999999999</v>
      </c>
      <c r="AZ199" s="22">
        <f t="shared" si="411"/>
        <v>31.77</v>
      </c>
      <c r="BA199" s="37">
        <f t="shared" si="412"/>
        <v>34.853000000000002</v>
      </c>
      <c r="BB199" s="37">
        <f t="shared" si="412"/>
        <v>36.707999999999998</v>
      </c>
      <c r="BC199" s="22">
        <f t="shared" ref="BC199" si="425">BC189*BC$3/1000</f>
        <v>34.96</v>
      </c>
      <c r="BD199" s="852">
        <f t="shared" si="414"/>
        <v>138.33199999999999</v>
      </c>
      <c r="BE199" s="22">
        <f t="shared" si="415"/>
        <v>34.47</v>
      </c>
      <c r="BF199" s="37">
        <f t="shared" si="415"/>
        <v>33.305999999999997</v>
      </c>
      <c r="BG199" s="37">
        <f t="shared" si="416"/>
        <v>36.799999999999997</v>
      </c>
      <c r="BH199" s="22">
        <f t="shared" si="416"/>
        <v>36.799999999999997</v>
      </c>
      <c r="BI199" s="852">
        <f t="shared" si="416"/>
        <v>141.32599999999999</v>
      </c>
      <c r="BJ199" s="22">
        <f t="shared" si="417"/>
        <v>35.399000000000001</v>
      </c>
      <c r="BK199" s="37">
        <f t="shared" si="417"/>
        <v>35.853999999999999</v>
      </c>
      <c r="BL199" s="37">
        <f t="shared" si="418"/>
        <v>35.880000000000003</v>
      </c>
      <c r="BM199" s="22">
        <f t="shared" si="418"/>
        <v>35.880000000000003</v>
      </c>
      <c r="BN199" s="852">
        <f t="shared" si="418"/>
        <v>142.95099999999999</v>
      </c>
      <c r="BO199" s="22">
        <f t="shared" si="419"/>
        <v>31.77</v>
      </c>
      <c r="BP199" s="37">
        <f t="shared" si="419"/>
        <v>35.49</v>
      </c>
      <c r="BQ199" s="37">
        <f t="shared" si="420"/>
        <v>35.695999999999998</v>
      </c>
      <c r="BR199" s="22">
        <f t="shared" si="420"/>
        <v>35.695999999999998</v>
      </c>
      <c r="BS199" s="852">
        <f t="shared" si="420"/>
        <v>138.80199999999999</v>
      </c>
      <c r="BT199" s="648">
        <f>BT189*BT$3/1000</f>
        <v>36.36</v>
      </c>
      <c r="BU199" s="37">
        <f t="shared" si="420"/>
        <v>34.125</v>
      </c>
      <c r="BV199" s="37">
        <f t="shared" si="420"/>
        <v>34.5</v>
      </c>
      <c r="BW199" s="37">
        <f t="shared" si="420"/>
        <v>34.5</v>
      </c>
      <c r="BX199" s="821">
        <f>SUM(BT199,BU199,BV199,BW199)</f>
        <v>139.48500000000001</v>
      </c>
      <c r="BY199" s="37">
        <f t="shared" si="421"/>
        <v>33.75</v>
      </c>
      <c r="BZ199" s="37">
        <f t="shared" si="421"/>
        <v>34.125</v>
      </c>
      <c r="CA199" s="37">
        <f t="shared" si="421"/>
        <v>34.5</v>
      </c>
      <c r="CB199" s="37">
        <f t="shared" si="421"/>
        <v>34.5</v>
      </c>
      <c r="CC199" s="821">
        <f>SUM(BY199,BZ199,CA199,CB199)</f>
        <v>136.875</v>
      </c>
      <c r="CD199" s="821">
        <f>CD189*CD3/1000</f>
        <v>137.25</v>
      </c>
      <c r="CE199" s="821">
        <f>CE189*CE3/1000</f>
        <v>136.875</v>
      </c>
      <c r="CF199" s="821">
        <f>CF189*CF3/1000</f>
        <v>136.875</v>
      </c>
      <c r="CG199" s="22"/>
    </row>
    <row r="200" spans="1:85" s="428" customFormat="1" hidden="1" outlineLevel="1" x14ac:dyDescent="0.3">
      <c r="A200" s="43" t="s">
        <v>111</v>
      </c>
      <c r="B200" s="64"/>
      <c r="C200" s="821">
        <f t="shared" ref="C200:I200" si="426">C195*C$3/1000</f>
        <v>32.119999999999997</v>
      </c>
      <c r="D200" s="821">
        <f t="shared" si="426"/>
        <v>28.47</v>
      </c>
      <c r="E200" s="821">
        <f t="shared" si="426"/>
        <v>22.995000000000001</v>
      </c>
      <c r="F200" s="821">
        <f t="shared" si="426"/>
        <v>23.423999999999999</v>
      </c>
      <c r="G200" s="37">
        <f t="shared" si="426"/>
        <v>6.03</v>
      </c>
      <c r="H200" s="37">
        <f t="shared" si="426"/>
        <v>5.0049999999999999</v>
      </c>
      <c r="I200" s="37">
        <f t="shared" si="426"/>
        <v>5.7960000000000003</v>
      </c>
      <c r="J200" s="37">
        <f>K200-SUM(G200,H200,I200)</f>
        <v>5.7989999999999995</v>
      </c>
      <c r="K200" s="821">
        <f>K195*K$3/1000</f>
        <v>22.63</v>
      </c>
      <c r="L200" s="37">
        <f>L195*L$3/1000</f>
        <v>4.8600000000000003</v>
      </c>
      <c r="M200" s="37">
        <f>M195*M$3/1000</f>
        <v>5.0960000000000001</v>
      </c>
      <c r="N200" s="37">
        <f>N195*N$3/1000</f>
        <v>5.0599999999999996</v>
      </c>
      <c r="O200" s="37">
        <f>P200-SUM(L200,M200,N200)</f>
        <v>6.1540000000000035</v>
      </c>
      <c r="P200" s="821">
        <f>P195*P$3/1000</f>
        <v>21.17</v>
      </c>
      <c r="Q200" s="37">
        <f>Q195*Q$3/1000</f>
        <v>7.2</v>
      </c>
      <c r="R200" s="37">
        <f>R195*R$3/1000</f>
        <v>5.46</v>
      </c>
      <c r="S200" s="37">
        <f>S195*S$3/1000</f>
        <v>5.2439999999999998</v>
      </c>
      <c r="T200" s="37">
        <f>U200-SUM(Q200,R200,S200)</f>
        <v>5.8210000000000015</v>
      </c>
      <c r="U200" s="821">
        <f>U195*U$3/1000</f>
        <v>23.725000000000001</v>
      </c>
      <c r="V200" s="37">
        <f>V195*V$3/1000</f>
        <v>5.8239999999999998</v>
      </c>
      <c r="W200" s="37">
        <f>W195*W$3/1000</f>
        <v>6.1879999999999997</v>
      </c>
      <c r="X200" s="37">
        <f>X195*X$3/1000</f>
        <v>4.2320000000000002</v>
      </c>
      <c r="Y200" s="22">
        <f>Z200-SUM(V200,W200,X200)</f>
        <v>6.0820000000000007</v>
      </c>
      <c r="Z200" s="852">
        <f>Z195*Z$3/1000</f>
        <v>22.326000000000001</v>
      </c>
      <c r="AA200" s="22">
        <f>AA195*AA$3/1000</f>
        <v>5.85</v>
      </c>
      <c r="AB200" s="37">
        <f>AB195*AB$3/1000</f>
        <v>6.1879999999999997</v>
      </c>
      <c r="AC200" s="37">
        <f>AC195*AC$3/1000</f>
        <v>5.7039999999999997</v>
      </c>
      <c r="AD200" s="22">
        <f>AE200-SUM(AA200,AB200,AC200)</f>
        <v>5.6179999999999986</v>
      </c>
      <c r="AE200" s="852">
        <f>AE195*AE$3/1000</f>
        <v>23.36</v>
      </c>
      <c r="AF200" s="22">
        <f>AF195*AF$3/1000</f>
        <v>5.4</v>
      </c>
      <c r="AG200" s="37">
        <f>AG195*AG$3/1000</f>
        <v>5.6420000000000003</v>
      </c>
      <c r="AH200" s="37">
        <f>AH195*AH$3/1000</f>
        <v>5.8879999999999999</v>
      </c>
      <c r="AI200" s="22">
        <f>AJ200-SUM(AF200,AG200,AH200)</f>
        <v>5.6999999999999993</v>
      </c>
      <c r="AJ200" s="852">
        <f>AJ195*AJ$3/1000</f>
        <v>22.63</v>
      </c>
      <c r="AK200" s="22">
        <f>AK195*AK$3/1000</f>
        <v>6.66</v>
      </c>
      <c r="AL200" s="37">
        <f>AL195*AL$3/1000</f>
        <v>7.3710000000000004</v>
      </c>
      <c r="AM200" s="37">
        <f>AM195*AM$3/1000</f>
        <v>6.532</v>
      </c>
      <c r="AN200" s="22">
        <f>AO200-SUM(AK200,AL200,AM200)</f>
        <v>5.7169999999999987</v>
      </c>
      <c r="AO200" s="852">
        <f>AO195*AO$3/1000</f>
        <v>26.28</v>
      </c>
      <c r="AP200" s="22">
        <f>AP195*AP$3/1000</f>
        <v>7.3710000000000004</v>
      </c>
      <c r="AQ200" s="37">
        <f>AQ195*AQ$3/1000</f>
        <v>6.6429999999999998</v>
      </c>
      <c r="AR200" s="37">
        <f>AR195*AR$3/1000</f>
        <v>7.36</v>
      </c>
      <c r="AS200" s="22">
        <f>AT200-SUM(AP200,AQ200,AR200)</f>
        <v>5.7100000000000009</v>
      </c>
      <c r="AT200" s="852">
        <f>AT195*AT$3/1000</f>
        <v>27.084</v>
      </c>
      <c r="AU200" s="22">
        <f>AU195*AU$3/1000</f>
        <v>6.84</v>
      </c>
      <c r="AV200" s="37">
        <f>AV195*AV$3/1000</f>
        <v>6.734</v>
      </c>
      <c r="AW200" s="37">
        <f>AW195*AW$3/1000</f>
        <v>11.868</v>
      </c>
      <c r="AX200" s="22">
        <f>AY200-SUM(AU200,AV200,AW200)</f>
        <v>9.597999999999999</v>
      </c>
      <c r="AY200" s="852">
        <f t="shared" ref="AY200:BD200" si="427">AY195*AY$3/1000</f>
        <v>35.04</v>
      </c>
      <c r="AZ200" s="22">
        <f t="shared" si="427"/>
        <v>10.8</v>
      </c>
      <c r="BA200" s="37">
        <f t="shared" si="427"/>
        <v>12.831</v>
      </c>
      <c r="BB200" s="37">
        <f t="shared" si="427"/>
        <v>11.316000000000001</v>
      </c>
      <c r="BC200" s="22">
        <f t="shared" si="427"/>
        <v>11.407999999999999</v>
      </c>
      <c r="BD200" s="852">
        <f t="shared" si="427"/>
        <v>46.354999999999997</v>
      </c>
      <c r="BE200" s="22">
        <f t="shared" ref="BE200:BI200" si="428">BE195*BE$3/1000</f>
        <v>12.33</v>
      </c>
      <c r="BF200" s="37">
        <f t="shared" si="428"/>
        <v>16.106999999999999</v>
      </c>
      <c r="BG200" s="37">
        <f t="shared" si="428"/>
        <v>16.007999999999999</v>
      </c>
      <c r="BH200" s="22">
        <f t="shared" si="428"/>
        <v>11.592000000000001</v>
      </c>
      <c r="BI200" s="852">
        <f t="shared" si="428"/>
        <v>55.844999999999999</v>
      </c>
      <c r="BJ200" s="22">
        <f t="shared" ref="BJ200:BN200" si="429">BJ195*BJ$3/1000</f>
        <v>12.648999999999999</v>
      </c>
      <c r="BK200" s="37">
        <f t="shared" si="429"/>
        <v>10.647</v>
      </c>
      <c r="BL200" s="37">
        <f t="shared" si="429"/>
        <v>13.984</v>
      </c>
      <c r="BM200" s="22">
        <f t="shared" si="429"/>
        <v>12.512</v>
      </c>
      <c r="BN200" s="852">
        <f t="shared" si="429"/>
        <v>49.776000000000003</v>
      </c>
      <c r="BO200" s="22">
        <f t="shared" ref="BO200:BW200" si="430">BO195*BO$3/1000</f>
        <v>11.07</v>
      </c>
      <c r="BP200" s="37">
        <f t="shared" si="430"/>
        <v>11.284000000000001</v>
      </c>
      <c r="BQ200" s="37">
        <f t="shared" si="430"/>
        <v>10.028</v>
      </c>
      <c r="BR200" s="22">
        <f t="shared" si="430"/>
        <v>12.696</v>
      </c>
      <c r="BS200" s="852">
        <f t="shared" si="430"/>
        <v>44.895000000000003</v>
      </c>
      <c r="BT200" s="648">
        <f>BT195*BT$3/1000</f>
        <v>9.99</v>
      </c>
      <c r="BU200" s="37">
        <f t="shared" si="430"/>
        <v>12.74</v>
      </c>
      <c r="BV200" s="37">
        <f t="shared" si="430"/>
        <v>11.04</v>
      </c>
      <c r="BW200" s="37">
        <f t="shared" si="430"/>
        <v>13.8</v>
      </c>
      <c r="BX200" s="821">
        <f>SUM(BT200,BU200,BV200,BW200)</f>
        <v>47.569999999999993</v>
      </c>
      <c r="BY200" s="37">
        <f>BY195*BY$3/1000</f>
        <v>11.7</v>
      </c>
      <c r="BZ200" s="37">
        <f>BZ195*BZ$3/1000</f>
        <v>12.74</v>
      </c>
      <c r="CA200" s="37">
        <f>CA195*CA$3/1000</f>
        <v>13.8</v>
      </c>
      <c r="CB200" s="37">
        <f>CB195*CB$3/1000</f>
        <v>13.8</v>
      </c>
      <c r="CC200" s="821">
        <f>SUM(BY200,BZ200,CA200,CB200)</f>
        <v>52.039999999999992</v>
      </c>
      <c r="CD200" s="821">
        <f>CD195*CD3/1000</f>
        <v>64.05</v>
      </c>
      <c r="CE200" s="821">
        <f>CE195*CE3/1000</f>
        <v>63.875</v>
      </c>
      <c r="CF200" s="821">
        <f>CF195*CF3/1000</f>
        <v>63.875</v>
      </c>
      <c r="CG200" s="22"/>
    </row>
    <row r="201" spans="1:85" s="429" customFormat="1" hidden="1" outlineLevel="1" x14ac:dyDescent="0.3">
      <c r="A201" s="42" t="s">
        <v>112</v>
      </c>
      <c r="B201" s="90"/>
      <c r="C201" s="823">
        <f t="shared" ref="C201:I201" si="431">SUM(C197:C200)</f>
        <v>707.73500000000001</v>
      </c>
      <c r="D201" s="823">
        <f t="shared" si="431"/>
        <v>672.33</v>
      </c>
      <c r="E201" s="823">
        <f t="shared" si="431"/>
        <v>640.57500000000005</v>
      </c>
      <c r="F201" s="823">
        <f t="shared" si="431"/>
        <v>592.18799999999999</v>
      </c>
      <c r="G201" s="393">
        <f t="shared" si="431"/>
        <v>136.44</v>
      </c>
      <c r="H201" s="393">
        <f t="shared" si="431"/>
        <v>145.87299999999999</v>
      </c>
      <c r="I201" s="393">
        <f t="shared" si="431"/>
        <v>149.40799999999999</v>
      </c>
      <c r="J201" s="393">
        <f>K201-SUM(G201,H201,I201)</f>
        <v>148.99400000000003</v>
      </c>
      <c r="K201" s="823">
        <f>SUM(K197:K200)</f>
        <v>580.71500000000003</v>
      </c>
      <c r="L201" s="393">
        <f>SUM(L197:L200)</f>
        <v>131.13000000000002</v>
      </c>
      <c r="M201" s="393">
        <f>SUM(M197:M200)</f>
        <v>145.87300000000002</v>
      </c>
      <c r="N201" s="393">
        <f>SUM(N197:N200)</f>
        <v>143.52000000000001</v>
      </c>
      <c r="O201" s="393">
        <f>P201-SUM(L201,M201,N201)</f>
        <v>148.51199999999994</v>
      </c>
      <c r="P201" s="823">
        <f>SUM(P197:P200)</f>
        <v>569.03499999999997</v>
      </c>
      <c r="Q201" s="393">
        <f>SUM(Q197:Q200)</f>
        <v>149.4</v>
      </c>
      <c r="R201" s="393">
        <f>SUM(R197:R200)</f>
        <v>139.958</v>
      </c>
      <c r="S201" s="393">
        <f>SUM(S197:S200)</f>
        <v>143.51999999999998</v>
      </c>
      <c r="T201" s="393">
        <f>U201-SUM(Q201,R201,S201)</f>
        <v>140.9020000000001</v>
      </c>
      <c r="U201" s="823">
        <f>SUM(U197:U200)</f>
        <v>573.78000000000009</v>
      </c>
      <c r="V201" s="393">
        <f>SUM(V197:V200)</f>
        <v>136.50000000000003</v>
      </c>
      <c r="W201" s="393">
        <f>SUM(W197:W200)</f>
        <v>138.047</v>
      </c>
      <c r="X201" s="393">
        <f>SUM(X197:X200)</f>
        <v>139.38000000000002</v>
      </c>
      <c r="Y201" s="394">
        <f>Z201-SUM(V201,W201,X201)</f>
        <v>143.49099999999999</v>
      </c>
      <c r="Z201" s="824">
        <f t="shared" ref="Z201:AQ201" si="432">SUM(Z197:Z200)</f>
        <v>557.41800000000001</v>
      </c>
      <c r="AA201" s="394">
        <f t="shared" si="432"/>
        <v>135.9</v>
      </c>
      <c r="AB201" s="393">
        <f t="shared" si="432"/>
        <v>138.22899999999998</v>
      </c>
      <c r="AC201" s="393">
        <f t="shared" si="432"/>
        <v>148.85599999999999</v>
      </c>
      <c r="AD201" s="394">
        <f t="shared" si="432"/>
        <v>145.32</v>
      </c>
      <c r="AE201" s="824">
        <f t="shared" si="432"/>
        <v>568.30500000000006</v>
      </c>
      <c r="AF201" s="394">
        <f t="shared" si="432"/>
        <v>134.64000000000001</v>
      </c>
      <c r="AG201" s="393">
        <f t="shared" si="432"/>
        <v>139.86699999999999</v>
      </c>
      <c r="AH201" s="393">
        <f t="shared" si="432"/>
        <v>137.90799999999999</v>
      </c>
      <c r="AI201" s="394">
        <f t="shared" si="432"/>
        <v>134.71999999999997</v>
      </c>
      <c r="AJ201" s="824">
        <f t="shared" si="432"/>
        <v>547.13499999999999</v>
      </c>
      <c r="AK201" s="394">
        <f t="shared" si="432"/>
        <v>134.01</v>
      </c>
      <c r="AL201" s="393">
        <f t="shared" si="432"/>
        <v>122.30399999999999</v>
      </c>
      <c r="AM201" s="393">
        <f t="shared" si="432"/>
        <v>131.28400000000002</v>
      </c>
      <c r="AN201" s="394">
        <f t="shared" si="432"/>
        <v>123.03700000000006</v>
      </c>
      <c r="AO201" s="824">
        <f t="shared" si="432"/>
        <v>510.63499999999999</v>
      </c>
      <c r="AP201" s="394">
        <f t="shared" si="432"/>
        <v>123.032</v>
      </c>
      <c r="AQ201" s="393">
        <f t="shared" si="432"/>
        <v>107.107</v>
      </c>
      <c r="AR201" s="393">
        <f>SUM(AR197:AR200)</f>
        <v>125.304</v>
      </c>
      <c r="AS201" s="394">
        <f t="shared" ref="AS201:AU201" si="433">SUM(AS197:AS200)</f>
        <v>35.306000000000004</v>
      </c>
      <c r="AT201" s="824">
        <f t="shared" si="433"/>
        <v>473.96999999999997</v>
      </c>
      <c r="AU201" s="394">
        <f t="shared" si="433"/>
        <v>120.87</v>
      </c>
      <c r="AV201" s="393">
        <f t="shared" ref="AV201:BA201" si="434">SUM(AV197:AV200)</f>
        <v>123.39599999999999</v>
      </c>
      <c r="AW201" s="393">
        <f t="shared" si="434"/>
        <v>139.38</v>
      </c>
      <c r="AX201" s="394">
        <f t="shared" si="434"/>
        <v>146.22200000000004</v>
      </c>
      <c r="AY201" s="824">
        <f t="shared" si="434"/>
        <v>515.01499999999999</v>
      </c>
      <c r="AZ201" s="394">
        <f t="shared" si="434"/>
        <v>130.22999999999999</v>
      </c>
      <c r="BA201" s="393">
        <f t="shared" si="434"/>
        <v>134.49799999999999</v>
      </c>
      <c r="BB201" s="393">
        <f t="shared" ref="BB201:BD201" si="435">SUM(BB197:BB200)</f>
        <v>143.52000000000001</v>
      </c>
      <c r="BC201" s="394">
        <f t="shared" ref="BC201" si="436">SUM(BC197:BC200)</f>
        <v>143.97999999999999</v>
      </c>
      <c r="BD201" s="824">
        <f t="shared" si="435"/>
        <v>552.245</v>
      </c>
      <c r="BE201" s="394">
        <f t="shared" ref="BE201:BI201" si="437">SUM(BE197:BE200)</f>
        <v>143.73000000000002</v>
      </c>
      <c r="BF201" s="393">
        <f t="shared" si="437"/>
        <v>148.33000000000001</v>
      </c>
      <c r="BG201" s="393">
        <f t="shared" si="437"/>
        <v>147.66</v>
      </c>
      <c r="BH201" s="394">
        <f t="shared" si="437"/>
        <v>143.79600000000002</v>
      </c>
      <c r="BI201" s="824">
        <f t="shared" si="437"/>
        <v>583.27</v>
      </c>
      <c r="BJ201" s="394">
        <f t="shared" ref="BJ201:BX201" si="438">SUM(BJ197:BJ200)</f>
        <v>142.779</v>
      </c>
      <c r="BK201" s="393">
        <f t="shared" si="438"/>
        <v>145.78199999999998</v>
      </c>
      <c r="BL201" s="393">
        <f t="shared" si="438"/>
        <v>152.62800000000001</v>
      </c>
      <c r="BM201" s="394">
        <f t="shared" si="438"/>
        <v>155.756</v>
      </c>
      <c r="BN201" s="824">
        <f t="shared" si="438"/>
        <v>596.94600000000003</v>
      </c>
      <c r="BO201" s="394">
        <f t="shared" ref="BO201:BW201" si="439">SUM(BO197:BO200)</f>
        <v>136.88999999999999</v>
      </c>
      <c r="BP201" s="393">
        <f t="shared" si="439"/>
        <v>145.327</v>
      </c>
      <c r="BQ201" s="393">
        <f t="shared" si="439"/>
        <v>149.59199999999998</v>
      </c>
      <c r="BR201" s="394">
        <f t="shared" si="439"/>
        <v>154.928</v>
      </c>
      <c r="BS201" s="824">
        <f t="shared" si="439"/>
        <v>586.55499999999995</v>
      </c>
      <c r="BT201" s="640">
        <f>SUM(BT197:BT200)</f>
        <v>144.36000000000001</v>
      </c>
      <c r="BU201" s="393">
        <f t="shared" si="439"/>
        <v>156.29249999999999</v>
      </c>
      <c r="BV201" s="393">
        <f t="shared" si="439"/>
        <v>144.21</v>
      </c>
      <c r="BW201" s="393">
        <f t="shared" si="439"/>
        <v>140.99</v>
      </c>
      <c r="BX201" s="823">
        <f t="shared" si="438"/>
        <v>585.85249999999996</v>
      </c>
      <c r="BY201" s="393">
        <f t="shared" ref="BY201:CF201" si="440">SUM(BY197:BY200)</f>
        <v>147.82499999999999</v>
      </c>
      <c r="BZ201" s="393">
        <f t="shared" si="440"/>
        <v>156.29249999999999</v>
      </c>
      <c r="CA201" s="393">
        <f t="shared" si="440"/>
        <v>158.93</v>
      </c>
      <c r="CB201" s="393">
        <f t="shared" si="440"/>
        <v>152.94999999999999</v>
      </c>
      <c r="CC201" s="823">
        <f t="shared" si="440"/>
        <v>615.99749999999995</v>
      </c>
      <c r="CD201" s="823">
        <f t="shared" si="440"/>
        <v>670.69499999999994</v>
      </c>
      <c r="CE201" s="823">
        <f t="shared" si="440"/>
        <v>668.86249999999995</v>
      </c>
      <c r="CF201" s="823">
        <f t="shared" si="440"/>
        <v>668.86249999999995</v>
      </c>
      <c r="CG201" s="26"/>
    </row>
    <row r="202" spans="1:85" s="429" customFormat="1" hidden="1" outlineLevel="1" x14ac:dyDescent="0.3">
      <c r="A202" s="48"/>
      <c r="B202" s="63"/>
      <c r="C202" s="825"/>
      <c r="D202" s="825"/>
      <c r="E202" s="825"/>
      <c r="F202" s="825"/>
      <c r="G202" s="31"/>
      <c r="H202" s="31"/>
      <c r="I202" s="31"/>
      <c r="J202" s="31"/>
      <c r="K202" s="825"/>
      <c r="L202" s="31"/>
      <c r="M202" s="31"/>
      <c r="N202" s="31"/>
      <c r="O202" s="31"/>
      <c r="P202" s="825"/>
      <c r="Q202" s="31"/>
      <c r="R202" s="31"/>
      <c r="S202" s="31"/>
      <c r="T202" s="31"/>
      <c r="U202" s="825"/>
      <c r="V202" s="31"/>
      <c r="W202" s="31"/>
      <c r="X202" s="31"/>
      <c r="Y202" s="31"/>
      <c r="Z202" s="825"/>
      <c r="AA202" s="31"/>
      <c r="AB202" s="31"/>
      <c r="AC202" s="31"/>
      <c r="AD202" s="31"/>
      <c r="AE202" s="825"/>
      <c r="AF202" s="31"/>
      <c r="AG202" s="31"/>
      <c r="AH202" s="31"/>
      <c r="AI202" s="31"/>
      <c r="AJ202" s="825"/>
      <c r="AK202" s="31"/>
      <c r="AL202" s="31"/>
      <c r="AM202" s="31"/>
      <c r="AN202" s="31"/>
      <c r="AO202" s="825"/>
      <c r="AP202" s="31"/>
      <c r="AQ202" s="31"/>
      <c r="AR202" s="31"/>
      <c r="AS202" s="31"/>
      <c r="AT202" s="825"/>
      <c r="AU202" s="31"/>
      <c r="AV202" s="31"/>
      <c r="AW202" s="31"/>
      <c r="AX202" s="31"/>
      <c r="AY202" s="825"/>
      <c r="AZ202" s="31"/>
      <c r="BA202" s="31"/>
      <c r="BB202" s="31"/>
      <c r="BC202" s="31"/>
      <c r="BD202" s="825"/>
      <c r="BE202" s="31"/>
      <c r="BF202" s="31"/>
      <c r="BG202" s="31"/>
      <c r="BH202" s="31"/>
      <c r="BI202" s="825"/>
      <c r="BJ202" s="31"/>
      <c r="BK202" s="31"/>
      <c r="BL202" s="31"/>
      <c r="BM202" s="31"/>
      <c r="BN202" s="825"/>
      <c r="BO202" s="31"/>
      <c r="BP202" s="31"/>
      <c r="BQ202" s="31"/>
      <c r="BR202" s="31"/>
      <c r="BS202" s="825"/>
      <c r="BT202" s="379"/>
      <c r="BU202" s="31"/>
      <c r="BV202" s="31"/>
      <c r="BW202" s="31"/>
      <c r="BX202" s="825"/>
      <c r="BY202" s="31"/>
      <c r="BZ202" s="31"/>
      <c r="CA202" s="31"/>
      <c r="CB202" s="31"/>
      <c r="CC202" s="825"/>
      <c r="CD202" s="825"/>
      <c r="CE202" s="825"/>
      <c r="CF202" s="825"/>
      <c r="CG202" s="26"/>
    </row>
    <row r="203" spans="1:85" s="429" customFormat="1" hidden="1" outlineLevel="1" x14ac:dyDescent="0.3">
      <c r="A203" s="48" t="s">
        <v>668</v>
      </c>
      <c r="B203" s="63"/>
      <c r="C203" s="825">
        <f>C169+C185</f>
        <v>1878</v>
      </c>
      <c r="D203" s="825">
        <f t="shared" ref="D203:AY203" si="441">D169+D185</f>
        <v>1894</v>
      </c>
      <c r="E203" s="825">
        <f t="shared" si="441"/>
        <v>1787</v>
      </c>
      <c r="F203" s="825">
        <f t="shared" si="441"/>
        <v>1702</v>
      </c>
      <c r="G203" s="31">
        <f t="shared" si="441"/>
        <v>1394</v>
      </c>
      <c r="H203" s="31">
        <f t="shared" si="441"/>
        <v>1686</v>
      </c>
      <c r="I203" s="31">
        <f t="shared" si="441"/>
        <v>1716</v>
      </c>
      <c r="J203" s="31">
        <f t="shared" si="441"/>
        <v>1749</v>
      </c>
      <c r="K203" s="825">
        <f t="shared" si="441"/>
        <v>1638</v>
      </c>
      <c r="L203" s="31">
        <f t="shared" si="441"/>
        <v>1646</v>
      </c>
      <c r="M203" s="31">
        <f t="shared" si="441"/>
        <v>1605</v>
      </c>
      <c r="N203" s="31">
        <f t="shared" si="441"/>
        <v>1759</v>
      </c>
      <c r="O203" s="31">
        <f t="shared" si="441"/>
        <v>1749</v>
      </c>
      <c r="P203" s="825">
        <f t="shared" si="441"/>
        <v>1690</v>
      </c>
      <c r="Q203" s="31">
        <f t="shared" si="441"/>
        <v>1700</v>
      </c>
      <c r="R203" s="31">
        <f t="shared" si="441"/>
        <v>1690</v>
      </c>
      <c r="S203" s="31">
        <f t="shared" si="441"/>
        <v>1719</v>
      </c>
      <c r="T203" s="31">
        <f t="shared" si="441"/>
        <v>1699</v>
      </c>
      <c r="U203" s="825">
        <f t="shared" si="441"/>
        <v>1702</v>
      </c>
      <c r="V203" s="31">
        <f t="shared" si="441"/>
        <v>1752</v>
      </c>
      <c r="W203" s="31">
        <f t="shared" si="441"/>
        <v>1719</v>
      </c>
      <c r="X203" s="31">
        <f t="shared" si="441"/>
        <v>1760</v>
      </c>
      <c r="Y203" s="26">
        <f t="shared" si="441"/>
        <v>1522</v>
      </c>
      <c r="Z203" s="826">
        <f t="shared" si="441"/>
        <v>1688</v>
      </c>
      <c r="AA203" s="26">
        <f t="shared" si="441"/>
        <v>1665</v>
      </c>
      <c r="AB203" s="31">
        <f t="shared" si="441"/>
        <v>1654</v>
      </c>
      <c r="AC203" s="31">
        <f t="shared" si="441"/>
        <v>1732</v>
      </c>
      <c r="AD203" s="26">
        <f t="shared" si="441"/>
        <v>1595</v>
      </c>
      <c r="AE203" s="826">
        <f t="shared" si="441"/>
        <v>1661</v>
      </c>
      <c r="AF203" s="26">
        <f t="shared" si="441"/>
        <v>1642</v>
      </c>
      <c r="AG203" s="31">
        <f t="shared" si="441"/>
        <v>1595</v>
      </c>
      <c r="AH203" s="31">
        <f t="shared" si="441"/>
        <v>1625</v>
      </c>
      <c r="AI203" s="26">
        <f t="shared" si="441"/>
        <v>1583</v>
      </c>
      <c r="AJ203" s="826">
        <f t="shared" si="441"/>
        <v>1611</v>
      </c>
      <c r="AK203" s="26">
        <f t="shared" si="441"/>
        <v>1530</v>
      </c>
      <c r="AL203" s="31">
        <f t="shared" si="441"/>
        <v>1559</v>
      </c>
      <c r="AM203" s="31">
        <f t="shared" si="441"/>
        <v>1617</v>
      </c>
      <c r="AN203" s="26">
        <f t="shared" si="441"/>
        <v>1551</v>
      </c>
      <c r="AO203" s="826">
        <f t="shared" si="441"/>
        <v>1564</v>
      </c>
      <c r="AP203" s="26">
        <f t="shared" si="441"/>
        <v>1600</v>
      </c>
      <c r="AQ203" s="31">
        <f t="shared" si="441"/>
        <v>1170</v>
      </c>
      <c r="AR203" s="31">
        <f t="shared" si="441"/>
        <v>1390</v>
      </c>
      <c r="AS203" s="26">
        <f t="shared" si="441"/>
        <v>1347</v>
      </c>
      <c r="AT203" s="826">
        <f t="shared" si="441"/>
        <v>1377</v>
      </c>
      <c r="AU203" s="26">
        <f t="shared" si="441"/>
        <v>1417</v>
      </c>
      <c r="AV203" s="31">
        <f t="shared" si="441"/>
        <v>1536</v>
      </c>
      <c r="AW203" s="31">
        <f t="shared" si="441"/>
        <v>1479</v>
      </c>
      <c r="AX203" s="26">
        <f t="shared" si="441"/>
        <v>1484</v>
      </c>
      <c r="AY203" s="826">
        <f t="shared" si="441"/>
        <v>1479</v>
      </c>
      <c r="AZ203" s="26">
        <f t="shared" ref="AZ203:BD203" si="442">AZ169+AZ185</f>
        <v>1534</v>
      </c>
      <c r="BA203" s="31">
        <f t="shared" si="442"/>
        <v>1515</v>
      </c>
      <c r="BB203" s="31">
        <f t="shared" si="442"/>
        <v>1430</v>
      </c>
      <c r="BC203" s="26">
        <f t="shared" si="442"/>
        <v>1541</v>
      </c>
      <c r="BD203" s="826">
        <f t="shared" si="442"/>
        <v>1504</v>
      </c>
      <c r="BE203" s="26">
        <f t="shared" ref="BE203:BI203" si="443">BE169+BE185</f>
        <v>1518</v>
      </c>
      <c r="BF203" s="31">
        <f t="shared" si="443"/>
        <v>1585</v>
      </c>
      <c r="BG203" s="31">
        <f t="shared" si="443"/>
        <v>1586</v>
      </c>
      <c r="BH203" s="26">
        <f t="shared" si="443"/>
        <v>1552</v>
      </c>
      <c r="BI203" s="826">
        <f t="shared" si="443"/>
        <v>1560</v>
      </c>
      <c r="BJ203" s="26">
        <f t="shared" ref="BJ203:BN203" si="444">BJ169+BJ185</f>
        <v>1499</v>
      </c>
      <c r="BK203" s="31">
        <f t="shared" si="444"/>
        <v>1506</v>
      </c>
      <c r="BL203" s="31">
        <f t="shared" si="444"/>
        <v>1584</v>
      </c>
      <c r="BM203" s="26">
        <f t="shared" si="444"/>
        <v>1512</v>
      </c>
      <c r="BN203" s="826">
        <f t="shared" si="444"/>
        <v>1526</v>
      </c>
      <c r="BO203" s="26">
        <f t="shared" ref="BO203:CF203" si="445">BO169+BO185</f>
        <v>1610</v>
      </c>
      <c r="BP203" s="31">
        <f t="shared" si="445"/>
        <v>1685</v>
      </c>
      <c r="BQ203" s="31">
        <f t="shared" si="445"/>
        <v>1706</v>
      </c>
      <c r="BR203" s="26">
        <f t="shared" si="445"/>
        <v>1651</v>
      </c>
      <c r="BS203" s="826">
        <f t="shared" si="445"/>
        <v>1663</v>
      </c>
      <c r="BT203" s="647">
        <f>BT169+BT185</f>
        <v>1637</v>
      </c>
      <c r="BU203" s="31">
        <f t="shared" si="445"/>
        <v>1650</v>
      </c>
      <c r="BV203" s="31">
        <f t="shared" si="445"/>
        <v>1650</v>
      </c>
      <c r="BW203" s="31">
        <f t="shared" si="445"/>
        <v>1650</v>
      </c>
      <c r="BX203" s="825">
        <f t="shared" si="445"/>
        <v>1646.7945205479452</v>
      </c>
      <c r="BY203" s="31">
        <f t="shared" si="445"/>
        <v>1650</v>
      </c>
      <c r="BZ203" s="31">
        <f t="shared" si="445"/>
        <v>1650</v>
      </c>
      <c r="CA203" s="31">
        <f t="shared" si="445"/>
        <v>1650</v>
      </c>
      <c r="CB203" s="31">
        <f t="shared" si="445"/>
        <v>1650</v>
      </c>
      <c r="CC203" s="825">
        <f t="shared" si="445"/>
        <v>1650</v>
      </c>
      <c r="CD203" s="825">
        <f t="shared" si="445"/>
        <v>1675</v>
      </c>
      <c r="CE203" s="825">
        <f t="shared" si="445"/>
        <v>1675</v>
      </c>
      <c r="CF203" s="825">
        <f t="shared" si="445"/>
        <v>1675</v>
      </c>
      <c r="CG203" s="26"/>
    </row>
    <row r="204" spans="1:85" s="429" customFormat="1" hidden="1" outlineLevel="1" x14ac:dyDescent="0.3">
      <c r="A204" s="48"/>
      <c r="B204" s="63"/>
      <c r="C204" s="825"/>
      <c r="D204" s="825"/>
      <c r="E204" s="825"/>
      <c r="F204" s="825"/>
      <c r="G204" s="31"/>
      <c r="H204" s="31"/>
      <c r="I204" s="31"/>
      <c r="J204" s="31"/>
      <c r="K204" s="825"/>
      <c r="L204" s="31"/>
      <c r="M204" s="31"/>
      <c r="N204" s="31"/>
      <c r="O204" s="31"/>
      <c r="P204" s="825"/>
      <c r="Q204" s="31"/>
      <c r="R204" s="31"/>
      <c r="S204" s="31"/>
      <c r="T204" s="31"/>
      <c r="U204" s="825"/>
      <c r="V204" s="31"/>
      <c r="W204" s="31"/>
      <c r="X204" s="31"/>
      <c r="Y204" s="31"/>
      <c r="Z204" s="825"/>
      <c r="AA204" s="31"/>
      <c r="AB204" s="31"/>
      <c r="AC204" s="31"/>
      <c r="AD204" s="31"/>
      <c r="AE204" s="825"/>
      <c r="AF204" s="31"/>
      <c r="AG204" s="31"/>
      <c r="AH204" s="31"/>
      <c r="AI204" s="31"/>
      <c r="AJ204" s="825"/>
      <c r="AK204" s="31"/>
      <c r="AL204" s="31"/>
      <c r="AM204" s="31"/>
      <c r="AN204" s="31"/>
      <c r="AO204" s="825"/>
      <c r="AP204" s="31"/>
      <c r="AQ204" s="31"/>
      <c r="AR204" s="31"/>
      <c r="AS204" s="31"/>
      <c r="AT204" s="825"/>
      <c r="AU204" s="31"/>
      <c r="AV204" s="31"/>
      <c r="AW204" s="31"/>
      <c r="AX204" s="31"/>
      <c r="AY204" s="825"/>
      <c r="AZ204" s="31"/>
      <c r="BA204" s="31"/>
      <c r="BB204" s="31"/>
      <c r="BC204" s="31"/>
      <c r="BD204" s="825"/>
      <c r="BE204" s="31"/>
      <c r="BF204" s="31"/>
      <c r="BG204" s="31"/>
      <c r="BH204" s="31"/>
      <c r="BI204" s="825"/>
      <c r="BJ204" s="31"/>
      <c r="BK204" s="31"/>
      <c r="BL204" s="31"/>
      <c r="BM204" s="31"/>
      <c r="BN204" s="825"/>
      <c r="BO204" s="31"/>
      <c r="BP204" s="31"/>
      <c r="BQ204" s="31"/>
      <c r="BR204" s="31"/>
      <c r="BS204" s="825"/>
      <c r="BT204" s="379"/>
      <c r="BU204" s="31"/>
      <c r="BV204" s="31"/>
      <c r="BW204" s="31"/>
      <c r="BX204" s="825"/>
      <c r="BY204" s="31"/>
      <c r="BZ204" s="31"/>
      <c r="CA204" s="31"/>
      <c r="CB204" s="31"/>
      <c r="CC204" s="825"/>
      <c r="CD204" s="825"/>
      <c r="CE204" s="825"/>
      <c r="CF204" s="825"/>
      <c r="CG204" s="26"/>
    </row>
    <row r="205" spans="1:85" s="428" customFormat="1" hidden="1" outlineLevel="1" x14ac:dyDescent="0.3">
      <c r="A205" s="43" t="s">
        <v>672</v>
      </c>
      <c r="B205" s="64"/>
      <c r="C205" s="821">
        <f>C171+C187</f>
        <v>1275</v>
      </c>
      <c r="D205" s="821">
        <f t="shared" ref="D205:AY205" si="446">D171+D187</f>
        <v>1221</v>
      </c>
      <c r="E205" s="821">
        <f t="shared" si="446"/>
        <v>1096</v>
      </c>
      <c r="F205" s="821">
        <f t="shared" si="446"/>
        <v>1036</v>
      </c>
      <c r="G205" s="37">
        <f t="shared" si="446"/>
        <v>861</v>
      </c>
      <c r="H205" s="37">
        <f t="shared" si="446"/>
        <v>928</v>
      </c>
      <c r="I205" s="37">
        <f t="shared" si="446"/>
        <v>961</v>
      </c>
      <c r="J205" s="37">
        <f t="shared" si="446"/>
        <v>610.40217391304361</v>
      </c>
      <c r="K205" s="821">
        <f t="shared" si="446"/>
        <v>1011</v>
      </c>
      <c r="L205" s="37">
        <f t="shared" si="446"/>
        <v>889</v>
      </c>
      <c r="M205" s="37">
        <f t="shared" si="446"/>
        <v>947</v>
      </c>
      <c r="N205" s="37">
        <f t="shared" si="446"/>
        <v>948</v>
      </c>
      <c r="O205" s="37">
        <f t="shared" si="446"/>
        <v>625.48913043478251</v>
      </c>
      <c r="P205" s="821">
        <f t="shared" si="446"/>
        <v>1018</v>
      </c>
      <c r="Q205" s="37">
        <f t="shared" si="446"/>
        <v>962</v>
      </c>
      <c r="R205" s="37">
        <f t="shared" si="446"/>
        <v>981</v>
      </c>
      <c r="S205" s="37">
        <f t="shared" si="446"/>
        <v>962</v>
      </c>
      <c r="T205" s="37">
        <f t="shared" si="446"/>
        <v>613.69565217391312</v>
      </c>
      <c r="U205" s="821">
        <f t="shared" si="446"/>
        <v>1010</v>
      </c>
      <c r="V205" s="37">
        <f t="shared" si="446"/>
        <v>976</v>
      </c>
      <c r="W205" s="37">
        <f t="shared" si="446"/>
        <v>991</v>
      </c>
      <c r="X205" s="37">
        <f t="shared" si="446"/>
        <v>1031</v>
      </c>
      <c r="Y205" s="22">
        <f t="shared" si="446"/>
        <v>608.99999999999989</v>
      </c>
      <c r="Z205" s="852">
        <f t="shared" si="446"/>
        <v>1013</v>
      </c>
      <c r="AA205" s="22">
        <f t="shared" si="446"/>
        <v>915</v>
      </c>
      <c r="AB205" s="37">
        <f t="shared" si="446"/>
        <v>987</v>
      </c>
      <c r="AC205" s="37">
        <f t="shared" si="446"/>
        <v>1001</v>
      </c>
      <c r="AD205" s="22">
        <f t="shared" si="446"/>
        <v>1055.336956521739</v>
      </c>
      <c r="AE205" s="852">
        <f t="shared" si="446"/>
        <v>990</v>
      </c>
      <c r="AF205" s="22">
        <f t="shared" si="446"/>
        <v>933</v>
      </c>
      <c r="AG205" s="37">
        <f t="shared" si="446"/>
        <v>939</v>
      </c>
      <c r="AH205" s="37">
        <f t="shared" si="446"/>
        <v>930</v>
      </c>
      <c r="AI205" s="22">
        <f t="shared" si="446"/>
        <v>894</v>
      </c>
      <c r="AJ205" s="852">
        <f t="shared" si="446"/>
        <v>963</v>
      </c>
      <c r="AK205" s="22">
        <f t="shared" si="446"/>
        <v>881</v>
      </c>
      <c r="AL205" s="37">
        <f t="shared" si="446"/>
        <v>962</v>
      </c>
      <c r="AM205" s="37">
        <f t="shared" si="446"/>
        <v>958</v>
      </c>
      <c r="AN205" s="22">
        <f t="shared" si="446"/>
        <v>897</v>
      </c>
      <c r="AO205" s="852">
        <f t="shared" si="446"/>
        <v>956</v>
      </c>
      <c r="AP205" s="22">
        <f t="shared" si="446"/>
        <v>867</v>
      </c>
      <c r="AQ205" s="37">
        <f t="shared" si="446"/>
        <v>699</v>
      </c>
      <c r="AR205" s="37">
        <f t="shared" si="446"/>
        <v>845</v>
      </c>
      <c r="AS205" s="22">
        <f t="shared" si="446"/>
        <v>827</v>
      </c>
      <c r="AT205" s="852">
        <f t="shared" si="446"/>
        <v>845</v>
      </c>
      <c r="AU205" s="22">
        <f t="shared" si="446"/>
        <v>865</v>
      </c>
      <c r="AV205" s="37">
        <f t="shared" si="446"/>
        <v>947</v>
      </c>
      <c r="AW205" s="37">
        <f t="shared" si="446"/>
        <v>985</v>
      </c>
      <c r="AX205" s="22">
        <f t="shared" si="446"/>
        <v>945</v>
      </c>
      <c r="AY205" s="852">
        <f t="shared" si="446"/>
        <v>976</v>
      </c>
      <c r="AZ205" s="22">
        <f t="shared" ref="AZ205:BB206" si="447">AZ171+AZ187</f>
        <v>925</v>
      </c>
      <c r="BA205" s="37">
        <f t="shared" si="447"/>
        <v>915</v>
      </c>
      <c r="BB205" s="37">
        <f t="shared" si="447"/>
        <v>945</v>
      </c>
      <c r="BC205" s="22">
        <f t="shared" ref="BC205:BD206" si="448">BC171+BC187</f>
        <v>928</v>
      </c>
      <c r="BD205" s="852">
        <f t="shared" si="448"/>
        <v>928</v>
      </c>
      <c r="BE205" s="22">
        <f t="shared" ref="BE205:BG206" si="449">BE171+BE187</f>
        <v>906</v>
      </c>
      <c r="BF205" s="37">
        <f t="shared" si="449"/>
        <v>996</v>
      </c>
      <c r="BG205" s="37">
        <f t="shared" si="449"/>
        <v>927</v>
      </c>
      <c r="BH205" s="22">
        <f t="shared" ref="BH205:BI206" si="450">BH171+BH187</f>
        <v>969</v>
      </c>
      <c r="BI205" s="852">
        <f t="shared" si="450"/>
        <v>949</v>
      </c>
      <c r="BJ205" s="22">
        <f t="shared" ref="BJ205:BL206" si="451">BJ171+BJ187</f>
        <v>940</v>
      </c>
      <c r="BK205" s="37">
        <f t="shared" si="451"/>
        <v>1044</v>
      </c>
      <c r="BL205" s="37">
        <f t="shared" si="451"/>
        <v>1019</v>
      </c>
      <c r="BM205" s="22">
        <f t="shared" ref="BM205:BN206" si="452">BM171+BM187</f>
        <v>1030</v>
      </c>
      <c r="BN205" s="852">
        <f t="shared" si="452"/>
        <v>1009</v>
      </c>
      <c r="BO205" s="22">
        <f t="shared" ref="BO205:BQ206" si="453">BO171+BO187</f>
        <v>1032</v>
      </c>
      <c r="BP205" s="37">
        <f t="shared" si="453"/>
        <v>1073</v>
      </c>
      <c r="BQ205" s="37">
        <f t="shared" si="453"/>
        <v>1012</v>
      </c>
      <c r="BR205" s="22">
        <f t="shared" ref="BR205:BW206" si="454">BR171+BR187</f>
        <v>1009</v>
      </c>
      <c r="BS205" s="852">
        <f t="shared" si="454"/>
        <v>1031</v>
      </c>
      <c r="BT205" s="648">
        <f>BT171+BT187</f>
        <v>928</v>
      </c>
      <c r="BU205" s="37">
        <f t="shared" si="454"/>
        <v>942.5</v>
      </c>
      <c r="BV205" s="37">
        <f t="shared" si="454"/>
        <v>942.5</v>
      </c>
      <c r="BW205" s="37">
        <f t="shared" si="454"/>
        <v>942.5</v>
      </c>
      <c r="BX205" s="821">
        <f t="shared" ref="BX205:BX206" si="455">BX171+BX187</f>
        <v>938.92465753424653</v>
      </c>
      <c r="BY205" s="37">
        <f t="shared" ref="BY205:CF206" si="456">BY171+BY187</f>
        <v>942.5</v>
      </c>
      <c r="BZ205" s="37">
        <f t="shared" si="456"/>
        <v>942.5</v>
      </c>
      <c r="CA205" s="37">
        <f t="shared" si="456"/>
        <v>942.5</v>
      </c>
      <c r="CB205" s="37">
        <f t="shared" si="456"/>
        <v>942.5</v>
      </c>
      <c r="CC205" s="821">
        <f t="shared" si="456"/>
        <v>942.5</v>
      </c>
      <c r="CD205" s="821">
        <f t="shared" si="456"/>
        <v>987.5</v>
      </c>
      <c r="CE205" s="821">
        <f t="shared" si="456"/>
        <v>987.5</v>
      </c>
      <c r="CF205" s="821">
        <f t="shared" si="456"/>
        <v>987.5</v>
      </c>
      <c r="CG205" s="22"/>
    </row>
    <row r="206" spans="1:85" s="428" customFormat="1" hidden="1" outlineLevel="1" x14ac:dyDescent="0.3">
      <c r="A206" s="43" t="s">
        <v>685</v>
      </c>
      <c r="B206" s="64"/>
      <c r="C206" s="821">
        <f>C172+C188</f>
        <v>1979</v>
      </c>
      <c r="D206" s="821">
        <f t="shared" ref="D206:AY206" si="457">D172+D188</f>
        <v>1892</v>
      </c>
      <c r="E206" s="821">
        <f t="shared" si="457"/>
        <v>1853</v>
      </c>
      <c r="F206" s="821">
        <f t="shared" si="457"/>
        <v>1729</v>
      </c>
      <c r="G206" s="37">
        <f t="shared" si="457"/>
        <v>1227</v>
      </c>
      <c r="H206" s="37">
        <f t="shared" si="457"/>
        <v>1350</v>
      </c>
      <c r="I206" s="37">
        <f t="shared" si="457"/>
        <v>1321</v>
      </c>
      <c r="J206" s="37">
        <f t="shared" si="457"/>
        <v>610.10869565217388</v>
      </c>
      <c r="K206" s="821">
        <f t="shared" si="457"/>
        <v>1700</v>
      </c>
      <c r="L206" s="37">
        <f t="shared" si="457"/>
        <v>1253</v>
      </c>
      <c r="M206" s="37">
        <f t="shared" si="457"/>
        <v>1318</v>
      </c>
      <c r="N206" s="37">
        <f t="shared" si="457"/>
        <v>1296</v>
      </c>
      <c r="O206" s="37">
        <f t="shared" si="457"/>
        <v>606.01086956521749</v>
      </c>
      <c r="P206" s="821">
        <f t="shared" si="457"/>
        <v>1693</v>
      </c>
      <c r="Q206" s="37">
        <f t="shared" si="457"/>
        <v>1339</v>
      </c>
      <c r="R206" s="37">
        <f t="shared" si="457"/>
        <v>1359</v>
      </c>
      <c r="S206" s="37">
        <f t="shared" si="457"/>
        <v>1371</v>
      </c>
      <c r="T206" s="37">
        <f t="shared" si="457"/>
        <v>616.83695652173947</v>
      </c>
      <c r="U206" s="821">
        <f t="shared" si="457"/>
        <v>1725</v>
      </c>
      <c r="V206" s="37">
        <f t="shared" si="457"/>
        <v>1301</v>
      </c>
      <c r="W206" s="37">
        <f t="shared" si="457"/>
        <v>1359</v>
      </c>
      <c r="X206" s="37">
        <f>X172+X188</f>
        <v>1291</v>
      </c>
      <c r="Y206" s="22">
        <f t="shared" si="457"/>
        <v>526.5108695652176</v>
      </c>
      <c r="Z206" s="852">
        <f t="shared" si="457"/>
        <v>1662</v>
      </c>
      <c r="AA206" s="22">
        <f t="shared" si="457"/>
        <v>1322</v>
      </c>
      <c r="AB206" s="37">
        <f t="shared" si="457"/>
        <v>1352</v>
      </c>
      <c r="AC206" s="37">
        <f t="shared" si="457"/>
        <v>1411</v>
      </c>
      <c r="AD206" s="22">
        <f t="shared" si="457"/>
        <v>1635.6413043478265</v>
      </c>
      <c r="AE206" s="852">
        <f t="shared" si="457"/>
        <v>1700</v>
      </c>
      <c r="AF206" s="22">
        <f t="shared" si="457"/>
        <v>1327</v>
      </c>
      <c r="AG206" s="37">
        <f t="shared" si="457"/>
        <v>1401</v>
      </c>
      <c r="AH206" s="37">
        <f t="shared" si="457"/>
        <v>1371</v>
      </c>
      <c r="AI206" s="22">
        <f t="shared" si="457"/>
        <v>1581.9021739130435</v>
      </c>
      <c r="AJ206" s="852">
        <f t="shared" si="457"/>
        <v>1692</v>
      </c>
      <c r="AK206" s="22">
        <f t="shared" si="457"/>
        <v>1725</v>
      </c>
      <c r="AL206" s="37">
        <f t="shared" si="457"/>
        <v>1239</v>
      </c>
      <c r="AM206" s="37">
        <f t="shared" si="457"/>
        <v>1293</v>
      </c>
      <c r="AN206" s="22">
        <f t="shared" si="457"/>
        <v>1615.8260869565217</v>
      </c>
      <c r="AO206" s="852">
        <f t="shared" si="457"/>
        <v>1621</v>
      </c>
      <c r="AP206" s="22">
        <f t="shared" si="457"/>
        <v>1209</v>
      </c>
      <c r="AQ206" s="37">
        <f t="shared" si="457"/>
        <v>881</v>
      </c>
      <c r="AR206" s="37">
        <f t="shared" si="457"/>
        <v>1091</v>
      </c>
      <c r="AS206" s="22">
        <f t="shared" si="457"/>
        <v>1068.163043478261</v>
      </c>
      <c r="AT206" s="852">
        <f t="shared" si="457"/>
        <v>1062.3852459016393</v>
      </c>
      <c r="AU206" s="22">
        <f t="shared" si="457"/>
        <v>1112</v>
      </c>
      <c r="AV206" s="37">
        <f t="shared" si="457"/>
        <v>1152</v>
      </c>
      <c r="AW206" s="37">
        <f t="shared" si="457"/>
        <v>1234</v>
      </c>
      <c r="AX206" s="22">
        <f t="shared" si="457"/>
        <v>1183.054347826087</v>
      </c>
      <c r="AY206" s="852">
        <f t="shared" si="457"/>
        <v>1170.6328767123287</v>
      </c>
      <c r="AZ206" s="22">
        <f t="shared" si="447"/>
        <v>1266</v>
      </c>
      <c r="BA206" s="37">
        <f t="shared" si="447"/>
        <v>1249</v>
      </c>
      <c r="BB206" s="37">
        <f t="shared" si="447"/>
        <v>1341</v>
      </c>
      <c r="BC206" s="22">
        <f t="shared" si="448"/>
        <v>1369</v>
      </c>
      <c r="BD206" s="852">
        <f t="shared" si="448"/>
        <v>1307.0082191780821</v>
      </c>
      <c r="BE206" s="22">
        <f t="shared" si="449"/>
        <v>1423</v>
      </c>
      <c r="BF206" s="37">
        <f t="shared" si="449"/>
        <v>1386</v>
      </c>
      <c r="BG206" s="37">
        <f t="shared" si="449"/>
        <v>1407</v>
      </c>
      <c r="BH206" s="22">
        <f t="shared" si="450"/>
        <v>1366</v>
      </c>
      <c r="BI206" s="852">
        <f t="shared" si="450"/>
        <v>1395.8054794520549</v>
      </c>
      <c r="BJ206" s="22">
        <f t="shared" si="451"/>
        <v>1349</v>
      </c>
      <c r="BK206" s="37">
        <f t="shared" si="451"/>
        <v>1374</v>
      </c>
      <c r="BL206" s="37">
        <f t="shared" si="451"/>
        <v>1410</v>
      </c>
      <c r="BM206" s="22">
        <f t="shared" si="452"/>
        <v>1394</v>
      </c>
      <c r="BN206" s="852">
        <f t="shared" si="452"/>
        <v>1381.4234972677596</v>
      </c>
      <c r="BO206" s="22">
        <f t="shared" si="453"/>
        <v>1306</v>
      </c>
      <c r="BP206" s="37">
        <f t="shared" si="453"/>
        <v>1391</v>
      </c>
      <c r="BQ206" s="37">
        <f t="shared" si="453"/>
        <v>1420</v>
      </c>
      <c r="BR206" s="22">
        <f t="shared" si="454"/>
        <v>1442</v>
      </c>
      <c r="BS206" s="852">
        <f t="shared" si="454"/>
        <v>1389.7205479452055</v>
      </c>
      <c r="BT206" s="648">
        <f>BT172+BT188</f>
        <v>1426</v>
      </c>
      <c r="BU206" s="37">
        <f t="shared" si="454"/>
        <v>1560</v>
      </c>
      <c r="BV206" s="37">
        <f t="shared" si="454"/>
        <v>1430</v>
      </c>
      <c r="BW206" s="37">
        <f t="shared" si="454"/>
        <v>1365</v>
      </c>
      <c r="BX206" s="821">
        <f t="shared" si="455"/>
        <v>1445.0410958904108</v>
      </c>
      <c r="BY206" s="37">
        <f t="shared" si="456"/>
        <v>1495</v>
      </c>
      <c r="BZ206" s="37">
        <f t="shared" si="456"/>
        <v>1560</v>
      </c>
      <c r="CA206" s="37">
        <f t="shared" si="456"/>
        <v>1560</v>
      </c>
      <c r="CB206" s="37">
        <f t="shared" si="456"/>
        <v>1495</v>
      </c>
      <c r="CC206" s="821">
        <f t="shared" si="456"/>
        <v>1527.5890410958905</v>
      </c>
      <c r="CD206" s="821">
        <f t="shared" si="456"/>
        <v>1645</v>
      </c>
      <c r="CE206" s="821">
        <f t="shared" si="456"/>
        <v>1645</v>
      </c>
      <c r="CF206" s="821">
        <f t="shared" si="456"/>
        <v>1645</v>
      </c>
      <c r="CG206" s="22"/>
    </row>
    <row r="207" spans="1:85" s="428" customFormat="1" hidden="1" outlineLevel="1" x14ac:dyDescent="0.3">
      <c r="A207" s="43" t="s">
        <v>673</v>
      </c>
      <c r="B207" s="64"/>
      <c r="C207" s="821">
        <f>C189</f>
        <v>0</v>
      </c>
      <c r="D207" s="821">
        <f t="shared" ref="D207:AY207" si="458">D189</f>
        <v>0</v>
      </c>
      <c r="E207" s="821">
        <f t="shared" si="458"/>
        <v>0</v>
      </c>
      <c r="F207" s="821">
        <f t="shared" si="458"/>
        <v>0</v>
      </c>
      <c r="G207" s="37">
        <f t="shared" si="458"/>
        <v>459</v>
      </c>
      <c r="H207" s="37">
        <f t="shared" si="458"/>
        <v>483</v>
      </c>
      <c r="I207" s="37">
        <f t="shared" si="458"/>
        <v>474</v>
      </c>
      <c r="J207" s="37">
        <f t="shared" si="458"/>
        <v>0</v>
      </c>
      <c r="K207" s="821">
        <f t="shared" si="458"/>
        <v>0</v>
      </c>
      <c r="L207" s="37">
        <f t="shared" si="458"/>
        <v>459</v>
      </c>
      <c r="M207" s="37">
        <f t="shared" si="458"/>
        <v>470</v>
      </c>
      <c r="N207" s="37">
        <f t="shared" si="458"/>
        <v>483</v>
      </c>
      <c r="O207" s="37">
        <f t="shared" si="458"/>
        <v>0</v>
      </c>
      <c r="P207" s="821">
        <f t="shared" si="458"/>
        <v>0</v>
      </c>
      <c r="Q207" s="37">
        <f t="shared" si="458"/>
        <v>485</v>
      </c>
      <c r="R207" s="37">
        <f t="shared" si="458"/>
        <v>367</v>
      </c>
      <c r="S207" s="37">
        <f t="shared" si="458"/>
        <v>416</v>
      </c>
      <c r="T207" s="37">
        <f t="shared" si="458"/>
        <v>0</v>
      </c>
      <c r="U207" s="821">
        <f t="shared" si="458"/>
        <v>0</v>
      </c>
      <c r="V207" s="37">
        <f t="shared" si="458"/>
        <v>369</v>
      </c>
      <c r="W207" s="37">
        <f t="shared" si="458"/>
        <v>362</v>
      </c>
      <c r="X207" s="37">
        <f t="shared" si="458"/>
        <v>391</v>
      </c>
      <c r="Y207" s="22">
        <f t="shared" si="458"/>
        <v>0</v>
      </c>
      <c r="Z207" s="852">
        <f t="shared" si="458"/>
        <v>0</v>
      </c>
      <c r="AA207" s="22">
        <f t="shared" si="458"/>
        <v>361</v>
      </c>
      <c r="AB207" s="37">
        <f t="shared" si="458"/>
        <v>349</v>
      </c>
      <c r="AC207" s="37">
        <f t="shared" si="458"/>
        <v>369</v>
      </c>
      <c r="AD207" s="22">
        <f t="shared" si="458"/>
        <v>0</v>
      </c>
      <c r="AE207" s="852">
        <f t="shared" si="458"/>
        <v>0</v>
      </c>
      <c r="AF207" s="22">
        <f t="shared" si="458"/>
        <v>361</v>
      </c>
      <c r="AG207" s="37">
        <f t="shared" si="458"/>
        <v>378</v>
      </c>
      <c r="AH207" s="37">
        <f t="shared" si="458"/>
        <v>368</v>
      </c>
      <c r="AI207" s="22">
        <f t="shared" si="458"/>
        <v>0</v>
      </c>
      <c r="AJ207" s="852">
        <f t="shared" si="458"/>
        <v>0</v>
      </c>
      <c r="AK207" s="22">
        <f t="shared" si="458"/>
        <v>0</v>
      </c>
      <c r="AL207" s="37">
        <f t="shared" si="458"/>
        <v>340</v>
      </c>
      <c r="AM207" s="37">
        <f t="shared" si="458"/>
        <v>399</v>
      </c>
      <c r="AN207" s="22">
        <f t="shared" si="458"/>
        <v>0</v>
      </c>
      <c r="AO207" s="852">
        <f t="shared" si="458"/>
        <v>0</v>
      </c>
      <c r="AP207" s="22">
        <f t="shared" si="458"/>
        <v>354</v>
      </c>
      <c r="AQ207" s="37">
        <f t="shared" si="458"/>
        <v>351</v>
      </c>
      <c r="AR207" s="37">
        <f t="shared" si="458"/>
        <v>350</v>
      </c>
      <c r="AS207" s="22">
        <f t="shared" si="458"/>
        <v>355</v>
      </c>
      <c r="AT207" s="852">
        <f t="shared" si="458"/>
        <v>316.61475409836066</v>
      </c>
      <c r="AU207" s="22">
        <f t="shared" si="458"/>
        <v>340</v>
      </c>
      <c r="AV207" s="37">
        <f t="shared" si="458"/>
        <v>342</v>
      </c>
      <c r="AW207" s="37">
        <f t="shared" si="458"/>
        <v>355</v>
      </c>
      <c r="AX207" s="22">
        <f t="shared" si="458"/>
        <v>355</v>
      </c>
      <c r="AY207" s="852">
        <f t="shared" si="458"/>
        <v>307.36712328767123</v>
      </c>
      <c r="AZ207" s="22">
        <f t="shared" ref="AZ207:BD207" si="459">AZ189</f>
        <v>353</v>
      </c>
      <c r="BA207" s="37">
        <f t="shared" si="459"/>
        <v>383</v>
      </c>
      <c r="BB207" s="37">
        <f t="shared" si="459"/>
        <v>399</v>
      </c>
      <c r="BC207" s="22">
        <f t="shared" si="459"/>
        <v>380</v>
      </c>
      <c r="BD207" s="852">
        <f t="shared" si="459"/>
        <v>378.99178082191781</v>
      </c>
      <c r="BE207" s="22">
        <f t="shared" ref="BE207:BI207" si="460">BE189</f>
        <v>383</v>
      </c>
      <c r="BF207" s="37">
        <f t="shared" si="460"/>
        <v>366</v>
      </c>
      <c r="BG207" s="37">
        <f t="shared" si="460"/>
        <v>400</v>
      </c>
      <c r="BH207" s="22">
        <f t="shared" si="460"/>
        <v>400</v>
      </c>
      <c r="BI207" s="852">
        <f t="shared" si="460"/>
        <v>387.19452054794522</v>
      </c>
      <c r="BJ207" s="22">
        <f t="shared" ref="BJ207:BN207" si="461">BJ189</f>
        <v>389</v>
      </c>
      <c r="BK207" s="37">
        <f t="shared" si="461"/>
        <v>394</v>
      </c>
      <c r="BL207" s="37">
        <f t="shared" si="461"/>
        <v>390</v>
      </c>
      <c r="BM207" s="22">
        <f t="shared" si="461"/>
        <v>390</v>
      </c>
      <c r="BN207" s="852">
        <f t="shared" si="461"/>
        <v>390.57650273224044</v>
      </c>
      <c r="BO207" s="22">
        <f t="shared" ref="BO207:CF207" si="462">BO189</f>
        <v>353</v>
      </c>
      <c r="BP207" s="37">
        <f t="shared" si="462"/>
        <v>390</v>
      </c>
      <c r="BQ207" s="37">
        <f t="shared" si="462"/>
        <v>388</v>
      </c>
      <c r="BR207" s="22">
        <f t="shared" si="462"/>
        <v>388</v>
      </c>
      <c r="BS207" s="852">
        <f t="shared" si="462"/>
        <v>380.27945205479455</v>
      </c>
      <c r="BT207" s="648">
        <f>BT189</f>
        <v>404</v>
      </c>
      <c r="BU207" s="37">
        <f t="shared" si="462"/>
        <v>375</v>
      </c>
      <c r="BV207" s="37">
        <f t="shared" si="462"/>
        <v>375</v>
      </c>
      <c r="BW207" s="37">
        <f t="shared" si="462"/>
        <v>375</v>
      </c>
      <c r="BX207" s="821">
        <f t="shared" si="462"/>
        <v>382.15068493150687</v>
      </c>
      <c r="BY207" s="37">
        <f t="shared" si="462"/>
        <v>375</v>
      </c>
      <c r="BZ207" s="37">
        <f t="shared" si="462"/>
        <v>375</v>
      </c>
      <c r="CA207" s="37">
        <f t="shared" si="462"/>
        <v>375</v>
      </c>
      <c r="CB207" s="37">
        <f t="shared" si="462"/>
        <v>375</v>
      </c>
      <c r="CC207" s="821">
        <f t="shared" si="462"/>
        <v>375</v>
      </c>
      <c r="CD207" s="821">
        <f t="shared" si="462"/>
        <v>375</v>
      </c>
      <c r="CE207" s="821">
        <f t="shared" si="462"/>
        <v>375</v>
      </c>
      <c r="CF207" s="821">
        <f t="shared" si="462"/>
        <v>375</v>
      </c>
      <c r="CG207" s="22"/>
    </row>
    <row r="208" spans="1:85" s="429" customFormat="1" hidden="1" outlineLevel="1" x14ac:dyDescent="0.3">
      <c r="A208" s="42" t="s">
        <v>674</v>
      </c>
      <c r="B208" s="90"/>
      <c r="C208" s="823">
        <f>C190+C173</f>
        <v>3254</v>
      </c>
      <c r="D208" s="823">
        <f t="shared" ref="D208:AY208" si="463">D190+D173</f>
        <v>3113</v>
      </c>
      <c r="E208" s="823">
        <f t="shared" si="463"/>
        <v>2949</v>
      </c>
      <c r="F208" s="823">
        <f t="shared" si="463"/>
        <v>2765</v>
      </c>
      <c r="G208" s="393">
        <f t="shared" si="463"/>
        <v>2547</v>
      </c>
      <c r="H208" s="393">
        <f t="shared" si="463"/>
        <v>2761</v>
      </c>
      <c r="I208" s="393">
        <f t="shared" si="463"/>
        <v>2756</v>
      </c>
      <c r="J208" s="393">
        <f t="shared" si="463"/>
        <v>1220.5108695652175</v>
      </c>
      <c r="K208" s="823">
        <f t="shared" si="463"/>
        <v>2711</v>
      </c>
      <c r="L208" s="393">
        <f t="shared" si="463"/>
        <v>2601</v>
      </c>
      <c r="M208" s="393">
        <f t="shared" si="463"/>
        <v>2735</v>
      </c>
      <c r="N208" s="393">
        <f t="shared" si="463"/>
        <v>2727</v>
      </c>
      <c r="O208" s="393">
        <f t="shared" si="463"/>
        <v>1231.5</v>
      </c>
      <c r="P208" s="823">
        <f t="shared" si="463"/>
        <v>2711</v>
      </c>
      <c r="Q208" s="393">
        <f t="shared" si="463"/>
        <v>2786</v>
      </c>
      <c r="R208" s="393">
        <f t="shared" si="463"/>
        <v>2707</v>
      </c>
      <c r="S208" s="393">
        <f t="shared" si="463"/>
        <v>2749</v>
      </c>
      <c r="T208" s="393">
        <f t="shared" si="463"/>
        <v>1230.5326086956525</v>
      </c>
      <c r="U208" s="823">
        <f t="shared" si="463"/>
        <v>2735</v>
      </c>
      <c r="V208" s="393">
        <f t="shared" si="463"/>
        <v>2646</v>
      </c>
      <c r="W208" s="393">
        <f t="shared" si="463"/>
        <v>2712</v>
      </c>
      <c r="X208" s="393">
        <f t="shared" si="463"/>
        <v>2713</v>
      </c>
      <c r="Y208" s="394">
        <f t="shared" si="463"/>
        <v>1135.5108695652175</v>
      </c>
      <c r="Z208" s="824">
        <f t="shared" si="463"/>
        <v>2675</v>
      </c>
      <c r="AA208" s="394">
        <f t="shared" si="463"/>
        <v>2598</v>
      </c>
      <c r="AB208" s="393">
        <f t="shared" si="463"/>
        <v>2688</v>
      </c>
      <c r="AC208" s="393">
        <f t="shared" si="463"/>
        <v>2781</v>
      </c>
      <c r="AD208" s="394">
        <f t="shared" si="463"/>
        <v>2690.9782608695655</v>
      </c>
      <c r="AE208" s="824">
        <f t="shared" si="463"/>
        <v>2690</v>
      </c>
      <c r="AF208" s="394">
        <f t="shared" si="463"/>
        <v>2621</v>
      </c>
      <c r="AG208" s="393">
        <f t="shared" si="463"/>
        <v>2718</v>
      </c>
      <c r="AH208" s="393">
        <f t="shared" si="463"/>
        <v>2669</v>
      </c>
      <c r="AI208" s="394">
        <f t="shared" si="463"/>
        <v>2475.9021739130435</v>
      </c>
      <c r="AJ208" s="824">
        <f t="shared" si="463"/>
        <v>2655</v>
      </c>
      <c r="AK208" s="394">
        <f t="shared" si="463"/>
        <v>2606</v>
      </c>
      <c r="AL208" s="393">
        <f t="shared" si="463"/>
        <v>2541</v>
      </c>
      <c r="AM208" s="393">
        <f>AM190+AM173</f>
        <v>2650</v>
      </c>
      <c r="AN208" s="394">
        <f t="shared" si="463"/>
        <v>2512.826086956522</v>
      </c>
      <c r="AO208" s="824">
        <f t="shared" si="463"/>
        <v>2577</v>
      </c>
      <c r="AP208" s="394">
        <f t="shared" si="463"/>
        <v>2430</v>
      </c>
      <c r="AQ208" s="393">
        <f t="shared" si="463"/>
        <v>1931</v>
      </c>
      <c r="AR208" s="393">
        <f t="shared" si="463"/>
        <v>2286</v>
      </c>
      <c r="AS208" s="394">
        <f t="shared" si="463"/>
        <v>2248</v>
      </c>
      <c r="AT208" s="824">
        <f t="shared" si="463"/>
        <v>2224</v>
      </c>
      <c r="AU208" s="394">
        <f t="shared" si="463"/>
        <v>2317</v>
      </c>
      <c r="AV208" s="393">
        <f t="shared" si="463"/>
        <v>2441</v>
      </c>
      <c r="AW208" s="393">
        <f t="shared" si="463"/>
        <v>2574</v>
      </c>
      <c r="AX208" s="394">
        <f t="shared" si="463"/>
        <v>2483.054347826087</v>
      </c>
      <c r="AY208" s="824">
        <f t="shared" si="463"/>
        <v>2454</v>
      </c>
      <c r="AZ208" s="394">
        <f t="shared" ref="AZ208:BD208" si="464">AZ190+AZ173</f>
        <v>2544</v>
      </c>
      <c r="BA208" s="393">
        <f t="shared" si="464"/>
        <v>2547</v>
      </c>
      <c r="BB208" s="393">
        <f t="shared" si="464"/>
        <v>2685</v>
      </c>
      <c r="BC208" s="394">
        <f t="shared" si="464"/>
        <v>2677</v>
      </c>
      <c r="BD208" s="824">
        <f t="shared" si="464"/>
        <v>2614</v>
      </c>
      <c r="BE208" s="394">
        <f t="shared" ref="BE208:BI208" si="465">BE190+BE173</f>
        <v>2712</v>
      </c>
      <c r="BF208" s="393">
        <f t="shared" si="465"/>
        <v>2748</v>
      </c>
      <c r="BG208" s="393">
        <f t="shared" si="465"/>
        <v>2734</v>
      </c>
      <c r="BH208" s="394">
        <f t="shared" si="465"/>
        <v>2735</v>
      </c>
      <c r="BI208" s="824">
        <f t="shared" si="465"/>
        <v>2732</v>
      </c>
      <c r="BJ208" s="394">
        <f t="shared" ref="BJ208:BN208" si="466">BJ190+BJ173</f>
        <v>2678</v>
      </c>
      <c r="BK208" s="393">
        <f t="shared" si="466"/>
        <v>2812</v>
      </c>
      <c r="BL208" s="393">
        <f t="shared" si="466"/>
        <v>2819</v>
      </c>
      <c r="BM208" s="394">
        <f t="shared" si="466"/>
        <v>2814</v>
      </c>
      <c r="BN208" s="824">
        <f t="shared" si="466"/>
        <v>2781</v>
      </c>
      <c r="BO208" s="394">
        <f t="shared" ref="BO208:CF208" si="467">BO190+BO173</f>
        <v>2691</v>
      </c>
      <c r="BP208" s="393">
        <f t="shared" si="467"/>
        <v>2854</v>
      </c>
      <c r="BQ208" s="393">
        <f t="shared" si="467"/>
        <v>2820</v>
      </c>
      <c r="BR208" s="394">
        <f t="shared" si="467"/>
        <v>2839</v>
      </c>
      <c r="BS208" s="824">
        <f t="shared" si="467"/>
        <v>2801</v>
      </c>
      <c r="BT208" s="640">
        <f>BT190+BT173</f>
        <v>2758</v>
      </c>
      <c r="BU208" s="393">
        <f t="shared" si="467"/>
        <v>2877.5</v>
      </c>
      <c r="BV208" s="393">
        <f t="shared" si="467"/>
        <v>2747.5</v>
      </c>
      <c r="BW208" s="393">
        <f t="shared" si="467"/>
        <v>2682.5</v>
      </c>
      <c r="BX208" s="823">
        <f t="shared" si="467"/>
        <v>2766.1164383561645</v>
      </c>
      <c r="BY208" s="393">
        <f t="shared" si="467"/>
        <v>2812.5</v>
      </c>
      <c r="BZ208" s="393">
        <f t="shared" si="467"/>
        <v>2877.5</v>
      </c>
      <c r="CA208" s="393">
        <f t="shared" si="467"/>
        <v>2877.5</v>
      </c>
      <c r="CB208" s="393">
        <f t="shared" si="467"/>
        <v>2812.5</v>
      </c>
      <c r="CC208" s="823">
        <f t="shared" si="467"/>
        <v>2845.0890410958905</v>
      </c>
      <c r="CD208" s="823">
        <f t="shared" si="467"/>
        <v>3007.5</v>
      </c>
      <c r="CE208" s="823">
        <f t="shared" si="467"/>
        <v>3007.5</v>
      </c>
      <c r="CF208" s="823">
        <f t="shared" si="467"/>
        <v>3007.5</v>
      </c>
      <c r="CG208" s="26"/>
    </row>
    <row r="209" spans="1:85" s="429" customFormat="1" hidden="1" outlineLevel="1" x14ac:dyDescent="0.3">
      <c r="A209" s="48"/>
      <c r="B209" s="63"/>
      <c r="C209" s="825"/>
      <c r="D209" s="825"/>
      <c r="E209" s="825"/>
      <c r="F209" s="825"/>
      <c r="G209" s="31"/>
      <c r="H209" s="31"/>
      <c r="I209" s="31"/>
      <c r="J209" s="31"/>
      <c r="K209" s="825"/>
      <c r="L209" s="31"/>
      <c r="M209" s="31"/>
      <c r="N209" s="31"/>
      <c r="O209" s="31"/>
      <c r="P209" s="825"/>
      <c r="Q209" s="31"/>
      <c r="R209" s="31"/>
      <c r="S209" s="31"/>
      <c r="T209" s="31"/>
      <c r="U209" s="825"/>
      <c r="V209" s="31"/>
      <c r="W209" s="31"/>
      <c r="X209" s="31"/>
      <c r="Y209" s="31"/>
      <c r="Z209" s="825"/>
      <c r="AA209" s="31"/>
      <c r="AB209" s="31"/>
      <c r="AC209" s="31"/>
      <c r="AD209" s="31"/>
      <c r="AE209" s="825"/>
      <c r="AF209" s="31"/>
      <c r="AG209" s="31"/>
      <c r="AH209" s="31"/>
      <c r="AI209" s="31"/>
      <c r="AJ209" s="825"/>
      <c r="AK209" s="31"/>
      <c r="AL209" s="31"/>
      <c r="AM209" s="31"/>
      <c r="AN209" s="31"/>
      <c r="AO209" s="825"/>
      <c r="AP209" s="31"/>
      <c r="AQ209" s="31"/>
      <c r="AR209" s="31"/>
      <c r="AS209" s="31"/>
      <c r="AT209" s="825"/>
      <c r="AU209" s="31"/>
      <c r="AV209" s="31"/>
      <c r="AW209" s="31"/>
      <c r="AX209" s="31"/>
      <c r="AY209" s="825"/>
      <c r="AZ209" s="31"/>
      <c r="BA209" s="31"/>
      <c r="BB209" s="31"/>
      <c r="BC209" s="31"/>
      <c r="BD209" s="825"/>
      <c r="BE209" s="31"/>
      <c r="BF209" s="31"/>
      <c r="BG209" s="31"/>
      <c r="BH209" s="31"/>
      <c r="BI209" s="825"/>
      <c r="BJ209" s="31"/>
      <c r="BK209" s="31"/>
      <c r="BL209" s="31"/>
      <c r="BM209" s="31"/>
      <c r="BN209" s="825"/>
      <c r="BO209" s="31"/>
      <c r="BP209" s="31"/>
      <c r="BQ209" s="31"/>
      <c r="BR209" s="31"/>
      <c r="BS209" s="825"/>
      <c r="BT209" s="379"/>
      <c r="BU209" s="31"/>
      <c r="BV209" s="31"/>
      <c r="BW209" s="31"/>
      <c r="BX209" s="825"/>
      <c r="BY209" s="31"/>
      <c r="BZ209" s="31"/>
      <c r="CA209" s="31"/>
      <c r="CB209" s="31"/>
      <c r="CC209" s="825"/>
      <c r="CD209" s="825"/>
      <c r="CE209" s="825"/>
      <c r="CF209" s="825"/>
      <c r="CG209" s="26"/>
    </row>
    <row r="210" spans="1:85" s="436" customFormat="1" hidden="1" outlineLevel="1" x14ac:dyDescent="0.3">
      <c r="A210" s="78" t="s">
        <v>676</v>
      </c>
      <c r="B210" s="96"/>
      <c r="C210" s="873">
        <f>C205/C203</f>
        <v>0.67891373801916932</v>
      </c>
      <c r="D210" s="873">
        <f t="shared" ref="D210:AY210" si="468">D205/D203</f>
        <v>0.64466737064413937</v>
      </c>
      <c r="E210" s="873">
        <f t="shared" si="468"/>
        <v>0.61331841074426408</v>
      </c>
      <c r="F210" s="873">
        <f t="shared" si="468"/>
        <v>0.60869565217391308</v>
      </c>
      <c r="G210" s="483">
        <f t="shared" si="468"/>
        <v>0.61764705882352944</v>
      </c>
      <c r="H210" s="483">
        <f t="shared" si="468"/>
        <v>0.55041518386714117</v>
      </c>
      <c r="I210" s="483">
        <f t="shared" si="468"/>
        <v>0.56002331002331007</v>
      </c>
      <c r="J210" s="483">
        <f t="shared" si="468"/>
        <v>0.34900067119099121</v>
      </c>
      <c r="K210" s="873">
        <f t="shared" si="468"/>
        <v>0.61721611721611724</v>
      </c>
      <c r="L210" s="483">
        <f t="shared" si="468"/>
        <v>0.54009720534629402</v>
      </c>
      <c r="M210" s="483">
        <f t="shared" si="468"/>
        <v>0.59003115264797512</v>
      </c>
      <c r="N210" s="483">
        <f t="shared" si="468"/>
        <v>0.53894258101193859</v>
      </c>
      <c r="O210" s="483">
        <f t="shared" si="468"/>
        <v>0.35762671837323184</v>
      </c>
      <c r="P210" s="873">
        <f t="shared" si="468"/>
        <v>0.60236686390532546</v>
      </c>
      <c r="Q210" s="483">
        <f t="shared" si="468"/>
        <v>0.5658823529411765</v>
      </c>
      <c r="R210" s="483">
        <f t="shared" si="468"/>
        <v>0.58047337278106503</v>
      </c>
      <c r="S210" s="483">
        <f t="shared" si="468"/>
        <v>0.55962769051774286</v>
      </c>
      <c r="T210" s="483">
        <f t="shared" si="468"/>
        <v>0.36120991887811249</v>
      </c>
      <c r="U210" s="873">
        <f t="shared" si="468"/>
        <v>0.59341950646298469</v>
      </c>
      <c r="V210" s="483">
        <f t="shared" si="468"/>
        <v>0.55707762557077622</v>
      </c>
      <c r="W210" s="483">
        <f t="shared" si="468"/>
        <v>0.57649796393251895</v>
      </c>
      <c r="X210" s="483">
        <f t="shared" si="468"/>
        <v>0.58579545454545456</v>
      </c>
      <c r="Y210" s="82">
        <f t="shared" si="468"/>
        <v>0.40013140604467801</v>
      </c>
      <c r="Z210" s="874">
        <f t="shared" si="468"/>
        <v>0.60011848341232232</v>
      </c>
      <c r="AA210" s="82">
        <f t="shared" si="468"/>
        <v>0.5495495495495496</v>
      </c>
      <c r="AB210" s="483">
        <f t="shared" si="468"/>
        <v>0.59673518742442566</v>
      </c>
      <c r="AC210" s="483">
        <f t="shared" si="468"/>
        <v>0.57794457274826794</v>
      </c>
      <c r="AD210" s="82">
        <f t="shared" si="468"/>
        <v>0.66165326427695237</v>
      </c>
      <c r="AE210" s="874">
        <f t="shared" si="468"/>
        <v>0.59602649006622521</v>
      </c>
      <c r="AF210" s="82">
        <f t="shared" si="468"/>
        <v>0.56820950060901343</v>
      </c>
      <c r="AG210" s="483">
        <f t="shared" si="468"/>
        <v>0.58871473354231973</v>
      </c>
      <c r="AH210" s="483">
        <f t="shared" si="468"/>
        <v>0.5723076923076923</v>
      </c>
      <c r="AI210" s="82">
        <f>AI205/AI203</f>
        <v>0.56475047378395449</v>
      </c>
      <c r="AJ210" s="874">
        <f t="shared" si="468"/>
        <v>0.5977653631284916</v>
      </c>
      <c r="AK210" s="82">
        <f t="shared" si="468"/>
        <v>0.57581699346405224</v>
      </c>
      <c r="AL210" s="483">
        <f t="shared" si="468"/>
        <v>0.61706221937139194</v>
      </c>
      <c r="AM210" s="483">
        <f t="shared" si="468"/>
        <v>0.59245516388373531</v>
      </c>
      <c r="AN210" s="82">
        <f t="shared" si="468"/>
        <v>0.57833655705996134</v>
      </c>
      <c r="AO210" s="874">
        <f t="shared" si="468"/>
        <v>0.61125319693094626</v>
      </c>
      <c r="AP210" s="82">
        <f t="shared" si="468"/>
        <v>0.541875</v>
      </c>
      <c r="AQ210" s="483">
        <f t="shared" si="468"/>
        <v>0.59743589743589742</v>
      </c>
      <c r="AR210" s="483">
        <f t="shared" si="468"/>
        <v>0.6079136690647482</v>
      </c>
      <c r="AS210" s="82">
        <f t="shared" si="468"/>
        <v>0.61395694135115075</v>
      </c>
      <c r="AT210" s="874">
        <f t="shared" si="468"/>
        <v>0.61365286855482937</v>
      </c>
      <c r="AU210" s="82">
        <f t="shared" si="468"/>
        <v>0.61044460127028932</v>
      </c>
      <c r="AV210" s="483">
        <f>AV205/AV203</f>
        <v>0.61653645833333337</v>
      </c>
      <c r="AW210" s="483">
        <f t="shared" si="468"/>
        <v>0.66599053414469234</v>
      </c>
      <c r="AX210" s="82">
        <f t="shared" si="468"/>
        <v>0.6367924528301887</v>
      </c>
      <c r="AY210" s="874">
        <f t="shared" si="468"/>
        <v>0.65990534144692359</v>
      </c>
      <c r="AZ210" s="82">
        <f t="shared" ref="AZ210:BD210" si="469">AZ205/AZ203</f>
        <v>0.60299869621903524</v>
      </c>
      <c r="BA210" s="483">
        <f t="shared" si="469"/>
        <v>0.60396039603960394</v>
      </c>
      <c r="BB210" s="483">
        <f t="shared" si="469"/>
        <v>0.66083916083916083</v>
      </c>
      <c r="BC210" s="82">
        <f t="shared" si="469"/>
        <v>0.60220635950681378</v>
      </c>
      <c r="BD210" s="874">
        <f t="shared" si="469"/>
        <v>0.61702127659574468</v>
      </c>
      <c r="BE210" s="82">
        <f t="shared" ref="BE210:BI210" si="470">BE205/BE203</f>
        <v>0.59683794466403162</v>
      </c>
      <c r="BF210" s="483">
        <f t="shared" si="470"/>
        <v>0.62839116719242905</v>
      </c>
      <c r="BG210" s="483">
        <f t="shared" si="470"/>
        <v>0.58448928121059274</v>
      </c>
      <c r="BH210" s="82">
        <f t="shared" si="470"/>
        <v>0.62435567010309279</v>
      </c>
      <c r="BI210" s="874">
        <f t="shared" si="470"/>
        <v>0.60833333333333328</v>
      </c>
      <c r="BJ210" s="82">
        <f t="shared" ref="BJ210:BN210" si="471">BJ205/BJ203</f>
        <v>0.62708472314876584</v>
      </c>
      <c r="BK210" s="483">
        <f t="shared" si="471"/>
        <v>0.69322709163346619</v>
      </c>
      <c r="BL210" s="483">
        <f t="shared" si="471"/>
        <v>0.64330808080808077</v>
      </c>
      <c r="BM210" s="82">
        <f t="shared" si="471"/>
        <v>0.68121693121693117</v>
      </c>
      <c r="BN210" s="874">
        <f t="shared" si="471"/>
        <v>0.66120576671035391</v>
      </c>
      <c r="BO210" s="82">
        <f t="shared" ref="BO210:CF210" si="472">BO205/BO203</f>
        <v>0.64099378881987579</v>
      </c>
      <c r="BP210" s="483">
        <f t="shared" si="472"/>
        <v>0.63679525222551925</v>
      </c>
      <c r="BQ210" s="483">
        <f t="shared" si="472"/>
        <v>0.59320046893317702</v>
      </c>
      <c r="BR210" s="82">
        <f t="shared" si="472"/>
        <v>0.61114476075105995</v>
      </c>
      <c r="BS210" s="874">
        <f t="shared" si="472"/>
        <v>0.61996392062537586</v>
      </c>
      <c r="BT210" s="659">
        <f>BT205/BT203</f>
        <v>0.56689065363469759</v>
      </c>
      <c r="BU210" s="483">
        <f t="shared" si="472"/>
        <v>0.57121212121212117</v>
      </c>
      <c r="BV210" s="483">
        <f t="shared" si="472"/>
        <v>0.57121212121212117</v>
      </c>
      <c r="BW210" s="483">
        <f t="shared" si="472"/>
        <v>0.57121212121212117</v>
      </c>
      <c r="BX210" s="873">
        <f t="shared" si="472"/>
        <v>0.57015289146203496</v>
      </c>
      <c r="BY210" s="483">
        <f t="shared" si="472"/>
        <v>0.57121212121212117</v>
      </c>
      <c r="BZ210" s="483">
        <f t="shared" si="472"/>
        <v>0.57121212121212117</v>
      </c>
      <c r="CA210" s="483">
        <f t="shared" si="472"/>
        <v>0.57121212121212117</v>
      </c>
      <c r="CB210" s="483">
        <f t="shared" si="472"/>
        <v>0.57121212121212117</v>
      </c>
      <c r="CC210" s="873">
        <f t="shared" si="472"/>
        <v>0.57121212121212117</v>
      </c>
      <c r="CD210" s="873">
        <f t="shared" si="472"/>
        <v>0.58955223880597019</v>
      </c>
      <c r="CE210" s="873">
        <f t="shared" si="472"/>
        <v>0.58955223880597019</v>
      </c>
      <c r="CF210" s="873">
        <f t="shared" si="472"/>
        <v>0.58955223880597019</v>
      </c>
      <c r="CG210" s="82"/>
    </row>
    <row r="211" spans="1:85" s="436" customFormat="1" hidden="1" outlineLevel="1" x14ac:dyDescent="0.3">
      <c r="A211" s="78" t="s">
        <v>677</v>
      </c>
      <c r="B211" s="96"/>
      <c r="C211" s="873">
        <f>C206/C203</f>
        <v>1.0537806176783813</v>
      </c>
      <c r="D211" s="873">
        <f t="shared" ref="D211:AY211" si="473">D206/D203</f>
        <v>0.99894403379091867</v>
      </c>
      <c r="E211" s="873">
        <f t="shared" si="473"/>
        <v>1.0369334079462786</v>
      </c>
      <c r="F211" s="873">
        <f t="shared" si="473"/>
        <v>1.0158636897767332</v>
      </c>
      <c r="G211" s="483">
        <f t="shared" si="473"/>
        <v>0.88020086083213778</v>
      </c>
      <c r="H211" s="483">
        <f t="shared" si="473"/>
        <v>0.80071174377224197</v>
      </c>
      <c r="I211" s="483">
        <f t="shared" si="473"/>
        <v>0.76981351981351986</v>
      </c>
      <c r="J211" s="483">
        <f t="shared" si="473"/>
        <v>0.34883287344320979</v>
      </c>
      <c r="K211" s="873">
        <f t="shared" si="473"/>
        <v>1.0378510378510379</v>
      </c>
      <c r="L211" s="483">
        <f t="shared" si="473"/>
        <v>0.76123936816524906</v>
      </c>
      <c r="M211" s="483">
        <f t="shared" si="473"/>
        <v>0.82118380062305296</v>
      </c>
      <c r="N211" s="483">
        <f t="shared" si="473"/>
        <v>0.73678226264923252</v>
      </c>
      <c r="O211" s="483">
        <f t="shared" si="473"/>
        <v>0.34648991970567039</v>
      </c>
      <c r="P211" s="873">
        <f t="shared" si="473"/>
        <v>1.001775147928994</v>
      </c>
      <c r="Q211" s="483">
        <f t="shared" si="473"/>
        <v>0.78764705882352937</v>
      </c>
      <c r="R211" s="483">
        <f t="shared" si="473"/>
        <v>0.80414201183431955</v>
      </c>
      <c r="S211" s="483">
        <f t="shared" si="473"/>
        <v>0.79755671902268765</v>
      </c>
      <c r="T211" s="483">
        <f t="shared" si="473"/>
        <v>0.36305883256135341</v>
      </c>
      <c r="U211" s="873">
        <f t="shared" si="473"/>
        <v>1.0135135135135136</v>
      </c>
      <c r="V211" s="483">
        <f t="shared" si="473"/>
        <v>0.74257990867579904</v>
      </c>
      <c r="W211" s="483">
        <f t="shared" si="473"/>
        <v>0.79057591623036649</v>
      </c>
      <c r="X211" s="483">
        <f t="shared" si="473"/>
        <v>0.73352272727272727</v>
      </c>
      <c r="Y211" s="82">
        <f t="shared" si="473"/>
        <v>0.34593355424784339</v>
      </c>
      <c r="Z211" s="874">
        <f t="shared" si="473"/>
        <v>0.9845971563981043</v>
      </c>
      <c r="AA211" s="82">
        <f t="shared" si="473"/>
        <v>0.79399399399399395</v>
      </c>
      <c r="AB211" s="483">
        <f t="shared" si="473"/>
        <v>0.81741233373639666</v>
      </c>
      <c r="AC211" s="483">
        <f t="shared" si="473"/>
        <v>0.8146651270207852</v>
      </c>
      <c r="AD211" s="82">
        <f t="shared" si="473"/>
        <v>1.0254804415973833</v>
      </c>
      <c r="AE211" s="874">
        <f t="shared" si="473"/>
        <v>1.0234798314268514</v>
      </c>
      <c r="AF211" s="82">
        <f t="shared" si="473"/>
        <v>0.80816077953714982</v>
      </c>
      <c r="AG211" s="483">
        <f t="shared" si="473"/>
        <v>0.87836990595611286</v>
      </c>
      <c r="AH211" s="483">
        <f t="shared" si="473"/>
        <v>0.84369230769230774</v>
      </c>
      <c r="AI211" s="82">
        <f>AI206/AI203</f>
        <v>0.99930649015353346</v>
      </c>
      <c r="AJ211" s="874">
        <f t="shared" si="473"/>
        <v>1.0502793296089385</v>
      </c>
      <c r="AK211" s="82">
        <f t="shared" si="473"/>
        <v>1.1274509803921569</v>
      </c>
      <c r="AL211" s="483">
        <f t="shared" si="473"/>
        <v>0.79474021808851825</v>
      </c>
      <c r="AM211" s="483">
        <f t="shared" si="473"/>
        <v>0.79962894248608529</v>
      </c>
      <c r="AN211" s="82">
        <f t="shared" si="473"/>
        <v>1.0417963165419224</v>
      </c>
      <c r="AO211" s="874">
        <f t="shared" si="473"/>
        <v>1.0364450127877238</v>
      </c>
      <c r="AP211" s="82">
        <f t="shared" si="473"/>
        <v>0.75562499999999999</v>
      </c>
      <c r="AQ211" s="483">
        <f t="shared" si="473"/>
        <v>0.75299145299145298</v>
      </c>
      <c r="AR211" s="483">
        <f t="shared" si="473"/>
        <v>0.78489208633093521</v>
      </c>
      <c r="AS211" s="82">
        <f t="shared" si="473"/>
        <v>0.7929940931538686</v>
      </c>
      <c r="AT211" s="874">
        <f t="shared" si="473"/>
        <v>0.77152160196197483</v>
      </c>
      <c r="AU211" s="82">
        <f t="shared" si="473"/>
        <v>0.78475652787579397</v>
      </c>
      <c r="AV211" s="483">
        <f t="shared" si="473"/>
        <v>0.75</v>
      </c>
      <c r="AW211" s="483">
        <f t="shared" si="473"/>
        <v>0.83434753211629475</v>
      </c>
      <c r="AX211" s="82">
        <f t="shared" si="473"/>
        <v>0.79720643384507206</v>
      </c>
      <c r="AY211" s="874">
        <f t="shared" si="473"/>
        <v>0.79150295923754477</v>
      </c>
      <c r="AZ211" s="82">
        <f t="shared" ref="AZ211:BD211" si="474">AZ206/AZ203</f>
        <v>0.82529335071707954</v>
      </c>
      <c r="BA211" s="483">
        <f t="shared" si="474"/>
        <v>0.82442244224422445</v>
      </c>
      <c r="BB211" s="483">
        <f t="shared" si="474"/>
        <v>0.93776223776223777</v>
      </c>
      <c r="BC211" s="82">
        <f t="shared" si="474"/>
        <v>0.88838416612589233</v>
      </c>
      <c r="BD211" s="874">
        <f t="shared" si="474"/>
        <v>0.86902142232585244</v>
      </c>
      <c r="BE211" s="82">
        <f t="shared" ref="BE211:BI211" si="475">BE206/BE203</f>
        <v>0.93741765480895911</v>
      </c>
      <c r="BF211" s="483">
        <f t="shared" si="475"/>
        <v>0.87444794952681393</v>
      </c>
      <c r="BG211" s="483">
        <f t="shared" si="475"/>
        <v>0.88713745271122324</v>
      </c>
      <c r="BH211" s="82">
        <f t="shared" si="475"/>
        <v>0.88015463917525771</v>
      </c>
      <c r="BI211" s="874">
        <f t="shared" si="475"/>
        <v>0.89474710221285569</v>
      </c>
      <c r="BJ211" s="82">
        <f t="shared" ref="BJ211:BN211" si="476">BJ206/BJ203</f>
        <v>0.89993328885923951</v>
      </c>
      <c r="BK211" s="483">
        <f t="shared" si="476"/>
        <v>0.91235059760956172</v>
      </c>
      <c r="BL211" s="483">
        <f t="shared" si="476"/>
        <v>0.89015151515151514</v>
      </c>
      <c r="BM211" s="82">
        <f t="shared" si="476"/>
        <v>0.92195767195767198</v>
      </c>
      <c r="BN211" s="874">
        <f t="shared" si="476"/>
        <v>0.90525786190547808</v>
      </c>
      <c r="BO211" s="82">
        <f t="shared" ref="BO211:CF211" si="477">BO206/BO203</f>
        <v>0.81118012422360253</v>
      </c>
      <c r="BP211" s="483">
        <f t="shared" si="477"/>
        <v>0.82551928783382789</v>
      </c>
      <c r="BQ211" s="483">
        <f t="shared" si="477"/>
        <v>0.83235638921453692</v>
      </c>
      <c r="BR211" s="82">
        <f t="shared" si="477"/>
        <v>0.87341005451241671</v>
      </c>
      <c r="BS211" s="874">
        <f t="shared" si="477"/>
        <v>0.83567080453710485</v>
      </c>
      <c r="BT211" s="659">
        <f>BT206/BT203</f>
        <v>0.87110568112400732</v>
      </c>
      <c r="BU211" s="483">
        <f t="shared" si="477"/>
        <v>0.94545454545454544</v>
      </c>
      <c r="BV211" s="483">
        <f t="shared" si="477"/>
        <v>0.8666666666666667</v>
      </c>
      <c r="BW211" s="483">
        <f t="shared" si="477"/>
        <v>0.82727272727272727</v>
      </c>
      <c r="BX211" s="873">
        <f t="shared" si="477"/>
        <v>0.87748718972516127</v>
      </c>
      <c r="BY211" s="483">
        <f t="shared" si="477"/>
        <v>0.90606060606060601</v>
      </c>
      <c r="BZ211" s="483">
        <f t="shared" si="477"/>
        <v>0.94545454545454544</v>
      </c>
      <c r="CA211" s="483">
        <f t="shared" si="477"/>
        <v>0.94545454545454544</v>
      </c>
      <c r="CB211" s="483">
        <f t="shared" si="477"/>
        <v>0.90606060606060601</v>
      </c>
      <c r="CC211" s="873">
        <f t="shared" si="477"/>
        <v>0.92581154005811539</v>
      </c>
      <c r="CD211" s="873">
        <f t="shared" si="477"/>
        <v>0.98208955223880601</v>
      </c>
      <c r="CE211" s="873">
        <f t="shared" si="477"/>
        <v>0.98208955223880601</v>
      </c>
      <c r="CF211" s="873">
        <f t="shared" si="477"/>
        <v>0.98208955223880601</v>
      </c>
      <c r="CG211" s="82"/>
    </row>
    <row r="212" spans="1:85" s="429" customFormat="1" hidden="1" outlineLevel="1" x14ac:dyDescent="0.3">
      <c r="A212" s="48"/>
      <c r="B212" s="63"/>
      <c r="C212" s="825"/>
      <c r="D212" s="825"/>
      <c r="E212" s="825"/>
      <c r="F212" s="825"/>
      <c r="G212" s="31"/>
      <c r="H212" s="31"/>
      <c r="I212" s="31"/>
      <c r="J212" s="31"/>
      <c r="K212" s="825"/>
      <c r="L212" s="31"/>
      <c r="M212" s="31"/>
      <c r="N212" s="31"/>
      <c r="O212" s="31"/>
      <c r="P212" s="825"/>
      <c r="Q212" s="31"/>
      <c r="R212" s="31"/>
      <c r="S212" s="31"/>
      <c r="T212" s="31"/>
      <c r="U212" s="825"/>
      <c r="V212" s="31"/>
      <c r="W212" s="31"/>
      <c r="X212" s="31"/>
      <c r="Y212" s="31"/>
      <c r="Z212" s="825"/>
      <c r="AA212" s="31"/>
      <c r="AB212" s="31"/>
      <c r="AC212" s="31"/>
      <c r="AD212" s="31"/>
      <c r="AE212" s="825"/>
      <c r="AF212" s="31"/>
      <c r="AG212" s="31"/>
      <c r="AH212" s="31"/>
      <c r="AI212" s="31"/>
      <c r="AJ212" s="825"/>
      <c r="AK212" s="31"/>
      <c r="AL212" s="31"/>
      <c r="AM212" s="31"/>
      <c r="AN212" s="31"/>
      <c r="AO212" s="825"/>
      <c r="AP212" s="31"/>
      <c r="AQ212" s="31"/>
      <c r="AR212" s="31"/>
      <c r="AS212" s="31"/>
      <c r="AT212" s="825"/>
      <c r="AU212" s="31"/>
      <c r="AV212" s="31"/>
      <c r="AW212" s="31"/>
      <c r="AX212" s="31"/>
      <c r="AY212" s="825"/>
      <c r="AZ212" s="31"/>
      <c r="BA212" s="31"/>
      <c r="BB212" s="31"/>
      <c r="BC212" s="31"/>
      <c r="BD212" s="825"/>
      <c r="BE212" s="31"/>
      <c r="BF212" s="31"/>
      <c r="BG212" s="31"/>
      <c r="BH212" s="31"/>
      <c r="BI212" s="825"/>
      <c r="BJ212" s="31"/>
      <c r="BK212" s="31"/>
      <c r="BL212" s="31"/>
      <c r="BM212" s="31"/>
      <c r="BN212" s="825"/>
      <c r="BO212" s="31"/>
      <c r="BP212" s="31"/>
      <c r="BQ212" s="31"/>
      <c r="BR212" s="31"/>
      <c r="BS212" s="825"/>
      <c r="BT212" s="379"/>
      <c r="BU212" s="31"/>
      <c r="BV212" s="31"/>
      <c r="BW212" s="31"/>
      <c r="BX212" s="825"/>
      <c r="BY212" s="31"/>
      <c r="BZ212" s="31"/>
      <c r="CA212" s="31"/>
      <c r="CB212" s="31"/>
      <c r="CC212" s="825"/>
      <c r="CD212" s="825"/>
      <c r="CE212" s="825"/>
      <c r="CF212" s="825"/>
      <c r="CG212" s="26"/>
    </row>
    <row r="213" spans="1:85" s="429" customFormat="1" hidden="1" outlineLevel="1" x14ac:dyDescent="0.3">
      <c r="A213" s="48" t="s">
        <v>678</v>
      </c>
      <c r="B213" s="63"/>
      <c r="C213" s="825">
        <f>C175+C195</f>
        <v>232</v>
      </c>
      <c r="D213" s="825">
        <f t="shared" ref="D213:AY213" si="478">D175+D195</f>
        <v>217</v>
      </c>
      <c r="E213" s="825">
        <f t="shared" si="478"/>
        <v>209</v>
      </c>
      <c r="F213" s="825">
        <f t="shared" si="478"/>
        <v>205</v>
      </c>
      <c r="G213" s="31">
        <f t="shared" si="478"/>
        <v>187</v>
      </c>
      <c r="H213" s="31">
        <f t="shared" si="478"/>
        <v>185</v>
      </c>
      <c r="I213" s="31">
        <f t="shared" si="478"/>
        <v>184</v>
      </c>
      <c r="J213" s="31">
        <f t="shared" si="478"/>
        <v>191.97826086956519</v>
      </c>
      <c r="K213" s="825">
        <f t="shared" si="478"/>
        <v>187</v>
      </c>
      <c r="L213" s="31">
        <f t="shared" si="478"/>
        <v>168</v>
      </c>
      <c r="M213" s="31">
        <f t="shared" si="478"/>
        <v>172</v>
      </c>
      <c r="N213" s="31">
        <f t="shared" si="478"/>
        <v>175</v>
      </c>
      <c r="O213" s="31">
        <f t="shared" si="478"/>
        <v>200.68478260869568</v>
      </c>
      <c r="P213" s="825">
        <f t="shared" si="478"/>
        <v>179</v>
      </c>
      <c r="Q213" s="31">
        <f t="shared" si="478"/>
        <v>186</v>
      </c>
      <c r="R213" s="31">
        <f t="shared" si="478"/>
        <v>196</v>
      </c>
      <c r="S213" s="31">
        <f t="shared" si="478"/>
        <v>195</v>
      </c>
      <c r="T213" s="31">
        <f t="shared" si="478"/>
        <v>190.9130434782609</v>
      </c>
      <c r="U213" s="825">
        <f t="shared" si="478"/>
        <v>192</v>
      </c>
      <c r="V213" s="31">
        <f t="shared" si="478"/>
        <v>169</v>
      </c>
      <c r="W213" s="31">
        <f t="shared" si="478"/>
        <v>183</v>
      </c>
      <c r="X213" s="31">
        <f t="shared" si="478"/>
        <v>173</v>
      </c>
      <c r="Y213" s="26">
        <f t="shared" si="478"/>
        <v>179.00000000000003</v>
      </c>
      <c r="Z213" s="826">
        <f t="shared" si="478"/>
        <v>176</v>
      </c>
      <c r="AA213" s="26">
        <f t="shared" si="478"/>
        <v>171</v>
      </c>
      <c r="AB213" s="31">
        <f t="shared" si="478"/>
        <v>186</v>
      </c>
      <c r="AC213" s="31">
        <f t="shared" si="478"/>
        <v>162</v>
      </c>
      <c r="AD213" s="26">
        <f t="shared" si="478"/>
        <v>173.0978260869565</v>
      </c>
      <c r="AE213" s="826">
        <f t="shared" si="478"/>
        <v>173</v>
      </c>
      <c r="AF213" s="26">
        <f t="shared" si="478"/>
        <v>115</v>
      </c>
      <c r="AG213" s="31">
        <f t="shared" si="478"/>
        <v>135</v>
      </c>
      <c r="AH213" s="31">
        <f t="shared" si="478"/>
        <v>138</v>
      </c>
      <c r="AI213" s="26">
        <f t="shared" si="478"/>
        <v>155.53260869565219</v>
      </c>
      <c r="AJ213" s="826">
        <f t="shared" si="478"/>
        <v>136</v>
      </c>
      <c r="AK213" s="26">
        <f t="shared" si="478"/>
        <v>165</v>
      </c>
      <c r="AL213" s="31">
        <f t="shared" si="478"/>
        <v>170</v>
      </c>
      <c r="AM213" s="31">
        <f t="shared" si="478"/>
        <v>176</v>
      </c>
      <c r="AN213" s="26">
        <f t="shared" si="478"/>
        <v>180.79347826086956</v>
      </c>
      <c r="AO213" s="826">
        <f t="shared" si="478"/>
        <v>173</v>
      </c>
      <c r="AP213" s="26">
        <f t="shared" si="478"/>
        <v>108</v>
      </c>
      <c r="AQ213" s="31">
        <f t="shared" si="478"/>
        <v>96</v>
      </c>
      <c r="AR213" s="31">
        <f t="shared" si="478"/>
        <v>105</v>
      </c>
      <c r="AS213" s="26">
        <f t="shared" si="478"/>
        <v>87.065217391304344</v>
      </c>
      <c r="AT213" s="826">
        <f t="shared" si="478"/>
        <v>99</v>
      </c>
      <c r="AU213" s="26">
        <f t="shared" si="478"/>
        <v>105</v>
      </c>
      <c r="AV213" s="31">
        <f t="shared" si="478"/>
        <v>103</v>
      </c>
      <c r="AW213" s="31">
        <f t="shared" si="478"/>
        <v>152</v>
      </c>
      <c r="AX213" s="26">
        <f t="shared" si="478"/>
        <v>139.32608695652175</v>
      </c>
      <c r="AY213" s="826">
        <f t="shared" si="478"/>
        <v>125</v>
      </c>
      <c r="AZ213" s="26">
        <f t="shared" ref="AZ213:BD213" si="479">AZ175+AZ195</f>
        <v>151</v>
      </c>
      <c r="BA213" s="31">
        <f t="shared" si="479"/>
        <v>178</v>
      </c>
      <c r="BB213" s="31">
        <f t="shared" si="479"/>
        <v>144</v>
      </c>
      <c r="BC213" s="26">
        <f t="shared" si="479"/>
        <v>143.19565217391303</v>
      </c>
      <c r="BD213" s="826">
        <f t="shared" si="479"/>
        <v>154</v>
      </c>
      <c r="BE213" s="26">
        <f t="shared" ref="BE213:BI213" si="480">BE175+BE195</f>
        <v>157</v>
      </c>
      <c r="BF213" s="31">
        <f t="shared" si="480"/>
        <v>197</v>
      </c>
      <c r="BG213" s="31">
        <f t="shared" si="480"/>
        <v>197</v>
      </c>
      <c r="BH213" s="26">
        <f t="shared" si="480"/>
        <v>150.93478260869566</v>
      </c>
      <c r="BI213" s="826">
        <f t="shared" si="480"/>
        <v>175</v>
      </c>
      <c r="BJ213" s="26">
        <f t="shared" ref="BJ213:BN213" si="481">BJ175+BJ195</f>
        <v>160</v>
      </c>
      <c r="BK213" s="31">
        <f t="shared" si="481"/>
        <v>140</v>
      </c>
      <c r="BL213" s="31">
        <f t="shared" si="481"/>
        <v>173</v>
      </c>
      <c r="BM213" s="26">
        <f t="shared" si="481"/>
        <v>155.02173913043478</v>
      </c>
      <c r="BN213" s="826">
        <f t="shared" si="481"/>
        <v>157</v>
      </c>
      <c r="BO213" s="26">
        <f t="shared" ref="BO213:CF213" si="482">BO175+BO195</f>
        <v>142</v>
      </c>
      <c r="BP213" s="31">
        <f t="shared" si="482"/>
        <v>154</v>
      </c>
      <c r="BQ213" s="31">
        <f t="shared" si="482"/>
        <v>138</v>
      </c>
      <c r="BR213" s="26">
        <f t="shared" si="482"/>
        <v>166</v>
      </c>
      <c r="BS213" s="826">
        <f t="shared" si="482"/>
        <v>149</v>
      </c>
      <c r="BT213" s="647">
        <f>BT175+BT195</f>
        <v>136</v>
      </c>
      <c r="BU213" s="31">
        <f t="shared" si="482"/>
        <v>162</v>
      </c>
      <c r="BV213" s="31">
        <f t="shared" si="482"/>
        <v>142</v>
      </c>
      <c r="BW213" s="31">
        <f t="shared" si="482"/>
        <v>172</v>
      </c>
      <c r="BX213" s="825">
        <f t="shared" si="482"/>
        <v>153.0684931506849</v>
      </c>
      <c r="BY213" s="31">
        <f t="shared" si="482"/>
        <v>152</v>
      </c>
      <c r="BZ213" s="31">
        <f t="shared" si="482"/>
        <v>162</v>
      </c>
      <c r="CA213" s="31">
        <f t="shared" si="482"/>
        <v>172</v>
      </c>
      <c r="CB213" s="31">
        <f t="shared" si="482"/>
        <v>172</v>
      </c>
      <c r="CC213" s="825">
        <f t="shared" si="482"/>
        <v>164.57534246575341</v>
      </c>
      <c r="CD213" s="825">
        <f t="shared" si="482"/>
        <v>205</v>
      </c>
      <c r="CE213" s="825">
        <f t="shared" si="482"/>
        <v>205</v>
      </c>
      <c r="CF213" s="825">
        <f t="shared" si="482"/>
        <v>205</v>
      </c>
      <c r="CG213" s="26"/>
    </row>
    <row r="214" spans="1:85" s="429" customFormat="1" hidden="1" outlineLevel="1" x14ac:dyDescent="0.3">
      <c r="A214" s="48"/>
      <c r="B214" s="63"/>
      <c r="C214" s="825"/>
      <c r="D214" s="825"/>
      <c r="E214" s="825"/>
      <c r="F214" s="825"/>
      <c r="G214" s="31"/>
      <c r="H214" s="31"/>
      <c r="I214" s="31"/>
      <c r="J214" s="31"/>
      <c r="K214" s="825"/>
      <c r="L214" s="31"/>
      <c r="M214" s="31"/>
      <c r="N214" s="31"/>
      <c r="O214" s="31"/>
      <c r="P214" s="825"/>
      <c r="Q214" s="31"/>
      <c r="R214" s="31"/>
      <c r="S214" s="31"/>
      <c r="T214" s="31"/>
      <c r="U214" s="825"/>
      <c r="V214" s="31"/>
      <c r="W214" s="31"/>
      <c r="X214" s="31"/>
      <c r="Y214" s="31"/>
      <c r="Z214" s="825"/>
      <c r="AA214" s="31"/>
      <c r="AB214" s="31"/>
      <c r="AC214" s="31"/>
      <c r="AD214" s="31"/>
      <c r="AE214" s="825"/>
      <c r="AF214" s="31"/>
      <c r="AG214" s="31"/>
      <c r="AH214" s="31"/>
      <c r="AI214" s="31"/>
      <c r="AJ214" s="825"/>
      <c r="AK214" s="31"/>
      <c r="AL214" s="31"/>
      <c r="AM214" s="31"/>
      <c r="AN214" s="31"/>
      <c r="AO214" s="825"/>
      <c r="AP214" s="31"/>
      <c r="AQ214" s="31"/>
      <c r="AR214" s="31"/>
      <c r="AS214" s="31"/>
      <c r="AT214" s="825"/>
      <c r="AU214" s="31"/>
      <c r="AV214" s="31"/>
      <c r="AW214" s="31"/>
      <c r="AX214" s="31"/>
      <c r="AY214" s="825"/>
      <c r="AZ214" s="31"/>
      <c r="BA214" s="31"/>
      <c r="BB214" s="31"/>
      <c r="BC214" s="31"/>
      <c r="BD214" s="825"/>
      <c r="BE214" s="31"/>
      <c r="BF214" s="31"/>
      <c r="BG214" s="31"/>
      <c r="BH214" s="31"/>
      <c r="BI214" s="825"/>
      <c r="BJ214" s="31"/>
      <c r="BK214" s="31"/>
      <c r="BL214" s="31"/>
      <c r="BM214" s="31"/>
      <c r="BN214" s="825"/>
      <c r="BO214" s="31"/>
      <c r="BP214" s="31"/>
      <c r="BQ214" s="31"/>
      <c r="BR214" s="31"/>
      <c r="BS214" s="825"/>
      <c r="BT214" s="379"/>
      <c r="BU214" s="31"/>
      <c r="BV214" s="31"/>
      <c r="BW214" s="31"/>
      <c r="BX214" s="825"/>
      <c r="BY214" s="31"/>
      <c r="BZ214" s="31"/>
      <c r="CA214" s="31"/>
      <c r="CB214" s="31"/>
      <c r="CC214" s="825"/>
      <c r="CD214" s="825"/>
      <c r="CE214" s="825"/>
      <c r="CF214" s="825"/>
      <c r="CG214" s="26"/>
    </row>
    <row r="215" spans="1:85" s="428" customFormat="1" hidden="1" outlineLevel="1" x14ac:dyDescent="0.3">
      <c r="A215" s="43" t="s">
        <v>679</v>
      </c>
      <c r="B215" s="64"/>
      <c r="C215" s="821">
        <f>C180+C197</f>
        <v>465.375</v>
      </c>
      <c r="D215" s="821">
        <f t="shared" ref="D215:AY215" si="483">D180+D197</f>
        <v>445.66499999999996</v>
      </c>
      <c r="E215" s="821">
        <f t="shared" si="483"/>
        <v>400.03999999999996</v>
      </c>
      <c r="F215" s="821">
        <f t="shared" si="483"/>
        <v>379.17599999999999</v>
      </c>
      <c r="G215" s="37">
        <f t="shared" si="483"/>
        <v>77.489999999999995</v>
      </c>
      <c r="H215" s="37">
        <f t="shared" si="483"/>
        <v>84.448000000000008</v>
      </c>
      <c r="I215" s="37">
        <f t="shared" si="483"/>
        <v>88.412000000000006</v>
      </c>
      <c r="J215" s="37">
        <f t="shared" si="483"/>
        <v>56.157000000000011</v>
      </c>
      <c r="K215" s="821">
        <f t="shared" si="483"/>
        <v>369.01499999999999</v>
      </c>
      <c r="L215" s="37">
        <f t="shared" si="483"/>
        <v>80.009999999999991</v>
      </c>
      <c r="M215" s="37">
        <f t="shared" si="483"/>
        <v>86.176999999999992</v>
      </c>
      <c r="N215" s="37">
        <f t="shared" si="483"/>
        <v>87.216000000000008</v>
      </c>
      <c r="O215" s="37">
        <f t="shared" si="483"/>
        <v>57.544999999999987</v>
      </c>
      <c r="P215" s="821">
        <f t="shared" si="483"/>
        <v>371.57</v>
      </c>
      <c r="Q215" s="37">
        <f t="shared" si="483"/>
        <v>86.58</v>
      </c>
      <c r="R215" s="37">
        <f t="shared" si="483"/>
        <v>89.271000000000001</v>
      </c>
      <c r="S215" s="37">
        <f t="shared" si="483"/>
        <v>88.503999999999991</v>
      </c>
      <c r="T215" s="37">
        <f t="shared" si="483"/>
        <v>56.460000000000008</v>
      </c>
      <c r="U215" s="821">
        <f t="shared" si="483"/>
        <v>368.65</v>
      </c>
      <c r="V215" s="37">
        <f t="shared" si="483"/>
        <v>88.816000000000003</v>
      </c>
      <c r="W215" s="37">
        <f t="shared" si="483"/>
        <v>90.180999999999997</v>
      </c>
      <c r="X215" s="37">
        <f t="shared" si="483"/>
        <v>94.852000000000004</v>
      </c>
      <c r="Y215" s="22">
        <f t="shared" si="483"/>
        <v>56.027999999999992</v>
      </c>
      <c r="Z215" s="852">
        <f t="shared" si="483"/>
        <v>370.75800000000004</v>
      </c>
      <c r="AA215" s="22">
        <f t="shared" si="483"/>
        <v>82.35</v>
      </c>
      <c r="AB215" s="37">
        <f t="shared" si="483"/>
        <v>89.817000000000007</v>
      </c>
      <c r="AC215" s="37">
        <f t="shared" si="483"/>
        <v>92.091999999999999</v>
      </c>
      <c r="AD215" s="22">
        <f t="shared" si="483"/>
        <v>97.090999999999994</v>
      </c>
      <c r="AE215" s="852">
        <f t="shared" si="483"/>
        <v>361.35</v>
      </c>
      <c r="AF215" s="22">
        <f t="shared" si="483"/>
        <v>83.97</v>
      </c>
      <c r="AG215" s="37">
        <f t="shared" si="483"/>
        <v>85.448999999999998</v>
      </c>
      <c r="AH215" s="37">
        <f t="shared" si="483"/>
        <v>85.56</v>
      </c>
      <c r="AI215" s="22">
        <f t="shared" si="483"/>
        <v>96.516000000000005</v>
      </c>
      <c r="AJ215" s="852">
        <f t="shared" si="483"/>
        <v>351.495</v>
      </c>
      <c r="AK215" s="22">
        <f t="shared" si="483"/>
        <v>79.289999999999992</v>
      </c>
      <c r="AL215" s="37">
        <f t="shared" si="483"/>
        <v>87.542000000000002</v>
      </c>
      <c r="AM215" s="37">
        <f t="shared" si="483"/>
        <v>88.135999999999996</v>
      </c>
      <c r="AN215" s="22">
        <f t="shared" si="483"/>
        <v>93.972000000000023</v>
      </c>
      <c r="AO215" s="852">
        <f t="shared" si="483"/>
        <v>348.94</v>
      </c>
      <c r="AP215" s="22">
        <f t="shared" si="483"/>
        <v>78.896999999999991</v>
      </c>
      <c r="AQ215" s="37">
        <f t="shared" si="483"/>
        <v>63.609000000000002</v>
      </c>
      <c r="AR215" s="37">
        <f t="shared" si="483"/>
        <v>77.739999999999995</v>
      </c>
      <c r="AS215" s="22">
        <f t="shared" si="483"/>
        <v>89.023999999999972</v>
      </c>
      <c r="AT215" s="852">
        <f t="shared" si="483"/>
        <v>309.27</v>
      </c>
      <c r="AU215" s="22">
        <f t="shared" si="483"/>
        <v>77.849999999999994</v>
      </c>
      <c r="AV215" s="37">
        <f t="shared" si="483"/>
        <v>86.176999999999992</v>
      </c>
      <c r="AW215" s="37">
        <f t="shared" si="483"/>
        <v>90.62</v>
      </c>
      <c r="AX215" s="22">
        <f t="shared" si="483"/>
        <v>101.59299999999999</v>
      </c>
      <c r="AY215" s="852">
        <f t="shared" si="483"/>
        <v>356.24</v>
      </c>
      <c r="AZ215" s="22">
        <f t="shared" ref="AZ215:BB216" si="484">AZ180+AZ197</f>
        <v>83.25</v>
      </c>
      <c r="BA215" s="37">
        <f t="shared" si="484"/>
        <v>83.265000000000001</v>
      </c>
      <c r="BB215" s="37">
        <f t="shared" si="484"/>
        <v>86.94</v>
      </c>
      <c r="BC215" s="22">
        <f t="shared" ref="BC215:BD216" si="485">BC180+BC197</f>
        <v>85.289000000000001</v>
      </c>
      <c r="BD215" s="852">
        <f t="shared" si="485"/>
        <v>338.72</v>
      </c>
      <c r="BE215" s="22">
        <f t="shared" ref="BE215:BG216" si="486">BE180+BE197</f>
        <v>81.540000000000006</v>
      </c>
      <c r="BF215" s="37">
        <f t="shared" si="486"/>
        <v>90.635999999999996</v>
      </c>
      <c r="BG215" s="37">
        <f t="shared" si="486"/>
        <v>85.284000000000006</v>
      </c>
      <c r="BH215" s="22">
        <f t="shared" ref="BH215:BI216" si="487">BH180+BH197</f>
        <v>88.929000000000002</v>
      </c>
      <c r="BI215" s="852">
        <f t="shared" si="487"/>
        <v>346.38499999999999</v>
      </c>
      <c r="BJ215" s="22">
        <f t="shared" ref="BJ215:BL216" si="488">BJ180+BJ197</f>
        <v>85.54</v>
      </c>
      <c r="BK215" s="37">
        <f t="shared" si="488"/>
        <v>95.003999999999991</v>
      </c>
      <c r="BL215" s="37">
        <f t="shared" si="488"/>
        <v>93.74799999999999</v>
      </c>
      <c r="BM215" s="22">
        <f t="shared" ref="BM215:BN216" si="489">BM180+BM197</f>
        <v>94.923000000000016</v>
      </c>
      <c r="BN215" s="852">
        <f t="shared" ref="BN215:BW215" si="490">BN180+BN197</f>
        <v>369.29399999999998</v>
      </c>
      <c r="BO215" s="22">
        <f t="shared" si="490"/>
        <v>92.88</v>
      </c>
      <c r="BP215" s="37">
        <f t="shared" si="490"/>
        <v>97.643000000000001</v>
      </c>
      <c r="BQ215" s="37">
        <f t="shared" si="490"/>
        <v>93.103999999999999</v>
      </c>
      <c r="BR215" s="22">
        <f t="shared" si="490"/>
        <v>92.836999999999989</v>
      </c>
      <c r="BS215" s="852">
        <f t="shared" si="490"/>
        <v>376.315</v>
      </c>
      <c r="BT215" s="648">
        <f>BT180+BT197</f>
        <v>83.52</v>
      </c>
      <c r="BU215" s="37">
        <f t="shared" si="490"/>
        <v>85.767499999999998</v>
      </c>
      <c r="BV215" s="37">
        <f t="shared" si="490"/>
        <v>86.71</v>
      </c>
      <c r="BW215" s="37">
        <f t="shared" si="490"/>
        <v>86.71</v>
      </c>
      <c r="BX215" s="821">
        <f t="shared" ref="BX215:BX216" si="491">BX180+BX197</f>
        <v>342.70749999999998</v>
      </c>
      <c r="BY215" s="37">
        <f t="shared" ref="BY215:CF216" si="492">BY180+BY197</f>
        <v>84.825000000000003</v>
      </c>
      <c r="BZ215" s="37">
        <f t="shared" si="492"/>
        <v>85.767499999999998</v>
      </c>
      <c r="CA215" s="37">
        <f t="shared" si="492"/>
        <v>86.71</v>
      </c>
      <c r="CB215" s="37">
        <f t="shared" si="492"/>
        <v>86.71</v>
      </c>
      <c r="CC215" s="821">
        <f t="shared" si="492"/>
        <v>344.01249999999999</v>
      </c>
      <c r="CD215" s="821">
        <f t="shared" si="492"/>
        <v>361.42500000000001</v>
      </c>
      <c r="CE215" s="821">
        <f t="shared" si="492"/>
        <v>360.4375</v>
      </c>
      <c r="CF215" s="821">
        <f t="shared" si="492"/>
        <v>360.4375</v>
      </c>
      <c r="CG215" s="22"/>
    </row>
    <row r="216" spans="1:85" s="428" customFormat="1" hidden="1" outlineLevel="1" x14ac:dyDescent="0.3">
      <c r="A216" s="43" t="s">
        <v>680</v>
      </c>
      <c r="B216" s="64"/>
      <c r="C216" s="821">
        <f>C181+C198</f>
        <v>722.33500000000004</v>
      </c>
      <c r="D216" s="821">
        <f t="shared" ref="D216:AY216" si="493">D181+D198</f>
        <v>690.57999999999993</v>
      </c>
      <c r="E216" s="821">
        <f t="shared" si="493"/>
        <v>676.34500000000003</v>
      </c>
      <c r="F216" s="821">
        <f t="shared" si="493"/>
        <v>632.81399999999996</v>
      </c>
      <c r="G216" s="37">
        <f t="shared" si="493"/>
        <v>110.43</v>
      </c>
      <c r="H216" s="37">
        <f t="shared" si="493"/>
        <v>122.85000000000001</v>
      </c>
      <c r="I216" s="37">
        <f t="shared" si="493"/>
        <v>121.532</v>
      </c>
      <c r="J216" s="37">
        <f t="shared" si="493"/>
        <v>56.129999999999995</v>
      </c>
      <c r="K216" s="821">
        <f t="shared" si="493"/>
        <v>620.5</v>
      </c>
      <c r="L216" s="37">
        <f t="shared" si="493"/>
        <v>112.77000000000001</v>
      </c>
      <c r="M216" s="37">
        <f t="shared" si="493"/>
        <v>119.938</v>
      </c>
      <c r="N216" s="37">
        <f t="shared" si="493"/>
        <v>119.232</v>
      </c>
      <c r="O216" s="37">
        <f t="shared" si="493"/>
        <v>55.753000000000014</v>
      </c>
      <c r="P216" s="821">
        <f t="shared" si="493"/>
        <v>617.94499999999994</v>
      </c>
      <c r="Q216" s="37">
        <f t="shared" si="493"/>
        <v>120.51</v>
      </c>
      <c r="R216" s="37">
        <f t="shared" si="493"/>
        <v>123.66900000000001</v>
      </c>
      <c r="S216" s="37">
        <f t="shared" si="493"/>
        <v>126.13200000000001</v>
      </c>
      <c r="T216" s="37">
        <f t="shared" si="493"/>
        <v>56.749000000000024</v>
      </c>
      <c r="U216" s="821">
        <f t="shared" si="493"/>
        <v>629.625</v>
      </c>
      <c r="V216" s="37">
        <f t="shared" si="493"/>
        <v>118.39100000000001</v>
      </c>
      <c r="W216" s="37">
        <f t="shared" si="493"/>
        <v>123.66900000000001</v>
      </c>
      <c r="X216" s="37">
        <f t="shared" si="493"/>
        <v>118.77200000000001</v>
      </c>
      <c r="Y216" s="22">
        <f t="shared" si="493"/>
        <v>48.439000000000021</v>
      </c>
      <c r="Z216" s="852">
        <f t="shared" si="493"/>
        <v>608.29199999999992</v>
      </c>
      <c r="AA216" s="22">
        <f t="shared" si="493"/>
        <v>118.97999999999999</v>
      </c>
      <c r="AB216" s="37">
        <f t="shared" si="493"/>
        <v>123.03200000000001</v>
      </c>
      <c r="AC216" s="37">
        <f t="shared" si="493"/>
        <v>129.81199999999998</v>
      </c>
      <c r="AD216" s="22">
        <f t="shared" si="493"/>
        <v>150.47900000000001</v>
      </c>
      <c r="AE216" s="852">
        <f t="shared" si="493"/>
        <v>620.5</v>
      </c>
      <c r="AF216" s="22">
        <f t="shared" si="493"/>
        <v>119.43</v>
      </c>
      <c r="AG216" s="37">
        <f t="shared" si="493"/>
        <v>127.491</v>
      </c>
      <c r="AH216" s="37">
        <f t="shared" si="493"/>
        <v>126.13199999999999</v>
      </c>
      <c r="AI216" s="22">
        <f t="shared" si="493"/>
        <v>143.78299999999999</v>
      </c>
      <c r="AJ216" s="852">
        <f t="shared" si="493"/>
        <v>617.58000000000004</v>
      </c>
      <c r="AK216" s="22">
        <f t="shared" si="493"/>
        <v>155.25</v>
      </c>
      <c r="AL216" s="37">
        <f t="shared" si="493"/>
        <v>112.749</v>
      </c>
      <c r="AM216" s="37">
        <f t="shared" si="493"/>
        <v>118.956</v>
      </c>
      <c r="AN216" s="22">
        <f t="shared" si="493"/>
        <v>137.06200000000004</v>
      </c>
      <c r="AO216" s="852">
        <f t="shared" si="493"/>
        <v>591.66499999999996</v>
      </c>
      <c r="AP216" s="22">
        <f t="shared" si="493"/>
        <v>110.01900000000001</v>
      </c>
      <c r="AQ216" s="37">
        <f t="shared" si="493"/>
        <v>80.170999999999992</v>
      </c>
      <c r="AR216" s="37">
        <f t="shared" si="493"/>
        <v>100.372</v>
      </c>
      <c r="AS216" s="22">
        <f t="shared" si="493"/>
        <v>1.9159999999999968</v>
      </c>
      <c r="AT216" s="852">
        <f t="shared" si="493"/>
        <v>388.83299999999997</v>
      </c>
      <c r="AU216" s="22">
        <f t="shared" si="493"/>
        <v>100.08</v>
      </c>
      <c r="AV216" s="37">
        <f t="shared" si="493"/>
        <v>104.83199999999999</v>
      </c>
      <c r="AW216" s="37">
        <f t="shared" si="493"/>
        <v>113.52799999999999</v>
      </c>
      <c r="AX216" s="22">
        <f t="shared" si="493"/>
        <v>108.84100000000001</v>
      </c>
      <c r="AY216" s="852">
        <f t="shared" si="493"/>
        <v>427.28100000000001</v>
      </c>
      <c r="AZ216" s="22">
        <f t="shared" si="484"/>
        <v>113.94</v>
      </c>
      <c r="BA216" s="37">
        <f t="shared" si="484"/>
        <v>113.65899999999999</v>
      </c>
      <c r="BB216" s="37">
        <f t="shared" si="484"/>
        <v>123.37199999999999</v>
      </c>
      <c r="BC216" s="22">
        <f t="shared" si="485"/>
        <v>126.08700000000003</v>
      </c>
      <c r="BD216" s="852">
        <f t="shared" si="485"/>
        <v>477.05799999999999</v>
      </c>
      <c r="BE216" s="22">
        <f t="shared" si="486"/>
        <v>128.07</v>
      </c>
      <c r="BF216" s="37">
        <f t="shared" si="486"/>
        <v>126.126</v>
      </c>
      <c r="BG216" s="37">
        <f t="shared" si="486"/>
        <v>129.44400000000002</v>
      </c>
      <c r="BH216" s="22">
        <f t="shared" si="487"/>
        <v>125.82900000000001</v>
      </c>
      <c r="BI216" s="852">
        <f t="shared" si="487"/>
        <v>509.46899999999999</v>
      </c>
      <c r="BJ216" s="22">
        <f t="shared" si="488"/>
        <v>122.759</v>
      </c>
      <c r="BK216" s="37">
        <f t="shared" si="488"/>
        <v>125.03399999999999</v>
      </c>
      <c r="BL216" s="37">
        <f t="shared" si="488"/>
        <v>129.72</v>
      </c>
      <c r="BM216" s="22">
        <f t="shared" si="489"/>
        <v>128.08800000000002</v>
      </c>
      <c r="BN216" s="852">
        <f t="shared" si="489"/>
        <v>505.601</v>
      </c>
      <c r="BO216" s="22">
        <f t="shared" ref="BO216:BW216" si="494">BO181+BO198</f>
        <v>117.53999999999999</v>
      </c>
      <c r="BP216" s="37">
        <f t="shared" si="494"/>
        <v>126.58099999999999</v>
      </c>
      <c r="BQ216" s="37">
        <f t="shared" si="494"/>
        <v>130.63999999999999</v>
      </c>
      <c r="BR216" s="22">
        <f t="shared" si="494"/>
        <v>132.48700000000002</v>
      </c>
      <c r="BS216" s="852">
        <f t="shared" si="494"/>
        <v>507.24799999999999</v>
      </c>
      <c r="BT216" s="648">
        <f>BT181+BT198</f>
        <v>128.34</v>
      </c>
      <c r="BU216" s="37">
        <f t="shared" si="494"/>
        <v>141.95999999999998</v>
      </c>
      <c r="BV216" s="37">
        <f t="shared" si="494"/>
        <v>131.56</v>
      </c>
      <c r="BW216" s="37">
        <f t="shared" si="494"/>
        <v>125.58000000000001</v>
      </c>
      <c r="BX216" s="821">
        <f t="shared" si="491"/>
        <v>527.44000000000005</v>
      </c>
      <c r="BY216" s="37">
        <f t="shared" si="492"/>
        <v>134.55000000000001</v>
      </c>
      <c r="BZ216" s="37">
        <f t="shared" si="492"/>
        <v>141.95999999999998</v>
      </c>
      <c r="CA216" s="37">
        <f t="shared" si="492"/>
        <v>143.51999999999998</v>
      </c>
      <c r="CB216" s="37">
        <f t="shared" si="492"/>
        <v>137.54</v>
      </c>
      <c r="CC216" s="821">
        <f t="shared" si="492"/>
        <v>557.56999999999994</v>
      </c>
      <c r="CD216" s="821">
        <f t="shared" si="492"/>
        <v>602.06999999999994</v>
      </c>
      <c r="CE216" s="821">
        <f t="shared" si="492"/>
        <v>600.42499999999995</v>
      </c>
      <c r="CF216" s="821">
        <f t="shared" si="492"/>
        <v>600.42499999999995</v>
      </c>
      <c r="CG216" s="22"/>
    </row>
    <row r="217" spans="1:85" s="428" customFormat="1" hidden="1" outlineLevel="1" x14ac:dyDescent="0.3">
      <c r="A217" s="43" t="s">
        <v>681</v>
      </c>
      <c r="B217" s="64"/>
      <c r="C217" s="821">
        <f>C199</f>
        <v>0</v>
      </c>
      <c r="D217" s="821">
        <f t="shared" ref="D217:AY217" si="495">D199</f>
        <v>0</v>
      </c>
      <c r="E217" s="821">
        <f t="shared" si="495"/>
        <v>0</v>
      </c>
      <c r="F217" s="821">
        <f t="shared" si="495"/>
        <v>0</v>
      </c>
      <c r="G217" s="37">
        <f t="shared" si="495"/>
        <v>41.31</v>
      </c>
      <c r="H217" s="37">
        <f t="shared" si="495"/>
        <v>43.953000000000003</v>
      </c>
      <c r="I217" s="37">
        <f t="shared" si="495"/>
        <v>43.607999999999997</v>
      </c>
      <c r="J217" s="37">
        <f t="shared" si="495"/>
        <v>0</v>
      </c>
      <c r="K217" s="821">
        <f t="shared" si="495"/>
        <v>0</v>
      </c>
      <c r="L217" s="37">
        <f t="shared" si="495"/>
        <v>41.31</v>
      </c>
      <c r="M217" s="37">
        <f t="shared" si="495"/>
        <v>42.77</v>
      </c>
      <c r="N217" s="37">
        <f t="shared" si="495"/>
        <v>44.436</v>
      </c>
      <c r="O217" s="37">
        <f t="shared" si="495"/>
        <v>0</v>
      </c>
      <c r="P217" s="821">
        <f t="shared" si="495"/>
        <v>0</v>
      </c>
      <c r="Q217" s="37">
        <f t="shared" si="495"/>
        <v>43.65</v>
      </c>
      <c r="R217" s="37">
        <f t="shared" si="495"/>
        <v>33.396999999999998</v>
      </c>
      <c r="S217" s="37">
        <f t="shared" si="495"/>
        <v>38.271999999999998</v>
      </c>
      <c r="T217" s="37">
        <f t="shared" si="495"/>
        <v>0</v>
      </c>
      <c r="U217" s="821">
        <f t="shared" si="495"/>
        <v>0</v>
      </c>
      <c r="V217" s="37">
        <f t="shared" si="495"/>
        <v>33.579000000000001</v>
      </c>
      <c r="W217" s="37">
        <f t="shared" si="495"/>
        <v>32.942</v>
      </c>
      <c r="X217" s="37">
        <f t="shared" si="495"/>
        <v>35.972000000000001</v>
      </c>
      <c r="Y217" s="22">
        <f t="shared" si="495"/>
        <v>0</v>
      </c>
      <c r="Z217" s="852">
        <f t="shared" si="495"/>
        <v>0</v>
      </c>
      <c r="AA217" s="22">
        <f t="shared" si="495"/>
        <v>32.49</v>
      </c>
      <c r="AB217" s="37">
        <f t="shared" si="495"/>
        <v>31.759</v>
      </c>
      <c r="AC217" s="37">
        <f t="shared" si="495"/>
        <v>33.948</v>
      </c>
      <c r="AD217" s="22">
        <f t="shared" si="495"/>
        <v>0</v>
      </c>
      <c r="AE217" s="852">
        <f t="shared" si="495"/>
        <v>0</v>
      </c>
      <c r="AF217" s="22">
        <f t="shared" si="495"/>
        <v>32.49</v>
      </c>
      <c r="AG217" s="37">
        <f t="shared" si="495"/>
        <v>34.398000000000003</v>
      </c>
      <c r="AH217" s="37">
        <f t="shared" si="495"/>
        <v>33.856000000000002</v>
      </c>
      <c r="AI217" s="22">
        <f t="shared" si="495"/>
        <v>0</v>
      </c>
      <c r="AJ217" s="852">
        <f t="shared" si="495"/>
        <v>0</v>
      </c>
      <c r="AK217" s="22">
        <f t="shared" si="495"/>
        <v>0</v>
      </c>
      <c r="AL217" s="37">
        <f t="shared" si="495"/>
        <v>30.94</v>
      </c>
      <c r="AM217" s="37">
        <f t="shared" si="495"/>
        <v>36.707999999999998</v>
      </c>
      <c r="AN217" s="22">
        <f t="shared" si="495"/>
        <v>0</v>
      </c>
      <c r="AO217" s="852">
        <f t="shared" si="495"/>
        <v>0</v>
      </c>
      <c r="AP217" s="22">
        <f t="shared" si="495"/>
        <v>32.213999999999999</v>
      </c>
      <c r="AQ217" s="37">
        <f t="shared" si="495"/>
        <v>31.940999999999999</v>
      </c>
      <c r="AR217" s="37">
        <f t="shared" si="495"/>
        <v>32.200000000000003</v>
      </c>
      <c r="AS217" s="22">
        <f t="shared" si="495"/>
        <v>32.659999999999997</v>
      </c>
      <c r="AT217" s="852">
        <f t="shared" si="495"/>
        <v>115.881</v>
      </c>
      <c r="AU217" s="22">
        <f t="shared" si="495"/>
        <v>30.6</v>
      </c>
      <c r="AV217" s="37">
        <f t="shared" si="495"/>
        <v>31.122</v>
      </c>
      <c r="AW217" s="37">
        <f t="shared" si="495"/>
        <v>32.659999999999997</v>
      </c>
      <c r="AX217" s="22">
        <f t="shared" si="495"/>
        <v>32.659999999999997</v>
      </c>
      <c r="AY217" s="852">
        <f t="shared" si="495"/>
        <v>112.18899999999999</v>
      </c>
      <c r="AZ217" s="22">
        <f t="shared" ref="AZ217:BD217" si="496">AZ199</f>
        <v>31.77</v>
      </c>
      <c r="BA217" s="37">
        <f t="shared" si="496"/>
        <v>34.853000000000002</v>
      </c>
      <c r="BB217" s="37">
        <f t="shared" si="496"/>
        <v>36.707999999999998</v>
      </c>
      <c r="BC217" s="22">
        <f t="shared" si="496"/>
        <v>34.96</v>
      </c>
      <c r="BD217" s="852">
        <f t="shared" si="496"/>
        <v>138.33199999999999</v>
      </c>
      <c r="BE217" s="22">
        <f t="shared" ref="BE217:BI217" si="497">BE199</f>
        <v>34.47</v>
      </c>
      <c r="BF217" s="37">
        <f t="shared" si="497"/>
        <v>33.305999999999997</v>
      </c>
      <c r="BG217" s="37">
        <f t="shared" si="497"/>
        <v>36.799999999999997</v>
      </c>
      <c r="BH217" s="22">
        <f t="shared" si="497"/>
        <v>36.799999999999997</v>
      </c>
      <c r="BI217" s="852">
        <f t="shared" si="497"/>
        <v>141.32599999999999</v>
      </c>
      <c r="BJ217" s="22">
        <f t="shared" ref="BJ217:BN217" si="498">BJ199</f>
        <v>35.399000000000001</v>
      </c>
      <c r="BK217" s="37">
        <f t="shared" si="498"/>
        <v>35.853999999999999</v>
      </c>
      <c r="BL217" s="37">
        <f t="shared" si="498"/>
        <v>35.880000000000003</v>
      </c>
      <c r="BM217" s="22">
        <f t="shared" si="498"/>
        <v>35.880000000000003</v>
      </c>
      <c r="BN217" s="852">
        <f t="shared" si="498"/>
        <v>142.95099999999999</v>
      </c>
      <c r="BO217" s="22">
        <f t="shared" ref="BO217:CF217" si="499">BO199</f>
        <v>31.77</v>
      </c>
      <c r="BP217" s="37">
        <f t="shared" si="499"/>
        <v>35.49</v>
      </c>
      <c r="BQ217" s="37">
        <f t="shared" si="499"/>
        <v>35.695999999999998</v>
      </c>
      <c r="BR217" s="22">
        <f t="shared" si="499"/>
        <v>35.695999999999998</v>
      </c>
      <c r="BS217" s="852">
        <f t="shared" si="499"/>
        <v>138.80199999999999</v>
      </c>
      <c r="BT217" s="648">
        <f>BT199</f>
        <v>36.36</v>
      </c>
      <c r="BU217" s="37">
        <f t="shared" si="499"/>
        <v>34.125</v>
      </c>
      <c r="BV217" s="37">
        <f t="shared" si="499"/>
        <v>34.5</v>
      </c>
      <c r="BW217" s="37">
        <f t="shared" si="499"/>
        <v>34.5</v>
      </c>
      <c r="BX217" s="821">
        <f t="shared" si="499"/>
        <v>139.48500000000001</v>
      </c>
      <c r="BY217" s="37">
        <f t="shared" si="499"/>
        <v>33.75</v>
      </c>
      <c r="BZ217" s="37">
        <f t="shared" si="499"/>
        <v>34.125</v>
      </c>
      <c r="CA217" s="37">
        <f t="shared" si="499"/>
        <v>34.5</v>
      </c>
      <c r="CB217" s="37">
        <f t="shared" si="499"/>
        <v>34.5</v>
      </c>
      <c r="CC217" s="821">
        <f t="shared" si="499"/>
        <v>136.875</v>
      </c>
      <c r="CD217" s="821">
        <f t="shared" si="499"/>
        <v>137.25</v>
      </c>
      <c r="CE217" s="821">
        <f t="shared" si="499"/>
        <v>136.875</v>
      </c>
      <c r="CF217" s="821">
        <f t="shared" si="499"/>
        <v>136.875</v>
      </c>
      <c r="CG217" s="22"/>
    </row>
    <row r="218" spans="1:85" s="428" customFormat="1" hidden="1" outlineLevel="1" x14ac:dyDescent="0.3">
      <c r="A218" s="43" t="s">
        <v>682</v>
      </c>
      <c r="B218" s="64"/>
      <c r="C218" s="821">
        <f>C182+C200</f>
        <v>84.68</v>
      </c>
      <c r="D218" s="821">
        <f t="shared" ref="D218:AY218" si="500">D182+D200</f>
        <v>79.204999999999998</v>
      </c>
      <c r="E218" s="821">
        <f t="shared" si="500"/>
        <v>76.284999999999997</v>
      </c>
      <c r="F218" s="821">
        <f t="shared" si="500"/>
        <v>75.03</v>
      </c>
      <c r="G218" s="37">
        <f t="shared" si="500"/>
        <v>16.830000000000002</v>
      </c>
      <c r="H218" s="37">
        <f t="shared" si="500"/>
        <v>16.835000000000001</v>
      </c>
      <c r="I218" s="37">
        <f t="shared" si="500"/>
        <v>16.928000000000001</v>
      </c>
      <c r="J218" s="37">
        <f t="shared" si="500"/>
        <v>17.661999999999999</v>
      </c>
      <c r="K218" s="821">
        <f t="shared" si="500"/>
        <v>68.254999999999995</v>
      </c>
      <c r="L218" s="37">
        <f t="shared" si="500"/>
        <v>15.120000000000001</v>
      </c>
      <c r="M218" s="37">
        <f t="shared" si="500"/>
        <v>15.651999999999999</v>
      </c>
      <c r="N218" s="37">
        <f t="shared" si="500"/>
        <v>16.099999999999998</v>
      </c>
      <c r="O218" s="37">
        <f t="shared" si="500"/>
        <v>18.463000000000005</v>
      </c>
      <c r="P218" s="821">
        <f t="shared" si="500"/>
        <v>65.335000000000008</v>
      </c>
      <c r="Q218" s="37">
        <f t="shared" si="500"/>
        <v>16.739999999999998</v>
      </c>
      <c r="R218" s="37">
        <f t="shared" si="500"/>
        <v>17.835999999999999</v>
      </c>
      <c r="S218" s="37">
        <f t="shared" si="500"/>
        <v>17.939999999999998</v>
      </c>
      <c r="T218" s="37">
        <f t="shared" si="500"/>
        <v>17.564000000000004</v>
      </c>
      <c r="U218" s="821">
        <f t="shared" si="500"/>
        <v>70.08</v>
      </c>
      <c r="V218" s="37">
        <f t="shared" si="500"/>
        <v>15.379</v>
      </c>
      <c r="W218" s="37">
        <f t="shared" si="500"/>
        <v>16.652999999999999</v>
      </c>
      <c r="X218" s="37">
        <f t="shared" si="500"/>
        <v>15.916</v>
      </c>
      <c r="Y218" s="22">
        <f t="shared" si="500"/>
        <v>16.468000000000004</v>
      </c>
      <c r="Z218" s="852">
        <f t="shared" si="500"/>
        <v>64.415999999999997</v>
      </c>
      <c r="AA218" s="22">
        <f t="shared" si="500"/>
        <v>15.389999999999999</v>
      </c>
      <c r="AB218" s="37">
        <f t="shared" si="500"/>
        <v>16.925999999999998</v>
      </c>
      <c r="AC218" s="37">
        <f t="shared" si="500"/>
        <v>14.904</v>
      </c>
      <c r="AD218" s="22">
        <f t="shared" si="500"/>
        <v>15.924999999999997</v>
      </c>
      <c r="AE218" s="852">
        <f t="shared" si="500"/>
        <v>63.144999999999996</v>
      </c>
      <c r="AF218" s="22">
        <f t="shared" si="500"/>
        <v>10.350000000000001</v>
      </c>
      <c r="AG218" s="37">
        <f t="shared" si="500"/>
        <v>12.285</v>
      </c>
      <c r="AH218" s="37">
        <f t="shared" si="500"/>
        <v>12.696</v>
      </c>
      <c r="AI218" s="22">
        <f t="shared" si="500"/>
        <v>14.309000000000001</v>
      </c>
      <c r="AJ218" s="852">
        <f t="shared" si="500"/>
        <v>49.64</v>
      </c>
      <c r="AK218" s="22">
        <f t="shared" si="500"/>
        <v>14.85</v>
      </c>
      <c r="AL218" s="37">
        <f t="shared" si="500"/>
        <v>15.47</v>
      </c>
      <c r="AM218" s="37">
        <f t="shared" si="500"/>
        <v>16.192</v>
      </c>
      <c r="AN218" s="22">
        <f t="shared" si="500"/>
        <v>16.632999999999999</v>
      </c>
      <c r="AO218" s="852">
        <f t="shared" si="500"/>
        <v>63.145000000000003</v>
      </c>
      <c r="AP218" s="22">
        <f t="shared" si="500"/>
        <v>9.8279999999999994</v>
      </c>
      <c r="AQ218" s="37">
        <f t="shared" si="500"/>
        <v>8.7360000000000007</v>
      </c>
      <c r="AR218" s="37">
        <f t="shared" si="500"/>
        <v>9.66</v>
      </c>
      <c r="AS218" s="22">
        <f t="shared" si="500"/>
        <v>8.0100000000000016</v>
      </c>
      <c r="AT218" s="852">
        <f t="shared" si="500"/>
        <v>36.234000000000002</v>
      </c>
      <c r="AU218" s="22">
        <f t="shared" si="500"/>
        <v>9.4499999999999993</v>
      </c>
      <c r="AV218" s="37">
        <f t="shared" si="500"/>
        <v>9.3729999999999993</v>
      </c>
      <c r="AW218" s="37">
        <f t="shared" si="500"/>
        <v>13.984</v>
      </c>
      <c r="AX218" s="22">
        <f t="shared" si="500"/>
        <v>12.818</v>
      </c>
      <c r="AY218" s="852">
        <f t="shared" si="500"/>
        <v>45.625</v>
      </c>
      <c r="AZ218" s="22">
        <f t="shared" ref="AZ218:BB219" si="501">AZ182+AZ200</f>
        <v>13.59</v>
      </c>
      <c r="BA218" s="37">
        <f t="shared" si="501"/>
        <v>16.198</v>
      </c>
      <c r="BB218" s="37">
        <f t="shared" si="501"/>
        <v>13.248000000000001</v>
      </c>
      <c r="BC218" s="22">
        <f t="shared" ref="BC218:BD219" si="502">BC182+BC200</f>
        <v>13.173999999999999</v>
      </c>
      <c r="BD218" s="852">
        <f t="shared" si="502"/>
        <v>56.209999999999994</v>
      </c>
      <c r="BE218" s="22">
        <f t="shared" ref="BE218:BG219" si="503">BE182+BE200</f>
        <v>14.13</v>
      </c>
      <c r="BF218" s="37">
        <f t="shared" si="503"/>
        <v>17.927</v>
      </c>
      <c r="BG218" s="37">
        <f t="shared" si="503"/>
        <v>18.123999999999999</v>
      </c>
      <c r="BH218" s="22">
        <f t="shared" ref="BH218:BI219" si="504">BH182+BH200</f>
        <v>13.885999999999999</v>
      </c>
      <c r="BI218" s="852">
        <f t="shared" si="504"/>
        <v>63.875</v>
      </c>
      <c r="BJ218" s="22">
        <f t="shared" ref="BJ218:BL219" si="505">BJ182+BJ200</f>
        <v>14.559999999999999</v>
      </c>
      <c r="BK218" s="37">
        <f t="shared" si="505"/>
        <v>12.74</v>
      </c>
      <c r="BL218" s="37">
        <f t="shared" si="505"/>
        <v>15.916</v>
      </c>
      <c r="BM218" s="22">
        <f t="shared" ref="BM218:BN219" si="506">BM182+BM200</f>
        <v>14.262</v>
      </c>
      <c r="BN218" s="852">
        <f t="shared" si="506"/>
        <v>57.462000000000003</v>
      </c>
      <c r="BO218" s="22">
        <f t="shared" ref="BO218:BQ219" si="507">BO182+BO200</f>
        <v>12.780000000000001</v>
      </c>
      <c r="BP218" s="37">
        <f t="shared" si="507"/>
        <v>14.014000000000001</v>
      </c>
      <c r="BQ218" s="37">
        <f t="shared" si="507"/>
        <v>12.696000000000002</v>
      </c>
      <c r="BR218" s="22">
        <f t="shared" ref="BR218:BW219" si="508">BR182+BR200</f>
        <v>15.077999999999999</v>
      </c>
      <c r="BS218" s="852">
        <f t="shared" si="508"/>
        <v>54.385000000000005</v>
      </c>
      <c r="BT218" s="648">
        <f>BT182+BT200</f>
        <v>12.24</v>
      </c>
      <c r="BU218" s="37">
        <f t="shared" si="508"/>
        <v>14.742000000000001</v>
      </c>
      <c r="BV218" s="37">
        <f t="shared" si="508"/>
        <v>13.064</v>
      </c>
      <c r="BW218" s="37">
        <f t="shared" si="508"/>
        <v>15.824000000000002</v>
      </c>
      <c r="BX218" s="821">
        <f t="shared" ref="BX218:BX219" si="509">BX182+BX200</f>
        <v>55.86999999999999</v>
      </c>
      <c r="BY218" s="37">
        <f t="shared" ref="BY218:CF219" si="510">BY182+BY200</f>
        <v>13.68</v>
      </c>
      <c r="BZ218" s="37">
        <f t="shared" si="510"/>
        <v>14.742000000000001</v>
      </c>
      <c r="CA218" s="37">
        <f t="shared" si="510"/>
        <v>15.824000000000002</v>
      </c>
      <c r="CB218" s="37">
        <f t="shared" si="510"/>
        <v>15.824000000000002</v>
      </c>
      <c r="CC218" s="821">
        <f t="shared" si="510"/>
        <v>60.069999999999993</v>
      </c>
      <c r="CD218" s="821">
        <f t="shared" si="510"/>
        <v>75.03</v>
      </c>
      <c r="CE218" s="821">
        <f t="shared" si="510"/>
        <v>74.825000000000003</v>
      </c>
      <c r="CF218" s="821">
        <f t="shared" si="510"/>
        <v>74.825000000000003</v>
      </c>
      <c r="CG218" s="22"/>
    </row>
    <row r="219" spans="1:85" s="429" customFormat="1" hidden="1" outlineLevel="1" x14ac:dyDescent="0.3">
      <c r="A219" s="42" t="s">
        <v>684</v>
      </c>
      <c r="B219" s="90"/>
      <c r="C219" s="823">
        <f>C183+C201</f>
        <v>1272.3899999999999</v>
      </c>
      <c r="D219" s="823">
        <f t="shared" ref="D219:AY219" si="511">D183+D201</f>
        <v>1215.45</v>
      </c>
      <c r="E219" s="823">
        <f t="shared" si="511"/>
        <v>1152.67</v>
      </c>
      <c r="F219" s="823">
        <f t="shared" si="511"/>
        <v>1087.02</v>
      </c>
      <c r="G219" s="393">
        <f t="shared" si="511"/>
        <v>246.06</v>
      </c>
      <c r="H219" s="393">
        <f t="shared" si="511"/>
        <v>268.08600000000001</v>
      </c>
      <c r="I219" s="393">
        <f t="shared" si="511"/>
        <v>270.48</v>
      </c>
      <c r="J219" s="393">
        <f t="shared" si="511"/>
        <v>273.14400000000001</v>
      </c>
      <c r="K219" s="823">
        <f t="shared" si="511"/>
        <v>1057.77</v>
      </c>
      <c r="L219" s="393">
        <f t="shared" si="511"/>
        <v>249.21000000000004</v>
      </c>
      <c r="M219" s="393">
        <f t="shared" si="511"/>
        <v>264.53700000000003</v>
      </c>
      <c r="N219" s="393">
        <f t="shared" si="511"/>
        <v>266.98400000000004</v>
      </c>
      <c r="O219" s="393">
        <f t="shared" si="511"/>
        <v>274.11899999999991</v>
      </c>
      <c r="P219" s="823">
        <f t="shared" si="511"/>
        <v>1054.8499999999999</v>
      </c>
      <c r="Q219" s="393">
        <f t="shared" si="511"/>
        <v>267.48</v>
      </c>
      <c r="R219" s="393">
        <f t="shared" si="511"/>
        <v>264.173</v>
      </c>
      <c r="S219" s="393">
        <f t="shared" si="511"/>
        <v>270.84799999999996</v>
      </c>
      <c r="T219" s="393">
        <f t="shared" si="511"/>
        <v>265.85400000000016</v>
      </c>
      <c r="U219" s="823">
        <f t="shared" si="511"/>
        <v>1068.355</v>
      </c>
      <c r="V219" s="393">
        <f t="shared" si="511"/>
        <v>256.16500000000002</v>
      </c>
      <c r="W219" s="393">
        <f t="shared" si="511"/>
        <v>263.44499999999999</v>
      </c>
      <c r="X219" s="393">
        <f t="shared" si="511"/>
        <v>265.51200000000006</v>
      </c>
      <c r="Y219" s="394">
        <f t="shared" si="511"/>
        <v>258.34399999999999</v>
      </c>
      <c r="Z219" s="824">
        <f t="shared" si="511"/>
        <v>1043.4659999999999</v>
      </c>
      <c r="AA219" s="394">
        <f t="shared" si="511"/>
        <v>249.21</v>
      </c>
      <c r="AB219" s="393">
        <f t="shared" si="511"/>
        <v>261.53399999999999</v>
      </c>
      <c r="AC219" s="393">
        <f t="shared" si="511"/>
        <v>270.75599999999997</v>
      </c>
      <c r="AD219" s="394">
        <f t="shared" si="511"/>
        <v>263.495</v>
      </c>
      <c r="AE219" s="824">
        <f t="shared" si="511"/>
        <v>1044.9949999999999</v>
      </c>
      <c r="AF219" s="394">
        <f t="shared" si="511"/>
        <v>246.24</v>
      </c>
      <c r="AG219" s="393">
        <f t="shared" si="511"/>
        <v>259.62299999999999</v>
      </c>
      <c r="AH219" s="393">
        <f t="shared" si="511"/>
        <v>258.24399999999997</v>
      </c>
      <c r="AI219" s="394">
        <f t="shared" si="511"/>
        <v>254.60799999999998</v>
      </c>
      <c r="AJ219" s="824">
        <f t="shared" si="511"/>
        <v>1018.7149999999999</v>
      </c>
      <c r="AK219" s="394">
        <f t="shared" si="511"/>
        <v>249.39</v>
      </c>
      <c r="AL219" s="393">
        <f t="shared" si="511"/>
        <v>246.70099999999999</v>
      </c>
      <c r="AM219" s="393">
        <f t="shared" si="511"/>
        <v>259.99200000000002</v>
      </c>
      <c r="AN219" s="394">
        <f t="shared" si="511"/>
        <v>247.66700000000006</v>
      </c>
      <c r="AO219" s="824">
        <f t="shared" si="511"/>
        <v>1003.75</v>
      </c>
      <c r="AP219" s="394">
        <f t="shared" si="511"/>
        <v>230.95799999999997</v>
      </c>
      <c r="AQ219" s="393">
        <f t="shared" si="511"/>
        <v>184.45699999999999</v>
      </c>
      <c r="AR219" s="393">
        <f t="shared" si="511"/>
        <v>219.97199999999998</v>
      </c>
      <c r="AS219" s="394">
        <f t="shared" si="511"/>
        <v>131.60999999999996</v>
      </c>
      <c r="AT219" s="824">
        <f t="shared" si="511"/>
        <v>850.21799999999985</v>
      </c>
      <c r="AU219" s="394">
        <f t="shared" si="511"/>
        <v>217.98000000000002</v>
      </c>
      <c r="AV219" s="393">
        <f t="shared" si="511"/>
        <v>231.50399999999996</v>
      </c>
      <c r="AW219" s="393">
        <f t="shared" si="511"/>
        <v>250.79199999999997</v>
      </c>
      <c r="AX219" s="394">
        <f t="shared" si="511"/>
        <v>255.91200000000001</v>
      </c>
      <c r="AY219" s="824">
        <f t="shared" si="511"/>
        <v>941.33500000000004</v>
      </c>
      <c r="AZ219" s="394">
        <f t="shared" si="501"/>
        <v>242.55</v>
      </c>
      <c r="BA219" s="393">
        <f t="shared" si="501"/>
        <v>247.97499999999999</v>
      </c>
      <c r="BB219" s="393">
        <f t="shared" si="501"/>
        <v>260.26800000000003</v>
      </c>
      <c r="BC219" s="394">
        <f t="shared" si="502"/>
        <v>259.51000000000005</v>
      </c>
      <c r="BD219" s="824">
        <f t="shared" si="502"/>
        <v>1010.32</v>
      </c>
      <c r="BE219" s="394">
        <f t="shared" si="503"/>
        <v>258.21000000000004</v>
      </c>
      <c r="BF219" s="393">
        <f t="shared" si="503"/>
        <v>267.995</v>
      </c>
      <c r="BG219" s="393">
        <f t="shared" si="503"/>
        <v>269.65199999999999</v>
      </c>
      <c r="BH219" s="394">
        <f t="shared" si="504"/>
        <v>265.44400000000002</v>
      </c>
      <c r="BI219" s="824">
        <f t="shared" si="504"/>
        <v>1061.0549999999998</v>
      </c>
      <c r="BJ219" s="394">
        <f t="shared" si="505"/>
        <v>258.25800000000004</v>
      </c>
      <c r="BK219" s="393">
        <f t="shared" si="505"/>
        <v>268.63200000000001</v>
      </c>
      <c r="BL219" s="393">
        <f t="shared" si="505"/>
        <v>275.26400000000001</v>
      </c>
      <c r="BM219" s="394">
        <f t="shared" si="506"/>
        <v>273.15300000000002</v>
      </c>
      <c r="BN219" s="824">
        <f t="shared" si="506"/>
        <v>1075.308</v>
      </c>
      <c r="BO219" s="394">
        <f t="shared" si="507"/>
        <v>254.96999999999997</v>
      </c>
      <c r="BP219" s="393">
        <f t="shared" si="507"/>
        <v>273.72799999999995</v>
      </c>
      <c r="BQ219" s="393">
        <f t="shared" si="507"/>
        <v>272.13599999999997</v>
      </c>
      <c r="BR219" s="394">
        <f t="shared" si="508"/>
        <v>276.09800000000001</v>
      </c>
      <c r="BS219" s="824">
        <f t="shared" si="508"/>
        <v>1076.75</v>
      </c>
      <c r="BT219" s="640">
        <f>BT183+BT201</f>
        <v>260.46000000000004</v>
      </c>
      <c r="BU219" s="393">
        <f t="shared" si="508"/>
        <v>276.59449999999998</v>
      </c>
      <c r="BV219" s="393">
        <f t="shared" si="508"/>
        <v>265.834</v>
      </c>
      <c r="BW219" s="393">
        <f t="shared" si="508"/>
        <v>262.61400000000003</v>
      </c>
      <c r="BX219" s="823">
        <f t="shared" si="509"/>
        <v>1065.5025000000001</v>
      </c>
      <c r="BY219" s="393">
        <f t="shared" si="510"/>
        <v>266.80500000000001</v>
      </c>
      <c r="BZ219" s="393">
        <f t="shared" si="510"/>
        <v>276.59449999999998</v>
      </c>
      <c r="CA219" s="393">
        <f t="shared" si="510"/>
        <v>280.55399999999997</v>
      </c>
      <c r="CB219" s="393">
        <f t="shared" si="510"/>
        <v>274.57399999999996</v>
      </c>
      <c r="CC219" s="823">
        <f t="shared" si="510"/>
        <v>1098.5274999999999</v>
      </c>
      <c r="CD219" s="823">
        <f t="shared" si="510"/>
        <v>1175.7750000000001</v>
      </c>
      <c r="CE219" s="823">
        <f t="shared" si="510"/>
        <v>1172.5625</v>
      </c>
      <c r="CF219" s="823">
        <f t="shared" si="510"/>
        <v>1172.5625</v>
      </c>
      <c r="CG219" s="26"/>
    </row>
    <row r="220" spans="1:85" s="429" customFormat="1" hidden="1" outlineLevel="1" x14ac:dyDescent="0.3">
      <c r="A220" s="48"/>
      <c r="B220" s="63"/>
      <c r="C220" s="825"/>
      <c r="D220" s="825"/>
      <c r="E220" s="825"/>
      <c r="F220" s="825"/>
      <c r="G220" s="31"/>
      <c r="H220" s="31"/>
      <c r="I220" s="31"/>
      <c r="J220" s="31"/>
      <c r="K220" s="825"/>
      <c r="L220" s="31"/>
      <c r="M220" s="31"/>
      <c r="N220" s="31"/>
      <c r="O220" s="31"/>
      <c r="P220" s="825"/>
      <c r="Q220" s="31"/>
      <c r="R220" s="31"/>
      <c r="S220" s="31"/>
      <c r="T220" s="31"/>
      <c r="U220" s="825"/>
      <c r="V220" s="31"/>
      <c r="W220" s="31"/>
      <c r="X220" s="31"/>
      <c r="Y220" s="31"/>
      <c r="Z220" s="825"/>
      <c r="AA220" s="31"/>
      <c r="AB220" s="31"/>
      <c r="AC220" s="31"/>
      <c r="AD220" s="31"/>
      <c r="AE220" s="825"/>
      <c r="AF220" s="31"/>
      <c r="AG220" s="31"/>
      <c r="AH220" s="31"/>
      <c r="AI220" s="31"/>
      <c r="AJ220" s="825"/>
      <c r="AK220" s="31"/>
      <c r="AL220" s="31"/>
      <c r="AM220" s="31"/>
      <c r="AN220" s="31"/>
      <c r="AO220" s="825"/>
      <c r="AP220" s="31"/>
      <c r="AQ220" s="31"/>
      <c r="AR220" s="31"/>
      <c r="AS220" s="31"/>
      <c r="AT220" s="825"/>
      <c r="AU220" s="31"/>
      <c r="AV220" s="31"/>
      <c r="AW220" s="31"/>
      <c r="AX220" s="31"/>
      <c r="AY220" s="825"/>
      <c r="AZ220" s="31"/>
      <c r="BA220" s="31"/>
      <c r="BB220" s="31"/>
      <c r="BC220" s="31"/>
      <c r="BD220" s="825"/>
      <c r="BE220" s="31"/>
      <c r="BF220" s="31"/>
      <c r="BG220" s="31"/>
      <c r="BH220" s="31"/>
      <c r="BI220" s="825"/>
      <c r="BJ220" s="31"/>
      <c r="BK220" s="31"/>
      <c r="BL220" s="31"/>
      <c r="BM220" s="31"/>
      <c r="BN220" s="825"/>
      <c r="BO220" s="31"/>
      <c r="BP220" s="31"/>
      <c r="BQ220" s="31"/>
      <c r="BR220" s="31"/>
      <c r="BS220" s="825"/>
      <c r="BT220" s="379"/>
      <c r="BU220" s="31"/>
      <c r="BV220" s="31"/>
      <c r="BW220" s="31"/>
      <c r="BX220" s="825"/>
      <c r="BY220" s="31"/>
      <c r="BZ220" s="31"/>
      <c r="CA220" s="31"/>
      <c r="CB220" s="31"/>
      <c r="CC220" s="825"/>
      <c r="CD220" s="825"/>
      <c r="CE220" s="825"/>
      <c r="CF220" s="825"/>
      <c r="CG220" s="26"/>
    </row>
    <row r="221" spans="1:85" s="437" customFormat="1" hidden="1" outlineLevel="1" x14ac:dyDescent="0.3">
      <c r="A221" s="75" t="s">
        <v>754</v>
      </c>
      <c r="B221" s="76"/>
      <c r="C221" s="876"/>
      <c r="D221" s="876"/>
      <c r="E221" s="876"/>
      <c r="F221" s="876"/>
      <c r="G221" s="44"/>
      <c r="H221" s="44"/>
      <c r="I221" s="44"/>
      <c r="J221" s="44"/>
      <c r="K221" s="876"/>
      <c r="L221" s="44"/>
      <c r="M221" s="44"/>
      <c r="N221" s="44"/>
      <c r="O221" s="44"/>
      <c r="P221" s="876"/>
      <c r="Q221" s="44"/>
      <c r="R221" s="44"/>
      <c r="S221" s="44"/>
      <c r="T221" s="44"/>
      <c r="U221" s="876"/>
      <c r="V221" s="44"/>
      <c r="W221" s="44"/>
      <c r="X221" s="44"/>
      <c r="Y221" s="44"/>
      <c r="Z221" s="876"/>
      <c r="AA221" s="778">
        <v>19.62</v>
      </c>
      <c r="AB221" s="778">
        <v>20.97</v>
      </c>
      <c r="AC221" s="778">
        <v>22.97</v>
      </c>
      <c r="AD221" s="778">
        <v>16.89</v>
      </c>
      <c r="AE221" s="877">
        <v>20.11</v>
      </c>
      <c r="AF221" s="778">
        <v>19.93</v>
      </c>
      <c r="AG221" s="778">
        <v>22</v>
      </c>
      <c r="AH221" s="778">
        <v>18.78</v>
      </c>
      <c r="AI221" s="778">
        <v>16.36</v>
      </c>
      <c r="AJ221" s="877">
        <v>19.260000000000002</v>
      </c>
      <c r="AK221" s="778">
        <v>14.71</v>
      </c>
      <c r="AL221" s="778">
        <v>23.39</v>
      </c>
      <c r="AM221" s="778">
        <v>20.29</v>
      </c>
      <c r="AN221" s="778">
        <v>21.84</v>
      </c>
      <c r="AO221" s="877">
        <v>20.079999999999998</v>
      </c>
      <c r="AP221" s="778">
        <v>16.940000000000001</v>
      </c>
      <c r="AQ221" s="778">
        <v>9.2899999999999991</v>
      </c>
      <c r="AR221" s="778">
        <v>11.63</v>
      </c>
      <c r="AS221" s="778">
        <v>12.72</v>
      </c>
      <c r="AT221" s="877">
        <v>12.64</v>
      </c>
      <c r="AU221" s="778">
        <v>12.21</v>
      </c>
      <c r="AV221" s="778">
        <v>14.39</v>
      </c>
      <c r="AW221" s="778">
        <v>16.57</v>
      </c>
      <c r="AX221" s="778">
        <v>19.03</v>
      </c>
      <c r="AY221" s="877">
        <v>15.57</v>
      </c>
      <c r="AZ221" s="778">
        <v>26.5</v>
      </c>
      <c r="BA221" s="778">
        <v>47.03</v>
      </c>
      <c r="BB221" s="778">
        <v>39.99</v>
      </c>
      <c r="BC221" s="778">
        <v>29.58</v>
      </c>
      <c r="BD221" s="877">
        <v>35.799999999999997</v>
      </c>
      <c r="BE221" s="778">
        <v>31.24</v>
      </c>
      <c r="BF221" s="778">
        <v>23.71</v>
      </c>
      <c r="BG221" s="778">
        <v>44.16</v>
      </c>
      <c r="BH221" s="778">
        <v>23.47</v>
      </c>
      <c r="BI221" s="877">
        <v>30.66</v>
      </c>
      <c r="BJ221" s="778">
        <v>25.34</v>
      </c>
      <c r="BK221" s="778">
        <v>22.42</v>
      </c>
      <c r="BL221" s="778">
        <v>15.37</v>
      </c>
      <c r="BM221" s="778">
        <v>13.97</v>
      </c>
      <c r="BN221" s="877">
        <v>19.25</v>
      </c>
      <c r="BO221" s="778">
        <v>18.7</v>
      </c>
      <c r="BP221" s="778">
        <v>21.95</v>
      </c>
      <c r="BQ221" s="778">
        <v>24.7</v>
      </c>
      <c r="BR221" s="778">
        <v>23.94</v>
      </c>
      <c r="BS221" s="877">
        <v>22.34</v>
      </c>
      <c r="BT221" s="779">
        <v>32.08</v>
      </c>
      <c r="BU221" s="44"/>
      <c r="BV221" s="44"/>
      <c r="BW221" s="44"/>
      <c r="BX221" s="876"/>
      <c r="BY221" s="44"/>
      <c r="BZ221" s="44"/>
      <c r="CA221" s="44"/>
      <c r="CB221" s="44"/>
      <c r="CC221" s="876"/>
      <c r="CD221" s="876"/>
      <c r="CE221" s="876"/>
      <c r="CF221" s="876"/>
      <c r="CG221" s="24"/>
    </row>
    <row r="222" spans="1:85" s="437" customFormat="1" hidden="1" outlineLevel="1" x14ac:dyDescent="0.3">
      <c r="A222" s="75" t="s">
        <v>113</v>
      </c>
      <c r="B222" s="76"/>
      <c r="C222" s="877">
        <v>13.06</v>
      </c>
      <c r="D222" s="877">
        <v>18.54</v>
      </c>
      <c r="E222" s="877">
        <v>22.09</v>
      </c>
      <c r="F222" s="877">
        <v>24.23</v>
      </c>
      <c r="G222" s="778">
        <v>19.73</v>
      </c>
      <c r="H222" s="778">
        <v>20.76</v>
      </c>
      <c r="I222" s="778">
        <v>20.53</v>
      </c>
      <c r="J222" s="778">
        <v>20.53</v>
      </c>
      <c r="K222" s="877">
        <v>20.39</v>
      </c>
      <c r="L222" s="778">
        <v>23.31</v>
      </c>
      <c r="M222" s="778">
        <v>25.46</v>
      </c>
      <c r="N222" s="778">
        <v>21.8</v>
      </c>
      <c r="O222" s="778">
        <v>14.4</v>
      </c>
      <c r="P222" s="877">
        <v>21.22</v>
      </c>
      <c r="Q222" s="778">
        <v>21.33</v>
      </c>
      <c r="R222" s="778">
        <v>23.13</v>
      </c>
      <c r="S222" s="778">
        <v>21.45</v>
      </c>
      <c r="T222" s="778">
        <v>15.78</v>
      </c>
      <c r="U222" s="877">
        <v>20.41</v>
      </c>
      <c r="V222" s="778">
        <v>16.07</v>
      </c>
      <c r="W222" s="778">
        <v>20.11</v>
      </c>
      <c r="X222" s="778">
        <v>18.12</v>
      </c>
      <c r="Y222" s="778">
        <v>16.61</v>
      </c>
      <c r="Z222" s="877">
        <v>17.73</v>
      </c>
      <c r="AA222" s="778">
        <v>17.46</v>
      </c>
      <c r="AB222" s="778">
        <v>18.86</v>
      </c>
      <c r="AC222" s="778">
        <v>21.37</v>
      </c>
      <c r="AD222" s="778">
        <v>17.48</v>
      </c>
      <c r="AE222" s="877">
        <v>18.8</v>
      </c>
      <c r="AF222" s="778">
        <v>18.43</v>
      </c>
      <c r="AG222" s="778">
        <v>23.84</v>
      </c>
      <c r="AH222" s="778">
        <v>22.27</v>
      </c>
      <c r="AI222" s="778">
        <v>13.46</v>
      </c>
      <c r="AJ222" s="877">
        <v>19.5</v>
      </c>
      <c r="AK222" s="778">
        <v>11.4</v>
      </c>
      <c r="AL222" s="778">
        <v>18.05</v>
      </c>
      <c r="AM222" s="778">
        <v>17.28</v>
      </c>
      <c r="AN222" s="778">
        <v>16.73</v>
      </c>
      <c r="AO222" s="877">
        <v>15.88</v>
      </c>
      <c r="AP222" s="778">
        <v>14.74</v>
      </c>
      <c r="AQ222" s="778">
        <v>11.42</v>
      </c>
      <c r="AR222" s="778">
        <v>9</v>
      </c>
      <c r="AS222" s="778">
        <v>8.85</v>
      </c>
      <c r="AT222" s="877">
        <v>10.99</v>
      </c>
      <c r="AU222" s="778">
        <v>9.24</v>
      </c>
      <c r="AV222" s="778">
        <v>12.76</v>
      </c>
      <c r="AW222" s="778">
        <v>15.23</v>
      </c>
      <c r="AX222" s="778">
        <v>15.82</v>
      </c>
      <c r="AY222" s="877">
        <v>13.29</v>
      </c>
      <c r="AZ222" s="778">
        <v>19.53</v>
      </c>
      <c r="BA222" s="778">
        <v>45.04</v>
      </c>
      <c r="BB222" s="778">
        <v>30.15</v>
      </c>
      <c r="BC222" s="778">
        <v>27.98</v>
      </c>
      <c r="BD222" s="877">
        <v>30.7</v>
      </c>
      <c r="BE222" s="778">
        <v>27.73</v>
      </c>
      <c r="BF222" s="778">
        <v>22.81</v>
      </c>
      <c r="BG222" s="778">
        <v>26.62</v>
      </c>
      <c r="BH222" s="778">
        <v>13.28</v>
      </c>
      <c r="BI222" s="877">
        <v>22.58</v>
      </c>
      <c r="BJ222" s="778">
        <v>21.21</v>
      </c>
      <c r="BK222" s="778">
        <v>17.93</v>
      </c>
      <c r="BL222" s="778">
        <v>14.58</v>
      </c>
      <c r="BM222" s="778">
        <v>10.34</v>
      </c>
      <c r="BN222" s="877">
        <v>16</v>
      </c>
      <c r="BO222" s="778">
        <v>12.32</v>
      </c>
      <c r="BP222" s="778">
        <v>15.54</v>
      </c>
      <c r="BQ222" s="778">
        <v>17.489999999999998</v>
      </c>
      <c r="BR222" s="778">
        <v>16.91</v>
      </c>
      <c r="BS222" s="877">
        <v>15.58</v>
      </c>
      <c r="BT222" s="779">
        <v>20.38</v>
      </c>
      <c r="BU222" s="44"/>
      <c r="BV222" s="44"/>
      <c r="BW222" s="44"/>
      <c r="BX222" s="876"/>
      <c r="BY222" s="44"/>
      <c r="BZ222" s="44"/>
      <c r="CA222" s="44"/>
      <c r="CB222" s="44"/>
      <c r="CC222" s="876"/>
      <c r="CD222" s="876"/>
      <c r="CE222" s="876"/>
      <c r="CF222" s="876"/>
      <c r="CG222" s="24"/>
    </row>
    <row r="223" spans="1:85" s="437" customFormat="1" hidden="1" outlineLevel="1" x14ac:dyDescent="0.3">
      <c r="A223" s="75" t="s">
        <v>114</v>
      </c>
      <c r="B223" s="76"/>
      <c r="C223" s="877">
        <v>4.1399999999999997</v>
      </c>
      <c r="D223" s="877">
        <v>5.62</v>
      </c>
      <c r="E223" s="877">
        <v>9.0299999999999994</v>
      </c>
      <c r="F223" s="877">
        <v>9.24</v>
      </c>
      <c r="G223" s="778">
        <v>9.4</v>
      </c>
      <c r="H223" s="778">
        <v>8.52</v>
      </c>
      <c r="I223" s="778">
        <v>5.65</v>
      </c>
      <c r="J223" s="778">
        <v>4.76</v>
      </c>
      <c r="K223" s="877">
        <v>7.07</v>
      </c>
      <c r="L223" s="778">
        <v>7.96</v>
      </c>
      <c r="M223" s="778">
        <v>7.17</v>
      </c>
      <c r="N223" s="778">
        <v>6.39</v>
      </c>
      <c r="O223" s="778">
        <v>7.94</v>
      </c>
      <c r="P223" s="877">
        <v>7.36</v>
      </c>
      <c r="Q223" s="778">
        <v>9.94</v>
      </c>
      <c r="R223" s="778">
        <v>10.01</v>
      </c>
      <c r="S223" s="778">
        <v>7.33</v>
      </c>
      <c r="T223" s="778">
        <v>8.6300000000000008</v>
      </c>
      <c r="U223" s="877">
        <v>8.9700000000000006</v>
      </c>
      <c r="V223" s="778">
        <v>7.79</v>
      </c>
      <c r="W223" s="778">
        <v>5.4</v>
      </c>
      <c r="X223" s="778">
        <v>6.08</v>
      </c>
      <c r="Y223" s="778">
        <v>8.31</v>
      </c>
      <c r="Z223" s="877">
        <v>6.9</v>
      </c>
      <c r="AA223" s="778">
        <v>7.83</v>
      </c>
      <c r="AB223" s="778">
        <v>7.92</v>
      </c>
      <c r="AC223" s="778">
        <v>9.5299999999999994</v>
      </c>
      <c r="AD223" s="778">
        <v>8.1300000000000008</v>
      </c>
      <c r="AE223" s="877">
        <v>8.35</v>
      </c>
      <c r="AF223" s="778">
        <v>7.84</v>
      </c>
      <c r="AG223" s="778">
        <v>7.44</v>
      </c>
      <c r="AH223" s="778">
        <v>7.8</v>
      </c>
      <c r="AI223" s="778">
        <v>6.97</v>
      </c>
      <c r="AJ223" s="877">
        <v>7.51</v>
      </c>
      <c r="AK223" s="778">
        <v>5.7</v>
      </c>
      <c r="AL223" s="778">
        <v>5.86</v>
      </c>
      <c r="AM223" s="778">
        <v>9.3000000000000007</v>
      </c>
      <c r="AN223" s="778">
        <v>2.85</v>
      </c>
      <c r="AO223" s="877">
        <v>5.93</v>
      </c>
      <c r="AP223" s="778">
        <v>3.4</v>
      </c>
      <c r="AQ223" s="778">
        <v>2.21</v>
      </c>
      <c r="AR223" s="778">
        <v>2.02</v>
      </c>
      <c r="AS223" s="778">
        <v>2.41</v>
      </c>
      <c r="AT223" s="877">
        <v>2.5099999999999998</v>
      </c>
      <c r="AU223" s="778">
        <v>3.14</v>
      </c>
      <c r="AV223" s="778">
        <v>3.67</v>
      </c>
      <c r="AW223" s="778">
        <v>5.47</v>
      </c>
      <c r="AX223" s="778">
        <v>7.08</v>
      </c>
      <c r="AY223" s="877">
        <v>4.8499999999999996</v>
      </c>
      <c r="AZ223" s="778">
        <v>10.4</v>
      </c>
      <c r="BA223" s="778">
        <v>27.79</v>
      </c>
      <c r="BB223" s="778">
        <v>10.74</v>
      </c>
      <c r="BC223" s="778">
        <v>9.4600000000000009</v>
      </c>
      <c r="BD223" s="877">
        <v>14.58</v>
      </c>
      <c r="BE223" s="778">
        <v>10.38</v>
      </c>
      <c r="BF223" s="778">
        <v>7.83</v>
      </c>
      <c r="BG223" s="778">
        <v>14.12</v>
      </c>
      <c r="BH223" s="778">
        <v>8.64</v>
      </c>
      <c r="BI223" s="877">
        <v>10.25</v>
      </c>
      <c r="BJ223" s="778">
        <v>10.42</v>
      </c>
      <c r="BK223" s="778">
        <v>7.58</v>
      </c>
      <c r="BL223" s="778">
        <v>6.52</v>
      </c>
      <c r="BM223" s="778">
        <v>8.07</v>
      </c>
      <c r="BN223" s="877">
        <v>8.14</v>
      </c>
      <c r="BO223" s="778">
        <v>6.66</v>
      </c>
      <c r="BP223" s="778">
        <v>9.69</v>
      </c>
      <c r="BQ223" s="778">
        <v>7.83</v>
      </c>
      <c r="BR223" s="778">
        <v>11.02</v>
      </c>
      <c r="BS223" s="877">
        <v>8.81</v>
      </c>
      <c r="BT223" s="779">
        <v>12.4</v>
      </c>
      <c r="BU223" s="44"/>
      <c r="BV223" s="44"/>
      <c r="BW223" s="44"/>
      <c r="BX223" s="876"/>
      <c r="BY223" s="44"/>
      <c r="BZ223" s="44"/>
      <c r="CA223" s="44"/>
      <c r="CB223" s="44"/>
      <c r="CC223" s="876"/>
      <c r="CD223" s="876"/>
      <c r="CE223" s="876"/>
      <c r="CF223" s="876"/>
      <c r="CG223" s="24"/>
    </row>
    <row r="224" spans="1:85" s="437" customFormat="1" hidden="1" outlineLevel="2" x14ac:dyDescent="0.3">
      <c r="A224" s="75" t="s">
        <v>115</v>
      </c>
      <c r="B224" s="76"/>
      <c r="C224" s="877">
        <v>4.09</v>
      </c>
      <c r="D224" s="877">
        <v>4.62</v>
      </c>
      <c r="E224" s="877">
        <v>4.3</v>
      </c>
      <c r="F224" s="876"/>
      <c r="G224" s="44"/>
      <c r="H224" s="44"/>
      <c r="I224" s="44"/>
      <c r="J224" s="44"/>
      <c r="K224" s="876"/>
      <c r="L224" s="44"/>
      <c r="M224" s="44"/>
      <c r="N224" s="44"/>
      <c r="O224" s="44"/>
      <c r="P224" s="876"/>
      <c r="Q224" s="44"/>
      <c r="R224" s="44"/>
      <c r="S224" s="44"/>
      <c r="T224" s="44"/>
      <c r="U224" s="876"/>
      <c r="V224" s="44"/>
      <c r="W224" s="44"/>
      <c r="X224" s="44"/>
      <c r="Y224" s="44"/>
      <c r="Z224" s="876"/>
      <c r="AA224" s="44"/>
      <c r="AB224" s="44"/>
      <c r="AC224" s="44"/>
      <c r="AD224" s="44"/>
      <c r="AE224" s="876"/>
      <c r="AF224" s="44"/>
      <c r="AG224" s="44"/>
      <c r="AH224" s="44"/>
      <c r="AI224" s="44"/>
      <c r="AJ224" s="876"/>
      <c r="AK224" s="44"/>
      <c r="AL224" s="44"/>
      <c r="AM224" s="44"/>
      <c r="AN224" s="44"/>
      <c r="AO224" s="876"/>
      <c r="AP224" s="44"/>
      <c r="AQ224" s="44"/>
      <c r="AR224" s="44"/>
      <c r="AS224" s="44"/>
      <c r="AT224" s="876"/>
      <c r="AU224" s="44"/>
      <c r="AV224" s="44"/>
      <c r="AW224" s="44"/>
      <c r="AX224" s="44"/>
      <c r="AY224" s="876"/>
      <c r="AZ224" s="44"/>
      <c r="BA224" s="44"/>
      <c r="BB224" s="44"/>
      <c r="BC224" s="44"/>
      <c r="BD224" s="876"/>
      <c r="BE224" s="44"/>
      <c r="BF224" s="44"/>
      <c r="BG224" s="44"/>
      <c r="BH224" s="44"/>
      <c r="BI224" s="876"/>
      <c r="BJ224" s="44"/>
      <c r="BK224" s="44"/>
      <c r="BL224" s="44"/>
      <c r="BM224" s="44"/>
      <c r="BN224" s="876"/>
      <c r="BO224" s="44"/>
      <c r="BP224" s="44"/>
      <c r="BQ224" s="44"/>
      <c r="BR224" s="44"/>
      <c r="BS224" s="876"/>
      <c r="BT224" s="660"/>
      <c r="BU224" s="44"/>
      <c r="BV224" s="44"/>
      <c r="BW224" s="44"/>
      <c r="BX224" s="876"/>
      <c r="BY224" s="44"/>
      <c r="BZ224" s="44"/>
      <c r="CA224" s="44"/>
      <c r="CB224" s="44"/>
      <c r="CC224" s="876"/>
      <c r="CD224" s="876"/>
      <c r="CE224" s="876"/>
      <c r="CF224" s="876"/>
      <c r="CG224" s="24"/>
    </row>
    <row r="225" spans="1:85" s="437" customFormat="1" hidden="1" outlineLevel="1" collapsed="1" x14ac:dyDescent="0.3">
      <c r="A225" s="67"/>
      <c r="B225" s="76"/>
      <c r="C225" s="876"/>
      <c r="D225" s="876"/>
      <c r="E225" s="876"/>
      <c r="F225" s="876"/>
      <c r="G225" s="44"/>
      <c r="H225" s="44"/>
      <c r="I225" s="44"/>
      <c r="J225" s="44"/>
      <c r="K225" s="876"/>
      <c r="L225" s="44"/>
      <c r="M225" s="44"/>
      <c r="N225" s="44"/>
      <c r="O225" s="44"/>
      <c r="P225" s="876"/>
      <c r="Q225" s="44"/>
      <c r="R225" s="44"/>
      <c r="S225" s="44"/>
      <c r="T225" s="44"/>
      <c r="U225" s="876"/>
      <c r="V225" s="44"/>
      <c r="W225" s="44"/>
      <c r="X225" s="44"/>
      <c r="Y225" s="44"/>
      <c r="Z225" s="876"/>
      <c r="AA225" s="44"/>
      <c r="AB225" s="44"/>
      <c r="AC225" s="44"/>
      <c r="AD225" s="44"/>
      <c r="AE225" s="876"/>
      <c r="AF225" s="44"/>
      <c r="AG225" s="44"/>
      <c r="AH225" s="44"/>
      <c r="AI225" s="44"/>
      <c r="AJ225" s="876"/>
      <c r="AK225" s="44"/>
      <c r="AL225" s="44"/>
      <c r="AM225" s="44"/>
      <c r="AN225" s="44"/>
      <c r="AO225" s="876"/>
      <c r="AP225" s="44"/>
      <c r="AQ225" s="44"/>
      <c r="AR225" s="44"/>
      <c r="AS225" s="44"/>
      <c r="AT225" s="876"/>
      <c r="AU225" s="44"/>
      <c r="AV225" s="44"/>
      <c r="AW225" s="44"/>
      <c r="AX225" s="44"/>
      <c r="AY225" s="876"/>
      <c r="AZ225" s="44"/>
      <c r="BA225" s="44"/>
      <c r="BB225" s="44"/>
      <c r="BC225" s="44"/>
      <c r="BD225" s="876"/>
      <c r="BE225" s="44"/>
      <c r="BF225" s="44"/>
      <c r="BG225" s="44"/>
      <c r="BH225" s="44"/>
      <c r="BI225" s="876"/>
      <c r="BJ225" s="44"/>
      <c r="BK225" s="44"/>
      <c r="BL225" s="44"/>
      <c r="BM225" s="44"/>
      <c r="BN225" s="876"/>
      <c r="BO225" s="44"/>
      <c r="BP225" s="44"/>
      <c r="BQ225" s="44"/>
      <c r="BR225" s="44"/>
      <c r="BS225" s="876"/>
      <c r="BT225" s="660"/>
      <c r="BU225" s="44"/>
      <c r="BV225" s="44"/>
      <c r="BW225" s="44"/>
      <c r="BX225" s="876"/>
      <c r="BY225" s="44"/>
      <c r="BZ225" s="44"/>
      <c r="CA225" s="44"/>
      <c r="CB225" s="44"/>
      <c r="CC225" s="876"/>
      <c r="CD225" s="876"/>
      <c r="CE225" s="876"/>
      <c r="CF225" s="876"/>
      <c r="CG225" s="24"/>
    </row>
    <row r="226" spans="1:85" s="437" customFormat="1" hidden="1" outlineLevel="1" x14ac:dyDescent="0.3">
      <c r="A226" s="75" t="s">
        <v>116</v>
      </c>
      <c r="B226" s="76"/>
      <c r="C226" s="877">
        <v>5.31</v>
      </c>
      <c r="D226" s="877">
        <v>5.79</v>
      </c>
      <c r="E226" s="877">
        <v>5.4</v>
      </c>
      <c r="F226" s="877">
        <v>7.22</v>
      </c>
      <c r="G226" s="778">
        <v>5.51</v>
      </c>
      <c r="H226" s="778">
        <v>5.73</v>
      </c>
      <c r="I226" s="778">
        <v>4.84</v>
      </c>
      <c r="J226" s="778">
        <v>5.41</v>
      </c>
      <c r="K226" s="877">
        <v>5.37</v>
      </c>
      <c r="L226" s="778">
        <v>5.2</v>
      </c>
      <c r="M226" s="778">
        <v>7.25</v>
      </c>
      <c r="N226" s="778">
        <v>8.42</v>
      </c>
      <c r="O226" s="778">
        <v>9.2899999999999991</v>
      </c>
      <c r="P226" s="877">
        <v>7.55</v>
      </c>
      <c r="Q226" s="778">
        <v>10.1</v>
      </c>
      <c r="R226" s="778">
        <v>12.6</v>
      </c>
      <c r="S226" s="778">
        <v>14.74</v>
      </c>
      <c r="T226" s="778">
        <v>12.13</v>
      </c>
      <c r="U226" s="877">
        <v>12.41</v>
      </c>
      <c r="V226" s="778">
        <v>15.01</v>
      </c>
      <c r="W226" s="778">
        <v>12.54</v>
      </c>
      <c r="X226" s="778">
        <v>12.96</v>
      </c>
      <c r="Y226" s="778">
        <v>11.67</v>
      </c>
      <c r="Z226" s="877">
        <v>13.04</v>
      </c>
      <c r="AA226" s="778">
        <v>13.84</v>
      </c>
      <c r="AB226" s="778">
        <v>14.91</v>
      </c>
      <c r="AC226" s="778">
        <v>13.81</v>
      </c>
      <c r="AD226" s="778">
        <v>14.51</v>
      </c>
      <c r="AE226" s="877">
        <v>14.27</v>
      </c>
      <c r="AF226" s="44"/>
      <c r="AG226" s="44"/>
      <c r="AH226" s="44"/>
      <c r="AI226" s="44"/>
      <c r="AJ226" s="876"/>
      <c r="AK226" s="44"/>
      <c r="AL226" s="44"/>
      <c r="AM226" s="44"/>
      <c r="AN226" s="44"/>
      <c r="AO226" s="876"/>
      <c r="AP226" s="44"/>
      <c r="AQ226" s="44"/>
      <c r="AR226" s="44"/>
      <c r="AS226" s="44"/>
      <c r="AT226" s="876"/>
      <c r="AU226" s="44"/>
      <c r="AV226" s="44"/>
      <c r="AW226" s="44"/>
      <c r="AX226" s="44"/>
      <c r="AY226" s="876"/>
      <c r="AZ226" s="44"/>
      <c r="BA226" s="44"/>
      <c r="BB226" s="44"/>
      <c r="BC226" s="44"/>
      <c r="BD226" s="876"/>
      <c r="BE226" s="44"/>
      <c r="BF226" s="44"/>
      <c r="BG226" s="44"/>
      <c r="BH226" s="44"/>
      <c r="BI226" s="876"/>
      <c r="BJ226" s="44"/>
      <c r="BK226" s="44"/>
      <c r="BL226" s="44"/>
      <c r="BM226" s="44"/>
      <c r="BN226" s="876"/>
      <c r="BO226" s="44"/>
      <c r="BP226" s="44"/>
      <c r="BQ226" s="44"/>
      <c r="BR226" s="44"/>
      <c r="BS226" s="876"/>
      <c r="BT226" s="660"/>
      <c r="BU226" s="44"/>
      <c r="BV226" s="44"/>
      <c r="BW226" s="44"/>
      <c r="BX226" s="876"/>
      <c r="BY226" s="44"/>
      <c r="BZ226" s="44"/>
      <c r="CA226" s="44"/>
      <c r="CB226" s="44"/>
      <c r="CC226" s="876"/>
      <c r="CD226" s="876"/>
      <c r="CE226" s="876"/>
      <c r="CF226" s="876"/>
      <c r="CG226" s="24"/>
    </row>
    <row r="227" spans="1:85" s="437" customFormat="1" hidden="1" outlineLevel="1" x14ac:dyDescent="0.3">
      <c r="A227" s="75" t="s">
        <v>117</v>
      </c>
      <c r="B227" s="76"/>
      <c r="C227" s="877">
        <v>2.94</v>
      </c>
      <c r="D227" s="877">
        <v>3.69</v>
      </c>
      <c r="E227" s="877">
        <v>4.3499999999999996</v>
      </c>
      <c r="F227" s="877">
        <v>4.55</v>
      </c>
      <c r="G227" s="778">
        <v>4.78</v>
      </c>
      <c r="H227" s="778">
        <v>5.0999999999999996</v>
      </c>
      <c r="I227" s="778">
        <v>2.76</v>
      </c>
      <c r="J227" s="778">
        <v>3.82</v>
      </c>
      <c r="K227" s="877">
        <v>4.1100000000000003</v>
      </c>
      <c r="L227" s="778">
        <v>2.3199999999999998</v>
      </c>
      <c r="M227" s="778">
        <v>3.92</v>
      </c>
      <c r="N227" s="778">
        <v>2.82</v>
      </c>
      <c r="O227" s="778">
        <v>2.76</v>
      </c>
      <c r="P227" s="877">
        <v>2.96</v>
      </c>
      <c r="Q227" s="778">
        <v>2.34</v>
      </c>
      <c r="R227" s="778">
        <v>2.0699999999999998</v>
      </c>
      <c r="S227" s="778">
        <v>4.78</v>
      </c>
      <c r="T227" s="778">
        <v>4.74</v>
      </c>
      <c r="U227" s="877">
        <v>3.49</v>
      </c>
      <c r="V227" s="778">
        <v>3.07</v>
      </c>
      <c r="W227" s="778">
        <v>3.95</v>
      </c>
      <c r="X227" s="778">
        <v>3.65</v>
      </c>
      <c r="Y227" s="778">
        <v>3.32</v>
      </c>
      <c r="Z227" s="877">
        <v>3.5</v>
      </c>
      <c r="AA227" s="778">
        <v>4.3</v>
      </c>
      <c r="AB227" s="778">
        <v>5.25</v>
      </c>
      <c r="AC227" s="778">
        <v>2.15</v>
      </c>
      <c r="AD227" s="778">
        <v>3.67</v>
      </c>
      <c r="AE227" s="877">
        <v>3.83</v>
      </c>
      <c r="AF227" s="44"/>
      <c r="AG227" s="44"/>
      <c r="AH227" s="44"/>
      <c r="AI227" s="44"/>
      <c r="AJ227" s="876"/>
      <c r="AK227" s="44"/>
      <c r="AL227" s="44"/>
      <c r="AM227" s="44"/>
      <c r="AN227" s="44"/>
      <c r="AO227" s="876"/>
      <c r="AP227" s="44"/>
      <c r="AQ227" s="44"/>
      <c r="AR227" s="44"/>
      <c r="AS227" s="44"/>
      <c r="AT227" s="876"/>
      <c r="AU227" s="44"/>
      <c r="AV227" s="44"/>
      <c r="AW227" s="44"/>
      <c r="AX227" s="44"/>
      <c r="AY227" s="876"/>
      <c r="AZ227" s="44"/>
      <c r="BA227" s="44"/>
      <c r="BB227" s="44"/>
      <c r="BC227" s="44"/>
      <c r="BD227" s="876"/>
      <c r="BE227" s="44"/>
      <c r="BF227" s="44"/>
      <c r="BG227" s="44"/>
      <c r="BH227" s="44"/>
      <c r="BI227" s="876"/>
      <c r="BJ227" s="44"/>
      <c r="BK227" s="44"/>
      <c r="BL227" s="44"/>
      <c r="BM227" s="44"/>
      <c r="BN227" s="876"/>
      <c r="BO227" s="44"/>
      <c r="BP227" s="44"/>
      <c r="BQ227" s="44"/>
      <c r="BR227" s="44"/>
      <c r="BS227" s="876"/>
      <c r="BT227" s="660"/>
      <c r="BU227" s="44"/>
      <c r="BV227" s="44"/>
      <c r="BW227" s="44"/>
      <c r="BX227" s="876"/>
      <c r="BY227" s="44"/>
      <c r="BZ227" s="44"/>
      <c r="CA227" s="44"/>
      <c r="CB227" s="44"/>
      <c r="CC227" s="876"/>
      <c r="CD227" s="876"/>
      <c r="CE227" s="876"/>
      <c r="CF227" s="876"/>
      <c r="CG227" s="24"/>
    </row>
    <row r="228" spans="1:85" s="437" customFormat="1" hidden="1" outlineLevel="1" x14ac:dyDescent="0.3">
      <c r="A228" s="75" t="s">
        <v>118</v>
      </c>
      <c r="B228" s="76"/>
      <c r="C228" s="877">
        <v>4.33</v>
      </c>
      <c r="D228" s="877">
        <v>5.63</v>
      </c>
      <c r="E228" s="877">
        <v>5.5</v>
      </c>
      <c r="F228" s="877">
        <v>5.55</v>
      </c>
      <c r="G228" s="778">
        <v>11.07</v>
      </c>
      <c r="H228" s="778">
        <v>11.03</v>
      </c>
      <c r="I228" s="778">
        <v>10.62</v>
      </c>
      <c r="J228" s="778">
        <v>9.74</v>
      </c>
      <c r="K228" s="877">
        <v>10.61</v>
      </c>
      <c r="L228" s="778">
        <v>10.43</v>
      </c>
      <c r="M228" s="778">
        <v>10.55</v>
      </c>
      <c r="N228" s="778">
        <v>12</v>
      </c>
      <c r="O228" s="778">
        <v>12.57</v>
      </c>
      <c r="P228" s="877">
        <v>11.37</v>
      </c>
      <c r="Q228" s="778">
        <v>10.1</v>
      </c>
      <c r="R228" s="778">
        <v>9.6199999999999992</v>
      </c>
      <c r="S228" s="778">
        <v>10.63</v>
      </c>
      <c r="T228" s="778">
        <v>10.73</v>
      </c>
      <c r="U228" s="877">
        <v>10.27</v>
      </c>
      <c r="V228" s="778">
        <v>9.5299999999999994</v>
      </c>
      <c r="W228" s="778">
        <v>8.2200000000000006</v>
      </c>
      <c r="X228" s="778">
        <v>7.53</v>
      </c>
      <c r="Y228" s="778">
        <v>6.77</v>
      </c>
      <c r="Z228" s="877">
        <v>8.1</v>
      </c>
      <c r="AA228" s="778">
        <v>7.73</v>
      </c>
      <c r="AB228" s="778">
        <v>7.8</v>
      </c>
      <c r="AC228" s="778">
        <v>7.21</v>
      </c>
      <c r="AD228" s="778">
        <v>7.47</v>
      </c>
      <c r="AE228" s="877">
        <v>7.55</v>
      </c>
      <c r="AF228" s="44"/>
      <c r="AG228" s="44"/>
      <c r="AH228" s="44"/>
      <c r="AI228" s="44"/>
      <c r="AJ228" s="876"/>
      <c r="AK228" s="44"/>
      <c r="AL228" s="44"/>
      <c r="AM228" s="44"/>
      <c r="AN228" s="44"/>
      <c r="AO228" s="876"/>
      <c r="AP228" s="44"/>
      <c r="AQ228" s="44"/>
      <c r="AR228" s="44"/>
      <c r="AS228" s="44"/>
      <c r="AT228" s="876"/>
      <c r="AU228" s="44"/>
      <c r="AV228" s="44"/>
      <c r="AW228" s="44"/>
      <c r="AX228" s="44"/>
      <c r="AY228" s="876"/>
      <c r="AZ228" s="44"/>
      <c r="BA228" s="44"/>
      <c r="BB228" s="44"/>
      <c r="BC228" s="44"/>
      <c r="BD228" s="876"/>
      <c r="BE228" s="44"/>
      <c r="BF228" s="44"/>
      <c r="BG228" s="44"/>
      <c r="BH228" s="44"/>
      <c r="BI228" s="876"/>
      <c r="BJ228" s="44"/>
      <c r="BK228" s="44"/>
      <c r="BL228" s="44"/>
      <c r="BM228" s="44"/>
      <c r="BN228" s="876"/>
      <c r="BO228" s="44"/>
      <c r="BP228" s="44"/>
      <c r="BQ228" s="44"/>
      <c r="BR228" s="44"/>
      <c r="BS228" s="876"/>
      <c r="BT228" s="660"/>
      <c r="BU228" s="44"/>
      <c r="BV228" s="44"/>
      <c r="BW228" s="44"/>
      <c r="BX228" s="876"/>
      <c r="BY228" s="44"/>
      <c r="BZ228" s="44"/>
      <c r="CA228" s="44"/>
      <c r="CB228" s="44"/>
      <c r="CC228" s="876"/>
      <c r="CD228" s="876"/>
      <c r="CE228" s="876"/>
      <c r="CF228" s="876"/>
      <c r="CG228" s="24"/>
    </row>
    <row r="229" spans="1:85" s="427" customFormat="1" collapsed="1" x14ac:dyDescent="0.3">
      <c r="A229" s="65"/>
      <c r="B229" s="66"/>
      <c r="C229" s="872"/>
      <c r="D229" s="872"/>
      <c r="E229" s="872"/>
      <c r="F229" s="872"/>
      <c r="G229" s="742"/>
      <c r="H229" s="742"/>
      <c r="I229" s="742"/>
      <c r="J229" s="742"/>
      <c r="K229" s="872"/>
      <c r="L229" s="742"/>
      <c r="M229" s="742"/>
      <c r="N229" s="742"/>
      <c r="O229" s="742"/>
      <c r="P229" s="872"/>
      <c r="Q229" s="742"/>
      <c r="R229" s="742"/>
      <c r="S229" s="742"/>
      <c r="T229" s="742"/>
      <c r="U229" s="872"/>
      <c r="V229" s="742"/>
      <c r="W229" s="742"/>
      <c r="X229" s="742"/>
      <c r="Y229" s="742"/>
      <c r="Z229" s="872"/>
      <c r="AA229" s="742"/>
      <c r="AB229" s="742"/>
      <c r="AC229" s="742"/>
      <c r="AD229" s="742"/>
      <c r="AE229" s="872"/>
      <c r="AF229" s="742"/>
      <c r="AG229" s="742"/>
      <c r="AH229" s="742"/>
      <c r="AI229" s="742"/>
      <c r="AJ229" s="872"/>
      <c r="AK229" s="742"/>
      <c r="AL229" s="742"/>
      <c r="AM229" s="742"/>
      <c r="AN229" s="742"/>
      <c r="AO229" s="872"/>
      <c r="AP229" s="742"/>
      <c r="AQ229" s="742"/>
      <c r="AR229" s="742"/>
      <c r="AS229" s="742"/>
      <c r="AT229" s="872"/>
      <c r="AU229" s="742"/>
      <c r="AV229" s="742"/>
      <c r="AW229" s="742"/>
      <c r="AX229" s="742"/>
      <c r="AY229" s="872"/>
      <c r="AZ229" s="742"/>
      <c r="BA229" s="742"/>
      <c r="BB229" s="742"/>
      <c r="BC229" s="742"/>
      <c r="BD229" s="872"/>
      <c r="BE229" s="742"/>
      <c r="BF229" s="742"/>
      <c r="BG229" s="742"/>
      <c r="BH229" s="742"/>
      <c r="BI229" s="872"/>
      <c r="BJ229" s="742"/>
      <c r="BK229" s="742"/>
      <c r="BL229" s="742"/>
      <c r="BM229" s="742"/>
      <c r="BN229" s="872"/>
      <c r="BO229" s="742"/>
      <c r="BP229" s="742"/>
      <c r="BQ229" s="742"/>
      <c r="BR229" s="742"/>
      <c r="BS229" s="872"/>
      <c r="BT229" s="743"/>
      <c r="BU229" s="742"/>
      <c r="BV229" s="742"/>
      <c r="BW229" s="742"/>
      <c r="BX229" s="872"/>
      <c r="BY229" s="742"/>
      <c r="BZ229" s="742"/>
      <c r="CA229" s="742"/>
      <c r="CB229" s="742"/>
      <c r="CC229" s="872"/>
      <c r="CD229" s="872"/>
      <c r="CE229" s="872"/>
      <c r="CF229" s="872"/>
      <c r="CG229" s="321"/>
    </row>
    <row r="230" spans="1:85" s="427" customFormat="1" x14ac:dyDescent="0.3">
      <c r="A230" s="720" t="s">
        <v>119</v>
      </c>
      <c r="B230" s="720"/>
      <c r="C230" s="720"/>
      <c r="D230" s="720"/>
      <c r="E230" s="720"/>
      <c r="F230" s="720"/>
      <c r="G230" s="720"/>
      <c r="H230" s="720"/>
      <c r="I230" s="720"/>
      <c r="J230" s="720"/>
      <c r="K230" s="720"/>
      <c r="L230" s="720"/>
      <c r="M230" s="720"/>
      <c r="N230" s="720"/>
      <c r="O230" s="720"/>
      <c r="P230" s="720"/>
      <c r="Q230" s="720"/>
      <c r="R230" s="720"/>
      <c r="S230" s="720"/>
      <c r="T230" s="720"/>
      <c r="U230" s="720"/>
      <c r="V230" s="720"/>
      <c r="W230" s="720"/>
      <c r="X230" s="720"/>
      <c r="Y230" s="720"/>
      <c r="Z230" s="720"/>
      <c r="AA230" s="720"/>
      <c r="AB230" s="720"/>
      <c r="AC230" s="720"/>
      <c r="AD230" s="720"/>
      <c r="AE230" s="720"/>
      <c r="AF230" s="720"/>
      <c r="AG230" s="720"/>
      <c r="AH230" s="720"/>
      <c r="AI230" s="720"/>
      <c r="AJ230" s="720"/>
      <c r="AK230" s="720"/>
      <c r="AL230" s="720"/>
      <c r="AM230" s="720"/>
      <c r="AN230" s="720"/>
      <c r="AO230" s="720"/>
      <c r="AP230" s="720"/>
      <c r="AQ230" s="720"/>
      <c r="AR230" s="720"/>
      <c r="AS230" s="720"/>
      <c r="AT230" s="720"/>
      <c r="AU230" s="720"/>
      <c r="AV230" s="720"/>
      <c r="AW230" s="720"/>
      <c r="AX230" s="720"/>
      <c r="AY230" s="720"/>
      <c r="AZ230" s="720"/>
      <c r="BA230" s="720"/>
      <c r="BB230" s="720"/>
      <c r="BC230" s="720"/>
      <c r="BD230" s="720"/>
      <c r="BE230" s="720"/>
      <c r="BF230" s="720"/>
      <c r="BG230" s="720"/>
      <c r="BH230" s="720"/>
      <c r="BI230" s="720"/>
      <c r="BJ230" s="720"/>
      <c r="BK230" s="720"/>
      <c r="BL230" s="720"/>
      <c r="BM230" s="720"/>
      <c r="BN230" s="720"/>
      <c r="BO230" s="720"/>
      <c r="BP230" s="720"/>
      <c r="BQ230" s="720"/>
      <c r="BR230" s="720"/>
      <c r="BS230" s="720"/>
      <c r="BT230" s="721"/>
      <c r="BU230" s="720"/>
      <c r="BV230" s="720"/>
      <c r="BW230" s="720"/>
      <c r="BX230" s="720"/>
      <c r="BY230" s="720"/>
      <c r="BZ230" s="720"/>
      <c r="CA230" s="720"/>
      <c r="CB230" s="720"/>
      <c r="CC230" s="720"/>
      <c r="CD230" s="720"/>
      <c r="CE230" s="720"/>
      <c r="CF230" s="720"/>
      <c r="CG230" s="321"/>
    </row>
    <row r="231" spans="1:85" s="428" customFormat="1" hidden="1" outlineLevel="1" x14ac:dyDescent="0.3">
      <c r="A231" s="43" t="s">
        <v>120</v>
      </c>
      <c r="B231" s="64"/>
      <c r="C231" s="827">
        <v>62727</v>
      </c>
      <c r="D231" s="827">
        <v>75035</v>
      </c>
      <c r="E231" s="827">
        <v>91078</v>
      </c>
      <c r="F231" s="827">
        <v>87757</v>
      </c>
      <c r="G231" s="763">
        <v>20430</v>
      </c>
      <c r="H231" s="763">
        <v>21555</v>
      </c>
      <c r="I231" s="763">
        <v>22425</v>
      </c>
      <c r="J231" s="763">
        <v>20693</v>
      </c>
      <c r="K231" s="827">
        <v>85103</v>
      </c>
      <c r="L231" s="763">
        <v>20218</v>
      </c>
      <c r="M231" s="763">
        <v>21202</v>
      </c>
      <c r="N231" s="763">
        <v>20623</v>
      </c>
      <c r="O231" s="763">
        <v>16563</v>
      </c>
      <c r="P231" s="827">
        <v>78606</v>
      </c>
      <c r="Q231" s="763">
        <v>12434</v>
      </c>
      <c r="R231" s="763">
        <v>15107</v>
      </c>
      <c r="S231" s="763">
        <v>13795</v>
      </c>
      <c r="T231" s="763">
        <v>11536</v>
      </c>
      <c r="U231" s="827">
        <v>52872</v>
      </c>
      <c r="V231" s="763">
        <v>9167</v>
      </c>
      <c r="W231" s="763">
        <v>11716</v>
      </c>
      <c r="X231" s="763">
        <v>11958</v>
      </c>
      <c r="Y231" s="37">
        <f>Z231-SUM(V231,W231,X231)</f>
        <v>11876</v>
      </c>
      <c r="Z231" s="827">
        <v>44717</v>
      </c>
      <c r="AA231" s="763">
        <v>12432</v>
      </c>
      <c r="AB231" s="763">
        <v>13322</v>
      </c>
      <c r="AC231" s="763">
        <v>13452</v>
      </c>
      <c r="AD231" s="37">
        <f>AE231-SUM(AA231,AB231,AC231)</f>
        <v>13934</v>
      </c>
      <c r="AE231" s="827">
        <v>53140</v>
      </c>
      <c r="AF231" s="763">
        <v>13042</v>
      </c>
      <c r="AG231" s="763">
        <v>15690</v>
      </c>
      <c r="AH231" s="763">
        <v>16405</v>
      </c>
      <c r="AI231" s="37">
        <f>AJ231-SUM(AF231,AG231,AH231)</f>
        <v>14239</v>
      </c>
      <c r="AJ231" s="827">
        <v>59376</v>
      </c>
      <c r="AK231" s="763">
        <v>12388</v>
      </c>
      <c r="AL231" s="763">
        <v>14855</v>
      </c>
      <c r="AM231" s="763">
        <v>14224</v>
      </c>
      <c r="AN231" s="37">
        <f>AO231-SUM(AK231,AL231,AM231)</f>
        <v>13804</v>
      </c>
      <c r="AO231" s="827">
        <v>55271</v>
      </c>
      <c r="AP231" s="763">
        <v>11186</v>
      </c>
      <c r="AQ231" s="763">
        <v>5235</v>
      </c>
      <c r="AR231" s="763">
        <v>8147</v>
      </c>
      <c r="AS231" s="37">
        <f>AT231-SUM(AP231,AQ231,AR231)</f>
        <v>8021</v>
      </c>
      <c r="AT231" s="827">
        <v>32589</v>
      </c>
      <c r="AU231" s="763">
        <v>10854</v>
      </c>
      <c r="AV231" s="763">
        <v>13911</v>
      </c>
      <c r="AW231" s="763">
        <v>15984</v>
      </c>
      <c r="AX231" s="37">
        <f>AY231-SUM(AU231,AV231,AW231)</f>
        <v>16460</v>
      </c>
      <c r="AY231" s="827">
        <v>57209</v>
      </c>
      <c r="AZ231" s="763">
        <v>19771</v>
      </c>
      <c r="BA231" s="763">
        <v>25867</v>
      </c>
      <c r="BB231" s="763">
        <v>24063</v>
      </c>
      <c r="BC231" s="37">
        <f>BD231-SUM(AZ231,BA231,BB231)</f>
        <v>22123</v>
      </c>
      <c r="BD231" s="827">
        <v>91824</v>
      </c>
      <c r="BE231" s="763">
        <v>19390</v>
      </c>
      <c r="BF231" s="763">
        <v>20255</v>
      </c>
      <c r="BG231" s="763">
        <v>22749</v>
      </c>
      <c r="BH231" s="22">
        <f>BI231-SUM(BE231,BF231,BG231)</f>
        <v>21173</v>
      </c>
      <c r="BI231" s="827">
        <v>83567</v>
      </c>
      <c r="BJ231" s="763">
        <v>20240</v>
      </c>
      <c r="BK231" s="763">
        <v>21482</v>
      </c>
      <c r="BL231" s="763">
        <v>20167</v>
      </c>
      <c r="BM231" s="22">
        <f>BN231-SUM(BJ231,BK231,BL231)</f>
        <v>18528</v>
      </c>
      <c r="BN231" s="827">
        <v>80417</v>
      </c>
      <c r="BO231" s="763">
        <v>18705</v>
      </c>
      <c r="BP231" s="763">
        <v>18708</v>
      </c>
      <c r="BQ231" s="763">
        <v>18234</v>
      </c>
      <c r="BR231" s="22">
        <f>BS231-SUM(BO231,BP231,BQ231)</f>
        <v>16838</v>
      </c>
      <c r="BS231" s="827">
        <v>72485</v>
      </c>
      <c r="BT231" s="764">
        <v>18801</v>
      </c>
      <c r="BU231" s="37">
        <f>BU183*BU238</f>
        <v>19849.829999999998</v>
      </c>
      <c r="BV231" s="37">
        <f>BV183*BV238</f>
        <v>20067.96</v>
      </c>
      <c r="BW231" s="37">
        <f>BW183*BW238</f>
        <v>20067.96</v>
      </c>
      <c r="BX231" s="821">
        <f>SUM(BT231,BU231,BV231,BW231)</f>
        <v>78786.75</v>
      </c>
      <c r="BY231" s="37">
        <f>BY183*BY238</f>
        <v>19631.7</v>
      </c>
      <c r="BZ231" s="37">
        <f>BZ183*BZ238</f>
        <v>19849.829999999998</v>
      </c>
      <c r="CA231" s="37">
        <f>CA183*CA238</f>
        <v>20067.96</v>
      </c>
      <c r="CB231" s="37">
        <f>CB183*CB238</f>
        <v>20067.96</v>
      </c>
      <c r="CC231" s="821">
        <f>SUM(BY231,BZ231,CA231,CB231)</f>
        <v>79617.45</v>
      </c>
      <c r="CD231" s="821">
        <f>CD183*CD238</f>
        <v>75762</v>
      </c>
      <c r="CE231" s="821">
        <f>CE183*CE238</f>
        <v>75555</v>
      </c>
      <c r="CF231" s="821">
        <f>CF183*CF238</f>
        <v>75555</v>
      </c>
      <c r="CG231" s="22"/>
    </row>
    <row r="232" spans="1:85" s="428" customFormat="1" hidden="1" outlineLevel="1" x14ac:dyDescent="0.3">
      <c r="A232" s="43" t="s">
        <v>121</v>
      </c>
      <c r="B232" s="64"/>
      <c r="C232" s="827">
        <v>81468</v>
      </c>
      <c r="D232" s="827">
        <v>95122</v>
      </c>
      <c r="E232" s="827">
        <v>123221</v>
      </c>
      <c r="F232" s="827">
        <v>116705</v>
      </c>
      <c r="G232" s="763">
        <v>27178</v>
      </c>
      <c r="H232" s="763">
        <v>27222</v>
      </c>
      <c r="I232" s="763">
        <v>28015</v>
      </c>
      <c r="J232" s="763">
        <v>27516</v>
      </c>
      <c r="K232" s="827">
        <v>109931</v>
      </c>
      <c r="L232" s="763">
        <v>23804</v>
      </c>
      <c r="M232" s="763">
        <v>28599</v>
      </c>
      <c r="N232" s="763">
        <v>26071</v>
      </c>
      <c r="O232" s="763">
        <v>20766</v>
      </c>
      <c r="P232" s="827">
        <v>99240</v>
      </c>
      <c r="Q232" s="763">
        <v>14864</v>
      </c>
      <c r="R232" s="763">
        <v>16978</v>
      </c>
      <c r="S232" s="763">
        <v>14484</v>
      </c>
      <c r="T232" s="763">
        <v>12431</v>
      </c>
      <c r="U232" s="827">
        <v>58757</v>
      </c>
      <c r="V232" s="763">
        <v>10308</v>
      </c>
      <c r="W232" s="763">
        <v>12539</v>
      </c>
      <c r="X232" s="763">
        <v>13415</v>
      </c>
      <c r="Y232" s="37">
        <f>Z232-SUM(V232,W232,X232)</f>
        <v>13764</v>
      </c>
      <c r="Z232" s="827">
        <v>50026</v>
      </c>
      <c r="AA232" s="763">
        <v>14513</v>
      </c>
      <c r="AB232" s="763">
        <v>14701</v>
      </c>
      <c r="AC232" s="763">
        <v>15298</v>
      </c>
      <c r="AD232" s="37">
        <f>AE232-SUM(AA232,AB232,AC232)</f>
        <v>16883</v>
      </c>
      <c r="AE232" s="827">
        <v>61395</v>
      </c>
      <c r="AF232" s="763">
        <v>15935</v>
      </c>
      <c r="AG232" s="763">
        <v>18068</v>
      </c>
      <c r="AH232" s="763">
        <v>18568</v>
      </c>
      <c r="AI232" s="37">
        <f>AJ232-SUM(AF232,AG232,AH232)</f>
        <v>17524</v>
      </c>
      <c r="AJ232" s="827">
        <v>70095</v>
      </c>
      <c r="AK232" s="763">
        <v>14507</v>
      </c>
      <c r="AL232" s="763">
        <v>14701</v>
      </c>
      <c r="AM232" s="763">
        <v>14230</v>
      </c>
      <c r="AN232" s="37">
        <f>AO232-SUM(AK232,AL232,AM232)</f>
        <v>14216</v>
      </c>
      <c r="AO232" s="827">
        <v>57654</v>
      </c>
      <c r="AP232" s="763">
        <v>12173</v>
      </c>
      <c r="AQ232" s="763">
        <v>6519</v>
      </c>
      <c r="AR232" s="763">
        <v>10649</v>
      </c>
      <c r="AS232" s="37">
        <f>AT232-SUM(AP232,AQ232,AR232)</f>
        <v>9595</v>
      </c>
      <c r="AT232" s="827">
        <v>38936</v>
      </c>
      <c r="AU232" s="763">
        <v>11582</v>
      </c>
      <c r="AV232" s="763">
        <v>13605</v>
      </c>
      <c r="AW232" s="763">
        <v>15496</v>
      </c>
      <c r="AX232" s="37">
        <f>AY232-SUM(AU232,AV232,AW232)</f>
        <v>17415</v>
      </c>
      <c r="AY232" s="827">
        <v>58098</v>
      </c>
      <c r="AZ232" s="763">
        <v>19607</v>
      </c>
      <c r="BA232" s="763">
        <v>25443</v>
      </c>
      <c r="BB232" s="763">
        <v>22666</v>
      </c>
      <c r="BC232" s="37">
        <f>BD232-SUM(AZ232,BA232,BB232)</f>
        <v>20025</v>
      </c>
      <c r="BD232" s="827">
        <v>87741</v>
      </c>
      <c r="BE232" s="763">
        <v>19105</v>
      </c>
      <c r="BF232" s="763">
        <v>19366</v>
      </c>
      <c r="BG232" s="763">
        <v>21028</v>
      </c>
      <c r="BH232" s="22">
        <f>BI232-SUM(BE232,BF232,BG232)</f>
        <v>18559</v>
      </c>
      <c r="BI232" s="827">
        <v>78058</v>
      </c>
      <c r="BJ232" s="763">
        <v>18091</v>
      </c>
      <c r="BK232" s="763">
        <v>20631</v>
      </c>
      <c r="BL232" s="763">
        <v>19488</v>
      </c>
      <c r="BM232" s="22">
        <f>BN232-SUM(BJ232,BK232,BL232)</f>
        <v>19220</v>
      </c>
      <c r="BN232" s="827">
        <v>77430</v>
      </c>
      <c r="BO232" s="763">
        <v>17266</v>
      </c>
      <c r="BP232" s="763">
        <v>18274</v>
      </c>
      <c r="BQ232" s="763">
        <v>17483</v>
      </c>
      <c r="BR232" s="22">
        <f>BS232-SUM(BO232,BP232,BQ232)</f>
        <v>16902</v>
      </c>
      <c r="BS232" s="827">
        <v>69925</v>
      </c>
      <c r="BT232" s="764">
        <v>18493</v>
      </c>
      <c r="BU232" s="37">
        <f>BU201*BU239</f>
        <v>21099.487499999999</v>
      </c>
      <c r="BV232" s="37">
        <f>BV201*BV239</f>
        <v>19468.350000000002</v>
      </c>
      <c r="BW232" s="37">
        <f>BW201*BW239</f>
        <v>19033.650000000001</v>
      </c>
      <c r="BX232" s="821">
        <f>SUM(BT232,BU232,BV232,BW232)</f>
        <v>78094.487500000017</v>
      </c>
      <c r="BY232" s="37">
        <f>BY201*BY239</f>
        <v>19956.375</v>
      </c>
      <c r="BZ232" s="37">
        <f>BZ201*BZ239</f>
        <v>21099.487499999999</v>
      </c>
      <c r="CA232" s="37">
        <f>CA201*CA239</f>
        <v>21455.55</v>
      </c>
      <c r="CB232" s="37">
        <f>CB201*CB239</f>
        <v>20648.25</v>
      </c>
      <c r="CC232" s="821">
        <f>SUM(BY232,BZ232,CA232,CB232)</f>
        <v>83159.662500000006</v>
      </c>
      <c r="CD232" s="821">
        <f>CD201*CD239</f>
        <v>70422.974999999991</v>
      </c>
      <c r="CE232" s="821">
        <f>CE201*CE239</f>
        <v>70230.5625</v>
      </c>
      <c r="CF232" s="821">
        <f>CF201*CF239</f>
        <v>70230.5625</v>
      </c>
      <c r="CG232" s="22"/>
    </row>
    <row r="233" spans="1:85" s="429" customFormat="1" hidden="1" outlineLevel="1" x14ac:dyDescent="0.3">
      <c r="A233" s="42" t="s">
        <v>122</v>
      </c>
      <c r="B233" s="90"/>
      <c r="C233" s="823">
        <f t="shared" ref="C233:AH233" si="512">SUM(C231:C232)</f>
        <v>144195</v>
      </c>
      <c r="D233" s="823">
        <f t="shared" si="512"/>
        <v>170157</v>
      </c>
      <c r="E233" s="823">
        <f t="shared" si="512"/>
        <v>214299</v>
      </c>
      <c r="F233" s="823">
        <f t="shared" si="512"/>
        <v>204462</v>
      </c>
      <c r="G233" s="393">
        <f t="shared" si="512"/>
        <v>47608</v>
      </c>
      <c r="H233" s="393">
        <f t="shared" si="512"/>
        <v>48777</v>
      </c>
      <c r="I233" s="393">
        <f t="shared" si="512"/>
        <v>50440</v>
      </c>
      <c r="J233" s="393">
        <f t="shared" si="512"/>
        <v>48209</v>
      </c>
      <c r="K233" s="823">
        <f t="shared" si="512"/>
        <v>195034</v>
      </c>
      <c r="L233" s="393">
        <f t="shared" si="512"/>
        <v>44022</v>
      </c>
      <c r="M233" s="393">
        <f t="shared" si="512"/>
        <v>49801</v>
      </c>
      <c r="N233" s="393">
        <f t="shared" si="512"/>
        <v>46694</v>
      </c>
      <c r="O233" s="393">
        <f t="shared" si="512"/>
        <v>37329</v>
      </c>
      <c r="P233" s="823">
        <f t="shared" si="512"/>
        <v>177846</v>
      </c>
      <c r="Q233" s="393">
        <f t="shared" si="512"/>
        <v>27298</v>
      </c>
      <c r="R233" s="393">
        <f t="shared" si="512"/>
        <v>32085</v>
      </c>
      <c r="S233" s="393">
        <f t="shared" si="512"/>
        <v>28279</v>
      </c>
      <c r="T233" s="393">
        <f t="shared" si="512"/>
        <v>23967</v>
      </c>
      <c r="U233" s="823">
        <f t="shared" si="512"/>
        <v>111629</v>
      </c>
      <c r="V233" s="393">
        <f t="shared" si="512"/>
        <v>19475</v>
      </c>
      <c r="W233" s="393">
        <f t="shared" si="512"/>
        <v>24255</v>
      </c>
      <c r="X233" s="393">
        <f t="shared" si="512"/>
        <v>25373</v>
      </c>
      <c r="Y233" s="393">
        <f t="shared" si="512"/>
        <v>25640</v>
      </c>
      <c r="Z233" s="823">
        <f t="shared" si="512"/>
        <v>94743</v>
      </c>
      <c r="AA233" s="393">
        <f t="shared" si="512"/>
        <v>26945</v>
      </c>
      <c r="AB233" s="393">
        <f t="shared" si="512"/>
        <v>28023</v>
      </c>
      <c r="AC233" s="393">
        <f t="shared" si="512"/>
        <v>28750</v>
      </c>
      <c r="AD233" s="393">
        <f t="shared" si="512"/>
        <v>30817</v>
      </c>
      <c r="AE233" s="823">
        <f t="shared" si="512"/>
        <v>114535</v>
      </c>
      <c r="AF233" s="393">
        <f t="shared" si="512"/>
        <v>28977</v>
      </c>
      <c r="AG233" s="393">
        <f t="shared" si="512"/>
        <v>33758</v>
      </c>
      <c r="AH233" s="393">
        <f t="shared" si="512"/>
        <v>34973</v>
      </c>
      <c r="AI233" s="393">
        <f t="shared" ref="AI233:AQ233" si="513">SUM(AI231:AI232)</f>
        <v>31763</v>
      </c>
      <c r="AJ233" s="823">
        <f t="shared" si="513"/>
        <v>129471</v>
      </c>
      <c r="AK233" s="393">
        <f t="shared" si="513"/>
        <v>26895</v>
      </c>
      <c r="AL233" s="393">
        <f t="shared" si="513"/>
        <v>29556</v>
      </c>
      <c r="AM233" s="393">
        <f t="shared" si="513"/>
        <v>28454</v>
      </c>
      <c r="AN233" s="393">
        <f t="shared" si="513"/>
        <v>28020</v>
      </c>
      <c r="AO233" s="823">
        <f t="shared" si="513"/>
        <v>112925</v>
      </c>
      <c r="AP233" s="393">
        <f t="shared" si="513"/>
        <v>23359</v>
      </c>
      <c r="AQ233" s="393">
        <f t="shared" si="513"/>
        <v>11754</v>
      </c>
      <c r="AR233" s="393">
        <f>SUM(AR231:AR232)</f>
        <v>18796</v>
      </c>
      <c r="AS233" s="393">
        <f>SUM(AS231:AS232)</f>
        <v>17616</v>
      </c>
      <c r="AT233" s="823">
        <f t="shared" ref="AT233:AU233" si="514">SUM(AT231:AT232)</f>
        <v>71525</v>
      </c>
      <c r="AU233" s="393">
        <f t="shared" si="514"/>
        <v>22436</v>
      </c>
      <c r="AV233" s="393">
        <f t="shared" ref="AV233:BA233" si="515">SUM(AV231:AV232)</f>
        <v>27516</v>
      </c>
      <c r="AW233" s="393">
        <f t="shared" si="515"/>
        <v>31480</v>
      </c>
      <c r="AX233" s="393">
        <f t="shared" si="515"/>
        <v>33875</v>
      </c>
      <c r="AY233" s="823">
        <f t="shared" si="515"/>
        <v>115307</v>
      </c>
      <c r="AZ233" s="393">
        <f t="shared" si="515"/>
        <v>39378</v>
      </c>
      <c r="BA233" s="393">
        <f t="shared" si="515"/>
        <v>51310</v>
      </c>
      <c r="BB233" s="393">
        <f t="shared" ref="BB233:BD233" si="516">SUM(BB231:BB232)</f>
        <v>46729</v>
      </c>
      <c r="BC233" s="393">
        <f t="shared" si="516"/>
        <v>42148</v>
      </c>
      <c r="BD233" s="823">
        <f t="shared" si="516"/>
        <v>179565</v>
      </c>
      <c r="BE233" s="393">
        <f t="shared" ref="BE233:BI233" si="517">SUM(BE231:BE232)</f>
        <v>38495</v>
      </c>
      <c r="BF233" s="394">
        <f t="shared" si="517"/>
        <v>39621</v>
      </c>
      <c r="BG233" s="394">
        <f t="shared" si="517"/>
        <v>43777</v>
      </c>
      <c r="BH233" s="394">
        <f t="shared" si="517"/>
        <v>39732</v>
      </c>
      <c r="BI233" s="824">
        <f t="shared" si="517"/>
        <v>161625</v>
      </c>
      <c r="BJ233" s="394">
        <f t="shared" ref="BJ233:BX233" si="518">SUM(BJ231:BJ232)</f>
        <v>38331</v>
      </c>
      <c r="BK233" s="394">
        <f t="shared" si="518"/>
        <v>42113</v>
      </c>
      <c r="BL233" s="394">
        <f t="shared" si="518"/>
        <v>39655</v>
      </c>
      <c r="BM233" s="394">
        <f t="shared" si="518"/>
        <v>37748</v>
      </c>
      <c r="BN233" s="824">
        <f t="shared" si="518"/>
        <v>157847</v>
      </c>
      <c r="BO233" s="394">
        <f t="shared" ref="BO233:BW233" si="519">SUM(BO231:BO232)</f>
        <v>35971</v>
      </c>
      <c r="BP233" s="394">
        <f t="shared" si="519"/>
        <v>36982</v>
      </c>
      <c r="BQ233" s="394">
        <f t="shared" si="519"/>
        <v>35717</v>
      </c>
      <c r="BR233" s="394">
        <f t="shared" si="519"/>
        <v>33740</v>
      </c>
      <c r="BS233" s="824">
        <f t="shared" si="519"/>
        <v>142410</v>
      </c>
      <c r="BT233" s="640">
        <f>SUM(BT231:BT232)</f>
        <v>37294</v>
      </c>
      <c r="BU233" s="393">
        <f t="shared" si="519"/>
        <v>40949.317499999997</v>
      </c>
      <c r="BV233" s="393">
        <f t="shared" si="519"/>
        <v>39536.31</v>
      </c>
      <c r="BW233" s="393">
        <f t="shared" si="519"/>
        <v>39101.61</v>
      </c>
      <c r="BX233" s="823">
        <f t="shared" si="518"/>
        <v>156881.23750000002</v>
      </c>
      <c r="BY233" s="393">
        <f t="shared" ref="BY233:CF233" si="520">SUM(BY231:BY232)</f>
        <v>39588.074999999997</v>
      </c>
      <c r="BZ233" s="393">
        <f t="shared" si="520"/>
        <v>40949.317499999997</v>
      </c>
      <c r="CA233" s="393">
        <f t="shared" si="520"/>
        <v>41523.509999999995</v>
      </c>
      <c r="CB233" s="393">
        <f t="shared" si="520"/>
        <v>40716.21</v>
      </c>
      <c r="CC233" s="823">
        <f t="shared" si="520"/>
        <v>162777.11249999999</v>
      </c>
      <c r="CD233" s="823">
        <f t="shared" si="520"/>
        <v>146184.97499999998</v>
      </c>
      <c r="CE233" s="823">
        <f t="shared" si="520"/>
        <v>145785.5625</v>
      </c>
      <c r="CF233" s="823">
        <f t="shared" si="520"/>
        <v>145785.5625</v>
      </c>
      <c r="CG233" s="26"/>
    </row>
    <row r="234" spans="1:85" s="428" customFormat="1" hidden="1" outlineLevel="1" x14ac:dyDescent="0.3">
      <c r="A234" s="43" t="s">
        <v>79</v>
      </c>
      <c r="B234" s="64"/>
      <c r="C234" s="827">
        <v>-98</v>
      </c>
      <c r="D234" s="827">
        <v>-115</v>
      </c>
      <c r="E234" s="827">
        <v>-86</v>
      </c>
      <c r="F234" s="827">
        <v>-49</v>
      </c>
      <c r="G234" s="763">
        <v>-11</v>
      </c>
      <c r="H234" s="763">
        <v>-11</v>
      </c>
      <c r="I234" s="763">
        <v>-10</v>
      </c>
      <c r="J234" s="763">
        <v>-7</v>
      </c>
      <c r="K234" s="827">
        <v>-39</v>
      </c>
      <c r="L234" s="763">
        <v>-5</v>
      </c>
      <c r="M234" s="763">
        <v>-7</v>
      </c>
      <c r="N234" s="763">
        <v>-6</v>
      </c>
      <c r="O234" s="763">
        <v>-13</v>
      </c>
      <c r="P234" s="827">
        <v>-31</v>
      </c>
      <c r="Q234" s="763">
        <v>-6</v>
      </c>
      <c r="R234" s="763">
        <v>-8</v>
      </c>
      <c r="S234" s="763">
        <v>-6</v>
      </c>
      <c r="T234" s="763">
        <v>-6</v>
      </c>
      <c r="U234" s="827">
        <v>-26</v>
      </c>
      <c r="V234" s="763">
        <v>-4</v>
      </c>
      <c r="W234" s="763">
        <v>-4</v>
      </c>
      <c r="X234" s="763">
        <v>-4</v>
      </c>
      <c r="Y234" s="37">
        <f>Z234-SUM(V234,W234,X234)</f>
        <v>-4</v>
      </c>
      <c r="Z234" s="827">
        <v>-16</v>
      </c>
      <c r="AA234" s="763">
        <v>-3</v>
      </c>
      <c r="AB234" s="763">
        <v>-3</v>
      </c>
      <c r="AC234" s="763">
        <v>-5</v>
      </c>
      <c r="AD234" s="37">
        <f>AE234-SUM(AA234,AB234,AC234)</f>
        <v>-3</v>
      </c>
      <c r="AE234" s="827">
        <v>-14</v>
      </c>
      <c r="AF234" s="763">
        <v>-3</v>
      </c>
      <c r="AG234" s="763">
        <v>-441</v>
      </c>
      <c r="AH234" s="763">
        <v>-1360</v>
      </c>
      <c r="AI234" s="37">
        <f>AJ234-SUM(AF234,AG234,AH234)</f>
        <v>-938</v>
      </c>
      <c r="AJ234" s="827">
        <v>-2742</v>
      </c>
      <c r="AK234" s="763">
        <v>-947</v>
      </c>
      <c r="AL234" s="763">
        <v>-1042</v>
      </c>
      <c r="AM234" s="763">
        <v>-1017</v>
      </c>
      <c r="AN234" s="37">
        <f>AO234-SUM(AK234,AL234,AM234)</f>
        <v>-918</v>
      </c>
      <c r="AO234" s="827">
        <v>-3924</v>
      </c>
      <c r="AP234" s="763">
        <v>-1260</v>
      </c>
      <c r="AQ234" s="763">
        <v>-332</v>
      </c>
      <c r="AR234" s="763">
        <v>-307</v>
      </c>
      <c r="AS234" s="37">
        <f>AT234-SUM(AP234,AQ234,AR234)</f>
        <v>-251</v>
      </c>
      <c r="AT234" s="827">
        <v>-2150</v>
      </c>
      <c r="AU234" s="763">
        <v>-466</v>
      </c>
      <c r="AV234" s="763">
        <v>-500</v>
      </c>
      <c r="AW234" s="763">
        <v>-558</v>
      </c>
      <c r="AX234" s="37">
        <f>AY234-SUM(AU234,AV234,AW234)</f>
        <v>-772</v>
      </c>
      <c r="AY234" s="827">
        <v>-2296</v>
      </c>
      <c r="AZ234" s="763">
        <v>-999</v>
      </c>
      <c r="BA234" s="763">
        <v>-1343</v>
      </c>
      <c r="BB234" s="763">
        <v>-1051</v>
      </c>
      <c r="BC234" s="37">
        <f>BD234-SUM(AZ234,BA234,BB234)</f>
        <v>-2136</v>
      </c>
      <c r="BD234" s="827">
        <v>-5529</v>
      </c>
      <c r="BE234" s="763">
        <v>-1565</v>
      </c>
      <c r="BF234" s="763">
        <v>-2086</v>
      </c>
      <c r="BG234" s="763">
        <v>-2278</v>
      </c>
      <c r="BH234" s="22">
        <f>BI234-SUM(BE234,BF234,BG234)</f>
        <v>-2864</v>
      </c>
      <c r="BI234" s="827">
        <v>-8793</v>
      </c>
      <c r="BJ234" s="763">
        <v>-2707</v>
      </c>
      <c r="BK234" s="763">
        <v>-2586</v>
      </c>
      <c r="BL234" s="763">
        <v>-2432</v>
      </c>
      <c r="BM234" s="22">
        <f>BN234-SUM(BJ234,BK234,BL234)</f>
        <v>-2020</v>
      </c>
      <c r="BN234" s="827">
        <v>-9745</v>
      </c>
      <c r="BO234" s="763">
        <v>-1888</v>
      </c>
      <c r="BP234" s="763">
        <v>-1901</v>
      </c>
      <c r="BQ234" s="763">
        <v>-1647</v>
      </c>
      <c r="BR234" s="22">
        <f>BS234-SUM(BO234,BP234,BQ234)</f>
        <v>-1718</v>
      </c>
      <c r="BS234" s="827">
        <v>-7154</v>
      </c>
      <c r="BT234" s="764">
        <v>-2388</v>
      </c>
      <c r="BU234" s="763">
        <v>-2500</v>
      </c>
      <c r="BV234" s="763">
        <v>-2500</v>
      </c>
      <c r="BW234" s="763">
        <v>-2500</v>
      </c>
      <c r="BX234" s="821">
        <f>SUM(BT234,BU234,BV234,BW234)</f>
        <v>-9888</v>
      </c>
      <c r="BY234" s="763">
        <v>-2500</v>
      </c>
      <c r="BZ234" s="763">
        <v>-2500</v>
      </c>
      <c r="CA234" s="763">
        <v>-2500</v>
      </c>
      <c r="CB234" s="763">
        <v>-2500</v>
      </c>
      <c r="CC234" s="821">
        <f>SUM(BY234,BZ234,CA234,CB234)</f>
        <v>-10000</v>
      </c>
      <c r="CD234" s="827">
        <v>-3600</v>
      </c>
      <c r="CE234" s="827">
        <v>-3600</v>
      </c>
      <c r="CF234" s="827">
        <v>-3600</v>
      </c>
      <c r="CG234" s="22"/>
    </row>
    <row r="235" spans="1:85" s="428" customFormat="1" hidden="1" outlineLevel="1" x14ac:dyDescent="0.3">
      <c r="A235" s="43" t="s">
        <v>80</v>
      </c>
      <c r="B235" s="64"/>
      <c r="C235" s="827">
        <v>-87</v>
      </c>
      <c r="D235" s="827">
        <v>-93</v>
      </c>
      <c r="E235" s="827">
        <v>-81</v>
      </c>
      <c r="F235" s="827">
        <v>-80</v>
      </c>
      <c r="G235" s="763">
        <v>-16</v>
      </c>
      <c r="H235" s="763">
        <v>-26</v>
      </c>
      <c r="I235" s="763">
        <v>-197</v>
      </c>
      <c r="J235" s="763">
        <v>-620</v>
      </c>
      <c r="K235" s="827">
        <v>-859</v>
      </c>
      <c r="L235" s="763">
        <v>-2045</v>
      </c>
      <c r="M235" s="763">
        <v>-2849</v>
      </c>
      <c r="N235" s="763">
        <v>-2252</v>
      </c>
      <c r="O235" s="763">
        <v>-1693</v>
      </c>
      <c r="P235" s="827">
        <v>-8839</v>
      </c>
      <c r="Q235" s="763">
        <v>-474</v>
      </c>
      <c r="R235" s="763">
        <v>-388</v>
      </c>
      <c r="S235" s="763">
        <v>-360</v>
      </c>
      <c r="T235" s="763">
        <v>-306</v>
      </c>
      <c r="U235" s="827">
        <v>-1528</v>
      </c>
      <c r="V235" s="763">
        <v>-263</v>
      </c>
      <c r="W235" s="763">
        <v>-196</v>
      </c>
      <c r="X235" s="763">
        <v>-303</v>
      </c>
      <c r="Y235" s="37">
        <f>Z235-SUM(V235,W235,X235)</f>
        <v>-306</v>
      </c>
      <c r="Z235" s="827">
        <v>-1068</v>
      </c>
      <c r="AA235" s="763">
        <v>-330</v>
      </c>
      <c r="AB235" s="763">
        <v>-272</v>
      </c>
      <c r="AC235" s="763">
        <v>-216</v>
      </c>
      <c r="AD235" s="37">
        <f>AE235-SUM(AA235,AB235,AC235)</f>
        <v>-348</v>
      </c>
      <c r="AE235" s="827">
        <v>-1166</v>
      </c>
      <c r="AF235" s="763">
        <v>-328</v>
      </c>
      <c r="AG235" s="763">
        <v>-202</v>
      </c>
      <c r="AH235" s="763">
        <v>-339</v>
      </c>
      <c r="AI235" s="37">
        <f>AJ235-SUM(AF235,AG235,AH235)</f>
        <v>-263</v>
      </c>
      <c r="AJ235" s="827">
        <v>-1132</v>
      </c>
      <c r="AK235" s="763">
        <v>-265</v>
      </c>
      <c r="AL235" s="763">
        <v>-186</v>
      </c>
      <c r="AM235" s="763">
        <v>-227</v>
      </c>
      <c r="AN235" s="37">
        <f>AO235-SUM(AK235,AL235,AM235)</f>
        <v>-411</v>
      </c>
      <c r="AO235" s="827">
        <v>-1089</v>
      </c>
      <c r="AP235" s="763">
        <v>-585</v>
      </c>
      <c r="AQ235" s="763">
        <v>-186</v>
      </c>
      <c r="AR235" s="763">
        <v>-230</v>
      </c>
      <c r="AS235" s="37">
        <f>AT235-SUM(AP235,AQ235,AR235)</f>
        <v>-291</v>
      </c>
      <c r="AT235" s="827">
        <v>-1292</v>
      </c>
      <c r="AU235" s="763">
        <v>-269</v>
      </c>
      <c r="AV235" s="763">
        <v>-457</v>
      </c>
      <c r="AW235" s="763">
        <v>-384</v>
      </c>
      <c r="AX235" s="37">
        <f>AY235-SUM(AU235,AV235,AW235)</f>
        <v>-411</v>
      </c>
      <c r="AY235" s="827">
        <v>-1521</v>
      </c>
      <c r="AZ235" s="763">
        <v>-331</v>
      </c>
      <c r="BA235" s="763">
        <v>-482</v>
      </c>
      <c r="BB235" s="763">
        <v>-431</v>
      </c>
      <c r="BC235" s="37">
        <f>BD235-SUM(AZ235,BA235,BB235)</f>
        <v>-484</v>
      </c>
      <c r="BD235" s="827">
        <v>-1728</v>
      </c>
      <c r="BE235" s="763">
        <v>-429</v>
      </c>
      <c r="BF235" s="763">
        <v>-500</v>
      </c>
      <c r="BG235" s="763">
        <v>-467</v>
      </c>
      <c r="BH235" s="22">
        <f>BI235-SUM(BE235,BF235,BG235)</f>
        <v>-398</v>
      </c>
      <c r="BI235" s="828">
        <v>-1794</v>
      </c>
      <c r="BJ235" s="763">
        <v>-507</v>
      </c>
      <c r="BK235" s="763">
        <v>-532</v>
      </c>
      <c r="BL235" s="763">
        <v>-207</v>
      </c>
      <c r="BM235" s="22">
        <f>BN235-SUM(BJ235,BK235,BL235)</f>
        <v>-422</v>
      </c>
      <c r="BN235" s="828">
        <v>-1668</v>
      </c>
      <c r="BO235" s="763">
        <v>-422</v>
      </c>
      <c r="BP235" s="763">
        <v>-1804</v>
      </c>
      <c r="BQ235" s="763">
        <v>-1090</v>
      </c>
      <c r="BR235" s="22">
        <f>BS235-SUM(BO235,BP235,BQ235)</f>
        <v>-1064</v>
      </c>
      <c r="BS235" s="828">
        <v>-4380</v>
      </c>
      <c r="BT235" s="764">
        <v>-543</v>
      </c>
      <c r="BU235" s="763">
        <v>-500</v>
      </c>
      <c r="BV235" s="763">
        <v>-500</v>
      </c>
      <c r="BW235" s="763">
        <v>-500</v>
      </c>
      <c r="BX235" s="821">
        <f>SUM(BT235,BU235,BV235,BW235)</f>
        <v>-2043</v>
      </c>
      <c r="BY235" s="763">
        <v>-500</v>
      </c>
      <c r="BZ235" s="763">
        <v>-500</v>
      </c>
      <c r="CA235" s="763">
        <v>-500</v>
      </c>
      <c r="CB235" s="763">
        <v>-500</v>
      </c>
      <c r="CC235" s="821">
        <f>SUM(BY235,BZ235,CA235,CB235)</f>
        <v>-2000</v>
      </c>
      <c r="CD235" s="827">
        <v>-1200</v>
      </c>
      <c r="CE235" s="827">
        <v>-1200</v>
      </c>
      <c r="CF235" s="827">
        <v>-1200</v>
      </c>
      <c r="CG235" s="22"/>
    </row>
    <row r="236" spans="1:85" s="429" customFormat="1" hidden="1" outlineLevel="1" x14ac:dyDescent="0.3">
      <c r="A236" s="42" t="s">
        <v>123</v>
      </c>
      <c r="B236" s="90"/>
      <c r="C236" s="823">
        <f t="shared" ref="C236:AH236" si="521">SUM(C233:C235)</f>
        <v>144010</v>
      </c>
      <c r="D236" s="823">
        <f t="shared" si="521"/>
        <v>169949</v>
      </c>
      <c r="E236" s="823">
        <f t="shared" si="521"/>
        <v>214132</v>
      </c>
      <c r="F236" s="823">
        <f t="shared" si="521"/>
        <v>204333</v>
      </c>
      <c r="G236" s="393">
        <f t="shared" si="521"/>
        <v>47581</v>
      </c>
      <c r="H236" s="393">
        <f t="shared" si="521"/>
        <v>48740</v>
      </c>
      <c r="I236" s="393">
        <f t="shared" si="521"/>
        <v>50233</v>
      </c>
      <c r="J236" s="393">
        <f t="shared" si="521"/>
        <v>47582</v>
      </c>
      <c r="K236" s="823">
        <f t="shared" si="521"/>
        <v>194136</v>
      </c>
      <c r="L236" s="393">
        <f t="shared" si="521"/>
        <v>41972</v>
      </c>
      <c r="M236" s="393">
        <f t="shared" si="521"/>
        <v>46945</v>
      </c>
      <c r="N236" s="393">
        <f t="shared" si="521"/>
        <v>44436</v>
      </c>
      <c r="O236" s="393">
        <f t="shared" si="521"/>
        <v>35623</v>
      </c>
      <c r="P236" s="823">
        <f t="shared" si="521"/>
        <v>168976</v>
      </c>
      <c r="Q236" s="393">
        <f t="shared" si="521"/>
        <v>26818</v>
      </c>
      <c r="R236" s="393">
        <f t="shared" si="521"/>
        <v>31689</v>
      </c>
      <c r="S236" s="393">
        <f t="shared" si="521"/>
        <v>27913</v>
      </c>
      <c r="T236" s="393">
        <f t="shared" si="521"/>
        <v>23655</v>
      </c>
      <c r="U236" s="823">
        <f t="shared" si="521"/>
        <v>110075</v>
      </c>
      <c r="V236" s="393">
        <f t="shared" si="521"/>
        <v>19208</v>
      </c>
      <c r="W236" s="393">
        <f t="shared" si="521"/>
        <v>24055</v>
      </c>
      <c r="X236" s="393">
        <f t="shared" si="521"/>
        <v>25066</v>
      </c>
      <c r="Y236" s="393">
        <f t="shared" si="521"/>
        <v>25330</v>
      </c>
      <c r="Z236" s="823">
        <f t="shared" si="521"/>
        <v>93659</v>
      </c>
      <c r="AA236" s="393">
        <f t="shared" si="521"/>
        <v>26612</v>
      </c>
      <c r="AB236" s="393">
        <f t="shared" si="521"/>
        <v>27748</v>
      </c>
      <c r="AC236" s="393">
        <f t="shared" si="521"/>
        <v>28529</v>
      </c>
      <c r="AD236" s="393">
        <f t="shared" si="521"/>
        <v>30466</v>
      </c>
      <c r="AE236" s="823">
        <f t="shared" si="521"/>
        <v>113355</v>
      </c>
      <c r="AF236" s="393">
        <f t="shared" si="521"/>
        <v>28646</v>
      </c>
      <c r="AG236" s="393">
        <f t="shared" si="521"/>
        <v>33115</v>
      </c>
      <c r="AH236" s="393">
        <f t="shared" si="521"/>
        <v>33274</v>
      </c>
      <c r="AI236" s="393">
        <f t="shared" ref="AI236:AQ236" si="522">SUM(AI233:AI235)</f>
        <v>30562</v>
      </c>
      <c r="AJ236" s="823">
        <f t="shared" si="522"/>
        <v>125597</v>
      </c>
      <c r="AK236" s="393">
        <f t="shared" si="522"/>
        <v>25683</v>
      </c>
      <c r="AL236" s="393">
        <f t="shared" si="522"/>
        <v>28328</v>
      </c>
      <c r="AM236" s="393">
        <f t="shared" si="522"/>
        <v>27210</v>
      </c>
      <c r="AN236" s="393">
        <f t="shared" si="522"/>
        <v>26691</v>
      </c>
      <c r="AO236" s="823">
        <f t="shared" si="522"/>
        <v>107912</v>
      </c>
      <c r="AP236" s="393">
        <f t="shared" si="522"/>
        <v>21514</v>
      </c>
      <c r="AQ236" s="393">
        <f t="shared" si="522"/>
        <v>11236</v>
      </c>
      <c r="AR236" s="393">
        <f>SUM(AR233:AR235)</f>
        <v>18259</v>
      </c>
      <c r="AS236" s="393">
        <f t="shared" ref="AS236" si="523">SUM(AS233:AS235)</f>
        <v>17074</v>
      </c>
      <c r="AT236" s="823">
        <f t="shared" ref="AT236:AU236" si="524">SUM(AT233:AT235)</f>
        <v>68083</v>
      </c>
      <c r="AU236" s="393">
        <f t="shared" si="524"/>
        <v>21701</v>
      </c>
      <c r="AV236" s="393">
        <f t="shared" ref="AV236:AZ236" si="525">SUM(AV233:AV235)</f>
        <v>26559</v>
      </c>
      <c r="AW236" s="393">
        <f t="shared" si="525"/>
        <v>30538</v>
      </c>
      <c r="AX236" s="393">
        <f t="shared" si="525"/>
        <v>32692</v>
      </c>
      <c r="AY236" s="823">
        <f t="shared" si="525"/>
        <v>111490</v>
      </c>
      <c r="AZ236" s="393">
        <f t="shared" si="525"/>
        <v>38048</v>
      </c>
      <c r="BA236" s="393">
        <f t="shared" ref="BA236:BD236" si="526">SUM(BA233:BA235)</f>
        <v>49485</v>
      </c>
      <c r="BB236" s="393">
        <f t="shared" si="526"/>
        <v>45247</v>
      </c>
      <c r="BC236" s="393">
        <f t="shared" si="526"/>
        <v>39528</v>
      </c>
      <c r="BD236" s="823">
        <f t="shared" si="526"/>
        <v>172308</v>
      </c>
      <c r="BE236" s="393">
        <f t="shared" ref="BE236:BI236" si="527">SUM(BE233:BE235)</f>
        <v>36501</v>
      </c>
      <c r="BF236" s="394">
        <f t="shared" si="527"/>
        <v>37035</v>
      </c>
      <c r="BG236" s="394">
        <f t="shared" si="527"/>
        <v>41032</v>
      </c>
      <c r="BH236" s="394">
        <f t="shared" si="527"/>
        <v>36470</v>
      </c>
      <c r="BI236" s="826">
        <f t="shared" si="527"/>
        <v>151038</v>
      </c>
      <c r="BJ236" s="393">
        <f t="shared" ref="BJ236:BX236" si="528">SUM(BJ233:BJ235)</f>
        <v>35117</v>
      </c>
      <c r="BK236" s="394">
        <f t="shared" si="528"/>
        <v>38995</v>
      </c>
      <c r="BL236" s="394">
        <f t="shared" si="528"/>
        <v>37016</v>
      </c>
      <c r="BM236" s="394">
        <f t="shared" si="528"/>
        <v>35306</v>
      </c>
      <c r="BN236" s="826">
        <f t="shared" si="528"/>
        <v>146434</v>
      </c>
      <c r="BO236" s="393">
        <f t="shared" ref="BO236:BW236" si="529">SUM(BO233:BO235)</f>
        <v>33661</v>
      </c>
      <c r="BP236" s="394">
        <f t="shared" si="529"/>
        <v>33277</v>
      </c>
      <c r="BQ236" s="394">
        <f t="shared" si="529"/>
        <v>32980</v>
      </c>
      <c r="BR236" s="394">
        <f t="shared" si="529"/>
        <v>30958</v>
      </c>
      <c r="BS236" s="826">
        <f t="shared" si="529"/>
        <v>130876</v>
      </c>
      <c r="BT236" s="641">
        <f>SUM(BT233:BT235)</f>
        <v>34363</v>
      </c>
      <c r="BU236" s="393">
        <f t="shared" si="529"/>
        <v>37949.317499999997</v>
      </c>
      <c r="BV236" s="393">
        <f t="shared" si="529"/>
        <v>36536.31</v>
      </c>
      <c r="BW236" s="393">
        <f t="shared" si="529"/>
        <v>36101.61</v>
      </c>
      <c r="BX236" s="823">
        <f t="shared" si="528"/>
        <v>144950.23750000002</v>
      </c>
      <c r="BY236" s="393">
        <f t="shared" ref="BY236:CF236" si="530">SUM(BY233:BY235)</f>
        <v>36588.074999999997</v>
      </c>
      <c r="BZ236" s="393">
        <f t="shared" si="530"/>
        <v>37949.317499999997</v>
      </c>
      <c r="CA236" s="393">
        <f t="shared" si="530"/>
        <v>38523.509999999995</v>
      </c>
      <c r="CB236" s="393">
        <f t="shared" si="530"/>
        <v>37716.21</v>
      </c>
      <c r="CC236" s="823">
        <f t="shared" si="530"/>
        <v>150777.11249999999</v>
      </c>
      <c r="CD236" s="823">
        <f t="shared" si="530"/>
        <v>141384.97499999998</v>
      </c>
      <c r="CE236" s="823">
        <f t="shared" si="530"/>
        <v>140985.5625</v>
      </c>
      <c r="CF236" s="823">
        <f t="shared" si="530"/>
        <v>140985.5625</v>
      </c>
      <c r="CG236" s="26"/>
    </row>
    <row r="237" spans="1:85" s="429" customFormat="1" hidden="1" outlineLevel="1" x14ac:dyDescent="0.3">
      <c r="A237" s="52"/>
      <c r="B237" s="63"/>
      <c r="C237" s="825"/>
      <c r="D237" s="825"/>
      <c r="E237" s="825"/>
      <c r="F237" s="825"/>
      <c r="G237" s="31"/>
      <c r="H237" s="31"/>
      <c r="I237" s="31"/>
      <c r="J237" s="31"/>
      <c r="K237" s="825"/>
      <c r="L237" s="31"/>
      <c r="M237" s="31"/>
      <c r="N237" s="31"/>
      <c r="O237" s="31"/>
      <c r="P237" s="825"/>
      <c r="Q237" s="31"/>
      <c r="R237" s="31"/>
      <c r="S237" s="31"/>
      <c r="T237" s="31"/>
      <c r="U237" s="825"/>
      <c r="V237" s="31"/>
      <c r="W237" s="31"/>
      <c r="X237" s="31"/>
      <c r="Y237" s="31"/>
      <c r="Z237" s="825"/>
      <c r="AA237" s="31"/>
      <c r="AB237" s="31"/>
      <c r="AC237" s="31"/>
      <c r="AD237" s="31"/>
      <c r="AE237" s="825"/>
      <c r="AF237" s="31"/>
      <c r="AG237" s="31"/>
      <c r="AH237" s="31"/>
      <c r="AI237" s="31"/>
      <c r="AJ237" s="825"/>
      <c r="AK237" s="31"/>
      <c r="AL237" s="31"/>
      <c r="AM237" s="31"/>
      <c r="AN237" s="31"/>
      <c r="AO237" s="825"/>
      <c r="AP237" s="31"/>
      <c r="AQ237" s="31"/>
      <c r="AR237" s="31"/>
      <c r="AS237" s="31"/>
      <c r="AT237" s="825"/>
      <c r="AU237" s="31"/>
      <c r="AV237" s="31"/>
      <c r="AW237" s="31"/>
      <c r="AX237" s="31"/>
      <c r="AY237" s="825"/>
      <c r="AZ237" s="31"/>
      <c r="BA237" s="31"/>
      <c r="BB237" s="31"/>
      <c r="BC237" s="31"/>
      <c r="BD237" s="825"/>
      <c r="BE237" s="31"/>
      <c r="BF237" s="31"/>
      <c r="BG237" s="31"/>
      <c r="BH237" s="31"/>
      <c r="BI237" s="825"/>
      <c r="BJ237" s="31"/>
      <c r="BK237" s="31"/>
      <c r="BL237" s="31"/>
      <c r="BM237" s="31"/>
      <c r="BN237" s="825"/>
      <c r="BO237" s="31"/>
      <c r="BP237" s="31"/>
      <c r="BQ237" s="31"/>
      <c r="BR237" s="31"/>
      <c r="BS237" s="825"/>
      <c r="BT237" s="379"/>
      <c r="BU237" s="31"/>
      <c r="BV237" s="31"/>
      <c r="BW237" s="31"/>
      <c r="BX237" s="825"/>
      <c r="BY237" s="31"/>
      <c r="BZ237" s="31"/>
      <c r="CA237" s="31"/>
      <c r="CB237" s="31"/>
      <c r="CC237" s="825"/>
      <c r="CD237" s="825"/>
      <c r="CE237" s="825"/>
      <c r="CF237" s="825"/>
      <c r="CG237" s="26"/>
    </row>
    <row r="238" spans="1:85" s="437" customFormat="1" hidden="1" outlineLevel="1" x14ac:dyDescent="0.3">
      <c r="A238" s="75" t="s">
        <v>124</v>
      </c>
      <c r="B238" s="76"/>
      <c r="C238" s="876">
        <f t="shared" ref="C238:AH238" si="531">C231/C183</f>
        <v>111.08907208826629</v>
      </c>
      <c r="D238" s="876">
        <f t="shared" si="531"/>
        <v>138.15547208719988</v>
      </c>
      <c r="E238" s="876">
        <f t="shared" si="531"/>
        <v>177.85371854831627</v>
      </c>
      <c r="F238" s="876">
        <f t="shared" si="531"/>
        <v>177.34705920393185</v>
      </c>
      <c r="G238" s="44">
        <f t="shared" si="531"/>
        <v>186.37110016420363</v>
      </c>
      <c r="H238" s="44">
        <f t="shared" si="531"/>
        <v>176.3723990082888</v>
      </c>
      <c r="I238" s="44">
        <f t="shared" si="531"/>
        <v>185.22036474164133</v>
      </c>
      <c r="J238" s="44">
        <f t="shared" si="531"/>
        <v>166.67740636327022</v>
      </c>
      <c r="K238" s="876">
        <f t="shared" si="531"/>
        <v>178.39242854597478</v>
      </c>
      <c r="L238" s="44">
        <f t="shared" si="531"/>
        <v>171.22289972899731</v>
      </c>
      <c r="M238" s="44">
        <f t="shared" si="531"/>
        <v>178.6725544394256</v>
      </c>
      <c r="N238" s="44">
        <f t="shared" si="531"/>
        <v>167.03654506576817</v>
      </c>
      <c r="O238" s="44">
        <f t="shared" si="531"/>
        <v>131.86367001839071</v>
      </c>
      <c r="P238" s="876">
        <f t="shared" si="531"/>
        <v>161.80233216347787</v>
      </c>
      <c r="Q238" s="44">
        <f t="shared" si="531"/>
        <v>105.30149051490517</v>
      </c>
      <c r="R238" s="44">
        <f t="shared" si="531"/>
        <v>121.61977216922271</v>
      </c>
      <c r="S238" s="44">
        <f t="shared" si="531"/>
        <v>108.34223422970595</v>
      </c>
      <c r="T238" s="44">
        <f t="shared" si="531"/>
        <v>92.323452205646944</v>
      </c>
      <c r="U238" s="876">
        <f t="shared" si="531"/>
        <v>106.90390739523832</v>
      </c>
      <c r="V238" s="44">
        <f t="shared" si="531"/>
        <v>76.605523753812733</v>
      </c>
      <c r="W238" s="44">
        <f t="shared" si="531"/>
        <v>93.43051723312972</v>
      </c>
      <c r="X238" s="44">
        <f t="shared" si="531"/>
        <v>94.805441917990677</v>
      </c>
      <c r="Y238" s="44">
        <f t="shared" si="531"/>
        <v>103.4017396149861</v>
      </c>
      <c r="Z238" s="876">
        <f t="shared" si="531"/>
        <v>92.001201527421159</v>
      </c>
      <c r="AA238" s="44">
        <f t="shared" si="531"/>
        <v>109.71670638072544</v>
      </c>
      <c r="AB238" s="44">
        <f t="shared" si="531"/>
        <v>108.04103645432058</v>
      </c>
      <c r="AC238" s="44">
        <f t="shared" si="531"/>
        <v>110.35274815422478</v>
      </c>
      <c r="AD238" s="44">
        <f t="shared" si="531"/>
        <v>117.90987941612016</v>
      </c>
      <c r="AE238" s="876">
        <f t="shared" si="531"/>
        <v>111.47706056346894</v>
      </c>
      <c r="AF238" s="44">
        <f t="shared" si="531"/>
        <v>116.86379928315411</v>
      </c>
      <c r="AG238" s="44">
        <f t="shared" si="531"/>
        <v>131.01640001336051</v>
      </c>
      <c r="AH238" s="44">
        <f t="shared" si="531"/>
        <v>136.32661880069142</v>
      </c>
      <c r="AI238" s="44">
        <f t="shared" ref="AI238:BS238" si="532">AI231/AI183</f>
        <v>118.76918457226745</v>
      </c>
      <c r="AJ238" s="876">
        <f t="shared" si="532"/>
        <v>125.90864752534036</v>
      </c>
      <c r="AK238" s="44">
        <f t="shared" si="532"/>
        <v>107.36696134512047</v>
      </c>
      <c r="AL238" s="44">
        <f t="shared" si="532"/>
        <v>119.41606308833813</v>
      </c>
      <c r="AM238" s="44">
        <f t="shared" si="532"/>
        <v>110.51372098082481</v>
      </c>
      <c r="AN238" s="44">
        <f t="shared" si="532"/>
        <v>110.75984915349434</v>
      </c>
      <c r="AO238" s="876">
        <f t="shared" si="532"/>
        <v>112.08541618080974</v>
      </c>
      <c r="AP238" s="44">
        <f t="shared" si="532"/>
        <v>103.64509015436504</v>
      </c>
      <c r="AQ238" s="44">
        <f t="shared" si="532"/>
        <v>67.679379444085313</v>
      </c>
      <c r="AR238" s="44">
        <f t="shared" si="532"/>
        <v>86.058647061309003</v>
      </c>
      <c r="AS238" s="44">
        <f t="shared" si="532"/>
        <v>83.288336933045386</v>
      </c>
      <c r="AT238" s="876">
        <f t="shared" si="532"/>
        <v>86.615742807935206</v>
      </c>
      <c r="AU238" s="44">
        <f t="shared" si="532"/>
        <v>111.77015755329009</v>
      </c>
      <c r="AV238" s="44">
        <f t="shared" si="532"/>
        <v>128.67687867687869</v>
      </c>
      <c r="AW238" s="44">
        <f t="shared" si="532"/>
        <v>143.46749003697988</v>
      </c>
      <c r="AX238" s="44">
        <f t="shared" si="532"/>
        <v>150.05925790865169</v>
      </c>
      <c r="AY238" s="876">
        <f t="shared" si="532"/>
        <v>134.19262525802213</v>
      </c>
      <c r="AZ238" s="44">
        <f t="shared" si="532"/>
        <v>176.02386039886039</v>
      </c>
      <c r="BA238" s="44">
        <f t="shared" si="532"/>
        <v>227.94927606475321</v>
      </c>
      <c r="BB238" s="44">
        <f t="shared" si="532"/>
        <v>206.11059718367767</v>
      </c>
      <c r="BC238" s="44">
        <f t="shared" si="532"/>
        <v>191.49138751839342</v>
      </c>
      <c r="BD238" s="876">
        <f t="shared" si="532"/>
        <v>200.4562571631283</v>
      </c>
      <c r="BE238" s="44">
        <f t="shared" si="532"/>
        <v>169.37456324248777</v>
      </c>
      <c r="BF238" s="24">
        <f t="shared" si="532"/>
        <v>169.26419588016546</v>
      </c>
      <c r="BG238" s="24">
        <f t="shared" si="532"/>
        <v>186.47944127483768</v>
      </c>
      <c r="BH238" s="24">
        <f t="shared" si="532"/>
        <v>174.0513613047481</v>
      </c>
      <c r="BI238" s="878">
        <f t="shared" si="532"/>
        <v>174.90503050535284</v>
      </c>
      <c r="BJ238" s="24">
        <f t="shared" si="532"/>
        <v>175.26996250400504</v>
      </c>
      <c r="BK238" s="24">
        <f t="shared" si="532"/>
        <v>174.86365486365486</v>
      </c>
      <c r="BL238" s="24">
        <f t="shared" si="532"/>
        <v>164.44600280504906</v>
      </c>
      <c r="BM238" s="24">
        <f t="shared" si="532"/>
        <v>157.82345375094761</v>
      </c>
      <c r="BN238" s="878">
        <f t="shared" si="532"/>
        <v>168.10908893264931</v>
      </c>
      <c r="BO238" s="24">
        <f t="shared" si="532"/>
        <v>158.40955284552845</v>
      </c>
      <c r="BP238" s="24">
        <f t="shared" si="532"/>
        <v>145.69979984579561</v>
      </c>
      <c r="BQ238" s="24">
        <f t="shared" si="532"/>
        <v>148.79553466509986</v>
      </c>
      <c r="BR238" s="24">
        <f t="shared" si="532"/>
        <v>138.96178922175454</v>
      </c>
      <c r="BS238" s="878">
        <f t="shared" si="532"/>
        <v>147.86972531339566</v>
      </c>
      <c r="BT238" s="719">
        <f t="shared" ref="BT238" si="533">BT231/BT183</f>
        <v>161.93798449612405</v>
      </c>
      <c r="BU238" s="778">
        <v>165</v>
      </c>
      <c r="BV238" s="778">
        <v>165</v>
      </c>
      <c r="BW238" s="778">
        <v>165</v>
      </c>
      <c r="BX238" s="876">
        <f>BX231/BX183</f>
        <v>164.25883456687168</v>
      </c>
      <c r="BY238" s="778">
        <v>165</v>
      </c>
      <c r="BZ238" s="778">
        <v>165</v>
      </c>
      <c r="CA238" s="778">
        <v>165</v>
      </c>
      <c r="CB238" s="778">
        <v>165</v>
      </c>
      <c r="CC238" s="876">
        <f>CC231/CC183</f>
        <v>165</v>
      </c>
      <c r="CD238" s="877">
        <v>150</v>
      </c>
      <c r="CE238" s="877">
        <v>150</v>
      </c>
      <c r="CF238" s="877">
        <v>150</v>
      </c>
      <c r="CG238" s="24"/>
    </row>
    <row r="239" spans="1:85" s="437" customFormat="1" hidden="1" outlineLevel="1" x14ac:dyDescent="0.3">
      <c r="A239" s="75" t="s">
        <v>125</v>
      </c>
      <c r="B239" s="76"/>
      <c r="C239" s="876">
        <f t="shared" ref="C239:AH239" si="534">C232/C201</f>
        <v>115.11088189788551</v>
      </c>
      <c r="D239" s="876">
        <f t="shared" si="534"/>
        <v>141.48111790341051</v>
      </c>
      <c r="E239" s="876">
        <f t="shared" si="534"/>
        <v>192.35998907231783</v>
      </c>
      <c r="F239" s="876">
        <f t="shared" si="534"/>
        <v>197.0742399373172</v>
      </c>
      <c r="G239" s="44">
        <f t="shared" si="534"/>
        <v>199.1937848138376</v>
      </c>
      <c r="H239" s="44">
        <f t="shared" si="534"/>
        <v>186.6143837447643</v>
      </c>
      <c r="I239" s="44">
        <f t="shared" si="534"/>
        <v>187.50669308203044</v>
      </c>
      <c r="J239" s="44">
        <f t="shared" si="534"/>
        <v>184.67857766084538</v>
      </c>
      <c r="K239" s="876">
        <f t="shared" si="534"/>
        <v>189.30284218592595</v>
      </c>
      <c r="L239" s="44">
        <f t="shared" si="534"/>
        <v>181.52977960802255</v>
      </c>
      <c r="M239" s="44">
        <f t="shared" si="534"/>
        <v>196.05410185572379</v>
      </c>
      <c r="N239" s="44">
        <f t="shared" si="534"/>
        <v>181.65412486064659</v>
      </c>
      <c r="O239" s="44">
        <f t="shared" si="534"/>
        <v>139.82708468002591</v>
      </c>
      <c r="P239" s="876">
        <f t="shared" si="534"/>
        <v>174.40052017889937</v>
      </c>
      <c r="Q239" s="44">
        <f t="shared" si="534"/>
        <v>99.491298527443107</v>
      </c>
      <c r="R239" s="44">
        <f t="shared" si="534"/>
        <v>121.30782091770388</v>
      </c>
      <c r="S239" s="44">
        <f t="shared" si="534"/>
        <v>100.91973244147158</v>
      </c>
      <c r="T239" s="44">
        <f t="shared" si="534"/>
        <v>88.224439681480689</v>
      </c>
      <c r="U239" s="876">
        <f t="shared" si="534"/>
        <v>102.40336017288855</v>
      </c>
      <c r="V239" s="44">
        <f t="shared" si="534"/>
        <v>75.516483516483504</v>
      </c>
      <c r="W239" s="44">
        <f t="shared" si="534"/>
        <v>90.831383514310346</v>
      </c>
      <c r="X239" s="44">
        <f t="shared" si="534"/>
        <v>96.247668245085364</v>
      </c>
      <c r="Y239" s="44">
        <f t="shared" si="534"/>
        <v>95.922392345164511</v>
      </c>
      <c r="Z239" s="876">
        <f t="shared" si="534"/>
        <v>89.745935725075256</v>
      </c>
      <c r="AA239" s="44">
        <f t="shared" si="534"/>
        <v>106.79175864606327</v>
      </c>
      <c r="AB239" s="44">
        <f t="shared" si="534"/>
        <v>106.35250200753822</v>
      </c>
      <c r="AC239" s="44">
        <f t="shared" si="534"/>
        <v>102.77046272908046</v>
      </c>
      <c r="AD239" s="44">
        <f t="shared" si="534"/>
        <v>116.17808973300303</v>
      </c>
      <c r="AE239" s="876">
        <f t="shared" si="534"/>
        <v>108.03177871037558</v>
      </c>
      <c r="AF239" s="44">
        <f t="shared" si="534"/>
        <v>118.35264408793819</v>
      </c>
      <c r="AG239" s="44">
        <f t="shared" si="534"/>
        <v>129.17986372768416</v>
      </c>
      <c r="AH239" s="44">
        <f t="shared" si="534"/>
        <v>134.64048496098849</v>
      </c>
      <c r="AI239" s="44">
        <f t="shared" ref="AI239:BS239" si="535">AI232/AI201</f>
        <v>130.07719714964372</v>
      </c>
      <c r="AJ239" s="876">
        <f t="shared" si="535"/>
        <v>128.11280579747228</v>
      </c>
      <c r="AK239" s="44">
        <f t="shared" si="535"/>
        <v>108.25311543914634</v>
      </c>
      <c r="AL239" s="44">
        <f t="shared" si="535"/>
        <v>120.20048403976976</v>
      </c>
      <c r="AM239" s="44">
        <f t="shared" si="535"/>
        <v>108.39096919655097</v>
      </c>
      <c r="AN239" s="44">
        <f t="shared" si="535"/>
        <v>115.5424790916553</v>
      </c>
      <c r="AO239" s="876">
        <f t="shared" si="535"/>
        <v>112.90647918767809</v>
      </c>
      <c r="AP239" s="44">
        <f t="shared" si="535"/>
        <v>98.94173873463815</v>
      </c>
      <c r="AQ239" s="44">
        <f t="shared" si="535"/>
        <v>60.864369275584231</v>
      </c>
      <c r="AR239" s="44">
        <f t="shared" si="535"/>
        <v>84.985315712187955</v>
      </c>
      <c r="AS239" s="44">
        <f t="shared" si="535"/>
        <v>271.76683849770575</v>
      </c>
      <c r="AT239" s="876">
        <f t="shared" si="535"/>
        <v>82.148659197839535</v>
      </c>
      <c r="AU239" s="44">
        <f t="shared" si="535"/>
        <v>95.821957474973104</v>
      </c>
      <c r="AV239" s="44">
        <f t="shared" si="535"/>
        <v>110.2547894583293</v>
      </c>
      <c r="AW239" s="44">
        <f t="shared" si="535"/>
        <v>111.17807432917205</v>
      </c>
      <c r="AX239" s="44">
        <f t="shared" si="535"/>
        <v>119.09972507556999</v>
      </c>
      <c r="AY239" s="876">
        <f t="shared" si="535"/>
        <v>112.80836480490859</v>
      </c>
      <c r="AZ239" s="44">
        <f t="shared" si="535"/>
        <v>150.55670736389467</v>
      </c>
      <c r="BA239" s="44">
        <f t="shared" si="535"/>
        <v>189.17009918363101</v>
      </c>
      <c r="BB239" s="44">
        <f t="shared" si="535"/>
        <v>157.92920847268672</v>
      </c>
      <c r="BC239" s="44">
        <f t="shared" si="535"/>
        <v>139.08181691901655</v>
      </c>
      <c r="BD239" s="876">
        <f t="shared" si="535"/>
        <v>158.8805693125334</v>
      </c>
      <c r="BE239" s="44">
        <f t="shared" si="535"/>
        <v>132.92284143880886</v>
      </c>
      <c r="BF239" s="24">
        <f t="shared" si="535"/>
        <v>130.56023730870356</v>
      </c>
      <c r="BG239" s="24">
        <f t="shared" si="535"/>
        <v>142.40823513476906</v>
      </c>
      <c r="BH239" s="24">
        <f t="shared" si="535"/>
        <v>129.06478622492975</v>
      </c>
      <c r="BI239" s="878">
        <f t="shared" si="535"/>
        <v>133.82824420937132</v>
      </c>
      <c r="BJ239" s="24">
        <f t="shared" si="535"/>
        <v>126.70630835066783</v>
      </c>
      <c r="BK239" s="24">
        <f t="shared" si="535"/>
        <v>141.51952915997862</v>
      </c>
      <c r="BL239" s="24">
        <f t="shared" si="535"/>
        <v>127.68299394606493</v>
      </c>
      <c r="BM239" s="24">
        <f t="shared" si="535"/>
        <v>123.39813554534015</v>
      </c>
      <c r="BN239" s="878">
        <f t="shared" si="535"/>
        <v>129.71022504548151</v>
      </c>
      <c r="BO239" s="24">
        <f t="shared" si="535"/>
        <v>126.13046972021333</v>
      </c>
      <c r="BP239" s="24">
        <f t="shared" si="535"/>
        <v>125.74401178032988</v>
      </c>
      <c r="BQ239" s="24">
        <f t="shared" si="535"/>
        <v>116.87122306005669</v>
      </c>
      <c r="BR239" s="24">
        <f t="shared" si="535"/>
        <v>109.09583806671486</v>
      </c>
      <c r="BS239" s="878">
        <f t="shared" si="535"/>
        <v>119.21303202598223</v>
      </c>
      <c r="BT239" s="719">
        <f t="shared" ref="BT239" si="536">BT232/BT201</f>
        <v>128.10335272928788</v>
      </c>
      <c r="BU239" s="778">
        <v>135</v>
      </c>
      <c r="BV239" s="778">
        <v>135</v>
      </c>
      <c r="BW239" s="778">
        <v>135</v>
      </c>
      <c r="BX239" s="876">
        <f>BX232/BX201</f>
        <v>133.30059613981339</v>
      </c>
      <c r="BY239" s="778">
        <v>135</v>
      </c>
      <c r="BZ239" s="778">
        <v>135</v>
      </c>
      <c r="CA239" s="778">
        <v>135</v>
      </c>
      <c r="CB239" s="778">
        <v>135</v>
      </c>
      <c r="CC239" s="876">
        <f>CC232/CC201</f>
        <v>135.00000000000003</v>
      </c>
      <c r="CD239" s="877">
        <v>105</v>
      </c>
      <c r="CE239" s="877">
        <v>105</v>
      </c>
      <c r="CF239" s="877">
        <v>105</v>
      </c>
      <c r="CG239" s="24"/>
    </row>
    <row r="240" spans="1:85" s="428" customFormat="1" hidden="1" outlineLevel="1" x14ac:dyDescent="0.3">
      <c r="A240" s="43"/>
      <c r="B240" s="64"/>
      <c r="C240" s="821"/>
      <c r="D240" s="821"/>
      <c r="E240" s="821"/>
      <c r="F240" s="821"/>
      <c r="G240" s="37"/>
      <c r="H240" s="37"/>
      <c r="I240" s="37"/>
      <c r="J240" s="37"/>
      <c r="K240" s="821"/>
      <c r="L240" s="37"/>
      <c r="M240" s="37"/>
      <c r="N240" s="37"/>
      <c r="O240" s="37"/>
      <c r="P240" s="821"/>
      <c r="Q240" s="37"/>
      <c r="R240" s="37"/>
      <c r="S240" s="37"/>
      <c r="T240" s="37"/>
      <c r="U240" s="821"/>
      <c r="V240" s="37"/>
      <c r="W240" s="37"/>
      <c r="X240" s="37"/>
      <c r="Y240" s="37"/>
      <c r="Z240" s="821"/>
      <c r="AA240" s="37"/>
      <c r="AB240" s="37"/>
      <c r="AC240" s="37"/>
      <c r="AD240" s="37"/>
      <c r="AE240" s="821"/>
      <c r="AF240" s="37"/>
      <c r="AG240" s="37"/>
      <c r="AH240" s="37"/>
      <c r="AI240" s="37"/>
      <c r="AJ240" s="821"/>
      <c r="AK240" s="37"/>
      <c r="AL240" s="37"/>
      <c r="AM240" s="37"/>
      <c r="AN240" s="37"/>
      <c r="AO240" s="821"/>
      <c r="AP240" s="37"/>
      <c r="AQ240" s="37"/>
      <c r="AR240" s="37"/>
      <c r="AS240" s="37"/>
      <c r="AT240" s="821"/>
      <c r="AU240" s="37"/>
      <c r="AV240" s="37"/>
      <c r="AW240" s="37"/>
      <c r="AX240" s="37"/>
      <c r="AY240" s="821"/>
      <c r="AZ240" s="37"/>
      <c r="BA240" s="37"/>
      <c r="BB240" s="37"/>
      <c r="BC240" s="37"/>
      <c r="BD240" s="821"/>
      <c r="BE240" s="37"/>
      <c r="BF240" s="37"/>
      <c r="BG240" s="37"/>
      <c r="BH240" s="37"/>
      <c r="BI240" s="821"/>
      <c r="BJ240" s="37"/>
      <c r="BK240" s="37"/>
      <c r="BL240" s="37"/>
      <c r="BM240" s="37"/>
      <c r="BN240" s="821"/>
      <c r="BO240" s="37"/>
      <c r="BP240" s="37"/>
      <c r="BQ240" s="37"/>
      <c r="BR240" s="37"/>
      <c r="BS240" s="821"/>
      <c r="BT240" s="480"/>
      <c r="BU240" s="37"/>
      <c r="BV240" s="37"/>
      <c r="BW240" s="37"/>
      <c r="BX240" s="821"/>
      <c r="BY240" s="37"/>
      <c r="BZ240" s="37"/>
      <c r="CA240" s="37"/>
      <c r="CB240" s="37"/>
      <c r="CC240" s="821"/>
      <c r="CD240" s="821"/>
      <c r="CE240" s="821"/>
      <c r="CF240" s="821"/>
      <c r="CG240" s="22"/>
    </row>
    <row r="241" spans="1:85" s="428" customFormat="1" hidden="1" outlineLevel="1" x14ac:dyDescent="0.3">
      <c r="A241" s="40" t="s">
        <v>126</v>
      </c>
      <c r="B241" s="64"/>
      <c r="C241" s="827">
        <v>-121</v>
      </c>
      <c r="D241" s="827">
        <v>1339</v>
      </c>
      <c r="E241" s="827">
        <v>1506</v>
      </c>
      <c r="F241" s="827">
        <v>2048</v>
      </c>
      <c r="G241" s="763">
        <v>135</v>
      </c>
      <c r="H241" s="763">
        <v>138</v>
      </c>
      <c r="I241" s="763">
        <v>249</v>
      </c>
      <c r="J241" s="22">
        <f>K241-SUM(G241,H241,I241)</f>
        <v>265</v>
      </c>
      <c r="K241" s="827">
        <v>787</v>
      </c>
      <c r="L241" s="763">
        <v>422</v>
      </c>
      <c r="M241" s="763">
        <v>517</v>
      </c>
      <c r="N241" s="763">
        <v>809</v>
      </c>
      <c r="O241" s="22">
        <f>P241-SUM(L241,M241,N241)</f>
        <v>889</v>
      </c>
      <c r="P241" s="827">
        <v>2637</v>
      </c>
      <c r="Q241" s="763">
        <v>706</v>
      </c>
      <c r="R241" s="763">
        <v>731</v>
      </c>
      <c r="S241" s="763">
        <v>1249</v>
      </c>
      <c r="T241" s="22">
        <f>U241-SUM(Q241,R241,S241)</f>
        <v>496</v>
      </c>
      <c r="U241" s="827">
        <v>3182</v>
      </c>
      <c r="V241" s="763">
        <v>247</v>
      </c>
      <c r="W241" s="763">
        <v>537</v>
      </c>
      <c r="X241" s="763">
        <v>523</v>
      </c>
      <c r="Y241" s="763">
        <v>0</v>
      </c>
      <c r="Z241" s="827">
        <v>1307</v>
      </c>
      <c r="AA241" s="763">
        <v>469</v>
      </c>
      <c r="AB241" s="763">
        <v>634</v>
      </c>
      <c r="AC241" s="763">
        <v>640</v>
      </c>
      <c r="AD241" s="763">
        <v>1195</v>
      </c>
      <c r="AE241" s="827">
        <v>2938</v>
      </c>
      <c r="AF241" s="763">
        <v>442</v>
      </c>
      <c r="AG241" s="763">
        <v>657</v>
      </c>
      <c r="AH241" s="763">
        <v>748</v>
      </c>
      <c r="AI241" s="763">
        <v>256</v>
      </c>
      <c r="AJ241" s="827">
        <v>2103</v>
      </c>
      <c r="AK241" s="763">
        <v>217</v>
      </c>
      <c r="AL241" s="763">
        <v>465</v>
      </c>
      <c r="AM241" s="763">
        <v>389</v>
      </c>
      <c r="AN241" s="763">
        <v>488</v>
      </c>
      <c r="AO241" s="827">
        <v>1559</v>
      </c>
      <c r="AP241" s="763">
        <v>450</v>
      </c>
      <c r="AQ241" s="763">
        <v>-988</v>
      </c>
      <c r="AR241" s="763">
        <v>141</v>
      </c>
      <c r="AS241" s="763">
        <v>-174</v>
      </c>
      <c r="AT241" s="827">
        <v>-571</v>
      </c>
      <c r="AU241" s="763">
        <v>-130</v>
      </c>
      <c r="AV241" s="763">
        <v>776</v>
      </c>
      <c r="AW241" s="763">
        <v>1083</v>
      </c>
      <c r="AX241" s="763">
        <v>660</v>
      </c>
      <c r="AY241" s="827">
        <v>2389</v>
      </c>
      <c r="AZ241" s="763">
        <v>486</v>
      </c>
      <c r="BA241" s="763">
        <v>2440</v>
      </c>
      <c r="BB241" s="763">
        <v>1288</v>
      </c>
      <c r="BC241" s="763">
        <v>1180</v>
      </c>
      <c r="BD241" s="827">
        <v>5394</v>
      </c>
      <c r="BE241" s="763">
        <v>977</v>
      </c>
      <c r="BF241" s="763">
        <v>1081</v>
      </c>
      <c r="BG241" s="763">
        <v>1376</v>
      </c>
      <c r="BH241" s="763">
        <v>470</v>
      </c>
      <c r="BI241" s="827">
        <v>3904</v>
      </c>
      <c r="BJ241" s="763">
        <v>453</v>
      </c>
      <c r="BK241" s="763">
        <v>280</v>
      </c>
      <c r="BL241" s="763">
        <v>146</v>
      </c>
      <c r="BM241" s="763">
        <v>-348</v>
      </c>
      <c r="BN241" s="827">
        <v>531</v>
      </c>
      <c r="BO241" s="763">
        <v>103</v>
      </c>
      <c r="BP241" s="763">
        <v>404</v>
      </c>
      <c r="BQ241" s="763">
        <v>638</v>
      </c>
      <c r="BR241" s="763">
        <v>230</v>
      </c>
      <c r="BS241" s="827">
        <v>1375</v>
      </c>
      <c r="BT241" s="764">
        <v>196</v>
      </c>
      <c r="BU241" s="37"/>
      <c r="BV241" s="37"/>
      <c r="BW241" s="37"/>
      <c r="BX241" s="821"/>
      <c r="BY241" s="37"/>
      <c r="BZ241" s="37"/>
      <c r="CA241" s="37"/>
      <c r="CB241" s="37"/>
      <c r="CC241" s="821"/>
      <c r="CD241" s="821"/>
      <c r="CE241" s="821"/>
      <c r="CF241" s="821"/>
      <c r="CG241" s="22"/>
    </row>
    <row r="242" spans="1:85" s="428" customFormat="1" hidden="1" outlineLevel="1" x14ac:dyDescent="0.3">
      <c r="A242" s="40" t="s">
        <v>127</v>
      </c>
      <c r="B242" s="64"/>
      <c r="C242" s="827">
        <v>594</v>
      </c>
      <c r="D242" s="827">
        <v>1139</v>
      </c>
      <c r="E242" s="827">
        <v>2085</v>
      </c>
      <c r="F242" s="827">
        <v>2251</v>
      </c>
      <c r="G242" s="763">
        <v>566</v>
      </c>
      <c r="H242" s="763">
        <v>628</v>
      </c>
      <c r="I242" s="763">
        <v>131</v>
      </c>
      <c r="J242" s="22">
        <f>K242-SUM(G242,H242,I242)</f>
        <v>125</v>
      </c>
      <c r="K242" s="827">
        <v>1450</v>
      </c>
      <c r="L242" s="763">
        <v>288</v>
      </c>
      <c r="M242" s="763">
        <v>204</v>
      </c>
      <c r="N242" s="763">
        <v>578</v>
      </c>
      <c r="O242" s="22">
        <f>P242-SUM(L242,M242,N242)</f>
        <v>629</v>
      </c>
      <c r="P242" s="827">
        <v>1699</v>
      </c>
      <c r="Q242" s="763">
        <v>717</v>
      </c>
      <c r="R242" s="763">
        <v>2225</v>
      </c>
      <c r="S242" s="763">
        <v>962</v>
      </c>
      <c r="T242" s="22">
        <f>U242-SUM(Q242,R242,S242)</f>
        <v>515</v>
      </c>
      <c r="U242" s="827">
        <v>4419</v>
      </c>
      <c r="V242" s="763">
        <v>488</v>
      </c>
      <c r="W242" s="763">
        <v>741</v>
      </c>
      <c r="X242" s="763">
        <v>542</v>
      </c>
      <c r="Y242" s="763">
        <v>357</v>
      </c>
      <c r="Z242" s="827">
        <v>2128</v>
      </c>
      <c r="AA242" s="763">
        <v>457</v>
      </c>
      <c r="AB242" s="763">
        <v>561</v>
      </c>
      <c r="AC242" s="763">
        <v>1174</v>
      </c>
      <c r="AD242" s="763">
        <v>84</v>
      </c>
      <c r="AE242" s="827">
        <v>2276</v>
      </c>
      <c r="AF242" s="763">
        <v>286</v>
      </c>
      <c r="AG242" s="763">
        <v>181</v>
      </c>
      <c r="AH242" s="763">
        <v>625</v>
      </c>
      <c r="AI242" s="763">
        <v>603</v>
      </c>
      <c r="AJ242" s="827">
        <v>1695</v>
      </c>
      <c r="AK242" s="763">
        <v>35</v>
      </c>
      <c r="AL242" s="763">
        <v>264</v>
      </c>
      <c r="AM242" s="763">
        <v>439</v>
      </c>
      <c r="AN242" s="763">
        <v>184</v>
      </c>
      <c r="AO242" s="827">
        <v>922</v>
      </c>
      <c r="AP242" s="763">
        <v>653</v>
      </c>
      <c r="AQ242" s="763">
        <v>-22</v>
      </c>
      <c r="AR242" s="763">
        <v>151</v>
      </c>
      <c r="AS242" s="763">
        <v>-164</v>
      </c>
      <c r="AT242" s="827">
        <v>618</v>
      </c>
      <c r="AU242" s="763">
        <v>135</v>
      </c>
      <c r="AV242" s="763">
        <v>63</v>
      </c>
      <c r="AW242" s="763">
        <v>227</v>
      </c>
      <c r="AX242" s="763">
        <v>100</v>
      </c>
      <c r="AY242" s="827">
        <v>525</v>
      </c>
      <c r="AZ242" s="763">
        <v>-155</v>
      </c>
      <c r="BA242" s="763">
        <v>1083</v>
      </c>
      <c r="BB242" s="763">
        <v>1242</v>
      </c>
      <c r="BC242" s="763">
        <v>591</v>
      </c>
      <c r="BD242" s="827">
        <v>2761</v>
      </c>
      <c r="BE242" s="763">
        <v>823</v>
      </c>
      <c r="BF242" s="763">
        <v>426</v>
      </c>
      <c r="BG242" s="763">
        <v>307</v>
      </c>
      <c r="BH242" s="765">
        <v>677</v>
      </c>
      <c r="BI242" s="828">
        <v>2233</v>
      </c>
      <c r="BJ242" s="763">
        <v>330</v>
      </c>
      <c r="BK242" s="763">
        <v>317</v>
      </c>
      <c r="BL242" s="763">
        <v>449</v>
      </c>
      <c r="BM242" s="765">
        <v>100</v>
      </c>
      <c r="BN242" s="828">
        <v>1196</v>
      </c>
      <c r="BO242" s="763">
        <v>222</v>
      </c>
      <c r="BP242" s="763">
        <v>333</v>
      </c>
      <c r="BQ242" s="763">
        <v>499</v>
      </c>
      <c r="BR242" s="765">
        <v>593</v>
      </c>
      <c r="BS242" s="828">
        <v>1647</v>
      </c>
      <c r="BT242" s="764">
        <v>-1013</v>
      </c>
      <c r="BU242" s="37"/>
      <c r="BV242" s="37"/>
      <c r="BW242" s="37"/>
      <c r="BX242" s="821"/>
      <c r="BY242" s="37"/>
      <c r="BZ242" s="37"/>
      <c r="CA242" s="37"/>
      <c r="CB242" s="37"/>
      <c r="CC242" s="821"/>
      <c r="CD242" s="821"/>
      <c r="CE242" s="821"/>
      <c r="CF242" s="821"/>
      <c r="CG242" s="22"/>
    </row>
    <row r="243" spans="1:85" s="429" customFormat="1" hidden="1" outlineLevel="1" x14ac:dyDescent="0.3">
      <c r="A243" s="41" t="s">
        <v>128</v>
      </c>
      <c r="B243" s="90"/>
      <c r="C243" s="824">
        <f t="shared" ref="C243:AH243" si="537">SUM(C241:C242)</f>
        <v>473</v>
      </c>
      <c r="D243" s="824">
        <f t="shared" si="537"/>
        <v>2478</v>
      </c>
      <c r="E243" s="824">
        <f t="shared" si="537"/>
        <v>3591</v>
      </c>
      <c r="F243" s="824">
        <f t="shared" si="537"/>
        <v>4299</v>
      </c>
      <c r="G243" s="394">
        <f t="shared" si="537"/>
        <v>701</v>
      </c>
      <c r="H243" s="394">
        <f t="shared" si="537"/>
        <v>766</v>
      </c>
      <c r="I243" s="394">
        <f t="shared" si="537"/>
        <v>380</v>
      </c>
      <c r="J243" s="394">
        <f t="shared" si="537"/>
        <v>390</v>
      </c>
      <c r="K243" s="824">
        <f t="shared" si="537"/>
        <v>2237</v>
      </c>
      <c r="L243" s="394">
        <f t="shared" si="537"/>
        <v>710</v>
      </c>
      <c r="M243" s="394">
        <f t="shared" si="537"/>
        <v>721</v>
      </c>
      <c r="N243" s="394">
        <f t="shared" si="537"/>
        <v>1387</v>
      </c>
      <c r="O243" s="394">
        <f t="shared" si="537"/>
        <v>1518</v>
      </c>
      <c r="P243" s="824">
        <f t="shared" si="537"/>
        <v>4336</v>
      </c>
      <c r="Q243" s="394">
        <f t="shared" si="537"/>
        <v>1423</v>
      </c>
      <c r="R243" s="394">
        <f t="shared" si="537"/>
        <v>2956</v>
      </c>
      <c r="S243" s="394">
        <f t="shared" si="537"/>
        <v>2211</v>
      </c>
      <c r="T243" s="394">
        <f t="shared" si="537"/>
        <v>1011</v>
      </c>
      <c r="U243" s="824">
        <f t="shared" si="537"/>
        <v>7601</v>
      </c>
      <c r="V243" s="394">
        <f t="shared" si="537"/>
        <v>735</v>
      </c>
      <c r="W243" s="394">
        <f t="shared" si="537"/>
        <v>1278</v>
      </c>
      <c r="X243" s="394">
        <f t="shared" si="537"/>
        <v>1065</v>
      </c>
      <c r="Y243" s="394">
        <f t="shared" si="537"/>
        <v>357</v>
      </c>
      <c r="Z243" s="824">
        <f t="shared" si="537"/>
        <v>3435</v>
      </c>
      <c r="AA243" s="394">
        <f t="shared" si="537"/>
        <v>926</v>
      </c>
      <c r="AB243" s="394">
        <f t="shared" si="537"/>
        <v>1195</v>
      </c>
      <c r="AC243" s="394">
        <f t="shared" si="537"/>
        <v>1814</v>
      </c>
      <c r="AD243" s="394">
        <f t="shared" si="537"/>
        <v>1279</v>
      </c>
      <c r="AE243" s="824">
        <f t="shared" si="537"/>
        <v>5214</v>
      </c>
      <c r="AF243" s="394">
        <f t="shared" si="537"/>
        <v>728</v>
      </c>
      <c r="AG243" s="394">
        <f t="shared" si="537"/>
        <v>838</v>
      </c>
      <c r="AH243" s="394">
        <f t="shared" si="537"/>
        <v>1373</v>
      </c>
      <c r="AI243" s="394">
        <f t="shared" ref="AI243:AQ243" si="538">SUM(AI241:AI242)</f>
        <v>859</v>
      </c>
      <c r="AJ243" s="824">
        <f t="shared" si="538"/>
        <v>3798</v>
      </c>
      <c r="AK243" s="394">
        <f t="shared" si="538"/>
        <v>252</v>
      </c>
      <c r="AL243" s="394">
        <f t="shared" si="538"/>
        <v>729</v>
      </c>
      <c r="AM243" s="394">
        <f t="shared" si="538"/>
        <v>828</v>
      </c>
      <c r="AN243" s="394">
        <f t="shared" si="538"/>
        <v>672</v>
      </c>
      <c r="AO243" s="824">
        <f t="shared" si="538"/>
        <v>2481</v>
      </c>
      <c r="AP243" s="394">
        <f t="shared" si="538"/>
        <v>1103</v>
      </c>
      <c r="AQ243" s="394">
        <f t="shared" si="538"/>
        <v>-1010</v>
      </c>
      <c r="AR243" s="394">
        <f>SUM(AR241:AR242)</f>
        <v>292</v>
      </c>
      <c r="AS243" s="394">
        <f t="shared" ref="AS243:AU243" si="539">SUM(AS241:AS242)</f>
        <v>-338</v>
      </c>
      <c r="AT243" s="824">
        <f t="shared" si="539"/>
        <v>47</v>
      </c>
      <c r="AU243" s="394">
        <f t="shared" si="539"/>
        <v>5</v>
      </c>
      <c r="AV243" s="394">
        <f t="shared" ref="AV243:BA243" si="540">SUM(AV241:AV242)</f>
        <v>839</v>
      </c>
      <c r="AW243" s="394">
        <f t="shared" si="540"/>
        <v>1310</v>
      </c>
      <c r="AX243" s="394">
        <f t="shared" si="540"/>
        <v>760</v>
      </c>
      <c r="AY243" s="824">
        <f t="shared" si="540"/>
        <v>2914</v>
      </c>
      <c r="AZ243" s="394">
        <f t="shared" si="540"/>
        <v>331</v>
      </c>
      <c r="BA243" s="394">
        <f t="shared" si="540"/>
        <v>3523</v>
      </c>
      <c r="BB243" s="394">
        <f t="shared" ref="BB243:BG243" si="541">SUM(BB241:BB242)</f>
        <v>2530</v>
      </c>
      <c r="BC243" s="394">
        <f t="shared" si="541"/>
        <v>1771</v>
      </c>
      <c r="BD243" s="824">
        <f t="shared" si="541"/>
        <v>8155</v>
      </c>
      <c r="BE243" s="394">
        <f t="shared" si="541"/>
        <v>1800</v>
      </c>
      <c r="BF243" s="394">
        <f t="shared" si="541"/>
        <v>1507</v>
      </c>
      <c r="BG243" s="394">
        <f t="shared" si="541"/>
        <v>1683</v>
      </c>
      <c r="BH243" s="26">
        <f t="shared" ref="BH243:BN243" si="542">SUM(BH241:BH242)</f>
        <v>1147</v>
      </c>
      <c r="BI243" s="826">
        <f t="shared" si="542"/>
        <v>6137</v>
      </c>
      <c r="BJ243" s="394">
        <f t="shared" si="542"/>
        <v>783</v>
      </c>
      <c r="BK243" s="394">
        <f t="shared" si="542"/>
        <v>597</v>
      </c>
      <c r="BL243" s="394">
        <f t="shared" si="542"/>
        <v>595</v>
      </c>
      <c r="BM243" s="26">
        <f t="shared" si="542"/>
        <v>-248</v>
      </c>
      <c r="BN243" s="826">
        <f t="shared" si="542"/>
        <v>1727</v>
      </c>
      <c r="BO243" s="394">
        <f t="shared" ref="BO243:BT243" si="543">SUM(BO241:BO242)</f>
        <v>325</v>
      </c>
      <c r="BP243" s="394">
        <f t="shared" si="543"/>
        <v>737</v>
      </c>
      <c r="BQ243" s="394">
        <f t="shared" si="543"/>
        <v>1137</v>
      </c>
      <c r="BR243" s="26">
        <f t="shared" si="543"/>
        <v>823</v>
      </c>
      <c r="BS243" s="826">
        <f t="shared" si="543"/>
        <v>3022</v>
      </c>
      <c r="BT243" s="640">
        <f t="shared" si="543"/>
        <v>-817</v>
      </c>
      <c r="BU243" s="393"/>
      <c r="BV243" s="393"/>
      <c r="BW243" s="393"/>
      <c r="BX243" s="823"/>
      <c r="BY243" s="393"/>
      <c r="BZ243" s="393"/>
      <c r="CA243" s="393"/>
      <c r="CB243" s="393"/>
      <c r="CC243" s="823"/>
      <c r="CD243" s="823"/>
      <c r="CE243" s="823"/>
      <c r="CF243" s="823"/>
      <c r="CG243" s="26"/>
    </row>
    <row r="244" spans="1:85" s="429" customFormat="1" hidden="1" outlineLevel="1" x14ac:dyDescent="0.3">
      <c r="A244" s="48"/>
      <c r="B244" s="63"/>
      <c r="C244" s="825"/>
      <c r="D244" s="825"/>
      <c r="E244" s="825"/>
      <c r="F244" s="825"/>
      <c r="G244" s="31"/>
      <c r="H244" s="31"/>
      <c r="I244" s="31"/>
      <c r="J244" s="31"/>
      <c r="K244" s="825"/>
      <c r="L244" s="31"/>
      <c r="M244" s="31"/>
      <c r="N244" s="31"/>
      <c r="O244" s="31"/>
      <c r="P244" s="825"/>
      <c r="Q244" s="31"/>
      <c r="R244" s="31"/>
      <c r="S244" s="31"/>
      <c r="T244" s="31"/>
      <c r="U244" s="825"/>
      <c r="V244" s="31"/>
      <c r="W244" s="31"/>
      <c r="X244" s="31"/>
      <c r="Y244" s="31"/>
      <c r="Z244" s="825"/>
      <c r="AA244" s="31"/>
      <c r="AB244" s="31"/>
      <c r="AC244" s="31"/>
      <c r="AD244" s="31"/>
      <c r="AE244" s="825"/>
      <c r="AF244" s="31"/>
      <c r="AG244" s="31"/>
      <c r="AH244" s="31"/>
      <c r="AI244" s="31"/>
      <c r="AJ244" s="825"/>
      <c r="AK244" s="31"/>
      <c r="AL244" s="31"/>
      <c r="AM244" s="31"/>
      <c r="AN244" s="31"/>
      <c r="AO244" s="825"/>
      <c r="AP244" s="31"/>
      <c r="AQ244" s="31"/>
      <c r="AR244" s="31"/>
      <c r="AS244" s="31"/>
      <c r="AT244" s="825"/>
      <c r="AU244" s="31"/>
      <c r="AV244" s="31"/>
      <c r="AW244" s="31"/>
      <c r="AX244" s="31"/>
      <c r="AY244" s="825"/>
      <c r="AZ244" s="31"/>
      <c r="BA244" s="31"/>
      <c r="BB244" s="31"/>
      <c r="BC244" s="31"/>
      <c r="BD244" s="825"/>
      <c r="BE244" s="31"/>
      <c r="BF244" s="31"/>
      <c r="BG244" s="31"/>
      <c r="BH244" s="31"/>
      <c r="BI244" s="825"/>
      <c r="BJ244" s="31"/>
      <c r="BK244" s="31"/>
      <c r="BL244" s="31"/>
      <c r="BM244" s="31"/>
      <c r="BN244" s="825"/>
      <c r="BO244" s="31"/>
      <c r="BP244" s="31"/>
      <c r="BQ244" s="31"/>
      <c r="BR244" s="31"/>
      <c r="BS244" s="825"/>
      <c r="BT244" s="379"/>
      <c r="BU244" s="31"/>
      <c r="BV244" s="31"/>
      <c r="BW244" s="31"/>
      <c r="BX244" s="825"/>
      <c r="BY244" s="31"/>
      <c r="BZ244" s="31"/>
      <c r="CA244" s="31"/>
      <c r="CB244" s="31"/>
      <c r="CC244" s="825"/>
      <c r="CD244" s="825"/>
      <c r="CE244" s="825"/>
      <c r="CF244" s="825"/>
      <c r="CG244" s="26"/>
    </row>
    <row r="245" spans="1:85" s="428" customFormat="1" hidden="1" outlineLevel="1" x14ac:dyDescent="0.3">
      <c r="A245" s="40" t="s">
        <v>633</v>
      </c>
      <c r="B245" s="64"/>
      <c r="C245" s="821"/>
      <c r="D245" s="821"/>
      <c r="E245" s="821"/>
      <c r="F245" s="821"/>
      <c r="G245" s="37"/>
      <c r="H245" s="37"/>
      <c r="I245" s="37"/>
      <c r="J245" s="37"/>
      <c r="K245" s="821"/>
      <c r="L245" s="37"/>
      <c r="M245" s="37"/>
      <c r="N245" s="37"/>
      <c r="O245" s="37"/>
      <c r="P245" s="821"/>
      <c r="Q245" s="37"/>
      <c r="R245" s="37"/>
      <c r="S245" s="37"/>
      <c r="T245" s="37"/>
      <c r="U245" s="821"/>
      <c r="V245" s="37"/>
      <c r="W245" s="37"/>
      <c r="X245" s="37"/>
      <c r="Y245" s="37"/>
      <c r="Z245" s="821"/>
      <c r="AA245" s="37"/>
      <c r="AB245" s="37"/>
      <c r="AC245" s="37"/>
      <c r="AD245" s="37"/>
      <c r="AE245" s="821"/>
      <c r="AF245" s="37"/>
      <c r="AG245" s="37"/>
      <c r="AH245" s="37"/>
      <c r="AI245" s="37"/>
      <c r="AJ245" s="821"/>
      <c r="AK245" s="22">
        <f t="shared" ref="AK245:AO245" si="544">AK451</f>
        <v>217</v>
      </c>
      <c r="AL245" s="22">
        <f t="shared" si="544"/>
        <v>465</v>
      </c>
      <c r="AM245" s="22">
        <f t="shared" si="544"/>
        <v>389</v>
      </c>
      <c r="AN245" s="22">
        <f t="shared" si="544"/>
        <v>488</v>
      </c>
      <c r="AO245" s="852">
        <f t="shared" si="544"/>
        <v>1559</v>
      </c>
      <c r="AP245" s="22">
        <f t="shared" ref="AP245:AU245" si="545">AP451</f>
        <v>450</v>
      </c>
      <c r="AQ245" s="22">
        <f t="shared" si="545"/>
        <v>-908</v>
      </c>
      <c r="AR245" s="22">
        <f t="shared" si="545"/>
        <v>141</v>
      </c>
      <c r="AS245" s="22">
        <f t="shared" si="545"/>
        <v>-174</v>
      </c>
      <c r="AT245" s="852">
        <f t="shared" si="545"/>
        <v>-491</v>
      </c>
      <c r="AU245" s="22">
        <f t="shared" si="545"/>
        <v>-20</v>
      </c>
      <c r="AV245" s="22">
        <f t="shared" ref="AV245:BA245" si="546">AV451</f>
        <v>776</v>
      </c>
      <c r="AW245" s="22">
        <f t="shared" si="546"/>
        <v>1083</v>
      </c>
      <c r="AX245" s="22">
        <f t="shared" si="546"/>
        <v>660</v>
      </c>
      <c r="AY245" s="852">
        <f t="shared" si="546"/>
        <v>2499</v>
      </c>
      <c r="AZ245" s="22">
        <f t="shared" si="546"/>
        <v>486</v>
      </c>
      <c r="BA245" s="22">
        <f t="shared" si="546"/>
        <v>2440</v>
      </c>
      <c r="BB245" s="22">
        <f t="shared" ref="BB245:BG245" si="547">BB451</f>
        <v>1288</v>
      </c>
      <c r="BC245" s="22">
        <f t="shared" si="547"/>
        <v>1180</v>
      </c>
      <c r="BD245" s="852">
        <f t="shared" si="547"/>
        <v>5394</v>
      </c>
      <c r="BE245" s="22">
        <f t="shared" si="547"/>
        <v>977</v>
      </c>
      <c r="BF245" s="22">
        <f t="shared" si="547"/>
        <v>1081</v>
      </c>
      <c r="BG245" s="22">
        <f t="shared" si="547"/>
        <v>1376</v>
      </c>
      <c r="BH245" s="22">
        <f t="shared" ref="BH245:BN245" si="548">BH451</f>
        <v>470</v>
      </c>
      <c r="BI245" s="852">
        <f t="shared" si="548"/>
        <v>3904</v>
      </c>
      <c r="BJ245" s="22">
        <f t="shared" si="548"/>
        <v>453</v>
      </c>
      <c r="BK245" s="22">
        <f t="shared" si="548"/>
        <v>280</v>
      </c>
      <c r="BL245" s="22">
        <f t="shared" si="548"/>
        <v>146</v>
      </c>
      <c r="BM245" s="22">
        <f t="shared" si="548"/>
        <v>-70</v>
      </c>
      <c r="BN245" s="852">
        <f t="shared" si="548"/>
        <v>809</v>
      </c>
      <c r="BO245" s="22">
        <f t="shared" ref="BO245:BT245" si="549">BO451</f>
        <v>273</v>
      </c>
      <c r="BP245" s="22">
        <f t="shared" si="549"/>
        <v>404</v>
      </c>
      <c r="BQ245" s="22">
        <f t="shared" si="549"/>
        <v>638</v>
      </c>
      <c r="BR245" s="22">
        <f t="shared" si="549"/>
        <v>230</v>
      </c>
      <c r="BS245" s="852">
        <f t="shared" si="549"/>
        <v>1545</v>
      </c>
      <c r="BT245" s="648">
        <f t="shared" si="549"/>
        <v>556</v>
      </c>
      <c r="BU245" s="37"/>
      <c r="BV245" s="37"/>
      <c r="BW245" s="37"/>
      <c r="BX245" s="821"/>
      <c r="BY245" s="37"/>
      <c r="BZ245" s="37"/>
      <c r="CA245" s="37"/>
      <c r="CB245" s="37"/>
      <c r="CC245" s="821"/>
      <c r="CD245" s="821"/>
      <c r="CE245" s="821"/>
      <c r="CF245" s="821"/>
      <c r="CG245" s="22"/>
    </row>
    <row r="246" spans="1:85" s="428" customFormat="1" hidden="1" outlineLevel="1" x14ac:dyDescent="0.3">
      <c r="A246" s="40" t="s">
        <v>634</v>
      </c>
      <c r="B246" s="64"/>
      <c r="C246" s="821"/>
      <c r="D246" s="821"/>
      <c r="E246" s="821"/>
      <c r="F246" s="821"/>
      <c r="G246" s="37"/>
      <c r="H246" s="37"/>
      <c r="I246" s="37"/>
      <c r="J246" s="37"/>
      <c r="K246" s="821"/>
      <c r="L246" s="37"/>
      <c r="M246" s="37"/>
      <c r="N246" s="37"/>
      <c r="O246" s="37"/>
      <c r="P246" s="821"/>
      <c r="Q246" s="37"/>
      <c r="R246" s="37"/>
      <c r="S246" s="37"/>
      <c r="T246" s="37"/>
      <c r="U246" s="821"/>
      <c r="V246" s="37"/>
      <c r="W246" s="37"/>
      <c r="X246" s="37"/>
      <c r="Y246" s="37"/>
      <c r="Z246" s="821"/>
      <c r="AA246" s="37"/>
      <c r="AB246" s="37"/>
      <c r="AC246" s="37"/>
      <c r="AD246" s="37"/>
      <c r="AE246" s="821"/>
      <c r="AF246" s="37"/>
      <c r="AG246" s="37"/>
      <c r="AH246" s="37"/>
      <c r="AI246" s="37"/>
      <c r="AJ246" s="821"/>
      <c r="AK246" s="22">
        <f t="shared" ref="AK246:AO246" si="550">AK457</f>
        <v>4</v>
      </c>
      <c r="AL246" s="22">
        <f t="shared" si="550"/>
        <v>273</v>
      </c>
      <c r="AM246" s="22">
        <f t="shared" si="550"/>
        <v>412</v>
      </c>
      <c r="AN246" s="22">
        <f t="shared" si="550"/>
        <v>216</v>
      </c>
      <c r="AO246" s="852">
        <f t="shared" si="550"/>
        <v>905</v>
      </c>
      <c r="AP246" s="22">
        <f t="shared" ref="AP246:AU246" si="551">AP457</f>
        <v>593</v>
      </c>
      <c r="AQ246" s="22">
        <f t="shared" si="551"/>
        <v>61</v>
      </c>
      <c r="AR246" s="22">
        <f t="shared" si="551"/>
        <v>200</v>
      </c>
      <c r="AS246" s="22">
        <f t="shared" si="551"/>
        <v>-24</v>
      </c>
      <c r="AT246" s="852">
        <f t="shared" si="551"/>
        <v>830</v>
      </c>
      <c r="AU246" s="22">
        <f t="shared" si="551"/>
        <v>76</v>
      </c>
      <c r="AV246" s="22">
        <f t="shared" ref="AV246:BA246" si="552">AV457</f>
        <v>62</v>
      </c>
      <c r="AW246" s="22">
        <f t="shared" si="552"/>
        <v>104</v>
      </c>
      <c r="AX246" s="22">
        <f t="shared" si="552"/>
        <v>98</v>
      </c>
      <c r="AY246" s="852">
        <f t="shared" si="552"/>
        <v>340</v>
      </c>
      <c r="AZ246" s="22">
        <f t="shared" si="552"/>
        <v>-178</v>
      </c>
      <c r="BA246" s="22">
        <f t="shared" si="552"/>
        <v>938</v>
      </c>
      <c r="BB246" s="22">
        <f t="shared" ref="BB246:BG246" si="553">BB457</f>
        <v>1063</v>
      </c>
      <c r="BC246" s="22">
        <f t="shared" si="553"/>
        <v>703</v>
      </c>
      <c r="BD246" s="852">
        <f t="shared" si="553"/>
        <v>2526</v>
      </c>
      <c r="BE246" s="22">
        <f t="shared" si="553"/>
        <v>805</v>
      </c>
      <c r="BF246" s="22">
        <f t="shared" si="553"/>
        <v>422</v>
      </c>
      <c r="BG246" s="22">
        <f t="shared" si="553"/>
        <v>283</v>
      </c>
      <c r="BH246" s="22">
        <f t="shared" ref="BH246:BN246" si="554">BH457</f>
        <v>735</v>
      </c>
      <c r="BI246" s="852">
        <f t="shared" si="554"/>
        <v>2245</v>
      </c>
      <c r="BJ246" s="22">
        <f t="shared" si="554"/>
        <v>274</v>
      </c>
      <c r="BK246" s="22">
        <f t="shared" si="554"/>
        <v>318</v>
      </c>
      <c r="BL246" s="22">
        <f t="shared" si="554"/>
        <v>504</v>
      </c>
      <c r="BM246" s="22">
        <f t="shared" si="554"/>
        <v>176</v>
      </c>
      <c r="BN246" s="852">
        <f t="shared" si="554"/>
        <v>1272</v>
      </c>
      <c r="BO246" s="22">
        <f t="shared" ref="BO246:BT246" si="555">BO457</f>
        <v>219</v>
      </c>
      <c r="BP246" s="22">
        <f t="shared" si="555"/>
        <v>435</v>
      </c>
      <c r="BQ246" s="22">
        <f t="shared" si="555"/>
        <v>457</v>
      </c>
      <c r="BR246" s="22">
        <f t="shared" si="555"/>
        <v>584</v>
      </c>
      <c r="BS246" s="852">
        <f t="shared" si="555"/>
        <v>1695</v>
      </c>
      <c r="BT246" s="648">
        <f t="shared" si="555"/>
        <v>-1021</v>
      </c>
      <c r="BU246" s="37"/>
      <c r="BV246" s="37"/>
      <c r="BW246" s="37"/>
      <c r="BX246" s="821"/>
      <c r="BY246" s="37"/>
      <c r="BZ246" s="37"/>
      <c r="CA246" s="37"/>
      <c r="CB246" s="37"/>
      <c r="CC246" s="821"/>
      <c r="CD246" s="821"/>
      <c r="CE246" s="821"/>
      <c r="CF246" s="821"/>
      <c r="CG246" s="22"/>
    </row>
    <row r="247" spans="1:85" s="429" customFormat="1" hidden="1" outlineLevel="1" x14ac:dyDescent="0.3">
      <c r="A247" s="41" t="s">
        <v>635</v>
      </c>
      <c r="B247" s="90"/>
      <c r="C247" s="823"/>
      <c r="D247" s="823"/>
      <c r="E247" s="823"/>
      <c r="F247" s="823"/>
      <c r="G247" s="393"/>
      <c r="H247" s="393"/>
      <c r="I247" s="393"/>
      <c r="J247" s="393"/>
      <c r="K247" s="823"/>
      <c r="L247" s="393"/>
      <c r="M247" s="393"/>
      <c r="N247" s="393"/>
      <c r="O247" s="393"/>
      <c r="P247" s="823"/>
      <c r="Q247" s="393"/>
      <c r="R247" s="393"/>
      <c r="S247" s="393"/>
      <c r="T247" s="393"/>
      <c r="U247" s="823"/>
      <c r="V247" s="393"/>
      <c r="W247" s="393"/>
      <c r="X247" s="393"/>
      <c r="Y247" s="393"/>
      <c r="Z247" s="823"/>
      <c r="AA247" s="393"/>
      <c r="AB247" s="393"/>
      <c r="AC247" s="393"/>
      <c r="AD247" s="393"/>
      <c r="AE247" s="823"/>
      <c r="AF247" s="393"/>
      <c r="AG247" s="393"/>
      <c r="AH247" s="393"/>
      <c r="AI247" s="393"/>
      <c r="AJ247" s="823"/>
      <c r="AK247" s="394">
        <f t="shared" ref="AK247:BD247" si="556">SUM(AK245:AK246)</f>
        <v>221</v>
      </c>
      <c r="AL247" s="394">
        <f t="shared" si="556"/>
        <v>738</v>
      </c>
      <c r="AM247" s="394">
        <f t="shared" si="556"/>
        <v>801</v>
      </c>
      <c r="AN247" s="394">
        <f t="shared" si="556"/>
        <v>704</v>
      </c>
      <c r="AO247" s="824">
        <f t="shared" si="556"/>
        <v>2464</v>
      </c>
      <c r="AP247" s="394">
        <f t="shared" si="556"/>
        <v>1043</v>
      </c>
      <c r="AQ247" s="394">
        <f t="shared" si="556"/>
        <v>-847</v>
      </c>
      <c r="AR247" s="394">
        <f t="shared" si="556"/>
        <v>341</v>
      </c>
      <c r="AS247" s="394">
        <f t="shared" si="556"/>
        <v>-198</v>
      </c>
      <c r="AT247" s="824">
        <f t="shared" si="556"/>
        <v>339</v>
      </c>
      <c r="AU247" s="394">
        <f t="shared" si="556"/>
        <v>56</v>
      </c>
      <c r="AV247" s="394">
        <f t="shared" si="556"/>
        <v>838</v>
      </c>
      <c r="AW247" s="394">
        <f t="shared" si="556"/>
        <v>1187</v>
      </c>
      <c r="AX247" s="394">
        <f t="shared" si="556"/>
        <v>758</v>
      </c>
      <c r="AY247" s="824">
        <f t="shared" si="556"/>
        <v>2839</v>
      </c>
      <c r="AZ247" s="394">
        <f t="shared" si="556"/>
        <v>308</v>
      </c>
      <c r="BA247" s="394">
        <f t="shared" si="556"/>
        <v>3378</v>
      </c>
      <c r="BB247" s="394">
        <f t="shared" si="556"/>
        <v>2351</v>
      </c>
      <c r="BC247" s="394">
        <f t="shared" si="556"/>
        <v>1883</v>
      </c>
      <c r="BD247" s="824">
        <f t="shared" si="556"/>
        <v>7920</v>
      </c>
      <c r="BE247" s="394">
        <f t="shared" ref="BE247:BJ247" si="557">SUM(BE245:BE246)</f>
        <v>1782</v>
      </c>
      <c r="BF247" s="394">
        <f t="shared" si="557"/>
        <v>1503</v>
      </c>
      <c r="BG247" s="394">
        <f t="shared" si="557"/>
        <v>1659</v>
      </c>
      <c r="BH247" s="394">
        <f t="shared" si="557"/>
        <v>1205</v>
      </c>
      <c r="BI247" s="824">
        <f t="shared" si="557"/>
        <v>6149</v>
      </c>
      <c r="BJ247" s="394">
        <f t="shared" si="557"/>
        <v>727</v>
      </c>
      <c r="BK247" s="394">
        <f t="shared" ref="BK247:BP247" si="558">SUM(BK245:BK246)</f>
        <v>598</v>
      </c>
      <c r="BL247" s="394">
        <f t="shared" si="558"/>
        <v>650</v>
      </c>
      <c r="BM247" s="394">
        <f t="shared" si="558"/>
        <v>106</v>
      </c>
      <c r="BN247" s="824">
        <f t="shared" si="558"/>
        <v>2081</v>
      </c>
      <c r="BO247" s="394">
        <f t="shared" si="558"/>
        <v>492</v>
      </c>
      <c r="BP247" s="394">
        <f t="shared" si="558"/>
        <v>839</v>
      </c>
      <c r="BQ247" s="394">
        <f>SUM(BQ245:BQ246)</f>
        <v>1095</v>
      </c>
      <c r="BR247" s="394">
        <f>SUM(BR245:BR246)</f>
        <v>814</v>
      </c>
      <c r="BS247" s="824">
        <f>SUM(BS245:BS246)</f>
        <v>3240</v>
      </c>
      <c r="BT247" s="640">
        <f>SUM(BT245:BT246)</f>
        <v>-465</v>
      </c>
      <c r="BU247" s="393"/>
      <c r="BV247" s="393"/>
      <c r="BW247" s="393"/>
      <c r="BX247" s="823"/>
      <c r="BY247" s="393"/>
      <c r="BZ247" s="393"/>
      <c r="CA247" s="393"/>
      <c r="CB247" s="393"/>
      <c r="CC247" s="823"/>
      <c r="CD247" s="823"/>
      <c r="CE247" s="823"/>
      <c r="CF247" s="823"/>
      <c r="CG247" s="26"/>
    </row>
    <row r="248" spans="1:85" s="429" customFormat="1" collapsed="1" x14ac:dyDescent="0.3">
      <c r="A248" s="52"/>
      <c r="B248" s="63"/>
      <c r="C248" s="825"/>
      <c r="D248" s="825"/>
      <c r="E248" s="825"/>
      <c r="F248" s="825"/>
      <c r="G248" s="31"/>
      <c r="H248" s="31"/>
      <c r="I248" s="31"/>
      <c r="J248" s="31"/>
      <c r="K248" s="825"/>
      <c r="L248" s="31"/>
      <c r="M248" s="31"/>
      <c r="N248" s="31"/>
      <c r="O248" s="31"/>
      <c r="P248" s="825"/>
      <c r="Q248" s="31"/>
      <c r="R248" s="31"/>
      <c r="S248" s="31"/>
      <c r="T248" s="31"/>
      <c r="U248" s="825"/>
      <c r="V248" s="31"/>
      <c r="W248" s="31"/>
      <c r="X248" s="31"/>
      <c r="Y248" s="31"/>
      <c r="Z248" s="825"/>
      <c r="AA248" s="31"/>
      <c r="AB248" s="31"/>
      <c r="AC248" s="31"/>
      <c r="AD248" s="31"/>
      <c r="AE248" s="825"/>
      <c r="AF248" s="31"/>
      <c r="AG248" s="31"/>
      <c r="AH248" s="31"/>
      <c r="AI248" s="31"/>
      <c r="AJ248" s="825"/>
      <c r="AK248" s="31"/>
      <c r="AL248" s="31"/>
      <c r="AM248" s="31"/>
      <c r="AN248" s="31"/>
      <c r="AO248" s="825"/>
      <c r="AP248" s="31"/>
      <c r="AQ248" s="31"/>
      <c r="AR248" s="31"/>
      <c r="AS248" s="31"/>
      <c r="AT248" s="825"/>
      <c r="AU248" s="31"/>
      <c r="AV248" s="31"/>
      <c r="AW248" s="31"/>
      <c r="AX248" s="31"/>
      <c r="AY248" s="825"/>
      <c r="AZ248" s="31"/>
      <c r="BA248" s="31"/>
      <c r="BB248" s="31"/>
      <c r="BC248" s="31"/>
      <c r="BD248" s="825"/>
      <c r="BE248" s="31"/>
      <c r="BF248" s="31"/>
      <c r="BG248" s="31"/>
      <c r="BH248" s="31"/>
      <c r="BI248" s="825"/>
      <c r="BJ248" s="31"/>
      <c r="BK248" s="31"/>
      <c r="BL248" s="31"/>
      <c r="BM248" s="31"/>
      <c r="BN248" s="825"/>
      <c r="BO248" s="31"/>
      <c r="BP248" s="31"/>
      <c r="BQ248" s="31"/>
      <c r="BR248" s="31"/>
      <c r="BS248" s="825"/>
      <c r="BT248" s="379"/>
      <c r="BU248" s="31"/>
      <c r="BV248" s="31"/>
      <c r="BW248" s="31"/>
      <c r="BX248" s="825"/>
      <c r="BY248" s="31"/>
      <c r="BZ248" s="31"/>
      <c r="CA248" s="31"/>
      <c r="CB248" s="31"/>
      <c r="CC248" s="825"/>
      <c r="CD248" s="825"/>
      <c r="CE248" s="825"/>
      <c r="CF248" s="825"/>
      <c r="CG248" s="26"/>
    </row>
    <row r="249" spans="1:85" s="427" customFormat="1" x14ac:dyDescent="0.3">
      <c r="A249" s="720" t="s">
        <v>129</v>
      </c>
      <c r="B249" s="720"/>
      <c r="C249" s="720"/>
      <c r="D249" s="720"/>
      <c r="E249" s="720"/>
      <c r="F249" s="720"/>
      <c r="G249" s="720"/>
      <c r="H249" s="720"/>
      <c r="I249" s="720"/>
      <c r="J249" s="720"/>
      <c r="K249" s="720"/>
      <c r="L249" s="720"/>
      <c r="M249" s="720"/>
      <c r="N249" s="720"/>
      <c r="O249" s="720"/>
      <c r="P249" s="720"/>
      <c r="Q249" s="720"/>
      <c r="R249" s="720"/>
      <c r="S249" s="720"/>
      <c r="T249" s="720"/>
      <c r="U249" s="720"/>
      <c r="V249" s="720"/>
      <c r="W249" s="720"/>
      <c r="X249" s="720"/>
      <c r="Y249" s="720"/>
      <c r="Z249" s="720"/>
      <c r="AA249" s="720"/>
      <c r="AB249" s="720"/>
      <c r="AC249" s="720"/>
      <c r="AD249" s="720"/>
      <c r="AE249" s="720"/>
      <c r="AF249" s="720"/>
      <c r="AG249" s="720"/>
      <c r="AH249" s="720"/>
      <c r="AI249" s="720"/>
      <c r="AJ249" s="720"/>
      <c r="AK249" s="720"/>
      <c r="AL249" s="720"/>
      <c r="AM249" s="720"/>
      <c r="AN249" s="720"/>
      <c r="AO249" s="720"/>
      <c r="AP249" s="720"/>
      <c r="AQ249" s="720"/>
      <c r="AR249" s="720"/>
      <c r="AS249" s="720"/>
      <c r="AT249" s="720"/>
      <c r="AU249" s="720"/>
      <c r="AV249" s="720"/>
      <c r="AW249" s="720"/>
      <c r="AX249" s="720"/>
      <c r="AY249" s="720"/>
      <c r="AZ249" s="720"/>
      <c r="BA249" s="720"/>
      <c r="BB249" s="720"/>
      <c r="BC249" s="720"/>
      <c r="BD249" s="720"/>
      <c r="BE249" s="720"/>
      <c r="BF249" s="720"/>
      <c r="BG249" s="720"/>
      <c r="BH249" s="720"/>
      <c r="BI249" s="720"/>
      <c r="BJ249" s="720"/>
      <c r="BK249" s="720"/>
      <c r="BL249" s="720"/>
      <c r="BM249" s="720"/>
      <c r="BN249" s="720"/>
      <c r="BO249" s="720"/>
      <c r="BP249" s="720"/>
      <c r="BQ249" s="720"/>
      <c r="BR249" s="720"/>
      <c r="BS249" s="720"/>
      <c r="BT249" s="721"/>
      <c r="BU249" s="720"/>
      <c r="BV249" s="720"/>
      <c r="BW249" s="720"/>
      <c r="BX249" s="720"/>
      <c r="BY249" s="720"/>
      <c r="BZ249" s="720"/>
      <c r="CA249" s="720"/>
      <c r="CB249" s="720"/>
      <c r="CC249" s="720"/>
      <c r="CD249" s="720"/>
      <c r="CE249" s="720"/>
      <c r="CF249" s="720"/>
      <c r="CG249" s="321"/>
    </row>
    <row r="250" spans="1:85" s="428" customFormat="1" hidden="1" outlineLevel="1" x14ac:dyDescent="0.3">
      <c r="A250" s="43" t="s">
        <v>130</v>
      </c>
      <c r="B250" s="64"/>
      <c r="C250" s="827">
        <v>1629</v>
      </c>
      <c r="D250" s="827">
        <v>1557</v>
      </c>
      <c r="E250" s="827">
        <v>1598</v>
      </c>
      <c r="F250" s="827">
        <v>1678</v>
      </c>
      <c r="G250" s="763">
        <v>378</v>
      </c>
      <c r="H250" s="763">
        <v>449</v>
      </c>
      <c r="I250" s="763">
        <v>494</v>
      </c>
      <c r="J250" s="37">
        <f>K250-SUM(G250,H250,I250)</f>
        <v>561</v>
      </c>
      <c r="K250" s="827">
        <v>1882</v>
      </c>
      <c r="L250" s="763">
        <v>389</v>
      </c>
      <c r="M250" s="763">
        <v>486</v>
      </c>
      <c r="N250" s="763">
        <v>474</v>
      </c>
      <c r="O250" s="37">
        <f>P250-SUM(L250,M250,N250)</f>
        <v>378</v>
      </c>
      <c r="P250" s="827">
        <v>1727</v>
      </c>
      <c r="Q250" s="763">
        <v>325</v>
      </c>
      <c r="R250" s="763">
        <v>438</v>
      </c>
      <c r="S250" s="763">
        <v>413</v>
      </c>
      <c r="T250" s="37">
        <f>U250-SUM(Q250,R250,S250)</f>
        <v>337</v>
      </c>
      <c r="U250" s="827">
        <v>1513</v>
      </c>
      <c r="V250" s="763">
        <v>249</v>
      </c>
      <c r="W250" s="763">
        <v>296</v>
      </c>
      <c r="X250" s="763">
        <v>280</v>
      </c>
      <c r="Y250" s="37">
        <f>Z250-SUM(V250,W250,X250)</f>
        <v>280</v>
      </c>
      <c r="Z250" s="827">
        <v>1105</v>
      </c>
      <c r="AA250" s="763">
        <v>235</v>
      </c>
      <c r="AB250" s="763">
        <v>278</v>
      </c>
      <c r="AC250" s="763">
        <v>260</v>
      </c>
      <c r="AD250" s="37">
        <f>AE250-SUM(AA250,AB250,AC250)</f>
        <v>249</v>
      </c>
      <c r="AE250" s="827">
        <v>1022</v>
      </c>
      <c r="AF250" s="763">
        <v>227</v>
      </c>
      <c r="AG250" s="763">
        <v>268</v>
      </c>
      <c r="AH250" s="763">
        <v>264</v>
      </c>
      <c r="AI250" s="37">
        <f>AJ250-SUM(AF250,AG250,AH250)</f>
        <v>263</v>
      </c>
      <c r="AJ250" s="827">
        <v>1022</v>
      </c>
      <c r="AK250" s="763">
        <v>222</v>
      </c>
      <c r="AL250" s="763">
        <v>271</v>
      </c>
      <c r="AM250" s="763">
        <v>270</v>
      </c>
      <c r="AN250" s="37">
        <f>AO250-SUM(AK250,AL250,AM250)</f>
        <v>301</v>
      </c>
      <c r="AO250" s="827">
        <v>1064</v>
      </c>
      <c r="AP250" s="763">
        <v>210</v>
      </c>
      <c r="AQ250" s="763">
        <v>227</v>
      </c>
      <c r="AR250" s="763">
        <v>208</v>
      </c>
      <c r="AS250" s="37">
        <f>AT250-SUM(AP250,AQ250,AR250)</f>
        <v>99</v>
      </c>
      <c r="AT250" s="827">
        <v>744</v>
      </c>
      <c r="AU250" s="763">
        <v>24</v>
      </c>
      <c r="AV250" s="763">
        <v>210</v>
      </c>
      <c r="AW250" s="763">
        <v>87</v>
      </c>
      <c r="AX250" s="37">
        <f>AY250-SUM(AU250,AV250,AW250)</f>
        <v>185</v>
      </c>
      <c r="AY250" s="827">
        <v>506</v>
      </c>
      <c r="AZ250" s="763">
        <v>83</v>
      </c>
      <c r="BA250" s="763">
        <v>141</v>
      </c>
      <c r="BB250" s="763">
        <v>137</v>
      </c>
      <c r="BC250" s="37">
        <f>BD250-SUM(AZ250,BA250,BB250)</f>
        <v>154</v>
      </c>
      <c r="BD250" s="827">
        <v>515</v>
      </c>
      <c r="BE250" s="763">
        <v>108</v>
      </c>
      <c r="BF250" s="763">
        <v>156</v>
      </c>
      <c r="BG250" s="763">
        <v>149</v>
      </c>
      <c r="BH250" s="22">
        <f>BI250-SUM(BE250,BF250,BG250)</f>
        <v>182</v>
      </c>
      <c r="BI250" s="827">
        <v>595</v>
      </c>
      <c r="BJ250" s="763">
        <v>120</v>
      </c>
      <c r="BK250" s="763">
        <v>153</v>
      </c>
      <c r="BL250" s="763">
        <v>138</v>
      </c>
      <c r="BM250" s="22">
        <f>BN250-SUM(BJ250,BK250,BL250)</f>
        <v>204</v>
      </c>
      <c r="BN250" s="852">
        <f>BN252-BN251</f>
        <v>615</v>
      </c>
      <c r="BO250" s="22">
        <f>+BO252-BO251</f>
        <v>120</v>
      </c>
      <c r="BP250" s="22">
        <f>+BP252-BP251</f>
        <v>149</v>
      </c>
      <c r="BQ250" s="22">
        <f>+BQ252-BQ251</f>
        <v>136</v>
      </c>
      <c r="BR250" s="22">
        <f>BS250-SUM(BO250,BP250,BQ250)</f>
        <v>176</v>
      </c>
      <c r="BS250" s="852">
        <f>BS252-BS251</f>
        <v>581</v>
      </c>
      <c r="BT250" s="648">
        <f>+BT252-BT251</f>
        <v>116</v>
      </c>
      <c r="BU250" s="763">
        <v>200</v>
      </c>
      <c r="BV250" s="763">
        <v>200</v>
      </c>
      <c r="BW250" s="763">
        <v>200</v>
      </c>
      <c r="BX250" s="821">
        <f>SUM(BT250,BU250,BV250,BW250)</f>
        <v>716</v>
      </c>
      <c r="BY250" s="763">
        <v>200</v>
      </c>
      <c r="BZ250" s="763">
        <v>200</v>
      </c>
      <c r="CA250" s="763">
        <v>200</v>
      </c>
      <c r="CB250" s="763">
        <v>200</v>
      </c>
      <c r="CC250" s="821">
        <f>SUM(BY250,BZ250,CA250,CB250)</f>
        <v>800</v>
      </c>
      <c r="CD250" s="827">
        <v>800</v>
      </c>
      <c r="CE250" s="827">
        <v>800</v>
      </c>
      <c r="CF250" s="827">
        <v>800</v>
      </c>
      <c r="CG250" s="22"/>
    </row>
    <row r="251" spans="1:85" s="428" customFormat="1" hidden="1" outlineLevel="1" x14ac:dyDescent="0.3">
      <c r="A251" s="43" t="s">
        <v>131</v>
      </c>
      <c r="B251" s="64"/>
      <c r="C251" s="827">
        <v>72</v>
      </c>
      <c r="D251" s="827">
        <v>62</v>
      </c>
      <c r="E251" s="827">
        <v>46</v>
      </c>
      <c r="F251" s="827">
        <v>52</v>
      </c>
      <c r="G251" s="763">
        <v>6</v>
      </c>
      <c r="H251" s="763">
        <v>9</v>
      </c>
      <c r="I251" s="763">
        <v>9</v>
      </c>
      <c r="J251" s="37">
        <f>K251-SUM(G251,H251,I251)</f>
        <v>10</v>
      </c>
      <c r="K251" s="827">
        <v>34</v>
      </c>
      <c r="L251" s="763">
        <v>5</v>
      </c>
      <c r="M251" s="763">
        <v>8</v>
      </c>
      <c r="N251" s="763">
        <v>11</v>
      </c>
      <c r="O251" s="37">
        <f>P251-SUM(L251,M251,N251)</f>
        <v>7</v>
      </c>
      <c r="P251" s="827">
        <v>31</v>
      </c>
      <c r="Q251" s="763">
        <v>7</v>
      </c>
      <c r="R251" s="763">
        <v>10</v>
      </c>
      <c r="S251" s="763">
        <v>13</v>
      </c>
      <c r="T251" s="37">
        <f>U251-SUM(Q251,R251,S251)</f>
        <v>12</v>
      </c>
      <c r="U251" s="827">
        <v>42</v>
      </c>
      <c r="V251" s="763">
        <v>8</v>
      </c>
      <c r="W251" s="763">
        <v>11</v>
      </c>
      <c r="X251" s="763">
        <v>10</v>
      </c>
      <c r="Y251" s="37">
        <f>Z251-SUM(V251,W251,X251)</f>
        <v>8</v>
      </c>
      <c r="Z251" s="827">
        <v>37</v>
      </c>
      <c r="AA251" s="763">
        <v>5</v>
      </c>
      <c r="AB251" s="763">
        <v>8</v>
      </c>
      <c r="AC251" s="763">
        <v>6</v>
      </c>
      <c r="AD251" s="37">
        <f>AE251-SUM(AA251,AB251,AC251)</f>
        <v>7</v>
      </c>
      <c r="AE251" s="827">
        <v>26</v>
      </c>
      <c r="AF251" s="763">
        <v>3</v>
      </c>
      <c r="AG251" s="763">
        <v>7</v>
      </c>
      <c r="AH251" s="763">
        <v>6</v>
      </c>
      <c r="AI251" s="37">
        <f>AJ251-SUM(AF251,AG251,AH251)</f>
        <v>6</v>
      </c>
      <c r="AJ251" s="827">
        <v>22</v>
      </c>
      <c r="AK251" s="763">
        <v>2</v>
      </c>
      <c r="AL251" s="763">
        <v>5</v>
      </c>
      <c r="AM251" s="763">
        <v>5</v>
      </c>
      <c r="AN251" s="37">
        <f>AO251-SUM(AK251,AL251,AM251)</f>
        <v>8</v>
      </c>
      <c r="AO251" s="827">
        <v>20</v>
      </c>
      <c r="AP251" s="763">
        <v>2</v>
      </c>
      <c r="AQ251" s="763">
        <v>6</v>
      </c>
      <c r="AR251" s="763">
        <v>3</v>
      </c>
      <c r="AS251" s="37">
        <f>AT251-SUM(AP251,AQ251,AR251)</f>
        <v>4</v>
      </c>
      <c r="AT251" s="827">
        <v>15</v>
      </c>
      <c r="AU251" s="763">
        <v>0</v>
      </c>
      <c r="AV251" s="763">
        <v>0</v>
      </c>
      <c r="AW251" s="763">
        <v>1</v>
      </c>
      <c r="AX251" s="37">
        <f>AY251-SUM(AU251,AV251,AW251)</f>
        <v>1</v>
      </c>
      <c r="AY251" s="827">
        <v>2</v>
      </c>
      <c r="AZ251" s="763">
        <v>0</v>
      </c>
      <c r="BA251" s="763">
        <v>1</v>
      </c>
      <c r="BB251" s="763">
        <v>1</v>
      </c>
      <c r="BC251" s="37">
        <f>BD251-SUM(AZ251,BA251,BB251)</f>
        <v>1</v>
      </c>
      <c r="BD251" s="827">
        <v>3</v>
      </c>
      <c r="BE251" s="763">
        <v>1</v>
      </c>
      <c r="BF251" s="763">
        <v>0</v>
      </c>
      <c r="BG251" s="763">
        <v>1</v>
      </c>
      <c r="BH251" s="22">
        <f>BI251-SUM(BE251,BF251,BG251)</f>
        <v>0</v>
      </c>
      <c r="BI251" s="827">
        <v>2</v>
      </c>
      <c r="BJ251" s="763">
        <v>1</v>
      </c>
      <c r="BK251" s="763">
        <v>0</v>
      </c>
      <c r="BL251" s="763">
        <v>1</v>
      </c>
      <c r="BM251" s="22">
        <f>BN251-SUM(BJ251,BK251,BL251)</f>
        <v>0</v>
      </c>
      <c r="BN251" s="827">
        <v>2</v>
      </c>
      <c r="BO251" s="763">
        <v>0</v>
      </c>
      <c r="BP251" s="763">
        <v>0</v>
      </c>
      <c r="BQ251" s="763">
        <v>0</v>
      </c>
      <c r="BR251" s="22">
        <f>BS251-SUM(BO251,BP251,BQ251)</f>
        <v>0</v>
      </c>
      <c r="BS251" s="827">
        <v>0</v>
      </c>
      <c r="BT251" s="764">
        <v>0</v>
      </c>
      <c r="BU251" s="763">
        <v>0</v>
      </c>
      <c r="BV251" s="763">
        <v>0</v>
      </c>
      <c r="BW251" s="763">
        <v>0</v>
      </c>
      <c r="BX251" s="821">
        <f>SUM(BT251,BU251,BV251,BW251)</f>
        <v>0</v>
      </c>
      <c r="BY251" s="763">
        <v>0</v>
      </c>
      <c r="BZ251" s="763">
        <v>0</v>
      </c>
      <c r="CA251" s="763">
        <v>0</v>
      </c>
      <c r="CB251" s="763">
        <v>0</v>
      </c>
      <c r="CC251" s="821">
        <f>SUM(BY251,BZ251,CA251,CB251)</f>
        <v>0</v>
      </c>
      <c r="CD251" s="827">
        <v>0</v>
      </c>
      <c r="CE251" s="827">
        <v>0</v>
      </c>
      <c r="CF251" s="827">
        <v>0</v>
      </c>
      <c r="CG251" s="22"/>
    </row>
    <row r="252" spans="1:85" s="429" customFormat="1" hidden="1" outlineLevel="1" x14ac:dyDescent="0.3">
      <c r="A252" s="42" t="s">
        <v>132</v>
      </c>
      <c r="B252" s="90"/>
      <c r="C252" s="823">
        <f t="shared" ref="C252:AH252" si="559">SUM(C250:C251)</f>
        <v>1701</v>
      </c>
      <c r="D252" s="823">
        <f t="shared" si="559"/>
        <v>1619</v>
      </c>
      <c r="E252" s="823">
        <f t="shared" si="559"/>
        <v>1644</v>
      </c>
      <c r="F252" s="823">
        <f t="shared" si="559"/>
        <v>1730</v>
      </c>
      <c r="G252" s="393">
        <f t="shared" si="559"/>
        <v>384</v>
      </c>
      <c r="H252" s="393">
        <f t="shared" si="559"/>
        <v>458</v>
      </c>
      <c r="I252" s="393">
        <f t="shared" si="559"/>
        <v>503</v>
      </c>
      <c r="J252" s="393">
        <f t="shared" si="559"/>
        <v>571</v>
      </c>
      <c r="K252" s="823">
        <f t="shared" si="559"/>
        <v>1916</v>
      </c>
      <c r="L252" s="393">
        <f t="shared" si="559"/>
        <v>394</v>
      </c>
      <c r="M252" s="393">
        <f t="shared" si="559"/>
        <v>494</v>
      </c>
      <c r="N252" s="393">
        <f t="shared" si="559"/>
        <v>485</v>
      </c>
      <c r="O252" s="393">
        <f t="shared" si="559"/>
        <v>385</v>
      </c>
      <c r="P252" s="823">
        <f t="shared" si="559"/>
        <v>1758</v>
      </c>
      <c r="Q252" s="393">
        <f t="shared" si="559"/>
        <v>332</v>
      </c>
      <c r="R252" s="393">
        <f t="shared" si="559"/>
        <v>448</v>
      </c>
      <c r="S252" s="393">
        <f t="shared" si="559"/>
        <v>426</v>
      </c>
      <c r="T252" s="393">
        <f t="shared" si="559"/>
        <v>349</v>
      </c>
      <c r="U252" s="823">
        <f t="shared" si="559"/>
        <v>1555</v>
      </c>
      <c r="V252" s="393">
        <f t="shared" si="559"/>
        <v>257</v>
      </c>
      <c r="W252" s="393">
        <f t="shared" si="559"/>
        <v>307</v>
      </c>
      <c r="X252" s="393">
        <f t="shared" si="559"/>
        <v>290</v>
      </c>
      <c r="Y252" s="393">
        <f t="shared" si="559"/>
        <v>288</v>
      </c>
      <c r="Z252" s="823">
        <f t="shared" si="559"/>
        <v>1142</v>
      </c>
      <c r="AA252" s="393">
        <f t="shared" si="559"/>
        <v>240</v>
      </c>
      <c r="AB252" s="393">
        <f t="shared" si="559"/>
        <v>286</v>
      </c>
      <c r="AC252" s="393">
        <f t="shared" si="559"/>
        <v>266</v>
      </c>
      <c r="AD252" s="393">
        <f t="shared" si="559"/>
        <v>256</v>
      </c>
      <c r="AE252" s="823">
        <f t="shared" si="559"/>
        <v>1048</v>
      </c>
      <c r="AF252" s="393">
        <f t="shared" si="559"/>
        <v>230</v>
      </c>
      <c r="AG252" s="393">
        <f t="shared" si="559"/>
        <v>275</v>
      </c>
      <c r="AH252" s="393">
        <f t="shared" si="559"/>
        <v>270</v>
      </c>
      <c r="AI252" s="393">
        <f t="shared" ref="AI252:BL252" si="560">SUM(AI250:AI251)</f>
        <v>269</v>
      </c>
      <c r="AJ252" s="823">
        <f t="shared" si="560"/>
        <v>1044</v>
      </c>
      <c r="AK252" s="393">
        <f t="shared" si="560"/>
        <v>224</v>
      </c>
      <c r="AL252" s="393">
        <f t="shared" si="560"/>
        <v>276</v>
      </c>
      <c r="AM252" s="393">
        <f t="shared" si="560"/>
        <v>275</v>
      </c>
      <c r="AN252" s="393">
        <f t="shared" si="560"/>
        <v>309</v>
      </c>
      <c r="AO252" s="823">
        <f t="shared" si="560"/>
        <v>1084</v>
      </c>
      <c r="AP252" s="393">
        <f t="shared" si="560"/>
        <v>212</v>
      </c>
      <c r="AQ252" s="393">
        <f t="shared" si="560"/>
        <v>233</v>
      </c>
      <c r="AR252" s="393">
        <f t="shared" si="560"/>
        <v>211</v>
      </c>
      <c r="AS252" s="393">
        <f t="shared" si="560"/>
        <v>103</v>
      </c>
      <c r="AT252" s="823">
        <f t="shared" si="560"/>
        <v>759</v>
      </c>
      <c r="AU252" s="393">
        <f t="shared" si="560"/>
        <v>24</v>
      </c>
      <c r="AV252" s="393">
        <f t="shared" si="560"/>
        <v>210</v>
      </c>
      <c r="AW252" s="393">
        <f t="shared" si="560"/>
        <v>88</v>
      </c>
      <c r="AX252" s="393">
        <f t="shared" si="560"/>
        <v>186</v>
      </c>
      <c r="AY252" s="823">
        <f t="shared" si="560"/>
        <v>508</v>
      </c>
      <c r="AZ252" s="393">
        <f t="shared" si="560"/>
        <v>83</v>
      </c>
      <c r="BA252" s="393">
        <f t="shared" si="560"/>
        <v>142</v>
      </c>
      <c r="BB252" s="393">
        <f t="shared" si="560"/>
        <v>138</v>
      </c>
      <c r="BC252" s="393">
        <f t="shared" si="560"/>
        <v>155</v>
      </c>
      <c r="BD252" s="823">
        <f t="shared" si="560"/>
        <v>518</v>
      </c>
      <c r="BE252" s="393">
        <f t="shared" si="560"/>
        <v>109</v>
      </c>
      <c r="BF252" s="394">
        <f t="shared" si="560"/>
        <v>156</v>
      </c>
      <c r="BG252" s="394">
        <f t="shared" si="560"/>
        <v>150</v>
      </c>
      <c r="BH252" s="394">
        <f t="shared" si="560"/>
        <v>182</v>
      </c>
      <c r="BI252" s="824">
        <f t="shared" si="560"/>
        <v>597</v>
      </c>
      <c r="BJ252" s="394">
        <f t="shared" si="560"/>
        <v>121</v>
      </c>
      <c r="BK252" s="394">
        <f t="shared" si="560"/>
        <v>153</v>
      </c>
      <c r="BL252" s="394">
        <f t="shared" si="560"/>
        <v>139</v>
      </c>
      <c r="BM252" s="394">
        <f>BN252-SUM(BJ252,BK252,BL252)</f>
        <v>204</v>
      </c>
      <c r="BN252" s="829">
        <v>617</v>
      </c>
      <c r="BO252" s="767">
        <v>120</v>
      </c>
      <c r="BP252" s="767">
        <v>149</v>
      </c>
      <c r="BQ252" s="767">
        <v>136</v>
      </c>
      <c r="BR252" s="394">
        <f>SUM(BR250:BR251)</f>
        <v>176</v>
      </c>
      <c r="BS252" s="829">
        <v>581</v>
      </c>
      <c r="BT252" s="780">
        <v>116</v>
      </c>
      <c r="BU252" s="393">
        <f t="shared" ref="BU252:CF252" si="561">SUM(BU250:BU251)</f>
        <v>200</v>
      </c>
      <c r="BV252" s="393">
        <f t="shared" si="561"/>
        <v>200</v>
      </c>
      <c r="BW252" s="393">
        <f t="shared" si="561"/>
        <v>200</v>
      </c>
      <c r="BX252" s="823">
        <f t="shared" si="561"/>
        <v>716</v>
      </c>
      <c r="BY252" s="393">
        <f t="shared" si="561"/>
        <v>200</v>
      </c>
      <c r="BZ252" s="393">
        <f t="shared" si="561"/>
        <v>200</v>
      </c>
      <c r="CA252" s="393">
        <f t="shared" si="561"/>
        <v>200</v>
      </c>
      <c r="CB252" s="393">
        <f t="shared" si="561"/>
        <v>200</v>
      </c>
      <c r="CC252" s="823">
        <f t="shared" si="561"/>
        <v>800</v>
      </c>
      <c r="CD252" s="823">
        <f t="shared" si="561"/>
        <v>800</v>
      </c>
      <c r="CE252" s="823">
        <f t="shared" si="561"/>
        <v>800</v>
      </c>
      <c r="CF252" s="823">
        <f t="shared" si="561"/>
        <v>800</v>
      </c>
      <c r="CG252" s="26"/>
    </row>
    <row r="253" spans="1:85" s="428" customFormat="1" hidden="1" outlineLevel="1" x14ac:dyDescent="0.3">
      <c r="A253" s="43" t="s">
        <v>133</v>
      </c>
      <c r="B253" s="64"/>
      <c r="C253" s="827">
        <v>-964</v>
      </c>
      <c r="D253" s="827">
        <v>-947</v>
      </c>
      <c r="E253" s="827">
        <v>-1072</v>
      </c>
      <c r="F253" s="827">
        <v>-1300</v>
      </c>
      <c r="G253" s="763">
        <v>-292</v>
      </c>
      <c r="H253" s="763">
        <v>-375</v>
      </c>
      <c r="I253" s="763">
        <v>-400</v>
      </c>
      <c r="J253" s="37">
        <f>K253-SUM(G253,H253,I253)</f>
        <v>-457</v>
      </c>
      <c r="K253" s="827">
        <v>-1524</v>
      </c>
      <c r="L253" s="763">
        <v>-315</v>
      </c>
      <c r="M253" s="763">
        <v>-411</v>
      </c>
      <c r="N253" s="763">
        <v>-404</v>
      </c>
      <c r="O253" s="37">
        <f>P253-SUM(L253,M253,N253)</f>
        <v>-345</v>
      </c>
      <c r="P253" s="827">
        <v>-1475</v>
      </c>
      <c r="Q253" s="763">
        <v>-290</v>
      </c>
      <c r="R253" s="763">
        <v>-407</v>
      </c>
      <c r="S253" s="763">
        <v>-368</v>
      </c>
      <c r="T253" s="37">
        <f>U253-SUM(Q253,R253,S253)</f>
        <v>-307</v>
      </c>
      <c r="U253" s="827">
        <v>-1372</v>
      </c>
      <c r="V253" s="763">
        <v>-220</v>
      </c>
      <c r="W253" s="763">
        <v>-264</v>
      </c>
      <c r="X253" s="763">
        <v>-240</v>
      </c>
      <c r="Y253" s="37">
        <f>Z253-SUM(V253,W253,X253)</f>
        <v>-236</v>
      </c>
      <c r="Z253" s="827">
        <v>-960</v>
      </c>
      <c r="AA253" s="763">
        <v>-183</v>
      </c>
      <c r="AB253" s="763">
        <v>-231</v>
      </c>
      <c r="AC253" s="763">
        <v>-207</v>
      </c>
      <c r="AD253" s="37">
        <f>AE253-SUM(AA253,AB253,AC253)</f>
        <v>-193</v>
      </c>
      <c r="AE253" s="827">
        <v>-814</v>
      </c>
      <c r="AF253" s="763">
        <v>-166</v>
      </c>
      <c r="AG253" s="763">
        <v>-210</v>
      </c>
      <c r="AH253" s="763">
        <v>-207</v>
      </c>
      <c r="AI253" s="37">
        <f>AJ253-SUM(AF253,AG253,AH253)</f>
        <v>-203</v>
      </c>
      <c r="AJ253" s="827">
        <v>-786</v>
      </c>
      <c r="AK253" s="763">
        <v>-156</v>
      </c>
      <c r="AL253" s="763">
        <v>-211</v>
      </c>
      <c r="AM253" s="763">
        <v>-209</v>
      </c>
      <c r="AN253" s="37">
        <f>AO253-SUM(AK253,AL253,AM253)</f>
        <v>-242</v>
      </c>
      <c r="AO253" s="827">
        <v>-818</v>
      </c>
      <c r="AP253" s="763">
        <v>-145</v>
      </c>
      <c r="AQ253" s="763">
        <v>-194</v>
      </c>
      <c r="AR253" s="763">
        <v>-171</v>
      </c>
      <c r="AS253" s="37">
        <f>AT253-SUM(AP253,AQ253,AR253)</f>
        <v>-157</v>
      </c>
      <c r="AT253" s="827">
        <v>-667</v>
      </c>
      <c r="AU253" s="763">
        <v>0</v>
      </c>
      <c r="AV253" s="763">
        <v>-185</v>
      </c>
      <c r="AW253" s="763">
        <v>-48</v>
      </c>
      <c r="AX253" s="37">
        <f>AY253-SUM(AU253,AV253,AW253)</f>
        <v>-149</v>
      </c>
      <c r="AY253" s="827">
        <v>-382</v>
      </c>
      <c r="AZ253" s="763">
        <v>-67</v>
      </c>
      <c r="BA253" s="763">
        <v>-103</v>
      </c>
      <c r="BB253" s="763">
        <v>-106</v>
      </c>
      <c r="BC253" s="37">
        <f>BD253-SUM(AZ253,BA253,BB253)</f>
        <v>-124</v>
      </c>
      <c r="BD253" s="827">
        <v>-400</v>
      </c>
      <c r="BE253" s="763">
        <v>-79</v>
      </c>
      <c r="BF253" s="763">
        <v>-119</v>
      </c>
      <c r="BG253" s="763">
        <v>-117</v>
      </c>
      <c r="BH253" s="22">
        <f>BI253-SUM(BE253,BF253,BG253)</f>
        <v>-147</v>
      </c>
      <c r="BI253" s="827">
        <v>-462</v>
      </c>
      <c r="BJ253" s="763">
        <v>-93</v>
      </c>
      <c r="BK253" s="763">
        <v>-120</v>
      </c>
      <c r="BL253" s="763">
        <v>-111</v>
      </c>
      <c r="BM253" s="22">
        <f>BN253-SUM(BJ253,BK253,BL253)</f>
        <v>-159</v>
      </c>
      <c r="BN253" s="827">
        <v>-483</v>
      </c>
      <c r="BO253" s="763">
        <v>-101</v>
      </c>
      <c r="BP253" s="763">
        <v>-119</v>
      </c>
      <c r="BQ253" s="763">
        <v>-112</v>
      </c>
      <c r="BR253" s="22">
        <f>BS253-SUM(BO253,BP253,BQ253)</f>
        <v>-145</v>
      </c>
      <c r="BS253" s="827">
        <v>-477</v>
      </c>
      <c r="BT253" s="764">
        <v>-102</v>
      </c>
      <c r="BU253" s="763">
        <v>-70</v>
      </c>
      <c r="BV253" s="763">
        <v>-70</v>
      </c>
      <c r="BW253" s="763">
        <v>-70</v>
      </c>
      <c r="BX253" s="821">
        <f>SUM(BT253,BU253,BV253,BW253)</f>
        <v>-312</v>
      </c>
      <c r="BY253" s="763">
        <v>-70</v>
      </c>
      <c r="BZ253" s="763">
        <v>-70</v>
      </c>
      <c r="CA253" s="763">
        <v>-70</v>
      </c>
      <c r="CB253" s="763">
        <v>-70</v>
      </c>
      <c r="CC253" s="821">
        <f>SUM(BY253,BZ253,CA253,CB253)</f>
        <v>-280</v>
      </c>
      <c r="CD253" s="827">
        <v>-280</v>
      </c>
      <c r="CE253" s="827">
        <v>-280</v>
      </c>
      <c r="CF253" s="827">
        <v>-280</v>
      </c>
      <c r="CG253" s="22"/>
    </row>
    <row r="254" spans="1:85" s="428" customFormat="1" hidden="1" outlineLevel="1" x14ac:dyDescent="0.3">
      <c r="A254" s="43" t="s">
        <v>134</v>
      </c>
      <c r="B254" s="64"/>
      <c r="C254" s="827">
        <v>-33</v>
      </c>
      <c r="D254" s="827">
        <v>-39</v>
      </c>
      <c r="E254" s="827">
        <v>-42</v>
      </c>
      <c r="F254" s="827">
        <v>-48</v>
      </c>
      <c r="G254" s="763">
        <v>-5</v>
      </c>
      <c r="H254" s="763">
        <v>-9</v>
      </c>
      <c r="I254" s="763">
        <v>-8</v>
      </c>
      <c r="J254" s="37">
        <f>K254-SUM(G254,H254,I254)</f>
        <v>-9</v>
      </c>
      <c r="K254" s="827">
        <v>-31</v>
      </c>
      <c r="L254" s="763">
        <v>-5</v>
      </c>
      <c r="M254" s="763">
        <v>-7</v>
      </c>
      <c r="N254" s="763">
        <v>-11</v>
      </c>
      <c r="O254" s="37">
        <f>P254-SUM(L254,M254,N254)</f>
        <v>-5</v>
      </c>
      <c r="P254" s="827">
        <v>-28</v>
      </c>
      <c r="Q254" s="763">
        <v>-6</v>
      </c>
      <c r="R254" s="763">
        <v>-8</v>
      </c>
      <c r="S254" s="763">
        <v>-12</v>
      </c>
      <c r="T254" s="37">
        <f>U254-SUM(Q254,R254,S254)</f>
        <v>-11</v>
      </c>
      <c r="U254" s="827">
        <v>-37</v>
      </c>
      <c r="V254" s="763">
        <v>-8</v>
      </c>
      <c r="W254" s="763">
        <v>-10</v>
      </c>
      <c r="X254" s="763">
        <v>-10</v>
      </c>
      <c r="Y254" s="37">
        <f>Z254-SUM(V254,W254,X254)</f>
        <v>-8</v>
      </c>
      <c r="Z254" s="827">
        <v>-36</v>
      </c>
      <c r="AA254" s="763">
        <v>-5</v>
      </c>
      <c r="AB254" s="763">
        <v>-7</v>
      </c>
      <c r="AC254" s="763">
        <v>-6</v>
      </c>
      <c r="AD254" s="37">
        <f>AE254-SUM(AA254,AB254,AC254)</f>
        <v>-7</v>
      </c>
      <c r="AE254" s="827">
        <v>-25</v>
      </c>
      <c r="AF254" s="763">
        <v>-3</v>
      </c>
      <c r="AG254" s="763">
        <v>-7</v>
      </c>
      <c r="AH254" s="763">
        <v>-6</v>
      </c>
      <c r="AI254" s="37">
        <f>AJ254-SUM(AF254,AG254,AH254)</f>
        <v>-6</v>
      </c>
      <c r="AJ254" s="827">
        <v>-22</v>
      </c>
      <c r="AK254" s="763">
        <v>-2</v>
      </c>
      <c r="AL254" s="763">
        <v>-5</v>
      </c>
      <c r="AM254" s="763">
        <v>-5</v>
      </c>
      <c r="AN254" s="37">
        <f>AO254-SUM(AK254,AL254,AM254)</f>
        <v>-8</v>
      </c>
      <c r="AO254" s="827">
        <v>-20</v>
      </c>
      <c r="AP254" s="763">
        <v>-2</v>
      </c>
      <c r="AQ254" s="763">
        <v>-6</v>
      </c>
      <c r="AR254" s="763">
        <v>-3</v>
      </c>
      <c r="AS254" s="37">
        <f>AT254-SUM(AP254,AQ254,AR254)</f>
        <v>-4</v>
      </c>
      <c r="AT254" s="827">
        <v>-15</v>
      </c>
      <c r="AU254" s="763">
        <v>0</v>
      </c>
      <c r="AV254" s="763">
        <v>0</v>
      </c>
      <c r="AW254" s="763">
        <v>-1</v>
      </c>
      <c r="AX254" s="37">
        <f>AY254-SUM(AU254,AV254,AW254)</f>
        <v>-1</v>
      </c>
      <c r="AY254" s="827">
        <v>-2</v>
      </c>
      <c r="AZ254" s="763">
        <v>0</v>
      </c>
      <c r="BA254" s="763">
        <v>-1</v>
      </c>
      <c r="BB254" s="763">
        <v>0</v>
      </c>
      <c r="BC254" s="37">
        <f>BD254-SUM(AZ254,BA254,BB254)</f>
        <v>-1</v>
      </c>
      <c r="BD254" s="827">
        <v>-2</v>
      </c>
      <c r="BE254" s="763">
        <v>0</v>
      </c>
      <c r="BF254" s="763">
        <v>-1</v>
      </c>
      <c r="BG254" s="763">
        <v>-1</v>
      </c>
      <c r="BH254" s="22">
        <f>BI254-SUM(BE254,BF254,BG254)</f>
        <v>0</v>
      </c>
      <c r="BI254" s="828">
        <v>-2</v>
      </c>
      <c r="BJ254" s="763">
        <v>-1</v>
      </c>
      <c r="BK254" s="763">
        <v>0</v>
      </c>
      <c r="BL254" s="763">
        <v>-1</v>
      </c>
      <c r="BM254" s="22">
        <f>BN254-SUM(BJ254,BK254,BL254)</f>
        <v>0</v>
      </c>
      <c r="BN254" s="879">
        <f>-485-BN253</f>
        <v>-2</v>
      </c>
      <c r="BO254" s="22">
        <f>-101-BO253</f>
        <v>0</v>
      </c>
      <c r="BP254" s="22">
        <f>-119-BP253</f>
        <v>0</v>
      </c>
      <c r="BQ254" s="22">
        <f>-112-BQ253</f>
        <v>0</v>
      </c>
      <c r="BR254" s="22">
        <f>BS254-SUM(BO254,BP254,BQ254)</f>
        <v>0</v>
      </c>
      <c r="BS254" s="879">
        <f>-477-BS253</f>
        <v>0</v>
      </c>
      <c r="BT254" s="648">
        <f>-102-BT253</f>
        <v>0</v>
      </c>
      <c r="BU254" s="37">
        <f>-BU251</f>
        <v>0</v>
      </c>
      <c r="BV254" s="37">
        <f>-BV251</f>
        <v>0</v>
      </c>
      <c r="BW254" s="37">
        <f>-BW251</f>
        <v>0</v>
      </c>
      <c r="BX254" s="821">
        <f>SUM(BT254,BU254,BV254,BW254)</f>
        <v>0</v>
      </c>
      <c r="BY254" s="37">
        <f>-BY251</f>
        <v>0</v>
      </c>
      <c r="BZ254" s="37">
        <f>-BZ251</f>
        <v>0</v>
      </c>
      <c r="CA254" s="37">
        <f>-CA251</f>
        <v>0</v>
      </c>
      <c r="CB254" s="37">
        <f>-CB251</f>
        <v>0</v>
      </c>
      <c r="CC254" s="821">
        <f>SUM(BY254,BZ254,CA254,CB254)</f>
        <v>0</v>
      </c>
      <c r="CD254" s="821">
        <f>-CD251</f>
        <v>0</v>
      </c>
      <c r="CE254" s="821">
        <f>-CE251</f>
        <v>0</v>
      </c>
      <c r="CF254" s="821">
        <f>-CF251</f>
        <v>0</v>
      </c>
      <c r="CG254" s="22"/>
    </row>
    <row r="255" spans="1:85" s="429" customFormat="1" hidden="1" outlineLevel="1" x14ac:dyDescent="0.3">
      <c r="A255" s="42" t="s">
        <v>135</v>
      </c>
      <c r="B255" s="90"/>
      <c r="C255" s="823">
        <f t="shared" ref="C255:AH255" si="562">SUM(C252:C254)</f>
        <v>704</v>
      </c>
      <c r="D255" s="823">
        <f t="shared" si="562"/>
        <v>633</v>
      </c>
      <c r="E255" s="823">
        <f t="shared" si="562"/>
        <v>530</v>
      </c>
      <c r="F255" s="823">
        <f t="shared" si="562"/>
        <v>382</v>
      </c>
      <c r="G255" s="393">
        <f t="shared" si="562"/>
        <v>87</v>
      </c>
      <c r="H255" s="393">
        <f t="shared" si="562"/>
        <v>74</v>
      </c>
      <c r="I255" s="393">
        <f t="shared" si="562"/>
        <v>95</v>
      </c>
      <c r="J255" s="393">
        <f t="shared" si="562"/>
        <v>105</v>
      </c>
      <c r="K255" s="823">
        <f t="shared" si="562"/>
        <v>361</v>
      </c>
      <c r="L255" s="393">
        <f t="shared" si="562"/>
        <v>74</v>
      </c>
      <c r="M255" s="393">
        <f t="shared" si="562"/>
        <v>76</v>
      </c>
      <c r="N255" s="393">
        <f t="shared" si="562"/>
        <v>70</v>
      </c>
      <c r="O255" s="393">
        <f t="shared" si="562"/>
        <v>35</v>
      </c>
      <c r="P255" s="823">
        <f t="shared" si="562"/>
        <v>255</v>
      </c>
      <c r="Q255" s="393">
        <f t="shared" si="562"/>
        <v>36</v>
      </c>
      <c r="R255" s="393">
        <f t="shared" si="562"/>
        <v>33</v>
      </c>
      <c r="S255" s="393">
        <f t="shared" si="562"/>
        <v>46</v>
      </c>
      <c r="T255" s="393">
        <f t="shared" si="562"/>
        <v>31</v>
      </c>
      <c r="U255" s="823">
        <f t="shared" si="562"/>
        <v>146</v>
      </c>
      <c r="V255" s="393">
        <f t="shared" si="562"/>
        <v>29</v>
      </c>
      <c r="W255" s="393">
        <f t="shared" si="562"/>
        <v>33</v>
      </c>
      <c r="X255" s="393">
        <f t="shared" si="562"/>
        <v>40</v>
      </c>
      <c r="Y255" s="393">
        <f t="shared" si="562"/>
        <v>44</v>
      </c>
      <c r="Z255" s="823">
        <f t="shared" si="562"/>
        <v>146</v>
      </c>
      <c r="AA255" s="393">
        <f t="shared" si="562"/>
        <v>52</v>
      </c>
      <c r="AB255" s="393">
        <f t="shared" si="562"/>
        <v>48</v>
      </c>
      <c r="AC255" s="393">
        <f t="shared" si="562"/>
        <v>53</v>
      </c>
      <c r="AD255" s="393">
        <f t="shared" si="562"/>
        <v>56</v>
      </c>
      <c r="AE255" s="823">
        <f t="shared" si="562"/>
        <v>209</v>
      </c>
      <c r="AF255" s="393">
        <f t="shared" si="562"/>
        <v>61</v>
      </c>
      <c r="AG255" s="393">
        <f t="shared" si="562"/>
        <v>58</v>
      </c>
      <c r="AH255" s="393">
        <f t="shared" si="562"/>
        <v>57</v>
      </c>
      <c r="AI255" s="393">
        <f t="shared" ref="AI255:AR255" si="563">SUM(AI252:AI254)</f>
        <v>60</v>
      </c>
      <c r="AJ255" s="823">
        <f t="shared" si="563"/>
        <v>236</v>
      </c>
      <c r="AK255" s="393">
        <f t="shared" si="563"/>
        <v>66</v>
      </c>
      <c r="AL255" s="393">
        <f t="shared" si="563"/>
        <v>60</v>
      </c>
      <c r="AM255" s="393">
        <f t="shared" si="563"/>
        <v>61</v>
      </c>
      <c r="AN255" s="393">
        <f t="shared" si="563"/>
        <v>59</v>
      </c>
      <c r="AO255" s="823">
        <f t="shared" si="563"/>
        <v>246</v>
      </c>
      <c r="AP255" s="393">
        <f t="shared" si="563"/>
        <v>65</v>
      </c>
      <c r="AQ255" s="393">
        <f t="shared" si="563"/>
        <v>33</v>
      </c>
      <c r="AR255" s="393">
        <f t="shared" si="563"/>
        <v>37</v>
      </c>
      <c r="AS255" s="393">
        <f t="shared" ref="AS255" si="564">SUM(AS252:AS254)</f>
        <v>-58</v>
      </c>
      <c r="AT255" s="823">
        <f t="shared" ref="AT255:AX255" si="565">SUM(AT252:AT254)</f>
        <v>77</v>
      </c>
      <c r="AU255" s="393">
        <f t="shared" si="565"/>
        <v>24</v>
      </c>
      <c r="AV255" s="393">
        <f t="shared" si="565"/>
        <v>25</v>
      </c>
      <c r="AW255" s="393">
        <f t="shared" si="565"/>
        <v>39</v>
      </c>
      <c r="AX255" s="393">
        <f t="shared" si="565"/>
        <v>36</v>
      </c>
      <c r="AY255" s="823">
        <f>SUM(AY252:AY254)</f>
        <v>124</v>
      </c>
      <c r="AZ255" s="393">
        <f t="shared" ref="AZ255:BC255" si="566">SUM(AZ252:AZ254)</f>
        <v>16</v>
      </c>
      <c r="BA255" s="393">
        <f t="shared" si="566"/>
        <v>38</v>
      </c>
      <c r="BB255" s="393">
        <f t="shared" si="566"/>
        <v>32</v>
      </c>
      <c r="BC255" s="393">
        <f t="shared" si="566"/>
        <v>30</v>
      </c>
      <c r="BD255" s="823">
        <f t="shared" ref="BD255:BE255" si="567">SUM(BD252:BD254)</f>
        <v>116</v>
      </c>
      <c r="BE255" s="393">
        <f t="shared" si="567"/>
        <v>30</v>
      </c>
      <c r="BF255" s="394">
        <f t="shared" ref="BF255:BM255" si="568">SUM(BF252:BF254)</f>
        <v>36</v>
      </c>
      <c r="BG255" s="394">
        <f t="shared" si="568"/>
        <v>32</v>
      </c>
      <c r="BH255" s="394">
        <f t="shared" si="568"/>
        <v>35</v>
      </c>
      <c r="BI255" s="826">
        <f t="shared" si="568"/>
        <v>133</v>
      </c>
      <c r="BJ255" s="394">
        <f t="shared" si="568"/>
        <v>27</v>
      </c>
      <c r="BK255" s="394">
        <f>SUM(BK252:BK254)</f>
        <v>33</v>
      </c>
      <c r="BL255" s="394">
        <f t="shared" si="568"/>
        <v>27</v>
      </c>
      <c r="BM255" s="394">
        <f t="shared" si="568"/>
        <v>45</v>
      </c>
      <c r="BN255" s="826">
        <f t="shared" ref="BN255:CF255" si="569">SUM(BN252:BN254)</f>
        <v>132</v>
      </c>
      <c r="BO255" s="394">
        <f t="shared" si="569"/>
        <v>19</v>
      </c>
      <c r="BP255" s="394">
        <f t="shared" si="569"/>
        <v>30</v>
      </c>
      <c r="BQ255" s="394">
        <f t="shared" si="569"/>
        <v>24</v>
      </c>
      <c r="BR255" s="394">
        <f t="shared" si="569"/>
        <v>31</v>
      </c>
      <c r="BS255" s="826">
        <f t="shared" si="569"/>
        <v>104</v>
      </c>
      <c r="BT255" s="640">
        <f t="shared" si="569"/>
        <v>14</v>
      </c>
      <c r="BU255" s="393">
        <f t="shared" si="569"/>
        <v>130</v>
      </c>
      <c r="BV255" s="393">
        <f t="shared" si="569"/>
        <v>130</v>
      </c>
      <c r="BW255" s="393">
        <f t="shared" si="569"/>
        <v>130</v>
      </c>
      <c r="BX255" s="823">
        <f t="shared" si="569"/>
        <v>404</v>
      </c>
      <c r="BY255" s="393">
        <f t="shared" si="569"/>
        <v>130</v>
      </c>
      <c r="BZ255" s="393">
        <f t="shared" si="569"/>
        <v>130</v>
      </c>
      <c r="CA255" s="393">
        <f t="shared" si="569"/>
        <v>130</v>
      </c>
      <c r="CB255" s="393">
        <f t="shared" si="569"/>
        <v>130</v>
      </c>
      <c r="CC255" s="823">
        <f t="shared" si="569"/>
        <v>520</v>
      </c>
      <c r="CD255" s="823">
        <f t="shared" si="569"/>
        <v>520</v>
      </c>
      <c r="CE255" s="823">
        <f t="shared" si="569"/>
        <v>520</v>
      </c>
      <c r="CF255" s="823">
        <f t="shared" si="569"/>
        <v>520</v>
      </c>
      <c r="CG255" s="26"/>
    </row>
    <row r="256" spans="1:85" s="429" customFormat="1" hidden="1" outlineLevel="1" x14ac:dyDescent="0.3">
      <c r="A256" s="48"/>
      <c r="B256" s="63"/>
      <c r="C256" s="825"/>
      <c r="D256" s="825"/>
      <c r="E256" s="825"/>
      <c r="F256" s="825"/>
      <c r="G256" s="31"/>
      <c r="H256" s="31"/>
      <c r="I256" s="31"/>
      <c r="J256" s="31"/>
      <c r="K256" s="825"/>
      <c r="L256" s="31"/>
      <c r="M256" s="31"/>
      <c r="N256" s="31"/>
      <c r="O256" s="31"/>
      <c r="P256" s="825"/>
      <c r="Q256" s="31"/>
      <c r="R256" s="31"/>
      <c r="S256" s="31"/>
      <c r="T256" s="31"/>
      <c r="U256" s="825"/>
      <c r="V256" s="31"/>
      <c r="W256" s="31"/>
      <c r="X256" s="31"/>
      <c r="Y256" s="31"/>
      <c r="Z256" s="825"/>
      <c r="AA256" s="31"/>
      <c r="AB256" s="31"/>
      <c r="AC256" s="31"/>
      <c r="AD256" s="31"/>
      <c r="AE256" s="825"/>
      <c r="AF256" s="31"/>
      <c r="AG256" s="31"/>
      <c r="AH256" s="31"/>
      <c r="AI256" s="31"/>
      <c r="AJ256" s="825"/>
      <c r="AK256" s="31"/>
      <c r="AL256" s="31"/>
      <c r="AM256" s="31"/>
      <c r="AN256" s="31"/>
      <c r="AO256" s="825"/>
      <c r="AP256" s="31"/>
      <c r="AQ256" s="31"/>
      <c r="AR256" s="31"/>
      <c r="AS256" s="31"/>
      <c r="AT256" s="825"/>
      <c r="AU256" s="31"/>
      <c r="AV256" s="31"/>
      <c r="AW256" s="31"/>
      <c r="AX256" s="31"/>
      <c r="AY256" s="825"/>
      <c r="AZ256" s="31"/>
      <c r="BA256" s="31"/>
      <c r="BB256" s="31"/>
      <c r="BC256" s="31"/>
      <c r="BD256" s="825"/>
      <c r="BE256" s="31"/>
      <c r="BF256" s="31"/>
      <c r="BG256" s="31"/>
      <c r="BH256" s="31"/>
      <c r="BI256" s="825"/>
      <c r="BJ256" s="31"/>
      <c r="BK256" s="31"/>
      <c r="BL256" s="31"/>
      <c r="BM256" s="31"/>
      <c r="BN256" s="825"/>
      <c r="BO256" s="31"/>
      <c r="BP256" s="31"/>
      <c r="BQ256" s="31"/>
      <c r="BR256" s="31"/>
      <c r="BS256" s="825"/>
      <c r="BT256" s="379"/>
      <c r="BU256" s="31"/>
      <c r="BV256" s="31"/>
      <c r="BW256" s="31"/>
      <c r="BX256" s="825"/>
      <c r="BY256" s="31"/>
      <c r="BZ256" s="31"/>
      <c r="CA256" s="31"/>
      <c r="CB256" s="31"/>
      <c r="CC256" s="825"/>
      <c r="CD256" s="825"/>
      <c r="CE256" s="825"/>
      <c r="CF256" s="825"/>
      <c r="CG256" s="26"/>
    </row>
    <row r="257" spans="1:85" s="429" customFormat="1" hidden="1" outlineLevel="1" x14ac:dyDescent="0.3">
      <c r="A257" s="43" t="s">
        <v>136</v>
      </c>
      <c r="B257" s="64"/>
      <c r="C257" s="827">
        <v>-22</v>
      </c>
      <c r="D257" s="827">
        <v>-41</v>
      </c>
      <c r="E257" s="821"/>
      <c r="F257" s="821"/>
      <c r="G257" s="37"/>
      <c r="H257" s="37"/>
      <c r="I257" s="37"/>
      <c r="J257" s="37"/>
      <c r="K257" s="821"/>
      <c r="L257" s="37"/>
      <c r="M257" s="37"/>
      <c r="N257" s="37"/>
      <c r="O257" s="37"/>
      <c r="P257" s="821"/>
      <c r="Q257" s="763">
        <v>0</v>
      </c>
      <c r="R257" s="763">
        <v>0</v>
      </c>
      <c r="S257" s="763">
        <v>0</v>
      </c>
      <c r="T257" s="37"/>
      <c r="U257" s="821"/>
      <c r="V257" s="763">
        <v>0</v>
      </c>
      <c r="W257" s="763">
        <v>0</v>
      </c>
      <c r="X257" s="763">
        <v>-53</v>
      </c>
      <c r="Y257" s="37">
        <f>Z257-SUM(V257,W257,X257)</f>
        <v>-115</v>
      </c>
      <c r="Z257" s="827">
        <v>-168</v>
      </c>
      <c r="AA257" s="763">
        <v>-43</v>
      </c>
      <c r="AB257" s="763">
        <v>-41</v>
      </c>
      <c r="AC257" s="763">
        <v>-30</v>
      </c>
      <c r="AD257" s="37">
        <f>AE257-SUM(AA257,AB257,AC257)</f>
        <v>-150</v>
      </c>
      <c r="AE257" s="827">
        <v>-264</v>
      </c>
      <c r="AF257" s="763">
        <v>-149</v>
      </c>
      <c r="AG257" s="763">
        <v>-204</v>
      </c>
      <c r="AH257" s="763">
        <v>-171</v>
      </c>
      <c r="AI257" s="37">
        <f>AJ257-SUM(AF257,AG257,AH257)</f>
        <v>-189</v>
      </c>
      <c r="AJ257" s="827">
        <v>-713</v>
      </c>
      <c r="AK257" s="763">
        <v>-214</v>
      </c>
      <c r="AL257" s="763">
        <v>-189</v>
      </c>
      <c r="AM257" s="763">
        <v>-187</v>
      </c>
      <c r="AN257" s="37">
        <f>AO257-SUM(AK257,AL257,AM257)</f>
        <v>-171</v>
      </c>
      <c r="AO257" s="827">
        <v>-761</v>
      </c>
      <c r="AP257" s="763">
        <v>-154</v>
      </c>
      <c r="AQ257" s="763">
        <v>-164</v>
      </c>
      <c r="AR257" s="763">
        <v>-153</v>
      </c>
      <c r="AS257" s="37">
        <f>AT257-SUM(AP257,AQ257,AR257)</f>
        <v>-187</v>
      </c>
      <c r="AT257" s="827">
        <v>-658</v>
      </c>
      <c r="AU257" s="763">
        <v>-184</v>
      </c>
      <c r="AV257" s="763">
        <v>-173</v>
      </c>
      <c r="AW257" s="763">
        <v>-160</v>
      </c>
      <c r="AX257" s="37">
        <f>AY257-SUM(AU257,AV257,AW257)</f>
        <v>-145</v>
      </c>
      <c r="AY257" s="827">
        <v>-662</v>
      </c>
      <c r="AZ257" s="763">
        <v>-126</v>
      </c>
      <c r="BA257" s="763">
        <v>-120</v>
      </c>
      <c r="BB257" s="763">
        <v>-117</v>
      </c>
      <c r="BC257" s="37">
        <f>BD257-SUM(AZ257,BA257,BB257)</f>
        <v>-113</v>
      </c>
      <c r="BD257" s="827">
        <v>-476</v>
      </c>
      <c r="BE257" s="763">
        <v>-106</v>
      </c>
      <c r="BF257" s="763">
        <v>-111</v>
      </c>
      <c r="BG257" s="763">
        <v>-104</v>
      </c>
      <c r="BH257" s="22">
        <f>BI257-SUM(BE257,BF257,BG257)</f>
        <v>-111</v>
      </c>
      <c r="BI257" s="827">
        <v>-432</v>
      </c>
      <c r="BJ257" s="763">
        <v>-109</v>
      </c>
      <c r="BK257" s="763">
        <v>-103</v>
      </c>
      <c r="BL257" s="763">
        <v>-146</v>
      </c>
      <c r="BM257" s="22">
        <f>BN257-SUM(BJ257,BK257,BL257)</f>
        <v>-181</v>
      </c>
      <c r="BN257" s="827">
        <v>-539</v>
      </c>
      <c r="BO257" s="763">
        <v>-192</v>
      </c>
      <c r="BP257" s="763">
        <v>-250</v>
      </c>
      <c r="BQ257" s="763">
        <v>-329</v>
      </c>
      <c r="BR257" s="22">
        <f>BS257-SUM(BO257,BP257,BQ257)</f>
        <v>-325</v>
      </c>
      <c r="BS257" s="827">
        <v>-1096</v>
      </c>
      <c r="BT257" s="764">
        <v>-310</v>
      </c>
      <c r="BU257" s="37"/>
      <c r="BV257" s="37"/>
      <c r="BW257" s="37"/>
      <c r="BX257" s="821"/>
      <c r="BY257" s="37"/>
      <c r="BZ257" s="37"/>
      <c r="CA257" s="37"/>
      <c r="CB257" s="37"/>
      <c r="CC257" s="821"/>
      <c r="CD257" s="821"/>
      <c r="CE257" s="821"/>
      <c r="CF257" s="821"/>
      <c r="CG257" s="26"/>
    </row>
    <row r="258" spans="1:85" s="429" customFormat="1" hidden="1" outlineLevel="1" x14ac:dyDescent="0.3">
      <c r="A258" s="43" t="s">
        <v>137</v>
      </c>
      <c r="B258" s="64"/>
      <c r="C258" s="827">
        <v>46</v>
      </c>
      <c r="D258" s="827">
        <v>70</v>
      </c>
      <c r="E258" s="827">
        <v>78</v>
      </c>
      <c r="F258" s="827">
        <v>83</v>
      </c>
      <c r="G258" s="763">
        <v>21</v>
      </c>
      <c r="H258" s="763">
        <v>18</v>
      </c>
      <c r="I258" s="763">
        <v>17</v>
      </c>
      <c r="J258" s="37">
        <f>K258-SUM(G258,H258,I258)</f>
        <v>24</v>
      </c>
      <c r="K258" s="827">
        <v>80</v>
      </c>
      <c r="L258" s="763">
        <v>17</v>
      </c>
      <c r="M258" s="763">
        <v>24</v>
      </c>
      <c r="N258" s="763">
        <v>16</v>
      </c>
      <c r="O258" s="37">
        <f>P258-SUM(L258,M258,N258)</f>
        <v>20</v>
      </c>
      <c r="P258" s="827">
        <v>77</v>
      </c>
      <c r="Q258" s="763">
        <v>17</v>
      </c>
      <c r="R258" s="763">
        <v>16</v>
      </c>
      <c r="S258" s="763">
        <v>16</v>
      </c>
      <c r="T258" s="37">
        <f>U258-SUM(Q258,R258,S258)</f>
        <v>16</v>
      </c>
      <c r="U258" s="827">
        <v>65</v>
      </c>
      <c r="V258" s="763">
        <v>15</v>
      </c>
      <c r="W258" s="763">
        <v>17</v>
      </c>
      <c r="X258" s="763">
        <v>15</v>
      </c>
      <c r="Y258" s="37">
        <f>Z258-SUM(V258,W258,X258)</f>
        <v>11</v>
      </c>
      <c r="Z258" s="827">
        <v>58</v>
      </c>
      <c r="AA258" s="763">
        <v>15</v>
      </c>
      <c r="AB258" s="763">
        <v>14</v>
      </c>
      <c r="AC258" s="763">
        <v>13</v>
      </c>
      <c r="AD258" s="37">
        <f>AE258-SUM(AA258,AB258,AC258)</f>
        <v>18</v>
      </c>
      <c r="AE258" s="827">
        <v>60</v>
      </c>
      <c r="AF258" s="763">
        <v>19</v>
      </c>
      <c r="AG258" s="763">
        <v>27</v>
      </c>
      <c r="AH258" s="763">
        <v>37</v>
      </c>
      <c r="AI258" s="37">
        <f>AJ258-SUM(AF258,AG258,AH258)</f>
        <v>54</v>
      </c>
      <c r="AJ258" s="827">
        <v>137</v>
      </c>
      <c r="AK258" s="763">
        <v>50</v>
      </c>
      <c r="AL258" s="763">
        <v>43</v>
      </c>
      <c r="AM258" s="763">
        <v>48</v>
      </c>
      <c r="AN258" s="37">
        <f>AO258-SUM(AK258,AL258,AM258)</f>
        <v>40</v>
      </c>
      <c r="AO258" s="827">
        <v>181</v>
      </c>
      <c r="AP258" s="763">
        <v>23</v>
      </c>
      <c r="AQ258" s="763">
        <v>13</v>
      </c>
      <c r="AR258" s="763">
        <v>7</v>
      </c>
      <c r="AS258" s="37">
        <f>AT258-SUM(AP258,AQ258,AR258)</f>
        <v>9</v>
      </c>
      <c r="AT258" s="827">
        <v>52</v>
      </c>
      <c r="AU258" s="763">
        <v>8</v>
      </c>
      <c r="AV258" s="763">
        <v>12</v>
      </c>
      <c r="AW258" s="763">
        <v>8</v>
      </c>
      <c r="AX258" s="37">
        <f>AY258-SUM(AU258,AV258,AW258)</f>
        <v>8</v>
      </c>
      <c r="AY258" s="827">
        <v>36</v>
      </c>
      <c r="AZ258" s="763">
        <v>10</v>
      </c>
      <c r="BA258" s="763">
        <v>29</v>
      </c>
      <c r="BB258" s="763">
        <v>77</v>
      </c>
      <c r="BC258" s="37">
        <f>BD258-SUM(AZ258,BA258,BB258)</f>
        <v>145</v>
      </c>
      <c r="BD258" s="827">
        <v>261</v>
      </c>
      <c r="BE258" s="763">
        <v>152</v>
      </c>
      <c r="BF258" s="763">
        <v>146</v>
      </c>
      <c r="BG258" s="763">
        <v>103</v>
      </c>
      <c r="BH258" s="22">
        <f>BI258-SUM(BE258,BF258,BG258)</f>
        <v>90</v>
      </c>
      <c r="BI258" s="827">
        <v>491</v>
      </c>
      <c r="BJ258" s="763">
        <v>85</v>
      </c>
      <c r="BK258" s="763">
        <v>66</v>
      </c>
      <c r="BL258" s="763">
        <v>64</v>
      </c>
      <c r="BM258" s="22">
        <f>BN258-SUM(BJ258,BK258,BL258)</f>
        <v>81</v>
      </c>
      <c r="BN258" s="827">
        <v>296</v>
      </c>
      <c r="BO258" s="763">
        <v>69</v>
      </c>
      <c r="BP258" s="763">
        <v>63</v>
      </c>
      <c r="BQ258" s="763">
        <v>61</v>
      </c>
      <c r="BR258" s="22">
        <f>BS258-SUM(BO258,BP258,BQ258)</f>
        <v>64</v>
      </c>
      <c r="BS258" s="827">
        <v>257</v>
      </c>
      <c r="BT258" s="764">
        <v>50</v>
      </c>
      <c r="BU258" s="37"/>
      <c r="BV258" s="37"/>
      <c r="BW258" s="37"/>
      <c r="BX258" s="821"/>
      <c r="BY258" s="37"/>
      <c r="BZ258" s="37"/>
      <c r="CA258" s="37"/>
      <c r="CB258" s="37"/>
      <c r="CC258" s="821"/>
      <c r="CD258" s="821"/>
      <c r="CE258" s="821"/>
      <c r="CF258" s="821"/>
      <c r="CG258" s="26"/>
    </row>
    <row r="259" spans="1:85" s="429" customFormat="1" hidden="1" outlineLevel="1" x14ac:dyDescent="0.3">
      <c r="A259" s="43" t="s">
        <v>138</v>
      </c>
      <c r="B259" s="64"/>
      <c r="C259" s="827">
        <v>-946</v>
      </c>
      <c r="D259" s="827">
        <v>-1160</v>
      </c>
      <c r="E259" s="827">
        <v>-1560</v>
      </c>
      <c r="F259" s="827">
        <v>-1991</v>
      </c>
      <c r="G259" s="763">
        <v>-460</v>
      </c>
      <c r="H259" s="763">
        <v>-368</v>
      </c>
      <c r="I259" s="763">
        <v>-539</v>
      </c>
      <c r="J259" s="37">
        <f>K259-SUM(G259,H259,I259)</f>
        <v>-336</v>
      </c>
      <c r="K259" s="827">
        <v>-1703</v>
      </c>
      <c r="L259" s="763">
        <v>-522</v>
      </c>
      <c r="M259" s="763">
        <v>-341</v>
      </c>
      <c r="N259" s="763">
        <v>-459</v>
      </c>
      <c r="O259" s="37">
        <f>P259-SUM(L259,M259,N259)</f>
        <v>-743</v>
      </c>
      <c r="P259" s="827">
        <v>-2065</v>
      </c>
      <c r="Q259" s="763">
        <v>-433</v>
      </c>
      <c r="R259" s="763">
        <v>-182</v>
      </c>
      <c r="S259" s="763">
        <v>-249</v>
      </c>
      <c r="T259" s="37">
        <f>U259-SUM(Q259,R259,S259)</f>
        <v>-254</v>
      </c>
      <c r="U259" s="827">
        <v>-1118</v>
      </c>
      <c r="V259" s="763">
        <v>-16</v>
      </c>
      <c r="W259" s="763">
        <v>-303</v>
      </c>
      <c r="X259" s="763">
        <v>-198</v>
      </c>
      <c r="Y259" s="37">
        <f>Z259-SUM(V259,W259,X259)</f>
        <v>-768</v>
      </c>
      <c r="Z259" s="827">
        <v>-1285</v>
      </c>
      <c r="AA259" s="763">
        <v>267</v>
      </c>
      <c r="AB259" s="763">
        <v>-571</v>
      </c>
      <c r="AC259" s="763">
        <v>-334</v>
      </c>
      <c r="AD259" s="37">
        <f>AE259-SUM(AA259,AB259,AC259)</f>
        <v>-3327</v>
      </c>
      <c r="AE259" s="827">
        <v>-3965</v>
      </c>
      <c r="AF259" s="763">
        <v>-312</v>
      </c>
      <c r="AG259" s="763">
        <v>-547</v>
      </c>
      <c r="AH259" s="763">
        <v>-571</v>
      </c>
      <c r="AI259" s="37">
        <f>AJ259-SUM(AF259,AG259,AH259)</f>
        <v>-284</v>
      </c>
      <c r="AJ259" s="827">
        <v>-1714</v>
      </c>
      <c r="AK259" s="763">
        <v>-562</v>
      </c>
      <c r="AL259" s="763">
        <v>239</v>
      </c>
      <c r="AM259" s="763">
        <v>-813</v>
      </c>
      <c r="AN259" s="37">
        <f>AO259-SUM(AK259,AL259,AM259)</f>
        <v>-417</v>
      </c>
      <c r="AO259" s="827">
        <v>-1553</v>
      </c>
      <c r="AP259" s="763">
        <v>-293</v>
      </c>
      <c r="AQ259" s="763">
        <v>-1020</v>
      </c>
      <c r="AR259" s="763">
        <v>-588</v>
      </c>
      <c r="AS259" s="37">
        <f>AT259-SUM(AP259,AQ259,AR259)</f>
        <v>-650</v>
      </c>
      <c r="AT259" s="827">
        <v>-2551</v>
      </c>
      <c r="AU259" s="763">
        <v>-802</v>
      </c>
      <c r="AV259" s="763">
        <v>-774</v>
      </c>
      <c r="AW259" s="763">
        <v>-182</v>
      </c>
      <c r="AX259" s="37">
        <f>AY259-SUM(AU259,AV259,AW259)</f>
        <v>-723</v>
      </c>
      <c r="AY259" s="827">
        <v>-2481</v>
      </c>
      <c r="AZ259" s="763">
        <v>-890</v>
      </c>
      <c r="BA259" s="763">
        <v>-368</v>
      </c>
      <c r="BB259" s="763">
        <v>-566</v>
      </c>
      <c r="BC259" s="37">
        <f>BD259-SUM(AZ259,BA259,BB259)</f>
        <v>-935</v>
      </c>
      <c r="BD259" s="827">
        <v>-2759</v>
      </c>
      <c r="BE259" s="763">
        <v>-433</v>
      </c>
      <c r="BF259" s="763">
        <v>-468</v>
      </c>
      <c r="BG259" s="763">
        <v>-911</v>
      </c>
      <c r="BH259" s="22">
        <f>BI259-SUM(BE259,BF259,BG259)</f>
        <v>-453</v>
      </c>
      <c r="BI259" s="828">
        <v>-2265</v>
      </c>
      <c r="BJ259" s="763">
        <v>-497</v>
      </c>
      <c r="BK259" s="763">
        <v>-596</v>
      </c>
      <c r="BL259" s="763">
        <v>-615</v>
      </c>
      <c r="BM259" s="22">
        <f>BN259-SUM(BJ259,BK259,BL259)</f>
        <v>-717</v>
      </c>
      <c r="BN259" s="879">
        <f t="shared" ref="BN259:BS259" si="570">BN260-BN258-BN257</f>
        <v>-2425</v>
      </c>
      <c r="BO259" s="37">
        <f t="shared" si="570"/>
        <v>-460</v>
      </c>
      <c r="BP259" s="22">
        <f t="shared" si="570"/>
        <v>-787</v>
      </c>
      <c r="BQ259" s="22">
        <f t="shared" si="570"/>
        <v>-632</v>
      </c>
      <c r="BR259" s="22">
        <f t="shared" si="570"/>
        <v>-827</v>
      </c>
      <c r="BS259" s="879">
        <f t="shared" si="570"/>
        <v>-2706</v>
      </c>
      <c r="BT259" s="480">
        <f>BT260-BT258-BT257</f>
        <v>-622</v>
      </c>
      <c r="BU259" s="37"/>
      <c r="BV259" s="37"/>
      <c r="BW259" s="37"/>
      <c r="BX259" s="821"/>
      <c r="BY259" s="37"/>
      <c r="BZ259" s="37"/>
      <c r="CA259" s="37"/>
      <c r="CB259" s="37"/>
      <c r="CC259" s="821"/>
      <c r="CD259" s="821"/>
      <c r="CE259" s="821"/>
      <c r="CF259" s="821"/>
      <c r="CG259" s="26"/>
    </row>
    <row r="260" spans="1:85" s="429" customFormat="1" hidden="1" outlineLevel="1" x14ac:dyDescent="0.3">
      <c r="A260" s="42" t="s">
        <v>139</v>
      </c>
      <c r="B260" s="90"/>
      <c r="C260" s="823">
        <f t="shared" ref="C260:AH260" si="571">C520-C243-C99</f>
        <v>-922</v>
      </c>
      <c r="D260" s="823">
        <f t="shared" si="571"/>
        <v>-1131</v>
      </c>
      <c r="E260" s="823">
        <f t="shared" si="571"/>
        <v>-1482</v>
      </c>
      <c r="F260" s="823">
        <f t="shared" si="571"/>
        <v>-1908</v>
      </c>
      <c r="G260" s="393">
        <f t="shared" si="571"/>
        <v>-439</v>
      </c>
      <c r="H260" s="393">
        <f t="shared" si="571"/>
        <v>-350</v>
      </c>
      <c r="I260" s="393">
        <f t="shared" si="571"/>
        <v>-522</v>
      </c>
      <c r="J260" s="393">
        <f t="shared" si="571"/>
        <v>-312</v>
      </c>
      <c r="K260" s="823">
        <f t="shared" si="571"/>
        <v>-1623</v>
      </c>
      <c r="L260" s="393">
        <f t="shared" si="571"/>
        <v>-505</v>
      </c>
      <c r="M260" s="393">
        <f t="shared" si="571"/>
        <v>-320</v>
      </c>
      <c r="N260" s="393">
        <f t="shared" si="571"/>
        <v>-443</v>
      </c>
      <c r="O260" s="393">
        <f t="shared" si="571"/>
        <v>-720</v>
      </c>
      <c r="P260" s="823">
        <f t="shared" si="571"/>
        <v>-1988</v>
      </c>
      <c r="Q260" s="393">
        <f t="shared" si="571"/>
        <v>-416</v>
      </c>
      <c r="R260" s="393">
        <f t="shared" si="571"/>
        <v>-166</v>
      </c>
      <c r="S260" s="393">
        <f t="shared" si="571"/>
        <v>-233</v>
      </c>
      <c r="T260" s="393">
        <f t="shared" si="571"/>
        <v>-238</v>
      </c>
      <c r="U260" s="823">
        <f t="shared" si="571"/>
        <v>-1053</v>
      </c>
      <c r="V260" s="393">
        <f t="shared" si="571"/>
        <v>-1</v>
      </c>
      <c r="W260" s="393">
        <f t="shared" si="571"/>
        <v>-286</v>
      </c>
      <c r="X260" s="393">
        <f t="shared" si="571"/>
        <v>-236</v>
      </c>
      <c r="Y260" s="393">
        <f t="shared" si="571"/>
        <v>-872</v>
      </c>
      <c r="Z260" s="823">
        <f t="shared" si="571"/>
        <v>-1395</v>
      </c>
      <c r="AA260" s="393">
        <f t="shared" si="571"/>
        <v>239</v>
      </c>
      <c r="AB260" s="393">
        <f t="shared" si="571"/>
        <v>-598</v>
      </c>
      <c r="AC260" s="393">
        <f t="shared" si="571"/>
        <v>-351</v>
      </c>
      <c r="AD260" s="393">
        <f t="shared" si="571"/>
        <v>-3459</v>
      </c>
      <c r="AE260" s="823">
        <f t="shared" si="571"/>
        <v>-4169</v>
      </c>
      <c r="AF260" s="393">
        <f t="shared" si="571"/>
        <v>-442</v>
      </c>
      <c r="AG260" s="393">
        <f t="shared" si="571"/>
        <v>-724</v>
      </c>
      <c r="AH260" s="393">
        <f t="shared" si="571"/>
        <v>-705</v>
      </c>
      <c r="AI260" s="393">
        <f t="shared" ref="AI260:BQ260" si="572">AI520-AI243-AI99</f>
        <v>-419</v>
      </c>
      <c r="AJ260" s="823">
        <f t="shared" si="572"/>
        <v>-2290</v>
      </c>
      <c r="AK260" s="393">
        <f t="shared" si="572"/>
        <v>-726</v>
      </c>
      <c r="AL260" s="393">
        <f t="shared" si="572"/>
        <v>93</v>
      </c>
      <c r="AM260" s="393">
        <f t="shared" si="572"/>
        <v>-952</v>
      </c>
      <c r="AN260" s="393">
        <f t="shared" si="572"/>
        <v>-548</v>
      </c>
      <c r="AO260" s="823">
        <f t="shared" si="572"/>
        <v>-2133</v>
      </c>
      <c r="AP260" s="393">
        <f t="shared" si="572"/>
        <v>-424</v>
      </c>
      <c r="AQ260" s="393">
        <f t="shared" si="572"/>
        <v>-1171</v>
      </c>
      <c r="AR260" s="393">
        <f t="shared" si="572"/>
        <v>-734</v>
      </c>
      <c r="AS260" s="393">
        <f t="shared" si="572"/>
        <v>-828</v>
      </c>
      <c r="AT260" s="823">
        <f t="shared" si="572"/>
        <v>-3157</v>
      </c>
      <c r="AU260" s="393">
        <f t="shared" si="572"/>
        <v>-978</v>
      </c>
      <c r="AV260" s="393">
        <f t="shared" si="572"/>
        <v>-935</v>
      </c>
      <c r="AW260" s="393">
        <f t="shared" si="572"/>
        <v>-334</v>
      </c>
      <c r="AX260" s="393">
        <f t="shared" si="572"/>
        <v>-860</v>
      </c>
      <c r="AY260" s="823">
        <f t="shared" si="572"/>
        <v>-3107</v>
      </c>
      <c r="AZ260" s="393">
        <f t="shared" si="572"/>
        <v>-1006</v>
      </c>
      <c r="BA260" s="393">
        <f t="shared" si="572"/>
        <v>-459</v>
      </c>
      <c r="BB260" s="393">
        <f t="shared" si="572"/>
        <v>-606</v>
      </c>
      <c r="BC260" s="393">
        <f t="shared" si="572"/>
        <v>-903</v>
      </c>
      <c r="BD260" s="823">
        <f t="shared" si="572"/>
        <v>-2974</v>
      </c>
      <c r="BE260" s="393">
        <f t="shared" si="572"/>
        <v>-387</v>
      </c>
      <c r="BF260" s="394">
        <f t="shared" si="572"/>
        <v>-433</v>
      </c>
      <c r="BG260" s="394">
        <f t="shared" si="572"/>
        <v>-912</v>
      </c>
      <c r="BH260" s="394">
        <f t="shared" si="572"/>
        <v>-474</v>
      </c>
      <c r="BI260" s="826">
        <f t="shared" si="572"/>
        <v>-2206</v>
      </c>
      <c r="BJ260" s="393">
        <f t="shared" si="572"/>
        <v>-521</v>
      </c>
      <c r="BK260" s="394">
        <f t="shared" si="572"/>
        <v>-633</v>
      </c>
      <c r="BL260" s="394">
        <f t="shared" si="572"/>
        <v>-697</v>
      </c>
      <c r="BM260" s="394">
        <f t="shared" si="572"/>
        <v>-817</v>
      </c>
      <c r="BN260" s="826">
        <f t="shared" si="572"/>
        <v>-2668</v>
      </c>
      <c r="BO260" s="393">
        <f t="shared" si="572"/>
        <v>-583</v>
      </c>
      <c r="BP260" s="394">
        <f t="shared" si="572"/>
        <v>-974</v>
      </c>
      <c r="BQ260" s="394">
        <f t="shared" si="572"/>
        <v>-900</v>
      </c>
      <c r="BR260" s="394">
        <f t="shared" ref="BR260" si="573">BR520-BR243-BR99</f>
        <v>-1088</v>
      </c>
      <c r="BS260" s="826">
        <f>BS520-BS243-BS99</f>
        <v>-3545</v>
      </c>
      <c r="BT260" s="641">
        <f>BT520-BT243-BT99</f>
        <v>-882</v>
      </c>
      <c r="BU260" s="393"/>
      <c r="BV260" s="393"/>
      <c r="BW260" s="393"/>
      <c r="BX260" s="823"/>
      <c r="BY260" s="393"/>
      <c r="BZ260" s="393"/>
      <c r="CA260" s="393"/>
      <c r="CB260" s="393"/>
      <c r="CC260" s="823"/>
      <c r="CD260" s="823"/>
      <c r="CE260" s="823"/>
      <c r="CF260" s="823"/>
      <c r="CG260" s="26"/>
    </row>
    <row r="261" spans="1:85" s="429" customFormat="1" hidden="1" outlineLevel="1" x14ac:dyDescent="0.3">
      <c r="A261" s="43" t="s">
        <v>632</v>
      </c>
      <c r="B261" s="64"/>
      <c r="C261" s="821"/>
      <c r="D261" s="821"/>
      <c r="E261" s="821"/>
      <c r="F261" s="821"/>
      <c r="G261" s="37"/>
      <c r="H261" s="37"/>
      <c r="I261" s="37"/>
      <c r="J261" s="37"/>
      <c r="K261" s="821"/>
      <c r="L261" s="37"/>
      <c r="M261" s="37"/>
      <c r="N261" s="37"/>
      <c r="O261" s="37"/>
      <c r="P261" s="821"/>
      <c r="Q261" s="37"/>
      <c r="R261" s="37"/>
      <c r="S261" s="37"/>
      <c r="T261" s="37"/>
      <c r="U261" s="821"/>
      <c r="V261" s="37"/>
      <c r="W261" s="37"/>
      <c r="X261" s="37"/>
      <c r="Y261" s="37"/>
      <c r="Z261" s="821"/>
      <c r="AA261" s="37"/>
      <c r="AB261" s="37"/>
      <c r="AC261" s="37"/>
      <c r="AD261" s="37"/>
      <c r="AE261" s="821"/>
      <c r="AF261" s="37"/>
      <c r="AG261" s="37"/>
      <c r="AH261" s="37"/>
      <c r="AI261" s="37"/>
      <c r="AJ261" s="821"/>
      <c r="AK261" s="37">
        <f t="shared" ref="AK261" si="574">AK260-AK262</f>
        <v>0</v>
      </c>
      <c r="AL261" s="37">
        <f t="shared" ref="AL261" si="575">AL260-AL262</f>
        <v>742</v>
      </c>
      <c r="AM261" s="37">
        <f t="shared" ref="AM261" si="576">AM260-AM262</f>
        <v>-432</v>
      </c>
      <c r="AN261" s="37">
        <f t="shared" ref="AN261" si="577">AN260-AN262</f>
        <v>2</v>
      </c>
      <c r="AO261" s="821">
        <f t="shared" ref="AO261" si="578">AO260-AO262</f>
        <v>312</v>
      </c>
      <c r="AP261" s="37">
        <f t="shared" ref="AP261:AU261" si="579">AP260-AP262</f>
        <v>-14</v>
      </c>
      <c r="AQ261" s="37">
        <f t="shared" si="579"/>
        <v>-382</v>
      </c>
      <c r="AR261" s="37">
        <f t="shared" si="579"/>
        <v>-122</v>
      </c>
      <c r="AS261" s="37">
        <f t="shared" si="579"/>
        <v>-110</v>
      </c>
      <c r="AT261" s="821">
        <f t="shared" si="579"/>
        <v>-628</v>
      </c>
      <c r="AU261" s="37">
        <f t="shared" si="579"/>
        <v>-250</v>
      </c>
      <c r="AV261" s="37">
        <f>AV260-AV262</f>
        <v>-151</v>
      </c>
      <c r="AW261" s="37">
        <f>AW260-AW262</f>
        <v>-184</v>
      </c>
      <c r="AX261" s="37">
        <f>AX260-AX262</f>
        <v>-375</v>
      </c>
      <c r="AY261" s="821">
        <f>AY260-AY262</f>
        <v>-960</v>
      </c>
      <c r="AZ261" s="37">
        <f t="shared" ref="AZ261" si="580">AZ260-AZ262</f>
        <v>-163</v>
      </c>
      <c r="BA261" s="37">
        <f t="shared" ref="BA261:BF261" si="581">BA260-BA262</f>
        <v>-91</v>
      </c>
      <c r="BB261" s="37">
        <f t="shared" si="581"/>
        <v>-172</v>
      </c>
      <c r="BC261" s="37">
        <f t="shared" si="581"/>
        <v>-227</v>
      </c>
      <c r="BD261" s="821">
        <f t="shared" si="581"/>
        <v>-653</v>
      </c>
      <c r="BE261" s="37">
        <f t="shared" si="581"/>
        <v>-2</v>
      </c>
      <c r="BF261" s="22">
        <f t="shared" si="581"/>
        <v>-4</v>
      </c>
      <c r="BG261" s="22">
        <f t="shared" ref="BG261:BI261" si="582">BG260-BG262</f>
        <v>-363</v>
      </c>
      <c r="BH261" s="22">
        <f t="shared" si="582"/>
        <v>-259</v>
      </c>
      <c r="BI261" s="852">
        <f t="shared" si="582"/>
        <v>-628</v>
      </c>
      <c r="BJ261" s="37">
        <f t="shared" ref="BJ261:BO261" si="583">BJ260-BJ262</f>
        <v>7</v>
      </c>
      <c r="BK261" s="22">
        <f t="shared" si="583"/>
        <v>-5</v>
      </c>
      <c r="BL261" s="22">
        <f t="shared" si="583"/>
        <v>-2</v>
      </c>
      <c r="BM261" s="22">
        <f t="shared" si="583"/>
        <v>-209</v>
      </c>
      <c r="BN261" s="852">
        <f t="shared" si="583"/>
        <v>-209</v>
      </c>
      <c r="BO261" s="37">
        <f t="shared" si="583"/>
        <v>175</v>
      </c>
      <c r="BP261" s="22">
        <f t="shared" ref="BP261" si="584">BP260-BP262</f>
        <v>-340</v>
      </c>
      <c r="BQ261" s="22">
        <f>BQ260-BQ262</f>
        <v>96</v>
      </c>
      <c r="BR261" s="22">
        <f t="shared" ref="BR261:BS261" si="585">BR260-BR262</f>
        <v>-142</v>
      </c>
      <c r="BS261" s="852">
        <f t="shared" si="585"/>
        <v>-211</v>
      </c>
      <c r="BT261" s="480">
        <f>BT260-BT262</f>
        <v>2</v>
      </c>
      <c r="BU261" s="37"/>
      <c r="BV261" s="37"/>
      <c r="BW261" s="37"/>
      <c r="BX261" s="821"/>
      <c r="BY261" s="37"/>
      <c r="BZ261" s="37"/>
      <c r="CA261" s="37"/>
      <c r="CB261" s="37"/>
      <c r="CC261" s="821"/>
      <c r="CD261" s="821"/>
      <c r="CE261" s="821"/>
      <c r="CF261" s="821"/>
      <c r="CG261" s="26"/>
    </row>
    <row r="262" spans="1:85" s="429" customFormat="1" hidden="1" outlineLevel="1" x14ac:dyDescent="0.3">
      <c r="A262" s="42" t="s">
        <v>631</v>
      </c>
      <c r="B262" s="90"/>
      <c r="C262" s="823"/>
      <c r="D262" s="823"/>
      <c r="E262" s="823"/>
      <c r="F262" s="823"/>
      <c r="G262" s="393"/>
      <c r="H262" s="393"/>
      <c r="I262" s="393"/>
      <c r="J262" s="393"/>
      <c r="K262" s="823"/>
      <c r="L262" s="393"/>
      <c r="M262" s="393"/>
      <c r="N262" s="393"/>
      <c r="O262" s="393"/>
      <c r="P262" s="823"/>
      <c r="Q262" s="393"/>
      <c r="R262" s="393"/>
      <c r="S262" s="393"/>
      <c r="T262" s="393"/>
      <c r="U262" s="823"/>
      <c r="V262" s="393"/>
      <c r="W262" s="393"/>
      <c r="X262" s="393"/>
      <c r="Y262" s="393"/>
      <c r="Z262" s="823"/>
      <c r="AA262" s="393"/>
      <c r="AB262" s="393"/>
      <c r="AC262" s="393"/>
      <c r="AD262" s="393"/>
      <c r="AE262" s="823"/>
      <c r="AF262" s="393"/>
      <c r="AG262" s="393"/>
      <c r="AH262" s="393"/>
      <c r="AI262" s="393"/>
      <c r="AJ262" s="823"/>
      <c r="AK262" s="393">
        <f t="shared" ref="AK262:AO262" si="586">AK468</f>
        <v>-726</v>
      </c>
      <c r="AL262" s="393">
        <f t="shared" si="586"/>
        <v>-649</v>
      </c>
      <c r="AM262" s="393">
        <f t="shared" si="586"/>
        <v>-520</v>
      </c>
      <c r="AN262" s="393">
        <f t="shared" si="586"/>
        <v>-550</v>
      </c>
      <c r="AO262" s="823">
        <f t="shared" si="586"/>
        <v>-2445</v>
      </c>
      <c r="AP262" s="393">
        <f t="shared" ref="AP262:AR262" si="587">AP468</f>
        <v>-410</v>
      </c>
      <c r="AQ262" s="393">
        <f t="shared" si="587"/>
        <v>-789</v>
      </c>
      <c r="AR262" s="393">
        <f t="shared" si="587"/>
        <v>-612</v>
      </c>
      <c r="AS262" s="393">
        <f t="shared" ref="AS262:AU262" si="588">AS468</f>
        <v>-718</v>
      </c>
      <c r="AT262" s="823">
        <f t="shared" si="588"/>
        <v>-2529</v>
      </c>
      <c r="AU262" s="393">
        <f t="shared" si="588"/>
        <v>-728</v>
      </c>
      <c r="AV262" s="393">
        <f>AV468</f>
        <v>-784</v>
      </c>
      <c r="AW262" s="393">
        <f>AW468</f>
        <v>-150</v>
      </c>
      <c r="AX262" s="393">
        <f>AX468</f>
        <v>-485</v>
      </c>
      <c r="AY262" s="823">
        <f>AY468</f>
        <v>-2147</v>
      </c>
      <c r="AZ262" s="393">
        <f t="shared" ref="AZ262" si="589">AZ468</f>
        <v>-843</v>
      </c>
      <c r="BA262" s="393">
        <f t="shared" ref="BA262:BF262" si="590">BA468</f>
        <v>-368</v>
      </c>
      <c r="BB262" s="393">
        <f t="shared" si="590"/>
        <v>-434</v>
      </c>
      <c r="BC262" s="393">
        <f t="shared" si="590"/>
        <v>-676</v>
      </c>
      <c r="BD262" s="823">
        <f t="shared" si="590"/>
        <v>-2321</v>
      </c>
      <c r="BE262" s="393">
        <f t="shared" si="590"/>
        <v>-385</v>
      </c>
      <c r="BF262" s="394">
        <f t="shared" si="590"/>
        <v>-429</v>
      </c>
      <c r="BG262" s="394">
        <f t="shared" ref="BG262:BI262" si="591">BG468</f>
        <v>-549</v>
      </c>
      <c r="BH262" s="394">
        <f t="shared" si="591"/>
        <v>-215</v>
      </c>
      <c r="BI262" s="824">
        <f t="shared" si="591"/>
        <v>-1578</v>
      </c>
      <c r="BJ262" s="393">
        <f t="shared" ref="BJ262:BO262" si="592">BJ468</f>
        <v>-528</v>
      </c>
      <c r="BK262" s="394">
        <f t="shared" si="592"/>
        <v>-628</v>
      </c>
      <c r="BL262" s="394">
        <f t="shared" si="592"/>
        <v>-695</v>
      </c>
      <c r="BM262" s="394">
        <f t="shared" si="592"/>
        <v>-608</v>
      </c>
      <c r="BN262" s="824">
        <f t="shared" si="592"/>
        <v>-2459</v>
      </c>
      <c r="BO262" s="393">
        <f t="shared" si="592"/>
        <v>-758</v>
      </c>
      <c r="BP262" s="394">
        <f t="shared" ref="BP262" si="593">BP468</f>
        <v>-634</v>
      </c>
      <c r="BQ262" s="394">
        <f>BQ468</f>
        <v>-996</v>
      </c>
      <c r="BR262" s="394">
        <f>BR468</f>
        <v>-946</v>
      </c>
      <c r="BS262" s="824">
        <f t="shared" ref="BS262" si="594">BS468</f>
        <v>-3334</v>
      </c>
      <c r="BT262" s="641">
        <f>BT468</f>
        <v>-884</v>
      </c>
      <c r="BU262" s="393"/>
      <c r="BV262" s="393"/>
      <c r="BW262" s="393"/>
      <c r="BX262" s="823"/>
      <c r="BY262" s="393"/>
      <c r="BZ262" s="393"/>
      <c r="CA262" s="393"/>
      <c r="CB262" s="393"/>
      <c r="CC262" s="823"/>
      <c r="CD262" s="823"/>
      <c r="CE262" s="823"/>
      <c r="CF262" s="823"/>
      <c r="CG262" s="26"/>
    </row>
    <row r="263" spans="1:85" s="429" customFormat="1" collapsed="1" x14ac:dyDescent="0.3">
      <c r="A263" s="48"/>
      <c r="B263" s="63"/>
      <c r="C263" s="825"/>
      <c r="D263" s="825"/>
      <c r="E263" s="825"/>
      <c r="F263" s="825"/>
      <c r="G263" s="31"/>
      <c r="H263" s="31"/>
      <c r="I263" s="31"/>
      <c r="J263" s="31"/>
      <c r="K263" s="825"/>
      <c r="L263" s="31"/>
      <c r="M263" s="31"/>
      <c r="N263" s="31"/>
      <c r="O263" s="31"/>
      <c r="P263" s="825"/>
      <c r="Q263" s="31"/>
      <c r="R263" s="31"/>
      <c r="S263" s="31"/>
      <c r="T263" s="31"/>
      <c r="U263" s="825"/>
      <c r="V263" s="31"/>
      <c r="W263" s="31"/>
      <c r="X263" s="31"/>
      <c r="Y263" s="31"/>
      <c r="Z263" s="825"/>
      <c r="AA263" s="31"/>
      <c r="AB263" s="31"/>
      <c r="AC263" s="31"/>
      <c r="AD263" s="31"/>
      <c r="AE263" s="825"/>
      <c r="AF263" s="31"/>
      <c r="AG263" s="31"/>
      <c r="AH263" s="31"/>
      <c r="AI263" s="31"/>
      <c r="AJ263" s="825"/>
      <c r="AK263" s="31"/>
      <c r="AL263" s="31"/>
      <c r="AM263" s="31"/>
      <c r="AN263" s="31"/>
      <c r="AO263" s="825"/>
      <c r="AP263" s="31"/>
      <c r="AQ263" s="31"/>
      <c r="AR263" s="31"/>
      <c r="AS263" s="31"/>
      <c r="AT263" s="825"/>
      <c r="AU263" s="31"/>
      <c r="AV263" s="31"/>
      <c r="AW263" s="31"/>
      <c r="AX263" s="31"/>
      <c r="AY263" s="825"/>
      <c r="AZ263" s="31"/>
      <c r="BA263" s="31"/>
      <c r="BB263" s="31"/>
      <c r="BC263" s="31"/>
      <c r="BD263" s="825"/>
      <c r="BE263" s="31"/>
      <c r="BF263" s="31"/>
      <c r="BG263" s="31"/>
      <c r="BH263" s="31"/>
      <c r="BI263" s="825"/>
      <c r="BJ263" s="31"/>
      <c r="BK263" s="31"/>
      <c r="BL263" s="31"/>
      <c r="BM263" s="31"/>
      <c r="BN263" s="825"/>
      <c r="BO263" s="31"/>
      <c r="BP263" s="31"/>
      <c r="BQ263" s="31"/>
      <c r="BR263" s="31"/>
      <c r="BS263" s="825"/>
      <c r="BT263" s="379"/>
      <c r="BU263" s="31"/>
      <c r="BV263" s="31"/>
      <c r="BW263" s="31"/>
      <c r="BX263" s="825"/>
      <c r="BY263" s="31"/>
      <c r="BZ263" s="31"/>
      <c r="CA263" s="31"/>
      <c r="CB263" s="31"/>
      <c r="CC263" s="825"/>
      <c r="CD263" s="825"/>
      <c r="CE263" s="825"/>
      <c r="CF263" s="825"/>
      <c r="CG263" s="26"/>
    </row>
    <row r="264" spans="1:85" s="427" customFormat="1" x14ac:dyDescent="0.3">
      <c r="A264" s="720" t="s">
        <v>140</v>
      </c>
      <c r="B264" s="720"/>
      <c r="C264" s="720"/>
      <c r="D264" s="720"/>
      <c r="E264" s="720"/>
      <c r="F264" s="720"/>
      <c r="G264" s="720"/>
      <c r="H264" s="720"/>
      <c r="I264" s="720"/>
      <c r="J264" s="720"/>
      <c r="K264" s="720"/>
      <c r="L264" s="720"/>
      <c r="M264" s="720"/>
      <c r="N264" s="720"/>
      <c r="O264" s="720"/>
      <c r="P264" s="720"/>
      <c r="Q264" s="720"/>
      <c r="R264" s="720"/>
      <c r="S264" s="720"/>
      <c r="T264" s="720"/>
      <c r="U264" s="720"/>
      <c r="V264" s="720"/>
      <c r="W264" s="720"/>
      <c r="X264" s="720"/>
      <c r="Y264" s="720"/>
      <c r="Z264" s="720"/>
      <c r="AA264" s="720"/>
      <c r="AB264" s="720"/>
      <c r="AC264" s="720"/>
      <c r="AD264" s="720"/>
      <c r="AE264" s="720"/>
      <c r="AF264" s="720"/>
      <c r="AG264" s="720"/>
      <c r="AH264" s="720"/>
      <c r="AI264" s="720"/>
      <c r="AJ264" s="720"/>
      <c r="AK264" s="720"/>
      <c r="AL264" s="720"/>
      <c r="AM264" s="720"/>
      <c r="AN264" s="720"/>
      <c r="AO264" s="720"/>
      <c r="AP264" s="720"/>
      <c r="AQ264" s="720"/>
      <c r="AR264" s="720"/>
      <c r="AS264" s="720"/>
      <c r="AT264" s="720"/>
      <c r="AU264" s="720"/>
      <c r="AV264" s="720"/>
      <c r="AW264" s="720"/>
      <c r="AX264" s="720"/>
      <c r="AY264" s="720"/>
      <c r="AZ264" s="720"/>
      <c r="BA264" s="720"/>
      <c r="BB264" s="720"/>
      <c r="BC264" s="720"/>
      <c r="BD264" s="720"/>
      <c r="BE264" s="720"/>
      <c r="BF264" s="720"/>
      <c r="BG264" s="720"/>
      <c r="BH264" s="720"/>
      <c r="BI264" s="720"/>
      <c r="BJ264" s="720"/>
      <c r="BK264" s="720"/>
      <c r="BL264" s="720"/>
      <c r="BM264" s="720"/>
      <c r="BN264" s="720"/>
      <c r="BO264" s="720"/>
      <c r="BP264" s="720"/>
      <c r="BQ264" s="720"/>
      <c r="BR264" s="720"/>
      <c r="BS264" s="720"/>
      <c r="BT264" s="721"/>
      <c r="BU264" s="720"/>
      <c r="BV264" s="720"/>
      <c r="BW264" s="720"/>
      <c r="BX264" s="720"/>
      <c r="BY264" s="720"/>
      <c r="BZ264" s="720"/>
      <c r="CA264" s="720"/>
      <c r="CB264" s="720"/>
      <c r="CC264" s="720"/>
      <c r="CD264" s="720"/>
      <c r="CE264" s="720"/>
      <c r="CF264" s="720"/>
      <c r="CG264" s="321"/>
    </row>
    <row r="265" spans="1:85" s="429" customFormat="1" hidden="1" outlineLevel="1" x14ac:dyDescent="0.3">
      <c r="A265" s="53" t="s">
        <v>683</v>
      </c>
      <c r="B265" s="63"/>
      <c r="C265" s="851">
        <v>2158</v>
      </c>
      <c r="D265" s="851">
        <v>2160</v>
      </c>
      <c r="E265" s="851">
        <v>1967</v>
      </c>
      <c r="F265" s="851">
        <v>1953</v>
      </c>
      <c r="G265" s="31"/>
      <c r="H265" s="31"/>
      <c r="I265" s="31"/>
      <c r="J265" s="31"/>
      <c r="K265" s="851">
        <v>1960</v>
      </c>
      <c r="L265" s="31"/>
      <c r="M265" s="31"/>
      <c r="N265" s="31"/>
      <c r="O265" s="31"/>
      <c r="P265" s="851">
        <v>1900</v>
      </c>
      <c r="Q265" s="31"/>
      <c r="R265" s="31"/>
      <c r="S265" s="31"/>
      <c r="T265" s="31"/>
      <c r="U265" s="851">
        <v>1835</v>
      </c>
      <c r="V265" s="31"/>
      <c r="W265" s="31"/>
      <c r="X265" s="31"/>
      <c r="Y265" s="31"/>
      <c r="Z265" s="851">
        <v>1793</v>
      </c>
      <c r="AA265" s="31"/>
      <c r="AB265" s="31"/>
      <c r="AC265" s="31"/>
      <c r="AD265" s="31"/>
      <c r="AE265" s="851">
        <v>1738</v>
      </c>
      <c r="AF265" s="31"/>
      <c r="AG265" s="31"/>
      <c r="AH265" s="31"/>
      <c r="AI265" s="31"/>
      <c r="AJ265" s="851">
        <v>1627</v>
      </c>
      <c r="AK265" s="31"/>
      <c r="AL265" s="31"/>
      <c r="AM265" s="31"/>
      <c r="AN265" s="31"/>
      <c r="AO265" s="851">
        <v>1748</v>
      </c>
      <c r="AP265" s="31"/>
      <c r="AQ265" s="31"/>
      <c r="AR265" s="31"/>
      <c r="AS265" s="31"/>
      <c r="AT265" s="851">
        <v>1804</v>
      </c>
      <c r="AU265" s="31"/>
      <c r="AV265" s="31"/>
      <c r="AW265" s="31"/>
      <c r="AX265" s="31"/>
      <c r="AY265" s="851">
        <v>1804</v>
      </c>
      <c r="AZ265" s="31"/>
      <c r="BA265" s="31"/>
      <c r="BB265" s="31"/>
      <c r="BC265" s="31"/>
      <c r="BD265" s="851">
        <v>1779</v>
      </c>
      <c r="BE265" s="31"/>
      <c r="BF265" s="31"/>
      <c r="BG265" s="31"/>
      <c r="BH265" s="31"/>
      <c r="BI265" s="851">
        <v>1779</v>
      </c>
      <c r="BJ265" s="31"/>
      <c r="BK265" s="31"/>
      <c r="BL265" s="31"/>
      <c r="BM265" s="31"/>
      <c r="BN265" s="851">
        <v>1779</v>
      </c>
      <c r="BO265" s="31"/>
      <c r="BP265" s="31"/>
      <c r="BQ265" s="31"/>
      <c r="BR265" s="31"/>
      <c r="BS265" s="851">
        <v>1819</v>
      </c>
      <c r="BT265" s="379"/>
      <c r="BU265" s="31"/>
      <c r="BV265" s="31"/>
      <c r="BW265" s="31"/>
      <c r="BX265" s="825"/>
      <c r="BY265" s="31"/>
      <c r="BZ265" s="31"/>
      <c r="CA265" s="31"/>
      <c r="CB265" s="31"/>
      <c r="CC265" s="825"/>
      <c r="CD265" s="825"/>
      <c r="CE265" s="825"/>
      <c r="CF265" s="825"/>
      <c r="CG265" s="26"/>
    </row>
    <row r="266" spans="1:85" s="433" customFormat="1" hidden="1" outlineLevel="1" x14ac:dyDescent="0.3">
      <c r="A266" s="338"/>
      <c r="B266" s="336"/>
      <c r="C266" s="880"/>
      <c r="D266" s="880"/>
      <c r="E266" s="880"/>
      <c r="F266" s="880"/>
      <c r="G266" s="337"/>
      <c r="H266" s="337"/>
      <c r="I266" s="337"/>
      <c r="J266" s="337"/>
      <c r="K266" s="880"/>
      <c r="L266" s="337"/>
      <c r="M266" s="337"/>
      <c r="N266" s="337"/>
      <c r="O266" s="337"/>
      <c r="P266" s="880"/>
      <c r="Q266" s="337"/>
      <c r="R266" s="337"/>
      <c r="S266" s="337"/>
      <c r="T266" s="337"/>
      <c r="U266" s="880"/>
      <c r="V266" s="337"/>
      <c r="W266" s="337"/>
      <c r="X266" s="337"/>
      <c r="Y266" s="337"/>
      <c r="Z266" s="880"/>
      <c r="AA266" s="337"/>
      <c r="AB266" s="337"/>
      <c r="AC266" s="337"/>
      <c r="AD266" s="337"/>
      <c r="AE266" s="880"/>
      <c r="AF266" s="337"/>
      <c r="AG266" s="337"/>
      <c r="AH266" s="337"/>
      <c r="AI266" s="337"/>
      <c r="AJ266" s="880"/>
      <c r="AK266" s="337"/>
      <c r="AL266" s="337"/>
      <c r="AM266" s="337"/>
      <c r="AN266" s="337"/>
      <c r="AO266" s="880"/>
      <c r="AP266" s="337"/>
      <c r="AQ266" s="337"/>
      <c r="AR266" s="337"/>
      <c r="AS266" s="337"/>
      <c r="AT266" s="880"/>
      <c r="AU266" s="337"/>
      <c r="AV266" s="337"/>
      <c r="AW266" s="337"/>
      <c r="AX266" s="337"/>
      <c r="AY266" s="880"/>
      <c r="AZ266" s="337"/>
      <c r="BA266" s="337"/>
      <c r="BB266" s="337"/>
      <c r="BC266" s="337"/>
      <c r="BD266" s="880"/>
      <c r="BE266" s="337"/>
      <c r="BF266" s="337"/>
      <c r="BG266" s="337"/>
      <c r="BH266" s="337"/>
      <c r="BI266" s="880"/>
      <c r="BJ266" s="337"/>
      <c r="BK266" s="337"/>
      <c r="BL266" s="337"/>
      <c r="BM266" s="337"/>
      <c r="BN266" s="880"/>
      <c r="BO266" s="337"/>
      <c r="BP266" s="337"/>
      <c r="BQ266" s="337"/>
      <c r="BR266" s="337"/>
      <c r="BS266" s="880"/>
      <c r="BT266" s="661"/>
      <c r="BU266" s="337"/>
      <c r="BV266" s="337"/>
      <c r="BW266" s="337"/>
      <c r="BX266" s="880"/>
      <c r="BY266" s="337"/>
      <c r="BZ266" s="337"/>
      <c r="CA266" s="337"/>
      <c r="CB266" s="337"/>
      <c r="CC266" s="880"/>
      <c r="CD266" s="880"/>
      <c r="CE266" s="880"/>
      <c r="CF266" s="880"/>
      <c r="CG266" s="69"/>
    </row>
    <row r="267" spans="1:85" s="433" customFormat="1" hidden="1" outlineLevel="1" x14ac:dyDescent="0.3">
      <c r="A267" s="68" t="s">
        <v>562</v>
      </c>
      <c r="B267" s="336"/>
      <c r="C267" s="880"/>
      <c r="D267" s="880"/>
      <c r="E267" s="881">
        <v>0.89300000000000002</v>
      </c>
      <c r="F267" s="881">
        <v>0.872</v>
      </c>
      <c r="G267" s="337"/>
      <c r="H267" s="337"/>
      <c r="I267" s="337"/>
      <c r="J267" s="337"/>
      <c r="K267" s="881">
        <v>0.81099999999999994</v>
      </c>
      <c r="L267" s="337"/>
      <c r="M267" s="337"/>
      <c r="N267" s="337"/>
      <c r="O267" s="337"/>
      <c r="P267" s="881">
        <v>0.90900000000000003</v>
      </c>
      <c r="Q267" s="337"/>
      <c r="R267" s="337"/>
      <c r="S267" s="337"/>
      <c r="T267" s="337"/>
      <c r="U267" s="881">
        <v>0.96099999999999997</v>
      </c>
      <c r="V267" s="337"/>
      <c r="W267" s="337"/>
      <c r="X267" s="337"/>
      <c r="Y267" s="337"/>
      <c r="Z267" s="881">
        <v>0.93400000000000005</v>
      </c>
      <c r="AA267" s="337"/>
      <c r="AB267" s="337"/>
      <c r="AC267" s="337"/>
      <c r="AD267" s="337"/>
      <c r="AE267" s="881">
        <v>0.98099999999999998</v>
      </c>
      <c r="AF267" s="337"/>
      <c r="AG267" s="337"/>
      <c r="AH267" s="337"/>
      <c r="AI267" s="337"/>
      <c r="AJ267" s="881">
        <v>0.97099999999999997</v>
      </c>
      <c r="AK267" s="337"/>
      <c r="AL267" s="337"/>
      <c r="AM267" s="337"/>
      <c r="AN267" s="337"/>
      <c r="AO267" s="881">
        <v>0.90800000000000003</v>
      </c>
      <c r="AP267" s="337"/>
      <c r="AQ267" s="337"/>
      <c r="AR267" s="337"/>
      <c r="AS267" s="337"/>
      <c r="AT267" s="881">
        <v>0.73299999999999998</v>
      </c>
      <c r="AU267" s="337"/>
      <c r="AV267" s="337"/>
      <c r="AW267" s="337"/>
      <c r="AX267" s="337"/>
      <c r="AY267" s="881">
        <v>0.83299999999999996</v>
      </c>
      <c r="AZ267" s="337"/>
      <c r="BA267" s="337"/>
      <c r="BB267" s="337"/>
      <c r="BC267" s="337"/>
      <c r="BD267" s="881">
        <v>0.81699999999999995</v>
      </c>
      <c r="BE267" s="337"/>
      <c r="BF267" s="337"/>
      <c r="BG267" s="337"/>
      <c r="BH267" s="337"/>
      <c r="BI267" s="881">
        <v>0.90800000000000003</v>
      </c>
      <c r="BJ267" s="337"/>
      <c r="BK267" s="337"/>
      <c r="BL267" s="337"/>
      <c r="BM267" s="337"/>
      <c r="BN267" s="881">
        <v>0.86599999999999999</v>
      </c>
      <c r="BO267" s="337"/>
      <c r="BP267" s="337"/>
      <c r="BQ267" s="337"/>
      <c r="BR267" s="337"/>
      <c r="BS267" s="881">
        <v>0.94499999999999995</v>
      </c>
      <c r="BT267" s="661"/>
      <c r="BU267" s="337"/>
      <c r="BV267" s="337"/>
      <c r="BW267" s="337"/>
      <c r="BX267" s="880"/>
      <c r="BY267" s="337"/>
      <c r="BZ267" s="337"/>
      <c r="CA267" s="337"/>
      <c r="CB267" s="337"/>
      <c r="CC267" s="880"/>
      <c r="CD267" s="880"/>
      <c r="CE267" s="880"/>
      <c r="CF267" s="880"/>
      <c r="CG267" s="69"/>
    </row>
    <row r="268" spans="1:85" s="433" customFormat="1" hidden="1" outlineLevel="1" x14ac:dyDescent="0.3">
      <c r="A268" s="68" t="s">
        <v>563</v>
      </c>
      <c r="B268" s="336"/>
      <c r="C268" s="880"/>
      <c r="D268" s="880"/>
      <c r="E268" s="881">
        <v>0.90300000000000002</v>
      </c>
      <c r="F268" s="881">
        <v>0.81799999999999995</v>
      </c>
      <c r="G268" s="337"/>
      <c r="H268" s="337"/>
      <c r="I268" s="337"/>
      <c r="J268" s="337"/>
      <c r="K268" s="881">
        <v>0.8859999999999999</v>
      </c>
      <c r="L268" s="337"/>
      <c r="M268" s="337"/>
      <c r="N268" s="337"/>
      <c r="O268" s="337"/>
      <c r="P268" s="881">
        <v>0.84900000000000009</v>
      </c>
      <c r="Q268" s="337"/>
      <c r="R268" s="337"/>
      <c r="S268" s="337"/>
      <c r="T268" s="337"/>
      <c r="U268" s="881">
        <v>0.86199999999999999</v>
      </c>
      <c r="V268" s="337"/>
      <c r="W268" s="337"/>
      <c r="X268" s="337"/>
      <c r="Y268" s="337"/>
      <c r="Z268" s="881">
        <v>0.93400000000000005</v>
      </c>
      <c r="AA268" s="337"/>
      <c r="AB268" s="337"/>
      <c r="AC268" s="337"/>
      <c r="AD268" s="337"/>
      <c r="AE268" s="881">
        <v>0.92100000000000004</v>
      </c>
      <c r="AF268" s="337"/>
      <c r="AG268" s="337"/>
      <c r="AH268" s="337"/>
      <c r="AI268" s="337"/>
      <c r="AJ268" s="881">
        <v>0.94199999999999995</v>
      </c>
      <c r="AK268" s="337"/>
      <c r="AL268" s="337"/>
      <c r="AM268" s="337"/>
      <c r="AN268" s="337"/>
      <c r="AO268" s="881">
        <v>0.876</v>
      </c>
      <c r="AP268" s="337"/>
      <c r="AQ268" s="337"/>
      <c r="AR268" s="337"/>
      <c r="AS268" s="337"/>
      <c r="AT268" s="881">
        <v>0.81100000000000005</v>
      </c>
      <c r="AU268" s="337"/>
      <c r="AV268" s="337"/>
      <c r="AW268" s="337"/>
      <c r="AX268" s="337"/>
      <c r="AY268" s="881">
        <v>0.8</v>
      </c>
      <c r="AZ268" s="337"/>
      <c r="BA268" s="337"/>
      <c r="BB268" s="337"/>
      <c r="BC268" s="337"/>
      <c r="BD268" s="881">
        <v>0.88800000000000001</v>
      </c>
      <c r="BE268" s="337"/>
      <c r="BF268" s="337"/>
      <c r="BG268" s="337"/>
      <c r="BH268" s="337"/>
      <c r="BI268" s="881">
        <v>0.88300000000000001</v>
      </c>
      <c r="BJ268" s="337"/>
      <c r="BK268" s="337"/>
      <c r="BL268" s="337"/>
      <c r="BM268" s="337"/>
      <c r="BN268" s="881">
        <v>0.89700000000000002</v>
      </c>
      <c r="BO268" s="337"/>
      <c r="BP268" s="337"/>
      <c r="BQ268" s="337"/>
      <c r="BR268" s="337"/>
      <c r="BS268" s="881">
        <v>0.90500000000000003</v>
      </c>
      <c r="BT268" s="661"/>
      <c r="BU268" s="337"/>
      <c r="BV268" s="337"/>
      <c r="BW268" s="337"/>
      <c r="BX268" s="880"/>
      <c r="BY268" s="337"/>
      <c r="BZ268" s="337"/>
      <c r="CA268" s="337"/>
      <c r="CB268" s="337"/>
      <c r="CC268" s="880"/>
      <c r="CD268" s="880"/>
      <c r="CE268" s="880"/>
      <c r="CF268" s="880"/>
      <c r="CG268" s="69"/>
    </row>
    <row r="269" spans="1:85" s="433" customFormat="1" hidden="1" outlineLevel="2" x14ac:dyDescent="0.3">
      <c r="A269" s="68" t="s">
        <v>564</v>
      </c>
      <c r="B269" s="336"/>
      <c r="C269" s="880"/>
      <c r="D269" s="880"/>
      <c r="E269" s="881">
        <v>0.69900000000000007</v>
      </c>
      <c r="F269" s="881">
        <v>0.81499999999999995</v>
      </c>
      <c r="G269" s="337"/>
      <c r="H269" s="337"/>
      <c r="I269" s="337"/>
      <c r="J269" s="337"/>
      <c r="K269" s="881">
        <v>0.71</v>
      </c>
      <c r="L269" s="337"/>
      <c r="M269" s="337"/>
      <c r="N269" s="337"/>
      <c r="O269" s="337"/>
      <c r="P269" s="881">
        <v>0.65599999999999992</v>
      </c>
      <c r="Q269" s="337"/>
      <c r="R269" s="337"/>
      <c r="S269" s="337"/>
      <c r="T269" s="337"/>
      <c r="U269" s="881">
        <v>0.63400000000000001</v>
      </c>
      <c r="V269" s="337"/>
      <c r="W269" s="337"/>
      <c r="X269" s="337"/>
      <c r="Y269" s="337"/>
      <c r="Z269" s="881">
        <v>0.71299999999999997</v>
      </c>
      <c r="AA269" s="337"/>
      <c r="AB269" s="337"/>
      <c r="AC269" s="337"/>
      <c r="AD269" s="337"/>
      <c r="AE269" s="881">
        <v>0.621</v>
      </c>
      <c r="AF269" s="337"/>
      <c r="AG269" s="337"/>
      <c r="AH269" s="337"/>
      <c r="AI269" s="337"/>
      <c r="AJ269" s="881">
        <v>0.45600000000000002</v>
      </c>
      <c r="AK269" s="337"/>
      <c r="AL269" s="337"/>
      <c r="AM269" s="337"/>
      <c r="AN269" s="337"/>
      <c r="AO269" s="880"/>
      <c r="AP269" s="337"/>
      <c r="AQ269" s="337"/>
      <c r="AR269" s="337"/>
      <c r="AS269" s="337"/>
      <c r="AT269" s="880"/>
      <c r="AU269" s="337"/>
      <c r="AV269" s="337"/>
      <c r="AW269" s="337"/>
      <c r="AX269" s="337"/>
      <c r="AY269" s="880"/>
      <c r="AZ269" s="337"/>
      <c r="BA269" s="337"/>
      <c r="BB269" s="337"/>
      <c r="BC269" s="337"/>
      <c r="BD269" s="880"/>
      <c r="BE269" s="337"/>
      <c r="BF269" s="337"/>
      <c r="BG269" s="337"/>
      <c r="BH269" s="337"/>
      <c r="BI269" s="880"/>
      <c r="BJ269" s="337"/>
      <c r="BK269" s="337"/>
      <c r="BL269" s="337"/>
      <c r="BM269" s="337"/>
      <c r="BN269" s="880"/>
      <c r="BO269" s="337"/>
      <c r="BP269" s="337"/>
      <c r="BQ269" s="337"/>
      <c r="BR269" s="337"/>
      <c r="BS269" s="880"/>
      <c r="BT269" s="661"/>
      <c r="BU269" s="337"/>
      <c r="BV269" s="337"/>
      <c r="BW269" s="337"/>
      <c r="BX269" s="880"/>
      <c r="BY269" s="337"/>
      <c r="BZ269" s="337"/>
      <c r="CA269" s="337"/>
      <c r="CB269" s="337"/>
      <c r="CC269" s="880"/>
      <c r="CD269" s="880"/>
      <c r="CE269" s="880"/>
      <c r="CF269" s="880"/>
      <c r="CG269" s="69"/>
    </row>
    <row r="270" spans="1:85" s="433" customFormat="1" hidden="1" outlineLevel="2" x14ac:dyDescent="0.3">
      <c r="A270" s="68" t="s">
        <v>565</v>
      </c>
      <c r="B270" s="336"/>
      <c r="C270" s="880"/>
      <c r="D270" s="880"/>
      <c r="E270" s="881">
        <v>0.99900000000000011</v>
      </c>
      <c r="F270" s="881">
        <v>0</v>
      </c>
      <c r="G270" s="337"/>
      <c r="H270" s="337"/>
      <c r="I270" s="337"/>
      <c r="J270" s="337"/>
      <c r="K270" s="881">
        <v>0</v>
      </c>
      <c r="L270" s="337"/>
      <c r="M270" s="337"/>
      <c r="N270" s="337"/>
      <c r="O270" s="337"/>
      <c r="P270" s="881">
        <v>0</v>
      </c>
      <c r="Q270" s="337"/>
      <c r="R270" s="337"/>
      <c r="S270" s="337"/>
      <c r="T270" s="337"/>
      <c r="U270" s="881">
        <v>0</v>
      </c>
      <c r="V270" s="337"/>
      <c r="W270" s="337"/>
      <c r="X270" s="337"/>
      <c r="Y270" s="337"/>
      <c r="Z270" s="881">
        <v>0</v>
      </c>
      <c r="AA270" s="337"/>
      <c r="AB270" s="337"/>
      <c r="AC270" s="337"/>
      <c r="AD270" s="337"/>
      <c r="AE270" s="880"/>
      <c r="AF270" s="337"/>
      <c r="AG270" s="337"/>
      <c r="AH270" s="337"/>
      <c r="AI270" s="337"/>
      <c r="AJ270" s="880"/>
      <c r="AK270" s="337"/>
      <c r="AL270" s="337"/>
      <c r="AM270" s="337"/>
      <c r="AN270" s="337"/>
      <c r="AO270" s="880"/>
      <c r="AP270" s="337"/>
      <c r="AQ270" s="337"/>
      <c r="AR270" s="337"/>
      <c r="AS270" s="337"/>
      <c r="AT270" s="880"/>
      <c r="AU270" s="337"/>
      <c r="AV270" s="337"/>
      <c r="AW270" s="337"/>
      <c r="AX270" s="337"/>
      <c r="AY270" s="880"/>
      <c r="AZ270" s="337"/>
      <c r="BA270" s="337"/>
      <c r="BB270" s="337"/>
      <c r="BC270" s="337"/>
      <c r="BD270" s="880"/>
      <c r="BE270" s="337"/>
      <c r="BF270" s="337"/>
      <c r="BG270" s="337"/>
      <c r="BH270" s="337"/>
      <c r="BI270" s="880"/>
      <c r="BJ270" s="337"/>
      <c r="BK270" s="337"/>
      <c r="BL270" s="337"/>
      <c r="BM270" s="337"/>
      <c r="BN270" s="880"/>
      <c r="BO270" s="337"/>
      <c r="BP270" s="337"/>
      <c r="BQ270" s="337"/>
      <c r="BR270" s="337"/>
      <c r="BS270" s="880"/>
      <c r="BT270" s="661"/>
      <c r="BU270" s="337"/>
      <c r="BV270" s="337"/>
      <c r="BW270" s="337"/>
      <c r="BX270" s="880"/>
      <c r="BY270" s="337"/>
      <c r="BZ270" s="337"/>
      <c r="CA270" s="337"/>
      <c r="CB270" s="337"/>
      <c r="CC270" s="880"/>
      <c r="CD270" s="880"/>
      <c r="CE270" s="880"/>
      <c r="CF270" s="880"/>
      <c r="CG270" s="69"/>
    </row>
    <row r="271" spans="1:85" s="433" customFormat="1" hidden="1" outlineLevel="2" x14ac:dyDescent="0.3">
      <c r="A271" s="68" t="s">
        <v>566</v>
      </c>
      <c r="B271" s="336"/>
      <c r="C271" s="880"/>
      <c r="D271" s="880"/>
      <c r="E271" s="881">
        <v>0.77400000000000002</v>
      </c>
      <c r="F271" s="881">
        <v>0.89300000000000002</v>
      </c>
      <c r="G271" s="337"/>
      <c r="H271" s="337"/>
      <c r="I271" s="337"/>
      <c r="J271" s="337"/>
      <c r="K271" s="881">
        <v>0.76300000000000001</v>
      </c>
      <c r="L271" s="337"/>
      <c r="M271" s="337"/>
      <c r="N271" s="337"/>
      <c r="O271" s="337"/>
      <c r="P271" s="881">
        <v>0.89900000000000002</v>
      </c>
      <c r="Q271" s="337"/>
      <c r="R271" s="337"/>
      <c r="S271" s="337"/>
      <c r="T271" s="337"/>
      <c r="U271" s="881">
        <v>0.83700000000000008</v>
      </c>
      <c r="V271" s="337"/>
      <c r="W271" s="337"/>
      <c r="X271" s="337"/>
      <c r="Y271" s="337"/>
      <c r="Z271" s="881">
        <v>0.91900000000000004</v>
      </c>
      <c r="AA271" s="337"/>
      <c r="AB271" s="337"/>
      <c r="AC271" s="337"/>
      <c r="AD271" s="337"/>
      <c r="AE271" s="881">
        <v>0.72499999999999998</v>
      </c>
      <c r="AF271" s="337"/>
      <c r="AG271" s="337"/>
      <c r="AH271" s="337"/>
      <c r="AI271" s="337"/>
      <c r="AJ271" s="880"/>
      <c r="AK271" s="337"/>
      <c r="AL271" s="337"/>
      <c r="AM271" s="337"/>
      <c r="AN271" s="337"/>
      <c r="AO271" s="880"/>
      <c r="AP271" s="337"/>
      <c r="AQ271" s="337"/>
      <c r="AR271" s="337"/>
      <c r="AS271" s="337"/>
      <c r="AT271" s="880"/>
      <c r="AU271" s="337"/>
      <c r="AV271" s="337"/>
      <c r="AW271" s="337"/>
      <c r="AX271" s="337"/>
      <c r="AY271" s="880"/>
      <c r="AZ271" s="337"/>
      <c r="BA271" s="337"/>
      <c r="BB271" s="337"/>
      <c r="BC271" s="337"/>
      <c r="BD271" s="880"/>
      <c r="BE271" s="337"/>
      <c r="BF271" s="337"/>
      <c r="BG271" s="337"/>
      <c r="BH271" s="337"/>
      <c r="BI271" s="880"/>
      <c r="BJ271" s="337"/>
      <c r="BK271" s="337"/>
      <c r="BL271" s="337"/>
      <c r="BM271" s="337"/>
      <c r="BN271" s="880"/>
      <c r="BO271" s="337"/>
      <c r="BP271" s="337"/>
      <c r="BQ271" s="337"/>
      <c r="BR271" s="337"/>
      <c r="BS271" s="880"/>
      <c r="BT271" s="661"/>
      <c r="BU271" s="337"/>
      <c r="BV271" s="337"/>
      <c r="BW271" s="337"/>
      <c r="BX271" s="880"/>
      <c r="BY271" s="337"/>
      <c r="BZ271" s="337"/>
      <c r="CA271" s="337"/>
      <c r="CB271" s="337"/>
      <c r="CC271" s="880"/>
      <c r="CD271" s="880"/>
      <c r="CE271" s="880"/>
      <c r="CF271" s="880"/>
      <c r="CG271" s="69"/>
    </row>
    <row r="272" spans="1:85" s="434" customFormat="1" hidden="1" outlineLevel="1" collapsed="1" x14ac:dyDescent="0.3">
      <c r="A272" s="474" t="s">
        <v>567</v>
      </c>
      <c r="B272" s="253"/>
      <c r="C272" s="882"/>
      <c r="D272" s="882"/>
      <c r="E272" s="883">
        <v>0.88900000000000001</v>
      </c>
      <c r="F272" s="883">
        <v>0.88200000000000001</v>
      </c>
      <c r="G272" s="254"/>
      <c r="H272" s="254"/>
      <c r="I272" s="254"/>
      <c r="J272" s="254"/>
      <c r="K272" s="883">
        <v>0.83499999999999996</v>
      </c>
      <c r="L272" s="254"/>
      <c r="M272" s="254"/>
      <c r="N272" s="254"/>
      <c r="O272" s="254"/>
      <c r="P272" s="883">
        <v>0.86799999999999999</v>
      </c>
      <c r="Q272" s="254"/>
      <c r="R272" s="254"/>
      <c r="S272" s="254"/>
      <c r="T272" s="254"/>
      <c r="U272" s="883">
        <v>0.89800000000000002</v>
      </c>
      <c r="V272" s="254"/>
      <c r="W272" s="254"/>
      <c r="X272" s="254"/>
      <c r="Y272" s="254"/>
      <c r="Z272" s="883">
        <v>0.92</v>
      </c>
      <c r="AA272" s="254"/>
      <c r="AB272" s="254"/>
      <c r="AC272" s="254"/>
      <c r="AD272" s="254"/>
      <c r="AE272" s="883">
        <v>0.92700000000000005</v>
      </c>
      <c r="AF272" s="254"/>
      <c r="AG272" s="254"/>
      <c r="AH272" s="254"/>
      <c r="AI272" s="254"/>
      <c r="AJ272" s="883">
        <v>0.92500000000000004</v>
      </c>
      <c r="AK272" s="254"/>
      <c r="AL272" s="254"/>
      <c r="AM272" s="254"/>
      <c r="AN272" s="254"/>
      <c r="AO272" s="883">
        <v>0.89500000000000002</v>
      </c>
      <c r="AP272" s="254"/>
      <c r="AQ272" s="254"/>
      <c r="AR272" s="254"/>
      <c r="AS272" s="254"/>
      <c r="AT272" s="883">
        <v>0.76400000000000001</v>
      </c>
      <c r="AU272" s="254"/>
      <c r="AV272" s="254"/>
      <c r="AW272" s="254"/>
      <c r="AX272" s="254"/>
      <c r="AY272" s="883">
        <v>0.82</v>
      </c>
      <c r="AZ272" s="254"/>
      <c r="BA272" s="254"/>
      <c r="BB272" s="254"/>
      <c r="BC272" s="254"/>
      <c r="BD272" s="883">
        <v>0.84599999999999997</v>
      </c>
      <c r="BE272" s="254"/>
      <c r="BF272" s="254"/>
      <c r="BG272" s="254"/>
      <c r="BH272" s="254"/>
      <c r="BI272" s="883">
        <v>0.89800000000000002</v>
      </c>
      <c r="BJ272" s="254"/>
      <c r="BK272" s="254"/>
      <c r="BL272" s="254"/>
      <c r="BM272" s="254"/>
      <c r="BN272" s="883">
        <v>0.879</v>
      </c>
      <c r="BO272" s="254"/>
      <c r="BP272" s="254"/>
      <c r="BQ272" s="254"/>
      <c r="BR272" s="254"/>
      <c r="BS272" s="883">
        <v>0.92900000000000005</v>
      </c>
      <c r="BT272" s="662"/>
      <c r="BU272" s="254"/>
      <c r="BV272" s="254"/>
      <c r="BW272" s="254"/>
      <c r="BX272" s="882"/>
      <c r="BY272" s="254"/>
      <c r="BZ272" s="254"/>
      <c r="CA272" s="254"/>
      <c r="CB272" s="254"/>
      <c r="CC272" s="882"/>
      <c r="CD272" s="882"/>
      <c r="CE272" s="882"/>
      <c r="CF272" s="882"/>
      <c r="CG272" s="81"/>
    </row>
    <row r="273" spans="1:85" s="434" customFormat="1" hidden="1" outlineLevel="1" x14ac:dyDescent="0.3">
      <c r="A273" s="473" t="s">
        <v>722</v>
      </c>
      <c r="B273" s="472"/>
      <c r="C273" s="884">
        <f>C302/C265</f>
        <v>0.87025023169601479</v>
      </c>
      <c r="D273" s="884">
        <f>D302/D265</f>
        <v>0.87685185185185188</v>
      </c>
      <c r="E273" s="884">
        <f>E302/E265</f>
        <v>0.90849008642602946</v>
      </c>
      <c r="F273" s="884">
        <f>F302/F265</f>
        <v>0.87147977470558113</v>
      </c>
      <c r="G273" s="45"/>
      <c r="H273" s="45"/>
      <c r="I273" s="45"/>
      <c r="J273" s="45"/>
      <c r="K273" s="884">
        <f>K302/K265</f>
        <v>0.83571428571428574</v>
      </c>
      <c r="L273" s="45"/>
      <c r="M273" s="45"/>
      <c r="N273" s="45"/>
      <c r="O273" s="45"/>
      <c r="P273" s="884">
        <f>P302/P265</f>
        <v>0.88947368421052631</v>
      </c>
      <c r="Q273" s="45"/>
      <c r="R273" s="45"/>
      <c r="S273" s="45"/>
      <c r="T273" s="45"/>
      <c r="U273" s="884">
        <f>U302/U265</f>
        <v>0.92752043596730249</v>
      </c>
      <c r="V273" s="45"/>
      <c r="W273" s="45"/>
      <c r="X273" s="45"/>
      <c r="Y273" s="45"/>
      <c r="Z273" s="884">
        <f>Z302/Z265</f>
        <v>0.94143892916899052</v>
      </c>
      <c r="AA273" s="45"/>
      <c r="AB273" s="45"/>
      <c r="AC273" s="45"/>
      <c r="AD273" s="45"/>
      <c r="AE273" s="884">
        <f>AE302/AE265</f>
        <v>0.95569620253164556</v>
      </c>
      <c r="AF273" s="45"/>
      <c r="AG273" s="45"/>
      <c r="AH273" s="45"/>
      <c r="AI273" s="45"/>
      <c r="AJ273" s="884">
        <f>AJ302/AJ265</f>
        <v>0.99016594960049176</v>
      </c>
      <c r="AK273" s="45"/>
      <c r="AL273" s="45"/>
      <c r="AM273" s="45"/>
      <c r="AN273" s="45"/>
      <c r="AO273" s="884">
        <f>AO302/AO265</f>
        <v>0.89473684210526316</v>
      </c>
      <c r="AP273" s="45"/>
      <c r="AQ273" s="45"/>
      <c r="AR273" s="45"/>
      <c r="AS273" s="45"/>
      <c r="AT273" s="884">
        <f>AT302/AT265</f>
        <v>0.76330376940133038</v>
      </c>
      <c r="AU273" s="45"/>
      <c r="AV273" s="45"/>
      <c r="AW273" s="45"/>
      <c r="AX273" s="45"/>
      <c r="AY273" s="884">
        <f>AY302/AY265</f>
        <v>0.81984478935698446</v>
      </c>
      <c r="AZ273" s="45"/>
      <c r="BA273" s="45"/>
      <c r="BB273" s="45"/>
      <c r="BC273" s="45"/>
      <c r="BD273" s="885">
        <f>BD302/BD265</f>
        <v>0.84541877459246773</v>
      </c>
      <c r="BE273" s="45"/>
      <c r="BF273" s="45"/>
      <c r="BG273" s="45"/>
      <c r="BH273" s="45"/>
      <c r="BI273" s="885">
        <f>BI302/BI265</f>
        <v>0.87689713322091067</v>
      </c>
      <c r="BJ273" s="45"/>
      <c r="BK273" s="45"/>
      <c r="BL273" s="45"/>
      <c r="BM273" s="45"/>
      <c r="BN273" s="885">
        <f>BN302/BN265</f>
        <v>0.87858347386172009</v>
      </c>
      <c r="BO273" s="45"/>
      <c r="BP273" s="45"/>
      <c r="BQ273" s="45"/>
      <c r="BR273" s="45"/>
      <c r="BS273" s="885">
        <f>BS302/BS265</f>
        <v>0.92908191313908739</v>
      </c>
      <c r="BT273" s="663"/>
      <c r="BU273" s="45"/>
      <c r="BV273" s="45"/>
      <c r="BW273" s="45"/>
      <c r="BX273" s="885"/>
      <c r="BY273" s="45"/>
      <c r="BZ273" s="45"/>
      <c r="CA273" s="45"/>
      <c r="CB273" s="45"/>
      <c r="CC273" s="885"/>
      <c r="CD273" s="885"/>
      <c r="CE273" s="885"/>
      <c r="CF273" s="885"/>
      <c r="CG273" s="81"/>
    </row>
    <row r="274" spans="1:85" s="433" customFormat="1" hidden="1" outlineLevel="1" x14ac:dyDescent="0.3">
      <c r="A274" s="338"/>
      <c r="B274" s="336"/>
      <c r="C274" s="880"/>
      <c r="D274" s="880"/>
      <c r="E274" s="880"/>
      <c r="F274" s="880"/>
      <c r="G274" s="337"/>
      <c r="H274" s="337"/>
      <c r="I274" s="337"/>
      <c r="J274" s="337"/>
      <c r="K274" s="880"/>
      <c r="L274" s="337"/>
      <c r="M274" s="337"/>
      <c r="N274" s="337"/>
      <c r="O274" s="337"/>
      <c r="P274" s="880"/>
      <c r="Q274" s="337"/>
      <c r="R274" s="337"/>
      <c r="S274" s="337"/>
      <c r="T274" s="337"/>
      <c r="U274" s="880"/>
      <c r="V274" s="337"/>
      <c r="W274" s="337"/>
      <c r="X274" s="337"/>
      <c r="Y274" s="337"/>
      <c r="Z274" s="880"/>
      <c r="AA274" s="337"/>
      <c r="AB274" s="337"/>
      <c r="AC274" s="337"/>
      <c r="AD274" s="337"/>
      <c r="AE274" s="880"/>
      <c r="AF274" s="337"/>
      <c r="AG274" s="337"/>
      <c r="AH274" s="337"/>
      <c r="AI274" s="337"/>
      <c r="AJ274" s="880"/>
      <c r="AK274" s="337"/>
      <c r="AL274" s="337"/>
      <c r="AM274" s="337"/>
      <c r="AN274" s="337"/>
      <c r="AO274" s="880"/>
      <c r="AP274" s="337"/>
      <c r="AQ274" s="337"/>
      <c r="AR274" s="337"/>
      <c r="AS274" s="337"/>
      <c r="AT274" s="880"/>
      <c r="AU274" s="337"/>
      <c r="AV274" s="337"/>
      <c r="AW274" s="337"/>
      <c r="AX274" s="337"/>
      <c r="AY274" s="880"/>
      <c r="AZ274" s="337"/>
      <c r="BA274" s="337"/>
      <c r="BB274" s="337"/>
      <c r="BC274" s="337"/>
      <c r="BD274" s="880"/>
      <c r="BE274" s="337"/>
      <c r="BF274" s="337"/>
      <c r="BG274" s="337"/>
      <c r="BH274" s="337"/>
      <c r="BI274" s="880"/>
      <c r="BJ274" s="337"/>
      <c r="BK274" s="337"/>
      <c r="BL274" s="337"/>
      <c r="BM274" s="337"/>
      <c r="BN274" s="880"/>
      <c r="BO274" s="337"/>
      <c r="BP274" s="337"/>
      <c r="BQ274" s="337"/>
      <c r="BR274" s="337"/>
      <c r="BS274" s="880"/>
      <c r="BT274" s="661"/>
      <c r="BU274" s="337"/>
      <c r="BV274" s="337"/>
      <c r="BW274" s="337"/>
      <c r="BX274" s="880"/>
      <c r="BY274" s="337"/>
      <c r="BZ274" s="337"/>
      <c r="CA274" s="337"/>
      <c r="CB274" s="337"/>
      <c r="CC274" s="880"/>
      <c r="CD274" s="880"/>
      <c r="CE274" s="880"/>
      <c r="CF274" s="880"/>
      <c r="CG274" s="69"/>
    </row>
    <row r="275" spans="1:85" s="428" customFormat="1" hidden="1" outlineLevel="1" x14ac:dyDescent="0.3">
      <c r="A275" s="40" t="s">
        <v>141</v>
      </c>
      <c r="B275" s="64"/>
      <c r="C275" s="827">
        <v>345</v>
      </c>
      <c r="D275" s="827">
        <v>325</v>
      </c>
      <c r="E275" s="827">
        <v>327</v>
      </c>
      <c r="F275" s="827">
        <v>335</v>
      </c>
      <c r="G275" s="37"/>
      <c r="H275" s="37"/>
      <c r="I275" s="37"/>
      <c r="J275" s="37"/>
      <c r="K275" s="827">
        <v>304</v>
      </c>
      <c r="L275" s="37"/>
      <c r="M275" s="37"/>
      <c r="N275" s="37"/>
      <c r="O275" s="37"/>
      <c r="P275" s="827">
        <v>329</v>
      </c>
      <c r="Q275" s="37"/>
      <c r="R275" s="37"/>
      <c r="S275" s="37"/>
      <c r="T275" s="37"/>
      <c r="U275" s="827">
        <v>322</v>
      </c>
      <c r="V275" s="37"/>
      <c r="W275" s="37"/>
      <c r="X275" s="37"/>
      <c r="Y275" s="37"/>
      <c r="Z275" s="827">
        <v>355</v>
      </c>
      <c r="AA275" s="37"/>
      <c r="AB275" s="37"/>
      <c r="AC275" s="37"/>
      <c r="AD275" s="37"/>
      <c r="AE275" s="827">
        <v>349</v>
      </c>
      <c r="AF275" s="37"/>
      <c r="AG275" s="37"/>
      <c r="AH275" s="37"/>
      <c r="AI275" s="37"/>
      <c r="AJ275" s="827">
        <v>332</v>
      </c>
      <c r="AK275" s="37"/>
      <c r="AL275" s="37"/>
      <c r="AM275" s="37"/>
      <c r="AN275" s="37"/>
      <c r="AO275" s="827">
        <v>358</v>
      </c>
      <c r="AP275" s="37"/>
      <c r="AQ275" s="37"/>
      <c r="AR275" s="37"/>
      <c r="AS275" s="37"/>
      <c r="AT275" s="827">
        <v>305</v>
      </c>
      <c r="AU275" s="37"/>
      <c r="AV275" s="37"/>
      <c r="AW275" s="37"/>
      <c r="AX275" s="37"/>
      <c r="AY275" s="827">
        <v>333</v>
      </c>
      <c r="AZ275" s="37"/>
      <c r="BA275" s="37"/>
      <c r="BB275" s="37"/>
      <c r="BC275" s="37"/>
      <c r="BD275" s="827">
        <v>320</v>
      </c>
      <c r="BE275" s="37"/>
      <c r="BF275" s="37"/>
      <c r="BG275" s="37"/>
      <c r="BH275" s="37"/>
      <c r="BI275" s="827">
        <v>346</v>
      </c>
      <c r="BJ275" s="37"/>
      <c r="BK275" s="37"/>
      <c r="BL275" s="37"/>
      <c r="BM275" s="37"/>
      <c r="BN275" s="827">
        <v>337</v>
      </c>
      <c r="BO275" s="37"/>
      <c r="BP275" s="37"/>
      <c r="BQ275" s="37"/>
      <c r="BR275" s="37"/>
      <c r="BS275" s="827">
        <v>365</v>
      </c>
      <c r="BT275" s="480"/>
      <c r="BU275" s="37"/>
      <c r="BV275" s="37"/>
      <c r="BW275" s="37"/>
      <c r="BX275" s="821"/>
      <c r="BY275" s="37"/>
      <c r="BZ275" s="37"/>
      <c r="CA275" s="37"/>
      <c r="CB275" s="37"/>
      <c r="CC275" s="821"/>
      <c r="CD275" s="821"/>
      <c r="CE275" s="821"/>
      <c r="CF275" s="821"/>
      <c r="CG275" s="22"/>
    </row>
    <row r="276" spans="1:85" s="428" customFormat="1" hidden="1" outlineLevel="1" x14ac:dyDescent="0.3">
      <c r="A276" s="40" t="s">
        <v>142</v>
      </c>
      <c r="B276" s="64"/>
      <c r="C276" s="827">
        <v>247</v>
      </c>
      <c r="D276" s="827">
        <v>250</v>
      </c>
      <c r="E276" s="827">
        <v>244</v>
      </c>
      <c r="F276" s="827">
        <v>265</v>
      </c>
      <c r="G276" s="37"/>
      <c r="H276" s="37"/>
      <c r="I276" s="37"/>
      <c r="J276" s="37"/>
      <c r="K276" s="827">
        <v>235</v>
      </c>
      <c r="L276" s="37"/>
      <c r="M276" s="37"/>
      <c r="N276" s="37"/>
      <c r="O276" s="37"/>
      <c r="P276" s="827">
        <v>221</v>
      </c>
      <c r="Q276" s="37"/>
      <c r="R276" s="37"/>
      <c r="S276" s="37"/>
      <c r="T276" s="37"/>
      <c r="U276" s="827">
        <v>258</v>
      </c>
      <c r="V276" s="37"/>
      <c r="W276" s="37"/>
      <c r="X276" s="37"/>
      <c r="Y276" s="37"/>
      <c r="Z276" s="827">
        <v>267</v>
      </c>
      <c r="AA276" s="37"/>
      <c r="AB276" s="37"/>
      <c r="AC276" s="37"/>
      <c r="AD276" s="37"/>
      <c r="AE276" s="827">
        <v>251</v>
      </c>
      <c r="AF276" s="37"/>
      <c r="AG276" s="37"/>
      <c r="AH276" s="37"/>
      <c r="AI276" s="37"/>
      <c r="AJ276" s="827">
        <v>273</v>
      </c>
      <c r="AK276" s="37"/>
      <c r="AL276" s="37"/>
      <c r="AM276" s="37"/>
      <c r="AN276" s="37"/>
      <c r="AO276" s="827">
        <v>241</v>
      </c>
      <c r="AP276" s="37"/>
      <c r="AQ276" s="37"/>
      <c r="AR276" s="37"/>
      <c r="AS276" s="37"/>
      <c r="AT276" s="827">
        <v>176</v>
      </c>
      <c r="AU276" s="37"/>
      <c r="AV276" s="37"/>
      <c r="AW276" s="37"/>
      <c r="AX276" s="37"/>
      <c r="AY276" s="827">
        <v>233</v>
      </c>
      <c r="AZ276" s="37"/>
      <c r="BA276" s="37"/>
      <c r="BB276" s="37"/>
      <c r="BC276" s="37"/>
      <c r="BD276" s="827">
        <v>248</v>
      </c>
      <c r="BE276" s="37"/>
      <c r="BF276" s="37"/>
      <c r="BG276" s="37"/>
      <c r="BH276" s="37"/>
      <c r="BI276" s="827">
        <v>226</v>
      </c>
      <c r="BJ276" s="37"/>
      <c r="BK276" s="37"/>
      <c r="BL276" s="37"/>
      <c r="BM276" s="37"/>
      <c r="BN276" s="827">
        <v>224</v>
      </c>
      <c r="BO276" s="37"/>
      <c r="BP276" s="37"/>
      <c r="BQ276" s="37"/>
      <c r="BR276" s="37"/>
      <c r="BS276" s="827">
        <v>261</v>
      </c>
      <c r="BT276" s="480"/>
      <c r="BU276" s="37"/>
      <c r="BV276" s="37"/>
      <c r="BW276" s="37"/>
      <c r="BX276" s="821"/>
      <c r="BY276" s="37"/>
      <c r="BZ276" s="37"/>
      <c r="CA276" s="37"/>
      <c r="CB276" s="37"/>
      <c r="CC276" s="821"/>
      <c r="CD276" s="821"/>
      <c r="CE276" s="821"/>
      <c r="CF276" s="821"/>
      <c r="CG276" s="22"/>
    </row>
    <row r="277" spans="1:85" s="428" customFormat="1" hidden="1" outlineLevel="1" x14ac:dyDescent="0.3">
      <c r="A277" s="40" t="s">
        <v>143</v>
      </c>
      <c r="B277" s="64"/>
      <c r="C277" s="827">
        <v>218</v>
      </c>
      <c r="D277" s="827">
        <v>228</v>
      </c>
      <c r="E277" s="827">
        <v>192</v>
      </c>
      <c r="F277" s="827">
        <v>142</v>
      </c>
      <c r="G277" s="37"/>
      <c r="H277" s="37"/>
      <c r="I277" s="37"/>
      <c r="J277" s="37"/>
      <c r="K277" s="827">
        <v>153</v>
      </c>
      <c r="L277" s="37"/>
      <c r="M277" s="37"/>
      <c r="N277" s="37"/>
      <c r="O277" s="37"/>
      <c r="P277" s="827">
        <v>229</v>
      </c>
      <c r="Q277" s="37"/>
      <c r="R277" s="37"/>
      <c r="S277" s="37"/>
      <c r="T277" s="37"/>
      <c r="U277" s="827">
        <v>245</v>
      </c>
      <c r="V277" s="37"/>
      <c r="W277" s="37"/>
      <c r="X277" s="37"/>
      <c r="Y277" s="37"/>
      <c r="Z277" s="827">
        <v>188</v>
      </c>
      <c r="AA277" s="37"/>
      <c r="AB277" s="37"/>
      <c r="AC277" s="37"/>
      <c r="AD277" s="37"/>
      <c r="AE277" s="827">
        <v>248</v>
      </c>
      <c r="AF277" s="37"/>
      <c r="AG277" s="37"/>
      <c r="AH277" s="37"/>
      <c r="AI277" s="37"/>
      <c r="AJ277" s="827">
        <v>249</v>
      </c>
      <c r="AK277" s="37"/>
      <c r="AL277" s="37"/>
      <c r="AM277" s="37"/>
      <c r="AN277" s="37"/>
      <c r="AO277" s="827">
        <v>236</v>
      </c>
      <c r="AP277" s="37"/>
      <c r="AQ277" s="37"/>
      <c r="AR277" s="37"/>
      <c r="AS277" s="37"/>
      <c r="AT277" s="827">
        <v>198</v>
      </c>
      <c r="AU277" s="37"/>
      <c r="AV277" s="37"/>
      <c r="AW277" s="37"/>
      <c r="AX277" s="37"/>
      <c r="AY277" s="827">
        <v>211</v>
      </c>
      <c r="AZ277" s="37"/>
      <c r="BA277" s="37"/>
      <c r="BB277" s="37"/>
      <c r="BC277" s="37"/>
      <c r="BD277" s="827">
        <v>167</v>
      </c>
      <c r="BE277" s="37"/>
      <c r="BF277" s="37"/>
      <c r="BG277" s="37"/>
      <c r="BH277" s="37"/>
      <c r="BI277" s="827">
        <v>225</v>
      </c>
      <c r="BJ277" s="37"/>
      <c r="BK277" s="37"/>
      <c r="BL277" s="37"/>
      <c r="BM277" s="37"/>
      <c r="BN277" s="827">
        <v>242</v>
      </c>
      <c r="BO277" s="37"/>
      <c r="BP277" s="37"/>
      <c r="BQ277" s="37"/>
      <c r="BR277" s="37"/>
      <c r="BS277" s="827">
        <v>253</v>
      </c>
      <c r="BT277" s="480"/>
      <c r="BU277" s="37"/>
      <c r="BV277" s="37"/>
      <c r="BW277" s="37"/>
      <c r="BX277" s="821"/>
      <c r="BY277" s="37"/>
      <c r="BZ277" s="37"/>
      <c r="CA277" s="37"/>
      <c r="CB277" s="37"/>
      <c r="CC277" s="821"/>
      <c r="CD277" s="821"/>
      <c r="CE277" s="821"/>
      <c r="CF277" s="821"/>
      <c r="CG277" s="22"/>
    </row>
    <row r="278" spans="1:85" s="428" customFormat="1" hidden="1" outlineLevel="1" x14ac:dyDescent="0.3">
      <c r="A278" s="40" t="s">
        <v>145</v>
      </c>
      <c r="B278" s="64"/>
      <c r="C278" s="827">
        <v>40</v>
      </c>
      <c r="D278" s="827">
        <v>41</v>
      </c>
      <c r="E278" s="827">
        <v>44</v>
      </c>
      <c r="F278" s="827">
        <v>45</v>
      </c>
      <c r="G278" s="37"/>
      <c r="H278" s="37"/>
      <c r="I278" s="37"/>
      <c r="J278" s="37"/>
      <c r="K278" s="827">
        <v>43</v>
      </c>
      <c r="L278" s="37"/>
      <c r="M278" s="37"/>
      <c r="N278" s="37"/>
      <c r="O278" s="37"/>
      <c r="P278" s="827">
        <v>45</v>
      </c>
      <c r="Q278" s="37"/>
      <c r="R278" s="37"/>
      <c r="S278" s="37"/>
      <c r="T278" s="37"/>
      <c r="U278" s="827">
        <v>52</v>
      </c>
      <c r="V278" s="37"/>
      <c r="W278" s="37"/>
      <c r="X278" s="37"/>
      <c r="Y278" s="37"/>
      <c r="Z278" s="827">
        <v>53</v>
      </c>
      <c r="AA278" s="37"/>
      <c r="AB278" s="37"/>
      <c r="AC278" s="37"/>
      <c r="AD278" s="37"/>
      <c r="AE278" s="827">
        <v>53</v>
      </c>
      <c r="AF278" s="37"/>
      <c r="AG278" s="37"/>
      <c r="AH278" s="37"/>
      <c r="AI278" s="37"/>
      <c r="AJ278" s="827">
        <v>51</v>
      </c>
      <c r="AK278" s="37"/>
      <c r="AL278" s="37"/>
      <c r="AM278" s="37"/>
      <c r="AN278" s="37"/>
      <c r="AO278" s="827">
        <v>54</v>
      </c>
      <c r="AP278" s="37"/>
      <c r="AQ278" s="37"/>
      <c r="AR278" s="37"/>
      <c r="AS278" s="37"/>
      <c r="AT278" s="827">
        <v>45</v>
      </c>
      <c r="AU278" s="37"/>
      <c r="AV278" s="37"/>
      <c r="AW278" s="37"/>
      <c r="AX278" s="37"/>
      <c r="AY278" s="827">
        <v>50</v>
      </c>
      <c r="AZ278" s="37"/>
      <c r="BA278" s="37"/>
      <c r="BB278" s="37"/>
      <c r="BC278" s="37"/>
      <c r="BD278" s="827">
        <v>53</v>
      </c>
      <c r="BE278" s="37"/>
      <c r="BF278" s="37"/>
      <c r="BG278" s="37"/>
      <c r="BH278" s="37"/>
      <c r="BI278" s="827">
        <v>54</v>
      </c>
      <c r="BJ278" s="37"/>
      <c r="BK278" s="37"/>
      <c r="BL278" s="37"/>
      <c r="BM278" s="37"/>
      <c r="BN278" s="827">
        <v>49</v>
      </c>
      <c r="BO278" s="37"/>
      <c r="BP278" s="37"/>
      <c r="BQ278" s="37"/>
      <c r="BR278" s="37"/>
      <c r="BS278" s="827">
        <v>49</v>
      </c>
      <c r="BT278" s="480"/>
      <c r="BU278" s="37"/>
      <c r="BV278" s="37"/>
      <c r="BW278" s="37"/>
      <c r="BX278" s="821"/>
      <c r="BY278" s="37"/>
      <c r="BZ278" s="37"/>
      <c r="CA278" s="37"/>
      <c r="CB278" s="37"/>
      <c r="CC278" s="821"/>
      <c r="CD278" s="821"/>
      <c r="CE278" s="821"/>
      <c r="CF278" s="821"/>
      <c r="CG278" s="22"/>
    </row>
    <row r="279" spans="1:85" s="428" customFormat="1" hidden="1" outlineLevel="1" x14ac:dyDescent="0.3">
      <c r="A279" s="40" t="s">
        <v>559</v>
      </c>
      <c r="B279" s="64"/>
      <c r="C279" s="821"/>
      <c r="D279" s="821"/>
      <c r="E279" s="821"/>
      <c r="F279" s="821"/>
      <c r="G279" s="37"/>
      <c r="H279" s="37"/>
      <c r="I279" s="37"/>
      <c r="J279" s="37"/>
      <c r="K279" s="821"/>
      <c r="L279" s="37"/>
      <c r="M279" s="37"/>
      <c r="N279" s="37"/>
      <c r="O279" s="37"/>
      <c r="P279" s="821"/>
      <c r="Q279" s="37"/>
      <c r="R279" s="37"/>
      <c r="S279" s="37"/>
      <c r="T279" s="37"/>
      <c r="U279" s="821"/>
      <c r="V279" s="37"/>
      <c r="W279" s="37"/>
      <c r="X279" s="37"/>
      <c r="Y279" s="37"/>
      <c r="Z279" s="821"/>
      <c r="AA279" s="37"/>
      <c r="AB279" s="37"/>
      <c r="AC279" s="37"/>
      <c r="AD279" s="37"/>
      <c r="AE279" s="821"/>
      <c r="AF279" s="37"/>
      <c r="AG279" s="37"/>
      <c r="AH279" s="37"/>
      <c r="AI279" s="37"/>
      <c r="AJ279" s="821"/>
      <c r="AK279" s="37"/>
      <c r="AL279" s="37"/>
      <c r="AM279" s="37"/>
      <c r="AN279" s="37"/>
      <c r="AO279" s="827">
        <v>58</v>
      </c>
      <c r="AP279" s="37"/>
      <c r="AQ279" s="37"/>
      <c r="AR279" s="37"/>
      <c r="AS279" s="37"/>
      <c r="AT279" s="827">
        <v>69</v>
      </c>
      <c r="AU279" s="37"/>
      <c r="AV279" s="37"/>
      <c r="AW279" s="37"/>
      <c r="AX279" s="37"/>
      <c r="AY279" s="827">
        <v>76</v>
      </c>
      <c r="AZ279" s="37"/>
      <c r="BA279" s="37"/>
      <c r="BB279" s="37"/>
      <c r="BC279" s="37"/>
      <c r="BD279" s="827">
        <v>77</v>
      </c>
      <c r="BE279" s="37"/>
      <c r="BF279" s="37"/>
      <c r="BG279" s="37"/>
      <c r="BH279" s="37"/>
      <c r="BI279" s="827">
        <v>83</v>
      </c>
      <c r="BJ279" s="37"/>
      <c r="BK279" s="37"/>
      <c r="BL279" s="37"/>
      <c r="BM279" s="37"/>
      <c r="BN279" s="827">
        <v>65</v>
      </c>
      <c r="BO279" s="37"/>
      <c r="BP279" s="37"/>
      <c r="BQ279" s="37"/>
      <c r="BR279" s="37"/>
      <c r="BS279" s="827">
        <v>110</v>
      </c>
      <c r="BT279" s="480"/>
      <c r="BU279" s="37"/>
      <c r="BV279" s="37"/>
      <c r="BW279" s="37"/>
      <c r="BX279" s="821"/>
      <c r="BY279" s="37"/>
      <c r="BZ279" s="37"/>
      <c r="CA279" s="37"/>
      <c r="CB279" s="37"/>
      <c r="CC279" s="821"/>
      <c r="CD279" s="821"/>
      <c r="CE279" s="821"/>
      <c r="CF279" s="821"/>
      <c r="CG279" s="22"/>
    </row>
    <row r="280" spans="1:85" s="428" customFormat="1" hidden="1" outlineLevel="2" x14ac:dyDescent="0.3">
      <c r="A280" s="40" t="s">
        <v>144</v>
      </c>
      <c r="B280" s="64"/>
      <c r="C280" s="827">
        <v>49</v>
      </c>
      <c r="D280" s="827">
        <v>46</v>
      </c>
      <c r="E280" s="827">
        <v>47</v>
      </c>
      <c r="F280" s="827">
        <v>46</v>
      </c>
      <c r="G280" s="37"/>
      <c r="H280" s="37"/>
      <c r="I280" s="37"/>
      <c r="J280" s="37"/>
      <c r="K280" s="827">
        <v>39</v>
      </c>
      <c r="L280" s="37"/>
      <c r="M280" s="37"/>
      <c r="N280" s="37"/>
      <c r="O280" s="37"/>
      <c r="P280" s="827">
        <v>47</v>
      </c>
      <c r="Q280" s="37"/>
      <c r="R280" s="37"/>
      <c r="S280" s="37"/>
      <c r="T280" s="37"/>
      <c r="U280" s="827">
        <v>47</v>
      </c>
      <c r="V280" s="37"/>
      <c r="W280" s="37"/>
      <c r="X280" s="37"/>
      <c r="Y280" s="37"/>
      <c r="Z280" s="827">
        <v>37</v>
      </c>
      <c r="AA280" s="37"/>
      <c r="AB280" s="37"/>
      <c r="AC280" s="37"/>
      <c r="AD280" s="37"/>
      <c r="AE280" s="821"/>
      <c r="AF280" s="37"/>
      <c r="AG280" s="37"/>
      <c r="AH280" s="37"/>
      <c r="AI280" s="37"/>
      <c r="AJ280" s="821"/>
      <c r="AK280" s="37"/>
      <c r="AL280" s="37"/>
      <c r="AM280" s="37"/>
      <c r="AN280" s="37"/>
      <c r="AO280" s="821"/>
      <c r="AP280" s="37"/>
      <c r="AQ280" s="37"/>
      <c r="AR280" s="37"/>
      <c r="AS280" s="37"/>
      <c r="AT280" s="821"/>
      <c r="AU280" s="37"/>
      <c r="AV280" s="37"/>
      <c r="AW280" s="37"/>
      <c r="AX280" s="37"/>
      <c r="AY280" s="821"/>
      <c r="AZ280" s="37"/>
      <c r="BA280" s="37"/>
      <c r="BB280" s="37"/>
      <c r="BC280" s="37"/>
      <c r="BD280" s="821"/>
      <c r="BE280" s="37"/>
      <c r="BF280" s="37"/>
      <c r="BG280" s="37"/>
      <c r="BH280" s="37"/>
      <c r="BI280" s="821"/>
      <c r="BJ280" s="37"/>
      <c r="BK280" s="37"/>
      <c r="BL280" s="37"/>
      <c r="BM280" s="37"/>
      <c r="BN280" s="821"/>
      <c r="BO280" s="37"/>
      <c r="BP280" s="37"/>
      <c r="BQ280" s="37"/>
      <c r="BR280" s="37"/>
      <c r="BS280" s="821"/>
      <c r="BT280" s="480"/>
      <c r="BU280" s="37"/>
      <c r="BV280" s="37"/>
      <c r="BW280" s="37"/>
      <c r="BX280" s="821"/>
      <c r="BY280" s="37"/>
      <c r="BZ280" s="37"/>
      <c r="CA280" s="37"/>
      <c r="CB280" s="37"/>
      <c r="CC280" s="821"/>
      <c r="CD280" s="821"/>
      <c r="CE280" s="821"/>
      <c r="CF280" s="821"/>
      <c r="CG280" s="22"/>
    </row>
    <row r="281" spans="1:85" s="428" customFormat="1" hidden="1" outlineLevel="2" x14ac:dyDescent="0.3">
      <c r="A281" s="40" t="s">
        <v>146</v>
      </c>
      <c r="B281" s="64"/>
      <c r="C281" s="827">
        <v>0</v>
      </c>
      <c r="D281" s="827">
        <v>0</v>
      </c>
      <c r="E281" s="827">
        <v>0</v>
      </c>
      <c r="F281" s="827">
        <v>0</v>
      </c>
      <c r="G281" s="37"/>
      <c r="H281" s="37"/>
      <c r="I281" s="37"/>
      <c r="J281" s="37"/>
      <c r="K281" s="827">
        <v>0</v>
      </c>
      <c r="L281" s="37"/>
      <c r="M281" s="37"/>
      <c r="N281" s="37"/>
      <c r="O281" s="37"/>
      <c r="P281" s="827">
        <v>0</v>
      </c>
      <c r="Q281" s="37"/>
      <c r="R281" s="37"/>
      <c r="S281" s="37"/>
      <c r="T281" s="37"/>
      <c r="U281" s="827">
        <v>0</v>
      </c>
      <c r="V281" s="37"/>
      <c r="W281" s="37"/>
      <c r="X281" s="37"/>
      <c r="Y281" s="37"/>
      <c r="Z281" s="821"/>
      <c r="AA281" s="37"/>
      <c r="AB281" s="37"/>
      <c r="AC281" s="37"/>
      <c r="AD281" s="37"/>
      <c r="AE281" s="821"/>
      <c r="AF281" s="37"/>
      <c r="AG281" s="37"/>
      <c r="AH281" s="37"/>
      <c r="AI281" s="37"/>
      <c r="AJ281" s="821"/>
      <c r="AK281" s="37"/>
      <c r="AL281" s="37"/>
      <c r="AM281" s="37"/>
      <c r="AN281" s="37"/>
      <c r="AO281" s="821"/>
      <c r="AP281" s="37"/>
      <c r="AQ281" s="37"/>
      <c r="AR281" s="37"/>
      <c r="AS281" s="37"/>
      <c r="AT281" s="821"/>
      <c r="AU281" s="37"/>
      <c r="AV281" s="37"/>
      <c r="AW281" s="37"/>
      <c r="AX281" s="37"/>
      <c r="AY281" s="821"/>
      <c r="AZ281" s="37"/>
      <c r="BA281" s="37"/>
      <c r="BB281" s="37"/>
      <c r="BC281" s="37"/>
      <c r="BD281" s="821"/>
      <c r="BE281" s="37"/>
      <c r="BF281" s="37"/>
      <c r="BG281" s="37"/>
      <c r="BH281" s="37"/>
      <c r="BI281" s="821"/>
      <c r="BJ281" s="37"/>
      <c r="BK281" s="37"/>
      <c r="BL281" s="37"/>
      <c r="BM281" s="37"/>
      <c r="BN281" s="821"/>
      <c r="BO281" s="37"/>
      <c r="BP281" s="37"/>
      <c r="BQ281" s="37"/>
      <c r="BR281" s="37"/>
      <c r="BS281" s="821"/>
      <c r="BT281" s="480"/>
      <c r="BU281" s="37"/>
      <c r="BV281" s="37"/>
      <c r="BW281" s="37"/>
      <c r="BX281" s="821"/>
      <c r="BY281" s="37"/>
      <c r="BZ281" s="37"/>
      <c r="CA281" s="37"/>
      <c r="CB281" s="37"/>
      <c r="CC281" s="821"/>
      <c r="CD281" s="821"/>
      <c r="CE281" s="821"/>
      <c r="CF281" s="821"/>
      <c r="CG281" s="22"/>
    </row>
    <row r="282" spans="1:85" s="429" customFormat="1" hidden="1" outlineLevel="1" collapsed="1" x14ac:dyDescent="0.3">
      <c r="A282" s="41" t="s">
        <v>147</v>
      </c>
      <c r="B282" s="90"/>
      <c r="C282" s="824">
        <f t="shared" ref="C282:AH282" si="595">SUM(C275:C281)</f>
        <v>899</v>
      </c>
      <c r="D282" s="824">
        <f t="shared" si="595"/>
        <v>890</v>
      </c>
      <c r="E282" s="824">
        <f t="shared" si="595"/>
        <v>854</v>
      </c>
      <c r="F282" s="824">
        <f t="shared" si="595"/>
        <v>833</v>
      </c>
      <c r="G282" s="394">
        <f t="shared" si="595"/>
        <v>0</v>
      </c>
      <c r="H282" s="394">
        <f t="shared" si="595"/>
        <v>0</v>
      </c>
      <c r="I282" s="394">
        <f t="shared" si="595"/>
        <v>0</v>
      </c>
      <c r="J282" s="394">
        <f t="shared" si="595"/>
        <v>0</v>
      </c>
      <c r="K282" s="824">
        <f t="shared" si="595"/>
        <v>774</v>
      </c>
      <c r="L282" s="394">
        <f t="shared" si="595"/>
        <v>0</v>
      </c>
      <c r="M282" s="394">
        <f t="shared" si="595"/>
        <v>0</v>
      </c>
      <c r="N282" s="394">
        <f t="shared" si="595"/>
        <v>0</v>
      </c>
      <c r="O282" s="394">
        <f t="shared" si="595"/>
        <v>0</v>
      </c>
      <c r="P282" s="824">
        <f t="shared" si="595"/>
        <v>871</v>
      </c>
      <c r="Q282" s="394">
        <f t="shared" si="595"/>
        <v>0</v>
      </c>
      <c r="R282" s="394">
        <f t="shared" si="595"/>
        <v>0</v>
      </c>
      <c r="S282" s="394">
        <f t="shared" si="595"/>
        <v>0</v>
      </c>
      <c r="T282" s="394">
        <f t="shared" si="595"/>
        <v>0</v>
      </c>
      <c r="U282" s="824">
        <f t="shared" si="595"/>
        <v>924</v>
      </c>
      <c r="V282" s="394">
        <f t="shared" si="595"/>
        <v>0</v>
      </c>
      <c r="W282" s="394">
        <f t="shared" si="595"/>
        <v>0</v>
      </c>
      <c r="X282" s="394">
        <f t="shared" si="595"/>
        <v>0</v>
      </c>
      <c r="Y282" s="394">
        <f t="shared" si="595"/>
        <v>0</v>
      </c>
      <c r="Z282" s="824">
        <f t="shared" si="595"/>
        <v>900</v>
      </c>
      <c r="AA282" s="393">
        <f t="shared" si="595"/>
        <v>0</v>
      </c>
      <c r="AB282" s="394">
        <f t="shared" si="595"/>
        <v>0</v>
      </c>
      <c r="AC282" s="394">
        <f t="shared" si="595"/>
        <v>0</v>
      </c>
      <c r="AD282" s="394">
        <f t="shared" si="595"/>
        <v>0</v>
      </c>
      <c r="AE282" s="824">
        <f t="shared" si="595"/>
        <v>901</v>
      </c>
      <c r="AF282" s="393">
        <f t="shared" si="595"/>
        <v>0</v>
      </c>
      <c r="AG282" s="394">
        <f t="shared" si="595"/>
        <v>0</v>
      </c>
      <c r="AH282" s="394">
        <f t="shared" si="595"/>
        <v>0</v>
      </c>
      <c r="AI282" s="394">
        <f t="shared" ref="AI282:BN282" si="596">SUM(AI275:AI281)</f>
        <v>0</v>
      </c>
      <c r="AJ282" s="824">
        <f t="shared" si="596"/>
        <v>905</v>
      </c>
      <c r="AK282" s="393">
        <f t="shared" si="596"/>
        <v>0</v>
      </c>
      <c r="AL282" s="394">
        <f t="shared" si="596"/>
        <v>0</v>
      </c>
      <c r="AM282" s="394">
        <f t="shared" si="596"/>
        <v>0</v>
      </c>
      <c r="AN282" s="394">
        <f t="shared" si="596"/>
        <v>0</v>
      </c>
      <c r="AO282" s="824">
        <f t="shared" si="596"/>
        <v>947</v>
      </c>
      <c r="AP282" s="393">
        <f t="shared" si="596"/>
        <v>0</v>
      </c>
      <c r="AQ282" s="394">
        <f t="shared" si="596"/>
        <v>0</v>
      </c>
      <c r="AR282" s="394">
        <f t="shared" si="596"/>
        <v>0</v>
      </c>
      <c r="AS282" s="394">
        <f t="shared" si="596"/>
        <v>0</v>
      </c>
      <c r="AT282" s="824">
        <f t="shared" si="596"/>
        <v>793</v>
      </c>
      <c r="AU282" s="393">
        <f t="shared" si="596"/>
        <v>0</v>
      </c>
      <c r="AV282" s="394">
        <f t="shared" si="596"/>
        <v>0</v>
      </c>
      <c r="AW282" s="394">
        <f t="shared" si="596"/>
        <v>0</v>
      </c>
      <c r="AX282" s="394">
        <f t="shared" si="596"/>
        <v>0</v>
      </c>
      <c r="AY282" s="824">
        <f t="shared" si="596"/>
        <v>903</v>
      </c>
      <c r="AZ282" s="393">
        <f t="shared" si="596"/>
        <v>0</v>
      </c>
      <c r="BA282" s="394">
        <f t="shared" si="596"/>
        <v>0</v>
      </c>
      <c r="BB282" s="394">
        <f t="shared" si="596"/>
        <v>0</v>
      </c>
      <c r="BC282" s="394">
        <f t="shared" si="596"/>
        <v>0</v>
      </c>
      <c r="BD282" s="824">
        <f t="shared" si="596"/>
        <v>865</v>
      </c>
      <c r="BE282" s="393">
        <f t="shared" si="596"/>
        <v>0</v>
      </c>
      <c r="BF282" s="394">
        <f t="shared" si="596"/>
        <v>0</v>
      </c>
      <c r="BG282" s="394">
        <f t="shared" si="596"/>
        <v>0</v>
      </c>
      <c r="BH282" s="394">
        <f t="shared" si="596"/>
        <v>0</v>
      </c>
      <c r="BI282" s="823">
        <f t="shared" si="596"/>
        <v>934</v>
      </c>
      <c r="BJ282" s="393">
        <f t="shared" si="596"/>
        <v>0</v>
      </c>
      <c r="BK282" s="394">
        <f t="shared" si="596"/>
        <v>0</v>
      </c>
      <c r="BL282" s="394">
        <f t="shared" si="596"/>
        <v>0</v>
      </c>
      <c r="BM282" s="394">
        <f t="shared" si="596"/>
        <v>0</v>
      </c>
      <c r="BN282" s="823">
        <f t="shared" si="596"/>
        <v>917</v>
      </c>
      <c r="BO282" s="393">
        <f>SUM(BO275:BO281)</f>
        <v>0</v>
      </c>
      <c r="BP282" s="394">
        <f>SUM(BP275:BP281)</f>
        <v>0</v>
      </c>
      <c r="BQ282" s="394">
        <f>SUM(BQ275:BQ281)</f>
        <v>0</v>
      </c>
      <c r="BR282" s="394">
        <f>SUM(BR275:BR281)</f>
        <v>0</v>
      </c>
      <c r="BS282" s="823">
        <f t="shared" ref="BS282" si="597">SUM(BS275:BS281)</f>
        <v>1038</v>
      </c>
      <c r="BT282" s="641">
        <f>SUM(BT275:BT281)</f>
        <v>0</v>
      </c>
      <c r="BU282" s="393"/>
      <c r="BV282" s="393"/>
      <c r="BW282" s="393"/>
      <c r="BX282" s="823"/>
      <c r="BY282" s="393"/>
      <c r="BZ282" s="393"/>
      <c r="CA282" s="393"/>
      <c r="CB282" s="393"/>
      <c r="CC282" s="823"/>
      <c r="CD282" s="823"/>
      <c r="CE282" s="823"/>
      <c r="CF282" s="823"/>
      <c r="CG282" s="26"/>
    </row>
    <row r="283" spans="1:85" s="429" customFormat="1" ht="7.5" hidden="1" customHeight="1" outlineLevel="1" x14ac:dyDescent="0.3">
      <c r="A283" s="48"/>
      <c r="B283" s="63"/>
      <c r="C283" s="825"/>
      <c r="D283" s="825"/>
      <c r="E283" s="825"/>
      <c r="F283" s="825"/>
      <c r="G283" s="31"/>
      <c r="H283" s="31"/>
      <c r="I283" s="31"/>
      <c r="J283" s="31"/>
      <c r="K283" s="825"/>
      <c r="L283" s="31"/>
      <c r="M283" s="31"/>
      <c r="N283" s="31"/>
      <c r="O283" s="31"/>
      <c r="P283" s="825"/>
      <c r="Q283" s="31"/>
      <c r="R283" s="31"/>
      <c r="S283" s="31"/>
      <c r="T283" s="31"/>
      <c r="U283" s="825"/>
      <c r="V283" s="31"/>
      <c r="W283" s="31"/>
      <c r="X283" s="31"/>
      <c r="Y283" s="31"/>
      <c r="Z283" s="825"/>
      <c r="AA283" s="31"/>
      <c r="AB283" s="31"/>
      <c r="AC283" s="31"/>
      <c r="AD283" s="31"/>
      <c r="AE283" s="825"/>
      <c r="AF283" s="31"/>
      <c r="AG283" s="31"/>
      <c r="AH283" s="31"/>
      <c r="AI283" s="31"/>
      <c r="AJ283" s="825"/>
      <c r="AK283" s="31"/>
      <c r="AL283" s="31"/>
      <c r="AM283" s="31"/>
      <c r="AN283" s="31"/>
      <c r="AO283" s="825"/>
      <c r="AP283" s="31"/>
      <c r="AQ283" s="31"/>
      <c r="AR283" s="31"/>
      <c r="AS283" s="31"/>
      <c r="AT283" s="825"/>
      <c r="AU283" s="31"/>
      <c r="AV283" s="31"/>
      <c r="AW283" s="31"/>
      <c r="AX283" s="31"/>
      <c r="AY283" s="825"/>
      <c r="AZ283" s="31"/>
      <c r="BA283" s="31"/>
      <c r="BB283" s="31"/>
      <c r="BC283" s="31"/>
      <c r="BD283" s="825"/>
      <c r="BE283" s="31"/>
      <c r="BF283" s="31"/>
      <c r="BG283" s="31"/>
      <c r="BH283" s="31"/>
      <c r="BI283" s="825"/>
      <c r="BJ283" s="31"/>
      <c r="BK283" s="31"/>
      <c r="BL283" s="31"/>
      <c r="BM283" s="31"/>
      <c r="BN283" s="825"/>
      <c r="BO283" s="31"/>
      <c r="BP283" s="31"/>
      <c r="BQ283" s="31"/>
      <c r="BR283" s="31"/>
      <c r="BS283" s="825"/>
      <c r="BT283" s="379"/>
      <c r="BU283" s="31"/>
      <c r="BV283" s="31"/>
      <c r="BW283" s="31"/>
      <c r="BX283" s="825"/>
      <c r="BY283" s="31"/>
      <c r="BZ283" s="31"/>
      <c r="CA283" s="31"/>
      <c r="CB283" s="31"/>
      <c r="CC283" s="825"/>
      <c r="CD283" s="825"/>
      <c r="CE283" s="825"/>
      <c r="CF283" s="825"/>
      <c r="CG283" s="26"/>
    </row>
    <row r="284" spans="1:85" s="428" customFormat="1" hidden="1" outlineLevel="1" x14ac:dyDescent="0.3">
      <c r="A284" s="57" t="s">
        <v>149</v>
      </c>
      <c r="B284" s="64"/>
      <c r="C284" s="821"/>
      <c r="D284" s="827">
        <v>0</v>
      </c>
      <c r="E284" s="827">
        <v>0</v>
      </c>
      <c r="F284" s="827">
        <v>95</v>
      </c>
      <c r="G284" s="37"/>
      <c r="H284" s="37"/>
      <c r="I284" s="37"/>
      <c r="J284" s="37"/>
      <c r="K284" s="827">
        <v>161</v>
      </c>
      <c r="L284" s="37"/>
      <c r="M284" s="37"/>
      <c r="N284" s="37"/>
      <c r="O284" s="37"/>
      <c r="P284" s="827">
        <v>141</v>
      </c>
      <c r="Q284" s="37"/>
      <c r="R284" s="37"/>
      <c r="S284" s="37"/>
      <c r="T284" s="37"/>
      <c r="U284" s="827">
        <v>164</v>
      </c>
      <c r="V284" s="37"/>
      <c r="W284" s="37"/>
      <c r="X284" s="37"/>
      <c r="Y284" s="37"/>
      <c r="Z284" s="827">
        <v>162</v>
      </c>
      <c r="AA284" s="37"/>
      <c r="AB284" s="37"/>
      <c r="AC284" s="37"/>
      <c r="AD284" s="37"/>
      <c r="AE284" s="827">
        <v>152</v>
      </c>
      <c r="AF284" s="37"/>
      <c r="AG284" s="37"/>
      <c r="AH284" s="37"/>
      <c r="AI284" s="37"/>
      <c r="AJ284" s="827">
        <v>160</v>
      </c>
      <c r="AK284" s="37"/>
      <c r="AL284" s="37"/>
      <c r="AM284" s="37"/>
      <c r="AN284" s="37"/>
      <c r="AO284" s="827">
        <v>134</v>
      </c>
      <c r="AP284" s="37"/>
      <c r="AQ284" s="37"/>
      <c r="AR284" s="37"/>
      <c r="AS284" s="37"/>
      <c r="AT284" s="827">
        <v>143</v>
      </c>
      <c r="AU284" s="37"/>
      <c r="AV284" s="37"/>
      <c r="AW284" s="37"/>
      <c r="AX284" s="37"/>
      <c r="AY284" s="827">
        <v>135</v>
      </c>
      <c r="AZ284" s="37"/>
      <c r="BA284" s="37"/>
      <c r="BB284" s="37"/>
      <c r="BC284" s="37"/>
      <c r="BD284" s="827">
        <v>156</v>
      </c>
      <c r="BE284" s="37"/>
      <c r="BF284" s="37"/>
      <c r="BG284" s="37"/>
      <c r="BH284" s="37"/>
      <c r="BI284" s="827">
        <v>153</v>
      </c>
      <c r="BJ284" s="37"/>
      <c r="BK284" s="37"/>
      <c r="BL284" s="37"/>
      <c r="BM284" s="37"/>
      <c r="BN284" s="827">
        <v>160</v>
      </c>
      <c r="BO284" s="37"/>
      <c r="BP284" s="37"/>
      <c r="BQ284" s="37"/>
      <c r="BR284" s="37"/>
      <c r="BS284" s="827">
        <v>163</v>
      </c>
      <c r="BT284" s="480"/>
      <c r="BU284" s="37"/>
      <c r="BV284" s="37"/>
      <c r="BW284" s="37"/>
      <c r="BX284" s="821"/>
      <c r="BY284" s="37"/>
      <c r="BZ284" s="37"/>
      <c r="CA284" s="37"/>
      <c r="CB284" s="37"/>
      <c r="CC284" s="821"/>
      <c r="CD284" s="821"/>
      <c r="CE284" s="821"/>
      <c r="CF284" s="821"/>
      <c r="CG284" s="22"/>
    </row>
    <row r="285" spans="1:85" s="428" customFormat="1" hidden="1" outlineLevel="2" x14ac:dyDescent="0.3">
      <c r="A285" s="57" t="s">
        <v>148</v>
      </c>
      <c r="B285" s="64"/>
      <c r="C285" s="827">
        <v>205</v>
      </c>
      <c r="D285" s="827">
        <v>211</v>
      </c>
      <c r="E285" s="827">
        <v>122</v>
      </c>
      <c r="F285" s="827">
        <v>0</v>
      </c>
      <c r="G285" s="37"/>
      <c r="H285" s="37"/>
      <c r="I285" s="37"/>
      <c r="J285" s="37"/>
      <c r="K285" s="827">
        <v>0</v>
      </c>
      <c r="L285" s="37"/>
      <c r="M285" s="37"/>
      <c r="N285" s="37"/>
      <c r="O285" s="37"/>
      <c r="P285" s="827">
        <v>0</v>
      </c>
      <c r="Q285" s="37"/>
      <c r="R285" s="37"/>
      <c r="S285" s="37"/>
      <c r="T285" s="37"/>
      <c r="U285" s="827">
        <v>0</v>
      </c>
      <c r="V285" s="37"/>
      <c r="W285" s="37"/>
      <c r="X285" s="37"/>
      <c r="Y285" s="37"/>
      <c r="Z285" s="827">
        <v>0</v>
      </c>
      <c r="AA285" s="37"/>
      <c r="AB285" s="37"/>
      <c r="AC285" s="37"/>
      <c r="AD285" s="37"/>
      <c r="AE285" s="821"/>
      <c r="AF285" s="37"/>
      <c r="AG285" s="37"/>
      <c r="AH285" s="37"/>
      <c r="AI285" s="37"/>
      <c r="AJ285" s="821"/>
      <c r="AK285" s="37"/>
      <c r="AL285" s="37"/>
      <c r="AM285" s="37"/>
      <c r="AN285" s="37"/>
      <c r="AO285" s="821"/>
      <c r="AP285" s="37"/>
      <c r="AQ285" s="37"/>
      <c r="AR285" s="37"/>
      <c r="AS285" s="37"/>
      <c r="AT285" s="821"/>
      <c r="AU285" s="37"/>
      <c r="AV285" s="37"/>
      <c r="AW285" s="37"/>
      <c r="AX285" s="37"/>
      <c r="AY285" s="821"/>
      <c r="AZ285" s="37"/>
      <c r="BA285" s="37"/>
      <c r="BB285" s="37"/>
      <c r="BC285" s="37"/>
      <c r="BD285" s="821"/>
      <c r="BE285" s="37"/>
      <c r="BF285" s="37"/>
      <c r="BG285" s="37"/>
      <c r="BH285" s="37"/>
      <c r="BI285" s="821"/>
      <c r="BJ285" s="37"/>
      <c r="BK285" s="37"/>
      <c r="BL285" s="37"/>
      <c r="BM285" s="37"/>
      <c r="BN285" s="821"/>
      <c r="BO285" s="37"/>
      <c r="BP285" s="37"/>
      <c r="BQ285" s="37"/>
      <c r="BR285" s="37"/>
      <c r="BS285" s="821"/>
      <c r="BT285" s="480"/>
      <c r="BU285" s="37"/>
      <c r="BV285" s="37"/>
      <c r="BW285" s="37"/>
      <c r="BX285" s="821"/>
      <c r="BY285" s="37"/>
      <c r="BZ285" s="37"/>
      <c r="CA285" s="37"/>
      <c r="CB285" s="37"/>
      <c r="CC285" s="821"/>
      <c r="CD285" s="821"/>
      <c r="CE285" s="821"/>
      <c r="CF285" s="821"/>
      <c r="CG285" s="22"/>
    </row>
    <row r="286" spans="1:85" s="428" customFormat="1" hidden="1" outlineLevel="2" x14ac:dyDescent="0.3">
      <c r="A286" s="57" t="s">
        <v>150</v>
      </c>
      <c r="B286" s="64"/>
      <c r="C286" s="827">
        <v>72</v>
      </c>
      <c r="D286" s="827">
        <v>70</v>
      </c>
      <c r="E286" s="827">
        <v>77</v>
      </c>
      <c r="F286" s="827">
        <v>79</v>
      </c>
      <c r="G286" s="37"/>
      <c r="H286" s="37"/>
      <c r="I286" s="37"/>
      <c r="J286" s="37"/>
      <c r="K286" s="827">
        <v>78</v>
      </c>
      <c r="L286" s="37"/>
      <c r="M286" s="37"/>
      <c r="N286" s="37"/>
      <c r="O286" s="37"/>
      <c r="P286" s="827">
        <v>72</v>
      </c>
      <c r="Q286" s="37"/>
      <c r="R286" s="37"/>
      <c r="S286" s="37"/>
      <c r="T286" s="37"/>
      <c r="U286" s="827">
        <v>69</v>
      </c>
      <c r="V286" s="37"/>
      <c r="W286" s="37"/>
      <c r="X286" s="37"/>
      <c r="Y286" s="37"/>
      <c r="Z286" s="827">
        <v>78</v>
      </c>
      <c r="AA286" s="37"/>
      <c r="AB286" s="37"/>
      <c r="AC286" s="37"/>
      <c r="AD286" s="37"/>
      <c r="AE286" s="827">
        <v>68</v>
      </c>
      <c r="AF286" s="37"/>
      <c r="AG286" s="37"/>
      <c r="AH286" s="37"/>
      <c r="AI286" s="37"/>
      <c r="AJ286" s="827">
        <v>49</v>
      </c>
      <c r="AK286" s="37"/>
      <c r="AL286" s="37"/>
      <c r="AM286" s="37"/>
      <c r="AN286" s="37"/>
      <c r="AO286" s="821"/>
      <c r="AP286" s="37"/>
      <c r="AQ286" s="37"/>
      <c r="AR286" s="37"/>
      <c r="AS286" s="37"/>
      <c r="AT286" s="821"/>
      <c r="AU286" s="37"/>
      <c r="AV286" s="37"/>
      <c r="AW286" s="37"/>
      <c r="AX286" s="37"/>
      <c r="AY286" s="821"/>
      <c r="AZ286" s="37"/>
      <c r="BA286" s="37"/>
      <c r="BB286" s="37"/>
      <c r="BC286" s="37"/>
      <c r="BD286" s="821"/>
      <c r="BE286" s="37"/>
      <c r="BF286" s="37"/>
      <c r="BG286" s="37"/>
      <c r="BH286" s="37"/>
      <c r="BI286" s="821"/>
      <c r="BJ286" s="37"/>
      <c r="BK286" s="37"/>
      <c r="BL286" s="37"/>
      <c r="BM286" s="37"/>
      <c r="BN286" s="821"/>
      <c r="BO286" s="37"/>
      <c r="BP286" s="37"/>
      <c r="BQ286" s="37"/>
      <c r="BR286" s="37"/>
      <c r="BS286" s="821"/>
      <c r="BT286" s="480"/>
      <c r="BU286" s="37"/>
      <c r="BV286" s="37"/>
      <c r="BW286" s="37"/>
      <c r="BX286" s="821"/>
      <c r="BY286" s="37"/>
      <c r="BZ286" s="37"/>
      <c r="CA286" s="37"/>
      <c r="CB286" s="37"/>
      <c r="CC286" s="821"/>
      <c r="CD286" s="821"/>
      <c r="CE286" s="821"/>
      <c r="CF286" s="821"/>
      <c r="CG286" s="22"/>
    </row>
    <row r="287" spans="1:85" s="428" customFormat="1" hidden="1" outlineLevel="2" x14ac:dyDescent="0.3">
      <c r="A287" s="57" t="s">
        <v>151</v>
      </c>
      <c r="B287" s="64"/>
      <c r="C287" s="827">
        <v>49</v>
      </c>
      <c r="D287" s="827">
        <v>40</v>
      </c>
      <c r="E287" s="827">
        <v>43</v>
      </c>
      <c r="F287" s="827">
        <v>49</v>
      </c>
      <c r="G287" s="37"/>
      <c r="H287" s="37"/>
      <c r="I287" s="37"/>
      <c r="J287" s="37"/>
      <c r="K287" s="827">
        <v>42</v>
      </c>
      <c r="L287" s="37"/>
      <c r="M287" s="37"/>
      <c r="N287" s="37"/>
      <c r="O287" s="37"/>
      <c r="P287" s="827">
        <v>49</v>
      </c>
      <c r="Q287" s="37"/>
      <c r="R287" s="37"/>
      <c r="S287" s="37"/>
      <c r="T287" s="37"/>
      <c r="U287" s="827">
        <v>46</v>
      </c>
      <c r="V287" s="37"/>
      <c r="W287" s="37"/>
      <c r="X287" s="37"/>
      <c r="Y287" s="37"/>
      <c r="Z287" s="827">
        <v>51</v>
      </c>
      <c r="AA287" s="37"/>
      <c r="AB287" s="37"/>
      <c r="AC287" s="37"/>
      <c r="AD287" s="37"/>
      <c r="AE287" s="827">
        <v>40</v>
      </c>
      <c r="AF287" s="37"/>
      <c r="AG287" s="37"/>
      <c r="AH287" s="37"/>
      <c r="AI287" s="37"/>
      <c r="AJ287" s="827">
        <v>0</v>
      </c>
      <c r="AK287" s="37"/>
      <c r="AL287" s="37"/>
      <c r="AM287" s="37"/>
      <c r="AN287" s="37"/>
      <c r="AO287" s="821"/>
      <c r="AP287" s="37"/>
      <c r="AQ287" s="37"/>
      <c r="AR287" s="37"/>
      <c r="AS287" s="37"/>
      <c r="AT287" s="821"/>
      <c r="AU287" s="37"/>
      <c r="AV287" s="37"/>
      <c r="AW287" s="37"/>
      <c r="AX287" s="37"/>
      <c r="AY287" s="821"/>
      <c r="AZ287" s="37"/>
      <c r="BA287" s="37"/>
      <c r="BB287" s="37"/>
      <c r="BC287" s="37"/>
      <c r="BD287" s="821"/>
      <c r="BE287" s="37"/>
      <c r="BF287" s="37"/>
      <c r="BG287" s="37"/>
      <c r="BH287" s="37"/>
      <c r="BI287" s="821"/>
      <c r="BJ287" s="37"/>
      <c r="BK287" s="37"/>
      <c r="BL287" s="37"/>
      <c r="BM287" s="37"/>
      <c r="BN287" s="821"/>
      <c r="BO287" s="37"/>
      <c r="BP287" s="37"/>
      <c r="BQ287" s="37"/>
      <c r="BR287" s="37"/>
      <c r="BS287" s="821"/>
      <c r="BT287" s="480"/>
      <c r="BU287" s="37"/>
      <c r="BV287" s="37"/>
      <c r="BW287" s="37"/>
      <c r="BX287" s="821"/>
      <c r="BY287" s="37"/>
      <c r="BZ287" s="37"/>
      <c r="CA287" s="37"/>
      <c r="CB287" s="37"/>
      <c r="CC287" s="821"/>
      <c r="CD287" s="821"/>
      <c r="CE287" s="821"/>
      <c r="CF287" s="821"/>
      <c r="CG287" s="22"/>
    </row>
    <row r="288" spans="1:85" s="428" customFormat="1" hidden="1" outlineLevel="1" collapsed="1" x14ac:dyDescent="0.3">
      <c r="A288" s="296" t="s">
        <v>152</v>
      </c>
      <c r="B288" s="469"/>
      <c r="C288" s="886">
        <f t="shared" ref="C288:AH288" si="598">SUM(C284:C287)</f>
        <v>326</v>
      </c>
      <c r="D288" s="886">
        <f t="shared" si="598"/>
        <v>321</v>
      </c>
      <c r="E288" s="886">
        <f t="shared" si="598"/>
        <v>242</v>
      </c>
      <c r="F288" s="886">
        <f t="shared" si="598"/>
        <v>223</v>
      </c>
      <c r="G288" s="84">
        <f t="shared" si="598"/>
        <v>0</v>
      </c>
      <c r="H288" s="84">
        <f t="shared" si="598"/>
        <v>0</v>
      </c>
      <c r="I288" s="84">
        <f t="shared" si="598"/>
        <v>0</v>
      </c>
      <c r="J288" s="84">
        <f t="shared" si="598"/>
        <v>0</v>
      </c>
      <c r="K288" s="886">
        <f t="shared" si="598"/>
        <v>281</v>
      </c>
      <c r="L288" s="84">
        <f t="shared" si="598"/>
        <v>0</v>
      </c>
      <c r="M288" s="84">
        <f t="shared" si="598"/>
        <v>0</v>
      </c>
      <c r="N288" s="84">
        <f t="shared" si="598"/>
        <v>0</v>
      </c>
      <c r="O288" s="84">
        <f t="shared" si="598"/>
        <v>0</v>
      </c>
      <c r="P288" s="886">
        <f t="shared" si="598"/>
        <v>262</v>
      </c>
      <c r="Q288" s="84">
        <f t="shared" si="598"/>
        <v>0</v>
      </c>
      <c r="R288" s="84">
        <f t="shared" si="598"/>
        <v>0</v>
      </c>
      <c r="S288" s="84">
        <f t="shared" si="598"/>
        <v>0</v>
      </c>
      <c r="T288" s="84">
        <f t="shared" si="598"/>
        <v>0</v>
      </c>
      <c r="U288" s="886">
        <f t="shared" si="598"/>
        <v>279</v>
      </c>
      <c r="V288" s="84">
        <f t="shared" si="598"/>
        <v>0</v>
      </c>
      <c r="W288" s="84">
        <f t="shared" si="598"/>
        <v>0</v>
      </c>
      <c r="X288" s="84">
        <f t="shared" si="598"/>
        <v>0</v>
      </c>
      <c r="Y288" s="84">
        <f t="shared" si="598"/>
        <v>0</v>
      </c>
      <c r="Z288" s="886">
        <f t="shared" si="598"/>
        <v>291</v>
      </c>
      <c r="AA288" s="84">
        <f t="shared" si="598"/>
        <v>0</v>
      </c>
      <c r="AB288" s="84">
        <f t="shared" si="598"/>
        <v>0</v>
      </c>
      <c r="AC288" s="84">
        <f t="shared" si="598"/>
        <v>0</v>
      </c>
      <c r="AD288" s="84">
        <f t="shared" si="598"/>
        <v>0</v>
      </c>
      <c r="AE288" s="886">
        <f t="shared" si="598"/>
        <v>260</v>
      </c>
      <c r="AF288" s="84">
        <f t="shared" si="598"/>
        <v>0</v>
      </c>
      <c r="AG288" s="84">
        <f t="shared" si="598"/>
        <v>0</v>
      </c>
      <c r="AH288" s="84">
        <f t="shared" si="598"/>
        <v>0</v>
      </c>
      <c r="AI288" s="84">
        <f t="shared" ref="AI288:BN288" si="599">SUM(AI284:AI287)</f>
        <v>0</v>
      </c>
      <c r="AJ288" s="886">
        <f t="shared" si="599"/>
        <v>209</v>
      </c>
      <c r="AK288" s="84">
        <f t="shared" si="599"/>
        <v>0</v>
      </c>
      <c r="AL288" s="84">
        <f t="shared" si="599"/>
        <v>0</v>
      </c>
      <c r="AM288" s="84">
        <f t="shared" si="599"/>
        <v>0</v>
      </c>
      <c r="AN288" s="84">
        <f t="shared" si="599"/>
        <v>0</v>
      </c>
      <c r="AO288" s="886">
        <f t="shared" si="599"/>
        <v>134</v>
      </c>
      <c r="AP288" s="84">
        <f t="shared" si="599"/>
        <v>0</v>
      </c>
      <c r="AQ288" s="84">
        <f t="shared" si="599"/>
        <v>0</v>
      </c>
      <c r="AR288" s="84">
        <f t="shared" si="599"/>
        <v>0</v>
      </c>
      <c r="AS288" s="84">
        <f t="shared" si="599"/>
        <v>0</v>
      </c>
      <c r="AT288" s="886">
        <f t="shared" si="599"/>
        <v>143</v>
      </c>
      <c r="AU288" s="84">
        <f t="shared" si="599"/>
        <v>0</v>
      </c>
      <c r="AV288" s="84">
        <f t="shared" si="599"/>
        <v>0</v>
      </c>
      <c r="AW288" s="84">
        <f t="shared" si="599"/>
        <v>0</v>
      </c>
      <c r="AX288" s="84">
        <f t="shared" si="599"/>
        <v>0</v>
      </c>
      <c r="AY288" s="886">
        <f t="shared" si="599"/>
        <v>135</v>
      </c>
      <c r="AZ288" s="84">
        <f t="shared" si="599"/>
        <v>0</v>
      </c>
      <c r="BA288" s="84">
        <f t="shared" si="599"/>
        <v>0</v>
      </c>
      <c r="BB288" s="84">
        <f t="shared" si="599"/>
        <v>0</v>
      </c>
      <c r="BC288" s="84">
        <f t="shared" si="599"/>
        <v>0</v>
      </c>
      <c r="BD288" s="886">
        <f t="shared" si="599"/>
        <v>156</v>
      </c>
      <c r="BE288" s="84">
        <f t="shared" si="599"/>
        <v>0</v>
      </c>
      <c r="BF288" s="84">
        <f t="shared" si="599"/>
        <v>0</v>
      </c>
      <c r="BG288" s="84">
        <f t="shared" si="599"/>
        <v>0</v>
      </c>
      <c r="BH288" s="84">
        <f t="shared" si="599"/>
        <v>0</v>
      </c>
      <c r="BI288" s="886">
        <f t="shared" si="599"/>
        <v>153</v>
      </c>
      <c r="BJ288" s="84">
        <f t="shared" si="599"/>
        <v>0</v>
      </c>
      <c r="BK288" s="84">
        <f t="shared" si="599"/>
        <v>0</v>
      </c>
      <c r="BL288" s="84">
        <f t="shared" si="599"/>
        <v>0</v>
      </c>
      <c r="BM288" s="84">
        <f t="shared" si="599"/>
        <v>0</v>
      </c>
      <c r="BN288" s="886">
        <f t="shared" si="599"/>
        <v>160</v>
      </c>
      <c r="BO288" s="84">
        <f t="shared" ref="BO288:BT288" si="600">SUM(BO284:BO287)</f>
        <v>0</v>
      </c>
      <c r="BP288" s="84">
        <f t="shared" si="600"/>
        <v>0</v>
      </c>
      <c r="BQ288" s="84">
        <f t="shared" si="600"/>
        <v>0</v>
      </c>
      <c r="BR288" s="84">
        <f t="shared" si="600"/>
        <v>0</v>
      </c>
      <c r="BS288" s="886">
        <f t="shared" si="600"/>
        <v>163</v>
      </c>
      <c r="BT288" s="479">
        <f t="shared" si="600"/>
        <v>0</v>
      </c>
      <c r="BU288" s="84"/>
      <c r="BV288" s="84"/>
      <c r="BW288" s="84"/>
      <c r="BX288" s="886"/>
      <c r="BY288" s="84"/>
      <c r="BZ288" s="84"/>
      <c r="CA288" s="84"/>
      <c r="CB288" s="84"/>
      <c r="CC288" s="886"/>
      <c r="CD288" s="886"/>
      <c r="CE288" s="886"/>
      <c r="CF288" s="886"/>
      <c r="CG288" s="22"/>
    </row>
    <row r="289" spans="1:85" s="429" customFormat="1" ht="7.5" hidden="1" customHeight="1" outlineLevel="1" x14ac:dyDescent="0.3">
      <c r="A289" s="52"/>
      <c r="B289" s="63"/>
      <c r="C289" s="825"/>
      <c r="D289" s="825"/>
      <c r="E289" s="825"/>
      <c r="F289" s="825"/>
      <c r="G289" s="31"/>
      <c r="H289" s="31"/>
      <c r="I289" s="31"/>
      <c r="J289" s="31"/>
      <c r="K289" s="825"/>
      <c r="L289" s="31"/>
      <c r="M289" s="31"/>
      <c r="N289" s="31"/>
      <c r="O289" s="31"/>
      <c r="P289" s="825"/>
      <c r="Q289" s="31"/>
      <c r="R289" s="31"/>
      <c r="S289" s="31"/>
      <c r="T289" s="31"/>
      <c r="U289" s="825"/>
      <c r="V289" s="31"/>
      <c r="W289" s="31"/>
      <c r="X289" s="31"/>
      <c r="Y289" s="31"/>
      <c r="Z289" s="825"/>
      <c r="AA289" s="31"/>
      <c r="AB289" s="31"/>
      <c r="AC289" s="31"/>
      <c r="AD289" s="31"/>
      <c r="AE289" s="825"/>
      <c r="AF289" s="31"/>
      <c r="AG289" s="31"/>
      <c r="AH289" s="31"/>
      <c r="AI289" s="31"/>
      <c r="AJ289" s="825"/>
      <c r="AK289" s="31"/>
      <c r="AL289" s="31"/>
      <c r="AM289" s="31"/>
      <c r="AN289" s="31"/>
      <c r="AO289" s="825"/>
      <c r="AP289" s="31"/>
      <c r="AQ289" s="31"/>
      <c r="AR289" s="31"/>
      <c r="AS289" s="31"/>
      <c r="AT289" s="825"/>
      <c r="AU289" s="31"/>
      <c r="AV289" s="31"/>
      <c r="AW289" s="31"/>
      <c r="AX289" s="31"/>
      <c r="AY289" s="825"/>
      <c r="AZ289" s="31"/>
      <c r="BA289" s="31"/>
      <c r="BB289" s="31"/>
      <c r="BC289" s="31"/>
      <c r="BD289" s="825"/>
      <c r="BE289" s="31"/>
      <c r="BF289" s="31"/>
      <c r="BG289" s="31"/>
      <c r="BH289" s="31"/>
      <c r="BI289" s="825"/>
      <c r="BJ289" s="31"/>
      <c r="BK289" s="31"/>
      <c r="BL289" s="31"/>
      <c r="BM289" s="31"/>
      <c r="BN289" s="825"/>
      <c r="BO289" s="31"/>
      <c r="BP289" s="31"/>
      <c r="BQ289" s="31"/>
      <c r="BR289" s="31"/>
      <c r="BS289" s="825"/>
      <c r="BT289" s="379"/>
      <c r="BU289" s="31"/>
      <c r="BV289" s="31"/>
      <c r="BW289" s="31"/>
      <c r="BX289" s="825"/>
      <c r="BY289" s="31"/>
      <c r="BZ289" s="31"/>
      <c r="CA289" s="31"/>
      <c r="CB289" s="31"/>
      <c r="CC289" s="825"/>
      <c r="CD289" s="825"/>
      <c r="CE289" s="825"/>
      <c r="CF289" s="825"/>
      <c r="CG289" s="26"/>
    </row>
    <row r="290" spans="1:85" s="428" customFormat="1" hidden="1" outlineLevel="1" x14ac:dyDescent="0.3">
      <c r="A290" s="57" t="s">
        <v>158</v>
      </c>
      <c r="B290" s="64"/>
      <c r="C290" s="821"/>
      <c r="D290" s="821"/>
      <c r="E290" s="827">
        <v>128</v>
      </c>
      <c r="F290" s="827">
        <v>128</v>
      </c>
      <c r="G290" s="37"/>
      <c r="H290" s="37"/>
      <c r="I290" s="37"/>
      <c r="J290" s="37"/>
      <c r="K290" s="827">
        <v>114</v>
      </c>
      <c r="L290" s="37"/>
      <c r="M290" s="37"/>
      <c r="N290" s="37"/>
      <c r="O290" s="37"/>
      <c r="P290" s="827">
        <v>109</v>
      </c>
      <c r="Q290" s="37"/>
      <c r="R290" s="37"/>
      <c r="S290" s="37"/>
      <c r="T290" s="37"/>
      <c r="U290" s="827">
        <v>118</v>
      </c>
      <c r="V290" s="37"/>
      <c r="W290" s="37"/>
      <c r="X290" s="37"/>
      <c r="Y290" s="37"/>
      <c r="Z290" s="827">
        <v>121</v>
      </c>
      <c r="AA290" s="37"/>
      <c r="AB290" s="37"/>
      <c r="AC290" s="37"/>
      <c r="AD290" s="37"/>
      <c r="AE290" s="827">
        <v>127</v>
      </c>
      <c r="AF290" s="37"/>
      <c r="AG290" s="37"/>
      <c r="AH290" s="37"/>
      <c r="AI290" s="37"/>
      <c r="AJ290" s="827">
        <v>116</v>
      </c>
      <c r="AK290" s="37"/>
      <c r="AL290" s="37"/>
      <c r="AM290" s="37"/>
      <c r="AN290" s="37"/>
      <c r="AO290" s="827">
        <v>113</v>
      </c>
      <c r="AP290" s="37"/>
      <c r="AQ290" s="37"/>
      <c r="AR290" s="37"/>
      <c r="AS290" s="37"/>
      <c r="AT290" s="827">
        <v>83</v>
      </c>
      <c r="AU290" s="37"/>
      <c r="AV290" s="37"/>
      <c r="AW290" s="37"/>
      <c r="AX290" s="37"/>
      <c r="AY290" s="827">
        <v>87</v>
      </c>
      <c r="AZ290" s="37"/>
      <c r="BA290" s="37"/>
      <c r="BB290" s="37"/>
      <c r="BC290" s="37"/>
      <c r="BD290" s="827">
        <v>108</v>
      </c>
      <c r="BE290" s="37"/>
      <c r="BF290" s="37"/>
      <c r="BG290" s="37"/>
      <c r="BH290" s="37"/>
      <c r="BI290" s="827">
        <v>106</v>
      </c>
      <c r="BJ290" s="37"/>
      <c r="BK290" s="37"/>
      <c r="BL290" s="37"/>
      <c r="BM290" s="37"/>
      <c r="BN290" s="827">
        <v>117</v>
      </c>
      <c r="BO290" s="37"/>
      <c r="BP290" s="37"/>
      <c r="BQ290" s="37"/>
      <c r="BR290" s="37"/>
      <c r="BS290" s="827">
        <v>124</v>
      </c>
      <c r="BT290" s="480"/>
      <c r="BU290" s="37"/>
      <c r="BV290" s="37"/>
      <c r="BW290" s="37"/>
      <c r="BX290" s="821"/>
      <c r="BY290" s="37"/>
      <c r="BZ290" s="37"/>
      <c r="CA290" s="37"/>
      <c r="CB290" s="37"/>
      <c r="CC290" s="821"/>
      <c r="CD290" s="821"/>
      <c r="CE290" s="821"/>
      <c r="CF290" s="821"/>
      <c r="CG290" s="22"/>
    </row>
    <row r="291" spans="1:85" s="428" customFormat="1" hidden="1" outlineLevel="1" x14ac:dyDescent="0.3">
      <c r="A291" s="57" t="s">
        <v>159</v>
      </c>
      <c r="B291" s="64"/>
      <c r="C291" s="821"/>
      <c r="D291" s="821"/>
      <c r="E291" s="827">
        <v>355</v>
      </c>
      <c r="F291" s="827">
        <v>359</v>
      </c>
      <c r="G291" s="37"/>
      <c r="H291" s="37"/>
      <c r="I291" s="37"/>
      <c r="J291" s="37"/>
      <c r="K291" s="827">
        <v>351</v>
      </c>
      <c r="L291" s="37"/>
      <c r="M291" s="37"/>
      <c r="N291" s="37"/>
      <c r="O291" s="37"/>
      <c r="P291" s="827">
        <v>342</v>
      </c>
      <c r="Q291" s="37"/>
      <c r="R291" s="37"/>
      <c r="S291" s="37"/>
      <c r="T291" s="37"/>
      <c r="U291" s="827">
        <v>361</v>
      </c>
      <c r="V291" s="37"/>
      <c r="W291" s="37"/>
      <c r="X291" s="37"/>
      <c r="Y291" s="37"/>
      <c r="Z291" s="827">
        <v>373</v>
      </c>
      <c r="AA291" s="37"/>
      <c r="AB291" s="37"/>
      <c r="AC291" s="37"/>
      <c r="AD291" s="37"/>
      <c r="AE291" s="827">
        <v>370</v>
      </c>
      <c r="AF291" s="37"/>
      <c r="AG291" s="37"/>
      <c r="AH291" s="37"/>
      <c r="AI291" s="37"/>
      <c r="AJ291" s="827">
        <v>378</v>
      </c>
      <c r="AK291" s="37"/>
      <c r="AL291" s="37"/>
      <c r="AM291" s="37"/>
      <c r="AN291" s="37"/>
      <c r="AO291" s="827">
        <v>370</v>
      </c>
      <c r="AP291" s="37"/>
      <c r="AQ291" s="37"/>
      <c r="AR291" s="37"/>
      <c r="AS291" s="37"/>
      <c r="AT291" s="827">
        <v>358</v>
      </c>
      <c r="AU291" s="37"/>
      <c r="AV291" s="37"/>
      <c r="AW291" s="37"/>
      <c r="AX291" s="37"/>
      <c r="AY291" s="827">
        <v>354</v>
      </c>
      <c r="AZ291" s="37"/>
      <c r="BA291" s="37"/>
      <c r="BB291" s="37"/>
      <c r="BC291" s="37"/>
      <c r="BD291" s="827">
        <v>375</v>
      </c>
      <c r="BE291" s="37"/>
      <c r="BF291" s="37"/>
      <c r="BG291" s="37"/>
      <c r="BH291" s="37"/>
      <c r="BI291" s="827">
        <v>367</v>
      </c>
      <c r="BJ291" s="37"/>
      <c r="BK291" s="37"/>
      <c r="BL291" s="37"/>
      <c r="BM291" s="37"/>
      <c r="BN291" s="827">
        <v>369</v>
      </c>
      <c r="BO291" s="37"/>
      <c r="BP291" s="37"/>
      <c r="BQ291" s="37"/>
      <c r="BR291" s="37"/>
      <c r="BS291" s="827">
        <v>365</v>
      </c>
      <c r="BT291" s="480"/>
      <c r="BU291" s="37"/>
      <c r="BV291" s="37"/>
      <c r="BW291" s="37"/>
      <c r="BX291" s="821"/>
      <c r="BY291" s="37"/>
      <c r="BZ291" s="37"/>
      <c r="CA291" s="37"/>
      <c r="CB291" s="37"/>
      <c r="CC291" s="821"/>
      <c r="CD291" s="821"/>
      <c r="CE291" s="821"/>
      <c r="CF291" s="821"/>
      <c r="CG291" s="22"/>
    </row>
    <row r="292" spans="1:85" s="428" customFormat="1" hidden="1" outlineLevel="2" x14ac:dyDescent="0.3">
      <c r="A292" s="57" t="s">
        <v>153</v>
      </c>
      <c r="B292" s="64"/>
      <c r="C292" s="821"/>
      <c r="D292" s="821"/>
      <c r="E292" s="827">
        <v>43</v>
      </c>
      <c r="F292" s="827">
        <v>46</v>
      </c>
      <c r="G292" s="37"/>
      <c r="H292" s="37"/>
      <c r="I292" s="37"/>
      <c r="J292" s="37"/>
      <c r="K292" s="827">
        <v>44</v>
      </c>
      <c r="L292" s="37"/>
      <c r="M292" s="37"/>
      <c r="N292" s="37"/>
      <c r="O292" s="37"/>
      <c r="P292" s="827">
        <v>50</v>
      </c>
      <c r="Q292" s="37"/>
      <c r="R292" s="37"/>
      <c r="S292" s="37"/>
      <c r="T292" s="37"/>
      <c r="U292" s="827">
        <v>12</v>
      </c>
      <c r="V292" s="37"/>
      <c r="W292" s="37"/>
      <c r="X292" s="37"/>
      <c r="Y292" s="37"/>
      <c r="Z292" s="827">
        <v>0</v>
      </c>
      <c r="AA292" s="37"/>
      <c r="AB292" s="37"/>
      <c r="AC292" s="37"/>
      <c r="AD292" s="37"/>
      <c r="AE292" s="821"/>
      <c r="AF292" s="37"/>
      <c r="AG292" s="37"/>
      <c r="AH292" s="37"/>
      <c r="AI292" s="37"/>
      <c r="AJ292" s="821"/>
      <c r="AK292" s="37"/>
      <c r="AL292" s="37"/>
      <c r="AM292" s="37"/>
      <c r="AN292" s="37"/>
      <c r="AO292" s="821"/>
      <c r="AP292" s="37"/>
      <c r="AQ292" s="37"/>
      <c r="AR292" s="37"/>
      <c r="AS292" s="37"/>
      <c r="AT292" s="821"/>
      <c r="AU292" s="37"/>
      <c r="AV292" s="37"/>
      <c r="AW292" s="37"/>
      <c r="AX292" s="37"/>
      <c r="AY292" s="821"/>
      <c r="AZ292" s="37"/>
      <c r="BA292" s="37"/>
      <c r="BB292" s="37"/>
      <c r="BC292" s="37"/>
      <c r="BD292" s="821"/>
      <c r="BE292" s="37"/>
      <c r="BF292" s="37"/>
      <c r="BG292" s="37"/>
      <c r="BH292" s="37"/>
      <c r="BI292" s="821"/>
      <c r="BJ292" s="37"/>
      <c r="BK292" s="37"/>
      <c r="BL292" s="37"/>
      <c r="BM292" s="37"/>
      <c r="BN292" s="821"/>
      <c r="BO292" s="37"/>
      <c r="BP292" s="37"/>
      <c r="BQ292" s="37"/>
      <c r="BR292" s="37"/>
      <c r="BS292" s="821"/>
      <c r="BT292" s="480"/>
      <c r="BU292" s="37"/>
      <c r="BV292" s="37"/>
      <c r="BW292" s="37"/>
      <c r="BX292" s="821"/>
      <c r="BY292" s="37"/>
      <c r="BZ292" s="37"/>
      <c r="CA292" s="37"/>
      <c r="CB292" s="37"/>
      <c r="CC292" s="821"/>
      <c r="CD292" s="821"/>
      <c r="CE292" s="821"/>
      <c r="CF292" s="821"/>
      <c r="CG292" s="22"/>
    </row>
    <row r="293" spans="1:85" s="428" customFormat="1" hidden="1" outlineLevel="2" x14ac:dyDescent="0.3">
      <c r="A293" s="57" t="s">
        <v>154</v>
      </c>
      <c r="B293" s="64"/>
      <c r="C293" s="821"/>
      <c r="D293" s="821"/>
      <c r="E293" s="827">
        <v>48</v>
      </c>
      <c r="F293" s="827">
        <v>54</v>
      </c>
      <c r="G293" s="37"/>
      <c r="H293" s="37"/>
      <c r="I293" s="37"/>
      <c r="J293" s="37"/>
      <c r="K293" s="827">
        <v>56</v>
      </c>
      <c r="L293" s="37"/>
      <c r="M293" s="37"/>
      <c r="N293" s="37"/>
      <c r="O293" s="37"/>
      <c r="P293" s="827">
        <v>39</v>
      </c>
      <c r="Q293" s="37"/>
      <c r="R293" s="37"/>
      <c r="S293" s="37"/>
      <c r="T293" s="37"/>
      <c r="U293" s="827">
        <v>0</v>
      </c>
      <c r="V293" s="37"/>
      <c r="W293" s="37"/>
      <c r="X293" s="37"/>
      <c r="Y293" s="37"/>
      <c r="Z293" s="827">
        <v>0</v>
      </c>
      <c r="AA293" s="37"/>
      <c r="AB293" s="37"/>
      <c r="AC293" s="37"/>
      <c r="AD293" s="37"/>
      <c r="AE293" s="821"/>
      <c r="AF293" s="37"/>
      <c r="AG293" s="37"/>
      <c r="AH293" s="37"/>
      <c r="AI293" s="37"/>
      <c r="AJ293" s="821"/>
      <c r="AK293" s="37"/>
      <c r="AL293" s="37"/>
      <c r="AM293" s="37"/>
      <c r="AN293" s="37"/>
      <c r="AO293" s="821"/>
      <c r="AP293" s="37"/>
      <c r="AQ293" s="37"/>
      <c r="AR293" s="37"/>
      <c r="AS293" s="37"/>
      <c r="AT293" s="821"/>
      <c r="AU293" s="37"/>
      <c r="AV293" s="37"/>
      <c r="AW293" s="37"/>
      <c r="AX293" s="37"/>
      <c r="AY293" s="821"/>
      <c r="AZ293" s="37"/>
      <c r="BA293" s="37"/>
      <c r="BB293" s="37"/>
      <c r="BC293" s="37"/>
      <c r="BD293" s="821"/>
      <c r="BE293" s="37"/>
      <c r="BF293" s="37"/>
      <c r="BG293" s="37"/>
      <c r="BH293" s="37"/>
      <c r="BI293" s="821"/>
      <c r="BJ293" s="37"/>
      <c r="BK293" s="37"/>
      <c r="BL293" s="37"/>
      <c r="BM293" s="37"/>
      <c r="BN293" s="821"/>
      <c r="BO293" s="37"/>
      <c r="BP293" s="37"/>
      <c r="BQ293" s="37"/>
      <c r="BR293" s="37"/>
      <c r="BS293" s="821"/>
      <c r="BT293" s="480"/>
      <c r="BU293" s="37"/>
      <c r="BV293" s="37"/>
      <c r="BW293" s="37"/>
      <c r="BX293" s="821"/>
      <c r="BY293" s="37"/>
      <c r="BZ293" s="37"/>
      <c r="CA293" s="37"/>
      <c r="CB293" s="37"/>
      <c r="CC293" s="821"/>
      <c r="CD293" s="821"/>
      <c r="CE293" s="821"/>
      <c r="CF293" s="821"/>
      <c r="CG293" s="22"/>
    </row>
    <row r="294" spans="1:85" s="428" customFormat="1" hidden="1" outlineLevel="2" x14ac:dyDescent="0.3">
      <c r="A294" s="57" t="s">
        <v>155</v>
      </c>
      <c r="B294" s="64"/>
      <c r="C294" s="821"/>
      <c r="D294" s="821"/>
      <c r="E294" s="827">
        <v>1</v>
      </c>
      <c r="F294" s="827">
        <v>0</v>
      </c>
      <c r="G294" s="37"/>
      <c r="H294" s="37"/>
      <c r="I294" s="37"/>
      <c r="J294" s="37"/>
      <c r="K294" s="827">
        <v>0</v>
      </c>
      <c r="L294" s="37"/>
      <c r="M294" s="37"/>
      <c r="N294" s="37"/>
      <c r="O294" s="37"/>
      <c r="P294" s="827">
        <v>0</v>
      </c>
      <c r="Q294" s="37"/>
      <c r="R294" s="37"/>
      <c r="S294" s="37"/>
      <c r="T294" s="37"/>
      <c r="U294" s="827">
        <v>0</v>
      </c>
      <c r="V294" s="37"/>
      <c r="W294" s="37"/>
      <c r="X294" s="37"/>
      <c r="Y294" s="37"/>
      <c r="Z294" s="827">
        <v>0</v>
      </c>
      <c r="AA294" s="37"/>
      <c r="AB294" s="37"/>
      <c r="AC294" s="37"/>
      <c r="AD294" s="37"/>
      <c r="AE294" s="821"/>
      <c r="AF294" s="37"/>
      <c r="AG294" s="37"/>
      <c r="AH294" s="37"/>
      <c r="AI294" s="37"/>
      <c r="AJ294" s="821"/>
      <c r="AK294" s="37"/>
      <c r="AL294" s="37"/>
      <c r="AM294" s="37"/>
      <c r="AN294" s="37"/>
      <c r="AO294" s="821"/>
      <c r="AP294" s="37"/>
      <c r="AQ294" s="37"/>
      <c r="AR294" s="37"/>
      <c r="AS294" s="37"/>
      <c r="AT294" s="821"/>
      <c r="AU294" s="37"/>
      <c r="AV294" s="37"/>
      <c r="AW294" s="37"/>
      <c r="AX294" s="37"/>
      <c r="AY294" s="821"/>
      <c r="AZ294" s="37"/>
      <c r="BA294" s="37"/>
      <c r="BB294" s="37"/>
      <c r="BC294" s="37"/>
      <c r="BD294" s="821"/>
      <c r="BE294" s="37"/>
      <c r="BF294" s="37"/>
      <c r="BG294" s="37"/>
      <c r="BH294" s="37"/>
      <c r="BI294" s="821"/>
      <c r="BJ294" s="37"/>
      <c r="BK294" s="37"/>
      <c r="BL294" s="37"/>
      <c r="BM294" s="37"/>
      <c r="BN294" s="821"/>
      <c r="BO294" s="37"/>
      <c r="BP294" s="37"/>
      <c r="BQ294" s="37"/>
      <c r="BR294" s="37"/>
      <c r="BS294" s="821"/>
      <c r="BT294" s="480"/>
      <c r="BU294" s="37"/>
      <c r="BV294" s="37"/>
      <c r="BW294" s="37"/>
      <c r="BX294" s="821"/>
      <c r="BY294" s="37"/>
      <c r="BZ294" s="37"/>
      <c r="CA294" s="37"/>
      <c r="CB294" s="37"/>
      <c r="CC294" s="821"/>
      <c r="CD294" s="821"/>
      <c r="CE294" s="821"/>
      <c r="CF294" s="821"/>
      <c r="CG294" s="22"/>
    </row>
    <row r="295" spans="1:85" s="428" customFormat="1" hidden="1" outlineLevel="2" x14ac:dyDescent="0.3">
      <c r="A295" s="57" t="s">
        <v>156</v>
      </c>
      <c r="B295" s="64"/>
      <c r="C295" s="821"/>
      <c r="D295" s="821"/>
      <c r="E295" s="827">
        <v>14</v>
      </c>
      <c r="F295" s="827">
        <v>13</v>
      </c>
      <c r="G295" s="37"/>
      <c r="H295" s="37"/>
      <c r="I295" s="37"/>
      <c r="J295" s="37"/>
      <c r="K295" s="827">
        <v>14</v>
      </c>
      <c r="L295" s="37"/>
      <c r="M295" s="37"/>
      <c r="N295" s="37"/>
      <c r="O295" s="37"/>
      <c r="P295" s="827">
        <v>13</v>
      </c>
      <c r="Q295" s="37"/>
      <c r="R295" s="37"/>
      <c r="S295" s="37"/>
      <c r="T295" s="37"/>
      <c r="U295" s="827">
        <v>5</v>
      </c>
      <c r="V295" s="37"/>
      <c r="W295" s="37"/>
      <c r="X295" s="37"/>
      <c r="Y295" s="37"/>
      <c r="Z295" s="827">
        <v>0</v>
      </c>
      <c r="AA295" s="37"/>
      <c r="AB295" s="37"/>
      <c r="AC295" s="37"/>
      <c r="AD295" s="37"/>
      <c r="AE295" s="821"/>
      <c r="AF295" s="37"/>
      <c r="AG295" s="37"/>
      <c r="AH295" s="37"/>
      <c r="AI295" s="37"/>
      <c r="AJ295" s="821"/>
      <c r="AK295" s="37"/>
      <c r="AL295" s="37"/>
      <c r="AM295" s="37"/>
      <c r="AN295" s="37"/>
      <c r="AO295" s="821"/>
      <c r="AP295" s="37"/>
      <c r="AQ295" s="37"/>
      <c r="AR295" s="37"/>
      <c r="AS295" s="37"/>
      <c r="AT295" s="821"/>
      <c r="AU295" s="37"/>
      <c r="AV295" s="37"/>
      <c r="AW295" s="37"/>
      <c r="AX295" s="37"/>
      <c r="AY295" s="821"/>
      <c r="AZ295" s="37"/>
      <c r="BA295" s="37"/>
      <c r="BB295" s="37"/>
      <c r="BC295" s="37"/>
      <c r="BD295" s="821"/>
      <c r="BE295" s="37"/>
      <c r="BF295" s="37"/>
      <c r="BG295" s="37"/>
      <c r="BH295" s="37"/>
      <c r="BI295" s="821"/>
      <c r="BJ295" s="37"/>
      <c r="BK295" s="37"/>
      <c r="BL295" s="37"/>
      <c r="BM295" s="37"/>
      <c r="BN295" s="821"/>
      <c r="BO295" s="37"/>
      <c r="BP295" s="37"/>
      <c r="BQ295" s="37"/>
      <c r="BR295" s="37"/>
      <c r="BS295" s="821"/>
      <c r="BT295" s="480"/>
      <c r="BU295" s="37"/>
      <c r="BV295" s="37"/>
      <c r="BW295" s="37"/>
      <c r="BX295" s="821"/>
      <c r="BY295" s="37"/>
      <c r="BZ295" s="37"/>
      <c r="CA295" s="37"/>
      <c r="CB295" s="37"/>
      <c r="CC295" s="821"/>
      <c r="CD295" s="821"/>
      <c r="CE295" s="821"/>
      <c r="CF295" s="821"/>
      <c r="CG295" s="22"/>
    </row>
    <row r="296" spans="1:85" s="428" customFormat="1" hidden="1" outlineLevel="2" x14ac:dyDescent="0.3">
      <c r="A296" s="57" t="s">
        <v>157</v>
      </c>
      <c r="B296" s="64"/>
      <c r="C296" s="821"/>
      <c r="D296" s="821"/>
      <c r="E296" s="827">
        <v>4</v>
      </c>
      <c r="F296" s="827">
        <v>4</v>
      </c>
      <c r="G296" s="37"/>
      <c r="H296" s="37"/>
      <c r="I296" s="37"/>
      <c r="J296" s="37"/>
      <c r="K296" s="827">
        <v>4</v>
      </c>
      <c r="L296" s="37"/>
      <c r="M296" s="37"/>
      <c r="N296" s="37"/>
      <c r="O296" s="37"/>
      <c r="P296" s="827">
        <v>4</v>
      </c>
      <c r="Q296" s="37"/>
      <c r="R296" s="37"/>
      <c r="S296" s="37"/>
      <c r="T296" s="37"/>
      <c r="U296" s="827">
        <v>3</v>
      </c>
      <c r="V296" s="37"/>
      <c r="W296" s="37"/>
      <c r="X296" s="37"/>
      <c r="Y296" s="37"/>
      <c r="Z296" s="827">
        <v>3</v>
      </c>
      <c r="AA296" s="37"/>
      <c r="AB296" s="37"/>
      <c r="AC296" s="37"/>
      <c r="AD296" s="37"/>
      <c r="AE296" s="827">
        <v>3</v>
      </c>
      <c r="AF296" s="37"/>
      <c r="AG296" s="37"/>
      <c r="AH296" s="37"/>
      <c r="AI296" s="37"/>
      <c r="AJ296" s="821"/>
      <c r="AK296" s="37"/>
      <c r="AL296" s="37"/>
      <c r="AM296" s="37"/>
      <c r="AN296" s="37"/>
      <c r="AO296" s="821"/>
      <c r="AP296" s="37"/>
      <c r="AQ296" s="37"/>
      <c r="AR296" s="37"/>
      <c r="AS296" s="37"/>
      <c r="AT296" s="821"/>
      <c r="AU296" s="37"/>
      <c r="AV296" s="37"/>
      <c r="AW296" s="37"/>
      <c r="AX296" s="37"/>
      <c r="AY296" s="821"/>
      <c r="AZ296" s="37"/>
      <c r="BA296" s="37"/>
      <c r="BB296" s="37"/>
      <c r="BC296" s="37"/>
      <c r="BD296" s="821"/>
      <c r="BE296" s="37"/>
      <c r="BF296" s="37"/>
      <c r="BG296" s="37"/>
      <c r="BH296" s="37"/>
      <c r="BI296" s="821"/>
      <c r="BJ296" s="37"/>
      <c r="BK296" s="37"/>
      <c r="BL296" s="37"/>
      <c r="BM296" s="37"/>
      <c r="BN296" s="821"/>
      <c r="BO296" s="37"/>
      <c r="BP296" s="37"/>
      <c r="BQ296" s="37"/>
      <c r="BR296" s="37"/>
      <c r="BS296" s="821"/>
      <c r="BT296" s="480"/>
      <c r="BU296" s="37"/>
      <c r="BV296" s="37"/>
      <c r="BW296" s="37"/>
      <c r="BX296" s="821"/>
      <c r="BY296" s="37"/>
      <c r="BZ296" s="37"/>
      <c r="CA296" s="37"/>
      <c r="CB296" s="37"/>
      <c r="CC296" s="821"/>
      <c r="CD296" s="821"/>
      <c r="CE296" s="821"/>
      <c r="CF296" s="821"/>
      <c r="CG296" s="22"/>
    </row>
    <row r="297" spans="1:85" s="428" customFormat="1" hidden="1" outlineLevel="2" x14ac:dyDescent="0.3">
      <c r="A297" s="57" t="s">
        <v>160</v>
      </c>
      <c r="B297" s="64"/>
      <c r="C297" s="821"/>
      <c r="D297" s="821"/>
      <c r="E297" s="827">
        <v>98</v>
      </c>
      <c r="F297" s="827">
        <v>42</v>
      </c>
      <c r="G297" s="37"/>
      <c r="H297" s="37"/>
      <c r="I297" s="37"/>
      <c r="J297" s="37"/>
      <c r="K297" s="827">
        <v>0</v>
      </c>
      <c r="L297" s="37"/>
      <c r="M297" s="37"/>
      <c r="N297" s="37"/>
      <c r="O297" s="37"/>
      <c r="P297" s="827">
        <v>0</v>
      </c>
      <c r="Q297" s="37"/>
      <c r="R297" s="37"/>
      <c r="S297" s="37"/>
      <c r="T297" s="37"/>
      <c r="U297" s="827">
        <v>0</v>
      </c>
      <c r="V297" s="37"/>
      <c r="W297" s="37"/>
      <c r="X297" s="37"/>
      <c r="Y297" s="37"/>
      <c r="Z297" s="821"/>
      <c r="AA297" s="37"/>
      <c r="AB297" s="37"/>
      <c r="AC297" s="37"/>
      <c r="AD297" s="37"/>
      <c r="AE297" s="821"/>
      <c r="AF297" s="37"/>
      <c r="AG297" s="37"/>
      <c r="AH297" s="37"/>
      <c r="AI297" s="37"/>
      <c r="AJ297" s="821"/>
      <c r="AK297" s="37"/>
      <c r="AL297" s="37"/>
      <c r="AM297" s="37"/>
      <c r="AN297" s="37"/>
      <c r="AO297" s="821"/>
      <c r="AP297" s="37"/>
      <c r="AQ297" s="37"/>
      <c r="AR297" s="37"/>
      <c r="AS297" s="37"/>
      <c r="AT297" s="821"/>
      <c r="AU297" s="37"/>
      <c r="AV297" s="37"/>
      <c r="AW297" s="37"/>
      <c r="AX297" s="37"/>
      <c r="AY297" s="821"/>
      <c r="AZ297" s="37"/>
      <c r="BA297" s="37"/>
      <c r="BB297" s="37"/>
      <c r="BC297" s="37"/>
      <c r="BD297" s="821"/>
      <c r="BE297" s="37"/>
      <c r="BF297" s="37"/>
      <c r="BG297" s="37"/>
      <c r="BH297" s="37"/>
      <c r="BI297" s="821"/>
      <c r="BJ297" s="37"/>
      <c r="BK297" s="37"/>
      <c r="BL297" s="37"/>
      <c r="BM297" s="37"/>
      <c r="BN297" s="821"/>
      <c r="BO297" s="37"/>
      <c r="BP297" s="37"/>
      <c r="BQ297" s="37"/>
      <c r="BR297" s="37"/>
      <c r="BS297" s="821"/>
      <c r="BT297" s="480"/>
      <c r="BU297" s="37"/>
      <c r="BV297" s="37"/>
      <c r="BW297" s="37"/>
      <c r="BX297" s="821"/>
      <c r="BY297" s="37"/>
      <c r="BZ297" s="37"/>
      <c r="CA297" s="37"/>
      <c r="CB297" s="37"/>
      <c r="CC297" s="821"/>
      <c r="CD297" s="821"/>
      <c r="CE297" s="821"/>
      <c r="CF297" s="821"/>
      <c r="CG297" s="22"/>
    </row>
    <row r="298" spans="1:85" s="428" customFormat="1" hidden="1" outlineLevel="1" collapsed="1" x14ac:dyDescent="0.3">
      <c r="A298" s="468" t="s">
        <v>161</v>
      </c>
      <c r="B298" s="469"/>
      <c r="C298" s="887">
        <v>653</v>
      </c>
      <c r="D298" s="887">
        <v>683</v>
      </c>
      <c r="E298" s="888">
        <f t="shared" ref="E298:Y298" si="601">SUM(E290:E297)</f>
        <v>691</v>
      </c>
      <c r="F298" s="888">
        <f t="shared" si="601"/>
        <v>646</v>
      </c>
      <c r="G298" s="470">
        <f t="shared" si="601"/>
        <v>0</v>
      </c>
      <c r="H298" s="470">
        <f t="shared" si="601"/>
        <v>0</v>
      </c>
      <c r="I298" s="470">
        <f t="shared" si="601"/>
        <v>0</v>
      </c>
      <c r="J298" s="470">
        <f t="shared" si="601"/>
        <v>0</v>
      </c>
      <c r="K298" s="888">
        <f t="shared" si="601"/>
        <v>583</v>
      </c>
      <c r="L298" s="470">
        <f t="shared" si="601"/>
        <v>0</v>
      </c>
      <c r="M298" s="470">
        <f t="shared" si="601"/>
        <v>0</v>
      </c>
      <c r="N298" s="470">
        <f t="shared" si="601"/>
        <v>0</v>
      </c>
      <c r="O298" s="470">
        <f t="shared" si="601"/>
        <v>0</v>
      </c>
      <c r="P298" s="888">
        <f t="shared" si="601"/>
        <v>557</v>
      </c>
      <c r="Q298" s="470">
        <f t="shared" si="601"/>
        <v>0</v>
      </c>
      <c r="R298" s="470">
        <f t="shared" si="601"/>
        <v>0</v>
      </c>
      <c r="S298" s="470">
        <f t="shared" si="601"/>
        <v>0</v>
      </c>
      <c r="T298" s="470">
        <f t="shared" si="601"/>
        <v>0</v>
      </c>
      <c r="U298" s="888">
        <f t="shared" si="601"/>
        <v>499</v>
      </c>
      <c r="V298" s="470">
        <f t="shared" si="601"/>
        <v>0</v>
      </c>
      <c r="W298" s="470">
        <f t="shared" si="601"/>
        <v>0</v>
      </c>
      <c r="X298" s="470">
        <f t="shared" si="601"/>
        <v>0</v>
      </c>
      <c r="Y298" s="470">
        <f t="shared" si="601"/>
        <v>0</v>
      </c>
      <c r="Z298" s="887">
        <v>497</v>
      </c>
      <c r="AA298" s="84">
        <f t="shared" ref="AA298:BN298" si="602">SUM(AA290:AA297)</f>
        <v>0</v>
      </c>
      <c r="AB298" s="470">
        <f t="shared" si="602"/>
        <v>0</v>
      </c>
      <c r="AC298" s="470">
        <f t="shared" si="602"/>
        <v>0</v>
      </c>
      <c r="AD298" s="470">
        <f t="shared" si="602"/>
        <v>0</v>
      </c>
      <c r="AE298" s="888">
        <f t="shared" si="602"/>
        <v>500</v>
      </c>
      <c r="AF298" s="84">
        <f t="shared" si="602"/>
        <v>0</v>
      </c>
      <c r="AG298" s="470">
        <f t="shared" si="602"/>
        <v>0</v>
      </c>
      <c r="AH298" s="470">
        <f t="shared" si="602"/>
        <v>0</v>
      </c>
      <c r="AI298" s="470">
        <f t="shared" si="602"/>
        <v>0</v>
      </c>
      <c r="AJ298" s="888">
        <f t="shared" si="602"/>
        <v>494</v>
      </c>
      <c r="AK298" s="84">
        <f t="shared" si="602"/>
        <v>0</v>
      </c>
      <c r="AL298" s="470">
        <f t="shared" si="602"/>
        <v>0</v>
      </c>
      <c r="AM298" s="470">
        <f t="shared" si="602"/>
        <v>0</v>
      </c>
      <c r="AN298" s="470">
        <f t="shared" si="602"/>
        <v>0</v>
      </c>
      <c r="AO298" s="888">
        <f t="shared" si="602"/>
        <v>483</v>
      </c>
      <c r="AP298" s="84">
        <f t="shared" si="602"/>
        <v>0</v>
      </c>
      <c r="AQ298" s="470">
        <f t="shared" si="602"/>
        <v>0</v>
      </c>
      <c r="AR298" s="470">
        <f t="shared" si="602"/>
        <v>0</v>
      </c>
      <c r="AS298" s="470">
        <f t="shared" si="602"/>
        <v>0</v>
      </c>
      <c r="AT298" s="888">
        <f t="shared" si="602"/>
        <v>441</v>
      </c>
      <c r="AU298" s="84">
        <f t="shared" si="602"/>
        <v>0</v>
      </c>
      <c r="AV298" s="470">
        <f t="shared" si="602"/>
        <v>0</v>
      </c>
      <c r="AW298" s="470">
        <f t="shared" si="602"/>
        <v>0</v>
      </c>
      <c r="AX298" s="470">
        <f t="shared" si="602"/>
        <v>0</v>
      </c>
      <c r="AY298" s="888">
        <f t="shared" si="602"/>
        <v>441</v>
      </c>
      <c r="AZ298" s="84">
        <f t="shared" si="602"/>
        <v>0</v>
      </c>
      <c r="BA298" s="470">
        <f t="shared" si="602"/>
        <v>0</v>
      </c>
      <c r="BB298" s="470">
        <f t="shared" si="602"/>
        <v>0</v>
      </c>
      <c r="BC298" s="470">
        <f t="shared" si="602"/>
        <v>0</v>
      </c>
      <c r="BD298" s="888">
        <f t="shared" si="602"/>
        <v>483</v>
      </c>
      <c r="BE298" s="84">
        <f t="shared" si="602"/>
        <v>0</v>
      </c>
      <c r="BF298" s="470">
        <f t="shared" si="602"/>
        <v>0</v>
      </c>
      <c r="BG298" s="470">
        <f t="shared" si="602"/>
        <v>0</v>
      </c>
      <c r="BH298" s="470">
        <f t="shared" si="602"/>
        <v>0</v>
      </c>
      <c r="BI298" s="886">
        <f t="shared" si="602"/>
        <v>473</v>
      </c>
      <c r="BJ298" s="84">
        <f t="shared" si="602"/>
        <v>0</v>
      </c>
      <c r="BK298" s="470">
        <f t="shared" si="602"/>
        <v>0</v>
      </c>
      <c r="BL298" s="470">
        <f t="shared" si="602"/>
        <v>0</v>
      </c>
      <c r="BM298" s="470">
        <f t="shared" si="602"/>
        <v>0</v>
      </c>
      <c r="BN298" s="886">
        <f t="shared" si="602"/>
        <v>486</v>
      </c>
      <c r="BO298" s="84">
        <f t="shared" ref="BO298:BT298" si="603">SUM(BO290:BO297)</f>
        <v>0</v>
      </c>
      <c r="BP298" s="470">
        <f t="shared" si="603"/>
        <v>0</v>
      </c>
      <c r="BQ298" s="470">
        <f t="shared" si="603"/>
        <v>0</v>
      </c>
      <c r="BR298" s="470">
        <f t="shared" si="603"/>
        <v>0</v>
      </c>
      <c r="BS298" s="886">
        <f t="shared" si="603"/>
        <v>489</v>
      </c>
      <c r="BT298" s="479">
        <f t="shared" si="603"/>
        <v>0</v>
      </c>
      <c r="BU298" s="84"/>
      <c r="BV298" s="84"/>
      <c r="BW298" s="84"/>
      <c r="BX298" s="886"/>
      <c r="BY298" s="84"/>
      <c r="BZ298" s="84"/>
      <c r="CA298" s="84"/>
      <c r="CB298" s="84"/>
      <c r="CC298" s="886"/>
      <c r="CD298" s="886"/>
      <c r="CE298" s="886"/>
      <c r="CF298" s="886"/>
      <c r="CG298" s="22"/>
    </row>
    <row r="299" spans="1:85" s="429" customFormat="1" ht="7.5" hidden="1" customHeight="1" outlineLevel="1" x14ac:dyDescent="0.3">
      <c r="A299" s="52"/>
      <c r="B299" s="63"/>
      <c r="C299" s="825"/>
      <c r="D299" s="825"/>
      <c r="E299" s="825"/>
      <c r="F299" s="825"/>
      <c r="G299" s="31"/>
      <c r="H299" s="31"/>
      <c r="I299" s="31"/>
      <c r="J299" s="31"/>
      <c r="K299" s="825"/>
      <c r="L299" s="31"/>
      <c r="M299" s="31"/>
      <c r="N299" s="31"/>
      <c r="O299" s="31"/>
      <c r="P299" s="825"/>
      <c r="Q299" s="31"/>
      <c r="R299" s="31"/>
      <c r="S299" s="31"/>
      <c r="T299" s="31"/>
      <c r="U299" s="825"/>
      <c r="V299" s="31"/>
      <c r="W299" s="31"/>
      <c r="X299" s="31"/>
      <c r="Y299" s="31"/>
      <c r="Z299" s="825"/>
      <c r="AA299" s="31"/>
      <c r="AB299" s="31"/>
      <c r="AC299" s="31"/>
      <c r="AD299" s="31"/>
      <c r="AE299" s="825"/>
      <c r="AF299" s="31"/>
      <c r="AG299" s="31"/>
      <c r="AH299" s="31"/>
      <c r="AI299" s="31"/>
      <c r="AJ299" s="825"/>
      <c r="AK299" s="31"/>
      <c r="AL299" s="31"/>
      <c r="AM299" s="31"/>
      <c r="AN299" s="31"/>
      <c r="AO299" s="825"/>
      <c r="AP299" s="31"/>
      <c r="AQ299" s="31"/>
      <c r="AR299" s="31"/>
      <c r="AS299" s="31"/>
      <c r="AT299" s="825"/>
      <c r="AU299" s="31"/>
      <c r="AV299" s="31"/>
      <c r="AW299" s="31"/>
      <c r="AX299" s="31"/>
      <c r="AY299" s="825"/>
      <c r="AZ299" s="31"/>
      <c r="BA299" s="31"/>
      <c r="BB299" s="31"/>
      <c r="BC299" s="31"/>
      <c r="BD299" s="825"/>
      <c r="BE299" s="31"/>
      <c r="BF299" s="31"/>
      <c r="BG299" s="31"/>
      <c r="BH299" s="31"/>
      <c r="BI299" s="825"/>
      <c r="BJ299" s="31"/>
      <c r="BK299" s="31"/>
      <c r="BL299" s="31"/>
      <c r="BM299" s="31"/>
      <c r="BN299" s="825"/>
      <c r="BO299" s="31"/>
      <c r="BP299" s="31"/>
      <c r="BQ299" s="31"/>
      <c r="BR299" s="31"/>
      <c r="BS299" s="825"/>
      <c r="BT299" s="379"/>
      <c r="BU299" s="31"/>
      <c r="BV299" s="31"/>
      <c r="BW299" s="31"/>
      <c r="BX299" s="825"/>
      <c r="BY299" s="31"/>
      <c r="BZ299" s="31"/>
      <c r="CA299" s="31"/>
      <c r="CB299" s="31"/>
      <c r="CC299" s="825"/>
      <c r="CD299" s="825"/>
      <c r="CE299" s="825"/>
      <c r="CF299" s="825"/>
      <c r="CG299" s="26"/>
    </row>
    <row r="300" spans="1:85" s="429" customFormat="1" hidden="1" outlineLevel="1" x14ac:dyDescent="0.3">
      <c r="A300" s="53" t="s">
        <v>162</v>
      </c>
      <c r="B300" s="63"/>
      <c r="C300" s="851">
        <v>979</v>
      </c>
      <c r="D300" s="851">
        <v>1004</v>
      </c>
      <c r="E300" s="851">
        <v>933</v>
      </c>
      <c r="F300" s="851">
        <v>869</v>
      </c>
      <c r="G300" s="31"/>
      <c r="H300" s="31"/>
      <c r="I300" s="31"/>
      <c r="J300" s="31"/>
      <c r="K300" s="851">
        <v>864</v>
      </c>
      <c r="L300" s="31"/>
      <c r="M300" s="31"/>
      <c r="N300" s="31"/>
      <c r="O300" s="31"/>
      <c r="P300" s="851">
        <v>819</v>
      </c>
      <c r="Q300" s="31"/>
      <c r="R300" s="31"/>
      <c r="S300" s="31"/>
      <c r="T300" s="31"/>
      <c r="U300" s="851">
        <v>778</v>
      </c>
      <c r="V300" s="31"/>
      <c r="W300" s="31"/>
      <c r="X300" s="31"/>
      <c r="Y300" s="31"/>
      <c r="Z300" s="851">
        <v>788</v>
      </c>
      <c r="AA300" s="31"/>
      <c r="AB300" s="31"/>
      <c r="AC300" s="31"/>
      <c r="AD300" s="31"/>
      <c r="AE300" s="851">
        <v>760</v>
      </c>
      <c r="AF300" s="31"/>
      <c r="AG300" s="31"/>
      <c r="AH300" s="31"/>
      <c r="AI300" s="31"/>
      <c r="AJ300" s="851">
        <v>706</v>
      </c>
      <c r="AK300" s="31"/>
      <c r="AL300" s="31"/>
      <c r="AM300" s="31"/>
      <c r="AN300" s="31"/>
      <c r="AO300" s="851">
        <v>617</v>
      </c>
      <c r="AP300" s="31"/>
      <c r="AQ300" s="31"/>
      <c r="AR300" s="31"/>
      <c r="AS300" s="31"/>
      <c r="AT300" s="851">
        <v>584</v>
      </c>
      <c r="AU300" s="31"/>
      <c r="AV300" s="31"/>
      <c r="AW300" s="31"/>
      <c r="AX300" s="31"/>
      <c r="AY300" s="851">
        <v>576</v>
      </c>
      <c r="AZ300" s="31"/>
      <c r="BA300" s="31"/>
      <c r="BB300" s="31"/>
      <c r="BC300" s="31"/>
      <c r="BD300" s="826">
        <f>BD298+BD288</f>
        <v>639</v>
      </c>
      <c r="BE300" s="31"/>
      <c r="BF300" s="31"/>
      <c r="BG300" s="31"/>
      <c r="BH300" s="31"/>
      <c r="BI300" s="825">
        <f>BI298+BI288</f>
        <v>626</v>
      </c>
      <c r="BJ300" s="31"/>
      <c r="BK300" s="31"/>
      <c r="BL300" s="31"/>
      <c r="BM300" s="31"/>
      <c r="BN300" s="825">
        <f>BN298+BN288</f>
        <v>646</v>
      </c>
      <c r="BO300" s="31"/>
      <c r="BP300" s="31"/>
      <c r="BQ300" s="31"/>
      <c r="BR300" s="31"/>
      <c r="BS300" s="851">
        <v>652</v>
      </c>
      <c r="BT300" s="379"/>
      <c r="BU300" s="31"/>
      <c r="BV300" s="31"/>
      <c r="BW300" s="31"/>
      <c r="BX300" s="825"/>
      <c r="BY300" s="31"/>
      <c r="BZ300" s="31"/>
      <c r="CA300" s="31"/>
      <c r="CB300" s="31"/>
      <c r="CC300" s="825"/>
      <c r="CD300" s="825"/>
      <c r="CE300" s="825"/>
      <c r="CF300" s="825"/>
      <c r="CG300" s="26"/>
    </row>
    <row r="301" spans="1:85" s="429" customFormat="1" ht="7.5" hidden="1" customHeight="1" outlineLevel="1" x14ac:dyDescent="0.3">
      <c r="A301" s="52"/>
      <c r="B301" s="63"/>
      <c r="C301" s="825"/>
      <c r="D301" s="825"/>
      <c r="E301" s="825"/>
      <c r="F301" s="825"/>
      <c r="G301" s="31"/>
      <c r="H301" s="31"/>
      <c r="I301" s="31"/>
      <c r="J301" s="31"/>
      <c r="K301" s="825"/>
      <c r="L301" s="31"/>
      <c r="M301" s="31"/>
      <c r="N301" s="31"/>
      <c r="O301" s="31"/>
      <c r="P301" s="825"/>
      <c r="Q301" s="31"/>
      <c r="R301" s="31"/>
      <c r="S301" s="31"/>
      <c r="T301" s="31"/>
      <c r="U301" s="825"/>
      <c r="V301" s="31"/>
      <c r="W301" s="31"/>
      <c r="X301" s="31"/>
      <c r="Y301" s="31"/>
      <c r="Z301" s="825"/>
      <c r="AA301" s="31"/>
      <c r="AB301" s="31"/>
      <c r="AC301" s="31"/>
      <c r="AD301" s="31"/>
      <c r="AE301" s="825"/>
      <c r="AF301" s="31"/>
      <c r="AG301" s="31"/>
      <c r="AH301" s="31"/>
      <c r="AI301" s="31"/>
      <c r="AJ301" s="825"/>
      <c r="AK301" s="31"/>
      <c r="AL301" s="31"/>
      <c r="AM301" s="31"/>
      <c r="AN301" s="31"/>
      <c r="AO301" s="825"/>
      <c r="AP301" s="31"/>
      <c r="AQ301" s="31"/>
      <c r="AR301" s="31"/>
      <c r="AS301" s="31"/>
      <c r="AT301" s="825"/>
      <c r="AU301" s="31"/>
      <c r="AV301" s="31"/>
      <c r="AW301" s="31"/>
      <c r="AX301" s="31"/>
      <c r="AY301" s="825"/>
      <c r="AZ301" s="31"/>
      <c r="BA301" s="31"/>
      <c r="BB301" s="31"/>
      <c r="BC301" s="31"/>
      <c r="BD301" s="825"/>
      <c r="BE301" s="31"/>
      <c r="BF301" s="31"/>
      <c r="BG301" s="31"/>
      <c r="BH301" s="31"/>
      <c r="BI301" s="825"/>
      <c r="BJ301" s="31"/>
      <c r="BK301" s="31"/>
      <c r="BL301" s="31"/>
      <c r="BM301" s="31"/>
      <c r="BN301" s="825"/>
      <c r="BO301" s="31"/>
      <c r="BP301" s="31"/>
      <c r="BQ301" s="31"/>
      <c r="BR301" s="31"/>
      <c r="BS301" s="825"/>
      <c r="BT301" s="379"/>
      <c r="BU301" s="31"/>
      <c r="BV301" s="31"/>
      <c r="BW301" s="31"/>
      <c r="BX301" s="825"/>
      <c r="BY301" s="31"/>
      <c r="BZ301" s="31"/>
      <c r="CA301" s="31"/>
      <c r="CB301" s="31"/>
      <c r="CC301" s="825"/>
      <c r="CD301" s="825"/>
      <c r="CE301" s="825"/>
      <c r="CF301" s="825"/>
      <c r="CG301" s="26"/>
    </row>
    <row r="302" spans="1:85" s="429" customFormat="1" hidden="1" outlineLevel="1" x14ac:dyDescent="0.3">
      <c r="A302" s="41" t="s">
        <v>163</v>
      </c>
      <c r="B302" s="90"/>
      <c r="C302" s="829">
        <v>1878</v>
      </c>
      <c r="D302" s="829">
        <v>1894</v>
      </c>
      <c r="E302" s="829">
        <v>1787</v>
      </c>
      <c r="F302" s="829">
        <v>1702</v>
      </c>
      <c r="G302" s="393"/>
      <c r="H302" s="393"/>
      <c r="I302" s="393"/>
      <c r="J302" s="393"/>
      <c r="K302" s="829">
        <v>1638</v>
      </c>
      <c r="L302" s="393"/>
      <c r="M302" s="393"/>
      <c r="N302" s="393"/>
      <c r="O302" s="393"/>
      <c r="P302" s="829">
        <v>1690</v>
      </c>
      <c r="Q302" s="393"/>
      <c r="R302" s="393"/>
      <c r="S302" s="393"/>
      <c r="T302" s="393"/>
      <c r="U302" s="829">
        <v>1702</v>
      </c>
      <c r="V302" s="393"/>
      <c r="W302" s="393"/>
      <c r="X302" s="393"/>
      <c r="Y302" s="393"/>
      <c r="Z302" s="829">
        <v>1688</v>
      </c>
      <c r="AA302" s="393"/>
      <c r="AB302" s="393"/>
      <c r="AC302" s="393"/>
      <c r="AD302" s="393"/>
      <c r="AE302" s="829">
        <v>1661</v>
      </c>
      <c r="AF302" s="393"/>
      <c r="AG302" s="393"/>
      <c r="AH302" s="393"/>
      <c r="AI302" s="393"/>
      <c r="AJ302" s="829">
        <v>1611</v>
      </c>
      <c r="AK302" s="393"/>
      <c r="AL302" s="393"/>
      <c r="AM302" s="393"/>
      <c r="AN302" s="393"/>
      <c r="AO302" s="829">
        <v>1564</v>
      </c>
      <c r="AP302" s="393"/>
      <c r="AQ302" s="393"/>
      <c r="AR302" s="393"/>
      <c r="AS302" s="393"/>
      <c r="AT302" s="824">
        <f>AT300+AT282</f>
        <v>1377</v>
      </c>
      <c r="AU302" s="393"/>
      <c r="AV302" s="393"/>
      <c r="AW302" s="393"/>
      <c r="AX302" s="393"/>
      <c r="AY302" s="824">
        <f>AY300+AY282</f>
        <v>1479</v>
      </c>
      <c r="AZ302" s="393"/>
      <c r="BA302" s="393"/>
      <c r="BB302" s="393"/>
      <c r="BC302" s="393"/>
      <c r="BD302" s="824">
        <f>BD300+BD282</f>
        <v>1504</v>
      </c>
      <c r="BE302" s="393"/>
      <c r="BF302" s="393"/>
      <c r="BG302" s="393"/>
      <c r="BH302" s="393"/>
      <c r="BI302" s="823">
        <f>BI300+BI282</f>
        <v>1560</v>
      </c>
      <c r="BJ302" s="393"/>
      <c r="BK302" s="393"/>
      <c r="BL302" s="393"/>
      <c r="BM302" s="393"/>
      <c r="BN302" s="823">
        <f>BN300+BN282</f>
        <v>1563</v>
      </c>
      <c r="BO302" s="393"/>
      <c r="BP302" s="393"/>
      <c r="BQ302" s="393"/>
      <c r="BR302" s="393"/>
      <c r="BS302" s="823">
        <f>BS300+BS282</f>
        <v>1690</v>
      </c>
      <c r="BT302" s="641"/>
      <c r="BU302" s="393"/>
      <c r="BV302" s="393"/>
      <c r="BW302" s="393"/>
      <c r="BX302" s="823"/>
      <c r="BY302" s="393"/>
      <c r="BZ302" s="393"/>
      <c r="CA302" s="393"/>
      <c r="CB302" s="393"/>
      <c r="CC302" s="823"/>
      <c r="CD302" s="823"/>
      <c r="CE302" s="823"/>
      <c r="CF302" s="823"/>
      <c r="CG302" s="26"/>
    </row>
    <row r="303" spans="1:85" s="433" customFormat="1" hidden="1" outlineLevel="1" x14ac:dyDescent="0.3">
      <c r="A303" s="338"/>
      <c r="B303" s="336"/>
      <c r="C303" s="880"/>
      <c r="D303" s="880"/>
      <c r="E303" s="880"/>
      <c r="F303" s="880"/>
      <c r="G303" s="337"/>
      <c r="H303" s="337"/>
      <c r="I303" s="337"/>
      <c r="J303" s="337"/>
      <c r="K303" s="880"/>
      <c r="L303" s="337"/>
      <c r="M303" s="337"/>
      <c r="N303" s="337"/>
      <c r="O303" s="337"/>
      <c r="P303" s="880"/>
      <c r="Q303" s="337"/>
      <c r="R303" s="337"/>
      <c r="S303" s="337"/>
      <c r="T303" s="337"/>
      <c r="U303" s="880"/>
      <c r="V303" s="337"/>
      <c r="W303" s="337"/>
      <c r="X303" s="337"/>
      <c r="Y303" s="337"/>
      <c r="Z303" s="880"/>
      <c r="AA303" s="337"/>
      <c r="AB303" s="337"/>
      <c r="AC303" s="337"/>
      <c r="AD303" s="337"/>
      <c r="AE303" s="880"/>
      <c r="AF303" s="337"/>
      <c r="AG303" s="337"/>
      <c r="AH303" s="337"/>
      <c r="AI303" s="337"/>
      <c r="AJ303" s="880"/>
      <c r="AK303" s="337"/>
      <c r="AL303" s="337"/>
      <c r="AM303" s="337"/>
      <c r="AN303" s="337"/>
      <c r="AO303" s="880"/>
      <c r="AP303" s="337"/>
      <c r="AQ303" s="337"/>
      <c r="AR303" s="337"/>
      <c r="AS303" s="337"/>
      <c r="AT303" s="880"/>
      <c r="AU303" s="337"/>
      <c r="AV303" s="337"/>
      <c r="AW303" s="337"/>
      <c r="AX303" s="337"/>
      <c r="AY303" s="880"/>
      <c r="AZ303" s="337"/>
      <c r="BA303" s="337"/>
      <c r="BB303" s="337"/>
      <c r="BC303" s="337"/>
      <c r="BD303" s="880"/>
      <c r="BE303" s="337"/>
      <c r="BF303" s="337"/>
      <c r="BG303" s="337"/>
      <c r="BH303" s="337"/>
      <c r="BI303" s="880"/>
      <c r="BJ303" s="337"/>
      <c r="BK303" s="337"/>
      <c r="BL303" s="337"/>
      <c r="BM303" s="337"/>
      <c r="BN303" s="880"/>
      <c r="BO303" s="337"/>
      <c r="BP303" s="337"/>
      <c r="BQ303" s="337"/>
      <c r="BR303" s="337"/>
      <c r="BS303" s="880"/>
      <c r="BT303" s="661"/>
      <c r="BU303" s="337"/>
      <c r="BV303" s="337"/>
      <c r="BW303" s="337"/>
      <c r="BX303" s="880"/>
      <c r="BY303" s="337"/>
      <c r="BZ303" s="337"/>
      <c r="CA303" s="337"/>
      <c r="CB303" s="337"/>
      <c r="CC303" s="880"/>
      <c r="CD303" s="880"/>
      <c r="CE303" s="880"/>
      <c r="CF303" s="880"/>
      <c r="CG303" s="69"/>
    </row>
    <row r="304" spans="1:85" s="428" customFormat="1" hidden="1" outlineLevel="1" x14ac:dyDescent="0.3">
      <c r="A304" s="40" t="s">
        <v>491</v>
      </c>
      <c r="B304" s="64"/>
      <c r="C304" s="821"/>
      <c r="D304" s="821"/>
      <c r="E304" s="827">
        <v>399</v>
      </c>
      <c r="F304" s="827">
        <v>403</v>
      </c>
      <c r="G304" s="37"/>
      <c r="H304" s="37"/>
      <c r="I304" s="37"/>
      <c r="J304" s="37"/>
      <c r="K304" s="827">
        <v>387</v>
      </c>
      <c r="L304" s="37"/>
      <c r="M304" s="37"/>
      <c r="N304" s="37"/>
      <c r="O304" s="37"/>
      <c r="P304" s="827">
        <v>413</v>
      </c>
      <c r="Q304" s="37"/>
      <c r="R304" s="37"/>
      <c r="S304" s="37"/>
      <c r="T304" s="37"/>
      <c r="U304" s="827">
        <v>439</v>
      </c>
      <c r="V304" s="37"/>
      <c r="W304" s="37"/>
      <c r="X304" s="37"/>
      <c r="Y304" s="37"/>
      <c r="Z304" s="827">
        <v>450</v>
      </c>
      <c r="AA304" s="37"/>
      <c r="AB304" s="37"/>
      <c r="AC304" s="37"/>
      <c r="AD304" s="37"/>
      <c r="AE304" s="827">
        <v>444</v>
      </c>
      <c r="AF304" s="37"/>
      <c r="AG304" s="37"/>
      <c r="AH304" s="37"/>
      <c r="AI304" s="37"/>
      <c r="AJ304" s="827">
        <v>442</v>
      </c>
      <c r="AK304" s="37"/>
      <c r="AL304" s="37"/>
      <c r="AM304" s="37"/>
      <c r="AN304" s="37"/>
      <c r="AO304" s="827">
        <v>448</v>
      </c>
      <c r="AP304" s="37"/>
      <c r="AQ304" s="37"/>
      <c r="AR304" s="37"/>
      <c r="AS304" s="37"/>
      <c r="AT304" s="827">
        <v>400</v>
      </c>
      <c r="AU304" s="37"/>
      <c r="AV304" s="37"/>
      <c r="AW304" s="37"/>
      <c r="AX304" s="37"/>
      <c r="AY304" s="827">
        <v>440</v>
      </c>
      <c r="AZ304" s="37"/>
      <c r="BA304" s="37"/>
      <c r="BB304" s="37"/>
      <c r="BC304" s="37"/>
      <c r="BD304" s="827">
        <v>428</v>
      </c>
      <c r="BE304" s="37"/>
      <c r="BF304" s="37"/>
      <c r="BG304" s="37"/>
      <c r="BH304" s="37"/>
      <c r="BI304" s="827">
        <v>437</v>
      </c>
      <c r="BJ304" s="37"/>
      <c r="BK304" s="37"/>
      <c r="BL304" s="37"/>
      <c r="BM304" s="37"/>
      <c r="BN304" s="827">
        <v>435</v>
      </c>
      <c r="BO304" s="37"/>
      <c r="BP304" s="37"/>
      <c r="BQ304" s="37"/>
      <c r="BR304" s="37"/>
      <c r="BS304" s="827">
        <v>444</v>
      </c>
      <c r="BT304" s="480"/>
      <c r="BU304" s="37"/>
      <c r="BV304" s="37"/>
      <c r="BW304" s="37"/>
      <c r="BX304" s="821"/>
      <c r="BY304" s="37"/>
      <c r="BZ304" s="37"/>
      <c r="CA304" s="37"/>
      <c r="CB304" s="37"/>
      <c r="CC304" s="821"/>
      <c r="CD304" s="821"/>
      <c r="CE304" s="821"/>
      <c r="CF304" s="821"/>
      <c r="CG304" s="22"/>
    </row>
    <row r="305" spans="1:85" s="428" customFormat="1" hidden="1" outlineLevel="1" x14ac:dyDescent="0.3">
      <c r="A305" s="40" t="s">
        <v>492</v>
      </c>
      <c r="B305" s="64"/>
      <c r="C305" s="821"/>
      <c r="D305" s="821"/>
      <c r="E305" s="827">
        <v>180</v>
      </c>
      <c r="F305" s="827">
        <v>178</v>
      </c>
      <c r="G305" s="37"/>
      <c r="H305" s="37"/>
      <c r="I305" s="37"/>
      <c r="J305" s="37"/>
      <c r="K305" s="827">
        <v>166</v>
      </c>
      <c r="L305" s="37"/>
      <c r="M305" s="37"/>
      <c r="N305" s="37"/>
      <c r="O305" s="37"/>
      <c r="P305" s="827">
        <v>184</v>
      </c>
      <c r="Q305" s="37"/>
      <c r="R305" s="37"/>
      <c r="S305" s="37"/>
      <c r="T305" s="37"/>
      <c r="U305" s="827">
        <v>205</v>
      </c>
      <c r="V305" s="37"/>
      <c r="W305" s="37"/>
      <c r="X305" s="37"/>
      <c r="Y305" s="37"/>
      <c r="Z305" s="827">
        <v>188</v>
      </c>
      <c r="AA305" s="37"/>
      <c r="AB305" s="37"/>
      <c r="AC305" s="37"/>
      <c r="AD305" s="37"/>
      <c r="AE305" s="827">
        <v>183</v>
      </c>
      <c r="AF305" s="37"/>
      <c r="AG305" s="37"/>
      <c r="AH305" s="37"/>
      <c r="AI305" s="37"/>
      <c r="AJ305" s="827">
        <v>178</v>
      </c>
      <c r="AK305" s="37"/>
      <c r="AL305" s="37"/>
      <c r="AM305" s="37"/>
      <c r="AN305" s="37"/>
      <c r="AO305" s="827">
        <v>187</v>
      </c>
      <c r="AP305" s="37"/>
      <c r="AQ305" s="37"/>
      <c r="AR305" s="37"/>
      <c r="AS305" s="37"/>
      <c r="AT305" s="827">
        <v>190</v>
      </c>
      <c r="AU305" s="37"/>
      <c r="AV305" s="37"/>
      <c r="AW305" s="37"/>
      <c r="AX305" s="37"/>
      <c r="AY305" s="827">
        <v>184</v>
      </c>
      <c r="AZ305" s="37"/>
      <c r="BA305" s="37"/>
      <c r="BB305" s="37"/>
      <c r="BC305" s="37"/>
      <c r="BD305" s="827">
        <v>178</v>
      </c>
      <c r="BE305" s="37"/>
      <c r="BF305" s="37"/>
      <c r="BG305" s="37"/>
      <c r="BH305" s="37"/>
      <c r="BI305" s="827">
        <v>200</v>
      </c>
      <c r="BJ305" s="37"/>
      <c r="BK305" s="37"/>
      <c r="BL305" s="37"/>
      <c r="BM305" s="37"/>
      <c r="BN305" s="827">
        <v>184</v>
      </c>
      <c r="BO305" s="37"/>
      <c r="BP305" s="37"/>
      <c r="BQ305" s="37"/>
      <c r="BR305" s="37"/>
      <c r="BS305" s="827">
        <v>203</v>
      </c>
      <c r="BT305" s="480"/>
      <c r="BU305" s="37"/>
      <c r="BV305" s="37"/>
      <c r="BW305" s="37"/>
      <c r="BX305" s="821"/>
      <c r="BY305" s="37"/>
      <c r="BZ305" s="37"/>
      <c r="CA305" s="37"/>
      <c r="CB305" s="37"/>
      <c r="CC305" s="821"/>
      <c r="CD305" s="821"/>
      <c r="CE305" s="821"/>
      <c r="CF305" s="821"/>
      <c r="CG305" s="22"/>
    </row>
    <row r="306" spans="1:85" s="428" customFormat="1" hidden="1" outlineLevel="1" x14ac:dyDescent="0.3">
      <c r="A306" s="40" t="s">
        <v>493</v>
      </c>
      <c r="B306" s="64"/>
      <c r="C306" s="821"/>
      <c r="D306" s="821"/>
      <c r="E306" s="827">
        <v>197</v>
      </c>
      <c r="F306" s="827">
        <v>192</v>
      </c>
      <c r="G306" s="37"/>
      <c r="H306" s="37"/>
      <c r="I306" s="37"/>
      <c r="J306" s="37"/>
      <c r="K306" s="827">
        <v>172</v>
      </c>
      <c r="L306" s="37"/>
      <c r="M306" s="37"/>
      <c r="N306" s="37"/>
      <c r="O306" s="37"/>
      <c r="P306" s="827">
        <v>196</v>
      </c>
      <c r="Q306" s="37"/>
      <c r="R306" s="37"/>
      <c r="S306" s="37"/>
      <c r="T306" s="37"/>
      <c r="U306" s="827">
        <v>197</v>
      </c>
      <c r="V306" s="37"/>
      <c r="W306" s="37"/>
      <c r="X306" s="37"/>
      <c r="Y306" s="37"/>
      <c r="Z306" s="827">
        <v>197</v>
      </c>
      <c r="AA306" s="37"/>
      <c r="AB306" s="37"/>
      <c r="AC306" s="37"/>
      <c r="AD306" s="37"/>
      <c r="AE306" s="827">
        <v>210</v>
      </c>
      <c r="AF306" s="37"/>
      <c r="AG306" s="37"/>
      <c r="AH306" s="37"/>
      <c r="AI306" s="37"/>
      <c r="AJ306" s="827">
        <v>229</v>
      </c>
      <c r="AK306" s="37"/>
      <c r="AL306" s="37"/>
      <c r="AM306" s="37"/>
      <c r="AN306" s="37"/>
      <c r="AO306" s="827">
        <v>230</v>
      </c>
      <c r="AP306" s="37"/>
      <c r="AQ306" s="37"/>
      <c r="AR306" s="37"/>
      <c r="AS306" s="37"/>
      <c r="AT306" s="827">
        <v>120</v>
      </c>
      <c r="AU306" s="37"/>
      <c r="AV306" s="37"/>
      <c r="AW306" s="37"/>
      <c r="AX306" s="37"/>
      <c r="AY306" s="827">
        <v>168</v>
      </c>
      <c r="AZ306" s="37"/>
      <c r="BA306" s="37"/>
      <c r="BB306" s="37"/>
      <c r="BC306" s="37"/>
      <c r="BD306" s="827">
        <v>201</v>
      </c>
      <c r="BE306" s="37"/>
      <c r="BF306" s="37"/>
      <c r="BG306" s="37"/>
      <c r="BH306" s="37"/>
      <c r="BI306" s="827">
        <v>234</v>
      </c>
      <c r="BJ306" s="37"/>
      <c r="BK306" s="37"/>
      <c r="BL306" s="37"/>
      <c r="BM306" s="37"/>
      <c r="BN306" s="827">
        <v>228</v>
      </c>
      <c r="BO306" s="37"/>
      <c r="BP306" s="37"/>
      <c r="BQ306" s="37"/>
      <c r="BR306" s="37"/>
      <c r="BS306" s="827">
        <v>258</v>
      </c>
      <c r="BT306" s="480"/>
      <c r="BU306" s="37"/>
      <c r="BV306" s="37"/>
      <c r="BW306" s="37"/>
      <c r="BX306" s="821"/>
      <c r="BY306" s="37"/>
      <c r="BZ306" s="37"/>
      <c r="CA306" s="37"/>
      <c r="CB306" s="37"/>
      <c r="CC306" s="821"/>
      <c r="CD306" s="821"/>
      <c r="CE306" s="821"/>
      <c r="CF306" s="821"/>
      <c r="CG306" s="22"/>
    </row>
    <row r="307" spans="1:85" s="428" customFormat="1" hidden="1" outlineLevel="1" x14ac:dyDescent="0.3">
      <c r="A307" s="40" t="s">
        <v>494</v>
      </c>
      <c r="B307" s="64"/>
      <c r="C307" s="821"/>
      <c r="D307" s="821"/>
      <c r="E307" s="827">
        <v>28</v>
      </c>
      <c r="F307" s="827">
        <v>30</v>
      </c>
      <c r="G307" s="37"/>
      <c r="H307" s="37"/>
      <c r="I307" s="37"/>
      <c r="J307" s="37"/>
      <c r="K307" s="827">
        <v>46</v>
      </c>
      <c r="L307" s="37"/>
      <c r="M307" s="37"/>
      <c r="N307" s="37"/>
      <c r="O307" s="37"/>
      <c r="P307" s="827">
        <v>43</v>
      </c>
      <c r="Q307" s="37"/>
      <c r="R307" s="37"/>
      <c r="S307" s="37"/>
      <c r="T307" s="37"/>
      <c r="U307" s="827">
        <v>38</v>
      </c>
      <c r="V307" s="37"/>
      <c r="W307" s="37"/>
      <c r="X307" s="37"/>
      <c r="Y307" s="37"/>
      <c r="Z307" s="827">
        <v>34</v>
      </c>
      <c r="AA307" s="37"/>
      <c r="AB307" s="37"/>
      <c r="AC307" s="37"/>
      <c r="AD307" s="37"/>
      <c r="AE307" s="827">
        <v>31</v>
      </c>
      <c r="AF307" s="37"/>
      <c r="AG307" s="37"/>
      <c r="AH307" s="37"/>
      <c r="AI307" s="37"/>
      <c r="AJ307" s="827">
        <v>42</v>
      </c>
      <c r="AK307" s="37"/>
      <c r="AL307" s="37"/>
      <c r="AM307" s="37"/>
      <c r="AN307" s="37"/>
      <c r="AO307" s="827">
        <v>38</v>
      </c>
      <c r="AP307" s="37"/>
      <c r="AQ307" s="37"/>
      <c r="AR307" s="37"/>
      <c r="AS307" s="37"/>
      <c r="AT307" s="827">
        <v>8</v>
      </c>
      <c r="AU307" s="37"/>
      <c r="AV307" s="37"/>
      <c r="AW307" s="37"/>
      <c r="AX307" s="37"/>
      <c r="AY307" s="827">
        <v>5</v>
      </c>
      <c r="AZ307" s="37"/>
      <c r="BA307" s="37"/>
      <c r="BB307" s="37"/>
      <c r="BC307" s="37"/>
      <c r="BD307" s="821"/>
      <c r="BE307" s="37"/>
      <c r="BF307" s="37"/>
      <c r="BG307" s="37"/>
      <c r="BH307" s="37"/>
      <c r="BI307" s="821"/>
      <c r="BJ307" s="37"/>
      <c r="BK307" s="37"/>
      <c r="BL307" s="37"/>
      <c r="BM307" s="37"/>
      <c r="BN307" s="821"/>
      <c r="BO307" s="37"/>
      <c r="BP307" s="37"/>
      <c r="BQ307" s="37"/>
      <c r="BR307" s="37"/>
      <c r="BS307" s="821"/>
      <c r="BT307" s="480"/>
      <c r="BU307" s="37"/>
      <c r="BV307" s="37"/>
      <c r="BW307" s="37"/>
      <c r="BX307" s="821"/>
      <c r="BY307" s="37"/>
      <c r="BZ307" s="37"/>
      <c r="CA307" s="37"/>
      <c r="CB307" s="37"/>
      <c r="CC307" s="821"/>
      <c r="CD307" s="821"/>
      <c r="CE307" s="821"/>
      <c r="CF307" s="821"/>
      <c r="CG307" s="22"/>
    </row>
    <row r="308" spans="1:85" s="428" customFormat="1" hidden="1" outlineLevel="1" x14ac:dyDescent="0.3">
      <c r="A308" s="40" t="s">
        <v>495</v>
      </c>
      <c r="B308" s="64"/>
      <c r="C308" s="821"/>
      <c r="D308" s="821"/>
      <c r="E308" s="827">
        <v>113</v>
      </c>
      <c r="F308" s="827">
        <v>103</v>
      </c>
      <c r="G308" s="37"/>
      <c r="H308" s="37"/>
      <c r="I308" s="37"/>
      <c r="J308" s="37"/>
      <c r="K308" s="827">
        <v>97</v>
      </c>
      <c r="L308" s="37"/>
      <c r="M308" s="37"/>
      <c r="N308" s="37"/>
      <c r="O308" s="37"/>
      <c r="P308" s="827">
        <v>115</v>
      </c>
      <c r="Q308" s="37"/>
      <c r="R308" s="37"/>
      <c r="S308" s="37"/>
      <c r="T308" s="37"/>
      <c r="U308" s="827">
        <v>127</v>
      </c>
      <c r="V308" s="37"/>
      <c r="W308" s="37"/>
      <c r="X308" s="37"/>
      <c r="Y308" s="37"/>
      <c r="Z308" s="827">
        <v>120</v>
      </c>
      <c r="AA308" s="37"/>
      <c r="AB308" s="37"/>
      <c r="AC308" s="37"/>
      <c r="AD308" s="37"/>
      <c r="AE308" s="827">
        <v>128</v>
      </c>
      <c r="AF308" s="37"/>
      <c r="AG308" s="37"/>
      <c r="AH308" s="37"/>
      <c r="AI308" s="37"/>
      <c r="AJ308" s="827">
        <v>133</v>
      </c>
      <c r="AK308" s="37"/>
      <c r="AL308" s="37"/>
      <c r="AM308" s="37"/>
      <c r="AN308" s="37"/>
      <c r="AO308" s="827">
        <v>121</v>
      </c>
      <c r="AP308" s="37"/>
      <c r="AQ308" s="37"/>
      <c r="AR308" s="37"/>
      <c r="AS308" s="37"/>
      <c r="AT308" s="827">
        <v>103</v>
      </c>
      <c r="AU308" s="37"/>
      <c r="AV308" s="37"/>
      <c r="AW308" s="37"/>
      <c r="AX308" s="37"/>
      <c r="AY308" s="827">
        <v>123</v>
      </c>
      <c r="AZ308" s="37"/>
      <c r="BA308" s="37"/>
      <c r="BB308" s="37"/>
      <c r="BC308" s="37"/>
      <c r="BD308" s="827">
        <v>102</v>
      </c>
      <c r="BE308" s="37"/>
      <c r="BF308" s="37"/>
      <c r="BG308" s="37"/>
      <c r="BH308" s="37"/>
      <c r="BI308" s="827">
        <v>128</v>
      </c>
      <c r="BJ308" s="37"/>
      <c r="BK308" s="37"/>
      <c r="BL308" s="37"/>
      <c r="BM308" s="37"/>
      <c r="BN308" s="827">
        <v>131</v>
      </c>
      <c r="BO308" s="37"/>
      <c r="BP308" s="37"/>
      <c r="BQ308" s="37"/>
      <c r="BR308" s="37"/>
      <c r="BS308" s="827">
        <v>148</v>
      </c>
      <c r="BT308" s="480"/>
      <c r="BU308" s="37"/>
      <c r="BV308" s="37"/>
      <c r="BW308" s="37"/>
      <c r="BX308" s="821"/>
      <c r="BY308" s="37"/>
      <c r="BZ308" s="37"/>
      <c r="CA308" s="37"/>
      <c r="CB308" s="37"/>
      <c r="CC308" s="821"/>
      <c r="CD308" s="821"/>
      <c r="CE308" s="821"/>
      <c r="CF308" s="821"/>
      <c r="CG308" s="22"/>
    </row>
    <row r="309" spans="1:85" s="428" customFormat="1" hidden="1" outlineLevel="1" x14ac:dyDescent="0.3">
      <c r="A309" s="471" t="s">
        <v>164</v>
      </c>
      <c r="B309" s="469"/>
      <c r="C309" s="888">
        <f t="shared" ref="C309:AH309" si="604">SUM(C304:C308)</f>
        <v>0</v>
      </c>
      <c r="D309" s="888">
        <f t="shared" si="604"/>
        <v>0</v>
      </c>
      <c r="E309" s="888">
        <f t="shared" si="604"/>
        <v>917</v>
      </c>
      <c r="F309" s="888">
        <f t="shared" si="604"/>
        <v>906</v>
      </c>
      <c r="G309" s="470">
        <f t="shared" si="604"/>
        <v>0</v>
      </c>
      <c r="H309" s="470">
        <f t="shared" si="604"/>
        <v>0</v>
      </c>
      <c r="I309" s="470">
        <f t="shared" si="604"/>
        <v>0</v>
      </c>
      <c r="J309" s="470">
        <f t="shared" si="604"/>
        <v>0</v>
      </c>
      <c r="K309" s="888">
        <f t="shared" si="604"/>
        <v>868</v>
      </c>
      <c r="L309" s="470">
        <f t="shared" si="604"/>
        <v>0</v>
      </c>
      <c r="M309" s="470">
        <f t="shared" si="604"/>
        <v>0</v>
      </c>
      <c r="N309" s="470">
        <f t="shared" si="604"/>
        <v>0</v>
      </c>
      <c r="O309" s="470">
        <f t="shared" si="604"/>
        <v>0</v>
      </c>
      <c r="P309" s="888">
        <f t="shared" si="604"/>
        <v>951</v>
      </c>
      <c r="Q309" s="470">
        <f t="shared" si="604"/>
        <v>0</v>
      </c>
      <c r="R309" s="470">
        <f t="shared" si="604"/>
        <v>0</v>
      </c>
      <c r="S309" s="470">
        <f t="shared" si="604"/>
        <v>0</v>
      </c>
      <c r="T309" s="470">
        <f t="shared" si="604"/>
        <v>0</v>
      </c>
      <c r="U309" s="888">
        <f t="shared" si="604"/>
        <v>1006</v>
      </c>
      <c r="V309" s="470">
        <f t="shared" si="604"/>
        <v>0</v>
      </c>
      <c r="W309" s="470">
        <f t="shared" si="604"/>
        <v>0</v>
      </c>
      <c r="X309" s="470">
        <f t="shared" si="604"/>
        <v>0</v>
      </c>
      <c r="Y309" s="470">
        <f t="shared" si="604"/>
        <v>0</v>
      </c>
      <c r="Z309" s="888">
        <f t="shared" si="604"/>
        <v>989</v>
      </c>
      <c r="AA309" s="84">
        <f t="shared" si="604"/>
        <v>0</v>
      </c>
      <c r="AB309" s="470">
        <f t="shared" si="604"/>
        <v>0</v>
      </c>
      <c r="AC309" s="470">
        <f t="shared" si="604"/>
        <v>0</v>
      </c>
      <c r="AD309" s="470">
        <f t="shared" si="604"/>
        <v>0</v>
      </c>
      <c r="AE309" s="888">
        <f t="shared" si="604"/>
        <v>996</v>
      </c>
      <c r="AF309" s="84">
        <f t="shared" si="604"/>
        <v>0</v>
      </c>
      <c r="AG309" s="470">
        <f t="shared" si="604"/>
        <v>0</v>
      </c>
      <c r="AH309" s="470">
        <f t="shared" si="604"/>
        <v>0</v>
      </c>
      <c r="AI309" s="470">
        <f t="shared" ref="AI309:BN309" si="605">SUM(AI304:AI308)</f>
        <v>0</v>
      </c>
      <c r="AJ309" s="888">
        <f t="shared" si="605"/>
        <v>1024</v>
      </c>
      <c r="AK309" s="84">
        <f t="shared" si="605"/>
        <v>0</v>
      </c>
      <c r="AL309" s="470">
        <f t="shared" si="605"/>
        <v>0</v>
      </c>
      <c r="AM309" s="470">
        <f t="shared" si="605"/>
        <v>0</v>
      </c>
      <c r="AN309" s="470">
        <f t="shared" si="605"/>
        <v>0</v>
      </c>
      <c r="AO309" s="888">
        <f t="shared" si="605"/>
        <v>1024</v>
      </c>
      <c r="AP309" s="84">
        <f t="shared" si="605"/>
        <v>0</v>
      </c>
      <c r="AQ309" s="470">
        <f t="shared" si="605"/>
        <v>0</v>
      </c>
      <c r="AR309" s="470">
        <f t="shared" si="605"/>
        <v>0</v>
      </c>
      <c r="AS309" s="470">
        <f t="shared" si="605"/>
        <v>0</v>
      </c>
      <c r="AT309" s="888">
        <f t="shared" si="605"/>
        <v>821</v>
      </c>
      <c r="AU309" s="84">
        <f t="shared" si="605"/>
        <v>0</v>
      </c>
      <c r="AV309" s="470">
        <f t="shared" si="605"/>
        <v>0</v>
      </c>
      <c r="AW309" s="470">
        <f t="shared" si="605"/>
        <v>0</v>
      </c>
      <c r="AX309" s="470">
        <f t="shared" si="605"/>
        <v>0</v>
      </c>
      <c r="AY309" s="888">
        <f t="shared" si="605"/>
        <v>920</v>
      </c>
      <c r="AZ309" s="84">
        <f t="shared" si="605"/>
        <v>0</v>
      </c>
      <c r="BA309" s="470">
        <f t="shared" si="605"/>
        <v>0</v>
      </c>
      <c r="BB309" s="470">
        <f t="shared" si="605"/>
        <v>0</v>
      </c>
      <c r="BC309" s="470">
        <f t="shared" si="605"/>
        <v>0</v>
      </c>
      <c r="BD309" s="888">
        <f t="shared" si="605"/>
        <v>909</v>
      </c>
      <c r="BE309" s="84">
        <f t="shared" si="605"/>
        <v>0</v>
      </c>
      <c r="BF309" s="470">
        <f t="shared" si="605"/>
        <v>0</v>
      </c>
      <c r="BG309" s="470">
        <f t="shared" si="605"/>
        <v>0</v>
      </c>
      <c r="BH309" s="470">
        <f t="shared" si="605"/>
        <v>0</v>
      </c>
      <c r="BI309" s="886">
        <f t="shared" si="605"/>
        <v>999</v>
      </c>
      <c r="BJ309" s="84">
        <f t="shared" si="605"/>
        <v>0</v>
      </c>
      <c r="BK309" s="470">
        <f t="shared" si="605"/>
        <v>0</v>
      </c>
      <c r="BL309" s="470">
        <f t="shared" si="605"/>
        <v>0</v>
      </c>
      <c r="BM309" s="470">
        <f t="shared" si="605"/>
        <v>0</v>
      </c>
      <c r="BN309" s="886">
        <f t="shared" si="605"/>
        <v>978</v>
      </c>
      <c r="BO309" s="84">
        <f t="shared" ref="BO309:BT309" si="606">SUM(BO304:BO308)</f>
        <v>0</v>
      </c>
      <c r="BP309" s="470">
        <f t="shared" si="606"/>
        <v>0</v>
      </c>
      <c r="BQ309" s="470">
        <f t="shared" si="606"/>
        <v>0</v>
      </c>
      <c r="BR309" s="470">
        <f t="shared" si="606"/>
        <v>0</v>
      </c>
      <c r="BS309" s="886">
        <f t="shared" si="606"/>
        <v>1053</v>
      </c>
      <c r="BT309" s="479">
        <f t="shared" si="606"/>
        <v>0</v>
      </c>
      <c r="BU309" s="84"/>
      <c r="BV309" s="84"/>
      <c r="BW309" s="84"/>
      <c r="BX309" s="886"/>
      <c r="BY309" s="84"/>
      <c r="BZ309" s="84"/>
      <c r="CA309" s="84"/>
      <c r="CB309" s="84"/>
      <c r="CC309" s="886"/>
      <c r="CD309" s="886"/>
      <c r="CE309" s="886"/>
      <c r="CF309" s="886"/>
      <c r="CG309" s="22"/>
    </row>
    <row r="310" spans="1:85" s="429" customFormat="1" ht="7.5" hidden="1" customHeight="1" outlineLevel="1" x14ac:dyDescent="0.3">
      <c r="A310" s="48"/>
      <c r="B310" s="63"/>
      <c r="C310" s="825"/>
      <c r="D310" s="825"/>
      <c r="E310" s="825"/>
      <c r="F310" s="825"/>
      <c r="G310" s="31"/>
      <c r="H310" s="31"/>
      <c r="I310" s="31"/>
      <c r="J310" s="31"/>
      <c r="K310" s="825"/>
      <c r="L310" s="31"/>
      <c r="M310" s="31"/>
      <c r="N310" s="31"/>
      <c r="O310" s="31"/>
      <c r="P310" s="825"/>
      <c r="Q310" s="31"/>
      <c r="R310" s="31"/>
      <c r="S310" s="31"/>
      <c r="T310" s="31"/>
      <c r="U310" s="825"/>
      <c r="V310" s="31"/>
      <c r="W310" s="31"/>
      <c r="X310" s="31"/>
      <c r="Y310" s="31"/>
      <c r="Z310" s="825"/>
      <c r="AA310" s="31"/>
      <c r="AB310" s="31"/>
      <c r="AC310" s="31"/>
      <c r="AD310" s="31"/>
      <c r="AE310" s="825"/>
      <c r="AF310" s="31"/>
      <c r="AG310" s="31"/>
      <c r="AH310" s="31"/>
      <c r="AI310" s="31"/>
      <c r="AJ310" s="825"/>
      <c r="AK310" s="31"/>
      <c r="AL310" s="31"/>
      <c r="AM310" s="31"/>
      <c r="AN310" s="31"/>
      <c r="AO310" s="825"/>
      <c r="AP310" s="31"/>
      <c r="AQ310" s="31"/>
      <c r="AR310" s="31"/>
      <c r="AS310" s="31"/>
      <c r="AT310" s="825"/>
      <c r="AU310" s="31"/>
      <c r="AV310" s="31"/>
      <c r="AW310" s="31"/>
      <c r="AX310" s="31"/>
      <c r="AY310" s="825"/>
      <c r="AZ310" s="31"/>
      <c r="BA310" s="31"/>
      <c r="BB310" s="31"/>
      <c r="BC310" s="31"/>
      <c r="BD310" s="825"/>
      <c r="BE310" s="31"/>
      <c r="BF310" s="31"/>
      <c r="BG310" s="31"/>
      <c r="BH310" s="31"/>
      <c r="BI310" s="825"/>
      <c r="BJ310" s="31"/>
      <c r="BK310" s="31"/>
      <c r="BL310" s="31"/>
      <c r="BM310" s="31"/>
      <c r="BN310" s="825"/>
      <c r="BO310" s="31"/>
      <c r="BP310" s="31"/>
      <c r="BQ310" s="31"/>
      <c r="BR310" s="31"/>
      <c r="BS310" s="825"/>
      <c r="BT310" s="379"/>
      <c r="BU310" s="31"/>
      <c r="BV310" s="31"/>
      <c r="BW310" s="31"/>
      <c r="BX310" s="825"/>
      <c r="BY310" s="31"/>
      <c r="BZ310" s="31"/>
      <c r="CA310" s="31"/>
      <c r="CB310" s="31"/>
      <c r="CC310" s="825"/>
      <c r="CD310" s="825"/>
      <c r="CE310" s="825"/>
      <c r="CF310" s="825"/>
      <c r="CG310" s="26"/>
    </row>
    <row r="311" spans="1:85" s="428" customFormat="1" hidden="1" outlineLevel="1" x14ac:dyDescent="0.3">
      <c r="A311" s="40" t="s">
        <v>496</v>
      </c>
      <c r="B311" s="64"/>
      <c r="C311" s="821"/>
      <c r="D311" s="821"/>
      <c r="E311" s="827">
        <v>109</v>
      </c>
      <c r="F311" s="827">
        <v>76</v>
      </c>
      <c r="G311" s="37"/>
      <c r="H311" s="37"/>
      <c r="I311" s="37"/>
      <c r="J311" s="37"/>
      <c r="K311" s="827">
        <v>90</v>
      </c>
      <c r="L311" s="37"/>
      <c r="M311" s="37"/>
      <c r="N311" s="37"/>
      <c r="O311" s="37"/>
      <c r="P311" s="827">
        <v>87</v>
      </c>
      <c r="Q311" s="37"/>
      <c r="R311" s="37"/>
      <c r="S311" s="37"/>
      <c r="T311" s="37"/>
      <c r="U311" s="827">
        <v>94</v>
      </c>
      <c r="V311" s="37"/>
      <c r="W311" s="37"/>
      <c r="X311" s="37"/>
      <c r="Y311" s="37"/>
      <c r="Z311" s="827">
        <v>102</v>
      </c>
      <c r="AA311" s="37"/>
      <c r="AB311" s="37"/>
      <c r="AC311" s="37"/>
      <c r="AD311" s="37"/>
      <c r="AE311" s="827">
        <v>88</v>
      </c>
      <c r="AF311" s="37"/>
      <c r="AG311" s="37"/>
      <c r="AH311" s="37"/>
      <c r="AI311" s="37"/>
      <c r="AJ311" s="827">
        <v>60</v>
      </c>
      <c r="AK311" s="37"/>
      <c r="AL311" s="37"/>
      <c r="AM311" s="37"/>
      <c r="AN311" s="37"/>
      <c r="AO311" s="827">
        <v>35</v>
      </c>
      <c r="AP311" s="37"/>
      <c r="AQ311" s="37"/>
      <c r="AR311" s="37"/>
      <c r="AS311" s="37"/>
      <c r="AT311" s="827">
        <v>42</v>
      </c>
      <c r="AU311" s="37"/>
      <c r="AV311" s="37"/>
      <c r="AW311" s="37"/>
      <c r="AX311" s="37"/>
      <c r="AY311" s="827">
        <v>42</v>
      </c>
      <c r="AZ311" s="37"/>
      <c r="BA311" s="37"/>
      <c r="BB311" s="37"/>
      <c r="BC311" s="37"/>
      <c r="BD311" s="827">
        <v>42</v>
      </c>
      <c r="BE311" s="37"/>
      <c r="BF311" s="37"/>
      <c r="BG311" s="37"/>
      <c r="BH311" s="37"/>
      <c r="BI311" s="827">
        <v>40</v>
      </c>
      <c r="BJ311" s="37"/>
      <c r="BK311" s="37"/>
      <c r="BL311" s="37"/>
      <c r="BM311" s="37"/>
      <c r="BN311" s="827">
        <v>44</v>
      </c>
      <c r="BO311" s="37"/>
      <c r="BP311" s="37"/>
      <c r="BQ311" s="37"/>
      <c r="BR311" s="37"/>
      <c r="BS311" s="827">
        <v>44</v>
      </c>
      <c r="BT311" s="480"/>
      <c r="BU311" s="37"/>
      <c r="BV311" s="37"/>
      <c r="BW311" s="37"/>
      <c r="BX311" s="821"/>
      <c r="BY311" s="37"/>
      <c r="BZ311" s="37"/>
      <c r="CA311" s="37"/>
      <c r="CB311" s="37"/>
      <c r="CC311" s="821"/>
      <c r="CD311" s="821"/>
      <c r="CE311" s="821"/>
      <c r="CF311" s="821"/>
      <c r="CG311" s="22"/>
    </row>
    <row r="312" spans="1:85" s="428" customFormat="1" hidden="1" outlineLevel="1" x14ac:dyDescent="0.3">
      <c r="A312" s="40" t="s">
        <v>497</v>
      </c>
      <c r="B312" s="64"/>
      <c r="C312" s="821"/>
      <c r="D312" s="821"/>
      <c r="E312" s="827">
        <v>79</v>
      </c>
      <c r="F312" s="827">
        <v>82</v>
      </c>
      <c r="G312" s="37"/>
      <c r="H312" s="37"/>
      <c r="I312" s="37"/>
      <c r="J312" s="37"/>
      <c r="K312" s="827">
        <v>107</v>
      </c>
      <c r="L312" s="37"/>
      <c r="M312" s="37"/>
      <c r="N312" s="37"/>
      <c r="O312" s="37"/>
      <c r="P312" s="827">
        <v>97</v>
      </c>
      <c r="Q312" s="37"/>
      <c r="R312" s="37"/>
      <c r="S312" s="37"/>
      <c r="T312" s="37"/>
      <c r="U312" s="827">
        <v>105</v>
      </c>
      <c r="V312" s="37"/>
      <c r="W312" s="37"/>
      <c r="X312" s="37"/>
      <c r="Y312" s="37"/>
      <c r="Z312" s="827">
        <v>110</v>
      </c>
      <c r="AA312" s="37"/>
      <c r="AB312" s="37"/>
      <c r="AC312" s="37"/>
      <c r="AD312" s="37"/>
      <c r="AE312" s="827">
        <v>96</v>
      </c>
      <c r="AF312" s="37"/>
      <c r="AG312" s="37"/>
      <c r="AH312" s="37"/>
      <c r="AI312" s="37"/>
      <c r="AJ312" s="827">
        <v>83</v>
      </c>
      <c r="AK312" s="37"/>
      <c r="AL312" s="37"/>
      <c r="AM312" s="37"/>
      <c r="AN312" s="37"/>
      <c r="AO312" s="827">
        <v>53</v>
      </c>
      <c r="AP312" s="37"/>
      <c r="AQ312" s="37"/>
      <c r="AR312" s="37"/>
      <c r="AS312" s="37"/>
      <c r="AT312" s="827">
        <v>66</v>
      </c>
      <c r="AU312" s="37"/>
      <c r="AV312" s="37"/>
      <c r="AW312" s="37"/>
      <c r="AX312" s="37"/>
      <c r="AY312" s="827">
        <v>58</v>
      </c>
      <c r="AZ312" s="37"/>
      <c r="BA312" s="37"/>
      <c r="BB312" s="37"/>
      <c r="BC312" s="37"/>
      <c r="BD312" s="827">
        <v>67</v>
      </c>
      <c r="BE312" s="37"/>
      <c r="BF312" s="37"/>
      <c r="BG312" s="37"/>
      <c r="BH312" s="37"/>
      <c r="BI312" s="827">
        <v>60</v>
      </c>
      <c r="BJ312" s="37"/>
      <c r="BK312" s="37"/>
      <c r="BL312" s="37"/>
      <c r="BM312" s="37"/>
      <c r="BN312" s="827">
        <v>66</v>
      </c>
      <c r="BO312" s="37"/>
      <c r="BP312" s="37"/>
      <c r="BQ312" s="37"/>
      <c r="BR312" s="37"/>
      <c r="BS312" s="827">
        <v>68</v>
      </c>
      <c r="BT312" s="480"/>
      <c r="BU312" s="37"/>
      <c r="BV312" s="37"/>
      <c r="BW312" s="37"/>
      <c r="BX312" s="821"/>
      <c r="BY312" s="37"/>
      <c r="BZ312" s="37"/>
      <c r="CA312" s="37"/>
      <c r="CB312" s="37"/>
      <c r="CC312" s="821"/>
      <c r="CD312" s="821"/>
      <c r="CE312" s="821"/>
      <c r="CF312" s="821"/>
      <c r="CG312" s="22"/>
    </row>
    <row r="313" spans="1:85" s="428" customFormat="1" hidden="1" outlineLevel="1" x14ac:dyDescent="0.3">
      <c r="A313" s="40" t="s">
        <v>498</v>
      </c>
      <c r="B313" s="64"/>
      <c r="C313" s="821"/>
      <c r="D313" s="821"/>
      <c r="E313" s="827">
        <v>29</v>
      </c>
      <c r="F313" s="827">
        <v>24</v>
      </c>
      <c r="G313" s="37"/>
      <c r="H313" s="37"/>
      <c r="I313" s="37"/>
      <c r="J313" s="37"/>
      <c r="K313" s="827">
        <v>29</v>
      </c>
      <c r="L313" s="37"/>
      <c r="M313" s="37"/>
      <c r="N313" s="37"/>
      <c r="O313" s="37"/>
      <c r="P313" s="827">
        <v>25</v>
      </c>
      <c r="Q313" s="37"/>
      <c r="R313" s="37"/>
      <c r="S313" s="37"/>
      <c r="T313" s="37"/>
      <c r="U313" s="827">
        <v>27</v>
      </c>
      <c r="V313" s="37"/>
      <c r="W313" s="37"/>
      <c r="X313" s="37"/>
      <c r="Y313" s="37"/>
      <c r="Z313" s="827">
        <v>28</v>
      </c>
      <c r="AA313" s="37"/>
      <c r="AB313" s="37"/>
      <c r="AC313" s="37"/>
      <c r="AD313" s="37"/>
      <c r="AE313" s="827">
        <v>26</v>
      </c>
      <c r="AF313" s="37"/>
      <c r="AG313" s="37"/>
      <c r="AH313" s="37"/>
      <c r="AI313" s="37"/>
      <c r="AJ313" s="827">
        <v>20</v>
      </c>
      <c r="AK313" s="37"/>
      <c r="AL313" s="37"/>
      <c r="AM313" s="37"/>
      <c r="AN313" s="37"/>
      <c r="AO313" s="827">
        <v>12</v>
      </c>
      <c r="AP313" s="37"/>
      <c r="AQ313" s="37"/>
      <c r="AR313" s="37"/>
      <c r="AS313" s="37"/>
      <c r="AT313" s="827">
        <v>5</v>
      </c>
      <c r="AU313" s="37"/>
      <c r="AV313" s="37"/>
      <c r="AW313" s="37"/>
      <c r="AX313" s="37"/>
      <c r="AY313" s="827">
        <v>3</v>
      </c>
      <c r="AZ313" s="37"/>
      <c r="BA313" s="37"/>
      <c r="BB313" s="37"/>
      <c r="BC313" s="37"/>
      <c r="BD313" s="827">
        <v>11</v>
      </c>
      <c r="BE313" s="37"/>
      <c r="BF313" s="37"/>
      <c r="BG313" s="37"/>
      <c r="BH313" s="37"/>
      <c r="BI313" s="827">
        <v>18</v>
      </c>
      <c r="BJ313" s="37"/>
      <c r="BK313" s="37"/>
      <c r="BL313" s="37"/>
      <c r="BM313" s="37"/>
      <c r="BN313" s="827">
        <v>18</v>
      </c>
      <c r="BO313" s="37"/>
      <c r="BP313" s="37"/>
      <c r="BQ313" s="37"/>
      <c r="BR313" s="37"/>
      <c r="BS313" s="827">
        <v>18</v>
      </c>
      <c r="BT313" s="480"/>
      <c r="BU313" s="37"/>
      <c r="BV313" s="37"/>
      <c r="BW313" s="37"/>
      <c r="BX313" s="821"/>
      <c r="BY313" s="37"/>
      <c r="BZ313" s="37"/>
      <c r="CA313" s="37"/>
      <c r="CB313" s="37"/>
      <c r="CC313" s="821"/>
      <c r="CD313" s="821"/>
      <c r="CE313" s="821"/>
      <c r="CF313" s="821"/>
      <c r="CG313" s="22"/>
    </row>
    <row r="314" spans="1:85" s="428" customFormat="1" hidden="1" outlineLevel="1" x14ac:dyDescent="0.3">
      <c r="A314" s="40" t="s">
        <v>499</v>
      </c>
      <c r="B314" s="64"/>
      <c r="C314" s="821"/>
      <c r="D314" s="821"/>
      <c r="E314" s="827">
        <v>24</v>
      </c>
      <c r="F314" s="827">
        <v>21</v>
      </c>
      <c r="G314" s="37"/>
      <c r="H314" s="37"/>
      <c r="I314" s="37"/>
      <c r="J314" s="37"/>
      <c r="K314" s="827">
        <v>29</v>
      </c>
      <c r="L314" s="37"/>
      <c r="M314" s="37"/>
      <c r="N314" s="37"/>
      <c r="O314" s="37"/>
      <c r="P314" s="827">
        <v>26</v>
      </c>
      <c r="Q314" s="37"/>
      <c r="R314" s="37"/>
      <c r="S314" s="37"/>
      <c r="T314" s="37"/>
      <c r="U314" s="827">
        <v>26</v>
      </c>
      <c r="V314" s="37"/>
      <c r="W314" s="37"/>
      <c r="X314" s="37"/>
      <c r="Y314" s="37"/>
      <c r="Z314" s="827">
        <v>31</v>
      </c>
      <c r="AA314" s="37"/>
      <c r="AB314" s="37"/>
      <c r="AC314" s="37"/>
      <c r="AD314" s="37"/>
      <c r="AE314" s="827">
        <v>28</v>
      </c>
      <c r="AF314" s="37"/>
      <c r="AG314" s="37"/>
      <c r="AH314" s="37"/>
      <c r="AI314" s="37"/>
      <c r="AJ314" s="827">
        <v>24</v>
      </c>
      <c r="AK314" s="37"/>
      <c r="AL314" s="37"/>
      <c r="AM314" s="37"/>
      <c r="AN314" s="37"/>
      <c r="AO314" s="827">
        <v>13</v>
      </c>
      <c r="AP314" s="37"/>
      <c r="AQ314" s="37"/>
      <c r="AR314" s="37"/>
      <c r="AS314" s="37"/>
      <c r="AT314" s="827">
        <v>7</v>
      </c>
      <c r="AU314" s="37"/>
      <c r="AV314" s="37"/>
      <c r="AW314" s="37"/>
      <c r="AX314" s="37"/>
      <c r="AY314" s="827">
        <v>6</v>
      </c>
      <c r="AZ314" s="37"/>
      <c r="BA314" s="37"/>
      <c r="BB314" s="37"/>
      <c r="BC314" s="37"/>
      <c r="BD314" s="821"/>
      <c r="BE314" s="37"/>
      <c r="BF314" s="37"/>
      <c r="BG314" s="37"/>
      <c r="BH314" s="37"/>
      <c r="BI314" s="821"/>
      <c r="BJ314" s="37"/>
      <c r="BK314" s="37"/>
      <c r="BL314" s="37"/>
      <c r="BM314" s="37"/>
      <c r="BN314" s="821"/>
      <c r="BO314" s="37"/>
      <c r="BP314" s="37"/>
      <c r="BQ314" s="37"/>
      <c r="BR314" s="37"/>
      <c r="BS314" s="821"/>
      <c r="BT314" s="480"/>
      <c r="BU314" s="37"/>
      <c r="BV314" s="37"/>
      <c r="BW314" s="37"/>
      <c r="BX314" s="821"/>
      <c r="BY314" s="37"/>
      <c r="BZ314" s="37"/>
      <c r="CA314" s="37"/>
      <c r="CB314" s="37"/>
      <c r="CC314" s="821"/>
      <c r="CD314" s="821"/>
      <c r="CE314" s="821"/>
      <c r="CF314" s="821"/>
      <c r="CG314" s="22"/>
    </row>
    <row r="315" spans="1:85" s="428" customFormat="1" hidden="1" outlineLevel="1" x14ac:dyDescent="0.3">
      <c r="A315" s="40" t="s">
        <v>500</v>
      </c>
      <c r="B315" s="64"/>
      <c r="C315" s="821"/>
      <c r="D315" s="821"/>
      <c r="E315" s="827">
        <v>10</v>
      </c>
      <c r="F315" s="827">
        <v>24</v>
      </c>
      <c r="G315" s="37"/>
      <c r="H315" s="37"/>
      <c r="I315" s="37"/>
      <c r="J315" s="37"/>
      <c r="K315" s="827">
        <v>32</v>
      </c>
      <c r="L315" s="37"/>
      <c r="M315" s="37"/>
      <c r="N315" s="37"/>
      <c r="O315" s="37"/>
      <c r="P315" s="827">
        <v>30</v>
      </c>
      <c r="Q315" s="37"/>
      <c r="R315" s="37"/>
      <c r="S315" s="37"/>
      <c r="T315" s="37"/>
      <c r="U315" s="827">
        <v>38</v>
      </c>
      <c r="V315" s="37"/>
      <c r="W315" s="37"/>
      <c r="X315" s="37"/>
      <c r="Y315" s="37"/>
      <c r="Z315" s="827">
        <v>32</v>
      </c>
      <c r="AA315" s="37"/>
      <c r="AB315" s="37"/>
      <c r="AC315" s="37"/>
      <c r="AD315" s="37"/>
      <c r="AE315" s="827">
        <v>30</v>
      </c>
      <c r="AF315" s="37"/>
      <c r="AG315" s="37"/>
      <c r="AH315" s="37"/>
      <c r="AI315" s="37"/>
      <c r="AJ315" s="827">
        <v>27</v>
      </c>
      <c r="AK315" s="37"/>
      <c r="AL315" s="37"/>
      <c r="AM315" s="37"/>
      <c r="AN315" s="37"/>
      <c r="AO315" s="827">
        <v>22</v>
      </c>
      <c r="AP315" s="37"/>
      <c r="AQ315" s="37"/>
      <c r="AR315" s="37"/>
      <c r="AS315" s="37"/>
      <c r="AT315" s="827">
        <v>28</v>
      </c>
      <c r="AU315" s="37"/>
      <c r="AV315" s="37"/>
      <c r="AW315" s="37"/>
      <c r="AX315" s="37"/>
      <c r="AY315" s="827">
        <v>28</v>
      </c>
      <c r="AZ315" s="37"/>
      <c r="BA315" s="37"/>
      <c r="BB315" s="37"/>
      <c r="BC315" s="37"/>
      <c r="BD315" s="827">
        <v>38</v>
      </c>
      <c r="BE315" s="37"/>
      <c r="BF315" s="37"/>
      <c r="BG315" s="37"/>
      <c r="BH315" s="37"/>
      <c r="BI315" s="827">
        <v>51</v>
      </c>
      <c r="BJ315" s="37"/>
      <c r="BK315" s="37"/>
      <c r="BL315" s="37"/>
      <c r="BM315" s="37"/>
      <c r="BN315" s="827">
        <v>48</v>
      </c>
      <c r="BO315" s="37"/>
      <c r="BP315" s="37"/>
      <c r="BQ315" s="37"/>
      <c r="BR315" s="37"/>
      <c r="BS315" s="827">
        <v>50</v>
      </c>
      <c r="BT315" s="480"/>
      <c r="BU315" s="37"/>
      <c r="BV315" s="37"/>
      <c r="BW315" s="37"/>
      <c r="BX315" s="821"/>
      <c r="BY315" s="37"/>
      <c r="BZ315" s="37"/>
      <c r="CA315" s="37"/>
      <c r="CB315" s="37"/>
      <c r="CC315" s="821"/>
      <c r="CD315" s="821"/>
      <c r="CE315" s="821"/>
      <c r="CF315" s="821"/>
      <c r="CG315" s="22"/>
    </row>
    <row r="316" spans="1:85" s="428" customFormat="1" hidden="1" outlineLevel="1" x14ac:dyDescent="0.3">
      <c r="A316" s="471" t="s">
        <v>165</v>
      </c>
      <c r="B316" s="469"/>
      <c r="C316" s="888">
        <f t="shared" ref="C316:AH316" si="607">SUM(C311:C315)</f>
        <v>0</v>
      </c>
      <c r="D316" s="888">
        <f t="shared" si="607"/>
        <v>0</v>
      </c>
      <c r="E316" s="888">
        <f t="shared" si="607"/>
        <v>251</v>
      </c>
      <c r="F316" s="888">
        <f t="shared" si="607"/>
        <v>227</v>
      </c>
      <c r="G316" s="470">
        <f t="shared" si="607"/>
        <v>0</v>
      </c>
      <c r="H316" s="470">
        <f t="shared" si="607"/>
        <v>0</v>
      </c>
      <c r="I316" s="470">
        <f t="shared" si="607"/>
        <v>0</v>
      </c>
      <c r="J316" s="470">
        <f t="shared" si="607"/>
        <v>0</v>
      </c>
      <c r="K316" s="888">
        <f t="shared" si="607"/>
        <v>287</v>
      </c>
      <c r="L316" s="470">
        <f t="shared" si="607"/>
        <v>0</v>
      </c>
      <c r="M316" s="470">
        <f t="shared" si="607"/>
        <v>0</v>
      </c>
      <c r="N316" s="470">
        <f t="shared" si="607"/>
        <v>0</v>
      </c>
      <c r="O316" s="470">
        <f t="shared" si="607"/>
        <v>0</v>
      </c>
      <c r="P316" s="888">
        <f t="shared" si="607"/>
        <v>265</v>
      </c>
      <c r="Q316" s="470">
        <f t="shared" si="607"/>
        <v>0</v>
      </c>
      <c r="R316" s="470">
        <f t="shared" si="607"/>
        <v>0</v>
      </c>
      <c r="S316" s="470">
        <f t="shared" si="607"/>
        <v>0</v>
      </c>
      <c r="T316" s="470">
        <f t="shared" si="607"/>
        <v>0</v>
      </c>
      <c r="U316" s="888">
        <f t="shared" si="607"/>
        <v>290</v>
      </c>
      <c r="V316" s="470">
        <f t="shared" si="607"/>
        <v>0</v>
      </c>
      <c r="W316" s="470">
        <f t="shared" si="607"/>
        <v>0</v>
      </c>
      <c r="X316" s="470">
        <f t="shared" si="607"/>
        <v>0</v>
      </c>
      <c r="Y316" s="470">
        <f t="shared" si="607"/>
        <v>0</v>
      </c>
      <c r="Z316" s="888">
        <f t="shared" si="607"/>
        <v>303</v>
      </c>
      <c r="AA316" s="84">
        <f t="shared" si="607"/>
        <v>0</v>
      </c>
      <c r="AB316" s="470">
        <f t="shared" si="607"/>
        <v>0</v>
      </c>
      <c r="AC316" s="470">
        <f t="shared" si="607"/>
        <v>0</v>
      </c>
      <c r="AD316" s="470">
        <f t="shared" si="607"/>
        <v>0</v>
      </c>
      <c r="AE316" s="888">
        <f t="shared" si="607"/>
        <v>268</v>
      </c>
      <c r="AF316" s="84">
        <f t="shared" si="607"/>
        <v>0</v>
      </c>
      <c r="AG316" s="470">
        <f t="shared" si="607"/>
        <v>0</v>
      </c>
      <c r="AH316" s="470">
        <f t="shared" si="607"/>
        <v>0</v>
      </c>
      <c r="AI316" s="470">
        <f t="shared" ref="AI316:BN316" si="608">SUM(AI311:AI315)</f>
        <v>0</v>
      </c>
      <c r="AJ316" s="888">
        <f t="shared" si="608"/>
        <v>214</v>
      </c>
      <c r="AK316" s="84">
        <f t="shared" si="608"/>
        <v>0</v>
      </c>
      <c r="AL316" s="470">
        <f t="shared" si="608"/>
        <v>0</v>
      </c>
      <c r="AM316" s="470">
        <f t="shared" si="608"/>
        <v>0</v>
      </c>
      <c r="AN316" s="470">
        <f t="shared" si="608"/>
        <v>0</v>
      </c>
      <c r="AO316" s="888">
        <f t="shared" si="608"/>
        <v>135</v>
      </c>
      <c r="AP316" s="84">
        <f t="shared" si="608"/>
        <v>0</v>
      </c>
      <c r="AQ316" s="470">
        <f t="shared" si="608"/>
        <v>0</v>
      </c>
      <c r="AR316" s="470">
        <f t="shared" si="608"/>
        <v>0</v>
      </c>
      <c r="AS316" s="470">
        <f t="shared" si="608"/>
        <v>0</v>
      </c>
      <c r="AT316" s="888">
        <f t="shared" si="608"/>
        <v>148</v>
      </c>
      <c r="AU316" s="84">
        <f t="shared" si="608"/>
        <v>0</v>
      </c>
      <c r="AV316" s="470">
        <f t="shared" si="608"/>
        <v>0</v>
      </c>
      <c r="AW316" s="470">
        <f t="shared" si="608"/>
        <v>0</v>
      </c>
      <c r="AX316" s="470">
        <f t="shared" si="608"/>
        <v>0</v>
      </c>
      <c r="AY316" s="888">
        <f t="shared" si="608"/>
        <v>137</v>
      </c>
      <c r="AZ316" s="84">
        <f t="shared" si="608"/>
        <v>0</v>
      </c>
      <c r="BA316" s="470">
        <f t="shared" si="608"/>
        <v>0</v>
      </c>
      <c r="BB316" s="470">
        <f t="shared" si="608"/>
        <v>0</v>
      </c>
      <c r="BC316" s="470">
        <f t="shared" si="608"/>
        <v>0</v>
      </c>
      <c r="BD316" s="888">
        <f t="shared" si="608"/>
        <v>158</v>
      </c>
      <c r="BE316" s="84">
        <f t="shared" si="608"/>
        <v>0</v>
      </c>
      <c r="BF316" s="470">
        <f t="shared" si="608"/>
        <v>0</v>
      </c>
      <c r="BG316" s="470">
        <f t="shared" si="608"/>
        <v>0</v>
      </c>
      <c r="BH316" s="470">
        <f t="shared" si="608"/>
        <v>0</v>
      </c>
      <c r="BI316" s="886">
        <f t="shared" si="608"/>
        <v>169</v>
      </c>
      <c r="BJ316" s="84">
        <f t="shared" si="608"/>
        <v>0</v>
      </c>
      <c r="BK316" s="470">
        <f t="shared" si="608"/>
        <v>0</v>
      </c>
      <c r="BL316" s="470">
        <f t="shared" si="608"/>
        <v>0</v>
      </c>
      <c r="BM316" s="470">
        <f t="shared" si="608"/>
        <v>0</v>
      </c>
      <c r="BN316" s="886">
        <f t="shared" si="608"/>
        <v>176</v>
      </c>
      <c r="BO316" s="84">
        <f t="shared" ref="BO316:BT316" si="609">SUM(BO311:BO315)</f>
        <v>0</v>
      </c>
      <c r="BP316" s="470">
        <f t="shared" si="609"/>
        <v>0</v>
      </c>
      <c r="BQ316" s="470">
        <f t="shared" si="609"/>
        <v>0</v>
      </c>
      <c r="BR316" s="470">
        <f t="shared" si="609"/>
        <v>0</v>
      </c>
      <c r="BS316" s="886">
        <f t="shared" si="609"/>
        <v>180</v>
      </c>
      <c r="BT316" s="479">
        <f t="shared" si="609"/>
        <v>0</v>
      </c>
      <c r="BU316" s="84"/>
      <c r="BV316" s="84"/>
      <c r="BW316" s="84"/>
      <c r="BX316" s="886"/>
      <c r="BY316" s="84"/>
      <c r="BZ316" s="84"/>
      <c r="CA316" s="84"/>
      <c r="CB316" s="84"/>
      <c r="CC316" s="886"/>
      <c r="CD316" s="886"/>
      <c r="CE316" s="886"/>
      <c r="CF316" s="886"/>
      <c r="CG316" s="22"/>
    </row>
    <row r="317" spans="1:85" s="429" customFormat="1" ht="7.5" hidden="1" customHeight="1" outlineLevel="1" x14ac:dyDescent="0.3">
      <c r="A317" s="48"/>
      <c r="B317" s="63"/>
      <c r="C317" s="825"/>
      <c r="D317" s="825"/>
      <c r="E317" s="825"/>
      <c r="F317" s="825"/>
      <c r="G317" s="31"/>
      <c r="H317" s="31"/>
      <c r="I317" s="31"/>
      <c r="J317" s="31"/>
      <c r="K317" s="825"/>
      <c r="L317" s="31"/>
      <c r="M317" s="31"/>
      <c r="N317" s="31"/>
      <c r="O317" s="31"/>
      <c r="P317" s="825"/>
      <c r="Q317" s="31"/>
      <c r="R317" s="31"/>
      <c r="S317" s="31"/>
      <c r="T317" s="31"/>
      <c r="U317" s="825"/>
      <c r="V317" s="31"/>
      <c r="W317" s="31"/>
      <c r="X317" s="31"/>
      <c r="Y317" s="31"/>
      <c r="Z317" s="825"/>
      <c r="AA317" s="31"/>
      <c r="AB317" s="31"/>
      <c r="AC317" s="31"/>
      <c r="AD317" s="31"/>
      <c r="AE317" s="825"/>
      <c r="AF317" s="31"/>
      <c r="AG317" s="31"/>
      <c r="AH317" s="31"/>
      <c r="AI317" s="31"/>
      <c r="AJ317" s="825"/>
      <c r="AK317" s="31"/>
      <c r="AL317" s="31"/>
      <c r="AM317" s="31"/>
      <c r="AN317" s="31"/>
      <c r="AO317" s="825"/>
      <c r="AP317" s="31"/>
      <c r="AQ317" s="31"/>
      <c r="AR317" s="31"/>
      <c r="AS317" s="31"/>
      <c r="AT317" s="825"/>
      <c r="AU317" s="31"/>
      <c r="AV317" s="31"/>
      <c r="AW317" s="31"/>
      <c r="AX317" s="31"/>
      <c r="AY317" s="825"/>
      <c r="AZ317" s="31"/>
      <c r="BA317" s="31"/>
      <c r="BB317" s="31"/>
      <c r="BC317" s="31"/>
      <c r="BD317" s="825"/>
      <c r="BE317" s="31"/>
      <c r="BF317" s="31"/>
      <c r="BG317" s="31"/>
      <c r="BH317" s="31"/>
      <c r="BI317" s="825"/>
      <c r="BJ317" s="31"/>
      <c r="BK317" s="31"/>
      <c r="BL317" s="31"/>
      <c r="BM317" s="31"/>
      <c r="BN317" s="825"/>
      <c r="BO317" s="31"/>
      <c r="BP317" s="31"/>
      <c r="BQ317" s="31"/>
      <c r="BR317" s="31"/>
      <c r="BS317" s="825"/>
      <c r="BT317" s="379"/>
      <c r="BU317" s="31"/>
      <c r="BV317" s="31"/>
      <c r="BW317" s="31"/>
      <c r="BX317" s="825"/>
      <c r="BY317" s="31"/>
      <c r="BZ317" s="31"/>
      <c r="CA317" s="31"/>
      <c r="CB317" s="31"/>
      <c r="CC317" s="825"/>
      <c r="CD317" s="825"/>
      <c r="CE317" s="825"/>
      <c r="CF317" s="825"/>
      <c r="CG317" s="26"/>
    </row>
    <row r="318" spans="1:85" s="428" customFormat="1" hidden="1" outlineLevel="1" x14ac:dyDescent="0.3">
      <c r="A318" s="40" t="s">
        <v>501</v>
      </c>
      <c r="B318" s="64"/>
      <c r="C318" s="821"/>
      <c r="D318" s="821"/>
      <c r="E318" s="827">
        <v>508</v>
      </c>
      <c r="F318" s="827">
        <v>479</v>
      </c>
      <c r="G318" s="37"/>
      <c r="H318" s="37"/>
      <c r="I318" s="37"/>
      <c r="J318" s="37"/>
      <c r="K318" s="827">
        <v>477</v>
      </c>
      <c r="L318" s="37"/>
      <c r="M318" s="37"/>
      <c r="N318" s="37"/>
      <c r="O318" s="37"/>
      <c r="P318" s="827">
        <v>500</v>
      </c>
      <c r="Q318" s="37"/>
      <c r="R318" s="37"/>
      <c r="S318" s="37"/>
      <c r="T318" s="37"/>
      <c r="U318" s="827">
        <v>533</v>
      </c>
      <c r="V318" s="37"/>
      <c r="W318" s="37"/>
      <c r="X318" s="37"/>
      <c r="Y318" s="37"/>
      <c r="Z318" s="827">
        <v>552</v>
      </c>
      <c r="AA318" s="37"/>
      <c r="AB318" s="37"/>
      <c r="AC318" s="37"/>
      <c r="AD318" s="37"/>
      <c r="AE318" s="827">
        <v>532</v>
      </c>
      <c r="AF318" s="37"/>
      <c r="AG318" s="37"/>
      <c r="AH318" s="37"/>
      <c r="AI318" s="37"/>
      <c r="AJ318" s="827">
        <v>502</v>
      </c>
      <c r="AK318" s="37"/>
      <c r="AL318" s="37"/>
      <c r="AM318" s="37"/>
      <c r="AN318" s="37"/>
      <c r="AO318" s="852">
        <f>AO311+AO304</f>
        <v>483</v>
      </c>
      <c r="AP318" s="37"/>
      <c r="AQ318" s="37"/>
      <c r="AR318" s="37"/>
      <c r="AS318" s="37"/>
      <c r="AT318" s="852">
        <f>AT311+AT304</f>
        <v>442</v>
      </c>
      <c r="AU318" s="37"/>
      <c r="AV318" s="37"/>
      <c r="AW318" s="37"/>
      <c r="AX318" s="37"/>
      <c r="AY318" s="852">
        <f>AY311+AY304</f>
        <v>482</v>
      </c>
      <c r="AZ318" s="37"/>
      <c r="BA318" s="37"/>
      <c r="BB318" s="37"/>
      <c r="BC318" s="37"/>
      <c r="BD318" s="852">
        <f>BD311+BD304</f>
        <v>470</v>
      </c>
      <c r="BE318" s="37"/>
      <c r="BF318" s="37"/>
      <c r="BG318" s="37"/>
      <c r="BH318" s="37"/>
      <c r="BI318" s="821">
        <f>BI311+BI304</f>
        <v>477</v>
      </c>
      <c r="BJ318" s="37"/>
      <c r="BK318" s="37"/>
      <c r="BL318" s="37"/>
      <c r="BM318" s="37"/>
      <c r="BN318" s="827">
        <v>479</v>
      </c>
      <c r="BO318" s="37"/>
      <c r="BP318" s="37"/>
      <c r="BQ318" s="37"/>
      <c r="BR318" s="37"/>
      <c r="BS318" s="827">
        <v>488</v>
      </c>
      <c r="BT318" s="480"/>
      <c r="BU318" s="37"/>
      <c r="BV318" s="37"/>
      <c r="BW318" s="37"/>
      <c r="BX318" s="821"/>
      <c r="BY318" s="37"/>
      <c r="BZ318" s="37"/>
      <c r="CA318" s="37"/>
      <c r="CB318" s="37"/>
      <c r="CC318" s="821"/>
      <c r="CD318" s="821"/>
      <c r="CE318" s="821"/>
      <c r="CF318" s="821"/>
      <c r="CG318" s="22"/>
    </row>
    <row r="319" spans="1:85" s="428" customFormat="1" hidden="1" outlineLevel="1" x14ac:dyDescent="0.3">
      <c r="A319" s="40" t="s">
        <v>502</v>
      </c>
      <c r="B319" s="64"/>
      <c r="C319" s="821"/>
      <c r="D319" s="821"/>
      <c r="E319" s="827">
        <v>259</v>
      </c>
      <c r="F319" s="827">
        <v>260</v>
      </c>
      <c r="G319" s="37"/>
      <c r="H319" s="37"/>
      <c r="I319" s="37"/>
      <c r="J319" s="37"/>
      <c r="K319" s="827">
        <v>273</v>
      </c>
      <c r="L319" s="37"/>
      <c r="M319" s="37"/>
      <c r="N319" s="37"/>
      <c r="O319" s="37"/>
      <c r="P319" s="827">
        <v>281</v>
      </c>
      <c r="Q319" s="37"/>
      <c r="R319" s="37"/>
      <c r="S319" s="37"/>
      <c r="T319" s="37"/>
      <c r="U319" s="827">
        <v>310</v>
      </c>
      <c r="V319" s="37"/>
      <c r="W319" s="37"/>
      <c r="X319" s="37"/>
      <c r="Y319" s="37"/>
      <c r="Z319" s="827">
        <v>298</v>
      </c>
      <c r="AA319" s="37"/>
      <c r="AB319" s="37"/>
      <c r="AC319" s="37"/>
      <c r="AD319" s="37"/>
      <c r="AE319" s="827">
        <v>279</v>
      </c>
      <c r="AF319" s="37"/>
      <c r="AG319" s="37"/>
      <c r="AH319" s="37"/>
      <c r="AI319" s="37"/>
      <c r="AJ319" s="827">
        <v>261</v>
      </c>
      <c r="AK319" s="37"/>
      <c r="AL319" s="37"/>
      <c r="AM319" s="37"/>
      <c r="AN319" s="37"/>
      <c r="AO319" s="852">
        <f>AO312+AO305</f>
        <v>240</v>
      </c>
      <c r="AP319" s="37"/>
      <c r="AQ319" s="37"/>
      <c r="AR319" s="37"/>
      <c r="AS319" s="37"/>
      <c r="AT319" s="852">
        <f>AT312+AT305</f>
        <v>256</v>
      </c>
      <c r="AU319" s="37"/>
      <c r="AV319" s="37"/>
      <c r="AW319" s="37"/>
      <c r="AX319" s="37"/>
      <c r="AY319" s="852">
        <f>AY312+AY305</f>
        <v>242</v>
      </c>
      <c r="AZ319" s="37"/>
      <c r="BA319" s="37"/>
      <c r="BB319" s="37"/>
      <c r="BC319" s="37"/>
      <c r="BD319" s="852">
        <f>BD312+BD305</f>
        <v>245</v>
      </c>
      <c r="BE319" s="37"/>
      <c r="BF319" s="37"/>
      <c r="BG319" s="37"/>
      <c r="BH319" s="37"/>
      <c r="BI319" s="821">
        <f>BI312+BI305</f>
        <v>260</v>
      </c>
      <c r="BJ319" s="37"/>
      <c r="BK319" s="37"/>
      <c r="BL319" s="37"/>
      <c r="BM319" s="37"/>
      <c r="BN319" s="827">
        <v>250</v>
      </c>
      <c r="BO319" s="37"/>
      <c r="BP319" s="37"/>
      <c r="BQ319" s="37"/>
      <c r="BR319" s="37"/>
      <c r="BS319" s="827">
        <v>271</v>
      </c>
      <c r="BT319" s="480"/>
      <c r="BU319" s="37"/>
      <c r="BV319" s="37"/>
      <c r="BW319" s="37"/>
      <c r="BX319" s="821"/>
      <c r="BY319" s="37"/>
      <c r="BZ319" s="37"/>
      <c r="CA319" s="37"/>
      <c r="CB319" s="37"/>
      <c r="CC319" s="821"/>
      <c r="CD319" s="821"/>
      <c r="CE319" s="821"/>
      <c r="CF319" s="821"/>
      <c r="CG319" s="22"/>
    </row>
    <row r="320" spans="1:85" s="428" customFormat="1" hidden="1" outlineLevel="1" x14ac:dyDescent="0.3">
      <c r="A320" s="40" t="s">
        <v>503</v>
      </c>
      <c r="B320" s="64"/>
      <c r="C320" s="821"/>
      <c r="D320" s="821"/>
      <c r="E320" s="827">
        <v>226</v>
      </c>
      <c r="F320" s="827">
        <v>216</v>
      </c>
      <c r="G320" s="37"/>
      <c r="H320" s="37"/>
      <c r="I320" s="37"/>
      <c r="J320" s="37"/>
      <c r="K320" s="827">
        <v>201</v>
      </c>
      <c r="L320" s="37"/>
      <c r="M320" s="37"/>
      <c r="N320" s="37"/>
      <c r="O320" s="37"/>
      <c r="P320" s="827">
        <v>221</v>
      </c>
      <c r="Q320" s="37"/>
      <c r="R320" s="37"/>
      <c r="S320" s="37"/>
      <c r="T320" s="37"/>
      <c r="U320" s="827">
        <v>224</v>
      </c>
      <c r="V320" s="37"/>
      <c r="W320" s="37"/>
      <c r="X320" s="37"/>
      <c r="Y320" s="37"/>
      <c r="Z320" s="827">
        <v>225</v>
      </c>
      <c r="AA320" s="37"/>
      <c r="AB320" s="37"/>
      <c r="AC320" s="37"/>
      <c r="AD320" s="37"/>
      <c r="AE320" s="827">
        <v>236</v>
      </c>
      <c r="AF320" s="37"/>
      <c r="AG320" s="37"/>
      <c r="AH320" s="37"/>
      <c r="AI320" s="37"/>
      <c r="AJ320" s="827">
        <v>249</v>
      </c>
      <c r="AK320" s="37"/>
      <c r="AL320" s="37"/>
      <c r="AM320" s="37"/>
      <c r="AN320" s="37"/>
      <c r="AO320" s="852">
        <f>AO313+AO306</f>
        <v>242</v>
      </c>
      <c r="AP320" s="37"/>
      <c r="AQ320" s="37"/>
      <c r="AR320" s="37"/>
      <c r="AS320" s="37"/>
      <c r="AT320" s="852">
        <f>AT313+AT306</f>
        <v>125</v>
      </c>
      <c r="AU320" s="37"/>
      <c r="AV320" s="37"/>
      <c r="AW320" s="37"/>
      <c r="AX320" s="37"/>
      <c r="AY320" s="852">
        <f>AY313+AY306</f>
        <v>171</v>
      </c>
      <c r="AZ320" s="37"/>
      <c r="BA320" s="37"/>
      <c r="BB320" s="37"/>
      <c r="BC320" s="37"/>
      <c r="BD320" s="852">
        <f>BD313+BD306</f>
        <v>212</v>
      </c>
      <c r="BE320" s="37"/>
      <c r="BF320" s="37"/>
      <c r="BG320" s="37"/>
      <c r="BH320" s="37"/>
      <c r="BI320" s="821">
        <f>BI313+BI306</f>
        <v>252</v>
      </c>
      <c r="BJ320" s="37"/>
      <c r="BK320" s="37"/>
      <c r="BL320" s="37"/>
      <c r="BM320" s="37"/>
      <c r="BN320" s="827">
        <v>246</v>
      </c>
      <c r="BO320" s="37"/>
      <c r="BP320" s="37"/>
      <c r="BQ320" s="37"/>
      <c r="BR320" s="37"/>
      <c r="BS320" s="827">
        <v>276</v>
      </c>
      <c r="BT320" s="480"/>
      <c r="BU320" s="37"/>
      <c r="BV320" s="37"/>
      <c r="BW320" s="37"/>
      <c r="BX320" s="821"/>
      <c r="BY320" s="37"/>
      <c r="BZ320" s="37"/>
      <c r="CA320" s="37"/>
      <c r="CB320" s="37"/>
      <c r="CC320" s="821"/>
      <c r="CD320" s="821"/>
      <c r="CE320" s="821"/>
      <c r="CF320" s="821"/>
      <c r="CG320" s="22"/>
    </row>
    <row r="321" spans="1:85" s="428" customFormat="1" hidden="1" outlineLevel="1" x14ac:dyDescent="0.3">
      <c r="A321" s="40" t="s">
        <v>504</v>
      </c>
      <c r="B321" s="64"/>
      <c r="C321" s="821"/>
      <c r="D321" s="821"/>
      <c r="E321" s="827">
        <v>52</v>
      </c>
      <c r="F321" s="827">
        <v>51</v>
      </c>
      <c r="G321" s="37"/>
      <c r="H321" s="37"/>
      <c r="I321" s="37"/>
      <c r="J321" s="37"/>
      <c r="K321" s="827">
        <v>75</v>
      </c>
      <c r="L321" s="37"/>
      <c r="M321" s="37"/>
      <c r="N321" s="37"/>
      <c r="O321" s="37"/>
      <c r="P321" s="827">
        <v>69</v>
      </c>
      <c r="Q321" s="37"/>
      <c r="R321" s="37"/>
      <c r="S321" s="37"/>
      <c r="T321" s="37"/>
      <c r="U321" s="827">
        <v>64</v>
      </c>
      <c r="V321" s="37"/>
      <c r="W321" s="37"/>
      <c r="X321" s="37"/>
      <c r="Y321" s="37"/>
      <c r="Z321" s="827">
        <v>65</v>
      </c>
      <c r="AA321" s="37"/>
      <c r="AB321" s="37"/>
      <c r="AC321" s="37"/>
      <c r="AD321" s="37"/>
      <c r="AE321" s="827">
        <v>59</v>
      </c>
      <c r="AF321" s="37"/>
      <c r="AG321" s="37"/>
      <c r="AH321" s="37"/>
      <c r="AI321" s="37"/>
      <c r="AJ321" s="827">
        <v>66</v>
      </c>
      <c r="AK321" s="37"/>
      <c r="AL321" s="37"/>
      <c r="AM321" s="37"/>
      <c r="AN321" s="37"/>
      <c r="AO321" s="852">
        <f>AO314+AO307</f>
        <v>51</v>
      </c>
      <c r="AP321" s="37"/>
      <c r="AQ321" s="37"/>
      <c r="AR321" s="37"/>
      <c r="AS321" s="37"/>
      <c r="AT321" s="852">
        <f>AT314+AT307</f>
        <v>15</v>
      </c>
      <c r="AU321" s="37"/>
      <c r="AV321" s="37"/>
      <c r="AW321" s="37"/>
      <c r="AX321" s="37"/>
      <c r="AY321" s="852">
        <f>AY314+AY307</f>
        <v>11</v>
      </c>
      <c r="AZ321" s="37"/>
      <c r="BA321" s="37"/>
      <c r="BB321" s="37"/>
      <c r="BC321" s="37"/>
      <c r="BD321" s="852">
        <f>BD314+BD307</f>
        <v>0</v>
      </c>
      <c r="BE321" s="37"/>
      <c r="BF321" s="37"/>
      <c r="BG321" s="37"/>
      <c r="BH321" s="37"/>
      <c r="BI321" s="821">
        <f>BI314+BI307</f>
        <v>0</v>
      </c>
      <c r="BJ321" s="37"/>
      <c r="BK321" s="37"/>
      <c r="BL321" s="37"/>
      <c r="BM321" s="37"/>
      <c r="BN321" s="827">
        <v>0</v>
      </c>
      <c r="BO321" s="37"/>
      <c r="BP321" s="37"/>
      <c r="BQ321" s="37"/>
      <c r="BR321" s="37"/>
      <c r="BS321" s="821"/>
      <c r="BT321" s="480"/>
      <c r="BU321" s="37"/>
      <c r="BV321" s="37"/>
      <c r="BW321" s="37"/>
      <c r="BX321" s="821"/>
      <c r="BY321" s="37"/>
      <c r="BZ321" s="37"/>
      <c r="CA321" s="37"/>
      <c r="CB321" s="37"/>
      <c r="CC321" s="821"/>
      <c r="CD321" s="821"/>
      <c r="CE321" s="821"/>
      <c r="CF321" s="821"/>
      <c r="CG321" s="22"/>
    </row>
    <row r="322" spans="1:85" s="428" customFormat="1" hidden="1" outlineLevel="1" x14ac:dyDescent="0.3">
      <c r="A322" s="40" t="s">
        <v>505</v>
      </c>
      <c r="B322" s="64"/>
      <c r="C322" s="821"/>
      <c r="D322" s="821"/>
      <c r="E322" s="827">
        <v>123</v>
      </c>
      <c r="F322" s="827">
        <v>127</v>
      </c>
      <c r="G322" s="37"/>
      <c r="H322" s="37"/>
      <c r="I322" s="37"/>
      <c r="J322" s="37"/>
      <c r="K322" s="827">
        <v>129</v>
      </c>
      <c r="L322" s="37"/>
      <c r="M322" s="37"/>
      <c r="N322" s="37"/>
      <c r="O322" s="37"/>
      <c r="P322" s="827">
        <v>145</v>
      </c>
      <c r="Q322" s="37"/>
      <c r="R322" s="37"/>
      <c r="S322" s="37"/>
      <c r="T322" s="37"/>
      <c r="U322" s="827">
        <v>165</v>
      </c>
      <c r="V322" s="37"/>
      <c r="W322" s="37"/>
      <c r="X322" s="37"/>
      <c r="Y322" s="37"/>
      <c r="Z322" s="827">
        <v>152</v>
      </c>
      <c r="AA322" s="37"/>
      <c r="AB322" s="37"/>
      <c r="AC322" s="37"/>
      <c r="AD322" s="37"/>
      <c r="AE322" s="827">
        <v>158</v>
      </c>
      <c r="AF322" s="37"/>
      <c r="AG322" s="37"/>
      <c r="AH322" s="37"/>
      <c r="AI322" s="37"/>
      <c r="AJ322" s="827">
        <v>160</v>
      </c>
      <c r="AK322" s="37"/>
      <c r="AL322" s="37"/>
      <c r="AM322" s="37"/>
      <c r="AN322" s="37"/>
      <c r="AO322" s="852">
        <f>AO315+AO308</f>
        <v>143</v>
      </c>
      <c r="AP322" s="37"/>
      <c r="AQ322" s="37"/>
      <c r="AR322" s="37"/>
      <c r="AS322" s="37"/>
      <c r="AT322" s="852">
        <f>AT315+AT308</f>
        <v>131</v>
      </c>
      <c r="AU322" s="37"/>
      <c r="AV322" s="37"/>
      <c r="AW322" s="37"/>
      <c r="AX322" s="37"/>
      <c r="AY322" s="852">
        <f>AY315+AY308</f>
        <v>151</v>
      </c>
      <c r="AZ322" s="37"/>
      <c r="BA322" s="37"/>
      <c r="BB322" s="37"/>
      <c r="BC322" s="37"/>
      <c r="BD322" s="852">
        <f>BD315+BD308</f>
        <v>140</v>
      </c>
      <c r="BE322" s="37"/>
      <c r="BF322" s="37"/>
      <c r="BG322" s="37"/>
      <c r="BH322" s="37"/>
      <c r="BI322" s="821">
        <f>BI315+BI308</f>
        <v>179</v>
      </c>
      <c r="BJ322" s="37"/>
      <c r="BK322" s="37"/>
      <c r="BL322" s="37"/>
      <c r="BM322" s="37"/>
      <c r="BN322" s="827">
        <v>179</v>
      </c>
      <c r="BO322" s="37"/>
      <c r="BP322" s="37"/>
      <c r="BQ322" s="37"/>
      <c r="BR322" s="37"/>
      <c r="BS322" s="827">
        <v>198</v>
      </c>
      <c r="BT322" s="480"/>
      <c r="BU322" s="37"/>
      <c r="BV322" s="37"/>
      <c r="BW322" s="37"/>
      <c r="BX322" s="821"/>
      <c r="BY322" s="37"/>
      <c r="BZ322" s="37"/>
      <c r="CA322" s="37"/>
      <c r="CB322" s="37"/>
      <c r="CC322" s="821"/>
      <c r="CD322" s="821"/>
      <c r="CE322" s="821"/>
      <c r="CF322" s="821"/>
      <c r="CG322" s="22"/>
    </row>
    <row r="323" spans="1:85" s="429" customFormat="1" hidden="1" outlineLevel="1" x14ac:dyDescent="0.3">
      <c r="A323" s="41" t="s">
        <v>166</v>
      </c>
      <c r="B323" s="90"/>
      <c r="C323" s="824">
        <f t="shared" ref="C323:AH323" si="610">SUM(C318:C322)</f>
        <v>0</v>
      </c>
      <c r="D323" s="824">
        <f t="shared" si="610"/>
        <v>0</v>
      </c>
      <c r="E323" s="824">
        <f t="shared" si="610"/>
        <v>1168</v>
      </c>
      <c r="F323" s="824">
        <f t="shared" si="610"/>
        <v>1133</v>
      </c>
      <c r="G323" s="394">
        <f t="shared" si="610"/>
        <v>0</v>
      </c>
      <c r="H323" s="394">
        <f t="shared" si="610"/>
        <v>0</v>
      </c>
      <c r="I323" s="394">
        <f t="shared" si="610"/>
        <v>0</v>
      </c>
      <c r="J323" s="394">
        <f t="shared" si="610"/>
        <v>0</v>
      </c>
      <c r="K323" s="824">
        <f t="shared" si="610"/>
        <v>1155</v>
      </c>
      <c r="L323" s="394">
        <f t="shared" si="610"/>
        <v>0</v>
      </c>
      <c r="M323" s="394">
        <f t="shared" si="610"/>
        <v>0</v>
      </c>
      <c r="N323" s="394">
        <f t="shared" si="610"/>
        <v>0</v>
      </c>
      <c r="O323" s="394">
        <f t="shared" si="610"/>
        <v>0</v>
      </c>
      <c r="P323" s="824">
        <f t="shared" si="610"/>
        <v>1216</v>
      </c>
      <c r="Q323" s="394">
        <f t="shared" si="610"/>
        <v>0</v>
      </c>
      <c r="R323" s="394">
        <f t="shared" si="610"/>
        <v>0</v>
      </c>
      <c r="S323" s="394">
        <f t="shared" si="610"/>
        <v>0</v>
      </c>
      <c r="T323" s="394">
        <f t="shared" si="610"/>
        <v>0</v>
      </c>
      <c r="U323" s="824">
        <f t="shared" si="610"/>
        <v>1296</v>
      </c>
      <c r="V323" s="394">
        <f t="shared" si="610"/>
        <v>0</v>
      </c>
      <c r="W323" s="394">
        <f t="shared" si="610"/>
        <v>0</v>
      </c>
      <c r="X323" s="394">
        <f t="shared" si="610"/>
        <v>0</v>
      </c>
      <c r="Y323" s="394">
        <f t="shared" si="610"/>
        <v>0</v>
      </c>
      <c r="Z323" s="824">
        <f t="shared" si="610"/>
        <v>1292</v>
      </c>
      <c r="AA323" s="393">
        <f t="shared" si="610"/>
        <v>0</v>
      </c>
      <c r="AB323" s="394">
        <f t="shared" si="610"/>
        <v>0</v>
      </c>
      <c r="AC323" s="394">
        <f t="shared" si="610"/>
        <v>0</v>
      </c>
      <c r="AD323" s="394">
        <f t="shared" si="610"/>
        <v>0</v>
      </c>
      <c r="AE323" s="824">
        <f t="shared" si="610"/>
        <v>1264</v>
      </c>
      <c r="AF323" s="393">
        <f t="shared" si="610"/>
        <v>0</v>
      </c>
      <c r="AG323" s="394">
        <f t="shared" si="610"/>
        <v>0</v>
      </c>
      <c r="AH323" s="394">
        <f t="shared" si="610"/>
        <v>0</v>
      </c>
      <c r="AI323" s="394">
        <f t="shared" ref="AI323:BN323" si="611">SUM(AI318:AI322)</f>
        <v>0</v>
      </c>
      <c r="AJ323" s="824">
        <f t="shared" si="611"/>
        <v>1238</v>
      </c>
      <c r="AK323" s="393">
        <f t="shared" si="611"/>
        <v>0</v>
      </c>
      <c r="AL323" s="394">
        <f t="shared" si="611"/>
        <v>0</v>
      </c>
      <c r="AM323" s="394">
        <f t="shared" si="611"/>
        <v>0</v>
      </c>
      <c r="AN323" s="394">
        <f t="shared" si="611"/>
        <v>0</v>
      </c>
      <c r="AO323" s="824">
        <f t="shared" si="611"/>
        <v>1159</v>
      </c>
      <c r="AP323" s="393">
        <f t="shared" si="611"/>
        <v>0</v>
      </c>
      <c r="AQ323" s="394">
        <f t="shared" si="611"/>
        <v>0</v>
      </c>
      <c r="AR323" s="394">
        <f t="shared" si="611"/>
        <v>0</v>
      </c>
      <c r="AS323" s="394">
        <f t="shared" si="611"/>
        <v>0</v>
      </c>
      <c r="AT323" s="824">
        <f t="shared" si="611"/>
        <v>969</v>
      </c>
      <c r="AU323" s="393">
        <f t="shared" si="611"/>
        <v>0</v>
      </c>
      <c r="AV323" s="394">
        <f t="shared" si="611"/>
        <v>0</v>
      </c>
      <c r="AW323" s="394">
        <f t="shared" si="611"/>
        <v>0</v>
      </c>
      <c r="AX323" s="394">
        <f t="shared" si="611"/>
        <v>0</v>
      </c>
      <c r="AY323" s="824">
        <f t="shared" si="611"/>
        <v>1057</v>
      </c>
      <c r="AZ323" s="393">
        <f t="shared" si="611"/>
        <v>0</v>
      </c>
      <c r="BA323" s="394">
        <f t="shared" si="611"/>
        <v>0</v>
      </c>
      <c r="BB323" s="394">
        <f t="shared" si="611"/>
        <v>0</v>
      </c>
      <c r="BC323" s="394">
        <f t="shared" si="611"/>
        <v>0</v>
      </c>
      <c r="BD323" s="824">
        <f t="shared" si="611"/>
        <v>1067</v>
      </c>
      <c r="BE323" s="393">
        <f t="shared" si="611"/>
        <v>0</v>
      </c>
      <c r="BF323" s="394">
        <f t="shared" si="611"/>
        <v>0</v>
      </c>
      <c r="BG323" s="394">
        <f t="shared" si="611"/>
        <v>0</v>
      </c>
      <c r="BH323" s="394">
        <f t="shared" si="611"/>
        <v>0</v>
      </c>
      <c r="BI323" s="823">
        <f t="shared" si="611"/>
        <v>1168</v>
      </c>
      <c r="BJ323" s="393">
        <f t="shared" si="611"/>
        <v>0</v>
      </c>
      <c r="BK323" s="394">
        <f t="shared" si="611"/>
        <v>0</v>
      </c>
      <c r="BL323" s="394">
        <f t="shared" si="611"/>
        <v>0</v>
      </c>
      <c r="BM323" s="394">
        <f t="shared" si="611"/>
        <v>0</v>
      </c>
      <c r="BN323" s="823">
        <f t="shared" si="611"/>
        <v>1154</v>
      </c>
      <c r="BO323" s="393">
        <f t="shared" ref="BO323:BT323" si="612">SUM(BO318:BO322)</f>
        <v>0</v>
      </c>
      <c r="BP323" s="394">
        <f t="shared" si="612"/>
        <v>0</v>
      </c>
      <c r="BQ323" s="394">
        <f t="shared" si="612"/>
        <v>0</v>
      </c>
      <c r="BR323" s="394">
        <f t="shared" si="612"/>
        <v>0</v>
      </c>
      <c r="BS323" s="823">
        <f t="shared" si="612"/>
        <v>1233</v>
      </c>
      <c r="BT323" s="641">
        <f t="shared" si="612"/>
        <v>0</v>
      </c>
      <c r="BU323" s="393"/>
      <c r="BV323" s="393"/>
      <c r="BW323" s="393"/>
      <c r="BX323" s="823"/>
      <c r="BY323" s="393"/>
      <c r="BZ323" s="393"/>
      <c r="CA323" s="393"/>
      <c r="CB323" s="393"/>
      <c r="CC323" s="823"/>
      <c r="CD323" s="823"/>
      <c r="CE323" s="823"/>
      <c r="CF323" s="823"/>
      <c r="CG323" s="26"/>
    </row>
    <row r="324" spans="1:85" s="429" customFormat="1" hidden="1" outlineLevel="1" x14ac:dyDescent="0.3">
      <c r="A324" s="48"/>
      <c r="B324" s="63"/>
      <c r="C324" s="825"/>
      <c r="D324" s="825"/>
      <c r="E324" s="825"/>
      <c r="F324" s="825"/>
      <c r="G324" s="31"/>
      <c r="H324" s="31"/>
      <c r="I324" s="31"/>
      <c r="J324" s="31"/>
      <c r="K324" s="825"/>
      <c r="L324" s="31"/>
      <c r="M324" s="31"/>
      <c r="N324" s="31"/>
      <c r="O324" s="31"/>
      <c r="P324" s="825"/>
      <c r="Q324" s="31"/>
      <c r="R324" s="31"/>
      <c r="S324" s="31"/>
      <c r="T324" s="31"/>
      <c r="U324" s="825"/>
      <c r="V324" s="31"/>
      <c r="W324" s="31"/>
      <c r="X324" s="31"/>
      <c r="Y324" s="31"/>
      <c r="Z324" s="825"/>
      <c r="AA324" s="31"/>
      <c r="AB324" s="31"/>
      <c r="AC324" s="31"/>
      <c r="AD324" s="31"/>
      <c r="AE324" s="825"/>
      <c r="AF324" s="31"/>
      <c r="AG324" s="31"/>
      <c r="AH324" s="31"/>
      <c r="AI324" s="31"/>
      <c r="AJ324" s="825"/>
      <c r="AK324" s="31"/>
      <c r="AL324" s="31"/>
      <c r="AM324" s="31"/>
      <c r="AN324" s="31"/>
      <c r="AO324" s="825"/>
      <c r="AP324" s="31"/>
      <c r="AQ324" s="31"/>
      <c r="AR324" s="31"/>
      <c r="AS324" s="31"/>
      <c r="AT324" s="825"/>
      <c r="AU324" s="31"/>
      <c r="AV324" s="31"/>
      <c r="AW324" s="31"/>
      <c r="AX324" s="31"/>
      <c r="AY324" s="825"/>
      <c r="AZ324" s="31"/>
      <c r="BA324" s="31"/>
      <c r="BB324" s="31"/>
      <c r="BC324" s="31"/>
      <c r="BD324" s="825"/>
      <c r="BE324" s="31"/>
      <c r="BF324" s="31"/>
      <c r="BG324" s="31"/>
      <c r="BH324" s="31"/>
      <c r="BI324" s="825"/>
      <c r="BJ324" s="31"/>
      <c r="BK324" s="31"/>
      <c r="BL324" s="31"/>
      <c r="BM324" s="31"/>
      <c r="BN324" s="825"/>
      <c r="BO324" s="31"/>
      <c r="BP324" s="31"/>
      <c r="BQ324" s="31"/>
      <c r="BR324" s="31"/>
      <c r="BS324" s="825"/>
      <c r="BT324" s="379"/>
      <c r="BU324" s="31"/>
      <c r="BV324" s="31"/>
      <c r="BW324" s="31"/>
      <c r="BX324" s="825"/>
      <c r="BY324" s="31"/>
      <c r="BZ324" s="31"/>
      <c r="CA324" s="31"/>
      <c r="CB324" s="31"/>
      <c r="CC324" s="825"/>
      <c r="CD324" s="825"/>
      <c r="CE324" s="825"/>
      <c r="CF324" s="825"/>
      <c r="CG324" s="26"/>
    </row>
    <row r="325" spans="1:85" s="428" customFormat="1" hidden="1" outlineLevel="1" x14ac:dyDescent="0.3">
      <c r="A325" s="40" t="s">
        <v>1619</v>
      </c>
      <c r="B325" s="64"/>
      <c r="C325" s="821"/>
      <c r="D325" s="821"/>
      <c r="E325" s="852">
        <f t="shared" ref="E325:BI325" si="613">E304*E$3/1000</f>
        <v>145.63499999999999</v>
      </c>
      <c r="F325" s="852">
        <f t="shared" si="613"/>
        <v>147.49799999999999</v>
      </c>
      <c r="G325" s="37"/>
      <c r="H325" s="37"/>
      <c r="I325" s="37"/>
      <c r="J325" s="37"/>
      <c r="K325" s="852">
        <f t="shared" si="613"/>
        <v>141.255</v>
      </c>
      <c r="L325" s="37"/>
      <c r="M325" s="37"/>
      <c r="N325" s="37"/>
      <c r="O325" s="37"/>
      <c r="P325" s="852">
        <f t="shared" si="613"/>
        <v>150.745</v>
      </c>
      <c r="Q325" s="37"/>
      <c r="R325" s="37"/>
      <c r="S325" s="37"/>
      <c r="T325" s="37"/>
      <c r="U325" s="852">
        <f t="shared" si="613"/>
        <v>160.23500000000001</v>
      </c>
      <c r="V325" s="37"/>
      <c r="W325" s="37"/>
      <c r="X325" s="37"/>
      <c r="Y325" s="37"/>
      <c r="Z325" s="852">
        <f t="shared" si="613"/>
        <v>164.7</v>
      </c>
      <c r="AA325" s="37"/>
      <c r="AB325" s="37"/>
      <c r="AC325" s="37"/>
      <c r="AD325" s="37"/>
      <c r="AE325" s="852">
        <f t="shared" si="613"/>
        <v>162.06</v>
      </c>
      <c r="AF325" s="37"/>
      <c r="AG325" s="37"/>
      <c r="AH325" s="37"/>
      <c r="AI325" s="37"/>
      <c r="AJ325" s="852">
        <f t="shared" si="613"/>
        <v>161.33000000000001</v>
      </c>
      <c r="AK325" s="37"/>
      <c r="AL325" s="37"/>
      <c r="AM325" s="37"/>
      <c r="AN325" s="37"/>
      <c r="AO325" s="852">
        <f t="shared" si="613"/>
        <v>163.52000000000001</v>
      </c>
      <c r="AP325" s="37"/>
      <c r="AQ325" s="37"/>
      <c r="AR325" s="37"/>
      <c r="AS325" s="37"/>
      <c r="AT325" s="852">
        <f t="shared" si="613"/>
        <v>146.4</v>
      </c>
      <c r="AU325" s="37"/>
      <c r="AV325" s="37"/>
      <c r="AW325" s="37"/>
      <c r="AX325" s="37"/>
      <c r="AY325" s="821">
        <f t="shared" si="613"/>
        <v>160.6</v>
      </c>
      <c r="AZ325" s="37"/>
      <c r="BA325" s="37"/>
      <c r="BB325" s="37"/>
      <c r="BC325" s="37"/>
      <c r="BD325" s="821">
        <f t="shared" si="613"/>
        <v>156.22</v>
      </c>
      <c r="BE325" s="37"/>
      <c r="BF325" s="37"/>
      <c r="BG325" s="37"/>
      <c r="BH325" s="37"/>
      <c r="BI325" s="821">
        <f t="shared" si="613"/>
        <v>159.505</v>
      </c>
      <c r="BJ325" s="37"/>
      <c r="BK325" s="37"/>
      <c r="BL325" s="37"/>
      <c r="BM325" s="37"/>
      <c r="BN325" s="821">
        <f t="shared" ref="BN325:BN330" si="614">BN304*BN$3/1000</f>
        <v>159.21</v>
      </c>
      <c r="BO325" s="37"/>
      <c r="BP325" s="37"/>
      <c r="BQ325" s="37"/>
      <c r="BR325" s="37"/>
      <c r="BS325" s="821">
        <f t="shared" ref="BS325:BS330" si="615">BS304*BS$3/1000</f>
        <v>162.06</v>
      </c>
      <c r="BT325" s="480"/>
      <c r="BU325" s="37"/>
      <c r="BV325" s="37"/>
      <c r="BW325" s="37"/>
      <c r="BX325" s="821"/>
      <c r="BY325" s="37"/>
      <c r="BZ325" s="37"/>
      <c r="CA325" s="37"/>
      <c r="CB325" s="37"/>
      <c r="CC325" s="821"/>
      <c r="CD325" s="821"/>
      <c r="CE325" s="821"/>
      <c r="CF325" s="821"/>
      <c r="CG325" s="22"/>
    </row>
    <row r="326" spans="1:85" s="428" customFormat="1" hidden="1" outlineLevel="1" x14ac:dyDescent="0.3">
      <c r="A326" s="40" t="s">
        <v>1620</v>
      </c>
      <c r="B326" s="64"/>
      <c r="C326" s="821"/>
      <c r="D326" s="821"/>
      <c r="E326" s="852">
        <f t="shared" ref="E326:BI326" si="616">E305*E$3/1000</f>
        <v>65.7</v>
      </c>
      <c r="F326" s="852">
        <f t="shared" si="616"/>
        <v>65.147999999999996</v>
      </c>
      <c r="G326" s="37"/>
      <c r="H326" s="37"/>
      <c r="I326" s="37"/>
      <c r="J326" s="37"/>
      <c r="K326" s="852">
        <f t="shared" si="616"/>
        <v>60.59</v>
      </c>
      <c r="L326" s="37"/>
      <c r="M326" s="37"/>
      <c r="N326" s="37"/>
      <c r="O326" s="37"/>
      <c r="P326" s="852">
        <f t="shared" si="616"/>
        <v>67.16</v>
      </c>
      <c r="Q326" s="37"/>
      <c r="R326" s="37"/>
      <c r="S326" s="37"/>
      <c r="T326" s="37"/>
      <c r="U326" s="852">
        <f t="shared" si="616"/>
        <v>74.825000000000003</v>
      </c>
      <c r="V326" s="37"/>
      <c r="W326" s="37"/>
      <c r="X326" s="37"/>
      <c r="Y326" s="37"/>
      <c r="Z326" s="852">
        <f t="shared" si="616"/>
        <v>68.808000000000007</v>
      </c>
      <c r="AA326" s="37"/>
      <c r="AB326" s="37"/>
      <c r="AC326" s="37"/>
      <c r="AD326" s="37"/>
      <c r="AE326" s="852">
        <f t="shared" si="616"/>
        <v>66.795000000000002</v>
      </c>
      <c r="AF326" s="37"/>
      <c r="AG326" s="37"/>
      <c r="AH326" s="37"/>
      <c r="AI326" s="37"/>
      <c r="AJ326" s="852">
        <f t="shared" si="616"/>
        <v>64.97</v>
      </c>
      <c r="AK326" s="37"/>
      <c r="AL326" s="37"/>
      <c r="AM326" s="37"/>
      <c r="AN326" s="37"/>
      <c r="AO326" s="852">
        <f t="shared" si="616"/>
        <v>68.254999999999995</v>
      </c>
      <c r="AP326" s="37"/>
      <c r="AQ326" s="37"/>
      <c r="AR326" s="37"/>
      <c r="AS326" s="37"/>
      <c r="AT326" s="852">
        <f t="shared" si="616"/>
        <v>69.540000000000006</v>
      </c>
      <c r="AU326" s="37"/>
      <c r="AV326" s="37"/>
      <c r="AW326" s="37"/>
      <c r="AX326" s="37"/>
      <c r="AY326" s="821">
        <f t="shared" si="616"/>
        <v>67.16</v>
      </c>
      <c r="AZ326" s="37"/>
      <c r="BA326" s="37"/>
      <c r="BB326" s="37"/>
      <c r="BC326" s="37"/>
      <c r="BD326" s="821">
        <f t="shared" si="616"/>
        <v>64.97</v>
      </c>
      <c r="BE326" s="37"/>
      <c r="BF326" s="37"/>
      <c r="BG326" s="37"/>
      <c r="BH326" s="37"/>
      <c r="BI326" s="821">
        <f t="shared" si="616"/>
        <v>73</v>
      </c>
      <c r="BJ326" s="37"/>
      <c r="BK326" s="37"/>
      <c r="BL326" s="37"/>
      <c r="BM326" s="37"/>
      <c r="BN326" s="821">
        <f t="shared" si="614"/>
        <v>67.343999999999994</v>
      </c>
      <c r="BO326" s="37"/>
      <c r="BP326" s="37"/>
      <c r="BQ326" s="37"/>
      <c r="BR326" s="37"/>
      <c r="BS326" s="821">
        <f t="shared" si="615"/>
        <v>74.094999999999999</v>
      </c>
      <c r="BT326" s="480"/>
      <c r="BU326" s="37"/>
      <c r="BV326" s="37"/>
      <c r="BW326" s="37"/>
      <c r="BX326" s="821"/>
      <c r="BY326" s="37"/>
      <c r="BZ326" s="37"/>
      <c r="CA326" s="37"/>
      <c r="CB326" s="37"/>
      <c r="CC326" s="821"/>
      <c r="CD326" s="821"/>
      <c r="CE326" s="821"/>
      <c r="CF326" s="821"/>
      <c r="CG326" s="22"/>
    </row>
    <row r="327" spans="1:85" s="428" customFormat="1" hidden="1" outlineLevel="1" x14ac:dyDescent="0.3">
      <c r="A327" s="40" t="s">
        <v>1621</v>
      </c>
      <c r="B327" s="64"/>
      <c r="C327" s="821"/>
      <c r="D327" s="821"/>
      <c r="E327" s="852">
        <f t="shared" ref="E327:BI327" si="617">E306*E$3/1000</f>
        <v>71.905000000000001</v>
      </c>
      <c r="F327" s="852">
        <f t="shared" si="617"/>
        <v>70.272000000000006</v>
      </c>
      <c r="G327" s="37"/>
      <c r="H327" s="37"/>
      <c r="I327" s="37"/>
      <c r="J327" s="37"/>
      <c r="K327" s="852">
        <f t="shared" si="617"/>
        <v>62.78</v>
      </c>
      <c r="L327" s="37"/>
      <c r="M327" s="37"/>
      <c r="N327" s="37"/>
      <c r="O327" s="37"/>
      <c r="P327" s="852">
        <f t="shared" si="617"/>
        <v>71.540000000000006</v>
      </c>
      <c r="Q327" s="37"/>
      <c r="R327" s="37"/>
      <c r="S327" s="37"/>
      <c r="T327" s="37"/>
      <c r="U327" s="852">
        <f t="shared" si="617"/>
        <v>71.905000000000001</v>
      </c>
      <c r="V327" s="37"/>
      <c r="W327" s="37"/>
      <c r="X327" s="37"/>
      <c r="Y327" s="37"/>
      <c r="Z327" s="852">
        <f t="shared" si="617"/>
        <v>72.102000000000004</v>
      </c>
      <c r="AA327" s="37"/>
      <c r="AB327" s="37"/>
      <c r="AC327" s="37"/>
      <c r="AD327" s="37"/>
      <c r="AE327" s="852">
        <f t="shared" si="617"/>
        <v>76.650000000000006</v>
      </c>
      <c r="AF327" s="37"/>
      <c r="AG327" s="37"/>
      <c r="AH327" s="37"/>
      <c r="AI327" s="37"/>
      <c r="AJ327" s="852">
        <f t="shared" si="617"/>
        <v>83.584999999999994</v>
      </c>
      <c r="AK327" s="37"/>
      <c r="AL327" s="37"/>
      <c r="AM327" s="37"/>
      <c r="AN327" s="37"/>
      <c r="AO327" s="852">
        <f t="shared" si="617"/>
        <v>83.95</v>
      </c>
      <c r="AP327" s="37"/>
      <c r="AQ327" s="37"/>
      <c r="AR327" s="37"/>
      <c r="AS327" s="37"/>
      <c r="AT327" s="852">
        <f t="shared" si="617"/>
        <v>43.92</v>
      </c>
      <c r="AU327" s="37"/>
      <c r="AV327" s="37"/>
      <c r="AW327" s="37"/>
      <c r="AX327" s="37"/>
      <c r="AY327" s="821">
        <f t="shared" si="617"/>
        <v>61.32</v>
      </c>
      <c r="AZ327" s="37"/>
      <c r="BA327" s="37"/>
      <c r="BB327" s="37"/>
      <c r="BC327" s="37"/>
      <c r="BD327" s="821">
        <f t="shared" si="617"/>
        <v>73.364999999999995</v>
      </c>
      <c r="BE327" s="37"/>
      <c r="BF327" s="37"/>
      <c r="BG327" s="37"/>
      <c r="BH327" s="37"/>
      <c r="BI327" s="821">
        <f t="shared" si="617"/>
        <v>85.41</v>
      </c>
      <c r="BJ327" s="37"/>
      <c r="BK327" s="37"/>
      <c r="BL327" s="37"/>
      <c r="BM327" s="37"/>
      <c r="BN327" s="821">
        <f t="shared" si="614"/>
        <v>83.447999999999993</v>
      </c>
      <c r="BO327" s="37"/>
      <c r="BP327" s="37"/>
      <c r="BQ327" s="37"/>
      <c r="BR327" s="37"/>
      <c r="BS327" s="821">
        <f t="shared" si="615"/>
        <v>94.17</v>
      </c>
      <c r="BT327" s="480"/>
      <c r="BU327" s="37"/>
      <c r="BV327" s="37"/>
      <c r="BW327" s="37"/>
      <c r="BX327" s="821"/>
      <c r="BY327" s="37"/>
      <c r="BZ327" s="37"/>
      <c r="CA327" s="37"/>
      <c r="CB327" s="37"/>
      <c r="CC327" s="821"/>
      <c r="CD327" s="821"/>
      <c r="CE327" s="821"/>
      <c r="CF327" s="821"/>
      <c r="CG327" s="22"/>
    </row>
    <row r="328" spans="1:85" s="428" customFormat="1" hidden="1" outlineLevel="1" x14ac:dyDescent="0.3">
      <c r="A328" s="40" t="s">
        <v>1622</v>
      </c>
      <c r="B328" s="64"/>
      <c r="C328" s="821"/>
      <c r="D328" s="821"/>
      <c r="E328" s="852">
        <f t="shared" ref="E328:BI328" si="618">E307*E$3/1000</f>
        <v>10.220000000000001</v>
      </c>
      <c r="F328" s="852">
        <f t="shared" si="618"/>
        <v>10.98</v>
      </c>
      <c r="G328" s="37"/>
      <c r="H328" s="37"/>
      <c r="I328" s="37"/>
      <c r="J328" s="37"/>
      <c r="K328" s="852">
        <f t="shared" si="618"/>
        <v>16.79</v>
      </c>
      <c r="L328" s="37"/>
      <c r="M328" s="37"/>
      <c r="N328" s="37"/>
      <c r="O328" s="37"/>
      <c r="P328" s="852">
        <f t="shared" si="618"/>
        <v>15.695</v>
      </c>
      <c r="Q328" s="37"/>
      <c r="R328" s="37"/>
      <c r="S328" s="37"/>
      <c r="T328" s="37"/>
      <c r="U328" s="852">
        <f t="shared" si="618"/>
        <v>13.87</v>
      </c>
      <c r="V328" s="37"/>
      <c r="W328" s="37"/>
      <c r="X328" s="37"/>
      <c r="Y328" s="37"/>
      <c r="Z328" s="852">
        <f t="shared" si="618"/>
        <v>12.444000000000001</v>
      </c>
      <c r="AA328" s="37"/>
      <c r="AB328" s="37"/>
      <c r="AC328" s="37"/>
      <c r="AD328" s="37"/>
      <c r="AE328" s="852">
        <f t="shared" si="618"/>
        <v>11.315</v>
      </c>
      <c r="AF328" s="37"/>
      <c r="AG328" s="37"/>
      <c r="AH328" s="37"/>
      <c r="AI328" s="37"/>
      <c r="AJ328" s="852">
        <f t="shared" si="618"/>
        <v>15.33</v>
      </c>
      <c r="AK328" s="37"/>
      <c r="AL328" s="37"/>
      <c r="AM328" s="37"/>
      <c r="AN328" s="37"/>
      <c r="AO328" s="852">
        <f t="shared" si="618"/>
        <v>13.87</v>
      </c>
      <c r="AP328" s="37"/>
      <c r="AQ328" s="37"/>
      <c r="AR328" s="37"/>
      <c r="AS328" s="37"/>
      <c r="AT328" s="852">
        <f t="shared" si="618"/>
        <v>2.9279999999999999</v>
      </c>
      <c r="AU328" s="37"/>
      <c r="AV328" s="37"/>
      <c r="AW328" s="37"/>
      <c r="AX328" s="37"/>
      <c r="AY328" s="821">
        <f t="shared" si="618"/>
        <v>1.825</v>
      </c>
      <c r="AZ328" s="37"/>
      <c r="BA328" s="37"/>
      <c r="BB328" s="37"/>
      <c r="BC328" s="37"/>
      <c r="BD328" s="821">
        <f t="shared" si="618"/>
        <v>0</v>
      </c>
      <c r="BE328" s="37"/>
      <c r="BF328" s="37"/>
      <c r="BG328" s="37"/>
      <c r="BH328" s="37"/>
      <c r="BI328" s="821">
        <f t="shared" si="618"/>
        <v>0</v>
      </c>
      <c r="BJ328" s="37"/>
      <c r="BK328" s="37"/>
      <c r="BL328" s="37"/>
      <c r="BM328" s="37"/>
      <c r="BN328" s="821">
        <f t="shared" si="614"/>
        <v>0</v>
      </c>
      <c r="BO328" s="37"/>
      <c r="BP328" s="37"/>
      <c r="BQ328" s="37"/>
      <c r="BR328" s="37"/>
      <c r="BS328" s="821">
        <f t="shared" si="615"/>
        <v>0</v>
      </c>
      <c r="BT328" s="480"/>
      <c r="BU328" s="37"/>
      <c r="BV328" s="37"/>
      <c r="BW328" s="37"/>
      <c r="BX328" s="821"/>
      <c r="BY328" s="37"/>
      <c r="BZ328" s="37"/>
      <c r="CA328" s="37"/>
      <c r="CB328" s="37"/>
      <c r="CC328" s="821"/>
      <c r="CD328" s="821"/>
      <c r="CE328" s="821"/>
      <c r="CF328" s="821"/>
      <c r="CG328" s="22"/>
    </row>
    <row r="329" spans="1:85" s="428" customFormat="1" hidden="1" outlineLevel="1" x14ac:dyDescent="0.3">
      <c r="A329" s="40" t="s">
        <v>1623</v>
      </c>
      <c r="B329" s="64"/>
      <c r="C329" s="821"/>
      <c r="D329" s="821"/>
      <c r="E329" s="852">
        <f t="shared" ref="E329:BI329" si="619">E308*E$3/1000</f>
        <v>41.244999999999997</v>
      </c>
      <c r="F329" s="852">
        <f t="shared" si="619"/>
        <v>37.698</v>
      </c>
      <c r="G329" s="37"/>
      <c r="H329" s="37"/>
      <c r="I329" s="37"/>
      <c r="J329" s="37"/>
      <c r="K329" s="852">
        <f t="shared" si="619"/>
        <v>35.405000000000001</v>
      </c>
      <c r="L329" s="37"/>
      <c r="M329" s="37"/>
      <c r="N329" s="37"/>
      <c r="O329" s="37"/>
      <c r="P329" s="852">
        <f t="shared" si="619"/>
        <v>41.975000000000001</v>
      </c>
      <c r="Q329" s="37"/>
      <c r="R329" s="37"/>
      <c r="S329" s="37"/>
      <c r="T329" s="37"/>
      <c r="U329" s="852">
        <f t="shared" si="619"/>
        <v>46.354999999999997</v>
      </c>
      <c r="V329" s="37"/>
      <c r="W329" s="37"/>
      <c r="X329" s="37"/>
      <c r="Y329" s="37"/>
      <c r="Z329" s="852">
        <f t="shared" si="619"/>
        <v>43.92</v>
      </c>
      <c r="AA329" s="37"/>
      <c r="AB329" s="37"/>
      <c r="AC329" s="37"/>
      <c r="AD329" s="37"/>
      <c r="AE329" s="852">
        <f t="shared" si="619"/>
        <v>46.72</v>
      </c>
      <c r="AF329" s="37"/>
      <c r="AG329" s="37"/>
      <c r="AH329" s="37"/>
      <c r="AI329" s="37"/>
      <c r="AJ329" s="852">
        <f t="shared" si="619"/>
        <v>48.545000000000002</v>
      </c>
      <c r="AK329" s="37"/>
      <c r="AL329" s="37"/>
      <c r="AM329" s="37"/>
      <c r="AN329" s="37"/>
      <c r="AO329" s="852">
        <f t="shared" si="619"/>
        <v>44.164999999999999</v>
      </c>
      <c r="AP329" s="37"/>
      <c r="AQ329" s="37"/>
      <c r="AR329" s="37"/>
      <c r="AS329" s="37"/>
      <c r="AT329" s="852">
        <f t="shared" si="619"/>
        <v>37.698</v>
      </c>
      <c r="AU329" s="37"/>
      <c r="AV329" s="37"/>
      <c r="AW329" s="37"/>
      <c r="AX329" s="37"/>
      <c r="AY329" s="821">
        <f t="shared" si="619"/>
        <v>44.895000000000003</v>
      </c>
      <c r="AZ329" s="37"/>
      <c r="BA329" s="37"/>
      <c r="BB329" s="37"/>
      <c r="BC329" s="37"/>
      <c r="BD329" s="821">
        <f t="shared" si="619"/>
        <v>37.229999999999997</v>
      </c>
      <c r="BE329" s="37"/>
      <c r="BF329" s="37"/>
      <c r="BG329" s="37"/>
      <c r="BH329" s="37"/>
      <c r="BI329" s="821">
        <f t="shared" si="619"/>
        <v>46.72</v>
      </c>
      <c r="BJ329" s="37"/>
      <c r="BK329" s="37"/>
      <c r="BL329" s="37"/>
      <c r="BM329" s="37"/>
      <c r="BN329" s="821">
        <f t="shared" si="614"/>
        <v>47.945999999999998</v>
      </c>
      <c r="BO329" s="37"/>
      <c r="BP329" s="37"/>
      <c r="BQ329" s="37"/>
      <c r="BR329" s="37"/>
      <c r="BS329" s="821">
        <f t="shared" si="615"/>
        <v>54.02</v>
      </c>
      <c r="BT329" s="480"/>
      <c r="BU329" s="37"/>
      <c r="BV329" s="37"/>
      <c r="BW329" s="37"/>
      <c r="BX329" s="821"/>
      <c r="BY329" s="37"/>
      <c r="BZ329" s="37"/>
      <c r="CA329" s="37"/>
      <c r="CB329" s="37"/>
      <c r="CC329" s="821"/>
      <c r="CD329" s="821"/>
      <c r="CE329" s="821"/>
      <c r="CF329" s="821"/>
      <c r="CG329" s="22"/>
    </row>
    <row r="330" spans="1:85" s="428" customFormat="1" hidden="1" outlineLevel="1" x14ac:dyDescent="0.3">
      <c r="A330" s="471" t="s">
        <v>1624</v>
      </c>
      <c r="B330" s="469"/>
      <c r="C330" s="886"/>
      <c r="D330" s="886"/>
      <c r="E330" s="888">
        <f t="shared" ref="E330:BI330" si="620">E309*E$3/1000</f>
        <v>334.70499999999998</v>
      </c>
      <c r="F330" s="888">
        <f t="shared" si="620"/>
        <v>331.596</v>
      </c>
      <c r="G330" s="84"/>
      <c r="H330" s="84"/>
      <c r="I330" s="84"/>
      <c r="J330" s="84"/>
      <c r="K330" s="888">
        <f t="shared" si="620"/>
        <v>316.82</v>
      </c>
      <c r="L330" s="84"/>
      <c r="M330" s="84"/>
      <c r="N330" s="84"/>
      <c r="O330" s="84"/>
      <c r="P330" s="888">
        <f t="shared" si="620"/>
        <v>347.11500000000001</v>
      </c>
      <c r="Q330" s="84"/>
      <c r="R330" s="84"/>
      <c r="S330" s="84"/>
      <c r="T330" s="84"/>
      <c r="U330" s="888">
        <f t="shared" si="620"/>
        <v>367.19</v>
      </c>
      <c r="V330" s="84"/>
      <c r="W330" s="84"/>
      <c r="X330" s="84"/>
      <c r="Y330" s="84"/>
      <c r="Z330" s="888">
        <f t="shared" si="620"/>
        <v>361.97399999999999</v>
      </c>
      <c r="AA330" s="84"/>
      <c r="AB330" s="84"/>
      <c r="AC330" s="84"/>
      <c r="AD330" s="84"/>
      <c r="AE330" s="888">
        <f t="shared" si="620"/>
        <v>363.54</v>
      </c>
      <c r="AF330" s="84"/>
      <c r="AG330" s="84"/>
      <c r="AH330" s="84"/>
      <c r="AI330" s="84"/>
      <c r="AJ330" s="888">
        <f t="shared" si="620"/>
        <v>373.76</v>
      </c>
      <c r="AK330" s="84"/>
      <c r="AL330" s="84"/>
      <c r="AM330" s="84"/>
      <c r="AN330" s="84"/>
      <c r="AO330" s="888">
        <f t="shared" si="620"/>
        <v>373.76</v>
      </c>
      <c r="AP330" s="84"/>
      <c r="AQ330" s="84"/>
      <c r="AR330" s="84"/>
      <c r="AS330" s="84"/>
      <c r="AT330" s="888">
        <f t="shared" si="620"/>
        <v>300.48599999999999</v>
      </c>
      <c r="AU330" s="84"/>
      <c r="AV330" s="84"/>
      <c r="AW330" s="84"/>
      <c r="AX330" s="84"/>
      <c r="AY330" s="888">
        <f t="shared" si="620"/>
        <v>335.8</v>
      </c>
      <c r="AZ330" s="84"/>
      <c r="BA330" s="84"/>
      <c r="BB330" s="84"/>
      <c r="BC330" s="84"/>
      <c r="BD330" s="888">
        <f t="shared" si="620"/>
        <v>331.78500000000003</v>
      </c>
      <c r="BE330" s="84"/>
      <c r="BF330" s="84"/>
      <c r="BG330" s="84"/>
      <c r="BH330" s="84"/>
      <c r="BI330" s="886">
        <f t="shared" si="620"/>
        <v>364.63499999999999</v>
      </c>
      <c r="BJ330" s="84"/>
      <c r="BK330" s="84"/>
      <c r="BL330" s="84"/>
      <c r="BM330" s="84"/>
      <c r="BN330" s="886">
        <f t="shared" si="614"/>
        <v>357.94799999999998</v>
      </c>
      <c r="BO330" s="84"/>
      <c r="BP330" s="84"/>
      <c r="BQ330" s="84"/>
      <c r="BR330" s="84"/>
      <c r="BS330" s="886">
        <f t="shared" si="615"/>
        <v>384.34500000000003</v>
      </c>
      <c r="BT330" s="479"/>
      <c r="BU330" s="84"/>
      <c r="BV330" s="84"/>
      <c r="BW330" s="84"/>
      <c r="BX330" s="886"/>
      <c r="BY330" s="84"/>
      <c r="BZ330" s="84"/>
      <c r="CA330" s="84"/>
      <c r="CB330" s="84"/>
      <c r="CC330" s="886"/>
      <c r="CD330" s="886"/>
      <c r="CE330" s="886"/>
      <c r="CF330" s="886"/>
      <c r="CG330" s="22"/>
    </row>
    <row r="331" spans="1:85" s="429" customFormat="1" ht="7.5" hidden="1" customHeight="1" outlineLevel="1" x14ac:dyDescent="0.3">
      <c r="A331" s="48"/>
      <c r="B331" s="63"/>
      <c r="C331" s="825"/>
      <c r="D331" s="825"/>
      <c r="E331" s="825"/>
      <c r="F331" s="825"/>
      <c r="G331" s="31"/>
      <c r="H331" s="31"/>
      <c r="I331" s="31"/>
      <c r="J331" s="31"/>
      <c r="K331" s="825"/>
      <c r="L331" s="31"/>
      <c r="M331" s="31"/>
      <c r="N331" s="31"/>
      <c r="O331" s="31"/>
      <c r="P331" s="825"/>
      <c r="Q331" s="31"/>
      <c r="R331" s="31"/>
      <c r="S331" s="31"/>
      <c r="T331" s="31"/>
      <c r="U331" s="825"/>
      <c r="V331" s="31"/>
      <c r="W331" s="31"/>
      <c r="X331" s="31"/>
      <c r="Y331" s="31"/>
      <c r="Z331" s="825"/>
      <c r="AA331" s="31"/>
      <c r="AB331" s="31"/>
      <c r="AC331" s="31"/>
      <c r="AD331" s="31"/>
      <c r="AE331" s="825"/>
      <c r="AF331" s="31"/>
      <c r="AG331" s="31"/>
      <c r="AH331" s="31"/>
      <c r="AI331" s="31"/>
      <c r="AJ331" s="825"/>
      <c r="AK331" s="31"/>
      <c r="AL331" s="31"/>
      <c r="AM331" s="31"/>
      <c r="AN331" s="31"/>
      <c r="AO331" s="825"/>
      <c r="AP331" s="31"/>
      <c r="AQ331" s="31"/>
      <c r="AR331" s="31"/>
      <c r="AS331" s="31"/>
      <c r="AT331" s="825"/>
      <c r="AU331" s="31"/>
      <c r="AV331" s="31"/>
      <c r="AW331" s="31"/>
      <c r="AX331" s="31"/>
      <c r="AY331" s="825"/>
      <c r="AZ331" s="31"/>
      <c r="BA331" s="31"/>
      <c r="BB331" s="31"/>
      <c r="BC331" s="31"/>
      <c r="BD331" s="825"/>
      <c r="BE331" s="31"/>
      <c r="BF331" s="31"/>
      <c r="BG331" s="31"/>
      <c r="BH331" s="31"/>
      <c r="BI331" s="825"/>
      <c r="BJ331" s="31"/>
      <c r="BK331" s="31"/>
      <c r="BL331" s="31"/>
      <c r="BM331" s="31"/>
      <c r="BN331" s="825"/>
      <c r="BO331" s="31"/>
      <c r="BP331" s="31"/>
      <c r="BQ331" s="31"/>
      <c r="BR331" s="31"/>
      <c r="BS331" s="825"/>
      <c r="BT331" s="379"/>
      <c r="BU331" s="31"/>
      <c r="BV331" s="31"/>
      <c r="BW331" s="31"/>
      <c r="BX331" s="825"/>
      <c r="BY331" s="31"/>
      <c r="BZ331" s="31"/>
      <c r="CA331" s="31"/>
      <c r="CB331" s="31"/>
      <c r="CC331" s="825"/>
      <c r="CD331" s="825"/>
      <c r="CE331" s="825"/>
      <c r="CF331" s="825"/>
      <c r="CG331" s="26"/>
    </row>
    <row r="332" spans="1:85" s="428" customFormat="1" hidden="1" outlineLevel="1" x14ac:dyDescent="0.3">
      <c r="A332" s="40" t="s">
        <v>1625</v>
      </c>
      <c r="B332" s="64"/>
      <c r="C332" s="821"/>
      <c r="D332" s="821"/>
      <c r="E332" s="852">
        <f t="shared" ref="E332:F337" si="621">E311*E$3/1000</f>
        <v>39.784999999999997</v>
      </c>
      <c r="F332" s="852">
        <f t="shared" si="621"/>
        <v>27.815999999999999</v>
      </c>
      <c r="G332" s="37"/>
      <c r="H332" s="37"/>
      <c r="I332" s="37"/>
      <c r="J332" s="37"/>
      <c r="K332" s="852">
        <f t="shared" ref="K332:K337" si="622">K311*K$3/1000</f>
        <v>32.85</v>
      </c>
      <c r="L332" s="37"/>
      <c r="M332" s="37"/>
      <c r="N332" s="37"/>
      <c r="O332" s="37"/>
      <c r="P332" s="852">
        <f t="shared" ref="P332:P337" si="623">P311*P$3/1000</f>
        <v>31.754999999999999</v>
      </c>
      <c r="Q332" s="37"/>
      <c r="R332" s="37"/>
      <c r="S332" s="37"/>
      <c r="T332" s="37"/>
      <c r="U332" s="852">
        <f t="shared" ref="U332:U337" si="624">U311*U$3/1000</f>
        <v>34.31</v>
      </c>
      <c r="V332" s="37"/>
      <c r="W332" s="37"/>
      <c r="X332" s="37"/>
      <c r="Y332" s="37"/>
      <c r="Z332" s="852">
        <f t="shared" ref="Z332:Z337" si="625">Z311*Z$3/1000</f>
        <v>37.332000000000001</v>
      </c>
      <c r="AA332" s="37"/>
      <c r="AB332" s="37"/>
      <c r="AC332" s="37"/>
      <c r="AD332" s="37"/>
      <c r="AE332" s="852">
        <f t="shared" ref="AE332:AE337" si="626">AE311*AE$3/1000</f>
        <v>32.119999999999997</v>
      </c>
      <c r="AF332" s="37"/>
      <c r="AG332" s="37"/>
      <c r="AH332" s="37"/>
      <c r="AI332" s="37"/>
      <c r="AJ332" s="852">
        <f t="shared" ref="AJ332:AJ337" si="627">AJ311*AJ$3/1000</f>
        <v>21.9</v>
      </c>
      <c r="AK332" s="37"/>
      <c r="AL332" s="37"/>
      <c r="AM332" s="37"/>
      <c r="AN332" s="37"/>
      <c r="AO332" s="852">
        <f t="shared" ref="AO332:AO337" si="628">AO311*AO$3/1000</f>
        <v>12.775</v>
      </c>
      <c r="AP332" s="37"/>
      <c r="AQ332" s="37"/>
      <c r="AR332" s="37"/>
      <c r="AS332" s="37"/>
      <c r="AT332" s="852">
        <f t="shared" ref="AT332:AT337" si="629">AT311*AT$3/1000</f>
        <v>15.372</v>
      </c>
      <c r="AU332" s="37"/>
      <c r="AV332" s="37"/>
      <c r="AW332" s="37"/>
      <c r="AX332" s="37"/>
      <c r="AY332" s="821">
        <f t="shared" ref="AY332:AY337" si="630">AY311*AY$3/1000</f>
        <v>15.33</v>
      </c>
      <c r="AZ332" s="37"/>
      <c r="BA332" s="37"/>
      <c r="BB332" s="37"/>
      <c r="BC332" s="37"/>
      <c r="BD332" s="821">
        <f t="shared" ref="BD332:BD337" si="631">BD311*BD$3/1000</f>
        <v>15.33</v>
      </c>
      <c r="BE332" s="37"/>
      <c r="BF332" s="37"/>
      <c r="BG332" s="37"/>
      <c r="BH332" s="37"/>
      <c r="BI332" s="821">
        <f t="shared" ref="BI332:BI337" si="632">BI311*BI$3/1000</f>
        <v>14.6</v>
      </c>
      <c r="BJ332" s="37"/>
      <c r="BK332" s="37"/>
      <c r="BL332" s="37"/>
      <c r="BM332" s="37"/>
      <c r="BN332" s="821">
        <f t="shared" ref="BN332:BN337" si="633">BN311*BN$3/1000</f>
        <v>16.103999999999999</v>
      </c>
      <c r="BO332" s="37"/>
      <c r="BP332" s="37"/>
      <c r="BQ332" s="37"/>
      <c r="BR332" s="37"/>
      <c r="BS332" s="821">
        <f t="shared" ref="BS332:BS337" si="634">BS311*BS$3/1000</f>
        <v>16.059999999999999</v>
      </c>
      <c r="BT332" s="480"/>
      <c r="BU332" s="37"/>
      <c r="BV332" s="37"/>
      <c r="BW332" s="37"/>
      <c r="BX332" s="821"/>
      <c r="BY332" s="37"/>
      <c r="BZ332" s="37"/>
      <c r="CA332" s="37"/>
      <c r="CB332" s="37"/>
      <c r="CC332" s="821"/>
      <c r="CD332" s="821"/>
      <c r="CE332" s="821"/>
      <c r="CF332" s="821"/>
      <c r="CG332" s="22"/>
    </row>
    <row r="333" spans="1:85" s="428" customFormat="1" hidden="1" outlineLevel="1" x14ac:dyDescent="0.3">
      <c r="A333" s="40" t="s">
        <v>1626</v>
      </c>
      <c r="B333" s="64"/>
      <c r="C333" s="821"/>
      <c r="D333" s="821"/>
      <c r="E333" s="852">
        <f t="shared" si="621"/>
        <v>28.835000000000001</v>
      </c>
      <c r="F333" s="852">
        <f t="shared" si="621"/>
        <v>30.012</v>
      </c>
      <c r="G333" s="37"/>
      <c r="H333" s="37"/>
      <c r="I333" s="37"/>
      <c r="J333" s="37"/>
      <c r="K333" s="852">
        <f t="shared" si="622"/>
        <v>39.055</v>
      </c>
      <c r="L333" s="37"/>
      <c r="M333" s="37"/>
      <c r="N333" s="37"/>
      <c r="O333" s="37"/>
      <c r="P333" s="852">
        <f t="shared" si="623"/>
        <v>35.405000000000001</v>
      </c>
      <c r="Q333" s="37"/>
      <c r="R333" s="37"/>
      <c r="S333" s="37"/>
      <c r="T333" s="37"/>
      <c r="U333" s="852">
        <f t="shared" si="624"/>
        <v>38.325000000000003</v>
      </c>
      <c r="V333" s="37"/>
      <c r="W333" s="37"/>
      <c r="X333" s="37"/>
      <c r="Y333" s="37"/>
      <c r="Z333" s="852">
        <f t="shared" si="625"/>
        <v>40.26</v>
      </c>
      <c r="AA333" s="37"/>
      <c r="AB333" s="37"/>
      <c r="AC333" s="37"/>
      <c r="AD333" s="37"/>
      <c r="AE333" s="852">
        <f t="shared" si="626"/>
        <v>35.04</v>
      </c>
      <c r="AF333" s="37"/>
      <c r="AG333" s="37"/>
      <c r="AH333" s="37"/>
      <c r="AI333" s="37"/>
      <c r="AJ333" s="852">
        <f t="shared" si="627"/>
        <v>30.295000000000002</v>
      </c>
      <c r="AK333" s="37"/>
      <c r="AL333" s="37"/>
      <c r="AM333" s="37"/>
      <c r="AN333" s="37"/>
      <c r="AO333" s="852">
        <f t="shared" si="628"/>
        <v>19.344999999999999</v>
      </c>
      <c r="AP333" s="37"/>
      <c r="AQ333" s="37"/>
      <c r="AR333" s="37"/>
      <c r="AS333" s="37"/>
      <c r="AT333" s="852">
        <f t="shared" si="629"/>
        <v>24.155999999999999</v>
      </c>
      <c r="AU333" s="37"/>
      <c r="AV333" s="37"/>
      <c r="AW333" s="37"/>
      <c r="AX333" s="37"/>
      <c r="AY333" s="821">
        <f t="shared" si="630"/>
        <v>21.17</v>
      </c>
      <c r="AZ333" s="37"/>
      <c r="BA333" s="37"/>
      <c r="BB333" s="37"/>
      <c r="BC333" s="37"/>
      <c r="BD333" s="821">
        <f t="shared" si="631"/>
        <v>24.454999999999998</v>
      </c>
      <c r="BE333" s="37"/>
      <c r="BF333" s="37"/>
      <c r="BG333" s="37"/>
      <c r="BH333" s="37"/>
      <c r="BI333" s="821">
        <f t="shared" si="632"/>
        <v>21.9</v>
      </c>
      <c r="BJ333" s="37"/>
      <c r="BK333" s="37"/>
      <c r="BL333" s="37"/>
      <c r="BM333" s="37"/>
      <c r="BN333" s="821">
        <f t="shared" si="633"/>
        <v>24.155999999999999</v>
      </c>
      <c r="BO333" s="37"/>
      <c r="BP333" s="37"/>
      <c r="BQ333" s="37"/>
      <c r="BR333" s="37"/>
      <c r="BS333" s="821">
        <f t="shared" si="634"/>
        <v>24.82</v>
      </c>
      <c r="BT333" s="480"/>
      <c r="BU333" s="37"/>
      <c r="BV333" s="37"/>
      <c r="BW333" s="37"/>
      <c r="BX333" s="821"/>
      <c r="BY333" s="37"/>
      <c r="BZ333" s="37"/>
      <c r="CA333" s="37"/>
      <c r="CB333" s="37"/>
      <c r="CC333" s="821"/>
      <c r="CD333" s="821"/>
      <c r="CE333" s="821"/>
      <c r="CF333" s="821"/>
      <c r="CG333" s="22"/>
    </row>
    <row r="334" spans="1:85" s="428" customFormat="1" hidden="1" outlineLevel="1" x14ac:dyDescent="0.3">
      <c r="A334" s="40" t="s">
        <v>1627</v>
      </c>
      <c r="B334" s="64"/>
      <c r="C334" s="821"/>
      <c r="D334" s="821"/>
      <c r="E334" s="852">
        <f t="shared" si="621"/>
        <v>10.585000000000001</v>
      </c>
      <c r="F334" s="852">
        <f t="shared" si="621"/>
        <v>8.7840000000000007</v>
      </c>
      <c r="G334" s="37"/>
      <c r="H334" s="37"/>
      <c r="I334" s="37"/>
      <c r="J334" s="37"/>
      <c r="K334" s="852">
        <f t="shared" si="622"/>
        <v>10.585000000000001</v>
      </c>
      <c r="L334" s="37"/>
      <c r="M334" s="37"/>
      <c r="N334" s="37"/>
      <c r="O334" s="37"/>
      <c r="P334" s="852">
        <f t="shared" si="623"/>
        <v>9.125</v>
      </c>
      <c r="Q334" s="37"/>
      <c r="R334" s="37"/>
      <c r="S334" s="37"/>
      <c r="T334" s="37"/>
      <c r="U334" s="852">
        <f t="shared" si="624"/>
        <v>9.8550000000000004</v>
      </c>
      <c r="V334" s="37"/>
      <c r="W334" s="37"/>
      <c r="X334" s="37"/>
      <c r="Y334" s="37"/>
      <c r="Z334" s="852">
        <f t="shared" si="625"/>
        <v>10.247999999999999</v>
      </c>
      <c r="AA334" s="37"/>
      <c r="AB334" s="37"/>
      <c r="AC334" s="37"/>
      <c r="AD334" s="37"/>
      <c r="AE334" s="852">
        <f t="shared" si="626"/>
        <v>9.49</v>
      </c>
      <c r="AF334" s="37"/>
      <c r="AG334" s="37"/>
      <c r="AH334" s="37"/>
      <c r="AI334" s="37"/>
      <c r="AJ334" s="852">
        <f t="shared" si="627"/>
        <v>7.3</v>
      </c>
      <c r="AK334" s="37"/>
      <c r="AL334" s="37"/>
      <c r="AM334" s="37"/>
      <c r="AN334" s="37"/>
      <c r="AO334" s="852">
        <f t="shared" si="628"/>
        <v>4.38</v>
      </c>
      <c r="AP334" s="37"/>
      <c r="AQ334" s="37"/>
      <c r="AR334" s="37"/>
      <c r="AS334" s="37"/>
      <c r="AT334" s="852">
        <f t="shared" si="629"/>
        <v>1.83</v>
      </c>
      <c r="AU334" s="37"/>
      <c r="AV334" s="37"/>
      <c r="AW334" s="37"/>
      <c r="AX334" s="37"/>
      <c r="AY334" s="821">
        <f t="shared" si="630"/>
        <v>1.095</v>
      </c>
      <c r="AZ334" s="37"/>
      <c r="BA334" s="37"/>
      <c r="BB334" s="37"/>
      <c r="BC334" s="37"/>
      <c r="BD334" s="821">
        <f t="shared" si="631"/>
        <v>4.0149999999999997</v>
      </c>
      <c r="BE334" s="37"/>
      <c r="BF334" s="37"/>
      <c r="BG334" s="37"/>
      <c r="BH334" s="37"/>
      <c r="BI334" s="821">
        <f t="shared" si="632"/>
        <v>6.57</v>
      </c>
      <c r="BJ334" s="37"/>
      <c r="BK334" s="37"/>
      <c r="BL334" s="37"/>
      <c r="BM334" s="37"/>
      <c r="BN334" s="821">
        <f t="shared" si="633"/>
        <v>6.5880000000000001</v>
      </c>
      <c r="BO334" s="37"/>
      <c r="BP334" s="37"/>
      <c r="BQ334" s="37"/>
      <c r="BR334" s="37"/>
      <c r="BS334" s="821">
        <f t="shared" si="634"/>
        <v>6.57</v>
      </c>
      <c r="BT334" s="480"/>
      <c r="BU334" s="37"/>
      <c r="BV334" s="37"/>
      <c r="BW334" s="37"/>
      <c r="BX334" s="821"/>
      <c r="BY334" s="37"/>
      <c r="BZ334" s="37"/>
      <c r="CA334" s="37"/>
      <c r="CB334" s="37"/>
      <c r="CC334" s="821"/>
      <c r="CD334" s="821"/>
      <c r="CE334" s="821"/>
      <c r="CF334" s="821"/>
      <c r="CG334" s="22"/>
    </row>
    <row r="335" spans="1:85" s="428" customFormat="1" hidden="1" outlineLevel="1" x14ac:dyDescent="0.3">
      <c r="A335" s="40" t="s">
        <v>1628</v>
      </c>
      <c r="B335" s="64"/>
      <c r="C335" s="821"/>
      <c r="D335" s="821"/>
      <c r="E335" s="852">
        <f t="shared" si="621"/>
        <v>8.76</v>
      </c>
      <c r="F335" s="852">
        <f t="shared" si="621"/>
        <v>7.6859999999999999</v>
      </c>
      <c r="G335" s="37"/>
      <c r="H335" s="37"/>
      <c r="I335" s="37"/>
      <c r="J335" s="37"/>
      <c r="K335" s="852">
        <f t="shared" si="622"/>
        <v>10.585000000000001</v>
      </c>
      <c r="L335" s="37"/>
      <c r="M335" s="37"/>
      <c r="N335" s="37"/>
      <c r="O335" s="37"/>
      <c r="P335" s="852">
        <f t="shared" si="623"/>
        <v>9.49</v>
      </c>
      <c r="Q335" s="37"/>
      <c r="R335" s="37"/>
      <c r="S335" s="37"/>
      <c r="T335" s="37"/>
      <c r="U335" s="852">
        <f t="shared" si="624"/>
        <v>9.49</v>
      </c>
      <c r="V335" s="37"/>
      <c r="W335" s="37"/>
      <c r="X335" s="37"/>
      <c r="Y335" s="37"/>
      <c r="Z335" s="852">
        <f t="shared" si="625"/>
        <v>11.346</v>
      </c>
      <c r="AA335" s="37"/>
      <c r="AB335" s="37"/>
      <c r="AC335" s="37"/>
      <c r="AD335" s="37"/>
      <c r="AE335" s="852">
        <f t="shared" si="626"/>
        <v>10.220000000000001</v>
      </c>
      <c r="AF335" s="37"/>
      <c r="AG335" s="37"/>
      <c r="AH335" s="37"/>
      <c r="AI335" s="37"/>
      <c r="AJ335" s="852">
        <f t="shared" si="627"/>
        <v>8.76</v>
      </c>
      <c r="AK335" s="37"/>
      <c r="AL335" s="37"/>
      <c r="AM335" s="37"/>
      <c r="AN335" s="37"/>
      <c r="AO335" s="852">
        <f t="shared" si="628"/>
        <v>4.7450000000000001</v>
      </c>
      <c r="AP335" s="37"/>
      <c r="AQ335" s="37"/>
      <c r="AR335" s="37"/>
      <c r="AS335" s="37"/>
      <c r="AT335" s="852">
        <f t="shared" si="629"/>
        <v>2.5619999999999998</v>
      </c>
      <c r="AU335" s="37"/>
      <c r="AV335" s="37"/>
      <c r="AW335" s="37"/>
      <c r="AX335" s="37"/>
      <c r="AY335" s="821">
        <f t="shared" si="630"/>
        <v>2.19</v>
      </c>
      <c r="AZ335" s="37"/>
      <c r="BA335" s="37"/>
      <c r="BB335" s="37"/>
      <c r="BC335" s="37"/>
      <c r="BD335" s="821">
        <f t="shared" si="631"/>
        <v>0</v>
      </c>
      <c r="BE335" s="37"/>
      <c r="BF335" s="37"/>
      <c r="BG335" s="37"/>
      <c r="BH335" s="37"/>
      <c r="BI335" s="821">
        <f t="shared" si="632"/>
        <v>0</v>
      </c>
      <c r="BJ335" s="37"/>
      <c r="BK335" s="37"/>
      <c r="BL335" s="37"/>
      <c r="BM335" s="37"/>
      <c r="BN335" s="821">
        <f t="shared" si="633"/>
        <v>0</v>
      </c>
      <c r="BO335" s="37"/>
      <c r="BP335" s="37"/>
      <c r="BQ335" s="37"/>
      <c r="BR335" s="37"/>
      <c r="BS335" s="821">
        <f t="shared" si="634"/>
        <v>0</v>
      </c>
      <c r="BT335" s="480"/>
      <c r="BU335" s="37"/>
      <c r="BV335" s="37"/>
      <c r="BW335" s="37"/>
      <c r="BX335" s="821"/>
      <c r="BY335" s="37"/>
      <c r="BZ335" s="37"/>
      <c r="CA335" s="37"/>
      <c r="CB335" s="37"/>
      <c r="CC335" s="821"/>
      <c r="CD335" s="821"/>
      <c r="CE335" s="821"/>
      <c r="CF335" s="821"/>
      <c r="CG335" s="22"/>
    </row>
    <row r="336" spans="1:85" s="428" customFormat="1" hidden="1" outlineLevel="1" x14ac:dyDescent="0.3">
      <c r="A336" s="40" t="s">
        <v>1629</v>
      </c>
      <c r="B336" s="64"/>
      <c r="C336" s="821"/>
      <c r="D336" s="821"/>
      <c r="E336" s="852">
        <f t="shared" si="621"/>
        <v>3.65</v>
      </c>
      <c r="F336" s="852">
        <f t="shared" si="621"/>
        <v>8.7840000000000007</v>
      </c>
      <c r="G336" s="37"/>
      <c r="H336" s="37"/>
      <c r="I336" s="37"/>
      <c r="J336" s="37"/>
      <c r="K336" s="852">
        <f t="shared" si="622"/>
        <v>11.68</v>
      </c>
      <c r="L336" s="37"/>
      <c r="M336" s="37"/>
      <c r="N336" s="37"/>
      <c r="O336" s="37"/>
      <c r="P336" s="852">
        <f t="shared" si="623"/>
        <v>10.95</v>
      </c>
      <c r="Q336" s="37"/>
      <c r="R336" s="37"/>
      <c r="S336" s="37"/>
      <c r="T336" s="37"/>
      <c r="U336" s="852">
        <f t="shared" si="624"/>
        <v>13.87</v>
      </c>
      <c r="V336" s="37"/>
      <c r="W336" s="37"/>
      <c r="X336" s="37"/>
      <c r="Y336" s="37"/>
      <c r="Z336" s="852">
        <f t="shared" si="625"/>
        <v>11.712</v>
      </c>
      <c r="AA336" s="37"/>
      <c r="AB336" s="37"/>
      <c r="AC336" s="37"/>
      <c r="AD336" s="37"/>
      <c r="AE336" s="852">
        <f t="shared" si="626"/>
        <v>10.95</v>
      </c>
      <c r="AF336" s="37"/>
      <c r="AG336" s="37"/>
      <c r="AH336" s="37"/>
      <c r="AI336" s="37"/>
      <c r="AJ336" s="852">
        <f t="shared" si="627"/>
        <v>9.8550000000000004</v>
      </c>
      <c r="AK336" s="37"/>
      <c r="AL336" s="37"/>
      <c r="AM336" s="37"/>
      <c r="AN336" s="37"/>
      <c r="AO336" s="852">
        <f t="shared" si="628"/>
        <v>8.0299999999999994</v>
      </c>
      <c r="AP336" s="37"/>
      <c r="AQ336" s="37"/>
      <c r="AR336" s="37"/>
      <c r="AS336" s="37"/>
      <c r="AT336" s="852">
        <f t="shared" si="629"/>
        <v>10.247999999999999</v>
      </c>
      <c r="AU336" s="37"/>
      <c r="AV336" s="37"/>
      <c r="AW336" s="37"/>
      <c r="AX336" s="37"/>
      <c r="AY336" s="821">
        <f t="shared" si="630"/>
        <v>10.220000000000001</v>
      </c>
      <c r="AZ336" s="37"/>
      <c r="BA336" s="37"/>
      <c r="BB336" s="37"/>
      <c r="BC336" s="37"/>
      <c r="BD336" s="821">
        <f t="shared" si="631"/>
        <v>13.87</v>
      </c>
      <c r="BE336" s="37"/>
      <c r="BF336" s="37"/>
      <c r="BG336" s="37"/>
      <c r="BH336" s="37"/>
      <c r="BI336" s="821">
        <f t="shared" si="632"/>
        <v>18.614999999999998</v>
      </c>
      <c r="BJ336" s="37"/>
      <c r="BK336" s="37"/>
      <c r="BL336" s="37"/>
      <c r="BM336" s="37"/>
      <c r="BN336" s="821">
        <f t="shared" si="633"/>
        <v>17.568000000000001</v>
      </c>
      <c r="BO336" s="37"/>
      <c r="BP336" s="37"/>
      <c r="BQ336" s="37"/>
      <c r="BR336" s="37"/>
      <c r="BS336" s="821">
        <f t="shared" si="634"/>
        <v>18.25</v>
      </c>
      <c r="BT336" s="480"/>
      <c r="BU336" s="37"/>
      <c r="BV336" s="37"/>
      <c r="BW336" s="37"/>
      <c r="BX336" s="821"/>
      <c r="BY336" s="37"/>
      <c r="BZ336" s="37"/>
      <c r="CA336" s="37"/>
      <c r="CB336" s="37"/>
      <c r="CC336" s="821"/>
      <c r="CD336" s="821"/>
      <c r="CE336" s="821"/>
      <c r="CF336" s="821"/>
      <c r="CG336" s="22"/>
    </row>
    <row r="337" spans="1:85" s="428" customFormat="1" hidden="1" outlineLevel="1" x14ac:dyDescent="0.3">
      <c r="A337" s="471" t="s">
        <v>1630</v>
      </c>
      <c r="B337" s="469"/>
      <c r="C337" s="886"/>
      <c r="D337" s="886"/>
      <c r="E337" s="888">
        <f t="shared" si="621"/>
        <v>91.614999999999995</v>
      </c>
      <c r="F337" s="888">
        <f t="shared" si="621"/>
        <v>83.081999999999994</v>
      </c>
      <c r="G337" s="470">
        <f t="shared" ref="G337:BH337" si="635">SUM(G332:G336)</f>
        <v>0</v>
      </c>
      <c r="H337" s="470">
        <f t="shared" si="635"/>
        <v>0</v>
      </c>
      <c r="I337" s="470">
        <f t="shared" si="635"/>
        <v>0</v>
      </c>
      <c r="J337" s="470">
        <f t="shared" si="635"/>
        <v>0</v>
      </c>
      <c r="K337" s="888">
        <f t="shared" si="622"/>
        <v>104.755</v>
      </c>
      <c r="L337" s="470">
        <f t="shared" si="635"/>
        <v>0</v>
      </c>
      <c r="M337" s="470">
        <f t="shared" si="635"/>
        <v>0</v>
      </c>
      <c r="N337" s="470">
        <f t="shared" si="635"/>
        <v>0</v>
      </c>
      <c r="O337" s="470">
        <f t="shared" si="635"/>
        <v>0</v>
      </c>
      <c r="P337" s="888">
        <f t="shared" si="623"/>
        <v>96.724999999999994</v>
      </c>
      <c r="Q337" s="470">
        <f t="shared" si="635"/>
        <v>0</v>
      </c>
      <c r="R337" s="470">
        <f t="shared" si="635"/>
        <v>0</v>
      </c>
      <c r="S337" s="470">
        <f t="shared" si="635"/>
        <v>0</v>
      </c>
      <c r="T337" s="470">
        <f t="shared" si="635"/>
        <v>0</v>
      </c>
      <c r="U337" s="888">
        <f t="shared" si="624"/>
        <v>105.85</v>
      </c>
      <c r="V337" s="470">
        <f t="shared" si="635"/>
        <v>0</v>
      </c>
      <c r="W337" s="470">
        <f t="shared" si="635"/>
        <v>0</v>
      </c>
      <c r="X337" s="470">
        <f t="shared" si="635"/>
        <v>0</v>
      </c>
      <c r="Y337" s="470">
        <f t="shared" si="635"/>
        <v>0</v>
      </c>
      <c r="Z337" s="888">
        <f t="shared" si="625"/>
        <v>110.898</v>
      </c>
      <c r="AA337" s="84">
        <f t="shared" si="635"/>
        <v>0</v>
      </c>
      <c r="AB337" s="470">
        <f t="shared" si="635"/>
        <v>0</v>
      </c>
      <c r="AC337" s="470">
        <f t="shared" si="635"/>
        <v>0</v>
      </c>
      <c r="AD337" s="470">
        <f t="shared" si="635"/>
        <v>0</v>
      </c>
      <c r="AE337" s="888">
        <f t="shared" si="626"/>
        <v>97.82</v>
      </c>
      <c r="AF337" s="84">
        <f t="shared" si="635"/>
        <v>0</v>
      </c>
      <c r="AG337" s="470">
        <f t="shared" si="635"/>
        <v>0</v>
      </c>
      <c r="AH337" s="470">
        <f t="shared" si="635"/>
        <v>0</v>
      </c>
      <c r="AI337" s="470">
        <f t="shared" si="635"/>
        <v>0</v>
      </c>
      <c r="AJ337" s="888">
        <f t="shared" si="627"/>
        <v>78.11</v>
      </c>
      <c r="AK337" s="84">
        <f t="shared" si="635"/>
        <v>0</v>
      </c>
      <c r="AL337" s="470">
        <f t="shared" si="635"/>
        <v>0</v>
      </c>
      <c r="AM337" s="470">
        <f t="shared" si="635"/>
        <v>0</v>
      </c>
      <c r="AN337" s="470">
        <f t="shared" si="635"/>
        <v>0</v>
      </c>
      <c r="AO337" s="888">
        <f t="shared" si="628"/>
        <v>49.274999999999999</v>
      </c>
      <c r="AP337" s="84">
        <f t="shared" si="635"/>
        <v>0</v>
      </c>
      <c r="AQ337" s="470">
        <f t="shared" si="635"/>
        <v>0</v>
      </c>
      <c r="AR337" s="470">
        <f t="shared" si="635"/>
        <v>0</v>
      </c>
      <c r="AS337" s="470">
        <f t="shared" si="635"/>
        <v>0</v>
      </c>
      <c r="AT337" s="888">
        <f t="shared" si="629"/>
        <v>54.167999999999999</v>
      </c>
      <c r="AU337" s="84">
        <f t="shared" si="635"/>
        <v>0</v>
      </c>
      <c r="AV337" s="470">
        <f t="shared" si="635"/>
        <v>0</v>
      </c>
      <c r="AW337" s="470">
        <f t="shared" si="635"/>
        <v>0</v>
      </c>
      <c r="AX337" s="470">
        <f t="shared" si="635"/>
        <v>0</v>
      </c>
      <c r="AY337" s="888">
        <f t="shared" si="630"/>
        <v>50.005000000000003</v>
      </c>
      <c r="AZ337" s="84">
        <f t="shared" si="635"/>
        <v>0</v>
      </c>
      <c r="BA337" s="470">
        <f t="shared" si="635"/>
        <v>0</v>
      </c>
      <c r="BB337" s="470">
        <f t="shared" si="635"/>
        <v>0</v>
      </c>
      <c r="BC337" s="470">
        <f t="shared" si="635"/>
        <v>0</v>
      </c>
      <c r="BD337" s="888">
        <f t="shared" si="631"/>
        <v>57.67</v>
      </c>
      <c r="BE337" s="84">
        <f t="shared" si="635"/>
        <v>0</v>
      </c>
      <c r="BF337" s="470">
        <f t="shared" si="635"/>
        <v>0</v>
      </c>
      <c r="BG337" s="470">
        <f t="shared" si="635"/>
        <v>0</v>
      </c>
      <c r="BH337" s="470">
        <f t="shared" si="635"/>
        <v>0</v>
      </c>
      <c r="BI337" s="886">
        <f t="shared" si="632"/>
        <v>61.685000000000002</v>
      </c>
      <c r="BJ337" s="84"/>
      <c r="BK337" s="84"/>
      <c r="BL337" s="84"/>
      <c r="BM337" s="84"/>
      <c r="BN337" s="886">
        <f t="shared" si="633"/>
        <v>64.415999999999997</v>
      </c>
      <c r="BO337" s="84"/>
      <c r="BP337" s="84"/>
      <c r="BQ337" s="84"/>
      <c r="BR337" s="84"/>
      <c r="BS337" s="886">
        <f t="shared" si="634"/>
        <v>65.7</v>
      </c>
      <c r="BT337" s="479"/>
      <c r="BU337" s="84"/>
      <c r="BV337" s="84"/>
      <c r="BW337" s="84"/>
      <c r="BX337" s="886"/>
      <c r="BY337" s="84"/>
      <c r="BZ337" s="84"/>
      <c r="CA337" s="84"/>
      <c r="CB337" s="84"/>
      <c r="CC337" s="886"/>
      <c r="CD337" s="886"/>
      <c r="CE337" s="886"/>
      <c r="CF337" s="886"/>
      <c r="CG337" s="22"/>
    </row>
    <row r="338" spans="1:85" s="429" customFormat="1" ht="7.5" hidden="1" customHeight="1" outlineLevel="1" x14ac:dyDescent="0.3">
      <c r="A338" s="48"/>
      <c r="B338" s="63"/>
      <c r="C338" s="825"/>
      <c r="D338" s="825"/>
      <c r="E338" s="825"/>
      <c r="F338" s="825"/>
      <c r="G338" s="31"/>
      <c r="H338" s="31"/>
      <c r="I338" s="31"/>
      <c r="J338" s="31"/>
      <c r="K338" s="825"/>
      <c r="L338" s="31"/>
      <c r="M338" s="31"/>
      <c r="N338" s="31"/>
      <c r="O338" s="31"/>
      <c r="P338" s="825"/>
      <c r="Q338" s="31"/>
      <c r="R338" s="31"/>
      <c r="S338" s="31"/>
      <c r="T338" s="31"/>
      <c r="U338" s="825"/>
      <c r="V338" s="31"/>
      <c r="W338" s="31"/>
      <c r="X338" s="31"/>
      <c r="Y338" s="31"/>
      <c r="Z338" s="825"/>
      <c r="AA338" s="31"/>
      <c r="AB338" s="31"/>
      <c r="AC338" s="31"/>
      <c r="AD338" s="31"/>
      <c r="AE338" s="825"/>
      <c r="AF338" s="31"/>
      <c r="AG338" s="31"/>
      <c r="AH338" s="31"/>
      <c r="AI338" s="31"/>
      <c r="AJ338" s="825"/>
      <c r="AK338" s="31"/>
      <c r="AL338" s="31"/>
      <c r="AM338" s="31"/>
      <c r="AN338" s="31"/>
      <c r="AO338" s="825"/>
      <c r="AP338" s="31"/>
      <c r="AQ338" s="31"/>
      <c r="AR338" s="31"/>
      <c r="AS338" s="31"/>
      <c r="AT338" s="825"/>
      <c r="AU338" s="31"/>
      <c r="AV338" s="31"/>
      <c r="AW338" s="31"/>
      <c r="AX338" s="31"/>
      <c r="AY338" s="825"/>
      <c r="AZ338" s="31"/>
      <c r="BA338" s="31"/>
      <c r="BB338" s="31"/>
      <c r="BC338" s="31"/>
      <c r="BD338" s="825"/>
      <c r="BE338" s="31"/>
      <c r="BF338" s="31"/>
      <c r="BG338" s="31"/>
      <c r="BH338" s="31"/>
      <c r="BI338" s="825"/>
      <c r="BJ338" s="31"/>
      <c r="BK338" s="31"/>
      <c r="BL338" s="31"/>
      <c r="BM338" s="31"/>
      <c r="BN338" s="825"/>
      <c r="BO338" s="31"/>
      <c r="BP338" s="31"/>
      <c r="BQ338" s="31"/>
      <c r="BR338" s="31"/>
      <c r="BS338" s="825"/>
      <c r="BT338" s="379"/>
      <c r="BU338" s="31"/>
      <c r="BV338" s="31"/>
      <c r="BW338" s="31"/>
      <c r="BX338" s="825"/>
      <c r="BY338" s="31"/>
      <c r="BZ338" s="31"/>
      <c r="CA338" s="31"/>
      <c r="CB338" s="31"/>
      <c r="CC338" s="825"/>
      <c r="CD338" s="825"/>
      <c r="CE338" s="825"/>
      <c r="CF338" s="825"/>
      <c r="CG338" s="26"/>
    </row>
    <row r="339" spans="1:85" s="428" customFormat="1" hidden="1" outlineLevel="1" x14ac:dyDescent="0.3">
      <c r="A339" s="40" t="s">
        <v>1631</v>
      </c>
      <c r="B339" s="64"/>
      <c r="C339" s="821"/>
      <c r="D339" s="821"/>
      <c r="E339" s="852">
        <f t="shared" ref="E339:F344" si="636">E318*E$3/1000</f>
        <v>185.42</v>
      </c>
      <c r="F339" s="852">
        <f t="shared" si="636"/>
        <v>175.31399999999999</v>
      </c>
      <c r="G339" s="37"/>
      <c r="H339" s="37"/>
      <c r="I339" s="37"/>
      <c r="J339" s="37"/>
      <c r="K339" s="852">
        <f t="shared" ref="K339:K344" si="637">K318*K$3/1000</f>
        <v>174.10499999999999</v>
      </c>
      <c r="L339" s="37"/>
      <c r="M339" s="37"/>
      <c r="N339" s="37"/>
      <c r="O339" s="37"/>
      <c r="P339" s="852">
        <f t="shared" ref="P339:P344" si="638">P318*P$3/1000</f>
        <v>182.5</v>
      </c>
      <c r="Q339" s="37"/>
      <c r="R339" s="37"/>
      <c r="S339" s="37"/>
      <c r="T339" s="37"/>
      <c r="U339" s="852">
        <f t="shared" ref="U339:U344" si="639">U318*U$3/1000</f>
        <v>194.54499999999999</v>
      </c>
      <c r="V339" s="37"/>
      <c r="W339" s="37"/>
      <c r="X339" s="37"/>
      <c r="Y339" s="37"/>
      <c r="Z339" s="852">
        <f t="shared" ref="Z339:Z344" si="640">Z318*Z$3/1000</f>
        <v>202.03200000000001</v>
      </c>
      <c r="AA339" s="37"/>
      <c r="AB339" s="37"/>
      <c r="AC339" s="37"/>
      <c r="AD339" s="37"/>
      <c r="AE339" s="852">
        <f t="shared" ref="AE339:AE344" si="641">AE318*AE$3/1000</f>
        <v>194.18</v>
      </c>
      <c r="AF339" s="37"/>
      <c r="AG339" s="37"/>
      <c r="AH339" s="37"/>
      <c r="AI339" s="37"/>
      <c r="AJ339" s="852">
        <f t="shared" ref="AJ339:AJ344" si="642">AJ318*AJ$3/1000</f>
        <v>183.23</v>
      </c>
      <c r="AK339" s="37"/>
      <c r="AL339" s="37"/>
      <c r="AM339" s="37"/>
      <c r="AN339" s="37"/>
      <c r="AO339" s="852">
        <f t="shared" ref="AO339:AO344" si="643">AO318*AO$3/1000</f>
        <v>176.29499999999999</v>
      </c>
      <c r="AP339" s="37"/>
      <c r="AQ339" s="37"/>
      <c r="AR339" s="37"/>
      <c r="AS339" s="37"/>
      <c r="AT339" s="852">
        <f t="shared" ref="AT339:AT344" si="644">AT318*AT$3/1000</f>
        <v>161.77199999999999</v>
      </c>
      <c r="AU339" s="37"/>
      <c r="AV339" s="37"/>
      <c r="AW339" s="37"/>
      <c r="AX339" s="37"/>
      <c r="AY339" s="852">
        <f t="shared" ref="AY339:AY344" si="645">AY318*AY$3/1000</f>
        <v>175.93</v>
      </c>
      <c r="AZ339" s="37"/>
      <c r="BA339" s="37"/>
      <c r="BB339" s="37"/>
      <c r="BC339" s="37"/>
      <c r="BD339" s="852">
        <f t="shared" ref="BD339:BD344" si="646">BD318*BD$3/1000</f>
        <v>171.55</v>
      </c>
      <c r="BE339" s="37"/>
      <c r="BF339" s="37"/>
      <c r="BG339" s="37"/>
      <c r="BH339" s="37"/>
      <c r="BI339" s="821">
        <f t="shared" ref="BI339:BI344" si="647">BI318*BI$3/1000</f>
        <v>174.10499999999999</v>
      </c>
      <c r="BJ339" s="37"/>
      <c r="BK339" s="37"/>
      <c r="BL339" s="37"/>
      <c r="BM339" s="37"/>
      <c r="BN339" s="821">
        <f t="shared" ref="BN339:BN344" si="648">BN318*BN$3/1000</f>
        <v>175.31399999999999</v>
      </c>
      <c r="BO339" s="37"/>
      <c r="BP339" s="37"/>
      <c r="BQ339" s="37"/>
      <c r="BR339" s="37"/>
      <c r="BS339" s="821">
        <f t="shared" ref="BS339:BS344" si="649">BS318*BS$3/1000</f>
        <v>178.12</v>
      </c>
      <c r="BT339" s="480"/>
      <c r="BU339" s="37"/>
      <c r="BV339" s="37"/>
      <c r="BW339" s="37"/>
      <c r="BX339" s="821"/>
      <c r="BY339" s="37"/>
      <c r="BZ339" s="37"/>
      <c r="CA339" s="37"/>
      <c r="CB339" s="37"/>
      <c r="CC339" s="821"/>
      <c r="CD339" s="821"/>
      <c r="CE339" s="821"/>
      <c r="CF339" s="821"/>
      <c r="CG339" s="22"/>
    </row>
    <row r="340" spans="1:85" s="428" customFormat="1" hidden="1" outlineLevel="1" x14ac:dyDescent="0.3">
      <c r="A340" s="40" t="s">
        <v>1632</v>
      </c>
      <c r="B340" s="64"/>
      <c r="C340" s="821"/>
      <c r="D340" s="821"/>
      <c r="E340" s="852">
        <f t="shared" si="636"/>
        <v>94.534999999999997</v>
      </c>
      <c r="F340" s="852">
        <f t="shared" si="636"/>
        <v>95.16</v>
      </c>
      <c r="G340" s="37"/>
      <c r="H340" s="37"/>
      <c r="I340" s="37"/>
      <c r="J340" s="37"/>
      <c r="K340" s="852">
        <f t="shared" si="637"/>
        <v>99.644999999999996</v>
      </c>
      <c r="L340" s="37"/>
      <c r="M340" s="37"/>
      <c r="N340" s="37"/>
      <c r="O340" s="37"/>
      <c r="P340" s="852">
        <f t="shared" si="638"/>
        <v>102.565</v>
      </c>
      <c r="Q340" s="37"/>
      <c r="R340" s="37"/>
      <c r="S340" s="37"/>
      <c r="T340" s="37"/>
      <c r="U340" s="852">
        <f t="shared" si="639"/>
        <v>113.15</v>
      </c>
      <c r="V340" s="37"/>
      <c r="W340" s="37"/>
      <c r="X340" s="37"/>
      <c r="Y340" s="37"/>
      <c r="Z340" s="852">
        <f t="shared" si="640"/>
        <v>109.068</v>
      </c>
      <c r="AA340" s="37"/>
      <c r="AB340" s="37"/>
      <c r="AC340" s="37"/>
      <c r="AD340" s="37"/>
      <c r="AE340" s="852">
        <f t="shared" si="641"/>
        <v>101.83499999999999</v>
      </c>
      <c r="AF340" s="37"/>
      <c r="AG340" s="37"/>
      <c r="AH340" s="37"/>
      <c r="AI340" s="37"/>
      <c r="AJ340" s="852">
        <f t="shared" si="642"/>
        <v>95.265000000000001</v>
      </c>
      <c r="AK340" s="37"/>
      <c r="AL340" s="37"/>
      <c r="AM340" s="37"/>
      <c r="AN340" s="37"/>
      <c r="AO340" s="852">
        <f t="shared" si="643"/>
        <v>87.6</v>
      </c>
      <c r="AP340" s="37"/>
      <c r="AQ340" s="37"/>
      <c r="AR340" s="37"/>
      <c r="AS340" s="37"/>
      <c r="AT340" s="852">
        <f t="shared" si="644"/>
        <v>93.695999999999998</v>
      </c>
      <c r="AU340" s="37"/>
      <c r="AV340" s="37"/>
      <c r="AW340" s="37"/>
      <c r="AX340" s="37"/>
      <c r="AY340" s="852">
        <f t="shared" si="645"/>
        <v>88.33</v>
      </c>
      <c r="AZ340" s="37"/>
      <c r="BA340" s="37"/>
      <c r="BB340" s="37"/>
      <c r="BC340" s="37"/>
      <c r="BD340" s="852">
        <f t="shared" si="646"/>
        <v>89.424999999999997</v>
      </c>
      <c r="BE340" s="37"/>
      <c r="BF340" s="37"/>
      <c r="BG340" s="37"/>
      <c r="BH340" s="37"/>
      <c r="BI340" s="821">
        <f t="shared" si="647"/>
        <v>94.9</v>
      </c>
      <c r="BJ340" s="37"/>
      <c r="BK340" s="37"/>
      <c r="BL340" s="37"/>
      <c r="BM340" s="37"/>
      <c r="BN340" s="821">
        <f t="shared" si="648"/>
        <v>91.5</v>
      </c>
      <c r="BO340" s="37"/>
      <c r="BP340" s="37"/>
      <c r="BQ340" s="37"/>
      <c r="BR340" s="37"/>
      <c r="BS340" s="821">
        <f t="shared" si="649"/>
        <v>98.915000000000006</v>
      </c>
      <c r="BT340" s="480"/>
      <c r="BU340" s="37"/>
      <c r="BV340" s="37"/>
      <c r="BW340" s="37"/>
      <c r="BX340" s="821"/>
      <c r="BY340" s="37"/>
      <c r="BZ340" s="37"/>
      <c r="CA340" s="37"/>
      <c r="CB340" s="37"/>
      <c r="CC340" s="821"/>
      <c r="CD340" s="821"/>
      <c r="CE340" s="821"/>
      <c r="CF340" s="821"/>
      <c r="CG340" s="22"/>
    </row>
    <row r="341" spans="1:85" s="428" customFormat="1" hidden="1" outlineLevel="1" x14ac:dyDescent="0.3">
      <c r="A341" s="40" t="s">
        <v>1633</v>
      </c>
      <c r="B341" s="64"/>
      <c r="C341" s="821"/>
      <c r="D341" s="821"/>
      <c r="E341" s="852">
        <f t="shared" si="636"/>
        <v>82.49</v>
      </c>
      <c r="F341" s="852">
        <f t="shared" si="636"/>
        <v>79.055999999999997</v>
      </c>
      <c r="G341" s="37"/>
      <c r="H341" s="37"/>
      <c r="I341" s="37"/>
      <c r="J341" s="37"/>
      <c r="K341" s="852">
        <f t="shared" si="637"/>
        <v>73.364999999999995</v>
      </c>
      <c r="L341" s="37"/>
      <c r="M341" s="37"/>
      <c r="N341" s="37"/>
      <c r="O341" s="37"/>
      <c r="P341" s="852">
        <f t="shared" si="638"/>
        <v>80.665000000000006</v>
      </c>
      <c r="Q341" s="37"/>
      <c r="R341" s="37"/>
      <c r="S341" s="37"/>
      <c r="T341" s="37"/>
      <c r="U341" s="852">
        <f t="shared" si="639"/>
        <v>81.760000000000005</v>
      </c>
      <c r="V341" s="37"/>
      <c r="W341" s="37"/>
      <c r="X341" s="37"/>
      <c r="Y341" s="37"/>
      <c r="Z341" s="852">
        <f t="shared" si="640"/>
        <v>82.35</v>
      </c>
      <c r="AA341" s="37"/>
      <c r="AB341" s="37"/>
      <c r="AC341" s="37"/>
      <c r="AD341" s="37"/>
      <c r="AE341" s="852">
        <f t="shared" si="641"/>
        <v>86.14</v>
      </c>
      <c r="AF341" s="37"/>
      <c r="AG341" s="37"/>
      <c r="AH341" s="37"/>
      <c r="AI341" s="37"/>
      <c r="AJ341" s="852">
        <f t="shared" si="642"/>
        <v>90.885000000000005</v>
      </c>
      <c r="AK341" s="37"/>
      <c r="AL341" s="37"/>
      <c r="AM341" s="37"/>
      <c r="AN341" s="37"/>
      <c r="AO341" s="852">
        <f t="shared" si="643"/>
        <v>88.33</v>
      </c>
      <c r="AP341" s="37"/>
      <c r="AQ341" s="37"/>
      <c r="AR341" s="37"/>
      <c r="AS341" s="37"/>
      <c r="AT341" s="852">
        <f t="shared" si="644"/>
        <v>45.75</v>
      </c>
      <c r="AU341" s="37"/>
      <c r="AV341" s="37"/>
      <c r="AW341" s="37"/>
      <c r="AX341" s="37"/>
      <c r="AY341" s="852">
        <f t="shared" si="645"/>
        <v>62.414999999999999</v>
      </c>
      <c r="AZ341" s="37"/>
      <c r="BA341" s="37"/>
      <c r="BB341" s="37"/>
      <c r="BC341" s="37"/>
      <c r="BD341" s="852">
        <f t="shared" si="646"/>
        <v>77.38</v>
      </c>
      <c r="BE341" s="37"/>
      <c r="BF341" s="37"/>
      <c r="BG341" s="37"/>
      <c r="BH341" s="37"/>
      <c r="BI341" s="821">
        <f t="shared" si="647"/>
        <v>91.98</v>
      </c>
      <c r="BJ341" s="37"/>
      <c r="BK341" s="37"/>
      <c r="BL341" s="37"/>
      <c r="BM341" s="37"/>
      <c r="BN341" s="821">
        <f t="shared" si="648"/>
        <v>90.036000000000001</v>
      </c>
      <c r="BO341" s="37"/>
      <c r="BP341" s="37"/>
      <c r="BQ341" s="37"/>
      <c r="BR341" s="37"/>
      <c r="BS341" s="821">
        <f t="shared" si="649"/>
        <v>100.74</v>
      </c>
      <c r="BT341" s="480"/>
      <c r="BU341" s="37"/>
      <c r="BV341" s="37"/>
      <c r="BW341" s="37"/>
      <c r="BX341" s="821"/>
      <c r="BY341" s="37"/>
      <c r="BZ341" s="37"/>
      <c r="CA341" s="37"/>
      <c r="CB341" s="37"/>
      <c r="CC341" s="821"/>
      <c r="CD341" s="821"/>
      <c r="CE341" s="821"/>
      <c r="CF341" s="821"/>
      <c r="CG341" s="22"/>
    </row>
    <row r="342" spans="1:85" s="428" customFormat="1" hidden="1" outlineLevel="1" x14ac:dyDescent="0.3">
      <c r="A342" s="40" t="s">
        <v>1634</v>
      </c>
      <c r="B342" s="64"/>
      <c r="C342" s="821"/>
      <c r="D342" s="821"/>
      <c r="E342" s="852">
        <f t="shared" si="636"/>
        <v>18.98</v>
      </c>
      <c r="F342" s="852">
        <f t="shared" si="636"/>
        <v>18.666</v>
      </c>
      <c r="G342" s="37"/>
      <c r="H342" s="37"/>
      <c r="I342" s="37"/>
      <c r="J342" s="37"/>
      <c r="K342" s="852">
        <f t="shared" si="637"/>
        <v>27.375</v>
      </c>
      <c r="L342" s="37"/>
      <c r="M342" s="37"/>
      <c r="N342" s="37"/>
      <c r="O342" s="37"/>
      <c r="P342" s="852">
        <f t="shared" si="638"/>
        <v>25.184999999999999</v>
      </c>
      <c r="Q342" s="37"/>
      <c r="R342" s="37"/>
      <c r="S342" s="37"/>
      <c r="T342" s="37"/>
      <c r="U342" s="852">
        <f t="shared" si="639"/>
        <v>23.36</v>
      </c>
      <c r="V342" s="37"/>
      <c r="W342" s="37"/>
      <c r="X342" s="37"/>
      <c r="Y342" s="37"/>
      <c r="Z342" s="852">
        <f t="shared" si="640"/>
        <v>23.79</v>
      </c>
      <c r="AA342" s="37"/>
      <c r="AB342" s="37"/>
      <c r="AC342" s="37"/>
      <c r="AD342" s="37"/>
      <c r="AE342" s="852">
        <f t="shared" si="641"/>
        <v>21.535</v>
      </c>
      <c r="AF342" s="37"/>
      <c r="AG342" s="37"/>
      <c r="AH342" s="37"/>
      <c r="AI342" s="37"/>
      <c r="AJ342" s="852">
        <f t="shared" si="642"/>
        <v>24.09</v>
      </c>
      <c r="AK342" s="37"/>
      <c r="AL342" s="37"/>
      <c r="AM342" s="37"/>
      <c r="AN342" s="37"/>
      <c r="AO342" s="852">
        <f t="shared" si="643"/>
        <v>18.614999999999998</v>
      </c>
      <c r="AP342" s="37"/>
      <c r="AQ342" s="37"/>
      <c r="AR342" s="37"/>
      <c r="AS342" s="37"/>
      <c r="AT342" s="852">
        <f t="shared" si="644"/>
        <v>5.49</v>
      </c>
      <c r="AU342" s="37"/>
      <c r="AV342" s="37"/>
      <c r="AW342" s="37"/>
      <c r="AX342" s="37"/>
      <c r="AY342" s="852">
        <f t="shared" si="645"/>
        <v>4.0149999999999997</v>
      </c>
      <c r="AZ342" s="37"/>
      <c r="BA342" s="37"/>
      <c r="BB342" s="37"/>
      <c r="BC342" s="37"/>
      <c r="BD342" s="852">
        <f t="shared" si="646"/>
        <v>0</v>
      </c>
      <c r="BE342" s="37"/>
      <c r="BF342" s="37"/>
      <c r="BG342" s="37"/>
      <c r="BH342" s="37"/>
      <c r="BI342" s="821">
        <f t="shared" si="647"/>
        <v>0</v>
      </c>
      <c r="BJ342" s="37"/>
      <c r="BK342" s="37"/>
      <c r="BL342" s="37"/>
      <c r="BM342" s="37"/>
      <c r="BN342" s="821">
        <f t="shared" si="648"/>
        <v>0</v>
      </c>
      <c r="BO342" s="37"/>
      <c r="BP342" s="37"/>
      <c r="BQ342" s="37"/>
      <c r="BR342" s="37"/>
      <c r="BS342" s="821">
        <f t="shared" si="649"/>
        <v>0</v>
      </c>
      <c r="BT342" s="480"/>
      <c r="BU342" s="37"/>
      <c r="BV342" s="37"/>
      <c r="BW342" s="37"/>
      <c r="BX342" s="821"/>
      <c r="BY342" s="37"/>
      <c r="BZ342" s="37"/>
      <c r="CA342" s="37"/>
      <c r="CB342" s="37"/>
      <c r="CC342" s="821"/>
      <c r="CD342" s="821"/>
      <c r="CE342" s="821"/>
      <c r="CF342" s="821"/>
      <c r="CG342" s="22"/>
    </row>
    <row r="343" spans="1:85" s="428" customFormat="1" hidden="1" outlineLevel="1" x14ac:dyDescent="0.3">
      <c r="A343" s="40" t="s">
        <v>1635</v>
      </c>
      <c r="B343" s="64"/>
      <c r="C343" s="821"/>
      <c r="D343" s="821"/>
      <c r="E343" s="852">
        <f t="shared" si="636"/>
        <v>44.895000000000003</v>
      </c>
      <c r="F343" s="852">
        <f t="shared" si="636"/>
        <v>46.481999999999999</v>
      </c>
      <c r="G343" s="37"/>
      <c r="H343" s="37"/>
      <c r="I343" s="37"/>
      <c r="J343" s="37"/>
      <c r="K343" s="852">
        <f t="shared" si="637"/>
        <v>47.085000000000001</v>
      </c>
      <c r="L343" s="37"/>
      <c r="M343" s="37"/>
      <c r="N343" s="37"/>
      <c r="O343" s="37"/>
      <c r="P343" s="852">
        <f t="shared" si="638"/>
        <v>52.924999999999997</v>
      </c>
      <c r="Q343" s="37"/>
      <c r="R343" s="37"/>
      <c r="S343" s="37"/>
      <c r="T343" s="37"/>
      <c r="U343" s="852">
        <f t="shared" si="639"/>
        <v>60.225000000000001</v>
      </c>
      <c r="V343" s="37"/>
      <c r="W343" s="37"/>
      <c r="X343" s="37"/>
      <c r="Y343" s="37"/>
      <c r="Z343" s="852">
        <f t="shared" si="640"/>
        <v>55.631999999999998</v>
      </c>
      <c r="AA343" s="37"/>
      <c r="AB343" s="37"/>
      <c r="AC343" s="37"/>
      <c r="AD343" s="37"/>
      <c r="AE343" s="852">
        <f t="shared" si="641"/>
        <v>57.67</v>
      </c>
      <c r="AF343" s="37"/>
      <c r="AG343" s="37"/>
      <c r="AH343" s="37"/>
      <c r="AI343" s="37"/>
      <c r="AJ343" s="852">
        <f t="shared" si="642"/>
        <v>58.4</v>
      </c>
      <c r="AK343" s="37"/>
      <c r="AL343" s="37"/>
      <c r="AM343" s="37"/>
      <c r="AN343" s="37"/>
      <c r="AO343" s="852">
        <f t="shared" si="643"/>
        <v>52.195</v>
      </c>
      <c r="AP343" s="37"/>
      <c r="AQ343" s="37"/>
      <c r="AR343" s="37"/>
      <c r="AS343" s="37"/>
      <c r="AT343" s="852">
        <f t="shared" si="644"/>
        <v>47.945999999999998</v>
      </c>
      <c r="AU343" s="37"/>
      <c r="AV343" s="37"/>
      <c r="AW343" s="37"/>
      <c r="AX343" s="37"/>
      <c r="AY343" s="852">
        <f t="shared" si="645"/>
        <v>55.115000000000002</v>
      </c>
      <c r="AZ343" s="37"/>
      <c r="BA343" s="37"/>
      <c r="BB343" s="37"/>
      <c r="BC343" s="37"/>
      <c r="BD343" s="852">
        <f t="shared" si="646"/>
        <v>51.1</v>
      </c>
      <c r="BE343" s="37"/>
      <c r="BF343" s="37"/>
      <c r="BG343" s="37"/>
      <c r="BH343" s="37"/>
      <c r="BI343" s="821">
        <f t="shared" si="647"/>
        <v>65.334999999999994</v>
      </c>
      <c r="BJ343" s="37"/>
      <c r="BK343" s="37"/>
      <c r="BL343" s="37"/>
      <c r="BM343" s="37"/>
      <c r="BN343" s="821">
        <f t="shared" si="648"/>
        <v>65.513999999999996</v>
      </c>
      <c r="BO343" s="37"/>
      <c r="BP343" s="37"/>
      <c r="BQ343" s="37"/>
      <c r="BR343" s="37"/>
      <c r="BS343" s="821">
        <f t="shared" si="649"/>
        <v>72.27</v>
      </c>
      <c r="BT343" s="480"/>
      <c r="BU343" s="37"/>
      <c r="BV343" s="37"/>
      <c r="BW343" s="37"/>
      <c r="BX343" s="821"/>
      <c r="BY343" s="37"/>
      <c r="BZ343" s="37"/>
      <c r="CA343" s="37"/>
      <c r="CB343" s="37"/>
      <c r="CC343" s="821"/>
      <c r="CD343" s="821"/>
      <c r="CE343" s="821"/>
      <c r="CF343" s="821"/>
      <c r="CG343" s="22"/>
    </row>
    <row r="344" spans="1:85" s="429" customFormat="1" hidden="1" outlineLevel="1" x14ac:dyDescent="0.3">
      <c r="A344" s="41" t="s">
        <v>1636</v>
      </c>
      <c r="B344" s="90"/>
      <c r="C344" s="823"/>
      <c r="D344" s="823"/>
      <c r="E344" s="824">
        <f t="shared" si="636"/>
        <v>426.32</v>
      </c>
      <c r="F344" s="824">
        <f t="shared" si="636"/>
        <v>414.678</v>
      </c>
      <c r="G344" s="394">
        <f t="shared" ref="G344:BH344" si="650">SUM(G339:G343)</f>
        <v>0</v>
      </c>
      <c r="H344" s="394">
        <f t="shared" si="650"/>
        <v>0</v>
      </c>
      <c r="I344" s="394">
        <f t="shared" si="650"/>
        <v>0</v>
      </c>
      <c r="J344" s="394">
        <f t="shared" si="650"/>
        <v>0</v>
      </c>
      <c r="K344" s="824">
        <f t="shared" si="637"/>
        <v>421.57499999999999</v>
      </c>
      <c r="L344" s="394">
        <f t="shared" si="650"/>
        <v>0</v>
      </c>
      <c r="M344" s="394">
        <f t="shared" si="650"/>
        <v>0</v>
      </c>
      <c r="N344" s="394">
        <f t="shared" si="650"/>
        <v>0</v>
      </c>
      <c r="O344" s="394">
        <f t="shared" si="650"/>
        <v>0</v>
      </c>
      <c r="P344" s="824">
        <f t="shared" si="638"/>
        <v>443.84</v>
      </c>
      <c r="Q344" s="394">
        <f t="shared" si="650"/>
        <v>0</v>
      </c>
      <c r="R344" s="394">
        <f t="shared" si="650"/>
        <v>0</v>
      </c>
      <c r="S344" s="394">
        <f t="shared" si="650"/>
        <v>0</v>
      </c>
      <c r="T344" s="394">
        <f t="shared" si="650"/>
        <v>0</v>
      </c>
      <c r="U344" s="824">
        <f t="shared" si="639"/>
        <v>473.04</v>
      </c>
      <c r="V344" s="394">
        <f t="shared" si="650"/>
        <v>0</v>
      </c>
      <c r="W344" s="394">
        <f t="shared" si="650"/>
        <v>0</v>
      </c>
      <c r="X344" s="394">
        <f t="shared" si="650"/>
        <v>0</v>
      </c>
      <c r="Y344" s="394">
        <f t="shared" si="650"/>
        <v>0</v>
      </c>
      <c r="Z344" s="824">
        <f t="shared" si="640"/>
        <v>472.87200000000001</v>
      </c>
      <c r="AA344" s="393">
        <f t="shared" si="650"/>
        <v>0</v>
      </c>
      <c r="AB344" s="394">
        <f t="shared" si="650"/>
        <v>0</v>
      </c>
      <c r="AC344" s="394">
        <f t="shared" si="650"/>
        <v>0</v>
      </c>
      <c r="AD344" s="394">
        <f t="shared" si="650"/>
        <v>0</v>
      </c>
      <c r="AE344" s="824">
        <f t="shared" si="641"/>
        <v>461.36</v>
      </c>
      <c r="AF344" s="393">
        <f t="shared" si="650"/>
        <v>0</v>
      </c>
      <c r="AG344" s="394">
        <f t="shared" si="650"/>
        <v>0</v>
      </c>
      <c r="AH344" s="394">
        <f t="shared" si="650"/>
        <v>0</v>
      </c>
      <c r="AI344" s="394">
        <f t="shared" si="650"/>
        <v>0</v>
      </c>
      <c r="AJ344" s="824">
        <f t="shared" si="642"/>
        <v>451.87</v>
      </c>
      <c r="AK344" s="393">
        <f t="shared" si="650"/>
        <v>0</v>
      </c>
      <c r="AL344" s="394">
        <f t="shared" si="650"/>
        <v>0</v>
      </c>
      <c r="AM344" s="394">
        <f t="shared" si="650"/>
        <v>0</v>
      </c>
      <c r="AN344" s="394">
        <f t="shared" si="650"/>
        <v>0</v>
      </c>
      <c r="AO344" s="824">
        <f t="shared" si="643"/>
        <v>423.03500000000003</v>
      </c>
      <c r="AP344" s="393">
        <f t="shared" si="650"/>
        <v>0</v>
      </c>
      <c r="AQ344" s="394">
        <f t="shared" si="650"/>
        <v>0</v>
      </c>
      <c r="AR344" s="394">
        <f t="shared" si="650"/>
        <v>0</v>
      </c>
      <c r="AS344" s="394">
        <f t="shared" si="650"/>
        <v>0</v>
      </c>
      <c r="AT344" s="824">
        <f t="shared" si="644"/>
        <v>354.654</v>
      </c>
      <c r="AU344" s="393">
        <f t="shared" si="650"/>
        <v>0</v>
      </c>
      <c r="AV344" s="394">
        <f t="shared" si="650"/>
        <v>0</v>
      </c>
      <c r="AW344" s="394">
        <f t="shared" si="650"/>
        <v>0</v>
      </c>
      <c r="AX344" s="394">
        <f t="shared" si="650"/>
        <v>0</v>
      </c>
      <c r="AY344" s="824">
        <f t="shared" si="645"/>
        <v>385.80500000000001</v>
      </c>
      <c r="AZ344" s="393">
        <f t="shared" si="650"/>
        <v>0</v>
      </c>
      <c r="BA344" s="394">
        <f t="shared" si="650"/>
        <v>0</v>
      </c>
      <c r="BB344" s="394">
        <f t="shared" si="650"/>
        <v>0</v>
      </c>
      <c r="BC344" s="394">
        <f t="shared" si="650"/>
        <v>0</v>
      </c>
      <c r="BD344" s="824">
        <f t="shared" si="646"/>
        <v>389.45499999999998</v>
      </c>
      <c r="BE344" s="393">
        <f t="shared" si="650"/>
        <v>0</v>
      </c>
      <c r="BF344" s="394">
        <f t="shared" si="650"/>
        <v>0</v>
      </c>
      <c r="BG344" s="394">
        <f t="shared" si="650"/>
        <v>0</v>
      </c>
      <c r="BH344" s="394">
        <f t="shared" si="650"/>
        <v>0</v>
      </c>
      <c r="BI344" s="823">
        <f t="shared" si="647"/>
        <v>426.32</v>
      </c>
      <c r="BJ344" s="393"/>
      <c r="BK344" s="393"/>
      <c r="BL344" s="393"/>
      <c r="BM344" s="393"/>
      <c r="BN344" s="823">
        <f t="shared" si="648"/>
        <v>422.36399999999998</v>
      </c>
      <c r="BO344" s="393"/>
      <c r="BP344" s="393"/>
      <c r="BQ344" s="393"/>
      <c r="BR344" s="393"/>
      <c r="BS344" s="823">
        <f t="shared" si="649"/>
        <v>450.04500000000002</v>
      </c>
      <c r="BT344" s="641"/>
      <c r="BU344" s="393"/>
      <c r="BV344" s="393"/>
      <c r="BW344" s="393"/>
      <c r="BX344" s="823"/>
      <c r="BY344" s="393"/>
      <c r="BZ344" s="393"/>
      <c r="CA344" s="393"/>
      <c r="CB344" s="393"/>
      <c r="CC344" s="823"/>
      <c r="CD344" s="823"/>
      <c r="CE344" s="823"/>
      <c r="CF344" s="823"/>
      <c r="CG344" s="26"/>
    </row>
    <row r="345" spans="1:85" s="429" customFormat="1" hidden="1" outlineLevel="1" x14ac:dyDescent="0.3">
      <c r="A345" s="48"/>
      <c r="B345" s="63"/>
      <c r="C345" s="825"/>
      <c r="D345" s="825"/>
      <c r="E345" s="825"/>
      <c r="F345" s="825"/>
      <c r="G345" s="31"/>
      <c r="H345" s="31"/>
      <c r="I345" s="31"/>
      <c r="J345" s="31"/>
      <c r="K345" s="825"/>
      <c r="L345" s="31"/>
      <c r="M345" s="31"/>
      <c r="N345" s="31"/>
      <c r="O345" s="31"/>
      <c r="P345" s="825"/>
      <c r="Q345" s="31"/>
      <c r="R345" s="31"/>
      <c r="S345" s="31"/>
      <c r="T345" s="31"/>
      <c r="U345" s="825"/>
      <c r="V345" s="31"/>
      <c r="W345" s="31"/>
      <c r="X345" s="31"/>
      <c r="Y345" s="31"/>
      <c r="Z345" s="825"/>
      <c r="AA345" s="31"/>
      <c r="AB345" s="31"/>
      <c r="AC345" s="31"/>
      <c r="AD345" s="31"/>
      <c r="AE345" s="825"/>
      <c r="AF345" s="31"/>
      <c r="AG345" s="31"/>
      <c r="AH345" s="31"/>
      <c r="AI345" s="31"/>
      <c r="AJ345" s="825"/>
      <c r="AK345" s="31"/>
      <c r="AL345" s="31"/>
      <c r="AM345" s="31"/>
      <c r="AN345" s="31"/>
      <c r="AO345" s="825"/>
      <c r="AP345" s="31"/>
      <c r="AQ345" s="31"/>
      <c r="AR345" s="31"/>
      <c r="AS345" s="31"/>
      <c r="AT345" s="825"/>
      <c r="AU345" s="31"/>
      <c r="AV345" s="31"/>
      <c r="AW345" s="31"/>
      <c r="AX345" s="31"/>
      <c r="AY345" s="825"/>
      <c r="AZ345" s="31"/>
      <c r="BA345" s="31"/>
      <c r="BB345" s="31"/>
      <c r="BC345" s="31"/>
      <c r="BD345" s="825"/>
      <c r="BE345" s="31"/>
      <c r="BF345" s="31"/>
      <c r="BG345" s="31"/>
      <c r="BH345" s="31"/>
      <c r="BI345" s="825"/>
      <c r="BJ345" s="31"/>
      <c r="BK345" s="31"/>
      <c r="BL345" s="31"/>
      <c r="BM345" s="31"/>
      <c r="BN345" s="825"/>
      <c r="BO345" s="31"/>
      <c r="BP345" s="31"/>
      <c r="BQ345" s="31"/>
      <c r="BR345" s="31"/>
      <c r="BS345" s="825"/>
      <c r="BT345" s="379"/>
      <c r="BU345" s="31"/>
      <c r="BV345" s="31"/>
      <c r="BW345" s="31"/>
      <c r="BX345" s="825"/>
      <c r="BY345" s="31"/>
      <c r="BZ345" s="31"/>
      <c r="CA345" s="31"/>
      <c r="CB345" s="31"/>
      <c r="CC345" s="825"/>
      <c r="CD345" s="825"/>
      <c r="CE345" s="825"/>
      <c r="CF345" s="825"/>
      <c r="CG345" s="26"/>
    </row>
    <row r="346" spans="1:85" s="428" customFormat="1" hidden="1" outlineLevel="1" x14ac:dyDescent="0.3">
      <c r="A346" s="40" t="s">
        <v>506</v>
      </c>
      <c r="B346" s="64"/>
      <c r="C346" s="827">
        <v>720</v>
      </c>
      <c r="D346" s="827">
        <v>700</v>
      </c>
      <c r="E346" s="827">
        <v>649</v>
      </c>
      <c r="F346" s="827">
        <v>624</v>
      </c>
      <c r="G346" s="37"/>
      <c r="H346" s="37"/>
      <c r="I346" s="37"/>
      <c r="J346" s="37"/>
      <c r="K346" s="827">
        <v>613</v>
      </c>
      <c r="L346" s="37"/>
      <c r="M346" s="37"/>
      <c r="N346" s="37"/>
      <c r="O346" s="37"/>
      <c r="P346" s="827">
        <v>615</v>
      </c>
      <c r="Q346" s="37"/>
      <c r="R346" s="37"/>
      <c r="S346" s="37"/>
      <c r="T346" s="37"/>
      <c r="U346" s="827">
        <v>621</v>
      </c>
      <c r="V346" s="37"/>
      <c r="W346" s="37"/>
      <c r="X346" s="37"/>
      <c r="Y346" s="37"/>
      <c r="Z346" s="827">
        <v>631</v>
      </c>
      <c r="AA346" s="37"/>
      <c r="AB346" s="37"/>
      <c r="AC346" s="37"/>
      <c r="AD346" s="37"/>
      <c r="AE346" s="827">
        <v>625</v>
      </c>
      <c r="AF346" s="37"/>
      <c r="AG346" s="37"/>
      <c r="AH346" s="37"/>
      <c r="AI346" s="37"/>
      <c r="AJ346" s="827">
        <v>627</v>
      </c>
      <c r="AK346" s="37"/>
      <c r="AL346" s="37"/>
      <c r="AM346" s="37"/>
      <c r="AN346" s="37"/>
      <c r="AO346" s="827">
        <v>667</v>
      </c>
      <c r="AP346" s="37"/>
      <c r="AQ346" s="37"/>
      <c r="AR346" s="37"/>
      <c r="AS346" s="37"/>
      <c r="AT346" s="827">
        <v>581</v>
      </c>
      <c r="AU346" s="37"/>
      <c r="AV346" s="37"/>
      <c r="AW346" s="37"/>
      <c r="AX346" s="37"/>
      <c r="AY346" s="827">
        <v>655</v>
      </c>
      <c r="AZ346" s="37"/>
      <c r="BA346" s="37"/>
      <c r="BB346" s="37"/>
      <c r="BC346" s="37"/>
      <c r="BD346" s="827">
        <v>639</v>
      </c>
      <c r="BE346" s="37"/>
      <c r="BF346" s="37"/>
      <c r="BG346" s="37"/>
      <c r="BH346" s="37"/>
      <c r="BI346" s="827">
        <v>642</v>
      </c>
      <c r="BJ346" s="37"/>
      <c r="BK346" s="37"/>
      <c r="BL346" s="37"/>
      <c r="BM346" s="37"/>
      <c r="BN346" s="827">
        <v>667</v>
      </c>
      <c r="BO346" s="37"/>
      <c r="BP346" s="37"/>
      <c r="BQ346" s="37"/>
      <c r="BR346" s="37"/>
      <c r="BS346" s="827">
        <v>685</v>
      </c>
      <c r="BT346" s="480"/>
      <c r="BU346" s="37"/>
      <c r="BV346" s="37"/>
      <c r="BW346" s="37"/>
      <c r="BX346" s="821"/>
      <c r="BY346" s="37"/>
      <c r="BZ346" s="37"/>
      <c r="CA346" s="37"/>
      <c r="CB346" s="37"/>
      <c r="CC346" s="821"/>
      <c r="CD346" s="821"/>
      <c r="CE346" s="821"/>
      <c r="CF346" s="821"/>
      <c r="CG346" s="22"/>
    </row>
    <row r="347" spans="1:85" s="428" customFormat="1" hidden="1" outlineLevel="1" x14ac:dyDescent="0.3">
      <c r="A347" s="40" t="s">
        <v>507</v>
      </c>
      <c r="B347" s="64"/>
      <c r="C347" s="827">
        <v>254</v>
      </c>
      <c r="D347" s="827">
        <v>223</v>
      </c>
      <c r="E347" s="827">
        <v>209</v>
      </c>
      <c r="F347" s="827">
        <v>212</v>
      </c>
      <c r="G347" s="37"/>
      <c r="H347" s="37"/>
      <c r="I347" s="37"/>
      <c r="J347" s="37"/>
      <c r="K347" s="827">
        <v>215</v>
      </c>
      <c r="L347" s="37"/>
      <c r="M347" s="37"/>
      <c r="N347" s="37"/>
      <c r="O347" s="37"/>
      <c r="P347" s="827">
        <v>222</v>
      </c>
      <c r="Q347" s="37"/>
      <c r="R347" s="37"/>
      <c r="S347" s="37"/>
      <c r="T347" s="37"/>
      <c r="U347" s="827">
        <v>232</v>
      </c>
      <c r="V347" s="37"/>
      <c r="W347" s="37"/>
      <c r="X347" s="37"/>
      <c r="Y347" s="37"/>
      <c r="Z347" s="827">
        <v>242</v>
      </c>
      <c r="AA347" s="37"/>
      <c r="AB347" s="37"/>
      <c r="AC347" s="37"/>
      <c r="AD347" s="37"/>
      <c r="AE347" s="827">
        <v>242</v>
      </c>
      <c r="AF347" s="37"/>
      <c r="AG347" s="37"/>
      <c r="AH347" s="37"/>
      <c r="AI347" s="37"/>
      <c r="AJ347" s="827">
        <v>255</v>
      </c>
      <c r="AK347" s="37"/>
      <c r="AL347" s="37"/>
      <c r="AM347" s="37"/>
      <c r="AN347" s="37"/>
      <c r="AO347" s="827">
        <v>256</v>
      </c>
      <c r="AP347" s="37"/>
      <c r="AQ347" s="37"/>
      <c r="AR347" s="37"/>
      <c r="AS347" s="37"/>
      <c r="AT347" s="827">
        <v>139</v>
      </c>
      <c r="AU347" s="37"/>
      <c r="AV347" s="37"/>
      <c r="AW347" s="37"/>
      <c r="AX347" s="37"/>
      <c r="AY347" s="827">
        <v>173</v>
      </c>
      <c r="AZ347" s="37"/>
      <c r="BA347" s="37"/>
      <c r="BB347" s="37"/>
      <c r="BC347" s="37"/>
      <c r="BD347" s="827">
        <v>212</v>
      </c>
      <c r="BE347" s="37"/>
      <c r="BF347" s="37"/>
      <c r="BG347" s="37"/>
      <c r="BH347" s="37"/>
      <c r="BI347" s="827">
        <v>260</v>
      </c>
      <c r="BJ347" s="37"/>
      <c r="BK347" s="37"/>
      <c r="BL347" s="37"/>
      <c r="BM347" s="37"/>
      <c r="BN347" s="827">
        <v>255</v>
      </c>
      <c r="BO347" s="37"/>
      <c r="BP347" s="37"/>
      <c r="BQ347" s="37"/>
      <c r="BR347" s="37"/>
      <c r="BS347" s="827">
        <v>278</v>
      </c>
      <c r="BT347" s="480"/>
      <c r="BU347" s="37"/>
      <c r="BV347" s="37"/>
      <c r="BW347" s="37"/>
      <c r="BX347" s="821"/>
      <c r="BY347" s="37"/>
      <c r="BZ347" s="37"/>
      <c r="CA347" s="37"/>
      <c r="CB347" s="37"/>
      <c r="CC347" s="821"/>
      <c r="CD347" s="821"/>
      <c r="CE347" s="821"/>
      <c r="CF347" s="821"/>
      <c r="CG347" s="22"/>
    </row>
    <row r="348" spans="1:85" s="428" customFormat="1" hidden="1" outlineLevel="1" x14ac:dyDescent="0.3">
      <c r="A348" s="40" t="s">
        <v>508</v>
      </c>
      <c r="B348" s="64"/>
      <c r="C348" s="827">
        <v>226</v>
      </c>
      <c r="D348" s="827">
        <v>232</v>
      </c>
      <c r="E348" s="827">
        <v>213</v>
      </c>
      <c r="F348" s="827">
        <v>213</v>
      </c>
      <c r="G348" s="37"/>
      <c r="H348" s="37"/>
      <c r="I348" s="37"/>
      <c r="J348" s="37"/>
      <c r="K348" s="827">
        <v>195</v>
      </c>
      <c r="L348" s="37"/>
      <c r="M348" s="37"/>
      <c r="N348" s="37"/>
      <c r="O348" s="37"/>
      <c r="P348" s="827">
        <v>217</v>
      </c>
      <c r="Q348" s="37"/>
      <c r="R348" s="37"/>
      <c r="S348" s="37"/>
      <c r="T348" s="37"/>
      <c r="U348" s="827">
        <v>215</v>
      </c>
      <c r="V348" s="37"/>
      <c r="W348" s="37"/>
      <c r="X348" s="37"/>
      <c r="Y348" s="37"/>
      <c r="Z348" s="827">
        <v>182</v>
      </c>
      <c r="AA348" s="37"/>
      <c r="AB348" s="37"/>
      <c r="AC348" s="37"/>
      <c r="AD348" s="37"/>
      <c r="AE348" s="827">
        <v>179</v>
      </c>
      <c r="AF348" s="37"/>
      <c r="AG348" s="37"/>
      <c r="AH348" s="37"/>
      <c r="AI348" s="37"/>
      <c r="AJ348" s="827">
        <v>188</v>
      </c>
      <c r="AK348" s="37"/>
      <c r="AL348" s="37"/>
      <c r="AM348" s="37"/>
      <c r="AN348" s="37"/>
      <c r="AO348" s="827">
        <v>191</v>
      </c>
      <c r="AP348" s="37"/>
      <c r="AQ348" s="37"/>
      <c r="AR348" s="37"/>
      <c r="AS348" s="37"/>
      <c r="AT348" s="827">
        <v>167</v>
      </c>
      <c r="AU348" s="37"/>
      <c r="AV348" s="37"/>
      <c r="AW348" s="37"/>
      <c r="AX348" s="37"/>
      <c r="AY348" s="827">
        <v>179</v>
      </c>
      <c r="AZ348" s="37"/>
      <c r="BA348" s="37"/>
      <c r="BB348" s="37"/>
      <c r="BC348" s="37"/>
      <c r="BD348" s="827">
        <v>216</v>
      </c>
      <c r="BE348" s="37"/>
      <c r="BF348" s="37"/>
      <c r="BG348" s="37"/>
      <c r="BH348" s="37"/>
      <c r="BI348" s="827">
        <v>227</v>
      </c>
      <c r="BJ348" s="37"/>
      <c r="BK348" s="37"/>
      <c r="BL348" s="37"/>
      <c r="BM348" s="37"/>
      <c r="BN348" s="827">
        <v>213</v>
      </c>
      <c r="BO348" s="37"/>
      <c r="BP348" s="37"/>
      <c r="BQ348" s="37"/>
      <c r="BR348" s="37"/>
      <c r="BS348" s="827">
        <v>216</v>
      </c>
      <c r="BT348" s="480"/>
      <c r="BU348" s="37"/>
      <c r="BV348" s="37"/>
      <c r="BW348" s="37"/>
      <c r="BX348" s="821"/>
      <c r="BY348" s="37"/>
      <c r="BZ348" s="37"/>
      <c r="CA348" s="37"/>
      <c r="CB348" s="37"/>
      <c r="CC348" s="821"/>
      <c r="CD348" s="821"/>
      <c r="CE348" s="821"/>
      <c r="CF348" s="821"/>
      <c r="CG348" s="22"/>
    </row>
    <row r="349" spans="1:85" s="428" customFormat="1" hidden="1" outlineLevel="1" x14ac:dyDescent="0.3">
      <c r="A349" s="40" t="s">
        <v>509</v>
      </c>
      <c r="B349" s="64"/>
      <c r="C349" s="827">
        <v>110</v>
      </c>
      <c r="D349" s="827">
        <v>99</v>
      </c>
      <c r="E349" s="827">
        <v>87</v>
      </c>
      <c r="F349" s="827">
        <v>68</v>
      </c>
      <c r="G349" s="37"/>
      <c r="H349" s="37"/>
      <c r="I349" s="37"/>
      <c r="J349" s="37"/>
      <c r="K349" s="827">
        <v>69</v>
      </c>
      <c r="L349" s="37"/>
      <c r="M349" s="37"/>
      <c r="N349" s="37"/>
      <c r="O349" s="37"/>
      <c r="P349" s="827">
        <v>63</v>
      </c>
      <c r="Q349" s="37"/>
      <c r="R349" s="37"/>
      <c r="S349" s="37"/>
      <c r="T349" s="37"/>
      <c r="U349" s="827">
        <v>59</v>
      </c>
      <c r="V349" s="37"/>
      <c r="W349" s="37"/>
      <c r="X349" s="37"/>
      <c r="Y349" s="37"/>
      <c r="Z349" s="827">
        <v>59</v>
      </c>
      <c r="AA349" s="37"/>
      <c r="AB349" s="37"/>
      <c r="AC349" s="37"/>
      <c r="AD349" s="37"/>
      <c r="AE349" s="827">
        <v>48</v>
      </c>
      <c r="AF349" s="37"/>
      <c r="AG349" s="37"/>
      <c r="AH349" s="37"/>
      <c r="AI349" s="37"/>
      <c r="AJ349" s="827">
        <v>48</v>
      </c>
      <c r="AK349" s="37"/>
      <c r="AL349" s="37"/>
      <c r="AM349" s="37"/>
      <c r="AN349" s="37"/>
      <c r="AO349" s="827">
        <v>42</v>
      </c>
      <c r="AP349" s="37"/>
      <c r="AQ349" s="37"/>
      <c r="AR349" s="37"/>
      <c r="AS349" s="37"/>
      <c r="AT349" s="827">
        <v>33</v>
      </c>
      <c r="AU349" s="37"/>
      <c r="AV349" s="37"/>
      <c r="AW349" s="37"/>
      <c r="AX349" s="37"/>
      <c r="AY349" s="827">
        <v>39</v>
      </c>
      <c r="AZ349" s="37"/>
      <c r="BA349" s="37"/>
      <c r="BB349" s="37"/>
      <c r="BC349" s="37"/>
      <c r="BD349" s="827">
        <v>56</v>
      </c>
      <c r="BE349" s="37"/>
      <c r="BF349" s="37"/>
      <c r="BG349" s="37"/>
      <c r="BH349" s="37"/>
      <c r="BI349" s="827">
        <v>44</v>
      </c>
      <c r="BJ349" s="37"/>
      <c r="BK349" s="37"/>
      <c r="BL349" s="37"/>
      <c r="BM349" s="37"/>
      <c r="BN349" s="827">
        <v>54</v>
      </c>
      <c r="BO349" s="37"/>
      <c r="BP349" s="37"/>
      <c r="BQ349" s="37"/>
      <c r="BR349" s="37"/>
      <c r="BS349" s="827">
        <v>41</v>
      </c>
      <c r="BT349" s="480"/>
      <c r="BU349" s="37"/>
      <c r="BV349" s="37"/>
      <c r="BW349" s="37"/>
      <c r="BX349" s="821"/>
      <c r="BY349" s="37"/>
      <c r="BZ349" s="37"/>
      <c r="CA349" s="37"/>
      <c r="CB349" s="37"/>
      <c r="CC349" s="821"/>
      <c r="CD349" s="821"/>
      <c r="CE349" s="821"/>
      <c r="CF349" s="821"/>
      <c r="CG349" s="22"/>
    </row>
    <row r="350" spans="1:85" s="428" customFormat="1" hidden="1" outlineLevel="1" x14ac:dyDescent="0.3">
      <c r="A350" s="43" t="s">
        <v>510</v>
      </c>
      <c r="B350" s="64"/>
      <c r="C350" s="827">
        <v>93</v>
      </c>
      <c r="D350" s="827">
        <v>95</v>
      </c>
      <c r="E350" s="827">
        <v>99</v>
      </c>
      <c r="F350" s="827">
        <v>94</v>
      </c>
      <c r="G350" s="37"/>
      <c r="H350" s="37"/>
      <c r="I350" s="37"/>
      <c r="J350" s="37"/>
      <c r="K350" s="827">
        <v>90</v>
      </c>
      <c r="L350" s="37"/>
      <c r="M350" s="37"/>
      <c r="N350" s="37"/>
      <c r="O350" s="37"/>
      <c r="P350" s="827">
        <v>93</v>
      </c>
      <c r="Q350" s="37"/>
      <c r="R350" s="37"/>
      <c r="S350" s="37"/>
      <c r="T350" s="37"/>
      <c r="U350" s="827">
        <v>101</v>
      </c>
      <c r="V350" s="37"/>
      <c r="W350" s="37"/>
      <c r="X350" s="37"/>
      <c r="Y350" s="37"/>
      <c r="Z350" s="827">
        <v>99</v>
      </c>
      <c r="AA350" s="37"/>
      <c r="AB350" s="37"/>
      <c r="AC350" s="37"/>
      <c r="AD350" s="37"/>
      <c r="AE350" s="827">
        <v>103</v>
      </c>
      <c r="AF350" s="37"/>
      <c r="AG350" s="37"/>
      <c r="AH350" s="37"/>
      <c r="AI350" s="37"/>
      <c r="AJ350" s="827">
        <v>100</v>
      </c>
      <c r="AK350" s="37"/>
      <c r="AL350" s="37"/>
      <c r="AM350" s="37"/>
      <c r="AN350" s="37"/>
      <c r="AO350" s="827">
        <v>94</v>
      </c>
      <c r="AP350" s="37"/>
      <c r="AQ350" s="37"/>
      <c r="AR350" s="37"/>
      <c r="AS350" s="37"/>
      <c r="AT350" s="827">
        <v>83</v>
      </c>
      <c r="AU350" s="37"/>
      <c r="AV350" s="37"/>
      <c r="AW350" s="37"/>
      <c r="AX350" s="37"/>
      <c r="AY350" s="827">
        <v>93</v>
      </c>
      <c r="AZ350" s="37"/>
      <c r="BA350" s="37"/>
      <c r="BB350" s="37"/>
      <c r="BC350" s="37"/>
      <c r="BD350" s="827">
        <v>105</v>
      </c>
      <c r="BE350" s="37"/>
      <c r="BF350" s="37"/>
      <c r="BG350" s="37"/>
      <c r="BH350" s="37"/>
      <c r="BI350" s="827">
        <v>114</v>
      </c>
      <c r="BJ350" s="37"/>
      <c r="BK350" s="37"/>
      <c r="BL350" s="37"/>
      <c r="BM350" s="37"/>
      <c r="BN350" s="827">
        <v>97</v>
      </c>
      <c r="BO350" s="37"/>
      <c r="BP350" s="37"/>
      <c r="BQ350" s="37"/>
      <c r="BR350" s="37"/>
      <c r="BS350" s="827">
        <v>97</v>
      </c>
      <c r="BT350" s="480"/>
      <c r="BU350" s="37"/>
      <c r="BV350" s="37"/>
      <c r="BW350" s="37"/>
      <c r="BX350" s="821"/>
      <c r="BY350" s="37"/>
      <c r="BZ350" s="37"/>
      <c r="CA350" s="37"/>
      <c r="CB350" s="37"/>
      <c r="CC350" s="821"/>
      <c r="CD350" s="821"/>
      <c r="CE350" s="821"/>
      <c r="CF350" s="821"/>
      <c r="CG350" s="22"/>
    </row>
    <row r="351" spans="1:85" s="428" customFormat="1" hidden="1" outlineLevel="1" x14ac:dyDescent="0.3">
      <c r="A351" s="471" t="s">
        <v>167</v>
      </c>
      <c r="B351" s="469"/>
      <c r="C351" s="888">
        <f t="shared" ref="C351:AH351" si="651">SUM(C346:C350)</f>
        <v>1403</v>
      </c>
      <c r="D351" s="888">
        <f t="shared" si="651"/>
        <v>1349</v>
      </c>
      <c r="E351" s="888">
        <f t="shared" si="651"/>
        <v>1257</v>
      </c>
      <c r="F351" s="888">
        <f t="shared" si="651"/>
        <v>1211</v>
      </c>
      <c r="G351" s="470">
        <f t="shared" si="651"/>
        <v>0</v>
      </c>
      <c r="H351" s="470">
        <f t="shared" si="651"/>
        <v>0</v>
      </c>
      <c r="I351" s="470">
        <f t="shared" si="651"/>
        <v>0</v>
      </c>
      <c r="J351" s="470">
        <f t="shared" si="651"/>
        <v>0</v>
      </c>
      <c r="K351" s="888">
        <f t="shared" si="651"/>
        <v>1182</v>
      </c>
      <c r="L351" s="470">
        <f t="shared" si="651"/>
        <v>0</v>
      </c>
      <c r="M351" s="470">
        <f t="shared" si="651"/>
        <v>0</v>
      </c>
      <c r="N351" s="470">
        <f t="shared" si="651"/>
        <v>0</v>
      </c>
      <c r="O351" s="470">
        <f t="shared" si="651"/>
        <v>0</v>
      </c>
      <c r="P351" s="888">
        <f t="shared" si="651"/>
        <v>1210</v>
      </c>
      <c r="Q351" s="470">
        <f t="shared" si="651"/>
        <v>0</v>
      </c>
      <c r="R351" s="470">
        <f t="shared" si="651"/>
        <v>0</v>
      </c>
      <c r="S351" s="470">
        <f t="shared" si="651"/>
        <v>0</v>
      </c>
      <c r="T351" s="470">
        <f t="shared" si="651"/>
        <v>0</v>
      </c>
      <c r="U351" s="888">
        <f t="shared" si="651"/>
        <v>1228</v>
      </c>
      <c r="V351" s="470">
        <f t="shared" si="651"/>
        <v>0</v>
      </c>
      <c r="W351" s="470">
        <f t="shared" si="651"/>
        <v>0</v>
      </c>
      <c r="X351" s="470">
        <f t="shared" si="651"/>
        <v>0</v>
      </c>
      <c r="Y351" s="470">
        <f t="shared" si="651"/>
        <v>0</v>
      </c>
      <c r="Z351" s="888">
        <f t="shared" si="651"/>
        <v>1213</v>
      </c>
      <c r="AA351" s="84">
        <f t="shared" si="651"/>
        <v>0</v>
      </c>
      <c r="AB351" s="470">
        <f t="shared" si="651"/>
        <v>0</v>
      </c>
      <c r="AC351" s="470">
        <f t="shared" si="651"/>
        <v>0</v>
      </c>
      <c r="AD351" s="470">
        <f t="shared" si="651"/>
        <v>0</v>
      </c>
      <c r="AE351" s="888">
        <f t="shared" si="651"/>
        <v>1197</v>
      </c>
      <c r="AF351" s="84">
        <f t="shared" si="651"/>
        <v>0</v>
      </c>
      <c r="AG351" s="470">
        <f t="shared" si="651"/>
        <v>0</v>
      </c>
      <c r="AH351" s="470">
        <f t="shared" si="651"/>
        <v>0</v>
      </c>
      <c r="AI351" s="470">
        <f t="shared" ref="AI351:BN351" si="652">SUM(AI346:AI350)</f>
        <v>0</v>
      </c>
      <c r="AJ351" s="888">
        <f t="shared" si="652"/>
        <v>1218</v>
      </c>
      <c r="AK351" s="84">
        <f t="shared" si="652"/>
        <v>0</v>
      </c>
      <c r="AL351" s="470">
        <f t="shared" si="652"/>
        <v>0</v>
      </c>
      <c r="AM351" s="470">
        <f t="shared" si="652"/>
        <v>0</v>
      </c>
      <c r="AN351" s="470">
        <f t="shared" si="652"/>
        <v>0</v>
      </c>
      <c r="AO351" s="888">
        <f t="shared" si="652"/>
        <v>1250</v>
      </c>
      <c r="AP351" s="84">
        <f t="shared" si="652"/>
        <v>0</v>
      </c>
      <c r="AQ351" s="470">
        <f t="shared" si="652"/>
        <v>0</v>
      </c>
      <c r="AR351" s="470">
        <f t="shared" si="652"/>
        <v>0</v>
      </c>
      <c r="AS351" s="470">
        <f t="shared" si="652"/>
        <v>0</v>
      </c>
      <c r="AT351" s="888">
        <f t="shared" si="652"/>
        <v>1003</v>
      </c>
      <c r="AU351" s="84">
        <f t="shared" si="652"/>
        <v>0</v>
      </c>
      <c r="AV351" s="470">
        <f t="shared" si="652"/>
        <v>0</v>
      </c>
      <c r="AW351" s="470">
        <f t="shared" si="652"/>
        <v>0</v>
      </c>
      <c r="AX351" s="470">
        <f t="shared" si="652"/>
        <v>0</v>
      </c>
      <c r="AY351" s="888">
        <f t="shared" si="652"/>
        <v>1139</v>
      </c>
      <c r="AZ351" s="84">
        <f t="shared" si="652"/>
        <v>0</v>
      </c>
      <c r="BA351" s="470">
        <f t="shared" si="652"/>
        <v>0</v>
      </c>
      <c r="BB351" s="470">
        <f t="shared" si="652"/>
        <v>0</v>
      </c>
      <c r="BC351" s="470">
        <f t="shared" si="652"/>
        <v>0</v>
      </c>
      <c r="BD351" s="888">
        <f t="shared" si="652"/>
        <v>1228</v>
      </c>
      <c r="BE351" s="84">
        <f t="shared" si="652"/>
        <v>0</v>
      </c>
      <c r="BF351" s="470">
        <f t="shared" si="652"/>
        <v>0</v>
      </c>
      <c r="BG351" s="470">
        <f t="shared" si="652"/>
        <v>0</v>
      </c>
      <c r="BH351" s="470">
        <f t="shared" si="652"/>
        <v>0</v>
      </c>
      <c r="BI351" s="886">
        <f t="shared" si="652"/>
        <v>1287</v>
      </c>
      <c r="BJ351" s="84">
        <f t="shared" si="652"/>
        <v>0</v>
      </c>
      <c r="BK351" s="470">
        <f t="shared" si="652"/>
        <v>0</v>
      </c>
      <c r="BL351" s="470">
        <f t="shared" si="652"/>
        <v>0</v>
      </c>
      <c r="BM351" s="470">
        <f t="shared" si="652"/>
        <v>0</v>
      </c>
      <c r="BN351" s="886">
        <f t="shared" si="652"/>
        <v>1286</v>
      </c>
      <c r="BO351" s="84">
        <f t="shared" ref="BO351:BT351" si="653">SUM(BO346:BO350)</f>
        <v>0</v>
      </c>
      <c r="BP351" s="470">
        <f t="shared" si="653"/>
        <v>0</v>
      </c>
      <c r="BQ351" s="470">
        <f t="shared" si="653"/>
        <v>0</v>
      </c>
      <c r="BR351" s="470">
        <f t="shared" si="653"/>
        <v>0</v>
      </c>
      <c r="BS351" s="886">
        <f t="shared" si="653"/>
        <v>1317</v>
      </c>
      <c r="BT351" s="479">
        <f t="shared" si="653"/>
        <v>0</v>
      </c>
      <c r="BU351" s="84"/>
      <c r="BV351" s="84"/>
      <c r="BW351" s="84"/>
      <c r="BX351" s="886"/>
      <c r="BY351" s="84"/>
      <c r="BZ351" s="84"/>
      <c r="CA351" s="84"/>
      <c r="CB351" s="84"/>
      <c r="CC351" s="886"/>
      <c r="CD351" s="886"/>
      <c r="CE351" s="886"/>
      <c r="CF351" s="886"/>
      <c r="CG351" s="22"/>
    </row>
    <row r="352" spans="1:85" s="429" customFormat="1" ht="7.5" hidden="1" customHeight="1" outlineLevel="1" x14ac:dyDescent="0.3">
      <c r="A352" s="48"/>
      <c r="B352" s="63"/>
      <c r="C352" s="825"/>
      <c r="D352" s="825"/>
      <c r="E352" s="825"/>
      <c r="F352" s="825"/>
      <c r="G352" s="31"/>
      <c r="H352" s="31"/>
      <c r="I352" s="31"/>
      <c r="J352" s="31"/>
      <c r="K352" s="825"/>
      <c r="L352" s="31"/>
      <c r="M352" s="31"/>
      <c r="N352" s="31"/>
      <c r="O352" s="31"/>
      <c r="P352" s="825"/>
      <c r="Q352" s="31"/>
      <c r="R352" s="31"/>
      <c r="S352" s="31"/>
      <c r="T352" s="31"/>
      <c r="U352" s="825"/>
      <c r="V352" s="31"/>
      <c r="W352" s="31"/>
      <c r="X352" s="31"/>
      <c r="Y352" s="31"/>
      <c r="Z352" s="825"/>
      <c r="AA352" s="31"/>
      <c r="AB352" s="31"/>
      <c r="AC352" s="31"/>
      <c r="AD352" s="31"/>
      <c r="AE352" s="825"/>
      <c r="AF352" s="31"/>
      <c r="AG352" s="31"/>
      <c r="AH352" s="31"/>
      <c r="AI352" s="31"/>
      <c r="AJ352" s="825"/>
      <c r="AK352" s="31"/>
      <c r="AL352" s="31"/>
      <c r="AM352" s="31"/>
      <c r="AN352" s="31"/>
      <c r="AO352" s="825"/>
      <c r="AP352" s="31"/>
      <c r="AQ352" s="31"/>
      <c r="AR352" s="31"/>
      <c r="AS352" s="31"/>
      <c r="AT352" s="825"/>
      <c r="AU352" s="31"/>
      <c r="AV352" s="31"/>
      <c r="AW352" s="31"/>
      <c r="AX352" s="31"/>
      <c r="AY352" s="825"/>
      <c r="AZ352" s="31"/>
      <c r="BA352" s="31"/>
      <c r="BB352" s="31"/>
      <c r="BC352" s="31"/>
      <c r="BD352" s="825"/>
      <c r="BE352" s="31"/>
      <c r="BF352" s="31"/>
      <c r="BG352" s="31"/>
      <c r="BH352" s="31"/>
      <c r="BI352" s="825"/>
      <c r="BJ352" s="31"/>
      <c r="BK352" s="31"/>
      <c r="BL352" s="31"/>
      <c r="BM352" s="31"/>
      <c r="BN352" s="825"/>
      <c r="BO352" s="31"/>
      <c r="BP352" s="31"/>
      <c r="BQ352" s="31"/>
      <c r="BR352" s="31"/>
      <c r="BS352" s="825"/>
      <c r="BT352" s="379"/>
      <c r="BU352" s="31"/>
      <c r="BV352" s="31"/>
      <c r="BW352" s="31"/>
      <c r="BX352" s="825"/>
      <c r="BY352" s="31"/>
      <c r="BZ352" s="31"/>
      <c r="CA352" s="31"/>
      <c r="CB352" s="31"/>
      <c r="CC352" s="825"/>
      <c r="CD352" s="825"/>
      <c r="CE352" s="825"/>
      <c r="CF352" s="825"/>
      <c r="CG352" s="26"/>
    </row>
    <row r="353" spans="1:85" s="428" customFormat="1" hidden="1" outlineLevel="1" x14ac:dyDescent="0.3">
      <c r="A353" s="40" t="s">
        <v>511</v>
      </c>
      <c r="B353" s="64"/>
      <c r="C353" s="827">
        <v>555</v>
      </c>
      <c r="D353" s="827">
        <v>521</v>
      </c>
      <c r="E353" s="827">
        <v>447</v>
      </c>
      <c r="F353" s="827">
        <v>412</v>
      </c>
      <c r="G353" s="37"/>
      <c r="H353" s="37"/>
      <c r="I353" s="37"/>
      <c r="J353" s="37"/>
      <c r="K353" s="827">
        <v>398</v>
      </c>
      <c r="L353" s="37"/>
      <c r="M353" s="37"/>
      <c r="N353" s="37"/>
      <c r="O353" s="37"/>
      <c r="P353" s="827">
        <v>403</v>
      </c>
      <c r="Q353" s="37"/>
      <c r="R353" s="37"/>
      <c r="S353" s="37"/>
      <c r="T353" s="37"/>
      <c r="U353" s="827">
        <v>389</v>
      </c>
      <c r="V353" s="37"/>
      <c r="W353" s="37"/>
      <c r="X353" s="37"/>
      <c r="Y353" s="37"/>
      <c r="Z353" s="827">
        <v>382</v>
      </c>
      <c r="AA353" s="37"/>
      <c r="AB353" s="37"/>
      <c r="AC353" s="37"/>
      <c r="AD353" s="37"/>
      <c r="AE353" s="827">
        <v>365</v>
      </c>
      <c r="AF353" s="37"/>
      <c r="AG353" s="37"/>
      <c r="AH353" s="37"/>
      <c r="AI353" s="37"/>
      <c r="AJ353" s="827">
        <v>336</v>
      </c>
      <c r="AK353" s="37"/>
      <c r="AL353" s="37"/>
      <c r="AM353" s="37"/>
      <c r="AN353" s="37"/>
      <c r="AO353" s="827">
        <v>289</v>
      </c>
      <c r="AP353" s="37"/>
      <c r="AQ353" s="37"/>
      <c r="AR353" s="37"/>
      <c r="AS353" s="37"/>
      <c r="AT353" s="827">
        <v>264</v>
      </c>
      <c r="AU353" s="37"/>
      <c r="AV353" s="37"/>
      <c r="AW353" s="37"/>
      <c r="AX353" s="37"/>
      <c r="AY353" s="827">
        <v>321</v>
      </c>
      <c r="AZ353" s="37"/>
      <c r="BA353" s="37"/>
      <c r="BB353" s="37"/>
      <c r="BC353" s="37"/>
      <c r="BD353" s="827">
        <v>336</v>
      </c>
      <c r="BE353" s="37"/>
      <c r="BF353" s="37"/>
      <c r="BG353" s="37"/>
      <c r="BH353" s="37"/>
      <c r="BI353" s="827">
        <v>353</v>
      </c>
      <c r="BJ353" s="37"/>
      <c r="BK353" s="37"/>
      <c r="BL353" s="37"/>
      <c r="BM353" s="37"/>
      <c r="BN353" s="827">
        <v>382</v>
      </c>
      <c r="BO353" s="37"/>
      <c r="BP353" s="37"/>
      <c r="BQ353" s="37"/>
      <c r="BR353" s="37"/>
      <c r="BS353" s="827">
        <v>388</v>
      </c>
      <c r="BT353" s="480"/>
      <c r="BU353" s="37"/>
      <c r="BV353" s="37"/>
      <c r="BW353" s="37"/>
      <c r="BX353" s="821"/>
      <c r="BY353" s="37"/>
      <c r="BZ353" s="37"/>
      <c r="CA353" s="37"/>
      <c r="CB353" s="37"/>
      <c r="CC353" s="821"/>
      <c r="CD353" s="821"/>
      <c r="CE353" s="821"/>
      <c r="CF353" s="821"/>
      <c r="CG353" s="22"/>
    </row>
    <row r="354" spans="1:85" s="428" customFormat="1" hidden="1" outlineLevel="1" x14ac:dyDescent="0.3">
      <c r="A354" s="40" t="s">
        <v>512</v>
      </c>
      <c r="B354" s="64"/>
      <c r="C354" s="827">
        <v>264</v>
      </c>
      <c r="D354" s="827">
        <v>271</v>
      </c>
      <c r="E354" s="827">
        <v>269</v>
      </c>
      <c r="F354" s="827">
        <v>243</v>
      </c>
      <c r="G354" s="37"/>
      <c r="H354" s="37"/>
      <c r="I354" s="37"/>
      <c r="J354" s="37"/>
      <c r="K354" s="827">
        <v>245</v>
      </c>
      <c r="L354" s="37"/>
      <c r="M354" s="37"/>
      <c r="N354" s="37"/>
      <c r="O354" s="37"/>
      <c r="P354" s="827">
        <v>249</v>
      </c>
      <c r="Q354" s="37"/>
      <c r="R354" s="37"/>
      <c r="S354" s="37"/>
      <c r="T354" s="37"/>
      <c r="U354" s="827">
        <v>271</v>
      </c>
      <c r="V354" s="37"/>
      <c r="W354" s="37"/>
      <c r="X354" s="37"/>
      <c r="Y354" s="37"/>
      <c r="Z354" s="827">
        <v>261</v>
      </c>
      <c r="AA354" s="37"/>
      <c r="AB354" s="37"/>
      <c r="AC354" s="37"/>
      <c r="AD354" s="37"/>
      <c r="AE354" s="827">
        <v>274</v>
      </c>
      <c r="AF354" s="37"/>
      <c r="AG354" s="37"/>
      <c r="AH354" s="37"/>
      <c r="AI354" s="37"/>
      <c r="AJ354" s="827">
        <v>276</v>
      </c>
      <c r="AK354" s="37"/>
      <c r="AL354" s="37"/>
      <c r="AM354" s="37"/>
      <c r="AN354" s="37"/>
      <c r="AO354" s="827">
        <v>238</v>
      </c>
      <c r="AP354" s="37"/>
      <c r="AQ354" s="37"/>
      <c r="AR354" s="37"/>
      <c r="AS354" s="37"/>
      <c r="AT354" s="827">
        <v>143</v>
      </c>
      <c r="AU354" s="37"/>
      <c r="AV354" s="37"/>
      <c r="AW354" s="37"/>
      <c r="AX354" s="37"/>
      <c r="AY354" s="827">
        <v>140</v>
      </c>
      <c r="AZ354" s="37"/>
      <c r="BA354" s="37"/>
      <c r="BB354" s="37"/>
      <c r="BC354" s="37"/>
      <c r="BD354" s="827">
        <v>196</v>
      </c>
      <c r="BE354" s="37"/>
      <c r="BF354" s="37"/>
      <c r="BG354" s="37"/>
      <c r="BH354" s="37"/>
      <c r="BI354" s="827">
        <v>234</v>
      </c>
      <c r="BJ354" s="37"/>
      <c r="BK354" s="37"/>
      <c r="BL354" s="37"/>
      <c r="BM354" s="37"/>
      <c r="BN354" s="827">
        <v>229</v>
      </c>
      <c r="BO354" s="37"/>
      <c r="BP354" s="37"/>
      <c r="BQ354" s="37"/>
      <c r="BR354" s="37"/>
      <c r="BS354" s="827">
        <v>223</v>
      </c>
      <c r="BT354" s="480"/>
      <c r="BU354" s="37"/>
      <c r="BV354" s="37"/>
      <c r="BW354" s="37"/>
      <c r="BX354" s="821"/>
      <c r="BY354" s="37"/>
      <c r="BZ354" s="37"/>
      <c r="CA354" s="37"/>
      <c r="CB354" s="37"/>
      <c r="CC354" s="821"/>
      <c r="CD354" s="821"/>
      <c r="CE354" s="821"/>
      <c r="CF354" s="821"/>
      <c r="CG354" s="22"/>
    </row>
    <row r="355" spans="1:85" s="428" customFormat="1" hidden="1" outlineLevel="1" x14ac:dyDescent="0.3">
      <c r="A355" s="40" t="s">
        <v>513</v>
      </c>
      <c r="B355" s="64"/>
      <c r="C355" s="827">
        <v>647</v>
      </c>
      <c r="D355" s="827">
        <v>583</v>
      </c>
      <c r="E355" s="827">
        <v>543</v>
      </c>
      <c r="F355" s="827">
        <v>496</v>
      </c>
      <c r="G355" s="37"/>
      <c r="H355" s="37"/>
      <c r="I355" s="37"/>
      <c r="J355" s="37"/>
      <c r="K355" s="827">
        <v>510</v>
      </c>
      <c r="L355" s="37"/>
      <c r="M355" s="37"/>
      <c r="N355" s="37"/>
      <c r="O355" s="37"/>
      <c r="P355" s="827">
        <v>498</v>
      </c>
      <c r="Q355" s="37"/>
      <c r="R355" s="37"/>
      <c r="S355" s="37"/>
      <c r="T355" s="37"/>
      <c r="U355" s="827">
        <v>478</v>
      </c>
      <c r="V355" s="37"/>
      <c r="W355" s="37"/>
      <c r="X355" s="37"/>
      <c r="Y355" s="37"/>
      <c r="Z355" s="827">
        <v>468</v>
      </c>
      <c r="AA355" s="37"/>
      <c r="AB355" s="37"/>
      <c r="AC355" s="37"/>
      <c r="AD355" s="37"/>
      <c r="AE355" s="827">
        <v>490</v>
      </c>
      <c r="AF355" s="37"/>
      <c r="AG355" s="37"/>
      <c r="AH355" s="37"/>
      <c r="AI355" s="37"/>
      <c r="AJ355" s="827">
        <v>446</v>
      </c>
      <c r="AK355" s="37"/>
      <c r="AL355" s="37"/>
      <c r="AM355" s="37"/>
      <c r="AN355" s="37"/>
      <c r="AO355" s="827">
        <v>427</v>
      </c>
      <c r="AP355" s="37"/>
      <c r="AQ355" s="37"/>
      <c r="AR355" s="37"/>
      <c r="AS355" s="37"/>
      <c r="AT355" s="827">
        <v>438</v>
      </c>
      <c r="AU355" s="37"/>
      <c r="AV355" s="37"/>
      <c r="AW355" s="37"/>
      <c r="AX355" s="37"/>
      <c r="AY355" s="827">
        <v>471</v>
      </c>
      <c r="AZ355" s="37"/>
      <c r="BA355" s="37"/>
      <c r="BB355" s="37"/>
      <c r="BC355" s="37"/>
      <c r="BD355" s="827">
        <v>464</v>
      </c>
      <c r="BE355" s="37"/>
      <c r="BF355" s="37"/>
      <c r="BG355" s="37"/>
      <c r="BH355" s="37"/>
      <c r="BI355" s="827">
        <v>472</v>
      </c>
      <c r="BJ355" s="37"/>
      <c r="BK355" s="37"/>
      <c r="BL355" s="37"/>
      <c r="BM355" s="37"/>
      <c r="BN355" s="827">
        <v>479</v>
      </c>
      <c r="BO355" s="37"/>
      <c r="BP355" s="37"/>
      <c r="BQ355" s="37"/>
      <c r="BR355" s="37"/>
      <c r="BS355" s="827">
        <v>483</v>
      </c>
      <c r="BT355" s="480"/>
      <c r="BU355" s="37"/>
      <c r="BV355" s="37"/>
      <c r="BW355" s="37"/>
      <c r="BX355" s="821"/>
      <c r="BY355" s="37"/>
      <c r="BZ355" s="37"/>
      <c r="CA355" s="37"/>
      <c r="CB355" s="37"/>
      <c r="CC355" s="821"/>
      <c r="CD355" s="821"/>
      <c r="CE355" s="821"/>
      <c r="CF355" s="821"/>
      <c r="CG355" s="22"/>
    </row>
    <row r="356" spans="1:85" s="428" customFormat="1" hidden="1" outlineLevel="1" x14ac:dyDescent="0.3">
      <c r="A356" s="40" t="s">
        <v>514</v>
      </c>
      <c r="B356" s="64"/>
      <c r="C356" s="827">
        <v>209</v>
      </c>
      <c r="D356" s="827">
        <v>197</v>
      </c>
      <c r="E356" s="827">
        <v>233</v>
      </c>
      <c r="F356" s="827">
        <v>210</v>
      </c>
      <c r="G356" s="37"/>
      <c r="H356" s="37"/>
      <c r="I356" s="37"/>
      <c r="J356" s="37"/>
      <c r="K356" s="827">
        <v>179</v>
      </c>
      <c r="L356" s="37"/>
      <c r="M356" s="37"/>
      <c r="N356" s="37"/>
      <c r="O356" s="37"/>
      <c r="P356" s="827">
        <v>162</v>
      </c>
      <c r="Q356" s="37"/>
      <c r="R356" s="37"/>
      <c r="S356" s="37"/>
      <c r="T356" s="37"/>
      <c r="U356" s="827">
        <v>159</v>
      </c>
      <c r="V356" s="37"/>
      <c r="W356" s="37"/>
      <c r="X356" s="37"/>
      <c r="Y356" s="37"/>
      <c r="Z356" s="827">
        <v>144</v>
      </c>
      <c r="AA356" s="37"/>
      <c r="AB356" s="37"/>
      <c r="AC356" s="37"/>
      <c r="AD356" s="37"/>
      <c r="AE356" s="827">
        <v>162</v>
      </c>
      <c r="AF356" s="37"/>
      <c r="AG356" s="37"/>
      <c r="AH356" s="37"/>
      <c r="AI356" s="37"/>
      <c r="AJ356" s="827">
        <v>177</v>
      </c>
      <c r="AK356" s="37"/>
      <c r="AL356" s="37"/>
      <c r="AM356" s="37"/>
      <c r="AN356" s="37"/>
      <c r="AO356" s="827">
        <v>167</v>
      </c>
      <c r="AP356" s="37"/>
      <c r="AQ356" s="37"/>
      <c r="AR356" s="37"/>
      <c r="AS356" s="37"/>
      <c r="AT356" s="827">
        <v>184</v>
      </c>
      <c r="AU356" s="37"/>
      <c r="AV356" s="37"/>
      <c r="AW356" s="37"/>
      <c r="AX356" s="37"/>
      <c r="AY356" s="827">
        <v>177</v>
      </c>
      <c r="AZ356" s="37"/>
      <c r="BA356" s="37"/>
      <c r="BB356" s="37"/>
      <c r="BC356" s="37"/>
      <c r="BD356" s="827">
        <v>168</v>
      </c>
      <c r="BE356" s="37"/>
      <c r="BF356" s="37"/>
      <c r="BG356" s="37"/>
      <c r="BH356" s="37"/>
      <c r="BI356" s="827">
        <v>161</v>
      </c>
      <c r="BJ356" s="37"/>
      <c r="BK356" s="37"/>
      <c r="BL356" s="37"/>
      <c r="BM356" s="37"/>
      <c r="BN356" s="827">
        <v>182</v>
      </c>
      <c r="BO356" s="37"/>
      <c r="BP356" s="37"/>
      <c r="BQ356" s="37"/>
      <c r="BR356" s="37"/>
      <c r="BS356" s="827">
        <v>174</v>
      </c>
      <c r="BT356" s="480"/>
      <c r="BU356" s="37"/>
      <c r="BV356" s="37"/>
      <c r="BW356" s="37"/>
      <c r="BX356" s="821"/>
      <c r="BY356" s="37"/>
      <c r="BZ356" s="37"/>
      <c r="CA356" s="37"/>
      <c r="CB356" s="37"/>
      <c r="CC356" s="821"/>
      <c r="CD356" s="821"/>
      <c r="CE356" s="821"/>
      <c r="CF356" s="821"/>
      <c r="CG356" s="22"/>
    </row>
    <row r="357" spans="1:85" s="428" customFormat="1" hidden="1" outlineLevel="1" x14ac:dyDescent="0.3">
      <c r="A357" s="43" t="s">
        <v>515</v>
      </c>
      <c r="B357" s="64"/>
      <c r="C357" s="827">
        <v>176</v>
      </c>
      <c r="D357" s="827">
        <v>192</v>
      </c>
      <c r="E357" s="827">
        <v>200</v>
      </c>
      <c r="F357" s="827">
        <v>193</v>
      </c>
      <c r="G357" s="37"/>
      <c r="H357" s="37"/>
      <c r="I357" s="37"/>
      <c r="J357" s="37"/>
      <c r="K357" s="827">
        <v>197</v>
      </c>
      <c r="L357" s="37"/>
      <c r="M357" s="37"/>
      <c r="N357" s="37"/>
      <c r="O357" s="37"/>
      <c r="P357" s="827">
        <v>189</v>
      </c>
      <c r="Q357" s="37"/>
      <c r="R357" s="37"/>
      <c r="S357" s="37"/>
      <c r="T357" s="37"/>
      <c r="U357" s="827">
        <v>210</v>
      </c>
      <c r="V357" s="37"/>
      <c r="W357" s="37"/>
      <c r="X357" s="37"/>
      <c r="Y357" s="37"/>
      <c r="Z357" s="827">
        <v>207</v>
      </c>
      <c r="AA357" s="37"/>
      <c r="AB357" s="37"/>
      <c r="AC357" s="37"/>
      <c r="AD357" s="37"/>
      <c r="AE357" s="827">
        <v>202</v>
      </c>
      <c r="AF357" s="37"/>
      <c r="AG357" s="37"/>
      <c r="AH357" s="37"/>
      <c r="AI357" s="37"/>
      <c r="AJ357" s="827">
        <v>202</v>
      </c>
      <c r="AK357" s="37"/>
      <c r="AL357" s="37"/>
      <c r="AM357" s="37"/>
      <c r="AN357" s="37"/>
      <c r="AO357" s="827">
        <v>206</v>
      </c>
      <c r="AP357" s="37"/>
      <c r="AQ357" s="37"/>
      <c r="AR357" s="37"/>
      <c r="AS357" s="37"/>
      <c r="AT357" s="827">
        <v>192</v>
      </c>
      <c r="AU357" s="37"/>
      <c r="AV357" s="37"/>
      <c r="AW357" s="37"/>
      <c r="AX357" s="37"/>
      <c r="AY357" s="827">
        <v>206</v>
      </c>
      <c r="AZ357" s="37"/>
      <c r="BA357" s="37"/>
      <c r="BB357" s="37"/>
      <c r="BC357" s="37"/>
      <c r="BD357" s="827">
        <v>222</v>
      </c>
      <c r="BE357" s="37"/>
      <c r="BF357" s="37"/>
      <c r="BG357" s="37"/>
      <c r="BH357" s="37"/>
      <c r="BI357" s="828">
        <v>225</v>
      </c>
      <c r="BJ357" s="37"/>
      <c r="BK357" s="37"/>
      <c r="BL357" s="37"/>
      <c r="BM357" s="37"/>
      <c r="BN357" s="828">
        <v>223</v>
      </c>
      <c r="BO357" s="37"/>
      <c r="BP357" s="37"/>
      <c r="BQ357" s="37"/>
      <c r="BR357" s="37"/>
      <c r="BS357" s="828">
        <v>216</v>
      </c>
      <c r="BT357" s="480"/>
      <c r="BU357" s="37"/>
      <c r="BV357" s="37"/>
      <c r="BW357" s="37"/>
      <c r="BX357" s="821"/>
      <c r="BY357" s="37"/>
      <c r="BZ357" s="37"/>
      <c r="CA357" s="37"/>
      <c r="CB357" s="37"/>
      <c r="CC357" s="821"/>
      <c r="CD357" s="821"/>
      <c r="CE357" s="821"/>
      <c r="CF357" s="821"/>
      <c r="CG357" s="22"/>
    </row>
    <row r="358" spans="1:85" s="428" customFormat="1" hidden="1" outlineLevel="1" x14ac:dyDescent="0.3">
      <c r="A358" s="471" t="s">
        <v>168</v>
      </c>
      <c r="B358" s="469"/>
      <c r="C358" s="888">
        <f t="shared" ref="C358:AH358" si="654">SUM(C353:C357)</f>
        <v>1851</v>
      </c>
      <c r="D358" s="888">
        <f t="shared" si="654"/>
        <v>1764</v>
      </c>
      <c r="E358" s="888">
        <f t="shared" si="654"/>
        <v>1692</v>
      </c>
      <c r="F358" s="888">
        <f t="shared" si="654"/>
        <v>1554</v>
      </c>
      <c r="G358" s="470">
        <f t="shared" si="654"/>
        <v>0</v>
      </c>
      <c r="H358" s="470">
        <f t="shared" si="654"/>
        <v>0</v>
      </c>
      <c r="I358" s="470">
        <f t="shared" si="654"/>
        <v>0</v>
      </c>
      <c r="J358" s="470">
        <f t="shared" si="654"/>
        <v>0</v>
      </c>
      <c r="K358" s="888">
        <f t="shared" si="654"/>
        <v>1529</v>
      </c>
      <c r="L358" s="470">
        <f t="shared" si="654"/>
        <v>0</v>
      </c>
      <c r="M358" s="470">
        <f t="shared" si="654"/>
        <v>0</v>
      </c>
      <c r="N358" s="470">
        <f t="shared" si="654"/>
        <v>0</v>
      </c>
      <c r="O358" s="470">
        <f t="shared" si="654"/>
        <v>0</v>
      </c>
      <c r="P358" s="888">
        <f t="shared" si="654"/>
        <v>1501</v>
      </c>
      <c r="Q358" s="470">
        <f t="shared" si="654"/>
        <v>0</v>
      </c>
      <c r="R358" s="470">
        <f t="shared" si="654"/>
        <v>0</v>
      </c>
      <c r="S358" s="470">
        <f t="shared" si="654"/>
        <v>0</v>
      </c>
      <c r="T358" s="470">
        <f t="shared" si="654"/>
        <v>0</v>
      </c>
      <c r="U358" s="888">
        <f t="shared" si="654"/>
        <v>1507</v>
      </c>
      <c r="V358" s="470">
        <f t="shared" si="654"/>
        <v>0</v>
      </c>
      <c r="W358" s="470">
        <f t="shared" si="654"/>
        <v>0</v>
      </c>
      <c r="X358" s="470">
        <f t="shared" si="654"/>
        <v>0</v>
      </c>
      <c r="Y358" s="470">
        <f t="shared" si="654"/>
        <v>0</v>
      </c>
      <c r="Z358" s="888">
        <f t="shared" si="654"/>
        <v>1462</v>
      </c>
      <c r="AA358" s="84">
        <f t="shared" si="654"/>
        <v>0</v>
      </c>
      <c r="AB358" s="470">
        <f t="shared" si="654"/>
        <v>0</v>
      </c>
      <c r="AC358" s="470">
        <f t="shared" si="654"/>
        <v>0</v>
      </c>
      <c r="AD358" s="470">
        <f t="shared" si="654"/>
        <v>0</v>
      </c>
      <c r="AE358" s="888">
        <f t="shared" si="654"/>
        <v>1493</v>
      </c>
      <c r="AF358" s="84">
        <f t="shared" si="654"/>
        <v>0</v>
      </c>
      <c r="AG358" s="470">
        <f t="shared" si="654"/>
        <v>0</v>
      </c>
      <c r="AH358" s="470">
        <f t="shared" si="654"/>
        <v>0</v>
      </c>
      <c r="AI358" s="470">
        <f t="shared" ref="AI358:BN358" si="655">SUM(AI353:AI357)</f>
        <v>0</v>
      </c>
      <c r="AJ358" s="888">
        <f t="shared" si="655"/>
        <v>1437</v>
      </c>
      <c r="AK358" s="84">
        <f t="shared" si="655"/>
        <v>0</v>
      </c>
      <c r="AL358" s="470">
        <f t="shared" si="655"/>
        <v>0</v>
      </c>
      <c r="AM358" s="470">
        <f t="shared" si="655"/>
        <v>0</v>
      </c>
      <c r="AN358" s="470">
        <f t="shared" si="655"/>
        <v>0</v>
      </c>
      <c r="AO358" s="888">
        <f t="shared" si="655"/>
        <v>1327</v>
      </c>
      <c r="AP358" s="84">
        <f t="shared" si="655"/>
        <v>0</v>
      </c>
      <c r="AQ358" s="470">
        <f t="shared" si="655"/>
        <v>0</v>
      </c>
      <c r="AR358" s="470">
        <f t="shared" si="655"/>
        <v>0</v>
      </c>
      <c r="AS358" s="470">
        <f t="shared" si="655"/>
        <v>0</v>
      </c>
      <c r="AT358" s="888">
        <f t="shared" si="655"/>
        <v>1221</v>
      </c>
      <c r="AU358" s="84">
        <f t="shared" si="655"/>
        <v>0</v>
      </c>
      <c r="AV358" s="470">
        <f t="shared" si="655"/>
        <v>0</v>
      </c>
      <c r="AW358" s="470">
        <f t="shared" si="655"/>
        <v>0</v>
      </c>
      <c r="AX358" s="470">
        <f t="shared" si="655"/>
        <v>0</v>
      </c>
      <c r="AY358" s="888">
        <f t="shared" si="655"/>
        <v>1315</v>
      </c>
      <c r="AZ358" s="84">
        <f t="shared" si="655"/>
        <v>0</v>
      </c>
      <c r="BA358" s="470">
        <f t="shared" si="655"/>
        <v>0</v>
      </c>
      <c r="BB358" s="470">
        <f t="shared" si="655"/>
        <v>0</v>
      </c>
      <c r="BC358" s="470">
        <f t="shared" si="655"/>
        <v>0</v>
      </c>
      <c r="BD358" s="888">
        <f t="shared" si="655"/>
        <v>1386</v>
      </c>
      <c r="BE358" s="84">
        <f t="shared" si="655"/>
        <v>0</v>
      </c>
      <c r="BF358" s="470">
        <f t="shared" si="655"/>
        <v>0</v>
      </c>
      <c r="BG358" s="470">
        <f t="shared" si="655"/>
        <v>0</v>
      </c>
      <c r="BH358" s="470">
        <f t="shared" si="655"/>
        <v>0</v>
      </c>
      <c r="BI358" s="821">
        <f t="shared" si="655"/>
        <v>1445</v>
      </c>
      <c r="BJ358" s="84">
        <f t="shared" si="655"/>
        <v>0</v>
      </c>
      <c r="BK358" s="470">
        <f t="shared" si="655"/>
        <v>0</v>
      </c>
      <c r="BL358" s="470">
        <f t="shared" si="655"/>
        <v>0</v>
      </c>
      <c r="BM358" s="470">
        <f t="shared" si="655"/>
        <v>0</v>
      </c>
      <c r="BN358" s="821">
        <f t="shared" si="655"/>
        <v>1495</v>
      </c>
      <c r="BO358" s="84">
        <f t="shared" ref="BO358:BT358" si="656">SUM(BO353:BO357)</f>
        <v>0</v>
      </c>
      <c r="BP358" s="470">
        <f t="shared" si="656"/>
        <v>0</v>
      </c>
      <c r="BQ358" s="470">
        <f t="shared" si="656"/>
        <v>0</v>
      </c>
      <c r="BR358" s="470">
        <f t="shared" si="656"/>
        <v>0</v>
      </c>
      <c r="BS358" s="821">
        <f t="shared" si="656"/>
        <v>1484</v>
      </c>
      <c r="BT358" s="479">
        <f t="shared" si="656"/>
        <v>0</v>
      </c>
      <c r="BU358" s="84"/>
      <c r="BV358" s="84"/>
      <c r="BW358" s="84"/>
      <c r="BX358" s="886"/>
      <c r="BY358" s="84"/>
      <c r="BZ358" s="84"/>
      <c r="CA358" s="84"/>
      <c r="CB358" s="84"/>
      <c r="CC358" s="886"/>
      <c r="CD358" s="886"/>
      <c r="CE358" s="886"/>
      <c r="CF358" s="886"/>
      <c r="CG358" s="22"/>
    </row>
    <row r="359" spans="1:85" s="429" customFormat="1" ht="7.5" hidden="1" customHeight="1" outlineLevel="1" x14ac:dyDescent="0.3">
      <c r="A359" s="48"/>
      <c r="B359" s="63"/>
      <c r="C359" s="825"/>
      <c r="D359" s="825"/>
      <c r="E359" s="825"/>
      <c r="F359" s="825"/>
      <c r="G359" s="31"/>
      <c r="H359" s="31"/>
      <c r="I359" s="31"/>
      <c r="J359" s="31"/>
      <c r="K359" s="825"/>
      <c r="L359" s="31"/>
      <c r="M359" s="31"/>
      <c r="N359" s="31"/>
      <c r="O359" s="31"/>
      <c r="P359" s="825"/>
      <c r="Q359" s="31"/>
      <c r="R359" s="31"/>
      <c r="S359" s="31"/>
      <c r="T359" s="31"/>
      <c r="U359" s="825"/>
      <c r="V359" s="31"/>
      <c r="W359" s="31"/>
      <c r="X359" s="31"/>
      <c r="Y359" s="31"/>
      <c r="Z359" s="825"/>
      <c r="AA359" s="31"/>
      <c r="AB359" s="31"/>
      <c r="AC359" s="31"/>
      <c r="AD359" s="31"/>
      <c r="AE359" s="825"/>
      <c r="AF359" s="31"/>
      <c r="AG359" s="31"/>
      <c r="AH359" s="31"/>
      <c r="AI359" s="31"/>
      <c r="AJ359" s="825"/>
      <c r="AK359" s="31"/>
      <c r="AL359" s="31"/>
      <c r="AM359" s="31"/>
      <c r="AN359" s="31"/>
      <c r="AO359" s="825"/>
      <c r="AP359" s="31"/>
      <c r="AQ359" s="31"/>
      <c r="AR359" s="31"/>
      <c r="AS359" s="31"/>
      <c r="AT359" s="825"/>
      <c r="AU359" s="31"/>
      <c r="AV359" s="31"/>
      <c r="AW359" s="31"/>
      <c r="AX359" s="31"/>
      <c r="AY359" s="825"/>
      <c r="AZ359" s="31"/>
      <c r="BA359" s="31"/>
      <c r="BB359" s="31"/>
      <c r="BC359" s="31"/>
      <c r="BD359" s="825"/>
      <c r="BE359" s="31"/>
      <c r="BF359" s="31"/>
      <c r="BG359" s="31"/>
      <c r="BH359" s="31"/>
      <c r="BI359" s="825"/>
      <c r="BJ359" s="31"/>
      <c r="BK359" s="31"/>
      <c r="BL359" s="31"/>
      <c r="BM359" s="31"/>
      <c r="BN359" s="825"/>
      <c r="BO359" s="31"/>
      <c r="BP359" s="31"/>
      <c r="BQ359" s="31"/>
      <c r="BR359" s="31"/>
      <c r="BS359" s="825"/>
      <c r="BT359" s="379"/>
      <c r="BU359" s="31"/>
      <c r="BV359" s="31"/>
      <c r="BW359" s="31"/>
      <c r="BX359" s="825"/>
      <c r="BY359" s="31"/>
      <c r="BZ359" s="31"/>
      <c r="CA359" s="31"/>
      <c r="CB359" s="31"/>
      <c r="CC359" s="825"/>
      <c r="CD359" s="825"/>
      <c r="CE359" s="825"/>
      <c r="CF359" s="825"/>
      <c r="CG359" s="26"/>
    </row>
    <row r="360" spans="1:85" s="428" customFormat="1" hidden="1" outlineLevel="1" x14ac:dyDescent="0.3">
      <c r="A360" s="40" t="s">
        <v>663</v>
      </c>
      <c r="B360" s="64"/>
      <c r="C360" s="852">
        <f t="shared" ref="C360:F364" si="657">C346+C353</f>
        <v>1275</v>
      </c>
      <c r="D360" s="852">
        <f t="shared" si="657"/>
        <v>1221</v>
      </c>
      <c r="E360" s="852">
        <f t="shared" si="657"/>
        <v>1096</v>
      </c>
      <c r="F360" s="852">
        <f t="shared" si="657"/>
        <v>1036</v>
      </c>
      <c r="G360" s="37"/>
      <c r="H360" s="37"/>
      <c r="I360" s="37"/>
      <c r="J360" s="37"/>
      <c r="K360" s="852">
        <f t="shared" ref="K360:K364" si="658">K346+K353</f>
        <v>1011</v>
      </c>
      <c r="L360" s="37"/>
      <c r="M360" s="37"/>
      <c r="N360" s="37"/>
      <c r="O360" s="37"/>
      <c r="P360" s="852">
        <f t="shared" ref="P360:P364" si="659">P346+P353</f>
        <v>1018</v>
      </c>
      <c r="Q360" s="37"/>
      <c r="R360" s="37"/>
      <c r="S360" s="37"/>
      <c r="T360" s="37"/>
      <c r="U360" s="852">
        <f t="shared" ref="U360:U364" si="660">U346+U353</f>
        <v>1010</v>
      </c>
      <c r="V360" s="37"/>
      <c r="W360" s="37"/>
      <c r="X360" s="37"/>
      <c r="Y360" s="37"/>
      <c r="Z360" s="852">
        <f t="shared" ref="Z360:Z364" si="661">Z346+Z353</f>
        <v>1013</v>
      </c>
      <c r="AA360" s="37"/>
      <c r="AB360" s="37"/>
      <c r="AC360" s="37"/>
      <c r="AD360" s="37"/>
      <c r="AE360" s="852">
        <f t="shared" ref="AE360:AE364" si="662">AE346+AE353</f>
        <v>990</v>
      </c>
      <c r="AF360" s="37"/>
      <c r="AG360" s="37"/>
      <c r="AH360" s="37"/>
      <c r="AI360" s="37"/>
      <c r="AJ360" s="852">
        <f t="shared" ref="AJ360:AJ364" si="663">AJ346+AJ353</f>
        <v>963</v>
      </c>
      <c r="AK360" s="37"/>
      <c r="AL360" s="37"/>
      <c r="AM360" s="37"/>
      <c r="AN360" s="37"/>
      <c r="AO360" s="852">
        <f t="shared" ref="AO360:AO364" si="664">AO346+AO353</f>
        <v>956</v>
      </c>
      <c r="AP360" s="37"/>
      <c r="AQ360" s="37"/>
      <c r="AR360" s="37"/>
      <c r="AS360" s="37"/>
      <c r="AT360" s="852">
        <f t="shared" ref="AT360:AT364" si="665">AT346+AT353</f>
        <v>845</v>
      </c>
      <c r="AU360" s="37"/>
      <c r="AV360" s="37"/>
      <c r="AW360" s="37"/>
      <c r="AX360" s="37"/>
      <c r="AY360" s="852">
        <f t="shared" ref="AY360:AY364" si="666">AY346+AY353</f>
        <v>976</v>
      </c>
      <c r="AZ360" s="37"/>
      <c r="BA360" s="37"/>
      <c r="BB360" s="37"/>
      <c r="BC360" s="37"/>
      <c r="BD360" s="852">
        <f t="shared" ref="BD360:BD364" si="667">BD346+BD353</f>
        <v>975</v>
      </c>
      <c r="BE360" s="37"/>
      <c r="BF360" s="37"/>
      <c r="BG360" s="37"/>
      <c r="BH360" s="37"/>
      <c r="BI360" s="821">
        <f t="shared" ref="BI360:BI364" si="668">BI346+BI353</f>
        <v>995</v>
      </c>
      <c r="BJ360" s="37"/>
      <c r="BK360" s="37"/>
      <c r="BL360" s="37"/>
      <c r="BM360" s="37"/>
      <c r="BN360" s="821">
        <f t="shared" ref="BN360:BN364" si="669">BN346+BN353</f>
        <v>1049</v>
      </c>
      <c r="BO360" s="37"/>
      <c r="BP360" s="37"/>
      <c r="BQ360" s="37"/>
      <c r="BR360" s="37"/>
      <c r="BS360" s="821">
        <f t="shared" ref="BS360:BS364" si="670">BS346+BS353</f>
        <v>1073</v>
      </c>
      <c r="BT360" s="480"/>
      <c r="BU360" s="37"/>
      <c r="BV360" s="37"/>
      <c r="BW360" s="37"/>
      <c r="BX360" s="821"/>
      <c r="BY360" s="37"/>
      <c r="BZ360" s="37"/>
      <c r="CA360" s="37"/>
      <c r="CB360" s="37"/>
      <c r="CC360" s="821"/>
      <c r="CD360" s="821"/>
      <c r="CE360" s="821"/>
      <c r="CF360" s="821"/>
      <c r="CG360" s="22"/>
    </row>
    <row r="361" spans="1:85" s="428" customFormat="1" hidden="1" outlineLevel="1" x14ac:dyDescent="0.3">
      <c r="A361" s="40" t="s">
        <v>665</v>
      </c>
      <c r="B361" s="64"/>
      <c r="C361" s="852">
        <f t="shared" si="657"/>
        <v>518</v>
      </c>
      <c r="D361" s="852">
        <f t="shared" si="657"/>
        <v>494</v>
      </c>
      <c r="E361" s="852">
        <f t="shared" si="657"/>
        <v>478</v>
      </c>
      <c r="F361" s="852">
        <f t="shared" si="657"/>
        <v>455</v>
      </c>
      <c r="G361" s="37"/>
      <c r="H361" s="37"/>
      <c r="I361" s="37"/>
      <c r="J361" s="37"/>
      <c r="K361" s="852">
        <f t="shared" si="658"/>
        <v>460</v>
      </c>
      <c r="L361" s="37"/>
      <c r="M361" s="37"/>
      <c r="N361" s="37"/>
      <c r="O361" s="37"/>
      <c r="P361" s="852">
        <f t="shared" si="659"/>
        <v>471</v>
      </c>
      <c r="Q361" s="37"/>
      <c r="R361" s="37"/>
      <c r="S361" s="37"/>
      <c r="T361" s="37"/>
      <c r="U361" s="852">
        <f t="shared" si="660"/>
        <v>503</v>
      </c>
      <c r="V361" s="37"/>
      <c r="W361" s="37"/>
      <c r="X361" s="37"/>
      <c r="Y361" s="37"/>
      <c r="Z361" s="852">
        <f t="shared" si="661"/>
        <v>503</v>
      </c>
      <c r="AA361" s="37"/>
      <c r="AB361" s="37"/>
      <c r="AC361" s="37"/>
      <c r="AD361" s="37"/>
      <c r="AE361" s="852">
        <f t="shared" si="662"/>
        <v>516</v>
      </c>
      <c r="AF361" s="37"/>
      <c r="AG361" s="37"/>
      <c r="AH361" s="37"/>
      <c r="AI361" s="37"/>
      <c r="AJ361" s="852">
        <f t="shared" si="663"/>
        <v>531</v>
      </c>
      <c r="AK361" s="37"/>
      <c r="AL361" s="37"/>
      <c r="AM361" s="37"/>
      <c r="AN361" s="37"/>
      <c r="AO361" s="852">
        <f t="shared" si="664"/>
        <v>494</v>
      </c>
      <c r="AP361" s="37"/>
      <c r="AQ361" s="37"/>
      <c r="AR361" s="37"/>
      <c r="AS361" s="37"/>
      <c r="AT361" s="852">
        <f t="shared" si="665"/>
        <v>282</v>
      </c>
      <c r="AU361" s="37"/>
      <c r="AV361" s="37"/>
      <c r="AW361" s="37"/>
      <c r="AX361" s="37"/>
      <c r="AY361" s="852">
        <f t="shared" si="666"/>
        <v>313</v>
      </c>
      <c r="AZ361" s="37"/>
      <c r="BA361" s="37"/>
      <c r="BB361" s="37"/>
      <c r="BC361" s="37"/>
      <c r="BD361" s="852">
        <f t="shared" si="667"/>
        <v>408</v>
      </c>
      <c r="BE361" s="37"/>
      <c r="BF361" s="37"/>
      <c r="BG361" s="37"/>
      <c r="BH361" s="37"/>
      <c r="BI361" s="821">
        <f t="shared" si="668"/>
        <v>494</v>
      </c>
      <c r="BJ361" s="37"/>
      <c r="BK361" s="37"/>
      <c r="BL361" s="37"/>
      <c r="BM361" s="37"/>
      <c r="BN361" s="821">
        <f t="shared" si="669"/>
        <v>484</v>
      </c>
      <c r="BO361" s="37"/>
      <c r="BP361" s="37"/>
      <c r="BQ361" s="37"/>
      <c r="BR361" s="37"/>
      <c r="BS361" s="821">
        <f t="shared" si="670"/>
        <v>501</v>
      </c>
      <c r="BT361" s="480"/>
      <c r="BU361" s="37"/>
      <c r="BV361" s="37"/>
      <c r="BW361" s="37"/>
      <c r="BX361" s="821"/>
      <c r="BY361" s="37"/>
      <c r="BZ361" s="37"/>
      <c r="CA361" s="37"/>
      <c r="CB361" s="37"/>
      <c r="CC361" s="821"/>
      <c r="CD361" s="821"/>
      <c r="CE361" s="821"/>
      <c r="CF361" s="821"/>
      <c r="CG361" s="22"/>
    </row>
    <row r="362" spans="1:85" s="428" customFormat="1" hidden="1" outlineLevel="1" x14ac:dyDescent="0.3">
      <c r="A362" s="40" t="s">
        <v>664</v>
      </c>
      <c r="B362" s="64"/>
      <c r="C362" s="852">
        <f t="shared" si="657"/>
        <v>873</v>
      </c>
      <c r="D362" s="852">
        <f t="shared" si="657"/>
        <v>815</v>
      </c>
      <c r="E362" s="852">
        <f t="shared" si="657"/>
        <v>756</v>
      </c>
      <c r="F362" s="852">
        <f t="shared" si="657"/>
        <v>709</v>
      </c>
      <c r="G362" s="37"/>
      <c r="H362" s="37"/>
      <c r="I362" s="37"/>
      <c r="J362" s="37"/>
      <c r="K362" s="852">
        <f t="shared" si="658"/>
        <v>705</v>
      </c>
      <c r="L362" s="37"/>
      <c r="M362" s="37"/>
      <c r="N362" s="37"/>
      <c r="O362" s="37"/>
      <c r="P362" s="852">
        <f t="shared" si="659"/>
        <v>715</v>
      </c>
      <c r="Q362" s="37"/>
      <c r="R362" s="37"/>
      <c r="S362" s="37"/>
      <c r="T362" s="37"/>
      <c r="U362" s="852">
        <f t="shared" si="660"/>
        <v>693</v>
      </c>
      <c r="V362" s="37"/>
      <c r="W362" s="37"/>
      <c r="X362" s="37"/>
      <c r="Y362" s="37"/>
      <c r="Z362" s="852">
        <f t="shared" si="661"/>
        <v>650</v>
      </c>
      <c r="AA362" s="37"/>
      <c r="AB362" s="37"/>
      <c r="AC362" s="37"/>
      <c r="AD362" s="37"/>
      <c r="AE362" s="852">
        <f t="shared" si="662"/>
        <v>669</v>
      </c>
      <c r="AF362" s="37"/>
      <c r="AG362" s="37"/>
      <c r="AH362" s="37"/>
      <c r="AI362" s="37"/>
      <c r="AJ362" s="852">
        <f t="shared" si="663"/>
        <v>634</v>
      </c>
      <c r="AK362" s="37"/>
      <c r="AL362" s="37"/>
      <c r="AM362" s="37"/>
      <c r="AN362" s="37"/>
      <c r="AO362" s="852">
        <f t="shared" si="664"/>
        <v>618</v>
      </c>
      <c r="AP362" s="37"/>
      <c r="AQ362" s="37"/>
      <c r="AR362" s="37"/>
      <c r="AS362" s="37"/>
      <c r="AT362" s="852">
        <f t="shared" si="665"/>
        <v>605</v>
      </c>
      <c r="AU362" s="37"/>
      <c r="AV362" s="37"/>
      <c r="AW362" s="37"/>
      <c r="AX362" s="37"/>
      <c r="AY362" s="852">
        <f t="shared" si="666"/>
        <v>650</v>
      </c>
      <c r="AZ362" s="37"/>
      <c r="BA362" s="37"/>
      <c r="BB362" s="37"/>
      <c r="BC362" s="37"/>
      <c r="BD362" s="852">
        <f t="shared" si="667"/>
        <v>680</v>
      </c>
      <c r="BE362" s="37"/>
      <c r="BF362" s="37"/>
      <c r="BG362" s="37"/>
      <c r="BH362" s="37"/>
      <c r="BI362" s="821">
        <f t="shared" si="668"/>
        <v>699</v>
      </c>
      <c r="BJ362" s="37"/>
      <c r="BK362" s="37"/>
      <c r="BL362" s="37"/>
      <c r="BM362" s="37"/>
      <c r="BN362" s="821">
        <f t="shared" si="669"/>
        <v>692</v>
      </c>
      <c r="BO362" s="37"/>
      <c r="BP362" s="37"/>
      <c r="BQ362" s="37"/>
      <c r="BR362" s="37"/>
      <c r="BS362" s="821">
        <f t="shared" si="670"/>
        <v>699</v>
      </c>
      <c r="BT362" s="480"/>
      <c r="BU362" s="37"/>
      <c r="BV362" s="37"/>
      <c r="BW362" s="37"/>
      <c r="BX362" s="821"/>
      <c r="BY362" s="37"/>
      <c r="BZ362" s="37"/>
      <c r="CA362" s="37"/>
      <c r="CB362" s="37"/>
      <c r="CC362" s="821"/>
      <c r="CD362" s="821"/>
      <c r="CE362" s="821"/>
      <c r="CF362" s="821"/>
      <c r="CG362" s="22"/>
    </row>
    <row r="363" spans="1:85" s="428" customFormat="1" hidden="1" outlineLevel="1" x14ac:dyDescent="0.3">
      <c r="A363" s="40" t="s">
        <v>666</v>
      </c>
      <c r="B363" s="64"/>
      <c r="C363" s="852">
        <f t="shared" si="657"/>
        <v>319</v>
      </c>
      <c r="D363" s="852">
        <f t="shared" si="657"/>
        <v>296</v>
      </c>
      <c r="E363" s="852">
        <f t="shared" si="657"/>
        <v>320</v>
      </c>
      <c r="F363" s="852">
        <f t="shared" si="657"/>
        <v>278</v>
      </c>
      <c r="G363" s="37"/>
      <c r="H363" s="37"/>
      <c r="I363" s="37"/>
      <c r="J363" s="37"/>
      <c r="K363" s="852">
        <f t="shared" si="658"/>
        <v>248</v>
      </c>
      <c r="L363" s="37"/>
      <c r="M363" s="37"/>
      <c r="N363" s="37"/>
      <c r="O363" s="37"/>
      <c r="P363" s="852">
        <f t="shared" si="659"/>
        <v>225</v>
      </c>
      <c r="Q363" s="37"/>
      <c r="R363" s="37"/>
      <c r="S363" s="37"/>
      <c r="T363" s="37"/>
      <c r="U363" s="852">
        <f t="shared" si="660"/>
        <v>218</v>
      </c>
      <c r="V363" s="37"/>
      <c r="W363" s="37"/>
      <c r="X363" s="37"/>
      <c r="Y363" s="37"/>
      <c r="Z363" s="852">
        <f t="shared" si="661"/>
        <v>203</v>
      </c>
      <c r="AA363" s="37"/>
      <c r="AB363" s="37"/>
      <c r="AC363" s="37"/>
      <c r="AD363" s="37"/>
      <c r="AE363" s="852">
        <f t="shared" si="662"/>
        <v>210</v>
      </c>
      <c r="AF363" s="37"/>
      <c r="AG363" s="37"/>
      <c r="AH363" s="37"/>
      <c r="AI363" s="37"/>
      <c r="AJ363" s="852">
        <f t="shared" si="663"/>
        <v>225</v>
      </c>
      <c r="AK363" s="37"/>
      <c r="AL363" s="37"/>
      <c r="AM363" s="37"/>
      <c r="AN363" s="37"/>
      <c r="AO363" s="852">
        <f t="shared" si="664"/>
        <v>209</v>
      </c>
      <c r="AP363" s="37"/>
      <c r="AQ363" s="37"/>
      <c r="AR363" s="37"/>
      <c r="AS363" s="37"/>
      <c r="AT363" s="852">
        <f t="shared" si="665"/>
        <v>217</v>
      </c>
      <c r="AU363" s="37"/>
      <c r="AV363" s="37"/>
      <c r="AW363" s="37"/>
      <c r="AX363" s="37"/>
      <c r="AY363" s="852">
        <f t="shared" si="666"/>
        <v>216</v>
      </c>
      <c r="AZ363" s="37"/>
      <c r="BA363" s="37"/>
      <c r="BB363" s="37"/>
      <c r="BC363" s="37"/>
      <c r="BD363" s="852">
        <f t="shared" si="667"/>
        <v>224</v>
      </c>
      <c r="BE363" s="37"/>
      <c r="BF363" s="37"/>
      <c r="BG363" s="37"/>
      <c r="BH363" s="37"/>
      <c r="BI363" s="821">
        <f t="shared" si="668"/>
        <v>205</v>
      </c>
      <c r="BJ363" s="37"/>
      <c r="BK363" s="37"/>
      <c r="BL363" s="37"/>
      <c r="BM363" s="37"/>
      <c r="BN363" s="821">
        <f t="shared" si="669"/>
        <v>236</v>
      </c>
      <c r="BO363" s="37"/>
      <c r="BP363" s="37"/>
      <c r="BQ363" s="37"/>
      <c r="BR363" s="37"/>
      <c r="BS363" s="821">
        <f t="shared" si="670"/>
        <v>215</v>
      </c>
      <c r="BT363" s="480"/>
      <c r="BU363" s="37"/>
      <c r="BV363" s="37"/>
      <c r="BW363" s="37"/>
      <c r="BX363" s="821"/>
      <c r="BY363" s="37"/>
      <c r="BZ363" s="37"/>
      <c r="CA363" s="37"/>
      <c r="CB363" s="37"/>
      <c r="CC363" s="821"/>
      <c r="CD363" s="821"/>
      <c r="CE363" s="821"/>
      <c r="CF363" s="821"/>
      <c r="CG363" s="22"/>
    </row>
    <row r="364" spans="1:85" s="428" customFormat="1" hidden="1" outlineLevel="1" x14ac:dyDescent="0.3">
      <c r="A364" s="40" t="s">
        <v>667</v>
      </c>
      <c r="B364" s="64"/>
      <c r="C364" s="852">
        <f t="shared" si="657"/>
        <v>269</v>
      </c>
      <c r="D364" s="821">
        <f t="shared" si="657"/>
        <v>287</v>
      </c>
      <c r="E364" s="821">
        <f t="shared" si="657"/>
        <v>299</v>
      </c>
      <c r="F364" s="821">
        <f t="shared" si="657"/>
        <v>287</v>
      </c>
      <c r="G364" s="37"/>
      <c r="H364" s="37"/>
      <c r="I364" s="37"/>
      <c r="J364" s="37"/>
      <c r="K364" s="821">
        <f t="shared" si="658"/>
        <v>287</v>
      </c>
      <c r="L364" s="37"/>
      <c r="M364" s="37"/>
      <c r="N364" s="37"/>
      <c r="O364" s="37"/>
      <c r="P364" s="821">
        <f t="shared" si="659"/>
        <v>282</v>
      </c>
      <c r="Q364" s="37"/>
      <c r="R364" s="37"/>
      <c r="S364" s="37"/>
      <c r="T364" s="37"/>
      <c r="U364" s="821">
        <f t="shared" si="660"/>
        <v>311</v>
      </c>
      <c r="V364" s="37"/>
      <c r="W364" s="37"/>
      <c r="X364" s="37"/>
      <c r="Y364" s="37"/>
      <c r="Z364" s="821">
        <f t="shared" si="661"/>
        <v>306</v>
      </c>
      <c r="AA364" s="37"/>
      <c r="AB364" s="37"/>
      <c r="AC364" s="37"/>
      <c r="AD364" s="37"/>
      <c r="AE364" s="821">
        <f t="shared" si="662"/>
        <v>305</v>
      </c>
      <c r="AF364" s="37"/>
      <c r="AG364" s="37"/>
      <c r="AH364" s="37"/>
      <c r="AI364" s="37"/>
      <c r="AJ364" s="821">
        <f t="shared" si="663"/>
        <v>302</v>
      </c>
      <c r="AK364" s="37"/>
      <c r="AL364" s="37"/>
      <c r="AM364" s="37"/>
      <c r="AN364" s="37"/>
      <c r="AO364" s="821">
        <f t="shared" si="664"/>
        <v>300</v>
      </c>
      <c r="AP364" s="37"/>
      <c r="AQ364" s="37"/>
      <c r="AR364" s="37"/>
      <c r="AS364" s="37"/>
      <c r="AT364" s="821">
        <f t="shared" si="665"/>
        <v>275</v>
      </c>
      <c r="AU364" s="37"/>
      <c r="AV364" s="37"/>
      <c r="AW364" s="37"/>
      <c r="AX364" s="37"/>
      <c r="AY364" s="821">
        <f t="shared" si="666"/>
        <v>299</v>
      </c>
      <c r="AZ364" s="37"/>
      <c r="BA364" s="37"/>
      <c r="BB364" s="37"/>
      <c r="BC364" s="37"/>
      <c r="BD364" s="821">
        <f t="shared" si="667"/>
        <v>327</v>
      </c>
      <c r="BE364" s="37"/>
      <c r="BF364" s="37"/>
      <c r="BG364" s="37"/>
      <c r="BH364" s="37"/>
      <c r="BI364" s="821">
        <f t="shared" si="668"/>
        <v>339</v>
      </c>
      <c r="BJ364" s="37"/>
      <c r="BK364" s="37"/>
      <c r="BL364" s="37"/>
      <c r="BM364" s="37"/>
      <c r="BN364" s="821">
        <f t="shared" si="669"/>
        <v>320</v>
      </c>
      <c r="BO364" s="37"/>
      <c r="BP364" s="37"/>
      <c r="BQ364" s="37"/>
      <c r="BR364" s="37"/>
      <c r="BS364" s="821">
        <f t="shared" si="670"/>
        <v>313</v>
      </c>
      <c r="BT364" s="480"/>
      <c r="BU364" s="37"/>
      <c r="BV364" s="37"/>
      <c r="BW364" s="37"/>
      <c r="BX364" s="821"/>
      <c r="BY364" s="37"/>
      <c r="BZ364" s="37"/>
      <c r="CA364" s="37"/>
      <c r="CB364" s="37"/>
      <c r="CC364" s="821"/>
      <c r="CD364" s="821"/>
      <c r="CE364" s="821"/>
      <c r="CF364" s="821"/>
      <c r="CG364" s="22"/>
    </row>
    <row r="365" spans="1:85" s="429" customFormat="1" hidden="1" outlineLevel="1" x14ac:dyDescent="0.3">
      <c r="A365" s="41" t="s">
        <v>169</v>
      </c>
      <c r="B365" s="90"/>
      <c r="C365" s="824">
        <f t="shared" ref="C365:AH365" si="671">C351+C358</f>
        <v>3254</v>
      </c>
      <c r="D365" s="824">
        <f t="shared" si="671"/>
        <v>3113</v>
      </c>
      <c r="E365" s="824">
        <f t="shared" si="671"/>
        <v>2949</v>
      </c>
      <c r="F365" s="824">
        <f t="shared" si="671"/>
        <v>2765</v>
      </c>
      <c r="G365" s="394">
        <f t="shared" si="671"/>
        <v>0</v>
      </c>
      <c r="H365" s="394">
        <f t="shared" si="671"/>
        <v>0</v>
      </c>
      <c r="I365" s="394">
        <f t="shared" si="671"/>
        <v>0</v>
      </c>
      <c r="J365" s="394">
        <f t="shared" si="671"/>
        <v>0</v>
      </c>
      <c r="K365" s="824">
        <f t="shared" si="671"/>
        <v>2711</v>
      </c>
      <c r="L365" s="394">
        <f t="shared" si="671"/>
        <v>0</v>
      </c>
      <c r="M365" s="394">
        <f t="shared" si="671"/>
        <v>0</v>
      </c>
      <c r="N365" s="394">
        <f t="shared" si="671"/>
        <v>0</v>
      </c>
      <c r="O365" s="394">
        <f t="shared" si="671"/>
        <v>0</v>
      </c>
      <c r="P365" s="824">
        <f t="shared" si="671"/>
        <v>2711</v>
      </c>
      <c r="Q365" s="394">
        <f t="shared" si="671"/>
        <v>0</v>
      </c>
      <c r="R365" s="394">
        <f t="shared" si="671"/>
        <v>0</v>
      </c>
      <c r="S365" s="394">
        <f t="shared" si="671"/>
        <v>0</v>
      </c>
      <c r="T365" s="394">
        <f t="shared" si="671"/>
        <v>0</v>
      </c>
      <c r="U365" s="824">
        <f t="shared" si="671"/>
        <v>2735</v>
      </c>
      <c r="V365" s="394">
        <f t="shared" si="671"/>
        <v>0</v>
      </c>
      <c r="W365" s="394">
        <f t="shared" si="671"/>
        <v>0</v>
      </c>
      <c r="X365" s="394">
        <f t="shared" si="671"/>
        <v>0</v>
      </c>
      <c r="Y365" s="394">
        <f t="shared" si="671"/>
        <v>0</v>
      </c>
      <c r="Z365" s="824">
        <f t="shared" si="671"/>
        <v>2675</v>
      </c>
      <c r="AA365" s="393">
        <f t="shared" si="671"/>
        <v>0</v>
      </c>
      <c r="AB365" s="394">
        <f t="shared" si="671"/>
        <v>0</v>
      </c>
      <c r="AC365" s="394">
        <f t="shared" si="671"/>
        <v>0</v>
      </c>
      <c r="AD365" s="394">
        <f t="shared" si="671"/>
        <v>0</v>
      </c>
      <c r="AE365" s="824">
        <f t="shared" si="671"/>
        <v>2690</v>
      </c>
      <c r="AF365" s="393">
        <f t="shared" si="671"/>
        <v>0</v>
      </c>
      <c r="AG365" s="394">
        <f t="shared" si="671"/>
        <v>0</v>
      </c>
      <c r="AH365" s="394">
        <f t="shared" si="671"/>
        <v>0</v>
      </c>
      <c r="AI365" s="394">
        <f t="shared" ref="AI365:BO365" si="672">AI351+AI358</f>
        <v>0</v>
      </c>
      <c r="AJ365" s="824">
        <f t="shared" si="672"/>
        <v>2655</v>
      </c>
      <c r="AK365" s="393">
        <f t="shared" si="672"/>
        <v>0</v>
      </c>
      <c r="AL365" s="394">
        <f t="shared" si="672"/>
        <v>0</v>
      </c>
      <c r="AM365" s="394">
        <f t="shared" si="672"/>
        <v>0</v>
      </c>
      <c r="AN365" s="394">
        <f t="shared" si="672"/>
        <v>0</v>
      </c>
      <c r="AO365" s="824">
        <f t="shared" si="672"/>
        <v>2577</v>
      </c>
      <c r="AP365" s="393">
        <f t="shared" si="672"/>
        <v>0</v>
      </c>
      <c r="AQ365" s="394">
        <f t="shared" si="672"/>
        <v>0</v>
      </c>
      <c r="AR365" s="394">
        <f t="shared" si="672"/>
        <v>0</v>
      </c>
      <c r="AS365" s="394">
        <f t="shared" si="672"/>
        <v>0</v>
      </c>
      <c r="AT365" s="824">
        <f t="shared" si="672"/>
        <v>2224</v>
      </c>
      <c r="AU365" s="393">
        <f t="shared" si="672"/>
        <v>0</v>
      </c>
      <c r="AV365" s="394">
        <f t="shared" si="672"/>
        <v>0</v>
      </c>
      <c r="AW365" s="394">
        <f t="shared" si="672"/>
        <v>0</v>
      </c>
      <c r="AX365" s="394">
        <f t="shared" si="672"/>
        <v>0</v>
      </c>
      <c r="AY365" s="824">
        <f t="shared" si="672"/>
        <v>2454</v>
      </c>
      <c r="AZ365" s="393">
        <f t="shared" si="672"/>
        <v>0</v>
      </c>
      <c r="BA365" s="394">
        <f t="shared" si="672"/>
        <v>0</v>
      </c>
      <c r="BB365" s="394">
        <f t="shared" si="672"/>
        <v>0</v>
      </c>
      <c r="BC365" s="394">
        <f t="shared" si="672"/>
        <v>0</v>
      </c>
      <c r="BD365" s="824">
        <f t="shared" si="672"/>
        <v>2614</v>
      </c>
      <c r="BE365" s="393">
        <f t="shared" si="672"/>
        <v>0</v>
      </c>
      <c r="BF365" s="394">
        <f t="shared" si="672"/>
        <v>0</v>
      </c>
      <c r="BG365" s="394">
        <f t="shared" si="672"/>
        <v>0</v>
      </c>
      <c r="BH365" s="394">
        <f t="shared" si="672"/>
        <v>0</v>
      </c>
      <c r="BI365" s="823">
        <f t="shared" si="672"/>
        <v>2732</v>
      </c>
      <c r="BJ365" s="393">
        <f t="shared" si="672"/>
        <v>0</v>
      </c>
      <c r="BK365" s="394">
        <f t="shared" si="672"/>
        <v>0</v>
      </c>
      <c r="BL365" s="394">
        <f t="shared" si="672"/>
        <v>0</v>
      </c>
      <c r="BM365" s="394">
        <f t="shared" si="672"/>
        <v>0</v>
      </c>
      <c r="BN365" s="823">
        <f t="shared" si="672"/>
        <v>2781</v>
      </c>
      <c r="BO365" s="393">
        <f t="shared" si="672"/>
        <v>0</v>
      </c>
      <c r="BP365" s="394">
        <f>BP351+BP358</f>
        <v>0</v>
      </c>
      <c r="BQ365" s="394">
        <f>BQ351+BQ358</f>
        <v>0</v>
      </c>
      <c r="BR365" s="394">
        <f>BR351+BR358</f>
        <v>0</v>
      </c>
      <c r="BS365" s="823">
        <f t="shared" ref="BS365" si="673">BS351+BS358</f>
        <v>2801</v>
      </c>
      <c r="BT365" s="641">
        <f>BT351+BT358</f>
        <v>0</v>
      </c>
      <c r="BU365" s="393"/>
      <c r="BV365" s="393"/>
      <c r="BW365" s="393"/>
      <c r="BX365" s="823"/>
      <c r="BY365" s="393"/>
      <c r="BZ365" s="393"/>
      <c r="CA365" s="393"/>
      <c r="CB365" s="393"/>
      <c r="CC365" s="823"/>
      <c r="CD365" s="823"/>
      <c r="CE365" s="823"/>
      <c r="CF365" s="823"/>
      <c r="CG365" s="26"/>
    </row>
    <row r="366" spans="1:85" s="429" customFormat="1" hidden="1" outlineLevel="1" x14ac:dyDescent="0.3">
      <c r="A366" s="48"/>
      <c r="B366" s="63"/>
      <c r="C366" s="825"/>
      <c r="D366" s="825"/>
      <c r="E366" s="825"/>
      <c r="F366" s="825"/>
      <c r="G366" s="31"/>
      <c r="H366" s="31"/>
      <c r="I366" s="31"/>
      <c r="J366" s="31"/>
      <c r="K366" s="825"/>
      <c r="L366" s="31"/>
      <c r="M366" s="31"/>
      <c r="N366" s="31"/>
      <c r="O366" s="31"/>
      <c r="P366" s="825"/>
      <c r="Q366" s="31"/>
      <c r="R366" s="31"/>
      <c r="S366" s="31"/>
      <c r="T366" s="31"/>
      <c r="U366" s="825"/>
      <c r="V366" s="31"/>
      <c r="W366" s="31"/>
      <c r="X366" s="31"/>
      <c r="Y366" s="31"/>
      <c r="Z366" s="825"/>
      <c r="AA366" s="31"/>
      <c r="AB366" s="31"/>
      <c r="AC366" s="31"/>
      <c r="AD366" s="31"/>
      <c r="AE366" s="825"/>
      <c r="AF366" s="31"/>
      <c r="AG366" s="31"/>
      <c r="AH366" s="31"/>
      <c r="AI366" s="31"/>
      <c r="AJ366" s="825"/>
      <c r="AK366" s="31"/>
      <c r="AL366" s="31"/>
      <c r="AM366" s="31"/>
      <c r="AN366" s="31"/>
      <c r="AO366" s="825"/>
      <c r="AP366" s="31"/>
      <c r="AQ366" s="31"/>
      <c r="AR366" s="31"/>
      <c r="AS366" s="31"/>
      <c r="AT366" s="825"/>
      <c r="AU366" s="31"/>
      <c r="AV366" s="31"/>
      <c r="AW366" s="31"/>
      <c r="AX366" s="31"/>
      <c r="AY366" s="825"/>
      <c r="AZ366" s="31"/>
      <c r="BA366" s="31"/>
      <c r="BB366" s="31"/>
      <c r="BC366" s="31"/>
      <c r="BD366" s="825"/>
      <c r="BE366" s="31"/>
      <c r="BF366" s="31"/>
      <c r="BG366" s="31"/>
      <c r="BH366" s="31"/>
      <c r="BI366" s="825"/>
      <c r="BJ366" s="31"/>
      <c r="BK366" s="31"/>
      <c r="BL366" s="31"/>
      <c r="BM366" s="31"/>
      <c r="BN366" s="825"/>
      <c r="BO366" s="31"/>
      <c r="BP366" s="31"/>
      <c r="BQ366" s="31"/>
      <c r="BR366" s="31"/>
      <c r="BS366" s="825"/>
      <c r="BT366" s="379"/>
      <c r="BU366" s="31"/>
      <c r="BV366" s="31"/>
      <c r="BW366" s="31"/>
      <c r="BX366" s="825"/>
      <c r="BY366" s="31"/>
      <c r="BZ366" s="31"/>
      <c r="CA366" s="31"/>
      <c r="CB366" s="31"/>
      <c r="CC366" s="825"/>
      <c r="CD366" s="825"/>
      <c r="CE366" s="825"/>
      <c r="CF366" s="825"/>
      <c r="CG366" s="26"/>
    </row>
    <row r="367" spans="1:85" s="428" customFormat="1" hidden="1" outlineLevel="1" x14ac:dyDescent="0.3">
      <c r="A367" s="40" t="s">
        <v>1637</v>
      </c>
      <c r="B367" s="64"/>
      <c r="C367" s="852">
        <f t="shared" ref="C367:F372" si="674">C346*C$3/1000</f>
        <v>262.8</v>
      </c>
      <c r="D367" s="852">
        <f t="shared" si="674"/>
        <v>255.5</v>
      </c>
      <c r="E367" s="852">
        <f t="shared" si="674"/>
        <v>236.88499999999999</v>
      </c>
      <c r="F367" s="852">
        <f t="shared" si="674"/>
        <v>228.38399999999999</v>
      </c>
      <c r="G367" s="37"/>
      <c r="H367" s="37"/>
      <c r="I367" s="37"/>
      <c r="J367" s="37"/>
      <c r="K367" s="852">
        <f t="shared" ref="K367:K372" si="675">K346*K$3/1000</f>
        <v>223.745</v>
      </c>
      <c r="L367" s="37"/>
      <c r="M367" s="37"/>
      <c r="N367" s="37"/>
      <c r="O367" s="37"/>
      <c r="P367" s="852">
        <f t="shared" ref="P367:P372" si="676">P346*P$3/1000</f>
        <v>224.47499999999999</v>
      </c>
      <c r="Q367" s="37"/>
      <c r="R367" s="37"/>
      <c r="S367" s="37"/>
      <c r="T367" s="37"/>
      <c r="U367" s="852">
        <f t="shared" ref="U367:U372" si="677">U346*U$3/1000</f>
        <v>226.66499999999999</v>
      </c>
      <c r="V367" s="37"/>
      <c r="W367" s="37"/>
      <c r="X367" s="37"/>
      <c r="Y367" s="37"/>
      <c r="Z367" s="852">
        <f t="shared" ref="Z367:Z372" si="678">Z346*Z$3/1000</f>
        <v>230.946</v>
      </c>
      <c r="AA367" s="37"/>
      <c r="AB367" s="37"/>
      <c r="AC367" s="37"/>
      <c r="AD367" s="37"/>
      <c r="AE367" s="852">
        <f t="shared" ref="AE367:AE372" si="679">AE346*AE$3/1000</f>
        <v>228.125</v>
      </c>
      <c r="AF367" s="37"/>
      <c r="AG367" s="37"/>
      <c r="AH367" s="37"/>
      <c r="AI367" s="37"/>
      <c r="AJ367" s="852">
        <f t="shared" ref="AJ367:AJ372" si="680">AJ346*AJ$3/1000</f>
        <v>228.85499999999999</v>
      </c>
      <c r="AK367" s="37"/>
      <c r="AL367" s="37"/>
      <c r="AM367" s="37"/>
      <c r="AN367" s="37"/>
      <c r="AO367" s="852">
        <f t="shared" ref="AO367:AO372" si="681">AO346*AO$3/1000</f>
        <v>243.45500000000001</v>
      </c>
      <c r="AP367" s="37"/>
      <c r="AQ367" s="37"/>
      <c r="AR367" s="37"/>
      <c r="AS367" s="37"/>
      <c r="AT367" s="852">
        <f t="shared" ref="AT367:AT372" si="682">AT346*AT$3/1000</f>
        <v>212.64599999999999</v>
      </c>
      <c r="AU367" s="37"/>
      <c r="AV367" s="37"/>
      <c r="AW367" s="37"/>
      <c r="AX367" s="37"/>
      <c r="AY367" s="821">
        <f t="shared" ref="AY367:AY372" si="683">AY346*AY$3/1000</f>
        <v>239.07499999999999</v>
      </c>
      <c r="AZ367" s="37"/>
      <c r="BA367" s="37"/>
      <c r="BB367" s="37"/>
      <c r="BC367" s="37"/>
      <c r="BD367" s="821">
        <f t="shared" ref="BD367:BD372" si="684">BD346*BD$3/1000</f>
        <v>233.23500000000001</v>
      </c>
      <c r="BE367" s="37"/>
      <c r="BF367" s="37"/>
      <c r="BG367" s="37"/>
      <c r="BH367" s="37"/>
      <c r="BI367" s="821">
        <f t="shared" ref="BI367:BI372" si="685">BI346*BI$3/1000</f>
        <v>234.33</v>
      </c>
      <c r="BJ367" s="37"/>
      <c r="BK367" s="37"/>
      <c r="BL367" s="37"/>
      <c r="BM367" s="37"/>
      <c r="BN367" s="821">
        <f t="shared" ref="BN367:BN372" si="686">BN346*BN$3/1000</f>
        <v>244.12200000000001</v>
      </c>
      <c r="BO367" s="37"/>
      <c r="BP367" s="37"/>
      <c r="BQ367" s="37"/>
      <c r="BR367" s="37"/>
      <c r="BS367" s="821">
        <f t="shared" ref="BS367:BS372" si="687">BS346*BS$3/1000</f>
        <v>250.02500000000001</v>
      </c>
      <c r="BT367" s="480"/>
      <c r="BU367" s="37"/>
      <c r="BV367" s="37"/>
      <c r="BW367" s="37"/>
      <c r="BX367" s="821"/>
      <c r="BY367" s="37"/>
      <c r="BZ367" s="37"/>
      <c r="CA367" s="37"/>
      <c r="CB367" s="37"/>
      <c r="CC367" s="821"/>
      <c r="CD367" s="821"/>
      <c r="CE367" s="821"/>
      <c r="CF367" s="821"/>
      <c r="CG367" s="22"/>
    </row>
    <row r="368" spans="1:85" s="428" customFormat="1" hidden="1" outlineLevel="1" x14ac:dyDescent="0.3">
      <c r="A368" s="40" t="s">
        <v>1638</v>
      </c>
      <c r="B368" s="64"/>
      <c r="C368" s="852">
        <f t="shared" si="674"/>
        <v>92.71</v>
      </c>
      <c r="D368" s="852">
        <f t="shared" si="674"/>
        <v>81.394999999999996</v>
      </c>
      <c r="E368" s="852">
        <f t="shared" si="674"/>
        <v>76.284999999999997</v>
      </c>
      <c r="F368" s="852">
        <f t="shared" si="674"/>
        <v>77.591999999999999</v>
      </c>
      <c r="G368" s="37"/>
      <c r="H368" s="37"/>
      <c r="I368" s="37"/>
      <c r="J368" s="37"/>
      <c r="K368" s="852">
        <f t="shared" si="675"/>
        <v>78.474999999999994</v>
      </c>
      <c r="L368" s="37"/>
      <c r="M368" s="37"/>
      <c r="N368" s="37"/>
      <c r="O368" s="37"/>
      <c r="P368" s="852">
        <f t="shared" si="676"/>
        <v>81.03</v>
      </c>
      <c r="Q368" s="37"/>
      <c r="R368" s="37"/>
      <c r="S368" s="37"/>
      <c r="T368" s="37"/>
      <c r="U368" s="852">
        <f t="shared" si="677"/>
        <v>84.68</v>
      </c>
      <c r="V368" s="37"/>
      <c r="W368" s="37"/>
      <c r="X368" s="37"/>
      <c r="Y368" s="37"/>
      <c r="Z368" s="852">
        <f t="shared" si="678"/>
        <v>88.572000000000003</v>
      </c>
      <c r="AA368" s="37"/>
      <c r="AB368" s="37"/>
      <c r="AC368" s="37"/>
      <c r="AD368" s="37"/>
      <c r="AE368" s="852">
        <f t="shared" si="679"/>
        <v>88.33</v>
      </c>
      <c r="AF368" s="37"/>
      <c r="AG368" s="37"/>
      <c r="AH368" s="37"/>
      <c r="AI368" s="37"/>
      <c r="AJ368" s="852">
        <f t="shared" si="680"/>
        <v>93.075000000000003</v>
      </c>
      <c r="AK368" s="37"/>
      <c r="AL368" s="37"/>
      <c r="AM368" s="37"/>
      <c r="AN368" s="37"/>
      <c r="AO368" s="852">
        <f t="shared" si="681"/>
        <v>93.44</v>
      </c>
      <c r="AP368" s="37"/>
      <c r="AQ368" s="37"/>
      <c r="AR368" s="37"/>
      <c r="AS368" s="37"/>
      <c r="AT368" s="852">
        <f t="shared" si="682"/>
        <v>50.874000000000002</v>
      </c>
      <c r="AU368" s="37"/>
      <c r="AV368" s="37"/>
      <c r="AW368" s="37"/>
      <c r="AX368" s="37"/>
      <c r="AY368" s="821">
        <f t="shared" si="683"/>
        <v>63.145000000000003</v>
      </c>
      <c r="AZ368" s="37"/>
      <c r="BA368" s="37"/>
      <c r="BB368" s="37"/>
      <c r="BC368" s="37"/>
      <c r="BD368" s="821">
        <f t="shared" si="684"/>
        <v>77.38</v>
      </c>
      <c r="BE368" s="37"/>
      <c r="BF368" s="37"/>
      <c r="BG368" s="37"/>
      <c r="BH368" s="37"/>
      <c r="BI368" s="821">
        <f t="shared" si="685"/>
        <v>94.9</v>
      </c>
      <c r="BJ368" s="37"/>
      <c r="BK368" s="37"/>
      <c r="BL368" s="37"/>
      <c r="BM368" s="37"/>
      <c r="BN368" s="821">
        <f t="shared" si="686"/>
        <v>93.33</v>
      </c>
      <c r="BO368" s="37"/>
      <c r="BP368" s="37"/>
      <c r="BQ368" s="37"/>
      <c r="BR368" s="37"/>
      <c r="BS368" s="821">
        <f t="shared" si="687"/>
        <v>101.47</v>
      </c>
      <c r="BT368" s="480"/>
      <c r="BU368" s="37"/>
      <c r="BV368" s="37"/>
      <c r="BW368" s="37"/>
      <c r="BX368" s="821"/>
      <c r="BY368" s="37"/>
      <c r="BZ368" s="37"/>
      <c r="CA368" s="37"/>
      <c r="CB368" s="37"/>
      <c r="CC368" s="821"/>
      <c r="CD368" s="821"/>
      <c r="CE368" s="821"/>
      <c r="CF368" s="821"/>
      <c r="CG368" s="22"/>
    </row>
    <row r="369" spans="1:85" s="428" customFormat="1" hidden="1" outlineLevel="1" x14ac:dyDescent="0.3">
      <c r="A369" s="40" t="s">
        <v>1639</v>
      </c>
      <c r="B369" s="64"/>
      <c r="C369" s="852">
        <f t="shared" si="674"/>
        <v>82.49</v>
      </c>
      <c r="D369" s="852">
        <f t="shared" si="674"/>
        <v>84.68</v>
      </c>
      <c r="E369" s="852">
        <f t="shared" si="674"/>
        <v>77.745000000000005</v>
      </c>
      <c r="F369" s="852">
        <f t="shared" si="674"/>
        <v>77.957999999999998</v>
      </c>
      <c r="G369" s="37"/>
      <c r="H369" s="37"/>
      <c r="I369" s="37"/>
      <c r="J369" s="37"/>
      <c r="K369" s="852">
        <f t="shared" si="675"/>
        <v>71.174999999999997</v>
      </c>
      <c r="L369" s="37"/>
      <c r="M369" s="37"/>
      <c r="N369" s="37"/>
      <c r="O369" s="37"/>
      <c r="P369" s="852">
        <f t="shared" si="676"/>
        <v>79.204999999999998</v>
      </c>
      <c r="Q369" s="37"/>
      <c r="R369" s="37"/>
      <c r="S369" s="37"/>
      <c r="T369" s="37"/>
      <c r="U369" s="852">
        <f t="shared" si="677"/>
        <v>78.474999999999994</v>
      </c>
      <c r="V369" s="37"/>
      <c r="W369" s="37"/>
      <c r="X369" s="37"/>
      <c r="Y369" s="37"/>
      <c r="Z369" s="852">
        <f t="shared" si="678"/>
        <v>66.611999999999995</v>
      </c>
      <c r="AA369" s="37"/>
      <c r="AB369" s="37"/>
      <c r="AC369" s="37"/>
      <c r="AD369" s="37"/>
      <c r="AE369" s="852">
        <f t="shared" si="679"/>
        <v>65.334999999999994</v>
      </c>
      <c r="AF369" s="37"/>
      <c r="AG369" s="37"/>
      <c r="AH369" s="37"/>
      <c r="AI369" s="37"/>
      <c r="AJ369" s="852">
        <f t="shared" si="680"/>
        <v>68.62</v>
      </c>
      <c r="AK369" s="37"/>
      <c r="AL369" s="37"/>
      <c r="AM369" s="37"/>
      <c r="AN369" s="37"/>
      <c r="AO369" s="852">
        <f t="shared" si="681"/>
        <v>69.715000000000003</v>
      </c>
      <c r="AP369" s="37"/>
      <c r="AQ369" s="37"/>
      <c r="AR369" s="37"/>
      <c r="AS369" s="37"/>
      <c r="AT369" s="852">
        <f t="shared" si="682"/>
        <v>61.122</v>
      </c>
      <c r="AU369" s="37"/>
      <c r="AV369" s="37"/>
      <c r="AW369" s="37"/>
      <c r="AX369" s="37"/>
      <c r="AY369" s="821">
        <f t="shared" si="683"/>
        <v>65.334999999999994</v>
      </c>
      <c r="AZ369" s="37"/>
      <c r="BA369" s="37"/>
      <c r="BB369" s="37"/>
      <c r="BC369" s="37"/>
      <c r="BD369" s="821">
        <f t="shared" si="684"/>
        <v>78.84</v>
      </c>
      <c r="BE369" s="37"/>
      <c r="BF369" s="37"/>
      <c r="BG369" s="37"/>
      <c r="BH369" s="37"/>
      <c r="BI369" s="821">
        <f t="shared" si="685"/>
        <v>82.855000000000004</v>
      </c>
      <c r="BJ369" s="37"/>
      <c r="BK369" s="37"/>
      <c r="BL369" s="37"/>
      <c r="BM369" s="37"/>
      <c r="BN369" s="821">
        <f t="shared" si="686"/>
        <v>77.957999999999998</v>
      </c>
      <c r="BO369" s="37"/>
      <c r="BP369" s="37"/>
      <c r="BQ369" s="37"/>
      <c r="BR369" s="37"/>
      <c r="BS369" s="821">
        <f t="shared" si="687"/>
        <v>78.84</v>
      </c>
      <c r="BT369" s="480"/>
      <c r="BU369" s="37"/>
      <c r="BV369" s="37"/>
      <c r="BW369" s="37"/>
      <c r="BX369" s="821"/>
      <c r="BY369" s="37"/>
      <c r="BZ369" s="37"/>
      <c r="CA369" s="37"/>
      <c r="CB369" s="37"/>
      <c r="CC369" s="821"/>
      <c r="CD369" s="821"/>
      <c r="CE369" s="821"/>
      <c r="CF369" s="821"/>
      <c r="CG369" s="22"/>
    </row>
    <row r="370" spans="1:85" s="428" customFormat="1" hidden="1" outlineLevel="1" x14ac:dyDescent="0.3">
      <c r="A370" s="40" t="s">
        <v>1640</v>
      </c>
      <c r="B370" s="64"/>
      <c r="C370" s="852">
        <f t="shared" si="674"/>
        <v>40.15</v>
      </c>
      <c r="D370" s="852">
        <f t="shared" si="674"/>
        <v>36.134999999999998</v>
      </c>
      <c r="E370" s="852">
        <f t="shared" si="674"/>
        <v>31.754999999999999</v>
      </c>
      <c r="F370" s="852">
        <f t="shared" si="674"/>
        <v>24.888000000000002</v>
      </c>
      <c r="G370" s="37"/>
      <c r="H370" s="37"/>
      <c r="I370" s="37"/>
      <c r="J370" s="37"/>
      <c r="K370" s="852">
        <f t="shared" si="675"/>
        <v>25.184999999999999</v>
      </c>
      <c r="L370" s="37"/>
      <c r="M370" s="37"/>
      <c r="N370" s="37"/>
      <c r="O370" s="37"/>
      <c r="P370" s="852">
        <f t="shared" si="676"/>
        <v>22.995000000000001</v>
      </c>
      <c r="Q370" s="37"/>
      <c r="R370" s="37"/>
      <c r="S370" s="37"/>
      <c r="T370" s="37"/>
      <c r="U370" s="852">
        <f t="shared" si="677"/>
        <v>21.535</v>
      </c>
      <c r="V370" s="37"/>
      <c r="W370" s="37"/>
      <c r="X370" s="37"/>
      <c r="Y370" s="37"/>
      <c r="Z370" s="852">
        <f t="shared" si="678"/>
        <v>21.594000000000001</v>
      </c>
      <c r="AA370" s="37"/>
      <c r="AB370" s="37"/>
      <c r="AC370" s="37"/>
      <c r="AD370" s="37"/>
      <c r="AE370" s="852">
        <f t="shared" si="679"/>
        <v>17.52</v>
      </c>
      <c r="AF370" s="37"/>
      <c r="AG370" s="37"/>
      <c r="AH370" s="37"/>
      <c r="AI370" s="37"/>
      <c r="AJ370" s="852">
        <f t="shared" si="680"/>
        <v>17.52</v>
      </c>
      <c r="AK370" s="37"/>
      <c r="AL370" s="37"/>
      <c r="AM370" s="37"/>
      <c r="AN370" s="37"/>
      <c r="AO370" s="852">
        <f t="shared" si="681"/>
        <v>15.33</v>
      </c>
      <c r="AP370" s="37"/>
      <c r="AQ370" s="37"/>
      <c r="AR370" s="37"/>
      <c r="AS370" s="37"/>
      <c r="AT370" s="852">
        <f t="shared" si="682"/>
        <v>12.077999999999999</v>
      </c>
      <c r="AU370" s="37"/>
      <c r="AV370" s="37"/>
      <c r="AW370" s="37"/>
      <c r="AX370" s="37"/>
      <c r="AY370" s="821">
        <f t="shared" si="683"/>
        <v>14.234999999999999</v>
      </c>
      <c r="AZ370" s="37"/>
      <c r="BA370" s="37"/>
      <c r="BB370" s="37"/>
      <c r="BC370" s="37"/>
      <c r="BD370" s="821">
        <f t="shared" si="684"/>
        <v>20.440000000000001</v>
      </c>
      <c r="BE370" s="37"/>
      <c r="BF370" s="37"/>
      <c r="BG370" s="37"/>
      <c r="BH370" s="37"/>
      <c r="BI370" s="821">
        <f t="shared" si="685"/>
        <v>16.059999999999999</v>
      </c>
      <c r="BJ370" s="37"/>
      <c r="BK370" s="37"/>
      <c r="BL370" s="37"/>
      <c r="BM370" s="37"/>
      <c r="BN370" s="821">
        <f t="shared" si="686"/>
        <v>19.763999999999999</v>
      </c>
      <c r="BO370" s="37"/>
      <c r="BP370" s="37"/>
      <c r="BQ370" s="37"/>
      <c r="BR370" s="37"/>
      <c r="BS370" s="821">
        <f t="shared" si="687"/>
        <v>14.965</v>
      </c>
      <c r="BT370" s="480"/>
      <c r="BU370" s="37"/>
      <c r="BV370" s="37"/>
      <c r="BW370" s="37"/>
      <c r="BX370" s="821"/>
      <c r="BY370" s="37"/>
      <c r="BZ370" s="37"/>
      <c r="CA370" s="37"/>
      <c r="CB370" s="37"/>
      <c r="CC370" s="821"/>
      <c r="CD370" s="821"/>
      <c r="CE370" s="821"/>
      <c r="CF370" s="821"/>
      <c r="CG370" s="22"/>
    </row>
    <row r="371" spans="1:85" s="428" customFormat="1" hidden="1" outlineLevel="1" x14ac:dyDescent="0.3">
      <c r="A371" s="43" t="s">
        <v>1641</v>
      </c>
      <c r="B371" s="64"/>
      <c r="C371" s="821">
        <f t="shared" si="674"/>
        <v>33.945</v>
      </c>
      <c r="D371" s="821">
        <f t="shared" si="674"/>
        <v>34.674999999999997</v>
      </c>
      <c r="E371" s="821">
        <f t="shared" si="674"/>
        <v>36.134999999999998</v>
      </c>
      <c r="F371" s="821">
        <f t="shared" si="674"/>
        <v>34.404000000000003</v>
      </c>
      <c r="G371" s="37"/>
      <c r="H371" s="37"/>
      <c r="I371" s="37"/>
      <c r="J371" s="37"/>
      <c r="K371" s="821">
        <f t="shared" si="675"/>
        <v>32.85</v>
      </c>
      <c r="L371" s="37"/>
      <c r="M371" s="37"/>
      <c r="N371" s="37"/>
      <c r="O371" s="37"/>
      <c r="P371" s="821">
        <f t="shared" si="676"/>
        <v>33.945</v>
      </c>
      <c r="Q371" s="37"/>
      <c r="R371" s="37"/>
      <c r="S371" s="37"/>
      <c r="T371" s="37"/>
      <c r="U371" s="821">
        <f t="shared" si="677"/>
        <v>36.865000000000002</v>
      </c>
      <c r="V371" s="37"/>
      <c r="W371" s="37"/>
      <c r="X371" s="37"/>
      <c r="Y371" s="37"/>
      <c r="Z371" s="821">
        <f t="shared" si="678"/>
        <v>36.234000000000002</v>
      </c>
      <c r="AA371" s="37"/>
      <c r="AB371" s="37"/>
      <c r="AC371" s="37"/>
      <c r="AD371" s="37"/>
      <c r="AE371" s="821">
        <f t="shared" si="679"/>
        <v>37.594999999999999</v>
      </c>
      <c r="AF371" s="37"/>
      <c r="AG371" s="37"/>
      <c r="AH371" s="37"/>
      <c r="AI371" s="37"/>
      <c r="AJ371" s="821">
        <f t="shared" si="680"/>
        <v>36.5</v>
      </c>
      <c r="AK371" s="37"/>
      <c r="AL371" s="37"/>
      <c r="AM371" s="37"/>
      <c r="AN371" s="37"/>
      <c r="AO371" s="821">
        <f t="shared" si="681"/>
        <v>34.31</v>
      </c>
      <c r="AP371" s="37"/>
      <c r="AQ371" s="37"/>
      <c r="AR371" s="37"/>
      <c r="AS371" s="37"/>
      <c r="AT371" s="821">
        <f t="shared" si="682"/>
        <v>30.378</v>
      </c>
      <c r="AU371" s="37"/>
      <c r="AV371" s="37"/>
      <c r="AW371" s="37"/>
      <c r="AX371" s="37"/>
      <c r="AY371" s="821">
        <f t="shared" si="683"/>
        <v>33.945</v>
      </c>
      <c r="AZ371" s="37"/>
      <c r="BA371" s="37"/>
      <c r="BB371" s="37"/>
      <c r="BC371" s="37"/>
      <c r="BD371" s="821">
        <f t="shared" si="684"/>
        <v>38.325000000000003</v>
      </c>
      <c r="BE371" s="37"/>
      <c r="BF371" s="37"/>
      <c r="BG371" s="37"/>
      <c r="BH371" s="37"/>
      <c r="BI371" s="821">
        <f t="shared" si="685"/>
        <v>41.61</v>
      </c>
      <c r="BJ371" s="37"/>
      <c r="BK371" s="37"/>
      <c r="BL371" s="37"/>
      <c r="BM371" s="37"/>
      <c r="BN371" s="821">
        <f t="shared" si="686"/>
        <v>35.502000000000002</v>
      </c>
      <c r="BO371" s="37"/>
      <c r="BP371" s="37"/>
      <c r="BQ371" s="37"/>
      <c r="BR371" s="37"/>
      <c r="BS371" s="821">
        <f t="shared" si="687"/>
        <v>35.405000000000001</v>
      </c>
      <c r="BT371" s="480"/>
      <c r="BU371" s="37"/>
      <c r="BV371" s="37"/>
      <c r="BW371" s="37"/>
      <c r="BX371" s="821"/>
      <c r="BY371" s="37"/>
      <c r="BZ371" s="37"/>
      <c r="CA371" s="37"/>
      <c r="CB371" s="37"/>
      <c r="CC371" s="821"/>
      <c r="CD371" s="821"/>
      <c r="CE371" s="821"/>
      <c r="CF371" s="821"/>
      <c r="CG371" s="22"/>
    </row>
    <row r="372" spans="1:85" s="428" customFormat="1" hidden="1" outlineLevel="1" x14ac:dyDescent="0.3">
      <c r="A372" s="471" t="s">
        <v>1642</v>
      </c>
      <c r="B372" s="469"/>
      <c r="C372" s="888">
        <f t="shared" si="674"/>
        <v>512.09500000000003</v>
      </c>
      <c r="D372" s="888">
        <f t="shared" si="674"/>
        <v>492.38499999999999</v>
      </c>
      <c r="E372" s="888">
        <f t="shared" si="674"/>
        <v>458.80500000000001</v>
      </c>
      <c r="F372" s="888">
        <f t="shared" si="674"/>
        <v>443.226</v>
      </c>
      <c r="G372" s="470">
        <f t="shared" ref="G372:BH372" si="688">SUM(G367:G371)</f>
        <v>0</v>
      </c>
      <c r="H372" s="470">
        <f t="shared" si="688"/>
        <v>0</v>
      </c>
      <c r="I372" s="470">
        <f t="shared" si="688"/>
        <v>0</v>
      </c>
      <c r="J372" s="470">
        <f t="shared" si="688"/>
        <v>0</v>
      </c>
      <c r="K372" s="888">
        <f t="shared" si="675"/>
        <v>431.43</v>
      </c>
      <c r="L372" s="470">
        <f t="shared" si="688"/>
        <v>0</v>
      </c>
      <c r="M372" s="470">
        <f t="shared" si="688"/>
        <v>0</v>
      </c>
      <c r="N372" s="470">
        <f t="shared" si="688"/>
        <v>0</v>
      </c>
      <c r="O372" s="470">
        <f t="shared" si="688"/>
        <v>0</v>
      </c>
      <c r="P372" s="888">
        <f t="shared" si="676"/>
        <v>441.65</v>
      </c>
      <c r="Q372" s="470">
        <f t="shared" si="688"/>
        <v>0</v>
      </c>
      <c r="R372" s="470">
        <f t="shared" si="688"/>
        <v>0</v>
      </c>
      <c r="S372" s="470">
        <f t="shared" si="688"/>
        <v>0</v>
      </c>
      <c r="T372" s="470">
        <f t="shared" si="688"/>
        <v>0</v>
      </c>
      <c r="U372" s="888">
        <f t="shared" si="677"/>
        <v>448.22</v>
      </c>
      <c r="V372" s="470">
        <f t="shared" si="688"/>
        <v>0</v>
      </c>
      <c r="W372" s="470">
        <f t="shared" si="688"/>
        <v>0</v>
      </c>
      <c r="X372" s="470">
        <f t="shared" si="688"/>
        <v>0</v>
      </c>
      <c r="Y372" s="470">
        <f t="shared" si="688"/>
        <v>0</v>
      </c>
      <c r="Z372" s="888">
        <f t="shared" si="678"/>
        <v>443.95800000000003</v>
      </c>
      <c r="AA372" s="84">
        <f t="shared" si="688"/>
        <v>0</v>
      </c>
      <c r="AB372" s="470">
        <f t="shared" si="688"/>
        <v>0</v>
      </c>
      <c r="AC372" s="470">
        <f t="shared" si="688"/>
        <v>0</v>
      </c>
      <c r="AD372" s="470">
        <f t="shared" si="688"/>
        <v>0</v>
      </c>
      <c r="AE372" s="888">
        <f t="shared" si="679"/>
        <v>436.90499999999997</v>
      </c>
      <c r="AF372" s="84">
        <f t="shared" si="688"/>
        <v>0</v>
      </c>
      <c r="AG372" s="470">
        <f t="shared" si="688"/>
        <v>0</v>
      </c>
      <c r="AH372" s="470">
        <f t="shared" si="688"/>
        <v>0</v>
      </c>
      <c r="AI372" s="470">
        <f t="shared" si="688"/>
        <v>0</v>
      </c>
      <c r="AJ372" s="888">
        <f t="shared" si="680"/>
        <v>444.57</v>
      </c>
      <c r="AK372" s="84">
        <f t="shared" si="688"/>
        <v>0</v>
      </c>
      <c r="AL372" s="470">
        <f t="shared" si="688"/>
        <v>0</v>
      </c>
      <c r="AM372" s="470">
        <f t="shared" si="688"/>
        <v>0</v>
      </c>
      <c r="AN372" s="470">
        <f t="shared" si="688"/>
        <v>0</v>
      </c>
      <c r="AO372" s="888">
        <f t="shared" si="681"/>
        <v>456.25</v>
      </c>
      <c r="AP372" s="84">
        <f t="shared" si="688"/>
        <v>0</v>
      </c>
      <c r="AQ372" s="470">
        <f t="shared" si="688"/>
        <v>0</v>
      </c>
      <c r="AR372" s="470">
        <f t="shared" si="688"/>
        <v>0</v>
      </c>
      <c r="AS372" s="470">
        <f t="shared" si="688"/>
        <v>0</v>
      </c>
      <c r="AT372" s="888">
        <f t="shared" si="682"/>
        <v>367.09800000000001</v>
      </c>
      <c r="AU372" s="84">
        <f t="shared" si="688"/>
        <v>0</v>
      </c>
      <c r="AV372" s="470">
        <f t="shared" si="688"/>
        <v>0</v>
      </c>
      <c r="AW372" s="470">
        <f t="shared" si="688"/>
        <v>0</v>
      </c>
      <c r="AX372" s="470">
        <f t="shared" si="688"/>
        <v>0</v>
      </c>
      <c r="AY372" s="888">
        <f t="shared" si="683"/>
        <v>415.73500000000001</v>
      </c>
      <c r="AZ372" s="84">
        <f t="shared" si="688"/>
        <v>0</v>
      </c>
      <c r="BA372" s="470">
        <f t="shared" si="688"/>
        <v>0</v>
      </c>
      <c r="BB372" s="470">
        <f t="shared" si="688"/>
        <v>0</v>
      </c>
      <c r="BC372" s="470">
        <f t="shared" si="688"/>
        <v>0</v>
      </c>
      <c r="BD372" s="888">
        <f t="shared" si="684"/>
        <v>448.22</v>
      </c>
      <c r="BE372" s="84">
        <f t="shared" si="688"/>
        <v>0</v>
      </c>
      <c r="BF372" s="470">
        <f t="shared" si="688"/>
        <v>0</v>
      </c>
      <c r="BG372" s="470">
        <f t="shared" si="688"/>
        <v>0</v>
      </c>
      <c r="BH372" s="470">
        <f t="shared" si="688"/>
        <v>0</v>
      </c>
      <c r="BI372" s="886">
        <f t="shared" si="685"/>
        <v>469.755</v>
      </c>
      <c r="BJ372" s="84"/>
      <c r="BK372" s="84"/>
      <c r="BL372" s="84"/>
      <c r="BM372" s="84"/>
      <c r="BN372" s="886">
        <f t="shared" si="686"/>
        <v>470.67599999999999</v>
      </c>
      <c r="BO372" s="84"/>
      <c r="BP372" s="84"/>
      <c r="BQ372" s="84"/>
      <c r="BR372" s="84"/>
      <c r="BS372" s="886">
        <f t="shared" si="687"/>
        <v>480.70499999999998</v>
      </c>
      <c r="BT372" s="479"/>
      <c r="BU372" s="84"/>
      <c r="BV372" s="84"/>
      <c r="BW372" s="84"/>
      <c r="BX372" s="886"/>
      <c r="BY372" s="84"/>
      <c r="BZ372" s="84"/>
      <c r="CA372" s="84"/>
      <c r="CB372" s="84"/>
      <c r="CC372" s="886"/>
      <c r="CD372" s="886"/>
      <c r="CE372" s="886"/>
      <c r="CF372" s="886"/>
      <c r="CG372" s="22"/>
    </row>
    <row r="373" spans="1:85" s="429" customFormat="1" ht="7.5" hidden="1" customHeight="1" outlineLevel="1" x14ac:dyDescent="0.3">
      <c r="A373" s="48"/>
      <c r="B373" s="63"/>
      <c r="C373" s="825"/>
      <c r="D373" s="825"/>
      <c r="E373" s="825"/>
      <c r="F373" s="825"/>
      <c r="G373" s="31"/>
      <c r="H373" s="31"/>
      <c r="I373" s="31"/>
      <c r="J373" s="31"/>
      <c r="K373" s="825"/>
      <c r="L373" s="31"/>
      <c r="M373" s="31"/>
      <c r="N373" s="31"/>
      <c r="O373" s="31"/>
      <c r="P373" s="825"/>
      <c r="Q373" s="31"/>
      <c r="R373" s="31"/>
      <c r="S373" s="31"/>
      <c r="T373" s="31"/>
      <c r="U373" s="825"/>
      <c r="V373" s="31"/>
      <c r="W373" s="31"/>
      <c r="X373" s="31"/>
      <c r="Y373" s="31"/>
      <c r="Z373" s="825"/>
      <c r="AA373" s="31"/>
      <c r="AB373" s="31"/>
      <c r="AC373" s="31"/>
      <c r="AD373" s="31"/>
      <c r="AE373" s="825"/>
      <c r="AF373" s="31"/>
      <c r="AG373" s="31"/>
      <c r="AH373" s="31"/>
      <c r="AI373" s="31"/>
      <c r="AJ373" s="825"/>
      <c r="AK373" s="31"/>
      <c r="AL373" s="31"/>
      <c r="AM373" s="31"/>
      <c r="AN373" s="31"/>
      <c r="AO373" s="825"/>
      <c r="AP373" s="31"/>
      <c r="AQ373" s="31"/>
      <c r="AR373" s="31"/>
      <c r="AS373" s="31"/>
      <c r="AT373" s="825"/>
      <c r="AU373" s="31"/>
      <c r="AV373" s="31"/>
      <c r="AW373" s="31"/>
      <c r="AX373" s="31"/>
      <c r="AY373" s="825"/>
      <c r="AZ373" s="31"/>
      <c r="BA373" s="31"/>
      <c r="BB373" s="31"/>
      <c r="BC373" s="31"/>
      <c r="BD373" s="825"/>
      <c r="BE373" s="31"/>
      <c r="BF373" s="31"/>
      <c r="BG373" s="31"/>
      <c r="BH373" s="31"/>
      <c r="BI373" s="825"/>
      <c r="BJ373" s="31"/>
      <c r="BK373" s="31"/>
      <c r="BL373" s="31"/>
      <c r="BM373" s="31"/>
      <c r="BN373" s="825"/>
      <c r="BO373" s="31"/>
      <c r="BP373" s="31"/>
      <c r="BQ373" s="31"/>
      <c r="BR373" s="31"/>
      <c r="BS373" s="825"/>
      <c r="BT373" s="379"/>
      <c r="BU373" s="31"/>
      <c r="BV373" s="31"/>
      <c r="BW373" s="31"/>
      <c r="BX373" s="825"/>
      <c r="BY373" s="31"/>
      <c r="BZ373" s="31"/>
      <c r="CA373" s="31"/>
      <c r="CB373" s="31"/>
      <c r="CC373" s="825"/>
      <c r="CD373" s="825"/>
      <c r="CE373" s="825"/>
      <c r="CF373" s="825"/>
      <c r="CG373" s="26"/>
    </row>
    <row r="374" spans="1:85" s="428" customFormat="1" hidden="1" outlineLevel="1" x14ac:dyDescent="0.3">
      <c r="A374" s="40" t="s">
        <v>1643</v>
      </c>
      <c r="B374" s="64"/>
      <c r="C374" s="852">
        <f t="shared" ref="C374:F379" si="689">C353*C$3/1000</f>
        <v>202.57499999999999</v>
      </c>
      <c r="D374" s="852">
        <f t="shared" si="689"/>
        <v>190.16499999999999</v>
      </c>
      <c r="E374" s="852">
        <f t="shared" si="689"/>
        <v>163.155</v>
      </c>
      <c r="F374" s="852">
        <f t="shared" si="689"/>
        <v>150.792</v>
      </c>
      <c r="G374" s="37"/>
      <c r="H374" s="37"/>
      <c r="I374" s="37"/>
      <c r="J374" s="37"/>
      <c r="K374" s="852">
        <f t="shared" ref="K374:K379" si="690">K353*K$3/1000</f>
        <v>145.27000000000001</v>
      </c>
      <c r="L374" s="37"/>
      <c r="M374" s="37"/>
      <c r="N374" s="37"/>
      <c r="O374" s="37"/>
      <c r="P374" s="852">
        <f t="shared" ref="P374:P379" si="691">P353*P$3/1000</f>
        <v>147.095</v>
      </c>
      <c r="Q374" s="37"/>
      <c r="R374" s="37"/>
      <c r="S374" s="37"/>
      <c r="T374" s="37"/>
      <c r="U374" s="852">
        <f t="shared" ref="U374:U379" si="692">U353*U$3/1000</f>
        <v>141.98500000000001</v>
      </c>
      <c r="V374" s="37"/>
      <c r="W374" s="37"/>
      <c r="X374" s="37"/>
      <c r="Y374" s="37"/>
      <c r="Z374" s="852">
        <f t="shared" ref="Z374:Z379" si="693">Z353*Z$3/1000</f>
        <v>139.81200000000001</v>
      </c>
      <c r="AA374" s="37"/>
      <c r="AB374" s="37"/>
      <c r="AC374" s="37"/>
      <c r="AD374" s="37"/>
      <c r="AE374" s="852">
        <f t="shared" ref="AE374:AE379" si="694">AE353*AE$3/1000</f>
        <v>133.22499999999999</v>
      </c>
      <c r="AF374" s="37"/>
      <c r="AG374" s="37"/>
      <c r="AH374" s="37"/>
      <c r="AI374" s="37"/>
      <c r="AJ374" s="852">
        <f t="shared" ref="AJ374:AJ379" si="695">AJ353*AJ$3/1000</f>
        <v>122.64</v>
      </c>
      <c r="AK374" s="37"/>
      <c r="AL374" s="37"/>
      <c r="AM374" s="37"/>
      <c r="AN374" s="37"/>
      <c r="AO374" s="852">
        <f t="shared" ref="AO374:AO379" si="696">AO353*AO$3/1000</f>
        <v>105.485</v>
      </c>
      <c r="AP374" s="37"/>
      <c r="AQ374" s="37"/>
      <c r="AR374" s="37"/>
      <c r="AS374" s="37"/>
      <c r="AT374" s="852">
        <f t="shared" ref="AT374:AT379" si="697">AT353*AT$3/1000</f>
        <v>96.623999999999995</v>
      </c>
      <c r="AU374" s="37"/>
      <c r="AV374" s="37"/>
      <c r="AW374" s="37"/>
      <c r="AX374" s="37"/>
      <c r="AY374" s="821">
        <f t="shared" ref="AY374:AY379" si="698">AY353*AY$3/1000</f>
        <v>117.16500000000001</v>
      </c>
      <c r="AZ374" s="37"/>
      <c r="BA374" s="37"/>
      <c r="BB374" s="37"/>
      <c r="BC374" s="37"/>
      <c r="BD374" s="821">
        <f t="shared" ref="BD374:BD379" si="699">BD353*BD$3/1000</f>
        <v>122.64</v>
      </c>
      <c r="BE374" s="37"/>
      <c r="BF374" s="37"/>
      <c r="BG374" s="37"/>
      <c r="BH374" s="37"/>
      <c r="BI374" s="821">
        <f t="shared" ref="BI374:BI379" si="700">BI353*BI$3/1000</f>
        <v>128.845</v>
      </c>
      <c r="BJ374" s="37"/>
      <c r="BK374" s="37"/>
      <c r="BL374" s="37"/>
      <c r="BM374" s="37"/>
      <c r="BN374" s="821">
        <f t="shared" ref="BN374:BN379" si="701">BN353*BN$3/1000</f>
        <v>139.81200000000001</v>
      </c>
      <c r="BO374" s="37"/>
      <c r="BP374" s="37"/>
      <c r="BQ374" s="37"/>
      <c r="BR374" s="37"/>
      <c r="BS374" s="821">
        <f t="shared" ref="BS374:BS379" si="702">BS353*BS$3/1000</f>
        <v>141.62</v>
      </c>
      <c r="BT374" s="480"/>
      <c r="BU374" s="37"/>
      <c r="BV374" s="37"/>
      <c r="BW374" s="37"/>
      <c r="BX374" s="821"/>
      <c r="BY374" s="37"/>
      <c r="BZ374" s="37"/>
      <c r="CA374" s="37"/>
      <c r="CB374" s="37"/>
      <c r="CC374" s="821"/>
      <c r="CD374" s="821"/>
      <c r="CE374" s="821"/>
      <c r="CF374" s="821"/>
      <c r="CG374" s="22"/>
    </row>
    <row r="375" spans="1:85" s="428" customFormat="1" hidden="1" outlineLevel="1" x14ac:dyDescent="0.3">
      <c r="A375" s="40" t="s">
        <v>1644</v>
      </c>
      <c r="B375" s="64"/>
      <c r="C375" s="852">
        <f t="shared" si="689"/>
        <v>96.36</v>
      </c>
      <c r="D375" s="852">
        <f t="shared" si="689"/>
        <v>98.915000000000006</v>
      </c>
      <c r="E375" s="852">
        <f t="shared" si="689"/>
        <v>98.185000000000002</v>
      </c>
      <c r="F375" s="852">
        <f t="shared" si="689"/>
        <v>88.938000000000002</v>
      </c>
      <c r="G375" s="37"/>
      <c r="H375" s="37"/>
      <c r="I375" s="37"/>
      <c r="J375" s="37"/>
      <c r="K375" s="852">
        <f t="shared" si="690"/>
        <v>89.424999999999997</v>
      </c>
      <c r="L375" s="37"/>
      <c r="M375" s="37"/>
      <c r="N375" s="37"/>
      <c r="O375" s="37"/>
      <c r="P375" s="852">
        <f t="shared" si="691"/>
        <v>90.885000000000005</v>
      </c>
      <c r="Q375" s="37"/>
      <c r="R375" s="37"/>
      <c r="S375" s="37"/>
      <c r="T375" s="37"/>
      <c r="U375" s="852">
        <f t="shared" si="692"/>
        <v>98.915000000000006</v>
      </c>
      <c r="V375" s="37"/>
      <c r="W375" s="37"/>
      <c r="X375" s="37"/>
      <c r="Y375" s="37"/>
      <c r="Z375" s="852">
        <f t="shared" si="693"/>
        <v>95.525999999999996</v>
      </c>
      <c r="AA375" s="37"/>
      <c r="AB375" s="37"/>
      <c r="AC375" s="37"/>
      <c r="AD375" s="37"/>
      <c r="AE375" s="852">
        <f t="shared" si="694"/>
        <v>100.01</v>
      </c>
      <c r="AF375" s="37"/>
      <c r="AG375" s="37"/>
      <c r="AH375" s="37"/>
      <c r="AI375" s="37"/>
      <c r="AJ375" s="852">
        <f t="shared" si="695"/>
        <v>100.74</v>
      </c>
      <c r="AK375" s="37"/>
      <c r="AL375" s="37"/>
      <c r="AM375" s="37"/>
      <c r="AN375" s="37"/>
      <c r="AO375" s="852">
        <f t="shared" si="696"/>
        <v>86.87</v>
      </c>
      <c r="AP375" s="37"/>
      <c r="AQ375" s="37"/>
      <c r="AR375" s="37"/>
      <c r="AS375" s="37"/>
      <c r="AT375" s="852">
        <f t="shared" si="697"/>
        <v>52.338000000000001</v>
      </c>
      <c r="AU375" s="37"/>
      <c r="AV375" s="37"/>
      <c r="AW375" s="37"/>
      <c r="AX375" s="37"/>
      <c r="AY375" s="821">
        <f t="shared" si="698"/>
        <v>51.1</v>
      </c>
      <c r="AZ375" s="37"/>
      <c r="BA375" s="37"/>
      <c r="BB375" s="37"/>
      <c r="BC375" s="37"/>
      <c r="BD375" s="821">
        <f t="shared" si="699"/>
        <v>71.540000000000006</v>
      </c>
      <c r="BE375" s="37"/>
      <c r="BF375" s="37"/>
      <c r="BG375" s="37"/>
      <c r="BH375" s="37"/>
      <c r="BI375" s="821">
        <f t="shared" si="700"/>
        <v>85.41</v>
      </c>
      <c r="BJ375" s="37"/>
      <c r="BK375" s="37"/>
      <c r="BL375" s="37"/>
      <c r="BM375" s="37"/>
      <c r="BN375" s="821">
        <f t="shared" si="701"/>
        <v>83.813999999999993</v>
      </c>
      <c r="BO375" s="37"/>
      <c r="BP375" s="37"/>
      <c r="BQ375" s="37"/>
      <c r="BR375" s="37"/>
      <c r="BS375" s="821">
        <f t="shared" si="702"/>
        <v>81.394999999999996</v>
      </c>
      <c r="BT375" s="480"/>
      <c r="BU375" s="37"/>
      <c r="BV375" s="37"/>
      <c r="BW375" s="37"/>
      <c r="BX375" s="821"/>
      <c r="BY375" s="37"/>
      <c r="BZ375" s="37"/>
      <c r="CA375" s="37"/>
      <c r="CB375" s="37"/>
      <c r="CC375" s="821"/>
      <c r="CD375" s="821"/>
      <c r="CE375" s="821"/>
      <c r="CF375" s="821"/>
      <c r="CG375" s="22"/>
    </row>
    <row r="376" spans="1:85" s="428" customFormat="1" hidden="1" outlineLevel="1" x14ac:dyDescent="0.3">
      <c r="A376" s="40" t="s">
        <v>1645</v>
      </c>
      <c r="B376" s="64"/>
      <c r="C376" s="852">
        <f t="shared" si="689"/>
        <v>236.155</v>
      </c>
      <c r="D376" s="852">
        <f t="shared" si="689"/>
        <v>212.79499999999999</v>
      </c>
      <c r="E376" s="852">
        <f t="shared" si="689"/>
        <v>198.19499999999999</v>
      </c>
      <c r="F376" s="852">
        <f t="shared" si="689"/>
        <v>181.536</v>
      </c>
      <c r="G376" s="37"/>
      <c r="H376" s="37"/>
      <c r="I376" s="37"/>
      <c r="J376" s="37"/>
      <c r="K376" s="852">
        <f t="shared" si="690"/>
        <v>186.15</v>
      </c>
      <c r="L376" s="37"/>
      <c r="M376" s="37"/>
      <c r="N376" s="37"/>
      <c r="O376" s="37"/>
      <c r="P376" s="852">
        <f t="shared" si="691"/>
        <v>181.77</v>
      </c>
      <c r="Q376" s="37"/>
      <c r="R376" s="37"/>
      <c r="S376" s="37"/>
      <c r="T376" s="37"/>
      <c r="U376" s="852">
        <f t="shared" si="692"/>
        <v>174.47</v>
      </c>
      <c r="V376" s="37"/>
      <c r="W376" s="37"/>
      <c r="X376" s="37"/>
      <c r="Y376" s="37"/>
      <c r="Z376" s="852">
        <f t="shared" si="693"/>
        <v>171.28800000000001</v>
      </c>
      <c r="AA376" s="37"/>
      <c r="AB376" s="37"/>
      <c r="AC376" s="37"/>
      <c r="AD376" s="37"/>
      <c r="AE376" s="852">
        <f t="shared" si="694"/>
        <v>178.85</v>
      </c>
      <c r="AF376" s="37"/>
      <c r="AG376" s="37"/>
      <c r="AH376" s="37"/>
      <c r="AI376" s="37"/>
      <c r="AJ376" s="852">
        <f t="shared" si="695"/>
        <v>162.79</v>
      </c>
      <c r="AK376" s="37"/>
      <c r="AL376" s="37"/>
      <c r="AM376" s="37"/>
      <c r="AN376" s="37"/>
      <c r="AO376" s="852">
        <f t="shared" si="696"/>
        <v>155.85499999999999</v>
      </c>
      <c r="AP376" s="37"/>
      <c r="AQ376" s="37"/>
      <c r="AR376" s="37"/>
      <c r="AS376" s="37"/>
      <c r="AT376" s="852">
        <f t="shared" si="697"/>
        <v>160.30799999999999</v>
      </c>
      <c r="AU376" s="37"/>
      <c r="AV376" s="37"/>
      <c r="AW376" s="37"/>
      <c r="AX376" s="37"/>
      <c r="AY376" s="821">
        <f t="shared" si="698"/>
        <v>171.91499999999999</v>
      </c>
      <c r="AZ376" s="37"/>
      <c r="BA376" s="37"/>
      <c r="BB376" s="37"/>
      <c r="BC376" s="37"/>
      <c r="BD376" s="821">
        <f t="shared" si="699"/>
        <v>169.36</v>
      </c>
      <c r="BE376" s="37"/>
      <c r="BF376" s="37"/>
      <c r="BG376" s="37"/>
      <c r="BH376" s="37"/>
      <c r="BI376" s="821">
        <f t="shared" si="700"/>
        <v>172.28</v>
      </c>
      <c r="BJ376" s="37"/>
      <c r="BK376" s="37"/>
      <c r="BL376" s="37"/>
      <c r="BM376" s="37"/>
      <c r="BN376" s="821">
        <f t="shared" si="701"/>
        <v>175.31399999999999</v>
      </c>
      <c r="BO376" s="37"/>
      <c r="BP376" s="37"/>
      <c r="BQ376" s="37"/>
      <c r="BR376" s="37"/>
      <c r="BS376" s="821">
        <f t="shared" si="702"/>
        <v>176.29499999999999</v>
      </c>
      <c r="BT376" s="480"/>
      <c r="BU376" s="37"/>
      <c r="BV376" s="37"/>
      <c r="BW376" s="37"/>
      <c r="BX376" s="821"/>
      <c r="BY376" s="37"/>
      <c r="BZ376" s="37"/>
      <c r="CA376" s="37"/>
      <c r="CB376" s="37"/>
      <c r="CC376" s="821"/>
      <c r="CD376" s="821"/>
      <c r="CE376" s="821"/>
      <c r="CF376" s="821"/>
      <c r="CG376" s="22"/>
    </row>
    <row r="377" spans="1:85" s="428" customFormat="1" hidden="1" outlineLevel="1" x14ac:dyDescent="0.3">
      <c r="A377" s="40" t="s">
        <v>1646</v>
      </c>
      <c r="B377" s="64"/>
      <c r="C377" s="852">
        <f t="shared" si="689"/>
        <v>76.284999999999997</v>
      </c>
      <c r="D377" s="852">
        <f t="shared" si="689"/>
        <v>71.905000000000001</v>
      </c>
      <c r="E377" s="852">
        <f t="shared" si="689"/>
        <v>85.045000000000002</v>
      </c>
      <c r="F377" s="852">
        <f t="shared" si="689"/>
        <v>76.86</v>
      </c>
      <c r="G377" s="37"/>
      <c r="H377" s="37"/>
      <c r="I377" s="37"/>
      <c r="J377" s="37"/>
      <c r="K377" s="852">
        <f t="shared" si="690"/>
        <v>65.334999999999994</v>
      </c>
      <c r="L377" s="37"/>
      <c r="M377" s="37"/>
      <c r="N377" s="37"/>
      <c r="O377" s="37"/>
      <c r="P377" s="852">
        <f t="shared" si="691"/>
        <v>59.13</v>
      </c>
      <c r="Q377" s="37"/>
      <c r="R377" s="37"/>
      <c r="S377" s="37"/>
      <c r="T377" s="37"/>
      <c r="U377" s="852">
        <f t="shared" si="692"/>
        <v>58.034999999999997</v>
      </c>
      <c r="V377" s="37"/>
      <c r="W377" s="37"/>
      <c r="X377" s="37"/>
      <c r="Y377" s="37"/>
      <c r="Z377" s="852">
        <f t="shared" si="693"/>
        <v>52.704000000000001</v>
      </c>
      <c r="AA377" s="37"/>
      <c r="AB377" s="37"/>
      <c r="AC377" s="37"/>
      <c r="AD377" s="37"/>
      <c r="AE377" s="852">
        <f t="shared" si="694"/>
        <v>59.13</v>
      </c>
      <c r="AF377" s="37"/>
      <c r="AG377" s="37"/>
      <c r="AH377" s="37"/>
      <c r="AI377" s="37"/>
      <c r="AJ377" s="852">
        <f t="shared" si="695"/>
        <v>64.605000000000004</v>
      </c>
      <c r="AK377" s="37"/>
      <c r="AL377" s="37"/>
      <c r="AM377" s="37"/>
      <c r="AN377" s="37"/>
      <c r="AO377" s="852">
        <f t="shared" si="696"/>
        <v>60.954999999999998</v>
      </c>
      <c r="AP377" s="37"/>
      <c r="AQ377" s="37"/>
      <c r="AR377" s="37"/>
      <c r="AS377" s="37"/>
      <c r="AT377" s="852">
        <f t="shared" si="697"/>
        <v>67.343999999999994</v>
      </c>
      <c r="AU377" s="37"/>
      <c r="AV377" s="37"/>
      <c r="AW377" s="37"/>
      <c r="AX377" s="37"/>
      <c r="AY377" s="821">
        <f t="shared" si="698"/>
        <v>64.605000000000004</v>
      </c>
      <c r="AZ377" s="37"/>
      <c r="BA377" s="37"/>
      <c r="BB377" s="37"/>
      <c r="BC377" s="37"/>
      <c r="BD377" s="821">
        <f t="shared" si="699"/>
        <v>61.32</v>
      </c>
      <c r="BE377" s="37"/>
      <c r="BF377" s="37"/>
      <c r="BG377" s="37"/>
      <c r="BH377" s="37"/>
      <c r="BI377" s="821">
        <f t="shared" si="700"/>
        <v>58.765000000000001</v>
      </c>
      <c r="BJ377" s="37"/>
      <c r="BK377" s="37"/>
      <c r="BL377" s="37"/>
      <c r="BM377" s="37"/>
      <c r="BN377" s="821">
        <f t="shared" si="701"/>
        <v>66.611999999999995</v>
      </c>
      <c r="BO377" s="37"/>
      <c r="BP377" s="37"/>
      <c r="BQ377" s="37"/>
      <c r="BR377" s="37"/>
      <c r="BS377" s="821">
        <f t="shared" si="702"/>
        <v>63.51</v>
      </c>
      <c r="BT377" s="480"/>
      <c r="BU377" s="37"/>
      <c r="BV377" s="37"/>
      <c r="BW377" s="37"/>
      <c r="BX377" s="821"/>
      <c r="BY377" s="37"/>
      <c r="BZ377" s="37"/>
      <c r="CA377" s="37"/>
      <c r="CB377" s="37"/>
      <c r="CC377" s="821"/>
      <c r="CD377" s="821"/>
      <c r="CE377" s="821"/>
      <c r="CF377" s="821"/>
      <c r="CG377" s="22"/>
    </row>
    <row r="378" spans="1:85" s="428" customFormat="1" hidden="1" outlineLevel="1" x14ac:dyDescent="0.3">
      <c r="A378" s="43" t="s">
        <v>1647</v>
      </c>
      <c r="B378" s="64"/>
      <c r="C378" s="821">
        <f t="shared" si="689"/>
        <v>64.239999999999995</v>
      </c>
      <c r="D378" s="821">
        <f t="shared" si="689"/>
        <v>70.08</v>
      </c>
      <c r="E378" s="821">
        <f t="shared" si="689"/>
        <v>73</v>
      </c>
      <c r="F378" s="821">
        <f t="shared" si="689"/>
        <v>70.638000000000005</v>
      </c>
      <c r="G378" s="37"/>
      <c r="H378" s="37"/>
      <c r="I378" s="37"/>
      <c r="J378" s="37"/>
      <c r="K378" s="821">
        <f t="shared" si="690"/>
        <v>71.905000000000001</v>
      </c>
      <c r="L378" s="37"/>
      <c r="M378" s="37"/>
      <c r="N378" s="37"/>
      <c r="O378" s="37"/>
      <c r="P378" s="821">
        <f t="shared" si="691"/>
        <v>68.984999999999999</v>
      </c>
      <c r="Q378" s="37"/>
      <c r="R378" s="37"/>
      <c r="S378" s="37"/>
      <c r="T378" s="37"/>
      <c r="U378" s="821">
        <f t="shared" si="692"/>
        <v>76.650000000000006</v>
      </c>
      <c r="V378" s="37"/>
      <c r="W378" s="37"/>
      <c r="X378" s="37"/>
      <c r="Y378" s="37"/>
      <c r="Z378" s="821">
        <f t="shared" si="693"/>
        <v>75.762</v>
      </c>
      <c r="AA378" s="37"/>
      <c r="AB378" s="37"/>
      <c r="AC378" s="37"/>
      <c r="AD378" s="37"/>
      <c r="AE378" s="821">
        <f t="shared" si="694"/>
        <v>73.73</v>
      </c>
      <c r="AF378" s="37"/>
      <c r="AG378" s="37"/>
      <c r="AH378" s="37"/>
      <c r="AI378" s="37"/>
      <c r="AJ378" s="821">
        <f t="shared" si="695"/>
        <v>73.73</v>
      </c>
      <c r="AK378" s="37"/>
      <c r="AL378" s="37"/>
      <c r="AM378" s="37"/>
      <c r="AN378" s="37"/>
      <c r="AO378" s="821">
        <f t="shared" si="696"/>
        <v>75.19</v>
      </c>
      <c r="AP378" s="37"/>
      <c r="AQ378" s="37"/>
      <c r="AR378" s="37"/>
      <c r="AS378" s="37"/>
      <c r="AT378" s="821">
        <f t="shared" si="697"/>
        <v>70.272000000000006</v>
      </c>
      <c r="AU378" s="37"/>
      <c r="AV378" s="37"/>
      <c r="AW378" s="37"/>
      <c r="AX378" s="37"/>
      <c r="AY378" s="821">
        <f t="shared" si="698"/>
        <v>75.19</v>
      </c>
      <c r="AZ378" s="37"/>
      <c r="BA378" s="37"/>
      <c r="BB378" s="37"/>
      <c r="BC378" s="37"/>
      <c r="BD378" s="821">
        <f t="shared" si="699"/>
        <v>81.03</v>
      </c>
      <c r="BE378" s="37"/>
      <c r="BF378" s="37"/>
      <c r="BG378" s="37"/>
      <c r="BH378" s="37"/>
      <c r="BI378" s="822">
        <f t="shared" si="700"/>
        <v>82.125</v>
      </c>
      <c r="BJ378" s="37"/>
      <c r="BK378" s="37"/>
      <c r="BL378" s="37"/>
      <c r="BM378" s="37"/>
      <c r="BN378" s="822">
        <f t="shared" si="701"/>
        <v>81.617999999999995</v>
      </c>
      <c r="BO378" s="37"/>
      <c r="BP378" s="37"/>
      <c r="BQ378" s="37"/>
      <c r="BR378" s="37"/>
      <c r="BS378" s="822">
        <f t="shared" si="702"/>
        <v>78.84</v>
      </c>
      <c r="BT378" s="480"/>
      <c r="BU378" s="37"/>
      <c r="BV378" s="37"/>
      <c r="BW378" s="37"/>
      <c r="BX378" s="821"/>
      <c r="BY378" s="37"/>
      <c r="BZ378" s="37"/>
      <c r="CA378" s="37"/>
      <c r="CB378" s="37"/>
      <c r="CC378" s="821"/>
      <c r="CD378" s="821"/>
      <c r="CE378" s="821"/>
      <c r="CF378" s="821"/>
      <c r="CG378" s="22"/>
    </row>
    <row r="379" spans="1:85" s="428" customFormat="1" hidden="1" outlineLevel="1" x14ac:dyDescent="0.3">
      <c r="A379" s="471" t="s">
        <v>1648</v>
      </c>
      <c r="B379" s="469"/>
      <c r="C379" s="888">
        <f t="shared" si="689"/>
        <v>675.61500000000001</v>
      </c>
      <c r="D379" s="888">
        <f t="shared" si="689"/>
        <v>643.86</v>
      </c>
      <c r="E379" s="888">
        <f t="shared" si="689"/>
        <v>617.58000000000004</v>
      </c>
      <c r="F379" s="888">
        <f t="shared" si="689"/>
        <v>568.76400000000001</v>
      </c>
      <c r="G379" s="470">
        <f t="shared" ref="G379:BH379" si="703">SUM(G374:G378)</f>
        <v>0</v>
      </c>
      <c r="H379" s="470">
        <f t="shared" si="703"/>
        <v>0</v>
      </c>
      <c r="I379" s="470">
        <f t="shared" si="703"/>
        <v>0</v>
      </c>
      <c r="J379" s="470">
        <f t="shared" si="703"/>
        <v>0</v>
      </c>
      <c r="K379" s="888">
        <f t="shared" si="690"/>
        <v>558.08500000000004</v>
      </c>
      <c r="L379" s="470">
        <f t="shared" si="703"/>
        <v>0</v>
      </c>
      <c r="M379" s="470">
        <f t="shared" si="703"/>
        <v>0</v>
      </c>
      <c r="N379" s="470">
        <f t="shared" si="703"/>
        <v>0</v>
      </c>
      <c r="O379" s="470">
        <f t="shared" si="703"/>
        <v>0</v>
      </c>
      <c r="P379" s="888">
        <f t="shared" si="691"/>
        <v>547.86500000000001</v>
      </c>
      <c r="Q379" s="470">
        <f t="shared" si="703"/>
        <v>0</v>
      </c>
      <c r="R379" s="470">
        <f t="shared" si="703"/>
        <v>0</v>
      </c>
      <c r="S379" s="470">
        <f t="shared" si="703"/>
        <v>0</v>
      </c>
      <c r="T379" s="470">
        <f t="shared" si="703"/>
        <v>0</v>
      </c>
      <c r="U379" s="888">
        <f t="shared" si="692"/>
        <v>550.05499999999995</v>
      </c>
      <c r="V379" s="470">
        <f t="shared" si="703"/>
        <v>0</v>
      </c>
      <c r="W379" s="470">
        <f t="shared" si="703"/>
        <v>0</v>
      </c>
      <c r="X379" s="470">
        <f t="shared" si="703"/>
        <v>0</v>
      </c>
      <c r="Y379" s="470">
        <f t="shared" si="703"/>
        <v>0</v>
      </c>
      <c r="Z379" s="888">
        <f t="shared" si="693"/>
        <v>535.09199999999998</v>
      </c>
      <c r="AA379" s="84">
        <f t="shared" si="703"/>
        <v>0</v>
      </c>
      <c r="AB379" s="470">
        <f t="shared" si="703"/>
        <v>0</v>
      </c>
      <c r="AC379" s="470">
        <f t="shared" si="703"/>
        <v>0</v>
      </c>
      <c r="AD379" s="470">
        <f t="shared" si="703"/>
        <v>0</v>
      </c>
      <c r="AE379" s="888">
        <f t="shared" si="694"/>
        <v>544.94500000000005</v>
      </c>
      <c r="AF379" s="84">
        <f t="shared" si="703"/>
        <v>0</v>
      </c>
      <c r="AG379" s="470">
        <f t="shared" si="703"/>
        <v>0</v>
      </c>
      <c r="AH379" s="470">
        <f t="shared" si="703"/>
        <v>0</v>
      </c>
      <c r="AI379" s="470">
        <f t="shared" si="703"/>
        <v>0</v>
      </c>
      <c r="AJ379" s="888">
        <f t="shared" si="695"/>
        <v>524.505</v>
      </c>
      <c r="AK379" s="84">
        <f t="shared" si="703"/>
        <v>0</v>
      </c>
      <c r="AL379" s="470">
        <f t="shared" si="703"/>
        <v>0</v>
      </c>
      <c r="AM379" s="470">
        <f t="shared" si="703"/>
        <v>0</v>
      </c>
      <c r="AN379" s="470">
        <f t="shared" si="703"/>
        <v>0</v>
      </c>
      <c r="AO379" s="888">
        <f t="shared" si="696"/>
        <v>484.35500000000002</v>
      </c>
      <c r="AP379" s="84">
        <f t="shared" si="703"/>
        <v>0</v>
      </c>
      <c r="AQ379" s="470">
        <f t="shared" si="703"/>
        <v>0</v>
      </c>
      <c r="AR379" s="470">
        <f t="shared" si="703"/>
        <v>0</v>
      </c>
      <c r="AS379" s="470">
        <f t="shared" si="703"/>
        <v>0</v>
      </c>
      <c r="AT379" s="888">
        <f t="shared" si="697"/>
        <v>446.88600000000002</v>
      </c>
      <c r="AU379" s="84">
        <f t="shared" si="703"/>
        <v>0</v>
      </c>
      <c r="AV379" s="470">
        <f t="shared" si="703"/>
        <v>0</v>
      </c>
      <c r="AW379" s="470">
        <f t="shared" si="703"/>
        <v>0</v>
      </c>
      <c r="AX379" s="470">
        <f t="shared" si="703"/>
        <v>0</v>
      </c>
      <c r="AY379" s="888">
        <f t="shared" si="698"/>
        <v>479.97500000000002</v>
      </c>
      <c r="AZ379" s="84">
        <f t="shared" si="703"/>
        <v>0</v>
      </c>
      <c r="BA379" s="470">
        <f t="shared" si="703"/>
        <v>0</v>
      </c>
      <c r="BB379" s="470">
        <f t="shared" si="703"/>
        <v>0</v>
      </c>
      <c r="BC379" s="470">
        <f t="shared" si="703"/>
        <v>0</v>
      </c>
      <c r="BD379" s="888">
        <f t="shared" si="699"/>
        <v>505.89</v>
      </c>
      <c r="BE379" s="84">
        <f t="shared" si="703"/>
        <v>0</v>
      </c>
      <c r="BF379" s="470">
        <f t="shared" si="703"/>
        <v>0</v>
      </c>
      <c r="BG379" s="470">
        <f t="shared" si="703"/>
        <v>0</v>
      </c>
      <c r="BH379" s="470">
        <f t="shared" si="703"/>
        <v>0</v>
      </c>
      <c r="BI379" s="821">
        <f t="shared" si="700"/>
        <v>527.42499999999995</v>
      </c>
      <c r="BJ379" s="84"/>
      <c r="BK379" s="84"/>
      <c r="BL379" s="84"/>
      <c r="BM379" s="84"/>
      <c r="BN379" s="821">
        <f t="shared" si="701"/>
        <v>547.16999999999996</v>
      </c>
      <c r="BO379" s="84"/>
      <c r="BP379" s="84"/>
      <c r="BQ379" s="84"/>
      <c r="BR379" s="84"/>
      <c r="BS379" s="821">
        <f t="shared" si="702"/>
        <v>541.66</v>
      </c>
      <c r="BT379" s="479"/>
      <c r="BU379" s="84"/>
      <c r="BV379" s="84"/>
      <c r="BW379" s="84"/>
      <c r="BX379" s="886"/>
      <c r="BY379" s="84"/>
      <c r="BZ379" s="84"/>
      <c r="CA379" s="84"/>
      <c r="CB379" s="84"/>
      <c r="CC379" s="886"/>
      <c r="CD379" s="886"/>
      <c r="CE379" s="886"/>
      <c r="CF379" s="886"/>
      <c r="CG379" s="22"/>
    </row>
    <row r="380" spans="1:85" s="429" customFormat="1" ht="7.5" hidden="1" customHeight="1" outlineLevel="1" x14ac:dyDescent="0.3">
      <c r="A380" s="48"/>
      <c r="B380" s="63"/>
      <c r="C380" s="825"/>
      <c r="D380" s="825"/>
      <c r="E380" s="825"/>
      <c r="F380" s="825"/>
      <c r="G380" s="31"/>
      <c r="H380" s="31"/>
      <c r="I380" s="31"/>
      <c r="J380" s="31"/>
      <c r="K380" s="825"/>
      <c r="L380" s="31"/>
      <c r="M380" s="31"/>
      <c r="N380" s="31"/>
      <c r="O380" s="31"/>
      <c r="P380" s="825"/>
      <c r="Q380" s="31"/>
      <c r="R380" s="31"/>
      <c r="S380" s="31"/>
      <c r="T380" s="31"/>
      <c r="U380" s="825"/>
      <c r="V380" s="31"/>
      <c r="W380" s="31"/>
      <c r="X380" s="31"/>
      <c r="Y380" s="31"/>
      <c r="Z380" s="825"/>
      <c r="AA380" s="31"/>
      <c r="AB380" s="31"/>
      <c r="AC380" s="31"/>
      <c r="AD380" s="31"/>
      <c r="AE380" s="825"/>
      <c r="AF380" s="31"/>
      <c r="AG380" s="31"/>
      <c r="AH380" s="31"/>
      <c r="AI380" s="31"/>
      <c r="AJ380" s="825"/>
      <c r="AK380" s="31"/>
      <c r="AL380" s="31"/>
      <c r="AM380" s="31"/>
      <c r="AN380" s="31"/>
      <c r="AO380" s="825"/>
      <c r="AP380" s="31"/>
      <c r="AQ380" s="31"/>
      <c r="AR380" s="31"/>
      <c r="AS380" s="31"/>
      <c r="AT380" s="825"/>
      <c r="AU380" s="31"/>
      <c r="AV380" s="31"/>
      <c r="AW380" s="31"/>
      <c r="AX380" s="31"/>
      <c r="AY380" s="825"/>
      <c r="AZ380" s="31"/>
      <c r="BA380" s="31"/>
      <c r="BB380" s="31"/>
      <c r="BC380" s="31"/>
      <c r="BD380" s="825"/>
      <c r="BE380" s="31"/>
      <c r="BF380" s="31"/>
      <c r="BG380" s="31"/>
      <c r="BH380" s="31"/>
      <c r="BI380" s="825"/>
      <c r="BJ380" s="31"/>
      <c r="BK380" s="31"/>
      <c r="BL380" s="31"/>
      <c r="BM380" s="31"/>
      <c r="BN380" s="825"/>
      <c r="BO380" s="31"/>
      <c r="BP380" s="31"/>
      <c r="BQ380" s="31"/>
      <c r="BR380" s="31"/>
      <c r="BS380" s="825"/>
      <c r="BT380" s="379"/>
      <c r="BU380" s="31"/>
      <c r="BV380" s="31"/>
      <c r="BW380" s="31"/>
      <c r="BX380" s="825"/>
      <c r="BY380" s="31"/>
      <c r="BZ380" s="31"/>
      <c r="CA380" s="31"/>
      <c r="CB380" s="31"/>
      <c r="CC380" s="825"/>
      <c r="CD380" s="825"/>
      <c r="CE380" s="825"/>
      <c r="CF380" s="825"/>
      <c r="CG380" s="26"/>
    </row>
    <row r="381" spans="1:85" s="428" customFormat="1" hidden="1" outlineLevel="1" x14ac:dyDescent="0.3">
      <c r="A381" s="40" t="s">
        <v>1649</v>
      </c>
      <c r="B381" s="64"/>
      <c r="C381" s="852">
        <f t="shared" ref="C381:F386" si="704">C360*C$3/1000</f>
        <v>465.375</v>
      </c>
      <c r="D381" s="852">
        <f t="shared" si="704"/>
        <v>445.66500000000002</v>
      </c>
      <c r="E381" s="852">
        <f t="shared" si="704"/>
        <v>400.04</v>
      </c>
      <c r="F381" s="852">
        <f t="shared" si="704"/>
        <v>379.17599999999999</v>
      </c>
      <c r="G381" s="37"/>
      <c r="H381" s="37"/>
      <c r="I381" s="37"/>
      <c r="J381" s="37"/>
      <c r="K381" s="852">
        <f t="shared" ref="K381:K386" si="705">K360*K$3/1000</f>
        <v>369.01499999999999</v>
      </c>
      <c r="L381" s="37"/>
      <c r="M381" s="37"/>
      <c r="N381" s="37"/>
      <c r="O381" s="37"/>
      <c r="P381" s="852">
        <f t="shared" ref="P381:P386" si="706">P360*P$3/1000</f>
        <v>371.57</v>
      </c>
      <c r="Q381" s="37"/>
      <c r="R381" s="37"/>
      <c r="S381" s="37"/>
      <c r="T381" s="37"/>
      <c r="U381" s="852">
        <f t="shared" ref="U381:U386" si="707">U360*U$3/1000</f>
        <v>368.65</v>
      </c>
      <c r="V381" s="37"/>
      <c r="W381" s="37"/>
      <c r="X381" s="37"/>
      <c r="Y381" s="37"/>
      <c r="Z381" s="852">
        <f t="shared" ref="Z381:Z386" si="708">Z360*Z$3/1000</f>
        <v>370.75799999999998</v>
      </c>
      <c r="AA381" s="37"/>
      <c r="AB381" s="37"/>
      <c r="AC381" s="37"/>
      <c r="AD381" s="37"/>
      <c r="AE381" s="852">
        <f t="shared" ref="AE381:AE386" si="709">AE360*AE$3/1000</f>
        <v>361.35</v>
      </c>
      <c r="AF381" s="37"/>
      <c r="AG381" s="37"/>
      <c r="AH381" s="37"/>
      <c r="AI381" s="37"/>
      <c r="AJ381" s="852">
        <f t="shared" ref="AJ381:AJ386" si="710">AJ360*AJ$3/1000</f>
        <v>351.495</v>
      </c>
      <c r="AK381" s="37"/>
      <c r="AL381" s="37"/>
      <c r="AM381" s="37"/>
      <c r="AN381" s="37"/>
      <c r="AO381" s="852">
        <f t="shared" ref="AO381:AO386" si="711">AO360*AO$3/1000</f>
        <v>348.94</v>
      </c>
      <c r="AP381" s="37"/>
      <c r="AQ381" s="37"/>
      <c r="AR381" s="37"/>
      <c r="AS381" s="37"/>
      <c r="AT381" s="852">
        <f t="shared" ref="AT381:AT386" si="712">AT360*AT$3/1000</f>
        <v>309.27</v>
      </c>
      <c r="AU381" s="37"/>
      <c r="AV381" s="37"/>
      <c r="AW381" s="37"/>
      <c r="AX381" s="37"/>
      <c r="AY381" s="852">
        <f t="shared" ref="AY381:AY386" si="713">AY360*AY$3/1000</f>
        <v>356.24</v>
      </c>
      <c r="AZ381" s="37"/>
      <c r="BA381" s="37"/>
      <c r="BB381" s="37"/>
      <c r="BC381" s="37"/>
      <c r="BD381" s="852">
        <f t="shared" ref="BD381:BD386" si="714">BD360*BD$3/1000</f>
        <v>355.875</v>
      </c>
      <c r="BE381" s="37"/>
      <c r="BF381" s="37"/>
      <c r="BG381" s="37"/>
      <c r="BH381" s="37"/>
      <c r="BI381" s="821">
        <f t="shared" ref="BI381:BI386" si="715">BI360*BI$3/1000</f>
        <v>363.17500000000001</v>
      </c>
      <c r="BJ381" s="37"/>
      <c r="BK381" s="37"/>
      <c r="BL381" s="37"/>
      <c r="BM381" s="37"/>
      <c r="BN381" s="821">
        <f t="shared" ref="BN381:BN386" si="716">BN360*BN$3/1000</f>
        <v>383.93400000000003</v>
      </c>
      <c r="BO381" s="37"/>
      <c r="BP381" s="37"/>
      <c r="BQ381" s="37"/>
      <c r="BR381" s="37"/>
      <c r="BS381" s="821">
        <f t="shared" ref="BS381:BS386" si="717">BS360*BS$3/1000</f>
        <v>391.64499999999998</v>
      </c>
      <c r="BT381" s="480"/>
      <c r="BU381" s="37"/>
      <c r="BV381" s="37"/>
      <c r="BW381" s="37"/>
      <c r="BX381" s="821"/>
      <c r="BY381" s="37"/>
      <c r="BZ381" s="37"/>
      <c r="CA381" s="37"/>
      <c r="CB381" s="37"/>
      <c r="CC381" s="821"/>
      <c r="CD381" s="821"/>
      <c r="CE381" s="821"/>
      <c r="CF381" s="821"/>
      <c r="CG381" s="22"/>
    </row>
    <row r="382" spans="1:85" s="428" customFormat="1" hidden="1" outlineLevel="1" x14ac:dyDescent="0.3">
      <c r="A382" s="40" t="s">
        <v>1650</v>
      </c>
      <c r="B382" s="64"/>
      <c r="C382" s="852">
        <f t="shared" si="704"/>
        <v>189.07</v>
      </c>
      <c r="D382" s="852">
        <f t="shared" si="704"/>
        <v>180.31</v>
      </c>
      <c r="E382" s="852">
        <f t="shared" si="704"/>
        <v>174.47</v>
      </c>
      <c r="F382" s="852">
        <f t="shared" si="704"/>
        <v>166.53</v>
      </c>
      <c r="G382" s="37"/>
      <c r="H382" s="37"/>
      <c r="I382" s="37"/>
      <c r="J382" s="37"/>
      <c r="K382" s="852">
        <f t="shared" si="705"/>
        <v>167.9</v>
      </c>
      <c r="L382" s="37"/>
      <c r="M382" s="37"/>
      <c r="N382" s="37"/>
      <c r="O382" s="37"/>
      <c r="P382" s="852">
        <f t="shared" si="706"/>
        <v>171.91499999999999</v>
      </c>
      <c r="Q382" s="37"/>
      <c r="R382" s="37"/>
      <c r="S382" s="37"/>
      <c r="T382" s="37"/>
      <c r="U382" s="852">
        <f t="shared" si="707"/>
        <v>183.595</v>
      </c>
      <c r="V382" s="37"/>
      <c r="W382" s="37"/>
      <c r="X382" s="37"/>
      <c r="Y382" s="37"/>
      <c r="Z382" s="852">
        <f t="shared" si="708"/>
        <v>184.09800000000001</v>
      </c>
      <c r="AA382" s="37"/>
      <c r="AB382" s="37"/>
      <c r="AC382" s="37"/>
      <c r="AD382" s="37"/>
      <c r="AE382" s="852">
        <f t="shared" si="709"/>
        <v>188.34</v>
      </c>
      <c r="AF382" s="37"/>
      <c r="AG382" s="37"/>
      <c r="AH382" s="37"/>
      <c r="AI382" s="37"/>
      <c r="AJ382" s="852">
        <f t="shared" si="710"/>
        <v>193.815</v>
      </c>
      <c r="AK382" s="37"/>
      <c r="AL382" s="37"/>
      <c r="AM382" s="37"/>
      <c r="AN382" s="37"/>
      <c r="AO382" s="852">
        <f t="shared" si="711"/>
        <v>180.31</v>
      </c>
      <c r="AP382" s="37"/>
      <c r="AQ382" s="37"/>
      <c r="AR382" s="37"/>
      <c r="AS382" s="37"/>
      <c r="AT382" s="852">
        <f t="shared" si="712"/>
        <v>103.212</v>
      </c>
      <c r="AU382" s="37"/>
      <c r="AV382" s="37"/>
      <c r="AW382" s="37"/>
      <c r="AX382" s="37"/>
      <c r="AY382" s="852">
        <f t="shared" si="713"/>
        <v>114.245</v>
      </c>
      <c r="AZ382" s="37"/>
      <c r="BA382" s="37"/>
      <c r="BB382" s="37"/>
      <c r="BC382" s="37"/>
      <c r="BD382" s="852">
        <f t="shared" si="714"/>
        <v>148.91999999999999</v>
      </c>
      <c r="BE382" s="37"/>
      <c r="BF382" s="37"/>
      <c r="BG382" s="37"/>
      <c r="BH382" s="37"/>
      <c r="BI382" s="821">
        <f t="shared" si="715"/>
        <v>180.31</v>
      </c>
      <c r="BJ382" s="37"/>
      <c r="BK382" s="37"/>
      <c r="BL382" s="37"/>
      <c r="BM382" s="37"/>
      <c r="BN382" s="821">
        <f t="shared" si="716"/>
        <v>177.14400000000001</v>
      </c>
      <c r="BO382" s="37"/>
      <c r="BP382" s="37"/>
      <c r="BQ382" s="37"/>
      <c r="BR382" s="37"/>
      <c r="BS382" s="821">
        <f t="shared" si="717"/>
        <v>182.86500000000001</v>
      </c>
      <c r="BT382" s="480"/>
      <c r="BU382" s="37"/>
      <c r="BV382" s="37"/>
      <c r="BW382" s="37"/>
      <c r="BX382" s="821"/>
      <c r="BY382" s="37"/>
      <c r="BZ382" s="37"/>
      <c r="CA382" s="37"/>
      <c r="CB382" s="37"/>
      <c r="CC382" s="821"/>
      <c r="CD382" s="821"/>
      <c r="CE382" s="821"/>
      <c r="CF382" s="821"/>
      <c r="CG382" s="22"/>
    </row>
    <row r="383" spans="1:85" s="428" customFormat="1" hidden="1" outlineLevel="1" x14ac:dyDescent="0.3">
      <c r="A383" s="40" t="s">
        <v>1651</v>
      </c>
      <c r="B383" s="64"/>
      <c r="C383" s="852">
        <f t="shared" si="704"/>
        <v>318.64499999999998</v>
      </c>
      <c r="D383" s="852">
        <f t="shared" si="704"/>
        <v>297.47500000000002</v>
      </c>
      <c r="E383" s="852">
        <f t="shared" si="704"/>
        <v>275.94</v>
      </c>
      <c r="F383" s="852">
        <f t="shared" si="704"/>
        <v>259.49400000000003</v>
      </c>
      <c r="G383" s="37"/>
      <c r="H383" s="37"/>
      <c r="I383" s="37"/>
      <c r="J383" s="37"/>
      <c r="K383" s="852">
        <f t="shared" si="705"/>
        <v>257.32499999999999</v>
      </c>
      <c r="L383" s="37"/>
      <c r="M383" s="37"/>
      <c r="N383" s="37"/>
      <c r="O383" s="37"/>
      <c r="P383" s="852">
        <f t="shared" si="706"/>
        <v>260.97500000000002</v>
      </c>
      <c r="Q383" s="37"/>
      <c r="R383" s="37"/>
      <c r="S383" s="37"/>
      <c r="T383" s="37"/>
      <c r="U383" s="852">
        <f t="shared" si="707"/>
        <v>252.94499999999999</v>
      </c>
      <c r="V383" s="37"/>
      <c r="W383" s="37"/>
      <c r="X383" s="37"/>
      <c r="Y383" s="37"/>
      <c r="Z383" s="852">
        <f t="shared" si="708"/>
        <v>237.9</v>
      </c>
      <c r="AA383" s="37"/>
      <c r="AB383" s="37"/>
      <c r="AC383" s="37"/>
      <c r="AD383" s="37"/>
      <c r="AE383" s="852">
        <f t="shared" si="709"/>
        <v>244.185</v>
      </c>
      <c r="AF383" s="37"/>
      <c r="AG383" s="37"/>
      <c r="AH383" s="37"/>
      <c r="AI383" s="37"/>
      <c r="AJ383" s="852">
        <f t="shared" si="710"/>
        <v>231.41</v>
      </c>
      <c r="AK383" s="37"/>
      <c r="AL383" s="37"/>
      <c r="AM383" s="37"/>
      <c r="AN383" s="37"/>
      <c r="AO383" s="852">
        <f t="shared" si="711"/>
        <v>225.57</v>
      </c>
      <c r="AP383" s="37"/>
      <c r="AQ383" s="37"/>
      <c r="AR383" s="37"/>
      <c r="AS383" s="37"/>
      <c r="AT383" s="852">
        <f t="shared" si="712"/>
        <v>221.43</v>
      </c>
      <c r="AU383" s="37"/>
      <c r="AV383" s="37"/>
      <c r="AW383" s="37"/>
      <c r="AX383" s="37"/>
      <c r="AY383" s="852">
        <f t="shared" si="713"/>
        <v>237.25</v>
      </c>
      <c r="AZ383" s="37"/>
      <c r="BA383" s="37"/>
      <c r="BB383" s="37"/>
      <c r="BC383" s="37"/>
      <c r="BD383" s="852">
        <f t="shared" si="714"/>
        <v>248.2</v>
      </c>
      <c r="BE383" s="37"/>
      <c r="BF383" s="37"/>
      <c r="BG383" s="37"/>
      <c r="BH383" s="37"/>
      <c r="BI383" s="821">
        <f t="shared" si="715"/>
        <v>255.13499999999999</v>
      </c>
      <c r="BJ383" s="37"/>
      <c r="BK383" s="37"/>
      <c r="BL383" s="37"/>
      <c r="BM383" s="37"/>
      <c r="BN383" s="821">
        <f t="shared" si="716"/>
        <v>253.27199999999999</v>
      </c>
      <c r="BO383" s="37"/>
      <c r="BP383" s="37"/>
      <c r="BQ383" s="37"/>
      <c r="BR383" s="37"/>
      <c r="BS383" s="821">
        <f t="shared" si="717"/>
        <v>255.13499999999999</v>
      </c>
      <c r="BT383" s="480"/>
      <c r="BU383" s="37"/>
      <c r="BV383" s="37"/>
      <c r="BW383" s="37"/>
      <c r="BX383" s="821"/>
      <c r="BY383" s="37"/>
      <c r="BZ383" s="37"/>
      <c r="CA383" s="37"/>
      <c r="CB383" s="37"/>
      <c r="CC383" s="821"/>
      <c r="CD383" s="821"/>
      <c r="CE383" s="821"/>
      <c r="CF383" s="821"/>
      <c r="CG383" s="22"/>
    </row>
    <row r="384" spans="1:85" s="428" customFormat="1" hidden="1" outlineLevel="1" x14ac:dyDescent="0.3">
      <c r="A384" s="40" t="s">
        <v>1652</v>
      </c>
      <c r="B384" s="64"/>
      <c r="C384" s="852">
        <f t="shared" si="704"/>
        <v>116.435</v>
      </c>
      <c r="D384" s="852">
        <f t="shared" si="704"/>
        <v>108.04</v>
      </c>
      <c r="E384" s="852">
        <f t="shared" si="704"/>
        <v>116.8</v>
      </c>
      <c r="F384" s="852">
        <f t="shared" si="704"/>
        <v>101.748</v>
      </c>
      <c r="G384" s="37"/>
      <c r="H384" s="37"/>
      <c r="I384" s="37"/>
      <c r="J384" s="37"/>
      <c r="K384" s="852">
        <f t="shared" si="705"/>
        <v>90.52</v>
      </c>
      <c r="L384" s="37"/>
      <c r="M384" s="37"/>
      <c r="N384" s="37"/>
      <c r="O384" s="37"/>
      <c r="P384" s="852">
        <f t="shared" si="706"/>
        <v>82.125</v>
      </c>
      <c r="Q384" s="37"/>
      <c r="R384" s="37"/>
      <c r="S384" s="37"/>
      <c r="T384" s="37"/>
      <c r="U384" s="852">
        <f t="shared" si="707"/>
        <v>79.569999999999993</v>
      </c>
      <c r="V384" s="37"/>
      <c r="W384" s="37"/>
      <c r="X384" s="37"/>
      <c r="Y384" s="37"/>
      <c r="Z384" s="852">
        <f t="shared" si="708"/>
        <v>74.298000000000002</v>
      </c>
      <c r="AA384" s="37"/>
      <c r="AB384" s="37"/>
      <c r="AC384" s="37"/>
      <c r="AD384" s="37"/>
      <c r="AE384" s="852">
        <f t="shared" si="709"/>
        <v>76.650000000000006</v>
      </c>
      <c r="AF384" s="37"/>
      <c r="AG384" s="37"/>
      <c r="AH384" s="37"/>
      <c r="AI384" s="37"/>
      <c r="AJ384" s="852">
        <f t="shared" si="710"/>
        <v>82.125</v>
      </c>
      <c r="AK384" s="37"/>
      <c r="AL384" s="37"/>
      <c r="AM384" s="37"/>
      <c r="AN384" s="37"/>
      <c r="AO384" s="852">
        <f t="shared" si="711"/>
        <v>76.284999999999997</v>
      </c>
      <c r="AP384" s="37"/>
      <c r="AQ384" s="37"/>
      <c r="AR384" s="37"/>
      <c r="AS384" s="37"/>
      <c r="AT384" s="852">
        <f t="shared" si="712"/>
        <v>79.421999999999997</v>
      </c>
      <c r="AU384" s="37"/>
      <c r="AV384" s="37"/>
      <c r="AW384" s="37"/>
      <c r="AX384" s="37"/>
      <c r="AY384" s="852">
        <f t="shared" si="713"/>
        <v>78.84</v>
      </c>
      <c r="AZ384" s="37"/>
      <c r="BA384" s="37"/>
      <c r="BB384" s="37"/>
      <c r="BC384" s="37"/>
      <c r="BD384" s="852">
        <f t="shared" si="714"/>
        <v>81.760000000000005</v>
      </c>
      <c r="BE384" s="37"/>
      <c r="BF384" s="37"/>
      <c r="BG384" s="37"/>
      <c r="BH384" s="37"/>
      <c r="BI384" s="821">
        <f t="shared" si="715"/>
        <v>74.825000000000003</v>
      </c>
      <c r="BJ384" s="37"/>
      <c r="BK384" s="37"/>
      <c r="BL384" s="37"/>
      <c r="BM384" s="37"/>
      <c r="BN384" s="821">
        <f t="shared" si="716"/>
        <v>86.376000000000005</v>
      </c>
      <c r="BO384" s="37"/>
      <c r="BP384" s="37"/>
      <c r="BQ384" s="37"/>
      <c r="BR384" s="37"/>
      <c r="BS384" s="821">
        <f t="shared" si="717"/>
        <v>78.474999999999994</v>
      </c>
      <c r="BT384" s="480"/>
      <c r="BU384" s="37"/>
      <c r="BV384" s="37"/>
      <c r="BW384" s="37"/>
      <c r="BX384" s="821"/>
      <c r="BY384" s="37"/>
      <c r="BZ384" s="37"/>
      <c r="CA384" s="37"/>
      <c r="CB384" s="37"/>
      <c r="CC384" s="821"/>
      <c r="CD384" s="821"/>
      <c r="CE384" s="821"/>
      <c r="CF384" s="821"/>
      <c r="CG384" s="22"/>
    </row>
    <row r="385" spans="1:85" s="428" customFormat="1" hidden="1" outlineLevel="1" x14ac:dyDescent="0.3">
      <c r="A385" s="40" t="s">
        <v>1653</v>
      </c>
      <c r="B385" s="64"/>
      <c r="C385" s="852">
        <f t="shared" si="704"/>
        <v>98.185000000000002</v>
      </c>
      <c r="D385" s="821">
        <f t="shared" si="704"/>
        <v>104.755</v>
      </c>
      <c r="E385" s="821">
        <f t="shared" si="704"/>
        <v>109.13500000000001</v>
      </c>
      <c r="F385" s="821">
        <f t="shared" si="704"/>
        <v>105.042</v>
      </c>
      <c r="G385" s="37"/>
      <c r="H385" s="37"/>
      <c r="I385" s="37"/>
      <c r="J385" s="37"/>
      <c r="K385" s="821">
        <f t="shared" si="705"/>
        <v>104.755</v>
      </c>
      <c r="L385" s="37"/>
      <c r="M385" s="37"/>
      <c r="N385" s="37"/>
      <c r="O385" s="37"/>
      <c r="P385" s="821">
        <f t="shared" si="706"/>
        <v>102.93</v>
      </c>
      <c r="Q385" s="37"/>
      <c r="R385" s="37"/>
      <c r="S385" s="37"/>
      <c r="T385" s="37"/>
      <c r="U385" s="821">
        <f t="shared" si="707"/>
        <v>113.515</v>
      </c>
      <c r="V385" s="37"/>
      <c r="W385" s="37"/>
      <c r="X385" s="37"/>
      <c r="Y385" s="37"/>
      <c r="Z385" s="821">
        <f t="shared" si="708"/>
        <v>111.996</v>
      </c>
      <c r="AA385" s="37"/>
      <c r="AB385" s="37"/>
      <c r="AC385" s="37"/>
      <c r="AD385" s="37"/>
      <c r="AE385" s="821">
        <f t="shared" si="709"/>
        <v>111.325</v>
      </c>
      <c r="AF385" s="37"/>
      <c r="AG385" s="37"/>
      <c r="AH385" s="37"/>
      <c r="AI385" s="37"/>
      <c r="AJ385" s="821">
        <f t="shared" si="710"/>
        <v>110.23</v>
      </c>
      <c r="AK385" s="37"/>
      <c r="AL385" s="37"/>
      <c r="AM385" s="37"/>
      <c r="AN385" s="37"/>
      <c r="AO385" s="821">
        <f t="shared" si="711"/>
        <v>109.5</v>
      </c>
      <c r="AP385" s="37"/>
      <c r="AQ385" s="37"/>
      <c r="AR385" s="37"/>
      <c r="AS385" s="37"/>
      <c r="AT385" s="821">
        <f t="shared" si="712"/>
        <v>100.65</v>
      </c>
      <c r="AU385" s="37"/>
      <c r="AV385" s="37"/>
      <c r="AW385" s="37"/>
      <c r="AX385" s="37"/>
      <c r="AY385" s="821">
        <f t="shared" si="713"/>
        <v>109.13500000000001</v>
      </c>
      <c r="AZ385" s="37"/>
      <c r="BA385" s="37"/>
      <c r="BB385" s="37"/>
      <c r="BC385" s="37"/>
      <c r="BD385" s="821">
        <f t="shared" si="714"/>
        <v>119.355</v>
      </c>
      <c r="BE385" s="37"/>
      <c r="BF385" s="37"/>
      <c r="BG385" s="37"/>
      <c r="BH385" s="37"/>
      <c r="BI385" s="821">
        <f t="shared" si="715"/>
        <v>123.735</v>
      </c>
      <c r="BJ385" s="37"/>
      <c r="BK385" s="37"/>
      <c r="BL385" s="37"/>
      <c r="BM385" s="37"/>
      <c r="BN385" s="821">
        <f t="shared" si="716"/>
        <v>117.12</v>
      </c>
      <c r="BO385" s="37"/>
      <c r="BP385" s="37"/>
      <c r="BQ385" s="37"/>
      <c r="BR385" s="37"/>
      <c r="BS385" s="821">
        <f t="shared" si="717"/>
        <v>114.245</v>
      </c>
      <c r="BT385" s="480"/>
      <c r="BU385" s="37"/>
      <c r="BV385" s="37"/>
      <c r="BW385" s="37"/>
      <c r="BX385" s="821"/>
      <c r="BY385" s="37"/>
      <c r="BZ385" s="37"/>
      <c r="CA385" s="37"/>
      <c r="CB385" s="37"/>
      <c r="CC385" s="821"/>
      <c r="CD385" s="821"/>
      <c r="CE385" s="821"/>
      <c r="CF385" s="821"/>
      <c r="CG385" s="22"/>
    </row>
    <row r="386" spans="1:85" s="429" customFormat="1" hidden="1" outlineLevel="1" x14ac:dyDescent="0.3">
      <c r="A386" s="41" t="s">
        <v>1654</v>
      </c>
      <c r="B386" s="90"/>
      <c r="C386" s="824">
        <f t="shared" si="704"/>
        <v>1187.71</v>
      </c>
      <c r="D386" s="824">
        <f t="shared" si="704"/>
        <v>1136.2449999999999</v>
      </c>
      <c r="E386" s="824">
        <f t="shared" si="704"/>
        <v>1076.385</v>
      </c>
      <c r="F386" s="824">
        <f t="shared" si="704"/>
        <v>1011.99</v>
      </c>
      <c r="G386" s="394">
        <f>G372+G379</f>
        <v>0</v>
      </c>
      <c r="H386" s="394">
        <f>H372+H379</f>
        <v>0</v>
      </c>
      <c r="I386" s="394">
        <f>I372+I379</f>
        <v>0</v>
      </c>
      <c r="J386" s="394">
        <f>J372+J379</f>
        <v>0</v>
      </c>
      <c r="K386" s="824">
        <f t="shared" si="705"/>
        <v>989.51499999999999</v>
      </c>
      <c r="L386" s="394">
        <f>L372+L379</f>
        <v>0</v>
      </c>
      <c r="M386" s="394">
        <f>M372+M379</f>
        <v>0</v>
      </c>
      <c r="N386" s="394">
        <f>N372+N379</f>
        <v>0</v>
      </c>
      <c r="O386" s="394">
        <f>O372+O379</f>
        <v>0</v>
      </c>
      <c r="P386" s="824">
        <f t="shared" si="706"/>
        <v>989.51499999999999</v>
      </c>
      <c r="Q386" s="394">
        <f>Q372+Q379</f>
        <v>0</v>
      </c>
      <c r="R386" s="394">
        <f>R372+R379</f>
        <v>0</v>
      </c>
      <c r="S386" s="394">
        <f>S372+S379</f>
        <v>0</v>
      </c>
      <c r="T386" s="394">
        <f>T372+T379</f>
        <v>0</v>
      </c>
      <c r="U386" s="824">
        <f t="shared" si="707"/>
        <v>998.27499999999998</v>
      </c>
      <c r="V386" s="394">
        <f>V372+V379</f>
        <v>0</v>
      </c>
      <c r="W386" s="394">
        <f>W372+W379</f>
        <v>0</v>
      </c>
      <c r="X386" s="394">
        <f>X372+X379</f>
        <v>0</v>
      </c>
      <c r="Y386" s="394">
        <f>Y372+Y379</f>
        <v>0</v>
      </c>
      <c r="Z386" s="824">
        <f t="shared" si="708"/>
        <v>979.05</v>
      </c>
      <c r="AA386" s="393">
        <f>AA372+AA379</f>
        <v>0</v>
      </c>
      <c r="AB386" s="394">
        <f>AB372+AB379</f>
        <v>0</v>
      </c>
      <c r="AC386" s="394">
        <f>AC372+AC379</f>
        <v>0</v>
      </c>
      <c r="AD386" s="394">
        <f>AD372+AD379</f>
        <v>0</v>
      </c>
      <c r="AE386" s="824">
        <f t="shared" si="709"/>
        <v>981.85</v>
      </c>
      <c r="AF386" s="393">
        <f>AF372+AF379</f>
        <v>0</v>
      </c>
      <c r="AG386" s="394">
        <f>AG372+AG379</f>
        <v>0</v>
      </c>
      <c r="AH386" s="394">
        <f>AH372+AH379</f>
        <v>0</v>
      </c>
      <c r="AI386" s="394">
        <f>AI372+AI379</f>
        <v>0</v>
      </c>
      <c r="AJ386" s="824">
        <f t="shared" si="710"/>
        <v>969.07500000000005</v>
      </c>
      <c r="AK386" s="393">
        <f>AK372+AK379</f>
        <v>0</v>
      </c>
      <c r="AL386" s="394">
        <f>AL372+AL379</f>
        <v>0</v>
      </c>
      <c r="AM386" s="394">
        <f>AM372+AM379</f>
        <v>0</v>
      </c>
      <c r="AN386" s="394">
        <f>AN372+AN379</f>
        <v>0</v>
      </c>
      <c r="AO386" s="824">
        <f t="shared" si="711"/>
        <v>940.60500000000002</v>
      </c>
      <c r="AP386" s="393">
        <f>AP372+AP379</f>
        <v>0</v>
      </c>
      <c r="AQ386" s="394">
        <f>AQ372+AQ379</f>
        <v>0</v>
      </c>
      <c r="AR386" s="394">
        <f>AR372+AR379</f>
        <v>0</v>
      </c>
      <c r="AS386" s="394">
        <f>AS372+AS379</f>
        <v>0</v>
      </c>
      <c r="AT386" s="824">
        <f t="shared" si="712"/>
        <v>813.98400000000004</v>
      </c>
      <c r="AU386" s="393">
        <f>AU372+AU379</f>
        <v>0</v>
      </c>
      <c r="AV386" s="394">
        <f>AV372+AV379</f>
        <v>0</v>
      </c>
      <c r="AW386" s="394">
        <f>AW372+AW379</f>
        <v>0</v>
      </c>
      <c r="AX386" s="394">
        <f>AX372+AX379</f>
        <v>0</v>
      </c>
      <c r="AY386" s="824">
        <f t="shared" si="713"/>
        <v>895.71</v>
      </c>
      <c r="AZ386" s="393">
        <f>AZ372+AZ379</f>
        <v>0</v>
      </c>
      <c r="BA386" s="394">
        <f>BA372+BA379</f>
        <v>0</v>
      </c>
      <c r="BB386" s="394">
        <f>BB372+BB379</f>
        <v>0</v>
      </c>
      <c r="BC386" s="394">
        <f>BC372+BC379</f>
        <v>0</v>
      </c>
      <c r="BD386" s="824">
        <f t="shared" si="714"/>
        <v>954.11</v>
      </c>
      <c r="BE386" s="393">
        <f>BE372+BE379</f>
        <v>0</v>
      </c>
      <c r="BF386" s="394">
        <f>BF372+BF379</f>
        <v>0</v>
      </c>
      <c r="BG386" s="394">
        <f>BG372+BG379</f>
        <v>0</v>
      </c>
      <c r="BH386" s="394">
        <f>BH372+BH379</f>
        <v>0</v>
      </c>
      <c r="BI386" s="823">
        <f t="shared" si="715"/>
        <v>997.18</v>
      </c>
      <c r="BJ386" s="393"/>
      <c r="BK386" s="393"/>
      <c r="BL386" s="393"/>
      <c r="BM386" s="393"/>
      <c r="BN386" s="823">
        <f t="shared" si="716"/>
        <v>1017.846</v>
      </c>
      <c r="BO386" s="393"/>
      <c r="BP386" s="393"/>
      <c r="BQ386" s="393"/>
      <c r="BR386" s="393"/>
      <c r="BS386" s="823">
        <f t="shared" si="717"/>
        <v>1022.365</v>
      </c>
      <c r="BT386" s="641"/>
      <c r="BU386" s="393"/>
      <c r="BV386" s="393"/>
      <c r="BW386" s="393"/>
      <c r="BX386" s="823"/>
      <c r="BY386" s="393"/>
      <c r="BZ386" s="393"/>
      <c r="CA386" s="393"/>
      <c r="CB386" s="393"/>
      <c r="CC386" s="823"/>
      <c r="CD386" s="823"/>
      <c r="CE386" s="823"/>
      <c r="CF386" s="823"/>
      <c r="CG386" s="26"/>
    </row>
    <row r="387" spans="1:85" s="433" customFormat="1" collapsed="1" x14ac:dyDescent="0.3">
      <c r="A387" s="338"/>
      <c r="B387" s="336"/>
      <c r="C387" s="880"/>
      <c r="D387" s="880"/>
      <c r="E387" s="880"/>
      <c r="F387" s="880"/>
      <c r="G387" s="337"/>
      <c r="H387" s="337"/>
      <c r="I387" s="337"/>
      <c r="J387" s="337"/>
      <c r="K387" s="880"/>
      <c r="L387" s="337"/>
      <c r="M387" s="337"/>
      <c r="N387" s="337"/>
      <c r="O387" s="337"/>
      <c r="P387" s="880"/>
      <c r="Q387" s="337"/>
      <c r="R387" s="337"/>
      <c r="S387" s="337"/>
      <c r="T387" s="337"/>
      <c r="U387" s="880"/>
      <c r="V387" s="337"/>
      <c r="W387" s="337"/>
      <c r="X387" s="337"/>
      <c r="Y387" s="337"/>
      <c r="Z387" s="880"/>
      <c r="AA387" s="337"/>
      <c r="AB387" s="337"/>
      <c r="AC387" s="337"/>
      <c r="AD387" s="337"/>
      <c r="AE387" s="880"/>
      <c r="AF387" s="337"/>
      <c r="AG387" s="337"/>
      <c r="AH387" s="337"/>
      <c r="AI387" s="337"/>
      <c r="AJ387" s="880"/>
      <c r="AK387" s="337"/>
      <c r="AL387" s="337"/>
      <c r="AM387" s="337"/>
      <c r="AN387" s="337"/>
      <c r="AO387" s="880"/>
      <c r="AP387" s="337"/>
      <c r="AQ387" s="337"/>
      <c r="AR387" s="337"/>
      <c r="AS387" s="337"/>
      <c r="AT387" s="880"/>
      <c r="AU387" s="337"/>
      <c r="AV387" s="337"/>
      <c r="AW387" s="337"/>
      <c r="AX387" s="337"/>
      <c r="AY387" s="880"/>
      <c r="AZ387" s="337"/>
      <c r="BA387" s="337"/>
      <c r="BB387" s="337"/>
      <c r="BC387" s="337"/>
      <c r="BD387" s="880"/>
      <c r="BE387" s="337"/>
      <c r="BF387" s="337"/>
      <c r="BG387" s="337"/>
      <c r="BH387" s="337"/>
      <c r="BI387" s="880"/>
      <c r="BJ387" s="337"/>
      <c r="BK387" s="337"/>
      <c r="BL387" s="337"/>
      <c r="BM387" s="337"/>
      <c r="BN387" s="880"/>
      <c r="BO387" s="337"/>
      <c r="BP387" s="337"/>
      <c r="BQ387" s="337"/>
      <c r="BR387" s="337"/>
      <c r="BS387" s="880"/>
      <c r="BT387" s="661"/>
      <c r="BU387" s="337"/>
      <c r="BV387" s="337"/>
      <c r="BW387" s="337"/>
      <c r="BX387" s="880"/>
      <c r="BY387" s="337"/>
      <c r="BZ387" s="337"/>
      <c r="CA387" s="337"/>
      <c r="CB387" s="337"/>
      <c r="CC387" s="880"/>
      <c r="CD387" s="880"/>
      <c r="CE387" s="880"/>
      <c r="CF387" s="880"/>
      <c r="CG387" s="69"/>
    </row>
    <row r="388" spans="1:85" s="434" customFormat="1" x14ac:dyDescent="0.3">
      <c r="A388" s="73" t="s">
        <v>686</v>
      </c>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c r="AA388" s="73"/>
      <c r="AB388" s="73"/>
      <c r="AC388" s="73"/>
      <c r="AD388" s="73"/>
      <c r="AE388" s="73"/>
      <c r="AF388" s="73"/>
      <c r="AG388" s="73"/>
      <c r="AH388" s="73"/>
      <c r="AI388" s="73"/>
      <c r="AJ388" s="73"/>
      <c r="AK388" s="73"/>
      <c r="AL388" s="73"/>
      <c r="AM388" s="73"/>
      <c r="AN388" s="73"/>
      <c r="AO388" s="73"/>
      <c r="AP388" s="73"/>
      <c r="AQ388" s="73"/>
      <c r="AR388" s="73"/>
      <c r="AS388" s="73"/>
      <c r="AT388" s="73"/>
      <c r="AU388" s="73"/>
      <c r="AV388" s="73"/>
      <c r="AW388" s="73"/>
      <c r="AX388" s="73"/>
      <c r="AY388" s="73"/>
      <c r="AZ388" s="73"/>
      <c r="BA388" s="73"/>
      <c r="BB388" s="73"/>
      <c r="BC388" s="73"/>
      <c r="BD388" s="73"/>
      <c r="BE388" s="73"/>
      <c r="BF388" s="73"/>
      <c r="BG388" s="73"/>
      <c r="BH388" s="73"/>
      <c r="BI388" s="73"/>
      <c r="BJ388" s="73"/>
      <c r="BK388" s="73"/>
      <c r="BL388" s="73"/>
      <c r="BM388" s="73"/>
      <c r="BN388" s="73"/>
      <c r="BO388" s="73"/>
      <c r="BP388" s="73"/>
      <c r="BQ388" s="73"/>
      <c r="BR388" s="73"/>
      <c r="BS388" s="73"/>
      <c r="BT388" s="717"/>
      <c r="BU388" s="73"/>
      <c r="BV388" s="73"/>
      <c r="BW388" s="73"/>
      <c r="BX388" s="73"/>
      <c r="BY388" s="73"/>
      <c r="BZ388" s="73"/>
      <c r="CA388" s="73"/>
      <c r="CB388" s="73"/>
      <c r="CC388" s="73"/>
      <c r="CD388" s="73"/>
      <c r="CE388" s="73"/>
      <c r="CF388" s="73"/>
      <c r="CG388" s="81"/>
    </row>
    <row r="389" spans="1:85" s="428" customFormat="1" hidden="1" outlineLevel="1" x14ac:dyDescent="0.3">
      <c r="A389" s="106" t="s">
        <v>687</v>
      </c>
      <c r="B389" s="64"/>
      <c r="C389" s="827">
        <v>64000</v>
      </c>
      <c r="D389" s="827">
        <v>62000</v>
      </c>
      <c r="E389" s="827">
        <v>61000</v>
      </c>
      <c r="F389" s="827">
        <v>62000</v>
      </c>
      <c r="G389" s="37"/>
      <c r="H389" s="37"/>
      <c r="I389" s="37"/>
      <c r="J389" s="37"/>
      <c r="K389" s="827">
        <v>64600</v>
      </c>
      <c r="L389" s="37"/>
      <c r="M389" s="37"/>
      <c r="N389" s="37"/>
      <c r="O389" s="37"/>
      <c r="P389" s="827">
        <v>64700</v>
      </c>
      <c r="Q389" s="37"/>
      <c r="R389" s="37"/>
      <c r="S389" s="37"/>
      <c r="T389" s="37"/>
      <c r="U389" s="827">
        <v>61500</v>
      </c>
      <c r="V389" s="37"/>
      <c r="W389" s="37"/>
      <c r="X389" s="37"/>
      <c r="Y389" s="37"/>
      <c r="Z389" s="827">
        <v>55200</v>
      </c>
      <c r="AA389" s="37"/>
      <c r="AB389" s="37"/>
      <c r="AC389" s="37"/>
      <c r="AD389" s="37"/>
      <c r="AE389" s="827">
        <v>51900</v>
      </c>
      <c r="AF389" s="37"/>
      <c r="AG389" s="37"/>
      <c r="AH389" s="37"/>
      <c r="AI389" s="37"/>
      <c r="AJ389" s="827">
        <v>48600</v>
      </c>
      <c r="AK389" s="37"/>
      <c r="AL389" s="37"/>
      <c r="AM389" s="37"/>
      <c r="AN389" s="37"/>
      <c r="AO389" s="827">
        <v>48200</v>
      </c>
      <c r="AP389" s="37"/>
      <c r="AQ389" s="37"/>
      <c r="AR389" s="37"/>
      <c r="AS389" s="37"/>
      <c r="AT389" s="827">
        <v>47736</v>
      </c>
      <c r="AU389" s="37"/>
      <c r="AV389" s="37"/>
      <c r="AW389" s="37"/>
      <c r="AX389" s="37"/>
      <c r="AY389" s="827">
        <v>42595</v>
      </c>
      <c r="AZ389" s="37"/>
      <c r="BA389" s="37"/>
      <c r="BB389" s="37"/>
      <c r="BC389" s="37"/>
      <c r="BD389" s="827">
        <v>43846</v>
      </c>
      <c r="BE389" s="37"/>
      <c r="BF389" s="37"/>
      <c r="BG389" s="37"/>
      <c r="BH389" s="37"/>
      <c r="BI389" s="827">
        <v>45600</v>
      </c>
      <c r="BJ389" s="37"/>
      <c r="BK389" s="37"/>
      <c r="BL389" s="37"/>
      <c r="BM389" s="37"/>
      <c r="BN389" s="827">
        <v>45298</v>
      </c>
      <c r="BO389" s="37"/>
      <c r="BP389" s="37"/>
      <c r="BQ389" s="37"/>
      <c r="BR389" s="37"/>
      <c r="BS389" s="827">
        <v>43039</v>
      </c>
      <c r="BT389" s="480"/>
      <c r="BU389" s="37"/>
      <c r="BV389" s="37"/>
      <c r="BW389" s="37"/>
      <c r="BX389" s="821"/>
      <c r="BY389" s="37"/>
      <c r="BZ389" s="37"/>
      <c r="CA389" s="37"/>
      <c r="CB389" s="37"/>
      <c r="CC389" s="821"/>
      <c r="CD389" s="821"/>
      <c r="CE389" s="821"/>
      <c r="CF389" s="821"/>
      <c r="CG389" s="22"/>
    </row>
    <row r="390" spans="1:85" s="433" customFormat="1" collapsed="1" x14ac:dyDescent="0.3">
      <c r="A390" s="338"/>
      <c r="B390" s="336"/>
      <c r="C390" s="880"/>
      <c r="D390" s="880"/>
      <c r="E390" s="880"/>
      <c r="F390" s="880"/>
      <c r="G390" s="337"/>
      <c r="H390" s="337"/>
      <c r="I390" s="337"/>
      <c r="J390" s="337"/>
      <c r="K390" s="880"/>
      <c r="L390" s="337"/>
      <c r="M390" s="337"/>
      <c r="N390" s="337"/>
      <c r="O390" s="337"/>
      <c r="P390" s="880"/>
      <c r="Q390" s="337"/>
      <c r="R390" s="337"/>
      <c r="S390" s="337"/>
      <c r="T390" s="337"/>
      <c r="U390" s="880"/>
      <c r="V390" s="337"/>
      <c r="W390" s="337"/>
      <c r="X390" s="337"/>
      <c r="Y390" s="337"/>
      <c r="Z390" s="880"/>
      <c r="AA390" s="337"/>
      <c r="AB390" s="337"/>
      <c r="AC390" s="337"/>
      <c r="AD390" s="337"/>
      <c r="AE390" s="880"/>
      <c r="AF390" s="337"/>
      <c r="AG390" s="337"/>
      <c r="AH390" s="337"/>
      <c r="AI390" s="337"/>
      <c r="AJ390" s="880"/>
      <c r="AK390" s="337"/>
      <c r="AL390" s="337"/>
      <c r="AM390" s="337"/>
      <c r="AN390" s="337"/>
      <c r="AO390" s="880"/>
      <c r="AP390" s="337"/>
      <c r="AQ390" s="337"/>
      <c r="AR390" s="337"/>
      <c r="AS390" s="337"/>
      <c r="AT390" s="880"/>
      <c r="AU390" s="337"/>
      <c r="AV390" s="337"/>
      <c r="AW390" s="337"/>
      <c r="AX390" s="337"/>
      <c r="AY390" s="880"/>
      <c r="AZ390" s="337"/>
      <c r="BA390" s="337"/>
      <c r="BB390" s="337"/>
      <c r="BC390" s="337"/>
      <c r="BD390" s="880"/>
      <c r="BE390" s="337"/>
      <c r="BF390" s="337"/>
      <c r="BG390" s="337"/>
      <c r="BH390" s="337"/>
      <c r="BI390" s="880"/>
      <c r="BJ390" s="337"/>
      <c r="BK390" s="337"/>
      <c r="BL390" s="337"/>
      <c r="BM390" s="337"/>
      <c r="BN390" s="880"/>
      <c r="BO390" s="337"/>
      <c r="BP390" s="337"/>
      <c r="BQ390" s="337"/>
      <c r="BR390" s="337"/>
      <c r="BS390" s="880"/>
      <c r="BT390" s="661"/>
      <c r="BU390" s="337"/>
      <c r="BV390" s="337"/>
      <c r="BW390" s="337"/>
      <c r="BX390" s="880"/>
      <c r="BY390" s="337"/>
      <c r="BZ390" s="337"/>
      <c r="CA390" s="337"/>
      <c r="CB390" s="337"/>
      <c r="CC390" s="880"/>
      <c r="CD390" s="880"/>
      <c r="CE390" s="880"/>
      <c r="CF390" s="880"/>
      <c r="CG390" s="69"/>
    </row>
    <row r="391" spans="1:85" s="434" customFormat="1" x14ac:dyDescent="0.3">
      <c r="A391" s="73" t="s">
        <v>1656</v>
      </c>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c r="AA391" s="73"/>
      <c r="AB391" s="73"/>
      <c r="AC391" s="73"/>
      <c r="AD391" s="73"/>
      <c r="AE391" s="73"/>
      <c r="AF391" s="73"/>
      <c r="AG391" s="73"/>
      <c r="AH391" s="73"/>
      <c r="AI391" s="73"/>
      <c r="AJ391" s="73"/>
      <c r="AK391" s="73"/>
      <c r="AL391" s="73"/>
      <c r="AM391" s="73"/>
      <c r="AN391" s="73"/>
      <c r="AO391" s="73"/>
      <c r="AP391" s="73"/>
      <c r="AQ391" s="73"/>
      <c r="AR391" s="73"/>
      <c r="AS391" s="73"/>
      <c r="AT391" s="73"/>
      <c r="AU391" s="73"/>
      <c r="AV391" s="73"/>
      <c r="AW391" s="73"/>
      <c r="AX391" s="73"/>
      <c r="AY391" s="73"/>
      <c r="AZ391" s="73"/>
      <c r="BA391" s="73"/>
      <c r="BB391" s="73"/>
      <c r="BC391" s="73"/>
      <c r="BD391" s="73"/>
      <c r="BE391" s="73"/>
      <c r="BF391" s="73"/>
      <c r="BG391" s="73"/>
      <c r="BH391" s="73"/>
      <c r="BI391" s="73"/>
      <c r="BJ391" s="73"/>
      <c r="BK391" s="73"/>
      <c r="BL391" s="73"/>
      <c r="BM391" s="73"/>
      <c r="BN391" s="73"/>
      <c r="BO391" s="73"/>
      <c r="BP391" s="73"/>
      <c r="BQ391" s="73"/>
      <c r="BR391" s="73"/>
      <c r="BS391" s="73"/>
      <c r="BT391" s="717"/>
      <c r="BU391" s="73"/>
      <c r="BV391" s="73"/>
      <c r="BW391" s="73"/>
      <c r="BX391" s="73"/>
      <c r="BY391" s="73"/>
      <c r="BZ391" s="73"/>
      <c r="CA391" s="73"/>
      <c r="CB391" s="73"/>
      <c r="CC391" s="73"/>
      <c r="CD391" s="73"/>
      <c r="CE391" s="73"/>
      <c r="CF391" s="73"/>
      <c r="CG391" s="81"/>
    </row>
    <row r="392" spans="1:85" s="610" customFormat="1" hidden="1" outlineLevel="1" x14ac:dyDescent="0.3">
      <c r="A392" s="605" t="s">
        <v>1655</v>
      </c>
      <c r="B392" s="606"/>
      <c r="C392" s="889">
        <v>22000</v>
      </c>
      <c r="D392" s="889">
        <v>19550</v>
      </c>
      <c r="E392" s="889">
        <v>17830</v>
      </c>
      <c r="F392" s="889">
        <v>16760</v>
      </c>
      <c r="G392" s="607"/>
      <c r="H392" s="607"/>
      <c r="I392" s="607"/>
      <c r="J392" s="607"/>
      <c r="K392" s="889">
        <v>16650</v>
      </c>
      <c r="L392" s="607"/>
      <c r="M392" s="607"/>
      <c r="N392" s="607"/>
      <c r="O392" s="607"/>
      <c r="P392" s="889">
        <v>16380</v>
      </c>
      <c r="Q392" s="607"/>
      <c r="R392" s="607"/>
      <c r="S392" s="607"/>
      <c r="T392" s="607"/>
      <c r="U392" s="889">
        <v>13950</v>
      </c>
      <c r="V392" s="607"/>
      <c r="W392" s="607"/>
      <c r="X392" s="607"/>
      <c r="Y392" s="607"/>
      <c r="Z392" s="889">
        <v>13800</v>
      </c>
      <c r="AA392" s="607"/>
      <c r="AB392" s="607"/>
      <c r="AC392" s="607"/>
      <c r="AD392" s="607"/>
      <c r="AE392" s="889">
        <v>13500</v>
      </c>
      <c r="AF392" s="607"/>
      <c r="AG392" s="607"/>
      <c r="AH392" s="607"/>
      <c r="AI392" s="607"/>
      <c r="AJ392" s="889">
        <v>12900</v>
      </c>
      <c r="AK392" s="607"/>
      <c r="AL392" s="607"/>
      <c r="AM392" s="607"/>
      <c r="AN392" s="607"/>
      <c r="AO392" s="889">
        <v>13000</v>
      </c>
      <c r="AP392" s="607"/>
      <c r="AQ392" s="607"/>
      <c r="AR392" s="607"/>
      <c r="AS392" s="607"/>
      <c r="AT392" s="889">
        <v>13600</v>
      </c>
      <c r="AU392" s="607"/>
      <c r="AV392" s="607"/>
      <c r="AW392" s="607"/>
      <c r="AX392" s="607"/>
      <c r="AY392" s="889">
        <v>13900</v>
      </c>
      <c r="AZ392" s="607"/>
      <c r="BA392" s="607"/>
      <c r="BB392" s="607"/>
      <c r="BC392" s="607"/>
      <c r="BD392" s="889">
        <v>13800</v>
      </c>
      <c r="BE392" s="607"/>
      <c r="BF392" s="607"/>
      <c r="BG392" s="607"/>
      <c r="BH392" s="607"/>
      <c r="BI392" s="889">
        <v>13900</v>
      </c>
      <c r="BJ392" s="607"/>
      <c r="BK392" s="607"/>
      <c r="BL392" s="607"/>
      <c r="BM392" s="607"/>
      <c r="BN392" s="889">
        <v>13700</v>
      </c>
      <c r="BO392" s="607"/>
      <c r="BP392" s="607"/>
      <c r="BQ392" s="607"/>
      <c r="BR392" s="607"/>
      <c r="BS392" s="889">
        <f>8600+5200</f>
        <v>13800</v>
      </c>
      <c r="BT392" s="664"/>
      <c r="BU392" s="608"/>
      <c r="BV392" s="608"/>
      <c r="BW392" s="607"/>
      <c r="BX392" s="890"/>
      <c r="BY392" s="608"/>
      <c r="BZ392" s="608"/>
      <c r="CA392" s="608"/>
      <c r="CB392" s="607"/>
      <c r="CC392" s="890"/>
      <c r="CD392" s="890"/>
      <c r="CE392" s="890"/>
      <c r="CF392" s="891"/>
      <c r="CG392" s="609"/>
    </row>
    <row r="393" spans="1:85" s="610" customFormat="1" hidden="1" outlineLevel="1" x14ac:dyDescent="0.3">
      <c r="A393" s="605" t="s">
        <v>1660</v>
      </c>
      <c r="B393" s="606"/>
      <c r="C393" s="890">
        <f>C504-C507</f>
        <v>30666</v>
      </c>
      <c r="D393" s="890">
        <f t="shared" ref="D393:BO393" si="718">D504-D507</f>
        <v>45168</v>
      </c>
      <c r="E393" s="890">
        <f t="shared" si="718"/>
        <v>60545</v>
      </c>
      <c r="F393" s="890">
        <f t="shared" si="718"/>
        <v>59745</v>
      </c>
      <c r="G393" s="607">
        <f t="shared" si="718"/>
        <v>13764</v>
      </c>
      <c r="H393" s="607">
        <f t="shared" si="718"/>
        <v>12001</v>
      </c>
      <c r="I393" s="607">
        <f t="shared" si="718"/>
        <v>12493</v>
      </c>
      <c r="J393" s="607">
        <f t="shared" si="718"/>
        <v>11833</v>
      </c>
      <c r="K393" s="890">
        <f t="shared" si="718"/>
        <v>50091</v>
      </c>
      <c r="L393" s="607">
        <f t="shared" si="718"/>
        <v>12058</v>
      </c>
      <c r="M393" s="607">
        <f t="shared" si="718"/>
        <v>12869</v>
      </c>
      <c r="N393" s="607">
        <f t="shared" si="718"/>
        <v>12811</v>
      </c>
      <c r="O393" s="607">
        <f t="shared" si="718"/>
        <v>10257</v>
      </c>
      <c r="P393" s="890">
        <f t="shared" si="718"/>
        <v>47995</v>
      </c>
      <c r="Q393" s="607">
        <f t="shared" si="718"/>
        <v>7316</v>
      </c>
      <c r="R393" s="607">
        <f t="shared" si="718"/>
        <v>8321</v>
      </c>
      <c r="S393" s="607">
        <f t="shared" si="718"/>
        <v>7052</v>
      </c>
      <c r="T393" s="607">
        <f t="shared" si="718"/>
        <v>3190</v>
      </c>
      <c r="U393" s="890">
        <f t="shared" si="718"/>
        <v>25879</v>
      </c>
      <c r="V393" s="607">
        <f t="shared" si="718"/>
        <v>2692</v>
      </c>
      <c r="W393" s="607">
        <f t="shared" si="718"/>
        <v>4730</v>
      </c>
      <c r="X393" s="607">
        <f t="shared" si="718"/>
        <v>5303</v>
      </c>
      <c r="Y393" s="607">
        <f t="shared" si="718"/>
        <v>4773</v>
      </c>
      <c r="Z393" s="890">
        <f t="shared" si="718"/>
        <v>17498</v>
      </c>
      <c r="AA393" s="607">
        <f t="shared" si="718"/>
        <v>7374</v>
      </c>
      <c r="AB393" s="607">
        <f t="shared" si="718"/>
        <v>7312</v>
      </c>
      <c r="AC393" s="607">
        <f t="shared" si="718"/>
        <v>7802</v>
      </c>
      <c r="AD393" s="607">
        <f t="shared" si="718"/>
        <v>6389</v>
      </c>
      <c r="AE393" s="890">
        <f t="shared" si="718"/>
        <v>28877</v>
      </c>
      <c r="AF393" s="607">
        <f t="shared" si="718"/>
        <v>9521</v>
      </c>
      <c r="AG393" s="607">
        <f t="shared" si="718"/>
        <v>9620</v>
      </c>
      <c r="AH393" s="607">
        <f t="shared" si="718"/>
        <v>11261</v>
      </c>
      <c r="AI393" s="607">
        <f t="shared" si="718"/>
        <v>10340</v>
      </c>
      <c r="AJ393" s="890">
        <f t="shared" si="718"/>
        <v>40742</v>
      </c>
      <c r="AK393" s="607">
        <f t="shared" si="718"/>
        <v>8276</v>
      </c>
      <c r="AL393" s="607">
        <f t="shared" si="718"/>
        <v>10467</v>
      </c>
      <c r="AM393" s="607">
        <f t="shared" si="718"/>
        <v>8607</v>
      </c>
      <c r="AN393" s="607">
        <f t="shared" si="718"/>
        <v>8202</v>
      </c>
      <c r="AO393" s="890">
        <f t="shared" si="718"/>
        <v>35552</v>
      </c>
      <c r="AP393" s="607">
        <f t="shared" si="718"/>
        <v>8595</v>
      </c>
      <c r="AQ393" s="607">
        <f t="shared" si="718"/>
        <v>-3708</v>
      </c>
      <c r="AR393" s="607">
        <f t="shared" si="718"/>
        <v>4137</v>
      </c>
      <c r="AS393" s="607">
        <f t="shared" si="718"/>
        <v>3728</v>
      </c>
      <c r="AT393" s="890">
        <f t="shared" si="718"/>
        <v>12752</v>
      </c>
      <c r="AU393" s="607">
        <f t="shared" si="718"/>
        <v>6661</v>
      </c>
      <c r="AV393" s="607">
        <f t="shared" si="718"/>
        <v>9129</v>
      </c>
      <c r="AW393" s="607">
        <f t="shared" si="718"/>
        <v>12533</v>
      </c>
      <c r="AX393" s="607">
        <f t="shared" si="718"/>
        <v>11953</v>
      </c>
      <c r="AY393" s="890">
        <f t="shared" si="718"/>
        <v>40276</v>
      </c>
      <c r="AZ393" s="607">
        <f t="shared" si="718"/>
        <v>12844</v>
      </c>
      <c r="BA393" s="607">
        <f t="shared" si="718"/>
        <v>19832</v>
      </c>
      <c r="BB393" s="607">
        <f t="shared" si="718"/>
        <v>19138</v>
      </c>
      <c r="BC393" s="607">
        <f t="shared" si="718"/>
        <v>14695</v>
      </c>
      <c r="BD393" s="890">
        <f t="shared" si="718"/>
        <v>66509</v>
      </c>
      <c r="BE393" s="607">
        <f t="shared" si="718"/>
        <v>13160</v>
      </c>
      <c r="BF393" s="607">
        <f t="shared" si="718"/>
        <v>11478</v>
      </c>
      <c r="BG393" s="607">
        <f t="shared" si="718"/>
        <v>12877</v>
      </c>
      <c r="BH393" s="607">
        <f t="shared" si="718"/>
        <v>9864</v>
      </c>
      <c r="BI393" s="890">
        <f t="shared" si="718"/>
        <v>47379</v>
      </c>
      <c r="BJ393" s="607">
        <f t="shared" si="718"/>
        <v>12131</v>
      </c>
      <c r="BK393" s="607">
        <f t="shared" si="718"/>
        <v>11153</v>
      </c>
      <c r="BL393" s="607">
        <f t="shared" si="718"/>
        <v>10867</v>
      </c>
      <c r="BM393" s="607">
        <f t="shared" si="718"/>
        <v>11231</v>
      </c>
      <c r="BN393" s="890">
        <f t="shared" si="718"/>
        <v>45382</v>
      </c>
      <c r="BO393" s="607">
        <f t="shared" si="718"/>
        <v>9918</v>
      </c>
      <c r="BP393" s="607">
        <f t="shared" ref="BP393:BX393" si="719">BP504-BP507</f>
        <v>8765</v>
      </c>
      <c r="BQ393" s="607">
        <f t="shared" ref="BQ393:BW393" si="720">BQ504-BQ507</f>
        <v>11565</v>
      </c>
      <c r="BR393" s="607">
        <f t="shared" si="720"/>
        <v>10844</v>
      </c>
      <c r="BS393" s="890">
        <f t="shared" si="720"/>
        <v>41092</v>
      </c>
      <c r="BT393" s="664">
        <f>BT504-BT507</f>
        <v>10099</v>
      </c>
      <c r="BU393" s="608">
        <f t="shared" si="720"/>
        <v>20264.368219999993</v>
      </c>
      <c r="BV393" s="608">
        <f t="shared" si="720"/>
        <v>15498.580659999998</v>
      </c>
      <c r="BW393" s="607">
        <f t="shared" si="720"/>
        <v>14761.068560000002</v>
      </c>
      <c r="BX393" s="890">
        <f t="shared" si="719"/>
        <v>60623.017440000011</v>
      </c>
      <c r="BY393" s="608">
        <f t="shared" ref="BY393:CF393" si="721">BY504-BY507</f>
        <v>15813.666799999995</v>
      </c>
      <c r="BZ393" s="608">
        <f t="shared" si="721"/>
        <v>16343.314557000002</v>
      </c>
      <c r="CA393" s="608">
        <f t="shared" si="721"/>
        <v>16607.703027999993</v>
      </c>
      <c r="CB393" s="607">
        <f t="shared" si="721"/>
        <v>16464.541635999998</v>
      </c>
      <c r="CC393" s="890">
        <f t="shared" si="721"/>
        <v>65229.22602099998</v>
      </c>
      <c r="CD393" s="890">
        <f t="shared" si="721"/>
        <v>63947.732550000001</v>
      </c>
      <c r="CE393" s="890">
        <f t="shared" si="721"/>
        <v>59435.631025000002</v>
      </c>
      <c r="CF393" s="891">
        <f t="shared" si="721"/>
        <v>52944.935099999995</v>
      </c>
      <c r="CG393" s="609"/>
    </row>
    <row r="394" spans="1:85" s="610" customFormat="1" hidden="1" outlineLevel="1" x14ac:dyDescent="0.3">
      <c r="A394" s="605" t="s">
        <v>1668</v>
      </c>
      <c r="B394" s="606"/>
      <c r="C394" s="890">
        <f>C418+C415</f>
        <v>18556</v>
      </c>
      <c r="D394" s="890">
        <f t="shared" ref="D394:BO394" si="722">D418+D415</f>
        <v>32105</v>
      </c>
      <c r="E394" s="890">
        <f t="shared" si="722"/>
        <v>47634</v>
      </c>
      <c r="F394" s="890">
        <f t="shared" si="722"/>
        <v>46332</v>
      </c>
      <c r="G394" s="607">
        <f t="shared" si="722"/>
        <v>10283</v>
      </c>
      <c r="H394" s="607">
        <f t="shared" si="722"/>
        <v>8589</v>
      </c>
      <c r="I394" s="607">
        <f t="shared" si="722"/>
        <v>8835</v>
      </c>
      <c r="J394" s="607">
        <f t="shared" si="722"/>
        <v>8198</v>
      </c>
      <c r="K394" s="890">
        <f t="shared" si="722"/>
        <v>35905</v>
      </c>
      <c r="L394" s="607">
        <f t="shared" si="722"/>
        <v>7928</v>
      </c>
      <c r="M394" s="607">
        <f t="shared" si="722"/>
        <v>9027</v>
      </c>
      <c r="N394" s="607">
        <f t="shared" si="722"/>
        <v>8863</v>
      </c>
      <c r="O394" s="607">
        <f t="shared" si="722"/>
        <v>5384</v>
      </c>
      <c r="P394" s="890">
        <f t="shared" si="722"/>
        <v>31202</v>
      </c>
      <c r="Q394" s="607">
        <f t="shared" si="722"/>
        <v>2905</v>
      </c>
      <c r="R394" s="607">
        <f t="shared" si="722"/>
        <v>1363</v>
      </c>
      <c r="S394" s="607">
        <f t="shared" si="722"/>
        <v>2784</v>
      </c>
      <c r="T394" s="607">
        <f t="shared" si="722"/>
        <v>-2210</v>
      </c>
      <c r="U394" s="890">
        <f t="shared" si="722"/>
        <v>4842</v>
      </c>
      <c r="V394" s="607">
        <f t="shared" si="722"/>
        <v>-1711</v>
      </c>
      <c r="W394" s="607">
        <f t="shared" si="722"/>
        <v>-1991</v>
      </c>
      <c r="X394" s="607">
        <f t="shared" si="722"/>
        <v>1173</v>
      </c>
      <c r="Y394" s="607">
        <f t="shared" si="722"/>
        <v>570</v>
      </c>
      <c r="Z394" s="890">
        <f t="shared" si="722"/>
        <v>-1959</v>
      </c>
      <c r="AA394" s="607">
        <f t="shared" si="722"/>
        <v>3180</v>
      </c>
      <c r="AB394" s="607">
        <f t="shared" si="722"/>
        <v>2001</v>
      </c>
      <c r="AC394" s="607">
        <f t="shared" si="722"/>
        <v>2693</v>
      </c>
      <c r="AD394" s="607">
        <f t="shared" si="722"/>
        <v>1654</v>
      </c>
      <c r="AE394" s="890">
        <f t="shared" si="722"/>
        <v>9528</v>
      </c>
      <c r="AF394" s="607">
        <f t="shared" si="722"/>
        <v>5232</v>
      </c>
      <c r="AG394" s="607">
        <f t="shared" si="722"/>
        <v>5122</v>
      </c>
      <c r="AH394" s="607">
        <f t="shared" si="722"/>
        <v>5881</v>
      </c>
      <c r="AI394" s="607">
        <f t="shared" si="722"/>
        <v>5088</v>
      </c>
      <c r="AJ394" s="890">
        <f t="shared" si="722"/>
        <v>21323</v>
      </c>
      <c r="AK394" s="607">
        <f t="shared" si="722"/>
        <v>4182</v>
      </c>
      <c r="AL394" s="607">
        <f t="shared" si="722"/>
        <v>6133</v>
      </c>
      <c r="AM394" s="607">
        <f t="shared" si="722"/>
        <v>4246</v>
      </c>
      <c r="AN394" s="607">
        <f t="shared" si="722"/>
        <v>-8227</v>
      </c>
      <c r="AO394" s="890">
        <f t="shared" si="722"/>
        <v>6334</v>
      </c>
      <c r="AP394" s="607">
        <f t="shared" si="722"/>
        <v>4307</v>
      </c>
      <c r="AQ394" s="607">
        <f t="shared" si="722"/>
        <v>-10425</v>
      </c>
      <c r="AR394" s="607">
        <f t="shared" si="722"/>
        <v>120</v>
      </c>
      <c r="AS394" s="607">
        <f t="shared" si="722"/>
        <v>-758</v>
      </c>
      <c r="AT394" s="890">
        <f t="shared" si="722"/>
        <v>-6756</v>
      </c>
      <c r="AU394" s="607">
        <f t="shared" si="722"/>
        <v>2375</v>
      </c>
      <c r="AV394" s="607">
        <f t="shared" si="722"/>
        <v>4607</v>
      </c>
      <c r="AW394" s="607">
        <f t="shared" si="722"/>
        <v>8229</v>
      </c>
      <c r="AX394" s="607">
        <f t="shared" si="722"/>
        <v>7140</v>
      </c>
      <c r="AY394" s="890">
        <f t="shared" si="722"/>
        <v>22351</v>
      </c>
      <c r="AZ394" s="607">
        <f t="shared" si="722"/>
        <v>9190</v>
      </c>
      <c r="BA394" s="607">
        <f t="shared" si="722"/>
        <v>16132</v>
      </c>
      <c r="BB394" s="607">
        <f t="shared" si="722"/>
        <v>14937</v>
      </c>
      <c r="BC394" s="607">
        <f t="shared" si="722"/>
        <v>9931</v>
      </c>
      <c r="BD394" s="890">
        <f t="shared" si="722"/>
        <v>50190</v>
      </c>
      <c r="BE394" s="607">
        <f t="shared" si="722"/>
        <v>9634</v>
      </c>
      <c r="BF394" s="607">
        <f t="shared" si="722"/>
        <v>7957</v>
      </c>
      <c r="BG394" s="607">
        <f t="shared" si="722"/>
        <v>8852</v>
      </c>
      <c r="BH394" s="607">
        <f t="shared" si="722"/>
        <v>3610</v>
      </c>
      <c r="BI394" s="890">
        <f t="shared" si="722"/>
        <v>30053</v>
      </c>
      <c r="BJ394" s="607">
        <f t="shared" si="722"/>
        <v>8040</v>
      </c>
      <c r="BK394" s="607">
        <f t="shared" si="722"/>
        <v>7149</v>
      </c>
      <c r="BL394" s="607">
        <f t="shared" si="722"/>
        <v>6653</v>
      </c>
      <c r="BM394" s="607">
        <f t="shared" si="722"/>
        <v>6258</v>
      </c>
      <c r="BN394" s="890">
        <f t="shared" si="722"/>
        <v>28100</v>
      </c>
      <c r="BO394" s="607">
        <f t="shared" si="722"/>
        <v>5795</v>
      </c>
      <c r="BP394" s="607">
        <f t="shared" ref="BP394:BS394" si="723">BP418+BP415</f>
        <v>4421</v>
      </c>
      <c r="BQ394" s="607">
        <f t="shared" si="723"/>
        <v>5784</v>
      </c>
      <c r="BR394" s="607">
        <f t="shared" si="723"/>
        <v>4960</v>
      </c>
      <c r="BS394" s="890">
        <f t="shared" si="723"/>
        <v>20960</v>
      </c>
      <c r="BT394" s="664">
        <f>BT418+BT415</f>
        <v>4291</v>
      </c>
      <c r="BU394" s="608"/>
      <c r="BV394" s="608"/>
      <c r="BW394" s="607"/>
      <c r="BX394" s="890"/>
      <c r="BY394" s="608"/>
      <c r="BZ394" s="608"/>
      <c r="CA394" s="608"/>
      <c r="CB394" s="607"/>
      <c r="CC394" s="890"/>
      <c r="CD394" s="890"/>
      <c r="CE394" s="890"/>
      <c r="CF394" s="891"/>
      <c r="CG394" s="609"/>
    </row>
    <row r="395" spans="1:85" s="433" customFormat="1" collapsed="1" x14ac:dyDescent="0.3">
      <c r="A395" s="338"/>
      <c r="B395" s="336"/>
      <c r="C395" s="880"/>
      <c r="D395" s="880"/>
      <c r="E395" s="880"/>
      <c r="F395" s="880"/>
      <c r="G395" s="337"/>
      <c r="H395" s="337"/>
      <c r="I395" s="337"/>
      <c r="J395" s="337"/>
      <c r="K395" s="880"/>
      <c r="L395" s="337"/>
      <c r="M395" s="337"/>
      <c r="N395" s="337"/>
      <c r="O395" s="337"/>
      <c r="P395" s="880"/>
      <c r="Q395" s="337"/>
      <c r="R395" s="337"/>
      <c r="S395" s="337"/>
      <c r="T395" s="337"/>
      <c r="U395" s="880"/>
      <c r="V395" s="337"/>
      <c r="W395" s="337"/>
      <c r="X395" s="337"/>
      <c r="Y395" s="337"/>
      <c r="Z395" s="880"/>
      <c r="AA395" s="337"/>
      <c r="AB395" s="337"/>
      <c r="AC395" s="337"/>
      <c r="AD395" s="337"/>
      <c r="AE395" s="880"/>
      <c r="AF395" s="337"/>
      <c r="AG395" s="337"/>
      <c r="AH395" s="337"/>
      <c r="AI395" s="337"/>
      <c r="AJ395" s="880"/>
      <c r="AK395" s="337"/>
      <c r="AL395" s="337"/>
      <c r="AM395" s="337"/>
      <c r="AN395" s="337"/>
      <c r="AO395" s="880"/>
      <c r="AP395" s="337"/>
      <c r="AQ395" s="337"/>
      <c r="AR395" s="337"/>
      <c r="AS395" s="337"/>
      <c r="AT395" s="880"/>
      <c r="AU395" s="337"/>
      <c r="AV395" s="337"/>
      <c r="AW395" s="337"/>
      <c r="AX395" s="337"/>
      <c r="AY395" s="880"/>
      <c r="AZ395" s="337"/>
      <c r="BA395" s="337"/>
      <c r="BB395" s="337"/>
      <c r="BC395" s="337"/>
      <c r="BD395" s="880"/>
      <c r="BE395" s="337"/>
      <c r="BF395" s="337"/>
      <c r="BG395" s="337"/>
      <c r="BH395" s="337"/>
      <c r="BI395" s="880"/>
      <c r="BJ395" s="337"/>
      <c r="BK395" s="337"/>
      <c r="BL395" s="337"/>
      <c r="BM395" s="337"/>
      <c r="BN395" s="880"/>
      <c r="BO395" s="337"/>
      <c r="BP395" s="337"/>
      <c r="BQ395" s="337"/>
      <c r="BR395" s="337"/>
      <c r="BS395" s="880"/>
      <c r="BT395" s="661"/>
      <c r="BU395" s="337"/>
      <c r="BV395" s="337"/>
      <c r="BW395" s="337"/>
      <c r="BX395" s="880"/>
      <c r="BY395" s="337"/>
      <c r="BZ395" s="337"/>
      <c r="CA395" s="337"/>
      <c r="CB395" s="337"/>
      <c r="CC395" s="880"/>
      <c r="CD395" s="880"/>
      <c r="CE395" s="880"/>
      <c r="CF395" s="880"/>
      <c r="CG395" s="69"/>
    </row>
    <row r="396" spans="1:85" s="434" customFormat="1" x14ac:dyDescent="0.3">
      <c r="A396" s="73" t="s">
        <v>170</v>
      </c>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c r="AA396" s="73"/>
      <c r="AB396" s="73"/>
      <c r="AC396" s="73"/>
      <c r="AD396" s="73"/>
      <c r="AE396" s="73"/>
      <c r="AF396" s="73"/>
      <c r="AG396" s="73"/>
      <c r="AH396" s="73"/>
      <c r="AI396" s="73"/>
      <c r="AJ396" s="73"/>
      <c r="AK396" s="73"/>
      <c r="AL396" s="73"/>
      <c r="AM396" s="73"/>
      <c r="AN396" s="73"/>
      <c r="AO396" s="73"/>
      <c r="AP396" s="73"/>
      <c r="AQ396" s="73"/>
      <c r="AR396" s="73"/>
      <c r="AS396" s="73"/>
      <c r="AT396" s="73"/>
      <c r="AU396" s="73"/>
      <c r="AV396" s="73"/>
      <c r="AW396" s="73"/>
      <c r="AX396" s="73"/>
      <c r="AY396" s="73"/>
      <c r="AZ396" s="73"/>
      <c r="BA396" s="73"/>
      <c r="BB396" s="73"/>
      <c r="BC396" s="73"/>
      <c r="BD396" s="73"/>
      <c r="BE396" s="73"/>
      <c r="BF396" s="73"/>
      <c r="BG396" s="73"/>
      <c r="BH396" s="73"/>
      <c r="BI396" s="73"/>
      <c r="BJ396" s="73"/>
      <c r="BK396" s="73"/>
      <c r="BL396" s="73"/>
      <c r="BM396" s="73"/>
      <c r="BN396" s="73"/>
      <c r="BO396" s="73"/>
      <c r="BP396" s="73"/>
      <c r="BQ396" s="73"/>
      <c r="BR396" s="73"/>
      <c r="BS396" s="73"/>
      <c r="BT396" s="717"/>
      <c r="BU396" s="73"/>
      <c r="BV396" s="73"/>
      <c r="BW396" s="73"/>
      <c r="BX396" s="73"/>
      <c r="BY396" s="73"/>
      <c r="BZ396" s="73"/>
      <c r="CA396" s="73"/>
      <c r="CB396" s="73"/>
      <c r="CC396" s="73"/>
      <c r="CD396" s="73"/>
      <c r="CE396" s="73"/>
      <c r="CF396" s="73"/>
      <c r="CG396" s="81"/>
    </row>
    <row r="397" spans="1:85" s="434" customFormat="1" x14ac:dyDescent="0.3">
      <c r="A397" s="105" t="s">
        <v>171</v>
      </c>
      <c r="B397" s="97"/>
      <c r="C397" s="892">
        <f t="shared" ref="C397:AQ397" si="724">C499/C498</f>
        <v>0.10249015358083385</v>
      </c>
      <c r="D397" s="892">
        <f t="shared" si="724"/>
        <v>8.8767762336039974E-2</v>
      </c>
      <c r="E397" s="892">
        <f t="shared" si="724"/>
        <v>6.1598858521280539E-2</v>
      </c>
      <c r="F397" s="892">
        <f t="shared" si="724"/>
        <v>5.1159733618840145E-2</v>
      </c>
      <c r="G397" s="72">
        <f t="shared" si="724"/>
        <v>5.5211376676405362E-2</v>
      </c>
      <c r="H397" s="72">
        <f t="shared" si="724"/>
        <v>5.8376475099792574E-2</v>
      </c>
      <c r="I397" s="72">
        <f t="shared" si="724"/>
        <v>5.7535510999435928E-2</v>
      </c>
      <c r="J397" s="72">
        <f t="shared" si="724"/>
        <v>5.7177962178140244E-2</v>
      </c>
      <c r="K397" s="892">
        <f t="shared" si="724"/>
        <v>5.7081556316856602E-2</v>
      </c>
      <c r="L397" s="72">
        <f t="shared" si="724"/>
        <v>5.6678869801933728E-2</v>
      </c>
      <c r="M397" s="72">
        <f t="shared" si="724"/>
        <v>5.4661879940626185E-2</v>
      </c>
      <c r="N397" s="72">
        <f t="shared" si="724"/>
        <v>5.918176996653194E-2</v>
      </c>
      <c r="O397" s="72">
        <f t="shared" si="724"/>
        <v>6.7653185210900885E-2</v>
      </c>
      <c r="P397" s="892">
        <f t="shared" si="724"/>
        <v>5.9159314997405295E-2</v>
      </c>
      <c r="Q397" s="72">
        <f t="shared" si="724"/>
        <v>9.0225128769025983E-2</v>
      </c>
      <c r="R397" s="72">
        <f t="shared" si="724"/>
        <v>7.8623287162078448E-2</v>
      </c>
      <c r="S397" s="72">
        <f t="shared" si="724"/>
        <v>8.401573655835641E-2</v>
      </c>
      <c r="T397" s="72">
        <f t="shared" si="724"/>
        <v>9.7651041132423844E-2</v>
      </c>
      <c r="U397" s="892">
        <f t="shared" si="724"/>
        <v>8.6873632444377041E-2</v>
      </c>
      <c r="V397" s="72">
        <f t="shared" si="724"/>
        <v>0.12159809790684839</v>
      </c>
      <c r="W397" s="72">
        <f t="shared" si="724"/>
        <v>0.10152995014001776</v>
      </c>
      <c r="X397" s="72">
        <f t="shared" si="724"/>
        <v>9.8274717982747187E-2</v>
      </c>
      <c r="Y397" s="227">
        <f t="shared" si="724"/>
        <v>9.1088040130806111E-2</v>
      </c>
      <c r="Z397" s="893">
        <f t="shared" si="724"/>
        <v>0.10192885596477741</v>
      </c>
      <c r="AA397" s="227">
        <f t="shared" si="724"/>
        <v>8.590407228987762E-2</v>
      </c>
      <c r="AB397" s="72">
        <f t="shared" si="724"/>
        <v>8.889211136890951E-2</v>
      </c>
      <c r="AC397" s="72">
        <f t="shared" si="724"/>
        <v>8.8744648529208672E-2</v>
      </c>
      <c r="AD397" s="227">
        <f t="shared" si="724"/>
        <v>8.4591663122075708E-2</v>
      </c>
      <c r="AE397" s="893">
        <f t="shared" si="724"/>
        <v>8.7008368496069771E-2</v>
      </c>
      <c r="AF397" s="227">
        <f t="shared" si="724"/>
        <v>3.5589450270098508E-2</v>
      </c>
      <c r="AG397" s="72">
        <f t="shared" si="724"/>
        <v>3.2271048394734353E-2</v>
      </c>
      <c r="AH397" s="72">
        <f t="shared" si="724"/>
        <v>2.8622092891081457E-2</v>
      </c>
      <c r="AI397" s="227">
        <f t="shared" si="724"/>
        <v>2.1274083868530413E-2</v>
      </c>
      <c r="AJ397" s="893">
        <f t="shared" si="724"/>
        <v>2.9259524224625615E-2</v>
      </c>
      <c r="AK397" s="227">
        <f t="shared" si="724"/>
        <v>3.0142045454545456E-2</v>
      </c>
      <c r="AL397" s="72">
        <f t="shared" si="724"/>
        <v>2.6949806949806948E-2</v>
      </c>
      <c r="AM397" s="72">
        <f t="shared" si="724"/>
        <v>2.9322184073540813E-2</v>
      </c>
      <c r="AN397" s="227">
        <f t="shared" si="724"/>
        <v>2.6657496561210452E-2</v>
      </c>
      <c r="AO397" s="893">
        <f t="shared" si="724"/>
        <v>2.8228998880668321E-2</v>
      </c>
      <c r="AP397" s="227">
        <f t="shared" si="724"/>
        <v>3.7046442970064444E-2</v>
      </c>
      <c r="AQ397" s="72">
        <f t="shared" si="724"/>
        <v>7.1513265154883654E-2</v>
      </c>
      <c r="AR397" s="72">
        <f>AR499/AR498</f>
        <v>4.4619851948795551E-2</v>
      </c>
      <c r="AS397" s="227">
        <f t="shared" ref="AS397:AU397" si="725">AS499/AS498</f>
        <v>5.0542660223401724E-2</v>
      </c>
      <c r="AT397" s="893">
        <f t="shared" si="725"/>
        <v>4.7511933426266209E-2</v>
      </c>
      <c r="AU397" s="227">
        <f t="shared" si="725"/>
        <v>4.4334821567954041E-2</v>
      </c>
      <c r="AV397" s="72">
        <f t="shared" ref="AV397:BA397" si="726">AV499/AV498</f>
        <v>4.1652259488788999E-2</v>
      </c>
      <c r="AW397" s="72">
        <f t="shared" si="726"/>
        <v>4.641019906061284E-2</v>
      </c>
      <c r="AX397" s="227">
        <f t="shared" si="726"/>
        <v>3.6963161503459456E-2</v>
      </c>
      <c r="AY397" s="893">
        <f t="shared" si="726"/>
        <v>4.210137568091589E-2</v>
      </c>
      <c r="AZ397" s="227">
        <f t="shared" si="726"/>
        <v>3.6819745094072424E-2</v>
      </c>
      <c r="BA397" s="72">
        <f t="shared" si="726"/>
        <v>2.2730577935487623E-2</v>
      </c>
      <c r="BB397" s="72">
        <f t="shared" ref="BB397:BG397" si="727">BB499/BB498</f>
        <v>2.5613708660944721E-2</v>
      </c>
      <c r="BC397" s="227">
        <f t="shared" si="727"/>
        <v>-2.1957395569564216E-2</v>
      </c>
      <c r="BD397" s="893">
        <f t="shared" si="727"/>
        <v>1.6373471078407486E-2</v>
      </c>
      <c r="BE397" s="227">
        <f t="shared" si="727"/>
        <v>2.1577776465260962E-2</v>
      </c>
      <c r="BF397" s="72">
        <f t="shared" si="727"/>
        <v>2.129008507853403E-2</v>
      </c>
      <c r="BG397" s="72">
        <f t="shared" si="727"/>
        <v>1.8879437869822484E-2</v>
      </c>
      <c r="BH397" s="227">
        <f t="shared" ref="BH397:BN397" si="728">BH499/BH498</f>
        <v>2.2509537939805001E-2</v>
      </c>
      <c r="BI397" s="893">
        <f t="shared" si="728"/>
        <v>2.1000353323480086E-2</v>
      </c>
      <c r="BJ397" s="227">
        <f t="shared" si="728"/>
        <v>2.307250184744232E-2</v>
      </c>
      <c r="BK397" s="72">
        <f t="shared" si="728"/>
        <v>2.321173873116977E-2</v>
      </c>
      <c r="BL397" s="72">
        <f t="shared" si="728"/>
        <v>2.4926483648779332E-2</v>
      </c>
      <c r="BM397" s="227">
        <f t="shared" si="728"/>
        <v>2.1847355723203003E-2</v>
      </c>
      <c r="BN397" s="893">
        <f t="shared" si="728"/>
        <v>2.3255355240837904E-2</v>
      </c>
      <c r="BO397" s="227">
        <f t="shared" ref="BO397:BT397" si="729">BO499/BO498</f>
        <v>2.6360008401596302E-2</v>
      </c>
      <c r="BP397" s="72">
        <f t="shared" si="729"/>
        <v>2.9025924769086608E-2</v>
      </c>
      <c r="BQ397" s="72">
        <f t="shared" si="729"/>
        <v>2.7088444676829023E-2</v>
      </c>
      <c r="BR397" s="227">
        <f t="shared" si="729"/>
        <v>2.8310541249759989E-2</v>
      </c>
      <c r="BS397" s="893">
        <f t="shared" si="729"/>
        <v>2.7667419629584567E-2</v>
      </c>
      <c r="BT397" s="665">
        <f t="shared" si="729"/>
        <v>2.7033143374411091E-2</v>
      </c>
      <c r="BU397" s="781">
        <v>2.5999999999999999E-2</v>
      </c>
      <c r="BV397" s="781">
        <v>2.5999999999999999E-2</v>
      </c>
      <c r="BW397" s="781">
        <v>2.5999999999999999E-2</v>
      </c>
      <c r="BX397" s="892">
        <f>BX499/BX498</f>
        <v>2.6228270928063395E-2</v>
      </c>
      <c r="BY397" s="781">
        <v>2.5999999999999999E-2</v>
      </c>
      <c r="BZ397" s="781">
        <v>2.5999999999999999E-2</v>
      </c>
      <c r="CA397" s="781">
        <v>2.5999999999999999E-2</v>
      </c>
      <c r="CB397" s="781">
        <v>2.5999999999999999E-2</v>
      </c>
      <c r="CC397" s="892">
        <f>CC499/CC498</f>
        <v>2.5999999999999999E-2</v>
      </c>
      <c r="CD397" s="894">
        <v>0.02</v>
      </c>
      <c r="CE397" s="894">
        <v>0.02</v>
      </c>
      <c r="CF397" s="894">
        <v>0.02</v>
      </c>
      <c r="CG397" s="81"/>
    </row>
    <row r="398" spans="1:85" s="434" customFormat="1" x14ac:dyDescent="0.3">
      <c r="A398" s="105" t="s">
        <v>172</v>
      </c>
      <c r="B398" s="97"/>
      <c r="C398" s="892">
        <f t="shared" ref="C398:AQ398" si="730">C500/C498</f>
        <v>0.10403994499988348</v>
      </c>
      <c r="D398" s="892">
        <f t="shared" si="730"/>
        <v>9.3632885696439724E-2</v>
      </c>
      <c r="E398" s="892">
        <f t="shared" si="730"/>
        <v>8.5331052478065161E-2</v>
      </c>
      <c r="F398" s="892">
        <f t="shared" si="730"/>
        <v>9.3299546523692795E-2</v>
      </c>
      <c r="G398" s="72">
        <f t="shared" si="730"/>
        <v>0.10141152451687846</v>
      </c>
      <c r="H398" s="72">
        <f t="shared" si="730"/>
        <v>0.10943192316407815</v>
      </c>
      <c r="I398" s="72">
        <f t="shared" si="730"/>
        <v>0.10368699041074816</v>
      </c>
      <c r="J398" s="72">
        <f t="shared" si="730"/>
        <v>0.11611880764984508</v>
      </c>
      <c r="K398" s="892">
        <f t="shared" si="730"/>
        <v>0.10761291337481647</v>
      </c>
      <c r="L398" s="72">
        <f t="shared" si="730"/>
        <v>0.11307612879001221</v>
      </c>
      <c r="M398" s="72">
        <f t="shared" si="730"/>
        <v>0.10851254789602678</v>
      </c>
      <c r="N398" s="72">
        <f t="shared" si="730"/>
        <v>0.11710162951041533</v>
      </c>
      <c r="O398" s="72">
        <f t="shared" si="730"/>
        <v>0.14259677139385524</v>
      </c>
      <c r="P398" s="892">
        <f t="shared" si="730"/>
        <v>0.11928574798320517</v>
      </c>
      <c r="Q398" s="72">
        <f t="shared" si="730"/>
        <v>0.15611435846981886</v>
      </c>
      <c r="R398" s="72">
        <f t="shared" si="730"/>
        <v>0.15058106400376639</v>
      </c>
      <c r="S398" s="72">
        <f t="shared" si="730"/>
        <v>0.16296080431298265</v>
      </c>
      <c r="T398" s="72">
        <f t="shared" si="730"/>
        <v>0.20412349984613806</v>
      </c>
      <c r="U398" s="892">
        <f t="shared" si="730"/>
        <v>0.16633809224636581</v>
      </c>
      <c r="V398" s="72">
        <f t="shared" si="730"/>
        <v>0.22943998641362034</v>
      </c>
      <c r="W398" s="72">
        <f t="shared" si="730"/>
        <v>0.17259750017075337</v>
      </c>
      <c r="X398" s="72">
        <f t="shared" si="730"/>
        <v>0.15481088254810882</v>
      </c>
      <c r="Y398" s="227">
        <f t="shared" si="730"/>
        <v>0.16331714131504588</v>
      </c>
      <c r="Z398" s="893">
        <f t="shared" si="730"/>
        <v>0.17705639807114404</v>
      </c>
      <c r="AA398" s="227">
        <f t="shared" si="730"/>
        <v>0.13931360521827593</v>
      </c>
      <c r="AB398" s="72">
        <f t="shared" si="730"/>
        <v>0.13520881670533644</v>
      </c>
      <c r="AC398" s="72">
        <f t="shared" si="730"/>
        <v>0.13636238088661787</v>
      </c>
      <c r="AD398" s="227">
        <f t="shared" si="730"/>
        <v>0.13776052743513398</v>
      </c>
      <c r="AE398" s="893">
        <f t="shared" si="730"/>
        <v>0.13714878423956761</v>
      </c>
      <c r="AF398" s="227">
        <f t="shared" si="730"/>
        <v>0.12448363520813473</v>
      </c>
      <c r="AG398" s="72">
        <f t="shared" si="730"/>
        <v>0.12342551377971399</v>
      </c>
      <c r="AH398" s="72">
        <f t="shared" si="730"/>
        <v>0.11332893809534635</v>
      </c>
      <c r="AI398" s="227">
        <f t="shared" si="730"/>
        <v>0.13328768417075934</v>
      </c>
      <c r="AJ398" s="893">
        <f t="shared" si="730"/>
        <v>0.1235068143971047</v>
      </c>
      <c r="AK398" s="227">
        <f t="shared" si="730"/>
        <v>0.13880681818181817</v>
      </c>
      <c r="AL398" s="72">
        <f t="shared" si="730"/>
        <v>0.13351351351351351</v>
      </c>
      <c r="AM398" s="72">
        <f t="shared" si="730"/>
        <v>0.14744157714032563</v>
      </c>
      <c r="AN398" s="227">
        <f t="shared" si="730"/>
        <v>0.16470426409903713</v>
      </c>
      <c r="AO398" s="893">
        <f t="shared" si="730"/>
        <v>0.14595675557618282</v>
      </c>
      <c r="AP398" s="227">
        <f t="shared" si="730"/>
        <v>0.16796292181200598</v>
      </c>
      <c r="AQ398" s="72">
        <f t="shared" si="730"/>
        <v>0.40981176819327109</v>
      </c>
      <c r="AR398" s="72">
        <f>AR500/AR498</f>
        <v>0.1882949572614617</v>
      </c>
      <c r="AS398" s="227">
        <f t="shared" ref="AS398:AU398" si="731">AS500/AS498</f>
        <v>0.19401093242493861</v>
      </c>
      <c r="AT398" s="893">
        <f t="shared" si="731"/>
        <v>0.21462214337008406</v>
      </c>
      <c r="AU398" s="227">
        <f t="shared" si="731"/>
        <v>0.15507821037185052</v>
      </c>
      <c r="AV398" s="72">
        <f t="shared" ref="AV398:BA398" si="732">AV500/AV498</f>
        <v>0.13030294970343378</v>
      </c>
      <c r="AW398" s="72">
        <f t="shared" si="732"/>
        <v>0.11972713039588459</v>
      </c>
      <c r="AX398" s="227">
        <f t="shared" si="732"/>
        <v>0.11442165845955661</v>
      </c>
      <c r="AY398" s="893">
        <f t="shared" si="732"/>
        <v>0.12757209245068168</v>
      </c>
      <c r="AZ398" s="227">
        <f t="shared" si="732"/>
        <v>0.10369117024994023</v>
      </c>
      <c r="BA398" s="72">
        <f t="shared" si="732"/>
        <v>9.1882144207556499E-2</v>
      </c>
      <c r="BB398" s="72">
        <f t="shared" ref="BB398:BG398" si="733">BB500/BB498</f>
        <v>9.5387431726787111E-2</v>
      </c>
      <c r="BC398" s="227">
        <f t="shared" si="733"/>
        <v>0.11334620083933915</v>
      </c>
      <c r="BD398" s="893">
        <f t="shared" si="733"/>
        <v>0.10036060620827444</v>
      </c>
      <c r="BE398" s="227">
        <f t="shared" si="733"/>
        <v>0.11853995629319</v>
      </c>
      <c r="BF398" s="72">
        <f t="shared" si="733"/>
        <v>0.12387516361256544</v>
      </c>
      <c r="BG398" s="72">
        <f t="shared" si="733"/>
        <v>0.11647559171597634</v>
      </c>
      <c r="BH398" s="227">
        <f t="shared" ref="BH398:BN398" si="734">BH500/BH498</f>
        <v>0.13798219584569732</v>
      </c>
      <c r="BI398" s="893">
        <f t="shared" si="734"/>
        <v>0.12384734435105425</v>
      </c>
      <c r="BJ398" s="227">
        <f t="shared" si="734"/>
        <v>0.13410378520403973</v>
      </c>
      <c r="BK398" s="72">
        <f t="shared" si="734"/>
        <v>0.12922764307067075</v>
      </c>
      <c r="BL398" s="72">
        <f t="shared" si="734"/>
        <v>0.13213207286506543</v>
      </c>
      <c r="BM398" s="227">
        <f t="shared" si="734"/>
        <v>0.14594263393711945</v>
      </c>
      <c r="BN398" s="893">
        <f t="shared" si="734"/>
        <v>0.13542940549923074</v>
      </c>
      <c r="BO398" s="227">
        <f t="shared" ref="BO398:BT398" si="735">BO500/BO498</f>
        <v>0.13459357277882797</v>
      </c>
      <c r="BP398" s="72">
        <f t="shared" si="735"/>
        <v>0.14890009370398466</v>
      </c>
      <c r="BQ398" s="72">
        <f t="shared" si="735"/>
        <v>0.15151027631420183</v>
      </c>
      <c r="BR398" s="227">
        <f t="shared" si="735"/>
        <v>0.15763872591897254</v>
      </c>
      <c r="BS398" s="893">
        <f t="shared" si="735"/>
        <v>0.14815030338939117</v>
      </c>
      <c r="BT398" s="665">
        <f t="shared" si="735"/>
        <v>0.15791964120394181</v>
      </c>
      <c r="BU398" s="781">
        <v>0.08</v>
      </c>
      <c r="BV398" s="781">
        <v>0.15</v>
      </c>
      <c r="BW398" s="781">
        <v>0.15</v>
      </c>
      <c r="BX398" s="892">
        <f>BX500/BX498</f>
        <v>0.13282076499057258</v>
      </c>
      <c r="BY398" s="781">
        <v>0.12</v>
      </c>
      <c r="BZ398" s="781">
        <v>0.11</v>
      </c>
      <c r="CA398" s="781">
        <v>0.11</v>
      </c>
      <c r="CB398" s="781">
        <v>0.11</v>
      </c>
      <c r="CC398" s="892">
        <f>CC500/CC498</f>
        <v>0.11248698864974868</v>
      </c>
      <c r="CD398" s="894">
        <v>0.11</v>
      </c>
      <c r="CE398" s="894">
        <v>0.11</v>
      </c>
      <c r="CF398" s="894">
        <v>0.13</v>
      </c>
      <c r="CG398" s="81"/>
    </row>
    <row r="399" spans="1:85" s="434" customFormat="1" x14ac:dyDescent="0.3">
      <c r="A399" s="105" t="s">
        <v>173</v>
      </c>
      <c r="B399" s="97"/>
      <c r="C399" s="892">
        <f t="shared" ref="C399:AQ399" si="736">C501/C498</f>
        <v>0.58060663264117085</v>
      </c>
      <c r="D399" s="892">
        <f t="shared" si="736"/>
        <v>0.56833131636477197</v>
      </c>
      <c r="E399" s="892">
        <f t="shared" si="736"/>
        <v>0.59093202368095354</v>
      </c>
      <c r="F399" s="892">
        <f t="shared" si="736"/>
        <v>0.58189649827001066</v>
      </c>
      <c r="G399" s="72">
        <f t="shared" si="736"/>
        <v>0.57921785349713117</v>
      </c>
      <c r="H399" s="72">
        <f t="shared" si="736"/>
        <v>0.59741323711412087</v>
      </c>
      <c r="I399" s="72">
        <f t="shared" si="736"/>
        <v>0.59521733928174625</v>
      </c>
      <c r="J399" s="72">
        <f t="shared" si="736"/>
        <v>0.58212543181737242</v>
      </c>
      <c r="K399" s="892">
        <f t="shared" si="736"/>
        <v>0.58858281479409913</v>
      </c>
      <c r="L399" s="72">
        <f t="shared" si="736"/>
        <v>0.57867267436402892</v>
      </c>
      <c r="M399" s="72">
        <f t="shared" si="736"/>
        <v>0.58414166868031348</v>
      </c>
      <c r="N399" s="72">
        <f t="shared" si="736"/>
        <v>0.56220852612520344</v>
      </c>
      <c r="O399" s="72">
        <f t="shared" si="736"/>
        <v>0.52644940114563443</v>
      </c>
      <c r="P399" s="892">
        <f t="shared" si="736"/>
        <v>0.56456574043496721</v>
      </c>
      <c r="Q399" s="72">
        <f t="shared" si="736"/>
        <v>0.4975114300596099</v>
      </c>
      <c r="R399" s="72">
        <f t="shared" si="736"/>
        <v>0.5089823326808236</v>
      </c>
      <c r="S399" s="72">
        <f t="shared" si="736"/>
        <v>0.5084365437855165</v>
      </c>
      <c r="T399" s="72">
        <f t="shared" si="736"/>
        <v>0.49817075255581766</v>
      </c>
      <c r="U399" s="892">
        <f t="shared" si="736"/>
        <v>0.50370097561327876</v>
      </c>
      <c r="V399" s="72">
        <f t="shared" si="736"/>
        <v>0.47658472381437611</v>
      </c>
      <c r="W399" s="72">
        <f t="shared" si="736"/>
        <v>0.52175397855337746</v>
      </c>
      <c r="X399" s="72">
        <f t="shared" si="736"/>
        <v>0.52561380225613807</v>
      </c>
      <c r="Y399" s="72">
        <f t="shared" si="736"/>
        <v>0.53897196558402383</v>
      </c>
      <c r="Z399" s="892">
        <f t="shared" si="736"/>
        <v>0.51821406108043888</v>
      </c>
      <c r="AA399" s="72">
        <f t="shared" si="736"/>
        <v>0.52380239968881837</v>
      </c>
      <c r="AB399" s="72">
        <f t="shared" si="736"/>
        <v>0.53146751740139209</v>
      </c>
      <c r="AC399" s="72">
        <f t="shared" si="736"/>
        <v>0.51860240298301341</v>
      </c>
      <c r="AD399" s="72">
        <f t="shared" si="736"/>
        <v>0.56247341556784347</v>
      </c>
      <c r="AE399" s="892">
        <f t="shared" si="736"/>
        <v>0.53460295508107425</v>
      </c>
      <c r="AF399" s="72">
        <f t="shared" si="736"/>
        <v>0.56225505772693574</v>
      </c>
      <c r="AG399" s="72">
        <f t="shared" si="736"/>
        <v>0.58585093285348988</v>
      </c>
      <c r="AH399" s="72">
        <f t="shared" si="736"/>
        <v>0.56109759701730055</v>
      </c>
      <c r="AI399" s="72">
        <f t="shared" si="736"/>
        <v>0.5647903286739705</v>
      </c>
      <c r="AJ399" s="892">
        <f t="shared" si="736"/>
        <v>0.5685858397609701</v>
      </c>
      <c r="AK399" s="72">
        <f t="shared" si="736"/>
        <v>0.55974431818181813</v>
      </c>
      <c r="AL399" s="72">
        <f t="shared" si="736"/>
        <v>0.53629343629343629</v>
      </c>
      <c r="AM399" s="72">
        <f t="shared" si="736"/>
        <v>0.55050393177539036</v>
      </c>
      <c r="AN399" s="72">
        <f t="shared" si="736"/>
        <v>0.54176066024759284</v>
      </c>
      <c r="AO399" s="892">
        <f t="shared" si="736"/>
        <v>0.54678669906358346</v>
      </c>
      <c r="AP399" s="72">
        <f t="shared" si="736"/>
        <v>0.49233357671185041</v>
      </c>
      <c r="AQ399" s="72">
        <f t="shared" si="736"/>
        <v>0.60352749370090408</v>
      </c>
      <c r="AR399" s="72">
        <f>AR501/AR498</f>
        <v>0.54999795509386118</v>
      </c>
      <c r="AS399" s="72">
        <f t="shared" ref="AS399:AU399" si="737">AS501/AS498</f>
        <v>0.53026221975758536</v>
      </c>
      <c r="AT399" s="892">
        <f t="shared" si="737"/>
        <v>0.5331812613525958</v>
      </c>
      <c r="AU399" s="72">
        <f t="shared" si="737"/>
        <v>0.54850291922944827</v>
      </c>
      <c r="AV399" s="72">
        <f t="shared" ref="AV399:BA399" si="738">AV501/AV498</f>
        <v>0.54868739527089927</v>
      </c>
      <c r="AW399" s="72">
        <f t="shared" si="738"/>
        <v>0.5330798479087453</v>
      </c>
      <c r="AX399" s="72">
        <f t="shared" si="738"/>
        <v>0.56807745849695612</v>
      </c>
      <c r="AY399" s="892">
        <f t="shared" si="738"/>
        <v>0.55010002154310156</v>
      </c>
      <c r="AZ399" s="72">
        <f t="shared" si="738"/>
        <v>0.60046346532286243</v>
      </c>
      <c r="BA399" s="72">
        <f t="shared" si="738"/>
        <v>0.58176027457025681</v>
      </c>
      <c r="BB399" s="72">
        <f t="shared" ref="BB399:BG399" si="739">BB501/BB498</f>
        <v>0.571544325070524</v>
      </c>
      <c r="BC399" s="72">
        <f t="shared" si="739"/>
        <v>0.61399252740247556</v>
      </c>
      <c r="BD399" s="892">
        <f t="shared" si="739"/>
        <v>0.59051703133375566</v>
      </c>
      <c r="BE399" s="72">
        <f t="shared" si="739"/>
        <v>0.57895773039592069</v>
      </c>
      <c r="BF399" s="72">
        <f t="shared" si="739"/>
        <v>0.59276832460732987</v>
      </c>
      <c r="BG399" s="72">
        <f t="shared" si="739"/>
        <v>0.59778106508875739</v>
      </c>
      <c r="BH399" s="72">
        <f t="shared" ref="BH399:BN399" si="740">BH501/BH498</f>
        <v>0.60358202628232305</v>
      </c>
      <c r="BI399" s="892">
        <f t="shared" si="740"/>
        <v>0.59316543003448641</v>
      </c>
      <c r="BJ399" s="72">
        <f t="shared" si="740"/>
        <v>0.5694433040479514</v>
      </c>
      <c r="BK399" s="72">
        <f t="shared" si="740"/>
        <v>0.60309489849748932</v>
      </c>
      <c r="BL399" s="72">
        <f t="shared" si="740"/>
        <v>0.60095916635418101</v>
      </c>
      <c r="BM399" s="72">
        <f t="shared" si="740"/>
        <v>0.57726036839888173</v>
      </c>
      <c r="BN399" s="892">
        <f t="shared" si="740"/>
        <v>0.58782397727721014</v>
      </c>
      <c r="BO399" s="72">
        <f t="shared" ref="BO399:BT399" si="741">BO501/BO498</f>
        <v>0.60092417559336275</v>
      </c>
      <c r="BP399" s="72">
        <f t="shared" si="741"/>
        <v>0.59921467136673956</v>
      </c>
      <c r="BQ399" s="72">
        <f t="shared" si="741"/>
        <v>0.55097936693078065</v>
      </c>
      <c r="BR399" s="72">
        <f t="shared" si="741"/>
        <v>0.54078040663068294</v>
      </c>
      <c r="BS399" s="892">
        <f t="shared" si="741"/>
        <v>0.57246694986536595</v>
      </c>
      <c r="BT399" s="666">
        <f t="shared" si="741"/>
        <v>0.58150060690846994</v>
      </c>
      <c r="BU399" s="781">
        <v>0.54</v>
      </c>
      <c r="BV399" s="781">
        <v>0.54</v>
      </c>
      <c r="BW399" s="781">
        <v>0.54</v>
      </c>
      <c r="BX399" s="892">
        <f>BX501/BX498</f>
        <v>0.54916947472037991</v>
      </c>
      <c r="BY399" s="781">
        <v>0.54</v>
      </c>
      <c r="BZ399" s="781">
        <v>0.54</v>
      </c>
      <c r="CA399" s="781">
        <v>0.54</v>
      </c>
      <c r="CB399" s="781">
        <v>0.54</v>
      </c>
      <c r="CC399" s="892">
        <f>CC501/CC498</f>
        <v>0.54</v>
      </c>
      <c r="CD399" s="894">
        <v>0.53</v>
      </c>
      <c r="CE399" s="894">
        <v>0.55000000000000004</v>
      </c>
      <c r="CF399" s="894">
        <v>0.55000000000000004</v>
      </c>
      <c r="CG399" s="81"/>
    </row>
    <row r="400" spans="1:85" s="434" customFormat="1" x14ac:dyDescent="0.3">
      <c r="A400" s="255" t="s">
        <v>174</v>
      </c>
      <c r="B400" s="256"/>
      <c r="C400" s="895">
        <f t="shared" ref="C400:AQ400" si="742">C502/C498</f>
        <v>2.637558554149479E-2</v>
      </c>
      <c r="D400" s="895">
        <f t="shared" si="742"/>
        <v>2.3261828544659587E-2</v>
      </c>
      <c r="E400" s="895">
        <f t="shared" si="742"/>
        <v>1.8702750427660363E-2</v>
      </c>
      <c r="F400" s="895">
        <f t="shared" si="742"/>
        <v>1.9528004332207565E-2</v>
      </c>
      <c r="G400" s="257">
        <f t="shared" si="742"/>
        <v>1.7564856207539864E-2</v>
      </c>
      <c r="H400" s="257">
        <f t="shared" si="742"/>
        <v>1.9853928079624883E-2</v>
      </c>
      <c r="I400" s="257">
        <f t="shared" si="742"/>
        <v>2.0460489205681758E-2</v>
      </c>
      <c r="J400" s="257">
        <f t="shared" si="742"/>
        <v>2.0940916699312653E-2</v>
      </c>
      <c r="K400" s="895">
        <f t="shared" si="742"/>
        <v>1.9707404041110255E-2</v>
      </c>
      <c r="L400" s="257">
        <f t="shared" si="742"/>
        <v>1.7403548296254578E-2</v>
      </c>
      <c r="M400" s="257">
        <f t="shared" si="742"/>
        <v>1.8588836342296938E-2</v>
      </c>
      <c r="N400" s="257">
        <f t="shared" si="742"/>
        <v>2.0519760785676404E-2</v>
      </c>
      <c r="O400" s="257">
        <f t="shared" si="742"/>
        <v>2.9682346814789099E-2</v>
      </c>
      <c r="P400" s="895">
        <f t="shared" si="742"/>
        <v>2.1201113365098834E-2</v>
      </c>
      <c r="Q400" s="257">
        <f t="shared" si="742"/>
        <v>2.7316395624746803E-2</v>
      </c>
      <c r="R400" s="257">
        <f t="shared" si="742"/>
        <v>2.8991253066382536E-2</v>
      </c>
      <c r="S400" s="257">
        <f t="shared" si="742"/>
        <v>2.9899460877167418E-2</v>
      </c>
      <c r="T400" s="257">
        <f t="shared" si="742"/>
        <v>4.455157793961774E-2</v>
      </c>
      <c r="U400" s="895">
        <f t="shared" si="742"/>
        <v>3.2084750536190122E-2</v>
      </c>
      <c r="V400" s="257">
        <f t="shared" si="742"/>
        <v>4.2372521547148982E-2</v>
      </c>
      <c r="W400" s="257">
        <f t="shared" si="742"/>
        <v>3.5277644969605899E-2</v>
      </c>
      <c r="X400" s="257">
        <f t="shared" si="742"/>
        <v>3.679495686794957E-2</v>
      </c>
      <c r="Y400" s="258">
        <f t="shared" si="742"/>
        <v>4.9020541638886243E-2</v>
      </c>
      <c r="Z400" s="896">
        <f t="shared" si="742"/>
        <v>4.0918303165839678E-2</v>
      </c>
      <c r="AA400" s="258">
        <f t="shared" si="742"/>
        <v>2.6031537057538672E-2</v>
      </c>
      <c r="AB400" s="257">
        <f t="shared" si="742"/>
        <v>2.8741299303944316E-2</v>
      </c>
      <c r="AC400" s="257">
        <f t="shared" si="742"/>
        <v>3.4194172075680151E-2</v>
      </c>
      <c r="AD400" s="258">
        <f t="shared" si="742"/>
        <v>3.5862398979157807E-2</v>
      </c>
      <c r="AE400" s="896">
        <f t="shared" si="742"/>
        <v>3.1385388295395208E-2</v>
      </c>
      <c r="AF400" s="258">
        <f t="shared" si="742"/>
        <v>2.1369558309501113E-2</v>
      </c>
      <c r="AG400" s="257">
        <f t="shared" si="742"/>
        <v>2.6493986172933044E-2</v>
      </c>
      <c r="AH400" s="257">
        <f t="shared" si="742"/>
        <v>2.6735171755291335E-2</v>
      </c>
      <c r="AI400" s="258">
        <f t="shared" si="742"/>
        <v>3.0600680015111448E-2</v>
      </c>
      <c r="AJ400" s="896">
        <f t="shared" si="742"/>
        <v>2.6439981002651214E-2</v>
      </c>
      <c r="AK400" s="258">
        <f t="shared" si="742"/>
        <v>3.0823863636363635E-2</v>
      </c>
      <c r="AL400" s="257">
        <f t="shared" si="742"/>
        <v>3.0193050193050193E-2</v>
      </c>
      <c r="AM400" s="257">
        <f t="shared" si="742"/>
        <v>2.9765201018938973E-2</v>
      </c>
      <c r="AN400" s="258">
        <f t="shared" si="742"/>
        <v>3.3755158184319123E-2</v>
      </c>
      <c r="AO400" s="896">
        <f t="shared" si="742"/>
        <v>3.1122880777526004E-2</v>
      </c>
      <c r="AP400" s="258">
        <f t="shared" si="742"/>
        <v>2.4792863718612109E-2</v>
      </c>
      <c r="AQ400" s="257">
        <f t="shared" si="742"/>
        <v>0.12361049355269009</v>
      </c>
      <c r="AR400" s="257">
        <f>AR502/AR498</f>
        <v>4.3106621406077461E-2</v>
      </c>
      <c r="AS400" s="258">
        <f t="shared" ref="AS400:AU400" si="743">AS502/AS498</f>
        <v>6.2980274102828165E-2</v>
      </c>
      <c r="AT400" s="896">
        <f t="shared" si="743"/>
        <v>5.3784902631690112E-2</v>
      </c>
      <c r="AU400" s="258">
        <f t="shared" si="743"/>
        <v>4.1431202972306347E-2</v>
      </c>
      <c r="AV400" s="257">
        <f t="shared" ref="AV400:BA400" si="744">AV502/AV498</f>
        <v>3.3539910099210042E-2</v>
      </c>
      <c r="AW400" s="257">
        <f t="shared" si="744"/>
        <v>1.6931335271751287E-2</v>
      </c>
      <c r="AX400" s="258">
        <f t="shared" si="744"/>
        <v>2.8195059111969914E-2</v>
      </c>
      <c r="AY400" s="896">
        <f t="shared" si="744"/>
        <v>2.8941618194688087E-2</v>
      </c>
      <c r="AZ400" s="258">
        <f t="shared" si="744"/>
        <v>1.8961616979015321E-2</v>
      </c>
      <c r="BA400" s="257">
        <f t="shared" si="744"/>
        <v>1.236147872371368E-2</v>
      </c>
      <c r="BB400" s="257">
        <f t="shared" ref="BB400:BG400" si="745">BB502/BB498</f>
        <v>1.8546305743952943E-2</v>
      </c>
      <c r="BC400" s="258">
        <f t="shared" si="745"/>
        <v>2.6384289837621519E-2</v>
      </c>
      <c r="BD400" s="896">
        <f t="shared" si="745"/>
        <v>1.870847749459903E-2</v>
      </c>
      <c r="BE400" s="258">
        <f t="shared" si="745"/>
        <v>1.8093044317130314E-2</v>
      </c>
      <c r="BF400" s="257">
        <f t="shared" si="745"/>
        <v>2.3866982984293194E-2</v>
      </c>
      <c r="BG400" s="257">
        <f t="shared" si="745"/>
        <v>2.3187869822485208E-2</v>
      </c>
      <c r="BH400" s="258">
        <f t="shared" ref="BH400:BN400" si="746">BH502/BH498</f>
        <v>2.1470962272149216E-2</v>
      </c>
      <c r="BI400" s="896">
        <f t="shared" si="746"/>
        <v>2.1662212800262752E-2</v>
      </c>
      <c r="BJ400" s="258">
        <f t="shared" si="746"/>
        <v>2.1717710813695706E-2</v>
      </c>
      <c r="BK400" s="257">
        <f t="shared" si="746"/>
        <v>2.1414196674547196E-2</v>
      </c>
      <c r="BL400" s="257">
        <f t="shared" si="746"/>
        <v>2.4472557184866486E-2</v>
      </c>
      <c r="BM400" s="258">
        <f t="shared" si="746"/>
        <v>3.1306245931145407E-2</v>
      </c>
      <c r="BN400" s="896">
        <f t="shared" si="746"/>
        <v>2.4798808631504202E-2</v>
      </c>
      <c r="BO400" s="258">
        <f t="shared" ref="BO400:BT400" si="747">BO502/BO498</f>
        <v>2.5876916614156691E-2</v>
      </c>
      <c r="BP400" s="257">
        <f t="shared" si="747"/>
        <v>2.1685779304805676E-2</v>
      </c>
      <c r="BQ400" s="257">
        <f t="shared" si="747"/>
        <v>3.205566504444355E-2</v>
      </c>
      <c r="BR400" s="258">
        <f t="shared" si="747"/>
        <v>3.5009493738399504E-2</v>
      </c>
      <c r="BS400" s="896">
        <f t="shared" si="747"/>
        <v>2.8773058387248654E-2</v>
      </c>
      <c r="BT400" s="667">
        <f t="shared" si="747"/>
        <v>2.156068056041311E-2</v>
      </c>
      <c r="BU400" s="782">
        <v>0.01</v>
      </c>
      <c r="BV400" s="782">
        <v>0.01</v>
      </c>
      <c r="BW400" s="782">
        <v>0.01</v>
      </c>
      <c r="BX400" s="895">
        <f>BX502/BX498</f>
        <v>1.2554308865479783E-2</v>
      </c>
      <c r="BY400" s="782">
        <v>0.01</v>
      </c>
      <c r="BZ400" s="782">
        <v>0.01</v>
      </c>
      <c r="CA400" s="782">
        <v>0.01</v>
      </c>
      <c r="CB400" s="782">
        <v>0.01</v>
      </c>
      <c r="CC400" s="895">
        <f>CC502/CC498</f>
        <v>9.9999999999999985E-3</v>
      </c>
      <c r="CD400" s="897">
        <v>0.01</v>
      </c>
      <c r="CE400" s="897">
        <v>0.01</v>
      </c>
      <c r="CF400" s="897">
        <v>0.02</v>
      </c>
      <c r="CG400" s="81"/>
    </row>
    <row r="401" spans="1:85" s="434" customFormat="1" x14ac:dyDescent="0.3">
      <c r="A401" s="70" t="s">
        <v>175</v>
      </c>
      <c r="B401" s="98"/>
      <c r="C401" s="898">
        <f t="shared" ref="C401:AH401" si="748">C503/C498</f>
        <v>0.18648768323661702</v>
      </c>
      <c r="D401" s="898">
        <f t="shared" si="748"/>
        <v>0.22600620705808869</v>
      </c>
      <c r="E401" s="898">
        <f t="shared" si="748"/>
        <v>0.2434353148920404</v>
      </c>
      <c r="F401" s="898">
        <f t="shared" si="748"/>
        <v>0.25411621725524886</v>
      </c>
      <c r="G401" s="71">
        <f t="shared" si="748"/>
        <v>0.24659438910204512</v>
      </c>
      <c r="H401" s="71">
        <f t="shared" si="748"/>
        <v>0.21492443654238352</v>
      </c>
      <c r="I401" s="71">
        <f t="shared" si="748"/>
        <v>0.2230996701023879</v>
      </c>
      <c r="J401" s="71">
        <f t="shared" si="748"/>
        <v>0.22363688165532961</v>
      </c>
      <c r="K401" s="898">
        <f t="shared" si="748"/>
        <v>0.22701531147311751</v>
      </c>
      <c r="L401" s="71">
        <f t="shared" si="748"/>
        <v>0.23416877874777059</v>
      </c>
      <c r="M401" s="71">
        <f t="shared" si="748"/>
        <v>0.23409506714073666</v>
      </c>
      <c r="N401" s="71">
        <f t="shared" si="748"/>
        <v>0.24098831361217285</v>
      </c>
      <c r="O401" s="71">
        <f t="shared" si="748"/>
        <v>0.23361829543482035</v>
      </c>
      <c r="P401" s="898">
        <f t="shared" si="748"/>
        <v>0.23578808321932349</v>
      </c>
      <c r="Q401" s="71">
        <f t="shared" si="748"/>
        <v>0.22883268707679844</v>
      </c>
      <c r="R401" s="71">
        <f t="shared" si="748"/>
        <v>0.23282206308694897</v>
      </c>
      <c r="S401" s="71">
        <f t="shared" si="748"/>
        <v>0.21468745446597698</v>
      </c>
      <c r="T401" s="71">
        <f t="shared" si="748"/>
        <v>0.15550312852600268</v>
      </c>
      <c r="U401" s="898">
        <f t="shared" si="748"/>
        <v>0.21100254915978828</v>
      </c>
      <c r="V401" s="71">
        <f t="shared" si="748"/>
        <v>0.13000467031800619</v>
      </c>
      <c r="W401" s="71">
        <f t="shared" si="748"/>
        <v>0.16884092616624546</v>
      </c>
      <c r="X401" s="71">
        <f t="shared" si="748"/>
        <v>0.1845056403450564</v>
      </c>
      <c r="Y401" s="83">
        <f t="shared" si="748"/>
        <v>0.15760231133123789</v>
      </c>
      <c r="Z401" s="899">
        <f t="shared" si="748"/>
        <v>0.16188238171779998</v>
      </c>
      <c r="AA401" s="83">
        <f t="shared" si="748"/>
        <v>0.22494838574548937</v>
      </c>
      <c r="AB401" s="71">
        <f t="shared" si="748"/>
        <v>0.21569025522041763</v>
      </c>
      <c r="AC401" s="71">
        <f t="shared" si="748"/>
        <v>0.22209639552547991</v>
      </c>
      <c r="AD401" s="83">
        <f t="shared" si="748"/>
        <v>0.17931199489578903</v>
      </c>
      <c r="AE401" s="899">
        <f t="shared" si="748"/>
        <v>0.2098545038878932</v>
      </c>
      <c r="AF401" s="83">
        <f t="shared" si="748"/>
        <v>0.25630229848532993</v>
      </c>
      <c r="AG401" s="71">
        <f t="shared" si="748"/>
        <v>0.23195851879912871</v>
      </c>
      <c r="AH401" s="71">
        <f t="shared" si="748"/>
        <v>0.27021620024098031</v>
      </c>
      <c r="AI401" s="83">
        <f t="shared" ref="AI401:AQ401" si="749">AI503/AI498</f>
        <v>0.25004722327162826</v>
      </c>
      <c r="AJ401" s="899">
        <f t="shared" si="749"/>
        <v>0.2522078406146484</v>
      </c>
      <c r="AK401" s="83">
        <f t="shared" si="749"/>
        <v>0.24048295454545454</v>
      </c>
      <c r="AL401" s="71">
        <f t="shared" si="749"/>
        <v>0.27305019305019307</v>
      </c>
      <c r="AM401" s="71">
        <f t="shared" si="749"/>
        <v>0.24296710599180418</v>
      </c>
      <c r="AN401" s="83">
        <f t="shared" si="749"/>
        <v>0.23312242090784044</v>
      </c>
      <c r="AO401" s="899">
        <f t="shared" si="749"/>
        <v>0.24790466570203937</v>
      </c>
      <c r="AP401" s="83">
        <f t="shared" si="749"/>
        <v>0.27786419478746704</v>
      </c>
      <c r="AQ401" s="71">
        <f t="shared" si="749"/>
        <v>-0.20846302060174893</v>
      </c>
      <c r="AR401" s="71">
        <f>AR503/AR498</f>
        <v>0.1739806142898041</v>
      </c>
      <c r="AS401" s="83">
        <f t="shared" ref="AS401:AU401" si="750">AS503/AS498</f>
        <v>0.16220391349124613</v>
      </c>
      <c r="AT401" s="899">
        <f t="shared" si="750"/>
        <v>0.15089975921936383</v>
      </c>
      <c r="AU401" s="83">
        <f t="shared" si="750"/>
        <v>0.2106528458584408</v>
      </c>
      <c r="AV401" s="71">
        <f t="shared" ref="AV401:BA401" si="751">AV503/AV498</f>
        <v>0.2458174854376679</v>
      </c>
      <c r="AW401" s="71">
        <f t="shared" si="751"/>
        <v>0.28385148736300603</v>
      </c>
      <c r="AX401" s="83">
        <f t="shared" si="751"/>
        <v>0.25234266242805792</v>
      </c>
      <c r="AY401" s="899">
        <f t="shared" si="751"/>
        <v>0.25128489213061272</v>
      </c>
      <c r="AZ401" s="83">
        <f t="shared" si="751"/>
        <v>0.24006400235410957</v>
      </c>
      <c r="BA401" s="71">
        <f t="shared" si="751"/>
        <v>0.29126552456298538</v>
      </c>
      <c r="BB401" s="71">
        <f t="shared" ref="BB401:BD401" si="752">BB503/BB498</f>
        <v>0.28890822879779127</v>
      </c>
      <c r="BC401" s="83">
        <f t="shared" si="752"/>
        <v>0.26823437749012802</v>
      </c>
      <c r="BD401" s="899">
        <f t="shared" si="752"/>
        <v>0.27404041388496336</v>
      </c>
      <c r="BE401" s="83">
        <f t="shared" ref="BE401:BI401" si="753">BE503/BE498</f>
        <v>0.26283149252849802</v>
      </c>
      <c r="BF401" s="71">
        <f t="shared" si="753"/>
        <v>0.2381994437172775</v>
      </c>
      <c r="BG401" s="71">
        <f t="shared" si="753"/>
        <v>0.24367603550295858</v>
      </c>
      <c r="BH401" s="83">
        <f t="shared" si="753"/>
        <v>0.21445527766002542</v>
      </c>
      <c r="BI401" s="899">
        <f t="shared" si="753"/>
        <v>0.24032465949071655</v>
      </c>
      <c r="BJ401" s="83">
        <f t="shared" ref="BJ401:BX401" si="754">BJ503/BJ498</f>
        <v>0.25166269808687086</v>
      </c>
      <c r="BK401" s="71">
        <f t="shared" si="754"/>
        <v>0.22305152302612297</v>
      </c>
      <c r="BL401" s="71">
        <f t="shared" si="754"/>
        <v>0.21750971994710769</v>
      </c>
      <c r="BM401" s="83">
        <f t="shared" si="754"/>
        <v>0.22364339600965036</v>
      </c>
      <c r="BN401" s="899">
        <f t="shared" si="754"/>
        <v>0.22869245335121702</v>
      </c>
      <c r="BO401" s="83">
        <f t="shared" ref="BO401:BW401" si="755">BO503/BO498</f>
        <v>0.21224532661205628</v>
      </c>
      <c r="BP401" s="71">
        <f t="shared" si="755"/>
        <v>0.2011735308553835</v>
      </c>
      <c r="BQ401" s="71">
        <f t="shared" si="755"/>
        <v>0.23836624703374493</v>
      </c>
      <c r="BR401" s="83">
        <f t="shared" si="755"/>
        <v>0.23826083246218505</v>
      </c>
      <c r="BS401" s="899">
        <f t="shared" si="755"/>
        <v>0.22294226872840964</v>
      </c>
      <c r="BT401" s="668">
        <f>BT503/BT498</f>
        <v>0.211985927952764</v>
      </c>
      <c r="BU401" s="71">
        <f t="shared" si="755"/>
        <v>0.34399999999999992</v>
      </c>
      <c r="BV401" s="71">
        <f t="shared" si="755"/>
        <v>0.27399999999999997</v>
      </c>
      <c r="BW401" s="71">
        <f t="shared" si="755"/>
        <v>0.27400000000000002</v>
      </c>
      <c r="BX401" s="898">
        <f t="shared" si="754"/>
        <v>0.27922718049550427</v>
      </c>
      <c r="BY401" s="71">
        <f t="shared" ref="BY401:CF401" si="756">BY503/BY498</f>
        <v>0.30399999999999994</v>
      </c>
      <c r="BZ401" s="71">
        <f t="shared" si="756"/>
        <v>0.314</v>
      </c>
      <c r="CA401" s="71">
        <f t="shared" si="756"/>
        <v>0.31399999999999989</v>
      </c>
      <c r="CB401" s="71">
        <f t="shared" si="756"/>
        <v>0.31399999999999995</v>
      </c>
      <c r="CC401" s="898">
        <f t="shared" si="756"/>
        <v>0.31151301135025122</v>
      </c>
      <c r="CD401" s="898">
        <f t="shared" si="756"/>
        <v>0.33</v>
      </c>
      <c r="CE401" s="898">
        <f t="shared" si="756"/>
        <v>0.31</v>
      </c>
      <c r="CF401" s="898">
        <f t="shared" si="756"/>
        <v>0.27999999999999997</v>
      </c>
      <c r="CG401" s="81"/>
    </row>
    <row r="402" spans="1:85" s="434" customFormat="1" x14ac:dyDescent="0.3">
      <c r="A402" s="51" t="str">
        <f>CONCATENATE("Adjusted ",A401,IFERROR("  - "&amp;RIGHT(A401,FIND("(",A401)),""))</f>
        <v>Adjusted EBITDAX Margin, %</v>
      </c>
      <c r="B402" s="97"/>
      <c r="C402" s="892">
        <f t="shared" ref="C402:AH402" si="757">C504/C498</f>
        <v>0.18648768323661702</v>
      </c>
      <c r="D402" s="892">
        <f t="shared" si="757"/>
        <v>0.22600620705808869</v>
      </c>
      <c r="E402" s="892">
        <f t="shared" si="757"/>
        <v>0.2434353148920404</v>
      </c>
      <c r="F402" s="892">
        <f t="shared" si="757"/>
        <v>0.25411621725524886</v>
      </c>
      <c r="G402" s="72">
        <f t="shared" si="757"/>
        <v>0.24659438910204512</v>
      </c>
      <c r="H402" s="72">
        <f t="shared" si="757"/>
        <v>0.21492443654238352</v>
      </c>
      <c r="I402" s="72">
        <f t="shared" si="757"/>
        <v>0.2230996701023879</v>
      </c>
      <c r="J402" s="72">
        <f t="shared" si="757"/>
        <v>0.22363688165532961</v>
      </c>
      <c r="K402" s="892">
        <f t="shared" si="757"/>
        <v>0.22701531147311751</v>
      </c>
      <c r="L402" s="72">
        <f t="shared" si="757"/>
        <v>0.23416877874777059</v>
      </c>
      <c r="M402" s="72">
        <f t="shared" si="757"/>
        <v>0.23409506714073666</v>
      </c>
      <c r="N402" s="72">
        <f t="shared" si="757"/>
        <v>0.24098831361217285</v>
      </c>
      <c r="O402" s="72">
        <f t="shared" si="757"/>
        <v>0.23361829543482035</v>
      </c>
      <c r="P402" s="892">
        <f t="shared" si="757"/>
        <v>0.23578808321932349</v>
      </c>
      <c r="Q402" s="72">
        <f t="shared" si="757"/>
        <v>0.22883268707679844</v>
      </c>
      <c r="R402" s="72">
        <f t="shared" si="757"/>
        <v>0.23282206308694897</v>
      </c>
      <c r="S402" s="72">
        <f t="shared" si="757"/>
        <v>0.21468745446597698</v>
      </c>
      <c r="T402" s="72">
        <f t="shared" si="757"/>
        <v>0.15550312852600268</v>
      </c>
      <c r="U402" s="892">
        <f t="shared" si="757"/>
        <v>0.21100254915978828</v>
      </c>
      <c r="V402" s="72">
        <f t="shared" si="757"/>
        <v>0.13000467031800619</v>
      </c>
      <c r="W402" s="72">
        <f t="shared" si="757"/>
        <v>0.16884092616624546</v>
      </c>
      <c r="X402" s="72">
        <f t="shared" si="757"/>
        <v>0.1845056403450564</v>
      </c>
      <c r="Y402" s="227">
        <f t="shared" si="757"/>
        <v>0.15760231133123789</v>
      </c>
      <c r="Z402" s="893">
        <f t="shared" si="757"/>
        <v>0.16188238171779998</v>
      </c>
      <c r="AA402" s="227">
        <f t="shared" si="757"/>
        <v>0.22494838574548937</v>
      </c>
      <c r="AB402" s="72">
        <f t="shared" si="757"/>
        <v>0.21569025522041763</v>
      </c>
      <c r="AC402" s="72">
        <f t="shared" si="757"/>
        <v>0.22209639552547991</v>
      </c>
      <c r="AD402" s="227">
        <f t="shared" si="757"/>
        <v>0.17931199489578903</v>
      </c>
      <c r="AE402" s="893">
        <f t="shared" si="757"/>
        <v>0.2098545038878932</v>
      </c>
      <c r="AF402" s="227">
        <f t="shared" si="757"/>
        <v>0.25630229848532993</v>
      </c>
      <c r="AG402" s="72">
        <f t="shared" si="757"/>
        <v>0.23195851879912871</v>
      </c>
      <c r="AH402" s="72">
        <f t="shared" si="757"/>
        <v>0.27021620024098031</v>
      </c>
      <c r="AI402" s="227">
        <f t="shared" ref="AI402:AQ402" si="758">AI504/AI498</f>
        <v>0.25004722327162826</v>
      </c>
      <c r="AJ402" s="893">
        <f t="shared" si="758"/>
        <v>0.2522078406146484</v>
      </c>
      <c r="AK402" s="227">
        <f t="shared" si="758"/>
        <v>0.24048295454545454</v>
      </c>
      <c r="AL402" s="72">
        <f t="shared" si="758"/>
        <v>0.27305019305019307</v>
      </c>
      <c r="AM402" s="72">
        <f t="shared" si="758"/>
        <v>0.24296710599180418</v>
      </c>
      <c r="AN402" s="227">
        <f t="shared" si="758"/>
        <v>0.23312242090784044</v>
      </c>
      <c r="AO402" s="893">
        <f t="shared" si="758"/>
        <v>0.24790466570203937</v>
      </c>
      <c r="AP402" s="227">
        <f t="shared" si="758"/>
        <v>0.27786419478746704</v>
      </c>
      <c r="AQ402" s="72">
        <f t="shared" si="758"/>
        <v>-0.20846302060174893</v>
      </c>
      <c r="AR402" s="72">
        <f>AR504/AR498</f>
        <v>0.1739806142898041</v>
      </c>
      <c r="AS402" s="227">
        <f t="shared" ref="AS402:AU402" si="759">AS504/AS498</f>
        <v>0.16220391349124613</v>
      </c>
      <c r="AT402" s="893">
        <f t="shared" si="759"/>
        <v>0.15089975921936383</v>
      </c>
      <c r="AU402" s="227">
        <f t="shared" si="759"/>
        <v>0.2106528458584408</v>
      </c>
      <c r="AV402" s="72">
        <f t="shared" ref="AV402:BA402" si="760">AV504/AV498</f>
        <v>0.2458174854376679</v>
      </c>
      <c r="AW402" s="72">
        <f t="shared" si="760"/>
        <v>0.28385148736300603</v>
      </c>
      <c r="AX402" s="227">
        <f t="shared" si="760"/>
        <v>0.25234266242805792</v>
      </c>
      <c r="AY402" s="893">
        <f t="shared" si="760"/>
        <v>0.25128489213061272</v>
      </c>
      <c r="AZ402" s="227">
        <f t="shared" si="760"/>
        <v>0.24006400235410957</v>
      </c>
      <c r="BA402" s="72">
        <f t="shared" si="760"/>
        <v>0.29126552456298538</v>
      </c>
      <c r="BB402" s="72">
        <f t="shared" ref="BB402:BD402" si="761">BB504/BB498</f>
        <v>0.28890822879779127</v>
      </c>
      <c r="BC402" s="227">
        <f t="shared" si="761"/>
        <v>0.26823437749012802</v>
      </c>
      <c r="BD402" s="893">
        <f t="shared" si="761"/>
        <v>0.27404041388496336</v>
      </c>
      <c r="BE402" s="227">
        <f t="shared" ref="BE402:BI402" si="762">BE504/BE498</f>
        <v>0.26283149252849802</v>
      </c>
      <c r="BF402" s="72">
        <f t="shared" si="762"/>
        <v>0.2381994437172775</v>
      </c>
      <c r="BG402" s="72">
        <f t="shared" si="762"/>
        <v>0.24367603550295858</v>
      </c>
      <c r="BH402" s="227">
        <f t="shared" si="762"/>
        <v>0.21445527766002542</v>
      </c>
      <c r="BI402" s="893">
        <f t="shared" si="762"/>
        <v>0.24032465949071655</v>
      </c>
      <c r="BJ402" s="227">
        <f t="shared" ref="BJ402:BX402" si="763">BJ504/BJ498</f>
        <v>0.25166269808687086</v>
      </c>
      <c r="BK402" s="72">
        <f t="shared" si="763"/>
        <v>0.22305152302612297</v>
      </c>
      <c r="BL402" s="72">
        <f t="shared" si="763"/>
        <v>0.21750971994710769</v>
      </c>
      <c r="BM402" s="227">
        <f t="shared" si="763"/>
        <v>0.22364339600965036</v>
      </c>
      <c r="BN402" s="893">
        <f t="shared" si="763"/>
        <v>0.22869245335121702</v>
      </c>
      <c r="BO402" s="227">
        <f t="shared" ref="BO402:BW402" si="764">BO504/BO498</f>
        <v>0.21224532661205628</v>
      </c>
      <c r="BP402" s="72">
        <f t="shared" si="764"/>
        <v>0.2011735308553835</v>
      </c>
      <c r="BQ402" s="72">
        <f t="shared" si="764"/>
        <v>0.23836624703374493</v>
      </c>
      <c r="BR402" s="227">
        <f t="shared" si="764"/>
        <v>0.23826083246218505</v>
      </c>
      <c r="BS402" s="893">
        <f t="shared" si="764"/>
        <v>0.22294226872840964</v>
      </c>
      <c r="BT402" s="665">
        <f>BT504/BT498</f>
        <v>0.211985927952764</v>
      </c>
      <c r="BU402" s="72">
        <f t="shared" si="764"/>
        <v>0.34399999999999992</v>
      </c>
      <c r="BV402" s="72">
        <f t="shared" si="764"/>
        <v>0.27399999999999997</v>
      </c>
      <c r="BW402" s="72">
        <f t="shared" si="764"/>
        <v>0.27400000000000002</v>
      </c>
      <c r="BX402" s="892">
        <f t="shared" si="763"/>
        <v>0.27922718049550427</v>
      </c>
      <c r="BY402" s="72">
        <f t="shared" ref="BY402:CF402" si="765">BY504/BY498</f>
        <v>0.30399999999999994</v>
      </c>
      <c r="BZ402" s="72">
        <f t="shared" si="765"/>
        <v>0.314</v>
      </c>
      <c r="CA402" s="72">
        <f t="shared" si="765"/>
        <v>0.31399999999999989</v>
      </c>
      <c r="CB402" s="72">
        <f t="shared" si="765"/>
        <v>0.31399999999999995</v>
      </c>
      <c r="CC402" s="892">
        <f t="shared" si="765"/>
        <v>0.31151301135025122</v>
      </c>
      <c r="CD402" s="892">
        <f t="shared" si="765"/>
        <v>0.33</v>
      </c>
      <c r="CE402" s="892">
        <f t="shared" si="765"/>
        <v>0.31</v>
      </c>
      <c r="CF402" s="892">
        <f t="shared" si="765"/>
        <v>0.27999999999999997</v>
      </c>
      <c r="CG402" s="81"/>
    </row>
    <row r="403" spans="1:85" s="435" customFormat="1" x14ac:dyDescent="0.3">
      <c r="A403" s="333"/>
      <c r="B403" s="334"/>
      <c r="C403" s="857"/>
      <c r="D403" s="857"/>
      <c r="E403" s="857"/>
      <c r="F403" s="857"/>
      <c r="G403" s="100"/>
      <c r="H403" s="100"/>
      <c r="I403" s="100"/>
      <c r="J403" s="100"/>
      <c r="K403" s="857"/>
      <c r="L403" s="100"/>
      <c r="M403" s="100"/>
      <c r="N403" s="100"/>
      <c r="O403" s="100"/>
      <c r="P403" s="857"/>
      <c r="Q403" s="100"/>
      <c r="R403" s="100"/>
      <c r="S403" s="100"/>
      <c r="T403" s="100"/>
      <c r="U403" s="857"/>
      <c r="V403" s="100"/>
      <c r="W403" s="100"/>
      <c r="X403" s="100"/>
      <c r="Y403" s="100"/>
      <c r="Z403" s="857"/>
      <c r="AA403" s="100"/>
      <c r="AB403" s="100"/>
      <c r="AC403" s="100"/>
      <c r="AD403" s="100"/>
      <c r="AE403" s="857"/>
      <c r="AF403" s="100"/>
      <c r="AG403" s="100"/>
      <c r="AH403" s="100"/>
      <c r="AI403" s="100"/>
      <c r="AJ403" s="857"/>
      <c r="AK403" s="100"/>
      <c r="AL403" s="100"/>
      <c r="AM403" s="100"/>
      <c r="AN403" s="100"/>
      <c r="AO403" s="857"/>
      <c r="AP403" s="100"/>
      <c r="AQ403" s="100"/>
      <c r="AR403" s="100"/>
      <c r="AS403" s="100"/>
      <c r="AT403" s="857"/>
      <c r="AU403" s="100"/>
      <c r="AV403" s="100"/>
      <c r="AW403" s="100"/>
      <c r="AX403" s="100"/>
      <c r="AY403" s="857"/>
      <c r="AZ403" s="100"/>
      <c r="BA403" s="100"/>
      <c r="BB403" s="100"/>
      <c r="BC403" s="100"/>
      <c r="BD403" s="857"/>
      <c r="BE403" s="100"/>
      <c r="BF403" s="100"/>
      <c r="BG403" s="100"/>
      <c r="BH403" s="100"/>
      <c r="BI403" s="857"/>
      <c r="BJ403" s="100"/>
      <c r="BK403" s="100"/>
      <c r="BL403" s="100"/>
      <c r="BM403" s="100"/>
      <c r="BN403" s="857"/>
      <c r="BO403" s="100"/>
      <c r="BP403" s="100"/>
      <c r="BQ403" s="100"/>
      <c r="BR403" s="100"/>
      <c r="BS403" s="857"/>
      <c r="BT403" s="651"/>
      <c r="BU403" s="100"/>
      <c r="BV403" s="100"/>
      <c r="BW403" s="100"/>
      <c r="BX403" s="857"/>
      <c r="BY403" s="100"/>
      <c r="BZ403" s="100"/>
      <c r="CA403" s="100"/>
      <c r="CB403" s="100"/>
      <c r="CC403" s="857"/>
      <c r="CD403" s="857"/>
      <c r="CE403" s="857"/>
      <c r="CF403" s="857"/>
      <c r="CG403" s="20"/>
    </row>
    <row r="404" spans="1:85" s="427" customFormat="1" x14ac:dyDescent="0.3">
      <c r="A404" s="720" t="s">
        <v>176</v>
      </c>
      <c r="B404" s="720"/>
      <c r="C404" s="720"/>
      <c r="D404" s="720"/>
      <c r="E404" s="720"/>
      <c r="F404" s="720"/>
      <c r="G404" s="720"/>
      <c r="H404" s="720"/>
      <c r="I404" s="720"/>
      <c r="J404" s="720"/>
      <c r="K404" s="720"/>
      <c r="L404" s="720"/>
      <c r="M404" s="720"/>
      <c r="N404" s="720"/>
      <c r="O404" s="720"/>
      <c r="P404" s="720"/>
      <c r="Q404" s="720"/>
      <c r="R404" s="720"/>
      <c r="S404" s="720"/>
      <c r="T404" s="720"/>
      <c r="U404" s="720"/>
      <c r="V404" s="720"/>
      <c r="W404" s="720"/>
      <c r="X404" s="720"/>
      <c r="Y404" s="720"/>
      <c r="Z404" s="720"/>
      <c r="AA404" s="720"/>
      <c r="AB404" s="720"/>
      <c r="AC404" s="720"/>
      <c r="AD404" s="720"/>
      <c r="AE404" s="720"/>
      <c r="AF404" s="720"/>
      <c r="AG404" s="720"/>
      <c r="AH404" s="720"/>
      <c r="AI404" s="720"/>
      <c r="AJ404" s="720"/>
      <c r="AK404" s="720"/>
      <c r="AL404" s="720"/>
      <c r="AM404" s="720"/>
      <c r="AN404" s="720"/>
      <c r="AO404" s="720"/>
      <c r="AP404" s="720"/>
      <c r="AQ404" s="720"/>
      <c r="AR404" s="720"/>
      <c r="AS404" s="720"/>
      <c r="AT404" s="720"/>
      <c r="AU404" s="720"/>
      <c r="AV404" s="720"/>
      <c r="AW404" s="720"/>
      <c r="AX404" s="720"/>
      <c r="AY404" s="720"/>
      <c r="AZ404" s="720"/>
      <c r="BA404" s="720"/>
      <c r="BB404" s="720"/>
      <c r="BC404" s="720"/>
      <c r="BD404" s="720"/>
      <c r="BE404" s="720"/>
      <c r="BF404" s="720"/>
      <c r="BG404" s="720"/>
      <c r="BH404" s="720"/>
      <c r="BI404" s="720"/>
      <c r="BJ404" s="720"/>
      <c r="BK404" s="720"/>
      <c r="BL404" s="720"/>
      <c r="BM404" s="720"/>
      <c r="BN404" s="720"/>
      <c r="BO404" s="720"/>
      <c r="BP404" s="720"/>
      <c r="BQ404" s="720"/>
      <c r="BR404" s="720"/>
      <c r="BS404" s="720"/>
      <c r="BT404" s="721"/>
      <c r="BU404" s="720"/>
      <c r="BV404" s="720"/>
      <c r="BW404" s="720"/>
      <c r="BX404" s="720"/>
      <c r="BY404" s="720"/>
      <c r="BZ404" s="720"/>
      <c r="CA404" s="720"/>
      <c r="CB404" s="720"/>
      <c r="CC404" s="720"/>
      <c r="CD404" s="720"/>
      <c r="CE404" s="720"/>
      <c r="CF404" s="720"/>
      <c r="CG404" s="321"/>
    </row>
    <row r="405" spans="1:85" s="428" customFormat="1" hidden="1" outlineLevel="1" x14ac:dyDescent="0.3">
      <c r="A405" s="43" t="s">
        <v>177</v>
      </c>
      <c r="B405" s="109"/>
      <c r="C405" s="827">
        <v>167402</v>
      </c>
      <c r="D405" s="827">
        <v>198198</v>
      </c>
      <c r="E405" s="827">
        <v>244371</v>
      </c>
      <c r="F405" s="827">
        <v>230590</v>
      </c>
      <c r="G405" s="763">
        <v>54296</v>
      </c>
      <c r="H405" s="763">
        <v>55307</v>
      </c>
      <c r="I405" s="763">
        <v>56603</v>
      </c>
      <c r="J405" s="37">
        <f>K405-SUM(G405,H405,I405)</f>
        <v>53950</v>
      </c>
      <c r="K405" s="827">
        <v>220156</v>
      </c>
      <c r="L405" s="763">
        <v>50978</v>
      </c>
      <c r="M405" s="763">
        <v>55583</v>
      </c>
      <c r="N405" s="763">
        <v>51822</v>
      </c>
      <c r="O405" s="37">
        <f>P405-SUM(L405,M405,N405)</f>
        <v>42111</v>
      </c>
      <c r="P405" s="827">
        <v>200494</v>
      </c>
      <c r="Q405" s="763">
        <v>32315</v>
      </c>
      <c r="R405" s="763">
        <v>36829</v>
      </c>
      <c r="S405" s="763">
        <v>32767</v>
      </c>
      <c r="T405" s="37">
        <f>U405-SUM(Q405,R405,S405)</f>
        <v>28014</v>
      </c>
      <c r="U405" s="827">
        <v>129925</v>
      </c>
      <c r="V405" s="763">
        <v>23070</v>
      </c>
      <c r="W405" s="763">
        <v>27844</v>
      </c>
      <c r="X405" s="763">
        <v>29159</v>
      </c>
      <c r="Y405" s="37">
        <f>Z405-SUM(V405,W405,X405)</f>
        <v>30142</v>
      </c>
      <c r="Z405" s="827">
        <v>110215</v>
      </c>
      <c r="AA405" s="763">
        <v>31524</v>
      </c>
      <c r="AB405" s="763">
        <v>32877</v>
      </c>
      <c r="AC405" s="763">
        <v>33892</v>
      </c>
      <c r="AD405" s="37">
        <f>AE405-SUM(AA405,AB405,AC405)</f>
        <v>36381</v>
      </c>
      <c r="AE405" s="827">
        <v>134674</v>
      </c>
      <c r="AF405" s="763">
        <v>35968</v>
      </c>
      <c r="AG405" s="763">
        <v>40491</v>
      </c>
      <c r="AH405" s="763">
        <v>42105</v>
      </c>
      <c r="AI405" s="37">
        <f>AJ405-SUM(AF405,AG405,AH405)</f>
        <v>40338</v>
      </c>
      <c r="AJ405" s="827">
        <v>158902</v>
      </c>
      <c r="AK405" s="763">
        <v>34189</v>
      </c>
      <c r="AL405" s="763">
        <v>36323</v>
      </c>
      <c r="AM405" s="763">
        <v>34779</v>
      </c>
      <c r="AN405" s="37">
        <f>AO405-SUM(AK405,AL405,AM405)</f>
        <v>34574</v>
      </c>
      <c r="AO405" s="827">
        <v>139865</v>
      </c>
      <c r="AP405" s="763">
        <v>29705</v>
      </c>
      <c r="AQ405" s="763">
        <v>15926</v>
      </c>
      <c r="AR405" s="763">
        <v>23997</v>
      </c>
      <c r="AS405" s="37">
        <f>AT405-SUM(AP405,AQ405,AR405)</f>
        <v>24843</v>
      </c>
      <c r="AT405" s="827">
        <v>94471</v>
      </c>
      <c r="AU405" s="763">
        <v>31076</v>
      </c>
      <c r="AV405" s="763">
        <v>36117</v>
      </c>
      <c r="AW405" s="763">
        <v>42552</v>
      </c>
      <c r="AX405" s="37">
        <f>AY405-SUM(AU405,AV405,AW405)</f>
        <v>45861</v>
      </c>
      <c r="AY405" s="827">
        <v>155606</v>
      </c>
      <c r="AZ405" s="763">
        <v>52314</v>
      </c>
      <c r="BA405" s="763">
        <v>65372</v>
      </c>
      <c r="BB405" s="763">
        <v>63508</v>
      </c>
      <c r="BC405" s="763">
        <v>54523</v>
      </c>
      <c r="BD405" s="827">
        <v>235717</v>
      </c>
      <c r="BE405" s="763">
        <v>48842</v>
      </c>
      <c r="BF405" s="763">
        <v>47216</v>
      </c>
      <c r="BG405" s="763">
        <v>51922</v>
      </c>
      <c r="BH405" s="763">
        <v>48933</v>
      </c>
      <c r="BI405" s="827">
        <v>196913</v>
      </c>
      <c r="BJ405" s="763">
        <v>46580</v>
      </c>
      <c r="BK405" s="763">
        <v>49574</v>
      </c>
      <c r="BL405" s="763">
        <v>48926</v>
      </c>
      <c r="BM405" s="763">
        <v>48334</v>
      </c>
      <c r="BN405" s="827">
        <v>193414</v>
      </c>
      <c r="BO405" s="763">
        <v>46101</v>
      </c>
      <c r="BP405" s="763">
        <v>44375</v>
      </c>
      <c r="BQ405" s="763">
        <v>48169</v>
      </c>
      <c r="BR405" s="763">
        <v>45787</v>
      </c>
      <c r="BS405" s="827">
        <v>184432</v>
      </c>
      <c r="BT405" s="764">
        <v>47556</v>
      </c>
      <c r="BU405" s="37"/>
      <c r="BV405" s="37"/>
      <c r="BW405" s="37"/>
      <c r="BX405" s="821"/>
      <c r="BY405" s="37"/>
      <c r="BZ405" s="37"/>
      <c r="CA405" s="37"/>
      <c r="CB405" s="37"/>
      <c r="CC405" s="821"/>
      <c r="CD405" s="821"/>
      <c r="CE405" s="821"/>
      <c r="CF405" s="821"/>
      <c r="CG405" s="22"/>
    </row>
    <row r="406" spans="1:85" s="428" customFormat="1" hidden="1" outlineLevel="1" x14ac:dyDescent="0.3">
      <c r="A406" s="43" t="s">
        <v>178</v>
      </c>
      <c r="B406" s="109"/>
      <c r="C406" s="827">
        <v>3316</v>
      </c>
      <c r="D406" s="827">
        <v>5637</v>
      </c>
      <c r="E406" s="827">
        <v>7363</v>
      </c>
      <c r="F406" s="827">
        <v>6889</v>
      </c>
      <c r="G406" s="763">
        <v>2284</v>
      </c>
      <c r="H406" s="763">
        <v>1784</v>
      </c>
      <c r="I406" s="763">
        <v>1635</v>
      </c>
      <c r="J406" s="37">
        <f>K406-SUM(G406,H406,I406)</f>
        <v>1824</v>
      </c>
      <c r="K406" s="827">
        <v>7527</v>
      </c>
      <c r="L406" s="763">
        <v>1922</v>
      </c>
      <c r="M406" s="763">
        <v>1709</v>
      </c>
      <c r="N406" s="763">
        <v>1912</v>
      </c>
      <c r="O406" s="37">
        <f>P406-SUM(L406,M406,N406)</f>
        <v>1555</v>
      </c>
      <c r="P406" s="827">
        <v>7098</v>
      </c>
      <c r="Q406" s="763">
        <v>1401</v>
      </c>
      <c r="R406" s="763">
        <v>1169</v>
      </c>
      <c r="S406" s="763">
        <v>1195</v>
      </c>
      <c r="T406" s="37">
        <f>U406-SUM(Q406,R406,S406)</f>
        <v>919</v>
      </c>
      <c r="U406" s="827">
        <v>4684</v>
      </c>
      <c r="V406" s="763">
        <v>576</v>
      </c>
      <c r="W406" s="763">
        <v>752</v>
      </c>
      <c r="X406" s="763">
        <v>555</v>
      </c>
      <c r="Y406" s="37">
        <f>Z406-SUM(V406,W406,X406)</f>
        <v>778</v>
      </c>
      <c r="Z406" s="827">
        <v>2661</v>
      </c>
      <c r="AA406" s="763">
        <v>1150</v>
      </c>
      <c r="AB406" s="763">
        <v>1316</v>
      </c>
      <c r="AC406" s="763">
        <v>1036</v>
      </c>
      <c r="AD406" s="37">
        <f>AE406-SUM(AA406,AB406,AC406)</f>
        <v>936</v>
      </c>
      <c r="AE406" s="827">
        <v>4438</v>
      </c>
      <c r="AF406" s="763">
        <v>1637</v>
      </c>
      <c r="AG406" s="763">
        <v>1493</v>
      </c>
      <c r="AH406" s="763">
        <v>1555</v>
      </c>
      <c r="AI406" s="37">
        <f>AJ406-SUM(AF406,AG406,AH406)</f>
        <v>1642</v>
      </c>
      <c r="AJ406" s="827">
        <v>6327</v>
      </c>
      <c r="AK406" s="763">
        <v>1062</v>
      </c>
      <c r="AL406" s="763">
        <v>1196</v>
      </c>
      <c r="AM406" s="763">
        <v>1172</v>
      </c>
      <c r="AN406" s="37">
        <f>AO406-SUM(AK406,AL406,AM406)</f>
        <v>538</v>
      </c>
      <c r="AO406" s="827">
        <v>3968</v>
      </c>
      <c r="AP406" s="763">
        <v>965</v>
      </c>
      <c r="AQ406" s="763">
        <v>-2515</v>
      </c>
      <c r="AR406" s="763">
        <v>510</v>
      </c>
      <c r="AS406" s="37">
        <f>AT406-SUM(AP406,AQ406,AR406)</f>
        <v>568</v>
      </c>
      <c r="AT406" s="827">
        <v>-472</v>
      </c>
      <c r="AU406" s="763">
        <v>911</v>
      </c>
      <c r="AV406" s="763">
        <v>1442</v>
      </c>
      <c r="AW406" s="763">
        <v>1647</v>
      </c>
      <c r="AX406" s="37">
        <f>AY406-SUM(AU406,AV406,AW406)</f>
        <v>1657</v>
      </c>
      <c r="AY406" s="827">
        <v>5657</v>
      </c>
      <c r="AZ406" s="763">
        <v>2085</v>
      </c>
      <c r="BA406" s="763">
        <v>2467</v>
      </c>
      <c r="BB406" s="763">
        <v>2410</v>
      </c>
      <c r="BC406" s="763">
        <v>1623</v>
      </c>
      <c r="BD406" s="827">
        <v>8585</v>
      </c>
      <c r="BE406" s="763">
        <v>1588</v>
      </c>
      <c r="BF406" s="763">
        <v>1240</v>
      </c>
      <c r="BG406" s="763">
        <v>1313</v>
      </c>
      <c r="BH406" s="763">
        <v>990</v>
      </c>
      <c r="BI406" s="827">
        <v>5131</v>
      </c>
      <c r="BJ406" s="763">
        <v>1441</v>
      </c>
      <c r="BK406" s="763">
        <v>1206</v>
      </c>
      <c r="BL406" s="763">
        <v>1261</v>
      </c>
      <c r="BM406" s="763">
        <v>688</v>
      </c>
      <c r="BN406" s="827">
        <v>4596</v>
      </c>
      <c r="BO406" s="763">
        <v>820</v>
      </c>
      <c r="BP406" s="763">
        <v>536</v>
      </c>
      <c r="BQ406" s="763">
        <v>981</v>
      </c>
      <c r="BR406" s="763">
        <v>663</v>
      </c>
      <c r="BS406" s="827">
        <v>3000</v>
      </c>
      <c r="BT406" s="764">
        <v>745</v>
      </c>
      <c r="BU406" s="37"/>
      <c r="BV406" s="37"/>
      <c r="BW406" s="37"/>
      <c r="BX406" s="821"/>
      <c r="BY406" s="37"/>
      <c r="BZ406" s="37"/>
      <c r="CA406" s="37"/>
      <c r="CB406" s="37"/>
      <c r="CC406" s="821"/>
      <c r="CD406" s="821"/>
      <c r="CE406" s="821"/>
      <c r="CF406" s="821"/>
      <c r="CG406" s="22"/>
    </row>
    <row r="407" spans="1:85" s="428" customFormat="1" hidden="1" outlineLevel="1" x14ac:dyDescent="0.3">
      <c r="A407" s="43" t="s">
        <v>179</v>
      </c>
      <c r="B407" s="109"/>
      <c r="C407" s="827">
        <v>918</v>
      </c>
      <c r="D407" s="827">
        <v>1093</v>
      </c>
      <c r="E407" s="827">
        <v>1972</v>
      </c>
      <c r="F407" s="827">
        <v>4430</v>
      </c>
      <c r="G407" s="763">
        <v>238</v>
      </c>
      <c r="H407" s="763">
        <v>278</v>
      </c>
      <c r="I407" s="763">
        <v>265</v>
      </c>
      <c r="J407" s="37">
        <f>K407-SUM(G407,H407,I407)</f>
        <v>384</v>
      </c>
      <c r="K407" s="827">
        <v>1165</v>
      </c>
      <c r="L407" s="763">
        <v>365</v>
      </c>
      <c r="M407" s="763">
        <v>646</v>
      </c>
      <c r="N407" s="763">
        <v>945</v>
      </c>
      <c r="O407" s="37">
        <f>P407-SUM(L407,M407,N407)</f>
        <v>2422</v>
      </c>
      <c r="P407" s="827">
        <v>4378</v>
      </c>
      <c r="Q407" s="763">
        <v>842</v>
      </c>
      <c r="R407" s="763">
        <v>2359</v>
      </c>
      <c r="S407" s="763">
        <v>353</v>
      </c>
      <c r="T407" s="37">
        <f>U407-SUM(Q407,R407,S407)</f>
        <v>314</v>
      </c>
      <c r="U407" s="827">
        <v>3868</v>
      </c>
      <c r="V407" s="763">
        <v>-93</v>
      </c>
      <c r="W407" s="763">
        <v>686</v>
      </c>
      <c r="X407" s="763">
        <v>426</v>
      </c>
      <c r="Y407" s="37">
        <f>Z407-SUM(V407,W407,X407)</f>
        <v>577</v>
      </c>
      <c r="Z407" s="827">
        <v>1596</v>
      </c>
      <c r="AA407" s="763">
        <v>747</v>
      </c>
      <c r="AB407" s="763">
        <v>287</v>
      </c>
      <c r="AC407" s="763">
        <v>1277</v>
      </c>
      <c r="AD407" s="37">
        <f>AE407-SUM(AA407,AB407,AC407)</f>
        <v>299</v>
      </c>
      <c r="AE407" s="827">
        <v>2610</v>
      </c>
      <c r="AF407" s="763">
        <v>159</v>
      </c>
      <c r="AG407" s="763">
        <v>252</v>
      </c>
      <c r="AH407" s="763">
        <v>327</v>
      </c>
      <c r="AI407" s="37">
        <f>AJ407-SUM(AF407,AG407,AH407)</f>
        <v>372</v>
      </c>
      <c r="AJ407" s="827">
        <v>1110</v>
      </c>
      <c r="AK407" s="763">
        <v>-51</v>
      </c>
      <c r="AL407" s="763">
        <v>1331</v>
      </c>
      <c r="AM407" s="763">
        <v>165</v>
      </c>
      <c r="AN407" s="37">
        <f>AO407-SUM(AK407,AL407,AM407)</f>
        <v>1238</v>
      </c>
      <c r="AO407" s="827">
        <v>2683</v>
      </c>
      <c r="AP407" s="763">
        <v>831</v>
      </c>
      <c r="AQ407" s="763">
        <v>83</v>
      </c>
      <c r="AR407" s="763">
        <v>-56</v>
      </c>
      <c r="AS407" s="37">
        <f>AT407-SUM(AP407,AQ407,AR407)</f>
        <v>-165</v>
      </c>
      <c r="AT407" s="827">
        <v>693</v>
      </c>
      <c r="AU407" s="763">
        <v>42</v>
      </c>
      <c r="AV407" s="763">
        <v>38</v>
      </c>
      <c r="AW407" s="763">
        <v>511</v>
      </c>
      <c r="AX407" s="37">
        <f>AY407-SUM(AU407,AV407,AW407)</f>
        <v>611</v>
      </c>
      <c r="AY407" s="827">
        <v>1202</v>
      </c>
      <c r="AZ407" s="763">
        <v>-26</v>
      </c>
      <c r="BA407" s="763">
        <v>923</v>
      </c>
      <c r="BB407" s="763">
        <v>726</v>
      </c>
      <c r="BC407" s="763">
        <v>327</v>
      </c>
      <c r="BD407" s="827">
        <v>1950</v>
      </c>
      <c r="BE407" s="763">
        <v>363</v>
      </c>
      <c r="BF407" s="763">
        <v>440</v>
      </c>
      <c r="BG407" s="763">
        <v>845</v>
      </c>
      <c r="BH407" s="763">
        <v>-2743</v>
      </c>
      <c r="BI407" s="827">
        <v>-1095</v>
      </c>
      <c r="BJ407" s="763">
        <v>695</v>
      </c>
      <c r="BK407" s="763">
        <v>401</v>
      </c>
      <c r="BL407" s="763">
        <v>482</v>
      </c>
      <c r="BM407" s="763">
        <v>3204</v>
      </c>
      <c r="BN407" s="827">
        <v>4782</v>
      </c>
      <c r="BO407" s="763">
        <v>689</v>
      </c>
      <c r="BP407" s="763">
        <v>-89</v>
      </c>
      <c r="BQ407" s="763">
        <v>576</v>
      </c>
      <c r="BR407" s="763">
        <v>423</v>
      </c>
      <c r="BS407" s="827">
        <v>1599</v>
      </c>
      <c r="BT407" s="764">
        <v>306</v>
      </c>
      <c r="BU407" s="37"/>
      <c r="BV407" s="37"/>
      <c r="BW407" s="37"/>
      <c r="BX407" s="821"/>
      <c r="BY407" s="37"/>
      <c r="BZ407" s="37"/>
      <c r="CA407" s="37"/>
      <c r="CB407" s="37"/>
      <c r="CC407" s="821"/>
      <c r="CD407" s="821"/>
      <c r="CE407" s="821"/>
      <c r="CF407" s="821"/>
      <c r="CG407" s="22"/>
    </row>
    <row r="408" spans="1:85" s="429" customFormat="1" hidden="1" outlineLevel="1" x14ac:dyDescent="0.3">
      <c r="A408" s="42" t="s">
        <v>180</v>
      </c>
      <c r="B408" s="99"/>
      <c r="C408" s="823">
        <f t="shared" ref="C408:AH408" si="766">SUM(C405:C407)</f>
        <v>171636</v>
      </c>
      <c r="D408" s="823">
        <f t="shared" si="766"/>
        <v>204928</v>
      </c>
      <c r="E408" s="823">
        <f t="shared" si="766"/>
        <v>253706</v>
      </c>
      <c r="F408" s="823">
        <f t="shared" si="766"/>
        <v>241909</v>
      </c>
      <c r="G408" s="393">
        <f t="shared" si="766"/>
        <v>56818</v>
      </c>
      <c r="H408" s="393">
        <f t="shared" si="766"/>
        <v>57369</v>
      </c>
      <c r="I408" s="393">
        <f t="shared" si="766"/>
        <v>58503</v>
      </c>
      <c r="J408" s="393">
        <f t="shared" si="766"/>
        <v>56158</v>
      </c>
      <c r="K408" s="823">
        <f t="shared" si="766"/>
        <v>228848</v>
      </c>
      <c r="L408" s="393">
        <f t="shared" si="766"/>
        <v>53265</v>
      </c>
      <c r="M408" s="393">
        <f t="shared" si="766"/>
        <v>57938</v>
      </c>
      <c r="N408" s="393">
        <f t="shared" si="766"/>
        <v>54679</v>
      </c>
      <c r="O408" s="393">
        <f t="shared" si="766"/>
        <v>46088</v>
      </c>
      <c r="P408" s="823">
        <f t="shared" si="766"/>
        <v>211970</v>
      </c>
      <c r="Q408" s="393">
        <f t="shared" si="766"/>
        <v>34558</v>
      </c>
      <c r="R408" s="393">
        <f t="shared" si="766"/>
        <v>40357</v>
      </c>
      <c r="S408" s="393">
        <f t="shared" si="766"/>
        <v>34315</v>
      </c>
      <c r="T408" s="393">
        <f t="shared" si="766"/>
        <v>29247</v>
      </c>
      <c r="U408" s="823">
        <f t="shared" si="766"/>
        <v>138477</v>
      </c>
      <c r="V408" s="393">
        <f t="shared" si="766"/>
        <v>23553</v>
      </c>
      <c r="W408" s="393">
        <f t="shared" si="766"/>
        <v>29282</v>
      </c>
      <c r="X408" s="393">
        <f t="shared" si="766"/>
        <v>30140</v>
      </c>
      <c r="Y408" s="393">
        <f t="shared" si="766"/>
        <v>31497</v>
      </c>
      <c r="Z408" s="823">
        <f t="shared" si="766"/>
        <v>114472</v>
      </c>
      <c r="AA408" s="393">
        <f t="shared" si="766"/>
        <v>33421</v>
      </c>
      <c r="AB408" s="393">
        <f t="shared" si="766"/>
        <v>34480</v>
      </c>
      <c r="AC408" s="393">
        <f t="shared" si="766"/>
        <v>36205</v>
      </c>
      <c r="AD408" s="393">
        <f t="shared" si="766"/>
        <v>37616</v>
      </c>
      <c r="AE408" s="823">
        <f t="shared" si="766"/>
        <v>141722</v>
      </c>
      <c r="AF408" s="393">
        <f t="shared" si="766"/>
        <v>37764</v>
      </c>
      <c r="AG408" s="393">
        <f t="shared" si="766"/>
        <v>42236</v>
      </c>
      <c r="AH408" s="393">
        <f t="shared" si="766"/>
        <v>43987</v>
      </c>
      <c r="AI408" s="393">
        <f t="shared" ref="AI408:AQ408" si="767">SUM(AI405:AI407)</f>
        <v>42352</v>
      </c>
      <c r="AJ408" s="823">
        <f t="shared" si="767"/>
        <v>166339</v>
      </c>
      <c r="AK408" s="393">
        <f t="shared" si="767"/>
        <v>35200</v>
      </c>
      <c r="AL408" s="393">
        <f t="shared" si="767"/>
        <v>38850</v>
      </c>
      <c r="AM408" s="393">
        <f t="shared" si="767"/>
        <v>36116</v>
      </c>
      <c r="AN408" s="393">
        <f t="shared" si="767"/>
        <v>36350</v>
      </c>
      <c r="AO408" s="823">
        <f t="shared" si="767"/>
        <v>146516</v>
      </c>
      <c r="AP408" s="393">
        <f t="shared" si="767"/>
        <v>31501</v>
      </c>
      <c r="AQ408" s="393">
        <f t="shared" si="767"/>
        <v>13494</v>
      </c>
      <c r="AR408" s="393">
        <f>SUM(AR405:AR407)</f>
        <v>24451</v>
      </c>
      <c r="AS408" s="393">
        <f t="shared" ref="AS408:AU408" si="768">SUM(AS405:AS407)</f>
        <v>25246</v>
      </c>
      <c r="AT408" s="823">
        <f t="shared" si="768"/>
        <v>94692</v>
      </c>
      <c r="AU408" s="393">
        <f t="shared" si="768"/>
        <v>32029</v>
      </c>
      <c r="AV408" s="393">
        <f t="shared" ref="AV408:BA408" si="769">SUM(AV405:AV407)</f>
        <v>37597</v>
      </c>
      <c r="AW408" s="393">
        <f t="shared" si="769"/>
        <v>44710</v>
      </c>
      <c r="AX408" s="393">
        <f t="shared" si="769"/>
        <v>48129</v>
      </c>
      <c r="AY408" s="823">
        <f t="shared" si="769"/>
        <v>162465</v>
      </c>
      <c r="AZ408" s="393">
        <f t="shared" si="769"/>
        <v>54373</v>
      </c>
      <c r="BA408" s="393">
        <f t="shared" si="769"/>
        <v>68762</v>
      </c>
      <c r="BB408" s="393">
        <f t="shared" ref="BB408:BD408" si="770">SUM(BB405:BB407)</f>
        <v>66644</v>
      </c>
      <c r="BC408" s="393">
        <f t="shared" si="770"/>
        <v>56473</v>
      </c>
      <c r="BD408" s="823">
        <f t="shared" si="770"/>
        <v>246252</v>
      </c>
      <c r="BE408" s="393">
        <f t="shared" ref="BE408:BJ408" si="771">SUM(BE405:BE407)</f>
        <v>50793</v>
      </c>
      <c r="BF408" s="393">
        <f t="shared" si="771"/>
        <v>48896</v>
      </c>
      <c r="BG408" s="393">
        <f t="shared" si="771"/>
        <v>54080</v>
      </c>
      <c r="BH408" s="393">
        <f t="shared" si="771"/>
        <v>47180</v>
      </c>
      <c r="BI408" s="823">
        <f t="shared" si="771"/>
        <v>200949</v>
      </c>
      <c r="BJ408" s="393">
        <f t="shared" si="771"/>
        <v>48716</v>
      </c>
      <c r="BK408" s="393">
        <f t="shared" ref="BK408:BP408" si="772">SUM(BK405:BK407)</f>
        <v>51181</v>
      </c>
      <c r="BL408" s="393">
        <f t="shared" si="772"/>
        <v>50669</v>
      </c>
      <c r="BM408" s="393">
        <f t="shared" si="772"/>
        <v>52226</v>
      </c>
      <c r="BN408" s="823">
        <f t="shared" si="772"/>
        <v>202792</v>
      </c>
      <c r="BO408" s="393">
        <f t="shared" si="772"/>
        <v>47610</v>
      </c>
      <c r="BP408" s="393">
        <f t="shared" si="772"/>
        <v>44822</v>
      </c>
      <c r="BQ408" s="393">
        <f>SUM(BQ405:BQ407)</f>
        <v>49726</v>
      </c>
      <c r="BR408" s="393">
        <f>SUM(BR405:BR407)</f>
        <v>46873</v>
      </c>
      <c r="BS408" s="823">
        <f>SUM(BS405:BS407)</f>
        <v>189031</v>
      </c>
      <c r="BT408" s="641">
        <f>SUM(BT405:BT407)</f>
        <v>48607</v>
      </c>
      <c r="BU408" s="393"/>
      <c r="BV408" s="393"/>
      <c r="BW408" s="393"/>
      <c r="BX408" s="823"/>
      <c r="BY408" s="393"/>
      <c r="BZ408" s="393"/>
      <c r="CA408" s="393"/>
      <c r="CB408" s="393"/>
      <c r="CC408" s="823"/>
      <c r="CD408" s="823"/>
      <c r="CE408" s="823"/>
      <c r="CF408" s="823"/>
      <c r="CG408" s="26"/>
    </row>
    <row r="409" spans="1:85" s="428" customFormat="1" hidden="1" outlineLevel="1" x14ac:dyDescent="0.3">
      <c r="A409" s="43" t="s">
        <v>181</v>
      </c>
      <c r="B409" s="109"/>
      <c r="C409" s="827">
        <v>99653</v>
      </c>
      <c r="D409" s="827">
        <v>116467</v>
      </c>
      <c r="E409" s="827">
        <v>149923</v>
      </c>
      <c r="F409" s="827">
        <v>140766</v>
      </c>
      <c r="G409" s="763">
        <v>32910</v>
      </c>
      <c r="H409" s="763">
        <v>34273</v>
      </c>
      <c r="I409" s="763">
        <v>34822</v>
      </c>
      <c r="J409" s="37">
        <f t="shared" ref="J409:J415" si="773">K409-SUM(G409,H409,I409)</f>
        <v>32691</v>
      </c>
      <c r="K409" s="827">
        <v>134696</v>
      </c>
      <c r="L409" s="763">
        <v>30823</v>
      </c>
      <c r="M409" s="763">
        <v>33844</v>
      </c>
      <c r="N409" s="763">
        <v>30741</v>
      </c>
      <c r="O409" s="37">
        <f t="shared" ref="O409:O415" si="774">P409-SUM(L409,M409,N409)</f>
        <v>24263</v>
      </c>
      <c r="P409" s="827">
        <v>119671</v>
      </c>
      <c r="Q409" s="763">
        <v>17193</v>
      </c>
      <c r="R409" s="763">
        <v>20541</v>
      </c>
      <c r="S409" s="763">
        <v>17447</v>
      </c>
      <c r="T409" s="37">
        <f t="shared" ref="T409:T415" si="775">U409-SUM(Q409,R409,S409)</f>
        <v>14570</v>
      </c>
      <c r="U409" s="827">
        <v>69751</v>
      </c>
      <c r="V409" s="763">
        <v>11225</v>
      </c>
      <c r="W409" s="763">
        <v>15278</v>
      </c>
      <c r="X409" s="763">
        <v>15842</v>
      </c>
      <c r="Y409" s="37">
        <f t="shared" ref="Y409:Y415" si="776">Z409-SUM(V409,W409,X409)</f>
        <v>16976</v>
      </c>
      <c r="Z409" s="827">
        <v>59321</v>
      </c>
      <c r="AA409" s="763">
        <v>17506</v>
      </c>
      <c r="AB409" s="763">
        <v>18325</v>
      </c>
      <c r="AC409" s="763">
        <v>18776</v>
      </c>
      <c r="AD409" s="37">
        <f t="shared" ref="AD409:AD415" si="777">AE409-SUM(AA409,AB409,AC409)</f>
        <v>21158</v>
      </c>
      <c r="AE409" s="827">
        <v>75765</v>
      </c>
      <c r="AF409" s="763">
        <v>21233</v>
      </c>
      <c r="AG409" s="763">
        <v>24744</v>
      </c>
      <c r="AH409" s="763">
        <v>24681</v>
      </c>
      <c r="AI409" s="37">
        <f t="shared" ref="AI409:AI416" si="778">AJ409-SUM(AF409,AG409,AH409)</f>
        <v>23920</v>
      </c>
      <c r="AJ409" s="827">
        <v>94578</v>
      </c>
      <c r="AK409" s="763">
        <v>19703</v>
      </c>
      <c r="AL409" s="763">
        <v>20835</v>
      </c>
      <c r="AM409" s="763">
        <v>19882</v>
      </c>
      <c r="AN409" s="37">
        <f t="shared" ref="AN409:AN416" si="779">AO409-SUM(AK409,AL409,AM409)</f>
        <v>19693</v>
      </c>
      <c r="AO409" s="827">
        <v>80113</v>
      </c>
      <c r="AP409" s="763">
        <v>15509</v>
      </c>
      <c r="AQ409" s="763">
        <v>8144</v>
      </c>
      <c r="AR409" s="763">
        <v>13448</v>
      </c>
      <c r="AS409" s="37">
        <f t="shared" ref="AS409:AS416" si="780">AT409-SUM(AP409,AQ409,AR409)</f>
        <v>13387</v>
      </c>
      <c r="AT409" s="827">
        <v>50488</v>
      </c>
      <c r="AU409" s="763">
        <v>17568</v>
      </c>
      <c r="AV409" s="763">
        <v>20629</v>
      </c>
      <c r="AW409" s="763">
        <v>23834</v>
      </c>
      <c r="AX409" s="37">
        <f t="shared" ref="AX409:AX416" si="781">AY409-SUM(AU409,AV409,AW409)</f>
        <v>27341</v>
      </c>
      <c r="AY409" s="827">
        <v>89372</v>
      </c>
      <c r="AZ409" s="763">
        <v>32649</v>
      </c>
      <c r="BA409" s="763">
        <v>40003</v>
      </c>
      <c r="BB409" s="763">
        <v>38090</v>
      </c>
      <c r="BC409" s="37">
        <f>BD409-SUM(AZ409,BA409,BB409)</f>
        <v>34674</v>
      </c>
      <c r="BD409" s="827">
        <v>145416</v>
      </c>
      <c r="BE409" s="763">
        <v>29407</v>
      </c>
      <c r="BF409" s="763">
        <v>28984</v>
      </c>
      <c r="BG409" s="763">
        <v>32328</v>
      </c>
      <c r="BH409" s="37">
        <f>BI409-SUM(BE409,BF409,BG409)</f>
        <v>28477</v>
      </c>
      <c r="BI409" s="827">
        <v>119196</v>
      </c>
      <c r="BJ409" s="763">
        <v>27741</v>
      </c>
      <c r="BK409" s="763">
        <v>30867</v>
      </c>
      <c r="BL409" s="763">
        <v>30450</v>
      </c>
      <c r="BM409" s="37">
        <f>BN409-SUM(BJ409,BK409,BL409)</f>
        <v>30148</v>
      </c>
      <c r="BN409" s="827">
        <v>119206</v>
      </c>
      <c r="BO409" s="763">
        <v>28610</v>
      </c>
      <c r="BP409" s="763">
        <v>26858</v>
      </c>
      <c r="BQ409" s="763">
        <v>27398</v>
      </c>
      <c r="BR409" s="37">
        <f>BS409-SUM(BO409,BP409,BQ409)</f>
        <v>25348</v>
      </c>
      <c r="BS409" s="827">
        <v>108214</v>
      </c>
      <c r="BT409" s="764">
        <v>28265</v>
      </c>
      <c r="BU409" s="37"/>
      <c r="BV409" s="37"/>
      <c r="BW409" s="37"/>
      <c r="BX409" s="821"/>
      <c r="BY409" s="37"/>
      <c r="BZ409" s="37"/>
      <c r="CA409" s="37"/>
      <c r="CB409" s="37"/>
      <c r="CC409" s="821"/>
      <c r="CD409" s="821"/>
      <c r="CE409" s="821"/>
      <c r="CF409" s="821"/>
      <c r="CG409" s="22"/>
    </row>
    <row r="410" spans="1:85" s="428" customFormat="1" hidden="1" outlineLevel="1" x14ac:dyDescent="0.3">
      <c r="A410" s="43" t="s">
        <v>182</v>
      </c>
      <c r="B410" s="109"/>
      <c r="C410" s="827">
        <v>17857</v>
      </c>
      <c r="D410" s="827">
        <v>19188</v>
      </c>
      <c r="E410" s="827">
        <v>21649</v>
      </c>
      <c r="F410" s="827">
        <v>22570</v>
      </c>
      <c r="G410" s="763">
        <v>5762</v>
      </c>
      <c r="H410" s="763">
        <v>6278</v>
      </c>
      <c r="I410" s="763">
        <v>6066</v>
      </c>
      <c r="J410" s="37">
        <f t="shared" si="773"/>
        <v>6521</v>
      </c>
      <c r="K410" s="827">
        <v>24627</v>
      </c>
      <c r="L410" s="763">
        <v>6023</v>
      </c>
      <c r="M410" s="763">
        <v>6287</v>
      </c>
      <c r="N410" s="763">
        <v>6403</v>
      </c>
      <c r="O410" s="37">
        <f t="shared" si="774"/>
        <v>6572</v>
      </c>
      <c r="P410" s="827">
        <v>25285</v>
      </c>
      <c r="Q410" s="763">
        <v>5395</v>
      </c>
      <c r="R410" s="763">
        <v>6077</v>
      </c>
      <c r="S410" s="763">
        <v>5592</v>
      </c>
      <c r="T410" s="37">
        <f t="shared" si="775"/>
        <v>5970</v>
      </c>
      <c r="U410" s="827">
        <v>23034</v>
      </c>
      <c r="V410" s="763">
        <v>5404</v>
      </c>
      <c r="W410" s="763">
        <v>5054</v>
      </c>
      <c r="X410" s="763">
        <v>4666</v>
      </c>
      <c r="Y410" s="37">
        <f t="shared" si="776"/>
        <v>5144</v>
      </c>
      <c r="Z410" s="827">
        <v>20268</v>
      </c>
      <c r="AA410" s="763">
        <v>4656</v>
      </c>
      <c r="AB410" s="763">
        <v>4662</v>
      </c>
      <c r="AC410" s="763">
        <v>4937</v>
      </c>
      <c r="AD410" s="37">
        <f t="shared" si="777"/>
        <v>5182</v>
      </c>
      <c r="AE410" s="827">
        <v>19437</v>
      </c>
      <c r="AF410" s="763">
        <v>4701</v>
      </c>
      <c r="AG410" s="763">
        <v>5213</v>
      </c>
      <c r="AH410" s="763">
        <v>4985</v>
      </c>
      <c r="AI410" s="37">
        <f t="shared" si="778"/>
        <v>5645</v>
      </c>
      <c r="AJ410" s="827">
        <v>20544</v>
      </c>
      <c r="AK410" s="763">
        <v>4886</v>
      </c>
      <c r="AL410" s="763">
        <v>5187</v>
      </c>
      <c r="AM410" s="763">
        <v>5325</v>
      </c>
      <c r="AN410" s="37">
        <f t="shared" si="779"/>
        <v>5987</v>
      </c>
      <c r="AO410" s="827">
        <v>21385</v>
      </c>
      <c r="AP410" s="763">
        <v>5291</v>
      </c>
      <c r="AQ410" s="763">
        <v>5530</v>
      </c>
      <c r="AR410" s="763">
        <v>4604</v>
      </c>
      <c r="AS410" s="37">
        <f t="shared" si="780"/>
        <v>4898</v>
      </c>
      <c r="AT410" s="827">
        <v>20323</v>
      </c>
      <c r="AU410" s="763">
        <v>4967</v>
      </c>
      <c r="AV410" s="763">
        <v>4899</v>
      </c>
      <c r="AW410" s="763">
        <v>5353</v>
      </c>
      <c r="AX410" s="37">
        <f t="shared" si="781"/>
        <v>5507</v>
      </c>
      <c r="AY410" s="827">
        <v>20726</v>
      </c>
      <c r="AZ410" s="763">
        <v>5638</v>
      </c>
      <c r="BA410" s="763">
        <v>6318</v>
      </c>
      <c r="BB410" s="763">
        <v>6357</v>
      </c>
      <c r="BC410" s="37">
        <f>BD410-SUM(AZ410,BA410,BB410)</f>
        <v>6401</v>
      </c>
      <c r="BD410" s="827">
        <v>24714</v>
      </c>
      <c r="BE410" s="763">
        <v>6021</v>
      </c>
      <c r="BF410" s="763">
        <v>6057</v>
      </c>
      <c r="BG410" s="763">
        <v>6299</v>
      </c>
      <c r="BH410" s="37">
        <f>BI410-SUM(BE410,BF410,BG410)</f>
        <v>6510</v>
      </c>
      <c r="BI410" s="827">
        <v>24887</v>
      </c>
      <c r="BJ410" s="763">
        <v>6533</v>
      </c>
      <c r="BK410" s="763">
        <v>6614</v>
      </c>
      <c r="BL410" s="763">
        <v>6695</v>
      </c>
      <c r="BM410" s="37">
        <f>BN410-SUM(BJ410,BK410,BL410)</f>
        <v>7622</v>
      </c>
      <c r="BN410" s="827">
        <v>27464</v>
      </c>
      <c r="BO410" s="763">
        <v>6408</v>
      </c>
      <c r="BP410" s="763">
        <v>6674</v>
      </c>
      <c r="BQ410" s="763">
        <v>7534</v>
      </c>
      <c r="BR410" s="37">
        <f>BS410-SUM(BO410,BP410,BQ410)</f>
        <v>7389</v>
      </c>
      <c r="BS410" s="827">
        <v>28005</v>
      </c>
      <c r="BT410" s="764">
        <v>7676</v>
      </c>
      <c r="BU410" s="37"/>
      <c r="BV410" s="37"/>
      <c r="BW410" s="37"/>
      <c r="BX410" s="821"/>
      <c r="BY410" s="37"/>
      <c r="BZ410" s="37"/>
      <c r="CA410" s="37"/>
      <c r="CB410" s="37"/>
      <c r="CC410" s="821"/>
      <c r="CD410" s="821"/>
      <c r="CE410" s="821"/>
      <c r="CF410" s="821"/>
      <c r="CG410" s="22"/>
    </row>
    <row r="411" spans="1:85" s="428" customFormat="1" hidden="1" outlineLevel="1" x14ac:dyDescent="0.3">
      <c r="A411" s="43" t="s">
        <v>183</v>
      </c>
      <c r="B411" s="109"/>
      <c r="C411" s="827">
        <v>4527</v>
      </c>
      <c r="D411" s="827">
        <v>4767</v>
      </c>
      <c r="E411" s="827">
        <v>4745</v>
      </c>
      <c r="F411" s="827">
        <v>4724</v>
      </c>
      <c r="G411" s="763">
        <v>998</v>
      </c>
      <c r="H411" s="763">
        <v>1139</v>
      </c>
      <c r="I411" s="763">
        <v>1197</v>
      </c>
      <c r="J411" s="37">
        <f t="shared" si="773"/>
        <v>1176</v>
      </c>
      <c r="K411" s="827">
        <v>4510</v>
      </c>
      <c r="L411" s="763">
        <v>927</v>
      </c>
      <c r="M411" s="763">
        <v>1077</v>
      </c>
      <c r="N411" s="763">
        <v>1122</v>
      </c>
      <c r="O411" s="37">
        <f t="shared" si="774"/>
        <v>1368</v>
      </c>
      <c r="P411" s="827">
        <v>4494</v>
      </c>
      <c r="Q411" s="763">
        <v>944</v>
      </c>
      <c r="R411" s="763">
        <v>1170</v>
      </c>
      <c r="S411" s="763">
        <v>1026</v>
      </c>
      <c r="T411" s="37">
        <f t="shared" si="775"/>
        <v>1303</v>
      </c>
      <c r="U411" s="827">
        <v>4443</v>
      </c>
      <c r="V411" s="763">
        <v>998</v>
      </c>
      <c r="W411" s="763">
        <v>1033</v>
      </c>
      <c r="X411" s="763">
        <v>1109</v>
      </c>
      <c r="Y411" s="37">
        <f t="shared" si="776"/>
        <v>1544</v>
      </c>
      <c r="Z411" s="827">
        <v>4684</v>
      </c>
      <c r="AA411" s="763">
        <v>870</v>
      </c>
      <c r="AB411" s="763">
        <v>991</v>
      </c>
      <c r="AC411" s="763">
        <v>1238</v>
      </c>
      <c r="AD411" s="37">
        <f t="shared" si="777"/>
        <v>1349</v>
      </c>
      <c r="AE411" s="827">
        <v>4448</v>
      </c>
      <c r="AF411" s="763">
        <v>723</v>
      </c>
      <c r="AG411" s="763">
        <v>1017</v>
      </c>
      <c r="AH411" s="763">
        <v>1018</v>
      </c>
      <c r="AI411" s="37">
        <f t="shared" si="778"/>
        <v>1080</v>
      </c>
      <c r="AJ411" s="827">
        <v>3838</v>
      </c>
      <c r="AK411" s="763">
        <v>984</v>
      </c>
      <c r="AL411" s="763">
        <v>1076</v>
      </c>
      <c r="AM411" s="763">
        <v>954</v>
      </c>
      <c r="AN411" s="37">
        <f t="shared" si="779"/>
        <v>1129</v>
      </c>
      <c r="AO411" s="827">
        <v>4143</v>
      </c>
      <c r="AP411" s="763">
        <v>683</v>
      </c>
      <c r="AQ411" s="763">
        <v>1569</v>
      </c>
      <c r="AR411" s="763">
        <v>832</v>
      </c>
      <c r="AS411" s="37">
        <f t="shared" si="780"/>
        <v>1129</v>
      </c>
      <c r="AT411" s="827">
        <v>4213</v>
      </c>
      <c r="AU411" s="763">
        <v>990</v>
      </c>
      <c r="AV411" s="763">
        <v>1096</v>
      </c>
      <c r="AW411" s="763">
        <v>657</v>
      </c>
      <c r="AX411" s="37">
        <f t="shared" si="781"/>
        <v>1271</v>
      </c>
      <c r="AY411" s="827">
        <v>4014</v>
      </c>
      <c r="AZ411" s="763">
        <v>967</v>
      </c>
      <c r="BA411" s="763">
        <v>863</v>
      </c>
      <c r="BB411" s="763">
        <v>1028</v>
      </c>
      <c r="BC411" s="37">
        <f>BD411-SUM(AZ411,BA411,BB411)</f>
        <v>1454</v>
      </c>
      <c r="BD411" s="827">
        <v>4312</v>
      </c>
      <c r="BE411" s="763">
        <v>881</v>
      </c>
      <c r="BF411" s="763">
        <v>1128</v>
      </c>
      <c r="BG411" s="763">
        <v>1163</v>
      </c>
      <c r="BH411" s="37">
        <f>BI411-SUM(BE411,BF411,BG411)</f>
        <v>969</v>
      </c>
      <c r="BI411" s="827">
        <v>4141</v>
      </c>
      <c r="BJ411" s="763">
        <v>1010</v>
      </c>
      <c r="BK411" s="763">
        <v>1048</v>
      </c>
      <c r="BL411" s="763">
        <v>1191</v>
      </c>
      <c r="BM411" s="37">
        <f>BN411-SUM(BJ411,BK411,BL411)</f>
        <v>1585</v>
      </c>
      <c r="BN411" s="827">
        <v>4834</v>
      </c>
      <c r="BO411" s="763">
        <v>1221</v>
      </c>
      <c r="BP411" s="763">
        <v>889</v>
      </c>
      <c r="BQ411" s="763">
        <v>1524</v>
      </c>
      <c r="BR411" s="37">
        <f>BS411-SUM(BO411,BP411,BQ411)</f>
        <v>1492</v>
      </c>
      <c r="BS411" s="827">
        <v>5126</v>
      </c>
      <c r="BT411" s="764">
        <v>1066</v>
      </c>
      <c r="BU411" s="37"/>
      <c r="BV411" s="37"/>
      <c r="BW411" s="37"/>
      <c r="BX411" s="821"/>
      <c r="BY411" s="37"/>
      <c r="BZ411" s="37"/>
      <c r="CA411" s="37"/>
      <c r="CB411" s="37"/>
      <c r="CC411" s="821"/>
      <c r="CD411" s="821"/>
      <c r="CE411" s="821"/>
      <c r="CF411" s="821"/>
      <c r="CG411" s="22"/>
    </row>
    <row r="412" spans="1:85" s="428" customFormat="1" hidden="1" outlineLevel="1" x14ac:dyDescent="0.3">
      <c r="A412" s="43" t="s">
        <v>184</v>
      </c>
      <c r="B412" s="109"/>
      <c r="C412" s="827">
        <v>1342</v>
      </c>
      <c r="D412" s="827">
        <v>1147</v>
      </c>
      <c r="E412" s="827">
        <v>1216</v>
      </c>
      <c r="F412" s="827">
        <v>1728</v>
      </c>
      <c r="G412" s="763">
        <v>247</v>
      </c>
      <c r="H412" s="763">
        <v>329</v>
      </c>
      <c r="I412" s="763">
        <v>559</v>
      </c>
      <c r="J412" s="37">
        <f t="shared" si="773"/>
        <v>726</v>
      </c>
      <c r="K412" s="827">
        <v>1861</v>
      </c>
      <c r="L412" s="763">
        <v>415</v>
      </c>
      <c r="M412" s="763">
        <v>694</v>
      </c>
      <c r="N412" s="763">
        <v>366</v>
      </c>
      <c r="O412" s="37">
        <f t="shared" si="774"/>
        <v>510</v>
      </c>
      <c r="P412" s="827">
        <v>1985</v>
      </c>
      <c r="Q412" s="763">
        <v>592</v>
      </c>
      <c r="R412" s="763">
        <v>1075</v>
      </c>
      <c r="S412" s="763">
        <v>315</v>
      </c>
      <c r="T412" s="37">
        <f t="shared" si="775"/>
        <v>1358</v>
      </c>
      <c r="U412" s="827">
        <v>3340</v>
      </c>
      <c r="V412" s="763">
        <v>370</v>
      </c>
      <c r="W412" s="763">
        <v>214</v>
      </c>
      <c r="X412" s="763">
        <v>258</v>
      </c>
      <c r="Y412" s="37">
        <f t="shared" si="776"/>
        <v>191</v>
      </c>
      <c r="Z412" s="827">
        <v>1033</v>
      </c>
      <c r="AA412" s="763">
        <v>144</v>
      </c>
      <c r="AB412" s="763">
        <v>125</v>
      </c>
      <c r="AC412" s="763">
        <v>239</v>
      </c>
      <c r="AD412" s="37">
        <f t="shared" si="777"/>
        <v>356</v>
      </c>
      <c r="AE412" s="827">
        <v>864</v>
      </c>
      <c r="AF412" s="763">
        <v>158</v>
      </c>
      <c r="AG412" s="763">
        <v>177</v>
      </c>
      <c r="AH412" s="763">
        <v>625</v>
      </c>
      <c r="AI412" s="37">
        <f t="shared" si="778"/>
        <v>250</v>
      </c>
      <c r="AJ412" s="827">
        <v>1210</v>
      </c>
      <c r="AK412" s="763">
        <v>189</v>
      </c>
      <c r="AL412" s="763">
        <v>141</v>
      </c>
      <c r="AM412" s="763">
        <v>168</v>
      </c>
      <c r="AN412" s="37">
        <f t="shared" si="779"/>
        <v>272</v>
      </c>
      <c r="AO412" s="827">
        <v>770</v>
      </c>
      <c r="AP412" s="763">
        <v>158</v>
      </c>
      <c r="AQ412" s="763">
        <v>895</v>
      </c>
      <c r="AR412" s="763">
        <v>117</v>
      </c>
      <c r="AS412" s="37">
        <f t="shared" si="780"/>
        <v>367</v>
      </c>
      <c r="AT412" s="827">
        <v>1537</v>
      </c>
      <c r="AU412" s="763">
        <v>86</v>
      </c>
      <c r="AV412" s="763">
        <v>113</v>
      </c>
      <c r="AW412" s="763">
        <v>158</v>
      </c>
      <c r="AX412" s="37">
        <f t="shared" si="781"/>
        <v>192</v>
      </c>
      <c r="AY412" s="827">
        <v>549</v>
      </c>
      <c r="AZ412" s="763">
        <v>209</v>
      </c>
      <c r="BA412" s="763">
        <v>196</v>
      </c>
      <c r="BB412" s="763">
        <v>116</v>
      </c>
      <c r="BC412" s="763">
        <v>453</v>
      </c>
      <c r="BD412" s="827">
        <v>974</v>
      </c>
      <c r="BE412" s="763">
        <v>190</v>
      </c>
      <c r="BF412" s="763">
        <v>169</v>
      </c>
      <c r="BG412" s="763">
        <v>301</v>
      </c>
      <c r="BH412" s="763">
        <v>254</v>
      </c>
      <c r="BI412" s="827">
        <v>914</v>
      </c>
      <c r="BJ412" s="763">
        <v>129</v>
      </c>
      <c r="BK412" s="763">
        <v>263</v>
      </c>
      <c r="BL412" s="763">
        <v>154</v>
      </c>
      <c r="BM412" s="763">
        <v>449</v>
      </c>
      <c r="BN412" s="827">
        <v>995</v>
      </c>
      <c r="BO412" s="763">
        <v>187</v>
      </c>
      <c r="BP412" s="763">
        <v>252</v>
      </c>
      <c r="BQ412" s="763">
        <v>288</v>
      </c>
      <c r="BR412" s="763">
        <v>324</v>
      </c>
      <c r="BS412" s="827">
        <v>1051</v>
      </c>
      <c r="BT412" s="764">
        <v>205</v>
      </c>
      <c r="BU412" s="37"/>
      <c r="BV412" s="37"/>
      <c r="BW412" s="37"/>
      <c r="BX412" s="821"/>
      <c r="BY412" s="37"/>
      <c r="BZ412" s="37"/>
      <c r="CA412" s="37"/>
      <c r="CB412" s="37"/>
      <c r="CC412" s="821"/>
      <c r="CD412" s="821"/>
      <c r="CE412" s="821"/>
      <c r="CF412" s="821"/>
      <c r="CG412" s="22"/>
    </row>
    <row r="413" spans="1:85" s="428" customFormat="1" hidden="1" outlineLevel="1" x14ac:dyDescent="0.3">
      <c r="A413" s="43" t="s">
        <v>185</v>
      </c>
      <c r="B413" s="109"/>
      <c r="C413" s="827">
        <v>12110</v>
      </c>
      <c r="D413" s="827">
        <v>13063</v>
      </c>
      <c r="E413" s="827">
        <v>12911</v>
      </c>
      <c r="F413" s="827">
        <v>13413</v>
      </c>
      <c r="G413" s="763">
        <v>3481</v>
      </c>
      <c r="H413" s="763">
        <v>3412</v>
      </c>
      <c r="I413" s="763">
        <v>3658</v>
      </c>
      <c r="J413" s="37">
        <f t="shared" si="773"/>
        <v>3635</v>
      </c>
      <c r="K413" s="827">
        <v>14186</v>
      </c>
      <c r="L413" s="763">
        <v>4130</v>
      </c>
      <c r="M413" s="763">
        <v>3842</v>
      </c>
      <c r="N413" s="763">
        <v>3948</v>
      </c>
      <c r="O413" s="37">
        <f t="shared" si="774"/>
        <v>4873</v>
      </c>
      <c r="P413" s="827">
        <v>16793</v>
      </c>
      <c r="Q413" s="763">
        <v>4411</v>
      </c>
      <c r="R413" s="763">
        <v>6958</v>
      </c>
      <c r="S413" s="763">
        <v>4268</v>
      </c>
      <c r="T413" s="37">
        <f t="shared" si="775"/>
        <v>5400</v>
      </c>
      <c r="U413" s="827">
        <v>21037</v>
      </c>
      <c r="V413" s="763">
        <v>4403</v>
      </c>
      <c r="W413" s="763">
        <v>6721</v>
      </c>
      <c r="X413" s="763">
        <v>4130</v>
      </c>
      <c r="Y413" s="37">
        <f t="shared" si="776"/>
        <v>4203</v>
      </c>
      <c r="Z413" s="827">
        <v>19457</v>
      </c>
      <c r="AA413" s="763">
        <v>4194</v>
      </c>
      <c r="AB413" s="763">
        <v>5311</v>
      </c>
      <c r="AC413" s="763">
        <v>5109</v>
      </c>
      <c r="AD413" s="37">
        <f t="shared" si="777"/>
        <v>4735</v>
      </c>
      <c r="AE413" s="827">
        <v>19349</v>
      </c>
      <c r="AF413" s="763">
        <v>4289</v>
      </c>
      <c r="AG413" s="763">
        <v>4498</v>
      </c>
      <c r="AH413" s="763">
        <v>5380</v>
      </c>
      <c r="AI413" s="37">
        <f t="shared" si="778"/>
        <v>5252</v>
      </c>
      <c r="AJ413" s="827">
        <v>19419</v>
      </c>
      <c r="AK413" s="763">
        <v>4094</v>
      </c>
      <c r="AL413" s="763">
        <v>4334</v>
      </c>
      <c r="AM413" s="763">
        <v>4361</v>
      </c>
      <c r="AN413" s="37">
        <f t="shared" si="779"/>
        <v>16429</v>
      </c>
      <c r="AO413" s="827">
        <v>29218</v>
      </c>
      <c r="AP413" s="763">
        <v>4288</v>
      </c>
      <c r="AQ413" s="763">
        <v>6717</v>
      </c>
      <c r="AR413" s="763">
        <v>4017</v>
      </c>
      <c r="AS413" s="37">
        <f t="shared" si="780"/>
        <v>4486</v>
      </c>
      <c r="AT413" s="827">
        <v>19508</v>
      </c>
      <c r="AU413" s="763">
        <v>4286</v>
      </c>
      <c r="AV413" s="763">
        <v>4522</v>
      </c>
      <c r="AW413" s="763">
        <v>4304</v>
      </c>
      <c r="AX413" s="37">
        <f t="shared" si="781"/>
        <v>4813</v>
      </c>
      <c r="AY413" s="827">
        <v>17925</v>
      </c>
      <c r="AZ413" s="763">
        <v>3654</v>
      </c>
      <c r="BA413" s="763">
        <v>3700</v>
      </c>
      <c r="BB413" s="763">
        <v>4201</v>
      </c>
      <c r="BC413" s="763">
        <v>4764</v>
      </c>
      <c r="BD413" s="827">
        <v>16319</v>
      </c>
      <c r="BE413" s="763">
        <v>3526</v>
      </c>
      <c r="BF413" s="763">
        <v>3521</v>
      </c>
      <c r="BG413" s="763">
        <v>4025</v>
      </c>
      <c r="BH413" s="763">
        <v>6254</v>
      </c>
      <c r="BI413" s="827">
        <v>17326</v>
      </c>
      <c r="BJ413" s="763">
        <v>4091</v>
      </c>
      <c r="BK413" s="763">
        <v>4004</v>
      </c>
      <c r="BL413" s="763">
        <v>4214</v>
      </c>
      <c r="BM413" s="763">
        <v>4973</v>
      </c>
      <c r="BN413" s="827">
        <v>17282</v>
      </c>
      <c r="BO413" s="763">
        <v>4123</v>
      </c>
      <c r="BP413" s="763">
        <v>4344</v>
      </c>
      <c r="BQ413" s="763">
        <v>5781</v>
      </c>
      <c r="BR413" s="763">
        <v>5884</v>
      </c>
      <c r="BS413" s="827">
        <v>20132</v>
      </c>
      <c r="BT413" s="764">
        <v>5808</v>
      </c>
      <c r="BU413" s="37"/>
      <c r="BV413" s="37"/>
      <c r="BW413" s="37"/>
      <c r="BX413" s="821"/>
      <c r="BY413" s="37"/>
      <c r="BZ413" s="37"/>
      <c r="CA413" s="37"/>
      <c r="CB413" s="37"/>
      <c r="CC413" s="821"/>
      <c r="CD413" s="821"/>
      <c r="CE413" s="821"/>
      <c r="CF413" s="821"/>
      <c r="CG413" s="22"/>
    </row>
    <row r="414" spans="1:85" s="428" customFormat="1" hidden="1" outlineLevel="1" x14ac:dyDescent="0.3">
      <c r="A414" s="43" t="s">
        <v>186</v>
      </c>
      <c r="B414" s="109"/>
      <c r="C414" s="827">
        <v>17591</v>
      </c>
      <c r="D414" s="827">
        <v>18191</v>
      </c>
      <c r="E414" s="827">
        <v>15628</v>
      </c>
      <c r="F414" s="827">
        <v>12376</v>
      </c>
      <c r="G414" s="763">
        <v>3137</v>
      </c>
      <c r="H414" s="763">
        <v>3349</v>
      </c>
      <c r="I414" s="763">
        <v>3366</v>
      </c>
      <c r="J414" s="37">
        <f t="shared" si="773"/>
        <v>3211</v>
      </c>
      <c r="K414" s="827">
        <v>13063</v>
      </c>
      <c r="L414" s="763">
        <v>3019</v>
      </c>
      <c r="M414" s="763">
        <v>3167</v>
      </c>
      <c r="N414" s="763">
        <v>3236</v>
      </c>
      <c r="O414" s="37">
        <f t="shared" si="774"/>
        <v>3118</v>
      </c>
      <c r="P414" s="827">
        <v>12540</v>
      </c>
      <c r="Q414" s="763">
        <v>3118</v>
      </c>
      <c r="R414" s="763">
        <v>3173</v>
      </c>
      <c r="S414" s="763">
        <v>2883</v>
      </c>
      <c r="T414" s="37">
        <f t="shared" si="775"/>
        <v>2856</v>
      </c>
      <c r="U414" s="827">
        <v>12030</v>
      </c>
      <c r="V414" s="763">
        <v>2864</v>
      </c>
      <c r="W414" s="763">
        <v>2973</v>
      </c>
      <c r="X414" s="763">
        <v>2962</v>
      </c>
      <c r="Y414" s="37">
        <f t="shared" si="776"/>
        <v>2869</v>
      </c>
      <c r="Z414" s="827">
        <v>11668</v>
      </c>
      <c r="AA414" s="763">
        <v>2871</v>
      </c>
      <c r="AB414" s="763">
        <v>3065</v>
      </c>
      <c r="AC414" s="763">
        <v>3213</v>
      </c>
      <c r="AD414" s="37">
        <f t="shared" si="777"/>
        <v>3182</v>
      </c>
      <c r="AE414" s="827">
        <v>12331</v>
      </c>
      <c r="AF414" s="763">
        <v>1344</v>
      </c>
      <c r="AG414" s="763">
        <v>1363</v>
      </c>
      <c r="AH414" s="763">
        <v>1259</v>
      </c>
      <c r="AI414" s="37">
        <f t="shared" si="778"/>
        <v>901</v>
      </c>
      <c r="AJ414" s="827">
        <v>4867</v>
      </c>
      <c r="AK414" s="763">
        <v>1061</v>
      </c>
      <c r="AL414" s="763">
        <v>1047</v>
      </c>
      <c r="AM414" s="763">
        <v>1059</v>
      </c>
      <c r="AN414" s="37">
        <f t="shared" si="779"/>
        <v>969</v>
      </c>
      <c r="AO414" s="827">
        <v>4136</v>
      </c>
      <c r="AP414" s="763">
        <v>1167</v>
      </c>
      <c r="AQ414" s="763">
        <v>965</v>
      </c>
      <c r="AR414" s="763">
        <v>1091</v>
      </c>
      <c r="AS414" s="37">
        <f t="shared" si="780"/>
        <v>1276</v>
      </c>
      <c r="AT414" s="827">
        <v>4499</v>
      </c>
      <c r="AU414" s="763">
        <v>1420</v>
      </c>
      <c r="AV414" s="763">
        <v>1566</v>
      </c>
      <c r="AW414" s="763">
        <v>2075</v>
      </c>
      <c r="AX414" s="37">
        <f t="shared" si="781"/>
        <v>1779</v>
      </c>
      <c r="AY414" s="827">
        <v>6840</v>
      </c>
      <c r="AZ414" s="763">
        <v>2002</v>
      </c>
      <c r="BA414" s="763">
        <v>1563</v>
      </c>
      <c r="BB414" s="763">
        <v>1707</v>
      </c>
      <c r="BC414" s="37">
        <f>BD414-SUM(AZ414,BA414,BB414)</f>
        <v>-1240</v>
      </c>
      <c r="BD414" s="827">
        <v>4032</v>
      </c>
      <c r="BE414" s="763">
        <v>1096</v>
      </c>
      <c r="BF414" s="763">
        <v>1041</v>
      </c>
      <c r="BG414" s="763">
        <v>1021</v>
      </c>
      <c r="BH414" s="37">
        <f>BI414-SUM(BE414,BF414,BG414)</f>
        <v>1062</v>
      </c>
      <c r="BI414" s="827">
        <v>4220</v>
      </c>
      <c r="BJ414" s="763">
        <v>1124</v>
      </c>
      <c r="BK414" s="763">
        <v>1188</v>
      </c>
      <c r="BL414" s="763">
        <v>1263</v>
      </c>
      <c r="BM414" s="37">
        <f>BN414-SUM(BJ414,BK414,BL414)</f>
        <v>1141</v>
      </c>
      <c r="BN414" s="827">
        <v>4716</v>
      </c>
      <c r="BO414" s="763">
        <v>1255</v>
      </c>
      <c r="BP414" s="763">
        <v>1301</v>
      </c>
      <c r="BQ414" s="763">
        <v>1347</v>
      </c>
      <c r="BR414" s="37">
        <f>BS414-SUM(BO414,BP414,BQ414)</f>
        <v>1327</v>
      </c>
      <c r="BS414" s="827">
        <v>5230</v>
      </c>
      <c r="BT414" s="764">
        <v>1314</v>
      </c>
      <c r="BU414" s="37"/>
      <c r="BV414" s="37"/>
      <c r="BW414" s="37"/>
      <c r="BX414" s="821"/>
      <c r="BY414" s="37"/>
      <c r="BZ414" s="37"/>
      <c r="CA414" s="37"/>
      <c r="CB414" s="37"/>
      <c r="CC414" s="821"/>
      <c r="CD414" s="821"/>
      <c r="CE414" s="821"/>
      <c r="CF414" s="821"/>
      <c r="CG414" s="22"/>
    </row>
    <row r="415" spans="1:85" s="428" customFormat="1" hidden="1" outlineLevel="1" x14ac:dyDescent="0.3">
      <c r="A415" s="43" t="s">
        <v>187</v>
      </c>
      <c r="B415" s="109"/>
      <c r="C415" s="827">
        <v>28</v>
      </c>
      <c r="D415" s="827">
        <v>50</v>
      </c>
      <c r="E415" s="821"/>
      <c r="F415" s="821"/>
      <c r="G415" s="37"/>
      <c r="H415" s="37"/>
      <c r="I415" s="37"/>
      <c r="J415" s="37">
        <f t="shared" si="773"/>
        <v>0</v>
      </c>
      <c r="K415" s="821"/>
      <c r="L415" s="37"/>
      <c r="M415" s="37"/>
      <c r="N415" s="37"/>
      <c r="O415" s="37">
        <f t="shared" si="774"/>
        <v>0</v>
      </c>
      <c r="P415" s="821"/>
      <c r="Q415" s="37"/>
      <c r="R415" s="763">
        <v>0</v>
      </c>
      <c r="S415" s="763">
        <v>0</v>
      </c>
      <c r="T415" s="37">
        <f t="shared" si="775"/>
        <v>0</v>
      </c>
      <c r="U415" s="821"/>
      <c r="V415" s="37"/>
      <c r="W415" s="763">
        <v>79</v>
      </c>
      <c r="X415" s="763">
        <v>64</v>
      </c>
      <c r="Y415" s="37">
        <f t="shared" si="776"/>
        <v>58</v>
      </c>
      <c r="Z415" s="827">
        <v>201</v>
      </c>
      <c r="AA415" s="763">
        <v>51</v>
      </c>
      <c r="AB415" s="763">
        <v>48</v>
      </c>
      <c r="AC415" s="763">
        <v>35</v>
      </c>
      <c r="AD415" s="37">
        <f t="shared" si="777"/>
        <v>173</v>
      </c>
      <c r="AE415" s="827">
        <v>307</v>
      </c>
      <c r="AF415" s="763">
        <v>159</v>
      </c>
      <c r="AG415" s="763">
        <v>217</v>
      </c>
      <c r="AH415" s="763">
        <v>182</v>
      </c>
      <c r="AI415" s="37">
        <f t="shared" si="778"/>
        <v>190</v>
      </c>
      <c r="AJ415" s="827">
        <v>748</v>
      </c>
      <c r="AK415" s="763">
        <v>225</v>
      </c>
      <c r="AL415" s="763">
        <v>198</v>
      </c>
      <c r="AM415" s="763">
        <v>197</v>
      </c>
      <c r="AN415" s="37">
        <f t="shared" si="779"/>
        <v>178</v>
      </c>
      <c r="AO415" s="827">
        <v>798</v>
      </c>
      <c r="AP415" s="763">
        <v>162</v>
      </c>
      <c r="AQ415" s="763">
        <v>172</v>
      </c>
      <c r="AR415" s="763">
        <v>164</v>
      </c>
      <c r="AS415" s="37">
        <f t="shared" si="780"/>
        <v>199</v>
      </c>
      <c r="AT415" s="827">
        <v>697</v>
      </c>
      <c r="AU415" s="763">
        <v>198</v>
      </c>
      <c r="AV415" s="763">
        <v>185</v>
      </c>
      <c r="AW415" s="763">
        <v>174</v>
      </c>
      <c r="AX415" s="37">
        <f t="shared" si="781"/>
        <v>155</v>
      </c>
      <c r="AY415" s="827">
        <v>712</v>
      </c>
      <c r="AZ415" s="763">
        <v>136</v>
      </c>
      <c r="BA415" s="763">
        <v>129</v>
      </c>
      <c r="BB415" s="763">
        <v>128</v>
      </c>
      <c r="BC415" s="763">
        <v>123</v>
      </c>
      <c r="BD415" s="827">
        <v>516</v>
      </c>
      <c r="BE415" s="763">
        <v>115</v>
      </c>
      <c r="BF415" s="763">
        <v>120</v>
      </c>
      <c r="BG415" s="763">
        <v>114</v>
      </c>
      <c r="BH415" s="763">
        <v>120</v>
      </c>
      <c r="BI415" s="827">
        <v>469</v>
      </c>
      <c r="BJ415" s="763">
        <v>118</v>
      </c>
      <c r="BK415" s="763">
        <v>113</v>
      </c>
      <c r="BL415" s="763">
        <v>164</v>
      </c>
      <c r="BM415" s="763">
        <v>199</v>
      </c>
      <c r="BN415" s="827">
        <v>594</v>
      </c>
      <c r="BO415" s="763">
        <v>212</v>
      </c>
      <c r="BP415" s="763">
        <v>274</v>
      </c>
      <c r="BQ415" s="763">
        <v>370</v>
      </c>
      <c r="BR415" s="763">
        <v>361</v>
      </c>
      <c r="BS415" s="827">
        <v>1217</v>
      </c>
      <c r="BT415" s="764">
        <v>345</v>
      </c>
      <c r="BU415" s="37"/>
      <c r="BV415" s="37"/>
      <c r="BW415" s="37"/>
      <c r="BX415" s="821"/>
      <c r="BY415" s="37"/>
      <c r="BZ415" s="37"/>
      <c r="CA415" s="37"/>
      <c r="CB415" s="37"/>
      <c r="CC415" s="821"/>
      <c r="CD415" s="821"/>
      <c r="CE415" s="821"/>
      <c r="CF415" s="821"/>
      <c r="CG415" s="22"/>
    </row>
    <row r="416" spans="1:85" s="428" customFormat="1" hidden="1" outlineLevel="1" x14ac:dyDescent="0.3">
      <c r="A416" s="43" t="s">
        <v>188</v>
      </c>
      <c r="B416" s="109"/>
      <c r="C416" s="821"/>
      <c r="D416" s="821"/>
      <c r="E416" s="821"/>
      <c r="F416" s="821"/>
      <c r="G416" s="37"/>
      <c r="H416" s="37"/>
      <c r="I416" s="37"/>
      <c r="J416" s="37"/>
      <c r="K416" s="821"/>
      <c r="L416" s="37"/>
      <c r="M416" s="37"/>
      <c r="N416" s="37"/>
      <c r="O416" s="37"/>
      <c r="P416" s="821"/>
      <c r="Q416" s="37"/>
      <c r="R416" s="37"/>
      <c r="S416" s="37"/>
      <c r="T416" s="37"/>
      <c r="U416" s="821"/>
      <c r="V416" s="37"/>
      <c r="W416" s="37"/>
      <c r="X416" s="37"/>
      <c r="Y416" s="37"/>
      <c r="Z416" s="821"/>
      <c r="AA416" s="37"/>
      <c r="AB416" s="37"/>
      <c r="AC416" s="37"/>
      <c r="AD416" s="37"/>
      <c r="AE416" s="821"/>
      <c r="AF416" s="763">
        <v>84</v>
      </c>
      <c r="AG416" s="763">
        <v>102</v>
      </c>
      <c r="AH416" s="763">
        <v>158</v>
      </c>
      <c r="AI416" s="37">
        <f t="shared" si="778"/>
        <v>216</v>
      </c>
      <c r="AJ416" s="827">
        <v>560</v>
      </c>
      <c r="AK416" s="763">
        <v>101</v>
      </c>
      <c r="AL416" s="763">
        <v>97</v>
      </c>
      <c r="AM416" s="763">
        <v>121</v>
      </c>
      <c r="AN416" s="37">
        <f t="shared" si="779"/>
        <v>98</v>
      </c>
      <c r="AO416" s="827">
        <v>417</v>
      </c>
      <c r="AP416" s="763">
        <v>98</v>
      </c>
      <c r="AQ416" s="763">
        <v>99</v>
      </c>
      <c r="AR416" s="763">
        <v>222</v>
      </c>
      <c r="AS416" s="37">
        <f t="shared" si="780"/>
        <v>461</v>
      </c>
      <c r="AT416" s="827">
        <v>880</v>
      </c>
      <c r="AU416" s="763">
        <v>337</v>
      </c>
      <c r="AV416" s="763">
        <v>165</v>
      </c>
      <c r="AW416" s="763">
        <v>100</v>
      </c>
      <c r="AX416" s="37">
        <f t="shared" si="781"/>
        <v>86</v>
      </c>
      <c r="AY416" s="827">
        <v>688</v>
      </c>
      <c r="AZ416" s="763">
        <v>64</v>
      </c>
      <c r="BA416" s="763">
        <v>-13</v>
      </c>
      <c r="BB416" s="763">
        <v>208</v>
      </c>
      <c r="BC416" s="37">
        <f>BD416-SUM(AZ416,BA416,BB416)</f>
        <v>36</v>
      </c>
      <c r="BD416" s="827">
        <v>295</v>
      </c>
      <c r="BE416" s="763">
        <v>38</v>
      </c>
      <c r="BF416" s="763">
        <v>39</v>
      </c>
      <c r="BG416" s="763">
        <v>91</v>
      </c>
      <c r="BH416" s="37">
        <f>BI416-SUM(BE416,BF416,BG416)</f>
        <v>44</v>
      </c>
      <c r="BI416" s="827">
        <v>212</v>
      </c>
      <c r="BJ416" s="763">
        <v>48</v>
      </c>
      <c r="BK416" s="763">
        <v>48</v>
      </c>
      <c r="BL416" s="763">
        <v>49</v>
      </c>
      <c r="BM416" s="37">
        <f>BN416-SUM(BJ416,BK416,BL416)</f>
        <v>50</v>
      </c>
      <c r="BN416" s="827">
        <v>195</v>
      </c>
      <c r="BO416" s="763">
        <v>11</v>
      </c>
      <c r="BP416" s="763">
        <v>83</v>
      </c>
      <c r="BQ416" s="763">
        <v>70</v>
      </c>
      <c r="BR416" s="37">
        <f>BS416-SUM(BO416,BP416,BQ416)</f>
        <v>149</v>
      </c>
      <c r="BS416" s="827">
        <v>313</v>
      </c>
      <c r="BT416" s="764">
        <v>-18</v>
      </c>
      <c r="BU416" s="37"/>
      <c r="BV416" s="37"/>
      <c r="BW416" s="37"/>
      <c r="BX416" s="821"/>
      <c r="BY416" s="37"/>
      <c r="BZ416" s="37"/>
      <c r="CA416" s="37"/>
      <c r="CB416" s="37"/>
      <c r="CC416" s="821"/>
      <c r="CD416" s="821"/>
      <c r="CE416" s="821"/>
      <c r="CF416" s="821"/>
      <c r="CG416" s="22"/>
    </row>
    <row r="417" spans="1:85" s="429" customFormat="1" hidden="1" outlineLevel="1" x14ac:dyDescent="0.3">
      <c r="A417" s="42" t="s">
        <v>189</v>
      </c>
      <c r="B417" s="99"/>
      <c r="C417" s="823">
        <f t="shared" ref="C417:AH417" si="782">SUM(C409:C416)</f>
        <v>153108</v>
      </c>
      <c r="D417" s="823">
        <f t="shared" si="782"/>
        <v>172873</v>
      </c>
      <c r="E417" s="823">
        <f t="shared" si="782"/>
        <v>206072</v>
      </c>
      <c r="F417" s="823">
        <f t="shared" si="782"/>
        <v>195577</v>
      </c>
      <c r="G417" s="393">
        <f t="shared" si="782"/>
        <v>46535</v>
      </c>
      <c r="H417" s="393">
        <f t="shared" si="782"/>
        <v>48780</v>
      </c>
      <c r="I417" s="393">
        <f t="shared" si="782"/>
        <v>49668</v>
      </c>
      <c r="J417" s="393">
        <f t="shared" si="782"/>
        <v>47960</v>
      </c>
      <c r="K417" s="823">
        <f t="shared" si="782"/>
        <v>192943</v>
      </c>
      <c r="L417" s="393">
        <f t="shared" si="782"/>
        <v>45337</v>
      </c>
      <c r="M417" s="393">
        <f t="shared" si="782"/>
        <v>48911</v>
      </c>
      <c r="N417" s="393">
        <f t="shared" si="782"/>
        <v>45816</v>
      </c>
      <c r="O417" s="393">
        <f t="shared" si="782"/>
        <v>40704</v>
      </c>
      <c r="P417" s="823">
        <f t="shared" si="782"/>
        <v>180768</v>
      </c>
      <c r="Q417" s="393">
        <f t="shared" si="782"/>
        <v>31653</v>
      </c>
      <c r="R417" s="393">
        <f t="shared" si="782"/>
        <v>38994</v>
      </c>
      <c r="S417" s="393">
        <f t="shared" si="782"/>
        <v>31531</v>
      </c>
      <c r="T417" s="393">
        <f t="shared" si="782"/>
        <v>31457</v>
      </c>
      <c r="U417" s="823">
        <f t="shared" si="782"/>
        <v>133635</v>
      </c>
      <c r="V417" s="393">
        <f t="shared" si="782"/>
        <v>25264</v>
      </c>
      <c r="W417" s="393">
        <f t="shared" si="782"/>
        <v>31352</v>
      </c>
      <c r="X417" s="393">
        <f t="shared" si="782"/>
        <v>29031</v>
      </c>
      <c r="Y417" s="393">
        <f t="shared" si="782"/>
        <v>30985</v>
      </c>
      <c r="Z417" s="823">
        <f t="shared" si="782"/>
        <v>116632</v>
      </c>
      <c r="AA417" s="393">
        <f t="shared" si="782"/>
        <v>30292</v>
      </c>
      <c r="AB417" s="393">
        <f t="shared" si="782"/>
        <v>32527</v>
      </c>
      <c r="AC417" s="393">
        <f t="shared" si="782"/>
        <v>33547</v>
      </c>
      <c r="AD417" s="393">
        <f t="shared" si="782"/>
        <v>36135</v>
      </c>
      <c r="AE417" s="823">
        <f t="shared" si="782"/>
        <v>132501</v>
      </c>
      <c r="AF417" s="393">
        <f t="shared" si="782"/>
        <v>32691</v>
      </c>
      <c r="AG417" s="393">
        <f t="shared" si="782"/>
        <v>37331</v>
      </c>
      <c r="AH417" s="393">
        <f t="shared" si="782"/>
        <v>38288</v>
      </c>
      <c r="AI417" s="393">
        <f t="shared" ref="AI417:AQ417" si="783">SUM(AI409:AI416)</f>
        <v>37454</v>
      </c>
      <c r="AJ417" s="823">
        <f t="shared" si="783"/>
        <v>145764</v>
      </c>
      <c r="AK417" s="393">
        <f t="shared" si="783"/>
        <v>31243</v>
      </c>
      <c r="AL417" s="393">
        <f t="shared" si="783"/>
        <v>32915</v>
      </c>
      <c r="AM417" s="393">
        <f t="shared" si="783"/>
        <v>32067</v>
      </c>
      <c r="AN417" s="393">
        <f t="shared" si="783"/>
        <v>44755</v>
      </c>
      <c r="AO417" s="823">
        <f t="shared" si="783"/>
        <v>140980</v>
      </c>
      <c r="AP417" s="393">
        <f t="shared" si="783"/>
        <v>27356</v>
      </c>
      <c r="AQ417" s="393">
        <f t="shared" si="783"/>
        <v>24091</v>
      </c>
      <c r="AR417" s="393">
        <f>SUM(AR409:AR416)</f>
        <v>24495</v>
      </c>
      <c r="AS417" s="393">
        <f t="shared" ref="AS417:AU417" si="784">SUM(AS409:AS416)</f>
        <v>26203</v>
      </c>
      <c r="AT417" s="823">
        <f t="shared" si="784"/>
        <v>102145</v>
      </c>
      <c r="AU417" s="393">
        <f t="shared" si="784"/>
        <v>29852</v>
      </c>
      <c r="AV417" s="393">
        <f t="shared" ref="AV417:BA417" si="785">SUM(AV409:AV416)</f>
        <v>33175</v>
      </c>
      <c r="AW417" s="393">
        <f t="shared" si="785"/>
        <v>36655</v>
      </c>
      <c r="AX417" s="393">
        <f t="shared" si="785"/>
        <v>41144</v>
      </c>
      <c r="AY417" s="823">
        <f t="shared" si="785"/>
        <v>140826</v>
      </c>
      <c r="AZ417" s="393">
        <f t="shared" si="785"/>
        <v>45319</v>
      </c>
      <c r="BA417" s="393">
        <f t="shared" si="785"/>
        <v>52759</v>
      </c>
      <c r="BB417" s="393">
        <f t="shared" ref="BB417:BD417" si="786">SUM(BB409:BB416)</f>
        <v>51835</v>
      </c>
      <c r="BC417" s="393">
        <f t="shared" si="786"/>
        <v>46665</v>
      </c>
      <c r="BD417" s="823">
        <f t="shared" si="786"/>
        <v>196578</v>
      </c>
      <c r="BE417" s="393">
        <f t="shared" ref="BE417:BJ417" si="787">SUM(BE409:BE416)</f>
        <v>41274</v>
      </c>
      <c r="BF417" s="393">
        <f t="shared" si="787"/>
        <v>41059</v>
      </c>
      <c r="BG417" s="393">
        <f t="shared" si="787"/>
        <v>45342</v>
      </c>
      <c r="BH417" s="393">
        <f t="shared" si="787"/>
        <v>43690</v>
      </c>
      <c r="BI417" s="823">
        <f t="shared" si="787"/>
        <v>171365</v>
      </c>
      <c r="BJ417" s="393">
        <f t="shared" si="787"/>
        <v>40794</v>
      </c>
      <c r="BK417" s="393">
        <f t="shared" ref="BK417:BP417" si="788">SUM(BK409:BK416)</f>
        <v>44145</v>
      </c>
      <c r="BL417" s="393">
        <f t="shared" si="788"/>
        <v>44180</v>
      </c>
      <c r="BM417" s="393">
        <f t="shared" si="788"/>
        <v>46167</v>
      </c>
      <c r="BN417" s="823">
        <f t="shared" si="788"/>
        <v>175286</v>
      </c>
      <c r="BO417" s="393">
        <f t="shared" si="788"/>
        <v>42027</v>
      </c>
      <c r="BP417" s="393">
        <f t="shared" si="788"/>
        <v>40675</v>
      </c>
      <c r="BQ417" s="393">
        <f>SUM(BQ409:BQ416)</f>
        <v>44312</v>
      </c>
      <c r="BR417" s="393">
        <f>SUM(BR409:BR416)</f>
        <v>42274</v>
      </c>
      <c r="BS417" s="823">
        <f>SUM(BS409:BS416)</f>
        <v>169288</v>
      </c>
      <c r="BT417" s="641">
        <f>SUM(BT409:BT416)</f>
        <v>44661</v>
      </c>
      <c r="BU417" s="393"/>
      <c r="BV417" s="393"/>
      <c r="BW417" s="393"/>
      <c r="BX417" s="823"/>
      <c r="BY417" s="393"/>
      <c r="BZ417" s="393"/>
      <c r="CA417" s="393"/>
      <c r="CB417" s="393"/>
      <c r="CC417" s="823"/>
      <c r="CD417" s="823"/>
      <c r="CE417" s="823"/>
      <c r="CF417" s="823"/>
      <c r="CG417" s="26"/>
    </row>
    <row r="418" spans="1:85" s="429" customFormat="1" hidden="1" outlineLevel="1" x14ac:dyDescent="0.3">
      <c r="A418" s="48" t="s">
        <v>190</v>
      </c>
      <c r="B418" s="58"/>
      <c r="C418" s="825">
        <f t="shared" ref="C418:AH418" si="789">C408-C417</f>
        <v>18528</v>
      </c>
      <c r="D418" s="825">
        <f t="shared" si="789"/>
        <v>32055</v>
      </c>
      <c r="E418" s="825">
        <f t="shared" si="789"/>
        <v>47634</v>
      </c>
      <c r="F418" s="825">
        <f t="shared" si="789"/>
        <v>46332</v>
      </c>
      <c r="G418" s="31">
        <f t="shared" si="789"/>
        <v>10283</v>
      </c>
      <c r="H418" s="31">
        <f t="shared" si="789"/>
        <v>8589</v>
      </c>
      <c r="I418" s="31">
        <f t="shared" si="789"/>
        <v>8835</v>
      </c>
      <c r="J418" s="31">
        <f t="shared" si="789"/>
        <v>8198</v>
      </c>
      <c r="K418" s="825">
        <f t="shared" si="789"/>
        <v>35905</v>
      </c>
      <c r="L418" s="31">
        <f t="shared" si="789"/>
        <v>7928</v>
      </c>
      <c r="M418" s="31">
        <f t="shared" si="789"/>
        <v>9027</v>
      </c>
      <c r="N418" s="31">
        <f t="shared" si="789"/>
        <v>8863</v>
      </c>
      <c r="O418" s="31">
        <f t="shared" si="789"/>
        <v>5384</v>
      </c>
      <c r="P418" s="825">
        <f t="shared" si="789"/>
        <v>31202</v>
      </c>
      <c r="Q418" s="31">
        <f t="shared" si="789"/>
        <v>2905</v>
      </c>
      <c r="R418" s="31">
        <f t="shared" si="789"/>
        <v>1363</v>
      </c>
      <c r="S418" s="31">
        <f t="shared" si="789"/>
        <v>2784</v>
      </c>
      <c r="T418" s="31">
        <f t="shared" si="789"/>
        <v>-2210</v>
      </c>
      <c r="U418" s="825">
        <f t="shared" si="789"/>
        <v>4842</v>
      </c>
      <c r="V418" s="31">
        <f t="shared" si="789"/>
        <v>-1711</v>
      </c>
      <c r="W418" s="31">
        <f t="shared" si="789"/>
        <v>-2070</v>
      </c>
      <c r="X418" s="31">
        <f t="shared" si="789"/>
        <v>1109</v>
      </c>
      <c r="Y418" s="31">
        <f t="shared" si="789"/>
        <v>512</v>
      </c>
      <c r="Z418" s="825">
        <f t="shared" si="789"/>
        <v>-2160</v>
      </c>
      <c r="AA418" s="31">
        <f t="shared" si="789"/>
        <v>3129</v>
      </c>
      <c r="AB418" s="31">
        <f t="shared" si="789"/>
        <v>1953</v>
      </c>
      <c r="AC418" s="31">
        <f t="shared" si="789"/>
        <v>2658</v>
      </c>
      <c r="AD418" s="31">
        <f t="shared" si="789"/>
        <v>1481</v>
      </c>
      <c r="AE418" s="825">
        <f t="shared" si="789"/>
        <v>9221</v>
      </c>
      <c r="AF418" s="31">
        <f t="shared" si="789"/>
        <v>5073</v>
      </c>
      <c r="AG418" s="31">
        <f t="shared" si="789"/>
        <v>4905</v>
      </c>
      <c r="AH418" s="31">
        <f t="shared" si="789"/>
        <v>5699</v>
      </c>
      <c r="AI418" s="31">
        <f t="shared" ref="AI418:AQ418" si="790">AI408-AI417</f>
        <v>4898</v>
      </c>
      <c r="AJ418" s="825">
        <f t="shared" si="790"/>
        <v>20575</v>
      </c>
      <c r="AK418" s="31">
        <f t="shared" si="790"/>
        <v>3957</v>
      </c>
      <c r="AL418" s="31">
        <f t="shared" si="790"/>
        <v>5935</v>
      </c>
      <c r="AM418" s="31">
        <f t="shared" si="790"/>
        <v>4049</v>
      </c>
      <c r="AN418" s="31">
        <f t="shared" si="790"/>
        <v>-8405</v>
      </c>
      <c r="AO418" s="825">
        <f t="shared" si="790"/>
        <v>5536</v>
      </c>
      <c r="AP418" s="31">
        <f t="shared" si="790"/>
        <v>4145</v>
      </c>
      <c r="AQ418" s="31">
        <f t="shared" si="790"/>
        <v>-10597</v>
      </c>
      <c r="AR418" s="31">
        <f>AR408-AR417</f>
        <v>-44</v>
      </c>
      <c r="AS418" s="31">
        <f t="shared" ref="AS418:AU418" si="791">AS408-AS417</f>
        <v>-957</v>
      </c>
      <c r="AT418" s="825">
        <f t="shared" si="791"/>
        <v>-7453</v>
      </c>
      <c r="AU418" s="31">
        <f t="shared" si="791"/>
        <v>2177</v>
      </c>
      <c r="AV418" s="31">
        <f t="shared" ref="AV418:BA418" si="792">AV408-AV417</f>
        <v>4422</v>
      </c>
      <c r="AW418" s="31">
        <f t="shared" si="792"/>
        <v>8055</v>
      </c>
      <c r="AX418" s="31">
        <f t="shared" si="792"/>
        <v>6985</v>
      </c>
      <c r="AY418" s="825">
        <f t="shared" si="792"/>
        <v>21639</v>
      </c>
      <c r="AZ418" s="31">
        <f t="shared" si="792"/>
        <v>9054</v>
      </c>
      <c r="BA418" s="31">
        <f t="shared" si="792"/>
        <v>16003</v>
      </c>
      <c r="BB418" s="31">
        <f t="shared" ref="BB418:BD418" si="793">BB408-BB417</f>
        <v>14809</v>
      </c>
      <c r="BC418" s="31">
        <f t="shared" si="793"/>
        <v>9808</v>
      </c>
      <c r="BD418" s="825">
        <f t="shared" si="793"/>
        <v>49674</v>
      </c>
      <c r="BE418" s="31">
        <f t="shared" ref="BE418:BJ418" si="794">BE408-BE417</f>
        <v>9519</v>
      </c>
      <c r="BF418" s="31">
        <f t="shared" si="794"/>
        <v>7837</v>
      </c>
      <c r="BG418" s="31">
        <f t="shared" si="794"/>
        <v>8738</v>
      </c>
      <c r="BH418" s="31">
        <f t="shared" si="794"/>
        <v>3490</v>
      </c>
      <c r="BI418" s="825">
        <f t="shared" si="794"/>
        <v>29584</v>
      </c>
      <c r="BJ418" s="31">
        <f t="shared" si="794"/>
        <v>7922</v>
      </c>
      <c r="BK418" s="31">
        <f t="shared" ref="BK418:BP418" si="795">BK408-BK417</f>
        <v>7036</v>
      </c>
      <c r="BL418" s="31">
        <f t="shared" si="795"/>
        <v>6489</v>
      </c>
      <c r="BM418" s="31">
        <f t="shared" si="795"/>
        <v>6059</v>
      </c>
      <c r="BN418" s="825">
        <f t="shared" si="795"/>
        <v>27506</v>
      </c>
      <c r="BO418" s="31">
        <f t="shared" si="795"/>
        <v>5583</v>
      </c>
      <c r="BP418" s="31">
        <f t="shared" si="795"/>
        <v>4147</v>
      </c>
      <c r="BQ418" s="31">
        <f>BQ408-BQ417</f>
        <v>5414</v>
      </c>
      <c r="BR418" s="31">
        <f>BR408-BR417</f>
        <v>4599</v>
      </c>
      <c r="BS418" s="825">
        <f>BS408-BS417</f>
        <v>19743</v>
      </c>
      <c r="BT418" s="379">
        <f>BT408-BT417</f>
        <v>3946</v>
      </c>
      <c r="BU418" s="31"/>
      <c r="BV418" s="31"/>
      <c r="BW418" s="31"/>
      <c r="BX418" s="825"/>
      <c r="BY418" s="31"/>
      <c r="BZ418" s="31"/>
      <c r="CA418" s="31"/>
      <c r="CB418" s="31"/>
      <c r="CC418" s="825"/>
      <c r="CD418" s="825"/>
      <c r="CE418" s="825"/>
      <c r="CF418" s="825"/>
      <c r="CG418" s="26"/>
    </row>
    <row r="419" spans="1:85" s="428" customFormat="1" hidden="1" outlineLevel="1" x14ac:dyDescent="0.3">
      <c r="A419" s="43" t="s">
        <v>191</v>
      </c>
      <c r="B419" s="109"/>
      <c r="C419" s="827">
        <v>7965</v>
      </c>
      <c r="D419" s="827">
        <v>12919</v>
      </c>
      <c r="E419" s="827">
        <v>20626</v>
      </c>
      <c r="F419" s="827">
        <v>19996</v>
      </c>
      <c r="G419" s="763">
        <v>4044</v>
      </c>
      <c r="H419" s="763">
        <v>3185</v>
      </c>
      <c r="I419" s="763">
        <v>3839</v>
      </c>
      <c r="J419" s="37">
        <f>K419-SUM(G419,H419,I419)</f>
        <v>3240</v>
      </c>
      <c r="K419" s="827">
        <v>14308</v>
      </c>
      <c r="L419" s="763">
        <v>3407</v>
      </c>
      <c r="M419" s="763">
        <v>3337</v>
      </c>
      <c r="N419" s="763">
        <v>3236</v>
      </c>
      <c r="O419" s="37">
        <f>P419-SUM(L419,M419,N419)</f>
        <v>1912</v>
      </c>
      <c r="P419" s="827">
        <v>11892</v>
      </c>
      <c r="Q419" s="763">
        <v>305</v>
      </c>
      <c r="R419" s="763">
        <v>755</v>
      </c>
      <c r="S419" s="763">
        <v>727</v>
      </c>
      <c r="T419" s="37">
        <f>U419-SUM(Q419,R419,S419)</f>
        <v>-1655</v>
      </c>
      <c r="U419" s="827">
        <v>132</v>
      </c>
      <c r="V419" s="763">
        <v>-1004</v>
      </c>
      <c r="W419" s="763">
        <v>-607</v>
      </c>
      <c r="X419" s="763">
        <v>-192</v>
      </c>
      <c r="Y419" s="37">
        <f>Z419-SUM(V419,W419,X419)</f>
        <v>74</v>
      </c>
      <c r="Z419" s="827">
        <v>-1729</v>
      </c>
      <c r="AA419" s="763">
        <v>430</v>
      </c>
      <c r="AB419" s="763">
        <v>487</v>
      </c>
      <c r="AC419" s="763">
        <v>672</v>
      </c>
      <c r="AD419" s="37">
        <f>AE419-SUM(AA419,AB419,AC419)</f>
        <v>-1637</v>
      </c>
      <c r="AE419" s="827">
        <v>-48</v>
      </c>
      <c r="AF419" s="763">
        <v>1414</v>
      </c>
      <c r="AG419" s="763">
        <v>1483</v>
      </c>
      <c r="AH419" s="763">
        <v>1643</v>
      </c>
      <c r="AI419" s="37">
        <f>AJ419-SUM(AF419,AG419,AH419)</f>
        <v>1175</v>
      </c>
      <c r="AJ419" s="827">
        <v>5715</v>
      </c>
      <c r="AK419" s="763">
        <v>1315</v>
      </c>
      <c r="AL419" s="763">
        <v>1645</v>
      </c>
      <c r="AM419" s="763">
        <v>1469</v>
      </c>
      <c r="AN419" s="37">
        <f>AO419-SUM(AK419,AL419,AM419)</f>
        <v>-1738</v>
      </c>
      <c r="AO419" s="827">
        <v>2691</v>
      </c>
      <c r="AP419" s="763">
        <v>564</v>
      </c>
      <c r="AQ419" s="763">
        <v>-2320</v>
      </c>
      <c r="AR419" s="763">
        <v>165</v>
      </c>
      <c r="AS419" s="37">
        <f>AT419-SUM(AP419,AQ419,AR419)</f>
        <v>-301</v>
      </c>
      <c r="AT419" s="827">
        <v>-1892</v>
      </c>
      <c r="AU419" s="763">
        <v>779</v>
      </c>
      <c r="AV419" s="763">
        <v>1328</v>
      </c>
      <c r="AW419" s="763">
        <v>1940</v>
      </c>
      <c r="AX419" s="37">
        <f>AY419-SUM(AU419,AV419,AW419)</f>
        <v>1903</v>
      </c>
      <c r="AY419" s="827">
        <v>5950</v>
      </c>
      <c r="AZ419" s="763">
        <v>2777</v>
      </c>
      <c r="BA419" s="763">
        <v>4288</v>
      </c>
      <c r="BB419" s="763">
        <v>3571</v>
      </c>
      <c r="BC419" s="37">
        <f>BD419-SUM(AZ419,BA419,BB419)</f>
        <v>3430</v>
      </c>
      <c r="BD419" s="827">
        <v>14066</v>
      </c>
      <c r="BE419" s="763">
        <v>2914</v>
      </c>
      <c r="BF419" s="763">
        <v>1829</v>
      </c>
      <c r="BG419" s="763">
        <v>2183</v>
      </c>
      <c r="BH419" s="37">
        <f>BI419-SUM(BE419,BF419,BG419)</f>
        <v>1247</v>
      </c>
      <c r="BI419" s="827">
        <v>8173</v>
      </c>
      <c r="BJ419" s="763">
        <v>2371</v>
      </c>
      <c r="BK419" s="763">
        <v>2593</v>
      </c>
      <c r="BL419" s="763">
        <v>1993</v>
      </c>
      <c r="BM419" s="37">
        <f>BN419-SUM(BJ419,BK419,BL419)</f>
        <v>2800</v>
      </c>
      <c r="BN419" s="827">
        <v>9757</v>
      </c>
      <c r="BO419" s="763">
        <v>2071</v>
      </c>
      <c r="BP419" s="763">
        <v>1632</v>
      </c>
      <c r="BQ419" s="763">
        <v>1801</v>
      </c>
      <c r="BR419" s="37">
        <f>BS419-SUM(BO419,BP419,BQ419)</f>
        <v>1754</v>
      </c>
      <c r="BS419" s="827">
        <v>7258</v>
      </c>
      <c r="BT419" s="764">
        <v>1653</v>
      </c>
      <c r="BU419" s="37"/>
      <c r="BV419" s="37"/>
      <c r="BW419" s="37"/>
      <c r="BX419" s="821"/>
      <c r="BY419" s="37"/>
      <c r="BZ419" s="37"/>
      <c r="CA419" s="37"/>
      <c r="CB419" s="37"/>
      <c r="CC419" s="821"/>
      <c r="CD419" s="821"/>
      <c r="CE419" s="821"/>
      <c r="CF419" s="821"/>
      <c r="CG419" s="22"/>
    </row>
    <row r="420" spans="1:85" s="429" customFormat="1" hidden="1" outlineLevel="1" x14ac:dyDescent="0.3">
      <c r="A420" s="42" t="s">
        <v>192</v>
      </c>
      <c r="B420" s="99"/>
      <c r="C420" s="823">
        <f t="shared" ref="C420:AH420" si="796">C418-C419</f>
        <v>10563</v>
      </c>
      <c r="D420" s="823">
        <f t="shared" si="796"/>
        <v>19136</v>
      </c>
      <c r="E420" s="823">
        <f t="shared" si="796"/>
        <v>27008</v>
      </c>
      <c r="F420" s="823">
        <f t="shared" si="796"/>
        <v>26336</v>
      </c>
      <c r="G420" s="393">
        <f t="shared" si="796"/>
        <v>6239</v>
      </c>
      <c r="H420" s="393">
        <f t="shared" si="796"/>
        <v>5404</v>
      </c>
      <c r="I420" s="393">
        <f t="shared" si="796"/>
        <v>4996</v>
      </c>
      <c r="J420" s="393">
        <f t="shared" si="796"/>
        <v>4958</v>
      </c>
      <c r="K420" s="823">
        <f t="shared" si="796"/>
        <v>21597</v>
      </c>
      <c r="L420" s="393">
        <f t="shared" si="796"/>
        <v>4521</v>
      </c>
      <c r="M420" s="393">
        <f t="shared" si="796"/>
        <v>5690</v>
      </c>
      <c r="N420" s="393">
        <f t="shared" si="796"/>
        <v>5627</v>
      </c>
      <c r="O420" s="393">
        <f t="shared" si="796"/>
        <v>3472</v>
      </c>
      <c r="P420" s="823">
        <f t="shared" si="796"/>
        <v>19310</v>
      </c>
      <c r="Q420" s="393">
        <f t="shared" si="796"/>
        <v>2600</v>
      </c>
      <c r="R420" s="393">
        <f t="shared" si="796"/>
        <v>608</v>
      </c>
      <c r="S420" s="393">
        <f t="shared" si="796"/>
        <v>2057</v>
      </c>
      <c r="T420" s="393">
        <f t="shared" si="796"/>
        <v>-555</v>
      </c>
      <c r="U420" s="823">
        <f t="shared" si="796"/>
        <v>4710</v>
      </c>
      <c r="V420" s="393">
        <f t="shared" si="796"/>
        <v>-707</v>
      </c>
      <c r="W420" s="393">
        <f t="shared" si="796"/>
        <v>-1463</v>
      </c>
      <c r="X420" s="393">
        <f t="shared" si="796"/>
        <v>1301</v>
      </c>
      <c r="Y420" s="393">
        <f t="shared" si="796"/>
        <v>438</v>
      </c>
      <c r="Z420" s="823">
        <f t="shared" si="796"/>
        <v>-431</v>
      </c>
      <c r="AA420" s="393">
        <f t="shared" si="796"/>
        <v>2699</v>
      </c>
      <c r="AB420" s="393">
        <f t="shared" si="796"/>
        <v>1466</v>
      </c>
      <c r="AC420" s="393">
        <f t="shared" si="796"/>
        <v>1986</v>
      </c>
      <c r="AD420" s="393">
        <f t="shared" si="796"/>
        <v>3118</v>
      </c>
      <c r="AE420" s="823">
        <f t="shared" si="796"/>
        <v>9269</v>
      </c>
      <c r="AF420" s="393">
        <f t="shared" si="796"/>
        <v>3659</v>
      </c>
      <c r="AG420" s="393">
        <f t="shared" si="796"/>
        <v>3422</v>
      </c>
      <c r="AH420" s="393">
        <f t="shared" si="796"/>
        <v>4056</v>
      </c>
      <c r="AI420" s="393">
        <f t="shared" ref="AI420:AQ420" si="797">AI418-AI419</f>
        <v>3723</v>
      </c>
      <c r="AJ420" s="823">
        <f t="shared" si="797"/>
        <v>14860</v>
      </c>
      <c r="AK420" s="393">
        <f t="shared" si="797"/>
        <v>2642</v>
      </c>
      <c r="AL420" s="393">
        <f t="shared" si="797"/>
        <v>4290</v>
      </c>
      <c r="AM420" s="393">
        <f t="shared" si="797"/>
        <v>2580</v>
      </c>
      <c r="AN420" s="393">
        <f t="shared" si="797"/>
        <v>-6667</v>
      </c>
      <c r="AO420" s="823">
        <f t="shared" si="797"/>
        <v>2845</v>
      </c>
      <c r="AP420" s="393">
        <f t="shared" si="797"/>
        <v>3581</v>
      </c>
      <c r="AQ420" s="393">
        <f t="shared" si="797"/>
        <v>-8277</v>
      </c>
      <c r="AR420" s="393">
        <f>AR418-AR419</f>
        <v>-209</v>
      </c>
      <c r="AS420" s="393">
        <f t="shared" ref="AS420:AU420" si="798">AS418-AS419</f>
        <v>-656</v>
      </c>
      <c r="AT420" s="823">
        <f t="shared" si="798"/>
        <v>-5561</v>
      </c>
      <c r="AU420" s="393">
        <f t="shared" si="798"/>
        <v>1398</v>
      </c>
      <c r="AV420" s="393">
        <f t="shared" ref="AV420:BA420" si="799">AV418-AV419</f>
        <v>3094</v>
      </c>
      <c r="AW420" s="393">
        <f t="shared" si="799"/>
        <v>6115</v>
      </c>
      <c r="AX420" s="393">
        <f t="shared" si="799"/>
        <v>5082</v>
      </c>
      <c r="AY420" s="823">
        <f t="shared" si="799"/>
        <v>15689</v>
      </c>
      <c r="AZ420" s="393">
        <f t="shared" si="799"/>
        <v>6277</v>
      </c>
      <c r="BA420" s="393">
        <f t="shared" si="799"/>
        <v>11715</v>
      </c>
      <c r="BB420" s="393">
        <f t="shared" ref="BB420:BD420" si="800">BB418-BB419</f>
        <v>11238</v>
      </c>
      <c r="BC420" s="393">
        <f t="shared" si="800"/>
        <v>6378</v>
      </c>
      <c r="BD420" s="823">
        <f t="shared" si="800"/>
        <v>35608</v>
      </c>
      <c r="BE420" s="393">
        <f t="shared" ref="BE420:BJ420" si="801">BE418-BE419</f>
        <v>6605</v>
      </c>
      <c r="BF420" s="393">
        <f t="shared" si="801"/>
        <v>6008</v>
      </c>
      <c r="BG420" s="393">
        <f t="shared" si="801"/>
        <v>6555</v>
      </c>
      <c r="BH420" s="393">
        <f t="shared" si="801"/>
        <v>2243</v>
      </c>
      <c r="BI420" s="823">
        <f t="shared" si="801"/>
        <v>21411</v>
      </c>
      <c r="BJ420" s="393">
        <f t="shared" si="801"/>
        <v>5551</v>
      </c>
      <c r="BK420" s="393">
        <f t="shared" ref="BK420:BP420" si="802">BK418-BK419</f>
        <v>4443</v>
      </c>
      <c r="BL420" s="393">
        <f t="shared" si="802"/>
        <v>4496</v>
      </c>
      <c r="BM420" s="393">
        <f t="shared" si="802"/>
        <v>3259</v>
      </c>
      <c r="BN420" s="823">
        <f t="shared" si="802"/>
        <v>17749</v>
      </c>
      <c r="BO420" s="393">
        <f t="shared" si="802"/>
        <v>3512</v>
      </c>
      <c r="BP420" s="393">
        <f t="shared" si="802"/>
        <v>2515</v>
      </c>
      <c r="BQ420" s="393">
        <f>BQ418-BQ419</f>
        <v>3613</v>
      </c>
      <c r="BR420" s="393">
        <f>BR418-BR419</f>
        <v>2845</v>
      </c>
      <c r="BS420" s="823">
        <f>BS418-BS419</f>
        <v>12485</v>
      </c>
      <c r="BT420" s="641">
        <f>BT418-BT419</f>
        <v>2293</v>
      </c>
      <c r="BU420" s="393"/>
      <c r="BV420" s="393"/>
      <c r="BW420" s="393"/>
      <c r="BX420" s="823"/>
      <c r="BY420" s="393"/>
      <c r="BZ420" s="393"/>
      <c r="CA420" s="393"/>
      <c r="CB420" s="393"/>
      <c r="CC420" s="823"/>
      <c r="CD420" s="823"/>
      <c r="CE420" s="823"/>
      <c r="CF420" s="823"/>
      <c r="CG420" s="26"/>
    </row>
    <row r="421" spans="1:85" s="428" customFormat="1" hidden="1" outlineLevel="1" x14ac:dyDescent="0.3">
      <c r="A421" s="43" t="s">
        <v>193</v>
      </c>
      <c r="B421" s="109"/>
      <c r="C421" s="827">
        <v>80</v>
      </c>
      <c r="D421" s="827">
        <v>112</v>
      </c>
      <c r="E421" s="827">
        <v>113</v>
      </c>
      <c r="F421" s="827">
        <v>157</v>
      </c>
      <c r="G421" s="763">
        <v>61</v>
      </c>
      <c r="H421" s="763">
        <v>39</v>
      </c>
      <c r="I421" s="763">
        <v>46</v>
      </c>
      <c r="J421" s="37">
        <f>K421-SUM(G421,H421,I421)</f>
        <v>28</v>
      </c>
      <c r="K421" s="827">
        <v>174</v>
      </c>
      <c r="L421" s="763">
        <v>9</v>
      </c>
      <c r="M421" s="763">
        <v>25</v>
      </c>
      <c r="N421" s="763">
        <v>34</v>
      </c>
      <c r="O421" s="37">
        <f>P421-SUM(L421,M421,N421)</f>
        <v>1</v>
      </c>
      <c r="P421" s="827">
        <v>69</v>
      </c>
      <c r="Q421" s="763">
        <v>33</v>
      </c>
      <c r="R421" s="763">
        <v>37</v>
      </c>
      <c r="S421" s="763">
        <v>20</v>
      </c>
      <c r="T421" s="37">
        <f>U421-SUM(Q421,R421,S421)</f>
        <v>33</v>
      </c>
      <c r="U421" s="827">
        <v>123</v>
      </c>
      <c r="V421" s="763">
        <v>18</v>
      </c>
      <c r="W421" s="763">
        <v>7</v>
      </c>
      <c r="X421" s="763">
        <v>18</v>
      </c>
      <c r="Y421" s="37">
        <f>Z421-SUM(V421,W421,X421)</f>
        <v>23</v>
      </c>
      <c r="Z421" s="827">
        <v>66</v>
      </c>
      <c r="AA421" s="763">
        <v>17</v>
      </c>
      <c r="AB421" s="763">
        <v>16</v>
      </c>
      <c r="AC421" s="763">
        <v>34</v>
      </c>
      <c r="AD421" s="37">
        <f>AE421-SUM(AA421,AB421,AC421)</f>
        <v>7</v>
      </c>
      <c r="AE421" s="827">
        <v>74</v>
      </c>
      <c r="AF421" s="763">
        <v>21</v>
      </c>
      <c r="AG421" s="763">
        <v>13</v>
      </c>
      <c r="AH421" s="763">
        <v>9</v>
      </c>
      <c r="AI421" s="37">
        <f>AJ421-SUM(AF421,AG421,AH421)</f>
        <v>-7</v>
      </c>
      <c r="AJ421" s="827">
        <v>36</v>
      </c>
      <c r="AK421" s="763">
        <v>-7</v>
      </c>
      <c r="AL421" s="763">
        <v>-15</v>
      </c>
      <c r="AM421" s="763">
        <v>0</v>
      </c>
      <c r="AN421" s="37">
        <f>AO421-SUM(AK421,AL421,AM421)</f>
        <v>-57</v>
      </c>
      <c r="AO421" s="827">
        <v>-79</v>
      </c>
      <c r="AP421" s="763">
        <v>-18</v>
      </c>
      <c r="AQ421" s="763">
        <v>-7</v>
      </c>
      <c r="AR421" s="763">
        <v>-2</v>
      </c>
      <c r="AS421" s="37">
        <f>AT421-SUM(AP421,AQ421,AR421)</f>
        <v>9</v>
      </c>
      <c r="AT421" s="827">
        <v>-18</v>
      </c>
      <c r="AU421" s="763">
        <v>21</v>
      </c>
      <c r="AV421" s="763">
        <v>12</v>
      </c>
      <c r="AW421" s="763">
        <v>4</v>
      </c>
      <c r="AX421" s="37">
        <f>AY421-SUM(AU421,AV421,AW421)</f>
        <v>27</v>
      </c>
      <c r="AY421" s="827">
        <v>64</v>
      </c>
      <c r="AZ421" s="763">
        <v>18</v>
      </c>
      <c r="BA421" s="763">
        <v>93</v>
      </c>
      <c r="BB421" s="763">
        <v>7</v>
      </c>
      <c r="BC421" s="37">
        <f>BD421-SUM(AZ421,BA421,BB421)</f>
        <v>25</v>
      </c>
      <c r="BD421" s="827">
        <v>143</v>
      </c>
      <c r="BE421" s="763">
        <v>31</v>
      </c>
      <c r="BF421" s="763">
        <v>-2</v>
      </c>
      <c r="BG421" s="763">
        <v>29</v>
      </c>
      <c r="BH421" s="37">
        <f>BI421-SUM(BE421,BF421,BG421)</f>
        <v>-16</v>
      </c>
      <c r="BI421" s="827">
        <v>42</v>
      </c>
      <c r="BJ421" s="763">
        <v>50</v>
      </c>
      <c r="BK421" s="763">
        <v>9</v>
      </c>
      <c r="BL421" s="763">
        <v>9</v>
      </c>
      <c r="BM421" s="37">
        <f>BN421-SUM(BJ421,BK421,BL421)</f>
        <v>20</v>
      </c>
      <c r="BN421" s="827">
        <v>88</v>
      </c>
      <c r="BO421" s="763">
        <v>12</v>
      </c>
      <c r="BP421" s="763">
        <v>25</v>
      </c>
      <c r="BQ421" s="763">
        <v>74</v>
      </c>
      <c r="BR421" s="37">
        <f>BS421-SUM(BO421,BP421,BQ421)</f>
        <v>75</v>
      </c>
      <c r="BS421" s="827">
        <v>186</v>
      </c>
      <c r="BT421" s="764">
        <v>83</v>
      </c>
      <c r="BU421" s="37"/>
      <c r="BV421" s="37"/>
      <c r="BW421" s="37"/>
      <c r="BX421" s="821"/>
      <c r="BY421" s="37"/>
      <c r="BZ421" s="37"/>
      <c r="CA421" s="37"/>
      <c r="CB421" s="37"/>
      <c r="CC421" s="821"/>
      <c r="CD421" s="821"/>
      <c r="CE421" s="821"/>
      <c r="CF421" s="821"/>
      <c r="CG421" s="22"/>
    </row>
    <row r="422" spans="1:85" s="429" customFormat="1" hidden="1" outlineLevel="1" x14ac:dyDescent="0.3">
      <c r="A422" s="42" t="s">
        <v>194</v>
      </c>
      <c r="B422" s="99"/>
      <c r="C422" s="823">
        <f t="shared" ref="C422:AH422" si="803">C420-C421</f>
        <v>10483</v>
      </c>
      <c r="D422" s="823">
        <f t="shared" si="803"/>
        <v>19024</v>
      </c>
      <c r="E422" s="823">
        <f t="shared" si="803"/>
        <v>26895</v>
      </c>
      <c r="F422" s="823">
        <f t="shared" si="803"/>
        <v>26179</v>
      </c>
      <c r="G422" s="393">
        <f t="shared" si="803"/>
        <v>6178</v>
      </c>
      <c r="H422" s="393">
        <f t="shared" si="803"/>
        <v>5365</v>
      </c>
      <c r="I422" s="393">
        <f t="shared" si="803"/>
        <v>4950</v>
      </c>
      <c r="J422" s="393">
        <f t="shared" si="803"/>
        <v>4930</v>
      </c>
      <c r="K422" s="823">
        <f t="shared" si="803"/>
        <v>21423</v>
      </c>
      <c r="L422" s="393">
        <f t="shared" si="803"/>
        <v>4512</v>
      </c>
      <c r="M422" s="393">
        <f t="shared" si="803"/>
        <v>5665</v>
      </c>
      <c r="N422" s="393">
        <f t="shared" si="803"/>
        <v>5593</v>
      </c>
      <c r="O422" s="393">
        <f t="shared" si="803"/>
        <v>3471</v>
      </c>
      <c r="P422" s="823">
        <f t="shared" si="803"/>
        <v>19241</v>
      </c>
      <c r="Q422" s="393">
        <f t="shared" si="803"/>
        <v>2567</v>
      </c>
      <c r="R422" s="393">
        <f t="shared" si="803"/>
        <v>571</v>
      </c>
      <c r="S422" s="393">
        <f t="shared" si="803"/>
        <v>2037</v>
      </c>
      <c r="T422" s="393">
        <f t="shared" si="803"/>
        <v>-588</v>
      </c>
      <c r="U422" s="823">
        <f t="shared" si="803"/>
        <v>4587</v>
      </c>
      <c r="V422" s="393">
        <f t="shared" si="803"/>
        <v>-725</v>
      </c>
      <c r="W422" s="393">
        <f t="shared" si="803"/>
        <v>-1470</v>
      </c>
      <c r="X422" s="393">
        <f t="shared" si="803"/>
        <v>1283</v>
      </c>
      <c r="Y422" s="393">
        <f t="shared" si="803"/>
        <v>415</v>
      </c>
      <c r="Z422" s="823">
        <f t="shared" si="803"/>
        <v>-497</v>
      </c>
      <c r="AA422" s="393">
        <f t="shared" si="803"/>
        <v>2682</v>
      </c>
      <c r="AB422" s="393">
        <f t="shared" si="803"/>
        <v>1450</v>
      </c>
      <c r="AC422" s="393">
        <f t="shared" si="803"/>
        <v>1952</v>
      </c>
      <c r="AD422" s="393">
        <f t="shared" si="803"/>
        <v>3111</v>
      </c>
      <c r="AE422" s="823">
        <f t="shared" si="803"/>
        <v>9195</v>
      </c>
      <c r="AF422" s="393">
        <f t="shared" si="803"/>
        <v>3638</v>
      </c>
      <c r="AG422" s="393">
        <f t="shared" si="803"/>
        <v>3409</v>
      </c>
      <c r="AH422" s="393">
        <f t="shared" si="803"/>
        <v>4047</v>
      </c>
      <c r="AI422" s="393">
        <f t="shared" ref="AI422:AQ422" si="804">AI420-AI421</f>
        <v>3730</v>
      </c>
      <c r="AJ422" s="823">
        <f t="shared" si="804"/>
        <v>14824</v>
      </c>
      <c r="AK422" s="393">
        <f t="shared" si="804"/>
        <v>2649</v>
      </c>
      <c r="AL422" s="393">
        <f t="shared" si="804"/>
        <v>4305</v>
      </c>
      <c r="AM422" s="393">
        <f t="shared" si="804"/>
        <v>2580</v>
      </c>
      <c r="AN422" s="393">
        <f t="shared" si="804"/>
        <v>-6610</v>
      </c>
      <c r="AO422" s="823">
        <f t="shared" si="804"/>
        <v>2924</v>
      </c>
      <c r="AP422" s="393">
        <f t="shared" si="804"/>
        <v>3599</v>
      </c>
      <c r="AQ422" s="393">
        <f t="shared" si="804"/>
        <v>-8270</v>
      </c>
      <c r="AR422" s="393">
        <f>AR420-AR421</f>
        <v>-207</v>
      </c>
      <c r="AS422" s="393">
        <f t="shared" ref="AS422:AU422" si="805">AS420-AS421</f>
        <v>-665</v>
      </c>
      <c r="AT422" s="823">
        <f t="shared" si="805"/>
        <v>-5543</v>
      </c>
      <c r="AU422" s="393">
        <f t="shared" si="805"/>
        <v>1377</v>
      </c>
      <c r="AV422" s="393">
        <f t="shared" ref="AV422:BA422" si="806">AV420-AV421</f>
        <v>3082</v>
      </c>
      <c r="AW422" s="393">
        <f t="shared" si="806"/>
        <v>6111</v>
      </c>
      <c r="AX422" s="393">
        <f t="shared" si="806"/>
        <v>5055</v>
      </c>
      <c r="AY422" s="823">
        <f t="shared" si="806"/>
        <v>15625</v>
      </c>
      <c r="AZ422" s="393">
        <f t="shared" si="806"/>
        <v>6259</v>
      </c>
      <c r="BA422" s="393">
        <f t="shared" si="806"/>
        <v>11622</v>
      </c>
      <c r="BB422" s="393">
        <f t="shared" ref="BB422:BD422" si="807">BB420-BB421</f>
        <v>11231</v>
      </c>
      <c r="BC422" s="393">
        <f t="shared" si="807"/>
        <v>6353</v>
      </c>
      <c r="BD422" s="823">
        <f t="shared" si="807"/>
        <v>35465</v>
      </c>
      <c r="BE422" s="393">
        <f t="shared" ref="BE422:BJ422" si="808">BE420-BE421</f>
        <v>6574</v>
      </c>
      <c r="BF422" s="393">
        <f t="shared" si="808"/>
        <v>6010</v>
      </c>
      <c r="BG422" s="393">
        <f t="shared" si="808"/>
        <v>6526</v>
      </c>
      <c r="BH422" s="393">
        <f t="shared" si="808"/>
        <v>2259</v>
      </c>
      <c r="BI422" s="823">
        <f t="shared" si="808"/>
        <v>21369</v>
      </c>
      <c r="BJ422" s="393">
        <f t="shared" si="808"/>
        <v>5501</v>
      </c>
      <c r="BK422" s="393">
        <f t="shared" ref="BK422:BP422" si="809">BK420-BK421</f>
        <v>4434</v>
      </c>
      <c r="BL422" s="393">
        <f t="shared" si="809"/>
        <v>4487</v>
      </c>
      <c r="BM422" s="393">
        <f t="shared" si="809"/>
        <v>3239</v>
      </c>
      <c r="BN422" s="823">
        <f t="shared" si="809"/>
        <v>17661</v>
      </c>
      <c r="BO422" s="393">
        <f t="shared" si="809"/>
        <v>3500</v>
      </c>
      <c r="BP422" s="393">
        <f t="shared" si="809"/>
        <v>2490</v>
      </c>
      <c r="BQ422" s="393">
        <f>BQ420-BQ421</f>
        <v>3539</v>
      </c>
      <c r="BR422" s="393">
        <f>BR420-BR421</f>
        <v>2770</v>
      </c>
      <c r="BS422" s="823">
        <f>BS420-BS421</f>
        <v>12299</v>
      </c>
      <c r="BT422" s="641">
        <f>BT420-BT421</f>
        <v>2210</v>
      </c>
      <c r="BU422" s="393"/>
      <c r="BV422" s="393"/>
      <c r="BW422" s="393"/>
      <c r="BX422" s="823"/>
      <c r="BY422" s="393"/>
      <c r="BZ422" s="393"/>
      <c r="CA422" s="393"/>
      <c r="CB422" s="393"/>
      <c r="CC422" s="823"/>
      <c r="CD422" s="823"/>
      <c r="CE422" s="823"/>
      <c r="CF422" s="823"/>
      <c r="CG422" s="26"/>
    </row>
    <row r="423" spans="1:85" s="424" customFormat="1" hidden="1" outlineLevel="1" x14ac:dyDescent="0.3">
      <c r="A423" s="335"/>
      <c r="B423" s="339"/>
      <c r="C423" s="837"/>
      <c r="D423" s="837"/>
      <c r="E423" s="837"/>
      <c r="F423" s="837"/>
      <c r="G423" s="722"/>
      <c r="H423" s="722"/>
      <c r="I423" s="722"/>
      <c r="J423" s="722"/>
      <c r="K423" s="837"/>
      <c r="L423" s="722"/>
      <c r="M423" s="722"/>
      <c r="N423" s="722"/>
      <c r="O423" s="722"/>
      <c r="P423" s="837"/>
      <c r="Q423" s="722"/>
      <c r="R423" s="722"/>
      <c r="S423" s="722"/>
      <c r="T423" s="722"/>
      <c r="U423" s="837"/>
      <c r="V423" s="722"/>
      <c r="W423" s="722"/>
      <c r="X423" s="722"/>
      <c r="Y423" s="722"/>
      <c r="Z423" s="837"/>
      <c r="AA423" s="722"/>
      <c r="AB423" s="722"/>
      <c r="AC423" s="722"/>
      <c r="AD423" s="722"/>
      <c r="AE423" s="837"/>
      <c r="AF423" s="722"/>
      <c r="AG423" s="722"/>
      <c r="AH423" s="722"/>
      <c r="AI423" s="722"/>
      <c r="AJ423" s="837"/>
      <c r="AK423" s="722"/>
      <c r="AL423" s="722"/>
      <c r="AM423" s="722"/>
      <c r="AN423" s="722"/>
      <c r="AO423" s="837"/>
      <c r="AP423" s="722"/>
      <c r="AQ423" s="722"/>
      <c r="AR423" s="722"/>
      <c r="AS423" s="722"/>
      <c r="AT423" s="837"/>
      <c r="AU423" s="722"/>
      <c r="AV423" s="722"/>
      <c r="AW423" s="722"/>
      <c r="AX423" s="722"/>
      <c r="AY423" s="837"/>
      <c r="AZ423" s="722"/>
      <c r="BA423" s="722"/>
      <c r="BB423" s="722"/>
      <c r="BC423" s="722"/>
      <c r="BD423" s="837"/>
      <c r="BE423" s="722"/>
      <c r="BF423" s="722"/>
      <c r="BG423" s="722"/>
      <c r="BH423" s="722"/>
      <c r="BI423" s="837"/>
      <c r="BJ423" s="722"/>
      <c r="BK423" s="722"/>
      <c r="BL423" s="722"/>
      <c r="BM423" s="722"/>
      <c r="BN423" s="837"/>
      <c r="BO423" s="722"/>
      <c r="BP423" s="722"/>
      <c r="BQ423" s="722"/>
      <c r="BR423" s="722"/>
      <c r="BS423" s="837"/>
      <c r="BT423" s="723"/>
      <c r="BU423" s="722"/>
      <c r="BV423" s="722"/>
      <c r="BW423" s="722"/>
      <c r="BX423" s="837"/>
      <c r="BY423" s="722"/>
      <c r="BZ423" s="722"/>
      <c r="CA423" s="722"/>
      <c r="CB423" s="722"/>
      <c r="CC423" s="837"/>
      <c r="CD423" s="837"/>
      <c r="CE423" s="837"/>
      <c r="CF423" s="837"/>
      <c r="CG423" s="190"/>
    </row>
    <row r="424" spans="1:85" s="428" customFormat="1" hidden="1" outlineLevel="1" x14ac:dyDescent="0.3">
      <c r="A424" s="216" t="s">
        <v>195</v>
      </c>
      <c r="B424" s="216"/>
      <c r="C424" s="217">
        <f t="shared" ref="C424:AH424" si="810">IF(ISBLANK(INDEX(MO_IS_FirstRow,0,COLUMN())),0,ROUND(C420-C681,6))</f>
        <v>0</v>
      </c>
      <c r="D424" s="217">
        <f t="shared" si="810"/>
        <v>0</v>
      </c>
      <c r="E424" s="217">
        <f t="shared" si="810"/>
        <v>0</v>
      </c>
      <c r="F424" s="217">
        <f t="shared" si="810"/>
        <v>0</v>
      </c>
      <c r="G424" s="217">
        <f t="shared" si="810"/>
        <v>0</v>
      </c>
      <c r="H424" s="217">
        <f t="shared" si="810"/>
        <v>0</v>
      </c>
      <c r="I424" s="217">
        <f t="shared" si="810"/>
        <v>0</v>
      </c>
      <c r="J424" s="217">
        <f t="shared" si="810"/>
        <v>0</v>
      </c>
      <c r="K424" s="217">
        <f t="shared" si="810"/>
        <v>0</v>
      </c>
      <c r="L424" s="217">
        <f t="shared" si="810"/>
        <v>0</v>
      </c>
      <c r="M424" s="217">
        <f t="shared" si="810"/>
        <v>0</v>
      </c>
      <c r="N424" s="217">
        <f t="shared" si="810"/>
        <v>0</v>
      </c>
      <c r="O424" s="217">
        <f t="shared" si="810"/>
        <v>0</v>
      </c>
      <c r="P424" s="217">
        <f t="shared" si="810"/>
        <v>0</v>
      </c>
      <c r="Q424" s="217">
        <f t="shared" si="810"/>
        <v>0</v>
      </c>
      <c r="R424" s="217">
        <f t="shared" si="810"/>
        <v>0</v>
      </c>
      <c r="S424" s="217">
        <f t="shared" si="810"/>
        <v>0</v>
      </c>
      <c r="T424" s="217">
        <f t="shared" si="810"/>
        <v>0</v>
      </c>
      <c r="U424" s="217">
        <f t="shared" si="810"/>
        <v>0</v>
      </c>
      <c r="V424" s="217">
        <f t="shared" si="810"/>
        <v>0</v>
      </c>
      <c r="W424" s="217">
        <f t="shared" si="810"/>
        <v>0</v>
      </c>
      <c r="X424" s="217">
        <f t="shared" si="810"/>
        <v>0</v>
      </c>
      <c r="Y424" s="217">
        <f t="shared" si="810"/>
        <v>0</v>
      </c>
      <c r="Z424" s="217">
        <f t="shared" si="810"/>
        <v>0</v>
      </c>
      <c r="AA424" s="217">
        <f t="shared" si="810"/>
        <v>0</v>
      </c>
      <c r="AB424" s="217">
        <f t="shared" si="810"/>
        <v>0</v>
      </c>
      <c r="AC424" s="217">
        <f t="shared" si="810"/>
        <v>0</v>
      </c>
      <c r="AD424" s="217">
        <f t="shared" si="810"/>
        <v>0</v>
      </c>
      <c r="AE424" s="217">
        <f t="shared" si="810"/>
        <v>0</v>
      </c>
      <c r="AF424" s="217">
        <f t="shared" si="810"/>
        <v>0</v>
      </c>
      <c r="AG424" s="217">
        <f t="shared" si="810"/>
        <v>0</v>
      </c>
      <c r="AH424" s="217">
        <f t="shared" si="810"/>
        <v>0</v>
      </c>
      <c r="AI424" s="217">
        <f t="shared" ref="AI424:BN424" si="811">IF(ISBLANK(INDEX(MO_IS_FirstRow,0,COLUMN())),0,ROUND(AI420-AI681,6))</f>
        <v>0</v>
      </c>
      <c r="AJ424" s="217">
        <f t="shared" si="811"/>
        <v>0</v>
      </c>
      <c r="AK424" s="217">
        <f t="shared" si="811"/>
        <v>0</v>
      </c>
      <c r="AL424" s="217">
        <f t="shared" si="811"/>
        <v>0</v>
      </c>
      <c r="AM424" s="217">
        <f t="shared" si="811"/>
        <v>0</v>
      </c>
      <c r="AN424" s="217">
        <f t="shared" si="811"/>
        <v>0</v>
      </c>
      <c r="AO424" s="217">
        <f t="shared" si="811"/>
        <v>0</v>
      </c>
      <c r="AP424" s="217">
        <f t="shared" si="811"/>
        <v>0</v>
      </c>
      <c r="AQ424" s="217">
        <f t="shared" si="811"/>
        <v>0</v>
      </c>
      <c r="AR424" s="217">
        <f t="shared" si="811"/>
        <v>0</v>
      </c>
      <c r="AS424" s="217">
        <f t="shared" si="811"/>
        <v>0</v>
      </c>
      <c r="AT424" s="217">
        <f t="shared" si="811"/>
        <v>0</v>
      </c>
      <c r="AU424" s="217">
        <f t="shared" si="811"/>
        <v>0</v>
      </c>
      <c r="AV424" s="217">
        <f t="shared" si="811"/>
        <v>0</v>
      </c>
      <c r="AW424" s="217">
        <f t="shared" si="811"/>
        <v>0</v>
      </c>
      <c r="AX424" s="217">
        <f t="shared" si="811"/>
        <v>0</v>
      </c>
      <c r="AY424" s="217">
        <f t="shared" si="811"/>
        <v>0</v>
      </c>
      <c r="AZ424" s="217">
        <f t="shared" si="811"/>
        <v>0</v>
      </c>
      <c r="BA424" s="217">
        <f t="shared" si="811"/>
        <v>0</v>
      </c>
      <c r="BB424" s="217">
        <f t="shared" si="811"/>
        <v>0</v>
      </c>
      <c r="BC424" s="217">
        <f t="shared" si="811"/>
        <v>0</v>
      </c>
      <c r="BD424" s="217">
        <f t="shared" si="811"/>
        <v>0</v>
      </c>
      <c r="BE424" s="217">
        <f t="shared" si="811"/>
        <v>0</v>
      </c>
      <c r="BF424" s="217">
        <f t="shared" si="811"/>
        <v>0</v>
      </c>
      <c r="BG424" s="217">
        <f t="shared" si="811"/>
        <v>0</v>
      </c>
      <c r="BH424" s="217">
        <f t="shared" si="811"/>
        <v>0</v>
      </c>
      <c r="BI424" s="217">
        <f t="shared" si="811"/>
        <v>0</v>
      </c>
      <c r="BJ424" s="217">
        <f t="shared" si="811"/>
        <v>0</v>
      </c>
      <c r="BK424" s="217">
        <f t="shared" si="811"/>
        <v>0</v>
      </c>
      <c r="BL424" s="217">
        <f t="shared" si="811"/>
        <v>0</v>
      </c>
      <c r="BM424" s="217">
        <f t="shared" si="811"/>
        <v>0</v>
      </c>
      <c r="BN424" s="217">
        <f t="shared" si="811"/>
        <v>0</v>
      </c>
      <c r="BO424" s="217">
        <f t="shared" ref="BO424:BX424" si="812">IF(ISBLANK(INDEX(MO_IS_FirstRow,0,COLUMN())),0,ROUND(BO420-BO681,6))</f>
        <v>0</v>
      </c>
      <c r="BP424" s="217">
        <f t="shared" si="812"/>
        <v>0</v>
      </c>
      <c r="BQ424" s="217">
        <f t="shared" si="812"/>
        <v>0</v>
      </c>
      <c r="BR424" s="217">
        <f t="shared" ref="BR424:BW424" si="813">IF(ISBLANK(INDEX(MO_IS_FirstRow,0,COLUMN())),0,ROUND(BR420-BR681,6))</f>
        <v>0</v>
      </c>
      <c r="BS424" s="217">
        <f t="shared" si="813"/>
        <v>0</v>
      </c>
      <c r="BT424" s="380">
        <f>IF(ISBLANK(INDEX(MO_IS_FirstRow,0,COLUMN())),0,ROUND(BT420-BT681,6))</f>
        <v>0</v>
      </c>
      <c r="BU424" s="217">
        <f t="shared" si="813"/>
        <v>0</v>
      </c>
      <c r="BV424" s="217">
        <f t="shared" si="813"/>
        <v>0</v>
      </c>
      <c r="BW424" s="217">
        <f t="shared" si="813"/>
        <v>0</v>
      </c>
      <c r="BX424" s="217">
        <f t="shared" si="812"/>
        <v>0</v>
      </c>
      <c r="BY424" s="217">
        <f t="shared" ref="BY424:CF424" si="814">IF(ISBLANK(INDEX(MO_IS_FirstRow,0,COLUMN())),0,ROUND(BY420-BY681,6))</f>
        <v>0</v>
      </c>
      <c r="BZ424" s="217">
        <f t="shared" si="814"/>
        <v>0</v>
      </c>
      <c r="CA424" s="217">
        <f t="shared" si="814"/>
        <v>0</v>
      </c>
      <c r="CB424" s="217">
        <f t="shared" si="814"/>
        <v>0</v>
      </c>
      <c r="CC424" s="217">
        <f t="shared" si="814"/>
        <v>0</v>
      </c>
      <c r="CD424" s="217">
        <f t="shared" si="814"/>
        <v>0</v>
      </c>
      <c r="CE424" s="217">
        <f t="shared" si="814"/>
        <v>0</v>
      </c>
      <c r="CF424" s="217">
        <f t="shared" si="814"/>
        <v>0</v>
      </c>
      <c r="CG424" s="22"/>
    </row>
    <row r="425" spans="1:85" s="424" customFormat="1" collapsed="1" x14ac:dyDescent="0.3">
      <c r="A425" s="335"/>
      <c r="B425" s="339"/>
      <c r="C425" s="837"/>
      <c r="D425" s="837"/>
      <c r="E425" s="837"/>
      <c r="F425" s="837"/>
      <c r="G425" s="722"/>
      <c r="H425" s="722"/>
      <c r="I425" s="722"/>
      <c r="J425" s="722"/>
      <c r="K425" s="837"/>
      <c r="L425" s="722"/>
      <c r="M425" s="722"/>
      <c r="N425" s="722"/>
      <c r="O425" s="722"/>
      <c r="P425" s="837"/>
      <c r="Q425" s="722"/>
      <c r="R425" s="722"/>
      <c r="S425" s="722"/>
      <c r="T425" s="722"/>
      <c r="U425" s="837"/>
      <c r="V425" s="722"/>
      <c r="W425" s="722"/>
      <c r="X425" s="722"/>
      <c r="Y425" s="722"/>
      <c r="Z425" s="837"/>
      <c r="AA425" s="722"/>
      <c r="AB425" s="722"/>
      <c r="AC425" s="722"/>
      <c r="AD425" s="722"/>
      <c r="AE425" s="837"/>
      <c r="AF425" s="722"/>
      <c r="AG425" s="722"/>
      <c r="AH425" s="722"/>
      <c r="AI425" s="722"/>
      <c r="AJ425" s="837"/>
      <c r="AK425" s="722"/>
      <c r="AL425" s="722"/>
      <c r="AM425" s="722"/>
      <c r="AN425" s="722"/>
      <c r="AO425" s="837"/>
      <c r="AP425" s="722"/>
      <c r="AQ425" s="722"/>
      <c r="AR425" s="722"/>
      <c r="AS425" s="722"/>
      <c r="AT425" s="837"/>
      <c r="AU425" s="722"/>
      <c r="AV425" s="722"/>
      <c r="AW425" s="722"/>
      <c r="AX425" s="722"/>
      <c r="AY425" s="837"/>
      <c r="AZ425" s="722"/>
      <c r="BA425" s="722"/>
      <c r="BB425" s="722"/>
      <c r="BC425" s="722"/>
      <c r="BD425" s="837"/>
      <c r="BE425" s="722"/>
      <c r="BF425" s="722"/>
      <c r="BG425" s="722"/>
      <c r="BH425" s="722"/>
      <c r="BI425" s="837"/>
      <c r="BJ425" s="722"/>
      <c r="BK425" s="722"/>
      <c r="BL425" s="722"/>
      <c r="BM425" s="722"/>
      <c r="BN425" s="837"/>
      <c r="BO425" s="722"/>
      <c r="BP425" s="722"/>
      <c r="BQ425" s="722"/>
      <c r="BR425" s="722"/>
      <c r="BS425" s="837"/>
      <c r="BT425" s="723"/>
      <c r="BU425" s="722"/>
      <c r="BV425" s="722"/>
      <c r="BW425" s="722"/>
      <c r="BX425" s="837"/>
      <c r="BY425" s="722"/>
      <c r="BZ425" s="722"/>
      <c r="CA425" s="722"/>
      <c r="CB425" s="722"/>
      <c r="CC425" s="837"/>
      <c r="CD425" s="837"/>
      <c r="CE425" s="837"/>
      <c r="CF425" s="837"/>
      <c r="CG425" s="190"/>
    </row>
    <row r="426" spans="1:85" s="427" customFormat="1" x14ac:dyDescent="0.3">
      <c r="A426" s="720" t="s">
        <v>589</v>
      </c>
      <c r="B426" s="720"/>
      <c r="C426" s="720"/>
      <c r="D426" s="720"/>
      <c r="E426" s="720"/>
      <c r="F426" s="720"/>
      <c r="G426" s="720"/>
      <c r="H426" s="720"/>
      <c r="I426" s="720"/>
      <c r="J426" s="720"/>
      <c r="K426" s="720"/>
      <c r="L426" s="720"/>
      <c r="M426" s="720"/>
      <c r="N426" s="720"/>
      <c r="O426" s="720"/>
      <c r="P426" s="720"/>
      <c r="Q426" s="720"/>
      <c r="R426" s="720"/>
      <c r="S426" s="720"/>
      <c r="T426" s="720"/>
      <c r="U426" s="720"/>
      <c r="V426" s="720"/>
      <c r="W426" s="720"/>
      <c r="X426" s="720"/>
      <c r="Y426" s="720"/>
      <c r="Z426" s="720"/>
      <c r="AA426" s="720"/>
      <c r="AB426" s="720"/>
      <c r="AC426" s="720"/>
      <c r="AD426" s="720"/>
      <c r="AE426" s="720"/>
      <c r="AF426" s="720"/>
      <c r="AG426" s="720"/>
      <c r="AH426" s="720"/>
      <c r="AI426" s="720"/>
      <c r="AJ426" s="720"/>
      <c r="AK426" s="720"/>
      <c r="AL426" s="720"/>
      <c r="AM426" s="720"/>
      <c r="AN426" s="720"/>
      <c r="AO426" s="720"/>
      <c r="AP426" s="744" t="s">
        <v>649</v>
      </c>
      <c r="AQ426" s="744" t="s">
        <v>649</v>
      </c>
      <c r="AR426" s="720"/>
      <c r="AS426" s="720"/>
      <c r="AT426" s="720"/>
      <c r="AU426" s="720"/>
      <c r="AV426" s="720"/>
      <c r="AW426" s="720"/>
      <c r="AX426" s="720"/>
      <c r="AY426" s="720"/>
      <c r="AZ426" s="720"/>
      <c r="BA426" s="720"/>
      <c r="BB426" s="720"/>
      <c r="BC426" s="720"/>
      <c r="BD426" s="720"/>
      <c r="BE426" s="720"/>
      <c r="BF426" s="720"/>
      <c r="BG426" s="720"/>
      <c r="BH426" s="720"/>
      <c r="BI426" s="720"/>
      <c r="BJ426" s="720"/>
      <c r="BK426" s="720"/>
      <c r="BL426" s="720"/>
      <c r="BM426" s="720"/>
      <c r="BN426" s="720"/>
      <c r="BO426" s="720"/>
      <c r="BP426" s="720"/>
      <c r="BQ426" s="720"/>
      <c r="BR426" s="720"/>
      <c r="BS426" s="720"/>
      <c r="BT426" s="721"/>
      <c r="BU426" s="720"/>
      <c r="BV426" s="720"/>
      <c r="BW426" s="720"/>
      <c r="BX426" s="720"/>
      <c r="BY426" s="720"/>
      <c r="BZ426" s="720"/>
      <c r="CA426" s="720"/>
      <c r="CB426" s="720"/>
      <c r="CC426" s="720"/>
      <c r="CD426" s="720"/>
      <c r="CE426" s="720"/>
      <c r="CF426" s="720"/>
      <c r="CG426" s="321"/>
    </row>
    <row r="427" spans="1:85" s="428" customFormat="1" hidden="1" outlineLevel="2" x14ac:dyDescent="0.3">
      <c r="A427" s="53" t="s">
        <v>615</v>
      </c>
      <c r="B427" s="58"/>
      <c r="C427" s="825"/>
      <c r="D427" s="825"/>
      <c r="E427" s="825"/>
      <c r="F427" s="825"/>
      <c r="G427" s="31"/>
      <c r="H427" s="31"/>
      <c r="I427" s="31"/>
      <c r="J427" s="31"/>
      <c r="K427" s="825"/>
      <c r="L427" s="31"/>
      <c r="M427" s="31"/>
      <c r="N427" s="31"/>
      <c r="O427" s="31"/>
      <c r="P427" s="825"/>
      <c r="Q427" s="31"/>
      <c r="R427" s="31"/>
      <c r="S427" s="31"/>
      <c r="T427" s="31"/>
      <c r="U427" s="825"/>
      <c r="V427" s="31"/>
      <c r="W427" s="31"/>
      <c r="X427" s="31"/>
      <c r="Y427" s="31"/>
      <c r="Z427" s="825"/>
      <c r="AA427" s="31"/>
      <c r="AB427" s="31"/>
      <c r="AC427" s="31"/>
      <c r="AD427" s="31"/>
      <c r="AE427" s="825"/>
      <c r="AF427" s="31"/>
      <c r="AG427" s="31"/>
      <c r="AH427" s="31"/>
      <c r="AI427" s="31"/>
      <c r="AJ427" s="825"/>
      <c r="AK427" s="31">
        <f t="shared" ref="AK427:BO427" si="815">AK97</f>
        <v>748</v>
      </c>
      <c r="AL427" s="31">
        <f t="shared" si="815"/>
        <v>896</v>
      </c>
      <c r="AM427" s="31">
        <f t="shared" si="815"/>
        <v>727</v>
      </c>
      <c r="AN427" s="31">
        <f t="shared" si="815"/>
        <v>-7465</v>
      </c>
      <c r="AO427" s="825">
        <f t="shared" si="815"/>
        <v>-5094</v>
      </c>
      <c r="AP427" s="31">
        <f t="shared" si="815"/>
        <v>241</v>
      </c>
      <c r="AQ427" s="31">
        <f t="shared" si="815"/>
        <v>-2066</v>
      </c>
      <c r="AR427" s="31">
        <f t="shared" si="815"/>
        <v>116</v>
      </c>
      <c r="AS427" s="31">
        <f t="shared" si="815"/>
        <v>101</v>
      </c>
      <c r="AT427" s="825">
        <f t="shared" si="815"/>
        <v>-1608</v>
      </c>
      <c r="AU427" s="31">
        <f t="shared" si="815"/>
        <v>941</v>
      </c>
      <c r="AV427" s="31">
        <f t="shared" si="815"/>
        <v>1446</v>
      </c>
      <c r="AW427" s="31">
        <f t="shared" si="815"/>
        <v>1962</v>
      </c>
      <c r="AX427" s="31">
        <f t="shared" si="815"/>
        <v>2970</v>
      </c>
      <c r="AY427" s="825">
        <f t="shared" si="815"/>
        <v>7319</v>
      </c>
      <c r="AZ427" s="31">
        <f t="shared" si="815"/>
        <v>3238</v>
      </c>
      <c r="BA427" s="31">
        <f t="shared" si="815"/>
        <v>3367</v>
      </c>
      <c r="BB427" s="31">
        <f t="shared" si="815"/>
        <v>3398</v>
      </c>
      <c r="BC427" s="31">
        <f t="shared" si="815"/>
        <v>2618</v>
      </c>
      <c r="BD427" s="825">
        <f t="shared" si="815"/>
        <v>12621</v>
      </c>
      <c r="BE427" s="31">
        <f t="shared" si="815"/>
        <v>1781</v>
      </c>
      <c r="BF427" s="31">
        <f t="shared" si="815"/>
        <v>1640</v>
      </c>
      <c r="BG427" s="31">
        <f t="shared" si="815"/>
        <v>2074</v>
      </c>
      <c r="BH427" s="31">
        <f t="shared" si="815"/>
        <v>-1347</v>
      </c>
      <c r="BI427" s="825">
        <f t="shared" si="815"/>
        <v>4148</v>
      </c>
      <c r="BJ427" s="31">
        <f t="shared" si="815"/>
        <v>2075</v>
      </c>
      <c r="BK427" s="31">
        <f t="shared" si="815"/>
        <v>2161</v>
      </c>
      <c r="BL427" s="31">
        <f t="shared" si="815"/>
        <v>1946</v>
      </c>
      <c r="BM427" s="31">
        <f t="shared" si="815"/>
        <v>1420</v>
      </c>
      <c r="BN427" s="825">
        <f t="shared" si="815"/>
        <v>7602</v>
      </c>
      <c r="BO427" s="31">
        <f t="shared" si="815"/>
        <v>1858</v>
      </c>
      <c r="BP427" s="31">
        <f>BP97</f>
        <v>1418</v>
      </c>
      <c r="BQ427" s="31">
        <f>BQ97</f>
        <v>1282</v>
      </c>
      <c r="BR427" s="31">
        <f>BR97</f>
        <v>1258</v>
      </c>
      <c r="BS427" s="825">
        <f>BS97</f>
        <v>5815</v>
      </c>
      <c r="BT427" s="379">
        <f>BT97</f>
        <v>2112</v>
      </c>
      <c r="BU427" s="31"/>
      <c r="BV427" s="31"/>
      <c r="BW427" s="31"/>
      <c r="BX427" s="825"/>
      <c r="BY427" s="31"/>
      <c r="BZ427" s="31"/>
      <c r="CA427" s="31"/>
      <c r="CB427" s="31"/>
      <c r="CC427" s="825"/>
      <c r="CD427" s="825"/>
      <c r="CE427" s="825"/>
      <c r="CF427" s="825"/>
      <c r="CG427" s="22"/>
    </row>
    <row r="428" spans="1:85" s="428" customFormat="1" hidden="1" outlineLevel="2" x14ac:dyDescent="0.3">
      <c r="A428" s="40" t="s">
        <v>622</v>
      </c>
      <c r="B428" s="109"/>
      <c r="C428" s="821"/>
      <c r="D428" s="821"/>
      <c r="E428" s="821"/>
      <c r="F428" s="821"/>
      <c r="G428" s="37"/>
      <c r="H428" s="37"/>
      <c r="I428" s="37"/>
      <c r="J428" s="37"/>
      <c r="K428" s="821"/>
      <c r="L428" s="37"/>
      <c r="M428" s="37"/>
      <c r="N428" s="37"/>
      <c r="O428" s="37"/>
      <c r="P428" s="821"/>
      <c r="Q428" s="37"/>
      <c r="R428" s="37"/>
      <c r="S428" s="37"/>
      <c r="T428" s="37"/>
      <c r="U428" s="821"/>
      <c r="V428" s="37"/>
      <c r="W428" s="37"/>
      <c r="X428" s="37"/>
      <c r="Y428" s="37"/>
      <c r="Z428" s="821"/>
      <c r="AA428" s="37"/>
      <c r="AB428" s="37"/>
      <c r="AC428" s="37"/>
      <c r="AD428" s="37"/>
      <c r="AE428" s="821"/>
      <c r="AF428" s="37"/>
      <c r="AG428" s="37"/>
      <c r="AH428" s="37"/>
      <c r="AI428" s="37"/>
      <c r="AJ428" s="821"/>
      <c r="AK428" s="37"/>
      <c r="AL428" s="37"/>
      <c r="AM428" s="37"/>
      <c r="AN428" s="763">
        <v>-8170</v>
      </c>
      <c r="AO428" s="827">
        <v>-8170</v>
      </c>
      <c r="AP428" s="37"/>
      <c r="AQ428" s="763">
        <v>-1190</v>
      </c>
      <c r="AR428" s="37"/>
      <c r="AS428" s="37"/>
      <c r="AT428" s="827">
        <v>-1190</v>
      </c>
      <c r="AU428" s="37"/>
      <c r="AV428" s="37"/>
      <c r="AW428" s="37"/>
      <c r="AX428" s="37"/>
      <c r="AY428" s="821"/>
      <c r="AZ428" s="37"/>
      <c r="BA428" s="37"/>
      <c r="BB428" s="37"/>
      <c r="BC428" s="37"/>
      <c r="BD428" s="821"/>
      <c r="BE428" s="37"/>
      <c r="BF428" s="37"/>
      <c r="BG428" s="37"/>
      <c r="BH428" s="763">
        <v>-1765</v>
      </c>
      <c r="BI428" s="827">
        <v>-1765</v>
      </c>
      <c r="BJ428" s="37"/>
      <c r="BK428" s="37"/>
      <c r="BL428" s="37"/>
      <c r="BM428" s="37"/>
      <c r="BN428" s="821"/>
      <c r="BO428" s="37"/>
      <c r="BP428" s="37"/>
      <c r="BQ428" s="37"/>
      <c r="BR428" s="37"/>
      <c r="BS428" s="821"/>
      <c r="BT428" s="480"/>
      <c r="BU428" s="37"/>
      <c r="BV428" s="37"/>
      <c r="BW428" s="37"/>
      <c r="BX428" s="821"/>
      <c r="BY428" s="37"/>
      <c r="BZ428" s="37"/>
      <c r="CA428" s="37"/>
      <c r="CB428" s="37"/>
      <c r="CC428" s="821"/>
      <c r="CD428" s="821"/>
      <c r="CE428" s="821"/>
      <c r="CF428" s="821"/>
      <c r="CG428" s="22"/>
    </row>
    <row r="429" spans="1:85" s="428" customFormat="1" hidden="1" outlineLevel="2" x14ac:dyDescent="0.3">
      <c r="A429" s="40" t="s">
        <v>623</v>
      </c>
      <c r="B429" s="109"/>
      <c r="C429" s="821"/>
      <c r="D429" s="821"/>
      <c r="E429" s="821"/>
      <c r="F429" s="821"/>
      <c r="G429" s="37"/>
      <c r="H429" s="37"/>
      <c r="I429" s="37"/>
      <c r="J429" s="37"/>
      <c r="K429" s="821"/>
      <c r="L429" s="37"/>
      <c r="M429" s="37"/>
      <c r="N429" s="37"/>
      <c r="O429" s="37"/>
      <c r="P429" s="821"/>
      <c r="Q429" s="37"/>
      <c r="R429" s="37"/>
      <c r="S429" s="37"/>
      <c r="T429" s="37"/>
      <c r="U429" s="821"/>
      <c r="V429" s="37"/>
      <c r="W429" s="37"/>
      <c r="X429" s="37"/>
      <c r="Y429" s="37"/>
      <c r="Z429" s="821"/>
      <c r="AA429" s="37"/>
      <c r="AB429" s="37"/>
      <c r="AC429" s="37"/>
      <c r="AD429" s="37"/>
      <c r="AE429" s="821"/>
      <c r="AF429" s="37"/>
      <c r="AG429" s="37"/>
      <c r="AH429" s="37"/>
      <c r="AI429" s="37"/>
      <c r="AJ429" s="821"/>
      <c r="AK429" s="37"/>
      <c r="AL429" s="37"/>
      <c r="AM429" s="37"/>
      <c r="AN429" s="37"/>
      <c r="AO429" s="821"/>
      <c r="AP429" s="37"/>
      <c r="AQ429" s="763">
        <v>-120</v>
      </c>
      <c r="AR429" s="37"/>
      <c r="AS429" s="37"/>
      <c r="AT429" s="827">
        <v>-120</v>
      </c>
      <c r="AU429" s="37"/>
      <c r="AV429" s="37"/>
      <c r="AW429" s="37"/>
      <c r="AX429" s="37"/>
      <c r="AY429" s="821"/>
      <c r="AZ429" s="37"/>
      <c r="BA429" s="37"/>
      <c r="BB429" s="37"/>
      <c r="BC429" s="37"/>
      <c r="BD429" s="821"/>
      <c r="BE429" s="37"/>
      <c r="BF429" s="37"/>
      <c r="BG429" s="37"/>
      <c r="BH429" s="37"/>
      <c r="BI429" s="821"/>
      <c r="BJ429" s="37"/>
      <c r="BK429" s="37"/>
      <c r="BL429" s="37"/>
      <c r="BM429" s="763">
        <v>-183</v>
      </c>
      <c r="BN429" s="827">
        <v>-183</v>
      </c>
      <c r="BO429" s="763">
        <v>-130</v>
      </c>
      <c r="BP429" s="763">
        <v>0</v>
      </c>
      <c r="BQ429" s="763">
        <v>-245</v>
      </c>
      <c r="BR429" s="37"/>
      <c r="BS429" s="827">
        <f>-245-130</f>
        <v>-375</v>
      </c>
      <c r="BT429" s="480"/>
      <c r="BU429" s="37"/>
      <c r="BV429" s="37"/>
      <c r="BW429" s="37"/>
      <c r="BX429" s="821"/>
      <c r="BY429" s="37"/>
      <c r="BZ429" s="37"/>
      <c r="CA429" s="37"/>
      <c r="CB429" s="37"/>
      <c r="CC429" s="821"/>
      <c r="CD429" s="821"/>
      <c r="CE429" s="821"/>
      <c r="CF429" s="821"/>
      <c r="CG429" s="22"/>
    </row>
    <row r="430" spans="1:85" s="428" customFormat="1" hidden="1" outlineLevel="2" x14ac:dyDescent="0.3">
      <c r="A430" s="40" t="s">
        <v>627</v>
      </c>
      <c r="B430" s="109"/>
      <c r="C430" s="821"/>
      <c r="D430" s="821"/>
      <c r="E430" s="821"/>
      <c r="F430" s="821"/>
      <c r="G430" s="37"/>
      <c r="H430" s="37"/>
      <c r="I430" s="37"/>
      <c r="J430" s="37"/>
      <c r="K430" s="821"/>
      <c r="L430" s="37"/>
      <c r="M430" s="37"/>
      <c r="N430" s="37"/>
      <c r="O430" s="37"/>
      <c r="P430" s="821"/>
      <c r="Q430" s="37"/>
      <c r="R430" s="37"/>
      <c r="S430" s="37"/>
      <c r="T430" s="37"/>
      <c r="U430" s="821"/>
      <c r="V430" s="37"/>
      <c r="W430" s="37"/>
      <c r="X430" s="37"/>
      <c r="Y430" s="37"/>
      <c r="Z430" s="821"/>
      <c r="AA430" s="37"/>
      <c r="AB430" s="37"/>
      <c r="AC430" s="37"/>
      <c r="AD430" s="37"/>
      <c r="AE430" s="821"/>
      <c r="AF430" s="37"/>
      <c r="AG430" s="37"/>
      <c r="AH430" s="37"/>
      <c r="AI430" s="37"/>
      <c r="AJ430" s="821"/>
      <c r="AK430" s="37"/>
      <c r="AL430" s="37"/>
      <c r="AM430" s="37"/>
      <c r="AN430" s="37"/>
      <c r="AO430" s="821"/>
      <c r="AP430" s="37"/>
      <c r="AQ430" s="37"/>
      <c r="AR430" s="37"/>
      <c r="AS430" s="37"/>
      <c r="AT430" s="821"/>
      <c r="AU430" s="37"/>
      <c r="AV430" s="37"/>
      <c r="AW430" s="763">
        <v>200</v>
      </c>
      <c r="AX430" s="763">
        <v>520</v>
      </c>
      <c r="AY430" s="827">
        <v>720</v>
      </c>
      <c r="AZ430" s="37"/>
      <c r="BA430" s="37"/>
      <c r="BB430" s="37"/>
      <c r="BC430" s="763">
        <v>0</v>
      </c>
      <c r="BD430" s="827">
        <v>0</v>
      </c>
      <c r="BE430" s="37"/>
      <c r="BF430" s="37"/>
      <c r="BG430" s="37"/>
      <c r="BH430" s="37"/>
      <c r="BI430" s="821"/>
      <c r="BJ430" s="37"/>
      <c r="BK430" s="37"/>
      <c r="BL430" s="37"/>
      <c r="BM430" s="37"/>
      <c r="BN430" s="821"/>
      <c r="BO430" s="37"/>
      <c r="BP430" s="763">
        <v>115</v>
      </c>
      <c r="BQ430" s="37"/>
      <c r="BR430" s="37"/>
      <c r="BS430" s="827">
        <v>115</v>
      </c>
      <c r="BT430" s="480"/>
      <c r="BU430" s="37"/>
      <c r="BV430" s="37"/>
      <c r="BW430" s="37"/>
      <c r="BX430" s="821"/>
      <c r="BY430" s="37"/>
      <c r="BZ430" s="37"/>
      <c r="CA430" s="37"/>
      <c r="CB430" s="37"/>
      <c r="CC430" s="821"/>
      <c r="CD430" s="821"/>
      <c r="CE430" s="821"/>
      <c r="CF430" s="821"/>
      <c r="CG430" s="22"/>
    </row>
    <row r="431" spans="1:85" s="428" customFormat="1" hidden="1" outlineLevel="2" x14ac:dyDescent="0.3">
      <c r="A431" s="40" t="s">
        <v>624</v>
      </c>
      <c r="B431" s="109"/>
      <c r="C431" s="821"/>
      <c r="D431" s="821"/>
      <c r="E431" s="821"/>
      <c r="F431" s="821"/>
      <c r="G431" s="37"/>
      <c r="H431" s="37"/>
      <c r="I431" s="37"/>
      <c r="J431" s="37"/>
      <c r="K431" s="821"/>
      <c r="L431" s="37"/>
      <c r="M431" s="37"/>
      <c r="N431" s="37"/>
      <c r="O431" s="37"/>
      <c r="P431" s="821"/>
      <c r="Q431" s="37"/>
      <c r="R431" s="37"/>
      <c r="S431" s="37"/>
      <c r="T431" s="37"/>
      <c r="U431" s="821"/>
      <c r="V431" s="37"/>
      <c r="W431" s="37"/>
      <c r="X431" s="37"/>
      <c r="Y431" s="37"/>
      <c r="Z431" s="821"/>
      <c r="AA431" s="37"/>
      <c r="AB431" s="37"/>
      <c r="AC431" s="37"/>
      <c r="AD431" s="37"/>
      <c r="AE431" s="821"/>
      <c r="AF431" s="37"/>
      <c r="AG431" s="37"/>
      <c r="AH431" s="37"/>
      <c r="AI431" s="37"/>
      <c r="AJ431" s="821"/>
      <c r="AK431" s="37"/>
      <c r="AL431" s="37"/>
      <c r="AM431" s="37"/>
      <c r="AN431" s="37"/>
      <c r="AO431" s="821"/>
      <c r="AP431" s="37"/>
      <c r="AQ431" s="37"/>
      <c r="AR431" s="37"/>
      <c r="AS431" s="37"/>
      <c r="AT431" s="821"/>
      <c r="AU431" s="37"/>
      <c r="AV431" s="763">
        <v>-120</v>
      </c>
      <c r="AW431" s="37"/>
      <c r="AX431" s="37"/>
      <c r="AY431" s="827">
        <v>-120</v>
      </c>
      <c r="AZ431" s="37"/>
      <c r="BA431" s="37"/>
      <c r="BB431" s="37"/>
      <c r="BC431" s="37"/>
      <c r="BD431" s="821"/>
      <c r="BE431" s="37"/>
      <c r="BF431" s="37"/>
      <c r="BG431" s="37"/>
      <c r="BH431" s="37"/>
      <c r="BI431" s="821"/>
      <c r="BJ431" s="37"/>
      <c r="BK431" s="37"/>
      <c r="BL431" s="37"/>
      <c r="BM431" s="37"/>
      <c r="BN431" s="821"/>
      <c r="BO431" s="37"/>
      <c r="BP431" s="37"/>
      <c r="BQ431" s="37"/>
      <c r="BR431" s="37"/>
      <c r="BS431" s="821"/>
      <c r="BT431" s="480"/>
      <c r="BU431" s="37"/>
      <c r="BV431" s="37"/>
      <c r="BW431" s="37"/>
      <c r="BX431" s="821"/>
      <c r="BY431" s="37"/>
      <c r="BZ431" s="37"/>
      <c r="CA431" s="37"/>
      <c r="CB431" s="37"/>
      <c r="CC431" s="821"/>
      <c r="CD431" s="821"/>
      <c r="CE431" s="821"/>
      <c r="CF431" s="821"/>
      <c r="CG431" s="22"/>
    </row>
    <row r="432" spans="1:85" s="428" customFormat="1" hidden="1" outlineLevel="2" x14ac:dyDescent="0.3">
      <c r="A432" s="40" t="s">
        <v>699</v>
      </c>
      <c r="B432" s="109"/>
      <c r="C432" s="821"/>
      <c r="D432" s="821"/>
      <c r="E432" s="821"/>
      <c r="F432" s="821"/>
      <c r="G432" s="37"/>
      <c r="H432" s="37"/>
      <c r="I432" s="37"/>
      <c r="J432" s="37"/>
      <c r="K432" s="821"/>
      <c r="L432" s="37"/>
      <c r="M432" s="37"/>
      <c r="N432" s="37"/>
      <c r="O432" s="37"/>
      <c r="P432" s="821"/>
      <c r="Q432" s="37"/>
      <c r="R432" s="37"/>
      <c r="S432" s="37"/>
      <c r="T432" s="37"/>
      <c r="U432" s="821"/>
      <c r="V432" s="37"/>
      <c r="W432" s="37"/>
      <c r="X432" s="37"/>
      <c r="Y432" s="37"/>
      <c r="Z432" s="821"/>
      <c r="AA432" s="37"/>
      <c r="AB432" s="37"/>
      <c r="AC432" s="37"/>
      <c r="AD432" s="37"/>
      <c r="AE432" s="821"/>
      <c r="AF432" s="37"/>
      <c r="AG432" s="37"/>
      <c r="AH432" s="37"/>
      <c r="AI432" s="37"/>
      <c r="AJ432" s="821"/>
      <c r="AK432" s="37"/>
      <c r="AL432" s="37"/>
      <c r="AM432" s="37"/>
      <c r="AN432" s="37"/>
      <c r="AO432" s="821"/>
      <c r="AP432" s="37"/>
      <c r="AQ432" s="37"/>
      <c r="AR432" s="37"/>
      <c r="AS432" s="37"/>
      <c r="AT432" s="821"/>
      <c r="AU432" s="37"/>
      <c r="AV432" s="37"/>
      <c r="AW432" s="37"/>
      <c r="AX432" s="37"/>
      <c r="AY432" s="821"/>
      <c r="AZ432" s="37"/>
      <c r="BA432" s="763">
        <v>-600</v>
      </c>
      <c r="BB432" s="37"/>
      <c r="BC432" s="37"/>
      <c r="BD432" s="827">
        <v>-600</v>
      </c>
      <c r="BE432" s="37"/>
      <c r="BF432" s="37"/>
      <c r="BG432" s="37"/>
      <c r="BH432" s="37"/>
      <c r="BI432" s="821"/>
      <c r="BJ432" s="37"/>
      <c r="BK432" s="37"/>
      <c r="BL432" s="37"/>
      <c r="BM432" s="37"/>
      <c r="BN432" s="821"/>
      <c r="BO432" s="37"/>
      <c r="BP432" s="37"/>
      <c r="BQ432" s="37"/>
      <c r="BR432" s="37"/>
      <c r="BS432" s="821"/>
      <c r="BT432" s="480"/>
      <c r="BU432" s="37"/>
      <c r="BV432" s="37"/>
      <c r="BW432" s="37"/>
      <c r="BX432" s="821"/>
      <c r="BY432" s="37"/>
      <c r="BZ432" s="37"/>
      <c r="CA432" s="37"/>
      <c r="CB432" s="37"/>
      <c r="CC432" s="821"/>
      <c r="CD432" s="821"/>
      <c r="CE432" s="821"/>
      <c r="CF432" s="821"/>
      <c r="CG432" s="22"/>
    </row>
    <row r="433" spans="1:85" s="428" customFormat="1" hidden="1" outlineLevel="2" x14ac:dyDescent="0.3">
      <c r="A433" s="40" t="s">
        <v>811</v>
      </c>
      <c r="B433" s="109"/>
      <c r="C433" s="821"/>
      <c r="D433" s="821"/>
      <c r="E433" s="821"/>
      <c r="F433" s="821"/>
      <c r="G433" s="37"/>
      <c r="H433" s="37"/>
      <c r="I433" s="37"/>
      <c r="J433" s="37"/>
      <c r="K433" s="821"/>
      <c r="L433" s="37"/>
      <c r="M433" s="37"/>
      <c r="N433" s="37"/>
      <c r="O433" s="37"/>
      <c r="P433" s="821"/>
      <c r="Q433" s="37"/>
      <c r="R433" s="37"/>
      <c r="S433" s="37"/>
      <c r="T433" s="37"/>
      <c r="U433" s="821"/>
      <c r="V433" s="37"/>
      <c r="W433" s="37"/>
      <c r="X433" s="37"/>
      <c r="Y433" s="37"/>
      <c r="Z433" s="821"/>
      <c r="AA433" s="37"/>
      <c r="AB433" s="37"/>
      <c r="AC433" s="37"/>
      <c r="AD433" s="37"/>
      <c r="AE433" s="821"/>
      <c r="AF433" s="37"/>
      <c r="AG433" s="37"/>
      <c r="AH433" s="37"/>
      <c r="AI433" s="37"/>
      <c r="AJ433" s="821"/>
      <c r="AK433" s="37"/>
      <c r="AL433" s="37"/>
      <c r="AM433" s="37"/>
      <c r="AN433" s="37"/>
      <c r="AO433" s="821"/>
      <c r="AP433" s="37"/>
      <c r="AQ433" s="37"/>
      <c r="AR433" s="37"/>
      <c r="AS433" s="37"/>
      <c r="AT433" s="821"/>
      <c r="AU433" s="37"/>
      <c r="AV433" s="37"/>
      <c r="AW433" s="37"/>
      <c r="AX433" s="37"/>
      <c r="AY433" s="821"/>
      <c r="AZ433" s="37"/>
      <c r="BA433" s="37"/>
      <c r="BB433" s="37"/>
      <c r="BC433" s="37"/>
      <c r="BD433" s="821"/>
      <c r="BE433" s="37"/>
      <c r="BF433" s="37"/>
      <c r="BG433" s="37"/>
      <c r="BH433" s="763">
        <v>-1950</v>
      </c>
      <c r="BI433" s="827">
        <v>-1950</v>
      </c>
      <c r="BJ433" s="37"/>
      <c r="BK433" s="37"/>
      <c r="BL433" s="37"/>
      <c r="BM433" s="37"/>
      <c r="BN433" s="821"/>
      <c r="BO433" s="37"/>
      <c r="BP433" s="37"/>
      <c r="BQ433" s="37"/>
      <c r="BR433" s="37"/>
      <c r="BS433" s="821"/>
      <c r="BT433" s="480"/>
      <c r="BU433" s="37"/>
      <c r="BV433" s="37"/>
      <c r="BW433" s="37"/>
      <c r="BX433" s="821"/>
      <c r="BY433" s="37"/>
      <c r="BZ433" s="37"/>
      <c r="CA433" s="37"/>
      <c r="CB433" s="37"/>
      <c r="CC433" s="821"/>
      <c r="CD433" s="821"/>
      <c r="CE433" s="821"/>
      <c r="CF433" s="821"/>
      <c r="CG433" s="22"/>
    </row>
    <row r="434" spans="1:85" s="428" customFormat="1" hidden="1" outlineLevel="2" x14ac:dyDescent="0.3">
      <c r="A434" s="40" t="s">
        <v>629</v>
      </c>
      <c r="B434" s="109"/>
      <c r="C434" s="821"/>
      <c r="D434" s="821"/>
      <c r="E434" s="821"/>
      <c r="F434" s="821"/>
      <c r="G434" s="37"/>
      <c r="H434" s="37"/>
      <c r="I434" s="37"/>
      <c r="J434" s="37"/>
      <c r="K434" s="821"/>
      <c r="L434" s="37"/>
      <c r="M434" s="37"/>
      <c r="N434" s="37"/>
      <c r="O434" s="37"/>
      <c r="P434" s="821"/>
      <c r="Q434" s="37"/>
      <c r="R434" s="37"/>
      <c r="S434" s="37"/>
      <c r="T434" s="37"/>
      <c r="U434" s="821"/>
      <c r="V434" s="37"/>
      <c r="W434" s="37"/>
      <c r="X434" s="37"/>
      <c r="Y434" s="37"/>
      <c r="Z434" s="821"/>
      <c r="AA434" s="37"/>
      <c r="AB434" s="37"/>
      <c r="AC434" s="37"/>
      <c r="AD434" s="37"/>
      <c r="AE434" s="821"/>
      <c r="AF434" s="37"/>
      <c r="AG434" s="37"/>
      <c r="AH434" s="37"/>
      <c r="AI434" s="37"/>
      <c r="AJ434" s="821"/>
      <c r="AK434" s="37"/>
      <c r="AL434" s="37"/>
      <c r="AM434" s="37"/>
      <c r="AN434" s="37"/>
      <c r="AO434" s="821"/>
      <c r="AP434" s="37"/>
      <c r="AQ434" s="37"/>
      <c r="AR434" s="37"/>
      <c r="AS434" s="763">
        <v>-20</v>
      </c>
      <c r="AT434" s="827">
        <v>-20</v>
      </c>
      <c r="AU434" s="37"/>
      <c r="AV434" s="37"/>
      <c r="AW434" s="37"/>
      <c r="AX434" s="37"/>
      <c r="AY434" s="821"/>
      <c r="AZ434" s="37"/>
      <c r="BA434" s="37"/>
      <c r="BB434" s="37"/>
      <c r="BC434" s="37"/>
      <c r="BD434" s="821"/>
      <c r="BE434" s="37"/>
      <c r="BF434" s="37"/>
      <c r="BG434" s="37"/>
      <c r="BH434" s="37"/>
      <c r="BI434" s="821"/>
      <c r="BJ434" s="37"/>
      <c r="BK434" s="37"/>
      <c r="BL434" s="37"/>
      <c r="BM434" s="37"/>
      <c r="BN434" s="821"/>
      <c r="BO434" s="37"/>
      <c r="BP434" s="37"/>
      <c r="BQ434" s="37"/>
      <c r="BR434" s="37"/>
      <c r="BS434" s="821"/>
      <c r="BT434" s="480"/>
      <c r="BU434" s="37"/>
      <c r="BV434" s="37"/>
      <c r="BW434" s="37"/>
      <c r="BX434" s="821"/>
      <c r="BY434" s="37"/>
      <c r="BZ434" s="37"/>
      <c r="CA434" s="37"/>
      <c r="CB434" s="37"/>
      <c r="CC434" s="821"/>
      <c r="CD434" s="821"/>
      <c r="CE434" s="821"/>
      <c r="CF434" s="821"/>
      <c r="CG434" s="22"/>
    </row>
    <row r="435" spans="1:85" s="428" customFormat="1" hidden="1" outlineLevel="2" x14ac:dyDescent="0.3">
      <c r="A435" s="41" t="s">
        <v>642</v>
      </c>
      <c r="B435" s="99"/>
      <c r="C435" s="823"/>
      <c r="D435" s="823"/>
      <c r="E435" s="823"/>
      <c r="F435" s="823"/>
      <c r="G435" s="393"/>
      <c r="H435" s="393"/>
      <c r="I435" s="393"/>
      <c r="J435" s="393"/>
      <c r="K435" s="823"/>
      <c r="L435" s="393"/>
      <c r="M435" s="393"/>
      <c r="N435" s="393"/>
      <c r="O435" s="393"/>
      <c r="P435" s="823"/>
      <c r="Q435" s="393"/>
      <c r="R435" s="393"/>
      <c r="S435" s="393"/>
      <c r="T435" s="393"/>
      <c r="U435" s="823"/>
      <c r="V435" s="393"/>
      <c r="W435" s="393"/>
      <c r="X435" s="393"/>
      <c r="Y435" s="393"/>
      <c r="Z435" s="823"/>
      <c r="AA435" s="393"/>
      <c r="AB435" s="393"/>
      <c r="AC435" s="393"/>
      <c r="AD435" s="393"/>
      <c r="AE435" s="823"/>
      <c r="AF435" s="393"/>
      <c r="AG435" s="393"/>
      <c r="AH435" s="393"/>
      <c r="AI435" s="393"/>
      <c r="AJ435" s="823"/>
      <c r="AK435" s="393">
        <f t="shared" ref="AK435:BQ435" si="816">AK427-SUM(AK428:AK434)</f>
        <v>748</v>
      </c>
      <c r="AL435" s="393">
        <f t="shared" si="816"/>
        <v>896</v>
      </c>
      <c r="AM435" s="393">
        <f t="shared" si="816"/>
        <v>727</v>
      </c>
      <c r="AN435" s="393">
        <f t="shared" si="816"/>
        <v>705</v>
      </c>
      <c r="AO435" s="823">
        <f t="shared" si="816"/>
        <v>3076</v>
      </c>
      <c r="AP435" s="393">
        <f t="shared" si="816"/>
        <v>241</v>
      </c>
      <c r="AQ435" s="393">
        <f t="shared" si="816"/>
        <v>-756</v>
      </c>
      <c r="AR435" s="393">
        <f t="shared" si="816"/>
        <v>116</v>
      </c>
      <c r="AS435" s="393">
        <f t="shared" si="816"/>
        <v>121</v>
      </c>
      <c r="AT435" s="823">
        <f t="shared" si="816"/>
        <v>-278</v>
      </c>
      <c r="AU435" s="393">
        <f t="shared" si="816"/>
        <v>941</v>
      </c>
      <c r="AV435" s="393">
        <f t="shared" si="816"/>
        <v>1566</v>
      </c>
      <c r="AW435" s="393">
        <f t="shared" si="816"/>
        <v>1762</v>
      </c>
      <c r="AX435" s="393">
        <f t="shared" si="816"/>
        <v>2450</v>
      </c>
      <c r="AY435" s="823">
        <f t="shared" si="816"/>
        <v>6719</v>
      </c>
      <c r="AZ435" s="393">
        <f t="shared" si="816"/>
        <v>3238</v>
      </c>
      <c r="BA435" s="393">
        <f t="shared" si="816"/>
        <v>3967</v>
      </c>
      <c r="BB435" s="393">
        <f t="shared" si="816"/>
        <v>3398</v>
      </c>
      <c r="BC435" s="393">
        <f t="shared" si="816"/>
        <v>2618</v>
      </c>
      <c r="BD435" s="823">
        <f t="shared" si="816"/>
        <v>13221</v>
      </c>
      <c r="BE435" s="393">
        <f t="shared" si="816"/>
        <v>1781</v>
      </c>
      <c r="BF435" s="393">
        <f t="shared" si="816"/>
        <v>1640</v>
      </c>
      <c r="BG435" s="393">
        <f t="shared" si="816"/>
        <v>2074</v>
      </c>
      <c r="BH435" s="393">
        <f t="shared" si="816"/>
        <v>2368</v>
      </c>
      <c r="BI435" s="823">
        <f t="shared" si="816"/>
        <v>7863</v>
      </c>
      <c r="BJ435" s="393">
        <f t="shared" si="816"/>
        <v>2075</v>
      </c>
      <c r="BK435" s="393">
        <f t="shared" si="816"/>
        <v>2161</v>
      </c>
      <c r="BL435" s="393">
        <f t="shared" si="816"/>
        <v>1946</v>
      </c>
      <c r="BM435" s="393">
        <f t="shared" si="816"/>
        <v>1603</v>
      </c>
      <c r="BN435" s="823">
        <f t="shared" si="816"/>
        <v>7785</v>
      </c>
      <c r="BO435" s="393">
        <f t="shared" si="816"/>
        <v>1988</v>
      </c>
      <c r="BP435" s="393">
        <f t="shared" si="816"/>
        <v>1303</v>
      </c>
      <c r="BQ435" s="393">
        <f t="shared" si="816"/>
        <v>1527</v>
      </c>
      <c r="BR435" s="393">
        <f>BR427-SUM(BR428:BR434)</f>
        <v>1258</v>
      </c>
      <c r="BS435" s="823">
        <f>BS427-SUM(BS428:BS434)</f>
        <v>6075</v>
      </c>
      <c r="BT435" s="641">
        <f>BT427-SUM(BT428:BT434)</f>
        <v>2112</v>
      </c>
      <c r="BU435" s="393"/>
      <c r="BV435" s="393"/>
      <c r="BW435" s="393"/>
      <c r="BX435" s="823"/>
      <c r="BY435" s="393"/>
      <c r="BZ435" s="393"/>
      <c r="CA435" s="393"/>
      <c r="CB435" s="393"/>
      <c r="CC435" s="823"/>
      <c r="CD435" s="823"/>
      <c r="CE435" s="823"/>
      <c r="CF435" s="823"/>
      <c r="CG435" s="22"/>
    </row>
    <row r="436" spans="1:85" s="428" customFormat="1" hidden="1" outlineLevel="2" x14ac:dyDescent="0.3">
      <c r="A436" s="43"/>
      <c r="B436" s="109"/>
      <c r="C436" s="821"/>
      <c r="D436" s="821"/>
      <c r="E436" s="821"/>
      <c r="F436" s="821"/>
      <c r="G436" s="37"/>
      <c r="H436" s="37"/>
      <c r="I436" s="37"/>
      <c r="J436" s="37"/>
      <c r="K436" s="821"/>
      <c r="L436" s="37"/>
      <c r="M436" s="37"/>
      <c r="N436" s="37"/>
      <c r="O436" s="37"/>
      <c r="P436" s="821"/>
      <c r="Q436" s="37"/>
      <c r="R436" s="37"/>
      <c r="S436" s="37"/>
      <c r="T436" s="37"/>
      <c r="U436" s="821"/>
      <c r="V436" s="37"/>
      <c r="W436" s="37"/>
      <c r="X436" s="37"/>
      <c r="Y436" s="37"/>
      <c r="Z436" s="821"/>
      <c r="AA436" s="37"/>
      <c r="AB436" s="37"/>
      <c r="AC436" s="37"/>
      <c r="AD436" s="37"/>
      <c r="AE436" s="821"/>
      <c r="AF436" s="37"/>
      <c r="AG436" s="37"/>
      <c r="AH436" s="37"/>
      <c r="AI436" s="37"/>
      <c r="AJ436" s="821"/>
      <c r="AK436" s="37"/>
      <c r="AL436" s="37"/>
      <c r="AM436" s="37"/>
      <c r="AN436" s="37"/>
      <c r="AO436" s="821"/>
      <c r="AP436" s="37"/>
      <c r="AQ436" s="37"/>
      <c r="AR436" s="37"/>
      <c r="AS436" s="37"/>
      <c r="AT436" s="821"/>
      <c r="AU436" s="37"/>
      <c r="AV436" s="37"/>
      <c r="AW436" s="37"/>
      <c r="AX436" s="37"/>
      <c r="AY436" s="821"/>
      <c r="AZ436" s="37"/>
      <c r="BA436" s="37"/>
      <c r="BB436" s="37"/>
      <c r="BC436" s="37"/>
      <c r="BD436" s="821"/>
      <c r="BE436" s="37"/>
      <c r="BF436" s="37"/>
      <c r="BG436" s="37"/>
      <c r="BH436" s="37"/>
      <c r="BI436" s="821"/>
      <c r="BJ436" s="37"/>
      <c r="BK436" s="37"/>
      <c r="BL436" s="37"/>
      <c r="BM436" s="37"/>
      <c r="BN436" s="821"/>
      <c r="BO436" s="37"/>
      <c r="BP436" s="37"/>
      <c r="BQ436" s="37"/>
      <c r="BR436" s="37"/>
      <c r="BS436" s="821"/>
      <c r="BT436" s="480"/>
      <c r="BU436" s="37"/>
      <c r="BV436" s="37"/>
      <c r="BW436" s="37"/>
      <c r="BX436" s="821"/>
      <c r="BY436" s="37"/>
      <c r="BZ436" s="37"/>
      <c r="CA436" s="37"/>
      <c r="CB436" s="37"/>
      <c r="CC436" s="821"/>
      <c r="CD436" s="821"/>
      <c r="CE436" s="821"/>
      <c r="CF436" s="821"/>
      <c r="CG436" s="22"/>
    </row>
    <row r="437" spans="1:85" s="428" customFormat="1" hidden="1" outlineLevel="2" x14ac:dyDescent="0.3">
      <c r="A437" s="53" t="s">
        <v>643</v>
      </c>
      <c r="B437" s="58"/>
      <c r="C437" s="825"/>
      <c r="D437" s="825"/>
      <c r="E437" s="825"/>
      <c r="F437" s="825"/>
      <c r="G437" s="31"/>
      <c r="H437" s="31"/>
      <c r="I437" s="31"/>
      <c r="J437" s="31"/>
      <c r="K437" s="825"/>
      <c r="L437" s="31"/>
      <c r="M437" s="31"/>
      <c r="N437" s="31"/>
      <c r="O437" s="31"/>
      <c r="P437" s="825"/>
      <c r="Q437" s="31"/>
      <c r="R437" s="31"/>
      <c r="S437" s="31"/>
      <c r="T437" s="31"/>
      <c r="U437" s="825"/>
      <c r="V437" s="31"/>
      <c r="W437" s="31"/>
      <c r="X437" s="31"/>
      <c r="Y437" s="31"/>
      <c r="Z437" s="825"/>
      <c r="AA437" s="31"/>
      <c r="AB437" s="31"/>
      <c r="AC437" s="31"/>
      <c r="AD437" s="31"/>
      <c r="AE437" s="825"/>
      <c r="AF437" s="31"/>
      <c r="AG437" s="31"/>
      <c r="AH437" s="31"/>
      <c r="AI437" s="31"/>
      <c r="AJ437" s="825"/>
      <c r="AK437" s="31">
        <f t="shared" ref="AK437:BQ437" si="817">AK98</f>
        <v>2375</v>
      </c>
      <c r="AL437" s="31">
        <f t="shared" si="817"/>
        <v>2587</v>
      </c>
      <c r="AM437" s="31">
        <f t="shared" si="817"/>
        <v>1977</v>
      </c>
      <c r="AN437" s="31">
        <f t="shared" si="817"/>
        <v>731</v>
      </c>
      <c r="AO437" s="825">
        <f t="shared" si="817"/>
        <v>7670</v>
      </c>
      <c r="AP437" s="31">
        <f t="shared" si="817"/>
        <v>2679</v>
      </c>
      <c r="AQ437" s="31">
        <f t="shared" si="817"/>
        <v>-4023</v>
      </c>
      <c r="AR437" s="31">
        <f t="shared" si="817"/>
        <v>119</v>
      </c>
      <c r="AS437" s="31">
        <f t="shared" si="817"/>
        <v>400</v>
      </c>
      <c r="AT437" s="825">
        <f t="shared" si="817"/>
        <v>-825</v>
      </c>
      <c r="AU437" s="31">
        <f t="shared" si="817"/>
        <v>1409</v>
      </c>
      <c r="AV437" s="31">
        <f t="shared" si="817"/>
        <v>1732</v>
      </c>
      <c r="AW437" s="31">
        <f t="shared" si="817"/>
        <v>3173</v>
      </c>
      <c r="AX437" s="31">
        <f t="shared" si="817"/>
        <v>2185</v>
      </c>
      <c r="AY437" s="825">
        <f t="shared" si="817"/>
        <v>8499</v>
      </c>
      <c r="AZ437" s="31">
        <f t="shared" si="817"/>
        <v>3696</v>
      </c>
      <c r="BA437" s="31">
        <f t="shared" si="817"/>
        <v>5191</v>
      </c>
      <c r="BB437" s="31">
        <f t="shared" si="817"/>
        <v>5909</v>
      </c>
      <c r="BC437" s="31">
        <f t="shared" si="817"/>
        <v>2867</v>
      </c>
      <c r="BD437" s="825">
        <f t="shared" si="817"/>
        <v>17663</v>
      </c>
      <c r="BE437" s="31">
        <f t="shared" si="817"/>
        <v>3380</v>
      </c>
      <c r="BF437" s="31">
        <f t="shared" si="817"/>
        <v>3296</v>
      </c>
      <c r="BG437" s="31">
        <f t="shared" si="817"/>
        <v>3681</v>
      </c>
      <c r="BH437" s="31">
        <f t="shared" si="817"/>
        <v>2933</v>
      </c>
      <c r="BI437" s="825">
        <f t="shared" si="817"/>
        <v>13290</v>
      </c>
      <c r="BJ437" s="31">
        <f t="shared" si="817"/>
        <v>3164</v>
      </c>
      <c r="BK437" s="31">
        <f t="shared" si="817"/>
        <v>2309</v>
      </c>
      <c r="BL437" s="31">
        <f t="shared" si="817"/>
        <v>2643</v>
      </c>
      <c r="BM437" s="31">
        <f t="shared" si="817"/>
        <v>2884</v>
      </c>
      <c r="BN437" s="825">
        <f t="shared" si="817"/>
        <v>11000</v>
      </c>
      <c r="BO437" s="31">
        <f t="shared" si="817"/>
        <v>1900</v>
      </c>
      <c r="BP437" s="31">
        <f t="shared" si="817"/>
        <v>1309</v>
      </c>
      <c r="BQ437" s="31">
        <f t="shared" si="817"/>
        <v>2020</v>
      </c>
      <c r="BR437" s="31">
        <f>BR98</f>
        <v>1777</v>
      </c>
      <c r="BS437" s="825">
        <f>BS98</f>
        <v>7007</v>
      </c>
      <c r="BT437" s="379">
        <f>BT98</f>
        <v>1797</v>
      </c>
      <c r="BU437" s="31"/>
      <c r="BV437" s="31"/>
      <c r="BW437" s="31"/>
      <c r="BX437" s="825"/>
      <c r="BY437" s="31"/>
      <c r="BZ437" s="31"/>
      <c r="CA437" s="31"/>
      <c r="CB437" s="31"/>
      <c r="CC437" s="825"/>
      <c r="CD437" s="825"/>
      <c r="CE437" s="825"/>
      <c r="CF437" s="825"/>
      <c r="CG437" s="22"/>
    </row>
    <row r="438" spans="1:85" s="428" customFormat="1" hidden="1" outlineLevel="2" x14ac:dyDescent="0.3">
      <c r="A438" s="40" t="s">
        <v>622</v>
      </c>
      <c r="B438" s="109"/>
      <c r="C438" s="821"/>
      <c r="D438" s="821"/>
      <c r="E438" s="821"/>
      <c r="F438" s="821"/>
      <c r="G438" s="37"/>
      <c r="H438" s="37"/>
      <c r="I438" s="37"/>
      <c r="J438" s="37"/>
      <c r="K438" s="821"/>
      <c r="L438" s="37"/>
      <c r="M438" s="37"/>
      <c r="N438" s="37"/>
      <c r="O438" s="37"/>
      <c r="P438" s="821"/>
      <c r="Q438" s="37"/>
      <c r="R438" s="37"/>
      <c r="S438" s="37"/>
      <c r="T438" s="37"/>
      <c r="U438" s="821"/>
      <c r="V438" s="37"/>
      <c r="W438" s="37"/>
      <c r="X438" s="37"/>
      <c r="Y438" s="37"/>
      <c r="Z438" s="821"/>
      <c r="AA438" s="37"/>
      <c r="AB438" s="37"/>
      <c r="AC438" s="37"/>
      <c r="AD438" s="37"/>
      <c r="AE438" s="821"/>
      <c r="AF438" s="37"/>
      <c r="AG438" s="37"/>
      <c r="AH438" s="37"/>
      <c r="AI438" s="37"/>
      <c r="AJ438" s="821"/>
      <c r="AK438" s="37"/>
      <c r="AL438" s="37"/>
      <c r="AM438" s="37"/>
      <c r="AN438" s="763">
        <v>-2180</v>
      </c>
      <c r="AO438" s="827">
        <v>-2180</v>
      </c>
      <c r="AP438" s="37"/>
      <c r="AQ438" s="763">
        <v>-3590</v>
      </c>
      <c r="AR438" s="37"/>
      <c r="AS438" s="37"/>
      <c r="AT438" s="827">
        <v>-3590</v>
      </c>
      <c r="AU438" s="37"/>
      <c r="AV438" s="37"/>
      <c r="AW438" s="37"/>
      <c r="AX438" s="37"/>
      <c r="AY438" s="821"/>
      <c r="AZ438" s="37"/>
      <c r="BA438" s="37"/>
      <c r="BB438" s="37"/>
      <c r="BC438" s="763">
        <v>-1075</v>
      </c>
      <c r="BD438" s="827">
        <v>-1075</v>
      </c>
      <c r="BE438" s="37"/>
      <c r="BF438" s="37"/>
      <c r="BG438" s="37"/>
      <c r="BH438" s="37"/>
      <c r="BI438" s="821"/>
      <c r="BJ438" s="37"/>
      <c r="BK438" s="37"/>
      <c r="BL438" s="37"/>
      <c r="BM438" s="763">
        <v>-125</v>
      </c>
      <c r="BN438" s="827">
        <v>-125</v>
      </c>
      <c r="BO438" s="37"/>
      <c r="BP438" s="37"/>
      <c r="BQ438" s="37"/>
      <c r="BR438" s="37"/>
      <c r="BS438" s="821"/>
      <c r="BT438" s="480"/>
      <c r="BU438" s="37"/>
      <c r="BV438" s="37"/>
      <c r="BW438" s="37"/>
      <c r="BX438" s="821"/>
      <c r="BY438" s="37"/>
      <c r="BZ438" s="37"/>
      <c r="CA438" s="37"/>
      <c r="CB438" s="37"/>
      <c r="CC438" s="821"/>
      <c r="CD438" s="821"/>
      <c r="CE438" s="821"/>
      <c r="CF438" s="821"/>
      <c r="CG438" s="22"/>
    </row>
    <row r="439" spans="1:85" s="428" customFormat="1" hidden="1" outlineLevel="2" x14ac:dyDescent="0.3">
      <c r="A439" s="40" t="s">
        <v>623</v>
      </c>
      <c r="B439" s="109"/>
      <c r="C439" s="821"/>
      <c r="D439" s="821"/>
      <c r="E439" s="821"/>
      <c r="F439" s="821"/>
      <c r="G439" s="37"/>
      <c r="H439" s="37"/>
      <c r="I439" s="37"/>
      <c r="J439" s="37"/>
      <c r="K439" s="821"/>
      <c r="L439" s="37"/>
      <c r="M439" s="37"/>
      <c r="N439" s="37"/>
      <c r="O439" s="37"/>
      <c r="P439" s="821"/>
      <c r="Q439" s="37"/>
      <c r="R439" s="37"/>
      <c r="S439" s="37"/>
      <c r="T439" s="37"/>
      <c r="U439" s="821"/>
      <c r="V439" s="37"/>
      <c r="W439" s="37"/>
      <c r="X439" s="37"/>
      <c r="Y439" s="37"/>
      <c r="Z439" s="821"/>
      <c r="AA439" s="37"/>
      <c r="AB439" s="37"/>
      <c r="AC439" s="37"/>
      <c r="AD439" s="37"/>
      <c r="AE439" s="821"/>
      <c r="AF439" s="37"/>
      <c r="AG439" s="37"/>
      <c r="AH439" s="37"/>
      <c r="AI439" s="37"/>
      <c r="AJ439" s="821"/>
      <c r="AK439" s="37"/>
      <c r="AL439" s="37"/>
      <c r="AM439" s="37"/>
      <c r="AN439" s="37"/>
      <c r="AO439" s="821"/>
      <c r="AP439" s="37"/>
      <c r="AQ439" s="763">
        <v>-290</v>
      </c>
      <c r="AR439" s="37"/>
      <c r="AS439" s="37"/>
      <c r="AT439" s="827">
        <v>-290</v>
      </c>
      <c r="AU439" s="37"/>
      <c r="AV439" s="37"/>
      <c r="AW439" s="37"/>
      <c r="AX439" s="37"/>
      <c r="AY439" s="821"/>
      <c r="AZ439" s="37"/>
      <c r="BA439" s="37"/>
      <c r="BB439" s="37"/>
      <c r="BC439" s="37"/>
      <c r="BD439" s="821"/>
      <c r="BE439" s="37"/>
      <c r="BF439" s="37"/>
      <c r="BG439" s="37"/>
      <c r="BH439" s="37"/>
      <c r="BI439" s="821"/>
      <c r="BJ439" s="37"/>
      <c r="BK439" s="37"/>
      <c r="BL439" s="37"/>
      <c r="BM439" s="763">
        <v>-119</v>
      </c>
      <c r="BN439" s="827">
        <v>-119</v>
      </c>
      <c r="BO439" s="37"/>
      <c r="BP439" s="37"/>
      <c r="BQ439" s="37"/>
      <c r="BR439" s="37"/>
      <c r="BS439" s="821"/>
      <c r="BT439" s="480"/>
      <c r="BU439" s="37"/>
      <c r="BV439" s="37"/>
      <c r="BW439" s="37"/>
      <c r="BX439" s="821"/>
      <c r="BY439" s="37"/>
      <c r="BZ439" s="37"/>
      <c r="CA439" s="37"/>
      <c r="CB439" s="37"/>
      <c r="CC439" s="821"/>
      <c r="CD439" s="821"/>
      <c r="CE439" s="821"/>
      <c r="CF439" s="821"/>
      <c r="CG439" s="22"/>
    </row>
    <row r="440" spans="1:85" s="428" customFormat="1" hidden="1" outlineLevel="2" x14ac:dyDescent="0.3">
      <c r="A440" s="40" t="s">
        <v>627</v>
      </c>
      <c r="B440" s="109"/>
      <c r="C440" s="821"/>
      <c r="D440" s="821"/>
      <c r="E440" s="821"/>
      <c r="F440" s="821"/>
      <c r="G440" s="37"/>
      <c r="H440" s="37"/>
      <c r="I440" s="37"/>
      <c r="J440" s="37"/>
      <c r="K440" s="821"/>
      <c r="L440" s="37"/>
      <c r="M440" s="37"/>
      <c r="N440" s="37"/>
      <c r="O440" s="37"/>
      <c r="P440" s="821"/>
      <c r="Q440" s="37"/>
      <c r="R440" s="37"/>
      <c r="S440" s="37"/>
      <c r="T440" s="37"/>
      <c r="U440" s="821"/>
      <c r="V440" s="37"/>
      <c r="W440" s="37"/>
      <c r="X440" s="37"/>
      <c r="Y440" s="37"/>
      <c r="Z440" s="821"/>
      <c r="AA440" s="37"/>
      <c r="AB440" s="37"/>
      <c r="AC440" s="37"/>
      <c r="AD440" s="37"/>
      <c r="AE440" s="821"/>
      <c r="AF440" s="37"/>
      <c r="AG440" s="37"/>
      <c r="AH440" s="37"/>
      <c r="AI440" s="37"/>
      <c r="AJ440" s="821"/>
      <c r="AK440" s="37"/>
      <c r="AL440" s="37"/>
      <c r="AM440" s="37"/>
      <c r="AN440" s="763">
        <v>1200</v>
      </c>
      <c r="AO440" s="827">
        <v>1200</v>
      </c>
      <c r="AP440" s="763">
        <v>240</v>
      </c>
      <c r="AQ440" s="763">
        <v>310</v>
      </c>
      <c r="AR440" s="37"/>
      <c r="AS440" s="37"/>
      <c r="AT440" s="827">
        <v>550</v>
      </c>
      <c r="AU440" s="37"/>
      <c r="AV440" s="37"/>
      <c r="AW440" s="37"/>
      <c r="AX440" s="37"/>
      <c r="AY440" s="821"/>
      <c r="AZ440" s="37"/>
      <c r="BA440" s="763">
        <v>200</v>
      </c>
      <c r="BB440" s="37"/>
      <c r="BC440" s="37"/>
      <c r="BD440" s="827">
        <v>200</v>
      </c>
      <c r="BE440" s="37"/>
      <c r="BF440" s="37"/>
      <c r="BG440" s="37"/>
      <c r="BH440" s="37"/>
      <c r="BI440" s="821"/>
      <c r="BJ440" s="37"/>
      <c r="BK440" s="37"/>
      <c r="BL440" s="37"/>
      <c r="BM440" s="37"/>
      <c r="BN440" s="821"/>
      <c r="BO440" s="37"/>
      <c r="BP440" s="37"/>
      <c r="BQ440" s="37"/>
      <c r="BR440" s="37"/>
      <c r="BS440" s="821"/>
      <c r="BT440" s="480"/>
      <c r="BU440" s="37"/>
      <c r="BV440" s="37"/>
      <c r="BW440" s="37"/>
      <c r="BX440" s="821"/>
      <c r="BY440" s="37"/>
      <c r="BZ440" s="37"/>
      <c r="CA440" s="37"/>
      <c r="CB440" s="37"/>
      <c r="CC440" s="821"/>
      <c r="CD440" s="821"/>
      <c r="CE440" s="821"/>
      <c r="CF440" s="821"/>
      <c r="CG440" s="22"/>
    </row>
    <row r="441" spans="1:85" s="428" customFormat="1" hidden="1" outlineLevel="2" x14ac:dyDescent="0.3">
      <c r="A441" s="40" t="s">
        <v>628</v>
      </c>
      <c r="B441" s="109"/>
      <c r="C441" s="821"/>
      <c r="D441" s="821"/>
      <c r="E441" s="821"/>
      <c r="F441" s="821"/>
      <c r="G441" s="37"/>
      <c r="H441" s="37"/>
      <c r="I441" s="37"/>
      <c r="J441" s="37"/>
      <c r="K441" s="821"/>
      <c r="L441" s="37"/>
      <c r="M441" s="37"/>
      <c r="N441" s="37"/>
      <c r="O441" s="37"/>
      <c r="P441" s="821"/>
      <c r="Q441" s="37"/>
      <c r="R441" s="37"/>
      <c r="S441" s="37"/>
      <c r="T441" s="37"/>
      <c r="U441" s="821"/>
      <c r="V441" s="37"/>
      <c r="W441" s="37"/>
      <c r="X441" s="37"/>
      <c r="Y441" s="37"/>
      <c r="Z441" s="821"/>
      <c r="AA441" s="37"/>
      <c r="AB441" s="37"/>
      <c r="AC441" s="37"/>
      <c r="AD441" s="37"/>
      <c r="AE441" s="821"/>
      <c r="AF441" s="37"/>
      <c r="AG441" s="37"/>
      <c r="AH441" s="37"/>
      <c r="AI441" s="37"/>
      <c r="AJ441" s="821"/>
      <c r="AK441" s="37"/>
      <c r="AL441" s="763">
        <v>180</v>
      </c>
      <c r="AM441" s="37"/>
      <c r="AN441" s="37"/>
      <c r="AO441" s="827">
        <v>180</v>
      </c>
      <c r="AP441" s="763">
        <v>440</v>
      </c>
      <c r="AQ441" s="763">
        <v>380</v>
      </c>
      <c r="AR441" s="763">
        <v>-130</v>
      </c>
      <c r="AS441" s="37"/>
      <c r="AT441" s="827">
        <v>690</v>
      </c>
      <c r="AU441" s="37"/>
      <c r="AV441" s="37"/>
      <c r="AW441" s="37"/>
      <c r="AX441" s="37"/>
      <c r="AY441" s="821"/>
      <c r="AZ441" s="37"/>
      <c r="BA441" s="37"/>
      <c r="BB441" s="37"/>
      <c r="BC441" s="37"/>
      <c r="BD441" s="821"/>
      <c r="BE441" s="37"/>
      <c r="BF441" s="37"/>
      <c r="BG441" s="37"/>
      <c r="BH441" s="37"/>
      <c r="BI441" s="821"/>
      <c r="BJ441" s="37"/>
      <c r="BK441" s="37"/>
      <c r="BL441" s="37"/>
      <c r="BM441" s="37"/>
      <c r="BN441" s="821"/>
      <c r="BO441" s="763">
        <v>-55</v>
      </c>
      <c r="BP441" s="763">
        <v>0</v>
      </c>
      <c r="BQ441" s="37"/>
      <c r="BR441" s="37"/>
      <c r="BS441" s="827">
        <v>-55</v>
      </c>
      <c r="BT441" s="480"/>
      <c r="BU441" s="37"/>
      <c r="BV441" s="37"/>
      <c r="BW441" s="37"/>
      <c r="BX441" s="821"/>
      <c r="BY441" s="37"/>
      <c r="BZ441" s="37"/>
      <c r="CA441" s="37"/>
      <c r="CB441" s="37"/>
      <c r="CC441" s="821"/>
      <c r="CD441" s="821"/>
      <c r="CE441" s="821"/>
      <c r="CF441" s="821"/>
      <c r="CG441" s="22"/>
    </row>
    <row r="442" spans="1:85" s="428" customFormat="1" hidden="1" outlineLevel="2" x14ac:dyDescent="0.3">
      <c r="A442" s="40" t="s">
        <v>1665</v>
      </c>
      <c r="B442" s="109"/>
      <c r="C442" s="821"/>
      <c r="D442" s="821"/>
      <c r="E442" s="821"/>
      <c r="F442" s="821"/>
      <c r="G442" s="37"/>
      <c r="H442" s="37"/>
      <c r="I442" s="37"/>
      <c r="J442" s="37"/>
      <c r="K442" s="821"/>
      <c r="L442" s="37"/>
      <c r="M442" s="37"/>
      <c r="N442" s="37"/>
      <c r="O442" s="37"/>
      <c r="P442" s="821"/>
      <c r="Q442" s="37"/>
      <c r="R442" s="37"/>
      <c r="S442" s="37"/>
      <c r="T442" s="37"/>
      <c r="U442" s="821"/>
      <c r="V442" s="37"/>
      <c r="W442" s="37"/>
      <c r="X442" s="37"/>
      <c r="Y442" s="37"/>
      <c r="Z442" s="821"/>
      <c r="AA442" s="37"/>
      <c r="AB442" s="37"/>
      <c r="AC442" s="37"/>
      <c r="AD442" s="37"/>
      <c r="AE442" s="821"/>
      <c r="AF442" s="37"/>
      <c r="AG442" s="37"/>
      <c r="AH442" s="37"/>
      <c r="AI442" s="37"/>
      <c r="AJ442" s="821"/>
      <c r="AK442" s="37"/>
      <c r="AL442" s="37"/>
      <c r="AM442" s="37"/>
      <c r="AN442" s="37"/>
      <c r="AO442" s="821"/>
      <c r="AP442" s="37"/>
      <c r="AQ442" s="37"/>
      <c r="AR442" s="37"/>
      <c r="AS442" s="37"/>
      <c r="AT442" s="821"/>
      <c r="AU442" s="37"/>
      <c r="AV442" s="37"/>
      <c r="AW442" s="37"/>
      <c r="AX442" s="37"/>
      <c r="AY442" s="821"/>
      <c r="AZ442" s="37"/>
      <c r="BA442" s="37"/>
      <c r="BB442" s="37"/>
      <c r="BC442" s="37"/>
      <c r="BD442" s="821"/>
      <c r="BE442" s="37"/>
      <c r="BF442" s="37"/>
      <c r="BG442" s="37"/>
      <c r="BH442" s="37"/>
      <c r="BI442" s="821"/>
      <c r="BJ442" s="37"/>
      <c r="BK442" s="37"/>
      <c r="BL442" s="37"/>
      <c r="BM442" s="37"/>
      <c r="BN442" s="821"/>
      <c r="BO442" s="37"/>
      <c r="BP442" s="37"/>
      <c r="BQ442" s="763">
        <v>-70</v>
      </c>
      <c r="BR442" s="37"/>
      <c r="BS442" s="827">
        <v>-70</v>
      </c>
      <c r="BT442" s="480"/>
      <c r="BU442" s="37"/>
      <c r="BV442" s="37"/>
      <c r="BW442" s="37"/>
      <c r="BX442" s="821"/>
      <c r="BY442" s="37"/>
      <c r="BZ442" s="37"/>
      <c r="CA442" s="37"/>
      <c r="CB442" s="37"/>
      <c r="CC442" s="821"/>
      <c r="CD442" s="821"/>
      <c r="CE442" s="821"/>
      <c r="CF442" s="821"/>
      <c r="CG442" s="22"/>
    </row>
    <row r="443" spans="1:85" s="428" customFormat="1" hidden="1" outlineLevel="2" x14ac:dyDescent="0.3">
      <c r="A443" s="40" t="s">
        <v>259</v>
      </c>
      <c r="B443" s="109"/>
      <c r="C443" s="821"/>
      <c r="D443" s="821"/>
      <c r="E443" s="821"/>
      <c r="F443" s="821"/>
      <c r="G443" s="37"/>
      <c r="H443" s="37"/>
      <c r="I443" s="37"/>
      <c r="J443" s="37"/>
      <c r="K443" s="821"/>
      <c r="L443" s="37"/>
      <c r="M443" s="37"/>
      <c r="N443" s="37"/>
      <c r="O443" s="37"/>
      <c r="P443" s="821"/>
      <c r="Q443" s="37"/>
      <c r="R443" s="37"/>
      <c r="S443" s="37"/>
      <c r="T443" s="37"/>
      <c r="U443" s="821"/>
      <c r="V443" s="37"/>
      <c r="W443" s="37"/>
      <c r="X443" s="37"/>
      <c r="Y443" s="37"/>
      <c r="Z443" s="821"/>
      <c r="AA443" s="37"/>
      <c r="AB443" s="37"/>
      <c r="AC443" s="37"/>
      <c r="AD443" s="37"/>
      <c r="AE443" s="821"/>
      <c r="AF443" s="37"/>
      <c r="AG443" s="37"/>
      <c r="AH443" s="37"/>
      <c r="AI443" s="37"/>
      <c r="AJ443" s="821"/>
      <c r="AK443" s="37"/>
      <c r="AL443" s="37"/>
      <c r="AM443" s="37"/>
      <c r="AN443" s="37"/>
      <c r="AO443" s="821"/>
      <c r="AP443" s="37"/>
      <c r="AQ443" s="37"/>
      <c r="AR443" s="37"/>
      <c r="AS443" s="37"/>
      <c r="AT443" s="821"/>
      <c r="AU443" s="37"/>
      <c r="AV443" s="37"/>
      <c r="AW443" s="37"/>
      <c r="AX443" s="37"/>
      <c r="AY443" s="821"/>
      <c r="AZ443" s="37"/>
      <c r="BA443" s="37"/>
      <c r="BB443" s="37"/>
      <c r="BC443" s="37"/>
      <c r="BD443" s="821"/>
      <c r="BE443" s="763">
        <v>-130</v>
      </c>
      <c r="BF443" s="763">
        <v>225</v>
      </c>
      <c r="BG443" s="763">
        <v>560</v>
      </c>
      <c r="BH443" s="37"/>
      <c r="BI443" s="827">
        <v>655</v>
      </c>
      <c r="BJ443" s="37"/>
      <c r="BK443" s="37"/>
      <c r="BL443" s="37"/>
      <c r="BM443" s="37"/>
      <c r="BN443" s="821"/>
      <c r="BO443" s="37"/>
      <c r="BP443" s="37"/>
      <c r="BQ443" s="37"/>
      <c r="BR443" s="37"/>
      <c r="BS443" s="821"/>
      <c r="BT443" s="480"/>
      <c r="BU443" s="37"/>
      <c r="BV443" s="37"/>
      <c r="BW443" s="37"/>
      <c r="BX443" s="821"/>
      <c r="BY443" s="37"/>
      <c r="BZ443" s="37"/>
      <c r="CA443" s="37"/>
      <c r="CB443" s="37"/>
      <c r="CC443" s="821"/>
      <c r="CD443" s="821"/>
      <c r="CE443" s="821"/>
      <c r="CF443" s="821"/>
      <c r="CG443" s="22"/>
    </row>
    <row r="444" spans="1:85" s="428" customFormat="1" hidden="1" outlineLevel="2" x14ac:dyDescent="0.3">
      <c r="A444" s="40" t="s">
        <v>620</v>
      </c>
      <c r="B444" s="109"/>
      <c r="C444" s="821"/>
      <c r="D444" s="821"/>
      <c r="E444" s="821"/>
      <c r="F444" s="821"/>
      <c r="G444" s="37"/>
      <c r="H444" s="37"/>
      <c r="I444" s="37"/>
      <c r="J444" s="37"/>
      <c r="K444" s="821"/>
      <c r="L444" s="37"/>
      <c r="M444" s="37"/>
      <c r="N444" s="37"/>
      <c r="O444" s="37"/>
      <c r="P444" s="821"/>
      <c r="Q444" s="37"/>
      <c r="R444" s="37"/>
      <c r="S444" s="37"/>
      <c r="T444" s="37"/>
      <c r="U444" s="821"/>
      <c r="V444" s="37"/>
      <c r="W444" s="37"/>
      <c r="X444" s="37"/>
      <c r="Y444" s="37"/>
      <c r="Z444" s="821"/>
      <c r="AA444" s="37"/>
      <c r="AB444" s="37"/>
      <c r="AC444" s="37"/>
      <c r="AD444" s="37"/>
      <c r="AE444" s="821"/>
      <c r="AF444" s="37"/>
      <c r="AG444" s="37"/>
      <c r="AH444" s="37"/>
      <c r="AI444" s="37"/>
      <c r="AJ444" s="821"/>
      <c r="AK444" s="37">
        <f>AO444-SUM(AN444,AM444,AL444)</f>
        <v>-168</v>
      </c>
      <c r="AL444" s="763">
        <v>22</v>
      </c>
      <c r="AM444" s="763">
        <v>49</v>
      </c>
      <c r="AN444" s="763">
        <v>-226</v>
      </c>
      <c r="AO444" s="827">
        <v>-323</v>
      </c>
      <c r="AP444" s="763">
        <v>468</v>
      </c>
      <c r="AQ444" s="763">
        <v>-262</v>
      </c>
      <c r="AR444" s="763">
        <v>-107</v>
      </c>
      <c r="AS444" s="763">
        <v>-384</v>
      </c>
      <c r="AT444" s="827">
        <v>-285</v>
      </c>
      <c r="AU444" s="763">
        <v>-52</v>
      </c>
      <c r="AV444" s="763">
        <v>78</v>
      </c>
      <c r="AW444" s="763">
        <v>285</v>
      </c>
      <c r="AX444" s="763">
        <v>-9</v>
      </c>
      <c r="AY444" s="827">
        <v>302</v>
      </c>
      <c r="AZ444" s="763">
        <v>-144</v>
      </c>
      <c r="BA444" s="763">
        <v>603</v>
      </c>
      <c r="BB444" s="763">
        <v>440</v>
      </c>
      <c r="BC444" s="763">
        <v>-83</v>
      </c>
      <c r="BD444" s="827">
        <v>816</v>
      </c>
      <c r="BE444" s="763">
        <v>-56</v>
      </c>
      <c r="BF444" s="763">
        <v>10</v>
      </c>
      <c r="BG444" s="763">
        <v>584</v>
      </c>
      <c r="BH444" s="763">
        <v>-162</v>
      </c>
      <c r="BI444" s="828">
        <v>376</v>
      </c>
      <c r="BJ444" s="763">
        <v>22</v>
      </c>
      <c r="BK444" s="763">
        <v>-237</v>
      </c>
      <c r="BL444" s="763">
        <v>13</v>
      </c>
      <c r="BM444" s="763">
        <v>597</v>
      </c>
      <c r="BN444" s="828">
        <v>395</v>
      </c>
      <c r="BO444" s="763">
        <v>-136</v>
      </c>
      <c r="BP444" s="763">
        <v>-236</v>
      </c>
      <c r="BQ444" s="763">
        <v>89</v>
      </c>
      <c r="BR444" s="763">
        <v>-125</v>
      </c>
      <c r="BS444" s="828">
        <v>-408</v>
      </c>
      <c r="BT444" s="764">
        <v>-233</v>
      </c>
      <c r="BU444" s="37"/>
      <c r="BV444" s="37"/>
      <c r="BW444" s="37"/>
      <c r="BX444" s="821"/>
      <c r="BY444" s="37"/>
      <c r="BZ444" s="37"/>
      <c r="CA444" s="37"/>
      <c r="CB444" s="37"/>
      <c r="CC444" s="821"/>
      <c r="CD444" s="821"/>
      <c r="CE444" s="821"/>
      <c r="CF444" s="821"/>
      <c r="CG444" s="22"/>
    </row>
    <row r="445" spans="1:85" s="428" customFormat="1" hidden="1" outlineLevel="2" x14ac:dyDescent="0.3">
      <c r="A445" s="41" t="s">
        <v>644</v>
      </c>
      <c r="B445" s="99"/>
      <c r="C445" s="823"/>
      <c r="D445" s="823"/>
      <c r="E445" s="823"/>
      <c r="F445" s="823"/>
      <c r="G445" s="393"/>
      <c r="H445" s="393"/>
      <c r="I445" s="393"/>
      <c r="J445" s="393"/>
      <c r="K445" s="823"/>
      <c r="L445" s="393"/>
      <c r="M445" s="393"/>
      <c r="N445" s="393"/>
      <c r="O445" s="393"/>
      <c r="P445" s="823"/>
      <c r="Q445" s="393"/>
      <c r="R445" s="393"/>
      <c r="S445" s="393"/>
      <c r="T445" s="393"/>
      <c r="U445" s="823"/>
      <c r="V445" s="393"/>
      <c r="W445" s="393"/>
      <c r="X445" s="393"/>
      <c r="Y445" s="393"/>
      <c r="Z445" s="823"/>
      <c r="AA445" s="393"/>
      <c r="AB445" s="393"/>
      <c r="AC445" s="393"/>
      <c r="AD445" s="393"/>
      <c r="AE445" s="823"/>
      <c r="AF445" s="393"/>
      <c r="AG445" s="393"/>
      <c r="AH445" s="393"/>
      <c r="AI445" s="393"/>
      <c r="AJ445" s="823"/>
      <c r="AK445" s="393">
        <f t="shared" ref="AK445:AV445" si="818">AK437-SUM(AK438:AK444)</f>
        <v>2543</v>
      </c>
      <c r="AL445" s="393">
        <f t="shared" si="818"/>
        <v>2385</v>
      </c>
      <c r="AM445" s="393">
        <f t="shared" si="818"/>
        <v>1928</v>
      </c>
      <c r="AN445" s="393">
        <f t="shared" si="818"/>
        <v>1937</v>
      </c>
      <c r="AO445" s="823">
        <f t="shared" si="818"/>
        <v>8793</v>
      </c>
      <c r="AP445" s="393">
        <f t="shared" si="818"/>
        <v>1531</v>
      </c>
      <c r="AQ445" s="393">
        <f t="shared" si="818"/>
        <v>-571</v>
      </c>
      <c r="AR445" s="393">
        <f t="shared" si="818"/>
        <v>356</v>
      </c>
      <c r="AS445" s="393">
        <f t="shared" si="818"/>
        <v>784</v>
      </c>
      <c r="AT445" s="823">
        <f t="shared" si="818"/>
        <v>2100</v>
      </c>
      <c r="AU445" s="393">
        <f t="shared" si="818"/>
        <v>1461</v>
      </c>
      <c r="AV445" s="393">
        <f t="shared" si="818"/>
        <v>1654</v>
      </c>
      <c r="AW445" s="393">
        <f t="shared" ref="AW445:BB445" si="819">AW437-SUM(AW438:AW444)</f>
        <v>2888</v>
      </c>
      <c r="AX445" s="393">
        <f t="shared" si="819"/>
        <v>2194</v>
      </c>
      <c r="AY445" s="823">
        <f t="shared" si="819"/>
        <v>8197</v>
      </c>
      <c r="AZ445" s="393">
        <f t="shared" si="819"/>
        <v>3840</v>
      </c>
      <c r="BA445" s="393">
        <f t="shared" si="819"/>
        <v>4388</v>
      </c>
      <c r="BB445" s="393">
        <f t="shared" si="819"/>
        <v>5469</v>
      </c>
      <c r="BC445" s="393">
        <f t="shared" ref="BC445:BI445" si="820">BC437-SUM(BC438:BC444)</f>
        <v>4025</v>
      </c>
      <c r="BD445" s="823">
        <f t="shared" si="820"/>
        <v>17722</v>
      </c>
      <c r="BE445" s="393">
        <f t="shared" si="820"/>
        <v>3566</v>
      </c>
      <c r="BF445" s="393">
        <f t="shared" si="820"/>
        <v>3061</v>
      </c>
      <c r="BG445" s="393">
        <f t="shared" si="820"/>
        <v>2537</v>
      </c>
      <c r="BH445" s="393">
        <f t="shared" si="820"/>
        <v>3095</v>
      </c>
      <c r="BI445" s="825">
        <f t="shared" si="820"/>
        <v>12259</v>
      </c>
      <c r="BJ445" s="393">
        <f t="shared" ref="BJ445:BO445" si="821">BJ437-SUM(BJ438:BJ444)</f>
        <v>3142</v>
      </c>
      <c r="BK445" s="393">
        <f t="shared" si="821"/>
        <v>2546</v>
      </c>
      <c r="BL445" s="393">
        <f t="shared" si="821"/>
        <v>2630</v>
      </c>
      <c r="BM445" s="393">
        <f t="shared" si="821"/>
        <v>2531</v>
      </c>
      <c r="BN445" s="825">
        <f t="shared" si="821"/>
        <v>10849</v>
      </c>
      <c r="BO445" s="393">
        <f t="shared" si="821"/>
        <v>2091</v>
      </c>
      <c r="BP445" s="393">
        <f>BP437-SUM(BP438:BP444)</f>
        <v>1545</v>
      </c>
      <c r="BQ445" s="393">
        <f>BQ437-SUM(BQ438:BQ444)</f>
        <v>2001</v>
      </c>
      <c r="BR445" s="393">
        <f>BR437-SUM(BR438:BR444)</f>
        <v>1902</v>
      </c>
      <c r="BS445" s="825">
        <f>BS437-SUM(BS438:BS444)</f>
        <v>7540</v>
      </c>
      <c r="BT445" s="641">
        <f>BT437-SUM(BT438:BT444)</f>
        <v>2030</v>
      </c>
      <c r="BU445" s="393"/>
      <c r="BV445" s="393"/>
      <c r="BW445" s="393"/>
      <c r="BX445" s="823"/>
      <c r="BY445" s="393"/>
      <c r="BZ445" s="393"/>
      <c r="CA445" s="393"/>
      <c r="CB445" s="393"/>
      <c r="CC445" s="823"/>
      <c r="CD445" s="823"/>
      <c r="CE445" s="823"/>
      <c r="CF445" s="823"/>
      <c r="CG445" s="22"/>
    </row>
    <row r="446" spans="1:85" s="428" customFormat="1" hidden="1" outlineLevel="2" x14ac:dyDescent="0.3">
      <c r="A446" s="43"/>
      <c r="B446" s="109"/>
      <c r="C446" s="821"/>
      <c r="D446" s="821"/>
      <c r="E446" s="821"/>
      <c r="F446" s="821"/>
      <c r="G446" s="37"/>
      <c r="H446" s="37"/>
      <c r="I446" s="37"/>
      <c r="J446" s="37"/>
      <c r="K446" s="821"/>
      <c r="L446" s="37"/>
      <c r="M446" s="37"/>
      <c r="N446" s="37"/>
      <c r="O446" s="37"/>
      <c r="P446" s="821"/>
      <c r="Q446" s="37"/>
      <c r="R446" s="37"/>
      <c r="S446" s="37"/>
      <c r="T446" s="37"/>
      <c r="U446" s="821"/>
      <c r="V446" s="37"/>
      <c r="W446" s="37"/>
      <c r="X446" s="37"/>
      <c r="Y446" s="37"/>
      <c r="Z446" s="821"/>
      <c r="AA446" s="37"/>
      <c r="AB446" s="37"/>
      <c r="AC446" s="37"/>
      <c r="AD446" s="37"/>
      <c r="AE446" s="821"/>
      <c r="AF446" s="37"/>
      <c r="AG446" s="37"/>
      <c r="AH446" s="37"/>
      <c r="AI446" s="37"/>
      <c r="AJ446" s="821"/>
      <c r="AK446" s="37"/>
      <c r="AL446" s="37"/>
      <c r="AM446" s="37"/>
      <c r="AN446" s="37"/>
      <c r="AO446" s="821"/>
      <c r="AP446" s="37"/>
      <c r="AQ446" s="37"/>
      <c r="AR446" s="37"/>
      <c r="AS446" s="37"/>
      <c r="AT446" s="821"/>
      <c r="AU446" s="37"/>
      <c r="AV446" s="37"/>
      <c r="AW446" s="37"/>
      <c r="AX446" s="37"/>
      <c r="AY446" s="821"/>
      <c r="AZ446" s="37"/>
      <c r="BA446" s="37"/>
      <c r="BB446" s="37"/>
      <c r="BC446" s="37"/>
      <c r="BD446" s="821"/>
      <c r="BE446" s="37"/>
      <c r="BF446" s="37"/>
      <c r="BG446" s="37"/>
      <c r="BH446" s="37"/>
      <c r="BI446" s="821"/>
      <c r="BJ446" s="37"/>
      <c r="BK446" s="37"/>
      <c r="BL446" s="37"/>
      <c r="BM446" s="37"/>
      <c r="BN446" s="821"/>
      <c r="BO446" s="37"/>
      <c r="BP446" s="37"/>
      <c r="BQ446" s="37"/>
      <c r="BR446" s="37"/>
      <c r="BS446" s="821"/>
      <c r="BT446" s="480"/>
      <c r="BU446" s="37"/>
      <c r="BV446" s="37"/>
      <c r="BW446" s="37"/>
      <c r="BX446" s="821"/>
      <c r="BY446" s="37"/>
      <c r="BZ446" s="37"/>
      <c r="CA446" s="37"/>
      <c r="CB446" s="37"/>
      <c r="CC446" s="821"/>
      <c r="CD446" s="821"/>
      <c r="CE446" s="821"/>
      <c r="CF446" s="821"/>
      <c r="CG446" s="22"/>
    </row>
    <row r="447" spans="1:85" s="428" customFormat="1" hidden="1" outlineLevel="2" x14ac:dyDescent="0.3">
      <c r="A447" s="53" t="s">
        <v>645</v>
      </c>
      <c r="B447" s="58"/>
      <c r="C447" s="825"/>
      <c r="D447" s="825"/>
      <c r="E447" s="825"/>
      <c r="F447" s="825"/>
      <c r="G447" s="31"/>
      <c r="H447" s="31"/>
      <c r="I447" s="31"/>
      <c r="J447" s="31"/>
      <c r="K447" s="825"/>
      <c r="L447" s="31"/>
      <c r="M447" s="31"/>
      <c r="N447" s="31"/>
      <c r="O447" s="31"/>
      <c r="P447" s="825"/>
      <c r="Q447" s="31"/>
      <c r="R447" s="31"/>
      <c r="S447" s="31"/>
      <c r="T447" s="31"/>
      <c r="U447" s="825"/>
      <c r="V447" s="31"/>
      <c r="W447" s="31"/>
      <c r="X447" s="31"/>
      <c r="Y447" s="31"/>
      <c r="Z447" s="825"/>
      <c r="AA447" s="31"/>
      <c r="AB447" s="31"/>
      <c r="AC447" s="31"/>
      <c r="AD447" s="31"/>
      <c r="AE447" s="825"/>
      <c r="AF447" s="31"/>
      <c r="AG447" s="31"/>
      <c r="AH447" s="31"/>
      <c r="AI447" s="31"/>
      <c r="AJ447" s="825"/>
      <c r="AK447" s="31">
        <f t="shared" ref="AK447:BQ447" si="822">AK241</f>
        <v>217</v>
      </c>
      <c r="AL447" s="31">
        <f t="shared" si="822"/>
        <v>465</v>
      </c>
      <c r="AM447" s="31">
        <f t="shared" si="822"/>
        <v>389</v>
      </c>
      <c r="AN447" s="31">
        <f t="shared" si="822"/>
        <v>488</v>
      </c>
      <c r="AO447" s="825">
        <f t="shared" si="822"/>
        <v>1559</v>
      </c>
      <c r="AP447" s="31">
        <f t="shared" si="822"/>
        <v>450</v>
      </c>
      <c r="AQ447" s="31">
        <f t="shared" si="822"/>
        <v>-988</v>
      </c>
      <c r="AR447" s="31">
        <f t="shared" si="822"/>
        <v>141</v>
      </c>
      <c r="AS447" s="31">
        <f t="shared" si="822"/>
        <v>-174</v>
      </c>
      <c r="AT447" s="825">
        <f t="shared" si="822"/>
        <v>-571</v>
      </c>
      <c r="AU447" s="31">
        <f t="shared" si="822"/>
        <v>-130</v>
      </c>
      <c r="AV447" s="31">
        <f t="shared" si="822"/>
        <v>776</v>
      </c>
      <c r="AW447" s="31">
        <f t="shared" si="822"/>
        <v>1083</v>
      </c>
      <c r="AX447" s="31">
        <f t="shared" si="822"/>
        <v>660</v>
      </c>
      <c r="AY447" s="825">
        <f t="shared" si="822"/>
        <v>2389</v>
      </c>
      <c r="AZ447" s="31">
        <f t="shared" si="822"/>
        <v>486</v>
      </c>
      <c r="BA447" s="31">
        <f t="shared" si="822"/>
        <v>2440</v>
      </c>
      <c r="BB447" s="31">
        <f t="shared" si="822"/>
        <v>1288</v>
      </c>
      <c r="BC447" s="31">
        <f t="shared" si="822"/>
        <v>1180</v>
      </c>
      <c r="BD447" s="825">
        <f t="shared" si="822"/>
        <v>5394</v>
      </c>
      <c r="BE447" s="31">
        <f t="shared" si="822"/>
        <v>977</v>
      </c>
      <c r="BF447" s="31">
        <f t="shared" si="822"/>
        <v>1081</v>
      </c>
      <c r="BG447" s="31">
        <f t="shared" si="822"/>
        <v>1376</v>
      </c>
      <c r="BH447" s="31">
        <f t="shared" si="822"/>
        <v>470</v>
      </c>
      <c r="BI447" s="825">
        <f t="shared" si="822"/>
        <v>3904</v>
      </c>
      <c r="BJ447" s="31">
        <f t="shared" si="822"/>
        <v>453</v>
      </c>
      <c r="BK447" s="31">
        <f t="shared" si="822"/>
        <v>280</v>
      </c>
      <c r="BL447" s="31">
        <f t="shared" si="822"/>
        <v>146</v>
      </c>
      <c r="BM447" s="31">
        <f t="shared" si="822"/>
        <v>-348</v>
      </c>
      <c r="BN447" s="825">
        <f t="shared" si="822"/>
        <v>531</v>
      </c>
      <c r="BO447" s="31">
        <f t="shared" si="822"/>
        <v>103</v>
      </c>
      <c r="BP447" s="31">
        <f t="shared" si="822"/>
        <v>404</v>
      </c>
      <c r="BQ447" s="31">
        <f t="shared" si="822"/>
        <v>638</v>
      </c>
      <c r="BR447" s="31">
        <f>BR241</f>
        <v>230</v>
      </c>
      <c r="BS447" s="825">
        <f>BS241</f>
        <v>1375</v>
      </c>
      <c r="BT447" s="379">
        <f>BT241</f>
        <v>196</v>
      </c>
      <c r="BU447" s="31"/>
      <c r="BV447" s="31"/>
      <c r="BW447" s="31"/>
      <c r="BX447" s="825"/>
      <c r="BY447" s="31"/>
      <c r="BZ447" s="31"/>
      <c r="CA447" s="31"/>
      <c r="CB447" s="31"/>
      <c r="CC447" s="825"/>
      <c r="CD447" s="825"/>
      <c r="CE447" s="825"/>
      <c r="CF447" s="825"/>
      <c r="CG447" s="22"/>
    </row>
    <row r="448" spans="1:85" s="428" customFormat="1" hidden="1" outlineLevel="2" x14ac:dyDescent="0.3">
      <c r="A448" s="40" t="s">
        <v>622</v>
      </c>
      <c r="B448" s="109"/>
      <c r="C448" s="821"/>
      <c r="D448" s="821"/>
      <c r="E448" s="821"/>
      <c r="F448" s="821"/>
      <c r="G448" s="37"/>
      <c r="H448" s="37"/>
      <c r="I448" s="37"/>
      <c r="J448" s="37"/>
      <c r="K448" s="821"/>
      <c r="L448" s="37"/>
      <c r="M448" s="37"/>
      <c r="N448" s="37"/>
      <c r="O448" s="37"/>
      <c r="P448" s="821"/>
      <c r="Q448" s="37"/>
      <c r="R448" s="37"/>
      <c r="S448" s="37"/>
      <c r="T448" s="37"/>
      <c r="U448" s="821"/>
      <c r="V448" s="37"/>
      <c r="W448" s="37"/>
      <c r="X448" s="37"/>
      <c r="Y448" s="37"/>
      <c r="Z448" s="821"/>
      <c r="AA448" s="37"/>
      <c r="AB448" s="37"/>
      <c r="AC448" s="37"/>
      <c r="AD448" s="37"/>
      <c r="AE448" s="821"/>
      <c r="AF448" s="37"/>
      <c r="AG448" s="37"/>
      <c r="AH448" s="37"/>
      <c r="AI448" s="37"/>
      <c r="AJ448" s="821"/>
      <c r="AK448" s="37"/>
      <c r="AL448" s="37"/>
      <c r="AM448" s="37"/>
      <c r="AN448" s="37"/>
      <c r="AO448" s="821"/>
      <c r="AP448" s="37"/>
      <c r="AQ448" s="37"/>
      <c r="AR448" s="37"/>
      <c r="AS448" s="37"/>
      <c r="AT448" s="821"/>
      <c r="AU448" s="37"/>
      <c r="AV448" s="37"/>
      <c r="AW448" s="37"/>
      <c r="AX448" s="37"/>
      <c r="AY448" s="821"/>
      <c r="AZ448" s="37"/>
      <c r="BA448" s="37"/>
      <c r="BB448" s="37"/>
      <c r="BC448" s="37"/>
      <c r="BD448" s="821"/>
      <c r="BE448" s="37"/>
      <c r="BF448" s="37"/>
      <c r="BG448" s="37"/>
      <c r="BH448" s="37"/>
      <c r="BI448" s="821"/>
      <c r="BJ448" s="37"/>
      <c r="BK448" s="37"/>
      <c r="BL448" s="37"/>
      <c r="BM448" s="763">
        <v>-90</v>
      </c>
      <c r="BN448" s="827">
        <v>-90</v>
      </c>
      <c r="BO448" s="37"/>
      <c r="BP448" s="37"/>
      <c r="BQ448" s="37"/>
      <c r="BR448" s="37"/>
      <c r="BS448" s="821"/>
      <c r="BT448" s="480"/>
      <c r="BU448" s="37"/>
      <c r="BV448" s="37"/>
      <c r="BW448" s="37"/>
      <c r="BX448" s="821"/>
      <c r="BY448" s="37"/>
      <c r="BZ448" s="37"/>
      <c r="CA448" s="37"/>
      <c r="CB448" s="37"/>
      <c r="CC448" s="821"/>
      <c r="CD448" s="821"/>
      <c r="CE448" s="821"/>
      <c r="CF448" s="821"/>
      <c r="CG448" s="22"/>
    </row>
    <row r="449" spans="1:85" s="428" customFormat="1" hidden="1" outlineLevel="2" x14ac:dyDescent="0.3">
      <c r="A449" s="40" t="s">
        <v>623</v>
      </c>
      <c r="B449" s="109"/>
      <c r="C449" s="821"/>
      <c r="D449" s="821"/>
      <c r="E449" s="821"/>
      <c r="F449" s="821"/>
      <c r="G449" s="37"/>
      <c r="H449" s="37"/>
      <c r="I449" s="37"/>
      <c r="J449" s="37"/>
      <c r="K449" s="821"/>
      <c r="L449" s="37"/>
      <c r="M449" s="37"/>
      <c r="N449" s="37"/>
      <c r="O449" s="37"/>
      <c r="P449" s="821"/>
      <c r="Q449" s="37"/>
      <c r="R449" s="37"/>
      <c r="S449" s="37"/>
      <c r="T449" s="37"/>
      <c r="U449" s="821"/>
      <c r="V449" s="37"/>
      <c r="W449" s="37"/>
      <c r="X449" s="37"/>
      <c r="Y449" s="37"/>
      <c r="Z449" s="821"/>
      <c r="AA449" s="37"/>
      <c r="AB449" s="37"/>
      <c r="AC449" s="37"/>
      <c r="AD449" s="37"/>
      <c r="AE449" s="821"/>
      <c r="AF449" s="37"/>
      <c r="AG449" s="37"/>
      <c r="AH449" s="37"/>
      <c r="AI449" s="37"/>
      <c r="AJ449" s="821"/>
      <c r="AK449" s="37"/>
      <c r="AL449" s="37"/>
      <c r="AM449" s="37"/>
      <c r="AN449" s="37"/>
      <c r="AO449" s="821"/>
      <c r="AP449" s="37"/>
      <c r="AQ449" s="763">
        <v>-80</v>
      </c>
      <c r="AR449" s="37"/>
      <c r="AS449" s="37"/>
      <c r="AT449" s="827">
        <v>-80</v>
      </c>
      <c r="AU449" s="37"/>
      <c r="AV449" s="37"/>
      <c r="AW449" s="37"/>
      <c r="AX449" s="37"/>
      <c r="AY449" s="821"/>
      <c r="AZ449" s="37"/>
      <c r="BA449" s="37"/>
      <c r="BB449" s="37"/>
      <c r="BC449" s="37"/>
      <c r="BD449" s="821"/>
      <c r="BE449" s="37"/>
      <c r="BF449" s="37"/>
      <c r="BG449" s="37"/>
      <c r="BH449" s="37"/>
      <c r="BI449" s="821"/>
      <c r="BJ449" s="37"/>
      <c r="BK449" s="37"/>
      <c r="BL449" s="37"/>
      <c r="BM449" s="763">
        <v>-188</v>
      </c>
      <c r="BN449" s="827">
        <v>-188</v>
      </c>
      <c r="BO449" s="37"/>
      <c r="BP449" s="37"/>
      <c r="BQ449" s="37"/>
      <c r="BR449" s="37"/>
      <c r="BS449" s="821"/>
      <c r="BT449" s="480"/>
      <c r="BU449" s="37"/>
      <c r="BV449" s="37"/>
      <c r="BW449" s="37"/>
      <c r="BX449" s="821"/>
      <c r="BY449" s="37"/>
      <c r="BZ449" s="37"/>
      <c r="CA449" s="37"/>
      <c r="CB449" s="37"/>
      <c r="CC449" s="821"/>
      <c r="CD449" s="821"/>
      <c r="CE449" s="821"/>
      <c r="CF449" s="821"/>
      <c r="CG449" s="22"/>
    </row>
    <row r="450" spans="1:85" s="428" customFormat="1" hidden="1" outlineLevel="2" x14ac:dyDescent="0.3">
      <c r="A450" s="40" t="s">
        <v>626</v>
      </c>
      <c r="B450" s="109"/>
      <c r="C450" s="821"/>
      <c r="D450" s="821"/>
      <c r="E450" s="821"/>
      <c r="F450" s="821"/>
      <c r="G450" s="37"/>
      <c r="H450" s="37"/>
      <c r="I450" s="37"/>
      <c r="J450" s="37"/>
      <c r="K450" s="821"/>
      <c r="L450" s="37"/>
      <c r="M450" s="37"/>
      <c r="N450" s="37"/>
      <c r="O450" s="37"/>
      <c r="P450" s="821"/>
      <c r="Q450" s="37"/>
      <c r="R450" s="37"/>
      <c r="S450" s="37"/>
      <c r="T450" s="37"/>
      <c r="U450" s="821"/>
      <c r="V450" s="37"/>
      <c r="W450" s="37"/>
      <c r="X450" s="37"/>
      <c r="Y450" s="37"/>
      <c r="Z450" s="821"/>
      <c r="AA450" s="37"/>
      <c r="AB450" s="37"/>
      <c r="AC450" s="37"/>
      <c r="AD450" s="37"/>
      <c r="AE450" s="821"/>
      <c r="AF450" s="37"/>
      <c r="AG450" s="37"/>
      <c r="AH450" s="37"/>
      <c r="AI450" s="37"/>
      <c r="AJ450" s="821"/>
      <c r="AK450" s="37"/>
      <c r="AL450" s="37"/>
      <c r="AM450" s="37"/>
      <c r="AN450" s="37"/>
      <c r="AO450" s="821"/>
      <c r="AP450" s="37"/>
      <c r="AQ450" s="37"/>
      <c r="AR450" s="37"/>
      <c r="AS450" s="37"/>
      <c r="AT450" s="821"/>
      <c r="AU450" s="763">
        <v>-110</v>
      </c>
      <c r="AV450" s="37"/>
      <c r="AW450" s="37"/>
      <c r="AX450" s="37"/>
      <c r="AY450" s="827">
        <v>-110</v>
      </c>
      <c r="AZ450" s="37"/>
      <c r="BA450" s="37"/>
      <c r="BB450" s="37"/>
      <c r="BC450" s="37"/>
      <c r="BD450" s="821"/>
      <c r="BE450" s="37"/>
      <c r="BF450" s="37"/>
      <c r="BG450" s="37"/>
      <c r="BH450" s="37"/>
      <c r="BI450" s="821"/>
      <c r="BJ450" s="37"/>
      <c r="BK450" s="37"/>
      <c r="BL450" s="37"/>
      <c r="BM450" s="37"/>
      <c r="BN450" s="821"/>
      <c r="BO450" s="763">
        <v>-170</v>
      </c>
      <c r="BP450" s="763">
        <v>0</v>
      </c>
      <c r="BQ450" s="37"/>
      <c r="BR450" s="37"/>
      <c r="BS450" s="827">
        <v>-170</v>
      </c>
      <c r="BT450" s="764">
        <v>-360</v>
      </c>
      <c r="BU450" s="37"/>
      <c r="BV450" s="37"/>
      <c r="BW450" s="37"/>
      <c r="BX450" s="821"/>
      <c r="BY450" s="37"/>
      <c r="BZ450" s="37"/>
      <c r="CA450" s="37"/>
      <c r="CB450" s="37"/>
      <c r="CC450" s="821"/>
      <c r="CD450" s="821"/>
      <c r="CE450" s="821"/>
      <c r="CF450" s="821"/>
      <c r="CG450" s="22"/>
    </row>
    <row r="451" spans="1:85" s="428" customFormat="1" hidden="1" outlineLevel="2" x14ac:dyDescent="0.3">
      <c r="A451" s="41" t="s">
        <v>646</v>
      </c>
      <c r="B451" s="99"/>
      <c r="C451" s="823"/>
      <c r="D451" s="823"/>
      <c r="E451" s="823"/>
      <c r="F451" s="823"/>
      <c r="G451" s="393"/>
      <c r="H451" s="393"/>
      <c r="I451" s="393"/>
      <c r="J451" s="393"/>
      <c r="K451" s="823"/>
      <c r="L451" s="393"/>
      <c r="M451" s="393"/>
      <c r="N451" s="393"/>
      <c r="O451" s="393"/>
      <c r="P451" s="823"/>
      <c r="Q451" s="393"/>
      <c r="R451" s="393"/>
      <c r="S451" s="393"/>
      <c r="T451" s="393"/>
      <c r="U451" s="823"/>
      <c r="V451" s="393"/>
      <c r="W451" s="393"/>
      <c r="X451" s="393"/>
      <c r="Y451" s="393"/>
      <c r="Z451" s="823"/>
      <c r="AA451" s="393"/>
      <c r="AB451" s="393"/>
      <c r="AC451" s="393"/>
      <c r="AD451" s="393"/>
      <c r="AE451" s="823"/>
      <c r="AF451" s="393"/>
      <c r="AG451" s="393"/>
      <c r="AH451" s="393"/>
      <c r="AI451" s="393"/>
      <c r="AJ451" s="823"/>
      <c r="AK451" s="393">
        <f t="shared" ref="AK451:AN451" si="823">AK447-SUM(AK449:AK450)</f>
        <v>217</v>
      </c>
      <c r="AL451" s="393">
        <f t="shared" si="823"/>
        <v>465</v>
      </c>
      <c r="AM451" s="393">
        <f t="shared" si="823"/>
        <v>389</v>
      </c>
      <c r="AN451" s="393">
        <f t="shared" si="823"/>
        <v>488</v>
      </c>
      <c r="AO451" s="823">
        <f t="shared" ref="AO451:BL451" si="824">AO447-SUM(AO448:AO450)</f>
        <v>1559</v>
      </c>
      <c r="AP451" s="393">
        <f t="shared" si="824"/>
        <v>450</v>
      </c>
      <c r="AQ451" s="393">
        <f t="shared" si="824"/>
        <v>-908</v>
      </c>
      <c r="AR451" s="393">
        <f t="shared" si="824"/>
        <v>141</v>
      </c>
      <c r="AS451" s="393">
        <f t="shared" si="824"/>
        <v>-174</v>
      </c>
      <c r="AT451" s="823">
        <f t="shared" si="824"/>
        <v>-491</v>
      </c>
      <c r="AU451" s="393">
        <f t="shared" si="824"/>
        <v>-20</v>
      </c>
      <c r="AV451" s="393">
        <f t="shared" si="824"/>
        <v>776</v>
      </c>
      <c r="AW451" s="393">
        <f t="shared" si="824"/>
        <v>1083</v>
      </c>
      <c r="AX451" s="393">
        <f t="shared" si="824"/>
        <v>660</v>
      </c>
      <c r="AY451" s="823">
        <f t="shared" si="824"/>
        <v>2499</v>
      </c>
      <c r="AZ451" s="393">
        <f t="shared" si="824"/>
        <v>486</v>
      </c>
      <c r="BA451" s="393">
        <f t="shared" si="824"/>
        <v>2440</v>
      </c>
      <c r="BB451" s="393">
        <f t="shared" si="824"/>
        <v>1288</v>
      </c>
      <c r="BC451" s="393">
        <f t="shared" si="824"/>
        <v>1180</v>
      </c>
      <c r="BD451" s="823">
        <f t="shared" si="824"/>
        <v>5394</v>
      </c>
      <c r="BE451" s="393">
        <f t="shared" si="824"/>
        <v>977</v>
      </c>
      <c r="BF451" s="393">
        <f t="shared" si="824"/>
        <v>1081</v>
      </c>
      <c r="BG451" s="393">
        <f t="shared" si="824"/>
        <v>1376</v>
      </c>
      <c r="BH451" s="393">
        <f t="shared" si="824"/>
        <v>470</v>
      </c>
      <c r="BI451" s="823">
        <f t="shared" si="824"/>
        <v>3904</v>
      </c>
      <c r="BJ451" s="393">
        <f t="shared" si="824"/>
        <v>453</v>
      </c>
      <c r="BK451" s="393">
        <f t="shared" si="824"/>
        <v>280</v>
      </c>
      <c r="BL451" s="393">
        <f t="shared" si="824"/>
        <v>146</v>
      </c>
      <c r="BM451" s="393">
        <f t="shared" ref="BM451:BS451" si="825">BM447-SUM(BM448:BM450)</f>
        <v>-70</v>
      </c>
      <c r="BN451" s="823">
        <f t="shared" si="825"/>
        <v>809</v>
      </c>
      <c r="BO451" s="393">
        <f t="shared" si="825"/>
        <v>273</v>
      </c>
      <c r="BP451" s="393">
        <f t="shared" si="825"/>
        <v>404</v>
      </c>
      <c r="BQ451" s="393">
        <f t="shared" si="825"/>
        <v>638</v>
      </c>
      <c r="BR451" s="393">
        <f t="shared" si="825"/>
        <v>230</v>
      </c>
      <c r="BS451" s="823">
        <f t="shared" si="825"/>
        <v>1545</v>
      </c>
      <c r="BT451" s="641">
        <f>BT447-SUM(BT448:BT450)</f>
        <v>556</v>
      </c>
      <c r="BU451" s="393"/>
      <c r="BV451" s="393"/>
      <c r="BW451" s="393"/>
      <c r="BX451" s="823"/>
      <c r="BY451" s="393"/>
      <c r="BZ451" s="393"/>
      <c r="CA451" s="393"/>
      <c r="CB451" s="393"/>
      <c r="CC451" s="823"/>
      <c r="CD451" s="823"/>
      <c r="CE451" s="823"/>
      <c r="CF451" s="823"/>
      <c r="CG451" s="22"/>
    </row>
    <row r="452" spans="1:85" s="428" customFormat="1" hidden="1" outlineLevel="2" x14ac:dyDescent="0.3">
      <c r="A452" s="43"/>
      <c r="B452" s="109"/>
      <c r="C452" s="821"/>
      <c r="D452" s="821"/>
      <c r="E452" s="821"/>
      <c r="F452" s="821"/>
      <c r="G452" s="37"/>
      <c r="H452" s="37"/>
      <c r="I452" s="37"/>
      <c r="J452" s="37"/>
      <c r="K452" s="821"/>
      <c r="L452" s="37"/>
      <c r="M452" s="37"/>
      <c r="N452" s="37"/>
      <c r="O452" s="37"/>
      <c r="P452" s="821"/>
      <c r="Q452" s="37"/>
      <c r="R452" s="37"/>
      <c r="S452" s="37"/>
      <c r="T452" s="37"/>
      <c r="U452" s="821"/>
      <c r="V452" s="37"/>
      <c r="W452" s="37"/>
      <c r="X452" s="37"/>
      <c r="Y452" s="37"/>
      <c r="Z452" s="821"/>
      <c r="AA452" s="37"/>
      <c r="AB452" s="37"/>
      <c r="AC452" s="37"/>
      <c r="AD452" s="37"/>
      <c r="AE452" s="821"/>
      <c r="AF452" s="37"/>
      <c r="AG452" s="37"/>
      <c r="AH452" s="37"/>
      <c r="AI452" s="37"/>
      <c r="AJ452" s="821"/>
      <c r="AK452" s="37"/>
      <c r="AL452" s="37"/>
      <c r="AM452" s="37"/>
      <c r="AN452" s="37"/>
      <c r="AO452" s="821"/>
      <c r="AP452" s="37"/>
      <c r="AQ452" s="37"/>
      <c r="AR452" s="37"/>
      <c r="AS452" s="37"/>
      <c r="AT452" s="821"/>
      <c r="AU452" s="37"/>
      <c r="AV452" s="37"/>
      <c r="AW452" s="37"/>
      <c r="AX452" s="37"/>
      <c r="AY452" s="821"/>
      <c r="AZ452" s="37"/>
      <c r="BA452" s="37"/>
      <c r="BB452" s="37"/>
      <c r="BC452" s="37"/>
      <c r="BD452" s="821"/>
      <c r="BE452" s="37"/>
      <c r="BF452" s="37"/>
      <c r="BG452" s="37"/>
      <c r="BH452" s="37"/>
      <c r="BI452" s="821"/>
      <c r="BJ452" s="37"/>
      <c r="BK452" s="37"/>
      <c r="BL452" s="37"/>
      <c r="BM452" s="37"/>
      <c r="BN452" s="821"/>
      <c r="BO452" s="37"/>
      <c r="BP452" s="37"/>
      <c r="BQ452" s="37"/>
      <c r="BR452" s="37"/>
      <c r="BS452" s="821"/>
      <c r="BT452" s="480"/>
      <c r="BU452" s="37"/>
      <c r="BV452" s="37"/>
      <c r="BW452" s="37"/>
      <c r="BX452" s="821"/>
      <c r="BY452" s="37"/>
      <c r="BZ452" s="37"/>
      <c r="CA452" s="37"/>
      <c r="CB452" s="37"/>
      <c r="CC452" s="821"/>
      <c r="CD452" s="821"/>
      <c r="CE452" s="821"/>
      <c r="CF452" s="821"/>
      <c r="CG452" s="22"/>
    </row>
    <row r="453" spans="1:85" s="428" customFormat="1" hidden="1" outlineLevel="2" x14ac:dyDescent="0.3">
      <c r="A453" s="53" t="s">
        <v>647</v>
      </c>
      <c r="B453" s="58"/>
      <c r="C453" s="825"/>
      <c r="D453" s="825"/>
      <c r="E453" s="825"/>
      <c r="F453" s="825"/>
      <c r="G453" s="31"/>
      <c r="H453" s="31"/>
      <c r="I453" s="31"/>
      <c r="J453" s="31"/>
      <c r="K453" s="825"/>
      <c r="L453" s="31"/>
      <c r="M453" s="31"/>
      <c r="N453" s="31"/>
      <c r="O453" s="31"/>
      <c r="P453" s="825"/>
      <c r="Q453" s="31"/>
      <c r="R453" s="31"/>
      <c r="S453" s="31"/>
      <c r="T453" s="31"/>
      <c r="U453" s="825"/>
      <c r="V453" s="31"/>
      <c r="W453" s="31"/>
      <c r="X453" s="31"/>
      <c r="Y453" s="31"/>
      <c r="Z453" s="825"/>
      <c r="AA453" s="31"/>
      <c r="AB453" s="31"/>
      <c r="AC453" s="31"/>
      <c r="AD453" s="31"/>
      <c r="AE453" s="825"/>
      <c r="AF453" s="31"/>
      <c r="AG453" s="31"/>
      <c r="AH453" s="31"/>
      <c r="AI453" s="31"/>
      <c r="AJ453" s="825"/>
      <c r="AK453" s="31">
        <f t="shared" ref="AK453:BQ453" si="826">AK242</f>
        <v>35</v>
      </c>
      <c r="AL453" s="31">
        <f t="shared" si="826"/>
        <v>264</v>
      </c>
      <c r="AM453" s="31">
        <f t="shared" si="826"/>
        <v>439</v>
      </c>
      <c r="AN453" s="31">
        <f t="shared" si="826"/>
        <v>184</v>
      </c>
      <c r="AO453" s="825">
        <f t="shared" si="826"/>
        <v>922</v>
      </c>
      <c r="AP453" s="31">
        <f t="shared" si="826"/>
        <v>653</v>
      </c>
      <c r="AQ453" s="31">
        <f t="shared" si="826"/>
        <v>-22</v>
      </c>
      <c r="AR453" s="31">
        <f t="shared" si="826"/>
        <v>151</v>
      </c>
      <c r="AS453" s="31">
        <f t="shared" si="826"/>
        <v>-164</v>
      </c>
      <c r="AT453" s="825">
        <f t="shared" si="826"/>
        <v>618</v>
      </c>
      <c r="AU453" s="31">
        <f t="shared" si="826"/>
        <v>135</v>
      </c>
      <c r="AV453" s="31">
        <f t="shared" si="826"/>
        <v>63</v>
      </c>
      <c r="AW453" s="31">
        <f t="shared" si="826"/>
        <v>227</v>
      </c>
      <c r="AX453" s="31">
        <f t="shared" si="826"/>
        <v>100</v>
      </c>
      <c r="AY453" s="825">
        <f t="shared" si="826"/>
        <v>525</v>
      </c>
      <c r="AZ453" s="31">
        <f t="shared" si="826"/>
        <v>-155</v>
      </c>
      <c r="BA453" s="31">
        <f t="shared" si="826"/>
        <v>1083</v>
      </c>
      <c r="BB453" s="31">
        <f t="shared" si="826"/>
        <v>1242</v>
      </c>
      <c r="BC453" s="31">
        <f t="shared" si="826"/>
        <v>591</v>
      </c>
      <c r="BD453" s="825">
        <f t="shared" si="826"/>
        <v>2761</v>
      </c>
      <c r="BE453" s="31">
        <f t="shared" si="826"/>
        <v>823</v>
      </c>
      <c r="BF453" s="31">
        <f t="shared" si="826"/>
        <v>426</v>
      </c>
      <c r="BG453" s="31">
        <f t="shared" si="826"/>
        <v>307</v>
      </c>
      <c r="BH453" s="31">
        <f t="shared" si="826"/>
        <v>677</v>
      </c>
      <c r="BI453" s="825">
        <f t="shared" si="826"/>
        <v>2233</v>
      </c>
      <c r="BJ453" s="31">
        <f t="shared" si="826"/>
        <v>330</v>
      </c>
      <c r="BK453" s="31">
        <f t="shared" si="826"/>
        <v>317</v>
      </c>
      <c r="BL453" s="31">
        <f t="shared" si="826"/>
        <v>449</v>
      </c>
      <c r="BM453" s="31">
        <f t="shared" si="826"/>
        <v>100</v>
      </c>
      <c r="BN453" s="825">
        <f t="shared" si="826"/>
        <v>1196</v>
      </c>
      <c r="BO453" s="31">
        <f t="shared" si="826"/>
        <v>222</v>
      </c>
      <c r="BP453" s="31">
        <f t="shared" si="826"/>
        <v>333</v>
      </c>
      <c r="BQ453" s="31">
        <f t="shared" si="826"/>
        <v>499</v>
      </c>
      <c r="BR453" s="31">
        <f>BR242</f>
        <v>593</v>
      </c>
      <c r="BS453" s="825">
        <f>BS242</f>
        <v>1647</v>
      </c>
      <c r="BT453" s="379">
        <f>BT242</f>
        <v>-1013</v>
      </c>
      <c r="BU453" s="31"/>
      <c r="BV453" s="31"/>
      <c r="BW453" s="31"/>
      <c r="BX453" s="825"/>
      <c r="BY453" s="31"/>
      <c r="BZ453" s="31"/>
      <c r="CA453" s="31"/>
      <c r="CB453" s="31"/>
      <c r="CC453" s="825"/>
      <c r="CD453" s="825"/>
      <c r="CE453" s="825"/>
      <c r="CF453" s="825"/>
      <c r="CG453" s="22"/>
    </row>
    <row r="454" spans="1:85" s="428" customFormat="1" hidden="1" outlineLevel="2" x14ac:dyDescent="0.3">
      <c r="A454" s="40" t="s">
        <v>622</v>
      </c>
      <c r="B454" s="109"/>
      <c r="C454" s="821"/>
      <c r="D454" s="821"/>
      <c r="E454" s="821"/>
      <c r="F454" s="821"/>
      <c r="G454" s="37"/>
      <c r="H454" s="37"/>
      <c r="I454" s="37"/>
      <c r="J454" s="37"/>
      <c r="K454" s="821"/>
      <c r="L454" s="37"/>
      <c r="M454" s="37"/>
      <c r="N454" s="37"/>
      <c r="O454" s="37"/>
      <c r="P454" s="821"/>
      <c r="Q454" s="37"/>
      <c r="R454" s="37"/>
      <c r="S454" s="37"/>
      <c r="T454" s="37"/>
      <c r="U454" s="821"/>
      <c r="V454" s="37"/>
      <c r="W454" s="37"/>
      <c r="X454" s="37"/>
      <c r="Y454" s="37"/>
      <c r="Z454" s="821"/>
      <c r="AA454" s="37"/>
      <c r="AB454" s="37"/>
      <c r="AC454" s="37"/>
      <c r="AD454" s="37"/>
      <c r="AE454" s="821"/>
      <c r="AF454" s="37"/>
      <c r="AG454" s="37"/>
      <c r="AH454" s="37"/>
      <c r="AI454" s="37"/>
      <c r="AJ454" s="821"/>
      <c r="AK454" s="37"/>
      <c r="AL454" s="37"/>
      <c r="AM454" s="37"/>
      <c r="AN454" s="37"/>
      <c r="AO454" s="821"/>
      <c r="AP454" s="37"/>
      <c r="AQ454" s="37"/>
      <c r="AR454" s="37"/>
      <c r="AS454" s="37"/>
      <c r="AT454" s="821"/>
      <c r="AU454" s="37"/>
      <c r="AV454" s="37"/>
      <c r="AW454" s="37"/>
      <c r="AX454" s="37"/>
      <c r="AY454" s="821"/>
      <c r="AZ454" s="37"/>
      <c r="BA454" s="37"/>
      <c r="BB454" s="37"/>
      <c r="BC454" s="37"/>
      <c r="BD454" s="821"/>
      <c r="BE454" s="37"/>
      <c r="BF454" s="37"/>
      <c r="BG454" s="37"/>
      <c r="BH454" s="37"/>
      <c r="BI454" s="821"/>
      <c r="BJ454" s="37"/>
      <c r="BK454" s="37"/>
      <c r="BL454" s="37"/>
      <c r="BM454" s="763">
        <v>-185</v>
      </c>
      <c r="BN454" s="827">
        <v>-185</v>
      </c>
      <c r="BO454" s="37"/>
      <c r="BP454" s="37"/>
      <c r="BQ454" s="37"/>
      <c r="BR454" s="37"/>
      <c r="BS454" s="821"/>
      <c r="BT454" s="480"/>
      <c r="BU454" s="37"/>
      <c r="BV454" s="37"/>
      <c r="BW454" s="37"/>
      <c r="BX454" s="821"/>
      <c r="BY454" s="37"/>
      <c r="BZ454" s="37"/>
      <c r="CA454" s="37"/>
      <c r="CB454" s="37"/>
      <c r="CC454" s="821"/>
      <c r="CD454" s="821"/>
      <c r="CE454" s="821"/>
      <c r="CF454" s="821"/>
      <c r="CG454" s="22"/>
    </row>
    <row r="455" spans="1:85" s="428" customFormat="1" hidden="1" outlineLevel="2" x14ac:dyDescent="0.3">
      <c r="A455" s="40" t="s">
        <v>623</v>
      </c>
      <c r="B455" s="109"/>
      <c r="C455" s="821"/>
      <c r="D455" s="821"/>
      <c r="E455" s="821"/>
      <c r="F455" s="821"/>
      <c r="G455" s="37"/>
      <c r="H455" s="37"/>
      <c r="I455" s="37"/>
      <c r="J455" s="37"/>
      <c r="K455" s="821"/>
      <c r="L455" s="37"/>
      <c r="M455" s="37"/>
      <c r="N455" s="37"/>
      <c r="O455" s="37"/>
      <c r="P455" s="821"/>
      <c r="Q455" s="37"/>
      <c r="R455" s="37"/>
      <c r="S455" s="37"/>
      <c r="T455" s="37"/>
      <c r="U455" s="821"/>
      <c r="V455" s="37"/>
      <c r="W455" s="37"/>
      <c r="X455" s="37"/>
      <c r="Y455" s="37"/>
      <c r="Z455" s="821"/>
      <c r="AA455" s="37"/>
      <c r="AB455" s="37"/>
      <c r="AC455" s="37"/>
      <c r="AD455" s="37"/>
      <c r="AE455" s="821"/>
      <c r="AF455" s="37"/>
      <c r="AG455" s="37"/>
      <c r="AH455" s="37"/>
      <c r="AI455" s="37"/>
      <c r="AJ455" s="821"/>
      <c r="AK455" s="37"/>
      <c r="AL455" s="37"/>
      <c r="AM455" s="37"/>
      <c r="AN455" s="37"/>
      <c r="AO455" s="821"/>
      <c r="AP455" s="37"/>
      <c r="AQ455" s="763">
        <v>-60</v>
      </c>
      <c r="AR455" s="37"/>
      <c r="AS455" s="37"/>
      <c r="AT455" s="827">
        <v>-60</v>
      </c>
      <c r="AU455" s="37"/>
      <c r="AV455" s="37"/>
      <c r="AW455" s="37"/>
      <c r="AX455" s="37"/>
      <c r="AY455" s="821"/>
      <c r="AZ455" s="37"/>
      <c r="BA455" s="37"/>
      <c r="BB455" s="37"/>
      <c r="BC455" s="37"/>
      <c r="BD455" s="821"/>
      <c r="BE455" s="37"/>
      <c r="BF455" s="37"/>
      <c r="BG455" s="37"/>
      <c r="BH455" s="37"/>
      <c r="BI455" s="821"/>
      <c r="BJ455" s="37"/>
      <c r="BK455" s="37"/>
      <c r="BL455" s="37"/>
      <c r="BM455" s="763">
        <v>-17</v>
      </c>
      <c r="BN455" s="827">
        <v>-17</v>
      </c>
      <c r="BO455" s="37"/>
      <c r="BP455" s="37"/>
      <c r="BQ455" s="37"/>
      <c r="BR455" s="37"/>
      <c r="BS455" s="821"/>
      <c r="BT455" s="480"/>
      <c r="BU455" s="37"/>
      <c r="BV455" s="37"/>
      <c r="BW455" s="37"/>
      <c r="BX455" s="821"/>
      <c r="BY455" s="37"/>
      <c r="BZ455" s="37"/>
      <c r="CA455" s="37"/>
      <c r="CB455" s="37"/>
      <c r="CC455" s="821"/>
      <c r="CD455" s="821"/>
      <c r="CE455" s="821"/>
      <c r="CF455" s="821"/>
      <c r="CG455" s="22"/>
    </row>
    <row r="456" spans="1:85" s="428" customFormat="1" hidden="1" outlineLevel="2" x14ac:dyDescent="0.3">
      <c r="A456" s="40" t="s">
        <v>620</v>
      </c>
      <c r="B456" s="109"/>
      <c r="C456" s="821"/>
      <c r="D456" s="821"/>
      <c r="E456" s="821"/>
      <c r="F456" s="821"/>
      <c r="G456" s="37"/>
      <c r="H456" s="37"/>
      <c r="I456" s="37"/>
      <c r="J456" s="37"/>
      <c r="K456" s="821"/>
      <c r="L456" s="37"/>
      <c r="M456" s="37"/>
      <c r="N456" s="37"/>
      <c r="O456" s="37"/>
      <c r="P456" s="821"/>
      <c r="Q456" s="37"/>
      <c r="R456" s="37"/>
      <c r="S456" s="37"/>
      <c r="T456" s="37"/>
      <c r="U456" s="821"/>
      <c r="V456" s="37"/>
      <c r="W456" s="37"/>
      <c r="X456" s="37"/>
      <c r="Y456" s="37"/>
      <c r="Z456" s="821"/>
      <c r="AA456" s="37"/>
      <c r="AB456" s="37"/>
      <c r="AC456" s="37"/>
      <c r="AD456" s="37"/>
      <c r="AE456" s="821"/>
      <c r="AF456" s="37"/>
      <c r="AG456" s="37"/>
      <c r="AH456" s="37"/>
      <c r="AI456" s="37"/>
      <c r="AJ456" s="821"/>
      <c r="AK456" s="37">
        <f>AO456-SUM(AN456,AM456,AL456)</f>
        <v>31</v>
      </c>
      <c r="AL456" s="763">
        <v>-9</v>
      </c>
      <c r="AM456" s="763">
        <v>27</v>
      </c>
      <c r="AN456" s="763">
        <v>-32</v>
      </c>
      <c r="AO456" s="827">
        <v>17</v>
      </c>
      <c r="AP456" s="763">
        <v>60</v>
      </c>
      <c r="AQ456" s="763">
        <v>-23</v>
      </c>
      <c r="AR456" s="763">
        <v>-49</v>
      </c>
      <c r="AS456" s="763">
        <v>-140</v>
      </c>
      <c r="AT456" s="827">
        <v>-152</v>
      </c>
      <c r="AU456" s="763">
        <v>59</v>
      </c>
      <c r="AV456" s="763">
        <v>1</v>
      </c>
      <c r="AW456" s="763">
        <v>123</v>
      </c>
      <c r="AX456" s="763">
        <v>2</v>
      </c>
      <c r="AY456" s="827">
        <v>185</v>
      </c>
      <c r="AZ456" s="763">
        <v>23</v>
      </c>
      <c r="BA456" s="763">
        <v>145</v>
      </c>
      <c r="BB456" s="763">
        <v>179</v>
      </c>
      <c r="BC456" s="763">
        <v>-112</v>
      </c>
      <c r="BD456" s="827">
        <v>235</v>
      </c>
      <c r="BE456" s="763">
        <v>18</v>
      </c>
      <c r="BF456" s="763">
        <v>4</v>
      </c>
      <c r="BG456" s="763">
        <v>24</v>
      </c>
      <c r="BH456" s="763">
        <v>-58</v>
      </c>
      <c r="BI456" s="828">
        <v>-12</v>
      </c>
      <c r="BJ456" s="763">
        <v>56</v>
      </c>
      <c r="BK456" s="763">
        <v>-1</v>
      </c>
      <c r="BL456" s="763">
        <v>-55</v>
      </c>
      <c r="BM456" s="763">
        <v>126</v>
      </c>
      <c r="BN456" s="828">
        <v>126</v>
      </c>
      <c r="BO456" s="763">
        <v>3</v>
      </c>
      <c r="BP456" s="763">
        <v>-102</v>
      </c>
      <c r="BQ456" s="763">
        <v>42</v>
      </c>
      <c r="BR456" s="763">
        <v>9</v>
      </c>
      <c r="BS456" s="828">
        <v>-48</v>
      </c>
      <c r="BT456" s="764">
        <v>8</v>
      </c>
      <c r="BU456" s="37"/>
      <c r="BV456" s="37"/>
      <c r="BW456" s="37"/>
      <c r="BX456" s="821"/>
      <c r="BY456" s="37"/>
      <c r="BZ456" s="37"/>
      <c r="CA456" s="37"/>
      <c r="CB456" s="37"/>
      <c r="CC456" s="821"/>
      <c r="CD456" s="821"/>
      <c r="CE456" s="821"/>
      <c r="CF456" s="821"/>
      <c r="CG456" s="22"/>
    </row>
    <row r="457" spans="1:85" s="428" customFormat="1" hidden="1" outlineLevel="2" x14ac:dyDescent="0.3">
      <c r="A457" s="41" t="s">
        <v>648</v>
      </c>
      <c r="B457" s="99"/>
      <c r="C457" s="823"/>
      <c r="D457" s="823"/>
      <c r="E457" s="823"/>
      <c r="F457" s="823"/>
      <c r="G457" s="393"/>
      <c r="H457" s="393"/>
      <c r="I457" s="393"/>
      <c r="J457" s="393"/>
      <c r="K457" s="823"/>
      <c r="L457" s="393"/>
      <c r="M457" s="393"/>
      <c r="N457" s="393"/>
      <c r="O457" s="393"/>
      <c r="P457" s="823"/>
      <c r="Q457" s="393"/>
      <c r="R457" s="393"/>
      <c r="S457" s="393"/>
      <c r="T457" s="393"/>
      <c r="U457" s="823"/>
      <c r="V457" s="393"/>
      <c r="W457" s="393"/>
      <c r="X457" s="393"/>
      <c r="Y457" s="393"/>
      <c r="Z457" s="823"/>
      <c r="AA457" s="393"/>
      <c r="AB457" s="393"/>
      <c r="AC457" s="393"/>
      <c r="AD457" s="393"/>
      <c r="AE457" s="823"/>
      <c r="AF457" s="393"/>
      <c r="AG457" s="393"/>
      <c r="AH457" s="393"/>
      <c r="AI457" s="393"/>
      <c r="AJ457" s="823"/>
      <c r="AK457" s="393">
        <f t="shared" ref="AK457:AN457" si="827">AK453-SUM(AK455:AK456)</f>
        <v>4</v>
      </c>
      <c r="AL457" s="393">
        <f t="shared" si="827"/>
        <v>273</v>
      </c>
      <c r="AM457" s="393">
        <f t="shared" si="827"/>
        <v>412</v>
      </c>
      <c r="AN457" s="393">
        <f t="shared" si="827"/>
        <v>216</v>
      </c>
      <c r="AO457" s="823">
        <f t="shared" ref="AO457:BL457" si="828">AO453-SUM(AO454:AO456)</f>
        <v>905</v>
      </c>
      <c r="AP457" s="393">
        <f t="shared" si="828"/>
        <v>593</v>
      </c>
      <c r="AQ457" s="393">
        <f t="shared" si="828"/>
        <v>61</v>
      </c>
      <c r="AR457" s="393">
        <f t="shared" si="828"/>
        <v>200</v>
      </c>
      <c r="AS457" s="393">
        <f t="shared" si="828"/>
        <v>-24</v>
      </c>
      <c r="AT457" s="823">
        <f t="shared" si="828"/>
        <v>830</v>
      </c>
      <c r="AU457" s="393">
        <f t="shared" si="828"/>
        <v>76</v>
      </c>
      <c r="AV457" s="393">
        <f t="shared" si="828"/>
        <v>62</v>
      </c>
      <c r="AW457" s="393">
        <f t="shared" si="828"/>
        <v>104</v>
      </c>
      <c r="AX457" s="393">
        <f t="shared" si="828"/>
        <v>98</v>
      </c>
      <c r="AY457" s="823">
        <f t="shared" si="828"/>
        <v>340</v>
      </c>
      <c r="AZ457" s="393">
        <f t="shared" si="828"/>
        <v>-178</v>
      </c>
      <c r="BA457" s="393">
        <f t="shared" si="828"/>
        <v>938</v>
      </c>
      <c r="BB457" s="393">
        <f t="shared" si="828"/>
        <v>1063</v>
      </c>
      <c r="BC457" s="393">
        <f t="shared" si="828"/>
        <v>703</v>
      </c>
      <c r="BD457" s="823">
        <f t="shared" si="828"/>
        <v>2526</v>
      </c>
      <c r="BE457" s="393">
        <f t="shared" si="828"/>
        <v>805</v>
      </c>
      <c r="BF457" s="393">
        <f t="shared" si="828"/>
        <v>422</v>
      </c>
      <c r="BG457" s="393">
        <f t="shared" si="828"/>
        <v>283</v>
      </c>
      <c r="BH457" s="393">
        <f t="shared" si="828"/>
        <v>735</v>
      </c>
      <c r="BI457" s="825">
        <f t="shared" si="828"/>
        <v>2245</v>
      </c>
      <c r="BJ457" s="393">
        <f t="shared" si="828"/>
        <v>274</v>
      </c>
      <c r="BK457" s="393">
        <f t="shared" si="828"/>
        <v>318</v>
      </c>
      <c r="BL457" s="393">
        <f t="shared" si="828"/>
        <v>504</v>
      </c>
      <c r="BM457" s="393">
        <f>BM453-SUM(BM454:BM456)</f>
        <v>176</v>
      </c>
      <c r="BN457" s="825">
        <f t="shared" ref="BN457" si="829">BN453-SUM(BN454:BN456)</f>
        <v>1272</v>
      </c>
      <c r="BO457" s="393">
        <f t="shared" ref="BO457:BT457" si="830">BO453-SUM(BO454:BO456)</f>
        <v>219</v>
      </c>
      <c r="BP457" s="393">
        <f t="shared" si="830"/>
        <v>435</v>
      </c>
      <c r="BQ457" s="393">
        <f t="shared" si="830"/>
        <v>457</v>
      </c>
      <c r="BR457" s="393">
        <f t="shared" si="830"/>
        <v>584</v>
      </c>
      <c r="BS457" s="825">
        <f t="shared" si="830"/>
        <v>1695</v>
      </c>
      <c r="BT457" s="641">
        <f t="shared" si="830"/>
        <v>-1021</v>
      </c>
      <c r="BU457" s="393"/>
      <c r="BV457" s="393"/>
      <c r="BW457" s="393"/>
      <c r="BX457" s="823"/>
      <c r="BY457" s="393"/>
      <c r="BZ457" s="393"/>
      <c r="CA457" s="393"/>
      <c r="CB457" s="393"/>
      <c r="CC457" s="823"/>
      <c r="CD457" s="823"/>
      <c r="CE457" s="823"/>
      <c r="CF457" s="823"/>
      <c r="CG457" s="22"/>
    </row>
    <row r="458" spans="1:85" s="428" customFormat="1" hidden="1" outlineLevel="2" x14ac:dyDescent="0.3">
      <c r="A458" s="43"/>
      <c r="B458" s="109"/>
      <c r="C458" s="821"/>
      <c r="D458" s="821"/>
      <c r="E458" s="821"/>
      <c r="F458" s="821"/>
      <c r="G458" s="37"/>
      <c r="H458" s="37"/>
      <c r="I458" s="37"/>
      <c r="J458" s="37"/>
      <c r="K458" s="821"/>
      <c r="L458" s="37"/>
      <c r="M458" s="37"/>
      <c r="N458" s="37"/>
      <c r="O458" s="37"/>
      <c r="P458" s="821"/>
      <c r="Q458" s="37"/>
      <c r="R458" s="37"/>
      <c r="S458" s="37"/>
      <c r="T458" s="37"/>
      <c r="U458" s="821"/>
      <c r="V458" s="37"/>
      <c r="W458" s="37"/>
      <c r="X458" s="37"/>
      <c r="Y458" s="37"/>
      <c r="Z458" s="821"/>
      <c r="AA458" s="37"/>
      <c r="AB458" s="37"/>
      <c r="AC458" s="37"/>
      <c r="AD458" s="37"/>
      <c r="AE458" s="821"/>
      <c r="AF458" s="37"/>
      <c r="AG458" s="37"/>
      <c r="AH458" s="37"/>
      <c r="AI458" s="37"/>
      <c r="AJ458" s="821"/>
      <c r="AK458" s="37"/>
      <c r="AL458" s="37"/>
      <c r="AM458" s="37"/>
      <c r="AN458" s="37"/>
      <c r="AO458" s="821"/>
      <c r="AP458" s="37"/>
      <c r="AQ458" s="37"/>
      <c r="AR458" s="37"/>
      <c r="AS458" s="37"/>
      <c r="AT458" s="821"/>
      <c r="AU458" s="37"/>
      <c r="AV458" s="37"/>
      <c r="AW458" s="37"/>
      <c r="AX458" s="37"/>
      <c r="AY458" s="821"/>
      <c r="AZ458" s="37"/>
      <c r="BA458" s="37"/>
      <c r="BB458" s="37"/>
      <c r="BC458" s="37"/>
      <c r="BD458" s="821"/>
      <c r="BE458" s="37"/>
      <c r="BF458" s="37"/>
      <c r="BG458" s="37"/>
      <c r="BH458" s="37"/>
      <c r="BI458" s="821"/>
      <c r="BJ458" s="37"/>
      <c r="BK458" s="37"/>
      <c r="BL458" s="37"/>
      <c r="BM458" s="37"/>
      <c r="BN458" s="821"/>
      <c r="BO458" s="37"/>
      <c r="BP458" s="37"/>
      <c r="BQ458" s="37"/>
      <c r="BR458" s="37"/>
      <c r="BS458" s="821"/>
      <c r="BT458" s="480"/>
      <c r="BU458" s="37"/>
      <c r="BV458" s="37"/>
      <c r="BW458" s="37"/>
      <c r="BX458" s="821"/>
      <c r="BY458" s="37"/>
      <c r="BZ458" s="37"/>
      <c r="CA458" s="37"/>
      <c r="CB458" s="37"/>
      <c r="CC458" s="821"/>
      <c r="CD458" s="821"/>
      <c r="CE458" s="821"/>
      <c r="CF458" s="821"/>
      <c r="CG458" s="22"/>
    </row>
    <row r="459" spans="1:85" s="428" customFormat="1" hidden="1" outlineLevel="2" x14ac:dyDescent="0.3">
      <c r="A459" s="53" t="s">
        <v>616</v>
      </c>
      <c r="B459" s="58"/>
      <c r="C459" s="825"/>
      <c r="D459" s="825"/>
      <c r="E459" s="825"/>
      <c r="F459" s="825"/>
      <c r="G459" s="31"/>
      <c r="H459" s="31"/>
      <c r="I459" s="31"/>
      <c r="J459" s="31"/>
      <c r="K459" s="825"/>
      <c r="L459" s="31"/>
      <c r="M459" s="31"/>
      <c r="N459" s="31"/>
      <c r="O459" s="31"/>
      <c r="P459" s="825"/>
      <c r="Q459" s="31"/>
      <c r="R459" s="31"/>
      <c r="S459" s="31"/>
      <c r="T459" s="31"/>
      <c r="U459" s="825"/>
      <c r="V459" s="31"/>
      <c r="W459" s="31"/>
      <c r="X459" s="31"/>
      <c r="Y459" s="31"/>
      <c r="Z459" s="825"/>
      <c r="AA459" s="31"/>
      <c r="AB459" s="31"/>
      <c r="AC459" s="31"/>
      <c r="AD459" s="31"/>
      <c r="AE459" s="825"/>
      <c r="AF459" s="31"/>
      <c r="AG459" s="31"/>
      <c r="AH459" s="31"/>
      <c r="AI459" s="31"/>
      <c r="AJ459" s="825"/>
      <c r="AK459" s="31">
        <f t="shared" ref="AK459:BQ459" si="831">AK260</f>
        <v>-726</v>
      </c>
      <c r="AL459" s="31">
        <f t="shared" si="831"/>
        <v>93</v>
      </c>
      <c r="AM459" s="31">
        <f t="shared" si="831"/>
        <v>-952</v>
      </c>
      <c r="AN459" s="31">
        <f t="shared" si="831"/>
        <v>-548</v>
      </c>
      <c r="AO459" s="825">
        <f t="shared" si="831"/>
        <v>-2133</v>
      </c>
      <c r="AP459" s="31">
        <f t="shared" si="831"/>
        <v>-424</v>
      </c>
      <c r="AQ459" s="31">
        <f t="shared" si="831"/>
        <v>-1171</v>
      </c>
      <c r="AR459" s="31">
        <f t="shared" si="831"/>
        <v>-734</v>
      </c>
      <c r="AS459" s="31">
        <f t="shared" si="831"/>
        <v>-828</v>
      </c>
      <c r="AT459" s="825">
        <f t="shared" si="831"/>
        <v>-3157</v>
      </c>
      <c r="AU459" s="31">
        <f t="shared" si="831"/>
        <v>-978</v>
      </c>
      <c r="AV459" s="31">
        <f t="shared" si="831"/>
        <v>-935</v>
      </c>
      <c r="AW459" s="31">
        <f t="shared" si="831"/>
        <v>-334</v>
      </c>
      <c r="AX459" s="31">
        <f t="shared" si="831"/>
        <v>-860</v>
      </c>
      <c r="AY459" s="825">
        <f t="shared" si="831"/>
        <v>-3107</v>
      </c>
      <c r="AZ459" s="31">
        <f t="shared" si="831"/>
        <v>-1006</v>
      </c>
      <c r="BA459" s="31">
        <f t="shared" si="831"/>
        <v>-459</v>
      </c>
      <c r="BB459" s="31">
        <f t="shared" si="831"/>
        <v>-606</v>
      </c>
      <c r="BC459" s="31">
        <f t="shared" si="831"/>
        <v>-903</v>
      </c>
      <c r="BD459" s="825">
        <f t="shared" si="831"/>
        <v>-2974</v>
      </c>
      <c r="BE459" s="31">
        <f t="shared" si="831"/>
        <v>-387</v>
      </c>
      <c r="BF459" s="31">
        <f t="shared" si="831"/>
        <v>-433</v>
      </c>
      <c r="BG459" s="31">
        <f t="shared" si="831"/>
        <v>-912</v>
      </c>
      <c r="BH459" s="31">
        <f t="shared" si="831"/>
        <v>-474</v>
      </c>
      <c r="BI459" s="825">
        <f t="shared" si="831"/>
        <v>-2206</v>
      </c>
      <c r="BJ459" s="31">
        <f t="shared" si="831"/>
        <v>-521</v>
      </c>
      <c r="BK459" s="31">
        <f t="shared" si="831"/>
        <v>-633</v>
      </c>
      <c r="BL459" s="31">
        <f t="shared" si="831"/>
        <v>-697</v>
      </c>
      <c r="BM459" s="31">
        <f t="shared" si="831"/>
        <v>-817</v>
      </c>
      <c r="BN459" s="825">
        <f t="shared" si="831"/>
        <v>-2668</v>
      </c>
      <c r="BO459" s="31">
        <f t="shared" si="831"/>
        <v>-583</v>
      </c>
      <c r="BP459" s="31">
        <f t="shared" si="831"/>
        <v>-974</v>
      </c>
      <c r="BQ459" s="31">
        <f t="shared" si="831"/>
        <v>-900</v>
      </c>
      <c r="BR459" s="31">
        <f>BR260</f>
        <v>-1088</v>
      </c>
      <c r="BS459" s="825">
        <f>BS260</f>
        <v>-3545</v>
      </c>
      <c r="BT459" s="379">
        <f>BT260</f>
        <v>-882</v>
      </c>
      <c r="BU459" s="31"/>
      <c r="BV459" s="31"/>
      <c r="BW459" s="31"/>
      <c r="BX459" s="825"/>
      <c r="BY459" s="31"/>
      <c r="BZ459" s="31"/>
      <c r="CA459" s="31"/>
      <c r="CB459" s="31"/>
      <c r="CC459" s="825"/>
      <c r="CD459" s="825"/>
      <c r="CE459" s="825"/>
      <c r="CF459" s="825"/>
      <c r="CG459" s="22"/>
    </row>
    <row r="460" spans="1:85" s="428" customFormat="1" hidden="1" outlineLevel="2" x14ac:dyDescent="0.3">
      <c r="A460" s="40" t="s">
        <v>623</v>
      </c>
      <c r="B460" s="109"/>
      <c r="C460" s="821"/>
      <c r="D460" s="821"/>
      <c r="E460" s="821"/>
      <c r="F460" s="821"/>
      <c r="G460" s="37"/>
      <c r="H460" s="37"/>
      <c r="I460" s="37"/>
      <c r="J460" s="37"/>
      <c r="K460" s="821"/>
      <c r="L460" s="37"/>
      <c r="M460" s="37"/>
      <c r="N460" s="37"/>
      <c r="O460" s="37"/>
      <c r="P460" s="821"/>
      <c r="Q460" s="37"/>
      <c r="R460" s="37"/>
      <c r="S460" s="37"/>
      <c r="T460" s="37"/>
      <c r="U460" s="821"/>
      <c r="V460" s="37"/>
      <c r="W460" s="37"/>
      <c r="X460" s="37"/>
      <c r="Y460" s="37"/>
      <c r="Z460" s="821"/>
      <c r="AA460" s="37"/>
      <c r="AB460" s="37"/>
      <c r="AC460" s="37"/>
      <c r="AD460" s="37"/>
      <c r="AE460" s="821"/>
      <c r="AF460" s="37"/>
      <c r="AG460" s="37"/>
      <c r="AH460" s="37"/>
      <c r="AI460" s="37"/>
      <c r="AJ460" s="821"/>
      <c r="AK460" s="37"/>
      <c r="AL460" s="37"/>
      <c r="AM460" s="37"/>
      <c r="AN460" s="37"/>
      <c r="AO460" s="821"/>
      <c r="AP460" s="37"/>
      <c r="AQ460" s="763">
        <v>-230</v>
      </c>
      <c r="AR460" s="37"/>
      <c r="AS460" s="37"/>
      <c r="AT460" s="827">
        <v>-230</v>
      </c>
      <c r="AU460" s="37"/>
      <c r="AV460" s="37"/>
      <c r="AW460" s="37"/>
      <c r="AX460" s="37"/>
      <c r="AY460" s="821"/>
      <c r="AZ460" s="37"/>
      <c r="BA460" s="37"/>
      <c r="BB460" s="37"/>
      <c r="BC460" s="37"/>
      <c r="BD460" s="821"/>
      <c r="BE460" s="37"/>
      <c r="BF460" s="37"/>
      <c r="BG460" s="37"/>
      <c r="BH460" s="37"/>
      <c r="BI460" s="821"/>
      <c r="BJ460" s="37"/>
      <c r="BK460" s="37"/>
      <c r="BL460" s="37"/>
      <c r="BM460" s="763">
        <v>-208</v>
      </c>
      <c r="BN460" s="827">
        <v>-208</v>
      </c>
      <c r="BO460" s="37"/>
      <c r="BP460" s="37"/>
      <c r="BQ460" s="37"/>
      <c r="BR460" s="37"/>
      <c r="BS460" s="821"/>
      <c r="BT460" s="480"/>
      <c r="BU460" s="37"/>
      <c r="BV460" s="37"/>
      <c r="BW460" s="37"/>
      <c r="BX460" s="821"/>
      <c r="BY460" s="37"/>
      <c r="BZ460" s="37"/>
      <c r="CA460" s="37"/>
      <c r="CB460" s="37"/>
      <c r="CC460" s="821"/>
      <c r="CD460" s="821"/>
      <c r="CE460" s="821"/>
      <c r="CF460" s="821"/>
      <c r="CG460" s="22"/>
    </row>
    <row r="461" spans="1:85" s="428" customFormat="1" hidden="1" outlineLevel="2" x14ac:dyDescent="0.3">
      <c r="A461" s="40" t="s">
        <v>624</v>
      </c>
      <c r="B461" s="109"/>
      <c r="C461" s="821"/>
      <c r="D461" s="821"/>
      <c r="E461" s="821"/>
      <c r="F461" s="821"/>
      <c r="G461" s="37"/>
      <c r="H461" s="37"/>
      <c r="I461" s="37"/>
      <c r="J461" s="37"/>
      <c r="K461" s="821"/>
      <c r="L461" s="37"/>
      <c r="M461" s="37"/>
      <c r="N461" s="37"/>
      <c r="O461" s="37"/>
      <c r="P461" s="821"/>
      <c r="Q461" s="37"/>
      <c r="R461" s="37"/>
      <c r="S461" s="37"/>
      <c r="T461" s="37"/>
      <c r="U461" s="821"/>
      <c r="V461" s="37"/>
      <c r="W461" s="37"/>
      <c r="X461" s="37"/>
      <c r="Y461" s="37"/>
      <c r="Z461" s="821"/>
      <c r="AA461" s="37"/>
      <c r="AB461" s="37"/>
      <c r="AC461" s="37"/>
      <c r="AD461" s="37"/>
      <c r="AE461" s="821"/>
      <c r="AF461" s="37"/>
      <c r="AG461" s="37"/>
      <c r="AH461" s="37"/>
      <c r="AI461" s="37"/>
      <c r="AJ461" s="821"/>
      <c r="AK461" s="37"/>
      <c r="AL461" s="37"/>
      <c r="AM461" s="37"/>
      <c r="AN461" s="37"/>
      <c r="AO461" s="821"/>
      <c r="AP461" s="37"/>
      <c r="AQ461" s="37"/>
      <c r="AR461" s="763">
        <v>-90</v>
      </c>
      <c r="AS461" s="37"/>
      <c r="AT461" s="827">
        <v>-90</v>
      </c>
      <c r="AU461" s="37"/>
      <c r="AV461" s="37"/>
      <c r="AW461" s="37"/>
      <c r="AX461" s="37"/>
      <c r="AY461" s="821"/>
      <c r="AZ461" s="37"/>
      <c r="BA461" s="37"/>
      <c r="BB461" s="37"/>
      <c r="BC461" s="37"/>
      <c r="BD461" s="821"/>
      <c r="BE461" s="37"/>
      <c r="BF461" s="37"/>
      <c r="BG461" s="37"/>
      <c r="BH461" s="37"/>
      <c r="BI461" s="821"/>
      <c r="BJ461" s="37"/>
      <c r="BK461" s="37"/>
      <c r="BL461" s="37"/>
      <c r="BM461" s="37"/>
      <c r="BN461" s="821"/>
      <c r="BO461" s="37"/>
      <c r="BP461" s="37"/>
      <c r="BQ461" s="37"/>
      <c r="BR461" s="37"/>
      <c r="BS461" s="821"/>
      <c r="BT461" s="480"/>
      <c r="BU461" s="37"/>
      <c r="BV461" s="37"/>
      <c r="BW461" s="37"/>
      <c r="BX461" s="821"/>
      <c r="BY461" s="37"/>
      <c r="BZ461" s="37"/>
      <c r="CA461" s="37"/>
      <c r="CB461" s="37"/>
      <c r="CC461" s="821"/>
      <c r="CD461" s="821"/>
      <c r="CE461" s="821"/>
      <c r="CF461" s="821"/>
      <c r="CG461" s="22"/>
    </row>
    <row r="462" spans="1:85" s="428" customFormat="1" hidden="1" outlineLevel="2" x14ac:dyDescent="0.3">
      <c r="A462" s="40" t="s">
        <v>625</v>
      </c>
      <c r="B462" s="109"/>
      <c r="C462" s="821"/>
      <c r="D462" s="821"/>
      <c r="E462" s="821"/>
      <c r="F462" s="821"/>
      <c r="G462" s="37"/>
      <c r="H462" s="37"/>
      <c r="I462" s="37"/>
      <c r="J462" s="37"/>
      <c r="K462" s="821"/>
      <c r="L462" s="37"/>
      <c r="M462" s="37"/>
      <c r="N462" s="37"/>
      <c r="O462" s="37"/>
      <c r="P462" s="821"/>
      <c r="Q462" s="37"/>
      <c r="R462" s="37"/>
      <c r="S462" s="37"/>
      <c r="T462" s="37"/>
      <c r="U462" s="821"/>
      <c r="V462" s="37"/>
      <c r="W462" s="37"/>
      <c r="X462" s="37"/>
      <c r="Y462" s="37"/>
      <c r="Z462" s="821"/>
      <c r="AA462" s="37"/>
      <c r="AB462" s="37"/>
      <c r="AC462" s="37"/>
      <c r="AD462" s="37"/>
      <c r="AE462" s="821"/>
      <c r="AF462" s="37"/>
      <c r="AG462" s="37"/>
      <c r="AH462" s="37"/>
      <c r="AI462" s="37"/>
      <c r="AJ462" s="821"/>
      <c r="AK462" s="37"/>
      <c r="AL462" s="37"/>
      <c r="AM462" s="37"/>
      <c r="AN462" s="37"/>
      <c r="AO462" s="821"/>
      <c r="AP462" s="37"/>
      <c r="AQ462" s="37"/>
      <c r="AR462" s="37"/>
      <c r="AS462" s="37"/>
      <c r="AT462" s="821"/>
      <c r="AU462" s="763">
        <v>-241</v>
      </c>
      <c r="AV462" s="763">
        <v>-115</v>
      </c>
      <c r="AW462" s="763">
        <v>-81</v>
      </c>
      <c r="AX462" s="763">
        <v>-82</v>
      </c>
      <c r="AY462" s="827">
        <v>-519</v>
      </c>
      <c r="AZ462" s="763">
        <v>-66</v>
      </c>
      <c r="BA462" s="763">
        <v>-11</v>
      </c>
      <c r="BB462" s="763">
        <v>-177</v>
      </c>
      <c r="BC462" s="763">
        <v>-17</v>
      </c>
      <c r="BD462" s="827">
        <v>-271</v>
      </c>
      <c r="BE462" s="763">
        <v>0</v>
      </c>
      <c r="BF462" s="37"/>
      <c r="BG462" s="763">
        <v>-40</v>
      </c>
      <c r="BH462" s="763">
        <v>0</v>
      </c>
      <c r="BI462" s="827">
        <v>-40</v>
      </c>
      <c r="BJ462" s="37"/>
      <c r="BK462" s="37"/>
      <c r="BL462" s="37"/>
      <c r="BM462" s="37"/>
      <c r="BN462" s="821"/>
      <c r="BO462" s="37"/>
      <c r="BP462" s="763">
        <v>-55</v>
      </c>
      <c r="BQ462" s="763">
        <v>-40</v>
      </c>
      <c r="BR462" s="763">
        <v>-128</v>
      </c>
      <c r="BS462" s="827">
        <v>-223</v>
      </c>
      <c r="BT462" s="480"/>
      <c r="BU462" s="37"/>
      <c r="BV462" s="37"/>
      <c r="BW462" s="37"/>
      <c r="BX462" s="821"/>
      <c r="BY462" s="37"/>
      <c r="BZ462" s="37"/>
      <c r="CA462" s="37"/>
      <c r="CB462" s="37"/>
      <c r="CC462" s="821"/>
      <c r="CD462" s="821"/>
      <c r="CE462" s="821"/>
      <c r="CF462" s="821"/>
      <c r="CG462" s="22"/>
    </row>
    <row r="463" spans="1:85" s="428" customFormat="1" hidden="1" outlineLevel="2" x14ac:dyDescent="0.3">
      <c r="A463" s="40" t="s">
        <v>653</v>
      </c>
      <c r="B463" s="109"/>
      <c r="C463" s="821"/>
      <c r="D463" s="821"/>
      <c r="E463" s="821"/>
      <c r="F463" s="821"/>
      <c r="G463" s="37"/>
      <c r="H463" s="37"/>
      <c r="I463" s="37"/>
      <c r="J463" s="37"/>
      <c r="K463" s="821"/>
      <c r="L463" s="37"/>
      <c r="M463" s="37"/>
      <c r="N463" s="37"/>
      <c r="O463" s="37"/>
      <c r="P463" s="821"/>
      <c r="Q463" s="37"/>
      <c r="R463" s="37"/>
      <c r="S463" s="37"/>
      <c r="T463" s="37"/>
      <c r="U463" s="821"/>
      <c r="V463" s="37"/>
      <c r="W463" s="37"/>
      <c r="X463" s="37"/>
      <c r="Y463" s="37"/>
      <c r="Z463" s="821"/>
      <c r="AA463" s="37"/>
      <c r="AB463" s="37"/>
      <c r="AC463" s="37"/>
      <c r="AD463" s="37"/>
      <c r="AE463" s="821"/>
      <c r="AF463" s="37"/>
      <c r="AG463" s="37"/>
      <c r="AH463" s="37"/>
      <c r="AI463" s="37"/>
      <c r="AJ463" s="821"/>
      <c r="AK463" s="37"/>
      <c r="AL463" s="37"/>
      <c r="AM463" s="37"/>
      <c r="AN463" s="37"/>
      <c r="AO463" s="821"/>
      <c r="AP463" s="37"/>
      <c r="AQ463" s="37"/>
      <c r="AR463" s="37"/>
      <c r="AS463" s="37"/>
      <c r="AT463" s="821"/>
      <c r="AU463" s="37"/>
      <c r="AV463" s="37"/>
      <c r="AW463" s="37"/>
      <c r="AX463" s="763">
        <v>-260</v>
      </c>
      <c r="AY463" s="827">
        <v>-260</v>
      </c>
      <c r="AZ463" s="37"/>
      <c r="BA463" s="37"/>
      <c r="BB463" s="37"/>
      <c r="BC463" s="37"/>
      <c r="BD463" s="821"/>
      <c r="BE463" s="37"/>
      <c r="BF463" s="37"/>
      <c r="BG463" s="37"/>
      <c r="BH463" s="37"/>
      <c r="BI463" s="821"/>
      <c r="BJ463" s="37"/>
      <c r="BK463" s="37"/>
      <c r="BL463" s="37"/>
      <c r="BM463" s="37"/>
      <c r="BN463" s="821"/>
      <c r="BO463" s="37"/>
      <c r="BP463" s="37"/>
      <c r="BQ463" s="37"/>
      <c r="BR463" s="37"/>
      <c r="BS463" s="821"/>
      <c r="BT463" s="480"/>
      <c r="BU463" s="37"/>
      <c r="BV463" s="37"/>
      <c r="BW463" s="37"/>
      <c r="BX463" s="821"/>
      <c r="BY463" s="37"/>
      <c r="BZ463" s="37"/>
      <c r="CA463" s="37"/>
      <c r="CB463" s="37"/>
      <c r="CC463" s="821"/>
      <c r="CD463" s="821"/>
      <c r="CE463" s="821"/>
      <c r="CF463" s="821"/>
      <c r="CG463" s="22"/>
    </row>
    <row r="464" spans="1:85" s="428" customFormat="1" hidden="1" outlineLevel="2" x14ac:dyDescent="0.3">
      <c r="A464" s="40" t="s">
        <v>629</v>
      </c>
      <c r="B464" s="109"/>
      <c r="C464" s="821"/>
      <c r="D464" s="821"/>
      <c r="E464" s="821"/>
      <c r="F464" s="821"/>
      <c r="G464" s="37"/>
      <c r="H464" s="37"/>
      <c r="I464" s="37"/>
      <c r="J464" s="37"/>
      <c r="K464" s="821"/>
      <c r="L464" s="37"/>
      <c r="M464" s="37"/>
      <c r="N464" s="37"/>
      <c r="O464" s="37"/>
      <c r="P464" s="821"/>
      <c r="Q464" s="37"/>
      <c r="R464" s="37"/>
      <c r="S464" s="37"/>
      <c r="T464" s="37"/>
      <c r="U464" s="821"/>
      <c r="V464" s="37"/>
      <c r="W464" s="37"/>
      <c r="X464" s="37"/>
      <c r="Y464" s="37"/>
      <c r="Z464" s="821"/>
      <c r="AA464" s="37"/>
      <c r="AB464" s="37"/>
      <c r="AC464" s="37"/>
      <c r="AD464" s="37"/>
      <c r="AE464" s="821"/>
      <c r="AF464" s="37"/>
      <c r="AG464" s="37"/>
      <c r="AH464" s="37"/>
      <c r="AI464" s="37"/>
      <c r="AJ464" s="821"/>
      <c r="AK464" s="37"/>
      <c r="AL464" s="37"/>
      <c r="AM464" s="37"/>
      <c r="AN464" s="37"/>
      <c r="AO464" s="821"/>
      <c r="AP464" s="37"/>
      <c r="AQ464" s="37"/>
      <c r="AR464" s="37"/>
      <c r="AS464" s="763">
        <v>-100</v>
      </c>
      <c r="AT464" s="827">
        <v>-100</v>
      </c>
      <c r="AU464" s="37"/>
      <c r="AV464" s="37"/>
      <c r="AW464" s="37"/>
      <c r="AX464" s="37"/>
      <c r="AY464" s="821"/>
      <c r="AZ464" s="37"/>
      <c r="BA464" s="37"/>
      <c r="BB464" s="37"/>
      <c r="BC464" s="37"/>
      <c r="BD464" s="821"/>
      <c r="BE464" s="37"/>
      <c r="BF464" s="37"/>
      <c r="BG464" s="37"/>
      <c r="BH464" s="37"/>
      <c r="BI464" s="821"/>
      <c r="BJ464" s="37"/>
      <c r="BK464" s="37"/>
      <c r="BL464" s="37"/>
      <c r="BM464" s="37"/>
      <c r="BN464" s="821"/>
      <c r="BO464" s="763">
        <v>180</v>
      </c>
      <c r="BP464" s="763">
        <v>-275</v>
      </c>
      <c r="BQ464" s="763">
        <f>160-40</f>
        <v>120</v>
      </c>
      <c r="BR464" s="37"/>
      <c r="BS464" s="827">
        <f>-40+65</f>
        <v>25</v>
      </c>
      <c r="BT464" s="480"/>
      <c r="BU464" s="37"/>
      <c r="BV464" s="37"/>
      <c r="BW464" s="37"/>
      <c r="BX464" s="821"/>
      <c r="BY464" s="37"/>
      <c r="BZ464" s="37"/>
      <c r="CA464" s="37"/>
      <c r="CB464" s="37"/>
      <c r="CC464" s="821"/>
      <c r="CD464" s="821"/>
      <c r="CE464" s="821"/>
      <c r="CF464" s="821"/>
      <c r="CG464" s="22"/>
    </row>
    <row r="465" spans="1:85" s="428" customFormat="1" hidden="1" outlineLevel="2" x14ac:dyDescent="0.3">
      <c r="A465" s="40" t="s">
        <v>650</v>
      </c>
      <c r="B465" s="109"/>
      <c r="C465" s="821"/>
      <c r="D465" s="821"/>
      <c r="E465" s="821"/>
      <c r="F465" s="821"/>
      <c r="G465" s="37"/>
      <c r="H465" s="37"/>
      <c r="I465" s="37"/>
      <c r="J465" s="37"/>
      <c r="K465" s="821"/>
      <c r="L465" s="37"/>
      <c r="M465" s="37"/>
      <c r="N465" s="37"/>
      <c r="O465" s="37"/>
      <c r="P465" s="821"/>
      <c r="Q465" s="37"/>
      <c r="R465" s="37"/>
      <c r="S465" s="37"/>
      <c r="T465" s="37"/>
      <c r="U465" s="821"/>
      <c r="V465" s="37"/>
      <c r="W465" s="37"/>
      <c r="X465" s="37"/>
      <c r="Y465" s="37"/>
      <c r="Z465" s="821"/>
      <c r="AA465" s="37"/>
      <c r="AB465" s="37"/>
      <c r="AC465" s="37"/>
      <c r="AD465" s="37"/>
      <c r="AE465" s="821"/>
      <c r="AF465" s="37"/>
      <c r="AG465" s="37"/>
      <c r="AH465" s="37"/>
      <c r="AI465" s="37"/>
      <c r="AJ465" s="821"/>
      <c r="AK465" s="37"/>
      <c r="AL465" s="763">
        <v>740</v>
      </c>
      <c r="AM465" s="37"/>
      <c r="AN465" s="37"/>
      <c r="AO465" s="827">
        <v>740</v>
      </c>
      <c r="AP465" s="37"/>
      <c r="AQ465" s="37"/>
      <c r="AR465" s="37"/>
      <c r="AS465" s="37"/>
      <c r="AT465" s="821"/>
      <c r="AU465" s="37"/>
      <c r="AV465" s="37"/>
      <c r="AW465" s="37"/>
      <c r="AX465" s="37"/>
      <c r="AY465" s="821"/>
      <c r="AZ465" s="37"/>
      <c r="BA465" s="37"/>
      <c r="BB465" s="37"/>
      <c r="BC465" s="37"/>
      <c r="BD465" s="821"/>
      <c r="BE465" s="37"/>
      <c r="BF465" s="37"/>
      <c r="BG465" s="37"/>
      <c r="BH465" s="37"/>
      <c r="BI465" s="821"/>
      <c r="BJ465" s="37"/>
      <c r="BK465" s="37"/>
      <c r="BL465" s="37"/>
      <c r="BM465" s="37"/>
      <c r="BN465" s="821"/>
      <c r="BO465" s="37"/>
      <c r="BP465" s="37"/>
      <c r="BQ465" s="37"/>
      <c r="BR465" s="37"/>
      <c r="BS465" s="821"/>
      <c r="BT465" s="480"/>
      <c r="BU465" s="37"/>
      <c r="BV465" s="37"/>
      <c r="BW465" s="37"/>
      <c r="BX465" s="821"/>
      <c r="BY465" s="37"/>
      <c r="BZ465" s="37"/>
      <c r="CA465" s="37"/>
      <c r="CB465" s="37"/>
      <c r="CC465" s="821"/>
      <c r="CD465" s="821"/>
      <c r="CE465" s="821"/>
      <c r="CF465" s="821"/>
      <c r="CG465" s="22"/>
    </row>
    <row r="466" spans="1:85" s="428" customFormat="1" hidden="1" outlineLevel="2" x14ac:dyDescent="0.3">
      <c r="A466" s="40" t="s">
        <v>628</v>
      </c>
      <c r="B466" s="109"/>
      <c r="C466" s="821"/>
      <c r="D466" s="821"/>
      <c r="E466" s="821"/>
      <c r="F466" s="821"/>
      <c r="G466" s="37"/>
      <c r="H466" s="37"/>
      <c r="I466" s="37"/>
      <c r="J466" s="37"/>
      <c r="K466" s="821"/>
      <c r="L466" s="37"/>
      <c r="M466" s="37"/>
      <c r="N466" s="37"/>
      <c r="O466" s="37"/>
      <c r="P466" s="821"/>
      <c r="Q466" s="37"/>
      <c r="R466" s="37"/>
      <c r="S466" s="37"/>
      <c r="T466" s="37"/>
      <c r="U466" s="821"/>
      <c r="V466" s="37"/>
      <c r="W466" s="37"/>
      <c r="X466" s="37"/>
      <c r="Y466" s="37"/>
      <c r="Z466" s="821"/>
      <c r="AA466" s="37"/>
      <c r="AB466" s="37"/>
      <c r="AC466" s="37"/>
      <c r="AD466" s="37"/>
      <c r="AE466" s="821"/>
      <c r="AF466" s="37"/>
      <c r="AG466" s="37"/>
      <c r="AH466" s="37"/>
      <c r="AI466" s="37"/>
      <c r="AJ466" s="821"/>
      <c r="AK466" s="37"/>
      <c r="AL466" s="37"/>
      <c r="AM466" s="763">
        <v>-430</v>
      </c>
      <c r="AN466" s="37"/>
      <c r="AO466" s="827">
        <v>-430</v>
      </c>
      <c r="AP466" s="37"/>
      <c r="AQ466" s="37"/>
      <c r="AR466" s="37"/>
      <c r="AS466" s="37"/>
      <c r="AT466" s="821"/>
      <c r="AU466" s="37"/>
      <c r="AV466" s="37"/>
      <c r="AW466" s="37"/>
      <c r="AX466" s="37"/>
      <c r="AY466" s="821"/>
      <c r="AZ466" s="37"/>
      <c r="BA466" s="37"/>
      <c r="BB466" s="37"/>
      <c r="BC466" s="37"/>
      <c r="BD466" s="821"/>
      <c r="BE466" s="37"/>
      <c r="BF466" s="37"/>
      <c r="BG466" s="37"/>
      <c r="BH466" s="37"/>
      <c r="BI466" s="821"/>
      <c r="BJ466" s="37"/>
      <c r="BK466" s="37"/>
      <c r="BL466" s="37"/>
      <c r="BM466" s="37"/>
      <c r="BN466" s="821"/>
      <c r="BO466" s="37"/>
      <c r="BP466" s="37"/>
      <c r="BQ466" s="37"/>
      <c r="BR466" s="37"/>
      <c r="BS466" s="821"/>
      <c r="BT466" s="480"/>
      <c r="BU466" s="37"/>
      <c r="BV466" s="37"/>
      <c r="BW466" s="37"/>
      <c r="BX466" s="821"/>
      <c r="BY466" s="37"/>
      <c r="BZ466" s="37"/>
      <c r="CA466" s="37"/>
      <c r="CB466" s="37"/>
      <c r="CC466" s="821"/>
      <c r="CD466" s="821"/>
      <c r="CE466" s="821"/>
      <c r="CF466" s="821"/>
      <c r="CG466" s="22"/>
    </row>
    <row r="467" spans="1:85" s="428" customFormat="1" hidden="1" outlineLevel="2" x14ac:dyDescent="0.3">
      <c r="A467" s="40" t="s">
        <v>620</v>
      </c>
      <c r="B467" s="109"/>
      <c r="C467" s="821"/>
      <c r="D467" s="821"/>
      <c r="E467" s="821"/>
      <c r="F467" s="821"/>
      <c r="G467" s="37"/>
      <c r="H467" s="37"/>
      <c r="I467" s="37"/>
      <c r="J467" s="37"/>
      <c r="K467" s="821"/>
      <c r="L467" s="37"/>
      <c r="M467" s="37"/>
      <c r="N467" s="37"/>
      <c r="O467" s="37"/>
      <c r="P467" s="821"/>
      <c r="Q467" s="37"/>
      <c r="R467" s="37"/>
      <c r="S467" s="37"/>
      <c r="T467" s="37"/>
      <c r="U467" s="821"/>
      <c r="V467" s="37"/>
      <c r="W467" s="37"/>
      <c r="X467" s="37"/>
      <c r="Y467" s="37"/>
      <c r="Z467" s="821"/>
      <c r="AA467" s="37"/>
      <c r="AB467" s="37"/>
      <c r="AC467" s="37"/>
      <c r="AD467" s="37"/>
      <c r="AE467" s="821"/>
      <c r="AF467" s="37"/>
      <c r="AG467" s="37"/>
      <c r="AH467" s="37"/>
      <c r="AI467" s="37"/>
      <c r="AJ467" s="821"/>
      <c r="AK467" s="37">
        <f>AO467-SUM(AN467,AM467,AL467)</f>
        <v>0</v>
      </c>
      <c r="AL467" s="763">
        <v>2</v>
      </c>
      <c r="AM467" s="763">
        <v>-2</v>
      </c>
      <c r="AN467" s="763">
        <v>2</v>
      </c>
      <c r="AO467" s="827">
        <v>2</v>
      </c>
      <c r="AP467" s="763">
        <v>-14</v>
      </c>
      <c r="AQ467" s="763">
        <v>-152</v>
      </c>
      <c r="AR467" s="763">
        <v>-32</v>
      </c>
      <c r="AS467" s="763">
        <v>-10</v>
      </c>
      <c r="AT467" s="827">
        <v>-208</v>
      </c>
      <c r="AU467" s="763">
        <v>-9</v>
      </c>
      <c r="AV467" s="763">
        <v>-36</v>
      </c>
      <c r="AW467" s="763">
        <v>-103</v>
      </c>
      <c r="AX467" s="763">
        <v>-33</v>
      </c>
      <c r="AY467" s="827">
        <v>-181</v>
      </c>
      <c r="AZ467" s="763">
        <v>-97</v>
      </c>
      <c r="BA467" s="763">
        <v>-80</v>
      </c>
      <c r="BB467" s="763">
        <v>5</v>
      </c>
      <c r="BC467" s="763">
        <v>-210</v>
      </c>
      <c r="BD467" s="827">
        <v>-382</v>
      </c>
      <c r="BE467" s="763">
        <v>-2</v>
      </c>
      <c r="BF467" s="763">
        <v>-4</v>
      </c>
      <c r="BG467" s="763">
        <v>-323</v>
      </c>
      <c r="BH467" s="763">
        <v>-259</v>
      </c>
      <c r="BI467" s="827">
        <v>-588</v>
      </c>
      <c r="BJ467" s="763">
        <v>7</v>
      </c>
      <c r="BK467" s="763">
        <v>-5</v>
      </c>
      <c r="BL467" s="763">
        <v>-2</v>
      </c>
      <c r="BM467" s="763">
        <v>-1</v>
      </c>
      <c r="BN467" s="827">
        <v>-1</v>
      </c>
      <c r="BO467" s="763">
        <v>-5</v>
      </c>
      <c r="BP467" s="763">
        <v>-10</v>
      </c>
      <c r="BQ467" s="763">
        <v>16</v>
      </c>
      <c r="BR467" s="763">
        <v>-14</v>
      </c>
      <c r="BS467" s="827">
        <v>-13</v>
      </c>
      <c r="BT467" s="764">
        <v>2</v>
      </c>
      <c r="BU467" s="37"/>
      <c r="BV467" s="37"/>
      <c r="BW467" s="37"/>
      <c r="BX467" s="821"/>
      <c r="BY467" s="37"/>
      <c r="BZ467" s="37"/>
      <c r="CA467" s="37"/>
      <c r="CB467" s="37"/>
      <c r="CC467" s="821"/>
      <c r="CD467" s="821"/>
      <c r="CE467" s="821"/>
      <c r="CF467" s="821"/>
      <c r="CG467" s="22"/>
    </row>
    <row r="468" spans="1:85" s="428" customFormat="1" hidden="1" outlineLevel="2" x14ac:dyDescent="0.3">
      <c r="A468" s="41" t="s">
        <v>617</v>
      </c>
      <c r="B468" s="99"/>
      <c r="C468" s="823"/>
      <c r="D468" s="823"/>
      <c r="E468" s="823"/>
      <c r="F468" s="823"/>
      <c r="G468" s="393"/>
      <c r="H468" s="393"/>
      <c r="I468" s="393"/>
      <c r="J468" s="393"/>
      <c r="K468" s="823"/>
      <c r="L468" s="393"/>
      <c r="M468" s="393"/>
      <c r="N468" s="393"/>
      <c r="O468" s="393"/>
      <c r="P468" s="823"/>
      <c r="Q468" s="393"/>
      <c r="R468" s="393"/>
      <c r="S468" s="393"/>
      <c r="T468" s="393"/>
      <c r="U468" s="823"/>
      <c r="V468" s="393"/>
      <c r="W468" s="393"/>
      <c r="X468" s="393"/>
      <c r="Y468" s="393"/>
      <c r="Z468" s="823"/>
      <c r="AA468" s="393"/>
      <c r="AB468" s="393"/>
      <c r="AC468" s="393"/>
      <c r="AD468" s="393"/>
      <c r="AE468" s="823"/>
      <c r="AF468" s="393"/>
      <c r="AG468" s="393"/>
      <c r="AH468" s="393"/>
      <c r="AI468" s="393"/>
      <c r="AJ468" s="823"/>
      <c r="AK468" s="393">
        <f t="shared" ref="AK468:BA468" si="832">AK459-SUM(AK460:AK467)</f>
        <v>-726</v>
      </c>
      <c r="AL468" s="393">
        <f t="shared" si="832"/>
        <v>-649</v>
      </c>
      <c r="AM468" s="393">
        <f t="shared" si="832"/>
        <v>-520</v>
      </c>
      <c r="AN468" s="393">
        <f t="shared" si="832"/>
        <v>-550</v>
      </c>
      <c r="AO468" s="823">
        <f t="shared" si="832"/>
        <v>-2445</v>
      </c>
      <c r="AP468" s="393">
        <f t="shared" si="832"/>
        <v>-410</v>
      </c>
      <c r="AQ468" s="393">
        <f t="shared" si="832"/>
        <v>-789</v>
      </c>
      <c r="AR468" s="393">
        <f t="shared" si="832"/>
        <v>-612</v>
      </c>
      <c r="AS468" s="393">
        <f t="shared" si="832"/>
        <v>-718</v>
      </c>
      <c r="AT468" s="823">
        <f t="shared" si="832"/>
        <v>-2529</v>
      </c>
      <c r="AU468" s="393">
        <f t="shared" si="832"/>
        <v>-728</v>
      </c>
      <c r="AV468" s="393">
        <f t="shared" si="832"/>
        <v>-784</v>
      </c>
      <c r="AW468" s="393">
        <f t="shared" si="832"/>
        <v>-150</v>
      </c>
      <c r="AX468" s="393">
        <f t="shared" si="832"/>
        <v>-485</v>
      </c>
      <c r="AY468" s="823">
        <f t="shared" si="832"/>
        <v>-2147</v>
      </c>
      <c r="AZ468" s="393">
        <f t="shared" si="832"/>
        <v>-843</v>
      </c>
      <c r="BA468" s="393">
        <f t="shared" si="832"/>
        <v>-368</v>
      </c>
      <c r="BB468" s="393">
        <f t="shared" ref="BB468:BG468" si="833">BB459-SUM(BB460:BB467)</f>
        <v>-434</v>
      </c>
      <c r="BC468" s="393">
        <f t="shared" si="833"/>
        <v>-676</v>
      </c>
      <c r="BD468" s="823">
        <f t="shared" si="833"/>
        <v>-2321</v>
      </c>
      <c r="BE468" s="393">
        <f t="shared" si="833"/>
        <v>-385</v>
      </c>
      <c r="BF468" s="393">
        <f t="shared" si="833"/>
        <v>-429</v>
      </c>
      <c r="BG468" s="393">
        <f t="shared" si="833"/>
        <v>-549</v>
      </c>
      <c r="BH468" s="393">
        <f t="shared" ref="BH468:BL468" si="834">BH459-SUM(BH460:BH467)</f>
        <v>-215</v>
      </c>
      <c r="BI468" s="823">
        <f t="shared" si="834"/>
        <v>-1578</v>
      </c>
      <c r="BJ468" s="393">
        <f t="shared" si="834"/>
        <v>-528</v>
      </c>
      <c r="BK468" s="393">
        <f t="shared" si="834"/>
        <v>-628</v>
      </c>
      <c r="BL468" s="393">
        <f t="shared" si="834"/>
        <v>-695</v>
      </c>
      <c r="BM468" s="393">
        <f t="shared" ref="BM468:BQ468" si="835">BM459-SUM(BM460:BM467)</f>
        <v>-608</v>
      </c>
      <c r="BN468" s="823">
        <f t="shared" si="835"/>
        <v>-2459</v>
      </c>
      <c r="BO468" s="393">
        <f t="shared" si="835"/>
        <v>-758</v>
      </c>
      <c r="BP468" s="393">
        <f t="shared" si="835"/>
        <v>-634</v>
      </c>
      <c r="BQ468" s="393">
        <f t="shared" si="835"/>
        <v>-996</v>
      </c>
      <c r="BR468" s="393">
        <f t="shared" ref="BR468" si="836">BR459-SUM(BR460:BR467)</f>
        <v>-946</v>
      </c>
      <c r="BS468" s="823">
        <f>BS459-SUM(BS460:BS467)</f>
        <v>-3334</v>
      </c>
      <c r="BT468" s="641">
        <f>BT459-SUM(BT460:BT467)</f>
        <v>-884</v>
      </c>
      <c r="BU468" s="393"/>
      <c r="BV468" s="393"/>
      <c r="BW468" s="393"/>
      <c r="BX468" s="823"/>
      <c r="BY468" s="393"/>
      <c r="BZ468" s="393"/>
      <c r="CA468" s="393"/>
      <c r="CB468" s="393"/>
      <c r="CC468" s="823"/>
      <c r="CD468" s="823"/>
      <c r="CE468" s="823"/>
      <c r="CF468" s="823"/>
      <c r="CG468" s="22"/>
    </row>
    <row r="469" spans="1:85" s="428" customFormat="1" hidden="1" outlineLevel="2" x14ac:dyDescent="0.3">
      <c r="A469" s="43"/>
      <c r="B469" s="109"/>
      <c r="C469" s="821"/>
      <c r="D469" s="821"/>
      <c r="E469" s="821"/>
      <c r="F469" s="821"/>
      <c r="G469" s="37"/>
      <c r="H469" s="37"/>
      <c r="I469" s="37"/>
      <c r="J469" s="37"/>
      <c r="K469" s="821"/>
      <c r="L469" s="37"/>
      <c r="M469" s="37"/>
      <c r="N469" s="37"/>
      <c r="O469" s="37"/>
      <c r="P469" s="821"/>
      <c r="Q469" s="37"/>
      <c r="R469" s="37"/>
      <c r="S469" s="37"/>
      <c r="T469" s="37"/>
      <c r="U469" s="821"/>
      <c r="V469" s="37"/>
      <c r="W469" s="37"/>
      <c r="X469" s="37"/>
      <c r="Y469" s="37"/>
      <c r="Z469" s="821"/>
      <c r="AA469" s="37"/>
      <c r="AB469" s="37"/>
      <c r="AC469" s="37"/>
      <c r="AD469" s="37"/>
      <c r="AE469" s="821"/>
      <c r="AF469" s="37"/>
      <c r="AG469" s="37"/>
      <c r="AH469" s="37"/>
      <c r="AI469" s="37"/>
      <c r="AJ469" s="821"/>
      <c r="AK469" s="37"/>
      <c r="AL469" s="37"/>
      <c r="AM469" s="37"/>
      <c r="AN469" s="37"/>
      <c r="AO469" s="821"/>
      <c r="AP469" s="37"/>
      <c r="AQ469" s="37"/>
      <c r="AR469" s="37"/>
      <c r="AS469" s="37"/>
      <c r="AT469" s="821"/>
      <c r="AU469" s="37"/>
      <c r="AV469" s="37"/>
      <c r="AW469" s="37"/>
      <c r="AX469" s="37"/>
      <c r="AY469" s="821"/>
      <c r="AZ469" s="37"/>
      <c r="BA469" s="37"/>
      <c r="BB469" s="37"/>
      <c r="BC469" s="37"/>
      <c r="BD469" s="821"/>
      <c r="BE469" s="37"/>
      <c r="BF469" s="37"/>
      <c r="BG469" s="37"/>
      <c r="BH469" s="37"/>
      <c r="BI469" s="821"/>
      <c r="BJ469" s="37"/>
      <c r="BK469" s="37"/>
      <c r="BL469" s="37"/>
      <c r="BM469" s="37"/>
      <c r="BN469" s="821"/>
      <c r="BO469" s="37"/>
      <c r="BP469" s="37"/>
      <c r="BQ469" s="37"/>
      <c r="BR469" s="37"/>
      <c r="BS469" s="821"/>
      <c r="BT469" s="480"/>
      <c r="BU469" s="37"/>
      <c r="BV469" s="37"/>
      <c r="BW469" s="37"/>
      <c r="BX469" s="821"/>
      <c r="BY469" s="37"/>
      <c r="BZ469" s="37"/>
      <c r="CA469" s="37"/>
      <c r="CB469" s="37"/>
      <c r="CC469" s="821"/>
      <c r="CD469" s="821"/>
      <c r="CE469" s="821"/>
      <c r="CF469" s="821"/>
      <c r="CG469" s="22"/>
    </row>
    <row r="470" spans="1:85" s="428" customFormat="1" hidden="1" outlineLevel="1" collapsed="1" x14ac:dyDescent="0.3">
      <c r="A470" s="53" t="s">
        <v>618</v>
      </c>
      <c r="B470" s="58"/>
      <c r="C470" s="825"/>
      <c r="D470" s="825"/>
      <c r="E470" s="825"/>
      <c r="F470" s="825"/>
      <c r="G470" s="31"/>
      <c r="H470" s="31"/>
      <c r="I470" s="31"/>
      <c r="J470" s="31"/>
      <c r="K470" s="825"/>
      <c r="L470" s="31"/>
      <c r="M470" s="31"/>
      <c r="N470" s="31"/>
      <c r="O470" s="31"/>
      <c r="P470" s="825"/>
      <c r="Q470" s="31"/>
      <c r="R470" s="31"/>
      <c r="S470" s="31"/>
      <c r="T470" s="31"/>
      <c r="U470" s="825"/>
      <c r="V470" s="31"/>
      <c r="W470" s="31"/>
      <c r="X470" s="31"/>
      <c r="Y470" s="31"/>
      <c r="Z470" s="825"/>
      <c r="AA470" s="31"/>
      <c r="AB470" s="31"/>
      <c r="AC470" s="31"/>
      <c r="AD470" s="31"/>
      <c r="AE470" s="825"/>
      <c r="AF470" s="31"/>
      <c r="AG470" s="31"/>
      <c r="AH470" s="31"/>
      <c r="AI470" s="31"/>
      <c r="AJ470" s="825"/>
      <c r="AK470" s="31">
        <f t="shared" ref="AK470:BQ470" si="837">SUM(AK459,AK453,AK447,AK437,AK427)</f>
        <v>2649</v>
      </c>
      <c r="AL470" s="31">
        <f t="shared" si="837"/>
        <v>4305</v>
      </c>
      <c r="AM470" s="31">
        <f t="shared" si="837"/>
        <v>2580</v>
      </c>
      <c r="AN470" s="31">
        <f t="shared" si="837"/>
        <v>-6610</v>
      </c>
      <c r="AO470" s="825">
        <f t="shared" si="837"/>
        <v>2924</v>
      </c>
      <c r="AP470" s="31">
        <f t="shared" si="837"/>
        <v>3599</v>
      </c>
      <c r="AQ470" s="31">
        <f t="shared" si="837"/>
        <v>-8270</v>
      </c>
      <c r="AR470" s="31">
        <f t="shared" si="837"/>
        <v>-207</v>
      </c>
      <c r="AS470" s="31">
        <f t="shared" si="837"/>
        <v>-665</v>
      </c>
      <c r="AT470" s="825">
        <f t="shared" si="837"/>
        <v>-5543</v>
      </c>
      <c r="AU470" s="31">
        <f t="shared" si="837"/>
        <v>1377</v>
      </c>
      <c r="AV470" s="31">
        <f t="shared" si="837"/>
        <v>3082</v>
      </c>
      <c r="AW470" s="31">
        <f t="shared" si="837"/>
        <v>6111</v>
      </c>
      <c r="AX470" s="31">
        <f t="shared" si="837"/>
        <v>5055</v>
      </c>
      <c r="AY470" s="825">
        <f t="shared" si="837"/>
        <v>15625</v>
      </c>
      <c r="AZ470" s="31">
        <f t="shared" si="837"/>
        <v>6259</v>
      </c>
      <c r="BA470" s="31">
        <f t="shared" si="837"/>
        <v>11622</v>
      </c>
      <c r="BB470" s="31">
        <f t="shared" si="837"/>
        <v>11231</v>
      </c>
      <c r="BC470" s="31">
        <f t="shared" si="837"/>
        <v>6353</v>
      </c>
      <c r="BD470" s="825">
        <f t="shared" si="837"/>
        <v>35465</v>
      </c>
      <c r="BE470" s="31">
        <f t="shared" si="837"/>
        <v>6574</v>
      </c>
      <c r="BF470" s="31">
        <f t="shared" si="837"/>
        <v>6010</v>
      </c>
      <c r="BG470" s="31">
        <f t="shared" si="837"/>
        <v>6526</v>
      </c>
      <c r="BH470" s="31">
        <f t="shared" si="837"/>
        <v>2259</v>
      </c>
      <c r="BI470" s="825">
        <f t="shared" si="837"/>
        <v>21369</v>
      </c>
      <c r="BJ470" s="31">
        <f t="shared" si="837"/>
        <v>5501</v>
      </c>
      <c r="BK470" s="31">
        <f t="shared" si="837"/>
        <v>4434</v>
      </c>
      <c r="BL470" s="31">
        <f t="shared" si="837"/>
        <v>4487</v>
      </c>
      <c r="BM470" s="31">
        <f t="shared" si="837"/>
        <v>3239</v>
      </c>
      <c r="BN470" s="825">
        <f t="shared" si="837"/>
        <v>17661</v>
      </c>
      <c r="BO470" s="31">
        <f t="shared" si="837"/>
        <v>3500</v>
      </c>
      <c r="BP470" s="31">
        <f t="shared" si="837"/>
        <v>2490</v>
      </c>
      <c r="BQ470" s="31">
        <f t="shared" si="837"/>
        <v>3539</v>
      </c>
      <c r="BR470" s="31">
        <f>SUM(BR459,BR453,BR447,BR437,BR427)</f>
        <v>2770</v>
      </c>
      <c r="BS470" s="825">
        <f>SUM(BS459,BS453,BS447,BS437,BS427)</f>
        <v>12299</v>
      </c>
      <c r="BT470" s="379">
        <f>SUM(BT459,BT453,BT447,BT437,BT427)</f>
        <v>2210</v>
      </c>
      <c r="BU470" s="31"/>
      <c r="BV470" s="31"/>
      <c r="BW470" s="31"/>
      <c r="BX470" s="825"/>
      <c r="BY470" s="31"/>
      <c r="BZ470" s="31"/>
      <c r="CA470" s="31"/>
      <c r="CB470" s="31"/>
      <c r="CC470" s="825"/>
      <c r="CD470" s="825"/>
      <c r="CE470" s="825"/>
      <c r="CF470" s="825"/>
      <c r="CG470" s="22"/>
    </row>
    <row r="471" spans="1:85" s="428" customFormat="1" hidden="1" outlineLevel="1" x14ac:dyDescent="0.3">
      <c r="A471" s="40" t="s">
        <v>622</v>
      </c>
      <c r="B471" s="109"/>
      <c r="C471" s="821"/>
      <c r="D471" s="821"/>
      <c r="E471" s="821"/>
      <c r="F471" s="821"/>
      <c r="G471" s="37"/>
      <c r="H471" s="37"/>
      <c r="I471" s="37"/>
      <c r="J471" s="37"/>
      <c r="K471" s="821"/>
      <c r="L471" s="37"/>
      <c r="M471" s="37"/>
      <c r="N471" s="37"/>
      <c r="O471" s="37"/>
      <c r="P471" s="821"/>
      <c r="Q471" s="37"/>
      <c r="R471" s="37"/>
      <c r="S471" s="37"/>
      <c r="T471" s="37"/>
      <c r="U471" s="821"/>
      <c r="V471" s="37"/>
      <c r="W471" s="37"/>
      <c r="X471" s="37"/>
      <c r="Y471" s="37"/>
      <c r="Z471" s="821"/>
      <c r="AA471" s="37"/>
      <c r="AB471" s="37"/>
      <c r="AC471" s="37"/>
      <c r="AD471" s="37"/>
      <c r="AE471" s="821"/>
      <c r="AF471" s="37"/>
      <c r="AG471" s="37"/>
      <c r="AH471" s="37"/>
      <c r="AI471" s="37"/>
      <c r="AJ471" s="821"/>
      <c r="AK471" s="37">
        <f>SUM(AK438,AK428)</f>
        <v>0</v>
      </c>
      <c r="AL471" s="37">
        <f>SUM(AL438,AL428)</f>
        <v>0</v>
      </c>
      <c r="AM471" s="37">
        <f>SUM(AM438,AM428)</f>
        <v>0</v>
      </c>
      <c r="AN471" s="37">
        <f>SUM(AN438,AN428)</f>
        <v>-10350</v>
      </c>
      <c r="AO471" s="821">
        <f t="shared" ref="AO471:BQ471" si="838">SUM(AO438,AO428,AO448,AO454)</f>
        <v>-10350</v>
      </c>
      <c r="AP471" s="37">
        <f t="shared" si="838"/>
        <v>0</v>
      </c>
      <c r="AQ471" s="37">
        <f t="shared" si="838"/>
        <v>-4780</v>
      </c>
      <c r="AR471" s="37">
        <f t="shared" si="838"/>
        <v>0</v>
      </c>
      <c r="AS471" s="37">
        <f t="shared" si="838"/>
        <v>0</v>
      </c>
      <c r="AT471" s="821">
        <f t="shared" si="838"/>
        <v>-4780</v>
      </c>
      <c r="AU471" s="37">
        <f t="shared" si="838"/>
        <v>0</v>
      </c>
      <c r="AV471" s="37">
        <f t="shared" si="838"/>
        <v>0</v>
      </c>
      <c r="AW471" s="37">
        <f t="shared" si="838"/>
        <v>0</v>
      </c>
      <c r="AX471" s="37">
        <f t="shared" si="838"/>
        <v>0</v>
      </c>
      <c r="AY471" s="821">
        <f t="shared" si="838"/>
        <v>0</v>
      </c>
      <c r="AZ471" s="37">
        <f t="shared" si="838"/>
        <v>0</v>
      </c>
      <c r="BA471" s="37">
        <f t="shared" si="838"/>
        <v>0</v>
      </c>
      <c r="BB471" s="37">
        <f t="shared" si="838"/>
        <v>0</v>
      </c>
      <c r="BC471" s="37">
        <f t="shared" si="838"/>
        <v>-1075</v>
      </c>
      <c r="BD471" s="821">
        <f t="shared" si="838"/>
        <v>-1075</v>
      </c>
      <c r="BE471" s="37">
        <f t="shared" si="838"/>
        <v>0</v>
      </c>
      <c r="BF471" s="37">
        <f t="shared" si="838"/>
        <v>0</v>
      </c>
      <c r="BG471" s="37">
        <f t="shared" si="838"/>
        <v>0</v>
      </c>
      <c r="BH471" s="37">
        <f t="shared" si="838"/>
        <v>-1765</v>
      </c>
      <c r="BI471" s="821">
        <f t="shared" si="838"/>
        <v>-1765</v>
      </c>
      <c r="BJ471" s="37">
        <f t="shared" si="838"/>
        <v>0</v>
      </c>
      <c r="BK471" s="37">
        <f t="shared" si="838"/>
        <v>0</v>
      </c>
      <c r="BL471" s="37">
        <f t="shared" si="838"/>
        <v>0</v>
      </c>
      <c r="BM471" s="37">
        <f t="shared" si="838"/>
        <v>-400</v>
      </c>
      <c r="BN471" s="821">
        <f t="shared" si="838"/>
        <v>-400</v>
      </c>
      <c r="BO471" s="37">
        <f t="shared" si="838"/>
        <v>0</v>
      </c>
      <c r="BP471" s="37">
        <f t="shared" si="838"/>
        <v>0</v>
      </c>
      <c r="BQ471" s="37">
        <f t="shared" si="838"/>
        <v>0</v>
      </c>
      <c r="BR471" s="37">
        <f t="shared" ref="BR471:BS471" si="839">SUM(BR438,BR428,BR448,BR454)</f>
        <v>0</v>
      </c>
      <c r="BS471" s="821">
        <f t="shared" si="839"/>
        <v>0</v>
      </c>
      <c r="BT471" s="480">
        <f>SUM(BT438,BT428,BT448,BT454)</f>
        <v>0</v>
      </c>
      <c r="BU471" s="37"/>
      <c r="BV471" s="37"/>
      <c r="BW471" s="37"/>
      <c r="BX471" s="821"/>
      <c r="BY471" s="37"/>
      <c r="BZ471" s="37"/>
      <c r="CA471" s="37"/>
      <c r="CB471" s="37"/>
      <c r="CC471" s="821"/>
      <c r="CD471" s="821"/>
      <c r="CE471" s="821"/>
      <c r="CF471" s="821"/>
      <c r="CG471" s="22"/>
    </row>
    <row r="472" spans="1:85" s="428" customFormat="1" hidden="1" outlineLevel="1" x14ac:dyDescent="0.3">
      <c r="A472" s="40" t="s">
        <v>815</v>
      </c>
      <c r="B472" s="109"/>
      <c r="C472" s="821"/>
      <c r="D472" s="821"/>
      <c r="E472" s="821"/>
      <c r="F472" s="821"/>
      <c r="G472" s="37"/>
      <c r="H472" s="37"/>
      <c r="I472" s="37"/>
      <c r="J472" s="37"/>
      <c r="K472" s="821"/>
      <c r="L472" s="37"/>
      <c r="M472" s="37"/>
      <c r="N472" s="37"/>
      <c r="O472" s="37"/>
      <c r="P472" s="821"/>
      <c r="Q472" s="37"/>
      <c r="R472" s="37"/>
      <c r="S472" s="37"/>
      <c r="T472" s="37"/>
      <c r="U472" s="821"/>
      <c r="V472" s="37"/>
      <c r="W472" s="37"/>
      <c r="X472" s="37"/>
      <c r="Y472" s="37"/>
      <c r="Z472" s="821"/>
      <c r="AA472" s="37"/>
      <c r="AB472" s="37"/>
      <c r="AC472" s="37"/>
      <c r="AD472" s="37"/>
      <c r="AE472" s="821"/>
      <c r="AF472" s="37"/>
      <c r="AG472" s="37"/>
      <c r="AH472" s="37"/>
      <c r="AI472" s="37"/>
      <c r="AJ472" s="821"/>
      <c r="AK472" s="37">
        <f t="shared" ref="AK472:BQ472" si="840">AK433</f>
        <v>0</v>
      </c>
      <c r="AL472" s="37">
        <f t="shared" si="840"/>
        <v>0</v>
      </c>
      <c r="AM472" s="37">
        <f t="shared" si="840"/>
        <v>0</v>
      </c>
      <c r="AN472" s="37">
        <f t="shared" si="840"/>
        <v>0</v>
      </c>
      <c r="AO472" s="821">
        <f t="shared" si="840"/>
        <v>0</v>
      </c>
      <c r="AP472" s="37">
        <f t="shared" si="840"/>
        <v>0</v>
      </c>
      <c r="AQ472" s="37">
        <f t="shared" si="840"/>
        <v>0</v>
      </c>
      <c r="AR472" s="37">
        <f t="shared" si="840"/>
        <v>0</v>
      </c>
      <c r="AS472" s="37">
        <f t="shared" si="840"/>
        <v>0</v>
      </c>
      <c r="AT472" s="821">
        <f t="shared" si="840"/>
        <v>0</v>
      </c>
      <c r="AU472" s="37">
        <f t="shared" si="840"/>
        <v>0</v>
      </c>
      <c r="AV472" s="37">
        <f t="shared" si="840"/>
        <v>0</v>
      </c>
      <c r="AW472" s="37">
        <f t="shared" si="840"/>
        <v>0</v>
      </c>
      <c r="AX472" s="37">
        <f t="shared" si="840"/>
        <v>0</v>
      </c>
      <c r="AY472" s="821">
        <f t="shared" si="840"/>
        <v>0</v>
      </c>
      <c r="AZ472" s="37">
        <f t="shared" si="840"/>
        <v>0</v>
      </c>
      <c r="BA472" s="37">
        <f t="shared" si="840"/>
        <v>0</v>
      </c>
      <c r="BB472" s="37">
        <f t="shared" si="840"/>
        <v>0</v>
      </c>
      <c r="BC472" s="37">
        <f t="shared" si="840"/>
        <v>0</v>
      </c>
      <c r="BD472" s="821">
        <f t="shared" si="840"/>
        <v>0</v>
      </c>
      <c r="BE472" s="37">
        <f t="shared" si="840"/>
        <v>0</v>
      </c>
      <c r="BF472" s="37">
        <f t="shared" si="840"/>
        <v>0</v>
      </c>
      <c r="BG472" s="37">
        <f t="shared" si="840"/>
        <v>0</v>
      </c>
      <c r="BH472" s="37">
        <f t="shared" si="840"/>
        <v>-1950</v>
      </c>
      <c r="BI472" s="821">
        <f t="shared" si="840"/>
        <v>-1950</v>
      </c>
      <c r="BJ472" s="37">
        <f t="shared" si="840"/>
        <v>0</v>
      </c>
      <c r="BK472" s="37">
        <f t="shared" si="840"/>
        <v>0</v>
      </c>
      <c r="BL472" s="37">
        <f t="shared" si="840"/>
        <v>0</v>
      </c>
      <c r="BM472" s="37">
        <f t="shared" si="840"/>
        <v>0</v>
      </c>
      <c r="BN472" s="821">
        <f t="shared" si="840"/>
        <v>0</v>
      </c>
      <c r="BO472" s="37">
        <f t="shared" si="840"/>
        <v>0</v>
      </c>
      <c r="BP472" s="37">
        <f t="shared" si="840"/>
        <v>0</v>
      </c>
      <c r="BQ472" s="37">
        <f t="shared" si="840"/>
        <v>0</v>
      </c>
      <c r="BR472" s="37">
        <f t="shared" ref="BR472:BS472" si="841">BR433</f>
        <v>0</v>
      </c>
      <c r="BS472" s="821">
        <f t="shared" si="841"/>
        <v>0</v>
      </c>
      <c r="BT472" s="480">
        <f>BT433</f>
        <v>0</v>
      </c>
      <c r="BU472" s="37"/>
      <c r="BV472" s="37"/>
      <c r="BW472" s="37"/>
      <c r="BX472" s="821"/>
      <c r="BY472" s="37"/>
      <c r="BZ472" s="37"/>
      <c r="CA472" s="37"/>
      <c r="CB472" s="37"/>
      <c r="CC472" s="821"/>
      <c r="CD472" s="821"/>
      <c r="CE472" s="821"/>
      <c r="CF472" s="821"/>
      <c r="CG472" s="22"/>
    </row>
    <row r="473" spans="1:85" s="428" customFormat="1" hidden="1" outlineLevel="1" x14ac:dyDescent="0.3">
      <c r="A473" s="40" t="s">
        <v>623</v>
      </c>
      <c r="B473" s="109"/>
      <c r="C473" s="821"/>
      <c r="D473" s="821"/>
      <c r="E473" s="821"/>
      <c r="F473" s="821"/>
      <c r="G473" s="37"/>
      <c r="H473" s="37"/>
      <c r="I473" s="37"/>
      <c r="J473" s="37"/>
      <c r="K473" s="821"/>
      <c r="L473" s="37"/>
      <c r="M473" s="37"/>
      <c r="N473" s="37"/>
      <c r="O473" s="37"/>
      <c r="P473" s="821"/>
      <c r="Q473" s="37"/>
      <c r="R473" s="37"/>
      <c r="S473" s="37"/>
      <c r="T473" s="37"/>
      <c r="U473" s="821"/>
      <c r="V473" s="37"/>
      <c r="W473" s="37"/>
      <c r="X473" s="37"/>
      <c r="Y473" s="37"/>
      <c r="Z473" s="821"/>
      <c r="AA473" s="37"/>
      <c r="AB473" s="37"/>
      <c r="AC473" s="37"/>
      <c r="AD473" s="37"/>
      <c r="AE473" s="821"/>
      <c r="AF473" s="37"/>
      <c r="AG473" s="37"/>
      <c r="AH473" s="37"/>
      <c r="AI473" s="37"/>
      <c r="AJ473" s="821"/>
      <c r="AK473" s="37">
        <f t="shared" ref="AK473:BQ473" si="842">SUM(AK460,AK455,AK449,AK439,AK429)</f>
        <v>0</v>
      </c>
      <c r="AL473" s="37">
        <f t="shared" si="842"/>
        <v>0</v>
      </c>
      <c r="AM473" s="37">
        <f t="shared" si="842"/>
        <v>0</v>
      </c>
      <c r="AN473" s="37">
        <f t="shared" si="842"/>
        <v>0</v>
      </c>
      <c r="AO473" s="821">
        <f t="shared" si="842"/>
        <v>0</v>
      </c>
      <c r="AP473" s="37">
        <f t="shared" si="842"/>
        <v>0</v>
      </c>
      <c r="AQ473" s="37">
        <f t="shared" si="842"/>
        <v>-780</v>
      </c>
      <c r="AR473" s="37">
        <f t="shared" si="842"/>
        <v>0</v>
      </c>
      <c r="AS473" s="37">
        <f t="shared" si="842"/>
        <v>0</v>
      </c>
      <c r="AT473" s="821">
        <f t="shared" si="842"/>
        <v>-780</v>
      </c>
      <c r="AU473" s="37">
        <f t="shared" si="842"/>
        <v>0</v>
      </c>
      <c r="AV473" s="37">
        <f t="shared" si="842"/>
        <v>0</v>
      </c>
      <c r="AW473" s="37">
        <f t="shared" si="842"/>
        <v>0</v>
      </c>
      <c r="AX473" s="37">
        <f t="shared" si="842"/>
        <v>0</v>
      </c>
      <c r="AY473" s="821">
        <f t="shared" si="842"/>
        <v>0</v>
      </c>
      <c r="AZ473" s="37">
        <f t="shared" si="842"/>
        <v>0</v>
      </c>
      <c r="BA473" s="37">
        <f t="shared" si="842"/>
        <v>0</v>
      </c>
      <c r="BB473" s="37">
        <f t="shared" si="842"/>
        <v>0</v>
      </c>
      <c r="BC473" s="37">
        <f t="shared" si="842"/>
        <v>0</v>
      </c>
      <c r="BD473" s="821">
        <f t="shared" si="842"/>
        <v>0</v>
      </c>
      <c r="BE473" s="37">
        <f t="shared" si="842"/>
        <v>0</v>
      </c>
      <c r="BF473" s="37">
        <f t="shared" si="842"/>
        <v>0</v>
      </c>
      <c r="BG473" s="37">
        <f t="shared" si="842"/>
        <v>0</v>
      </c>
      <c r="BH473" s="37">
        <f t="shared" si="842"/>
        <v>0</v>
      </c>
      <c r="BI473" s="821">
        <f t="shared" si="842"/>
        <v>0</v>
      </c>
      <c r="BJ473" s="37">
        <f t="shared" si="842"/>
        <v>0</v>
      </c>
      <c r="BK473" s="37">
        <f t="shared" si="842"/>
        <v>0</v>
      </c>
      <c r="BL473" s="37">
        <f t="shared" si="842"/>
        <v>0</v>
      </c>
      <c r="BM473" s="37">
        <f t="shared" si="842"/>
        <v>-715</v>
      </c>
      <c r="BN473" s="821">
        <f t="shared" si="842"/>
        <v>-715</v>
      </c>
      <c r="BO473" s="37">
        <f t="shared" si="842"/>
        <v>-130</v>
      </c>
      <c r="BP473" s="37">
        <f t="shared" si="842"/>
        <v>0</v>
      </c>
      <c r="BQ473" s="37">
        <f t="shared" si="842"/>
        <v>-245</v>
      </c>
      <c r="BR473" s="37">
        <f t="shared" ref="BR473:BS473" si="843">SUM(BR460,BR455,BR449,BR439,BR429)</f>
        <v>0</v>
      </c>
      <c r="BS473" s="821">
        <f t="shared" si="843"/>
        <v>-375</v>
      </c>
      <c r="BT473" s="480">
        <f>SUM(BT460,BT455,BT449,BT439,BT429)</f>
        <v>0</v>
      </c>
      <c r="BU473" s="37"/>
      <c r="BV473" s="37"/>
      <c r="BW473" s="37"/>
      <c r="BX473" s="821"/>
      <c r="BY473" s="37"/>
      <c r="BZ473" s="37"/>
      <c r="CA473" s="37"/>
      <c r="CB473" s="37"/>
      <c r="CC473" s="821"/>
      <c r="CD473" s="821"/>
      <c r="CE473" s="821"/>
      <c r="CF473" s="821"/>
      <c r="CG473" s="22"/>
    </row>
    <row r="474" spans="1:85" s="428" customFormat="1" hidden="1" outlineLevel="1" x14ac:dyDescent="0.3">
      <c r="A474" s="40" t="s">
        <v>624</v>
      </c>
      <c r="B474" s="109"/>
      <c r="C474" s="821"/>
      <c r="D474" s="821"/>
      <c r="E474" s="821"/>
      <c r="F474" s="821"/>
      <c r="G474" s="37"/>
      <c r="H474" s="37"/>
      <c r="I474" s="37"/>
      <c r="J474" s="37"/>
      <c r="K474" s="821"/>
      <c r="L474" s="37"/>
      <c r="M474" s="37"/>
      <c r="N474" s="37"/>
      <c r="O474" s="37"/>
      <c r="P474" s="821"/>
      <c r="Q474" s="37"/>
      <c r="R474" s="37"/>
      <c r="S474" s="37"/>
      <c r="T474" s="37"/>
      <c r="U474" s="821"/>
      <c r="V474" s="37"/>
      <c r="W474" s="37"/>
      <c r="X474" s="37"/>
      <c r="Y474" s="37"/>
      <c r="Z474" s="821"/>
      <c r="AA474" s="37"/>
      <c r="AB474" s="37"/>
      <c r="AC474" s="37"/>
      <c r="AD474" s="37"/>
      <c r="AE474" s="821"/>
      <c r="AF474" s="37"/>
      <c r="AG474" s="37"/>
      <c r="AH474" s="37"/>
      <c r="AI474" s="37"/>
      <c r="AJ474" s="821"/>
      <c r="AK474" s="37">
        <f t="shared" ref="AK474:BQ474" si="844">SUM(AK461,AK431)</f>
        <v>0</v>
      </c>
      <c r="AL474" s="37">
        <f t="shared" si="844"/>
        <v>0</v>
      </c>
      <c r="AM474" s="37">
        <f t="shared" si="844"/>
        <v>0</v>
      </c>
      <c r="AN474" s="37">
        <f t="shared" si="844"/>
        <v>0</v>
      </c>
      <c r="AO474" s="821">
        <f t="shared" si="844"/>
        <v>0</v>
      </c>
      <c r="AP474" s="37">
        <f t="shared" si="844"/>
        <v>0</v>
      </c>
      <c r="AQ474" s="37">
        <f t="shared" si="844"/>
        <v>0</v>
      </c>
      <c r="AR474" s="37">
        <f t="shared" si="844"/>
        <v>-90</v>
      </c>
      <c r="AS474" s="37">
        <f t="shared" si="844"/>
        <v>0</v>
      </c>
      <c r="AT474" s="821">
        <f t="shared" si="844"/>
        <v>-90</v>
      </c>
      <c r="AU474" s="37">
        <f t="shared" si="844"/>
        <v>0</v>
      </c>
      <c r="AV474" s="37">
        <f t="shared" si="844"/>
        <v>-120</v>
      </c>
      <c r="AW474" s="37">
        <f t="shared" si="844"/>
        <v>0</v>
      </c>
      <c r="AX474" s="37">
        <f t="shared" si="844"/>
        <v>0</v>
      </c>
      <c r="AY474" s="821">
        <f t="shared" si="844"/>
        <v>-120</v>
      </c>
      <c r="AZ474" s="37">
        <f t="shared" si="844"/>
        <v>0</v>
      </c>
      <c r="BA474" s="37">
        <f t="shared" si="844"/>
        <v>0</v>
      </c>
      <c r="BB474" s="37">
        <f t="shared" si="844"/>
        <v>0</v>
      </c>
      <c r="BC474" s="37">
        <f t="shared" si="844"/>
        <v>0</v>
      </c>
      <c r="BD474" s="821">
        <f t="shared" si="844"/>
        <v>0</v>
      </c>
      <c r="BE474" s="37">
        <f t="shared" si="844"/>
        <v>0</v>
      </c>
      <c r="BF474" s="37">
        <f t="shared" si="844"/>
        <v>0</v>
      </c>
      <c r="BG474" s="37">
        <f t="shared" si="844"/>
        <v>0</v>
      </c>
      <c r="BH474" s="37">
        <f t="shared" si="844"/>
        <v>0</v>
      </c>
      <c r="BI474" s="821">
        <f t="shared" si="844"/>
        <v>0</v>
      </c>
      <c r="BJ474" s="37">
        <f t="shared" si="844"/>
        <v>0</v>
      </c>
      <c r="BK474" s="37">
        <f t="shared" si="844"/>
        <v>0</v>
      </c>
      <c r="BL474" s="37">
        <f t="shared" si="844"/>
        <v>0</v>
      </c>
      <c r="BM474" s="37">
        <f t="shared" si="844"/>
        <v>0</v>
      </c>
      <c r="BN474" s="821">
        <f t="shared" si="844"/>
        <v>0</v>
      </c>
      <c r="BO474" s="37">
        <f t="shared" si="844"/>
        <v>0</v>
      </c>
      <c r="BP474" s="37">
        <f t="shared" si="844"/>
        <v>0</v>
      </c>
      <c r="BQ474" s="37">
        <f t="shared" si="844"/>
        <v>0</v>
      </c>
      <c r="BR474" s="37">
        <f t="shared" ref="BR474:BS474" si="845">SUM(BR461,BR431)</f>
        <v>0</v>
      </c>
      <c r="BS474" s="821">
        <f t="shared" si="845"/>
        <v>0</v>
      </c>
      <c r="BT474" s="480">
        <f>SUM(BT461,BT431)</f>
        <v>0</v>
      </c>
      <c r="BU474" s="37"/>
      <c r="BV474" s="37"/>
      <c r="BW474" s="37"/>
      <c r="BX474" s="821"/>
      <c r="BY474" s="37"/>
      <c r="BZ474" s="37"/>
      <c r="CA474" s="37"/>
      <c r="CB474" s="37"/>
      <c r="CC474" s="821"/>
      <c r="CD474" s="821"/>
      <c r="CE474" s="821"/>
      <c r="CF474" s="821"/>
      <c r="CG474" s="22"/>
    </row>
    <row r="475" spans="1:85" s="428" customFormat="1" hidden="1" outlineLevel="1" x14ac:dyDescent="0.3">
      <c r="A475" s="40" t="s">
        <v>625</v>
      </c>
      <c r="B475" s="109"/>
      <c r="C475" s="821"/>
      <c r="D475" s="821"/>
      <c r="E475" s="821"/>
      <c r="F475" s="821"/>
      <c r="G475" s="37"/>
      <c r="H475" s="37"/>
      <c r="I475" s="37"/>
      <c r="J475" s="37"/>
      <c r="K475" s="821"/>
      <c r="L475" s="37"/>
      <c r="M475" s="37"/>
      <c r="N475" s="37"/>
      <c r="O475" s="37"/>
      <c r="P475" s="821"/>
      <c r="Q475" s="37"/>
      <c r="R475" s="37"/>
      <c r="S475" s="37"/>
      <c r="T475" s="37"/>
      <c r="U475" s="821"/>
      <c r="V475" s="37"/>
      <c r="W475" s="37"/>
      <c r="X475" s="37"/>
      <c r="Y475" s="37"/>
      <c r="Z475" s="821"/>
      <c r="AA475" s="37"/>
      <c r="AB475" s="37"/>
      <c r="AC475" s="37"/>
      <c r="AD475" s="37"/>
      <c r="AE475" s="821"/>
      <c r="AF475" s="37"/>
      <c r="AG475" s="37"/>
      <c r="AH475" s="37"/>
      <c r="AI475" s="37"/>
      <c r="AJ475" s="821"/>
      <c r="AK475" s="37">
        <f t="shared" ref="AK475:BA475" si="846">AK462</f>
        <v>0</v>
      </c>
      <c r="AL475" s="37">
        <f t="shared" si="846"/>
        <v>0</v>
      </c>
      <c r="AM475" s="37">
        <f t="shared" si="846"/>
        <v>0</v>
      </c>
      <c r="AN475" s="37">
        <f t="shared" si="846"/>
        <v>0</v>
      </c>
      <c r="AO475" s="821">
        <f t="shared" si="846"/>
        <v>0</v>
      </c>
      <c r="AP475" s="37">
        <f t="shared" si="846"/>
        <v>0</v>
      </c>
      <c r="AQ475" s="37">
        <f t="shared" si="846"/>
        <v>0</v>
      </c>
      <c r="AR475" s="37">
        <f t="shared" si="846"/>
        <v>0</v>
      </c>
      <c r="AS475" s="37">
        <f t="shared" si="846"/>
        <v>0</v>
      </c>
      <c r="AT475" s="821">
        <f t="shared" si="846"/>
        <v>0</v>
      </c>
      <c r="AU475" s="37">
        <f t="shared" si="846"/>
        <v>-241</v>
      </c>
      <c r="AV475" s="37">
        <f t="shared" si="846"/>
        <v>-115</v>
      </c>
      <c r="AW475" s="37">
        <f t="shared" si="846"/>
        <v>-81</v>
      </c>
      <c r="AX475" s="37">
        <f t="shared" si="846"/>
        <v>-82</v>
      </c>
      <c r="AY475" s="821">
        <f t="shared" si="846"/>
        <v>-519</v>
      </c>
      <c r="AZ475" s="37">
        <f t="shared" si="846"/>
        <v>-66</v>
      </c>
      <c r="BA475" s="37">
        <f t="shared" si="846"/>
        <v>-11</v>
      </c>
      <c r="BB475" s="37">
        <f t="shared" ref="BB475:BJ475" si="847">BB462</f>
        <v>-177</v>
      </c>
      <c r="BC475" s="37">
        <f t="shared" si="847"/>
        <v>-17</v>
      </c>
      <c r="BD475" s="821">
        <f t="shared" si="847"/>
        <v>-271</v>
      </c>
      <c r="BE475" s="37">
        <f t="shared" si="847"/>
        <v>0</v>
      </c>
      <c r="BF475" s="37">
        <f t="shared" si="847"/>
        <v>0</v>
      </c>
      <c r="BG475" s="37">
        <f t="shared" si="847"/>
        <v>-40</v>
      </c>
      <c r="BH475" s="37">
        <f t="shared" si="847"/>
        <v>0</v>
      </c>
      <c r="BI475" s="821">
        <f t="shared" si="847"/>
        <v>-40</v>
      </c>
      <c r="BJ475" s="37">
        <f t="shared" si="847"/>
        <v>0</v>
      </c>
      <c r="BK475" s="37">
        <f t="shared" ref="BK475:BN476" si="848">BK462</f>
        <v>0</v>
      </c>
      <c r="BL475" s="37">
        <f t="shared" si="848"/>
        <v>0</v>
      </c>
      <c r="BM475" s="37">
        <f t="shared" si="848"/>
        <v>0</v>
      </c>
      <c r="BN475" s="821">
        <f t="shared" si="848"/>
        <v>0</v>
      </c>
      <c r="BO475" s="37">
        <f t="shared" ref="BO475:BQ476" si="849">BO462</f>
        <v>0</v>
      </c>
      <c r="BP475" s="37">
        <f t="shared" si="849"/>
        <v>-55</v>
      </c>
      <c r="BQ475" s="37">
        <f t="shared" si="849"/>
        <v>-40</v>
      </c>
      <c r="BR475" s="37">
        <f t="shared" ref="BR475:BS475" si="850">BR462</f>
        <v>-128</v>
      </c>
      <c r="BS475" s="821">
        <f t="shared" si="850"/>
        <v>-223</v>
      </c>
      <c r="BT475" s="480">
        <f>BT462</f>
        <v>0</v>
      </c>
      <c r="BU475" s="37"/>
      <c r="BV475" s="37"/>
      <c r="BW475" s="37"/>
      <c r="BX475" s="821"/>
      <c r="BY475" s="37"/>
      <c r="BZ475" s="37"/>
      <c r="CA475" s="37"/>
      <c r="CB475" s="37"/>
      <c r="CC475" s="821"/>
      <c r="CD475" s="821"/>
      <c r="CE475" s="821"/>
      <c r="CF475" s="821"/>
      <c r="CG475" s="22"/>
    </row>
    <row r="476" spans="1:85" s="428" customFormat="1" hidden="1" outlineLevel="1" x14ac:dyDescent="0.3">
      <c r="A476" s="40" t="s">
        <v>653</v>
      </c>
      <c r="B476" s="109"/>
      <c r="C476" s="821"/>
      <c r="D476" s="821"/>
      <c r="E476" s="821"/>
      <c r="F476" s="821"/>
      <c r="G476" s="37"/>
      <c r="H476" s="37"/>
      <c r="I476" s="37"/>
      <c r="J476" s="37"/>
      <c r="K476" s="821"/>
      <c r="L476" s="37"/>
      <c r="M476" s="37"/>
      <c r="N476" s="37"/>
      <c r="O476" s="37"/>
      <c r="P476" s="821"/>
      <c r="Q476" s="37"/>
      <c r="R476" s="37"/>
      <c r="S476" s="37"/>
      <c r="T476" s="37"/>
      <c r="U476" s="821"/>
      <c r="V476" s="37"/>
      <c r="W476" s="37"/>
      <c r="X476" s="37"/>
      <c r="Y476" s="37"/>
      <c r="Z476" s="821"/>
      <c r="AA476" s="37"/>
      <c r="AB476" s="37"/>
      <c r="AC476" s="37"/>
      <c r="AD476" s="37"/>
      <c r="AE476" s="821"/>
      <c r="AF476" s="37"/>
      <c r="AG476" s="37"/>
      <c r="AH476" s="37"/>
      <c r="AI476" s="37"/>
      <c r="AJ476" s="821"/>
      <c r="AK476" s="37">
        <f t="shared" ref="AK476:BA476" si="851">AK463</f>
        <v>0</v>
      </c>
      <c r="AL476" s="37">
        <f t="shared" si="851"/>
        <v>0</v>
      </c>
      <c r="AM476" s="37">
        <f t="shared" si="851"/>
        <v>0</v>
      </c>
      <c r="AN476" s="37">
        <f t="shared" si="851"/>
        <v>0</v>
      </c>
      <c r="AO476" s="821">
        <f t="shared" si="851"/>
        <v>0</v>
      </c>
      <c r="AP476" s="37">
        <f t="shared" si="851"/>
        <v>0</v>
      </c>
      <c r="AQ476" s="37">
        <f t="shared" si="851"/>
        <v>0</v>
      </c>
      <c r="AR476" s="37">
        <f t="shared" si="851"/>
        <v>0</v>
      </c>
      <c r="AS476" s="37">
        <f t="shared" si="851"/>
        <v>0</v>
      </c>
      <c r="AT476" s="821">
        <f t="shared" si="851"/>
        <v>0</v>
      </c>
      <c r="AU476" s="37">
        <f t="shared" si="851"/>
        <v>0</v>
      </c>
      <c r="AV476" s="37">
        <f t="shared" si="851"/>
        <v>0</v>
      </c>
      <c r="AW476" s="37">
        <f t="shared" si="851"/>
        <v>0</v>
      </c>
      <c r="AX476" s="37">
        <f t="shared" si="851"/>
        <v>-260</v>
      </c>
      <c r="AY476" s="821">
        <f t="shared" si="851"/>
        <v>-260</v>
      </c>
      <c r="AZ476" s="37">
        <f t="shared" si="851"/>
        <v>0</v>
      </c>
      <c r="BA476" s="37">
        <f t="shared" si="851"/>
        <v>0</v>
      </c>
      <c r="BB476" s="37">
        <f t="shared" ref="BB476:BJ476" si="852">BB463</f>
        <v>0</v>
      </c>
      <c r="BC476" s="37">
        <f t="shared" si="852"/>
        <v>0</v>
      </c>
      <c r="BD476" s="821">
        <f t="shared" si="852"/>
        <v>0</v>
      </c>
      <c r="BE476" s="37">
        <f t="shared" si="852"/>
        <v>0</v>
      </c>
      <c r="BF476" s="37">
        <f t="shared" si="852"/>
        <v>0</v>
      </c>
      <c r="BG476" s="37">
        <f t="shared" si="852"/>
        <v>0</v>
      </c>
      <c r="BH476" s="37">
        <f t="shared" si="852"/>
        <v>0</v>
      </c>
      <c r="BI476" s="821">
        <f t="shared" si="852"/>
        <v>0</v>
      </c>
      <c r="BJ476" s="37">
        <f t="shared" si="852"/>
        <v>0</v>
      </c>
      <c r="BK476" s="37">
        <f t="shared" si="848"/>
        <v>0</v>
      </c>
      <c r="BL476" s="37">
        <f t="shared" si="848"/>
        <v>0</v>
      </c>
      <c r="BM476" s="37">
        <f t="shared" si="848"/>
        <v>0</v>
      </c>
      <c r="BN476" s="821">
        <f t="shared" si="848"/>
        <v>0</v>
      </c>
      <c r="BO476" s="37">
        <f t="shared" si="849"/>
        <v>0</v>
      </c>
      <c r="BP476" s="37">
        <f t="shared" si="849"/>
        <v>0</v>
      </c>
      <c r="BQ476" s="37">
        <f t="shared" si="849"/>
        <v>0</v>
      </c>
      <c r="BR476" s="37">
        <f t="shared" ref="BR476:BS476" si="853">BR463</f>
        <v>0</v>
      </c>
      <c r="BS476" s="821">
        <f t="shared" si="853"/>
        <v>0</v>
      </c>
      <c r="BT476" s="480">
        <f>BT463</f>
        <v>0</v>
      </c>
      <c r="BU476" s="37"/>
      <c r="BV476" s="37"/>
      <c r="BW476" s="37"/>
      <c r="BX476" s="821"/>
      <c r="BY476" s="37"/>
      <c r="BZ476" s="37"/>
      <c r="CA476" s="37"/>
      <c r="CB476" s="37"/>
      <c r="CC476" s="821"/>
      <c r="CD476" s="821"/>
      <c r="CE476" s="821"/>
      <c r="CF476" s="821"/>
      <c r="CG476" s="22"/>
    </row>
    <row r="477" spans="1:85" s="428" customFormat="1" hidden="1" outlineLevel="1" x14ac:dyDescent="0.3">
      <c r="A477" s="40" t="s">
        <v>630</v>
      </c>
      <c r="B477" s="109"/>
      <c r="C477" s="821"/>
      <c r="D477" s="821"/>
      <c r="E477" s="821"/>
      <c r="F477" s="821"/>
      <c r="G477" s="37"/>
      <c r="H477" s="37"/>
      <c r="I477" s="37"/>
      <c r="J477" s="37"/>
      <c r="K477" s="821"/>
      <c r="L477" s="37"/>
      <c r="M477" s="37"/>
      <c r="N477" s="37"/>
      <c r="O477" s="37"/>
      <c r="P477" s="821"/>
      <c r="Q477" s="37"/>
      <c r="R477" s="37"/>
      <c r="S477" s="37"/>
      <c r="T477" s="37"/>
      <c r="U477" s="821"/>
      <c r="V477" s="37"/>
      <c r="W477" s="37"/>
      <c r="X477" s="37"/>
      <c r="Y477" s="37"/>
      <c r="Z477" s="821"/>
      <c r="AA477" s="37"/>
      <c r="AB477" s="37"/>
      <c r="AC477" s="37"/>
      <c r="AD477" s="37"/>
      <c r="AE477" s="821"/>
      <c r="AF477" s="37"/>
      <c r="AG477" s="37"/>
      <c r="AH477" s="37"/>
      <c r="AI477" s="37"/>
      <c r="AJ477" s="821"/>
      <c r="AK477" s="37">
        <f t="shared" ref="AK477:BD477" si="854">SUM(AK434,AK464)</f>
        <v>0</v>
      </c>
      <c r="AL477" s="37">
        <f t="shared" si="854"/>
        <v>0</v>
      </c>
      <c r="AM477" s="37">
        <f t="shared" si="854"/>
        <v>0</v>
      </c>
      <c r="AN477" s="37">
        <f t="shared" si="854"/>
        <v>0</v>
      </c>
      <c r="AO477" s="821">
        <f t="shared" si="854"/>
        <v>0</v>
      </c>
      <c r="AP477" s="37">
        <f t="shared" si="854"/>
        <v>0</v>
      </c>
      <c r="AQ477" s="37">
        <f t="shared" si="854"/>
        <v>0</v>
      </c>
      <c r="AR477" s="37">
        <f t="shared" si="854"/>
        <v>0</v>
      </c>
      <c r="AS477" s="37">
        <f t="shared" si="854"/>
        <v>-120</v>
      </c>
      <c r="AT477" s="821">
        <f t="shared" si="854"/>
        <v>-120</v>
      </c>
      <c r="AU477" s="37">
        <f t="shared" si="854"/>
        <v>0</v>
      </c>
      <c r="AV477" s="37">
        <f t="shared" si="854"/>
        <v>0</v>
      </c>
      <c r="AW477" s="37">
        <f t="shared" si="854"/>
        <v>0</v>
      </c>
      <c r="AX477" s="37">
        <f t="shared" si="854"/>
        <v>0</v>
      </c>
      <c r="AY477" s="821">
        <f t="shared" si="854"/>
        <v>0</v>
      </c>
      <c r="AZ477" s="37">
        <f t="shared" si="854"/>
        <v>0</v>
      </c>
      <c r="BA477" s="37">
        <f t="shared" si="854"/>
        <v>0</v>
      </c>
      <c r="BB477" s="37">
        <f t="shared" si="854"/>
        <v>0</v>
      </c>
      <c r="BC477" s="37">
        <f t="shared" si="854"/>
        <v>0</v>
      </c>
      <c r="BD477" s="821">
        <f t="shared" si="854"/>
        <v>0</v>
      </c>
      <c r="BE477" s="37">
        <f t="shared" ref="BE477:BJ477" si="855">SUM(BE434,BE464)</f>
        <v>0</v>
      </c>
      <c r="BF477" s="37">
        <f t="shared" si="855"/>
        <v>0</v>
      </c>
      <c r="BG477" s="37">
        <f t="shared" si="855"/>
        <v>0</v>
      </c>
      <c r="BH477" s="37">
        <f t="shared" si="855"/>
        <v>0</v>
      </c>
      <c r="BI477" s="821">
        <f t="shared" si="855"/>
        <v>0</v>
      </c>
      <c r="BJ477" s="37">
        <f t="shared" si="855"/>
        <v>0</v>
      </c>
      <c r="BK477" s="37">
        <f t="shared" ref="BK477:BP477" si="856">SUM(BK434,BK464)</f>
        <v>0</v>
      </c>
      <c r="BL477" s="37">
        <f t="shared" si="856"/>
        <v>0</v>
      </c>
      <c r="BM477" s="37">
        <f t="shared" si="856"/>
        <v>0</v>
      </c>
      <c r="BN477" s="821">
        <f t="shared" si="856"/>
        <v>0</v>
      </c>
      <c r="BO477" s="37">
        <f t="shared" si="856"/>
        <v>180</v>
      </c>
      <c r="BP477" s="37">
        <f t="shared" si="856"/>
        <v>-275</v>
      </c>
      <c r="BQ477" s="37">
        <f>SUM(BQ434,BQ464,BQ442)</f>
        <v>50</v>
      </c>
      <c r="BR477" s="37">
        <f>SUM(BR434,BR464,BR442)</f>
        <v>0</v>
      </c>
      <c r="BS477" s="821">
        <f>SUM(BS434,BS464,BS442)</f>
        <v>-45</v>
      </c>
      <c r="BT477" s="480">
        <f>SUM(BT434,BT464,BT442)</f>
        <v>0</v>
      </c>
      <c r="BU477" s="37"/>
      <c r="BV477" s="37"/>
      <c r="BW477" s="37"/>
      <c r="BX477" s="821"/>
      <c r="BY477" s="37"/>
      <c r="BZ477" s="37"/>
      <c r="CA477" s="37"/>
      <c r="CB477" s="37"/>
      <c r="CC477" s="821"/>
      <c r="CD477" s="821"/>
      <c r="CE477" s="821"/>
      <c r="CF477" s="821"/>
      <c r="CG477" s="22"/>
    </row>
    <row r="478" spans="1:85" s="428" customFormat="1" hidden="1" outlineLevel="1" x14ac:dyDescent="0.3">
      <c r="A478" s="40" t="s">
        <v>626</v>
      </c>
      <c r="B478" s="109"/>
      <c r="C478" s="821"/>
      <c r="D478" s="821"/>
      <c r="E478" s="821"/>
      <c r="F478" s="821"/>
      <c r="G478" s="37"/>
      <c r="H478" s="37"/>
      <c r="I478" s="37"/>
      <c r="J478" s="37"/>
      <c r="K478" s="821"/>
      <c r="L478" s="37"/>
      <c r="M478" s="37"/>
      <c r="N478" s="37"/>
      <c r="O478" s="37"/>
      <c r="P478" s="821"/>
      <c r="Q478" s="37"/>
      <c r="R478" s="37"/>
      <c r="S478" s="37"/>
      <c r="T478" s="37"/>
      <c r="U478" s="821"/>
      <c r="V478" s="37"/>
      <c r="W478" s="37"/>
      <c r="X478" s="37"/>
      <c r="Y478" s="37"/>
      <c r="Z478" s="821"/>
      <c r="AA478" s="37"/>
      <c r="AB478" s="37"/>
      <c r="AC478" s="37"/>
      <c r="AD478" s="37"/>
      <c r="AE478" s="821"/>
      <c r="AF478" s="37"/>
      <c r="AG478" s="37"/>
      <c r="AH478" s="37"/>
      <c r="AI478" s="37"/>
      <c r="AJ478" s="821"/>
      <c r="AK478" s="37">
        <f t="shared" ref="AK478:BA478" si="857">AK450</f>
        <v>0</v>
      </c>
      <c r="AL478" s="37">
        <f t="shared" si="857"/>
        <v>0</v>
      </c>
      <c r="AM478" s="37">
        <f t="shared" si="857"/>
        <v>0</v>
      </c>
      <c r="AN478" s="37">
        <f t="shared" si="857"/>
        <v>0</v>
      </c>
      <c r="AO478" s="821">
        <f t="shared" si="857"/>
        <v>0</v>
      </c>
      <c r="AP478" s="37">
        <f t="shared" si="857"/>
        <v>0</v>
      </c>
      <c r="AQ478" s="37">
        <f t="shared" si="857"/>
        <v>0</v>
      </c>
      <c r="AR478" s="37">
        <f t="shared" si="857"/>
        <v>0</v>
      </c>
      <c r="AS478" s="37">
        <f t="shared" si="857"/>
        <v>0</v>
      </c>
      <c r="AT478" s="821">
        <f t="shared" si="857"/>
        <v>0</v>
      </c>
      <c r="AU478" s="37">
        <f t="shared" si="857"/>
        <v>-110</v>
      </c>
      <c r="AV478" s="37">
        <f t="shared" si="857"/>
        <v>0</v>
      </c>
      <c r="AW478" s="37">
        <f t="shared" si="857"/>
        <v>0</v>
      </c>
      <c r="AX478" s="37">
        <f t="shared" si="857"/>
        <v>0</v>
      </c>
      <c r="AY478" s="821">
        <f t="shared" si="857"/>
        <v>-110</v>
      </c>
      <c r="AZ478" s="37">
        <f t="shared" si="857"/>
        <v>0</v>
      </c>
      <c r="BA478" s="37">
        <f t="shared" si="857"/>
        <v>0</v>
      </c>
      <c r="BB478" s="37">
        <f t="shared" ref="BB478:BG478" si="858">BB450</f>
        <v>0</v>
      </c>
      <c r="BC478" s="37">
        <f t="shared" si="858"/>
        <v>0</v>
      </c>
      <c r="BD478" s="821">
        <f t="shared" si="858"/>
        <v>0</v>
      </c>
      <c r="BE478" s="37">
        <f t="shared" si="858"/>
        <v>0</v>
      </c>
      <c r="BF478" s="37">
        <f t="shared" si="858"/>
        <v>0</v>
      </c>
      <c r="BG478" s="37">
        <f t="shared" si="858"/>
        <v>0</v>
      </c>
      <c r="BH478" s="37">
        <f t="shared" ref="BH478:BN478" si="859">BH450</f>
        <v>0</v>
      </c>
      <c r="BI478" s="821">
        <f t="shared" si="859"/>
        <v>0</v>
      </c>
      <c r="BJ478" s="37">
        <f t="shared" si="859"/>
        <v>0</v>
      </c>
      <c r="BK478" s="37">
        <f t="shared" si="859"/>
        <v>0</v>
      </c>
      <c r="BL478" s="37">
        <f t="shared" si="859"/>
        <v>0</v>
      </c>
      <c r="BM478" s="37">
        <f t="shared" si="859"/>
        <v>0</v>
      </c>
      <c r="BN478" s="821">
        <f t="shared" si="859"/>
        <v>0</v>
      </c>
      <c r="BO478" s="37">
        <f t="shared" ref="BO478:BT478" si="860">BO450</f>
        <v>-170</v>
      </c>
      <c r="BP478" s="37">
        <f t="shared" si="860"/>
        <v>0</v>
      </c>
      <c r="BQ478" s="37">
        <f t="shared" si="860"/>
        <v>0</v>
      </c>
      <c r="BR478" s="37">
        <f t="shared" si="860"/>
        <v>0</v>
      </c>
      <c r="BS478" s="821">
        <f t="shared" si="860"/>
        <v>-170</v>
      </c>
      <c r="BT478" s="480">
        <f t="shared" si="860"/>
        <v>-360</v>
      </c>
      <c r="BU478" s="37"/>
      <c r="BV478" s="37"/>
      <c r="BW478" s="37"/>
      <c r="BX478" s="821"/>
      <c r="BY478" s="37"/>
      <c r="BZ478" s="37"/>
      <c r="CA478" s="37"/>
      <c r="CB478" s="37"/>
      <c r="CC478" s="821"/>
      <c r="CD478" s="821"/>
      <c r="CE478" s="821"/>
      <c r="CF478" s="821"/>
      <c r="CG478" s="22"/>
    </row>
    <row r="479" spans="1:85" s="428" customFormat="1" hidden="1" outlineLevel="1" x14ac:dyDescent="0.3">
      <c r="A479" s="40" t="s">
        <v>627</v>
      </c>
      <c r="B479" s="109"/>
      <c r="C479" s="821"/>
      <c r="D479" s="821"/>
      <c r="E479" s="821"/>
      <c r="F479" s="821"/>
      <c r="G479" s="37"/>
      <c r="H479" s="37"/>
      <c r="I479" s="37"/>
      <c r="J479" s="37"/>
      <c r="K479" s="821"/>
      <c r="L479" s="37"/>
      <c r="M479" s="37"/>
      <c r="N479" s="37"/>
      <c r="O479" s="37"/>
      <c r="P479" s="821"/>
      <c r="Q479" s="37"/>
      <c r="R479" s="37"/>
      <c r="S479" s="37"/>
      <c r="T479" s="37"/>
      <c r="U479" s="821"/>
      <c r="V479" s="37"/>
      <c r="W479" s="37"/>
      <c r="X479" s="37"/>
      <c r="Y479" s="37"/>
      <c r="Z479" s="821"/>
      <c r="AA479" s="37"/>
      <c r="AB479" s="37"/>
      <c r="AC479" s="37"/>
      <c r="AD479" s="37"/>
      <c r="AE479" s="821"/>
      <c r="AF479" s="37"/>
      <c r="AG479" s="37"/>
      <c r="AH479" s="37"/>
      <c r="AI479" s="37"/>
      <c r="AJ479" s="821"/>
      <c r="AK479" s="37">
        <f t="shared" ref="AK479:BQ479" si="861">AK440+AK430</f>
        <v>0</v>
      </c>
      <c r="AL479" s="37">
        <f t="shared" si="861"/>
        <v>0</v>
      </c>
      <c r="AM479" s="37">
        <f t="shared" si="861"/>
        <v>0</v>
      </c>
      <c r="AN479" s="37">
        <f t="shared" si="861"/>
        <v>1200</v>
      </c>
      <c r="AO479" s="821">
        <f t="shared" si="861"/>
        <v>1200</v>
      </c>
      <c r="AP479" s="37">
        <f t="shared" si="861"/>
        <v>240</v>
      </c>
      <c r="AQ479" s="37">
        <f t="shared" si="861"/>
        <v>310</v>
      </c>
      <c r="AR479" s="37">
        <f t="shared" si="861"/>
        <v>0</v>
      </c>
      <c r="AS479" s="37">
        <f t="shared" si="861"/>
        <v>0</v>
      </c>
      <c r="AT479" s="821">
        <f t="shared" si="861"/>
        <v>550</v>
      </c>
      <c r="AU479" s="37">
        <f t="shared" si="861"/>
        <v>0</v>
      </c>
      <c r="AV479" s="37">
        <f t="shared" si="861"/>
        <v>0</v>
      </c>
      <c r="AW479" s="37">
        <f t="shared" si="861"/>
        <v>200</v>
      </c>
      <c r="AX479" s="37">
        <f t="shared" si="861"/>
        <v>520</v>
      </c>
      <c r="AY479" s="821">
        <f t="shared" si="861"/>
        <v>720</v>
      </c>
      <c r="AZ479" s="37">
        <f t="shared" si="861"/>
        <v>0</v>
      </c>
      <c r="BA479" s="37">
        <f t="shared" si="861"/>
        <v>200</v>
      </c>
      <c r="BB479" s="37">
        <f t="shared" si="861"/>
        <v>0</v>
      </c>
      <c r="BC479" s="37">
        <f t="shared" si="861"/>
        <v>0</v>
      </c>
      <c r="BD479" s="821">
        <f t="shared" si="861"/>
        <v>200</v>
      </c>
      <c r="BE479" s="37">
        <f t="shared" si="861"/>
        <v>0</v>
      </c>
      <c r="BF479" s="37">
        <f t="shared" si="861"/>
        <v>0</v>
      </c>
      <c r="BG479" s="37">
        <f t="shared" si="861"/>
        <v>0</v>
      </c>
      <c r="BH479" s="37">
        <f t="shared" si="861"/>
        <v>0</v>
      </c>
      <c r="BI479" s="821">
        <f t="shared" si="861"/>
        <v>0</v>
      </c>
      <c r="BJ479" s="37">
        <f t="shared" si="861"/>
        <v>0</v>
      </c>
      <c r="BK479" s="37">
        <f t="shared" si="861"/>
        <v>0</v>
      </c>
      <c r="BL479" s="37">
        <f t="shared" si="861"/>
        <v>0</v>
      </c>
      <c r="BM479" s="37">
        <f t="shared" si="861"/>
        <v>0</v>
      </c>
      <c r="BN479" s="821">
        <f t="shared" si="861"/>
        <v>0</v>
      </c>
      <c r="BO479" s="37">
        <f t="shared" si="861"/>
        <v>0</v>
      </c>
      <c r="BP479" s="37">
        <f t="shared" si="861"/>
        <v>115</v>
      </c>
      <c r="BQ479" s="37">
        <f t="shared" si="861"/>
        <v>0</v>
      </c>
      <c r="BR479" s="37">
        <f t="shared" ref="BR479:BS479" si="862">BR440+BR430</f>
        <v>0</v>
      </c>
      <c r="BS479" s="821">
        <f t="shared" si="862"/>
        <v>115</v>
      </c>
      <c r="BT479" s="480">
        <f>BT440+BT430</f>
        <v>0</v>
      </c>
      <c r="BU479" s="37"/>
      <c r="BV479" s="37"/>
      <c r="BW479" s="37"/>
      <c r="BX479" s="821"/>
      <c r="BY479" s="37"/>
      <c r="BZ479" s="37"/>
      <c r="CA479" s="37"/>
      <c r="CB479" s="37"/>
      <c r="CC479" s="821"/>
      <c r="CD479" s="821"/>
      <c r="CE479" s="821"/>
      <c r="CF479" s="821"/>
      <c r="CG479" s="22"/>
    </row>
    <row r="480" spans="1:85" s="428" customFormat="1" hidden="1" outlineLevel="1" x14ac:dyDescent="0.3">
      <c r="A480" s="40" t="s">
        <v>650</v>
      </c>
      <c r="B480" s="109"/>
      <c r="C480" s="821"/>
      <c r="D480" s="821"/>
      <c r="E480" s="821"/>
      <c r="F480" s="821"/>
      <c r="G480" s="37"/>
      <c r="H480" s="37"/>
      <c r="I480" s="37"/>
      <c r="J480" s="37"/>
      <c r="K480" s="821"/>
      <c r="L480" s="37"/>
      <c r="M480" s="37"/>
      <c r="N480" s="37"/>
      <c r="O480" s="37"/>
      <c r="P480" s="821"/>
      <c r="Q480" s="37"/>
      <c r="R480" s="37"/>
      <c r="S480" s="37"/>
      <c r="T480" s="37"/>
      <c r="U480" s="821"/>
      <c r="V480" s="37"/>
      <c r="W480" s="37"/>
      <c r="X480" s="37"/>
      <c r="Y480" s="37"/>
      <c r="Z480" s="821"/>
      <c r="AA480" s="37"/>
      <c r="AB480" s="37"/>
      <c r="AC480" s="37"/>
      <c r="AD480" s="37"/>
      <c r="AE480" s="821"/>
      <c r="AF480" s="37"/>
      <c r="AG480" s="37"/>
      <c r="AH480" s="37"/>
      <c r="AI480" s="37"/>
      <c r="AJ480" s="821"/>
      <c r="AK480" s="37">
        <f t="shared" ref="AK480:BA480" si="863">AK465</f>
        <v>0</v>
      </c>
      <c r="AL480" s="37">
        <f t="shared" si="863"/>
        <v>740</v>
      </c>
      <c r="AM480" s="37">
        <f t="shared" si="863"/>
        <v>0</v>
      </c>
      <c r="AN480" s="37">
        <f t="shared" si="863"/>
        <v>0</v>
      </c>
      <c r="AO480" s="821">
        <f t="shared" si="863"/>
        <v>740</v>
      </c>
      <c r="AP480" s="37">
        <f t="shared" si="863"/>
        <v>0</v>
      </c>
      <c r="AQ480" s="37">
        <f t="shared" si="863"/>
        <v>0</v>
      </c>
      <c r="AR480" s="37">
        <f t="shared" si="863"/>
        <v>0</v>
      </c>
      <c r="AS480" s="37">
        <f t="shared" si="863"/>
        <v>0</v>
      </c>
      <c r="AT480" s="821">
        <f t="shared" si="863"/>
        <v>0</v>
      </c>
      <c r="AU480" s="37">
        <f t="shared" si="863"/>
        <v>0</v>
      </c>
      <c r="AV480" s="37">
        <f t="shared" si="863"/>
        <v>0</v>
      </c>
      <c r="AW480" s="37">
        <f t="shared" si="863"/>
        <v>0</v>
      </c>
      <c r="AX480" s="37">
        <f t="shared" si="863"/>
        <v>0</v>
      </c>
      <c r="AY480" s="821">
        <f t="shared" si="863"/>
        <v>0</v>
      </c>
      <c r="AZ480" s="37">
        <f t="shared" si="863"/>
        <v>0</v>
      </c>
      <c r="BA480" s="37">
        <f t="shared" si="863"/>
        <v>0</v>
      </c>
      <c r="BB480" s="37">
        <f t="shared" ref="BB480:BG480" si="864">BB465</f>
        <v>0</v>
      </c>
      <c r="BC480" s="37">
        <f t="shared" si="864"/>
        <v>0</v>
      </c>
      <c r="BD480" s="821">
        <f t="shared" si="864"/>
        <v>0</v>
      </c>
      <c r="BE480" s="37">
        <f t="shared" si="864"/>
        <v>0</v>
      </c>
      <c r="BF480" s="37">
        <f t="shared" si="864"/>
        <v>0</v>
      </c>
      <c r="BG480" s="37">
        <f t="shared" si="864"/>
        <v>0</v>
      </c>
      <c r="BH480" s="37">
        <f t="shared" ref="BH480:BN480" si="865">BH465</f>
        <v>0</v>
      </c>
      <c r="BI480" s="821">
        <f t="shared" si="865"/>
        <v>0</v>
      </c>
      <c r="BJ480" s="37">
        <f t="shared" si="865"/>
        <v>0</v>
      </c>
      <c r="BK480" s="37">
        <f t="shared" si="865"/>
        <v>0</v>
      </c>
      <c r="BL480" s="37">
        <f t="shared" si="865"/>
        <v>0</v>
      </c>
      <c r="BM480" s="37">
        <f t="shared" si="865"/>
        <v>0</v>
      </c>
      <c r="BN480" s="821">
        <f t="shared" si="865"/>
        <v>0</v>
      </c>
      <c r="BO480" s="37">
        <f t="shared" ref="BO480:BT480" si="866">BO465</f>
        <v>0</v>
      </c>
      <c r="BP480" s="37">
        <f t="shared" si="866"/>
        <v>0</v>
      </c>
      <c r="BQ480" s="37">
        <f t="shared" si="866"/>
        <v>0</v>
      </c>
      <c r="BR480" s="37">
        <f t="shared" si="866"/>
        <v>0</v>
      </c>
      <c r="BS480" s="821">
        <f t="shared" si="866"/>
        <v>0</v>
      </c>
      <c r="BT480" s="480">
        <f t="shared" si="866"/>
        <v>0</v>
      </c>
      <c r="BU480" s="37"/>
      <c r="BV480" s="37"/>
      <c r="BW480" s="37"/>
      <c r="BX480" s="821"/>
      <c r="BY480" s="37"/>
      <c r="BZ480" s="37"/>
      <c r="CA480" s="37"/>
      <c r="CB480" s="37"/>
      <c r="CC480" s="821"/>
      <c r="CD480" s="821"/>
      <c r="CE480" s="821"/>
      <c r="CF480" s="821"/>
      <c r="CG480" s="22"/>
    </row>
    <row r="481" spans="1:85" s="428" customFormat="1" hidden="1" outlineLevel="1" x14ac:dyDescent="0.3">
      <c r="A481" s="40" t="s">
        <v>628</v>
      </c>
      <c r="B481" s="109"/>
      <c r="C481" s="821"/>
      <c r="D481" s="821"/>
      <c r="E481" s="821"/>
      <c r="F481" s="821"/>
      <c r="G481" s="37"/>
      <c r="H481" s="37"/>
      <c r="I481" s="37"/>
      <c r="J481" s="37"/>
      <c r="K481" s="821"/>
      <c r="L481" s="37"/>
      <c r="M481" s="37"/>
      <c r="N481" s="37"/>
      <c r="O481" s="37"/>
      <c r="P481" s="821"/>
      <c r="Q481" s="37"/>
      <c r="R481" s="37"/>
      <c r="S481" s="37"/>
      <c r="T481" s="37"/>
      <c r="U481" s="821"/>
      <c r="V481" s="37"/>
      <c r="W481" s="37"/>
      <c r="X481" s="37"/>
      <c r="Y481" s="37"/>
      <c r="Z481" s="821"/>
      <c r="AA481" s="37"/>
      <c r="AB481" s="37"/>
      <c r="AC481" s="37"/>
      <c r="AD481" s="37"/>
      <c r="AE481" s="821"/>
      <c r="AF481" s="37"/>
      <c r="AG481" s="37"/>
      <c r="AH481" s="37"/>
      <c r="AI481" s="37"/>
      <c r="AJ481" s="821"/>
      <c r="AK481" s="37">
        <f t="shared" ref="AK481:BA481" si="867">SUM(AK441,AK466)</f>
        <v>0</v>
      </c>
      <c r="AL481" s="37">
        <f t="shared" si="867"/>
        <v>180</v>
      </c>
      <c r="AM481" s="37">
        <f t="shared" si="867"/>
        <v>-430</v>
      </c>
      <c r="AN481" s="37">
        <f t="shared" si="867"/>
        <v>0</v>
      </c>
      <c r="AO481" s="821">
        <f t="shared" si="867"/>
        <v>-250</v>
      </c>
      <c r="AP481" s="37">
        <f t="shared" si="867"/>
        <v>440</v>
      </c>
      <c r="AQ481" s="37">
        <f t="shared" si="867"/>
        <v>380</v>
      </c>
      <c r="AR481" s="37">
        <f t="shared" si="867"/>
        <v>-130</v>
      </c>
      <c r="AS481" s="37">
        <f t="shared" si="867"/>
        <v>0</v>
      </c>
      <c r="AT481" s="821">
        <f t="shared" si="867"/>
        <v>690</v>
      </c>
      <c r="AU481" s="37">
        <f t="shared" si="867"/>
        <v>0</v>
      </c>
      <c r="AV481" s="37">
        <f t="shared" si="867"/>
        <v>0</v>
      </c>
      <c r="AW481" s="37">
        <f t="shared" si="867"/>
        <v>0</v>
      </c>
      <c r="AX481" s="37">
        <f t="shared" si="867"/>
        <v>0</v>
      </c>
      <c r="AY481" s="821">
        <f t="shared" si="867"/>
        <v>0</v>
      </c>
      <c r="AZ481" s="37">
        <f t="shared" si="867"/>
        <v>0</v>
      </c>
      <c r="BA481" s="37">
        <f t="shared" si="867"/>
        <v>0</v>
      </c>
      <c r="BB481" s="37">
        <f t="shared" ref="BB481:BG481" si="868">SUM(BB441,BB466)</f>
        <v>0</v>
      </c>
      <c r="BC481" s="37">
        <f t="shared" si="868"/>
        <v>0</v>
      </c>
      <c r="BD481" s="821">
        <f t="shared" si="868"/>
        <v>0</v>
      </c>
      <c r="BE481" s="37">
        <f t="shared" si="868"/>
        <v>0</v>
      </c>
      <c r="BF481" s="37">
        <f t="shared" si="868"/>
        <v>0</v>
      </c>
      <c r="BG481" s="37">
        <f t="shared" si="868"/>
        <v>0</v>
      </c>
      <c r="BH481" s="37">
        <f t="shared" ref="BH481:BN481" si="869">SUM(BH441,BH466)</f>
        <v>0</v>
      </c>
      <c r="BI481" s="821">
        <f t="shared" si="869"/>
        <v>0</v>
      </c>
      <c r="BJ481" s="37">
        <f t="shared" si="869"/>
        <v>0</v>
      </c>
      <c r="BK481" s="37">
        <f t="shared" si="869"/>
        <v>0</v>
      </c>
      <c r="BL481" s="37">
        <f t="shared" si="869"/>
        <v>0</v>
      </c>
      <c r="BM481" s="37">
        <f t="shared" si="869"/>
        <v>0</v>
      </c>
      <c r="BN481" s="821">
        <f t="shared" si="869"/>
        <v>0</v>
      </c>
      <c r="BO481" s="37">
        <f t="shared" ref="BO481:BT481" si="870">SUM(BO441,BO466)</f>
        <v>-55</v>
      </c>
      <c r="BP481" s="37">
        <f t="shared" si="870"/>
        <v>0</v>
      </c>
      <c r="BQ481" s="37">
        <f t="shared" si="870"/>
        <v>0</v>
      </c>
      <c r="BR481" s="37">
        <f t="shared" si="870"/>
        <v>0</v>
      </c>
      <c r="BS481" s="821">
        <f t="shared" si="870"/>
        <v>-55</v>
      </c>
      <c r="BT481" s="480">
        <f t="shared" si="870"/>
        <v>0</v>
      </c>
      <c r="BU481" s="37"/>
      <c r="BV481" s="37"/>
      <c r="BW481" s="37"/>
      <c r="BX481" s="821"/>
      <c r="BY481" s="37"/>
      <c r="BZ481" s="37"/>
      <c r="CA481" s="37"/>
      <c r="CB481" s="37"/>
      <c r="CC481" s="821"/>
      <c r="CD481" s="821"/>
      <c r="CE481" s="821"/>
      <c r="CF481" s="821"/>
      <c r="CG481" s="22"/>
    </row>
    <row r="482" spans="1:85" s="428" customFormat="1" hidden="1" outlineLevel="1" x14ac:dyDescent="0.3">
      <c r="A482" s="40" t="s">
        <v>699</v>
      </c>
      <c r="B482" s="109"/>
      <c r="C482" s="821"/>
      <c r="D482" s="821"/>
      <c r="E482" s="821"/>
      <c r="F482" s="821"/>
      <c r="G482" s="37"/>
      <c r="H482" s="37"/>
      <c r="I482" s="37"/>
      <c r="J482" s="37"/>
      <c r="K482" s="821"/>
      <c r="L482" s="37"/>
      <c r="M482" s="37"/>
      <c r="N482" s="37"/>
      <c r="O482" s="37"/>
      <c r="P482" s="821"/>
      <c r="Q482" s="37"/>
      <c r="R482" s="37"/>
      <c r="S482" s="37"/>
      <c r="T482" s="37"/>
      <c r="U482" s="821"/>
      <c r="V482" s="37"/>
      <c r="W482" s="37"/>
      <c r="X482" s="37"/>
      <c r="Y482" s="37"/>
      <c r="Z482" s="821"/>
      <c r="AA482" s="37"/>
      <c r="AB482" s="37"/>
      <c r="AC482" s="37"/>
      <c r="AD482" s="37"/>
      <c r="AE482" s="821"/>
      <c r="AF482" s="37"/>
      <c r="AG482" s="37"/>
      <c r="AH482" s="37"/>
      <c r="AI482" s="37"/>
      <c r="AJ482" s="821"/>
      <c r="AK482" s="37"/>
      <c r="AL482" s="37"/>
      <c r="AM482" s="37"/>
      <c r="AN482" s="37"/>
      <c r="AO482" s="821">
        <f t="shared" ref="AO482:BQ482" si="871">AO432</f>
        <v>0</v>
      </c>
      <c r="AP482" s="37">
        <f t="shared" si="871"/>
        <v>0</v>
      </c>
      <c r="AQ482" s="37">
        <f t="shared" si="871"/>
        <v>0</v>
      </c>
      <c r="AR482" s="37">
        <f t="shared" si="871"/>
        <v>0</v>
      </c>
      <c r="AS482" s="37">
        <f t="shared" si="871"/>
        <v>0</v>
      </c>
      <c r="AT482" s="821">
        <f t="shared" si="871"/>
        <v>0</v>
      </c>
      <c r="AU482" s="37">
        <f t="shared" si="871"/>
        <v>0</v>
      </c>
      <c r="AV482" s="37">
        <f t="shared" si="871"/>
        <v>0</v>
      </c>
      <c r="AW482" s="37">
        <f t="shared" si="871"/>
        <v>0</v>
      </c>
      <c r="AX482" s="37">
        <f t="shared" si="871"/>
        <v>0</v>
      </c>
      <c r="AY482" s="821">
        <f t="shared" si="871"/>
        <v>0</v>
      </c>
      <c r="AZ482" s="37">
        <f t="shared" si="871"/>
        <v>0</v>
      </c>
      <c r="BA482" s="37">
        <f t="shared" si="871"/>
        <v>-600</v>
      </c>
      <c r="BB482" s="37">
        <f t="shared" si="871"/>
        <v>0</v>
      </c>
      <c r="BC482" s="37">
        <f t="shared" si="871"/>
        <v>0</v>
      </c>
      <c r="BD482" s="821">
        <f t="shared" si="871"/>
        <v>-600</v>
      </c>
      <c r="BE482" s="37">
        <f t="shared" si="871"/>
        <v>0</v>
      </c>
      <c r="BF482" s="37">
        <f t="shared" si="871"/>
        <v>0</v>
      </c>
      <c r="BG482" s="37">
        <f t="shared" si="871"/>
        <v>0</v>
      </c>
      <c r="BH482" s="37">
        <f t="shared" si="871"/>
        <v>0</v>
      </c>
      <c r="BI482" s="821">
        <f t="shared" si="871"/>
        <v>0</v>
      </c>
      <c r="BJ482" s="37">
        <f t="shared" si="871"/>
        <v>0</v>
      </c>
      <c r="BK482" s="37">
        <f t="shared" si="871"/>
        <v>0</v>
      </c>
      <c r="BL482" s="37">
        <f t="shared" si="871"/>
        <v>0</v>
      </c>
      <c r="BM482" s="37">
        <f t="shared" si="871"/>
        <v>0</v>
      </c>
      <c r="BN482" s="821">
        <f t="shared" si="871"/>
        <v>0</v>
      </c>
      <c r="BO482" s="37">
        <f t="shared" si="871"/>
        <v>0</v>
      </c>
      <c r="BP482" s="37">
        <f t="shared" si="871"/>
        <v>0</v>
      </c>
      <c r="BQ482" s="37">
        <f t="shared" si="871"/>
        <v>0</v>
      </c>
      <c r="BR482" s="37">
        <f t="shared" ref="BR482:BS482" si="872">BR432</f>
        <v>0</v>
      </c>
      <c r="BS482" s="821">
        <f t="shared" si="872"/>
        <v>0</v>
      </c>
      <c r="BT482" s="480">
        <f>BT432</f>
        <v>0</v>
      </c>
      <c r="BU482" s="37"/>
      <c r="BV482" s="37"/>
      <c r="BW482" s="37"/>
      <c r="BX482" s="821"/>
      <c r="BY482" s="37"/>
      <c r="BZ482" s="37"/>
      <c r="CA482" s="37"/>
      <c r="CB482" s="37"/>
      <c r="CC482" s="821"/>
      <c r="CD482" s="821"/>
      <c r="CE482" s="821"/>
      <c r="CF482" s="821"/>
      <c r="CG482" s="22"/>
    </row>
    <row r="483" spans="1:85" s="428" customFormat="1" hidden="1" outlineLevel="1" x14ac:dyDescent="0.3">
      <c r="A483" s="40" t="s">
        <v>259</v>
      </c>
      <c r="B483" s="109"/>
      <c r="C483" s="821"/>
      <c r="D483" s="821"/>
      <c r="E483" s="821"/>
      <c r="F483" s="821"/>
      <c r="G483" s="37"/>
      <c r="H483" s="37"/>
      <c r="I483" s="37"/>
      <c r="J483" s="37"/>
      <c r="K483" s="821"/>
      <c r="L483" s="37"/>
      <c r="M483" s="37"/>
      <c r="N483" s="37"/>
      <c r="O483" s="37"/>
      <c r="P483" s="821"/>
      <c r="Q483" s="37"/>
      <c r="R483" s="37"/>
      <c r="S483" s="37"/>
      <c r="T483" s="37"/>
      <c r="U483" s="821"/>
      <c r="V483" s="37"/>
      <c r="W483" s="37"/>
      <c r="X483" s="37"/>
      <c r="Y483" s="37"/>
      <c r="Z483" s="821"/>
      <c r="AA483" s="37"/>
      <c r="AB483" s="37"/>
      <c r="AC483" s="37"/>
      <c r="AD483" s="37"/>
      <c r="AE483" s="821"/>
      <c r="AF483" s="37"/>
      <c r="AG483" s="37"/>
      <c r="AH483" s="37"/>
      <c r="AI483" s="37"/>
      <c r="AJ483" s="821"/>
      <c r="AK483" s="37"/>
      <c r="AL483" s="37"/>
      <c r="AM483" s="37"/>
      <c r="AN483" s="37"/>
      <c r="AO483" s="821">
        <f t="shared" ref="AO483:BD483" si="873">AO443</f>
        <v>0</v>
      </c>
      <c r="AP483" s="37">
        <f t="shared" si="873"/>
        <v>0</v>
      </c>
      <c r="AQ483" s="37">
        <f t="shared" si="873"/>
        <v>0</v>
      </c>
      <c r="AR483" s="37">
        <f t="shared" si="873"/>
        <v>0</v>
      </c>
      <c r="AS483" s="37">
        <f t="shared" si="873"/>
        <v>0</v>
      </c>
      <c r="AT483" s="821">
        <f t="shared" si="873"/>
        <v>0</v>
      </c>
      <c r="AU483" s="37">
        <f t="shared" si="873"/>
        <v>0</v>
      </c>
      <c r="AV483" s="37">
        <f t="shared" si="873"/>
        <v>0</v>
      </c>
      <c r="AW483" s="37">
        <f t="shared" si="873"/>
        <v>0</v>
      </c>
      <c r="AX483" s="37">
        <f t="shared" si="873"/>
        <v>0</v>
      </c>
      <c r="AY483" s="821">
        <f t="shared" si="873"/>
        <v>0</v>
      </c>
      <c r="AZ483" s="37">
        <f t="shared" si="873"/>
        <v>0</v>
      </c>
      <c r="BA483" s="37">
        <f t="shared" si="873"/>
        <v>0</v>
      </c>
      <c r="BB483" s="37">
        <f t="shared" si="873"/>
        <v>0</v>
      </c>
      <c r="BC483" s="37">
        <f t="shared" si="873"/>
        <v>0</v>
      </c>
      <c r="BD483" s="821">
        <f t="shared" si="873"/>
        <v>0</v>
      </c>
      <c r="BE483" s="37">
        <f t="shared" ref="BE483:BJ483" si="874">BE443</f>
        <v>-130</v>
      </c>
      <c r="BF483" s="37">
        <f t="shared" si="874"/>
        <v>225</v>
      </c>
      <c r="BG483" s="37">
        <f t="shared" si="874"/>
        <v>560</v>
      </c>
      <c r="BH483" s="37">
        <f t="shared" si="874"/>
        <v>0</v>
      </c>
      <c r="BI483" s="821">
        <f t="shared" si="874"/>
        <v>655</v>
      </c>
      <c r="BJ483" s="37">
        <f t="shared" si="874"/>
        <v>0</v>
      </c>
      <c r="BK483" s="37">
        <f t="shared" ref="BK483:BP483" si="875">BK443</f>
        <v>0</v>
      </c>
      <c r="BL483" s="37">
        <f t="shared" si="875"/>
        <v>0</v>
      </c>
      <c r="BM483" s="37">
        <f t="shared" si="875"/>
        <v>0</v>
      </c>
      <c r="BN483" s="821">
        <f t="shared" si="875"/>
        <v>0</v>
      </c>
      <c r="BO483" s="37">
        <f t="shared" si="875"/>
        <v>0</v>
      </c>
      <c r="BP483" s="37">
        <f t="shared" si="875"/>
        <v>0</v>
      </c>
      <c r="BQ483" s="37">
        <f>BQ443</f>
        <v>0</v>
      </c>
      <c r="BR483" s="37">
        <f>BR443</f>
        <v>0</v>
      </c>
      <c r="BS483" s="821">
        <f>BS443</f>
        <v>0</v>
      </c>
      <c r="BT483" s="480">
        <f>BT443</f>
        <v>0</v>
      </c>
      <c r="BU483" s="37"/>
      <c r="BV483" s="37"/>
      <c r="BW483" s="37"/>
      <c r="BX483" s="821"/>
      <c r="BY483" s="37"/>
      <c r="BZ483" s="37"/>
      <c r="CA483" s="37"/>
      <c r="CB483" s="37"/>
      <c r="CC483" s="821"/>
      <c r="CD483" s="821"/>
      <c r="CE483" s="821"/>
      <c r="CF483" s="821"/>
      <c r="CG483" s="22"/>
    </row>
    <row r="484" spans="1:85" s="428" customFormat="1" hidden="1" outlineLevel="1" x14ac:dyDescent="0.3">
      <c r="A484" s="40" t="s">
        <v>621</v>
      </c>
      <c r="B484" s="109"/>
      <c r="C484" s="821"/>
      <c r="D484" s="821"/>
      <c r="E484" s="821"/>
      <c r="F484" s="821"/>
      <c r="G484" s="37"/>
      <c r="H484" s="37"/>
      <c r="I484" s="37"/>
      <c r="J484" s="37"/>
      <c r="K484" s="821"/>
      <c r="L484" s="37"/>
      <c r="M484" s="37"/>
      <c r="N484" s="37"/>
      <c r="O484" s="37"/>
      <c r="P484" s="821"/>
      <c r="Q484" s="37"/>
      <c r="R484" s="37"/>
      <c r="S484" s="37"/>
      <c r="T484" s="37"/>
      <c r="U484" s="821"/>
      <c r="V484" s="37"/>
      <c r="W484" s="37"/>
      <c r="X484" s="37"/>
      <c r="Y484" s="37"/>
      <c r="Z484" s="821"/>
      <c r="AA484" s="37"/>
      <c r="AB484" s="37"/>
      <c r="AC484" s="37"/>
      <c r="AD484" s="37"/>
      <c r="AE484" s="821"/>
      <c r="AF484" s="37"/>
      <c r="AG484" s="37"/>
      <c r="AH484" s="37"/>
      <c r="AI484" s="37"/>
      <c r="AJ484" s="821"/>
      <c r="AK484" s="37">
        <f t="shared" ref="AK484:BD484" si="876">SUM(AK467,AK456,AK444)</f>
        <v>-137</v>
      </c>
      <c r="AL484" s="37">
        <f t="shared" si="876"/>
        <v>15</v>
      </c>
      <c r="AM484" s="37">
        <f t="shared" si="876"/>
        <v>74</v>
      </c>
      <c r="AN484" s="37">
        <f t="shared" si="876"/>
        <v>-256</v>
      </c>
      <c r="AO484" s="821">
        <f t="shared" si="876"/>
        <v>-304</v>
      </c>
      <c r="AP484" s="37">
        <f t="shared" si="876"/>
        <v>514</v>
      </c>
      <c r="AQ484" s="37">
        <f t="shared" si="876"/>
        <v>-437</v>
      </c>
      <c r="AR484" s="37">
        <f t="shared" si="876"/>
        <v>-188</v>
      </c>
      <c r="AS484" s="37">
        <f t="shared" si="876"/>
        <v>-534</v>
      </c>
      <c r="AT484" s="821">
        <f t="shared" si="876"/>
        <v>-645</v>
      </c>
      <c r="AU484" s="37">
        <f t="shared" si="876"/>
        <v>-2</v>
      </c>
      <c r="AV484" s="37">
        <f t="shared" si="876"/>
        <v>43</v>
      </c>
      <c r="AW484" s="37">
        <f t="shared" si="876"/>
        <v>305</v>
      </c>
      <c r="AX484" s="37">
        <f t="shared" si="876"/>
        <v>-40</v>
      </c>
      <c r="AY484" s="821">
        <f t="shared" si="876"/>
        <v>306</v>
      </c>
      <c r="AZ484" s="37">
        <f t="shared" si="876"/>
        <v>-218</v>
      </c>
      <c r="BA484" s="37">
        <f t="shared" si="876"/>
        <v>668</v>
      </c>
      <c r="BB484" s="37">
        <f t="shared" si="876"/>
        <v>624</v>
      </c>
      <c r="BC484" s="37">
        <f t="shared" si="876"/>
        <v>-405</v>
      </c>
      <c r="BD484" s="821">
        <f t="shared" si="876"/>
        <v>669</v>
      </c>
      <c r="BE484" s="37">
        <f t="shared" ref="BE484:BJ484" si="877">SUM(BE467,BE456,BE444)</f>
        <v>-40</v>
      </c>
      <c r="BF484" s="37">
        <f t="shared" si="877"/>
        <v>10</v>
      </c>
      <c r="BG484" s="37">
        <f t="shared" si="877"/>
        <v>285</v>
      </c>
      <c r="BH484" s="37">
        <f t="shared" si="877"/>
        <v>-479</v>
      </c>
      <c r="BI484" s="821">
        <f t="shared" si="877"/>
        <v>-224</v>
      </c>
      <c r="BJ484" s="37">
        <f t="shared" si="877"/>
        <v>85</v>
      </c>
      <c r="BK484" s="37">
        <f t="shared" ref="BK484:BP484" si="878">SUM(BK467,BK456,BK444)</f>
        <v>-243</v>
      </c>
      <c r="BL484" s="37">
        <f t="shared" si="878"/>
        <v>-44</v>
      </c>
      <c r="BM484" s="37">
        <f t="shared" si="878"/>
        <v>722</v>
      </c>
      <c r="BN484" s="821">
        <f t="shared" si="878"/>
        <v>520</v>
      </c>
      <c r="BO484" s="37">
        <f t="shared" si="878"/>
        <v>-138</v>
      </c>
      <c r="BP484" s="37">
        <f t="shared" si="878"/>
        <v>-348</v>
      </c>
      <c r="BQ484" s="37">
        <f>SUM(BQ467,BQ456,BQ444)</f>
        <v>147</v>
      </c>
      <c r="BR484" s="37">
        <f>SUM(BR467,BR456,BR444)</f>
        <v>-130</v>
      </c>
      <c r="BS484" s="821">
        <f>SUM(BS467,BS456,BS444)</f>
        <v>-469</v>
      </c>
      <c r="BT484" s="480">
        <f>SUM(BT467,BT456,BT444)</f>
        <v>-223</v>
      </c>
      <c r="BU484" s="37"/>
      <c r="BV484" s="37"/>
      <c r="BW484" s="37"/>
      <c r="BX484" s="821"/>
      <c r="BY484" s="37"/>
      <c r="BZ484" s="37"/>
      <c r="CA484" s="37"/>
      <c r="CB484" s="37"/>
      <c r="CC484" s="821"/>
      <c r="CD484" s="821"/>
      <c r="CE484" s="821"/>
      <c r="CF484" s="821"/>
      <c r="CG484" s="22"/>
    </row>
    <row r="485" spans="1:85" s="428" customFormat="1" hidden="1" outlineLevel="1" x14ac:dyDescent="0.3">
      <c r="A485" s="41" t="s">
        <v>619</v>
      </c>
      <c r="B485" s="99"/>
      <c r="C485" s="823"/>
      <c r="D485" s="823"/>
      <c r="E485" s="823"/>
      <c r="F485" s="823"/>
      <c r="G485" s="393"/>
      <c r="H485" s="393"/>
      <c r="I485" s="393"/>
      <c r="J485" s="393"/>
      <c r="K485" s="823"/>
      <c r="L485" s="393"/>
      <c r="M485" s="393"/>
      <c r="N485" s="393"/>
      <c r="O485" s="393"/>
      <c r="P485" s="823"/>
      <c r="Q485" s="393"/>
      <c r="R485" s="393"/>
      <c r="S485" s="393"/>
      <c r="T485" s="393"/>
      <c r="U485" s="823"/>
      <c r="V485" s="393"/>
      <c r="W485" s="393"/>
      <c r="X485" s="393"/>
      <c r="Y485" s="393"/>
      <c r="Z485" s="823"/>
      <c r="AA485" s="393"/>
      <c r="AB485" s="393"/>
      <c r="AC485" s="393"/>
      <c r="AD485" s="393"/>
      <c r="AE485" s="823"/>
      <c r="AF485" s="393"/>
      <c r="AG485" s="393"/>
      <c r="AH485" s="393"/>
      <c r="AI485" s="393"/>
      <c r="AJ485" s="823"/>
      <c r="AK485" s="393">
        <f t="shared" ref="AK485:AY485" si="879">AK470-SUM(AK471:AK484)</f>
        <v>2786</v>
      </c>
      <c r="AL485" s="393">
        <f t="shared" si="879"/>
        <v>3370</v>
      </c>
      <c r="AM485" s="393">
        <f t="shared" si="879"/>
        <v>2936</v>
      </c>
      <c r="AN485" s="393">
        <f t="shared" si="879"/>
        <v>2796</v>
      </c>
      <c r="AO485" s="823">
        <f t="shared" si="879"/>
        <v>11888</v>
      </c>
      <c r="AP485" s="393">
        <f t="shared" si="879"/>
        <v>2405</v>
      </c>
      <c r="AQ485" s="393">
        <f t="shared" si="879"/>
        <v>-2963</v>
      </c>
      <c r="AR485" s="393">
        <f t="shared" si="879"/>
        <v>201</v>
      </c>
      <c r="AS485" s="393">
        <f t="shared" si="879"/>
        <v>-11</v>
      </c>
      <c r="AT485" s="823">
        <f t="shared" si="879"/>
        <v>-368</v>
      </c>
      <c r="AU485" s="393">
        <f t="shared" si="879"/>
        <v>1730</v>
      </c>
      <c r="AV485" s="393">
        <f t="shared" si="879"/>
        <v>3274</v>
      </c>
      <c r="AW485" s="393">
        <f t="shared" si="879"/>
        <v>5687</v>
      </c>
      <c r="AX485" s="393">
        <f t="shared" si="879"/>
        <v>4917</v>
      </c>
      <c r="AY485" s="823">
        <f t="shared" si="879"/>
        <v>15608</v>
      </c>
      <c r="AZ485" s="393">
        <f t="shared" ref="AZ485:BE485" si="880">AZ470-SUM(AZ471:AZ484)</f>
        <v>6543</v>
      </c>
      <c r="BA485" s="393">
        <f t="shared" si="880"/>
        <v>11365</v>
      </c>
      <c r="BB485" s="393">
        <f t="shared" si="880"/>
        <v>10784</v>
      </c>
      <c r="BC485" s="393">
        <f t="shared" si="880"/>
        <v>7850</v>
      </c>
      <c r="BD485" s="823">
        <f t="shared" si="880"/>
        <v>36542</v>
      </c>
      <c r="BE485" s="393">
        <f t="shared" si="880"/>
        <v>6744</v>
      </c>
      <c r="BF485" s="393">
        <f t="shared" ref="BF485:BK485" si="881">BF470-SUM(BF471:BF484)</f>
        <v>5775</v>
      </c>
      <c r="BG485" s="393">
        <f t="shared" si="881"/>
        <v>5721</v>
      </c>
      <c r="BH485" s="393">
        <f t="shared" si="881"/>
        <v>6453</v>
      </c>
      <c r="BI485" s="823">
        <f t="shared" si="881"/>
        <v>24693</v>
      </c>
      <c r="BJ485" s="393">
        <f t="shared" si="881"/>
        <v>5416</v>
      </c>
      <c r="BK485" s="393">
        <f t="shared" si="881"/>
        <v>4677</v>
      </c>
      <c r="BL485" s="393">
        <f t="shared" ref="BL485:BQ485" si="882">BL470-SUM(BL471:BL484)</f>
        <v>4531</v>
      </c>
      <c r="BM485" s="393">
        <f t="shared" si="882"/>
        <v>3632</v>
      </c>
      <c r="BN485" s="823">
        <f t="shared" si="882"/>
        <v>18256</v>
      </c>
      <c r="BO485" s="393">
        <f t="shared" si="882"/>
        <v>3813</v>
      </c>
      <c r="BP485" s="393">
        <f t="shared" si="882"/>
        <v>3053</v>
      </c>
      <c r="BQ485" s="393">
        <f t="shared" si="882"/>
        <v>3627</v>
      </c>
      <c r="BR485" s="393">
        <f>BR470-SUM(BR471:BR484)</f>
        <v>3028</v>
      </c>
      <c r="BS485" s="823">
        <f>BS470-SUM(BS471:BS484)</f>
        <v>13521</v>
      </c>
      <c r="BT485" s="641">
        <f>BT470-SUM(BT471:BT484)</f>
        <v>2793</v>
      </c>
      <c r="BU485" s="393"/>
      <c r="BV485" s="393"/>
      <c r="BW485" s="393"/>
      <c r="BX485" s="823"/>
      <c r="BY485" s="393"/>
      <c r="BZ485" s="393"/>
      <c r="CA485" s="393"/>
      <c r="CB485" s="393"/>
      <c r="CC485" s="823"/>
      <c r="CD485" s="823"/>
      <c r="CE485" s="823"/>
      <c r="CF485" s="823"/>
      <c r="CG485" s="22"/>
    </row>
    <row r="486" spans="1:85" s="428" customFormat="1" hidden="1" outlineLevel="1" x14ac:dyDescent="0.3">
      <c r="A486" s="43"/>
      <c r="B486" s="109"/>
      <c r="C486" s="821"/>
      <c r="D486" s="821"/>
      <c r="E486" s="821"/>
      <c r="F486" s="821"/>
      <c r="G486" s="37"/>
      <c r="H486" s="37"/>
      <c r="I486" s="37"/>
      <c r="J486" s="37"/>
      <c r="K486" s="821"/>
      <c r="L486" s="37"/>
      <c r="M486" s="37"/>
      <c r="N486" s="37"/>
      <c r="O486" s="37"/>
      <c r="P486" s="821"/>
      <c r="Q486" s="37"/>
      <c r="R486" s="37"/>
      <c r="S486" s="37"/>
      <c r="T486" s="37"/>
      <c r="U486" s="821"/>
      <c r="V486" s="37"/>
      <c r="W486" s="37"/>
      <c r="X486" s="37"/>
      <c r="Y486" s="37"/>
      <c r="Z486" s="821"/>
      <c r="AA486" s="37"/>
      <c r="AB486" s="37"/>
      <c r="AC486" s="37"/>
      <c r="AD486" s="37"/>
      <c r="AE486" s="821"/>
      <c r="AF486" s="37"/>
      <c r="AG486" s="37"/>
      <c r="AH486" s="37"/>
      <c r="AI486" s="37"/>
      <c r="AJ486" s="821"/>
      <c r="AK486" s="37"/>
      <c r="AL486" s="37"/>
      <c r="AM486" s="37"/>
      <c r="AN486" s="37"/>
      <c r="AO486" s="821"/>
      <c r="AP486" s="37"/>
      <c r="AQ486" s="37"/>
      <c r="AR486" s="37"/>
      <c r="AS486" s="37"/>
      <c r="AT486" s="821"/>
      <c r="AU486" s="37"/>
      <c r="AV486" s="37"/>
      <c r="AW486" s="37"/>
      <c r="AX486" s="37"/>
      <c r="AY486" s="821"/>
      <c r="AZ486" s="37"/>
      <c r="BA486" s="37"/>
      <c r="BB486" s="37"/>
      <c r="BC486" s="37"/>
      <c r="BD486" s="821"/>
      <c r="BE486" s="37"/>
      <c r="BF486" s="37"/>
      <c r="BG486" s="37"/>
      <c r="BH486" s="37"/>
      <c r="BI486" s="821"/>
      <c r="BJ486" s="37"/>
      <c r="BK486" s="37"/>
      <c r="BL486" s="37"/>
      <c r="BM486" s="37"/>
      <c r="BN486" s="821"/>
      <c r="BO486" s="37"/>
      <c r="BP486" s="37"/>
      <c r="BQ486" s="37"/>
      <c r="BR486" s="37"/>
      <c r="BS486" s="821"/>
      <c r="BT486" s="480"/>
      <c r="BU486" s="37"/>
      <c r="BV486" s="37"/>
      <c r="BW486" s="37"/>
      <c r="BX486" s="821"/>
      <c r="BY486" s="37"/>
      <c r="BZ486" s="37"/>
      <c r="CA486" s="37"/>
      <c r="CB486" s="37"/>
      <c r="CC486" s="821"/>
      <c r="CD486" s="821"/>
      <c r="CE486" s="821"/>
      <c r="CF486" s="821"/>
      <c r="CG486" s="22"/>
    </row>
    <row r="487" spans="1:85" s="428" customFormat="1" hidden="1" outlineLevel="1" x14ac:dyDescent="0.3">
      <c r="A487" s="40" t="s">
        <v>574</v>
      </c>
      <c r="B487" s="109"/>
      <c r="C487" s="827">
        <v>95</v>
      </c>
      <c r="D487" s="827">
        <v>120</v>
      </c>
      <c r="E487" s="827">
        <v>145</v>
      </c>
      <c r="F487" s="827">
        <v>166</v>
      </c>
      <c r="G487" s="37"/>
      <c r="H487" s="37"/>
      <c r="I487" s="37"/>
      <c r="J487" s="37"/>
      <c r="K487" s="827">
        <v>136</v>
      </c>
      <c r="L487" s="37"/>
      <c r="M487" s="37"/>
      <c r="N487" s="37"/>
      <c r="O487" s="37"/>
      <c r="P487" s="827">
        <v>145</v>
      </c>
      <c r="Q487" s="37"/>
      <c r="R487" s="37"/>
      <c r="S487" s="37"/>
      <c r="T487" s="37"/>
      <c r="U487" s="827">
        <v>119</v>
      </c>
      <c r="V487" s="37"/>
      <c r="W487" s="37"/>
      <c r="X487" s="37"/>
      <c r="Y487" s="37"/>
      <c r="Z487" s="827">
        <v>145</v>
      </c>
      <c r="AA487" s="37"/>
      <c r="AB487" s="37"/>
      <c r="AC487" s="37"/>
      <c r="AD487" s="37"/>
      <c r="AE487" s="827">
        <v>107</v>
      </c>
      <c r="AF487" s="37"/>
      <c r="AG487" s="37"/>
      <c r="AH487" s="37"/>
      <c r="AI487" s="37"/>
      <c r="AJ487" s="827">
        <v>192</v>
      </c>
      <c r="AK487" s="37"/>
      <c r="AL487" s="37"/>
      <c r="AM487" s="37"/>
      <c r="AN487" s="37"/>
      <c r="AO487" s="821"/>
      <c r="AP487" s="37"/>
      <c r="AQ487" s="37"/>
      <c r="AR487" s="37"/>
      <c r="AS487" s="37"/>
      <c r="AT487" s="821"/>
      <c r="AU487" s="37"/>
      <c r="AV487" s="37"/>
      <c r="AW487" s="37"/>
      <c r="AX487" s="37"/>
      <c r="AY487" s="821"/>
      <c r="AZ487" s="37"/>
      <c r="BA487" s="37"/>
      <c r="BB487" s="37"/>
      <c r="BC487" s="37"/>
      <c r="BD487" s="821"/>
      <c r="BE487" s="37"/>
      <c r="BF487" s="37"/>
      <c r="BG487" s="37"/>
      <c r="BH487" s="37"/>
      <c r="BI487" s="821"/>
      <c r="BJ487" s="37"/>
      <c r="BK487" s="37"/>
      <c r="BL487" s="37"/>
      <c r="BM487" s="37"/>
      <c r="BN487" s="821"/>
      <c r="BO487" s="37"/>
      <c r="BP487" s="37"/>
      <c r="BQ487" s="37"/>
      <c r="BR487" s="37"/>
      <c r="BS487" s="821"/>
      <c r="BT487" s="480"/>
      <c r="BU487" s="37"/>
      <c r="BV487" s="37"/>
      <c r="BW487" s="37"/>
      <c r="BX487" s="821"/>
      <c r="BY487" s="37"/>
      <c r="BZ487" s="37"/>
      <c r="CA487" s="37"/>
      <c r="CB487" s="37"/>
      <c r="CC487" s="821"/>
      <c r="CD487" s="821"/>
      <c r="CE487" s="821"/>
      <c r="CF487" s="821"/>
      <c r="CG487" s="22"/>
    </row>
    <row r="488" spans="1:85" s="428" customFormat="1" hidden="1" outlineLevel="1" x14ac:dyDescent="0.3">
      <c r="A488" s="40" t="s">
        <v>259</v>
      </c>
      <c r="B488" s="109"/>
      <c r="C488" s="852">
        <f>C489-C487</f>
        <v>823</v>
      </c>
      <c r="D488" s="852">
        <f>D489-D487</f>
        <v>973</v>
      </c>
      <c r="E488" s="852">
        <f>E489-E487</f>
        <v>1827</v>
      </c>
      <c r="F488" s="852">
        <f>F489-F487</f>
        <v>4264</v>
      </c>
      <c r="G488" s="37"/>
      <c r="H488" s="37"/>
      <c r="I488" s="37"/>
      <c r="J488" s="37"/>
      <c r="K488" s="852">
        <f>K489-K487</f>
        <v>1029</v>
      </c>
      <c r="L488" s="37"/>
      <c r="M488" s="37"/>
      <c r="N488" s="37"/>
      <c r="O488" s="37"/>
      <c r="P488" s="852">
        <f>P489-P487</f>
        <v>4233</v>
      </c>
      <c r="Q488" s="37"/>
      <c r="R488" s="37"/>
      <c r="S488" s="37"/>
      <c r="T488" s="37"/>
      <c r="U488" s="852">
        <f>U489-U487</f>
        <v>3749</v>
      </c>
      <c r="V488" s="37"/>
      <c r="W488" s="37"/>
      <c r="X488" s="37"/>
      <c r="Y488" s="37"/>
      <c r="Z488" s="852">
        <f>Z489-Z487</f>
        <v>1451</v>
      </c>
      <c r="AA488" s="37"/>
      <c r="AB488" s="37"/>
      <c r="AC488" s="37"/>
      <c r="AD488" s="37"/>
      <c r="AE488" s="852">
        <f>AE489-AE487</f>
        <v>2503</v>
      </c>
      <c r="AF488" s="37"/>
      <c r="AG488" s="37"/>
      <c r="AH488" s="37"/>
      <c r="AI488" s="37"/>
      <c r="AJ488" s="852">
        <f>AJ489-AJ487</f>
        <v>918</v>
      </c>
      <c r="AK488" s="37"/>
      <c r="AL488" s="37"/>
      <c r="AM488" s="37"/>
      <c r="AN488" s="37"/>
      <c r="AO488" s="821"/>
      <c r="AP488" s="37"/>
      <c r="AQ488" s="37"/>
      <c r="AR488" s="37"/>
      <c r="AS488" s="37"/>
      <c r="AT488" s="821"/>
      <c r="AU488" s="37"/>
      <c r="AV488" s="37"/>
      <c r="AW488" s="37"/>
      <c r="AX488" s="37"/>
      <c r="AY488" s="821"/>
      <c r="AZ488" s="37"/>
      <c r="BA488" s="37"/>
      <c r="BB488" s="37"/>
      <c r="BC488" s="37"/>
      <c r="BD488" s="821"/>
      <c r="BE488" s="37"/>
      <c r="BF488" s="37"/>
      <c r="BG488" s="37"/>
      <c r="BH488" s="37"/>
      <c r="BI488" s="821"/>
      <c r="BJ488" s="37"/>
      <c r="BK488" s="37"/>
      <c r="BL488" s="37"/>
      <c r="BM488" s="37"/>
      <c r="BN488" s="821"/>
      <c r="BO488" s="37"/>
      <c r="BP488" s="37"/>
      <c r="BQ488" s="37"/>
      <c r="BR488" s="37"/>
      <c r="BS488" s="821"/>
      <c r="BT488" s="480"/>
      <c r="BU488" s="37"/>
      <c r="BV488" s="37"/>
      <c r="BW488" s="37"/>
      <c r="BX488" s="821"/>
      <c r="BY488" s="37"/>
      <c r="BZ488" s="37"/>
      <c r="CA488" s="37"/>
      <c r="CB488" s="37"/>
      <c r="CC488" s="821"/>
      <c r="CD488" s="821"/>
      <c r="CE488" s="821"/>
      <c r="CF488" s="821"/>
      <c r="CG488" s="22"/>
    </row>
    <row r="489" spans="1:85" s="429" customFormat="1" hidden="1" outlineLevel="1" x14ac:dyDescent="0.3">
      <c r="A489" s="41" t="s">
        <v>179</v>
      </c>
      <c r="B489" s="99"/>
      <c r="C489" s="824">
        <f t="shared" ref="C489:AH489" si="883">C407</f>
        <v>918</v>
      </c>
      <c r="D489" s="824">
        <f t="shared" si="883"/>
        <v>1093</v>
      </c>
      <c r="E489" s="824">
        <f t="shared" si="883"/>
        <v>1972</v>
      </c>
      <c r="F489" s="824">
        <f t="shared" si="883"/>
        <v>4430</v>
      </c>
      <c r="G489" s="394">
        <f t="shared" si="883"/>
        <v>238</v>
      </c>
      <c r="H489" s="394">
        <f t="shared" si="883"/>
        <v>278</v>
      </c>
      <c r="I489" s="394">
        <f t="shared" si="883"/>
        <v>265</v>
      </c>
      <c r="J489" s="394">
        <f t="shared" si="883"/>
        <v>384</v>
      </c>
      <c r="K489" s="824">
        <f t="shared" si="883"/>
        <v>1165</v>
      </c>
      <c r="L489" s="394">
        <f t="shared" si="883"/>
        <v>365</v>
      </c>
      <c r="M489" s="394">
        <f t="shared" si="883"/>
        <v>646</v>
      </c>
      <c r="N489" s="394">
        <f t="shared" si="883"/>
        <v>945</v>
      </c>
      <c r="O489" s="394">
        <f t="shared" si="883"/>
        <v>2422</v>
      </c>
      <c r="P489" s="824">
        <f t="shared" si="883"/>
        <v>4378</v>
      </c>
      <c r="Q489" s="394">
        <f t="shared" si="883"/>
        <v>842</v>
      </c>
      <c r="R489" s="394">
        <f t="shared" si="883"/>
        <v>2359</v>
      </c>
      <c r="S489" s="394">
        <f t="shared" si="883"/>
        <v>353</v>
      </c>
      <c r="T489" s="394">
        <f t="shared" si="883"/>
        <v>314</v>
      </c>
      <c r="U489" s="824">
        <f t="shared" si="883"/>
        <v>3868</v>
      </c>
      <c r="V489" s="394">
        <f t="shared" si="883"/>
        <v>-93</v>
      </c>
      <c r="W489" s="394">
        <f t="shared" si="883"/>
        <v>686</v>
      </c>
      <c r="X489" s="394">
        <f t="shared" si="883"/>
        <v>426</v>
      </c>
      <c r="Y489" s="394">
        <f t="shared" si="883"/>
        <v>577</v>
      </c>
      <c r="Z489" s="824">
        <f t="shared" si="883"/>
        <v>1596</v>
      </c>
      <c r="AA489" s="394">
        <f t="shared" si="883"/>
        <v>747</v>
      </c>
      <c r="AB489" s="394">
        <f t="shared" si="883"/>
        <v>287</v>
      </c>
      <c r="AC489" s="394">
        <f t="shared" si="883"/>
        <v>1277</v>
      </c>
      <c r="AD489" s="394">
        <f t="shared" si="883"/>
        <v>299</v>
      </c>
      <c r="AE489" s="824">
        <f t="shared" si="883"/>
        <v>2610</v>
      </c>
      <c r="AF489" s="394">
        <f t="shared" si="883"/>
        <v>159</v>
      </c>
      <c r="AG489" s="394">
        <f t="shared" si="883"/>
        <v>252</v>
      </c>
      <c r="AH489" s="394">
        <f t="shared" si="883"/>
        <v>327</v>
      </c>
      <c r="AI489" s="394">
        <f t="shared" ref="AI489:BQ489" si="884">AI407</f>
        <v>372</v>
      </c>
      <c r="AJ489" s="824">
        <f t="shared" si="884"/>
        <v>1110</v>
      </c>
      <c r="AK489" s="394">
        <f t="shared" si="884"/>
        <v>-51</v>
      </c>
      <c r="AL489" s="394">
        <f t="shared" si="884"/>
        <v>1331</v>
      </c>
      <c r="AM489" s="394">
        <f t="shared" si="884"/>
        <v>165</v>
      </c>
      <c r="AN489" s="394">
        <f t="shared" si="884"/>
        <v>1238</v>
      </c>
      <c r="AO489" s="824">
        <f t="shared" si="884"/>
        <v>2683</v>
      </c>
      <c r="AP489" s="394">
        <f t="shared" si="884"/>
        <v>831</v>
      </c>
      <c r="AQ489" s="394">
        <f t="shared" si="884"/>
        <v>83</v>
      </c>
      <c r="AR489" s="394">
        <f t="shared" si="884"/>
        <v>-56</v>
      </c>
      <c r="AS489" s="394">
        <f t="shared" si="884"/>
        <v>-165</v>
      </c>
      <c r="AT489" s="824">
        <f t="shared" si="884"/>
        <v>693</v>
      </c>
      <c r="AU489" s="394">
        <f t="shared" si="884"/>
        <v>42</v>
      </c>
      <c r="AV489" s="394">
        <f t="shared" si="884"/>
        <v>38</v>
      </c>
      <c r="AW489" s="394">
        <f t="shared" si="884"/>
        <v>511</v>
      </c>
      <c r="AX489" s="394">
        <f t="shared" si="884"/>
        <v>611</v>
      </c>
      <c r="AY489" s="824">
        <f t="shared" si="884"/>
        <v>1202</v>
      </c>
      <c r="AZ489" s="394">
        <f t="shared" si="884"/>
        <v>-26</v>
      </c>
      <c r="BA489" s="394">
        <f t="shared" si="884"/>
        <v>923</v>
      </c>
      <c r="BB489" s="394">
        <f t="shared" si="884"/>
        <v>726</v>
      </c>
      <c r="BC489" s="394">
        <f t="shared" si="884"/>
        <v>327</v>
      </c>
      <c r="BD489" s="824">
        <f t="shared" si="884"/>
        <v>1950</v>
      </c>
      <c r="BE489" s="394">
        <f t="shared" si="884"/>
        <v>363</v>
      </c>
      <c r="BF489" s="394">
        <f t="shared" si="884"/>
        <v>440</v>
      </c>
      <c r="BG489" s="394">
        <f t="shared" si="884"/>
        <v>845</v>
      </c>
      <c r="BH489" s="394">
        <f t="shared" si="884"/>
        <v>-2743</v>
      </c>
      <c r="BI489" s="824">
        <f t="shared" si="884"/>
        <v>-1095</v>
      </c>
      <c r="BJ489" s="394">
        <f t="shared" si="884"/>
        <v>695</v>
      </c>
      <c r="BK489" s="394">
        <f t="shared" si="884"/>
        <v>401</v>
      </c>
      <c r="BL489" s="394">
        <f t="shared" si="884"/>
        <v>482</v>
      </c>
      <c r="BM489" s="394">
        <f t="shared" si="884"/>
        <v>3204</v>
      </c>
      <c r="BN489" s="824">
        <f t="shared" si="884"/>
        <v>4782</v>
      </c>
      <c r="BO489" s="394">
        <f t="shared" si="884"/>
        <v>689</v>
      </c>
      <c r="BP489" s="394">
        <f t="shared" si="884"/>
        <v>-89</v>
      </c>
      <c r="BQ489" s="394">
        <f t="shared" si="884"/>
        <v>576</v>
      </c>
      <c r="BR489" s="394">
        <f>BR407</f>
        <v>423</v>
      </c>
      <c r="BS489" s="824">
        <f>BS407</f>
        <v>1599</v>
      </c>
      <c r="BT489" s="640">
        <f>BT407</f>
        <v>306</v>
      </c>
      <c r="BU489" s="393"/>
      <c r="BV489" s="393"/>
      <c r="BW489" s="393"/>
      <c r="BX489" s="823"/>
      <c r="BY489" s="393"/>
      <c r="BZ489" s="393"/>
      <c r="CA489" s="393"/>
      <c r="CB489" s="393"/>
      <c r="CC489" s="823"/>
      <c r="CD489" s="823"/>
      <c r="CE489" s="823"/>
      <c r="CF489" s="823"/>
      <c r="CG489" s="26"/>
    </row>
    <row r="490" spans="1:85" s="429" customFormat="1" hidden="1" outlineLevel="1" x14ac:dyDescent="0.3">
      <c r="A490" s="48"/>
      <c r="B490" s="58"/>
      <c r="C490" s="825"/>
      <c r="D490" s="825"/>
      <c r="E490" s="825"/>
      <c r="F490" s="825"/>
      <c r="G490" s="31"/>
      <c r="H490" s="31"/>
      <c r="I490" s="31"/>
      <c r="J490" s="31"/>
      <c r="K490" s="825"/>
      <c r="L490" s="31"/>
      <c r="M490" s="31"/>
      <c r="N490" s="31"/>
      <c r="O490" s="31"/>
      <c r="P490" s="825"/>
      <c r="Q490" s="31"/>
      <c r="R490" s="31"/>
      <c r="S490" s="31"/>
      <c r="T490" s="31"/>
      <c r="U490" s="825"/>
      <c r="V490" s="31"/>
      <c r="W490" s="31"/>
      <c r="X490" s="31"/>
      <c r="Y490" s="31"/>
      <c r="Z490" s="825"/>
      <c r="AA490" s="31"/>
      <c r="AB490" s="31"/>
      <c r="AC490" s="31"/>
      <c r="AD490" s="31"/>
      <c r="AE490" s="825"/>
      <c r="AF490" s="31"/>
      <c r="AG490" s="31"/>
      <c r="AH490" s="31"/>
      <c r="AI490" s="31"/>
      <c r="AJ490" s="825"/>
      <c r="AK490" s="31"/>
      <c r="AL490" s="31"/>
      <c r="AM490" s="31"/>
      <c r="AN490" s="31"/>
      <c r="AO490" s="825"/>
      <c r="AP490" s="31"/>
      <c r="AQ490" s="31"/>
      <c r="AR490" s="31"/>
      <c r="AS490" s="31"/>
      <c r="AT490" s="825"/>
      <c r="AU490" s="31"/>
      <c r="AV490" s="31"/>
      <c r="AW490" s="31"/>
      <c r="AX490" s="31"/>
      <c r="AY490" s="825"/>
      <c r="AZ490" s="31"/>
      <c r="BA490" s="31"/>
      <c r="BB490" s="31"/>
      <c r="BC490" s="31"/>
      <c r="BD490" s="825"/>
      <c r="BE490" s="31"/>
      <c r="BF490" s="31"/>
      <c r="BG490" s="31"/>
      <c r="BH490" s="31"/>
      <c r="BI490" s="825"/>
      <c r="BJ490" s="31"/>
      <c r="BK490" s="31"/>
      <c r="BL490" s="31"/>
      <c r="BM490" s="31"/>
      <c r="BN490" s="825"/>
      <c r="BO490" s="31"/>
      <c r="BP490" s="31"/>
      <c r="BQ490" s="31"/>
      <c r="BR490" s="31"/>
      <c r="BS490" s="825"/>
      <c r="BT490" s="379"/>
      <c r="BU490" s="31"/>
      <c r="BV490" s="31"/>
      <c r="BW490" s="31"/>
      <c r="BX490" s="825"/>
      <c r="BY490" s="31"/>
      <c r="BZ490" s="31"/>
      <c r="CA490" s="31"/>
      <c r="CB490" s="31"/>
      <c r="CC490" s="825"/>
      <c r="CD490" s="825"/>
      <c r="CE490" s="825"/>
      <c r="CF490" s="825"/>
      <c r="CG490" s="26"/>
    </row>
    <row r="491" spans="1:85" s="433" customFormat="1" hidden="1" outlineLevel="1" x14ac:dyDescent="0.3">
      <c r="A491" s="19" t="s">
        <v>767</v>
      </c>
      <c r="B491" s="548"/>
      <c r="C491" s="881">
        <v>0.25</v>
      </c>
      <c r="D491" s="881">
        <v>0.25</v>
      </c>
      <c r="E491" s="881">
        <v>0.25</v>
      </c>
      <c r="F491" s="881">
        <v>0.25</v>
      </c>
      <c r="G491" s="783">
        <v>0.25</v>
      </c>
      <c r="H491" s="783">
        <v>0.25</v>
      </c>
      <c r="I491" s="783">
        <v>0.25</v>
      </c>
      <c r="J491" s="783">
        <v>0.25</v>
      </c>
      <c r="K491" s="881">
        <v>0.25</v>
      </c>
      <c r="L491" s="783">
        <v>0.25</v>
      </c>
      <c r="M491" s="783">
        <v>0.25</v>
      </c>
      <c r="N491" s="783">
        <v>0.25</v>
      </c>
      <c r="O491" s="783">
        <v>0.25</v>
      </c>
      <c r="P491" s="881">
        <v>0.25</v>
      </c>
      <c r="Q491" s="783">
        <v>0.25</v>
      </c>
      <c r="R491" s="783">
        <v>0.25</v>
      </c>
      <c r="S491" s="783">
        <v>0.25</v>
      </c>
      <c r="T491" s="783">
        <v>0.25</v>
      </c>
      <c r="U491" s="881">
        <v>0.25</v>
      </c>
      <c r="V491" s="783">
        <v>0.25</v>
      </c>
      <c r="W491" s="783">
        <v>0.25</v>
      </c>
      <c r="X491" s="783">
        <v>0.25</v>
      </c>
      <c r="Y491" s="783">
        <v>0.25</v>
      </c>
      <c r="Z491" s="881">
        <v>0.25</v>
      </c>
      <c r="AA491" s="783">
        <v>0.25</v>
      </c>
      <c r="AB491" s="783">
        <v>0.25</v>
      </c>
      <c r="AC491" s="783">
        <v>0.25</v>
      </c>
      <c r="AD491" s="783">
        <v>0.25</v>
      </c>
      <c r="AE491" s="881">
        <v>0.25</v>
      </c>
      <c r="AF491" s="783">
        <v>0.25</v>
      </c>
      <c r="AG491" s="783">
        <v>0.25</v>
      </c>
      <c r="AH491" s="783">
        <v>0.25</v>
      </c>
      <c r="AI491" s="783">
        <v>0.25</v>
      </c>
      <c r="AJ491" s="881">
        <v>0.25</v>
      </c>
      <c r="AK491" s="783">
        <v>0.25</v>
      </c>
      <c r="AL491" s="783">
        <v>0.25</v>
      </c>
      <c r="AM491" s="783">
        <v>0.25</v>
      </c>
      <c r="AN491" s="783">
        <v>0.25</v>
      </c>
      <c r="AO491" s="881">
        <v>0.25</v>
      </c>
      <c r="AP491" s="783">
        <v>0.25</v>
      </c>
      <c r="AQ491" s="783">
        <v>0.25</v>
      </c>
      <c r="AR491" s="783">
        <v>0.25</v>
      </c>
      <c r="AS491" s="783">
        <v>0.25</v>
      </c>
      <c r="AT491" s="881">
        <v>0.25</v>
      </c>
      <c r="AU491" s="783">
        <v>0.25</v>
      </c>
      <c r="AV491" s="783">
        <v>0.25</v>
      </c>
      <c r="AW491" s="783">
        <v>0.25</v>
      </c>
      <c r="AX491" s="783">
        <v>0.25</v>
      </c>
      <c r="AY491" s="881">
        <v>0.25</v>
      </c>
      <c r="AZ491" s="783">
        <v>0.25</v>
      </c>
      <c r="BA491" s="783">
        <v>0.25</v>
      </c>
      <c r="BB491" s="783">
        <v>0.25</v>
      </c>
      <c r="BC491" s="783">
        <v>0.25</v>
      </c>
      <c r="BD491" s="881">
        <v>0.25</v>
      </c>
      <c r="BE491" s="783">
        <v>0.25</v>
      </c>
      <c r="BF491" s="783">
        <v>0.25</v>
      </c>
      <c r="BG491" s="783">
        <v>0.25</v>
      </c>
      <c r="BH491" s="783">
        <v>0.25</v>
      </c>
      <c r="BI491" s="881">
        <v>0.25</v>
      </c>
      <c r="BJ491" s="783">
        <v>0.25</v>
      </c>
      <c r="BK491" s="783">
        <v>0.25</v>
      </c>
      <c r="BL491" s="783">
        <v>0.25</v>
      </c>
      <c r="BM491" s="783">
        <v>0.25</v>
      </c>
      <c r="BN491" s="881">
        <v>0.25</v>
      </c>
      <c r="BO491" s="783">
        <v>0.25</v>
      </c>
      <c r="BP491" s="783">
        <v>0.25</v>
      </c>
      <c r="BQ491" s="783">
        <v>0.25</v>
      </c>
      <c r="BR491" s="783">
        <v>0.25</v>
      </c>
      <c r="BS491" s="881">
        <v>0.25</v>
      </c>
      <c r="BT491" s="784">
        <v>0.25</v>
      </c>
      <c r="BU491" s="337"/>
      <c r="BV491" s="337"/>
      <c r="BW491" s="337"/>
      <c r="BX491" s="880"/>
      <c r="BY491" s="337"/>
      <c r="BZ491" s="337"/>
      <c r="CA491" s="337"/>
      <c r="CB491" s="337"/>
      <c r="CC491" s="880"/>
      <c r="CD491" s="880"/>
      <c r="CE491" s="880"/>
      <c r="CF491" s="880"/>
      <c r="CG491" s="69"/>
    </row>
    <row r="492" spans="1:85" s="428" customFormat="1" hidden="1" outlineLevel="1" x14ac:dyDescent="0.3">
      <c r="A492" s="492" t="s">
        <v>766</v>
      </c>
      <c r="B492" s="109"/>
      <c r="C492" s="852">
        <f>((C695+(1-C491)*C510))</f>
        <v>21695</v>
      </c>
      <c r="D492" s="852">
        <f t="shared" ref="D492:BG492" si="885">((D695+(1-D491)*D510))</f>
        <v>31315.5</v>
      </c>
      <c r="E492" s="852">
        <f t="shared" si="885"/>
        <v>38777</v>
      </c>
      <c r="F492" s="852">
        <f t="shared" si="885"/>
        <v>38449</v>
      </c>
      <c r="G492" s="22">
        <f t="shared" si="885"/>
        <v>9074</v>
      </c>
      <c r="H492" s="22">
        <f t="shared" si="885"/>
        <v>7675</v>
      </c>
      <c r="I492" s="22">
        <f t="shared" si="885"/>
        <v>9889</v>
      </c>
      <c r="J492" s="22">
        <f t="shared" si="885"/>
        <v>9695</v>
      </c>
      <c r="K492" s="852">
        <f>SUM(G492,H492,I492,J492)</f>
        <v>36333</v>
      </c>
      <c r="L492" s="22">
        <f t="shared" si="885"/>
        <v>8035</v>
      </c>
      <c r="M492" s="22">
        <f t="shared" si="885"/>
        <v>9004</v>
      </c>
      <c r="N492" s="22">
        <f t="shared" si="885"/>
        <v>8315</v>
      </c>
      <c r="O492" s="22">
        <f t="shared" si="885"/>
        <v>6661</v>
      </c>
      <c r="P492" s="852">
        <f>SUM(L492,M492,N492,O492)</f>
        <v>32015</v>
      </c>
      <c r="Q492" s="22">
        <f t="shared" si="885"/>
        <v>4304</v>
      </c>
      <c r="R492" s="22">
        <f t="shared" si="885"/>
        <v>7260</v>
      </c>
      <c r="S492" s="22">
        <f t="shared" si="885"/>
        <v>5656</v>
      </c>
      <c r="T492" s="22">
        <f t="shared" si="885"/>
        <v>4215</v>
      </c>
      <c r="U492" s="852">
        <f>SUM(Q492,R492,S492,T492)</f>
        <v>21435</v>
      </c>
      <c r="V492" s="22">
        <f t="shared" si="885"/>
        <v>2134</v>
      </c>
      <c r="W492" s="22">
        <f t="shared" si="885"/>
        <v>3688.25</v>
      </c>
      <c r="X492" s="22">
        <f t="shared" si="885"/>
        <v>4534</v>
      </c>
      <c r="Y492" s="22">
        <f t="shared" si="885"/>
        <v>3190.5</v>
      </c>
      <c r="Z492" s="852">
        <f>SUM(V492,W492,X492,Y492)</f>
        <v>13546.75</v>
      </c>
      <c r="AA492" s="22">
        <f t="shared" si="885"/>
        <v>4874.25</v>
      </c>
      <c r="AB492" s="22">
        <f t="shared" si="885"/>
        <v>5313</v>
      </c>
      <c r="AC492" s="22">
        <f t="shared" si="885"/>
        <v>4893.25</v>
      </c>
      <c r="AD492" s="22">
        <f t="shared" si="885"/>
        <v>5188.75</v>
      </c>
      <c r="AE492" s="852">
        <f>SUM(AA492,AB492,AC492,AD492)</f>
        <v>20269.25</v>
      </c>
      <c r="AF492" s="22">
        <f t="shared" si="885"/>
        <v>7266.25</v>
      </c>
      <c r="AG492" s="22">
        <f t="shared" si="885"/>
        <v>7200.75</v>
      </c>
      <c r="AH492" s="22">
        <f t="shared" si="885"/>
        <v>9300.5</v>
      </c>
      <c r="AI492" s="22">
        <f t="shared" si="885"/>
        <v>8129.5</v>
      </c>
      <c r="AJ492" s="852">
        <f>SUM(AF492,AG492,AH492,AI492)</f>
        <v>31897</v>
      </c>
      <c r="AK492" s="22">
        <f t="shared" si="885"/>
        <v>6435.75</v>
      </c>
      <c r="AL492" s="22">
        <f t="shared" si="885"/>
        <v>8000.5</v>
      </c>
      <c r="AM492" s="22">
        <f t="shared" si="885"/>
        <v>6559.75</v>
      </c>
      <c r="AN492" s="22">
        <f t="shared" si="885"/>
        <v>5422.5</v>
      </c>
      <c r="AO492" s="852">
        <f>SUM(AK492,AL492,AM492,AN492)</f>
        <v>26418.5</v>
      </c>
      <c r="AP492" s="22">
        <f t="shared" si="885"/>
        <v>5939.5</v>
      </c>
      <c r="AQ492" s="22">
        <f t="shared" si="885"/>
        <v>-514</v>
      </c>
      <c r="AR492" s="22">
        <f t="shared" si="885"/>
        <v>3308</v>
      </c>
      <c r="AS492" s="22">
        <f t="shared" si="885"/>
        <v>4018.25</v>
      </c>
      <c r="AT492" s="852">
        <f>SUM(AP492,AQ492,AR492,AS492)</f>
        <v>12751.75</v>
      </c>
      <c r="AU492" s="22">
        <f t="shared" si="885"/>
        <v>5246.5</v>
      </c>
      <c r="AV492" s="22">
        <f t="shared" si="885"/>
        <v>7222.75</v>
      </c>
      <c r="AW492" s="22">
        <f t="shared" si="885"/>
        <v>9136.5</v>
      </c>
      <c r="AX492" s="22">
        <f t="shared" si="885"/>
        <v>9476.25</v>
      </c>
      <c r="AY492" s="852">
        <f>SUM(AU492,AV492,AW492,AX492)</f>
        <v>31082</v>
      </c>
      <c r="AZ492" s="22">
        <f t="shared" si="885"/>
        <v>9094</v>
      </c>
      <c r="BA492" s="22">
        <f t="shared" si="885"/>
        <v>13346.75</v>
      </c>
      <c r="BB492" s="22">
        <f t="shared" si="885"/>
        <v>13786</v>
      </c>
      <c r="BC492" s="22">
        <f t="shared" si="885"/>
        <v>11637.25</v>
      </c>
      <c r="BD492" s="852">
        <f>SUM(AZ492,BA492,BB492,BC492)</f>
        <v>47864</v>
      </c>
      <c r="BE492" s="22">
        <f t="shared" si="885"/>
        <v>9106.25</v>
      </c>
      <c r="BF492" s="22">
        <f t="shared" si="885"/>
        <v>9520</v>
      </c>
      <c r="BG492" s="22">
        <f t="shared" si="885"/>
        <v>8991.5</v>
      </c>
      <c r="BH492" s="22">
        <f>((BH695+(1-BH491)*BH510))</f>
        <v>11528</v>
      </c>
      <c r="BI492" s="852">
        <f>SUM(BE492,BF492,BG492,BH492)</f>
        <v>39145.75</v>
      </c>
      <c r="BJ492" s="22">
        <f>((BJ695+(1-BJ491)*BJ510))</f>
        <v>8060.5</v>
      </c>
      <c r="BK492" s="22">
        <f>((BK695+(1-BK491)*BK510))</f>
        <v>8810.75</v>
      </c>
      <c r="BL492" s="22">
        <f>((BL695+(1-BL491)*BL510))</f>
        <v>8394</v>
      </c>
      <c r="BM492" s="22">
        <f>((BM695+(1-BM491)*BM510))</f>
        <v>5461.25</v>
      </c>
      <c r="BN492" s="852">
        <f>SUM(BJ492,BK492,BL492,BM492)</f>
        <v>30726.5</v>
      </c>
      <c r="BO492" s="22">
        <f>((BO695+(1-BO491)*BO510))</f>
        <v>7756</v>
      </c>
      <c r="BP492" s="22">
        <f>((BP695+(1-BP491)*BP510))</f>
        <v>8503.5</v>
      </c>
      <c r="BQ492" s="22">
        <f>((BQ695+(1-BQ491)*BQ510))</f>
        <v>10217.5</v>
      </c>
      <c r="BR492" s="22">
        <f>((BR695+(1-BR491)*BR510))</f>
        <v>9382.75</v>
      </c>
      <c r="BS492" s="852">
        <f>SUM(BO492,BP492,BQ492,BR492)</f>
        <v>35859.75</v>
      </c>
      <c r="BT492" s="648">
        <f>((BT695+(1-BT491)*BT510))</f>
        <v>7397.75</v>
      </c>
      <c r="BU492" s="37"/>
      <c r="BV492" s="37"/>
      <c r="BW492" s="37"/>
      <c r="BX492" s="821"/>
      <c r="BY492" s="37"/>
      <c r="BZ492" s="37"/>
      <c r="CA492" s="37"/>
      <c r="CB492" s="37"/>
      <c r="CC492" s="821"/>
      <c r="CD492" s="821"/>
      <c r="CE492" s="821"/>
      <c r="CF492" s="821"/>
      <c r="CG492" s="22"/>
    </row>
    <row r="493" spans="1:85" s="424" customFormat="1" collapsed="1" x14ac:dyDescent="0.3">
      <c r="A493" s="335"/>
      <c r="B493" s="339"/>
      <c r="C493" s="837"/>
      <c r="D493" s="837"/>
      <c r="E493" s="837"/>
      <c r="F493" s="837"/>
      <c r="G493" s="722"/>
      <c r="H493" s="722"/>
      <c r="I493" s="722"/>
      <c r="J493" s="722"/>
      <c r="K493" s="837"/>
      <c r="L493" s="722"/>
      <c r="M493" s="722"/>
      <c r="N493" s="722"/>
      <c r="O493" s="722"/>
      <c r="P493" s="837"/>
      <c r="Q493" s="722"/>
      <c r="R493" s="722"/>
      <c r="S493" s="722"/>
      <c r="T493" s="722"/>
      <c r="U493" s="837"/>
      <c r="V493" s="722"/>
      <c r="W493" s="722"/>
      <c r="X493" s="722"/>
      <c r="Y493" s="722"/>
      <c r="Z493" s="837"/>
      <c r="AA493" s="722"/>
      <c r="AB493" s="722"/>
      <c r="AC493" s="722"/>
      <c r="AD493" s="722"/>
      <c r="AE493" s="837"/>
      <c r="AF493" s="722"/>
      <c r="AG493" s="722"/>
      <c r="AH493" s="722"/>
      <c r="AI493" s="722"/>
      <c r="AJ493" s="837"/>
      <c r="AK493" s="722"/>
      <c r="AL493" s="722"/>
      <c r="AM493" s="722"/>
      <c r="AN493" s="722"/>
      <c r="AO493" s="837"/>
      <c r="AP493" s="722"/>
      <c r="AQ493" s="722"/>
      <c r="AR493" s="722"/>
      <c r="AS493" s="722"/>
      <c r="AT493" s="837"/>
      <c r="AU493" s="722"/>
      <c r="AV493" s="722"/>
      <c r="AW493" s="722"/>
      <c r="AX493" s="722"/>
      <c r="AY493" s="837"/>
      <c r="AZ493" s="722"/>
      <c r="BA493" s="722"/>
      <c r="BB493" s="722"/>
      <c r="BC493" s="722"/>
      <c r="BD493" s="837"/>
      <c r="BE493" s="722"/>
      <c r="BF493" s="722"/>
      <c r="BG493" s="722"/>
      <c r="BH493" s="722"/>
      <c r="BI493" s="837"/>
      <c r="BJ493" s="722"/>
      <c r="BK493" s="722"/>
      <c r="BL493" s="722"/>
      <c r="BM493" s="722"/>
      <c r="BN493" s="837"/>
      <c r="BO493" s="722"/>
      <c r="BP493" s="722"/>
      <c r="BQ493" s="722"/>
      <c r="BR493" s="722"/>
      <c r="BS493" s="837"/>
      <c r="BT493" s="723"/>
      <c r="BU493" s="722"/>
      <c r="BV493" s="722"/>
      <c r="BW493" s="722"/>
      <c r="BX493" s="837"/>
      <c r="BY493" s="722"/>
      <c r="BZ493" s="722"/>
      <c r="CA493" s="722"/>
      <c r="CB493" s="722"/>
      <c r="CC493" s="837"/>
      <c r="CD493" s="837"/>
      <c r="CE493" s="837"/>
      <c r="CF493" s="837"/>
      <c r="CG493" s="190"/>
    </row>
    <row r="494" spans="1:85" s="427" customFormat="1" x14ac:dyDescent="0.3">
      <c r="A494" s="720" t="s">
        <v>196</v>
      </c>
      <c r="B494" s="720"/>
      <c r="C494" s="720"/>
      <c r="D494" s="720"/>
      <c r="E494" s="720"/>
      <c r="F494" s="720"/>
      <c r="G494" s="720"/>
      <c r="H494" s="720"/>
      <c r="I494" s="720"/>
      <c r="J494" s="720"/>
      <c r="K494" s="720"/>
      <c r="L494" s="720"/>
      <c r="M494" s="720"/>
      <c r="N494" s="720"/>
      <c r="O494" s="720"/>
      <c r="P494" s="720"/>
      <c r="Q494" s="720"/>
      <c r="R494" s="720"/>
      <c r="S494" s="720"/>
      <c r="T494" s="720"/>
      <c r="U494" s="720"/>
      <c r="V494" s="720"/>
      <c r="W494" s="720"/>
      <c r="X494" s="720"/>
      <c r="Y494" s="720"/>
      <c r="Z494" s="720"/>
      <c r="AA494" s="720"/>
      <c r="AB494" s="720"/>
      <c r="AC494" s="720"/>
      <c r="AD494" s="720"/>
      <c r="AE494" s="720"/>
      <c r="AF494" s="720"/>
      <c r="AG494" s="720"/>
      <c r="AH494" s="720"/>
      <c r="AI494" s="720"/>
      <c r="AJ494" s="720"/>
      <c r="AK494" s="720"/>
      <c r="AL494" s="720"/>
      <c r="AM494" s="720"/>
      <c r="AN494" s="720"/>
      <c r="AO494" s="720"/>
      <c r="AP494" s="720"/>
      <c r="AQ494" s="720"/>
      <c r="AR494" s="720"/>
      <c r="AS494" s="720"/>
      <c r="AT494" s="720"/>
      <c r="AU494" s="720"/>
      <c r="AV494" s="720"/>
      <c r="AW494" s="720"/>
      <c r="AX494" s="720"/>
      <c r="AY494" s="720"/>
      <c r="AZ494" s="720"/>
      <c r="BA494" s="720"/>
      <c r="BB494" s="720"/>
      <c r="BC494" s="720"/>
      <c r="BD494" s="720"/>
      <c r="BE494" s="720"/>
      <c r="BF494" s="720"/>
      <c r="BG494" s="720"/>
      <c r="BH494" s="720"/>
      <c r="BI494" s="720"/>
      <c r="BJ494" s="720"/>
      <c r="BK494" s="720"/>
      <c r="BL494" s="720"/>
      <c r="BM494" s="720"/>
      <c r="BN494" s="720"/>
      <c r="BO494" s="720"/>
      <c r="BP494" s="720"/>
      <c r="BQ494" s="720"/>
      <c r="BR494" s="720"/>
      <c r="BS494" s="720"/>
      <c r="BT494" s="721"/>
      <c r="BU494" s="720"/>
      <c r="BV494" s="720"/>
      <c r="BW494" s="720"/>
      <c r="BX494" s="720"/>
      <c r="BY494" s="720"/>
      <c r="BZ494" s="720"/>
      <c r="CA494" s="720"/>
      <c r="CB494" s="720"/>
      <c r="CC494" s="720"/>
      <c r="CD494" s="720"/>
      <c r="CE494" s="720"/>
      <c r="CF494" s="720"/>
      <c r="CG494" s="321"/>
    </row>
    <row r="495" spans="1:85" s="428" customFormat="1" x14ac:dyDescent="0.3">
      <c r="A495" s="43" t="s">
        <v>177</v>
      </c>
      <c r="B495" s="109"/>
      <c r="C495" s="821">
        <f t="shared" ref="C495:AH495" si="886">C405</f>
        <v>167402</v>
      </c>
      <c r="D495" s="821">
        <f t="shared" si="886"/>
        <v>198198</v>
      </c>
      <c r="E495" s="821">
        <f t="shared" si="886"/>
        <v>244371</v>
      </c>
      <c r="F495" s="821">
        <f t="shared" si="886"/>
        <v>230590</v>
      </c>
      <c r="G495" s="37">
        <f t="shared" si="886"/>
        <v>54296</v>
      </c>
      <c r="H495" s="37">
        <f t="shared" si="886"/>
        <v>55307</v>
      </c>
      <c r="I495" s="37">
        <f t="shared" si="886"/>
        <v>56603</v>
      </c>
      <c r="J495" s="37">
        <f t="shared" si="886"/>
        <v>53950</v>
      </c>
      <c r="K495" s="821">
        <f t="shared" si="886"/>
        <v>220156</v>
      </c>
      <c r="L495" s="37">
        <f t="shared" si="886"/>
        <v>50978</v>
      </c>
      <c r="M495" s="37">
        <f t="shared" si="886"/>
        <v>55583</v>
      </c>
      <c r="N495" s="37">
        <f t="shared" si="886"/>
        <v>51822</v>
      </c>
      <c r="O495" s="37">
        <f t="shared" si="886"/>
        <v>42111</v>
      </c>
      <c r="P495" s="821">
        <f t="shared" si="886"/>
        <v>200494</v>
      </c>
      <c r="Q495" s="37">
        <f t="shared" si="886"/>
        <v>32315</v>
      </c>
      <c r="R495" s="37">
        <f t="shared" si="886"/>
        <v>36829</v>
      </c>
      <c r="S495" s="37">
        <f t="shared" si="886"/>
        <v>32767</v>
      </c>
      <c r="T495" s="37">
        <f t="shared" si="886"/>
        <v>28014</v>
      </c>
      <c r="U495" s="821">
        <f t="shared" si="886"/>
        <v>129925</v>
      </c>
      <c r="V495" s="37">
        <f t="shared" si="886"/>
        <v>23070</v>
      </c>
      <c r="W495" s="37">
        <f t="shared" si="886"/>
        <v>27844</v>
      </c>
      <c r="X495" s="37">
        <f t="shared" si="886"/>
        <v>29159</v>
      </c>
      <c r="Y495" s="37">
        <f t="shared" si="886"/>
        <v>30142</v>
      </c>
      <c r="Z495" s="821">
        <f t="shared" si="886"/>
        <v>110215</v>
      </c>
      <c r="AA495" s="37">
        <f t="shared" si="886"/>
        <v>31524</v>
      </c>
      <c r="AB495" s="37">
        <f t="shared" si="886"/>
        <v>32877</v>
      </c>
      <c r="AC495" s="37">
        <f t="shared" si="886"/>
        <v>33892</v>
      </c>
      <c r="AD495" s="37">
        <f t="shared" si="886"/>
        <v>36381</v>
      </c>
      <c r="AE495" s="821">
        <f t="shared" si="886"/>
        <v>134674</v>
      </c>
      <c r="AF495" s="37">
        <f t="shared" si="886"/>
        <v>35968</v>
      </c>
      <c r="AG495" s="37">
        <f t="shared" si="886"/>
        <v>40491</v>
      </c>
      <c r="AH495" s="37">
        <f t="shared" si="886"/>
        <v>42105</v>
      </c>
      <c r="AI495" s="37">
        <f t="shared" ref="AI495:BP495" si="887">AI405</f>
        <v>40338</v>
      </c>
      <c r="AJ495" s="821">
        <f t="shared" si="887"/>
        <v>158902</v>
      </c>
      <c r="AK495" s="37">
        <f t="shared" si="887"/>
        <v>34189</v>
      </c>
      <c r="AL495" s="37">
        <f t="shared" si="887"/>
        <v>36323</v>
      </c>
      <c r="AM495" s="37">
        <f t="shared" si="887"/>
        <v>34779</v>
      </c>
      <c r="AN495" s="37">
        <f t="shared" si="887"/>
        <v>34574</v>
      </c>
      <c r="AO495" s="821">
        <f t="shared" si="887"/>
        <v>139865</v>
      </c>
      <c r="AP495" s="37">
        <f t="shared" si="887"/>
        <v>29705</v>
      </c>
      <c r="AQ495" s="37">
        <f t="shared" si="887"/>
        <v>15926</v>
      </c>
      <c r="AR495" s="37">
        <f t="shared" si="887"/>
        <v>23997</v>
      </c>
      <c r="AS495" s="37">
        <f t="shared" si="887"/>
        <v>24843</v>
      </c>
      <c r="AT495" s="821">
        <f t="shared" si="887"/>
        <v>94471</v>
      </c>
      <c r="AU495" s="37">
        <f t="shared" si="887"/>
        <v>31076</v>
      </c>
      <c r="AV495" s="37">
        <f t="shared" si="887"/>
        <v>36117</v>
      </c>
      <c r="AW495" s="37">
        <f t="shared" si="887"/>
        <v>42552</v>
      </c>
      <c r="AX495" s="37">
        <f t="shared" si="887"/>
        <v>45861</v>
      </c>
      <c r="AY495" s="821">
        <f t="shared" si="887"/>
        <v>155606</v>
      </c>
      <c r="AZ495" s="37">
        <f t="shared" si="887"/>
        <v>52314</v>
      </c>
      <c r="BA495" s="37">
        <f t="shared" si="887"/>
        <v>65372</v>
      </c>
      <c r="BB495" s="37">
        <f t="shared" si="887"/>
        <v>63508</v>
      </c>
      <c r="BC495" s="37">
        <f t="shared" si="887"/>
        <v>54523</v>
      </c>
      <c r="BD495" s="821">
        <f t="shared" si="887"/>
        <v>235717</v>
      </c>
      <c r="BE495" s="37">
        <f t="shared" si="887"/>
        <v>48842</v>
      </c>
      <c r="BF495" s="37">
        <f t="shared" si="887"/>
        <v>47216</v>
      </c>
      <c r="BG495" s="37">
        <f t="shared" si="887"/>
        <v>51922</v>
      </c>
      <c r="BH495" s="37">
        <f t="shared" si="887"/>
        <v>48933</v>
      </c>
      <c r="BI495" s="821">
        <f t="shared" si="887"/>
        <v>196913</v>
      </c>
      <c r="BJ495" s="37">
        <f t="shared" si="887"/>
        <v>46580</v>
      </c>
      <c r="BK495" s="37">
        <f t="shared" si="887"/>
        <v>49574</v>
      </c>
      <c r="BL495" s="37">
        <f t="shared" si="887"/>
        <v>48926</v>
      </c>
      <c r="BM495" s="37">
        <f t="shared" si="887"/>
        <v>48334</v>
      </c>
      <c r="BN495" s="821">
        <f t="shared" si="887"/>
        <v>193414</v>
      </c>
      <c r="BO495" s="37">
        <f t="shared" si="887"/>
        <v>46101</v>
      </c>
      <c r="BP495" s="37">
        <f t="shared" si="887"/>
        <v>44375</v>
      </c>
      <c r="BQ495" s="37">
        <f>BQ405</f>
        <v>48169</v>
      </c>
      <c r="BR495" s="37">
        <f t="shared" ref="BR495:BS495" si="888">BR405</f>
        <v>45787</v>
      </c>
      <c r="BS495" s="821">
        <f t="shared" si="888"/>
        <v>184432</v>
      </c>
      <c r="BT495" s="480">
        <f>BT405</f>
        <v>47556</v>
      </c>
      <c r="BU495" s="37">
        <f>BU255+BU236+BU95</f>
        <v>58939.442499999997</v>
      </c>
      <c r="BV495" s="37">
        <f>BV255+BV236+BV95</f>
        <v>54894.09</v>
      </c>
      <c r="BW495" s="37">
        <f>BW255+BW236+BW95</f>
        <v>54052.44</v>
      </c>
      <c r="BX495" s="821">
        <f>SUM(BT495,BU495,BV495,BW495)</f>
        <v>215441.9725</v>
      </c>
      <c r="BY495" s="37">
        <f>BY255+BY236+BY95</f>
        <v>51942.324999999997</v>
      </c>
      <c r="BZ495" s="37">
        <f>BZ255+BZ236+BZ95</f>
        <v>51909.6005</v>
      </c>
      <c r="CA495" s="37">
        <f>CA255+CA236+CA95</f>
        <v>52751.601999999992</v>
      </c>
      <c r="CB495" s="37">
        <f>CB255+CB236+CB95</f>
        <v>52295.673999999999</v>
      </c>
      <c r="CC495" s="821">
        <f>SUM(BY495,BZ495,CA495,CB495)</f>
        <v>208899.2015</v>
      </c>
      <c r="CD495" s="821">
        <f>CD255+CD236+CD95</f>
        <v>192853.73499999999</v>
      </c>
      <c r="CE495" s="821">
        <f>CE255+CE236+CE95</f>
        <v>191269.7775</v>
      </c>
      <c r="CF495" s="821">
        <f>CF255+CF236+CF95</f>
        <v>189460.48249999998</v>
      </c>
      <c r="CG495" s="22"/>
    </row>
    <row r="496" spans="1:85" s="428" customFormat="1" x14ac:dyDescent="0.3">
      <c r="A496" s="43" t="s">
        <v>179</v>
      </c>
      <c r="B496" s="109"/>
      <c r="C496" s="821">
        <f t="shared" ref="C496:AH496" si="889">C407</f>
        <v>918</v>
      </c>
      <c r="D496" s="821">
        <f t="shared" si="889"/>
        <v>1093</v>
      </c>
      <c r="E496" s="821">
        <f t="shared" si="889"/>
        <v>1972</v>
      </c>
      <c r="F496" s="821">
        <f t="shared" si="889"/>
        <v>4430</v>
      </c>
      <c r="G496" s="37">
        <f t="shared" si="889"/>
        <v>238</v>
      </c>
      <c r="H496" s="37">
        <f t="shared" si="889"/>
        <v>278</v>
      </c>
      <c r="I496" s="37">
        <f t="shared" si="889"/>
        <v>265</v>
      </c>
      <c r="J496" s="37">
        <f t="shared" si="889"/>
        <v>384</v>
      </c>
      <c r="K496" s="821">
        <f t="shared" si="889"/>
        <v>1165</v>
      </c>
      <c r="L496" s="37">
        <f t="shared" si="889"/>
        <v>365</v>
      </c>
      <c r="M496" s="37">
        <f t="shared" si="889"/>
        <v>646</v>
      </c>
      <c r="N496" s="37">
        <f t="shared" si="889"/>
        <v>945</v>
      </c>
      <c r="O496" s="37">
        <f t="shared" si="889"/>
        <v>2422</v>
      </c>
      <c r="P496" s="821">
        <f t="shared" si="889"/>
        <v>4378</v>
      </c>
      <c r="Q496" s="37">
        <f t="shared" si="889"/>
        <v>842</v>
      </c>
      <c r="R496" s="37">
        <f t="shared" si="889"/>
        <v>2359</v>
      </c>
      <c r="S496" s="37">
        <f t="shared" si="889"/>
        <v>353</v>
      </c>
      <c r="T496" s="37">
        <f t="shared" si="889"/>
        <v>314</v>
      </c>
      <c r="U496" s="821">
        <f t="shared" si="889"/>
        <v>3868</v>
      </c>
      <c r="V496" s="37">
        <f t="shared" si="889"/>
        <v>-93</v>
      </c>
      <c r="W496" s="37">
        <f t="shared" si="889"/>
        <v>686</v>
      </c>
      <c r="X496" s="37">
        <f t="shared" si="889"/>
        <v>426</v>
      </c>
      <c r="Y496" s="37">
        <f t="shared" si="889"/>
        <v>577</v>
      </c>
      <c r="Z496" s="821">
        <f t="shared" si="889"/>
        <v>1596</v>
      </c>
      <c r="AA496" s="37">
        <f t="shared" si="889"/>
        <v>747</v>
      </c>
      <c r="AB496" s="37">
        <f t="shared" si="889"/>
        <v>287</v>
      </c>
      <c r="AC496" s="37">
        <f t="shared" si="889"/>
        <v>1277</v>
      </c>
      <c r="AD496" s="37">
        <f t="shared" si="889"/>
        <v>299</v>
      </c>
      <c r="AE496" s="821">
        <f t="shared" si="889"/>
        <v>2610</v>
      </c>
      <c r="AF496" s="37">
        <f t="shared" si="889"/>
        <v>159</v>
      </c>
      <c r="AG496" s="37">
        <f t="shared" si="889"/>
        <v>252</v>
      </c>
      <c r="AH496" s="37">
        <f t="shared" si="889"/>
        <v>327</v>
      </c>
      <c r="AI496" s="37">
        <f t="shared" ref="AI496:BQ496" si="890">AI407</f>
        <v>372</v>
      </c>
      <c r="AJ496" s="821">
        <f t="shared" si="890"/>
        <v>1110</v>
      </c>
      <c r="AK496" s="37">
        <f t="shared" si="890"/>
        <v>-51</v>
      </c>
      <c r="AL496" s="37">
        <f t="shared" si="890"/>
        <v>1331</v>
      </c>
      <c r="AM496" s="37">
        <f t="shared" si="890"/>
        <v>165</v>
      </c>
      <c r="AN496" s="37">
        <f t="shared" si="890"/>
        <v>1238</v>
      </c>
      <c r="AO496" s="821">
        <f t="shared" si="890"/>
        <v>2683</v>
      </c>
      <c r="AP496" s="37">
        <f t="shared" si="890"/>
        <v>831</v>
      </c>
      <c r="AQ496" s="37">
        <f t="shared" si="890"/>
        <v>83</v>
      </c>
      <c r="AR496" s="37">
        <f t="shared" si="890"/>
        <v>-56</v>
      </c>
      <c r="AS496" s="37">
        <f t="shared" si="890"/>
        <v>-165</v>
      </c>
      <c r="AT496" s="821">
        <f t="shared" si="890"/>
        <v>693</v>
      </c>
      <c r="AU496" s="37">
        <f t="shared" si="890"/>
        <v>42</v>
      </c>
      <c r="AV496" s="37">
        <f t="shared" si="890"/>
        <v>38</v>
      </c>
      <c r="AW496" s="37">
        <f t="shared" si="890"/>
        <v>511</v>
      </c>
      <c r="AX496" s="37">
        <f t="shared" si="890"/>
        <v>611</v>
      </c>
      <c r="AY496" s="821">
        <f t="shared" si="890"/>
        <v>1202</v>
      </c>
      <c r="AZ496" s="37">
        <f t="shared" si="890"/>
        <v>-26</v>
      </c>
      <c r="BA496" s="37">
        <f t="shared" si="890"/>
        <v>923</v>
      </c>
      <c r="BB496" s="37">
        <f t="shared" si="890"/>
        <v>726</v>
      </c>
      <c r="BC496" s="37">
        <f t="shared" si="890"/>
        <v>327</v>
      </c>
      <c r="BD496" s="821">
        <f t="shared" si="890"/>
        <v>1950</v>
      </c>
      <c r="BE496" s="37">
        <f t="shared" si="890"/>
        <v>363</v>
      </c>
      <c r="BF496" s="37">
        <f t="shared" si="890"/>
        <v>440</v>
      </c>
      <c r="BG496" s="37">
        <f t="shared" si="890"/>
        <v>845</v>
      </c>
      <c r="BH496" s="37">
        <f t="shared" si="890"/>
        <v>-2743</v>
      </c>
      <c r="BI496" s="821">
        <f t="shared" si="890"/>
        <v>-1095</v>
      </c>
      <c r="BJ496" s="37">
        <f t="shared" si="890"/>
        <v>695</v>
      </c>
      <c r="BK496" s="37">
        <f t="shared" si="890"/>
        <v>401</v>
      </c>
      <c r="BL496" s="37">
        <f t="shared" si="890"/>
        <v>482</v>
      </c>
      <c r="BM496" s="37">
        <f t="shared" si="890"/>
        <v>3204</v>
      </c>
      <c r="BN496" s="821">
        <f t="shared" si="890"/>
        <v>4782</v>
      </c>
      <c r="BO496" s="37">
        <f t="shared" si="890"/>
        <v>689</v>
      </c>
      <c r="BP496" s="37">
        <f t="shared" si="890"/>
        <v>-89</v>
      </c>
      <c r="BQ496" s="37">
        <f t="shared" si="890"/>
        <v>576</v>
      </c>
      <c r="BR496" s="37">
        <f t="shared" ref="BR496:BS496" si="891">BR407</f>
        <v>423</v>
      </c>
      <c r="BS496" s="821">
        <f t="shared" si="891"/>
        <v>1599</v>
      </c>
      <c r="BT496" s="480">
        <f>BT407</f>
        <v>306</v>
      </c>
      <c r="BU496" s="763">
        <v>50</v>
      </c>
      <c r="BV496" s="763">
        <v>400</v>
      </c>
      <c r="BW496" s="763">
        <v>50</v>
      </c>
      <c r="BX496" s="821">
        <f>SUM(BT496,BU496,BV496,BW496)</f>
        <v>806</v>
      </c>
      <c r="BY496" s="763">
        <v>50</v>
      </c>
      <c r="BZ496" s="763">
        <v>50</v>
      </c>
      <c r="CA496" s="763">
        <v>50</v>
      </c>
      <c r="CB496" s="763">
        <v>50</v>
      </c>
      <c r="CC496" s="821">
        <f>SUM(BY496,BZ496,CA496,CB496)</f>
        <v>200</v>
      </c>
      <c r="CD496" s="827">
        <v>200</v>
      </c>
      <c r="CE496" s="827">
        <v>200</v>
      </c>
      <c r="CF496" s="827">
        <v>200</v>
      </c>
      <c r="CG496" s="22"/>
    </row>
    <row r="497" spans="1:85" s="428" customFormat="1" x14ac:dyDescent="0.3">
      <c r="A497" s="242" t="s">
        <v>178</v>
      </c>
      <c r="B497" s="244"/>
      <c r="C497" s="822">
        <f t="shared" ref="C497:AH497" si="892">C406</f>
        <v>3316</v>
      </c>
      <c r="D497" s="822">
        <f t="shared" si="892"/>
        <v>5637</v>
      </c>
      <c r="E497" s="822">
        <f t="shared" si="892"/>
        <v>7363</v>
      </c>
      <c r="F497" s="822">
        <f t="shared" si="892"/>
        <v>6889</v>
      </c>
      <c r="G497" s="56">
        <f t="shared" si="892"/>
        <v>2284</v>
      </c>
      <c r="H497" s="56">
        <f t="shared" si="892"/>
        <v>1784</v>
      </c>
      <c r="I497" s="56">
        <f t="shared" si="892"/>
        <v>1635</v>
      </c>
      <c r="J497" s="56">
        <f t="shared" si="892"/>
        <v>1824</v>
      </c>
      <c r="K497" s="822">
        <f t="shared" si="892"/>
        <v>7527</v>
      </c>
      <c r="L497" s="56">
        <f t="shared" si="892"/>
        <v>1922</v>
      </c>
      <c r="M497" s="56">
        <f t="shared" si="892"/>
        <v>1709</v>
      </c>
      <c r="N497" s="56">
        <f t="shared" si="892"/>
        <v>1912</v>
      </c>
      <c r="O497" s="56">
        <f t="shared" si="892"/>
        <v>1555</v>
      </c>
      <c r="P497" s="822">
        <f t="shared" si="892"/>
        <v>7098</v>
      </c>
      <c r="Q497" s="56">
        <f t="shared" si="892"/>
        <v>1401</v>
      </c>
      <c r="R497" s="56">
        <f t="shared" si="892"/>
        <v>1169</v>
      </c>
      <c r="S497" s="56">
        <f t="shared" si="892"/>
        <v>1195</v>
      </c>
      <c r="T497" s="56">
        <f t="shared" si="892"/>
        <v>919</v>
      </c>
      <c r="U497" s="822">
        <f t="shared" si="892"/>
        <v>4684</v>
      </c>
      <c r="V497" s="56">
        <f t="shared" si="892"/>
        <v>576</v>
      </c>
      <c r="W497" s="56">
        <f t="shared" si="892"/>
        <v>752</v>
      </c>
      <c r="X497" s="56">
        <f t="shared" si="892"/>
        <v>555</v>
      </c>
      <c r="Y497" s="56">
        <f t="shared" si="892"/>
        <v>778</v>
      </c>
      <c r="Z497" s="822">
        <f t="shared" si="892"/>
        <v>2661</v>
      </c>
      <c r="AA497" s="56">
        <f t="shared" si="892"/>
        <v>1150</v>
      </c>
      <c r="AB497" s="56">
        <f t="shared" si="892"/>
        <v>1316</v>
      </c>
      <c r="AC497" s="56">
        <f t="shared" si="892"/>
        <v>1036</v>
      </c>
      <c r="AD497" s="56">
        <f t="shared" si="892"/>
        <v>936</v>
      </c>
      <c r="AE497" s="822">
        <f t="shared" si="892"/>
        <v>4438</v>
      </c>
      <c r="AF497" s="56">
        <f t="shared" si="892"/>
        <v>1637</v>
      </c>
      <c r="AG497" s="56">
        <f t="shared" si="892"/>
        <v>1493</v>
      </c>
      <c r="AH497" s="56">
        <f t="shared" si="892"/>
        <v>1555</v>
      </c>
      <c r="AI497" s="56">
        <f t="shared" ref="AI497:BQ497" si="893">AI406</f>
        <v>1642</v>
      </c>
      <c r="AJ497" s="822">
        <f t="shared" si="893"/>
        <v>6327</v>
      </c>
      <c r="AK497" s="56">
        <f t="shared" si="893"/>
        <v>1062</v>
      </c>
      <c r="AL497" s="56">
        <f t="shared" si="893"/>
        <v>1196</v>
      </c>
      <c r="AM497" s="56">
        <f t="shared" si="893"/>
        <v>1172</v>
      </c>
      <c r="AN497" s="56">
        <f t="shared" si="893"/>
        <v>538</v>
      </c>
      <c r="AO497" s="822">
        <f t="shared" si="893"/>
        <v>3968</v>
      </c>
      <c r="AP497" s="56">
        <f t="shared" si="893"/>
        <v>965</v>
      </c>
      <c r="AQ497" s="56">
        <f t="shared" si="893"/>
        <v>-2515</v>
      </c>
      <c r="AR497" s="56">
        <f t="shared" si="893"/>
        <v>510</v>
      </c>
      <c r="AS497" s="56">
        <f t="shared" si="893"/>
        <v>568</v>
      </c>
      <c r="AT497" s="822">
        <f t="shared" si="893"/>
        <v>-472</v>
      </c>
      <c r="AU497" s="56">
        <f t="shared" si="893"/>
        <v>911</v>
      </c>
      <c r="AV497" s="56">
        <f t="shared" si="893"/>
        <v>1442</v>
      </c>
      <c r="AW497" s="56">
        <f t="shared" si="893"/>
        <v>1647</v>
      </c>
      <c r="AX497" s="56">
        <f t="shared" si="893"/>
        <v>1657</v>
      </c>
      <c r="AY497" s="822">
        <f t="shared" si="893"/>
        <v>5657</v>
      </c>
      <c r="AZ497" s="56">
        <f t="shared" si="893"/>
        <v>2085</v>
      </c>
      <c r="BA497" s="56">
        <f t="shared" si="893"/>
        <v>2467</v>
      </c>
      <c r="BB497" s="56">
        <f t="shared" si="893"/>
        <v>2410</v>
      </c>
      <c r="BC497" s="56">
        <f t="shared" si="893"/>
        <v>1623</v>
      </c>
      <c r="BD497" s="822">
        <f t="shared" si="893"/>
        <v>8585</v>
      </c>
      <c r="BE497" s="56">
        <f t="shared" si="893"/>
        <v>1588</v>
      </c>
      <c r="BF497" s="56">
        <f t="shared" si="893"/>
        <v>1240</v>
      </c>
      <c r="BG497" s="56">
        <f t="shared" si="893"/>
        <v>1313</v>
      </c>
      <c r="BH497" s="56">
        <f t="shared" si="893"/>
        <v>990</v>
      </c>
      <c r="BI497" s="822">
        <f t="shared" si="893"/>
        <v>5131</v>
      </c>
      <c r="BJ497" s="56">
        <f t="shared" si="893"/>
        <v>1441</v>
      </c>
      <c r="BK497" s="56">
        <f t="shared" si="893"/>
        <v>1206</v>
      </c>
      <c r="BL497" s="56">
        <f t="shared" si="893"/>
        <v>1261</v>
      </c>
      <c r="BM497" s="56">
        <f t="shared" si="893"/>
        <v>688</v>
      </c>
      <c r="BN497" s="822">
        <f t="shared" si="893"/>
        <v>4596</v>
      </c>
      <c r="BO497" s="56">
        <f t="shared" si="893"/>
        <v>820</v>
      </c>
      <c r="BP497" s="56">
        <f t="shared" si="893"/>
        <v>536</v>
      </c>
      <c r="BQ497" s="56">
        <f t="shared" si="893"/>
        <v>981</v>
      </c>
      <c r="BR497" s="56">
        <f t="shared" ref="BR497:BS497" si="894">BR406</f>
        <v>663</v>
      </c>
      <c r="BS497" s="822">
        <f t="shared" si="894"/>
        <v>3000</v>
      </c>
      <c r="BT497" s="478">
        <f>BT406</f>
        <v>745</v>
      </c>
      <c r="BU497" s="765">
        <v>500</v>
      </c>
      <c r="BV497" s="765">
        <v>2000</v>
      </c>
      <c r="BW497" s="765">
        <v>500</v>
      </c>
      <c r="BX497" s="822">
        <f>SUM(BT497,BU497,BV497,BW497)</f>
        <v>3745</v>
      </c>
      <c r="BY497" s="765">
        <v>2000</v>
      </c>
      <c r="BZ497" s="765">
        <v>2000</v>
      </c>
      <c r="CA497" s="765">
        <v>2000</v>
      </c>
      <c r="CB497" s="765">
        <v>2000</v>
      </c>
      <c r="CC497" s="822">
        <f>SUM(BY497,BZ497,CA497,CB497)</f>
        <v>8000</v>
      </c>
      <c r="CD497" s="828">
        <v>8000</v>
      </c>
      <c r="CE497" s="828">
        <v>8000</v>
      </c>
      <c r="CF497" s="828">
        <v>8000</v>
      </c>
      <c r="CG497" s="22"/>
    </row>
    <row r="498" spans="1:85" s="429" customFormat="1" x14ac:dyDescent="0.3">
      <c r="A498" s="42" t="s">
        <v>197</v>
      </c>
      <c r="B498" s="99"/>
      <c r="C498" s="823">
        <f t="shared" ref="C498:AH498" si="895">SUM(C495:C497)</f>
        <v>171636</v>
      </c>
      <c r="D498" s="823">
        <f t="shared" si="895"/>
        <v>204928</v>
      </c>
      <c r="E498" s="823">
        <f t="shared" si="895"/>
        <v>253706</v>
      </c>
      <c r="F498" s="823">
        <f t="shared" si="895"/>
        <v>241909</v>
      </c>
      <c r="G498" s="393">
        <f t="shared" si="895"/>
        <v>56818</v>
      </c>
      <c r="H498" s="393">
        <f t="shared" si="895"/>
        <v>57369</v>
      </c>
      <c r="I498" s="393">
        <f t="shared" si="895"/>
        <v>58503</v>
      </c>
      <c r="J498" s="393">
        <f t="shared" si="895"/>
        <v>56158</v>
      </c>
      <c r="K498" s="823">
        <f t="shared" si="895"/>
        <v>228848</v>
      </c>
      <c r="L498" s="393">
        <f t="shared" si="895"/>
        <v>53265</v>
      </c>
      <c r="M498" s="393">
        <f t="shared" si="895"/>
        <v>57938</v>
      </c>
      <c r="N498" s="393">
        <f t="shared" si="895"/>
        <v>54679</v>
      </c>
      <c r="O498" s="393">
        <f t="shared" si="895"/>
        <v>46088</v>
      </c>
      <c r="P498" s="823">
        <f t="shared" si="895"/>
        <v>211970</v>
      </c>
      <c r="Q498" s="393">
        <f t="shared" si="895"/>
        <v>34558</v>
      </c>
      <c r="R498" s="393">
        <f t="shared" si="895"/>
        <v>40357</v>
      </c>
      <c r="S498" s="393">
        <f t="shared" si="895"/>
        <v>34315</v>
      </c>
      <c r="T498" s="393">
        <f t="shared" si="895"/>
        <v>29247</v>
      </c>
      <c r="U498" s="823">
        <f t="shared" si="895"/>
        <v>138477</v>
      </c>
      <c r="V498" s="393">
        <f t="shared" si="895"/>
        <v>23553</v>
      </c>
      <c r="W498" s="393">
        <f t="shared" si="895"/>
        <v>29282</v>
      </c>
      <c r="X498" s="393">
        <f t="shared" si="895"/>
        <v>30140</v>
      </c>
      <c r="Y498" s="393">
        <f t="shared" si="895"/>
        <v>31497</v>
      </c>
      <c r="Z498" s="823">
        <f t="shared" si="895"/>
        <v>114472</v>
      </c>
      <c r="AA498" s="393">
        <f t="shared" si="895"/>
        <v>33421</v>
      </c>
      <c r="AB498" s="393">
        <f t="shared" si="895"/>
        <v>34480</v>
      </c>
      <c r="AC498" s="393">
        <f t="shared" si="895"/>
        <v>36205</v>
      </c>
      <c r="AD498" s="393">
        <f t="shared" si="895"/>
        <v>37616</v>
      </c>
      <c r="AE498" s="823">
        <f t="shared" si="895"/>
        <v>141722</v>
      </c>
      <c r="AF498" s="393">
        <f t="shared" si="895"/>
        <v>37764</v>
      </c>
      <c r="AG498" s="393">
        <f t="shared" si="895"/>
        <v>42236</v>
      </c>
      <c r="AH498" s="393">
        <f t="shared" si="895"/>
        <v>43987</v>
      </c>
      <c r="AI498" s="393">
        <f t="shared" ref="AI498:AQ498" si="896">SUM(AI495:AI497)</f>
        <v>42352</v>
      </c>
      <c r="AJ498" s="823">
        <f t="shared" si="896"/>
        <v>166339</v>
      </c>
      <c r="AK498" s="393">
        <f t="shared" si="896"/>
        <v>35200</v>
      </c>
      <c r="AL498" s="393">
        <f t="shared" si="896"/>
        <v>38850</v>
      </c>
      <c r="AM498" s="393">
        <f t="shared" si="896"/>
        <v>36116</v>
      </c>
      <c r="AN498" s="393">
        <f t="shared" si="896"/>
        <v>36350</v>
      </c>
      <c r="AO498" s="823">
        <f t="shared" si="896"/>
        <v>146516</v>
      </c>
      <c r="AP498" s="393">
        <f t="shared" si="896"/>
        <v>31501</v>
      </c>
      <c r="AQ498" s="393">
        <f t="shared" si="896"/>
        <v>13494</v>
      </c>
      <c r="AR498" s="393">
        <f>SUM(AR495:AR497)</f>
        <v>24451</v>
      </c>
      <c r="AS498" s="393">
        <f t="shared" ref="AS498:AU498" si="897">SUM(AS495:AS497)</f>
        <v>25246</v>
      </c>
      <c r="AT498" s="823">
        <f t="shared" si="897"/>
        <v>94692</v>
      </c>
      <c r="AU498" s="393">
        <f t="shared" si="897"/>
        <v>32029</v>
      </c>
      <c r="AV498" s="393">
        <f t="shared" ref="AV498:BA498" si="898">SUM(AV495:AV497)</f>
        <v>37597</v>
      </c>
      <c r="AW498" s="393">
        <f t="shared" si="898"/>
        <v>44710</v>
      </c>
      <c r="AX498" s="393">
        <f t="shared" si="898"/>
        <v>48129</v>
      </c>
      <c r="AY498" s="823">
        <f t="shared" si="898"/>
        <v>162465</v>
      </c>
      <c r="AZ498" s="393">
        <f t="shared" si="898"/>
        <v>54373</v>
      </c>
      <c r="BA498" s="393">
        <f t="shared" si="898"/>
        <v>68762</v>
      </c>
      <c r="BB498" s="393">
        <f t="shared" ref="BB498" si="899">SUM(BB495:BB497)</f>
        <v>66644</v>
      </c>
      <c r="BC498" s="393">
        <f t="shared" ref="BC498:BD498" si="900">SUM(BC495:BC497)</f>
        <v>56473</v>
      </c>
      <c r="BD498" s="823">
        <f t="shared" si="900"/>
        <v>246252</v>
      </c>
      <c r="BE498" s="393">
        <f t="shared" ref="BE498:BI498" si="901">SUM(BE495:BE497)</f>
        <v>50793</v>
      </c>
      <c r="BF498" s="393">
        <f t="shared" si="901"/>
        <v>48896</v>
      </c>
      <c r="BG498" s="393">
        <f t="shared" si="901"/>
        <v>54080</v>
      </c>
      <c r="BH498" s="393">
        <f t="shared" si="901"/>
        <v>47180</v>
      </c>
      <c r="BI498" s="823">
        <f t="shared" si="901"/>
        <v>200949</v>
      </c>
      <c r="BJ498" s="393">
        <f t="shared" ref="BJ498:BX498" si="902">SUM(BJ495:BJ497)</f>
        <v>48716</v>
      </c>
      <c r="BK498" s="393">
        <f t="shared" si="902"/>
        <v>51181</v>
      </c>
      <c r="BL498" s="393">
        <f t="shared" si="902"/>
        <v>50669</v>
      </c>
      <c r="BM498" s="393">
        <f t="shared" si="902"/>
        <v>52226</v>
      </c>
      <c r="BN498" s="823">
        <f t="shared" si="902"/>
        <v>202792</v>
      </c>
      <c r="BO498" s="393">
        <f t="shared" ref="BO498:BW498" si="903">SUM(BO495:BO497)</f>
        <v>47610</v>
      </c>
      <c r="BP498" s="393">
        <f t="shared" si="903"/>
        <v>44822</v>
      </c>
      <c r="BQ498" s="393">
        <f t="shared" si="903"/>
        <v>49726</v>
      </c>
      <c r="BR498" s="393">
        <f t="shared" si="903"/>
        <v>46873</v>
      </c>
      <c r="BS498" s="823">
        <f t="shared" si="903"/>
        <v>189031</v>
      </c>
      <c r="BT498" s="641">
        <f>SUM(BT495:BT497)</f>
        <v>48607</v>
      </c>
      <c r="BU498" s="393">
        <f t="shared" si="903"/>
        <v>59489.442499999997</v>
      </c>
      <c r="BV498" s="393">
        <f t="shared" si="903"/>
        <v>57294.09</v>
      </c>
      <c r="BW498" s="393">
        <f t="shared" si="903"/>
        <v>54602.44</v>
      </c>
      <c r="BX498" s="823">
        <f t="shared" si="902"/>
        <v>219992.9725</v>
      </c>
      <c r="BY498" s="393">
        <f t="shared" ref="BY498:CF498" si="904">SUM(BY495:BY497)</f>
        <v>53992.324999999997</v>
      </c>
      <c r="BZ498" s="393">
        <f t="shared" si="904"/>
        <v>53959.6005</v>
      </c>
      <c r="CA498" s="393">
        <f t="shared" si="904"/>
        <v>54801.601999999992</v>
      </c>
      <c r="CB498" s="393">
        <f t="shared" si="904"/>
        <v>54345.673999999999</v>
      </c>
      <c r="CC498" s="823">
        <f t="shared" si="904"/>
        <v>217099.2015</v>
      </c>
      <c r="CD498" s="823">
        <f t="shared" si="904"/>
        <v>201053.73499999999</v>
      </c>
      <c r="CE498" s="823">
        <f t="shared" si="904"/>
        <v>199469.7775</v>
      </c>
      <c r="CF498" s="823">
        <f t="shared" si="904"/>
        <v>197660.48249999998</v>
      </c>
      <c r="CG498" s="26"/>
    </row>
    <row r="499" spans="1:85" s="428" customFormat="1" x14ac:dyDescent="0.3">
      <c r="A499" s="43" t="s">
        <v>186</v>
      </c>
      <c r="B499" s="109"/>
      <c r="C499" s="821">
        <f t="shared" ref="C499:AH499" si="905">C414</f>
        <v>17591</v>
      </c>
      <c r="D499" s="821">
        <f t="shared" si="905"/>
        <v>18191</v>
      </c>
      <c r="E499" s="821">
        <f t="shared" si="905"/>
        <v>15628</v>
      </c>
      <c r="F499" s="821">
        <f t="shared" si="905"/>
        <v>12376</v>
      </c>
      <c r="G499" s="37">
        <f t="shared" si="905"/>
        <v>3137</v>
      </c>
      <c r="H499" s="37">
        <f t="shared" si="905"/>
        <v>3349</v>
      </c>
      <c r="I499" s="37">
        <f t="shared" si="905"/>
        <v>3366</v>
      </c>
      <c r="J499" s="37">
        <f t="shared" si="905"/>
        <v>3211</v>
      </c>
      <c r="K499" s="821">
        <f t="shared" si="905"/>
        <v>13063</v>
      </c>
      <c r="L499" s="37">
        <f t="shared" si="905"/>
        <v>3019</v>
      </c>
      <c r="M499" s="37">
        <f t="shared" si="905"/>
        <v>3167</v>
      </c>
      <c r="N499" s="37">
        <f t="shared" si="905"/>
        <v>3236</v>
      </c>
      <c r="O499" s="37">
        <f t="shared" si="905"/>
        <v>3118</v>
      </c>
      <c r="P499" s="821">
        <f t="shared" si="905"/>
        <v>12540</v>
      </c>
      <c r="Q499" s="37">
        <f t="shared" si="905"/>
        <v>3118</v>
      </c>
      <c r="R499" s="37">
        <f t="shared" si="905"/>
        <v>3173</v>
      </c>
      <c r="S499" s="37">
        <f t="shared" si="905"/>
        <v>2883</v>
      </c>
      <c r="T499" s="37">
        <f t="shared" si="905"/>
        <v>2856</v>
      </c>
      <c r="U499" s="821">
        <f t="shared" si="905"/>
        <v>12030</v>
      </c>
      <c r="V499" s="37">
        <f t="shared" si="905"/>
        <v>2864</v>
      </c>
      <c r="W499" s="37">
        <f t="shared" si="905"/>
        <v>2973</v>
      </c>
      <c r="X499" s="37">
        <f t="shared" si="905"/>
        <v>2962</v>
      </c>
      <c r="Y499" s="37">
        <f t="shared" si="905"/>
        <v>2869</v>
      </c>
      <c r="Z499" s="821">
        <f t="shared" si="905"/>
        <v>11668</v>
      </c>
      <c r="AA499" s="37">
        <f t="shared" si="905"/>
        <v>2871</v>
      </c>
      <c r="AB499" s="37">
        <f t="shared" si="905"/>
        <v>3065</v>
      </c>
      <c r="AC499" s="37">
        <f t="shared" si="905"/>
        <v>3213</v>
      </c>
      <c r="AD499" s="37">
        <f t="shared" si="905"/>
        <v>3182</v>
      </c>
      <c r="AE499" s="821">
        <f t="shared" si="905"/>
        <v>12331</v>
      </c>
      <c r="AF499" s="37">
        <f t="shared" si="905"/>
        <v>1344</v>
      </c>
      <c r="AG499" s="37">
        <f t="shared" si="905"/>
        <v>1363</v>
      </c>
      <c r="AH499" s="37">
        <f t="shared" si="905"/>
        <v>1259</v>
      </c>
      <c r="AI499" s="37">
        <f t="shared" ref="AI499:BQ499" si="906">AI414</f>
        <v>901</v>
      </c>
      <c r="AJ499" s="821">
        <f t="shared" si="906"/>
        <v>4867</v>
      </c>
      <c r="AK499" s="37">
        <f t="shared" si="906"/>
        <v>1061</v>
      </c>
      <c r="AL499" s="37">
        <f t="shared" si="906"/>
        <v>1047</v>
      </c>
      <c r="AM499" s="37">
        <f t="shared" si="906"/>
        <v>1059</v>
      </c>
      <c r="AN499" s="37">
        <f t="shared" si="906"/>
        <v>969</v>
      </c>
      <c r="AO499" s="821">
        <f t="shared" si="906"/>
        <v>4136</v>
      </c>
      <c r="AP499" s="37">
        <f t="shared" si="906"/>
        <v>1167</v>
      </c>
      <c r="AQ499" s="37">
        <f t="shared" si="906"/>
        <v>965</v>
      </c>
      <c r="AR499" s="37">
        <f t="shared" si="906"/>
        <v>1091</v>
      </c>
      <c r="AS499" s="37">
        <f t="shared" si="906"/>
        <v>1276</v>
      </c>
      <c r="AT499" s="821">
        <f t="shared" si="906"/>
        <v>4499</v>
      </c>
      <c r="AU499" s="37">
        <f t="shared" si="906"/>
        <v>1420</v>
      </c>
      <c r="AV499" s="37">
        <f t="shared" si="906"/>
        <v>1566</v>
      </c>
      <c r="AW499" s="37">
        <f t="shared" si="906"/>
        <v>2075</v>
      </c>
      <c r="AX499" s="37">
        <f t="shared" si="906"/>
        <v>1779</v>
      </c>
      <c r="AY499" s="821">
        <f t="shared" si="906"/>
        <v>6840</v>
      </c>
      <c r="AZ499" s="37">
        <f t="shared" si="906"/>
        <v>2002</v>
      </c>
      <c r="BA499" s="37">
        <f t="shared" si="906"/>
        <v>1563</v>
      </c>
      <c r="BB499" s="37">
        <f t="shared" si="906"/>
        <v>1707</v>
      </c>
      <c r="BC499" s="37">
        <f t="shared" si="906"/>
        <v>-1240</v>
      </c>
      <c r="BD499" s="821">
        <f t="shared" si="906"/>
        <v>4032</v>
      </c>
      <c r="BE499" s="37">
        <f t="shared" si="906"/>
        <v>1096</v>
      </c>
      <c r="BF499" s="37">
        <f t="shared" si="906"/>
        <v>1041</v>
      </c>
      <c r="BG499" s="37">
        <f t="shared" si="906"/>
        <v>1021</v>
      </c>
      <c r="BH499" s="37">
        <f t="shared" si="906"/>
        <v>1062</v>
      </c>
      <c r="BI499" s="821">
        <f t="shared" si="906"/>
        <v>4220</v>
      </c>
      <c r="BJ499" s="37">
        <f t="shared" si="906"/>
        <v>1124</v>
      </c>
      <c r="BK499" s="37">
        <f t="shared" si="906"/>
        <v>1188</v>
      </c>
      <c r="BL499" s="37">
        <f t="shared" si="906"/>
        <v>1263</v>
      </c>
      <c r="BM499" s="37">
        <f t="shared" si="906"/>
        <v>1141</v>
      </c>
      <c r="BN499" s="821">
        <f t="shared" si="906"/>
        <v>4716</v>
      </c>
      <c r="BO499" s="37">
        <f t="shared" si="906"/>
        <v>1255</v>
      </c>
      <c r="BP499" s="37">
        <f t="shared" si="906"/>
        <v>1301</v>
      </c>
      <c r="BQ499" s="37">
        <f t="shared" si="906"/>
        <v>1347</v>
      </c>
      <c r="BR499" s="37">
        <f t="shared" ref="BR499:BS499" si="907">BR414</f>
        <v>1327</v>
      </c>
      <c r="BS499" s="821">
        <f t="shared" si="907"/>
        <v>5230</v>
      </c>
      <c r="BT499" s="480">
        <f>BT414</f>
        <v>1314</v>
      </c>
      <c r="BU499" s="37">
        <f>BU498*BU397</f>
        <v>1546.7255049999999</v>
      </c>
      <c r="BV499" s="37">
        <f>BV498*BV397</f>
        <v>1489.6463399999998</v>
      </c>
      <c r="BW499" s="37">
        <f>BW498*BW397</f>
        <v>1419.66344</v>
      </c>
      <c r="BX499" s="821">
        <f>SUM(BT499,BU499,BV499,BW499)</f>
        <v>5770.0352849999999</v>
      </c>
      <c r="BY499" s="37">
        <f>BY498*BY397</f>
        <v>1403.80045</v>
      </c>
      <c r="BZ499" s="37">
        <f>BZ498*BZ397</f>
        <v>1402.949613</v>
      </c>
      <c r="CA499" s="37">
        <f>CA498*CA397</f>
        <v>1424.8416519999996</v>
      </c>
      <c r="CB499" s="37">
        <f>CB498*CB397</f>
        <v>1412.9875239999999</v>
      </c>
      <c r="CC499" s="821">
        <f>SUM(BY499,BZ499,CA499,CB499)</f>
        <v>5644.5792389999997</v>
      </c>
      <c r="CD499" s="821">
        <f>CD498*CD397</f>
        <v>4021.0746999999997</v>
      </c>
      <c r="CE499" s="821">
        <f>CE498*CE397</f>
        <v>3989.3955500000002</v>
      </c>
      <c r="CF499" s="821">
        <f>CF498*CF397</f>
        <v>3953.2096499999998</v>
      </c>
      <c r="CG499" s="22"/>
    </row>
    <row r="500" spans="1:85" s="428" customFormat="1" x14ac:dyDescent="0.3">
      <c r="A500" s="43" t="s">
        <v>182</v>
      </c>
      <c r="B500" s="109"/>
      <c r="C500" s="821">
        <f t="shared" ref="C500:AH500" si="908">C410</f>
        <v>17857</v>
      </c>
      <c r="D500" s="821">
        <f t="shared" si="908"/>
        <v>19188</v>
      </c>
      <c r="E500" s="821">
        <f t="shared" si="908"/>
        <v>21649</v>
      </c>
      <c r="F500" s="821">
        <f t="shared" si="908"/>
        <v>22570</v>
      </c>
      <c r="G500" s="37">
        <f t="shared" si="908"/>
        <v>5762</v>
      </c>
      <c r="H500" s="37">
        <f t="shared" si="908"/>
        <v>6278</v>
      </c>
      <c r="I500" s="37">
        <f t="shared" si="908"/>
        <v>6066</v>
      </c>
      <c r="J500" s="37">
        <f t="shared" si="908"/>
        <v>6521</v>
      </c>
      <c r="K500" s="821">
        <f t="shared" si="908"/>
        <v>24627</v>
      </c>
      <c r="L500" s="37">
        <f t="shared" si="908"/>
        <v>6023</v>
      </c>
      <c r="M500" s="37">
        <f t="shared" si="908"/>
        <v>6287</v>
      </c>
      <c r="N500" s="37">
        <f t="shared" si="908"/>
        <v>6403</v>
      </c>
      <c r="O500" s="37">
        <f t="shared" si="908"/>
        <v>6572</v>
      </c>
      <c r="P500" s="821">
        <f t="shared" si="908"/>
        <v>25285</v>
      </c>
      <c r="Q500" s="37">
        <f t="shared" si="908"/>
        <v>5395</v>
      </c>
      <c r="R500" s="37">
        <f t="shared" si="908"/>
        <v>6077</v>
      </c>
      <c r="S500" s="37">
        <f t="shared" si="908"/>
        <v>5592</v>
      </c>
      <c r="T500" s="37">
        <f t="shared" si="908"/>
        <v>5970</v>
      </c>
      <c r="U500" s="821">
        <f t="shared" si="908"/>
        <v>23034</v>
      </c>
      <c r="V500" s="37">
        <f t="shared" si="908"/>
        <v>5404</v>
      </c>
      <c r="W500" s="37">
        <f t="shared" si="908"/>
        <v>5054</v>
      </c>
      <c r="X500" s="37">
        <f t="shared" si="908"/>
        <v>4666</v>
      </c>
      <c r="Y500" s="37">
        <f t="shared" si="908"/>
        <v>5144</v>
      </c>
      <c r="Z500" s="821">
        <f t="shared" si="908"/>
        <v>20268</v>
      </c>
      <c r="AA500" s="37">
        <f t="shared" si="908"/>
        <v>4656</v>
      </c>
      <c r="AB500" s="37">
        <f t="shared" si="908"/>
        <v>4662</v>
      </c>
      <c r="AC500" s="37">
        <f t="shared" si="908"/>
        <v>4937</v>
      </c>
      <c r="AD500" s="37">
        <f t="shared" si="908"/>
        <v>5182</v>
      </c>
      <c r="AE500" s="821">
        <f t="shared" si="908"/>
        <v>19437</v>
      </c>
      <c r="AF500" s="37">
        <f t="shared" si="908"/>
        <v>4701</v>
      </c>
      <c r="AG500" s="37">
        <f t="shared" si="908"/>
        <v>5213</v>
      </c>
      <c r="AH500" s="37">
        <f t="shared" si="908"/>
        <v>4985</v>
      </c>
      <c r="AI500" s="37">
        <f t="shared" ref="AI500:BQ500" si="909">AI410</f>
        <v>5645</v>
      </c>
      <c r="AJ500" s="821">
        <f t="shared" si="909"/>
        <v>20544</v>
      </c>
      <c r="AK500" s="37">
        <f t="shared" si="909"/>
        <v>4886</v>
      </c>
      <c r="AL500" s="37">
        <f t="shared" si="909"/>
        <v>5187</v>
      </c>
      <c r="AM500" s="37">
        <f t="shared" si="909"/>
        <v>5325</v>
      </c>
      <c r="AN500" s="37">
        <f t="shared" si="909"/>
        <v>5987</v>
      </c>
      <c r="AO500" s="821">
        <f t="shared" si="909"/>
        <v>21385</v>
      </c>
      <c r="AP500" s="37">
        <f t="shared" si="909"/>
        <v>5291</v>
      </c>
      <c r="AQ500" s="37">
        <f t="shared" si="909"/>
        <v>5530</v>
      </c>
      <c r="AR500" s="37">
        <f t="shared" si="909"/>
        <v>4604</v>
      </c>
      <c r="AS500" s="37">
        <f t="shared" si="909"/>
        <v>4898</v>
      </c>
      <c r="AT500" s="821">
        <f t="shared" si="909"/>
        <v>20323</v>
      </c>
      <c r="AU500" s="37">
        <f t="shared" si="909"/>
        <v>4967</v>
      </c>
      <c r="AV500" s="37">
        <f t="shared" si="909"/>
        <v>4899</v>
      </c>
      <c r="AW500" s="37">
        <f t="shared" si="909"/>
        <v>5353</v>
      </c>
      <c r="AX500" s="37">
        <f t="shared" si="909"/>
        <v>5507</v>
      </c>
      <c r="AY500" s="821">
        <f t="shared" si="909"/>
        <v>20726</v>
      </c>
      <c r="AZ500" s="37">
        <f t="shared" si="909"/>
        <v>5638</v>
      </c>
      <c r="BA500" s="37">
        <f t="shared" si="909"/>
        <v>6318</v>
      </c>
      <c r="BB500" s="37">
        <f t="shared" si="909"/>
        <v>6357</v>
      </c>
      <c r="BC500" s="37">
        <f t="shared" si="909"/>
        <v>6401</v>
      </c>
      <c r="BD500" s="821">
        <f t="shared" si="909"/>
        <v>24714</v>
      </c>
      <c r="BE500" s="37">
        <f t="shared" si="909"/>
        <v>6021</v>
      </c>
      <c r="BF500" s="37">
        <f t="shared" si="909"/>
        <v>6057</v>
      </c>
      <c r="BG500" s="37">
        <f t="shared" si="909"/>
        <v>6299</v>
      </c>
      <c r="BH500" s="37">
        <f t="shared" si="909"/>
        <v>6510</v>
      </c>
      <c r="BI500" s="821">
        <f t="shared" si="909"/>
        <v>24887</v>
      </c>
      <c r="BJ500" s="37">
        <f t="shared" si="909"/>
        <v>6533</v>
      </c>
      <c r="BK500" s="37">
        <f t="shared" si="909"/>
        <v>6614</v>
      </c>
      <c r="BL500" s="37">
        <f t="shared" si="909"/>
        <v>6695</v>
      </c>
      <c r="BM500" s="37">
        <f t="shared" si="909"/>
        <v>7622</v>
      </c>
      <c r="BN500" s="821">
        <f t="shared" si="909"/>
        <v>27464</v>
      </c>
      <c r="BO500" s="37">
        <f t="shared" si="909"/>
        <v>6408</v>
      </c>
      <c r="BP500" s="37">
        <f t="shared" si="909"/>
        <v>6674</v>
      </c>
      <c r="BQ500" s="37">
        <f t="shared" si="909"/>
        <v>7534</v>
      </c>
      <c r="BR500" s="37">
        <f t="shared" ref="BR500:BS500" si="910">BR410</f>
        <v>7389</v>
      </c>
      <c r="BS500" s="821">
        <f t="shared" si="910"/>
        <v>28005</v>
      </c>
      <c r="BT500" s="480">
        <f>BT410</f>
        <v>7676</v>
      </c>
      <c r="BU500" s="37">
        <f>BU498*BU398</f>
        <v>4759.1553999999996</v>
      </c>
      <c r="BV500" s="37">
        <f>BV498*BV398</f>
        <v>8594.1134999999995</v>
      </c>
      <c r="BW500" s="37">
        <f>BW498*BW398</f>
        <v>8190.366</v>
      </c>
      <c r="BX500" s="821">
        <f>SUM(BT500,BU500,BV500,BW500)</f>
        <v>29219.634899999997</v>
      </c>
      <c r="BY500" s="37">
        <f>BY498*BY398</f>
        <v>6479.0789999999997</v>
      </c>
      <c r="BZ500" s="37">
        <f>BZ498*BZ398</f>
        <v>5935.556055</v>
      </c>
      <c r="CA500" s="37">
        <f>CA498*CA398</f>
        <v>6028.1762199999994</v>
      </c>
      <c r="CB500" s="37">
        <f>CB498*CB398</f>
        <v>5978.0241399999995</v>
      </c>
      <c r="CC500" s="821">
        <f>SUM(BY500,BZ500,CA500,CB500)</f>
        <v>24420.835415000001</v>
      </c>
      <c r="CD500" s="821">
        <f>CD498*CD398</f>
        <v>22115.91085</v>
      </c>
      <c r="CE500" s="821">
        <f>CE498*CE398</f>
        <v>21941.675524999999</v>
      </c>
      <c r="CF500" s="821">
        <f>CF498*CF398</f>
        <v>25695.862724999999</v>
      </c>
      <c r="CG500" s="22"/>
    </row>
    <row r="501" spans="1:85" s="428" customFormat="1" x14ac:dyDescent="0.3">
      <c r="A501" s="43" t="s">
        <v>560</v>
      </c>
      <c r="B501" s="109"/>
      <c r="C501" s="821">
        <f t="shared" ref="C501:AH501" si="911">C409</f>
        <v>99653</v>
      </c>
      <c r="D501" s="821">
        <f t="shared" si="911"/>
        <v>116467</v>
      </c>
      <c r="E501" s="821">
        <f t="shared" si="911"/>
        <v>149923</v>
      </c>
      <c r="F501" s="821">
        <f t="shared" si="911"/>
        <v>140766</v>
      </c>
      <c r="G501" s="37">
        <f t="shared" si="911"/>
        <v>32910</v>
      </c>
      <c r="H501" s="37">
        <f t="shared" si="911"/>
        <v>34273</v>
      </c>
      <c r="I501" s="37">
        <f t="shared" si="911"/>
        <v>34822</v>
      </c>
      <c r="J501" s="37">
        <f t="shared" si="911"/>
        <v>32691</v>
      </c>
      <c r="K501" s="821">
        <f t="shared" si="911"/>
        <v>134696</v>
      </c>
      <c r="L501" s="37">
        <f t="shared" si="911"/>
        <v>30823</v>
      </c>
      <c r="M501" s="37">
        <f t="shared" si="911"/>
        <v>33844</v>
      </c>
      <c r="N501" s="37">
        <f t="shared" si="911"/>
        <v>30741</v>
      </c>
      <c r="O501" s="37">
        <f t="shared" si="911"/>
        <v>24263</v>
      </c>
      <c r="P501" s="821">
        <f t="shared" si="911"/>
        <v>119671</v>
      </c>
      <c r="Q501" s="37">
        <f t="shared" si="911"/>
        <v>17193</v>
      </c>
      <c r="R501" s="37">
        <f t="shared" si="911"/>
        <v>20541</v>
      </c>
      <c r="S501" s="37">
        <f t="shared" si="911"/>
        <v>17447</v>
      </c>
      <c r="T501" s="37">
        <f t="shared" si="911"/>
        <v>14570</v>
      </c>
      <c r="U501" s="821">
        <f t="shared" si="911"/>
        <v>69751</v>
      </c>
      <c r="V501" s="37">
        <f t="shared" si="911"/>
        <v>11225</v>
      </c>
      <c r="W501" s="37">
        <f t="shared" si="911"/>
        <v>15278</v>
      </c>
      <c r="X501" s="37">
        <f t="shared" si="911"/>
        <v>15842</v>
      </c>
      <c r="Y501" s="37">
        <f t="shared" si="911"/>
        <v>16976</v>
      </c>
      <c r="Z501" s="821">
        <f t="shared" si="911"/>
        <v>59321</v>
      </c>
      <c r="AA501" s="37">
        <f t="shared" si="911"/>
        <v>17506</v>
      </c>
      <c r="AB501" s="37">
        <f t="shared" si="911"/>
        <v>18325</v>
      </c>
      <c r="AC501" s="37">
        <f t="shared" si="911"/>
        <v>18776</v>
      </c>
      <c r="AD501" s="37">
        <f t="shared" si="911"/>
        <v>21158</v>
      </c>
      <c r="AE501" s="821">
        <f t="shared" si="911"/>
        <v>75765</v>
      </c>
      <c r="AF501" s="37">
        <f t="shared" si="911"/>
        <v>21233</v>
      </c>
      <c r="AG501" s="37">
        <f t="shared" si="911"/>
        <v>24744</v>
      </c>
      <c r="AH501" s="37">
        <f t="shared" si="911"/>
        <v>24681</v>
      </c>
      <c r="AI501" s="37">
        <f t="shared" ref="AI501:BQ501" si="912">AI409</f>
        <v>23920</v>
      </c>
      <c r="AJ501" s="821">
        <f t="shared" si="912"/>
        <v>94578</v>
      </c>
      <c r="AK501" s="37">
        <f t="shared" si="912"/>
        <v>19703</v>
      </c>
      <c r="AL501" s="37">
        <f t="shared" si="912"/>
        <v>20835</v>
      </c>
      <c r="AM501" s="37">
        <f t="shared" si="912"/>
        <v>19882</v>
      </c>
      <c r="AN501" s="37">
        <f t="shared" si="912"/>
        <v>19693</v>
      </c>
      <c r="AO501" s="821">
        <f t="shared" si="912"/>
        <v>80113</v>
      </c>
      <c r="AP501" s="37">
        <f t="shared" si="912"/>
        <v>15509</v>
      </c>
      <c r="AQ501" s="37">
        <f t="shared" si="912"/>
        <v>8144</v>
      </c>
      <c r="AR501" s="37">
        <f t="shared" si="912"/>
        <v>13448</v>
      </c>
      <c r="AS501" s="37">
        <f t="shared" si="912"/>
        <v>13387</v>
      </c>
      <c r="AT501" s="821">
        <f t="shared" si="912"/>
        <v>50488</v>
      </c>
      <c r="AU501" s="37">
        <f t="shared" si="912"/>
        <v>17568</v>
      </c>
      <c r="AV501" s="37">
        <f t="shared" si="912"/>
        <v>20629</v>
      </c>
      <c r="AW501" s="37">
        <f t="shared" si="912"/>
        <v>23834</v>
      </c>
      <c r="AX501" s="37">
        <f t="shared" si="912"/>
        <v>27341</v>
      </c>
      <c r="AY501" s="821">
        <f t="shared" si="912"/>
        <v>89372</v>
      </c>
      <c r="AZ501" s="37">
        <f t="shared" si="912"/>
        <v>32649</v>
      </c>
      <c r="BA501" s="37">
        <f t="shared" si="912"/>
        <v>40003</v>
      </c>
      <c r="BB501" s="37">
        <f t="shared" si="912"/>
        <v>38090</v>
      </c>
      <c r="BC501" s="37">
        <f t="shared" si="912"/>
        <v>34674</v>
      </c>
      <c r="BD501" s="821">
        <f t="shared" si="912"/>
        <v>145416</v>
      </c>
      <c r="BE501" s="37">
        <f t="shared" si="912"/>
        <v>29407</v>
      </c>
      <c r="BF501" s="37">
        <f t="shared" si="912"/>
        <v>28984</v>
      </c>
      <c r="BG501" s="37">
        <f t="shared" si="912"/>
        <v>32328</v>
      </c>
      <c r="BH501" s="37">
        <f t="shared" si="912"/>
        <v>28477</v>
      </c>
      <c r="BI501" s="821">
        <f t="shared" si="912"/>
        <v>119196</v>
      </c>
      <c r="BJ501" s="37">
        <f t="shared" si="912"/>
        <v>27741</v>
      </c>
      <c r="BK501" s="37">
        <f t="shared" si="912"/>
        <v>30867</v>
      </c>
      <c r="BL501" s="37">
        <f t="shared" si="912"/>
        <v>30450</v>
      </c>
      <c r="BM501" s="37">
        <f t="shared" si="912"/>
        <v>30148</v>
      </c>
      <c r="BN501" s="821">
        <f t="shared" si="912"/>
        <v>119206</v>
      </c>
      <c r="BO501" s="37">
        <f t="shared" si="912"/>
        <v>28610</v>
      </c>
      <c r="BP501" s="37">
        <f t="shared" si="912"/>
        <v>26858</v>
      </c>
      <c r="BQ501" s="37">
        <f t="shared" si="912"/>
        <v>27398</v>
      </c>
      <c r="BR501" s="37">
        <f t="shared" ref="BR501:BS501" si="913">BR409</f>
        <v>25348</v>
      </c>
      <c r="BS501" s="821">
        <f t="shared" si="913"/>
        <v>108214</v>
      </c>
      <c r="BT501" s="480">
        <f>BT409</f>
        <v>28265</v>
      </c>
      <c r="BU501" s="37">
        <f>BU399*BU498</f>
        <v>32124.29895</v>
      </c>
      <c r="BV501" s="37">
        <f>BV399*BV498</f>
        <v>30938.8086</v>
      </c>
      <c r="BW501" s="37">
        <f>BW399*BW498</f>
        <v>29485.317600000002</v>
      </c>
      <c r="BX501" s="821">
        <f>SUM(BT501,BU501,BV501,BW501)</f>
        <v>120813.42515</v>
      </c>
      <c r="BY501" s="37">
        <f>BY399*BY498</f>
        <v>29155.855500000001</v>
      </c>
      <c r="BZ501" s="37">
        <f>BZ399*BZ498</f>
        <v>29138.184270000002</v>
      </c>
      <c r="CA501" s="37">
        <f>CA399*CA498</f>
        <v>29592.865079999996</v>
      </c>
      <c r="CB501" s="37">
        <f>CB399*CB498</f>
        <v>29346.663960000002</v>
      </c>
      <c r="CC501" s="821">
        <f>SUM(BY501,BZ501,CA501,CB501)</f>
        <v>117233.56881</v>
      </c>
      <c r="CD501" s="821">
        <f>CD399*CD498</f>
        <v>106558.47955</v>
      </c>
      <c r="CE501" s="821">
        <f>CE399*CE498</f>
        <v>109708.37762500001</v>
      </c>
      <c r="CF501" s="821">
        <f>CF399*CF498</f>
        <v>108713.265375</v>
      </c>
      <c r="CG501" s="22"/>
    </row>
    <row r="502" spans="1:85" s="428" customFormat="1" x14ac:dyDescent="0.3">
      <c r="A502" s="242" t="s">
        <v>198</v>
      </c>
      <c r="B502" s="244"/>
      <c r="C502" s="822">
        <f t="shared" ref="C502:AH502" si="914">C411+C416</f>
        <v>4527</v>
      </c>
      <c r="D502" s="822">
        <f t="shared" si="914"/>
        <v>4767</v>
      </c>
      <c r="E502" s="822">
        <f t="shared" si="914"/>
        <v>4745</v>
      </c>
      <c r="F502" s="822">
        <f t="shared" si="914"/>
        <v>4724</v>
      </c>
      <c r="G502" s="56">
        <f t="shared" si="914"/>
        <v>998</v>
      </c>
      <c r="H502" s="56">
        <f t="shared" si="914"/>
        <v>1139</v>
      </c>
      <c r="I502" s="56">
        <f t="shared" si="914"/>
        <v>1197</v>
      </c>
      <c r="J502" s="56">
        <f t="shared" si="914"/>
        <v>1176</v>
      </c>
      <c r="K502" s="822">
        <f t="shared" si="914"/>
        <v>4510</v>
      </c>
      <c r="L502" s="56">
        <f t="shared" si="914"/>
        <v>927</v>
      </c>
      <c r="M502" s="56">
        <f t="shared" si="914"/>
        <v>1077</v>
      </c>
      <c r="N502" s="56">
        <f t="shared" si="914"/>
        <v>1122</v>
      </c>
      <c r="O502" s="56">
        <f t="shared" si="914"/>
        <v>1368</v>
      </c>
      <c r="P502" s="822">
        <f t="shared" si="914"/>
        <v>4494</v>
      </c>
      <c r="Q502" s="56">
        <f t="shared" si="914"/>
        <v>944</v>
      </c>
      <c r="R502" s="56">
        <f t="shared" si="914"/>
        <v>1170</v>
      </c>
      <c r="S502" s="56">
        <f t="shared" si="914"/>
        <v>1026</v>
      </c>
      <c r="T502" s="56">
        <f t="shared" si="914"/>
        <v>1303</v>
      </c>
      <c r="U502" s="822">
        <f t="shared" si="914"/>
        <v>4443</v>
      </c>
      <c r="V502" s="56">
        <f t="shared" si="914"/>
        <v>998</v>
      </c>
      <c r="W502" s="56">
        <f t="shared" si="914"/>
        <v>1033</v>
      </c>
      <c r="X502" s="56">
        <f t="shared" si="914"/>
        <v>1109</v>
      </c>
      <c r="Y502" s="56">
        <f t="shared" si="914"/>
        <v>1544</v>
      </c>
      <c r="Z502" s="822">
        <f t="shared" si="914"/>
        <v>4684</v>
      </c>
      <c r="AA502" s="56">
        <f t="shared" si="914"/>
        <v>870</v>
      </c>
      <c r="AB502" s="56">
        <f t="shared" si="914"/>
        <v>991</v>
      </c>
      <c r="AC502" s="56">
        <f t="shared" si="914"/>
        <v>1238</v>
      </c>
      <c r="AD502" s="56">
        <f t="shared" si="914"/>
        <v>1349</v>
      </c>
      <c r="AE502" s="822">
        <f t="shared" si="914"/>
        <v>4448</v>
      </c>
      <c r="AF502" s="56">
        <f t="shared" si="914"/>
        <v>807</v>
      </c>
      <c r="AG502" s="56">
        <f t="shared" si="914"/>
        <v>1119</v>
      </c>
      <c r="AH502" s="56">
        <f t="shared" si="914"/>
        <v>1176</v>
      </c>
      <c r="AI502" s="56">
        <f t="shared" ref="AI502:BQ502" si="915">AI411+AI416</f>
        <v>1296</v>
      </c>
      <c r="AJ502" s="822">
        <f t="shared" si="915"/>
        <v>4398</v>
      </c>
      <c r="AK502" s="56">
        <f t="shared" si="915"/>
        <v>1085</v>
      </c>
      <c r="AL502" s="56">
        <f t="shared" si="915"/>
        <v>1173</v>
      </c>
      <c r="AM502" s="56">
        <f t="shared" si="915"/>
        <v>1075</v>
      </c>
      <c r="AN502" s="56">
        <f t="shared" si="915"/>
        <v>1227</v>
      </c>
      <c r="AO502" s="822">
        <f t="shared" si="915"/>
        <v>4560</v>
      </c>
      <c r="AP502" s="56">
        <f t="shared" si="915"/>
        <v>781</v>
      </c>
      <c r="AQ502" s="56">
        <f t="shared" si="915"/>
        <v>1668</v>
      </c>
      <c r="AR502" s="56">
        <f t="shared" si="915"/>
        <v>1054</v>
      </c>
      <c r="AS502" s="56">
        <f t="shared" si="915"/>
        <v>1590</v>
      </c>
      <c r="AT502" s="822">
        <f t="shared" si="915"/>
        <v>5093</v>
      </c>
      <c r="AU502" s="56">
        <f t="shared" si="915"/>
        <v>1327</v>
      </c>
      <c r="AV502" s="56">
        <f t="shared" si="915"/>
        <v>1261</v>
      </c>
      <c r="AW502" s="56">
        <f t="shared" si="915"/>
        <v>757</v>
      </c>
      <c r="AX502" s="56">
        <f t="shared" si="915"/>
        <v>1357</v>
      </c>
      <c r="AY502" s="822">
        <f t="shared" si="915"/>
        <v>4702</v>
      </c>
      <c r="AZ502" s="56">
        <f t="shared" si="915"/>
        <v>1031</v>
      </c>
      <c r="BA502" s="56">
        <f t="shared" si="915"/>
        <v>850</v>
      </c>
      <c r="BB502" s="56">
        <f t="shared" si="915"/>
        <v>1236</v>
      </c>
      <c r="BC502" s="56">
        <f t="shared" si="915"/>
        <v>1490</v>
      </c>
      <c r="BD502" s="822">
        <f t="shared" si="915"/>
        <v>4607</v>
      </c>
      <c r="BE502" s="56">
        <f t="shared" si="915"/>
        <v>919</v>
      </c>
      <c r="BF502" s="56">
        <f t="shared" si="915"/>
        <v>1167</v>
      </c>
      <c r="BG502" s="56">
        <f t="shared" si="915"/>
        <v>1254</v>
      </c>
      <c r="BH502" s="56">
        <f t="shared" si="915"/>
        <v>1013</v>
      </c>
      <c r="BI502" s="822">
        <f t="shared" si="915"/>
        <v>4353</v>
      </c>
      <c r="BJ502" s="56">
        <f t="shared" si="915"/>
        <v>1058</v>
      </c>
      <c r="BK502" s="56">
        <f t="shared" si="915"/>
        <v>1096</v>
      </c>
      <c r="BL502" s="56">
        <f t="shared" si="915"/>
        <v>1240</v>
      </c>
      <c r="BM502" s="56">
        <f t="shared" si="915"/>
        <v>1635</v>
      </c>
      <c r="BN502" s="822">
        <f t="shared" si="915"/>
        <v>5029</v>
      </c>
      <c r="BO502" s="56">
        <f t="shared" si="915"/>
        <v>1232</v>
      </c>
      <c r="BP502" s="56">
        <f t="shared" si="915"/>
        <v>972</v>
      </c>
      <c r="BQ502" s="56">
        <f t="shared" si="915"/>
        <v>1594</v>
      </c>
      <c r="BR502" s="56">
        <f t="shared" ref="BR502:BS502" si="916">BR411+BR416</f>
        <v>1641</v>
      </c>
      <c r="BS502" s="822">
        <f t="shared" si="916"/>
        <v>5439</v>
      </c>
      <c r="BT502" s="478">
        <f>BT411+BT416</f>
        <v>1048</v>
      </c>
      <c r="BU502" s="56">
        <f>BU498*BU400</f>
        <v>594.89442499999996</v>
      </c>
      <c r="BV502" s="56">
        <f>BV498*BV400</f>
        <v>572.94089999999994</v>
      </c>
      <c r="BW502" s="56">
        <f>BW498*BW400</f>
        <v>546.02440000000001</v>
      </c>
      <c r="BX502" s="822">
        <f>SUM(BT502,BU502,BV502,BW502)</f>
        <v>2761.8597250000003</v>
      </c>
      <c r="BY502" s="56">
        <f>BY498*BY400</f>
        <v>539.92324999999994</v>
      </c>
      <c r="BZ502" s="56">
        <f>BZ498*BZ400</f>
        <v>539.59600499999999</v>
      </c>
      <c r="CA502" s="56">
        <f>CA498*CA400</f>
        <v>548.01601999999991</v>
      </c>
      <c r="CB502" s="56">
        <f>CB498*CB400</f>
        <v>543.45673999999997</v>
      </c>
      <c r="CC502" s="822">
        <f>SUM(BY502,BZ502,CA502,CB502)</f>
        <v>2170.9920149999998</v>
      </c>
      <c r="CD502" s="822">
        <f>CD498*CD400</f>
        <v>2010.5373499999998</v>
      </c>
      <c r="CE502" s="822">
        <f>CE498*CE400</f>
        <v>1994.6977750000001</v>
      </c>
      <c r="CF502" s="822">
        <f>CF498*CF400</f>
        <v>3953.2096499999998</v>
      </c>
      <c r="CG502" s="22"/>
    </row>
    <row r="503" spans="1:85" s="429" customFormat="1" x14ac:dyDescent="0.3">
      <c r="A503" s="42" t="s">
        <v>199</v>
      </c>
      <c r="B503" s="99"/>
      <c r="C503" s="823">
        <f t="shared" ref="C503:AH503" si="917">C498-C499-C500-C501-C502</f>
        <v>32008</v>
      </c>
      <c r="D503" s="823">
        <f t="shared" si="917"/>
        <v>46315</v>
      </c>
      <c r="E503" s="823">
        <f t="shared" si="917"/>
        <v>61761</v>
      </c>
      <c r="F503" s="823">
        <f t="shared" si="917"/>
        <v>61473</v>
      </c>
      <c r="G503" s="393">
        <f t="shared" si="917"/>
        <v>14011</v>
      </c>
      <c r="H503" s="393">
        <f t="shared" si="917"/>
        <v>12330</v>
      </c>
      <c r="I503" s="393">
        <f t="shared" si="917"/>
        <v>13052</v>
      </c>
      <c r="J503" s="393">
        <f t="shared" si="917"/>
        <v>12559</v>
      </c>
      <c r="K503" s="823">
        <f t="shared" si="917"/>
        <v>51952</v>
      </c>
      <c r="L503" s="393">
        <f t="shared" si="917"/>
        <v>12473</v>
      </c>
      <c r="M503" s="393">
        <f t="shared" si="917"/>
        <v>13563</v>
      </c>
      <c r="N503" s="393">
        <f t="shared" si="917"/>
        <v>13177</v>
      </c>
      <c r="O503" s="393">
        <f t="shared" si="917"/>
        <v>10767</v>
      </c>
      <c r="P503" s="823">
        <f t="shared" si="917"/>
        <v>49980</v>
      </c>
      <c r="Q503" s="393">
        <f t="shared" si="917"/>
        <v>7908</v>
      </c>
      <c r="R503" s="393">
        <f t="shared" si="917"/>
        <v>9396</v>
      </c>
      <c r="S503" s="393">
        <f t="shared" si="917"/>
        <v>7367</v>
      </c>
      <c r="T503" s="393">
        <f t="shared" si="917"/>
        <v>4548</v>
      </c>
      <c r="U503" s="823">
        <f t="shared" si="917"/>
        <v>29219</v>
      </c>
      <c r="V503" s="393">
        <f t="shared" si="917"/>
        <v>3062</v>
      </c>
      <c r="W503" s="393">
        <f t="shared" si="917"/>
        <v>4944</v>
      </c>
      <c r="X503" s="393">
        <f t="shared" si="917"/>
        <v>5561</v>
      </c>
      <c r="Y503" s="393">
        <f t="shared" si="917"/>
        <v>4964</v>
      </c>
      <c r="Z503" s="823">
        <f t="shared" si="917"/>
        <v>18531</v>
      </c>
      <c r="AA503" s="393">
        <f t="shared" si="917"/>
        <v>7518</v>
      </c>
      <c r="AB503" s="393">
        <f t="shared" si="917"/>
        <v>7437</v>
      </c>
      <c r="AC503" s="393">
        <f t="shared" si="917"/>
        <v>8041</v>
      </c>
      <c r="AD503" s="393">
        <f t="shared" si="917"/>
        <v>6745</v>
      </c>
      <c r="AE503" s="823">
        <f t="shared" si="917"/>
        <v>29741</v>
      </c>
      <c r="AF503" s="393">
        <f t="shared" si="917"/>
        <v>9679</v>
      </c>
      <c r="AG503" s="393">
        <f t="shared" si="917"/>
        <v>9797</v>
      </c>
      <c r="AH503" s="393">
        <f t="shared" si="917"/>
        <v>11886</v>
      </c>
      <c r="AI503" s="393">
        <f t="shared" ref="AI503:AQ503" si="918">AI498-AI499-AI500-AI501-AI502</f>
        <v>10590</v>
      </c>
      <c r="AJ503" s="823">
        <f t="shared" si="918"/>
        <v>41952</v>
      </c>
      <c r="AK503" s="393">
        <f t="shared" si="918"/>
        <v>8465</v>
      </c>
      <c r="AL503" s="393">
        <f t="shared" si="918"/>
        <v>10608</v>
      </c>
      <c r="AM503" s="393">
        <f t="shared" si="918"/>
        <v>8775</v>
      </c>
      <c r="AN503" s="393">
        <f t="shared" si="918"/>
        <v>8474</v>
      </c>
      <c r="AO503" s="823">
        <f t="shared" si="918"/>
        <v>36322</v>
      </c>
      <c r="AP503" s="393">
        <f t="shared" si="918"/>
        <v>8753</v>
      </c>
      <c r="AQ503" s="393">
        <f t="shared" si="918"/>
        <v>-2813</v>
      </c>
      <c r="AR503" s="393">
        <f>AR498-AR499-AR500-AR501-AR502</f>
        <v>4254</v>
      </c>
      <c r="AS503" s="393">
        <f t="shared" ref="AS503:AU503" si="919">AS498-AS499-AS500-AS501-AS502</f>
        <v>4095</v>
      </c>
      <c r="AT503" s="823">
        <f t="shared" si="919"/>
        <v>14289</v>
      </c>
      <c r="AU503" s="393">
        <f t="shared" si="919"/>
        <v>6747</v>
      </c>
      <c r="AV503" s="393">
        <f t="shared" ref="AV503:BA503" si="920">AV498-AV499-AV500-AV501-AV502</f>
        <v>9242</v>
      </c>
      <c r="AW503" s="393">
        <f t="shared" si="920"/>
        <v>12691</v>
      </c>
      <c r="AX503" s="393">
        <f t="shared" si="920"/>
        <v>12145</v>
      </c>
      <c r="AY503" s="823">
        <f t="shared" si="920"/>
        <v>40825</v>
      </c>
      <c r="AZ503" s="393">
        <f t="shared" si="920"/>
        <v>13053</v>
      </c>
      <c r="BA503" s="393">
        <f t="shared" si="920"/>
        <v>20028</v>
      </c>
      <c r="BB503" s="393">
        <f t="shared" ref="BB503" si="921">BB498-BB499-BB500-BB501-BB502</f>
        <v>19254</v>
      </c>
      <c r="BC503" s="393">
        <f t="shared" ref="BC503:BD503" si="922">BC498-BC499-BC500-BC501-BC502</f>
        <v>15148</v>
      </c>
      <c r="BD503" s="823">
        <f t="shared" si="922"/>
        <v>67483</v>
      </c>
      <c r="BE503" s="393">
        <f t="shared" ref="BE503:BI503" si="923">BE498-BE499-BE500-BE501-BE502</f>
        <v>13350</v>
      </c>
      <c r="BF503" s="393">
        <f t="shared" si="923"/>
        <v>11647</v>
      </c>
      <c r="BG503" s="393">
        <f t="shared" si="923"/>
        <v>13178</v>
      </c>
      <c r="BH503" s="393">
        <f t="shared" si="923"/>
        <v>10118</v>
      </c>
      <c r="BI503" s="823">
        <f t="shared" si="923"/>
        <v>48293</v>
      </c>
      <c r="BJ503" s="393">
        <f t="shared" ref="BJ503:BX503" si="924">BJ498-BJ499-BJ500-BJ501-BJ502</f>
        <v>12260</v>
      </c>
      <c r="BK503" s="393">
        <f t="shared" si="924"/>
        <v>11416</v>
      </c>
      <c r="BL503" s="393">
        <f t="shared" si="924"/>
        <v>11021</v>
      </c>
      <c r="BM503" s="393">
        <f t="shared" si="924"/>
        <v>11680</v>
      </c>
      <c r="BN503" s="823">
        <f t="shared" si="924"/>
        <v>46377</v>
      </c>
      <c r="BO503" s="393">
        <f t="shared" ref="BO503:BW503" si="925">BO498-BO499-BO500-BO501-BO502</f>
        <v>10105</v>
      </c>
      <c r="BP503" s="393">
        <f t="shared" si="925"/>
        <v>9017</v>
      </c>
      <c r="BQ503" s="393">
        <f t="shared" si="925"/>
        <v>11853</v>
      </c>
      <c r="BR503" s="393">
        <f t="shared" si="925"/>
        <v>11168</v>
      </c>
      <c r="BS503" s="823">
        <f t="shared" si="925"/>
        <v>42143</v>
      </c>
      <c r="BT503" s="641">
        <f>BT498-BT499-BT500-BT501-BT502</f>
        <v>10304</v>
      </c>
      <c r="BU503" s="393">
        <f t="shared" si="925"/>
        <v>20464.368219999993</v>
      </c>
      <c r="BV503" s="393">
        <f t="shared" si="925"/>
        <v>15698.580659999998</v>
      </c>
      <c r="BW503" s="393">
        <f t="shared" si="925"/>
        <v>14961.068560000002</v>
      </c>
      <c r="BX503" s="823">
        <f t="shared" si="924"/>
        <v>61428.017440000011</v>
      </c>
      <c r="BY503" s="393">
        <f t="shared" ref="BY503:CF503" si="926">BY498-BY499-BY500-BY501-BY502</f>
        <v>16413.666799999995</v>
      </c>
      <c r="BZ503" s="393">
        <f t="shared" si="926"/>
        <v>16943.314557000002</v>
      </c>
      <c r="CA503" s="393">
        <f t="shared" si="926"/>
        <v>17207.703027999993</v>
      </c>
      <c r="CB503" s="393">
        <f t="shared" si="926"/>
        <v>17064.541635999998</v>
      </c>
      <c r="CC503" s="823">
        <f t="shared" si="926"/>
        <v>67629.22602099998</v>
      </c>
      <c r="CD503" s="823">
        <f t="shared" si="926"/>
        <v>66347.732550000001</v>
      </c>
      <c r="CE503" s="823">
        <f t="shared" si="926"/>
        <v>61835.631025000002</v>
      </c>
      <c r="CF503" s="823">
        <f t="shared" si="926"/>
        <v>55344.935099999995</v>
      </c>
      <c r="CG503" s="26"/>
    </row>
    <row r="504" spans="1:85" s="429" customFormat="1" x14ac:dyDescent="0.3">
      <c r="A504" s="48" t="s">
        <v>200</v>
      </c>
      <c r="B504" s="58"/>
      <c r="C504" s="825">
        <f t="shared" ref="C504:AH504" si="927">C503</f>
        <v>32008</v>
      </c>
      <c r="D504" s="825">
        <f t="shared" si="927"/>
        <v>46315</v>
      </c>
      <c r="E504" s="825">
        <f t="shared" si="927"/>
        <v>61761</v>
      </c>
      <c r="F504" s="825">
        <f t="shared" si="927"/>
        <v>61473</v>
      </c>
      <c r="G504" s="31">
        <f t="shared" si="927"/>
        <v>14011</v>
      </c>
      <c r="H504" s="31">
        <f t="shared" si="927"/>
        <v>12330</v>
      </c>
      <c r="I504" s="31">
        <f t="shared" si="927"/>
        <v>13052</v>
      </c>
      <c r="J504" s="31">
        <f t="shared" si="927"/>
        <v>12559</v>
      </c>
      <c r="K504" s="825">
        <f t="shared" si="927"/>
        <v>51952</v>
      </c>
      <c r="L504" s="31">
        <f t="shared" si="927"/>
        <v>12473</v>
      </c>
      <c r="M504" s="31">
        <f t="shared" si="927"/>
        <v>13563</v>
      </c>
      <c r="N504" s="31">
        <f t="shared" si="927"/>
        <v>13177</v>
      </c>
      <c r="O504" s="31">
        <f t="shared" si="927"/>
        <v>10767</v>
      </c>
      <c r="P504" s="825">
        <f t="shared" si="927"/>
        <v>49980</v>
      </c>
      <c r="Q504" s="31">
        <f t="shared" si="927"/>
        <v>7908</v>
      </c>
      <c r="R504" s="31">
        <f t="shared" si="927"/>
        <v>9396</v>
      </c>
      <c r="S504" s="31">
        <f t="shared" si="927"/>
        <v>7367</v>
      </c>
      <c r="T504" s="31">
        <f t="shared" si="927"/>
        <v>4548</v>
      </c>
      <c r="U504" s="825">
        <f t="shared" si="927"/>
        <v>29219</v>
      </c>
      <c r="V504" s="31">
        <f t="shared" si="927"/>
        <v>3062</v>
      </c>
      <c r="W504" s="31">
        <f t="shared" si="927"/>
        <v>4944</v>
      </c>
      <c r="X504" s="31">
        <f t="shared" si="927"/>
        <v>5561</v>
      </c>
      <c r="Y504" s="31">
        <f t="shared" si="927"/>
        <v>4964</v>
      </c>
      <c r="Z504" s="825">
        <f t="shared" si="927"/>
        <v>18531</v>
      </c>
      <c r="AA504" s="31">
        <f t="shared" si="927"/>
        <v>7518</v>
      </c>
      <c r="AB504" s="31">
        <f t="shared" si="927"/>
        <v>7437</v>
      </c>
      <c r="AC504" s="31">
        <f t="shared" si="927"/>
        <v>8041</v>
      </c>
      <c r="AD504" s="31">
        <f t="shared" si="927"/>
        <v>6745</v>
      </c>
      <c r="AE504" s="825">
        <f t="shared" si="927"/>
        <v>29741</v>
      </c>
      <c r="AF504" s="31">
        <f t="shared" si="927"/>
        <v>9679</v>
      </c>
      <c r="AG504" s="31">
        <f t="shared" si="927"/>
        <v>9797</v>
      </c>
      <c r="AH504" s="31">
        <f t="shared" si="927"/>
        <v>11886</v>
      </c>
      <c r="AI504" s="31">
        <f t="shared" ref="AI504:AQ504" si="928">AI503</f>
        <v>10590</v>
      </c>
      <c r="AJ504" s="825">
        <f t="shared" si="928"/>
        <v>41952</v>
      </c>
      <c r="AK504" s="31">
        <f t="shared" si="928"/>
        <v>8465</v>
      </c>
      <c r="AL504" s="31">
        <f t="shared" si="928"/>
        <v>10608</v>
      </c>
      <c r="AM504" s="31">
        <f t="shared" si="928"/>
        <v>8775</v>
      </c>
      <c r="AN504" s="31">
        <f t="shared" si="928"/>
        <v>8474</v>
      </c>
      <c r="AO504" s="825">
        <f t="shared" si="928"/>
        <v>36322</v>
      </c>
      <c r="AP504" s="31">
        <f t="shared" si="928"/>
        <v>8753</v>
      </c>
      <c r="AQ504" s="31">
        <f t="shared" si="928"/>
        <v>-2813</v>
      </c>
      <c r="AR504" s="31">
        <f>AR503</f>
        <v>4254</v>
      </c>
      <c r="AS504" s="31">
        <f t="shared" ref="AS504:AU504" si="929">AS503</f>
        <v>4095</v>
      </c>
      <c r="AT504" s="825">
        <f t="shared" si="929"/>
        <v>14289</v>
      </c>
      <c r="AU504" s="31">
        <f t="shared" si="929"/>
        <v>6747</v>
      </c>
      <c r="AV504" s="31">
        <f t="shared" ref="AV504:BA504" si="930">AV503</f>
        <v>9242</v>
      </c>
      <c r="AW504" s="31">
        <f t="shared" si="930"/>
        <v>12691</v>
      </c>
      <c r="AX504" s="31">
        <f t="shared" si="930"/>
        <v>12145</v>
      </c>
      <c r="AY504" s="825">
        <f t="shared" si="930"/>
        <v>40825</v>
      </c>
      <c r="AZ504" s="31">
        <f t="shared" si="930"/>
        <v>13053</v>
      </c>
      <c r="BA504" s="31">
        <f t="shared" si="930"/>
        <v>20028</v>
      </c>
      <c r="BB504" s="31">
        <f t="shared" ref="BB504" si="931">BB503</f>
        <v>19254</v>
      </c>
      <c r="BC504" s="31">
        <f t="shared" ref="BC504:BD504" si="932">BC503</f>
        <v>15148</v>
      </c>
      <c r="BD504" s="825">
        <f t="shared" si="932"/>
        <v>67483</v>
      </c>
      <c r="BE504" s="31">
        <f t="shared" ref="BE504:BI504" si="933">BE503</f>
        <v>13350</v>
      </c>
      <c r="BF504" s="31">
        <f t="shared" si="933"/>
        <v>11647</v>
      </c>
      <c r="BG504" s="31">
        <f t="shared" si="933"/>
        <v>13178</v>
      </c>
      <c r="BH504" s="31">
        <f t="shared" si="933"/>
        <v>10118</v>
      </c>
      <c r="BI504" s="825">
        <f t="shared" si="933"/>
        <v>48293</v>
      </c>
      <c r="BJ504" s="31">
        <f t="shared" ref="BJ504:BX504" si="934">BJ503</f>
        <v>12260</v>
      </c>
      <c r="BK504" s="31">
        <f t="shared" si="934"/>
        <v>11416</v>
      </c>
      <c r="BL504" s="31">
        <f t="shared" si="934"/>
        <v>11021</v>
      </c>
      <c r="BM504" s="31">
        <f t="shared" si="934"/>
        <v>11680</v>
      </c>
      <c r="BN504" s="825">
        <f t="shared" si="934"/>
        <v>46377</v>
      </c>
      <c r="BO504" s="31">
        <f t="shared" ref="BO504:BW504" si="935">BO503</f>
        <v>10105</v>
      </c>
      <c r="BP504" s="31">
        <f t="shared" si="935"/>
        <v>9017</v>
      </c>
      <c r="BQ504" s="31">
        <f t="shared" si="935"/>
        <v>11853</v>
      </c>
      <c r="BR504" s="31">
        <f t="shared" si="935"/>
        <v>11168</v>
      </c>
      <c r="BS504" s="825">
        <f t="shared" si="935"/>
        <v>42143</v>
      </c>
      <c r="BT504" s="379">
        <f>BT503</f>
        <v>10304</v>
      </c>
      <c r="BU504" s="31">
        <f t="shared" si="935"/>
        <v>20464.368219999993</v>
      </c>
      <c r="BV504" s="31">
        <f t="shared" si="935"/>
        <v>15698.580659999998</v>
      </c>
      <c r="BW504" s="31">
        <f t="shared" si="935"/>
        <v>14961.068560000002</v>
      </c>
      <c r="BX504" s="825">
        <f t="shared" si="934"/>
        <v>61428.017440000011</v>
      </c>
      <c r="BY504" s="31">
        <f t="shared" ref="BY504:CF504" si="936">BY503</f>
        <v>16413.666799999995</v>
      </c>
      <c r="BZ504" s="31">
        <f t="shared" si="936"/>
        <v>16943.314557000002</v>
      </c>
      <c r="CA504" s="31">
        <f t="shared" si="936"/>
        <v>17207.703027999993</v>
      </c>
      <c r="CB504" s="31">
        <f t="shared" si="936"/>
        <v>17064.541635999998</v>
      </c>
      <c r="CC504" s="825">
        <f t="shared" si="936"/>
        <v>67629.22602099998</v>
      </c>
      <c r="CD504" s="825">
        <f t="shared" si="936"/>
        <v>66347.732550000001</v>
      </c>
      <c r="CE504" s="825">
        <f t="shared" si="936"/>
        <v>61835.631025000002</v>
      </c>
      <c r="CF504" s="825">
        <f t="shared" si="936"/>
        <v>55344.935099999995</v>
      </c>
      <c r="CG504" s="26"/>
    </row>
    <row r="505" spans="1:85" s="430" customFormat="1" x14ac:dyDescent="0.3">
      <c r="A505" s="87" t="str">
        <f>CONCATENATE("Consensus Estimates - ",IFERROR(LEFT(A504,FIND("(",A504)-1),A504))</f>
        <v xml:space="preserve">Consensus Estimates - Adjusted EBITDAX </v>
      </c>
      <c r="B505" s="108"/>
      <c r="C505" s="834"/>
      <c r="D505" s="834"/>
      <c r="E505" s="834"/>
      <c r="F505" s="834"/>
      <c r="G505" s="61"/>
      <c r="H505" s="61"/>
      <c r="I505" s="61"/>
      <c r="J505" s="61"/>
      <c r="K505" s="834"/>
      <c r="L505" s="61"/>
      <c r="M505" s="61"/>
      <c r="N505" s="61"/>
      <c r="O505" s="61"/>
      <c r="P505" s="834"/>
      <c r="Q505" s="61"/>
      <c r="R505" s="61"/>
      <c r="S505" s="61"/>
      <c r="T505" s="61"/>
      <c r="U505" s="834"/>
      <c r="V505" s="61"/>
      <c r="W505" s="228"/>
      <c r="X505" s="61"/>
      <c r="Y505" s="228"/>
      <c r="Z505" s="835"/>
      <c r="AA505" s="228"/>
      <c r="AB505" s="228"/>
      <c r="AC505" s="61"/>
      <c r="AD505" s="228"/>
      <c r="AE505" s="835"/>
      <c r="AF505" s="228"/>
      <c r="AG505" s="228"/>
      <c r="AH505" s="61"/>
      <c r="AI505" s="228"/>
      <c r="AJ505" s="835"/>
      <c r="AK505" s="228"/>
      <c r="AL505" s="228"/>
      <c r="AM505" s="61"/>
      <c r="AN505" s="228"/>
      <c r="AO505" s="835"/>
      <c r="AP505" s="228"/>
      <c r="AQ505" s="228"/>
      <c r="AR505" s="61"/>
      <c r="AS505" s="228"/>
      <c r="AT505" s="835"/>
      <c r="AU505" s="228"/>
      <c r="AV505" s="228"/>
      <c r="AW505" s="61"/>
      <c r="AX505" s="228"/>
      <c r="AY505" s="835"/>
      <c r="AZ505" s="228"/>
      <c r="BA505" s="228"/>
      <c r="BB505" s="61"/>
      <c r="BC505" s="228"/>
      <c r="BD505" s="835"/>
      <c r="BE505" s="228"/>
      <c r="BF505" s="228"/>
      <c r="BG505" s="61"/>
      <c r="BH505" s="228"/>
      <c r="BI505" s="835"/>
      <c r="BJ505" s="228"/>
      <c r="BK505" s="228"/>
      <c r="BL505" s="61"/>
      <c r="BM505" s="228"/>
      <c r="BN505" s="835"/>
      <c r="BO505" s="228"/>
      <c r="BP505" s="228"/>
      <c r="BQ505" s="61"/>
      <c r="BR505" s="228"/>
      <c r="BS505" s="835"/>
      <c r="BT505" s="669"/>
      <c r="BU505" s="391" t="str">
        <f t="shared" ref="BU505:CC505" ca="1" si="937">IFERROR(VLOOKUP($A$505,tb_ConsensusEstimate,MATCH(BU$5,OFFSET(tb_ConsensusEstimate,0,0,1,COLUMNS(tb_ConsensusEstimate)),0),FALSE),"-")</f>
        <v>n/a</v>
      </c>
      <c r="BV505" s="391" t="str">
        <f t="shared" ca="1" si="937"/>
        <v>n/a</v>
      </c>
      <c r="BW505" s="391" t="str">
        <f t="shared" ca="1" si="937"/>
        <v>n/a</v>
      </c>
      <c r="BX505" s="835" t="str">
        <f t="shared" ca="1" si="937"/>
        <v>n/a</v>
      </c>
      <c r="BY505" s="391" t="str">
        <f t="shared" ca="1" si="937"/>
        <v>n/a</v>
      </c>
      <c r="BZ505" s="391" t="str">
        <f t="shared" ca="1" si="937"/>
        <v>n/a</v>
      </c>
      <c r="CA505" s="391" t="str">
        <f t="shared" ca="1" si="937"/>
        <v>n/a</v>
      </c>
      <c r="CB505" s="391" t="str">
        <f t="shared" ca="1" si="937"/>
        <v>n/a</v>
      </c>
      <c r="CC505" s="835" t="str">
        <f t="shared" ca="1" si="937"/>
        <v>n/a</v>
      </c>
      <c r="CD505" s="835" t="str">
        <f ca="1">IFERROR(VLOOKUP($A505,tb_ConsensusEstimate,MATCH(CD5,OFFSET(tb_ConsensusEstimate,0,0,1,COLUMNS(tb_ConsensusEstimate)),0),FALSE),"-")</f>
        <v>n/a</v>
      </c>
      <c r="CE505" s="835" t="str">
        <f ca="1">IFERROR(VLOOKUP($A505,tb_ConsensusEstimate,MATCH(CE5,OFFSET(tb_ConsensusEstimate,0,0,1,COLUMNS(tb_ConsensusEstimate)),0),FALSE),"-")</f>
        <v>n/a</v>
      </c>
      <c r="CF505" s="835" t="str">
        <f ca="1">IFERROR(VLOOKUP($A505,tb_ConsensusEstimate,MATCH(CF5,OFFSET(tb_ConsensusEstimate,0,0,1,COLUMNS(tb_ConsensusEstimate)),0),FALSE),"-")</f>
        <v>n/a</v>
      </c>
      <c r="CG505" s="61"/>
    </row>
    <row r="506" spans="1:85" s="429" customFormat="1" x14ac:dyDescent="0.3">
      <c r="A506" s="48"/>
      <c r="B506" s="58"/>
      <c r="C506" s="825"/>
      <c r="D506" s="825"/>
      <c r="E506" s="825"/>
      <c r="F506" s="825"/>
      <c r="G506" s="31"/>
      <c r="H506" s="31"/>
      <c r="I506" s="31"/>
      <c r="J506" s="31"/>
      <c r="K506" s="825"/>
      <c r="L506" s="31"/>
      <c r="M506" s="31"/>
      <c r="N506" s="31"/>
      <c r="O506" s="31"/>
      <c r="P506" s="825"/>
      <c r="Q506" s="31"/>
      <c r="R506" s="31"/>
      <c r="S506" s="31"/>
      <c r="T506" s="31"/>
      <c r="U506" s="825"/>
      <c r="V506" s="31"/>
      <c r="W506" s="31"/>
      <c r="X506" s="31"/>
      <c r="Y506" s="31"/>
      <c r="Z506" s="825"/>
      <c r="AA506" s="31"/>
      <c r="AB506" s="31"/>
      <c r="AC506" s="31"/>
      <c r="AD506" s="31"/>
      <c r="AE506" s="825"/>
      <c r="AF506" s="31"/>
      <c r="AG506" s="31"/>
      <c r="AH506" s="31"/>
      <c r="AI506" s="31"/>
      <c r="AJ506" s="825"/>
      <c r="AK506" s="31"/>
      <c r="AL506" s="31"/>
      <c r="AM506" s="31"/>
      <c r="AN506" s="31"/>
      <c r="AO506" s="825"/>
      <c r="AP506" s="31"/>
      <c r="AQ506" s="31"/>
      <c r="AR506" s="31"/>
      <c r="AS506" s="31"/>
      <c r="AT506" s="825"/>
      <c r="AU506" s="31"/>
      <c r="AV506" s="31"/>
      <c r="AW506" s="31"/>
      <c r="AX506" s="31"/>
      <c r="AY506" s="825"/>
      <c r="AZ506" s="31"/>
      <c r="BA506" s="31"/>
      <c r="BB506" s="31"/>
      <c r="BC506" s="31"/>
      <c r="BD506" s="825"/>
      <c r="BE506" s="31"/>
      <c r="BF506" s="31"/>
      <c r="BG506" s="31"/>
      <c r="BH506" s="31"/>
      <c r="BI506" s="825"/>
      <c r="BJ506" s="31"/>
      <c r="BK506" s="31"/>
      <c r="BL506" s="31"/>
      <c r="BM506" s="31"/>
      <c r="BN506" s="825"/>
      <c r="BO506" s="31"/>
      <c r="BP506" s="31"/>
      <c r="BQ506" s="31"/>
      <c r="BR506" s="31"/>
      <c r="BS506" s="825"/>
      <c r="BT506" s="379"/>
      <c r="BU506" s="31"/>
      <c r="BV506" s="31"/>
      <c r="BW506" s="31"/>
      <c r="BX506" s="825"/>
      <c r="BY506" s="31"/>
      <c r="BZ506" s="31"/>
      <c r="CA506" s="31"/>
      <c r="CB506" s="31"/>
      <c r="CC506" s="825"/>
      <c r="CD506" s="825"/>
      <c r="CE506" s="825"/>
      <c r="CF506" s="825"/>
      <c r="CG506" s="26"/>
    </row>
    <row r="507" spans="1:85" s="428" customFormat="1" x14ac:dyDescent="0.3">
      <c r="A507" s="43" t="s">
        <v>201</v>
      </c>
      <c r="B507" s="109"/>
      <c r="C507" s="821">
        <f t="shared" ref="C507:AH507" si="938">C412</f>
        <v>1342</v>
      </c>
      <c r="D507" s="821">
        <f t="shared" si="938"/>
        <v>1147</v>
      </c>
      <c r="E507" s="821">
        <f t="shared" si="938"/>
        <v>1216</v>
      </c>
      <c r="F507" s="821">
        <f t="shared" si="938"/>
        <v>1728</v>
      </c>
      <c r="G507" s="37">
        <f t="shared" si="938"/>
        <v>247</v>
      </c>
      <c r="H507" s="37">
        <f t="shared" si="938"/>
        <v>329</v>
      </c>
      <c r="I507" s="37">
        <f t="shared" si="938"/>
        <v>559</v>
      </c>
      <c r="J507" s="37">
        <f t="shared" si="938"/>
        <v>726</v>
      </c>
      <c r="K507" s="821">
        <f t="shared" si="938"/>
        <v>1861</v>
      </c>
      <c r="L507" s="37">
        <f t="shared" si="938"/>
        <v>415</v>
      </c>
      <c r="M507" s="37">
        <f t="shared" si="938"/>
        <v>694</v>
      </c>
      <c r="N507" s="37">
        <f t="shared" si="938"/>
        <v>366</v>
      </c>
      <c r="O507" s="37">
        <f t="shared" si="938"/>
        <v>510</v>
      </c>
      <c r="P507" s="821">
        <f t="shared" si="938"/>
        <v>1985</v>
      </c>
      <c r="Q507" s="37">
        <f t="shared" si="938"/>
        <v>592</v>
      </c>
      <c r="R507" s="37">
        <f t="shared" si="938"/>
        <v>1075</v>
      </c>
      <c r="S507" s="37">
        <f t="shared" si="938"/>
        <v>315</v>
      </c>
      <c r="T507" s="37">
        <f t="shared" si="938"/>
        <v>1358</v>
      </c>
      <c r="U507" s="821">
        <f t="shared" si="938"/>
        <v>3340</v>
      </c>
      <c r="V507" s="37">
        <f t="shared" si="938"/>
        <v>370</v>
      </c>
      <c r="W507" s="37">
        <f t="shared" si="938"/>
        <v>214</v>
      </c>
      <c r="X507" s="37">
        <f t="shared" si="938"/>
        <v>258</v>
      </c>
      <c r="Y507" s="37">
        <f t="shared" si="938"/>
        <v>191</v>
      </c>
      <c r="Z507" s="821">
        <f t="shared" si="938"/>
        <v>1033</v>
      </c>
      <c r="AA507" s="37">
        <f t="shared" si="938"/>
        <v>144</v>
      </c>
      <c r="AB507" s="37">
        <f t="shared" si="938"/>
        <v>125</v>
      </c>
      <c r="AC507" s="37">
        <f t="shared" si="938"/>
        <v>239</v>
      </c>
      <c r="AD507" s="37">
        <f t="shared" si="938"/>
        <v>356</v>
      </c>
      <c r="AE507" s="821">
        <f t="shared" si="938"/>
        <v>864</v>
      </c>
      <c r="AF507" s="37">
        <f t="shared" si="938"/>
        <v>158</v>
      </c>
      <c r="AG507" s="37">
        <f t="shared" si="938"/>
        <v>177</v>
      </c>
      <c r="AH507" s="37">
        <f t="shared" si="938"/>
        <v>625</v>
      </c>
      <c r="AI507" s="37">
        <f t="shared" ref="AI507:BQ507" si="939">AI412</f>
        <v>250</v>
      </c>
      <c r="AJ507" s="821">
        <f t="shared" si="939"/>
        <v>1210</v>
      </c>
      <c r="AK507" s="37">
        <f t="shared" si="939"/>
        <v>189</v>
      </c>
      <c r="AL507" s="37">
        <f t="shared" si="939"/>
        <v>141</v>
      </c>
      <c r="AM507" s="37">
        <f t="shared" si="939"/>
        <v>168</v>
      </c>
      <c r="AN507" s="37">
        <f t="shared" si="939"/>
        <v>272</v>
      </c>
      <c r="AO507" s="821">
        <f t="shared" si="939"/>
        <v>770</v>
      </c>
      <c r="AP507" s="37">
        <f t="shared" si="939"/>
        <v>158</v>
      </c>
      <c r="AQ507" s="37">
        <f t="shared" si="939"/>
        <v>895</v>
      </c>
      <c r="AR507" s="37">
        <f t="shared" si="939"/>
        <v>117</v>
      </c>
      <c r="AS507" s="37">
        <f t="shared" si="939"/>
        <v>367</v>
      </c>
      <c r="AT507" s="821">
        <f t="shared" si="939"/>
        <v>1537</v>
      </c>
      <c r="AU507" s="37">
        <f t="shared" si="939"/>
        <v>86</v>
      </c>
      <c r="AV507" s="37">
        <f t="shared" si="939"/>
        <v>113</v>
      </c>
      <c r="AW507" s="37">
        <f t="shared" si="939"/>
        <v>158</v>
      </c>
      <c r="AX507" s="37">
        <f t="shared" si="939"/>
        <v>192</v>
      </c>
      <c r="AY507" s="821">
        <f t="shared" si="939"/>
        <v>549</v>
      </c>
      <c r="AZ507" s="37">
        <f t="shared" si="939"/>
        <v>209</v>
      </c>
      <c r="BA507" s="37">
        <f t="shared" si="939"/>
        <v>196</v>
      </c>
      <c r="BB507" s="37">
        <f t="shared" si="939"/>
        <v>116</v>
      </c>
      <c r="BC507" s="37">
        <f t="shared" si="939"/>
        <v>453</v>
      </c>
      <c r="BD507" s="821">
        <f t="shared" si="939"/>
        <v>974</v>
      </c>
      <c r="BE507" s="37">
        <f t="shared" si="939"/>
        <v>190</v>
      </c>
      <c r="BF507" s="37">
        <f t="shared" si="939"/>
        <v>169</v>
      </c>
      <c r="BG507" s="37">
        <f t="shared" si="939"/>
        <v>301</v>
      </c>
      <c r="BH507" s="37">
        <f t="shared" si="939"/>
        <v>254</v>
      </c>
      <c r="BI507" s="821">
        <f t="shared" si="939"/>
        <v>914</v>
      </c>
      <c r="BJ507" s="37">
        <f t="shared" si="939"/>
        <v>129</v>
      </c>
      <c r="BK507" s="37">
        <f t="shared" si="939"/>
        <v>263</v>
      </c>
      <c r="BL507" s="37">
        <f t="shared" si="939"/>
        <v>154</v>
      </c>
      <c r="BM507" s="37">
        <f t="shared" si="939"/>
        <v>449</v>
      </c>
      <c r="BN507" s="821">
        <f t="shared" si="939"/>
        <v>995</v>
      </c>
      <c r="BO507" s="37">
        <f t="shared" si="939"/>
        <v>187</v>
      </c>
      <c r="BP507" s="37">
        <f t="shared" si="939"/>
        <v>252</v>
      </c>
      <c r="BQ507" s="37">
        <f t="shared" si="939"/>
        <v>288</v>
      </c>
      <c r="BR507" s="37">
        <f t="shared" ref="BR507:BS507" si="940">BR412</f>
        <v>324</v>
      </c>
      <c r="BS507" s="821">
        <f t="shared" si="940"/>
        <v>1051</v>
      </c>
      <c r="BT507" s="480">
        <f>BT412</f>
        <v>205</v>
      </c>
      <c r="BU507" s="763">
        <v>200</v>
      </c>
      <c r="BV507" s="763">
        <v>200</v>
      </c>
      <c r="BW507" s="763">
        <v>200</v>
      </c>
      <c r="BX507" s="821">
        <f>SUM(BT507,BU507,BV507,BW507)</f>
        <v>805</v>
      </c>
      <c r="BY507" s="763">
        <v>600</v>
      </c>
      <c r="BZ507" s="763">
        <v>600</v>
      </c>
      <c r="CA507" s="763">
        <v>600</v>
      </c>
      <c r="CB507" s="763">
        <v>600</v>
      </c>
      <c r="CC507" s="821">
        <f>SUM(BY507,BZ507,CA507,CB507)</f>
        <v>2400</v>
      </c>
      <c r="CD507" s="827">
        <v>2400</v>
      </c>
      <c r="CE507" s="827">
        <v>2400</v>
      </c>
      <c r="CF507" s="827">
        <v>2400</v>
      </c>
      <c r="CG507" s="22"/>
    </row>
    <row r="508" spans="1:85" s="428" customFormat="1" x14ac:dyDescent="0.3">
      <c r="A508" s="43" t="s">
        <v>202</v>
      </c>
      <c r="B508" s="109"/>
      <c r="C508" s="821">
        <f t="shared" ref="C508:AH508" si="941">C413</f>
        <v>12110</v>
      </c>
      <c r="D508" s="821">
        <f t="shared" si="941"/>
        <v>13063</v>
      </c>
      <c r="E508" s="821">
        <f t="shared" si="941"/>
        <v>12911</v>
      </c>
      <c r="F508" s="821">
        <f t="shared" si="941"/>
        <v>13413</v>
      </c>
      <c r="G508" s="37">
        <f t="shared" si="941"/>
        <v>3481</v>
      </c>
      <c r="H508" s="37">
        <f t="shared" si="941"/>
        <v>3412</v>
      </c>
      <c r="I508" s="37">
        <f t="shared" si="941"/>
        <v>3658</v>
      </c>
      <c r="J508" s="37">
        <f t="shared" si="941"/>
        <v>3635</v>
      </c>
      <c r="K508" s="821">
        <f t="shared" si="941"/>
        <v>14186</v>
      </c>
      <c r="L508" s="37">
        <f t="shared" si="941"/>
        <v>4130</v>
      </c>
      <c r="M508" s="37">
        <f t="shared" si="941"/>
        <v>3842</v>
      </c>
      <c r="N508" s="37">
        <f t="shared" si="941"/>
        <v>3948</v>
      </c>
      <c r="O508" s="37">
        <f t="shared" si="941"/>
        <v>4873</v>
      </c>
      <c r="P508" s="821">
        <f t="shared" si="941"/>
        <v>16793</v>
      </c>
      <c r="Q508" s="37">
        <f t="shared" si="941"/>
        <v>4411</v>
      </c>
      <c r="R508" s="37">
        <f t="shared" si="941"/>
        <v>6958</v>
      </c>
      <c r="S508" s="37">
        <f t="shared" si="941"/>
        <v>4268</v>
      </c>
      <c r="T508" s="37">
        <f t="shared" si="941"/>
        <v>5400</v>
      </c>
      <c r="U508" s="821">
        <f t="shared" si="941"/>
        <v>21037</v>
      </c>
      <c r="V508" s="37">
        <f t="shared" si="941"/>
        <v>4403</v>
      </c>
      <c r="W508" s="37">
        <f t="shared" si="941"/>
        <v>6721</v>
      </c>
      <c r="X508" s="37">
        <f t="shared" si="941"/>
        <v>4130</v>
      </c>
      <c r="Y508" s="37">
        <f t="shared" si="941"/>
        <v>4203</v>
      </c>
      <c r="Z508" s="821">
        <f t="shared" si="941"/>
        <v>19457</v>
      </c>
      <c r="AA508" s="37">
        <f t="shared" si="941"/>
        <v>4194</v>
      </c>
      <c r="AB508" s="37">
        <f t="shared" si="941"/>
        <v>5311</v>
      </c>
      <c r="AC508" s="37">
        <f t="shared" si="941"/>
        <v>5109</v>
      </c>
      <c r="AD508" s="37">
        <f t="shared" si="941"/>
        <v>4735</v>
      </c>
      <c r="AE508" s="821">
        <f t="shared" si="941"/>
        <v>19349</v>
      </c>
      <c r="AF508" s="37">
        <f t="shared" si="941"/>
        <v>4289</v>
      </c>
      <c r="AG508" s="37">
        <f t="shared" si="941"/>
        <v>4498</v>
      </c>
      <c r="AH508" s="37">
        <f t="shared" si="941"/>
        <v>5380</v>
      </c>
      <c r="AI508" s="37">
        <f t="shared" ref="AI508:BH508" si="942">AI413</f>
        <v>5252</v>
      </c>
      <c r="AJ508" s="821">
        <f t="shared" si="942"/>
        <v>19419</v>
      </c>
      <c r="AK508" s="37">
        <f t="shared" si="942"/>
        <v>4094</v>
      </c>
      <c r="AL508" s="37">
        <f t="shared" si="942"/>
        <v>4334</v>
      </c>
      <c r="AM508" s="37">
        <f t="shared" si="942"/>
        <v>4361</v>
      </c>
      <c r="AN508" s="37">
        <f t="shared" si="942"/>
        <v>16429</v>
      </c>
      <c r="AO508" s="821">
        <f t="shared" si="942"/>
        <v>29218</v>
      </c>
      <c r="AP508" s="37">
        <f t="shared" si="942"/>
        <v>4288</v>
      </c>
      <c r="AQ508" s="37">
        <f t="shared" si="942"/>
        <v>6717</v>
      </c>
      <c r="AR508" s="37">
        <f t="shared" si="942"/>
        <v>4017</v>
      </c>
      <c r="AS508" s="37">
        <f t="shared" si="942"/>
        <v>4486</v>
      </c>
      <c r="AT508" s="821">
        <f t="shared" si="942"/>
        <v>19508</v>
      </c>
      <c r="AU508" s="37">
        <f t="shared" si="942"/>
        <v>4286</v>
      </c>
      <c r="AV508" s="37">
        <f t="shared" si="942"/>
        <v>4522</v>
      </c>
      <c r="AW508" s="37">
        <f t="shared" si="942"/>
        <v>4304</v>
      </c>
      <c r="AX508" s="37">
        <f t="shared" si="942"/>
        <v>4813</v>
      </c>
      <c r="AY508" s="821">
        <f t="shared" si="942"/>
        <v>17925</v>
      </c>
      <c r="AZ508" s="37">
        <f t="shared" si="942"/>
        <v>3654</v>
      </c>
      <c r="BA508" s="37">
        <f t="shared" si="942"/>
        <v>3700</v>
      </c>
      <c r="BB508" s="37">
        <f t="shared" si="942"/>
        <v>4201</v>
      </c>
      <c r="BC508" s="37">
        <f t="shared" si="942"/>
        <v>4764</v>
      </c>
      <c r="BD508" s="821">
        <f t="shared" si="942"/>
        <v>16319</v>
      </c>
      <c r="BE508" s="37">
        <f t="shared" si="942"/>
        <v>3526</v>
      </c>
      <c r="BF508" s="37">
        <f t="shared" si="942"/>
        <v>3521</v>
      </c>
      <c r="BG508" s="37">
        <f t="shared" si="942"/>
        <v>4025</v>
      </c>
      <c r="BH508" s="37">
        <f t="shared" si="942"/>
        <v>6254</v>
      </c>
      <c r="BI508" s="821">
        <f>SUM(BE508,BF508,BG508,BH508)</f>
        <v>17326</v>
      </c>
      <c r="BJ508" s="37">
        <f>BJ413</f>
        <v>4091</v>
      </c>
      <c r="BK508" s="37">
        <f>BK413</f>
        <v>4004</v>
      </c>
      <c r="BL508" s="37">
        <f>BL413</f>
        <v>4214</v>
      </c>
      <c r="BM508" s="37">
        <f>BM413</f>
        <v>4973</v>
      </c>
      <c r="BN508" s="821">
        <f>SUM(BJ508,BK508,BL508,BM508)</f>
        <v>17282</v>
      </c>
      <c r="BO508" s="37">
        <f>BO413</f>
        <v>4123</v>
      </c>
      <c r="BP508" s="37">
        <f>BP413</f>
        <v>4344</v>
      </c>
      <c r="BQ508" s="37">
        <f>BQ413</f>
        <v>5781</v>
      </c>
      <c r="BR508" s="22">
        <f>BR413</f>
        <v>5884</v>
      </c>
      <c r="BS508" s="821">
        <f>SUM(BO508,BP508,BQ508,BR508)</f>
        <v>20132</v>
      </c>
      <c r="BT508" s="648">
        <f>BT413</f>
        <v>5808</v>
      </c>
      <c r="BU508" s="763">
        <v>4000</v>
      </c>
      <c r="BV508" s="763">
        <v>3300</v>
      </c>
      <c r="BW508" s="763">
        <v>4000</v>
      </c>
      <c r="BX508" s="821">
        <f>SUM(BT508,BU508,BV508,BW508)</f>
        <v>17108</v>
      </c>
      <c r="BY508" s="763">
        <v>6000</v>
      </c>
      <c r="BZ508" s="763">
        <v>6500</v>
      </c>
      <c r="CA508" s="763">
        <v>6500</v>
      </c>
      <c r="CB508" s="763">
        <v>6500</v>
      </c>
      <c r="CC508" s="821">
        <f>SUM(BY508,BZ508,CA508,CB508)</f>
        <v>25500</v>
      </c>
      <c r="CD508" s="827">
        <v>26000</v>
      </c>
      <c r="CE508" s="827">
        <v>25000</v>
      </c>
      <c r="CF508" s="827">
        <v>26000</v>
      </c>
      <c r="CG508" s="22"/>
    </row>
    <row r="509" spans="1:85" s="428" customFormat="1" x14ac:dyDescent="0.3">
      <c r="A509" s="43" t="s">
        <v>574</v>
      </c>
      <c r="B509" s="109"/>
      <c r="C509" s="821"/>
      <c r="D509" s="821"/>
      <c r="E509" s="821"/>
      <c r="F509" s="821"/>
      <c r="G509" s="37"/>
      <c r="H509" s="37"/>
      <c r="I509" s="37"/>
      <c r="J509" s="37"/>
      <c r="K509" s="821"/>
      <c r="L509" s="37"/>
      <c r="M509" s="37"/>
      <c r="N509" s="37"/>
      <c r="O509" s="37"/>
      <c r="P509" s="821"/>
      <c r="Q509" s="37"/>
      <c r="R509" s="37"/>
      <c r="S509" s="37"/>
      <c r="T509" s="37"/>
      <c r="U509" s="821"/>
      <c r="V509" s="37"/>
      <c r="W509" s="37"/>
      <c r="X509" s="37"/>
      <c r="Y509" s="37"/>
      <c r="Z509" s="821"/>
      <c r="AA509" s="37"/>
      <c r="AB509" s="37"/>
      <c r="AC509" s="37"/>
      <c r="AD509" s="37"/>
      <c r="AE509" s="821"/>
      <c r="AF509" s="37"/>
      <c r="AG509" s="37"/>
      <c r="AH509" s="37"/>
      <c r="AI509" s="37"/>
      <c r="AJ509" s="821"/>
      <c r="AK509" s="37"/>
      <c r="AL509" s="37"/>
      <c r="AM509" s="37"/>
      <c r="AN509" s="37"/>
      <c r="AO509" s="821"/>
      <c r="AP509" s="37"/>
      <c r="AQ509" s="37"/>
      <c r="AR509" s="37"/>
      <c r="AS509" s="37"/>
      <c r="AT509" s="821"/>
      <c r="AU509" s="37"/>
      <c r="AV509" s="37"/>
      <c r="AW509" s="37"/>
      <c r="AX509" s="37"/>
      <c r="AY509" s="821"/>
      <c r="AZ509" s="37"/>
      <c r="BA509" s="37"/>
      <c r="BB509" s="37"/>
      <c r="BC509" s="37"/>
      <c r="BD509" s="821"/>
      <c r="BE509" s="37"/>
      <c r="BF509" s="37"/>
      <c r="BG509" s="37"/>
      <c r="BH509" s="37"/>
      <c r="BI509" s="821"/>
      <c r="BJ509" s="37"/>
      <c r="BK509" s="37"/>
      <c r="BL509" s="37"/>
      <c r="BM509" s="37"/>
      <c r="BN509" s="821"/>
      <c r="BO509" s="37"/>
      <c r="BP509" s="37"/>
      <c r="BQ509" s="37"/>
      <c r="BR509" s="37"/>
      <c r="BS509" s="821"/>
      <c r="BT509" s="480"/>
      <c r="BU509" s="37">
        <f>-BU595</f>
        <v>0</v>
      </c>
      <c r="BV509" s="37">
        <f ca="1">-BV595</f>
        <v>0</v>
      </c>
      <c r="BW509" s="37">
        <f ca="1">-BW595</f>
        <v>0</v>
      </c>
      <c r="BX509" s="821">
        <f ca="1">SUM(BT509,BU509,BV509,BW509)</f>
        <v>0</v>
      </c>
      <c r="BY509" s="37">
        <f ca="1">-BY595</f>
        <v>0</v>
      </c>
      <c r="BZ509" s="37">
        <f ca="1">-BZ595</f>
        <v>0</v>
      </c>
      <c r="CA509" s="37">
        <f ca="1">-CA595</f>
        <v>0</v>
      </c>
      <c r="CB509" s="37">
        <f ca="1">-CB595</f>
        <v>0</v>
      </c>
      <c r="CC509" s="821">
        <f ca="1">SUM(BY509,BZ509,CA509,CB509)</f>
        <v>0</v>
      </c>
      <c r="CD509" s="821">
        <f ca="1">-CD595</f>
        <v>0</v>
      </c>
      <c r="CE509" s="821">
        <f ca="1">-CE595</f>
        <v>0</v>
      </c>
      <c r="CF509" s="821">
        <f ca="1">-CF595</f>
        <v>0</v>
      </c>
      <c r="CG509" s="22"/>
    </row>
    <row r="510" spans="1:85" s="428" customFormat="1" x14ac:dyDescent="0.3">
      <c r="A510" s="43" t="s">
        <v>203</v>
      </c>
      <c r="B510" s="109"/>
      <c r="C510" s="821">
        <f t="shared" ref="C510:AH510" si="943">C415</f>
        <v>28</v>
      </c>
      <c r="D510" s="821">
        <f t="shared" si="943"/>
        <v>50</v>
      </c>
      <c r="E510" s="821">
        <f t="shared" si="943"/>
        <v>0</v>
      </c>
      <c r="F510" s="821">
        <f t="shared" si="943"/>
        <v>0</v>
      </c>
      <c r="G510" s="37">
        <f t="shared" si="943"/>
        <v>0</v>
      </c>
      <c r="H510" s="37">
        <f t="shared" si="943"/>
        <v>0</v>
      </c>
      <c r="I510" s="37">
        <f t="shared" si="943"/>
        <v>0</v>
      </c>
      <c r="J510" s="37">
        <f t="shared" si="943"/>
        <v>0</v>
      </c>
      <c r="K510" s="821">
        <f t="shared" si="943"/>
        <v>0</v>
      </c>
      <c r="L510" s="37">
        <f t="shared" si="943"/>
        <v>0</v>
      </c>
      <c r="M510" s="37">
        <f t="shared" si="943"/>
        <v>0</v>
      </c>
      <c r="N510" s="37">
        <f t="shared" si="943"/>
        <v>0</v>
      </c>
      <c r="O510" s="37">
        <f t="shared" si="943"/>
        <v>0</v>
      </c>
      <c r="P510" s="821">
        <f t="shared" si="943"/>
        <v>0</v>
      </c>
      <c r="Q510" s="37">
        <f t="shared" si="943"/>
        <v>0</v>
      </c>
      <c r="R510" s="37">
        <f t="shared" si="943"/>
        <v>0</v>
      </c>
      <c r="S510" s="37">
        <f t="shared" si="943"/>
        <v>0</v>
      </c>
      <c r="T510" s="37">
        <f t="shared" si="943"/>
        <v>0</v>
      </c>
      <c r="U510" s="821">
        <f t="shared" si="943"/>
        <v>0</v>
      </c>
      <c r="V510" s="37">
        <f t="shared" si="943"/>
        <v>0</v>
      </c>
      <c r="W510" s="37">
        <f t="shared" si="943"/>
        <v>79</v>
      </c>
      <c r="X510" s="37">
        <f t="shared" si="943"/>
        <v>64</v>
      </c>
      <c r="Y510" s="37">
        <f t="shared" si="943"/>
        <v>58</v>
      </c>
      <c r="Z510" s="821">
        <f t="shared" si="943"/>
        <v>201</v>
      </c>
      <c r="AA510" s="37">
        <f t="shared" si="943"/>
        <v>51</v>
      </c>
      <c r="AB510" s="37">
        <f t="shared" si="943"/>
        <v>48</v>
      </c>
      <c r="AC510" s="37">
        <f t="shared" si="943"/>
        <v>35</v>
      </c>
      <c r="AD510" s="37">
        <f t="shared" si="943"/>
        <v>173</v>
      </c>
      <c r="AE510" s="821">
        <f t="shared" si="943"/>
        <v>307</v>
      </c>
      <c r="AF510" s="37">
        <f t="shared" si="943"/>
        <v>159</v>
      </c>
      <c r="AG510" s="37">
        <f t="shared" si="943"/>
        <v>217</v>
      </c>
      <c r="AH510" s="37">
        <f t="shared" si="943"/>
        <v>182</v>
      </c>
      <c r="AI510" s="37">
        <f t="shared" ref="AI510:BQ510" si="944">AI415</f>
        <v>190</v>
      </c>
      <c r="AJ510" s="821">
        <f t="shared" si="944"/>
        <v>748</v>
      </c>
      <c r="AK510" s="37">
        <f t="shared" si="944"/>
        <v>225</v>
      </c>
      <c r="AL510" s="37">
        <f t="shared" si="944"/>
        <v>198</v>
      </c>
      <c r="AM510" s="37">
        <f t="shared" si="944"/>
        <v>197</v>
      </c>
      <c r="AN510" s="37">
        <f t="shared" si="944"/>
        <v>178</v>
      </c>
      <c r="AO510" s="821">
        <f t="shared" si="944"/>
        <v>798</v>
      </c>
      <c r="AP510" s="37">
        <f t="shared" si="944"/>
        <v>162</v>
      </c>
      <c r="AQ510" s="37">
        <f t="shared" si="944"/>
        <v>172</v>
      </c>
      <c r="AR510" s="37">
        <f t="shared" si="944"/>
        <v>164</v>
      </c>
      <c r="AS510" s="37">
        <f t="shared" si="944"/>
        <v>199</v>
      </c>
      <c r="AT510" s="821">
        <f t="shared" si="944"/>
        <v>697</v>
      </c>
      <c r="AU510" s="37">
        <f t="shared" si="944"/>
        <v>198</v>
      </c>
      <c r="AV510" s="37">
        <f t="shared" si="944"/>
        <v>185</v>
      </c>
      <c r="AW510" s="37">
        <f t="shared" si="944"/>
        <v>174</v>
      </c>
      <c r="AX510" s="37">
        <f t="shared" si="944"/>
        <v>155</v>
      </c>
      <c r="AY510" s="821">
        <f t="shared" si="944"/>
        <v>712</v>
      </c>
      <c r="AZ510" s="37">
        <f t="shared" si="944"/>
        <v>136</v>
      </c>
      <c r="BA510" s="37">
        <f t="shared" si="944"/>
        <v>129</v>
      </c>
      <c r="BB510" s="37">
        <f t="shared" si="944"/>
        <v>128</v>
      </c>
      <c r="BC510" s="37">
        <f t="shared" si="944"/>
        <v>123</v>
      </c>
      <c r="BD510" s="821">
        <f t="shared" si="944"/>
        <v>516</v>
      </c>
      <c r="BE510" s="37">
        <f t="shared" si="944"/>
        <v>115</v>
      </c>
      <c r="BF510" s="37">
        <f t="shared" si="944"/>
        <v>120</v>
      </c>
      <c r="BG510" s="37">
        <f t="shared" si="944"/>
        <v>114</v>
      </c>
      <c r="BH510" s="37">
        <f t="shared" si="944"/>
        <v>120</v>
      </c>
      <c r="BI510" s="821">
        <f t="shared" si="944"/>
        <v>469</v>
      </c>
      <c r="BJ510" s="37">
        <f t="shared" si="944"/>
        <v>118</v>
      </c>
      <c r="BK510" s="37">
        <f t="shared" si="944"/>
        <v>113</v>
      </c>
      <c r="BL510" s="37">
        <f t="shared" si="944"/>
        <v>164</v>
      </c>
      <c r="BM510" s="37">
        <f t="shared" si="944"/>
        <v>199</v>
      </c>
      <c r="BN510" s="821">
        <f t="shared" si="944"/>
        <v>594</v>
      </c>
      <c r="BO510" s="37">
        <f t="shared" si="944"/>
        <v>212</v>
      </c>
      <c r="BP510" s="37">
        <f t="shared" si="944"/>
        <v>274</v>
      </c>
      <c r="BQ510" s="37">
        <f t="shared" si="944"/>
        <v>370</v>
      </c>
      <c r="BR510" s="37">
        <f t="shared" ref="BR510:BS510" si="945">BR415</f>
        <v>361</v>
      </c>
      <c r="BS510" s="821">
        <f t="shared" si="945"/>
        <v>1217</v>
      </c>
      <c r="BT510" s="480">
        <f>BT415</f>
        <v>345</v>
      </c>
      <c r="BU510" s="37">
        <f>BU593</f>
        <v>283.14712328767121</v>
      </c>
      <c r="BV510" s="37">
        <f>BV593</f>
        <v>286.25863013698631</v>
      </c>
      <c r="BW510" s="37">
        <f>BW593</f>
        <v>286.25863013698631</v>
      </c>
      <c r="BX510" s="821">
        <f>SUM(BT510,BU510,BV510,BW510)</f>
        <v>1200.6643835616437</v>
      </c>
      <c r="BY510" s="37">
        <f>BY593</f>
        <v>280.03561643835616</v>
      </c>
      <c r="BZ510" s="37">
        <f>BZ593</f>
        <v>283.14712328767121</v>
      </c>
      <c r="CA510" s="37">
        <f>CA593</f>
        <v>286.25863013698631</v>
      </c>
      <c r="CB510" s="37">
        <f>CB593</f>
        <v>286.25863013698631</v>
      </c>
      <c r="CC510" s="821">
        <f>SUM(BY510,BZ510,CA510,CB510)</f>
        <v>1135.7</v>
      </c>
      <c r="CD510" s="821">
        <f>CD593</f>
        <v>1135.7</v>
      </c>
      <c r="CE510" s="821">
        <f>CE593</f>
        <v>1135.7</v>
      </c>
      <c r="CF510" s="821">
        <f>CF593</f>
        <v>1135.7</v>
      </c>
      <c r="CG510" s="22"/>
    </row>
    <row r="511" spans="1:85" s="428" customFormat="1" x14ac:dyDescent="0.3">
      <c r="A511" s="43" t="s">
        <v>541</v>
      </c>
      <c r="B511" s="109"/>
      <c r="C511" s="821"/>
      <c r="D511" s="821"/>
      <c r="E511" s="821"/>
      <c r="F511" s="821"/>
      <c r="G511" s="37"/>
      <c r="H511" s="37"/>
      <c r="I511" s="37"/>
      <c r="J511" s="37"/>
      <c r="K511" s="821"/>
      <c r="L511" s="37"/>
      <c r="M511" s="37"/>
      <c r="N511" s="37"/>
      <c r="O511" s="37"/>
      <c r="P511" s="821"/>
      <c r="Q511" s="37"/>
      <c r="R511" s="37"/>
      <c r="S511" s="37"/>
      <c r="T511" s="37"/>
      <c r="U511" s="821"/>
      <c r="V511" s="37"/>
      <c r="W511" s="37"/>
      <c r="X511" s="37"/>
      <c r="Y511" s="37"/>
      <c r="Z511" s="821"/>
      <c r="AA511" s="37"/>
      <c r="AB511" s="37"/>
      <c r="AC511" s="37"/>
      <c r="AD511" s="37"/>
      <c r="AE511" s="821"/>
      <c r="AF511" s="37"/>
      <c r="AG511" s="37"/>
      <c r="AH511" s="37"/>
      <c r="AI511" s="37"/>
      <c r="AJ511" s="821"/>
      <c r="AK511" s="37"/>
      <c r="AL511" s="37"/>
      <c r="AM511" s="37"/>
      <c r="AN511" s="37"/>
      <c r="AO511" s="821"/>
      <c r="AP511" s="37"/>
      <c r="AQ511" s="37"/>
      <c r="AR511" s="37"/>
      <c r="AS511" s="37"/>
      <c r="AT511" s="821"/>
      <c r="AU511" s="37"/>
      <c r="AV511" s="37"/>
      <c r="AW511" s="37"/>
      <c r="AX511" s="37"/>
      <c r="AY511" s="821"/>
      <c r="AZ511" s="37"/>
      <c r="BA511" s="37"/>
      <c r="BB511" s="37"/>
      <c r="BC511" s="37"/>
      <c r="BD511" s="821"/>
      <c r="BE511" s="37"/>
      <c r="BF511" s="37"/>
      <c r="BG511" s="37"/>
      <c r="BH511" s="37"/>
      <c r="BI511" s="821"/>
      <c r="BJ511" s="37"/>
      <c r="BK511" s="37"/>
      <c r="BL511" s="37"/>
      <c r="BM511" s="37"/>
      <c r="BN511" s="821"/>
      <c r="BO511" s="37"/>
      <c r="BP511" s="37"/>
      <c r="BQ511" s="37"/>
      <c r="BR511" s="37"/>
      <c r="BS511" s="821"/>
      <c r="BT511" s="480"/>
      <c r="BU511" s="37"/>
      <c r="BV511" s="37"/>
      <c r="BW511" s="37"/>
      <c r="BX511" s="821">
        <f>SUM(BT511,BU511,BV511,BW511)</f>
        <v>0</v>
      </c>
      <c r="BY511" s="37"/>
      <c r="BZ511" s="37"/>
      <c r="CA511" s="37"/>
      <c r="CB511" s="37"/>
      <c r="CC511" s="821">
        <f>SUM(BY511,BZ511,CA511,CB511)</f>
        <v>0</v>
      </c>
      <c r="CD511" s="821"/>
      <c r="CE511" s="821"/>
      <c r="CF511" s="821"/>
      <c r="CG511" s="22"/>
    </row>
    <row r="512" spans="1:85" s="429" customFormat="1" x14ac:dyDescent="0.3">
      <c r="A512" s="42" t="s">
        <v>204</v>
      </c>
      <c r="B512" s="99"/>
      <c r="C512" s="823">
        <f t="shared" ref="C512:AH512" si="946">C503-SUM(C507:C511)</f>
        <v>18528</v>
      </c>
      <c r="D512" s="823">
        <f t="shared" si="946"/>
        <v>32055</v>
      </c>
      <c r="E512" s="823">
        <f t="shared" si="946"/>
        <v>47634</v>
      </c>
      <c r="F512" s="823">
        <f t="shared" si="946"/>
        <v>46332</v>
      </c>
      <c r="G512" s="393">
        <f t="shared" si="946"/>
        <v>10283</v>
      </c>
      <c r="H512" s="393">
        <f t="shared" si="946"/>
        <v>8589</v>
      </c>
      <c r="I512" s="393">
        <f t="shared" si="946"/>
        <v>8835</v>
      </c>
      <c r="J512" s="393">
        <f t="shared" si="946"/>
        <v>8198</v>
      </c>
      <c r="K512" s="823">
        <f t="shared" si="946"/>
        <v>35905</v>
      </c>
      <c r="L512" s="393">
        <f t="shared" si="946"/>
        <v>7928</v>
      </c>
      <c r="M512" s="393">
        <f t="shared" si="946"/>
        <v>9027</v>
      </c>
      <c r="N512" s="393">
        <f t="shared" si="946"/>
        <v>8863</v>
      </c>
      <c r="O512" s="393">
        <f t="shared" si="946"/>
        <v>5384</v>
      </c>
      <c r="P512" s="823">
        <f t="shared" si="946"/>
        <v>31202</v>
      </c>
      <c r="Q512" s="393">
        <f t="shared" si="946"/>
        <v>2905</v>
      </c>
      <c r="R512" s="393">
        <f t="shared" si="946"/>
        <v>1363</v>
      </c>
      <c r="S512" s="393">
        <f t="shared" si="946"/>
        <v>2784</v>
      </c>
      <c r="T512" s="393">
        <f t="shared" si="946"/>
        <v>-2210</v>
      </c>
      <c r="U512" s="823">
        <f t="shared" si="946"/>
        <v>4842</v>
      </c>
      <c r="V512" s="393">
        <f t="shared" si="946"/>
        <v>-1711</v>
      </c>
      <c r="W512" s="393">
        <f t="shared" si="946"/>
        <v>-2070</v>
      </c>
      <c r="X512" s="393">
        <f t="shared" si="946"/>
        <v>1109</v>
      </c>
      <c r="Y512" s="393">
        <f t="shared" si="946"/>
        <v>512</v>
      </c>
      <c r="Z512" s="823">
        <f t="shared" si="946"/>
        <v>-2160</v>
      </c>
      <c r="AA512" s="393">
        <f t="shared" si="946"/>
        <v>3129</v>
      </c>
      <c r="AB512" s="393">
        <f t="shared" si="946"/>
        <v>1953</v>
      </c>
      <c r="AC512" s="393">
        <f t="shared" si="946"/>
        <v>2658</v>
      </c>
      <c r="AD512" s="393">
        <f t="shared" si="946"/>
        <v>1481</v>
      </c>
      <c r="AE512" s="823">
        <f t="shared" si="946"/>
        <v>9221</v>
      </c>
      <c r="AF512" s="393">
        <f t="shared" si="946"/>
        <v>5073</v>
      </c>
      <c r="AG512" s="393">
        <f t="shared" si="946"/>
        <v>4905</v>
      </c>
      <c r="AH512" s="393">
        <f t="shared" si="946"/>
        <v>5699</v>
      </c>
      <c r="AI512" s="393">
        <f t="shared" ref="AI512:AQ512" si="947">AI503-SUM(AI507:AI511)</f>
        <v>4898</v>
      </c>
      <c r="AJ512" s="823">
        <f t="shared" si="947"/>
        <v>20575</v>
      </c>
      <c r="AK512" s="393">
        <f t="shared" si="947"/>
        <v>3957</v>
      </c>
      <c r="AL512" s="393">
        <f t="shared" si="947"/>
        <v>5935</v>
      </c>
      <c r="AM512" s="393">
        <f t="shared" si="947"/>
        <v>4049</v>
      </c>
      <c r="AN512" s="393">
        <f t="shared" si="947"/>
        <v>-8405</v>
      </c>
      <c r="AO512" s="823">
        <f t="shared" si="947"/>
        <v>5536</v>
      </c>
      <c r="AP512" s="393">
        <f t="shared" si="947"/>
        <v>4145</v>
      </c>
      <c r="AQ512" s="393">
        <f t="shared" si="947"/>
        <v>-10597</v>
      </c>
      <c r="AR512" s="393">
        <f>AR503-SUM(AR507:AR511)</f>
        <v>-44</v>
      </c>
      <c r="AS512" s="393">
        <f t="shared" ref="AS512:AT512" si="948">AS503-SUM(AS507:AS511)</f>
        <v>-957</v>
      </c>
      <c r="AT512" s="823">
        <f t="shared" si="948"/>
        <v>-7453</v>
      </c>
      <c r="AU512" s="393">
        <f t="shared" ref="AU512" si="949">AU503-SUM(AU507:AU511)</f>
        <v>2177</v>
      </c>
      <c r="AV512" s="393">
        <f t="shared" ref="AV512:BA512" si="950">AV503-SUM(AV507:AV511)</f>
        <v>4422</v>
      </c>
      <c r="AW512" s="393">
        <f t="shared" si="950"/>
        <v>8055</v>
      </c>
      <c r="AX512" s="393">
        <f t="shared" si="950"/>
        <v>6985</v>
      </c>
      <c r="AY512" s="823">
        <f t="shared" si="950"/>
        <v>21639</v>
      </c>
      <c r="AZ512" s="393">
        <f t="shared" si="950"/>
        <v>9054</v>
      </c>
      <c r="BA512" s="393">
        <f t="shared" si="950"/>
        <v>16003</v>
      </c>
      <c r="BB512" s="393">
        <f t="shared" ref="BB512" si="951">BB503-SUM(BB507:BB511)</f>
        <v>14809</v>
      </c>
      <c r="BC512" s="393">
        <f t="shared" ref="BC512:BD512" si="952">BC503-SUM(BC507:BC511)</f>
        <v>9808</v>
      </c>
      <c r="BD512" s="823">
        <f t="shared" si="952"/>
        <v>49674</v>
      </c>
      <c r="BE512" s="393">
        <f t="shared" ref="BE512:BI512" si="953">BE503-SUM(BE507:BE511)</f>
        <v>9519</v>
      </c>
      <c r="BF512" s="393">
        <f t="shared" si="953"/>
        <v>7837</v>
      </c>
      <c r="BG512" s="393">
        <f t="shared" si="953"/>
        <v>8738</v>
      </c>
      <c r="BH512" s="393">
        <f t="shared" si="953"/>
        <v>3490</v>
      </c>
      <c r="BI512" s="823">
        <f t="shared" si="953"/>
        <v>29584</v>
      </c>
      <c r="BJ512" s="393">
        <f t="shared" ref="BJ512:BX512" si="954">BJ503-SUM(BJ507:BJ511)</f>
        <v>7922</v>
      </c>
      <c r="BK512" s="393">
        <f t="shared" si="954"/>
        <v>7036</v>
      </c>
      <c r="BL512" s="393">
        <f t="shared" si="954"/>
        <v>6489</v>
      </c>
      <c r="BM512" s="393">
        <f t="shared" si="954"/>
        <v>6059</v>
      </c>
      <c r="BN512" s="823">
        <f t="shared" si="954"/>
        <v>27506</v>
      </c>
      <c r="BO512" s="393">
        <f t="shared" ref="BO512:BW512" si="955">BO503-SUM(BO507:BO511)</f>
        <v>5583</v>
      </c>
      <c r="BP512" s="393">
        <f t="shared" si="955"/>
        <v>4147</v>
      </c>
      <c r="BQ512" s="393">
        <f t="shared" si="955"/>
        <v>5414</v>
      </c>
      <c r="BR512" s="393">
        <f t="shared" si="955"/>
        <v>4599</v>
      </c>
      <c r="BS512" s="823">
        <f t="shared" si="955"/>
        <v>19743</v>
      </c>
      <c r="BT512" s="641">
        <f>BT503-SUM(BT507:BT511)</f>
        <v>3946</v>
      </c>
      <c r="BU512" s="393">
        <f t="shared" si="955"/>
        <v>15981.221096712321</v>
      </c>
      <c r="BV512" s="393">
        <f t="shared" ca="1" si="955"/>
        <v>11912.322029863011</v>
      </c>
      <c r="BW512" s="393">
        <f t="shared" ca="1" si="955"/>
        <v>10474.809929863015</v>
      </c>
      <c r="BX512" s="823">
        <f t="shared" ca="1" si="954"/>
        <v>42314.353056438369</v>
      </c>
      <c r="BY512" s="393">
        <f t="shared" ref="BY512:CF512" ca="1" si="956">BY503-SUM(BY507:BY511)</f>
        <v>9533.6311835616398</v>
      </c>
      <c r="BZ512" s="393">
        <f t="shared" ca="1" si="956"/>
        <v>9560.1674337123295</v>
      </c>
      <c r="CA512" s="393">
        <f t="shared" ca="1" si="956"/>
        <v>9821.4443978630061</v>
      </c>
      <c r="CB512" s="393">
        <f t="shared" ca="1" si="956"/>
        <v>9678.2830058630116</v>
      </c>
      <c r="CC512" s="823">
        <f t="shared" ca="1" si="956"/>
        <v>38593.526020999983</v>
      </c>
      <c r="CD512" s="823">
        <f t="shared" ca="1" si="956"/>
        <v>36812.032550000004</v>
      </c>
      <c r="CE512" s="823">
        <f t="shared" ca="1" si="956"/>
        <v>33299.931024999998</v>
      </c>
      <c r="CF512" s="823">
        <f t="shared" ca="1" si="956"/>
        <v>25809.235099999994</v>
      </c>
      <c r="CG512" s="26"/>
    </row>
    <row r="513" spans="1:85" s="431" customFormat="1" x14ac:dyDescent="0.3">
      <c r="A513" s="87"/>
      <c r="B513" s="108"/>
      <c r="C513" s="834"/>
      <c r="D513" s="834"/>
      <c r="E513" s="834"/>
      <c r="F513" s="834"/>
      <c r="G513" s="61"/>
      <c r="H513" s="61"/>
      <c r="I513" s="61"/>
      <c r="J513" s="61"/>
      <c r="K513" s="834"/>
      <c r="L513" s="61"/>
      <c r="M513" s="61"/>
      <c r="N513" s="61"/>
      <c r="O513" s="61"/>
      <c r="P513" s="834"/>
      <c r="Q513" s="61"/>
      <c r="R513" s="61"/>
      <c r="S513" s="61"/>
      <c r="T513" s="61"/>
      <c r="U513" s="834"/>
      <c r="V513" s="61"/>
      <c r="W513" s="61"/>
      <c r="X513" s="61"/>
      <c r="Y513" s="61"/>
      <c r="Z513" s="834"/>
      <c r="AA513" s="61"/>
      <c r="AB513" s="61"/>
      <c r="AC513" s="61"/>
      <c r="AD513" s="61"/>
      <c r="AE513" s="834"/>
      <c r="AF513" s="61"/>
      <c r="AG513" s="61"/>
      <c r="AH513" s="61"/>
      <c r="AI513" s="61"/>
      <c r="AJ513" s="834"/>
      <c r="AK513" s="61"/>
      <c r="AL513" s="61"/>
      <c r="AM513" s="61"/>
      <c r="AN513" s="61"/>
      <c r="AO513" s="834"/>
      <c r="AP513" s="61"/>
      <c r="AQ513" s="61"/>
      <c r="AR513" s="61"/>
      <c r="AS513" s="61"/>
      <c r="AT513" s="834"/>
      <c r="AU513" s="61"/>
      <c r="AV513" s="61"/>
      <c r="AW513" s="61"/>
      <c r="AX513" s="61"/>
      <c r="AY513" s="834"/>
      <c r="AZ513" s="61"/>
      <c r="BA513" s="61"/>
      <c r="BB513" s="61"/>
      <c r="BC513" s="61"/>
      <c r="BD513" s="834"/>
      <c r="BE513" s="61"/>
      <c r="BF513" s="61"/>
      <c r="BG513" s="61"/>
      <c r="BH513" s="61"/>
      <c r="BI513" s="834"/>
      <c r="BJ513" s="61"/>
      <c r="BK513" s="61"/>
      <c r="BL513" s="61"/>
      <c r="BM513" s="61"/>
      <c r="BN513" s="834"/>
      <c r="BO513" s="61"/>
      <c r="BP513" s="61"/>
      <c r="BQ513" s="61"/>
      <c r="BR513" s="61"/>
      <c r="BS513" s="834"/>
      <c r="BT513" s="643"/>
      <c r="BU513" s="61"/>
      <c r="BV513" s="61"/>
      <c r="BW513" s="61"/>
      <c r="BX513" s="834"/>
      <c r="BY513" s="61"/>
      <c r="BZ513" s="61"/>
      <c r="CA513" s="61"/>
      <c r="CB513" s="61"/>
      <c r="CC513" s="834"/>
      <c r="CD513" s="834"/>
      <c r="CE513" s="834"/>
      <c r="CF513" s="834"/>
      <c r="CG513" s="54"/>
    </row>
    <row r="514" spans="1:85" s="428" customFormat="1" x14ac:dyDescent="0.3">
      <c r="A514" s="43" t="s">
        <v>205</v>
      </c>
      <c r="B514" s="109"/>
      <c r="C514" s="821">
        <f t="shared" ref="C514:AH514" si="957">C419-C515</f>
        <v>7498</v>
      </c>
      <c r="D514" s="821">
        <f t="shared" si="957"/>
        <v>12360</v>
      </c>
      <c r="E514" s="821">
        <f t="shared" si="957"/>
        <v>19037</v>
      </c>
      <c r="F514" s="821">
        <f t="shared" si="957"/>
        <v>17981</v>
      </c>
      <c r="G514" s="37">
        <f t="shared" si="957"/>
        <v>3917</v>
      </c>
      <c r="H514" s="37">
        <f t="shared" si="957"/>
        <v>3280</v>
      </c>
      <c r="I514" s="37">
        <f t="shared" si="957"/>
        <v>2902</v>
      </c>
      <c r="J514" s="37">
        <f t="shared" si="957"/>
        <v>2333</v>
      </c>
      <c r="K514" s="821">
        <f t="shared" si="957"/>
        <v>12432</v>
      </c>
      <c r="L514" s="37">
        <f t="shared" si="957"/>
        <v>3120</v>
      </c>
      <c r="M514" s="37">
        <f t="shared" si="957"/>
        <v>3119</v>
      </c>
      <c r="N514" s="37">
        <f t="shared" si="957"/>
        <v>3267</v>
      </c>
      <c r="O514" s="37">
        <f t="shared" si="957"/>
        <v>814</v>
      </c>
      <c r="P514" s="821">
        <f t="shared" si="957"/>
        <v>10320</v>
      </c>
      <c r="Q514" s="37">
        <f t="shared" si="957"/>
        <v>1226</v>
      </c>
      <c r="R514" s="37">
        <f t="shared" si="957"/>
        <v>561</v>
      </c>
      <c r="S514" s="37">
        <f t="shared" si="957"/>
        <v>478</v>
      </c>
      <c r="T514" s="37">
        <f t="shared" si="957"/>
        <v>-272</v>
      </c>
      <c r="U514" s="821">
        <f t="shared" si="957"/>
        <v>1993</v>
      </c>
      <c r="V514" s="37">
        <f t="shared" si="957"/>
        <v>85</v>
      </c>
      <c r="W514" s="37">
        <f t="shared" si="957"/>
        <v>544</v>
      </c>
      <c r="X514" s="37">
        <f t="shared" si="957"/>
        <v>707</v>
      </c>
      <c r="Y514" s="37">
        <f t="shared" si="957"/>
        <v>770</v>
      </c>
      <c r="Z514" s="821">
        <f t="shared" si="957"/>
        <v>2106</v>
      </c>
      <c r="AA514" s="37">
        <f t="shared" si="957"/>
        <v>993</v>
      </c>
      <c r="AB514" s="37">
        <f t="shared" si="957"/>
        <v>1170</v>
      </c>
      <c r="AC514" s="37">
        <f t="shared" si="957"/>
        <v>-110</v>
      </c>
      <c r="AD514" s="37">
        <f t="shared" si="957"/>
        <v>1102</v>
      </c>
      <c r="AE514" s="821">
        <f t="shared" si="957"/>
        <v>3155</v>
      </c>
      <c r="AF514" s="37">
        <f t="shared" si="957"/>
        <v>1031</v>
      </c>
      <c r="AG514" s="37">
        <f t="shared" si="957"/>
        <v>1356</v>
      </c>
      <c r="AH514" s="37">
        <f t="shared" si="957"/>
        <v>1347</v>
      </c>
      <c r="AI514" s="37">
        <f t="shared" ref="AI514:BN514" si="958">AI419-AI515</f>
        <v>931</v>
      </c>
      <c r="AJ514" s="821">
        <f t="shared" si="958"/>
        <v>4665</v>
      </c>
      <c r="AK514" s="37">
        <f t="shared" si="958"/>
        <v>1242</v>
      </c>
      <c r="AL514" s="37">
        <f t="shared" si="958"/>
        <v>1324</v>
      </c>
      <c r="AM514" s="37">
        <f t="shared" si="958"/>
        <v>877</v>
      </c>
      <c r="AN514" s="37">
        <f t="shared" si="958"/>
        <v>1214</v>
      </c>
      <c r="AO514" s="821">
        <f t="shared" si="958"/>
        <v>4657</v>
      </c>
      <c r="AP514" s="37">
        <f t="shared" si="958"/>
        <v>506</v>
      </c>
      <c r="AQ514" s="37">
        <f t="shared" si="958"/>
        <v>285</v>
      </c>
      <c r="AR514" s="37">
        <f t="shared" si="958"/>
        <v>798</v>
      </c>
      <c r="AS514" s="37">
        <f t="shared" si="958"/>
        <v>123</v>
      </c>
      <c r="AT514" s="821">
        <f t="shared" si="958"/>
        <v>1712</v>
      </c>
      <c r="AU514" s="37">
        <f t="shared" si="958"/>
        <v>1033</v>
      </c>
      <c r="AV514" s="37">
        <f t="shared" si="958"/>
        <v>1260</v>
      </c>
      <c r="AW514" s="37">
        <f t="shared" si="958"/>
        <v>1282</v>
      </c>
      <c r="AX514" s="37">
        <f t="shared" si="958"/>
        <v>1675</v>
      </c>
      <c r="AY514" s="821">
        <f t="shared" si="958"/>
        <v>5250</v>
      </c>
      <c r="AZ514" s="37">
        <f t="shared" si="958"/>
        <v>2151</v>
      </c>
      <c r="BA514" s="37">
        <f t="shared" si="958"/>
        <v>3573</v>
      </c>
      <c r="BB514" s="37">
        <f t="shared" si="958"/>
        <v>3202</v>
      </c>
      <c r="BC514" s="37">
        <f t="shared" si="958"/>
        <v>3016</v>
      </c>
      <c r="BD514" s="821">
        <f t="shared" si="958"/>
        <v>11942</v>
      </c>
      <c r="BE514" s="37">
        <f t="shared" si="958"/>
        <v>2124</v>
      </c>
      <c r="BF514" s="37">
        <f t="shared" si="958"/>
        <v>1158</v>
      </c>
      <c r="BG514" s="37">
        <f t="shared" si="958"/>
        <v>2298</v>
      </c>
      <c r="BH514" s="37">
        <f t="shared" si="958"/>
        <v>2295</v>
      </c>
      <c r="BI514" s="821">
        <f t="shared" si="958"/>
        <v>7875</v>
      </c>
      <c r="BJ514" s="37">
        <f t="shared" si="958"/>
        <v>1683</v>
      </c>
      <c r="BK514" s="37">
        <f t="shared" si="958"/>
        <v>2139</v>
      </c>
      <c r="BL514" s="37">
        <f t="shared" si="958"/>
        <v>1590</v>
      </c>
      <c r="BM514" s="37">
        <f t="shared" si="958"/>
        <v>3105</v>
      </c>
      <c r="BN514" s="821">
        <f t="shared" si="958"/>
        <v>8517</v>
      </c>
      <c r="BO514" s="37">
        <f t="shared" ref="BO514:BS514" si="959">BO419-BO515</f>
        <v>1591</v>
      </c>
      <c r="BP514" s="37">
        <f t="shared" si="959"/>
        <v>1603</v>
      </c>
      <c r="BQ514" s="37">
        <f t="shared" si="959"/>
        <v>1601</v>
      </c>
      <c r="BR514" s="37">
        <f t="shared" si="959"/>
        <v>1477</v>
      </c>
      <c r="BS514" s="821">
        <f t="shared" si="959"/>
        <v>6272</v>
      </c>
      <c r="BT514" s="480">
        <f>BT419-BT515</f>
        <v>1917</v>
      </c>
      <c r="BU514" s="37">
        <f t="shared" ref="BU514:BW515" si="960">BU527*BU$512</f>
        <v>4794.3663290136965</v>
      </c>
      <c r="BV514" s="37">
        <f t="shared" ca="1" si="960"/>
        <v>3573.6966089589032</v>
      </c>
      <c r="BW514" s="37">
        <f t="shared" ca="1" si="960"/>
        <v>3142.4429789589044</v>
      </c>
      <c r="BX514" s="821">
        <f ca="1">SUM(BT514,BU514,BV514,BW514)</f>
        <v>13427.505916931505</v>
      </c>
      <c r="BY514" s="37">
        <f t="shared" ref="BY514:CB515" ca="1" si="961">BY527*BY$512</f>
        <v>3336.7709142465737</v>
      </c>
      <c r="BZ514" s="37">
        <f t="shared" ca="1" si="961"/>
        <v>3346.0586017993151</v>
      </c>
      <c r="CA514" s="37">
        <f t="shared" ca="1" si="961"/>
        <v>3437.5055392520521</v>
      </c>
      <c r="CB514" s="37">
        <f t="shared" ca="1" si="961"/>
        <v>3387.3990520520538</v>
      </c>
      <c r="CC514" s="821">
        <f ca="1">SUM(BY514,BZ514,CA514,CB514)</f>
        <v>13507.734107349996</v>
      </c>
      <c r="CD514" s="821">
        <f ca="1">CD527*CD512</f>
        <v>12884.211392500001</v>
      </c>
      <c r="CE514" s="821">
        <f ca="1">CE527*CE512</f>
        <v>9656.9799972499986</v>
      </c>
      <c r="CF514" s="821">
        <f ca="1">CF527*CF512</f>
        <v>9033.2322849999982</v>
      </c>
      <c r="CG514" s="22"/>
    </row>
    <row r="515" spans="1:85" s="428" customFormat="1" x14ac:dyDescent="0.3">
      <c r="A515" s="242" t="s">
        <v>206</v>
      </c>
      <c r="B515" s="244"/>
      <c r="C515" s="822">
        <f t="shared" ref="C515:AQ515" si="962">C687</f>
        <v>467</v>
      </c>
      <c r="D515" s="822">
        <f t="shared" si="962"/>
        <v>559</v>
      </c>
      <c r="E515" s="822">
        <f t="shared" si="962"/>
        <v>1589</v>
      </c>
      <c r="F515" s="822">
        <f t="shared" si="962"/>
        <v>2015</v>
      </c>
      <c r="G515" s="56">
        <f t="shared" si="962"/>
        <v>127</v>
      </c>
      <c r="H515" s="56">
        <f t="shared" si="962"/>
        <v>-95</v>
      </c>
      <c r="I515" s="56">
        <f t="shared" si="962"/>
        <v>937</v>
      </c>
      <c r="J515" s="56">
        <f t="shared" si="962"/>
        <v>907</v>
      </c>
      <c r="K515" s="822">
        <f t="shared" si="962"/>
        <v>1876</v>
      </c>
      <c r="L515" s="56">
        <f t="shared" si="962"/>
        <v>287</v>
      </c>
      <c r="M515" s="56">
        <f t="shared" si="962"/>
        <v>218</v>
      </c>
      <c r="N515" s="56">
        <f t="shared" si="962"/>
        <v>-31</v>
      </c>
      <c r="O515" s="56">
        <f t="shared" si="962"/>
        <v>1098</v>
      </c>
      <c r="P515" s="822">
        <f t="shared" si="962"/>
        <v>1572</v>
      </c>
      <c r="Q515" s="56">
        <f t="shared" si="962"/>
        <v>-921</v>
      </c>
      <c r="R515" s="56">
        <f t="shared" si="962"/>
        <v>194</v>
      </c>
      <c r="S515" s="56">
        <f t="shared" si="962"/>
        <v>249</v>
      </c>
      <c r="T515" s="56">
        <f t="shared" si="962"/>
        <v>-1383</v>
      </c>
      <c r="U515" s="822">
        <f t="shared" si="962"/>
        <v>-1861</v>
      </c>
      <c r="V515" s="56">
        <f t="shared" si="962"/>
        <v>-1089</v>
      </c>
      <c r="W515" s="56">
        <f t="shared" si="962"/>
        <v>-1151</v>
      </c>
      <c r="X515" s="56">
        <f t="shared" si="962"/>
        <v>-899</v>
      </c>
      <c r="Y515" s="56">
        <f t="shared" si="962"/>
        <v>-696</v>
      </c>
      <c r="Z515" s="822">
        <f t="shared" si="962"/>
        <v>-3835</v>
      </c>
      <c r="AA515" s="56">
        <f t="shared" si="962"/>
        <v>-563</v>
      </c>
      <c r="AB515" s="56">
        <f t="shared" si="962"/>
        <v>-683</v>
      </c>
      <c r="AC515" s="56">
        <f t="shared" si="962"/>
        <v>782</v>
      </c>
      <c r="AD515" s="56">
        <f t="shared" si="962"/>
        <v>-2739</v>
      </c>
      <c r="AE515" s="822">
        <f t="shared" si="962"/>
        <v>-3203</v>
      </c>
      <c r="AF515" s="56">
        <f t="shared" si="962"/>
        <v>383</v>
      </c>
      <c r="AG515" s="56">
        <f t="shared" si="962"/>
        <v>127</v>
      </c>
      <c r="AH515" s="56">
        <f t="shared" si="962"/>
        <v>296</v>
      </c>
      <c r="AI515" s="56">
        <f t="shared" si="962"/>
        <v>244</v>
      </c>
      <c r="AJ515" s="822">
        <f t="shared" si="962"/>
        <v>1050</v>
      </c>
      <c r="AK515" s="56">
        <f t="shared" si="962"/>
        <v>73</v>
      </c>
      <c r="AL515" s="56">
        <f t="shared" si="962"/>
        <v>321</v>
      </c>
      <c r="AM515" s="56">
        <f t="shared" si="962"/>
        <v>592</v>
      </c>
      <c r="AN515" s="56">
        <f t="shared" si="962"/>
        <v>-2952</v>
      </c>
      <c r="AO515" s="822">
        <f t="shared" si="962"/>
        <v>-1966</v>
      </c>
      <c r="AP515" s="56">
        <f t="shared" si="962"/>
        <v>58</v>
      </c>
      <c r="AQ515" s="56">
        <f t="shared" si="962"/>
        <v>-2605</v>
      </c>
      <c r="AR515" s="56">
        <f>AR687</f>
        <v>-633</v>
      </c>
      <c r="AS515" s="56">
        <f t="shared" ref="AS515:AU515" si="963">AS687</f>
        <v>-424</v>
      </c>
      <c r="AT515" s="822">
        <f t="shared" si="963"/>
        <v>-3604</v>
      </c>
      <c r="AU515" s="56">
        <f t="shared" si="963"/>
        <v>-254</v>
      </c>
      <c r="AV515" s="56">
        <f t="shared" ref="AV515:AZ515" si="964">AV687</f>
        <v>68</v>
      </c>
      <c r="AW515" s="56">
        <f t="shared" si="964"/>
        <v>658</v>
      </c>
      <c r="AX515" s="56">
        <f t="shared" si="964"/>
        <v>228</v>
      </c>
      <c r="AY515" s="822">
        <f t="shared" si="964"/>
        <v>700</v>
      </c>
      <c r="AZ515" s="56">
        <f t="shared" si="964"/>
        <v>626</v>
      </c>
      <c r="BA515" s="56">
        <f t="shared" ref="BA515:BG515" si="965">BA687</f>
        <v>715</v>
      </c>
      <c r="BB515" s="56">
        <f t="shared" si="965"/>
        <v>369</v>
      </c>
      <c r="BC515" s="56">
        <f t="shared" si="965"/>
        <v>414</v>
      </c>
      <c r="BD515" s="822">
        <f t="shared" si="965"/>
        <v>2124</v>
      </c>
      <c r="BE515" s="56">
        <f t="shared" si="965"/>
        <v>790</v>
      </c>
      <c r="BF515" s="56">
        <f t="shared" si="965"/>
        <v>671</v>
      </c>
      <c r="BG515" s="56">
        <f t="shared" si="965"/>
        <v>-115</v>
      </c>
      <c r="BH515" s="56">
        <f t="shared" ref="BH515:BI515" si="966">BH687</f>
        <v>-1048</v>
      </c>
      <c r="BI515" s="822">
        <f t="shared" si="966"/>
        <v>298</v>
      </c>
      <c r="BJ515" s="56">
        <f t="shared" ref="BJ515:BO515" si="967">BJ687</f>
        <v>688</v>
      </c>
      <c r="BK515" s="56">
        <f t="shared" si="967"/>
        <v>454</v>
      </c>
      <c r="BL515" s="56">
        <f t="shared" si="967"/>
        <v>403</v>
      </c>
      <c r="BM515" s="56">
        <f t="shared" si="967"/>
        <v>-305</v>
      </c>
      <c r="BN515" s="822">
        <f t="shared" si="967"/>
        <v>1240</v>
      </c>
      <c r="BO515" s="56">
        <f t="shared" si="967"/>
        <v>480</v>
      </c>
      <c r="BP515" s="56">
        <f t="shared" ref="BP515" si="968">BP687</f>
        <v>29</v>
      </c>
      <c r="BQ515" s="56">
        <f>BQ687</f>
        <v>200</v>
      </c>
      <c r="BR515" s="56">
        <f t="shared" ref="BR515:BT515" si="969">BR687</f>
        <v>277</v>
      </c>
      <c r="BS515" s="822">
        <f t="shared" si="969"/>
        <v>986</v>
      </c>
      <c r="BT515" s="478">
        <f t="shared" si="969"/>
        <v>-264</v>
      </c>
      <c r="BU515" s="56">
        <f t="shared" si="960"/>
        <v>1278.4976877369857</v>
      </c>
      <c r="BV515" s="56">
        <f t="shared" ca="1" si="960"/>
        <v>952.98576238904093</v>
      </c>
      <c r="BW515" s="56">
        <f t="shared" ca="1" si="960"/>
        <v>733.2366950904111</v>
      </c>
      <c r="BX515" s="822">
        <f ca="1">SUM(BT515,BU515,BV515,BW515)</f>
        <v>2700.7201452164377</v>
      </c>
      <c r="BY515" s="56">
        <f t="shared" ca="1" si="961"/>
        <v>190.6726236712328</v>
      </c>
      <c r="BZ515" s="56">
        <f t="shared" ca="1" si="961"/>
        <v>191.2033486742466</v>
      </c>
      <c r="CA515" s="56">
        <f t="shared" ca="1" si="961"/>
        <v>196.42888795726012</v>
      </c>
      <c r="CB515" s="56">
        <f t="shared" ca="1" si="961"/>
        <v>193.56566011726022</v>
      </c>
      <c r="CC515" s="822">
        <f ca="1">SUM(BY515,BZ515,CA515,CB515)</f>
        <v>771.87052041999971</v>
      </c>
      <c r="CD515" s="822">
        <f ca="1">CD528*CD512</f>
        <v>736.2406510000003</v>
      </c>
      <c r="CE515" s="822">
        <f ca="1">CE528*CE512</f>
        <v>332.99931025000001</v>
      </c>
      <c r="CF515" s="822">
        <f ca="1">CF528*CF512</f>
        <v>516.18470200000013</v>
      </c>
      <c r="CG515" s="22"/>
    </row>
    <row r="516" spans="1:85" s="429" customFormat="1" x14ac:dyDescent="0.3">
      <c r="A516" s="42" t="s">
        <v>207</v>
      </c>
      <c r="B516" s="99"/>
      <c r="C516" s="823">
        <f t="shared" ref="C516:AH516" si="970">C512-SUM(C514:C515)</f>
        <v>10563</v>
      </c>
      <c r="D516" s="823">
        <f t="shared" si="970"/>
        <v>19136</v>
      </c>
      <c r="E516" s="823">
        <f t="shared" si="970"/>
        <v>27008</v>
      </c>
      <c r="F516" s="823">
        <f t="shared" si="970"/>
        <v>26336</v>
      </c>
      <c r="G516" s="393">
        <f t="shared" si="970"/>
        <v>6239</v>
      </c>
      <c r="H516" s="393">
        <f t="shared" si="970"/>
        <v>5404</v>
      </c>
      <c r="I516" s="393">
        <f t="shared" si="970"/>
        <v>4996</v>
      </c>
      <c r="J516" s="393">
        <f t="shared" si="970"/>
        <v>4958</v>
      </c>
      <c r="K516" s="823">
        <f t="shared" si="970"/>
        <v>21597</v>
      </c>
      <c r="L516" s="393">
        <f t="shared" si="970"/>
        <v>4521</v>
      </c>
      <c r="M516" s="393">
        <f t="shared" si="970"/>
        <v>5690</v>
      </c>
      <c r="N516" s="393">
        <f t="shared" si="970"/>
        <v>5627</v>
      </c>
      <c r="O516" s="393">
        <f t="shared" si="970"/>
        <v>3472</v>
      </c>
      <c r="P516" s="823">
        <f t="shared" si="970"/>
        <v>19310</v>
      </c>
      <c r="Q516" s="393">
        <f t="shared" si="970"/>
        <v>2600</v>
      </c>
      <c r="R516" s="393">
        <f t="shared" si="970"/>
        <v>608</v>
      </c>
      <c r="S516" s="393">
        <f t="shared" si="970"/>
        <v>2057</v>
      </c>
      <c r="T516" s="393">
        <f t="shared" si="970"/>
        <v>-555</v>
      </c>
      <c r="U516" s="823">
        <f t="shared" si="970"/>
        <v>4710</v>
      </c>
      <c r="V516" s="393">
        <f t="shared" si="970"/>
        <v>-707</v>
      </c>
      <c r="W516" s="393">
        <f t="shared" si="970"/>
        <v>-1463</v>
      </c>
      <c r="X516" s="393">
        <f t="shared" si="970"/>
        <v>1301</v>
      </c>
      <c r="Y516" s="393">
        <f t="shared" si="970"/>
        <v>438</v>
      </c>
      <c r="Z516" s="823">
        <f t="shared" si="970"/>
        <v>-431</v>
      </c>
      <c r="AA516" s="393">
        <f t="shared" si="970"/>
        <v>2699</v>
      </c>
      <c r="AB516" s="393">
        <f t="shared" si="970"/>
        <v>1466</v>
      </c>
      <c r="AC516" s="393">
        <f t="shared" si="970"/>
        <v>1986</v>
      </c>
      <c r="AD516" s="393">
        <f t="shared" si="970"/>
        <v>3118</v>
      </c>
      <c r="AE516" s="823">
        <f t="shared" si="970"/>
        <v>9269</v>
      </c>
      <c r="AF516" s="393">
        <f t="shared" si="970"/>
        <v>3659</v>
      </c>
      <c r="AG516" s="393">
        <f t="shared" si="970"/>
        <v>3422</v>
      </c>
      <c r="AH516" s="393">
        <f t="shared" si="970"/>
        <v>4056</v>
      </c>
      <c r="AI516" s="393">
        <f t="shared" ref="AI516:AQ516" si="971">AI512-SUM(AI514:AI515)</f>
        <v>3723</v>
      </c>
      <c r="AJ516" s="823">
        <f t="shared" si="971"/>
        <v>14860</v>
      </c>
      <c r="AK516" s="393">
        <f t="shared" si="971"/>
        <v>2642</v>
      </c>
      <c r="AL516" s="393">
        <f t="shared" si="971"/>
        <v>4290</v>
      </c>
      <c r="AM516" s="393">
        <f t="shared" si="971"/>
        <v>2580</v>
      </c>
      <c r="AN516" s="393">
        <f t="shared" si="971"/>
        <v>-6667</v>
      </c>
      <c r="AO516" s="823">
        <f t="shared" si="971"/>
        <v>2845</v>
      </c>
      <c r="AP516" s="393">
        <f t="shared" si="971"/>
        <v>3581</v>
      </c>
      <c r="AQ516" s="393">
        <f t="shared" si="971"/>
        <v>-8277</v>
      </c>
      <c r="AR516" s="393">
        <f>AR512-SUM(AR514:AR515)</f>
        <v>-209</v>
      </c>
      <c r="AS516" s="393">
        <f t="shared" ref="AS516:AT516" si="972">AS512-SUM(AS514:AS515)</f>
        <v>-656</v>
      </c>
      <c r="AT516" s="823">
        <f t="shared" si="972"/>
        <v>-5561</v>
      </c>
      <c r="AU516" s="393">
        <f t="shared" ref="AU516" si="973">AU512-SUM(AU514:AU515)</f>
        <v>1398</v>
      </c>
      <c r="AV516" s="393">
        <f t="shared" ref="AV516:BA516" si="974">AV512-SUM(AV514:AV515)</f>
        <v>3094</v>
      </c>
      <c r="AW516" s="393">
        <f t="shared" si="974"/>
        <v>6115</v>
      </c>
      <c r="AX516" s="393">
        <f t="shared" si="974"/>
        <v>5082</v>
      </c>
      <c r="AY516" s="823">
        <f t="shared" si="974"/>
        <v>15689</v>
      </c>
      <c r="AZ516" s="393">
        <f t="shared" si="974"/>
        <v>6277</v>
      </c>
      <c r="BA516" s="393">
        <f t="shared" si="974"/>
        <v>11715</v>
      </c>
      <c r="BB516" s="393">
        <f t="shared" ref="BB516" si="975">BB512-SUM(BB514:BB515)</f>
        <v>11238</v>
      </c>
      <c r="BC516" s="393">
        <f t="shared" ref="BC516:BD516" si="976">BC512-SUM(BC514:BC515)</f>
        <v>6378</v>
      </c>
      <c r="BD516" s="823">
        <f t="shared" si="976"/>
        <v>35608</v>
      </c>
      <c r="BE516" s="393">
        <f t="shared" ref="BE516:BI516" si="977">BE512-SUM(BE514:BE515)</f>
        <v>6605</v>
      </c>
      <c r="BF516" s="393">
        <f t="shared" si="977"/>
        <v>6008</v>
      </c>
      <c r="BG516" s="393">
        <f t="shared" si="977"/>
        <v>6555</v>
      </c>
      <c r="BH516" s="393">
        <f t="shared" si="977"/>
        <v>2243</v>
      </c>
      <c r="BI516" s="823">
        <f t="shared" si="977"/>
        <v>21411</v>
      </c>
      <c r="BJ516" s="393">
        <f t="shared" ref="BJ516:BX516" si="978">BJ512-SUM(BJ514:BJ515)</f>
        <v>5551</v>
      </c>
      <c r="BK516" s="393">
        <f t="shared" si="978"/>
        <v>4443</v>
      </c>
      <c r="BL516" s="393">
        <f t="shared" si="978"/>
        <v>4496</v>
      </c>
      <c r="BM516" s="393">
        <f t="shared" si="978"/>
        <v>3259</v>
      </c>
      <c r="BN516" s="823">
        <f t="shared" si="978"/>
        <v>17749</v>
      </c>
      <c r="BO516" s="393">
        <f t="shared" ref="BO516:BW516" si="979">BO512-SUM(BO514:BO515)</f>
        <v>3512</v>
      </c>
      <c r="BP516" s="393">
        <f t="shared" si="979"/>
        <v>2515</v>
      </c>
      <c r="BQ516" s="393">
        <f t="shared" si="979"/>
        <v>3613</v>
      </c>
      <c r="BR516" s="393">
        <f t="shared" si="979"/>
        <v>2845</v>
      </c>
      <c r="BS516" s="823">
        <f t="shared" si="979"/>
        <v>12485</v>
      </c>
      <c r="BT516" s="641">
        <f>BT512-SUM(BT514:BT515)</f>
        <v>2293</v>
      </c>
      <c r="BU516" s="393">
        <f t="shared" si="979"/>
        <v>9908.3570799616391</v>
      </c>
      <c r="BV516" s="393">
        <f t="shared" ca="1" si="979"/>
        <v>7385.6396585150669</v>
      </c>
      <c r="BW516" s="393">
        <f t="shared" ca="1" si="979"/>
        <v>6599.1302558136995</v>
      </c>
      <c r="BX516" s="823">
        <f t="shared" ca="1" si="978"/>
        <v>26186.126994290426</v>
      </c>
      <c r="BY516" s="393">
        <f t="shared" ref="BY516:CF516" ca="1" si="980">BY512-SUM(BY514:BY515)</f>
        <v>6006.1876456438331</v>
      </c>
      <c r="BZ516" s="393">
        <f t="shared" ca="1" si="980"/>
        <v>6022.9054832387683</v>
      </c>
      <c r="CA516" s="393">
        <f t="shared" ca="1" si="980"/>
        <v>6187.5099706536939</v>
      </c>
      <c r="CB516" s="393">
        <f t="shared" ca="1" si="980"/>
        <v>6097.3182936936973</v>
      </c>
      <c r="CC516" s="823">
        <f t="shared" ca="1" si="980"/>
        <v>24313.92139322999</v>
      </c>
      <c r="CD516" s="823">
        <f t="shared" ca="1" si="980"/>
        <v>23191.580506500002</v>
      </c>
      <c r="CE516" s="823">
        <f t="shared" ca="1" si="980"/>
        <v>23309.9517175</v>
      </c>
      <c r="CF516" s="823">
        <f t="shared" ca="1" si="980"/>
        <v>16259.818112999996</v>
      </c>
      <c r="CG516" s="26"/>
    </row>
    <row r="517" spans="1:85" s="428" customFormat="1" x14ac:dyDescent="0.3">
      <c r="A517" s="43" t="s">
        <v>208</v>
      </c>
      <c r="B517" s="109"/>
      <c r="C517" s="821"/>
      <c r="D517" s="821"/>
      <c r="E517" s="821"/>
      <c r="F517" s="821"/>
      <c r="G517" s="37"/>
      <c r="H517" s="37"/>
      <c r="I517" s="37"/>
      <c r="J517" s="37"/>
      <c r="K517" s="821"/>
      <c r="L517" s="37"/>
      <c r="M517" s="37"/>
      <c r="N517" s="37"/>
      <c r="O517" s="37"/>
      <c r="P517" s="821"/>
      <c r="Q517" s="37"/>
      <c r="R517" s="37"/>
      <c r="S517" s="37"/>
      <c r="T517" s="37"/>
      <c r="U517" s="821"/>
      <c r="V517" s="37"/>
      <c r="W517" s="37"/>
      <c r="X517" s="37"/>
      <c r="Y517" s="37"/>
      <c r="Z517" s="821"/>
      <c r="AA517" s="37"/>
      <c r="AB517" s="37"/>
      <c r="AC517" s="37"/>
      <c r="AD517" s="37"/>
      <c r="AE517" s="821"/>
      <c r="AF517" s="37"/>
      <c r="AG517" s="37"/>
      <c r="AH517" s="37"/>
      <c r="AI517" s="37"/>
      <c r="AJ517" s="821"/>
      <c r="AK517" s="37"/>
      <c r="AL517" s="37"/>
      <c r="AM517" s="37"/>
      <c r="AN517" s="37"/>
      <c r="AO517" s="821"/>
      <c r="AP517" s="37"/>
      <c r="AQ517" s="37"/>
      <c r="AR517" s="37"/>
      <c r="AS517" s="37"/>
      <c r="AT517" s="821"/>
      <c r="AU517" s="37"/>
      <c r="AV517" s="37"/>
      <c r="AW517" s="37"/>
      <c r="AX517" s="37"/>
      <c r="AY517" s="821"/>
      <c r="AZ517" s="37"/>
      <c r="BA517" s="37"/>
      <c r="BB517" s="37"/>
      <c r="BC517" s="37"/>
      <c r="BD517" s="821"/>
      <c r="BE517" s="37"/>
      <c r="BF517" s="37"/>
      <c r="BG517" s="37"/>
      <c r="BH517" s="37"/>
      <c r="BI517" s="821"/>
      <c r="BJ517" s="37"/>
      <c r="BK517" s="37"/>
      <c r="BL517" s="37"/>
      <c r="BM517" s="37"/>
      <c r="BN517" s="821"/>
      <c r="BO517" s="37"/>
      <c r="BP517" s="37"/>
      <c r="BQ517" s="37"/>
      <c r="BR517" s="37"/>
      <c r="BS517" s="821"/>
      <c r="BT517" s="480"/>
      <c r="BU517" s="37"/>
      <c r="BV517" s="37"/>
      <c r="BW517" s="37"/>
      <c r="BX517" s="821">
        <f>SUM(BT517,BU517,BV517,BW517)</f>
        <v>0</v>
      </c>
      <c r="BY517" s="37"/>
      <c r="BZ517" s="37"/>
      <c r="CA517" s="37"/>
      <c r="CB517" s="37"/>
      <c r="CC517" s="821">
        <f>SUM(BY517,BZ517,CA517,CB517)</f>
        <v>0</v>
      </c>
      <c r="CD517" s="821"/>
      <c r="CE517" s="821"/>
      <c r="CF517" s="821"/>
      <c r="CG517" s="22"/>
    </row>
    <row r="518" spans="1:85" s="428" customFormat="1" x14ac:dyDescent="0.3">
      <c r="A518" s="43" t="s">
        <v>209</v>
      </c>
      <c r="B518" s="109"/>
      <c r="C518" s="821">
        <f t="shared" ref="C518:AH518" si="981">C421</f>
        <v>80</v>
      </c>
      <c r="D518" s="821">
        <f t="shared" si="981"/>
        <v>112</v>
      </c>
      <c r="E518" s="821">
        <f t="shared" si="981"/>
        <v>113</v>
      </c>
      <c r="F518" s="821">
        <f t="shared" si="981"/>
        <v>157</v>
      </c>
      <c r="G518" s="37">
        <f t="shared" si="981"/>
        <v>61</v>
      </c>
      <c r="H518" s="37">
        <f t="shared" si="981"/>
        <v>39</v>
      </c>
      <c r="I518" s="37">
        <f t="shared" si="981"/>
        <v>46</v>
      </c>
      <c r="J518" s="37">
        <f t="shared" si="981"/>
        <v>28</v>
      </c>
      <c r="K518" s="821">
        <f t="shared" si="981"/>
        <v>174</v>
      </c>
      <c r="L518" s="37">
        <f t="shared" si="981"/>
        <v>9</v>
      </c>
      <c r="M518" s="37">
        <f t="shared" si="981"/>
        <v>25</v>
      </c>
      <c r="N518" s="37">
        <f t="shared" si="981"/>
        <v>34</v>
      </c>
      <c r="O518" s="37">
        <f t="shared" si="981"/>
        <v>1</v>
      </c>
      <c r="P518" s="821">
        <f t="shared" si="981"/>
        <v>69</v>
      </c>
      <c r="Q518" s="37">
        <f t="shared" si="981"/>
        <v>33</v>
      </c>
      <c r="R518" s="37">
        <f t="shared" si="981"/>
        <v>37</v>
      </c>
      <c r="S518" s="37">
        <f t="shared" si="981"/>
        <v>20</v>
      </c>
      <c r="T518" s="37">
        <f t="shared" si="981"/>
        <v>33</v>
      </c>
      <c r="U518" s="821">
        <f t="shared" si="981"/>
        <v>123</v>
      </c>
      <c r="V518" s="37">
        <f t="shared" si="981"/>
        <v>18</v>
      </c>
      <c r="W518" s="37">
        <f t="shared" si="981"/>
        <v>7</v>
      </c>
      <c r="X518" s="37">
        <f t="shared" si="981"/>
        <v>18</v>
      </c>
      <c r="Y518" s="37">
        <f t="shared" si="981"/>
        <v>23</v>
      </c>
      <c r="Z518" s="821">
        <f t="shared" si="981"/>
        <v>66</v>
      </c>
      <c r="AA518" s="37">
        <f t="shared" si="981"/>
        <v>17</v>
      </c>
      <c r="AB518" s="37">
        <f t="shared" si="981"/>
        <v>16</v>
      </c>
      <c r="AC518" s="37">
        <f t="shared" si="981"/>
        <v>34</v>
      </c>
      <c r="AD518" s="37">
        <f t="shared" si="981"/>
        <v>7</v>
      </c>
      <c r="AE518" s="821">
        <f t="shared" si="981"/>
        <v>74</v>
      </c>
      <c r="AF518" s="37">
        <f t="shared" si="981"/>
        <v>21</v>
      </c>
      <c r="AG518" s="37">
        <f t="shared" si="981"/>
        <v>13</v>
      </c>
      <c r="AH518" s="37">
        <f t="shared" si="981"/>
        <v>9</v>
      </c>
      <c r="AI518" s="37">
        <f t="shared" ref="AI518:BQ518" si="982">AI421</f>
        <v>-7</v>
      </c>
      <c r="AJ518" s="821">
        <f t="shared" si="982"/>
        <v>36</v>
      </c>
      <c r="AK518" s="37">
        <f t="shared" si="982"/>
        <v>-7</v>
      </c>
      <c r="AL518" s="37">
        <f t="shared" si="982"/>
        <v>-15</v>
      </c>
      <c r="AM518" s="37">
        <f t="shared" si="982"/>
        <v>0</v>
      </c>
      <c r="AN518" s="37">
        <f t="shared" si="982"/>
        <v>-57</v>
      </c>
      <c r="AO518" s="821">
        <f t="shared" si="982"/>
        <v>-79</v>
      </c>
      <c r="AP518" s="37">
        <f t="shared" si="982"/>
        <v>-18</v>
      </c>
      <c r="AQ518" s="37">
        <f t="shared" si="982"/>
        <v>-7</v>
      </c>
      <c r="AR518" s="37">
        <f t="shared" si="982"/>
        <v>-2</v>
      </c>
      <c r="AS518" s="37">
        <f t="shared" si="982"/>
        <v>9</v>
      </c>
      <c r="AT518" s="821">
        <f t="shared" si="982"/>
        <v>-18</v>
      </c>
      <c r="AU518" s="37">
        <f t="shared" si="982"/>
        <v>21</v>
      </c>
      <c r="AV518" s="37">
        <f t="shared" si="982"/>
        <v>12</v>
      </c>
      <c r="AW518" s="37">
        <f t="shared" si="982"/>
        <v>4</v>
      </c>
      <c r="AX518" s="37">
        <f t="shared" si="982"/>
        <v>27</v>
      </c>
      <c r="AY518" s="821">
        <f t="shared" si="982"/>
        <v>64</v>
      </c>
      <c r="AZ518" s="37">
        <f t="shared" si="982"/>
        <v>18</v>
      </c>
      <c r="BA518" s="37">
        <f t="shared" si="982"/>
        <v>93</v>
      </c>
      <c r="BB518" s="37">
        <f t="shared" si="982"/>
        <v>7</v>
      </c>
      <c r="BC518" s="37">
        <f t="shared" si="982"/>
        <v>25</v>
      </c>
      <c r="BD518" s="821">
        <f t="shared" si="982"/>
        <v>143</v>
      </c>
      <c r="BE518" s="37">
        <f t="shared" si="982"/>
        <v>31</v>
      </c>
      <c r="BF518" s="37">
        <f t="shared" si="982"/>
        <v>-2</v>
      </c>
      <c r="BG518" s="37">
        <f t="shared" si="982"/>
        <v>29</v>
      </c>
      <c r="BH518" s="37">
        <f t="shared" si="982"/>
        <v>-16</v>
      </c>
      <c r="BI518" s="821">
        <f t="shared" si="982"/>
        <v>42</v>
      </c>
      <c r="BJ518" s="37">
        <f t="shared" si="982"/>
        <v>50</v>
      </c>
      <c r="BK518" s="37">
        <f t="shared" si="982"/>
        <v>9</v>
      </c>
      <c r="BL518" s="37">
        <f t="shared" si="982"/>
        <v>9</v>
      </c>
      <c r="BM518" s="37">
        <f t="shared" si="982"/>
        <v>20</v>
      </c>
      <c r="BN518" s="821">
        <f t="shared" si="982"/>
        <v>88</v>
      </c>
      <c r="BO518" s="37">
        <f t="shared" si="982"/>
        <v>12</v>
      </c>
      <c r="BP518" s="37">
        <f t="shared" si="982"/>
        <v>25</v>
      </c>
      <c r="BQ518" s="37">
        <f t="shared" si="982"/>
        <v>74</v>
      </c>
      <c r="BR518" s="37">
        <f t="shared" ref="BR518:BS518" si="983">BR421</f>
        <v>75</v>
      </c>
      <c r="BS518" s="821">
        <f t="shared" si="983"/>
        <v>186</v>
      </c>
      <c r="BT518" s="480">
        <f>BT421</f>
        <v>83</v>
      </c>
      <c r="BU518" s="763">
        <v>10</v>
      </c>
      <c r="BV518" s="763">
        <v>10</v>
      </c>
      <c r="BW518" s="763">
        <v>10</v>
      </c>
      <c r="BX518" s="821">
        <f>SUM(BT518,BU518,BV518,BW518)</f>
        <v>113</v>
      </c>
      <c r="BY518" s="763">
        <v>10</v>
      </c>
      <c r="BZ518" s="763">
        <v>10</v>
      </c>
      <c r="CA518" s="763">
        <v>10</v>
      </c>
      <c r="CB518" s="763">
        <v>10</v>
      </c>
      <c r="CC518" s="821">
        <f>SUM(BY518,BZ518,CA518,CB518)</f>
        <v>40</v>
      </c>
      <c r="CD518" s="827">
        <v>40</v>
      </c>
      <c r="CE518" s="827">
        <v>40</v>
      </c>
      <c r="CF518" s="827">
        <v>40</v>
      </c>
      <c r="CG518" s="22"/>
    </row>
    <row r="519" spans="1:85" s="428" customFormat="1" x14ac:dyDescent="0.3">
      <c r="A519" s="242" t="s">
        <v>210</v>
      </c>
      <c r="B519" s="244"/>
      <c r="C519" s="822"/>
      <c r="D519" s="822"/>
      <c r="E519" s="822"/>
      <c r="F519" s="822"/>
      <c r="G519" s="56"/>
      <c r="H519" s="56"/>
      <c r="I519" s="56"/>
      <c r="J519" s="56"/>
      <c r="K519" s="822"/>
      <c r="L519" s="56"/>
      <c r="M519" s="56"/>
      <c r="N519" s="56"/>
      <c r="O519" s="56"/>
      <c r="P519" s="822"/>
      <c r="Q519" s="56"/>
      <c r="R519" s="56"/>
      <c r="S519" s="56"/>
      <c r="T519" s="56"/>
      <c r="U519" s="822"/>
      <c r="V519" s="56"/>
      <c r="W519" s="56"/>
      <c r="X519" s="56"/>
      <c r="Y519" s="56"/>
      <c r="Z519" s="822"/>
      <c r="AA519" s="56"/>
      <c r="AB519" s="56"/>
      <c r="AC519" s="56"/>
      <c r="AD519" s="56"/>
      <c r="AE519" s="822"/>
      <c r="AF519" s="56"/>
      <c r="AG519" s="56"/>
      <c r="AH519" s="56"/>
      <c r="AI519" s="56"/>
      <c r="AJ519" s="822"/>
      <c r="AK519" s="56"/>
      <c r="AL519" s="56"/>
      <c r="AM519" s="56"/>
      <c r="AN519" s="56"/>
      <c r="AO519" s="822"/>
      <c r="AP519" s="56"/>
      <c r="AQ519" s="56"/>
      <c r="AR519" s="56"/>
      <c r="AS519" s="56"/>
      <c r="AT519" s="822"/>
      <c r="AU519" s="56"/>
      <c r="AV519" s="56"/>
      <c r="AW519" s="56"/>
      <c r="AX519" s="56"/>
      <c r="AY519" s="822"/>
      <c r="AZ519" s="56"/>
      <c r="BA519" s="56"/>
      <c r="BB519" s="56"/>
      <c r="BC519" s="56"/>
      <c r="BD519" s="822"/>
      <c r="BE519" s="56"/>
      <c r="BF519" s="56"/>
      <c r="BG519" s="56"/>
      <c r="BH519" s="56"/>
      <c r="BI519" s="822"/>
      <c r="BJ519" s="56"/>
      <c r="BK519" s="56"/>
      <c r="BL519" s="56"/>
      <c r="BM519" s="56"/>
      <c r="BN519" s="822"/>
      <c r="BO519" s="56"/>
      <c r="BP519" s="56"/>
      <c r="BQ519" s="56"/>
      <c r="BR519" s="56"/>
      <c r="BS519" s="822"/>
      <c r="BT519" s="478"/>
      <c r="BU519" s="56"/>
      <c r="BV519" s="56"/>
      <c r="BW519" s="56"/>
      <c r="BX519" s="822">
        <f>SUM(BT519,BU519,BV519,BW519)</f>
        <v>0</v>
      </c>
      <c r="BY519" s="56"/>
      <c r="BZ519" s="56"/>
      <c r="CA519" s="56"/>
      <c r="CB519" s="56"/>
      <c r="CC519" s="822">
        <f>SUM(BY519,BZ519,CA519,CB519)</f>
        <v>0</v>
      </c>
      <c r="CD519" s="822"/>
      <c r="CE519" s="822"/>
      <c r="CF519" s="822"/>
      <c r="CG519" s="22"/>
    </row>
    <row r="520" spans="1:85" s="429" customFormat="1" x14ac:dyDescent="0.3">
      <c r="A520" s="419" t="s">
        <v>211</v>
      </c>
      <c r="B520" s="340"/>
      <c r="C520" s="832">
        <f t="shared" ref="C520:AH520" si="984">C516-SUM(C517:C519)</f>
        <v>10483</v>
      </c>
      <c r="D520" s="832">
        <f t="shared" si="984"/>
        <v>19024</v>
      </c>
      <c r="E520" s="832">
        <f t="shared" si="984"/>
        <v>26895</v>
      </c>
      <c r="F520" s="832">
        <f t="shared" si="984"/>
        <v>26179</v>
      </c>
      <c r="G520" s="39">
        <f t="shared" si="984"/>
        <v>6178</v>
      </c>
      <c r="H520" s="39">
        <f t="shared" si="984"/>
        <v>5365</v>
      </c>
      <c r="I520" s="39">
        <f t="shared" si="984"/>
        <v>4950</v>
      </c>
      <c r="J520" s="39">
        <f t="shared" si="984"/>
        <v>4930</v>
      </c>
      <c r="K520" s="832">
        <f t="shared" si="984"/>
        <v>21423</v>
      </c>
      <c r="L520" s="39">
        <f t="shared" si="984"/>
        <v>4512</v>
      </c>
      <c r="M520" s="39">
        <f t="shared" si="984"/>
        <v>5665</v>
      </c>
      <c r="N520" s="39">
        <f t="shared" si="984"/>
        <v>5593</v>
      </c>
      <c r="O520" s="39">
        <f t="shared" si="984"/>
        <v>3471</v>
      </c>
      <c r="P520" s="832">
        <f t="shared" si="984"/>
        <v>19241</v>
      </c>
      <c r="Q520" s="39">
        <f t="shared" si="984"/>
        <v>2567</v>
      </c>
      <c r="R520" s="39">
        <f t="shared" si="984"/>
        <v>571</v>
      </c>
      <c r="S520" s="39">
        <f t="shared" si="984"/>
        <v>2037</v>
      </c>
      <c r="T520" s="39">
        <f t="shared" si="984"/>
        <v>-588</v>
      </c>
      <c r="U520" s="832">
        <f t="shared" si="984"/>
        <v>4587</v>
      </c>
      <c r="V520" s="39">
        <f t="shared" si="984"/>
        <v>-725</v>
      </c>
      <c r="W520" s="39">
        <f t="shared" si="984"/>
        <v>-1470</v>
      </c>
      <c r="X520" s="39">
        <f t="shared" si="984"/>
        <v>1283</v>
      </c>
      <c r="Y520" s="39">
        <f t="shared" si="984"/>
        <v>415</v>
      </c>
      <c r="Z520" s="832">
        <f t="shared" si="984"/>
        <v>-497</v>
      </c>
      <c r="AA520" s="39">
        <f t="shared" si="984"/>
        <v>2682</v>
      </c>
      <c r="AB520" s="39">
        <f t="shared" si="984"/>
        <v>1450</v>
      </c>
      <c r="AC520" s="39">
        <f t="shared" si="984"/>
        <v>1952</v>
      </c>
      <c r="AD520" s="39">
        <f t="shared" si="984"/>
        <v>3111</v>
      </c>
      <c r="AE520" s="832">
        <f t="shared" si="984"/>
        <v>9195</v>
      </c>
      <c r="AF520" s="39">
        <f t="shared" si="984"/>
        <v>3638</v>
      </c>
      <c r="AG520" s="39">
        <f t="shared" si="984"/>
        <v>3409</v>
      </c>
      <c r="AH520" s="39">
        <f t="shared" si="984"/>
        <v>4047</v>
      </c>
      <c r="AI520" s="39">
        <f t="shared" ref="AI520:AQ520" si="985">AI516-SUM(AI517:AI519)</f>
        <v>3730</v>
      </c>
      <c r="AJ520" s="832">
        <f t="shared" si="985"/>
        <v>14824</v>
      </c>
      <c r="AK520" s="39">
        <f t="shared" si="985"/>
        <v>2649</v>
      </c>
      <c r="AL520" s="39">
        <f t="shared" si="985"/>
        <v>4305</v>
      </c>
      <c r="AM520" s="39">
        <f t="shared" si="985"/>
        <v>2580</v>
      </c>
      <c r="AN520" s="39">
        <f t="shared" si="985"/>
        <v>-6610</v>
      </c>
      <c r="AO520" s="832">
        <f t="shared" si="985"/>
        <v>2924</v>
      </c>
      <c r="AP520" s="39">
        <f t="shared" si="985"/>
        <v>3599</v>
      </c>
      <c r="AQ520" s="39">
        <f t="shared" si="985"/>
        <v>-8270</v>
      </c>
      <c r="AR520" s="39">
        <f>AR516-SUM(AR517:AR519)</f>
        <v>-207</v>
      </c>
      <c r="AS520" s="39">
        <f t="shared" ref="AS520:AT520" si="986">AS516-SUM(AS517:AS519)</f>
        <v>-665</v>
      </c>
      <c r="AT520" s="832">
        <f t="shared" si="986"/>
        <v>-5543</v>
      </c>
      <c r="AU520" s="39">
        <f t="shared" ref="AU520" si="987">AU516-SUM(AU517:AU519)</f>
        <v>1377</v>
      </c>
      <c r="AV520" s="39">
        <f t="shared" ref="AV520:BA520" si="988">AV516-SUM(AV517:AV519)</f>
        <v>3082</v>
      </c>
      <c r="AW520" s="39">
        <f t="shared" si="988"/>
        <v>6111</v>
      </c>
      <c r="AX520" s="39">
        <f t="shared" si="988"/>
        <v>5055</v>
      </c>
      <c r="AY520" s="832">
        <f t="shared" si="988"/>
        <v>15625</v>
      </c>
      <c r="AZ520" s="39">
        <f t="shared" si="988"/>
        <v>6259</v>
      </c>
      <c r="BA520" s="39">
        <f t="shared" si="988"/>
        <v>11622</v>
      </c>
      <c r="BB520" s="39">
        <f t="shared" ref="BB520" si="989">BB516-SUM(BB517:BB519)</f>
        <v>11231</v>
      </c>
      <c r="BC520" s="39">
        <f t="shared" ref="BC520:BD520" si="990">BC516-SUM(BC517:BC519)</f>
        <v>6353</v>
      </c>
      <c r="BD520" s="832">
        <f t="shared" si="990"/>
        <v>35465</v>
      </c>
      <c r="BE520" s="39">
        <f t="shared" ref="BE520:BI520" si="991">BE516-SUM(BE517:BE519)</f>
        <v>6574</v>
      </c>
      <c r="BF520" s="39">
        <f t="shared" si="991"/>
        <v>6010</v>
      </c>
      <c r="BG520" s="39">
        <f t="shared" si="991"/>
        <v>6526</v>
      </c>
      <c r="BH520" s="39">
        <f t="shared" si="991"/>
        <v>2259</v>
      </c>
      <c r="BI520" s="832">
        <f t="shared" si="991"/>
        <v>21369</v>
      </c>
      <c r="BJ520" s="39">
        <f t="shared" ref="BJ520:BX520" si="992">BJ516-SUM(BJ517:BJ519)</f>
        <v>5501</v>
      </c>
      <c r="BK520" s="39">
        <f t="shared" si="992"/>
        <v>4434</v>
      </c>
      <c r="BL520" s="39">
        <f t="shared" si="992"/>
        <v>4487</v>
      </c>
      <c r="BM520" s="39">
        <f t="shared" si="992"/>
        <v>3239</v>
      </c>
      <c r="BN520" s="832">
        <f t="shared" si="992"/>
        <v>17661</v>
      </c>
      <c r="BO520" s="39">
        <f t="shared" ref="BO520:BW520" si="993">BO516-SUM(BO517:BO519)</f>
        <v>3500</v>
      </c>
      <c r="BP520" s="39">
        <f t="shared" si="993"/>
        <v>2490</v>
      </c>
      <c r="BQ520" s="39">
        <f t="shared" si="993"/>
        <v>3539</v>
      </c>
      <c r="BR520" s="39">
        <f t="shared" si="993"/>
        <v>2770</v>
      </c>
      <c r="BS520" s="832">
        <f t="shared" si="993"/>
        <v>12299</v>
      </c>
      <c r="BT520" s="734">
        <f>BT516-SUM(BT517:BT519)</f>
        <v>2210</v>
      </c>
      <c r="BU520" s="39">
        <f t="shared" si="993"/>
        <v>9898.3570799616391</v>
      </c>
      <c r="BV520" s="39">
        <f t="shared" ca="1" si="993"/>
        <v>7375.6396585150669</v>
      </c>
      <c r="BW520" s="39">
        <f t="shared" ca="1" si="993"/>
        <v>6589.1302558136995</v>
      </c>
      <c r="BX520" s="832">
        <f t="shared" ca="1" si="992"/>
        <v>26073.126994290426</v>
      </c>
      <c r="BY520" s="39">
        <f t="shared" ref="BY520:CF520" ca="1" si="994">BY516-SUM(BY517:BY519)</f>
        <v>5996.1876456438331</v>
      </c>
      <c r="BZ520" s="39">
        <f t="shared" ca="1" si="994"/>
        <v>6012.9054832387683</v>
      </c>
      <c r="CA520" s="39">
        <f t="shared" ca="1" si="994"/>
        <v>6177.5099706536939</v>
      </c>
      <c r="CB520" s="39">
        <f t="shared" ca="1" si="994"/>
        <v>6087.3182936936973</v>
      </c>
      <c r="CC520" s="832">
        <f t="shared" ca="1" si="994"/>
        <v>24273.92139322999</v>
      </c>
      <c r="CD520" s="832">
        <f t="shared" ca="1" si="994"/>
        <v>23151.580506500002</v>
      </c>
      <c r="CE520" s="832">
        <f t="shared" ca="1" si="994"/>
        <v>23269.9517175</v>
      </c>
      <c r="CF520" s="832">
        <f t="shared" ca="1" si="994"/>
        <v>16219.818112999996</v>
      </c>
      <c r="CG520" s="26"/>
    </row>
    <row r="521" spans="1:85" s="428" customFormat="1" x14ac:dyDescent="0.3">
      <c r="A521" s="289" t="s">
        <v>212</v>
      </c>
      <c r="B521" s="290"/>
      <c r="C521" s="900"/>
      <c r="D521" s="900"/>
      <c r="E521" s="900"/>
      <c r="F521" s="900"/>
      <c r="G521" s="135"/>
      <c r="H521" s="135"/>
      <c r="I521" s="135"/>
      <c r="J521" s="135"/>
      <c r="K521" s="900"/>
      <c r="L521" s="135"/>
      <c r="M521" s="135"/>
      <c r="N521" s="135"/>
      <c r="O521" s="135"/>
      <c r="P521" s="900"/>
      <c r="Q521" s="135"/>
      <c r="R521" s="135"/>
      <c r="S521" s="135"/>
      <c r="T521" s="135"/>
      <c r="U521" s="900"/>
      <c r="V521" s="135"/>
      <c r="W521" s="135"/>
      <c r="X521" s="135"/>
      <c r="Y521" s="135"/>
      <c r="Z521" s="900"/>
      <c r="AA521" s="135"/>
      <c r="AB521" s="135"/>
      <c r="AC521" s="135"/>
      <c r="AD521" s="135"/>
      <c r="AE521" s="900"/>
      <c r="AF521" s="135"/>
      <c r="AG521" s="135"/>
      <c r="AH521" s="135"/>
      <c r="AI521" s="135"/>
      <c r="AJ521" s="900"/>
      <c r="AK521" s="135"/>
      <c r="AL521" s="135"/>
      <c r="AM521" s="135"/>
      <c r="AN521" s="135"/>
      <c r="AO521" s="900"/>
      <c r="AP521" s="135"/>
      <c r="AQ521" s="135"/>
      <c r="AR521" s="135"/>
      <c r="AS521" s="135"/>
      <c r="AT521" s="900"/>
      <c r="AU521" s="135"/>
      <c r="AV521" s="135"/>
      <c r="AW521" s="135"/>
      <c r="AX521" s="135"/>
      <c r="AY521" s="900"/>
      <c r="AZ521" s="135"/>
      <c r="BA521" s="135"/>
      <c r="BB521" s="135"/>
      <c r="BC521" s="135"/>
      <c r="BD521" s="900"/>
      <c r="BE521" s="135"/>
      <c r="BF521" s="135"/>
      <c r="BG521" s="135"/>
      <c r="BH521" s="135"/>
      <c r="BI521" s="900"/>
      <c r="BJ521" s="135"/>
      <c r="BK521" s="135"/>
      <c r="BL521" s="135"/>
      <c r="BM521" s="135"/>
      <c r="BN521" s="900"/>
      <c r="BO521" s="135"/>
      <c r="BP521" s="135"/>
      <c r="BQ521" s="135"/>
      <c r="BR521" s="135"/>
      <c r="BS521" s="900"/>
      <c r="BT521" s="670"/>
      <c r="BU521" s="135"/>
      <c r="BV521" s="135"/>
      <c r="BW521" s="135"/>
      <c r="BX521" s="900">
        <f>SUM(BT521,BU521,BV521,BW521)</f>
        <v>0</v>
      </c>
      <c r="BY521" s="135"/>
      <c r="BZ521" s="135"/>
      <c r="CA521" s="135"/>
      <c r="CB521" s="135"/>
      <c r="CC521" s="900">
        <f>SUM(BY521,BZ521,CA521,CB521)</f>
        <v>0</v>
      </c>
      <c r="CD521" s="900"/>
      <c r="CE521" s="900"/>
      <c r="CF521" s="900"/>
      <c r="CG521" s="22"/>
    </row>
    <row r="522" spans="1:85" s="429" customFormat="1" x14ac:dyDescent="0.3">
      <c r="A522" s="419" t="s">
        <v>213</v>
      </c>
      <c r="B522" s="340"/>
      <c r="C522" s="832">
        <f t="shared" ref="C522:AH522" si="995">C520-C521</f>
        <v>10483</v>
      </c>
      <c r="D522" s="832">
        <f t="shared" si="995"/>
        <v>19024</v>
      </c>
      <c r="E522" s="832">
        <f t="shared" si="995"/>
        <v>26895</v>
      </c>
      <c r="F522" s="832">
        <f t="shared" si="995"/>
        <v>26179</v>
      </c>
      <c r="G522" s="39">
        <f t="shared" si="995"/>
        <v>6178</v>
      </c>
      <c r="H522" s="39">
        <f t="shared" si="995"/>
        <v>5365</v>
      </c>
      <c r="I522" s="39">
        <f t="shared" si="995"/>
        <v>4950</v>
      </c>
      <c r="J522" s="39">
        <f t="shared" si="995"/>
        <v>4930</v>
      </c>
      <c r="K522" s="832">
        <f t="shared" si="995"/>
        <v>21423</v>
      </c>
      <c r="L522" s="39">
        <f t="shared" si="995"/>
        <v>4512</v>
      </c>
      <c r="M522" s="39">
        <f t="shared" si="995"/>
        <v>5665</v>
      </c>
      <c r="N522" s="39">
        <f t="shared" si="995"/>
        <v>5593</v>
      </c>
      <c r="O522" s="39">
        <f t="shared" si="995"/>
        <v>3471</v>
      </c>
      <c r="P522" s="832">
        <f t="shared" si="995"/>
        <v>19241</v>
      </c>
      <c r="Q522" s="39">
        <f t="shared" si="995"/>
        <v>2567</v>
      </c>
      <c r="R522" s="39">
        <f t="shared" si="995"/>
        <v>571</v>
      </c>
      <c r="S522" s="39">
        <f t="shared" si="995"/>
        <v>2037</v>
      </c>
      <c r="T522" s="39">
        <f t="shared" si="995"/>
        <v>-588</v>
      </c>
      <c r="U522" s="832">
        <f t="shared" si="995"/>
        <v>4587</v>
      </c>
      <c r="V522" s="39">
        <f t="shared" si="995"/>
        <v>-725</v>
      </c>
      <c r="W522" s="39">
        <f t="shared" si="995"/>
        <v>-1470</v>
      </c>
      <c r="X522" s="39">
        <f t="shared" si="995"/>
        <v>1283</v>
      </c>
      <c r="Y522" s="39">
        <f t="shared" si="995"/>
        <v>415</v>
      </c>
      <c r="Z522" s="832">
        <f t="shared" si="995"/>
        <v>-497</v>
      </c>
      <c r="AA522" s="39">
        <f t="shared" si="995"/>
        <v>2682</v>
      </c>
      <c r="AB522" s="39">
        <f t="shared" si="995"/>
        <v>1450</v>
      </c>
      <c r="AC522" s="39">
        <f t="shared" si="995"/>
        <v>1952</v>
      </c>
      <c r="AD522" s="39">
        <f t="shared" si="995"/>
        <v>3111</v>
      </c>
      <c r="AE522" s="832">
        <f t="shared" si="995"/>
        <v>9195</v>
      </c>
      <c r="AF522" s="39">
        <f t="shared" si="995"/>
        <v>3638</v>
      </c>
      <c r="AG522" s="39">
        <f t="shared" si="995"/>
        <v>3409</v>
      </c>
      <c r="AH522" s="39">
        <f t="shared" si="995"/>
        <v>4047</v>
      </c>
      <c r="AI522" s="39">
        <f t="shared" ref="AI522:AQ522" si="996">AI520-AI521</f>
        <v>3730</v>
      </c>
      <c r="AJ522" s="832">
        <f t="shared" si="996"/>
        <v>14824</v>
      </c>
      <c r="AK522" s="39">
        <f t="shared" si="996"/>
        <v>2649</v>
      </c>
      <c r="AL522" s="39">
        <f t="shared" si="996"/>
        <v>4305</v>
      </c>
      <c r="AM522" s="39">
        <f t="shared" si="996"/>
        <v>2580</v>
      </c>
      <c r="AN522" s="39">
        <f t="shared" si="996"/>
        <v>-6610</v>
      </c>
      <c r="AO522" s="832">
        <f t="shared" si="996"/>
        <v>2924</v>
      </c>
      <c r="AP522" s="39">
        <f t="shared" si="996"/>
        <v>3599</v>
      </c>
      <c r="AQ522" s="39">
        <f t="shared" si="996"/>
        <v>-8270</v>
      </c>
      <c r="AR522" s="39">
        <f>AR520-AR521</f>
        <v>-207</v>
      </c>
      <c r="AS522" s="39">
        <f t="shared" ref="AS522:AU522" si="997">AS520-AS521</f>
        <v>-665</v>
      </c>
      <c r="AT522" s="832">
        <f t="shared" si="997"/>
        <v>-5543</v>
      </c>
      <c r="AU522" s="39">
        <f t="shared" si="997"/>
        <v>1377</v>
      </c>
      <c r="AV522" s="39">
        <f t="shared" ref="AV522:BA522" si="998">AV520-AV521</f>
        <v>3082</v>
      </c>
      <c r="AW522" s="39">
        <f t="shared" si="998"/>
        <v>6111</v>
      </c>
      <c r="AX522" s="39">
        <f t="shared" si="998"/>
        <v>5055</v>
      </c>
      <c r="AY522" s="832">
        <f t="shared" si="998"/>
        <v>15625</v>
      </c>
      <c r="AZ522" s="39">
        <f t="shared" si="998"/>
        <v>6259</v>
      </c>
      <c r="BA522" s="39">
        <f t="shared" si="998"/>
        <v>11622</v>
      </c>
      <c r="BB522" s="39">
        <f t="shared" ref="BB522" si="999">BB520-BB521</f>
        <v>11231</v>
      </c>
      <c r="BC522" s="39">
        <f t="shared" ref="BC522:BD522" si="1000">BC520-BC521</f>
        <v>6353</v>
      </c>
      <c r="BD522" s="832">
        <f t="shared" si="1000"/>
        <v>35465</v>
      </c>
      <c r="BE522" s="39">
        <f t="shared" ref="BE522:BI522" si="1001">BE520-BE521</f>
        <v>6574</v>
      </c>
      <c r="BF522" s="39">
        <f t="shared" si="1001"/>
        <v>6010</v>
      </c>
      <c r="BG522" s="39">
        <f t="shared" si="1001"/>
        <v>6526</v>
      </c>
      <c r="BH522" s="39">
        <f t="shared" si="1001"/>
        <v>2259</v>
      </c>
      <c r="BI522" s="832">
        <f t="shared" si="1001"/>
        <v>21369</v>
      </c>
      <c r="BJ522" s="39">
        <f t="shared" ref="BJ522:BX522" si="1002">BJ520-BJ521</f>
        <v>5501</v>
      </c>
      <c r="BK522" s="39">
        <f t="shared" si="1002"/>
        <v>4434</v>
      </c>
      <c r="BL522" s="39">
        <f t="shared" si="1002"/>
        <v>4487</v>
      </c>
      <c r="BM522" s="39">
        <f t="shared" si="1002"/>
        <v>3239</v>
      </c>
      <c r="BN522" s="832">
        <f t="shared" si="1002"/>
        <v>17661</v>
      </c>
      <c r="BO522" s="39">
        <f t="shared" ref="BO522:BW522" si="1003">BO520-BO521</f>
        <v>3500</v>
      </c>
      <c r="BP522" s="39">
        <f t="shared" si="1003"/>
        <v>2490</v>
      </c>
      <c r="BQ522" s="39">
        <f t="shared" si="1003"/>
        <v>3539</v>
      </c>
      <c r="BR522" s="39">
        <f t="shared" si="1003"/>
        <v>2770</v>
      </c>
      <c r="BS522" s="832">
        <f t="shared" si="1003"/>
        <v>12299</v>
      </c>
      <c r="BT522" s="734">
        <f>BT520-BT521</f>
        <v>2210</v>
      </c>
      <c r="BU522" s="39">
        <f t="shared" si="1003"/>
        <v>9898.3570799616391</v>
      </c>
      <c r="BV522" s="39">
        <f t="shared" ca="1" si="1003"/>
        <v>7375.6396585150669</v>
      </c>
      <c r="BW522" s="39">
        <f t="shared" ca="1" si="1003"/>
        <v>6589.1302558136995</v>
      </c>
      <c r="BX522" s="832">
        <f t="shared" ca="1" si="1002"/>
        <v>26073.126994290426</v>
      </c>
      <c r="BY522" s="39">
        <f t="shared" ref="BY522:CF522" ca="1" si="1004">BY520-BY521</f>
        <v>5996.1876456438331</v>
      </c>
      <c r="BZ522" s="39">
        <f t="shared" ca="1" si="1004"/>
        <v>6012.9054832387683</v>
      </c>
      <c r="CA522" s="39">
        <f t="shared" ca="1" si="1004"/>
        <v>6177.5099706536939</v>
      </c>
      <c r="CB522" s="39">
        <f t="shared" ca="1" si="1004"/>
        <v>6087.3182936936973</v>
      </c>
      <c r="CC522" s="832">
        <f t="shared" ca="1" si="1004"/>
        <v>24273.92139322999</v>
      </c>
      <c r="CD522" s="832">
        <f t="shared" ca="1" si="1004"/>
        <v>23151.580506500002</v>
      </c>
      <c r="CE522" s="832">
        <f t="shared" ca="1" si="1004"/>
        <v>23269.9517175</v>
      </c>
      <c r="CF522" s="832">
        <f t="shared" ca="1" si="1004"/>
        <v>16219.818112999996</v>
      </c>
      <c r="CG522" s="26"/>
    </row>
    <row r="523" spans="1:85" s="428" customFormat="1" x14ac:dyDescent="0.3">
      <c r="A523" s="296" t="s">
        <v>214</v>
      </c>
      <c r="B523" s="297"/>
      <c r="C523" s="886"/>
      <c r="D523" s="886"/>
      <c r="E523" s="886"/>
      <c r="F523" s="886"/>
      <c r="G523" s="84"/>
      <c r="H523" s="84"/>
      <c r="I523" s="84"/>
      <c r="J523" s="84"/>
      <c r="K523" s="886"/>
      <c r="L523" s="84"/>
      <c r="M523" s="84"/>
      <c r="N523" s="84"/>
      <c r="O523" s="84"/>
      <c r="P523" s="886"/>
      <c r="Q523" s="84"/>
      <c r="R523" s="84"/>
      <c r="S523" s="84"/>
      <c r="T523" s="84"/>
      <c r="U523" s="886"/>
      <c r="V523" s="84"/>
      <c r="W523" s="84"/>
      <c r="X523" s="84"/>
      <c r="Y523" s="84"/>
      <c r="Z523" s="886"/>
      <c r="AA523" s="84"/>
      <c r="AB523" s="84"/>
      <c r="AC523" s="84"/>
      <c r="AD523" s="84"/>
      <c r="AE523" s="886"/>
      <c r="AF523" s="84"/>
      <c r="AG523" s="84"/>
      <c r="AH523" s="84"/>
      <c r="AI523" s="84"/>
      <c r="AJ523" s="886"/>
      <c r="AK523" s="84">
        <f t="shared" ref="AK523:BD523" si="1005">SUM(AK471:AK484)</f>
        <v>-137</v>
      </c>
      <c r="AL523" s="84">
        <f t="shared" si="1005"/>
        <v>935</v>
      </c>
      <c r="AM523" s="84">
        <f t="shared" si="1005"/>
        <v>-356</v>
      </c>
      <c r="AN523" s="84">
        <f t="shared" si="1005"/>
        <v>-9406</v>
      </c>
      <c r="AO523" s="886">
        <f t="shared" si="1005"/>
        <v>-8964</v>
      </c>
      <c r="AP523" s="84">
        <f t="shared" si="1005"/>
        <v>1194</v>
      </c>
      <c r="AQ523" s="84">
        <f t="shared" si="1005"/>
        <v>-5307</v>
      </c>
      <c r="AR523" s="84">
        <f t="shared" si="1005"/>
        <v>-408</v>
      </c>
      <c r="AS523" s="84">
        <f t="shared" si="1005"/>
        <v>-654</v>
      </c>
      <c r="AT523" s="886">
        <f t="shared" si="1005"/>
        <v>-5175</v>
      </c>
      <c r="AU523" s="84">
        <f t="shared" si="1005"/>
        <v>-353</v>
      </c>
      <c r="AV523" s="84">
        <f t="shared" si="1005"/>
        <v>-192</v>
      </c>
      <c r="AW523" s="84">
        <f t="shared" si="1005"/>
        <v>424</v>
      </c>
      <c r="AX523" s="84">
        <f t="shared" si="1005"/>
        <v>138</v>
      </c>
      <c r="AY523" s="886">
        <f t="shared" si="1005"/>
        <v>17</v>
      </c>
      <c r="AZ523" s="84">
        <f t="shared" si="1005"/>
        <v>-284</v>
      </c>
      <c r="BA523" s="84">
        <f t="shared" si="1005"/>
        <v>257</v>
      </c>
      <c r="BB523" s="84">
        <f t="shared" si="1005"/>
        <v>447</v>
      </c>
      <c r="BC523" s="84">
        <f t="shared" si="1005"/>
        <v>-1497</v>
      </c>
      <c r="BD523" s="886">
        <f t="shared" si="1005"/>
        <v>-1077</v>
      </c>
      <c r="BE523" s="84">
        <f t="shared" ref="BE523:BJ523" si="1006">SUM(BE471:BE484)</f>
        <v>-170</v>
      </c>
      <c r="BF523" s="84">
        <f t="shared" si="1006"/>
        <v>235</v>
      </c>
      <c r="BG523" s="84">
        <f t="shared" si="1006"/>
        <v>805</v>
      </c>
      <c r="BH523" s="84">
        <f t="shared" si="1006"/>
        <v>-4194</v>
      </c>
      <c r="BI523" s="886">
        <f>SUM(BI471:BI484)</f>
        <v>-3324</v>
      </c>
      <c r="BJ523" s="84">
        <f t="shared" si="1006"/>
        <v>85</v>
      </c>
      <c r="BK523" s="84">
        <f t="shared" ref="BK523:BO523" si="1007">SUM(BK471:BK484)</f>
        <v>-243</v>
      </c>
      <c r="BL523" s="84">
        <f t="shared" si="1007"/>
        <v>-44</v>
      </c>
      <c r="BM523" s="84">
        <f t="shared" si="1007"/>
        <v>-393</v>
      </c>
      <c r="BN523" s="886">
        <f t="shared" si="1007"/>
        <v>-595</v>
      </c>
      <c r="BO523" s="84">
        <f t="shared" si="1007"/>
        <v>-313</v>
      </c>
      <c r="BP523" s="84">
        <f t="shared" ref="BP523" si="1008">SUM(BP471:BP484)</f>
        <v>-563</v>
      </c>
      <c r="BQ523" s="84">
        <f>SUM(BQ471:BQ484)</f>
        <v>-88</v>
      </c>
      <c r="BR523" s="84">
        <f t="shared" ref="BR523" si="1009">SUM(BR471:BR484)</f>
        <v>-258</v>
      </c>
      <c r="BS523" s="886">
        <f>SUM(BS471:BS484)</f>
        <v>-1222</v>
      </c>
      <c r="BT523" s="479">
        <f>SUM(BT471:BT484)</f>
        <v>-583</v>
      </c>
      <c r="BU523" s="785">
        <v>0</v>
      </c>
      <c r="BV523" s="785">
        <v>0</v>
      </c>
      <c r="BW523" s="785">
        <v>0</v>
      </c>
      <c r="BX523" s="886">
        <f>SUM(BT523,BU523,BV523,BW523)</f>
        <v>-583</v>
      </c>
      <c r="BY523" s="785">
        <v>0</v>
      </c>
      <c r="BZ523" s="785">
        <v>0</v>
      </c>
      <c r="CA523" s="785">
        <v>0</v>
      </c>
      <c r="CB523" s="785">
        <v>0</v>
      </c>
      <c r="CC523" s="886">
        <f>SUM(BY523,BZ523,CA523,CB523)</f>
        <v>0</v>
      </c>
      <c r="CD523" s="887">
        <v>0</v>
      </c>
      <c r="CE523" s="887">
        <v>0</v>
      </c>
      <c r="CF523" s="887">
        <v>0</v>
      </c>
      <c r="CG523" s="22"/>
    </row>
    <row r="524" spans="1:85" s="428" customFormat="1" x14ac:dyDescent="0.3">
      <c r="A524" s="242" t="s">
        <v>215</v>
      </c>
      <c r="B524" s="244"/>
      <c r="C524" s="822"/>
      <c r="D524" s="822"/>
      <c r="E524" s="822"/>
      <c r="F524" s="822"/>
      <c r="G524" s="56"/>
      <c r="H524" s="56"/>
      <c r="I524" s="56"/>
      <c r="J524" s="56"/>
      <c r="K524" s="822"/>
      <c r="L524" s="56"/>
      <c r="M524" s="56"/>
      <c r="N524" s="56"/>
      <c r="O524" s="56"/>
      <c r="P524" s="822"/>
      <c r="Q524" s="56"/>
      <c r="R524" s="56"/>
      <c r="S524" s="56"/>
      <c r="T524" s="56"/>
      <c r="U524" s="822"/>
      <c r="V524" s="56"/>
      <c r="W524" s="56"/>
      <c r="X524" s="56"/>
      <c r="Y524" s="56"/>
      <c r="Z524" s="822"/>
      <c r="AA524" s="56"/>
      <c r="AB524" s="56"/>
      <c r="AC524" s="56"/>
      <c r="AD524" s="56"/>
      <c r="AE524" s="822"/>
      <c r="AF524" s="56"/>
      <c r="AG524" s="56"/>
      <c r="AH524" s="56"/>
      <c r="AI524" s="56"/>
      <c r="AJ524" s="822"/>
      <c r="AK524" s="56"/>
      <c r="AL524" s="56"/>
      <c r="AM524" s="56"/>
      <c r="AN524" s="56"/>
      <c r="AO524" s="822"/>
      <c r="AP524" s="56"/>
      <c r="AQ524" s="56"/>
      <c r="AR524" s="56"/>
      <c r="AS524" s="56"/>
      <c r="AT524" s="822"/>
      <c r="AU524" s="56"/>
      <c r="AV524" s="56"/>
      <c r="AW524" s="56"/>
      <c r="AX524" s="56"/>
      <c r="AY524" s="822"/>
      <c r="AZ524" s="56"/>
      <c r="BA524" s="56"/>
      <c r="BB524" s="56"/>
      <c r="BC524" s="56"/>
      <c r="BD524" s="822"/>
      <c r="BE524" s="56"/>
      <c r="BF524" s="56"/>
      <c r="BG524" s="56"/>
      <c r="BH524" s="56"/>
      <c r="BI524" s="822"/>
      <c r="BJ524" s="56"/>
      <c r="BK524" s="56"/>
      <c r="BL524" s="56"/>
      <c r="BM524" s="56"/>
      <c r="BN524" s="822"/>
      <c r="BO524" s="56"/>
      <c r="BP524" s="56"/>
      <c r="BQ524" s="56"/>
      <c r="BR524" s="56"/>
      <c r="BS524" s="822"/>
      <c r="BT524" s="478"/>
      <c r="BU524" s="56"/>
      <c r="BV524" s="56"/>
      <c r="BW524" s="56"/>
      <c r="BX524" s="822">
        <f>SUM(BT524,BU524,BV524,BW524)</f>
        <v>0</v>
      </c>
      <c r="BY524" s="56"/>
      <c r="BZ524" s="56"/>
      <c r="CA524" s="56"/>
      <c r="CB524" s="56"/>
      <c r="CC524" s="822">
        <f>SUM(BY524,BZ524,CA524,CB524)</f>
        <v>0</v>
      </c>
      <c r="CD524" s="822"/>
      <c r="CE524" s="822"/>
      <c r="CF524" s="822"/>
      <c r="CG524" s="22"/>
    </row>
    <row r="525" spans="1:85" s="429" customFormat="1" x14ac:dyDescent="0.3">
      <c r="A525" s="419" t="s">
        <v>216</v>
      </c>
      <c r="B525" s="340"/>
      <c r="C525" s="832">
        <f t="shared" ref="C525:AH525" si="1010">C522-SUM(C523:C524)</f>
        <v>10483</v>
      </c>
      <c r="D525" s="832">
        <f t="shared" si="1010"/>
        <v>19024</v>
      </c>
      <c r="E525" s="832">
        <f t="shared" si="1010"/>
        <v>26895</v>
      </c>
      <c r="F525" s="832">
        <f t="shared" si="1010"/>
        <v>26179</v>
      </c>
      <c r="G525" s="39">
        <f t="shared" si="1010"/>
        <v>6178</v>
      </c>
      <c r="H525" s="39">
        <f t="shared" si="1010"/>
        <v>5365</v>
      </c>
      <c r="I525" s="39">
        <f t="shared" si="1010"/>
        <v>4950</v>
      </c>
      <c r="J525" s="39">
        <f t="shared" si="1010"/>
        <v>4930</v>
      </c>
      <c r="K525" s="832">
        <f t="shared" si="1010"/>
        <v>21423</v>
      </c>
      <c r="L525" s="39">
        <f t="shared" si="1010"/>
        <v>4512</v>
      </c>
      <c r="M525" s="39">
        <f t="shared" si="1010"/>
        <v>5665</v>
      </c>
      <c r="N525" s="39">
        <f t="shared" si="1010"/>
        <v>5593</v>
      </c>
      <c r="O525" s="39">
        <f t="shared" si="1010"/>
        <v>3471</v>
      </c>
      <c r="P525" s="832">
        <f t="shared" si="1010"/>
        <v>19241</v>
      </c>
      <c r="Q525" s="39">
        <f t="shared" si="1010"/>
        <v>2567</v>
      </c>
      <c r="R525" s="39">
        <f t="shared" si="1010"/>
        <v>571</v>
      </c>
      <c r="S525" s="39">
        <f t="shared" si="1010"/>
        <v>2037</v>
      </c>
      <c r="T525" s="39">
        <f t="shared" si="1010"/>
        <v>-588</v>
      </c>
      <c r="U525" s="832">
        <f t="shared" si="1010"/>
        <v>4587</v>
      </c>
      <c r="V525" s="39">
        <f t="shared" si="1010"/>
        <v>-725</v>
      </c>
      <c r="W525" s="39">
        <f t="shared" si="1010"/>
        <v>-1470</v>
      </c>
      <c r="X525" s="39">
        <f t="shared" si="1010"/>
        <v>1283</v>
      </c>
      <c r="Y525" s="39">
        <f t="shared" si="1010"/>
        <v>415</v>
      </c>
      <c r="Z525" s="832">
        <f t="shared" si="1010"/>
        <v>-497</v>
      </c>
      <c r="AA525" s="39">
        <f t="shared" si="1010"/>
        <v>2682</v>
      </c>
      <c r="AB525" s="39">
        <f t="shared" si="1010"/>
        <v>1450</v>
      </c>
      <c r="AC525" s="39">
        <f t="shared" si="1010"/>
        <v>1952</v>
      </c>
      <c r="AD525" s="39">
        <f t="shared" si="1010"/>
        <v>3111</v>
      </c>
      <c r="AE525" s="832">
        <f t="shared" si="1010"/>
        <v>9195</v>
      </c>
      <c r="AF525" s="39">
        <f t="shared" si="1010"/>
        <v>3638</v>
      </c>
      <c r="AG525" s="39">
        <f t="shared" si="1010"/>
        <v>3409</v>
      </c>
      <c r="AH525" s="39">
        <f t="shared" si="1010"/>
        <v>4047</v>
      </c>
      <c r="AI525" s="39">
        <f t="shared" ref="AI525:AQ525" si="1011">AI522-SUM(AI523:AI524)</f>
        <v>3730</v>
      </c>
      <c r="AJ525" s="832">
        <f t="shared" si="1011"/>
        <v>14824</v>
      </c>
      <c r="AK525" s="39">
        <f t="shared" si="1011"/>
        <v>2786</v>
      </c>
      <c r="AL525" s="39">
        <f t="shared" si="1011"/>
        <v>3370</v>
      </c>
      <c r="AM525" s="39">
        <f t="shared" si="1011"/>
        <v>2936</v>
      </c>
      <c r="AN525" s="39">
        <f t="shared" si="1011"/>
        <v>2796</v>
      </c>
      <c r="AO525" s="832">
        <f t="shared" si="1011"/>
        <v>11888</v>
      </c>
      <c r="AP525" s="39">
        <f t="shared" si="1011"/>
        <v>2405</v>
      </c>
      <c r="AQ525" s="39">
        <f t="shared" si="1011"/>
        <v>-2963</v>
      </c>
      <c r="AR525" s="39">
        <f>AR522-SUM(AR523:AR524)</f>
        <v>201</v>
      </c>
      <c r="AS525" s="39">
        <f t="shared" ref="AS525:AT525" si="1012">AS522-SUM(AS523:AS524)</f>
        <v>-11</v>
      </c>
      <c r="AT525" s="832">
        <f t="shared" si="1012"/>
        <v>-368</v>
      </c>
      <c r="AU525" s="39">
        <f t="shared" ref="AU525" si="1013">AU522-SUM(AU523:AU524)</f>
        <v>1730</v>
      </c>
      <c r="AV525" s="39">
        <f t="shared" ref="AV525:BA525" si="1014">AV522-SUM(AV523:AV524)</f>
        <v>3274</v>
      </c>
      <c r="AW525" s="39">
        <f t="shared" si="1014"/>
        <v>5687</v>
      </c>
      <c r="AX525" s="39">
        <f t="shared" si="1014"/>
        <v>4917</v>
      </c>
      <c r="AY525" s="832">
        <f t="shared" si="1014"/>
        <v>15608</v>
      </c>
      <c r="AZ525" s="39">
        <f t="shared" si="1014"/>
        <v>6543</v>
      </c>
      <c r="BA525" s="39">
        <f t="shared" si="1014"/>
        <v>11365</v>
      </c>
      <c r="BB525" s="39">
        <f t="shared" ref="BB525" si="1015">BB522-SUM(BB523:BB524)</f>
        <v>10784</v>
      </c>
      <c r="BC525" s="39">
        <f t="shared" ref="BC525:BD525" si="1016">BC522-SUM(BC523:BC524)</f>
        <v>7850</v>
      </c>
      <c r="BD525" s="832">
        <f t="shared" si="1016"/>
        <v>36542</v>
      </c>
      <c r="BE525" s="39">
        <f t="shared" ref="BE525:BI525" si="1017">BE522-SUM(BE523:BE524)</f>
        <v>6744</v>
      </c>
      <c r="BF525" s="39">
        <f t="shared" si="1017"/>
        <v>5775</v>
      </c>
      <c r="BG525" s="39">
        <f t="shared" si="1017"/>
        <v>5721</v>
      </c>
      <c r="BH525" s="39">
        <f t="shared" si="1017"/>
        <v>6453</v>
      </c>
      <c r="BI525" s="832">
        <f t="shared" si="1017"/>
        <v>24693</v>
      </c>
      <c r="BJ525" s="39">
        <f t="shared" ref="BJ525:BX525" si="1018">BJ522-SUM(BJ523:BJ524)</f>
        <v>5416</v>
      </c>
      <c r="BK525" s="39">
        <f t="shared" si="1018"/>
        <v>4677</v>
      </c>
      <c r="BL525" s="39">
        <f t="shared" si="1018"/>
        <v>4531</v>
      </c>
      <c r="BM525" s="39">
        <f t="shared" si="1018"/>
        <v>3632</v>
      </c>
      <c r="BN525" s="832">
        <f t="shared" si="1018"/>
        <v>18256</v>
      </c>
      <c r="BO525" s="39">
        <f t="shared" ref="BO525:BW525" si="1019">BO522-SUM(BO523:BO524)</f>
        <v>3813</v>
      </c>
      <c r="BP525" s="39">
        <f t="shared" si="1019"/>
        <v>3053</v>
      </c>
      <c r="BQ525" s="39">
        <f t="shared" si="1019"/>
        <v>3627</v>
      </c>
      <c r="BR525" s="39">
        <f t="shared" si="1019"/>
        <v>3028</v>
      </c>
      <c r="BS525" s="832">
        <f>BS522-SUM(BS523:BS524)</f>
        <v>13521</v>
      </c>
      <c r="BT525" s="734">
        <f>BT522-SUM(BT523:BT524)</f>
        <v>2793</v>
      </c>
      <c r="BU525" s="39">
        <f t="shared" si="1019"/>
        <v>9898.3570799616391</v>
      </c>
      <c r="BV525" s="39">
        <f t="shared" ca="1" si="1019"/>
        <v>7375.6396585150669</v>
      </c>
      <c r="BW525" s="39">
        <f t="shared" ca="1" si="1019"/>
        <v>6589.1302558136995</v>
      </c>
      <c r="BX525" s="832">
        <f t="shared" ca="1" si="1018"/>
        <v>26656.126994290426</v>
      </c>
      <c r="BY525" s="39">
        <f t="shared" ref="BY525:CF525" ca="1" si="1020">BY522-SUM(BY523:BY524)</f>
        <v>5996.1876456438331</v>
      </c>
      <c r="BZ525" s="39">
        <f t="shared" ca="1" si="1020"/>
        <v>6012.9054832387683</v>
      </c>
      <c r="CA525" s="39">
        <f t="shared" ca="1" si="1020"/>
        <v>6177.5099706536939</v>
      </c>
      <c r="CB525" s="39">
        <f t="shared" ca="1" si="1020"/>
        <v>6087.3182936936973</v>
      </c>
      <c r="CC525" s="832">
        <f t="shared" ca="1" si="1020"/>
        <v>24273.92139322999</v>
      </c>
      <c r="CD525" s="832">
        <f t="shared" ca="1" si="1020"/>
        <v>23151.580506500002</v>
      </c>
      <c r="CE525" s="832">
        <f t="shared" ca="1" si="1020"/>
        <v>23269.9517175</v>
      </c>
      <c r="CF525" s="832">
        <f t="shared" ca="1" si="1020"/>
        <v>16219.818112999996</v>
      </c>
      <c r="CG525" s="26"/>
    </row>
    <row r="526" spans="1:85" s="438" customFormat="1" x14ac:dyDescent="0.3">
      <c r="A526" s="341"/>
      <c r="B526" s="342"/>
      <c r="C526" s="901"/>
      <c r="D526" s="901"/>
      <c r="E526" s="901"/>
      <c r="F526" s="901"/>
      <c r="G526" s="745"/>
      <c r="H526" s="745"/>
      <c r="I526" s="745"/>
      <c r="J526" s="745"/>
      <c r="K526" s="901"/>
      <c r="L526" s="745"/>
      <c r="M526" s="745"/>
      <c r="N526" s="745"/>
      <c r="O526" s="745"/>
      <c r="P526" s="901"/>
      <c r="Q526" s="745"/>
      <c r="R526" s="745"/>
      <c r="S526" s="745"/>
      <c r="T526" s="745"/>
      <c r="U526" s="901"/>
      <c r="V526" s="745"/>
      <c r="W526" s="745"/>
      <c r="X526" s="745"/>
      <c r="Y526" s="745"/>
      <c r="Z526" s="901"/>
      <c r="AA526" s="745"/>
      <c r="AB526" s="745"/>
      <c r="AC526" s="745"/>
      <c r="AD526" s="745"/>
      <c r="AE526" s="901"/>
      <c r="AF526" s="745"/>
      <c r="AG526" s="745"/>
      <c r="AH526" s="745"/>
      <c r="AI526" s="745"/>
      <c r="AJ526" s="901"/>
      <c r="AK526" s="745"/>
      <c r="AL526" s="745"/>
      <c r="AM526" s="745"/>
      <c r="AN526" s="745"/>
      <c r="AO526" s="901"/>
      <c r="AP526" s="745"/>
      <c r="AQ526" s="745"/>
      <c r="AR526" s="745"/>
      <c r="AS526" s="745"/>
      <c r="AT526" s="901"/>
      <c r="AU526" s="745"/>
      <c r="AV526" s="745"/>
      <c r="AW526" s="745"/>
      <c r="AX526" s="745"/>
      <c r="AY526" s="901"/>
      <c r="AZ526" s="745"/>
      <c r="BA526" s="745"/>
      <c r="BB526" s="745"/>
      <c r="BC526" s="745"/>
      <c r="BD526" s="901"/>
      <c r="BE526" s="745"/>
      <c r="BF526" s="745"/>
      <c r="BG526" s="745"/>
      <c r="BH526" s="745"/>
      <c r="BI526" s="901"/>
      <c r="BJ526" s="745"/>
      <c r="BK526" s="745"/>
      <c r="BL526" s="745"/>
      <c r="BM526" s="745"/>
      <c r="BN526" s="901"/>
      <c r="BO526" s="745"/>
      <c r="BP526" s="745"/>
      <c r="BQ526" s="745"/>
      <c r="BR526" s="745"/>
      <c r="BS526" s="901"/>
      <c r="BT526" s="746"/>
      <c r="BU526" s="745"/>
      <c r="BV526" s="745"/>
      <c r="BW526" s="745"/>
      <c r="BX526" s="901"/>
      <c r="BY526" s="745"/>
      <c r="BZ526" s="745"/>
      <c r="CA526" s="745"/>
      <c r="CB526" s="745"/>
      <c r="CC526" s="901"/>
      <c r="CD526" s="901"/>
      <c r="CE526" s="901"/>
      <c r="CF526" s="901"/>
      <c r="CG526" s="322"/>
    </row>
    <row r="527" spans="1:85" s="434" customFormat="1" x14ac:dyDescent="0.3">
      <c r="A527" s="45" t="s">
        <v>217</v>
      </c>
      <c r="B527" s="110"/>
      <c r="C527" s="885">
        <f t="shared" ref="C527:AQ527" si="1021">C514/C512</f>
        <v>0.40468480138169255</v>
      </c>
      <c r="D527" s="885">
        <f t="shared" si="1021"/>
        <v>0.38558727187646236</v>
      </c>
      <c r="E527" s="885">
        <f t="shared" si="1021"/>
        <v>0.39965150942604022</v>
      </c>
      <c r="F527" s="885">
        <f t="shared" si="1021"/>
        <v>0.38809030475697143</v>
      </c>
      <c r="G527" s="45">
        <f t="shared" si="1021"/>
        <v>0.38091996499076147</v>
      </c>
      <c r="H527" s="45">
        <f t="shared" si="1021"/>
        <v>0.38188380486668994</v>
      </c>
      <c r="I527" s="45">
        <f t="shared" si="1021"/>
        <v>0.32846632710809281</v>
      </c>
      <c r="J527" s="45">
        <f t="shared" si="1021"/>
        <v>0.28458160526957793</v>
      </c>
      <c r="K527" s="885">
        <f t="shared" si="1021"/>
        <v>0.34624704080211671</v>
      </c>
      <c r="L527" s="45">
        <f t="shared" si="1021"/>
        <v>0.39354187689202824</v>
      </c>
      <c r="M527" s="45">
        <f t="shared" si="1021"/>
        <v>0.34551899855987595</v>
      </c>
      <c r="N527" s="45">
        <f t="shared" si="1021"/>
        <v>0.36861107976982965</v>
      </c>
      <c r="O527" s="45">
        <f t="shared" si="1021"/>
        <v>0.15118870728083209</v>
      </c>
      <c r="P527" s="885">
        <f t="shared" si="1021"/>
        <v>0.33074802897250177</v>
      </c>
      <c r="Q527" s="45">
        <f t="shared" si="1021"/>
        <v>0.42203098106712567</v>
      </c>
      <c r="R527" s="45">
        <f t="shared" si="1021"/>
        <v>0.4115920763022744</v>
      </c>
      <c r="S527" s="45">
        <f t="shared" si="1021"/>
        <v>0.17169540229885058</v>
      </c>
      <c r="T527" s="45">
        <f t="shared" si="1021"/>
        <v>0.12307692307692308</v>
      </c>
      <c r="U527" s="885">
        <f t="shared" si="1021"/>
        <v>0.41160677406030566</v>
      </c>
      <c r="V527" s="45">
        <f t="shared" si="1021"/>
        <v>-4.9678550555230856E-2</v>
      </c>
      <c r="W527" s="45">
        <f t="shared" si="1021"/>
        <v>-0.26280193236714977</v>
      </c>
      <c r="X527" s="45">
        <f t="shared" si="1021"/>
        <v>0.63751127141568986</v>
      </c>
      <c r="Y527" s="45">
        <f t="shared" si="1021"/>
        <v>1.50390625</v>
      </c>
      <c r="Z527" s="885">
        <f t="shared" si="1021"/>
        <v>-0.97499999999999998</v>
      </c>
      <c r="AA527" s="45">
        <f t="shared" si="1021"/>
        <v>0.31735378715244489</v>
      </c>
      <c r="AB527" s="45">
        <f t="shared" si="1021"/>
        <v>0.59907834101382484</v>
      </c>
      <c r="AC527" s="45">
        <f t="shared" si="1021"/>
        <v>-4.1384499623777278E-2</v>
      </c>
      <c r="AD527" s="45">
        <f t="shared" si="1021"/>
        <v>0.74409182984469957</v>
      </c>
      <c r="AE527" s="885">
        <f t="shared" si="1021"/>
        <v>0.34215377941654918</v>
      </c>
      <c r="AF527" s="45">
        <f t="shared" si="1021"/>
        <v>0.20323280110388331</v>
      </c>
      <c r="AG527" s="45">
        <f t="shared" si="1021"/>
        <v>0.27645259938837918</v>
      </c>
      <c r="AH527" s="45">
        <f t="shared" si="1021"/>
        <v>0.23635725565888752</v>
      </c>
      <c r="AI527" s="45">
        <f t="shared" si="1021"/>
        <v>0.19007758268681094</v>
      </c>
      <c r="AJ527" s="885">
        <f t="shared" si="1021"/>
        <v>0.22673147023086271</v>
      </c>
      <c r="AK527" s="45">
        <f t="shared" si="1021"/>
        <v>0.31387414708112205</v>
      </c>
      <c r="AL527" s="45">
        <f t="shared" si="1021"/>
        <v>0.22308340353833192</v>
      </c>
      <c r="AM527" s="45">
        <f t="shared" si="1021"/>
        <v>0.2165966905408743</v>
      </c>
      <c r="AN527" s="45">
        <f t="shared" si="1021"/>
        <v>-0.14443783462224866</v>
      </c>
      <c r="AO527" s="885">
        <f t="shared" si="1021"/>
        <v>0.84122109826589597</v>
      </c>
      <c r="AP527" s="45">
        <f t="shared" si="1021"/>
        <v>0.12207478890229191</v>
      </c>
      <c r="AQ527" s="45">
        <f t="shared" si="1021"/>
        <v>-2.689440407662546E-2</v>
      </c>
      <c r="AR527" s="45">
        <f>AR514/AR512</f>
        <v>-18.136363636363637</v>
      </c>
      <c r="AS527" s="45">
        <f t="shared" ref="AS527:AU527" si="1022">AS514/AS512</f>
        <v>-0.12852664576802508</v>
      </c>
      <c r="AT527" s="885">
        <f t="shared" si="1022"/>
        <v>-0.22970615859385482</v>
      </c>
      <c r="AU527" s="45">
        <f t="shared" si="1022"/>
        <v>0.47450620119430409</v>
      </c>
      <c r="AV527" s="45">
        <f t="shared" ref="AV527:BA527" si="1023">AV514/AV512</f>
        <v>0.28493894165535955</v>
      </c>
      <c r="AW527" s="45">
        <f t="shared" si="1023"/>
        <v>0.15915580384854128</v>
      </c>
      <c r="AX527" s="45">
        <f t="shared" si="1023"/>
        <v>0.23979957050823192</v>
      </c>
      <c r="AY527" s="885">
        <f t="shared" si="1023"/>
        <v>0.24261749618743936</v>
      </c>
      <c r="AZ527" s="45">
        <f t="shared" si="1023"/>
        <v>0.23757455268389663</v>
      </c>
      <c r="BA527" s="45">
        <f t="shared" si="1023"/>
        <v>0.22327063675560832</v>
      </c>
      <c r="BB527" s="45">
        <f t="shared" ref="BB527" si="1024">BB514/BB512</f>
        <v>0.21621986629752177</v>
      </c>
      <c r="BC527" s="45">
        <f t="shared" ref="BC527:BG527" si="1025">BC514/BC512</f>
        <v>0.3075040783034258</v>
      </c>
      <c r="BD527" s="885">
        <f t="shared" si="1025"/>
        <v>0.24040745661714377</v>
      </c>
      <c r="BE527" s="45">
        <f t="shared" si="1025"/>
        <v>0.22313268200441222</v>
      </c>
      <c r="BF527" s="45">
        <f t="shared" si="1025"/>
        <v>0.14776062268725276</v>
      </c>
      <c r="BG527" s="45">
        <f t="shared" si="1025"/>
        <v>0.26298924238956284</v>
      </c>
      <c r="BH527" s="45">
        <f t="shared" ref="BH527:BI527" si="1026">BH514/BH512</f>
        <v>0.65759312320916907</v>
      </c>
      <c r="BI527" s="885">
        <f t="shared" si="1026"/>
        <v>0.26619118442401296</v>
      </c>
      <c r="BJ527" s="45">
        <f t="shared" ref="BJ527:BO527" si="1027">BJ514/BJ512</f>
        <v>0.21244635193133046</v>
      </c>
      <c r="BK527" s="45">
        <f t="shared" si="1027"/>
        <v>0.3040079590676521</v>
      </c>
      <c r="BL527" s="45">
        <f t="shared" si="1027"/>
        <v>0.24503005085529359</v>
      </c>
      <c r="BM527" s="45">
        <f t="shared" si="1027"/>
        <v>0.51246080211255984</v>
      </c>
      <c r="BN527" s="885">
        <f t="shared" si="1027"/>
        <v>0.30964153275648948</v>
      </c>
      <c r="BO527" s="45">
        <f t="shared" si="1027"/>
        <v>0.28497223714848646</v>
      </c>
      <c r="BP527" s="45">
        <f t="shared" ref="BP527" si="1028">BP514/BP512</f>
        <v>0.38654448999276586</v>
      </c>
      <c r="BQ527" s="45">
        <f>BQ514/BQ512</f>
        <v>0.29571481344661987</v>
      </c>
      <c r="BR527" s="45">
        <f>BR514/BR512</f>
        <v>0.32115677321156771</v>
      </c>
      <c r="BS527" s="885">
        <f>BS514/BS512</f>
        <v>0.31768221648179101</v>
      </c>
      <c r="BT527" s="663">
        <f>BT514/BT512</f>
        <v>0.48580841358337556</v>
      </c>
      <c r="BU527" s="786">
        <v>0.3</v>
      </c>
      <c r="BV527" s="786">
        <v>0.3</v>
      </c>
      <c r="BW527" s="786">
        <v>0.3</v>
      </c>
      <c r="BX527" s="885">
        <f ca="1">BX514/BX512</f>
        <v>0.3173274538552453</v>
      </c>
      <c r="BY527" s="786">
        <v>0.35</v>
      </c>
      <c r="BZ527" s="786">
        <v>0.35</v>
      </c>
      <c r="CA527" s="786">
        <v>0.35</v>
      </c>
      <c r="CB527" s="786">
        <v>0.35</v>
      </c>
      <c r="CC527" s="885">
        <f ca="1">CC514/CC512</f>
        <v>0.35000000000000003</v>
      </c>
      <c r="CD527" s="902">
        <v>0.35</v>
      </c>
      <c r="CE527" s="902">
        <v>0.28999999999999998</v>
      </c>
      <c r="CF527" s="902">
        <v>0.35</v>
      </c>
      <c r="CG527" s="81"/>
    </row>
    <row r="528" spans="1:85" s="434" customFormat="1" x14ac:dyDescent="0.3">
      <c r="A528" s="45" t="s">
        <v>218</v>
      </c>
      <c r="B528" s="110"/>
      <c r="C528" s="885">
        <f t="shared" ref="C528:AQ528" si="1029">C515/C512</f>
        <v>2.5205094991364422E-2</v>
      </c>
      <c r="D528" s="885">
        <f t="shared" si="1029"/>
        <v>1.7438777101856186E-2</v>
      </c>
      <c r="E528" s="885">
        <f t="shared" si="1029"/>
        <v>3.335852542301717E-2</v>
      </c>
      <c r="F528" s="885">
        <f t="shared" si="1029"/>
        <v>4.3490460157126827E-2</v>
      </c>
      <c r="G528" s="45">
        <f t="shared" si="1029"/>
        <v>1.235048137703005E-2</v>
      </c>
      <c r="H528" s="45">
        <f t="shared" si="1029"/>
        <v>-1.1060658982419374E-2</v>
      </c>
      <c r="I528" s="45">
        <f t="shared" si="1029"/>
        <v>0.10605546123372948</v>
      </c>
      <c r="J528" s="45">
        <f t="shared" si="1029"/>
        <v>0.11063674066845572</v>
      </c>
      <c r="K528" s="885">
        <f t="shared" si="1029"/>
        <v>5.2248990391310403E-2</v>
      </c>
      <c r="L528" s="45">
        <f t="shared" si="1029"/>
        <v>3.6200807265388497E-2</v>
      </c>
      <c r="M528" s="45">
        <f t="shared" si="1029"/>
        <v>2.4149772903511686E-2</v>
      </c>
      <c r="N528" s="45">
        <f t="shared" si="1029"/>
        <v>-3.4976870134266051E-3</v>
      </c>
      <c r="O528" s="45">
        <f t="shared" si="1029"/>
        <v>0.20393759286775631</v>
      </c>
      <c r="P528" s="885">
        <f t="shared" si="1029"/>
        <v>5.0381385808602012E-2</v>
      </c>
      <c r="Q528" s="45">
        <f t="shared" si="1029"/>
        <v>-0.317039586919105</v>
      </c>
      <c r="R528" s="45">
        <f t="shared" si="1029"/>
        <v>0.14233308877476156</v>
      </c>
      <c r="S528" s="45">
        <f t="shared" si="1029"/>
        <v>8.9439655172413798E-2</v>
      </c>
      <c r="T528" s="45">
        <f t="shared" si="1029"/>
        <v>0.62579185520361991</v>
      </c>
      <c r="U528" s="885">
        <f t="shared" si="1029"/>
        <v>-0.38434531185460552</v>
      </c>
      <c r="V528" s="45">
        <f t="shared" si="1029"/>
        <v>0.63646990064289888</v>
      </c>
      <c r="W528" s="45">
        <f t="shared" si="1029"/>
        <v>0.55603864734299513</v>
      </c>
      <c r="X528" s="45">
        <f t="shared" si="1029"/>
        <v>-0.81064021641118122</v>
      </c>
      <c r="Y528" s="45">
        <f t="shared" si="1029"/>
        <v>-1.359375</v>
      </c>
      <c r="Z528" s="885">
        <f t="shared" si="1029"/>
        <v>1.775462962962963</v>
      </c>
      <c r="AA528" s="45">
        <f t="shared" si="1029"/>
        <v>-0.17992968999680409</v>
      </c>
      <c r="AB528" s="45">
        <f t="shared" si="1029"/>
        <v>-0.3497183819764465</v>
      </c>
      <c r="AC528" s="45">
        <f t="shared" si="1029"/>
        <v>0.29420617005267119</v>
      </c>
      <c r="AD528" s="45">
        <f t="shared" si="1029"/>
        <v>-1.8494260634706279</v>
      </c>
      <c r="AE528" s="885">
        <f t="shared" si="1029"/>
        <v>-0.34735928858041426</v>
      </c>
      <c r="AF528" s="45">
        <f t="shared" si="1029"/>
        <v>7.5497733096786909E-2</v>
      </c>
      <c r="AG528" s="45">
        <f t="shared" si="1029"/>
        <v>2.5891946992864425E-2</v>
      </c>
      <c r="AH528" s="45">
        <f t="shared" si="1029"/>
        <v>5.1938936655553603E-2</v>
      </c>
      <c r="AI528" s="45">
        <f t="shared" si="1029"/>
        <v>4.9816251531237241E-2</v>
      </c>
      <c r="AJ528" s="885">
        <f t="shared" si="1029"/>
        <v>5.1032806804374241E-2</v>
      </c>
      <c r="AK528" s="45">
        <f t="shared" si="1029"/>
        <v>1.8448319433914583E-2</v>
      </c>
      <c r="AL528" s="45">
        <f t="shared" si="1029"/>
        <v>5.4085930918281379E-2</v>
      </c>
      <c r="AM528" s="45">
        <f t="shared" si="1029"/>
        <v>0.14620894047913066</v>
      </c>
      <c r="AN528" s="45">
        <f t="shared" si="1029"/>
        <v>0.35121951219512193</v>
      </c>
      <c r="AO528" s="885">
        <f t="shared" si="1029"/>
        <v>-0.35513005780346824</v>
      </c>
      <c r="AP528" s="45">
        <f t="shared" si="1029"/>
        <v>1.399276236429433E-2</v>
      </c>
      <c r="AQ528" s="45">
        <f t="shared" si="1029"/>
        <v>0.24582428989336605</v>
      </c>
      <c r="AR528" s="45">
        <f>AR515/AR512</f>
        <v>14.386363636363637</v>
      </c>
      <c r="AS528" s="45">
        <f t="shared" ref="AS528:AU528" si="1030">AS515/AS512</f>
        <v>0.44305120167189133</v>
      </c>
      <c r="AT528" s="885">
        <f t="shared" si="1030"/>
        <v>0.48356366563799813</v>
      </c>
      <c r="AU528" s="45">
        <f t="shared" si="1030"/>
        <v>-0.11667432246210381</v>
      </c>
      <c r="AV528" s="45">
        <f t="shared" ref="AV528:BA528" si="1031">AV515/AV512</f>
        <v>1.5377657168701944E-2</v>
      </c>
      <c r="AW528" s="45">
        <f t="shared" si="1031"/>
        <v>8.168839230291744E-2</v>
      </c>
      <c r="AX528" s="45">
        <f t="shared" si="1031"/>
        <v>3.2641374373657842E-2</v>
      </c>
      <c r="AY528" s="885">
        <f t="shared" si="1031"/>
        <v>3.2348999491658578E-2</v>
      </c>
      <c r="AZ528" s="45">
        <f t="shared" si="1031"/>
        <v>6.9140711287828588E-2</v>
      </c>
      <c r="BA528" s="45">
        <f t="shared" si="1031"/>
        <v>4.4679122664500408E-2</v>
      </c>
      <c r="BB528" s="45">
        <f t="shared" ref="BB528" si="1032">BB515/BB512</f>
        <v>2.4917280032412722E-2</v>
      </c>
      <c r="BC528" s="45">
        <f>BC515/BC512</f>
        <v>4.2210440456769985E-2</v>
      </c>
      <c r="BD528" s="885">
        <f>BD515/BD512</f>
        <v>4.275878729315135E-2</v>
      </c>
      <c r="BE528" s="45">
        <f>BE515/BE512</f>
        <v>8.2991910915012082E-2</v>
      </c>
      <c r="BF528" s="45">
        <f>BF515/BF512</f>
        <v>8.5619497256603297E-2</v>
      </c>
      <c r="BG528" s="45">
        <f>BG515/BG512</f>
        <v>-1.3160906385900664E-2</v>
      </c>
      <c r="BH528" s="45">
        <f t="shared" ref="BH528:BI528" si="1033">BH515/BH512</f>
        <v>-0.30028653295128938</v>
      </c>
      <c r="BI528" s="885">
        <f t="shared" si="1033"/>
        <v>1.0073012439156301E-2</v>
      </c>
      <c r="BJ528" s="45">
        <f t="shared" ref="BJ528:BO528" si="1034">BJ515/BJ512</f>
        <v>8.6846755869729869E-2</v>
      </c>
      <c r="BK528" s="45">
        <f t="shared" si="1034"/>
        <v>6.4525298465036948E-2</v>
      </c>
      <c r="BL528" s="45">
        <f t="shared" si="1034"/>
        <v>6.2105100940052393E-2</v>
      </c>
      <c r="BM528" s="45">
        <f t="shared" si="1034"/>
        <v>-5.0338339660009904E-2</v>
      </c>
      <c r="BN528" s="885">
        <f t="shared" si="1034"/>
        <v>4.5081073220388276E-2</v>
      </c>
      <c r="BO528" s="45">
        <f t="shared" si="1034"/>
        <v>8.5975282106394407E-2</v>
      </c>
      <c r="BP528" s="45">
        <f t="shared" ref="BP528" si="1035">BP515/BP512</f>
        <v>6.993006993006993E-3</v>
      </c>
      <c r="BQ528" s="45">
        <f>BQ515/BQ512</f>
        <v>3.6941263391207978E-2</v>
      </c>
      <c r="BR528" s="81">
        <f>BR515/BR512</f>
        <v>6.0230484888019131E-2</v>
      </c>
      <c r="BS528" s="885">
        <f>BS515/BS512</f>
        <v>4.994175150686319E-2</v>
      </c>
      <c r="BT528" s="714">
        <f t="shared" ref="BT528" si="1036">BT515/BT512</f>
        <v>-6.6903193106943745E-2</v>
      </c>
      <c r="BU528" s="786">
        <v>0.08</v>
      </c>
      <c r="BV528" s="786">
        <v>0.08</v>
      </c>
      <c r="BW528" s="786">
        <v>7.0000000000000007E-2</v>
      </c>
      <c r="BX528" s="885">
        <f ca="1">BX515/BX512</f>
        <v>6.3825155062969999E-2</v>
      </c>
      <c r="BY528" s="786">
        <v>0.02</v>
      </c>
      <c r="BZ528" s="786">
        <v>0.02</v>
      </c>
      <c r="CA528" s="786">
        <v>0.02</v>
      </c>
      <c r="CB528" s="786">
        <v>0.02</v>
      </c>
      <c r="CC528" s="885">
        <f ca="1">CC515/CC512</f>
        <v>0.02</v>
      </c>
      <c r="CD528" s="902">
        <v>2.0000000000000007E-2</v>
      </c>
      <c r="CE528" s="902">
        <v>0.01</v>
      </c>
      <c r="CF528" s="902">
        <v>2.0000000000000007E-2</v>
      </c>
      <c r="CG528" s="81"/>
    </row>
    <row r="529" spans="1:85" s="424" customFormat="1" x14ac:dyDescent="0.3">
      <c r="A529" s="722"/>
      <c r="B529" s="339"/>
      <c r="C529" s="837"/>
      <c r="D529" s="837"/>
      <c r="E529" s="837"/>
      <c r="F529" s="837"/>
      <c r="G529" s="722"/>
      <c r="H529" s="722"/>
      <c r="I529" s="722"/>
      <c r="J529" s="722"/>
      <c r="K529" s="837"/>
      <c r="L529" s="722"/>
      <c r="M529" s="722"/>
      <c r="N529" s="722"/>
      <c r="O529" s="722"/>
      <c r="P529" s="837"/>
      <c r="Q529" s="722"/>
      <c r="R529" s="722"/>
      <c r="S529" s="722"/>
      <c r="T529" s="722"/>
      <c r="U529" s="837"/>
      <c r="V529" s="722"/>
      <c r="W529" s="722"/>
      <c r="X529" s="722"/>
      <c r="Y529" s="722"/>
      <c r="Z529" s="837"/>
      <c r="AA529" s="722"/>
      <c r="AB529" s="722"/>
      <c r="AC529" s="722"/>
      <c r="AD529" s="722"/>
      <c r="AE529" s="837"/>
      <c r="AF529" s="722"/>
      <c r="AG529" s="722"/>
      <c r="AH529" s="722"/>
      <c r="AI529" s="722"/>
      <c r="AJ529" s="837"/>
      <c r="AK529" s="722"/>
      <c r="AL529" s="722"/>
      <c r="AM529" s="722"/>
      <c r="AN529" s="722"/>
      <c r="AO529" s="837"/>
      <c r="AP529" s="722"/>
      <c r="AQ529" s="722"/>
      <c r="AR529" s="722"/>
      <c r="AS529" s="722"/>
      <c r="AT529" s="837"/>
      <c r="AU529" s="722"/>
      <c r="AV529" s="722"/>
      <c r="AW529" s="722"/>
      <c r="AX529" s="722"/>
      <c r="AY529" s="837"/>
      <c r="AZ529" s="722"/>
      <c r="BA529" s="722"/>
      <c r="BB529" s="722"/>
      <c r="BC529" s="722"/>
      <c r="BD529" s="837"/>
      <c r="BE529" s="722"/>
      <c r="BF529" s="722"/>
      <c r="BG529" s="722"/>
      <c r="BH529" s="722"/>
      <c r="BI529" s="837"/>
      <c r="BJ529" s="722"/>
      <c r="BK529" s="722"/>
      <c r="BL529" s="722"/>
      <c r="BM529" s="722"/>
      <c r="BN529" s="837"/>
      <c r="BO529" s="722"/>
      <c r="BP529" s="722"/>
      <c r="BQ529" s="722"/>
      <c r="BR529" s="722"/>
      <c r="BS529" s="837"/>
      <c r="BT529" s="723"/>
      <c r="BU529" s="722"/>
      <c r="BV529" s="722"/>
      <c r="BW529" s="722"/>
      <c r="BX529" s="837"/>
      <c r="BY529" s="722"/>
      <c r="BZ529" s="722"/>
      <c r="CA529" s="722"/>
      <c r="CB529" s="722"/>
      <c r="CC529" s="837"/>
      <c r="CD529" s="837"/>
      <c r="CE529" s="837"/>
      <c r="CF529" s="837"/>
      <c r="CG529" s="190"/>
    </row>
    <row r="530" spans="1:85" s="437" customFormat="1" x14ac:dyDescent="0.3">
      <c r="A530" s="59" t="s">
        <v>219</v>
      </c>
      <c r="B530" s="111"/>
      <c r="C530" s="876">
        <f t="shared" ref="C530:AH530" si="1037">C$520/C535</f>
        <v>5.2625502008032132</v>
      </c>
      <c r="D530" s="876">
        <f t="shared" si="1037"/>
        <v>9.5273103877931842</v>
      </c>
      <c r="E530" s="876">
        <f t="shared" si="1037"/>
        <v>13.539010169737255</v>
      </c>
      <c r="F530" s="876">
        <f t="shared" si="1037"/>
        <v>13.421824371436774</v>
      </c>
      <c r="G530" s="44">
        <f t="shared" si="1037"/>
        <v>3.2026724533881041</v>
      </c>
      <c r="H530" s="44">
        <f t="shared" si="1037"/>
        <v>2.7922479078958942</v>
      </c>
      <c r="I530" s="44">
        <f t="shared" si="1037"/>
        <v>2.586143391463219</v>
      </c>
      <c r="J530" s="44">
        <f t="shared" si="1037"/>
        <v>2.5893809121133655</v>
      </c>
      <c r="K530" s="876">
        <f t="shared" si="1037"/>
        <v>11.175168934251008</v>
      </c>
      <c r="L530" s="44">
        <f t="shared" si="1037"/>
        <v>2.3809624322966578</v>
      </c>
      <c r="M530" s="44">
        <f t="shared" si="1037"/>
        <v>3.0012561303239185</v>
      </c>
      <c r="N530" s="44">
        <f t="shared" si="1037"/>
        <v>2.9735527655423026</v>
      </c>
      <c r="O530" s="44">
        <f t="shared" si="1037"/>
        <v>1.8548285392437043</v>
      </c>
      <c r="P530" s="876">
        <f t="shared" si="1037"/>
        <v>10.214834843093108</v>
      </c>
      <c r="Q530" s="44">
        <f t="shared" si="1037"/>
        <v>1.375187166348361</v>
      </c>
      <c r="R530" s="44">
        <f t="shared" si="1037"/>
        <v>0.30574637187219056</v>
      </c>
      <c r="S530" s="44">
        <f t="shared" si="1037"/>
        <v>1.0902119624671651</v>
      </c>
      <c r="T530" s="44">
        <f t="shared" si="1037"/>
        <v>-0.31459462235804719</v>
      </c>
      <c r="U530" s="876">
        <f t="shared" si="1037"/>
        <v>2.4556450123424667</v>
      </c>
      <c r="V530" s="44">
        <f t="shared" si="1037"/>
        <v>-0.38774718883288095</v>
      </c>
      <c r="W530" s="44">
        <f t="shared" si="1037"/>
        <v>-0.7852585076349029</v>
      </c>
      <c r="X530" s="44">
        <f t="shared" si="1037"/>
        <v>0.68476005911459403</v>
      </c>
      <c r="Y530" s="44">
        <f t="shared" si="1037"/>
        <v>0.22125144080004522</v>
      </c>
      <c r="Z530" s="876">
        <f t="shared" si="1037"/>
        <v>-0.2653796022936914</v>
      </c>
      <c r="AA530" s="44">
        <f t="shared" si="1037"/>
        <v>1.4270724476048382</v>
      </c>
      <c r="AB530" s="44">
        <f t="shared" si="1037"/>
        <v>0.77085877388798307</v>
      </c>
      <c r="AC530" s="44">
        <f t="shared" si="1037"/>
        <v>1.0368363742596871</v>
      </c>
      <c r="AD530" s="44">
        <f t="shared" si="1037"/>
        <v>1.6476017623142476</v>
      </c>
      <c r="AE530" s="876">
        <f t="shared" si="1037"/>
        <v>4.8835956860774763</v>
      </c>
      <c r="AF530" s="44">
        <f t="shared" si="1037"/>
        <v>1.918786491489934</v>
      </c>
      <c r="AG530" s="44">
        <f t="shared" si="1037"/>
        <v>1.7938564756955864</v>
      </c>
      <c r="AH530" s="44">
        <f t="shared" si="1037"/>
        <v>2.1291965084754856</v>
      </c>
      <c r="AI530" s="44">
        <f t="shared" ref="AI530:AQ530" si="1038">AI$520/AI535</f>
        <v>1.9699958540301732</v>
      </c>
      <c r="AJ530" s="876">
        <f t="shared" si="1038"/>
        <v>7.8118783341053515</v>
      </c>
      <c r="AK530" s="44">
        <f t="shared" si="1038"/>
        <v>1.4030705475947589</v>
      </c>
      <c r="AL530" s="44">
        <f t="shared" si="1038"/>
        <v>2.2786639248596674</v>
      </c>
      <c r="AM530" s="44">
        <f t="shared" si="1038"/>
        <v>1.3718974777824393</v>
      </c>
      <c r="AN530" s="44">
        <f>AN$520/AN535</f>
        <v>-3.5303850790224089</v>
      </c>
      <c r="AO530" s="876">
        <f t="shared" si="1038"/>
        <v>1.5532544771604129</v>
      </c>
      <c r="AP530" s="44">
        <f t="shared" si="1038"/>
        <v>1.932584535135289</v>
      </c>
      <c r="AQ530" s="44">
        <f t="shared" si="1038"/>
        <v>-4.4622791724873236</v>
      </c>
      <c r="AR530" s="44">
        <f>AR$520/AR535</f>
        <v>-0.11167861591889651</v>
      </c>
      <c r="AS530" s="44">
        <f t="shared" ref="AS530:AU530" si="1039">AS$520/AS535</f>
        <v>-0.34803561372547792</v>
      </c>
      <c r="AT530" s="876">
        <f t="shared" si="1039"/>
        <v>-2.9641283254199005</v>
      </c>
      <c r="AU530" s="44">
        <f t="shared" si="1039"/>
        <v>0.71984003554765608</v>
      </c>
      <c r="AV530" s="44">
        <f t="shared" ref="AV530:BA530" si="1040">AV$520/AV535</f>
        <v>1.6072709977804849</v>
      </c>
      <c r="AW530" s="44">
        <f t="shared" si="1040"/>
        <v>3.1861214198495729</v>
      </c>
      <c r="AX530" s="44">
        <f t="shared" si="1040"/>
        <v>2.6390803157499061</v>
      </c>
      <c r="AY530" s="876">
        <f t="shared" si="1040"/>
        <v>8.1550572576356117</v>
      </c>
      <c r="AZ530" s="44">
        <f t="shared" si="1040"/>
        <v>3.2335090521721703</v>
      </c>
      <c r="BA530" s="44">
        <f t="shared" si="1040"/>
        <v>5.967028853988519</v>
      </c>
      <c r="BB530" s="44">
        <f t="shared" ref="BB530" si="1041">BB$520/BB535</f>
        <v>5.8124309738241351</v>
      </c>
      <c r="BC530" s="44">
        <f t="shared" ref="BC530:BD530" si="1042">BC$520/BC535</f>
        <v>3.3251299852088501</v>
      </c>
      <c r="BD530" s="876">
        <f t="shared" si="1042"/>
        <v>18.361510256869579</v>
      </c>
      <c r="BE530" s="44">
        <f t="shared" ref="BE530:BI530" si="1043">BE$520/BE535</f>
        <v>3.4751902394413476</v>
      </c>
      <c r="BF530" s="44">
        <f t="shared" si="1043"/>
        <v>3.2187835568897234</v>
      </c>
      <c r="BG530" s="44">
        <f t="shared" si="1043"/>
        <v>3.4880433231442844</v>
      </c>
      <c r="BH530" s="44">
        <f t="shared" si="1043"/>
        <v>1.2135544197770154</v>
      </c>
      <c r="BI530" s="876">
        <f t="shared" si="1043"/>
        <v>11.410571799457157</v>
      </c>
      <c r="BJ530" s="44">
        <f t="shared" ref="BJ530:BN530" si="1044">BJ$520/BJ535</f>
        <v>2.9858166922405132</v>
      </c>
      <c r="BK530" s="44">
        <f t="shared" si="1044"/>
        <v>2.4284686188618729</v>
      </c>
      <c r="BL530" s="44">
        <f t="shared" si="1044"/>
        <v>2.4923125461025051</v>
      </c>
      <c r="BM530" s="44">
        <f t="shared" si="1044"/>
        <v>1.8296230603679582</v>
      </c>
      <c r="BN530" s="876">
        <f t="shared" si="1044"/>
        <v>9.759707070634505</v>
      </c>
      <c r="BO530" s="44">
        <f t="shared" ref="BO530:CC530" si="1045">BO$520/BO535</f>
        <v>2.006158332893889</v>
      </c>
      <c r="BP530" s="44">
        <f t="shared" si="1045"/>
        <v>1.4483615482694117</v>
      </c>
      <c r="BQ530" s="44">
        <f t="shared" si="1045"/>
        <v>1.8252410359983537</v>
      </c>
      <c r="BR530" s="44">
        <f t="shared" si="1045"/>
        <v>1.3916465037016792</v>
      </c>
      <c r="BS530" s="876">
        <f t="shared" si="1045"/>
        <v>6.650923066357274</v>
      </c>
      <c r="BT530" s="660">
        <f>BT$520/BT535</f>
        <v>1.1160793194037208</v>
      </c>
      <c r="BU530" s="44">
        <f t="shared" ca="1" si="1045"/>
        <v>4.9890154179149002</v>
      </c>
      <c r="BV530" s="44">
        <f t="shared" ca="1" si="1045"/>
        <v>3.7317375346310975</v>
      </c>
      <c r="BW530" s="44">
        <f t="shared" ca="1" si="1045"/>
        <v>3.333799620729283</v>
      </c>
      <c r="BX530" s="876">
        <f t="shared" ca="1" si="1045"/>
        <v>13.173185622682787</v>
      </c>
      <c r="BY530" s="44">
        <f t="shared" ca="1" si="1045"/>
        <v>3.0337976823620134</v>
      </c>
      <c r="BZ530" s="44">
        <f t="shared" ca="1" si="1045"/>
        <v>3.0422561462972548</v>
      </c>
      <c r="CA530" s="44">
        <f t="shared" ca="1" si="1045"/>
        <v>3.1255385153519626</v>
      </c>
      <c r="CB530" s="44">
        <f t="shared" ca="1" si="1045"/>
        <v>3.0799056371466973</v>
      </c>
      <c r="CC530" s="876">
        <f t="shared" ca="1" si="1045"/>
        <v>12.281497981157926</v>
      </c>
      <c r="CD530" s="876">
        <f ca="1">CD520/CD535</f>
        <v>11.713644641302022</v>
      </c>
      <c r="CE530" s="876">
        <f ca="1">CE520/CE535</f>
        <v>11.773535079495876</v>
      </c>
      <c r="CF530" s="876">
        <f ca="1">CF520/CF535</f>
        <v>8.2064887737964014</v>
      </c>
      <c r="CG530" s="24"/>
    </row>
    <row r="531" spans="1:85" s="437" customFormat="1" x14ac:dyDescent="0.3">
      <c r="A531" s="59" t="s">
        <v>220</v>
      </c>
      <c r="B531" s="111"/>
      <c r="C531" s="876">
        <f t="shared" ref="C531:AH531" si="1046">C522/C536</f>
        <v>5.2388805597201396</v>
      </c>
      <c r="D531" s="876">
        <f t="shared" si="1046"/>
        <v>9.4809924143090019</v>
      </c>
      <c r="E531" s="876">
        <f t="shared" si="1046"/>
        <v>13.442223927108609</v>
      </c>
      <c r="F531" s="876">
        <f t="shared" si="1046"/>
        <v>13.324307610872602</v>
      </c>
      <c r="G531" s="44">
        <f t="shared" si="1046"/>
        <v>3.178096341896909</v>
      </c>
      <c r="H531" s="44">
        <f t="shared" si="1046"/>
        <v>2.7700573580003542</v>
      </c>
      <c r="I531" s="44">
        <f t="shared" si="1046"/>
        <v>2.5649914422558244</v>
      </c>
      <c r="J531" s="44">
        <f t="shared" si="1046"/>
        <v>2.5686126990544587</v>
      </c>
      <c r="K531" s="876">
        <f t="shared" si="1046"/>
        <v>11.086254193634524</v>
      </c>
      <c r="L531" s="44">
        <f t="shared" si="1046"/>
        <v>2.3630162813497684</v>
      </c>
      <c r="M531" s="44">
        <f t="shared" si="1046"/>
        <v>2.9779411571443517</v>
      </c>
      <c r="N531" s="44">
        <f t="shared" si="1046"/>
        <v>2.9491292343969815</v>
      </c>
      <c r="O531" s="44">
        <f t="shared" si="1046"/>
        <v>1.8426990152098319</v>
      </c>
      <c r="P531" s="876">
        <f t="shared" si="1046"/>
        <v>10.138063340634398</v>
      </c>
      <c r="Q531" s="44">
        <f t="shared" si="1046"/>
        <v>1.3679737468411903</v>
      </c>
      <c r="R531" s="44">
        <f t="shared" si="1046"/>
        <v>0.304256662608135</v>
      </c>
      <c r="S531" s="44">
        <f t="shared" si="1046"/>
        <v>1.0878969461979684</v>
      </c>
      <c r="T531" s="44">
        <f t="shared" si="1046"/>
        <v>-0.31371494515590509</v>
      </c>
      <c r="U531" s="876">
        <f t="shared" si="1046"/>
        <v>2.4464378382385648</v>
      </c>
      <c r="V531" s="44">
        <f t="shared" si="1046"/>
        <v>-0.38774718883288095</v>
      </c>
      <c r="W531" s="44">
        <f t="shared" si="1046"/>
        <v>-0.7852585076349029</v>
      </c>
      <c r="X531" s="44">
        <f t="shared" si="1046"/>
        <v>0.68123580316267562</v>
      </c>
      <c r="Y531" s="44">
        <f t="shared" si="1046"/>
        <v>0.21957160785674829</v>
      </c>
      <c r="Z531" s="876">
        <f t="shared" si="1046"/>
        <v>-0.2653796022936914</v>
      </c>
      <c r="AA531" s="44">
        <f t="shared" si="1046"/>
        <v>1.4150099741847733</v>
      </c>
      <c r="AB531" s="44">
        <f t="shared" si="1046"/>
        <v>0.7659742611517929</v>
      </c>
      <c r="AC531" s="44">
        <f t="shared" si="1046"/>
        <v>1.0296015726742056</v>
      </c>
      <c r="AD531" s="44">
        <f t="shared" si="1046"/>
        <v>1.6320890424972694</v>
      </c>
      <c r="AE531" s="876">
        <f t="shared" si="1046"/>
        <v>4.845510169774661</v>
      </c>
      <c r="AF531" s="44">
        <f t="shared" si="1046"/>
        <v>1.9015083487610924</v>
      </c>
      <c r="AG531" s="44">
        <f t="shared" si="1046"/>
        <v>1.7764932783518477</v>
      </c>
      <c r="AH531" s="44">
        <f t="shared" si="1046"/>
        <v>2.1105892439741036</v>
      </c>
      <c r="AI531" s="44">
        <f t="shared" ref="AI531:AQ531" si="1047">AI522/AI536</f>
        <v>1.9561333170409627</v>
      </c>
      <c r="AJ531" s="876">
        <f t="shared" si="1047"/>
        <v>7.7446036193378953</v>
      </c>
      <c r="AK531" s="44">
        <f t="shared" si="1047"/>
        <v>1.3936618636452596</v>
      </c>
      <c r="AL531" s="44">
        <f t="shared" si="1047"/>
        <v>2.2622448931332326</v>
      </c>
      <c r="AM531" s="44">
        <f t="shared" si="1047"/>
        <v>1.3622481952851428</v>
      </c>
      <c r="AN531" s="44">
        <f t="shared" si="1047"/>
        <v>-3.5303850790224089</v>
      </c>
      <c r="AO531" s="876">
        <f t="shared" si="1047"/>
        <v>1.5429053266115287</v>
      </c>
      <c r="AP531" s="44">
        <f t="shared" si="1047"/>
        <v>1.9290874114048249</v>
      </c>
      <c r="AQ531" s="44">
        <f t="shared" si="1047"/>
        <v>-4.4622791724873236</v>
      </c>
      <c r="AR531" s="44">
        <f>AR522/AR536</f>
        <v>-0.11167861591889651</v>
      </c>
      <c r="AS531" s="44">
        <f t="shared" ref="AS531:AU531" si="1048">AS522/AS536</f>
        <v>-0.34803561372547792</v>
      </c>
      <c r="AT531" s="876">
        <f t="shared" si="1048"/>
        <v>-2.9641283254199005</v>
      </c>
      <c r="AU531" s="44">
        <f t="shared" si="1048"/>
        <v>0.71872639803245386</v>
      </c>
      <c r="AV531" s="44">
        <f t="shared" ref="AV531:BA531" si="1049">AV522/AV536</f>
        <v>1.6035730229276601</v>
      </c>
      <c r="AW531" s="44">
        <f t="shared" si="1049"/>
        <v>3.1809983368859949</v>
      </c>
      <c r="AX531" s="44">
        <f t="shared" si="1049"/>
        <v>2.6299606364348658</v>
      </c>
      <c r="AY531" s="876">
        <f t="shared" si="1049"/>
        <v>8.1368553983153458</v>
      </c>
      <c r="AZ531" s="44">
        <f t="shared" si="1049"/>
        <v>3.2187527962882778</v>
      </c>
      <c r="BA531" s="44">
        <f t="shared" si="1049"/>
        <v>5.9383509043185638</v>
      </c>
      <c r="BB531" s="44">
        <f t="shared" ref="BB531" si="1050">BB522/BB536</f>
        <v>5.7891692895161961</v>
      </c>
      <c r="BC531" s="44">
        <f t="shared" ref="BC531:BD531" si="1051">BC522/BC536</f>
        <v>3.3093178158814958</v>
      </c>
      <c r="BD531" s="876">
        <f t="shared" si="1051"/>
        <v>18.278317992740213</v>
      </c>
      <c r="BE531" s="44">
        <f t="shared" ref="BE531:BI531" si="1052">BE522/BE536</f>
        <v>3.4585710640603748</v>
      </c>
      <c r="BF531" s="44">
        <f t="shared" si="1052"/>
        <v>3.2044651369122392</v>
      </c>
      <c r="BG531" s="44">
        <f t="shared" si="1052"/>
        <v>3.4766320885790023</v>
      </c>
      <c r="BH531" s="44">
        <f t="shared" si="1052"/>
        <v>1.2092493928326145</v>
      </c>
      <c r="BI531" s="876">
        <f t="shared" si="1052"/>
        <v>11.364633541224917</v>
      </c>
      <c r="BJ531" s="44">
        <f t="shared" ref="BJ531:BX531" si="1053">BJ522/BJ536</f>
        <v>2.9749350500455352</v>
      </c>
      <c r="BK531" s="44">
        <f t="shared" si="1053"/>
        <v>2.4184166188964844</v>
      </c>
      <c r="BL531" s="44">
        <f t="shared" si="1053"/>
        <v>2.4830799710021418</v>
      </c>
      <c r="BM531" s="44">
        <f t="shared" si="1053"/>
        <v>1.8223596040432866</v>
      </c>
      <c r="BN531" s="876">
        <f t="shared" si="1053"/>
        <v>9.7219974435787258</v>
      </c>
      <c r="BO531" s="44">
        <f t="shared" ref="BO531:BW531" si="1054">BO522/BO536</f>
        <v>1.9983544978106598</v>
      </c>
      <c r="BP531" s="44">
        <f t="shared" si="1054"/>
        <v>1.4439830271103464</v>
      </c>
      <c r="BQ531" s="44">
        <f t="shared" si="1054"/>
        <v>1.8185695529628192</v>
      </c>
      <c r="BR531" s="44">
        <f t="shared" si="1054"/>
        <v>1.3870917343353779</v>
      </c>
      <c r="BS531" s="876">
        <f t="shared" si="1054"/>
        <v>6.6279126790422911</v>
      </c>
      <c r="BT531" s="660">
        <f>BT522/BT536</f>
        <v>1.1128455612065058</v>
      </c>
      <c r="BU531" s="44">
        <f t="shared" ca="1" si="1054"/>
        <v>4.9721437924037097</v>
      </c>
      <c r="BV531" s="44">
        <f t="shared" ca="1" si="1054"/>
        <v>3.7172359217576059</v>
      </c>
      <c r="BW531" s="44">
        <f t="shared" ca="1" si="1054"/>
        <v>3.3208444032068938</v>
      </c>
      <c r="BX531" s="876">
        <f t="shared" ca="1" si="1053"/>
        <v>13.105305093333403</v>
      </c>
      <c r="BY531" s="44">
        <f t="shared" ref="BY531:CF531" ca="1" si="1055">BY522/BY536</f>
        <v>3.0220082788689142</v>
      </c>
      <c r="BZ531" s="44">
        <f t="shared" ca="1" si="1055"/>
        <v>3.0304338730301281</v>
      </c>
      <c r="CA531" s="44">
        <f t="shared" ca="1" si="1055"/>
        <v>3.1133926049951395</v>
      </c>
      <c r="CB531" s="44">
        <f t="shared" ca="1" si="1055"/>
        <v>3.0679370571427982</v>
      </c>
      <c r="CC531" s="876">
        <f t="shared" ca="1" si="1055"/>
        <v>12.233771814036976</v>
      </c>
      <c r="CD531" s="876">
        <f t="shared" ca="1" si="1055"/>
        <v>11.668125164557095</v>
      </c>
      <c r="CE531" s="876">
        <f t="shared" ca="1" si="1055"/>
        <v>11.72778286721115</v>
      </c>
      <c r="CF531" s="876">
        <f t="shared" ca="1" si="1055"/>
        <v>8.1745981807030113</v>
      </c>
      <c r="CG531" s="24"/>
    </row>
    <row r="532" spans="1:85" s="437" customFormat="1" x14ac:dyDescent="0.3">
      <c r="A532" s="59" t="s">
        <v>651</v>
      </c>
      <c r="B532" s="111"/>
      <c r="C532" s="876">
        <f t="shared" ref="C532:AH532" si="1056">C525/C537</f>
        <v>5.2388805597201396</v>
      </c>
      <c r="D532" s="876">
        <f t="shared" si="1056"/>
        <v>9.4809924143090019</v>
      </c>
      <c r="E532" s="876">
        <f t="shared" si="1056"/>
        <v>13.442223927108609</v>
      </c>
      <c r="F532" s="876">
        <f t="shared" si="1056"/>
        <v>13.324307610872602</v>
      </c>
      <c r="G532" s="44">
        <f t="shared" si="1056"/>
        <v>3.178096341896909</v>
      </c>
      <c r="H532" s="44">
        <f t="shared" si="1056"/>
        <v>2.7700573580003542</v>
      </c>
      <c r="I532" s="44">
        <f t="shared" si="1056"/>
        <v>2.5649914422558244</v>
      </c>
      <c r="J532" s="44">
        <f t="shared" si="1056"/>
        <v>2.5686126990544587</v>
      </c>
      <c r="K532" s="876">
        <f t="shared" si="1056"/>
        <v>11.086254193634524</v>
      </c>
      <c r="L532" s="44">
        <f t="shared" si="1056"/>
        <v>2.3630162813497684</v>
      </c>
      <c r="M532" s="44">
        <f t="shared" si="1056"/>
        <v>2.9779411571443517</v>
      </c>
      <c r="N532" s="44">
        <f t="shared" si="1056"/>
        <v>2.9491292343969815</v>
      </c>
      <c r="O532" s="44">
        <f t="shared" si="1056"/>
        <v>1.8426990152098319</v>
      </c>
      <c r="P532" s="876">
        <f t="shared" si="1056"/>
        <v>10.138063340634398</v>
      </c>
      <c r="Q532" s="44">
        <f t="shared" si="1056"/>
        <v>1.3679737468411903</v>
      </c>
      <c r="R532" s="44">
        <f t="shared" si="1056"/>
        <v>0.304256662608135</v>
      </c>
      <c r="S532" s="44">
        <f t="shared" si="1056"/>
        <v>1.0878969461979684</v>
      </c>
      <c r="T532" s="44">
        <f t="shared" si="1056"/>
        <v>-0.31371494515590509</v>
      </c>
      <c r="U532" s="876">
        <f t="shared" si="1056"/>
        <v>2.4464378382385648</v>
      </c>
      <c r="V532" s="44">
        <f t="shared" si="1056"/>
        <v>-0.38774718883288095</v>
      </c>
      <c r="W532" s="44">
        <f t="shared" si="1056"/>
        <v>-0.7852585076349029</v>
      </c>
      <c r="X532" s="44">
        <f t="shared" si="1056"/>
        <v>0.68123580316267562</v>
      </c>
      <c r="Y532" s="44">
        <f t="shared" si="1056"/>
        <v>0.21957160785674829</v>
      </c>
      <c r="Z532" s="876">
        <f t="shared" si="1056"/>
        <v>-0.2653796022936914</v>
      </c>
      <c r="AA532" s="44">
        <f t="shared" si="1056"/>
        <v>1.4150099741847733</v>
      </c>
      <c r="AB532" s="44">
        <f t="shared" si="1056"/>
        <v>0.7659742611517929</v>
      </c>
      <c r="AC532" s="44">
        <f t="shared" si="1056"/>
        <v>1.0296015726742056</v>
      </c>
      <c r="AD532" s="44">
        <f t="shared" si="1056"/>
        <v>1.6320890424972694</v>
      </c>
      <c r="AE532" s="876">
        <f t="shared" si="1056"/>
        <v>4.845510169774661</v>
      </c>
      <c r="AF532" s="44">
        <f t="shared" si="1056"/>
        <v>1.9015083487610924</v>
      </c>
      <c r="AG532" s="44">
        <f t="shared" si="1056"/>
        <v>1.7764932783518477</v>
      </c>
      <c r="AH532" s="44">
        <f t="shared" si="1056"/>
        <v>2.1105892439741036</v>
      </c>
      <c r="AI532" s="44">
        <f t="shared" ref="AI532:AQ532" si="1057">AI525/AI537</f>
        <v>1.9561333170409627</v>
      </c>
      <c r="AJ532" s="876">
        <f t="shared" si="1057"/>
        <v>7.7446036193378953</v>
      </c>
      <c r="AK532" s="44">
        <f t="shared" si="1057"/>
        <v>1.4657387512705524</v>
      </c>
      <c r="AL532" s="44">
        <f t="shared" si="1057"/>
        <v>1.7709094749962822</v>
      </c>
      <c r="AM532" s="44">
        <f t="shared" si="1057"/>
        <v>1.5502173261074337</v>
      </c>
      <c r="AN532" s="44">
        <f t="shared" si="1057"/>
        <v>1.4933368654987376</v>
      </c>
      <c r="AO532" s="876">
        <f t="shared" si="1057"/>
        <v>6.2729338313125353</v>
      </c>
      <c r="AP532" s="44">
        <f t="shared" si="1057"/>
        <v>1.2890956444647412</v>
      </c>
      <c r="AQ532" s="44">
        <f t="shared" si="1057"/>
        <v>-1.5987585475308272</v>
      </c>
      <c r="AR532" s="44">
        <f>AR525/AR537</f>
        <v>0.108441554587914</v>
      </c>
      <c r="AS532" s="44">
        <f t="shared" ref="AS532:AU532" si="1058">AS525/AS537</f>
        <v>-5.7569800766620405E-3</v>
      </c>
      <c r="AT532" s="876">
        <f t="shared" si="1058"/>
        <v>-0.19678860251750374</v>
      </c>
      <c r="AU532" s="44">
        <f t="shared" si="1058"/>
        <v>0.90297506797105687</v>
      </c>
      <c r="AV532" s="44">
        <f t="shared" ref="AV532:BA532" si="1059">AV525/AV537</f>
        <v>1.7034711476525501</v>
      </c>
      <c r="AW532" s="44">
        <f t="shared" si="1059"/>
        <v>2.9602908757765753</v>
      </c>
      <c r="AX532" s="44">
        <f t="shared" si="1059"/>
        <v>2.5581634914639437</v>
      </c>
      <c r="AY532" s="876">
        <f t="shared" si="1059"/>
        <v>8.128002499641978</v>
      </c>
      <c r="AZ532" s="44">
        <f t="shared" si="1059"/>
        <v>3.3648026116175429</v>
      </c>
      <c r="BA532" s="44">
        <f t="shared" si="1059"/>
        <v>5.8070347640320499</v>
      </c>
      <c r="BB532" s="44">
        <f t="shared" ref="BB532" si="1060">BB525/BB537</f>
        <v>5.5587571559204578</v>
      </c>
      <c r="BC532" s="44">
        <f t="shared" ref="BC532:BD532" si="1061">BC525/BC537</f>
        <v>4.0891145686557131</v>
      </c>
      <c r="BD532" s="876">
        <f t="shared" si="1061"/>
        <v>18.833393376306578</v>
      </c>
      <c r="BE532" s="44">
        <f t="shared" ref="BE532:BI532" si="1062">BE525/BE537</f>
        <v>3.5480077967786992</v>
      </c>
      <c r="BF532" s="44">
        <f t="shared" si="1062"/>
        <v>3.0791657513590982</v>
      </c>
      <c r="BG532" s="44">
        <f t="shared" si="1062"/>
        <v>3.0477799844867413</v>
      </c>
      <c r="BH532" s="44">
        <f t="shared" si="1062"/>
        <v>3.4543100185696596</v>
      </c>
      <c r="BI532" s="876">
        <f t="shared" si="1062"/>
        <v>13.132429970212311</v>
      </c>
      <c r="BJ532" s="44">
        <f t="shared" ref="BJ532:BX532" si="1063">BJ525/BJ537</f>
        <v>2.9289671388923142</v>
      </c>
      <c r="BK532" s="44">
        <f t="shared" si="1063"/>
        <v>2.5509550127602294</v>
      </c>
      <c r="BL532" s="44">
        <f t="shared" si="1063"/>
        <v>2.5074293177202369</v>
      </c>
      <c r="BM532" s="44">
        <f t="shared" si="1063"/>
        <v>2.0434733195076311</v>
      </c>
      <c r="BN532" s="876">
        <f t="shared" si="1063"/>
        <v>10.049532038388154</v>
      </c>
      <c r="BO532" s="44">
        <f t="shared" ref="BO532:BW532" si="1064">BO525/BO537</f>
        <v>2.1770644857577275</v>
      </c>
      <c r="BP532" s="44">
        <f t="shared" si="1064"/>
        <v>1.770473968581481</v>
      </c>
      <c r="BQ532" s="44">
        <f t="shared" si="1064"/>
        <v>1.8637897057349944</v>
      </c>
      <c r="BR532" s="44">
        <f t="shared" si="1064"/>
        <v>1.51628656013268</v>
      </c>
      <c r="BS532" s="876">
        <f t="shared" si="1064"/>
        <v>7.2864466487788295</v>
      </c>
      <c r="BT532" s="660">
        <f>BT525/BT537</f>
        <v>1.4064152273528374</v>
      </c>
      <c r="BU532" s="44">
        <f t="shared" ca="1" si="1064"/>
        <v>4.9721437924037097</v>
      </c>
      <c r="BV532" s="44">
        <f t="shared" ca="1" si="1064"/>
        <v>3.7172359217576059</v>
      </c>
      <c r="BW532" s="44">
        <f t="shared" ca="1" si="1064"/>
        <v>3.3208444032068938</v>
      </c>
      <c r="BX532" s="876">
        <f t="shared" ca="1" si="1063"/>
        <v>13.398342168291327</v>
      </c>
      <c r="BY532" s="44">
        <f t="shared" ref="BY532:CF532" ca="1" si="1065">BY525/BY537</f>
        <v>3.0220082788689142</v>
      </c>
      <c r="BZ532" s="44">
        <f t="shared" ca="1" si="1065"/>
        <v>3.0304338730301281</v>
      </c>
      <c r="CA532" s="44">
        <f t="shared" ca="1" si="1065"/>
        <v>3.1133926049951395</v>
      </c>
      <c r="CB532" s="44">
        <f t="shared" ca="1" si="1065"/>
        <v>3.0679370571427982</v>
      </c>
      <c r="CC532" s="876">
        <f t="shared" ca="1" si="1065"/>
        <v>12.233771814036976</v>
      </c>
      <c r="CD532" s="876">
        <f t="shared" ca="1" si="1065"/>
        <v>11.668125164557095</v>
      </c>
      <c r="CE532" s="876">
        <f t="shared" ca="1" si="1065"/>
        <v>11.72778286721115</v>
      </c>
      <c r="CF532" s="876">
        <f t="shared" ca="1" si="1065"/>
        <v>8.1745981807030113</v>
      </c>
      <c r="CG532" s="24"/>
    </row>
    <row r="533" spans="1:85" s="439" customFormat="1" x14ac:dyDescent="0.3">
      <c r="A533" s="88" t="str">
        <f>CONCATENATE("Consensus Estimates - ",IFERROR(LEFT(A532,FIND("(",A532)-1),A532))</f>
        <v>Consensus Estimates - Adjusted Earnings Per Share - WAD</v>
      </c>
      <c r="B533" s="112"/>
      <c r="C533" s="903"/>
      <c r="D533" s="903"/>
      <c r="E533" s="903"/>
      <c r="F533" s="903"/>
      <c r="G533" s="89"/>
      <c r="H533" s="89"/>
      <c r="I533" s="89"/>
      <c r="J533" s="89"/>
      <c r="K533" s="903"/>
      <c r="L533" s="89"/>
      <c r="M533" s="89"/>
      <c r="N533" s="89"/>
      <c r="O533" s="89"/>
      <c r="P533" s="903"/>
      <c r="Q533" s="89"/>
      <c r="R533" s="89"/>
      <c r="S533" s="89"/>
      <c r="T533" s="89"/>
      <c r="U533" s="903"/>
      <c r="V533" s="89"/>
      <c r="W533" s="229"/>
      <c r="X533" s="89"/>
      <c r="Y533" s="229"/>
      <c r="Z533" s="904"/>
      <c r="AA533" s="89"/>
      <c r="AB533" s="229"/>
      <c r="AC533" s="89"/>
      <c r="AD533" s="229"/>
      <c r="AE533" s="904"/>
      <c r="AF533" s="89"/>
      <c r="AG533" s="229"/>
      <c r="AH533" s="89"/>
      <c r="AI533" s="229"/>
      <c r="AJ533" s="904"/>
      <c r="AK533" s="89"/>
      <c r="AL533" s="229"/>
      <c r="AM533" s="89"/>
      <c r="AN533" s="229"/>
      <c r="AO533" s="904"/>
      <c r="AP533" s="89"/>
      <c r="AQ533" s="229"/>
      <c r="AR533" s="89"/>
      <c r="AS533" s="229"/>
      <c r="AT533" s="904"/>
      <c r="AU533" s="89"/>
      <c r="AV533" s="229"/>
      <c r="AW533" s="89"/>
      <c r="AX533" s="229"/>
      <c r="AY533" s="904"/>
      <c r="AZ533" s="89"/>
      <c r="BA533" s="229"/>
      <c r="BB533" s="89"/>
      <c r="BC533" s="229"/>
      <c r="BD533" s="904"/>
      <c r="BE533" s="89"/>
      <c r="BF533" s="229"/>
      <c r="BG533" s="89"/>
      <c r="BH533" s="229"/>
      <c r="BI533" s="904"/>
      <c r="BJ533" s="89"/>
      <c r="BK533" s="229"/>
      <c r="BL533" s="89"/>
      <c r="BM533" s="229"/>
      <c r="BN533" s="904"/>
      <c r="BO533" s="89"/>
      <c r="BP533" s="229"/>
      <c r="BQ533" s="89"/>
      <c r="BR533" s="229"/>
      <c r="BS533" s="904"/>
      <c r="BT533" s="671"/>
      <c r="BU533" s="312" t="str">
        <f t="shared" ref="BU533:CC533" ca="1" si="1066">IFERROR(VLOOKUP($A533,tb_ConsensusEstimate,MATCH(BU$5,OFFSET(tb_ConsensusEstimate,0,0,1,COLUMNS(tb_ConsensusEstimate)),0),FALSE),"-")</f>
        <v>n/a</v>
      </c>
      <c r="BV533" s="312" t="str">
        <f t="shared" ca="1" si="1066"/>
        <v>n/a</v>
      </c>
      <c r="BW533" s="312" t="str">
        <f t="shared" ca="1" si="1066"/>
        <v>n/a</v>
      </c>
      <c r="BX533" s="904" t="str">
        <f t="shared" ca="1" si="1066"/>
        <v>n/a</v>
      </c>
      <c r="BY533" s="312" t="str">
        <f t="shared" ca="1" si="1066"/>
        <v>n/a</v>
      </c>
      <c r="BZ533" s="312" t="str">
        <f t="shared" ca="1" si="1066"/>
        <v>n/a</v>
      </c>
      <c r="CA533" s="312" t="str">
        <f t="shared" ca="1" si="1066"/>
        <v>n/a</v>
      </c>
      <c r="CB533" s="312" t="str">
        <f t="shared" ca="1" si="1066"/>
        <v>n/a</v>
      </c>
      <c r="CC533" s="904" t="str">
        <f t="shared" ca="1" si="1066"/>
        <v>n/a</v>
      </c>
      <c r="CD533" s="904" t="str">
        <f ca="1">IFERROR(VLOOKUP($A533,tb_ConsensusEstimate,MATCH(CD5,OFFSET(tb_ConsensusEstimate,0,0,1,COLUMNS(tb_ConsensusEstimate)),0),FALSE),"-")</f>
        <v>n/a</v>
      </c>
      <c r="CE533" s="904" t="str">
        <f ca="1">IFERROR(VLOOKUP($A533,tb_ConsensusEstimate,MATCH(CE5,OFFSET(tb_ConsensusEstimate,0,0,1,COLUMNS(tb_ConsensusEstimate)),0),FALSE),"-")</f>
        <v>n/a</v>
      </c>
      <c r="CF533" s="904" t="str">
        <f ca="1">IFERROR(VLOOKUP($A533,tb_ConsensusEstimate,MATCH(CF5,OFFSET(tb_ConsensusEstimate,0,0,1,COLUMNS(tb_ConsensusEstimate)),0),FALSE),"-")</f>
        <v>n/a</v>
      </c>
      <c r="CG533" s="89"/>
    </row>
    <row r="534" spans="1:85" s="424" customFormat="1" x14ac:dyDescent="0.3">
      <c r="A534" s="722"/>
      <c r="B534" s="339"/>
      <c r="C534" s="837"/>
      <c r="D534" s="837"/>
      <c r="E534" s="837"/>
      <c r="F534" s="837"/>
      <c r="G534" s="722"/>
      <c r="H534" s="722"/>
      <c r="I534" s="722"/>
      <c r="J534" s="722"/>
      <c r="K534" s="837"/>
      <c r="L534" s="722"/>
      <c r="M534" s="722"/>
      <c r="N534" s="722"/>
      <c r="O534" s="722"/>
      <c r="P534" s="837"/>
      <c r="Q534" s="722"/>
      <c r="R534" s="722"/>
      <c r="S534" s="722"/>
      <c r="T534" s="722"/>
      <c r="U534" s="837"/>
      <c r="V534" s="722"/>
      <c r="W534" s="722"/>
      <c r="X534" s="722"/>
      <c r="Y534" s="722"/>
      <c r="Z534" s="837"/>
      <c r="AA534" s="722"/>
      <c r="AB534" s="722"/>
      <c r="AC534" s="722"/>
      <c r="AD534" s="722"/>
      <c r="AE534" s="837"/>
      <c r="AF534" s="722"/>
      <c r="AG534" s="722"/>
      <c r="AH534" s="722"/>
      <c r="AI534" s="722"/>
      <c r="AJ534" s="837"/>
      <c r="AK534" s="722"/>
      <c r="AL534" s="722"/>
      <c r="AM534" s="722"/>
      <c r="AN534" s="722"/>
      <c r="AO534" s="837"/>
      <c r="AP534" s="722"/>
      <c r="AQ534" s="722"/>
      <c r="AR534" s="722"/>
      <c r="AS534" s="722"/>
      <c r="AT534" s="837"/>
      <c r="AU534" s="722"/>
      <c r="AV534" s="722"/>
      <c r="AW534" s="722"/>
      <c r="AX534" s="722"/>
      <c r="AY534" s="837"/>
      <c r="AZ534" s="722"/>
      <c r="BA534" s="722"/>
      <c r="BB534" s="722"/>
      <c r="BC534" s="722"/>
      <c r="BD534" s="837"/>
      <c r="BE534" s="722"/>
      <c r="BF534" s="722"/>
      <c r="BG534" s="722"/>
      <c r="BH534" s="722"/>
      <c r="BI534" s="837"/>
      <c r="BJ534" s="722"/>
      <c r="BK534" s="722"/>
      <c r="BL534" s="722"/>
      <c r="BM534" s="722"/>
      <c r="BN534" s="837"/>
      <c r="BO534" s="722"/>
      <c r="BP534" s="722"/>
      <c r="BQ534" s="722"/>
      <c r="BR534" s="722"/>
      <c r="BS534" s="837"/>
      <c r="BT534" s="723"/>
      <c r="BU534" s="722"/>
      <c r="BV534" s="722"/>
      <c r="BW534" s="722"/>
      <c r="BX534" s="837"/>
      <c r="BY534" s="722"/>
      <c r="BZ534" s="722"/>
      <c r="CA534" s="722"/>
      <c r="CB534" s="722"/>
      <c r="CC534" s="837"/>
      <c r="CD534" s="837"/>
      <c r="CE534" s="837"/>
      <c r="CF534" s="837"/>
      <c r="CG534" s="190"/>
    </row>
    <row r="535" spans="1:85" s="424" customFormat="1" x14ac:dyDescent="0.3">
      <c r="A535" s="190" t="s">
        <v>221</v>
      </c>
      <c r="B535" s="339"/>
      <c r="C535" s="905">
        <v>1992</v>
      </c>
      <c r="D535" s="905">
        <v>1996.7860000000001</v>
      </c>
      <c r="E535" s="905">
        <v>1986.482</v>
      </c>
      <c r="F535" s="905">
        <v>1950.48</v>
      </c>
      <c r="G535" s="787">
        <v>1929.0139999999999</v>
      </c>
      <c r="H535" s="787">
        <v>1921.3910000000001</v>
      </c>
      <c r="I535" s="787">
        <v>1914.047</v>
      </c>
      <c r="J535" s="787">
        <v>1903.93</v>
      </c>
      <c r="K535" s="905">
        <v>1917.018</v>
      </c>
      <c r="L535" s="787">
        <v>1895.0319999999999</v>
      </c>
      <c r="M535" s="787">
        <v>1887.5429999999999</v>
      </c>
      <c r="N535" s="787">
        <v>1880.915</v>
      </c>
      <c r="O535" s="787">
        <v>1871.3320000000001</v>
      </c>
      <c r="P535" s="905">
        <v>1883.633</v>
      </c>
      <c r="Q535" s="787">
        <v>1866.655</v>
      </c>
      <c r="R535" s="787">
        <v>1867.5609999999999</v>
      </c>
      <c r="S535" s="787">
        <v>1868.444</v>
      </c>
      <c r="T535" s="787">
        <v>1869.0719999999999</v>
      </c>
      <c r="U535" s="905">
        <v>1867.941</v>
      </c>
      <c r="V535" s="787">
        <v>1869.7750000000001</v>
      </c>
      <c r="W535" s="787">
        <v>1871.9949999999999</v>
      </c>
      <c r="X535" s="787">
        <v>1873.6489999999999</v>
      </c>
      <c r="Y535" s="787">
        <v>1875.694</v>
      </c>
      <c r="Z535" s="905">
        <v>1872.789</v>
      </c>
      <c r="AA535" s="787">
        <v>1879.3720000000001</v>
      </c>
      <c r="AB535" s="787">
        <v>1881.019</v>
      </c>
      <c r="AC535" s="787">
        <v>1882.65</v>
      </c>
      <c r="AD535" s="787">
        <v>1888.1990000000001</v>
      </c>
      <c r="AE535" s="905">
        <v>1882.8340000000001</v>
      </c>
      <c r="AF535" s="787">
        <v>1895.99</v>
      </c>
      <c r="AG535" s="787">
        <v>1900.375</v>
      </c>
      <c r="AH535" s="787">
        <v>1900.7170000000001</v>
      </c>
      <c r="AI535" s="787">
        <v>1893.405</v>
      </c>
      <c r="AJ535" s="905">
        <v>1897.623</v>
      </c>
      <c r="AK535" s="787">
        <v>1888.002</v>
      </c>
      <c r="AL535" s="787">
        <v>1889.2650000000001</v>
      </c>
      <c r="AM535" s="787">
        <v>1880.607</v>
      </c>
      <c r="AN535" s="787">
        <v>1872.317</v>
      </c>
      <c r="AO535" s="905">
        <v>1882.499</v>
      </c>
      <c r="AP535" s="787">
        <v>1862.2729999999999</v>
      </c>
      <c r="AQ535" s="787">
        <v>1853.3130000000001</v>
      </c>
      <c r="AR535" s="787">
        <v>1853.5329999999999</v>
      </c>
      <c r="AS535" s="787">
        <v>1910.7239999999999</v>
      </c>
      <c r="AT535" s="905">
        <v>1870.027</v>
      </c>
      <c r="AU535" s="787">
        <v>1912.925</v>
      </c>
      <c r="AV535" s="787">
        <v>1917.5360000000001</v>
      </c>
      <c r="AW535" s="787">
        <v>1918.0060000000001</v>
      </c>
      <c r="AX535" s="787">
        <v>1915.44</v>
      </c>
      <c r="AY535" s="905">
        <v>1915.989</v>
      </c>
      <c r="AZ535" s="787">
        <v>1935.6679999999999</v>
      </c>
      <c r="BA535" s="787">
        <v>1947.703</v>
      </c>
      <c r="BB535" s="787">
        <v>1932.2380000000001</v>
      </c>
      <c r="BC535" s="787">
        <v>1910.6020000000001</v>
      </c>
      <c r="BD535" s="905">
        <v>1931.4860000000001</v>
      </c>
      <c r="BE535" s="787">
        <v>1891.6949999999999</v>
      </c>
      <c r="BF535" s="787">
        <v>1867.165</v>
      </c>
      <c r="BG535" s="787">
        <v>1870.963</v>
      </c>
      <c r="BH535" s="787">
        <v>1861.4739999999999</v>
      </c>
      <c r="BI535" s="905">
        <v>1872.7370000000001</v>
      </c>
      <c r="BJ535" s="787">
        <v>1842.377</v>
      </c>
      <c r="BK535" s="787">
        <v>1825.8420000000001</v>
      </c>
      <c r="BL535" s="787">
        <v>1800.336</v>
      </c>
      <c r="BM535" s="787">
        <v>1770.31</v>
      </c>
      <c r="BN535" s="905">
        <v>1809.5830000000001</v>
      </c>
      <c r="BO535" s="787">
        <v>1744.6279999999999</v>
      </c>
      <c r="BP535" s="787">
        <v>1719.184</v>
      </c>
      <c r="BQ535" s="787">
        <v>1938.922</v>
      </c>
      <c r="BR535" s="787">
        <v>1990.4480000000001</v>
      </c>
      <c r="BS535" s="905">
        <v>1849.2170000000001</v>
      </c>
      <c r="BT535" s="788">
        <v>1980.146</v>
      </c>
      <c r="BU535" s="722">
        <f ca="1">AVERAGE(BT542,BU542)</f>
        <v>1984.0301644324322</v>
      </c>
      <c r="BV535" s="722">
        <f ca="1">AVERAGE(BU542,BV542)</f>
        <v>1976.4625968648647</v>
      </c>
      <c r="BW535" s="722">
        <f ca="1">AVERAGE(BV542,BW542)</f>
        <v>1976.4625968648647</v>
      </c>
      <c r="BX535" s="837">
        <f ca="1">SUM(BT535*BT3,BU535*BU3,BV535*BV3,BW535*BW3)/BX3</f>
        <v>1979.2575418807846</v>
      </c>
      <c r="BY535" s="722">
        <f ca="1">AVERAGE(BX542,BY542)</f>
        <v>1976.4625968648647</v>
      </c>
      <c r="BZ535" s="722">
        <f ca="1">AVERAGE(BY542,BZ542)</f>
        <v>1976.4625968648647</v>
      </c>
      <c r="CA535" s="722">
        <f ca="1">AVERAGE(BZ542,CA542)</f>
        <v>1976.4625968648647</v>
      </c>
      <c r="CB535" s="722">
        <f ca="1">AVERAGE(CA542,CB542)</f>
        <v>1976.4625968648647</v>
      </c>
      <c r="CC535" s="837">
        <f ca="1">SUM(BY535*BY3,BZ535*BZ3,CA535*CA3,CB535*CB3)/CC3</f>
        <v>1976.4625968648647</v>
      </c>
      <c r="CD535" s="837">
        <f ca="1">AVERAGE(CC542,CD542)</f>
        <v>1976.4625968648647</v>
      </c>
      <c r="CE535" s="837">
        <f ca="1">AVERAGE(CD542,CE542)</f>
        <v>1976.4625968648647</v>
      </c>
      <c r="CF535" s="837">
        <f ca="1">AVERAGE(CE542,CF542)</f>
        <v>1976.4625968648647</v>
      </c>
      <c r="CG535" s="190"/>
    </row>
    <row r="536" spans="1:85" s="424" customFormat="1" x14ac:dyDescent="0.3">
      <c r="A536" s="190" t="s">
        <v>222</v>
      </c>
      <c r="B536" s="339"/>
      <c r="C536" s="905">
        <v>2001</v>
      </c>
      <c r="D536" s="905">
        <v>2006.5409999999999</v>
      </c>
      <c r="E536" s="905">
        <v>2000.7850000000001</v>
      </c>
      <c r="F536" s="905">
        <v>1964.7550000000001</v>
      </c>
      <c r="G536" s="787">
        <v>1943.931</v>
      </c>
      <c r="H536" s="787">
        <v>1936.7829999999999</v>
      </c>
      <c r="I536" s="787">
        <v>1929.8309999999999</v>
      </c>
      <c r="J536" s="787">
        <v>1919.3240000000001</v>
      </c>
      <c r="K536" s="905">
        <v>1932.393</v>
      </c>
      <c r="L536" s="787">
        <v>1909.424</v>
      </c>
      <c r="M536" s="787">
        <v>1902.3209999999999</v>
      </c>
      <c r="N536" s="787">
        <v>1896.492</v>
      </c>
      <c r="O536" s="787">
        <v>1883.65</v>
      </c>
      <c r="P536" s="905">
        <v>1897.8969999999999</v>
      </c>
      <c r="Q536" s="787">
        <v>1876.498</v>
      </c>
      <c r="R536" s="787">
        <v>1876.7049999999999</v>
      </c>
      <c r="S536" s="787">
        <v>1872.42</v>
      </c>
      <c r="T536" s="787">
        <v>1874.3130000000001</v>
      </c>
      <c r="U536" s="905">
        <v>1874.971</v>
      </c>
      <c r="V536" s="787">
        <v>1869.7750000000001</v>
      </c>
      <c r="W536" s="787">
        <v>1871.9949999999999</v>
      </c>
      <c r="X536" s="787">
        <v>1883.3420000000001</v>
      </c>
      <c r="Y536" s="787">
        <v>1890.0440000000001</v>
      </c>
      <c r="Z536" s="905">
        <v>1872.789</v>
      </c>
      <c r="AA536" s="787">
        <v>1895.393</v>
      </c>
      <c r="AB536" s="787">
        <v>1893.0139999999999</v>
      </c>
      <c r="AC536" s="787">
        <v>1895.8789999999999</v>
      </c>
      <c r="AD536" s="787">
        <v>1906.146</v>
      </c>
      <c r="AE536" s="905">
        <v>1897.633</v>
      </c>
      <c r="AF536" s="787">
        <v>1913.2180000000001</v>
      </c>
      <c r="AG536" s="787">
        <v>1918.9490000000001</v>
      </c>
      <c r="AH536" s="787">
        <v>1917.4739999999999</v>
      </c>
      <c r="AI536" s="787">
        <v>1906.8230000000001</v>
      </c>
      <c r="AJ536" s="905">
        <v>1914.107</v>
      </c>
      <c r="AK536" s="787">
        <v>1900.748</v>
      </c>
      <c r="AL536" s="787">
        <v>1902.9770000000001</v>
      </c>
      <c r="AM536" s="787">
        <v>1893.9280000000001</v>
      </c>
      <c r="AN536" s="787">
        <v>1872.317</v>
      </c>
      <c r="AO536" s="905">
        <v>1895.126</v>
      </c>
      <c r="AP536" s="787">
        <v>1865.6489999999999</v>
      </c>
      <c r="AQ536" s="787">
        <v>1853.3130000000001</v>
      </c>
      <c r="AR536" s="787">
        <v>1853.5329999999999</v>
      </c>
      <c r="AS536" s="787">
        <v>1910.7239999999999</v>
      </c>
      <c r="AT536" s="905">
        <v>1870.027</v>
      </c>
      <c r="AU536" s="787">
        <v>1915.8889999999999</v>
      </c>
      <c r="AV536" s="787">
        <v>1921.9580000000001</v>
      </c>
      <c r="AW536" s="787">
        <v>1921.095</v>
      </c>
      <c r="AX536" s="787">
        <v>1922.0820000000001</v>
      </c>
      <c r="AY536" s="905">
        <v>1920.2750000000001</v>
      </c>
      <c r="AZ536" s="787">
        <v>1944.5419999999999</v>
      </c>
      <c r="BA536" s="787">
        <v>1957.1089999999999</v>
      </c>
      <c r="BB536" s="787">
        <v>1940.002</v>
      </c>
      <c r="BC536" s="787">
        <v>1919.731</v>
      </c>
      <c r="BD536" s="905">
        <v>1940.277</v>
      </c>
      <c r="BE536" s="787">
        <v>1900.7850000000001</v>
      </c>
      <c r="BF536" s="787">
        <v>1875.508</v>
      </c>
      <c r="BG536" s="787">
        <v>1877.104</v>
      </c>
      <c r="BH536" s="787">
        <v>1868.1010000000001</v>
      </c>
      <c r="BI536" s="905">
        <v>1880.307</v>
      </c>
      <c r="BJ536" s="787">
        <v>1849.116</v>
      </c>
      <c r="BK536" s="787">
        <v>1833.431</v>
      </c>
      <c r="BL536" s="787">
        <v>1807.03</v>
      </c>
      <c r="BM536" s="787">
        <v>1777.366</v>
      </c>
      <c r="BN536" s="905">
        <v>1816.6020000000001</v>
      </c>
      <c r="BO536" s="787">
        <v>1751.441</v>
      </c>
      <c r="BP536" s="787">
        <v>1724.3969999999999</v>
      </c>
      <c r="BQ536" s="787">
        <v>1946.0350000000001</v>
      </c>
      <c r="BR536" s="787">
        <v>1996.9839999999999</v>
      </c>
      <c r="BS536" s="905">
        <v>1855.6369999999999</v>
      </c>
      <c r="BT536" s="788">
        <v>1985.9</v>
      </c>
      <c r="BU536" s="722">
        <f ca="1">IF(BU522&lt;0,BU535,AVERAGE(BT556,BU556))</f>
        <v>1990.7624343213984</v>
      </c>
      <c r="BV536" s="722">
        <f ca="1">IF(BV522&lt;0,BV535,AVERAGE(BU556,BV556))</f>
        <v>1984.1731366427969</v>
      </c>
      <c r="BW536" s="722">
        <f ca="1">IF(BW522&lt;0,BW535,AVERAGE(BV556,BW556))</f>
        <v>1984.1731366427969</v>
      </c>
      <c r="BX536" s="837">
        <f ca="1">IF(BX522&lt;0,BX535,SUM(AVERAGE(BS556,BT556)*BT3,AVERAGE(BT556,BU556)*BU3,AVERAGE(BU556,BV556)*BV3,AVERAGE(BV556,BW556)*BW3)/BX3)</f>
        <v>1989.5093482069092</v>
      </c>
      <c r="BY536" s="722">
        <f ca="1">IF(BY522&lt;0,BY535,AVERAGE(BX556,BY556))</f>
        <v>1984.1731366427969</v>
      </c>
      <c r="BZ536" s="722">
        <f ca="1">IF(BZ522&lt;0,BZ535,AVERAGE(BY556,BZ556))</f>
        <v>1984.1731366427969</v>
      </c>
      <c r="CA536" s="722">
        <f ca="1">IF(CA522&lt;0,CA535,AVERAGE(BZ556,CA556))</f>
        <v>1984.1731366427969</v>
      </c>
      <c r="CB536" s="722">
        <f ca="1">IF(CB522&lt;0,CB535,AVERAGE(CA556,CB556))</f>
        <v>1984.1731366427969</v>
      </c>
      <c r="CC536" s="837">
        <f ca="1">IF(CC522&lt;0,CC535,SUM(AVERAGE(BX556,BY556)*BY3,AVERAGE(BY556,BZ556)*BZ3,AVERAGE(BZ556,CA556)*CA3,AVERAGE(CA556,CB556)*CB3)/CC3)</f>
        <v>1984.1731366427973</v>
      </c>
      <c r="CD536" s="837">
        <f ca="1">IF(CD522&lt;0,CD535,AVERAGE(CC556,CD556))</f>
        <v>1984.1731366427969</v>
      </c>
      <c r="CE536" s="837">
        <f ca="1">IF(CE522&lt;0,CE535,AVERAGE(CD556,CE556))</f>
        <v>1984.1731366427969</v>
      </c>
      <c r="CF536" s="837">
        <f ca="1">IF(CF522&lt;0,CF535,AVERAGE(CE556,CF556))</f>
        <v>1984.1731366427969</v>
      </c>
      <c r="CG536" s="190"/>
    </row>
    <row r="537" spans="1:85" s="424" customFormat="1" x14ac:dyDescent="0.3">
      <c r="A537" s="190" t="s">
        <v>223</v>
      </c>
      <c r="B537" s="339"/>
      <c r="C537" s="838">
        <f t="shared" ref="C537:AQ537" si="1067">C536</f>
        <v>2001</v>
      </c>
      <c r="D537" s="838">
        <f t="shared" si="1067"/>
        <v>2006.5409999999999</v>
      </c>
      <c r="E537" s="838">
        <f t="shared" si="1067"/>
        <v>2000.7850000000001</v>
      </c>
      <c r="F537" s="838">
        <f t="shared" si="1067"/>
        <v>1964.7550000000001</v>
      </c>
      <c r="G537" s="190">
        <f t="shared" si="1067"/>
        <v>1943.931</v>
      </c>
      <c r="H537" s="190">
        <f t="shared" si="1067"/>
        <v>1936.7829999999999</v>
      </c>
      <c r="I537" s="190">
        <f t="shared" si="1067"/>
        <v>1929.8309999999999</v>
      </c>
      <c r="J537" s="190">
        <f t="shared" si="1067"/>
        <v>1919.3240000000001</v>
      </c>
      <c r="K537" s="838">
        <f t="shared" si="1067"/>
        <v>1932.393</v>
      </c>
      <c r="L537" s="190">
        <f t="shared" si="1067"/>
        <v>1909.424</v>
      </c>
      <c r="M537" s="190">
        <f t="shared" si="1067"/>
        <v>1902.3209999999999</v>
      </c>
      <c r="N537" s="190">
        <f t="shared" si="1067"/>
        <v>1896.492</v>
      </c>
      <c r="O537" s="190">
        <f t="shared" si="1067"/>
        <v>1883.65</v>
      </c>
      <c r="P537" s="838">
        <f t="shared" si="1067"/>
        <v>1897.8969999999999</v>
      </c>
      <c r="Q537" s="190">
        <f t="shared" si="1067"/>
        <v>1876.498</v>
      </c>
      <c r="R537" s="190">
        <f t="shared" si="1067"/>
        <v>1876.7049999999999</v>
      </c>
      <c r="S537" s="190">
        <f t="shared" si="1067"/>
        <v>1872.42</v>
      </c>
      <c r="T537" s="190">
        <f t="shared" si="1067"/>
        <v>1874.3130000000001</v>
      </c>
      <c r="U537" s="838">
        <f t="shared" si="1067"/>
        <v>1874.971</v>
      </c>
      <c r="V537" s="190">
        <f t="shared" si="1067"/>
        <v>1869.7750000000001</v>
      </c>
      <c r="W537" s="190">
        <f t="shared" si="1067"/>
        <v>1871.9949999999999</v>
      </c>
      <c r="X537" s="190">
        <f t="shared" si="1067"/>
        <v>1883.3420000000001</v>
      </c>
      <c r="Y537" s="190">
        <f t="shared" si="1067"/>
        <v>1890.0440000000001</v>
      </c>
      <c r="Z537" s="838">
        <f t="shared" si="1067"/>
        <v>1872.789</v>
      </c>
      <c r="AA537" s="190">
        <f t="shared" si="1067"/>
        <v>1895.393</v>
      </c>
      <c r="AB537" s="190">
        <f t="shared" si="1067"/>
        <v>1893.0139999999999</v>
      </c>
      <c r="AC537" s="190">
        <f t="shared" si="1067"/>
        <v>1895.8789999999999</v>
      </c>
      <c r="AD537" s="190">
        <f t="shared" si="1067"/>
        <v>1906.146</v>
      </c>
      <c r="AE537" s="838">
        <f t="shared" si="1067"/>
        <v>1897.633</v>
      </c>
      <c r="AF537" s="190">
        <f t="shared" si="1067"/>
        <v>1913.2180000000001</v>
      </c>
      <c r="AG537" s="190">
        <f t="shared" si="1067"/>
        <v>1918.9490000000001</v>
      </c>
      <c r="AH537" s="190">
        <f t="shared" si="1067"/>
        <v>1917.4739999999999</v>
      </c>
      <c r="AI537" s="190">
        <f t="shared" si="1067"/>
        <v>1906.8230000000001</v>
      </c>
      <c r="AJ537" s="838">
        <f t="shared" si="1067"/>
        <v>1914.107</v>
      </c>
      <c r="AK537" s="190">
        <f t="shared" si="1067"/>
        <v>1900.748</v>
      </c>
      <c r="AL537" s="190">
        <f t="shared" si="1067"/>
        <v>1902.9770000000001</v>
      </c>
      <c r="AM537" s="190">
        <f t="shared" si="1067"/>
        <v>1893.9280000000001</v>
      </c>
      <c r="AN537" s="190">
        <f t="shared" si="1067"/>
        <v>1872.317</v>
      </c>
      <c r="AO537" s="838">
        <f t="shared" si="1067"/>
        <v>1895.126</v>
      </c>
      <c r="AP537" s="190">
        <f t="shared" si="1067"/>
        <v>1865.6489999999999</v>
      </c>
      <c r="AQ537" s="190">
        <f t="shared" si="1067"/>
        <v>1853.3130000000001</v>
      </c>
      <c r="AR537" s="190">
        <f>AR536</f>
        <v>1853.5329999999999</v>
      </c>
      <c r="AS537" s="190">
        <f t="shared" ref="AS537:AU537" si="1068">AS536</f>
        <v>1910.7239999999999</v>
      </c>
      <c r="AT537" s="838">
        <f t="shared" si="1068"/>
        <v>1870.027</v>
      </c>
      <c r="AU537" s="190">
        <f t="shared" si="1068"/>
        <v>1915.8889999999999</v>
      </c>
      <c r="AV537" s="190">
        <f t="shared" ref="AV537:BA537" si="1069">AV536</f>
        <v>1921.9580000000001</v>
      </c>
      <c r="AW537" s="190">
        <f t="shared" si="1069"/>
        <v>1921.095</v>
      </c>
      <c r="AX537" s="190">
        <f t="shared" si="1069"/>
        <v>1922.0820000000001</v>
      </c>
      <c r="AY537" s="838">
        <f t="shared" si="1069"/>
        <v>1920.2750000000001</v>
      </c>
      <c r="AZ537" s="190">
        <f t="shared" si="1069"/>
        <v>1944.5419999999999</v>
      </c>
      <c r="BA537" s="190">
        <f t="shared" si="1069"/>
        <v>1957.1089999999999</v>
      </c>
      <c r="BB537" s="190">
        <f t="shared" ref="BB537:BG537" si="1070">BB536</f>
        <v>1940.002</v>
      </c>
      <c r="BC537" s="190">
        <f t="shared" si="1070"/>
        <v>1919.731</v>
      </c>
      <c r="BD537" s="838">
        <f t="shared" si="1070"/>
        <v>1940.277</v>
      </c>
      <c r="BE537" s="190">
        <f t="shared" si="1070"/>
        <v>1900.7850000000001</v>
      </c>
      <c r="BF537" s="190">
        <f t="shared" si="1070"/>
        <v>1875.508</v>
      </c>
      <c r="BG537" s="190">
        <f t="shared" si="1070"/>
        <v>1877.104</v>
      </c>
      <c r="BH537" s="190">
        <f t="shared" ref="BH537:BN537" si="1071">BH536</f>
        <v>1868.1010000000001</v>
      </c>
      <c r="BI537" s="838">
        <f t="shared" si="1071"/>
        <v>1880.307</v>
      </c>
      <c r="BJ537" s="190">
        <f t="shared" si="1071"/>
        <v>1849.116</v>
      </c>
      <c r="BK537" s="190">
        <f t="shared" si="1071"/>
        <v>1833.431</v>
      </c>
      <c r="BL537" s="190">
        <f t="shared" si="1071"/>
        <v>1807.03</v>
      </c>
      <c r="BM537" s="190">
        <f t="shared" si="1071"/>
        <v>1777.366</v>
      </c>
      <c r="BN537" s="838">
        <f t="shared" si="1071"/>
        <v>1816.6020000000001</v>
      </c>
      <c r="BO537" s="190">
        <f t="shared" ref="BO537:BT537" si="1072">BO536</f>
        <v>1751.441</v>
      </c>
      <c r="BP537" s="190">
        <f t="shared" si="1072"/>
        <v>1724.3969999999999</v>
      </c>
      <c r="BQ537" s="190">
        <f t="shared" si="1072"/>
        <v>1946.0350000000001</v>
      </c>
      <c r="BR537" s="190">
        <f t="shared" si="1072"/>
        <v>1996.9839999999999</v>
      </c>
      <c r="BS537" s="838">
        <f t="shared" si="1072"/>
        <v>1855.6369999999999</v>
      </c>
      <c r="BT537" s="747">
        <f t="shared" si="1072"/>
        <v>1985.9</v>
      </c>
      <c r="BU537" s="722">
        <f ca="1">IF(BU525&lt;0,BU535,AVERAGE(BT556,BU556))</f>
        <v>1990.7624343213984</v>
      </c>
      <c r="BV537" s="722">
        <f ca="1">IF(BV525&lt;0,BV535,AVERAGE(BU556,BV556))</f>
        <v>1984.1731366427969</v>
      </c>
      <c r="BW537" s="722">
        <f ca="1">IF(BW525&lt;0,BW535,AVERAGE(BV556,BW556))</f>
        <v>1984.1731366427969</v>
      </c>
      <c r="BX537" s="837">
        <f ca="1">IF(BX525&lt;0,BX535,SUM(AVERAGE(BS556,BT556)*BT3,AVERAGE(BT556,BU556)*BU3,AVERAGE(BU556,BV556)*BV3,AVERAGE(BV556,BW556)*BW3)/BX3)</f>
        <v>1989.5093482069092</v>
      </c>
      <c r="BY537" s="722">
        <f ca="1">IF(BY525&lt;0,BY535,AVERAGE(BX556,BY556))</f>
        <v>1984.1731366427969</v>
      </c>
      <c r="BZ537" s="722">
        <f ca="1">IF(BZ525&lt;0,BZ535,AVERAGE(BY556,BZ556))</f>
        <v>1984.1731366427969</v>
      </c>
      <c r="CA537" s="722">
        <f ca="1">IF(CA525&lt;0,CA535,AVERAGE(BZ556,CA556))</f>
        <v>1984.1731366427969</v>
      </c>
      <c r="CB537" s="722">
        <f ca="1">IF(CB525&lt;0,CB535,AVERAGE(CA556,CB556))</f>
        <v>1984.1731366427969</v>
      </c>
      <c r="CC537" s="837">
        <f ca="1">IF(CC525&lt;0,CC535,SUM(AVERAGE(BX556,BY556)*BY3,AVERAGE(BY556,BZ556)*BZ3,AVERAGE(BZ556,CA556)*CA3,AVERAGE(CA556,CB556)*CB3)/CC3)</f>
        <v>1984.1731366427973</v>
      </c>
      <c r="CD537" s="837">
        <f ca="1">IF(CD525&lt;0,CD535,AVERAGE(CC556,CD556))</f>
        <v>1984.1731366427969</v>
      </c>
      <c r="CE537" s="837">
        <f ca="1">IF(CE525&lt;0,CE535,AVERAGE(CD556,CE556))</f>
        <v>1984.1731366427969</v>
      </c>
      <c r="CF537" s="837">
        <f ca="1">IF(CF525&lt;0,CF535,AVERAGE(CE556,CF556))</f>
        <v>1984.1731366427969</v>
      </c>
      <c r="CG537" s="190"/>
    </row>
    <row r="538" spans="1:85" s="424" customFormat="1" x14ac:dyDescent="0.3">
      <c r="A538" s="412"/>
      <c r="B538" s="339"/>
      <c r="C538" s="837"/>
      <c r="D538" s="837"/>
      <c r="E538" s="837"/>
      <c r="F538" s="837"/>
      <c r="G538" s="722"/>
      <c r="H538" s="722"/>
      <c r="I538" s="722"/>
      <c r="J538" s="722"/>
      <c r="K538" s="837"/>
      <c r="L538" s="722"/>
      <c r="M538" s="722"/>
      <c r="N538" s="722"/>
      <c r="O538" s="722"/>
      <c r="P538" s="837"/>
      <c r="Q538" s="722"/>
      <c r="R538" s="722"/>
      <c r="S538" s="722"/>
      <c r="T538" s="722"/>
      <c r="U538" s="837"/>
      <c r="V538" s="722"/>
      <c r="W538" s="722"/>
      <c r="X538" s="722"/>
      <c r="Y538" s="722"/>
      <c r="Z538" s="837"/>
      <c r="AA538" s="722"/>
      <c r="AB538" s="722"/>
      <c r="AC538" s="722"/>
      <c r="AD538" s="722"/>
      <c r="AE538" s="837"/>
      <c r="AF538" s="722"/>
      <c r="AG538" s="722"/>
      <c r="AH538" s="722"/>
      <c r="AI538" s="722"/>
      <c r="AJ538" s="837"/>
      <c r="AK538" s="722"/>
      <c r="AL538" s="722"/>
      <c r="AM538" s="722"/>
      <c r="AN538" s="722"/>
      <c r="AO538" s="837"/>
      <c r="AP538" s="722"/>
      <c r="AQ538" s="722"/>
      <c r="AR538" s="722"/>
      <c r="AS538" s="722"/>
      <c r="AT538" s="837"/>
      <c r="AU538" s="722"/>
      <c r="AV538" s="722"/>
      <c r="AW538" s="722"/>
      <c r="AX538" s="722"/>
      <c r="AY538" s="837"/>
      <c r="AZ538" s="722"/>
      <c r="BA538" s="722"/>
      <c r="BB538" s="722"/>
      <c r="BC538" s="722"/>
      <c r="BD538" s="837"/>
      <c r="BE538" s="722"/>
      <c r="BF538" s="722"/>
      <c r="BG538" s="722"/>
      <c r="BH538" s="722"/>
      <c r="BI538" s="837"/>
      <c r="BJ538" s="722"/>
      <c r="BK538" s="722"/>
      <c r="BL538" s="722"/>
      <c r="BM538" s="722"/>
      <c r="BN538" s="837"/>
      <c r="BO538" s="722"/>
      <c r="BP538" s="722"/>
      <c r="BQ538" s="722"/>
      <c r="BR538" s="722"/>
      <c r="BS538" s="837"/>
      <c r="BT538" s="723"/>
      <c r="BU538" s="722"/>
      <c r="BV538" s="722"/>
      <c r="BW538" s="722"/>
      <c r="BX538" s="837"/>
      <c r="BY538" s="722"/>
      <c r="BZ538" s="722"/>
      <c r="CA538" s="722"/>
      <c r="CB538" s="722"/>
      <c r="CC538" s="837"/>
      <c r="CD538" s="837"/>
      <c r="CE538" s="837"/>
      <c r="CF538" s="837"/>
      <c r="CG538" s="190"/>
    </row>
    <row r="539" spans="1:85" s="424" customFormat="1" x14ac:dyDescent="0.3">
      <c r="A539" s="413" t="s">
        <v>702</v>
      </c>
      <c r="B539" s="414"/>
      <c r="C539" s="306"/>
      <c r="D539" s="306"/>
      <c r="E539" s="306"/>
      <c r="F539" s="306"/>
      <c r="G539" s="306"/>
      <c r="H539" s="306"/>
      <c r="I539" s="306"/>
      <c r="J539" s="306"/>
      <c r="K539" s="306"/>
      <c r="L539" s="306"/>
      <c r="M539" s="306"/>
      <c r="N539" s="306"/>
      <c r="O539" s="306"/>
      <c r="P539" s="306"/>
      <c r="Q539" s="306"/>
      <c r="R539" s="306"/>
      <c r="S539" s="306"/>
      <c r="T539" s="306"/>
      <c r="U539" s="306"/>
      <c r="V539" s="306"/>
      <c r="W539" s="306"/>
      <c r="X539" s="306"/>
      <c r="Y539" s="306"/>
      <c r="Z539" s="306"/>
      <c r="AA539" s="306"/>
      <c r="AB539" s="306"/>
      <c r="AC539" s="306"/>
      <c r="AD539" s="306"/>
      <c r="AE539" s="306"/>
      <c r="AF539" s="306"/>
      <c r="AG539" s="306"/>
      <c r="AH539" s="306"/>
      <c r="AI539" s="306"/>
      <c r="AJ539" s="306"/>
      <c r="AK539" s="306"/>
      <c r="AL539" s="306"/>
      <c r="AM539" s="306"/>
      <c r="AN539" s="306"/>
      <c r="AO539" s="306"/>
      <c r="AP539" s="306"/>
      <c r="AQ539" s="306"/>
      <c r="AR539" s="306"/>
      <c r="AS539" s="306"/>
      <c r="AT539" s="306"/>
      <c r="AU539" s="306"/>
      <c r="AV539" s="306"/>
      <c r="AW539" s="306"/>
      <c r="AX539" s="306"/>
      <c r="AY539" s="306"/>
      <c r="AZ539" s="306"/>
      <c r="BA539" s="306"/>
      <c r="BB539" s="306"/>
      <c r="BC539" s="306"/>
      <c r="BD539" s="306"/>
      <c r="BE539" s="306"/>
      <c r="BF539" s="306"/>
      <c r="BG539" s="306"/>
      <c r="BH539" s="306"/>
      <c r="BI539" s="306"/>
      <c r="BJ539" s="306"/>
      <c r="BK539" s="306"/>
      <c r="BL539" s="306"/>
      <c r="BM539" s="306"/>
      <c r="BN539" s="306"/>
      <c r="BO539" s="306"/>
      <c r="BP539" s="306"/>
      <c r="BQ539" s="306"/>
      <c r="BR539" s="306"/>
      <c r="BS539" s="306"/>
      <c r="BT539" s="718"/>
      <c r="BU539" s="306"/>
      <c r="BV539" s="306"/>
      <c r="BW539" s="306"/>
      <c r="BX539" s="306"/>
      <c r="BY539" s="306"/>
      <c r="BZ539" s="306"/>
      <c r="CA539" s="306"/>
      <c r="CB539" s="306"/>
      <c r="CC539" s="306"/>
      <c r="CD539" s="306"/>
      <c r="CE539" s="306"/>
      <c r="CF539" s="306"/>
      <c r="CG539" s="190"/>
    </row>
    <row r="540" spans="1:85" s="424" customFormat="1" ht="15" hidden="1" customHeight="1" outlineLevel="2" x14ac:dyDescent="0.3">
      <c r="A540" s="43" t="s">
        <v>705</v>
      </c>
      <c r="B540" s="339"/>
      <c r="C540" s="905">
        <v>2442.6765799999998</v>
      </c>
      <c r="D540" s="905">
        <v>2442.6765799999998</v>
      </c>
      <c r="E540" s="905">
        <v>2442.6765799999998</v>
      </c>
      <c r="F540" s="905">
        <v>2442.6765799999998</v>
      </c>
      <c r="G540" s="787">
        <v>2442.6765799999998</v>
      </c>
      <c r="H540" s="787">
        <v>2442.6765799999998</v>
      </c>
      <c r="I540" s="787">
        <v>2442.6765799999998</v>
      </c>
      <c r="J540" s="722">
        <f>K540</f>
        <v>2442.6765799999998</v>
      </c>
      <c r="K540" s="905">
        <v>2442.6765799999998</v>
      </c>
      <c r="L540" s="787">
        <v>2442.6765799999998</v>
      </c>
      <c r="M540" s="787">
        <v>2442.6765799999998</v>
      </c>
      <c r="N540" s="787">
        <v>2442.6765799999998</v>
      </c>
      <c r="O540" s="722">
        <f>P540</f>
        <v>2442.6765799999998</v>
      </c>
      <c r="P540" s="905">
        <v>2442.6765799999998</v>
      </c>
      <c r="Q540" s="787">
        <v>2442.6765799999998</v>
      </c>
      <c r="R540" s="787">
        <v>2442.6765799999998</v>
      </c>
      <c r="S540" s="787">
        <v>2442.6765799999998</v>
      </c>
      <c r="T540" s="722">
        <f>U540</f>
        <v>2442.6765799999998</v>
      </c>
      <c r="U540" s="905">
        <v>2442.6765799999998</v>
      </c>
      <c r="V540" s="787">
        <v>2442.6765799999998</v>
      </c>
      <c r="W540" s="787">
        <v>2442.6765799999998</v>
      </c>
      <c r="X540" s="787">
        <v>2442.6765799999998</v>
      </c>
      <c r="Y540" s="722">
        <f>Z540</f>
        <v>2442.6765799999998</v>
      </c>
      <c r="Z540" s="905">
        <v>2442.6765799999998</v>
      </c>
      <c r="AA540" s="787">
        <v>2442.6765799999998</v>
      </c>
      <c r="AB540" s="787">
        <v>2442.6765799999998</v>
      </c>
      <c r="AC540" s="787">
        <v>2442.6765799999998</v>
      </c>
      <c r="AD540" s="722">
        <f>AE540</f>
        <v>2442.6765799999998</v>
      </c>
      <c r="AE540" s="905">
        <v>2442.6765799999998</v>
      </c>
      <c r="AF540" s="787">
        <v>2442.6765799999998</v>
      </c>
      <c r="AG540" s="787">
        <v>2442.6765799999998</v>
      </c>
      <c r="AH540" s="787">
        <v>2442.6765799999998</v>
      </c>
      <c r="AI540" s="722">
        <f>AJ540</f>
        <v>2442.6765799999998</v>
      </c>
      <c r="AJ540" s="905">
        <v>2442.6765799999998</v>
      </c>
      <c r="AK540" s="722"/>
      <c r="AL540" s="722"/>
      <c r="AM540" s="722"/>
      <c r="AN540" s="722"/>
      <c r="AO540" s="837"/>
      <c r="AP540" s="722"/>
      <c r="AQ540" s="722"/>
      <c r="AR540" s="722"/>
      <c r="AS540" s="722"/>
      <c r="AT540" s="837"/>
      <c r="AU540" s="722"/>
      <c r="AV540" s="722"/>
      <c r="AW540" s="722"/>
      <c r="AX540" s="722"/>
      <c r="AY540" s="837"/>
      <c r="AZ540" s="722"/>
      <c r="BA540" s="722"/>
      <c r="BB540" s="722"/>
      <c r="BC540" s="722"/>
      <c r="BD540" s="837"/>
      <c r="BE540" s="722"/>
      <c r="BF540" s="722"/>
      <c r="BG540" s="722"/>
      <c r="BH540" s="722"/>
      <c r="BI540" s="837"/>
      <c r="BJ540" s="722"/>
      <c r="BK540" s="722"/>
      <c r="BL540" s="722"/>
      <c r="BM540" s="722"/>
      <c r="BN540" s="837"/>
      <c r="BO540" s="722"/>
      <c r="BP540" s="722"/>
      <c r="BQ540" s="722"/>
      <c r="BR540" s="722"/>
      <c r="BS540" s="837"/>
      <c r="BT540" s="723"/>
      <c r="BU540" s="722"/>
      <c r="BV540" s="722"/>
      <c r="BW540" s="722"/>
      <c r="BX540" s="837"/>
      <c r="BY540" s="722"/>
      <c r="BZ540" s="722"/>
      <c r="CA540" s="722"/>
      <c r="CB540" s="722"/>
      <c r="CC540" s="837"/>
      <c r="CD540" s="837"/>
      <c r="CE540" s="837"/>
      <c r="CF540" s="837"/>
      <c r="CG540" s="190"/>
    </row>
    <row r="541" spans="1:85" s="424" customFormat="1" ht="15" hidden="1" customHeight="1" outlineLevel="2" x14ac:dyDescent="0.3">
      <c r="A541" s="299" t="s">
        <v>706</v>
      </c>
      <c r="B541" s="416"/>
      <c r="C541" s="906">
        <v>434.95477399999999</v>
      </c>
      <c r="D541" s="906">
        <v>435.19579900000002</v>
      </c>
      <c r="E541" s="906">
        <v>461.50965600000001</v>
      </c>
      <c r="F541" s="906">
        <v>495.97869100000003</v>
      </c>
      <c r="G541" s="789">
        <v>503.69880499999999</v>
      </c>
      <c r="H541" s="789">
        <v>510.65285699999998</v>
      </c>
      <c r="I541" s="789">
        <v>519.50356699999998</v>
      </c>
      <c r="J541" s="748">
        <f>K541</f>
        <v>529.07351200000005</v>
      </c>
      <c r="K541" s="906">
        <v>529.07351200000005</v>
      </c>
      <c r="L541" s="789">
        <v>539.02648099999999</v>
      </c>
      <c r="M541" s="789">
        <v>543.74475500000005</v>
      </c>
      <c r="N541" s="789">
        <v>552.25219500000003</v>
      </c>
      <c r="O541" s="748">
        <f>P541</f>
        <v>563.02777200000003</v>
      </c>
      <c r="P541" s="906">
        <v>563.02777200000003</v>
      </c>
      <c r="Q541" s="789">
        <v>562.19886899999995</v>
      </c>
      <c r="R541" s="789">
        <v>560.941957</v>
      </c>
      <c r="S541" s="789">
        <v>560.63987599999996</v>
      </c>
      <c r="T541" s="748">
        <f>U541</f>
        <v>559.86257999999998</v>
      </c>
      <c r="U541" s="906">
        <v>559.86257999999998</v>
      </c>
      <c r="V541" s="789">
        <v>557.97419300000001</v>
      </c>
      <c r="W541" s="789">
        <v>556.15613199999996</v>
      </c>
      <c r="X541" s="789">
        <v>554.90725999999995</v>
      </c>
      <c r="Y541" s="748">
        <f>Z541</f>
        <v>551.17015800000001</v>
      </c>
      <c r="Z541" s="906">
        <v>551.17015800000001</v>
      </c>
      <c r="AA541" s="789">
        <v>548.11977400000001</v>
      </c>
      <c r="AB541" s="789">
        <v>547.67389100000003</v>
      </c>
      <c r="AC541" s="789">
        <v>543.30265199999997</v>
      </c>
      <c r="AD541" s="748">
        <f>AE541</f>
        <v>537.974695</v>
      </c>
      <c r="AE541" s="906">
        <v>537.974695</v>
      </c>
      <c r="AF541" s="789">
        <v>531.71984599999996</v>
      </c>
      <c r="AG541" s="789">
        <v>526.52948000000004</v>
      </c>
      <c r="AH541" s="789">
        <v>531.90221099999997</v>
      </c>
      <c r="AI541" s="748">
        <f>AJ541</f>
        <v>539.83888999999999</v>
      </c>
      <c r="AJ541" s="906">
        <v>539.83888999999999</v>
      </c>
      <c r="AK541" s="748"/>
      <c r="AL541" s="748"/>
      <c r="AM541" s="748"/>
      <c r="AN541" s="748"/>
      <c r="AO541" s="907"/>
      <c r="AP541" s="748"/>
      <c r="AQ541" s="748"/>
      <c r="AR541" s="748"/>
      <c r="AS541" s="748"/>
      <c r="AT541" s="907"/>
      <c r="AU541" s="748"/>
      <c r="AV541" s="748"/>
      <c r="AW541" s="748"/>
      <c r="AX541" s="748"/>
      <c r="AY541" s="907"/>
      <c r="AZ541" s="748"/>
      <c r="BA541" s="748"/>
      <c r="BB541" s="748"/>
      <c r="BC541" s="748"/>
      <c r="BD541" s="907"/>
      <c r="BE541" s="748"/>
      <c r="BF541" s="748"/>
      <c r="BG541" s="748"/>
      <c r="BH541" s="748"/>
      <c r="BI541" s="837"/>
      <c r="BJ541" s="748"/>
      <c r="BK541" s="748"/>
      <c r="BL541" s="748"/>
      <c r="BM541" s="748"/>
      <c r="BN541" s="907"/>
      <c r="BO541" s="748"/>
      <c r="BP541" s="748"/>
      <c r="BQ541" s="748"/>
      <c r="BR541" s="748"/>
      <c r="BS541" s="907"/>
      <c r="BT541" s="749"/>
      <c r="BU541" s="748"/>
      <c r="BV541" s="748"/>
      <c r="BW541" s="748"/>
      <c r="BX541" s="907"/>
      <c r="BY541" s="748"/>
      <c r="BZ541" s="748"/>
      <c r="CA541" s="748"/>
      <c r="CB541" s="748"/>
      <c r="CC541" s="907"/>
      <c r="CD541" s="907"/>
      <c r="CE541" s="907"/>
      <c r="CF541" s="907"/>
      <c r="CG541" s="190"/>
    </row>
    <row r="542" spans="1:85" s="424" customFormat="1" ht="15" hidden="1" customHeight="1" outlineLevel="1" collapsed="1" x14ac:dyDescent="0.3">
      <c r="A542" s="106" t="s">
        <v>707</v>
      </c>
      <c r="B542" s="339"/>
      <c r="C542" s="837">
        <f t="shared" ref="C542:AJ542" si="1073">C540-C541</f>
        <v>2007.7218059999998</v>
      </c>
      <c r="D542" s="837">
        <f t="shared" si="1073"/>
        <v>2007.4807809999998</v>
      </c>
      <c r="E542" s="837">
        <f t="shared" si="1073"/>
        <v>1981.1669239999999</v>
      </c>
      <c r="F542" s="837">
        <f t="shared" si="1073"/>
        <v>1946.6978889999998</v>
      </c>
      <c r="G542" s="722">
        <f t="shared" si="1073"/>
        <v>1938.9777749999998</v>
      </c>
      <c r="H542" s="722">
        <f t="shared" si="1073"/>
        <v>1932.0237229999998</v>
      </c>
      <c r="I542" s="722">
        <f t="shared" si="1073"/>
        <v>1923.1730129999999</v>
      </c>
      <c r="J542" s="722">
        <f t="shared" si="1073"/>
        <v>1913.6030679999999</v>
      </c>
      <c r="K542" s="837">
        <f t="shared" si="1073"/>
        <v>1913.6030679999999</v>
      </c>
      <c r="L542" s="722">
        <f t="shared" si="1073"/>
        <v>1903.650099</v>
      </c>
      <c r="M542" s="722">
        <f t="shared" si="1073"/>
        <v>1898.9318249999997</v>
      </c>
      <c r="N542" s="722">
        <f t="shared" si="1073"/>
        <v>1890.4243849999998</v>
      </c>
      <c r="O542" s="722">
        <f t="shared" si="1073"/>
        <v>1879.6488079999999</v>
      </c>
      <c r="P542" s="837">
        <f t="shared" si="1073"/>
        <v>1879.6488079999999</v>
      </c>
      <c r="Q542" s="722">
        <f t="shared" si="1073"/>
        <v>1880.477711</v>
      </c>
      <c r="R542" s="722">
        <f t="shared" si="1073"/>
        <v>1881.7346229999998</v>
      </c>
      <c r="S542" s="722">
        <f t="shared" si="1073"/>
        <v>1882.0367039999999</v>
      </c>
      <c r="T542" s="722">
        <f t="shared" si="1073"/>
        <v>1882.8139999999999</v>
      </c>
      <c r="U542" s="837">
        <f t="shared" si="1073"/>
        <v>1882.8139999999999</v>
      </c>
      <c r="V542" s="722">
        <f t="shared" si="1073"/>
        <v>1884.7023869999998</v>
      </c>
      <c r="W542" s="722">
        <f t="shared" si="1073"/>
        <v>1886.5204479999998</v>
      </c>
      <c r="X542" s="722">
        <f t="shared" si="1073"/>
        <v>1887.7693199999999</v>
      </c>
      <c r="Y542" s="722">
        <f t="shared" si="1073"/>
        <v>1891.5064219999999</v>
      </c>
      <c r="Z542" s="837">
        <f t="shared" si="1073"/>
        <v>1891.5064219999999</v>
      </c>
      <c r="AA542" s="722">
        <f t="shared" si="1073"/>
        <v>1894.5568059999998</v>
      </c>
      <c r="AB542" s="722">
        <f t="shared" si="1073"/>
        <v>1895.0026889999999</v>
      </c>
      <c r="AC542" s="722">
        <f t="shared" si="1073"/>
        <v>1899.373928</v>
      </c>
      <c r="AD542" s="722">
        <f t="shared" si="1073"/>
        <v>1904.7018849999999</v>
      </c>
      <c r="AE542" s="837">
        <f t="shared" si="1073"/>
        <v>1904.7018849999999</v>
      </c>
      <c r="AF542" s="722">
        <f t="shared" si="1073"/>
        <v>1910.9567339999999</v>
      </c>
      <c r="AG542" s="722">
        <f t="shared" si="1073"/>
        <v>1916.1470999999997</v>
      </c>
      <c r="AH542" s="722">
        <f t="shared" si="1073"/>
        <v>1910.7743689999998</v>
      </c>
      <c r="AI542" s="722">
        <f t="shared" si="1073"/>
        <v>1902.8376899999998</v>
      </c>
      <c r="AJ542" s="837">
        <f t="shared" si="1073"/>
        <v>1902.8376899999998</v>
      </c>
      <c r="AK542" s="787">
        <v>1904.7260000000001</v>
      </c>
      <c r="AL542" s="787">
        <v>1898.418471</v>
      </c>
      <c r="AM542" s="787">
        <v>1890.8721880000001</v>
      </c>
      <c r="AN542" s="722">
        <f>AO542</f>
        <v>1882.168101</v>
      </c>
      <c r="AO542" s="905">
        <v>1882.168101</v>
      </c>
      <c r="AP542" s="787">
        <v>1866.97865</v>
      </c>
      <c r="AQ542" s="787">
        <v>1867.267832</v>
      </c>
      <c r="AR542" s="787">
        <v>1867.3234480000001</v>
      </c>
      <c r="AS542" s="722">
        <f>AT542</f>
        <v>1925.1863169999999</v>
      </c>
      <c r="AT542" s="905">
        <v>1925.1863169999999</v>
      </c>
      <c r="AU542" s="787">
        <v>1928.052179</v>
      </c>
      <c r="AV542" s="787">
        <v>1933.9119439999999</v>
      </c>
      <c r="AW542" s="787">
        <v>1927.685919</v>
      </c>
      <c r="AX542" s="722">
        <f>AY542</f>
        <v>1929.806057</v>
      </c>
      <c r="AY542" s="905">
        <v>1929.806057</v>
      </c>
      <c r="AZ542" s="787">
        <v>1964.8134560000001</v>
      </c>
      <c r="BA542" s="787">
        <v>1957.434814</v>
      </c>
      <c r="BB542" s="787">
        <v>1933.6385459999999</v>
      </c>
      <c r="BC542" s="722">
        <f>BD542</f>
        <v>1915.2163430000001</v>
      </c>
      <c r="BD542" s="905">
        <v>1915.2163430000001</v>
      </c>
      <c r="BE542" s="787">
        <v>1894.2152639999999</v>
      </c>
      <c r="BF542" s="787">
        <v>1867.245218</v>
      </c>
      <c r="BG542" s="787">
        <v>1887.7486650000001</v>
      </c>
      <c r="BH542" s="722">
        <f>BI542</f>
        <v>1865.647804</v>
      </c>
      <c r="BI542" s="908">
        <v>1865.647804</v>
      </c>
      <c r="BJ542" s="787">
        <v>1847.009033</v>
      </c>
      <c r="BK542" s="787">
        <v>1828.917113</v>
      </c>
      <c r="BL542" s="787">
        <v>1797.0913250000001</v>
      </c>
      <c r="BM542" s="722">
        <f>BN542</f>
        <v>1769.0122739999999</v>
      </c>
      <c r="BN542" s="905">
        <v>1769.0122739999999</v>
      </c>
      <c r="BO542" s="787">
        <v>1746.3939049999999</v>
      </c>
      <c r="BP542" s="787">
        <v>1727.990376</v>
      </c>
      <c r="BQ542" s="787">
        <v>2013.5215969999999</v>
      </c>
      <c r="BR542" s="722">
        <f>BS542</f>
        <v>1994.4161220000001</v>
      </c>
      <c r="BS542" s="905">
        <v>1994.4161220000001</v>
      </c>
      <c r="BT542" s="788">
        <v>1991.597732</v>
      </c>
      <c r="BU542" s="722">
        <f ca="1">BT542*(1+BU543)+BU573/(BU574/BU618)</f>
        <v>1976.4625968648647</v>
      </c>
      <c r="BV542" s="722">
        <f ca="1">BU542*(1+BV543)+BV573/(BV574/BV618)</f>
        <v>1976.4625968648647</v>
      </c>
      <c r="BW542" s="722">
        <f ca="1">BV542*(1+BW543)+BW573/(BW574/BW618)</f>
        <v>1976.4625968648647</v>
      </c>
      <c r="BX542" s="837">
        <f ca="1">BW542</f>
        <v>1976.4625968648647</v>
      </c>
      <c r="BY542" s="722">
        <f ca="1">BX542*(1+BY543)+BY573/(BY574/BY618)</f>
        <v>1976.4625968648647</v>
      </c>
      <c r="BZ542" s="722">
        <f ca="1">BY542*(1+BZ543)+BZ573/(BZ574/BZ618)</f>
        <v>1976.4625968648647</v>
      </c>
      <c r="CA542" s="722">
        <f ca="1">BZ542*(1+CA543)+CA573/(CA574/CA618)</f>
        <v>1976.4625968648647</v>
      </c>
      <c r="CB542" s="722">
        <f ca="1">CA542*(1+CB543)+CB573/(CB574/CB618)</f>
        <v>1976.4625968648647</v>
      </c>
      <c r="CC542" s="837">
        <f ca="1">CB542</f>
        <v>1976.4625968648647</v>
      </c>
      <c r="CD542" s="837">
        <f ca="1">CC542*(1+CD544)+CD573/(CD574/CD618)</f>
        <v>1976.4625968648647</v>
      </c>
      <c r="CE542" s="837">
        <f ca="1">CD542*(1+CE544)+CE573/(CE574/CE618)</f>
        <v>1976.4625968648647</v>
      </c>
      <c r="CF542" s="837">
        <f ca="1">CE542*(1+CF544)+CF573/(CF574/CF618)</f>
        <v>1976.4625968648647</v>
      </c>
      <c r="CG542" s="190"/>
    </row>
    <row r="543" spans="1:85" s="424" customFormat="1" ht="15" hidden="1" customHeight="1" outlineLevel="1" collapsed="1" x14ac:dyDescent="0.3">
      <c r="A543" s="482" t="s">
        <v>733</v>
      </c>
      <c r="B543" s="348"/>
      <c r="C543" s="873"/>
      <c r="D543" s="873"/>
      <c r="E543" s="873"/>
      <c r="F543" s="873"/>
      <c r="G543" s="483"/>
      <c r="H543" s="483"/>
      <c r="I543" s="483"/>
      <c r="J543" s="483"/>
      <c r="K543" s="873"/>
      <c r="L543" s="483"/>
      <c r="M543" s="483"/>
      <c r="N543" s="483"/>
      <c r="O543" s="483"/>
      <c r="P543" s="873"/>
      <c r="Q543" s="483"/>
      <c r="R543" s="483"/>
      <c r="S543" s="483"/>
      <c r="T543" s="483"/>
      <c r="U543" s="873"/>
      <c r="V543" s="483"/>
      <c r="W543" s="483"/>
      <c r="X543" s="483"/>
      <c r="Y543" s="483"/>
      <c r="Z543" s="873"/>
      <c r="AA543" s="483"/>
      <c r="AB543" s="483"/>
      <c r="AC543" s="483"/>
      <c r="AD543" s="483"/>
      <c r="AE543" s="873"/>
      <c r="AF543" s="483"/>
      <c r="AG543" s="483"/>
      <c r="AH543" s="483"/>
      <c r="AI543" s="483"/>
      <c r="AJ543" s="873"/>
      <c r="AK543" s="483"/>
      <c r="AL543" s="483"/>
      <c r="AM543" s="483"/>
      <c r="AN543" s="483"/>
      <c r="AO543" s="873"/>
      <c r="AP543" s="483"/>
      <c r="AQ543" s="483"/>
      <c r="AR543" s="483"/>
      <c r="AS543" s="483"/>
      <c r="AT543" s="873"/>
      <c r="AU543" s="483"/>
      <c r="AV543" s="483"/>
      <c r="AW543" s="483"/>
      <c r="AX543" s="483"/>
      <c r="AY543" s="873"/>
      <c r="AZ543" s="483"/>
      <c r="BA543" s="483"/>
      <c r="BB543" s="483"/>
      <c r="BC543" s="483"/>
      <c r="BD543" s="873"/>
      <c r="BE543" s="483"/>
      <c r="BF543" s="483"/>
      <c r="BG543" s="483"/>
      <c r="BH543" s="483"/>
      <c r="BI543" s="873"/>
      <c r="BJ543" s="483"/>
      <c r="BK543" s="483"/>
      <c r="BL543" s="483"/>
      <c r="BM543" s="483"/>
      <c r="BN543" s="873"/>
      <c r="BO543" s="483"/>
      <c r="BP543" s="483"/>
      <c r="BQ543" s="483"/>
      <c r="BR543" s="483"/>
      <c r="BS543" s="873"/>
      <c r="BT543" s="672"/>
      <c r="BU543" s="777">
        <v>0</v>
      </c>
      <c r="BV543" s="777">
        <v>0</v>
      </c>
      <c r="BW543" s="777">
        <v>0</v>
      </c>
      <c r="BX543" s="873"/>
      <c r="BY543" s="777">
        <v>0</v>
      </c>
      <c r="BZ543" s="777">
        <v>0</v>
      </c>
      <c r="CA543" s="777">
        <v>0</v>
      </c>
      <c r="CB543" s="777">
        <v>0</v>
      </c>
      <c r="CC543" s="873"/>
      <c r="CD543" s="873"/>
      <c r="CE543" s="873"/>
      <c r="CF543" s="873"/>
      <c r="CG543" s="190"/>
    </row>
    <row r="544" spans="1:85" s="424" customFormat="1" ht="15" hidden="1" customHeight="1" outlineLevel="1" collapsed="1" x14ac:dyDescent="0.3">
      <c r="A544" s="482" t="s">
        <v>734</v>
      </c>
      <c r="B544" s="348"/>
      <c r="C544" s="873"/>
      <c r="D544" s="873"/>
      <c r="E544" s="873"/>
      <c r="F544" s="873"/>
      <c r="G544" s="483"/>
      <c r="H544" s="483"/>
      <c r="I544" s="483"/>
      <c r="J544" s="483"/>
      <c r="K544" s="873"/>
      <c r="L544" s="483"/>
      <c r="M544" s="483"/>
      <c r="N544" s="483"/>
      <c r="O544" s="483"/>
      <c r="P544" s="873"/>
      <c r="Q544" s="483"/>
      <c r="R544" s="483"/>
      <c r="S544" s="483"/>
      <c r="T544" s="483"/>
      <c r="U544" s="873"/>
      <c r="V544" s="483"/>
      <c r="W544" s="483"/>
      <c r="X544" s="483"/>
      <c r="Y544" s="483"/>
      <c r="Z544" s="873"/>
      <c r="AA544" s="483"/>
      <c r="AB544" s="483"/>
      <c r="AC544" s="483"/>
      <c r="AD544" s="483"/>
      <c r="AE544" s="873"/>
      <c r="AF544" s="483"/>
      <c r="AG544" s="483"/>
      <c r="AH544" s="483"/>
      <c r="AI544" s="483"/>
      <c r="AJ544" s="873"/>
      <c r="AK544" s="483"/>
      <c r="AL544" s="483"/>
      <c r="AM544" s="483"/>
      <c r="AN544" s="483"/>
      <c r="AO544" s="873"/>
      <c r="AP544" s="483"/>
      <c r="AQ544" s="483"/>
      <c r="AR544" s="483"/>
      <c r="AS544" s="483"/>
      <c r="AT544" s="873"/>
      <c r="AU544" s="483"/>
      <c r="AV544" s="483"/>
      <c r="AW544" s="483"/>
      <c r="AX544" s="483"/>
      <c r="AY544" s="873"/>
      <c r="AZ544" s="483"/>
      <c r="BA544" s="483"/>
      <c r="BB544" s="483"/>
      <c r="BC544" s="483"/>
      <c r="BD544" s="873"/>
      <c r="BE544" s="483"/>
      <c r="BF544" s="483"/>
      <c r="BG544" s="483"/>
      <c r="BH544" s="483"/>
      <c r="BI544" s="873"/>
      <c r="BJ544" s="483"/>
      <c r="BK544" s="483"/>
      <c r="BL544" s="483"/>
      <c r="BM544" s="483"/>
      <c r="BN544" s="873"/>
      <c r="BO544" s="483"/>
      <c r="BP544" s="483"/>
      <c r="BQ544" s="483"/>
      <c r="BR544" s="483"/>
      <c r="BS544" s="873"/>
      <c r="BT544" s="672"/>
      <c r="BU544" s="483"/>
      <c r="BV544" s="483"/>
      <c r="BW544" s="483"/>
      <c r="BX544" s="873"/>
      <c r="BY544" s="483"/>
      <c r="BZ544" s="483"/>
      <c r="CA544" s="483"/>
      <c r="CB544" s="483"/>
      <c r="CC544" s="873"/>
      <c r="CD544" s="875">
        <v>0</v>
      </c>
      <c r="CE544" s="875">
        <v>0</v>
      </c>
      <c r="CF544" s="875">
        <v>0</v>
      </c>
      <c r="CG544" s="190"/>
    </row>
    <row r="545" spans="1:85" s="424" customFormat="1" ht="15" hidden="1" customHeight="1" outlineLevel="2" collapsed="1" x14ac:dyDescent="0.3">
      <c r="A545" s="482" t="s">
        <v>735</v>
      </c>
      <c r="B545" s="348"/>
      <c r="C545" s="873"/>
      <c r="D545" s="873"/>
      <c r="E545" s="873"/>
      <c r="F545" s="873"/>
      <c r="G545" s="483"/>
      <c r="H545" s="483"/>
      <c r="I545" s="483"/>
      <c r="J545" s="483"/>
      <c r="K545" s="873"/>
      <c r="L545" s="483"/>
      <c r="M545" s="483"/>
      <c r="N545" s="483"/>
      <c r="O545" s="483"/>
      <c r="P545" s="873"/>
      <c r="Q545" s="483"/>
      <c r="R545" s="483"/>
      <c r="S545" s="483"/>
      <c r="T545" s="483"/>
      <c r="U545" s="873"/>
      <c r="V545" s="483"/>
      <c r="W545" s="483"/>
      <c r="X545" s="483"/>
      <c r="Y545" s="483"/>
      <c r="Z545" s="873"/>
      <c r="AA545" s="483"/>
      <c r="AB545" s="483"/>
      <c r="AC545" s="483"/>
      <c r="AD545" s="483"/>
      <c r="AE545" s="873"/>
      <c r="AF545" s="483"/>
      <c r="AG545" s="483"/>
      <c r="AH545" s="483"/>
      <c r="AI545" s="483"/>
      <c r="AJ545" s="873"/>
      <c r="AK545" s="483"/>
      <c r="AL545" s="483"/>
      <c r="AM545" s="483"/>
      <c r="AN545" s="483"/>
      <c r="AO545" s="873"/>
      <c r="AP545" s="483"/>
      <c r="AQ545" s="483"/>
      <c r="AR545" s="483"/>
      <c r="AS545" s="483"/>
      <c r="AT545" s="873"/>
      <c r="AU545" s="483"/>
      <c r="AV545" s="483"/>
      <c r="AW545" s="483"/>
      <c r="AX545" s="483"/>
      <c r="AY545" s="873"/>
      <c r="AZ545" s="483"/>
      <c r="BA545" s="483"/>
      <c r="BB545" s="483"/>
      <c r="BC545" s="483"/>
      <c r="BD545" s="873"/>
      <c r="BE545" s="483"/>
      <c r="BF545" s="483"/>
      <c r="BG545" s="483"/>
      <c r="BH545" s="483"/>
      <c r="BI545" s="873"/>
      <c r="BJ545" s="483"/>
      <c r="BK545" s="483"/>
      <c r="BL545" s="483"/>
      <c r="BM545" s="483"/>
      <c r="BN545" s="873"/>
      <c r="BO545" s="483"/>
      <c r="BP545" s="483"/>
      <c r="BQ545" s="483"/>
      <c r="BR545" s="483"/>
      <c r="BS545" s="873"/>
      <c r="BT545" s="672"/>
      <c r="BU545" s="483">
        <f ca="1">BU573/(BU574/BU618)/BT542</f>
        <v>-7.5994940604477128E-3</v>
      </c>
      <c r="BV545" s="483">
        <f ca="1">BV573/(BV574/BV618)/BU542</f>
        <v>0</v>
      </c>
      <c r="BW545" s="483">
        <f ca="1">BW573/(BW574/BW618)/BV542</f>
        <v>0</v>
      </c>
      <c r="BX545" s="873"/>
      <c r="BY545" s="483">
        <f ca="1">BY573/(BY574/BY618)/BW542</f>
        <v>0</v>
      </c>
      <c r="BZ545" s="483">
        <f ca="1">BZ573/(BZ574/BZ618)/BY542</f>
        <v>0</v>
      </c>
      <c r="CA545" s="483">
        <f ca="1">CA573/(CA574/CA618)/BZ542</f>
        <v>0</v>
      </c>
      <c r="CB545" s="483">
        <f ca="1">CB573/(CB574/CB618)/CA542</f>
        <v>0</v>
      </c>
      <c r="CC545" s="873"/>
      <c r="CD545" s="873"/>
      <c r="CE545" s="873"/>
      <c r="CF545" s="873"/>
      <c r="CG545" s="190"/>
    </row>
    <row r="546" spans="1:85" s="424" customFormat="1" ht="15" hidden="1" customHeight="1" outlineLevel="2" collapsed="1" x14ac:dyDescent="0.3">
      <c r="A546" s="484" t="s">
        <v>736</v>
      </c>
      <c r="B546" s="485"/>
      <c r="C546" s="909"/>
      <c r="D546" s="909"/>
      <c r="E546" s="909"/>
      <c r="F546" s="909"/>
      <c r="G546" s="486"/>
      <c r="H546" s="486"/>
      <c r="I546" s="486"/>
      <c r="J546" s="486"/>
      <c r="K546" s="909"/>
      <c r="L546" s="486"/>
      <c r="M546" s="486"/>
      <c r="N546" s="486"/>
      <c r="O546" s="486"/>
      <c r="P546" s="909"/>
      <c r="Q546" s="486"/>
      <c r="R546" s="486"/>
      <c r="S546" s="486"/>
      <c r="T546" s="486"/>
      <c r="U546" s="909"/>
      <c r="V546" s="486"/>
      <c r="W546" s="486"/>
      <c r="X546" s="486"/>
      <c r="Y546" s="486"/>
      <c r="Z546" s="909"/>
      <c r="AA546" s="486"/>
      <c r="AB546" s="486"/>
      <c r="AC546" s="486"/>
      <c r="AD546" s="486"/>
      <c r="AE546" s="909"/>
      <c r="AF546" s="486"/>
      <c r="AG546" s="486"/>
      <c r="AH546" s="486"/>
      <c r="AI546" s="486"/>
      <c r="AJ546" s="909"/>
      <c r="AK546" s="486"/>
      <c r="AL546" s="486"/>
      <c r="AM546" s="486"/>
      <c r="AN546" s="486"/>
      <c r="AO546" s="909"/>
      <c r="AP546" s="486"/>
      <c r="AQ546" s="486"/>
      <c r="AR546" s="486"/>
      <c r="AS546" s="486"/>
      <c r="AT546" s="909"/>
      <c r="AU546" s="486"/>
      <c r="AV546" s="486"/>
      <c r="AW546" s="486"/>
      <c r="AX546" s="486"/>
      <c r="AY546" s="909"/>
      <c r="AZ546" s="486"/>
      <c r="BA546" s="486"/>
      <c r="BB546" s="486"/>
      <c r="BC546" s="486"/>
      <c r="BD546" s="909"/>
      <c r="BE546" s="486"/>
      <c r="BF546" s="486"/>
      <c r="BG546" s="486"/>
      <c r="BH546" s="486"/>
      <c r="BI546" s="909"/>
      <c r="BJ546" s="486"/>
      <c r="BK546" s="486"/>
      <c r="BL546" s="486"/>
      <c r="BM546" s="486"/>
      <c r="BN546" s="909"/>
      <c r="BO546" s="486"/>
      <c r="BP546" s="486"/>
      <c r="BQ546" s="486"/>
      <c r="BR546" s="486"/>
      <c r="BS546" s="909"/>
      <c r="BT546" s="673"/>
      <c r="BU546" s="486"/>
      <c r="BV546" s="486"/>
      <c r="BW546" s="486"/>
      <c r="BX546" s="909">
        <f ca="1">BX573/(BX574/BX618)/BS542</f>
        <v>-1.1415655597858012E-2</v>
      </c>
      <c r="BY546" s="486"/>
      <c r="BZ546" s="486"/>
      <c r="CA546" s="486"/>
      <c r="CB546" s="486"/>
      <c r="CC546" s="909">
        <f ca="1">CC573/(CC574/CC618)/BX542</f>
        <v>0</v>
      </c>
      <c r="CD546" s="909">
        <f ca="1">CD573/(CD574/CD618)/CC542</f>
        <v>0</v>
      </c>
      <c r="CE546" s="909">
        <f ca="1">CE573/(CE574/CE618)/CD542</f>
        <v>0</v>
      </c>
      <c r="CF546" s="909">
        <f ca="1">CF573/(CF574/CF618)/CE542</f>
        <v>0</v>
      </c>
      <c r="CG546" s="190"/>
    </row>
    <row r="547" spans="1:85" s="424" customFormat="1" ht="15" hidden="1" customHeight="1" outlineLevel="1" collapsed="1" x14ac:dyDescent="0.3">
      <c r="A547" s="487" t="s">
        <v>737</v>
      </c>
      <c r="B547" s="348"/>
      <c r="C547" s="873"/>
      <c r="D547" s="873"/>
      <c r="E547" s="873"/>
      <c r="F547" s="873"/>
      <c r="G547" s="483"/>
      <c r="H547" s="483">
        <f>H542/G542-1</f>
        <v>-3.5864526606036451E-3</v>
      </c>
      <c r="I547" s="483">
        <f>I542/H542-1</f>
        <v>-4.5810565857115071E-3</v>
      </c>
      <c r="J547" s="483">
        <f>J542/I542-1</f>
        <v>-4.9761227592682866E-3</v>
      </c>
      <c r="K547" s="873"/>
      <c r="L547" s="483">
        <f>L542/J542-1</f>
        <v>-5.2011669329117272E-3</v>
      </c>
      <c r="M547" s="483">
        <f>M542/L542-1</f>
        <v>-2.4785405692352436E-3</v>
      </c>
      <c r="N547" s="483">
        <f>N542/M542-1</f>
        <v>-4.4801187109494434E-3</v>
      </c>
      <c r="O547" s="483">
        <f>O542/N542-1</f>
        <v>-5.7000835820258944E-3</v>
      </c>
      <c r="P547" s="873"/>
      <c r="Q547" s="483">
        <f>Q542/O542-1</f>
        <v>4.4098822954174999E-4</v>
      </c>
      <c r="R547" s="483">
        <f>R542/Q542-1</f>
        <v>6.6840037116500106E-4</v>
      </c>
      <c r="S547" s="483">
        <f>S542/R542-1</f>
        <v>1.6053326346221475E-4</v>
      </c>
      <c r="T547" s="483">
        <f>T542/S542-1</f>
        <v>4.130078857378372E-4</v>
      </c>
      <c r="U547" s="873"/>
      <c r="V547" s="483">
        <f>V542/T542-1</f>
        <v>1.0029599312517679E-3</v>
      </c>
      <c r="W547" s="483">
        <f>W542/V542-1</f>
        <v>9.646408963772668E-4</v>
      </c>
      <c r="X547" s="483">
        <f>X542/W542-1</f>
        <v>6.6199759526819335E-4</v>
      </c>
      <c r="Y547" s="483">
        <f>Y542/X542-1</f>
        <v>1.9796391224327081E-3</v>
      </c>
      <c r="Z547" s="873"/>
      <c r="AA547" s="483">
        <f>AA542/Y542-1</f>
        <v>1.6126744083557742E-3</v>
      </c>
      <c r="AB547" s="483">
        <f>AB542/AA542-1</f>
        <v>2.3534950157633183E-4</v>
      </c>
      <c r="AC547" s="483">
        <f>AC542/AB542-1</f>
        <v>2.3067191542123222E-3</v>
      </c>
      <c r="AD547" s="483">
        <f>AD542/AC542-1</f>
        <v>2.8051122116907745E-3</v>
      </c>
      <c r="AE547" s="873"/>
      <c r="AF547" s="483">
        <f>AF542/AD542-1</f>
        <v>3.2838992018953128E-3</v>
      </c>
      <c r="AG547" s="483">
        <f>AG542/AF542-1</f>
        <v>2.7161085898241843E-3</v>
      </c>
      <c r="AH547" s="483">
        <f>AH542/AG542-1</f>
        <v>-2.8039240828640066E-3</v>
      </c>
      <c r="AI547" s="483">
        <f>AI542/AH542-1</f>
        <v>-4.1536453119546124E-3</v>
      </c>
      <c r="AJ547" s="873"/>
      <c r="AK547" s="483">
        <f>AK542/AI542-1</f>
        <v>9.9236525002832643E-4</v>
      </c>
      <c r="AL547" s="483">
        <f>AL542/AK542-1</f>
        <v>-3.3115151470606285E-3</v>
      </c>
      <c r="AM547" s="483">
        <f>AM542/AL542-1</f>
        <v>-3.9750366503886747E-3</v>
      </c>
      <c r="AN547" s="483">
        <f>AN542/AM542-1</f>
        <v>-4.603212768815701E-3</v>
      </c>
      <c r="AO547" s="873"/>
      <c r="AP547" s="483">
        <f>AP542/AN542-1</f>
        <v>-8.0701883067351154E-3</v>
      </c>
      <c r="AQ547" s="483">
        <f>AQ542/AP542-1</f>
        <v>1.548930406889415E-4</v>
      </c>
      <c r="AR547" s="483">
        <f>AR542/AQ542-1</f>
        <v>2.9784693468704049E-5</v>
      </c>
      <c r="AS547" s="483">
        <f>AS542/AR542-1</f>
        <v>3.0987062826193235E-2</v>
      </c>
      <c r="AT547" s="873"/>
      <c r="AU547" s="483">
        <f>AU542/AS542-1</f>
        <v>1.4886154003348473E-3</v>
      </c>
      <c r="AV547" s="483">
        <f>AV542/AU542-1</f>
        <v>3.0392149464746332E-3</v>
      </c>
      <c r="AW547" s="483">
        <f>AW542/AV542-1</f>
        <v>-3.2193942538678577E-3</v>
      </c>
      <c r="AX547" s="483">
        <f>AX542/AW542-1</f>
        <v>1.0998358078477821E-3</v>
      </c>
      <c r="AY547" s="873"/>
      <c r="AZ547" s="483">
        <f>AZ542/AX542-1</f>
        <v>1.8140371605228189E-2</v>
      </c>
      <c r="BA547" s="483">
        <f>BA542/AZ542-1</f>
        <v>-3.7553906084406563E-3</v>
      </c>
      <c r="BB547" s="483">
        <f>BB542/BA542-1</f>
        <v>-1.2156863579723787E-2</v>
      </c>
      <c r="BC547" s="483">
        <f>BC542/BB542-1</f>
        <v>-9.5272216403157195E-3</v>
      </c>
      <c r="BD547" s="873"/>
      <c r="BE547" s="483">
        <f>BE542/BC542-1</f>
        <v>-1.096538209730602E-2</v>
      </c>
      <c r="BF547" s="483">
        <f>BF542/BE542-1</f>
        <v>-1.4238110373499757E-2</v>
      </c>
      <c r="BG547" s="82">
        <f>BG542/BF542-1</f>
        <v>1.0980586161019268E-2</v>
      </c>
      <c r="BH547" s="483">
        <f>BH542/BG542-1</f>
        <v>-1.170752304571232E-2</v>
      </c>
      <c r="BI547" s="873"/>
      <c r="BJ547" s="483">
        <f>BJ542/BH542-1</f>
        <v>-9.9905089052917395E-3</v>
      </c>
      <c r="BK547" s="483">
        <f>BK542/BJ542-1</f>
        <v>-9.7952525822866399E-3</v>
      </c>
      <c r="BL547" s="483">
        <f>BL542/BK542-1</f>
        <v>-1.7401438137234937E-2</v>
      </c>
      <c r="BM547" s="483">
        <f>BM542/BL542-1</f>
        <v>-1.5624721242255224E-2</v>
      </c>
      <c r="BN547" s="873"/>
      <c r="BO547" s="483">
        <f>BO542/BM542-1</f>
        <v>-1.2785874542778908E-2</v>
      </c>
      <c r="BP547" s="483">
        <f>BP542/BO542-1</f>
        <v>-1.0538017194923643E-2</v>
      </c>
      <c r="BQ547" s="483">
        <f>BQ542/BP542-1</f>
        <v>0.16523889540458869</v>
      </c>
      <c r="BR547" s="483">
        <f>BR542/BQ542-1</f>
        <v>-9.4885870747378753E-3</v>
      </c>
      <c r="BS547" s="873"/>
      <c r="BT547" s="672">
        <f>BT542/BR542-1</f>
        <v>-1.4131404018002947E-3</v>
      </c>
      <c r="BU547" s="483">
        <f ca="1">BU542/BT542-1</f>
        <v>-7.5994940604477978E-3</v>
      </c>
      <c r="BV547" s="483">
        <f ca="1">BV542/BU542-1</f>
        <v>0</v>
      </c>
      <c r="BW547" s="483">
        <f ca="1">BW542/BV542-1</f>
        <v>0</v>
      </c>
      <c r="BX547" s="873"/>
      <c r="BY547" s="483">
        <f ca="1">BY542/BW542-1</f>
        <v>0</v>
      </c>
      <c r="BZ547" s="483">
        <f ca="1">BZ542/BY542-1</f>
        <v>0</v>
      </c>
      <c r="CA547" s="483">
        <f ca="1">CA542/BZ542-1</f>
        <v>0</v>
      </c>
      <c r="CB547" s="483">
        <f ca="1">CB542/CA542-1</f>
        <v>0</v>
      </c>
      <c r="CC547" s="873"/>
      <c r="CD547" s="873"/>
      <c r="CE547" s="873"/>
      <c r="CF547" s="873"/>
      <c r="CG547" s="190"/>
    </row>
    <row r="548" spans="1:85" s="424" customFormat="1" ht="15" hidden="1" customHeight="1" outlineLevel="1" collapsed="1" x14ac:dyDescent="0.3">
      <c r="A548" s="487" t="s">
        <v>738</v>
      </c>
      <c r="B548" s="348"/>
      <c r="C548" s="873"/>
      <c r="D548" s="873">
        <f>D542/C542-1</f>
        <v>-1.2004900244633188E-4</v>
      </c>
      <c r="E548" s="873">
        <f>E542/D542-1</f>
        <v>-1.3107899835978487E-2</v>
      </c>
      <c r="F548" s="873">
        <f>F542/E542-1</f>
        <v>-1.7398349721287842E-2</v>
      </c>
      <c r="G548" s="483"/>
      <c r="H548" s="483"/>
      <c r="I548" s="483"/>
      <c r="J548" s="483"/>
      <c r="K548" s="873">
        <f t="shared" ref="K548:AP548" si="1074">K542/F542-1</f>
        <v>-1.7000491543657237E-2</v>
      </c>
      <c r="L548" s="483">
        <f t="shared" si="1074"/>
        <v>-1.8219742616699119E-2</v>
      </c>
      <c r="M548" s="483">
        <f t="shared" si="1074"/>
        <v>-1.7128101278495622E-2</v>
      </c>
      <c r="N548" s="483">
        <f t="shared" si="1074"/>
        <v>-1.7028435704240064E-2</v>
      </c>
      <c r="O548" s="483">
        <f t="shared" si="1074"/>
        <v>-1.7743627488791214E-2</v>
      </c>
      <c r="P548" s="873">
        <f t="shared" si="1074"/>
        <v>-1.7743627488791214E-2</v>
      </c>
      <c r="Q548" s="483">
        <f t="shared" si="1074"/>
        <v>-1.2172608827731857E-2</v>
      </c>
      <c r="R548" s="483">
        <f t="shared" si="1074"/>
        <v>-9.0562503474814759E-3</v>
      </c>
      <c r="S548" s="483">
        <f t="shared" si="1074"/>
        <v>-4.4369301763952373E-3</v>
      </c>
      <c r="T548" s="483">
        <f t="shared" si="1074"/>
        <v>1.6839273307485136E-3</v>
      </c>
      <c r="U548" s="873">
        <f t="shared" si="1074"/>
        <v>1.6839273307485136E-3</v>
      </c>
      <c r="V548" s="483">
        <f t="shared" si="1074"/>
        <v>2.246597221167379E-3</v>
      </c>
      <c r="W548" s="483">
        <f t="shared" si="1074"/>
        <v>2.5433049599576929E-3</v>
      </c>
      <c r="X548" s="483">
        <f t="shared" si="1074"/>
        <v>3.0459639749937928E-3</v>
      </c>
      <c r="Y548" s="483">
        <f t="shared" si="1074"/>
        <v>4.616718380041851E-3</v>
      </c>
      <c r="Z548" s="873">
        <f t="shared" si="1074"/>
        <v>4.616718380041851E-3</v>
      </c>
      <c r="AA548" s="483">
        <f t="shared" si="1074"/>
        <v>5.2286340103202544E-3</v>
      </c>
      <c r="AB548" s="483">
        <f t="shared" si="1074"/>
        <v>4.4962359188804868E-3</v>
      </c>
      <c r="AC548" s="483">
        <f t="shared" si="1074"/>
        <v>6.1472595602942715E-3</v>
      </c>
      <c r="AD548" s="483">
        <f t="shared" si="1074"/>
        <v>6.9761661110554485E-3</v>
      </c>
      <c r="AE548" s="873">
        <f t="shared" si="1074"/>
        <v>6.9761661110554485E-3</v>
      </c>
      <c r="AF548" s="483">
        <f t="shared" si="1074"/>
        <v>8.6563400728139062E-3</v>
      </c>
      <c r="AG548" s="483">
        <f t="shared" si="1074"/>
        <v>1.1157984694553535E-2</v>
      </c>
      <c r="AH548" s="483">
        <f t="shared" si="1074"/>
        <v>6.0022099029253262E-3</v>
      </c>
      <c r="AI548" s="483">
        <f t="shared" si="1074"/>
        <v>-9.7873321525066004E-4</v>
      </c>
      <c r="AJ548" s="873">
        <f t="shared" si="1074"/>
        <v>-9.7873321525066004E-4</v>
      </c>
      <c r="AK548" s="483">
        <f t="shared" si="1074"/>
        <v>-3.260531172235237E-3</v>
      </c>
      <c r="AL548" s="483">
        <f t="shared" si="1074"/>
        <v>-9.2522275560157352E-3</v>
      </c>
      <c r="AM548" s="483">
        <f t="shared" si="1074"/>
        <v>-1.0415767200402382E-2</v>
      </c>
      <c r="AN548" s="483">
        <f t="shared" si="1074"/>
        <v>-1.0862507668743859E-2</v>
      </c>
      <c r="AO548" s="873">
        <f t="shared" si="1074"/>
        <v>-1.0862507668743859E-2</v>
      </c>
      <c r="AP548" s="483">
        <f t="shared" si="1074"/>
        <v>-1.9817732314254211E-2</v>
      </c>
      <c r="AQ548" s="483">
        <f t="shared" ref="AQ548:BN548" si="1075">AQ542/AL542-1</f>
        <v>-1.6408731518289144E-2</v>
      </c>
      <c r="AR548" s="483">
        <f t="shared" si="1075"/>
        <v>-1.245390362682719E-2</v>
      </c>
      <c r="AS548" s="483">
        <f t="shared" si="1075"/>
        <v>2.2855671593384308E-2</v>
      </c>
      <c r="AT548" s="873">
        <f t="shared" si="1075"/>
        <v>2.2855671593384308E-2</v>
      </c>
      <c r="AU548" s="483">
        <f t="shared" si="1075"/>
        <v>3.2712494596550457E-2</v>
      </c>
      <c r="AV548" s="483">
        <f t="shared" si="1075"/>
        <v>3.5690708562476914E-2</v>
      </c>
      <c r="AW548" s="483">
        <f t="shared" si="1075"/>
        <v>3.2325664343074267E-2</v>
      </c>
      <c r="AX548" s="483">
        <f t="shared" si="1075"/>
        <v>2.3996326792925515E-3</v>
      </c>
      <c r="AY548" s="873">
        <f t="shared" si="1075"/>
        <v>2.3996326792925515E-3</v>
      </c>
      <c r="AZ548" s="483">
        <f t="shared" si="1075"/>
        <v>1.9066536373028242E-2</v>
      </c>
      <c r="BA548" s="483">
        <f t="shared" si="1075"/>
        <v>1.2163361456544175E-2</v>
      </c>
      <c r="BB548" s="483">
        <f t="shared" si="1075"/>
        <v>3.0879651821535958E-3</v>
      </c>
      <c r="BC548" s="483">
        <f t="shared" si="1075"/>
        <v>-7.5601970193215351E-3</v>
      </c>
      <c r="BD548" s="873">
        <f t="shared" si="1075"/>
        <v>-7.5601970193215351E-3</v>
      </c>
      <c r="BE548" s="483">
        <f t="shared" si="1075"/>
        <v>-3.5931244151658603E-2</v>
      </c>
      <c r="BF548" s="483">
        <f t="shared" si="1075"/>
        <v>-4.6075402028687873E-2</v>
      </c>
      <c r="BG548" s="82">
        <f t="shared" si="1075"/>
        <v>-2.3732398743772198E-2</v>
      </c>
      <c r="BH548" s="483">
        <f t="shared" ref="BH548" si="1076">BH542/BC542-1</f>
        <v>-2.5881430670310457E-2</v>
      </c>
      <c r="BI548" s="873">
        <f t="shared" ref="BI548" si="1077">BI542/BD542-1</f>
        <v>-2.5881430670310457E-2</v>
      </c>
      <c r="BJ548" s="483">
        <f>BJ542/BE542-1</f>
        <v>-2.4921259952427444E-2</v>
      </c>
      <c r="BK548" s="483">
        <f>BK542/BF542-1</f>
        <v>-2.0526551430161466E-2</v>
      </c>
      <c r="BL548" s="483">
        <f>BL542/BG542-1</f>
        <v>-4.8024051973041604E-2</v>
      </c>
      <c r="BM548" s="483">
        <f>BM542/BH542-1</f>
        <v>-5.1797305897078094E-2</v>
      </c>
      <c r="BN548" s="873">
        <f t="shared" si="1075"/>
        <v>-5.1797305897078094E-2</v>
      </c>
      <c r="BO548" s="483">
        <f t="shared" ref="BO548:BX548" si="1078">BO542/BJ542-1</f>
        <v>-5.4474626925119174E-2</v>
      </c>
      <c r="BP548" s="483">
        <f t="shared" ref="BP548:BW548" si="1079">BP542/BK542-1</f>
        <v>-5.5183876996179659E-2</v>
      </c>
      <c r="BQ548" s="483">
        <f t="shared" si="1079"/>
        <v>0.12043365241886073</v>
      </c>
      <c r="BR548" s="483">
        <f t="shared" si="1079"/>
        <v>0.12741791072502195</v>
      </c>
      <c r="BS548" s="873">
        <f t="shared" si="1079"/>
        <v>0.12741791072502195</v>
      </c>
      <c r="BT548" s="672">
        <f t="shared" si="1079"/>
        <v>0.14040579636585493</v>
      </c>
      <c r="BU548" s="483">
        <f t="shared" ca="1" si="1079"/>
        <v>0.14379259532685307</v>
      </c>
      <c r="BV548" s="483">
        <f t="shared" ca="1" si="1079"/>
        <v>-1.8405067117407858E-2</v>
      </c>
      <c r="BW548" s="483">
        <f t="shared" ca="1" si="1079"/>
        <v>-9.0018953101580479E-3</v>
      </c>
      <c r="BX548" s="873">
        <f t="shared" ca="1" si="1078"/>
        <v>-9.0018953101580479E-3</v>
      </c>
      <c r="BY548" s="483">
        <f ca="1">BY542/BT542-1</f>
        <v>-7.5994940604477978E-3</v>
      </c>
      <c r="BZ548" s="483">
        <f ca="1">BZ542/BU542-1</f>
        <v>0</v>
      </c>
      <c r="CA548" s="483">
        <f ca="1">CA542/BV542-1</f>
        <v>0</v>
      </c>
      <c r="CB548" s="483">
        <f ca="1">CB542/BW542-1</f>
        <v>0</v>
      </c>
      <c r="CC548" s="873">
        <f ca="1">CC542/BX542-1</f>
        <v>0</v>
      </c>
      <c r="CD548" s="873">
        <f ca="1">CD542/CC542-1</f>
        <v>0</v>
      </c>
      <c r="CE548" s="873">
        <f ca="1">CE542/CD542-1</f>
        <v>0</v>
      </c>
      <c r="CF548" s="873">
        <f ca="1">CF542/CE542-1</f>
        <v>0</v>
      </c>
      <c r="CG548" s="190"/>
    </row>
    <row r="549" spans="1:85" s="424" customFormat="1" ht="15" hidden="1" customHeight="1" outlineLevel="1" x14ac:dyDescent="0.3">
      <c r="A549" s="106"/>
      <c r="B549" s="339"/>
      <c r="C549" s="837"/>
      <c r="D549" s="837"/>
      <c r="E549" s="837"/>
      <c r="F549" s="837"/>
      <c r="G549" s="722"/>
      <c r="H549" s="722"/>
      <c r="I549" s="722"/>
      <c r="J549" s="722"/>
      <c r="K549" s="837"/>
      <c r="L549" s="722"/>
      <c r="M549" s="722"/>
      <c r="N549" s="722"/>
      <c r="O549" s="722"/>
      <c r="P549" s="837"/>
      <c r="Q549" s="722"/>
      <c r="R549" s="722"/>
      <c r="S549" s="722"/>
      <c r="T549" s="722"/>
      <c r="U549" s="837"/>
      <c r="V549" s="722"/>
      <c r="W549" s="722"/>
      <c r="X549" s="722"/>
      <c r="Y549" s="722"/>
      <c r="Z549" s="837"/>
      <c r="AA549" s="722"/>
      <c r="AB549" s="722"/>
      <c r="AC549" s="722"/>
      <c r="AD549" s="722"/>
      <c r="AE549" s="837"/>
      <c r="AF549" s="722"/>
      <c r="AG549" s="722"/>
      <c r="AH549" s="722"/>
      <c r="AI549" s="722"/>
      <c r="AJ549" s="837"/>
      <c r="AK549" s="722"/>
      <c r="AL549" s="722"/>
      <c r="AM549" s="722"/>
      <c r="AN549" s="722"/>
      <c r="AO549" s="837"/>
      <c r="AP549" s="722"/>
      <c r="AQ549" s="722"/>
      <c r="AR549" s="722"/>
      <c r="AS549" s="722"/>
      <c r="AT549" s="837"/>
      <c r="AU549" s="722"/>
      <c r="AV549" s="722"/>
      <c r="AW549" s="722"/>
      <c r="AX549" s="722"/>
      <c r="AY549" s="837"/>
      <c r="AZ549" s="722"/>
      <c r="BA549" s="722"/>
      <c r="BB549" s="722"/>
      <c r="BC549" s="722"/>
      <c r="BD549" s="837"/>
      <c r="BE549" s="722"/>
      <c r="BF549" s="722"/>
      <c r="BG549" s="722"/>
      <c r="BH549" s="722"/>
      <c r="BI549" s="837"/>
      <c r="BJ549" s="722"/>
      <c r="BK549" s="722"/>
      <c r="BL549" s="722"/>
      <c r="BM549" s="722"/>
      <c r="BN549" s="837"/>
      <c r="BO549" s="722"/>
      <c r="BP549" s="722"/>
      <c r="BQ549" s="722"/>
      <c r="BR549" s="722"/>
      <c r="BS549" s="837"/>
      <c r="BT549" s="723"/>
      <c r="BU549" s="722"/>
      <c r="BV549" s="722"/>
      <c r="BW549" s="722"/>
      <c r="BX549" s="837"/>
      <c r="BY549" s="722"/>
      <c r="BZ549" s="722"/>
      <c r="CA549" s="722"/>
      <c r="CB549" s="722"/>
      <c r="CC549" s="837"/>
      <c r="CD549" s="837"/>
      <c r="CE549" s="837"/>
      <c r="CF549" s="837"/>
      <c r="CG549" s="190"/>
    </row>
    <row r="550" spans="1:85" s="424" customFormat="1" ht="15" hidden="1" customHeight="1" outlineLevel="1" x14ac:dyDescent="0.3">
      <c r="A550" s="106" t="s">
        <v>703</v>
      </c>
      <c r="B550" s="339"/>
      <c r="C550" s="905">
        <v>2008.3526380000001</v>
      </c>
      <c r="D550" s="905">
        <v>2007.4495830000001</v>
      </c>
      <c r="E550" s="905">
        <v>1976.9665299999999</v>
      </c>
      <c r="F550" s="905">
        <v>1942.6977870000001</v>
      </c>
      <c r="G550" s="787">
        <v>1938.9777750000001</v>
      </c>
      <c r="H550" s="787">
        <v>1932.023723</v>
      </c>
      <c r="I550" s="787">
        <v>1923.1730130000001</v>
      </c>
      <c r="J550" s="722">
        <f>K550</f>
        <v>1909.130328</v>
      </c>
      <c r="K550" s="905">
        <v>1909.130328</v>
      </c>
      <c r="L550" s="787">
        <v>1903.650099</v>
      </c>
      <c r="M550" s="787">
        <v>1898.9318249999999</v>
      </c>
      <c r="N550" s="787">
        <v>1890.424385</v>
      </c>
      <c r="O550" s="722">
        <f>P550</f>
        <v>1880.1804219999999</v>
      </c>
      <c r="P550" s="905">
        <v>1880.1804219999999</v>
      </c>
      <c r="Q550" s="787">
        <v>1880.477711</v>
      </c>
      <c r="R550" s="787">
        <v>1881.7346230000001</v>
      </c>
      <c r="S550" s="787">
        <v>1882.0367040000001</v>
      </c>
      <c r="T550" s="722">
        <f>U550</f>
        <v>1883.156295</v>
      </c>
      <c r="U550" s="905">
        <v>1883.156295</v>
      </c>
      <c r="V550" s="787">
        <v>1884.702387</v>
      </c>
      <c r="W550" s="787">
        <v>1886.520448</v>
      </c>
      <c r="X550" s="787">
        <v>1887.7693200000001</v>
      </c>
      <c r="Y550" s="722">
        <f>Z550</f>
        <v>1893.1029699999999</v>
      </c>
      <c r="Z550" s="905">
        <v>1893.1029699999999</v>
      </c>
      <c r="AA550" s="787">
        <v>1894.5568060000001</v>
      </c>
      <c r="AB550" s="787">
        <v>1895.0026889999999</v>
      </c>
      <c r="AC550" s="787">
        <v>1899.373928</v>
      </c>
      <c r="AD550" s="722">
        <f>AE550</f>
        <v>1910.253256</v>
      </c>
      <c r="AE550" s="905">
        <v>1910.253256</v>
      </c>
      <c r="AF550" s="787">
        <v>1910.9567340000001</v>
      </c>
      <c r="AG550" s="787">
        <v>1916.1470999999999</v>
      </c>
      <c r="AH550" s="787">
        <v>1910.774369</v>
      </c>
      <c r="AI550" s="722">
        <f>AJ550</f>
        <v>1900.06276</v>
      </c>
      <c r="AJ550" s="905">
        <v>1900.06276</v>
      </c>
      <c r="AK550" s="787">
        <v>1904.7260610000001</v>
      </c>
      <c r="AL550" s="787">
        <v>1898.418471</v>
      </c>
      <c r="AM550" s="787">
        <v>1890.8721880000001</v>
      </c>
      <c r="AN550" s="722">
        <f>AO550</f>
        <v>1879.3247650000001</v>
      </c>
      <c r="AO550" s="905">
        <v>1879.3247650000001</v>
      </c>
      <c r="AP550" s="787">
        <v>1866.97865</v>
      </c>
      <c r="AQ550" s="787">
        <v>1867.267832</v>
      </c>
      <c r="AR550" s="787">
        <v>1867.3234480000001</v>
      </c>
      <c r="AS550" s="722">
        <f>AT550</f>
        <v>1926.3767640000001</v>
      </c>
      <c r="AT550" s="905">
        <v>1926.3767640000001</v>
      </c>
      <c r="AU550" s="787">
        <v>1928.052179</v>
      </c>
      <c r="AV550" s="787">
        <v>1933.9119439999999</v>
      </c>
      <c r="AW550" s="787">
        <v>1927.685919</v>
      </c>
      <c r="AX550" s="722">
        <f>AY550</f>
        <v>1947.5533459999999</v>
      </c>
      <c r="AY550" s="905">
        <v>1947.5533459999999</v>
      </c>
      <c r="AZ550" s="787">
        <v>1964.8134560000001</v>
      </c>
      <c r="BA550" s="787">
        <v>1957.434814</v>
      </c>
      <c r="BB550" s="787">
        <v>1933.6385459999999</v>
      </c>
      <c r="BC550" s="722">
        <f>BD550</f>
        <v>1906.6740440000001</v>
      </c>
      <c r="BD550" s="905">
        <v>1906.6740440000001</v>
      </c>
      <c r="BE550" s="787">
        <v>1894.2152639999999</v>
      </c>
      <c r="BF550" s="787">
        <v>1867.245218</v>
      </c>
      <c r="BG550" s="787">
        <v>1887.7486650000001</v>
      </c>
      <c r="BH550" s="722">
        <f>BI550</f>
        <v>1857.2691600000001</v>
      </c>
      <c r="BI550" s="905">
        <v>1857.2691600000001</v>
      </c>
      <c r="BJ550" s="787">
        <v>1847.009033</v>
      </c>
      <c r="BK550" s="787">
        <v>1828.917113</v>
      </c>
      <c r="BL550" s="787">
        <v>1797.0913250000001</v>
      </c>
      <c r="BM550" s="722">
        <f>BN550</f>
        <v>1760.5985370000001</v>
      </c>
      <c r="BN550" s="905">
        <v>1760.5985370000001</v>
      </c>
      <c r="BO550" s="787">
        <v>1746.3939049999999</v>
      </c>
      <c r="BP550" s="787">
        <v>1727.990376</v>
      </c>
      <c r="BQ550" s="787">
        <v>2013.5215969999999</v>
      </c>
      <c r="BR550" s="722">
        <f>BS550</f>
        <v>1995.3855390000001</v>
      </c>
      <c r="BS550" s="905">
        <v>1995.3855390000001</v>
      </c>
      <c r="BT550" s="788">
        <v>1991.597732</v>
      </c>
      <c r="BU550" s="722"/>
      <c r="BV550" s="722"/>
      <c r="BW550" s="722"/>
      <c r="BX550" s="837"/>
      <c r="BY550" s="722"/>
      <c r="BZ550" s="722"/>
      <c r="CA550" s="722"/>
      <c r="CB550" s="722"/>
      <c r="CC550" s="837"/>
      <c r="CD550" s="837"/>
      <c r="CE550" s="837"/>
      <c r="CF550" s="837"/>
      <c r="CG550" s="190"/>
    </row>
    <row r="551" spans="1:85" s="424" customFormat="1" ht="15" hidden="1" customHeight="1" outlineLevel="1" x14ac:dyDescent="0.3">
      <c r="A551" s="106" t="s">
        <v>704</v>
      </c>
      <c r="B551" s="339"/>
      <c r="C551" s="910">
        <v>40228</v>
      </c>
      <c r="D551" s="910">
        <v>40592</v>
      </c>
      <c r="E551" s="910">
        <v>40952</v>
      </c>
      <c r="F551" s="910">
        <v>41316</v>
      </c>
      <c r="G551" s="790">
        <v>41364</v>
      </c>
      <c r="H551" s="790">
        <v>41455</v>
      </c>
      <c r="I551" s="790">
        <v>41547</v>
      </c>
      <c r="J551" s="415">
        <f>K551</f>
        <v>41680</v>
      </c>
      <c r="K551" s="910">
        <v>41680</v>
      </c>
      <c r="L551" s="790">
        <v>41729</v>
      </c>
      <c r="M551" s="790">
        <v>41820</v>
      </c>
      <c r="N551" s="790">
        <v>41912</v>
      </c>
      <c r="O551" s="415">
        <f>P551</f>
        <v>42044</v>
      </c>
      <c r="P551" s="910">
        <v>42044</v>
      </c>
      <c r="Q551" s="790">
        <v>42094</v>
      </c>
      <c r="R551" s="790">
        <v>42185</v>
      </c>
      <c r="S551" s="790">
        <v>42277</v>
      </c>
      <c r="T551" s="415">
        <f>U551</f>
        <v>42415</v>
      </c>
      <c r="U551" s="910">
        <v>42415</v>
      </c>
      <c r="V551" s="790">
        <v>42460</v>
      </c>
      <c r="W551" s="790">
        <v>42551</v>
      </c>
      <c r="X551" s="790">
        <v>42643</v>
      </c>
      <c r="Y551" s="415">
        <f>Z551</f>
        <v>42781</v>
      </c>
      <c r="Z551" s="910">
        <v>42781</v>
      </c>
      <c r="AA551" s="790">
        <v>42825</v>
      </c>
      <c r="AB551" s="790">
        <v>42916</v>
      </c>
      <c r="AC551" s="790">
        <v>43008</v>
      </c>
      <c r="AD551" s="415">
        <f>AE551</f>
        <v>43143</v>
      </c>
      <c r="AE551" s="910">
        <v>43143</v>
      </c>
      <c r="AF551" s="790">
        <v>43190</v>
      </c>
      <c r="AG551" s="790">
        <v>43281</v>
      </c>
      <c r="AH551" s="790">
        <v>43373</v>
      </c>
      <c r="AI551" s="415">
        <f>AJ551</f>
        <v>43507</v>
      </c>
      <c r="AJ551" s="910">
        <v>43507</v>
      </c>
      <c r="AK551" s="790">
        <v>43555</v>
      </c>
      <c r="AL551" s="790">
        <v>43646</v>
      </c>
      <c r="AM551" s="790">
        <v>43738</v>
      </c>
      <c r="AN551" s="415">
        <f>AO551</f>
        <v>43871</v>
      </c>
      <c r="AO551" s="910">
        <v>43871</v>
      </c>
      <c r="AP551" s="790">
        <v>43921</v>
      </c>
      <c r="AQ551" s="790">
        <v>44012</v>
      </c>
      <c r="AR551" s="790">
        <v>44104</v>
      </c>
      <c r="AS551" s="415">
        <f>AT551</f>
        <v>44237</v>
      </c>
      <c r="AT551" s="910">
        <v>44237</v>
      </c>
      <c r="AU551" s="790">
        <v>44286</v>
      </c>
      <c r="AV551" s="790">
        <v>44377</v>
      </c>
      <c r="AW551" s="790">
        <v>44469</v>
      </c>
      <c r="AX551" s="415">
        <f>AY551</f>
        <v>44602</v>
      </c>
      <c r="AY551" s="910">
        <v>44602</v>
      </c>
      <c r="AZ551" s="790">
        <v>44651</v>
      </c>
      <c r="BA551" s="790">
        <v>44742</v>
      </c>
      <c r="BB551" s="790">
        <v>44834</v>
      </c>
      <c r="BC551" s="415">
        <f>BD551</f>
        <v>44967</v>
      </c>
      <c r="BD551" s="910">
        <v>44967</v>
      </c>
      <c r="BE551" s="790">
        <v>45016</v>
      </c>
      <c r="BF551" s="790">
        <v>45107</v>
      </c>
      <c r="BG551" s="790">
        <v>45199</v>
      </c>
      <c r="BH551" s="415">
        <f>BI551</f>
        <v>45331</v>
      </c>
      <c r="BI551" s="910">
        <v>45331</v>
      </c>
      <c r="BJ551" s="790">
        <v>45382</v>
      </c>
      <c r="BK551" s="790">
        <v>45473</v>
      </c>
      <c r="BL551" s="790">
        <v>45565</v>
      </c>
      <c r="BM551" s="415">
        <f>BN551</f>
        <v>45695</v>
      </c>
      <c r="BN551" s="910">
        <v>45695</v>
      </c>
      <c r="BO551" s="790">
        <v>45747</v>
      </c>
      <c r="BP551" s="790">
        <v>45838</v>
      </c>
      <c r="BQ551" s="790">
        <v>45930</v>
      </c>
      <c r="BR551" s="415">
        <f>BS551</f>
        <v>46059</v>
      </c>
      <c r="BS551" s="910">
        <v>46059</v>
      </c>
      <c r="BT551" s="791">
        <v>46112</v>
      </c>
      <c r="BU551" s="415"/>
      <c r="BV551" s="415"/>
      <c r="BW551" s="415"/>
      <c r="BX551" s="911"/>
      <c r="BY551" s="415"/>
      <c r="BZ551" s="415"/>
      <c r="CA551" s="415"/>
      <c r="CB551" s="415"/>
      <c r="CC551" s="911"/>
      <c r="CD551" s="911"/>
      <c r="CE551" s="911"/>
      <c r="CF551" s="911"/>
      <c r="CG551" s="190"/>
    </row>
    <row r="552" spans="1:85" s="424" customFormat="1" ht="15" hidden="1" customHeight="1" outlineLevel="1" x14ac:dyDescent="0.3">
      <c r="A552" s="106"/>
      <c r="B552" s="339"/>
      <c r="C552" s="911"/>
      <c r="D552" s="911"/>
      <c r="E552" s="911"/>
      <c r="F552" s="911"/>
      <c r="G552" s="415"/>
      <c r="H552" s="415"/>
      <c r="I552" s="415"/>
      <c r="J552" s="415"/>
      <c r="K552" s="911"/>
      <c r="L552" s="415"/>
      <c r="M552" s="415"/>
      <c r="N552" s="415"/>
      <c r="O552" s="415"/>
      <c r="P552" s="911"/>
      <c r="Q552" s="415"/>
      <c r="R552" s="415"/>
      <c r="S552" s="415"/>
      <c r="T552" s="415"/>
      <c r="U552" s="911"/>
      <c r="V552" s="415"/>
      <c r="W552" s="415"/>
      <c r="X552" s="415"/>
      <c r="Y552" s="415"/>
      <c r="Z552" s="911"/>
      <c r="AA552" s="415"/>
      <c r="AB552" s="415"/>
      <c r="AC552" s="415"/>
      <c r="AD552" s="415"/>
      <c r="AE552" s="911"/>
      <c r="AF552" s="415"/>
      <c r="AG552" s="415"/>
      <c r="AH552" s="415"/>
      <c r="AI552" s="415"/>
      <c r="AJ552" s="911"/>
      <c r="AK552" s="415"/>
      <c r="AL552" s="415"/>
      <c r="AM552" s="415"/>
      <c r="AN552" s="415"/>
      <c r="AO552" s="911"/>
      <c r="AP552" s="415"/>
      <c r="AQ552" s="415"/>
      <c r="AR552" s="415"/>
      <c r="AS552" s="415"/>
      <c r="AT552" s="911"/>
      <c r="AU552" s="415"/>
      <c r="AV552" s="415"/>
      <c r="AW552" s="415"/>
      <c r="AX552" s="415"/>
      <c r="AY552" s="911"/>
      <c r="AZ552" s="415"/>
      <c r="BA552" s="415"/>
      <c r="BB552" s="415"/>
      <c r="BC552" s="415"/>
      <c r="BD552" s="911"/>
      <c r="BE552" s="415"/>
      <c r="BF552" s="415"/>
      <c r="BG552" s="415"/>
      <c r="BH552" s="415"/>
      <c r="BI552" s="911"/>
      <c r="BJ552" s="415"/>
      <c r="BK552" s="415"/>
      <c r="BL552" s="415"/>
      <c r="BM552" s="415"/>
      <c r="BN552" s="911"/>
      <c r="BO552" s="415"/>
      <c r="BP552" s="415"/>
      <c r="BQ552" s="415"/>
      <c r="BR552" s="415"/>
      <c r="BS552" s="911"/>
      <c r="BT552" s="674"/>
      <c r="BU552" s="415"/>
      <c r="BV552" s="415"/>
      <c r="BW552" s="415"/>
      <c r="BX552" s="911"/>
      <c r="BY552" s="415"/>
      <c r="BZ552" s="415"/>
      <c r="CA552" s="415"/>
      <c r="CB552" s="415"/>
      <c r="CC552" s="911"/>
      <c r="CD552" s="911"/>
      <c r="CE552" s="911"/>
      <c r="CF552" s="911"/>
      <c r="CG552" s="190"/>
    </row>
    <row r="553" spans="1:85" s="424" customFormat="1" ht="15" hidden="1" customHeight="1" outlineLevel="1" x14ac:dyDescent="0.3">
      <c r="A553" s="106" t="s">
        <v>739</v>
      </c>
      <c r="B553" s="339"/>
      <c r="C553" s="837">
        <f>C536-C535</f>
        <v>9</v>
      </c>
      <c r="D553" s="837">
        <f t="shared" ref="D553:J553" si="1080">IF(D522&gt;0,(D536-D535),C553)</f>
        <v>9.7549999999998818</v>
      </c>
      <c r="E553" s="837">
        <f t="shared" si="1080"/>
        <v>14.303000000000111</v>
      </c>
      <c r="F553" s="837">
        <f t="shared" si="1080"/>
        <v>14.275000000000091</v>
      </c>
      <c r="G553" s="722">
        <f t="shared" si="1080"/>
        <v>14.917000000000144</v>
      </c>
      <c r="H553" s="722">
        <f t="shared" si="1080"/>
        <v>15.391999999999825</v>
      </c>
      <c r="I553" s="722">
        <f t="shared" si="1080"/>
        <v>15.783999999999878</v>
      </c>
      <c r="J553" s="722">
        <f t="shared" si="1080"/>
        <v>15.394000000000005</v>
      </c>
      <c r="K553" s="837">
        <f>J553</f>
        <v>15.394000000000005</v>
      </c>
      <c r="L553" s="722">
        <f>IF(L522&gt;0,(L536-L535),K553)</f>
        <v>14.392000000000053</v>
      </c>
      <c r="M553" s="722">
        <f>IF(M522&gt;0,(M536-M535),L553)</f>
        <v>14.77800000000002</v>
      </c>
      <c r="N553" s="722">
        <f>IF(N522&gt;0,(N536-N535),M553)</f>
        <v>15.576999999999998</v>
      </c>
      <c r="O553" s="722">
        <f>IF(O522&gt;0,(O536-O535),N553)</f>
        <v>12.317999999999984</v>
      </c>
      <c r="P553" s="837">
        <f>O553</f>
        <v>12.317999999999984</v>
      </c>
      <c r="Q553" s="722">
        <f>IF(Q522&gt;0,(Q536-Q535),P553)</f>
        <v>9.8430000000000746</v>
      </c>
      <c r="R553" s="722">
        <f>IF(R522&gt;0,(R536-R535),Q553)</f>
        <v>9.1440000000000055</v>
      </c>
      <c r="S553" s="722">
        <f>IF(S522&gt;0,(S536-S535),R553)</f>
        <v>3.9760000000001128</v>
      </c>
      <c r="T553" s="722">
        <f>IF(T522&gt;0,(T536-T535),S553)</f>
        <v>3.9760000000001128</v>
      </c>
      <c r="U553" s="837">
        <f>T553</f>
        <v>3.9760000000001128</v>
      </c>
      <c r="V553" s="722">
        <f>IF(V522&gt;0,(V536-V535),U553)</f>
        <v>3.9760000000001128</v>
      </c>
      <c r="W553" s="722">
        <f>IF(W522&gt;0,(W536-W535),V553)</f>
        <v>3.9760000000001128</v>
      </c>
      <c r="X553" s="722">
        <f>IF(X522&gt;0,(X536-X535),W553)</f>
        <v>9.693000000000211</v>
      </c>
      <c r="Y553" s="722">
        <f>IF(Y522&gt;0,(Y536-Y535),X553)</f>
        <v>14.350000000000136</v>
      </c>
      <c r="Z553" s="837">
        <f>Y553</f>
        <v>14.350000000000136</v>
      </c>
      <c r="AA553" s="722">
        <f>IF(AA522&gt;0,(AA536-AA535),Z553)</f>
        <v>16.020999999999958</v>
      </c>
      <c r="AB553" s="722">
        <f>IF(AB522&gt;0,(AB536-AB535),AA553)</f>
        <v>11.994999999999891</v>
      </c>
      <c r="AC553" s="722">
        <f>IF(AC522&gt;0,(AC536-AC535),AB553)</f>
        <v>13.228999999999814</v>
      </c>
      <c r="AD553" s="722">
        <f>IF(AD522&gt;0,(AD536-AD535),AC553)</f>
        <v>17.946999999999889</v>
      </c>
      <c r="AE553" s="837">
        <f>AD553</f>
        <v>17.946999999999889</v>
      </c>
      <c r="AF553" s="722">
        <f>IF(AF522&gt;0,(AF536-AF535),AE553)</f>
        <v>17.228000000000065</v>
      </c>
      <c r="AG553" s="722">
        <f>IF(AG522&gt;0,(AG536-AG535),AF553)</f>
        <v>18.574000000000069</v>
      </c>
      <c r="AH553" s="722">
        <f>IF(AH522&gt;0,(AH536-AH535),AG553)</f>
        <v>16.756999999999834</v>
      </c>
      <c r="AI553" s="722">
        <f>IF(AI522&gt;0,(AI536-AI535),AH553)</f>
        <v>13.41800000000012</v>
      </c>
      <c r="AJ553" s="837">
        <f>AI553</f>
        <v>13.41800000000012</v>
      </c>
      <c r="AK553" s="722">
        <f>IF(AK522&gt;0,(AK536-AK535),AJ553)</f>
        <v>12.746000000000095</v>
      </c>
      <c r="AL553" s="722">
        <f>IF(AL522&gt;0,(AL536-AL535),AK553)</f>
        <v>13.711999999999989</v>
      </c>
      <c r="AM553" s="722">
        <f>IF(AM522&gt;0,(AM536-AM535),AL553)</f>
        <v>13.32100000000014</v>
      </c>
      <c r="AN553" s="722">
        <f>IF(AN522&gt;0,(AN536-AN535),AM553)</f>
        <v>13.32100000000014</v>
      </c>
      <c r="AO553" s="837">
        <f>AN553</f>
        <v>13.32100000000014</v>
      </c>
      <c r="AP553" s="722">
        <f>IF(AP522&gt;0,(AP536-AP535),AO553)</f>
        <v>3.3759999999999764</v>
      </c>
      <c r="AQ553" s="722">
        <f>IF(AQ522&gt;0,(AQ536-AQ535),AP553)</f>
        <v>3.3759999999999764</v>
      </c>
      <c r="AR553" s="722">
        <f>IF(AR522&gt;0,(AR536-AR535),AQ553)</f>
        <v>3.3759999999999764</v>
      </c>
      <c r="AS553" s="722">
        <f>IF(AS522&gt;0,(AS536-AS535),AR553)</f>
        <v>3.3759999999999764</v>
      </c>
      <c r="AT553" s="837">
        <f>AS553</f>
        <v>3.3759999999999764</v>
      </c>
      <c r="AU553" s="722">
        <f>IF(AU522&gt;0,(AU536-AU535),AT553)</f>
        <v>2.9639999999999418</v>
      </c>
      <c r="AV553" s="722">
        <f>IF(AV522&gt;0,(AV536-AV535),AU553)</f>
        <v>4.4220000000000255</v>
      </c>
      <c r="AW553" s="722">
        <f>IF(AW522&gt;0,(AW536-AW535),AV553)</f>
        <v>3.0889999999999418</v>
      </c>
      <c r="AX553" s="722">
        <f>IF(AX522&gt;0,(AX536-AX535),AW553)</f>
        <v>6.6420000000000528</v>
      </c>
      <c r="AY553" s="837">
        <f>AX553</f>
        <v>6.6420000000000528</v>
      </c>
      <c r="AZ553" s="722">
        <f>IF(AZ522&gt;0,(AZ536-AZ535),AY553)</f>
        <v>8.8740000000000236</v>
      </c>
      <c r="BA553" s="722">
        <f>IF(BA522&gt;0,(BA536-BA535),AZ553)</f>
        <v>9.4059999999999491</v>
      </c>
      <c r="BB553" s="722">
        <f>IF(BB522&gt;0,(BB536-BB535),BA553)</f>
        <v>7.7639999999998963</v>
      </c>
      <c r="BC553" s="722">
        <f>IF(BC522&gt;0,(BC536-BC535),BB553)</f>
        <v>9.1289999999999054</v>
      </c>
      <c r="BD553" s="837">
        <f>BC553</f>
        <v>9.1289999999999054</v>
      </c>
      <c r="BE553" s="722">
        <f>IF(BE522&gt;0,(BE536-BE535),BD553)</f>
        <v>9.0900000000001455</v>
      </c>
      <c r="BF553" s="722">
        <f>IF(BF522&gt;0,(BF536-BF535),BE553)</f>
        <v>8.3430000000000746</v>
      </c>
      <c r="BG553" s="190">
        <f>IF(BG522&gt;0,(BG536-BG535),BF553)</f>
        <v>6.1410000000000764</v>
      </c>
      <c r="BH553" s="722">
        <f>IF(BH522&gt;0,(BH536-BH535),BG553)</f>
        <v>6.6270000000001801</v>
      </c>
      <c r="BI553" s="837">
        <f>BH553</f>
        <v>6.6270000000001801</v>
      </c>
      <c r="BJ553" s="722">
        <f>IF(BJ522&gt;0,(BJ536-BJ535),BI553)</f>
        <v>6.7390000000000327</v>
      </c>
      <c r="BK553" s="190">
        <f>IF(BK522&gt;0,(BK536-BK535),BJ553)</f>
        <v>7.5889999999999418</v>
      </c>
      <c r="BL553" s="722">
        <f>IF(BL522&gt;0,(BL536-BL535),BK553)</f>
        <v>6.69399999999996</v>
      </c>
      <c r="BM553" s="722">
        <f>IF(BM522&gt;0,(BM536-BM535),BL553)</f>
        <v>7.05600000000004</v>
      </c>
      <c r="BN553" s="837">
        <f>BM553</f>
        <v>7.05600000000004</v>
      </c>
      <c r="BO553" s="722">
        <f>IF(BO522&gt;0,(BO536-BO535),BN553)</f>
        <v>6.8130000000001019</v>
      </c>
      <c r="BP553" s="722">
        <f>IF(BP522&gt;0,(BP536-BP535),BO553)</f>
        <v>5.2129999999999654</v>
      </c>
      <c r="BQ553" s="722">
        <f>IF(BQ522&gt;0,(BQ536-BQ535),BP553)</f>
        <v>7.1130000000000564</v>
      </c>
      <c r="BR553" s="190">
        <f>IF(BR522&gt;0,(BR536-BR535),BQ553)</f>
        <v>6.5359999999998308</v>
      </c>
      <c r="BS553" s="837">
        <f>BR553</f>
        <v>6.5359999999998308</v>
      </c>
      <c r="BT553" s="723">
        <f>IF(BT522&gt;0,(BT536-BT535),BS553)</f>
        <v>5.7540000000001328</v>
      </c>
      <c r="BU553" s="722">
        <f ca="1">BU542*BU554-BU542</f>
        <v>7.7105397779321265</v>
      </c>
      <c r="BV553" s="722">
        <f ca="1">BV542*BV554-BV542</f>
        <v>7.7105397779321265</v>
      </c>
      <c r="BW553" s="722">
        <f ca="1">BW542*BW554-BW542</f>
        <v>7.7105397779321265</v>
      </c>
      <c r="BX553" s="837">
        <f ca="1">BW553</f>
        <v>7.7105397779321265</v>
      </c>
      <c r="BY553" s="722">
        <f ca="1">BY542*BY554-BY542</f>
        <v>7.7105397779321265</v>
      </c>
      <c r="BZ553" s="722">
        <f ca="1">BZ542*BZ554-BZ542</f>
        <v>7.7105397779321265</v>
      </c>
      <c r="CA553" s="722">
        <f ca="1">CA542*CA554-CA542</f>
        <v>7.7105397779321265</v>
      </c>
      <c r="CB553" s="722">
        <f ca="1">CB542*CB554-CB542</f>
        <v>7.7105397779321265</v>
      </c>
      <c r="CC553" s="837">
        <f ca="1">CB553</f>
        <v>7.7105397779321265</v>
      </c>
      <c r="CD553" s="837">
        <f ca="1">CD542*CD554-CD542</f>
        <v>7.7105397779321265</v>
      </c>
      <c r="CE553" s="837">
        <f ca="1">CE542*CE554-CE542</f>
        <v>7.7105397779321265</v>
      </c>
      <c r="CF553" s="837">
        <f ca="1">CF542*CF554-CF542</f>
        <v>7.7105397779321265</v>
      </c>
      <c r="CG553" s="190"/>
    </row>
    <row r="554" spans="1:85" s="424" customFormat="1" ht="15" hidden="1" customHeight="1" outlineLevel="1" x14ac:dyDescent="0.3">
      <c r="A554" s="482" t="s">
        <v>740</v>
      </c>
      <c r="B554" s="348"/>
      <c r="C554" s="912">
        <f t="shared" ref="C554:AH554" si="1081">(C553+C542)/C542</f>
        <v>1.0044826927580823</v>
      </c>
      <c r="D554" s="912">
        <f t="shared" si="1081"/>
        <v>1.0048593242298143</v>
      </c>
      <c r="E554" s="912">
        <f t="shared" si="1081"/>
        <v>1.0072194825315992</v>
      </c>
      <c r="F554" s="912">
        <f t="shared" si="1081"/>
        <v>1.0073329303332903</v>
      </c>
      <c r="G554" s="488">
        <f t="shared" si="1081"/>
        <v>1.0076932289747365</v>
      </c>
      <c r="H554" s="488">
        <f t="shared" si="1081"/>
        <v>1.0079667758820785</v>
      </c>
      <c r="I554" s="488">
        <f t="shared" si="1081"/>
        <v>1.0082072699093141</v>
      </c>
      <c r="J554" s="488">
        <f t="shared" si="1081"/>
        <v>1.0080445105139224</v>
      </c>
      <c r="K554" s="912">
        <f t="shared" si="1081"/>
        <v>1.0080445105139224</v>
      </c>
      <c r="L554" s="488">
        <f t="shared" si="1081"/>
        <v>1.0075602128813275</v>
      </c>
      <c r="M554" s="488">
        <f t="shared" si="1081"/>
        <v>1.0077822699085051</v>
      </c>
      <c r="N554" s="488">
        <f t="shared" si="1081"/>
        <v>1.0082399487245295</v>
      </c>
      <c r="O554" s="488">
        <f t="shared" si="1081"/>
        <v>1.0065533518535874</v>
      </c>
      <c r="P554" s="912">
        <f t="shared" si="1081"/>
        <v>1.0065533518535874</v>
      </c>
      <c r="Q554" s="488">
        <f t="shared" si="1081"/>
        <v>1.0052343082517929</v>
      </c>
      <c r="R554" s="488">
        <f t="shared" si="1081"/>
        <v>1.0048593462054825</v>
      </c>
      <c r="S554" s="488">
        <f t="shared" si="1081"/>
        <v>1.0021126049197391</v>
      </c>
      <c r="T554" s="488">
        <f t="shared" si="1081"/>
        <v>1.0021117327574578</v>
      </c>
      <c r="U554" s="912">
        <f t="shared" si="1081"/>
        <v>1.0021117327574578</v>
      </c>
      <c r="V554" s="488">
        <f t="shared" si="1081"/>
        <v>1.0021096168962405</v>
      </c>
      <c r="W554" s="488">
        <f t="shared" si="1081"/>
        <v>1.0021075838346811</v>
      </c>
      <c r="X554" s="488">
        <f t="shared" si="1081"/>
        <v>1.0051346315978904</v>
      </c>
      <c r="Y554" s="488">
        <f t="shared" si="1081"/>
        <v>1.0075865457463407</v>
      </c>
      <c r="Z554" s="912">
        <f t="shared" si="1081"/>
        <v>1.0075865457463407</v>
      </c>
      <c r="AA554" s="488">
        <f t="shared" si="1081"/>
        <v>1.0084563312903905</v>
      </c>
      <c r="AB554" s="488">
        <f t="shared" si="1081"/>
        <v>1.0063298063214516</v>
      </c>
      <c r="AC554" s="488">
        <f t="shared" si="1081"/>
        <v>1.0069649266029095</v>
      </c>
      <c r="AD554" s="488">
        <f t="shared" si="1081"/>
        <v>1.0094224719056231</v>
      </c>
      <c r="AE554" s="912">
        <f t="shared" si="1081"/>
        <v>1.0094224719056231</v>
      </c>
      <c r="AF554" s="488">
        <f t="shared" si="1081"/>
        <v>1.0090153794136085</v>
      </c>
      <c r="AG554" s="488">
        <f t="shared" si="1081"/>
        <v>1.0096934102814967</v>
      </c>
      <c r="AH554" s="488">
        <f t="shared" si="1081"/>
        <v>1.0087697429230065</v>
      </c>
      <c r="AI554" s="488">
        <f t="shared" ref="AI554:BF554" si="1082">(AI553+AI542)/AI542</f>
        <v>1.0070515735895478</v>
      </c>
      <c r="AJ554" s="912">
        <f t="shared" si="1082"/>
        <v>1.0070515735895478</v>
      </c>
      <c r="AK554" s="488">
        <f t="shared" si="1082"/>
        <v>1.0066917761399803</v>
      </c>
      <c r="AL554" s="488">
        <f t="shared" si="1082"/>
        <v>1.0072228542913286</v>
      </c>
      <c r="AM554" s="488">
        <f t="shared" si="1082"/>
        <v>1.0070448971033257</v>
      </c>
      <c r="AN554" s="488">
        <f t="shared" si="1082"/>
        <v>1.0070774762322892</v>
      </c>
      <c r="AO554" s="912">
        <f t="shared" si="1082"/>
        <v>1.0070774762322892</v>
      </c>
      <c r="AP554" s="488">
        <f t="shared" si="1082"/>
        <v>1.0018082692054351</v>
      </c>
      <c r="AQ554" s="488">
        <f t="shared" si="1082"/>
        <v>1.0018079891604965</v>
      </c>
      <c r="AR554" s="488">
        <f t="shared" si="1082"/>
        <v>1.0018079353116975</v>
      </c>
      <c r="AS554" s="488">
        <f t="shared" si="1082"/>
        <v>1.0017535965065765</v>
      </c>
      <c r="AT554" s="912">
        <f t="shared" si="1082"/>
        <v>1.0017535965065765</v>
      </c>
      <c r="AU554" s="488">
        <f t="shared" si="1082"/>
        <v>1.0015373027930901</v>
      </c>
      <c r="AV554" s="488">
        <f t="shared" si="1082"/>
        <v>1.002286557055361</v>
      </c>
      <c r="AW554" s="488">
        <f t="shared" si="1082"/>
        <v>1.001602439468771</v>
      </c>
      <c r="AX554" s="488">
        <f t="shared" si="1082"/>
        <v>1.0034417966385314</v>
      </c>
      <c r="AY554" s="912">
        <f t="shared" si="1082"/>
        <v>1.0034417966385314</v>
      </c>
      <c r="AZ554" s="488">
        <f t="shared" si="1082"/>
        <v>1.0045164592968872</v>
      </c>
      <c r="BA554" s="488">
        <f t="shared" si="1082"/>
        <v>1.0048052685753448</v>
      </c>
      <c r="BB554" s="488">
        <f t="shared" si="1082"/>
        <v>1.0040152281904293</v>
      </c>
      <c r="BC554" s="488">
        <f t="shared" si="1082"/>
        <v>1.0047665633354508</v>
      </c>
      <c r="BD554" s="912">
        <f t="shared" si="1082"/>
        <v>1.0047665633354508</v>
      </c>
      <c r="BE554" s="488">
        <f t="shared" si="1082"/>
        <v>1.0047988210066499</v>
      </c>
      <c r="BF554" s="488">
        <f t="shared" si="1082"/>
        <v>1.0044680794571461</v>
      </c>
      <c r="BG554" s="488">
        <f t="shared" ref="BG554:BK554" si="1083">(BG553+BG542)/BG542</f>
        <v>1.0032530813629261</v>
      </c>
      <c r="BH554" s="488">
        <f t="shared" si="1083"/>
        <v>1.0035521173856028</v>
      </c>
      <c r="BI554" s="912">
        <f t="shared" si="1083"/>
        <v>1.0035521173856028</v>
      </c>
      <c r="BJ554" s="566">
        <f t="shared" si="1083"/>
        <v>1.0036486015388102</v>
      </c>
      <c r="BK554" s="566">
        <f t="shared" si="1083"/>
        <v>1.004149449937374</v>
      </c>
      <c r="BL554" s="566">
        <f t="shared" ref="BL554:BO554" si="1084">(BL553+BL542)/BL542</f>
        <v>1.0037249080816746</v>
      </c>
      <c r="BM554" s="566">
        <f t="shared" si="1084"/>
        <v>1.0039886665026045</v>
      </c>
      <c r="BN554" s="912">
        <f t="shared" si="1084"/>
        <v>1.0039886665026045</v>
      </c>
      <c r="BO554" s="566">
        <f t="shared" si="1084"/>
        <v>1.0039011817325372</v>
      </c>
      <c r="BP554" s="566">
        <f t="shared" ref="BP554:BR554" si="1085">(BP553+BP542)/BP542</f>
        <v>1.0030167992093031</v>
      </c>
      <c r="BQ554" s="566">
        <f t="shared" si="1085"/>
        <v>1.0035326166903786</v>
      </c>
      <c r="BR554" s="566">
        <f t="shared" si="1085"/>
        <v>1.003277149601782</v>
      </c>
      <c r="BS554" s="912">
        <f>(BS553+BS542)/BS542</f>
        <v>1.003277149601782</v>
      </c>
      <c r="BT554" s="712">
        <f t="shared" ref="BT554" si="1086">(BT553+BT542)/BT542</f>
        <v>1.0028891376544309</v>
      </c>
      <c r="BU554" s="792">
        <v>1.0039011817325372</v>
      </c>
      <c r="BV554" s="792">
        <v>1.0039011817325372</v>
      </c>
      <c r="BW554" s="792">
        <v>1.0039011817325372</v>
      </c>
      <c r="BX554" s="912">
        <f ca="1">(BX553+BX542)/BX542</f>
        <v>1.0039011817325372</v>
      </c>
      <c r="BY554" s="792">
        <v>1.0039011817325372</v>
      </c>
      <c r="BZ554" s="792">
        <v>1.0039011817325372</v>
      </c>
      <c r="CA554" s="792">
        <v>1.0039011817325372</v>
      </c>
      <c r="CB554" s="792">
        <v>1.0039011817325372</v>
      </c>
      <c r="CC554" s="912">
        <f ca="1">(CC553+CC542)/CC542</f>
        <v>1.0039011817325372</v>
      </c>
      <c r="CD554" s="913">
        <v>1.0039011817325372</v>
      </c>
      <c r="CE554" s="913">
        <v>1.0039011817325372</v>
      </c>
      <c r="CF554" s="913">
        <v>1.0039011817325372</v>
      </c>
      <c r="CG554" s="190"/>
    </row>
    <row r="555" spans="1:85" s="424" customFormat="1" ht="15" hidden="1" customHeight="1" outlineLevel="1" x14ac:dyDescent="0.3">
      <c r="A555" s="106"/>
      <c r="B555" s="339"/>
      <c r="C555" s="911"/>
      <c r="D555" s="911"/>
      <c r="E555" s="911"/>
      <c r="F555" s="911"/>
      <c r="G555" s="415"/>
      <c r="H555" s="415"/>
      <c r="I555" s="415"/>
      <c r="J555" s="415"/>
      <c r="K555" s="911"/>
      <c r="L555" s="415"/>
      <c r="M555" s="415"/>
      <c r="N555" s="415"/>
      <c r="O555" s="415"/>
      <c r="P555" s="911"/>
      <c r="Q555" s="415"/>
      <c r="R555" s="415"/>
      <c r="S555" s="415"/>
      <c r="T555" s="415"/>
      <c r="U555" s="911"/>
      <c r="V555" s="415"/>
      <c r="W555" s="415"/>
      <c r="X555" s="415"/>
      <c r="Y555" s="415"/>
      <c r="Z555" s="911"/>
      <c r="AA555" s="415"/>
      <c r="AB555" s="415"/>
      <c r="AC555" s="415"/>
      <c r="AD555" s="415"/>
      <c r="AE555" s="911"/>
      <c r="AF555" s="415"/>
      <c r="AG555" s="415"/>
      <c r="AH555" s="415"/>
      <c r="AI555" s="415"/>
      <c r="AJ555" s="911"/>
      <c r="AK555" s="415"/>
      <c r="AL555" s="415"/>
      <c r="AM555" s="415"/>
      <c r="AN555" s="415"/>
      <c r="AO555" s="911"/>
      <c r="AP555" s="415"/>
      <c r="AQ555" s="415"/>
      <c r="AR555" s="415"/>
      <c r="AS555" s="415"/>
      <c r="AT555" s="911"/>
      <c r="AU555" s="415"/>
      <c r="AV555" s="415"/>
      <c r="AW555" s="415"/>
      <c r="AX555" s="415"/>
      <c r="AY555" s="911"/>
      <c r="AZ555" s="415"/>
      <c r="BA555" s="415"/>
      <c r="BB555" s="415"/>
      <c r="BC555" s="415"/>
      <c r="BD555" s="911"/>
      <c r="BE555" s="415"/>
      <c r="BF555" s="415"/>
      <c r="BG555" s="415"/>
      <c r="BH555" s="415"/>
      <c r="BI555" s="911"/>
      <c r="BJ555" s="415"/>
      <c r="BK555" s="415"/>
      <c r="BL555" s="415"/>
      <c r="BM555" s="415"/>
      <c r="BN555" s="911"/>
      <c r="BO555" s="415"/>
      <c r="BP555" s="415"/>
      <c r="BQ555" s="415"/>
      <c r="BR555" s="415"/>
      <c r="BS555" s="911"/>
      <c r="BT555" s="674"/>
      <c r="BU555" s="415"/>
      <c r="BV555" s="415"/>
      <c r="BW555" s="415"/>
      <c r="BX555" s="911"/>
      <c r="BY555" s="415"/>
      <c r="BZ555" s="415"/>
      <c r="CA555" s="415"/>
      <c r="CB555" s="415"/>
      <c r="CC555" s="911"/>
      <c r="CD555" s="911"/>
      <c r="CE555" s="911"/>
      <c r="CF555" s="911"/>
      <c r="CG555" s="190"/>
    </row>
    <row r="556" spans="1:85" s="424" customFormat="1" ht="15" hidden="1" customHeight="1" outlineLevel="1" x14ac:dyDescent="0.3">
      <c r="A556" s="106" t="s">
        <v>741</v>
      </c>
      <c r="B556" s="339"/>
      <c r="C556" s="837">
        <f t="shared" ref="C556:AH556" si="1087">C542+C553</f>
        <v>2016.7218059999998</v>
      </c>
      <c r="D556" s="837">
        <f t="shared" si="1087"/>
        <v>2017.2357809999996</v>
      </c>
      <c r="E556" s="837">
        <f t="shared" si="1087"/>
        <v>1995.469924</v>
      </c>
      <c r="F556" s="837">
        <f t="shared" si="1087"/>
        <v>1960.9728889999999</v>
      </c>
      <c r="G556" s="722">
        <f t="shared" si="1087"/>
        <v>1953.894775</v>
      </c>
      <c r="H556" s="722">
        <f t="shared" si="1087"/>
        <v>1947.4157229999996</v>
      </c>
      <c r="I556" s="722">
        <f t="shared" si="1087"/>
        <v>1938.9570129999997</v>
      </c>
      <c r="J556" s="722">
        <f t="shared" si="1087"/>
        <v>1928.9970679999999</v>
      </c>
      <c r="K556" s="837">
        <f t="shared" si="1087"/>
        <v>1928.9970679999999</v>
      </c>
      <c r="L556" s="722">
        <f t="shared" si="1087"/>
        <v>1918.042099</v>
      </c>
      <c r="M556" s="722">
        <f t="shared" si="1087"/>
        <v>1913.7098249999997</v>
      </c>
      <c r="N556" s="722">
        <f t="shared" si="1087"/>
        <v>1906.0013849999998</v>
      </c>
      <c r="O556" s="722">
        <f t="shared" si="1087"/>
        <v>1891.9668079999999</v>
      </c>
      <c r="P556" s="837">
        <f t="shared" si="1087"/>
        <v>1891.9668079999999</v>
      </c>
      <c r="Q556" s="722">
        <f t="shared" si="1087"/>
        <v>1890.3207110000001</v>
      </c>
      <c r="R556" s="722">
        <f t="shared" si="1087"/>
        <v>1890.8786229999998</v>
      </c>
      <c r="S556" s="722">
        <f t="shared" si="1087"/>
        <v>1886.012704</v>
      </c>
      <c r="T556" s="722">
        <f t="shared" si="1087"/>
        <v>1886.79</v>
      </c>
      <c r="U556" s="837">
        <f t="shared" si="1087"/>
        <v>1886.79</v>
      </c>
      <c r="V556" s="722">
        <f t="shared" si="1087"/>
        <v>1888.6783869999999</v>
      </c>
      <c r="W556" s="722">
        <f t="shared" si="1087"/>
        <v>1890.4964479999999</v>
      </c>
      <c r="X556" s="722">
        <f t="shared" si="1087"/>
        <v>1897.4623200000001</v>
      </c>
      <c r="Y556" s="722">
        <f t="shared" si="1087"/>
        <v>1905.8564220000001</v>
      </c>
      <c r="Z556" s="837">
        <f t="shared" si="1087"/>
        <v>1905.8564220000001</v>
      </c>
      <c r="AA556" s="722">
        <f t="shared" si="1087"/>
        <v>1910.5778059999998</v>
      </c>
      <c r="AB556" s="722">
        <f t="shared" si="1087"/>
        <v>1906.9976889999998</v>
      </c>
      <c r="AC556" s="722">
        <f t="shared" si="1087"/>
        <v>1912.6029279999998</v>
      </c>
      <c r="AD556" s="722">
        <f t="shared" si="1087"/>
        <v>1922.6488849999998</v>
      </c>
      <c r="AE556" s="837">
        <f t="shared" si="1087"/>
        <v>1922.6488849999998</v>
      </c>
      <c r="AF556" s="722">
        <f t="shared" si="1087"/>
        <v>1928.1847339999999</v>
      </c>
      <c r="AG556" s="722">
        <f t="shared" si="1087"/>
        <v>1934.7210999999998</v>
      </c>
      <c r="AH556" s="722">
        <f t="shared" si="1087"/>
        <v>1927.5313689999996</v>
      </c>
      <c r="AI556" s="722">
        <f t="shared" ref="AI556:BN556" si="1088">AI542+AI553</f>
        <v>1916.25569</v>
      </c>
      <c r="AJ556" s="837">
        <f t="shared" si="1088"/>
        <v>1916.25569</v>
      </c>
      <c r="AK556" s="722">
        <f t="shared" si="1088"/>
        <v>1917.4720000000002</v>
      </c>
      <c r="AL556" s="722">
        <f t="shared" si="1088"/>
        <v>1912.1304709999999</v>
      </c>
      <c r="AM556" s="722">
        <f t="shared" si="1088"/>
        <v>1904.1931880000002</v>
      </c>
      <c r="AN556" s="722">
        <f t="shared" si="1088"/>
        <v>1895.4891010000001</v>
      </c>
      <c r="AO556" s="837">
        <f t="shared" si="1088"/>
        <v>1895.4891010000001</v>
      </c>
      <c r="AP556" s="722">
        <f t="shared" si="1088"/>
        <v>1870.35465</v>
      </c>
      <c r="AQ556" s="722">
        <f t="shared" si="1088"/>
        <v>1870.643832</v>
      </c>
      <c r="AR556" s="722">
        <f t="shared" si="1088"/>
        <v>1870.6994480000001</v>
      </c>
      <c r="AS556" s="722">
        <f t="shared" si="1088"/>
        <v>1928.5623169999999</v>
      </c>
      <c r="AT556" s="837">
        <f t="shared" si="1088"/>
        <v>1928.5623169999999</v>
      </c>
      <c r="AU556" s="722">
        <f t="shared" si="1088"/>
        <v>1931.016179</v>
      </c>
      <c r="AV556" s="722">
        <f t="shared" si="1088"/>
        <v>1938.333944</v>
      </c>
      <c r="AW556" s="722">
        <f t="shared" si="1088"/>
        <v>1930.774919</v>
      </c>
      <c r="AX556" s="722">
        <f t="shared" si="1088"/>
        <v>1936.4480570000001</v>
      </c>
      <c r="AY556" s="837">
        <f t="shared" si="1088"/>
        <v>1936.4480570000001</v>
      </c>
      <c r="AZ556" s="722">
        <f t="shared" si="1088"/>
        <v>1973.6874560000001</v>
      </c>
      <c r="BA556" s="722">
        <f t="shared" si="1088"/>
        <v>1966.8408139999999</v>
      </c>
      <c r="BB556" s="722">
        <f t="shared" si="1088"/>
        <v>1941.4025459999998</v>
      </c>
      <c r="BC556" s="722">
        <f t="shared" si="1088"/>
        <v>1924.345343</v>
      </c>
      <c r="BD556" s="837">
        <f t="shared" si="1088"/>
        <v>1924.345343</v>
      </c>
      <c r="BE556" s="722">
        <f t="shared" si="1088"/>
        <v>1903.3052640000001</v>
      </c>
      <c r="BF556" s="722">
        <f t="shared" si="1088"/>
        <v>1875.5882180000001</v>
      </c>
      <c r="BG556" s="190">
        <f t="shared" si="1088"/>
        <v>1893.8896650000002</v>
      </c>
      <c r="BH556" s="722">
        <f t="shared" ref="BH556:BI556" si="1089">BH542+BH553</f>
        <v>1872.2748040000001</v>
      </c>
      <c r="BI556" s="837">
        <f t="shared" si="1089"/>
        <v>1872.2748040000001</v>
      </c>
      <c r="BJ556" s="722">
        <f>BJ542+BJ553</f>
        <v>1853.7480330000001</v>
      </c>
      <c r="BK556" s="722">
        <f>BK542+BK553</f>
        <v>1836.5061129999999</v>
      </c>
      <c r="BL556" s="722">
        <f>BL542+BL553</f>
        <v>1803.7853250000001</v>
      </c>
      <c r="BM556" s="722">
        <f>BM542+BM553</f>
        <v>1776.068274</v>
      </c>
      <c r="BN556" s="837">
        <f t="shared" si="1088"/>
        <v>1776.068274</v>
      </c>
      <c r="BO556" s="722">
        <f t="shared" ref="BO556:BX556" si="1090">BO542+BO553</f>
        <v>1753.206905</v>
      </c>
      <c r="BP556" s="722">
        <f t="shared" ref="BP556" si="1091">BP542+BP553</f>
        <v>1733.2033759999999</v>
      </c>
      <c r="BQ556" s="722">
        <f t="shared" si="1090"/>
        <v>2020.634597</v>
      </c>
      <c r="BR556" s="722">
        <f t="shared" si="1090"/>
        <v>2000.9521219999999</v>
      </c>
      <c r="BS556" s="837">
        <f t="shared" si="1090"/>
        <v>2000.9521219999999</v>
      </c>
      <c r="BT556" s="723">
        <f>BT542+BT553</f>
        <v>1997.3517320000001</v>
      </c>
      <c r="BU556" s="722">
        <f ca="1">BU542+BU553</f>
        <v>1984.1731366427969</v>
      </c>
      <c r="BV556" s="722">
        <f ca="1">BV542+BV553</f>
        <v>1984.1731366427969</v>
      </c>
      <c r="BW556" s="722">
        <f ca="1">BW542+BW553</f>
        <v>1984.1731366427969</v>
      </c>
      <c r="BX556" s="837">
        <f t="shared" ca="1" si="1090"/>
        <v>1984.1731366427969</v>
      </c>
      <c r="BY556" s="722">
        <f t="shared" ref="BY556:CF556" ca="1" si="1092">BY542+BY553</f>
        <v>1984.1731366427969</v>
      </c>
      <c r="BZ556" s="722">
        <f t="shared" ca="1" si="1092"/>
        <v>1984.1731366427969</v>
      </c>
      <c r="CA556" s="722">
        <f t="shared" ca="1" si="1092"/>
        <v>1984.1731366427969</v>
      </c>
      <c r="CB556" s="722">
        <f t="shared" ca="1" si="1092"/>
        <v>1984.1731366427969</v>
      </c>
      <c r="CC556" s="837">
        <f t="shared" ca="1" si="1092"/>
        <v>1984.1731366427969</v>
      </c>
      <c r="CD556" s="837">
        <f t="shared" ca="1" si="1092"/>
        <v>1984.1731366427969</v>
      </c>
      <c r="CE556" s="837">
        <f t="shared" ca="1" si="1092"/>
        <v>1984.1731366427969</v>
      </c>
      <c r="CF556" s="837">
        <f t="shared" ca="1" si="1092"/>
        <v>1984.1731366427969</v>
      </c>
      <c r="CG556" s="190"/>
    </row>
    <row r="557" spans="1:85" s="424" customFormat="1" ht="15" customHeight="1" collapsed="1" x14ac:dyDescent="0.3">
      <c r="A557" s="106"/>
      <c r="B557" s="339"/>
      <c r="C557" s="837"/>
      <c r="D557" s="837"/>
      <c r="E557" s="837"/>
      <c r="F557" s="837"/>
      <c r="G557" s="722"/>
      <c r="H557" s="722"/>
      <c r="I557" s="722"/>
      <c r="J557" s="722"/>
      <c r="K557" s="837"/>
      <c r="L557" s="722"/>
      <c r="M557" s="722"/>
      <c r="N557" s="722"/>
      <c r="O557" s="722"/>
      <c r="P557" s="837"/>
      <c r="Q557" s="722"/>
      <c r="R557" s="722"/>
      <c r="S557" s="722"/>
      <c r="T557" s="722"/>
      <c r="U557" s="837"/>
      <c r="V557" s="722"/>
      <c r="W557" s="722"/>
      <c r="X557" s="722"/>
      <c r="Y557" s="722"/>
      <c r="Z557" s="837"/>
      <c r="AA557" s="722"/>
      <c r="AB557" s="722"/>
      <c r="AC557" s="722"/>
      <c r="AD557" s="722"/>
      <c r="AE557" s="837"/>
      <c r="AF557" s="722"/>
      <c r="AG557" s="722"/>
      <c r="AH557" s="722"/>
      <c r="AI557" s="722"/>
      <c r="AJ557" s="837"/>
      <c r="AK557" s="722"/>
      <c r="AL557" s="722"/>
      <c r="AM557" s="722"/>
      <c r="AN557" s="722"/>
      <c r="AO557" s="837"/>
      <c r="AP557" s="722"/>
      <c r="AQ557" s="722"/>
      <c r="AR557" s="722"/>
      <c r="AS557" s="722"/>
      <c r="AT557" s="837"/>
      <c r="AU557" s="722"/>
      <c r="AV557" s="722"/>
      <c r="AW557" s="722"/>
      <c r="AX557" s="722"/>
      <c r="AY557" s="837"/>
      <c r="AZ557" s="722"/>
      <c r="BA557" s="722"/>
      <c r="BB557" s="722"/>
      <c r="BC557" s="722"/>
      <c r="BD557" s="837"/>
      <c r="BE557" s="722"/>
      <c r="BF557" s="722"/>
      <c r="BG557" s="722"/>
      <c r="BH557" s="722"/>
      <c r="BI557" s="837"/>
      <c r="BJ557" s="722"/>
      <c r="BK557" s="722"/>
      <c r="BL557" s="722"/>
      <c r="BM557" s="722"/>
      <c r="BN557" s="837"/>
      <c r="BO557" s="722"/>
      <c r="BP557" s="722"/>
      <c r="BQ557" s="722"/>
      <c r="BR557" s="722"/>
      <c r="BS557" s="837"/>
      <c r="BT557" s="723"/>
      <c r="BU557" s="722"/>
      <c r="BV557" s="722"/>
      <c r="BW557" s="722"/>
      <c r="BX557" s="837"/>
      <c r="BY557" s="722"/>
      <c r="BZ557" s="722"/>
      <c r="CA557" s="722"/>
      <c r="CB557" s="722"/>
      <c r="CC557" s="837"/>
      <c r="CD557" s="837"/>
      <c r="CE557" s="837"/>
      <c r="CF557" s="837"/>
      <c r="CG557" s="190"/>
    </row>
    <row r="558" spans="1:85" s="427" customFormat="1" x14ac:dyDescent="0.3">
      <c r="A558" s="720" t="s">
        <v>224</v>
      </c>
      <c r="B558" s="720"/>
      <c r="C558" s="720"/>
      <c r="D558" s="720"/>
      <c r="E558" s="720"/>
      <c r="F558" s="720"/>
      <c r="G558" s="720"/>
      <c r="H558" s="720"/>
      <c r="I558" s="720"/>
      <c r="J558" s="720"/>
      <c r="K558" s="720"/>
      <c r="L558" s="720"/>
      <c r="M558" s="720"/>
      <c r="N558" s="720"/>
      <c r="O558" s="720"/>
      <c r="P558" s="720"/>
      <c r="Q558" s="720"/>
      <c r="R558" s="720"/>
      <c r="S558" s="720"/>
      <c r="T558" s="720"/>
      <c r="U558" s="720"/>
      <c r="V558" s="720"/>
      <c r="W558" s="720"/>
      <c r="X558" s="720"/>
      <c r="Y558" s="720"/>
      <c r="Z558" s="720"/>
      <c r="AA558" s="720"/>
      <c r="AB558" s="720"/>
      <c r="AC558" s="720"/>
      <c r="AD558" s="720"/>
      <c r="AE558" s="720"/>
      <c r="AF558" s="720"/>
      <c r="AG558" s="720"/>
      <c r="AH558" s="720"/>
      <c r="AI558" s="720"/>
      <c r="AJ558" s="720"/>
      <c r="AK558" s="720"/>
      <c r="AL558" s="720"/>
      <c r="AM558" s="720"/>
      <c r="AN558" s="720"/>
      <c r="AO558" s="720"/>
      <c r="AP558" s="720"/>
      <c r="AQ558" s="720"/>
      <c r="AR558" s="720"/>
      <c r="AS558" s="720"/>
      <c r="AT558" s="720"/>
      <c r="AU558" s="720"/>
      <c r="AV558" s="720"/>
      <c r="AW558" s="720"/>
      <c r="AX558" s="720"/>
      <c r="AY558" s="720"/>
      <c r="AZ558" s="720"/>
      <c r="BA558" s="720"/>
      <c r="BB558" s="720"/>
      <c r="BC558" s="720"/>
      <c r="BD558" s="720"/>
      <c r="BE558" s="720"/>
      <c r="BF558" s="720"/>
      <c r="BG558" s="720"/>
      <c r="BH558" s="720"/>
      <c r="BI558" s="720"/>
      <c r="BJ558" s="720"/>
      <c r="BK558" s="720"/>
      <c r="BL558" s="720"/>
      <c r="BM558" s="720"/>
      <c r="BN558" s="720"/>
      <c r="BO558" s="720"/>
      <c r="BP558" s="720"/>
      <c r="BQ558" s="720"/>
      <c r="BR558" s="720"/>
      <c r="BS558" s="720"/>
      <c r="BT558" s="721"/>
      <c r="BU558" s="720"/>
      <c r="BV558" s="720"/>
      <c r="BW558" s="720"/>
      <c r="BX558" s="720"/>
      <c r="BY558" s="720"/>
      <c r="BZ558" s="720"/>
      <c r="CA558" s="720"/>
      <c r="CB558" s="720"/>
      <c r="CC558" s="720"/>
      <c r="CD558" s="720"/>
      <c r="CE558" s="720"/>
      <c r="CF558" s="720"/>
      <c r="CG558" s="321"/>
    </row>
    <row r="559" spans="1:85" s="428" customFormat="1" hidden="1" outlineLevel="1" x14ac:dyDescent="0.3">
      <c r="A559" s="37" t="s">
        <v>225</v>
      </c>
      <c r="B559" s="109"/>
      <c r="C559" s="821">
        <f t="shared" ref="C559:AH559" si="1093">C695</f>
        <v>21674</v>
      </c>
      <c r="D559" s="821">
        <f t="shared" si="1093"/>
        <v>31278</v>
      </c>
      <c r="E559" s="821">
        <f t="shared" si="1093"/>
        <v>38777</v>
      </c>
      <c r="F559" s="821">
        <f t="shared" si="1093"/>
        <v>38449</v>
      </c>
      <c r="G559" s="37">
        <f t="shared" si="1093"/>
        <v>9074</v>
      </c>
      <c r="H559" s="37">
        <f t="shared" si="1093"/>
        <v>7675</v>
      </c>
      <c r="I559" s="37">
        <f t="shared" si="1093"/>
        <v>9889</v>
      </c>
      <c r="J559" s="37">
        <f t="shared" si="1093"/>
        <v>9695</v>
      </c>
      <c r="K559" s="821">
        <f t="shared" si="1093"/>
        <v>36333</v>
      </c>
      <c r="L559" s="37">
        <f t="shared" si="1093"/>
        <v>8035</v>
      </c>
      <c r="M559" s="37">
        <f t="shared" si="1093"/>
        <v>9004</v>
      </c>
      <c r="N559" s="37">
        <f t="shared" si="1093"/>
        <v>8315</v>
      </c>
      <c r="O559" s="37">
        <f t="shared" si="1093"/>
        <v>6661</v>
      </c>
      <c r="P559" s="821">
        <f t="shared" si="1093"/>
        <v>32015</v>
      </c>
      <c r="Q559" s="37">
        <f t="shared" si="1093"/>
        <v>4304</v>
      </c>
      <c r="R559" s="37">
        <f t="shared" si="1093"/>
        <v>7260</v>
      </c>
      <c r="S559" s="37">
        <f t="shared" si="1093"/>
        <v>5656</v>
      </c>
      <c r="T559" s="37">
        <f t="shared" si="1093"/>
        <v>4215</v>
      </c>
      <c r="U559" s="821">
        <f t="shared" si="1093"/>
        <v>21435</v>
      </c>
      <c r="V559" s="37">
        <f t="shared" si="1093"/>
        <v>2134</v>
      </c>
      <c r="W559" s="37">
        <f t="shared" si="1093"/>
        <v>3629</v>
      </c>
      <c r="X559" s="37">
        <f t="shared" si="1093"/>
        <v>4486</v>
      </c>
      <c r="Y559" s="37">
        <f t="shared" si="1093"/>
        <v>3147</v>
      </c>
      <c r="Z559" s="821">
        <f t="shared" si="1093"/>
        <v>13396</v>
      </c>
      <c r="AA559" s="37">
        <f t="shared" si="1093"/>
        <v>4836</v>
      </c>
      <c r="AB559" s="37">
        <f t="shared" si="1093"/>
        <v>5277</v>
      </c>
      <c r="AC559" s="37">
        <f t="shared" si="1093"/>
        <v>4867</v>
      </c>
      <c r="AD559" s="37">
        <f t="shared" si="1093"/>
        <v>5059</v>
      </c>
      <c r="AE559" s="821">
        <f t="shared" si="1093"/>
        <v>20039</v>
      </c>
      <c r="AF559" s="37">
        <f t="shared" si="1093"/>
        <v>7147</v>
      </c>
      <c r="AG559" s="37">
        <f t="shared" si="1093"/>
        <v>7038</v>
      </c>
      <c r="AH559" s="37">
        <f t="shared" si="1093"/>
        <v>9164</v>
      </c>
      <c r="AI559" s="37">
        <f t="shared" ref="AI559:AY559" si="1094">AI695</f>
        <v>7987</v>
      </c>
      <c r="AJ559" s="821">
        <f t="shared" si="1094"/>
        <v>31336</v>
      </c>
      <c r="AK559" s="37">
        <f t="shared" si="1094"/>
        <v>6267</v>
      </c>
      <c r="AL559" s="37">
        <f t="shared" si="1094"/>
        <v>7852</v>
      </c>
      <c r="AM559" s="37">
        <f t="shared" si="1094"/>
        <v>6412</v>
      </c>
      <c r="AN559" s="37">
        <f t="shared" si="1094"/>
        <v>5289</v>
      </c>
      <c r="AO559" s="821">
        <f t="shared" si="1094"/>
        <v>25820</v>
      </c>
      <c r="AP559" s="37">
        <f t="shared" si="1094"/>
        <v>5818</v>
      </c>
      <c r="AQ559" s="37">
        <f t="shared" si="1094"/>
        <v>-643</v>
      </c>
      <c r="AR559" s="37">
        <f>AR695</f>
        <v>3185</v>
      </c>
      <c r="AS559" s="37">
        <f t="shared" ref="AS559:AU559" si="1095">AS695</f>
        <v>3869</v>
      </c>
      <c r="AT559" s="821">
        <f t="shared" si="1095"/>
        <v>12229</v>
      </c>
      <c r="AU559" s="37">
        <f t="shared" si="1095"/>
        <v>5098</v>
      </c>
      <c r="AV559" s="37">
        <f>AV695</f>
        <v>7084</v>
      </c>
      <c r="AW559" s="37">
        <f>AW695</f>
        <v>9006</v>
      </c>
      <c r="AX559" s="37">
        <f t="shared" si="1094"/>
        <v>9360</v>
      </c>
      <c r="AY559" s="821">
        <f t="shared" si="1094"/>
        <v>30548</v>
      </c>
      <c r="AZ559" s="37">
        <f t="shared" ref="AZ559:BG559" si="1096">AZ695</f>
        <v>8992</v>
      </c>
      <c r="BA559" s="37">
        <f t="shared" si="1096"/>
        <v>13250</v>
      </c>
      <c r="BB559" s="37">
        <f t="shared" si="1096"/>
        <v>13690</v>
      </c>
      <c r="BC559" s="37">
        <f t="shared" si="1096"/>
        <v>11545</v>
      </c>
      <c r="BD559" s="821">
        <f t="shared" si="1096"/>
        <v>47477</v>
      </c>
      <c r="BE559" s="37">
        <f t="shared" si="1096"/>
        <v>9020</v>
      </c>
      <c r="BF559" s="37">
        <f t="shared" si="1096"/>
        <v>9430</v>
      </c>
      <c r="BG559" s="37">
        <f t="shared" si="1096"/>
        <v>8906</v>
      </c>
      <c r="BH559" s="22">
        <f t="shared" ref="BH559:BJ559" si="1097">BH695</f>
        <v>11438</v>
      </c>
      <c r="BI559" s="852">
        <f t="shared" si="1097"/>
        <v>38794</v>
      </c>
      <c r="BJ559" s="22">
        <f t="shared" si="1097"/>
        <v>7972</v>
      </c>
      <c r="BK559" s="22">
        <f t="shared" ref="BK559" si="1098">BK695</f>
        <v>8726</v>
      </c>
      <c r="BL559" s="37">
        <f t="shared" ref="BL559:BX559" si="1099">BL695</f>
        <v>8271</v>
      </c>
      <c r="BM559" s="22">
        <f t="shared" si="1099"/>
        <v>5312</v>
      </c>
      <c r="BN559" s="852">
        <f t="shared" si="1099"/>
        <v>30281</v>
      </c>
      <c r="BO559" s="22">
        <f t="shared" ref="BO559" si="1100">BO695</f>
        <v>7597</v>
      </c>
      <c r="BP559" s="22">
        <f t="shared" ref="BP559" si="1101">BP695</f>
        <v>8298</v>
      </c>
      <c r="BQ559" s="37">
        <f>BQ695</f>
        <v>9940</v>
      </c>
      <c r="BR559" s="22">
        <f t="shared" ref="BR559:BS559" si="1102">BR695</f>
        <v>9112</v>
      </c>
      <c r="BS559" s="852">
        <f t="shared" si="1102"/>
        <v>34947</v>
      </c>
      <c r="BT559" s="480">
        <f t="shared" ref="BT559" si="1103">BT695</f>
        <v>7139</v>
      </c>
      <c r="BU559" s="37">
        <f>BU695</f>
        <v>15186.854767698625</v>
      </c>
      <c r="BV559" s="37">
        <f ca="1">BV695</f>
        <v>11638.625420904107</v>
      </c>
      <c r="BW559" s="37">
        <f ca="1">BW695</f>
        <v>11332.36695090411</v>
      </c>
      <c r="BX559" s="821">
        <f t="shared" ca="1" si="1099"/>
        <v>45296.847139506841</v>
      </c>
      <c r="BY559" s="37">
        <f t="shared" ref="BY559:CF559" ca="1" si="1104">BY695</f>
        <v>12196.860269315066</v>
      </c>
      <c r="BZ559" s="37">
        <f t="shared" ca="1" si="1104"/>
        <v>12714.108831913014</v>
      </c>
      <c r="CA559" s="37">
        <f t="shared" ca="1" si="1104"/>
        <v>12883.938858610953</v>
      </c>
      <c r="CB559" s="37">
        <f t="shared" ca="1" si="1104"/>
        <v>12790.883953810957</v>
      </c>
      <c r="CC559" s="821">
        <f t="shared" ca="1" si="1104"/>
        <v>50585.791913649991</v>
      </c>
      <c r="CD559" s="821">
        <f t="shared" ca="1" si="1104"/>
        <v>49927.821157500002</v>
      </c>
      <c r="CE559" s="821">
        <f t="shared" ca="1" si="1104"/>
        <v>48642.951027750001</v>
      </c>
      <c r="CF559" s="821">
        <f t="shared" ca="1" si="1104"/>
        <v>42776.002814999993</v>
      </c>
      <c r="CG559" s="22"/>
    </row>
    <row r="560" spans="1:85" s="428" customFormat="1" hidden="1" outlineLevel="1" x14ac:dyDescent="0.3">
      <c r="A560" s="242" t="s">
        <v>708</v>
      </c>
      <c r="B560" s="244"/>
      <c r="C560" s="822">
        <f t="shared" ref="C560:AH560" si="1105">C561-C559</f>
        <v>-2301</v>
      </c>
      <c r="D560" s="822">
        <f t="shared" si="1105"/>
        <v>76</v>
      </c>
      <c r="E560" s="822">
        <f t="shared" si="1105"/>
        <v>2318</v>
      </c>
      <c r="F560" s="822">
        <f t="shared" si="1105"/>
        <v>363</v>
      </c>
      <c r="G560" s="56">
        <f t="shared" si="1105"/>
        <v>-3360</v>
      </c>
      <c r="H560" s="56">
        <f t="shared" si="1105"/>
        <v>845</v>
      </c>
      <c r="I560" s="56">
        <f t="shared" si="1105"/>
        <v>427</v>
      </c>
      <c r="J560" s="56">
        <f t="shared" si="1105"/>
        <v>757</v>
      </c>
      <c r="K560" s="822">
        <f t="shared" si="1105"/>
        <v>-1331</v>
      </c>
      <c r="L560" s="56">
        <f t="shared" si="1105"/>
        <v>382</v>
      </c>
      <c r="M560" s="56">
        <f t="shared" si="1105"/>
        <v>-1123</v>
      </c>
      <c r="N560" s="56">
        <f t="shared" si="1105"/>
        <v>365</v>
      </c>
      <c r="O560" s="56">
        <f t="shared" si="1105"/>
        <v>-164</v>
      </c>
      <c r="P560" s="822">
        <f t="shared" si="1105"/>
        <v>-540</v>
      </c>
      <c r="Q560" s="56">
        <f t="shared" si="1105"/>
        <v>-1985</v>
      </c>
      <c r="R560" s="56">
        <f t="shared" si="1105"/>
        <v>-40</v>
      </c>
      <c r="S560" s="56">
        <f t="shared" si="1105"/>
        <v>-296</v>
      </c>
      <c r="T560" s="56">
        <f t="shared" si="1105"/>
        <v>342</v>
      </c>
      <c r="U560" s="822">
        <f t="shared" si="1105"/>
        <v>-1979</v>
      </c>
      <c r="V560" s="56">
        <f t="shared" si="1105"/>
        <v>-993</v>
      </c>
      <c r="W560" s="56">
        <f t="shared" si="1105"/>
        <v>-1098</v>
      </c>
      <c r="X560" s="56">
        <f t="shared" si="1105"/>
        <v>825</v>
      </c>
      <c r="Y560" s="56">
        <f t="shared" si="1105"/>
        <v>716</v>
      </c>
      <c r="Z560" s="822">
        <f t="shared" si="1105"/>
        <v>-550</v>
      </c>
      <c r="AA560" s="56">
        <f t="shared" si="1105"/>
        <v>-957</v>
      </c>
      <c r="AB560" s="56">
        <f t="shared" si="1105"/>
        <v>-241</v>
      </c>
      <c r="AC560" s="56">
        <f t="shared" si="1105"/>
        <v>503</v>
      </c>
      <c r="AD560" s="56">
        <f t="shared" si="1105"/>
        <v>1171</v>
      </c>
      <c r="AE560" s="822">
        <f t="shared" si="1105"/>
        <v>476</v>
      </c>
      <c r="AF560" s="56">
        <f t="shared" si="1105"/>
        <v>-2104</v>
      </c>
      <c r="AG560" s="56">
        <f t="shared" si="1105"/>
        <v>-183</v>
      </c>
      <c r="AH560" s="56">
        <f t="shared" si="1105"/>
        <v>405</v>
      </c>
      <c r="AI560" s="56">
        <f t="shared" ref="AI560:BD560" si="1106">AI561-AI559</f>
        <v>1164</v>
      </c>
      <c r="AJ560" s="822">
        <f t="shared" si="1106"/>
        <v>-718</v>
      </c>
      <c r="AK560" s="56">
        <f t="shared" si="1106"/>
        <v>-1210</v>
      </c>
      <c r="AL560" s="56">
        <f t="shared" si="1106"/>
        <v>931</v>
      </c>
      <c r="AM560" s="56">
        <f t="shared" si="1106"/>
        <v>1405</v>
      </c>
      <c r="AN560" s="56">
        <f t="shared" si="1106"/>
        <v>368</v>
      </c>
      <c r="AO560" s="822">
        <f t="shared" si="1106"/>
        <v>1494</v>
      </c>
      <c r="AP560" s="56">
        <f t="shared" si="1106"/>
        <v>-1096</v>
      </c>
      <c r="AQ560" s="56">
        <f t="shared" si="1106"/>
        <v>723</v>
      </c>
      <c r="AR560" s="56">
        <f t="shared" si="1106"/>
        <v>352</v>
      </c>
      <c r="AS560" s="56">
        <f t="shared" si="1106"/>
        <v>-1631</v>
      </c>
      <c r="AT560" s="822">
        <f t="shared" si="1106"/>
        <v>-1652</v>
      </c>
      <c r="AU560" s="56">
        <f t="shared" si="1106"/>
        <v>-902</v>
      </c>
      <c r="AV560" s="56">
        <f t="shared" si="1106"/>
        <v>-130</v>
      </c>
      <c r="AW560" s="56">
        <f t="shared" si="1106"/>
        <v>-427</v>
      </c>
      <c r="AX560" s="56">
        <f t="shared" si="1106"/>
        <v>98</v>
      </c>
      <c r="AY560" s="822">
        <f t="shared" si="1106"/>
        <v>-1361</v>
      </c>
      <c r="AZ560" s="56">
        <f t="shared" si="1106"/>
        <v>-937</v>
      </c>
      <c r="BA560" s="56">
        <f t="shared" si="1106"/>
        <v>532</v>
      </c>
      <c r="BB560" s="56">
        <f t="shared" si="1106"/>
        <v>1577</v>
      </c>
      <c r="BC560" s="56">
        <f t="shared" si="1106"/>
        <v>953</v>
      </c>
      <c r="BD560" s="822">
        <f t="shared" si="1106"/>
        <v>2125</v>
      </c>
      <c r="BE560" s="56">
        <f>BE561-BE559</f>
        <v>-1815</v>
      </c>
      <c r="BF560" s="56">
        <f>BF561-BF559</f>
        <v>-3133</v>
      </c>
      <c r="BG560" s="56">
        <f>BG561-BG559</f>
        <v>767</v>
      </c>
      <c r="BH560" s="27">
        <f t="shared" ref="BH560:BI560" si="1107">BH561-BH559</f>
        <v>996</v>
      </c>
      <c r="BI560" s="879">
        <f t="shared" si="1107"/>
        <v>-3185</v>
      </c>
      <c r="BJ560" s="27">
        <f>BJ561-BJ559</f>
        <v>-1144</v>
      </c>
      <c r="BK560" s="27">
        <f t="shared" ref="BK560" si="1108">BK561-BK559</f>
        <v>-2431</v>
      </c>
      <c r="BL560" s="56">
        <f t="shared" ref="BL560:BN560" si="1109">BL561-BL559</f>
        <v>1403</v>
      </c>
      <c r="BM560" s="27">
        <f t="shared" si="1109"/>
        <v>3383</v>
      </c>
      <c r="BN560" s="879">
        <f t="shared" si="1109"/>
        <v>1211</v>
      </c>
      <c r="BO560" s="27">
        <f t="shared" ref="BO560" si="1110">BO561-BO559</f>
        <v>-2408</v>
      </c>
      <c r="BP560" s="27">
        <f t="shared" ref="BP560" si="1111">BP561-BP559</f>
        <v>278</v>
      </c>
      <c r="BQ560" s="56">
        <f>BQ561-BQ559</f>
        <v>-555</v>
      </c>
      <c r="BR560" s="27">
        <f t="shared" ref="BR560:BS560" si="1112">BR561-BR559</f>
        <v>1677</v>
      </c>
      <c r="BS560" s="879">
        <f t="shared" si="1112"/>
        <v>-1008</v>
      </c>
      <c r="BT560" s="478">
        <f t="shared" ref="BT560" si="1113">BT561-BT559</f>
        <v>-4625</v>
      </c>
      <c r="BU560" s="56">
        <f t="shared" ref="BU560:CF560" si="1114">BU561-BU559</f>
        <v>0</v>
      </c>
      <c r="BV560" s="56">
        <f t="shared" ca="1" si="1114"/>
        <v>0</v>
      </c>
      <c r="BW560" s="56">
        <f t="shared" ca="1" si="1114"/>
        <v>0</v>
      </c>
      <c r="BX560" s="822">
        <f t="shared" ca="1" si="1114"/>
        <v>-4625</v>
      </c>
      <c r="BY560" s="56">
        <f t="shared" ca="1" si="1114"/>
        <v>0</v>
      </c>
      <c r="BZ560" s="56">
        <f t="shared" ca="1" si="1114"/>
        <v>0</v>
      </c>
      <c r="CA560" s="56">
        <f t="shared" ca="1" si="1114"/>
        <v>0</v>
      </c>
      <c r="CB560" s="56">
        <f t="shared" ca="1" si="1114"/>
        <v>0</v>
      </c>
      <c r="CC560" s="822">
        <f t="shared" ca="1" si="1114"/>
        <v>0</v>
      </c>
      <c r="CD560" s="822">
        <f t="shared" ca="1" si="1114"/>
        <v>0</v>
      </c>
      <c r="CE560" s="822">
        <f t="shared" ca="1" si="1114"/>
        <v>0</v>
      </c>
      <c r="CF560" s="822">
        <f t="shared" ca="1" si="1114"/>
        <v>0</v>
      </c>
      <c r="CG560" s="22"/>
    </row>
    <row r="561" spans="1:85" s="428" customFormat="1" collapsed="1" x14ac:dyDescent="0.3">
      <c r="A561" s="48" t="s">
        <v>709</v>
      </c>
      <c r="B561" s="58"/>
      <c r="C561" s="825">
        <f t="shared" ref="C561:AH561" si="1115">C697</f>
        <v>19373</v>
      </c>
      <c r="D561" s="825">
        <f t="shared" si="1115"/>
        <v>31354</v>
      </c>
      <c r="E561" s="825">
        <f t="shared" si="1115"/>
        <v>41095</v>
      </c>
      <c r="F561" s="825">
        <f t="shared" si="1115"/>
        <v>38812</v>
      </c>
      <c r="G561" s="31">
        <f t="shared" si="1115"/>
        <v>5714</v>
      </c>
      <c r="H561" s="31">
        <f t="shared" si="1115"/>
        <v>8520</v>
      </c>
      <c r="I561" s="31">
        <f t="shared" si="1115"/>
        <v>10316</v>
      </c>
      <c r="J561" s="31">
        <f t="shared" si="1115"/>
        <v>10452</v>
      </c>
      <c r="K561" s="825">
        <f t="shared" si="1115"/>
        <v>35002</v>
      </c>
      <c r="L561" s="31">
        <f t="shared" si="1115"/>
        <v>8417</v>
      </c>
      <c r="M561" s="31">
        <f t="shared" si="1115"/>
        <v>7881</v>
      </c>
      <c r="N561" s="31">
        <f t="shared" si="1115"/>
        <v>8680</v>
      </c>
      <c r="O561" s="31">
        <f t="shared" si="1115"/>
        <v>6497</v>
      </c>
      <c r="P561" s="825">
        <f t="shared" si="1115"/>
        <v>31475</v>
      </c>
      <c r="Q561" s="31">
        <f t="shared" si="1115"/>
        <v>2319</v>
      </c>
      <c r="R561" s="31">
        <f t="shared" si="1115"/>
        <v>7220</v>
      </c>
      <c r="S561" s="31">
        <f t="shared" si="1115"/>
        <v>5360</v>
      </c>
      <c r="T561" s="31">
        <f t="shared" si="1115"/>
        <v>4557</v>
      </c>
      <c r="U561" s="825">
        <f t="shared" si="1115"/>
        <v>19456</v>
      </c>
      <c r="V561" s="31">
        <f t="shared" si="1115"/>
        <v>1141</v>
      </c>
      <c r="W561" s="31">
        <f t="shared" si="1115"/>
        <v>2531</v>
      </c>
      <c r="X561" s="31">
        <f t="shared" si="1115"/>
        <v>5311</v>
      </c>
      <c r="Y561" s="31">
        <f t="shared" si="1115"/>
        <v>3863</v>
      </c>
      <c r="Z561" s="825">
        <f t="shared" si="1115"/>
        <v>12846</v>
      </c>
      <c r="AA561" s="31">
        <f t="shared" si="1115"/>
        <v>3879</v>
      </c>
      <c r="AB561" s="31">
        <f t="shared" si="1115"/>
        <v>5036</v>
      </c>
      <c r="AC561" s="31">
        <f t="shared" si="1115"/>
        <v>5370</v>
      </c>
      <c r="AD561" s="31">
        <f t="shared" si="1115"/>
        <v>6230</v>
      </c>
      <c r="AE561" s="825">
        <f t="shared" si="1115"/>
        <v>20515</v>
      </c>
      <c r="AF561" s="31">
        <f t="shared" si="1115"/>
        <v>5043</v>
      </c>
      <c r="AG561" s="31">
        <f t="shared" si="1115"/>
        <v>6855</v>
      </c>
      <c r="AH561" s="31">
        <f t="shared" si="1115"/>
        <v>9569</v>
      </c>
      <c r="AI561" s="31">
        <f t="shared" ref="AI561:BD561" si="1116">AI697</f>
        <v>9151</v>
      </c>
      <c r="AJ561" s="825">
        <f t="shared" si="1116"/>
        <v>30618</v>
      </c>
      <c r="AK561" s="31">
        <f t="shared" si="1116"/>
        <v>5057</v>
      </c>
      <c r="AL561" s="31">
        <f t="shared" si="1116"/>
        <v>8783</v>
      </c>
      <c r="AM561" s="31">
        <f t="shared" si="1116"/>
        <v>7817</v>
      </c>
      <c r="AN561" s="31">
        <f t="shared" si="1116"/>
        <v>5657</v>
      </c>
      <c r="AO561" s="825">
        <f t="shared" si="1116"/>
        <v>27314</v>
      </c>
      <c r="AP561" s="31">
        <f t="shared" si="1116"/>
        <v>4722</v>
      </c>
      <c r="AQ561" s="31">
        <f t="shared" si="1116"/>
        <v>80</v>
      </c>
      <c r="AR561" s="31">
        <f t="shared" si="1116"/>
        <v>3537</v>
      </c>
      <c r="AS561" s="31">
        <f t="shared" si="1116"/>
        <v>2238</v>
      </c>
      <c r="AT561" s="825">
        <f t="shared" si="1116"/>
        <v>10577</v>
      </c>
      <c r="AU561" s="31">
        <f t="shared" si="1116"/>
        <v>4196</v>
      </c>
      <c r="AV561" s="31">
        <f t="shared" si="1116"/>
        <v>6954</v>
      </c>
      <c r="AW561" s="31">
        <f t="shared" si="1116"/>
        <v>8579</v>
      </c>
      <c r="AX561" s="31">
        <f t="shared" si="1116"/>
        <v>9458</v>
      </c>
      <c r="AY561" s="825">
        <f t="shared" si="1116"/>
        <v>29187</v>
      </c>
      <c r="AZ561" s="31">
        <f t="shared" si="1116"/>
        <v>8055</v>
      </c>
      <c r="BA561" s="31">
        <f t="shared" si="1116"/>
        <v>13782</v>
      </c>
      <c r="BB561" s="31">
        <f t="shared" si="1116"/>
        <v>15267</v>
      </c>
      <c r="BC561" s="31">
        <f t="shared" si="1116"/>
        <v>12498</v>
      </c>
      <c r="BD561" s="825">
        <f t="shared" si="1116"/>
        <v>49602</v>
      </c>
      <c r="BE561" s="31">
        <f>BE697</f>
        <v>7205</v>
      </c>
      <c r="BF561" s="31">
        <f>BF697</f>
        <v>6297</v>
      </c>
      <c r="BG561" s="31">
        <f>BG697</f>
        <v>9673</v>
      </c>
      <c r="BH561" s="26">
        <f t="shared" ref="BH561:BI561" si="1117">BH697</f>
        <v>12434</v>
      </c>
      <c r="BI561" s="826">
        <f t="shared" si="1117"/>
        <v>35609</v>
      </c>
      <c r="BJ561" s="26">
        <f>BJ697</f>
        <v>6828</v>
      </c>
      <c r="BK561" s="26">
        <f t="shared" ref="BK561" si="1118">BK697</f>
        <v>6295</v>
      </c>
      <c r="BL561" s="31">
        <f t="shared" ref="BL561:BN561" si="1119">BL697</f>
        <v>9674</v>
      </c>
      <c r="BM561" s="26">
        <f t="shared" si="1119"/>
        <v>8695</v>
      </c>
      <c r="BN561" s="826">
        <f t="shared" si="1119"/>
        <v>31492</v>
      </c>
      <c r="BO561" s="26">
        <f t="shared" ref="BO561" si="1120">BO697</f>
        <v>5189</v>
      </c>
      <c r="BP561" s="26">
        <f t="shared" ref="BP561" si="1121">BP697</f>
        <v>8576</v>
      </c>
      <c r="BQ561" s="31">
        <f>BQ697</f>
        <v>9385</v>
      </c>
      <c r="BR561" s="26">
        <f t="shared" ref="BR561:BS561" si="1122">BR697</f>
        <v>10789</v>
      </c>
      <c r="BS561" s="826">
        <f t="shared" si="1122"/>
        <v>33939</v>
      </c>
      <c r="BT561" s="379">
        <f t="shared" ref="BT561" si="1123">BT697</f>
        <v>2514</v>
      </c>
      <c r="BU561" s="31">
        <f t="shared" ref="BU561:CF561" si="1124">BU697</f>
        <v>15186.854767698625</v>
      </c>
      <c r="BV561" s="31">
        <f t="shared" ca="1" si="1124"/>
        <v>11638.625420904107</v>
      </c>
      <c r="BW561" s="31">
        <f t="shared" ca="1" si="1124"/>
        <v>11332.36695090411</v>
      </c>
      <c r="BX561" s="825">
        <f t="shared" ca="1" si="1124"/>
        <v>40671.847139506841</v>
      </c>
      <c r="BY561" s="31">
        <f t="shared" ca="1" si="1124"/>
        <v>12196.860269315066</v>
      </c>
      <c r="BZ561" s="31">
        <f t="shared" ca="1" si="1124"/>
        <v>12714.108831913014</v>
      </c>
      <c r="CA561" s="31">
        <f t="shared" ca="1" si="1124"/>
        <v>12883.938858610953</v>
      </c>
      <c r="CB561" s="31">
        <f t="shared" ca="1" si="1124"/>
        <v>12790.883953810957</v>
      </c>
      <c r="CC561" s="825">
        <f t="shared" ca="1" si="1124"/>
        <v>50585.791913649991</v>
      </c>
      <c r="CD561" s="825">
        <f t="shared" ca="1" si="1124"/>
        <v>49927.821157500002</v>
      </c>
      <c r="CE561" s="825">
        <f t="shared" ca="1" si="1124"/>
        <v>48642.951027750001</v>
      </c>
      <c r="CF561" s="825">
        <f t="shared" ca="1" si="1124"/>
        <v>42776.002814999993</v>
      </c>
      <c r="CG561" s="22"/>
    </row>
    <row r="562" spans="1:85" s="437" customFormat="1" hidden="1" outlineLevel="1" x14ac:dyDescent="0.3">
      <c r="A562" s="418" t="s">
        <v>226</v>
      </c>
      <c r="B562" s="111"/>
      <c r="C562" s="914">
        <f t="shared" ref="C562:AH562" si="1125">C559/C536</f>
        <v>10.831584207896052</v>
      </c>
      <c r="D562" s="914">
        <f t="shared" si="1125"/>
        <v>15.588019382609177</v>
      </c>
      <c r="E562" s="915">
        <f t="shared" si="1125"/>
        <v>19.380892999497696</v>
      </c>
      <c r="F562" s="915">
        <f t="shared" si="1125"/>
        <v>19.569361065374562</v>
      </c>
      <c r="G562" s="113">
        <f t="shared" si="1125"/>
        <v>4.6678611535080208</v>
      </c>
      <c r="H562" s="113">
        <f t="shared" si="1125"/>
        <v>3.9627567982577299</v>
      </c>
      <c r="I562" s="113">
        <f t="shared" si="1125"/>
        <v>5.1242829035288588</v>
      </c>
      <c r="J562" s="113">
        <f t="shared" si="1125"/>
        <v>5.0512576302906647</v>
      </c>
      <c r="K562" s="915">
        <f t="shared" si="1125"/>
        <v>18.802075975228639</v>
      </c>
      <c r="L562" s="113">
        <f t="shared" si="1125"/>
        <v>4.2080753148593502</v>
      </c>
      <c r="M562" s="113">
        <f t="shared" si="1125"/>
        <v>4.7331654331734763</v>
      </c>
      <c r="N562" s="113">
        <f t="shared" si="1125"/>
        <v>4.3844107963545325</v>
      </c>
      <c r="O562" s="113">
        <f t="shared" si="1125"/>
        <v>3.5362195736999973</v>
      </c>
      <c r="P562" s="915">
        <f t="shared" si="1125"/>
        <v>16.868670955273128</v>
      </c>
      <c r="Q562" s="113">
        <f t="shared" si="1125"/>
        <v>2.2936342058451435</v>
      </c>
      <c r="R562" s="113">
        <f t="shared" si="1125"/>
        <v>3.8684822601314539</v>
      </c>
      <c r="S562" s="113">
        <f t="shared" si="1125"/>
        <v>3.0206898025015754</v>
      </c>
      <c r="T562" s="113">
        <f t="shared" si="1125"/>
        <v>2.2488239691022791</v>
      </c>
      <c r="U562" s="915">
        <f t="shared" si="1125"/>
        <v>11.432176817668113</v>
      </c>
      <c r="V562" s="113">
        <f t="shared" si="1125"/>
        <v>1.1413137944405074</v>
      </c>
      <c r="W562" s="113">
        <f t="shared" si="1125"/>
        <v>1.9385735538823556</v>
      </c>
      <c r="X562" s="113">
        <f t="shared" si="1125"/>
        <v>2.3819359415337202</v>
      </c>
      <c r="Y562" s="113">
        <f t="shared" si="1125"/>
        <v>1.665040602229366</v>
      </c>
      <c r="Z562" s="915">
        <f t="shared" si="1125"/>
        <v>7.1529681133325749</v>
      </c>
      <c r="AA562" s="113">
        <f t="shared" si="1125"/>
        <v>2.5514497521094568</v>
      </c>
      <c r="AB562" s="113">
        <f t="shared" si="1125"/>
        <v>2.7876180524813869</v>
      </c>
      <c r="AC562" s="113">
        <f t="shared" si="1125"/>
        <v>2.5671469539986465</v>
      </c>
      <c r="AD562" s="113">
        <f t="shared" si="1125"/>
        <v>2.6540464371564405</v>
      </c>
      <c r="AE562" s="915">
        <f t="shared" si="1125"/>
        <v>10.559997639164159</v>
      </c>
      <c r="AF562" s="113">
        <f t="shared" si="1125"/>
        <v>3.7355910304000903</v>
      </c>
      <c r="AG562" s="113">
        <f t="shared" si="1125"/>
        <v>3.6676326468290714</v>
      </c>
      <c r="AH562" s="113">
        <f t="shared" si="1125"/>
        <v>4.7792043073335027</v>
      </c>
      <c r="AI562" s="113">
        <f t="shared" ref="AI562:AY562" si="1126">AI559/AI536</f>
        <v>4.1886425745861047</v>
      </c>
      <c r="AJ562" s="915">
        <f t="shared" si="1126"/>
        <v>16.371080613570715</v>
      </c>
      <c r="AK562" s="113">
        <f t="shared" si="1126"/>
        <v>3.2971230273555463</v>
      </c>
      <c r="AL562" s="113">
        <f t="shared" si="1126"/>
        <v>4.1261665274987553</v>
      </c>
      <c r="AM562" s="113">
        <f t="shared" si="1126"/>
        <v>3.3855563675071068</v>
      </c>
      <c r="AN562" s="113">
        <f t="shared" si="1126"/>
        <v>2.8248421608093075</v>
      </c>
      <c r="AO562" s="915">
        <f t="shared" si="1126"/>
        <v>13.624423916932173</v>
      </c>
      <c r="AP562" s="113">
        <f t="shared" si="1126"/>
        <v>3.1184858459442264</v>
      </c>
      <c r="AQ562" s="113">
        <f t="shared" si="1126"/>
        <v>-0.3469462524678778</v>
      </c>
      <c r="AR562" s="113">
        <f>AR559/AR536</f>
        <v>1.7183400565298812</v>
      </c>
      <c r="AS562" s="113">
        <f t="shared" ref="AS562:AU562" si="1127">AS559/AS536</f>
        <v>2.0248869015095847</v>
      </c>
      <c r="AT562" s="915">
        <f t="shared" si="1127"/>
        <v>6.5394777722460686</v>
      </c>
      <c r="AU562" s="113">
        <f t="shared" si="1127"/>
        <v>2.6609057205297386</v>
      </c>
      <c r="AV562" s="113">
        <f>AV559/AV536</f>
        <v>3.6858245601620845</v>
      </c>
      <c r="AW562" s="113">
        <f>AW559/AW536</f>
        <v>4.6879514027156386</v>
      </c>
      <c r="AX562" s="113">
        <f t="shared" si="1126"/>
        <v>4.8697193980277635</v>
      </c>
      <c r="AY562" s="915">
        <f t="shared" si="1126"/>
        <v>15.908138157295179</v>
      </c>
      <c r="AZ562" s="113">
        <f t="shared" ref="AZ562:BG562" si="1128">AZ559/AZ536</f>
        <v>4.6242251388758895</v>
      </c>
      <c r="BA562" s="113">
        <f t="shared" si="1128"/>
        <v>6.7701901120479242</v>
      </c>
      <c r="BB562" s="113">
        <f t="shared" si="1128"/>
        <v>7.0566937559858189</v>
      </c>
      <c r="BC562" s="113">
        <f t="shared" si="1128"/>
        <v>6.0138634006535288</v>
      </c>
      <c r="BD562" s="915">
        <f t="shared" si="1128"/>
        <v>24.469186616137797</v>
      </c>
      <c r="BE562" s="113">
        <f t="shared" si="1128"/>
        <v>4.7454078183487347</v>
      </c>
      <c r="BF562" s="113">
        <f t="shared" si="1128"/>
        <v>5.0279710883664581</v>
      </c>
      <c r="BG562" s="113">
        <f t="shared" si="1128"/>
        <v>4.7445426571996006</v>
      </c>
      <c r="BH562" s="561">
        <f t="shared" ref="BH562:BJ562" si="1129">BH559/BH536</f>
        <v>6.1227952878350793</v>
      </c>
      <c r="BI562" s="916">
        <f t="shared" si="1129"/>
        <v>20.631737264180796</v>
      </c>
      <c r="BJ562" s="561">
        <f t="shared" si="1129"/>
        <v>4.3112492672174163</v>
      </c>
      <c r="BK562" s="561">
        <f t="shared" ref="BK562" si="1130">BK559/BK536</f>
        <v>4.7593828183334956</v>
      </c>
      <c r="BL562" s="113">
        <f t="shared" ref="BL562:BX562" si="1131">BL559/BL536</f>
        <v>4.5771237887583496</v>
      </c>
      <c r="BM562" s="561">
        <f t="shared" si="1131"/>
        <v>2.9886922558437599</v>
      </c>
      <c r="BN562" s="916">
        <f t="shared" si="1131"/>
        <v>16.669033723402265</v>
      </c>
      <c r="BO562" s="561">
        <f t="shared" ref="BO562" si="1132">BO559/BO536</f>
        <v>4.3375711771050236</v>
      </c>
      <c r="BP562" s="561">
        <f t="shared" ref="BP562" si="1133">BP559/BP536</f>
        <v>4.8121169313099017</v>
      </c>
      <c r="BQ562" s="113">
        <f>BQ559/BQ536</f>
        <v>5.1078218017661552</v>
      </c>
      <c r="BR562" s="561">
        <f t="shared" ref="BR562:BS562" si="1134">BR559/BR536</f>
        <v>4.5628808242830186</v>
      </c>
      <c r="BS562" s="916">
        <f t="shared" si="1134"/>
        <v>18.832885957760059</v>
      </c>
      <c r="BT562" s="675">
        <f t="shared" ref="BT562" si="1135">BT559/BT536</f>
        <v>3.5948436477164005</v>
      </c>
      <c r="BU562" s="113">
        <f ca="1">BU559/BU536</f>
        <v>7.6286625193806454</v>
      </c>
      <c r="BV562" s="113">
        <f ca="1">BV559/BV536</f>
        <v>5.8657307701466799</v>
      </c>
      <c r="BW562" s="113">
        <f ca="1">BW559/BW536</f>
        <v>5.7113800915974364</v>
      </c>
      <c r="BX562" s="915">
        <f t="shared" ca="1" si="1131"/>
        <v>22.767848354335033</v>
      </c>
      <c r="BY562" s="113">
        <f t="shared" ref="BY562:CF562" ca="1" si="1136">BY559/BY536</f>
        <v>6.1470745894443688</v>
      </c>
      <c r="BZ562" s="113">
        <f t="shared" ca="1" si="1136"/>
        <v>6.4077618011829207</v>
      </c>
      <c r="CA562" s="113">
        <f t="shared" ca="1" si="1136"/>
        <v>6.4933541436865037</v>
      </c>
      <c r="CB562" s="113">
        <f t="shared" ca="1" si="1136"/>
        <v>6.4464555625690094</v>
      </c>
      <c r="CC562" s="915">
        <f t="shared" ca="1" si="1136"/>
        <v>25.494646096882796</v>
      </c>
      <c r="CD562" s="915">
        <f t="shared" ca="1" si="1136"/>
        <v>25.163036549309112</v>
      </c>
      <c r="CE562" s="915">
        <f t="shared" ca="1" si="1136"/>
        <v>24.515477066710741</v>
      </c>
      <c r="CF562" s="915">
        <f t="shared" ca="1" si="1136"/>
        <v>21.558603946919977</v>
      </c>
      <c r="CG562" s="24"/>
    </row>
    <row r="563" spans="1:85" s="437" customFormat="1" collapsed="1" x14ac:dyDescent="0.3">
      <c r="A563" s="418" t="s">
        <v>710</v>
      </c>
      <c r="B563" s="111"/>
      <c r="C563" s="914">
        <f t="shared" ref="C563:AH563" si="1137">C561/C536</f>
        <v>9.6816591704147932</v>
      </c>
      <c r="D563" s="914">
        <f t="shared" si="1137"/>
        <v>15.625895508738671</v>
      </c>
      <c r="E563" s="915">
        <f t="shared" si="1137"/>
        <v>20.539438270478836</v>
      </c>
      <c r="F563" s="915">
        <f t="shared" si="1137"/>
        <v>19.754116925519973</v>
      </c>
      <c r="G563" s="113">
        <f t="shared" si="1137"/>
        <v>2.9394047422465097</v>
      </c>
      <c r="H563" s="113">
        <f t="shared" si="1137"/>
        <v>4.3990472861440857</v>
      </c>
      <c r="I563" s="113">
        <f t="shared" si="1137"/>
        <v>5.3455458016790072</v>
      </c>
      <c r="J563" s="113">
        <f t="shared" si="1137"/>
        <v>5.4456673287053148</v>
      </c>
      <c r="K563" s="915">
        <f t="shared" si="1137"/>
        <v>18.113292689427048</v>
      </c>
      <c r="L563" s="113">
        <f t="shared" si="1137"/>
        <v>4.4081356471899378</v>
      </c>
      <c r="M563" s="113">
        <f t="shared" si="1137"/>
        <v>4.1428339381208534</v>
      </c>
      <c r="N563" s="113">
        <f t="shared" si="1137"/>
        <v>4.576871402568532</v>
      </c>
      <c r="O563" s="113">
        <f t="shared" si="1137"/>
        <v>3.4491545669312238</v>
      </c>
      <c r="P563" s="915">
        <f t="shared" si="1137"/>
        <v>16.584145504208081</v>
      </c>
      <c r="Q563" s="113">
        <f t="shared" si="1137"/>
        <v>1.2358126680657266</v>
      </c>
      <c r="R563" s="113">
        <f t="shared" si="1137"/>
        <v>3.8471683082849997</v>
      </c>
      <c r="S563" s="113">
        <f t="shared" si="1137"/>
        <v>2.8626056119887631</v>
      </c>
      <c r="T563" s="113">
        <f t="shared" si="1137"/>
        <v>2.4312908249582645</v>
      </c>
      <c r="U563" s="915">
        <f t="shared" si="1137"/>
        <v>10.376693826197846</v>
      </c>
      <c r="V563" s="113">
        <f t="shared" si="1137"/>
        <v>0.61023385166664434</v>
      </c>
      <c r="W563" s="113">
        <f t="shared" si="1137"/>
        <v>1.3520335257305709</v>
      </c>
      <c r="X563" s="113">
        <f t="shared" si="1137"/>
        <v>2.8199870230685664</v>
      </c>
      <c r="Y563" s="113">
        <f t="shared" si="1137"/>
        <v>2.0438677618087198</v>
      </c>
      <c r="Z563" s="915">
        <f t="shared" si="1137"/>
        <v>6.8592884729673234</v>
      </c>
      <c r="AA563" s="113">
        <f t="shared" si="1137"/>
        <v>2.0465412713880444</v>
      </c>
      <c r="AB563" s="113">
        <f t="shared" si="1137"/>
        <v>2.6603078476968478</v>
      </c>
      <c r="AC563" s="113">
        <f t="shared" si="1137"/>
        <v>2.8324592444981986</v>
      </c>
      <c r="AD563" s="113">
        <f t="shared" si="1137"/>
        <v>3.2683750352806133</v>
      </c>
      <c r="AE563" s="915">
        <f t="shared" si="1137"/>
        <v>10.810836447300399</v>
      </c>
      <c r="AF563" s="113">
        <f t="shared" si="1137"/>
        <v>2.6358731728428229</v>
      </c>
      <c r="AG563" s="113">
        <f t="shared" si="1137"/>
        <v>3.5722679445884178</v>
      </c>
      <c r="AH563" s="113">
        <f t="shared" si="1137"/>
        <v>4.9904196875681235</v>
      </c>
      <c r="AI563" s="113">
        <f t="shared" ref="AI563:BD563" si="1138">AI561/AI536</f>
        <v>4.7990820333088076</v>
      </c>
      <c r="AJ563" s="915">
        <f t="shared" si="1138"/>
        <v>15.995970967140291</v>
      </c>
      <c r="AK563" s="113">
        <f t="shared" si="1138"/>
        <v>2.6605315381102597</v>
      </c>
      <c r="AL563" s="113">
        <f t="shared" si="1138"/>
        <v>4.6153999759324469</v>
      </c>
      <c r="AM563" s="113">
        <f t="shared" si="1138"/>
        <v>4.1274008304433956</v>
      </c>
      <c r="AN563" s="113">
        <f t="shared" si="1138"/>
        <v>3.0213900744371811</v>
      </c>
      <c r="AO563" s="915">
        <f t="shared" si="1138"/>
        <v>14.412762001049007</v>
      </c>
      <c r="AP563" s="113">
        <f t="shared" si="1138"/>
        <v>2.5310227164916874</v>
      </c>
      <c r="AQ563" s="113">
        <f t="shared" si="1138"/>
        <v>4.3165941209067221E-2</v>
      </c>
      <c r="AR563" s="113">
        <f t="shared" si="1138"/>
        <v>1.9082476546141882</v>
      </c>
      <c r="AS563" s="113">
        <f t="shared" si="1138"/>
        <v>1.1712837646881498</v>
      </c>
      <c r="AT563" s="915">
        <f t="shared" si="1138"/>
        <v>5.6560680674664052</v>
      </c>
      <c r="AU563" s="113">
        <f t="shared" si="1138"/>
        <v>2.1901060030095691</v>
      </c>
      <c r="AV563" s="113">
        <f t="shared" si="1138"/>
        <v>3.618185204879607</v>
      </c>
      <c r="AW563" s="113">
        <f t="shared" si="1138"/>
        <v>4.4656823322115775</v>
      </c>
      <c r="AX563" s="113">
        <f t="shared" si="1138"/>
        <v>4.9207057763404469</v>
      </c>
      <c r="AY563" s="915">
        <f t="shared" si="1138"/>
        <v>15.199385504680318</v>
      </c>
      <c r="AZ563" s="113">
        <f t="shared" si="1138"/>
        <v>4.1423636002719411</v>
      </c>
      <c r="BA563" s="113">
        <f t="shared" si="1138"/>
        <v>7.0420196320184516</v>
      </c>
      <c r="BB563" s="113">
        <f t="shared" si="1138"/>
        <v>7.8695795158974065</v>
      </c>
      <c r="BC563" s="113">
        <f t="shared" si="1138"/>
        <v>6.510287118351477</v>
      </c>
      <c r="BD563" s="915">
        <f t="shared" si="1138"/>
        <v>25.564391063750175</v>
      </c>
      <c r="BE563" s="113">
        <f>BE561/BE536</f>
        <v>3.7905391719736845</v>
      </c>
      <c r="BF563" s="113">
        <f>BF561/BF536</f>
        <v>3.3574903439494794</v>
      </c>
      <c r="BG563" s="113">
        <f>BG561/BG536</f>
        <v>5.1531508110365758</v>
      </c>
      <c r="BH563" s="561">
        <f t="shared" ref="BH563:BI563" si="1139">BH561/BH536</f>
        <v>6.6559570387254219</v>
      </c>
      <c r="BI563" s="916">
        <f t="shared" si="1139"/>
        <v>18.937864933758156</v>
      </c>
      <c r="BJ563" s="561">
        <f>BJ561/BJ536</f>
        <v>3.6925752629905317</v>
      </c>
      <c r="BK563" s="561">
        <f t="shared" ref="BK563" si="1140">BK561/BK536</f>
        <v>3.433453454206894</v>
      </c>
      <c r="BL563" s="113">
        <f t="shared" ref="BL563:BN563" si="1141">BL561/BL536</f>
        <v>5.3535359125194377</v>
      </c>
      <c r="BM563" s="561">
        <f t="shared" si="1141"/>
        <v>4.8920706258587145</v>
      </c>
      <c r="BN563" s="916">
        <f t="shared" si="1141"/>
        <v>17.335662957543811</v>
      </c>
      <c r="BO563" s="561">
        <f t="shared" ref="BO563" si="1142">BO561/BO536</f>
        <v>2.9627032826112898</v>
      </c>
      <c r="BP563" s="561">
        <f t="shared" ref="BP563" si="1143">BP561/BP536</f>
        <v>4.973332707027442</v>
      </c>
      <c r="BQ563" s="113">
        <f>BQ561/BQ536</f>
        <v>4.8226265200780043</v>
      </c>
      <c r="BR563" s="561">
        <f t="shared" ref="BR563:BS563" si="1144">BR561/BR536</f>
        <v>5.4026471919654844</v>
      </c>
      <c r="BS563" s="916">
        <f t="shared" si="1144"/>
        <v>18.289676267502749</v>
      </c>
      <c r="BT563" s="675">
        <f t="shared" ref="BT563" si="1145">BT561/BT536</f>
        <v>1.2659247696258622</v>
      </c>
      <c r="BU563" s="113">
        <f t="shared" ref="BU563:CF563" ca="1" si="1146">BU561/BU536</f>
        <v>7.6286625193806454</v>
      </c>
      <c r="BV563" s="113">
        <f t="shared" ca="1" si="1146"/>
        <v>5.8657307701466799</v>
      </c>
      <c r="BW563" s="113">
        <f t="shared" ca="1" si="1146"/>
        <v>5.7113800915974364</v>
      </c>
      <c r="BX563" s="915">
        <f t="shared" ca="1" si="1146"/>
        <v>20.443154577867791</v>
      </c>
      <c r="BY563" s="113">
        <f t="shared" ca="1" si="1146"/>
        <v>6.1470745894443688</v>
      </c>
      <c r="BZ563" s="113">
        <f t="shared" ca="1" si="1146"/>
        <v>6.4077618011829207</v>
      </c>
      <c r="CA563" s="113">
        <f t="shared" ca="1" si="1146"/>
        <v>6.4933541436865037</v>
      </c>
      <c r="CB563" s="113">
        <f t="shared" ca="1" si="1146"/>
        <v>6.4464555625690094</v>
      </c>
      <c r="CC563" s="915">
        <f t="shared" ca="1" si="1146"/>
        <v>25.494646096882796</v>
      </c>
      <c r="CD563" s="915">
        <f t="shared" ca="1" si="1146"/>
        <v>25.163036549309112</v>
      </c>
      <c r="CE563" s="915">
        <f t="shared" ca="1" si="1146"/>
        <v>24.515477066710741</v>
      </c>
      <c r="CF563" s="915">
        <f t="shared" ca="1" si="1146"/>
        <v>21.558603946919977</v>
      </c>
      <c r="CG563" s="24"/>
    </row>
    <row r="564" spans="1:85" s="439" customFormat="1" x14ac:dyDescent="0.3">
      <c r="A564" s="88" t="s">
        <v>715</v>
      </c>
      <c r="B564" s="112"/>
      <c r="C564" s="903"/>
      <c r="D564" s="903"/>
      <c r="E564" s="903"/>
      <c r="F564" s="903"/>
      <c r="G564" s="89"/>
      <c r="H564" s="89"/>
      <c r="I564" s="89"/>
      <c r="J564" s="89"/>
      <c r="K564" s="903"/>
      <c r="L564" s="89"/>
      <c r="M564" s="89"/>
      <c r="N564" s="89"/>
      <c r="O564" s="89"/>
      <c r="P564" s="903"/>
      <c r="Q564" s="89"/>
      <c r="R564" s="89"/>
      <c r="S564" s="89"/>
      <c r="T564" s="89"/>
      <c r="U564" s="903"/>
      <c r="V564" s="89"/>
      <c r="W564" s="230"/>
      <c r="X564" s="89"/>
      <c r="Y564" s="230"/>
      <c r="Z564" s="904"/>
      <c r="AA564" s="89"/>
      <c r="AB564" s="230"/>
      <c r="AC564" s="89"/>
      <c r="AD564" s="230"/>
      <c r="AE564" s="904"/>
      <c r="AF564" s="89"/>
      <c r="AG564" s="230"/>
      <c r="AH564" s="89"/>
      <c r="AI564" s="230"/>
      <c r="AJ564" s="904"/>
      <c r="AK564" s="89"/>
      <c r="AL564" s="230"/>
      <c r="AM564" s="89"/>
      <c r="AN564" s="230"/>
      <c r="AO564" s="904"/>
      <c r="AP564" s="89"/>
      <c r="AQ564" s="230"/>
      <c r="AR564" s="89"/>
      <c r="AS564" s="230"/>
      <c r="AT564" s="904"/>
      <c r="AU564" s="89"/>
      <c r="AV564" s="230"/>
      <c r="AW564" s="89"/>
      <c r="AX564" s="312"/>
      <c r="AY564" s="904"/>
      <c r="AZ564" s="89"/>
      <c r="BA564" s="230"/>
      <c r="BB564" s="312"/>
      <c r="BC564" s="312"/>
      <c r="BD564" s="904"/>
      <c r="BE564" s="312"/>
      <c r="BF564" s="312"/>
      <c r="BG564" s="312"/>
      <c r="BH564" s="312"/>
      <c r="BI564" s="904"/>
      <c r="BJ564" s="312"/>
      <c r="BK564" s="312"/>
      <c r="BL564" s="312"/>
      <c r="BM564" s="312"/>
      <c r="BN564" s="904"/>
      <c r="BO564" s="312"/>
      <c r="BP564" s="312"/>
      <c r="BQ564" s="312"/>
      <c r="BR564" s="312"/>
      <c r="BS564" s="904"/>
      <c r="BT564" s="676"/>
      <c r="BU564" s="312" t="str">
        <f t="shared" ref="BU564:CC564" ca="1" si="1147">IFERROR(VLOOKUP($A564,tb_ConsensusEstimate,MATCH(BU$5,OFFSET(tb_ConsensusEstimate,0,0,1,COLUMNS(tb_ConsensusEstimate)),0),FALSE),"-")</f>
        <v>n/a</v>
      </c>
      <c r="BV564" s="312" t="str">
        <f t="shared" ca="1" si="1147"/>
        <v>n/a</v>
      </c>
      <c r="BW564" s="312" t="str">
        <f t="shared" ca="1" si="1147"/>
        <v>n/a</v>
      </c>
      <c r="BX564" s="904" t="str">
        <f t="shared" ca="1" si="1147"/>
        <v>n/a</v>
      </c>
      <c r="BY564" s="312" t="str">
        <f t="shared" ca="1" si="1147"/>
        <v>n/a</v>
      </c>
      <c r="BZ564" s="312" t="str">
        <f t="shared" ca="1" si="1147"/>
        <v>n/a</v>
      </c>
      <c r="CA564" s="312" t="str">
        <f t="shared" ca="1" si="1147"/>
        <v>n/a</v>
      </c>
      <c r="CB564" s="312" t="str">
        <f t="shared" ca="1" si="1147"/>
        <v>n/a</v>
      </c>
      <c r="CC564" s="904" t="str">
        <f t="shared" ca="1" si="1147"/>
        <v>n/a</v>
      </c>
      <c r="CD564" s="904" t="str">
        <f ca="1">IFERROR(VLOOKUP($A564,tb_ConsensusEstimate,MATCH(CD5,OFFSET(tb_ConsensusEstimate,0,0,1,COLUMNS(tb_ConsensusEstimate)),0),FALSE),"-")</f>
        <v>n/a</v>
      </c>
      <c r="CE564" s="904" t="str">
        <f ca="1">IFERROR(VLOOKUP($A564,tb_ConsensusEstimate,MATCH(CE5,OFFSET(tb_ConsensusEstimate,0,0,1,COLUMNS(tb_ConsensusEstimate)),0),FALSE),"-")</f>
        <v>n/a</v>
      </c>
      <c r="CF564" s="904" t="str">
        <f ca="1">IFERROR(VLOOKUP($A564,tb_ConsensusEstimate,MATCH(CF5,OFFSET(tb_ConsensusEstimate,0,0,1,COLUMNS(tb_ConsensusEstimate)),0),FALSE),"-")</f>
        <v>n/a</v>
      </c>
      <c r="CG564" s="89"/>
    </row>
    <row r="565" spans="1:85" s="429" customFormat="1" x14ac:dyDescent="0.3">
      <c r="A565" s="395" t="s">
        <v>227</v>
      </c>
      <c r="B565" s="58"/>
      <c r="C565" s="825">
        <f t="shared" ref="C565:AH565" si="1148">C702</f>
        <v>-19843</v>
      </c>
      <c r="D565" s="825">
        <f t="shared" si="1148"/>
        <v>-19612</v>
      </c>
      <c r="E565" s="825">
        <f t="shared" si="1148"/>
        <v>-26500</v>
      </c>
      <c r="F565" s="825">
        <f t="shared" si="1148"/>
        <v>-30938</v>
      </c>
      <c r="G565" s="31">
        <f t="shared" si="1148"/>
        <v>-8192</v>
      </c>
      <c r="H565" s="31">
        <f t="shared" si="1148"/>
        <v>-8573</v>
      </c>
      <c r="I565" s="31">
        <f t="shared" si="1148"/>
        <v>-9607</v>
      </c>
      <c r="J565" s="31">
        <f t="shared" si="1148"/>
        <v>-11613</v>
      </c>
      <c r="K565" s="825">
        <f t="shared" si="1148"/>
        <v>-37985</v>
      </c>
      <c r="L565" s="31">
        <f t="shared" si="1148"/>
        <v>-8544</v>
      </c>
      <c r="M565" s="31">
        <f t="shared" si="1148"/>
        <v>-8931</v>
      </c>
      <c r="N565" s="31">
        <f t="shared" si="1148"/>
        <v>-8264</v>
      </c>
      <c r="O565" s="31">
        <f t="shared" si="1148"/>
        <v>-9668</v>
      </c>
      <c r="P565" s="825">
        <f t="shared" si="1148"/>
        <v>-35407</v>
      </c>
      <c r="Q565" s="31">
        <f t="shared" si="1148"/>
        <v>-7602</v>
      </c>
      <c r="R565" s="31">
        <f t="shared" si="1148"/>
        <v>-7643</v>
      </c>
      <c r="S565" s="31">
        <f t="shared" si="1148"/>
        <v>-6810</v>
      </c>
      <c r="T565" s="31">
        <f t="shared" si="1148"/>
        <v>-7449</v>
      </c>
      <c r="U565" s="825">
        <f t="shared" si="1148"/>
        <v>-29504</v>
      </c>
      <c r="V565" s="31">
        <f t="shared" si="1148"/>
        <v>-5566</v>
      </c>
      <c r="W565" s="31">
        <f t="shared" si="1148"/>
        <v>-4469</v>
      </c>
      <c r="X565" s="31">
        <f t="shared" si="1148"/>
        <v>-4065</v>
      </c>
      <c r="Y565" s="31">
        <f t="shared" si="1148"/>
        <v>-4009</v>
      </c>
      <c r="Z565" s="825">
        <f t="shared" si="1148"/>
        <v>-18109</v>
      </c>
      <c r="AA565" s="31">
        <f t="shared" si="1148"/>
        <v>-3315</v>
      </c>
      <c r="AB565" s="31">
        <f t="shared" si="1148"/>
        <v>-3224</v>
      </c>
      <c r="AC565" s="31">
        <f t="shared" si="1148"/>
        <v>-3224</v>
      </c>
      <c r="AD565" s="31">
        <f t="shared" si="1148"/>
        <v>-3641</v>
      </c>
      <c r="AE565" s="825">
        <f t="shared" si="1148"/>
        <v>-13404</v>
      </c>
      <c r="AF565" s="31">
        <f t="shared" si="1148"/>
        <v>-2997</v>
      </c>
      <c r="AG565" s="31">
        <f t="shared" si="1148"/>
        <v>-3226</v>
      </c>
      <c r="AH565" s="31">
        <f t="shared" si="1148"/>
        <v>-3578</v>
      </c>
      <c r="AI565" s="31">
        <f t="shared" ref="AI565:BT565" si="1149">AI702</f>
        <v>-3991</v>
      </c>
      <c r="AJ565" s="825">
        <f t="shared" si="1149"/>
        <v>-13792</v>
      </c>
      <c r="AK565" s="31">
        <f t="shared" si="1149"/>
        <v>-2953</v>
      </c>
      <c r="AL565" s="31">
        <f t="shared" si="1149"/>
        <v>-3584</v>
      </c>
      <c r="AM565" s="31">
        <f t="shared" si="1149"/>
        <v>-3369</v>
      </c>
      <c r="AN565" s="31">
        <f t="shared" si="1149"/>
        <v>-4210</v>
      </c>
      <c r="AO565" s="825">
        <f t="shared" si="1149"/>
        <v>-14116</v>
      </c>
      <c r="AP565" s="31">
        <f t="shared" si="1149"/>
        <v>-3133</v>
      </c>
      <c r="AQ565" s="31">
        <f t="shared" si="1149"/>
        <v>-2092</v>
      </c>
      <c r="AR565" s="31">
        <f t="shared" si="1149"/>
        <v>-1630</v>
      </c>
      <c r="AS565" s="31">
        <f t="shared" si="1149"/>
        <v>-2067</v>
      </c>
      <c r="AT565" s="825">
        <f t="shared" si="1149"/>
        <v>-8922</v>
      </c>
      <c r="AU565" s="31">
        <f t="shared" si="1149"/>
        <v>-1746</v>
      </c>
      <c r="AV565" s="31">
        <f t="shared" si="1149"/>
        <v>-1797</v>
      </c>
      <c r="AW565" s="31">
        <f t="shared" si="1149"/>
        <v>-1907</v>
      </c>
      <c r="AX565" s="31">
        <f t="shared" si="1149"/>
        <v>-2606</v>
      </c>
      <c r="AY565" s="825">
        <f t="shared" si="1149"/>
        <v>-8056</v>
      </c>
      <c r="AZ565" s="31">
        <f t="shared" si="1149"/>
        <v>-1960</v>
      </c>
      <c r="BA565" s="31">
        <f t="shared" si="1149"/>
        <v>-3184</v>
      </c>
      <c r="BB565" s="31">
        <f t="shared" si="1149"/>
        <v>-2995</v>
      </c>
      <c r="BC565" s="31">
        <f t="shared" si="1149"/>
        <v>-3835</v>
      </c>
      <c r="BD565" s="825">
        <f t="shared" si="1149"/>
        <v>-11974</v>
      </c>
      <c r="BE565" s="31">
        <f t="shared" si="1149"/>
        <v>-3038</v>
      </c>
      <c r="BF565" s="26">
        <f t="shared" si="1149"/>
        <v>-3757</v>
      </c>
      <c r="BG565" s="31">
        <f t="shared" si="1149"/>
        <v>-4673</v>
      </c>
      <c r="BH565" s="26">
        <f t="shared" si="1149"/>
        <v>-4361</v>
      </c>
      <c r="BI565" s="826">
        <f t="shared" si="1149"/>
        <v>-15829</v>
      </c>
      <c r="BJ565" s="26">
        <f t="shared" si="1149"/>
        <v>-4089</v>
      </c>
      <c r="BK565" s="26">
        <f t="shared" si="1149"/>
        <v>-3966</v>
      </c>
      <c r="BL565" s="31">
        <f t="shared" si="1149"/>
        <v>-4055</v>
      </c>
      <c r="BM565" s="26">
        <f t="shared" si="1149"/>
        <v>-4338</v>
      </c>
      <c r="BN565" s="826">
        <f t="shared" si="1149"/>
        <v>-16448</v>
      </c>
      <c r="BO565" s="31">
        <f t="shared" si="1149"/>
        <v>-3927</v>
      </c>
      <c r="BP565" s="31">
        <f t="shared" si="1149"/>
        <v>-3712</v>
      </c>
      <c r="BQ565" s="26">
        <f t="shared" si="1149"/>
        <v>-4444</v>
      </c>
      <c r="BR565" s="26">
        <f t="shared" si="1149"/>
        <v>-5264</v>
      </c>
      <c r="BS565" s="826">
        <f t="shared" si="1149"/>
        <v>-17347</v>
      </c>
      <c r="BT565" s="647">
        <f t="shared" si="1149"/>
        <v>-4063</v>
      </c>
      <c r="BU565" s="770">
        <v>-4500</v>
      </c>
      <c r="BV565" s="770">
        <v>-5000</v>
      </c>
      <c r="BW565" s="770">
        <v>-5000</v>
      </c>
      <c r="BX565" s="825">
        <f>BX702</f>
        <v>-18563</v>
      </c>
      <c r="BY565" s="770">
        <v>-5000</v>
      </c>
      <c r="BZ565" s="770">
        <v>-5000</v>
      </c>
      <c r="CA565" s="770">
        <v>-5000</v>
      </c>
      <c r="CB565" s="770">
        <v>-5000</v>
      </c>
      <c r="CC565" s="825">
        <f>CC702</f>
        <v>-20000</v>
      </c>
      <c r="CD565" s="851">
        <v>-20000</v>
      </c>
      <c r="CE565" s="851">
        <v>-20000</v>
      </c>
      <c r="CF565" s="851">
        <v>-20000</v>
      </c>
      <c r="CG565" s="26"/>
    </row>
    <row r="566" spans="1:85" s="430" customFormat="1" x14ac:dyDescent="0.3">
      <c r="A566" s="87" t="str">
        <f>CONCATENATE("Consensus Estimates - ",IFERROR(LEFT(A565,FIND("(",A565)-1),A565))</f>
        <v>Consensus Estimates - Capex</v>
      </c>
      <c r="B566" s="108"/>
      <c r="C566" s="834"/>
      <c r="D566" s="834"/>
      <c r="E566" s="834"/>
      <c r="F566" s="834"/>
      <c r="G566" s="61"/>
      <c r="H566" s="61"/>
      <c r="I566" s="61"/>
      <c r="J566" s="61"/>
      <c r="K566" s="834"/>
      <c r="L566" s="61"/>
      <c r="M566" s="61"/>
      <c r="N566" s="61"/>
      <c r="O566" s="61"/>
      <c r="P566" s="834"/>
      <c r="Q566" s="61"/>
      <c r="R566" s="61"/>
      <c r="S566" s="61"/>
      <c r="T566" s="61"/>
      <c r="U566" s="834"/>
      <c r="V566" s="61"/>
      <c r="W566" s="228"/>
      <c r="X566" s="61"/>
      <c r="Y566" s="228"/>
      <c r="Z566" s="835"/>
      <c r="AA566" s="228"/>
      <c r="AB566" s="228"/>
      <c r="AC566" s="61"/>
      <c r="AD566" s="228"/>
      <c r="AE566" s="835"/>
      <c r="AF566" s="228"/>
      <c r="AG566" s="228"/>
      <c r="AH566" s="61"/>
      <c r="AI566" s="228"/>
      <c r="AJ566" s="835"/>
      <c r="AK566" s="228"/>
      <c r="AL566" s="228"/>
      <c r="AM566" s="61"/>
      <c r="AN566" s="228"/>
      <c r="AO566" s="835"/>
      <c r="AP566" s="228"/>
      <c r="AQ566" s="228"/>
      <c r="AR566" s="61"/>
      <c r="AS566" s="228"/>
      <c r="AT566" s="835"/>
      <c r="AU566" s="228"/>
      <c r="AV566" s="228"/>
      <c r="AW566" s="61"/>
      <c r="AX566" s="391"/>
      <c r="AY566" s="835"/>
      <c r="AZ566" s="228"/>
      <c r="BA566" s="228"/>
      <c r="BB566" s="391"/>
      <c r="BC566" s="391"/>
      <c r="BD566" s="835"/>
      <c r="BE566" s="391"/>
      <c r="BF566" s="391"/>
      <c r="BG566" s="391"/>
      <c r="BH566" s="391"/>
      <c r="BI566" s="835"/>
      <c r="BJ566" s="391"/>
      <c r="BK566" s="391"/>
      <c r="BL566" s="391"/>
      <c r="BM566" s="391"/>
      <c r="BN566" s="835"/>
      <c r="BO566" s="391"/>
      <c r="BP566" s="391"/>
      <c r="BQ566" s="391"/>
      <c r="BR566" s="391"/>
      <c r="BS566" s="835"/>
      <c r="BT566" s="677"/>
      <c r="BU566" s="391" t="str">
        <f t="shared" ref="BU566:CC566" ca="1" si="1150">IFERROR(VLOOKUP($A566,tb_ConsensusEstimate,MATCH(BU$5,OFFSET(tb_ConsensusEstimate,0,0,1,COLUMNS(tb_ConsensusEstimate)),0),FALSE),"-")</f>
        <v>n/a</v>
      </c>
      <c r="BV566" s="391" t="str">
        <f t="shared" ca="1" si="1150"/>
        <v>n/a</v>
      </c>
      <c r="BW566" s="391" t="str">
        <f t="shared" ca="1" si="1150"/>
        <v>n/a</v>
      </c>
      <c r="BX566" s="835" t="str">
        <f t="shared" ca="1" si="1150"/>
        <v>n/a</v>
      </c>
      <c r="BY566" s="391" t="str">
        <f t="shared" ca="1" si="1150"/>
        <v>n/a</v>
      </c>
      <c r="BZ566" s="391" t="str">
        <f t="shared" ca="1" si="1150"/>
        <v>n/a</v>
      </c>
      <c r="CA566" s="391" t="str">
        <f t="shared" ca="1" si="1150"/>
        <v>n/a</v>
      </c>
      <c r="CB566" s="391" t="str">
        <f t="shared" ca="1" si="1150"/>
        <v>n/a</v>
      </c>
      <c r="CC566" s="835" t="str">
        <f t="shared" ca="1" si="1150"/>
        <v>n/a</v>
      </c>
      <c r="CD566" s="835" t="str">
        <f ca="1">IFERROR(VLOOKUP($A566,tb_ConsensusEstimate,MATCH(CD5,OFFSET(tb_ConsensusEstimate,0,0,1,COLUMNS(tb_ConsensusEstimate)),0),FALSE),"-")</f>
        <v>n/a</v>
      </c>
      <c r="CE566" s="835" t="str">
        <f ca="1">IFERROR(VLOOKUP($A566,tb_ConsensusEstimate,MATCH(CE5,OFFSET(tb_ConsensusEstimate,0,0,1,COLUMNS(tb_ConsensusEstimate)),0),FALSE),"-")</f>
        <v>n/a</v>
      </c>
      <c r="CF566" s="835" t="str">
        <f ca="1">IFERROR(VLOOKUP($A566,tb_ConsensusEstimate,MATCH(CF5,OFFSET(tb_ConsensusEstimate,0,0,1,COLUMNS(tb_ConsensusEstimate)),0),FALSE),"-")</f>
        <v>n/a</v>
      </c>
      <c r="CG566" s="61"/>
    </row>
    <row r="567" spans="1:85" s="428" customFormat="1" x14ac:dyDescent="0.3">
      <c r="A567" s="37" t="s">
        <v>228</v>
      </c>
      <c r="B567" s="109"/>
      <c r="C567" s="821">
        <f t="shared" ref="C567:AH567" si="1151">C700</f>
        <v>0</v>
      </c>
      <c r="D567" s="821">
        <f t="shared" si="1151"/>
        <v>0</v>
      </c>
      <c r="E567" s="821">
        <f t="shared" si="1151"/>
        <v>-3009</v>
      </c>
      <c r="F567" s="821">
        <f t="shared" si="1151"/>
        <v>0</v>
      </c>
      <c r="G567" s="37">
        <f t="shared" si="1151"/>
        <v>0</v>
      </c>
      <c r="H567" s="37">
        <f t="shared" si="1151"/>
        <v>0</v>
      </c>
      <c r="I567" s="37">
        <f t="shared" si="1151"/>
        <v>0</v>
      </c>
      <c r="J567" s="37">
        <f t="shared" si="1151"/>
        <v>0</v>
      </c>
      <c r="K567" s="821">
        <f t="shared" si="1151"/>
        <v>0</v>
      </c>
      <c r="L567" s="37">
        <f t="shared" si="1151"/>
        <v>0</v>
      </c>
      <c r="M567" s="37">
        <f t="shared" si="1151"/>
        <v>0</v>
      </c>
      <c r="N567" s="37">
        <f t="shared" si="1151"/>
        <v>0</v>
      </c>
      <c r="O567" s="37">
        <f t="shared" si="1151"/>
        <v>0</v>
      </c>
      <c r="P567" s="821">
        <f t="shared" si="1151"/>
        <v>0</v>
      </c>
      <c r="Q567" s="37">
        <f t="shared" si="1151"/>
        <v>0</v>
      </c>
      <c r="R567" s="37">
        <f t="shared" si="1151"/>
        <v>0</v>
      </c>
      <c r="S567" s="37">
        <f t="shared" si="1151"/>
        <v>0</v>
      </c>
      <c r="T567" s="37">
        <f t="shared" si="1151"/>
        <v>0</v>
      </c>
      <c r="U567" s="821">
        <f t="shared" si="1151"/>
        <v>0</v>
      </c>
      <c r="V567" s="37">
        <f t="shared" si="1151"/>
        <v>0</v>
      </c>
      <c r="W567" s="37">
        <f t="shared" si="1151"/>
        <v>0</v>
      </c>
      <c r="X567" s="37">
        <f t="shared" si="1151"/>
        <v>0</v>
      </c>
      <c r="Y567" s="37">
        <f t="shared" si="1151"/>
        <v>0</v>
      </c>
      <c r="Z567" s="821">
        <f t="shared" si="1151"/>
        <v>0</v>
      </c>
      <c r="AA567" s="37">
        <f t="shared" si="1151"/>
        <v>0</v>
      </c>
      <c r="AB567" s="37">
        <f t="shared" si="1151"/>
        <v>0</v>
      </c>
      <c r="AC567" s="37">
        <f t="shared" si="1151"/>
        <v>0</v>
      </c>
      <c r="AD567" s="37">
        <f t="shared" si="1151"/>
        <v>0</v>
      </c>
      <c r="AE567" s="821">
        <f t="shared" si="1151"/>
        <v>0</v>
      </c>
      <c r="AF567" s="37">
        <f t="shared" si="1151"/>
        <v>0</v>
      </c>
      <c r="AG567" s="37">
        <f t="shared" si="1151"/>
        <v>0</v>
      </c>
      <c r="AH567" s="37">
        <f t="shared" si="1151"/>
        <v>0</v>
      </c>
      <c r="AI567" s="37">
        <f t="shared" ref="AI567:BT567" si="1152">AI700</f>
        <v>0</v>
      </c>
      <c r="AJ567" s="821">
        <f t="shared" si="1152"/>
        <v>0</v>
      </c>
      <c r="AK567" s="37">
        <f t="shared" si="1152"/>
        <v>0</v>
      </c>
      <c r="AL567" s="37">
        <f t="shared" si="1152"/>
        <v>0</v>
      </c>
      <c r="AM567" s="37">
        <f t="shared" si="1152"/>
        <v>0</v>
      </c>
      <c r="AN567" s="37">
        <f t="shared" si="1152"/>
        <v>0</v>
      </c>
      <c r="AO567" s="821">
        <f t="shared" si="1152"/>
        <v>0</v>
      </c>
      <c r="AP567" s="37">
        <f t="shared" si="1152"/>
        <v>0</v>
      </c>
      <c r="AQ567" s="37">
        <f t="shared" si="1152"/>
        <v>0</v>
      </c>
      <c r="AR567" s="37">
        <f t="shared" si="1152"/>
        <v>0</v>
      </c>
      <c r="AS567" s="37">
        <f t="shared" si="1152"/>
        <v>373</v>
      </c>
      <c r="AT567" s="821">
        <f t="shared" si="1152"/>
        <v>373</v>
      </c>
      <c r="AU567" s="37">
        <f t="shared" si="1152"/>
        <v>0</v>
      </c>
      <c r="AV567" s="37">
        <f t="shared" si="1152"/>
        <v>0</v>
      </c>
      <c r="AW567" s="37">
        <f t="shared" si="1152"/>
        <v>0</v>
      </c>
      <c r="AX567" s="37">
        <f t="shared" si="1152"/>
        <v>0</v>
      </c>
      <c r="AY567" s="821">
        <f t="shared" si="1152"/>
        <v>0</v>
      </c>
      <c r="AZ567" s="37">
        <f t="shared" si="1152"/>
        <v>0</v>
      </c>
      <c r="BA567" s="37">
        <f t="shared" si="1152"/>
        <v>-2862</v>
      </c>
      <c r="BB567" s="37">
        <f t="shared" si="1152"/>
        <v>0</v>
      </c>
      <c r="BC567" s="37">
        <f t="shared" si="1152"/>
        <v>0</v>
      </c>
      <c r="BD567" s="821">
        <f t="shared" si="1152"/>
        <v>-2862</v>
      </c>
      <c r="BE567" s="37">
        <f t="shared" si="1152"/>
        <v>0</v>
      </c>
      <c r="BF567" s="22">
        <f t="shared" si="1152"/>
        <v>0</v>
      </c>
      <c r="BG567" s="37">
        <f t="shared" si="1152"/>
        <v>55</v>
      </c>
      <c r="BH567" s="22">
        <f t="shared" si="1152"/>
        <v>0</v>
      </c>
      <c r="BI567" s="852">
        <f t="shared" si="1152"/>
        <v>55</v>
      </c>
      <c r="BJ567" s="22">
        <f t="shared" si="1152"/>
        <v>0</v>
      </c>
      <c r="BK567" s="22">
        <f t="shared" si="1152"/>
        <v>0</v>
      </c>
      <c r="BL567" s="37">
        <f t="shared" si="1152"/>
        <v>0</v>
      </c>
      <c r="BM567" s="22">
        <f t="shared" si="1152"/>
        <v>0</v>
      </c>
      <c r="BN567" s="852">
        <f t="shared" si="1152"/>
        <v>0</v>
      </c>
      <c r="BO567" s="37">
        <f t="shared" si="1152"/>
        <v>-2225</v>
      </c>
      <c r="BP567" s="37">
        <f t="shared" si="1152"/>
        <v>0</v>
      </c>
      <c r="BQ567" s="22">
        <f t="shared" si="1152"/>
        <v>1056</v>
      </c>
      <c r="BR567" s="22">
        <f t="shared" si="1152"/>
        <v>0</v>
      </c>
      <c r="BS567" s="852">
        <f t="shared" si="1152"/>
        <v>-1169</v>
      </c>
      <c r="BT567" s="648">
        <f t="shared" si="1152"/>
        <v>0</v>
      </c>
      <c r="BU567" s="763">
        <v>0</v>
      </c>
      <c r="BV567" s="763">
        <v>0</v>
      </c>
      <c r="BW567" s="763">
        <v>0</v>
      </c>
      <c r="BX567" s="821">
        <f>BX700</f>
        <v>0</v>
      </c>
      <c r="BY567" s="763">
        <v>0</v>
      </c>
      <c r="BZ567" s="763">
        <v>0</v>
      </c>
      <c r="CA567" s="763">
        <v>0</v>
      </c>
      <c r="CB567" s="763">
        <v>0</v>
      </c>
      <c r="CC567" s="821">
        <f>CC700</f>
        <v>0</v>
      </c>
      <c r="CD567" s="827">
        <v>0</v>
      </c>
      <c r="CE567" s="827">
        <v>0</v>
      </c>
      <c r="CF567" s="827">
        <v>0</v>
      </c>
      <c r="CG567" s="22"/>
    </row>
    <row r="568" spans="1:85" s="428" customFormat="1" x14ac:dyDescent="0.3">
      <c r="A568" s="37" t="s">
        <v>229</v>
      </c>
      <c r="B568" s="109"/>
      <c r="C568" s="821">
        <f t="shared" ref="C568:AH568" si="1153">C703</f>
        <v>2564</v>
      </c>
      <c r="D568" s="821">
        <f t="shared" si="1153"/>
        <v>1995</v>
      </c>
      <c r="E568" s="821">
        <f t="shared" si="1153"/>
        <v>3517</v>
      </c>
      <c r="F568" s="821">
        <f t="shared" si="1153"/>
        <v>2777</v>
      </c>
      <c r="G568" s="37">
        <f t="shared" si="1153"/>
        <v>76</v>
      </c>
      <c r="H568" s="37">
        <f t="shared" si="1153"/>
        <v>565</v>
      </c>
      <c r="I568" s="37">
        <f t="shared" si="1153"/>
        <v>216</v>
      </c>
      <c r="J568" s="37">
        <f t="shared" si="1153"/>
        <v>286</v>
      </c>
      <c r="K568" s="821">
        <f t="shared" si="1153"/>
        <v>1143</v>
      </c>
      <c r="L568" s="37">
        <f t="shared" si="1153"/>
        <v>316</v>
      </c>
      <c r="M568" s="37">
        <f t="shared" si="1153"/>
        <v>1307</v>
      </c>
      <c r="N568" s="37">
        <f t="shared" si="1153"/>
        <v>965</v>
      </c>
      <c r="O568" s="37">
        <f t="shared" si="1153"/>
        <v>3141</v>
      </c>
      <c r="P568" s="821">
        <f t="shared" si="1153"/>
        <v>5729</v>
      </c>
      <c r="Q568" s="37">
        <f t="shared" si="1153"/>
        <v>948</v>
      </c>
      <c r="R568" s="37">
        <f t="shared" si="1153"/>
        <v>3929</v>
      </c>
      <c r="S568" s="37">
        <f t="shared" si="1153"/>
        <v>531</v>
      </c>
      <c r="T568" s="37">
        <f t="shared" si="1153"/>
        <v>331</v>
      </c>
      <c r="U568" s="821">
        <f t="shared" si="1153"/>
        <v>5739</v>
      </c>
      <c r="V568" s="37">
        <f t="shared" si="1153"/>
        <v>82</v>
      </c>
      <c r="W568" s="37">
        <f t="shared" si="1153"/>
        <v>1288</v>
      </c>
      <c r="X568" s="37">
        <f t="shared" si="1153"/>
        <v>839</v>
      </c>
      <c r="Y568" s="37">
        <f t="shared" si="1153"/>
        <v>568</v>
      </c>
      <c r="Z568" s="821">
        <f t="shared" si="1153"/>
        <v>2777</v>
      </c>
      <c r="AA568" s="37">
        <f t="shared" si="1153"/>
        <v>2087</v>
      </c>
      <c r="AB568" s="37">
        <f t="shared" si="1153"/>
        <v>436</v>
      </c>
      <c r="AC568" s="37">
        <f t="shared" si="1153"/>
        <v>2333</v>
      </c>
      <c r="AD568" s="37">
        <f t="shared" si="1153"/>
        <v>391</v>
      </c>
      <c r="AE568" s="821">
        <f t="shared" si="1153"/>
        <v>5247</v>
      </c>
      <c r="AF568" s="37">
        <f t="shared" si="1153"/>
        <v>111</v>
      </c>
      <c r="AG568" s="37">
        <f t="shared" si="1153"/>
        <v>678</v>
      </c>
      <c r="AH568" s="37">
        <f t="shared" si="1153"/>
        <v>1327</v>
      </c>
      <c r="AI568" s="37">
        <f t="shared" ref="AI568:BT568" si="1154">AI703</f>
        <v>276</v>
      </c>
      <c r="AJ568" s="821">
        <f t="shared" si="1154"/>
        <v>2392</v>
      </c>
      <c r="AK568" s="37">
        <f t="shared" si="1154"/>
        <v>294</v>
      </c>
      <c r="AL568" s="37">
        <f t="shared" si="1154"/>
        <v>643</v>
      </c>
      <c r="AM568" s="37">
        <f t="shared" si="1154"/>
        <v>151</v>
      </c>
      <c r="AN568" s="37">
        <f t="shared" si="1154"/>
        <v>1863</v>
      </c>
      <c r="AO568" s="821">
        <f t="shared" si="1154"/>
        <v>2951</v>
      </c>
      <c r="AP568" s="37">
        <f t="shared" si="1154"/>
        <v>374</v>
      </c>
      <c r="AQ568" s="37">
        <f t="shared" si="1154"/>
        <v>1478</v>
      </c>
      <c r="AR568" s="37">
        <f t="shared" si="1154"/>
        <v>127</v>
      </c>
      <c r="AS568" s="37">
        <f t="shared" si="1154"/>
        <v>989</v>
      </c>
      <c r="AT568" s="821">
        <f t="shared" si="1154"/>
        <v>2968</v>
      </c>
      <c r="AU568" s="37">
        <f t="shared" si="1154"/>
        <v>158</v>
      </c>
      <c r="AV568" s="37">
        <f t="shared" si="1154"/>
        <v>211</v>
      </c>
      <c r="AW568" s="37">
        <f t="shared" si="1154"/>
        <v>217</v>
      </c>
      <c r="AX568" s="37">
        <f t="shared" si="1154"/>
        <v>1205</v>
      </c>
      <c r="AY568" s="821">
        <f t="shared" si="1154"/>
        <v>1791</v>
      </c>
      <c r="AZ568" s="37">
        <f t="shared" si="1154"/>
        <v>1283</v>
      </c>
      <c r="BA568" s="37">
        <f t="shared" si="1154"/>
        <v>1066</v>
      </c>
      <c r="BB568" s="37">
        <f t="shared" si="1154"/>
        <v>136</v>
      </c>
      <c r="BC568" s="37">
        <f t="shared" si="1154"/>
        <v>150</v>
      </c>
      <c r="BD568" s="821">
        <f t="shared" si="1154"/>
        <v>2635</v>
      </c>
      <c r="BE568" s="37">
        <f t="shared" si="1154"/>
        <v>219</v>
      </c>
      <c r="BF568" s="22">
        <f t="shared" si="1154"/>
        <v>105</v>
      </c>
      <c r="BG568" s="37">
        <f t="shared" si="1154"/>
        <v>86</v>
      </c>
      <c r="BH568" s="22">
        <f t="shared" si="1154"/>
        <v>259</v>
      </c>
      <c r="BI568" s="852">
        <f t="shared" si="1154"/>
        <v>669</v>
      </c>
      <c r="BJ568" s="22">
        <f t="shared" si="1154"/>
        <v>104</v>
      </c>
      <c r="BK568" s="22">
        <f t="shared" si="1154"/>
        <v>114</v>
      </c>
      <c r="BL568" s="37">
        <f t="shared" si="1154"/>
        <v>402</v>
      </c>
      <c r="BM568" s="22">
        <f t="shared" si="1154"/>
        <v>7084</v>
      </c>
      <c r="BN568" s="852">
        <f t="shared" si="1154"/>
        <v>7704</v>
      </c>
      <c r="BO568" s="37">
        <f t="shared" si="1154"/>
        <v>600</v>
      </c>
      <c r="BP568" s="37">
        <f t="shared" si="1154"/>
        <v>390</v>
      </c>
      <c r="BQ568" s="22">
        <f t="shared" si="1154"/>
        <v>483</v>
      </c>
      <c r="BR568" s="22">
        <f t="shared" si="1154"/>
        <v>353</v>
      </c>
      <c r="BS568" s="852">
        <f t="shared" si="1154"/>
        <v>1826</v>
      </c>
      <c r="BT568" s="648">
        <f t="shared" si="1154"/>
        <v>72</v>
      </c>
      <c r="BU568" s="763">
        <v>500</v>
      </c>
      <c r="BV568" s="763">
        <v>500</v>
      </c>
      <c r="BW568" s="763">
        <v>500</v>
      </c>
      <c r="BX568" s="821">
        <f>BX703</f>
        <v>1572</v>
      </c>
      <c r="BY568" s="763">
        <v>500</v>
      </c>
      <c r="BZ568" s="763">
        <v>500</v>
      </c>
      <c r="CA568" s="763">
        <v>500</v>
      </c>
      <c r="CB568" s="763">
        <v>500</v>
      </c>
      <c r="CC568" s="821">
        <f>CC703</f>
        <v>2000</v>
      </c>
      <c r="CD568" s="827">
        <v>0</v>
      </c>
      <c r="CE568" s="827">
        <v>0</v>
      </c>
      <c r="CF568" s="827">
        <v>0</v>
      </c>
      <c r="CG568" s="22"/>
    </row>
    <row r="569" spans="1:85" s="428" customFormat="1" x14ac:dyDescent="0.3">
      <c r="A569" s="37" t="s">
        <v>230</v>
      </c>
      <c r="B569" s="109"/>
      <c r="C569" s="821">
        <f t="shared" ref="C569:AQ569" si="1155">C715</f>
        <v>-5302</v>
      </c>
      <c r="D569" s="821">
        <f t="shared" si="1155"/>
        <v>-5669</v>
      </c>
      <c r="E569" s="821">
        <f t="shared" si="1155"/>
        <v>-6136</v>
      </c>
      <c r="F569" s="821">
        <f t="shared" si="1155"/>
        <v>-6844</v>
      </c>
      <c r="G569" s="37">
        <f t="shared" si="1155"/>
        <v>-1735</v>
      </c>
      <c r="H569" s="37">
        <f t="shared" si="1155"/>
        <v>-1921</v>
      </c>
      <c r="I569" s="37">
        <f t="shared" si="1155"/>
        <v>-1915</v>
      </c>
      <c r="J569" s="37">
        <f t="shared" si="1155"/>
        <v>-1903</v>
      </c>
      <c r="K569" s="821">
        <f t="shared" si="1155"/>
        <v>-7474</v>
      </c>
      <c r="L569" s="37">
        <f t="shared" si="1155"/>
        <v>-1895</v>
      </c>
      <c r="M569" s="37">
        <f t="shared" si="1155"/>
        <v>-2019</v>
      </c>
      <c r="N569" s="37">
        <f t="shared" si="1155"/>
        <v>-2012</v>
      </c>
      <c r="O569" s="37">
        <f t="shared" si="1155"/>
        <v>-2002</v>
      </c>
      <c r="P569" s="821">
        <f t="shared" si="1155"/>
        <v>-7928</v>
      </c>
      <c r="Q569" s="37">
        <f t="shared" si="1155"/>
        <v>-1997</v>
      </c>
      <c r="R569" s="37">
        <f t="shared" si="1155"/>
        <v>-1997</v>
      </c>
      <c r="S569" s="37">
        <f t="shared" si="1155"/>
        <v>-1999</v>
      </c>
      <c r="T569" s="37">
        <f t="shared" si="1155"/>
        <v>-1999</v>
      </c>
      <c r="U569" s="821">
        <f t="shared" si="1155"/>
        <v>-7992</v>
      </c>
      <c r="V569" s="37">
        <f t="shared" si="1155"/>
        <v>-2000</v>
      </c>
      <c r="W569" s="37">
        <f t="shared" si="1155"/>
        <v>-2002</v>
      </c>
      <c r="X569" s="37">
        <f t="shared" si="1155"/>
        <v>-2005</v>
      </c>
      <c r="Y569" s="37">
        <f t="shared" si="1155"/>
        <v>-2025</v>
      </c>
      <c r="Z569" s="821">
        <f t="shared" si="1155"/>
        <v>-8032</v>
      </c>
      <c r="AA569" s="37">
        <f t="shared" si="1155"/>
        <v>-2029</v>
      </c>
      <c r="AB569" s="37">
        <f t="shared" si="1155"/>
        <v>-2032</v>
      </c>
      <c r="AC569" s="37">
        <f t="shared" si="1155"/>
        <v>-2032</v>
      </c>
      <c r="AD569" s="37">
        <f t="shared" si="1155"/>
        <v>-2039</v>
      </c>
      <c r="AE569" s="821">
        <f t="shared" si="1155"/>
        <v>-8132</v>
      </c>
      <c r="AF569" s="37">
        <f t="shared" si="1155"/>
        <v>-2124</v>
      </c>
      <c r="AG569" s="37">
        <f t="shared" si="1155"/>
        <v>-2129</v>
      </c>
      <c r="AH569" s="37">
        <f t="shared" si="1155"/>
        <v>-2129</v>
      </c>
      <c r="AI569" s="37">
        <f t="shared" si="1155"/>
        <v>-2120</v>
      </c>
      <c r="AJ569" s="821">
        <f t="shared" si="1155"/>
        <v>-8502</v>
      </c>
      <c r="AK569" s="37">
        <f t="shared" si="1155"/>
        <v>-2244</v>
      </c>
      <c r="AL569" s="37">
        <f t="shared" si="1155"/>
        <v>-2250</v>
      </c>
      <c r="AM569" s="37">
        <f t="shared" si="1155"/>
        <v>-2237</v>
      </c>
      <c r="AN569" s="37">
        <f t="shared" si="1155"/>
        <v>-2228</v>
      </c>
      <c r="AO569" s="821">
        <f t="shared" si="1155"/>
        <v>-8959</v>
      </c>
      <c r="AP569" s="37">
        <f t="shared" si="1155"/>
        <v>-2402</v>
      </c>
      <c r="AQ569" s="37">
        <f t="shared" si="1155"/>
        <v>-2394</v>
      </c>
      <c r="AR569" s="37">
        <f>AR715</f>
        <v>-2390</v>
      </c>
      <c r="AS569" s="37">
        <f t="shared" ref="AS569:AU569" si="1156">AS715</f>
        <v>-2465</v>
      </c>
      <c r="AT569" s="821">
        <f t="shared" si="1156"/>
        <v>-9651</v>
      </c>
      <c r="AU569" s="37">
        <f t="shared" si="1156"/>
        <v>-2468</v>
      </c>
      <c r="AV569" s="37">
        <f>AV715</f>
        <v>-2573</v>
      </c>
      <c r="AW569" s="37">
        <f>AW715</f>
        <v>-2571</v>
      </c>
      <c r="AX569" s="37">
        <f t="shared" ref="AX569:AY569" si="1157">AX715</f>
        <v>-2567</v>
      </c>
      <c r="AY569" s="821">
        <f t="shared" si="1157"/>
        <v>-10179</v>
      </c>
      <c r="AZ569" s="37">
        <f>AZ715</f>
        <v>-2746</v>
      </c>
      <c r="BA569" s="37">
        <f>BA715</f>
        <v>-2766</v>
      </c>
      <c r="BB569" s="37">
        <f>BB715</f>
        <v>-2743</v>
      </c>
      <c r="BC569" s="37">
        <f t="shared" ref="BC569:BE569" si="1158">BC715</f>
        <v>-2713</v>
      </c>
      <c r="BD569" s="821">
        <f t="shared" si="1158"/>
        <v>-10968</v>
      </c>
      <c r="BE569" s="37">
        <f t="shared" si="1158"/>
        <v>-2857</v>
      </c>
      <c r="BF569" s="22">
        <f t="shared" ref="BF569:BJ569" si="1159">BF715</f>
        <v>-2818</v>
      </c>
      <c r="BG569" s="37">
        <f t="shared" si="1159"/>
        <v>-2852</v>
      </c>
      <c r="BH569" s="22">
        <f t="shared" si="1159"/>
        <v>-2809</v>
      </c>
      <c r="BI569" s="852">
        <f t="shared" si="1159"/>
        <v>-11336</v>
      </c>
      <c r="BJ569" s="22">
        <f t="shared" si="1159"/>
        <v>-3003</v>
      </c>
      <c r="BK569" s="22">
        <f t="shared" ref="BK569:BN569" si="1160">BK715</f>
        <v>-2978</v>
      </c>
      <c r="BL569" s="37">
        <f t="shared" si="1160"/>
        <v>-2933</v>
      </c>
      <c r="BM569" s="22">
        <f t="shared" si="1160"/>
        <v>-2887</v>
      </c>
      <c r="BN569" s="852">
        <f t="shared" si="1160"/>
        <v>-11801</v>
      </c>
      <c r="BO569" s="22">
        <f t="shared" ref="BO569:BP569" si="1161">BO715</f>
        <v>-2984</v>
      </c>
      <c r="BP569" s="22">
        <f t="shared" si="1161"/>
        <v>-2934</v>
      </c>
      <c r="BQ569" s="22">
        <f t="shared" ref="BQ569:BT569" si="1162">BQ715</f>
        <v>-3429</v>
      </c>
      <c r="BR569" s="22">
        <f t="shared" si="1162"/>
        <v>-3404</v>
      </c>
      <c r="BS569" s="852">
        <f t="shared" si="1162"/>
        <v>-12751</v>
      </c>
      <c r="BT569" s="480">
        <f t="shared" si="1162"/>
        <v>-3526</v>
      </c>
      <c r="BU569" s="37">
        <f ca="1">BU570*-BU535</f>
        <v>-3531.5736926897293</v>
      </c>
      <c r="BV569" s="37">
        <f ca="1">BV570*-BV535</f>
        <v>-3518.1034224194591</v>
      </c>
      <c r="BW569" s="37">
        <f ca="1">BW570*-BW535</f>
        <v>-3518.1034224194591</v>
      </c>
      <c r="BX569" s="821">
        <f ca="1">BX715</f>
        <v>-14093.780537528648</v>
      </c>
      <c r="BY569" s="37">
        <f ca="1">BY570*-BY535</f>
        <v>-3518.1034224194591</v>
      </c>
      <c r="BZ569" s="37">
        <f ca="1">BZ570*-BZ535</f>
        <v>-3518.1034224194591</v>
      </c>
      <c r="CA569" s="37">
        <f ca="1">CA570*-CA535</f>
        <v>-3518.1034224194591</v>
      </c>
      <c r="CB569" s="37">
        <f ca="1">CB570*-CB535</f>
        <v>-3518.1034224194591</v>
      </c>
      <c r="CC569" s="821">
        <f ca="1">CC715</f>
        <v>-14072.413689677836</v>
      </c>
      <c r="CD569" s="821">
        <f ca="1">CD570*-CD535</f>
        <v>-14072.413689677836</v>
      </c>
      <c r="CE569" s="821">
        <f ca="1">CE570*-CE535</f>
        <v>-14072.413689677836</v>
      </c>
      <c r="CF569" s="821">
        <f ca="1">CF570*-CF535</f>
        <v>-14072.413689677836</v>
      </c>
      <c r="CG569" s="22"/>
    </row>
    <row r="570" spans="1:85" s="435" customFormat="1" x14ac:dyDescent="0.3">
      <c r="A570" s="77" t="s">
        <v>231</v>
      </c>
      <c r="B570" s="481"/>
      <c r="C570" s="917">
        <v>2.66</v>
      </c>
      <c r="D570" s="917">
        <v>2.84</v>
      </c>
      <c r="E570" s="917">
        <v>3.09</v>
      </c>
      <c r="F570" s="917">
        <v>3.51</v>
      </c>
      <c r="G570" s="793">
        <v>0.9</v>
      </c>
      <c r="H570" s="793">
        <v>1</v>
      </c>
      <c r="I570" s="793">
        <v>1</v>
      </c>
      <c r="J570" s="793">
        <v>1</v>
      </c>
      <c r="K570" s="917">
        <v>3.9</v>
      </c>
      <c r="L570" s="793">
        <v>1</v>
      </c>
      <c r="M570" s="793">
        <v>1.07</v>
      </c>
      <c r="N570" s="793">
        <v>1.07</v>
      </c>
      <c r="O570" s="793">
        <v>1.07</v>
      </c>
      <c r="P570" s="917">
        <v>4.21</v>
      </c>
      <c r="Q570" s="793">
        <v>1.07</v>
      </c>
      <c r="R570" s="793">
        <v>1.07</v>
      </c>
      <c r="S570" s="793">
        <v>1.07</v>
      </c>
      <c r="T570" s="793">
        <v>1.07</v>
      </c>
      <c r="U570" s="917">
        <v>4.28</v>
      </c>
      <c r="V570" s="793">
        <v>1.07</v>
      </c>
      <c r="W570" s="793">
        <v>1.07</v>
      </c>
      <c r="X570" s="793">
        <v>1.07</v>
      </c>
      <c r="Y570" s="793">
        <v>1.08</v>
      </c>
      <c r="Z570" s="857">
        <f>SUM(V570,W570,X570,Y570)</f>
        <v>4.29</v>
      </c>
      <c r="AA570" s="793">
        <v>1.08</v>
      </c>
      <c r="AB570" s="793">
        <v>1.08</v>
      </c>
      <c r="AC570" s="793">
        <v>1.08</v>
      </c>
      <c r="AD570" s="793">
        <v>1.08</v>
      </c>
      <c r="AE570" s="857">
        <f>SUM(AA570,AB570,AC570,AD570)</f>
        <v>4.32</v>
      </c>
      <c r="AF570" s="793">
        <v>1.1200000000000001</v>
      </c>
      <c r="AG570" s="793">
        <v>1.1200000000000001</v>
      </c>
      <c r="AH570" s="793">
        <v>1.1200000000000001</v>
      </c>
      <c r="AI570" s="793">
        <v>1.1200000000000001</v>
      </c>
      <c r="AJ570" s="857">
        <f>SUM(AF570,AG570,AH570,AI570)</f>
        <v>4.4800000000000004</v>
      </c>
      <c r="AK570" s="793">
        <v>1.19</v>
      </c>
      <c r="AL570" s="793">
        <v>1.19</v>
      </c>
      <c r="AM570" s="793">
        <v>1.19</v>
      </c>
      <c r="AN570" s="793">
        <v>1.19</v>
      </c>
      <c r="AO570" s="857">
        <f>SUM(AK570,AL570,AM570,AN570)</f>
        <v>4.76</v>
      </c>
      <c r="AP570" s="793">
        <v>1.29</v>
      </c>
      <c r="AQ570" s="793">
        <v>1.29</v>
      </c>
      <c r="AR570" s="793">
        <v>1.29</v>
      </c>
      <c r="AS570" s="793">
        <v>1.29</v>
      </c>
      <c r="AT570" s="857">
        <f>SUM(AP570,AQ570,AR570,AS570)</f>
        <v>5.16</v>
      </c>
      <c r="AU570" s="793">
        <v>1.29</v>
      </c>
      <c r="AV570" s="793">
        <v>1.34</v>
      </c>
      <c r="AW570" s="793">
        <v>1.34</v>
      </c>
      <c r="AX570" s="793">
        <v>1.34</v>
      </c>
      <c r="AY570" s="857">
        <f>SUM(AU570,AV570,AW570,AX570)</f>
        <v>5.31</v>
      </c>
      <c r="AZ570" s="793">
        <v>1.42</v>
      </c>
      <c r="BA570" s="793">
        <v>1.42</v>
      </c>
      <c r="BB570" s="793">
        <v>1.42</v>
      </c>
      <c r="BC570" s="793">
        <v>1.42</v>
      </c>
      <c r="BD570" s="857">
        <f>SUM(AZ570,BA570,BB570,BC570)</f>
        <v>5.68</v>
      </c>
      <c r="BE570" s="793">
        <v>1.51</v>
      </c>
      <c r="BF570" s="793">
        <v>1.51</v>
      </c>
      <c r="BG570" s="793">
        <v>1.51</v>
      </c>
      <c r="BH570" s="793">
        <v>1.51</v>
      </c>
      <c r="BI570" s="857">
        <f>SUM(BE570,BF570,BG570,BH570)</f>
        <v>6.04</v>
      </c>
      <c r="BJ570" s="793">
        <v>1.63</v>
      </c>
      <c r="BK570" s="793">
        <v>1.63</v>
      </c>
      <c r="BL570" s="793">
        <v>1.63</v>
      </c>
      <c r="BM570" s="793">
        <v>1.63</v>
      </c>
      <c r="BN570" s="857">
        <f>SUM(BJ570,BK570,BL570,BM570)</f>
        <v>6.52</v>
      </c>
      <c r="BO570" s="793">
        <v>1.71</v>
      </c>
      <c r="BP570" s="793">
        <v>1.71</v>
      </c>
      <c r="BQ570" s="793">
        <v>1.71</v>
      </c>
      <c r="BR570" s="793">
        <v>1.71</v>
      </c>
      <c r="BS570" s="918">
        <f>SUM(BO570,BP570,BQ570,BR570)</f>
        <v>6.84</v>
      </c>
      <c r="BT570" s="794">
        <v>1.78</v>
      </c>
      <c r="BU570" s="793">
        <v>1.78</v>
      </c>
      <c r="BV570" s="793">
        <v>1.78</v>
      </c>
      <c r="BW570" s="793">
        <v>1.78</v>
      </c>
      <c r="BX570" s="857">
        <f>SUM(BT570,BU570,BV570,BW570)</f>
        <v>7.12</v>
      </c>
      <c r="BY570" s="793">
        <v>1.78</v>
      </c>
      <c r="BZ570" s="793">
        <v>1.78</v>
      </c>
      <c r="CA570" s="793">
        <v>1.78</v>
      </c>
      <c r="CB570" s="793">
        <v>1.78</v>
      </c>
      <c r="CC570" s="857">
        <f>SUM(BY570,BZ570,CA570,CB570)</f>
        <v>7.12</v>
      </c>
      <c r="CD570" s="917">
        <v>7.12</v>
      </c>
      <c r="CE570" s="917">
        <v>7.12</v>
      </c>
      <c r="CF570" s="917">
        <v>7.12</v>
      </c>
      <c r="CG570" s="20"/>
    </row>
    <row r="571" spans="1:85" s="440" customFormat="1" x14ac:dyDescent="0.3">
      <c r="A571" s="344"/>
      <c r="B571" s="343"/>
      <c r="C571" s="919"/>
      <c r="D571" s="919"/>
      <c r="E571" s="919"/>
      <c r="F571" s="919"/>
      <c r="G571" s="345"/>
      <c r="H571" s="345"/>
      <c r="I571" s="345"/>
      <c r="J571" s="345"/>
      <c r="K571" s="919"/>
      <c r="L571" s="345"/>
      <c r="M571" s="345"/>
      <c r="N571" s="345"/>
      <c r="O571" s="345"/>
      <c r="P571" s="919"/>
      <c r="Q571" s="345"/>
      <c r="R571" s="345"/>
      <c r="S571" s="345"/>
      <c r="T571" s="345"/>
      <c r="U571" s="919"/>
      <c r="V571" s="345"/>
      <c r="W571" s="345"/>
      <c r="X571" s="345"/>
      <c r="Y571" s="345"/>
      <c r="Z571" s="919"/>
      <c r="AA571" s="345"/>
      <c r="AB571" s="345"/>
      <c r="AC571" s="345"/>
      <c r="AD571" s="345"/>
      <c r="AE571" s="919"/>
      <c r="AF571" s="345"/>
      <c r="AG571" s="345"/>
      <c r="AH571" s="345"/>
      <c r="AI571" s="345"/>
      <c r="AJ571" s="919"/>
      <c r="AK571" s="345"/>
      <c r="AL571" s="345"/>
      <c r="AM571" s="345"/>
      <c r="AN571" s="345"/>
      <c r="AO571" s="919"/>
      <c r="AP571" s="345"/>
      <c r="AQ571" s="345"/>
      <c r="AR571" s="345"/>
      <c r="AS571" s="345"/>
      <c r="AT571" s="919"/>
      <c r="AU571" s="345"/>
      <c r="AV571" s="345"/>
      <c r="AW571" s="345"/>
      <c r="AX571" s="345"/>
      <c r="AY571" s="919"/>
      <c r="AZ571" s="345"/>
      <c r="BA571" s="345"/>
      <c r="BB571" s="345"/>
      <c r="BC571" s="345"/>
      <c r="BD571" s="919"/>
      <c r="BE571" s="345"/>
      <c r="BF571" s="345"/>
      <c r="BG571" s="345"/>
      <c r="BH571" s="345"/>
      <c r="BI571" s="919"/>
      <c r="BJ571" s="345"/>
      <c r="BK571" s="345"/>
      <c r="BL571" s="345"/>
      <c r="BM571" s="345"/>
      <c r="BN571" s="919"/>
      <c r="BO571" s="345"/>
      <c r="BP571" s="345"/>
      <c r="BQ571" s="345"/>
      <c r="BR571" s="345"/>
      <c r="BS571" s="919"/>
      <c r="BT571" s="678"/>
      <c r="BU571" s="345"/>
      <c r="BV571" s="345"/>
      <c r="BW571" s="345"/>
      <c r="BX571" s="919"/>
      <c r="BY571" s="345"/>
      <c r="BZ571" s="345"/>
      <c r="CA571" s="345"/>
      <c r="CB571" s="345"/>
      <c r="CC571" s="919"/>
      <c r="CD571" s="919"/>
      <c r="CE571" s="919"/>
      <c r="CF571" s="919"/>
      <c r="CG571" s="25"/>
    </row>
    <row r="572" spans="1:85" s="440" customFormat="1" x14ac:dyDescent="0.3">
      <c r="A572" s="344" t="s">
        <v>583</v>
      </c>
      <c r="B572" s="343"/>
      <c r="C572" s="821">
        <f t="shared" ref="C572:AH572" si="1163">C712+C713+C714</f>
        <v>1659</v>
      </c>
      <c r="D572" s="821">
        <f t="shared" si="1163"/>
        <v>882</v>
      </c>
      <c r="E572" s="821">
        <f t="shared" si="1163"/>
        <v>-2369</v>
      </c>
      <c r="F572" s="821">
        <f t="shared" si="1163"/>
        <v>2047</v>
      </c>
      <c r="G572" s="37">
        <f t="shared" si="1163"/>
        <v>1967</v>
      </c>
      <c r="H572" s="37">
        <f t="shared" si="1163"/>
        <v>5826</v>
      </c>
      <c r="I572" s="37">
        <f t="shared" si="1163"/>
        <v>-1381</v>
      </c>
      <c r="J572" s="37">
        <f t="shared" si="1163"/>
        <v>1834</v>
      </c>
      <c r="K572" s="821">
        <f t="shared" si="1163"/>
        <v>8246</v>
      </c>
      <c r="L572" s="37">
        <f t="shared" si="1163"/>
        <v>2624</v>
      </c>
      <c r="M572" s="37">
        <f t="shared" si="1163"/>
        <v>479</v>
      </c>
      <c r="N572" s="37">
        <f t="shared" si="1163"/>
        <v>2164</v>
      </c>
      <c r="O572" s="37">
        <f t="shared" si="1163"/>
        <v>2121</v>
      </c>
      <c r="P572" s="821">
        <f t="shared" si="1163"/>
        <v>7388</v>
      </c>
      <c r="Q572" s="37">
        <f t="shared" si="1163"/>
        <v>6102</v>
      </c>
      <c r="R572" s="37">
        <f t="shared" si="1163"/>
        <v>-2048</v>
      </c>
      <c r="S572" s="37">
        <f t="shared" si="1163"/>
        <v>3962</v>
      </c>
      <c r="T572" s="37">
        <f t="shared" si="1163"/>
        <v>2708</v>
      </c>
      <c r="U572" s="821">
        <f t="shared" si="1163"/>
        <v>10724</v>
      </c>
      <c r="V572" s="37">
        <f t="shared" si="1163"/>
        <v>3788</v>
      </c>
      <c r="W572" s="37">
        <f t="shared" si="1163"/>
        <v>2717</v>
      </c>
      <c r="X572" s="37">
        <f t="shared" si="1163"/>
        <v>476</v>
      </c>
      <c r="Y572" s="37">
        <f t="shared" si="1163"/>
        <v>489</v>
      </c>
      <c r="Z572" s="821">
        <f t="shared" si="1163"/>
        <v>7470</v>
      </c>
      <c r="AA572" s="37">
        <f t="shared" si="1163"/>
        <v>-900</v>
      </c>
      <c r="AB572" s="37">
        <f t="shared" si="1163"/>
        <v>-2412</v>
      </c>
      <c r="AC572" s="37">
        <f t="shared" si="1163"/>
        <v>-910</v>
      </c>
      <c r="AD572" s="37">
        <f t="shared" si="1163"/>
        <v>-3239</v>
      </c>
      <c r="AE572" s="821">
        <f t="shared" si="1163"/>
        <v>-7461</v>
      </c>
      <c r="AF572" s="37">
        <f t="shared" si="1163"/>
        <v>956</v>
      </c>
      <c r="AG572" s="37">
        <f t="shared" si="1163"/>
        <v>-1323</v>
      </c>
      <c r="AH572" s="37">
        <f t="shared" si="1163"/>
        <v>-2444</v>
      </c>
      <c r="AI572" s="37">
        <f t="shared" ref="AI572:BT572" si="1164">AI712+AI713+AI714</f>
        <v>-1691</v>
      </c>
      <c r="AJ572" s="821">
        <f t="shared" si="1164"/>
        <v>-4502</v>
      </c>
      <c r="AK572" s="37">
        <f t="shared" si="1164"/>
        <v>-1570</v>
      </c>
      <c r="AL572" s="37">
        <f t="shared" si="1164"/>
        <v>-2482</v>
      </c>
      <c r="AM572" s="37">
        <f t="shared" si="1164"/>
        <v>2157</v>
      </c>
      <c r="AN572" s="37">
        <f t="shared" si="1164"/>
        <v>-5951</v>
      </c>
      <c r="AO572" s="821">
        <f t="shared" si="1164"/>
        <v>-7846</v>
      </c>
      <c r="AP572" s="37">
        <f t="shared" si="1164"/>
        <v>5358</v>
      </c>
      <c r="AQ572" s="37">
        <f t="shared" si="1164"/>
        <v>1643</v>
      </c>
      <c r="AR572" s="37">
        <f t="shared" si="1164"/>
        <v>689</v>
      </c>
      <c r="AS572" s="37">
        <f t="shared" si="1164"/>
        <v>-220</v>
      </c>
      <c r="AT572" s="821">
        <f t="shared" si="1164"/>
        <v>7470</v>
      </c>
      <c r="AU572" s="37">
        <f t="shared" si="1164"/>
        <v>1159</v>
      </c>
      <c r="AV572" s="37">
        <f t="shared" si="1164"/>
        <v>-2463</v>
      </c>
      <c r="AW572" s="37">
        <f t="shared" si="1164"/>
        <v>-5628</v>
      </c>
      <c r="AX572" s="37">
        <f t="shared" si="1164"/>
        <v>-6004</v>
      </c>
      <c r="AY572" s="821">
        <f t="shared" si="1164"/>
        <v>-12936</v>
      </c>
      <c r="AZ572" s="37">
        <f t="shared" si="1164"/>
        <v>-2001</v>
      </c>
      <c r="BA572" s="37">
        <f t="shared" si="1164"/>
        <v>-3652</v>
      </c>
      <c r="BB572" s="37">
        <f t="shared" si="1164"/>
        <v>-2518</v>
      </c>
      <c r="BC572" s="37">
        <f t="shared" si="1164"/>
        <v>-308</v>
      </c>
      <c r="BD572" s="821">
        <f t="shared" si="1164"/>
        <v>-8479</v>
      </c>
      <c r="BE572" s="37">
        <f t="shared" si="1164"/>
        <v>-100</v>
      </c>
      <c r="BF572" s="22">
        <f t="shared" si="1164"/>
        <v>-1596</v>
      </c>
      <c r="BG572" s="22">
        <f t="shared" si="1164"/>
        <v>-2394</v>
      </c>
      <c r="BH572" s="22">
        <f t="shared" si="1164"/>
        <v>35</v>
      </c>
      <c r="BI572" s="852">
        <f t="shared" si="1164"/>
        <v>-4055</v>
      </c>
      <c r="BJ572" s="22">
        <f t="shared" si="1164"/>
        <v>1027</v>
      </c>
      <c r="BK572" s="22">
        <f t="shared" si="1164"/>
        <v>1345</v>
      </c>
      <c r="BL572" s="22">
        <f t="shared" si="1164"/>
        <v>2584</v>
      </c>
      <c r="BM572" s="22">
        <f t="shared" si="1164"/>
        <v>-1388</v>
      </c>
      <c r="BN572" s="852">
        <f t="shared" si="1164"/>
        <v>3568</v>
      </c>
      <c r="BO572" s="22">
        <f t="shared" si="1164"/>
        <v>5030</v>
      </c>
      <c r="BP572" s="22">
        <f t="shared" si="1164"/>
        <v>-299</v>
      </c>
      <c r="BQ572" s="22">
        <f t="shared" si="1164"/>
        <v>2059</v>
      </c>
      <c r="BR572" s="22">
        <f t="shared" si="1164"/>
        <v>-924</v>
      </c>
      <c r="BS572" s="852">
        <f t="shared" si="1164"/>
        <v>5866</v>
      </c>
      <c r="BT572" s="648">
        <f t="shared" si="1164"/>
        <v>4642</v>
      </c>
      <c r="BU572" s="763">
        <v>0</v>
      </c>
      <c r="BV572" s="763">
        <v>0</v>
      </c>
      <c r="BW572" s="763">
        <v>0</v>
      </c>
      <c r="BX572" s="821">
        <f>BX712+BX713+BX714</f>
        <v>4642</v>
      </c>
      <c r="BY572" s="763">
        <v>0</v>
      </c>
      <c r="BZ572" s="763">
        <v>0</v>
      </c>
      <c r="CA572" s="763">
        <v>0</v>
      </c>
      <c r="CB572" s="763">
        <v>0</v>
      </c>
      <c r="CC572" s="821">
        <f>CC712+CC713+CC714</f>
        <v>0</v>
      </c>
      <c r="CD572" s="827">
        <v>0</v>
      </c>
      <c r="CE572" s="827">
        <v>0</v>
      </c>
      <c r="CF572" s="827">
        <v>0</v>
      </c>
      <c r="CG572" s="25"/>
    </row>
    <row r="573" spans="1:85" s="440" customFormat="1" x14ac:dyDescent="0.3">
      <c r="A573" s="344" t="s">
        <v>586</v>
      </c>
      <c r="B573" s="343"/>
      <c r="C573" s="821">
        <f t="shared" ref="C573:AH573" si="1165">C719+C718</f>
        <v>168</v>
      </c>
      <c r="D573" s="821">
        <f t="shared" si="1165"/>
        <v>-306</v>
      </c>
      <c r="E573" s="821">
        <f t="shared" si="1165"/>
        <v>-3193</v>
      </c>
      <c r="F573" s="821">
        <f t="shared" si="1165"/>
        <v>-4142</v>
      </c>
      <c r="G573" s="37">
        <f t="shared" si="1165"/>
        <v>-1027</v>
      </c>
      <c r="H573" s="37">
        <f t="shared" si="1165"/>
        <v>-1001</v>
      </c>
      <c r="I573" s="37">
        <f t="shared" si="1165"/>
        <v>-1278</v>
      </c>
      <c r="J573" s="37">
        <f t="shared" si="1165"/>
        <v>-1188</v>
      </c>
      <c r="K573" s="821">
        <f t="shared" si="1165"/>
        <v>-4494</v>
      </c>
      <c r="L573" s="37">
        <f t="shared" si="1165"/>
        <v>-1190</v>
      </c>
      <c r="M573" s="37">
        <f t="shared" si="1165"/>
        <v>-829</v>
      </c>
      <c r="N573" s="37">
        <f t="shared" si="1165"/>
        <v>-1155</v>
      </c>
      <c r="O573" s="37">
        <f t="shared" si="1165"/>
        <v>-1238</v>
      </c>
      <c r="P573" s="821">
        <f t="shared" si="1165"/>
        <v>-4412</v>
      </c>
      <c r="Q573" s="37">
        <f t="shared" si="1165"/>
        <v>55</v>
      </c>
      <c r="R573" s="37">
        <f t="shared" si="1165"/>
        <v>83</v>
      </c>
      <c r="S573" s="37">
        <f t="shared" si="1165"/>
        <v>20</v>
      </c>
      <c r="T573" s="37">
        <f t="shared" si="1165"/>
        <v>53</v>
      </c>
      <c r="U573" s="821">
        <f t="shared" si="1165"/>
        <v>211</v>
      </c>
      <c r="V573" s="37">
        <f t="shared" si="1165"/>
        <v>123</v>
      </c>
      <c r="W573" s="37">
        <f t="shared" si="1165"/>
        <v>139</v>
      </c>
      <c r="X573" s="37">
        <f t="shared" si="1165"/>
        <v>97</v>
      </c>
      <c r="Y573" s="37">
        <f t="shared" si="1165"/>
        <v>291</v>
      </c>
      <c r="Z573" s="821">
        <f t="shared" si="1165"/>
        <v>650</v>
      </c>
      <c r="AA573" s="37">
        <f t="shared" si="1165"/>
        <v>245</v>
      </c>
      <c r="AB573" s="37">
        <f t="shared" si="1165"/>
        <v>34</v>
      </c>
      <c r="AC573" s="37">
        <f t="shared" si="1165"/>
        <v>370</v>
      </c>
      <c r="AD573" s="37">
        <f t="shared" si="1165"/>
        <v>468</v>
      </c>
      <c r="AE573" s="821">
        <f t="shared" si="1165"/>
        <v>1117</v>
      </c>
      <c r="AF573" s="37">
        <f t="shared" si="1165"/>
        <v>566</v>
      </c>
      <c r="AG573" s="37">
        <f t="shared" si="1165"/>
        <v>442</v>
      </c>
      <c r="AH573" s="37">
        <f t="shared" si="1165"/>
        <v>-671</v>
      </c>
      <c r="AI573" s="37">
        <f t="shared" ref="AI573:BP573" si="1166">AI719+AI718</f>
        <v>-941</v>
      </c>
      <c r="AJ573" s="821">
        <f t="shared" si="1166"/>
        <v>-604</v>
      </c>
      <c r="AK573" s="37">
        <f t="shared" si="1166"/>
        <v>-15</v>
      </c>
      <c r="AL573" s="37">
        <f t="shared" si="1166"/>
        <v>-825</v>
      </c>
      <c r="AM573" s="37">
        <f t="shared" si="1166"/>
        <v>-1005</v>
      </c>
      <c r="AN573" s="37">
        <f t="shared" si="1166"/>
        <v>-1090</v>
      </c>
      <c r="AO573" s="821">
        <f t="shared" si="1166"/>
        <v>-2935</v>
      </c>
      <c r="AP573" s="37">
        <f t="shared" si="1166"/>
        <v>-1573</v>
      </c>
      <c r="AQ573" s="37">
        <f t="shared" si="1166"/>
        <v>23</v>
      </c>
      <c r="AR573" s="37">
        <f t="shared" si="1166"/>
        <v>5</v>
      </c>
      <c r="AS573" s="37">
        <f t="shared" si="1166"/>
        <v>14</v>
      </c>
      <c r="AT573" s="821">
        <f t="shared" si="1166"/>
        <v>-1531</v>
      </c>
      <c r="AU573" s="37">
        <f t="shared" si="1166"/>
        <v>267</v>
      </c>
      <c r="AV573" s="37">
        <f t="shared" si="1166"/>
        <v>106</v>
      </c>
      <c r="AW573" s="37">
        <f t="shared" si="1166"/>
        <v>-618</v>
      </c>
      <c r="AX573" s="37">
        <f t="shared" si="1166"/>
        <v>283</v>
      </c>
      <c r="AY573" s="821">
        <f t="shared" si="1166"/>
        <v>38</v>
      </c>
      <c r="AZ573" s="37">
        <f t="shared" si="1166"/>
        <v>3386</v>
      </c>
      <c r="BA573" s="37">
        <f t="shared" si="1166"/>
        <v>-1689</v>
      </c>
      <c r="BB573" s="37">
        <f t="shared" si="1166"/>
        <v>-3697</v>
      </c>
      <c r="BC573" s="37">
        <f t="shared" si="1166"/>
        <v>-3417</v>
      </c>
      <c r="BD573" s="821">
        <f t="shared" si="1166"/>
        <v>-5417</v>
      </c>
      <c r="BE573" s="37">
        <f t="shared" si="1166"/>
        <v>-3607</v>
      </c>
      <c r="BF573" s="22">
        <f t="shared" si="1166"/>
        <v>-4340</v>
      </c>
      <c r="BG573" s="22">
        <f t="shared" si="1166"/>
        <v>-3334</v>
      </c>
      <c r="BH573" s="22">
        <f t="shared" si="1166"/>
        <v>-3397</v>
      </c>
      <c r="BI573" s="852">
        <f t="shared" si="1166"/>
        <v>-14678</v>
      </c>
      <c r="BJ573" s="22">
        <f t="shared" si="1166"/>
        <v>-2891</v>
      </c>
      <c r="BK573" s="22">
        <f t="shared" si="1166"/>
        <v>-2930</v>
      </c>
      <c r="BL573" s="22">
        <f t="shared" si="1166"/>
        <v>-4714</v>
      </c>
      <c r="BM573" s="22">
        <f t="shared" si="1166"/>
        <v>-4509</v>
      </c>
      <c r="BN573" s="852">
        <f t="shared" si="1166"/>
        <v>-15044</v>
      </c>
      <c r="BO573" s="37">
        <f t="shared" si="1166"/>
        <v>-3699</v>
      </c>
      <c r="BP573" s="37">
        <f t="shared" si="1166"/>
        <v>-2733</v>
      </c>
      <c r="BQ573" s="22">
        <f t="shared" ref="BQ573:BT573" si="1167">BQ719+BQ718</f>
        <v>-2482</v>
      </c>
      <c r="BR573" s="22">
        <f t="shared" si="1167"/>
        <v>-2941</v>
      </c>
      <c r="BS573" s="852">
        <f t="shared" si="1167"/>
        <v>-11855</v>
      </c>
      <c r="BT573" s="648">
        <f t="shared" si="1167"/>
        <v>-1412</v>
      </c>
      <c r="BU573" s="763">
        <v>-2800</v>
      </c>
      <c r="BV573" s="763">
        <v>0</v>
      </c>
      <c r="BW573" s="763">
        <v>0</v>
      </c>
      <c r="BX573" s="821">
        <f>BX719+BX718</f>
        <v>-4212</v>
      </c>
      <c r="BY573" s="763">
        <v>0</v>
      </c>
      <c r="BZ573" s="763">
        <v>0</v>
      </c>
      <c r="CA573" s="763">
        <v>0</v>
      </c>
      <c r="CB573" s="763">
        <v>0</v>
      </c>
      <c r="CC573" s="821">
        <f>CC719+CC718</f>
        <v>0</v>
      </c>
      <c r="CD573" s="827">
        <v>0</v>
      </c>
      <c r="CE573" s="827">
        <v>0</v>
      </c>
      <c r="CF573" s="827">
        <v>0</v>
      </c>
      <c r="CG573" s="25"/>
    </row>
    <row r="574" spans="1:85" s="440" customFormat="1" x14ac:dyDescent="0.3">
      <c r="A574" s="396" t="s">
        <v>587</v>
      </c>
      <c r="B574" s="346"/>
      <c r="C574" s="920"/>
      <c r="D574" s="920"/>
      <c r="E574" s="920"/>
      <c r="F574" s="920"/>
      <c r="G574" s="324"/>
      <c r="H574" s="324"/>
      <c r="I574" s="324"/>
      <c r="J574" s="324"/>
      <c r="K574" s="920"/>
      <c r="L574" s="324"/>
      <c r="M574" s="324"/>
      <c r="N574" s="324"/>
      <c r="O574" s="324"/>
      <c r="P574" s="920"/>
      <c r="Q574" s="324"/>
      <c r="R574" s="324"/>
      <c r="S574" s="324"/>
      <c r="T574" s="324"/>
      <c r="U574" s="920"/>
      <c r="V574" s="324"/>
      <c r="W574" s="324"/>
      <c r="X574" s="324"/>
      <c r="Y574" s="324"/>
      <c r="Z574" s="920"/>
      <c r="AA574" s="324"/>
      <c r="AB574" s="324"/>
      <c r="AC574" s="324"/>
      <c r="AD574" s="324"/>
      <c r="AE574" s="920"/>
      <c r="AF574" s="324"/>
      <c r="AG574" s="324"/>
      <c r="AH574" s="324"/>
      <c r="AI574" s="324"/>
      <c r="AJ574" s="920"/>
      <c r="AK574" s="324"/>
      <c r="AL574" s="324"/>
      <c r="AM574" s="324"/>
      <c r="AN574" s="324"/>
      <c r="AO574" s="920"/>
      <c r="AP574" s="324"/>
      <c r="AQ574" s="324"/>
      <c r="AR574" s="324"/>
      <c r="AS574" s="324"/>
      <c r="AT574" s="920"/>
      <c r="AU574" s="324"/>
      <c r="AV574" s="324"/>
      <c r="AW574" s="324"/>
      <c r="AX574" s="324"/>
      <c r="AY574" s="920"/>
      <c r="AZ574" s="324"/>
      <c r="BA574" s="324"/>
      <c r="BB574" s="324"/>
      <c r="BC574" s="324"/>
      <c r="BD574" s="920"/>
      <c r="BE574" s="324"/>
      <c r="BF574" s="324"/>
      <c r="BG574" s="324"/>
      <c r="BH574" s="324"/>
      <c r="BI574" s="920"/>
      <c r="BJ574" s="324"/>
      <c r="BK574" s="324"/>
      <c r="BL574" s="324"/>
      <c r="BM574" s="324"/>
      <c r="BN574" s="920"/>
      <c r="BO574" s="324"/>
      <c r="BP574" s="324"/>
      <c r="BQ574" s="324"/>
      <c r="BR574" s="324"/>
      <c r="BS574" s="920"/>
      <c r="BT574" s="715"/>
      <c r="BU574" s="795">
        <v>185</v>
      </c>
      <c r="BV574" s="795">
        <v>185</v>
      </c>
      <c r="BW574" s="795">
        <v>185</v>
      </c>
      <c r="BX574" s="920">
        <f>AVERAGE(BT574,BU574,BV574,BW574)</f>
        <v>185</v>
      </c>
      <c r="BY574" s="795">
        <v>204</v>
      </c>
      <c r="BZ574" s="795">
        <v>204</v>
      </c>
      <c r="CA574" s="795">
        <v>204</v>
      </c>
      <c r="CB574" s="795">
        <v>204</v>
      </c>
      <c r="CC574" s="920">
        <f>AVERAGE(BY574,BZ574,CA574,CB574)</f>
        <v>204</v>
      </c>
      <c r="CD574" s="921">
        <v>224</v>
      </c>
      <c r="CE574" s="921">
        <v>246</v>
      </c>
      <c r="CF574" s="921">
        <v>271</v>
      </c>
      <c r="CG574" s="25"/>
    </row>
    <row r="575" spans="1:85" s="438" customFormat="1" x14ac:dyDescent="0.3">
      <c r="A575" s="347"/>
      <c r="B575" s="348"/>
      <c r="C575" s="922"/>
      <c r="D575" s="922"/>
      <c r="E575" s="922"/>
      <c r="F575" s="922"/>
      <c r="G575" s="750"/>
      <c r="H575" s="750"/>
      <c r="I575" s="750"/>
      <c r="J575" s="750"/>
      <c r="K575" s="922"/>
      <c r="L575" s="750"/>
      <c r="M575" s="750"/>
      <c r="N575" s="750"/>
      <c r="O575" s="750"/>
      <c r="P575" s="922"/>
      <c r="Q575" s="750"/>
      <c r="R575" s="750"/>
      <c r="S575" s="750"/>
      <c r="T575" s="750"/>
      <c r="U575" s="922"/>
      <c r="V575" s="750"/>
      <c r="W575" s="750"/>
      <c r="X575" s="750"/>
      <c r="Y575" s="750"/>
      <c r="Z575" s="922"/>
      <c r="AA575" s="750"/>
      <c r="AB575" s="750"/>
      <c r="AC575" s="750"/>
      <c r="AD575" s="750"/>
      <c r="AE575" s="922"/>
      <c r="AF575" s="750"/>
      <c r="AG575" s="750"/>
      <c r="AH575" s="750"/>
      <c r="AI575" s="750"/>
      <c r="AJ575" s="922"/>
      <c r="AK575" s="750"/>
      <c r="AL575" s="750"/>
      <c r="AM575" s="750"/>
      <c r="AN575" s="750"/>
      <c r="AO575" s="922"/>
      <c r="AP575" s="750"/>
      <c r="AQ575" s="750"/>
      <c r="AR575" s="750"/>
      <c r="AS575" s="750"/>
      <c r="AT575" s="922"/>
      <c r="AU575" s="750"/>
      <c r="AV575" s="750"/>
      <c r="AW575" s="750"/>
      <c r="AX575" s="750"/>
      <c r="AY575" s="922"/>
      <c r="AZ575" s="750"/>
      <c r="BA575" s="750"/>
      <c r="BB575" s="750"/>
      <c r="BC575" s="750"/>
      <c r="BD575" s="922"/>
      <c r="BE575" s="750"/>
      <c r="BF575" s="750"/>
      <c r="BG575" s="750"/>
      <c r="BH575" s="750"/>
      <c r="BI575" s="922"/>
      <c r="BJ575" s="750"/>
      <c r="BK575" s="750"/>
      <c r="BL575" s="750"/>
      <c r="BM575" s="750"/>
      <c r="BN575" s="922"/>
      <c r="BO575" s="750"/>
      <c r="BP575" s="750"/>
      <c r="BQ575" s="750"/>
      <c r="BR575" s="750"/>
      <c r="BS575" s="922"/>
      <c r="BT575" s="751"/>
      <c r="BU575" s="750"/>
      <c r="BV575" s="750"/>
      <c r="BW575" s="750"/>
      <c r="BX575" s="922"/>
      <c r="BY575" s="750"/>
      <c r="BZ575" s="750"/>
      <c r="CA575" s="750"/>
      <c r="CB575" s="750"/>
      <c r="CC575" s="922"/>
      <c r="CD575" s="922"/>
      <c r="CE575" s="922"/>
      <c r="CF575" s="922"/>
      <c r="CG575" s="322"/>
    </row>
    <row r="576" spans="1:85" s="428" customFormat="1" hidden="1" outlineLevel="1" x14ac:dyDescent="0.3">
      <c r="A576" s="37" t="s">
        <v>232</v>
      </c>
      <c r="B576" s="109"/>
      <c r="C576" s="821">
        <f t="shared" ref="C576:AH576" si="1168">C559+C565</f>
        <v>1831</v>
      </c>
      <c r="D576" s="821">
        <f t="shared" si="1168"/>
        <v>11666</v>
      </c>
      <c r="E576" s="821">
        <f t="shared" si="1168"/>
        <v>12277</v>
      </c>
      <c r="F576" s="821">
        <f t="shared" si="1168"/>
        <v>7511</v>
      </c>
      <c r="G576" s="37">
        <f t="shared" si="1168"/>
        <v>882</v>
      </c>
      <c r="H576" s="37">
        <f t="shared" si="1168"/>
        <v>-898</v>
      </c>
      <c r="I576" s="37">
        <f t="shared" si="1168"/>
        <v>282</v>
      </c>
      <c r="J576" s="37">
        <f t="shared" si="1168"/>
        <v>-1918</v>
      </c>
      <c r="K576" s="821">
        <f t="shared" si="1168"/>
        <v>-1652</v>
      </c>
      <c r="L576" s="37">
        <f t="shared" si="1168"/>
        <v>-509</v>
      </c>
      <c r="M576" s="37">
        <f t="shared" si="1168"/>
        <v>73</v>
      </c>
      <c r="N576" s="37">
        <f t="shared" si="1168"/>
        <v>51</v>
      </c>
      <c r="O576" s="37">
        <f t="shared" si="1168"/>
        <v>-3007</v>
      </c>
      <c r="P576" s="821">
        <f t="shared" si="1168"/>
        <v>-3392</v>
      </c>
      <c r="Q576" s="37">
        <f t="shared" si="1168"/>
        <v>-3298</v>
      </c>
      <c r="R576" s="37">
        <f t="shared" si="1168"/>
        <v>-383</v>
      </c>
      <c r="S576" s="37">
        <f t="shared" si="1168"/>
        <v>-1154</v>
      </c>
      <c r="T576" s="37">
        <f t="shared" si="1168"/>
        <v>-3234</v>
      </c>
      <c r="U576" s="821">
        <f t="shared" si="1168"/>
        <v>-8069</v>
      </c>
      <c r="V576" s="37">
        <f t="shared" si="1168"/>
        <v>-3432</v>
      </c>
      <c r="W576" s="37">
        <f t="shared" si="1168"/>
        <v>-840</v>
      </c>
      <c r="X576" s="37">
        <f t="shared" si="1168"/>
        <v>421</v>
      </c>
      <c r="Y576" s="37">
        <f t="shared" si="1168"/>
        <v>-862</v>
      </c>
      <c r="Z576" s="821">
        <f t="shared" si="1168"/>
        <v>-4713</v>
      </c>
      <c r="AA576" s="37">
        <f t="shared" si="1168"/>
        <v>1521</v>
      </c>
      <c r="AB576" s="37">
        <f t="shared" si="1168"/>
        <v>2053</v>
      </c>
      <c r="AC576" s="37">
        <f t="shared" si="1168"/>
        <v>1643</v>
      </c>
      <c r="AD576" s="37">
        <f t="shared" si="1168"/>
        <v>1418</v>
      </c>
      <c r="AE576" s="821">
        <f t="shared" si="1168"/>
        <v>6635</v>
      </c>
      <c r="AF576" s="37">
        <f t="shared" si="1168"/>
        <v>4150</v>
      </c>
      <c r="AG576" s="37">
        <f t="shared" si="1168"/>
        <v>3812</v>
      </c>
      <c r="AH576" s="37">
        <f t="shared" si="1168"/>
        <v>5586</v>
      </c>
      <c r="AI576" s="37">
        <f t="shared" ref="AI576:AY576" si="1169">AI559+AI565</f>
        <v>3996</v>
      </c>
      <c r="AJ576" s="821">
        <f t="shared" si="1169"/>
        <v>17544</v>
      </c>
      <c r="AK576" s="37">
        <f t="shared" si="1169"/>
        <v>3314</v>
      </c>
      <c r="AL576" s="37">
        <f t="shared" si="1169"/>
        <v>4268</v>
      </c>
      <c r="AM576" s="37">
        <f t="shared" si="1169"/>
        <v>3043</v>
      </c>
      <c r="AN576" s="37">
        <f t="shared" si="1169"/>
        <v>1079</v>
      </c>
      <c r="AO576" s="821">
        <f t="shared" si="1169"/>
        <v>11704</v>
      </c>
      <c r="AP576" s="37">
        <f t="shared" si="1169"/>
        <v>2685</v>
      </c>
      <c r="AQ576" s="37">
        <f t="shared" si="1169"/>
        <v>-2735</v>
      </c>
      <c r="AR576" s="37">
        <f>AR559+AR565</f>
        <v>1555</v>
      </c>
      <c r="AS576" s="37">
        <f t="shared" ref="AS576:AU576" si="1170">AS559+AS565</f>
        <v>1802</v>
      </c>
      <c r="AT576" s="821">
        <f t="shared" si="1170"/>
        <v>3307</v>
      </c>
      <c r="AU576" s="37">
        <f t="shared" si="1170"/>
        <v>3352</v>
      </c>
      <c r="AV576" s="37">
        <f>AV559+AV565</f>
        <v>5287</v>
      </c>
      <c r="AW576" s="37">
        <f>AW559+AW565</f>
        <v>7099</v>
      </c>
      <c r="AX576" s="37">
        <f t="shared" si="1169"/>
        <v>6754</v>
      </c>
      <c r="AY576" s="821">
        <f t="shared" si="1169"/>
        <v>22492</v>
      </c>
      <c r="AZ576" s="37">
        <f t="shared" ref="AZ576:BG576" si="1171">AZ559+AZ565</f>
        <v>7032</v>
      </c>
      <c r="BA576" s="37">
        <f t="shared" si="1171"/>
        <v>10066</v>
      </c>
      <c r="BB576" s="37">
        <f t="shared" si="1171"/>
        <v>10695</v>
      </c>
      <c r="BC576" s="37">
        <f t="shared" si="1171"/>
        <v>7710</v>
      </c>
      <c r="BD576" s="821">
        <f t="shared" si="1171"/>
        <v>35503</v>
      </c>
      <c r="BE576" s="37">
        <f t="shared" si="1171"/>
        <v>5982</v>
      </c>
      <c r="BF576" s="37">
        <f t="shared" si="1171"/>
        <v>5673</v>
      </c>
      <c r="BG576" s="37">
        <f t="shared" si="1171"/>
        <v>4233</v>
      </c>
      <c r="BH576" s="22">
        <f t="shared" ref="BH576:BJ576" si="1172">BH559+BH565</f>
        <v>7077</v>
      </c>
      <c r="BI576" s="852">
        <f t="shared" si="1172"/>
        <v>22965</v>
      </c>
      <c r="BJ576" s="22">
        <f t="shared" si="1172"/>
        <v>3883</v>
      </c>
      <c r="BK576" s="22">
        <f t="shared" ref="BK576" si="1173">BK559+BK565</f>
        <v>4760</v>
      </c>
      <c r="BL576" s="37">
        <f t="shared" ref="BL576:BX576" si="1174">BL559+BL565</f>
        <v>4216</v>
      </c>
      <c r="BM576" s="22">
        <f t="shared" si="1174"/>
        <v>974</v>
      </c>
      <c r="BN576" s="852">
        <f t="shared" si="1174"/>
        <v>13833</v>
      </c>
      <c r="BO576" s="22">
        <f t="shared" ref="BO576:BP576" si="1175">BO559+BO565</f>
        <v>3670</v>
      </c>
      <c r="BP576" s="22">
        <f t="shared" si="1175"/>
        <v>4586</v>
      </c>
      <c r="BQ576" s="37">
        <f>BQ559+BQ565</f>
        <v>5496</v>
      </c>
      <c r="BR576" s="22">
        <f t="shared" ref="BR576:BS576" si="1176">BR559+BR565</f>
        <v>3848</v>
      </c>
      <c r="BS576" s="852">
        <f t="shared" si="1176"/>
        <v>17600</v>
      </c>
      <c r="BT576" s="480">
        <f t="shared" ref="BT576" si="1177">BT559+BT565</f>
        <v>3076</v>
      </c>
      <c r="BU576" s="37">
        <f>BU559+BU565</f>
        <v>10686.854767698625</v>
      </c>
      <c r="BV576" s="37">
        <f ca="1">BV559+BV565</f>
        <v>6638.6254209041072</v>
      </c>
      <c r="BW576" s="37">
        <f ca="1">BW559+BW565</f>
        <v>6332.3669509041101</v>
      </c>
      <c r="BX576" s="821">
        <f t="shared" ca="1" si="1174"/>
        <v>26733.847139506841</v>
      </c>
      <c r="BY576" s="37">
        <f t="shared" ref="BY576:CF576" ca="1" si="1178">BY559+BY565</f>
        <v>7196.860269315066</v>
      </c>
      <c r="BZ576" s="37">
        <f t="shared" ca="1" si="1178"/>
        <v>7714.108831913014</v>
      </c>
      <c r="CA576" s="37">
        <f t="shared" ca="1" si="1178"/>
        <v>7883.9388586109526</v>
      </c>
      <c r="CB576" s="37">
        <f t="shared" ca="1" si="1178"/>
        <v>7790.8839538109569</v>
      </c>
      <c r="CC576" s="821">
        <f t="shared" ca="1" si="1178"/>
        <v>30585.791913649991</v>
      </c>
      <c r="CD576" s="821">
        <f t="shared" ca="1" si="1178"/>
        <v>29927.821157500002</v>
      </c>
      <c r="CE576" s="821">
        <f t="shared" ca="1" si="1178"/>
        <v>28642.951027750001</v>
      </c>
      <c r="CF576" s="821">
        <f t="shared" ca="1" si="1178"/>
        <v>22776.002814999993</v>
      </c>
      <c r="CG576" s="37"/>
    </row>
    <row r="577" spans="1:85" s="428" customFormat="1" hidden="1" outlineLevel="1" x14ac:dyDescent="0.3">
      <c r="A577" s="37" t="s">
        <v>233</v>
      </c>
      <c r="B577" s="109"/>
      <c r="C577" s="821">
        <f t="shared" ref="C577:AH577" si="1179">C576+C569</f>
        <v>-3471</v>
      </c>
      <c r="D577" s="821">
        <f t="shared" si="1179"/>
        <v>5997</v>
      </c>
      <c r="E577" s="821">
        <f t="shared" si="1179"/>
        <v>6141</v>
      </c>
      <c r="F577" s="821">
        <f t="shared" si="1179"/>
        <v>667</v>
      </c>
      <c r="G577" s="37">
        <f t="shared" si="1179"/>
        <v>-853</v>
      </c>
      <c r="H577" s="37">
        <f t="shared" si="1179"/>
        <v>-2819</v>
      </c>
      <c r="I577" s="37">
        <f t="shared" si="1179"/>
        <v>-1633</v>
      </c>
      <c r="J577" s="37">
        <f t="shared" si="1179"/>
        <v>-3821</v>
      </c>
      <c r="K577" s="821">
        <f t="shared" si="1179"/>
        <v>-9126</v>
      </c>
      <c r="L577" s="37">
        <f t="shared" si="1179"/>
        <v>-2404</v>
      </c>
      <c r="M577" s="37">
        <f t="shared" si="1179"/>
        <v>-1946</v>
      </c>
      <c r="N577" s="37">
        <f t="shared" si="1179"/>
        <v>-1961</v>
      </c>
      <c r="O577" s="37">
        <f t="shared" si="1179"/>
        <v>-5009</v>
      </c>
      <c r="P577" s="821">
        <f t="shared" si="1179"/>
        <v>-11320</v>
      </c>
      <c r="Q577" s="37">
        <f t="shared" si="1179"/>
        <v>-5295</v>
      </c>
      <c r="R577" s="37">
        <f t="shared" si="1179"/>
        <v>-2380</v>
      </c>
      <c r="S577" s="37">
        <f t="shared" si="1179"/>
        <v>-3153</v>
      </c>
      <c r="T577" s="37">
        <f t="shared" si="1179"/>
        <v>-5233</v>
      </c>
      <c r="U577" s="821">
        <f t="shared" si="1179"/>
        <v>-16061</v>
      </c>
      <c r="V577" s="37">
        <f t="shared" si="1179"/>
        <v>-5432</v>
      </c>
      <c r="W577" s="37">
        <f t="shared" si="1179"/>
        <v>-2842</v>
      </c>
      <c r="X577" s="37">
        <f t="shared" si="1179"/>
        <v>-1584</v>
      </c>
      <c r="Y577" s="37">
        <f t="shared" si="1179"/>
        <v>-2887</v>
      </c>
      <c r="Z577" s="821">
        <f t="shared" si="1179"/>
        <v>-12745</v>
      </c>
      <c r="AA577" s="37">
        <f t="shared" si="1179"/>
        <v>-508</v>
      </c>
      <c r="AB577" s="37">
        <f t="shared" si="1179"/>
        <v>21</v>
      </c>
      <c r="AC577" s="37">
        <f t="shared" si="1179"/>
        <v>-389</v>
      </c>
      <c r="AD577" s="37">
        <f t="shared" si="1179"/>
        <v>-621</v>
      </c>
      <c r="AE577" s="821">
        <f t="shared" si="1179"/>
        <v>-1497</v>
      </c>
      <c r="AF577" s="37">
        <f t="shared" si="1179"/>
        <v>2026</v>
      </c>
      <c r="AG577" s="37">
        <f t="shared" si="1179"/>
        <v>1683</v>
      </c>
      <c r="AH577" s="37">
        <f t="shared" si="1179"/>
        <v>3457</v>
      </c>
      <c r="AI577" s="37">
        <f t="shared" ref="AI577:AY577" si="1180">AI576+AI569</f>
        <v>1876</v>
      </c>
      <c r="AJ577" s="821">
        <f t="shared" si="1180"/>
        <v>9042</v>
      </c>
      <c r="AK577" s="37">
        <f t="shared" si="1180"/>
        <v>1070</v>
      </c>
      <c r="AL577" s="37">
        <f t="shared" si="1180"/>
        <v>2018</v>
      </c>
      <c r="AM577" s="37">
        <f t="shared" si="1180"/>
        <v>806</v>
      </c>
      <c r="AN577" s="37">
        <f t="shared" si="1180"/>
        <v>-1149</v>
      </c>
      <c r="AO577" s="821">
        <f t="shared" si="1180"/>
        <v>2745</v>
      </c>
      <c r="AP577" s="37">
        <f t="shared" si="1180"/>
        <v>283</v>
      </c>
      <c r="AQ577" s="37">
        <f t="shared" si="1180"/>
        <v>-5129</v>
      </c>
      <c r="AR577" s="37">
        <f>AR576+AR569</f>
        <v>-835</v>
      </c>
      <c r="AS577" s="37">
        <f t="shared" ref="AS577:AU577" si="1181">AS576+AS569</f>
        <v>-663</v>
      </c>
      <c r="AT577" s="821">
        <f t="shared" si="1181"/>
        <v>-6344</v>
      </c>
      <c r="AU577" s="37">
        <f t="shared" si="1181"/>
        <v>884</v>
      </c>
      <c r="AV577" s="37">
        <f>AV576+AV569</f>
        <v>2714</v>
      </c>
      <c r="AW577" s="37">
        <f>AW576+AW569</f>
        <v>4528</v>
      </c>
      <c r="AX577" s="37">
        <f t="shared" si="1180"/>
        <v>4187</v>
      </c>
      <c r="AY577" s="821">
        <f t="shared" si="1180"/>
        <v>12313</v>
      </c>
      <c r="AZ577" s="37">
        <f t="shared" ref="AZ577:BG577" si="1182">AZ576+AZ569</f>
        <v>4286</v>
      </c>
      <c r="BA577" s="37">
        <f t="shared" si="1182"/>
        <v>7300</v>
      </c>
      <c r="BB577" s="37">
        <f t="shared" si="1182"/>
        <v>7952</v>
      </c>
      <c r="BC577" s="37">
        <f t="shared" si="1182"/>
        <v>4997</v>
      </c>
      <c r="BD577" s="821">
        <f t="shared" si="1182"/>
        <v>24535</v>
      </c>
      <c r="BE577" s="37">
        <f t="shared" si="1182"/>
        <v>3125</v>
      </c>
      <c r="BF577" s="37">
        <f t="shared" si="1182"/>
        <v>2855</v>
      </c>
      <c r="BG577" s="37">
        <f t="shared" si="1182"/>
        <v>1381</v>
      </c>
      <c r="BH577" s="22">
        <f t="shared" ref="BH577:BJ577" si="1183">BH576+BH569</f>
        <v>4268</v>
      </c>
      <c r="BI577" s="852">
        <f t="shared" si="1183"/>
        <v>11629</v>
      </c>
      <c r="BJ577" s="22">
        <f t="shared" si="1183"/>
        <v>880</v>
      </c>
      <c r="BK577" s="22">
        <f t="shared" ref="BK577" si="1184">BK576+BK569</f>
        <v>1782</v>
      </c>
      <c r="BL577" s="37">
        <f t="shared" ref="BL577:BX577" si="1185">BL576+BL569</f>
        <v>1283</v>
      </c>
      <c r="BM577" s="22">
        <f t="shared" si="1185"/>
        <v>-1913</v>
      </c>
      <c r="BN577" s="852">
        <f t="shared" si="1185"/>
        <v>2032</v>
      </c>
      <c r="BO577" s="22">
        <f t="shared" ref="BO577:BP577" si="1186">BO576+BO569</f>
        <v>686</v>
      </c>
      <c r="BP577" s="22">
        <f t="shared" si="1186"/>
        <v>1652</v>
      </c>
      <c r="BQ577" s="37">
        <f>BQ576+BQ569</f>
        <v>2067</v>
      </c>
      <c r="BR577" s="22">
        <f t="shared" ref="BR577:BS577" si="1187">BR576+BR569</f>
        <v>444</v>
      </c>
      <c r="BS577" s="852">
        <f t="shared" si="1187"/>
        <v>4849</v>
      </c>
      <c r="BT577" s="480">
        <f t="shared" ref="BT577" si="1188">BT576+BT569</f>
        <v>-450</v>
      </c>
      <c r="BU577" s="37">
        <f ca="1">BU576+BU569</f>
        <v>7155.2810750088956</v>
      </c>
      <c r="BV577" s="37">
        <f ca="1">BV576+BV569</f>
        <v>3120.5219984846481</v>
      </c>
      <c r="BW577" s="37">
        <f ca="1">BW576+BW569</f>
        <v>2814.263528484651</v>
      </c>
      <c r="BX577" s="821">
        <f t="shared" ca="1" si="1185"/>
        <v>12640.066601978193</v>
      </c>
      <c r="BY577" s="37">
        <f t="shared" ref="BY577:CF577" ca="1" si="1189">BY576+BY569</f>
        <v>3678.7568468956069</v>
      </c>
      <c r="BZ577" s="37">
        <f t="shared" ca="1" si="1189"/>
        <v>4196.0054094935549</v>
      </c>
      <c r="CA577" s="37">
        <f t="shared" ca="1" si="1189"/>
        <v>4365.8354361914935</v>
      </c>
      <c r="CB577" s="37">
        <f t="shared" ca="1" si="1189"/>
        <v>4272.7805313914978</v>
      </c>
      <c r="CC577" s="821">
        <f t="shared" ca="1" si="1189"/>
        <v>16513.378223972155</v>
      </c>
      <c r="CD577" s="821">
        <f t="shared" ca="1" si="1189"/>
        <v>15855.407467822166</v>
      </c>
      <c r="CE577" s="821">
        <f t="shared" ca="1" si="1189"/>
        <v>14570.537338072165</v>
      </c>
      <c r="CF577" s="821">
        <f t="shared" ca="1" si="1189"/>
        <v>8703.5891253221562</v>
      </c>
      <c r="CG577" s="37"/>
    </row>
    <row r="578" spans="1:85" s="428" customFormat="1" hidden="1" outlineLevel="1" x14ac:dyDescent="0.3">
      <c r="A578" s="37" t="s">
        <v>234</v>
      </c>
      <c r="B578" s="109"/>
      <c r="C578" s="821">
        <f t="shared" ref="C578:AH578" si="1190">C577+C567+C568</f>
        <v>-907</v>
      </c>
      <c r="D578" s="821">
        <f t="shared" si="1190"/>
        <v>7992</v>
      </c>
      <c r="E578" s="821">
        <f t="shared" si="1190"/>
        <v>6649</v>
      </c>
      <c r="F578" s="821">
        <f t="shared" si="1190"/>
        <v>3444</v>
      </c>
      <c r="G578" s="37">
        <f t="shared" si="1190"/>
        <v>-777</v>
      </c>
      <c r="H578" s="37">
        <f t="shared" si="1190"/>
        <v>-2254</v>
      </c>
      <c r="I578" s="37">
        <f t="shared" si="1190"/>
        <v>-1417</v>
      </c>
      <c r="J578" s="37">
        <f t="shared" si="1190"/>
        <v>-3535</v>
      </c>
      <c r="K578" s="821">
        <f t="shared" si="1190"/>
        <v>-7983</v>
      </c>
      <c r="L578" s="37">
        <f t="shared" si="1190"/>
        <v>-2088</v>
      </c>
      <c r="M578" s="37">
        <f t="shared" si="1190"/>
        <v>-639</v>
      </c>
      <c r="N578" s="37">
        <f t="shared" si="1190"/>
        <v>-996</v>
      </c>
      <c r="O578" s="37">
        <f t="shared" si="1190"/>
        <v>-1868</v>
      </c>
      <c r="P578" s="821">
        <f t="shared" si="1190"/>
        <v>-5591</v>
      </c>
      <c r="Q578" s="37">
        <f t="shared" si="1190"/>
        <v>-4347</v>
      </c>
      <c r="R578" s="37">
        <f t="shared" si="1190"/>
        <v>1549</v>
      </c>
      <c r="S578" s="37">
        <f t="shared" si="1190"/>
        <v>-2622</v>
      </c>
      <c r="T578" s="37">
        <f t="shared" si="1190"/>
        <v>-4902</v>
      </c>
      <c r="U578" s="821">
        <f t="shared" si="1190"/>
        <v>-10322</v>
      </c>
      <c r="V578" s="37">
        <f t="shared" si="1190"/>
        <v>-5350</v>
      </c>
      <c r="W578" s="37">
        <f t="shared" si="1190"/>
        <v>-1554</v>
      </c>
      <c r="X578" s="37">
        <f t="shared" si="1190"/>
        <v>-745</v>
      </c>
      <c r="Y578" s="37">
        <f t="shared" si="1190"/>
        <v>-2319</v>
      </c>
      <c r="Z578" s="821">
        <f t="shared" si="1190"/>
        <v>-9968</v>
      </c>
      <c r="AA578" s="37">
        <f t="shared" si="1190"/>
        <v>1579</v>
      </c>
      <c r="AB578" s="37">
        <f t="shared" si="1190"/>
        <v>457</v>
      </c>
      <c r="AC578" s="37">
        <f t="shared" si="1190"/>
        <v>1944</v>
      </c>
      <c r="AD578" s="37">
        <f t="shared" si="1190"/>
        <v>-230</v>
      </c>
      <c r="AE578" s="821">
        <f t="shared" si="1190"/>
        <v>3750</v>
      </c>
      <c r="AF578" s="37">
        <f t="shared" si="1190"/>
        <v>2137</v>
      </c>
      <c r="AG578" s="37">
        <f t="shared" si="1190"/>
        <v>2361</v>
      </c>
      <c r="AH578" s="37">
        <f t="shared" si="1190"/>
        <v>4784</v>
      </c>
      <c r="AI578" s="37">
        <f t="shared" ref="AI578:AY578" si="1191">AI577+AI567+AI568</f>
        <v>2152</v>
      </c>
      <c r="AJ578" s="821">
        <f t="shared" si="1191"/>
        <v>11434</v>
      </c>
      <c r="AK578" s="37">
        <f t="shared" si="1191"/>
        <v>1364</v>
      </c>
      <c r="AL578" s="37">
        <f t="shared" si="1191"/>
        <v>2661</v>
      </c>
      <c r="AM578" s="37">
        <f t="shared" si="1191"/>
        <v>957</v>
      </c>
      <c r="AN578" s="37">
        <f t="shared" si="1191"/>
        <v>714</v>
      </c>
      <c r="AO578" s="821">
        <f t="shared" si="1191"/>
        <v>5696</v>
      </c>
      <c r="AP578" s="37">
        <f t="shared" si="1191"/>
        <v>657</v>
      </c>
      <c r="AQ578" s="37">
        <f t="shared" si="1191"/>
        <v>-3651</v>
      </c>
      <c r="AR578" s="37">
        <f>AR577+AR567+AR568</f>
        <v>-708</v>
      </c>
      <c r="AS578" s="37">
        <f t="shared" ref="AS578:AU578" si="1192">AS577+AS567+AS568</f>
        <v>699</v>
      </c>
      <c r="AT578" s="821">
        <f t="shared" si="1192"/>
        <v>-3003</v>
      </c>
      <c r="AU578" s="37">
        <f t="shared" si="1192"/>
        <v>1042</v>
      </c>
      <c r="AV578" s="37">
        <f>AV577+AV567+AV568</f>
        <v>2925</v>
      </c>
      <c r="AW578" s="37">
        <f>AW577+AW567+AW568</f>
        <v>4745</v>
      </c>
      <c r="AX578" s="37">
        <f t="shared" si="1191"/>
        <v>5392</v>
      </c>
      <c r="AY578" s="821">
        <f t="shared" si="1191"/>
        <v>14104</v>
      </c>
      <c r="AZ578" s="37">
        <f t="shared" ref="AZ578:BG578" si="1193">AZ577+AZ567+AZ568</f>
        <v>5569</v>
      </c>
      <c r="BA578" s="37">
        <f t="shared" si="1193"/>
        <v>5504</v>
      </c>
      <c r="BB578" s="37">
        <f t="shared" si="1193"/>
        <v>8088</v>
      </c>
      <c r="BC578" s="37">
        <f t="shared" si="1193"/>
        <v>5147</v>
      </c>
      <c r="BD578" s="821">
        <f t="shared" si="1193"/>
        <v>24308</v>
      </c>
      <c r="BE578" s="37">
        <f t="shared" si="1193"/>
        <v>3344</v>
      </c>
      <c r="BF578" s="37">
        <f t="shared" si="1193"/>
        <v>2960</v>
      </c>
      <c r="BG578" s="37">
        <f t="shared" si="1193"/>
        <v>1522</v>
      </c>
      <c r="BH578" s="22">
        <f t="shared" ref="BH578:BJ578" si="1194">BH577+BH567+BH568</f>
        <v>4527</v>
      </c>
      <c r="BI578" s="852">
        <f t="shared" si="1194"/>
        <v>12353</v>
      </c>
      <c r="BJ578" s="22">
        <f t="shared" si="1194"/>
        <v>984</v>
      </c>
      <c r="BK578" s="22">
        <f t="shared" ref="BK578" si="1195">BK577+BK567+BK568</f>
        <v>1896</v>
      </c>
      <c r="BL578" s="37">
        <f t="shared" ref="BL578:BX578" si="1196">BL577+BL567+BL568</f>
        <v>1685</v>
      </c>
      <c r="BM578" s="22">
        <f t="shared" si="1196"/>
        <v>5171</v>
      </c>
      <c r="BN578" s="852">
        <f t="shared" si="1196"/>
        <v>9736</v>
      </c>
      <c r="BO578" s="22">
        <f t="shared" ref="BO578:BP578" si="1197">BO577+BO567+BO568</f>
        <v>-939</v>
      </c>
      <c r="BP578" s="22">
        <f t="shared" si="1197"/>
        <v>2042</v>
      </c>
      <c r="BQ578" s="37">
        <f>BQ577+BQ567+BQ568</f>
        <v>3606</v>
      </c>
      <c r="BR578" s="22">
        <f t="shared" ref="BR578:BS578" si="1198">BR577+BR567+BR568</f>
        <v>797</v>
      </c>
      <c r="BS578" s="852">
        <f t="shared" si="1198"/>
        <v>5506</v>
      </c>
      <c r="BT578" s="480">
        <f t="shared" ref="BT578" si="1199">BT577+BT567+BT568</f>
        <v>-378</v>
      </c>
      <c r="BU578" s="37">
        <f ca="1">BU577+BU567+BU568</f>
        <v>7655.2810750088956</v>
      </c>
      <c r="BV578" s="37">
        <f ca="1">BV577+BV567+BV568</f>
        <v>3620.5219984846481</v>
      </c>
      <c r="BW578" s="37">
        <f ca="1">BW577+BW567+BW568</f>
        <v>3314.263528484651</v>
      </c>
      <c r="BX578" s="821">
        <f t="shared" ca="1" si="1196"/>
        <v>14212.066601978193</v>
      </c>
      <c r="BY578" s="37">
        <f t="shared" ref="BY578:CF578" ca="1" si="1200">BY577+BY567+BY568</f>
        <v>4178.7568468956069</v>
      </c>
      <c r="BZ578" s="37">
        <f t="shared" ca="1" si="1200"/>
        <v>4696.0054094935549</v>
      </c>
      <c r="CA578" s="37">
        <f t="shared" ca="1" si="1200"/>
        <v>4865.8354361914935</v>
      </c>
      <c r="CB578" s="37">
        <f t="shared" ca="1" si="1200"/>
        <v>4772.7805313914978</v>
      </c>
      <c r="CC578" s="821">
        <f t="shared" ca="1" si="1200"/>
        <v>18513.378223972155</v>
      </c>
      <c r="CD578" s="821">
        <f t="shared" ca="1" si="1200"/>
        <v>15855.407467822166</v>
      </c>
      <c r="CE578" s="821">
        <f t="shared" ca="1" si="1200"/>
        <v>14570.537338072165</v>
      </c>
      <c r="CF578" s="821">
        <f t="shared" ca="1" si="1200"/>
        <v>8703.5891253221562</v>
      </c>
      <c r="CG578" s="37"/>
    </row>
    <row r="579" spans="1:85" s="428" customFormat="1" hidden="1" outlineLevel="1" x14ac:dyDescent="0.3">
      <c r="A579" s="31" t="s">
        <v>588</v>
      </c>
      <c r="B579" s="58"/>
      <c r="C579" s="825">
        <f t="shared" ref="C579:AH579" si="1201">C578+C572+C573</f>
        <v>920</v>
      </c>
      <c r="D579" s="825">
        <f t="shared" si="1201"/>
        <v>8568</v>
      </c>
      <c r="E579" s="825">
        <f t="shared" si="1201"/>
        <v>1087</v>
      </c>
      <c r="F579" s="825">
        <f t="shared" si="1201"/>
        <v>1349</v>
      </c>
      <c r="G579" s="31">
        <f t="shared" si="1201"/>
        <v>163</v>
      </c>
      <c r="H579" s="31">
        <f t="shared" si="1201"/>
        <v>2571</v>
      </c>
      <c r="I579" s="31">
        <f t="shared" si="1201"/>
        <v>-4076</v>
      </c>
      <c r="J579" s="31">
        <f t="shared" si="1201"/>
        <v>-2889</v>
      </c>
      <c r="K579" s="825">
        <f t="shared" si="1201"/>
        <v>-4231</v>
      </c>
      <c r="L579" s="31">
        <f t="shared" si="1201"/>
        <v>-654</v>
      </c>
      <c r="M579" s="31">
        <f t="shared" si="1201"/>
        <v>-989</v>
      </c>
      <c r="N579" s="31">
        <f t="shared" si="1201"/>
        <v>13</v>
      </c>
      <c r="O579" s="31">
        <f t="shared" si="1201"/>
        <v>-985</v>
      </c>
      <c r="P579" s="825">
        <f t="shared" si="1201"/>
        <v>-2615</v>
      </c>
      <c r="Q579" s="31">
        <f t="shared" si="1201"/>
        <v>1810</v>
      </c>
      <c r="R579" s="31">
        <f t="shared" si="1201"/>
        <v>-416</v>
      </c>
      <c r="S579" s="31">
        <f t="shared" si="1201"/>
        <v>1360</v>
      </c>
      <c r="T579" s="31">
        <f t="shared" si="1201"/>
        <v>-2141</v>
      </c>
      <c r="U579" s="825">
        <f t="shared" si="1201"/>
        <v>613</v>
      </c>
      <c r="V579" s="31">
        <f t="shared" si="1201"/>
        <v>-1439</v>
      </c>
      <c r="W579" s="31">
        <f t="shared" si="1201"/>
        <v>1302</v>
      </c>
      <c r="X579" s="31">
        <f t="shared" si="1201"/>
        <v>-172</v>
      </c>
      <c r="Y579" s="31">
        <f t="shared" si="1201"/>
        <v>-1539</v>
      </c>
      <c r="Z579" s="825">
        <f t="shared" si="1201"/>
        <v>-1848</v>
      </c>
      <c r="AA579" s="31">
        <f t="shared" si="1201"/>
        <v>924</v>
      </c>
      <c r="AB579" s="31">
        <f t="shared" si="1201"/>
        <v>-1921</v>
      </c>
      <c r="AC579" s="31">
        <f t="shared" si="1201"/>
        <v>1404</v>
      </c>
      <c r="AD579" s="31">
        <f t="shared" si="1201"/>
        <v>-3001</v>
      </c>
      <c r="AE579" s="825">
        <f t="shared" si="1201"/>
        <v>-2594</v>
      </c>
      <c r="AF579" s="31">
        <f t="shared" si="1201"/>
        <v>3659</v>
      </c>
      <c r="AG579" s="31">
        <f t="shared" si="1201"/>
        <v>1480</v>
      </c>
      <c r="AH579" s="31">
        <f t="shared" si="1201"/>
        <v>1669</v>
      </c>
      <c r="AI579" s="31">
        <f t="shared" ref="AI579:AY579" si="1202">AI578+AI572+AI573</f>
        <v>-480</v>
      </c>
      <c r="AJ579" s="825">
        <f t="shared" si="1202"/>
        <v>6328</v>
      </c>
      <c r="AK579" s="31">
        <f t="shared" si="1202"/>
        <v>-221</v>
      </c>
      <c r="AL579" s="31">
        <f t="shared" si="1202"/>
        <v>-646</v>
      </c>
      <c r="AM579" s="31">
        <f t="shared" si="1202"/>
        <v>2109</v>
      </c>
      <c r="AN579" s="31">
        <f t="shared" si="1202"/>
        <v>-6327</v>
      </c>
      <c r="AO579" s="825">
        <f t="shared" si="1202"/>
        <v>-5085</v>
      </c>
      <c r="AP579" s="31">
        <f t="shared" si="1202"/>
        <v>4442</v>
      </c>
      <c r="AQ579" s="31">
        <f t="shared" si="1202"/>
        <v>-1985</v>
      </c>
      <c r="AR579" s="31">
        <f>AR578+AR572+AR573</f>
        <v>-14</v>
      </c>
      <c r="AS579" s="31">
        <f t="shared" ref="AS579:AU579" si="1203">AS578+AS572+AS573</f>
        <v>493</v>
      </c>
      <c r="AT579" s="825">
        <f t="shared" si="1203"/>
        <v>2936</v>
      </c>
      <c r="AU579" s="31">
        <f t="shared" si="1203"/>
        <v>2468</v>
      </c>
      <c r="AV579" s="31">
        <f>AV578+AV572+AV573</f>
        <v>568</v>
      </c>
      <c r="AW579" s="31">
        <f>AW578+AW572+AW573</f>
        <v>-1501</v>
      </c>
      <c r="AX579" s="31">
        <f t="shared" si="1202"/>
        <v>-329</v>
      </c>
      <c r="AY579" s="825">
        <f t="shared" si="1202"/>
        <v>1206</v>
      </c>
      <c r="AZ579" s="31">
        <f t="shared" ref="AZ579:BG579" si="1204">AZ578+AZ572+AZ573</f>
        <v>6954</v>
      </c>
      <c r="BA579" s="31">
        <f t="shared" si="1204"/>
        <v>163</v>
      </c>
      <c r="BB579" s="31">
        <f t="shared" si="1204"/>
        <v>1873</v>
      </c>
      <c r="BC579" s="31">
        <f t="shared" si="1204"/>
        <v>1422</v>
      </c>
      <c r="BD579" s="825">
        <f t="shared" si="1204"/>
        <v>10412</v>
      </c>
      <c r="BE579" s="31">
        <f t="shared" si="1204"/>
        <v>-363</v>
      </c>
      <c r="BF579" s="31">
        <f t="shared" si="1204"/>
        <v>-2976</v>
      </c>
      <c r="BG579" s="31">
        <f t="shared" si="1204"/>
        <v>-4206</v>
      </c>
      <c r="BH579" s="26">
        <f t="shared" ref="BH579:BJ579" si="1205">BH578+BH572+BH573</f>
        <v>1165</v>
      </c>
      <c r="BI579" s="826">
        <f t="shared" si="1205"/>
        <v>-6380</v>
      </c>
      <c r="BJ579" s="26">
        <f t="shared" si="1205"/>
        <v>-880</v>
      </c>
      <c r="BK579" s="26">
        <f t="shared" ref="BK579" si="1206">BK578+BK572+BK573</f>
        <v>311</v>
      </c>
      <c r="BL579" s="31">
        <f t="shared" ref="BL579:BX579" si="1207">BL578+BL572+BL573</f>
        <v>-445</v>
      </c>
      <c r="BM579" s="26">
        <f t="shared" si="1207"/>
        <v>-726</v>
      </c>
      <c r="BN579" s="826">
        <f t="shared" si="1207"/>
        <v>-1740</v>
      </c>
      <c r="BO579" s="26">
        <f t="shared" ref="BO579:BP579" si="1208">BO578+BO572+BO573</f>
        <v>392</v>
      </c>
      <c r="BP579" s="26">
        <f t="shared" si="1208"/>
        <v>-990</v>
      </c>
      <c r="BQ579" s="31">
        <f>BQ578+BQ572+BQ573</f>
        <v>3183</v>
      </c>
      <c r="BR579" s="26">
        <f t="shared" ref="BR579:BS579" si="1209">BR578+BR572+BR573</f>
        <v>-3068</v>
      </c>
      <c r="BS579" s="826">
        <f t="shared" si="1209"/>
        <v>-483</v>
      </c>
      <c r="BT579" s="379">
        <f t="shared" ref="BT579" si="1210">BT578+BT572+BT573</f>
        <v>2852</v>
      </c>
      <c r="BU579" s="31">
        <f ca="1">BU578+BU572+BU573</f>
        <v>4855.2810750088956</v>
      </c>
      <c r="BV579" s="31">
        <f ca="1">BV578+BV572+BV573</f>
        <v>3620.5219984846481</v>
      </c>
      <c r="BW579" s="31">
        <f ca="1">BW578+BW572+BW573</f>
        <v>3314.263528484651</v>
      </c>
      <c r="BX579" s="825">
        <f t="shared" ca="1" si="1207"/>
        <v>14642.066601978193</v>
      </c>
      <c r="BY579" s="31">
        <f t="shared" ref="BY579:CF579" ca="1" si="1211">BY578+BY572+BY573</f>
        <v>4178.7568468956069</v>
      </c>
      <c r="BZ579" s="31">
        <f t="shared" ca="1" si="1211"/>
        <v>4696.0054094935549</v>
      </c>
      <c r="CA579" s="31">
        <f t="shared" ca="1" si="1211"/>
        <v>4865.8354361914935</v>
      </c>
      <c r="CB579" s="31">
        <f t="shared" ca="1" si="1211"/>
        <v>4772.7805313914978</v>
      </c>
      <c r="CC579" s="825">
        <f t="shared" ca="1" si="1211"/>
        <v>18513.378223972155</v>
      </c>
      <c r="CD579" s="825">
        <f t="shared" ca="1" si="1211"/>
        <v>15855.407467822166</v>
      </c>
      <c r="CE579" s="825">
        <f t="shared" ca="1" si="1211"/>
        <v>14570.537338072165</v>
      </c>
      <c r="CF579" s="825">
        <f t="shared" ca="1" si="1211"/>
        <v>8703.5891253221562</v>
      </c>
      <c r="CG579" s="37"/>
    </row>
    <row r="580" spans="1:85" s="428" customFormat="1" collapsed="1" x14ac:dyDescent="0.3">
      <c r="A580" s="37" t="s">
        <v>711</v>
      </c>
      <c r="B580" s="109"/>
      <c r="C580" s="821">
        <f t="shared" ref="C580:AH580" si="1212">C561+C565</f>
        <v>-470</v>
      </c>
      <c r="D580" s="821">
        <f t="shared" si="1212"/>
        <v>11742</v>
      </c>
      <c r="E580" s="821">
        <f t="shared" si="1212"/>
        <v>14595</v>
      </c>
      <c r="F580" s="821">
        <f t="shared" si="1212"/>
        <v>7874</v>
      </c>
      <c r="G580" s="37">
        <f t="shared" si="1212"/>
        <v>-2478</v>
      </c>
      <c r="H580" s="37">
        <f t="shared" si="1212"/>
        <v>-53</v>
      </c>
      <c r="I580" s="37">
        <f t="shared" si="1212"/>
        <v>709</v>
      </c>
      <c r="J580" s="37">
        <f t="shared" si="1212"/>
        <v>-1161</v>
      </c>
      <c r="K580" s="821">
        <f t="shared" si="1212"/>
        <v>-2983</v>
      </c>
      <c r="L580" s="37">
        <f t="shared" si="1212"/>
        <v>-127</v>
      </c>
      <c r="M580" s="37">
        <f t="shared" si="1212"/>
        <v>-1050</v>
      </c>
      <c r="N580" s="37">
        <f t="shared" si="1212"/>
        <v>416</v>
      </c>
      <c r="O580" s="37">
        <f t="shared" si="1212"/>
        <v>-3171</v>
      </c>
      <c r="P580" s="821">
        <f t="shared" si="1212"/>
        <v>-3932</v>
      </c>
      <c r="Q580" s="37">
        <f t="shared" si="1212"/>
        <v>-5283</v>
      </c>
      <c r="R580" s="37">
        <f t="shared" si="1212"/>
        <v>-423</v>
      </c>
      <c r="S580" s="37">
        <f t="shared" si="1212"/>
        <v>-1450</v>
      </c>
      <c r="T580" s="37">
        <f t="shared" si="1212"/>
        <v>-2892</v>
      </c>
      <c r="U580" s="821">
        <f t="shared" si="1212"/>
        <v>-10048</v>
      </c>
      <c r="V580" s="37">
        <f t="shared" si="1212"/>
        <v>-4425</v>
      </c>
      <c r="W580" s="37">
        <f t="shared" si="1212"/>
        <v>-1938</v>
      </c>
      <c r="X580" s="37">
        <f t="shared" si="1212"/>
        <v>1246</v>
      </c>
      <c r="Y580" s="37">
        <f t="shared" si="1212"/>
        <v>-146</v>
      </c>
      <c r="Z580" s="821">
        <f t="shared" si="1212"/>
        <v>-5263</v>
      </c>
      <c r="AA580" s="37">
        <f t="shared" si="1212"/>
        <v>564</v>
      </c>
      <c r="AB580" s="37">
        <f t="shared" si="1212"/>
        <v>1812</v>
      </c>
      <c r="AC580" s="37">
        <f t="shared" si="1212"/>
        <v>2146</v>
      </c>
      <c r="AD580" s="37">
        <f t="shared" si="1212"/>
        <v>2589</v>
      </c>
      <c r="AE580" s="821">
        <f t="shared" si="1212"/>
        <v>7111</v>
      </c>
      <c r="AF580" s="37">
        <f t="shared" si="1212"/>
        <v>2046</v>
      </c>
      <c r="AG580" s="37">
        <f t="shared" si="1212"/>
        <v>3629</v>
      </c>
      <c r="AH580" s="37">
        <f t="shared" si="1212"/>
        <v>5991</v>
      </c>
      <c r="AI580" s="37">
        <f t="shared" ref="AI580:BD580" si="1213">AI561+AI565</f>
        <v>5160</v>
      </c>
      <c r="AJ580" s="821">
        <f t="shared" si="1213"/>
        <v>16826</v>
      </c>
      <c r="AK580" s="37">
        <f t="shared" si="1213"/>
        <v>2104</v>
      </c>
      <c r="AL580" s="37">
        <f t="shared" si="1213"/>
        <v>5199</v>
      </c>
      <c r="AM580" s="37">
        <f t="shared" si="1213"/>
        <v>4448</v>
      </c>
      <c r="AN580" s="37">
        <f t="shared" si="1213"/>
        <v>1447</v>
      </c>
      <c r="AO580" s="821">
        <f t="shared" si="1213"/>
        <v>13198</v>
      </c>
      <c r="AP580" s="37">
        <f t="shared" si="1213"/>
        <v>1589</v>
      </c>
      <c r="AQ580" s="37">
        <f t="shared" si="1213"/>
        <v>-2012</v>
      </c>
      <c r="AR580" s="37">
        <f t="shared" si="1213"/>
        <v>1907</v>
      </c>
      <c r="AS580" s="37">
        <f t="shared" si="1213"/>
        <v>171</v>
      </c>
      <c r="AT580" s="821">
        <f t="shared" si="1213"/>
        <v>1655</v>
      </c>
      <c r="AU580" s="37">
        <f t="shared" si="1213"/>
        <v>2450</v>
      </c>
      <c r="AV580" s="37">
        <f t="shared" si="1213"/>
        <v>5157</v>
      </c>
      <c r="AW580" s="37">
        <f t="shared" si="1213"/>
        <v>6672</v>
      </c>
      <c r="AX580" s="37">
        <f t="shared" si="1213"/>
        <v>6852</v>
      </c>
      <c r="AY580" s="821">
        <f t="shared" si="1213"/>
        <v>21131</v>
      </c>
      <c r="AZ580" s="37">
        <f t="shared" si="1213"/>
        <v>6095</v>
      </c>
      <c r="BA580" s="37">
        <f t="shared" si="1213"/>
        <v>10598</v>
      </c>
      <c r="BB580" s="37">
        <f t="shared" si="1213"/>
        <v>12272</v>
      </c>
      <c r="BC580" s="37">
        <f t="shared" si="1213"/>
        <v>8663</v>
      </c>
      <c r="BD580" s="821">
        <f t="shared" si="1213"/>
        <v>37628</v>
      </c>
      <c r="BE580" s="37">
        <f>BE561+BE565</f>
        <v>4167</v>
      </c>
      <c r="BF580" s="37">
        <f>BF561+BF565</f>
        <v>2540</v>
      </c>
      <c r="BG580" s="37">
        <f>BG561+BG565</f>
        <v>5000</v>
      </c>
      <c r="BH580" s="22">
        <f t="shared" ref="BH580:BI580" si="1214">BH561+BH565</f>
        <v>8073</v>
      </c>
      <c r="BI580" s="852">
        <f t="shared" si="1214"/>
        <v>19780</v>
      </c>
      <c r="BJ580" s="22">
        <f>BJ561+BJ565</f>
        <v>2739</v>
      </c>
      <c r="BK580" s="22">
        <f t="shared" ref="BK580" si="1215">BK561+BK565</f>
        <v>2329</v>
      </c>
      <c r="BL580" s="37">
        <f t="shared" ref="BL580:BN580" si="1216">BL561+BL565</f>
        <v>5619</v>
      </c>
      <c r="BM580" s="22">
        <f t="shared" si="1216"/>
        <v>4357</v>
      </c>
      <c r="BN580" s="852">
        <f t="shared" si="1216"/>
        <v>15044</v>
      </c>
      <c r="BO580" s="22">
        <f t="shared" ref="BO580:BP580" si="1217">BO561+BO565</f>
        <v>1262</v>
      </c>
      <c r="BP580" s="22">
        <f t="shared" si="1217"/>
        <v>4864</v>
      </c>
      <c r="BQ580" s="37">
        <f>BQ561+BQ565</f>
        <v>4941</v>
      </c>
      <c r="BR580" s="22">
        <f t="shared" ref="BR580:BS580" si="1218">BR561+BR565</f>
        <v>5525</v>
      </c>
      <c r="BS580" s="852">
        <f t="shared" si="1218"/>
        <v>16592</v>
      </c>
      <c r="BT580" s="480">
        <f t="shared" ref="BT580" si="1219">BT561+BT565</f>
        <v>-1549</v>
      </c>
      <c r="BU580" s="37">
        <f t="shared" ref="BU580:CF580" si="1220">BU561+BU565</f>
        <v>10686.854767698625</v>
      </c>
      <c r="BV580" s="37">
        <f t="shared" ca="1" si="1220"/>
        <v>6638.6254209041072</v>
      </c>
      <c r="BW580" s="37">
        <f t="shared" ca="1" si="1220"/>
        <v>6332.3669509041101</v>
      </c>
      <c r="BX580" s="821">
        <f t="shared" ca="1" si="1220"/>
        <v>22108.847139506841</v>
      </c>
      <c r="BY580" s="37">
        <f t="shared" ca="1" si="1220"/>
        <v>7196.860269315066</v>
      </c>
      <c r="BZ580" s="37">
        <f t="shared" ca="1" si="1220"/>
        <v>7714.108831913014</v>
      </c>
      <c r="CA580" s="37">
        <f t="shared" ca="1" si="1220"/>
        <v>7883.9388586109526</v>
      </c>
      <c r="CB580" s="37">
        <f t="shared" ca="1" si="1220"/>
        <v>7790.8839538109569</v>
      </c>
      <c r="CC580" s="821">
        <f t="shared" ca="1" si="1220"/>
        <v>30585.791913649991</v>
      </c>
      <c r="CD580" s="821">
        <f t="shared" ca="1" si="1220"/>
        <v>29927.821157500002</v>
      </c>
      <c r="CE580" s="821">
        <f t="shared" ca="1" si="1220"/>
        <v>28642.951027750001</v>
      </c>
      <c r="CF580" s="821">
        <f t="shared" ca="1" si="1220"/>
        <v>22776.002814999993</v>
      </c>
      <c r="CG580" s="37"/>
    </row>
    <row r="581" spans="1:85" s="428" customFormat="1" x14ac:dyDescent="0.3">
      <c r="A581" s="37" t="s">
        <v>712</v>
      </c>
      <c r="B581" s="109"/>
      <c r="C581" s="821">
        <f t="shared" ref="C581:AH581" si="1221">C580+C569</f>
        <v>-5772</v>
      </c>
      <c r="D581" s="821">
        <f t="shared" si="1221"/>
        <v>6073</v>
      </c>
      <c r="E581" s="821">
        <f t="shared" si="1221"/>
        <v>8459</v>
      </c>
      <c r="F581" s="821">
        <f t="shared" si="1221"/>
        <v>1030</v>
      </c>
      <c r="G581" s="37">
        <f t="shared" si="1221"/>
        <v>-4213</v>
      </c>
      <c r="H581" s="37">
        <f t="shared" si="1221"/>
        <v>-1974</v>
      </c>
      <c r="I581" s="37">
        <f t="shared" si="1221"/>
        <v>-1206</v>
      </c>
      <c r="J581" s="37">
        <f t="shared" si="1221"/>
        <v>-3064</v>
      </c>
      <c r="K581" s="821">
        <f t="shared" si="1221"/>
        <v>-10457</v>
      </c>
      <c r="L581" s="37">
        <f t="shared" si="1221"/>
        <v>-2022</v>
      </c>
      <c r="M581" s="37">
        <f t="shared" si="1221"/>
        <v>-3069</v>
      </c>
      <c r="N581" s="37">
        <f t="shared" si="1221"/>
        <v>-1596</v>
      </c>
      <c r="O581" s="37">
        <f t="shared" si="1221"/>
        <v>-5173</v>
      </c>
      <c r="P581" s="821">
        <f t="shared" si="1221"/>
        <v>-11860</v>
      </c>
      <c r="Q581" s="37">
        <f t="shared" si="1221"/>
        <v>-7280</v>
      </c>
      <c r="R581" s="37">
        <f t="shared" si="1221"/>
        <v>-2420</v>
      </c>
      <c r="S581" s="37">
        <f t="shared" si="1221"/>
        <v>-3449</v>
      </c>
      <c r="T581" s="37">
        <f t="shared" si="1221"/>
        <v>-4891</v>
      </c>
      <c r="U581" s="821">
        <f t="shared" si="1221"/>
        <v>-18040</v>
      </c>
      <c r="V581" s="37">
        <f t="shared" si="1221"/>
        <v>-6425</v>
      </c>
      <c r="W581" s="37">
        <f t="shared" si="1221"/>
        <v>-3940</v>
      </c>
      <c r="X581" s="37">
        <f t="shared" si="1221"/>
        <v>-759</v>
      </c>
      <c r="Y581" s="37">
        <f t="shared" si="1221"/>
        <v>-2171</v>
      </c>
      <c r="Z581" s="821">
        <f t="shared" si="1221"/>
        <v>-13295</v>
      </c>
      <c r="AA581" s="37">
        <f t="shared" si="1221"/>
        <v>-1465</v>
      </c>
      <c r="AB581" s="37">
        <f t="shared" si="1221"/>
        <v>-220</v>
      </c>
      <c r="AC581" s="37">
        <f t="shared" si="1221"/>
        <v>114</v>
      </c>
      <c r="AD581" s="37">
        <f t="shared" si="1221"/>
        <v>550</v>
      </c>
      <c r="AE581" s="821">
        <f t="shared" si="1221"/>
        <v>-1021</v>
      </c>
      <c r="AF581" s="37">
        <f t="shared" si="1221"/>
        <v>-78</v>
      </c>
      <c r="AG581" s="37">
        <f t="shared" si="1221"/>
        <v>1500</v>
      </c>
      <c r="AH581" s="37">
        <f t="shared" si="1221"/>
        <v>3862</v>
      </c>
      <c r="AI581" s="37">
        <f t="shared" ref="AI581:BD581" si="1222">AI580+AI569</f>
        <v>3040</v>
      </c>
      <c r="AJ581" s="821">
        <f t="shared" si="1222"/>
        <v>8324</v>
      </c>
      <c r="AK581" s="37">
        <f t="shared" si="1222"/>
        <v>-140</v>
      </c>
      <c r="AL581" s="37">
        <f t="shared" si="1222"/>
        <v>2949</v>
      </c>
      <c r="AM581" s="37">
        <f t="shared" si="1222"/>
        <v>2211</v>
      </c>
      <c r="AN581" s="37">
        <f t="shared" si="1222"/>
        <v>-781</v>
      </c>
      <c r="AO581" s="821">
        <f t="shared" si="1222"/>
        <v>4239</v>
      </c>
      <c r="AP581" s="37">
        <f t="shared" si="1222"/>
        <v>-813</v>
      </c>
      <c r="AQ581" s="37">
        <f t="shared" si="1222"/>
        <v>-4406</v>
      </c>
      <c r="AR581" s="37">
        <f t="shared" si="1222"/>
        <v>-483</v>
      </c>
      <c r="AS581" s="37">
        <f t="shared" si="1222"/>
        <v>-2294</v>
      </c>
      <c r="AT581" s="821">
        <f t="shared" si="1222"/>
        <v>-7996</v>
      </c>
      <c r="AU581" s="37">
        <f t="shared" si="1222"/>
        <v>-18</v>
      </c>
      <c r="AV581" s="37">
        <f t="shared" si="1222"/>
        <v>2584</v>
      </c>
      <c r="AW581" s="37">
        <f t="shared" si="1222"/>
        <v>4101</v>
      </c>
      <c r="AX581" s="37">
        <f t="shared" si="1222"/>
        <v>4285</v>
      </c>
      <c r="AY581" s="821">
        <f t="shared" si="1222"/>
        <v>10952</v>
      </c>
      <c r="AZ581" s="37">
        <f t="shared" si="1222"/>
        <v>3349</v>
      </c>
      <c r="BA581" s="37">
        <f t="shared" si="1222"/>
        <v>7832</v>
      </c>
      <c r="BB581" s="37">
        <f t="shared" si="1222"/>
        <v>9529</v>
      </c>
      <c r="BC581" s="37">
        <f t="shared" si="1222"/>
        <v>5950</v>
      </c>
      <c r="BD581" s="821">
        <f t="shared" si="1222"/>
        <v>26660</v>
      </c>
      <c r="BE581" s="37">
        <f>BE580+BE569</f>
        <v>1310</v>
      </c>
      <c r="BF581" s="37">
        <f>BF580+BF569</f>
        <v>-278</v>
      </c>
      <c r="BG581" s="37">
        <f>BG580+BG569</f>
        <v>2148</v>
      </c>
      <c r="BH581" s="22">
        <f t="shared" ref="BH581:BI581" si="1223">BH580+BH569</f>
        <v>5264</v>
      </c>
      <c r="BI581" s="852">
        <f t="shared" si="1223"/>
        <v>8444</v>
      </c>
      <c r="BJ581" s="22">
        <f>BJ580+BJ569</f>
        <v>-264</v>
      </c>
      <c r="BK581" s="22">
        <f t="shared" ref="BK581" si="1224">BK580+BK569</f>
        <v>-649</v>
      </c>
      <c r="BL581" s="37">
        <f t="shared" ref="BL581:BN581" si="1225">BL580+BL569</f>
        <v>2686</v>
      </c>
      <c r="BM581" s="22">
        <f t="shared" si="1225"/>
        <v>1470</v>
      </c>
      <c r="BN581" s="852">
        <f t="shared" si="1225"/>
        <v>3243</v>
      </c>
      <c r="BO581" s="22">
        <f t="shared" ref="BO581:BP581" si="1226">BO580+BO569</f>
        <v>-1722</v>
      </c>
      <c r="BP581" s="22">
        <f t="shared" si="1226"/>
        <v>1930</v>
      </c>
      <c r="BQ581" s="37">
        <f>BQ580+BQ569</f>
        <v>1512</v>
      </c>
      <c r="BR581" s="22">
        <f t="shared" ref="BR581:BS581" si="1227">BR580+BR569</f>
        <v>2121</v>
      </c>
      <c r="BS581" s="852">
        <f t="shared" si="1227"/>
        <v>3841</v>
      </c>
      <c r="BT581" s="480">
        <f t="shared" ref="BT581" si="1228">BT580+BT569</f>
        <v>-5075</v>
      </c>
      <c r="BU581" s="37">
        <f t="shared" ref="BU581:CF581" ca="1" si="1229">BU580+BU569</f>
        <v>7155.2810750088956</v>
      </c>
      <c r="BV581" s="37">
        <f t="shared" ca="1" si="1229"/>
        <v>3120.5219984846481</v>
      </c>
      <c r="BW581" s="37">
        <f t="shared" ca="1" si="1229"/>
        <v>2814.263528484651</v>
      </c>
      <c r="BX581" s="821">
        <f t="shared" ca="1" si="1229"/>
        <v>8015.0666019781929</v>
      </c>
      <c r="BY581" s="37">
        <f t="shared" ca="1" si="1229"/>
        <v>3678.7568468956069</v>
      </c>
      <c r="BZ581" s="37">
        <f t="shared" ca="1" si="1229"/>
        <v>4196.0054094935549</v>
      </c>
      <c r="CA581" s="37">
        <f t="shared" ca="1" si="1229"/>
        <v>4365.8354361914935</v>
      </c>
      <c r="CB581" s="37">
        <f t="shared" ca="1" si="1229"/>
        <v>4272.7805313914978</v>
      </c>
      <c r="CC581" s="821">
        <f t="shared" ca="1" si="1229"/>
        <v>16513.378223972155</v>
      </c>
      <c r="CD581" s="821">
        <f t="shared" ca="1" si="1229"/>
        <v>15855.407467822166</v>
      </c>
      <c r="CE581" s="821">
        <f t="shared" ca="1" si="1229"/>
        <v>14570.537338072165</v>
      </c>
      <c r="CF581" s="821">
        <f t="shared" ca="1" si="1229"/>
        <v>8703.5891253221562</v>
      </c>
      <c r="CG581" s="37"/>
    </row>
    <row r="582" spans="1:85" s="428" customFormat="1" x14ac:dyDescent="0.3">
      <c r="A582" s="37" t="s">
        <v>713</v>
      </c>
      <c r="B582" s="109"/>
      <c r="C582" s="821">
        <f t="shared" ref="C582:AH582" si="1230">C581+C567+C568</f>
        <v>-3208</v>
      </c>
      <c r="D582" s="821">
        <f t="shared" si="1230"/>
        <v>8068</v>
      </c>
      <c r="E582" s="821">
        <f t="shared" si="1230"/>
        <v>8967</v>
      </c>
      <c r="F582" s="821">
        <f t="shared" si="1230"/>
        <v>3807</v>
      </c>
      <c r="G582" s="37">
        <f t="shared" si="1230"/>
        <v>-4137</v>
      </c>
      <c r="H582" s="37">
        <f t="shared" si="1230"/>
        <v>-1409</v>
      </c>
      <c r="I582" s="37">
        <f t="shared" si="1230"/>
        <v>-990</v>
      </c>
      <c r="J582" s="37">
        <f t="shared" si="1230"/>
        <v>-2778</v>
      </c>
      <c r="K582" s="821">
        <f t="shared" si="1230"/>
        <v>-9314</v>
      </c>
      <c r="L582" s="37">
        <f t="shared" si="1230"/>
        <v>-1706</v>
      </c>
      <c r="M582" s="37">
        <f t="shared" si="1230"/>
        <v>-1762</v>
      </c>
      <c r="N582" s="37">
        <f t="shared" si="1230"/>
        <v>-631</v>
      </c>
      <c r="O582" s="37">
        <f t="shared" si="1230"/>
        <v>-2032</v>
      </c>
      <c r="P582" s="821">
        <f t="shared" si="1230"/>
        <v>-6131</v>
      </c>
      <c r="Q582" s="37">
        <f t="shared" si="1230"/>
        <v>-6332</v>
      </c>
      <c r="R582" s="37">
        <f t="shared" si="1230"/>
        <v>1509</v>
      </c>
      <c r="S582" s="37">
        <f t="shared" si="1230"/>
        <v>-2918</v>
      </c>
      <c r="T582" s="37">
        <f t="shared" si="1230"/>
        <v>-4560</v>
      </c>
      <c r="U582" s="821">
        <f t="shared" si="1230"/>
        <v>-12301</v>
      </c>
      <c r="V582" s="37">
        <f t="shared" si="1230"/>
        <v>-6343</v>
      </c>
      <c r="W582" s="37">
        <f t="shared" si="1230"/>
        <v>-2652</v>
      </c>
      <c r="X582" s="37">
        <f t="shared" si="1230"/>
        <v>80</v>
      </c>
      <c r="Y582" s="37">
        <f t="shared" si="1230"/>
        <v>-1603</v>
      </c>
      <c r="Z582" s="821">
        <f t="shared" si="1230"/>
        <v>-10518</v>
      </c>
      <c r="AA582" s="37">
        <f t="shared" si="1230"/>
        <v>622</v>
      </c>
      <c r="AB582" s="37">
        <f t="shared" si="1230"/>
        <v>216</v>
      </c>
      <c r="AC582" s="37">
        <f t="shared" si="1230"/>
        <v>2447</v>
      </c>
      <c r="AD582" s="37">
        <f t="shared" si="1230"/>
        <v>941</v>
      </c>
      <c r="AE582" s="821">
        <f t="shared" si="1230"/>
        <v>4226</v>
      </c>
      <c r="AF582" s="37">
        <f t="shared" si="1230"/>
        <v>33</v>
      </c>
      <c r="AG582" s="37">
        <f t="shared" si="1230"/>
        <v>2178</v>
      </c>
      <c r="AH582" s="37">
        <f t="shared" si="1230"/>
        <v>5189</v>
      </c>
      <c r="AI582" s="37">
        <f t="shared" ref="AI582:BD582" si="1231">AI581+AI567+AI568</f>
        <v>3316</v>
      </c>
      <c r="AJ582" s="821">
        <f t="shared" si="1231"/>
        <v>10716</v>
      </c>
      <c r="AK582" s="37">
        <f t="shared" si="1231"/>
        <v>154</v>
      </c>
      <c r="AL582" s="37">
        <f t="shared" si="1231"/>
        <v>3592</v>
      </c>
      <c r="AM582" s="37">
        <f t="shared" si="1231"/>
        <v>2362</v>
      </c>
      <c r="AN582" s="37">
        <f t="shared" si="1231"/>
        <v>1082</v>
      </c>
      <c r="AO582" s="821">
        <f t="shared" si="1231"/>
        <v>7190</v>
      </c>
      <c r="AP582" s="37">
        <f t="shared" si="1231"/>
        <v>-439</v>
      </c>
      <c r="AQ582" s="37">
        <f t="shared" si="1231"/>
        <v>-2928</v>
      </c>
      <c r="AR582" s="37">
        <f t="shared" si="1231"/>
        <v>-356</v>
      </c>
      <c r="AS582" s="37">
        <f t="shared" si="1231"/>
        <v>-932</v>
      </c>
      <c r="AT582" s="821">
        <f t="shared" si="1231"/>
        <v>-4655</v>
      </c>
      <c r="AU582" s="37">
        <f t="shared" si="1231"/>
        <v>140</v>
      </c>
      <c r="AV582" s="37">
        <f t="shared" si="1231"/>
        <v>2795</v>
      </c>
      <c r="AW582" s="37">
        <f t="shared" si="1231"/>
        <v>4318</v>
      </c>
      <c r="AX582" s="37">
        <f t="shared" si="1231"/>
        <v>5490</v>
      </c>
      <c r="AY582" s="821">
        <f t="shared" si="1231"/>
        <v>12743</v>
      </c>
      <c r="AZ582" s="37">
        <f t="shared" si="1231"/>
        <v>4632</v>
      </c>
      <c r="BA582" s="37">
        <f t="shared" si="1231"/>
        <v>6036</v>
      </c>
      <c r="BB582" s="37">
        <f t="shared" si="1231"/>
        <v>9665</v>
      </c>
      <c r="BC582" s="37">
        <f t="shared" si="1231"/>
        <v>6100</v>
      </c>
      <c r="BD582" s="821">
        <f t="shared" si="1231"/>
        <v>26433</v>
      </c>
      <c r="BE582" s="37">
        <f>BE581+BE567+BE568</f>
        <v>1529</v>
      </c>
      <c r="BF582" s="37">
        <f>BF581+BF567+BF568</f>
        <v>-173</v>
      </c>
      <c r="BG582" s="37">
        <f>BG581+BG567+BG568</f>
        <v>2289</v>
      </c>
      <c r="BH582" s="22">
        <f t="shared" ref="BH582:BI582" si="1232">BH581+BH567+BH568</f>
        <v>5523</v>
      </c>
      <c r="BI582" s="852">
        <f t="shared" si="1232"/>
        <v>9168</v>
      </c>
      <c r="BJ582" s="22">
        <f>BJ581+BJ567+BJ568</f>
        <v>-160</v>
      </c>
      <c r="BK582" s="22">
        <f t="shared" ref="BK582" si="1233">BK581+BK567+BK568</f>
        <v>-535</v>
      </c>
      <c r="BL582" s="37">
        <f t="shared" ref="BL582:BN582" si="1234">BL581+BL567+BL568</f>
        <v>3088</v>
      </c>
      <c r="BM582" s="22">
        <f t="shared" si="1234"/>
        <v>8554</v>
      </c>
      <c r="BN582" s="852">
        <f t="shared" si="1234"/>
        <v>10947</v>
      </c>
      <c r="BO582" s="22">
        <f t="shared" ref="BO582:BP582" si="1235">BO581+BO567+BO568</f>
        <v>-3347</v>
      </c>
      <c r="BP582" s="22">
        <f t="shared" si="1235"/>
        <v>2320</v>
      </c>
      <c r="BQ582" s="37">
        <f>BQ581+BQ567+BQ568</f>
        <v>3051</v>
      </c>
      <c r="BR582" s="22">
        <f t="shared" ref="BR582:BS582" si="1236">BR581+BR567+BR568</f>
        <v>2474</v>
      </c>
      <c r="BS582" s="852">
        <f t="shared" si="1236"/>
        <v>4498</v>
      </c>
      <c r="BT582" s="480">
        <f t="shared" ref="BT582" si="1237">BT581+BT567+BT568</f>
        <v>-5003</v>
      </c>
      <c r="BU582" s="37">
        <f t="shared" ref="BU582:CF582" ca="1" si="1238">BU581+BU567+BU568</f>
        <v>7655.2810750088956</v>
      </c>
      <c r="BV582" s="37">
        <f t="shared" ca="1" si="1238"/>
        <v>3620.5219984846481</v>
      </c>
      <c r="BW582" s="37">
        <f t="shared" ca="1" si="1238"/>
        <v>3314.263528484651</v>
      </c>
      <c r="BX582" s="821">
        <f t="shared" ca="1" si="1238"/>
        <v>9587.0666019781929</v>
      </c>
      <c r="BY582" s="37">
        <f t="shared" ca="1" si="1238"/>
        <v>4178.7568468956069</v>
      </c>
      <c r="BZ582" s="37">
        <f t="shared" ca="1" si="1238"/>
        <v>4696.0054094935549</v>
      </c>
      <c r="CA582" s="37">
        <f t="shared" ca="1" si="1238"/>
        <v>4865.8354361914935</v>
      </c>
      <c r="CB582" s="37">
        <f t="shared" ca="1" si="1238"/>
        <v>4772.7805313914978</v>
      </c>
      <c r="CC582" s="821">
        <f t="shared" ca="1" si="1238"/>
        <v>18513.378223972155</v>
      </c>
      <c r="CD582" s="821">
        <f t="shared" ca="1" si="1238"/>
        <v>15855.407467822166</v>
      </c>
      <c r="CE582" s="821">
        <f t="shared" ca="1" si="1238"/>
        <v>14570.537338072165</v>
      </c>
      <c r="CF582" s="821">
        <f t="shared" ca="1" si="1238"/>
        <v>8703.5891253221562</v>
      </c>
      <c r="CG582" s="37"/>
    </row>
    <row r="583" spans="1:85" s="428" customFormat="1" x14ac:dyDescent="0.3">
      <c r="A583" s="31" t="s">
        <v>714</v>
      </c>
      <c r="B583" s="58"/>
      <c r="C583" s="825">
        <f t="shared" ref="C583:AH583" si="1239">C582+C572+C573</f>
        <v>-1381</v>
      </c>
      <c r="D583" s="825">
        <f t="shared" si="1239"/>
        <v>8644</v>
      </c>
      <c r="E583" s="825">
        <f t="shared" si="1239"/>
        <v>3405</v>
      </c>
      <c r="F583" s="825">
        <f t="shared" si="1239"/>
        <v>1712</v>
      </c>
      <c r="G583" s="31">
        <f t="shared" si="1239"/>
        <v>-3197</v>
      </c>
      <c r="H583" s="31">
        <f t="shared" si="1239"/>
        <v>3416</v>
      </c>
      <c r="I583" s="31">
        <f t="shared" si="1239"/>
        <v>-3649</v>
      </c>
      <c r="J583" s="31">
        <f t="shared" si="1239"/>
        <v>-2132</v>
      </c>
      <c r="K583" s="825">
        <f t="shared" si="1239"/>
        <v>-5562</v>
      </c>
      <c r="L583" s="31">
        <f t="shared" si="1239"/>
        <v>-272</v>
      </c>
      <c r="M583" s="31">
        <f t="shared" si="1239"/>
        <v>-2112</v>
      </c>
      <c r="N583" s="31">
        <f t="shared" si="1239"/>
        <v>378</v>
      </c>
      <c r="O583" s="31">
        <f t="shared" si="1239"/>
        <v>-1149</v>
      </c>
      <c r="P583" s="825">
        <f t="shared" si="1239"/>
        <v>-3155</v>
      </c>
      <c r="Q583" s="31">
        <f t="shared" si="1239"/>
        <v>-175</v>
      </c>
      <c r="R583" s="31">
        <f t="shared" si="1239"/>
        <v>-456</v>
      </c>
      <c r="S583" s="31">
        <f t="shared" si="1239"/>
        <v>1064</v>
      </c>
      <c r="T583" s="31">
        <f t="shared" si="1239"/>
        <v>-1799</v>
      </c>
      <c r="U583" s="825">
        <f t="shared" si="1239"/>
        <v>-1366</v>
      </c>
      <c r="V583" s="31">
        <f t="shared" si="1239"/>
        <v>-2432</v>
      </c>
      <c r="W583" s="31">
        <f t="shared" si="1239"/>
        <v>204</v>
      </c>
      <c r="X583" s="31">
        <f t="shared" si="1239"/>
        <v>653</v>
      </c>
      <c r="Y583" s="31">
        <f t="shared" si="1239"/>
        <v>-823</v>
      </c>
      <c r="Z583" s="825">
        <f t="shared" si="1239"/>
        <v>-2398</v>
      </c>
      <c r="AA583" s="31">
        <f t="shared" si="1239"/>
        <v>-33</v>
      </c>
      <c r="AB583" s="31">
        <f t="shared" si="1239"/>
        <v>-2162</v>
      </c>
      <c r="AC583" s="31">
        <f t="shared" si="1239"/>
        <v>1907</v>
      </c>
      <c r="AD583" s="31">
        <f t="shared" si="1239"/>
        <v>-1830</v>
      </c>
      <c r="AE583" s="825">
        <f t="shared" si="1239"/>
        <v>-2118</v>
      </c>
      <c r="AF583" s="31">
        <f t="shared" si="1239"/>
        <v>1555</v>
      </c>
      <c r="AG583" s="31">
        <f t="shared" si="1239"/>
        <v>1297</v>
      </c>
      <c r="AH583" s="31">
        <f t="shared" si="1239"/>
        <v>2074</v>
      </c>
      <c r="AI583" s="31">
        <f t="shared" ref="AI583:BD583" si="1240">AI582+AI572+AI573</f>
        <v>684</v>
      </c>
      <c r="AJ583" s="825">
        <f t="shared" si="1240"/>
        <v>5610</v>
      </c>
      <c r="AK583" s="31">
        <f t="shared" si="1240"/>
        <v>-1431</v>
      </c>
      <c r="AL583" s="31">
        <f t="shared" si="1240"/>
        <v>285</v>
      </c>
      <c r="AM583" s="31">
        <f t="shared" si="1240"/>
        <v>3514</v>
      </c>
      <c r="AN583" s="31">
        <f t="shared" si="1240"/>
        <v>-5959</v>
      </c>
      <c r="AO583" s="825">
        <f t="shared" si="1240"/>
        <v>-3591</v>
      </c>
      <c r="AP583" s="31">
        <f t="shared" si="1240"/>
        <v>3346</v>
      </c>
      <c r="AQ583" s="31">
        <f t="shared" si="1240"/>
        <v>-1262</v>
      </c>
      <c r="AR583" s="31">
        <f t="shared" si="1240"/>
        <v>338</v>
      </c>
      <c r="AS583" s="31">
        <f t="shared" si="1240"/>
        <v>-1138</v>
      </c>
      <c r="AT583" s="825">
        <f t="shared" si="1240"/>
        <v>1284</v>
      </c>
      <c r="AU583" s="31">
        <f t="shared" si="1240"/>
        <v>1566</v>
      </c>
      <c r="AV583" s="31">
        <f t="shared" si="1240"/>
        <v>438</v>
      </c>
      <c r="AW583" s="31">
        <f t="shared" si="1240"/>
        <v>-1928</v>
      </c>
      <c r="AX583" s="31">
        <f t="shared" si="1240"/>
        <v>-231</v>
      </c>
      <c r="AY583" s="825">
        <f t="shared" si="1240"/>
        <v>-155</v>
      </c>
      <c r="AZ583" s="31">
        <f t="shared" si="1240"/>
        <v>6017</v>
      </c>
      <c r="BA583" s="31">
        <f t="shared" si="1240"/>
        <v>695</v>
      </c>
      <c r="BB583" s="31">
        <f t="shared" si="1240"/>
        <v>3450</v>
      </c>
      <c r="BC583" s="31">
        <f t="shared" si="1240"/>
        <v>2375</v>
      </c>
      <c r="BD583" s="825">
        <f t="shared" si="1240"/>
        <v>12537</v>
      </c>
      <c r="BE583" s="31">
        <f>BE582+BE572+BE573</f>
        <v>-2178</v>
      </c>
      <c r="BF583" s="31">
        <f>BF582+BF572+BF573</f>
        <v>-6109</v>
      </c>
      <c r="BG583" s="31">
        <f>BG582+BG572+BG573</f>
        <v>-3439</v>
      </c>
      <c r="BH583" s="26">
        <f t="shared" ref="BH583:BI583" si="1241">BH582+BH572+BH573</f>
        <v>2161</v>
      </c>
      <c r="BI583" s="826">
        <f t="shared" si="1241"/>
        <v>-9565</v>
      </c>
      <c r="BJ583" s="26">
        <f>BJ582+BJ572+BJ573</f>
        <v>-2024</v>
      </c>
      <c r="BK583" s="26">
        <f t="shared" ref="BK583" si="1242">BK582+BK572+BK573</f>
        <v>-2120</v>
      </c>
      <c r="BL583" s="31">
        <f t="shared" ref="BL583:BN583" si="1243">BL582+BL572+BL573</f>
        <v>958</v>
      </c>
      <c r="BM583" s="26">
        <f t="shared" si="1243"/>
        <v>2657</v>
      </c>
      <c r="BN583" s="826">
        <f t="shared" si="1243"/>
        <v>-529</v>
      </c>
      <c r="BO583" s="26">
        <f t="shared" ref="BO583:BP583" si="1244">BO582+BO572+BO573</f>
        <v>-2016</v>
      </c>
      <c r="BP583" s="26">
        <f t="shared" si="1244"/>
        <v>-712</v>
      </c>
      <c r="BQ583" s="31">
        <f>BQ582+BQ572+BQ573</f>
        <v>2628</v>
      </c>
      <c r="BR583" s="26">
        <f t="shared" ref="BR583:BS583" si="1245">BR582+BR572+BR573</f>
        <v>-1391</v>
      </c>
      <c r="BS583" s="826">
        <f t="shared" si="1245"/>
        <v>-1491</v>
      </c>
      <c r="BT583" s="379">
        <f t="shared" ref="BT583" si="1246">BT582+BT572+BT573</f>
        <v>-1773</v>
      </c>
      <c r="BU583" s="31">
        <f t="shared" ref="BU583:CF583" ca="1" si="1247">BU582+BU572+BU573</f>
        <v>4855.2810750088956</v>
      </c>
      <c r="BV583" s="31">
        <f t="shared" ca="1" si="1247"/>
        <v>3620.5219984846481</v>
      </c>
      <c r="BW583" s="31">
        <f t="shared" ca="1" si="1247"/>
        <v>3314.263528484651</v>
      </c>
      <c r="BX583" s="825">
        <f t="shared" ca="1" si="1247"/>
        <v>10017.066601978193</v>
      </c>
      <c r="BY583" s="31">
        <f t="shared" ca="1" si="1247"/>
        <v>4178.7568468956069</v>
      </c>
      <c r="BZ583" s="31">
        <f t="shared" ca="1" si="1247"/>
        <v>4696.0054094935549</v>
      </c>
      <c r="CA583" s="31">
        <f t="shared" ca="1" si="1247"/>
        <v>4865.8354361914935</v>
      </c>
      <c r="CB583" s="31">
        <f t="shared" ca="1" si="1247"/>
        <v>4772.7805313914978</v>
      </c>
      <c r="CC583" s="825">
        <f t="shared" ca="1" si="1247"/>
        <v>18513.378223972155</v>
      </c>
      <c r="CD583" s="825">
        <f t="shared" ca="1" si="1247"/>
        <v>15855.407467822166</v>
      </c>
      <c r="CE583" s="825">
        <f t="shared" ca="1" si="1247"/>
        <v>14570.537338072165</v>
      </c>
      <c r="CF583" s="825">
        <f t="shared" ca="1" si="1247"/>
        <v>8703.5891253221562</v>
      </c>
      <c r="CG583" s="37"/>
    </row>
    <row r="584" spans="1:85" s="424" customFormat="1" x14ac:dyDescent="0.3">
      <c r="A584" s="722"/>
      <c r="B584" s="339"/>
      <c r="C584" s="837"/>
      <c r="D584" s="837"/>
      <c r="E584" s="837"/>
      <c r="F584" s="837"/>
      <c r="G584" s="722"/>
      <c r="H584" s="722"/>
      <c r="I584" s="722"/>
      <c r="J584" s="722"/>
      <c r="K584" s="837"/>
      <c r="L584" s="722"/>
      <c r="M584" s="722"/>
      <c r="N584" s="722"/>
      <c r="O584" s="722"/>
      <c r="P584" s="837"/>
      <c r="Q584" s="722"/>
      <c r="R584" s="722"/>
      <c r="S584" s="722"/>
      <c r="T584" s="722"/>
      <c r="U584" s="837"/>
      <c r="V584" s="722"/>
      <c r="W584" s="722"/>
      <c r="X584" s="722"/>
      <c r="Y584" s="722"/>
      <c r="Z584" s="837"/>
      <c r="AA584" s="722"/>
      <c r="AB584" s="722"/>
      <c r="AC584" s="722"/>
      <c r="AD584" s="722"/>
      <c r="AE584" s="837"/>
      <c r="AF584" s="722"/>
      <c r="AG584" s="722"/>
      <c r="AH584" s="722"/>
      <c r="AI584" s="722"/>
      <c r="AJ584" s="837"/>
      <c r="AK584" s="722"/>
      <c r="AL584" s="722"/>
      <c r="AM584" s="722"/>
      <c r="AN584" s="722"/>
      <c r="AO584" s="837"/>
      <c r="AP584" s="722"/>
      <c r="AQ584" s="722"/>
      <c r="AR584" s="722"/>
      <c r="AS584" s="722"/>
      <c r="AT584" s="837"/>
      <c r="AU584" s="722"/>
      <c r="AV584" s="722"/>
      <c r="AW584" s="722"/>
      <c r="AX584" s="722"/>
      <c r="AY584" s="837"/>
      <c r="AZ584" s="722"/>
      <c r="BA584" s="722"/>
      <c r="BB584" s="722"/>
      <c r="BC584" s="722"/>
      <c r="BD584" s="837"/>
      <c r="BE584" s="722"/>
      <c r="BF584" s="722"/>
      <c r="BG584" s="722"/>
      <c r="BH584" s="722"/>
      <c r="BI584" s="837"/>
      <c r="BJ584" s="722"/>
      <c r="BK584" s="722"/>
      <c r="BL584" s="722"/>
      <c r="BM584" s="722"/>
      <c r="BN584" s="837"/>
      <c r="BO584" s="722"/>
      <c r="BP584" s="722"/>
      <c r="BQ584" s="722"/>
      <c r="BR584" s="722"/>
      <c r="BS584" s="837"/>
      <c r="BT584" s="723"/>
      <c r="BU584" s="722"/>
      <c r="BV584" s="722"/>
      <c r="BW584" s="722"/>
      <c r="BX584" s="837"/>
      <c r="BY584" s="722"/>
      <c r="BZ584" s="722"/>
      <c r="CA584" s="722"/>
      <c r="CB584" s="722"/>
      <c r="CC584" s="837"/>
      <c r="CD584" s="837"/>
      <c r="CE584" s="837"/>
      <c r="CF584" s="837"/>
      <c r="CG584" s="190"/>
    </row>
    <row r="585" spans="1:85" s="427" customFormat="1" x14ac:dyDescent="0.3">
      <c r="A585" s="720" t="s">
        <v>235</v>
      </c>
      <c r="B585" s="720"/>
      <c r="C585" s="720"/>
      <c r="D585" s="720"/>
      <c r="E585" s="720"/>
      <c r="F585" s="720"/>
      <c r="G585" s="720"/>
      <c r="H585" s="720"/>
      <c r="I585" s="720"/>
      <c r="J585" s="720"/>
      <c r="K585" s="720"/>
      <c r="L585" s="720"/>
      <c r="M585" s="720"/>
      <c r="N585" s="720"/>
      <c r="O585" s="720"/>
      <c r="P585" s="720"/>
      <c r="Q585" s="720"/>
      <c r="R585" s="720"/>
      <c r="S585" s="720"/>
      <c r="T585" s="720"/>
      <c r="U585" s="720"/>
      <c r="V585" s="720"/>
      <c r="W585" s="720"/>
      <c r="X585" s="720"/>
      <c r="Y585" s="720"/>
      <c r="Z585" s="720"/>
      <c r="AA585" s="720"/>
      <c r="AB585" s="720"/>
      <c r="AC585" s="720"/>
      <c r="AD585" s="720"/>
      <c r="AE585" s="720"/>
      <c r="AF585" s="720"/>
      <c r="AG585" s="720"/>
      <c r="AH585" s="720"/>
      <c r="AI585" s="720"/>
      <c r="AJ585" s="720"/>
      <c r="AK585" s="720"/>
      <c r="AL585" s="720"/>
      <c r="AM585" s="720"/>
      <c r="AN585" s="720"/>
      <c r="AO585" s="720"/>
      <c r="AP585" s="720"/>
      <c r="AQ585" s="720"/>
      <c r="AR585" s="720"/>
      <c r="AS585" s="720"/>
      <c r="AT585" s="720"/>
      <c r="AU585" s="720"/>
      <c r="AV585" s="720"/>
      <c r="AW585" s="720"/>
      <c r="AX585" s="720"/>
      <c r="AY585" s="720"/>
      <c r="AZ585" s="720"/>
      <c r="BA585" s="720"/>
      <c r="BB585" s="720"/>
      <c r="BC585" s="720"/>
      <c r="BD585" s="720"/>
      <c r="BE585" s="720"/>
      <c r="BF585" s="720"/>
      <c r="BG585" s="720"/>
      <c r="BH585" s="720"/>
      <c r="BI585" s="720"/>
      <c r="BJ585" s="720"/>
      <c r="BK585" s="720"/>
      <c r="BL585" s="720"/>
      <c r="BM585" s="720"/>
      <c r="BN585" s="720"/>
      <c r="BO585" s="720"/>
      <c r="BP585" s="720"/>
      <c r="BQ585" s="720"/>
      <c r="BR585" s="720"/>
      <c r="BS585" s="720"/>
      <c r="BT585" s="721"/>
      <c r="BU585" s="720"/>
      <c r="BV585" s="720"/>
      <c r="BW585" s="720"/>
      <c r="BX585" s="720"/>
      <c r="BY585" s="720"/>
      <c r="BZ585" s="720"/>
      <c r="CA585" s="720"/>
      <c r="CB585" s="720"/>
      <c r="CC585" s="720"/>
      <c r="CD585" s="720"/>
      <c r="CE585" s="720"/>
      <c r="CF585" s="720"/>
      <c r="CG585" s="321"/>
    </row>
    <row r="586" spans="1:85" s="428" customFormat="1" x14ac:dyDescent="0.3">
      <c r="A586" s="37" t="s">
        <v>236</v>
      </c>
      <c r="B586" s="109"/>
      <c r="C586" s="821">
        <f t="shared" ref="C586:AH586" si="1248">(C746-C587)-(C768-C763)</f>
        <v>2567</v>
      </c>
      <c r="D586" s="821">
        <f t="shared" si="1248"/>
        <v>2946</v>
      </c>
      <c r="E586" s="821">
        <f t="shared" si="1248"/>
        <v>-97</v>
      </c>
      <c r="F586" s="821">
        <f t="shared" si="1248"/>
        <v>-278</v>
      </c>
      <c r="G586" s="37">
        <f t="shared" si="1248"/>
        <v>3053</v>
      </c>
      <c r="H586" s="37">
        <f t="shared" si="1248"/>
        <v>2308</v>
      </c>
      <c r="I586" s="37">
        <f t="shared" si="1248"/>
        <v>1980</v>
      </c>
      <c r="J586" s="37">
        <f t="shared" si="1248"/>
        <v>1090</v>
      </c>
      <c r="K586" s="821">
        <f t="shared" si="1248"/>
        <v>1090</v>
      </c>
      <c r="L586" s="37">
        <f t="shared" si="1248"/>
        <v>922</v>
      </c>
      <c r="M586" s="37">
        <f t="shared" si="1248"/>
        <v>1855</v>
      </c>
      <c r="N586" s="37">
        <f t="shared" si="1248"/>
        <v>1170</v>
      </c>
      <c r="O586" s="37">
        <f t="shared" si="1248"/>
        <v>881</v>
      </c>
      <c r="P586" s="821">
        <f t="shared" si="1248"/>
        <v>881</v>
      </c>
      <c r="Q586" s="37">
        <f t="shared" si="1248"/>
        <v>2626</v>
      </c>
      <c r="R586" s="37">
        <f t="shared" si="1248"/>
        <v>2570</v>
      </c>
      <c r="S586" s="37">
        <f t="shared" si="1248"/>
        <v>3016</v>
      </c>
      <c r="T586" s="37">
        <f t="shared" si="1248"/>
        <v>2558</v>
      </c>
      <c r="U586" s="821">
        <f t="shared" si="1248"/>
        <v>2558</v>
      </c>
      <c r="V586" s="37">
        <f t="shared" si="1248"/>
        <v>3302</v>
      </c>
      <c r="W586" s="37">
        <f t="shared" si="1248"/>
        <v>3990</v>
      </c>
      <c r="X586" s="37">
        <f t="shared" si="1248"/>
        <v>2514</v>
      </c>
      <c r="Y586" s="37">
        <f t="shared" si="1248"/>
        <v>1673</v>
      </c>
      <c r="Z586" s="821">
        <f t="shared" si="1248"/>
        <v>1673</v>
      </c>
      <c r="AA586" s="37">
        <f t="shared" si="1248"/>
        <v>2445</v>
      </c>
      <c r="AB586" s="37">
        <f t="shared" si="1248"/>
        <v>2677</v>
      </c>
      <c r="AC586" s="37">
        <f t="shared" si="1248"/>
        <v>2418</v>
      </c>
      <c r="AD586" s="37">
        <f t="shared" si="1248"/>
        <v>1193</v>
      </c>
      <c r="AE586" s="821">
        <f t="shared" si="1248"/>
        <v>1193</v>
      </c>
      <c r="AF586" s="37">
        <f t="shared" si="1248"/>
        <v>2142</v>
      </c>
      <c r="AG586" s="37">
        <f t="shared" si="1248"/>
        <v>2236</v>
      </c>
      <c r="AH586" s="37">
        <f t="shared" si="1248"/>
        <v>1720</v>
      </c>
      <c r="AI586" s="37">
        <f t="shared" ref="AI586:BB586" si="1249">(AI746-AI587)-(AI768-AI763)</f>
        <v>1092</v>
      </c>
      <c r="AJ586" s="821">
        <f t="shared" si="1249"/>
        <v>1092</v>
      </c>
      <c r="AK586" s="37">
        <f t="shared" si="1249"/>
        <v>992</v>
      </c>
      <c r="AL586" s="37">
        <f t="shared" si="1249"/>
        <v>97</v>
      </c>
      <c r="AM586" s="37">
        <f t="shared" si="1249"/>
        <v>-1328</v>
      </c>
      <c r="AN586" s="37">
        <f t="shared" si="1249"/>
        <v>-1893</v>
      </c>
      <c r="AO586" s="821">
        <f t="shared" si="1249"/>
        <v>-1893</v>
      </c>
      <c r="AP586" s="37">
        <f t="shared" si="1249"/>
        <v>-725</v>
      </c>
      <c r="AQ586" s="37">
        <f t="shared" si="1249"/>
        <v>-1180</v>
      </c>
      <c r="AR586" s="37">
        <f t="shared" si="1249"/>
        <v>-2150</v>
      </c>
      <c r="AS586" s="37">
        <f t="shared" si="1249"/>
        <v>-1325</v>
      </c>
      <c r="AT586" s="821">
        <f t="shared" si="1249"/>
        <v>-1325</v>
      </c>
      <c r="AU586" s="37">
        <f t="shared" si="1249"/>
        <v>-502</v>
      </c>
      <c r="AV586" s="37">
        <f t="shared" si="1249"/>
        <v>-399</v>
      </c>
      <c r="AW586" s="37">
        <f t="shared" si="1249"/>
        <v>181</v>
      </c>
      <c r="AX586" s="37">
        <f t="shared" si="1249"/>
        <v>373</v>
      </c>
      <c r="AY586" s="821">
        <f t="shared" si="1249"/>
        <v>373</v>
      </c>
      <c r="AZ586" s="37">
        <f t="shared" si="1249"/>
        <v>981</v>
      </c>
      <c r="BA586" s="37">
        <f t="shared" si="1249"/>
        <v>1600</v>
      </c>
      <c r="BB586" s="37">
        <f t="shared" si="1249"/>
        <v>-123</v>
      </c>
      <c r="BC586" s="37">
        <f t="shared" ref="BC586:BD586" si="1250">(BC746-BC587)-(BC768-BC763)</f>
        <v>-1245</v>
      </c>
      <c r="BD586" s="821">
        <f t="shared" si="1250"/>
        <v>-1245</v>
      </c>
      <c r="BE586" s="37">
        <f t="shared" ref="BE586:BK586" si="1251">(BE746-BE587)-(BE768-BE763)</f>
        <v>518</v>
      </c>
      <c r="BF586" s="37">
        <f t="shared" si="1251"/>
        <v>3494</v>
      </c>
      <c r="BG586" s="37">
        <f t="shared" si="1251"/>
        <v>1762</v>
      </c>
      <c r="BH586" s="37">
        <f t="shared" si="1251"/>
        <v>79</v>
      </c>
      <c r="BI586" s="821">
        <f t="shared" si="1251"/>
        <v>79</v>
      </c>
      <c r="BJ586" s="37">
        <f t="shared" si="1251"/>
        <v>638</v>
      </c>
      <c r="BK586" s="37">
        <f t="shared" si="1251"/>
        <v>2112</v>
      </c>
      <c r="BL586" s="37">
        <f t="shared" ref="BL586:BN586" si="1252">(BL746-BL587)-(BL768-BL763)</f>
        <v>1845</v>
      </c>
      <c r="BM586" s="37">
        <f t="shared" si="1252"/>
        <v>-1507</v>
      </c>
      <c r="BN586" s="821">
        <f t="shared" si="1252"/>
        <v>-1507</v>
      </c>
      <c r="BO586" s="37">
        <f t="shared" ref="BO586" si="1253">(BO746-BO587)-(BO768-BO763)</f>
        <v>777</v>
      </c>
      <c r="BP586" s="37">
        <f t="shared" ref="BP586" si="1254">(BP746-BP587)-(BP768-BP763)</f>
        <v>675</v>
      </c>
      <c r="BQ586" s="37">
        <f>(BQ746-BQ587)-(BQ768-BQ763)</f>
        <v>200</v>
      </c>
      <c r="BR586" s="37">
        <f t="shared" ref="BR586:BS586" si="1255">(BR746-BR587)-(BR768-BR763)</f>
        <v>-1147</v>
      </c>
      <c r="BS586" s="821">
        <f t="shared" si="1255"/>
        <v>-1147</v>
      </c>
      <c r="BT586" s="480">
        <f t="shared" ref="BT586:CF586" si="1256">(BT746-BT587)-(BT768-BT763)</f>
        <v>3492</v>
      </c>
      <c r="BU586" s="37">
        <f t="shared" ca="1" si="1256"/>
        <v>3492</v>
      </c>
      <c r="BV586" s="37">
        <f t="shared" ca="1" si="1256"/>
        <v>3492</v>
      </c>
      <c r="BW586" s="37">
        <f t="shared" ca="1" si="1256"/>
        <v>3492</v>
      </c>
      <c r="BX586" s="821">
        <f t="shared" ca="1" si="1256"/>
        <v>3492</v>
      </c>
      <c r="BY586" s="37">
        <f t="shared" ca="1" si="1256"/>
        <v>3492</v>
      </c>
      <c r="BZ586" s="37">
        <f t="shared" ca="1" si="1256"/>
        <v>3492</v>
      </c>
      <c r="CA586" s="37">
        <f t="shared" ca="1" si="1256"/>
        <v>3492</v>
      </c>
      <c r="CB586" s="37">
        <f t="shared" ca="1" si="1256"/>
        <v>3491.9999999999927</v>
      </c>
      <c r="CC586" s="821">
        <f t="shared" ca="1" si="1256"/>
        <v>3491.9999999999927</v>
      </c>
      <c r="CD586" s="821">
        <f t="shared" ca="1" si="1256"/>
        <v>3491.9999999999927</v>
      </c>
      <c r="CE586" s="821">
        <f t="shared" ca="1" si="1256"/>
        <v>3492</v>
      </c>
      <c r="CF586" s="821">
        <f t="shared" ca="1" si="1256"/>
        <v>3492</v>
      </c>
      <c r="CG586" s="22"/>
    </row>
    <row r="587" spans="1:85" s="428" customFormat="1" x14ac:dyDescent="0.3">
      <c r="A587" s="37" t="s">
        <v>237</v>
      </c>
      <c r="B587" s="109"/>
      <c r="C587" s="821">
        <f t="shared" ref="C587:AH587" si="1257">C735+C736+C737+C743+C754</f>
        <v>8822</v>
      </c>
      <c r="D587" s="821">
        <f t="shared" si="1257"/>
        <v>17070</v>
      </c>
      <c r="E587" s="821">
        <f t="shared" si="1257"/>
        <v>20071</v>
      </c>
      <c r="F587" s="821">
        <f t="shared" si="1257"/>
        <v>21913</v>
      </c>
      <c r="G587" s="37">
        <f t="shared" si="1257"/>
        <v>19048</v>
      </c>
      <c r="H587" s="37">
        <f t="shared" si="1257"/>
        <v>22296</v>
      </c>
      <c r="I587" s="37">
        <f t="shared" si="1257"/>
        <v>18580</v>
      </c>
      <c r="J587" s="37">
        <f t="shared" si="1257"/>
        <v>16516</v>
      </c>
      <c r="K587" s="821">
        <f t="shared" si="1257"/>
        <v>16516</v>
      </c>
      <c r="L587" s="37">
        <f t="shared" si="1257"/>
        <v>16183</v>
      </c>
      <c r="M587" s="37">
        <f t="shared" si="1257"/>
        <v>14235</v>
      </c>
      <c r="N587" s="37">
        <f t="shared" si="1257"/>
        <v>14490</v>
      </c>
      <c r="O587" s="37">
        <f t="shared" si="1257"/>
        <v>13215</v>
      </c>
      <c r="P587" s="821">
        <f t="shared" si="1257"/>
        <v>13215</v>
      </c>
      <c r="Q587" s="37">
        <f t="shared" si="1257"/>
        <v>13107</v>
      </c>
      <c r="R587" s="37">
        <f t="shared" si="1257"/>
        <v>12521</v>
      </c>
      <c r="S587" s="37">
        <f t="shared" si="1257"/>
        <v>13239</v>
      </c>
      <c r="T587" s="37">
        <f t="shared" si="1257"/>
        <v>11332</v>
      </c>
      <c r="U587" s="821">
        <f t="shared" si="1257"/>
        <v>11332</v>
      </c>
      <c r="V587" s="37">
        <f t="shared" si="1257"/>
        <v>8879</v>
      </c>
      <c r="W587" s="37">
        <f t="shared" si="1257"/>
        <v>9084</v>
      </c>
      <c r="X587" s="37">
        <f t="shared" si="1257"/>
        <v>7672</v>
      </c>
      <c r="Y587" s="37">
        <f t="shared" si="1257"/>
        <v>7001</v>
      </c>
      <c r="Z587" s="821">
        <f t="shared" si="1257"/>
        <v>7001</v>
      </c>
      <c r="AA587" s="37">
        <f t="shared" si="1257"/>
        <v>6994</v>
      </c>
      <c r="AB587" s="37">
        <f t="shared" si="1257"/>
        <v>4775</v>
      </c>
      <c r="AC587" s="37">
        <f t="shared" si="1257"/>
        <v>6654</v>
      </c>
      <c r="AD587" s="37">
        <f t="shared" si="1257"/>
        <v>4822</v>
      </c>
      <c r="AE587" s="821">
        <f t="shared" si="1257"/>
        <v>4822</v>
      </c>
      <c r="AF587" s="37">
        <f t="shared" si="1257"/>
        <v>7555</v>
      </c>
      <c r="AG587" s="37">
        <f t="shared" si="1257"/>
        <v>8756</v>
      </c>
      <c r="AH587" s="37">
        <f t="shared" si="1257"/>
        <v>10801</v>
      </c>
      <c r="AI587" s="37">
        <f t="shared" ref="AI587:AO587" si="1258">AI735+AI736+AI737+AI743+AI754</f>
        <v>11484</v>
      </c>
      <c r="AJ587" s="821">
        <f t="shared" si="1258"/>
        <v>11484</v>
      </c>
      <c r="AK587" s="37">
        <f t="shared" si="1258"/>
        <v>9751</v>
      </c>
      <c r="AL587" s="37">
        <f t="shared" si="1258"/>
        <v>9749</v>
      </c>
      <c r="AM587" s="37">
        <f t="shared" si="1258"/>
        <v>12878</v>
      </c>
      <c r="AN587" s="37">
        <f t="shared" si="1258"/>
        <v>6974</v>
      </c>
      <c r="AO587" s="821">
        <f t="shared" si="1258"/>
        <v>6974</v>
      </c>
      <c r="AP587" s="37">
        <f t="shared" ref="AP587:AT587" si="1259">AP735+AP736+AP737+AP743+AP754</f>
        <v>9740</v>
      </c>
      <c r="AQ587" s="37">
        <f t="shared" si="1259"/>
        <v>7838</v>
      </c>
      <c r="AR587" s="37">
        <f t="shared" si="1259"/>
        <v>7819</v>
      </c>
      <c r="AS587" s="37">
        <f t="shared" si="1259"/>
        <v>6768</v>
      </c>
      <c r="AT587" s="821">
        <f t="shared" si="1259"/>
        <v>6768</v>
      </c>
      <c r="AU587" s="37">
        <f t="shared" ref="AU587" si="1260">AU735+AU736+AU737+AU743+AU754</f>
        <v>8296</v>
      </c>
      <c r="AV587" s="37">
        <f>AV735+AV736+AV737+AV743+AV754</f>
        <v>8722</v>
      </c>
      <c r="AW587" s="37">
        <f>AW735+AW736+AW737+AW743+AW754</f>
        <v>7059</v>
      </c>
      <c r="AX587" s="37">
        <f t="shared" ref="AX587:AY587" si="1261">AX735+AX736+AX737+AX743+AX754</f>
        <v>6830</v>
      </c>
      <c r="AY587" s="821">
        <f t="shared" si="1261"/>
        <v>6830</v>
      </c>
      <c r="AZ587" s="37">
        <f t="shared" ref="AZ587:BG587" si="1262">AZ735+AZ736+AZ737+AZ743+AZ754</f>
        <v>12839</v>
      </c>
      <c r="BA587" s="37">
        <f t="shared" si="1262"/>
        <v>13697</v>
      </c>
      <c r="BB587" s="37">
        <f t="shared" si="1262"/>
        <v>16964</v>
      </c>
      <c r="BC587" s="37">
        <f t="shared" si="1262"/>
        <v>19344</v>
      </c>
      <c r="BD587" s="821">
        <f t="shared" si="1262"/>
        <v>19344</v>
      </c>
      <c r="BE587" s="37">
        <f t="shared" si="1262"/>
        <v>17029</v>
      </c>
      <c r="BF587" s="37">
        <f t="shared" ref="BF587" si="1263">BF735+BF736+BF737+BF743+BF754</f>
        <v>10718</v>
      </c>
      <c r="BG587" s="37">
        <f t="shared" si="1262"/>
        <v>7147</v>
      </c>
      <c r="BH587" s="37">
        <f t="shared" ref="BH587:BK587" si="1264">BH735+BH736+BH737+BH743+BH754</f>
        <v>9320</v>
      </c>
      <c r="BI587" s="821">
        <f t="shared" si="1264"/>
        <v>9320</v>
      </c>
      <c r="BJ587" s="37">
        <f t="shared" si="1264"/>
        <v>7212</v>
      </c>
      <c r="BK587" s="37">
        <f t="shared" si="1264"/>
        <v>4965</v>
      </c>
      <c r="BL587" s="37">
        <f t="shared" ref="BL587:BN587" si="1265">BL735+BL736+BL737+BL743+BL754</f>
        <v>5768</v>
      </c>
      <c r="BM587" s="37">
        <f t="shared" si="1265"/>
        <v>8266</v>
      </c>
      <c r="BN587" s="821">
        <f t="shared" si="1265"/>
        <v>8266</v>
      </c>
      <c r="BO587" s="37">
        <f t="shared" ref="BO587" si="1266">BO735+BO736+BO737+BO743+BO754</f>
        <v>6171</v>
      </c>
      <c r="BP587" s="37">
        <f t="shared" ref="BP587" si="1267">BP735+BP736+BP737+BP743+BP754</f>
        <v>5380</v>
      </c>
      <c r="BQ587" s="37">
        <f t="shared" ref="BQ587:BX587" si="1268">BQ735+BQ736+BQ737+BQ743+BQ754</f>
        <v>8785</v>
      </c>
      <c r="BR587" s="37">
        <f t="shared" si="1268"/>
        <v>7289</v>
      </c>
      <c r="BS587" s="821">
        <f t="shared" si="1268"/>
        <v>7289</v>
      </c>
      <c r="BT587" s="480">
        <f>BT735+BT736+BT737+BT743+BT754</f>
        <v>6320</v>
      </c>
      <c r="BU587" s="37">
        <f ca="1">BU735+BU736+BU737+BU743+BU754</f>
        <v>11175.281075008896</v>
      </c>
      <c r="BV587" s="37">
        <f ca="1">BV735+BV736+BV737+BV743+BV754</f>
        <v>14795.803073493544</v>
      </c>
      <c r="BW587" s="37">
        <f ca="1">BW735+BW736+BW737+BW743+BW754</f>
        <v>18110.066601978193</v>
      </c>
      <c r="BX587" s="821">
        <f t="shared" ca="1" si="1268"/>
        <v>18110.066601978193</v>
      </c>
      <c r="BY587" s="37">
        <f t="shared" ref="BY587:CF587" ca="1" si="1269">BY735+BY736+BY737+BY743+BY754</f>
        <v>22288.823448873802</v>
      </c>
      <c r="BZ587" s="37">
        <f t="shared" ca="1" si="1269"/>
        <v>26984.828858367357</v>
      </c>
      <c r="CA587" s="37">
        <f t="shared" ca="1" si="1269"/>
        <v>31850.66429455885</v>
      </c>
      <c r="CB587" s="37">
        <f t="shared" ca="1" si="1269"/>
        <v>36623.444825950348</v>
      </c>
      <c r="CC587" s="821">
        <f t="shared" ca="1" si="1269"/>
        <v>36623.444825950348</v>
      </c>
      <c r="CD587" s="821">
        <f t="shared" ca="1" si="1269"/>
        <v>52478.852293772514</v>
      </c>
      <c r="CE587" s="821">
        <f t="shared" ca="1" si="1269"/>
        <v>67049.389631844679</v>
      </c>
      <c r="CF587" s="821">
        <f t="shared" ca="1" si="1269"/>
        <v>75752.978757166828</v>
      </c>
      <c r="CG587" s="22"/>
    </row>
    <row r="588" spans="1:85" s="428" customFormat="1" x14ac:dyDescent="0.3">
      <c r="A588" s="43" t="s">
        <v>581</v>
      </c>
      <c r="B588" s="109"/>
      <c r="C588" s="821">
        <f t="shared" ref="C588:AO588" si="1270">C763</f>
        <v>384</v>
      </c>
      <c r="D588" s="821">
        <f t="shared" si="1270"/>
        <v>187</v>
      </c>
      <c r="E588" s="821">
        <f t="shared" si="1270"/>
        <v>340</v>
      </c>
      <c r="F588" s="821">
        <f t="shared" si="1270"/>
        <v>127</v>
      </c>
      <c r="G588" s="37">
        <f t="shared" si="1270"/>
        <v>2090</v>
      </c>
      <c r="H588" s="37">
        <f t="shared" si="1270"/>
        <v>1913</v>
      </c>
      <c r="I588" s="37">
        <f t="shared" si="1270"/>
        <v>527</v>
      </c>
      <c r="J588" s="37">
        <f t="shared" si="1270"/>
        <v>374</v>
      </c>
      <c r="K588" s="821">
        <f t="shared" si="1270"/>
        <v>374</v>
      </c>
      <c r="L588" s="37">
        <f t="shared" si="1270"/>
        <v>3008</v>
      </c>
      <c r="M588" s="37">
        <f t="shared" si="1270"/>
        <v>3498</v>
      </c>
      <c r="N588" s="37">
        <f t="shared" si="1270"/>
        <v>5665</v>
      </c>
      <c r="O588" s="37">
        <f t="shared" si="1270"/>
        <v>3790</v>
      </c>
      <c r="P588" s="821">
        <f t="shared" si="1270"/>
        <v>3790</v>
      </c>
      <c r="Q588" s="37">
        <f t="shared" si="1270"/>
        <v>3908</v>
      </c>
      <c r="R588" s="37">
        <f t="shared" si="1270"/>
        <v>2621</v>
      </c>
      <c r="S588" s="37">
        <f t="shared" si="1270"/>
        <v>6580</v>
      </c>
      <c r="T588" s="37">
        <f t="shared" si="1270"/>
        <v>4927</v>
      </c>
      <c r="U588" s="821">
        <f t="shared" si="1270"/>
        <v>4927</v>
      </c>
      <c r="V588" s="37">
        <f t="shared" si="1270"/>
        <v>9630</v>
      </c>
      <c r="W588" s="37">
        <f t="shared" si="1270"/>
        <v>5530</v>
      </c>
      <c r="X588" s="37">
        <f t="shared" si="1270"/>
        <v>6057</v>
      </c>
      <c r="Y588" s="37">
        <f t="shared" si="1270"/>
        <v>10840</v>
      </c>
      <c r="Z588" s="821">
        <f t="shared" si="1270"/>
        <v>10840</v>
      </c>
      <c r="AA588" s="37">
        <f t="shared" si="1270"/>
        <v>8297</v>
      </c>
      <c r="AB588" s="37">
        <f t="shared" si="1270"/>
        <v>8782</v>
      </c>
      <c r="AC588" s="37">
        <f t="shared" si="1270"/>
        <v>7897</v>
      </c>
      <c r="AD588" s="37">
        <f t="shared" si="1270"/>
        <v>5192</v>
      </c>
      <c r="AE588" s="821">
        <f t="shared" si="1270"/>
        <v>5192</v>
      </c>
      <c r="AF588" s="37">
        <f t="shared" si="1270"/>
        <v>8601</v>
      </c>
      <c r="AG588" s="37">
        <f t="shared" si="1270"/>
        <v>8598</v>
      </c>
      <c r="AH588" s="37">
        <f t="shared" si="1270"/>
        <v>6121</v>
      </c>
      <c r="AI588" s="37">
        <f t="shared" si="1270"/>
        <v>5726</v>
      </c>
      <c r="AJ588" s="821">
        <f t="shared" si="1270"/>
        <v>5726</v>
      </c>
      <c r="AK588" s="37">
        <f t="shared" si="1270"/>
        <v>7023</v>
      </c>
      <c r="AL588" s="37">
        <f t="shared" si="1270"/>
        <v>5588</v>
      </c>
      <c r="AM588" s="37">
        <f t="shared" si="1270"/>
        <v>7795</v>
      </c>
      <c r="AN588" s="37">
        <f t="shared" si="1270"/>
        <v>3282</v>
      </c>
      <c r="AO588" s="821">
        <f t="shared" si="1270"/>
        <v>3282</v>
      </c>
      <c r="AP588" s="37">
        <f t="shared" ref="AP588:AT588" si="1271">AP763</f>
        <v>8688</v>
      </c>
      <c r="AQ588" s="37">
        <f t="shared" si="1271"/>
        <v>3751</v>
      </c>
      <c r="AR588" s="37">
        <f t="shared" si="1271"/>
        <v>530</v>
      </c>
      <c r="AS588" s="37">
        <f t="shared" si="1271"/>
        <v>1548</v>
      </c>
      <c r="AT588" s="821">
        <f t="shared" si="1271"/>
        <v>1548</v>
      </c>
      <c r="AU588" s="37">
        <f t="shared" ref="AU588" si="1272">AU763</f>
        <v>4841</v>
      </c>
      <c r="AV588" s="37">
        <f>AV763</f>
        <v>3497</v>
      </c>
      <c r="AW588" s="37">
        <f>AW763</f>
        <v>291</v>
      </c>
      <c r="AX588" s="37">
        <f t="shared" ref="AX588:AY588" si="1273">AX763</f>
        <v>256</v>
      </c>
      <c r="AY588" s="821">
        <f t="shared" si="1273"/>
        <v>256</v>
      </c>
      <c r="AZ588" s="37">
        <f>AZ763</f>
        <v>314</v>
      </c>
      <c r="BA588" s="37">
        <f>BA763</f>
        <v>3230</v>
      </c>
      <c r="BB588" s="37">
        <f>BB763</f>
        <v>2221</v>
      </c>
      <c r="BC588" s="37">
        <f t="shared" ref="BC588:BD588" si="1274">BC763</f>
        <v>1964</v>
      </c>
      <c r="BD588" s="821">
        <f t="shared" si="1274"/>
        <v>1964</v>
      </c>
      <c r="BE588" s="37">
        <f t="shared" ref="BE588:BG588" si="1275">BE763</f>
        <v>2931</v>
      </c>
      <c r="BF588" s="37">
        <f t="shared" si="1275"/>
        <v>1269</v>
      </c>
      <c r="BG588" s="37">
        <f t="shared" si="1275"/>
        <v>440</v>
      </c>
      <c r="BH588" s="37">
        <f>BH763</f>
        <v>529</v>
      </c>
      <c r="BI588" s="821">
        <f>BI763</f>
        <v>529</v>
      </c>
      <c r="BJ588" s="37">
        <f t="shared" ref="BJ588:BK588" si="1276">BJ763</f>
        <v>282</v>
      </c>
      <c r="BK588" s="37">
        <f t="shared" si="1276"/>
        <v>1735</v>
      </c>
      <c r="BL588" s="37">
        <f t="shared" ref="BL588:BN588" si="1277">BL763</f>
        <v>5144</v>
      </c>
      <c r="BM588" s="37">
        <f t="shared" si="1277"/>
        <v>4406</v>
      </c>
      <c r="BN588" s="821">
        <f t="shared" si="1277"/>
        <v>4406</v>
      </c>
      <c r="BO588" s="37">
        <f t="shared" ref="BO588" si="1278">BO763</f>
        <v>4076</v>
      </c>
      <c r="BP588" s="37">
        <f t="shared" ref="BP588:BT588" si="1279">BP763</f>
        <v>6191</v>
      </c>
      <c r="BQ588" s="37">
        <f t="shared" si="1279"/>
        <v>3591</v>
      </c>
      <c r="BR588" s="37">
        <f t="shared" si="1279"/>
        <v>977</v>
      </c>
      <c r="BS588" s="821">
        <f t="shared" si="1279"/>
        <v>977</v>
      </c>
      <c r="BT588" s="480">
        <f t="shared" si="1279"/>
        <v>5828</v>
      </c>
      <c r="BU588" s="37">
        <f>BU590-BU589</f>
        <v>5828</v>
      </c>
      <c r="BV588" s="37">
        <f>BV590-BV589</f>
        <v>5828</v>
      </c>
      <c r="BW588" s="37">
        <f>BW590-BW589</f>
        <v>5828</v>
      </c>
      <c r="BX588" s="821">
        <f>BX763</f>
        <v>5828</v>
      </c>
      <c r="BY588" s="37">
        <f>BY590-BY589</f>
        <v>5828</v>
      </c>
      <c r="BZ588" s="37">
        <f>BZ590-BZ589</f>
        <v>5828</v>
      </c>
      <c r="CA588" s="37">
        <f>CA590-CA589</f>
        <v>5828</v>
      </c>
      <c r="CB588" s="37">
        <f>CB590-CB589</f>
        <v>5828</v>
      </c>
      <c r="CC588" s="821">
        <f>CC763</f>
        <v>5828</v>
      </c>
      <c r="CD588" s="821">
        <f>CD590-CD589</f>
        <v>5828</v>
      </c>
      <c r="CE588" s="821">
        <f>CE590-CE589</f>
        <v>5828</v>
      </c>
      <c r="CF588" s="821">
        <f>CF590-CF589</f>
        <v>5828</v>
      </c>
      <c r="CG588" s="22"/>
    </row>
    <row r="589" spans="1:85" s="428" customFormat="1" x14ac:dyDescent="0.3">
      <c r="A589" s="299" t="s">
        <v>582</v>
      </c>
      <c r="B589" s="300"/>
      <c r="C589" s="923">
        <f t="shared" ref="C589:AO589" si="1280">C771+C775</f>
        <v>10130</v>
      </c>
      <c r="D589" s="923">
        <f t="shared" si="1280"/>
        <v>11289</v>
      </c>
      <c r="E589" s="923">
        <f t="shared" si="1280"/>
        <v>9812</v>
      </c>
      <c r="F589" s="923">
        <f t="shared" si="1280"/>
        <v>12065</v>
      </c>
      <c r="G589" s="301">
        <f t="shared" si="1280"/>
        <v>12053</v>
      </c>
      <c r="H589" s="301">
        <f t="shared" si="1280"/>
        <v>18051</v>
      </c>
      <c r="I589" s="301">
        <f t="shared" si="1280"/>
        <v>18054</v>
      </c>
      <c r="J589" s="301">
        <f t="shared" si="1280"/>
        <v>20057</v>
      </c>
      <c r="K589" s="923">
        <f t="shared" si="1280"/>
        <v>20057</v>
      </c>
      <c r="L589" s="301">
        <f t="shared" si="1280"/>
        <v>20046</v>
      </c>
      <c r="M589" s="301">
        <f t="shared" si="1280"/>
        <v>20050</v>
      </c>
      <c r="N589" s="301">
        <f t="shared" si="1280"/>
        <v>20044</v>
      </c>
      <c r="O589" s="301">
        <f t="shared" si="1280"/>
        <v>24028</v>
      </c>
      <c r="P589" s="923">
        <f t="shared" si="1280"/>
        <v>24028</v>
      </c>
      <c r="Q589" s="301">
        <f t="shared" si="1280"/>
        <v>30025</v>
      </c>
      <c r="R589" s="301">
        <f t="shared" si="1280"/>
        <v>29289</v>
      </c>
      <c r="S589" s="301">
        <f t="shared" si="1280"/>
        <v>29296</v>
      </c>
      <c r="T589" s="301">
        <f t="shared" si="1280"/>
        <v>33622</v>
      </c>
      <c r="U589" s="923">
        <f t="shared" si="1280"/>
        <v>33622</v>
      </c>
      <c r="V589" s="301">
        <f t="shared" si="1280"/>
        <v>32708.999999999996</v>
      </c>
      <c r="W589" s="301">
        <f t="shared" si="1280"/>
        <v>39555</v>
      </c>
      <c r="X589" s="301">
        <f t="shared" si="1280"/>
        <v>39528</v>
      </c>
      <c r="Y589" s="301">
        <f t="shared" si="1280"/>
        <v>35286</v>
      </c>
      <c r="Z589" s="923">
        <f t="shared" si="1280"/>
        <v>35286</v>
      </c>
      <c r="AA589" s="301">
        <f t="shared" si="1280"/>
        <v>36959</v>
      </c>
      <c r="AB589" s="301">
        <f t="shared" si="1280"/>
        <v>34082</v>
      </c>
      <c r="AC589" s="301">
        <f t="shared" si="1280"/>
        <v>34075</v>
      </c>
      <c r="AD589" s="301">
        <f t="shared" si="1280"/>
        <v>33571</v>
      </c>
      <c r="AE589" s="923">
        <f t="shared" si="1280"/>
        <v>33571</v>
      </c>
      <c r="AF589" s="301">
        <f t="shared" si="1280"/>
        <v>31144</v>
      </c>
      <c r="AG589" s="301">
        <f t="shared" si="1280"/>
        <v>29919</v>
      </c>
      <c r="AH589" s="301">
        <f t="shared" si="1280"/>
        <v>29989</v>
      </c>
      <c r="AI589" s="301">
        <f t="shared" si="1280"/>
        <v>28733</v>
      </c>
      <c r="AJ589" s="923">
        <f t="shared" si="1280"/>
        <v>28733</v>
      </c>
      <c r="AK589" s="301">
        <f t="shared" si="1280"/>
        <v>26064</v>
      </c>
      <c r="AL589" s="301">
        <f t="shared" si="1280"/>
        <v>25061</v>
      </c>
      <c r="AM589" s="301">
        <f t="shared" si="1280"/>
        <v>25056</v>
      </c>
      <c r="AN589" s="301">
        <f t="shared" si="1280"/>
        <v>23691</v>
      </c>
      <c r="AO589" s="923">
        <f t="shared" si="1280"/>
        <v>23691</v>
      </c>
      <c r="AP589" s="301">
        <f t="shared" ref="AP589:AT589" si="1281">AP771+AP775</f>
        <v>23663</v>
      </c>
      <c r="AQ589" s="301">
        <f t="shared" si="1281"/>
        <v>30302</v>
      </c>
      <c r="AR589" s="301">
        <f t="shared" si="1281"/>
        <v>34280</v>
      </c>
      <c r="AS589" s="301">
        <f t="shared" si="1281"/>
        <v>42767</v>
      </c>
      <c r="AT589" s="923">
        <f t="shared" si="1281"/>
        <v>42767</v>
      </c>
      <c r="AU589" s="301">
        <f t="shared" ref="AU589" si="1282">AU771+AU775</f>
        <v>40599</v>
      </c>
      <c r="AV589" s="301">
        <f>AV771+AV775</f>
        <v>39521</v>
      </c>
      <c r="AW589" s="301">
        <f>AW771+AW775</f>
        <v>37056</v>
      </c>
      <c r="AX589" s="301">
        <f t="shared" ref="AX589:AY589" si="1283">AX771+AX775</f>
        <v>31113</v>
      </c>
      <c r="AY589" s="923">
        <f t="shared" si="1283"/>
        <v>31113</v>
      </c>
      <c r="AZ589" s="301">
        <f>AZ771+AZ775</f>
        <v>29019</v>
      </c>
      <c r="BA589" s="301">
        <f>BA771+BA775</f>
        <v>23005</v>
      </c>
      <c r="BB589" s="301">
        <f>BB771+BB775</f>
        <v>21420</v>
      </c>
      <c r="BC589" s="301">
        <f t="shared" ref="BC589:BD589" si="1284">BC771+BC775</f>
        <v>21375</v>
      </c>
      <c r="BD589" s="923">
        <f t="shared" si="1284"/>
        <v>21375</v>
      </c>
      <c r="BE589" s="301">
        <f t="shared" ref="BE589:BG589" si="1285">BE771+BE775</f>
        <v>20275</v>
      </c>
      <c r="BF589" s="301">
        <f t="shared" si="1285"/>
        <v>20245</v>
      </c>
      <c r="BG589" s="301">
        <f t="shared" si="1285"/>
        <v>20119</v>
      </c>
      <c r="BH589" s="301">
        <f>BH771+BH775</f>
        <v>20307</v>
      </c>
      <c r="BI589" s="923">
        <f>BI771+BI775</f>
        <v>20307</v>
      </c>
      <c r="BJ589" s="301">
        <f t="shared" ref="BJ589:BK589" si="1286">BJ771+BJ775</f>
        <v>21553</v>
      </c>
      <c r="BK589" s="301">
        <f t="shared" si="1286"/>
        <v>21449</v>
      </c>
      <c r="BL589" s="301">
        <f t="shared" ref="BL589:BN589" si="1287">BL771+BL775</f>
        <v>20697</v>
      </c>
      <c r="BM589" s="301">
        <f t="shared" si="1287"/>
        <v>20135</v>
      </c>
      <c r="BN589" s="923">
        <f t="shared" si="1287"/>
        <v>20135</v>
      </c>
      <c r="BO589" s="301">
        <f t="shared" ref="BO589" si="1288">BO771+BO775</f>
        <v>25605</v>
      </c>
      <c r="BP589" s="301">
        <f t="shared" ref="BP589:BT589" si="1289">BP771+BP775</f>
        <v>23276</v>
      </c>
      <c r="BQ589" s="301">
        <f t="shared" si="1289"/>
        <v>37953</v>
      </c>
      <c r="BR589" s="301">
        <f t="shared" si="1289"/>
        <v>39781</v>
      </c>
      <c r="BS589" s="923">
        <f t="shared" si="1289"/>
        <v>39781</v>
      </c>
      <c r="BT589" s="381">
        <f t="shared" si="1289"/>
        <v>39600</v>
      </c>
      <c r="BU589" s="301">
        <f>MAX(0,BT589+BU572)</f>
        <v>39600</v>
      </c>
      <c r="BV589" s="301">
        <f>MAX(0,BU589+BV572)</f>
        <v>39600</v>
      </c>
      <c r="BW589" s="301">
        <f>MAX(0,BV589+BW572)</f>
        <v>39600</v>
      </c>
      <c r="BX589" s="923">
        <f>BX771+BX775</f>
        <v>39600</v>
      </c>
      <c r="BY589" s="301">
        <f>MAX(0,BX589+BY572)</f>
        <v>39600</v>
      </c>
      <c r="BZ589" s="301">
        <f>MAX(0,BY589+BZ572)</f>
        <v>39600</v>
      </c>
      <c r="CA589" s="301">
        <f>MAX(0,BZ589+CA572)</f>
        <v>39600</v>
      </c>
      <c r="CB589" s="301">
        <f>MAX(0,CA589+CB572)</f>
        <v>39600</v>
      </c>
      <c r="CC589" s="923">
        <f>CC771+CC775</f>
        <v>39600</v>
      </c>
      <c r="CD589" s="923">
        <f>MAX(0,CC589+CD572)</f>
        <v>39600</v>
      </c>
      <c r="CE589" s="923">
        <f>MAX(0,CD589+CE572)</f>
        <v>39600</v>
      </c>
      <c r="CF589" s="923">
        <f>MAX(0,CE589+CF572)</f>
        <v>39600</v>
      </c>
      <c r="CG589" s="22"/>
    </row>
    <row r="590" spans="1:85" s="428" customFormat="1" x14ac:dyDescent="0.3">
      <c r="A590" s="37" t="s">
        <v>238</v>
      </c>
      <c r="B590" s="109"/>
      <c r="C590" s="821">
        <f t="shared" ref="C590:AO590" si="1290">C763+C771+C775</f>
        <v>10514</v>
      </c>
      <c r="D590" s="821">
        <f t="shared" si="1290"/>
        <v>11476</v>
      </c>
      <c r="E590" s="821">
        <f t="shared" si="1290"/>
        <v>10152</v>
      </c>
      <c r="F590" s="821">
        <f t="shared" si="1290"/>
        <v>12192</v>
      </c>
      <c r="G590" s="37">
        <f t="shared" si="1290"/>
        <v>14143</v>
      </c>
      <c r="H590" s="37">
        <f t="shared" si="1290"/>
        <v>19964</v>
      </c>
      <c r="I590" s="37">
        <f t="shared" si="1290"/>
        <v>18581</v>
      </c>
      <c r="J590" s="37">
        <f t="shared" si="1290"/>
        <v>20431</v>
      </c>
      <c r="K590" s="821">
        <f t="shared" si="1290"/>
        <v>20431</v>
      </c>
      <c r="L590" s="37">
        <f t="shared" si="1290"/>
        <v>23054</v>
      </c>
      <c r="M590" s="37">
        <f t="shared" si="1290"/>
        <v>23548</v>
      </c>
      <c r="N590" s="37">
        <f t="shared" si="1290"/>
        <v>25709</v>
      </c>
      <c r="O590" s="37">
        <f t="shared" si="1290"/>
        <v>27818</v>
      </c>
      <c r="P590" s="821">
        <f t="shared" si="1290"/>
        <v>27818</v>
      </c>
      <c r="Q590" s="37">
        <f t="shared" si="1290"/>
        <v>33933</v>
      </c>
      <c r="R590" s="37">
        <f t="shared" si="1290"/>
        <v>31910</v>
      </c>
      <c r="S590" s="37">
        <f t="shared" si="1290"/>
        <v>35876</v>
      </c>
      <c r="T590" s="37">
        <f t="shared" si="1290"/>
        <v>38549</v>
      </c>
      <c r="U590" s="821">
        <f t="shared" si="1290"/>
        <v>38549</v>
      </c>
      <c r="V590" s="37">
        <f t="shared" si="1290"/>
        <v>42339</v>
      </c>
      <c r="W590" s="37">
        <f t="shared" si="1290"/>
        <v>45085</v>
      </c>
      <c r="X590" s="37">
        <f t="shared" si="1290"/>
        <v>45585</v>
      </c>
      <c r="Y590" s="37">
        <f t="shared" si="1290"/>
        <v>46126</v>
      </c>
      <c r="Z590" s="821">
        <f t="shared" si="1290"/>
        <v>46126</v>
      </c>
      <c r="AA590" s="37">
        <f t="shared" si="1290"/>
        <v>45256</v>
      </c>
      <c r="AB590" s="37">
        <f t="shared" si="1290"/>
        <v>42864</v>
      </c>
      <c r="AC590" s="37">
        <f t="shared" si="1290"/>
        <v>41972</v>
      </c>
      <c r="AD590" s="37">
        <f t="shared" si="1290"/>
        <v>38763</v>
      </c>
      <c r="AE590" s="821">
        <f t="shared" si="1290"/>
        <v>38763</v>
      </c>
      <c r="AF590" s="37">
        <f t="shared" si="1290"/>
        <v>39745</v>
      </c>
      <c r="AG590" s="37">
        <f t="shared" si="1290"/>
        <v>38517</v>
      </c>
      <c r="AH590" s="37">
        <f t="shared" si="1290"/>
        <v>36110</v>
      </c>
      <c r="AI590" s="37">
        <f t="shared" si="1290"/>
        <v>34459</v>
      </c>
      <c r="AJ590" s="821">
        <f t="shared" si="1290"/>
        <v>34459</v>
      </c>
      <c r="AK590" s="37">
        <f t="shared" si="1290"/>
        <v>33087</v>
      </c>
      <c r="AL590" s="37">
        <f t="shared" si="1290"/>
        <v>30649</v>
      </c>
      <c r="AM590" s="37">
        <f t="shared" si="1290"/>
        <v>32851</v>
      </c>
      <c r="AN590" s="37">
        <f t="shared" si="1290"/>
        <v>26973</v>
      </c>
      <c r="AO590" s="821">
        <f t="shared" si="1290"/>
        <v>26973</v>
      </c>
      <c r="AP590" s="37">
        <f t="shared" ref="AP590:AT590" si="1291">AP763+AP771+AP775</f>
        <v>32351</v>
      </c>
      <c r="AQ590" s="37">
        <f t="shared" si="1291"/>
        <v>34053</v>
      </c>
      <c r="AR590" s="37">
        <f t="shared" si="1291"/>
        <v>34810</v>
      </c>
      <c r="AS590" s="37">
        <f t="shared" si="1291"/>
        <v>44315</v>
      </c>
      <c r="AT590" s="821">
        <f t="shared" si="1291"/>
        <v>44315</v>
      </c>
      <c r="AU590" s="37">
        <f t="shared" ref="AU590" si="1292">AU763+AU771+AU775</f>
        <v>45440</v>
      </c>
      <c r="AV590" s="37">
        <f>AV763+AV771+AV775</f>
        <v>43018</v>
      </c>
      <c r="AW590" s="37">
        <f>AW763+AW771+AW775</f>
        <v>37347</v>
      </c>
      <c r="AX590" s="37">
        <f t="shared" ref="AX590:AY590" si="1293">AX763+AX771+AX775</f>
        <v>31369</v>
      </c>
      <c r="AY590" s="821">
        <f t="shared" si="1293"/>
        <v>31369</v>
      </c>
      <c r="AZ590" s="37">
        <f>AZ763+AZ771+AZ775</f>
        <v>29333</v>
      </c>
      <c r="BA590" s="37">
        <f>BA763+BA771+BA775</f>
        <v>26235</v>
      </c>
      <c r="BB590" s="37">
        <f>BB763+BB771+BB775</f>
        <v>23641</v>
      </c>
      <c r="BC590" s="37">
        <f t="shared" ref="BC590:BD590" si="1294">BC763+BC771+BC775</f>
        <v>23339</v>
      </c>
      <c r="BD590" s="821">
        <f t="shared" si="1294"/>
        <v>23339</v>
      </c>
      <c r="BE590" s="37">
        <f t="shared" ref="BE590:BF590" si="1295">BE763+BE771+BE775</f>
        <v>23206</v>
      </c>
      <c r="BF590" s="37">
        <f t="shared" si="1295"/>
        <v>21514</v>
      </c>
      <c r="BG590" s="37">
        <f>BG763+BG771+BG775</f>
        <v>20559</v>
      </c>
      <c r="BH590" s="37">
        <f>BH763+BH771+BH775</f>
        <v>20836</v>
      </c>
      <c r="BI590" s="821">
        <f>BI763+BI771+BI775</f>
        <v>20836</v>
      </c>
      <c r="BJ590" s="37">
        <f t="shared" ref="BJ590:BK590" si="1296">BJ763+BJ771+BJ775</f>
        <v>21835</v>
      </c>
      <c r="BK590" s="37">
        <f t="shared" si="1296"/>
        <v>23184</v>
      </c>
      <c r="BL590" s="37">
        <f t="shared" ref="BL590:BN590" si="1297">BL763+BL771+BL775</f>
        <v>25841</v>
      </c>
      <c r="BM590" s="37">
        <f t="shared" si="1297"/>
        <v>24541</v>
      </c>
      <c r="BN590" s="821">
        <f t="shared" si="1297"/>
        <v>24541</v>
      </c>
      <c r="BO590" s="37">
        <f t="shared" ref="BO590" si="1298">BO763+BO771+BO775</f>
        <v>29681</v>
      </c>
      <c r="BP590" s="37">
        <f t="shared" ref="BP590:BT590" si="1299">BP763+BP771+BP775</f>
        <v>29467</v>
      </c>
      <c r="BQ590" s="37">
        <f t="shared" si="1299"/>
        <v>41544</v>
      </c>
      <c r="BR590" s="37">
        <f t="shared" si="1299"/>
        <v>40758</v>
      </c>
      <c r="BS590" s="821">
        <f t="shared" si="1299"/>
        <v>40758</v>
      </c>
      <c r="BT590" s="480">
        <f t="shared" si="1299"/>
        <v>45428</v>
      </c>
      <c r="BU590" s="37">
        <f>BT590+BU572</f>
        <v>45428</v>
      </c>
      <c r="BV590" s="37">
        <f>BU590+BV572</f>
        <v>45428</v>
      </c>
      <c r="BW590" s="37">
        <f>BV590+BW572</f>
        <v>45428</v>
      </c>
      <c r="BX590" s="821">
        <f>BX763+BX771+BX775</f>
        <v>45428</v>
      </c>
      <c r="BY590" s="37">
        <f>BX590+BY572</f>
        <v>45428</v>
      </c>
      <c r="BZ590" s="37">
        <f>BY590+BZ572</f>
        <v>45428</v>
      </c>
      <c r="CA590" s="37">
        <f>BZ590+CA572</f>
        <v>45428</v>
      </c>
      <c r="CB590" s="37">
        <f>CA590+CB572</f>
        <v>45428</v>
      </c>
      <c r="CC590" s="821">
        <f>CC763+CC771+CC775</f>
        <v>45428</v>
      </c>
      <c r="CD590" s="821">
        <f>CC590+CD572</f>
        <v>45428</v>
      </c>
      <c r="CE590" s="821">
        <f>CD590+CE572</f>
        <v>45428</v>
      </c>
      <c r="CF590" s="821">
        <f>CE590+CF572</f>
        <v>45428</v>
      </c>
      <c r="CG590" s="22"/>
    </row>
    <row r="591" spans="1:85" s="428" customFormat="1" x14ac:dyDescent="0.3">
      <c r="A591" s="37" t="s">
        <v>239</v>
      </c>
      <c r="B591" s="109"/>
      <c r="C591" s="821">
        <f t="shared" ref="C591:AH591" si="1300">C590-C587-C586</f>
        <v>-875</v>
      </c>
      <c r="D591" s="821">
        <f t="shared" si="1300"/>
        <v>-8540</v>
      </c>
      <c r="E591" s="821">
        <f t="shared" si="1300"/>
        <v>-9822</v>
      </c>
      <c r="F591" s="821">
        <f t="shared" si="1300"/>
        <v>-9443</v>
      </c>
      <c r="G591" s="37">
        <f t="shared" si="1300"/>
        <v>-7958</v>
      </c>
      <c r="H591" s="37">
        <f t="shared" si="1300"/>
        <v>-4640</v>
      </c>
      <c r="I591" s="37">
        <f t="shared" si="1300"/>
        <v>-1979</v>
      </c>
      <c r="J591" s="37">
        <f t="shared" si="1300"/>
        <v>2825</v>
      </c>
      <c r="K591" s="821">
        <f t="shared" si="1300"/>
        <v>2825</v>
      </c>
      <c r="L591" s="37">
        <f t="shared" si="1300"/>
        <v>5949</v>
      </c>
      <c r="M591" s="37">
        <f t="shared" si="1300"/>
        <v>7458</v>
      </c>
      <c r="N591" s="37">
        <f t="shared" si="1300"/>
        <v>10049</v>
      </c>
      <c r="O591" s="37">
        <f t="shared" si="1300"/>
        <v>13722</v>
      </c>
      <c r="P591" s="821">
        <f t="shared" si="1300"/>
        <v>13722</v>
      </c>
      <c r="Q591" s="37">
        <f t="shared" si="1300"/>
        <v>18200</v>
      </c>
      <c r="R591" s="37">
        <f t="shared" si="1300"/>
        <v>16819</v>
      </c>
      <c r="S591" s="37">
        <f t="shared" si="1300"/>
        <v>19621</v>
      </c>
      <c r="T591" s="37">
        <f t="shared" si="1300"/>
        <v>24659</v>
      </c>
      <c r="U591" s="821">
        <f t="shared" si="1300"/>
        <v>24659</v>
      </c>
      <c r="V591" s="37">
        <f t="shared" si="1300"/>
        <v>30158</v>
      </c>
      <c r="W591" s="37">
        <f t="shared" si="1300"/>
        <v>32011</v>
      </c>
      <c r="X591" s="37">
        <f t="shared" si="1300"/>
        <v>35399</v>
      </c>
      <c r="Y591" s="37">
        <f t="shared" si="1300"/>
        <v>37452</v>
      </c>
      <c r="Z591" s="821">
        <f t="shared" si="1300"/>
        <v>37452</v>
      </c>
      <c r="AA591" s="37">
        <f t="shared" si="1300"/>
        <v>35817</v>
      </c>
      <c r="AB591" s="37">
        <f t="shared" si="1300"/>
        <v>35412</v>
      </c>
      <c r="AC591" s="37">
        <f t="shared" si="1300"/>
        <v>32900</v>
      </c>
      <c r="AD591" s="37">
        <f t="shared" si="1300"/>
        <v>32748</v>
      </c>
      <c r="AE591" s="821">
        <f t="shared" si="1300"/>
        <v>32748</v>
      </c>
      <c r="AF591" s="37">
        <f t="shared" si="1300"/>
        <v>30048</v>
      </c>
      <c r="AG591" s="37">
        <f t="shared" si="1300"/>
        <v>27525</v>
      </c>
      <c r="AH591" s="37">
        <f t="shared" si="1300"/>
        <v>23589</v>
      </c>
      <c r="AI591" s="37">
        <f t="shared" ref="AI591:AO591" si="1301">AI590-AI587-AI586</f>
        <v>21883</v>
      </c>
      <c r="AJ591" s="821">
        <f t="shared" si="1301"/>
        <v>21883</v>
      </c>
      <c r="AK591" s="37">
        <f t="shared" si="1301"/>
        <v>22344</v>
      </c>
      <c r="AL591" s="37">
        <f t="shared" si="1301"/>
        <v>20803</v>
      </c>
      <c r="AM591" s="37">
        <f t="shared" si="1301"/>
        <v>21301</v>
      </c>
      <c r="AN591" s="37">
        <f t="shared" si="1301"/>
        <v>21892</v>
      </c>
      <c r="AO591" s="821">
        <f t="shared" si="1301"/>
        <v>21892</v>
      </c>
      <c r="AP591" s="37">
        <f t="shared" ref="AP591:AT591" si="1302">AP590-AP587-AP586</f>
        <v>23336</v>
      </c>
      <c r="AQ591" s="37">
        <f t="shared" si="1302"/>
        <v>27395</v>
      </c>
      <c r="AR591" s="37">
        <f t="shared" si="1302"/>
        <v>29141</v>
      </c>
      <c r="AS591" s="37">
        <f t="shared" si="1302"/>
        <v>38872</v>
      </c>
      <c r="AT591" s="821">
        <f t="shared" si="1302"/>
        <v>38872</v>
      </c>
      <c r="AU591" s="37">
        <f t="shared" ref="AU591" si="1303">AU590-AU587-AU586</f>
        <v>37646</v>
      </c>
      <c r="AV591" s="37">
        <f>AV590-AV587-AV586</f>
        <v>34695</v>
      </c>
      <c r="AW591" s="37">
        <f>AW590-AW587-AW586</f>
        <v>30107</v>
      </c>
      <c r="AX591" s="37">
        <f t="shared" ref="AX591:AY591" si="1304">AX590-AX587-AX586</f>
        <v>24166</v>
      </c>
      <c r="AY591" s="821">
        <f t="shared" si="1304"/>
        <v>24166</v>
      </c>
      <c r="AZ591" s="37">
        <f t="shared" ref="AZ591:BG591" si="1305">AZ590-AZ587-AZ586</f>
        <v>15513</v>
      </c>
      <c r="BA591" s="37">
        <f t="shared" si="1305"/>
        <v>10938</v>
      </c>
      <c r="BB591" s="37">
        <f t="shared" si="1305"/>
        <v>6800</v>
      </c>
      <c r="BC591" s="37">
        <f t="shared" si="1305"/>
        <v>5240</v>
      </c>
      <c r="BD591" s="821">
        <f t="shared" si="1305"/>
        <v>5240</v>
      </c>
      <c r="BE591" s="37">
        <f t="shared" si="1305"/>
        <v>5659</v>
      </c>
      <c r="BF591" s="37">
        <f t="shared" ref="BF591" si="1306">BF590-BF587-BF586</f>
        <v>7302</v>
      </c>
      <c r="BG591" s="37">
        <f t="shared" si="1305"/>
        <v>11650</v>
      </c>
      <c r="BH591" s="37">
        <f t="shared" ref="BH591:BK591" si="1307">BH590-BH587-BH586</f>
        <v>11437</v>
      </c>
      <c r="BI591" s="821">
        <f t="shared" si="1307"/>
        <v>11437</v>
      </c>
      <c r="BJ591" s="37">
        <f t="shared" si="1307"/>
        <v>13985</v>
      </c>
      <c r="BK591" s="37">
        <f t="shared" si="1307"/>
        <v>16107</v>
      </c>
      <c r="BL591" s="37">
        <f t="shared" ref="BL591:BN591" si="1308">BL590-BL587-BL586</f>
        <v>18228</v>
      </c>
      <c r="BM591" s="37">
        <f t="shared" si="1308"/>
        <v>17782</v>
      </c>
      <c r="BN591" s="821">
        <f t="shared" si="1308"/>
        <v>17782</v>
      </c>
      <c r="BO591" s="37">
        <f t="shared" ref="BO591" si="1309">BO590-BO587-BO586</f>
        <v>22733</v>
      </c>
      <c r="BP591" s="37">
        <f t="shared" ref="BP591" si="1310">BP590-BP587-BP586</f>
        <v>23412</v>
      </c>
      <c r="BQ591" s="37">
        <f t="shared" ref="BQ591:BX591" si="1311">BQ590-BQ587-BQ586</f>
        <v>32559</v>
      </c>
      <c r="BR591" s="37">
        <f t="shared" si="1311"/>
        <v>34616</v>
      </c>
      <c r="BS591" s="821">
        <f t="shared" si="1311"/>
        <v>34616</v>
      </c>
      <c r="BT591" s="480">
        <f>BT590-BT587-BT586</f>
        <v>35616</v>
      </c>
      <c r="BU591" s="37">
        <f ca="1">BU590-BU587-BU586</f>
        <v>30760.718924991103</v>
      </c>
      <c r="BV591" s="37">
        <f ca="1">BV590-BV587-BV586</f>
        <v>27140.196926506454</v>
      </c>
      <c r="BW591" s="37">
        <f ca="1">BW590-BW587-BW586</f>
        <v>23825.933398021807</v>
      </c>
      <c r="BX591" s="821">
        <f t="shared" ca="1" si="1311"/>
        <v>23825.933398021807</v>
      </c>
      <c r="BY591" s="37">
        <f t="shared" ref="BY591:CF591" ca="1" si="1312">BY590-BY587-BY586</f>
        <v>19647.176551126198</v>
      </c>
      <c r="BZ591" s="37">
        <f t="shared" ca="1" si="1312"/>
        <v>14951.171141632643</v>
      </c>
      <c r="CA591" s="37">
        <f t="shared" ca="1" si="1312"/>
        <v>10085.33570544115</v>
      </c>
      <c r="CB591" s="37">
        <f t="shared" ca="1" si="1312"/>
        <v>5312.5551740496594</v>
      </c>
      <c r="CC591" s="821">
        <f t="shared" ca="1" si="1312"/>
        <v>5312.5551740496594</v>
      </c>
      <c r="CD591" s="821">
        <f t="shared" ca="1" si="1312"/>
        <v>-10542.852293772507</v>
      </c>
      <c r="CE591" s="821">
        <f t="shared" ca="1" si="1312"/>
        <v>-25113.389631844679</v>
      </c>
      <c r="CF591" s="821">
        <f t="shared" ca="1" si="1312"/>
        <v>-33816.978757166828</v>
      </c>
      <c r="CG591" s="22"/>
    </row>
    <row r="592" spans="1:85" s="428" customFormat="1" x14ac:dyDescent="0.3">
      <c r="A592" s="37"/>
      <c r="B592" s="109"/>
      <c r="C592" s="821"/>
      <c r="D592" s="821"/>
      <c r="E592" s="821"/>
      <c r="F592" s="821"/>
      <c r="G592" s="37"/>
      <c r="H592" s="37"/>
      <c r="I592" s="37"/>
      <c r="J592" s="37"/>
      <c r="K592" s="821"/>
      <c r="L592" s="37"/>
      <c r="M592" s="37"/>
      <c r="N592" s="37"/>
      <c r="O592" s="37"/>
      <c r="P592" s="821"/>
      <c r="Q592" s="37"/>
      <c r="R592" s="37"/>
      <c r="S592" s="37"/>
      <c r="T592" s="37"/>
      <c r="U592" s="821"/>
      <c r="V592" s="37"/>
      <c r="W592" s="37"/>
      <c r="X592" s="37"/>
      <c r="Y592" s="37"/>
      <c r="Z592" s="821"/>
      <c r="AA592" s="37"/>
      <c r="AB592" s="37"/>
      <c r="AC592" s="37"/>
      <c r="AD592" s="37"/>
      <c r="AE592" s="821"/>
      <c r="AF592" s="37"/>
      <c r="AG592" s="37"/>
      <c r="AH592" s="37"/>
      <c r="AI592" s="37"/>
      <c r="AJ592" s="821"/>
      <c r="AK592" s="37"/>
      <c r="AL592" s="37"/>
      <c r="AM592" s="37"/>
      <c r="AN592" s="37"/>
      <c r="AO592" s="821"/>
      <c r="AP592" s="37"/>
      <c r="AQ592" s="37"/>
      <c r="AR592" s="37"/>
      <c r="AS592" s="37"/>
      <c r="AT592" s="821"/>
      <c r="AU592" s="37"/>
      <c r="AV592" s="37"/>
      <c r="AW592" s="37"/>
      <c r="AX592" s="37"/>
      <c r="AY592" s="821"/>
      <c r="AZ592" s="37"/>
      <c r="BA592" s="37"/>
      <c r="BB592" s="37"/>
      <c r="BC592" s="37"/>
      <c r="BD592" s="821"/>
      <c r="BE592" s="37"/>
      <c r="BF592" s="37"/>
      <c r="BG592" s="37"/>
      <c r="BH592" s="37"/>
      <c r="BI592" s="821"/>
      <c r="BJ592" s="37"/>
      <c r="BK592" s="37"/>
      <c r="BL592" s="37"/>
      <c r="BM592" s="37"/>
      <c r="BN592" s="821"/>
      <c r="BO592" s="37"/>
      <c r="BP592" s="37"/>
      <c r="BQ592" s="37"/>
      <c r="BR592" s="37"/>
      <c r="BS592" s="821"/>
      <c r="BT592" s="480"/>
      <c r="BU592" s="37"/>
      <c r="BV592" s="37"/>
      <c r="BW592" s="37"/>
      <c r="BX592" s="821"/>
      <c r="BY592" s="37"/>
      <c r="BZ592" s="37"/>
      <c r="CA592" s="37"/>
      <c r="CB592" s="37"/>
      <c r="CC592" s="821"/>
      <c r="CD592" s="821"/>
      <c r="CE592" s="821"/>
      <c r="CF592" s="821"/>
      <c r="CG592" s="22"/>
    </row>
    <row r="593" spans="1:85" s="428" customFormat="1" x14ac:dyDescent="0.3">
      <c r="A593" s="37" t="s">
        <v>575</v>
      </c>
      <c r="B593" s="109"/>
      <c r="C593" s="865">
        <f t="shared" ref="C593:AQ593" si="1313">C510</f>
        <v>28</v>
      </c>
      <c r="D593" s="865">
        <f t="shared" si="1313"/>
        <v>50</v>
      </c>
      <c r="E593" s="865">
        <f t="shared" si="1313"/>
        <v>0</v>
      </c>
      <c r="F593" s="865">
        <f t="shared" si="1313"/>
        <v>0</v>
      </c>
      <c r="G593" s="298">
        <f t="shared" si="1313"/>
        <v>0</v>
      </c>
      <c r="H593" s="298">
        <f t="shared" si="1313"/>
        <v>0</v>
      </c>
      <c r="I593" s="298">
        <f t="shared" si="1313"/>
        <v>0</v>
      </c>
      <c r="J593" s="298">
        <f t="shared" si="1313"/>
        <v>0</v>
      </c>
      <c r="K593" s="865">
        <f t="shared" si="1313"/>
        <v>0</v>
      </c>
      <c r="L593" s="298">
        <f t="shared" si="1313"/>
        <v>0</v>
      </c>
      <c r="M593" s="298">
        <f t="shared" si="1313"/>
        <v>0</v>
      </c>
      <c r="N593" s="298">
        <f t="shared" si="1313"/>
        <v>0</v>
      </c>
      <c r="O593" s="298">
        <f t="shared" si="1313"/>
        <v>0</v>
      </c>
      <c r="P593" s="865">
        <f t="shared" si="1313"/>
        <v>0</v>
      </c>
      <c r="Q593" s="298">
        <f t="shared" si="1313"/>
        <v>0</v>
      </c>
      <c r="R593" s="298">
        <f t="shared" si="1313"/>
        <v>0</v>
      </c>
      <c r="S593" s="298">
        <f t="shared" si="1313"/>
        <v>0</v>
      </c>
      <c r="T593" s="298">
        <f t="shared" si="1313"/>
        <v>0</v>
      </c>
      <c r="U593" s="865">
        <f t="shared" si="1313"/>
        <v>0</v>
      </c>
      <c r="V593" s="298">
        <f t="shared" si="1313"/>
        <v>0</v>
      </c>
      <c r="W593" s="298">
        <f t="shared" si="1313"/>
        <v>79</v>
      </c>
      <c r="X593" s="298">
        <f t="shared" si="1313"/>
        <v>64</v>
      </c>
      <c r="Y593" s="298">
        <f t="shared" si="1313"/>
        <v>58</v>
      </c>
      <c r="Z593" s="865">
        <f t="shared" si="1313"/>
        <v>201</v>
      </c>
      <c r="AA593" s="298">
        <f t="shared" si="1313"/>
        <v>51</v>
      </c>
      <c r="AB593" s="298">
        <f t="shared" si="1313"/>
        <v>48</v>
      </c>
      <c r="AC593" s="298">
        <f t="shared" si="1313"/>
        <v>35</v>
      </c>
      <c r="AD593" s="298">
        <f t="shared" si="1313"/>
        <v>173</v>
      </c>
      <c r="AE593" s="865">
        <f t="shared" si="1313"/>
        <v>307</v>
      </c>
      <c r="AF593" s="298">
        <f t="shared" si="1313"/>
        <v>159</v>
      </c>
      <c r="AG593" s="298">
        <f t="shared" si="1313"/>
        <v>217</v>
      </c>
      <c r="AH593" s="298">
        <f t="shared" si="1313"/>
        <v>182</v>
      </c>
      <c r="AI593" s="298">
        <f t="shared" si="1313"/>
        <v>190</v>
      </c>
      <c r="AJ593" s="865">
        <f t="shared" si="1313"/>
        <v>748</v>
      </c>
      <c r="AK593" s="298">
        <f t="shared" si="1313"/>
        <v>225</v>
      </c>
      <c r="AL593" s="298">
        <f t="shared" si="1313"/>
        <v>198</v>
      </c>
      <c r="AM593" s="298">
        <f t="shared" si="1313"/>
        <v>197</v>
      </c>
      <c r="AN593" s="298">
        <f t="shared" si="1313"/>
        <v>178</v>
      </c>
      <c r="AO593" s="865">
        <f t="shared" si="1313"/>
        <v>798</v>
      </c>
      <c r="AP593" s="298">
        <f t="shared" si="1313"/>
        <v>162</v>
      </c>
      <c r="AQ593" s="298">
        <f t="shared" si="1313"/>
        <v>172</v>
      </c>
      <c r="AR593" s="298">
        <f>AR510</f>
        <v>164</v>
      </c>
      <c r="AS593" s="298">
        <f t="shared" ref="AS593:AU593" si="1314">AS510</f>
        <v>199</v>
      </c>
      <c r="AT593" s="865">
        <f t="shared" si="1314"/>
        <v>697</v>
      </c>
      <c r="AU593" s="298">
        <f t="shared" si="1314"/>
        <v>198</v>
      </c>
      <c r="AV593" s="298">
        <f t="shared" ref="AV593:BA593" si="1315">AV510</f>
        <v>185</v>
      </c>
      <c r="AW593" s="298">
        <f t="shared" si="1315"/>
        <v>174</v>
      </c>
      <c r="AX593" s="298">
        <f t="shared" si="1315"/>
        <v>155</v>
      </c>
      <c r="AY593" s="865">
        <f t="shared" si="1315"/>
        <v>712</v>
      </c>
      <c r="AZ593" s="298">
        <f t="shared" si="1315"/>
        <v>136</v>
      </c>
      <c r="BA593" s="298">
        <f t="shared" si="1315"/>
        <v>129</v>
      </c>
      <c r="BB593" s="298">
        <f t="shared" ref="BB593:BG593" si="1316">BB510</f>
        <v>128</v>
      </c>
      <c r="BC593" s="298">
        <f t="shared" si="1316"/>
        <v>123</v>
      </c>
      <c r="BD593" s="865">
        <f t="shared" si="1316"/>
        <v>516</v>
      </c>
      <c r="BE593" s="298">
        <f t="shared" si="1316"/>
        <v>115</v>
      </c>
      <c r="BF593" s="298">
        <f t="shared" si="1316"/>
        <v>120</v>
      </c>
      <c r="BG593" s="298">
        <f t="shared" si="1316"/>
        <v>114</v>
      </c>
      <c r="BH593" s="298">
        <f t="shared" ref="BH593:BN593" si="1317">BH510</f>
        <v>120</v>
      </c>
      <c r="BI593" s="865">
        <f t="shared" si="1317"/>
        <v>469</v>
      </c>
      <c r="BJ593" s="298">
        <f t="shared" si="1317"/>
        <v>118</v>
      </c>
      <c r="BK593" s="298">
        <f t="shared" si="1317"/>
        <v>113</v>
      </c>
      <c r="BL593" s="298">
        <f t="shared" si="1317"/>
        <v>164</v>
      </c>
      <c r="BM593" s="298">
        <f t="shared" si="1317"/>
        <v>199</v>
      </c>
      <c r="BN593" s="865">
        <f t="shared" si="1317"/>
        <v>594</v>
      </c>
      <c r="BO593" s="298">
        <f t="shared" ref="BO593:BP593" si="1318">BO510</f>
        <v>212</v>
      </c>
      <c r="BP593" s="298">
        <f t="shared" si="1318"/>
        <v>274</v>
      </c>
      <c r="BQ593" s="298">
        <f>BQ510</f>
        <v>370</v>
      </c>
      <c r="BR593" s="298">
        <f>BR510</f>
        <v>361</v>
      </c>
      <c r="BS593" s="865">
        <f>BS510</f>
        <v>1217</v>
      </c>
      <c r="BT593" s="655">
        <f>BT510</f>
        <v>345</v>
      </c>
      <c r="BU593" s="298">
        <f>MAX(0,BU594*AVERAGE(BT590,BU590)*BU3/BX3)</f>
        <v>283.14712328767121</v>
      </c>
      <c r="BV593" s="298">
        <f>MAX(0,BV594*AVERAGE(BU590,BV590)*BV3/BX3)</f>
        <v>286.25863013698631</v>
      </c>
      <c r="BW593" s="298">
        <f>MAX(0,BW594*AVERAGE(BV590,BW590)*BW3/BX3)</f>
        <v>286.25863013698631</v>
      </c>
      <c r="BX593" s="865">
        <f>IF(OR(ISBLANK(BT593),ISBLANK(BU593),ISBLANK(BV593),ISBLANK(BW593)),"n/a",SUM(BT593,BU593,BV593,BW593))</f>
        <v>1200.6643835616437</v>
      </c>
      <c r="BY593" s="298">
        <f>MAX(0,BY594*AVERAGE(BX590,BY590)*BY3/CC3)</f>
        <v>280.03561643835616</v>
      </c>
      <c r="BZ593" s="298">
        <f>MAX(0,BZ594*AVERAGE(BY590,BZ590)*BZ3/CC3)</f>
        <v>283.14712328767121</v>
      </c>
      <c r="CA593" s="298">
        <f>MAX(0,CA594*AVERAGE(BZ590,CA590)*CA3/CC3)</f>
        <v>286.25863013698631</v>
      </c>
      <c r="CB593" s="298">
        <f>MAX(0,CB594*AVERAGE(CA590,CB590)*CB3/CC3)</f>
        <v>286.25863013698631</v>
      </c>
      <c r="CC593" s="865">
        <f>IF(OR(ISBLANK(BY593),ISBLANK(BZ593),ISBLANK(CA593),ISBLANK(CB593)),"n/a",SUM(BY593,BZ593,CA593,CB593))</f>
        <v>1135.7</v>
      </c>
      <c r="CD593" s="865">
        <f>MAX(0,CD594*AVERAGE(CC590,CD590))</f>
        <v>1135.7</v>
      </c>
      <c r="CE593" s="865">
        <f>MAX(0,CE594*AVERAGE(CD590,CE590))</f>
        <v>1135.7</v>
      </c>
      <c r="CF593" s="865">
        <f>MAX(0,CF594*AVERAGE(CE590,CF590))</f>
        <v>1135.7</v>
      </c>
      <c r="CG593" s="22"/>
    </row>
    <row r="594" spans="1:85" s="428" customFormat="1" x14ac:dyDescent="0.3">
      <c r="A594" s="31" t="s">
        <v>576</v>
      </c>
      <c r="B594" s="58"/>
      <c r="C594" s="892"/>
      <c r="D594" s="892">
        <f>IFERROR(D593/AVERAGE(C590,D590),"n/a")</f>
        <v>4.5475216007276036E-3</v>
      </c>
      <c r="E594" s="892">
        <f>IFERROR(E593/AVERAGE(D590,E590),"n/a")</f>
        <v>0</v>
      </c>
      <c r="F594" s="892">
        <f>IFERROR(F593/AVERAGE(E590,F590),"n/a")</f>
        <v>0</v>
      </c>
      <c r="G594" s="72">
        <f>IFERROR(G593/AVERAGE(F590,G590)*K3/G3,"n/a")</f>
        <v>0</v>
      </c>
      <c r="H594" s="72">
        <f>IFERROR(H593/AVERAGE(G590,H590)*K3/H3,"n/a")</f>
        <v>0</v>
      </c>
      <c r="I594" s="72">
        <f>IFERROR(I593/AVERAGE(H590,I590)*K3/I3,"n/a")</f>
        <v>0</v>
      </c>
      <c r="J594" s="72">
        <f>IFERROR(J593/AVERAGE(I590,J590)*K3/J3,"n/a")</f>
        <v>0</v>
      </c>
      <c r="K594" s="892">
        <f>IFERROR(K593/AVERAGE(G590,H590,I590,J590),"n/a")</f>
        <v>0</v>
      </c>
      <c r="L594" s="72">
        <f>IFERROR(L593/AVERAGE(K590,L590)*P3/L3,"n/a")</f>
        <v>0</v>
      </c>
      <c r="M594" s="72">
        <f>IFERROR(M593/AVERAGE(L590,M590)*P3/M3,"n/a")</f>
        <v>0</v>
      </c>
      <c r="N594" s="72">
        <f>IFERROR(N593/AVERAGE(M590,N590)*P3/N3,"n/a")</f>
        <v>0</v>
      </c>
      <c r="O594" s="72">
        <f>IFERROR(O593/AVERAGE(N590,O590)*P3/O3,"n/a")</f>
        <v>0</v>
      </c>
      <c r="P594" s="892">
        <f>IFERROR(P593/AVERAGE(L590,M590,N590,O590),"n/a")</f>
        <v>0</v>
      </c>
      <c r="Q594" s="72">
        <f>IFERROR(Q593/AVERAGE(P590,Q590)*U3/Q3,"n/a")</f>
        <v>0</v>
      </c>
      <c r="R594" s="72">
        <f>IFERROR(R593/AVERAGE(Q590,R590)*U3/R3,"n/a")</f>
        <v>0</v>
      </c>
      <c r="S594" s="72">
        <f>IFERROR(S593/AVERAGE(R590,S590)*U3/S3,"n/a")</f>
        <v>0</v>
      </c>
      <c r="T594" s="72">
        <f>IFERROR(T593/AVERAGE(S590,T590)*U3/T3,"n/a")</f>
        <v>0</v>
      </c>
      <c r="U594" s="892">
        <f>IFERROR(U593/AVERAGE(Q590,R590,S590,T590),"n/a")</f>
        <v>0</v>
      </c>
      <c r="V594" s="72">
        <f>IFERROR(V593/AVERAGE(U590,V590)*Z3/V3,"n/a")</f>
        <v>0</v>
      </c>
      <c r="W594" s="72">
        <f>IFERROR(W593/AVERAGE(V590,W590)*Z3/W3,"n/a")</f>
        <v>7.2688566923559605E-3</v>
      </c>
      <c r="X594" s="72">
        <f>IFERROR(X593/AVERAGE(W590,X590)*Z3/X3,"n/a")</f>
        <v>5.6161618099078844E-3</v>
      </c>
      <c r="Y594" s="72">
        <f>IFERROR(Y593/AVERAGE(X590,Y590)*Z3/Y3,"n/a")</f>
        <v>5.0318747028117146E-3</v>
      </c>
      <c r="Z594" s="892">
        <f>IFERROR(Z593/AVERAGE(V590,W590,X590,Y590),"n/a")</f>
        <v>4.4882351299299411E-3</v>
      </c>
      <c r="AA594" s="72">
        <f>IFERROR(AA593/AVERAGE(Z590,AA590)*AE3/AA3,"n/a")</f>
        <v>4.5267849977749085E-3</v>
      </c>
      <c r="AB594" s="72">
        <f>IFERROR(AB593/AVERAGE(AA590,AB590)*AE3/AB3,"n/a")</f>
        <v>4.3696657405236615E-3</v>
      </c>
      <c r="AC594" s="72">
        <f>IFERROR(AC593/AVERAGE(AB590,AC590)*AE3/AC3,"n/a")</f>
        <v>3.2735795099291319E-3</v>
      </c>
      <c r="AD594" s="72">
        <f>IFERROR(AD593/AVERAGE(AC590,AD590)*AE3/AD3,"n/a")</f>
        <v>1.7002754583567817E-2</v>
      </c>
      <c r="AE594" s="892">
        <f>IFERROR(AE593/AVERAGE(AA590,AB590,AC590,AD590),"n/a")</f>
        <v>7.272511918509964E-3</v>
      </c>
      <c r="AF594" s="72">
        <f>IFERROR(AF593/AVERAGE(AE590,AF590)*AJ3/AF3,"n/a")</f>
        <v>1.6427200624989386E-2</v>
      </c>
      <c r="AG594" s="72">
        <f>IFERROR(AG593/AVERAGE(AF590,AG590)*AJ3/AG3,"n/a")</f>
        <v>2.2242841107679729E-2</v>
      </c>
      <c r="AH594" s="72">
        <f>IFERROR(AH593/AVERAGE(AG590,AH590)*AJ3/AH3,"n/a")</f>
        <v>1.9351312993723568E-2</v>
      </c>
      <c r="AI594" s="72">
        <f>IFERROR(AI593/AVERAGE(AH590,AI590)*AJ3/AI3,"n/a")</f>
        <v>2.1363611439189644E-2</v>
      </c>
      <c r="AJ594" s="892">
        <f>IFERROR(AJ593/AVERAGE(AF590,AG590,AH590,AI590),"n/a")</f>
        <v>2.0103338686160814E-2</v>
      </c>
      <c r="AK594" s="72">
        <f>IFERROR(AK593/AVERAGE(AJ590,AK590)*AO3/AK3,"n/a")</f>
        <v>2.7018624344890888E-2</v>
      </c>
      <c r="AL594" s="72">
        <f>IFERROR(AL593/AVERAGE(AK590,AL590)*AO3/AL3,"n/a")</f>
        <v>2.4920792775694242E-2</v>
      </c>
      <c r="AM594" s="72">
        <f>IFERROR(AM593/AVERAGE(AL590,AM590)*AO3/AM3,"n/a")</f>
        <v>2.4616569667921941E-2</v>
      </c>
      <c r="AN594" s="72">
        <f>IFERROR(AN593/AVERAGE(AM590,AN590)*AO3/AN3,"n/a")</f>
        <v>2.3609108457271762E-2</v>
      </c>
      <c r="AO594" s="892">
        <f>IFERROR(AO593/AVERAGE(AK590,AL590,AM590,AN590),"n/a")</f>
        <v>2.5833603107801879E-2</v>
      </c>
      <c r="AP594" s="72">
        <f>IFERROR(AP593/AVERAGE(AO590,AP590)*AT3/AP3,"n/a")</f>
        <v>2.1966166797938086E-2</v>
      </c>
      <c r="AQ594" s="72">
        <f>IFERROR(AQ593/AVERAGE(AP590,AQ590)*AT3/AQ3,"n/a")</f>
        <v>2.0835498457328468E-2</v>
      </c>
      <c r="AR594" s="72">
        <f>IFERROR(AR593/AVERAGE(AQ590,AR590)*AT3/AR3,"n/a")</f>
        <v>1.8948776051252357E-2</v>
      </c>
      <c r="AS594" s="72">
        <f>IFERROR(AS593/AVERAGE(AR590,AS590)*AT3/AS3,"n/a")</f>
        <v>2.0010715021636101E-2</v>
      </c>
      <c r="AT594" s="892">
        <f>IFERROR(AT593/AVERAGE(AP590,AQ590,AR590,AS590),"n/a")</f>
        <v>1.9157693655560061E-2</v>
      </c>
      <c r="AU594" s="72">
        <f>IFERROR(AU593/AVERAGE(AT590,AU590)*AY3/AU3,"n/a")</f>
        <v>1.7893153584758511E-2</v>
      </c>
      <c r="AV594" s="72">
        <f>IFERROR(AV593/AVERAGE(AU590,AV590)*AY3/AV3,"n/a")</f>
        <v>1.6777068598271883E-2</v>
      </c>
      <c r="AW594" s="72">
        <f>IFERROR(AW593/AVERAGE(AV590,AW590)*AY3/AW3,"n/a")</f>
        <v>1.717976947568025E-2</v>
      </c>
      <c r="AX594" s="72">
        <f>IFERROR(AX593/AVERAGE(AW590,AX590)*AY3/AX3,"n/a")</f>
        <v>1.7898179526570614E-2</v>
      </c>
      <c r="AY594" s="892">
        <f>IFERROR(AY593/AVERAGE(AU590,AV590,AW590,AX590),"n/a")</f>
        <v>1.8120045300113252E-2</v>
      </c>
      <c r="AZ594" s="72">
        <f>IFERROR(AZ593/AVERAGE(AY590,AZ590)*BD3/AZ3,"n/a")</f>
        <v>1.8172566161100315E-2</v>
      </c>
      <c r="BA594" s="72">
        <f>IFERROR(BA593/AVERAGE(AZ590,BA590)*BD3/BA3,"n/a")</f>
        <v>1.8622861446069047E-2</v>
      </c>
      <c r="BB594" s="72">
        <f>IFERROR(BB593/AVERAGE(BA590,BB590)*BD3/BB3,"n/a")</f>
        <v>2.0363545070034555E-2</v>
      </c>
      <c r="BC594" s="72">
        <f>IFERROR(BC593/AVERAGE(BB590,BC590)*BD3/BC3,"n/a")</f>
        <v>2.0774335054694875E-2</v>
      </c>
      <c r="BD594" s="892">
        <f>IFERROR(BD593/AVERAGE(AZ590,BA590,BB590,BC590),"n/a")</f>
        <v>2.0127159964114367E-2</v>
      </c>
      <c r="BE594" s="72">
        <f>IFERROR(BE593/AVERAGE(BD590,BE590)*BI3/BE3,"n/a")</f>
        <v>2.0040343275921749E-2</v>
      </c>
      <c r="BF594" s="72">
        <f>IFERROR(BF593/AVERAGE(BE590,BF590)*BI3/BF3,"n/a")</f>
        <v>2.1525880202087715E-2</v>
      </c>
      <c r="BG594" s="72">
        <f>IFERROR(BG593/AVERAGE(BF590,BG590)*BI3/BG3,"n/a")</f>
        <v>2.1499898210046928E-2</v>
      </c>
      <c r="BH594" s="72">
        <f>IFERROR(BH593/AVERAGE(BG590,BH590)*BI3/BH3,"n/a")</f>
        <v>2.3002147917465354E-2</v>
      </c>
      <c r="BI594" s="892">
        <f>IFERROR(BI593/AVERAGE(BE590,BF590,BG590,BH590),"n/a")</f>
        <v>2.1784822620913896E-2</v>
      </c>
      <c r="BJ594" s="72">
        <f>IFERROR(BJ593/AVERAGE(BI590,BJ590)*BN3/BJ3,"n/a")</f>
        <v>2.2244306746661977E-2</v>
      </c>
      <c r="BK594" s="72">
        <f>IFERROR(BK593/AVERAGE(BJ590,BK590)*BN3/BK3,"n/a")</f>
        <v>2.0190742419134874E-2</v>
      </c>
      <c r="BL594" s="72">
        <f>IFERROR(BL593/AVERAGE(BK590,BL590)*BN3/BL3,"n/a")</f>
        <v>2.6616411325189014E-2</v>
      </c>
      <c r="BM594" s="72">
        <f>IFERROR(BM593/AVERAGE(BL590,BM590)*BN3/BM3,"n/a")</f>
        <v>3.1426855346888896E-2</v>
      </c>
      <c r="BN594" s="892">
        <f>IFERROR(BN593/AVERAGE(BJ590,BK590,BL590,BM590),"n/a")</f>
        <v>2.4905399314472595E-2</v>
      </c>
      <c r="BO594" s="72">
        <f>IFERROR(BO593/AVERAGE(BN590,BO590)*BS3/BO3,"n/a")</f>
        <v>3.1713244726412813E-2</v>
      </c>
      <c r="BP594" s="72">
        <f>IFERROR(BP593/AVERAGE(BO590,BP590)*BS3/BP3,"n/a")</f>
        <v>3.716139139145834E-2</v>
      </c>
      <c r="BQ594" s="72">
        <f>IFERROR(BQ593/AVERAGE(BP590,BQ590)*BS3/BQ3,"n/a")</f>
        <v>4.1343870178104682E-2</v>
      </c>
      <c r="BR594" s="72">
        <f>IFERROR(BR593/AVERAGE(BQ590,BR590)*BS3/BR3,"n/a")</f>
        <v>3.4804215228537945E-2</v>
      </c>
      <c r="BS594" s="892">
        <f>IFERROR(BS593/AVERAGE(BO590,BP590,BQ590,BR590),"n/a")</f>
        <v>3.4414987628137148E-2</v>
      </c>
      <c r="BT594" s="666">
        <f>IFERROR(BT593/AVERAGE(BS590,BT590)*BX3/BT3,"n/a")</f>
        <v>3.2468537040045174E-2</v>
      </c>
      <c r="BU594" s="781">
        <v>2.5000000000000001E-2</v>
      </c>
      <c r="BV594" s="781">
        <v>2.5000000000000001E-2</v>
      </c>
      <c r="BW594" s="781">
        <v>2.5000000000000001E-2</v>
      </c>
      <c r="BX594" s="892">
        <f>IFERROR(BX593/AVERAGE(BT590,BU590,BV590,BW590),"n/a")</f>
        <v>2.6430051588483838E-2</v>
      </c>
      <c r="BY594" s="781">
        <v>2.5000000000000001E-2</v>
      </c>
      <c r="BZ594" s="781">
        <v>2.5000000000000001E-2</v>
      </c>
      <c r="CA594" s="781">
        <v>2.5000000000000001E-2</v>
      </c>
      <c r="CB594" s="781">
        <v>2.5000000000000001E-2</v>
      </c>
      <c r="CC594" s="892">
        <f>IFERROR(CC593/AVERAGE(BY590,BZ590,CA590,CB590),"n/a")</f>
        <v>2.5000000000000001E-2</v>
      </c>
      <c r="CD594" s="894">
        <v>2.5000000000000001E-2</v>
      </c>
      <c r="CE594" s="894">
        <v>2.5000000000000001E-2</v>
      </c>
      <c r="CF594" s="894">
        <v>2.5000000000000001E-2</v>
      </c>
      <c r="CG594" s="22"/>
    </row>
    <row r="595" spans="1:85" s="428" customFormat="1" x14ac:dyDescent="0.3">
      <c r="A595" s="37" t="s">
        <v>577</v>
      </c>
      <c r="B595" s="109"/>
      <c r="C595" s="865">
        <f>C487</f>
        <v>95</v>
      </c>
      <c r="D595" s="865">
        <f>D487</f>
        <v>120</v>
      </c>
      <c r="E595" s="865">
        <f>E487</f>
        <v>145</v>
      </c>
      <c r="F595" s="865">
        <f>F487</f>
        <v>166</v>
      </c>
      <c r="G595" s="298"/>
      <c r="H595" s="298"/>
      <c r="I595" s="298"/>
      <c r="J595" s="298"/>
      <c r="K595" s="865">
        <f>K487</f>
        <v>136</v>
      </c>
      <c r="L595" s="298"/>
      <c r="M595" s="298"/>
      <c r="N595" s="298"/>
      <c r="O595" s="298"/>
      <c r="P595" s="865">
        <f>P487</f>
        <v>145</v>
      </c>
      <c r="Q595" s="298"/>
      <c r="R595" s="298"/>
      <c r="S595" s="298"/>
      <c r="T595" s="298"/>
      <c r="U595" s="865">
        <f>U487</f>
        <v>119</v>
      </c>
      <c r="V595" s="298"/>
      <c r="W595" s="298"/>
      <c r="X595" s="298"/>
      <c r="Y595" s="298"/>
      <c r="Z595" s="865">
        <f>Z487</f>
        <v>145</v>
      </c>
      <c r="AA595" s="298"/>
      <c r="AB595" s="298"/>
      <c r="AC595" s="298"/>
      <c r="AD595" s="298"/>
      <c r="AE595" s="865">
        <f>AE487</f>
        <v>107</v>
      </c>
      <c r="AF595" s="298"/>
      <c r="AG595" s="298"/>
      <c r="AH595" s="298"/>
      <c r="AI595" s="298"/>
      <c r="AJ595" s="865">
        <f>AJ487</f>
        <v>192</v>
      </c>
      <c r="AK595" s="298"/>
      <c r="AL595" s="298"/>
      <c r="AM595" s="298"/>
      <c r="AN595" s="298"/>
      <c r="AO595" s="865"/>
      <c r="AP595" s="298"/>
      <c r="AQ595" s="298"/>
      <c r="AR595" s="298"/>
      <c r="AS595" s="298"/>
      <c r="AT595" s="865"/>
      <c r="AU595" s="298"/>
      <c r="AV595" s="298"/>
      <c r="AW595" s="298"/>
      <c r="AX595" s="298"/>
      <c r="AY595" s="865"/>
      <c r="AZ595" s="298"/>
      <c r="BA595" s="298"/>
      <c r="BB595" s="298"/>
      <c r="BC595" s="298"/>
      <c r="BD595" s="865"/>
      <c r="BE595" s="298"/>
      <c r="BF595" s="298"/>
      <c r="BG595" s="298"/>
      <c r="BH595" s="298"/>
      <c r="BI595" s="865"/>
      <c r="BJ595" s="298"/>
      <c r="BK595" s="298"/>
      <c r="BL595" s="298"/>
      <c r="BM595" s="298"/>
      <c r="BN595" s="865"/>
      <c r="BO595" s="298"/>
      <c r="BP595" s="298"/>
      <c r="BQ595" s="298"/>
      <c r="BR595" s="298"/>
      <c r="BS595" s="865"/>
      <c r="BT595" s="655"/>
      <c r="BU595" s="298">
        <f>MAX(0,BU596*BT587*BU3/BX3)</f>
        <v>0</v>
      </c>
      <c r="BV595" s="298">
        <f ca="1">MAX(0,BV596*BU587*BV3/BX3)</f>
        <v>0</v>
      </c>
      <c r="BW595" s="298">
        <f ca="1">MAX(0,BW596*BV587*BW3/BX3)</f>
        <v>0</v>
      </c>
      <c r="BX595" s="865" t="str">
        <f ca="1">IF(OR(ISBLANK(BT595),ISBLANK(BU595),ISBLANK(BV595),ISBLANK(BW595)),"n/a",SUM(BT595,BU595,BV595,BW595))</f>
        <v>n/a</v>
      </c>
      <c r="BY595" s="298">
        <f ca="1">MAX(0,BY596*BX587*BY3/CC3)</f>
        <v>0</v>
      </c>
      <c r="BZ595" s="298">
        <f ca="1">MAX(0,BZ596*BY587*BZ3/CC3)</f>
        <v>0</v>
      </c>
      <c r="CA595" s="298">
        <f ca="1">MAX(0,CA596*BZ587*CA3/CC3)</f>
        <v>0</v>
      </c>
      <c r="CB595" s="298">
        <f ca="1">MAX(0,CB596*CA587*CB3/CC3)</f>
        <v>0</v>
      </c>
      <c r="CC595" s="865">
        <f ca="1">IF(OR(ISBLANK(BY595),ISBLANK(BZ595),ISBLANK(CA595),ISBLANK(CB595)),"n/a",SUM(BY595,BZ595,CA595,CB595))</f>
        <v>0</v>
      </c>
      <c r="CD595" s="865">
        <f ca="1">MAX(0,CD596*CC587)</f>
        <v>0</v>
      </c>
      <c r="CE595" s="865">
        <f ca="1">MAX(0,CE596*CD587)</f>
        <v>0</v>
      </c>
      <c r="CF595" s="865">
        <f ca="1">MAX(0,CF596*CE587)</f>
        <v>0</v>
      </c>
      <c r="CG595" s="22"/>
    </row>
    <row r="596" spans="1:85" s="428" customFormat="1" x14ac:dyDescent="0.3">
      <c r="A596" s="31" t="s">
        <v>578</v>
      </c>
      <c r="B596" s="58"/>
      <c r="C596" s="892"/>
      <c r="D596" s="892">
        <f>IFERROR(D595/AVERAGE(C587,D587),"n/a")</f>
        <v>9.2692723621195742E-3</v>
      </c>
      <c r="E596" s="892">
        <f>IFERROR(E595/AVERAGE(D587,E587),"n/a")</f>
        <v>7.8080827118278988E-3</v>
      </c>
      <c r="F596" s="892">
        <f>IFERROR(F595/AVERAGE(E587,F587),"n/a")</f>
        <v>7.9077743902439025E-3</v>
      </c>
      <c r="G596" s="72"/>
      <c r="H596" s="72"/>
      <c r="I596" s="72"/>
      <c r="J596" s="72"/>
      <c r="K596" s="892">
        <f>IFERROR(K595/AVERAGE(G587,H587,I587,J587),"n/a")</f>
        <v>7.1166928309785455E-3</v>
      </c>
      <c r="L596" s="72"/>
      <c r="M596" s="72"/>
      <c r="N596" s="72"/>
      <c r="O596" s="72"/>
      <c r="P596" s="892">
        <f>IFERROR(P595/AVERAGE(L587,M587,N587,O587),"n/a")</f>
        <v>9.9788379815219444E-3</v>
      </c>
      <c r="Q596" s="72"/>
      <c r="R596" s="72"/>
      <c r="S596" s="72"/>
      <c r="T596" s="72"/>
      <c r="U596" s="892">
        <f>IFERROR(U595/AVERAGE(Q587,R587,S587,T587),"n/a")</f>
        <v>9.4822606028008519E-3</v>
      </c>
      <c r="V596" s="72"/>
      <c r="W596" s="72"/>
      <c r="X596" s="72"/>
      <c r="Y596" s="72"/>
      <c r="Z596" s="892">
        <f>IFERROR(Z595/AVERAGE(V587,W587,X587,Y587),"n/a")</f>
        <v>1.7771785758058586E-2</v>
      </c>
      <c r="AA596" s="72"/>
      <c r="AB596" s="72"/>
      <c r="AC596" s="72"/>
      <c r="AD596" s="72"/>
      <c r="AE596" s="892">
        <f>IFERROR(AE595/AVERAGE(AA587,AB587,AC587,AD587),"n/a")</f>
        <v>1.8412561841256184E-2</v>
      </c>
      <c r="AF596" s="72"/>
      <c r="AG596" s="72"/>
      <c r="AH596" s="72"/>
      <c r="AI596" s="72"/>
      <c r="AJ596" s="892">
        <f>IFERROR(AJ595/AVERAGE(AF587,AG587,AH587,AI587),"n/a")</f>
        <v>1.9898435070991812E-2</v>
      </c>
      <c r="AK596" s="72"/>
      <c r="AL596" s="72"/>
      <c r="AM596" s="72"/>
      <c r="AN596" s="72"/>
      <c r="AO596" s="892"/>
      <c r="AP596" s="72"/>
      <c r="AQ596" s="72"/>
      <c r="AR596" s="72"/>
      <c r="AS596" s="72"/>
      <c r="AT596" s="892"/>
      <c r="AU596" s="72"/>
      <c r="AV596" s="72"/>
      <c r="AW596" s="72"/>
      <c r="AX596" s="72"/>
      <c r="AY596" s="892"/>
      <c r="AZ596" s="72"/>
      <c r="BA596" s="72"/>
      <c r="BB596" s="72"/>
      <c r="BC596" s="72"/>
      <c r="BD596" s="892"/>
      <c r="BE596" s="72"/>
      <c r="BF596" s="72"/>
      <c r="BG596" s="72"/>
      <c r="BH596" s="72"/>
      <c r="BI596" s="892"/>
      <c r="BJ596" s="72"/>
      <c r="BK596" s="72"/>
      <c r="BL596" s="72"/>
      <c r="BM596" s="72"/>
      <c r="BN596" s="892"/>
      <c r="BO596" s="72"/>
      <c r="BP596" s="72"/>
      <c r="BQ596" s="72"/>
      <c r="BR596" s="72"/>
      <c r="BS596" s="892"/>
      <c r="BT596" s="666"/>
      <c r="BU596" s="781">
        <v>0</v>
      </c>
      <c r="BV596" s="781">
        <v>0</v>
      </c>
      <c r="BW596" s="781">
        <v>0</v>
      </c>
      <c r="BX596" s="892" t="str">
        <f ca="1">IFERROR(BX595/AVERAGE(BT587,BU587,BV587,BW587),"n/a")</f>
        <v>n/a</v>
      </c>
      <c r="BY596" s="781">
        <v>0</v>
      </c>
      <c r="BZ596" s="781">
        <v>0</v>
      </c>
      <c r="CA596" s="781">
        <v>0</v>
      </c>
      <c r="CB596" s="781">
        <v>0</v>
      </c>
      <c r="CC596" s="892">
        <f ca="1">IFERROR(CC595/AVERAGE(BY587,BZ587,CA587,CB587),"n/a")</f>
        <v>0</v>
      </c>
      <c r="CD596" s="894">
        <v>0</v>
      </c>
      <c r="CE596" s="894">
        <v>0</v>
      </c>
      <c r="CF596" s="894">
        <v>0</v>
      </c>
      <c r="CG596" s="22"/>
    </row>
    <row r="597" spans="1:85" s="428" customFormat="1" hidden="1" outlineLevel="1" x14ac:dyDescent="0.3">
      <c r="A597" s="37" t="s">
        <v>579</v>
      </c>
      <c r="B597" s="109"/>
      <c r="C597" s="865">
        <f>IFERROR(C593-C595,"n/a")</f>
        <v>-67</v>
      </c>
      <c r="D597" s="865">
        <f>IFERROR(D593-D595,"n/a")</f>
        <v>-70</v>
      </c>
      <c r="E597" s="865">
        <f>IFERROR(E593-E595,"n/a")</f>
        <v>-145</v>
      </c>
      <c r="F597" s="865">
        <f>IFERROR(F593-F595,"n/a")</f>
        <v>-166</v>
      </c>
      <c r="G597" s="298"/>
      <c r="H597" s="298"/>
      <c r="I597" s="298"/>
      <c r="J597" s="298"/>
      <c r="K597" s="865">
        <f>IFERROR(K593-K595,"n/a")</f>
        <v>-136</v>
      </c>
      <c r="L597" s="298"/>
      <c r="M597" s="298"/>
      <c r="N597" s="298"/>
      <c r="O597" s="298"/>
      <c r="P597" s="865">
        <f>IFERROR(P593-P595,"n/a")</f>
        <v>-145</v>
      </c>
      <c r="Q597" s="298"/>
      <c r="R597" s="298"/>
      <c r="S597" s="298"/>
      <c r="T597" s="298"/>
      <c r="U597" s="865">
        <f>IFERROR(U593-U595,"n/a")</f>
        <v>-119</v>
      </c>
      <c r="V597" s="298"/>
      <c r="W597" s="298"/>
      <c r="X597" s="298"/>
      <c r="Y597" s="298"/>
      <c r="Z597" s="865">
        <f>IFERROR(Z593-Z595,"n/a")</f>
        <v>56</v>
      </c>
      <c r="AA597" s="298"/>
      <c r="AB597" s="298"/>
      <c r="AC597" s="298"/>
      <c r="AD597" s="298"/>
      <c r="AE597" s="865">
        <f>IFERROR(AE593-AE595,"n/a")</f>
        <v>200</v>
      </c>
      <c r="AF597" s="298"/>
      <c r="AG597" s="298"/>
      <c r="AH597" s="298"/>
      <c r="AI597" s="298"/>
      <c r="AJ597" s="865">
        <f>IFERROR(AJ593-AJ595,"n/a")</f>
        <v>556</v>
      </c>
      <c r="AK597" s="298"/>
      <c r="AL597" s="298"/>
      <c r="AM597" s="298"/>
      <c r="AN597" s="298"/>
      <c r="AO597" s="865"/>
      <c r="AP597" s="298"/>
      <c r="AQ597" s="298"/>
      <c r="AR597" s="298"/>
      <c r="AS597" s="298"/>
      <c r="AT597" s="865"/>
      <c r="AU597" s="298"/>
      <c r="AV597" s="298"/>
      <c r="AW597" s="298"/>
      <c r="AX597" s="298"/>
      <c r="AY597" s="865"/>
      <c r="AZ597" s="298"/>
      <c r="BA597" s="298"/>
      <c r="BB597" s="298"/>
      <c r="BC597" s="298"/>
      <c r="BD597" s="865"/>
      <c r="BE597" s="298"/>
      <c r="BF597" s="298"/>
      <c r="BG597" s="298"/>
      <c r="BH597" s="298"/>
      <c r="BI597" s="865"/>
      <c r="BJ597" s="298"/>
      <c r="BK597" s="298"/>
      <c r="BL597" s="298"/>
      <c r="BM597" s="298"/>
      <c r="BN597" s="865"/>
      <c r="BO597" s="298"/>
      <c r="BP597" s="298"/>
      <c r="BQ597" s="298"/>
      <c r="BR597" s="298"/>
      <c r="BS597" s="865"/>
      <c r="BT597" s="655"/>
      <c r="BU597" s="298">
        <f>IFERROR(BU593-BU595,"n/a")</f>
        <v>283.14712328767121</v>
      </c>
      <c r="BV597" s="298">
        <f ca="1">IFERROR(BV593-BV595,"n/a")</f>
        <v>286.25863013698631</v>
      </c>
      <c r="BW597" s="298">
        <f ca="1">IFERROR(BW593-BW595,"n/a")</f>
        <v>286.25863013698631</v>
      </c>
      <c r="BX597" s="865" t="str">
        <f ca="1">IF(OR(ISBLANK(BT597),ISBLANK(BU597),ISBLANK(BV597),ISBLANK(BW597)),"n/a",SUM(BT597,BU597,BV597,BW597))</f>
        <v>n/a</v>
      </c>
      <c r="BY597" s="298">
        <f ca="1">IFERROR(BY593-BY595,"n/a")</f>
        <v>280.03561643835616</v>
      </c>
      <c r="BZ597" s="298">
        <f ca="1">IFERROR(BZ593-BZ595,"n/a")</f>
        <v>283.14712328767121</v>
      </c>
      <c r="CA597" s="298">
        <f ca="1">IFERROR(CA593-CA595,"n/a")</f>
        <v>286.25863013698631</v>
      </c>
      <c r="CB597" s="298">
        <f ca="1">IFERROR(CB593-CB595,"n/a")</f>
        <v>286.25863013698631</v>
      </c>
      <c r="CC597" s="865">
        <f ca="1">IF(OR(ISBLANK(BY597),ISBLANK(BZ597),ISBLANK(CA597),ISBLANK(CB597)),"n/a",SUM(BY597,BZ597,CA597,CB597))</f>
        <v>1135.7</v>
      </c>
      <c r="CD597" s="865">
        <f ca="1">IFERROR(CD593-CD595,"n/a")</f>
        <v>1135.7</v>
      </c>
      <c r="CE597" s="865">
        <f ca="1">IFERROR(CE593-CE595,"n/a")</f>
        <v>1135.7</v>
      </c>
      <c r="CF597" s="865">
        <f ca="1">IFERROR(CF593-CF595,"n/a")</f>
        <v>1135.7</v>
      </c>
      <c r="CG597" s="22"/>
    </row>
    <row r="598" spans="1:85" s="428" customFormat="1" hidden="1" outlineLevel="1" x14ac:dyDescent="0.3">
      <c r="A598" s="31" t="s">
        <v>580</v>
      </c>
      <c r="B598" s="58"/>
      <c r="C598" s="892"/>
      <c r="D598" s="892" t="str">
        <f>IFERROR(IF(D597/AVERAGE(C590,D590)&lt;0,"n/a",D597/AVERAGE(C590,D590)),"n/a")</f>
        <v>n/a</v>
      </c>
      <c r="E598" s="892" t="str">
        <f>IFERROR(IF(E597/AVERAGE(D590,E590)&lt;0,"n/a",E597/AVERAGE(D590,E590)),"n/a")</f>
        <v>n/a</v>
      </c>
      <c r="F598" s="892" t="str">
        <f>IFERROR(IF(F597/AVERAGE(E590,F590)&lt;0,"n/a",F597/AVERAGE(E590,F590)),"n/a")</f>
        <v>n/a</v>
      </c>
      <c r="G598" s="72"/>
      <c r="H598" s="72"/>
      <c r="I598" s="72"/>
      <c r="J598" s="72"/>
      <c r="K598" s="892" t="str">
        <f>IFERROR(IF(K597/AVERAGE(G590,H590,I590,J590)&lt;0,"n/a",K597/AVERAGE(G590,H590,I590,J590)),"n/a")</f>
        <v>n/a</v>
      </c>
      <c r="L598" s="72"/>
      <c r="M598" s="72"/>
      <c r="N598" s="72"/>
      <c r="O598" s="72"/>
      <c r="P598" s="892" t="str">
        <f>IFERROR(IF(P597/AVERAGE(L590,M590,N590,O590)&lt;0,"n/a",P597/AVERAGE(L590,M590,N590,O590)),"n/a")</f>
        <v>n/a</v>
      </c>
      <c r="Q598" s="72"/>
      <c r="R598" s="72"/>
      <c r="S598" s="72"/>
      <c r="T598" s="72"/>
      <c r="U598" s="892" t="str">
        <f>IFERROR(IF(U597/AVERAGE(Q590,R590,S590,T590)&lt;0,"n/a",U597/AVERAGE(Q590,R590,S590,T590)),"n/a")</f>
        <v>n/a</v>
      </c>
      <c r="V598" s="72"/>
      <c r="W598" s="72"/>
      <c r="X598" s="72"/>
      <c r="Y598" s="72"/>
      <c r="Z598" s="892">
        <f>IFERROR(IF(Z597/AVERAGE(V590,W590,X590,Y590)&lt;0,"n/a",Z597/AVERAGE(V590,W590,X590,Y590)),"n/a")</f>
        <v>1.2504535685376951E-3</v>
      </c>
      <c r="AA598" s="72"/>
      <c r="AB598" s="72"/>
      <c r="AC598" s="72"/>
      <c r="AD598" s="72"/>
      <c r="AE598" s="892">
        <f>IFERROR(IF(AE597/AVERAGE(AA590,AB590,AC590,AD590)&lt;0,"n/a",AE597/AVERAGE(AA590,AB590,AC590,AD590)),"n/a")</f>
        <v>4.7377927807882502E-3</v>
      </c>
      <c r="AF598" s="72"/>
      <c r="AG598" s="72"/>
      <c r="AH598" s="72"/>
      <c r="AI598" s="72"/>
      <c r="AJ598" s="892">
        <f>IFERROR(IF(AJ597/AVERAGE(AF590,AG590,AH590,AI590)&lt;0,"n/a",AJ597/AVERAGE(AF590,AG590,AH590,AI590)),"n/a")</f>
        <v>1.4943123408429695E-2</v>
      </c>
      <c r="AK598" s="72"/>
      <c r="AL598" s="72"/>
      <c r="AM598" s="72"/>
      <c r="AN598" s="72"/>
      <c r="AO598" s="892"/>
      <c r="AP598" s="72"/>
      <c r="AQ598" s="72"/>
      <c r="AR598" s="72"/>
      <c r="AS598" s="72"/>
      <c r="AT598" s="892"/>
      <c r="AU598" s="72"/>
      <c r="AV598" s="72"/>
      <c r="AW598" s="72"/>
      <c r="AX598" s="72"/>
      <c r="AY598" s="892"/>
      <c r="AZ598" s="72"/>
      <c r="BA598" s="72"/>
      <c r="BB598" s="72"/>
      <c r="BC598" s="72"/>
      <c r="BD598" s="892"/>
      <c r="BE598" s="72"/>
      <c r="BF598" s="72"/>
      <c r="BG598" s="72"/>
      <c r="BH598" s="72"/>
      <c r="BI598" s="892"/>
      <c r="BJ598" s="72"/>
      <c r="BK598" s="72"/>
      <c r="BL598" s="72"/>
      <c r="BM598" s="72"/>
      <c r="BN598" s="892"/>
      <c r="BO598" s="72"/>
      <c r="BP598" s="72"/>
      <c r="BQ598" s="72"/>
      <c r="BR598" s="72"/>
      <c r="BS598" s="892"/>
      <c r="BT598" s="666"/>
      <c r="BU598" s="72">
        <f>IFERROR(IF(BU597/AVERAGE(BT590,BU590)&lt;0,"n/a",BU597/AVERAGE(BT590,BU590)*BX3/BU3),"n/a")</f>
        <v>2.4999999999999998E-2</v>
      </c>
      <c r="BV598" s="72">
        <f ca="1">IFERROR(IF(BV597/AVERAGE(BU590,BV590)&lt;0,"n/a",BV597/AVERAGE(BU590,BV590)*BX3/BV3),"n/a")</f>
        <v>2.5000000000000001E-2</v>
      </c>
      <c r="BW598" s="72">
        <f ca="1">IFERROR(IF(BW597/AVERAGE(BV590,BW590)&lt;0,"n/a",BW597/AVERAGE(BV590,BW590)*BX3/BW3),"n/a")</f>
        <v>2.5000000000000001E-2</v>
      </c>
      <c r="BX598" s="892" t="str">
        <f ca="1">IFERROR(IF(BX597/AVERAGE(BT590,BU590,BV590,BW590)&lt;0,"n/a",BX597/AVERAGE(BT590,BU590,BV590,BW590)),"n/a")</f>
        <v>n/a</v>
      </c>
      <c r="BY598" s="72">
        <f ca="1">IFERROR(IF(BY597/AVERAGE(BX590,BY590)&lt;0,"n/a",BY597/AVERAGE(BX590,BY590)*CC3/BY3),"n/a")</f>
        <v>2.5000000000000001E-2</v>
      </c>
      <c r="BZ598" s="72">
        <f ca="1">IFERROR(IF(BZ597/AVERAGE(BY590,BZ590)&lt;0,"n/a",BZ597/AVERAGE(BY590,BZ590)*CC3/BZ3),"n/a")</f>
        <v>2.4999999999999998E-2</v>
      </c>
      <c r="CA598" s="72">
        <f ca="1">IFERROR(IF(CA597/AVERAGE(BZ590,CA590)&lt;0,"n/a",CA597/AVERAGE(BZ590,CA590)*CC3/CA3),"n/a")</f>
        <v>2.5000000000000001E-2</v>
      </c>
      <c r="CB598" s="72">
        <f ca="1">IFERROR(IF(CB597/AVERAGE(CA590,CB590)&lt;0,"n/a",CB597/AVERAGE(CA590,CB590)*CC3/CB3),"n/a")</f>
        <v>2.5000000000000001E-2</v>
      </c>
      <c r="CC598" s="892">
        <f ca="1">IFERROR(IF(CC597/AVERAGE(BY590,BZ590,CA590,CB590)&lt;0,"n/a",CC597/AVERAGE(BY590,BZ590,CA590,CB590)),"n/a")</f>
        <v>2.5000000000000001E-2</v>
      </c>
      <c r="CD598" s="892">
        <f ca="1">IFERROR(IF(CD597/AVERAGE(CC590,CD590)&lt;0,"n/a",CD597/AVERAGE(CC590,CD590)),"n/a")</f>
        <v>2.5000000000000001E-2</v>
      </c>
      <c r="CE598" s="892">
        <f ca="1">IFERROR(IF(CE597/AVERAGE(CD590,CE590)&lt;0,"n/a",CE597/AVERAGE(CD590,CE590)),"n/a")</f>
        <v>2.5000000000000001E-2</v>
      </c>
      <c r="CF598" s="892">
        <f ca="1">IFERROR(IF(CF597/AVERAGE(CE590,CF590)&lt;0,"n/a",CF597/AVERAGE(CE590,CF590)),"n/a")</f>
        <v>2.5000000000000001E-2</v>
      </c>
      <c r="CG598" s="22"/>
    </row>
    <row r="599" spans="1:85" s="428" customFormat="1" collapsed="1" x14ac:dyDescent="0.3">
      <c r="A599" s="31"/>
      <c r="B599" s="58"/>
      <c r="C599" s="892"/>
      <c r="D599" s="892"/>
      <c r="E599" s="892"/>
      <c r="F599" s="892"/>
      <c r="G599" s="72"/>
      <c r="H599" s="72"/>
      <c r="I599" s="72"/>
      <c r="J599" s="72"/>
      <c r="K599" s="892"/>
      <c r="L599" s="72"/>
      <c r="M599" s="72"/>
      <c r="N599" s="72"/>
      <c r="O599" s="72"/>
      <c r="P599" s="892"/>
      <c r="Q599" s="72"/>
      <c r="R599" s="72"/>
      <c r="S599" s="72"/>
      <c r="T599" s="72"/>
      <c r="U599" s="892"/>
      <c r="V599" s="72"/>
      <c r="W599" s="72"/>
      <c r="X599" s="72"/>
      <c r="Y599" s="72"/>
      <c r="Z599" s="892"/>
      <c r="AA599" s="72"/>
      <c r="AB599" s="72"/>
      <c r="AC599" s="72"/>
      <c r="AD599" s="72"/>
      <c r="AE599" s="892"/>
      <c r="AF599" s="72"/>
      <c r="AG599" s="72"/>
      <c r="AH599" s="72"/>
      <c r="AI599" s="72"/>
      <c r="AJ599" s="892"/>
      <c r="AK599" s="72"/>
      <c r="AL599" s="72"/>
      <c r="AM599" s="72"/>
      <c r="AN599" s="72"/>
      <c r="AO599" s="892"/>
      <c r="AP599" s="72"/>
      <c r="AQ599" s="72"/>
      <c r="AR599" s="72"/>
      <c r="AS599" s="72"/>
      <c r="AT599" s="892"/>
      <c r="AU599" s="72"/>
      <c r="AV599" s="72"/>
      <c r="AW599" s="72"/>
      <c r="AX599" s="72"/>
      <c r="AY599" s="892"/>
      <c r="AZ599" s="72"/>
      <c r="BA599" s="72"/>
      <c r="BB599" s="72"/>
      <c r="BC599" s="72"/>
      <c r="BD599" s="892"/>
      <c r="BE599" s="72"/>
      <c r="BF599" s="72"/>
      <c r="BG599" s="72"/>
      <c r="BH599" s="72"/>
      <c r="BI599" s="892"/>
      <c r="BJ599" s="72"/>
      <c r="BK599" s="72"/>
      <c r="BL599" s="72"/>
      <c r="BM599" s="72"/>
      <c r="BN599" s="892"/>
      <c r="BO599" s="72"/>
      <c r="BP599" s="72"/>
      <c r="BQ599" s="72"/>
      <c r="BR599" s="72"/>
      <c r="BS599" s="892"/>
      <c r="BT599" s="666"/>
      <c r="BU599" s="72"/>
      <c r="BV599" s="72"/>
      <c r="BW599" s="72"/>
      <c r="BX599" s="892"/>
      <c r="BY599" s="72"/>
      <c r="BZ599" s="72"/>
      <c r="CA599" s="72"/>
      <c r="CB599" s="72"/>
      <c r="CC599" s="892"/>
      <c r="CD599" s="892"/>
      <c r="CE599" s="892"/>
      <c r="CF599" s="892"/>
      <c r="CG599" s="22"/>
    </row>
    <row r="600" spans="1:85" s="441" customFormat="1" x14ac:dyDescent="0.3">
      <c r="A600" s="21" t="s">
        <v>240</v>
      </c>
      <c r="B600" s="349"/>
      <c r="C600" s="924" t="str">
        <f>IF(C591&lt;0,"n/a",C591/C504)</f>
        <v>n/a</v>
      </c>
      <c r="D600" s="924" t="str">
        <f>IF(D591&lt;0,"n/a",D591/D504)</f>
        <v>n/a</v>
      </c>
      <c r="E600" s="924" t="str">
        <f>IF(E591&lt;0,"n/a",E591/E504)</f>
        <v>n/a</v>
      </c>
      <c r="F600" s="924" t="str">
        <f>IF(F591&lt;0,"n/a",F591/F504)</f>
        <v>n/a</v>
      </c>
      <c r="G600" s="323"/>
      <c r="H600" s="323"/>
      <c r="I600" s="323"/>
      <c r="J600" s="323"/>
      <c r="K600" s="924">
        <f>IF(K591&lt;0,"n/a",K591/K504)</f>
        <v>5.437711733908223E-2</v>
      </c>
      <c r="L600" s="323"/>
      <c r="M600" s="323"/>
      <c r="N600" s="323"/>
      <c r="O600" s="323"/>
      <c r="P600" s="924">
        <f>IF(P591&lt;0,"n/a",P591/P504)</f>
        <v>0.27454981992797117</v>
      </c>
      <c r="Q600" s="323"/>
      <c r="R600" s="323"/>
      <c r="S600" s="323"/>
      <c r="T600" s="323"/>
      <c r="U600" s="924">
        <f>IF(U591&lt;0,"n/a",U591/U504)</f>
        <v>0.84393716417399633</v>
      </c>
      <c r="V600" s="323"/>
      <c r="W600" s="350"/>
      <c r="X600" s="323"/>
      <c r="Y600" s="350"/>
      <c r="Z600" s="924">
        <f>IF(Z591&lt;0,"n/a",Z591/Z504)</f>
        <v>2.0210458151206088</v>
      </c>
      <c r="AA600" s="350"/>
      <c r="AB600" s="350"/>
      <c r="AC600" s="323"/>
      <c r="AD600" s="350"/>
      <c r="AE600" s="924">
        <f>IF(AE591&lt;0,"n/a",AE591/AE504)</f>
        <v>1.1011062170068255</v>
      </c>
      <c r="AF600" s="350"/>
      <c r="AG600" s="350"/>
      <c r="AH600" s="323"/>
      <c r="AI600" s="350"/>
      <c r="AJ600" s="924">
        <f>IF(AJ591&lt;0,"n/a",AJ591/AJ504)</f>
        <v>0.52161994660564459</v>
      </c>
      <c r="AK600" s="350"/>
      <c r="AL600" s="350"/>
      <c r="AM600" s="350"/>
      <c r="AN600" s="350"/>
      <c r="AO600" s="925">
        <f>IF(AO591&lt;0,"n/a",AO591/AO504)</f>
        <v>0.60272011453113816</v>
      </c>
      <c r="AP600" s="350"/>
      <c r="AQ600" s="350"/>
      <c r="AR600" s="350"/>
      <c r="AS600" s="350"/>
      <c r="AT600" s="925">
        <f>IF(AT591&lt;0,"n/a",AT591/AT504)</f>
        <v>2.7204143047099167</v>
      </c>
      <c r="AU600" s="350"/>
      <c r="AV600" s="350"/>
      <c r="AW600" s="350"/>
      <c r="AX600" s="350"/>
      <c r="AY600" s="925">
        <f>IF(AY591&lt;0,"n/a",AY591/AY504)</f>
        <v>0.59194121249234533</v>
      </c>
      <c r="AZ600" s="350"/>
      <c r="BA600" s="350"/>
      <c r="BB600" s="350"/>
      <c r="BC600" s="350"/>
      <c r="BD600" s="925">
        <f>IF(BD591&lt;0,"n/a",BD591/BD504)</f>
        <v>7.764918572084821E-2</v>
      </c>
      <c r="BE600" s="350"/>
      <c r="BF600" s="350"/>
      <c r="BG600" s="350"/>
      <c r="BH600" s="350"/>
      <c r="BI600" s="925">
        <f>IF(BI591&lt;0,"n/a",BI591/BI504)</f>
        <v>0.23682521276375459</v>
      </c>
      <c r="BJ600" s="350"/>
      <c r="BK600" s="350"/>
      <c r="BL600" s="350"/>
      <c r="BM600" s="350"/>
      <c r="BN600" s="925">
        <f>IF(BN591&lt;0,"n/a",BN591/BN504)</f>
        <v>0.38342281734480455</v>
      </c>
      <c r="BO600" s="350"/>
      <c r="BP600" s="350"/>
      <c r="BQ600" s="350"/>
      <c r="BR600" s="350"/>
      <c r="BS600" s="925">
        <f>IF(BS591&lt;0,"n/a",BS591/BS504)</f>
        <v>0.8213938257836414</v>
      </c>
      <c r="BT600" s="679"/>
      <c r="BU600" s="350"/>
      <c r="BV600" s="350"/>
      <c r="BW600" s="350"/>
      <c r="BX600" s="925">
        <f ca="1">IF(BX591&lt;0,"n/a",BX591/BX504)</f>
        <v>0.38786753001256885</v>
      </c>
      <c r="BY600" s="350"/>
      <c r="BZ600" s="350"/>
      <c r="CA600" s="350"/>
      <c r="CB600" s="350"/>
      <c r="CC600" s="925">
        <f ca="1">IF(CC591&lt;0,"n/a",CC591/CC504)</f>
        <v>7.8554132386492559E-2</v>
      </c>
      <c r="CD600" s="925" t="str">
        <f ca="1">IF(CD591&lt;0,"n/a",CD591/CD504)</f>
        <v>n/a</v>
      </c>
      <c r="CE600" s="925" t="str">
        <f ca="1">IF(CE591&lt;0,"n/a",CE591/CE504)</f>
        <v>n/a</v>
      </c>
      <c r="CF600" s="925" t="str">
        <f ca="1">IF(CF591&lt;0,"n/a",CF591/CF504)</f>
        <v>n/a</v>
      </c>
      <c r="CG600" s="33"/>
    </row>
    <row r="601" spans="1:85" s="441" customFormat="1" x14ac:dyDescent="0.3">
      <c r="A601" s="21" t="s">
        <v>241</v>
      </c>
      <c r="B601" s="349"/>
      <c r="C601" s="924" t="str">
        <f>IF(C591&lt;0,"n/a",C591/C561)</f>
        <v>n/a</v>
      </c>
      <c r="D601" s="924" t="str">
        <f>IF(D591&lt;0,"n/a",D591/D561)</f>
        <v>n/a</v>
      </c>
      <c r="E601" s="924" t="str">
        <f>IF(E591&lt;0,"n/a",E591/E561)</f>
        <v>n/a</v>
      </c>
      <c r="F601" s="924" t="str">
        <f>IF(F591&lt;0,"n/a",F591/F561)</f>
        <v>n/a</v>
      </c>
      <c r="G601" s="323"/>
      <c r="H601" s="323"/>
      <c r="I601" s="323"/>
      <c r="J601" s="323"/>
      <c r="K601" s="924">
        <f>IF(K591&lt;0,"n/a",K591/K561)</f>
        <v>8.0709673732929546E-2</v>
      </c>
      <c r="L601" s="323"/>
      <c r="M601" s="323"/>
      <c r="N601" s="323"/>
      <c r="O601" s="323"/>
      <c r="P601" s="924">
        <f>IF(P591&lt;0,"n/a",P591/P561)</f>
        <v>0.43596505162827642</v>
      </c>
      <c r="Q601" s="323"/>
      <c r="R601" s="323"/>
      <c r="S601" s="323"/>
      <c r="T601" s="323"/>
      <c r="U601" s="924">
        <f>IF(U591&lt;0,"n/a",U591/U561)</f>
        <v>1.2674239309210527</v>
      </c>
      <c r="V601" s="323"/>
      <c r="W601" s="350"/>
      <c r="X601" s="323"/>
      <c r="Y601" s="350"/>
      <c r="Z601" s="924">
        <f>IFERROR(IF(Z591&lt;0,"n/a",Z591/Z561),"n/a")</f>
        <v>2.9154600653900045</v>
      </c>
      <c r="AA601" s="350"/>
      <c r="AB601" s="350"/>
      <c r="AC601" s="323"/>
      <c r="AD601" s="350"/>
      <c r="AE601" s="924">
        <f>IFERROR(IF(AE591&lt;0,"n/a",AE591/AE561),"n/a")</f>
        <v>1.5962953936144284</v>
      </c>
      <c r="AF601" s="350"/>
      <c r="AG601" s="350"/>
      <c r="AH601" s="323"/>
      <c r="AI601" s="350"/>
      <c r="AJ601" s="924">
        <f>IFERROR(IF(AJ591&lt;0,"n/a",AJ591/AJ561),"n/a")</f>
        <v>0.71471030113005418</v>
      </c>
      <c r="AK601" s="350"/>
      <c r="AL601" s="350"/>
      <c r="AM601" s="350"/>
      <c r="AN601" s="350"/>
      <c r="AO601" s="925">
        <f>IF(AO591&lt;0,"n/a",AO591/AO561)</f>
        <v>0.80149373947426228</v>
      </c>
      <c r="AP601" s="350"/>
      <c r="AQ601" s="350"/>
      <c r="AR601" s="350"/>
      <c r="AS601" s="350"/>
      <c r="AT601" s="925">
        <f>IF(AT591&lt;0,"n/a",AT591/AT561)</f>
        <v>3.6751441807695944</v>
      </c>
      <c r="AU601" s="350"/>
      <c r="AV601" s="350"/>
      <c r="AW601" s="350"/>
      <c r="AX601" s="350"/>
      <c r="AY601" s="925">
        <f>IF(AY591&lt;0,"n/a",AY591/AY561)</f>
        <v>0.82797135711104264</v>
      </c>
      <c r="AZ601" s="350"/>
      <c r="BA601" s="350"/>
      <c r="BB601" s="350"/>
      <c r="BC601" s="350"/>
      <c r="BD601" s="925">
        <f>IF(BD591&lt;0,"n/a",BD591/BD561)</f>
        <v>0.10564090157654933</v>
      </c>
      <c r="BE601" s="350"/>
      <c r="BF601" s="350"/>
      <c r="BG601" s="350"/>
      <c r="BH601" s="350"/>
      <c r="BI601" s="925">
        <f>IF(BI591&lt;0,"n/a",BI591/BI561)</f>
        <v>0.32118284703305344</v>
      </c>
      <c r="BJ601" s="350"/>
      <c r="BK601" s="350"/>
      <c r="BL601" s="350"/>
      <c r="BM601" s="350"/>
      <c r="BN601" s="925">
        <f>IF(BN591&lt;0,"n/a",BN591/BN561)</f>
        <v>0.56465134002286299</v>
      </c>
      <c r="BO601" s="350"/>
      <c r="BP601" s="350"/>
      <c r="BQ601" s="350"/>
      <c r="BR601" s="350"/>
      <c r="BS601" s="925">
        <f>IF(BS591&lt;0,"n/a",BS591/BS561)</f>
        <v>1.0199475529626683</v>
      </c>
      <c r="BT601" s="679"/>
      <c r="BU601" s="350"/>
      <c r="BV601" s="350"/>
      <c r="BW601" s="350"/>
      <c r="BX601" s="925">
        <f ca="1">IF(BX591&lt;0,"n/a",BX591/BX561)</f>
        <v>0.58580898271714699</v>
      </c>
      <c r="BY601" s="350"/>
      <c r="BZ601" s="350"/>
      <c r="CA601" s="350"/>
      <c r="CB601" s="350"/>
      <c r="CC601" s="925">
        <f ca="1">IF(CC591&lt;0,"n/a",CC591/CC561)</f>
        <v>0.10502069796827927</v>
      </c>
      <c r="CD601" s="925" t="str">
        <f ca="1">IF(CD591&lt;0,"n/a",CD591/CD561)</f>
        <v>n/a</v>
      </c>
      <c r="CE601" s="925" t="str">
        <f ca="1">IF(CE591&lt;0,"n/a",CE591/CE561)</f>
        <v>n/a</v>
      </c>
      <c r="CF601" s="925" t="str">
        <f ca="1">IF(CF591&lt;0,"n/a",CF591/CF561)</f>
        <v>n/a</v>
      </c>
      <c r="CG601" s="33"/>
    </row>
    <row r="602" spans="1:85" x14ac:dyDescent="0.3">
      <c r="A602" s="351"/>
      <c r="B602" s="351"/>
      <c r="C602" s="926"/>
      <c r="D602" s="926"/>
      <c r="E602" s="926"/>
      <c r="F602" s="926"/>
      <c r="G602" s="352"/>
      <c r="H602" s="352"/>
      <c r="I602" s="352"/>
      <c r="J602" s="352"/>
      <c r="K602" s="926"/>
      <c r="L602" s="352"/>
      <c r="M602" s="352"/>
      <c r="N602" s="352"/>
      <c r="O602" s="352"/>
      <c r="P602" s="926"/>
      <c r="Q602" s="352"/>
      <c r="R602" s="352"/>
      <c r="S602" s="352"/>
      <c r="T602" s="352"/>
      <c r="U602" s="926"/>
      <c r="V602" s="352"/>
      <c r="W602" s="352"/>
      <c r="X602" s="352"/>
      <c r="Y602" s="352"/>
      <c r="Z602" s="926"/>
      <c r="AA602" s="352"/>
      <c r="AB602" s="352"/>
      <c r="AC602" s="352"/>
      <c r="AD602" s="352"/>
      <c r="AE602" s="926"/>
      <c r="AF602" s="352"/>
      <c r="AG602" s="352"/>
      <c r="AH602" s="352"/>
      <c r="AI602" s="352"/>
      <c r="AJ602" s="926"/>
      <c r="AK602" s="352"/>
      <c r="AL602" s="352"/>
      <c r="AM602" s="352"/>
      <c r="AN602" s="352"/>
      <c r="AO602" s="926"/>
      <c r="AP602" s="352"/>
      <c r="AQ602" s="352"/>
      <c r="AR602" s="352"/>
      <c r="AS602" s="352"/>
      <c r="AT602" s="926"/>
      <c r="AU602" s="352"/>
      <c r="AV602" s="352"/>
      <c r="AW602" s="352"/>
      <c r="AX602" s="352"/>
      <c r="AY602" s="926"/>
      <c r="AZ602" s="352"/>
      <c r="BA602" s="352"/>
      <c r="BB602" s="352"/>
      <c r="BC602" s="352"/>
      <c r="BD602" s="926"/>
      <c r="BE602" s="352"/>
      <c r="BF602" s="352"/>
      <c r="BG602" s="352"/>
      <c r="BH602" s="352"/>
      <c r="BI602" s="926"/>
      <c r="BJ602" s="352"/>
      <c r="BK602" s="352"/>
      <c r="BL602" s="352"/>
      <c r="BM602" s="352"/>
      <c r="BN602" s="926"/>
      <c r="BO602" s="352"/>
      <c r="BP602" s="352"/>
      <c r="BQ602" s="352"/>
      <c r="BR602" s="352"/>
      <c r="BS602" s="926"/>
      <c r="BT602" s="388"/>
      <c r="BU602" s="352"/>
      <c r="BV602" s="352"/>
      <c r="BW602" s="352"/>
      <c r="BX602" s="926"/>
      <c r="BY602" s="352"/>
      <c r="BZ602" s="352"/>
      <c r="CA602" s="352"/>
      <c r="CB602" s="352"/>
      <c r="CC602" s="926"/>
      <c r="CD602" s="926"/>
      <c r="CE602" s="926"/>
      <c r="CF602" s="926"/>
      <c r="CG602" s="30"/>
    </row>
    <row r="603" spans="1:85" s="427" customFormat="1" x14ac:dyDescent="0.3">
      <c r="A603" s="720" t="s">
        <v>242</v>
      </c>
      <c r="B603" s="720"/>
      <c r="C603" s="720"/>
      <c r="D603" s="720"/>
      <c r="E603" s="720"/>
      <c r="F603" s="720"/>
      <c r="G603" s="720"/>
      <c r="H603" s="720"/>
      <c r="I603" s="720"/>
      <c r="J603" s="720"/>
      <c r="K603" s="720"/>
      <c r="L603" s="720"/>
      <c r="M603" s="720"/>
      <c r="N603" s="720"/>
      <c r="O603" s="720"/>
      <c r="P603" s="720"/>
      <c r="Q603" s="720"/>
      <c r="R603" s="720"/>
      <c r="S603" s="720"/>
      <c r="T603" s="720"/>
      <c r="U603" s="720"/>
      <c r="V603" s="720"/>
      <c r="W603" s="720"/>
      <c r="X603" s="720"/>
      <c r="Y603" s="720"/>
      <c r="Z603" s="720"/>
      <c r="AA603" s="720"/>
      <c r="AB603" s="720"/>
      <c r="AC603" s="720"/>
      <c r="AD603" s="720"/>
      <c r="AE603" s="720"/>
      <c r="AF603" s="720"/>
      <c r="AG603" s="720"/>
      <c r="AH603" s="720"/>
      <c r="AI603" s="720"/>
      <c r="AJ603" s="720"/>
      <c r="AK603" s="720"/>
      <c r="AL603" s="720"/>
      <c r="AM603" s="720"/>
      <c r="AN603" s="720"/>
      <c r="AO603" s="720"/>
      <c r="AP603" s="720"/>
      <c r="AQ603" s="720"/>
      <c r="AR603" s="720"/>
      <c r="AS603" s="720"/>
      <c r="AT603" s="720"/>
      <c r="AU603" s="720"/>
      <c r="AV603" s="720"/>
      <c r="AW603" s="720"/>
      <c r="AX603" s="720"/>
      <c r="AY603" s="720"/>
      <c r="AZ603" s="720"/>
      <c r="BA603" s="720"/>
      <c r="BB603" s="720"/>
      <c r="BC603" s="720"/>
      <c r="BD603" s="720"/>
      <c r="BE603" s="720"/>
      <c r="BF603" s="720"/>
      <c r="BG603" s="720"/>
      <c r="BH603" s="720"/>
      <c r="BI603" s="720"/>
      <c r="BJ603" s="720"/>
      <c r="BK603" s="720"/>
      <c r="BL603" s="720"/>
      <c r="BM603" s="720"/>
      <c r="BN603" s="720"/>
      <c r="BO603" s="720"/>
      <c r="BP603" s="720"/>
      <c r="BQ603" s="720"/>
      <c r="BR603" s="720"/>
      <c r="BS603" s="720"/>
      <c r="BT603" s="721"/>
      <c r="BU603" s="720"/>
      <c r="BV603" s="720"/>
      <c r="BW603" s="720"/>
      <c r="BX603" s="720"/>
      <c r="BY603" s="720"/>
      <c r="BZ603" s="720"/>
      <c r="CA603" s="720"/>
      <c r="CB603" s="720"/>
      <c r="CC603" s="720"/>
      <c r="CD603" s="720"/>
      <c r="CE603" s="720"/>
      <c r="CF603" s="720"/>
      <c r="CG603" s="321"/>
    </row>
    <row r="604" spans="1:85" s="442" customFormat="1" x14ac:dyDescent="0.3">
      <c r="A604" s="417" t="str">
        <f>"Stock Price (Reporting Cur.) - "&amp;MO.ValuationToggle&amp;", "&amp;MO.ReportCurrency</f>
        <v>Stock Price (Reporting Cur.) - EoP, USD</v>
      </c>
      <c r="B604" s="796" t="s">
        <v>742</v>
      </c>
      <c r="C604" s="927">
        <f t="shared" ref="C604:AH604" si="1319">IF(MO.ValuationToggle="EoP",INDEX(MO_VA_StockPrice_TradingCurrency,1,COLUMN())/INDEX(MO_VA_FX_EoP,1,COLUMN()),INDEX(MO_VA_StockPrice_TradingCurrency,1,COLUMN())/INDEX(MO_VA_FX_Average,1,COLUMN()))</f>
        <v>77.650000000000006</v>
      </c>
      <c r="D604" s="927">
        <f t="shared" si="1319"/>
        <v>91.6</v>
      </c>
      <c r="E604" s="927">
        <f t="shared" si="1319"/>
        <v>106.4</v>
      </c>
      <c r="F604" s="927">
        <f t="shared" si="1319"/>
        <v>106.45</v>
      </c>
      <c r="G604" s="231">
        <f t="shared" si="1319"/>
        <v>118.82</v>
      </c>
      <c r="H604" s="231">
        <f t="shared" si="1319"/>
        <v>118.34</v>
      </c>
      <c r="I604" s="231">
        <f t="shared" si="1319"/>
        <v>122.64</v>
      </c>
      <c r="J604" s="231">
        <f t="shared" si="1319"/>
        <v>124.23</v>
      </c>
      <c r="K604" s="927">
        <f t="shared" si="1319"/>
        <v>124.23</v>
      </c>
      <c r="L604" s="231">
        <f t="shared" si="1319"/>
        <v>118.5</v>
      </c>
      <c r="M604" s="231">
        <f t="shared" si="1319"/>
        <v>130.36000000000001</v>
      </c>
      <c r="N604" s="231">
        <f t="shared" si="1319"/>
        <v>120.55</v>
      </c>
      <c r="O604" s="231">
        <f t="shared" si="1319"/>
        <v>113.11</v>
      </c>
      <c r="P604" s="927">
        <f t="shared" si="1319"/>
        <v>113.11</v>
      </c>
      <c r="Q604" s="231">
        <f t="shared" si="1319"/>
        <v>106.9</v>
      </c>
      <c r="R604" s="231">
        <f t="shared" si="1319"/>
        <v>96.69</v>
      </c>
      <c r="S604" s="231">
        <f t="shared" si="1319"/>
        <v>76.25</v>
      </c>
      <c r="T604" s="231">
        <f t="shared" si="1319"/>
        <v>90.09</v>
      </c>
      <c r="U604" s="927">
        <f t="shared" si="1319"/>
        <v>90.09</v>
      </c>
      <c r="V604" s="231">
        <f t="shared" si="1319"/>
        <v>95.25</v>
      </c>
      <c r="W604" s="231">
        <f t="shared" si="1319"/>
        <v>103.42</v>
      </c>
      <c r="X604" s="231">
        <f t="shared" si="1319"/>
        <v>101.27</v>
      </c>
      <c r="Y604" s="231">
        <f t="shared" si="1319"/>
        <v>117.7</v>
      </c>
      <c r="Z604" s="928">
        <f t="shared" si="1319"/>
        <v>117.7</v>
      </c>
      <c r="AA604" s="231">
        <f t="shared" si="1319"/>
        <v>107.78</v>
      </c>
      <c r="AB604" s="231">
        <f t="shared" si="1319"/>
        <v>104.12</v>
      </c>
      <c r="AC604" s="231">
        <f t="shared" si="1319"/>
        <v>117.5</v>
      </c>
      <c r="AD604" s="231">
        <f t="shared" si="1319"/>
        <v>125.19</v>
      </c>
      <c r="AE604" s="928">
        <f t="shared" si="1319"/>
        <v>125.19</v>
      </c>
      <c r="AF604" s="231">
        <f t="shared" si="1319"/>
        <v>114.04</v>
      </c>
      <c r="AG604" s="231">
        <f t="shared" si="1319"/>
        <v>126.43</v>
      </c>
      <c r="AH604" s="231">
        <f t="shared" si="1319"/>
        <v>122.28</v>
      </c>
      <c r="AI604" s="231">
        <f t="shared" ref="AI604:BN604" si="1320">IF(MO.ValuationToggle="EoP",INDEX(MO_VA_StockPrice_TradingCurrency,1,COLUMN())/INDEX(MO_VA_FX_EoP,1,COLUMN()),INDEX(MO_VA_StockPrice_TradingCurrency,1,COLUMN())/INDEX(MO_VA_FX_Average,1,COLUMN()))</f>
        <v>108.65</v>
      </c>
      <c r="AJ604" s="928">
        <f t="shared" si="1320"/>
        <v>108.65</v>
      </c>
      <c r="AK604" s="231">
        <f t="shared" si="1320"/>
        <v>123.18</v>
      </c>
      <c r="AL604" s="231">
        <f t="shared" si="1320"/>
        <v>124.44</v>
      </c>
      <c r="AM604" s="231">
        <f t="shared" si="1320"/>
        <v>118.6</v>
      </c>
      <c r="AN604" s="231">
        <f t="shared" si="1320"/>
        <v>119.85</v>
      </c>
      <c r="AO604" s="920">
        <f t="shared" si="1320"/>
        <v>119.85</v>
      </c>
      <c r="AP604" s="231">
        <f t="shared" si="1320"/>
        <v>71.95</v>
      </c>
      <c r="AQ604" s="231">
        <f t="shared" si="1320"/>
        <v>87.67</v>
      </c>
      <c r="AR604" s="231">
        <f t="shared" si="1320"/>
        <v>71.900000000000006</v>
      </c>
      <c r="AS604" s="231">
        <f t="shared" si="1320"/>
        <v>85.33</v>
      </c>
      <c r="AT604" s="920">
        <f t="shared" si="1320"/>
        <v>85.33</v>
      </c>
      <c r="AU604" s="231">
        <f t="shared" si="1320"/>
        <v>105.93</v>
      </c>
      <c r="AV604" s="231">
        <f t="shared" si="1320"/>
        <v>103.76</v>
      </c>
      <c r="AW604" s="231">
        <f t="shared" si="1320"/>
        <v>103.33</v>
      </c>
      <c r="AX604" s="231">
        <f t="shared" si="1320"/>
        <v>117.43</v>
      </c>
      <c r="AY604" s="920">
        <f t="shared" si="1320"/>
        <v>117.43</v>
      </c>
      <c r="AZ604" s="231">
        <f t="shared" si="1320"/>
        <v>165.48</v>
      </c>
      <c r="BA604" s="231">
        <f t="shared" si="1320"/>
        <v>146.97999999999999</v>
      </c>
      <c r="BB604" s="231">
        <f t="shared" si="1320"/>
        <v>144.77000000000001</v>
      </c>
      <c r="BC604" s="231">
        <f t="shared" si="1320"/>
        <v>179.49</v>
      </c>
      <c r="BD604" s="920">
        <f t="shared" si="1320"/>
        <v>179.49</v>
      </c>
      <c r="BE604" s="420">
        <f t="shared" si="1320"/>
        <v>162.38999999999999</v>
      </c>
      <c r="BF604" s="420">
        <f t="shared" si="1320"/>
        <v>156.24</v>
      </c>
      <c r="BG604" s="420">
        <f t="shared" si="1320"/>
        <v>168.62</v>
      </c>
      <c r="BH604" s="420">
        <f t="shared" si="1320"/>
        <v>149.16</v>
      </c>
      <c r="BI604" s="920">
        <f t="shared" si="1320"/>
        <v>149.16</v>
      </c>
      <c r="BJ604" s="420">
        <f>IF(MO.ValuationToggle="EoP",INDEX(MO_VA_StockPrice_TradingCurrency,1,COLUMN())/INDEX(MO_VA_FX_EoP,1,COLUMN()),INDEX(MO_VA_StockPrice_TradingCurrency,1,COLUMN())/INDEX(MO_VA_FX_Average,1,COLUMN()))</f>
        <v>157.74</v>
      </c>
      <c r="BK604" s="420">
        <f>IF(MO.ValuationToggle="EoP",INDEX(MO_VA_StockPrice_TradingCurrency,1,COLUMN())/INDEX(MO_VA_FX_EoP,1,COLUMN()),INDEX(MO_VA_StockPrice_TradingCurrency,1,COLUMN())/INDEX(MO_VA_FX_Average,1,COLUMN()))</f>
        <v>156.41999999999999</v>
      </c>
      <c r="BL604" s="420">
        <f>IF(MO.ValuationToggle="EoP",INDEX(MO_VA_StockPrice_TradingCurrency,1,COLUMN())/INDEX(MO_VA_FX_EoP,1,COLUMN()),INDEX(MO_VA_StockPrice_TradingCurrency,1,COLUMN())/INDEX(MO_VA_FX_Average,1,COLUMN()))</f>
        <v>145.49</v>
      </c>
      <c r="BM604" s="420">
        <f>IF(MO.ValuationToggle="EoP",INDEX(MO_VA_StockPrice_TradingCurrency,1,COLUMN())/INDEX(MO_VA_FX_EoP,1,COLUMN()),INDEX(MO_VA_StockPrice_TradingCurrency,1,COLUMN())/INDEX(MO_VA_FX_Average,1,COLUMN()))</f>
        <v>143.07</v>
      </c>
      <c r="BN604" s="920">
        <f t="shared" si="1320"/>
        <v>143.07</v>
      </c>
      <c r="BO604" s="420">
        <f t="shared" ref="BO604:BX604" si="1321">IF(MO.ValuationToggle="EoP",INDEX(MO_VA_StockPrice_TradingCurrency,1,COLUMN())/INDEX(MO_VA_FX_EoP,1,COLUMN()),INDEX(MO_VA_StockPrice_TradingCurrency,1,COLUMN())/INDEX(MO_VA_FX_Average,1,COLUMN()))</f>
        <v>166.09</v>
      </c>
      <c r="BP604" s="420">
        <f t="shared" si="1321"/>
        <v>143.79</v>
      </c>
      <c r="BQ604" s="420">
        <f t="shared" si="1321"/>
        <v>156.1</v>
      </c>
      <c r="BR604" s="420">
        <f t="shared" si="1321"/>
        <v>152.31</v>
      </c>
      <c r="BS604" s="920">
        <f t="shared" si="1321"/>
        <v>152.31</v>
      </c>
      <c r="BT604" s="680">
        <f>IF(MO.ValuationToggle="EoP",INDEX(MO_VA_StockPrice_TradingCurrency,1,COLUMN())/INDEX(MO_VA_FX_EoP,1,COLUMN()),INDEX(MO_VA_StockPrice_TradingCurrency,1,COLUMN())/INDEX(MO_VA_FX_Average,1,COLUMN()))</f>
        <v>210.71</v>
      </c>
      <c r="BU604" s="420">
        <f ca="1">IF(MO.ValuationToggle="EoP",INDEX(MO_VA_StockPrice_TradingCurrency,1,COLUMN())/INDEX(MO_VA_FX_EoP,1,COLUMN()),INDEX(MO_VA_StockPrice_TradingCurrency,1,COLUMN())/INDEX(MO_VA_FX_Average,1,COLUMN()))</f>
        <v>185.16</v>
      </c>
      <c r="BV604" s="420">
        <f ca="1">IF(MO.ValuationToggle="EoP",INDEX(MO_VA_StockPrice_TradingCurrency,1,COLUMN())/INDEX(MO_VA_FX_EoP,1,COLUMN()),INDEX(MO_VA_StockPrice_TradingCurrency,1,COLUMN())/INDEX(MO_VA_FX_Average,1,COLUMN()))</f>
        <v>185.16</v>
      </c>
      <c r="BW604" s="420">
        <f ca="1">IF(MO.ValuationToggle="EoP",INDEX(MO_VA_StockPrice_TradingCurrency,1,COLUMN())/INDEX(MO_VA_FX_EoP,1,COLUMN()),INDEX(MO_VA_StockPrice_TradingCurrency,1,COLUMN())/INDEX(MO_VA_FX_Average,1,COLUMN()))</f>
        <v>185.16</v>
      </c>
      <c r="BX604" s="920">
        <f t="shared" ca="1" si="1321"/>
        <v>185.16</v>
      </c>
      <c r="BY604" s="420">
        <f t="shared" ref="BY604:CF604" ca="1" si="1322">IF(MO.ValuationToggle="EoP",INDEX(MO_VA_StockPrice_TradingCurrency,1,COLUMN())/INDEX(MO_VA_FX_EoP,1,COLUMN()),INDEX(MO_VA_StockPrice_TradingCurrency,1,COLUMN())/INDEX(MO_VA_FX_Average,1,COLUMN()))</f>
        <v>185.16</v>
      </c>
      <c r="BZ604" s="420">
        <f t="shared" ca="1" si="1322"/>
        <v>185.16</v>
      </c>
      <c r="CA604" s="420">
        <f t="shared" ca="1" si="1322"/>
        <v>185.16</v>
      </c>
      <c r="CB604" s="420">
        <f t="shared" ca="1" si="1322"/>
        <v>185.16</v>
      </c>
      <c r="CC604" s="920">
        <f t="shared" ca="1" si="1322"/>
        <v>185.16</v>
      </c>
      <c r="CD604" s="920">
        <f t="shared" ca="1" si="1322"/>
        <v>185.16</v>
      </c>
      <c r="CE604" s="920">
        <f t="shared" ca="1" si="1322"/>
        <v>185.16</v>
      </c>
      <c r="CF604" s="920">
        <f t="shared" ca="1" si="1322"/>
        <v>185.16</v>
      </c>
      <c r="CG604" s="215"/>
    </row>
    <row r="605" spans="1:85" s="428" customFormat="1" x14ac:dyDescent="0.3">
      <c r="A605" s="22" t="str">
        <f>"Market Cap - "&amp;MO.ValuationToggle</f>
        <v>Market Cap - EoP</v>
      </c>
      <c r="B605" s="109"/>
      <c r="C605" s="852">
        <f t="shared" ref="C605:AH605" si="1323">INDEX(MO_VA_StockPrice,0,COLUMN())*INDEX(MO_SCA_ShareCount_EoP_Diluted,0,COLUMN())</f>
        <v>156598.4482359</v>
      </c>
      <c r="D605" s="852">
        <f t="shared" si="1323"/>
        <v>184778.79753959997</v>
      </c>
      <c r="E605" s="852">
        <f t="shared" si="1323"/>
        <v>212317.99991360001</v>
      </c>
      <c r="F605" s="852">
        <f t="shared" si="1323"/>
        <v>208745.56403404998</v>
      </c>
      <c r="G605" s="22">
        <f t="shared" si="1323"/>
        <v>232161.77716549998</v>
      </c>
      <c r="H605" s="22">
        <f t="shared" si="1323"/>
        <v>230457.17665981996</v>
      </c>
      <c r="I605" s="22">
        <f t="shared" si="1323"/>
        <v>237793.68807431997</v>
      </c>
      <c r="J605" s="22">
        <f t="shared" si="1323"/>
        <v>239639.30575763999</v>
      </c>
      <c r="K605" s="852">
        <f t="shared" si="1323"/>
        <v>239639.30575763999</v>
      </c>
      <c r="L605" s="22">
        <f t="shared" si="1323"/>
        <v>227287.98873149999</v>
      </c>
      <c r="M605" s="22">
        <f t="shared" si="1323"/>
        <v>249471.212787</v>
      </c>
      <c r="N605" s="22">
        <f t="shared" si="1323"/>
        <v>229768.46696174997</v>
      </c>
      <c r="O605" s="22">
        <f t="shared" si="1323"/>
        <v>214000.36565287999</v>
      </c>
      <c r="P605" s="852">
        <f t="shared" si="1323"/>
        <v>214000.36565287999</v>
      </c>
      <c r="Q605" s="22">
        <f t="shared" si="1323"/>
        <v>202075.28400590003</v>
      </c>
      <c r="R605" s="22">
        <f t="shared" si="1323"/>
        <v>182829.05405786997</v>
      </c>
      <c r="S605" s="22">
        <f t="shared" si="1323"/>
        <v>143808.46867999999</v>
      </c>
      <c r="T605" s="22">
        <f t="shared" si="1323"/>
        <v>169980.9111</v>
      </c>
      <c r="U605" s="852">
        <f t="shared" si="1323"/>
        <v>169980.9111</v>
      </c>
      <c r="V605" s="22">
        <f t="shared" si="1323"/>
        <v>179896.61636175</v>
      </c>
      <c r="W605" s="22">
        <f t="shared" si="1323"/>
        <v>195515.14265215999</v>
      </c>
      <c r="X605" s="22">
        <f t="shared" si="1323"/>
        <v>192156.0091464</v>
      </c>
      <c r="Y605" s="22">
        <f t="shared" si="1323"/>
        <v>224319.3008694</v>
      </c>
      <c r="Z605" s="852">
        <f t="shared" si="1323"/>
        <v>224319.3008694</v>
      </c>
      <c r="AA605" s="22">
        <f t="shared" si="1323"/>
        <v>205922.07593067997</v>
      </c>
      <c r="AB605" s="22">
        <f t="shared" si="1323"/>
        <v>198556.59937868</v>
      </c>
      <c r="AC605" s="22">
        <f t="shared" si="1323"/>
        <v>224730.84403999997</v>
      </c>
      <c r="AD605" s="22">
        <f t="shared" si="1323"/>
        <v>240696.41391314997</v>
      </c>
      <c r="AE605" s="852">
        <f t="shared" si="1323"/>
        <v>240696.41391314997</v>
      </c>
      <c r="AF605" s="22">
        <f t="shared" si="1323"/>
        <v>219890.18706535999</v>
      </c>
      <c r="AG605" s="22">
        <f t="shared" si="1323"/>
        <v>244606.78867299997</v>
      </c>
      <c r="AH605" s="22">
        <f t="shared" si="1323"/>
        <v>235698.53580131996</v>
      </c>
      <c r="AI605" s="22">
        <f t="shared" ref="AI605:BN605" si="1324">INDEX(MO_VA_StockPrice,0,COLUMN())*INDEX(MO_SCA_ShareCount_EoP_Diluted,0,COLUMN())</f>
        <v>208201.18071849999</v>
      </c>
      <c r="AJ605" s="852">
        <f t="shared" si="1324"/>
        <v>208201.18071849999</v>
      </c>
      <c r="AK605" s="22">
        <f t="shared" si="1324"/>
        <v>236194.20096000005</v>
      </c>
      <c r="AL605" s="22">
        <f t="shared" si="1324"/>
        <v>237945.51581123998</v>
      </c>
      <c r="AM605" s="22">
        <f t="shared" si="1324"/>
        <v>225837.31209680001</v>
      </c>
      <c r="AN605" s="22">
        <f t="shared" si="1324"/>
        <v>227174.36875485</v>
      </c>
      <c r="AO605" s="821">
        <f t="shared" si="1324"/>
        <v>227174.36875485</v>
      </c>
      <c r="AP605" s="22">
        <f t="shared" si="1324"/>
        <v>134572.01706750001</v>
      </c>
      <c r="AQ605" s="22">
        <f t="shared" si="1324"/>
        <v>163999.34475143999</v>
      </c>
      <c r="AR605" s="22">
        <f t="shared" si="1324"/>
        <v>134503.29031120002</v>
      </c>
      <c r="AS605" s="22">
        <f t="shared" si="1324"/>
        <v>164564.22250961</v>
      </c>
      <c r="AT605" s="821">
        <f t="shared" si="1324"/>
        <v>164564.22250961</v>
      </c>
      <c r="AU605" s="22">
        <f t="shared" si="1324"/>
        <v>204552.54384147</v>
      </c>
      <c r="AV605" s="22">
        <f t="shared" si="1324"/>
        <v>201121.53002944001</v>
      </c>
      <c r="AW605" s="22">
        <f t="shared" si="1324"/>
        <v>199506.97238026999</v>
      </c>
      <c r="AX605" s="22">
        <f t="shared" si="1324"/>
        <v>227397.09533351002</v>
      </c>
      <c r="AY605" s="821">
        <f t="shared" si="1324"/>
        <v>227397.09533351002</v>
      </c>
      <c r="AZ605" s="22">
        <f t="shared" si="1324"/>
        <v>326605.80021888</v>
      </c>
      <c r="BA605" s="22">
        <f t="shared" si="1324"/>
        <v>289086.26284171996</v>
      </c>
      <c r="BB605" s="22">
        <f t="shared" si="1324"/>
        <v>281056.84658442001</v>
      </c>
      <c r="BC605" s="22">
        <f t="shared" si="1324"/>
        <v>345400.74561506999</v>
      </c>
      <c r="BD605" s="821">
        <f t="shared" si="1324"/>
        <v>345400.74561506999</v>
      </c>
      <c r="BE605" s="37">
        <f t="shared" si="1324"/>
        <v>309077.74182096001</v>
      </c>
      <c r="BF605" s="37">
        <f t="shared" si="1324"/>
        <v>293041.90318032005</v>
      </c>
      <c r="BG605" s="37">
        <f t="shared" si="1324"/>
        <v>319347.67531230004</v>
      </c>
      <c r="BH605" s="37">
        <f t="shared" si="1324"/>
        <v>279268.50976464001</v>
      </c>
      <c r="BI605" s="821">
        <f t="shared" si="1324"/>
        <v>279268.50976464001</v>
      </c>
      <c r="BJ605" s="37">
        <f>INDEX(MO_VA_StockPrice,0,COLUMN())*INDEX(MO_SCA_ShareCount_EoP_Diluted,0,COLUMN())</f>
        <v>292410.21472542005</v>
      </c>
      <c r="BK605" s="37">
        <f>INDEX(MO_VA_StockPrice,0,COLUMN())*INDEX(MO_SCA_ShareCount_EoP_Diluted,0,COLUMN())</f>
        <v>287266.28619545995</v>
      </c>
      <c r="BL605" s="37">
        <f>INDEX(MO_VA_StockPrice,0,COLUMN())*INDEX(MO_SCA_ShareCount_EoP_Diluted,0,COLUMN())</f>
        <v>262432.72693425004</v>
      </c>
      <c r="BM605" s="37">
        <f>INDEX(MO_VA_StockPrice,0,COLUMN())*INDEX(MO_SCA_ShareCount_EoP_Diluted,0,COLUMN())</f>
        <v>254102.08796117999</v>
      </c>
      <c r="BN605" s="821">
        <f t="shared" si="1324"/>
        <v>254102.08796117999</v>
      </c>
      <c r="BO605" s="37">
        <f t="shared" ref="BO605:BX605" si="1325">INDEX(MO_VA_StockPrice,0,COLUMN())*INDEX(MO_SCA_ShareCount_EoP_Diluted,0,COLUMN())</f>
        <v>291190.13485144998</v>
      </c>
      <c r="BP605" s="37">
        <f t="shared" si="1325"/>
        <v>249217.31343503998</v>
      </c>
      <c r="BQ605" s="37">
        <f t="shared" si="1325"/>
        <v>315421.06059169996</v>
      </c>
      <c r="BR605" s="37">
        <f t="shared" si="1325"/>
        <v>304765.01770182</v>
      </c>
      <c r="BS605" s="821">
        <f t="shared" si="1325"/>
        <v>304765.01770182</v>
      </c>
      <c r="BT605" s="480">
        <f>INDEX(MO_VA_StockPrice,0,COLUMN())*INDEX(MO_SCA_ShareCount_EoP_Diluted,0,COLUMN())</f>
        <v>420861.98344972002</v>
      </c>
      <c r="BU605" s="37">
        <f ca="1">INDEX(MO_VA_StockPrice,0,COLUMN())*INDEX(MO_SCA_ShareCount_EoP_Diluted,0,COLUMN())</f>
        <v>367389.49798078026</v>
      </c>
      <c r="BV605" s="37">
        <f ca="1">INDEX(MO_VA_StockPrice,0,COLUMN())*INDEX(MO_SCA_ShareCount_EoP_Diluted,0,COLUMN())</f>
        <v>367389.49798078026</v>
      </c>
      <c r="BW605" s="37">
        <f ca="1">INDEX(MO_VA_StockPrice,0,COLUMN())*INDEX(MO_SCA_ShareCount_EoP_Diluted,0,COLUMN())</f>
        <v>367389.49798078026</v>
      </c>
      <c r="BX605" s="821">
        <f t="shared" ca="1" si="1325"/>
        <v>367389.49798078026</v>
      </c>
      <c r="BY605" s="37">
        <f t="shared" ref="BY605:CF605" ca="1" si="1326">INDEX(MO_VA_StockPrice,0,COLUMN())*INDEX(MO_SCA_ShareCount_EoP_Diluted,0,COLUMN())</f>
        <v>367389.49798078026</v>
      </c>
      <c r="BZ605" s="37">
        <f t="shared" ca="1" si="1326"/>
        <v>367389.49798078026</v>
      </c>
      <c r="CA605" s="37">
        <f t="shared" ca="1" si="1326"/>
        <v>367389.49798078026</v>
      </c>
      <c r="CB605" s="37">
        <f t="shared" ca="1" si="1326"/>
        <v>367389.49798078026</v>
      </c>
      <c r="CC605" s="821">
        <f t="shared" ca="1" si="1326"/>
        <v>367389.49798078026</v>
      </c>
      <c r="CD605" s="821">
        <f t="shared" ca="1" si="1326"/>
        <v>367389.49798078026</v>
      </c>
      <c r="CE605" s="821">
        <f t="shared" ca="1" si="1326"/>
        <v>367389.49798078026</v>
      </c>
      <c r="CF605" s="821">
        <f t="shared" ca="1" si="1326"/>
        <v>367389.49798078026</v>
      </c>
      <c r="CG605" s="22"/>
    </row>
    <row r="606" spans="1:85" s="428" customFormat="1" x14ac:dyDescent="0.3">
      <c r="A606" s="22" t="str">
        <f>"Enterprise Value - "&amp;MO.ValuationToggle</f>
        <v>Enterprise Value - EoP</v>
      </c>
      <c r="B606" s="109"/>
      <c r="C606" s="852">
        <f t="shared" ref="C606:AH606" si="1327">C591+C605+C623+C624+C625</f>
        <v>162829.4482359</v>
      </c>
      <c r="D606" s="852">
        <f t="shared" si="1327"/>
        <v>183353.79753959997</v>
      </c>
      <c r="E606" s="852">
        <f t="shared" si="1327"/>
        <v>212152.99991360001</v>
      </c>
      <c r="F606" s="852">
        <f t="shared" si="1327"/>
        <v>210027.56403404998</v>
      </c>
      <c r="G606" s="22">
        <f t="shared" si="1327"/>
        <v>234810.77716549998</v>
      </c>
      <c r="H606" s="22">
        <f t="shared" si="1327"/>
        <v>236160.17665981996</v>
      </c>
      <c r="I606" s="22">
        <f t="shared" si="1327"/>
        <v>245939.68807431997</v>
      </c>
      <c r="J606" s="22">
        <f t="shared" si="1327"/>
        <v>249506.30575763999</v>
      </c>
      <c r="K606" s="852">
        <f t="shared" si="1327"/>
        <v>249506.30575763999</v>
      </c>
      <c r="L606" s="22">
        <f t="shared" si="1327"/>
        <v>240135.98873149999</v>
      </c>
      <c r="M606" s="22">
        <f t="shared" si="1327"/>
        <v>263870.212787</v>
      </c>
      <c r="N606" s="22">
        <f t="shared" si="1327"/>
        <v>246762.46696174997</v>
      </c>
      <c r="O606" s="22">
        <f t="shared" si="1327"/>
        <v>237057.36565287999</v>
      </c>
      <c r="P606" s="852">
        <f t="shared" si="1327"/>
        <v>237057.36565287999</v>
      </c>
      <c r="Q606" s="22">
        <f t="shared" si="1327"/>
        <v>229683.28400590003</v>
      </c>
      <c r="R606" s="22">
        <f t="shared" si="1327"/>
        <v>208930.05405786997</v>
      </c>
      <c r="S606" s="22">
        <f t="shared" si="1327"/>
        <v>172288.46867999999</v>
      </c>
      <c r="T606" s="22">
        <f t="shared" si="1327"/>
        <v>203504.9111</v>
      </c>
      <c r="U606" s="852">
        <f t="shared" si="1327"/>
        <v>203504.9111</v>
      </c>
      <c r="V606" s="22">
        <f t="shared" si="1327"/>
        <v>218556.61636175</v>
      </c>
      <c r="W606" s="22">
        <f t="shared" si="1327"/>
        <v>236065.14265215999</v>
      </c>
      <c r="X606" s="22">
        <f t="shared" si="1327"/>
        <v>236001.0091464</v>
      </c>
      <c r="Y606" s="22">
        <f t="shared" si="1327"/>
        <v>269913.30086940003</v>
      </c>
      <c r="Z606" s="852">
        <f t="shared" si="1327"/>
        <v>269913.30086940003</v>
      </c>
      <c r="AA606" s="22">
        <f t="shared" si="1327"/>
        <v>249842.07593067997</v>
      </c>
      <c r="AB606" s="22">
        <f t="shared" si="1327"/>
        <v>242121.59937868</v>
      </c>
      <c r="AC606" s="22">
        <f t="shared" si="1327"/>
        <v>265271.84404</v>
      </c>
      <c r="AD606" s="22">
        <f t="shared" si="1327"/>
        <v>281820.41391314997</v>
      </c>
      <c r="AE606" s="852">
        <f t="shared" si="1327"/>
        <v>281820.41391314997</v>
      </c>
      <c r="AF606" s="22">
        <f t="shared" si="1327"/>
        <v>258254.18706535999</v>
      </c>
      <c r="AG606" s="22">
        <f t="shared" si="1327"/>
        <v>280124.78867299994</v>
      </c>
      <c r="AH606" s="22">
        <f t="shared" si="1327"/>
        <v>266868.53580131999</v>
      </c>
      <c r="AI606" s="22">
        <f t="shared" ref="AI606:BI606" si="1328">AI591+AI605+AI623+AI624+AI625</f>
        <v>237586.18071849999</v>
      </c>
      <c r="AJ606" s="852">
        <f t="shared" si="1328"/>
        <v>237586.18071849999</v>
      </c>
      <c r="AK606" s="22">
        <f t="shared" si="1328"/>
        <v>265751.20096000005</v>
      </c>
      <c r="AL606" s="22">
        <f t="shared" si="1328"/>
        <v>265659.51581123995</v>
      </c>
      <c r="AM606" s="22">
        <f t="shared" si="1328"/>
        <v>253650.31209680001</v>
      </c>
      <c r="AN606" s="22">
        <f t="shared" si="1328"/>
        <v>257687.36875485</v>
      </c>
      <c r="AO606" s="821">
        <f t="shared" si="1328"/>
        <v>257687.36875485</v>
      </c>
      <c r="AP606" s="22">
        <f t="shared" si="1328"/>
        <v>166383.01706750001</v>
      </c>
      <c r="AQ606" s="22">
        <f t="shared" si="1328"/>
        <v>198911.34475143999</v>
      </c>
      <c r="AR606" s="22">
        <f t="shared" si="1328"/>
        <v>170857.29031120002</v>
      </c>
      <c r="AS606" s="22">
        <f t="shared" si="1328"/>
        <v>213451.22250961</v>
      </c>
      <c r="AT606" s="821">
        <f t="shared" si="1328"/>
        <v>213451.22250961</v>
      </c>
      <c r="AU606" s="22">
        <f t="shared" si="1328"/>
        <v>251023.54384147</v>
      </c>
      <c r="AV606" s="22">
        <f t="shared" si="1328"/>
        <v>243955.53002944001</v>
      </c>
      <c r="AW606" s="22">
        <f t="shared" si="1328"/>
        <v>237371.97238026999</v>
      </c>
      <c r="AX606" s="22">
        <f t="shared" si="1328"/>
        <v>258444.09533351002</v>
      </c>
      <c r="AY606" s="821">
        <f t="shared" si="1328"/>
        <v>258444.09533351002</v>
      </c>
      <c r="AZ606" s="22">
        <f t="shared" si="1328"/>
        <v>348686.80021888</v>
      </c>
      <c r="BA606" s="22">
        <f t="shared" si="1328"/>
        <v>306376.26284171996</v>
      </c>
      <c r="BB606" s="22">
        <f t="shared" si="1328"/>
        <v>293747.84658442001</v>
      </c>
      <c r="BC606" s="22">
        <f t="shared" si="1328"/>
        <v>355717.74561506999</v>
      </c>
      <c r="BD606" s="821">
        <f t="shared" si="1328"/>
        <v>355717.74561506999</v>
      </c>
      <c r="BE606" s="37">
        <f>BE591+BE605+BE623+BE624+BE625</f>
        <v>319581.74182096001</v>
      </c>
      <c r="BF606" s="37">
        <f>BF591+BF605+BF623+BF624+BF625</f>
        <v>305034.90318032005</v>
      </c>
      <c r="BG606" s="37">
        <f>BG591+BG605+BG623+BG624+BG625</f>
        <v>335516.67531230004</v>
      </c>
      <c r="BH606" s="37">
        <f>BH591+BH605+BH623+BH624+BH625</f>
        <v>295519.50976464001</v>
      </c>
      <c r="BI606" s="821">
        <f t="shared" si="1328"/>
        <v>295519.50976464001</v>
      </c>
      <c r="BJ606" s="37">
        <f t="shared" ref="BJ606:BS606" si="1329">BJ591+BJ605+BJ623+BJ624+BJ625</f>
        <v>311134.21472542005</v>
      </c>
      <c r="BK606" s="37">
        <f t="shared" si="1329"/>
        <v>308105.28619545995</v>
      </c>
      <c r="BL606" s="37">
        <f t="shared" si="1329"/>
        <v>285181.72693425004</v>
      </c>
      <c r="BM606" s="37">
        <f t="shared" si="1329"/>
        <v>276340.08796118002</v>
      </c>
      <c r="BN606" s="821">
        <f t="shared" si="1329"/>
        <v>276340.08796118002</v>
      </c>
      <c r="BO606" s="37">
        <f>BO591+BO605+BO623+BO624+BO625</f>
        <v>318325.13485144998</v>
      </c>
      <c r="BP606" s="37">
        <f>BP591+BP605+BP623+BP624+BP625</f>
        <v>277088.31343503995</v>
      </c>
      <c r="BQ606" s="37">
        <f>BQ591+BQ605+BQ623+BQ624+BQ625</f>
        <v>357585.06059169996</v>
      </c>
      <c r="BR606" s="37">
        <f>BR591+BR605+BR623+BR624+BR625</f>
        <v>348978.01770182</v>
      </c>
      <c r="BS606" s="821">
        <f t="shared" si="1329"/>
        <v>348978.01770182</v>
      </c>
      <c r="BT606" s="480">
        <f t="shared" ref="BT606:CF606" si="1330">BT591+BT605+BT623+BT624+BT625</f>
        <v>465816.98344972002</v>
      </c>
      <c r="BU606" s="37">
        <f t="shared" ca="1" si="1330"/>
        <v>407499.21690577135</v>
      </c>
      <c r="BV606" s="37">
        <f t="shared" ca="1" si="1330"/>
        <v>403888.69490728673</v>
      </c>
      <c r="BW606" s="37">
        <f t="shared" ca="1" si="1330"/>
        <v>400584.43137880205</v>
      </c>
      <c r="BX606" s="821">
        <f t="shared" ca="1" si="1330"/>
        <v>400584.43137880205</v>
      </c>
      <c r="BY606" s="37">
        <f t="shared" ca="1" si="1330"/>
        <v>396415.67453190644</v>
      </c>
      <c r="BZ606" s="37">
        <f t="shared" ca="1" si="1330"/>
        <v>391729.66912241292</v>
      </c>
      <c r="CA606" s="37">
        <f t="shared" ca="1" si="1330"/>
        <v>386873.83368622139</v>
      </c>
      <c r="CB606" s="37">
        <f t="shared" ca="1" si="1330"/>
        <v>382111.05315482989</v>
      </c>
      <c r="CC606" s="821">
        <f t="shared" ca="1" si="1330"/>
        <v>382111.05315482989</v>
      </c>
      <c r="CD606" s="821">
        <f t="shared" ca="1" si="1330"/>
        <v>366295.64568700775</v>
      </c>
      <c r="CE606" s="821">
        <f t="shared" ca="1" si="1330"/>
        <v>351765.10834893561</v>
      </c>
      <c r="CF606" s="821">
        <f t="shared" ca="1" si="1330"/>
        <v>343101.51922361343</v>
      </c>
      <c r="CG606" s="22"/>
    </row>
    <row r="607" spans="1:85" s="443" customFormat="1" x14ac:dyDescent="0.3">
      <c r="A607" s="353"/>
      <c r="B607" s="354"/>
      <c r="C607" s="929"/>
      <c r="D607" s="929"/>
      <c r="E607" s="929"/>
      <c r="F607" s="929"/>
      <c r="G607" s="325"/>
      <c r="H607" s="325"/>
      <c r="I607" s="325"/>
      <c r="J607" s="325"/>
      <c r="K607" s="929"/>
      <c r="L607" s="325"/>
      <c r="M607" s="325"/>
      <c r="N607" s="325"/>
      <c r="O607" s="325"/>
      <c r="P607" s="929"/>
      <c r="Q607" s="325"/>
      <c r="R607" s="325"/>
      <c r="S607" s="325"/>
      <c r="T607" s="325"/>
      <c r="U607" s="929"/>
      <c r="V607" s="325"/>
      <c r="W607" s="355"/>
      <c r="X607" s="325"/>
      <c r="Y607" s="355"/>
      <c r="Z607" s="929"/>
      <c r="AA607" s="355"/>
      <c r="AB607" s="355"/>
      <c r="AC607" s="325"/>
      <c r="AD607" s="355"/>
      <c r="AE607" s="929"/>
      <c r="AF607" s="355"/>
      <c r="AG607" s="355"/>
      <c r="AH607" s="325"/>
      <c r="AI607" s="355"/>
      <c r="AJ607" s="929"/>
      <c r="AK607" s="355"/>
      <c r="AL607" s="355"/>
      <c r="AM607" s="355"/>
      <c r="AN607" s="355"/>
      <c r="AO607" s="929"/>
      <c r="AP607" s="355"/>
      <c r="AQ607" s="355"/>
      <c r="AR607" s="355"/>
      <c r="AS607" s="355"/>
      <c r="AT607" s="929"/>
      <c r="AU607" s="355"/>
      <c r="AV607" s="355"/>
      <c r="AW607" s="355"/>
      <c r="AX607" s="355"/>
      <c r="AY607" s="929"/>
      <c r="AZ607" s="355"/>
      <c r="BA607" s="355"/>
      <c r="BB607" s="355"/>
      <c r="BC607" s="355"/>
      <c r="BD607" s="929"/>
      <c r="BE607" s="355"/>
      <c r="BF607" s="355"/>
      <c r="BG607" s="355"/>
      <c r="BH607" s="355"/>
      <c r="BI607" s="929"/>
      <c r="BJ607" s="355"/>
      <c r="BK607" s="355"/>
      <c r="BL607" s="355"/>
      <c r="BM607" s="355"/>
      <c r="BN607" s="929"/>
      <c r="BO607" s="355"/>
      <c r="BP607" s="355"/>
      <c r="BQ607" s="355"/>
      <c r="BR607" s="355"/>
      <c r="BS607" s="929"/>
      <c r="BT607" s="681"/>
      <c r="BU607" s="355"/>
      <c r="BV607" s="355"/>
      <c r="BW607" s="355"/>
      <c r="BX607" s="929"/>
      <c r="BY607" s="355"/>
      <c r="BZ607" s="355"/>
      <c r="CA607" s="355"/>
      <c r="CB607" s="355"/>
      <c r="CC607" s="929"/>
      <c r="CD607" s="929"/>
      <c r="CE607" s="929"/>
      <c r="CF607" s="929"/>
      <c r="CG607" s="34"/>
    </row>
    <row r="608" spans="1:85" s="443" customFormat="1" x14ac:dyDescent="0.3">
      <c r="A608" s="129" t="str">
        <f>"P/CF - "&amp;MO.ValuationToggle</f>
        <v>P/CF - EoP</v>
      </c>
      <c r="B608" s="354"/>
      <c r="C608" s="930">
        <f>C604/C563</f>
        <v>8.0203195168533519</v>
      </c>
      <c r="D608" s="930">
        <f>D604/D563</f>
        <v>5.8620640301078009</v>
      </c>
      <c r="E608" s="930">
        <f>E604/E563</f>
        <v>5.180277990023118</v>
      </c>
      <c r="F608" s="930">
        <f>F604/F563</f>
        <v>5.3887501223848302</v>
      </c>
      <c r="G608" s="325"/>
      <c r="H608" s="325"/>
      <c r="I608" s="325"/>
      <c r="J608" s="325"/>
      <c r="K608" s="930">
        <f>K604/K563</f>
        <v>6.8584990111993598</v>
      </c>
      <c r="L608" s="325"/>
      <c r="M608" s="325"/>
      <c r="N608" s="325"/>
      <c r="O608" s="325"/>
      <c r="P608" s="930">
        <f>P604/P563</f>
        <v>6.8203694891183471</v>
      </c>
      <c r="Q608" s="325"/>
      <c r="R608" s="325"/>
      <c r="S608" s="325"/>
      <c r="T608" s="325"/>
      <c r="U608" s="930">
        <f>U604/U563</f>
        <v>8.6819560747327298</v>
      </c>
      <c r="V608" s="325"/>
      <c r="W608" s="355"/>
      <c r="X608" s="325"/>
      <c r="Y608" s="355"/>
      <c r="Z608" s="930">
        <f>Z604/Z563</f>
        <v>17.159214175618871</v>
      </c>
      <c r="AA608" s="355"/>
      <c r="AB608" s="355"/>
      <c r="AC608" s="325"/>
      <c r="AD608" s="355"/>
      <c r="AE608" s="930">
        <f>AE604/AE563</f>
        <v>11.580047539361443</v>
      </c>
      <c r="AF608" s="355"/>
      <c r="AG608" s="355"/>
      <c r="AH608" s="325"/>
      <c r="AI608" s="355"/>
      <c r="AJ608" s="930">
        <f>AJ604/AJ563</f>
        <v>6.7923354089097918</v>
      </c>
      <c r="AK608" s="355"/>
      <c r="AL608" s="355"/>
      <c r="AM608" s="355"/>
      <c r="AN608" s="355"/>
      <c r="AO608" s="929">
        <f>AO604/AO563</f>
        <v>8.3155470125210513</v>
      </c>
      <c r="AP608" s="355"/>
      <c r="AQ608" s="355"/>
      <c r="AR608" s="355"/>
      <c r="AS608" s="355"/>
      <c r="AT608" s="929">
        <f>AT604/AT563</f>
        <v>15.086452104566513</v>
      </c>
      <c r="AU608" s="355"/>
      <c r="AV608" s="355"/>
      <c r="AW608" s="355"/>
      <c r="AX608" s="355"/>
      <c r="AY608" s="929">
        <f>AY604/AY563</f>
        <v>7.7259702350361472</v>
      </c>
      <c r="AZ608" s="355"/>
      <c r="BA608" s="355"/>
      <c r="BB608" s="355"/>
      <c r="BC608" s="355"/>
      <c r="BD608" s="929">
        <f>BD604/BD563</f>
        <v>7.0210942851094718</v>
      </c>
      <c r="BE608" s="355"/>
      <c r="BF608" s="355"/>
      <c r="BG608" s="355"/>
      <c r="BH608" s="355"/>
      <c r="BI608" s="929">
        <f>BI604/BI563</f>
        <v>7.8762838641916373</v>
      </c>
      <c r="BJ608" s="355"/>
      <c r="BK608" s="355"/>
      <c r="BL608" s="355"/>
      <c r="BM608" s="355"/>
      <c r="BN608" s="929">
        <f>BN604/BN563</f>
        <v>8.2529292563190637</v>
      </c>
      <c r="BO608" s="355"/>
      <c r="BP608" s="355"/>
      <c r="BQ608" s="355"/>
      <c r="BR608" s="355"/>
      <c r="BS608" s="929">
        <f>BS604/BS563</f>
        <v>8.327648766021392</v>
      </c>
      <c r="BT608" s="681"/>
      <c r="BU608" s="355"/>
      <c r="BV608" s="355"/>
      <c r="BW608" s="355"/>
      <c r="BX608" s="929">
        <f ca="1">BX604/BX563</f>
        <v>9.0573105679325199</v>
      </c>
      <c r="BY608" s="355"/>
      <c r="BZ608" s="355"/>
      <c r="CA608" s="355"/>
      <c r="CB608" s="355"/>
      <c r="CC608" s="929">
        <f ca="1">CC604/CC563</f>
        <v>7.2627013254613999</v>
      </c>
      <c r="CD608" s="929">
        <f ca="1">CD604/CD563</f>
        <v>7.3584123933994698</v>
      </c>
      <c r="CE608" s="929">
        <f ca="1">CE604/CE563</f>
        <v>7.5527798009456824</v>
      </c>
      <c r="CF608" s="929">
        <f ca="1">CF604/CF563</f>
        <v>8.5886822938946992</v>
      </c>
      <c r="CG608" s="34"/>
    </row>
    <row r="609" spans="1:85" s="443" customFormat="1" x14ac:dyDescent="0.3">
      <c r="A609" s="129" t="str">
        <f>"EV/EBITDAX - "&amp;MO.ValuationToggle</f>
        <v>EV/EBITDAX - EoP</v>
      </c>
      <c r="B609" s="354"/>
      <c r="C609" s="930">
        <f>C606/C504</f>
        <v>5.0871484702543111</v>
      </c>
      <c r="D609" s="930">
        <f>D606/D504</f>
        <v>3.9588426544229725</v>
      </c>
      <c r="E609" s="930">
        <f>E606/E504</f>
        <v>3.4350641976910996</v>
      </c>
      <c r="F609" s="930">
        <f>F606/F504</f>
        <v>3.4165823049802349</v>
      </c>
      <c r="G609" s="325"/>
      <c r="H609" s="325"/>
      <c r="I609" s="325"/>
      <c r="J609" s="325"/>
      <c r="K609" s="930">
        <f>K606/K504</f>
        <v>4.8026313858492449</v>
      </c>
      <c r="L609" s="325"/>
      <c r="M609" s="325"/>
      <c r="N609" s="325"/>
      <c r="O609" s="325"/>
      <c r="P609" s="930">
        <f>P606/P504</f>
        <v>4.7430445308699474</v>
      </c>
      <c r="Q609" s="325"/>
      <c r="R609" s="325"/>
      <c r="S609" s="325"/>
      <c r="T609" s="325"/>
      <c r="U609" s="930">
        <f>U606/U504</f>
        <v>6.9648143707861321</v>
      </c>
      <c r="V609" s="325"/>
      <c r="W609" s="355"/>
      <c r="X609" s="325"/>
      <c r="Y609" s="355"/>
      <c r="Z609" s="930">
        <f>Z606/Z504</f>
        <v>14.565501099206736</v>
      </c>
      <c r="AA609" s="355"/>
      <c r="AB609" s="355"/>
      <c r="AC609" s="325"/>
      <c r="AD609" s="355"/>
      <c r="AE609" s="930">
        <f>AE606/AE504</f>
        <v>9.4758217246612411</v>
      </c>
      <c r="AF609" s="355"/>
      <c r="AG609" s="355"/>
      <c r="AH609" s="325"/>
      <c r="AI609" s="355"/>
      <c r="AJ609" s="930">
        <f>AJ606/AJ504</f>
        <v>5.6632861536637105</v>
      </c>
      <c r="AK609" s="355"/>
      <c r="AL609" s="355"/>
      <c r="AM609" s="355"/>
      <c r="AN609" s="355"/>
      <c r="AO609" s="929">
        <f>AO606/AO504</f>
        <v>7.0945258728828255</v>
      </c>
      <c r="AP609" s="355"/>
      <c r="AQ609" s="355"/>
      <c r="AR609" s="355"/>
      <c r="AS609" s="355"/>
      <c r="AT609" s="929">
        <f>AT606/AT504</f>
        <v>14.938149801218421</v>
      </c>
      <c r="AU609" s="355"/>
      <c r="AV609" s="355"/>
      <c r="AW609" s="355"/>
      <c r="AX609" s="355"/>
      <c r="AY609" s="929">
        <f>AY606/AY504</f>
        <v>6.3305350969628913</v>
      </c>
      <c r="AZ609" s="355"/>
      <c r="BA609" s="355"/>
      <c r="BB609" s="355"/>
      <c r="BC609" s="355"/>
      <c r="BD609" s="929">
        <f>BD606/BD504</f>
        <v>5.2712200941729028</v>
      </c>
      <c r="BE609" s="355"/>
      <c r="BF609" s="355"/>
      <c r="BG609" s="355"/>
      <c r="BH609" s="355"/>
      <c r="BI609" s="929">
        <f>BI606/BI504</f>
        <v>6.1193032067719964</v>
      </c>
      <c r="BJ609" s="355"/>
      <c r="BK609" s="355"/>
      <c r="BL609" s="355"/>
      <c r="BM609" s="355"/>
      <c r="BN609" s="929">
        <f>BN606/BN504</f>
        <v>5.9585589400172507</v>
      </c>
      <c r="BO609" s="355"/>
      <c r="BP609" s="355"/>
      <c r="BQ609" s="355"/>
      <c r="BR609" s="355"/>
      <c r="BS609" s="929">
        <f>BS606/BS504</f>
        <v>8.2808062478186173</v>
      </c>
      <c r="BT609" s="681"/>
      <c r="BU609" s="355"/>
      <c r="BV609" s="355"/>
      <c r="BW609" s="355"/>
      <c r="BX609" s="929">
        <f ca="1">BX606/BX504</f>
        <v>6.5212007170844153</v>
      </c>
      <c r="BY609" s="355"/>
      <c r="BZ609" s="355"/>
      <c r="CA609" s="355"/>
      <c r="CB609" s="355"/>
      <c r="CC609" s="929">
        <f ca="1">CC606/CC504</f>
        <v>5.6500876268520086</v>
      </c>
      <c r="CD609" s="929">
        <f ca="1">CD606/CD504</f>
        <v>5.5208464797341108</v>
      </c>
      <c r="CE609" s="929">
        <f ca="1">CE606/CE504</f>
        <v>5.6887121958328164</v>
      </c>
      <c r="CF609" s="929">
        <f ca="1">CF606/CF504</f>
        <v>6.1993300489679939</v>
      </c>
      <c r="CG609" s="34"/>
    </row>
    <row r="610" spans="1:85" s="444" customFormat="1" x14ac:dyDescent="0.3">
      <c r="A610" s="130" t="str">
        <f>"EV/Flowing - "&amp;MO.ValuationToggle</f>
        <v>EV/Flowing - EoP</v>
      </c>
      <c r="B610" s="356"/>
      <c r="C610" s="931">
        <f>C606/C53</f>
        <v>69.333382259271872</v>
      </c>
      <c r="D610" s="931">
        <f>D606/D53</f>
        <v>76.508991253745037</v>
      </c>
      <c r="E610" s="931">
        <f>E606/E53</f>
        <v>91.761678163321804</v>
      </c>
      <c r="F610" s="931">
        <f>F606/F53</f>
        <v>93.138609327738351</v>
      </c>
      <c r="G610" s="326"/>
      <c r="H610" s="326"/>
      <c r="I610" s="326"/>
      <c r="J610" s="326"/>
      <c r="K610" s="931">
        <f>K606/K53</f>
        <v>96.082995971692299</v>
      </c>
      <c r="L610" s="326"/>
      <c r="M610" s="326"/>
      <c r="N610" s="326"/>
      <c r="O610" s="326"/>
      <c r="P610" s="931">
        <f>P606/P53</f>
        <v>92.212744524499342</v>
      </c>
      <c r="Q610" s="326"/>
      <c r="R610" s="326"/>
      <c r="S610" s="326"/>
      <c r="T610" s="326"/>
      <c r="U610" s="931">
        <f>U606/U53</f>
        <v>77.616937279943485</v>
      </c>
      <c r="V610" s="326"/>
      <c r="W610" s="357"/>
      <c r="X610" s="326"/>
      <c r="Y610" s="357"/>
      <c r="Z610" s="931">
        <f>Z606/Z53</f>
        <v>104.03956091586792</v>
      </c>
      <c r="AA610" s="357"/>
      <c r="AB610" s="357"/>
      <c r="AC610" s="326"/>
      <c r="AD610" s="357"/>
      <c r="AE610" s="931">
        <f>AE606/AE53</f>
        <v>103.29398188631031</v>
      </c>
      <c r="AF610" s="357"/>
      <c r="AG610" s="357"/>
      <c r="AH610" s="326"/>
      <c r="AI610" s="357"/>
      <c r="AJ610" s="931">
        <f>AJ606/AJ53</f>
        <v>81.082821472669352</v>
      </c>
      <c r="AK610" s="357"/>
      <c r="AL610" s="357"/>
      <c r="AM610" s="357"/>
      <c r="AN610" s="357"/>
      <c r="AO610" s="932">
        <f>AO606/AO53</f>
        <v>84.271227586477366</v>
      </c>
      <c r="AP610" s="357"/>
      <c r="AQ610" s="357"/>
      <c r="AR610" s="357"/>
      <c r="AS610" s="357"/>
      <c r="AT610" s="932">
        <f>AT606/AT53</f>
        <v>69.234908371589356</v>
      </c>
      <c r="AU610" s="357"/>
      <c r="AV610" s="357"/>
      <c r="AW610" s="357"/>
      <c r="AX610" s="357"/>
      <c r="AY610" s="932">
        <f>AY606/AY53</f>
        <v>83.400450277042992</v>
      </c>
      <c r="AZ610" s="357"/>
      <c r="BA610" s="357"/>
      <c r="BB610" s="357"/>
      <c r="BC610" s="357"/>
      <c r="BD610" s="932">
        <f>BD606/BD53</f>
        <v>118.58575806703077</v>
      </c>
      <c r="BE610" s="357"/>
      <c r="BF610" s="357"/>
      <c r="BG610" s="357"/>
      <c r="BH610" s="357"/>
      <c r="BI610" s="932">
        <f>BI606/BI53</f>
        <v>94.697557070489211</v>
      </c>
      <c r="BJ610" s="357"/>
      <c r="BK610" s="357"/>
      <c r="BL610" s="357"/>
      <c r="BM610" s="357"/>
      <c r="BN610" s="932">
        <f>BN606/BN53</f>
        <v>82.786125812216909</v>
      </c>
      <c r="BO610" s="357"/>
      <c r="BP610" s="357"/>
      <c r="BQ610" s="357"/>
      <c r="BR610" s="357"/>
      <c r="BS610" s="932">
        <f>BS606/BS53</f>
        <v>93.75668769135001</v>
      </c>
      <c r="BT610" s="682"/>
      <c r="BU610" s="357"/>
      <c r="BV610" s="357"/>
      <c r="BW610" s="357"/>
      <c r="BX610" s="932">
        <f ca="1">BX606/BX53</f>
        <v>99.137866686809204</v>
      </c>
      <c r="BY610" s="357"/>
      <c r="BZ610" s="357"/>
      <c r="CA610" s="357"/>
      <c r="CB610" s="357"/>
      <c r="CC610" s="932">
        <f ca="1">CC606/CC53</f>
        <v>97.361629599659963</v>
      </c>
      <c r="CD610" s="932">
        <f ca="1">CD606/CD53</f>
        <v>99.898812460093012</v>
      </c>
      <c r="CE610" s="932">
        <f ca="1">CE606/CE53</f>
        <v>95.935938640618801</v>
      </c>
      <c r="CF610" s="932">
        <f ca="1">CF606/CF53</f>
        <v>94.000416225647513</v>
      </c>
      <c r="CG610" s="35"/>
    </row>
    <row r="611" spans="1:85" s="433" customFormat="1" x14ac:dyDescent="0.3">
      <c r="A611" s="19" t="str">
        <f>"FCF Yield % to "&amp;MO.ValuationToggle&amp;" Market Cap"</f>
        <v>FCF Yield % to EoP Market Cap</v>
      </c>
      <c r="B611" s="358"/>
      <c r="C611" s="933">
        <f>C580/C605</f>
        <v>-3.0013068794397741E-3</v>
      </c>
      <c r="D611" s="933">
        <f>D580/D605</f>
        <v>6.3546251822986191E-2</v>
      </c>
      <c r="E611" s="933">
        <f>E580/E605</f>
        <v>6.8741227808943386E-2</v>
      </c>
      <c r="F611" s="933">
        <f>F580/F605</f>
        <v>3.7720562046126241E-2</v>
      </c>
      <c r="G611" s="327"/>
      <c r="H611" s="327"/>
      <c r="I611" s="327"/>
      <c r="J611" s="327"/>
      <c r="K611" s="933">
        <f>K580/K605</f>
        <v>-1.2447874486069772E-2</v>
      </c>
      <c r="L611" s="327"/>
      <c r="M611" s="327"/>
      <c r="N611" s="327"/>
      <c r="O611" s="327"/>
      <c r="P611" s="933">
        <f>P580/P605</f>
        <v>-1.8373800381154087E-2</v>
      </c>
      <c r="Q611" s="327"/>
      <c r="R611" s="327"/>
      <c r="S611" s="327"/>
      <c r="T611" s="327"/>
      <c r="U611" s="933">
        <f>U580/U605</f>
        <v>-5.9112519958719058E-2</v>
      </c>
      <c r="V611" s="327"/>
      <c r="W611" s="327"/>
      <c r="X611" s="327"/>
      <c r="Y611" s="327"/>
      <c r="Z611" s="933">
        <f>Z580/Z605</f>
        <v>-2.3462091668447867E-2</v>
      </c>
      <c r="AA611" s="327"/>
      <c r="AB611" s="327"/>
      <c r="AC611" s="327"/>
      <c r="AD611" s="327"/>
      <c r="AE611" s="933">
        <f>AE580/AE605</f>
        <v>2.9543439739679083E-2</v>
      </c>
      <c r="AF611" s="327"/>
      <c r="AG611" s="327"/>
      <c r="AH611" s="327"/>
      <c r="AI611" s="327"/>
      <c r="AJ611" s="933">
        <f>AJ580/AJ605</f>
        <v>8.081606426022013E-2</v>
      </c>
      <c r="AK611" s="327"/>
      <c r="AL611" s="327"/>
      <c r="AM611" s="327"/>
      <c r="AN611" s="327"/>
      <c r="AO611" s="934">
        <f>AO580/AO605</f>
        <v>5.8096342788751483E-2</v>
      </c>
      <c r="AP611" s="327"/>
      <c r="AQ611" s="327"/>
      <c r="AR611" s="327"/>
      <c r="AS611" s="327"/>
      <c r="AT611" s="934">
        <f>AT580/AT605</f>
        <v>1.0056863969343965E-2</v>
      </c>
      <c r="AU611" s="327"/>
      <c r="AV611" s="327"/>
      <c r="AW611" s="327"/>
      <c r="AX611" s="327"/>
      <c r="AY611" s="934">
        <f>AY580/AY605</f>
        <v>9.2925549330383481E-2</v>
      </c>
      <c r="AZ611" s="327"/>
      <c r="BA611" s="327"/>
      <c r="BB611" s="327"/>
      <c r="BC611" s="327"/>
      <c r="BD611" s="934">
        <f>BD580/BD605</f>
        <v>0.10894012383497957</v>
      </c>
      <c r="BE611" s="327"/>
      <c r="BF611" s="327"/>
      <c r="BG611" s="327"/>
      <c r="BH611" s="327"/>
      <c r="BI611" s="934">
        <f>BI580/BI605</f>
        <v>7.0827892542091667E-2</v>
      </c>
      <c r="BJ611" s="327"/>
      <c r="BK611" s="327"/>
      <c r="BL611" s="327"/>
      <c r="BM611" s="327"/>
      <c r="BN611" s="934">
        <f>BN580/BN605</f>
        <v>5.9204550898056062E-2</v>
      </c>
      <c r="BO611" s="327"/>
      <c r="BP611" s="327"/>
      <c r="BQ611" s="327"/>
      <c r="BR611" s="327"/>
      <c r="BS611" s="934">
        <f>BS580/BS605</f>
        <v>5.4441943911795999E-2</v>
      </c>
      <c r="BT611" s="683"/>
      <c r="BU611" s="327"/>
      <c r="BV611" s="327"/>
      <c r="BW611" s="327"/>
      <c r="BX611" s="934">
        <f ca="1">BX580/BX605</f>
        <v>6.0178223005883123E-2</v>
      </c>
      <c r="BY611" s="327"/>
      <c r="BZ611" s="327"/>
      <c r="CA611" s="327"/>
      <c r="CB611" s="327"/>
      <c r="CC611" s="934">
        <f ca="1">CC580/CC605</f>
        <v>8.3251677257388745E-2</v>
      </c>
      <c r="CD611" s="934">
        <f ca="1">CD580/CD605</f>
        <v>8.1460742133313932E-2</v>
      </c>
      <c r="CE611" s="934">
        <f ca="1">CE580/CE605</f>
        <v>7.7963445294912698E-2</v>
      </c>
      <c r="CF611" s="934">
        <f ca="1">CF580/CF605</f>
        <v>6.199415862505548E-2</v>
      </c>
      <c r="CG611" s="69"/>
    </row>
    <row r="612" spans="1:85" s="433" customFormat="1" x14ac:dyDescent="0.3">
      <c r="A612" s="19" t="str">
        <f>"FCF Yield % to "&amp;MO.ValuationToggle&amp;" Enterprise Value"</f>
        <v>FCF Yield % to EoP Enterprise Value</v>
      </c>
      <c r="B612" s="358"/>
      <c r="C612" s="933">
        <f>C580/C606</f>
        <v>-2.8864557676267816E-3</v>
      </c>
      <c r="D612" s="933">
        <f>D580/D606</f>
        <v>6.4040124380101884E-2</v>
      </c>
      <c r="E612" s="933">
        <f>E580/E606</f>
        <v>6.8794690652236173E-2</v>
      </c>
      <c r="F612" s="933">
        <f>F580/F606</f>
        <v>3.7490317217236571E-2</v>
      </c>
      <c r="G612" s="327"/>
      <c r="H612" s="327"/>
      <c r="I612" s="327"/>
      <c r="J612" s="327"/>
      <c r="K612" s="933">
        <f>K580/K606</f>
        <v>-1.1955609662617352E-2</v>
      </c>
      <c r="L612" s="327"/>
      <c r="M612" s="327"/>
      <c r="N612" s="327"/>
      <c r="O612" s="327"/>
      <c r="P612" s="933">
        <f>P580/P606</f>
        <v>-1.6586702502033101E-2</v>
      </c>
      <c r="Q612" s="327"/>
      <c r="R612" s="327"/>
      <c r="S612" s="327"/>
      <c r="T612" s="327"/>
      <c r="U612" s="933">
        <f>U580/U606</f>
        <v>-4.9374729807196288E-2</v>
      </c>
      <c r="V612" s="327"/>
      <c r="W612" s="327"/>
      <c r="X612" s="327"/>
      <c r="Y612" s="327"/>
      <c r="Z612" s="933">
        <f>Z580/Z606</f>
        <v>-1.949885382842452E-2</v>
      </c>
      <c r="AA612" s="327"/>
      <c r="AB612" s="327"/>
      <c r="AC612" s="327"/>
      <c r="AD612" s="327"/>
      <c r="AE612" s="933">
        <f>AE580/AE606</f>
        <v>2.5232380796202481E-2</v>
      </c>
      <c r="AF612" s="327"/>
      <c r="AG612" s="327"/>
      <c r="AH612" s="327"/>
      <c r="AI612" s="327"/>
      <c r="AJ612" s="933">
        <f>AJ580/AJ606</f>
        <v>7.0820617382355261E-2</v>
      </c>
      <c r="AK612" s="327"/>
      <c r="AL612" s="327"/>
      <c r="AM612" s="327"/>
      <c r="AN612" s="327"/>
      <c r="AO612" s="934">
        <f>AO580/AO606</f>
        <v>5.1217101031272791E-2</v>
      </c>
      <c r="AP612" s="327"/>
      <c r="AQ612" s="327"/>
      <c r="AR612" s="327"/>
      <c r="AS612" s="327"/>
      <c r="AT612" s="934">
        <f>AT580/AT606</f>
        <v>7.753527857754427E-3</v>
      </c>
      <c r="AU612" s="327"/>
      <c r="AV612" s="327"/>
      <c r="AW612" s="327"/>
      <c r="AX612" s="327"/>
      <c r="AY612" s="934">
        <f>AY580/AY606</f>
        <v>8.17623632404193E-2</v>
      </c>
      <c r="AZ612" s="327"/>
      <c r="BA612" s="327"/>
      <c r="BB612" s="327"/>
      <c r="BC612" s="327"/>
      <c r="BD612" s="934">
        <f>BD580/BD606</f>
        <v>0.1057804972167964</v>
      </c>
      <c r="BE612" s="327"/>
      <c r="BF612" s="327"/>
      <c r="BG612" s="327"/>
      <c r="BH612" s="327"/>
      <c r="BI612" s="934">
        <f>BI580/BI606</f>
        <v>6.6932975138437878E-2</v>
      </c>
      <c r="BJ612" s="327"/>
      <c r="BK612" s="327"/>
      <c r="BL612" s="327"/>
      <c r="BM612" s="327"/>
      <c r="BN612" s="934">
        <f>BN580/BN606</f>
        <v>5.4440165055290007E-2</v>
      </c>
      <c r="BO612" s="327"/>
      <c r="BP612" s="327"/>
      <c r="BQ612" s="327"/>
      <c r="BR612" s="327"/>
      <c r="BS612" s="934">
        <f>BS580/BS606</f>
        <v>4.7544541943546806E-2</v>
      </c>
      <c r="BT612" s="683"/>
      <c r="BU612" s="327"/>
      <c r="BV612" s="327"/>
      <c r="BW612" s="327"/>
      <c r="BX612" s="934">
        <f ca="1">BX580/BX606</f>
        <v>5.5191478768679844E-2</v>
      </c>
      <c r="BY612" s="327"/>
      <c r="BZ612" s="327"/>
      <c r="CA612" s="327"/>
      <c r="CB612" s="327"/>
      <c r="CC612" s="934">
        <f ca="1">CC580/CC606</f>
        <v>8.0044248029791348E-2</v>
      </c>
      <c r="CD612" s="934">
        <f ca="1">CD580/CD606</f>
        <v>8.1704004701908806E-2</v>
      </c>
      <c r="CE612" s="934">
        <f ca="1">CE580/CE606</f>
        <v>8.1426356247184833E-2</v>
      </c>
      <c r="CF612" s="934">
        <f ca="1">CF580/CF606</f>
        <v>6.6382692989930867E-2</v>
      </c>
      <c r="CG612" s="69"/>
    </row>
    <row r="613" spans="1:85" s="433" customFormat="1" hidden="1" outlineLevel="1" x14ac:dyDescent="0.3">
      <c r="A613" s="338"/>
      <c r="B613" s="358"/>
      <c r="C613" s="934"/>
      <c r="D613" s="934"/>
      <c r="E613" s="934"/>
      <c r="F613" s="934"/>
      <c r="G613" s="327"/>
      <c r="H613" s="327"/>
      <c r="I613" s="327"/>
      <c r="J613" s="327"/>
      <c r="K613" s="934"/>
      <c r="L613" s="327"/>
      <c r="M613" s="327"/>
      <c r="N613" s="327"/>
      <c r="O613" s="327"/>
      <c r="P613" s="934"/>
      <c r="Q613" s="327"/>
      <c r="R613" s="327"/>
      <c r="S613" s="327"/>
      <c r="T613" s="327"/>
      <c r="U613" s="934"/>
      <c r="V613" s="327"/>
      <c r="W613" s="327"/>
      <c r="X613" s="327"/>
      <c r="Y613" s="327"/>
      <c r="Z613" s="934"/>
      <c r="AA613" s="327"/>
      <c r="AB613" s="327"/>
      <c r="AC613" s="327"/>
      <c r="AD613" s="327"/>
      <c r="AE613" s="934"/>
      <c r="AF613" s="327"/>
      <c r="AG613" s="327"/>
      <c r="AH613" s="327"/>
      <c r="AI613" s="327"/>
      <c r="AJ613" s="934"/>
      <c r="AK613" s="327"/>
      <c r="AL613" s="327"/>
      <c r="AM613" s="327"/>
      <c r="AN613" s="327"/>
      <c r="AO613" s="934"/>
      <c r="AP613" s="327"/>
      <c r="AQ613" s="327"/>
      <c r="AR613" s="327"/>
      <c r="AS613" s="327"/>
      <c r="AT613" s="934"/>
      <c r="AU613" s="327"/>
      <c r="AV613" s="327"/>
      <c r="AW613" s="327"/>
      <c r="AX613" s="327"/>
      <c r="AY613" s="934"/>
      <c r="AZ613" s="327"/>
      <c r="BA613" s="327"/>
      <c r="BB613" s="327"/>
      <c r="BC613" s="327"/>
      <c r="BD613" s="934"/>
      <c r="BE613" s="327"/>
      <c r="BF613" s="327"/>
      <c r="BG613" s="327"/>
      <c r="BH613" s="327"/>
      <c r="BI613" s="934"/>
      <c r="BJ613" s="327"/>
      <c r="BK613" s="327"/>
      <c r="BL613" s="327"/>
      <c r="BM613" s="327"/>
      <c r="BN613" s="934"/>
      <c r="BO613" s="327"/>
      <c r="BP613" s="327"/>
      <c r="BQ613" s="327"/>
      <c r="BR613" s="327"/>
      <c r="BS613" s="934"/>
      <c r="BT613" s="683"/>
      <c r="BU613" s="327"/>
      <c r="BV613" s="327"/>
      <c r="BW613" s="327"/>
      <c r="BX613" s="934"/>
      <c r="BY613" s="327"/>
      <c r="BZ613" s="327"/>
      <c r="CA613" s="327"/>
      <c r="CB613" s="327"/>
      <c r="CC613" s="934"/>
      <c r="CD613" s="934"/>
      <c r="CE613" s="934"/>
      <c r="CF613" s="934"/>
      <c r="CG613" s="69"/>
    </row>
    <row r="614" spans="1:85" s="445" customFormat="1" hidden="1" outlineLevel="1" x14ac:dyDescent="0.3">
      <c r="A614" s="191" t="str">
        <f ca="1">"Stock High, "&amp;HP.TradeCurrency</f>
        <v>Stock High, USD</v>
      </c>
      <c r="B614" s="359"/>
      <c r="C614" s="935">
        <f t="shared" ref="C614:AH614" ca="1" si="1331">IF(INDEX(MO_SNA_IsHistoricalPeriod,1,COLUMN())=FALSE,0,INDEX(MO_SPT_StockHigh,1,COLUMN()))</f>
        <v>79.819999999999993</v>
      </c>
      <c r="D614" s="935">
        <f t="shared" ca="1" si="1331"/>
        <v>92.39</v>
      </c>
      <c r="E614" s="935">
        <f t="shared" ca="1" si="1331"/>
        <v>110.01</v>
      </c>
      <c r="F614" s="935">
        <f t="shared" ca="1" si="1331"/>
        <v>118.53</v>
      </c>
      <c r="G614" s="232">
        <f t="shared" ca="1" si="1331"/>
        <v>121.56</v>
      </c>
      <c r="H614" s="232">
        <f t="shared" ca="1" si="1331"/>
        <v>127.4</v>
      </c>
      <c r="I614" s="232">
        <f t="shared" ca="1" si="1331"/>
        <v>127.83</v>
      </c>
      <c r="J614" s="232">
        <f t="shared" ca="1" si="1331"/>
        <v>125.65</v>
      </c>
      <c r="K614" s="935">
        <f t="shared" ca="1" si="1331"/>
        <v>127.83</v>
      </c>
      <c r="L614" s="232">
        <f t="shared" ca="1" si="1331"/>
        <v>125.32</v>
      </c>
      <c r="M614" s="232">
        <f t="shared" ca="1" si="1331"/>
        <v>133.57</v>
      </c>
      <c r="N614" s="232">
        <f t="shared" ca="1" si="1331"/>
        <v>135.1</v>
      </c>
      <c r="O614" s="232">
        <f t="shared" ca="1" si="1331"/>
        <v>120.11709999999999</v>
      </c>
      <c r="P614" s="935">
        <f t="shared" ca="1" si="1331"/>
        <v>135.1</v>
      </c>
      <c r="Q614" s="232">
        <f t="shared" ca="1" si="1331"/>
        <v>113</v>
      </c>
      <c r="R614" s="232">
        <f t="shared" ca="1" si="1331"/>
        <v>112.2</v>
      </c>
      <c r="S614" s="232">
        <f t="shared" ca="1" si="1331"/>
        <v>96.67</v>
      </c>
      <c r="T614" s="232">
        <f t="shared" ca="1" si="1331"/>
        <v>98.64</v>
      </c>
      <c r="U614" s="935">
        <f t="shared" ca="1" si="1331"/>
        <v>113</v>
      </c>
      <c r="V614" s="232">
        <f t="shared" ca="1" si="1331"/>
        <v>97.91</v>
      </c>
      <c r="W614" s="232">
        <f t="shared" ca="1" si="1331"/>
        <v>105</v>
      </c>
      <c r="X614" s="232">
        <f t="shared" ca="1" si="1331"/>
        <v>107.58</v>
      </c>
      <c r="Y614" s="232">
        <f t="shared" ca="1" si="1331"/>
        <v>119</v>
      </c>
      <c r="Z614" s="936">
        <f t="shared" ca="1" si="1331"/>
        <v>119</v>
      </c>
      <c r="AA614" s="232">
        <f t="shared" ca="1" si="1331"/>
        <v>119</v>
      </c>
      <c r="AB614" s="232">
        <f t="shared" ca="1" si="1331"/>
        <v>110.67</v>
      </c>
      <c r="AC614" s="232">
        <f t="shared" ca="1" si="1331"/>
        <v>118.33</v>
      </c>
      <c r="AD614" s="232">
        <f t="shared" ca="1" si="1331"/>
        <v>126.2</v>
      </c>
      <c r="AE614" s="936">
        <f t="shared" ca="1" si="1331"/>
        <v>126.2</v>
      </c>
      <c r="AF614" s="232">
        <f t="shared" ca="1" si="1331"/>
        <v>128.637</v>
      </c>
      <c r="AG614" s="232">
        <f t="shared" ca="1" si="1331"/>
        <v>126.98950000000001</v>
      </c>
      <c r="AH614" s="232">
        <f t="shared" ca="1" si="1331"/>
        <v>125.39060000000001</v>
      </c>
      <c r="AI614" s="232">
        <f t="shared" ref="AI614:BD614" ca="1" si="1332">IF(INDEX(MO_SNA_IsHistoricalPeriod,1,COLUMN())=FALSE,0,INDEX(MO_SPT_StockHigh,1,COLUMN()))</f>
        <v>125.5925</v>
      </c>
      <c r="AJ614" s="936">
        <f t="shared" ca="1" si="1332"/>
        <v>128.637</v>
      </c>
      <c r="AK614" s="232">
        <f t="shared" ca="1" si="1332"/>
        <v>125.88</v>
      </c>
      <c r="AL614" s="232">
        <f t="shared" ca="1" si="1332"/>
        <v>126.68</v>
      </c>
      <c r="AM614" s="232">
        <f t="shared" ca="1" si="1332"/>
        <v>126.54</v>
      </c>
      <c r="AN614" s="232">
        <f t="shared" ca="1" si="1332"/>
        <v>122.28</v>
      </c>
      <c r="AO614" s="937">
        <f t="shared" ca="1" si="1332"/>
        <v>126.68</v>
      </c>
      <c r="AP614" s="232">
        <f t="shared" ca="1" si="1332"/>
        <v>121.43</v>
      </c>
      <c r="AQ614" s="232">
        <f t="shared" ca="1" si="1332"/>
        <v>103.24</v>
      </c>
      <c r="AR614" s="232">
        <f ca="1">IF(INDEX(MO_SNA_IsHistoricalPeriod,1,COLUMN())=FALSE,0,INDEX(MO_SPT_StockHigh,1,COLUMN()))</f>
        <v>91.39</v>
      </c>
      <c r="AS614" s="232">
        <f t="shared" ca="1" si="1332"/>
        <v>95.62</v>
      </c>
      <c r="AT614" s="937">
        <f t="shared" ca="1" si="1332"/>
        <v>121.43</v>
      </c>
      <c r="AU614" s="232">
        <f t="shared" ca="1" si="1332"/>
        <v>111.56</v>
      </c>
      <c r="AV614" s="232">
        <f ca="1">IF(INDEX(MO_SNA_IsHistoricalPeriod,1,COLUMN())=FALSE,0,INDEX(MO_SPT_StockHigh,1,COLUMN()))</f>
        <v>110.81</v>
      </c>
      <c r="AW614" s="232">
        <f ca="1">IF(INDEX(MO_SNA_IsHistoricalPeriod,1,COLUMN())=FALSE,0,INDEX(MO_SPT_StockHigh,1,COLUMN()))</f>
        <v>106.21</v>
      </c>
      <c r="AX614" s="232">
        <f t="shared" ca="1" si="1332"/>
        <v>118.79</v>
      </c>
      <c r="AY614" s="937">
        <f t="shared" ca="1" si="1332"/>
        <v>118.79</v>
      </c>
      <c r="AZ614" s="232">
        <f ca="1">IF(INDEX(MO_SNA_IsHistoricalPeriod,1,COLUMN())=FALSE,0,INDEX(MO_SPT_StockHigh,1,COLUMN()))</f>
        <v>170.9</v>
      </c>
      <c r="BA614" s="232">
        <f ca="1">IF(INDEX(MO_SNA_IsHistoricalPeriod,1,COLUMN())=FALSE,0,INDEX(MO_SPT_StockHigh,1,COLUMN()))</f>
        <v>181.13</v>
      </c>
      <c r="BB614" s="232">
        <f t="shared" ca="1" si="1332"/>
        <v>164.63</v>
      </c>
      <c r="BC614" s="232">
        <f t="shared" ca="1" si="1332"/>
        <v>188.05</v>
      </c>
      <c r="BD614" s="937">
        <f t="shared" ca="1" si="1332"/>
        <v>188.05</v>
      </c>
      <c r="BE614" s="421">
        <f t="shared" ref="BE614:BN614" ca="1" si="1333">IF(INDEX(MO_SNA_IsHistoricalPeriod,1,COLUMN())=FALSE,0,INDEX(MO_SPT_StockHigh,1,COLUMN()))</f>
        <v>187.79</v>
      </c>
      <c r="BF614" s="421">
        <f t="shared" ca="1" si="1333"/>
        <v>172.44</v>
      </c>
      <c r="BG614" s="421">
        <f t="shared" ca="1" si="1333"/>
        <v>171.04</v>
      </c>
      <c r="BH614" s="421">
        <f t="shared" ca="1" si="1333"/>
        <v>169.1</v>
      </c>
      <c r="BI614" s="937">
        <f t="shared" ca="1" si="1333"/>
        <v>187.79</v>
      </c>
      <c r="BJ614" s="421">
        <f ca="1">IF(INDEX(MO_SNA_IsHistoricalPeriod,1,COLUMN())=FALSE,0,INDEX(MO_SPT_StockHigh,1,COLUMN()))</f>
        <v>157.74</v>
      </c>
      <c r="BK614" s="421">
        <f ca="1">IF(INDEX(MO_SNA_IsHistoricalPeriod,1,COLUMN())=FALSE,0,INDEX(MO_SPT_StockHigh,1,COLUMN()))</f>
        <v>166.33</v>
      </c>
      <c r="BL614" s="421">
        <f ca="1">IF(INDEX(MO_SNA_IsHistoricalPeriod,1,COLUMN())=FALSE,0,INDEX(MO_SPT_StockHigh,1,COLUMN()))</f>
        <v>161.97</v>
      </c>
      <c r="BM614" s="421">
        <f ca="1">IF(INDEX(MO_SNA_IsHistoricalPeriod,1,COLUMN())=FALSE,0,INDEX(MO_SPT_StockHigh,1,COLUMN()))</f>
        <v>162.53</v>
      </c>
      <c r="BN614" s="937">
        <f t="shared" ca="1" si="1333"/>
        <v>166.33</v>
      </c>
      <c r="BO614" s="421">
        <f t="shared" ref="BO614:BX614" ca="1" si="1334">IF(INDEX(MO_SNA_IsHistoricalPeriod,1,COLUMN())=FALSE,0,INDEX(MO_SPT_StockHigh,1,COLUMN()))</f>
        <v>167.97</v>
      </c>
      <c r="BP614" s="421">
        <f t="shared" ca="1" si="1334"/>
        <v>168.51</v>
      </c>
      <c r="BQ614" s="421">
        <f t="shared" ca="1" si="1334"/>
        <v>161.83000000000001</v>
      </c>
      <c r="BR614" s="421">
        <f t="shared" ca="1" si="1334"/>
        <v>157.72</v>
      </c>
      <c r="BS614" s="937">
        <f t="shared" ca="1" si="1334"/>
        <v>168.51</v>
      </c>
      <c r="BT614" s="684">
        <f ca="1">IF(INDEX(MO_SNA_IsHistoricalPeriod,1,COLUMN())=FALSE,0,INDEX(MO_SPT_StockHigh,1,COLUMN()))</f>
        <v>211.15</v>
      </c>
      <c r="BU614" s="421">
        <f>IF(INDEX(MO_SNA_IsHistoricalPeriod,1,COLUMN())=FALSE,0,INDEX(MO_SPT_StockHigh,1,COLUMN()))</f>
        <v>0</v>
      </c>
      <c r="BV614" s="421">
        <f>IF(INDEX(MO_SNA_IsHistoricalPeriod,1,COLUMN())=FALSE,0,INDEX(MO_SPT_StockHigh,1,COLUMN()))</f>
        <v>0</v>
      </c>
      <c r="BW614" s="421">
        <f>IF(INDEX(MO_SNA_IsHistoricalPeriod,1,COLUMN())=FALSE,0,INDEX(MO_SPT_StockHigh,1,COLUMN()))</f>
        <v>0</v>
      </c>
      <c r="BX614" s="937">
        <f t="shared" si="1334"/>
        <v>0</v>
      </c>
      <c r="BY614" s="421">
        <f t="shared" ref="BY614:CF614" si="1335">IF(INDEX(MO_SNA_IsHistoricalPeriod,1,COLUMN())=FALSE,0,INDEX(MO_SPT_StockHigh,1,COLUMN()))</f>
        <v>0</v>
      </c>
      <c r="BZ614" s="421">
        <f t="shared" si="1335"/>
        <v>0</v>
      </c>
      <c r="CA614" s="421">
        <f t="shared" si="1335"/>
        <v>0</v>
      </c>
      <c r="CB614" s="421">
        <f t="shared" si="1335"/>
        <v>0</v>
      </c>
      <c r="CC614" s="937">
        <f t="shared" si="1335"/>
        <v>0</v>
      </c>
      <c r="CD614" s="937">
        <f t="shared" si="1335"/>
        <v>0</v>
      </c>
      <c r="CE614" s="937">
        <f t="shared" si="1335"/>
        <v>0</v>
      </c>
      <c r="CF614" s="937">
        <f t="shared" si="1335"/>
        <v>0</v>
      </c>
      <c r="CG614" s="192"/>
    </row>
    <row r="615" spans="1:85" s="445" customFormat="1" hidden="1" outlineLevel="1" x14ac:dyDescent="0.3">
      <c r="A615" s="191" t="str">
        <f ca="1">"Stock Low, "&amp;HP.TradeCurrency</f>
        <v>Stock Low, USD</v>
      </c>
      <c r="B615" s="359"/>
      <c r="C615" s="935">
        <f t="shared" ref="C615:AH615" ca="1" si="1336">IF(INDEX(MO_SNA_IsHistoricalPeriod,1,COLUMN())=FALSE,0,INDEX(MO_SPT_StockLow,1,COLUMN()))</f>
        <v>56.12</v>
      </c>
      <c r="D615" s="935">
        <f t="shared" ca="1" si="1336"/>
        <v>66.83</v>
      </c>
      <c r="E615" s="935">
        <f t="shared" ca="1" si="1336"/>
        <v>86.68</v>
      </c>
      <c r="F615" s="935">
        <f t="shared" ca="1" si="1336"/>
        <v>95.73</v>
      </c>
      <c r="G615" s="232">
        <f t="shared" ca="1" si="1336"/>
        <v>108.74</v>
      </c>
      <c r="H615" s="232">
        <f t="shared" ca="1" si="1336"/>
        <v>114.12</v>
      </c>
      <c r="I615" s="232">
        <f t="shared" ca="1" si="1336"/>
        <v>117.22</v>
      </c>
      <c r="J615" s="232">
        <f t="shared" ca="1" si="1336"/>
        <v>114.44</v>
      </c>
      <c r="K615" s="935">
        <f t="shared" ca="1" si="1336"/>
        <v>108.74</v>
      </c>
      <c r="L615" s="232">
        <f t="shared" ca="1" si="1336"/>
        <v>109.27</v>
      </c>
      <c r="M615" s="232">
        <f t="shared" ca="1" si="1336"/>
        <v>116.5</v>
      </c>
      <c r="N615" s="232">
        <f t="shared" ca="1" si="1336"/>
        <v>118.66</v>
      </c>
      <c r="O615" s="232">
        <f t="shared" ca="1" si="1336"/>
        <v>100.15</v>
      </c>
      <c r="P615" s="935">
        <f t="shared" ca="1" si="1336"/>
        <v>100.15</v>
      </c>
      <c r="Q615" s="232">
        <f t="shared" ca="1" si="1336"/>
        <v>98.88</v>
      </c>
      <c r="R615" s="232">
        <f t="shared" ca="1" si="1336"/>
        <v>96.22</v>
      </c>
      <c r="S615" s="232">
        <f t="shared" ca="1" si="1336"/>
        <v>69.58</v>
      </c>
      <c r="T615" s="232">
        <f t="shared" ca="1" si="1336"/>
        <v>77.31</v>
      </c>
      <c r="U615" s="935">
        <f t="shared" ca="1" si="1336"/>
        <v>69.58</v>
      </c>
      <c r="V615" s="232">
        <f t="shared" ca="1" si="1336"/>
        <v>75.33</v>
      </c>
      <c r="W615" s="232">
        <f t="shared" ca="1" si="1336"/>
        <v>92.43</v>
      </c>
      <c r="X615" s="232">
        <f t="shared" ca="1" si="1336"/>
        <v>97.53</v>
      </c>
      <c r="Y615" s="232">
        <f t="shared" ca="1" si="1336"/>
        <v>99.61</v>
      </c>
      <c r="Z615" s="936">
        <f t="shared" ca="1" si="1336"/>
        <v>75.33</v>
      </c>
      <c r="AA615" s="232">
        <f t="shared" ca="1" si="1336"/>
        <v>105.85</v>
      </c>
      <c r="AB615" s="232">
        <f t="shared" ca="1" si="1336"/>
        <v>102.55</v>
      </c>
      <c r="AC615" s="232">
        <f t="shared" ca="1" si="1336"/>
        <v>102.55</v>
      </c>
      <c r="AD615" s="232">
        <f t="shared" ca="1" si="1336"/>
        <v>112.57</v>
      </c>
      <c r="AE615" s="936">
        <f t="shared" ca="1" si="1336"/>
        <v>102.55</v>
      </c>
      <c r="AF615" s="232">
        <f t="shared" ca="1" si="1336"/>
        <v>106.054</v>
      </c>
      <c r="AG615" s="232">
        <f t="shared" ca="1" si="1336"/>
        <v>109.1463</v>
      </c>
      <c r="AH615" s="232">
        <f t="shared" ca="1" si="1336"/>
        <v>113.3719</v>
      </c>
      <c r="AI615" s="232">
        <f t="shared" ref="AI615:BD615" ca="1" si="1337">IF(INDEX(MO_SNA_IsHistoricalPeriod,1,COLUMN())=FALSE,0,INDEX(MO_SPT_StockLow,1,COLUMN()))</f>
        <v>100.99</v>
      </c>
      <c r="AJ615" s="936">
        <f t="shared" ca="1" si="1337"/>
        <v>100.99</v>
      </c>
      <c r="AK615" s="232">
        <f t="shared" ca="1" si="1337"/>
        <v>108.57</v>
      </c>
      <c r="AL615" s="232">
        <f t="shared" ca="1" si="1337"/>
        <v>113.85</v>
      </c>
      <c r="AM615" s="232">
        <f t="shared" ca="1" si="1337"/>
        <v>115.18</v>
      </c>
      <c r="AN615" s="232">
        <f t="shared" ca="1" si="1337"/>
        <v>111.71</v>
      </c>
      <c r="AO615" s="937">
        <f t="shared" ca="1" si="1337"/>
        <v>108.57</v>
      </c>
      <c r="AP615" s="232">
        <f t="shared" ca="1" si="1337"/>
        <v>54.22</v>
      </c>
      <c r="AQ615" s="232">
        <f t="shared" ca="1" si="1337"/>
        <v>68.56</v>
      </c>
      <c r="AR615" s="232">
        <f ca="1">IF(INDEX(MO_SNA_IsHistoricalPeriod,1,COLUMN())=FALSE,0,INDEX(MO_SPT_StockLow,1,COLUMN()))</f>
        <v>71.8</v>
      </c>
      <c r="AS615" s="232">
        <f t="shared" ca="1" si="1337"/>
        <v>66.88</v>
      </c>
      <c r="AT615" s="937">
        <f t="shared" ca="1" si="1337"/>
        <v>54.22</v>
      </c>
      <c r="AU615" s="232">
        <f t="shared" ca="1" si="1337"/>
        <v>84.71</v>
      </c>
      <c r="AV615" s="232">
        <f ca="1">IF(INDEX(MO_SNA_IsHistoricalPeriod,1,COLUMN())=FALSE,0,INDEX(MO_SPT_StockLow,1,COLUMN()))</f>
        <v>100.95</v>
      </c>
      <c r="AW615" s="232">
        <f ca="1">IF(INDEX(MO_SNA_IsHistoricalPeriod,1,COLUMN())=FALSE,0,INDEX(MO_SPT_StockLow,1,COLUMN()))</f>
        <v>94.29</v>
      </c>
      <c r="AX615" s="232">
        <f t="shared" ca="1" si="1337"/>
        <v>104.33</v>
      </c>
      <c r="AY615" s="937">
        <f t="shared" ca="1" si="1337"/>
        <v>84.71</v>
      </c>
      <c r="AZ615" s="232">
        <f ca="1">IF(INDEX(MO_SNA_IsHistoricalPeriod,1,COLUMN())=FALSE,0,INDEX(MO_SPT_StockLow,1,COLUMN()))</f>
        <v>119.26</v>
      </c>
      <c r="BA615" s="232">
        <f ca="1">IF(INDEX(MO_SNA_IsHistoricalPeriod,1,COLUMN())=FALSE,0,INDEX(MO_SPT_StockLow,1,COLUMN()))</f>
        <v>142.43</v>
      </c>
      <c r="BB615" s="232">
        <f t="shared" ca="1" si="1337"/>
        <v>135.94</v>
      </c>
      <c r="BC615" s="232">
        <f t="shared" ca="1" si="1337"/>
        <v>151.72999999999999</v>
      </c>
      <c r="BD615" s="937">
        <f t="shared" ca="1" si="1337"/>
        <v>119.26</v>
      </c>
      <c r="BE615" s="421">
        <f t="shared" ref="BE615:BN615" ca="1" si="1338">IF(INDEX(MO_SNA_IsHistoricalPeriod,1,COLUMN())=FALSE,0,INDEX(MO_SPT_StockLow,1,COLUMN()))</f>
        <v>152.34</v>
      </c>
      <c r="BF615" s="421">
        <f t="shared" ca="1" si="1338"/>
        <v>150.62</v>
      </c>
      <c r="BG615" s="421">
        <f t="shared" ca="1" si="1338"/>
        <v>152.88</v>
      </c>
      <c r="BH615" s="421">
        <f t="shared" ca="1" si="1338"/>
        <v>141.77000000000001</v>
      </c>
      <c r="BI615" s="937">
        <f t="shared" ca="1" si="1338"/>
        <v>141.77000000000001</v>
      </c>
      <c r="BJ615" s="421">
        <f ca="1">IF(INDEX(MO_SNA_IsHistoricalPeriod,1,COLUMN())=FALSE,0,INDEX(MO_SPT_StockLow,1,COLUMN()))</f>
        <v>141.82</v>
      </c>
      <c r="BK615" s="421">
        <f ca="1">IF(INDEX(MO_SNA_IsHistoricalPeriod,1,COLUMN())=FALSE,0,INDEX(MO_SPT_StockLow,1,COLUMN()))</f>
        <v>152.57</v>
      </c>
      <c r="BL615" s="421">
        <f ca="1">IF(INDEX(MO_SNA_IsHistoricalPeriod,1,COLUMN())=FALSE,0,INDEX(MO_SPT_StockLow,1,COLUMN()))</f>
        <v>137.88</v>
      </c>
      <c r="BM615" s="421">
        <f ca="1">IF(INDEX(MO_SNA_IsHistoricalPeriod,1,COLUMN())=FALSE,0,INDEX(MO_SPT_StockLow,1,COLUMN()))</f>
        <v>141.15</v>
      </c>
      <c r="BN615" s="937">
        <f t="shared" ca="1" si="1338"/>
        <v>137.88</v>
      </c>
      <c r="BO615" s="421">
        <f t="shared" ref="BO615:BX615" ca="1" si="1339">IF(INDEX(MO_SNA_IsHistoricalPeriod,1,COLUMN())=FALSE,0,INDEX(MO_SPT_StockLow,1,COLUMN()))</f>
        <v>146.71</v>
      </c>
      <c r="BP615" s="421">
        <f t="shared" ca="1" si="1339"/>
        <v>133.72999999999999</v>
      </c>
      <c r="BQ615" s="421">
        <f t="shared" ca="1" si="1339"/>
        <v>145.57</v>
      </c>
      <c r="BR615" s="421">
        <f t="shared" ca="1" si="1339"/>
        <v>146.75</v>
      </c>
      <c r="BS615" s="937">
        <f t="shared" ca="1" si="1339"/>
        <v>133.72999999999999</v>
      </c>
      <c r="BT615" s="684">
        <f ca="1">IF(INDEX(MO_SNA_IsHistoricalPeriod,1,COLUMN())=FALSE,0,INDEX(MO_SPT_StockLow,1,COLUMN()))</f>
        <v>155.19999999999999</v>
      </c>
      <c r="BU615" s="421">
        <f>IF(INDEX(MO_SNA_IsHistoricalPeriod,1,COLUMN())=FALSE,0,INDEX(MO_SPT_StockLow,1,COLUMN()))</f>
        <v>0</v>
      </c>
      <c r="BV615" s="421">
        <f>IF(INDEX(MO_SNA_IsHistoricalPeriod,1,COLUMN())=FALSE,0,INDEX(MO_SPT_StockLow,1,COLUMN()))</f>
        <v>0</v>
      </c>
      <c r="BW615" s="421">
        <f>IF(INDEX(MO_SNA_IsHistoricalPeriod,1,COLUMN())=FALSE,0,INDEX(MO_SPT_StockLow,1,COLUMN()))</f>
        <v>0</v>
      </c>
      <c r="BX615" s="937">
        <f t="shared" si="1339"/>
        <v>0</v>
      </c>
      <c r="BY615" s="421">
        <f t="shared" ref="BY615:CF615" si="1340">IF(INDEX(MO_SNA_IsHistoricalPeriod,1,COLUMN())=FALSE,0,INDEX(MO_SPT_StockLow,1,COLUMN()))</f>
        <v>0</v>
      </c>
      <c r="BZ615" s="421">
        <f t="shared" si="1340"/>
        <v>0</v>
      </c>
      <c r="CA615" s="421">
        <f t="shared" si="1340"/>
        <v>0</v>
      </c>
      <c r="CB615" s="421">
        <f t="shared" si="1340"/>
        <v>0</v>
      </c>
      <c r="CC615" s="937">
        <f t="shared" si="1340"/>
        <v>0</v>
      </c>
      <c r="CD615" s="937">
        <f t="shared" si="1340"/>
        <v>0</v>
      </c>
      <c r="CE615" s="937">
        <f t="shared" si="1340"/>
        <v>0</v>
      </c>
      <c r="CF615" s="937">
        <f t="shared" si="1340"/>
        <v>0</v>
      </c>
      <c r="CG615" s="192"/>
    </row>
    <row r="616" spans="1:85" s="445" customFormat="1" hidden="1" outlineLevel="1" x14ac:dyDescent="0.3">
      <c r="A616" s="191" t="str">
        <f ca="1">"Stock Average, "&amp;HP.TradeCurrency</f>
        <v>Stock Average, USD</v>
      </c>
      <c r="B616" s="359"/>
      <c r="C616" s="935">
        <f t="shared" ref="C616:AH616" ca="1" si="1341">IF(INDEX(MO_SNA_IsHistoricalPeriod,1,COLUMN())=FALSE,0,INDEX(MO_SPT_StockAverage,1,COLUMN()))</f>
        <v>67.97</v>
      </c>
      <c r="D616" s="935">
        <f t="shared" ca="1" si="1341"/>
        <v>79.61</v>
      </c>
      <c r="E616" s="935">
        <f t="shared" ca="1" si="1341"/>
        <v>98.344999999999999</v>
      </c>
      <c r="F616" s="935">
        <f t="shared" ca="1" si="1341"/>
        <v>107.13</v>
      </c>
      <c r="G616" s="232">
        <f t="shared" ca="1" si="1341"/>
        <v>115.15</v>
      </c>
      <c r="H616" s="232">
        <f t="shared" ca="1" si="1341"/>
        <v>120.76</v>
      </c>
      <c r="I616" s="232">
        <f t="shared" ca="1" si="1341"/>
        <v>122.52500000000001</v>
      </c>
      <c r="J616" s="232">
        <f t="shared" ca="1" si="1341"/>
        <v>120.045</v>
      </c>
      <c r="K616" s="935">
        <f t="shared" ca="1" si="1341"/>
        <v>119.62</v>
      </c>
      <c r="L616" s="232">
        <f t="shared" ca="1" si="1341"/>
        <v>117.295</v>
      </c>
      <c r="M616" s="232">
        <f t="shared" ca="1" si="1341"/>
        <v>125.035</v>
      </c>
      <c r="N616" s="232">
        <f t="shared" ca="1" si="1341"/>
        <v>126.88</v>
      </c>
      <c r="O616" s="232">
        <f t="shared" ca="1" si="1341"/>
        <v>110.13355</v>
      </c>
      <c r="P616" s="935">
        <f t="shared" ca="1" si="1341"/>
        <v>119.8358875</v>
      </c>
      <c r="Q616" s="232">
        <f t="shared" ca="1" si="1341"/>
        <v>105.94</v>
      </c>
      <c r="R616" s="232">
        <f t="shared" ca="1" si="1341"/>
        <v>104.21</v>
      </c>
      <c r="S616" s="232">
        <f t="shared" ca="1" si="1341"/>
        <v>83.125</v>
      </c>
      <c r="T616" s="232">
        <f t="shared" ca="1" si="1341"/>
        <v>87.974999999999994</v>
      </c>
      <c r="U616" s="935">
        <f t="shared" ca="1" si="1341"/>
        <v>95.3125</v>
      </c>
      <c r="V616" s="232">
        <f t="shared" ca="1" si="1341"/>
        <v>86.62</v>
      </c>
      <c r="W616" s="232">
        <f t="shared" ca="1" si="1341"/>
        <v>98.715000000000003</v>
      </c>
      <c r="X616" s="232">
        <f t="shared" ca="1" si="1341"/>
        <v>102.55500000000001</v>
      </c>
      <c r="Y616" s="232">
        <f t="shared" ca="1" si="1341"/>
        <v>109.30500000000001</v>
      </c>
      <c r="Z616" s="936">
        <f t="shared" ca="1" si="1341"/>
        <v>99.298749999999998</v>
      </c>
      <c r="AA616" s="232">
        <f t="shared" ca="1" si="1341"/>
        <v>112.425</v>
      </c>
      <c r="AB616" s="232">
        <f t="shared" ca="1" si="1341"/>
        <v>106.61</v>
      </c>
      <c r="AC616" s="232">
        <f t="shared" ca="1" si="1341"/>
        <v>110.44</v>
      </c>
      <c r="AD616" s="232">
        <f t="shared" ca="1" si="1341"/>
        <v>119.38500000000001</v>
      </c>
      <c r="AE616" s="936">
        <f t="shared" ca="1" si="1341"/>
        <v>112.215</v>
      </c>
      <c r="AF616" s="232">
        <f t="shared" ca="1" si="1341"/>
        <v>115.634137704918</v>
      </c>
      <c r="AG616" s="232">
        <f t="shared" ca="1" si="1341"/>
        <v>121.22818281249999</v>
      </c>
      <c r="AH616" s="232">
        <f t="shared" ca="1" si="1341"/>
        <v>119.555068253968</v>
      </c>
      <c r="AI616" s="232">
        <f t="shared" ref="AI616:BD616" ca="1" si="1342">IF(INDEX(MO_SNA_IsHistoricalPeriod,1,COLUMN())=FALSE,0,INDEX(MO_SPT_StockAverage,1,COLUMN()))</f>
        <v>115.2454</v>
      </c>
      <c r="AJ616" s="936">
        <f t="shared" ca="1" si="1342"/>
        <v>117.947074103586</v>
      </c>
      <c r="AK616" s="232">
        <f t="shared" ca="1" si="1342"/>
        <v>118.309344262295</v>
      </c>
      <c r="AL616" s="232">
        <f t="shared" ca="1" si="1342"/>
        <v>120.916984126984</v>
      </c>
      <c r="AM616" s="232">
        <f t="shared" ca="1" si="1342"/>
        <v>121.44828124999999</v>
      </c>
      <c r="AN616" s="232">
        <f t="shared" ca="1" si="1342"/>
        <v>117.784375</v>
      </c>
      <c r="AO616" s="937">
        <f t="shared" ca="1" si="1342"/>
        <v>119.62511904761899</v>
      </c>
      <c r="AP616" s="232">
        <f t="shared" ca="1" si="1342"/>
        <v>98.813709677419396</v>
      </c>
      <c r="AQ616" s="232">
        <f t="shared" ca="1" si="1342"/>
        <v>89.528571428571396</v>
      </c>
      <c r="AR616" s="232">
        <f ca="1">IF(INDEX(MO_SNA_IsHistoricalPeriod,1,COLUMN())=FALSE,0,INDEX(MO_SPT_StockAverage,1,COLUMN()))</f>
        <v>84.103437499999998</v>
      </c>
      <c r="AS616" s="232">
        <f t="shared" ca="1" si="1342"/>
        <v>80.965000000000003</v>
      </c>
      <c r="AT616" s="937">
        <f t="shared" ca="1" si="1342"/>
        <v>88.265335968379404</v>
      </c>
      <c r="AU616" s="232">
        <f t="shared" ca="1" si="1342"/>
        <v>97.6460655737705</v>
      </c>
      <c r="AV616" s="232">
        <f ca="1">IF(INDEX(MO_SNA_IsHistoricalPeriod,1,COLUMN())=FALSE,0,INDEX(MO_SPT_StockAverage,1,COLUMN()))</f>
        <v>105.565079365079</v>
      </c>
      <c r="AW616" s="232">
        <f ca="1">IF(INDEX(MO_SNA_IsHistoricalPeriod,1,COLUMN())=FALSE,0,INDEX(MO_SPT_StockAverage,1,COLUMN()))</f>
        <v>99.743281249999995</v>
      </c>
      <c r="AX616" s="232">
        <f t="shared" ca="1" si="1342"/>
        <v>113.59078125000001</v>
      </c>
      <c r="AY616" s="937">
        <f t="shared" ca="1" si="1342"/>
        <v>104.207896825397</v>
      </c>
      <c r="AZ616" s="232">
        <f ca="1">IF(INDEX(MO_SNA_IsHistoricalPeriod,1,COLUMN())=FALSE,0,INDEX(MO_SPT_StockAverage,1,COLUMN()))</f>
        <v>143.411129032258</v>
      </c>
      <c r="BA616" s="232">
        <f ca="1">IF(INDEX(MO_SNA_IsHistoricalPeriod,1,COLUMN())=FALSE,0,INDEX(MO_SPT_StockAverage,1,COLUMN()))</f>
        <v>165.301290322581</v>
      </c>
      <c r="BB616" s="232">
        <f t="shared" ca="1" si="1342"/>
        <v>152.50890625</v>
      </c>
      <c r="BC616" s="232">
        <f t="shared" ca="1" si="1342"/>
        <v>174.50539682539701</v>
      </c>
      <c r="BD616" s="937">
        <f t="shared" ca="1" si="1342"/>
        <v>158.942549800797</v>
      </c>
      <c r="BE616" s="421">
        <f t="shared" ref="BE616:BN616" ca="1" si="1343">IF(INDEX(MO_SNA_IsHistoricalPeriod,1,COLUMN())=FALSE,0,INDEX(MO_SPT_StockAverage,1,COLUMN()))</f>
        <v>167.65435483870999</v>
      </c>
      <c r="BF616" s="421">
        <f t="shared" ca="1" si="1343"/>
        <v>160.321612903226</v>
      </c>
      <c r="BG616" s="421">
        <f t="shared" ca="1" si="1343"/>
        <v>161.52031746031699</v>
      </c>
      <c r="BH616" s="421">
        <f t="shared" ca="1" si="1343"/>
        <v>151.24269841269799</v>
      </c>
      <c r="BI616" s="937">
        <f t="shared" ca="1" si="1343"/>
        <v>160.15432000000001</v>
      </c>
      <c r="BJ616" s="421">
        <f ca="1">IF(INDEX(MO_SNA_IsHistoricalPeriod,1,COLUMN())=FALSE,0,INDEX(MO_SPT_StockAverage,1,COLUMN()))</f>
        <v>150.90098360655699</v>
      </c>
      <c r="BK616" s="421">
        <f ca="1">IF(INDEX(MO_SNA_IsHistoricalPeriod,1,COLUMN())=FALSE,0,INDEX(MO_SPT_StockAverage,1,COLUMN()))</f>
        <v>159.45841269841301</v>
      </c>
      <c r="BL616" s="421">
        <f ca="1">IF(INDEX(MO_SNA_IsHistoricalPeriod,1,COLUMN())=FALSE,0,INDEX(MO_SPT_StockAverage,1,COLUMN()))</f>
        <v>148.84484375</v>
      </c>
      <c r="BM616" s="421">
        <f ca="1">IF(INDEX(MO_SNA_IsHistoricalPeriod,1,COLUMN())=FALSE,0,INDEX(MO_SPT_StockAverage,1,COLUMN()))</f>
        <v>153.06578124999999</v>
      </c>
      <c r="BN616" s="937">
        <f t="shared" ca="1" si="1343"/>
        <v>153.06793650793699</v>
      </c>
      <c r="BO616" s="421">
        <f t="shared" ref="BO616:BX616" ca="1" si="1344">IF(INDEX(MO_SNA_IsHistoricalPeriod,1,COLUMN())=FALSE,0,INDEX(MO_SPT_StockAverage,1,COLUMN()))</f>
        <v>156.5445</v>
      </c>
      <c r="BP616" s="421">
        <f t="shared" ca="1" si="1344"/>
        <v>140.972096774194</v>
      </c>
      <c r="BQ616" s="421">
        <f t="shared" ca="1" si="1344"/>
        <v>154.87187499999999</v>
      </c>
      <c r="BR616" s="421">
        <f t="shared" ca="1" si="1344"/>
        <v>152.30421874999999</v>
      </c>
      <c r="BS616" s="937">
        <f t="shared" ca="1" si="1344"/>
        <v>151.16883999999999</v>
      </c>
      <c r="BT616" s="684">
        <f ca="1">IF(INDEX(MO_SNA_IsHistoricalPeriod,1,COLUMN())=FALSE,0,INDEX(MO_SPT_StockAverage,1,COLUMN()))</f>
        <v>182.34868852458999</v>
      </c>
      <c r="BU616" s="421">
        <f>IF(INDEX(MO_SNA_IsHistoricalPeriod,1,COLUMN())=FALSE,0,INDEX(MO_SPT_StockAverage,1,COLUMN()))</f>
        <v>0</v>
      </c>
      <c r="BV616" s="421">
        <f>IF(INDEX(MO_SNA_IsHistoricalPeriod,1,COLUMN())=FALSE,0,INDEX(MO_SPT_StockAverage,1,COLUMN()))</f>
        <v>0</v>
      </c>
      <c r="BW616" s="421">
        <f>IF(INDEX(MO_SNA_IsHistoricalPeriod,1,COLUMN())=FALSE,0,INDEX(MO_SPT_StockAverage,1,COLUMN()))</f>
        <v>0</v>
      </c>
      <c r="BX616" s="937">
        <f t="shared" si="1344"/>
        <v>0</v>
      </c>
      <c r="BY616" s="421">
        <f t="shared" ref="BY616:CF616" si="1345">IF(INDEX(MO_SNA_IsHistoricalPeriod,1,COLUMN())=FALSE,0,INDEX(MO_SPT_StockAverage,1,COLUMN()))</f>
        <v>0</v>
      </c>
      <c r="BZ616" s="421">
        <f t="shared" si="1345"/>
        <v>0</v>
      </c>
      <c r="CA616" s="421">
        <f t="shared" si="1345"/>
        <v>0</v>
      </c>
      <c r="CB616" s="421">
        <f t="shared" si="1345"/>
        <v>0</v>
      </c>
      <c r="CC616" s="937">
        <f t="shared" si="1345"/>
        <v>0</v>
      </c>
      <c r="CD616" s="937">
        <f t="shared" si="1345"/>
        <v>0</v>
      </c>
      <c r="CE616" s="937">
        <f t="shared" si="1345"/>
        <v>0</v>
      </c>
      <c r="CF616" s="937">
        <f t="shared" si="1345"/>
        <v>0</v>
      </c>
      <c r="CG616" s="192"/>
    </row>
    <row r="617" spans="1:85" s="445" customFormat="1" hidden="1" outlineLevel="1" x14ac:dyDescent="0.3">
      <c r="A617" s="191" t="str">
        <f ca="1">"Stock EoP, "&amp;HP.TradeCurrency</f>
        <v>Stock EoP, USD</v>
      </c>
      <c r="B617" s="359"/>
      <c r="C617" s="938">
        <f t="shared" ref="C617:AH617" si="1346">IF(INDEX(MO_SNA_IsHistoricalPeriod,1,COLUMN())=FALSE,MO.LastPrice,INDEX(MO_SPT_StockEoP,1,COLUMN()))</f>
        <v>77.650000000000006</v>
      </c>
      <c r="D617" s="938">
        <f t="shared" si="1346"/>
        <v>91.6</v>
      </c>
      <c r="E617" s="938">
        <f t="shared" si="1346"/>
        <v>106.4</v>
      </c>
      <c r="F617" s="938">
        <f t="shared" si="1346"/>
        <v>106.45</v>
      </c>
      <c r="G617" s="410">
        <f t="shared" si="1346"/>
        <v>118.82</v>
      </c>
      <c r="H617" s="410">
        <f t="shared" si="1346"/>
        <v>118.34</v>
      </c>
      <c r="I617" s="410">
        <f t="shared" si="1346"/>
        <v>122.64</v>
      </c>
      <c r="J617" s="410">
        <f t="shared" si="1346"/>
        <v>124.23</v>
      </c>
      <c r="K617" s="938">
        <f t="shared" si="1346"/>
        <v>124.23</v>
      </c>
      <c r="L617" s="410">
        <f t="shared" si="1346"/>
        <v>118.5</v>
      </c>
      <c r="M617" s="410">
        <f t="shared" si="1346"/>
        <v>130.36000000000001</v>
      </c>
      <c r="N617" s="410">
        <f t="shared" si="1346"/>
        <v>120.55</v>
      </c>
      <c r="O617" s="410">
        <f t="shared" si="1346"/>
        <v>113.11</v>
      </c>
      <c r="P617" s="938">
        <f t="shared" si="1346"/>
        <v>113.11</v>
      </c>
      <c r="Q617" s="410">
        <f t="shared" si="1346"/>
        <v>106.9</v>
      </c>
      <c r="R617" s="410">
        <f t="shared" si="1346"/>
        <v>96.69</v>
      </c>
      <c r="S617" s="410">
        <f t="shared" si="1346"/>
        <v>76.25</v>
      </c>
      <c r="T617" s="410">
        <f t="shared" si="1346"/>
        <v>90.09</v>
      </c>
      <c r="U617" s="938">
        <f t="shared" si="1346"/>
        <v>90.09</v>
      </c>
      <c r="V617" s="410">
        <f t="shared" si="1346"/>
        <v>95.25</v>
      </c>
      <c r="W617" s="410">
        <f t="shared" si="1346"/>
        <v>103.42</v>
      </c>
      <c r="X617" s="410">
        <f t="shared" si="1346"/>
        <v>101.27</v>
      </c>
      <c r="Y617" s="410">
        <f t="shared" si="1346"/>
        <v>117.7</v>
      </c>
      <c r="Z617" s="939">
        <f t="shared" si="1346"/>
        <v>117.7</v>
      </c>
      <c r="AA617" s="410">
        <f t="shared" si="1346"/>
        <v>107.78</v>
      </c>
      <c r="AB617" s="410">
        <f t="shared" si="1346"/>
        <v>104.12</v>
      </c>
      <c r="AC617" s="410">
        <f t="shared" si="1346"/>
        <v>117.5</v>
      </c>
      <c r="AD617" s="410">
        <f t="shared" si="1346"/>
        <v>125.19</v>
      </c>
      <c r="AE617" s="939">
        <f t="shared" si="1346"/>
        <v>125.19</v>
      </c>
      <c r="AF617" s="410">
        <f t="shared" si="1346"/>
        <v>114.04</v>
      </c>
      <c r="AG617" s="410">
        <f t="shared" si="1346"/>
        <v>126.43</v>
      </c>
      <c r="AH617" s="410">
        <f t="shared" si="1346"/>
        <v>122.28</v>
      </c>
      <c r="AI617" s="410">
        <f t="shared" ref="AI617:BI617" si="1347">IF(INDEX(MO_SNA_IsHistoricalPeriod,1,COLUMN())=FALSE,MO.LastPrice,INDEX(MO_SPT_StockEoP,1,COLUMN()))</f>
        <v>108.65</v>
      </c>
      <c r="AJ617" s="939">
        <f t="shared" si="1347"/>
        <v>108.65</v>
      </c>
      <c r="AK617" s="410">
        <f t="shared" si="1347"/>
        <v>123.18</v>
      </c>
      <c r="AL617" s="410">
        <f t="shared" si="1347"/>
        <v>124.44</v>
      </c>
      <c r="AM617" s="410">
        <f t="shared" si="1347"/>
        <v>118.6</v>
      </c>
      <c r="AN617" s="410">
        <f t="shared" si="1347"/>
        <v>119.85</v>
      </c>
      <c r="AO617" s="940">
        <f t="shared" si="1347"/>
        <v>119.85</v>
      </c>
      <c r="AP617" s="410">
        <f t="shared" si="1347"/>
        <v>71.95</v>
      </c>
      <c r="AQ617" s="410">
        <f t="shared" si="1347"/>
        <v>87.67</v>
      </c>
      <c r="AR617" s="410">
        <f t="shared" si="1347"/>
        <v>71.900000000000006</v>
      </c>
      <c r="AS617" s="410">
        <f t="shared" si="1347"/>
        <v>85.33</v>
      </c>
      <c r="AT617" s="940">
        <f t="shared" si="1347"/>
        <v>85.33</v>
      </c>
      <c r="AU617" s="410">
        <f t="shared" si="1347"/>
        <v>105.93</v>
      </c>
      <c r="AV617" s="410">
        <f t="shared" si="1347"/>
        <v>103.76</v>
      </c>
      <c r="AW617" s="410">
        <f t="shared" si="1347"/>
        <v>103.33</v>
      </c>
      <c r="AX617" s="410">
        <f t="shared" si="1347"/>
        <v>117.43</v>
      </c>
      <c r="AY617" s="940">
        <f t="shared" si="1347"/>
        <v>117.43</v>
      </c>
      <c r="AZ617" s="410">
        <f t="shared" si="1347"/>
        <v>165.48</v>
      </c>
      <c r="BA617" s="410">
        <f>IF(INDEX(MO_SNA_IsHistoricalPeriod,1,COLUMN())=FALSE,MO.LastPrice,INDEX(MO_SPT_StockEoP,1,COLUMN()))</f>
        <v>146.97999999999999</v>
      </c>
      <c r="BB617" s="410">
        <f t="shared" si="1347"/>
        <v>144.77000000000001</v>
      </c>
      <c r="BC617" s="410">
        <f t="shared" si="1347"/>
        <v>179.49</v>
      </c>
      <c r="BD617" s="940">
        <f t="shared" si="1347"/>
        <v>179.49</v>
      </c>
      <c r="BE617" s="422">
        <f>IF(INDEX(MO_SNA_IsHistoricalPeriod,1,COLUMN())=FALSE,MO.LastPrice,INDEX(MO_SPT_StockEoP,1,COLUMN()))</f>
        <v>162.38999999999999</v>
      </c>
      <c r="BF617" s="422">
        <f>IF(INDEX(MO_SNA_IsHistoricalPeriod,1,COLUMN())=FALSE,MO.LastPrice,INDEX(MO_SPT_StockEoP,1,COLUMN()))</f>
        <v>156.24</v>
      </c>
      <c r="BG617" s="422">
        <f>IF(INDEX(MO_SNA_IsHistoricalPeriod,1,COLUMN())=FALSE,MO.LastPrice,INDEX(MO_SPT_StockEoP,1,COLUMN()))</f>
        <v>168.62</v>
      </c>
      <c r="BH617" s="422">
        <f>IF(INDEX(MO_SNA_IsHistoricalPeriod,1,COLUMN())=FALSE,MO.LastPrice,INDEX(MO_SPT_StockEoP,1,COLUMN()))</f>
        <v>149.16</v>
      </c>
      <c r="BI617" s="940">
        <f t="shared" si="1347"/>
        <v>149.16</v>
      </c>
      <c r="BJ617" s="422">
        <f t="shared" ref="BJ617:BS617" si="1348">IF(INDEX(MO_SNA_IsHistoricalPeriod,1,COLUMN())=FALSE,MO.LastPrice,INDEX(MO_SPT_StockEoP,1,COLUMN()))</f>
        <v>157.74</v>
      </c>
      <c r="BK617" s="422">
        <f t="shared" si="1348"/>
        <v>156.41999999999999</v>
      </c>
      <c r="BL617" s="422">
        <f t="shared" si="1348"/>
        <v>145.49</v>
      </c>
      <c r="BM617" s="422">
        <f t="shared" si="1348"/>
        <v>143.07</v>
      </c>
      <c r="BN617" s="940">
        <f t="shared" si="1348"/>
        <v>143.07</v>
      </c>
      <c r="BO617" s="422">
        <f>IF(INDEX(MO_SNA_IsHistoricalPeriod,1,COLUMN())=FALSE,MO.LastPrice,INDEX(MO_SPT_StockEoP,1,COLUMN()))</f>
        <v>166.09</v>
      </c>
      <c r="BP617" s="422">
        <f>IF(INDEX(MO_SNA_IsHistoricalPeriod,1,COLUMN())=FALSE,MO.LastPrice,INDEX(MO_SPT_StockEoP,1,COLUMN()))</f>
        <v>143.79</v>
      </c>
      <c r="BQ617" s="422">
        <f>IF(INDEX(MO_SNA_IsHistoricalPeriod,1,COLUMN())=FALSE,MO.LastPrice,INDEX(MO_SPT_StockEoP,1,COLUMN()))</f>
        <v>156.1</v>
      </c>
      <c r="BR617" s="422">
        <f>IF(INDEX(MO_SNA_IsHistoricalPeriod,1,COLUMN())=FALSE,MO.LastPrice,INDEX(MO_SPT_StockEoP,1,COLUMN()))</f>
        <v>152.31</v>
      </c>
      <c r="BS617" s="940">
        <f t="shared" si="1348"/>
        <v>152.31</v>
      </c>
      <c r="BT617" s="685">
        <f t="shared" ref="BT617:CF617" si="1349">IF(INDEX(MO_SNA_IsHistoricalPeriod,1,COLUMN())=FALSE,MO.LastPrice,INDEX(MO_SPT_StockEoP,1,COLUMN()))</f>
        <v>210.71</v>
      </c>
      <c r="BU617" s="422">
        <f t="shared" ca="1" si="1349"/>
        <v>185.16</v>
      </c>
      <c r="BV617" s="422">
        <f t="shared" ca="1" si="1349"/>
        <v>185.16</v>
      </c>
      <c r="BW617" s="422">
        <f t="shared" ca="1" si="1349"/>
        <v>185.16</v>
      </c>
      <c r="BX617" s="940">
        <f t="shared" ca="1" si="1349"/>
        <v>185.16</v>
      </c>
      <c r="BY617" s="422">
        <f t="shared" ca="1" si="1349"/>
        <v>185.16</v>
      </c>
      <c r="BZ617" s="422">
        <f t="shared" ca="1" si="1349"/>
        <v>185.16</v>
      </c>
      <c r="CA617" s="422">
        <f t="shared" ca="1" si="1349"/>
        <v>185.16</v>
      </c>
      <c r="CB617" s="422">
        <f t="shared" ca="1" si="1349"/>
        <v>185.16</v>
      </c>
      <c r="CC617" s="940">
        <f t="shared" ca="1" si="1349"/>
        <v>185.16</v>
      </c>
      <c r="CD617" s="940">
        <f t="shared" ca="1" si="1349"/>
        <v>185.16</v>
      </c>
      <c r="CE617" s="940">
        <f t="shared" ca="1" si="1349"/>
        <v>185.16</v>
      </c>
      <c r="CF617" s="940">
        <f t="shared" ca="1" si="1349"/>
        <v>185.16</v>
      </c>
      <c r="CG617" s="192"/>
    </row>
    <row r="618" spans="1:85" s="446" customFormat="1" hidden="1" outlineLevel="1" x14ac:dyDescent="0.3">
      <c r="A618" s="214" t="str">
        <f ca="1">"Average FX Rate, "&amp;HP.TradeCurrency&amp;"/"&amp;MO.ReportCurrency</f>
        <v>Average FX Rate, USD/USD</v>
      </c>
      <c r="B618" s="360"/>
      <c r="C618" s="941">
        <f t="shared" ref="C618:AH618" ca="1" si="1350">IF(INDEX(MO_SPT_FXAverage,1,COLUMN())=0,1,INDEX(MO_SPT_FXAverage,1,COLUMN()))</f>
        <v>1</v>
      </c>
      <c r="D618" s="941">
        <f t="shared" ca="1" si="1350"/>
        <v>1</v>
      </c>
      <c r="E618" s="941">
        <f t="shared" ca="1" si="1350"/>
        <v>1</v>
      </c>
      <c r="F618" s="941">
        <f t="shared" ca="1" si="1350"/>
        <v>1</v>
      </c>
      <c r="G618" s="411">
        <f t="shared" ca="1" si="1350"/>
        <v>1</v>
      </c>
      <c r="H618" s="411">
        <f t="shared" ca="1" si="1350"/>
        <v>1</v>
      </c>
      <c r="I618" s="411">
        <f t="shared" ca="1" si="1350"/>
        <v>1</v>
      </c>
      <c r="J618" s="411">
        <f t="shared" ca="1" si="1350"/>
        <v>1</v>
      </c>
      <c r="K618" s="941">
        <f t="shared" ca="1" si="1350"/>
        <v>1</v>
      </c>
      <c r="L618" s="411">
        <f t="shared" ca="1" si="1350"/>
        <v>1</v>
      </c>
      <c r="M618" s="411">
        <f t="shared" ca="1" si="1350"/>
        <v>1</v>
      </c>
      <c r="N618" s="411">
        <f t="shared" ca="1" si="1350"/>
        <v>1</v>
      </c>
      <c r="O618" s="411">
        <f t="shared" ca="1" si="1350"/>
        <v>1</v>
      </c>
      <c r="P618" s="941">
        <f t="shared" ca="1" si="1350"/>
        <v>1</v>
      </c>
      <c r="Q618" s="411">
        <f t="shared" ca="1" si="1350"/>
        <v>1</v>
      </c>
      <c r="R618" s="411">
        <f t="shared" ca="1" si="1350"/>
        <v>1</v>
      </c>
      <c r="S618" s="411">
        <f t="shared" ca="1" si="1350"/>
        <v>1</v>
      </c>
      <c r="T618" s="411">
        <f t="shared" ca="1" si="1350"/>
        <v>1</v>
      </c>
      <c r="U618" s="941">
        <f t="shared" ca="1" si="1350"/>
        <v>1</v>
      </c>
      <c r="V618" s="411">
        <f t="shared" ca="1" si="1350"/>
        <v>1</v>
      </c>
      <c r="W618" s="411">
        <f t="shared" ca="1" si="1350"/>
        <v>1</v>
      </c>
      <c r="X618" s="411">
        <f t="shared" ca="1" si="1350"/>
        <v>1</v>
      </c>
      <c r="Y618" s="411">
        <f t="shared" ca="1" si="1350"/>
        <v>1</v>
      </c>
      <c r="Z618" s="942">
        <f t="shared" ca="1" si="1350"/>
        <v>1</v>
      </c>
      <c r="AA618" s="411">
        <f t="shared" ca="1" si="1350"/>
        <v>1</v>
      </c>
      <c r="AB618" s="411">
        <f t="shared" ca="1" si="1350"/>
        <v>1</v>
      </c>
      <c r="AC618" s="411">
        <f t="shared" ca="1" si="1350"/>
        <v>1</v>
      </c>
      <c r="AD618" s="411">
        <f t="shared" ca="1" si="1350"/>
        <v>1</v>
      </c>
      <c r="AE618" s="942">
        <f t="shared" ca="1" si="1350"/>
        <v>1</v>
      </c>
      <c r="AF618" s="411">
        <f t="shared" ca="1" si="1350"/>
        <v>1</v>
      </c>
      <c r="AG618" s="411">
        <f t="shared" ca="1" si="1350"/>
        <v>1</v>
      </c>
      <c r="AH618" s="411">
        <f t="shared" ca="1" si="1350"/>
        <v>1</v>
      </c>
      <c r="AI618" s="411">
        <f t="shared" ref="AI618:BD618" ca="1" si="1351">IF(INDEX(MO_SPT_FXAverage,1,COLUMN())=0,1,INDEX(MO_SPT_FXAverage,1,COLUMN()))</f>
        <v>1</v>
      </c>
      <c r="AJ618" s="942">
        <f t="shared" ca="1" si="1351"/>
        <v>1</v>
      </c>
      <c r="AK618" s="411">
        <f t="shared" ca="1" si="1351"/>
        <v>1</v>
      </c>
      <c r="AL618" s="411">
        <f t="shared" ca="1" si="1351"/>
        <v>1</v>
      </c>
      <c r="AM618" s="411">
        <f t="shared" ca="1" si="1351"/>
        <v>1</v>
      </c>
      <c r="AN618" s="411">
        <f t="shared" ca="1" si="1351"/>
        <v>1</v>
      </c>
      <c r="AO618" s="943">
        <f t="shared" ca="1" si="1351"/>
        <v>1</v>
      </c>
      <c r="AP618" s="411">
        <f t="shared" ca="1" si="1351"/>
        <v>1</v>
      </c>
      <c r="AQ618" s="411">
        <f t="shared" ca="1" si="1351"/>
        <v>1</v>
      </c>
      <c r="AR618" s="411">
        <f ca="1">IF(INDEX(MO_SPT_FXAverage,1,COLUMN())=0,1,INDEX(MO_SPT_FXAverage,1,COLUMN()))</f>
        <v>1</v>
      </c>
      <c r="AS618" s="411">
        <f t="shared" ca="1" si="1351"/>
        <v>1</v>
      </c>
      <c r="AT618" s="943">
        <f t="shared" ca="1" si="1351"/>
        <v>1</v>
      </c>
      <c r="AU618" s="411">
        <f t="shared" ca="1" si="1351"/>
        <v>1</v>
      </c>
      <c r="AV618" s="411">
        <f ca="1">IF(INDEX(MO_SPT_FXAverage,1,COLUMN())=0,1,INDEX(MO_SPT_FXAverage,1,COLUMN()))</f>
        <v>1</v>
      </c>
      <c r="AW618" s="411">
        <f ca="1">IF(INDEX(MO_SPT_FXAverage,1,COLUMN())=0,1,INDEX(MO_SPT_FXAverage,1,COLUMN()))</f>
        <v>1</v>
      </c>
      <c r="AX618" s="411">
        <f t="shared" ca="1" si="1351"/>
        <v>1</v>
      </c>
      <c r="AY618" s="943">
        <f t="shared" ca="1" si="1351"/>
        <v>1</v>
      </c>
      <c r="AZ618" s="411">
        <f ca="1">IF(INDEX(MO_SPT_FXAverage,1,COLUMN())=0,1,INDEX(MO_SPT_FXAverage,1,COLUMN()))</f>
        <v>1</v>
      </c>
      <c r="BA618" s="411">
        <f ca="1">IF(INDEX(MO_SPT_FXAverage,1,COLUMN())=0,1,INDEX(MO_SPT_FXAverage,1,COLUMN()))</f>
        <v>1</v>
      </c>
      <c r="BB618" s="411">
        <f t="shared" ca="1" si="1351"/>
        <v>1</v>
      </c>
      <c r="BC618" s="411">
        <f t="shared" ca="1" si="1351"/>
        <v>1</v>
      </c>
      <c r="BD618" s="943">
        <f t="shared" ca="1" si="1351"/>
        <v>1</v>
      </c>
      <c r="BE618" s="423">
        <f t="shared" ref="BE618:BN618" ca="1" si="1352">IF(INDEX(MO_SPT_FXAverage,1,COLUMN())=0,1,INDEX(MO_SPT_FXAverage,1,COLUMN()))</f>
        <v>1</v>
      </c>
      <c r="BF618" s="423">
        <f t="shared" ca="1" si="1352"/>
        <v>1</v>
      </c>
      <c r="BG618" s="423">
        <f t="shared" ca="1" si="1352"/>
        <v>1</v>
      </c>
      <c r="BH618" s="423">
        <f t="shared" ca="1" si="1352"/>
        <v>1</v>
      </c>
      <c r="BI618" s="943">
        <f t="shared" ca="1" si="1352"/>
        <v>1</v>
      </c>
      <c r="BJ618" s="423">
        <f ca="1">IF(INDEX(MO_SPT_FXAverage,1,COLUMN())=0,1,INDEX(MO_SPT_FXAverage,1,COLUMN()))</f>
        <v>1</v>
      </c>
      <c r="BK618" s="423">
        <f ca="1">IF(INDEX(MO_SPT_FXAverage,1,COLUMN())=0,1,INDEX(MO_SPT_FXAverage,1,COLUMN()))</f>
        <v>1</v>
      </c>
      <c r="BL618" s="423">
        <f ca="1">IF(INDEX(MO_SPT_FXAverage,1,COLUMN())=0,1,INDEX(MO_SPT_FXAverage,1,COLUMN()))</f>
        <v>1</v>
      </c>
      <c r="BM618" s="423">
        <f ca="1">IF(INDEX(MO_SPT_FXAverage,1,COLUMN())=0,1,INDEX(MO_SPT_FXAverage,1,COLUMN()))</f>
        <v>1</v>
      </c>
      <c r="BN618" s="943">
        <f t="shared" ca="1" si="1352"/>
        <v>1</v>
      </c>
      <c r="BO618" s="423">
        <f t="shared" ref="BO618:BX618" ca="1" si="1353">IF(INDEX(MO_SPT_FXAverage,1,COLUMN())=0,1,INDEX(MO_SPT_FXAverage,1,COLUMN()))</f>
        <v>1</v>
      </c>
      <c r="BP618" s="423">
        <f t="shared" ca="1" si="1353"/>
        <v>1</v>
      </c>
      <c r="BQ618" s="423">
        <f t="shared" ca="1" si="1353"/>
        <v>1</v>
      </c>
      <c r="BR618" s="423">
        <f t="shared" ca="1" si="1353"/>
        <v>1</v>
      </c>
      <c r="BS618" s="943">
        <f t="shared" ca="1" si="1353"/>
        <v>1</v>
      </c>
      <c r="BT618" s="686">
        <f ca="1">IF(INDEX(MO_SPT_FXAverage,1,COLUMN())=0,1,INDEX(MO_SPT_FXAverage,1,COLUMN()))</f>
        <v>1</v>
      </c>
      <c r="BU618" s="423">
        <f ca="1">IF(INDEX(MO_SPT_FXAverage,1,COLUMN())=0,1,INDEX(MO_SPT_FXAverage,1,COLUMN()))</f>
        <v>1</v>
      </c>
      <c r="BV618" s="423">
        <f ca="1">IF(INDEX(MO_SPT_FXAverage,1,COLUMN())=0,1,INDEX(MO_SPT_FXAverage,1,COLUMN()))</f>
        <v>1</v>
      </c>
      <c r="BW618" s="423">
        <f ca="1">IF(INDEX(MO_SPT_FXAverage,1,COLUMN())=0,1,INDEX(MO_SPT_FXAverage,1,COLUMN()))</f>
        <v>1</v>
      </c>
      <c r="BX618" s="943">
        <f t="shared" ca="1" si="1353"/>
        <v>1</v>
      </c>
      <c r="BY618" s="423">
        <f t="shared" ref="BY618:CF618" ca="1" si="1354">IF(INDEX(MO_SPT_FXAverage,1,COLUMN())=0,1,INDEX(MO_SPT_FXAverage,1,COLUMN()))</f>
        <v>1</v>
      </c>
      <c r="BZ618" s="423">
        <f t="shared" ca="1" si="1354"/>
        <v>1</v>
      </c>
      <c r="CA618" s="423">
        <f t="shared" ca="1" si="1354"/>
        <v>1</v>
      </c>
      <c r="CB618" s="423">
        <f t="shared" ca="1" si="1354"/>
        <v>1</v>
      </c>
      <c r="CC618" s="943">
        <f t="shared" ca="1" si="1354"/>
        <v>1</v>
      </c>
      <c r="CD618" s="943">
        <f t="shared" ca="1" si="1354"/>
        <v>1</v>
      </c>
      <c r="CE618" s="943">
        <f t="shared" ca="1" si="1354"/>
        <v>1</v>
      </c>
      <c r="CF618" s="943">
        <f t="shared" ca="1" si="1354"/>
        <v>1</v>
      </c>
      <c r="CG618" s="200"/>
    </row>
    <row r="619" spans="1:85" s="446" customFormat="1" hidden="1" outlineLevel="1" x14ac:dyDescent="0.3">
      <c r="A619" s="214" t="str">
        <f ca="1">"EoP FX Rate, "&amp;HP.TradeCurrency&amp;"/"&amp;MO.ReportCurrency</f>
        <v>EoP FX Rate, USD/USD</v>
      </c>
      <c r="B619" s="360"/>
      <c r="C619" s="941">
        <f t="shared" ref="C619:AH619" si="1355">IF(INDEX(MO_SNA_IsHistoricalPeriod,1,COLUMN())=FALSE,HP.MRFX,INDEX(MO_SPT_FXEoP,1,COLUMN()))</f>
        <v>1</v>
      </c>
      <c r="D619" s="941">
        <f t="shared" si="1355"/>
        <v>1</v>
      </c>
      <c r="E619" s="941">
        <f t="shared" si="1355"/>
        <v>1</v>
      </c>
      <c r="F619" s="941">
        <f t="shared" si="1355"/>
        <v>1</v>
      </c>
      <c r="G619" s="411">
        <f t="shared" si="1355"/>
        <v>1</v>
      </c>
      <c r="H619" s="411">
        <f t="shared" si="1355"/>
        <v>1</v>
      </c>
      <c r="I619" s="411">
        <f t="shared" si="1355"/>
        <v>1</v>
      </c>
      <c r="J619" s="411">
        <f t="shared" si="1355"/>
        <v>1</v>
      </c>
      <c r="K619" s="941">
        <f t="shared" si="1355"/>
        <v>1</v>
      </c>
      <c r="L619" s="411">
        <f t="shared" si="1355"/>
        <v>1</v>
      </c>
      <c r="M619" s="411">
        <f t="shared" si="1355"/>
        <v>1</v>
      </c>
      <c r="N619" s="411">
        <f t="shared" si="1355"/>
        <v>1</v>
      </c>
      <c r="O619" s="411">
        <f t="shared" si="1355"/>
        <v>1</v>
      </c>
      <c r="P619" s="941">
        <f t="shared" si="1355"/>
        <v>1</v>
      </c>
      <c r="Q619" s="411">
        <f t="shared" si="1355"/>
        <v>1</v>
      </c>
      <c r="R619" s="411">
        <f t="shared" si="1355"/>
        <v>1</v>
      </c>
      <c r="S619" s="411">
        <f t="shared" si="1355"/>
        <v>1</v>
      </c>
      <c r="T619" s="411">
        <f t="shared" si="1355"/>
        <v>1</v>
      </c>
      <c r="U619" s="941">
        <f t="shared" si="1355"/>
        <v>1</v>
      </c>
      <c r="V619" s="411">
        <f t="shared" si="1355"/>
        <v>1</v>
      </c>
      <c r="W619" s="411">
        <f t="shared" si="1355"/>
        <v>1</v>
      </c>
      <c r="X619" s="411">
        <f t="shared" si="1355"/>
        <v>1</v>
      </c>
      <c r="Y619" s="411">
        <f t="shared" si="1355"/>
        <v>1</v>
      </c>
      <c r="Z619" s="942">
        <f t="shared" si="1355"/>
        <v>1</v>
      </c>
      <c r="AA619" s="411">
        <f t="shared" si="1355"/>
        <v>1</v>
      </c>
      <c r="AB619" s="411">
        <f t="shared" si="1355"/>
        <v>1</v>
      </c>
      <c r="AC619" s="411">
        <f t="shared" si="1355"/>
        <v>1</v>
      </c>
      <c r="AD619" s="411">
        <f t="shared" si="1355"/>
        <v>1</v>
      </c>
      <c r="AE619" s="942">
        <f t="shared" si="1355"/>
        <v>1</v>
      </c>
      <c r="AF619" s="411">
        <f t="shared" si="1355"/>
        <v>1</v>
      </c>
      <c r="AG619" s="411">
        <f t="shared" si="1355"/>
        <v>1</v>
      </c>
      <c r="AH619" s="411">
        <f t="shared" si="1355"/>
        <v>1</v>
      </c>
      <c r="AI619" s="411">
        <f t="shared" ref="AI619:BI619" si="1356">IF(INDEX(MO_SNA_IsHistoricalPeriod,1,COLUMN())=FALSE,HP.MRFX,INDEX(MO_SPT_FXEoP,1,COLUMN()))</f>
        <v>1</v>
      </c>
      <c r="AJ619" s="942">
        <f t="shared" si="1356"/>
        <v>1</v>
      </c>
      <c r="AK619" s="411">
        <f t="shared" si="1356"/>
        <v>1</v>
      </c>
      <c r="AL619" s="411">
        <f t="shared" si="1356"/>
        <v>1</v>
      </c>
      <c r="AM619" s="411">
        <f t="shared" si="1356"/>
        <v>1</v>
      </c>
      <c r="AN619" s="411">
        <f t="shared" si="1356"/>
        <v>1</v>
      </c>
      <c r="AO619" s="943">
        <f t="shared" si="1356"/>
        <v>1</v>
      </c>
      <c r="AP619" s="411">
        <f t="shared" si="1356"/>
        <v>1</v>
      </c>
      <c r="AQ619" s="411">
        <f t="shared" si="1356"/>
        <v>1</v>
      </c>
      <c r="AR619" s="411">
        <f t="shared" si="1356"/>
        <v>1</v>
      </c>
      <c r="AS619" s="411">
        <f t="shared" si="1356"/>
        <v>1</v>
      </c>
      <c r="AT619" s="943">
        <f t="shared" si="1356"/>
        <v>1</v>
      </c>
      <c r="AU619" s="411">
        <f t="shared" si="1356"/>
        <v>1</v>
      </c>
      <c r="AV619" s="411">
        <f t="shared" si="1356"/>
        <v>1</v>
      </c>
      <c r="AW619" s="411">
        <f t="shared" si="1356"/>
        <v>1</v>
      </c>
      <c r="AX619" s="411">
        <f t="shared" si="1356"/>
        <v>1</v>
      </c>
      <c r="AY619" s="943">
        <f t="shared" si="1356"/>
        <v>1</v>
      </c>
      <c r="AZ619" s="411">
        <f t="shared" si="1356"/>
        <v>1</v>
      </c>
      <c r="BA619" s="411">
        <f>IF(INDEX(MO_SNA_IsHistoricalPeriod,1,COLUMN())=FALSE,HP.MRFX,INDEX(MO_SPT_FXEoP,1,COLUMN()))</f>
        <v>1</v>
      </c>
      <c r="BB619" s="411">
        <f t="shared" si="1356"/>
        <v>1</v>
      </c>
      <c r="BC619" s="411">
        <f t="shared" si="1356"/>
        <v>1</v>
      </c>
      <c r="BD619" s="943">
        <f t="shared" si="1356"/>
        <v>1</v>
      </c>
      <c r="BE619" s="423">
        <f>IF(INDEX(MO_SNA_IsHistoricalPeriod,1,COLUMN())=FALSE,HP.MRFX,INDEX(MO_SPT_FXEoP,1,COLUMN()))</f>
        <v>1</v>
      </c>
      <c r="BF619" s="423">
        <f>IF(INDEX(MO_SNA_IsHistoricalPeriod,1,COLUMN())=FALSE,HP.MRFX,INDEX(MO_SPT_FXEoP,1,COLUMN()))</f>
        <v>1</v>
      </c>
      <c r="BG619" s="423">
        <f>IF(INDEX(MO_SNA_IsHistoricalPeriod,1,COLUMN())=FALSE,HP.MRFX,INDEX(MO_SPT_FXEoP,1,COLUMN()))</f>
        <v>1</v>
      </c>
      <c r="BH619" s="423">
        <f>IF(INDEX(MO_SNA_IsHistoricalPeriod,1,COLUMN())=FALSE,HP.MRFX,INDEX(MO_SPT_FXEoP,1,COLUMN()))</f>
        <v>1</v>
      </c>
      <c r="BI619" s="943">
        <f t="shared" si="1356"/>
        <v>1</v>
      </c>
      <c r="BJ619" s="423">
        <f t="shared" ref="BJ619:BS619" si="1357">IF(INDEX(MO_SNA_IsHistoricalPeriod,1,COLUMN())=FALSE,HP.MRFX,INDEX(MO_SPT_FXEoP,1,COLUMN()))</f>
        <v>1</v>
      </c>
      <c r="BK619" s="423">
        <f t="shared" si="1357"/>
        <v>1</v>
      </c>
      <c r="BL619" s="423">
        <f t="shared" si="1357"/>
        <v>1</v>
      </c>
      <c r="BM619" s="423">
        <f t="shared" si="1357"/>
        <v>1</v>
      </c>
      <c r="BN619" s="943">
        <f t="shared" si="1357"/>
        <v>1</v>
      </c>
      <c r="BO619" s="423">
        <f>IF(INDEX(MO_SNA_IsHistoricalPeriod,1,COLUMN())=FALSE,HP.MRFX,INDEX(MO_SPT_FXEoP,1,COLUMN()))</f>
        <v>1</v>
      </c>
      <c r="BP619" s="423">
        <f>IF(INDEX(MO_SNA_IsHistoricalPeriod,1,COLUMN())=FALSE,HP.MRFX,INDEX(MO_SPT_FXEoP,1,COLUMN()))</f>
        <v>1</v>
      </c>
      <c r="BQ619" s="423">
        <f>IF(INDEX(MO_SNA_IsHistoricalPeriod,1,COLUMN())=FALSE,HP.MRFX,INDEX(MO_SPT_FXEoP,1,COLUMN()))</f>
        <v>1</v>
      </c>
      <c r="BR619" s="423">
        <f>IF(INDEX(MO_SNA_IsHistoricalPeriod,1,COLUMN())=FALSE,HP.MRFX,INDEX(MO_SPT_FXEoP,1,COLUMN()))</f>
        <v>1</v>
      </c>
      <c r="BS619" s="943">
        <f t="shared" si="1357"/>
        <v>1</v>
      </c>
      <c r="BT619" s="686">
        <f t="shared" ref="BT619:CF619" si="1358">IF(INDEX(MO_SNA_IsHistoricalPeriod,1,COLUMN())=FALSE,HP.MRFX,INDEX(MO_SPT_FXEoP,1,COLUMN()))</f>
        <v>1</v>
      </c>
      <c r="BU619" s="423">
        <f t="shared" ca="1" si="1358"/>
        <v>1</v>
      </c>
      <c r="BV619" s="423">
        <f t="shared" ca="1" si="1358"/>
        <v>1</v>
      </c>
      <c r="BW619" s="423">
        <f t="shared" ca="1" si="1358"/>
        <v>1</v>
      </c>
      <c r="BX619" s="943">
        <f t="shared" ca="1" si="1358"/>
        <v>1</v>
      </c>
      <c r="BY619" s="423">
        <f t="shared" ca="1" si="1358"/>
        <v>1</v>
      </c>
      <c r="BZ619" s="423">
        <f t="shared" ca="1" si="1358"/>
        <v>1</v>
      </c>
      <c r="CA619" s="423">
        <f t="shared" ca="1" si="1358"/>
        <v>1</v>
      </c>
      <c r="CB619" s="423">
        <f t="shared" ca="1" si="1358"/>
        <v>1</v>
      </c>
      <c r="CC619" s="943">
        <f t="shared" ca="1" si="1358"/>
        <v>1</v>
      </c>
      <c r="CD619" s="943">
        <f t="shared" ca="1" si="1358"/>
        <v>1</v>
      </c>
      <c r="CE619" s="943">
        <f t="shared" ca="1" si="1358"/>
        <v>1</v>
      </c>
      <c r="CF619" s="943">
        <f t="shared" ca="1" si="1358"/>
        <v>1</v>
      </c>
      <c r="CG619" s="200"/>
    </row>
    <row r="620" spans="1:85" s="445" customFormat="1" hidden="1" outlineLevel="1" x14ac:dyDescent="0.3">
      <c r="A620" s="191" t="str">
        <f ca="1">"Stock Price (Trading Cur.) - "&amp;MO.ValuationToggle&amp;", "&amp;HP.TradeCurrency</f>
        <v>Stock Price (Trading Cur.) - EoP, USD</v>
      </c>
      <c r="B620" s="359"/>
      <c r="C620" s="935">
        <f t="shared" ref="C620:AH620" si="1359">IF(INDEX(MO_SNA_IsHistoricalPeriod,1,COLUMN())=FALSE,MO.LastPrice,CHOOSE(VLOOKUP(MO.ValuationToggle,tb_ValuationToggle,COLUMNS(tb_ValuationToggle),FALSE),C614,C615,C616,C617))</f>
        <v>77.650000000000006</v>
      </c>
      <c r="D620" s="935">
        <f t="shared" si="1359"/>
        <v>91.6</v>
      </c>
      <c r="E620" s="935">
        <f t="shared" si="1359"/>
        <v>106.4</v>
      </c>
      <c r="F620" s="935">
        <f t="shared" si="1359"/>
        <v>106.45</v>
      </c>
      <c r="G620" s="232">
        <f t="shared" si="1359"/>
        <v>118.82</v>
      </c>
      <c r="H620" s="232">
        <f t="shared" si="1359"/>
        <v>118.34</v>
      </c>
      <c r="I620" s="232">
        <f t="shared" si="1359"/>
        <v>122.64</v>
      </c>
      <c r="J620" s="232">
        <f t="shared" si="1359"/>
        <v>124.23</v>
      </c>
      <c r="K620" s="935">
        <f t="shared" si="1359"/>
        <v>124.23</v>
      </c>
      <c r="L620" s="232">
        <f t="shared" si="1359"/>
        <v>118.5</v>
      </c>
      <c r="M620" s="232">
        <f t="shared" si="1359"/>
        <v>130.36000000000001</v>
      </c>
      <c r="N620" s="232">
        <f t="shared" si="1359"/>
        <v>120.55</v>
      </c>
      <c r="O620" s="232">
        <f t="shared" si="1359"/>
        <v>113.11</v>
      </c>
      <c r="P620" s="935">
        <f t="shared" si="1359"/>
        <v>113.11</v>
      </c>
      <c r="Q620" s="232">
        <f t="shared" si="1359"/>
        <v>106.9</v>
      </c>
      <c r="R620" s="232">
        <f t="shared" si="1359"/>
        <v>96.69</v>
      </c>
      <c r="S620" s="232">
        <f t="shared" si="1359"/>
        <v>76.25</v>
      </c>
      <c r="T620" s="232">
        <f t="shared" si="1359"/>
        <v>90.09</v>
      </c>
      <c r="U620" s="935">
        <f t="shared" si="1359"/>
        <v>90.09</v>
      </c>
      <c r="V620" s="232">
        <f t="shared" si="1359"/>
        <v>95.25</v>
      </c>
      <c r="W620" s="232">
        <f t="shared" si="1359"/>
        <v>103.42</v>
      </c>
      <c r="X620" s="232">
        <f t="shared" si="1359"/>
        <v>101.27</v>
      </c>
      <c r="Y620" s="232">
        <f t="shared" si="1359"/>
        <v>117.7</v>
      </c>
      <c r="Z620" s="936">
        <f t="shared" si="1359"/>
        <v>117.7</v>
      </c>
      <c r="AA620" s="232">
        <f t="shared" si="1359"/>
        <v>107.78</v>
      </c>
      <c r="AB620" s="232">
        <f t="shared" si="1359"/>
        <v>104.12</v>
      </c>
      <c r="AC620" s="232">
        <f t="shared" si="1359"/>
        <v>117.5</v>
      </c>
      <c r="AD620" s="232">
        <f t="shared" si="1359"/>
        <v>125.19</v>
      </c>
      <c r="AE620" s="936">
        <f t="shared" si="1359"/>
        <v>125.19</v>
      </c>
      <c r="AF620" s="232">
        <f t="shared" si="1359"/>
        <v>114.04</v>
      </c>
      <c r="AG620" s="232">
        <f t="shared" si="1359"/>
        <v>126.43</v>
      </c>
      <c r="AH620" s="232">
        <f t="shared" si="1359"/>
        <v>122.28</v>
      </c>
      <c r="AI620" s="232">
        <f t="shared" ref="AI620:BN620" si="1360">IF(INDEX(MO_SNA_IsHistoricalPeriod,1,COLUMN())=FALSE,MO.LastPrice,CHOOSE(VLOOKUP(MO.ValuationToggle,tb_ValuationToggle,COLUMNS(tb_ValuationToggle),FALSE),AI614,AI615,AI616,AI617))</f>
        <v>108.65</v>
      </c>
      <c r="AJ620" s="936">
        <f t="shared" si="1360"/>
        <v>108.65</v>
      </c>
      <c r="AK620" s="232">
        <f t="shared" si="1360"/>
        <v>123.18</v>
      </c>
      <c r="AL620" s="232">
        <f t="shared" si="1360"/>
        <v>124.44</v>
      </c>
      <c r="AM620" s="232">
        <f t="shared" si="1360"/>
        <v>118.6</v>
      </c>
      <c r="AN620" s="232">
        <f t="shared" si="1360"/>
        <v>119.85</v>
      </c>
      <c r="AO620" s="937">
        <f t="shared" si="1360"/>
        <v>119.85</v>
      </c>
      <c r="AP620" s="232">
        <f t="shared" si="1360"/>
        <v>71.95</v>
      </c>
      <c r="AQ620" s="232">
        <f t="shared" si="1360"/>
        <v>87.67</v>
      </c>
      <c r="AR620" s="232">
        <f t="shared" si="1360"/>
        <v>71.900000000000006</v>
      </c>
      <c r="AS620" s="232">
        <f t="shared" si="1360"/>
        <v>85.33</v>
      </c>
      <c r="AT620" s="937">
        <f t="shared" si="1360"/>
        <v>85.33</v>
      </c>
      <c r="AU620" s="232">
        <f t="shared" si="1360"/>
        <v>105.93</v>
      </c>
      <c r="AV620" s="232">
        <f t="shared" si="1360"/>
        <v>103.76</v>
      </c>
      <c r="AW620" s="232">
        <f t="shared" si="1360"/>
        <v>103.33</v>
      </c>
      <c r="AX620" s="232">
        <f t="shared" si="1360"/>
        <v>117.43</v>
      </c>
      <c r="AY620" s="937">
        <f t="shared" si="1360"/>
        <v>117.43</v>
      </c>
      <c r="AZ620" s="232">
        <f t="shared" si="1360"/>
        <v>165.48</v>
      </c>
      <c r="BA620" s="232">
        <f t="shared" si="1360"/>
        <v>146.97999999999999</v>
      </c>
      <c r="BB620" s="232">
        <f t="shared" si="1360"/>
        <v>144.77000000000001</v>
      </c>
      <c r="BC620" s="232">
        <f t="shared" si="1360"/>
        <v>179.49</v>
      </c>
      <c r="BD620" s="937">
        <f t="shared" si="1360"/>
        <v>179.49</v>
      </c>
      <c r="BE620" s="421">
        <f t="shared" si="1360"/>
        <v>162.38999999999999</v>
      </c>
      <c r="BF620" s="421">
        <f t="shared" si="1360"/>
        <v>156.24</v>
      </c>
      <c r="BG620" s="421">
        <f t="shared" si="1360"/>
        <v>168.62</v>
      </c>
      <c r="BH620" s="421">
        <f t="shared" si="1360"/>
        <v>149.16</v>
      </c>
      <c r="BI620" s="937">
        <f t="shared" si="1360"/>
        <v>149.16</v>
      </c>
      <c r="BJ620" s="421">
        <f>IF(INDEX(MO_SNA_IsHistoricalPeriod,1,COLUMN())=FALSE,MO.LastPrice,CHOOSE(VLOOKUP(MO.ValuationToggle,tb_ValuationToggle,COLUMNS(tb_ValuationToggle),FALSE),BJ614,BJ615,BJ616,BJ617))</f>
        <v>157.74</v>
      </c>
      <c r="BK620" s="421">
        <f>IF(INDEX(MO_SNA_IsHistoricalPeriod,1,COLUMN())=FALSE,MO.LastPrice,CHOOSE(VLOOKUP(MO.ValuationToggle,tb_ValuationToggle,COLUMNS(tb_ValuationToggle),FALSE),BK614,BK615,BK616,BK617))</f>
        <v>156.41999999999999</v>
      </c>
      <c r="BL620" s="421">
        <f>IF(INDEX(MO_SNA_IsHistoricalPeriod,1,COLUMN())=FALSE,MO.LastPrice,CHOOSE(VLOOKUP(MO.ValuationToggle,tb_ValuationToggle,COLUMNS(tb_ValuationToggle),FALSE),BL614,BL615,BL616,BL617))</f>
        <v>145.49</v>
      </c>
      <c r="BM620" s="421">
        <f>IF(INDEX(MO_SNA_IsHistoricalPeriod,1,COLUMN())=FALSE,MO.LastPrice,CHOOSE(VLOOKUP(MO.ValuationToggle,tb_ValuationToggle,COLUMNS(tb_ValuationToggle),FALSE),BM614,BM615,BM616,BM617))</f>
        <v>143.07</v>
      </c>
      <c r="BN620" s="937">
        <f t="shared" si="1360"/>
        <v>143.07</v>
      </c>
      <c r="BO620" s="421">
        <f t="shared" ref="BO620:BX620" si="1361">IF(INDEX(MO_SNA_IsHistoricalPeriod,1,COLUMN())=FALSE,MO.LastPrice,CHOOSE(VLOOKUP(MO.ValuationToggle,tb_ValuationToggle,COLUMNS(tb_ValuationToggle),FALSE),BO614,BO615,BO616,BO617))</f>
        <v>166.09</v>
      </c>
      <c r="BP620" s="421">
        <f t="shared" si="1361"/>
        <v>143.79</v>
      </c>
      <c r="BQ620" s="421">
        <f t="shared" si="1361"/>
        <v>156.1</v>
      </c>
      <c r="BR620" s="421">
        <f t="shared" si="1361"/>
        <v>152.31</v>
      </c>
      <c r="BS620" s="937">
        <f t="shared" si="1361"/>
        <v>152.31</v>
      </c>
      <c r="BT620" s="684">
        <f>IF(INDEX(MO_SNA_IsHistoricalPeriod,1,COLUMN())=FALSE,MO.LastPrice,CHOOSE(VLOOKUP(MO.ValuationToggle,tb_ValuationToggle,COLUMNS(tb_ValuationToggle),FALSE),BT614,BT615,BT616,BT617))</f>
        <v>210.71</v>
      </c>
      <c r="BU620" s="421">
        <f ca="1">IF(INDEX(MO_SNA_IsHistoricalPeriod,1,COLUMN())=FALSE,MO.LastPrice,CHOOSE(VLOOKUP(MO.ValuationToggle,tb_ValuationToggle,COLUMNS(tb_ValuationToggle),FALSE),BU614,BU615,BU616,BU617))</f>
        <v>185.16</v>
      </c>
      <c r="BV620" s="421">
        <f ca="1">IF(INDEX(MO_SNA_IsHistoricalPeriod,1,COLUMN())=FALSE,MO.LastPrice,CHOOSE(VLOOKUP(MO.ValuationToggle,tb_ValuationToggle,COLUMNS(tb_ValuationToggle),FALSE),BV614,BV615,BV616,BV617))</f>
        <v>185.16</v>
      </c>
      <c r="BW620" s="421">
        <f ca="1">IF(INDEX(MO_SNA_IsHistoricalPeriod,1,COLUMN())=FALSE,MO.LastPrice,CHOOSE(VLOOKUP(MO.ValuationToggle,tb_ValuationToggle,COLUMNS(tb_ValuationToggle),FALSE),BW614,BW615,BW616,BW617))</f>
        <v>185.16</v>
      </c>
      <c r="BX620" s="937">
        <f t="shared" ca="1" si="1361"/>
        <v>185.16</v>
      </c>
      <c r="BY620" s="421">
        <f t="shared" ref="BY620:CF620" ca="1" si="1362">IF(INDEX(MO_SNA_IsHistoricalPeriod,1,COLUMN())=FALSE,MO.LastPrice,CHOOSE(VLOOKUP(MO.ValuationToggle,tb_ValuationToggle,COLUMNS(tb_ValuationToggle),FALSE),BY614,BY615,BY616,BY617))</f>
        <v>185.16</v>
      </c>
      <c r="BZ620" s="421">
        <f t="shared" ca="1" si="1362"/>
        <v>185.16</v>
      </c>
      <c r="CA620" s="421">
        <f t="shared" ca="1" si="1362"/>
        <v>185.16</v>
      </c>
      <c r="CB620" s="421">
        <f t="shared" ca="1" si="1362"/>
        <v>185.16</v>
      </c>
      <c r="CC620" s="937">
        <f t="shared" ca="1" si="1362"/>
        <v>185.16</v>
      </c>
      <c r="CD620" s="937">
        <f t="shared" ca="1" si="1362"/>
        <v>185.16</v>
      </c>
      <c r="CE620" s="937">
        <f t="shared" ca="1" si="1362"/>
        <v>185.16</v>
      </c>
      <c r="CF620" s="937">
        <f t="shared" ca="1" si="1362"/>
        <v>185.16</v>
      </c>
      <c r="CG620" s="192"/>
    </row>
    <row r="621" spans="1:85" s="424" customFormat="1" hidden="1" outlineLevel="1" x14ac:dyDescent="0.3">
      <c r="A621" s="335"/>
      <c r="B621" s="339"/>
      <c r="C621" s="837"/>
      <c r="D621" s="837"/>
      <c r="E621" s="837"/>
      <c r="F621" s="837"/>
      <c r="G621" s="722"/>
      <c r="H621" s="722"/>
      <c r="I621" s="722"/>
      <c r="J621" s="722"/>
      <c r="K621" s="837"/>
      <c r="L621" s="722"/>
      <c r="M621" s="722"/>
      <c r="N621" s="722"/>
      <c r="O621" s="722"/>
      <c r="P621" s="837"/>
      <c r="Q621" s="722"/>
      <c r="R621" s="722"/>
      <c r="S621" s="722"/>
      <c r="T621" s="722"/>
      <c r="U621" s="837"/>
      <c r="V621" s="722"/>
      <c r="W621" s="722"/>
      <c r="X621" s="722"/>
      <c r="Y621" s="722"/>
      <c r="Z621" s="837"/>
      <c r="AA621" s="722"/>
      <c r="AB621" s="722"/>
      <c r="AC621" s="722"/>
      <c r="AD621" s="722"/>
      <c r="AE621" s="837"/>
      <c r="AF621" s="722"/>
      <c r="AG621" s="722"/>
      <c r="AH621" s="722"/>
      <c r="AI621" s="722"/>
      <c r="AJ621" s="837"/>
      <c r="AK621" s="722"/>
      <c r="AL621" s="722"/>
      <c r="AM621" s="722"/>
      <c r="AN621" s="722"/>
      <c r="AO621" s="837"/>
      <c r="AP621" s="722"/>
      <c r="AQ621" s="722"/>
      <c r="AR621" s="722"/>
      <c r="AS621" s="722"/>
      <c r="AT621" s="837"/>
      <c r="AU621" s="722"/>
      <c r="AV621" s="722"/>
      <c r="AW621" s="722"/>
      <c r="AX621" s="722"/>
      <c r="AY621" s="837"/>
      <c r="AZ621" s="722"/>
      <c r="BA621" s="722"/>
      <c r="BB621" s="722"/>
      <c r="BC621" s="722"/>
      <c r="BD621" s="837"/>
      <c r="BE621" s="722"/>
      <c r="BF621" s="722"/>
      <c r="BG621" s="722"/>
      <c r="BH621" s="722"/>
      <c r="BI621" s="837"/>
      <c r="BJ621" s="722"/>
      <c r="BK621" s="722"/>
      <c r="BL621" s="722"/>
      <c r="BM621" s="722"/>
      <c r="BN621" s="837"/>
      <c r="BO621" s="722"/>
      <c r="BP621" s="722"/>
      <c r="BQ621" s="722"/>
      <c r="BR621" s="722"/>
      <c r="BS621" s="837"/>
      <c r="BT621" s="723"/>
      <c r="BU621" s="722"/>
      <c r="BV621" s="722"/>
      <c r="BW621" s="722"/>
      <c r="BX621" s="837"/>
      <c r="BY621" s="722"/>
      <c r="BZ621" s="722"/>
      <c r="CA621" s="722"/>
      <c r="CB621" s="722"/>
      <c r="CC621" s="837"/>
      <c r="CD621" s="837"/>
      <c r="CE621" s="837"/>
      <c r="CF621" s="837"/>
      <c r="CG621" s="190"/>
    </row>
    <row r="622" spans="1:85" s="427" customFormat="1" hidden="1" outlineLevel="1" x14ac:dyDescent="0.3">
      <c r="A622" s="23" t="s">
        <v>244</v>
      </c>
      <c r="B622" s="361"/>
      <c r="C622" s="872"/>
      <c r="D622" s="872"/>
      <c r="E622" s="872"/>
      <c r="F622" s="872"/>
      <c r="G622" s="742"/>
      <c r="H622" s="742"/>
      <c r="I622" s="742"/>
      <c r="J622" s="742"/>
      <c r="K622" s="872"/>
      <c r="L622" s="742"/>
      <c r="M622" s="742"/>
      <c r="N622" s="742"/>
      <c r="O622" s="742"/>
      <c r="P622" s="872"/>
      <c r="Q622" s="742"/>
      <c r="R622" s="742"/>
      <c r="S622" s="742"/>
      <c r="T622" s="742"/>
      <c r="U622" s="872"/>
      <c r="V622" s="742"/>
      <c r="W622" s="742"/>
      <c r="X622" s="742"/>
      <c r="Y622" s="742"/>
      <c r="Z622" s="872"/>
      <c r="AA622" s="742"/>
      <c r="AB622" s="742"/>
      <c r="AC622" s="742"/>
      <c r="AD622" s="742"/>
      <c r="AE622" s="872"/>
      <c r="AF622" s="742"/>
      <c r="AG622" s="742"/>
      <c r="AH622" s="742"/>
      <c r="AI622" s="742"/>
      <c r="AJ622" s="872"/>
      <c r="AK622" s="742"/>
      <c r="AL622" s="742"/>
      <c r="AM622" s="742"/>
      <c r="AN622" s="742"/>
      <c r="AO622" s="872"/>
      <c r="AP622" s="742"/>
      <c r="AQ622" s="742"/>
      <c r="AR622" s="742"/>
      <c r="AS622" s="742"/>
      <c r="AT622" s="872"/>
      <c r="AU622" s="742"/>
      <c r="AV622" s="742"/>
      <c r="AW622" s="742"/>
      <c r="AX622" s="742"/>
      <c r="AY622" s="872"/>
      <c r="AZ622" s="742"/>
      <c r="BA622" s="742"/>
      <c r="BB622" s="742"/>
      <c r="BC622" s="742"/>
      <c r="BD622" s="872"/>
      <c r="BE622" s="742"/>
      <c r="BF622" s="742"/>
      <c r="BG622" s="742"/>
      <c r="BH622" s="742"/>
      <c r="BI622" s="872"/>
      <c r="BJ622" s="742"/>
      <c r="BK622" s="742"/>
      <c r="BL622" s="742"/>
      <c r="BM622" s="742"/>
      <c r="BN622" s="872"/>
      <c r="BO622" s="742"/>
      <c r="BP622" s="742"/>
      <c r="BQ622" s="742"/>
      <c r="BR622" s="742"/>
      <c r="BS622" s="872"/>
      <c r="BT622" s="743"/>
      <c r="BU622" s="742"/>
      <c r="BV622" s="742"/>
      <c r="BW622" s="742"/>
      <c r="BX622" s="872"/>
      <c r="BY622" s="742"/>
      <c r="BZ622" s="742"/>
      <c r="CA622" s="742"/>
      <c r="CB622" s="742"/>
      <c r="CC622" s="872"/>
      <c r="CD622" s="872"/>
      <c r="CE622" s="872"/>
      <c r="CF622" s="872"/>
      <c r="CG622" s="321"/>
    </row>
    <row r="623" spans="1:85" s="428" customFormat="1" hidden="1" outlineLevel="1" x14ac:dyDescent="0.3">
      <c r="A623" s="57" t="s">
        <v>245</v>
      </c>
      <c r="B623" s="109"/>
      <c r="C623" s="852">
        <f t="shared" ref="C623:AH623" si="1363">C788</f>
        <v>647</v>
      </c>
      <c r="D623" s="852">
        <f t="shared" si="1363"/>
        <v>730</v>
      </c>
      <c r="E623" s="852">
        <f t="shared" si="1363"/>
        <v>799</v>
      </c>
      <c r="F623" s="852">
        <f t="shared" si="1363"/>
        <v>1308</v>
      </c>
      <c r="G623" s="22">
        <f t="shared" si="1363"/>
        <v>1352</v>
      </c>
      <c r="H623" s="22">
        <f t="shared" si="1363"/>
        <v>1323</v>
      </c>
      <c r="I623" s="22">
        <f t="shared" si="1363"/>
        <v>1294</v>
      </c>
      <c r="J623" s="22">
        <f t="shared" si="1363"/>
        <v>1314</v>
      </c>
      <c r="K623" s="852">
        <f t="shared" si="1363"/>
        <v>1314</v>
      </c>
      <c r="L623" s="22">
        <f t="shared" si="1363"/>
        <v>1149</v>
      </c>
      <c r="M623" s="22">
        <f t="shared" si="1363"/>
        <v>1166</v>
      </c>
      <c r="N623" s="22">
        <f t="shared" si="1363"/>
        <v>1167</v>
      </c>
      <c r="O623" s="22">
        <f t="shared" si="1363"/>
        <v>1163</v>
      </c>
      <c r="P623" s="852">
        <f t="shared" si="1363"/>
        <v>1163</v>
      </c>
      <c r="Q623" s="22">
        <f t="shared" si="1363"/>
        <v>1198</v>
      </c>
      <c r="R623" s="22">
        <f t="shared" si="1363"/>
        <v>1222</v>
      </c>
      <c r="S623" s="22">
        <f t="shared" si="1363"/>
        <v>1026</v>
      </c>
      <c r="T623" s="22">
        <f t="shared" si="1363"/>
        <v>1170</v>
      </c>
      <c r="U623" s="852">
        <f t="shared" si="1363"/>
        <v>1170</v>
      </c>
      <c r="V623" s="22">
        <f t="shared" si="1363"/>
        <v>1169</v>
      </c>
      <c r="W623" s="22">
        <f t="shared" si="1363"/>
        <v>1162</v>
      </c>
      <c r="X623" s="22">
        <f t="shared" si="1363"/>
        <v>1152</v>
      </c>
      <c r="Y623" s="22">
        <f t="shared" si="1363"/>
        <v>1166</v>
      </c>
      <c r="Z623" s="852">
        <f t="shared" si="1363"/>
        <v>1166</v>
      </c>
      <c r="AA623" s="37">
        <f t="shared" si="1363"/>
        <v>1198</v>
      </c>
      <c r="AB623" s="22">
        <f t="shared" si="1363"/>
        <v>1185</v>
      </c>
      <c r="AC623" s="22">
        <f t="shared" si="1363"/>
        <v>1198</v>
      </c>
      <c r="AD623" s="22">
        <f t="shared" si="1363"/>
        <v>1195</v>
      </c>
      <c r="AE623" s="852">
        <f t="shared" si="1363"/>
        <v>1195</v>
      </c>
      <c r="AF623" s="37">
        <f t="shared" si="1363"/>
        <v>1210</v>
      </c>
      <c r="AG623" s="22">
        <f t="shared" si="1363"/>
        <v>1182</v>
      </c>
      <c r="AH623" s="22">
        <f t="shared" si="1363"/>
        <v>1098</v>
      </c>
      <c r="AI623" s="22">
        <f t="shared" ref="AI623:AY623" si="1364">AI788</f>
        <v>1088</v>
      </c>
      <c r="AJ623" s="852">
        <f t="shared" si="1364"/>
        <v>1088</v>
      </c>
      <c r="AK623" s="37">
        <f t="shared" si="1364"/>
        <v>1073</v>
      </c>
      <c r="AL623" s="22">
        <f t="shared" si="1364"/>
        <v>1056</v>
      </c>
      <c r="AM623" s="37">
        <f t="shared" si="1364"/>
        <v>1051</v>
      </c>
      <c r="AN623" s="37">
        <f t="shared" si="1364"/>
        <v>995</v>
      </c>
      <c r="AO623" s="821">
        <f t="shared" si="1364"/>
        <v>995</v>
      </c>
      <c r="AP623" s="37">
        <f t="shared" si="1364"/>
        <v>984</v>
      </c>
      <c r="AQ623" s="22">
        <f t="shared" si="1364"/>
        <v>268</v>
      </c>
      <c r="AR623" s="37">
        <f>AR788</f>
        <v>264</v>
      </c>
      <c r="AS623" s="37">
        <f t="shared" si="1364"/>
        <v>1038</v>
      </c>
      <c r="AT623" s="821">
        <f t="shared" si="1364"/>
        <v>1038</v>
      </c>
      <c r="AU623" s="37">
        <f t="shared" ref="AU623" si="1365">AU788</f>
        <v>1045</v>
      </c>
      <c r="AV623" s="22">
        <f>AV788</f>
        <v>729</v>
      </c>
      <c r="AW623" s="37">
        <f>AW788</f>
        <v>860</v>
      </c>
      <c r="AX623" s="37">
        <f t="shared" si="1364"/>
        <v>873</v>
      </c>
      <c r="AY623" s="821">
        <f t="shared" si="1364"/>
        <v>873</v>
      </c>
      <c r="AZ623" s="37">
        <f t="shared" ref="AZ623:BN623" si="1366">AZ788</f>
        <v>881</v>
      </c>
      <c r="BA623" s="22">
        <f t="shared" si="1366"/>
        <v>1008</v>
      </c>
      <c r="BB623" s="37">
        <f t="shared" si="1366"/>
        <v>947</v>
      </c>
      <c r="BC623" s="37">
        <f t="shared" si="1366"/>
        <v>960</v>
      </c>
      <c r="BD623" s="821">
        <f t="shared" si="1366"/>
        <v>960</v>
      </c>
      <c r="BE623" s="37">
        <f t="shared" si="1366"/>
        <v>985</v>
      </c>
      <c r="BF623" s="37">
        <f t="shared" si="1366"/>
        <v>973</v>
      </c>
      <c r="BG623" s="37">
        <f t="shared" si="1366"/>
        <v>983</v>
      </c>
      <c r="BH623" s="37">
        <f t="shared" si="1366"/>
        <v>972</v>
      </c>
      <c r="BI623" s="821">
        <f t="shared" si="1366"/>
        <v>972</v>
      </c>
      <c r="BJ623" s="37">
        <f>BJ788</f>
        <v>1031</v>
      </c>
      <c r="BK623" s="37">
        <f>BK788</f>
        <v>1030</v>
      </c>
      <c r="BL623" s="37">
        <f>BL788</f>
        <v>828</v>
      </c>
      <c r="BM623" s="37">
        <f>BM788</f>
        <v>839</v>
      </c>
      <c r="BN623" s="821">
        <f t="shared" si="1366"/>
        <v>839</v>
      </c>
      <c r="BO623" s="37">
        <f t="shared" ref="BO623:BX623" si="1367">BO788</f>
        <v>836</v>
      </c>
      <c r="BP623" s="37">
        <f t="shared" si="1367"/>
        <v>841</v>
      </c>
      <c r="BQ623" s="37">
        <f t="shared" si="1367"/>
        <v>5757</v>
      </c>
      <c r="BR623" s="37">
        <f t="shared" si="1367"/>
        <v>5726</v>
      </c>
      <c r="BS623" s="821">
        <f t="shared" si="1367"/>
        <v>5726</v>
      </c>
      <c r="BT623" s="480">
        <f>BT788</f>
        <v>5656</v>
      </c>
      <c r="BU623" s="37">
        <f>BU788</f>
        <v>5666</v>
      </c>
      <c r="BV623" s="37">
        <f>BV788</f>
        <v>5676</v>
      </c>
      <c r="BW623" s="37">
        <f>BW788</f>
        <v>5686</v>
      </c>
      <c r="BX623" s="821">
        <f t="shared" si="1367"/>
        <v>5686</v>
      </c>
      <c r="BY623" s="37">
        <f t="shared" ref="BY623:CF623" si="1368">BY788</f>
        <v>5696</v>
      </c>
      <c r="BZ623" s="37">
        <f t="shared" si="1368"/>
        <v>5706</v>
      </c>
      <c r="CA623" s="37">
        <f t="shared" si="1368"/>
        <v>5716</v>
      </c>
      <c r="CB623" s="37">
        <f t="shared" si="1368"/>
        <v>5726</v>
      </c>
      <c r="CC623" s="821">
        <f t="shared" si="1368"/>
        <v>5726</v>
      </c>
      <c r="CD623" s="821">
        <f t="shared" si="1368"/>
        <v>5766</v>
      </c>
      <c r="CE623" s="821">
        <f t="shared" si="1368"/>
        <v>5806</v>
      </c>
      <c r="CF623" s="821">
        <f t="shared" si="1368"/>
        <v>5846</v>
      </c>
      <c r="CG623" s="22"/>
    </row>
    <row r="624" spans="1:85" s="428" customFormat="1" hidden="1" outlineLevel="1" x14ac:dyDescent="0.3">
      <c r="A624" s="57" t="s">
        <v>246</v>
      </c>
      <c r="B624" s="109"/>
      <c r="C624" s="821"/>
      <c r="D624" s="821"/>
      <c r="E624" s="821"/>
      <c r="F624" s="821"/>
      <c r="G624" s="37"/>
      <c r="H624" s="37"/>
      <c r="I624" s="37"/>
      <c r="J624" s="37"/>
      <c r="K624" s="821"/>
      <c r="L624" s="37"/>
      <c r="M624" s="37"/>
      <c r="N624" s="37"/>
      <c r="O624" s="37"/>
      <c r="P624" s="821"/>
      <c r="Q624" s="37"/>
      <c r="R624" s="37"/>
      <c r="S624" s="37"/>
      <c r="T624" s="37"/>
      <c r="U624" s="821"/>
      <c r="V624" s="37"/>
      <c r="W624" s="37"/>
      <c r="X624" s="37"/>
      <c r="Y624" s="37"/>
      <c r="Z624" s="821"/>
      <c r="AA624" s="37"/>
      <c r="AB624" s="37"/>
      <c r="AC624" s="37"/>
      <c r="AD624" s="37"/>
      <c r="AE624" s="821"/>
      <c r="AF624" s="37"/>
      <c r="AG624" s="37"/>
      <c r="AH624" s="37"/>
      <c r="AI624" s="37"/>
      <c r="AJ624" s="821"/>
      <c r="AK624" s="37"/>
      <c r="AL624" s="37"/>
      <c r="AM624" s="37"/>
      <c r="AN624" s="37"/>
      <c r="AO624" s="821"/>
      <c r="AP624" s="37"/>
      <c r="AQ624" s="37"/>
      <c r="AR624" s="37"/>
      <c r="AS624" s="37"/>
      <c r="AT624" s="821"/>
      <c r="AU624" s="37"/>
      <c r="AV624" s="37"/>
      <c r="AW624" s="37"/>
      <c r="AX624" s="37"/>
      <c r="AY624" s="821"/>
      <c r="AZ624" s="37"/>
      <c r="BA624" s="37"/>
      <c r="BB624" s="37"/>
      <c r="BC624" s="37"/>
      <c r="BD624" s="821"/>
      <c r="BE624" s="37"/>
      <c r="BF624" s="37"/>
      <c r="BG624" s="37"/>
      <c r="BH624" s="37"/>
      <c r="BI624" s="821"/>
      <c r="BJ624" s="37"/>
      <c r="BK624" s="37"/>
      <c r="BL624" s="37"/>
      <c r="BM624" s="37"/>
      <c r="BN624" s="821"/>
      <c r="BO624" s="37"/>
      <c r="BP624" s="37"/>
      <c r="BQ624" s="37"/>
      <c r="BR624" s="37"/>
      <c r="BS624" s="821"/>
      <c r="BT624" s="480"/>
      <c r="BU624" s="37"/>
      <c r="BV624" s="37"/>
      <c r="BW624" s="37"/>
      <c r="BX624" s="821"/>
      <c r="BY624" s="37"/>
      <c r="BZ624" s="37"/>
      <c r="CA624" s="37"/>
      <c r="CB624" s="37"/>
      <c r="CC624" s="821"/>
      <c r="CD624" s="821"/>
      <c r="CE624" s="821"/>
      <c r="CF624" s="821"/>
      <c r="CG624" s="22"/>
    </row>
    <row r="625" spans="1:85" s="428" customFormat="1" hidden="1" outlineLevel="1" x14ac:dyDescent="0.3">
      <c r="A625" s="57" t="s">
        <v>247</v>
      </c>
      <c r="B625" s="109"/>
      <c r="C625" s="852">
        <f t="shared" ref="C625:AH625" si="1369">C785+C774</f>
        <v>6459</v>
      </c>
      <c r="D625" s="852">
        <f t="shared" si="1369"/>
        <v>6385</v>
      </c>
      <c r="E625" s="852">
        <f t="shared" si="1369"/>
        <v>8858</v>
      </c>
      <c r="F625" s="852">
        <f t="shared" si="1369"/>
        <v>9417</v>
      </c>
      <c r="G625" s="22">
        <f t="shared" si="1369"/>
        <v>9255</v>
      </c>
      <c r="H625" s="22">
        <f t="shared" si="1369"/>
        <v>9020</v>
      </c>
      <c r="I625" s="22">
        <f t="shared" si="1369"/>
        <v>8831</v>
      </c>
      <c r="J625" s="22">
        <f t="shared" si="1369"/>
        <v>5728</v>
      </c>
      <c r="K625" s="852">
        <f t="shared" si="1369"/>
        <v>5728</v>
      </c>
      <c r="L625" s="22">
        <f t="shared" si="1369"/>
        <v>5750</v>
      </c>
      <c r="M625" s="22">
        <f t="shared" si="1369"/>
        <v>5775</v>
      </c>
      <c r="N625" s="22">
        <f t="shared" si="1369"/>
        <v>5778</v>
      </c>
      <c r="O625" s="22">
        <f t="shared" si="1369"/>
        <v>8172</v>
      </c>
      <c r="P625" s="852">
        <f t="shared" si="1369"/>
        <v>8172</v>
      </c>
      <c r="Q625" s="22">
        <f t="shared" si="1369"/>
        <v>8210</v>
      </c>
      <c r="R625" s="22">
        <f t="shared" si="1369"/>
        <v>8060</v>
      </c>
      <c r="S625" s="22">
        <f t="shared" si="1369"/>
        <v>7833</v>
      </c>
      <c r="T625" s="22">
        <f t="shared" si="1369"/>
        <v>7695</v>
      </c>
      <c r="U625" s="852">
        <f t="shared" si="1369"/>
        <v>7695</v>
      </c>
      <c r="V625" s="22">
        <f t="shared" si="1369"/>
        <v>7333</v>
      </c>
      <c r="W625" s="22">
        <f t="shared" si="1369"/>
        <v>7377</v>
      </c>
      <c r="X625" s="22">
        <f t="shared" si="1369"/>
        <v>7294</v>
      </c>
      <c r="Y625" s="22">
        <f t="shared" si="1369"/>
        <v>6976</v>
      </c>
      <c r="Z625" s="852">
        <f t="shared" si="1369"/>
        <v>6976</v>
      </c>
      <c r="AA625" s="37">
        <f t="shared" si="1369"/>
        <v>6905</v>
      </c>
      <c r="AB625" s="22">
        <f t="shared" si="1369"/>
        <v>6968</v>
      </c>
      <c r="AC625" s="22">
        <f t="shared" si="1369"/>
        <v>6443</v>
      </c>
      <c r="AD625" s="22">
        <f t="shared" si="1369"/>
        <v>7181</v>
      </c>
      <c r="AE625" s="852">
        <f t="shared" si="1369"/>
        <v>7181</v>
      </c>
      <c r="AF625" s="37">
        <f t="shared" si="1369"/>
        <v>7106</v>
      </c>
      <c r="AG625" s="22">
        <f t="shared" si="1369"/>
        <v>6811</v>
      </c>
      <c r="AH625" s="22">
        <f t="shared" si="1369"/>
        <v>6483</v>
      </c>
      <c r="AI625" s="22">
        <f t="shared" ref="AI625:BN625" si="1370">AI785+AI774</f>
        <v>6414</v>
      </c>
      <c r="AJ625" s="852">
        <f t="shared" si="1370"/>
        <v>6414</v>
      </c>
      <c r="AK625" s="37">
        <f t="shared" si="1370"/>
        <v>6140</v>
      </c>
      <c r="AL625" s="22">
        <f t="shared" si="1370"/>
        <v>5855</v>
      </c>
      <c r="AM625" s="37">
        <f t="shared" si="1370"/>
        <v>5461</v>
      </c>
      <c r="AN625" s="37">
        <f t="shared" si="1370"/>
        <v>7626</v>
      </c>
      <c r="AO625" s="821">
        <f t="shared" si="1370"/>
        <v>7626</v>
      </c>
      <c r="AP625" s="37">
        <f t="shared" si="1370"/>
        <v>7491</v>
      </c>
      <c r="AQ625" s="22">
        <f t="shared" si="1370"/>
        <v>7249</v>
      </c>
      <c r="AR625" s="37">
        <f t="shared" si="1370"/>
        <v>6949</v>
      </c>
      <c r="AS625" s="37">
        <f t="shared" si="1370"/>
        <v>8977</v>
      </c>
      <c r="AT625" s="821">
        <f t="shared" si="1370"/>
        <v>8977</v>
      </c>
      <c r="AU625" s="37">
        <f t="shared" si="1370"/>
        <v>7780</v>
      </c>
      <c r="AV625" s="22">
        <f t="shared" si="1370"/>
        <v>7410</v>
      </c>
      <c r="AW625" s="37">
        <f t="shared" si="1370"/>
        <v>6898</v>
      </c>
      <c r="AX625" s="37">
        <f t="shared" si="1370"/>
        <v>6008</v>
      </c>
      <c r="AY625" s="821">
        <f t="shared" si="1370"/>
        <v>6008</v>
      </c>
      <c r="AZ625" s="37">
        <f t="shared" si="1370"/>
        <v>5687</v>
      </c>
      <c r="BA625" s="22">
        <f t="shared" si="1370"/>
        <v>5344</v>
      </c>
      <c r="BB625" s="37">
        <f t="shared" si="1370"/>
        <v>4944</v>
      </c>
      <c r="BC625" s="37">
        <f t="shared" si="1370"/>
        <v>4117</v>
      </c>
      <c r="BD625" s="821">
        <f t="shared" si="1370"/>
        <v>4117</v>
      </c>
      <c r="BE625" s="37">
        <f t="shared" si="1370"/>
        <v>3860</v>
      </c>
      <c r="BF625" s="37">
        <f t="shared" si="1370"/>
        <v>3718</v>
      </c>
      <c r="BG625" s="37">
        <f t="shared" si="1370"/>
        <v>3536</v>
      </c>
      <c r="BH625" s="37">
        <f t="shared" si="1370"/>
        <v>3842</v>
      </c>
      <c r="BI625" s="821">
        <f t="shared" si="1370"/>
        <v>3842</v>
      </c>
      <c r="BJ625" s="37">
        <f>BJ785+BJ774</f>
        <v>3708</v>
      </c>
      <c r="BK625" s="37">
        <f>BK785+BK774</f>
        <v>3702</v>
      </c>
      <c r="BL625" s="37">
        <f>BL785+BL774</f>
        <v>3693</v>
      </c>
      <c r="BM625" s="37">
        <f>BM785+BM774</f>
        <v>3617</v>
      </c>
      <c r="BN625" s="821">
        <f t="shared" si="1370"/>
        <v>3617</v>
      </c>
      <c r="BO625" s="37">
        <f t="shared" ref="BO625:BX625" si="1371">BO785+BO774</f>
        <v>3566</v>
      </c>
      <c r="BP625" s="37">
        <f t="shared" si="1371"/>
        <v>3618</v>
      </c>
      <c r="BQ625" s="37">
        <f t="shared" si="1371"/>
        <v>3848</v>
      </c>
      <c r="BR625" s="37">
        <f t="shared" si="1371"/>
        <v>3871</v>
      </c>
      <c r="BS625" s="821">
        <f t="shared" si="1371"/>
        <v>3871</v>
      </c>
      <c r="BT625" s="480">
        <f>BT785+BT774</f>
        <v>3683</v>
      </c>
      <c r="BU625" s="37">
        <f>BU785+BU774</f>
        <v>3683</v>
      </c>
      <c r="BV625" s="37">
        <f>BV785+BV774</f>
        <v>3683</v>
      </c>
      <c r="BW625" s="37">
        <f>BW785+BW774</f>
        <v>3683</v>
      </c>
      <c r="BX625" s="821">
        <f t="shared" si="1371"/>
        <v>3683</v>
      </c>
      <c r="BY625" s="37">
        <f t="shared" ref="BY625:CF625" si="1372">BY785+BY774</f>
        <v>3683</v>
      </c>
      <c r="BZ625" s="37">
        <f t="shared" si="1372"/>
        <v>3683</v>
      </c>
      <c r="CA625" s="37">
        <f t="shared" si="1372"/>
        <v>3683</v>
      </c>
      <c r="CB625" s="37">
        <f t="shared" si="1372"/>
        <v>3683</v>
      </c>
      <c r="CC625" s="821">
        <f t="shared" si="1372"/>
        <v>3683</v>
      </c>
      <c r="CD625" s="821">
        <f t="shared" si="1372"/>
        <v>3683</v>
      </c>
      <c r="CE625" s="821">
        <f t="shared" si="1372"/>
        <v>3683</v>
      </c>
      <c r="CF625" s="821">
        <f t="shared" si="1372"/>
        <v>3683</v>
      </c>
      <c r="CG625" s="22"/>
    </row>
    <row r="626" spans="1:85" s="424" customFormat="1" collapsed="1" x14ac:dyDescent="0.3">
      <c r="A626" s="103"/>
      <c r="B626" s="339"/>
      <c r="C626" s="837"/>
      <c r="D626" s="837"/>
      <c r="E626" s="837"/>
      <c r="F626" s="837"/>
      <c r="G626" s="722"/>
      <c r="H626" s="722"/>
      <c r="I626" s="722"/>
      <c r="J626" s="722"/>
      <c r="K626" s="837"/>
      <c r="L626" s="722"/>
      <c r="M626" s="722"/>
      <c r="N626" s="722"/>
      <c r="O626" s="722"/>
      <c r="P626" s="837"/>
      <c r="Q626" s="722"/>
      <c r="R626" s="722"/>
      <c r="S626" s="722"/>
      <c r="T626" s="722"/>
      <c r="U626" s="837"/>
      <c r="V626" s="722"/>
      <c r="W626" s="722"/>
      <c r="X626" s="722"/>
      <c r="Y626" s="722"/>
      <c r="Z626" s="837"/>
      <c r="AA626" s="722"/>
      <c r="AB626" s="722"/>
      <c r="AC626" s="722"/>
      <c r="AD626" s="722"/>
      <c r="AE626" s="837"/>
      <c r="AF626" s="722"/>
      <c r="AG626" s="722"/>
      <c r="AH626" s="722"/>
      <c r="AI626" s="722"/>
      <c r="AJ626" s="837"/>
      <c r="AK626" s="722"/>
      <c r="AL626" s="722"/>
      <c r="AM626" s="722"/>
      <c r="AN626" s="722"/>
      <c r="AO626" s="837"/>
      <c r="AP626" s="722"/>
      <c r="AQ626" s="722"/>
      <c r="AR626" s="722"/>
      <c r="AS626" s="722"/>
      <c r="AT626" s="837"/>
      <c r="AU626" s="722"/>
      <c r="AV626" s="722"/>
      <c r="AW626" s="722"/>
      <c r="AX626" s="722"/>
      <c r="AY626" s="837"/>
      <c r="AZ626" s="722"/>
      <c r="BA626" s="722"/>
      <c r="BB626" s="722"/>
      <c r="BC626" s="722"/>
      <c r="BD626" s="837"/>
      <c r="BE626" s="722"/>
      <c r="BF626" s="722"/>
      <c r="BG626" s="722"/>
      <c r="BH626" s="722"/>
      <c r="BI626" s="837"/>
      <c r="BJ626" s="722"/>
      <c r="BK626" s="722"/>
      <c r="BL626" s="722"/>
      <c r="BM626" s="722"/>
      <c r="BN626" s="837"/>
      <c r="BO626" s="722"/>
      <c r="BP626" s="722"/>
      <c r="BQ626" s="722"/>
      <c r="BR626" s="722"/>
      <c r="BS626" s="837"/>
      <c r="BT626" s="723"/>
      <c r="BU626" s="722"/>
      <c r="BV626" s="722"/>
      <c r="BW626" s="722"/>
      <c r="BX626" s="837"/>
      <c r="BY626" s="722"/>
      <c r="BZ626" s="722"/>
      <c r="CA626" s="722"/>
      <c r="CB626" s="722"/>
      <c r="CC626" s="837"/>
      <c r="CD626" s="837"/>
      <c r="CE626" s="837"/>
      <c r="CF626" s="837"/>
      <c r="CG626" s="190"/>
    </row>
    <row r="627" spans="1:85" s="427" customFormat="1" x14ac:dyDescent="0.3">
      <c r="A627" s="720" t="s">
        <v>248</v>
      </c>
      <c r="B627" s="720"/>
      <c r="C627" s="720"/>
      <c r="D627" s="720"/>
      <c r="E627" s="720"/>
      <c r="F627" s="720"/>
      <c r="G627" s="720"/>
      <c r="H627" s="720"/>
      <c r="I627" s="720"/>
      <c r="J627" s="720"/>
      <c r="K627" s="720"/>
      <c r="L627" s="720"/>
      <c r="M627" s="720"/>
      <c r="N627" s="720"/>
      <c r="O627" s="720"/>
      <c r="P627" s="720"/>
      <c r="Q627" s="720"/>
      <c r="R627" s="720"/>
      <c r="S627" s="720"/>
      <c r="T627" s="720"/>
      <c r="U627" s="720"/>
      <c r="V627" s="720"/>
      <c r="W627" s="720"/>
      <c r="X627" s="720"/>
      <c r="Y627" s="720"/>
      <c r="Z627" s="720"/>
      <c r="AA627" s="720"/>
      <c r="AB627" s="720"/>
      <c r="AC627" s="720"/>
      <c r="AD627" s="720"/>
      <c r="AE627" s="720"/>
      <c r="AF627" s="720"/>
      <c r="AG627" s="720"/>
      <c r="AH627" s="720"/>
      <c r="AI627" s="720"/>
      <c r="AJ627" s="720"/>
      <c r="AK627" s="720"/>
      <c r="AL627" s="720"/>
      <c r="AM627" s="720"/>
      <c r="AN627" s="720"/>
      <c r="AO627" s="720"/>
      <c r="AP627" s="720"/>
      <c r="AQ627" s="720"/>
      <c r="AR627" s="720"/>
      <c r="AS627" s="720"/>
      <c r="AT627" s="720"/>
      <c r="AU627" s="720"/>
      <c r="AV627" s="720"/>
      <c r="AW627" s="720"/>
      <c r="AX627" s="720"/>
      <c r="AY627" s="720"/>
      <c r="AZ627" s="720"/>
      <c r="BA627" s="720"/>
      <c r="BB627" s="720"/>
      <c r="BC627" s="720"/>
      <c r="BD627" s="720"/>
      <c r="BE627" s="720"/>
      <c r="BF627" s="720"/>
      <c r="BG627" s="720"/>
      <c r="BH627" s="720"/>
      <c r="BI627" s="720"/>
      <c r="BJ627" s="720"/>
      <c r="BK627" s="720"/>
      <c r="BL627" s="720"/>
      <c r="BM627" s="720"/>
      <c r="BN627" s="720"/>
      <c r="BO627" s="720"/>
      <c r="BP627" s="720"/>
      <c r="BQ627" s="720"/>
      <c r="BR627" s="720"/>
      <c r="BS627" s="720"/>
      <c r="BT627" s="721"/>
      <c r="BU627" s="720"/>
      <c r="BV627" s="720"/>
      <c r="BW627" s="720"/>
      <c r="BX627" s="720"/>
      <c r="BY627" s="720"/>
      <c r="BZ627" s="720"/>
      <c r="CA627" s="720"/>
      <c r="CB627" s="720"/>
      <c r="CC627" s="720"/>
      <c r="CD627" s="720"/>
      <c r="CE627" s="720"/>
      <c r="CF627" s="720"/>
      <c r="CG627" s="321"/>
    </row>
    <row r="628" spans="1:85" s="427" customFormat="1" hidden="1" outlineLevel="1" x14ac:dyDescent="0.3">
      <c r="A628" s="18" t="s">
        <v>249</v>
      </c>
      <c r="B628" s="361"/>
      <c r="C628" s="872"/>
      <c r="D628" s="872"/>
      <c r="E628" s="872"/>
      <c r="F628" s="872"/>
      <c r="G628" s="742"/>
      <c r="H628" s="742"/>
      <c r="I628" s="742"/>
      <c r="J628" s="742"/>
      <c r="K628" s="872"/>
      <c r="L628" s="742"/>
      <c r="M628" s="742"/>
      <c r="N628" s="742"/>
      <c r="O628" s="742"/>
      <c r="P628" s="872"/>
      <c r="Q628" s="742"/>
      <c r="R628" s="742"/>
      <c r="S628" s="742"/>
      <c r="T628" s="742"/>
      <c r="U628" s="872"/>
      <c r="V628" s="742"/>
      <c r="W628" s="742"/>
      <c r="X628" s="742"/>
      <c r="Y628" s="742"/>
      <c r="Z628" s="872"/>
      <c r="AA628" s="742"/>
      <c r="AB628" s="742"/>
      <c r="AC628" s="742"/>
      <c r="AD628" s="742"/>
      <c r="AE628" s="872"/>
      <c r="AF628" s="742"/>
      <c r="AG628" s="742"/>
      <c r="AH628" s="742"/>
      <c r="AI628" s="742"/>
      <c r="AJ628" s="872"/>
      <c r="AK628" s="742"/>
      <c r="AL628" s="742"/>
      <c r="AM628" s="742"/>
      <c r="AN628" s="742"/>
      <c r="AO628" s="872"/>
      <c r="AP628" s="742"/>
      <c r="AQ628" s="742"/>
      <c r="AR628" s="742"/>
      <c r="AS628" s="742"/>
      <c r="AT628" s="872"/>
      <c r="AU628" s="742"/>
      <c r="AV628" s="742"/>
      <c r="AW628" s="742"/>
      <c r="AX628" s="742"/>
      <c r="AY628" s="872"/>
      <c r="AZ628" s="742"/>
      <c r="BA628" s="742"/>
      <c r="BB628" s="742"/>
      <c r="BC628" s="742"/>
      <c r="BD628" s="872"/>
      <c r="BE628" s="742"/>
      <c r="BF628" s="742"/>
      <c r="BG628" s="742"/>
      <c r="BH628" s="742"/>
      <c r="BI628" s="872"/>
      <c r="BJ628" s="742"/>
      <c r="BK628" s="742"/>
      <c r="BL628" s="742"/>
      <c r="BM628" s="742"/>
      <c r="BN628" s="872"/>
      <c r="BO628" s="742"/>
      <c r="BP628" s="742"/>
      <c r="BQ628" s="742"/>
      <c r="BR628" s="742"/>
      <c r="BS628" s="872"/>
      <c r="BT628" s="743"/>
      <c r="BU628" s="742"/>
      <c r="BV628" s="742"/>
      <c r="BW628" s="742"/>
      <c r="BX628" s="872"/>
      <c r="BY628" s="742"/>
      <c r="BZ628" s="742"/>
      <c r="CA628" s="742"/>
      <c r="CB628" s="742"/>
      <c r="CC628" s="872"/>
      <c r="CD628" s="872"/>
      <c r="CE628" s="872"/>
      <c r="CF628" s="872"/>
      <c r="CG628" s="321"/>
    </row>
    <row r="629" spans="1:85" s="428" customFormat="1" hidden="1" outlineLevel="1" x14ac:dyDescent="0.3">
      <c r="A629" s="43" t="s">
        <v>192</v>
      </c>
      <c r="B629" s="109"/>
      <c r="C629" s="827">
        <v>10563</v>
      </c>
      <c r="D629" s="827">
        <v>19136</v>
      </c>
      <c r="E629" s="827">
        <v>27008</v>
      </c>
      <c r="F629" s="827">
        <v>26336</v>
      </c>
      <c r="G629" s="763">
        <v>6239</v>
      </c>
      <c r="H629" s="763">
        <v>11643</v>
      </c>
      <c r="I629" s="763">
        <v>16639</v>
      </c>
      <c r="J629" s="37">
        <f t="shared" ref="J629:J640" si="1373">K629</f>
        <v>21597</v>
      </c>
      <c r="K629" s="827">
        <v>21597</v>
      </c>
      <c r="L629" s="763">
        <v>4521</v>
      </c>
      <c r="M629" s="763">
        <v>10211</v>
      </c>
      <c r="N629" s="763">
        <v>15838</v>
      </c>
      <c r="O629" s="37">
        <f t="shared" ref="O629:O640" si="1374">P629</f>
        <v>19310</v>
      </c>
      <c r="P629" s="827">
        <v>19310</v>
      </c>
      <c r="Q629" s="763">
        <v>2600</v>
      </c>
      <c r="R629" s="763">
        <v>3208</v>
      </c>
      <c r="S629" s="763">
        <v>5265</v>
      </c>
      <c r="T629" s="37">
        <f t="shared" ref="T629:T640" si="1375">U629</f>
        <v>4710</v>
      </c>
      <c r="U629" s="827">
        <v>4710</v>
      </c>
      <c r="V629" s="763">
        <v>-707</v>
      </c>
      <c r="W629" s="763">
        <v>-2170</v>
      </c>
      <c r="X629" s="763">
        <v>-869</v>
      </c>
      <c r="Y629" s="37">
        <f t="shared" ref="Y629:Y640" si="1376">Z629</f>
        <v>-431</v>
      </c>
      <c r="Z629" s="827">
        <v>-431</v>
      </c>
      <c r="AA629" s="763">
        <v>2699</v>
      </c>
      <c r="AB629" s="763">
        <v>4165</v>
      </c>
      <c r="AC629" s="763">
        <v>6151</v>
      </c>
      <c r="AD629" s="37">
        <f t="shared" ref="AD629:AD640" si="1377">AE629</f>
        <v>9269</v>
      </c>
      <c r="AE629" s="827">
        <v>9269</v>
      </c>
      <c r="AF629" s="763">
        <v>3659</v>
      </c>
      <c r="AG629" s="763">
        <v>7081</v>
      </c>
      <c r="AH629" s="763">
        <v>11137</v>
      </c>
      <c r="AI629" s="37">
        <f t="shared" ref="AI629:AI640" si="1378">AJ629</f>
        <v>14860</v>
      </c>
      <c r="AJ629" s="827">
        <v>14860</v>
      </c>
      <c r="AK629" s="763">
        <v>2642</v>
      </c>
      <c r="AL629" s="763">
        <v>6932</v>
      </c>
      <c r="AM629" s="763">
        <v>9512</v>
      </c>
      <c r="AN629" s="37">
        <f t="shared" ref="AN629:AN640" si="1379">AO629</f>
        <v>2845</v>
      </c>
      <c r="AO629" s="827">
        <v>2845</v>
      </c>
      <c r="AP629" s="763">
        <v>3581</v>
      </c>
      <c r="AQ629" s="763">
        <v>-4696</v>
      </c>
      <c r="AR629" s="763">
        <v>-4905</v>
      </c>
      <c r="AS629" s="763">
        <v>-5561</v>
      </c>
      <c r="AT629" s="827">
        <v>-5561</v>
      </c>
      <c r="AU629" s="763">
        <v>1398</v>
      </c>
      <c r="AV629" s="763">
        <v>4492</v>
      </c>
      <c r="AW629" s="763">
        <v>10607</v>
      </c>
      <c r="AX629" s="37">
        <f t="shared" ref="AX629:AX642" si="1380">AY629</f>
        <v>15689</v>
      </c>
      <c r="AY629" s="827">
        <v>15689</v>
      </c>
      <c r="AZ629" s="763">
        <v>6277</v>
      </c>
      <c r="BA629" s="763">
        <v>17992</v>
      </c>
      <c r="BB629" s="763">
        <v>29230</v>
      </c>
      <c r="BC629" s="37">
        <f t="shared" ref="BC629:BC642" si="1381">BD629</f>
        <v>35608</v>
      </c>
      <c r="BD629" s="827">
        <v>35608</v>
      </c>
      <c r="BE629" s="763">
        <v>6605</v>
      </c>
      <c r="BF629" s="763">
        <v>12613</v>
      </c>
      <c r="BG629" s="763">
        <v>19168</v>
      </c>
      <c r="BH629" s="22">
        <f t="shared" ref="BH629:BH642" si="1382">BI629</f>
        <v>21411</v>
      </c>
      <c r="BI629" s="827">
        <v>21411</v>
      </c>
      <c r="BJ629" s="763">
        <v>5551</v>
      </c>
      <c r="BK629" s="763">
        <v>9994</v>
      </c>
      <c r="BL629" s="763">
        <v>14490</v>
      </c>
      <c r="BM629" s="37">
        <f t="shared" ref="BM629:BM642" si="1383">BN629</f>
        <v>17749</v>
      </c>
      <c r="BN629" s="827">
        <v>17749</v>
      </c>
      <c r="BO629" s="763">
        <v>3512</v>
      </c>
      <c r="BP629" s="763">
        <v>6027</v>
      </c>
      <c r="BQ629" s="763">
        <v>9640</v>
      </c>
      <c r="BR629" s="37">
        <f t="shared" ref="BR629:BR642" si="1384">BS629</f>
        <v>12485</v>
      </c>
      <c r="BS629" s="827">
        <v>12485</v>
      </c>
      <c r="BT629" s="764">
        <v>2293</v>
      </c>
      <c r="BU629" s="37"/>
      <c r="BV629" s="37"/>
      <c r="BW629" s="37"/>
      <c r="BX629" s="821"/>
      <c r="BY629" s="37"/>
      <c r="BZ629" s="37"/>
      <c r="CA629" s="37"/>
      <c r="CB629" s="37"/>
      <c r="CC629" s="821"/>
      <c r="CD629" s="821"/>
      <c r="CE629" s="821"/>
      <c r="CF629" s="821"/>
      <c r="CG629" s="22"/>
    </row>
    <row r="630" spans="1:85" s="428" customFormat="1" hidden="1" outlineLevel="1" x14ac:dyDescent="0.3">
      <c r="A630" s="43" t="s">
        <v>185</v>
      </c>
      <c r="B630" s="109"/>
      <c r="C630" s="827">
        <v>12110</v>
      </c>
      <c r="D630" s="827">
        <v>13063</v>
      </c>
      <c r="E630" s="827">
        <v>12911</v>
      </c>
      <c r="F630" s="827">
        <v>13413</v>
      </c>
      <c r="G630" s="763">
        <v>3481</v>
      </c>
      <c r="H630" s="763">
        <v>6893</v>
      </c>
      <c r="I630" s="763">
        <v>10551</v>
      </c>
      <c r="J630" s="37">
        <f t="shared" si="1373"/>
        <v>14186</v>
      </c>
      <c r="K630" s="827">
        <v>14186</v>
      </c>
      <c r="L630" s="763">
        <v>4130</v>
      </c>
      <c r="M630" s="763">
        <v>7972</v>
      </c>
      <c r="N630" s="763">
        <v>11920</v>
      </c>
      <c r="O630" s="37">
        <f t="shared" si="1374"/>
        <v>16793</v>
      </c>
      <c r="P630" s="827">
        <v>16793</v>
      </c>
      <c r="Q630" s="763">
        <v>4411</v>
      </c>
      <c r="R630" s="763">
        <v>11369</v>
      </c>
      <c r="S630" s="763">
        <v>15637</v>
      </c>
      <c r="T630" s="37">
        <f t="shared" si="1375"/>
        <v>21037</v>
      </c>
      <c r="U630" s="827">
        <v>21037</v>
      </c>
      <c r="V630" s="763">
        <v>4403</v>
      </c>
      <c r="W630" s="763">
        <v>11124</v>
      </c>
      <c r="X630" s="763">
        <v>15254</v>
      </c>
      <c r="Y630" s="37">
        <f t="shared" si="1376"/>
        <v>19457</v>
      </c>
      <c r="Z630" s="827">
        <v>19457</v>
      </c>
      <c r="AA630" s="763">
        <v>4194</v>
      </c>
      <c r="AB630" s="763">
        <v>9505</v>
      </c>
      <c r="AC630" s="763">
        <v>14614</v>
      </c>
      <c r="AD630" s="37">
        <f t="shared" si="1377"/>
        <v>19349</v>
      </c>
      <c r="AE630" s="827">
        <v>19349</v>
      </c>
      <c r="AF630" s="763">
        <v>4289</v>
      </c>
      <c r="AG630" s="763">
        <v>8787</v>
      </c>
      <c r="AH630" s="763">
        <v>14167</v>
      </c>
      <c r="AI630" s="37">
        <f t="shared" si="1378"/>
        <v>19419</v>
      </c>
      <c r="AJ630" s="827">
        <v>19419</v>
      </c>
      <c r="AK630" s="763">
        <v>4094</v>
      </c>
      <c r="AL630" s="763">
        <v>8428</v>
      </c>
      <c r="AM630" s="763">
        <v>12789</v>
      </c>
      <c r="AN630" s="37">
        <f t="shared" si="1379"/>
        <v>29218</v>
      </c>
      <c r="AO630" s="827">
        <v>29218</v>
      </c>
      <c r="AP630" s="763">
        <v>4288</v>
      </c>
      <c r="AQ630" s="763">
        <v>11005</v>
      </c>
      <c r="AR630" s="763">
        <v>15022</v>
      </c>
      <c r="AS630" s="763">
        <v>19508</v>
      </c>
      <c r="AT630" s="827">
        <v>19508</v>
      </c>
      <c r="AU630" s="763">
        <v>4286</v>
      </c>
      <c r="AV630" s="763">
        <v>8808</v>
      </c>
      <c r="AW630" s="763">
        <v>13112</v>
      </c>
      <c r="AX630" s="37">
        <f t="shared" si="1380"/>
        <v>17925</v>
      </c>
      <c r="AY630" s="827">
        <v>17925</v>
      </c>
      <c r="AZ630" s="763">
        <v>3654</v>
      </c>
      <c r="BA630" s="763">
        <v>7354</v>
      </c>
      <c r="BB630" s="763">
        <v>11555</v>
      </c>
      <c r="BC630" s="37">
        <f t="shared" si="1381"/>
        <v>16319</v>
      </c>
      <c r="BD630" s="827">
        <v>16319</v>
      </c>
      <c r="BE630" s="763">
        <v>3526</v>
      </c>
      <c r="BF630" s="763">
        <v>7047</v>
      </c>
      <c r="BG630" s="763">
        <v>11072</v>
      </c>
      <c r="BH630" s="22">
        <f t="shared" si="1382"/>
        <v>17326</v>
      </c>
      <c r="BI630" s="827">
        <v>17326</v>
      </c>
      <c r="BJ630" s="763">
        <v>4091</v>
      </c>
      <c r="BK630" s="763">
        <v>8095</v>
      </c>
      <c r="BL630" s="763">
        <v>12309</v>
      </c>
      <c r="BM630" s="37">
        <f t="shared" si="1383"/>
        <v>17282</v>
      </c>
      <c r="BN630" s="827">
        <v>17282</v>
      </c>
      <c r="BO630" s="763">
        <v>4123</v>
      </c>
      <c r="BP630" s="763">
        <v>8467</v>
      </c>
      <c r="BQ630" s="763">
        <v>14248</v>
      </c>
      <c r="BR630" s="37">
        <f t="shared" si="1384"/>
        <v>20132</v>
      </c>
      <c r="BS630" s="827">
        <v>20132</v>
      </c>
      <c r="BT630" s="764">
        <v>5808</v>
      </c>
      <c r="BU630" s="37"/>
      <c r="BV630" s="37"/>
      <c r="BW630" s="37"/>
      <c r="BX630" s="821"/>
      <c r="BY630" s="37"/>
      <c r="BZ630" s="37"/>
      <c r="CA630" s="37"/>
      <c r="CB630" s="37"/>
      <c r="CC630" s="821"/>
      <c r="CD630" s="821"/>
      <c r="CE630" s="821"/>
      <c r="CF630" s="821"/>
      <c r="CG630" s="22"/>
    </row>
    <row r="631" spans="1:85" s="428" customFormat="1" hidden="1" outlineLevel="1" x14ac:dyDescent="0.3">
      <c r="A631" s="43" t="s">
        <v>250</v>
      </c>
      <c r="B631" s="109"/>
      <c r="C631" s="827">
        <v>552</v>
      </c>
      <c r="D631" s="827">
        <v>496</v>
      </c>
      <c r="E631" s="827">
        <v>377</v>
      </c>
      <c r="F631" s="827">
        <v>555</v>
      </c>
      <c r="G631" s="763">
        <v>12</v>
      </c>
      <c r="H631" s="763">
        <v>79</v>
      </c>
      <c r="I631" s="763">
        <v>346</v>
      </c>
      <c r="J631" s="37">
        <f t="shared" si="1373"/>
        <v>683</v>
      </c>
      <c r="K631" s="827">
        <v>683</v>
      </c>
      <c r="L631" s="763">
        <v>140</v>
      </c>
      <c r="M631" s="763">
        <v>495</v>
      </c>
      <c r="N631" s="763">
        <v>622</v>
      </c>
      <c r="O631" s="37">
        <f t="shared" si="1374"/>
        <v>875</v>
      </c>
      <c r="P631" s="827">
        <v>875</v>
      </c>
      <c r="Q631" s="763">
        <v>348</v>
      </c>
      <c r="R631" s="763">
        <v>1160</v>
      </c>
      <c r="S631" s="763">
        <v>1265</v>
      </c>
      <c r="T631" s="37">
        <f t="shared" si="1375"/>
        <v>2309</v>
      </c>
      <c r="U631" s="827">
        <v>2309</v>
      </c>
      <c r="V631" s="763">
        <v>262</v>
      </c>
      <c r="W631" s="763">
        <v>334</v>
      </c>
      <c r="X631" s="763">
        <v>472</v>
      </c>
      <c r="Y631" s="37">
        <f t="shared" si="1376"/>
        <v>489</v>
      </c>
      <c r="Z631" s="827">
        <v>489</v>
      </c>
      <c r="AA631" s="763">
        <v>7</v>
      </c>
      <c r="AB631" s="763">
        <v>19</v>
      </c>
      <c r="AC631" s="763">
        <v>140</v>
      </c>
      <c r="AD631" s="37">
        <f t="shared" si="1377"/>
        <v>198</v>
      </c>
      <c r="AE631" s="827">
        <v>198</v>
      </c>
      <c r="AF631" s="763">
        <v>45</v>
      </c>
      <c r="AG631" s="763">
        <v>106</v>
      </c>
      <c r="AH631" s="763">
        <v>596</v>
      </c>
      <c r="AI631" s="37">
        <f t="shared" si="1378"/>
        <v>687</v>
      </c>
      <c r="AJ631" s="827">
        <v>687</v>
      </c>
      <c r="AK631" s="763">
        <v>86</v>
      </c>
      <c r="AL631" s="763">
        <v>123</v>
      </c>
      <c r="AM631" s="763">
        <v>137</v>
      </c>
      <c r="AN631" s="37">
        <f t="shared" si="1379"/>
        <v>172</v>
      </c>
      <c r="AO631" s="827">
        <v>172</v>
      </c>
      <c r="AP631" s="763">
        <v>50</v>
      </c>
      <c r="AQ631" s="763">
        <v>845</v>
      </c>
      <c r="AR631" s="763">
        <v>848</v>
      </c>
      <c r="AS631" s="37">
        <f t="shared" ref="AS631:AS640" si="1385">AT631</f>
        <v>1036</v>
      </c>
      <c r="AT631" s="827">
        <v>1036</v>
      </c>
      <c r="AU631" s="763">
        <v>4</v>
      </c>
      <c r="AV631" s="763">
        <v>19</v>
      </c>
      <c r="AW631" s="763">
        <v>55</v>
      </c>
      <c r="AX631" s="37">
        <f t="shared" si="1380"/>
        <v>118</v>
      </c>
      <c r="AY631" s="827">
        <v>118</v>
      </c>
      <c r="AZ631" s="763">
        <v>135</v>
      </c>
      <c r="BA631" s="763">
        <v>234</v>
      </c>
      <c r="BB631" s="763">
        <v>255</v>
      </c>
      <c r="BC631" s="37">
        <f t="shared" si="1381"/>
        <v>486</v>
      </c>
      <c r="BD631" s="827">
        <v>486</v>
      </c>
      <c r="BE631" s="763">
        <v>105</v>
      </c>
      <c r="BF631" s="763">
        <v>143</v>
      </c>
      <c r="BG631" s="763">
        <v>315</v>
      </c>
      <c r="BH631" s="22">
        <f t="shared" si="1382"/>
        <v>436</v>
      </c>
      <c r="BI631" s="827">
        <v>436</v>
      </c>
      <c r="BJ631" s="763">
        <v>28</v>
      </c>
      <c r="BK631" s="763">
        <v>209</v>
      </c>
      <c r="BL631" s="763">
        <v>225</v>
      </c>
      <c r="BM631" s="37">
        <f t="shared" si="1383"/>
        <v>429</v>
      </c>
      <c r="BN631" s="827">
        <v>429</v>
      </c>
      <c r="BO631" s="763">
        <v>112</v>
      </c>
      <c r="BP631" s="763">
        <v>177</v>
      </c>
      <c r="BQ631" s="763">
        <v>245</v>
      </c>
      <c r="BR631" s="37">
        <f t="shared" si="1384"/>
        <v>325</v>
      </c>
      <c r="BS631" s="827">
        <v>325</v>
      </c>
      <c r="BT631" s="764">
        <v>84</v>
      </c>
      <c r="BU631" s="37"/>
      <c r="BV631" s="37"/>
      <c r="BW631" s="37"/>
      <c r="BX631" s="821"/>
      <c r="BY631" s="37"/>
      <c r="BZ631" s="37"/>
      <c r="CA631" s="37"/>
      <c r="CB631" s="37"/>
      <c r="CC631" s="821"/>
      <c r="CD631" s="821"/>
      <c r="CE631" s="821"/>
      <c r="CF631" s="821"/>
      <c r="CG631" s="22"/>
    </row>
    <row r="632" spans="1:85" s="428" customFormat="1" hidden="1" outlineLevel="1" x14ac:dyDescent="0.3">
      <c r="A632" s="43" t="s">
        <v>251</v>
      </c>
      <c r="B632" s="109"/>
      <c r="C632" s="827">
        <v>-103</v>
      </c>
      <c r="D632" s="827">
        <v>-501</v>
      </c>
      <c r="E632" s="827">
        <v>-570</v>
      </c>
      <c r="F632" s="827">
        <v>-1351</v>
      </c>
      <c r="G632" s="763">
        <v>-578</v>
      </c>
      <c r="H632" s="763">
        <v>-1118</v>
      </c>
      <c r="I632" s="763">
        <v>-990</v>
      </c>
      <c r="J632" s="37">
        <f t="shared" si="1373"/>
        <v>-1178</v>
      </c>
      <c r="K632" s="827">
        <v>-1178</v>
      </c>
      <c r="L632" s="763">
        <v>-457</v>
      </c>
      <c r="M632" s="763">
        <v>-839</v>
      </c>
      <c r="N632" s="763">
        <v>-1505</v>
      </c>
      <c r="O632" s="37">
        <f t="shared" si="1374"/>
        <v>-2202</v>
      </c>
      <c r="P632" s="827">
        <v>-2202</v>
      </c>
      <c r="Q632" s="763">
        <v>-1208</v>
      </c>
      <c r="R632" s="763">
        <v>-183</v>
      </c>
      <c r="S632" s="763">
        <v>-576</v>
      </c>
      <c r="T632" s="37">
        <f t="shared" si="1375"/>
        <v>-760</v>
      </c>
      <c r="U632" s="827">
        <v>-760</v>
      </c>
      <c r="V632" s="763">
        <v>-219</v>
      </c>
      <c r="W632" s="763">
        <v>-486</v>
      </c>
      <c r="X632" s="763">
        <v>-708</v>
      </c>
      <c r="Y632" s="37">
        <f t="shared" si="1376"/>
        <v>-1227</v>
      </c>
      <c r="Z632" s="827">
        <v>-1227</v>
      </c>
      <c r="AA632" s="763">
        <v>-652</v>
      </c>
      <c r="AB632" s="763">
        <v>-1436</v>
      </c>
      <c r="AC632" s="763">
        <v>-2122</v>
      </c>
      <c r="AD632" s="37">
        <f t="shared" si="1377"/>
        <v>-2214</v>
      </c>
      <c r="AE632" s="827">
        <v>-2214</v>
      </c>
      <c r="AF632" s="763">
        <v>-998</v>
      </c>
      <c r="AG632" s="763">
        <v>-1799</v>
      </c>
      <c r="AH632" s="763">
        <v>-2526</v>
      </c>
      <c r="AI632" s="37">
        <f t="shared" si="1378"/>
        <v>-3580</v>
      </c>
      <c r="AJ632" s="827">
        <v>-3580</v>
      </c>
      <c r="AK632" s="763">
        <v>-513</v>
      </c>
      <c r="AL632" s="763">
        <v>-1287</v>
      </c>
      <c r="AM632" s="763">
        <v>-1897</v>
      </c>
      <c r="AN632" s="37">
        <f t="shared" si="1379"/>
        <v>-2073</v>
      </c>
      <c r="AO632" s="827">
        <v>-2073</v>
      </c>
      <c r="AP632" s="763">
        <v>-639</v>
      </c>
      <c r="AQ632" s="763">
        <v>2278</v>
      </c>
      <c r="AR632" s="763">
        <v>2249</v>
      </c>
      <c r="AS632" s="37">
        <f t="shared" si="1385"/>
        <v>2015</v>
      </c>
      <c r="AT632" s="827">
        <v>2015</v>
      </c>
      <c r="AU632" s="763">
        <v>-491</v>
      </c>
      <c r="AV632" s="763">
        <v>-1417</v>
      </c>
      <c r="AW632" s="763">
        <v>-2162</v>
      </c>
      <c r="AX632" s="37">
        <f t="shared" si="1380"/>
        <v>-1998</v>
      </c>
      <c r="AY632" s="827">
        <v>-1998</v>
      </c>
      <c r="AZ632" s="763">
        <v>-1441</v>
      </c>
      <c r="BA632" s="763">
        <v>-3166</v>
      </c>
      <c r="BB632" s="763">
        <v>-4768</v>
      </c>
      <c r="BC632" s="37">
        <f t="shared" si="1381"/>
        <v>-4730</v>
      </c>
      <c r="BD632" s="827">
        <v>-4730</v>
      </c>
      <c r="BE632" s="763">
        <v>-901</v>
      </c>
      <c r="BF632" s="763">
        <v>-1352</v>
      </c>
      <c r="BG632" s="763">
        <v>-2273</v>
      </c>
      <c r="BH632" s="22">
        <f t="shared" si="1382"/>
        <v>-885</v>
      </c>
      <c r="BI632" s="827">
        <v>-885</v>
      </c>
      <c r="BJ632" s="763">
        <v>-705</v>
      </c>
      <c r="BK632" s="763">
        <v>-628</v>
      </c>
      <c r="BL632" s="763">
        <v>-485</v>
      </c>
      <c r="BM632" s="37">
        <f t="shared" si="1383"/>
        <v>-366</v>
      </c>
      <c r="BN632" s="827">
        <v>-366</v>
      </c>
      <c r="BO632" s="763">
        <v>268</v>
      </c>
      <c r="BP632" s="763">
        <v>1176</v>
      </c>
      <c r="BQ632" s="763">
        <v>1802</v>
      </c>
      <c r="BR632" s="37">
        <f t="shared" si="1384"/>
        <v>2282</v>
      </c>
      <c r="BS632" s="827">
        <v>2282</v>
      </c>
      <c r="BT632" s="764">
        <v>-400</v>
      </c>
      <c r="BU632" s="37"/>
      <c r="BV632" s="37"/>
      <c r="BW632" s="37"/>
      <c r="BX632" s="821"/>
      <c r="BY632" s="37"/>
      <c r="BZ632" s="37"/>
      <c r="CA632" s="37"/>
      <c r="CB632" s="37"/>
      <c r="CC632" s="821"/>
      <c r="CD632" s="821"/>
      <c r="CE632" s="821"/>
      <c r="CF632" s="821"/>
      <c r="CG632" s="22"/>
    </row>
    <row r="633" spans="1:85" s="428" customFormat="1" hidden="1" outlineLevel="1" x14ac:dyDescent="0.3">
      <c r="A633" s="43" t="s">
        <v>252</v>
      </c>
      <c r="B633" s="109"/>
      <c r="C633" s="827">
        <v>-1255</v>
      </c>
      <c r="D633" s="827">
        <v>-1004</v>
      </c>
      <c r="E633" s="827">
        <v>-1495</v>
      </c>
      <c r="F633" s="827">
        <v>-4089</v>
      </c>
      <c r="G633" s="763">
        <v>-27</v>
      </c>
      <c r="H633" s="763">
        <v>-175</v>
      </c>
      <c r="I633" s="763">
        <v>-494</v>
      </c>
      <c r="J633" s="37">
        <f t="shared" si="1373"/>
        <v>-639</v>
      </c>
      <c r="K633" s="827">
        <v>-639</v>
      </c>
      <c r="L633" s="763">
        <v>-269</v>
      </c>
      <c r="M633" s="763">
        <v>-838</v>
      </c>
      <c r="N633" s="763">
        <v>-1516</v>
      </c>
      <c r="O633" s="37">
        <f t="shared" si="1374"/>
        <v>-3540</v>
      </c>
      <c r="P633" s="827">
        <v>-3540</v>
      </c>
      <c r="Q633" s="763">
        <v>-638</v>
      </c>
      <c r="R633" s="763">
        <v>-3045</v>
      </c>
      <c r="S633" s="763">
        <v>-3104</v>
      </c>
      <c r="T633" s="37">
        <f t="shared" si="1375"/>
        <v>-3215</v>
      </c>
      <c r="U633" s="827">
        <v>-3215</v>
      </c>
      <c r="V633" s="763">
        <v>-27</v>
      </c>
      <c r="W633" s="763">
        <v>-661</v>
      </c>
      <c r="X633" s="763">
        <v>-872</v>
      </c>
      <c r="Y633" s="37">
        <f t="shared" si="1376"/>
        <v>-1149</v>
      </c>
      <c r="Z633" s="827">
        <v>-1149</v>
      </c>
      <c r="AA633" s="763">
        <v>-764</v>
      </c>
      <c r="AB633" s="763">
        <v>-1056</v>
      </c>
      <c r="AC633" s="763">
        <v>-2139</v>
      </c>
      <c r="AD633" s="37">
        <f t="shared" si="1377"/>
        <v>-2195</v>
      </c>
      <c r="AE633" s="827">
        <v>-2195</v>
      </c>
      <c r="AF633" s="763">
        <v>-12</v>
      </c>
      <c r="AG633" s="763">
        <v>-52</v>
      </c>
      <c r="AH633" s="763">
        <v>-560</v>
      </c>
      <c r="AI633" s="37">
        <f t="shared" si="1378"/>
        <v>-619</v>
      </c>
      <c r="AJ633" s="827">
        <v>-619</v>
      </c>
      <c r="AK633" s="763">
        <v>80</v>
      </c>
      <c r="AL633" s="763">
        <v>-97</v>
      </c>
      <c r="AM633" s="763">
        <v>-106</v>
      </c>
      <c r="AN633" s="37">
        <f t="shared" si="1379"/>
        <v>-1367</v>
      </c>
      <c r="AO633" s="827">
        <v>-1367</v>
      </c>
      <c r="AP633" s="763">
        <v>-226</v>
      </c>
      <c r="AQ633" s="763">
        <v>-598</v>
      </c>
      <c r="AR633" s="763">
        <v>-625</v>
      </c>
      <c r="AS633" s="37">
        <f t="shared" si="1385"/>
        <v>-760</v>
      </c>
      <c r="AT633" s="827">
        <v>-760</v>
      </c>
      <c r="AU633" s="763">
        <v>-56</v>
      </c>
      <c r="AV633" s="763">
        <v>-87</v>
      </c>
      <c r="AW633" s="763">
        <v>-401</v>
      </c>
      <c r="AX633" s="37">
        <f t="shared" si="1380"/>
        <v>-1021</v>
      </c>
      <c r="AY633" s="827">
        <v>-1021</v>
      </c>
      <c r="AZ633" s="763">
        <v>-99</v>
      </c>
      <c r="BA633" s="763">
        <v>-466</v>
      </c>
      <c r="BB633" s="763">
        <v>-463</v>
      </c>
      <c r="BC633" s="37">
        <f t="shared" si="1381"/>
        <v>-550</v>
      </c>
      <c r="BD633" s="827">
        <v>-550</v>
      </c>
      <c r="BE633" s="763">
        <v>34</v>
      </c>
      <c r="BF633" s="763">
        <v>2</v>
      </c>
      <c r="BG633" s="763">
        <v>-133</v>
      </c>
      <c r="BH633" s="22">
        <f t="shared" si="1382"/>
        <v>-138</v>
      </c>
      <c r="BI633" s="827">
        <v>-138</v>
      </c>
      <c r="BJ633" s="763">
        <v>-30</v>
      </c>
      <c r="BK633" s="763">
        <v>-47</v>
      </c>
      <c r="BL633" s="763">
        <v>-236</v>
      </c>
      <c r="BM633" s="37">
        <f t="shared" si="1383"/>
        <v>-1685</v>
      </c>
      <c r="BN633" s="827">
        <v>-1685</v>
      </c>
      <c r="BO633" s="763">
        <v>-19</v>
      </c>
      <c r="BP633" s="763">
        <v>-299</v>
      </c>
      <c r="BQ633" s="763">
        <v>-302</v>
      </c>
      <c r="BR633" s="37">
        <f t="shared" si="1384"/>
        <v>-462</v>
      </c>
      <c r="BS633" s="827">
        <v>-462</v>
      </c>
      <c r="BT633" s="764">
        <v>-7</v>
      </c>
      <c r="BU633" s="37"/>
      <c r="BV633" s="37"/>
      <c r="BW633" s="37"/>
      <c r="BX633" s="821"/>
      <c r="BY633" s="37"/>
      <c r="BZ633" s="37"/>
      <c r="CA633" s="37"/>
      <c r="CB633" s="37"/>
      <c r="CC633" s="821"/>
      <c r="CD633" s="821"/>
      <c r="CE633" s="821"/>
      <c r="CF633" s="821"/>
      <c r="CG633" s="22"/>
    </row>
    <row r="634" spans="1:85" s="428" customFormat="1" hidden="1" outlineLevel="1" x14ac:dyDescent="0.3">
      <c r="A634" s="43" t="s">
        <v>253</v>
      </c>
      <c r="B634" s="109"/>
      <c r="C634" s="827">
        <v>466</v>
      </c>
      <c r="D634" s="827">
        <v>251</v>
      </c>
      <c r="E634" s="827">
        <v>-103</v>
      </c>
      <c r="F634" s="827">
        <v>207</v>
      </c>
      <c r="G634" s="763">
        <v>-109</v>
      </c>
      <c r="H634" s="763">
        <v>-138</v>
      </c>
      <c r="I634" s="763">
        <v>45</v>
      </c>
      <c r="J634" s="37">
        <f t="shared" si="1373"/>
        <v>-103</v>
      </c>
      <c r="K634" s="827">
        <v>-103</v>
      </c>
      <c r="L634" s="763">
        <v>14</v>
      </c>
      <c r="M634" s="763">
        <v>101</v>
      </c>
      <c r="N634" s="763">
        <v>-61</v>
      </c>
      <c r="O634" s="37">
        <f t="shared" si="1374"/>
        <v>-277</v>
      </c>
      <c r="P634" s="827">
        <v>-277</v>
      </c>
      <c r="Q634" s="763">
        <v>-87</v>
      </c>
      <c r="R634" s="763">
        <v>101</v>
      </c>
      <c r="S634" s="763">
        <v>-34</v>
      </c>
      <c r="T634" s="37">
        <f t="shared" si="1375"/>
        <v>-82</v>
      </c>
      <c r="U634" s="827">
        <v>-82</v>
      </c>
      <c r="V634" s="763">
        <v>212</v>
      </c>
      <c r="W634" s="763">
        <v>302</v>
      </c>
      <c r="X634" s="763">
        <v>321</v>
      </c>
      <c r="Y634" s="37">
        <f t="shared" si="1376"/>
        <v>186</v>
      </c>
      <c r="Z634" s="827">
        <v>186</v>
      </c>
      <c r="AA634" s="763">
        <v>131</v>
      </c>
      <c r="AB634" s="763">
        <v>243</v>
      </c>
      <c r="AC634" s="763">
        <v>145</v>
      </c>
      <c r="AD634" s="37">
        <f t="shared" si="1377"/>
        <v>131</v>
      </c>
      <c r="AE634" s="827">
        <v>131</v>
      </c>
      <c r="AF634" s="763">
        <v>63</v>
      </c>
      <c r="AG634" s="763">
        <v>25</v>
      </c>
      <c r="AH634" s="763">
        <v>330</v>
      </c>
      <c r="AI634" s="37">
        <f t="shared" si="1378"/>
        <v>123</v>
      </c>
      <c r="AJ634" s="827">
        <v>123</v>
      </c>
      <c r="AK634" s="763">
        <v>141</v>
      </c>
      <c r="AL634" s="763">
        <v>80</v>
      </c>
      <c r="AM634" s="763">
        <v>54</v>
      </c>
      <c r="AN634" s="37">
        <f t="shared" si="1379"/>
        <v>272</v>
      </c>
      <c r="AO634" s="827">
        <v>272</v>
      </c>
      <c r="AP634" s="763">
        <v>-403</v>
      </c>
      <c r="AQ634" s="763">
        <v>-19</v>
      </c>
      <c r="AR634" s="763">
        <v>190</v>
      </c>
      <c r="AS634" s="37">
        <f t="shared" si="1385"/>
        <v>619</v>
      </c>
      <c r="AT634" s="827">
        <v>619</v>
      </c>
      <c r="AU634" s="763">
        <v>111</v>
      </c>
      <c r="AV634" s="763">
        <v>159</v>
      </c>
      <c r="AW634" s="763">
        <v>-25</v>
      </c>
      <c r="AX634" s="37">
        <f t="shared" si="1380"/>
        <v>-7</v>
      </c>
      <c r="AY634" s="827">
        <v>-7</v>
      </c>
      <c r="AZ634" s="763">
        <v>248</v>
      </c>
      <c r="BA634" s="763">
        <v>-225</v>
      </c>
      <c r="BB634" s="763">
        <v>-653</v>
      </c>
      <c r="BC634" s="37">
        <f t="shared" si="1381"/>
        <v>-412</v>
      </c>
      <c r="BD634" s="827">
        <v>-412</v>
      </c>
      <c r="BE634" s="763">
        <v>23</v>
      </c>
      <c r="BF634" s="763">
        <v>103</v>
      </c>
      <c r="BG634" s="763">
        <v>-135</v>
      </c>
      <c r="BH634" s="22">
        <f t="shared" si="1382"/>
        <v>578</v>
      </c>
      <c r="BI634" s="827">
        <v>578</v>
      </c>
      <c r="BJ634" s="763">
        <v>-198</v>
      </c>
      <c r="BK634" s="763">
        <v>-88</v>
      </c>
      <c r="BL634" s="763">
        <v>104</v>
      </c>
      <c r="BM634" s="37">
        <f t="shared" si="1383"/>
        <v>-629</v>
      </c>
      <c r="BN634" s="827">
        <v>-629</v>
      </c>
      <c r="BO634" s="763">
        <v>130</v>
      </c>
      <c r="BP634" s="763">
        <v>470</v>
      </c>
      <c r="BQ634" s="763">
        <v>444</v>
      </c>
      <c r="BR634" s="37">
        <f t="shared" si="1384"/>
        <v>585</v>
      </c>
      <c r="BS634" s="827">
        <v>585</v>
      </c>
      <c r="BT634" s="764">
        <v>157</v>
      </c>
      <c r="BU634" s="37"/>
      <c r="BV634" s="37"/>
      <c r="BW634" s="37"/>
      <c r="BX634" s="821"/>
      <c r="BY634" s="37"/>
      <c r="BZ634" s="37"/>
      <c r="CA634" s="37"/>
      <c r="CB634" s="37"/>
      <c r="CC634" s="821"/>
      <c r="CD634" s="821"/>
      <c r="CE634" s="821"/>
      <c r="CF634" s="821"/>
      <c r="CG634" s="22"/>
    </row>
    <row r="635" spans="1:85" s="428" customFormat="1" hidden="1" outlineLevel="1" x14ac:dyDescent="0.3">
      <c r="A635" s="43" t="s">
        <v>254</v>
      </c>
      <c r="B635" s="109"/>
      <c r="C635" s="827">
        <v>467</v>
      </c>
      <c r="D635" s="827">
        <v>559</v>
      </c>
      <c r="E635" s="827">
        <v>1589</v>
      </c>
      <c r="F635" s="827">
        <v>2015</v>
      </c>
      <c r="G635" s="763">
        <v>127</v>
      </c>
      <c r="H635" s="763">
        <v>32</v>
      </c>
      <c r="I635" s="763">
        <v>969</v>
      </c>
      <c r="J635" s="37">
        <f t="shared" si="1373"/>
        <v>1876</v>
      </c>
      <c r="K635" s="827">
        <v>1876</v>
      </c>
      <c r="L635" s="763">
        <v>287</v>
      </c>
      <c r="M635" s="763">
        <v>505</v>
      </c>
      <c r="N635" s="763">
        <v>474</v>
      </c>
      <c r="O635" s="37">
        <f t="shared" si="1374"/>
        <v>1572</v>
      </c>
      <c r="P635" s="827">
        <v>1572</v>
      </c>
      <c r="Q635" s="763">
        <v>-921</v>
      </c>
      <c r="R635" s="763">
        <v>-727</v>
      </c>
      <c r="S635" s="763">
        <v>-478</v>
      </c>
      <c r="T635" s="37">
        <f t="shared" si="1375"/>
        <v>-1861</v>
      </c>
      <c r="U635" s="827">
        <v>-1861</v>
      </c>
      <c r="V635" s="763">
        <v>-1089</v>
      </c>
      <c r="W635" s="763">
        <v>-2240</v>
      </c>
      <c r="X635" s="763">
        <v>-3139</v>
      </c>
      <c r="Y635" s="37">
        <f t="shared" si="1376"/>
        <v>-3835</v>
      </c>
      <c r="Z635" s="827">
        <v>-3835</v>
      </c>
      <c r="AA635" s="763">
        <v>-563</v>
      </c>
      <c r="AB635" s="763">
        <v>-1246</v>
      </c>
      <c r="AC635" s="763">
        <v>-464</v>
      </c>
      <c r="AD635" s="37">
        <f t="shared" si="1377"/>
        <v>-3203</v>
      </c>
      <c r="AE635" s="827">
        <v>-3203</v>
      </c>
      <c r="AF635" s="763">
        <v>383</v>
      </c>
      <c r="AG635" s="763">
        <v>510</v>
      </c>
      <c r="AH635" s="763">
        <v>806</v>
      </c>
      <c r="AI635" s="37">
        <f t="shared" si="1378"/>
        <v>1050</v>
      </c>
      <c r="AJ635" s="827">
        <v>1050</v>
      </c>
      <c r="AK635" s="763">
        <v>73</v>
      </c>
      <c r="AL635" s="763">
        <v>394</v>
      </c>
      <c r="AM635" s="763">
        <v>986</v>
      </c>
      <c r="AN635" s="37">
        <f t="shared" si="1379"/>
        <v>-1966</v>
      </c>
      <c r="AO635" s="827">
        <v>-1966</v>
      </c>
      <c r="AP635" s="763">
        <v>58</v>
      </c>
      <c r="AQ635" s="763">
        <v>-2547</v>
      </c>
      <c r="AR635" s="763">
        <v>-3180</v>
      </c>
      <c r="AS635" s="37">
        <f t="shared" si="1385"/>
        <v>-3604</v>
      </c>
      <c r="AT635" s="827">
        <v>-3604</v>
      </c>
      <c r="AU635" s="763">
        <v>-254</v>
      </c>
      <c r="AV635" s="763">
        <v>-186</v>
      </c>
      <c r="AW635" s="763">
        <v>472</v>
      </c>
      <c r="AX635" s="37">
        <f t="shared" si="1380"/>
        <v>700</v>
      </c>
      <c r="AY635" s="827">
        <v>700</v>
      </c>
      <c r="AZ635" s="763">
        <v>626</v>
      </c>
      <c r="BA635" s="763">
        <v>1341</v>
      </c>
      <c r="BB635" s="763">
        <v>1710</v>
      </c>
      <c r="BC635" s="37">
        <f t="shared" si="1381"/>
        <v>2124</v>
      </c>
      <c r="BD635" s="827">
        <v>2124</v>
      </c>
      <c r="BE635" s="763">
        <v>790</v>
      </c>
      <c r="BF635" s="763">
        <v>1461</v>
      </c>
      <c r="BG635" s="763">
        <v>1346</v>
      </c>
      <c r="BH635" s="22">
        <f t="shared" si="1382"/>
        <v>298</v>
      </c>
      <c r="BI635" s="827">
        <v>298</v>
      </c>
      <c r="BJ635" s="763">
        <v>688</v>
      </c>
      <c r="BK635" s="763">
        <v>1142</v>
      </c>
      <c r="BL635" s="763">
        <v>1545</v>
      </c>
      <c r="BM635" s="37">
        <f t="shared" si="1383"/>
        <v>1240</v>
      </c>
      <c r="BN635" s="827">
        <v>1240</v>
      </c>
      <c r="BO635" s="763">
        <v>480</v>
      </c>
      <c r="BP635" s="763">
        <v>509</v>
      </c>
      <c r="BQ635" s="763">
        <v>709</v>
      </c>
      <c r="BR635" s="37">
        <f t="shared" si="1384"/>
        <v>986</v>
      </c>
      <c r="BS635" s="827">
        <v>986</v>
      </c>
      <c r="BT635" s="764">
        <v>-264</v>
      </c>
      <c r="BU635" s="37"/>
      <c r="BV635" s="37"/>
      <c r="BW635" s="37"/>
      <c r="BX635" s="821"/>
      <c r="BY635" s="37"/>
      <c r="BZ635" s="37"/>
      <c r="CA635" s="37"/>
      <c r="CB635" s="37"/>
      <c r="CC635" s="821"/>
      <c r="CD635" s="821"/>
      <c r="CE635" s="821"/>
      <c r="CF635" s="821"/>
      <c r="CG635" s="22"/>
    </row>
    <row r="636" spans="1:85" s="428" customFormat="1" hidden="1" outlineLevel="1" x14ac:dyDescent="0.3">
      <c r="A636" s="43" t="s">
        <v>255</v>
      </c>
      <c r="B636" s="109"/>
      <c r="C636" s="821"/>
      <c r="D636" s="821"/>
      <c r="E636" s="821"/>
      <c r="F636" s="821"/>
      <c r="G636" s="37"/>
      <c r="H636" s="37"/>
      <c r="I636" s="37"/>
      <c r="J636" s="37">
        <f t="shared" si="1373"/>
        <v>0</v>
      </c>
      <c r="K636" s="821"/>
      <c r="L636" s="37"/>
      <c r="M636" s="37"/>
      <c r="N636" s="37"/>
      <c r="O636" s="37">
        <f t="shared" si="1374"/>
        <v>0</v>
      </c>
      <c r="P636" s="821"/>
      <c r="Q636" s="37"/>
      <c r="R636" s="37"/>
      <c r="S636" s="37"/>
      <c r="T636" s="37">
        <f t="shared" si="1375"/>
        <v>0</v>
      </c>
      <c r="U636" s="821"/>
      <c r="V636" s="37"/>
      <c r="W636" s="37"/>
      <c r="X636" s="37"/>
      <c r="Y636" s="37">
        <f t="shared" si="1376"/>
        <v>0</v>
      </c>
      <c r="Z636" s="827">
        <v>0</v>
      </c>
      <c r="AA636" s="37"/>
      <c r="AB636" s="37"/>
      <c r="AC636" s="37"/>
      <c r="AD636" s="37">
        <f t="shared" si="1377"/>
        <v>0</v>
      </c>
      <c r="AE636" s="821"/>
      <c r="AF636" s="37"/>
      <c r="AG636" s="37"/>
      <c r="AH636" s="37"/>
      <c r="AI636" s="37">
        <f t="shared" si="1378"/>
        <v>0</v>
      </c>
      <c r="AJ636" s="821"/>
      <c r="AK636" s="37"/>
      <c r="AL636" s="37"/>
      <c r="AM636" s="37"/>
      <c r="AN636" s="37">
        <f t="shared" si="1379"/>
        <v>0</v>
      </c>
      <c r="AO636" s="821"/>
      <c r="AP636" s="37"/>
      <c r="AQ636" s="37"/>
      <c r="AR636" s="37"/>
      <c r="AS636" s="37">
        <f t="shared" si="1385"/>
        <v>0</v>
      </c>
      <c r="AT636" s="821"/>
      <c r="AU636" s="37"/>
      <c r="AV636" s="37"/>
      <c r="AW636" s="37"/>
      <c r="AX636" s="37">
        <f t="shared" si="1380"/>
        <v>0</v>
      </c>
      <c r="AY636" s="821"/>
      <c r="AZ636" s="37"/>
      <c r="BA636" s="37"/>
      <c r="BB636" s="37"/>
      <c r="BC636" s="37">
        <f t="shared" si="1381"/>
        <v>0</v>
      </c>
      <c r="BD636" s="821"/>
      <c r="BE636" s="37"/>
      <c r="BF636" s="37"/>
      <c r="BG636" s="37"/>
      <c r="BH636" s="22">
        <f t="shared" si="1382"/>
        <v>0</v>
      </c>
      <c r="BI636" s="821"/>
      <c r="BJ636" s="37"/>
      <c r="BK636" s="37"/>
      <c r="BL636" s="37"/>
      <c r="BM636" s="37">
        <f t="shared" si="1383"/>
        <v>0</v>
      </c>
      <c r="BN636" s="821"/>
      <c r="BO636" s="37"/>
      <c r="BP636" s="37"/>
      <c r="BQ636" s="37"/>
      <c r="BR636" s="37">
        <f t="shared" si="1384"/>
        <v>0</v>
      </c>
      <c r="BS636" s="821"/>
      <c r="BT636" s="480"/>
      <c r="BU636" s="37"/>
      <c r="BV636" s="37"/>
      <c r="BW636" s="37"/>
      <c r="BX636" s="821"/>
      <c r="BY636" s="37"/>
      <c r="BZ636" s="37"/>
      <c r="CA636" s="37"/>
      <c r="CB636" s="37"/>
      <c r="CC636" s="821"/>
      <c r="CD636" s="821"/>
      <c r="CE636" s="821"/>
      <c r="CF636" s="821"/>
      <c r="CG636" s="22"/>
    </row>
    <row r="637" spans="1:85" s="428" customFormat="1" hidden="1" outlineLevel="1" x14ac:dyDescent="0.3">
      <c r="A637" s="43" t="s">
        <v>256</v>
      </c>
      <c r="B637" s="109"/>
      <c r="C637" s="827">
        <v>-258</v>
      </c>
      <c r="D637" s="827">
        <v>-12</v>
      </c>
      <c r="E637" s="827">
        <v>-150</v>
      </c>
      <c r="F637" s="827">
        <v>-169</v>
      </c>
      <c r="G637" s="763">
        <v>-66</v>
      </c>
      <c r="H637" s="763">
        <v>-56</v>
      </c>
      <c r="I637" s="763">
        <v>-164</v>
      </c>
      <c r="J637" s="37">
        <f t="shared" si="1373"/>
        <v>183</v>
      </c>
      <c r="K637" s="827">
        <v>183</v>
      </c>
      <c r="L637" s="763">
        <v>-32</v>
      </c>
      <c r="M637" s="763">
        <v>-196</v>
      </c>
      <c r="N637" s="763">
        <v>-75</v>
      </c>
      <c r="O637" s="37">
        <f t="shared" si="1374"/>
        <v>-9</v>
      </c>
      <c r="P637" s="827">
        <v>-9</v>
      </c>
      <c r="Q637" s="763">
        <v>-23</v>
      </c>
      <c r="R637" s="763">
        <v>-89</v>
      </c>
      <c r="S637" s="763">
        <v>-92</v>
      </c>
      <c r="T637" s="37">
        <f t="shared" si="1375"/>
        <v>-59</v>
      </c>
      <c r="U637" s="827">
        <v>-59</v>
      </c>
      <c r="V637" s="763">
        <v>-68</v>
      </c>
      <c r="W637" s="763">
        <v>-33</v>
      </c>
      <c r="X637" s="763">
        <v>-81</v>
      </c>
      <c r="Y637" s="37">
        <f t="shared" si="1376"/>
        <v>-131</v>
      </c>
      <c r="Z637" s="827">
        <v>-131</v>
      </c>
      <c r="AA637" s="763">
        <v>20</v>
      </c>
      <c r="AB637" s="763">
        <v>76</v>
      </c>
      <c r="AC637" s="763">
        <v>-537</v>
      </c>
      <c r="AD637" s="37">
        <f t="shared" si="1377"/>
        <v>-368</v>
      </c>
      <c r="AE637" s="827">
        <v>-368</v>
      </c>
      <c r="AF637" s="763">
        <v>128</v>
      </c>
      <c r="AG637" s="763">
        <v>266</v>
      </c>
      <c r="AH637" s="763">
        <v>363</v>
      </c>
      <c r="AI637" s="37">
        <f t="shared" si="1378"/>
        <v>418</v>
      </c>
      <c r="AJ637" s="827">
        <v>418</v>
      </c>
      <c r="AK637" s="763">
        <v>66</v>
      </c>
      <c r="AL637" s="763">
        <v>233</v>
      </c>
      <c r="AM637" s="763">
        <v>426</v>
      </c>
      <c r="AN637" s="37">
        <f t="shared" si="1379"/>
        <v>502</v>
      </c>
      <c r="AO637" s="827">
        <v>502</v>
      </c>
      <c r="AP637" s="763">
        <v>239</v>
      </c>
      <c r="AQ637" s="763">
        <v>49</v>
      </c>
      <c r="AR637" s="763">
        <v>84</v>
      </c>
      <c r="AS637" s="37">
        <f t="shared" si="1385"/>
        <v>296</v>
      </c>
      <c r="AT637" s="827">
        <v>296</v>
      </c>
      <c r="AU637" s="763">
        <v>15</v>
      </c>
      <c r="AV637" s="763">
        <v>22</v>
      </c>
      <c r="AW637" s="763">
        <v>-33</v>
      </c>
      <c r="AX637" s="37">
        <f t="shared" si="1380"/>
        <v>21</v>
      </c>
      <c r="AY637" s="827">
        <v>21</v>
      </c>
      <c r="AZ637" s="763">
        <v>86</v>
      </c>
      <c r="BA637" s="763">
        <v>52</v>
      </c>
      <c r="BB637" s="763">
        <v>121</v>
      </c>
      <c r="BC637" s="37">
        <f t="shared" si="1381"/>
        <v>153</v>
      </c>
      <c r="BD637" s="827">
        <v>153</v>
      </c>
      <c r="BE637" s="763">
        <v>36</v>
      </c>
      <c r="BF637" s="763">
        <v>133</v>
      </c>
      <c r="BG637" s="763">
        <v>36</v>
      </c>
      <c r="BH637" s="22">
        <f t="shared" si="1382"/>
        <v>150</v>
      </c>
      <c r="BI637" s="827">
        <v>150</v>
      </c>
      <c r="BJ637" s="763">
        <v>27</v>
      </c>
      <c r="BK637" s="763">
        <v>19</v>
      </c>
      <c r="BL637" s="763">
        <v>54</v>
      </c>
      <c r="BM637" s="37">
        <f t="shared" si="1383"/>
        <v>114</v>
      </c>
      <c r="BN637" s="827">
        <v>114</v>
      </c>
      <c r="BO637" s="763">
        <v>-40</v>
      </c>
      <c r="BP637" s="763">
        <v>-10</v>
      </c>
      <c r="BQ637" s="763">
        <v>-85</v>
      </c>
      <c r="BR637" s="37">
        <f t="shared" si="1384"/>
        <v>-132</v>
      </c>
      <c r="BS637" s="827">
        <v>-132</v>
      </c>
      <c r="BT637" s="764">
        <v>58</v>
      </c>
      <c r="BU637" s="37"/>
      <c r="BV637" s="37"/>
      <c r="BW637" s="37"/>
      <c r="BX637" s="821"/>
      <c r="BY637" s="37"/>
      <c r="BZ637" s="37"/>
      <c r="CA637" s="37"/>
      <c r="CB637" s="37"/>
      <c r="CC637" s="821"/>
      <c r="CD637" s="821"/>
      <c r="CE637" s="821"/>
      <c r="CF637" s="821"/>
      <c r="CG637" s="22"/>
    </row>
    <row r="638" spans="1:85" s="428" customFormat="1" hidden="1" outlineLevel="1" x14ac:dyDescent="0.3">
      <c r="A638" s="43" t="s">
        <v>257</v>
      </c>
      <c r="B638" s="109"/>
      <c r="C638" s="827">
        <v>201</v>
      </c>
      <c r="D638" s="827">
        <v>48</v>
      </c>
      <c r="E638" s="827">
        <v>341</v>
      </c>
      <c r="F638" s="827">
        <v>1047</v>
      </c>
      <c r="G638" s="763">
        <v>-111</v>
      </c>
      <c r="H638" s="763">
        <v>68</v>
      </c>
      <c r="I638" s="763">
        <v>11</v>
      </c>
      <c r="J638" s="37">
        <f t="shared" si="1373"/>
        <v>-321</v>
      </c>
      <c r="K638" s="827">
        <v>-321</v>
      </c>
      <c r="L638" s="763">
        <v>-13</v>
      </c>
      <c r="M638" s="763">
        <v>-79</v>
      </c>
      <c r="N638" s="763">
        <v>-59</v>
      </c>
      <c r="O638" s="37">
        <f t="shared" si="1374"/>
        <v>263</v>
      </c>
      <c r="P638" s="827">
        <v>263</v>
      </c>
      <c r="Q638" s="763">
        <v>27</v>
      </c>
      <c r="R638" s="763">
        <v>42</v>
      </c>
      <c r="S638" s="763">
        <v>92</v>
      </c>
      <c r="T638" s="37">
        <f t="shared" si="1375"/>
        <v>25</v>
      </c>
      <c r="U638" s="827">
        <v>25</v>
      </c>
      <c r="V638" s="763">
        <v>3</v>
      </c>
      <c r="W638" s="763">
        <v>52</v>
      </c>
      <c r="X638" s="763">
        <v>30</v>
      </c>
      <c r="Y638" s="37">
        <f t="shared" si="1376"/>
        <v>235</v>
      </c>
      <c r="Z638" s="827">
        <v>235</v>
      </c>
      <c r="AA638" s="763">
        <v>-32</v>
      </c>
      <c r="AB638" s="763">
        <v>-23</v>
      </c>
      <c r="AC638" s="763">
        <v>-57</v>
      </c>
      <c r="AD638" s="37">
        <f t="shared" si="1377"/>
        <v>-199</v>
      </c>
      <c r="AE638" s="827">
        <v>-199</v>
      </c>
      <c r="AF638" s="763">
        <v>-12</v>
      </c>
      <c r="AG638" s="763">
        <v>-28</v>
      </c>
      <c r="AH638" s="763">
        <v>-60</v>
      </c>
      <c r="AI638" s="37">
        <f t="shared" si="1378"/>
        <v>0</v>
      </c>
      <c r="AJ638" s="827">
        <v>0</v>
      </c>
      <c r="AK638" s="763">
        <v>-62</v>
      </c>
      <c r="AL638" s="763">
        <v>-98</v>
      </c>
      <c r="AM638" s="763">
        <v>-144</v>
      </c>
      <c r="AN638" s="37">
        <f t="shared" si="1379"/>
        <v>-69</v>
      </c>
      <c r="AO638" s="827">
        <v>-69</v>
      </c>
      <c r="AP638" s="763">
        <v>-43</v>
      </c>
      <c r="AQ638" s="763">
        <v>-109</v>
      </c>
      <c r="AR638" s="763">
        <v>-145</v>
      </c>
      <c r="AS638" s="37">
        <f t="shared" si="1385"/>
        <v>-248</v>
      </c>
      <c r="AT638" s="827">
        <v>-248</v>
      </c>
      <c r="AU638" s="763">
        <v>-31</v>
      </c>
      <c r="AV638" s="763">
        <v>-116</v>
      </c>
      <c r="AW638" s="763">
        <v>-167</v>
      </c>
      <c r="AX638" s="37">
        <f t="shared" si="1380"/>
        <v>-320</v>
      </c>
      <c r="AY638" s="827">
        <v>-320</v>
      </c>
      <c r="AZ638" s="763">
        <v>-56</v>
      </c>
      <c r="BA638" s="763">
        <v>-119</v>
      </c>
      <c r="BB638" s="763">
        <v>-101</v>
      </c>
      <c r="BC638" s="37">
        <f t="shared" si="1381"/>
        <v>-212</v>
      </c>
      <c r="BD638" s="827">
        <v>-212</v>
      </c>
      <c r="BE638" s="763">
        <v>-185</v>
      </c>
      <c r="BF638" s="763">
        <v>-301</v>
      </c>
      <c r="BG638" s="763">
        <v>-423</v>
      </c>
      <c r="BH638" s="22">
        <f t="shared" si="1382"/>
        <v>-300</v>
      </c>
      <c r="BI638" s="827">
        <v>-300</v>
      </c>
      <c r="BJ638" s="763">
        <v>-300</v>
      </c>
      <c r="BK638" s="763">
        <v>-559</v>
      </c>
      <c r="BL638" s="763">
        <v>-765</v>
      </c>
      <c r="BM638" s="37">
        <f t="shared" si="1383"/>
        <v>-1225</v>
      </c>
      <c r="BN638" s="827">
        <v>-1225</v>
      </c>
      <c r="BO638" s="763">
        <v>-172</v>
      </c>
      <c r="BP638" s="763">
        <v>-227</v>
      </c>
      <c r="BQ638" s="763">
        <v>-380</v>
      </c>
      <c r="BR638" s="37">
        <f t="shared" si="1384"/>
        <v>-508</v>
      </c>
      <c r="BS638" s="827">
        <v>-508</v>
      </c>
      <c r="BT638" s="764">
        <v>43</v>
      </c>
      <c r="BU638" s="37"/>
      <c r="BV638" s="37"/>
      <c r="BW638" s="37"/>
      <c r="BX638" s="821"/>
      <c r="BY638" s="37"/>
      <c r="BZ638" s="37"/>
      <c r="CA638" s="37"/>
      <c r="CB638" s="37"/>
      <c r="CC638" s="821"/>
      <c r="CD638" s="821"/>
      <c r="CE638" s="821"/>
      <c r="CF638" s="821"/>
      <c r="CG638" s="22"/>
    </row>
    <row r="639" spans="1:85" s="428" customFormat="1" hidden="1" outlineLevel="1" x14ac:dyDescent="0.3">
      <c r="A639" s="43" t="s">
        <v>258</v>
      </c>
      <c r="B639" s="109"/>
      <c r="C639" s="827">
        <v>-1739</v>
      </c>
      <c r="D639" s="827">
        <v>-1450</v>
      </c>
      <c r="E639" s="827">
        <v>-1467</v>
      </c>
      <c r="F639" s="827">
        <v>-1228</v>
      </c>
      <c r="G639" s="763">
        <v>-238</v>
      </c>
      <c r="H639" s="763">
        <v>-610</v>
      </c>
      <c r="I639" s="763">
        <v>-961</v>
      </c>
      <c r="J639" s="37">
        <f t="shared" si="1373"/>
        <v>-1194</v>
      </c>
      <c r="K639" s="827">
        <v>-1194</v>
      </c>
      <c r="L639" s="763">
        <v>-89</v>
      </c>
      <c r="M639" s="763">
        <v>-159</v>
      </c>
      <c r="N639" s="763">
        <v>-227</v>
      </c>
      <c r="O639" s="37">
        <f t="shared" si="1374"/>
        <v>-392</v>
      </c>
      <c r="P639" s="827">
        <v>-392</v>
      </c>
      <c r="Q639" s="763">
        <v>-85</v>
      </c>
      <c r="R639" s="763">
        <v>-386</v>
      </c>
      <c r="S639" s="763">
        <v>-719</v>
      </c>
      <c r="T639" s="37">
        <f t="shared" si="1375"/>
        <v>-868</v>
      </c>
      <c r="U639" s="827">
        <v>-868</v>
      </c>
      <c r="V639" s="763">
        <v>-461</v>
      </c>
      <c r="W639" s="763">
        <v>-551</v>
      </c>
      <c r="X639" s="763">
        <v>-697</v>
      </c>
      <c r="Y639" s="37">
        <f t="shared" si="1376"/>
        <v>-870</v>
      </c>
      <c r="Z639" s="827">
        <v>-870</v>
      </c>
      <c r="AA639" s="763">
        <v>-170</v>
      </c>
      <c r="AB639" s="763">
        <v>-214</v>
      </c>
      <c r="AC639" s="763">
        <v>-825</v>
      </c>
      <c r="AD639" s="37">
        <f t="shared" si="1377"/>
        <v>-980</v>
      </c>
      <c r="AE639" s="827">
        <v>-980</v>
      </c>
      <c r="AF639" s="763">
        <v>-149</v>
      </c>
      <c r="AG639" s="763">
        <v>-531</v>
      </c>
      <c r="AH639" s="763">
        <v>-941</v>
      </c>
      <c r="AI639" s="37">
        <f t="shared" si="1378"/>
        <v>-1035</v>
      </c>
      <c r="AJ639" s="827">
        <v>-1035</v>
      </c>
      <c r="AK639" s="763">
        <v>-326</v>
      </c>
      <c r="AL639" s="763">
        <v>-728</v>
      </c>
      <c r="AM639" s="763">
        <v>-1204</v>
      </c>
      <c r="AN639" s="37">
        <f t="shared" si="1379"/>
        <v>-1362</v>
      </c>
      <c r="AO639" s="827">
        <v>-1362</v>
      </c>
      <c r="AP639" s="763">
        <v>-213</v>
      </c>
      <c r="AQ639" s="763">
        <v>-531</v>
      </c>
      <c r="AR639" s="763">
        <v>-895</v>
      </c>
      <c r="AS639" s="37">
        <f t="shared" si="1385"/>
        <v>-1213</v>
      </c>
      <c r="AT639" s="827">
        <v>-1213</v>
      </c>
      <c r="AU639" s="763">
        <v>-331</v>
      </c>
      <c r="AV639" s="763">
        <v>-581</v>
      </c>
      <c r="AW639" s="763">
        <v>-1403</v>
      </c>
      <c r="AX639" s="37">
        <f t="shared" si="1380"/>
        <v>-1751</v>
      </c>
      <c r="AY639" s="827">
        <v>-1751</v>
      </c>
      <c r="AZ639" s="763">
        <v>-463</v>
      </c>
      <c r="BA639" s="763">
        <v>-775</v>
      </c>
      <c r="BB639" s="763">
        <v>-1087</v>
      </c>
      <c r="BC639" s="37">
        <f t="shared" si="1381"/>
        <v>-1322</v>
      </c>
      <c r="BD639" s="827">
        <v>-1322</v>
      </c>
      <c r="BE639" s="763">
        <v>-345</v>
      </c>
      <c r="BF639" s="763">
        <v>-563</v>
      </c>
      <c r="BG639" s="763">
        <v>-893</v>
      </c>
      <c r="BH639" s="22">
        <f t="shared" si="1382"/>
        <v>-1120</v>
      </c>
      <c r="BI639" s="827">
        <v>-1120</v>
      </c>
      <c r="BJ639" s="763">
        <v>-256</v>
      </c>
      <c r="BK639" s="763">
        <v>-454</v>
      </c>
      <c r="BL639" s="763">
        <v>-658</v>
      </c>
      <c r="BM639" s="37">
        <f t="shared" si="1383"/>
        <v>-844</v>
      </c>
      <c r="BN639" s="827">
        <v>-844</v>
      </c>
      <c r="BO639" s="763">
        <v>-263</v>
      </c>
      <c r="BP639" s="763">
        <v>-444</v>
      </c>
      <c r="BQ639" s="763">
        <v>-538</v>
      </c>
      <c r="BR639" s="37">
        <f t="shared" si="1384"/>
        <v>-588</v>
      </c>
      <c r="BS639" s="827">
        <v>-588</v>
      </c>
      <c r="BT639" s="764">
        <v>-251</v>
      </c>
      <c r="BU639" s="37"/>
      <c r="BV639" s="37"/>
      <c r="BW639" s="37"/>
      <c r="BX639" s="821"/>
      <c r="BY639" s="37"/>
      <c r="BZ639" s="37"/>
      <c r="CA639" s="37"/>
      <c r="CB639" s="37"/>
      <c r="CC639" s="821"/>
      <c r="CD639" s="821"/>
      <c r="CE639" s="821"/>
      <c r="CF639" s="821"/>
      <c r="CG639" s="22"/>
    </row>
    <row r="640" spans="1:85" s="428" customFormat="1" hidden="1" outlineLevel="1" x14ac:dyDescent="0.3">
      <c r="A640" s="43" t="s">
        <v>259</v>
      </c>
      <c r="B640" s="109"/>
      <c r="C640" s="827">
        <v>670</v>
      </c>
      <c r="D640" s="827">
        <v>692</v>
      </c>
      <c r="E640" s="827">
        <v>336</v>
      </c>
      <c r="F640" s="827">
        <v>1713</v>
      </c>
      <c r="G640" s="763">
        <v>344</v>
      </c>
      <c r="H640" s="763">
        <v>131</v>
      </c>
      <c r="I640" s="763">
        <v>686</v>
      </c>
      <c r="J640" s="37">
        <f t="shared" si="1373"/>
        <v>1243</v>
      </c>
      <c r="K640" s="827">
        <v>1243</v>
      </c>
      <c r="L640" s="763">
        <v>-197</v>
      </c>
      <c r="M640" s="763">
        <v>-134</v>
      </c>
      <c r="N640" s="763">
        <v>-57</v>
      </c>
      <c r="O640" s="37">
        <f t="shared" si="1374"/>
        <v>-378</v>
      </c>
      <c r="P640" s="827">
        <v>-378</v>
      </c>
      <c r="Q640" s="763">
        <v>-120</v>
      </c>
      <c r="R640" s="763">
        <v>114</v>
      </c>
      <c r="S640" s="763">
        <v>-36</v>
      </c>
      <c r="T640" s="37">
        <f t="shared" si="1375"/>
        <v>199</v>
      </c>
      <c r="U640" s="827">
        <v>199</v>
      </c>
      <c r="V640" s="763">
        <v>-175</v>
      </c>
      <c r="W640" s="763">
        <v>92</v>
      </c>
      <c r="X640" s="763">
        <v>538</v>
      </c>
      <c r="Y640" s="37">
        <f t="shared" si="1376"/>
        <v>672</v>
      </c>
      <c r="Z640" s="827">
        <v>672</v>
      </c>
      <c r="AA640" s="763">
        <v>-34</v>
      </c>
      <c r="AB640" s="763">
        <v>80</v>
      </c>
      <c r="AC640" s="763">
        <v>74</v>
      </c>
      <c r="AD640" s="37">
        <f t="shared" si="1377"/>
        <v>251</v>
      </c>
      <c r="AE640" s="827">
        <v>251</v>
      </c>
      <c r="AF640" s="763">
        <v>-249</v>
      </c>
      <c r="AG640" s="763">
        <v>-180</v>
      </c>
      <c r="AH640" s="763">
        <v>37</v>
      </c>
      <c r="AI640" s="37">
        <f t="shared" si="1378"/>
        <v>13</v>
      </c>
      <c r="AJ640" s="827">
        <v>13</v>
      </c>
      <c r="AK640" s="763">
        <v>-14</v>
      </c>
      <c r="AL640" s="763">
        <v>139</v>
      </c>
      <c r="AM640" s="763">
        <v>-22</v>
      </c>
      <c r="AN640" s="37">
        <f t="shared" si="1379"/>
        <v>-352</v>
      </c>
      <c r="AO640" s="827">
        <v>-352</v>
      </c>
      <c r="AP640" s="763">
        <v>-874</v>
      </c>
      <c r="AQ640" s="763">
        <v>-502</v>
      </c>
      <c r="AR640" s="763">
        <v>-283</v>
      </c>
      <c r="AS640" s="37">
        <f t="shared" si="1385"/>
        <v>141</v>
      </c>
      <c r="AT640" s="827">
        <v>141</v>
      </c>
      <c r="AU640" s="763">
        <v>447</v>
      </c>
      <c r="AV640" s="763">
        <v>1069</v>
      </c>
      <c r="AW640" s="763">
        <v>1133</v>
      </c>
      <c r="AX640" s="37">
        <f t="shared" si="1380"/>
        <v>1192</v>
      </c>
      <c r="AY640" s="827">
        <v>1192</v>
      </c>
      <c r="AZ640" s="763">
        <v>25</v>
      </c>
      <c r="BA640" s="763">
        <v>20</v>
      </c>
      <c r="BB640" s="763">
        <v>133</v>
      </c>
      <c r="BC640" s="37">
        <f t="shared" si="1381"/>
        <v>13</v>
      </c>
      <c r="BD640" s="827">
        <v>13</v>
      </c>
      <c r="BE640" s="763">
        <v>-668</v>
      </c>
      <c r="BF640" s="763">
        <v>-836</v>
      </c>
      <c r="BG640" s="763">
        <v>-724</v>
      </c>
      <c r="BH640" s="22">
        <f t="shared" si="1382"/>
        <v>1038</v>
      </c>
      <c r="BI640" s="827">
        <v>1038</v>
      </c>
      <c r="BJ640" s="763">
        <v>-924</v>
      </c>
      <c r="BK640" s="763">
        <v>-985</v>
      </c>
      <c r="BL640" s="763">
        <v>-1614</v>
      </c>
      <c r="BM640" s="37">
        <f t="shared" si="1383"/>
        <v>-1784</v>
      </c>
      <c r="BN640" s="827">
        <v>-1784</v>
      </c>
      <c r="BO640" s="763">
        <v>-534</v>
      </c>
      <c r="BP640" s="763">
        <v>49</v>
      </c>
      <c r="BQ640" s="763">
        <v>52</v>
      </c>
      <c r="BR640" s="37">
        <f t="shared" si="1384"/>
        <v>-158</v>
      </c>
      <c r="BS640" s="827">
        <v>-158</v>
      </c>
      <c r="BT640" s="764">
        <v>-382</v>
      </c>
      <c r="BU640" s="37"/>
      <c r="BV640" s="37"/>
      <c r="BW640" s="37"/>
      <c r="BX640" s="821"/>
      <c r="BY640" s="37"/>
      <c r="BZ640" s="37"/>
      <c r="CA640" s="37"/>
      <c r="CB640" s="37"/>
      <c r="CC640" s="821"/>
      <c r="CD640" s="821"/>
      <c r="CE640" s="821"/>
      <c r="CF640" s="821"/>
      <c r="CG640" s="22"/>
    </row>
    <row r="641" spans="1:85" s="428" customFormat="1" hidden="1" outlineLevel="1" x14ac:dyDescent="0.3">
      <c r="A641" s="43" t="s">
        <v>543</v>
      </c>
      <c r="B641" s="109"/>
      <c r="C641" s="821"/>
      <c r="D641" s="821"/>
      <c r="E641" s="821"/>
      <c r="F641" s="821"/>
      <c r="G641" s="37"/>
      <c r="H641" s="37"/>
      <c r="I641" s="37"/>
      <c r="J641" s="37"/>
      <c r="K641" s="821"/>
      <c r="L641" s="37"/>
      <c r="M641" s="37"/>
      <c r="N641" s="37"/>
      <c r="O641" s="37"/>
      <c r="P641" s="821"/>
      <c r="Q641" s="37"/>
      <c r="R641" s="37"/>
      <c r="S641" s="37"/>
      <c r="T641" s="37"/>
      <c r="U641" s="821"/>
      <c r="V641" s="37"/>
      <c r="W641" s="37"/>
      <c r="X641" s="37"/>
      <c r="Y641" s="37"/>
      <c r="Z641" s="821"/>
      <c r="AA641" s="37"/>
      <c r="AB641" s="37"/>
      <c r="AC641" s="37"/>
      <c r="AD641" s="37"/>
      <c r="AE641" s="821"/>
      <c r="AF641" s="37"/>
      <c r="AG641" s="37"/>
      <c r="AH641" s="37"/>
      <c r="AI641" s="37"/>
      <c r="AJ641" s="821"/>
      <c r="AK641" s="37"/>
      <c r="AL641" s="37"/>
      <c r="AM641" s="37"/>
      <c r="AN641" s="37"/>
      <c r="AO641" s="821"/>
      <c r="AP641" s="37"/>
      <c r="AQ641" s="37"/>
      <c r="AR641" s="37"/>
      <c r="AS641" s="37"/>
      <c r="AT641" s="821"/>
      <c r="AU641" s="37"/>
      <c r="AV641" s="37"/>
      <c r="AW641" s="37"/>
      <c r="AX641" s="37">
        <f t="shared" si="1380"/>
        <v>0</v>
      </c>
      <c r="AY641" s="821"/>
      <c r="AZ641" s="37"/>
      <c r="BA641" s="37"/>
      <c r="BB641" s="37"/>
      <c r="BC641" s="37">
        <f t="shared" si="1381"/>
        <v>0</v>
      </c>
      <c r="BD641" s="821"/>
      <c r="BE641" s="37"/>
      <c r="BF641" s="37"/>
      <c r="BG641" s="37"/>
      <c r="BH641" s="22">
        <f t="shared" si="1382"/>
        <v>0</v>
      </c>
      <c r="BI641" s="821"/>
      <c r="BJ641" s="37"/>
      <c r="BK641" s="37"/>
      <c r="BL641" s="37"/>
      <c r="BM641" s="37">
        <f t="shared" si="1383"/>
        <v>0</v>
      </c>
      <c r="BN641" s="821"/>
      <c r="BO641" s="37"/>
      <c r="BP641" s="37"/>
      <c r="BQ641" s="37"/>
      <c r="BR641" s="37">
        <f t="shared" si="1384"/>
        <v>0</v>
      </c>
      <c r="BS641" s="821"/>
      <c r="BT641" s="480"/>
      <c r="BU641" s="37"/>
      <c r="BV641" s="37"/>
      <c r="BW641" s="37"/>
      <c r="BX641" s="821"/>
      <c r="BY641" s="37"/>
      <c r="BZ641" s="37"/>
      <c r="CA641" s="37"/>
      <c r="CB641" s="37"/>
      <c r="CC641" s="821"/>
      <c r="CD641" s="821"/>
      <c r="CE641" s="821"/>
      <c r="CF641" s="821"/>
      <c r="CG641" s="22"/>
    </row>
    <row r="642" spans="1:85" s="428" customFormat="1" hidden="1" outlineLevel="1" x14ac:dyDescent="0.3">
      <c r="A642" s="43" t="s">
        <v>260</v>
      </c>
      <c r="B642" s="109"/>
      <c r="C642" s="821"/>
      <c r="D642" s="821"/>
      <c r="E642" s="821"/>
      <c r="F642" s="821"/>
      <c r="G642" s="37"/>
      <c r="H642" s="37"/>
      <c r="I642" s="37"/>
      <c r="J642" s="37">
        <f>K642</f>
        <v>0</v>
      </c>
      <c r="K642" s="821"/>
      <c r="L642" s="37"/>
      <c r="M642" s="37"/>
      <c r="N642" s="37"/>
      <c r="O642" s="37">
        <f>P642</f>
        <v>0</v>
      </c>
      <c r="P642" s="821"/>
      <c r="Q642" s="37"/>
      <c r="R642" s="37"/>
      <c r="S642" s="37"/>
      <c r="T642" s="37">
        <f>U642</f>
        <v>0</v>
      </c>
      <c r="U642" s="821"/>
      <c r="V642" s="37"/>
      <c r="W642" s="37"/>
      <c r="X642" s="37"/>
      <c r="Y642" s="37">
        <f>Z642</f>
        <v>0</v>
      </c>
      <c r="Z642" s="821"/>
      <c r="AA642" s="37"/>
      <c r="AB642" s="37"/>
      <c r="AC642" s="37"/>
      <c r="AD642" s="37">
        <f>AE642</f>
        <v>0</v>
      </c>
      <c r="AE642" s="821"/>
      <c r="AF642" s="37"/>
      <c r="AG642" s="37"/>
      <c r="AH642" s="37"/>
      <c r="AI642" s="37">
        <f>AJ642</f>
        <v>0</v>
      </c>
      <c r="AJ642" s="821"/>
      <c r="AK642" s="37"/>
      <c r="AL642" s="37"/>
      <c r="AM642" s="37"/>
      <c r="AN642" s="37">
        <f>AO642</f>
        <v>0</v>
      </c>
      <c r="AO642" s="821"/>
      <c r="AP642" s="37"/>
      <c r="AQ642" s="37"/>
      <c r="AR642" s="37"/>
      <c r="AS642" s="37">
        <f>AT642</f>
        <v>0</v>
      </c>
      <c r="AT642" s="821"/>
      <c r="AU642" s="37"/>
      <c r="AV642" s="37"/>
      <c r="AW642" s="37"/>
      <c r="AX642" s="37">
        <f t="shared" si="1380"/>
        <v>0</v>
      </c>
      <c r="AY642" s="821"/>
      <c r="AZ642" s="37"/>
      <c r="BA642" s="37"/>
      <c r="BB642" s="37"/>
      <c r="BC642" s="37">
        <f t="shared" si="1381"/>
        <v>0</v>
      </c>
      <c r="BD642" s="821"/>
      <c r="BE642" s="37"/>
      <c r="BF642" s="37"/>
      <c r="BG642" s="37"/>
      <c r="BH642" s="22">
        <f t="shared" si="1382"/>
        <v>0</v>
      </c>
      <c r="BI642" s="821"/>
      <c r="BJ642" s="37"/>
      <c r="BK642" s="37"/>
      <c r="BL642" s="37"/>
      <c r="BM642" s="37">
        <f t="shared" si="1383"/>
        <v>0</v>
      </c>
      <c r="BN642" s="821"/>
      <c r="BO642" s="37"/>
      <c r="BP642" s="37"/>
      <c r="BQ642" s="37"/>
      <c r="BR642" s="37">
        <f t="shared" si="1384"/>
        <v>0</v>
      </c>
      <c r="BS642" s="821"/>
      <c r="BT642" s="480"/>
      <c r="BU642" s="37"/>
      <c r="BV642" s="37"/>
      <c r="BW642" s="37"/>
      <c r="BX642" s="821"/>
      <c r="BY642" s="37"/>
      <c r="BZ642" s="37"/>
      <c r="CA642" s="37"/>
      <c r="CB642" s="37"/>
      <c r="CC642" s="821"/>
      <c r="CD642" s="821"/>
      <c r="CE642" s="821"/>
      <c r="CF642" s="821"/>
      <c r="CG642" s="22"/>
    </row>
    <row r="643" spans="1:85" s="429" customFormat="1" hidden="1" outlineLevel="1" x14ac:dyDescent="0.3">
      <c r="A643" s="41" t="s">
        <v>261</v>
      </c>
      <c r="B643" s="99"/>
      <c r="C643" s="824">
        <f t="shared" ref="C643:X643" si="1386">SUM(C629:C642)</f>
        <v>21674</v>
      </c>
      <c r="D643" s="824">
        <f t="shared" si="1386"/>
        <v>31278</v>
      </c>
      <c r="E643" s="824">
        <f t="shared" si="1386"/>
        <v>38777</v>
      </c>
      <c r="F643" s="824">
        <f t="shared" si="1386"/>
        <v>38449</v>
      </c>
      <c r="G643" s="394">
        <f t="shared" si="1386"/>
        <v>9074</v>
      </c>
      <c r="H643" s="394">
        <f t="shared" si="1386"/>
        <v>16749</v>
      </c>
      <c r="I643" s="394">
        <f t="shared" si="1386"/>
        <v>26638</v>
      </c>
      <c r="J643" s="394">
        <f t="shared" si="1386"/>
        <v>36333</v>
      </c>
      <c r="K643" s="824">
        <f t="shared" si="1386"/>
        <v>36333</v>
      </c>
      <c r="L643" s="394">
        <f t="shared" si="1386"/>
        <v>8035</v>
      </c>
      <c r="M643" s="394">
        <f t="shared" si="1386"/>
        <v>17039</v>
      </c>
      <c r="N643" s="394">
        <f t="shared" si="1386"/>
        <v>25354</v>
      </c>
      <c r="O643" s="394">
        <f t="shared" si="1386"/>
        <v>32015</v>
      </c>
      <c r="P643" s="824">
        <f t="shared" si="1386"/>
        <v>32015</v>
      </c>
      <c r="Q643" s="394">
        <f t="shared" si="1386"/>
        <v>4304</v>
      </c>
      <c r="R643" s="394">
        <f t="shared" si="1386"/>
        <v>11564</v>
      </c>
      <c r="S643" s="394">
        <f t="shared" si="1386"/>
        <v>17220</v>
      </c>
      <c r="T643" s="394">
        <f t="shared" si="1386"/>
        <v>21435</v>
      </c>
      <c r="U643" s="824">
        <f t="shared" si="1386"/>
        <v>21435</v>
      </c>
      <c r="V643" s="394">
        <f t="shared" si="1386"/>
        <v>2134</v>
      </c>
      <c r="W643" s="394">
        <f t="shared" si="1386"/>
        <v>5763</v>
      </c>
      <c r="X643" s="394">
        <f t="shared" si="1386"/>
        <v>10249</v>
      </c>
      <c r="Y643" s="394">
        <f>Z643</f>
        <v>13396</v>
      </c>
      <c r="Z643" s="829">
        <v>13396</v>
      </c>
      <c r="AA643" s="393">
        <f t="shared" ref="AA643:BQ643" si="1387">SUM(AA629:AA642)</f>
        <v>4836</v>
      </c>
      <c r="AB643" s="394">
        <f t="shared" si="1387"/>
        <v>10113</v>
      </c>
      <c r="AC643" s="394">
        <f t="shared" si="1387"/>
        <v>14980</v>
      </c>
      <c r="AD643" s="394">
        <f t="shared" si="1387"/>
        <v>20039</v>
      </c>
      <c r="AE643" s="824">
        <f t="shared" si="1387"/>
        <v>20039</v>
      </c>
      <c r="AF643" s="393">
        <f t="shared" si="1387"/>
        <v>7147</v>
      </c>
      <c r="AG643" s="394">
        <f t="shared" si="1387"/>
        <v>14185</v>
      </c>
      <c r="AH643" s="394">
        <f t="shared" si="1387"/>
        <v>23349</v>
      </c>
      <c r="AI643" s="394">
        <f t="shared" si="1387"/>
        <v>31336</v>
      </c>
      <c r="AJ643" s="824">
        <f t="shared" si="1387"/>
        <v>31336</v>
      </c>
      <c r="AK643" s="393">
        <f t="shared" si="1387"/>
        <v>6267</v>
      </c>
      <c r="AL643" s="394">
        <f t="shared" si="1387"/>
        <v>14119</v>
      </c>
      <c r="AM643" s="394">
        <f t="shared" si="1387"/>
        <v>20531</v>
      </c>
      <c r="AN643" s="394">
        <f t="shared" si="1387"/>
        <v>25820</v>
      </c>
      <c r="AO643" s="824">
        <f t="shared" si="1387"/>
        <v>25820</v>
      </c>
      <c r="AP643" s="393">
        <f t="shared" si="1387"/>
        <v>5818</v>
      </c>
      <c r="AQ643" s="394">
        <f t="shared" si="1387"/>
        <v>5175</v>
      </c>
      <c r="AR643" s="394">
        <f t="shared" si="1387"/>
        <v>8360</v>
      </c>
      <c r="AS643" s="394">
        <f t="shared" si="1387"/>
        <v>12229</v>
      </c>
      <c r="AT643" s="824">
        <f t="shared" si="1387"/>
        <v>12229</v>
      </c>
      <c r="AU643" s="393">
        <f t="shared" si="1387"/>
        <v>5098</v>
      </c>
      <c r="AV643" s="394">
        <f t="shared" si="1387"/>
        <v>12182</v>
      </c>
      <c r="AW643" s="394">
        <f t="shared" si="1387"/>
        <v>21188</v>
      </c>
      <c r="AX643" s="393">
        <f t="shared" si="1387"/>
        <v>30548</v>
      </c>
      <c r="AY643" s="823">
        <f t="shared" si="1387"/>
        <v>30548</v>
      </c>
      <c r="AZ643" s="393">
        <f t="shared" si="1387"/>
        <v>8992</v>
      </c>
      <c r="BA643" s="394">
        <f t="shared" si="1387"/>
        <v>22242</v>
      </c>
      <c r="BB643" s="393">
        <f t="shared" si="1387"/>
        <v>35932</v>
      </c>
      <c r="BC643" s="393">
        <f t="shared" si="1387"/>
        <v>47477</v>
      </c>
      <c r="BD643" s="823">
        <f t="shared" si="1387"/>
        <v>47477</v>
      </c>
      <c r="BE643" s="393">
        <f t="shared" si="1387"/>
        <v>9020</v>
      </c>
      <c r="BF643" s="393">
        <f t="shared" si="1387"/>
        <v>18450</v>
      </c>
      <c r="BG643" s="393">
        <f t="shared" si="1387"/>
        <v>27356</v>
      </c>
      <c r="BH643" s="394">
        <f t="shared" si="1387"/>
        <v>38794</v>
      </c>
      <c r="BI643" s="824">
        <f t="shared" si="1387"/>
        <v>38794</v>
      </c>
      <c r="BJ643" s="393">
        <f t="shared" si="1387"/>
        <v>7972</v>
      </c>
      <c r="BK643" s="393">
        <f t="shared" si="1387"/>
        <v>16698</v>
      </c>
      <c r="BL643" s="393">
        <f t="shared" si="1387"/>
        <v>24969</v>
      </c>
      <c r="BM643" s="393">
        <f t="shared" si="1387"/>
        <v>30281</v>
      </c>
      <c r="BN643" s="823">
        <f t="shared" si="1387"/>
        <v>30281</v>
      </c>
      <c r="BO643" s="393">
        <f t="shared" si="1387"/>
        <v>7597</v>
      </c>
      <c r="BP643" s="393">
        <f t="shared" si="1387"/>
        <v>15895</v>
      </c>
      <c r="BQ643" s="393">
        <f t="shared" si="1387"/>
        <v>25835</v>
      </c>
      <c r="BR643" s="393">
        <f t="shared" ref="BR643:BT643" si="1388">SUM(BR629:BR642)</f>
        <v>34947</v>
      </c>
      <c r="BS643" s="823">
        <f t="shared" si="1388"/>
        <v>34947</v>
      </c>
      <c r="BT643" s="641">
        <f t="shared" si="1388"/>
        <v>7139</v>
      </c>
      <c r="BU643" s="393"/>
      <c r="BV643" s="393"/>
      <c r="BW643" s="393"/>
      <c r="BX643" s="823"/>
      <c r="BY643" s="393"/>
      <c r="BZ643" s="393"/>
      <c r="CA643" s="393"/>
      <c r="CB643" s="393"/>
      <c r="CC643" s="823"/>
      <c r="CD643" s="823"/>
      <c r="CE643" s="823"/>
      <c r="CF643" s="823"/>
      <c r="CG643" s="26"/>
    </row>
    <row r="644" spans="1:85" s="428" customFormat="1" hidden="1" outlineLevel="1" x14ac:dyDescent="0.3">
      <c r="A644" s="40" t="s">
        <v>262</v>
      </c>
      <c r="B644" s="109"/>
      <c r="C644" s="827">
        <v>-2301</v>
      </c>
      <c r="D644" s="827">
        <v>76</v>
      </c>
      <c r="E644" s="827">
        <v>2318</v>
      </c>
      <c r="F644" s="827">
        <v>363</v>
      </c>
      <c r="G644" s="763">
        <v>-3360</v>
      </c>
      <c r="H644" s="763">
        <v>-2515</v>
      </c>
      <c r="I644" s="763">
        <v>-2088</v>
      </c>
      <c r="J644" s="22">
        <f>K644</f>
        <v>-1331</v>
      </c>
      <c r="K644" s="827">
        <v>-1331</v>
      </c>
      <c r="L644" s="763">
        <v>382</v>
      </c>
      <c r="M644" s="763">
        <v>-741</v>
      </c>
      <c r="N644" s="763">
        <v>-376</v>
      </c>
      <c r="O644" s="22">
        <f>P644</f>
        <v>-540</v>
      </c>
      <c r="P644" s="827">
        <v>-540</v>
      </c>
      <c r="Q644" s="763">
        <v>-1985</v>
      </c>
      <c r="R644" s="763">
        <v>-2025</v>
      </c>
      <c r="S644" s="763">
        <v>-2321</v>
      </c>
      <c r="T644" s="22">
        <f>U644</f>
        <v>-1979</v>
      </c>
      <c r="U644" s="827">
        <v>-1979</v>
      </c>
      <c r="V644" s="763">
        <v>-993</v>
      </c>
      <c r="W644" s="763">
        <v>-2091</v>
      </c>
      <c r="X644" s="763">
        <v>-1266</v>
      </c>
      <c r="Y644" s="22">
        <f>Z644</f>
        <v>-550</v>
      </c>
      <c r="Z644" s="827">
        <v>-550</v>
      </c>
      <c r="AA644" s="763">
        <v>-957</v>
      </c>
      <c r="AB644" s="763">
        <v>-1198</v>
      </c>
      <c r="AC644" s="763">
        <v>-695</v>
      </c>
      <c r="AD644" s="22">
        <f>AE644</f>
        <v>476</v>
      </c>
      <c r="AE644" s="827">
        <v>476</v>
      </c>
      <c r="AF644" s="763">
        <v>-2104</v>
      </c>
      <c r="AG644" s="763">
        <v>-2287</v>
      </c>
      <c r="AH644" s="763">
        <v>-1882</v>
      </c>
      <c r="AI644" s="22">
        <f>AJ644</f>
        <v>-718</v>
      </c>
      <c r="AJ644" s="827">
        <v>-718</v>
      </c>
      <c r="AK644" s="763">
        <v>-1210</v>
      </c>
      <c r="AL644" s="763">
        <v>-279</v>
      </c>
      <c r="AM644" s="763">
        <v>1126</v>
      </c>
      <c r="AN644" s="22">
        <f>AO644</f>
        <v>1494</v>
      </c>
      <c r="AO644" s="827">
        <v>1494</v>
      </c>
      <c r="AP644" s="763">
        <v>-1096</v>
      </c>
      <c r="AQ644" s="763">
        <v>-373</v>
      </c>
      <c r="AR644" s="763">
        <v>-21</v>
      </c>
      <c r="AS644" s="22">
        <f>AT644</f>
        <v>-1652</v>
      </c>
      <c r="AT644" s="827">
        <v>-1652</v>
      </c>
      <c r="AU644" s="763">
        <v>-902</v>
      </c>
      <c r="AV644" s="763">
        <v>-1032</v>
      </c>
      <c r="AW644" s="763">
        <v>-1459</v>
      </c>
      <c r="AX644" s="37">
        <f>AY644</f>
        <v>-1361</v>
      </c>
      <c r="AY644" s="827">
        <v>-1361</v>
      </c>
      <c r="AZ644" s="763">
        <v>-937</v>
      </c>
      <c r="BA644" s="763">
        <v>-405</v>
      </c>
      <c r="BB644" s="763">
        <v>1172</v>
      </c>
      <c r="BC644" s="37">
        <f>BD644</f>
        <v>2125</v>
      </c>
      <c r="BD644" s="827">
        <v>2125</v>
      </c>
      <c r="BE644" s="763">
        <v>-1815</v>
      </c>
      <c r="BF644" s="763">
        <v>-4948</v>
      </c>
      <c r="BG644" s="763">
        <v>-4181</v>
      </c>
      <c r="BH644" s="22">
        <f>BI644</f>
        <v>-3185</v>
      </c>
      <c r="BI644" s="827">
        <v>-3185</v>
      </c>
      <c r="BJ644" s="763">
        <v>-1144</v>
      </c>
      <c r="BK644" s="763">
        <v>-3575</v>
      </c>
      <c r="BL644" s="763">
        <v>-2172</v>
      </c>
      <c r="BM644" s="37">
        <f>BN644</f>
        <v>1211</v>
      </c>
      <c r="BN644" s="827">
        <v>1211</v>
      </c>
      <c r="BO644" s="763">
        <v>-2408</v>
      </c>
      <c r="BP644" s="763">
        <v>-2130</v>
      </c>
      <c r="BQ644" s="763">
        <v>-2685</v>
      </c>
      <c r="BR644" s="37">
        <f>BS644</f>
        <v>-1008</v>
      </c>
      <c r="BS644" s="827">
        <v>-1008</v>
      </c>
      <c r="BT644" s="764">
        <v>-4625</v>
      </c>
      <c r="BU644" s="37"/>
      <c r="BV644" s="37"/>
      <c r="BW644" s="37"/>
      <c r="BX644" s="821"/>
      <c r="BY644" s="37"/>
      <c r="BZ644" s="37"/>
      <c r="CA644" s="37"/>
      <c r="CB644" s="37"/>
      <c r="CC644" s="821"/>
      <c r="CD644" s="821"/>
      <c r="CE644" s="821"/>
      <c r="CF644" s="821"/>
      <c r="CG644" s="22"/>
    </row>
    <row r="645" spans="1:85" s="429" customFormat="1" hidden="1" outlineLevel="1" x14ac:dyDescent="0.3">
      <c r="A645" s="41" t="s">
        <v>263</v>
      </c>
      <c r="B645" s="99"/>
      <c r="C645" s="824">
        <f t="shared" ref="C645:AH645" si="1389">SUM(C643:C644)</f>
        <v>19373</v>
      </c>
      <c r="D645" s="824">
        <f t="shared" si="1389"/>
        <v>31354</v>
      </c>
      <c r="E645" s="824">
        <f t="shared" si="1389"/>
        <v>41095</v>
      </c>
      <c r="F645" s="824">
        <f t="shared" si="1389"/>
        <v>38812</v>
      </c>
      <c r="G645" s="394">
        <f t="shared" si="1389"/>
        <v>5714</v>
      </c>
      <c r="H645" s="394">
        <f t="shared" si="1389"/>
        <v>14234</v>
      </c>
      <c r="I645" s="394">
        <f t="shared" si="1389"/>
        <v>24550</v>
      </c>
      <c r="J645" s="394">
        <f t="shared" si="1389"/>
        <v>35002</v>
      </c>
      <c r="K645" s="824">
        <f t="shared" si="1389"/>
        <v>35002</v>
      </c>
      <c r="L645" s="394">
        <f t="shared" si="1389"/>
        <v>8417</v>
      </c>
      <c r="M645" s="394">
        <f t="shared" si="1389"/>
        <v>16298</v>
      </c>
      <c r="N645" s="394">
        <f t="shared" si="1389"/>
        <v>24978</v>
      </c>
      <c r="O645" s="394">
        <f t="shared" si="1389"/>
        <v>31475</v>
      </c>
      <c r="P645" s="824">
        <f t="shared" si="1389"/>
        <v>31475</v>
      </c>
      <c r="Q645" s="394">
        <f t="shared" si="1389"/>
        <v>2319</v>
      </c>
      <c r="R645" s="394">
        <f t="shared" si="1389"/>
        <v>9539</v>
      </c>
      <c r="S645" s="394">
        <f t="shared" si="1389"/>
        <v>14899</v>
      </c>
      <c r="T645" s="394">
        <f t="shared" si="1389"/>
        <v>19456</v>
      </c>
      <c r="U645" s="824">
        <f t="shared" si="1389"/>
        <v>19456</v>
      </c>
      <c r="V645" s="394">
        <f t="shared" si="1389"/>
        <v>1141</v>
      </c>
      <c r="W645" s="394">
        <f t="shared" si="1389"/>
        <v>3672</v>
      </c>
      <c r="X645" s="394">
        <f t="shared" si="1389"/>
        <v>8983</v>
      </c>
      <c r="Y645" s="394">
        <f t="shared" si="1389"/>
        <v>12846</v>
      </c>
      <c r="Z645" s="824">
        <f t="shared" si="1389"/>
        <v>12846</v>
      </c>
      <c r="AA645" s="393">
        <f t="shared" si="1389"/>
        <v>3879</v>
      </c>
      <c r="AB645" s="394">
        <f t="shared" si="1389"/>
        <v>8915</v>
      </c>
      <c r="AC645" s="394">
        <f t="shared" si="1389"/>
        <v>14285</v>
      </c>
      <c r="AD645" s="394">
        <f t="shared" si="1389"/>
        <v>20515</v>
      </c>
      <c r="AE645" s="824">
        <f t="shared" si="1389"/>
        <v>20515</v>
      </c>
      <c r="AF645" s="393">
        <f t="shared" si="1389"/>
        <v>5043</v>
      </c>
      <c r="AG645" s="394">
        <f t="shared" si="1389"/>
        <v>11898</v>
      </c>
      <c r="AH645" s="394">
        <f t="shared" si="1389"/>
        <v>21467</v>
      </c>
      <c r="AI645" s="394">
        <f t="shared" ref="AI645:BN645" si="1390">SUM(AI643:AI644)</f>
        <v>30618</v>
      </c>
      <c r="AJ645" s="824">
        <f t="shared" si="1390"/>
        <v>30618</v>
      </c>
      <c r="AK645" s="393">
        <f t="shared" si="1390"/>
        <v>5057</v>
      </c>
      <c r="AL645" s="394">
        <f t="shared" si="1390"/>
        <v>13840</v>
      </c>
      <c r="AM645" s="394">
        <f t="shared" si="1390"/>
        <v>21657</v>
      </c>
      <c r="AN645" s="394">
        <f t="shared" si="1390"/>
        <v>27314</v>
      </c>
      <c r="AO645" s="824">
        <f t="shared" si="1390"/>
        <v>27314</v>
      </c>
      <c r="AP645" s="393">
        <f t="shared" si="1390"/>
        <v>4722</v>
      </c>
      <c r="AQ645" s="394">
        <f t="shared" si="1390"/>
        <v>4802</v>
      </c>
      <c r="AR645" s="394">
        <f t="shared" si="1390"/>
        <v>8339</v>
      </c>
      <c r="AS645" s="394">
        <f t="shared" si="1390"/>
        <v>10577</v>
      </c>
      <c r="AT645" s="824">
        <f t="shared" si="1390"/>
        <v>10577</v>
      </c>
      <c r="AU645" s="393">
        <f t="shared" si="1390"/>
        <v>4196</v>
      </c>
      <c r="AV645" s="394">
        <f t="shared" si="1390"/>
        <v>11150</v>
      </c>
      <c r="AW645" s="394">
        <f t="shared" si="1390"/>
        <v>19729</v>
      </c>
      <c r="AX645" s="393">
        <f t="shared" si="1390"/>
        <v>29187</v>
      </c>
      <c r="AY645" s="823">
        <f t="shared" si="1390"/>
        <v>29187</v>
      </c>
      <c r="AZ645" s="393">
        <f t="shared" si="1390"/>
        <v>8055</v>
      </c>
      <c r="BA645" s="394">
        <f t="shared" si="1390"/>
        <v>21837</v>
      </c>
      <c r="BB645" s="393">
        <f t="shared" si="1390"/>
        <v>37104</v>
      </c>
      <c r="BC645" s="393">
        <f t="shared" si="1390"/>
        <v>49602</v>
      </c>
      <c r="BD645" s="823">
        <f t="shared" si="1390"/>
        <v>49602</v>
      </c>
      <c r="BE645" s="393">
        <f t="shared" si="1390"/>
        <v>7205</v>
      </c>
      <c r="BF645" s="393">
        <f t="shared" si="1390"/>
        <v>13502</v>
      </c>
      <c r="BG645" s="393">
        <f t="shared" si="1390"/>
        <v>23175</v>
      </c>
      <c r="BH645" s="394">
        <f t="shared" si="1390"/>
        <v>35609</v>
      </c>
      <c r="BI645" s="824">
        <f t="shared" si="1390"/>
        <v>35609</v>
      </c>
      <c r="BJ645" s="393">
        <f t="shared" si="1390"/>
        <v>6828</v>
      </c>
      <c r="BK645" s="393">
        <f t="shared" si="1390"/>
        <v>13123</v>
      </c>
      <c r="BL645" s="393">
        <f t="shared" si="1390"/>
        <v>22797</v>
      </c>
      <c r="BM645" s="393">
        <f t="shared" si="1390"/>
        <v>31492</v>
      </c>
      <c r="BN645" s="823">
        <f t="shared" si="1390"/>
        <v>31492</v>
      </c>
      <c r="BO645" s="393">
        <f t="shared" ref="BO645:BT645" si="1391">SUM(BO643:BO644)</f>
        <v>5189</v>
      </c>
      <c r="BP645" s="393">
        <f t="shared" si="1391"/>
        <v>13765</v>
      </c>
      <c r="BQ645" s="393">
        <f t="shared" si="1391"/>
        <v>23150</v>
      </c>
      <c r="BR645" s="393">
        <f t="shared" si="1391"/>
        <v>33939</v>
      </c>
      <c r="BS645" s="823">
        <f t="shared" si="1391"/>
        <v>33939</v>
      </c>
      <c r="BT645" s="641">
        <f t="shared" si="1391"/>
        <v>2514</v>
      </c>
      <c r="BU645" s="393"/>
      <c r="BV645" s="393"/>
      <c r="BW645" s="393"/>
      <c r="BX645" s="823"/>
      <c r="BY645" s="393"/>
      <c r="BZ645" s="393"/>
      <c r="CA645" s="393"/>
      <c r="CB645" s="393"/>
      <c r="CC645" s="823"/>
      <c r="CD645" s="823"/>
      <c r="CE645" s="823"/>
      <c r="CF645" s="823"/>
      <c r="CG645" s="26"/>
    </row>
    <row r="646" spans="1:85" s="429" customFormat="1" hidden="1" outlineLevel="1" x14ac:dyDescent="0.3">
      <c r="A646" s="48"/>
      <c r="B646" s="58"/>
      <c r="C646" s="825"/>
      <c r="D646" s="825"/>
      <c r="E646" s="825"/>
      <c r="F646" s="825"/>
      <c r="G646" s="31"/>
      <c r="H646" s="31"/>
      <c r="I646" s="31"/>
      <c r="J646" s="31"/>
      <c r="K646" s="825"/>
      <c r="L646" s="31"/>
      <c r="M646" s="31"/>
      <c r="N646" s="31"/>
      <c r="O646" s="31"/>
      <c r="P646" s="825"/>
      <c r="Q646" s="31"/>
      <c r="R646" s="31"/>
      <c r="S646" s="31"/>
      <c r="T646" s="31"/>
      <c r="U646" s="825"/>
      <c r="V646" s="31"/>
      <c r="W646" s="31"/>
      <c r="X646" s="31"/>
      <c r="Y646" s="31"/>
      <c r="Z646" s="825"/>
      <c r="AA646" s="31"/>
      <c r="AB646" s="31"/>
      <c r="AC646" s="31"/>
      <c r="AD646" s="31"/>
      <c r="AE646" s="825"/>
      <c r="AF646" s="31"/>
      <c r="AG646" s="31"/>
      <c r="AH646" s="31"/>
      <c r="AI646" s="31"/>
      <c r="AJ646" s="825"/>
      <c r="AK646" s="31"/>
      <c r="AL646" s="31"/>
      <c r="AM646" s="31"/>
      <c r="AN646" s="31"/>
      <c r="AO646" s="825"/>
      <c r="AP646" s="31"/>
      <c r="AQ646" s="31"/>
      <c r="AR646" s="31"/>
      <c r="AS646" s="31"/>
      <c r="AT646" s="825"/>
      <c r="AU646" s="31"/>
      <c r="AV646" s="31"/>
      <c r="AW646" s="31"/>
      <c r="AX646" s="31"/>
      <c r="AY646" s="825"/>
      <c r="AZ646" s="31"/>
      <c r="BA646" s="31"/>
      <c r="BB646" s="31"/>
      <c r="BC646" s="31"/>
      <c r="BD646" s="825"/>
      <c r="BE646" s="31"/>
      <c r="BF646" s="31"/>
      <c r="BG646" s="31"/>
      <c r="BH646" s="31"/>
      <c r="BI646" s="825"/>
      <c r="BJ646" s="31"/>
      <c r="BK646" s="31"/>
      <c r="BL646" s="31"/>
      <c r="BM646" s="31"/>
      <c r="BN646" s="825"/>
      <c r="BO646" s="31"/>
      <c r="BP646" s="31"/>
      <c r="BQ646" s="31"/>
      <c r="BR646" s="31"/>
      <c r="BS646" s="825"/>
      <c r="BT646" s="379"/>
      <c r="BU646" s="31"/>
      <c r="BV646" s="31"/>
      <c r="BW646" s="31"/>
      <c r="BX646" s="825"/>
      <c r="BY646" s="31"/>
      <c r="BZ646" s="31"/>
      <c r="CA646" s="31"/>
      <c r="CB646" s="31"/>
      <c r="CC646" s="825"/>
      <c r="CD646" s="825"/>
      <c r="CE646" s="825"/>
      <c r="CF646" s="825"/>
      <c r="CG646" s="26"/>
    </row>
    <row r="647" spans="1:85" s="429" customFormat="1" hidden="1" outlineLevel="1" x14ac:dyDescent="0.3">
      <c r="A647" s="53" t="s">
        <v>264</v>
      </c>
      <c r="B647" s="58"/>
      <c r="C647" s="825"/>
      <c r="D647" s="825"/>
      <c r="E647" s="825"/>
      <c r="F647" s="825"/>
      <c r="G647" s="31"/>
      <c r="H647" s="31"/>
      <c r="I647" s="31"/>
      <c r="J647" s="31"/>
      <c r="K647" s="825"/>
      <c r="L647" s="31"/>
      <c r="M647" s="31"/>
      <c r="N647" s="31"/>
      <c r="O647" s="31"/>
      <c r="P647" s="825"/>
      <c r="Q647" s="31"/>
      <c r="R647" s="31"/>
      <c r="S647" s="31"/>
      <c r="T647" s="31"/>
      <c r="U647" s="825"/>
      <c r="V647" s="31"/>
      <c r="W647" s="31"/>
      <c r="X647" s="31"/>
      <c r="Y647" s="31"/>
      <c r="Z647" s="825"/>
      <c r="AA647" s="31"/>
      <c r="AB647" s="31"/>
      <c r="AC647" s="31"/>
      <c r="AD647" s="31"/>
      <c r="AE647" s="825"/>
      <c r="AF647" s="31"/>
      <c r="AG647" s="31"/>
      <c r="AH647" s="31"/>
      <c r="AI647" s="31"/>
      <c r="AJ647" s="825"/>
      <c r="AK647" s="31"/>
      <c r="AL647" s="31"/>
      <c r="AM647" s="31"/>
      <c r="AN647" s="31"/>
      <c r="AO647" s="825"/>
      <c r="AP647" s="31"/>
      <c r="AQ647" s="31"/>
      <c r="AR647" s="31"/>
      <c r="AS647" s="31"/>
      <c r="AT647" s="825"/>
      <c r="AU647" s="31"/>
      <c r="AV647" s="31"/>
      <c r="AW647" s="31"/>
      <c r="AX647" s="31"/>
      <c r="AY647" s="825"/>
      <c r="AZ647" s="31"/>
      <c r="BA647" s="31"/>
      <c r="BB647" s="31"/>
      <c r="BC647" s="31"/>
      <c r="BD647" s="825"/>
      <c r="BE647" s="31"/>
      <c r="BF647" s="31"/>
      <c r="BG647" s="31"/>
      <c r="BH647" s="31"/>
      <c r="BI647" s="825"/>
      <c r="BJ647" s="31"/>
      <c r="BK647" s="31"/>
      <c r="BL647" s="31"/>
      <c r="BM647" s="31"/>
      <c r="BN647" s="825"/>
      <c r="BO647" s="31"/>
      <c r="BP647" s="31"/>
      <c r="BQ647" s="31"/>
      <c r="BR647" s="31"/>
      <c r="BS647" s="825"/>
      <c r="BT647" s="379"/>
      <c r="BU647" s="31"/>
      <c r="BV647" s="31"/>
      <c r="BW647" s="31"/>
      <c r="BX647" s="825"/>
      <c r="BY647" s="31"/>
      <c r="BZ647" s="31"/>
      <c r="CA647" s="31"/>
      <c r="CB647" s="31"/>
      <c r="CC647" s="825"/>
      <c r="CD647" s="825"/>
      <c r="CE647" s="825"/>
      <c r="CF647" s="825"/>
      <c r="CG647" s="26"/>
    </row>
    <row r="648" spans="1:85" s="428" customFormat="1" hidden="1" outlineLevel="1" x14ac:dyDescent="0.3">
      <c r="A648" s="40" t="s">
        <v>603</v>
      </c>
      <c r="B648" s="109"/>
      <c r="C648" s="821"/>
      <c r="D648" s="827">
        <v>0</v>
      </c>
      <c r="E648" s="827">
        <v>-3009</v>
      </c>
      <c r="F648" s="827">
        <v>0</v>
      </c>
      <c r="G648" s="37"/>
      <c r="H648" s="37"/>
      <c r="I648" s="37"/>
      <c r="J648" s="22">
        <f>K648</f>
        <v>0</v>
      </c>
      <c r="K648" s="821"/>
      <c r="L648" s="37"/>
      <c r="M648" s="37"/>
      <c r="N648" s="37"/>
      <c r="O648" s="22">
        <f>P648</f>
        <v>0</v>
      </c>
      <c r="P648" s="821"/>
      <c r="Q648" s="37"/>
      <c r="R648" s="37"/>
      <c r="S648" s="37"/>
      <c r="T648" s="22">
        <f>U648</f>
        <v>0</v>
      </c>
      <c r="U648" s="821"/>
      <c r="V648" s="37"/>
      <c r="W648" s="37"/>
      <c r="X648" s="37"/>
      <c r="Y648" s="22">
        <f>Z648</f>
        <v>0</v>
      </c>
      <c r="Z648" s="821"/>
      <c r="AA648" s="37"/>
      <c r="AB648" s="37"/>
      <c r="AC648" s="37"/>
      <c r="AD648" s="22">
        <f>AE648</f>
        <v>0</v>
      </c>
      <c r="AE648" s="821"/>
      <c r="AF648" s="37"/>
      <c r="AG648" s="37"/>
      <c r="AH648" s="37"/>
      <c r="AI648" s="22">
        <f>AJ648</f>
        <v>0</v>
      </c>
      <c r="AJ648" s="821"/>
      <c r="AK648" s="37"/>
      <c r="AL648" s="37"/>
      <c r="AM648" s="37"/>
      <c r="AN648" s="22">
        <f t="shared" ref="AN648:AN656" si="1392">AO648</f>
        <v>0</v>
      </c>
      <c r="AO648" s="821"/>
      <c r="AP648" s="37"/>
      <c r="AQ648" s="37"/>
      <c r="AR648" s="37"/>
      <c r="AS648" s="22">
        <f t="shared" ref="AS648:AS656" si="1393">AT648</f>
        <v>373</v>
      </c>
      <c r="AT648" s="827">
        <v>373</v>
      </c>
      <c r="AU648" s="37"/>
      <c r="AV648" s="37"/>
      <c r="AW648" s="37"/>
      <c r="AX648" s="37">
        <f t="shared" ref="AX648:AX656" si="1394">AY648</f>
        <v>0</v>
      </c>
      <c r="AY648" s="821"/>
      <c r="AZ648" s="37"/>
      <c r="BA648" s="763">
        <v>-2862</v>
      </c>
      <c r="BB648" s="763">
        <v>-2862</v>
      </c>
      <c r="BC648" s="37">
        <f t="shared" ref="BC648:BC656" si="1395">BD648</f>
        <v>-2862</v>
      </c>
      <c r="BD648" s="827">
        <v>-2862</v>
      </c>
      <c r="BE648" s="37"/>
      <c r="BF648" s="37"/>
      <c r="BG648" s="763">
        <v>55</v>
      </c>
      <c r="BH648" s="22">
        <f t="shared" ref="BH648:BH656" si="1396">BI648</f>
        <v>55</v>
      </c>
      <c r="BI648" s="827">
        <v>55</v>
      </c>
      <c r="BJ648" s="37"/>
      <c r="BK648" s="37"/>
      <c r="BL648" s="37"/>
      <c r="BM648" s="37">
        <f t="shared" ref="BM648:BM656" si="1397">BN648</f>
        <v>0</v>
      </c>
      <c r="BN648" s="821"/>
      <c r="BO648" s="763">
        <v>-2225</v>
      </c>
      <c r="BP648" s="763">
        <v>-2225</v>
      </c>
      <c r="BQ648" s="763">
        <f>-2225+1056</f>
        <v>-1169</v>
      </c>
      <c r="BR648" s="37">
        <f t="shared" ref="BR648:BR656" si="1398">BS648</f>
        <v>-1169</v>
      </c>
      <c r="BS648" s="827">
        <f>-2225+1056</f>
        <v>-1169</v>
      </c>
      <c r="BT648" s="480"/>
      <c r="BU648" s="37"/>
      <c r="BV648" s="37"/>
      <c r="BW648" s="37"/>
      <c r="BX648" s="821"/>
      <c r="BY648" s="37"/>
      <c r="BZ648" s="37"/>
      <c r="CA648" s="37"/>
      <c r="CB648" s="37"/>
      <c r="CC648" s="821"/>
      <c r="CD648" s="821"/>
      <c r="CE648" s="821"/>
      <c r="CF648" s="821"/>
      <c r="CG648" s="22"/>
    </row>
    <row r="649" spans="1:85" s="428" customFormat="1" hidden="1" outlineLevel="1" x14ac:dyDescent="0.3">
      <c r="A649" s="40" t="s">
        <v>265</v>
      </c>
      <c r="B649" s="109"/>
      <c r="C649" s="821"/>
      <c r="D649" s="827">
        <v>0</v>
      </c>
      <c r="E649" s="827">
        <v>-403</v>
      </c>
      <c r="F649" s="827">
        <v>0</v>
      </c>
      <c r="G649" s="37"/>
      <c r="H649" s="37"/>
      <c r="I649" s="37"/>
      <c r="J649" s="22">
        <f>K649</f>
        <v>0</v>
      </c>
      <c r="K649" s="821"/>
      <c r="L649" s="37"/>
      <c r="M649" s="37"/>
      <c r="N649" s="37"/>
      <c r="O649" s="22">
        <f>P649</f>
        <v>0</v>
      </c>
      <c r="P649" s="821"/>
      <c r="Q649" s="37"/>
      <c r="R649" s="37"/>
      <c r="S649" s="37"/>
      <c r="T649" s="22">
        <f>U649</f>
        <v>0</v>
      </c>
      <c r="U649" s="821"/>
      <c r="V649" s="37"/>
      <c r="W649" s="37"/>
      <c r="X649" s="37"/>
      <c r="Y649" s="22">
        <f>Z649</f>
        <v>0</v>
      </c>
      <c r="Z649" s="821"/>
      <c r="AA649" s="37"/>
      <c r="AB649" s="37"/>
      <c r="AC649" s="37"/>
      <c r="AD649" s="22">
        <f>AE649</f>
        <v>0</v>
      </c>
      <c r="AE649" s="821"/>
      <c r="AF649" s="37"/>
      <c r="AG649" s="37"/>
      <c r="AH649" s="37"/>
      <c r="AI649" s="22">
        <f>AJ649</f>
        <v>0</v>
      </c>
      <c r="AJ649" s="821"/>
      <c r="AK649" s="37"/>
      <c r="AL649" s="37"/>
      <c r="AM649" s="37"/>
      <c r="AN649" s="22">
        <f t="shared" si="1392"/>
        <v>0</v>
      </c>
      <c r="AO649" s="821"/>
      <c r="AP649" s="37"/>
      <c r="AQ649" s="37"/>
      <c r="AR649" s="37"/>
      <c r="AS649" s="22">
        <f t="shared" si="1393"/>
        <v>0</v>
      </c>
      <c r="AT649" s="821"/>
      <c r="AU649" s="37"/>
      <c r="AV649" s="37"/>
      <c r="AW649" s="37"/>
      <c r="AX649" s="37">
        <f t="shared" si="1394"/>
        <v>0</v>
      </c>
      <c r="AY649" s="821"/>
      <c r="AZ649" s="37"/>
      <c r="BA649" s="37"/>
      <c r="BB649" s="37"/>
      <c r="BC649" s="37">
        <f t="shared" si="1395"/>
        <v>0</v>
      </c>
      <c r="BD649" s="821"/>
      <c r="BE649" s="37"/>
      <c r="BF649" s="37"/>
      <c r="BG649" s="37"/>
      <c r="BH649" s="22">
        <f t="shared" si="1396"/>
        <v>0</v>
      </c>
      <c r="BI649" s="821"/>
      <c r="BJ649" s="37"/>
      <c r="BK649" s="37"/>
      <c r="BL649" s="37"/>
      <c r="BM649" s="37">
        <f t="shared" si="1397"/>
        <v>0</v>
      </c>
      <c r="BN649" s="821"/>
      <c r="BO649" s="37"/>
      <c r="BP649" s="37"/>
      <c r="BQ649" s="37"/>
      <c r="BR649" s="37">
        <f t="shared" si="1398"/>
        <v>0</v>
      </c>
      <c r="BS649" s="821"/>
      <c r="BT649" s="480"/>
      <c r="BU649" s="37"/>
      <c r="BV649" s="37"/>
      <c r="BW649" s="37"/>
      <c r="BX649" s="821"/>
      <c r="BY649" s="37"/>
      <c r="BZ649" s="37"/>
      <c r="CA649" s="37"/>
      <c r="CB649" s="37"/>
      <c r="CC649" s="821"/>
      <c r="CD649" s="821"/>
      <c r="CE649" s="821"/>
      <c r="CF649" s="821"/>
      <c r="CG649" s="22"/>
    </row>
    <row r="650" spans="1:85" s="428" customFormat="1" hidden="1" outlineLevel="1" x14ac:dyDescent="0.3">
      <c r="A650" s="40" t="s">
        <v>266</v>
      </c>
      <c r="B650" s="109"/>
      <c r="C650" s="827">
        <v>-19843</v>
      </c>
      <c r="D650" s="827">
        <v>-19612</v>
      </c>
      <c r="E650" s="827">
        <v>-26500</v>
      </c>
      <c r="F650" s="827">
        <v>-30938</v>
      </c>
      <c r="G650" s="763">
        <v>-8192</v>
      </c>
      <c r="H650" s="763">
        <v>-16765</v>
      </c>
      <c r="I650" s="763">
        <v>-26372</v>
      </c>
      <c r="J650" s="22">
        <f>K650</f>
        <v>-37985</v>
      </c>
      <c r="K650" s="827">
        <v>-37985</v>
      </c>
      <c r="L650" s="763">
        <v>-8544</v>
      </c>
      <c r="M650" s="763">
        <v>-17475</v>
      </c>
      <c r="N650" s="763">
        <v>-25739</v>
      </c>
      <c r="O650" s="22">
        <f>P650</f>
        <v>-35407</v>
      </c>
      <c r="P650" s="827">
        <v>-35407</v>
      </c>
      <c r="Q650" s="763">
        <v>-7602</v>
      </c>
      <c r="R650" s="763">
        <v>-15245</v>
      </c>
      <c r="S650" s="763">
        <v>-22055</v>
      </c>
      <c r="T650" s="22">
        <f>U650</f>
        <v>-29504</v>
      </c>
      <c r="U650" s="827">
        <v>-29504</v>
      </c>
      <c r="V650" s="763">
        <v>-5566</v>
      </c>
      <c r="W650" s="763">
        <v>-10035</v>
      </c>
      <c r="X650" s="763">
        <v>-14100</v>
      </c>
      <c r="Y650" s="22">
        <f>Z650</f>
        <v>-18109</v>
      </c>
      <c r="Z650" s="827">
        <v>-18109</v>
      </c>
      <c r="AA650" s="763">
        <v>-3315</v>
      </c>
      <c r="AB650" s="763">
        <v>-6539</v>
      </c>
      <c r="AC650" s="763">
        <v>-9763</v>
      </c>
      <c r="AD650" s="22">
        <f>AE650</f>
        <v>-13404</v>
      </c>
      <c r="AE650" s="827">
        <v>-13404</v>
      </c>
      <c r="AF650" s="763">
        <v>-2997</v>
      </c>
      <c r="AG650" s="763">
        <v>-6223</v>
      </c>
      <c r="AH650" s="763">
        <v>-9801</v>
      </c>
      <c r="AI650" s="22">
        <f>AJ650</f>
        <v>-13792</v>
      </c>
      <c r="AJ650" s="827">
        <v>-13792</v>
      </c>
      <c r="AK650" s="763">
        <v>-2953</v>
      </c>
      <c r="AL650" s="763">
        <v>-6537</v>
      </c>
      <c r="AM650" s="763">
        <v>-9906</v>
      </c>
      <c r="AN650" s="22">
        <f t="shared" si="1392"/>
        <v>-14116</v>
      </c>
      <c r="AO650" s="827">
        <v>-14116</v>
      </c>
      <c r="AP650" s="763">
        <v>-3133</v>
      </c>
      <c r="AQ650" s="763">
        <v>-5225</v>
      </c>
      <c r="AR650" s="763">
        <v>-6855</v>
      </c>
      <c r="AS650" s="22">
        <f t="shared" si="1393"/>
        <v>-8922</v>
      </c>
      <c r="AT650" s="827">
        <v>-8922</v>
      </c>
      <c r="AU650" s="763">
        <v>-1746</v>
      </c>
      <c r="AV650" s="763">
        <v>-3543</v>
      </c>
      <c r="AW650" s="763">
        <v>-5450</v>
      </c>
      <c r="AX650" s="37">
        <f t="shared" si="1394"/>
        <v>-8056</v>
      </c>
      <c r="AY650" s="827">
        <v>-8056</v>
      </c>
      <c r="AZ650" s="763">
        <v>-1960</v>
      </c>
      <c r="BA650" s="763">
        <v>-5144</v>
      </c>
      <c r="BB650" s="763">
        <v>-8139</v>
      </c>
      <c r="BC650" s="37">
        <f t="shared" si="1395"/>
        <v>-11974</v>
      </c>
      <c r="BD650" s="827">
        <v>-11974</v>
      </c>
      <c r="BE650" s="763">
        <v>-3038</v>
      </c>
      <c r="BF650" s="763">
        <v>-6795</v>
      </c>
      <c r="BG650" s="763">
        <v>-11468</v>
      </c>
      <c r="BH650" s="22">
        <f t="shared" si="1396"/>
        <v>-15829</v>
      </c>
      <c r="BI650" s="827">
        <v>-15829</v>
      </c>
      <c r="BJ650" s="763">
        <v>-4089</v>
      </c>
      <c r="BK650" s="763">
        <v>-8055</v>
      </c>
      <c r="BL650" s="763">
        <v>-12110</v>
      </c>
      <c r="BM650" s="37">
        <f t="shared" si="1397"/>
        <v>-16448</v>
      </c>
      <c r="BN650" s="827">
        <v>-16448</v>
      </c>
      <c r="BO650" s="763">
        <v>-3927</v>
      </c>
      <c r="BP650" s="763">
        <v>-7639</v>
      </c>
      <c r="BQ650" s="763">
        <v>-12083</v>
      </c>
      <c r="BR650" s="37">
        <f t="shared" si="1398"/>
        <v>-17347</v>
      </c>
      <c r="BS650" s="827">
        <v>-17347</v>
      </c>
      <c r="BT650" s="764">
        <v>-4063</v>
      </c>
      <c r="BU650" s="37"/>
      <c r="BV650" s="37"/>
      <c r="BW650" s="37"/>
      <c r="BX650" s="821"/>
      <c r="BY650" s="37"/>
      <c r="BZ650" s="37"/>
      <c r="CA650" s="37"/>
      <c r="CB650" s="37"/>
      <c r="CC650" s="821"/>
      <c r="CD650" s="821"/>
      <c r="CE650" s="821"/>
      <c r="CF650" s="821"/>
      <c r="CG650" s="22"/>
    </row>
    <row r="651" spans="1:85" s="428" customFormat="1" hidden="1" outlineLevel="1" x14ac:dyDescent="0.3">
      <c r="A651" s="40" t="s">
        <v>267</v>
      </c>
      <c r="B651" s="109"/>
      <c r="C651" s="827">
        <v>2564</v>
      </c>
      <c r="D651" s="827">
        <v>1995</v>
      </c>
      <c r="E651" s="827">
        <v>3517</v>
      </c>
      <c r="F651" s="827">
        <v>2777</v>
      </c>
      <c r="G651" s="763">
        <v>76</v>
      </c>
      <c r="H651" s="763">
        <v>641</v>
      </c>
      <c r="I651" s="763">
        <v>857</v>
      </c>
      <c r="J651" s="22">
        <f>K651</f>
        <v>1143</v>
      </c>
      <c r="K651" s="827">
        <v>1143</v>
      </c>
      <c r="L651" s="763">
        <v>316</v>
      </c>
      <c r="M651" s="763">
        <v>1623</v>
      </c>
      <c r="N651" s="763">
        <v>2588</v>
      </c>
      <c r="O651" s="22">
        <f>P651</f>
        <v>5729</v>
      </c>
      <c r="P651" s="827">
        <v>5729</v>
      </c>
      <c r="Q651" s="763">
        <v>948</v>
      </c>
      <c r="R651" s="763">
        <v>4877</v>
      </c>
      <c r="S651" s="763">
        <v>5408</v>
      </c>
      <c r="T651" s="22">
        <f>U651</f>
        <v>5739</v>
      </c>
      <c r="U651" s="827">
        <v>5739</v>
      </c>
      <c r="V651" s="763">
        <v>82</v>
      </c>
      <c r="W651" s="763">
        <v>1370</v>
      </c>
      <c r="X651" s="763">
        <v>2209</v>
      </c>
      <c r="Y651" s="22">
        <f>Z651</f>
        <v>2777</v>
      </c>
      <c r="Z651" s="827">
        <v>2777</v>
      </c>
      <c r="AA651" s="763">
        <v>2087</v>
      </c>
      <c r="AB651" s="763">
        <v>2523</v>
      </c>
      <c r="AC651" s="763">
        <v>4856</v>
      </c>
      <c r="AD651" s="22">
        <f>AE651</f>
        <v>5247</v>
      </c>
      <c r="AE651" s="827">
        <v>5247</v>
      </c>
      <c r="AF651" s="763">
        <v>111</v>
      </c>
      <c r="AG651" s="763">
        <v>789</v>
      </c>
      <c r="AH651" s="763">
        <v>2116</v>
      </c>
      <c r="AI651" s="22">
        <f>AJ651</f>
        <v>2392</v>
      </c>
      <c r="AJ651" s="827">
        <v>2392</v>
      </c>
      <c r="AK651" s="763">
        <v>294</v>
      </c>
      <c r="AL651" s="763">
        <v>937</v>
      </c>
      <c r="AM651" s="763">
        <v>1088</v>
      </c>
      <c r="AN651" s="22">
        <f t="shared" si="1392"/>
        <v>2951</v>
      </c>
      <c r="AO651" s="827">
        <v>2951</v>
      </c>
      <c r="AP651" s="763">
        <v>374</v>
      </c>
      <c r="AQ651" s="763">
        <v>1852</v>
      </c>
      <c r="AR651" s="763">
        <v>1979</v>
      </c>
      <c r="AS651" s="22">
        <f t="shared" si="1393"/>
        <v>2968</v>
      </c>
      <c r="AT651" s="827">
        <v>2968</v>
      </c>
      <c r="AU651" s="763">
        <v>158</v>
      </c>
      <c r="AV651" s="763">
        <v>369</v>
      </c>
      <c r="AW651" s="763">
        <v>586</v>
      </c>
      <c r="AX651" s="37">
        <f t="shared" si="1394"/>
        <v>1791</v>
      </c>
      <c r="AY651" s="827">
        <v>1791</v>
      </c>
      <c r="AZ651" s="763">
        <v>1283</v>
      </c>
      <c r="BA651" s="763">
        <v>2349</v>
      </c>
      <c r="BB651" s="763">
        <v>2485</v>
      </c>
      <c r="BC651" s="37">
        <f t="shared" si="1395"/>
        <v>2635</v>
      </c>
      <c r="BD651" s="827">
        <v>2635</v>
      </c>
      <c r="BE651" s="763">
        <v>219</v>
      </c>
      <c r="BF651" s="763">
        <v>324</v>
      </c>
      <c r="BG651" s="763">
        <v>410</v>
      </c>
      <c r="BH651" s="22">
        <f t="shared" si="1396"/>
        <v>669</v>
      </c>
      <c r="BI651" s="827">
        <v>669</v>
      </c>
      <c r="BJ651" s="763">
        <v>104</v>
      </c>
      <c r="BK651" s="763">
        <v>218</v>
      </c>
      <c r="BL651" s="763">
        <v>620</v>
      </c>
      <c r="BM651" s="37">
        <f t="shared" si="1397"/>
        <v>7704</v>
      </c>
      <c r="BN651" s="827">
        <v>7704</v>
      </c>
      <c r="BO651" s="763">
        <v>600</v>
      </c>
      <c r="BP651" s="763">
        <v>990</v>
      </c>
      <c r="BQ651" s="763">
        <v>1473</v>
      </c>
      <c r="BR651" s="37">
        <f t="shared" si="1398"/>
        <v>1826</v>
      </c>
      <c r="BS651" s="827">
        <v>1826</v>
      </c>
      <c r="BT651" s="764">
        <v>72</v>
      </c>
      <c r="BU651" s="37"/>
      <c r="BV651" s="37"/>
      <c r="BW651" s="37"/>
      <c r="BX651" s="821"/>
      <c r="BY651" s="37"/>
      <c r="BZ651" s="37"/>
      <c r="CA651" s="37"/>
      <c r="CB651" s="37"/>
      <c r="CC651" s="821"/>
      <c r="CD651" s="821"/>
      <c r="CE651" s="821"/>
      <c r="CF651" s="821"/>
      <c r="CG651" s="22"/>
    </row>
    <row r="652" spans="1:85" s="428" customFormat="1" hidden="1" outlineLevel="1" x14ac:dyDescent="0.3">
      <c r="A652" s="40" t="s">
        <v>569</v>
      </c>
      <c r="B652" s="109"/>
      <c r="C652" s="821"/>
      <c r="D652" s="821"/>
      <c r="E652" s="821"/>
      <c r="F652" s="821"/>
      <c r="G652" s="37"/>
      <c r="H652" s="37"/>
      <c r="I652" s="37"/>
      <c r="J652" s="37"/>
      <c r="K652" s="821"/>
      <c r="L652" s="37"/>
      <c r="M652" s="37"/>
      <c r="N652" s="37"/>
      <c r="O652" s="37"/>
      <c r="P652" s="821"/>
      <c r="Q652" s="37"/>
      <c r="R652" s="37"/>
      <c r="S652" s="37"/>
      <c r="T652" s="37"/>
      <c r="U652" s="821"/>
      <c r="V652" s="37"/>
      <c r="W652" s="37"/>
      <c r="X652" s="37"/>
      <c r="Y652" s="37"/>
      <c r="Z652" s="821"/>
      <c r="AA652" s="37"/>
      <c r="AB652" s="37"/>
      <c r="AC652" s="37"/>
      <c r="AD652" s="37"/>
      <c r="AE652" s="821"/>
      <c r="AF652" s="37"/>
      <c r="AG652" s="37"/>
      <c r="AH652" s="37"/>
      <c r="AI652" s="37"/>
      <c r="AJ652" s="821"/>
      <c r="AK652" s="763">
        <v>0</v>
      </c>
      <c r="AL652" s="37"/>
      <c r="AM652" s="37"/>
      <c r="AN652" s="22">
        <f t="shared" si="1392"/>
        <v>0</v>
      </c>
      <c r="AO652" s="821"/>
      <c r="AP652" s="37"/>
      <c r="AQ652" s="37"/>
      <c r="AR652" s="37"/>
      <c r="AS652" s="22">
        <f t="shared" si="1393"/>
        <v>0</v>
      </c>
      <c r="AT652" s="821"/>
      <c r="AU652" s="37"/>
      <c r="AV652" s="37"/>
      <c r="AW652" s="37"/>
      <c r="AX652" s="37">
        <f t="shared" si="1394"/>
        <v>0</v>
      </c>
      <c r="AY652" s="821"/>
      <c r="AZ652" s="37"/>
      <c r="BA652" s="37"/>
      <c r="BB652" s="37"/>
      <c r="BC652" s="37">
        <f t="shared" si="1395"/>
        <v>0</v>
      </c>
      <c r="BD652" s="821"/>
      <c r="BE652" s="37"/>
      <c r="BF652" s="37"/>
      <c r="BG652" s="37"/>
      <c r="BH652" s="22">
        <f t="shared" si="1396"/>
        <v>0</v>
      </c>
      <c r="BI652" s="821"/>
      <c r="BJ652" s="37"/>
      <c r="BK652" s="37"/>
      <c r="BL652" s="37"/>
      <c r="BM652" s="37">
        <f t="shared" si="1397"/>
        <v>0</v>
      </c>
      <c r="BN652" s="821"/>
      <c r="BO652" s="37"/>
      <c r="BP652" s="37"/>
      <c r="BQ652" s="37"/>
      <c r="BR652" s="37">
        <f t="shared" si="1398"/>
        <v>0</v>
      </c>
      <c r="BS652" s="821"/>
      <c r="BT652" s="480"/>
      <c r="BU652" s="37"/>
      <c r="BV652" s="37"/>
      <c r="BW652" s="37"/>
      <c r="BX652" s="821"/>
      <c r="BY652" s="37"/>
      <c r="BZ652" s="37"/>
      <c r="CA652" s="37"/>
      <c r="CB652" s="37"/>
      <c r="CC652" s="821"/>
      <c r="CD652" s="821"/>
      <c r="CE652" s="821"/>
      <c r="CF652" s="821"/>
      <c r="CG652" s="22"/>
    </row>
    <row r="653" spans="1:85" s="428" customFormat="1" hidden="1" outlineLevel="1" x14ac:dyDescent="0.3">
      <c r="A653" s="43" t="s">
        <v>268</v>
      </c>
      <c r="B653" s="109"/>
      <c r="C653" s="821"/>
      <c r="D653" s="827">
        <v>-2855</v>
      </c>
      <c r="E653" s="827">
        <v>-1104</v>
      </c>
      <c r="F653" s="827">
        <v>3250</v>
      </c>
      <c r="G653" s="763">
        <v>-700</v>
      </c>
      <c r="H653" s="763">
        <v>-700</v>
      </c>
      <c r="I653" s="763">
        <v>-600</v>
      </c>
      <c r="J653" s="37">
        <f>K653</f>
        <v>700</v>
      </c>
      <c r="K653" s="827">
        <v>700</v>
      </c>
      <c r="L653" s="763">
        <v>-300</v>
      </c>
      <c r="M653" s="763">
        <v>0</v>
      </c>
      <c r="N653" s="763">
        <v>0</v>
      </c>
      <c r="O653" s="37">
        <f>P653</f>
        <v>0</v>
      </c>
      <c r="P653" s="827">
        <v>0</v>
      </c>
      <c r="Q653" s="763">
        <v>8</v>
      </c>
      <c r="R653" s="763">
        <v>8</v>
      </c>
      <c r="S653" s="763">
        <v>8</v>
      </c>
      <c r="T653" s="37">
        <f>U653</f>
        <v>8</v>
      </c>
      <c r="U653" s="827">
        <v>8</v>
      </c>
      <c r="V653" s="763">
        <v>0</v>
      </c>
      <c r="W653" s="763">
        <v>0</v>
      </c>
      <c r="X653" s="763">
        <v>0</v>
      </c>
      <c r="Y653" s="37">
        <f>Z653</f>
        <v>0</v>
      </c>
      <c r="Z653" s="827">
        <v>0</v>
      </c>
      <c r="AA653" s="763">
        <v>0</v>
      </c>
      <c r="AB653" s="37"/>
      <c r="AC653" s="37"/>
      <c r="AD653" s="37">
        <f>AE653</f>
        <v>0</v>
      </c>
      <c r="AE653" s="821"/>
      <c r="AF653" s="37"/>
      <c r="AG653" s="37"/>
      <c r="AH653" s="37"/>
      <c r="AI653" s="37">
        <f>AJ653</f>
        <v>-950</v>
      </c>
      <c r="AJ653" s="827">
        <v>-950</v>
      </c>
      <c r="AK653" s="763">
        <v>950</v>
      </c>
      <c r="AL653" s="763">
        <v>950</v>
      </c>
      <c r="AM653" s="763">
        <v>950</v>
      </c>
      <c r="AN653" s="37">
        <f t="shared" si="1392"/>
        <v>950</v>
      </c>
      <c r="AO653" s="827">
        <v>950</v>
      </c>
      <c r="AP653" s="37"/>
      <c r="AQ653" s="37"/>
      <c r="AR653" s="37"/>
      <c r="AS653" s="37">
        <f t="shared" si="1393"/>
        <v>0</v>
      </c>
      <c r="AT653" s="821"/>
      <c r="AU653" s="37"/>
      <c r="AV653" s="37"/>
      <c r="AW653" s="37"/>
      <c r="AX653" s="37">
        <f t="shared" si="1394"/>
        <v>0</v>
      </c>
      <c r="AY653" s="821"/>
      <c r="AZ653" s="37"/>
      <c r="BA653" s="37"/>
      <c r="BB653" s="37"/>
      <c r="BC653" s="37">
        <f t="shared" si="1395"/>
        <v>0</v>
      </c>
      <c r="BD653" s="821"/>
      <c r="BE653" s="37"/>
      <c r="BF653" s="37"/>
      <c r="BG653" s="37"/>
      <c r="BH653" s="22">
        <f t="shared" si="1396"/>
        <v>0</v>
      </c>
      <c r="BI653" s="821"/>
      <c r="BJ653" s="37"/>
      <c r="BK653" s="37"/>
      <c r="BL653" s="763">
        <v>-4</v>
      </c>
      <c r="BM653" s="37">
        <f t="shared" si="1397"/>
        <v>-4</v>
      </c>
      <c r="BN653" s="827">
        <v>-4</v>
      </c>
      <c r="BO653" s="37"/>
      <c r="BP653" s="37"/>
      <c r="BQ653" s="763">
        <v>2</v>
      </c>
      <c r="BR653" s="37">
        <f t="shared" si="1398"/>
        <v>1</v>
      </c>
      <c r="BS653" s="827">
        <v>1</v>
      </c>
      <c r="BT653" s="480"/>
      <c r="BU653" s="37"/>
      <c r="BV653" s="37"/>
      <c r="BW653" s="37"/>
      <c r="BX653" s="821"/>
      <c r="BY653" s="37"/>
      <c r="BZ653" s="37"/>
      <c r="CA653" s="37"/>
      <c r="CB653" s="37"/>
      <c r="CC653" s="821"/>
      <c r="CD653" s="821"/>
      <c r="CE653" s="821"/>
      <c r="CF653" s="821"/>
      <c r="CG653" s="22"/>
    </row>
    <row r="654" spans="1:85" s="428" customFormat="1" hidden="1" outlineLevel="1" x14ac:dyDescent="0.3">
      <c r="A654" s="40" t="s">
        <v>269</v>
      </c>
      <c r="B654" s="109"/>
      <c r="C654" s="827">
        <v>244</v>
      </c>
      <c r="D654" s="827">
        <v>-49</v>
      </c>
      <c r="E654" s="827">
        <v>-74</v>
      </c>
      <c r="F654" s="827">
        <v>-3</v>
      </c>
      <c r="G654" s="37"/>
      <c r="H654" s="763">
        <v>2</v>
      </c>
      <c r="I654" s="763">
        <v>3</v>
      </c>
      <c r="J654" s="22">
        <f>K654</f>
        <v>3</v>
      </c>
      <c r="K654" s="827">
        <v>3</v>
      </c>
      <c r="L654" s="37"/>
      <c r="M654" s="763">
        <v>0</v>
      </c>
      <c r="N654" s="763">
        <v>1</v>
      </c>
      <c r="O654" s="22">
        <f>P654</f>
        <v>-148</v>
      </c>
      <c r="P654" s="827">
        <v>-148</v>
      </c>
      <c r="Q654" s="763">
        <v>0</v>
      </c>
      <c r="R654" s="763">
        <v>64</v>
      </c>
      <c r="S654" s="763">
        <v>122</v>
      </c>
      <c r="T654" s="22">
        <f>U654</f>
        <v>122</v>
      </c>
      <c r="U654" s="827">
        <v>122</v>
      </c>
      <c r="V654" s="763">
        <v>0</v>
      </c>
      <c r="W654" s="763">
        <v>2</v>
      </c>
      <c r="X654" s="763">
        <v>2</v>
      </c>
      <c r="Y654" s="22">
        <f>Z654</f>
        <v>297</v>
      </c>
      <c r="Z654" s="827">
        <v>297</v>
      </c>
      <c r="AA654" s="763">
        <v>2</v>
      </c>
      <c r="AB654" s="37"/>
      <c r="AC654" s="37"/>
      <c r="AD654" s="22">
        <f>AE654</f>
        <v>4</v>
      </c>
      <c r="AE654" s="827">
        <v>4</v>
      </c>
      <c r="AF654" s="763">
        <v>-29</v>
      </c>
      <c r="AG654" s="763">
        <v>-49</v>
      </c>
      <c r="AH654" s="763">
        <v>-51</v>
      </c>
      <c r="AI654" s="22">
        <f>AJ654</f>
        <v>-51</v>
      </c>
      <c r="AJ654" s="827">
        <v>-51</v>
      </c>
      <c r="AK654" s="763">
        <v>2</v>
      </c>
      <c r="AL654" s="763">
        <v>2</v>
      </c>
      <c r="AM654" s="763">
        <v>2</v>
      </c>
      <c r="AN654" s="22">
        <f t="shared" si="1392"/>
        <v>2</v>
      </c>
      <c r="AO654" s="827">
        <v>2</v>
      </c>
      <c r="AP654" s="37"/>
      <c r="AQ654" s="763">
        <v>-1</v>
      </c>
      <c r="AR654" s="763">
        <v>35</v>
      </c>
      <c r="AS654" s="22">
        <f t="shared" si="1393"/>
        <v>35</v>
      </c>
      <c r="AT654" s="827">
        <v>35</v>
      </c>
      <c r="AU654" s="37"/>
      <c r="AV654" s="37"/>
      <c r="AW654" s="763">
        <v>-1</v>
      </c>
      <c r="AX654" s="37">
        <f t="shared" si="1394"/>
        <v>-1</v>
      </c>
      <c r="AY654" s="827">
        <v>-1</v>
      </c>
      <c r="AZ654" s="37"/>
      <c r="BA654" s="763">
        <v>-1</v>
      </c>
      <c r="BB654" s="763">
        <v>82</v>
      </c>
      <c r="BC654" s="37">
        <f t="shared" si="1395"/>
        <v>117</v>
      </c>
      <c r="BD654" s="827">
        <v>117</v>
      </c>
      <c r="BE654" s="763">
        <v>95</v>
      </c>
      <c r="BF654" s="763">
        <v>-91</v>
      </c>
      <c r="BG654" s="763">
        <v>84</v>
      </c>
      <c r="BH654" s="22">
        <f t="shared" si="1396"/>
        <v>175</v>
      </c>
      <c r="BI654" s="827">
        <v>175</v>
      </c>
      <c r="BJ654" s="763">
        <v>45</v>
      </c>
      <c r="BK654" s="763">
        <v>45</v>
      </c>
      <c r="BL654" s="763">
        <v>45</v>
      </c>
      <c r="BM654" s="37">
        <f t="shared" si="1397"/>
        <v>45</v>
      </c>
      <c r="BN654" s="827">
        <v>45</v>
      </c>
      <c r="BO654" s="37"/>
      <c r="BP654" s="763">
        <v>0</v>
      </c>
      <c r="BQ654" s="763">
        <v>0</v>
      </c>
      <c r="BR654" s="37">
        <f t="shared" si="1398"/>
        <v>0</v>
      </c>
      <c r="BS654" s="821"/>
      <c r="BT654" s="480"/>
      <c r="BU654" s="37"/>
      <c r="BV654" s="37"/>
      <c r="BW654" s="37"/>
      <c r="BX654" s="821"/>
      <c r="BY654" s="37"/>
      <c r="BZ654" s="37"/>
      <c r="CA654" s="37"/>
      <c r="CB654" s="37"/>
      <c r="CC654" s="821"/>
      <c r="CD654" s="821"/>
      <c r="CE654" s="821"/>
      <c r="CF654" s="821"/>
      <c r="CG654" s="22"/>
    </row>
    <row r="655" spans="1:85" s="428" customFormat="1" hidden="1" outlineLevel="1" x14ac:dyDescent="0.3">
      <c r="A655" s="40" t="s">
        <v>270</v>
      </c>
      <c r="B655" s="109"/>
      <c r="C655" s="827">
        <v>336</v>
      </c>
      <c r="D655" s="827">
        <v>338</v>
      </c>
      <c r="E655" s="827">
        <v>339</v>
      </c>
      <c r="F655" s="827">
        <v>328</v>
      </c>
      <c r="G655" s="763">
        <v>1</v>
      </c>
      <c r="H655" s="763">
        <v>162</v>
      </c>
      <c r="I655" s="763">
        <v>162</v>
      </c>
      <c r="J655" s="22">
        <f>K655</f>
        <v>314</v>
      </c>
      <c r="K655" s="827">
        <v>314</v>
      </c>
      <c r="L655" s="763">
        <v>-32</v>
      </c>
      <c r="M655" s="763">
        <v>100</v>
      </c>
      <c r="N655" s="763">
        <v>66</v>
      </c>
      <c r="O655" s="22">
        <f>P655</f>
        <v>140</v>
      </c>
      <c r="P655" s="827">
        <v>140</v>
      </c>
      <c r="Q655" s="763">
        <v>-40</v>
      </c>
      <c r="R655" s="763">
        <v>-96</v>
      </c>
      <c r="S655" s="763">
        <v>-147</v>
      </c>
      <c r="T655" s="22">
        <f>U655</f>
        <v>-217</v>
      </c>
      <c r="U655" s="827">
        <v>-217</v>
      </c>
      <c r="V655" s="763">
        <v>-92</v>
      </c>
      <c r="W655" s="763">
        <v>-158</v>
      </c>
      <c r="X655" s="763">
        <v>-2195</v>
      </c>
      <c r="Y655" s="22">
        <f>Z655</f>
        <v>-2034</v>
      </c>
      <c r="Z655" s="827">
        <v>-2034</v>
      </c>
      <c r="AA655" s="763">
        <v>-6</v>
      </c>
      <c r="AB655" s="763">
        <v>-16</v>
      </c>
      <c r="AC655" s="763">
        <v>-36</v>
      </c>
      <c r="AD655" s="22">
        <f>AE655</f>
        <v>-16</v>
      </c>
      <c r="AE655" s="827">
        <v>-16</v>
      </c>
      <c r="AF655" s="763">
        <v>26</v>
      </c>
      <c r="AG655" s="763">
        <v>52</v>
      </c>
      <c r="AH655" s="763">
        <v>78</v>
      </c>
      <c r="AI655" s="22">
        <f>AJ655</f>
        <v>111</v>
      </c>
      <c r="AJ655" s="827">
        <v>111</v>
      </c>
      <c r="AK655" s="763">
        <v>-321</v>
      </c>
      <c r="AL655" s="763">
        <v>-620</v>
      </c>
      <c r="AM655" s="763">
        <v>-970</v>
      </c>
      <c r="AN655" s="22">
        <f t="shared" si="1392"/>
        <v>-1245</v>
      </c>
      <c r="AO655" s="827">
        <v>-1245</v>
      </c>
      <c r="AP655" s="763">
        <v>-399</v>
      </c>
      <c r="AQ655" s="763">
        <v>-1074</v>
      </c>
      <c r="AR655" s="763">
        <v>-1434</v>
      </c>
      <c r="AS655" s="22">
        <f t="shared" si="1393"/>
        <v>-1419</v>
      </c>
      <c r="AT655" s="827">
        <v>-1419</v>
      </c>
      <c r="AU655" s="763">
        <v>25</v>
      </c>
      <c r="AV655" s="763">
        <v>39</v>
      </c>
      <c r="AW655" s="763">
        <v>389</v>
      </c>
      <c r="AX655" s="37">
        <f t="shared" si="1394"/>
        <v>401</v>
      </c>
      <c r="AY655" s="827">
        <v>401</v>
      </c>
      <c r="AZ655" s="763">
        <v>12</v>
      </c>
      <c r="BA655" s="763">
        <v>29</v>
      </c>
      <c r="BB655" s="763">
        <v>38</v>
      </c>
      <c r="BC655" s="37">
        <f t="shared" si="1395"/>
        <v>-24</v>
      </c>
      <c r="BD655" s="827">
        <v>-24</v>
      </c>
      <c r="BE655" s="763">
        <v>-83</v>
      </c>
      <c r="BF655" s="763">
        <v>-189</v>
      </c>
      <c r="BG655" s="763">
        <v>-242</v>
      </c>
      <c r="BH655" s="22">
        <f t="shared" si="1396"/>
        <v>-302</v>
      </c>
      <c r="BI655" s="827">
        <v>-302</v>
      </c>
      <c r="BJ655" s="763">
        <v>-16</v>
      </c>
      <c r="BK655" s="763">
        <v>-118</v>
      </c>
      <c r="BL655" s="763">
        <v>-157</v>
      </c>
      <c r="BM655" s="37">
        <f t="shared" si="1397"/>
        <v>-233</v>
      </c>
      <c r="BN655" s="827">
        <v>-233</v>
      </c>
      <c r="BO655" s="763">
        <v>-66</v>
      </c>
      <c r="BP655" s="763">
        <v>-176</v>
      </c>
      <c r="BQ655" s="763">
        <v>798</v>
      </c>
      <c r="BR655" s="37">
        <f t="shared" si="1398"/>
        <v>778</v>
      </c>
      <c r="BS655" s="827">
        <v>778</v>
      </c>
      <c r="BT655" s="764">
        <v>979</v>
      </c>
      <c r="BU655" s="37"/>
      <c r="BV655" s="37"/>
      <c r="BW655" s="37"/>
      <c r="BX655" s="821"/>
      <c r="BY655" s="37"/>
      <c r="BZ655" s="37"/>
      <c r="CA655" s="37"/>
      <c r="CB655" s="37"/>
      <c r="CC655" s="821"/>
      <c r="CD655" s="821"/>
      <c r="CE655" s="821"/>
      <c r="CF655" s="821"/>
      <c r="CG655" s="22"/>
    </row>
    <row r="656" spans="1:85" s="428" customFormat="1" hidden="1" outlineLevel="1" x14ac:dyDescent="0.3">
      <c r="A656" s="40" t="s">
        <v>271</v>
      </c>
      <c r="B656" s="109"/>
      <c r="C656" s="827">
        <v>127</v>
      </c>
      <c r="D656" s="827">
        <v>-732</v>
      </c>
      <c r="E656" s="827">
        <v>-255</v>
      </c>
      <c r="F656" s="827">
        <v>-210</v>
      </c>
      <c r="G656" s="763">
        <v>356</v>
      </c>
      <c r="H656" s="763">
        <v>189</v>
      </c>
      <c r="I656" s="763">
        <v>172</v>
      </c>
      <c r="J656" s="22">
        <f>K656</f>
        <v>216</v>
      </c>
      <c r="K656" s="827">
        <v>216</v>
      </c>
      <c r="L656" s="763">
        <v>-20</v>
      </c>
      <c r="M656" s="763">
        <v>-26</v>
      </c>
      <c r="N656" s="763">
        <v>-67</v>
      </c>
      <c r="O656" s="22">
        <f>P656</f>
        <v>-207</v>
      </c>
      <c r="P656" s="827">
        <v>-207</v>
      </c>
      <c r="Q656" s="763">
        <v>80</v>
      </c>
      <c r="R656" s="763">
        <v>71</v>
      </c>
      <c r="S656" s="763">
        <v>64</v>
      </c>
      <c r="T656" s="22">
        <f>U656</f>
        <v>44</v>
      </c>
      <c r="U656" s="827">
        <v>44</v>
      </c>
      <c r="V656" s="763">
        <v>67</v>
      </c>
      <c r="W656" s="763">
        <v>155</v>
      </c>
      <c r="X656" s="763">
        <v>155</v>
      </c>
      <c r="Y656" s="22">
        <f>Z656</f>
        <v>217</v>
      </c>
      <c r="Z656" s="827">
        <v>217</v>
      </c>
      <c r="AA656" s="763">
        <v>-7</v>
      </c>
      <c r="AB656" s="763">
        <v>-14</v>
      </c>
      <c r="AC656" s="763">
        <v>-19</v>
      </c>
      <c r="AD656" s="22">
        <f>AE656</f>
        <v>-32</v>
      </c>
      <c r="AE656" s="827">
        <v>-32</v>
      </c>
      <c r="AF656" s="37"/>
      <c r="AG656" s="37"/>
      <c r="AH656" s="37"/>
      <c r="AI656" s="22">
        <f>AJ656</f>
        <v>0</v>
      </c>
      <c r="AJ656" s="821"/>
      <c r="AK656" s="37"/>
      <c r="AL656" s="37"/>
      <c r="AM656" s="37"/>
      <c r="AN656" s="22">
        <f t="shared" si="1392"/>
        <v>0</v>
      </c>
      <c r="AO656" s="821"/>
      <c r="AP656" s="37"/>
      <c r="AQ656" s="37"/>
      <c r="AR656" s="37"/>
      <c r="AS656" s="22">
        <f t="shared" si="1393"/>
        <v>0</v>
      </c>
      <c r="AT656" s="821"/>
      <c r="AU656" s="37"/>
      <c r="AV656" s="37"/>
      <c r="AW656" s="37"/>
      <c r="AX656" s="37">
        <f t="shared" si="1394"/>
        <v>0</v>
      </c>
      <c r="AY656" s="821"/>
      <c r="AZ656" s="37"/>
      <c r="BA656" s="37"/>
      <c r="BB656" s="37"/>
      <c r="BC656" s="37">
        <f t="shared" si="1395"/>
        <v>0</v>
      </c>
      <c r="BD656" s="821"/>
      <c r="BE656" s="37"/>
      <c r="BF656" s="37"/>
      <c r="BG656" s="37"/>
      <c r="BH656" s="22">
        <f t="shared" si="1396"/>
        <v>0</v>
      </c>
      <c r="BI656" s="821"/>
      <c r="BJ656" s="37"/>
      <c r="BK656" s="37"/>
      <c r="BL656" s="37"/>
      <c r="BM656" s="37">
        <f t="shared" si="1397"/>
        <v>0</v>
      </c>
      <c r="BN656" s="821"/>
      <c r="BO656" s="37"/>
      <c r="BP656" s="37"/>
      <c r="BQ656" s="37"/>
      <c r="BR656" s="37">
        <f t="shared" si="1398"/>
        <v>0</v>
      </c>
      <c r="BS656" s="821"/>
      <c r="BT656" s="480"/>
      <c r="BU656" s="37"/>
      <c r="BV656" s="37"/>
      <c r="BW656" s="37"/>
      <c r="BX656" s="821"/>
      <c r="BY656" s="37"/>
      <c r="BZ656" s="37"/>
      <c r="CA656" s="37"/>
      <c r="CB656" s="37"/>
      <c r="CC656" s="821"/>
      <c r="CD656" s="821"/>
      <c r="CE656" s="821"/>
      <c r="CF656" s="821"/>
      <c r="CG656" s="22"/>
    </row>
    <row r="657" spans="1:85" s="429" customFormat="1" hidden="1" outlineLevel="1" x14ac:dyDescent="0.3">
      <c r="A657" s="41" t="s">
        <v>272</v>
      </c>
      <c r="B657" s="99"/>
      <c r="C657" s="824">
        <f t="shared" ref="C657:AH657" si="1399">SUM(C648:C656)</f>
        <v>-16572</v>
      </c>
      <c r="D657" s="824">
        <f t="shared" si="1399"/>
        <v>-20915</v>
      </c>
      <c r="E657" s="824">
        <f t="shared" si="1399"/>
        <v>-27489</v>
      </c>
      <c r="F657" s="824">
        <f t="shared" si="1399"/>
        <v>-24796</v>
      </c>
      <c r="G657" s="394">
        <f t="shared" si="1399"/>
        <v>-8459</v>
      </c>
      <c r="H657" s="394">
        <f t="shared" si="1399"/>
        <v>-16471</v>
      </c>
      <c r="I657" s="394">
        <f t="shared" si="1399"/>
        <v>-25778</v>
      </c>
      <c r="J657" s="394">
        <f t="shared" si="1399"/>
        <v>-35609</v>
      </c>
      <c r="K657" s="824">
        <f t="shared" si="1399"/>
        <v>-35609</v>
      </c>
      <c r="L657" s="394">
        <f t="shared" si="1399"/>
        <v>-8580</v>
      </c>
      <c r="M657" s="394">
        <f t="shared" si="1399"/>
        <v>-15778</v>
      </c>
      <c r="N657" s="394">
        <f t="shared" si="1399"/>
        <v>-23151</v>
      </c>
      <c r="O657" s="394">
        <f t="shared" si="1399"/>
        <v>-29893</v>
      </c>
      <c r="P657" s="824">
        <f t="shared" si="1399"/>
        <v>-29893</v>
      </c>
      <c r="Q657" s="394">
        <f t="shared" si="1399"/>
        <v>-6606</v>
      </c>
      <c r="R657" s="394">
        <f t="shared" si="1399"/>
        <v>-10321</v>
      </c>
      <c r="S657" s="394">
        <f t="shared" si="1399"/>
        <v>-16600</v>
      </c>
      <c r="T657" s="394">
        <f t="shared" si="1399"/>
        <v>-23808</v>
      </c>
      <c r="U657" s="824">
        <f t="shared" si="1399"/>
        <v>-23808</v>
      </c>
      <c r="V657" s="394">
        <f t="shared" si="1399"/>
        <v>-5509</v>
      </c>
      <c r="W657" s="394">
        <f t="shared" si="1399"/>
        <v>-8666</v>
      </c>
      <c r="X657" s="394">
        <f t="shared" si="1399"/>
        <v>-13929</v>
      </c>
      <c r="Y657" s="394">
        <f t="shared" si="1399"/>
        <v>-16852</v>
      </c>
      <c r="Z657" s="824">
        <f t="shared" si="1399"/>
        <v>-16852</v>
      </c>
      <c r="AA657" s="393">
        <f t="shared" si="1399"/>
        <v>-1239</v>
      </c>
      <c r="AB657" s="394">
        <f t="shared" si="1399"/>
        <v>-4046</v>
      </c>
      <c r="AC657" s="394">
        <f t="shared" si="1399"/>
        <v>-4962</v>
      </c>
      <c r="AD657" s="394">
        <f t="shared" si="1399"/>
        <v>-8201</v>
      </c>
      <c r="AE657" s="824">
        <f t="shared" si="1399"/>
        <v>-8201</v>
      </c>
      <c r="AF657" s="393">
        <f t="shared" si="1399"/>
        <v>-2889</v>
      </c>
      <c r="AG657" s="394">
        <f t="shared" si="1399"/>
        <v>-5431</v>
      </c>
      <c r="AH657" s="394">
        <f t="shared" si="1399"/>
        <v>-7658</v>
      </c>
      <c r="AI657" s="394">
        <f t="shared" ref="AI657:BN657" si="1400">SUM(AI648:AI656)</f>
        <v>-12290</v>
      </c>
      <c r="AJ657" s="824">
        <f t="shared" si="1400"/>
        <v>-12290</v>
      </c>
      <c r="AK657" s="393">
        <f t="shared" si="1400"/>
        <v>-2028</v>
      </c>
      <c r="AL657" s="394">
        <f t="shared" si="1400"/>
        <v>-5268</v>
      </c>
      <c r="AM657" s="394">
        <f t="shared" si="1400"/>
        <v>-8836</v>
      </c>
      <c r="AN657" s="394">
        <f t="shared" si="1400"/>
        <v>-11458</v>
      </c>
      <c r="AO657" s="824">
        <f t="shared" si="1400"/>
        <v>-11458</v>
      </c>
      <c r="AP657" s="393">
        <f t="shared" si="1400"/>
        <v>-3158</v>
      </c>
      <c r="AQ657" s="394">
        <f t="shared" si="1400"/>
        <v>-4448</v>
      </c>
      <c r="AR657" s="394">
        <f t="shared" si="1400"/>
        <v>-6275</v>
      </c>
      <c r="AS657" s="394">
        <f t="shared" si="1400"/>
        <v>-6965</v>
      </c>
      <c r="AT657" s="824">
        <f t="shared" si="1400"/>
        <v>-6965</v>
      </c>
      <c r="AU657" s="393">
        <f t="shared" si="1400"/>
        <v>-1563</v>
      </c>
      <c r="AV657" s="394">
        <f t="shared" si="1400"/>
        <v>-3135</v>
      </c>
      <c r="AW657" s="394">
        <f t="shared" si="1400"/>
        <v>-4476</v>
      </c>
      <c r="AX657" s="393">
        <f t="shared" si="1400"/>
        <v>-5865</v>
      </c>
      <c r="AY657" s="823">
        <f t="shared" si="1400"/>
        <v>-5865</v>
      </c>
      <c r="AZ657" s="393">
        <f t="shared" si="1400"/>
        <v>-665</v>
      </c>
      <c r="BA657" s="394">
        <f t="shared" si="1400"/>
        <v>-5629</v>
      </c>
      <c r="BB657" s="393">
        <f t="shared" si="1400"/>
        <v>-8396</v>
      </c>
      <c r="BC657" s="393">
        <f t="shared" si="1400"/>
        <v>-12108</v>
      </c>
      <c r="BD657" s="823">
        <f t="shared" si="1400"/>
        <v>-12108</v>
      </c>
      <c r="BE657" s="393">
        <f t="shared" si="1400"/>
        <v>-2807</v>
      </c>
      <c r="BF657" s="393">
        <f t="shared" si="1400"/>
        <v>-6751</v>
      </c>
      <c r="BG657" s="393">
        <f t="shared" si="1400"/>
        <v>-11161</v>
      </c>
      <c r="BH657" s="394">
        <f t="shared" si="1400"/>
        <v>-15232</v>
      </c>
      <c r="BI657" s="824">
        <f t="shared" si="1400"/>
        <v>-15232</v>
      </c>
      <c r="BJ657" s="393">
        <f t="shared" si="1400"/>
        <v>-3956</v>
      </c>
      <c r="BK657" s="393">
        <f t="shared" si="1400"/>
        <v>-7910</v>
      </c>
      <c r="BL657" s="393">
        <f t="shared" si="1400"/>
        <v>-11606</v>
      </c>
      <c r="BM657" s="393">
        <f t="shared" si="1400"/>
        <v>-8936</v>
      </c>
      <c r="BN657" s="823">
        <f t="shared" si="1400"/>
        <v>-8936</v>
      </c>
      <c r="BO657" s="393">
        <f t="shared" ref="BO657:BT657" si="1401">SUM(BO648:BO656)</f>
        <v>-5618</v>
      </c>
      <c r="BP657" s="393">
        <f t="shared" si="1401"/>
        <v>-9050</v>
      </c>
      <c r="BQ657" s="393">
        <f t="shared" si="1401"/>
        <v>-10979</v>
      </c>
      <c r="BR657" s="393">
        <f t="shared" si="1401"/>
        <v>-15911</v>
      </c>
      <c r="BS657" s="823">
        <f t="shared" si="1401"/>
        <v>-15911</v>
      </c>
      <c r="BT657" s="641">
        <f t="shared" si="1401"/>
        <v>-3012</v>
      </c>
      <c r="BU657" s="393"/>
      <c r="BV657" s="393"/>
      <c r="BW657" s="393"/>
      <c r="BX657" s="823"/>
      <c r="BY657" s="393"/>
      <c r="BZ657" s="393"/>
      <c r="CA657" s="393"/>
      <c r="CB657" s="393"/>
      <c r="CC657" s="823"/>
      <c r="CD657" s="823"/>
      <c r="CE657" s="823"/>
      <c r="CF657" s="823"/>
      <c r="CG657" s="26"/>
    </row>
    <row r="658" spans="1:85" s="429" customFormat="1" hidden="1" outlineLevel="1" x14ac:dyDescent="0.3">
      <c r="A658" s="48"/>
      <c r="B658" s="58"/>
      <c r="C658" s="825"/>
      <c r="D658" s="825"/>
      <c r="E658" s="825"/>
      <c r="F658" s="825"/>
      <c r="G658" s="31"/>
      <c r="H658" s="31"/>
      <c r="I658" s="31"/>
      <c r="J658" s="31"/>
      <c r="K658" s="825"/>
      <c r="L658" s="31"/>
      <c r="M658" s="31"/>
      <c r="N658" s="31"/>
      <c r="O658" s="31"/>
      <c r="P658" s="825"/>
      <c r="Q658" s="31"/>
      <c r="R658" s="31"/>
      <c r="S658" s="31"/>
      <c r="T658" s="31"/>
      <c r="U658" s="825"/>
      <c r="V658" s="31"/>
      <c r="W658" s="31"/>
      <c r="X658" s="31"/>
      <c r="Y658" s="31"/>
      <c r="Z658" s="825"/>
      <c r="AA658" s="31"/>
      <c r="AB658" s="31"/>
      <c r="AC658" s="31"/>
      <c r="AD658" s="31"/>
      <c r="AE658" s="825"/>
      <c r="AF658" s="31"/>
      <c r="AG658" s="31"/>
      <c r="AH658" s="31"/>
      <c r="AI658" s="31"/>
      <c r="AJ658" s="825"/>
      <c r="AK658" s="31"/>
      <c r="AL658" s="31"/>
      <c r="AM658" s="31"/>
      <c r="AN658" s="31"/>
      <c r="AO658" s="825"/>
      <c r="AP658" s="31"/>
      <c r="AQ658" s="31"/>
      <c r="AR658" s="31"/>
      <c r="AS658" s="31"/>
      <c r="AT658" s="825"/>
      <c r="AU658" s="31"/>
      <c r="AV658" s="31"/>
      <c r="AW658" s="31"/>
      <c r="AX658" s="31"/>
      <c r="AY658" s="825"/>
      <c r="AZ658" s="31"/>
      <c r="BA658" s="31"/>
      <c r="BB658" s="31"/>
      <c r="BC658" s="31"/>
      <c r="BD658" s="825"/>
      <c r="BE658" s="31"/>
      <c r="BF658" s="31"/>
      <c r="BG658" s="31"/>
      <c r="BH658" s="31"/>
      <c r="BI658" s="825"/>
      <c r="BJ658" s="31"/>
      <c r="BK658" s="31"/>
      <c r="BL658" s="31"/>
      <c r="BM658" s="31"/>
      <c r="BN658" s="825"/>
      <c r="BO658" s="31"/>
      <c r="BP658" s="31"/>
      <c r="BQ658" s="31"/>
      <c r="BR658" s="31"/>
      <c r="BS658" s="825"/>
      <c r="BT658" s="379"/>
      <c r="BU658" s="31"/>
      <c r="BV658" s="31"/>
      <c r="BW658" s="31"/>
      <c r="BX658" s="825"/>
      <c r="BY658" s="31"/>
      <c r="BZ658" s="31"/>
      <c r="CA658" s="31"/>
      <c r="CB658" s="31"/>
      <c r="CC658" s="825"/>
      <c r="CD658" s="825"/>
      <c r="CE658" s="825"/>
      <c r="CF658" s="825"/>
      <c r="CG658" s="26"/>
    </row>
    <row r="659" spans="1:85" s="429" customFormat="1" hidden="1" outlineLevel="1" x14ac:dyDescent="0.3">
      <c r="A659" s="53" t="s">
        <v>273</v>
      </c>
      <c r="B659" s="58"/>
      <c r="C659" s="825"/>
      <c r="D659" s="825"/>
      <c r="E659" s="825"/>
      <c r="F659" s="825"/>
      <c r="G659" s="31"/>
      <c r="H659" s="31"/>
      <c r="I659" s="31"/>
      <c r="J659" s="31"/>
      <c r="K659" s="825"/>
      <c r="L659" s="31"/>
      <c r="M659" s="31"/>
      <c r="N659" s="31"/>
      <c r="O659" s="31"/>
      <c r="P659" s="825"/>
      <c r="Q659" s="31"/>
      <c r="R659" s="31"/>
      <c r="S659" s="31"/>
      <c r="T659" s="31"/>
      <c r="U659" s="825"/>
      <c r="V659" s="31"/>
      <c r="W659" s="31"/>
      <c r="X659" s="31"/>
      <c r="Y659" s="31"/>
      <c r="Z659" s="825"/>
      <c r="AA659" s="31"/>
      <c r="AB659" s="31"/>
      <c r="AC659" s="31"/>
      <c r="AD659" s="31"/>
      <c r="AE659" s="825"/>
      <c r="AF659" s="31"/>
      <c r="AG659" s="31"/>
      <c r="AH659" s="31"/>
      <c r="AI659" s="31"/>
      <c r="AJ659" s="825"/>
      <c r="AK659" s="31"/>
      <c r="AL659" s="31"/>
      <c r="AM659" s="31"/>
      <c r="AN659" s="31"/>
      <c r="AO659" s="825"/>
      <c r="AP659" s="31"/>
      <c r="AQ659" s="31"/>
      <c r="AR659" s="31"/>
      <c r="AS659" s="31"/>
      <c r="AT659" s="825"/>
      <c r="AU659" s="31"/>
      <c r="AV659" s="31"/>
      <c r="AW659" s="31"/>
      <c r="AX659" s="31"/>
      <c r="AY659" s="825"/>
      <c r="AZ659" s="31"/>
      <c r="BA659" s="31"/>
      <c r="BB659" s="31"/>
      <c r="BC659" s="31"/>
      <c r="BD659" s="825"/>
      <c r="BE659" s="31"/>
      <c r="BF659" s="31"/>
      <c r="BG659" s="31"/>
      <c r="BH659" s="31"/>
      <c r="BI659" s="825"/>
      <c r="BJ659" s="31"/>
      <c r="BK659" s="31"/>
      <c r="BL659" s="31"/>
      <c r="BM659" s="31"/>
      <c r="BN659" s="825"/>
      <c r="BO659" s="31"/>
      <c r="BP659" s="31"/>
      <c r="BQ659" s="31"/>
      <c r="BR659" s="31"/>
      <c r="BS659" s="825"/>
      <c r="BT659" s="379"/>
      <c r="BU659" s="31"/>
      <c r="BV659" s="31"/>
      <c r="BW659" s="31"/>
      <c r="BX659" s="825"/>
      <c r="BY659" s="31"/>
      <c r="BZ659" s="31"/>
      <c r="CA659" s="31"/>
      <c r="CB659" s="31"/>
      <c r="CC659" s="825"/>
      <c r="CD659" s="825"/>
      <c r="CE659" s="825"/>
      <c r="CF659" s="825"/>
      <c r="CG659" s="26"/>
    </row>
    <row r="660" spans="1:85" s="428" customFormat="1" hidden="1" outlineLevel="1" x14ac:dyDescent="0.3">
      <c r="A660" s="40" t="s">
        <v>274</v>
      </c>
      <c r="B660" s="109"/>
      <c r="C660" s="827">
        <v>-3192</v>
      </c>
      <c r="D660" s="827">
        <v>-212</v>
      </c>
      <c r="E660" s="827">
        <v>23</v>
      </c>
      <c r="F660" s="827">
        <v>264</v>
      </c>
      <c r="G660" s="763">
        <v>2069</v>
      </c>
      <c r="H660" s="763">
        <v>1903</v>
      </c>
      <c r="I660" s="763">
        <v>534</v>
      </c>
      <c r="J660" s="22">
        <f>K660</f>
        <v>2378</v>
      </c>
      <c r="K660" s="827">
        <v>2378</v>
      </c>
      <c r="L660" s="763">
        <v>2636</v>
      </c>
      <c r="M660" s="763">
        <v>3123</v>
      </c>
      <c r="N660" s="763">
        <v>5294</v>
      </c>
      <c r="O660" s="22">
        <f>P660</f>
        <v>3431</v>
      </c>
      <c r="P660" s="827">
        <v>3431</v>
      </c>
      <c r="Q660" s="763">
        <v>117</v>
      </c>
      <c r="R660" s="763">
        <v>-1920</v>
      </c>
      <c r="S660" s="763">
        <v>2049</v>
      </c>
      <c r="T660" s="22">
        <f>U660</f>
        <v>-335</v>
      </c>
      <c r="U660" s="827">
        <v>-335</v>
      </c>
      <c r="V660" s="763">
        <v>3802</v>
      </c>
      <c r="W660" s="763">
        <v>359</v>
      </c>
      <c r="X660" s="763">
        <v>869</v>
      </c>
      <c r="Y660" s="22">
        <f>Z660</f>
        <v>2130</v>
      </c>
      <c r="Z660" s="827">
        <v>2130</v>
      </c>
      <c r="AA660" s="763">
        <v>-3928</v>
      </c>
      <c r="AB660" s="763">
        <v>-6305</v>
      </c>
      <c r="AC660" s="763">
        <v>-7185</v>
      </c>
      <c r="AD660" s="22">
        <f>AE660</f>
        <v>-5142</v>
      </c>
      <c r="AE660" s="827">
        <v>-5142</v>
      </c>
      <c r="AF660" s="763">
        <v>3214</v>
      </c>
      <c r="AG660" s="763">
        <v>4701</v>
      </c>
      <c r="AH660" s="763">
        <v>2199</v>
      </c>
      <c r="AI660" s="22">
        <f t="shared" ref="AI660:AI665" si="1402">AJ660</f>
        <v>2021</v>
      </c>
      <c r="AJ660" s="827">
        <v>2021</v>
      </c>
      <c r="AK660" s="763">
        <v>936</v>
      </c>
      <c r="AL660" s="763">
        <v>-189</v>
      </c>
      <c r="AM660" s="763">
        <v>1973</v>
      </c>
      <c r="AN660" s="22">
        <f t="shared" ref="AN660:AN665" si="1403">AO660</f>
        <v>-2821</v>
      </c>
      <c r="AO660" s="827">
        <v>-2821</v>
      </c>
      <c r="AP660" s="763">
        <v>8167</v>
      </c>
      <c r="AQ660" s="763">
        <v>2571</v>
      </c>
      <c r="AR660" s="763">
        <v>-606</v>
      </c>
      <c r="AS660" s="22">
        <f t="shared" ref="AS660:AS665" si="1404">AT660</f>
        <v>651</v>
      </c>
      <c r="AT660" s="827">
        <v>651</v>
      </c>
      <c r="AU660" s="763">
        <v>1237</v>
      </c>
      <c r="AV660" s="763">
        <v>1948</v>
      </c>
      <c r="AW660" s="763">
        <v>-3627</v>
      </c>
      <c r="AX660" s="37">
        <f t="shared" ref="AX660:AX665" si="1405">AY660</f>
        <v>-5572</v>
      </c>
      <c r="AY660" s="827">
        <v>-5572</v>
      </c>
      <c r="AZ660" s="763">
        <v>61</v>
      </c>
      <c r="BA660" s="763">
        <v>36</v>
      </c>
      <c r="BB660" s="763">
        <v>278</v>
      </c>
      <c r="BC660" s="37">
        <f t="shared" ref="BC660:BC665" si="1406">BD660</f>
        <v>263</v>
      </c>
      <c r="BD660" s="827">
        <v>263</v>
      </c>
      <c r="BE660" s="763">
        <v>-87</v>
      </c>
      <c r="BF660" s="763">
        <v>-104</v>
      </c>
      <c r="BG660" s="763">
        <v>-33</v>
      </c>
      <c r="BH660" s="22">
        <f t="shared" ref="BH660:BH665" si="1407">BI660</f>
        <v>135</v>
      </c>
      <c r="BI660" s="827">
        <v>135</v>
      </c>
      <c r="BJ660" s="763">
        <v>1836</v>
      </c>
      <c r="BK660" s="763">
        <v>3119</v>
      </c>
      <c r="BL660" s="763">
        <v>5615</v>
      </c>
      <c r="BM660" s="37">
        <f t="shared" ref="BM660:BM665" si="1408">BN660</f>
        <v>4868</v>
      </c>
      <c r="BN660" s="827">
        <v>4868</v>
      </c>
      <c r="BO660" s="763">
        <v>-400</v>
      </c>
      <c r="BP660" s="763">
        <v>1891</v>
      </c>
      <c r="BQ660" s="763">
        <v>-819</v>
      </c>
      <c r="BR660" s="37">
        <f t="shared" ref="BR660:BR665" si="1409">BS660</f>
        <v>-1061</v>
      </c>
      <c r="BS660" s="827">
        <v>-1061</v>
      </c>
      <c r="BT660" s="764">
        <v>5417</v>
      </c>
      <c r="BU660" s="37"/>
      <c r="BV660" s="37"/>
      <c r="BW660" s="37"/>
      <c r="BX660" s="821"/>
      <c r="BY660" s="37"/>
      <c r="BZ660" s="37"/>
      <c r="CA660" s="37"/>
      <c r="CB660" s="37"/>
      <c r="CC660" s="821"/>
      <c r="CD660" s="821"/>
      <c r="CE660" s="821"/>
      <c r="CF660" s="821"/>
      <c r="CG660" s="22"/>
    </row>
    <row r="661" spans="1:85" s="428" customFormat="1" hidden="1" outlineLevel="1" x14ac:dyDescent="0.3">
      <c r="A661" s="40" t="s">
        <v>275</v>
      </c>
      <c r="B661" s="109"/>
      <c r="C661" s="827">
        <v>5347</v>
      </c>
      <c r="D661" s="827">
        <v>1250</v>
      </c>
      <c r="E661" s="827">
        <v>377</v>
      </c>
      <c r="F661" s="827">
        <v>4007</v>
      </c>
      <c r="G661" s="37"/>
      <c r="H661" s="763">
        <v>6000</v>
      </c>
      <c r="I661" s="763">
        <v>6000</v>
      </c>
      <c r="J661" s="22">
        <f>K661</f>
        <v>6000</v>
      </c>
      <c r="K661" s="827">
        <v>6000</v>
      </c>
      <c r="L661" s="763">
        <v>0</v>
      </c>
      <c r="M661" s="763">
        <v>0</v>
      </c>
      <c r="N661" s="763">
        <v>0</v>
      </c>
      <c r="O661" s="22">
        <f>P661</f>
        <v>4000</v>
      </c>
      <c r="P661" s="827">
        <v>4000</v>
      </c>
      <c r="Q661" s="763">
        <v>5993</v>
      </c>
      <c r="R661" s="763">
        <v>5989</v>
      </c>
      <c r="S661" s="763">
        <v>5989</v>
      </c>
      <c r="T661" s="22">
        <f>U661</f>
        <v>11091</v>
      </c>
      <c r="U661" s="827">
        <v>11091</v>
      </c>
      <c r="V661" s="763">
        <v>0</v>
      </c>
      <c r="W661" s="763">
        <v>6926</v>
      </c>
      <c r="X661" s="763">
        <v>6924</v>
      </c>
      <c r="Y661" s="22">
        <f>Z661</f>
        <v>6924</v>
      </c>
      <c r="Z661" s="827">
        <v>6924</v>
      </c>
      <c r="AA661" s="763">
        <v>3994</v>
      </c>
      <c r="AB661" s="763">
        <v>3991</v>
      </c>
      <c r="AC661" s="763">
        <v>3991</v>
      </c>
      <c r="AD661" s="22">
        <f>AE661</f>
        <v>3991</v>
      </c>
      <c r="AE661" s="827">
        <v>3991</v>
      </c>
      <c r="AF661" s="763">
        <v>73</v>
      </c>
      <c r="AG661" s="763">
        <v>145</v>
      </c>
      <c r="AH661" s="763">
        <v>217</v>
      </c>
      <c r="AI661" s="22">
        <f t="shared" si="1402"/>
        <v>218</v>
      </c>
      <c r="AJ661" s="827">
        <v>218</v>
      </c>
      <c r="AK661" s="763">
        <v>0</v>
      </c>
      <c r="AL661" s="763">
        <v>0</v>
      </c>
      <c r="AM661" s="37"/>
      <c r="AN661" s="22">
        <f t="shared" si="1403"/>
        <v>0</v>
      </c>
      <c r="AO661" s="821"/>
      <c r="AP661" s="37"/>
      <c r="AQ661" s="763">
        <v>8250</v>
      </c>
      <c r="AR661" s="763">
        <v>12237</v>
      </c>
      <c r="AS661" s="22">
        <f t="shared" si="1404"/>
        <v>12308</v>
      </c>
      <c r="AT661" s="827">
        <v>12308</v>
      </c>
      <c r="AU661" s="37"/>
      <c r="AV661" s="37"/>
      <c r="AW661" s="763">
        <v>0</v>
      </c>
      <c r="AX661" s="37">
        <f t="shared" si="1405"/>
        <v>0</v>
      </c>
      <c r="AY661" s="821"/>
      <c r="AZ661" s="37"/>
      <c r="BA661" s="37"/>
      <c r="BB661" s="37"/>
      <c r="BC661" s="37">
        <f t="shared" si="1406"/>
        <v>0</v>
      </c>
      <c r="BD661" s="821"/>
      <c r="BE661" s="37"/>
      <c r="BF661" s="763">
        <v>150</v>
      </c>
      <c r="BG661" s="763">
        <v>150</v>
      </c>
      <c r="BH661" s="22">
        <f t="shared" si="1407"/>
        <v>150</v>
      </c>
      <c r="BI661" s="827">
        <v>150</v>
      </c>
      <c r="BJ661" s="763">
        <v>203</v>
      </c>
      <c r="BK661" s="763">
        <v>303</v>
      </c>
      <c r="BL661" s="763">
        <v>403</v>
      </c>
      <c r="BM661" s="37">
        <f t="shared" si="1408"/>
        <v>478</v>
      </c>
      <c r="BN661" s="827">
        <v>478</v>
      </c>
      <c r="BO661" s="763">
        <v>5491</v>
      </c>
      <c r="BP661" s="763">
        <v>5491</v>
      </c>
      <c r="BQ661" s="763">
        <v>11166</v>
      </c>
      <c r="BR661" s="37">
        <f t="shared" si="1409"/>
        <v>11402</v>
      </c>
      <c r="BS661" s="827">
        <v>11402</v>
      </c>
      <c r="BT661" s="764">
        <v>99</v>
      </c>
      <c r="BU661" s="37"/>
      <c r="BV661" s="37"/>
      <c r="BW661" s="37"/>
      <c r="BX661" s="821"/>
      <c r="BY661" s="37"/>
      <c r="BZ661" s="37"/>
      <c r="CA661" s="37"/>
      <c r="CB661" s="37"/>
      <c r="CC661" s="821"/>
      <c r="CD661" s="821"/>
      <c r="CE661" s="821"/>
      <c r="CF661" s="821"/>
      <c r="CG661" s="22"/>
    </row>
    <row r="662" spans="1:85" s="428" customFormat="1" hidden="1" outlineLevel="1" x14ac:dyDescent="0.3">
      <c r="A662" s="43" t="s">
        <v>276</v>
      </c>
      <c r="B662" s="109"/>
      <c r="C662" s="827">
        <v>-496</v>
      </c>
      <c r="D662" s="827">
        <v>-156</v>
      </c>
      <c r="E662" s="827">
        <v>-2769</v>
      </c>
      <c r="F662" s="827">
        <v>-2224</v>
      </c>
      <c r="G662" s="763">
        <v>-102</v>
      </c>
      <c r="H662" s="763">
        <v>-110</v>
      </c>
      <c r="I662" s="763">
        <v>-122</v>
      </c>
      <c r="J662" s="37">
        <f>K662</f>
        <v>-132</v>
      </c>
      <c r="K662" s="827">
        <v>-132</v>
      </c>
      <c r="L662" s="763">
        <v>-12</v>
      </c>
      <c r="M662" s="763">
        <v>-20</v>
      </c>
      <c r="N662" s="763">
        <v>-27</v>
      </c>
      <c r="O662" s="37">
        <f>P662</f>
        <v>-43</v>
      </c>
      <c r="P662" s="827">
        <v>-43</v>
      </c>
      <c r="Q662" s="763">
        <v>-8</v>
      </c>
      <c r="R662" s="763">
        <v>-15</v>
      </c>
      <c r="S662" s="763">
        <v>-22</v>
      </c>
      <c r="T662" s="37">
        <f>U662</f>
        <v>-32</v>
      </c>
      <c r="U662" s="827">
        <v>-32</v>
      </c>
      <c r="V662" s="763">
        <v>-14</v>
      </c>
      <c r="W662" s="763">
        <v>-780</v>
      </c>
      <c r="X662" s="763">
        <v>-812</v>
      </c>
      <c r="Y662" s="37">
        <f>Z662</f>
        <v>-1584</v>
      </c>
      <c r="Z662" s="827">
        <v>-1584</v>
      </c>
      <c r="AA662" s="763">
        <v>-966</v>
      </c>
      <c r="AB662" s="763">
        <v>-998</v>
      </c>
      <c r="AC662" s="763">
        <v>-1028</v>
      </c>
      <c r="AD662" s="37">
        <f>AE662</f>
        <v>-6310</v>
      </c>
      <c r="AE662" s="827">
        <v>-6310</v>
      </c>
      <c r="AF662" s="763">
        <v>-2331</v>
      </c>
      <c r="AG662" s="763">
        <v>-5213</v>
      </c>
      <c r="AH662" s="763">
        <v>-5227</v>
      </c>
      <c r="AI662" s="37">
        <f t="shared" si="1402"/>
        <v>-6741</v>
      </c>
      <c r="AJ662" s="827">
        <v>-6741</v>
      </c>
      <c r="AK662" s="763">
        <v>-2506</v>
      </c>
      <c r="AL662" s="763">
        <v>-3863</v>
      </c>
      <c r="AM662" s="763">
        <v>-3868</v>
      </c>
      <c r="AN662" s="37">
        <f t="shared" si="1403"/>
        <v>-5025</v>
      </c>
      <c r="AO662" s="827">
        <v>-5025</v>
      </c>
      <c r="AP662" s="763">
        <v>-2809</v>
      </c>
      <c r="AQ662" s="763">
        <v>-3820</v>
      </c>
      <c r="AR662" s="763">
        <v>-3941</v>
      </c>
      <c r="AS662" s="37">
        <f t="shared" si="1404"/>
        <v>-5489</v>
      </c>
      <c r="AT662" s="827">
        <v>-5489</v>
      </c>
      <c r="AU662" s="763">
        <v>-78</v>
      </c>
      <c r="AV662" s="763">
        <v>-3252</v>
      </c>
      <c r="AW662" s="763">
        <v>-3305</v>
      </c>
      <c r="AX662" s="37">
        <f t="shared" si="1405"/>
        <v>-7364</v>
      </c>
      <c r="AY662" s="827">
        <v>-7364</v>
      </c>
      <c r="AZ662" s="763">
        <v>-2062</v>
      </c>
      <c r="BA662" s="763">
        <v>-5689</v>
      </c>
      <c r="BB662" s="763">
        <v>-8449</v>
      </c>
      <c r="BC662" s="37">
        <f t="shared" si="1406"/>
        <v>-8742</v>
      </c>
      <c r="BD662" s="827">
        <v>-8742</v>
      </c>
      <c r="BE662" s="763">
        <v>-13</v>
      </c>
      <c r="BF662" s="763">
        <v>-1742</v>
      </c>
      <c r="BG662" s="763">
        <v>-4207</v>
      </c>
      <c r="BH662" s="22">
        <f t="shared" si="1407"/>
        <v>-4340</v>
      </c>
      <c r="BI662" s="827">
        <v>-4340</v>
      </c>
      <c r="BJ662" s="763">
        <v>-1012</v>
      </c>
      <c r="BK662" s="763">
        <v>-1050</v>
      </c>
      <c r="BL662" s="763">
        <v>-1062</v>
      </c>
      <c r="BM662" s="37">
        <f t="shared" si="1408"/>
        <v>-1778</v>
      </c>
      <c r="BN662" s="827">
        <v>-1778</v>
      </c>
      <c r="BO662" s="763">
        <v>-61</v>
      </c>
      <c r="BP662" s="763">
        <v>-2651</v>
      </c>
      <c r="BQ662" s="763">
        <v>-3557</v>
      </c>
      <c r="BR662" s="37">
        <f t="shared" si="1409"/>
        <v>-4475</v>
      </c>
      <c r="BS662" s="827">
        <v>-4475</v>
      </c>
      <c r="BT662" s="764">
        <v>-874</v>
      </c>
      <c r="BU662" s="37"/>
      <c r="BV662" s="37"/>
      <c r="BW662" s="37"/>
      <c r="BX662" s="821"/>
      <c r="BY662" s="37"/>
      <c r="BZ662" s="37"/>
      <c r="CA662" s="37"/>
      <c r="CB662" s="37"/>
      <c r="CC662" s="821"/>
      <c r="CD662" s="821"/>
      <c r="CE662" s="821"/>
      <c r="CF662" s="821"/>
      <c r="CG662" s="22"/>
    </row>
    <row r="663" spans="1:85" s="428" customFormat="1" hidden="1" outlineLevel="1" x14ac:dyDescent="0.3">
      <c r="A663" s="40" t="s">
        <v>277</v>
      </c>
      <c r="B663" s="109"/>
      <c r="C663" s="827">
        <v>-5302</v>
      </c>
      <c r="D663" s="827">
        <v>-5669</v>
      </c>
      <c r="E663" s="827">
        <v>-6136</v>
      </c>
      <c r="F663" s="827">
        <v>-6844</v>
      </c>
      <c r="G663" s="763">
        <v>-1735</v>
      </c>
      <c r="H663" s="763">
        <v>-3656</v>
      </c>
      <c r="I663" s="763">
        <v>-5571</v>
      </c>
      <c r="J663" s="22">
        <f>K663</f>
        <v>-7474</v>
      </c>
      <c r="K663" s="827">
        <v>-7474</v>
      </c>
      <c r="L663" s="763">
        <v>-1895</v>
      </c>
      <c r="M663" s="763">
        <v>-3914</v>
      </c>
      <c r="N663" s="763">
        <v>-5926</v>
      </c>
      <c r="O663" s="22">
        <f>P663</f>
        <v>-7928</v>
      </c>
      <c r="P663" s="827">
        <v>-7928</v>
      </c>
      <c r="Q663" s="763">
        <v>-1997</v>
      </c>
      <c r="R663" s="763">
        <v>-3994</v>
      </c>
      <c r="S663" s="763">
        <v>-5993</v>
      </c>
      <c r="T663" s="22">
        <f>U663</f>
        <v>-7992</v>
      </c>
      <c r="U663" s="827">
        <v>-7992</v>
      </c>
      <c r="V663" s="763">
        <v>-2000</v>
      </c>
      <c r="W663" s="763">
        <v>-4002</v>
      </c>
      <c r="X663" s="763">
        <v>-6007</v>
      </c>
      <c r="Y663" s="22">
        <f>Z663</f>
        <v>-8032</v>
      </c>
      <c r="Z663" s="827">
        <v>-8032</v>
      </c>
      <c r="AA663" s="763">
        <v>-2029</v>
      </c>
      <c r="AB663" s="763">
        <v>-4061</v>
      </c>
      <c r="AC663" s="763">
        <v>-6093</v>
      </c>
      <c r="AD663" s="22">
        <f>AE663</f>
        <v>-8132</v>
      </c>
      <c r="AE663" s="827">
        <v>-8132</v>
      </c>
      <c r="AF663" s="763">
        <v>-2124</v>
      </c>
      <c r="AG663" s="763">
        <v>-4253</v>
      </c>
      <c r="AH663" s="763">
        <v>-6382</v>
      </c>
      <c r="AI663" s="22">
        <f t="shared" si="1402"/>
        <v>-8502</v>
      </c>
      <c r="AJ663" s="827">
        <v>-8502</v>
      </c>
      <c r="AK663" s="763">
        <v>-2244</v>
      </c>
      <c r="AL663" s="763">
        <v>-4494</v>
      </c>
      <c r="AM663" s="763">
        <v>-6731</v>
      </c>
      <c r="AN663" s="22">
        <f t="shared" si="1403"/>
        <v>-8959</v>
      </c>
      <c r="AO663" s="827">
        <v>-8959</v>
      </c>
      <c r="AP663" s="763">
        <v>-2402</v>
      </c>
      <c r="AQ663" s="763">
        <v>-4796</v>
      </c>
      <c r="AR663" s="763">
        <v>-7186</v>
      </c>
      <c r="AS663" s="22">
        <f t="shared" si="1404"/>
        <v>-9651</v>
      </c>
      <c r="AT663" s="827">
        <v>-9651</v>
      </c>
      <c r="AU663" s="763">
        <v>-2468</v>
      </c>
      <c r="AV663" s="763">
        <v>-5041</v>
      </c>
      <c r="AW663" s="763">
        <v>-7612</v>
      </c>
      <c r="AX663" s="37">
        <f t="shared" si="1405"/>
        <v>-10179</v>
      </c>
      <c r="AY663" s="827">
        <v>-10179</v>
      </c>
      <c r="AZ663" s="763">
        <v>-2746</v>
      </c>
      <c r="BA663" s="763">
        <v>-5512</v>
      </c>
      <c r="BB663" s="763">
        <v>-8255</v>
      </c>
      <c r="BC663" s="37">
        <f t="shared" si="1406"/>
        <v>-10968</v>
      </c>
      <c r="BD663" s="827">
        <v>-10968</v>
      </c>
      <c r="BE663" s="763">
        <v>-2857</v>
      </c>
      <c r="BF663" s="763">
        <v>-5675</v>
      </c>
      <c r="BG663" s="763">
        <v>-8527</v>
      </c>
      <c r="BH663" s="22">
        <f t="shared" si="1407"/>
        <v>-11336</v>
      </c>
      <c r="BI663" s="827">
        <v>-11336</v>
      </c>
      <c r="BJ663" s="763">
        <v>-3003</v>
      </c>
      <c r="BK663" s="763">
        <v>-5981</v>
      </c>
      <c r="BL663" s="763">
        <v>-8914</v>
      </c>
      <c r="BM663" s="37">
        <f t="shared" si="1408"/>
        <v>-11801</v>
      </c>
      <c r="BN663" s="827">
        <v>-11801</v>
      </c>
      <c r="BO663" s="763">
        <v>-2984</v>
      </c>
      <c r="BP663" s="763">
        <v>-5918</v>
      </c>
      <c r="BQ663" s="763">
        <v>-9347</v>
      </c>
      <c r="BR663" s="37">
        <f t="shared" si="1409"/>
        <v>-12751</v>
      </c>
      <c r="BS663" s="827">
        <v>-12751</v>
      </c>
      <c r="BT663" s="764">
        <v>-3526</v>
      </c>
      <c r="BU663" s="37"/>
      <c r="BV663" s="37"/>
      <c r="BW663" s="37"/>
      <c r="BX663" s="821"/>
      <c r="BY663" s="37"/>
      <c r="BZ663" s="37"/>
      <c r="CA663" s="37"/>
      <c r="CB663" s="37"/>
      <c r="CC663" s="821"/>
      <c r="CD663" s="821"/>
      <c r="CE663" s="821"/>
      <c r="CF663" s="821"/>
      <c r="CG663" s="22"/>
    </row>
    <row r="664" spans="1:85" s="428" customFormat="1" hidden="1" outlineLevel="1" x14ac:dyDescent="0.3">
      <c r="A664" s="40" t="s">
        <v>278</v>
      </c>
      <c r="B664" s="109"/>
      <c r="C664" s="827">
        <v>-71</v>
      </c>
      <c r="D664" s="827">
        <v>-72</v>
      </c>
      <c r="E664" s="827">
        <v>-71</v>
      </c>
      <c r="F664" s="827">
        <v>-41</v>
      </c>
      <c r="G664" s="763">
        <v>-10</v>
      </c>
      <c r="H664" s="763">
        <v>-73</v>
      </c>
      <c r="I664" s="763">
        <v>-93</v>
      </c>
      <c r="J664" s="22">
        <f>K664</f>
        <v>-99</v>
      </c>
      <c r="K664" s="827">
        <v>-99</v>
      </c>
      <c r="L664" s="37"/>
      <c r="M664" s="763">
        <v>-2</v>
      </c>
      <c r="N664" s="763">
        <v>-18</v>
      </c>
      <c r="O664" s="22">
        <f>P664</f>
        <v>-47</v>
      </c>
      <c r="P664" s="827">
        <v>-47</v>
      </c>
      <c r="Q664" s="37"/>
      <c r="R664" s="763">
        <v>-26</v>
      </c>
      <c r="S664" s="763">
        <v>-122</v>
      </c>
      <c r="T664" s="22">
        <f>U664</f>
        <v>-128</v>
      </c>
      <c r="U664" s="827">
        <v>-128</v>
      </c>
      <c r="V664" s="37"/>
      <c r="W664" s="763">
        <v>-24</v>
      </c>
      <c r="X664" s="763">
        <v>-57</v>
      </c>
      <c r="Y664" s="22">
        <f>Z664</f>
        <v>-63</v>
      </c>
      <c r="Z664" s="827">
        <v>-63</v>
      </c>
      <c r="AA664" s="763">
        <v>0</v>
      </c>
      <c r="AB664" s="763">
        <v>-41</v>
      </c>
      <c r="AC664" s="763">
        <v>-66</v>
      </c>
      <c r="AD664" s="22">
        <f>AE664</f>
        <v>-78</v>
      </c>
      <c r="AE664" s="827">
        <v>-78</v>
      </c>
      <c r="AF664" s="763">
        <v>-11</v>
      </c>
      <c r="AG664" s="763">
        <v>-55</v>
      </c>
      <c r="AH664" s="763">
        <v>-87</v>
      </c>
      <c r="AI664" s="22">
        <f t="shared" si="1402"/>
        <v>-91</v>
      </c>
      <c r="AJ664" s="827">
        <v>-91</v>
      </c>
      <c r="AK664" s="763">
        <v>-6</v>
      </c>
      <c r="AL664" s="763">
        <v>-8</v>
      </c>
      <c r="AM664" s="763">
        <v>-16</v>
      </c>
      <c r="AN664" s="22">
        <f t="shared" si="1403"/>
        <v>-18</v>
      </c>
      <c r="AO664" s="827">
        <v>-18</v>
      </c>
      <c r="AP664" s="763">
        <v>-5</v>
      </c>
      <c r="AQ664" s="763">
        <v>-10</v>
      </c>
      <c r="AR664" s="763">
        <v>-10</v>
      </c>
      <c r="AS664" s="22">
        <f t="shared" si="1404"/>
        <v>-24</v>
      </c>
      <c r="AT664" s="827">
        <v>-24</v>
      </c>
      <c r="AU664" s="763">
        <v>-11</v>
      </c>
      <c r="AV664" s="763">
        <v>-26</v>
      </c>
      <c r="AW664" s="763">
        <v>-34</v>
      </c>
      <c r="AX664" s="37">
        <f t="shared" si="1405"/>
        <v>-36</v>
      </c>
      <c r="AY664" s="827">
        <v>-36</v>
      </c>
      <c r="AZ664" s="763">
        <v>-5</v>
      </c>
      <c r="BA664" s="763">
        <v>-36</v>
      </c>
      <c r="BB664" s="763">
        <v>-103</v>
      </c>
      <c r="BC664" s="37">
        <f t="shared" si="1406"/>
        <v>-114</v>
      </c>
      <c r="BD664" s="827">
        <v>-114</v>
      </c>
      <c r="BE664" s="763">
        <v>-9</v>
      </c>
      <c r="BF664" s="763">
        <v>-3</v>
      </c>
      <c r="BG664" s="763">
        <v>-44</v>
      </c>
      <c r="BH664" s="22">
        <f t="shared" si="1407"/>
        <v>-40</v>
      </c>
      <c r="BI664" s="827">
        <v>-40</v>
      </c>
      <c r="BJ664" s="763">
        <v>4</v>
      </c>
      <c r="BK664" s="763">
        <v>2</v>
      </c>
      <c r="BL664" s="763">
        <v>-197</v>
      </c>
      <c r="BM664" s="37">
        <f t="shared" si="1408"/>
        <v>-195</v>
      </c>
      <c r="BN664" s="827">
        <v>-195</v>
      </c>
      <c r="BO664" s="763">
        <v>-11</v>
      </c>
      <c r="BP664" s="763">
        <v>-30</v>
      </c>
      <c r="BQ664" s="763">
        <v>-220</v>
      </c>
      <c r="BR664" s="37">
        <f t="shared" si="1409"/>
        <v>-323</v>
      </c>
      <c r="BS664" s="827">
        <v>-323</v>
      </c>
      <c r="BT664" s="764">
        <v>-152</v>
      </c>
      <c r="BU664" s="37"/>
      <c r="BV664" s="37"/>
      <c r="BW664" s="37"/>
      <c r="BX664" s="821"/>
      <c r="BY664" s="37"/>
      <c r="BZ664" s="37"/>
      <c r="CA664" s="37"/>
      <c r="CB664" s="37"/>
      <c r="CC664" s="821"/>
      <c r="CD664" s="821"/>
      <c r="CE664" s="821"/>
      <c r="CF664" s="821"/>
      <c r="CG664" s="22"/>
    </row>
    <row r="665" spans="1:85" s="428" customFormat="1" hidden="1" outlineLevel="1" x14ac:dyDescent="0.3">
      <c r="A665" s="40" t="s">
        <v>279</v>
      </c>
      <c r="B665" s="109"/>
      <c r="C665" s="821"/>
      <c r="D665" s="821"/>
      <c r="E665" s="821"/>
      <c r="F665" s="821"/>
      <c r="G665" s="37"/>
      <c r="H665" s="37"/>
      <c r="I665" s="37"/>
      <c r="J665" s="37"/>
      <c r="K665" s="821"/>
      <c r="L665" s="37"/>
      <c r="M665" s="37"/>
      <c r="N665" s="37"/>
      <c r="O665" s="37"/>
      <c r="P665" s="821"/>
      <c r="Q665" s="37"/>
      <c r="R665" s="37"/>
      <c r="S665" s="37"/>
      <c r="T665" s="37"/>
      <c r="U665" s="821"/>
      <c r="V665" s="37"/>
      <c r="W665" s="37"/>
      <c r="X665" s="37"/>
      <c r="Y665" s="37"/>
      <c r="Z665" s="821"/>
      <c r="AA665" s="37"/>
      <c r="AB665" s="37"/>
      <c r="AC665" s="37"/>
      <c r="AD665" s="37"/>
      <c r="AE665" s="821"/>
      <c r="AF665" s="37"/>
      <c r="AG665" s="37"/>
      <c r="AH665" s="37"/>
      <c r="AI665" s="22">
        <f t="shared" si="1402"/>
        <v>0</v>
      </c>
      <c r="AJ665" s="827">
        <v>0</v>
      </c>
      <c r="AK665" s="763">
        <v>0</v>
      </c>
      <c r="AL665" s="37"/>
      <c r="AM665" s="37"/>
      <c r="AN665" s="22">
        <f t="shared" si="1403"/>
        <v>0</v>
      </c>
      <c r="AO665" s="821"/>
      <c r="AP665" s="37"/>
      <c r="AQ665" s="37"/>
      <c r="AR665" s="37"/>
      <c r="AS665" s="22">
        <f t="shared" si="1404"/>
        <v>0</v>
      </c>
      <c r="AT665" s="821"/>
      <c r="AU665" s="37"/>
      <c r="AV665" s="37"/>
      <c r="AW665" s="37"/>
      <c r="AX665" s="37">
        <f t="shared" si="1405"/>
        <v>0</v>
      </c>
      <c r="AY665" s="821"/>
      <c r="AZ665" s="37"/>
      <c r="BA665" s="37"/>
      <c r="BB665" s="37"/>
      <c r="BC665" s="37">
        <f t="shared" si="1406"/>
        <v>0</v>
      </c>
      <c r="BD665" s="821"/>
      <c r="BE665" s="37"/>
      <c r="BF665" s="37"/>
      <c r="BG665" s="37"/>
      <c r="BH665" s="22">
        <f t="shared" si="1407"/>
        <v>0</v>
      </c>
      <c r="BI665" s="821"/>
      <c r="BJ665" s="37"/>
      <c r="BK665" s="37"/>
      <c r="BL665" s="37"/>
      <c r="BM665" s="37">
        <f t="shared" si="1408"/>
        <v>0</v>
      </c>
      <c r="BN665" s="821"/>
      <c r="BO665" s="37"/>
      <c r="BP665" s="37"/>
      <c r="BQ665" s="37"/>
      <c r="BR665" s="37">
        <f t="shared" si="1409"/>
        <v>0</v>
      </c>
      <c r="BS665" s="821"/>
      <c r="BT665" s="480"/>
      <c r="BU665" s="37"/>
      <c r="BV665" s="37"/>
      <c r="BW665" s="37"/>
      <c r="BX665" s="821"/>
      <c r="BY665" s="37"/>
      <c r="BZ665" s="37"/>
      <c r="CA665" s="37"/>
      <c r="CB665" s="37"/>
      <c r="CC665" s="821"/>
      <c r="CD665" s="821"/>
      <c r="CE665" s="821"/>
      <c r="CF665" s="821"/>
      <c r="CG665" s="22"/>
    </row>
    <row r="666" spans="1:85" s="428" customFormat="1" hidden="1" outlineLevel="1" x14ac:dyDescent="0.3">
      <c r="A666" s="40" t="s">
        <v>689</v>
      </c>
      <c r="B666" s="109"/>
      <c r="C666" s="821"/>
      <c r="D666" s="821"/>
      <c r="E666" s="821"/>
      <c r="F666" s="821"/>
      <c r="G666" s="37"/>
      <c r="H666" s="37"/>
      <c r="I666" s="37"/>
      <c r="J666" s="37"/>
      <c r="K666" s="821"/>
      <c r="L666" s="37"/>
      <c r="M666" s="37"/>
      <c r="N666" s="37"/>
      <c r="O666" s="37"/>
      <c r="P666" s="821"/>
      <c r="Q666" s="37"/>
      <c r="R666" s="37"/>
      <c r="S666" s="37"/>
      <c r="T666" s="37"/>
      <c r="U666" s="821"/>
      <c r="V666" s="37"/>
      <c r="W666" s="37"/>
      <c r="X666" s="37"/>
      <c r="Y666" s="37"/>
      <c r="Z666" s="821"/>
      <c r="AA666" s="37"/>
      <c r="AB666" s="37"/>
      <c r="AC666" s="37"/>
      <c r="AD666" s="37"/>
      <c r="AE666" s="821"/>
      <c r="AF666" s="37"/>
      <c r="AG666" s="37"/>
      <c r="AH666" s="37"/>
      <c r="AI666" s="37"/>
      <c r="AJ666" s="821"/>
      <c r="AK666" s="37"/>
      <c r="AL666" s="37"/>
      <c r="AM666" s="37"/>
      <c r="AN666" s="37"/>
      <c r="AO666" s="821"/>
      <c r="AP666" s="37"/>
      <c r="AQ666" s="37"/>
      <c r="AR666" s="37"/>
      <c r="AS666" s="37"/>
      <c r="AT666" s="821"/>
      <c r="AU666" s="37"/>
      <c r="AV666" s="37"/>
      <c r="AW666" s="37"/>
      <c r="AX666" s="37"/>
      <c r="AY666" s="821"/>
      <c r="AZ666" s="37"/>
      <c r="BA666" s="37"/>
      <c r="BB666" s="37"/>
      <c r="BC666" s="37"/>
      <c r="BD666" s="821"/>
      <c r="BE666" s="37"/>
      <c r="BF666" s="37"/>
      <c r="BG666" s="37"/>
      <c r="BH666" s="37"/>
      <c r="BI666" s="821"/>
      <c r="BJ666" s="37"/>
      <c r="BK666" s="37"/>
      <c r="BL666" s="37"/>
      <c r="BM666" s="37"/>
      <c r="BN666" s="821"/>
      <c r="BO666" s="37"/>
      <c r="BP666" s="37"/>
      <c r="BQ666" s="37"/>
      <c r="BR666" s="37"/>
      <c r="BS666" s="821"/>
      <c r="BT666" s="480"/>
      <c r="BU666" s="37"/>
      <c r="BV666" s="37"/>
      <c r="BW666" s="37"/>
      <c r="BX666" s="821"/>
      <c r="BY666" s="37"/>
      <c r="BZ666" s="37"/>
      <c r="CA666" s="37"/>
      <c r="CB666" s="37"/>
      <c r="CC666" s="821"/>
      <c r="CD666" s="821"/>
      <c r="CE666" s="821"/>
      <c r="CF666" s="821"/>
      <c r="CG666" s="22"/>
    </row>
    <row r="667" spans="1:85" s="428" customFormat="1" hidden="1" outlineLevel="1" x14ac:dyDescent="0.3">
      <c r="A667" s="40" t="s">
        <v>280</v>
      </c>
      <c r="B667" s="109"/>
      <c r="C667" s="827">
        <v>168</v>
      </c>
      <c r="D667" s="827">
        <v>-306</v>
      </c>
      <c r="E667" s="827">
        <v>-3193</v>
      </c>
      <c r="F667" s="827">
        <v>-4142</v>
      </c>
      <c r="G667" s="763">
        <v>-1027</v>
      </c>
      <c r="H667" s="763">
        <v>-2028</v>
      </c>
      <c r="I667" s="763">
        <v>-3306</v>
      </c>
      <c r="J667" s="22">
        <f>K667</f>
        <v>-4494</v>
      </c>
      <c r="K667" s="827">
        <v>-4494</v>
      </c>
      <c r="L667" s="763">
        <v>-1190</v>
      </c>
      <c r="M667" s="763">
        <v>-2019</v>
      </c>
      <c r="N667" s="763">
        <v>-3174</v>
      </c>
      <c r="O667" s="22">
        <f>P667</f>
        <v>-4412</v>
      </c>
      <c r="P667" s="827">
        <v>-4412</v>
      </c>
      <c r="Q667" s="763">
        <v>55</v>
      </c>
      <c r="R667" s="763">
        <v>138</v>
      </c>
      <c r="S667" s="763">
        <v>158</v>
      </c>
      <c r="T667" s="22">
        <f>U667</f>
        <v>211</v>
      </c>
      <c r="U667" s="827">
        <v>211</v>
      </c>
      <c r="V667" s="763">
        <v>123</v>
      </c>
      <c r="W667" s="763">
        <v>262</v>
      </c>
      <c r="X667" s="763">
        <v>359</v>
      </c>
      <c r="Y667" s="22">
        <f>Z667</f>
        <v>650</v>
      </c>
      <c r="Z667" s="827">
        <v>650</v>
      </c>
      <c r="AA667" s="763">
        <v>245</v>
      </c>
      <c r="AB667" s="763">
        <v>279</v>
      </c>
      <c r="AC667" s="763">
        <v>649</v>
      </c>
      <c r="AD667" s="22">
        <f>AE667</f>
        <v>1117</v>
      </c>
      <c r="AE667" s="827">
        <v>1117</v>
      </c>
      <c r="AF667" s="763">
        <v>566</v>
      </c>
      <c r="AG667" s="763">
        <v>1008</v>
      </c>
      <c r="AH667" s="763">
        <v>337</v>
      </c>
      <c r="AI667" s="22">
        <f>AJ667</f>
        <v>-604</v>
      </c>
      <c r="AJ667" s="827">
        <v>-604</v>
      </c>
      <c r="AK667" s="763">
        <v>-15</v>
      </c>
      <c r="AL667" s="763">
        <v>-840</v>
      </c>
      <c r="AM667" s="763">
        <v>-1845</v>
      </c>
      <c r="AN667" s="22">
        <f>AO667</f>
        <v>-2935</v>
      </c>
      <c r="AO667" s="827">
        <v>-2935</v>
      </c>
      <c r="AP667" s="763">
        <v>-1573</v>
      </c>
      <c r="AQ667" s="763">
        <v>-1550</v>
      </c>
      <c r="AR667" s="763">
        <v>-1545</v>
      </c>
      <c r="AS667" s="22">
        <f>AT667</f>
        <v>-1531</v>
      </c>
      <c r="AT667" s="827">
        <v>-1531</v>
      </c>
      <c r="AU667" s="763">
        <v>267</v>
      </c>
      <c r="AV667" s="763">
        <v>373</v>
      </c>
      <c r="AW667" s="763">
        <v>-245</v>
      </c>
      <c r="AX667" s="37">
        <f>AY667</f>
        <v>38</v>
      </c>
      <c r="AY667" s="827">
        <v>38</v>
      </c>
      <c r="AZ667" s="763">
        <v>3386</v>
      </c>
      <c r="BA667" s="763">
        <v>1697</v>
      </c>
      <c r="BB667" s="763">
        <v>-2000</v>
      </c>
      <c r="BC667" s="37">
        <f>BD667</f>
        <v>-5417</v>
      </c>
      <c r="BD667" s="827">
        <v>-5417</v>
      </c>
      <c r="BE667" s="763">
        <v>-3607</v>
      </c>
      <c r="BF667" s="763">
        <v>-7947</v>
      </c>
      <c r="BG667" s="763">
        <v>-11281</v>
      </c>
      <c r="BH667" s="22">
        <f>BI667</f>
        <v>-14678</v>
      </c>
      <c r="BI667" s="827">
        <v>-14678</v>
      </c>
      <c r="BJ667" s="763">
        <v>-2891</v>
      </c>
      <c r="BK667" s="763">
        <v>-5821</v>
      </c>
      <c r="BL667" s="763">
        <v>-10535</v>
      </c>
      <c r="BM667" s="37">
        <f>BN667</f>
        <v>-15044</v>
      </c>
      <c r="BN667" s="827">
        <v>-15044</v>
      </c>
      <c r="BO667" s="763">
        <v>-3699</v>
      </c>
      <c r="BP667" s="763">
        <v>-6432</v>
      </c>
      <c r="BQ667" s="763">
        <v>-8914</v>
      </c>
      <c r="BR667" s="37">
        <f>BS667</f>
        <v>-11855</v>
      </c>
      <c r="BS667" s="827">
        <v>-11855</v>
      </c>
      <c r="BT667" s="764">
        <v>-1412</v>
      </c>
      <c r="BU667" s="37"/>
      <c r="BV667" s="37"/>
      <c r="BW667" s="37"/>
      <c r="BX667" s="821"/>
      <c r="BY667" s="37"/>
      <c r="BZ667" s="37"/>
      <c r="CA667" s="37"/>
      <c r="CB667" s="37"/>
      <c r="CC667" s="821"/>
      <c r="CD667" s="821"/>
      <c r="CE667" s="821"/>
      <c r="CF667" s="821"/>
      <c r="CG667" s="22"/>
    </row>
    <row r="668" spans="1:85" s="429" customFormat="1" hidden="1" outlineLevel="1" x14ac:dyDescent="0.3">
      <c r="A668" s="41" t="s">
        <v>281</v>
      </c>
      <c r="B668" s="99"/>
      <c r="C668" s="824">
        <f t="shared" ref="C668:AH668" si="1410">SUM(C660:C667)</f>
        <v>-3546</v>
      </c>
      <c r="D668" s="824">
        <f t="shared" si="1410"/>
        <v>-5165</v>
      </c>
      <c r="E668" s="824">
        <f t="shared" si="1410"/>
        <v>-11769</v>
      </c>
      <c r="F668" s="824">
        <f t="shared" si="1410"/>
        <v>-8980</v>
      </c>
      <c r="G668" s="394">
        <f t="shared" si="1410"/>
        <v>-805</v>
      </c>
      <c r="H668" s="394">
        <f t="shared" si="1410"/>
        <v>2036</v>
      </c>
      <c r="I668" s="394">
        <f t="shared" si="1410"/>
        <v>-2558</v>
      </c>
      <c r="J668" s="394">
        <f t="shared" si="1410"/>
        <v>-3821</v>
      </c>
      <c r="K668" s="824">
        <f t="shared" si="1410"/>
        <v>-3821</v>
      </c>
      <c r="L668" s="394">
        <f t="shared" si="1410"/>
        <v>-461</v>
      </c>
      <c r="M668" s="394">
        <f t="shared" si="1410"/>
        <v>-2832</v>
      </c>
      <c r="N668" s="394">
        <f t="shared" si="1410"/>
        <v>-3851</v>
      </c>
      <c r="O668" s="394">
        <f t="shared" si="1410"/>
        <v>-4999</v>
      </c>
      <c r="P668" s="824">
        <f t="shared" si="1410"/>
        <v>-4999</v>
      </c>
      <c r="Q668" s="394">
        <f t="shared" si="1410"/>
        <v>4160</v>
      </c>
      <c r="R668" s="394">
        <f t="shared" si="1410"/>
        <v>172</v>
      </c>
      <c r="S668" s="394">
        <f t="shared" si="1410"/>
        <v>2059</v>
      </c>
      <c r="T668" s="394">
        <f t="shared" si="1410"/>
        <v>2815</v>
      </c>
      <c r="U668" s="824">
        <f t="shared" si="1410"/>
        <v>2815</v>
      </c>
      <c r="V668" s="394">
        <f t="shared" si="1410"/>
        <v>1911</v>
      </c>
      <c r="W668" s="394">
        <f t="shared" si="1410"/>
        <v>2741</v>
      </c>
      <c r="X668" s="394">
        <f t="shared" si="1410"/>
        <v>1276</v>
      </c>
      <c r="Y668" s="394">
        <f t="shared" si="1410"/>
        <v>25</v>
      </c>
      <c r="Z668" s="824">
        <f t="shared" si="1410"/>
        <v>25</v>
      </c>
      <c r="AA668" s="393">
        <f t="shared" si="1410"/>
        <v>-2684</v>
      </c>
      <c r="AB668" s="394">
        <f t="shared" si="1410"/>
        <v>-7135</v>
      </c>
      <c r="AC668" s="394">
        <f t="shared" si="1410"/>
        <v>-9732</v>
      </c>
      <c r="AD668" s="394">
        <f t="shared" si="1410"/>
        <v>-14554</v>
      </c>
      <c r="AE668" s="824">
        <f t="shared" si="1410"/>
        <v>-14554</v>
      </c>
      <c r="AF668" s="393">
        <f t="shared" si="1410"/>
        <v>-613</v>
      </c>
      <c r="AG668" s="394">
        <f t="shared" si="1410"/>
        <v>-3667</v>
      </c>
      <c r="AH668" s="394">
        <f t="shared" si="1410"/>
        <v>-8943</v>
      </c>
      <c r="AI668" s="394">
        <f t="shared" ref="AI668:BN668" si="1411">SUM(AI660:AI667)</f>
        <v>-13699</v>
      </c>
      <c r="AJ668" s="824">
        <f t="shared" si="1411"/>
        <v>-13699</v>
      </c>
      <c r="AK668" s="393">
        <f t="shared" si="1411"/>
        <v>-3835</v>
      </c>
      <c r="AL668" s="394">
        <f t="shared" si="1411"/>
        <v>-9394</v>
      </c>
      <c r="AM668" s="394">
        <f t="shared" si="1411"/>
        <v>-10487</v>
      </c>
      <c r="AN668" s="394">
        <f t="shared" si="1411"/>
        <v>-19758</v>
      </c>
      <c r="AO668" s="824">
        <f t="shared" si="1411"/>
        <v>-19758</v>
      </c>
      <c r="AP668" s="393">
        <f t="shared" si="1411"/>
        <v>1378</v>
      </c>
      <c r="AQ668" s="394">
        <f t="shared" si="1411"/>
        <v>645</v>
      </c>
      <c r="AR668" s="394">
        <f t="shared" si="1411"/>
        <v>-1051</v>
      </c>
      <c r="AS668" s="394">
        <f t="shared" si="1411"/>
        <v>-3736</v>
      </c>
      <c r="AT668" s="824">
        <f t="shared" si="1411"/>
        <v>-3736</v>
      </c>
      <c r="AU668" s="393">
        <f t="shared" si="1411"/>
        <v>-1053</v>
      </c>
      <c r="AV668" s="394">
        <f t="shared" si="1411"/>
        <v>-5998</v>
      </c>
      <c r="AW668" s="394">
        <f t="shared" si="1411"/>
        <v>-14823</v>
      </c>
      <c r="AX668" s="393">
        <f t="shared" si="1411"/>
        <v>-23113</v>
      </c>
      <c r="AY668" s="823">
        <f t="shared" si="1411"/>
        <v>-23113</v>
      </c>
      <c r="AZ668" s="393">
        <f t="shared" si="1411"/>
        <v>-1366</v>
      </c>
      <c r="BA668" s="394">
        <f t="shared" si="1411"/>
        <v>-9504</v>
      </c>
      <c r="BB668" s="393">
        <f t="shared" si="1411"/>
        <v>-18529</v>
      </c>
      <c r="BC668" s="393">
        <f t="shared" si="1411"/>
        <v>-24978</v>
      </c>
      <c r="BD668" s="823">
        <f t="shared" si="1411"/>
        <v>-24978</v>
      </c>
      <c r="BE668" s="393">
        <f t="shared" si="1411"/>
        <v>-6573</v>
      </c>
      <c r="BF668" s="393">
        <f t="shared" si="1411"/>
        <v>-15321</v>
      </c>
      <c r="BG668" s="393">
        <f t="shared" si="1411"/>
        <v>-23942</v>
      </c>
      <c r="BH668" s="394">
        <f t="shared" si="1411"/>
        <v>-30109</v>
      </c>
      <c r="BI668" s="824">
        <f t="shared" si="1411"/>
        <v>-30109</v>
      </c>
      <c r="BJ668" s="393">
        <f t="shared" si="1411"/>
        <v>-4863</v>
      </c>
      <c r="BK668" s="393">
        <f t="shared" si="1411"/>
        <v>-9428</v>
      </c>
      <c r="BL668" s="393">
        <f t="shared" si="1411"/>
        <v>-14690</v>
      </c>
      <c r="BM668" s="393">
        <f t="shared" si="1411"/>
        <v>-23472</v>
      </c>
      <c r="BN668" s="823">
        <f t="shared" si="1411"/>
        <v>-23472</v>
      </c>
      <c r="BO668" s="393">
        <f t="shared" ref="BO668:BT668" si="1412">SUM(BO660:BO667)</f>
        <v>-1664</v>
      </c>
      <c r="BP668" s="393">
        <f t="shared" si="1412"/>
        <v>-7649</v>
      </c>
      <c r="BQ668" s="393">
        <f t="shared" si="1412"/>
        <v>-11691</v>
      </c>
      <c r="BR668" s="393">
        <f t="shared" si="1412"/>
        <v>-19063</v>
      </c>
      <c r="BS668" s="823">
        <f t="shared" si="1412"/>
        <v>-19063</v>
      </c>
      <c r="BT668" s="641">
        <f t="shared" si="1412"/>
        <v>-448</v>
      </c>
      <c r="BU668" s="393"/>
      <c r="BV668" s="393"/>
      <c r="BW668" s="393"/>
      <c r="BX668" s="823"/>
      <c r="BY668" s="393"/>
      <c r="BZ668" s="393"/>
      <c r="CA668" s="393"/>
      <c r="CB668" s="393"/>
      <c r="CC668" s="823"/>
      <c r="CD668" s="823"/>
      <c r="CE668" s="823"/>
      <c r="CF668" s="823"/>
      <c r="CG668" s="26"/>
    </row>
    <row r="669" spans="1:85" s="429" customFormat="1" hidden="1" outlineLevel="1" x14ac:dyDescent="0.3">
      <c r="A669" s="48"/>
      <c r="B669" s="58"/>
      <c r="C669" s="825"/>
      <c r="D669" s="825"/>
      <c r="E669" s="825"/>
      <c r="F669" s="825"/>
      <c r="G669" s="31"/>
      <c r="H669" s="31"/>
      <c r="I669" s="31"/>
      <c r="J669" s="31"/>
      <c r="K669" s="825"/>
      <c r="L669" s="31"/>
      <c r="M669" s="31"/>
      <c r="N669" s="31"/>
      <c r="O669" s="31"/>
      <c r="P669" s="825"/>
      <c r="Q669" s="31"/>
      <c r="R669" s="31"/>
      <c r="S669" s="31"/>
      <c r="T669" s="31"/>
      <c r="U669" s="825"/>
      <c r="V669" s="31"/>
      <c r="W669" s="31"/>
      <c r="X669" s="31"/>
      <c r="Y669" s="31"/>
      <c r="Z669" s="825"/>
      <c r="AA669" s="31"/>
      <c r="AB669" s="31"/>
      <c r="AC669" s="31"/>
      <c r="AD669" s="31"/>
      <c r="AE669" s="825"/>
      <c r="AF669" s="31"/>
      <c r="AG669" s="31"/>
      <c r="AH669" s="31"/>
      <c r="AI669" s="31"/>
      <c r="AJ669" s="825"/>
      <c r="AK669" s="31"/>
      <c r="AL669" s="31"/>
      <c r="AM669" s="31"/>
      <c r="AN669" s="31"/>
      <c r="AO669" s="825"/>
      <c r="AP669" s="31"/>
      <c r="AQ669" s="31"/>
      <c r="AR669" s="31"/>
      <c r="AS669" s="31"/>
      <c r="AT669" s="825"/>
      <c r="AU669" s="31"/>
      <c r="AV669" s="31"/>
      <c r="AW669" s="31"/>
      <c r="AX669" s="31"/>
      <c r="AY669" s="825"/>
      <c r="AZ669" s="31"/>
      <c r="BA669" s="31"/>
      <c r="BB669" s="31"/>
      <c r="BC669" s="31"/>
      <c r="BD669" s="825"/>
      <c r="BE669" s="31"/>
      <c r="BF669" s="31"/>
      <c r="BG669" s="31"/>
      <c r="BH669" s="31"/>
      <c r="BI669" s="825"/>
      <c r="BJ669" s="31"/>
      <c r="BK669" s="31"/>
      <c r="BL669" s="31"/>
      <c r="BM669" s="31"/>
      <c r="BN669" s="825"/>
      <c r="BO669" s="31"/>
      <c r="BP669" s="31"/>
      <c r="BQ669" s="31"/>
      <c r="BR669" s="31"/>
      <c r="BS669" s="825"/>
      <c r="BT669" s="379"/>
      <c r="BU669" s="31"/>
      <c r="BV669" s="31"/>
      <c r="BW669" s="31"/>
      <c r="BX669" s="825"/>
      <c r="BY669" s="31"/>
      <c r="BZ669" s="31"/>
      <c r="CA669" s="31"/>
      <c r="CB669" s="31"/>
      <c r="CC669" s="825"/>
      <c r="CD669" s="825"/>
      <c r="CE669" s="825"/>
      <c r="CF669" s="825"/>
      <c r="CG669" s="26"/>
    </row>
    <row r="670" spans="1:85" s="429" customFormat="1" hidden="1" outlineLevel="1" x14ac:dyDescent="0.3">
      <c r="A670" s="53" t="s">
        <v>282</v>
      </c>
      <c r="B670" s="58"/>
      <c r="C670" s="851">
        <v>114</v>
      </c>
      <c r="D670" s="851">
        <v>70</v>
      </c>
      <c r="E670" s="851">
        <v>-33</v>
      </c>
      <c r="F670" s="851">
        <v>39</v>
      </c>
      <c r="G670" s="770">
        <v>-15</v>
      </c>
      <c r="H670" s="770">
        <v>-108</v>
      </c>
      <c r="I670" s="770">
        <v>-139</v>
      </c>
      <c r="J670" s="26">
        <f>K670</f>
        <v>-266</v>
      </c>
      <c r="K670" s="851">
        <v>-266</v>
      </c>
      <c r="L670" s="770">
        <v>-9</v>
      </c>
      <c r="M670" s="770">
        <v>26</v>
      </c>
      <c r="N670" s="770">
        <v>-6</v>
      </c>
      <c r="O670" s="26">
        <f>P670</f>
        <v>-43</v>
      </c>
      <c r="P670" s="851">
        <v>-43</v>
      </c>
      <c r="Q670" s="770">
        <v>17</v>
      </c>
      <c r="R670" s="770">
        <v>-19</v>
      </c>
      <c r="S670" s="770">
        <v>-210</v>
      </c>
      <c r="T670" s="26">
        <f>U670</f>
        <v>-226</v>
      </c>
      <c r="U670" s="851">
        <v>-226</v>
      </c>
      <c r="V670" s="770">
        <v>-3</v>
      </c>
      <c r="W670" s="770">
        <v>-5</v>
      </c>
      <c r="X670" s="770">
        <v>-1</v>
      </c>
      <c r="Y670" s="26">
        <f>Z670</f>
        <v>-53</v>
      </c>
      <c r="Z670" s="851">
        <v>-53</v>
      </c>
      <c r="AA670" s="770">
        <v>39</v>
      </c>
      <c r="AB670" s="770">
        <v>40</v>
      </c>
      <c r="AC670" s="770">
        <v>62</v>
      </c>
      <c r="AD670" s="26">
        <f>AE670</f>
        <v>65</v>
      </c>
      <c r="AE670" s="851">
        <v>65</v>
      </c>
      <c r="AF670" s="770">
        <v>33</v>
      </c>
      <c r="AG670" s="770">
        <v>-45</v>
      </c>
      <c r="AH670" s="770">
        <v>-68</v>
      </c>
      <c r="AI670" s="26">
        <f>AJ670</f>
        <v>-91</v>
      </c>
      <c r="AJ670" s="851">
        <v>-91</v>
      </c>
      <c r="AK670" s="770">
        <v>20</v>
      </c>
      <c r="AL670" s="770">
        <v>32</v>
      </c>
      <c r="AM670" s="770">
        <v>5</v>
      </c>
      <c r="AN670" s="26">
        <f>AO670</f>
        <v>332</v>
      </c>
      <c r="AO670" s="851">
        <v>332</v>
      </c>
      <c r="AP670" s="770">
        <v>-163</v>
      </c>
      <c r="AQ670" s="770">
        <v>-131</v>
      </c>
      <c r="AR670" s="770">
        <v>-133</v>
      </c>
      <c r="AS670" s="26">
        <f>AT670</f>
        <v>-50</v>
      </c>
      <c r="AT670" s="851">
        <v>-50</v>
      </c>
      <c r="AU670" s="770">
        <v>-53</v>
      </c>
      <c r="AV670" s="770">
        <v>-66</v>
      </c>
      <c r="AW670" s="770">
        <v>-142</v>
      </c>
      <c r="AX670" s="31">
        <f>AY670</f>
        <v>-151</v>
      </c>
      <c r="AY670" s="851">
        <v>-151</v>
      </c>
      <c r="AZ670" s="770">
        <v>-13</v>
      </c>
      <c r="BA670" s="770">
        <v>-143</v>
      </c>
      <c r="BB670" s="770">
        <v>-277</v>
      </c>
      <c r="BC670" s="31">
        <f>BD670</f>
        <v>-190</v>
      </c>
      <c r="BD670" s="851">
        <v>-190</v>
      </c>
      <c r="BE670" s="770">
        <v>-47</v>
      </c>
      <c r="BF670" s="770">
        <v>-151</v>
      </c>
      <c r="BG670" s="770">
        <v>-187</v>
      </c>
      <c r="BH670" s="26">
        <f>BI670</f>
        <v>-114</v>
      </c>
      <c r="BI670" s="851">
        <v>-114</v>
      </c>
      <c r="BJ670" s="770">
        <v>-72</v>
      </c>
      <c r="BK670" s="770">
        <v>-95</v>
      </c>
      <c r="BL670" s="770">
        <v>-12</v>
      </c>
      <c r="BM670" s="31">
        <f>BN670</f>
        <v>-97</v>
      </c>
      <c r="BN670" s="851">
        <v>-97</v>
      </c>
      <c r="BO670" s="770">
        <v>-3</v>
      </c>
      <c r="BP670" s="770">
        <v>47</v>
      </c>
      <c r="BQ670" s="770">
        <v>41</v>
      </c>
      <c r="BR670" s="31">
        <f>BS670</f>
        <v>58</v>
      </c>
      <c r="BS670" s="851">
        <v>58</v>
      </c>
      <c r="BT670" s="776">
        <v>-23</v>
      </c>
      <c r="BU670" s="31"/>
      <c r="BV670" s="31"/>
      <c r="BW670" s="31"/>
      <c r="BX670" s="825"/>
      <c r="BY670" s="31"/>
      <c r="BZ670" s="31"/>
      <c r="CA670" s="31"/>
      <c r="CB670" s="31"/>
      <c r="CC670" s="825"/>
      <c r="CD670" s="825"/>
      <c r="CE670" s="825"/>
      <c r="CF670" s="825"/>
      <c r="CG670" s="26"/>
    </row>
    <row r="671" spans="1:85" s="429" customFormat="1" hidden="1" outlineLevel="1" x14ac:dyDescent="0.3">
      <c r="A671" s="53" t="s">
        <v>283</v>
      </c>
      <c r="B671" s="58"/>
      <c r="C671" s="826">
        <f t="shared" ref="C671:AH671" si="1413">C668+C657+C645+C670</f>
        <v>-631</v>
      </c>
      <c r="D671" s="826">
        <f t="shared" si="1413"/>
        <v>5344</v>
      </c>
      <c r="E671" s="826">
        <f t="shared" si="1413"/>
        <v>1804</v>
      </c>
      <c r="F671" s="826">
        <f t="shared" si="1413"/>
        <v>5075</v>
      </c>
      <c r="G671" s="26">
        <f t="shared" si="1413"/>
        <v>-3565</v>
      </c>
      <c r="H671" s="26">
        <f t="shared" si="1413"/>
        <v>-309</v>
      </c>
      <c r="I671" s="26">
        <f t="shared" si="1413"/>
        <v>-3925</v>
      </c>
      <c r="J671" s="26">
        <f t="shared" si="1413"/>
        <v>-4694</v>
      </c>
      <c r="K671" s="826">
        <f t="shared" si="1413"/>
        <v>-4694</v>
      </c>
      <c r="L671" s="26">
        <f t="shared" si="1413"/>
        <v>-633</v>
      </c>
      <c r="M671" s="26">
        <f t="shared" si="1413"/>
        <v>-2286</v>
      </c>
      <c r="N671" s="26">
        <f t="shared" si="1413"/>
        <v>-2030</v>
      </c>
      <c r="O671" s="26">
        <f t="shared" si="1413"/>
        <v>-3460</v>
      </c>
      <c r="P671" s="826">
        <f t="shared" si="1413"/>
        <v>-3460</v>
      </c>
      <c r="Q671" s="26">
        <f t="shared" si="1413"/>
        <v>-110</v>
      </c>
      <c r="R671" s="26">
        <f t="shared" si="1413"/>
        <v>-629</v>
      </c>
      <c r="S671" s="26">
        <f t="shared" si="1413"/>
        <v>148</v>
      </c>
      <c r="T671" s="26">
        <f t="shared" si="1413"/>
        <v>-1763</v>
      </c>
      <c r="U671" s="826">
        <f t="shared" si="1413"/>
        <v>-1763</v>
      </c>
      <c r="V671" s="26">
        <f t="shared" si="1413"/>
        <v>-2460</v>
      </c>
      <c r="W671" s="26">
        <f t="shared" si="1413"/>
        <v>-2258</v>
      </c>
      <c r="X671" s="26">
        <f t="shared" si="1413"/>
        <v>-3671</v>
      </c>
      <c r="Y671" s="26">
        <f t="shared" si="1413"/>
        <v>-4034</v>
      </c>
      <c r="Z671" s="826">
        <f t="shared" si="1413"/>
        <v>-4034</v>
      </c>
      <c r="AA671" s="31">
        <f t="shared" si="1413"/>
        <v>-5</v>
      </c>
      <c r="AB671" s="26">
        <f t="shared" si="1413"/>
        <v>-2226</v>
      </c>
      <c r="AC671" s="26">
        <f t="shared" si="1413"/>
        <v>-347</v>
      </c>
      <c r="AD671" s="26">
        <f t="shared" si="1413"/>
        <v>-2175</v>
      </c>
      <c r="AE671" s="826">
        <f t="shared" si="1413"/>
        <v>-2175</v>
      </c>
      <c r="AF671" s="31">
        <f t="shared" si="1413"/>
        <v>1574</v>
      </c>
      <c r="AG671" s="26">
        <f t="shared" si="1413"/>
        <v>2755</v>
      </c>
      <c r="AH671" s="26">
        <f t="shared" si="1413"/>
        <v>4798</v>
      </c>
      <c r="AI671" s="26">
        <f t="shared" ref="AI671:AQ671" si="1414">AI668+AI657+AI645+AI670</f>
        <v>4538</v>
      </c>
      <c r="AJ671" s="826">
        <f t="shared" si="1414"/>
        <v>4538</v>
      </c>
      <c r="AK671" s="31">
        <f t="shared" si="1414"/>
        <v>-786</v>
      </c>
      <c r="AL671" s="26">
        <f t="shared" si="1414"/>
        <v>-790</v>
      </c>
      <c r="AM671" s="26">
        <f t="shared" si="1414"/>
        <v>2339</v>
      </c>
      <c r="AN671" s="26">
        <f t="shared" si="1414"/>
        <v>-3570</v>
      </c>
      <c r="AO671" s="826">
        <f t="shared" si="1414"/>
        <v>-3570</v>
      </c>
      <c r="AP671" s="31">
        <f t="shared" si="1414"/>
        <v>2779</v>
      </c>
      <c r="AQ671" s="26">
        <f t="shared" si="1414"/>
        <v>868</v>
      </c>
      <c r="AR671" s="26">
        <f>AR668+AR657+AR645+AR670</f>
        <v>880</v>
      </c>
      <c r="AS671" s="26">
        <f t="shared" ref="AS671:AU671" si="1415">AS668+AS657+AS645+AS670</f>
        <v>-174</v>
      </c>
      <c r="AT671" s="826">
        <f t="shared" si="1415"/>
        <v>-174</v>
      </c>
      <c r="AU671" s="31">
        <f t="shared" si="1415"/>
        <v>1527</v>
      </c>
      <c r="AV671" s="26">
        <f>AV668+AV657+AV645+AV670</f>
        <v>1951</v>
      </c>
      <c r="AW671" s="26">
        <f>AW668+AW657+AW645+AW670</f>
        <v>288</v>
      </c>
      <c r="AX671" s="31">
        <f t="shared" ref="AX671:AZ671" si="1416">AX668+AX657+AX645+AX670</f>
        <v>58</v>
      </c>
      <c r="AY671" s="825">
        <f t="shared" si="1416"/>
        <v>58</v>
      </c>
      <c r="AZ671" s="31">
        <f t="shared" si="1416"/>
        <v>6011</v>
      </c>
      <c r="BA671" s="26">
        <f>BA668+BA657+BA645+BA670</f>
        <v>6561</v>
      </c>
      <c r="BB671" s="31">
        <f>BB668+BB657+BB645+BB670</f>
        <v>9902</v>
      </c>
      <c r="BC671" s="31">
        <f t="shared" ref="BC671" si="1417">BC668+BC657+BC645+BC670</f>
        <v>12326</v>
      </c>
      <c r="BD671" s="825">
        <f t="shared" ref="BD671:BH671" si="1418">BD668+BD657+BD645+BD670</f>
        <v>12326</v>
      </c>
      <c r="BE671" s="31">
        <f t="shared" si="1418"/>
        <v>-2222</v>
      </c>
      <c r="BF671" s="31">
        <f t="shared" si="1418"/>
        <v>-8721</v>
      </c>
      <c r="BG671" s="31">
        <f t="shared" si="1418"/>
        <v>-12115</v>
      </c>
      <c r="BH671" s="26">
        <f t="shared" si="1418"/>
        <v>-9846</v>
      </c>
      <c r="BI671" s="826">
        <f t="shared" ref="BI671:BM671" si="1419">BI668+BI657+BI645+BI670</f>
        <v>-9846</v>
      </c>
      <c r="BJ671" s="31">
        <f t="shared" si="1419"/>
        <v>-2063</v>
      </c>
      <c r="BK671" s="31">
        <f t="shared" si="1419"/>
        <v>-4310</v>
      </c>
      <c r="BL671" s="31">
        <f t="shared" si="1419"/>
        <v>-3511</v>
      </c>
      <c r="BM671" s="26">
        <f t="shared" si="1419"/>
        <v>-1013</v>
      </c>
      <c r="BN671" s="826">
        <f t="shared" ref="BN671:BT671" si="1420">BN668+BN657+BN645+BN670</f>
        <v>-1013</v>
      </c>
      <c r="BO671" s="31">
        <f t="shared" si="1420"/>
        <v>-2096</v>
      </c>
      <c r="BP671" s="31">
        <f t="shared" si="1420"/>
        <v>-2887</v>
      </c>
      <c r="BQ671" s="31">
        <f t="shared" si="1420"/>
        <v>521</v>
      </c>
      <c r="BR671" s="31">
        <f t="shared" si="1420"/>
        <v>-977</v>
      </c>
      <c r="BS671" s="825">
        <f t="shared" ref="BS671" si="1421">BS668+BS657+BS645+BS670</f>
        <v>-977</v>
      </c>
      <c r="BT671" s="379">
        <f t="shared" si="1420"/>
        <v>-969</v>
      </c>
      <c r="BU671" s="31"/>
      <c r="BV671" s="31"/>
      <c r="BW671" s="31"/>
      <c r="BX671" s="825"/>
      <c r="BY671" s="31"/>
      <c r="BZ671" s="31"/>
      <c r="CA671" s="31"/>
      <c r="CB671" s="31"/>
      <c r="CC671" s="825"/>
      <c r="CD671" s="825"/>
      <c r="CE671" s="825"/>
      <c r="CF671" s="825"/>
      <c r="CG671" s="26"/>
    </row>
    <row r="672" spans="1:85" s="429" customFormat="1" hidden="1" outlineLevel="1" x14ac:dyDescent="0.3">
      <c r="A672" s="48"/>
      <c r="B672" s="58"/>
      <c r="C672" s="825"/>
      <c r="D672" s="825"/>
      <c r="E672" s="825"/>
      <c r="F672" s="825"/>
      <c r="G672" s="31"/>
      <c r="H672" s="31"/>
      <c r="I672" s="31"/>
      <c r="J672" s="31"/>
      <c r="K672" s="825"/>
      <c r="L672" s="31"/>
      <c r="M672" s="31"/>
      <c r="N672" s="31"/>
      <c r="O672" s="31"/>
      <c r="P672" s="825"/>
      <c r="Q672" s="31"/>
      <c r="R672" s="31"/>
      <c r="S672" s="31"/>
      <c r="T672" s="31"/>
      <c r="U672" s="825"/>
      <c r="V672" s="31"/>
      <c r="W672" s="31"/>
      <c r="X672" s="31"/>
      <c r="Y672" s="31"/>
      <c r="Z672" s="825"/>
      <c r="AA672" s="31"/>
      <c r="AB672" s="31"/>
      <c r="AC672" s="31"/>
      <c r="AD672" s="31"/>
      <c r="AE672" s="825"/>
      <c r="AF672" s="31"/>
      <c r="AG672" s="31"/>
      <c r="AH672" s="31"/>
      <c r="AI672" s="31"/>
      <c r="AJ672" s="825"/>
      <c r="AK672" s="31"/>
      <c r="AL672" s="31"/>
      <c r="AM672" s="31"/>
      <c r="AN672" s="31"/>
      <c r="AO672" s="825"/>
      <c r="AP672" s="31"/>
      <c r="AQ672" s="31"/>
      <c r="AR672" s="31"/>
      <c r="AS672" s="31"/>
      <c r="AT672" s="825"/>
      <c r="AU672" s="31"/>
      <c r="AV672" s="31"/>
      <c r="AW672" s="31"/>
      <c r="AX672" s="31"/>
      <c r="AY672" s="825"/>
      <c r="AZ672" s="31"/>
      <c r="BA672" s="31"/>
      <c r="BB672" s="31"/>
      <c r="BC672" s="31"/>
      <c r="BD672" s="825"/>
      <c r="BE672" s="31"/>
      <c r="BF672" s="31"/>
      <c r="BG672" s="31"/>
      <c r="BH672" s="31"/>
      <c r="BI672" s="825"/>
      <c r="BJ672" s="31"/>
      <c r="BK672" s="31"/>
      <c r="BL672" s="31"/>
      <c r="BM672" s="31"/>
      <c r="BN672" s="825"/>
      <c r="BO672" s="31"/>
      <c r="BP672" s="31"/>
      <c r="BQ672" s="31"/>
      <c r="BR672" s="31"/>
      <c r="BS672" s="825"/>
      <c r="BT672" s="379"/>
      <c r="BU672" s="31"/>
      <c r="BV672" s="31"/>
      <c r="BW672" s="31"/>
      <c r="BX672" s="825"/>
      <c r="BY672" s="31"/>
      <c r="BZ672" s="31"/>
      <c r="CA672" s="31"/>
      <c r="CB672" s="31"/>
      <c r="CC672" s="825"/>
      <c r="CD672" s="825"/>
      <c r="CE672" s="825"/>
      <c r="CF672" s="825"/>
      <c r="CG672" s="26"/>
    </row>
    <row r="673" spans="1:85" s="429" customFormat="1" hidden="1" outlineLevel="1" x14ac:dyDescent="0.3">
      <c r="A673" s="53" t="s">
        <v>284</v>
      </c>
      <c r="B673" s="58"/>
      <c r="C673" s="851">
        <v>9347</v>
      </c>
      <c r="D673" s="826">
        <f>C674</f>
        <v>8716</v>
      </c>
      <c r="E673" s="826">
        <f>D674</f>
        <v>14060</v>
      </c>
      <c r="F673" s="826">
        <f>E674</f>
        <v>15864</v>
      </c>
      <c r="G673" s="26">
        <f>F674</f>
        <v>20939</v>
      </c>
      <c r="H673" s="26">
        <f>G673</f>
        <v>20939</v>
      </c>
      <c r="I673" s="26">
        <f>H673</f>
        <v>20939</v>
      </c>
      <c r="J673" s="26">
        <f>I673</f>
        <v>20939</v>
      </c>
      <c r="K673" s="826">
        <f>J673</f>
        <v>20939</v>
      </c>
      <c r="L673" s="26">
        <f>K674</f>
        <v>16245</v>
      </c>
      <c r="M673" s="26">
        <f>L673</f>
        <v>16245</v>
      </c>
      <c r="N673" s="26">
        <f>M673</f>
        <v>16245</v>
      </c>
      <c r="O673" s="26">
        <f>N673</f>
        <v>16245</v>
      </c>
      <c r="P673" s="826">
        <f>O673</f>
        <v>16245</v>
      </c>
      <c r="Q673" s="26">
        <f>P674</f>
        <v>12785</v>
      </c>
      <c r="R673" s="26">
        <f>Q673</f>
        <v>12785</v>
      </c>
      <c r="S673" s="26">
        <f>R673</f>
        <v>12785</v>
      </c>
      <c r="T673" s="26">
        <f>S673</f>
        <v>12785</v>
      </c>
      <c r="U673" s="826">
        <f>T673</f>
        <v>12785</v>
      </c>
      <c r="V673" s="26">
        <f>U674</f>
        <v>11022</v>
      </c>
      <c r="W673" s="26">
        <f>V673</f>
        <v>11022</v>
      </c>
      <c r="X673" s="26">
        <f>W673</f>
        <v>11022</v>
      </c>
      <c r="Y673" s="26">
        <f>X673</f>
        <v>11022</v>
      </c>
      <c r="Z673" s="826">
        <f>Y673</f>
        <v>11022</v>
      </c>
      <c r="AA673" s="26">
        <f>Z674</f>
        <v>6988</v>
      </c>
      <c r="AB673" s="26">
        <f>AA673</f>
        <v>6988</v>
      </c>
      <c r="AC673" s="26">
        <f>AB673</f>
        <v>6988</v>
      </c>
      <c r="AD673" s="26">
        <f>AC673</f>
        <v>6988</v>
      </c>
      <c r="AE673" s="826">
        <f>AD673</f>
        <v>6988</v>
      </c>
      <c r="AF673" s="770">
        <v>5943</v>
      </c>
      <c r="AG673" s="26">
        <f>AF673</f>
        <v>5943</v>
      </c>
      <c r="AH673" s="26">
        <f>AG673</f>
        <v>5943</v>
      </c>
      <c r="AI673" s="26">
        <f>AH673</f>
        <v>5943</v>
      </c>
      <c r="AJ673" s="826">
        <f>AI673</f>
        <v>5943</v>
      </c>
      <c r="AK673" s="26">
        <f>AJ674</f>
        <v>10481</v>
      </c>
      <c r="AL673" s="26">
        <f>AK673</f>
        <v>10481</v>
      </c>
      <c r="AM673" s="26">
        <f>AL673</f>
        <v>10481</v>
      </c>
      <c r="AN673" s="26">
        <f>AM673</f>
        <v>10481</v>
      </c>
      <c r="AO673" s="826">
        <f>AN673</f>
        <v>10481</v>
      </c>
      <c r="AP673" s="26">
        <f>AO674</f>
        <v>6911</v>
      </c>
      <c r="AQ673" s="26">
        <f>AP673</f>
        <v>6911</v>
      </c>
      <c r="AR673" s="26">
        <f>AQ673</f>
        <v>6911</v>
      </c>
      <c r="AS673" s="26">
        <f>AR673</f>
        <v>6911</v>
      </c>
      <c r="AT673" s="826">
        <f>AS673</f>
        <v>6911</v>
      </c>
      <c r="AU673" s="26">
        <f>AT674</f>
        <v>6737</v>
      </c>
      <c r="AV673" s="26">
        <f>AU673</f>
        <v>6737</v>
      </c>
      <c r="AW673" s="26">
        <f>AV673</f>
        <v>6737</v>
      </c>
      <c r="AX673" s="26">
        <f>AW673</f>
        <v>6737</v>
      </c>
      <c r="AY673" s="826">
        <f>AX673</f>
        <v>6737</v>
      </c>
      <c r="AZ673" s="26">
        <f>AY674</f>
        <v>6795</v>
      </c>
      <c r="BA673" s="26">
        <f>AZ673</f>
        <v>6795</v>
      </c>
      <c r="BB673" s="31">
        <f>BA673</f>
        <v>6795</v>
      </c>
      <c r="BC673" s="31">
        <f>BB673</f>
        <v>6795</v>
      </c>
      <c r="BD673" s="825">
        <f>BC673</f>
        <v>6795</v>
      </c>
      <c r="BE673" s="31">
        <f>BD674</f>
        <v>19121</v>
      </c>
      <c r="BF673" s="31">
        <f>BE673</f>
        <v>19121</v>
      </c>
      <c r="BG673" s="31">
        <f>BF673</f>
        <v>19121</v>
      </c>
      <c r="BH673" s="26">
        <f>BG673</f>
        <v>19121</v>
      </c>
      <c r="BI673" s="826">
        <f>BH673</f>
        <v>19121</v>
      </c>
      <c r="BJ673" s="31">
        <f>BI674</f>
        <v>9275</v>
      </c>
      <c r="BK673" s="31">
        <f>BJ673</f>
        <v>9275</v>
      </c>
      <c r="BL673" s="31">
        <f>BK673</f>
        <v>9275</v>
      </c>
      <c r="BM673" s="26">
        <f>BL673</f>
        <v>9275</v>
      </c>
      <c r="BN673" s="826">
        <f>BM673</f>
        <v>9275</v>
      </c>
      <c r="BO673" s="31">
        <f>BN674</f>
        <v>8262</v>
      </c>
      <c r="BP673" s="31">
        <f>BO673</f>
        <v>8262</v>
      </c>
      <c r="BQ673" s="31">
        <f>BP673</f>
        <v>8262</v>
      </c>
      <c r="BR673" s="31">
        <f>BQ673</f>
        <v>8262</v>
      </c>
      <c r="BS673" s="825">
        <f>BR673</f>
        <v>8262</v>
      </c>
      <c r="BT673" s="379">
        <f>BS674</f>
        <v>7285</v>
      </c>
      <c r="BU673" s="31"/>
      <c r="BV673" s="31"/>
      <c r="BW673" s="31"/>
      <c r="BX673" s="825"/>
      <c r="BY673" s="31"/>
      <c r="BZ673" s="31"/>
      <c r="CA673" s="31"/>
      <c r="CB673" s="31"/>
      <c r="CC673" s="825"/>
      <c r="CD673" s="825"/>
      <c r="CE673" s="825"/>
      <c r="CF673" s="825"/>
      <c r="CG673" s="26"/>
    </row>
    <row r="674" spans="1:85" s="429" customFormat="1" hidden="1" outlineLevel="1" x14ac:dyDescent="0.3">
      <c r="A674" s="53" t="s">
        <v>285</v>
      </c>
      <c r="B674" s="58"/>
      <c r="C674" s="826">
        <f t="shared" ref="C674:AH674" si="1422">C671+C673</f>
        <v>8716</v>
      </c>
      <c r="D674" s="826">
        <f t="shared" si="1422"/>
        <v>14060</v>
      </c>
      <c r="E674" s="826">
        <f t="shared" si="1422"/>
        <v>15864</v>
      </c>
      <c r="F674" s="826">
        <f t="shared" si="1422"/>
        <v>20939</v>
      </c>
      <c r="G674" s="26">
        <f t="shared" si="1422"/>
        <v>17374</v>
      </c>
      <c r="H674" s="26">
        <f t="shared" si="1422"/>
        <v>20630</v>
      </c>
      <c r="I674" s="26">
        <f t="shared" si="1422"/>
        <v>17014</v>
      </c>
      <c r="J674" s="26">
        <f t="shared" si="1422"/>
        <v>16245</v>
      </c>
      <c r="K674" s="826">
        <f t="shared" si="1422"/>
        <v>16245</v>
      </c>
      <c r="L674" s="26">
        <f t="shared" si="1422"/>
        <v>15612</v>
      </c>
      <c r="M674" s="26">
        <f t="shared" si="1422"/>
        <v>13959</v>
      </c>
      <c r="N674" s="26">
        <f t="shared" si="1422"/>
        <v>14215</v>
      </c>
      <c r="O674" s="26">
        <f t="shared" si="1422"/>
        <v>12785</v>
      </c>
      <c r="P674" s="826">
        <f t="shared" si="1422"/>
        <v>12785</v>
      </c>
      <c r="Q674" s="26">
        <f t="shared" si="1422"/>
        <v>12675</v>
      </c>
      <c r="R674" s="26">
        <f t="shared" si="1422"/>
        <v>12156</v>
      </c>
      <c r="S674" s="26">
        <f t="shared" si="1422"/>
        <v>12933</v>
      </c>
      <c r="T674" s="26">
        <f t="shared" si="1422"/>
        <v>11022</v>
      </c>
      <c r="U674" s="826">
        <f t="shared" si="1422"/>
        <v>11022</v>
      </c>
      <c r="V674" s="26">
        <f t="shared" si="1422"/>
        <v>8562</v>
      </c>
      <c r="W674" s="26">
        <f t="shared" si="1422"/>
        <v>8764</v>
      </c>
      <c r="X674" s="26">
        <f t="shared" si="1422"/>
        <v>7351</v>
      </c>
      <c r="Y674" s="26">
        <f t="shared" si="1422"/>
        <v>6988</v>
      </c>
      <c r="Z674" s="826">
        <f t="shared" si="1422"/>
        <v>6988</v>
      </c>
      <c r="AA674" s="26">
        <f t="shared" si="1422"/>
        <v>6983</v>
      </c>
      <c r="AB674" s="26">
        <f t="shared" si="1422"/>
        <v>4762</v>
      </c>
      <c r="AC674" s="26">
        <f t="shared" si="1422"/>
        <v>6641</v>
      </c>
      <c r="AD674" s="26">
        <f t="shared" si="1422"/>
        <v>4813</v>
      </c>
      <c r="AE674" s="826">
        <f t="shared" si="1422"/>
        <v>4813</v>
      </c>
      <c r="AF674" s="26">
        <f t="shared" si="1422"/>
        <v>7517</v>
      </c>
      <c r="AG674" s="26">
        <f t="shared" si="1422"/>
        <v>8698</v>
      </c>
      <c r="AH674" s="26">
        <f t="shared" si="1422"/>
        <v>10741</v>
      </c>
      <c r="AI674" s="26">
        <f t="shared" ref="AI674:AJ674" si="1423">AI671+AI673</f>
        <v>10481</v>
      </c>
      <c r="AJ674" s="826">
        <f t="shared" si="1423"/>
        <v>10481</v>
      </c>
      <c r="AK674" s="26">
        <f>AK671+AK673</f>
        <v>9695</v>
      </c>
      <c r="AL674" s="26">
        <f>AL671+AL673</f>
        <v>9691</v>
      </c>
      <c r="AM674" s="26">
        <f>AM671+AM673</f>
        <v>12820</v>
      </c>
      <c r="AN674" s="26">
        <f t="shared" ref="AN674:AO674" si="1424">AN671+AN673</f>
        <v>6911</v>
      </c>
      <c r="AO674" s="826">
        <f t="shared" si="1424"/>
        <v>6911</v>
      </c>
      <c r="AP674" s="26">
        <f>AP671+AP673</f>
        <v>9690</v>
      </c>
      <c r="AQ674" s="26">
        <f>AQ671+AQ673</f>
        <v>7779</v>
      </c>
      <c r="AR674" s="26">
        <f>AR671+AR673</f>
        <v>7791</v>
      </c>
      <c r="AS674" s="26">
        <f t="shared" ref="AS674:AT674" si="1425">AS671+AS673</f>
        <v>6737</v>
      </c>
      <c r="AT674" s="826">
        <f t="shared" si="1425"/>
        <v>6737</v>
      </c>
      <c r="AU674" s="26">
        <f>AU671+AU673</f>
        <v>8264</v>
      </c>
      <c r="AV674" s="26">
        <f>AV671+AV673</f>
        <v>8688</v>
      </c>
      <c r="AW674" s="26">
        <f>AW671+AW673</f>
        <v>7025</v>
      </c>
      <c r="AX674" s="26">
        <f t="shared" ref="AX674:AY674" si="1426">AX671+AX673</f>
        <v>6795</v>
      </c>
      <c r="AY674" s="826">
        <f t="shared" si="1426"/>
        <v>6795</v>
      </c>
      <c r="AZ674" s="26">
        <f>AZ671+AZ673</f>
        <v>12806</v>
      </c>
      <c r="BA674" s="26">
        <f>BA671+BA673</f>
        <v>13356</v>
      </c>
      <c r="BB674" s="31">
        <f>BB671+BB673</f>
        <v>16697</v>
      </c>
      <c r="BC674" s="31">
        <f t="shared" ref="BC674" si="1427">BC671+BC673</f>
        <v>19121</v>
      </c>
      <c r="BD674" s="825">
        <f t="shared" ref="BD674" si="1428">BD671+BD673</f>
        <v>19121</v>
      </c>
      <c r="BE674" s="31">
        <f>BE671+BE673</f>
        <v>16899</v>
      </c>
      <c r="BF674" s="31">
        <f>BF671+BF673</f>
        <v>10400</v>
      </c>
      <c r="BG674" s="31">
        <f>BG671+BG673</f>
        <v>7006</v>
      </c>
      <c r="BH674" s="26">
        <f t="shared" ref="BH674:BI674" si="1429">BH671+BH673</f>
        <v>9275</v>
      </c>
      <c r="BI674" s="826">
        <f t="shared" si="1429"/>
        <v>9275</v>
      </c>
      <c r="BJ674" s="31">
        <f>BJ671+BJ673</f>
        <v>7212</v>
      </c>
      <c r="BK674" s="31">
        <f>BK671+BK673</f>
        <v>4965</v>
      </c>
      <c r="BL674" s="31">
        <f>BL671+BL673</f>
        <v>5764</v>
      </c>
      <c r="BM674" s="26">
        <f t="shared" ref="BM674:BN674" si="1430">BM671+BM673</f>
        <v>8262</v>
      </c>
      <c r="BN674" s="826">
        <f t="shared" si="1430"/>
        <v>8262</v>
      </c>
      <c r="BO674" s="31">
        <f>BO671+BO673</f>
        <v>6166</v>
      </c>
      <c r="BP674" s="31">
        <f>BP671+BP673</f>
        <v>5375</v>
      </c>
      <c r="BQ674" s="31">
        <f>BQ671+BQ673</f>
        <v>8783</v>
      </c>
      <c r="BR674" s="31">
        <f t="shared" ref="BR674:BS674" si="1431">BR671+BR673</f>
        <v>7285</v>
      </c>
      <c r="BS674" s="825">
        <f t="shared" si="1431"/>
        <v>7285</v>
      </c>
      <c r="BT674" s="379">
        <f>BT671+BT673</f>
        <v>6316</v>
      </c>
      <c r="BU674" s="31"/>
      <c r="BV674" s="31"/>
      <c r="BW674" s="31"/>
      <c r="BX674" s="825"/>
      <c r="BY674" s="31"/>
      <c r="BZ674" s="31"/>
      <c r="CA674" s="31"/>
      <c r="CB674" s="31"/>
      <c r="CC674" s="825"/>
      <c r="CD674" s="825"/>
      <c r="CE674" s="825"/>
      <c r="CF674" s="825"/>
      <c r="CG674" s="26"/>
    </row>
    <row r="675" spans="1:85" s="429" customFormat="1" hidden="1" outlineLevel="1" x14ac:dyDescent="0.3">
      <c r="A675" s="48"/>
      <c r="B675" s="58"/>
      <c r="C675" s="825"/>
      <c r="D675" s="825"/>
      <c r="E675" s="825"/>
      <c r="F675" s="825"/>
      <c r="G675" s="31"/>
      <c r="H675" s="31"/>
      <c r="I675" s="31"/>
      <c r="J675" s="31"/>
      <c r="K675" s="825"/>
      <c r="L675" s="31"/>
      <c r="M675" s="31"/>
      <c r="N675" s="31"/>
      <c r="O675" s="31"/>
      <c r="P675" s="825"/>
      <c r="Q675" s="31"/>
      <c r="R675" s="31"/>
      <c r="S675" s="31"/>
      <c r="T675" s="31"/>
      <c r="U675" s="825"/>
      <c r="V675" s="31"/>
      <c r="W675" s="31"/>
      <c r="X675" s="31"/>
      <c r="Y675" s="31"/>
      <c r="Z675" s="825"/>
      <c r="AA675" s="31"/>
      <c r="AB675" s="31"/>
      <c r="AC675" s="31"/>
      <c r="AD675" s="31"/>
      <c r="AE675" s="825"/>
      <c r="AF675" s="31"/>
      <c r="AG675" s="31"/>
      <c r="AH675" s="31"/>
      <c r="AI675" s="31"/>
      <c r="AJ675" s="825"/>
      <c r="AK675" s="31"/>
      <c r="AL675" s="31"/>
      <c r="AM675" s="31"/>
      <c r="AN675" s="31"/>
      <c r="AO675" s="825"/>
      <c r="AP675" s="31"/>
      <c r="AQ675" s="31"/>
      <c r="AR675" s="31"/>
      <c r="AS675" s="31"/>
      <c r="AT675" s="825"/>
      <c r="AU675" s="31"/>
      <c r="AV675" s="31"/>
      <c r="AW675" s="31"/>
      <c r="AX675" s="31"/>
      <c r="AY675" s="825"/>
      <c r="AZ675" s="31"/>
      <c r="BA675" s="31"/>
      <c r="BB675" s="31"/>
      <c r="BC675" s="31"/>
      <c r="BD675" s="825"/>
      <c r="BE675" s="31"/>
      <c r="BF675" s="31"/>
      <c r="BG675" s="31"/>
      <c r="BH675" s="31"/>
      <c r="BI675" s="825"/>
      <c r="BJ675" s="31"/>
      <c r="BK675" s="31"/>
      <c r="BL675" s="31"/>
      <c r="BM675" s="31"/>
      <c r="BN675" s="825"/>
      <c r="BO675" s="31"/>
      <c r="BP675" s="31"/>
      <c r="BQ675" s="31"/>
      <c r="BR675" s="31"/>
      <c r="BS675" s="825"/>
      <c r="BT675" s="379"/>
      <c r="BU675" s="31"/>
      <c r="BV675" s="31"/>
      <c r="BW675" s="31"/>
      <c r="BX675" s="825"/>
      <c r="BY675" s="31"/>
      <c r="BZ675" s="31"/>
      <c r="CA675" s="31"/>
      <c r="CB675" s="31"/>
      <c r="CC675" s="825"/>
      <c r="CD675" s="825"/>
      <c r="CE675" s="825"/>
      <c r="CF675" s="825"/>
      <c r="CG675" s="26"/>
    </row>
    <row r="676" spans="1:85" s="428" customFormat="1" hidden="1" outlineLevel="1" x14ac:dyDescent="0.3">
      <c r="A676" s="492" t="s">
        <v>743</v>
      </c>
      <c r="B676" s="109"/>
      <c r="C676" s="827">
        <v>0</v>
      </c>
      <c r="D676" s="827">
        <v>34</v>
      </c>
      <c r="E676" s="827">
        <v>0</v>
      </c>
      <c r="F676" s="827">
        <v>0</v>
      </c>
      <c r="G676" s="763">
        <v>0</v>
      </c>
      <c r="H676" s="763">
        <v>0</v>
      </c>
      <c r="I676" s="763">
        <v>0</v>
      </c>
      <c r="J676" s="22">
        <f>K676</f>
        <v>0</v>
      </c>
      <c r="K676" s="821"/>
      <c r="L676" s="37"/>
      <c r="M676" s="37"/>
      <c r="N676" s="37"/>
      <c r="O676" s="37"/>
      <c r="P676" s="827">
        <v>0</v>
      </c>
      <c r="Q676" s="37"/>
      <c r="R676" s="763">
        <v>0</v>
      </c>
      <c r="S676" s="763">
        <v>0</v>
      </c>
      <c r="T676" s="22">
        <f>U676</f>
        <v>0</v>
      </c>
      <c r="U676" s="827">
        <v>0</v>
      </c>
      <c r="V676" s="763">
        <v>0</v>
      </c>
      <c r="W676" s="763">
        <v>50</v>
      </c>
      <c r="X676" s="763">
        <v>28</v>
      </c>
      <c r="Y676" s="22">
        <f>Z676</f>
        <v>158</v>
      </c>
      <c r="Z676" s="827">
        <v>158</v>
      </c>
      <c r="AA676" s="763">
        <v>0</v>
      </c>
      <c r="AB676" s="763">
        <v>64</v>
      </c>
      <c r="AC676" s="763">
        <v>30</v>
      </c>
      <c r="AD676" s="22">
        <f>AE676</f>
        <v>265</v>
      </c>
      <c r="AE676" s="827">
        <v>265</v>
      </c>
      <c r="AF676" s="763">
        <v>105</v>
      </c>
      <c r="AG676" s="763">
        <v>373</v>
      </c>
      <c r="AH676" s="763">
        <v>502</v>
      </c>
      <c r="AI676" s="22">
        <f>AJ676</f>
        <v>736</v>
      </c>
      <c r="AJ676" s="827">
        <v>736</v>
      </c>
      <c r="AK676" s="763">
        <v>186</v>
      </c>
      <c r="AL676" s="763">
        <v>443</v>
      </c>
      <c r="AM676" s="763">
        <v>579</v>
      </c>
      <c r="AN676" s="22">
        <f>AO676</f>
        <v>810</v>
      </c>
      <c r="AO676" s="827">
        <v>810</v>
      </c>
      <c r="AP676" s="763">
        <v>106</v>
      </c>
      <c r="AQ676" s="763">
        <v>328</v>
      </c>
      <c r="AR676" s="763">
        <v>384</v>
      </c>
      <c r="AS676" s="22">
        <f>AT676</f>
        <v>720</v>
      </c>
      <c r="AT676" s="827">
        <v>720</v>
      </c>
      <c r="AU676" s="763">
        <v>70</v>
      </c>
      <c r="AV676" s="763">
        <v>355</v>
      </c>
      <c r="AW676" s="763">
        <v>427</v>
      </c>
      <c r="AX676" s="22">
        <f>AY676</f>
        <v>699</v>
      </c>
      <c r="AY676" s="827">
        <v>699</v>
      </c>
      <c r="AZ676" s="763">
        <v>47</v>
      </c>
      <c r="BA676" s="763">
        <v>262</v>
      </c>
      <c r="BB676" s="763">
        <v>320</v>
      </c>
      <c r="BC676" s="37">
        <f>BD676</f>
        <v>525</v>
      </c>
      <c r="BD676" s="827">
        <v>525</v>
      </c>
      <c r="BE676" s="763">
        <v>53</v>
      </c>
      <c r="BF676" s="763">
        <v>232</v>
      </c>
      <c r="BG676" s="763">
        <v>292</v>
      </c>
      <c r="BH676" s="22">
        <f>BI676</f>
        <v>465</v>
      </c>
      <c r="BI676" s="827">
        <v>465</v>
      </c>
      <c r="BJ676" s="763">
        <v>56</v>
      </c>
      <c r="BK676" s="763">
        <v>238</v>
      </c>
      <c r="BL676" s="763">
        <v>326</v>
      </c>
      <c r="BM676" s="37">
        <f>BN676</f>
        <v>587</v>
      </c>
      <c r="BN676" s="827">
        <v>587</v>
      </c>
      <c r="BO676" s="763">
        <v>124</v>
      </c>
      <c r="BP676" s="763">
        <v>410</v>
      </c>
      <c r="BQ676" s="763">
        <v>573</v>
      </c>
      <c r="BR676" s="37">
        <f>BS676</f>
        <v>942</v>
      </c>
      <c r="BS676" s="827">
        <v>942</v>
      </c>
      <c r="BT676" s="764">
        <v>292</v>
      </c>
      <c r="BU676" s="37"/>
      <c r="BV676" s="37"/>
      <c r="BW676" s="37"/>
      <c r="BX676" s="821"/>
      <c r="BY676" s="37"/>
      <c r="BZ676" s="37"/>
      <c r="CA676" s="37"/>
      <c r="CB676" s="37"/>
      <c r="CC676" s="821"/>
      <c r="CD676" s="821"/>
      <c r="CE676" s="821"/>
      <c r="CF676" s="821"/>
      <c r="CG676" s="22"/>
    </row>
    <row r="677" spans="1:85" s="428" customFormat="1" hidden="1" outlineLevel="1" x14ac:dyDescent="0.3">
      <c r="A677" s="492" t="s">
        <v>744</v>
      </c>
      <c r="B677" s="109"/>
      <c r="C677" s="827">
        <v>7537</v>
      </c>
      <c r="D677" s="827">
        <v>11749</v>
      </c>
      <c r="E677" s="827">
        <v>17374</v>
      </c>
      <c r="F677" s="827">
        <v>17334</v>
      </c>
      <c r="G677" s="763">
        <v>3434</v>
      </c>
      <c r="H677" s="763">
        <v>7565</v>
      </c>
      <c r="I677" s="763">
        <v>10209</v>
      </c>
      <c r="J677" s="22">
        <f>K677</f>
        <v>12898</v>
      </c>
      <c r="K677" s="827">
        <v>12898</v>
      </c>
      <c r="L677" s="763">
        <v>2416</v>
      </c>
      <c r="M677" s="763">
        <v>6026</v>
      </c>
      <c r="N677" s="763">
        <v>8625</v>
      </c>
      <c r="O677" s="22">
        <f>P677</f>
        <v>10562</v>
      </c>
      <c r="P677" s="827">
        <v>10562</v>
      </c>
      <c r="Q677" s="763">
        <v>953</v>
      </c>
      <c r="R677" s="763">
        <v>3404</v>
      </c>
      <c r="S677" s="763">
        <v>4081</v>
      </c>
      <c r="T677" s="22">
        <f>U677</f>
        <v>4645</v>
      </c>
      <c r="U677" s="827">
        <v>4645</v>
      </c>
      <c r="V677" s="763">
        <v>453</v>
      </c>
      <c r="W677" s="763">
        <v>1297</v>
      </c>
      <c r="X677" s="763">
        <v>1492</v>
      </c>
      <c r="Y677" s="22">
        <f>Z677</f>
        <v>1935</v>
      </c>
      <c r="Z677" s="827">
        <v>1935</v>
      </c>
      <c r="AA677" s="763">
        <v>494</v>
      </c>
      <c r="AB677" s="763">
        <v>1023</v>
      </c>
      <c r="AC677" s="763">
        <v>2203</v>
      </c>
      <c r="AD677" s="22">
        <f>AE677</f>
        <v>3132</v>
      </c>
      <c r="AE677" s="827">
        <v>3132</v>
      </c>
      <c r="AF677" s="763">
        <v>843</v>
      </c>
      <c r="AG677" s="763">
        <v>2335</v>
      </c>
      <c r="AH677" s="763">
        <v>3526</v>
      </c>
      <c r="AI677" s="22">
        <f>AJ677</f>
        <v>4748</v>
      </c>
      <c r="AJ677" s="827">
        <v>4748</v>
      </c>
      <c r="AK677" s="763">
        <v>757</v>
      </c>
      <c r="AL677" s="763">
        <v>2590</v>
      </c>
      <c r="AM677" s="763">
        <v>3516</v>
      </c>
      <c r="AN677" s="22">
        <f>AO677</f>
        <v>4817</v>
      </c>
      <c r="AO677" s="827">
        <v>4817</v>
      </c>
      <c r="AP677" s="763">
        <v>981</v>
      </c>
      <c r="AQ677" s="763">
        <v>2142</v>
      </c>
      <c r="AR677" s="763">
        <v>2527</v>
      </c>
      <c r="AS677" s="22">
        <f>AT677</f>
        <v>2987</v>
      </c>
      <c r="AT677" s="827">
        <v>2987</v>
      </c>
      <c r="AU677" s="763">
        <v>629</v>
      </c>
      <c r="AV677" s="763">
        <v>1939</v>
      </c>
      <c r="AW677" s="763">
        <v>2943</v>
      </c>
      <c r="AX677" s="22">
        <f>AY677</f>
        <v>4355</v>
      </c>
      <c r="AY677" s="827">
        <v>4355</v>
      </c>
      <c r="AZ677" s="763">
        <v>1071</v>
      </c>
      <c r="BA677" s="763">
        <v>4414</v>
      </c>
      <c r="BB677" s="763">
        <v>6750</v>
      </c>
      <c r="BC677" s="37">
        <f>BD677</f>
        <v>9148</v>
      </c>
      <c r="BD677" s="827">
        <v>9148</v>
      </c>
      <c r="BE677" s="763">
        <v>1830</v>
      </c>
      <c r="BF677" s="763">
        <v>6616</v>
      </c>
      <c r="BG677" s="763">
        <v>8189</v>
      </c>
      <c r="BH677" s="22">
        <f>BI677</f>
        <v>10416</v>
      </c>
      <c r="BI677" s="827">
        <v>10416</v>
      </c>
      <c r="BJ677" s="763">
        <v>1428</v>
      </c>
      <c r="BK677" s="763">
        <v>4738</v>
      </c>
      <c r="BL677" s="763">
        <v>6586</v>
      </c>
      <c r="BM677" s="37">
        <f>BN677</f>
        <v>8458</v>
      </c>
      <c r="BN677" s="827">
        <v>8458</v>
      </c>
      <c r="BO677" s="763">
        <v>2552</v>
      </c>
      <c r="BP677" s="763">
        <v>4136</v>
      </c>
      <c r="BQ677" s="763">
        <v>5524</v>
      </c>
      <c r="BR677" s="37">
        <f>BS677</f>
        <v>7304</v>
      </c>
      <c r="BS677" s="827">
        <v>7304</v>
      </c>
      <c r="BT677" s="764">
        <v>1512</v>
      </c>
      <c r="BU677" s="37"/>
      <c r="BV677" s="37"/>
      <c r="BW677" s="37"/>
      <c r="BX677" s="821"/>
      <c r="BY677" s="37"/>
      <c r="BZ677" s="37"/>
      <c r="CA677" s="37"/>
      <c r="CB677" s="37"/>
      <c r="CC677" s="821"/>
      <c r="CD677" s="821"/>
      <c r="CE677" s="821"/>
      <c r="CF677" s="821"/>
      <c r="CG677" s="22"/>
    </row>
    <row r="678" spans="1:85" s="427" customFormat="1" collapsed="1" x14ac:dyDescent="0.3">
      <c r="A678" s="362"/>
      <c r="B678" s="361"/>
      <c r="C678" s="872"/>
      <c r="D678" s="872"/>
      <c r="E678" s="872"/>
      <c r="F678" s="872"/>
      <c r="G678" s="742"/>
      <c r="H678" s="742"/>
      <c r="I678" s="742"/>
      <c r="J678" s="742"/>
      <c r="K678" s="872"/>
      <c r="L678" s="742"/>
      <c r="M678" s="742"/>
      <c r="N678" s="742"/>
      <c r="O678" s="742"/>
      <c r="P678" s="872"/>
      <c r="Q678" s="742"/>
      <c r="R678" s="742"/>
      <c r="S678" s="742"/>
      <c r="T678" s="742"/>
      <c r="U678" s="872"/>
      <c r="V678" s="742"/>
      <c r="W678" s="742"/>
      <c r="X678" s="742"/>
      <c r="Y678" s="742"/>
      <c r="Z678" s="872"/>
      <c r="AA678" s="742"/>
      <c r="AB678" s="742"/>
      <c r="AC678" s="742"/>
      <c r="AD678" s="742"/>
      <c r="AE678" s="872"/>
      <c r="AF678" s="742"/>
      <c r="AG678" s="742"/>
      <c r="AH678" s="742"/>
      <c r="AI678" s="742"/>
      <c r="AJ678" s="872"/>
      <c r="AK678" s="742"/>
      <c r="AL678" s="742"/>
      <c r="AM678" s="742"/>
      <c r="AN678" s="742"/>
      <c r="AO678" s="872"/>
      <c r="AP678" s="742"/>
      <c r="AQ678" s="742"/>
      <c r="AR678" s="742"/>
      <c r="AS678" s="742"/>
      <c r="AT678" s="872"/>
      <c r="AU678" s="742"/>
      <c r="AV678" s="742"/>
      <c r="AW678" s="742"/>
      <c r="AX678" s="742"/>
      <c r="AY678" s="872"/>
      <c r="AZ678" s="742"/>
      <c r="BA678" s="742"/>
      <c r="BB678" s="742"/>
      <c r="BC678" s="742"/>
      <c r="BD678" s="872"/>
      <c r="BE678" s="742"/>
      <c r="BF678" s="742"/>
      <c r="BG678" s="742"/>
      <c r="BH678" s="742"/>
      <c r="BI678" s="872"/>
      <c r="BJ678" s="742"/>
      <c r="BK678" s="742"/>
      <c r="BL678" s="742"/>
      <c r="BM678" s="742"/>
      <c r="BN678" s="872"/>
      <c r="BO678" s="742"/>
      <c r="BP678" s="742"/>
      <c r="BQ678" s="742"/>
      <c r="BR678" s="742"/>
      <c r="BS678" s="872"/>
      <c r="BT678" s="743"/>
      <c r="BU678" s="742"/>
      <c r="BV678" s="742"/>
      <c r="BW678" s="742"/>
      <c r="BX678" s="872"/>
      <c r="BY678" s="742"/>
      <c r="BZ678" s="742"/>
      <c r="CA678" s="742"/>
      <c r="CB678" s="742"/>
      <c r="CC678" s="872"/>
      <c r="CD678" s="872"/>
      <c r="CE678" s="872"/>
      <c r="CF678" s="872"/>
      <c r="CG678" s="321"/>
    </row>
    <row r="679" spans="1:85" s="427" customFormat="1" x14ac:dyDescent="0.3">
      <c r="A679" s="720" t="s">
        <v>286</v>
      </c>
      <c r="B679" s="720"/>
      <c r="C679" s="720"/>
      <c r="D679" s="720"/>
      <c r="E679" s="720"/>
      <c r="F679" s="720"/>
      <c r="G679" s="720"/>
      <c r="H679" s="720"/>
      <c r="I679" s="720"/>
      <c r="J679" s="720"/>
      <c r="K679" s="720"/>
      <c r="L679" s="720"/>
      <c r="M679" s="720"/>
      <c r="N679" s="720"/>
      <c r="O679" s="720"/>
      <c r="P679" s="720"/>
      <c r="Q679" s="720"/>
      <c r="R679" s="720"/>
      <c r="S679" s="720"/>
      <c r="T679" s="720"/>
      <c r="U679" s="720"/>
      <c r="V679" s="720"/>
      <c r="W679" s="720"/>
      <c r="X679" s="720"/>
      <c r="Y679" s="720"/>
      <c r="Z679" s="720"/>
      <c r="AA679" s="720"/>
      <c r="AB679" s="720"/>
      <c r="AC679" s="720"/>
      <c r="AD679" s="720"/>
      <c r="AE679" s="720"/>
      <c r="AF679" s="720"/>
      <c r="AG679" s="720"/>
      <c r="AH679" s="720"/>
      <c r="AI679" s="720"/>
      <c r="AJ679" s="720"/>
      <c r="AK679" s="720"/>
      <c r="AL679" s="720"/>
      <c r="AM679" s="720"/>
      <c r="AN679" s="720"/>
      <c r="AO679" s="720"/>
      <c r="AP679" s="720"/>
      <c r="AQ679" s="720"/>
      <c r="AR679" s="720"/>
      <c r="AS679" s="720"/>
      <c r="AT679" s="720"/>
      <c r="AU679" s="720"/>
      <c r="AV679" s="720"/>
      <c r="AW679" s="720"/>
      <c r="AX679" s="720"/>
      <c r="AY679" s="720"/>
      <c r="AZ679" s="720"/>
      <c r="BA679" s="720"/>
      <c r="BB679" s="720"/>
      <c r="BC679" s="720"/>
      <c r="BD679" s="720"/>
      <c r="BE679" s="720"/>
      <c r="BF679" s="720"/>
      <c r="BG679" s="720"/>
      <c r="BH679" s="720"/>
      <c r="BI679" s="720"/>
      <c r="BJ679" s="720"/>
      <c r="BK679" s="720"/>
      <c r="BL679" s="720"/>
      <c r="BM679" s="720"/>
      <c r="BN679" s="720"/>
      <c r="BO679" s="720"/>
      <c r="BP679" s="720"/>
      <c r="BQ679" s="720"/>
      <c r="BR679" s="720"/>
      <c r="BS679" s="720"/>
      <c r="BT679" s="721"/>
      <c r="BU679" s="720"/>
      <c r="BV679" s="720"/>
      <c r="BW679" s="720"/>
      <c r="BX679" s="720"/>
      <c r="BY679" s="720"/>
      <c r="BZ679" s="720"/>
      <c r="CA679" s="720"/>
      <c r="CB679" s="720"/>
      <c r="CC679" s="720"/>
      <c r="CD679" s="720"/>
      <c r="CE679" s="720"/>
      <c r="CF679" s="720"/>
      <c r="CG679" s="321"/>
    </row>
    <row r="680" spans="1:85" s="427" customFormat="1" x14ac:dyDescent="0.3">
      <c r="A680" s="18" t="str">
        <f t="shared" ref="A680:A697" si="1432">A628</f>
        <v>CFO</v>
      </c>
      <c r="B680" s="361"/>
      <c r="C680" s="872"/>
      <c r="D680" s="872"/>
      <c r="E680" s="872"/>
      <c r="F680" s="872"/>
      <c r="G680" s="742"/>
      <c r="H680" s="742"/>
      <c r="I680" s="742"/>
      <c r="J680" s="742"/>
      <c r="K680" s="872"/>
      <c r="L680" s="742"/>
      <c r="M680" s="742"/>
      <c r="N680" s="742"/>
      <c r="O680" s="742"/>
      <c r="P680" s="872"/>
      <c r="Q680" s="742"/>
      <c r="R680" s="742"/>
      <c r="S680" s="742"/>
      <c r="T680" s="742"/>
      <c r="U680" s="872"/>
      <c r="V680" s="742"/>
      <c r="W680" s="742"/>
      <c r="X680" s="742"/>
      <c r="Y680" s="742"/>
      <c r="Z680" s="872"/>
      <c r="AA680" s="742"/>
      <c r="AB680" s="742"/>
      <c r="AC680" s="742"/>
      <c r="AD680" s="742"/>
      <c r="AE680" s="872"/>
      <c r="AF680" s="742"/>
      <c r="AG680" s="742"/>
      <c r="AH680" s="742"/>
      <c r="AI680" s="742"/>
      <c r="AJ680" s="872"/>
      <c r="AK680" s="742"/>
      <c r="AL680" s="742"/>
      <c r="AM680" s="742"/>
      <c r="AN680" s="742"/>
      <c r="AO680" s="872"/>
      <c r="AP680" s="742"/>
      <c r="AQ680" s="742"/>
      <c r="AR680" s="742"/>
      <c r="AS680" s="742"/>
      <c r="AT680" s="872"/>
      <c r="AU680" s="742"/>
      <c r="AV680" s="742"/>
      <c r="AW680" s="742"/>
      <c r="AX680" s="742"/>
      <c r="AY680" s="872"/>
      <c r="AZ680" s="742"/>
      <c r="BA680" s="742"/>
      <c r="BB680" s="742"/>
      <c r="BC680" s="742"/>
      <c r="BD680" s="872"/>
      <c r="BE680" s="742"/>
      <c r="BF680" s="742"/>
      <c r="BG680" s="742"/>
      <c r="BH680" s="742"/>
      <c r="BI680" s="872"/>
      <c r="BJ680" s="742"/>
      <c r="BK680" s="742"/>
      <c r="BL680" s="742"/>
      <c r="BM680" s="742"/>
      <c r="BN680" s="872"/>
      <c r="BO680" s="742"/>
      <c r="BP680" s="742"/>
      <c r="BQ680" s="742"/>
      <c r="BR680" s="742"/>
      <c r="BS680" s="872"/>
      <c r="BT680" s="743"/>
      <c r="BU680" s="742"/>
      <c r="BV680" s="742"/>
      <c r="BW680" s="742"/>
      <c r="BX680" s="872"/>
      <c r="BY680" s="742"/>
      <c r="BZ680" s="742"/>
      <c r="CA680" s="742"/>
      <c r="CB680" s="742"/>
      <c r="CC680" s="872"/>
      <c r="CD680" s="872"/>
      <c r="CE680" s="872"/>
      <c r="CF680" s="872"/>
      <c r="CG680" s="321"/>
    </row>
    <row r="681" spans="1:85" s="428" customFormat="1" x14ac:dyDescent="0.3">
      <c r="A681" s="43" t="str">
        <f t="shared" si="1432"/>
        <v>Net Income (Loss)</v>
      </c>
      <c r="B681" s="109"/>
      <c r="C681" s="821">
        <f t="shared" ref="C681:G692" si="1433">C629</f>
        <v>10563</v>
      </c>
      <c r="D681" s="821">
        <f t="shared" si="1433"/>
        <v>19136</v>
      </c>
      <c r="E681" s="821">
        <f t="shared" si="1433"/>
        <v>27008</v>
      </c>
      <c r="F681" s="821">
        <f t="shared" si="1433"/>
        <v>26336</v>
      </c>
      <c r="G681" s="37">
        <f t="shared" si="1433"/>
        <v>6239</v>
      </c>
      <c r="H681" s="37">
        <f t="shared" ref="H681:J692" si="1434">H629-G629</f>
        <v>5404</v>
      </c>
      <c r="I681" s="37">
        <f t="shared" si="1434"/>
        <v>4996</v>
      </c>
      <c r="J681" s="37">
        <f t="shared" si="1434"/>
        <v>4958</v>
      </c>
      <c r="K681" s="821">
        <f t="shared" ref="K681:L692" si="1435">K629</f>
        <v>21597</v>
      </c>
      <c r="L681" s="37">
        <f t="shared" si="1435"/>
        <v>4521</v>
      </c>
      <c r="M681" s="37">
        <f t="shared" ref="M681:O692" si="1436">M629-L629</f>
        <v>5690</v>
      </c>
      <c r="N681" s="37">
        <f t="shared" si="1436"/>
        <v>5627</v>
      </c>
      <c r="O681" s="37">
        <f t="shared" si="1436"/>
        <v>3472</v>
      </c>
      <c r="P681" s="821">
        <f t="shared" ref="P681:Q692" si="1437">P629</f>
        <v>19310</v>
      </c>
      <c r="Q681" s="37">
        <f t="shared" si="1437"/>
        <v>2600</v>
      </c>
      <c r="R681" s="37">
        <f t="shared" ref="R681:T692" si="1438">R629-Q629</f>
        <v>608</v>
      </c>
      <c r="S681" s="37">
        <f t="shared" si="1438"/>
        <v>2057</v>
      </c>
      <c r="T681" s="37">
        <f t="shared" si="1438"/>
        <v>-555</v>
      </c>
      <c r="U681" s="821">
        <f t="shared" ref="U681:V692" si="1439">U629</f>
        <v>4710</v>
      </c>
      <c r="V681" s="37">
        <f t="shared" si="1439"/>
        <v>-707</v>
      </c>
      <c r="W681" s="37">
        <f t="shared" ref="W681:Y692" si="1440">W629-V629</f>
        <v>-1463</v>
      </c>
      <c r="X681" s="37">
        <f t="shared" si="1440"/>
        <v>1301</v>
      </c>
      <c r="Y681" s="37">
        <f t="shared" si="1440"/>
        <v>438</v>
      </c>
      <c r="Z681" s="821">
        <f t="shared" ref="Z681:AA692" si="1441">Z629</f>
        <v>-431</v>
      </c>
      <c r="AA681" s="37">
        <f t="shared" si="1441"/>
        <v>2699</v>
      </c>
      <c r="AB681" s="37">
        <f t="shared" ref="AB681:AD692" si="1442">AB629-AA629</f>
        <v>1466</v>
      </c>
      <c r="AC681" s="37">
        <f t="shared" si="1442"/>
        <v>1986</v>
      </c>
      <c r="AD681" s="37">
        <f t="shared" si="1442"/>
        <v>3118</v>
      </c>
      <c r="AE681" s="821">
        <f t="shared" ref="AE681:AF692" si="1443">AE629</f>
        <v>9269</v>
      </c>
      <c r="AF681" s="37">
        <f t="shared" si="1443"/>
        <v>3659</v>
      </c>
      <c r="AG681" s="37">
        <f t="shared" ref="AG681:AI692" si="1444">AG629-AF629</f>
        <v>3422</v>
      </c>
      <c r="AH681" s="37">
        <f t="shared" si="1444"/>
        <v>4056</v>
      </c>
      <c r="AI681" s="37">
        <f t="shared" si="1444"/>
        <v>3723</v>
      </c>
      <c r="AJ681" s="821">
        <f t="shared" ref="AJ681:AK692" si="1445">AJ629</f>
        <v>14860</v>
      </c>
      <c r="AK681" s="37">
        <f t="shared" si="1445"/>
        <v>2642</v>
      </c>
      <c r="AL681" s="37">
        <f t="shared" ref="AL681:AN692" si="1446">AL629-AK629</f>
        <v>4290</v>
      </c>
      <c r="AM681" s="37">
        <f t="shared" si="1446"/>
        <v>2580</v>
      </c>
      <c r="AN681" s="37">
        <f t="shared" si="1446"/>
        <v>-6667</v>
      </c>
      <c r="AO681" s="821">
        <f t="shared" ref="AO681:AP692" si="1447">AO629</f>
        <v>2845</v>
      </c>
      <c r="AP681" s="37">
        <f t="shared" si="1447"/>
        <v>3581</v>
      </c>
      <c r="AQ681" s="37">
        <f t="shared" ref="AQ681:AS692" si="1448">AQ629-AP629</f>
        <v>-8277</v>
      </c>
      <c r="AR681" s="37">
        <f t="shared" si="1448"/>
        <v>-209</v>
      </c>
      <c r="AS681" s="37">
        <f t="shared" si="1448"/>
        <v>-656</v>
      </c>
      <c r="AT681" s="821">
        <f t="shared" ref="AT681:AU681" si="1449">AT629</f>
        <v>-5561</v>
      </c>
      <c r="AU681" s="37">
        <f t="shared" si="1449"/>
        <v>1398</v>
      </c>
      <c r="AV681" s="37">
        <f t="shared" ref="AV681:AX692" si="1450">AV629-AU629</f>
        <v>3094</v>
      </c>
      <c r="AW681" s="37">
        <f t="shared" si="1450"/>
        <v>6115</v>
      </c>
      <c r="AX681" s="37">
        <f t="shared" si="1450"/>
        <v>5082</v>
      </c>
      <c r="AY681" s="821">
        <f t="shared" ref="AY681:AZ681" si="1451">AY629</f>
        <v>15689</v>
      </c>
      <c r="AZ681" s="37">
        <f t="shared" si="1451"/>
        <v>6277</v>
      </c>
      <c r="BA681" s="37">
        <f t="shared" ref="BA681:BC692" si="1452">BA629-AZ629</f>
        <v>11715</v>
      </c>
      <c r="BB681" s="37">
        <f t="shared" si="1452"/>
        <v>11238</v>
      </c>
      <c r="BC681" s="37">
        <f t="shared" si="1452"/>
        <v>6378</v>
      </c>
      <c r="BD681" s="821">
        <f t="shared" ref="BD681:BE681" si="1453">BD629</f>
        <v>35608</v>
      </c>
      <c r="BE681" s="37">
        <f t="shared" si="1453"/>
        <v>6605</v>
      </c>
      <c r="BF681" s="22">
        <f t="shared" ref="BF681:BG692" si="1454">BF629-BE629</f>
        <v>6008</v>
      </c>
      <c r="BG681" s="37">
        <f t="shared" si="1454"/>
        <v>6555</v>
      </c>
      <c r="BH681" s="22">
        <f t="shared" ref="BH681:BH692" si="1455">BH629-BG629</f>
        <v>2243</v>
      </c>
      <c r="BI681" s="852">
        <f t="shared" ref="BI681:BJ681" si="1456">BI629</f>
        <v>21411</v>
      </c>
      <c r="BJ681" s="22">
        <f t="shared" si="1456"/>
        <v>5551</v>
      </c>
      <c r="BK681" s="22">
        <f t="shared" ref="BK681:BL694" si="1457">BK629-BJ629</f>
        <v>4443</v>
      </c>
      <c r="BL681" s="37">
        <f t="shared" si="1457"/>
        <v>4496</v>
      </c>
      <c r="BM681" s="22">
        <f t="shared" ref="BM681:BM692" si="1458">BM629-BL629</f>
        <v>3259</v>
      </c>
      <c r="BN681" s="852">
        <f t="shared" ref="BN681:BO681" si="1459">BN629</f>
        <v>17749</v>
      </c>
      <c r="BO681" s="22">
        <f t="shared" si="1459"/>
        <v>3512</v>
      </c>
      <c r="BP681" s="22">
        <f t="shared" ref="BP681:BQ694" si="1460">BP629-BO629</f>
        <v>2515</v>
      </c>
      <c r="BQ681" s="37">
        <f t="shared" si="1460"/>
        <v>3613</v>
      </c>
      <c r="BR681" s="22">
        <f t="shared" ref="BR681:BR692" si="1461">BR629-BQ629</f>
        <v>2845</v>
      </c>
      <c r="BS681" s="852">
        <f t="shared" ref="BS681:BT681" si="1462">BS629</f>
        <v>12485</v>
      </c>
      <c r="BT681" s="480">
        <f t="shared" si="1462"/>
        <v>2293</v>
      </c>
      <c r="BU681" s="37">
        <f>BU516</f>
        <v>9908.3570799616391</v>
      </c>
      <c r="BV681" s="37">
        <f ca="1">BV516</f>
        <v>7385.6396585150669</v>
      </c>
      <c r="BW681" s="37">
        <f ca="1">BW516</f>
        <v>6599.1302558136995</v>
      </c>
      <c r="BX681" s="821">
        <f t="shared" ref="BX681:BX694" ca="1" si="1463">SUM(BT681,BU681,BV681,BW681)</f>
        <v>26186.126994290407</v>
      </c>
      <c r="BY681" s="37">
        <f ca="1">BY516</f>
        <v>6006.1876456438331</v>
      </c>
      <c r="BZ681" s="37">
        <f ca="1">BZ516</f>
        <v>6022.9054832387683</v>
      </c>
      <c r="CA681" s="37">
        <f ca="1">CA516</f>
        <v>6187.5099706536939</v>
      </c>
      <c r="CB681" s="37">
        <f ca="1">CB516</f>
        <v>6097.3182936936973</v>
      </c>
      <c r="CC681" s="821">
        <f t="shared" ref="CC681:CC694" ca="1" si="1464">SUM(BY681,BZ681,CA681,CB681)</f>
        <v>24313.921393229994</v>
      </c>
      <c r="CD681" s="821">
        <f ca="1">CD516</f>
        <v>23191.580506500002</v>
      </c>
      <c r="CE681" s="821">
        <f ca="1">CE516</f>
        <v>23309.9517175</v>
      </c>
      <c r="CF681" s="821">
        <f ca="1">CF516</f>
        <v>16259.818112999996</v>
      </c>
      <c r="CG681" s="22"/>
    </row>
    <row r="682" spans="1:85" s="428" customFormat="1" x14ac:dyDescent="0.3">
      <c r="A682" s="43" t="str">
        <f t="shared" si="1432"/>
        <v>Depreciation, depletion and amortization</v>
      </c>
      <c r="B682" s="109"/>
      <c r="C682" s="821">
        <f t="shared" si="1433"/>
        <v>12110</v>
      </c>
      <c r="D682" s="821">
        <f t="shared" si="1433"/>
        <v>13063</v>
      </c>
      <c r="E682" s="821">
        <f t="shared" si="1433"/>
        <v>12911</v>
      </c>
      <c r="F682" s="821">
        <f t="shared" si="1433"/>
        <v>13413</v>
      </c>
      <c r="G682" s="37">
        <f t="shared" si="1433"/>
        <v>3481</v>
      </c>
      <c r="H682" s="37">
        <f t="shared" si="1434"/>
        <v>3412</v>
      </c>
      <c r="I682" s="37">
        <f t="shared" si="1434"/>
        <v>3658</v>
      </c>
      <c r="J682" s="37">
        <f t="shared" si="1434"/>
        <v>3635</v>
      </c>
      <c r="K682" s="821">
        <f t="shared" si="1435"/>
        <v>14186</v>
      </c>
      <c r="L682" s="37">
        <f t="shared" si="1435"/>
        <v>4130</v>
      </c>
      <c r="M682" s="37">
        <f t="shared" si="1436"/>
        <v>3842</v>
      </c>
      <c r="N682" s="37">
        <f t="shared" si="1436"/>
        <v>3948</v>
      </c>
      <c r="O682" s="37">
        <f t="shared" si="1436"/>
        <v>4873</v>
      </c>
      <c r="P682" s="821">
        <f t="shared" si="1437"/>
        <v>16793</v>
      </c>
      <c r="Q682" s="37">
        <f t="shared" si="1437"/>
        <v>4411</v>
      </c>
      <c r="R682" s="37">
        <f t="shared" si="1438"/>
        <v>6958</v>
      </c>
      <c r="S682" s="37">
        <f t="shared" si="1438"/>
        <v>4268</v>
      </c>
      <c r="T682" s="37">
        <f t="shared" si="1438"/>
        <v>5400</v>
      </c>
      <c r="U682" s="821">
        <f t="shared" si="1439"/>
        <v>21037</v>
      </c>
      <c r="V682" s="37">
        <f t="shared" si="1439"/>
        <v>4403</v>
      </c>
      <c r="W682" s="37">
        <f t="shared" si="1440"/>
        <v>6721</v>
      </c>
      <c r="X682" s="37">
        <f t="shared" si="1440"/>
        <v>4130</v>
      </c>
      <c r="Y682" s="37">
        <f t="shared" si="1440"/>
        <v>4203</v>
      </c>
      <c r="Z682" s="821">
        <f t="shared" si="1441"/>
        <v>19457</v>
      </c>
      <c r="AA682" s="37">
        <f t="shared" si="1441"/>
        <v>4194</v>
      </c>
      <c r="AB682" s="37">
        <f t="shared" si="1442"/>
        <v>5311</v>
      </c>
      <c r="AC682" s="37">
        <f t="shared" si="1442"/>
        <v>5109</v>
      </c>
      <c r="AD682" s="37">
        <f t="shared" si="1442"/>
        <v>4735</v>
      </c>
      <c r="AE682" s="821">
        <f t="shared" si="1443"/>
        <v>19349</v>
      </c>
      <c r="AF682" s="37">
        <f t="shared" si="1443"/>
        <v>4289</v>
      </c>
      <c r="AG682" s="37">
        <f t="shared" si="1444"/>
        <v>4498</v>
      </c>
      <c r="AH682" s="37">
        <f t="shared" si="1444"/>
        <v>5380</v>
      </c>
      <c r="AI682" s="37">
        <f t="shared" si="1444"/>
        <v>5252</v>
      </c>
      <c r="AJ682" s="821">
        <f t="shared" si="1445"/>
        <v>19419</v>
      </c>
      <c r="AK682" s="37">
        <f t="shared" si="1445"/>
        <v>4094</v>
      </c>
      <c r="AL682" s="37">
        <f t="shared" si="1446"/>
        <v>4334</v>
      </c>
      <c r="AM682" s="37">
        <f t="shared" si="1446"/>
        <v>4361</v>
      </c>
      <c r="AN682" s="37">
        <f t="shared" si="1446"/>
        <v>16429</v>
      </c>
      <c r="AO682" s="821">
        <f t="shared" si="1447"/>
        <v>29218</v>
      </c>
      <c r="AP682" s="37">
        <f t="shared" si="1447"/>
        <v>4288</v>
      </c>
      <c r="AQ682" s="37">
        <f t="shared" si="1448"/>
        <v>6717</v>
      </c>
      <c r="AR682" s="37">
        <f t="shared" si="1448"/>
        <v>4017</v>
      </c>
      <c r="AS682" s="37">
        <f t="shared" si="1448"/>
        <v>4486</v>
      </c>
      <c r="AT682" s="821">
        <f t="shared" ref="AT682:AU682" si="1465">AT630</f>
        <v>19508</v>
      </c>
      <c r="AU682" s="37">
        <f t="shared" si="1465"/>
        <v>4286</v>
      </c>
      <c r="AV682" s="37">
        <f t="shared" si="1450"/>
        <v>4522</v>
      </c>
      <c r="AW682" s="37">
        <f t="shared" si="1450"/>
        <v>4304</v>
      </c>
      <c r="AX682" s="37">
        <f t="shared" si="1450"/>
        <v>4813</v>
      </c>
      <c r="AY682" s="821">
        <f t="shared" ref="AY682:AZ682" si="1466">AY630</f>
        <v>17925</v>
      </c>
      <c r="AZ682" s="37">
        <f t="shared" si="1466"/>
        <v>3654</v>
      </c>
      <c r="BA682" s="37">
        <f t="shared" si="1452"/>
        <v>3700</v>
      </c>
      <c r="BB682" s="37">
        <f t="shared" si="1452"/>
        <v>4201</v>
      </c>
      <c r="BC682" s="37">
        <f t="shared" si="1452"/>
        <v>4764</v>
      </c>
      <c r="BD682" s="821">
        <f t="shared" ref="BD682:BE682" si="1467">BD630</f>
        <v>16319</v>
      </c>
      <c r="BE682" s="37">
        <f t="shared" si="1467"/>
        <v>3526</v>
      </c>
      <c r="BF682" s="22">
        <f t="shared" si="1454"/>
        <v>3521</v>
      </c>
      <c r="BG682" s="37">
        <f t="shared" si="1454"/>
        <v>4025</v>
      </c>
      <c r="BH682" s="22">
        <f t="shared" si="1455"/>
        <v>6254</v>
      </c>
      <c r="BI682" s="852">
        <f t="shared" ref="BI682:BJ682" si="1468">BI630</f>
        <v>17326</v>
      </c>
      <c r="BJ682" s="22">
        <f t="shared" si="1468"/>
        <v>4091</v>
      </c>
      <c r="BK682" s="22">
        <f t="shared" si="1457"/>
        <v>4004</v>
      </c>
      <c r="BL682" s="37">
        <f t="shared" si="1457"/>
        <v>4214</v>
      </c>
      <c r="BM682" s="22">
        <f t="shared" si="1458"/>
        <v>4973</v>
      </c>
      <c r="BN682" s="852">
        <f t="shared" ref="BN682:BO682" si="1469">BN630</f>
        <v>17282</v>
      </c>
      <c r="BO682" s="22">
        <f t="shared" si="1469"/>
        <v>4123</v>
      </c>
      <c r="BP682" s="22">
        <f t="shared" si="1460"/>
        <v>4344</v>
      </c>
      <c r="BQ682" s="37">
        <f t="shared" si="1460"/>
        <v>5781</v>
      </c>
      <c r="BR682" s="22">
        <f t="shared" si="1461"/>
        <v>5884</v>
      </c>
      <c r="BS682" s="852">
        <f t="shared" ref="BS682:BT682" si="1470">BS630</f>
        <v>20132</v>
      </c>
      <c r="BT682" s="480">
        <f t="shared" si="1470"/>
        <v>5808</v>
      </c>
      <c r="BU682" s="37">
        <f>BU508</f>
        <v>4000</v>
      </c>
      <c r="BV682" s="37">
        <f>BV508</f>
        <v>3300</v>
      </c>
      <c r="BW682" s="37">
        <f>BW508</f>
        <v>4000</v>
      </c>
      <c r="BX682" s="821">
        <f t="shared" si="1463"/>
        <v>17108</v>
      </c>
      <c r="BY682" s="37">
        <f>BY508</f>
        <v>6000</v>
      </c>
      <c r="BZ682" s="37">
        <f>BZ508</f>
        <v>6500</v>
      </c>
      <c r="CA682" s="37">
        <f>CA508</f>
        <v>6500</v>
      </c>
      <c r="CB682" s="37">
        <f>CB508</f>
        <v>6500</v>
      </c>
      <c r="CC682" s="821">
        <f t="shared" si="1464"/>
        <v>25500</v>
      </c>
      <c r="CD682" s="821">
        <f>CD508</f>
        <v>26000</v>
      </c>
      <c r="CE682" s="821">
        <f>CE508</f>
        <v>25000</v>
      </c>
      <c r="CF682" s="821">
        <f>CF508</f>
        <v>26000</v>
      </c>
      <c r="CG682" s="22"/>
    </row>
    <row r="683" spans="1:85" s="428" customFormat="1" x14ac:dyDescent="0.3">
      <c r="A683" s="43" t="str">
        <f t="shared" si="1432"/>
        <v>Dry hole expense</v>
      </c>
      <c r="B683" s="109"/>
      <c r="C683" s="821">
        <f t="shared" si="1433"/>
        <v>552</v>
      </c>
      <c r="D683" s="821">
        <f t="shared" si="1433"/>
        <v>496</v>
      </c>
      <c r="E683" s="821">
        <f t="shared" si="1433"/>
        <v>377</v>
      </c>
      <c r="F683" s="821">
        <f t="shared" si="1433"/>
        <v>555</v>
      </c>
      <c r="G683" s="37">
        <f t="shared" si="1433"/>
        <v>12</v>
      </c>
      <c r="H683" s="37">
        <f t="shared" si="1434"/>
        <v>67</v>
      </c>
      <c r="I683" s="37">
        <f t="shared" si="1434"/>
        <v>267</v>
      </c>
      <c r="J683" s="37">
        <f t="shared" si="1434"/>
        <v>337</v>
      </c>
      <c r="K683" s="821">
        <f t="shared" si="1435"/>
        <v>683</v>
      </c>
      <c r="L683" s="37">
        <f t="shared" si="1435"/>
        <v>140</v>
      </c>
      <c r="M683" s="37">
        <f t="shared" si="1436"/>
        <v>355</v>
      </c>
      <c r="N683" s="37">
        <f t="shared" si="1436"/>
        <v>127</v>
      </c>
      <c r="O683" s="37">
        <f t="shared" si="1436"/>
        <v>253</v>
      </c>
      <c r="P683" s="821">
        <f t="shared" si="1437"/>
        <v>875</v>
      </c>
      <c r="Q683" s="37">
        <f t="shared" si="1437"/>
        <v>348</v>
      </c>
      <c r="R683" s="37">
        <f t="shared" si="1438"/>
        <v>812</v>
      </c>
      <c r="S683" s="37">
        <f t="shared" si="1438"/>
        <v>105</v>
      </c>
      <c r="T683" s="37">
        <f t="shared" si="1438"/>
        <v>1044</v>
      </c>
      <c r="U683" s="821">
        <f t="shared" si="1439"/>
        <v>2309</v>
      </c>
      <c r="V683" s="37">
        <f t="shared" si="1439"/>
        <v>262</v>
      </c>
      <c r="W683" s="37">
        <f t="shared" si="1440"/>
        <v>72</v>
      </c>
      <c r="X683" s="37">
        <f t="shared" si="1440"/>
        <v>138</v>
      </c>
      <c r="Y683" s="37">
        <f t="shared" si="1440"/>
        <v>17</v>
      </c>
      <c r="Z683" s="821">
        <f t="shared" si="1441"/>
        <v>489</v>
      </c>
      <c r="AA683" s="37">
        <f t="shared" si="1441"/>
        <v>7</v>
      </c>
      <c r="AB683" s="37">
        <f t="shared" si="1442"/>
        <v>12</v>
      </c>
      <c r="AC683" s="37">
        <f t="shared" si="1442"/>
        <v>121</v>
      </c>
      <c r="AD683" s="37">
        <f t="shared" si="1442"/>
        <v>58</v>
      </c>
      <c r="AE683" s="821">
        <f t="shared" si="1443"/>
        <v>198</v>
      </c>
      <c r="AF683" s="37">
        <f t="shared" si="1443"/>
        <v>45</v>
      </c>
      <c r="AG683" s="37">
        <f t="shared" si="1444"/>
        <v>61</v>
      </c>
      <c r="AH683" s="37">
        <f t="shared" si="1444"/>
        <v>490</v>
      </c>
      <c r="AI683" s="37">
        <f t="shared" si="1444"/>
        <v>91</v>
      </c>
      <c r="AJ683" s="821">
        <f t="shared" si="1445"/>
        <v>687</v>
      </c>
      <c r="AK683" s="37">
        <f t="shared" si="1445"/>
        <v>86</v>
      </c>
      <c r="AL683" s="37">
        <f t="shared" si="1446"/>
        <v>37</v>
      </c>
      <c r="AM683" s="37">
        <f t="shared" si="1446"/>
        <v>14</v>
      </c>
      <c r="AN683" s="37">
        <f t="shared" si="1446"/>
        <v>35</v>
      </c>
      <c r="AO683" s="821">
        <f t="shared" si="1447"/>
        <v>172</v>
      </c>
      <c r="AP683" s="37">
        <f t="shared" si="1447"/>
        <v>50</v>
      </c>
      <c r="AQ683" s="37">
        <f t="shared" si="1448"/>
        <v>795</v>
      </c>
      <c r="AR683" s="37">
        <f t="shared" si="1448"/>
        <v>3</v>
      </c>
      <c r="AS683" s="37">
        <f t="shared" si="1448"/>
        <v>188</v>
      </c>
      <c r="AT683" s="821">
        <f t="shared" ref="AT683:AU692" si="1471">AT631</f>
        <v>1036</v>
      </c>
      <c r="AU683" s="37">
        <f t="shared" si="1471"/>
        <v>4</v>
      </c>
      <c r="AV683" s="37">
        <f t="shared" si="1450"/>
        <v>15</v>
      </c>
      <c r="AW683" s="37">
        <f t="shared" si="1450"/>
        <v>36</v>
      </c>
      <c r="AX683" s="37">
        <f t="shared" si="1450"/>
        <v>63</v>
      </c>
      <c r="AY683" s="821">
        <f t="shared" ref="AY683:AZ692" si="1472">AY631</f>
        <v>118</v>
      </c>
      <c r="AZ683" s="37">
        <f t="shared" si="1472"/>
        <v>135</v>
      </c>
      <c r="BA683" s="37">
        <f t="shared" si="1452"/>
        <v>99</v>
      </c>
      <c r="BB683" s="37">
        <f t="shared" si="1452"/>
        <v>21</v>
      </c>
      <c r="BC683" s="37">
        <f t="shared" si="1452"/>
        <v>231</v>
      </c>
      <c r="BD683" s="821">
        <f t="shared" ref="BD683:BE692" si="1473">BD631</f>
        <v>486</v>
      </c>
      <c r="BE683" s="37">
        <f t="shared" si="1473"/>
        <v>105</v>
      </c>
      <c r="BF683" s="22">
        <f t="shared" si="1454"/>
        <v>38</v>
      </c>
      <c r="BG683" s="37">
        <f t="shared" si="1454"/>
        <v>172</v>
      </c>
      <c r="BH683" s="22">
        <f t="shared" si="1455"/>
        <v>121</v>
      </c>
      <c r="BI683" s="852">
        <f t="shared" ref="BI683:BJ692" si="1474">BI631</f>
        <v>436</v>
      </c>
      <c r="BJ683" s="22">
        <f t="shared" si="1474"/>
        <v>28</v>
      </c>
      <c r="BK683" s="37">
        <f t="shared" si="1457"/>
        <v>181</v>
      </c>
      <c r="BL683" s="37">
        <f t="shared" si="1457"/>
        <v>16</v>
      </c>
      <c r="BM683" s="22">
        <f t="shared" si="1458"/>
        <v>204</v>
      </c>
      <c r="BN683" s="852">
        <f t="shared" ref="BN683:BO692" si="1475">BN631</f>
        <v>429</v>
      </c>
      <c r="BO683" s="37">
        <f t="shared" si="1475"/>
        <v>112</v>
      </c>
      <c r="BP683" s="37">
        <f t="shared" si="1460"/>
        <v>65</v>
      </c>
      <c r="BQ683" s="37">
        <f t="shared" si="1460"/>
        <v>68</v>
      </c>
      <c r="BR683" s="22">
        <f t="shared" si="1461"/>
        <v>80</v>
      </c>
      <c r="BS683" s="852">
        <f t="shared" ref="BS683:BT683" si="1476">BS631</f>
        <v>325</v>
      </c>
      <c r="BT683" s="480">
        <f t="shared" si="1476"/>
        <v>84</v>
      </c>
      <c r="BU683" s="37"/>
      <c r="BV683" s="37"/>
      <c r="BW683" s="37"/>
      <c r="BX683" s="821">
        <f t="shared" si="1463"/>
        <v>84</v>
      </c>
      <c r="BY683" s="37"/>
      <c r="BZ683" s="37"/>
      <c r="CA683" s="37"/>
      <c r="CB683" s="37"/>
      <c r="CC683" s="821">
        <f t="shared" si="1464"/>
        <v>0</v>
      </c>
      <c r="CD683" s="821"/>
      <c r="CE683" s="821"/>
      <c r="CF683" s="821"/>
      <c r="CG683" s="22"/>
    </row>
    <row r="684" spans="1:85" s="428" customFormat="1" x14ac:dyDescent="0.3">
      <c r="A684" s="43" t="str">
        <f t="shared" si="1432"/>
        <v>Distributions less than income from equity affiliates</v>
      </c>
      <c r="B684" s="109"/>
      <c r="C684" s="821">
        <f t="shared" si="1433"/>
        <v>-103</v>
      </c>
      <c r="D684" s="821">
        <f t="shared" si="1433"/>
        <v>-501</v>
      </c>
      <c r="E684" s="821">
        <f t="shared" si="1433"/>
        <v>-570</v>
      </c>
      <c r="F684" s="821">
        <f t="shared" si="1433"/>
        <v>-1351</v>
      </c>
      <c r="G684" s="37">
        <f t="shared" si="1433"/>
        <v>-578</v>
      </c>
      <c r="H684" s="37">
        <f t="shared" si="1434"/>
        <v>-540</v>
      </c>
      <c r="I684" s="37">
        <f t="shared" si="1434"/>
        <v>128</v>
      </c>
      <c r="J684" s="37">
        <f t="shared" si="1434"/>
        <v>-188</v>
      </c>
      <c r="K684" s="821">
        <f t="shared" si="1435"/>
        <v>-1178</v>
      </c>
      <c r="L684" s="37">
        <f t="shared" si="1435"/>
        <v>-457</v>
      </c>
      <c r="M684" s="37">
        <f t="shared" si="1436"/>
        <v>-382</v>
      </c>
      <c r="N684" s="37">
        <f t="shared" si="1436"/>
        <v>-666</v>
      </c>
      <c r="O684" s="37">
        <f t="shared" si="1436"/>
        <v>-697</v>
      </c>
      <c r="P684" s="821">
        <f t="shared" si="1437"/>
        <v>-2202</v>
      </c>
      <c r="Q684" s="37">
        <f t="shared" si="1437"/>
        <v>-1208</v>
      </c>
      <c r="R684" s="37">
        <f t="shared" si="1438"/>
        <v>1025</v>
      </c>
      <c r="S684" s="37">
        <f t="shared" si="1438"/>
        <v>-393</v>
      </c>
      <c r="T684" s="37">
        <f t="shared" si="1438"/>
        <v>-184</v>
      </c>
      <c r="U684" s="821">
        <f t="shared" si="1439"/>
        <v>-760</v>
      </c>
      <c r="V684" s="37">
        <f t="shared" si="1439"/>
        <v>-219</v>
      </c>
      <c r="W684" s="37">
        <f t="shared" si="1440"/>
        <v>-267</v>
      </c>
      <c r="X684" s="37">
        <f t="shared" si="1440"/>
        <v>-222</v>
      </c>
      <c r="Y684" s="37">
        <f t="shared" si="1440"/>
        <v>-519</v>
      </c>
      <c r="Z684" s="821">
        <f t="shared" si="1441"/>
        <v>-1227</v>
      </c>
      <c r="AA684" s="37">
        <f t="shared" si="1441"/>
        <v>-652</v>
      </c>
      <c r="AB684" s="37">
        <f t="shared" si="1442"/>
        <v>-784</v>
      </c>
      <c r="AC684" s="37">
        <f t="shared" si="1442"/>
        <v>-686</v>
      </c>
      <c r="AD684" s="37">
        <f t="shared" si="1442"/>
        <v>-92</v>
      </c>
      <c r="AE684" s="821">
        <f t="shared" si="1443"/>
        <v>-2214</v>
      </c>
      <c r="AF684" s="37">
        <f t="shared" si="1443"/>
        <v>-998</v>
      </c>
      <c r="AG684" s="37">
        <f t="shared" si="1444"/>
        <v>-801</v>
      </c>
      <c r="AH684" s="37">
        <f t="shared" si="1444"/>
        <v>-727</v>
      </c>
      <c r="AI684" s="37">
        <f t="shared" si="1444"/>
        <v>-1054</v>
      </c>
      <c r="AJ684" s="821">
        <f t="shared" si="1445"/>
        <v>-3580</v>
      </c>
      <c r="AK684" s="37">
        <f t="shared" si="1445"/>
        <v>-513</v>
      </c>
      <c r="AL684" s="37">
        <f t="shared" si="1446"/>
        <v>-774</v>
      </c>
      <c r="AM684" s="37">
        <f t="shared" si="1446"/>
        <v>-610</v>
      </c>
      <c r="AN684" s="37">
        <f t="shared" si="1446"/>
        <v>-176</v>
      </c>
      <c r="AO684" s="821">
        <f t="shared" si="1447"/>
        <v>-2073</v>
      </c>
      <c r="AP684" s="37">
        <f t="shared" si="1447"/>
        <v>-639</v>
      </c>
      <c r="AQ684" s="37">
        <f t="shared" si="1448"/>
        <v>2917</v>
      </c>
      <c r="AR684" s="37">
        <f t="shared" si="1448"/>
        <v>-29</v>
      </c>
      <c r="AS684" s="37">
        <f t="shared" si="1448"/>
        <v>-234</v>
      </c>
      <c r="AT684" s="821">
        <f t="shared" si="1471"/>
        <v>2015</v>
      </c>
      <c r="AU684" s="37">
        <f t="shared" si="1471"/>
        <v>-491</v>
      </c>
      <c r="AV684" s="37">
        <f t="shared" si="1450"/>
        <v>-926</v>
      </c>
      <c r="AW684" s="37">
        <f t="shared" si="1450"/>
        <v>-745</v>
      </c>
      <c r="AX684" s="37">
        <f t="shared" si="1450"/>
        <v>164</v>
      </c>
      <c r="AY684" s="821">
        <f t="shared" si="1472"/>
        <v>-1998</v>
      </c>
      <c r="AZ684" s="37">
        <f t="shared" si="1472"/>
        <v>-1441</v>
      </c>
      <c r="BA684" s="37">
        <f t="shared" si="1452"/>
        <v>-1725</v>
      </c>
      <c r="BB684" s="37">
        <f t="shared" si="1452"/>
        <v>-1602</v>
      </c>
      <c r="BC684" s="37">
        <f t="shared" si="1452"/>
        <v>38</v>
      </c>
      <c r="BD684" s="821">
        <f t="shared" si="1473"/>
        <v>-4730</v>
      </c>
      <c r="BE684" s="37">
        <f t="shared" si="1473"/>
        <v>-901</v>
      </c>
      <c r="BF684" s="22">
        <f t="shared" si="1454"/>
        <v>-451</v>
      </c>
      <c r="BG684" s="37">
        <f t="shared" si="1454"/>
        <v>-921</v>
      </c>
      <c r="BH684" s="22">
        <f t="shared" si="1455"/>
        <v>1388</v>
      </c>
      <c r="BI684" s="852">
        <f t="shared" si="1474"/>
        <v>-885</v>
      </c>
      <c r="BJ684" s="22">
        <f t="shared" si="1474"/>
        <v>-705</v>
      </c>
      <c r="BK684" s="37">
        <f t="shared" si="1457"/>
        <v>77</v>
      </c>
      <c r="BL684" s="37">
        <f t="shared" si="1457"/>
        <v>143</v>
      </c>
      <c r="BM684" s="22">
        <f t="shared" si="1458"/>
        <v>119</v>
      </c>
      <c r="BN684" s="852">
        <f t="shared" si="1475"/>
        <v>-366</v>
      </c>
      <c r="BO684" s="37">
        <f t="shared" si="1475"/>
        <v>268</v>
      </c>
      <c r="BP684" s="37">
        <f t="shared" si="1460"/>
        <v>908</v>
      </c>
      <c r="BQ684" s="37">
        <f t="shared" si="1460"/>
        <v>626</v>
      </c>
      <c r="BR684" s="22">
        <f t="shared" si="1461"/>
        <v>480</v>
      </c>
      <c r="BS684" s="852">
        <f t="shared" ref="BS684:BT684" si="1477">BS632</f>
        <v>2282</v>
      </c>
      <c r="BT684" s="480">
        <f t="shared" si="1477"/>
        <v>-400</v>
      </c>
      <c r="BU684" s="37"/>
      <c r="BV684" s="37"/>
      <c r="BW684" s="37"/>
      <c r="BX684" s="821">
        <f t="shared" si="1463"/>
        <v>-400</v>
      </c>
      <c r="BY684" s="37"/>
      <c r="BZ684" s="37"/>
      <c r="CA684" s="37"/>
      <c r="CB684" s="37"/>
      <c r="CC684" s="821">
        <f t="shared" si="1464"/>
        <v>0</v>
      </c>
      <c r="CD684" s="821"/>
      <c r="CE684" s="821"/>
      <c r="CF684" s="821"/>
      <c r="CG684" s="22"/>
    </row>
    <row r="685" spans="1:85" s="428" customFormat="1" x14ac:dyDescent="0.3">
      <c r="A685" s="43" t="str">
        <f t="shared" si="1432"/>
        <v>Net before-tax gains on asset retirements and sales</v>
      </c>
      <c r="B685" s="109"/>
      <c r="C685" s="821">
        <f t="shared" si="1433"/>
        <v>-1255</v>
      </c>
      <c r="D685" s="821">
        <f t="shared" si="1433"/>
        <v>-1004</v>
      </c>
      <c r="E685" s="821">
        <f t="shared" si="1433"/>
        <v>-1495</v>
      </c>
      <c r="F685" s="821">
        <f t="shared" si="1433"/>
        <v>-4089</v>
      </c>
      <c r="G685" s="37">
        <f t="shared" si="1433"/>
        <v>-27</v>
      </c>
      <c r="H685" s="37">
        <f t="shared" si="1434"/>
        <v>-148</v>
      </c>
      <c r="I685" s="37">
        <f t="shared" si="1434"/>
        <v>-319</v>
      </c>
      <c r="J685" s="37">
        <f t="shared" si="1434"/>
        <v>-145</v>
      </c>
      <c r="K685" s="821">
        <f t="shared" si="1435"/>
        <v>-639</v>
      </c>
      <c r="L685" s="37">
        <f t="shared" si="1435"/>
        <v>-269</v>
      </c>
      <c r="M685" s="37">
        <f t="shared" si="1436"/>
        <v>-569</v>
      </c>
      <c r="N685" s="37">
        <f t="shared" si="1436"/>
        <v>-678</v>
      </c>
      <c r="O685" s="37">
        <f t="shared" si="1436"/>
        <v>-2024</v>
      </c>
      <c r="P685" s="821">
        <f t="shared" si="1437"/>
        <v>-3540</v>
      </c>
      <c r="Q685" s="37">
        <f t="shared" si="1437"/>
        <v>-638</v>
      </c>
      <c r="R685" s="37">
        <f t="shared" si="1438"/>
        <v>-2407</v>
      </c>
      <c r="S685" s="37">
        <f t="shared" si="1438"/>
        <v>-59</v>
      </c>
      <c r="T685" s="37">
        <f t="shared" si="1438"/>
        <v>-111</v>
      </c>
      <c r="U685" s="821">
        <f t="shared" si="1439"/>
        <v>-3215</v>
      </c>
      <c r="V685" s="37">
        <f t="shared" si="1439"/>
        <v>-27</v>
      </c>
      <c r="W685" s="37">
        <f t="shared" si="1440"/>
        <v>-634</v>
      </c>
      <c r="X685" s="37">
        <f t="shared" si="1440"/>
        <v>-211</v>
      </c>
      <c r="Y685" s="37">
        <f t="shared" si="1440"/>
        <v>-277</v>
      </c>
      <c r="Z685" s="821">
        <f t="shared" si="1441"/>
        <v>-1149</v>
      </c>
      <c r="AA685" s="37">
        <f t="shared" si="1441"/>
        <v>-764</v>
      </c>
      <c r="AB685" s="37">
        <f t="shared" si="1442"/>
        <v>-292</v>
      </c>
      <c r="AC685" s="37">
        <f t="shared" si="1442"/>
        <v>-1083</v>
      </c>
      <c r="AD685" s="37">
        <f t="shared" si="1442"/>
        <v>-56</v>
      </c>
      <c r="AE685" s="821">
        <f t="shared" si="1443"/>
        <v>-2195</v>
      </c>
      <c r="AF685" s="37">
        <f t="shared" si="1443"/>
        <v>-12</v>
      </c>
      <c r="AG685" s="37">
        <f t="shared" si="1444"/>
        <v>-40</v>
      </c>
      <c r="AH685" s="37">
        <f t="shared" si="1444"/>
        <v>-508</v>
      </c>
      <c r="AI685" s="37">
        <f t="shared" si="1444"/>
        <v>-59</v>
      </c>
      <c r="AJ685" s="821">
        <f t="shared" si="1445"/>
        <v>-619</v>
      </c>
      <c r="AK685" s="37">
        <f t="shared" si="1445"/>
        <v>80</v>
      </c>
      <c r="AL685" s="37">
        <f t="shared" si="1446"/>
        <v>-177</v>
      </c>
      <c r="AM685" s="37">
        <f t="shared" si="1446"/>
        <v>-9</v>
      </c>
      <c r="AN685" s="37">
        <f t="shared" si="1446"/>
        <v>-1261</v>
      </c>
      <c r="AO685" s="821">
        <f t="shared" si="1447"/>
        <v>-1367</v>
      </c>
      <c r="AP685" s="37">
        <f t="shared" si="1447"/>
        <v>-226</v>
      </c>
      <c r="AQ685" s="37">
        <f t="shared" si="1448"/>
        <v>-372</v>
      </c>
      <c r="AR685" s="37">
        <f t="shared" si="1448"/>
        <v>-27</v>
      </c>
      <c r="AS685" s="37">
        <f t="shared" si="1448"/>
        <v>-135</v>
      </c>
      <c r="AT685" s="821">
        <f t="shared" si="1471"/>
        <v>-760</v>
      </c>
      <c r="AU685" s="37">
        <f t="shared" si="1471"/>
        <v>-56</v>
      </c>
      <c r="AV685" s="37">
        <f t="shared" si="1450"/>
        <v>-31</v>
      </c>
      <c r="AW685" s="37">
        <f t="shared" si="1450"/>
        <v>-314</v>
      </c>
      <c r="AX685" s="37">
        <f t="shared" si="1450"/>
        <v>-620</v>
      </c>
      <c r="AY685" s="821">
        <f t="shared" si="1472"/>
        <v>-1021</v>
      </c>
      <c r="AZ685" s="37">
        <f t="shared" si="1472"/>
        <v>-99</v>
      </c>
      <c r="BA685" s="37">
        <f t="shared" si="1452"/>
        <v>-367</v>
      </c>
      <c r="BB685" s="37">
        <f t="shared" si="1452"/>
        <v>3</v>
      </c>
      <c r="BC685" s="37">
        <f t="shared" si="1452"/>
        <v>-87</v>
      </c>
      <c r="BD685" s="821">
        <f t="shared" si="1473"/>
        <v>-550</v>
      </c>
      <c r="BE685" s="37">
        <f t="shared" si="1473"/>
        <v>34</v>
      </c>
      <c r="BF685" s="22">
        <f t="shared" si="1454"/>
        <v>-32</v>
      </c>
      <c r="BG685" s="37">
        <f t="shared" si="1454"/>
        <v>-135</v>
      </c>
      <c r="BH685" s="22">
        <f t="shared" si="1455"/>
        <v>-5</v>
      </c>
      <c r="BI685" s="852">
        <f t="shared" si="1474"/>
        <v>-138</v>
      </c>
      <c r="BJ685" s="22">
        <f t="shared" si="1474"/>
        <v>-30</v>
      </c>
      <c r="BK685" s="37">
        <f t="shared" si="1457"/>
        <v>-17</v>
      </c>
      <c r="BL685" s="37">
        <f t="shared" si="1457"/>
        <v>-189</v>
      </c>
      <c r="BM685" s="22">
        <f t="shared" si="1458"/>
        <v>-1449</v>
      </c>
      <c r="BN685" s="852">
        <f t="shared" si="1475"/>
        <v>-1685</v>
      </c>
      <c r="BO685" s="37">
        <f t="shared" si="1475"/>
        <v>-19</v>
      </c>
      <c r="BP685" s="37">
        <f t="shared" si="1460"/>
        <v>-280</v>
      </c>
      <c r="BQ685" s="37">
        <f t="shared" si="1460"/>
        <v>-3</v>
      </c>
      <c r="BR685" s="22">
        <f t="shared" si="1461"/>
        <v>-160</v>
      </c>
      <c r="BS685" s="852">
        <f t="shared" ref="BS685:BT685" si="1478">BS633</f>
        <v>-462</v>
      </c>
      <c r="BT685" s="480">
        <f t="shared" si="1478"/>
        <v>-7</v>
      </c>
      <c r="BU685" s="37"/>
      <c r="BV685" s="37"/>
      <c r="BW685" s="37"/>
      <c r="BX685" s="821">
        <f t="shared" si="1463"/>
        <v>-7</v>
      </c>
      <c r="BY685" s="37"/>
      <c r="BZ685" s="37"/>
      <c r="CA685" s="37"/>
      <c r="CB685" s="37"/>
      <c r="CC685" s="821">
        <f t="shared" si="1464"/>
        <v>0</v>
      </c>
      <c r="CD685" s="821"/>
      <c r="CE685" s="821"/>
      <c r="CF685" s="821"/>
      <c r="CG685" s="22"/>
    </row>
    <row r="686" spans="1:85" s="428" customFormat="1" x14ac:dyDescent="0.3">
      <c r="A686" s="43" t="str">
        <f t="shared" si="1432"/>
        <v>Net foreign currency effects</v>
      </c>
      <c r="B686" s="109"/>
      <c r="C686" s="821">
        <f t="shared" si="1433"/>
        <v>466</v>
      </c>
      <c r="D686" s="821">
        <f t="shared" si="1433"/>
        <v>251</v>
      </c>
      <c r="E686" s="821">
        <f t="shared" si="1433"/>
        <v>-103</v>
      </c>
      <c r="F686" s="821">
        <f t="shared" si="1433"/>
        <v>207</v>
      </c>
      <c r="G686" s="37">
        <f t="shared" si="1433"/>
        <v>-109</v>
      </c>
      <c r="H686" s="37">
        <f t="shared" si="1434"/>
        <v>-29</v>
      </c>
      <c r="I686" s="37">
        <f t="shared" si="1434"/>
        <v>183</v>
      </c>
      <c r="J686" s="37">
        <f t="shared" si="1434"/>
        <v>-148</v>
      </c>
      <c r="K686" s="821">
        <f t="shared" si="1435"/>
        <v>-103</v>
      </c>
      <c r="L686" s="37">
        <f t="shared" si="1435"/>
        <v>14</v>
      </c>
      <c r="M686" s="37">
        <f t="shared" si="1436"/>
        <v>87</v>
      </c>
      <c r="N686" s="37">
        <f t="shared" si="1436"/>
        <v>-162</v>
      </c>
      <c r="O686" s="37">
        <f t="shared" si="1436"/>
        <v>-216</v>
      </c>
      <c r="P686" s="821">
        <f t="shared" si="1437"/>
        <v>-277</v>
      </c>
      <c r="Q686" s="37">
        <f t="shared" si="1437"/>
        <v>-87</v>
      </c>
      <c r="R686" s="37">
        <f t="shared" si="1438"/>
        <v>188</v>
      </c>
      <c r="S686" s="37">
        <f t="shared" si="1438"/>
        <v>-135</v>
      </c>
      <c r="T686" s="37">
        <f t="shared" si="1438"/>
        <v>-48</v>
      </c>
      <c r="U686" s="821">
        <f t="shared" si="1439"/>
        <v>-82</v>
      </c>
      <c r="V686" s="37">
        <f t="shared" si="1439"/>
        <v>212</v>
      </c>
      <c r="W686" s="37">
        <f t="shared" si="1440"/>
        <v>90</v>
      </c>
      <c r="X686" s="37">
        <f t="shared" si="1440"/>
        <v>19</v>
      </c>
      <c r="Y686" s="37">
        <f t="shared" si="1440"/>
        <v>-135</v>
      </c>
      <c r="Z686" s="821">
        <f t="shared" si="1441"/>
        <v>186</v>
      </c>
      <c r="AA686" s="37">
        <f t="shared" si="1441"/>
        <v>131</v>
      </c>
      <c r="AB686" s="37">
        <f t="shared" si="1442"/>
        <v>112</v>
      </c>
      <c r="AC686" s="37">
        <f t="shared" si="1442"/>
        <v>-98</v>
      </c>
      <c r="AD686" s="37">
        <f t="shared" si="1442"/>
        <v>-14</v>
      </c>
      <c r="AE686" s="821">
        <f t="shared" si="1443"/>
        <v>131</v>
      </c>
      <c r="AF686" s="37">
        <f t="shared" si="1443"/>
        <v>63</v>
      </c>
      <c r="AG686" s="37">
        <f t="shared" si="1444"/>
        <v>-38</v>
      </c>
      <c r="AH686" s="37">
        <f t="shared" si="1444"/>
        <v>305</v>
      </c>
      <c r="AI686" s="37">
        <f t="shared" si="1444"/>
        <v>-207</v>
      </c>
      <c r="AJ686" s="821">
        <f t="shared" si="1445"/>
        <v>123</v>
      </c>
      <c r="AK686" s="37">
        <f t="shared" si="1445"/>
        <v>141</v>
      </c>
      <c r="AL686" s="37">
        <f t="shared" si="1446"/>
        <v>-61</v>
      </c>
      <c r="AM686" s="37">
        <f t="shared" si="1446"/>
        <v>-26</v>
      </c>
      <c r="AN686" s="37">
        <f t="shared" si="1446"/>
        <v>218</v>
      </c>
      <c r="AO686" s="821">
        <f t="shared" si="1447"/>
        <v>272</v>
      </c>
      <c r="AP686" s="37">
        <f t="shared" si="1447"/>
        <v>-403</v>
      </c>
      <c r="AQ686" s="37">
        <f t="shared" si="1448"/>
        <v>384</v>
      </c>
      <c r="AR686" s="37">
        <f t="shared" si="1448"/>
        <v>209</v>
      </c>
      <c r="AS686" s="37">
        <f t="shared" si="1448"/>
        <v>429</v>
      </c>
      <c r="AT686" s="821">
        <f t="shared" si="1471"/>
        <v>619</v>
      </c>
      <c r="AU686" s="37">
        <f t="shared" si="1471"/>
        <v>111</v>
      </c>
      <c r="AV686" s="37">
        <f t="shared" si="1450"/>
        <v>48</v>
      </c>
      <c r="AW686" s="37">
        <f t="shared" si="1450"/>
        <v>-184</v>
      </c>
      <c r="AX686" s="37">
        <f t="shared" si="1450"/>
        <v>18</v>
      </c>
      <c r="AY686" s="821">
        <f t="shared" si="1472"/>
        <v>-7</v>
      </c>
      <c r="AZ686" s="37">
        <f t="shared" si="1472"/>
        <v>248</v>
      </c>
      <c r="BA686" s="37">
        <f t="shared" si="1452"/>
        <v>-473</v>
      </c>
      <c r="BB686" s="37">
        <f t="shared" si="1452"/>
        <v>-428</v>
      </c>
      <c r="BC686" s="37">
        <f t="shared" si="1452"/>
        <v>241</v>
      </c>
      <c r="BD686" s="821">
        <f t="shared" si="1473"/>
        <v>-412</v>
      </c>
      <c r="BE686" s="37">
        <f t="shared" si="1473"/>
        <v>23</v>
      </c>
      <c r="BF686" s="22">
        <f t="shared" si="1454"/>
        <v>80</v>
      </c>
      <c r="BG686" s="37">
        <f t="shared" si="1454"/>
        <v>-238</v>
      </c>
      <c r="BH686" s="22">
        <f t="shared" si="1455"/>
        <v>713</v>
      </c>
      <c r="BI686" s="852">
        <f t="shared" si="1474"/>
        <v>578</v>
      </c>
      <c r="BJ686" s="22">
        <f t="shared" si="1474"/>
        <v>-198</v>
      </c>
      <c r="BK686" s="37">
        <f t="shared" si="1457"/>
        <v>110</v>
      </c>
      <c r="BL686" s="37">
        <f t="shared" si="1457"/>
        <v>192</v>
      </c>
      <c r="BM686" s="22">
        <f t="shared" si="1458"/>
        <v>-733</v>
      </c>
      <c r="BN686" s="852">
        <f t="shared" si="1475"/>
        <v>-629</v>
      </c>
      <c r="BO686" s="37">
        <f t="shared" si="1475"/>
        <v>130</v>
      </c>
      <c r="BP686" s="37">
        <f t="shared" si="1460"/>
        <v>340</v>
      </c>
      <c r="BQ686" s="37">
        <f t="shared" si="1460"/>
        <v>-26</v>
      </c>
      <c r="BR686" s="22">
        <f t="shared" si="1461"/>
        <v>141</v>
      </c>
      <c r="BS686" s="852">
        <f t="shared" ref="BS686:BT686" si="1479">BS634</f>
        <v>585</v>
      </c>
      <c r="BT686" s="480">
        <f t="shared" si="1479"/>
        <v>157</v>
      </c>
      <c r="BU686" s="37"/>
      <c r="BV686" s="37"/>
      <c r="BW686" s="37"/>
      <c r="BX686" s="821">
        <f t="shared" si="1463"/>
        <v>157</v>
      </c>
      <c r="BY686" s="37"/>
      <c r="BZ686" s="37"/>
      <c r="CA686" s="37"/>
      <c r="CB686" s="37"/>
      <c r="CC686" s="821">
        <f t="shared" si="1464"/>
        <v>0</v>
      </c>
      <c r="CD686" s="821"/>
      <c r="CE686" s="821"/>
      <c r="CF686" s="821"/>
      <c r="CG686" s="22"/>
    </row>
    <row r="687" spans="1:85" s="428" customFormat="1" x14ac:dyDescent="0.3">
      <c r="A687" s="43" t="str">
        <f t="shared" si="1432"/>
        <v>Deferred income tax provision</v>
      </c>
      <c r="B687" s="109"/>
      <c r="C687" s="821">
        <f t="shared" si="1433"/>
        <v>467</v>
      </c>
      <c r="D687" s="821">
        <f t="shared" si="1433"/>
        <v>559</v>
      </c>
      <c r="E687" s="821">
        <f t="shared" si="1433"/>
        <v>1589</v>
      </c>
      <c r="F687" s="821">
        <f t="shared" si="1433"/>
        <v>2015</v>
      </c>
      <c r="G687" s="37">
        <f t="shared" si="1433"/>
        <v>127</v>
      </c>
      <c r="H687" s="37">
        <f t="shared" si="1434"/>
        <v>-95</v>
      </c>
      <c r="I687" s="37">
        <f t="shared" si="1434"/>
        <v>937</v>
      </c>
      <c r="J687" s="37">
        <f t="shared" si="1434"/>
        <v>907</v>
      </c>
      <c r="K687" s="821">
        <f t="shared" si="1435"/>
        <v>1876</v>
      </c>
      <c r="L687" s="37">
        <f t="shared" si="1435"/>
        <v>287</v>
      </c>
      <c r="M687" s="37">
        <f t="shared" si="1436"/>
        <v>218</v>
      </c>
      <c r="N687" s="37">
        <f t="shared" si="1436"/>
        <v>-31</v>
      </c>
      <c r="O687" s="37">
        <f t="shared" si="1436"/>
        <v>1098</v>
      </c>
      <c r="P687" s="821">
        <f t="shared" si="1437"/>
        <v>1572</v>
      </c>
      <c r="Q687" s="37">
        <f t="shared" si="1437"/>
        <v>-921</v>
      </c>
      <c r="R687" s="37">
        <f t="shared" si="1438"/>
        <v>194</v>
      </c>
      <c r="S687" s="37">
        <f t="shared" si="1438"/>
        <v>249</v>
      </c>
      <c r="T687" s="37">
        <f t="shared" si="1438"/>
        <v>-1383</v>
      </c>
      <c r="U687" s="821">
        <f t="shared" si="1439"/>
        <v>-1861</v>
      </c>
      <c r="V687" s="37">
        <f t="shared" si="1439"/>
        <v>-1089</v>
      </c>
      <c r="W687" s="37">
        <f t="shared" si="1440"/>
        <v>-1151</v>
      </c>
      <c r="X687" s="37">
        <f t="shared" si="1440"/>
        <v>-899</v>
      </c>
      <c r="Y687" s="37">
        <f t="shared" si="1440"/>
        <v>-696</v>
      </c>
      <c r="Z687" s="821">
        <f t="shared" si="1441"/>
        <v>-3835</v>
      </c>
      <c r="AA687" s="37">
        <f t="shared" si="1441"/>
        <v>-563</v>
      </c>
      <c r="AB687" s="37">
        <f t="shared" si="1442"/>
        <v>-683</v>
      </c>
      <c r="AC687" s="37">
        <f t="shared" si="1442"/>
        <v>782</v>
      </c>
      <c r="AD687" s="37">
        <f t="shared" si="1442"/>
        <v>-2739</v>
      </c>
      <c r="AE687" s="821">
        <f t="shared" si="1443"/>
        <v>-3203</v>
      </c>
      <c r="AF687" s="37">
        <f t="shared" si="1443"/>
        <v>383</v>
      </c>
      <c r="AG687" s="37">
        <f t="shared" si="1444"/>
        <v>127</v>
      </c>
      <c r="AH687" s="37">
        <f t="shared" si="1444"/>
        <v>296</v>
      </c>
      <c r="AI687" s="37">
        <f t="shared" si="1444"/>
        <v>244</v>
      </c>
      <c r="AJ687" s="821">
        <f t="shared" si="1445"/>
        <v>1050</v>
      </c>
      <c r="AK687" s="37">
        <f t="shared" si="1445"/>
        <v>73</v>
      </c>
      <c r="AL687" s="37">
        <f t="shared" si="1446"/>
        <v>321</v>
      </c>
      <c r="AM687" s="37">
        <f t="shared" si="1446"/>
        <v>592</v>
      </c>
      <c r="AN687" s="37">
        <f t="shared" si="1446"/>
        <v>-2952</v>
      </c>
      <c r="AO687" s="821">
        <f t="shared" si="1447"/>
        <v>-1966</v>
      </c>
      <c r="AP687" s="37">
        <f t="shared" si="1447"/>
        <v>58</v>
      </c>
      <c r="AQ687" s="37">
        <f t="shared" si="1448"/>
        <v>-2605</v>
      </c>
      <c r="AR687" s="37">
        <f t="shared" si="1448"/>
        <v>-633</v>
      </c>
      <c r="AS687" s="37">
        <f t="shared" si="1448"/>
        <v>-424</v>
      </c>
      <c r="AT687" s="821">
        <f t="shared" si="1471"/>
        <v>-3604</v>
      </c>
      <c r="AU687" s="37">
        <f t="shared" si="1471"/>
        <v>-254</v>
      </c>
      <c r="AV687" s="37">
        <f t="shared" si="1450"/>
        <v>68</v>
      </c>
      <c r="AW687" s="37">
        <f t="shared" si="1450"/>
        <v>658</v>
      </c>
      <c r="AX687" s="37">
        <f t="shared" si="1450"/>
        <v>228</v>
      </c>
      <c r="AY687" s="821">
        <f t="shared" si="1472"/>
        <v>700</v>
      </c>
      <c r="AZ687" s="37">
        <f t="shared" si="1472"/>
        <v>626</v>
      </c>
      <c r="BA687" s="37">
        <f t="shared" si="1452"/>
        <v>715</v>
      </c>
      <c r="BB687" s="37">
        <f t="shared" si="1452"/>
        <v>369</v>
      </c>
      <c r="BC687" s="37">
        <f t="shared" si="1452"/>
        <v>414</v>
      </c>
      <c r="BD687" s="821">
        <f t="shared" si="1473"/>
        <v>2124</v>
      </c>
      <c r="BE687" s="37">
        <f t="shared" si="1473"/>
        <v>790</v>
      </c>
      <c r="BF687" s="22">
        <f t="shared" si="1454"/>
        <v>671</v>
      </c>
      <c r="BG687" s="37">
        <f t="shared" si="1454"/>
        <v>-115</v>
      </c>
      <c r="BH687" s="22">
        <f t="shared" si="1455"/>
        <v>-1048</v>
      </c>
      <c r="BI687" s="852">
        <f t="shared" si="1474"/>
        <v>298</v>
      </c>
      <c r="BJ687" s="22">
        <f t="shared" si="1474"/>
        <v>688</v>
      </c>
      <c r="BK687" s="37">
        <f t="shared" si="1457"/>
        <v>454</v>
      </c>
      <c r="BL687" s="37">
        <f t="shared" si="1457"/>
        <v>403</v>
      </c>
      <c r="BM687" s="22">
        <f t="shared" si="1458"/>
        <v>-305</v>
      </c>
      <c r="BN687" s="852">
        <f t="shared" si="1475"/>
        <v>1240</v>
      </c>
      <c r="BO687" s="37">
        <f t="shared" si="1475"/>
        <v>480</v>
      </c>
      <c r="BP687" s="37">
        <f t="shared" si="1460"/>
        <v>29</v>
      </c>
      <c r="BQ687" s="37">
        <f t="shared" si="1460"/>
        <v>200</v>
      </c>
      <c r="BR687" s="22">
        <f t="shared" si="1461"/>
        <v>277</v>
      </c>
      <c r="BS687" s="852">
        <f>BS635</f>
        <v>986</v>
      </c>
      <c r="BT687" s="480">
        <f t="shared" ref="BT687" si="1480">BT635</f>
        <v>-264</v>
      </c>
      <c r="BU687" s="37">
        <f>BU515</f>
        <v>1278.4976877369857</v>
      </c>
      <c r="BV687" s="37">
        <f ca="1">BV515</f>
        <v>952.98576238904093</v>
      </c>
      <c r="BW687" s="37">
        <f ca="1">BW515</f>
        <v>733.2366950904111</v>
      </c>
      <c r="BX687" s="821">
        <f t="shared" ca="1" si="1463"/>
        <v>2700.7201452164377</v>
      </c>
      <c r="BY687" s="37">
        <f ca="1">BY515</f>
        <v>190.6726236712328</v>
      </c>
      <c r="BZ687" s="37">
        <f ca="1">BZ515</f>
        <v>191.2033486742466</v>
      </c>
      <c r="CA687" s="37">
        <f ca="1">CA515</f>
        <v>196.42888795726012</v>
      </c>
      <c r="CB687" s="37">
        <f ca="1">CB515</f>
        <v>193.56566011726022</v>
      </c>
      <c r="CC687" s="821">
        <f t="shared" ca="1" si="1464"/>
        <v>771.87052041999971</v>
      </c>
      <c r="CD687" s="821">
        <f ca="1">CD515</f>
        <v>736.2406510000003</v>
      </c>
      <c r="CE687" s="821">
        <f ca="1">CE515</f>
        <v>332.99931025000001</v>
      </c>
      <c r="CF687" s="821">
        <f ca="1">CF515</f>
        <v>516.18470200000013</v>
      </c>
      <c r="CG687" s="22"/>
    </row>
    <row r="688" spans="1:85" s="428" customFormat="1" x14ac:dyDescent="0.3">
      <c r="A688" s="43" t="str">
        <f t="shared" si="1432"/>
        <v>Net income attributable to noncontrolling interests</v>
      </c>
      <c r="B688" s="109"/>
      <c r="C688" s="821">
        <f t="shared" si="1433"/>
        <v>0</v>
      </c>
      <c r="D688" s="821">
        <f t="shared" si="1433"/>
        <v>0</v>
      </c>
      <c r="E688" s="821">
        <f t="shared" si="1433"/>
        <v>0</v>
      </c>
      <c r="F688" s="821">
        <f t="shared" si="1433"/>
        <v>0</v>
      </c>
      <c r="G688" s="37">
        <f t="shared" si="1433"/>
        <v>0</v>
      </c>
      <c r="H688" s="37">
        <f t="shared" si="1434"/>
        <v>0</v>
      </c>
      <c r="I688" s="37">
        <f t="shared" si="1434"/>
        <v>0</v>
      </c>
      <c r="J688" s="37">
        <f t="shared" si="1434"/>
        <v>0</v>
      </c>
      <c r="K688" s="821">
        <f t="shared" si="1435"/>
        <v>0</v>
      </c>
      <c r="L688" s="37">
        <f t="shared" si="1435"/>
        <v>0</v>
      </c>
      <c r="M688" s="37">
        <f t="shared" si="1436"/>
        <v>0</v>
      </c>
      <c r="N688" s="37">
        <f t="shared" si="1436"/>
        <v>0</v>
      </c>
      <c r="O688" s="37">
        <f t="shared" si="1436"/>
        <v>0</v>
      </c>
      <c r="P688" s="821">
        <f t="shared" si="1437"/>
        <v>0</v>
      </c>
      <c r="Q688" s="37">
        <f t="shared" si="1437"/>
        <v>0</v>
      </c>
      <c r="R688" s="37">
        <f t="shared" si="1438"/>
        <v>0</v>
      </c>
      <c r="S688" s="37">
        <f t="shared" si="1438"/>
        <v>0</v>
      </c>
      <c r="T688" s="37">
        <f t="shared" si="1438"/>
        <v>0</v>
      </c>
      <c r="U688" s="821">
        <f t="shared" si="1439"/>
        <v>0</v>
      </c>
      <c r="V688" s="37">
        <f t="shared" si="1439"/>
        <v>0</v>
      </c>
      <c r="W688" s="37">
        <f t="shared" si="1440"/>
        <v>0</v>
      </c>
      <c r="X688" s="37">
        <f t="shared" si="1440"/>
        <v>0</v>
      </c>
      <c r="Y688" s="37">
        <f t="shared" si="1440"/>
        <v>0</v>
      </c>
      <c r="Z688" s="821">
        <f t="shared" si="1441"/>
        <v>0</v>
      </c>
      <c r="AA688" s="37">
        <f t="shared" si="1441"/>
        <v>0</v>
      </c>
      <c r="AB688" s="37">
        <f t="shared" si="1442"/>
        <v>0</v>
      </c>
      <c r="AC688" s="37">
        <f t="shared" si="1442"/>
        <v>0</v>
      </c>
      <c r="AD688" s="37">
        <f t="shared" si="1442"/>
        <v>0</v>
      </c>
      <c r="AE688" s="821">
        <f t="shared" si="1443"/>
        <v>0</v>
      </c>
      <c r="AF688" s="37">
        <f t="shared" si="1443"/>
        <v>0</v>
      </c>
      <c r="AG688" s="37">
        <f t="shared" si="1444"/>
        <v>0</v>
      </c>
      <c r="AH688" s="37">
        <f t="shared" si="1444"/>
        <v>0</v>
      </c>
      <c r="AI688" s="37">
        <f t="shared" si="1444"/>
        <v>0</v>
      </c>
      <c r="AJ688" s="821">
        <f t="shared" si="1445"/>
        <v>0</v>
      </c>
      <c r="AK688" s="37">
        <f t="shared" si="1445"/>
        <v>0</v>
      </c>
      <c r="AL688" s="37">
        <f t="shared" si="1446"/>
        <v>0</v>
      </c>
      <c r="AM688" s="37">
        <f t="shared" si="1446"/>
        <v>0</v>
      </c>
      <c r="AN688" s="37">
        <f t="shared" si="1446"/>
        <v>0</v>
      </c>
      <c r="AO688" s="821">
        <f t="shared" si="1447"/>
        <v>0</v>
      </c>
      <c r="AP688" s="37">
        <f t="shared" si="1447"/>
        <v>0</v>
      </c>
      <c r="AQ688" s="37">
        <f t="shared" si="1448"/>
        <v>0</v>
      </c>
      <c r="AR688" s="37">
        <f t="shared" si="1448"/>
        <v>0</v>
      </c>
      <c r="AS688" s="37">
        <f t="shared" si="1448"/>
        <v>0</v>
      </c>
      <c r="AT688" s="821">
        <f t="shared" si="1471"/>
        <v>0</v>
      </c>
      <c r="AU688" s="37">
        <f t="shared" si="1471"/>
        <v>0</v>
      </c>
      <c r="AV688" s="37">
        <f t="shared" si="1450"/>
        <v>0</v>
      </c>
      <c r="AW688" s="37">
        <f t="shared" si="1450"/>
        <v>0</v>
      </c>
      <c r="AX688" s="37">
        <f t="shared" si="1450"/>
        <v>0</v>
      </c>
      <c r="AY688" s="821">
        <f t="shared" si="1472"/>
        <v>0</v>
      </c>
      <c r="AZ688" s="37">
        <f t="shared" si="1472"/>
        <v>0</v>
      </c>
      <c r="BA688" s="37">
        <f t="shared" si="1452"/>
        <v>0</v>
      </c>
      <c r="BB688" s="37">
        <f t="shared" si="1452"/>
        <v>0</v>
      </c>
      <c r="BC688" s="37">
        <f t="shared" si="1452"/>
        <v>0</v>
      </c>
      <c r="BD688" s="821">
        <f t="shared" si="1473"/>
        <v>0</v>
      </c>
      <c r="BE688" s="37">
        <f t="shared" si="1473"/>
        <v>0</v>
      </c>
      <c r="BF688" s="22">
        <f t="shared" si="1454"/>
        <v>0</v>
      </c>
      <c r="BG688" s="37">
        <f t="shared" si="1454"/>
        <v>0</v>
      </c>
      <c r="BH688" s="22">
        <f t="shared" si="1455"/>
        <v>0</v>
      </c>
      <c r="BI688" s="852">
        <f t="shared" si="1474"/>
        <v>0</v>
      </c>
      <c r="BJ688" s="22">
        <f t="shared" si="1474"/>
        <v>0</v>
      </c>
      <c r="BK688" s="37">
        <f t="shared" si="1457"/>
        <v>0</v>
      </c>
      <c r="BL688" s="37">
        <f t="shared" si="1457"/>
        <v>0</v>
      </c>
      <c r="BM688" s="22">
        <f t="shared" si="1458"/>
        <v>0</v>
      </c>
      <c r="BN688" s="852">
        <f t="shared" si="1475"/>
        <v>0</v>
      </c>
      <c r="BO688" s="37">
        <f t="shared" si="1475"/>
        <v>0</v>
      </c>
      <c r="BP688" s="37">
        <f t="shared" si="1460"/>
        <v>0</v>
      </c>
      <c r="BQ688" s="37">
        <f t="shared" si="1460"/>
        <v>0</v>
      </c>
      <c r="BR688" s="22">
        <f t="shared" si="1461"/>
        <v>0</v>
      </c>
      <c r="BS688" s="852">
        <f t="shared" ref="BS688:BT688" si="1481">BS636</f>
        <v>0</v>
      </c>
      <c r="BT688" s="480">
        <f t="shared" si="1481"/>
        <v>0</v>
      </c>
      <c r="BU688" s="37"/>
      <c r="BV688" s="37"/>
      <c r="BW688" s="37"/>
      <c r="BX688" s="821">
        <f t="shared" si="1463"/>
        <v>0</v>
      </c>
      <c r="BY688" s="37"/>
      <c r="BZ688" s="37"/>
      <c r="CA688" s="37"/>
      <c r="CB688" s="37"/>
      <c r="CC688" s="821">
        <f t="shared" si="1464"/>
        <v>0</v>
      </c>
      <c r="CD688" s="821"/>
      <c r="CE688" s="821"/>
      <c r="CF688" s="821"/>
      <c r="CG688" s="22"/>
    </row>
    <row r="689" spans="1:85" s="428" customFormat="1" x14ac:dyDescent="0.3">
      <c r="A689" s="43" t="str">
        <f t="shared" si="1432"/>
        <v>Increase in long-term receivables</v>
      </c>
      <c r="B689" s="109"/>
      <c r="C689" s="821">
        <f t="shared" si="1433"/>
        <v>-258</v>
      </c>
      <c r="D689" s="821">
        <f t="shared" si="1433"/>
        <v>-12</v>
      </c>
      <c r="E689" s="821">
        <f t="shared" si="1433"/>
        <v>-150</v>
      </c>
      <c r="F689" s="821">
        <f t="shared" si="1433"/>
        <v>-169</v>
      </c>
      <c r="G689" s="37">
        <f t="shared" si="1433"/>
        <v>-66</v>
      </c>
      <c r="H689" s="37">
        <f t="shared" si="1434"/>
        <v>10</v>
      </c>
      <c r="I689" s="37">
        <f t="shared" si="1434"/>
        <v>-108</v>
      </c>
      <c r="J689" s="37">
        <f t="shared" si="1434"/>
        <v>347</v>
      </c>
      <c r="K689" s="821">
        <f t="shared" si="1435"/>
        <v>183</v>
      </c>
      <c r="L689" s="37">
        <f t="shared" si="1435"/>
        <v>-32</v>
      </c>
      <c r="M689" s="37">
        <f t="shared" si="1436"/>
        <v>-164</v>
      </c>
      <c r="N689" s="37">
        <f t="shared" si="1436"/>
        <v>121</v>
      </c>
      <c r="O689" s="37">
        <f t="shared" si="1436"/>
        <v>66</v>
      </c>
      <c r="P689" s="821">
        <f t="shared" si="1437"/>
        <v>-9</v>
      </c>
      <c r="Q689" s="37">
        <f t="shared" si="1437"/>
        <v>-23</v>
      </c>
      <c r="R689" s="37">
        <f t="shared" si="1438"/>
        <v>-66</v>
      </c>
      <c r="S689" s="37">
        <f t="shared" si="1438"/>
        <v>-3</v>
      </c>
      <c r="T689" s="37">
        <f t="shared" si="1438"/>
        <v>33</v>
      </c>
      <c r="U689" s="821">
        <f t="shared" si="1439"/>
        <v>-59</v>
      </c>
      <c r="V689" s="37">
        <f t="shared" si="1439"/>
        <v>-68</v>
      </c>
      <c r="W689" s="37">
        <f t="shared" si="1440"/>
        <v>35</v>
      </c>
      <c r="X689" s="37">
        <f t="shared" si="1440"/>
        <v>-48</v>
      </c>
      <c r="Y689" s="37">
        <f t="shared" si="1440"/>
        <v>-50</v>
      </c>
      <c r="Z689" s="821">
        <f t="shared" si="1441"/>
        <v>-131</v>
      </c>
      <c r="AA689" s="37">
        <f t="shared" si="1441"/>
        <v>20</v>
      </c>
      <c r="AB689" s="37">
        <f t="shared" si="1442"/>
        <v>56</v>
      </c>
      <c r="AC689" s="37">
        <f t="shared" si="1442"/>
        <v>-613</v>
      </c>
      <c r="AD689" s="37">
        <f t="shared" si="1442"/>
        <v>169</v>
      </c>
      <c r="AE689" s="821">
        <f t="shared" si="1443"/>
        <v>-368</v>
      </c>
      <c r="AF689" s="37">
        <f t="shared" si="1443"/>
        <v>128</v>
      </c>
      <c r="AG689" s="37">
        <f t="shared" si="1444"/>
        <v>138</v>
      </c>
      <c r="AH689" s="37">
        <f t="shared" si="1444"/>
        <v>97</v>
      </c>
      <c r="AI689" s="37">
        <f t="shared" si="1444"/>
        <v>55</v>
      </c>
      <c r="AJ689" s="821">
        <f t="shared" si="1445"/>
        <v>418</v>
      </c>
      <c r="AK689" s="37">
        <f t="shared" si="1445"/>
        <v>66</v>
      </c>
      <c r="AL689" s="37">
        <f t="shared" si="1446"/>
        <v>167</v>
      </c>
      <c r="AM689" s="37">
        <f t="shared" si="1446"/>
        <v>193</v>
      </c>
      <c r="AN689" s="37">
        <f t="shared" si="1446"/>
        <v>76</v>
      </c>
      <c r="AO689" s="821">
        <f t="shared" si="1447"/>
        <v>502</v>
      </c>
      <c r="AP689" s="37">
        <f t="shared" si="1447"/>
        <v>239</v>
      </c>
      <c r="AQ689" s="37">
        <f t="shared" si="1448"/>
        <v>-190</v>
      </c>
      <c r="AR689" s="37">
        <f t="shared" si="1448"/>
        <v>35</v>
      </c>
      <c r="AS689" s="37">
        <f t="shared" si="1448"/>
        <v>212</v>
      </c>
      <c r="AT689" s="821">
        <f t="shared" si="1471"/>
        <v>296</v>
      </c>
      <c r="AU689" s="37">
        <f t="shared" si="1471"/>
        <v>15</v>
      </c>
      <c r="AV689" s="37">
        <f t="shared" si="1450"/>
        <v>7</v>
      </c>
      <c r="AW689" s="37">
        <f t="shared" si="1450"/>
        <v>-55</v>
      </c>
      <c r="AX689" s="37">
        <f t="shared" si="1450"/>
        <v>54</v>
      </c>
      <c r="AY689" s="821">
        <f t="shared" si="1472"/>
        <v>21</v>
      </c>
      <c r="AZ689" s="37">
        <f t="shared" si="1472"/>
        <v>86</v>
      </c>
      <c r="BA689" s="37">
        <f t="shared" si="1452"/>
        <v>-34</v>
      </c>
      <c r="BB689" s="37">
        <f t="shared" si="1452"/>
        <v>69</v>
      </c>
      <c r="BC689" s="37">
        <f t="shared" si="1452"/>
        <v>32</v>
      </c>
      <c r="BD689" s="821">
        <f t="shared" si="1473"/>
        <v>153</v>
      </c>
      <c r="BE689" s="37">
        <f t="shared" si="1473"/>
        <v>36</v>
      </c>
      <c r="BF689" s="22">
        <f t="shared" si="1454"/>
        <v>97</v>
      </c>
      <c r="BG689" s="37">
        <f t="shared" si="1454"/>
        <v>-97</v>
      </c>
      <c r="BH689" s="22">
        <f t="shared" si="1455"/>
        <v>114</v>
      </c>
      <c r="BI689" s="852">
        <f t="shared" si="1474"/>
        <v>150</v>
      </c>
      <c r="BJ689" s="22">
        <f t="shared" si="1474"/>
        <v>27</v>
      </c>
      <c r="BK689" s="37">
        <f t="shared" si="1457"/>
        <v>-8</v>
      </c>
      <c r="BL689" s="37">
        <f t="shared" si="1457"/>
        <v>35</v>
      </c>
      <c r="BM689" s="22">
        <f t="shared" si="1458"/>
        <v>60</v>
      </c>
      <c r="BN689" s="852">
        <f t="shared" si="1475"/>
        <v>114</v>
      </c>
      <c r="BO689" s="37">
        <f t="shared" si="1475"/>
        <v>-40</v>
      </c>
      <c r="BP689" s="37">
        <f t="shared" si="1460"/>
        <v>30</v>
      </c>
      <c r="BQ689" s="37">
        <f t="shared" si="1460"/>
        <v>-75</v>
      </c>
      <c r="BR689" s="22">
        <f t="shared" si="1461"/>
        <v>-47</v>
      </c>
      <c r="BS689" s="852">
        <f t="shared" ref="BS689:BT689" si="1482">BS637</f>
        <v>-132</v>
      </c>
      <c r="BT689" s="480">
        <f t="shared" si="1482"/>
        <v>58</v>
      </c>
      <c r="BU689" s="37"/>
      <c r="BV689" s="37"/>
      <c r="BW689" s="37"/>
      <c r="BX689" s="821">
        <f t="shared" si="1463"/>
        <v>58</v>
      </c>
      <c r="BY689" s="37"/>
      <c r="BZ689" s="37"/>
      <c r="CA689" s="37"/>
      <c r="CB689" s="37"/>
      <c r="CC689" s="821">
        <f t="shared" si="1464"/>
        <v>0</v>
      </c>
      <c r="CD689" s="821"/>
      <c r="CE689" s="821"/>
      <c r="CF689" s="821"/>
      <c r="CG689" s="22"/>
    </row>
    <row r="690" spans="1:85" s="428" customFormat="1" x14ac:dyDescent="0.3">
      <c r="A690" s="43" t="str">
        <f t="shared" si="1432"/>
        <v>Net decrease in other deferred charges</v>
      </c>
      <c r="B690" s="109"/>
      <c r="C690" s="821">
        <f t="shared" si="1433"/>
        <v>201</v>
      </c>
      <c r="D690" s="821">
        <f t="shared" si="1433"/>
        <v>48</v>
      </c>
      <c r="E690" s="821">
        <f t="shared" si="1433"/>
        <v>341</v>
      </c>
      <c r="F690" s="821">
        <f t="shared" si="1433"/>
        <v>1047</v>
      </c>
      <c r="G690" s="37">
        <f t="shared" si="1433"/>
        <v>-111</v>
      </c>
      <c r="H690" s="37">
        <f t="shared" si="1434"/>
        <v>179</v>
      </c>
      <c r="I690" s="37">
        <f t="shared" si="1434"/>
        <v>-57</v>
      </c>
      <c r="J690" s="37">
        <f t="shared" si="1434"/>
        <v>-332</v>
      </c>
      <c r="K690" s="821">
        <f t="shared" si="1435"/>
        <v>-321</v>
      </c>
      <c r="L690" s="37">
        <f t="shared" si="1435"/>
        <v>-13</v>
      </c>
      <c r="M690" s="37">
        <f t="shared" si="1436"/>
        <v>-66</v>
      </c>
      <c r="N690" s="37">
        <f t="shared" si="1436"/>
        <v>20</v>
      </c>
      <c r="O690" s="37">
        <f t="shared" si="1436"/>
        <v>322</v>
      </c>
      <c r="P690" s="821">
        <f t="shared" si="1437"/>
        <v>263</v>
      </c>
      <c r="Q690" s="37">
        <f t="shared" si="1437"/>
        <v>27</v>
      </c>
      <c r="R690" s="37">
        <f t="shared" si="1438"/>
        <v>15</v>
      </c>
      <c r="S690" s="37">
        <f t="shared" si="1438"/>
        <v>50</v>
      </c>
      <c r="T690" s="37">
        <f t="shared" si="1438"/>
        <v>-67</v>
      </c>
      <c r="U690" s="821">
        <f t="shared" si="1439"/>
        <v>25</v>
      </c>
      <c r="V690" s="37">
        <f t="shared" si="1439"/>
        <v>3</v>
      </c>
      <c r="W690" s="37">
        <f t="shared" si="1440"/>
        <v>49</v>
      </c>
      <c r="X690" s="37">
        <f t="shared" si="1440"/>
        <v>-22</v>
      </c>
      <c r="Y690" s="37">
        <f t="shared" si="1440"/>
        <v>205</v>
      </c>
      <c r="Z690" s="821">
        <f t="shared" si="1441"/>
        <v>235</v>
      </c>
      <c r="AA690" s="37">
        <f t="shared" si="1441"/>
        <v>-32</v>
      </c>
      <c r="AB690" s="37">
        <f t="shared" si="1442"/>
        <v>9</v>
      </c>
      <c r="AC690" s="37">
        <f t="shared" si="1442"/>
        <v>-34</v>
      </c>
      <c r="AD690" s="37">
        <f t="shared" si="1442"/>
        <v>-142</v>
      </c>
      <c r="AE690" s="821">
        <f t="shared" si="1443"/>
        <v>-199</v>
      </c>
      <c r="AF690" s="37">
        <f t="shared" si="1443"/>
        <v>-12</v>
      </c>
      <c r="AG690" s="37">
        <f t="shared" si="1444"/>
        <v>-16</v>
      </c>
      <c r="AH690" s="37">
        <f t="shared" si="1444"/>
        <v>-32</v>
      </c>
      <c r="AI690" s="37">
        <f t="shared" si="1444"/>
        <v>60</v>
      </c>
      <c r="AJ690" s="821">
        <f t="shared" si="1445"/>
        <v>0</v>
      </c>
      <c r="AK690" s="37">
        <f t="shared" si="1445"/>
        <v>-62</v>
      </c>
      <c r="AL690" s="37">
        <f t="shared" si="1446"/>
        <v>-36</v>
      </c>
      <c r="AM690" s="37">
        <f t="shared" si="1446"/>
        <v>-46</v>
      </c>
      <c r="AN690" s="37">
        <f t="shared" si="1446"/>
        <v>75</v>
      </c>
      <c r="AO690" s="821">
        <f t="shared" si="1447"/>
        <v>-69</v>
      </c>
      <c r="AP690" s="37">
        <f t="shared" si="1447"/>
        <v>-43</v>
      </c>
      <c r="AQ690" s="37">
        <f t="shared" si="1448"/>
        <v>-66</v>
      </c>
      <c r="AR690" s="37">
        <f t="shared" si="1448"/>
        <v>-36</v>
      </c>
      <c r="AS690" s="37">
        <f t="shared" si="1448"/>
        <v>-103</v>
      </c>
      <c r="AT690" s="821">
        <f t="shared" si="1471"/>
        <v>-248</v>
      </c>
      <c r="AU690" s="37">
        <f t="shared" si="1471"/>
        <v>-31</v>
      </c>
      <c r="AV690" s="37">
        <f t="shared" si="1450"/>
        <v>-85</v>
      </c>
      <c r="AW690" s="37">
        <f t="shared" si="1450"/>
        <v>-51</v>
      </c>
      <c r="AX690" s="37">
        <f t="shared" si="1450"/>
        <v>-153</v>
      </c>
      <c r="AY690" s="821">
        <f t="shared" si="1472"/>
        <v>-320</v>
      </c>
      <c r="AZ690" s="37">
        <f t="shared" si="1472"/>
        <v>-56</v>
      </c>
      <c r="BA690" s="37">
        <f t="shared" si="1452"/>
        <v>-63</v>
      </c>
      <c r="BB690" s="37">
        <f t="shared" si="1452"/>
        <v>18</v>
      </c>
      <c r="BC690" s="37">
        <f t="shared" si="1452"/>
        <v>-111</v>
      </c>
      <c r="BD690" s="821">
        <f t="shared" si="1473"/>
        <v>-212</v>
      </c>
      <c r="BE690" s="37">
        <f t="shared" si="1473"/>
        <v>-185</v>
      </c>
      <c r="BF690" s="22">
        <f t="shared" si="1454"/>
        <v>-116</v>
      </c>
      <c r="BG690" s="37">
        <f t="shared" si="1454"/>
        <v>-122</v>
      </c>
      <c r="BH690" s="22">
        <f t="shared" si="1455"/>
        <v>123</v>
      </c>
      <c r="BI690" s="852">
        <f t="shared" si="1474"/>
        <v>-300</v>
      </c>
      <c r="BJ690" s="22">
        <f t="shared" si="1474"/>
        <v>-300</v>
      </c>
      <c r="BK690" s="37">
        <f t="shared" si="1457"/>
        <v>-259</v>
      </c>
      <c r="BL690" s="37">
        <f t="shared" si="1457"/>
        <v>-206</v>
      </c>
      <c r="BM690" s="22">
        <f t="shared" si="1458"/>
        <v>-460</v>
      </c>
      <c r="BN690" s="852">
        <f t="shared" si="1475"/>
        <v>-1225</v>
      </c>
      <c r="BO690" s="37">
        <f t="shared" si="1475"/>
        <v>-172</v>
      </c>
      <c r="BP690" s="37">
        <f t="shared" si="1460"/>
        <v>-55</v>
      </c>
      <c r="BQ690" s="37">
        <f t="shared" si="1460"/>
        <v>-153</v>
      </c>
      <c r="BR690" s="22">
        <f t="shared" si="1461"/>
        <v>-128</v>
      </c>
      <c r="BS690" s="852">
        <f t="shared" ref="BS690:BT690" si="1483">BS638</f>
        <v>-508</v>
      </c>
      <c r="BT690" s="480">
        <f t="shared" si="1483"/>
        <v>43</v>
      </c>
      <c r="BU690" s="37"/>
      <c r="BV690" s="37"/>
      <c r="BW690" s="37"/>
      <c r="BX690" s="821">
        <f t="shared" si="1463"/>
        <v>43</v>
      </c>
      <c r="BY690" s="37"/>
      <c r="BZ690" s="37"/>
      <c r="CA690" s="37"/>
      <c r="CB690" s="37"/>
      <c r="CC690" s="821">
        <f t="shared" si="1464"/>
        <v>0</v>
      </c>
      <c r="CD690" s="821"/>
      <c r="CE690" s="821"/>
      <c r="CF690" s="821"/>
      <c r="CG690" s="22"/>
    </row>
    <row r="691" spans="1:85" s="428" customFormat="1" x14ac:dyDescent="0.3">
      <c r="A691" s="43" t="str">
        <f t="shared" si="1432"/>
        <v>Cash contributions to employee pension plans</v>
      </c>
      <c r="B691" s="109"/>
      <c r="C691" s="821">
        <f t="shared" si="1433"/>
        <v>-1739</v>
      </c>
      <c r="D691" s="821">
        <f t="shared" si="1433"/>
        <v>-1450</v>
      </c>
      <c r="E691" s="821">
        <f t="shared" si="1433"/>
        <v>-1467</v>
      </c>
      <c r="F691" s="821">
        <f t="shared" si="1433"/>
        <v>-1228</v>
      </c>
      <c r="G691" s="37">
        <f t="shared" si="1433"/>
        <v>-238</v>
      </c>
      <c r="H691" s="37">
        <f t="shared" si="1434"/>
        <v>-372</v>
      </c>
      <c r="I691" s="37">
        <f t="shared" si="1434"/>
        <v>-351</v>
      </c>
      <c r="J691" s="37">
        <f t="shared" si="1434"/>
        <v>-233</v>
      </c>
      <c r="K691" s="821">
        <f t="shared" si="1435"/>
        <v>-1194</v>
      </c>
      <c r="L691" s="37">
        <f t="shared" si="1435"/>
        <v>-89</v>
      </c>
      <c r="M691" s="37">
        <f t="shared" si="1436"/>
        <v>-70</v>
      </c>
      <c r="N691" s="37">
        <f t="shared" si="1436"/>
        <v>-68</v>
      </c>
      <c r="O691" s="37">
        <f t="shared" si="1436"/>
        <v>-165</v>
      </c>
      <c r="P691" s="821">
        <f t="shared" si="1437"/>
        <v>-392</v>
      </c>
      <c r="Q691" s="37">
        <f t="shared" si="1437"/>
        <v>-85</v>
      </c>
      <c r="R691" s="37">
        <f t="shared" si="1438"/>
        <v>-301</v>
      </c>
      <c r="S691" s="37">
        <f t="shared" si="1438"/>
        <v>-333</v>
      </c>
      <c r="T691" s="37">
        <f t="shared" si="1438"/>
        <v>-149</v>
      </c>
      <c r="U691" s="821">
        <f t="shared" si="1439"/>
        <v>-868</v>
      </c>
      <c r="V691" s="37">
        <f t="shared" si="1439"/>
        <v>-461</v>
      </c>
      <c r="W691" s="37">
        <f t="shared" si="1440"/>
        <v>-90</v>
      </c>
      <c r="X691" s="37">
        <f t="shared" si="1440"/>
        <v>-146</v>
      </c>
      <c r="Y691" s="37">
        <f t="shared" si="1440"/>
        <v>-173</v>
      </c>
      <c r="Z691" s="821">
        <f t="shared" si="1441"/>
        <v>-870</v>
      </c>
      <c r="AA691" s="37">
        <f t="shared" si="1441"/>
        <v>-170</v>
      </c>
      <c r="AB691" s="37">
        <f t="shared" si="1442"/>
        <v>-44</v>
      </c>
      <c r="AC691" s="37">
        <f t="shared" si="1442"/>
        <v>-611</v>
      </c>
      <c r="AD691" s="37">
        <f t="shared" si="1442"/>
        <v>-155</v>
      </c>
      <c r="AE691" s="821">
        <f t="shared" si="1443"/>
        <v>-980</v>
      </c>
      <c r="AF691" s="37">
        <f t="shared" si="1443"/>
        <v>-149</v>
      </c>
      <c r="AG691" s="37">
        <f t="shared" si="1444"/>
        <v>-382</v>
      </c>
      <c r="AH691" s="37">
        <f t="shared" si="1444"/>
        <v>-410</v>
      </c>
      <c r="AI691" s="37">
        <f t="shared" si="1444"/>
        <v>-94</v>
      </c>
      <c r="AJ691" s="821">
        <f t="shared" si="1445"/>
        <v>-1035</v>
      </c>
      <c r="AK691" s="37">
        <f t="shared" si="1445"/>
        <v>-326</v>
      </c>
      <c r="AL691" s="37">
        <f t="shared" si="1446"/>
        <v>-402</v>
      </c>
      <c r="AM691" s="37">
        <f t="shared" si="1446"/>
        <v>-476</v>
      </c>
      <c r="AN691" s="37">
        <f t="shared" si="1446"/>
        <v>-158</v>
      </c>
      <c r="AO691" s="821">
        <f t="shared" si="1447"/>
        <v>-1362</v>
      </c>
      <c r="AP691" s="37">
        <f t="shared" si="1447"/>
        <v>-213</v>
      </c>
      <c r="AQ691" s="37">
        <f t="shared" si="1448"/>
        <v>-318</v>
      </c>
      <c r="AR691" s="37">
        <f t="shared" si="1448"/>
        <v>-364</v>
      </c>
      <c r="AS691" s="37">
        <f t="shared" si="1448"/>
        <v>-318</v>
      </c>
      <c r="AT691" s="821">
        <f t="shared" si="1471"/>
        <v>-1213</v>
      </c>
      <c r="AU691" s="37">
        <f t="shared" si="1471"/>
        <v>-331</v>
      </c>
      <c r="AV691" s="37">
        <f t="shared" si="1450"/>
        <v>-250</v>
      </c>
      <c r="AW691" s="37">
        <f t="shared" si="1450"/>
        <v>-822</v>
      </c>
      <c r="AX691" s="37">
        <f t="shared" si="1450"/>
        <v>-348</v>
      </c>
      <c r="AY691" s="821">
        <f t="shared" si="1472"/>
        <v>-1751</v>
      </c>
      <c r="AZ691" s="37">
        <f t="shared" si="1472"/>
        <v>-463</v>
      </c>
      <c r="BA691" s="37">
        <f t="shared" si="1452"/>
        <v>-312</v>
      </c>
      <c r="BB691" s="37">
        <f t="shared" si="1452"/>
        <v>-312</v>
      </c>
      <c r="BC691" s="37">
        <f t="shared" si="1452"/>
        <v>-235</v>
      </c>
      <c r="BD691" s="821">
        <f t="shared" si="1473"/>
        <v>-1322</v>
      </c>
      <c r="BE691" s="37">
        <f t="shared" si="1473"/>
        <v>-345</v>
      </c>
      <c r="BF691" s="22">
        <f t="shared" si="1454"/>
        <v>-218</v>
      </c>
      <c r="BG691" s="37">
        <f t="shared" si="1454"/>
        <v>-330</v>
      </c>
      <c r="BH691" s="22">
        <f t="shared" si="1455"/>
        <v>-227</v>
      </c>
      <c r="BI691" s="852">
        <f t="shared" si="1474"/>
        <v>-1120</v>
      </c>
      <c r="BJ691" s="22">
        <f t="shared" si="1474"/>
        <v>-256</v>
      </c>
      <c r="BK691" s="37">
        <f t="shared" si="1457"/>
        <v>-198</v>
      </c>
      <c r="BL691" s="37">
        <f t="shared" si="1457"/>
        <v>-204</v>
      </c>
      <c r="BM691" s="22">
        <f t="shared" si="1458"/>
        <v>-186</v>
      </c>
      <c r="BN691" s="852">
        <f t="shared" si="1475"/>
        <v>-844</v>
      </c>
      <c r="BO691" s="37">
        <f t="shared" si="1475"/>
        <v>-263</v>
      </c>
      <c r="BP691" s="37">
        <f t="shared" si="1460"/>
        <v>-181</v>
      </c>
      <c r="BQ691" s="37">
        <f t="shared" si="1460"/>
        <v>-94</v>
      </c>
      <c r="BR691" s="22">
        <f t="shared" si="1461"/>
        <v>-50</v>
      </c>
      <c r="BS691" s="852">
        <f t="shared" ref="BS691:BT691" si="1484">BS639</f>
        <v>-588</v>
      </c>
      <c r="BT691" s="480">
        <f t="shared" si="1484"/>
        <v>-251</v>
      </c>
      <c r="BU691" s="37"/>
      <c r="BV691" s="37"/>
      <c r="BW691" s="37"/>
      <c r="BX691" s="821">
        <f t="shared" si="1463"/>
        <v>-251</v>
      </c>
      <c r="BY691" s="37"/>
      <c r="BZ691" s="37"/>
      <c r="CA691" s="37"/>
      <c r="CB691" s="37"/>
      <c r="CC691" s="821">
        <f t="shared" si="1464"/>
        <v>0</v>
      </c>
      <c r="CD691" s="821"/>
      <c r="CE691" s="821"/>
      <c r="CF691" s="821"/>
      <c r="CG691" s="22"/>
    </row>
    <row r="692" spans="1:85" s="428" customFormat="1" x14ac:dyDescent="0.3">
      <c r="A692" s="43" t="str">
        <f t="shared" si="1432"/>
        <v>Other</v>
      </c>
      <c r="B692" s="109"/>
      <c r="C692" s="821">
        <f t="shared" si="1433"/>
        <v>670</v>
      </c>
      <c r="D692" s="821">
        <f t="shared" si="1433"/>
        <v>692</v>
      </c>
      <c r="E692" s="821">
        <f t="shared" si="1433"/>
        <v>336</v>
      </c>
      <c r="F692" s="821">
        <f t="shared" si="1433"/>
        <v>1713</v>
      </c>
      <c r="G692" s="37">
        <f t="shared" si="1433"/>
        <v>344</v>
      </c>
      <c r="H692" s="37">
        <f t="shared" si="1434"/>
        <v>-213</v>
      </c>
      <c r="I692" s="37">
        <f t="shared" si="1434"/>
        <v>555</v>
      </c>
      <c r="J692" s="37">
        <f t="shared" si="1434"/>
        <v>557</v>
      </c>
      <c r="K692" s="821">
        <f t="shared" si="1435"/>
        <v>1243</v>
      </c>
      <c r="L692" s="37">
        <f t="shared" si="1435"/>
        <v>-197</v>
      </c>
      <c r="M692" s="37">
        <f t="shared" si="1436"/>
        <v>63</v>
      </c>
      <c r="N692" s="37">
        <f t="shared" si="1436"/>
        <v>77</v>
      </c>
      <c r="O692" s="37">
        <f t="shared" si="1436"/>
        <v>-321</v>
      </c>
      <c r="P692" s="821">
        <f t="shared" si="1437"/>
        <v>-378</v>
      </c>
      <c r="Q692" s="37">
        <f t="shared" si="1437"/>
        <v>-120</v>
      </c>
      <c r="R692" s="37">
        <f t="shared" si="1438"/>
        <v>234</v>
      </c>
      <c r="S692" s="37">
        <f t="shared" si="1438"/>
        <v>-150</v>
      </c>
      <c r="T692" s="37">
        <f t="shared" si="1438"/>
        <v>235</v>
      </c>
      <c r="U692" s="821">
        <f t="shared" si="1439"/>
        <v>199</v>
      </c>
      <c r="V692" s="37">
        <f t="shared" si="1439"/>
        <v>-175</v>
      </c>
      <c r="W692" s="37">
        <f t="shared" si="1440"/>
        <v>267</v>
      </c>
      <c r="X692" s="37">
        <f t="shared" si="1440"/>
        <v>446</v>
      </c>
      <c r="Y692" s="37">
        <f t="shared" si="1440"/>
        <v>134</v>
      </c>
      <c r="Z692" s="821">
        <f t="shared" si="1441"/>
        <v>672</v>
      </c>
      <c r="AA692" s="37">
        <f t="shared" si="1441"/>
        <v>-34</v>
      </c>
      <c r="AB692" s="37">
        <f t="shared" si="1442"/>
        <v>114</v>
      </c>
      <c r="AC692" s="37">
        <f t="shared" si="1442"/>
        <v>-6</v>
      </c>
      <c r="AD692" s="37">
        <f t="shared" si="1442"/>
        <v>177</v>
      </c>
      <c r="AE692" s="821">
        <f t="shared" si="1443"/>
        <v>251</v>
      </c>
      <c r="AF692" s="37">
        <f t="shared" si="1443"/>
        <v>-249</v>
      </c>
      <c r="AG692" s="37">
        <f t="shared" si="1444"/>
        <v>69</v>
      </c>
      <c r="AH692" s="37">
        <f t="shared" si="1444"/>
        <v>217</v>
      </c>
      <c r="AI692" s="37">
        <f t="shared" si="1444"/>
        <v>-24</v>
      </c>
      <c r="AJ692" s="821">
        <f t="shared" si="1445"/>
        <v>13</v>
      </c>
      <c r="AK692" s="37">
        <f t="shared" si="1445"/>
        <v>-14</v>
      </c>
      <c r="AL692" s="37">
        <f t="shared" si="1446"/>
        <v>153</v>
      </c>
      <c r="AM692" s="37">
        <f t="shared" si="1446"/>
        <v>-161</v>
      </c>
      <c r="AN692" s="37">
        <f t="shared" si="1446"/>
        <v>-330</v>
      </c>
      <c r="AO692" s="821">
        <f t="shared" si="1447"/>
        <v>-352</v>
      </c>
      <c r="AP692" s="37">
        <f t="shared" si="1447"/>
        <v>-874</v>
      </c>
      <c r="AQ692" s="37">
        <f t="shared" si="1448"/>
        <v>372</v>
      </c>
      <c r="AR692" s="37">
        <f t="shared" si="1448"/>
        <v>219</v>
      </c>
      <c r="AS692" s="37">
        <f t="shared" si="1448"/>
        <v>424</v>
      </c>
      <c r="AT692" s="821">
        <f t="shared" si="1471"/>
        <v>141</v>
      </c>
      <c r="AU692" s="37">
        <f t="shared" si="1471"/>
        <v>447</v>
      </c>
      <c r="AV692" s="37">
        <f t="shared" si="1450"/>
        <v>622</v>
      </c>
      <c r="AW692" s="37">
        <f t="shared" si="1450"/>
        <v>64</v>
      </c>
      <c r="AX692" s="37">
        <f t="shared" si="1450"/>
        <v>59</v>
      </c>
      <c r="AY692" s="821">
        <f t="shared" si="1472"/>
        <v>1192</v>
      </c>
      <c r="AZ692" s="37">
        <f t="shared" si="1472"/>
        <v>25</v>
      </c>
      <c r="BA692" s="37">
        <f t="shared" si="1452"/>
        <v>-5</v>
      </c>
      <c r="BB692" s="37">
        <f t="shared" si="1452"/>
        <v>113</v>
      </c>
      <c r="BC692" s="37">
        <f t="shared" si="1452"/>
        <v>-120</v>
      </c>
      <c r="BD692" s="821">
        <f t="shared" si="1473"/>
        <v>13</v>
      </c>
      <c r="BE692" s="37">
        <f t="shared" si="1473"/>
        <v>-668</v>
      </c>
      <c r="BF692" s="22">
        <f t="shared" si="1454"/>
        <v>-168</v>
      </c>
      <c r="BG692" s="37">
        <f t="shared" si="1454"/>
        <v>112</v>
      </c>
      <c r="BH692" s="22">
        <f t="shared" si="1455"/>
        <v>1762</v>
      </c>
      <c r="BI692" s="852">
        <f t="shared" si="1474"/>
        <v>1038</v>
      </c>
      <c r="BJ692" s="22">
        <f t="shared" si="1474"/>
        <v>-924</v>
      </c>
      <c r="BK692" s="37">
        <f t="shared" si="1457"/>
        <v>-61</v>
      </c>
      <c r="BL692" s="37">
        <f t="shared" si="1457"/>
        <v>-629</v>
      </c>
      <c r="BM692" s="22">
        <f t="shared" si="1458"/>
        <v>-170</v>
      </c>
      <c r="BN692" s="852">
        <f t="shared" si="1475"/>
        <v>-1784</v>
      </c>
      <c r="BO692" s="37">
        <f t="shared" si="1475"/>
        <v>-534</v>
      </c>
      <c r="BP692" s="37">
        <f t="shared" si="1460"/>
        <v>583</v>
      </c>
      <c r="BQ692" s="37">
        <f t="shared" si="1460"/>
        <v>3</v>
      </c>
      <c r="BR692" s="22">
        <f t="shared" si="1461"/>
        <v>-210</v>
      </c>
      <c r="BS692" s="852">
        <f t="shared" ref="BS692:BT692" si="1485">BS640</f>
        <v>-158</v>
      </c>
      <c r="BT692" s="480">
        <f t="shared" si="1485"/>
        <v>-382</v>
      </c>
      <c r="BU692" s="37"/>
      <c r="BV692" s="37"/>
      <c r="BW692" s="37"/>
      <c r="BX692" s="821">
        <f t="shared" si="1463"/>
        <v>-382</v>
      </c>
      <c r="BY692" s="37"/>
      <c r="BZ692" s="37"/>
      <c r="CA692" s="37"/>
      <c r="CB692" s="37"/>
      <c r="CC692" s="821">
        <f t="shared" si="1464"/>
        <v>0</v>
      </c>
      <c r="CD692" s="821"/>
      <c r="CE692" s="821"/>
      <c r="CF692" s="821"/>
      <c r="CG692" s="22"/>
    </row>
    <row r="693" spans="1:85" s="428" customFormat="1" x14ac:dyDescent="0.3">
      <c r="A693" s="43" t="str">
        <f t="shared" si="1432"/>
        <v>Impairment of assets</v>
      </c>
      <c r="B693" s="109"/>
      <c r="C693" s="821"/>
      <c r="D693" s="821"/>
      <c r="E693" s="821"/>
      <c r="F693" s="821"/>
      <c r="G693" s="37"/>
      <c r="H693" s="37"/>
      <c r="I693" s="37"/>
      <c r="J693" s="37"/>
      <c r="K693" s="821"/>
      <c r="L693" s="37"/>
      <c r="M693" s="37"/>
      <c r="N693" s="37"/>
      <c r="O693" s="37"/>
      <c r="P693" s="821"/>
      <c r="Q693" s="37"/>
      <c r="R693" s="37"/>
      <c r="S693" s="37"/>
      <c r="T693" s="37"/>
      <c r="U693" s="821"/>
      <c r="V693" s="37"/>
      <c r="W693" s="37"/>
      <c r="X693" s="37"/>
      <c r="Y693" s="37"/>
      <c r="Z693" s="821"/>
      <c r="AA693" s="37"/>
      <c r="AB693" s="37"/>
      <c r="AC693" s="37"/>
      <c r="AD693" s="37"/>
      <c r="AE693" s="821"/>
      <c r="AF693" s="37"/>
      <c r="AG693" s="37"/>
      <c r="AH693" s="37"/>
      <c r="AI693" s="37"/>
      <c r="AJ693" s="821"/>
      <c r="AK693" s="37"/>
      <c r="AL693" s="37"/>
      <c r="AM693" s="37"/>
      <c r="AN693" s="37">
        <f>AN641-AM641</f>
        <v>0</v>
      </c>
      <c r="AO693" s="821">
        <f>AO641</f>
        <v>0</v>
      </c>
      <c r="AP693" s="37"/>
      <c r="AQ693" s="37"/>
      <c r="AR693" s="37"/>
      <c r="AS693" s="37">
        <f>AS641-AR641</f>
        <v>0</v>
      </c>
      <c r="AT693" s="821">
        <f>AT641</f>
        <v>0</v>
      </c>
      <c r="AU693" s="37"/>
      <c r="AV693" s="37"/>
      <c r="AW693" s="37"/>
      <c r="AX693" s="37">
        <f>AX641-AW641</f>
        <v>0</v>
      </c>
      <c r="AY693" s="821">
        <f>AY641</f>
        <v>0</v>
      </c>
      <c r="AZ693" s="37"/>
      <c r="BA693" s="37"/>
      <c r="BB693" s="37"/>
      <c r="BC693" s="37">
        <f>BC641-BB641</f>
        <v>0</v>
      </c>
      <c r="BD693" s="821">
        <f>BD641</f>
        <v>0</v>
      </c>
      <c r="BE693" s="37"/>
      <c r="BF693" s="37"/>
      <c r="BG693" s="37"/>
      <c r="BH693" s="22">
        <f>BH641-BG641</f>
        <v>0</v>
      </c>
      <c r="BI693" s="852">
        <f>BI641</f>
        <v>0</v>
      </c>
      <c r="BJ693" s="37"/>
      <c r="BK693" s="37">
        <f t="shared" si="1457"/>
        <v>0</v>
      </c>
      <c r="BL693" s="37"/>
      <c r="BM693" s="22">
        <f>BM641-BL641</f>
        <v>0</v>
      </c>
      <c r="BN693" s="852">
        <f>BN641</f>
        <v>0</v>
      </c>
      <c r="BO693" s="37"/>
      <c r="BP693" s="37">
        <f t="shared" si="1460"/>
        <v>0</v>
      </c>
      <c r="BQ693" s="37"/>
      <c r="BR693" s="22">
        <f>BR641-BQ641</f>
        <v>0</v>
      </c>
      <c r="BS693" s="852">
        <f>BS641</f>
        <v>0</v>
      </c>
      <c r="BT693" s="480"/>
      <c r="BU693" s="37">
        <f>BU511</f>
        <v>0</v>
      </c>
      <c r="BV693" s="37">
        <f>BV511</f>
        <v>0</v>
      </c>
      <c r="BW693" s="37">
        <f>BW511</f>
        <v>0</v>
      </c>
      <c r="BX693" s="821">
        <f t="shared" si="1463"/>
        <v>0</v>
      </c>
      <c r="BY693" s="37">
        <f>BY511</f>
        <v>0</v>
      </c>
      <c r="BZ693" s="37">
        <f>BZ511</f>
        <v>0</v>
      </c>
      <c r="CA693" s="37">
        <f>CA511</f>
        <v>0</v>
      </c>
      <c r="CB693" s="37">
        <f>CB511</f>
        <v>0</v>
      </c>
      <c r="CC693" s="821">
        <f t="shared" si="1464"/>
        <v>0</v>
      </c>
      <c r="CD693" s="821">
        <f>CD511</f>
        <v>0</v>
      </c>
      <c r="CE693" s="821">
        <f>CE511</f>
        <v>0</v>
      </c>
      <c r="CF693" s="821">
        <f>CF511</f>
        <v>0</v>
      </c>
      <c r="CG693" s="22"/>
    </row>
    <row r="694" spans="1:85" s="428" customFormat="1" x14ac:dyDescent="0.3">
      <c r="A694" s="242" t="str">
        <f t="shared" si="1432"/>
        <v>Stock-based compensation</v>
      </c>
      <c r="B694" s="244"/>
      <c r="C694" s="822">
        <f>C642</f>
        <v>0</v>
      </c>
      <c r="D694" s="822">
        <f>D642</f>
        <v>0</v>
      </c>
      <c r="E694" s="822">
        <f>E642</f>
        <v>0</v>
      </c>
      <c r="F694" s="822">
        <f>F642</f>
        <v>0</v>
      </c>
      <c r="G694" s="56">
        <f>G642</f>
        <v>0</v>
      </c>
      <c r="H694" s="56">
        <f>H642-G642</f>
        <v>0</v>
      </c>
      <c r="I694" s="56">
        <f>I642-H642</f>
        <v>0</v>
      </c>
      <c r="J694" s="56">
        <f>J642-I642</f>
        <v>0</v>
      </c>
      <c r="K694" s="822">
        <f>K642</f>
        <v>0</v>
      </c>
      <c r="L694" s="56">
        <f>L642</f>
        <v>0</v>
      </c>
      <c r="M694" s="56">
        <f>M642-L642</f>
        <v>0</v>
      </c>
      <c r="N694" s="56">
        <f>N642-M642</f>
        <v>0</v>
      </c>
      <c r="O694" s="56">
        <f>O642-N642</f>
        <v>0</v>
      </c>
      <c r="P694" s="822">
        <f>P642</f>
        <v>0</v>
      </c>
      <c r="Q694" s="56">
        <f>Q642</f>
        <v>0</v>
      </c>
      <c r="R694" s="56">
        <f>R642-Q642</f>
        <v>0</v>
      </c>
      <c r="S694" s="56">
        <f>S642-R642</f>
        <v>0</v>
      </c>
      <c r="T694" s="56">
        <f>T642-S642</f>
        <v>0</v>
      </c>
      <c r="U694" s="822">
        <f>U642</f>
        <v>0</v>
      </c>
      <c r="V694" s="56">
        <f>V642</f>
        <v>0</v>
      </c>
      <c r="W694" s="56">
        <f>W642-V642</f>
        <v>0</v>
      </c>
      <c r="X694" s="56">
        <f>X642-W642</f>
        <v>0</v>
      </c>
      <c r="Y694" s="56">
        <f>Y642-X642</f>
        <v>0</v>
      </c>
      <c r="Z694" s="822">
        <f>Z642</f>
        <v>0</v>
      </c>
      <c r="AA694" s="56">
        <f>AA642</f>
        <v>0</v>
      </c>
      <c r="AB694" s="56">
        <f>AB642-AA642</f>
        <v>0</v>
      </c>
      <c r="AC694" s="56">
        <f>AC642-AB642</f>
        <v>0</v>
      </c>
      <c r="AD694" s="56">
        <f>AD642-AC642</f>
        <v>0</v>
      </c>
      <c r="AE694" s="822">
        <f>AE642</f>
        <v>0</v>
      </c>
      <c r="AF694" s="56">
        <f>AF642</f>
        <v>0</v>
      </c>
      <c r="AG694" s="56">
        <f>AG642-AF642</f>
        <v>0</v>
      </c>
      <c r="AH694" s="56">
        <f>AH642-AG642</f>
        <v>0</v>
      </c>
      <c r="AI694" s="56">
        <f>AI642-AH642</f>
        <v>0</v>
      </c>
      <c r="AJ694" s="822">
        <f>AJ642</f>
        <v>0</v>
      </c>
      <c r="AK694" s="56">
        <f>AK642</f>
        <v>0</v>
      </c>
      <c r="AL694" s="56">
        <f>AL642-AK642</f>
        <v>0</v>
      </c>
      <c r="AM694" s="56">
        <f>AM642-AL642</f>
        <v>0</v>
      </c>
      <c r="AN694" s="56">
        <f>AN642-AM642</f>
        <v>0</v>
      </c>
      <c r="AO694" s="822">
        <f>AO642</f>
        <v>0</v>
      </c>
      <c r="AP694" s="56">
        <f>AP642</f>
        <v>0</v>
      </c>
      <c r="AQ694" s="56">
        <f>AQ642-AP642</f>
        <v>0</v>
      </c>
      <c r="AR694" s="56">
        <f>AR642-AQ642</f>
        <v>0</v>
      </c>
      <c r="AS694" s="56">
        <f>AS642-AR642</f>
        <v>0</v>
      </c>
      <c r="AT694" s="822">
        <f>AT642</f>
        <v>0</v>
      </c>
      <c r="AU694" s="56">
        <f>AU642</f>
        <v>0</v>
      </c>
      <c r="AV694" s="56">
        <f>AV642-AU642</f>
        <v>0</v>
      </c>
      <c r="AW694" s="56">
        <f>AW642-AV642</f>
        <v>0</v>
      </c>
      <c r="AX694" s="56">
        <f>AX642-AW642</f>
        <v>0</v>
      </c>
      <c r="AY694" s="822">
        <f>AY642</f>
        <v>0</v>
      </c>
      <c r="AZ694" s="56">
        <f>AZ642</f>
        <v>0</v>
      </c>
      <c r="BA694" s="56">
        <f>BA642-AZ642</f>
        <v>0</v>
      </c>
      <c r="BB694" s="56">
        <f>BB642-BA642</f>
        <v>0</v>
      </c>
      <c r="BC694" s="56">
        <f>BC642-BB642</f>
        <v>0</v>
      </c>
      <c r="BD694" s="822">
        <f>BD642</f>
        <v>0</v>
      </c>
      <c r="BE694" s="56">
        <f>BE642</f>
        <v>0</v>
      </c>
      <c r="BF694" s="27">
        <f>BF642-BE642</f>
        <v>0</v>
      </c>
      <c r="BG694" s="56">
        <f>BG642-BF642</f>
        <v>0</v>
      </c>
      <c r="BH694" s="27">
        <f>BH642-BG642</f>
        <v>0</v>
      </c>
      <c r="BI694" s="879">
        <f>BI642</f>
        <v>0</v>
      </c>
      <c r="BJ694" s="27">
        <f>BJ642</f>
        <v>0</v>
      </c>
      <c r="BK694" s="56">
        <f t="shared" si="1457"/>
        <v>0</v>
      </c>
      <c r="BL694" s="56">
        <f>BL642-BK642</f>
        <v>0</v>
      </c>
      <c r="BM694" s="27">
        <f>BM642-BL642</f>
        <v>0</v>
      </c>
      <c r="BN694" s="879">
        <f>BN642</f>
        <v>0</v>
      </c>
      <c r="BO694" s="56">
        <f>BO642</f>
        <v>0</v>
      </c>
      <c r="BP694" s="56">
        <f t="shared" si="1460"/>
        <v>0</v>
      </c>
      <c r="BQ694" s="56">
        <f>BQ642-BP642</f>
        <v>0</v>
      </c>
      <c r="BR694" s="27">
        <f>BR642-BQ642</f>
        <v>0</v>
      </c>
      <c r="BS694" s="879">
        <f>BS642</f>
        <v>0</v>
      </c>
      <c r="BT694" s="478">
        <f>BT642</f>
        <v>0</v>
      </c>
      <c r="BU694" s="56"/>
      <c r="BV694" s="56"/>
      <c r="BW694" s="56"/>
      <c r="BX694" s="822">
        <f t="shared" si="1463"/>
        <v>0</v>
      </c>
      <c r="BY694" s="56"/>
      <c r="BZ694" s="56"/>
      <c r="CA694" s="56"/>
      <c r="CB694" s="56"/>
      <c r="CC694" s="822">
        <f t="shared" si="1464"/>
        <v>0</v>
      </c>
      <c r="CD694" s="822"/>
      <c r="CE694" s="822"/>
      <c r="CF694" s="822"/>
      <c r="CG694" s="22"/>
    </row>
    <row r="695" spans="1:85" s="429" customFormat="1" x14ac:dyDescent="0.3">
      <c r="A695" s="42" t="str">
        <f t="shared" si="1432"/>
        <v>CFO before WC</v>
      </c>
      <c r="B695" s="99"/>
      <c r="C695" s="823">
        <f t="shared" ref="C695:AH695" si="1486">SUM(C681:C694)</f>
        <v>21674</v>
      </c>
      <c r="D695" s="823">
        <f t="shared" si="1486"/>
        <v>31278</v>
      </c>
      <c r="E695" s="823">
        <f t="shared" si="1486"/>
        <v>38777</v>
      </c>
      <c r="F695" s="823">
        <f t="shared" si="1486"/>
        <v>38449</v>
      </c>
      <c r="G695" s="393">
        <f t="shared" si="1486"/>
        <v>9074</v>
      </c>
      <c r="H695" s="393">
        <f t="shared" si="1486"/>
        <v>7675</v>
      </c>
      <c r="I695" s="393">
        <f t="shared" si="1486"/>
        <v>9889</v>
      </c>
      <c r="J695" s="393">
        <f t="shared" si="1486"/>
        <v>9695</v>
      </c>
      <c r="K695" s="823">
        <f t="shared" si="1486"/>
        <v>36333</v>
      </c>
      <c r="L695" s="393">
        <f t="shared" si="1486"/>
        <v>8035</v>
      </c>
      <c r="M695" s="393">
        <f t="shared" si="1486"/>
        <v>9004</v>
      </c>
      <c r="N695" s="393">
        <f t="shared" si="1486"/>
        <v>8315</v>
      </c>
      <c r="O695" s="393">
        <f t="shared" si="1486"/>
        <v>6661</v>
      </c>
      <c r="P695" s="823">
        <f t="shared" si="1486"/>
        <v>32015</v>
      </c>
      <c r="Q695" s="393">
        <f t="shared" si="1486"/>
        <v>4304</v>
      </c>
      <c r="R695" s="393">
        <f t="shared" si="1486"/>
        <v>7260</v>
      </c>
      <c r="S695" s="393">
        <f t="shared" si="1486"/>
        <v>5656</v>
      </c>
      <c r="T695" s="393">
        <f t="shared" si="1486"/>
        <v>4215</v>
      </c>
      <c r="U695" s="823">
        <f t="shared" si="1486"/>
        <v>21435</v>
      </c>
      <c r="V695" s="393">
        <f t="shared" si="1486"/>
        <v>2134</v>
      </c>
      <c r="W695" s="393">
        <f t="shared" si="1486"/>
        <v>3629</v>
      </c>
      <c r="X695" s="393">
        <f t="shared" si="1486"/>
        <v>4486</v>
      </c>
      <c r="Y695" s="393">
        <f t="shared" si="1486"/>
        <v>3147</v>
      </c>
      <c r="Z695" s="823">
        <f t="shared" si="1486"/>
        <v>13396</v>
      </c>
      <c r="AA695" s="393">
        <f t="shared" si="1486"/>
        <v>4836</v>
      </c>
      <c r="AB695" s="393">
        <f t="shared" si="1486"/>
        <v>5277</v>
      </c>
      <c r="AC695" s="393">
        <f t="shared" si="1486"/>
        <v>4867</v>
      </c>
      <c r="AD695" s="393">
        <f t="shared" si="1486"/>
        <v>5059</v>
      </c>
      <c r="AE695" s="823">
        <f t="shared" si="1486"/>
        <v>20039</v>
      </c>
      <c r="AF695" s="393">
        <f t="shared" si="1486"/>
        <v>7147</v>
      </c>
      <c r="AG695" s="393">
        <f t="shared" si="1486"/>
        <v>7038</v>
      </c>
      <c r="AH695" s="393">
        <f t="shared" si="1486"/>
        <v>9164</v>
      </c>
      <c r="AI695" s="393">
        <f t="shared" ref="AI695:AQ695" si="1487">SUM(AI681:AI694)</f>
        <v>7987</v>
      </c>
      <c r="AJ695" s="823">
        <f t="shared" si="1487"/>
        <v>31336</v>
      </c>
      <c r="AK695" s="393">
        <f t="shared" si="1487"/>
        <v>6267</v>
      </c>
      <c r="AL695" s="393">
        <f t="shared" si="1487"/>
        <v>7852</v>
      </c>
      <c r="AM695" s="393">
        <f t="shared" si="1487"/>
        <v>6412</v>
      </c>
      <c r="AN695" s="393">
        <f t="shared" si="1487"/>
        <v>5289</v>
      </c>
      <c r="AO695" s="823">
        <f t="shared" si="1487"/>
        <v>25820</v>
      </c>
      <c r="AP695" s="393">
        <f t="shared" si="1487"/>
        <v>5818</v>
      </c>
      <c r="AQ695" s="393">
        <f t="shared" si="1487"/>
        <v>-643</v>
      </c>
      <c r="AR695" s="393">
        <f>SUM(AR681:AR694)</f>
        <v>3185</v>
      </c>
      <c r="AS695" s="393">
        <f t="shared" ref="AS695:AV695" si="1488">SUM(AS681:AS694)</f>
        <v>3869</v>
      </c>
      <c r="AT695" s="823">
        <f t="shared" si="1488"/>
        <v>12229</v>
      </c>
      <c r="AU695" s="393">
        <f t="shared" si="1488"/>
        <v>5098</v>
      </c>
      <c r="AV695" s="393">
        <f t="shared" si="1488"/>
        <v>7084</v>
      </c>
      <c r="AW695" s="393">
        <f>SUM(AW681:AW694)</f>
        <v>9006</v>
      </c>
      <c r="AX695" s="393">
        <f t="shared" ref="AX695:BA695" si="1489">SUM(AX681:AX694)</f>
        <v>9360</v>
      </c>
      <c r="AY695" s="823">
        <f t="shared" si="1489"/>
        <v>30548</v>
      </c>
      <c r="AZ695" s="393">
        <f t="shared" si="1489"/>
        <v>8992</v>
      </c>
      <c r="BA695" s="393">
        <f t="shared" si="1489"/>
        <v>13250</v>
      </c>
      <c r="BB695" s="393">
        <f t="shared" ref="BB695:BF695" si="1490">SUM(BB681:BB694)</f>
        <v>13690</v>
      </c>
      <c r="BC695" s="393">
        <f t="shared" si="1490"/>
        <v>11545</v>
      </c>
      <c r="BD695" s="823">
        <f t="shared" si="1490"/>
        <v>47477</v>
      </c>
      <c r="BE695" s="393">
        <f t="shared" si="1490"/>
        <v>9020</v>
      </c>
      <c r="BF695" s="394">
        <f t="shared" si="1490"/>
        <v>9430</v>
      </c>
      <c r="BG695" s="393">
        <f t="shared" ref="BG695:BK695" si="1491">SUM(BG681:BG694)</f>
        <v>8906</v>
      </c>
      <c r="BH695" s="394">
        <f t="shared" si="1491"/>
        <v>11438</v>
      </c>
      <c r="BI695" s="824">
        <f t="shared" si="1491"/>
        <v>38794</v>
      </c>
      <c r="BJ695" s="394">
        <f t="shared" si="1491"/>
        <v>7972</v>
      </c>
      <c r="BK695" s="394">
        <f t="shared" si="1491"/>
        <v>8726</v>
      </c>
      <c r="BL695" s="393">
        <f t="shared" ref="BL695:BP695" si="1492">SUM(BL681:BL694)</f>
        <v>8271</v>
      </c>
      <c r="BM695" s="394">
        <f t="shared" si="1492"/>
        <v>5312</v>
      </c>
      <c r="BN695" s="824">
        <f t="shared" si="1492"/>
        <v>30281</v>
      </c>
      <c r="BO695" s="394">
        <f t="shared" si="1492"/>
        <v>7597</v>
      </c>
      <c r="BP695" s="394">
        <f t="shared" si="1492"/>
        <v>8298</v>
      </c>
      <c r="BQ695" s="393">
        <f t="shared" ref="BQ695:BT695" si="1493">SUM(BQ681:BQ694)</f>
        <v>9940</v>
      </c>
      <c r="BR695" s="394">
        <f t="shared" si="1493"/>
        <v>9112</v>
      </c>
      <c r="BS695" s="824">
        <f t="shared" si="1493"/>
        <v>34947</v>
      </c>
      <c r="BT695" s="641">
        <f t="shared" si="1493"/>
        <v>7139</v>
      </c>
      <c r="BU695" s="393">
        <f>SUM(BU681:BU694)</f>
        <v>15186.854767698625</v>
      </c>
      <c r="BV695" s="393">
        <f ca="1">SUM(BV681:BV694)</f>
        <v>11638.625420904107</v>
      </c>
      <c r="BW695" s="393">
        <f ca="1">SUM(BW681:BW694)</f>
        <v>11332.36695090411</v>
      </c>
      <c r="BX695" s="823">
        <f t="shared" ref="BX695" ca="1" si="1494">SUM(BX681:BX694)</f>
        <v>45296.847139506841</v>
      </c>
      <c r="BY695" s="393">
        <f t="shared" ref="BY695:CF695" ca="1" si="1495">SUM(BY681:BY694)</f>
        <v>12196.860269315066</v>
      </c>
      <c r="BZ695" s="393">
        <f t="shared" ca="1" si="1495"/>
        <v>12714.108831913014</v>
      </c>
      <c r="CA695" s="393">
        <f t="shared" ca="1" si="1495"/>
        <v>12883.938858610953</v>
      </c>
      <c r="CB695" s="393">
        <f t="shared" ca="1" si="1495"/>
        <v>12790.883953810957</v>
      </c>
      <c r="CC695" s="823">
        <f t="shared" ca="1" si="1495"/>
        <v>50585.791913649991</v>
      </c>
      <c r="CD695" s="823">
        <f t="shared" ca="1" si="1495"/>
        <v>49927.821157500002</v>
      </c>
      <c r="CE695" s="823">
        <f t="shared" ca="1" si="1495"/>
        <v>48642.951027750001</v>
      </c>
      <c r="CF695" s="823">
        <f t="shared" ca="1" si="1495"/>
        <v>42776.002814999993</v>
      </c>
      <c r="CG695" s="26"/>
    </row>
    <row r="696" spans="1:85" s="428" customFormat="1" x14ac:dyDescent="0.3">
      <c r="A696" s="242" t="str">
        <f t="shared" si="1432"/>
        <v>Net increase in operating working capital</v>
      </c>
      <c r="B696" s="244"/>
      <c r="C696" s="822">
        <f>C644</f>
        <v>-2301</v>
      </c>
      <c r="D696" s="822">
        <f>D644</f>
        <v>76</v>
      </c>
      <c r="E696" s="822">
        <f>E644</f>
        <v>2318</v>
      </c>
      <c r="F696" s="822">
        <f>F644</f>
        <v>363</v>
      </c>
      <c r="G696" s="56">
        <f>G644</f>
        <v>-3360</v>
      </c>
      <c r="H696" s="56">
        <f>H644-G644</f>
        <v>845</v>
      </c>
      <c r="I696" s="56">
        <f>I644-H644</f>
        <v>427</v>
      </c>
      <c r="J696" s="56">
        <f>J644-I644</f>
        <v>757</v>
      </c>
      <c r="K696" s="822">
        <f>K644</f>
        <v>-1331</v>
      </c>
      <c r="L696" s="56">
        <f>L644</f>
        <v>382</v>
      </c>
      <c r="M696" s="56">
        <f>M644-L644</f>
        <v>-1123</v>
      </c>
      <c r="N696" s="56">
        <f>N644-M644</f>
        <v>365</v>
      </c>
      <c r="O696" s="56">
        <f>O644-N644</f>
        <v>-164</v>
      </c>
      <c r="P696" s="822">
        <f>P644</f>
        <v>-540</v>
      </c>
      <c r="Q696" s="56">
        <f>Q644</f>
        <v>-1985</v>
      </c>
      <c r="R696" s="56">
        <f>R644-Q644</f>
        <v>-40</v>
      </c>
      <c r="S696" s="56">
        <f>S644-R644</f>
        <v>-296</v>
      </c>
      <c r="T696" s="56">
        <f>T644-S644</f>
        <v>342</v>
      </c>
      <c r="U696" s="822">
        <f>U644</f>
        <v>-1979</v>
      </c>
      <c r="V696" s="56">
        <f>V644</f>
        <v>-993</v>
      </c>
      <c r="W696" s="56">
        <f>W644-V644</f>
        <v>-1098</v>
      </c>
      <c r="X696" s="56">
        <f>X644-W644</f>
        <v>825</v>
      </c>
      <c r="Y696" s="56">
        <f>Y644-X644</f>
        <v>716</v>
      </c>
      <c r="Z696" s="822">
        <f>Z644</f>
        <v>-550</v>
      </c>
      <c r="AA696" s="56">
        <f>AA644</f>
        <v>-957</v>
      </c>
      <c r="AB696" s="56">
        <f>AB644-AA644</f>
        <v>-241</v>
      </c>
      <c r="AC696" s="56">
        <f>AC644-AB644</f>
        <v>503</v>
      </c>
      <c r="AD696" s="56">
        <f>AD644-AC644</f>
        <v>1171</v>
      </c>
      <c r="AE696" s="822">
        <f>AE644</f>
        <v>476</v>
      </c>
      <c r="AF696" s="56">
        <f>AF644</f>
        <v>-2104</v>
      </c>
      <c r="AG696" s="56">
        <f>AG644-AF644</f>
        <v>-183</v>
      </c>
      <c r="AH696" s="56">
        <f>AH644-AG644</f>
        <v>405</v>
      </c>
      <c r="AI696" s="56">
        <f>AI644-AH644</f>
        <v>1164</v>
      </c>
      <c r="AJ696" s="822">
        <f>AJ644</f>
        <v>-718</v>
      </c>
      <c r="AK696" s="56">
        <f>AK644</f>
        <v>-1210</v>
      </c>
      <c r="AL696" s="56">
        <f>AL644-AK644</f>
        <v>931</v>
      </c>
      <c r="AM696" s="56">
        <f>AM644-AL644</f>
        <v>1405</v>
      </c>
      <c r="AN696" s="56">
        <f>AN644-AM644</f>
        <v>368</v>
      </c>
      <c r="AO696" s="822">
        <f>AO644</f>
        <v>1494</v>
      </c>
      <c r="AP696" s="56">
        <f>AP644</f>
        <v>-1096</v>
      </c>
      <c r="AQ696" s="56">
        <f>AQ644-AP644</f>
        <v>723</v>
      </c>
      <c r="AR696" s="56">
        <f>AR644-AQ644</f>
        <v>352</v>
      </c>
      <c r="AS696" s="56">
        <f>AS644-AR644</f>
        <v>-1631</v>
      </c>
      <c r="AT696" s="822">
        <f>AT644</f>
        <v>-1652</v>
      </c>
      <c r="AU696" s="56">
        <f>AU644</f>
        <v>-902</v>
      </c>
      <c r="AV696" s="56">
        <f>AV644-AU644</f>
        <v>-130</v>
      </c>
      <c r="AW696" s="56">
        <f>AW644-AV644</f>
        <v>-427</v>
      </c>
      <c r="AX696" s="56">
        <f>AX644-AW644</f>
        <v>98</v>
      </c>
      <c r="AY696" s="822">
        <f>AY644</f>
        <v>-1361</v>
      </c>
      <c r="AZ696" s="56">
        <f>AZ644</f>
        <v>-937</v>
      </c>
      <c r="BA696" s="56">
        <f>BA644-AZ644</f>
        <v>532</v>
      </c>
      <c r="BB696" s="56">
        <f>BB644-BA644</f>
        <v>1577</v>
      </c>
      <c r="BC696" s="56">
        <f>BC644-BB644</f>
        <v>953</v>
      </c>
      <c r="BD696" s="822">
        <f>BD644</f>
        <v>2125</v>
      </c>
      <c r="BE696" s="56">
        <f>BE644</f>
        <v>-1815</v>
      </c>
      <c r="BF696" s="27">
        <f>BF644-BE644</f>
        <v>-3133</v>
      </c>
      <c r="BG696" s="56">
        <f>BG644-BF644</f>
        <v>767</v>
      </c>
      <c r="BH696" s="27">
        <f>BH644-BG644</f>
        <v>996</v>
      </c>
      <c r="BI696" s="879">
        <f>BI644</f>
        <v>-3185</v>
      </c>
      <c r="BJ696" s="27">
        <f>BJ644</f>
        <v>-1144</v>
      </c>
      <c r="BK696" s="56">
        <f>BK644-BJ644</f>
        <v>-2431</v>
      </c>
      <c r="BL696" s="56">
        <f>BL644-BK644</f>
        <v>1403</v>
      </c>
      <c r="BM696" s="27">
        <f>BM644-BL644</f>
        <v>3383</v>
      </c>
      <c r="BN696" s="879">
        <f>BN644</f>
        <v>1211</v>
      </c>
      <c r="BO696" s="56">
        <f>BO644</f>
        <v>-2408</v>
      </c>
      <c r="BP696" s="56">
        <f>BP644-BO644</f>
        <v>278</v>
      </c>
      <c r="BQ696" s="56">
        <f>BQ644-BP644</f>
        <v>-555</v>
      </c>
      <c r="BR696" s="27">
        <f>BR644-BQ644</f>
        <v>1677</v>
      </c>
      <c r="BS696" s="879">
        <f>BS644</f>
        <v>-1008</v>
      </c>
      <c r="BT696" s="478">
        <f>BT644</f>
        <v>-4625</v>
      </c>
      <c r="BU696" s="56"/>
      <c r="BV696" s="56"/>
      <c r="BW696" s="56"/>
      <c r="BX696" s="822">
        <f>SUM(BT696,BU696,BV696,BW696)</f>
        <v>-4625</v>
      </c>
      <c r="BY696" s="56"/>
      <c r="BZ696" s="56"/>
      <c r="CA696" s="56"/>
      <c r="CB696" s="56"/>
      <c r="CC696" s="822">
        <f>SUM(BY696,BZ696,CA696,CB696)</f>
        <v>0</v>
      </c>
      <c r="CD696" s="822"/>
      <c r="CE696" s="822"/>
      <c r="CF696" s="822"/>
      <c r="CG696" s="22"/>
    </row>
    <row r="697" spans="1:85" s="429" customFormat="1" x14ac:dyDescent="0.3">
      <c r="A697" s="42" t="str">
        <f t="shared" si="1432"/>
        <v>Net CFO</v>
      </c>
      <c r="B697" s="99"/>
      <c r="C697" s="823">
        <f t="shared" ref="C697:AH697" si="1496">SUM(C695:C696)</f>
        <v>19373</v>
      </c>
      <c r="D697" s="823">
        <f t="shared" si="1496"/>
        <v>31354</v>
      </c>
      <c r="E697" s="823">
        <f t="shared" si="1496"/>
        <v>41095</v>
      </c>
      <c r="F697" s="823">
        <f t="shared" si="1496"/>
        <v>38812</v>
      </c>
      <c r="G697" s="393">
        <f t="shared" si="1496"/>
        <v>5714</v>
      </c>
      <c r="H697" s="393">
        <f t="shared" si="1496"/>
        <v>8520</v>
      </c>
      <c r="I697" s="393">
        <f t="shared" si="1496"/>
        <v>10316</v>
      </c>
      <c r="J697" s="393">
        <f t="shared" si="1496"/>
        <v>10452</v>
      </c>
      <c r="K697" s="823">
        <f t="shared" si="1496"/>
        <v>35002</v>
      </c>
      <c r="L697" s="393">
        <f t="shared" si="1496"/>
        <v>8417</v>
      </c>
      <c r="M697" s="393">
        <f t="shared" si="1496"/>
        <v>7881</v>
      </c>
      <c r="N697" s="393">
        <f t="shared" si="1496"/>
        <v>8680</v>
      </c>
      <c r="O697" s="393">
        <f t="shared" si="1496"/>
        <v>6497</v>
      </c>
      <c r="P697" s="823">
        <f t="shared" si="1496"/>
        <v>31475</v>
      </c>
      <c r="Q697" s="393">
        <f t="shared" si="1496"/>
        <v>2319</v>
      </c>
      <c r="R697" s="393">
        <f t="shared" si="1496"/>
        <v>7220</v>
      </c>
      <c r="S697" s="393">
        <f t="shared" si="1496"/>
        <v>5360</v>
      </c>
      <c r="T697" s="393">
        <f t="shared" si="1496"/>
        <v>4557</v>
      </c>
      <c r="U697" s="823">
        <f t="shared" si="1496"/>
        <v>19456</v>
      </c>
      <c r="V697" s="393">
        <f t="shared" si="1496"/>
        <v>1141</v>
      </c>
      <c r="W697" s="393">
        <f t="shared" si="1496"/>
        <v>2531</v>
      </c>
      <c r="X697" s="393">
        <f t="shared" si="1496"/>
        <v>5311</v>
      </c>
      <c r="Y697" s="393">
        <f t="shared" si="1496"/>
        <v>3863</v>
      </c>
      <c r="Z697" s="823">
        <f t="shared" si="1496"/>
        <v>12846</v>
      </c>
      <c r="AA697" s="393">
        <f t="shared" si="1496"/>
        <v>3879</v>
      </c>
      <c r="AB697" s="393">
        <f t="shared" si="1496"/>
        <v>5036</v>
      </c>
      <c r="AC697" s="393">
        <f t="shared" si="1496"/>
        <v>5370</v>
      </c>
      <c r="AD697" s="393">
        <f t="shared" si="1496"/>
        <v>6230</v>
      </c>
      <c r="AE697" s="823">
        <f t="shared" si="1496"/>
        <v>20515</v>
      </c>
      <c r="AF697" s="393">
        <f t="shared" si="1496"/>
        <v>5043</v>
      </c>
      <c r="AG697" s="393">
        <f t="shared" si="1496"/>
        <v>6855</v>
      </c>
      <c r="AH697" s="393">
        <f t="shared" si="1496"/>
        <v>9569</v>
      </c>
      <c r="AI697" s="393">
        <f t="shared" ref="AI697:AQ697" si="1497">SUM(AI695:AI696)</f>
        <v>9151</v>
      </c>
      <c r="AJ697" s="823">
        <f t="shared" si="1497"/>
        <v>30618</v>
      </c>
      <c r="AK697" s="393">
        <f t="shared" si="1497"/>
        <v>5057</v>
      </c>
      <c r="AL697" s="393">
        <f t="shared" si="1497"/>
        <v>8783</v>
      </c>
      <c r="AM697" s="393">
        <f t="shared" si="1497"/>
        <v>7817</v>
      </c>
      <c r="AN697" s="393">
        <f t="shared" si="1497"/>
        <v>5657</v>
      </c>
      <c r="AO697" s="823">
        <f t="shared" si="1497"/>
        <v>27314</v>
      </c>
      <c r="AP697" s="393">
        <f t="shared" si="1497"/>
        <v>4722</v>
      </c>
      <c r="AQ697" s="393">
        <f t="shared" si="1497"/>
        <v>80</v>
      </c>
      <c r="AR697" s="393">
        <f>SUM(AR695:AR696)</f>
        <v>3537</v>
      </c>
      <c r="AS697" s="393">
        <f t="shared" ref="AS697:AV697" si="1498">SUM(AS695:AS696)</f>
        <v>2238</v>
      </c>
      <c r="AT697" s="823">
        <f t="shared" si="1498"/>
        <v>10577</v>
      </c>
      <c r="AU697" s="393">
        <f t="shared" si="1498"/>
        <v>4196</v>
      </c>
      <c r="AV697" s="393">
        <f t="shared" si="1498"/>
        <v>6954</v>
      </c>
      <c r="AW697" s="393">
        <f>SUM(AW695:AW696)</f>
        <v>8579</v>
      </c>
      <c r="AX697" s="393">
        <f t="shared" ref="AX697:BA697" si="1499">SUM(AX695:AX696)</f>
        <v>9458</v>
      </c>
      <c r="AY697" s="823">
        <f t="shared" si="1499"/>
        <v>29187</v>
      </c>
      <c r="AZ697" s="393">
        <f t="shared" si="1499"/>
        <v>8055</v>
      </c>
      <c r="BA697" s="393">
        <f t="shared" si="1499"/>
        <v>13782</v>
      </c>
      <c r="BB697" s="393">
        <f t="shared" ref="BB697:BF697" si="1500">SUM(BB695:BB696)</f>
        <v>15267</v>
      </c>
      <c r="BC697" s="393">
        <f t="shared" si="1500"/>
        <v>12498</v>
      </c>
      <c r="BD697" s="823">
        <f t="shared" si="1500"/>
        <v>49602</v>
      </c>
      <c r="BE697" s="393">
        <f t="shared" si="1500"/>
        <v>7205</v>
      </c>
      <c r="BF697" s="394">
        <f t="shared" si="1500"/>
        <v>6297</v>
      </c>
      <c r="BG697" s="393">
        <f t="shared" ref="BG697:BK697" si="1501">SUM(BG695:BG696)</f>
        <v>9673</v>
      </c>
      <c r="BH697" s="394">
        <f t="shared" si="1501"/>
        <v>12434</v>
      </c>
      <c r="BI697" s="824">
        <f t="shared" si="1501"/>
        <v>35609</v>
      </c>
      <c r="BJ697" s="394">
        <f t="shared" si="1501"/>
        <v>6828</v>
      </c>
      <c r="BK697" s="394">
        <f t="shared" si="1501"/>
        <v>6295</v>
      </c>
      <c r="BL697" s="393">
        <f t="shared" ref="BL697:BP697" si="1502">SUM(BL695:BL696)</f>
        <v>9674</v>
      </c>
      <c r="BM697" s="394">
        <f t="shared" si="1502"/>
        <v>8695</v>
      </c>
      <c r="BN697" s="824">
        <f t="shared" si="1502"/>
        <v>31492</v>
      </c>
      <c r="BO697" s="394">
        <f t="shared" si="1502"/>
        <v>5189</v>
      </c>
      <c r="BP697" s="394">
        <f t="shared" si="1502"/>
        <v>8576</v>
      </c>
      <c r="BQ697" s="393">
        <f t="shared" ref="BQ697:BT697" si="1503">SUM(BQ695:BQ696)</f>
        <v>9385</v>
      </c>
      <c r="BR697" s="394">
        <f t="shared" si="1503"/>
        <v>10789</v>
      </c>
      <c r="BS697" s="824">
        <f t="shared" si="1503"/>
        <v>33939</v>
      </c>
      <c r="BT697" s="641">
        <f t="shared" si="1503"/>
        <v>2514</v>
      </c>
      <c r="BU697" s="393">
        <f>SUM(BU695:BU696)</f>
        <v>15186.854767698625</v>
      </c>
      <c r="BV697" s="393">
        <f ca="1">SUM(BV695:BV696)</f>
        <v>11638.625420904107</v>
      </c>
      <c r="BW697" s="393">
        <f ca="1">SUM(BW695:BW696)</f>
        <v>11332.36695090411</v>
      </c>
      <c r="BX697" s="823">
        <f t="shared" ref="BX697" ca="1" si="1504">SUM(BX695:BX696)</f>
        <v>40671.847139506841</v>
      </c>
      <c r="BY697" s="393">
        <f t="shared" ref="BY697:CF697" ca="1" si="1505">SUM(BY695:BY696)</f>
        <v>12196.860269315066</v>
      </c>
      <c r="BZ697" s="393">
        <f t="shared" ca="1" si="1505"/>
        <v>12714.108831913014</v>
      </c>
      <c r="CA697" s="393">
        <f t="shared" ca="1" si="1505"/>
        <v>12883.938858610953</v>
      </c>
      <c r="CB697" s="393">
        <f t="shared" ca="1" si="1505"/>
        <v>12790.883953810957</v>
      </c>
      <c r="CC697" s="823">
        <f t="shared" ca="1" si="1505"/>
        <v>50585.791913649991</v>
      </c>
      <c r="CD697" s="823">
        <f t="shared" ca="1" si="1505"/>
        <v>49927.821157500002</v>
      </c>
      <c r="CE697" s="823">
        <f t="shared" ca="1" si="1505"/>
        <v>48642.951027750001</v>
      </c>
      <c r="CF697" s="823">
        <f t="shared" ca="1" si="1505"/>
        <v>42776.002814999993</v>
      </c>
      <c r="CG697" s="26"/>
    </row>
    <row r="698" spans="1:85" s="429" customFormat="1" x14ac:dyDescent="0.3">
      <c r="A698" s="48"/>
      <c r="B698" s="58"/>
      <c r="C698" s="825"/>
      <c r="D698" s="825"/>
      <c r="E698" s="825"/>
      <c r="F698" s="825"/>
      <c r="G698" s="31"/>
      <c r="H698" s="31"/>
      <c r="I698" s="31"/>
      <c r="J698" s="31"/>
      <c r="K698" s="825"/>
      <c r="L698" s="31"/>
      <c r="M698" s="31"/>
      <c r="N698" s="31"/>
      <c r="O698" s="31"/>
      <c r="P698" s="825"/>
      <c r="Q698" s="31"/>
      <c r="R698" s="31"/>
      <c r="S698" s="31"/>
      <c r="T698" s="31"/>
      <c r="U698" s="825"/>
      <c r="V698" s="31"/>
      <c r="W698" s="31"/>
      <c r="X698" s="31"/>
      <c r="Y698" s="31"/>
      <c r="Z698" s="825"/>
      <c r="AA698" s="31"/>
      <c r="AB698" s="31"/>
      <c r="AC698" s="31"/>
      <c r="AD698" s="31"/>
      <c r="AE698" s="825"/>
      <c r="AF698" s="31"/>
      <c r="AG698" s="31"/>
      <c r="AH698" s="31"/>
      <c r="AI698" s="31"/>
      <c r="AJ698" s="825"/>
      <c r="AK698" s="31"/>
      <c r="AL698" s="31"/>
      <c r="AM698" s="31"/>
      <c r="AN698" s="31"/>
      <c r="AO698" s="825"/>
      <c r="AP698" s="31"/>
      <c r="AQ698" s="31"/>
      <c r="AR698" s="31"/>
      <c r="AS698" s="31"/>
      <c r="AT698" s="825"/>
      <c r="AU698" s="31"/>
      <c r="AV698" s="31"/>
      <c r="AW698" s="31"/>
      <c r="AX698" s="31"/>
      <c r="AY698" s="825"/>
      <c r="AZ698" s="31"/>
      <c r="BA698" s="31"/>
      <c r="BB698" s="31"/>
      <c r="BC698" s="31"/>
      <c r="BD698" s="825"/>
      <c r="BE698" s="31"/>
      <c r="BF698" s="31"/>
      <c r="BG698" s="31"/>
      <c r="BH698" s="31"/>
      <c r="BI698" s="825"/>
      <c r="BJ698" s="31"/>
      <c r="BK698" s="31"/>
      <c r="BL698" s="31"/>
      <c r="BM698" s="31"/>
      <c r="BN698" s="825"/>
      <c r="BO698" s="31"/>
      <c r="BP698" s="31"/>
      <c r="BQ698" s="31"/>
      <c r="BR698" s="31"/>
      <c r="BS698" s="825"/>
      <c r="BT698" s="379"/>
      <c r="BU698" s="31"/>
      <c r="BV698" s="31"/>
      <c r="BW698" s="31"/>
      <c r="BX698" s="825"/>
      <c r="BY698" s="31"/>
      <c r="BZ698" s="31"/>
      <c r="CA698" s="31"/>
      <c r="CB698" s="31"/>
      <c r="CC698" s="825"/>
      <c r="CD698" s="825"/>
      <c r="CE698" s="825"/>
      <c r="CF698" s="825"/>
      <c r="CG698" s="26"/>
    </row>
    <row r="699" spans="1:85" s="429" customFormat="1" x14ac:dyDescent="0.3">
      <c r="A699" s="48" t="str">
        <f t="shared" ref="A699:A709" si="1506">A647</f>
        <v>CFI</v>
      </c>
      <c r="B699" s="58"/>
      <c r="C699" s="825"/>
      <c r="D699" s="825"/>
      <c r="E699" s="825"/>
      <c r="F699" s="825"/>
      <c r="G699" s="31"/>
      <c r="H699" s="31"/>
      <c r="I699" s="31"/>
      <c r="J699" s="31"/>
      <c r="K699" s="825"/>
      <c r="L699" s="31"/>
      <c r="M699" s="31"/>
      <c r="N699" s="31"/>
      <c r="O699" s="31"/>
      <c r="P699" s="825"/>
      <c r="Q699" s="31"/>
      <c r="R699" s="31"/>
      <c r="S699" s="31"/>
      <c r="T699" s="31"/>
      <c r="U699" s="825"/>
      <c r="V699" s="31"/>
      <c r="W699" s="31"/>
      <c r="X699" s="31"/>
      <c r="Y699" s="31"/>
      <c r="Z699" s="825"/>
      <c r="AA699" s="31"/>
      <c r="AB699" s="31"/>
      <c r="AC699" s="31"/>
      <c r="AD699" s="31"/>
      <c r="AE699" s="825"/>
      <c r="AF699" s="31"/>
      <c r="AG699" s="31"/>
      <c r="AH699" s="31"/>
      <c r="AI699" s="31"/>
      <c r="AJ699" s="825"/>
      <c r="AK699" s="31"/>
      <c r="AL699" s="31"/>
      <c r="AM699" s="31"/>
      <c r="AN699" s="31"/>
      <c r="AO699" s="825"/>
      <c r="AP699" s="31"/>
      <c r="AQ699" s="31"/>
      <c r="AR699" s="31"/>
      <c r="AS699" s="31"/>
      <c r="AT699" s="825"/>
      <c r="AU699" s="31"/>
      <c r="AV699" s="31"/>
      <c r="AW699" s="31"/>
      <c r="AX699" s="31"/>
      <c r="AY699" s="825"/>
      <c r="AZ699" s="31"/>
      <c r="BA699" s="31"/>
      <c r="BB699" s="31"/>
      <c r="BC699" s="31"/>
      <c r="BD699" s="825"/>
      <c r="BE699" s="31"/>
      <c r="BF699" s="31"/>
      <c r="BG699" s="31"/>
      <c r="BH699" s="31"/>
      <c r="BI699" s="825"/>
      <c r="BJ699" s="31"/>
      <c r="BK699" s="31"/>
      <c r="BL699" s="31"/>
      <c r="BM699" s="31"/>
      <c r="BN699" s="825"/>
      <c r="BO699" s="31"/>
      <c r="BP699" s="31"/>
      <c r="BQ699" s="31"/>
      <c r="BR699" s="31"/>
      <c r="BS699" s="825"/>
      <c r="BT699" s="379"/>
      <c r="BU699" s="31"/>
      <c r="BV699" s="31"/>
      <c r="BW699" s="31"/>
      <c r="BX699" s="825"/>
      <c r="BY699" s="31"/>
      <c r="BZ699" s="31"/>
      <c r="CA699" s="31"/>
      <c r="CB699" s="31"/>
      <c r="CC699" s="825"/>
      <c r="CD699" s="825"/>
      <c r="CE699" s="825"/>
      <c r="CF699" s="825"/>
      <c r="CG699" s="26"/>
    </row>
    <row r="700" spans="1:85" s="428" customFormat="1" x14ac:dyDescent="0.3">
      <c r="A700" s="43" t="str">
        <f t="shared" si="1506"/>
        <v>Acquisition, net of cash acquired</v>
      </c>
      <c r="B700" s="37"/>
      <c r="C700" s="821">
        <f t="shared" ref="C700:G708" si="1507">C648</f>
        <v>0</v>
      </c>
      <c r="D700" s="821">
        <f t="shared" si="1507"/>
        <v>0</v>
      </c>
      <c r="E700" s="821">
        <f t="shared" si="1507"/>
        <v>-3009</v>
      </c>
      <c r="F700" s="821">
        <f t="shared" si="1507"/>
        <v>0</v>
      </c>
      <c r="G700" s="37">
        <f t="shared" si="1507"/>
        <v>0</v>
      </c>
      <c r="H700" s="37">
        <f t="shared" ref="H700:J708" si="1508">H648-G648</f>
        <v>0</v>
      </c>
      <c r="I700" s="37">
        <f t="shared" si="1508"/>
        <v>0</v>
      </c>
      <c r="J700" s="37">
        <f t="shared" si="1508"/>
        <v>0</v>
      </c>
      <c r="K700" s="821">
        <f t="shared" ref="K700:L708" si="1509">K648</f>
        <v>0</v>
      </c>
      <c r="L700" s="37">
        <f t="shared" si="1509"/>
        <v>0</v>
      </c>
      <c r="M700" s="37">
        <f t="shared" ref="M700:O708" si="1510">M648-L648</f>
        <v>0</v>
      </c>
      <c r="N700" s="37">
        <f t="shared" si="1510"/>
        <v>0</v>
      </c>
      <c r="O700" s="37">
        <f t="shared" si="1510"/>
        <v>0</v>
      </c>
      <c r="P700" s="821">
        <f t="shared" ref="P700:Q708" si="1511">P648</f>
        <v>0</v>
      </c>
      <c r="Q700" s="37">
        <f t="shared" si="1511"/>
        <v>0</v>
      </c>
      <c r="R700" s="37">
        <f t="shared" ref="R700:T708" si="1512">R648-Q648</f>
        <v>0</v>
      </c>
      <c r="S700" s="37">
        <f t="shared" si="1512"/>
        <v>0</v>
      </c>
      <c r="T700" s="37">
        <f t="shared" si="1512"/>
        <v>0</v>
      </c>
      <c r="U700" s="821">
        <f t="shared" ref="U700:V708" si="1513">U648</f>
        <v>0</v>
      </c>
      <c r="V700" s="37">
        <f t="shared" si="1513"/>
        <v>0</v>
      </c>
      <c r="W700" s="37">
        <f t="shared" ref="W700:Y708" si="1514">W648-V648</f>
        <v>0</v>
      </c>
      <c r="X700" s="37">
        <f t="shared" si="1514"/>
        <v>0</v>
      </c>
      <c r="Y700" s="22">
        <f t="shared" si="1514"/>
        <v>0</v>
      </c>
      <c r="Z700" s="852">
        <f t="shared" ref="Z700:AA708" si="1515">Z648</f>
        <v>0</v>
      </c>
      <c r="AA700" s="22">
        <f t="shared" si="1515"/>
        <v>0</v>
      </c>
      <c r="AB700" s="37">
        <f t="shared" ref="AB700:AD708" si="1516">AB648-AA648</f>
        <v>0</v>
      </c>
      <c r="AC700" s="37">
        <f t="shared" si="1516"/>
        <v>0</v>
      </c>
      <c r="AD700" s="22">
        <f t="shared" si="1516"/>
        <v>0</v>
      </c>
      <c r="AE700" s="852">
        <f t="shared" ref="AE700:AF708" si="1517">AE648</f>
        <v>0</v>
      </c>
      <c r="AF700" s="22">
        <f t="shared" si="1517"/>
        <v>0</v>
      </c>
      <c r="AG700" s="37">
        <f t="shared" ref="AG700:AI708" si="1518">AG648-AF648</f>
        <v>0</v>
      </c>
      <c r="AH700" s="37">
        <f t="shared" si="1518"/>
        <v>0</v>
      </c>
      <c r="AI700" s="22">
        <f t="shared" si="1518"/>
        <v>0</v>
      </c>
      <c r="AJ700" s="852">
        <f t="shared" ref="AJ700:AK708" si="1519">AJ648</f>
        <v>0</v>
      </c>
      <c r="AK700" s="22">
        <f t="shared" si="1519"/>
        <v>0</v>
      </c>
      <c r="AL700" s="37">
        <f t="shared" ref="AL700:AN708" si="1520">AL648-AK648</f>
        <v>0</v>
      </c>
      <c r="AM700" s="37">
        <f t="shared" si="1520"/>
        <v>0</v>
      </c>
      <c r="AN700" s="22">
        <f t="shared" si="1520"/>
        <v>0</v>
      </c>
      <c r="AO700" s="852">
        <f t="shared" ref="AO700:AP708" si="1521">AO648</f>
        <v>0</v>
      </c>
      <c r="AP700" s="22">
        <f t="shared" si="1521"/>
        <v>0</v>
      </c>
      <c r="AQ700" s="37">
        <f t="shared" ref="AQ700:AS708" si="1522">AQ648-AP648</f>
        <v>0</v>
      </c>
      <c r="AR700" s="37">
        <f t="shared" si="1522"/>
        <v>0</v>
      </c>
      <c r="AS700" s="22">
        <f t="shared" si="1522"/>
        <v>373</v>
      </c>
      <c r="AT700" s="852">
        <f t="shared" ref="AT700:AU700" si="1523">AT648</f>
        <v>373</v>
      </c>
      <c r="AU700" s="22">
        <f t="shared" si="1523"/>
        <v>0</v>
      </c>
      <c r="AV700" s="37">
        <f t="shared" ref="AV700:AX708" si="1524">AV648-AU648</f>
        <v>0</v>
      </c>
      <c r="AW700" s="37">
        <f t="shared" si="1524"/>
        <v>0</v>
      </c>
      <c r="AX700" s="37">
        <f t="shared" si="1524"/>
        <v>0</v>
      </c>
      <c r="AY700" s="821">
        <f t="shared" ref="AY700:AZ700" si="1525">AY648</f>
        <v>0</v>
      </c>
      <c r="AZ700" s="22">
        <f t="shared" si="1525"/>
        <v>0</v>
      </c>
      <c r="BA700" s="37">
        <f t="shared" ref="BA700:BC708" si="1526">BA648-AZ648</f>
        <v>-2862</v>
      </c>
      <c r="BB700" s="37">
        <f t="shared" si="1526"/>
        <v>0</v>
      </c>
      <c r="BC700" s="37">
        <f t="shared" si="1526"/>
        <v>0</v>
      </c>
      <c r="BD700" s="821">
        <f t="shared" ref="BD700:BE700" si="1527">BD648</f>
        <v>-2862</v>
      </c>
      <c r="BE700" s="37">
        <f t="shared" si="1527"/>
        <v>0</v>
      </c>
      <c r="BF700" s="22">
        <f t="shared" ref="BF700:BG708" si="1528">BF648-BE648</f>
        <v>0</v>
      </c>
      <c r="BG700" s="37">
        <f t="shared" si="1528"/>
        <v>55</v>
      </c>
      <c r="BH700" s="22">
        <f t="shared" ref="BH700:BH708" si="1529">BH648-BG648</f>
        <v>0</v>
      </c>
      <c r="BI700" s="852">
        <f t="shared" ref="BI700:BJ700" si="1530">BI648</f>
        <v>55</v>
      </c>
      <c r="BJ700" s="22">
        <f t="shared" si="1530"/>
        <v>0</v>
      </c>
      <c r="BK700" s="22">
        <f t="shared" ref="BK700:BL708" si="1531">BK648-BJ648</f>
        <v>0</v>
      </c>
      <c r="BL700" s="37">
        <f t="shared" si="1531"/>
        <v>0</v>
      </c>
      <c r="BM700" s="22">
        <f t="shared" ref="BM700:BM708" si="1532">BM648-BL648</f>
        <v>0</v>
      </c>
      <c r="BN700" s="852">
        <f t="shared" ref="BN700:BO700" si="1533">BN648</f>
        <v>0</v>
      </c>
      <c r="BO700" s="22">
        <f t="shared" si="1533"/>
        <v>-2225</v>
      </c>
      <c r="BP700" s="22">
        <f t="shared" ref="BP700:BQ708" si="1534">BP648-BO648</f>
        <v>0</v>
      </c>
      <c r="BQ700" s="37">
        <f t="shared" si="1534"/>
        <v>1056</v>
      </c>
      <c r="BR700" s="22">
        <f t="shared" ref="BR700:BR708" si="1535">BR648-BQ648</f>
        <v>0</v>
      </c>
      <c r="BS700" s="852">
        <f t="shared" ref="BS700:BT700" si="1536">BS648</f>
        <v>-1169</v>
      </c>
      <c r="BT700" s="480">
        <f t="shared" si="1536"/>
        <v>0</v>
      </c>
      <c r="BU700" s="37">
        <f>BU567</f>
        <v>0</v>
      </c>
      <c r="BV700" s="37">
        <f>BV567</f>
        <v>0</v>
      </c>
      <c r="BW700" s="37">
        <f>BW567</f>
        <v>0</v>
      </c>
      <c r="BX700" s="821">
        <f t="shared" ref="BX700:BX708" si="1537">SUM(BT700,BU700,BV700,BW700)</f>
        <v>0</v>
      </c>
      <c r="BY700" s="37">
        <f>BY567</f>
        <v>0</v>
      </c>
      <c r="BZ700" s="37">
        <f>BZ567</f>
        <v>0</v>
      </c>
      <c r="CA700" s="37">
        <f>CA567</f>
        <v>0</v>
      </c>
      <c r="CB700" s="37">
        <f>CB567</f>
        <v>0</v>
      </c>
      <c r="CC700" s="821">
        <f t="shared" ref="CC700:CC708" si="1538">SUM(BY700,BZ700,CA700,CB700)</f>
        <v>0</v>
      </c>
      <c r="CD700" s="821">
        <f>CD567</f>
        <v>0</v>
      </c>
      <c r="CE700" s="821">
        <f>CE567</f>
        <v>0</v>
      </c>
      <c r="CF700" s="821">
        <f>CF567</f>
        <v>0</v>
      </c>
      <c r="CG700" s="22"/>
    </row>
    <row r="701" spans="1:85" s="428" customFormat="1" x14ac:dyDescent="0.3">
      <c r="A701" s="43" t="str">
        <f t="shared" si="1506"/>
        <v>Advance to Company0258 Energy</v>
      </c>
      <c r="B701" s="37"/>
      <c r="C701" s="821">
        <f t="shared" si="1507"/>
        <v>0</v>
      </c>
      <c r="D701" s="821">
        <f t="shared" si="1507"/>
        <v>0</v>
      </c>
      <c r="E701" s="821">
        <f t="shared" si="1507"/>
        <v>-403</v>
      </c>
      <c r="F701" s="821">
        <f t="shared" si="1507"/>
        <v>0</v>
      </c>
      <c r="G701" s="37">
        <f t="shared" si="1507"/>
        <v>0</v>
      </c>
      <c r="H701" s="37">
        <f t="shared" si="1508"/>
        <v>0</v>
      </c>
      <c r="I701" s="37">
        <f t="shared" si="1508"/>
        <v>0</v>
      </c>
      <c r="J701" s="37">
        <f t="shared" si="1508"/>
        <v>0</v>
      </c>
      <c r="K701" s="821">
        <f t="shared" si="1509"/>
        <v>0</v>
      </c>
      <c r="L701" s="37">
        <f t="shared" si="1509"/>
        <v>0</v>
      </c>
      <c r="M701" s="37">
        <f t="shared" si="1510"/>
        <v>0</v>
      </c>
      <c r="N701" s="37">
        <f t="shared" si="1510"/>
        <v>0</v>
      </c>
      <c r="O701" s="37">
        <f t="shared" si="1510"/>
        <v>0</v>
      </c>
      <c r="P701" s="821">
        <f t="shared" si="1511"/>
        <v>0</v>
      </c>
      <c r="Q701" s="37">
        <f t="shared" si="1511"/>
        <v>0</v>
      </c>
      <c r="R701" s="37">
        <f t="shared" si="1512"/>
        <v>0</v>
      </c>
      <c r="S701" s="37">
        <f t="shared" si="1512"/>
        <v>0</v>
      </c>
      <c r="T701" s="37">
        <f t="shared" si="1512"/>
        <v>0</v>
      </c>
      <c r="U701" s="821">
        <f t="shared" si="1513"/>
        <v>0</v>
      </c>
      <c r="V701" s="37">
        <f t="shared" si="1513"/>
        <v>0</v>
      </c>
      <c r="W701" s="37">
        <f t="shared" si="1514"/>
        <v>0</v>
      </c>
      <c r="X701" s="37">
        <f t="shared" si="1514"/>
        <v>0</v>
      </c>
      <c r="Y701" s="22">
        <f t="shared" si="1514"/>
        <v>0</v>
      </c>
      <c r="Z701" s="852">
        <f t="shared" si="1515"/>
        <v>0</v>
      </c>
      <c r="AA701" s="22">
        <f t="shared" si="1515"/>
        <v>0</v>
      </c>
      <c r="AB701" s="37">
        <f t="shared" si="1516"/>
        <v>0</v>
      </c>
      <c r="AC701" s="37">
        <f t="shared" si="1516"/>
        <v>0</v>
      </c>
      <c r="AD701" s="22">
        <f t="shared" si="1516"/>
        <v>0</v>
      </c>
      <c r="AE701" s="852">
        <f t="shared" si="1517"/>
        <v>0</v>
      </c>
      <c r="AF701" s="22">
        <f t="shared" si="1517"/>
        <v>0</v>
      </c>
      <c r="AG701" s="37">
        <f t="shared" si="1518"/>
        <v>0</v>
      </c>
      <c r="AH701" s="37">
        <f t="shared" si="1518"/>
        <v>0</v>
      </c>
      <c r="AI701" s="22">
        <f t="shared" si="1518"/>
        <v>0</v>
      </c>
      <c r="AJ701" s="852">
        <f t="shared" si="1519"/>
        <v>0</v>
      </c>
      <c r="AK701" s="22">
        <f t="shared" si="1519"/>
        <v>0</v>
      </c>
      <c r="AL701" s="37">
        <f t="shared" si="1520"/>
        <v>0</v>
      </c>
      <c r="AM701" s="37">
        <f t="shared" si="1520"/>
        <v>0</v>
      </c>
      <c r="AN701" s="22">
        <f t="shared" si="1520"/>
        <v>0</v>
      </c>
      <c r="AO701" s="852">
        <f t="shared" si="1521"/>
        <v>0</v>
      </c>
      <c r="AP701" s="22">
        <f t="shared" si="1521"/>
        <v>0</v>
      </c>
      <c r="AQ701" s="37">
        <f t="shared" si="1522"/>
        <v>0</v>
      </c>
      <c r="AR701" s="37">
        <f t="shared" si="1522"/>
        <v>0</v>
      </c>
      <c r="AS701" s="22">
        <f t="shared" si="1522"/>
        <v>0</v>
      </c>
      <c r="AT701" s="852">
        <f>AT649</f>
        <v>0</v>
      </c>
      <c r="AU701" s="22">
        <f>AU649</f>
        <v>0</v>
      </c>
      <c r="AV701" s="37">
        <f t="shared" si="1524"/>
        <v>0</v>
      </c>
      <c r="AW701" s="37">
        <f t="shared" si="1524"/>
        <v>0</v>
      </c>
      <c r="AX701" s="37">
        <f t="shared" si="1524"/>
        <v>0</v>
      </c>
      <c r="AY701" s="821">
        <f>AY649</f>
        <v>0</v>
      </c>
      <c r="AZ701" s="22">
        <f>AZ649</f>
        <v>0</v>
      </c>
      <c r="BA701" s="37">
        <f t="shared" si="1526"/>
        <v>0</v>
      </c>
      <c r="BB701" s="37">
        <f t="shared" si="1526"/>
        <v>0</v>
      </c>
      <c r="BC701" s="37">
        <f t="shared" si="1526"/>
        <v>0</v>
      </c>
      <c r="BD701" s="821">
        <f>BD649</f>
        <v>0</v>
      </c>
      <c r="BE701" s="37">
        <f>BE649</f>
        <v>0</v>
      </c>
      <c r="BF701" s="22">
        <f t="shared" si="1528"/>
        <v>0</v>
      </c>
      <c r="BG701" s="37">
        <f t="shared" si="1528"/>
        <v>0</v>
      </c>
      <c r="BH701" s="22">
        <f t="shared" si="1529"/>
        <v>0</v>
      </c>
      <c r="BI701" s="852">
        <f>BI649</f>
        <v>0</v>
      </c>
      <c r="BJ701" s="22">
        <f>BJ649</f>
        <v>0</v>
      </c>
      <c r="BK701" s="37">
        <f t="shared" si="1531"/>
        <v>0</v>
      </c>
      <c r="BL701" s="37">
        <f t="shared" si="1531"/>
        <v>0</v>
      </c>
      <c r="BM701" s="22">
        <f t="shared" si="1532"/>
        <v>0</v>
      </c>
      <c r="BN701" s="852">
        <f>BN649</f>
        <v>0</v>
      </c>
      <c r="BO701" s="37">
        <f>BO649</f>
        <v>0</v>
      </c>
      <c r="BP701" s="37">
        <f t="shared" si="1534"/>
        <v>0</v>
      </c>
      <c r="BQ701" s="37">
        <f t="shared" si="1534"/>
        <v>0</v>
      </c>
      <c r="BR701" s="22">
        <f t="shared" si="1535"/>
        <v>0</v>
      </c>
      <c r="BS701" s="852">
        <f>BS649</f>
        <v>0</v>
      </c>
      <c r="BT701" s="480">
        <f>BT649</f>
        <v>0</v>
      </c>
      <c r="BU701" s="37"/>
      <c r="BV701" s="37"/>
      <c r="BW701" s="37"/>
      <c r="BX701" s="821">
        <f t="shared" si="1537"/>
        <v>0</v>
      </c>
      <c r="BY701" s="37"/>
      <c r="BZ701" s="37"/>
      <c r="CA701" s="37"/>
      <c r="CB701" s="37"/>
      <c r="CC701" s="821">
        <f t="shared" si="1538"/>
        <v>0</v>
      </c>
      <c r="CD701" s="821"/>
      <c r="CE701" s="821"/>
      <c r="CF701" s="821"/>
      <c r="CG701" s="22"/>
    </row>
    <row r="702" spans="1:85" s="428" customFormat="1" x14ac:dyDescent="0.3">
      <c r="A702" s="43" t="str">
        <f t="shared" si="1506"/>
        <v>Capital expenditures</v>
      </c>
      <c r="B702" s="37"/>
      <c r="C702" s="821">
        <f t="shared" si="1507"/>
        <v>-19843</v>
      </c>
      <c r="D702" s="821">
        <f t="shared" si="1507"/>
        <v>-19612</v>
      </c>
      <c r="E702" s="821">
        <f t="shared" si="1507"/>
        <v>-26500</v>
      </c>
      <c r="F702" s="821">
        <f t="shared" si="1507"/>
        <v>-30938</v>
      </c>
      <c r="G702" s="37">
        <f t="shared" si="1507"/>
        <v>-8192</v>
      </c>
      <c r="H702" s="37">
        <f t="shared" si="1508"/>
        <v>-8573</v>
      </c>
      <c r="I702" s="37">
        <f t="shared" si="1508"/>
        <v>-9607</v>
      </c>
      <c r="J702" s="37">
        <f t="shared" si="1508"/>
        <v>-11613</v>
      </c>
      <c r="K702" s="821">
        <f t="shared" si="1509"/>
        <v>-37985</v>
      </c>
      <c r="L702" s="37">
        <f t="shared" si="1509"/>
        <v>-8544</v>
      </c>
      <c r="M702" s="37">
        <f t="shared" si="1510"/>
        <v>-8931</v>
      </c>
      <c r="N702" s="37">
        <f t="shared" si="1510"/>
        <v>-8264</v>
      </c>
      <c r="O702" s="37">
        <f t="shared" si="1510"/>
        <v>-9668</v>
      </c>
      <c r="P702" s="821">
        <f t="shared" si="1511"/>
        <v>-35407</v>
      </c>
      <c r="Q702" s="37">
        <f t="shared" si="1511"/>
        <v>-7602</v>
      </c>
      <c r="R702" s="37">
        <f t="shared" si="1512"/>
        <v>-7643</v>
      </c>
      <c r="S702" s="37">
        <f t="shared" si="1512"/>
        <v>-6810</v>
      </c>
      <c r="T702" s="37">
        <f t="shared" si="1512"/>
        <v>-7449</v>
      </c>
      <c r="U702" s="821">
        <f t="shared" si="1513"/>
        <v>-29504</v>
      </c>
      <c r="V702" s="37">
        <f t="shared" si="1513"/>
        <v>-5566</v>
      </c>
      <c r="W702" s="37">
        <f t="shared" si="1514"/>
        <v>-4469</v>
      </c>
      <c r="X702" s="37">
        <f t="shared" si="1514"/>
        <v>-4065</v>
      </c>
      <c r="Y702" s="22">
        <f t="shared" si="1514"/>
        <v>-4009</v>
      </c>
      <c r="Z702" s="852">
        <f t="shared" si="1515"/>
        <v>-18109</v>
      </c>
      <c r="AA702" s="22">
        <f t="shared" si="1515"/>
        <v>-3315</v>
      </c>
      <c r="AB702" s="37">
        <f t="shared" si="1516"/>
        <v>-3224</v>
      </c>
      <c r="AC702" s="37">
        <f t="shared" si="1516"/>
        <v>-3224</v>
      </c>
      <c r="AD702" s="22">
        <f t="shared" si="1516"/>
        <v>-3641</v>
      </c>
      <c r="AE702" s="852">
        <f t="shared" si="1517"/>
        <v>-13404</v>
      </c>
      <c r="AF702" s="22">
        <f t="shared" si="1517"/>
        <v>-2997</v>
      </c>
      <c r="AG702" s="37">
        <f t="shared" si="1518"/>
        <v>-3226</v>
      </c>
      <c r="AH702" s="37">
        <f t="shared" si="1518"/>
        <v>-3578</v>
      </c>
      <c r="AI702" s="22">
        <f t="shared" si="1518"/>
        <v>-3991</v>
      </c>
      <c r="AJ702" s="852">
        <f t="shared" si="1519"/>
        <v>-13792</v>
      </c>
      <c r="AK702" s="22">
        <f t="shared" si="1519"/>
        <v>-2953</v>
      </c>
      <c r="AL702" s="37">
        <f t="shared" si="1520"/>
        <v>-3584</v>
      </c>
      <c r="AM702" s="37">
        <f t="shared" si="1520"/>
        <v>-3369</v>
      </c>
      <c r="AN702" s="22">
        <f t="shared" si="1520"/>
        <v>-4210</v>
      </c>
      <c r="AO702" s="852">
        <f t="shared" si="1521"/>
        <v>-14116</v>
      </c>
      <c r="AP702" s="22">
        <f t="shared" si="1521"/>
        <v>-3133</v>
      </c>
      <c r="AQ702" s="37">
        <f t="shared" si="1522"/>
        <v>-2092</v>
      </c>
      <c r="AR702" s="37">
        <f t="shared" si="1522"/>
        <v>-1630</v>
      </c>
      <c r="AS702" s="22">
        <f t="shared" si="1522"/>
        <v>-2067</v>
      </c>
      <c r="AT702" s="852">
        <f t="shared" ref="AT702:AU702" si="1539">AT650</f>
        <v>-8922</v>
      </c>
      <c r="AU702" s="22">
        <f t="shared" si="1539"/>
        <v>-1746</v>
      </c>
      <c r="AV702" s="37">
        <f t="shared" si="1524"/>
        <v>-1797</v>
      </c>
      <c r="AW702" s="37">
        <f t="shared" si="1524"/>
        <v>-1907</v>
      </c>
      <c r="AX702" s="37">
        <f t="shared" si="1524"/>
        <v>-2606</v>
      </c>
      <c r="AY702" s="821">
        <f t="shared" ref="AY702:AZ702" si="1540">AY650</f>
        <v>-8056</v>
      </c>
      <c r="AZ702" s="22">
        <f t="shared" si="1540"/>
        <v>-1960</v>
      </c>
      <c r="BA702" s="37">
        <f t="shared" si="1526"/>
        <v>-3184</v>
      </c>
      <c r="BB702" s="37">
        <f t="shared" si="1526"/>
        <v>-2995</v>
      </c>
      <c r="BC702" s="37">
        <f t="shared" si="1526"/>
        <v>-3835</v>
      </c>
      <c r="BD702" s="821">
        <f t="shared" ref="BD702:BE702" si="1541">BD650</f>
        <v>-11974</v>
      </c>
      <c r="BE702" s="37">
        <f t="shared" si="1541"/>
        <v>-3038</v>
      </c>
      <c r="BF702" s="22">
        <f t="shared" si="1528"/>
        <v>-3757</v>
      </c>
      <c r="BG702" s="37">
        <f t="shared" si="1528"/>
        <v>-4673</v>
      </c>
      <c r="BH702" s="22">
        <f t="shared" si="1529"/>
        <v>-4361</v>
      </c>
      <c r="BI702" s="852">
        <f t="shared" ref="BI702:BJ702" si="1542">BI650</f>
        <v>-15829</v>
      </c>
      <c r="BJ702" s="22">
        <f t="shared" si="1542"/>
        <v>-4089</v>
      </c>
      <c r="BK702" s="22">
        <f t="shared" si="1531"/>
        <v>-3966</v>
      </c>
      <c r="BL702" s="37">
        <f t="shared" si="1531"/>
        <v>-4055</v>
      </c>
      <c r="BM702" s="22">
        <f t="shared" si="1532"/>
        <v>-4338</v>
      </c>
      <c r="BN702" s="852">
        <f t="shared" ref="BN702:BO702" si="1543">BN650</f>
        <v>-16448</v>
      </c>
      <c r="BO702" s="22">
        <f t="shared" si="1543"/>
        <v>-3927</v>
      </c>
      <c r="BP702" s="22">
        <f t="shared" si="1534"/>
        <v>-3712</v>
      </c>
      <c r="BQ702" s="37">
        <f t="shared" si="1534"/>
        <v>-4444</v>
      </c>
      <c r="BR702" s="22">
        <f t="shared" si="1535"/>
        <v>-5264</v>
      </c>
      <c r="BS702" s="852">
        <f t="shared" ref="BS702:BT702" si="1544">BS650</f>
        <v>-17347</v>
      </c>
      <c r="BT702" s="480">
        <f t="shared" si="1544"/>
        <v>-4063</v>
      </c>
      <c r="BU702" s="37">
        <f>BU565</f>
        <v>-4500</v>
      </c>
      <c r="BV702" s="37">
        <f>BV565</f>
        <v>-5000</v>
      </c>
      <c r="BW702" s="37">
        <f>BW565</f>
        <v>-5000</v>
      </c>
      <c r="BX702" s="821">
        <f t="shared" si="1537"/>
        <v>-18563</v>
      </c>
      <c r="BY702" s="37">
        <f>BY565</f>
        <v>-5000</v>
      </c>
      <c r="BZ702" s="37">
        <f>BZ565</f>
        <v>-5000</v>
      </c>
      <c r="CA702" s="37">
        <f>CA565</f>
        <v>-5000</v>
      </c>
      <c r="CB702" s="37">
        <f>CB565</f>
        <v>-5000</v>
      </c>
      <c r="CC702" s="821">
        <f t="shared" si="1538"/>
        <v>-20000</v>
      </c>
      <c r="CD702" s="821">
        <f>CD565</f>
        <v>-20000</v>
      </c>
      <c r="CE702" s="821">
        <f>CE565</f>
        <v>-20000</v>
      </c>
      <c r="CF702" s="821">
        <f>CF565</f>
        <v>-20000</v>
      </c>
      <c r="CG702" s="22"/>
    </row>
    <row r="703" spans="1:85" s="428" customFormat="1" x14ac:dyDescent="0.3">
      <c r="A703" s="43" t="str">
        <f t="shared" si="1506"/>
        <v>Proceeds and deposits related to asset sales</v>
      </c>
      <c r="B703" s="37"/>
      <c r="C703" s="821">
        <f t="shared" si="1507"/>
        <v>2564</v>
      </c>
      <c r="D703" s="821">
        <f t="shared" si="1507"/>
        <v>1995</v>
      </c>
      <c r="E703" s="821">
        <f t="shared" si="1507"/>
        <v>3517</v>
      </c>
      <c r="F703" s="821">
        <f t="shared" si="1507"/>
        <v>2777</v>
      </c>
      <c r="G703" s="37">
        <f t="shared" si="1507"/>
        <v>76</v>
      </c>
      <c r="H703" s="37">
        <f t="shared" si="1508"/>
        <v>565</v>
      </c>
      <c r="I703" s="37">
        <f t="shared" si="1508"/>
        <v>216</v>
      </c>
      <c r="J703" s="37">
        <f t="shared" si="1508"/>
        <v>286</v>
      </c>
      <c r="K703" s="821">
        <f t="shared" si="1509"/>
        <v>1143</v>
      </c>
      <c r="L703" s="37">
        <f t="shared" si="1509"/>
        <v>316</v>
      </c>
      <c r="M703" s="37">
        <f t="shared" si="1510"/>
        <v>1307</v>
      </c>
      <c r="N703" s="37">
        <f t="shared" si="1510"/>
        <v>965</v>
      </c>
      <c r="O703" s="37">
        <f t="shared" si="1510"/>
        <v>3141</v>
      </c>
      <c r="P703" s="821">
        <f t="shared" si="1511"/>
        <v>5729</v>
      </c>
      <c r="Q703" s="37">
        <f t="shared" si="1511"/>
        <v>948</v>
      </c>
      <c r="R703" s="37">
        <f t="shared" si="1512"/>
        <v>3929</v>
      </c>
      <c r="S703" s="37">
        <f t="shared" si="1512"/>
        <v>531</v>
      </c>
      <c r="T703" s="37">
        <f t="shared" si="1512"/>
        <v>331</v>
      </c>
      <c r="U703" s="821">
        <f t="shared" si="1513"/>
        <v>5739</v>
      </c>
      <c r="V703" s="37">
        <f t="shared" si="1513"/>
        <v>82</v>
      </c>
      <c r="W703" s="37">
        <f t="shared" si="1514"/>
        <v>1288</v>
      </c>
      <c r="X703" s="37">
        <f t="shared" si="1514"/>
        <v>839</v>
      </c>
      <c r="Y703" s="22">
        <f t="shared" si="1514"/>
        <v>568</v>
      </c>
      <c r="Z703" s="852">
        <f t="shared" si="1515"/>
        <v>2777</v>
      </c>
      <c r="AA703" s="22">
        <f t="shared" si="1515"/>
        <v>2087</v>
      </c>
      <c r="AB703" s="37">
        <f t="shared" si="1516"/>
        <v>436</v>
      </c>
      <c r="AC703" s="37">
        <f t="shared" si="1516"/>
        <v>2333</v>
      </c>
      <c r="AD703" s="22">
        <f t="shared" si="1516"/>
        <v>391</v>
      </c>
      <c r="AE703" s="852">
        <f t="shared" si="1517"/>
        <v>5247</v>
      </c>
      <c r="AF703" s="22">
        <f t="shared" si="1517"/>
        <v>111</v>
      </c>
      <c r="AG703" s="37">
        <f t="shared" si="1518"/>
        <v>678</v>
      </c>
      <c r="AH703" s="37">
        <f t="shared" si="1518"/>
        <v>1327</v>
      </c>
      <c r="AI703" s="22">
        <f t="shared" si="1518"/>
        <v>276</v>
      </c>
      <c r="AJ703" s="852">
        <f t="shared" si="1519"/>
        <v>2392</v>
      </c>
      <c r="AK703" s="22">
        <f t="shared" si="1519"/>
        <v>294</v>
      </c>
      <c r="AL703" s="37">
        <f t="shared" si="1520"/>
        <v>643</v>
      </c>
      <c r="AM703" s="37">
        <f t="shared" si="1520"/>
        <v>151</v>
      </c>
      <c r="AN703" s="22">
        <f t="shared" si="1520"/>
        <v>1863</v>
      </c>
      <c r="AO703" s="852">
        <f t="shared" si="1521"/>
        <v>2951</v>
      </c>
      <c r="AP703" s="22">
        <f t="shared" si="1521"/>
        <v>374</v>
      </c>
      <c r="AQ703" s="37">
        <f t="shared" si="1522"/>
        <v>1478</v>
      </c>
      <c r="AR703" s="37">
        <f t="shared" si="1522"/>
        <v>127</v>
      </c>
      <c r="AS703" s="22">
        <f t="shared" si="1522"/>
        <v>989</v>
      </c>
      <c r="AT703" s="852">
        <f t="shared" ref="AT703:AU703" si="1545">AT651</f>
        <v>2968</v>
      </c>
      <c r="AU703" s="22">
        <f t="shared" si="1545"/>
        <v>158</v>
      </c>
      <c r="AV703" s="37">
        <f t="shared" si="1524"/>
        <v>211</v>
      </c>
      <c r="AW703" s="37">
        <f t="shared" si="1524"/>
        <v>217</v>
      </c>
      <c r="AX703" s="37">
        <f t="shared" si="1524"/>
        <v>1205</v>
      </c>
      <c r="AY703" s="821">
        <f t="shared" ref="AY703:AZ703" si="1546">AY651</f>
        <v>1791</v>
      </c>
      <c r="AZ703" s="22">
        <f t="shared" si="1546"/>
        <v>1283</v>
      </c>
      <c r="BA703" s="37">
        <f t="shared" si="1526"/>
        <v>1066</v>
      </c>
      <c r="BB703" s="37">
        <f t="shared" si="1526"/>
        <v>136</v>
      </c>
      <c r="BC703" s="37">
        <f t="shared" si="1526"/>
        <v>150</v>
      </c>
      <c r="BD703" s="821">
        <f t="shared" ref="BD703:BE703" si="1547">BD651</f>
        <v>2635</v>
      </c>
      <c r="BE703" s="37">
        <f t="shared" si="1547"/>
        <v>219</v>
      </c>
      <c r="BF703" s="22">
        <f t="shared" si="1528"/>
        <v>105</v>
      </c>
      <c r="BG703" s="37">
        <f t="shared" si="1528"/>
        <v>86</v>
      </c>
      <c r="BH703" s="22">
        <f t="shared" si="1529"/>
        <v>259</v>
      </c>
      <c r="BI703" s="852">
        <f t="shared" ref="BI703:BJ703" si="1548">BI651</f>
        <v>669</v>
      </c>
      <c r="BJ703" s="22">
        <f t="shared" si="1548"/>
        <v>104</v>
      </c>
      <c r="BK703" s="22">
        <f t="shared" si="1531"/>
        <v>114</v>
      </c>
      <c r="BL703" s="37">
        <f t="shared" si="1531"/>
        <v>402</v>
      </c>
      <c r="BM703" s="22">
        <f t="shared" si="1532"/>
        <v>7084</v>
      </c>
      <c r="BN703" s="852">
        <f t="shared" ref="BN703:BO703" si="1549">BN651</f>
        <v>7704</v>
      </c>
      <c r="BO703" s="22">
        <f t="shared" si="1549"/>
        <v>600</v>
      </c>
      <c r="BP703" s="22">
        <f t="shared" si="1534"/>
        <v>390</v>
      </c>
      <c r="BQ703" s="37">
        <f t="shared" si="1534"/>
        <v>483</v>
      </c>
      <c r="BR703" s="22">
        <f t="shared" si="1535"/>
        <v>353</v>
      </c>
      <c r="BS703" s="852">
        <f t="shared" ref="BS703:BT703" si="1550">BS651</f>
        <v>1826</v>
      </c>
      <c r="BT703" s="480">
        <f t="shared" si="1550"/>
        <v>72</v>
      </c>
      <c r="BU703" s="37">
        <f>BU568</f>
        <v>500</v>
      </c>
      <c r="BV703" s="37">
        <f>BV568</f>
        <v>500</v>
      </c>
      <c r="BW703" s="37">
        <f>BW568</f>
        <v>500</v>
      </c>
      <c r="BX703" s="821">
        <f t="shared" si="1537"/>
        <v>1572</v>
      </c>
      <c r="BY703" s="37">
        <f>BY568</f>
        <v>500</v>
      </c>
      <c r="BZ703" s="37">
        <f>BZ568</f>
        <v>500</v>
      </c>
      <c r="CA703" s="37">
        <f>CA568</f>
        <v>500</v>
      </c>
      <c r="CB703" s="37">
        <f>CB568</f>
        <v>500</v>
      </c>
      <c r="CC703" s="821">
        <f t="shared" si="1538"/>
        <v>2000</v>
      </c>
      <c r="CD703" s="821">
        <f>CD568</f>
        <v>0</v>
      </c>
      <c r="CE703" s="821">
        <f>CE568</f>
        <v>0</v>
      </c>
      <c r="CF703" s="821">
        <f>CF568</f>
        <v>0</v>
      </c>
      <c r="CG703" s="22"/>
    </row>
    <row r="704" spans="1:85" s="428" customFormat="1" x14ac:dyDescent="0.3">
      <c r="A704" s="43" t="str">
        <f t="shared" si="1506"/>
        <v>Other investing activities</v>
      </c>
      <c r="B704" s="37"/>
      <c r="C704" s="821">
        <f t="shared" si="1507"/>
        <v>0</v>
      </c>
      <c r="D704" s="821">
        <f t="shared" si="1507"/>
        <v>0</v>
      </c>
      <c r="E704" s="821">
        <f t="shared" si="1507"/>
        <v>0</v>
      </c>
      <c r="F704" s="821">
        <f t="shared" si="1507"/>
        <v>0</v>
      </c>
      <c r="G704" s="37">
        <f t="shared" si="1507"/>
        <v>0</v>
      </c>
      <c r="H704" s="37">
        <f t="shared" si="1508"/>
        <v>0</v>
      </c>
      <c r="I704" s="37">
        <f t="shared" si="1508"/>
        <v>0</v>
      </c>
      <c r="J704" s="37">
        <f t="shared" si="1508"/>
        <v>0</v>
      </c>
      <c r="K704" s="821">
        <f t="shared" si="1509"/>
        <v>0</v>
      </c>
      <c r="L704" s="37">
        <f t="shared" si="1509"/>
        <v>0</v>
      </c>
      <c r="M704" s="37">
        <f t="shared" si="1510"/>
        <v>0</v>
      </c>
      <c r="N704" s="37">
        <f t="shared" si="1510"/>
        <v>0</v>
      </c>
      <c r="O704" s="37">
        <f t="shared" si="1510"/>
        <v>0</v>
      </c>
      <c r="P704" s="821">
        <f t="shared" si="1511"/>
        <v>0</v>
      </c>
      <c r="Q704" s="37">
        <f t="shared" si="1511"/>
        <v>0</v>
      </c>
      <c r="R704" s="37">
        <f t="shared" si="1512"/>
        <v>0</v>
      </c>
      <c r="S704" s="37">
        <f t="shared" si="1512"/>
        <v>0</v>
      </c>
      <c r="T704" s="37">
        <f t="shared" si="1512"/>
        <v>0</v>
      </c>
      <c r="U704" s="821">
        <f t="shared" si="1513"/>
        <v>0</v>
      </c>
      <c r="V704" s="37">
        <f t="shared" si="1513"/>
        <v>0</v>
      </c>
      <c r="W704" s="37">
        <f t="shared" si="1514"/>
        <v>0</v>
      </c>
      <c r="X704" s="37">
        <f t="shared" si="1514"/>
        <v>0</v>
      </c>
      <c r="Y704" s="22">
        <f t="shared" si="1514"/>
        <v>0</v>
      </c>
      <c r="Z704" s="852">
        <f t="shared" si="1515"/>
        <v>0</v>
      </c>
      <c r="AA704" s="22">
        <f t="shared" si="1515"/>
        <v>0</v>
      </c>
      <c r="AB704" s="37">
        <f t="shared" si="1516"/>
        <v>0</v>
      </c>
      <c r="AC704" s="37">
        <f t="shared" si="1516"/>
        <v>0</v>
      </c>
      <c r="AD704" s="22">
        <f t="shared" si="1516"/>
        <v>0</v>
      </c>
      <c r="AE704" s="852">
        <f t="shared" si="1517"/>
        <v>0</v>
      </c>
      <c r="AF704" s="22">
        <f t="shared" si="1517"/>
        <v>0</v>
      </c>
      <c r="AG704" s="37">
        <f t="shared" si="1518"/>
        <v>0</v>
      </c>
      <c r="AH704" s="37">
        <f t="shared" si="1518"/>
        <v>0</v>
      </c>
      <c r="AI704" s="22">
        <f t="shared" si="1518"/>
        <v>0</v>
      </c>
      <c r="AJ704" s="852">
        <f t="shared" si="1519"/>
        <v>0</v>
      </c>
      <c r="AK704" s="22">
        <f t="shared" si="1519"/>
        <v>0</v>
      </c>
      <c r="AL704" s="37">
        <f t="shared" si="1520"/>
        <v>0</v>
      </c>
      <c r="AM704" s="37">
        <f t="shared" si="1520"/>
        <v>0</v>
      </c>
      <c r="AN704" s="22">
        <f t="shared" si="1520"/>
        <v>0</v>
      </c>
      <c r="AO704" s="852">
        <f t="shared" si="1521"/>
        <v>0</v>
      </c>
      <c r="AP704" s="22">
        <f t="shared" si="1521"/>
        <v>0</v>
      </c>
      <c r="AQ704" s="37">
        <f t="shared" si="1522"/>
        <v>0</v>
      </c>
      <c r="AR704" s="37">
        <f t="shared" si="1522"/>
        <v>0</v>
      </c>
      <c r="AS704" s="22">
        <f t="shared" si="1522"/>
        <v>0</v>
      </c>
      <c r="AT704" s="852">
        <f t="shared" ref="AT704:AU708" si="1551">AT652</f>
        <v>0</v>
      </c>
      <c r="AU704" s="22">
        <f t="shared" si="1551"/>
        <v>0</v>
      </c>
      <c r="AV704" s="37">
        <f t="shared" si="1524"/>
        <v>0</v>
      </c>
      <c r="AW704" s="37">
        <f t="shared" si="1524"/>
        <v>0</v>
      </c>
      <c r="AX704" s="37">
        <f t="shared" si="1524"/>
        <v>0</v>
      </c>
      <c r="AY704" s="821">
        <f t="shared" ref="AY704:AZ708" si="1552">AY652</f>
        <v>0</v>
      </c>
      <c r="AZ704" s="22">
        <f t="shared" si="1552"/>
        <v>0</v>
      </c>
      <c r="BA704" s="37">
        <f t="shared" si="1526"/>
        <v>0</v>
      </c>
      <c r="BB704" s="37">
        <f t="shared" si="1526"/>
        <v>0</v>
      </c>
      <c r="BC704" s="37">
        <f t="shared" si="1526"/>
        <v>0</v>
      </c>
      <c r="BD704" s="821">
        <f t="shared" ref="BD704:BE708" si="1553">BD652</f>
        <v>0</v>
      </c>
      <c r="BE704" s="37">
        <f t="shared" si="1553"/>
        <v>0</v>
      </c>
      <c r="BF704" s="22">
        <f t="shared" si="1528"/>
        <v>0</v>
      </c>
      <c r="BG704" s="37">
        <f t="shared" si="1528"/>
        <v>0</v>
      </c>
      <c r="BH704" s="22">
        <f t="shared" si="1529"/>
        <v>0</v>
      </c>
      <c r="BI704" s="852">
        <f t="shared" ref="BI704:BJ708" si="1554">BI652</f>
        <v>0</v>
      </c>
      <c r="BJ704" s="22">
        <f t="shared" si="1554"/>
        <v>0</v>
      </c>
      <c r="BK704" s="37">
        <f t="shared" si="1531"/>
        <v>0</v>
      </c>
      <c r="BL704" s="37">
        <f t="shared" si="1531"/>
        <v>0</v>
      </c>
      <c r="BM704" s="22">
        <f t="shared" si="1532"/>
        <v>0</v>
      </c>
      <c r="BN704" s="852">
        <f t="shared" ref="BN704:BO708" si="1555">BN652</f>
        <v>0</v>
      </c>
      <c r="BO704" s="37">
        <f t="shared" si="1555"/>
        <v>0</v>
      </c>
      <c r="BP704" s="37">
        <f t="shared" si="1534"/>
        <v>0</v>
      </c>
      <c r="BQ704" s="37">
        <f t="shared" si="1534"/>
        <v>0</v>
      </c>
      <c r="BR704" s="22">
        <f t="shared" si="1535"/>
        <v>0</v>
      </c>
      <c r="BS704" s="852">
        <f t="shared" ref="BS704:BT704" si="1556">BS652</f>
        <v>0</v>
      </c>
      <c r="BT704" s="480">
        <f t="shared" si="1556"/>
        <v>0</v>
      </c>
      <c r="BU704" s="37"/>
      <c r="BV704" s="37"/>
      <c r="BW704" s="37"/>
      <c r="BX704" s="821">
        <f t="shared" si="1537"/>
        <v>0</v>
      </c>
      <c r="BY704" s="37"/>
      <c r="BZ704" s="37"/>
      <c r="CA704" s="37"/>
      <c r="CB704" s="37"/>
      <c r="CC704" s="821">
        <f t="shared" si="1538"/>
        <v>0</v>
      </c>
      <c r="CD704" s="821"/>
      <c r="CE704" s="821"/>
      <c r="CF704" s="821"/>
      <c r="CG704" s="22"/>
    </row>
    <row r="705" spans="1:85" s="428" customFormat="1" x14ac:dyDescent="0.3">
      <c r="A705" s="43" t="str">
        <f t="shared" si="1506"/>
        <v>Net maturities of time deposits</v>
      </c>
      <c r="B705" s="37"/>
      <c r="C705" s="821">
        <f t="shared" si="1507"/>
        <v>0</v>
      </c>
      <c r="D705" s="821">
        <f t="shared" si="1507"/>
        <v>-2855</v>
      </c>
      <c r="E705" s="821">
        <f t="shared" si="1507"/>
        <v>-1104</v>
      </c>
      <c r="F705" s="821">
        <f t="shared" si="1507"/>
        <v>3250</v>
      </c>
      <c r="G705" s="37">
        <f t="shared" si="1507"/>
        <v>-700</v>
      </c>
      <c r="H705" s="37">
        <f t="shared" si="1508"/>
        <v>0</v>
      </c>
      <c r="I705" s="37">
        <f t="shared" si="1508"/>
        <v>100</v>
      </c>
      <c r="J705" s="37">
        <f t="shared" si="1508"/>
        <v>1300</v>
      </c>
      <c r="K705" s="821">
        <f t="shared" si="1509"/>
        <v>700</v>
      </c>
      <c r="L705" s="37">
        <f t="shared" si="1509"/>
        <v>-300</v>
      </c>
      <c r="M705" s="37">
        <f t="shared" si="1510"/>
        <v>300</v>
      </c>
      <c r="N705" s="37">
        <f t="shared" si="1510"/>
        <v>0</v>
      </c>
      <c r="O705" s="37">
        <f t="shared" si="1510"/>
        <v>0</v>
      </c>
      <c r="P705" s="821">
        <f t="shared" si="1511"/>
        <v>0</v>
      </c>
      <c r="Q705" s="37">
        <f t="shared" si="1511"/>
        <v>8</v>
      </c>
      <c r="R705" s="37">
        <f t="shared" si="1512"/>
        <v>0</v>
      </c>
      <c r="S705" s="37">
        <f t="shared" si="1512"/>
        <v>0</v>
      </c>
      <c r="T705" s="37">
        <f t="shared" si="1512"/>
        <v>0</v>
      </c>
      <c r="U705" s="821">
        <f t="shared" si="1513"/>
        <v>8</v>
      </c>
      <c r="V705" s="37">
        <f t="shared" si="1513"/>
        <v>0</v>
      </c>
      <c r="W705" s="37">
        <f t="shared" si="1514"/>
        <v>0</v>
      </c>
      <c r="X705" s="37">
        <f t="shared" si="1514"/>
        <v>0</v>
      </c>
      <c r="Y705" s="22">
        <f t="shared" si="1514"/>
        <v>0</v>
      </c>
      <c r="Z705" s="852">
        <f t="shared" si="1515"/>
        <v>0</v>
      </c>
      <c r="AA705" s="22">
        <f t="shared" si="1515"/>
        <v>0</v>
      </c>
      <c r="AB705" s="37">
        <f t="shared" si="1516"/>
        <v>0</v>
      </c>
      <c r="AC705" s="37">
        <f t="shared" si="1516"/>
        <v>0</v>
      </c>
      <c r="AD705" s="22">
        <f t="shared" si="1516"/>
        <v>0</v>
      </c>
      <c r="AE705" s="852">
        <f t="shared" si="1517"/>
        <v>0</v>
      </c>
      <c r="AF705" s="22">
        <f t="shared" si="1517"/>
        <v>0</v>
      </c>
      <c r="AG705" s="37">
        <f t="shared" si="1518"/>
        <v>0</v>
      </c>
      <c r="AH705" s="37">
        <f t="shared" si="1518"/>
        <v>0</v>
      </c>
      <c r="AI705" s="22">
        <f t="shared" si="1518"/>
        <v>-950</v>
      </c>
      <c r="AJ705" s="852">
        <f t="shared" si="1519"/>
        <v>-950</v>
      </c>
      <c r="AK705" s="22">
        <f t="shared" si="1519"/>
        <v>950</v>
      </c>
      <c r="AL705" s="37">
        <f t="shared" si="1520"/>
        <v>0</v>
      </c>
      <c r="AM705" s="37">
        <f t="shared" si="1520"/>
        <v>0</v>
      </c>
      <c r="AN705" s="22">
        <f t="shared" si="1520"/>
        <v>0</v>
      </c>
      <c r="AO705" s="852">
        <f t="shared" si="1521"/>
        <v>950</v>
      </c>
      <c r="AP705" s="22">
        <f t="shared" si="1521"/>
        <v>0</v>
      </c>
      <c r="AQ705" s="37">
        <f t="shared" si="1522"/>
        <v>0</v>
      </c>
      <c r="AR705" s="37">
        <f t="shared" si="1522"/>
        <v>0</v>
      </c>
      <c r="AS705" s="22">
        <f t="shared" si="1522"/>
        <v>0</v>
      </c>
      <c r="AT705" s="852">
        <f t="shared" si="1551"/>
        <v>0</v>
      </c>
      <c r="AU705" s="22">
        <f t="shared" si="1551"/>
        <v>0</v>
      </c>
      <c r="AV705" s="37">
        <f t="shared" si="1524"/>
        <v>0</v>
      </c>
      <c r="AW705" s="37">
        <f t="shared" si="1524"/>
        <v>0</v>
      </c>
      <c r="AX705" s="37">
        <f t="shared" si="1524"/>
        <v>0</v>
      </c>
      <c r="AY705" s="821">
        <f t="shared" si="1552"/>
        <v>0</v>
      </c>
      <c r="AZ705" s="22">
        <f t="shared" si="1552"/>
        <v>0</v>
      </c>
      <c r="BA705" s="37">
        <f t="shared" si="1526"/>
        <v>0</v>
      </c>
      <c r="BB705" s="37">
        <f t="shared" si="1526"/>
        <v>0</v>
      </c>
      <c r="BC705" s="37">
        <f t="shared" si="1526"/>
        <v>0</v>
      </c>
      <c r="BD705" s="821">
        <f t="shared" si="1553"/>
        <v>0</v>
      </c>
      <c r="BE705" s="37">
        <f t="shared" si="1553"/>
        <v>0</v>
      </c>
      <c r="BF705" s="22">
        <f t="shared" si="1528"/>
        <v>0</v>
      </c>
      <c r="BG705" s="37">
        <f t="shared" si="1528"/>
        <v>0</v>
      </c>
      <c r="BH705" s="22">
        <f t="shared" si="1529"/>
        <v>0</v>
      </c>
      <c r="BI705" s="852">
        <f t="shared" si="1554"/>
        <v>0</v>
      </c>
      <c r="BJ705" s="22">
        <f t="shared" si="1554"/>
        <v>0</v>
      </c>
      <c r="BK705" s="37">
        <f t="shared" si="1531"/>
        <v>0</v>
      </c>
      <c r="BL705" s="37">
        <f t="shared" si="1531"/>
        <v>-4</v>
      </c>
      <c r="BM705" s="22">
        <f t="shared" si="1532"/>
        <v>0</v>
      </c>
      <c r="BN705" s="852">
        <f t="shared" si="1555"/>
        <v>-4</v>
      </c>
      <c r="BO705" s="37">
        <f t="shared" si="1555"/>
        <v>0</v>
      </c>
      <c r="BP705" s="37">
        <f t="shared" si="1534"/>
        <v>0</v>
      </c>
      <c r="BQ705" s="37">
        <f t="shared" si="1534"/>
        <v>2</v>
      </c>
      <c r="BR705" s="22">
        <f t="shared" si="1535"/>
        <v>-1</v>
      </c>
      <c r="BS705" s="852">
        <f t="shared" ref="BS705:BT705" si="1557">BS653</f>
        <v>1</v>
      </c>
      <c r="BT705" s="480">
        <f t="shared" si="1557"/>
        <v>0</v>
      </c>
      <c r="BU705" s="37"/>
      <c r="BV705" s="37"/>
      <c r="BW705" s="37"/>
      <c r="BX705" s="821">
        <f t="shared" si="1537"/>
        <v>0</v>
      </c>
      <c r="BY705" s="37"/>
      <c r="BZ705" s="37"/>
      <c r="CA705" s="37"/>
      <c r="CB705" s="37"/>
      <c r="CC705" s="821">
        <f t="shared" si="1538"/>
        <v>0</v>
      </c>
      <c r="CD705" s="821"/>
      <c r="CE705" s="821"/>
      <c r="CF705" s="821"/>
      <c r="CG705" s="22"/>
    </row>
    <row r="706" spans="1:85" s="428" customFormat="1" x14ac:dyDescent="0.3">
      <c r="A706" s="43" t="str">
        <f t="shared" si="1506"/>
        <v>Net sales of marketable securities</v>
      </c>
      <c r="B706" s="37"/>
      <c r="C706" s="821">
        <f t="shared" si="1507"/>
        <v>244</v>
      </c>
      <c r="D706" s="821">
        <f t="shared" si="1507"/>
        <v>-49</v>
      </c>
      <c r="E706" s="821">
        <f t="shared" si="1507"/>
        <v>-74</v>
      </c>
      <c r="F706" s="821">
        <f t="shared" si="1507"/>
        <v>-3</v>
      </c>
      <c r="G706" s="37">
        <f t="shared" si="1507"/>
        <v>0</v>
      </c>
      <c r="H706" s="37">
        <f t="shared" si="1508"/>
        <v>2</v>
      </c>
      <c r="I706" s="37">
        <f t="shared" si="1508"/>
        <v>1</v>
      </c>
      <c r="J706" s="37">
        <f t="shared" si="1508"/>
        <v>0</v>
      </c>
      <c r="K706" s="821">
        <f t="shared" si="1509"/>
        <v>3</v>
      </c>
      <c r="L706" s="37">
        <f t="shared" si="1509"/>
        <v>0</v>
      </c>
      <c r="M706" s="37">
        <f t="shared" si="1510"/>
        <v>0</v>
      </c>
      <c r="N706" s="37">
        <f t="shared" si="1510"/>
        <v>1</v>
      </c>
      <c r="O706" s="37">
        <f t="shared" si="1510"/>
        <v>-149</v>
      </c>
      <c r="P706" s="821">
        <f t="shared" si="1511"/>
        <v>-148</v>
      </c>
      <c r="Q706" s="37">
        <f t="shared" si="1511"/>
        <v>0</v>
      </c>
      <c r="R706" s="37">
        <f t="shared" si="1512"/>
        <v>64</v>
      </c>
      <c r="S706" s="37">
        <f t="shared" si="1512"/>
        <v>58</v>
      </c>
      <c r="T706" s="37">
        <f t="shared" si="1512"/>
        <v>0</v>
      </c>
      <c r="U706" s="821">
        <f t="shared" si="1513"/>
        <v>122</v>
      </c>
      <c r="V706" s="37">
        <f t="shared" si="1513"/>
        <v>0</v>
      </c>
      <c r="W706" s="37">
        <f t="shared" si="1514"/>
        <v>2</v>
      </c>
      <c r="X706" s="37">
        <f t="shared" si="1514"/>
        <v>0</v>
      </c>
      <c r="Y706" s="22">
        <f t="shared" si="1514"/>
        <v>295</v>
      </c>
      <c r="Z706" s="852">
        <f t="shared" si="1515"/>
        <v>297</v>
      </c>
      <c r="AA706" s="22">
        <f t="shared" si="1515"/>
        <v>2</v>
      </c>
      <c r="AB706" s="37">
        <f t="shared" si="1516"/>
        <v>-2</v>
      </c>
      <c r="AC706" s="37">
        <f t="shared" si="1516"/>
        <v>0</v>
      </c>
      <c r="AD706" s="22">
        <f t="shared" si="1516"/>
        <v>4</v>
      </c>
      <c r="AE706" s="852">
        <f t="shared" si="1517"/>
        <v>4</v>
      </c>
      <c r="AF706" s="22">
        <f t="shared" si="1517"/>
        <v>-29</v>
      </c>
      <c r="AG706" s="37">
        <f t="shared" si="1518"/>
        <v>-20</v>
      </c>
      <c r="AH706" s="37">
        <f t="shared" si="1518"/>
        <v>-2</v>
      </c>
      <c r="AI706" s="22">
        <f t="shared" si="1518"/>
        <v>0</v>
      </c>
      <c r="AJ706" s="852">
        <f t="shared" si="1519"/>
        <v>-51</v>
      </c>
      <c r="AK706" s="22">
        <f t="shared" si="1519"/>
        <v>2</v>
      </c>
      <c r="AL706" s="37">
        <f t="shared" si="1520"/>
        <v>0</v>
      </c>
      <c r="AM706" s="37">
        <f t="shared" si="1520"/>
        <v>0</v>
      </c>
      <c r="AN706" s="22">
        <f t="shared" si="1520"/>
        <v>0</v>
      </c>
      <c r="AO706" s="852">
        <f t="shared" si="1521"/>
        <v>2</v>
      </c>
      <c r="AP706" s="22">
        <f t="shared" si="1521"/>
        <v>0</v>
      </c>
      <c r="AQ706" s="37">
        <f t="shared" si="1522"/>
        <v>-1</v>
      </c>
      <c r="AR706" s="37">
        <f t="shared" si="1522"/>
        <v>36</v>
      </c>
      <c r="AS706" s="22">
        <f t="shared" si="1522"/>
        <v>0</v>
      </c>
      <c r="AT706" s="852">
        <f t="shared" si="1551"/>
        <v>35</v>
      </c>
      <c r="AU706" s="22">
        <f t="shared" si="1551"/>
        <v>0</v>
      </c>
      <c r="AV706" s="37">
        <f t="shared" si="1524"/>
        <v>0</v>
      </c>
      <c r="AW706" s="37">
        <f t="shared" si="1524"/>
        <v>-1</v>
      </c>
      <c r="AX706" s="37">
        <f t="shared" si="1524"/>
        <v>0</v>
      </c>
      <c r="AY706" s="821">
        <f t="shared" si="1552"/>
        <v>-1</v>
      </c>
      <c r="AZ706" s="22">
        <f t="shared" si="1552"/>
        <v>0</v>
      </c>
      <c r="BA706" s="37">
        <f t="shared" si="1526"/>
        <v>-1</v>
      </c>
      <c r="BB706" s="37">
        <f t="shared" si="1526"/>
        <v>83</v>
      </c>
      <c r="BC706" s="37">
        <f t="shared" si="1526"/>
        <v>35</v>
      </c>
      <c r="BD706" s="821">
        <f t="shared" si="1553"/>
        <v>117</v>
      </c>
      <c r="BE706" s="37">
        <f t="shared" si="1553"/>
        <v>95</v>
      </c>
      <c r="BF706" s="22">
        <f t="shared" si="1528"/>
        <v>-186</v>
      </c>
      <c r="BG706" s="37">
        <f t="shared" si="1528"/>
        <v>175</v>
      </c>
      <c r="BH706" s="22">
        <f t="shared" si="1529"/>
        <v>91</v>
      </c>
      <c r="BI706" s="852">
        <f t="shared" si="1554"/>
        <v>175</v>
      </c>
      <c r="BJ706" s="22">
        <f t="shared" si="1554"/>
        <v>45</v>
      </c>
      <c r="BK706" s="37">
        <f t="shared" si="1531"/>
        <v>0</v>
      </c>
      <c r="BL706" s="37">
        <f t="shared" si="1531"/>
        <v>0</v>
      </c>
      <c r="BM706" s="22">
        <f t="shared" si="1532"/>
        <v>0</v>
      </c>
      <c r="BN706" s="852">
        <f t="shared" si="1555"/>
        <v>45</v>
      </c>
      <c r="BO706" s="37">
        <f t="shared" si="1555"/>
        <v>0</v>
      </c>
      <c r="BP706" s="37">
        <f t="shared" si="1534"/>
        <v>0</v>
      </c>
      <c r="BQ706" s="37">
        <f t="shared" si="1534"/>
        <v>0</v>
      </c>
      <c r="BR706" s="22">
        <f t="shared" si="1535"/>
        <v>0</v>
      </c>
      <c r="BS706" s="852">
        <f t="shared" ref="BS706:BT706" si="1558">BS654</f>
        <v>0</v>
      </c>
      <c r="BT706" s="480">
        <f t="shared" si="1558"/>
        <v>0</v>
      </c>
      <c r="BU706" s="37"/>
      <c r="BV706" s="37"/>
      <c r="BW706" s="37"/>
      <c r="BX706" s="821">
        <f t="shared" si="1537"/>
        <v>0</v>
      </c>
      <c r="BY706" s="37"/>
      <c r="BZ706" s="37"/>
      <c r="CA706" s="37"/>
      <c r="CB706" s="37"/>
      <c r="CC706" s="821">
        <f t="shared" si="1538"/>
        <v>0</v>
      </c>
      <c r="CD706" s="821"/>
      <c r="CE706" s="821"/>
      <c r="CF706" s="821"/>
      <c r="CG706" s="22"/>
    </row>
    <row r="707" spans="1:85" s="428" customFormat="1" x14ac:dyDescent="0.3">
      <c r="A707" s="43" t="str">
        <f t="shared" si="1506"/>
        <v>Net borrowing of loans by equity affiliates</v>
      </c>
      <c r="B707" s="37"/>
      <c r="C707" s="821">
        <f t="shared" si="1507"/>
        <v>336</v>
      </c>
      <c r="D707" s="821">
        <f t="shared" si="1507"/>
        <v>338</v>
      </c>
      <c r="E707" s="821">
        <f t="shared" si="1507"/>
        <v>339</v>
      </c>
      <c r="F707" s="821">
        <f t="shared" si="1507"/>
        <v>328</v>
      </c>
      <c r="G707" s="37">
        <f t="shared" si="1507"/>
        <v>1</v>
      </c>
      <c r="H707" s="37">
        <f t="shared" si="1508"/>
        <v>161</v>
      </c>
      <c r="I707" s="37">
        <f t="shared" si="1508"/>
        <v>0</v>
      </c>
      <c r="J707" s="37">
        <f t="shared" si="1508"/>
        <v>152</v>
      </c>
      <c r="K707" s="821">
        <f t="shared" si="1509"/>
        <v>314</v>
      </c>
      <c r="L707" s="37">
        <f t="shared" si="1509"/>
        <v>-32</v>
      </c>
      <c r="M707" s="37">
        <f t="shared" si="1510"/>
        <v>132</v>
      </c>
      <c r="N707" s="37">
        <f t="shared" si="1510"/>
        <v>-34</v>
      </c>
      <c r="O707" s="37">
        <f t="shared" si="1510"/>
        <v>74</v>
      </c>
      <c r="P707" s="821">
        <f t="shared" si="1511"/>
        <v>140</v>
      </c>
      <c r="Q707" s="37">
        <f t="shared" si="1511"/>
        <v>-40</v>
      </c>
      <c r="R707" s="37">
        <f t="shared" si="1512"/>
        <v>-56</v>
      </c>
      <c r="S707" s="37">
        <f t="shared" si="1512"/>
        <v>-51</v>
      </c>
      <c r="T707" s="37">
        <f t="shared" si="1512"/>
        <v>-70</v>
      </c>
      <c r="U707" s="821">
        <f t="shared" si="1513"/>
        <v>-217</v>
      </c>
      <c r="V707" s="37">
        <f t="shared" si="1513"/>
        <v>-92</v>
      </c>
      <c r="W707" s="37">
        <f t="shared" si="1514"/>
        <v>-66</v>
      </c>
      <c r="X707" s="37">
        <f t="shared" si="1514"/>
        <v>-2037</v>
      </c>
      <c r="Y707" s="22">
        <f t="shared" si="1514"/>
        <v>161</v>
      </c>
      <c r="Z707" s="852">
        <f t="shared" si="1515"/>
        <v>-2034</v>
      </c>
      <c r="AA707" s="22">
        <f t="shared" si="1515"/>
        <v>-6</v>
      </c>
      <c r="AB707" s="37">
        <f t="shared" si="1516"/>
        <v>-10</v>
      </c>
      <c r="AC707" s="37">
        <f t="shared" si="1516"/>
        <v>-20</v>
      </c>
      <c r="AD707" s="22">
        <f t="shared" si="1516"/>
        <v>20</v>
      </c>
      <c r="AE707" s="852">
        <f t="shared" si="1517"/>
        <v>-16</v>
      </c>
      <c r="AF707" s="22">
        <f t="shared" si="1517"/>
        <v>26</v>
      </c>
      <c r="AG707" s="37">
        <f t="shared" si="1518"/>
        <v>26</v>
      </c>
      <c r="AH707" s="37">
        <f t="shared" si="1518"/>
        <v>26</v>
      </c>
      <c r="AI707" s="22">
        <f t="shared" si="1518"/>
        <v>33</v>
      </c>
      <c r="AJ707" s="852">
        <f t="shared" si="1519"/>
        <v>111</v>
      </c>
      <c r="AK707" s="22">
        <f t="shared" si="1519"/>
        <v>-321</v>
      </c>
      <c r="AL707" s="37">
        <f t="shared" si="1520"/>
        <v>-299</v>
      </c>
      <c r="AM707" s="37">
        <f t="shared" si="1520"/>
        <v>-350</v>
      </c>
      <c r="AN707" s="22">
        <f t="shared" si="1520"/>
        <v>-275</v>
      </c>
      <c r="AO707" s="852">
        <f t="shared" si="1521"/>
        <v>-1245</v>
      </c>
      <c r="AP707" s="22">
        <f t="shared" si="1521"/>
        <v>-399</v>
      </c>
      <c r="AQ707" s="37">
        <f t="shared" si="1522"/>
        <v>-675</v>
      </c>
      <c r="AR707" s="37">
        <f t="shared" si="1522"/>
        <v>-360</v>
      </c>
      <c r="AS707" s="22">
        <f t="shared" si="1522"/>
        <v>15</v>
      </c>
      <c r="AT707" s="852">
        <f t="shared" si="1551"/>
        <v>-1419</v>
      </c>
      <c r="AU707" s="22">
        <f t="shared" si="1551"/>
        <v>25</v>
      </c>
      <c r="AV707" s="37">
        <f t="shared" si="1524"/>
        <v>14</v>
      </c>
      <c r="AW707" s="37">
        <f t="shared" si="1524"/>
        <v>350</v>
      </c>
      <c r="AX707" s="37">
        <f t="shared" si="1524"/>
        <v>12</v>
      </c>
      <c r="AY707" s="821">
        <f t="shared" si="1552"/>
        <v>401</v>
      </c>
      <c r="AZ707" s="22">
        <f t="shared" si="1552"/>
        <v>12</v>
      </c>
      <c r="BA707" s="37">
        <f t="shared" si="1526"/>
        <v>17</v>
      </c>
      <c r="BB707" s="37">
        <f t="shared" si="1526"/>
        <v>9</v>
      </c>
      <c r="BC707" s="37">
        <f t="shared" si="1526"/>
        <v>-62</v>
      </c>
      <c r="BD707" s="821">
        <f t="shared" si="1553"/>
        <v>-24</v>
      </c>
      <c r="BE707" s="37">
        <f t="shared" si="1553"/>
        <v>-83</v>
      </c>
      <c r="BF707" s="22">
        <f t="shared" si="1528"/>
        <v>-106</v>
      </c>
      <c r="BG707" s="37">
        <f t="shared" si="1528"/>
        <v>-53</v>
      </c>
      <c r="BH707" s="22">
        <f t="shared" si="1529"/>
        <v>-60</v>
      </c>
      <c r="BI707" s="852">
        <f t="shared" si="1554"/>
        <v>-302</v>
      </c>
      <c r="BJ707" s="22">
        <f t="shared" si="1554"/>
        <v>-16</v>
      </c>
      <c r="BK707" s="37">
        <f t="shared" si="1531"/>
        <v>-102</v>
      </c>
      <c r="BL707" s="37">
        <f t="shared" si="1531"/>
        <v>-39</v>
      </c>
      <c r="BM707" s="22">
        <f t="shared" si="1532"/>
        <v>-76</v>
      </c>
      <c r="BN707" s="852">
        <f t="shared" si="1555"/>
        <v>-233</v>
      </c>
      <c r="BO707" s="37">
        <f t="shared" si="1555"/>
        <v>-66</v>
      </c>
      <c r="BP707" s="37">
        <f t="shared" si="1534"/>
        <v>-110</v>
      </c>
      <c r="BQ707" s="37">
        <f t="shared" si="1534"/>
        <v>974</v>
      </c>
      <c r="BR707" s="22">
        <f t="shared" si="1535"/>
        <v>-20</v>
      </c>
      <c r="BS707" s="852">
        <f t="shared" ref="BS707:BT707" si="1559">BS655</f>
        <v>778</v>
      </c>
      <c r="BT707" s="480">
        <f t="shared" si="1559"/>
        <v>979</v>
      </c>
      <c r="BU707" s="37"/>
      <c r="BV707" s="37"/>
      <c r="BW707" s="37"/>
      <c r="BX707" s="821">
        <f t="shared" si="1537"/>
        <v>979</v>
      </c>
      <c r="BY707" s="37"/>
      <c r="BZ707" s="37"/>
      <c r="CA707" s="37"/>
      <c r="CB707" s="37"/>
      <c r="CC707" s="821">
        <f t="shared" si="1538"/>
        <v>0</v>
      </c>
      <c r="CD707" s="821"/>
      <c r="CE707" s="821"/>
      <c r="CF707" s="821"/>
      <c r="CG707" s="22"/>
    </row>
    <row r="708" spans="1:85" s="428" customFormat="1" x14ac:dyDescent="0.3">
      <c r="A708" s="242" t="str">
        <f t="shared" si="1506"/>
        <v>Net sales of other short-term investments</v>
      </c>
      <c r="B708" s="56"/>
      <c r="C708" s="822">
        <f t="shared" si="1507"/>
        <v>127</v>
      </c>
      <c r="D708" s="822">
        <f t="shared" si="1507"/>
        <v>-732</v>
      </c>
      <c r="E708" s="822">
        <f t="shared" si="1507"/>
        <v>-255</v>
      </c>
      <c r="F708" s="822">
        <f t="shared" si="1507"/>
        <v>-210</v>
      </c>
      <c r="G708" s="56">
        <f t="shared" si="1507"/>
        <v>356</v>
      </c>
      <c r="H708" s="56">
        <f t="shared" si="1508"/>
        <v>-167</v>
      </c>
      <c r="I708" s="56">
        <f t="shared" si="1508"/>
        <v>-17</v>
      </c>
      <c r="J708" s="56">
        <f t="shared" si="1508"/>
        <v>44</v>
      </c>
      <c r="K708" s="822">
        <f t="shared" si="1509"/>
        <v>216</v>
      </c>
      <c r="L708" s="56">
        <f t="shared" si="1509"/>
        <v>-20</v>
      </c>
      <c r="M708" s="56">
        <f t="shared" si="1510"/>
        <v>-6</v>
      </c>
      <c r="N708" s="56">
        <f t="shared" si="1510"/>
        <v>-41</v>
      </c>
      <c r="O708" s="56">
        <f t="shared" si="1510"/>
        <v>-140</v>
      </c>
      <c r="P708" s="822">
        <f t="shared" si="1511"/>
        <v>-207</v>
      </c>
      <c r="Q708" s="56">
        <f t="shared" si="1511"/>
        <v>80</v>
      </c>
      <c r="R708" s="56">
        <f t="shared" si="1512"/>
        <v>-9</v>
      </c>
      <c r="S708" s="56">
        <f t="shared" si="1512"/>
        <v>-7</v>
      </c>
      <c r="T708" s="56">
        <f t="shared" si="1512"/>
        <v>-20</v>
      </c>
      <c r="U708" s="822">
        <f t="shared" si="1513"/>
        <v>44</v>
      </c>
      <c r="V708" s="56">
        <f t="shared" si="1513"/>
        <v>67</v>
      </c>
      <c r="W708" s="56">
        <f t="shared" si="1514"/>
        <v>88</v>
      </c>
      <c r="X708" s="56">
        <f t="shared" si="1514"/>
        <v>0</v>
      </c>
      <c r="Y708" s="27">
        <f t="shared" si="1514"/>
        <v>62</v>
      </c>
      <c r="Z708" s="879">
        <f t="shared" si="1515"/>
        <v>217</v>
      </c>
      <c r="AA708" s="27">
        <f t="shared" si="1515"/>
        <v>-7</v>
      </c>
      <c r="AB708" s="56">
        <f t="shared" si="1516"/>
        <v>-7</v>
      </c>
      <c r="AC708" s="56">
        <f t="shared" si="1516"/>
        <v>-5</v>
      </c>
      <c r="AD708" s="27">
        <f t="shared" si="1516"/>
        <v>-13</v>
      </c>
      <c r="AE708" s="879">
        <f t="shared" si="1517"/>
        <v>-32</v>
      </c>
      <c r="AF708" s="27">
        <f t="shared" si="1517"/>
        <v>0</v>
      </c>
      <c r="AG708" s="56">
        <f t="shared" si="1518"/>
        <v>0</v>
      </c>
      <c r="AH708" s="56">
        <f t="shared" si="1518"/>
        <v>0</v>
      </c>
      <c r="AI708" s="27">
        <f t="shared" si="1518"/>
        <v>0</v>
      </c>
      <c r="AJ708" s="879">
        <f t="shared" si="1519"/>
        <v>0</v>
      </c>
      <c r="AK708" s="27">
        <f t="shared" si="1519"/>
        <v>0</v>
      </c>
      <c r="AL708" s="56">
        <f t="shared" si="1520"/>
        <v>0</v>
      </c>
      <c r="AM708" s="56">
        <f t="shared" si="1520"/>
        <v>0</v>
      </c>
      <c r="AN708" s="27">
        <f t="shared" si="1520"/>
        <v>0</v>
      </c>
      <c r="AO708" s="879">
        <f t="shared" si="1521"/>
        <v>0</v>
      </c>
      <c r="AP708" s="27">
        <f t="shared" si="1521"/>
        <v>0</v>
      </c>
      <c r="AQ708" s="56">
        <f t="shared" si="1522"/>
        <v>0</v>
      </c>
      <c r="AR708" s="56">
        <f t="shared" si="1522"/>
        <v>0</v>
      </c>
      <c r="AS708" s="27">
        <f t="shared" si="1522"/>
        <v>0</v>
      </c>
      <c r="AT708" s="879">
        <f t="shared" si="1551"/>
        <v>0</v>
      </c>
      <c r="AU708" s="27">
        <f t="shared" si="1551"/>
        <v>0</v>
      </c>
      <c r="AV708" s="56">
        <f t="shared" si="1524"/>
        <v>0</v>
      </c>
      <c r="AW708" s="56">
        <f t="shared" si="1524"/>
        <v>0</v>
      </c>
      <c r="AX708" s="56">
        <f t="shared" si="1524"/>
        <v>0</v>
      </c>
      <c r="AY708" s="822">
        <f t="shared" si="1552"/>
        <v>0</v>
      </c>
      <c r="AZ708" s="27">
        <f t="shared" si="1552"/>
        <v>0</v>
      </c>
      <c r="BA708" s="56">
        <f t="shared" si="1526"/>
        <v>0</v>
      </c>
      <c r="BB708" s="56">
        <f t="shared" si="1526"/>
        <v>0</v>
      </c>
      <c r="BC708" s="56">
        <f t="shared" si="1526"/>
        <v>0</v>
      </c>
      <c r="BD708" s="822">
        <f t="shared" si="1553"/>
        <v>0</v>
      </c>
      <c r="BE708" s="56">
        <f t="shared" si="1553"/>
        <v>0</v>
      </c>
      <c r="BF708" s="27">
        <f t="shared" si="1528"/>
        <v>0</v>
      </c>
      <c r="BG708" s="56">
        <f t="shared" si="1528"/>
        <v>0</v>
      </c>
      <c r="BH708" s="27">
        <f t="shared" si="1529"/>
        <v>0</v>
      </c>
      <c r="BI708" s="879">
        <f t="shared" si="1554"/>
        <v>0</v>
      </c>
      <c r="BJ708" s="27">
        <f t="shared" si="1554"/>
        <v>0</v>
      </c>
      <c r="BK708" s="56">
        <f t="shared" si="1531"/>
        <v>0</v>
      </c>
      <c r="BL708" s="56">
        <f t="shared" si="1531"/>
        <v>0</v>
      </c>
      <c r="BM708" s="27">
        <f t="shared" si="1532"/>
        <v>0</v>
      </c>
      <c r="BN708" s="879">
        <f t="shared" si="1555"/>
        <v>0</v>
      </c>
      <c r="BO708" s="56">
        <f t="shared" si="1555"/>
        <v>0</v>
      </c>
      <c r="BP708" s="56">
        <f t="shared" si="1534"/>
        <v>0</v>
      </c>
      <c r="BQ708" s="56">
        <f t="shared" si="1534"/>
        <v>0</v>
      </c>
      <c r="BR708" s="27">
        <f t="shared" si="1535"/>
        <v>0</v>
      </c>
      <c r="BS708" s="879">
        <f t="shared" ref="BS708:BT708" si="1560">BS656</f>
        <v>0</v>
      </c>
      <c r="BT708" s="478">
        <f t="shared" si="1560"/>
        <v>0</v>
      </c>
      <c r="BU708" s="56"/>
      <c r="BV708" s="56"/>
      <c r="BW708" s="56"/>
      <c r="BX708" s="822">
        <f t="shared" si="1537"/>
        <v>0</v>
      </c>
      <c r="BY708" s="56"/>
      <c r="BZ708" s="56"/>
      <c r="CA708" s="56"/>
      <c r="CB708" s="56"/>
      <c r="CC708" s="822">
        <f t="shared" si="1538"/>
        <v>0</v>
      </c>
      <c r="CD708" s="822"/>
      <c r="CE708" s="822"/>
      <c r="CF708" s="822"/>
      <c r="CG708" s="22"/>
    </row>
    <row r="709" spans="1:85" s="429" customFormat="1" x14ac:dyDescent="0.3">
      <c r="A709" s="42" t="str">
        <f t="shared" si="1506"/>
        <v>Net CFI</v>
      </c>
      <c r="B709" s="99"/>
      <c r="C709" s="823">
        <f t="shared" ref="C709:AH709" si="1561">SUM(C700:C708)</f>
        <v>-16572</v>
      </c>
      <c r="D709" s="823">
        <f t="shared" si="1561"/>
        <v>-20915</v>
      </c>
      <c r="E709" s="823">
        <f t="shared" si="1561"/>
        <v>-27489</v>
      </c>
      <c r="F709" s="823">
        <f t="shared" si="1561"/>
        <v>-24796</v>
      </c>
      <c r="G709" s="393">
        <f t="shared" si="1561"/>
        <v>-8459</v>
      </c>
      <c r="H709" s="393">
        <f t="shared" si="1561"/>
        <v>-8012</v>
      </c>
      <c r="I709" s="393">
        <f t="shared" si="1561"/>
        <v>-9307</v>
      </c>
      <c r="J709" s="393">
        <f t="shared" si="1561"/>
        <v>-9831</v>
      </c>
      <c r="K709" s="823">
        <f t="shared" si="1561"/>
        <v>-35609</v>
      </c>
      <c r="L709" s="393">
        <f t="shared" si="1561"/>
        <v>-8580</v>
      </c>
      <c r="M709" s="393">
        <f t="shared" si="1561"/>
        <v>-7198</v>
      </c>
      <c r="N709" s="393">
        <f t="shared" si="1561"/>
        <v>-7373</v>
      </c>
      <c r="O709" s="393">
        <f t="shared" si="1561"/>
        <v>-6742</v>
      </c>
      <c r="P709" s="823">
        <f t="shared" si="1561"/>
        <v>-29893</v>
      </c>
      <c r="Q709" s="393">
        <f t="shared" si="1561"/>
        <v>-6606</v>
      </c>
      <c r="R709" s="393">
        <f t="shared" si="1561"/>
        <v>-3715</v>
      </c>
      <c r="S709" s="393">
        <f t="shared" si="1561"/>
        <v>-6279</v>
      </c>
      <c r="T709" s="393">
        <f t="shared" si="1561"/>
        <v>-7208</v>
      </c>
      <c r="U709" s="823">
        <f t="shared" si="1561"/>
        <v>-23808</v>
      </c>
      <c r="V709" s="393">
        <f t="shared" si="1561"/>
        <v>-5509</v>
      </c>
      <c r="W709" s="393">
        <f t="shared" si="1561"/>
        <v>-3157</v>
      </c>
      <c r="X709" s="393">
        <f t="shared" si="1561"/>
        <v>-5263</v>
      </c>
      <c r="Y709" s="394">
        <f t="shared" si="1561"/>
        <v>-2923</v>
      </c>
      <c r="Z709" s="824">
        <f t="shared" si="1561"/>
        <v>-16852</v>
      </c>
      <c r="AA709" s="394">
        <f t="shared" si="1561"/>
        <v>-1239</v>
      </c>
      <c r="AB709" s="393">
        <f t="shared" si="1561"/>
        <v>-2807</v>
      </c>
      <c r="AC709" s="393">
        <f t="shared" si="1561"/>
        <v>-916</v>
      </c>
      <c r="AD709" s="394">
        <f t="shared" si="1561"/>
        <v>-3239</v>
      </c>
      <c r="AE709" s="824">
        <f t="shared" si="1561"/>
        <v>-8201</v>
      </c>
      <c r="AF709" s="394">
        <f t="shared" si="1561"/>
        <v>-2889</v>
      </c>
      <c r="AG709" s="393">
        <f t="shared" si="1561"/>
        <v>-2542</v>
      </c>
      <c r="AH709" s="393">
        <f t="shared" si="1561"/>
        <v>-2227</v>
      </c>
      <c r="AI709" s="394">
        <f t="shared" ref="AI709:AQ709" si="1562">SUM(AI700:AI708)</f>
        <v>-4632</v>
      </c>
      <c r="AJ709" s="824">
        <f t="shared" si="1562"/>
        <v>-12290</v>
      </c>
      <c r="AK709" s="394">
        <f t="shared" si="1562"/>
        <v>-2028</v>
      </c>
      <c r="AL709" s="393">
        <f t="shared" si="1562"/>
        <v>-3240</v>
      </c>
      <c r="AM709" s="393">
        <f t="shared" si="1562"/>
        <v>-3568</v>
      </c>
      <c r="AN709" s="394">
        <f t="shared" si="1562"/>
        <v>-2622</v>
      </c>
      <c r="AO709" s="824">
        <f t="shared" si="1562"/>
        <v>-11458</v>
      </c>
      <c r="AP709" s="394">
        <f t="shared" si="1562"/>
        <v>-3158</v>
      </c>
      <c r="AQ709" s="393">
        <f t="shared" si="1562"/>
        <v>-1290</v>
      </c>
      <c r="AR709" s="393">
        <f>SUM(AR700:AR708)</f>
        <v>-1827</v>
      </c>
      <c r="AS709" s="394">
        <f t="shared" ref="AS709:AV709" si="1563">SUM(AS700:AS708)</f>
        <v>-690</v>
      </c>
      <c r="AT709" s="824">
        <f t="shared" si="1563"/>
        <v>-6965</v>
      </c>
      <c r="AU709" s="394">
        <f t="shared" si="1563"/>
        <v>-1563</v>
      </c>
      <c r="AV709" s="393">
        <f t="shared" si="1563"/>
        <v>-1572</v>
      </c>
      <c r="AW709" s="393">
        <f>SUM(AW700:AW708)</f>
        <v>-1341</v>
      </c>
      <c r="AX709" s="393">
        <f t="shared" ref="AX709:BA709" si="1564">SUM(AX700:AX708)</f>
        <v>-1389</v>
      </c>
      <c r="AY709" s="823">
        <f t="shared" si="1564"/>
        <v>-5865</v>
      </c>
      <c r="AZ709" s="394">
        <f t="shared" si="1564"/>
        <v>-665</v>
      </c>
      <c r="BA709" s="393">
        <f t="shared" si="1564"/>
        <v>-4964</v>
      </c>
      <c r="BB709" s="393">
        <f t="shared" ref="BB709:BF709" si="1565">SUM(BB700:BB708)</f>
        <v>-2767</v>
      </c>
      <c r="BC709" s="393">
        <f t="shared" si="1565"/>
        <v>-3712</v>
      </c>
      <c r="BD709" s="823">
        <f t="shared" si="1565"/>
        <v>-12108</v>
      </c>
      <c r="BE709" s="393">
        <f t="shared" si="1565"/>
        <v>-2807</v>
      </c>
      <c r="BF709" s="394">
        <f t="shared" si="1565"/>
        <v>-3944</v>
      </c>
      <c r="BG709" s="393">
        <f t="shared" ref="BG709:BK709" si="1566">SUM(BG700:BG708)</f>
        <v>-4410</v>
      </c>
      <c r="BH709" s="394">
        <f t="shared" si="1566"/>
        <v>-4071</v>
      </c>
      <c r="BI709" s="824">
        <f t="shared" si="1566"/>
        <v>-15232</v>
      </c>
      <c r="BJ709" s="394">
        <f t="shared" si="1566"/>
        <v>-3956</v>
      </c>
      <c r="BK709" s="394">
        <f t="shared" si="1566"/>
        <v>-3954</v>
      </c>
      <c r="BL709" s="393">
        <f t="shared" ref="BL709:BP709" si="1567">SUM(BL700:BL708)</f>
        <v>-3696</v>
      </c>
      <c r="BM709" s="394">
        <f t="shared" si="1567"/>
        <v>2670</v>
      </c>
      <c r="BN709" s="824">
        <f t="shared" si="1567"/>
        <v>-8936</v>
      </c>
      <c r="BO709" s="394">
        <f t="shared" si="1567"/>
        <v>-5618</v>
      </c>
      <c r="BP709" s="394">
        <f t="shared" si="1567"/>
        <v>-3432</v>
      </c>
      <c r="BQ709" s="393">
        <f t="shared" ref="BQ709:BT709" si="1568">SUM(BQ700:BQ708)</f>
        <v>-1929</v>
      </c>
      <c r="BR709" s="394">
        <f t="shared" si="1568"/>
        <v>-4932</v>
      </c>
      <c r="BS709" s="824">
        <f t="shared" si="1568"/>
        <v>-15911</v>
      </c>
      <c r="BT709" s="641">
        <f t="shared" si="1568"/>
        <v>-3012</v>
      </c>
      <c r="BU709" s="393">
        <f>SUM(BU700:BU708)</f>
        <v>-4000</v>
      </c>
      <c r="BV709" s="393">
        <f>SUM(BV700:BV708)</f>
        <v>-4500</v>
      </c>
      <c r="BW709" s="393">
        <f>SUM(BW700:BW708)</f>
        <v>-4500</v>
      </c>
      <c r="BX709" s="823">
        <f t="shared" ref="BX709" si="1569">SUM(BX700:BX708)</f>
        <v>-16012</v>
      </c>
      <c r="BY709" s="393">
        <f t="shared" ref="BY709:CF709" si="1570">SUM(BY700:BY708)</f>
        <v>-4500</v>
      </c>
      <c r="BZ709" s="393">
        <f t="shared" si="1570"/>
        <v>-4500</v>
      </c>
      <c r="CA709" s="393">
        <f t="shared" si="1570"/>
        <v>-4500</v>
      </c>
      <c r="CB709" s="393">
        <f t="shared" si="1570"/>
        <v>-4500</v>
      </c>
      <c r="CC709" s="823">
        <f t="shared" si="1570"/>
        <v>-18000</v>
      </c>
      <c r="CD709" s="823">
        <f t="shared" si="1570"/>
        <v>-20000</v>
      </c>
      <c r="CE709" s="823">
        <f t="shared" si="1570"/>
        <v>-20000</v>
      </c>
      <c r="CF709" s="823">
        <f t="shared" si="1570"/>
        <v>-20000</v>
      </c>
      <c r="CG709" s="26"/>
    </row>
    <row r="710" spans="1:85" s="429" customFormat="1" x14ac:dyDescent="0.3">
      <c r="A710" s="48"/>
      <c r="B710" s="58"/>
      <c r="C710" s="825"/>
      <c r="D710" s="825"/>
      <c r="E710" s="825"/>
      <c r="F710" s="825"/>
      <c r="G710" s="31"/>
      <c r="H710" s="31"/>
      <c r="I710" s="31"/>
      <c r="J710" s="31"/>
      <c r="K710" s="825"/>
      <c r="L710" s="31"/>
      <c r="M710" s="31"/>
      <c r="N710" s="31"/>
      <c r="O710" s="31"/>
      <c r="P710" s="825"/>
      <c r="Q710" s="31"/>
      <c r="R710" s="31"/>
      <c r="S710" s="31"/>
      <c r="T710" s="31"/>
      <c r="U710" s="825"/>
      <c r="V710" s="31"/>
      <c r="W710" s="31"/>
      <c r="X710" s="31"/>
      <c r="Y710" s="31"/>
      <c r="Z710" s="825"/>
      <c r="AA710" s="31"/>
      <c r="AB710" s="31"/>
      <c r="AC710" s="31"/>
      <c r="AD710" s="31"/>
      <c r="AE710" s="825"/>
      <c r="AF710" s="31"/>
      <c r="AG710" s="31"/>
      <c r="AH710" s="31"/>
      <c r="AI710" s="31"/>
      <c r="AJ710" s="825"/>
      <c r="AK710" s="31"/>
      <c r="AL710" s="31"/>
      <c r="AM710" s="31"/>
      <c r="AN710" s="31"/>
      <c r="AO710" s="825"/>
      <c r="AP710" s="31"/>
      <c r="AQ710" s="31"/>
      <c r="AR710" s="31"/>
      <c r="AS710" s="31"/>
      <c r="AT710" s="825"/>
      <c r="AU710" s="31"/>
      <c r="AV710" s="31"/>
      <c r="AW710" s="31"/>
      <c r="AX710" s="31"/>
      <c r="AY710" s="825"/>
      <c r="AZ710" s="31"/>
      <c r="BA710" s="31"/>
      <c r="BB710" s="31"/>
      <c r="BC710" s="31"/>
      <c r="BD710" s="825"/>
      <c r="BE710" s="31"/>
      <c r="BF710" s="31"/>
      <c r="BG710" s="31"/>
      <c r="BH710" s="31"/>
      <c r="BI710" s="825"/>
      <c r="BJ710" s="31"/>
      <c r="BK710" s="31"/>
      <c r="BL710" s="31"/>
      <c r="BM710" s="31"/>
      <c r="BN710" s="825"/>
      <c r="BO710" s="31"/>
      <c r="BP710" s="31"/>
      <c r="BQ710" s="31"/>
      <c r="BR710" s="31"/>
      <c r="BS710" s="825"/>
      <c r="BT710" s="379"/>
      <c r="BU710" s="31"/>
      <c r="BV710" s="31"/>
      <c r="BW710" s="31"/>
      <c r="BX710" s="825"/>
      <c r="BY710" s="31"/>
      <c r="BZ710" s="31"/>
      <c r="CA710" s="31"/>
      <c r="CB710" s="31"/>
      <c r="CC710" s="825"/>
      <c r="CD710" s="825"/>
      <c r="CE710" s="825"/>
      <c r="CF710" s="825"/>
      <c r="CG710" s="26"/>
    </row>
    <row r="711" spans="1:85" s="429" customFormat="1" x14ac:dyDescent="0.3">
      <c r="A711" s="48" t="str">
        <f t="shared" ref="A711:A720" si="1571">A659</f>
        <v>CFF</v>
      </c>
      <c r="B711" s="58"/>
      <c r="C711" s="825"/>
      <c r="D711" s="825"/>
      <c r="E711" s="825"/>
      <c r="F711" s="825"/>
      <c r="G711" s="31"/>
      <c r="H711" s="31"/>
      <c r="I711" s="31"/>
      <c r="J711" s="31"/>
      <c r="K711" s="825"/>
      <c r="L711" s="31"/>
      <c r="M711" s="31"/>
      <c r="N711" s="31"/>
      <c r="O711" s="31"/>
      <c r="P711" s="825"/>
      <c r="Q711" s="31"/>
      <c r="R711" s="31"/>
      <c r="S711" s="31"/>
      <c r="T711" s="31"/>
      <c r="U711" s="825"/>
      <c r="V711" s="31"/>
      <c r="W711" s="31"/>
      <c r="X711" s="31"/>
      <c r="Y711" s="31"/>
      <c r="Z711" s="825"/>
      <c r="AA711" s="31"/>
      <c r="AB711" s="31"/>
      <c r="AC711" s="31"/>
      <c r="AD711" s="31"/>
      <c r="AE711" s="825"/>
      <c r="AF711" s="31"/>
      <c r="AG711" s="31"/>
      <c r="AH711" s="31"/>
      <c r="AI711" s="31"/>
      <c r="AJ711" s="825"/>
      <c r="AK711" s="31"/>
      <c r="AL711" s="31"/>
      <c r="AM711" s="31"/>
      <c r="AN711" s="31"/>
      <c r="AO711" s="825"/>
      <c r="AP711" s="31"/>
      <c r="AQ711" s="31"/>
      <c r="AR711" s="31"/>
      <c r="AS711" s="31"/>
      <c r="AT711" s="825"/>
      <c r="AU711" s="31"/>
      <c r="AV711" s="31"/>
      <c r="AW711" s="31"/>
      <c r="AX711" s="31"/>
      <c r="AY711" s="825"/>
      <c r="AZ711" s="31"/>
      <c r="BA711" s="31"/>
      <c r="BB711" s="31"/>
      <c r="BC711" s="31"/>
      <c r="BD711" s="825"/>
      <c r="BE711" s="31"/>
      <c r="BF711" s="31"/>
      <c r="BG711" s="31"/>
      <c r="BH711" s="31"/>
      <c r="BI711" s="825"/>
      <c r="BJ711" s="31"/>
      <c r="BK711" s="31"/>
      <c r="BL711" s="31"/>
      <c r="BM711" s="31"/>
      <c r="BN711" s="825"/>
      <c r="BO711" s="31"/>
      <c r="BP711" s="31"/>
      <c r="BQ711" s="31"/>
      <c r="BR711" s="31"/>
      <c r="BS711" s="825"/>
      <c r="BT711" s="379"/>
      <c r="BU711" s="31"/>
      <c r="BV711" s="31"/>
      <c r="BW711" s="31"/>
      <c r="BX711" s="825"/>
      <c r="BY711" s="31"/>
      <c r="BZ711" s="31"/>
      <c r="CA711" s="31"/>
      <c r="CB711" s="31"/>
      <c r="CC711" s="825"/>
      <c r="CD711" s="825"/>
      <c r="CE711" s="825"/>
      <c r="CF711" s="825"/>
      <c r="CG711" s="26"/>
    </row>
    <row r="712" spans="1:85" s="428" customFormat="1" x14ac:dyDescent="0.3">
      <c r="A712" s="43" t="str">
        <f t="shared" si="1571"/>
        <v>Net borrowings of short-term obligations</v>
      </c>
      <c r="B712" s="37"/>
      <c r="C712" s="821">
        <f t="shared" ref="C712:G718" si="1572">C660</f>
        <v>-3192</v>
      </c>
      <c r="D712" s="821">
        <f t="shared" si="1572"/>
        <v>-212</v>
      </c>
      <c r="E712" s="821">
        <f t="shared" si="1572"/>
        <v>23</v>
      </c>
      <c r="F712" s="821">
        <f t="shared" si="1572"/>
        <v>264</v>
      </c>
      <c r="G712" s="37">
        <f t="shared" si="1572"/>
        <v>2069</v>
      </c>
      <c r="H712" s="37">
        <f t="shared" ref="H712:J718" si="1573">H660-G660</f>
        <v>-166</v>
      </c>
      <c r="I712" s="37">
        <f t="shared" si="1573"/>
        <v>-1369</v>
      </c>
      <c r="J712" s="37">
        <f t="shared" si="1573"/>
        <v>1844</v>
      </c>
      <c r="K712" s="821">
        <f t="shared" ref="K712:L718" si="1574">K660</f>
        <v>2378</v>
      </c>
      <c r="L712" s="37">
        <f t="shared" si="1574"/>
        <v>2636</v>
      </c>
      <c r="M712" s="37">
        <f t="shared" ref="M712:O718" si="1575">M660-L660</f>
        <v>487</v>
      </c>
      <c r="N712" s="37">
        <f t="shared" si="1575"/>
        <v>2171</v>
      </c>
      <c r="O712" s="37">
        <f t="shared" si="1575"/>
        <v>-1863</v>
      </c>
      <c r="P712" s="821">
        <f t="shared" ref="P712:Q718" si="1576">P660</f>
        <v>3431</v>
      </c>
      <c r="Q712" s="37">
        <f t="shared" si="1576"/>
        <v>117</v>
      </c>
      <c r="R712" s="37">
        <f t="shared" ref="R712:T718" si="1577">R660-Q660</f>
        <v>-2037</v>
      </c>
      <c r="S712" s="37">
        <f t="shared" si="1577"/>
        <v>3969</v>
      </c>
      <c r="T712" s="37">
        <f t="shared" si="1577"/>
        <v>-2384</v>
      </c>
      <c r="U712" s="821">
        <f t="shared" ref="U712:V718" si="1578">U660</f>
        <v>-335</v>
      </c>
      <c r="V712" s="37">
        <f t="shared" si="1578"/>
        <v>3802</v>
      </c>
      <c r="W712" s="37">
        <f t="shared" ref="W712:Y718" si="1579">W660-V660</f>
        <v>-3443</v>
      </c>
      <c r="X712" s="37">
        <f t="shared" si="1579"/>
        <v>510</v>
      </c>
      <c r="Y712" s="22">
        <f t="shared" si="1579"/>
        <v>1261</v>
      </c>
      <c r="Z712" s="852">
        <f t="shared" ref="Z712:AA718" si="1580">Z660</f>
        <v>2130</v>
      </c>
      <c r="AA712" s="22">
        <f t="shared" si="1580"/>
        <v>-3928</v>
      </c>
      <c r="AB712" s="37">
        <f t="shared" ref="AB712:AD718" si="1581">AB660-AA660</f>
        <v>-2377</v>
      </c>
      <c r="AC712" s="37">
        <f t="shared" si="1581"/>
        <v>-880</v>
      </c>
      <c r="AD712" s="22">
        <f t="shared" si="1581"/>
        <v>2043</v>
      </c>
      <c r="AE712" s="852">
        <f t="shared" ref="AE712:AF718" si="1582">AE660</f>
        <v>-5142</v>
      </c>
      <c r="AF712" s="22">
        <f t="shared" si="1582"/>
        <v>3214</v>
      </c>
      <c r="AG712" s="37">
        <f t="shared" ref="AG712:AI718" si="1583">AG660-AF660</f>
        <v>1487</v>
      </c>
      <c r="AH712" s="37">
        <f t="shared" si="1583"/>
        <v>-2502</v>
      </c>
      <c r="AI712" s="22">
        <f t="shared" si="1583"/>
        <v>-178</v>
      </c>
      <c r="AJ712" s="852">
        <f t="shared" ref="AJ712:AK718" si="1584">AJ660</f>
        <v>2021</v>
      </c>
      <c r="AK712" s="22">
        <f t="shared" si="1584"/>
        <v>936</v>
      </c>
      <c r="AL712" s="37">
        <f t="shared" ref="AL712:AN718" si="1585">AL660-AK660</f>
        <v>-1125</v>
      </c>
      <c r="AM712" s="37">
        <f t="shared" si="1585"/>
        <v>2162</v>
      </c>
      <c r="AN712" s="22">
        <f t="shared" si="1585"/>
        <v>-4794</v>
      </c>
      <c r="AO712" s="852">
        <f t="shared" ref="AO712:AP718" si="1586">AO660</f>
        <v>-2821</v>
      </c>
      <c r="AP712" s="22">
        <f t="shared" si="1586"/>
        <v>8167</v>
      </c>
      <c r="AQ712" s="37">
        <f t="shared" ref="AQ712:AS718" si="1587">AQ660-AP660</f>
        <v>-5596</v>
      </c>
      <c r="AR712" s="37">
        <f t="shared" si="1587"/>
        <v>-3177</v>
      </c>
      <c r="AS712" s="22">
        <f t="shared" si="1587"/>
        <v>1257</v>
      </c>
      <c r="AT712" s="852">
        <f t="shared" ref="AT712:AU718" si="1588">AT660</f>
        <v>651</v>
      </c>
      <c r="AU712" s="22">
        <f t="shared" si="1588"/>
        <v>1237</v>
      </c>
      <c r="AV712" s="37">
        <f t="shared" ref="AV712:AX718" si="1589">AV660-AU660</f>
        <v>711</v>
      </c>
      <c r="AW712" s="37">
        <f t="shared" si="1589"/>
        <v>-5575</v>
      </c>
      <c r="AX712" s="37">
        <f t="shared" si="1589"/>
        <v>-1945</v>
      </c>
      <c r="AY712" s="821">
        <f t="shared" ref="AY712:AZ718" si="1590">AY660</f>
        <v>-5572</v>
      </c>
      <c r="AZ712" s="22">
        <f t="shared" si="1590"/>
        <v>61</v>
      </c>
      <c r="BA712" s="37">
        <f t="shared" ref="BA712:BC719" si="1591">BA660-AZ660</f>
        <v>-25</v>
      </c>
      <c r="BB712" s="37">
        <f t="shared" si="1591"/>
        <v>242</v>
      </c>
      <c r="BC712" s="37">
        <f t="shared" si="1591"/>
        <v>-15</v>
      </c>
      <c r="BD712" s="821">
        <f t="shared" ref="BD712:BE718" si="1592">BD660</f>
        <v>263</v>
      </c>
      <c r="BE712" s="37">
        <f t="shared" si="1592"/>
        <v>-87</v>
      </c>
      <c r="BF712" s="22">
        <f t="shared" ref="BF712:BH719" si="1593">BF660-BE660</f>
        <v>-17</v>
      </c>
      <c r="BG712" s="37">
        <f t="shared" si="1593"/>
        <v>71</v>
      </c>
      <c r="BH712" s="22">
        <f t="shared" si="1593"/>
        <v>168</v>
      </c>
      <c r="BI712" s="852">
        <f t="shared" ref="BI712:BJ718" si="1594">BI660</f>
        <v>135</v>
      </c>
      <c r="BJ712" s="22">
        <f t="shared" si="1594"/>
        <v>1836</v>
      </c>
      <c r="BK712" s="37">
        <f t="shared" ref="BK712:BM719" si="1595">BK660-BJ660</f>
        <v>1283</v>
      </c>
      <c r="BL712" s="37">
        <f t="shared" si="1595"/>
        <v>2496</v>
      </c>
      <c r="BM712" s="22">
        <f t="shared" si="1595"/>
        <v>-747</v>
      </c>
      <c r="BN712" s="852">
        <f>BN660</f>
        <v>4868</v>
      </c>
      <c r="BO712" s="37">
        <f>BO660</f>
        <v>-400</v>
      </c>
      <c r="BP712" s="37">
        <f t="shared" ref="BP712:BQ719" si="1596">BP660-BO660</f>
        <v>2291</v>
      </c>
      <c r="BQ712" s="37">
        <f t="shared" si="1596"/>
        <v>-2710</v>
      </c>
      <c r="BR712" s="22">
        <f t="shared" ref="BR712:BR719" si="1597">BR660-BQ660</f>
        <v>-242</v>
      </c>
      <c r="BS712" s="852">
        <f>BS660</f>
        <v>-1061</v>
      </c>
      <c r="BT712" s="480">
        <f>BT660</f>
        <v>5417</v>
      </c>
      <c r="BU712" s="37"/>
      <c r="BV712" s="37"/>
      <c r="BW712" s="37"/>
      <c r="BX712" s="821">
        <f t="shared" ref="BX712:BX719" si="1598">SUM(BT712,BU712,BV712,BW712)</f>
        <v>5417</v>
      </c>
      <c r="BY712" s="37"/>
      <c r="BZ712" s="37"/>
      <c r="CA712" s="37"/>
      <c r="CB712" s="37"/>
      <c r="CC712" s="821">
        <f t="shared" ref="CC712:CC719" si="1599">SUM(BY712,BZ712,CA712,CB712)</f>
        <v>0</v>
      </c>
      <c r="CD712" s="821"/>
      <c r="CE712" s="821"/>
      <c r="CF712" s="821"/>
      <c r="CG712" s="22"/>
    </row>
    <row r="713" spans="1:85" s="428" customFormat="1" x14ac:dyDescent="0.3">
      <c r="A713" s="43" t="str">
        <f t="shared" si="1571"/>
        <v>Proceeds from issuance of long-term debt</v>
      </c>
      <c r="B713" s="37"/>
      <c r="C713" s="821">
        <f t="shared" si="1572"/>
        <v>5347</v>
      </c>
      <c r="D713" s="821">
        <f t="shared" si="1572"/>
        <v>1250</v>
      </c>
      <c r="E713" s="821">
        <f t="shared" si="1572"/>
        <v>377</v>
      </c>
      <c r="F713" s="821">
        <f t="shared" si="1572"/>
        <v>4007</v>
      </c>
      <c r="G713" s="37">
        <f t="shared" si="1572"/>
        <v>0</v>
      </c>
      <c r="H713" s="37">
        <f t="shared" si="1573"/>
        <v>6000</v>
      </c>
      <c r="I713" s="37">
        <f t="shared" si="1573"/>
        <v>0</v>
      </c>
      <c r="J713" s="37">
        <f t="shared" si="1573"/>
        <v>0</v>
      </c>
      <c r="K713" s="821">
        <f t="shared" si="1574"/>
        <v>6000</v>
      </c>
      <c r="L713" s="37">
        <f t="shared" si="1574"/>
        <v>0</v>
      </c>
      <c r="M713" s="37">
        <f t="shared" si="1575"/>
        <v>0</v>
      </c>
      <c r="N713" s="37">
        <f t="shared" si="1575"/>
        <v>0</v>
      </c>
      <c r="O713" s="37">
        <f t="shared" si="1575"/>
        <v>4000</v>
      </c>
      <c r="P713" s="821">
        <f t="shared" si="1576"/>
        <v>4000</v>
      </c>
      <c r="Q713" s="37">
        <f t="shared" si="1576"/>
        <v>5993</v>
      </c>
      <c r="R713" s="37">
        <f t="shared" si="1577"/>
        <v>-4</v>
      </c>
      <c r="S713" s="37">
        <f t="shared" si="1577"/>
        <v>0</v>
      </c>
      <c r="T713" s="37">
        <f t="shared" si="1577"/>
        <v>5102</v>
      </c>
      <c r="U713" s="821">
        <f t="shared" si="1578"/>
        <v>11091</v>
      </c>
      <c r="V713" s="37">
        <f t="shared" si="1578"/>
        <v>0</v>
      </c>
      <c r="W713" s="37">
        <f t="shared" si="1579"/>
        <v>6926</v>
      </c>
      <c r="X713" s="37">
        <f t="shared" si="1579"/>
        <v>-2</v>
      </c>
      <c r="Y713" s="37">
        <f t="shared" si="1579"/>
        <v>0</v>
      </c>
      <c r="Z713" s="821">
        <f t="shared" si="1580"/>
        <v>6924</v>
      </c>
      <c r="AA713" s="37">
        <f t="shared" si="1580"/>
        <v>3994</v>
      </c>
      <c r="AB713" s="37">
        <f t="shared" si="1581"/>
        <v>-3</v>
      </c>
      <c r="AC713" s="37">
        <f t="shared" si="1581"/>
        <v>0</v>
      </c>
      <c r="AD713" s="37">
        <f t="shared" si="1581"/>
        <v>0</v>
      </c>
      <c r="AE713" s="821">
        <f t="shared" si="1582"/>
        <v>3991</v>
      </c>
      <c r="AF713" s="37">
        <f t="shared" si="1582"/>
        <v>73</v>
      </c>
      <c r="AG713" s="37">
        <f t="shared" si="1583"/>
        <v>72</v>
      </c>
      <c r="AH713" s="37">
        <f t="shared" si="1583"/>
        <v>72</v>
      </c>
      <c r="AI713" s="37">
        <f t="shared" si="1583"/>
        <v>1</v>
      </c>
      <c r="AJ713" s="821">
        <f t="shared" si="1584"/>
        <v>218</v>
      </c>
      <c r="AK713" s="37">
        <f t="shared" si="1584"/>
        <v>0</v>
      </c>
      <c r="AL713" s="37">
        <f t="shared" si="1585"/>
        <v>0</v>
      </c>
      <c r="AM713" s="37">
        <f t="shared" si="1585"/>
        <v>0</v>
      </c>
      <c r="AN713" s="37">
        <f t="shared" si="1585"/>
        <v>0</v>
      </c>
      <c r="AO713" s="821">
        <f t="shared" si="1586"/>
        <v>0</v>
      </c>
      <c r="AP713" s="37">
        <f t="shared" si="1586"/>
        <v>0</v>
      </c>
      <c r="AQ713" s="37">
        <f t="shared" si="1587"/>
        <v>8250</v>
      </c>
      <c r="AR713" s="37">
        <f t="shared" si="1587"/>
        <v>3987</v>
      </c>
      <c r="AS713" s="37">
        <f t="shared" si="1587"/>
        <v>71</v>
      </c>
      <c r="AT713" s="821">
        <f t="shared" si="1588"/>
        <v>12308</v>
      </c>
      <c r="AU713" s="37">
        <f t="shared" si="1588"/>
        <v>0</v>
      </c>
      <c r="AV713" s="37">
        <f t="shared" si="1589"/>
        <v>0</v>
      </c>
      <c r="AW713" s="37">
        <f t="shared" si="1589"/>
        <v>0</v>
      </c>
      <c r="AX713" s="37">
        <f t="shared" si="1589"/>
        <v>0</v>
      </c>
      <c r="AY713" s="821">
        <f t="shared" si="1590"/>
        <v>0</v>
      </c>
      <c r="AZ713" s="22">
        <f t="shared" si="1590"/>
        <v>0</v>
      </c>
      <c r="BA713" s="37">
        <f t="shared" si="1591"/>
        <v>0</v>
      </c>
      <c r="BB713" s="37">
        <f t="shared" si="1591"/>
        <v>0</v>
      </c>
      <c r="BC713" s="37">
        <f t="shared" si="1591"/>
        <v>0</v>
      </c>
      <c r="BD713" s="821">
        <f t="shared" si="1592"/>
        <v>0</v>
      </c>
      <c r="BE713" s="37">
        <f t="shared" si="1592"/>
        <v>0</v>
      </c>
      <c r="BF713" s="22">
        <f t="shared" si="1593"/>
        <v>150</v>
      </c>
      <c r="BG713" s="37">
        <f t="shared" si="1593"/>
        <v>0</v>
      </c>
      <c r="BH713" s="22">
        <f t="shared" si="1593"/>
        <v>0</v>
      </c>
      <c r="BI713" s="852">
        <f t="shared" si="1594"/>
        <v>150</v>
      </c>
      <c r="BJ713" s="22">
        <f t="shared" si="1594"/>
        <v>203</v>
      </c>
      <c r="BK713" s="22">
        <f t="shared" si="1595"/>
        <v>100</v>
      </c>
      <c r="BL713" s="37">
        <f t="shared" si="1595"/>
        <v>100</v>
      </c>
      <c r="BM713" s="22">
        <f t="shared" si="1595"/>
        <v>75</v>
      </c>
      <c r="BN713" s="852">
        <f t="shared" ref="BN713:BO713" si="1600">BN661</f>
        <v>478</v>
      </c>
      <c r="BO713" s="22">
        <f t="shared" si="1600"/>
        <v>5491</v>
      </c>
      <c r="BP713" s="22">
        <f t="shared" si="1596"/>
        <v>0</v>
      </c>
      <c r="BQ713" s="37">
        <f t="shared" si="1596"/>
        <v>5675</v>
      </c>
      <c r="BR713" s="22">
        <f t="shared" si="1597"/>
        <v>236</v>
      </c>
      <c r="BS713" s="852">
        <f t="shared" ref="BS713:BT713" si="1601">BS661</f>
        <v>11402</v>
      </c>
      <c r="BT713" s="480">
        <f t="shared" si="1601"/>
        <v>99</v>
      </c>
      <c r="BU713" s="37">
        <f>BU572</f>
        <v>0</v>
      </c>
      <c r="BV713" s="37">
        <f>BV572</f>
        <v>0</v>
      </c>
      <c r="BW713" s="37">
        <f>BW572</f>
        <v>0</v>
      </c>
      <c r="BX713" s="821">
        <f t="shared" si="1598"/>
        <v>99</v>
      </c>
      <c r="BY713" s="37">
        <f>BY572</f>
        <v>0</v>
      </c>
      <c r="BZ713" s="37">
        <f>BZ572</f>
        <v>0</v>
      </c>
      <c r="CA713" s="37">
        <f>CA572</f>
        <v>0</v>
      </c>
      <c r="CB713" s="37">
        <f>CB572</f>
        <v>0</v>
      </c>
      <c r="CC713" s="821">
        <f t="shared" si="1599"/>
        <v>0</v>
      </c>
      <c r="CD713" s="821">
        <f>CD572</f>
        <v>0</v>
      </c>
      <c r="CE713" s="821">
        <f>CE572</f>
        <v>0</v>
      </c>
      <c r="CF713" s="821">
        <f>CF572</f>
        <v>0</v>
      </c>
      <c r="CG713" s="22"/>
    </row>
    <row r="714" spans="1:85" s="428" customFormat="1" x14ac:dyDescent="0.3">
      <c r="A714" s="43" t="str">
        <f t="shared" si="1571"/>
        <v>Repayments of long-term debt and other financing obligations</v>
      </c>
      <c r="B714" s="37"/>
      <c r="C714" s="821">
        <f t="shared" si="1572"/>
        <v>-496</v>
      </c>
      <c r="D714" s="821">
        <f t="shared" si="1572"/>
        <v>-156</v>
      </c>
      <c r="E714" s="821">
        <f t="shared" si="1572"/>
        <v>-2769</v>
      </c>
      <c r="F714" s="821">
        <f t="shared" si="1572"/>
        <v>-2224</v>
      </c>
      <c r="G714" s="37">
        <f t="shared" si="1572"/>
        <v>-102</v>
      </c>
      <c r="H714" s="37">
        <f t="shared" si="1573"/>
        <v>-8</v>
      </c>
      <c r="I714" s="37">
        <f t="shared" si="1573"/>
        <v>-12</v>
      </c>
      <c r="J714" s="37">
        <f t="shared" si="1573"/>
        <v>-10</v>
      </c>
      <c r="K714" s="821">
        <f t="shared" si="1574"/>
        <v>-132</v>
      </c>
      <c r="L714" s="37">
        <f t="shared" si="1574"/>
        <v>-12</v>
      </c>
      <c r="M714" s="37">
        <f t="shared" si="1575"/>
        <v>-8</v>
      </c>
      <c r="N714" s="37">
        <f t="shared" si="1575"/>
        <v>-7</v>
      </c>
      <c r="O714" s="37">
        <f t="shared" si="1575"/>
        <v>-16</v>
      </c>
      <c r="P714" s="821">
        <f t="shared" si="1576"/>
        <v>-43</v>
      </c>
      <c r="Q714" s="37">
        <f t="shared" si="1576"/>
        <v>-8</v>
      </c>
      <c r="R714" s="37">
        <f t="shared" si="1577"/>
        <v>-7</v>
      </c>
      <c r="S714" s="37">
        <f t="shared" si="1577"/>
        <v>-7</v>
      </c>
      <c r="T714" s="37">
        <f t="shared" si="1577"/>
        <v>-10</v>
      </c>
      <c r="U714" s="821">
        <f t="shared" si="1578"/>
        <v>-32</v>
      </c>
      <c r="V714" s="37">
        <f t="shared" si="1578"/>
        <v>-14</v>
      </c>
      <c r="W714" s="37">
        <f t="shared" si="1579"/>
        <v>-766</v>
      </c>
      <c r="X714" s="37">
        <f t="shared" si="1579"/>
        <v>-32</v>
      </c>
      <c r="Y714" s="22">
        <f t="shared" si="1579"/>
        <v>-772</v>
      </c>
      <c r="Z714" s="852">
        <f t="shared" si="1580"/>
        <v>-1584</v>
      </c>
      <c r="AA714" s="22">
        <f t="shared" si="1580"/>
        <v>-966</v>
      </c>
      <c r="AB714" s="37">
        <f t="shared" si="1581"/>
        <v>-32</v>
      </c>
      <c r="AC714" s="37">
        <f t="shared" si="1581"/>
        <v>-30</v>
      </c>
      <c r="AD714" s="22">
        <f t="shared" si="1581"/>
        <v>-5282</v>
      </c>
      <c r="AE714" s="852">
        <f t="shared" si="1582"/>
        <v>-6310</v>
      </c>
      <c r="AF714" s="22">
        <f t="shared" si="1582"/>
        <v>-2331</v>
      </c>
      <c r="AG714" s="37">
        <f t="shared" si="1583"/>
        <v>-2882</v>
      </c>
      <c r="AH714" s="37">
        <f t="shared" si="1583"/>
        <v>-14</v>
      </c>
      <c r="AI714" s="22">
        <f t="shared" si="1583"/>
        <v>-1514</v>
      </c>
      <c r="AJ714" s="852">
        <f t="shared" si="1584"/>
        <v>-6741</v>
      </c>
      <c r="AK714" s="22">
        <f t="shared" si="1584"/>
        <v>-2506</v>
      </c>
      <c r="AL714" s="37">
        <f t="shared" si="1585"/>
        <v>-1357</v>
      </c>
      <c r="AM714" s="37">
        <f t="shared" si="1585"/>
        <v>-5</v>
      </c>
      <c r="AN714" s="22">
        <f t="shared" si="1585"/>
        <v>-1157</v>
      </c>
      <c r="AO714" s="852">
        <f t="shared" si="1586"/>
        <v>-5025</v>
      </c>
      <c r="AP714" s="22">
        <f t="shared" si="1586"/>
        <v>-2809</v>
      </c>
      <c r="AQ714" s="37">
        <f t="shared" si="1587"/>
        <v>-1011</v>
      </c>
      <c r="AR714" s="37">
        <f t="shared" si="1587"/>
        <v>-121</v>
      </c>
      <c r="AS714" s="22">
        <f t="shared" si="1587"/>
        <v>-1548</v>
      </c>
      <c r="AT714" s="852">
        <f t="shared" si="1588"/>
        <v>-5489</v>
      </c>
      <c r="AU714" s="22">
        <f t="shared" si="1588"/>
        <v>-78</v>
      </c>
      <c r="AV714" s="37">
        <f t="shared" si="1589"/>
        <v>-3174</v>
      </c>
      <c r="AW714" s="37">
        <f t="shared" si="1589"/>
        <v>-53</v>
      </c>
      <c r="AX714" s="37">
        <f t="shared" si="1589"/>
        <v>-4059</v>
      </c>
      <c r="AY714" s="821">
        <f t="shared" si="1590"/>
        <v>-7364</v>
      </c>
      <c r="AZ714" s="22">
        <f t="shared" si="1590"/>
        <v>-2062</v>
      </c>
      <c r="BA714" s="37">
        <f t="shared" si="1591"/>
        <v>-3627</v>
      </c>
      <c r="BB714" s="37">
        <f t="shared" si="1591"/>
        <v>-2760</v>
      </c>
      <c r="BC714" s="37">
        <f t="shared" si="1591"/>
        <v>-293</v>
      </c>
      <c r="BD714" s="821">
        <f t="shared" si="1592"/>
        <v>-8742</v>
      </c>
      <c r="BE714" s="37">
        <f t="shared" si="1592"/>
        <v>-13</v>
      </c>
      <c r="BF714" s="22">
        <f t="shared" si="1593"/>
        <v>-1729</v>
      </c>
      <c r="BG714" s="37">
        <f t="shared" si="1593"/>
        <v>-2465</v>
      </c>
      <c r="BH714" s="22">
        <f t="shared" si="1593"/>
        <v>-133</v>
      </c>
      <c r="BI714" s="852">
        <f t="shared" si="1594"/>
        <v>-4340</v>
      </c>
      <c r="BJ714" s="22">
        <f t="shared" si="1594"/>
        <v>-1012</v>
      </c>
      <c r="BK714" s="37">
        <f t="shared" si="1595"/>
        <v>-38</v>
      </c>
      <c r="BL714" s="37">
        <f t="shared" si="1595"/>
        <v>-12</v>
      </c>
      <c r="BM714" s="22">
        <f t="shared" si="1595"/>
        <v>-716</v>
      </c>
      <c r="BN714" s="852">
        <f>BN662</f>
        <v>-1778</v>
      </c>
      <c r="BO714" s="37">
        <f>BO662</f>
        <v>-61</v>
      </c>
      <c r="BP714" s="37">
        <f t="shared" si="1596"/>
        <v>-2590</v>
      </c>
      <c r="BQ714" s="37">
        <f t="shared" si="1596"/>
        <v>-906</v>
      </c>
      <c r="BR714" s="22">
        <f t="shared" si="1597"/>
        <v>-918</v>
      </c>
      <c r="BS714" s="852">
        <f>BS662</f>
        <v>-4475</v>
      </c>
      <c r="BT714" s="480">
        <f>BT662</f>
        <v>-874</v>
      </c>
      <c r="BU714" s="37"/>
      <c r="BV714" s="37"/>
      <c r="BW714" s="37"/>
      <c r="BX714" s="821">
        <f t="shared" si="1598"/>
        <v>-874</v>
      </c>
      <c r="BY714" s="37"/>
      <c r="BZ714" s="37"/>
      <c r="CA714" s="37"/>
      <c r="CB714" s="37"/>
      <c r="CC714" s="821">
        <f t="shared" si="1599"/>
        <v>0</v>
      </c>
      <c r="CD714" s="821"/>
      <c r="CE714" s="821"/>
      <c r="CF714" s="821"/>
      <c r="CG714" s="22"/>
    </row>
    <row r="715" spans="1:85" s="428" customFormat="1" x14ac:dyDescent="0.3">
      <c r="A715" s="43" t="str">
        <f t="shared" si="1571"/>
        <v>Cash dividends — common stock</v>
      </c>
      <c r="B715" s="37"/>
      <c r="C715" s="821">
        <f t="shared" si="1572"/>
        <v>-5302</v>
      </c>
      <c r="D715" s="821">
        <f t="shared" si="1572"/>
        <v>-5669</v>
      </c>
      <c r="E715" s="821">
        <f t="shared" si="1572"/>
        <v>-6136</v>
      </c>
      <c r="F715" s="821">
        <f t="shared" si="1572"/>
        <v>-6844</v>
      </c>
      <c r="G715" s="37">
        <f t="shared" si="1572"/>
        <v>-1735</v>
      </c>
      <c r="H715" s="37">
        <f t="shared" si="1573"/>
        <v>-1921</v>
      </c>
      <c r="I715" s="37">
        <f t="shared" si="1573"/>
        <v>-1915</v>
      </c>
      <c r="J715" s="37">
        <f t="shared" si="1573"/>
        <v>-1903</v>
      </c>
      <c r="K715" s="821">
        <f t="shared" si="1574"/>
        <v>-7474</v>
      </c>
      <c r="L715" s="37">
        <f t="shared" si="1574"/>
        <v>-1895</v>
      </c>
      <c r="M715" s="37">
        <f t="shared" si="1575"/>
        <v>-2019</v>
      </c>
      <c r="N715" s="37">
        <f t="shared" si="1575"/>
        <v>-2012</v>
      </c>
      <c r="O715" s="37">
        <f t="shared" si="1575"/>
        <v>-2002</v>
      </c>
      <c r="P715" s="821">
        <f t="shared" si="1576"/>
        <v>-7928</v>
      </c>
      <c r="Q715" s="37">
        <f t="shared" si="1576"/>
        <v>-1997</v>
      </c>
      <c r="R715" s="37">
        <f t="shared" si="1577"/>
        <v>-1997</v>
      </c>
      <c r="S715" s="37">
        <f t="shared" si="1577"/>
        <v>-1999</v>
      </c>
      <c r="T715" s="37">
        <f t="shared" si="1577"/>
        <v>-1999</v>
      </c>
      <c r="U715" s="821">
        <f t="shared" si="1578"/>
        <v>-7992</v>
      </c>
      <c r="V715" s="37">
        <f t="shared" si="1578"/>
        <v>-2000</v>
      </c>
      <c r="W715" s="37">
        <f t="shared" si="1579"/>
        <v>-2002</v>
      </c>
      <c r="X715" s="37">
        <f t="shared" si="1579"/>
        <v>-2005</v>
      </c>
      <c r="Y715" s="22">
        <f t="shared" si="1579"/>
        <v>-2025</v>
      </c>
      <c r="Z715" s="852">
        <f t="shared" si="1580"/>
        <v>-8032</v>
      </c>
      <c r="AA715" s="22">
        <f t="shared" si="1580"/>
        <v>-2029</v>
      </c>
      <c r="AB715" s="37">
        <f t="shared" si="1581"/>
        <v>-2032</v>
      </c>
      <c r="AC715" s="37">
        <f t="shared" si="1581"/>
        <v>-2032</v>
      </c>
      <c r="AD715" s="22">
        <f t="shared" si="1581"/>
        <v>-2039</v>
      </c>
      <c r="AE715" s="852">
        <f t="shared" si="1582"/>
        <v>-8132</v>
      </c>
      <c r="AF715" s="22">
        <f t="shared" si="1582"/>
        <v>-2124</v>
      </c>
      <c r="AG715" s="37">
        <f t="shared" si="1583"/>
        <v>-2129</v>
      </c>
      <c r="AH715" s="37">
        <f t="shared" si="1583"/>
        <v>-2129</v>
      </c>
      <c r="AI715" s="22">
        <f t="shared" si="1583"/>
        <v>-2120</v>
      </c>
      <c r="AJ715" s="852">
        <f t="shared" si="1584"/>
        <v>-8502</v>
      </c>
      <c r="AK715" s="22">
        <f t="shared" si="1584"/>
        <v>-2244</v>
      </c>
      <c r="AL715" s="37">
        <f t="shared" si="1585"/>
        <v>-2250</v>
      </c>
      <c r="AM715" s="37">
        <f t="shared" si="1585"/>
        <v>-2237</v>
      </c>
      <c r="AN715" s="22">
        <f t="shared" si="1585"/>
        <v>-2228</v>
      </c>
      <c r="AO715" s="852">
        <f t="shared" si="1586"/>
        <v>-8959</v>
      </c>
      <c r="AP715" s="22">
        <f t="shared" si="1586"/>
        <v>-2402</v>
      </c>
      <c r="AQ715" s="37">
        <f t="shared" si="1587"/>
        <v>-2394</v>
      </c>
      <c r="AR715" s="37">
        <f t="shared" si="1587"/>
        <v>-2390</v>
      </c>
      <c r="AS715" s="22">
        <f t="shared" si="1587"/>
        <v>-2465</v>
      </c>
      <c r="AT715" s="852">
        <f t="shared" si="1588"/>
        <v>-9651</v>
      </c>
      <c r="AU715" s="22">
        <f t="shared" si="1588"/>
        <v>-2468</v>
      </c>
      <c r="AV715" s="37">
        <f t="shared" si="1589"/>
        <v>-2573</v>
      </c>
      <c r="AW715" s="37">
        <f t="shared" si="1589"/>
        <v>-2571</v>
      </c>
      <c r="AX715" s="37">
        <f t="shared" si="1589"/>
        <v>-2567</v>
      </c>
      <c r="AY715" s="821">
        <f t="shared" si="1590"/>
        <v>-10179</v>
      </c>
      <c r="AZ715" s="22">
        <f t="shared" si="1590"/>
        <v>-2746</v>
      </c>
      <c r="BA715" s="37">
        <f t="shared" si="1591"/>
        <v>-2766</v>
      </c>
      <c r="BB715" s="37">
        <f t="shared" si="1591"/>
        <v>-2743</v>
      </c>
      <c r="BC715" s="37">
        <f t="shared" si="1591"/>
        <v>-2713</v>
      </c>
      <c r="BD715" s="821">
        <f t="shared" si="1592"/>
        <v>-10968</v>
      </c>
      <c r="BE715" s="37">
        <f t="shared" si="1592"/>
        <v>-2857</v>
      </c>
      <c r="BF715" s="22">
        <f t="shared" si="1593"/>
        <v>-2818</v>
      </c>
      <c r="BG715" s="37">
        <f t="shared" si="1593"/>
        <v>-2852</v>
      </c>
      <c r="BH715" s="22">
        <f t="shared" si="1593"/>
        <v>-2809</v>
      </c>
      <c r="BI715" s="852">
        <f t="shared" si="1594"/>
        <v>-11336</v>
      </c>
      <c r="BJ715" s="22">
        <f t="shared" si="1594"/>
        <v>-3003</v>
      </c>
      <c r="BK715" s="22">
        <f t="shared" si="1595"/>
        <v>-2978</v>
      </c>
      <c r="BL715" s="37">
        <f t="shared" si="1595"/>
        <v>-2933</v>
      </c>
      <c r="BM715" s="22">
        <f t="shared" si="1595"/>
        <v>-2887</v>
      </c>
      <c r="BN715" s="852">
        <f t="shared" ref="BN715:BO715" si="1602">BN663</f>
        <v>-11801</v>
      </c>
      <c r="BO715" s="22">
        <f t="shared" si="1602"/>
        <v>-2984</v>
      </c>
      <c r="BP715" s="22">
        <f t="shared" si="1596"/>
        <v>-2934</v>
      </c>
      <c r="BQ715" s="37">
        <f t="shared" si="1596"/>
        <v>-3429</v>
      </c>
      <c r="BR715" s="22">
        <f t="shared" si="1597"/>
        <v>-3404</v>
      </c>
      <c r="BS715" s="852">
        <f t="shared" ref="BS715:BT715" si="1603">BS663</f>
        <v>-12751</v>
      </c>
      <c r="BT715" s="480">
        <f t="shared" si="1603"/>
        <v>-3526</v>
      </c>
      <c r="BU715" s="37">
        <f ca="1">BU569</f>
        <v>-3531.5736926897293</v>
      </c>
      <c r="BV715" s="37">
        <f ca="1">BV569</f>
        <v>-3518.1034224194591</v>
      </c>
      <c r="BW715" s="37">
        <f ca="1">BW569</f>
        <v>-3518.1034224194591</v>
      </c>
      <c r="BX715" s="821">
        <f t="shared" ca="1" si="1598"/>
        <v>-14093.780537528648</v>
      </c>
      <c r="BY715" s="37">
        <f ca="1">BY569</f>
        <v>-3518.1034224194591</v>
      </c>
      <c r="BZ715" s="37">
        <f ca="1">BZ569</f>
        <v>-3518.1034224194591</v>
      </c>
      <c r="CA715" s="37">
        <f ca="1">CA569</f>
        <v>-3518.1034224194591</v>
      </c>
      <c r="CB715" s="37">
        <f ca="1">CB569</f>
        <v>-3518.1034224194591</v>
      </c>
      <c r="CC715" s="821">
        <f t="shared" ca="1" si="1599"/>
        <v>-14072.413689677836</v>
      </c>
      <c r="CD715" s="821">
        <f ca="1">CD569</f>
        <v>-14072.413689677836</v>
      </c>
      <c r="CE715" s="821">
        <f ca="1">CE569</f>
        <v>-14072.413689677836</v>
      </c>
      <c r="CF715" s="821">
        <f ca="1">CF569</f>
        <v>-14072.413689677836</v>
      </c>
      <c r="CG715" s="22"/>
    </row>
    <row r="716" spans="1:85" s="428" customFormat="1" x14ac:dyDescent="0.3">
      <c r="A716" s="43" t="str">
        <f t="shared" si="1571"/>
        <v>Distributions to noncontrolling interests</v>
      </c>
      <c r="B716" s="37"/>
      <c r="C716" s="821">
        <f t="shared" si="1572"/>
        <v>-71</v>
      </c>
      <c r="D716" s="821">
        <f t="shared" si="1572"/>
        <v>-72</v>
      </c>
      <c r="E716" s="821">
        <f t="shared" si="1572"/>
        <v>-71</v>
      </c>
      <c r="F716" s="821">
        <f t="shared" si="1572"/>
        <v>-41</v>
      </c>
      <c r="G716" s="37">
        <f t="shared" si="1572"/>
        <v>-10</v>
      </c>
      <c r="H716" s="37">
        <f t="shared" si="1573"/>
        <v>-63</v>
      </c>
      <c r="I716" s="37">
        <f t="shared" si="1573"/>
        <v>-20</v>
      </c>
      <c r="J716" s="37">
        <f t="shared" si="1573"/>
        <v>-6</v>
      </c>
      <c r="K716" s="821">
        <f t="shared" si="1574"/>
        <v>-99</v>
      </c>
      <c r="L716" s="37">
        <f t="shared" si="1574"/>
        <v>0</v>
      </c>
      <c r="M716" s="37">
        <f t="shared" si="1575"/>
        <v>-2</v>
      </c>
      <c r="N716" s="37">
        <f t="shared" si="1575"/>
        <v>-16</v>
      </c>
      <c r="O716" s="37">
        <f t="shared" si="1575"/>
        <v>-29</v>
      </c>
      <c r="P716" s="821">
        <f t="shared" si="1576"/>
        <v>-47</v>
      </c>
      <c r="Q716" s="37">
        <f t="shared" si="1576"/>
        <v>0</v>
      </c>
      <c r="R716" s="37">
        <f t="shared" si="1577"/>
        <v>-26</v>
      </c>
      <c r="S716" s="37">
        <f t="shared" si="1577"/>
        <v>-96</v>
      </c>
      <c r="T716" s="37">
        <f t="shared" si="1577"/>
        <v>-6</v>
      </c>
      <c r="U716" s="821">
        <f t="shared" si="1578"/>
        <v>-128</v>
      </c>
      <c r="V716" s="37">
        <f t="shared" si="1578"/>
        <v>0</v>
      </c>
      <c r="W716" s="37">
        <f t="shared" si="1579"/>
        <v>-24</v>
      </c>
      <c r="X716" s="37">
        <f t="shared" si="1579"/>
        <v>-33</v>
      </c>
      <c r="Y716" s="22">
        <f t="shared" si="1579"/>
        <v>-6</v>
      </c>
      <c r="Z716" s="852">
        <f t="shared" si="1580"/>
        <v>-63</v>
      </c>
      <c r="AA716" s="22">
        <f t="shared" si="1580"/>
        <v>0</v>
      </c>
      <c r="AB716" s="37">
        <f t="shared" si="1581"/>
        <v>-41</v>
      </c>
      <c r="AC716" s="37">
        <f t="shared" si="1581"/>
        <v>-25</v>
      </c>
      <c r="AD716" s="22">
        <f t="shared" si="1581"/>
        <v>-12</v>
      </c>
      <c r="AE716" s="852">
        <f t="shared" si="1582"/>
        <v>-78</v>
      </c>
      <c r="AF716" s="22">
        <f t="shared" si="1582"/>
        <v>-11</v>
      </c>
      <c r="AG716" s="37">
        <f t="shared" si="1583"/>
        <v>-44</v>
      </c>
      <c r="AH716" s="37">
        <f t="shared" si="1583"/>
        <v>-32</v>
      </c>
      <c r="AI716" s="22">
        <f t="shared" si="1583"/>
        <v>-4</v>
      </c>
      <c r="AJ716" s="852">
        <f t="shared" si="1584"/>
        <v>-91</v>
      </c>
      <c r="AK716" s="22">
        <f t="shared" si="1584"/>
        <v>-6</v>
      </c>
      <c r="AL716" s="37">
        <f t="shared" si="1585"/>
        <v>-2</v>
      </c>
      <c r="AM716" s="37">
        <f t="shared" si="1585"/>
        <v>-8</v>
      </c>
      <c r="AN716" s="22">
        <f t="shared" si="1585"/>
        <v>-2</v>
      </c>
      <c r="AO716" s="852">
        <f t="shared" si="1586"/>
        <v>-18</v>
      </c>
      <c r="AP716" s="22">
        <f t="shared" si="1586"/>
        <v>-5</v>
      </c>
      <c r="AQ716" s="37">
        <f t="shared" si="1587"/>
        <v>-5</v>
      </c>
      <c r="AR716" s="37">
        <f t="shared" si="1587"/>
        <v>0</v>
      </c>
      <c r="AS716" s="22">
        <f t="shared" si="1587"/>
        <v>-14</v>
      </c>
      <c r="AT716" s="852">
        <f t="shared" si="1588"/>
        <v>-24</v>
      </c>
      <c r="AU716" s="22">
        <f t="shared" si="1588"/>
        <v>-11</v>
      </c>
      <c r="AV716" s="37">
        <f t="shared" si="1589"/>
        <v>-15</v>
      </c>
      <c r="AW716" s="37">
        <f t="shared" si="1589"/>
        <v>-8</v>
      </c>
      <c r="AX716" s="37">
        <f t="shared" si="1589"/>
        <v>-2</v>
      </c>
      <c r="AY716" s="821">
        <f t="shared" si="1590"/>
        <v>-36</v>
      </c>
      <c r="AZ716" s="22">
        <f t="shared" si="1590"/>
        <v>-5</v>
      </c>
      <c r="BA716" s="37">
        <f t="shared" si="1591"/>
        <v>-31</v>
      </c>
      <c r="BB716" s="37">
        <f t="shared" si="1591"/>
        <v>-67</v>
      </c>
      <c r="BC716" s="37">
        <f t="shared" si="1591"/>
        <v>-11</v>
      </c>
      <c r="BD716" s="821">
        <f t="shared" si="1592"/>
        <v>-114</v>
      </c>
      <c r="BE716" s="37">
        <f t="shared" si="1592"/>
        <v>-9</v>
      </c>
      <c r="BF716" s="22">
        <f t="shared" si="1593"/>
        <v>6</v>
      </c>
      <c r="BG716" s="37">
        <f t="shared" si="1593"/>
        <v>-41</v>
      </c>
      <c r="BH716" s="22">
        <f t="shared" si="1593"/>
        <v>4</v>
      </c>
      <c r="BI716" s="852">
        <f t="shared" si="1594"/>
        <v>-40</v>
      </c>
      <c r="BJ716" s="22">
        <f t="shared" si="1594"/>
        <v>4</v>
      </c>
      <c r="BK716" s="37">
        <f t="shared" si="1595"/>
        <v>-2</v>
      </c>
      <c r="BL716" s="37">
        <f t="shared" si="1595"/>
        <v>-199</v>
      </c>
      <c r="BM716" s="22">
        <f t="shared" si="1595"/>
        <v>2</v>
      </c>
      <c r="BN716" s="852">
        <f t="shared" ref="BN716:BO718" si="1604">BN664</f>
        <v>-195</v>
      </c>
      <c r="BO716" s="37">
        <f t="shared" si="1604"/>
        <v>-11</v>
      </c>
      <c r="BP716" s="37">
        <f t="shared" si="1596"/>
        <v>-19</v>
      </c>
      <c r="BQ716" s="37">
        <f t="shared" si="1596"/>
        <v>-190</v>
      </c>
      <c r="BR716" s="22">
        <f t="shared" si="1597"/>
        <v>-103</v>
      </c>
      <c r="BS716" s="852">
        <f t="shared" ref="BS716:BT716" si="1605">BS664</f>
        <v>-323</v>
      </c>
      <c r="BT716" s="480">
        <f t="shared" si="1605"/>
        <v>-152</v>
      </c>
      <c r="BU716" s="37"/>
      <c r="BV716" s="37"/>
      <c r="BW716" s="37"/>
      <c r="BX716" s="821">
        <f t="shared" si="1598"/>
        <v>-152</v>
      </c>
      <c r="BY716" s="37"/>
      <c r="BZ716" s="37"/>
      <c r="CA716" s="37"/>
      <c r="CB716" s="37"/>
      <c r="CC716" s="821">
        <f t="shared" si="1599"/>
        <v>0</v>
      </c>
      <c r="CD716" s="821"/>
      <c r="CE716" s="821"/>
      <c r="CF716" s="821"/>
      <c r="CG716" s="22"/>
    </row>
    <row r="717" spans="1:85" s="428" customFormat="1" x14ac:dyDescent="0.3">
      <c r="A717" s="43" t="str">
        <f t="shared" si="1571"/>
        <v>Other financing activity</v>
      </c>
      <c r="B717" s="37"/>
      <c r="C717" s="821">
        <f t="shared" si="1572"/>
        <v>0</v>
      </c>
      <c r="D717" s="821">
        <f t="shared" si="1572"/>
        <v>0</v>
      </c>
      <c r="E717" s="821">
        <f t="shared" si="1572"/>
        <v>0</v>
      </c>
      <c r="F717" s="821">
        <f t="shared" si="1572"/>
        <v>0</v>
      </c>
      <c r="G717" s="37">
        <f t="shared" si="1572"/>
        <v>0</v>
      </c>
      <c r="H717" s="37">
        <f t="shared" si="1573"/>
        <v>0</v>
      </c>
      <c r="I717" s="37">
        <f t="shared" si="1573"/>
        <v>0</v>
      </c>
      <c r="J717" s="37">
        <f t="shared" si="1573"/>
        <v>0</v>
      </c>
      <c r="K717" s="821">
        <f t="shared" si="1574"/>
        <v>0</v>
      </c>
      <c r="L717" s="37">
        <f t="shared" si="1574"/>
        <v>0</v>
      </c>
      <c r="M717" s="37">
        <f t="shared" si="1575"/>
        <v>0</v>
      </c>
      <c r="N717" s="37">
        <f t="shared" si="1575"/>
        <v>0</v>
      </c>
      <c r="O717" s="37">
        <f t="shared" si="1575"/>
        <v>0</v>
      </c>
      <c r="P717" s="821">
        <f t="shared" si="1576"/>
        <v>0</v>
      </c>
      <c r="Q717" s="37">
        <f t="shared" si="1576"/>
        <v>0</v>
      </c>
      <c r="R717" s="37">
        <f t="shared" si="1577"/>
        <v>0</v>
      </c>
      <c r="S717" s="37">
        <f t="shared" si="1577"/>
        <v>0</v>
      </c>
      <c r="T717" s="37">
        <f t="shared" si="1577"/>
        <v>0</v>
      </c>
      <c r="U717" s="821">
        <f t="shared" si="1578"/>
        <v>0</v>
      </c>
      <c r="V717" s="37">
        <f t="shared" si="1578"/>
        <v>0</v>
      </c>
      <c r="W717" s="37">
        <f t="shared" si="1579"/>
        <v>0</v>
      </c>
      <c r="X717" s="37">
        <f t="shared" si="1579"/>
        <v>0</v>
      </c>
      <c r="Y717" s="22">
        <f t="shared" si="1579"/>
        <v>0</v>
      </c>
      <c r="Z717" s="852">
        <f t="shared" si="1580"/>
        <v>0</v>
      </c>
      <c r="AA717" s="22">
        <f t="shared" si="1580"/>
        <v>0</v>
      </c>
      <c r="AB717" s="37">
        <f t="shared" si="1581"/>
        <v>0</v>
      </c>
      <c r="AC717" s="37">
        <f t="shared" si="1581"/>
        <v>0</v>
      </c>
      <c r="AD717" s="22">
        <f t="shared" si="1581"/>
        <v>0</v>
      </c>
      <c r="AE717" s="852">
        <f t="shared" si="1582"/>
        <v>0</v>
      </c>
      <c r="AF717" s="22">
        <f t="shared" si="1582"/>
        <v>0</v>
      </c>
      <c r="AG717" s="37">
        <f t="shared" si="1583"/>
        <v>0</v>
      </c>
      <c r="AH717" s="37">
        <f t="shared" si="1583"/>
        <v>0</v>
      </c>
      <c r="AI717" s="22">
        <f t="shared" si="1583"/>
        <v>0</v>
      </c>
      <c r="AJ717" s="852">
        <f t="shared" si="1584"/>
        <v>0</v>
      </c>
      <c r="AK717" s="22">
        <f t="shared" si="1584"/>
        <v>0</v>
      </c>
      <c r="AL717" s="37">
        <f t="shared" si="1585"/>
        <v>0</v>
      </c>
      <c r="AM717" s="37">
        <f t="shared" si="1585"/>
        <v>0</v>
      </c>
      <c r="AN717" s="22">
        <f t="shared" si="1585"/>
        <v>0</v>
      </c>
      <c r="AO717" s="852">
        <f t="shared" si="1586"/>
        <v>0</v>
      </c>
      <c r="AP717" s="22">
        <f t="shared" si="1586"/>
        <v>0</v>
      </c>
      <c r="AQ717" s="37">
        <f t="shared" si="1587"/>
        <v>0</v>
      </c>
      <c r="AR717" s="37">
        <f t="shared" si="1587"/>
        <v>0</v>
      </c>
      <c r="AS717" s="22">
        <f t="shared" si="1587"/>
        <v>0</v>
      </c>
      <c r="AT717" s="852">
        <f t="shared" si="1588"/>
        <v>0</v>
      </c>
      <c r="AU717" s="22">
        <f t="shared" si="1588"/>
        <v>0</v>
      </c>
      <c r="AV717" s="37">
        <f t="shared" si="1589"/>
        <v>0</v>
      </c>
      <c r="AW717" s="37">
        <f t="shared" si="1589"/>
        <v>0</v>
      </c>
      <c r="AX717" s="37">
        <f t="shared" si="1589"/>
        <v>0</v>
      </c>
      <c r="AY717" s="821">
        <f t="shared" si="1590"/>
        <v>0</v>
      </c>
      <c r="AZ717" s="22">
        <f t="shared" si="1590"/>
        <v>0</v>
      </c>
      <c r="BA717" s="37">
        <f t="shared" si="1591"/>
        <v>0</v>
      </c>
      <c r="BB717" s="37">
        <f t="shared" si="1591"/>
        <v>0</v>
      </c>
      <c r="BC717" s="37">
        <f t="shared" si="1591"/>
        <v>0</v>
      </c>
      <c r="BD717" s="821">
        <f t="shared" si="1592"/>
        <v>0</v>
      </c>
      <c r="BE717" s="37">
        <f t="shared" si="1592"/>
        <v>0</v>
      </c>
      <c r="BF717" s="22">
        <f t="shared" si="1593"/>
        <v>0</v>
      </c>
      <c r="BG717" s="37">
        <f t="shared" si="1593"/>
        <v>0</v>
      </c>
      <c r="BH717" s="22">
        <f t="shared" si="1593"/>
        <v>0</v>
      </c>
      <c r="BI717" s="852">
        <f t="shared" si="1594"/>
        <v>0</v>
      </c>
      <c r="BJ717" s="22">
        <f t="shared" si="1594"/>
        <v>0</v>
      </c>
      <c r="BK717" s="37">
        <f t="shared" si="1595"/>
        <v>0</v>
      </c>
      <c r="BL717" s="37">
        <f t="shared" si="1595"/>
        <v>0</v>
      </c>
      <c r="BM717" s="22">
        <f t="shared" si="1595"/>
        <v>0</v>
      </c>
      <c r="BN717" s="852">
        <f t="shared" si="1604"/>
        <v>0</v>
      </c>
      <c r="BO717" s="37">
        <f t="shared" si="1604"/>
        <v>0</v>
      </c>
      <c r="BP717" s="37">
        <f t="shared" si="1596"/>
        <v>0</v>
      </c>
      <c r="BQ717" s="37">
        <f t="shared" si="1596"/>
        <v>0</v>
      </c>
      <c r="BR717" s="22">
        <f t="shared" si="1597"/>
        <v>0</v>
      </c>
      <c r="BS717" s="852">
        <f t="shared" ref="BS717:BT717" si="1606">BS665</f>
        <v>0</v>
      </c>
      <c r="BT717" s="480">
        <f t="shared" si="1606"/>
        <v>0</v>
      </c>
      <c r="BU717" s="37"/>
      <c r="BV717" s="37"/>
      <c r="BW717" s="37"/>
      <c r="BX717" s="821">
        <f t="shared" si="1598"/>
        <v>0</v>
      </c>
      <c r="BY717" s="37"/>
      <c r="BZ717" s="37"/>
      <c r="CA717" s="37"/>
      <c r="CB717" s="37"/>
      <c r="CC717" s="821">
        <f t="shared" si="1599"/>
        <v>0</v>
      </c>
      <c r="CD717" s="821"/>
      <c r="CE717" s="821"/>
      <c r="CF717" s="821"/>
      <c r="CG717" s="22"/>
    </row>
    <row r="718" spans="1:85" s="428" customFormat="1" x14ac:dyDescent="0.3">
      <c r="A718" s="43" t="str">
        <f t="shared" si="1571"/>
        <v>Shares repurchased</v>
      </c>
      <c r="B718" s="37"/>
      <c r="C718" s="821">
        <f t="shared" si="1572"/>
        <v>0</v>
      </c>
      <c r="D718" s="821">
        <f t="shared" si="1572"/>
        <v>0</v>
      </c>
      <c r="E718" s="821">
        <f t="shared" si="1572"/>
        <v>0</v>
      </c>
      <c r="F718" s="821">
        <f t="shared" si="1572"/>
        <v>0</v>
      </c>
      <c r="G718" s="37">
        <f t="shared" si="1572"/>
        <v>0</v>
      </c>
      <c r="H718" s="37">
        <f t="shared" si="1573"/>
        <v>0</v>
      </c>
      <c r="I718" s="37">
        <f t="shared" si="1573"/>
        <v>0</v>
      </c>
      <c r="J718" s="37">
        <f t="shared" si="1573"/>
        <v>0</v>
      </c>
      <c r="K718" s="821">
        <f t="shared" si="1574"/>
        <v>0</v>
      </c>
      <c r="L718" s="37">
        <f t="shared" si="1574"/>
        <v>0</v>
      </c>
      <c r="M718" s="37">
        <f t="shared" si="1575"/>
        <v>0</v>
      </c>
      <c r="N718" s="37">
        <f t="shared" si="1575"/>
        <v>0</v>
      </c>
      <c r="O718" s="37">
        <f t="shared" si="1575"/>
        <v>0</v>
      </c>
      <c r="P718" s="821">
        <f t="shared" si="1576"/>
        <v>0</v>
      </c>
      <c r="Q718" s="37">
        <f t="shared" si="1576"/>
        <v>0</v>
      </c>
      <c r="R718" s="37">
        <f t="shared" si="1577"/>
        <v>0</v>
      </c>
      <c r="S718" s="37">
        <f t="shared" si="1577"/>
        <v>0</v>
      </c>
      <c r="T718" s="37">
        <f t="shared" si="1577"/>
        <v>0</v>
      </c>
      <c r="U718" s="821">
        <f t="shared" si="1578"/>
        <v>0</v>
      </c>
      <c r="V718" s="37">
        <f t="shared" si="1578"/>
        <v>0</v>
      </c>
      <c r="W718" s="37">
        <f t="shared" si="1579"/>
        <v>0</v>
      </c>
      <c r="X718" s="37">
        <f t="shared" si="1579"/>
        <v>0</v>
      </c>
      <c r="Y718" s="22">
        <f t="shared" si="1579"/>
        <v>0</v>
      </c>
      <c r="Z718" s="852">
        <f t="shared" si="1580"/>
        <v>0</v>
      </c>
      <c r="AA718" s="22">
        <f t="shared" si="1580"/>
        <v>0</v>
      </c>
      <c r="AB718" s="37">
        <f t="shared" si="1581"/>
        <v>0</v>
      </c>
      <c r="AC718" s="37">
        <f t="shared" si="1581"/>
        <v>0</v>
      </c>
      <c r="AD718" s="22">
        <f t="shared" si="1581"/>
        <v>0</v>
      </c>
      <c r="AE718" s="852">
        <f t="shared" si="1582"/>
        <v>0</v>
      </c>
      <c r="AF718" s="22">
        <f t="shared" si="1582"/>
        <v>0</v>
      </c>
      <c r="AG718" s="37">
        <f t="shared" si="1583"/>
        <v>0</v>
      </c>
      <c r="AH718" s="37">
        <f t="shared" si="1583"/>
        <v>0</v>
      </c>
      <c r="AI718" s="22">
        <f t="shared" si="1583"/>
        <v>0</v>
      </c>
      <c r="AJ718" s="852">
        <f t="shared" si="1584"/>
        <v>0</v>
      </c>
      <c r="AK718" s="22">
        <f t="shared" si="1584"/>
        <v>0</v>
      </c>
      <c r="AL718" s="37">
        <f t="shared" si="1585"/>
        <v>0</v>
      </c>
      <c r="AM718" s="37">
        <f t="shared" si="1585"/>
        <v>0</v>
      </c>
      <c r="AN718" s="22">
        <f t="shared" si="1585"/>
        <v>0</v>
      </c>
      <c r="AO718" s="852">
        <f t="shared" si="1586"/>
        <v>0</v>
      </c>
      <c r="AP718" s="22">
        <f t="shared" si="1586"/>
        <v>0</v>
      </c>
      <c r="AQ718" s="37">
        <f t="shared" si="1587"/>
        <v>0</v>
      </c>
      <c r="AR718" s="37">
        <f t="shared" si="1587"/>
        <v>0</v>
      </c>
      <c r="AS718" s="22">
        <f t="shared" si="1587"/>
        <v>0</v>
      </c>
      <c r="AT718" s="852">
        <f t="shared" si="1588"/>
        <v>0</v>
      </c>
      <c r="AU718" s="22">
        <f t="shared" si="1588"/>
        <v>0</v>
      </c>
      <c r="AV718" s="37">
        <f t="shared" si="1589"/>
        <v>0</v>
      </c>
      <c r="AW718" s="37">
        <f t="shared" si="1589"/>
        <v>0</v>
      </c>
      <c r="AX718" s="37">
        <f t="shared" si="1589"/>
        <v>0</v>
      </c>
      <c r="AY718" s="821">
        <f t="shared" si="1590"/>
        <v>0</v>
      </c>
      <c r="AZ718" s="22">
        <f t="shared" si="1590"/>
        <v>0</v>
      </c>
      <c r="BA718" s="37">
        <f t="shared" si="1591"/>
        <v>0</v>
      </c>
      <c r="BB718" s="37">
        <f t="shared" si="1591"/>
        <v>0</v>
      </c>
      <c r="BC718" s="37">
        <f t="shared" si="1591"/>
        <v>0</v>
      </c>
      <c r="BD718" s="821">
        <f t="shared" si="1592"/>
        <v>0</v>
      </c>
      <c r="BE718" s="37">
        <f t="shared" si="1592"/>
        <v>0</v>
      </c>
      <c r="BF718" s="22">
        <f t="shared" si="1593"/>
        <v>0</v>
      </c>
      <c r="BG718" s="37">
        <f t="shared" si="1593"/>
        <v>0</v>
      </c>
      <c r="BH718" s="22">
        <f t="shared" si="1593"/>
        <v>0</v>
      </c>
      <c r="BI718" s="852">
        <f t="shared" si="1594"/>
        <v>0</v>
      </c>
      <c r="BJ718" s="22">
        <f t="shared" si="1594"/>
        <v>0</v>
      </c>
      <c r="BK718" s="37">
        <f t="shared" si="1595"/>
        <v>0</v>
      </c>
      <c r="BL718" s="37">
        <f t="shared" si="1595"/>
        <v>0</v>
      </c>
      <c r="BM718" s="22">
        <f t="shared" si="1595"/>
        <v>0</v>
      </c>
      <c r="BN718" s="852">
        <f t="shared" si="1604"/>
        <v>0</v>
      </c>
      <c r="BO718" s="37">
        <f t="shared" si="1604"/>
        <v>0</v>
      </c>
      <c r="BP718" s="37">
        <f t="shared" si="1596"/>
        <v>0</v>
      </c>
      <c r="BQ718" s="37">
        <f t="shared" si="1596"/>
        <v>0</v>
      </c>
      <c r="BR718" s="22">
        <f t="shared" si="1597"/>
        <v>0</v>
      </c>
      <c r="BS718" s="852">
        <f t="shared" ref="BS718:BT718" si="1607">BS666</f>
        <v>0</v>
      </c>
      <c r="BT718" s="480">
        <f t="shared" si="1607"/>
        <v>0</v>
      </c>
      <c r="BU718" s="37"/>
      <c r="BV718" s="37"/>
      <c r="BW718" s="37"/>
      <c r="BX718" s="821">
        <f t="shared" si="1598"/>
        <v>0</v>
      </c>
      <c r="BY718" s="37"/>
      <c r="BZ718" s="37"/>
      <c r="CA718" s="37"/>
      <c r="CB718" s="37"/>
      <c r="CC718" s="821">
        <f t="shared" si="1599"/>
        <v>0</v>
      </c>
      <c r="CD718" s="821"/>
      <c r="CE718" s="821"/>
      <c r="CF718" s="821"/>
      <c r="CG718" s="22"/>
    </row>
    <row r="719" spans="1:85" s="428" customFormat="1" x14ac:dyDescent="0.3">
      <c r="A719" s="242" t="str">
        <f t="shared" si="1571"/>
        <v>Net sales of treasury shares</v>
      </c>
      <c r="B719" s="56"/>
      <c r="C719" s="822">
        <f t="shared" ref="C719:G719" si="1608">C667</f>
        <v>168</v>
      </c>
      <c r="D719" s="822">
        <f t="shared" si="1608"/>
        <v>-306</v>
      </c>
      <c r="E719" s="822">
        <f t="shared" si="1608"/>
        <v>-3193</v>
      </c>
      <c r="F719" s="822">
        <f t="shared" si="1608"/>
        <v>-4142</v>
      </c>
      <c r="G719" s="56">
        <f t="shared" si="1608"/>
        <v>-1027</v>
      </c>
      <c r="H719" s="56">
        <f t="shared" ref="H719:J719" si="1609">H667-G667</f>
        <v>-1001</v>
      </c>
      <c r="I719" s="56">
        <f t="shared" si="1609"/>
        <v>-1278</v>
      </c>
      <c r="J719" s="56">
        <f t="shared" si="1609"/>
        <v>-1188</v>
      </c>
      <c r="K719" s="822">
        <f t="shared" ref="K719:L719" si="1610">K667</f>
        <v>-4494</v>
      </c>
      <c r="L719" s="56">
        <f t="shared" si="1610"/>
        <v>-1190</v>
      </c>
      <c r="M719" s="56">
        <f t="shared" ref="M719:O719" si="1611">M667-L667</f>
        <v>-829</v>
      </c>
      <c r="N719" s="56">
        <f t="shared" si="1611"/>
        <v>-1155</v>
      </c>
      <c r="O719" s="56">
        <f t="shared" si="1611"/>
        <v>-1238</v>
      </c>
      <c r="P719" s="822">
        <f t="shared" ref="P719:Q719" si="1612">P667</f>
        <v>-4412</v>
      </c>
      <c r="Q719" s="56">
        <f t="shared" si="1612"/>
        <v>55</v>
      </c>
      <c r="R719" s="56">
        <f t="shared" ref="R719:T719" si="1613">R667-Q667</f>
        <v>83</v>
      </c>
      <c r="S719" s="56">
        <f t="shared" si="1613"/>
        <v>20</v>
      </c>
      <c r="T719" s="56">
        <f t="shared" si="1613"/>
        <v>53</v>
      </c>
      <c r="U719" s="822">
        <f t="shared" ref="U719:V719" si="1614">U667</f>
        <v>211</v>
      </c>
      <c r="V719" s="56">
        <f t="shared" si="1614"/>
        <v>123</v>
      </c>
      <c r="W719" s="56">
        <f t="shared" ref="W719:Y719" si="1615">W667-V667</f>
        <v>139</v>
      </c>
      <c r="X719" s="56">
        <f t="shared" si="1615"/>
        <v>97</v>
      </c>
      <c r="Y719" s="56">
        <f t="shared" si="1615"/>
        <v>291</v>
      </c>
      <c r="Z719" s="822">
        <f t="shared" ref="Z719:AA719" si="1616">Z667</f>
        <v>650</v>
      </c>
      <c r="AA719" s="56">
        <f t="shared" si="1616"/>
        <v>245</v>
      </c>
      <c r="AB719" s="56">
        <f t="shared" ref="AB719:AD719" si="1617">AB667-AA667</f>
        <v>34</v>
      </c>
      <c r="AC719" s="56">
        <f t="shared" si="1617"/>
        <v>370</v>
      </c>
      <c r="AD719" s="56">
        <f t="shared" si="1617"/>
        <v>468</v>
      </c>
      <c r="AE719" s="822">
        <f t="shared" ref="AE719:AF719" si="1618">AE667</f>
        <v>1117</v>
      </c>
      <c r="AF719" s="56">
        <f t="shared" si="1618"/>
        <v>566</v>
      </c>
      <c r="AG719" s="56">
        <f t="shared" ref="AG719:AI719" si="1619">AG667-AF667</f>
        <v>442</v>
      </c>
      <c r="AH719" s="56">
        <f t="shared" si="1619"/>
        <v>-671</v>
      </c>
      <c r="AI719" s="56">
        <f t="shared" si="1619"/>
        <v>-941</v>
      </c>
      <c r="AJ719" s="822">
        <f t="shared" ref="AJ719:AK719" si="1620">AJ667</f>
        <v>-604</v>
      </c>
      <c r="AK719" s="56">
        <f t="shared" si="1620"/>
        <v>-15</v>
      </c>
      <c r="AL719" s="56">
        <f t="shared" ref="AL719:AN719" si="1621">AL667-AK667</f>
        <v>-825</v>
      </c>
      <c r="AM719" s="56">
        <f t="shared" si="1621"/>
        <v>-1005</v>
      </c>
      <c r="AN719" s="56">
        <f t="shared" si="1621"/>
        <v>-1090</v>
      </c>
      <c r="AO719" s="822">
        <f t="shared" ref="AO719:AP719" si="1622">AO667</f>
        <v>-2935</v>
      </c>
      <c r="AP719" s="56">
        <f t="shared" si="1622"/>
        <v>-1573</v>
      </c>
      <c r="AQ719" s="56">
        <f t="shared" ref="AQ719" si="1623">AQ667-AP667</f>
        <v>23</v>
      </c>
      <c r="AR719" s="56">
        <f t="shared" ref="AR719:AS719" si="1624">AR667-AQ667</f>
        <v>5</v>
      </c>
      <c r="AS719" s="56">
        <f t="shared" si="1624"/>
        <v>14</v>
      </c>
      <c r="AT719" s="822">
        <f t="shared" ref="AT719:AU719" si="1625">AT667</f>
        <v>-1531</v>
      </c>
      <c r="AU719" s="56">
        <f t="shared" si="1625"/>
        <v>267</v>
      </c>
      <c r="AV719" s="56">
        <f t="shared" ref="AV719:AW719" si="1626">AV667-AU667</f>
        <v>106</v>
      </c>
      <c r="AW719" s="56">
        <f t="shared" si="1626"/>
        <v>-618</v>
      </c>
      <c r="AX719" s="56">
        <f t="shared" ref="AX719" si="1627">AX667-AW667</f>
        <v>283</v>
      </c>
      <c r="AY719" s="822">
        <f t="shared" ref="AY719:AZ719" si="1628">AY667</f>
        <v>38</v>
      </c>
      <c r="AZ719" s="27">
        <f t="shared" si="1628"/>
        <v>3386</v>
      </c>
      <c r="BA719" s="56">
        <f t="shared" si="1591"/>
        <v>-1689</v>
      </c>
      <c r="BB719" s="56">
        <f t="shared" si="1591"/>
        <v>-3697</v>
      </c>
      <c r="BC719" s="56">
        <f t="shared" si="1591"/>
        <v>-3417</v>
      </c>
      <c r="BD719" s="822">
        <f t="shared" ref="BD719:BE719" si="1629">BD667</f>
        <v>-5417</v>
      </c>
      <c r="BE719" s="56">
        <f t="shared" si="1629"/>
        <v>-3607</v>
      </c>
      <c r="BF719" s="27">
        <f t="shared" si="1593"/>
        <v>-4340</v>
      </c>
      <c r="BG719" s="56">
        <f t="shared" si="1593"/>
        <v>-3334</v>
      </c>
      <c r="BH719" s="27">
        <f t="shared" si="1593"/>
        <v>-3397</v>
      </c>
      <c r="BI719" s="879">
        <f t="shared" ref="BI719:BJ719" si="1630">BI667</f>
        <v>-14678</v>
      </c>
      <c r="BJ719" s="27">
        <f t="shared" si="1630"/>
        <v>-2891</v>
      </c>
      <c r="BK719" s="27">
        <f t="shared" si="1595"/>
        <v>-2930</v>
      </c>
      <c r="BL719" s="56">
        <f t="shared" si="1595"/>
        <v>-4714</v>
      </c>
      <c r="BM719" s="27">
        <f t="shared" si="1595"/>
        <v>-4509</v>
      </c>
      <c r="BN719" s="879">
        <f t="shared" ref="BN719:BO719" si="1631">BN667</f>
        <v>-15044</v>
      </c>
      <c r="BO719" s="27">
        <f t="shared" si="1631"/>
        <v>-3699</v>
      </c>
      <c r="BP719" s="27">
        <f t="shared" si="1596"/>
        <v>-2733</v>
      </c>
      <c r="BQ719" s="56">
        <f t="shared" si="1596"/>
        <v>-2482</v>
      </c>
      <c r="BR719" s="27">
        <f t="shared" si="1597"/>
        <v>-2941</v>
      </c>
      <c r="BS719" s="879">
        <f t="shared" ref="BS719:BT719" si="1632">BS667</f>
        <v>-11855</v>
      </c>
      <c r="BT719" s="478">
        <f t="shared" si="1632"/>
        <v>-1412</v>
      </c>
      <c r="BU719" s="56">
        <f>BU573</f>
        <v>-2800</v>
      </c>
      <c r="BV719" s="56">
        <f>BV573</f>
        <v>0</v>
      </c>
      <c r="BW719" s="56">
        <f>BW573</f>
        <v>0</v>
      </c>
      <c r="BX719" s="822">
        <f t="shared" si="1598"/>
        <v>-4212</v>
      </c>
      <c r="BY719" s="56">
        <f>BY573</f>
        <v>0</v>
      </c>
      <c r="BZ719" s="56">
        <f>BZ573</f>
        <v>0</v>
      </c>
      <c r="CA719" s="56">
        <f>CA573</f>
        <v>0</v>
      </c>
      <c r="CB719" s="56">
        <f>CB573</f>
        <v>0</v>
      </c>
      <c r="CC719" s="822">
        <f t="shared" si="1599"/>
        <v>0</v>
      </c>
      <c r="CD719" s="822">
        <f>CD573</f>
        <v>0</v>
      </c>
      <c r="CE719" s="822">
        <f>CE573</f>
        <v>0</v>
      </c>
      <c r="CF719" s="822">
        <f>CF573</f>
        <v>0</v>
      </c>
      <c r="CG719" s="22"/>
    </row>
    <row r="720" spans="1:85" s="429" customFormat="1" x14ac:dyDescent="0.3">
      <c r="A720" s="42" t="str">
        <f t="shared" si="1571"/>
        <v>Net CFF</v>
      </c>
      <c r="B720" s="99"/>
      <c r="C720" s="823">
        <f t="shared" ref="C720:AH720" si="1633">SUM(C712:C719)</f>
        <v>-3546</v>
      </c>
      <c r="D720" s="823">
        <f t="shared" si="1633"/>
        <v>-5165</v>
      </c>
      <c r="E720" s="823">
        <f t="shared" si="1633"/>
        <v>-11769</v>
      </c>
      <c r="F720" s="823">
        <f t="shared" si="1633"/>
        <v>-8980</v>
      </c>
      <c r="G720" s="393">
        <f t="shared" si="1633"/>
        <v>-805</v>
      </c>
      <c r="H720" s="393">
        <f t="shared" si="1633"/>
        <v>2841</v>
      </c>
      <c r="I720" s="393">
        <f t="shared" si="1633"/>
        <v>-4594</v>
      </c>
      <c r="J720" s="393">
        <f t="shared" si="1633"/>
        <v>-1263</v>
      </c>
      <c r="K720" s="823">
        <f t="shared" si="1633"/>
        <v>-3821</v>
      </c>
      <c r="L720" s="393">
        <f t="shared" si="1633"/>
        <v>-461</v>
      </c>
      <c r="M720" s="393">
        <f t="shared" si="1633"/>
        <v>-2371</v>
      </c>
      <c r="N720" s="393">
        <f t="shared" si="1633"/>
        <v>-1019</v>
      </c>
      <c r="O720" s="393">
        <f t="shared" si="1633"/>
        <v>-1148</v>
      </c>
      <c r="P720" s="823">
        <f t="shared" si="1633"/>
        <v>-4999</v>
      </c>
      <c r="Q720" s="393">
        <f t="shared" si="1633"/>
        <v>4160</v>
      </c>
      <c r="R720" s="393">
        <f t="shared" si="1633"/>
        <v>-3988</v>
      </c>
      <c r="S720" s="393">
        <f t="shared" si="1633"/>
        <v>1887</v>
      </c>
      <c r="T720" s="393">
        <f t="shared" si="1633"/>
        <v>756</v>
      </c>
      <c r="U720" s="823">
        <f t="shared" si="1633"/>
        <v>2815</v>
      </c>
      <c r="V720" s="393">
        <f t="shared" si="1633"/>
        <v>1911</v>
      </c>
      <c r="W720" s="393">
        <f t="shared" si="1633"/>
        <v>830</v>
      </c>
      <c r="X720" s="393">
        <f t="shared" si="1633"/>
        <v>-1465</v>
      </c>
      <c r="Y720" s="394">
        <f t="shared" si="1633"/>
        <v>-1251</v>
      </c>
      <c r="Z720" s="824">
        <f t="shared" si="1633"/>
        <v>25</v>
      </c>
      <c r="AA720" s="394">
        <f t="shared" si="1633"/>
        <v>-2684</v>
      </c>
      <c r="AB720" s="393">
        <f t="shared" si="1633"/>
        <v>-4451</v>
      </c>
      <c r="AC720" s="393">
        <f t="shared" si="1633"/>
        <v>-2597</v>
      </c>
      <c r="AD720" s="394">
        <f t="shared" si="1633"/>
        <v>-4822</v>
      </c>
      <c r="AE720" s="824">
        <f t="shared" si="1633"/>
        <v>-14554</v>
      </c>
      <c r="AF720" s="394">
        <f t="shared" si="1633"/>
        <v>-613</v>
      </c>
      <c r="AG720" s="393">
        <f t="shared" si="1633"/>
        <v>-3054</v>
      </c>
      <c r="AH720" s="393">
        <f t="shared" si="1633"/>
        <v>-5276</v>
      </c>
      <c r="AI720" s="394">
        <f t="shared" ref="AI720:AQ720" si="1634">SUM(AI712:AI719)</f>
        <v>-4756</v>
      </c>
      <c r="AJ720" s="824">
        <f t="shared" si="1634"/>
        <v>-13699</v>
      </c>
      <c r="AK720" s="394">
        <f t="shared" si="1634"/>
        <v>-3835</v>
      </c>
      <c r="AL720" s="393">
        <f t="shared" si="1634"/>
        <v>-5559</v>
      </c>
      <c r="AM720" s="393">
        <f t="shared" si="1634"/>
        <v>-1093</v>
      </c>
      <c r="AN720" s="394">
        <f t="shared" si="1634"/>
        <v>-9271</v>
      </c>
      <c r="AO720" s="824">
        <f t="shared" si="1634"/>
        <v>-19758</v>
      </c>
      <c r="AP720" s="394">
        <f t="shared" si="1634"/>
        <v>1378</v>
      </c>
      <c r="AQ720" s="393">
        <f t="shared" si="1634"/>
        <v>-733</v>
      </c>
      <c r="AR720" s="393">
        <f>SUM(AR712:AR719)</f>
        <v>-1696</v>
      </c>
      <c r="AS720" s="394">
        <f t="shared" ref="AS720:AV720" si="1635">SUM(AS712:AS719)</f>
        <v>-2685</v>
      </c>
      <c r="AT720" s="824">
        <f t="shared" si="1635"/>
        <v>-3736</v>
      </c>
      <c r="AU720" s="394">
        <f t="shared" si="1635"/>
        <v>-1053</v>
      </c>
      <c r="AV720" s="393">
        <f t="shared" si="1635"/>
        <v>-4945</v>
      </c>
      <c r="AW720" s="393">
        <f>SUM(AW712:AW719)</f>
        <v>-8825</v>
      </c>
      <c r="AX720" s="393">
        <f t="shared" ref="AX720:BA720" si="1636">SUM(AX712:AX719)</f>
        <v>-8290</v>
      </c>
      <c r="AY720" s="823">
        <f t="shared" si="1636"/>
        <v>-23113</v>
      </c>
      <c r="AZ720" s="394">
        <f t="shared" si="1636"/>
        <v>-1366</v>
      </c>
      <c r="BA720" s="393">
        <f t="shared" si="1636"/>
        <v>-8138</v>
      </c>
      <c r="BB720" s="393">
        <f t="shared" ref="BB720:BF720" si="1637">SUM(BB712:BB719)</f>
        <v>-9025</v>
      </c>
      <c r="BC720" s="393">
        <f t="shared" si="1637"/>
        <v>-6449</v>
      </c>
      <c r="BD720" s="823">
        <f t="shared" si="1637"/>
        <v>-24978</v>
      </c>
      <c r="BE720" s="393">
        <f t="shared" si="1637"/>
        <v>-6573</v>
      </c>
      <c r="BF720" s="394">
        <f t="shared" si="1637"/>
        <v>-8748</v>
      </c>
      <c r="BG720" s="393">
        <f t="shared" ref="BG720:BK720" si="1638">SUM(BG712:BG719)</f>
        <v>-8621</v>
      </c>
      <c r="BH720" s="394">
        <f t="shared" si="1638"/>
        <v>-6167</v>
      </c>
      <c r="BI720" s="824">
        <f t="shared" si="1638"/>
        <v>-30109</v>
      </c>
      <c r="BJ720" s="394">
        <f t="shared" si="1638"/>
        <v>-4863</v>
      </c>
      <c r="BK720" s="394">
        <f t="shared" si="1638"/>
        <v>-4565</v>
      </c>
      <c r="BL720" s="393">
        <f t="shared" ref="BL720:BP720" si="1639">SUM(BL712:BL719)</f>
        <v>-5262</v>
      </c>
      <c r="BM720" s="394">
        <f t="shared" si="1639"/>
        <v>-8782</v>
      </c>
      <c r="BN720" s="824">
        <f t="shared" si="1639"/>
        <v>-23472</v>
      </c>
      <c r="BO720" s="394">
        <f t="shared" si="1639"/>
        <v>-1664</v>
      </c>
      <c r="BP720" s="394">
        <f t="shared" si="1639"/>
        <v>-5985</v>
      </c>
      <c r="BQ720" s="393">
        <f t="shared" ref="BQ720:BT720" si="1640">SUM(BQ712:BQ719)</f>
        <v>-4042</v>
      </c>
      <c r="BR720" s="394">
        <f t="shared" si="1640"/>
        <v>-7372</v>
      </c>
      <c r="BS720" s="824">
        <f t="shared" si="1640"/>
        <v>-19063</v>
      </c>
      <c r="BT720" s="641">
        <f t="shared" si="1640"/>
        <v>-448</v>
      </c>
      <c r="BU720" s="393">
        <f ca="1">SUM(BU712:BU719)</f>
        <v>-6331.5736926897298</v>
      </c>
      <c r="BV720" s="393">
        <f ca="1">SUM(BV712:BV719)</f>
        <v>-3518.1034224194591</v>
      </c>
      <c r="BW720" s="393">
        <f ca="1">SUM(BW712:BW719)</f>
        <v>-3518.1034224194591</v>
      </c>
      <c r="BX720" s="823">
        <f t="shared" ref="BX720" ca="1" si="1641">SUM(BX712:BX719)</f>
        <v>-13815.780537528648</v>
      </c>
      <c r="BY720" s="393">
        <f t="shared" ref="BY720:CF720" ca="1" si="1642">SUM(BY712:BY719)</f>
        <v>-3518.1034224194591</v>
      </c>
      <c r="BZ720" s="393">
        <f t="shared" ca="1" si="1642"/>
        <v>-3518.1034224194591</v>
      </c>
      <c r="CA720" s="393">
        <f t="shared" ca="1" si="1642"/>
        <v>-3518.1034224194591</v>
      </c>
      <c r="CB720" s="393">
        <f t="shared" ca="1" si="1642"/>
        <v>-3518.1034224194591</v>
      </c>
      <c r="CC720" s="823">
        <f t="shared" ca="1" si="1642"/>
        <v>-14072.413689677836</v>
      </c>
      <c r="CD720" s="823">
        <f t="shared" ca="1" si="1642"/>
        <v>-14072.413689677836</v>
      </c>
      <c r="CE720" s="823">
        <f t="shared" ca="1" si="1642"/>
        <v>-14072.413689677836</v>
      </c>
      <c r="CF720" s="823">
        <f t="shared" ca="1" si="1642"/>
        <v>-14072.413689677836</v>
      </c>
      <c r="CG720" s="26"/>
    </row>
    <row r="721" spans="1:85" s="429" customFormat="1" x14ac:dyDescent="0.3">
      <c r="A721" s="48"/>
      <c r="B721" s="58"/>
      <c r="C721" s="825"/>
      <c r="D721" s="825"/>
      <c r="E721" s="825"/>
      <c r="F721" s="825"/>
      <c r="G721" s="31"/>
      <c r="H721" s="31"/>
      <c r="I721" s="31"/>
      <c r="J721" s="31"/>
      <c r="K721" s="825"/>
      <c r="L721" s="31"/>
      <c r="M721" s="31"/>
      <c r="N721" s="31"/>
      <c r="O721" s="31"/>
      <c r="P721" s="825"/>
      <c r="Q721" s="31"/>
      <c r="R721" s="31"/>
      <c r="S721" s="31"/>
      <c r="T721" s="31"/>
      <c r="U721" s="825"/>
      <c r="V721" s="31"/>
      <c r="W721" s="31"/>
      <c r="X721" s="31"/>
      <c r="Y721" s="31"/>
      <c r="Z721" s="825"/>
      <c r="AA721" s="31"/>
      <c r="AB721" s="31"/>
      <c r="AC721" s="31"/>
      <c r="AD721" s="31"/>
      <c r="AE721" s="825"/>
      <c r="AF721" s="31"/>
      <c r="AG721" s="31"/>
      <c r="AH721" s="31"/>
      <c r="AI721" s="31"/>
      <c r="AJ721" s="825"/>
      <c r="AK721" s="31"/>
      <c r="AL721" s="31"/>
      <c r="AM721" s="31"/>
      <c r="AN721" s="31"/>
      <c r="AO721" s="825"/>
      <c r="AP721" s="31"/>
      <c r="AQ721" s="31"/>
      <c r="AR721" s="31"/>
      <c r="AS721" s="31"/>
      <c r="AT721" s="825"/>
      <c r="AU721" s="31"/>
      <c r="AV721" s="31"/>
      <c r="AW721" s="31"/>
      <c r="AX721" s="31"/>
      <c r="AY721" s="825"/>
      <c r="AZ721" s="31"/>
      <c r="BA721" s="31"/>
      <c r="BB721" s="31"/>
      <c r="BC721" s="31"/>
      <c r="BD721" s="825"/>
      <c r="BE721" s="31"/>
      <c r="BF721" s="31"/>
      <c r="BG721" s="31"/>
      <c r="BH721" s="31"/>
      <c r="BI721" s="825"/>
      <c r="BJ721" s="31"/>
      <c r="BK721" s="31"/>
      <c r="BL721" s="31"/>
      <c r="BM721" s="31"/>
      <c r="BN721" s="825"/>
      <c r="BO721" s="31"/>
      <c r="BP721" s="31"/>
      <c r="BQ721" s="31"/>
      <c r="BR721" s="31"/>
      <c r="BS721" s="825"/>
      <c r="BT721" s="379"/>
      <c r="BU721" s="31"/>
      <c r="BV721" s="31"/>
      <c r="BW721" s="31"/>
      <c r="BX721" s="825"/>
      <c r="BY721" s="31"/>
      <c r="BZ721" s="31"/>
      <c r="CA721" s="31"/>
      <c r="CB721" s="31"/>
      <c r="CC721" s="825"/>
      <c r="CD721" s="825"/>
      <c r="CE721" s="825"/>
      <c r="CF721" s="825"/>
      <c r="CG721" s="26"/>
    </row>
    <row r="722" spans="1:85" s="428" customFormat="1" x14ac:dyDescent="0.3">
      <c r="A722" s="106" t="str">
        <f>A670</f>
        <v>FX</v>
      </c>
      <c r="B722" s="109"/>
      <c r="C722" s="821">
        <f>C670</f>
        <v>114</v>
      </c>
      <c r="D722" s="821">
        <f>D670</f>
        <v>70</v>
      </c>
      <c r="E722" s="821">
        <f>E670</f>
        <v>-33</v>
      </c>
      <c r="F722" s="821">
        <f>F670</f>
        <v>39</v>
      </c>
      <c r="G722" s="37">
        <f>G670</f>
        <v>-15</v>
      </c>
      <c r="H722" s="37">
        <f>H670-G670</f>
        <v>-93</v>
      </c>
      <c r="I722" s="37">
        <f>I670-H670</f>
        <v>-31</v>
      </c>
      <c r="J722" s="37">
        <f>J670-I670</f>
        <v>-127</v>
      </c>
      <c r="K722" s="821">
        <f>K670</f>
        <v>-266</v>
      </c>
      <c r="L722" s="37">
        <f>L670</f>
        <v>-9</v>
      </c>
      <c r="M722" s="37">
        <f>M670-L670</f>
        <v>35</v>
      </c>
      <c r="N722" s="37">
        <f>N670-M670</f>
        <v>-32</v>
      </c>
      <c r="O722" s="37">
        <f>O670-N670</f>
        <v>-37</v>
      </c>
      <c r="P722" s="821">
        <f>P670</f>
        <v>-43</v>
      </c>
      <c r="Q722" s="37">
        <f>Q670</f>
        <v>17</v>
      </c>
      <c r="R722" s="37">
        <f>R670-Q670</f>
        <v>-36</v>
      </c>
      <c r="S722" s="37">
        <f>S670-R670</f>
        <v>-191</v>
      </c>
      <c r="T722" s="37">
        <f>T670-S670</f>
        <v>-16</v>
      </c>
      <c r="U722" s="821">
        <f>U670</f>
        <v>-226</v>
      </c>
      <c r="V722" s="37">
        <f>V670</f>
        <v>-3</v>
      </c>
      <c r="W722" s="37">
        <f>W670-V670</f>
        <v>-2</v>
      </c>
      <c r="X722" s="37">
        <f>X670-W670</f>
        <v>4</v>
      </c>
      <c r="Y722" s="37">
        <f>Y670-X670</f>
        <v>-52</v>
      </c>
      <c r="Z722" s="821">
        <f>Z670</f>
        <v>-53</v>
      </c>
      <c r="AA722" s="37">
        <f>AA670</f>
        <v>39</v>
      </c>
      <c r="AB722" s="37">
        <f>AB670-AA670</f>
        <v>1</v>
      </c>
      <c r="AC722" s="37">
        <f>AC670-AB670</f>
        <v>22</v>
      </c>
      <c r="AD722" s="37">
        <f>AD670-AC670</f>
        <v>3</v>
      </c>
      <c r="AE722" s="821">
        <f>AE670</f>
        <v>65</v>
      </c>
      <c r="AF722" s="37">
        <f>AF670</f>
        <v>33</v>
      </c>
      <c r="AG722" s="37">
        <f>AG670-AF670</f>
        <v>-78</v>
      </c>
      <c r="AH722" s="37">
        <f>AH670-AG670</f>
        <v>-23</v>
      </c>
      <c r="AI722" s="37">
        <f>AI670-AH670</f>
        <v>-23</v>
      </c>
      <c r="AJ722" s="821">
        <f>AJ670</f>
        <v>-91</v>
      </c>
      <c r="AK722" s="37">
        <f>AK670</f>
        <v>20</v>
      </c>
      <c r="AL722" s="37">
        <f>AL670-AK670</f>
        <v>12</v>
      </c>
      <c r="AM722" s="37">
        <f>AM670-AL670</f>
        <v>-27</v>
      </c>
      <c r="AN722" s="37">
        <f>AN670-AM670</f>
        <v>327</v>
      </c>
      <c r="AO722" s="821">
        <f>AO670</f>
        <v>332</v>
      </c>
      <c r="AP722" s="37">
        <f>AP670</f>
        <v>-163</v>
      </c>
      <c r="AQ722" s="37">
        <f>AQ670-AP670</f>
        <v>32</v>
      </c>
      <c r="AR722" s="37">
        <f>AR670-AQ670</f>
        <v>-2</v>
      </c>
      <c r="AS722" s="37">
        <f>AS670-AR670</f>
        <v>83</v>
      </c>
      <c r="AT722" s="821">
        <f>AT670</f>
        <v>-50</v>
      </c>
      <c r="AU722" s="37">
        <f>AU670</f>
        <v>-53</v>
      </c>
      <c r="AV722" s="37">
        <f>AV670-AU670</f>
        <v>-13</v>
      </c>
      <c r="AW722" s="37">
        <f>AW670-AV670</f>
        <v>-76</v>
      </c>
      <c r="AX722" s="37">
        <f>AX670-AW670</f>
        <v>-9</v>
      </c>
      <c r="AY722" s="821">
        <f>AY670</f>
        <v>-151</v>
      </c>
      <c r="AZ722" s="22">
        <f>AZ670</f>
        <v>-13</v>
      </c>
      <c r="BA722" s="37">
        <f>BA670-AZ670</f>
        <v>-130</v>
      </c>
      <c r="BB722" s="37">
        <f>BB670-BA670</f>
        <v>-134</v>
      </c>
      <c r="BC722" s="37">
        <f>BC670-BB670</f>
        <v>87</v>
      </c>
      <c r="BD722" s="821">
        <f>BD670</f>
        <v>-190</v>
      </c>
      <c r="BE722" s="37">
        <f>BE670</f>
        <v>-47</v>
      </c>
      <c r="BF722" s="22">
        <f>BF670-BE670</f>
        <v>-104</v>
      </c>
      <c r="BG722" s="37">
        <f>BG670-BF670</f>
        <v>-36</v>
      </c>
      <c r="BH722" s="22">
        <f>BH670-BG670</f>
        <v>73</v>
      </c>
      <c r="BI722" s="852">
        <f>BI670</f>
        <v>-114</v>
      </c>
      <c r="BJ722" s="22">
        <f>BJ670</f>
        <v>-72</v>
      </c>
      <c r="BK722" s="22">
        <f>BK670-BJ670</f>
        <v>-23</v>
      </c>
      <c r="BL722" s="37">
        <f>BL670-BK670</f>
        <v>83</v>
      </c>
      <c r="BM722" s="22">
        <f>BM670-BL670</f>
        <v>-85</v>
      </c>
      <c r="BN722" s="852">
        <f>BN670</f>
        <v>-97</v>
      </c>
      <c r="BO722" s="22">
        <f>BO670</f>
        <v>-3</v>
      </c>
      <c r="BP722" s="22">
        <f>BP670-BO670</f>
        <v>50</v>
      </c>
      <c r="BQ722" s="37">
        <f>BQ670-BP670</f>
        <v>-6</v>
      </c>
      <c r="BR722" s="22">
        <f>BR670-BQ670</f>
        <v>17</v>
      </c>
      <c r="BS722" s="852">
        <f>BS670</f>
        <v>58</v>
      </c>
      <c r="BT722" s="480">
        <f>BT670</f>
        <v>-23</v>
      </c>
      <c r="BU722" s="37"/>
      <c r="BV722" s="37"/>
      <c r="BW722" s="37"/>
      <c r="BX722" s="821">
        <f>SUM(BT722,BU722,BV722,BW722)</f>
        <v>-23</v>
      </c>
      <c r="BY722" s="37"/>
      <c r="BZ722" s="37"/>
      <c r="CA722" s="37"/>
      <c r="CB722" s="37"/>
      <c r="CC722" s="821">
        <f>SUM(BY722,BZ722,CA722,CB722)</f>
        <v>0</v>
      </c>
      <c r="CD722" s="821"/>
      <c r="CE722" s="821"/>
      <c r="CF722" s="821"/>
      <c r="CG722" s="22"/>
    </row>
    <row r="723" spans="1:85" s="429" customFormat="1" x14ac:dyDescent="0.3">
      <c r="A723" s="48" t="str">
        <f>A671</f>
        <v>Net Change in Cash Balance</v>
      </c>
      <c r="B723" s="58"/>
      <c r="C723" s="825">
        <f t="shared" ref="C723:AH723" si="1643">C720+C709+C697+C722</f>
        <v>-631</v>
      </c>
      <c r="D723" s="825">
        <f t="shared" si="1643"/>
        <v>5344</v>
      </c>
      <c r="E723" s="825">
        <f t="shared" si="1643"/>
        <v>1804</v>
      </c>
      <c r="F723" s="825">
        <f t="shared" si="1643"/>
        <v>5075</v>
      </c>
      <c r="G723" s="31">
        <f t="shared" si="1643"/>
        <v>-3565</v>
      </c>
      <c r="H723" s="31">
        <f t="shared" si="1643"/>
        <v>3256</v>
      </c>
      <c r="I723" s="31">
        <f t="shared" si="1643"/>
        <v>-3616</v>
      </c>
      <c r="J723" s="31">
        <f t="shared" si="1643"/>
        <v>-769</v>
      </c>
      <c r="K723" s="825">
        <f t="shared" si="1643"/>
        <v>-4694</v>
      </c>
      <c r="L723" s="31">
        <f t="shared" si="1643"/>
        <v>-633</v>
      </c>
      <c r="M723" s="31">
        <f t="shared" si="1643"/>
        <v>-1653</v>
      </c>
      <c r="N723" s="31">
        <f t="shared" si="1643"/>
        <v>256</v>
      </c>
      <c r="O723" s="31">
        <f t="shared" si="1643"/>
        <v>-1430</v>
      </c>
      <c r="P723" s="825">
        <f t="shared" si="1643"/>
        <v>-3460</v>
      </c>
      <c r="Q723" s="31">
        <f t="shared" si="1643"/>
        <v>-110</v>
      </c>
      <c r="R723" s="31">
        <f t="shared" si="1643"/>
        <v>-519</v>
      </c>
      <c r="S723" s="31">
        <f t="shared" si="1643"/>
        <v>777</v>
      </c>
      <c r="T723" s="31">
        <f t="shared" si="1643"/>
        <v>-1911</v>
      </c>
      <c r="U723" s="825">
        <f t="shared" si="1643"/>
        <v>-1763</v>
      </c>
      <c r="V723" s="31">
        <f t="shared" si="1643"/>
        <v>-2460</v>
      </c>
      <c r="W723" s="31">
        <f t="shared" si="1643"/>
        <v>202</v>
      </c>
      <c r="X723" s="31">
        <f t="shared" si="1643"/>
        <v>-1413</v>
      </c>
      <c r="Y723" s="26">
        <f t="shared" si="1643"/>
        <v>-363</v>
      </c>
      <c r="Z723" s="826">
        <f t="shared" si="1643"/>
        <v>-4034</v>
      </c>
      <c r="AA723" s="26">
        <f t="shared" si="1643"/>
        <v>-5</v>
      </c>
      <c r="AB723" s="31">
        <f t="shared" si="1643"/>
        <v>-2221</v>
      </c>
      <c r="AC723" s="31">
        <f t="shared" si="1643"/>
        <v>1879</v>
      </c>
      <c r="AD723" s="26">
        <f t="shared" si="1643"/>
        <v>-1828</v>
      </c>
      <c r="AE723" s="826">
        <f t="shared" si="1643"/>
        <v>-2175</v>
      </c>
      <c r="AF723" s="26">
        <f t="shared" si="1643"/>
        <v>1574</v>
      </c>
      <c r="AG723" s="31">
        <f t="shared" si="1643"/>
        <v>1181</v>
      </c>
      <c r="AH723" s="31">
        <f t="shared" si="1643"/>
        <v>2043</v>
      </c>
      <c r="AI723" s="31">
        <f t="shared" ref="AI723:AQ723" si="1644">AI720+AI709+AI697+AI722</f>
        <v>-260</v>
      </c>
      <c r="AJ723" s="826">
        <f t="shared" si="1644"/>
        <v>4538</v>
      </c>
      <c r="AK723" s="26">
        <f t="shared" si="1644"/>
        <v>-786</v>
      </c>
      <c r="AL723" s="31">
        <f t="shared" si="1644"/>
        <v>-4</v>
      </c>
      <c r="AM723" s="31">
        <f t="shared" si="1644"/>
        <v>3129</v>
      </c>
      <c r="AN723" s="31">
        <f t="shared" si="1644"/>
        <v>-5909</v>
      </c>
      <c r="AO723" s="826">
        <f t="shared" si="1644"/>
        <v>-3570</v>
      </c>
      <c r="AP723" s="26">
        <f t="shared" si="1644"/>
        <v>2779</v>
      </c>
      <c r="AQ723" s="31">
        <f t="shared" si="1644"/>
        <v>-1911</v>
      </c>
      <c r="AR723" s="31">
        <f>AR720+AR709+AR697+AR722</f>
        <v>12</v>
      </c>
      <c r="AS723" s="31">
        <f t="shared" ref="AS723:AV723" si="1645">AS720+AS709+AS697+AS722</f>
        <v>-1054</v>
      </c>
      <c r="AT723" s="826">
        <f t="shared" si="1645"/>
        <v>-174</v>
      </c>
      <c r="AU723" s="26">
        <f t="shared" si="1645"/>
        <v>1527</v>
      </c>
      <c r="AV723" s="31">
        <f t="shared" si="1645"/>
        <v>424</v>
      </c>
      <c r="AW723" s="31">
        <f>AW720+AW709+AW697+AW722</f>
        <v>-1663</v>
      </c>
      <c r="AX723" s="31">
        <f t="shared" ref="AX723:BA723" si="1646">AX720+AX709+AX697+AX722</f>
        <v>-230</v>
      </c>
      <c r="AY723" s="825">
        <f t="shared" si="1646"/>
        <v>58</v>
      </c>
      <c r="AZ723" s="26">
        <f t="shared" si="1646"/>
        <v>6011</v>
      </c>
      <c r="BA723" s="31">
        <f t="shared" si="1646"/>
        <v>550</v>
      </c>
      <c r="BB723" s="31">
        <f t="shared" ref="BB723:BF723" si="1647">BB720+BB709+BB697+BB722</f>
        <v>3341</v>
      </c>
      <c r="BC723" s="31">
        <f t="shared" si="1647"/>
        <v>2424</v>
      </c>
      <c r="BD723" s="825">
        <f t="shared" si="1647"/>
        <v>12326</v>
      </c>
      <c r="BE723" s="31">
        <f t="shared" si="1647"/>
        <v>-2222</v>
      </c>
      <c r="BF723" s="26">
        <f t="shared" si="1647"/>
        <v>-6499</v>
      </c>
      <c r="BG723" s="31">
        <f t="shared" ref="BG723:BL723" si="1648">BG720+BG709+BG697+BG722</f>
        <v>-3394</v>
      </c>
      <c r="BH723" s="26">
        <f t="shared" si="1648"/>
        <v>2269</v>
      </c>
      <c r="BI723" s="826">
        <f t="shared" si="1648"/>
        <v>-9846</v>
      </c>
      <c r="BJ723" s="26">
        <f t="shared" si="1648"/>
        <v>-2063</v>
      </c>
      <c r="BK723" s="26">
        <f t="shared" si="1648"/>
        <v>-2247</v>
      </c>
      <c r="BL723" s="31">
        <f t="shared" si="1648"/>
        <v>799</v>
      </c>
      <c r="BM723" s="26">
        <f t="shared" ref="BM723:BQ723" si="1649">BM720+BM709+BM697+BM722</f>
        <v>2498</v>
      </c>
      <c r="BN723" s="826">
        <f t="shared" si="1649"/>
        <v>-1013</v>
      </c>
      <c r="BO723" s="26">
        <f t="shared" si="1649"/>
        <v>-2096</v>
      </c>
      <c r="BP723" s="26">
        <f t="shared" si="1649"/>
        <v>-791</v>
      </c>
      <c r="BQ723" s="31">
        <f t="shared" si="1649"/>
        <v>3408</v>
      </c>
      <c r="BR723" s="26">
        <f t="shared" ref="BR723:BT723" si="1650">BR720+BR709+BR697+BR722</f>
        <v>-1498</v>
      </c>
      <c r="BS723" s="826">
        <f t="shared" si="1650"/>
        <v>-977</v>
      </c>
      <c r="BT723" s="379">
        <f t="shared" si="1650"/>
        <v>-969</v>
      </c>
      <c r="BU723" s="31">
        <f ca="1">BU720+BU709+BU697+BU722</f>
        <v>4855.2810750088956</v>
      </c>
      <c r="BV723" s="31">
        <f ca="1">BV720+BV709+BV697+BV722</f>
        <v>3620.5219984846481</v>
      </c>
      <c r="BW723" s="31">
        <f ca="1">BW720+BW709+BW697+BW722</f>
        <v>3314.263528484651</v>
      </c>
      <c r="BX723" s="825">
        <f t="shared" ref="BX723" ca="1" si="1651">BX720+BX709+BX697+BX722</f>
        <v>10821.066601978193</v>
      </c>
      <c r="BY723" s="31">
        <f t="shared" ref="BY723:CF723" ca="1" si="1652">BY720+BY709+BY697+BY722</f>
        <v>4178.7568468956069</v>
      </c>
      <c r="BZ723" s="31">
        <f t="shared" ca="1" si="1652"/>
        <v>4696.0054094935549</v>
      </c>
      <c r="CA723" s="31">
        <f t="shared" ca="1" si="1652"/>
        <v>4865.8354361914935</v>
      </c>
      <c r="CB723" s="31">
        <f t="shared" ca="1" si="1652"/>
        <v>4772.7805313914978</v>
      </c>
      <c r="CC723" s="825">
        <f t="shared" ca="1" si="1652"/>
        <v>18513.378223972155</v>
      </c>
      <c r="CD723" s="825">
        <f t="shared" ca="1" si="1652"/>
        <v>15855.407467822166</v>
      </c>
      <c r="CE723" s="825">
        <f t="shared" ca="1" si="1652"/>
        <v>14570.537338072165</v>
      </c>
      <c r="CF723" s="825">
        <f t="shared" ca="1" si="1652"/>
        <v>8703.5891253221562</v>
      </c>
      <c r="CG723" s="26"/>
    </row>
    <row r="724" spans="1:85" s="429" customFormat="1" x14ac:dyDescent="0.3">
      <c r="A724" s="48"/>
      <c r="B724" s="58"/>
      <c r="C724" s="825"/>
      <c r="D724" s="825"/>
      <c r="E724" s="825"/>
      <c r="F724" s="825"/>
      <c r="G724" s="31"/>
      <c r="H724" s="31"/>
      <c r="I724" s="31"/>
      <c r="J724" s="31"/>
      <c r="K724" s="825"/>
      <c r="L724" s="31"/>
      <c r="M724" s="31"/>
      <c r="N724" s="31"/>
      <c r="O724" s="31"/>
      <c r="P724" s="825"/>
      <c r="Q724" s="31"/>
      <c r="R724" s="31"/>
      <c r="S724" s="31"/>
      <c r="T724" s="31"/>
      <c r="U724" s="825"/>
      <c r="V724" s="31"/>
      <c r="W724" s="31"/>
      <c r="X724" s="31"/>
      <c r="Y724" s="31"/>
      <c r="Z724" s="825"/>
      <c r="AA724" s="31"/>
      <c r="AB724" s="31"/>
      <c r="AC724" s="31"/>
      <c r="AD724" s="31"/>
      <c r="AE724" s="825"/>
      <c r="AF724" s="31"/>
      <c r="AG724" s="31"/>
      <c r="AH724" s="31"/>
      <c r="AI724" s="31"/>
      <c r="AJ724" s="825"/>
      <c r="AK724" s="31"/>
      <c r="AL724" s="31"/>
      <c r="AM724" s="31"/>
      <c r="AN724" s="31"/>
      <c r="AO724" s="825"/>
      <c r="AP724" s="31"/>
      <c r="AQ724" s="31"/>
      <c r="AR724" s="31"/>
      <c r="AS724" s="31"/>
      <c r="AT724" s="825"/>
      <c r="AU724" s="31"/>
      <c r="AV724" s="31"/>
      <c r="AW724" s="31"/>
      <c r="AX724" s="31"/>
      <c r="AY724" s="825"/>
      <c r="AZ724" s="31"/>
      <c r="BA724" s="31"/>
      <c r="BB724" s="31"/>
      <c r="BC724" s="31"/>
      <c r="BD724" s="825"/>
      <c r="BE724" s="31"/>
      <c r="BF724" s="31"/>
      <c r="BG724" s="31"/>
      <c r="BH724" s="31"/>
      <c r="BI724" s="825"/>
      <c r="BJ724" s="31"/>
      <c r="BK724" s="31"/>
      <c r="BL724" s="31"/>
      <c r="BM724" s="31"/>
      <c r="BN724" s="825"/>
      <c r="BO724" s="31"/>
      <c r="BP724" s="31"/>
      <c r="BQ724" s="31"/>
      <c r="BR724" s="31"/>
      <c r="BS724" s="825"/>
      <c r="BT724" s="379"/>
      <c r="BU724" s="31"/>
      <c r="BV724" s="31"/>
      <c r="BW724" s="31"/>
      <c r="BX724" s="825"/>
      <c r="BY724" s="31"/>
      <c r="BZ724" s="31"/>
      <c r="CA724" s="31"/>
      <c r="CB724" s="31"/>
      <c r="CC724" s="825"/>
      <c r="CD724" s="825"/>
      <c r="CE724" s="825"/>
      <c r="CF724" s="825"/>
      <c r="CG724" s="26"/>
    </row>
    <row r="725" spans="1:85" s="429" customFormat="1" x14ac:dyDescent="0.3">
      <c r="A725" s="48" t="str">
        <f>A673</f>
        <v>Beginning Cash Balance</v>
      </c>
      <c r="B725" s="58"/>
      <c r="C725" s="825">
        <f>C673</f>
        <v>9347</v>
      </c>
      <c r="D725" s="825">
        <f t="shared" ref="D725:J725" si="1653">C726</f>
        <v>8716</v>
      </c>
      <c r="E725" s="825">
        <f t="shared" si="1653"/>
        <v>14060</v>
      </c>
      <c r="F725" s="825">
        <f t="shared" si="1653"/>
        <v>15864</v>
      </c>
      <c r="G725" s="31">
        <f t="shared" si="1653"/>
        <v>20939</v>
      </c>
      <c r="H725" s="31">
        <f t="shared" si="1653"/>
        <v>17374</v>
      </c>
      <c r="I725" s="31">
        <f t="shared" si="1653"/>
        <v>20630</v>
      </c>
      <c r="J725" s="31">
        <f t="shared" si="1653"/>
        <v>17014</v>
      </c>
      <c r="K725" s="825">
        <f>F726</f>
        <v>20939</v>
      </c>
      <c r="L725" s="31">
        <f>K726</f>
        <v>16245</v>
      </c>
      <c r="M725" s="31">
        <f>L726</f>
        <v>15612</v>
      </c>
      <c r="N725" s="31">
        <f>M726</f>
        <v>13959</v>
      </c>
      <c r="O725" s="31">
        <f>N726</f>
        <v>14215</v>
      </c>
      <c r="P725" s="825">
        <f>K726</f>
        <v>16245</v>
      </c>
      <c r="Q725" s="31">
        <f>P726</f>
        <v>12785</v>
      </c>
      <c r="R725" s="31">
        <f>Q726</f>
        <v>12675</v>
      </c>
      <c r="S725" s="31">
        <f>R726</f>
        <v>12156</v>
      </c>
      <c r="T725" s="31">
        <f>S726</f>
        <v>12933</v>
      </c>
      <c r="U725" s="825">
        <f>P726</f>
        <v>12785</v>
      </c>
      <c r="V725" s="31">
        <f>U726</f>
        <v>11022</v>
      </c>
      <c r="W725" s="31">
        <f>V726</f>
        <v>8562</v>
      </c>
      <c r="X725" s="31">
        <f>W726</f>
        <v>8764</v>
      </c>
      <c r="Y725" s="26">
        <f>X726</f>
        <v>7351</v>
      </c>
      <c r="Z725" s="826">
        <f>U726</f>
        <v>11022</v>
      </c>
      <c r="AA725" s="26">
        <f>Z726</f>
        <v>6988</v>
      </c>
      <c r="AB725" s="31">
        <f>AA726</f>
        <v>6983</v>
      </c>
      <c r="AC725" s="31">
        <f>AB726</f>
        <v>4762</v>
      </c>
      <c r="AD725" s="26">
        <f>AC726</f>
        <v>6641</v>
      </c>
      <c r="AE725" s="826">
        <f>Z726</f>
        <v>6988</v>
      </c>
      <c r="AF725" s="770">
        <v>5943</v>
      </c>
      <c r="AG725" s="31">
        <f>AF726</f>
        <v>7517</v>
      </c>
      <c r="AH725" s="31">
        <f>AG726</f>
        <v>8698</v>
      </c>
      <c r="AI725" s="26">
        <f>AH726</f>
        <v>10741</v>
      </c>
      <c r="AJ725" s="826">
        <f>AF725</f>
        <v>5943</v>
      </c>
      <c r="AK725" s="26">
        <f>AJ726</f>
        <v>10481</v>
      </c>
      <c r="AL725" s="31">
        <f>AK726</f>
        <v>9695</v>
      </c>
      <c r="AM725" s="31">
        <f>AL726</f>
        <v>9691</v>
      </c>
      <c r="AN725" s="26">
        <f>AM726</f>
        <v>12820</v>
      </c>
      <c r="AO725" s="826">
        <f>AK725</f>
        <v>10481</v>
      </c>
      <c r="AP725" s="26">
        <f>AO726</f>
        <v>6911</v>
      </c>
      <c r="AQ725" s="31">
        <f>AP726</f>
        <v>9690</v>
      </c>
      <c r="AR725" s="31">
        <f>AQ726</f>
        <v>7779</v>
      </c>
      <c r="AS725" s="26">
        <f>AR726</f>
        <v>7791</v>
      </c>
      <c r="AT725" s="826">
        <f>AP725</f>
        <v>6911</v>
      </c>
      <c r="AU725" s="26">
        <f>AT726</f>
        <v>6737</v>
      </c>
      <c r="AV725" s="31">
        <f>AU726</f>
        <v>8264</v>
      </c>
      <c r="AW725" s="31">
        <f>AV726</f>
        <v>8688</v>
      </c>
      <c r="AX725" s="31">
        <f>AW726</f>
        <v>7025</v>
      </c>
      <c r="AY725" s="825">
        <f>AU725</f>
        <v>6737</v>
      </c>
      <c r="AZ725" s="26">
        <f>AY726</f>
        <v>6795</v>
      </c>
      <c r="BA725" s="31">
        <f>AZ726</f>
        <v>12806</v>
      </c>
      <c r="BB725" s="31">
        <f>BA726</f>
        <v>13356</v>
      </c>
      <c r="BC725" s="31">
        <f>BB726</f>
        <v>16697</v>
      </c>
      <c r="BD725" s="825">
        <f>AZ725</f>
        <v>6795</v>
      </c>
      <c r="BE725" s="31">
        <f>BD726</f>
        <v>19121</v>
      </c>
      <c r="BF725" s="26">
        <f>BE726</f>
        <v>16899</v>
      </c>
      <c r="BG725" s="31">
        <f>BF726</f>
        <v>10400</v>
      </c>
      <c r="BH725" s="26">
        <f>BG726</f>
        <v>7006</v>
      </c>
      <c r="BI725" s="826">
        <f>BE725</f>
        <v>19121</v>
      </c>
      <c r="BJ725" s="26">
        <f>BI726</f>
        <v>9275</v>
      </c>
      <c r="BK725" s="26">
        <f>BJ726</f>
        <v>7212</v>
      </c>
      <c r="BL725" s="31">
        <f>BK726</f>
        <v>4965</v>
      </c>
      <c r="BM725" s="26">
        <f>BL726</f>
        <v>5764</v>
      </c>
      <c r="BN725" s="826">
        <f>BJ725</f>
        <v>9275</v>
      </c>
      <c r="BO725" s="26">
        <f>BN726</f>
        <v>8262</v>
      </c>
      <c r="BP725" s="26">
        <f>BO726</f>
        <v>6166</v>
      </c>
      <c r="BQ725" s="31">
        <f>BP726</f>
        <v>5375</v>
      </c>
      <c r="BR725" s="26">
        <f>BQ726</f>
        <v>8783</v>
      </c>
      <c r="BS725" s="826">
        <f>BO725</f>
        <v>8262</v>
      </c>
      <c r="BT725" s="379">
        <f>BS726</f>
        <v>7285</v>
      </c>
      <c r="BU725" s="31">
        <f>BT726</f>
        <v>6316</v>
      </c>
      <c r="BV725" s="31">
        <f ca="1">BU726</f>
        <v>11171.281075008896</v>
      </c>
      <c r="BW725" s="31">
        <f ca="1">BV726</f>
        <v>14791.803073493544</v>
      </c>
      <c r="BX725" s="825">
        <f>BS726</f>
        <v>7285</v>
      </c>
      <c r="BY725" s="31">
        <f ca="1">BX726</f>
        <v>18106.066601978193</v>
      </c>
      <c r="BZ725" s="31">
        <f ca="1">BY726</f>
        <v>22284.823448873802</v>
      </c>
      <c r="CA725" s="31">
        <f ca="1">BZ726</f>
        <v>26980.828858367357</v>
      </c>
      <c r="CB725" s="31">
        <f ca="1">CA726</f>
        <v>31846.66429455885</v>
      </c>
      <c r="CC725" s="825">
        <f ca="1">BX726</f>
        <v>18106.066601978193</v>
      </c>
      <c r="CD725" s="825">
        <f ca="1">CC726</f>
        <v>36619.444825950348</v>
      </c>
      <c r="CE725" s="825">
        <f ca="1">CD726</f>
        <v>52474.852293772514</v>
      </c>
      <c r="CF725" s="825">
        <f ca="1">CE726</f>
        <v>67045.389631844679</v>
      </c>
      <c r="CG725" s="26"/>
    </row>
    <row r="726" spans="1:85" s="429" customFormat="1" x14ac:dyDescent="0.3">
      <c r="A726" s="48" t="str">
        <f>A674</f>
        <v>Ending Cash Balance</v>
      </c>
      <c r="B726" s="58"/>
      <c r="C726" s="825">
        <f t="shared" ref="C726:AH726" si="1654">C725+C723</f>
        <v>8716</v>
      </c>
      <c r="D726" s="825">
        <f t="shared" si="1654"/>
        <v>14060</v>
      </c>
      <c r="E726" s="825">
        <f t="shared" si="1654"/>
        <v>15864</v>
      </c>
      <c r="F726" s="825">
        <f t="shared" si="1654"/>
        <v>20939</v>
      </c>
      <c r="G726" s="31">
        <f t="shared" si="1654"/>
        <v>17374</v>
      </c>
      <c r="H726" s="31">
        <f t="shared" si="1654"/>
        <v>20630</v>
      </c>
      <c r="I726" s="31">
        <f t="shared" si="1654"/>
        <v>17014</v>
      </c>
      <c r="J726" s="31">
        <f t="shared" si="1654"/>
        <v>16245</v>
      </c>
      <c r="K726" s="825">
        <f t="shared" si="1654"/>
        <v>16245</v>
      </c>
      <c r="L726" s="31">
        <f t="shared" si="1654"/>
        <v>15612</v>
      </c>
      <c r="M726" s="31">
        <f t="shared" si="1654"/>
        <v>13959</v>
      </c>
      <c r="N726" s="31">
        <f t="shared" si="1654"/>
        <v>14215</v>
      </c>
      <c r="O726" s="31">
        <f t="shared" si="1654"/>
        <v>12785</v>
      </c>
      <c r="P726" s="825">
        <f t="shared" si="1654"/>
        <v>12785</v>
      </c>
      <c r="Q726" s="31">
        <f t="shared" si="1654"/>
        <v>12675</v>
      </c>
      <c r="R726" s="31">
        <f t="shared" si="1654"/>
        <v>12156</v>
      </c>
      <c r="S726" s="31">
        <f t="shared" si="1654"/>
        <v>12933</v>
      </c>
      <c r="T726" s="31">
        <f t="shared" si="1654"/>
        <v>11022</v>
      </c>
      <c r="U726" s="825">
        <f t="shared" si="1654"/>
        <v>11022</v>
      </c>
      <c r="V726" s="31">
        <f t="shared" si="1654"/>
        <v>8562</v>
      </c>
      <c r="W726" s="31">
        <f t="shared" si="1654"/>
        <v>8764</v>
      </c>
      <c r="X726" s="31">
        <f t="shared" si="1654"/>
        <v>7351</v>
      </c>
      <c r="Y726" s="26">
        <f t="shared" si="1654"/>
        <v>6988</v>
      </c>
      <c r="Z726" s="826">
        <f t="shared" si="1654"/>
        <v>6988</v>
      </c>
      <c r="AA726" s="26">
        <f t="shared" si="1654"/>
        <v>6983</v>
      </c>
      <c r="AB726" s="31">
        <f t="shared" si="1654"/>
        <v>4762</v>
      </c>
      <c r="AC726" s="31">
        <f t="shared" si="1654"/>
        <v>6641</v>
      </c>
      <c r="AD726" s="26">
        <f t="shared" si="1654"/>
        <v>4813</v>
      </c>
      <c r="AE726" s="826">
        <f t="shared" si="1654"/>
        <v>4813</v>
      </c>
      <c r="AF726" s="26">
        <f t="shared" si="1654"/>
        <v>7517</v>
      </c>
      <c r="AG726" s="31">
        <f t="shared" si="1654"/>
        <v>8698</v>
      </c>
      <c r="AH726" s="31">
        <f t="shared" si="1654"/>
        <v>10741</v>
      </c>
      <c r="AI726" s="31">
        <f t="shared" ref="AI726:AQ726" si="1655">AI725+AI723</f>
        <v>10481</v>
      </c>
      <c r="AJ726" s="826">
        <f t="shared" si="1655"/>
        <v>10481</v>
      </c>
      <c r="AK726" s="26">
        <f t="shared" si="1655"/>
        <v>9695</v>
      </c>
      <c r="AL726" s="31">
        <f t="shared" si="1655"/>
        <v>9691</v>
      </c>
      <c r="AM726" s="31">
        <f t="shared" si="1655"/>
        <v>12820</v>
      </c>
      <c r="AN726" s="31">
        <f t="shared" si="1655"/>
        <v>6911</v>
      </c>
      <c r="AO726" s="826">
        <f t="shared" si="1655"/>
        <v>6911</v>
      </c>
      <c r="AP726" s="26">
        <f t="shared" si="1655"/>
        <v>9690</v>
      </c>
      <c r="AQ726" s="31">
        <f t="shared" si="1655"/>
        <v>7779</v>
      </c>
      <c r="AR726" s="31">
        <f>AR725+AR723</f>
        <v>7791</v>
      </c>
      <c r="AS726" s="31">
        <f t="shared" ref="AS726:AV726" si="1656">AS725+AS723</f>
        <v>6737</v>
      </c>
      <c r="AT726" s="826">
        <f t="shared" si="1656"/>
        <v>6737</v>
      </c>
      <c r="AU726" s="26">
        <f t="shared" si="1656"/>
        <v>8264</v>
      </c>
      <c r="AV726" s="31">
        <f t="shared" si="1656"/>
        <v>8688</v>
      </c>
      <c r="AW726" s="31">
        <f>AW725+AW723</f>
        <v>7025</v>
      </c>
      <c r="AX726" s="31">
        <f t="shared" ref="AX726:BA726" si="1657">AX725+AX723</f>
        <v>6795</v>
      </c>
      <c r="AY726" s="825">
        <f t="shared" si="1657"/>
        <v>6795</v>
      </c>
      <c r="AZ726" s="26">
        <f t="shared" si="1657"/>
        <v>12806</v>
      </c>
      <c r="BA726" s="31">
        <f t="shared" si="1657"/>
        <v>13356</v>
      </c>
      <c r="BB726" s="31">
        <f t="shared" ref="BB726:BF726" si="1658">BB725+BB723</f>
        <v>16697</v>
      </c>
      <c r="BC726" s="31">
        <f t="shared" si="1658"/>
        <v>19121</v>
      </c>
      <c r="BD726" s="825">
        <f t="shared" si="1658"/>
        <v>19121</v>
      </c>
      <c r="BE726" s="31">
        <f t="shared" si="1658"/>
        <v>16899</v>
      </c>
      <c r="BF726" s="26">
        <f t="shared" si="1658"/>
        <v>10400</v>
      </c>
      <c r="BG726" s="31">
        <f t="shared" ref="BG726:BL726" si="1659">BG725+BG723</f>
        <v>7006</v>
      </c>
      <c r="BH726" s="26">
        <f t="shared" si="1659"/>
        <v>9275</v>
      </c>
      <c r="BI726" s="826">
        <f t="shared" si="1659"/>
        <v>9275</v>
      </c>
      <c r="BJ726" s="26">
        <f t="shared" si="1659"/>
        <v>7212</v>
      </c>
      <c r="BK726" s="26">
        <f t="shared" si="1659"/>
        <v>4965</v>
      </c>
      <c r="BL726" s="31">
        <f t="shared" si="1659"/>
        <v>5764</v>
      </c>
      <c r="BM726" s="26">
        <f t="shared" ref="BM726:BQ726" si="1660">BM725+BM723</f>
        <v>8262</v>
      </c>
      <c r="BN726" s="826">
        <f t="shared" si="1660"/>
        <v>8262</v>
      </c>
      <c r="BO726" s="26">
        <f t="shared" si="1660"/>
        <v>6166</v>
      </c>
      <c r="BP726" s="26">
        <f t="shared" si="1660"/>
        <v>5375</v>
      </c>
      <c r="BQ726" s="31">
        <f t="shared" si="1660"/>
        <v>8783</v>
      </c>
      <c r="BR726" s="26">
        <f t="shared" ref="BR726" si="1661">BR725+BR723</f>
        <v>7285</v>
      </c>
      <c r="BS726" s="826">
        <f>BS725+BS723</f>
        <v>7285</v>
      </c>
      <c r="BT726" s="379">
        <f t="shared" ref="BT726" si="1662">BT725+BT723</f>
        <v>6316</v>
      </c>
      <c r="BU726" s="31">
        <f ca="1">BU725+BU723</f>
        <v>11171.281075008896</v>
      </c>
      <c r="BV726" s="31">
        <f ca="1">BV725+BV723</f>
        <v>14791.803073493544</v>
      </c>
      <c r="BW726" s="31">
        <f ca="1">BW725+BW723</f>
        <v>18106.066601978193</v>
      </c>
      <c r="BX726" s="825">
        <f t="shared" ref="BX726" ca="1" si="1663">BX725+BX723</f>
        <v>18106.066601978193</v>
      </c>
      <c r="BY726" s="31">
        <f t="shared" ref="BY726:CF726" ca="1" si="1664">BY725+BY723</f>
        <v>22284.823448873802</v>
      </c>
      <c r="BZ726" s="31">
        <f t="shared" ca="1" si="1664"/>
        <v>26980.828858367357</v>
      </c>
      <c r="CA726" s="31">
        <f t="shared" ca="1" si="1664"/>
        <v>31846.66429455885</v>
      </c>
      <c r="CB726" s="31">
        <f t="shared" ca="1" si="1664"/>
        <v>36619.444825950348</v>
      </c>
      <c r="CC726" s="825">
        <f t="shared" ca="1" si="1664"/>
        <v>36619.444825950348</v>
      </c>
      <c r="CD726" s="825">
        <f t="shared" ca="1" si="1664"/>
        <v>52474.852293772514</v>
      </c>
      <c r="CE726" s="825">
        <f t="shared" ca="1" si="1664"/>
        <v>67045.389631844679</v>
      </c>
      <c r="CF726" s="825">
        <f t="shared" ca="1" si="1664"/>
        <v>75748.978757166828</v>
      </c>
      <c r="CG726" s="26"/>
    </row>
    <row r="727" spans="1:85" s="429" customFormat="1" x14ac:dyDescent="0.3">
      <c r="A727" s="48"/>
      <c r="B727" s="58"/>
      <c r="C727" s="825"/>
      <c r="D727" s="825"/>
      <c r="E727" s="825"/>
      <c r="F727" s="825"/>
      <c r="G727" s="31"/>
      <c r="H727" s="31"/>
      <c r="I727" s="31"/>
      <c r="J727" s="31"/>
      <c r="K727" s="825"/>
      <c r="L727" s="31"/>
      <c r="M727" s="31"/>
      <c r="N727" s="31"/>
      <c r="O727" s="31"/>
      <c r="P727" s="825"/>
      <c r="Q727" s="31"/>
      <c r="R727" s="31"/>
      <c r="S727" s="31"/>
      <c r="T727" s="31"/>
      <c r="U727" s="825"/>
      <c r="V727" s="31"/>
      <c r="W727" s="31"/>
      <c r="X727" s="31"/>
      <c r="Y727" s="31"/>
      <c r="Z727" s="825"/>
      <c r="AA727" s="31"/>
      <c r="AB727" s="31"/>
      <c r="AC727" s="31"/>
      <c r="AD727" s="31"/>
      <c r="AE727" s="825"/>
      <c r="AF727" s="31"/>
      <c r="AG727" s="31"/>
      <c r="AH727" s="31"/>
      <c r="AI727" s="31"/>
      <c r="AJ727" s="825"/>
      <c r="AK727" s="31"/>
      <c r="AL727" s="31"/>
      <c r="AM727" s="31"/>
      <c r="AN727" s="31"/>
      <c r="AO727" s="825"/>
      <c r="AP727" s="31"/>
      <c r="AQ727" s="31"/>
      <c r="AR727" s="31"/>
      <c r="AS727" s="31"/>
      <c r="AT727" s="825"/>
      <c r="AU727" s="31"/>
      <c r="AV727" s="31"/>
      <c r="AW727" s="31"/>
      <c r="AX727" s="31"/>
      <c r="AY727" s="825"/>
      <c r="AZ727" s="31"/>
      <c r="BA727" s="31"/>
      <c r="BB727" s="31"/>
      <c r="BC727" s="31"/>
      <c r="BD727" s="825"/>
      <c r="BE727" s="31"/>
      <c r="BF727" s="31"/>
      <c r="BG727" s="31"/>
      <c r="BH727" s="31"/>
      <c r="BI727" s="825"/>
      <c r="BJ727" s="31"/>
      <c r="BK727" s="31"/>
      <c r="BL727" s="31"/>
      <c r="BM727" s="31"/>
      <c r="BN727" s="825"/>
      <c r="BO727" s="31"/>
      <c r="BP727" s="31"/>
      <c r="BQ727" s="31"/>
      <c r="BR727" s="31"/>
      <c r="BS727" s="825"/>
      <c r="BT727" s="379"/>
      <c r="BU727" s="31"/>
      <c r="BV727" s="31"/>
      <c r="BW727" s="31"/>
      <c r="BX727" s="825"/>
      <c r="BY727" s="31"/>
      <c r="BZ727" s="31"/>
      <c r="CA727" s="31"/>
      <c r="CB727" s="31"/>
      <c r="CC727" s="825"/>
      <c r="CD727" s="825"/>
      <c r="CE727" s="825"/>
      <c r="CF727" s="825"/>
      <c r="CG727" s="26"/>
    </row>
    <row r="728" spans="1:85" s="428" customFormat="1" x14ac:dyDescent="0.3">
      <c r="A728" s="106" t="str">
        <f>A676</f>
        <v>Cash paid for interest, net of capitalized interest</v>
      </c>
      <c r="B728" s="109"/>
      <c r="C728" s="821">
        <f t="shared" ref="C728:G729" si="1665">C676</f>
        <v>0</v>
      </c>
      <c r="D728" s="821">
        <f t="shared" si="1665"/>
        <v>34</v>
      </c>
      <c r="E728" s="821">
        <f t="shared" si="1665"/>
        <v>0</v>
      </c>
      <c r="F728" s="821">
        <f t="shared" si="1665"/>
        <v>0</v>
      </c>
      <c r="G728" s="37">
        <f t="shared" si="1665"/>
        <v>0</v>
      </c>
      <c r="H728" s="37">
        <f t="shared" ref="H728:J729" si="1666">H676-G676</f>
        <v>0</v>
      </c>
      <c r="I728" s="37">
        <f t="shared" si="1666"/>
        <v>0</v>
      </c>
      <c r="J728" s="37">
        <f t="shared" si="1666"/>
        <v>0</v>
      </c>
      <c r="K728" s="821"/>
      <c r="L728" s="37"/>
      <c r="M728" s="37"/>
      <c r="N728" s="37"/>
      <c r="O728" s="37"/>
      <c r="P728" s="821">
        <f>P676</f>
        <v>0</v>
      </c>
      <c r="Q728" s="37"/>
      <c r="R728" s="37"/>
      <c r="S728" s="37">
        <f>S676-R676</f>
        <v>0</v>
      </c>
      <c r="T728" s="37">
        <f>T676-S676</f>
        <v>0</v>
      </c>
      <c r="U728" s="821">
        <f>U676</f>
        <v>0</v>
      </c>
      <c r="V728" s="37">
        <f>V676</f>
        <v>0</v>
      </c>
      <c r="W728" s="37">
        <f t="shared" ref="W728:Y729" si="1667">W676-V676</f>
        <v>50</v>
      </c>
      <c r="X728" s="37">
        <f t="shared" si="1667"/>
        <v>-22</v>
      </c>
      <c r="Y728" s="22">
        <f t="shared" si="1667"/>
        <v>130</v>
      </c>
      <c r="Z728" s="852">
        <f>Z676</f>
        <v>158</v>
      </c>
      <c r="AA728" s="22">
        <f>AA676</f>
        <v>0</v>
      </c>
      <c r="AB728" s="37">
        <f t="shared" ref="AB728:AD729" si="1668">AB676-AA676</f>
        <v>64</v>
      </c>
      <c r="AC728" s="37">
        <f t="shared" si="1668"/>
        <v>-34</v>
      </c>
      <c r="AD728" s="22">
        <f t="shared" si="1668"/>
        <v>235</v>
      </c>
      <c r="AE728" s="852">
        <f>AE676</f>
        <v>265</v>
      </c>
      <c r="AF728" s="22">
        <f>AF676</f>
        <v>105</v>
      </c>
      <c r="AG728" s="37">
        <f t="shared" ref="AG728:AI729" si="1669">AG676-AF676</f>
        <v>268</v>
      </c>
      <c r="AH728" s="37">
        <f t="shared" si="1669"/>
        <v>129</v>
      </c>
      <c r="AI728" s="37">
        <f t="shared" si="1669"/>
        <v>234</v>
      </c>
      <c r="AJ728" s="852">
        <f>AJ676</f>
        <v>736</v>
      </c>
      <c r="AK728" s="22">
        <f>AK676</f>
        <v>186</v>
      </c>
      <c r="AL728" s="37">
        <f t="shared" ref="AL728:AN729" si="1670">AL676-AK676</f>
        <v>257</v>
      </c>
      <c r="AM728" s="37">
        <f t="shared" si="1670"/>
        <v>136</v>
      </c>
      <c r="AN728" s="37">
        <f t="shared" si="1670"/>
        <v>231</v>
      </c>
      <c r="AO728" s="852">
        <f>AO676</f>
        <v>810</v>
      </c>
      <c r="AP728" s="22">
        <f>AP676</f>
        <v>106</v>
      </c>
      <c r="AQ728" s="37">
        <f t="shared" ref="AQ728:AS729" si="1671">AQ676-AP676</f>
        <v>222</v>
      </c>
      <c r="AR728" s="37">
        <f t="shared" si="1671"/>
        <v>56</v>
      </c>
      <c r="AS728" s="37">
        <f t="shared" si="1671"/>
        <v>336</v>
      </c>
      <c r="AT728" s="852">
        <f>AT676</f>
        <v>720</v>
      </c>
      <c r="AU728" s="22">
        <f>AU676</f>
        <v>70</v>
      </c>
      <c r="AV728" s="37">
        <f t="shared" ref="AV728:AX729" si="1672">AV676-AU676</f>
        <v>285</v>
      </c>
      <c r="AW728" s="37">
        <f t="shared" si="1672"/>
        <v>72</v>
      </c>
      <c r="AX728" s="37">
        <f t="shared" si="1672"/>
        <v>272</v>
      </c>
      <c r="AY728" s="821">
        <f>AY676</f>
        <v>699</v>
      </c>
      <c r="AZ728" s="22">
        <f>AZ676</f>
        <v>47</v>
      </c>
      <c r="BA728" s="37">
        <f t="shared" ref="BA728:BC729" si="1673">BA676-AZ676</f>
        <v>215</v>
      </c>
      <c r="BB728" s="37">
        <f t="shared" si="1673"/>
        <v>58</v>
      </c>
      <c r="BC728" s="37">
        <f t="shared" si="1673"/>
        <v>205</v>
      </c>
      <c r="BD728" s="821">
        <f>BD676</f>
        <v>525</v>
      </c>
      <c r="BE728" s="37">
        <f>BE676</f>
        <v>53</v>
      </c>
      <c r="BF728" s="22">
        <f t="shared" ref="BF728:BH729" si="1674">BF676-BE676</f>
        <v>179</v>
      </c>
      <c r="BG728" s="37">
        <f t="shared" si="1674"/>
        <v>60</v>
      </c>
      <c r="BH728" s="22">
        <f t="shared" si="1674"/>
        <v>173</v>
      </c>
      <c r="BI728" s="852">
        <f>BI676</f>
        <v>465</v>
      </c>
      <c r="BJ728" s="22">
        <f>BJ676</f>
        <v>56</v>
      </c>
      <c r="BK728" s="37">
        <f t="shared" ref="BK728:BM729" si="1675">BK676-BJ676</f>
        <v>182</v>
      </c>
      <c r="BL728" s="37">
        <f t="shared" si="1675"/>
        <v>88</v>
      </c>
      <c r="BM728" s="22">
        <f t="shared" si="1675"/>
        <v>261</v>
      </c>
      <c r="BN728" s="852">
        <f>BN676</f>
        <v>587</v>
      </c>
      <c r="BO728" s="37">
        <f>BO676</f>
        <v>124</v>
      </c>
      <c r="BP728" s="37">
        <f t="shared" ref="BP728:BR729" si="1676">BP676-BO676</f>
        <v>286</v>
      </c>
      <c r="BQ728" s="37">
        <f t="shared" si="1676"/>
        <v>163</v>
      </c>
      <c r="BR728" s="22">
        <f t="shared" si="1676"/>
        <v>369</v>
      </c>
      <c r="BS728" s="852">
        <f>BS676</f>
        <v>942</v>
      </c>
      <c r="BT728" s="480">
        <f>BT676</f>
        <v>292</v>
      </c>
      <c r="BU728" s="37"/>
      <c r="BV728" s="37"/>
      <c r="BW728" s="37"/>
      <c r="BX728" s="821"/>
      <c r="BY728" s="37"/>
      <c r="BZ728" s="37"/>
      <c r="CA728" s="37"/>
      <c r="CB728" s="37"/>
      <c r="CC728" s="821"/>
      <c r="CD728" s="821"/>
      <c r="CE728" s="821"/>
      <c r="CF728" s="821"/>
      <c r="CG728" s="22"/>
    </row>
    <row r="729" spans="1:85" s="428" customFormat="1" x14ac:dyDescent="0.3">
      <c r="A729" s="106" t="str">
        <f>A677</f>
        <v>Cash paid for income taxes</v>
      </c>
      <c r="B729" s="109"/>
      <c r="C729" s="821">
        <f t="shared" si="1665"/>
        <v>7537</v>
      </c>
      <c r="D729" s="821">
        <f t="shared" si="1665"/>
        <v>11749</v>
      </c>
      <c r="E729" s="821">
        <f t="shared" si="1665"/>
        <v>17374</v>
      </c>
      <c r="F729" s="821">
        <f t="shared" si="1665"/>
        <v>17334</v>
      </c>
      <c r="G729" s="37">
        <f t="shared" si="1665"/>
        <v>3434</v>
      </c>
      <c r="H729" s="37">
        <f t="shared" si="1666"/>
        <v>4131</v>
      </c>
      <c r="I729" s="37">
        <f t="shared" si="1666"/>
        <v>2644</v>
      </c>
      <c r="J729" s="37">
        <f t="shared" si="1666"/>
        <v>2689</v>
      </c>
      <c r="K729" s="821">
        <f>K677</f>
        <v>12898</v>
      </c>
      <c r="L729" s="37">
        <f>L677</f>
        <v>2416</v>
      </c>
      <c r="M729" s="37">
        <f>M677-L677</f>
        <v>3610</v>
      </c>
      <c r="N729" s="37">
        <f>N677-M677</f>
        <v>2599</v>
      </c>
      <c r="O729" s="37">
        <f>O677-N677</f>
        <v>1937</v>
      </c>
      <c r="P729" s="821">
        <f>P677</f>
        <v>10562</v>
      </c>
      <c r="Q729" s="37">
        <f>Q677</f>
        <v>953</v>
      </c>
      <c r="R729" s="37">
        <f>R677-Q677</f>
        <v>2451</v>
      </c>
      <c r="S729" s="37">
        <f>S677-R677</f>
        <v>677</v>
      </c>
      <c r="T729" s="37">
        <f>T677-S677</f>
        <v>564</v>
      </c>
      <c r="U729" s="821">
        <f>U677</f>
        <v>4645</v>
      </c>
      <c r="V729" s="37">
        <f>V677</f>
        <v>453</v>
      </c>
      <c r="W729" s="37">
        <f t="shared" si="1667"/>
        <v>844</v>
      </c>
      <c r="X729" s="37">
        <f t="shared" si="1667"/>
        <v>195</v>
      </c>
      <c r="Y729" s="22">
        <f t="shared" si="1667"/>
        <v>443</v>
      </c>
      <c r="Z729" s="852">
        <f>Z677</f>
        <v>1935</v>
      </c>
      <c r="AA729" s="22">
        <f>AA677</f>
        <v>494</v>
      </c>
      <c r="AB729" s="37">
        <f t="shared" si="1668"/>
        <v>529</v>
      </c>
      <c r="AC729" s="37">
        <f t="shared" si="1668"/>
        <v>1180</v>
      </c>
      <c r="AD729" s="22">
        <f t="shared" si="1668"/>
        <v>929</v>
      </c>
      <c r="AE729" s="852">
        <f>AE677</f>
        <v>3132</v>
      </c>
      <c r="AF729" s="22">
        <f>AF677</f>
        <v>843</v>
      </c>
      <c r="AG729" s="37">
        <f t="shared" si="1669"/>
        <v>1492</v>
      </c>
      <c r="AH729" s="37">
        <f t="shared" si="1669"/>
        <v>1191</v>
      </c>
      <c r="AI729" s="37">
        <f t="shared" si="1669"/>
        <v>1222</v>
      </c>
      <c r="AJ729" s="852">
        <f>AJ677</f>
        <v>4748</v>
      </c>
      <c r="AK729" s="22">
        <f>AK677</f>
        <v>757</v>
      </c>
      <c r="AL729" s="37">
        <f t="shared" si="1670"/>
        <v>1833</v>
      </c>
      <c r="AM729" s="37">
        <f t="shared" si="1670"/>
        <v>926</v>
      </c>
      <c r="AN729" s="37">
        <f t="shared" si="1670"/>
        <v>1301</v>
      </c>
      <c r="AO729" s="852">
        <f>AO677</f>
        <v>4817</v>
      </c>
      <c r="AP729" s="22">
        <f>AP677</f>
        <v>981</v>
      </c>
      <c r="AQ729" s="37">
        <f t="shared" si="1671"/>
        <v>1161</v>
      </c>
      <c r="AR729" s="37">
        <f t="shared" si="1671"/>
        <v>385</v>
      </c>
      <c r="AS729" s="37">
        <f t="shared" si="1671"/>
        <v>460</v>
      </c>
      <c r="AT729" s="852">
        <f>AT677</f>
        <v>2987</v>
      </c>
      <c r="AU729" s="22">
        <f>AU677</f>
        <v>629</v>
      </c>
      <c r="AV729" s="37">
        <f t="shared" si="1672"/>
        <v>1310</v>
      </c>
      <c r="AW729" s="37">
        <f t="shared" si="1672"/>
        <v>1004</v>
      </c>
      <c r="AX729" s="37">
        <f t="shared" si="1672"/>
        <v>1412</v>
      </c>
      <c r="AY729" s="821">
        <f>AY677</f>
        <v>4355</v>
      </c>
      <c r="AZ729" s="22">
        <f>AZ677</f>
        <v>1071</v>
      </c>
      <c r="BA729" s="37">
        <f t="shared" si="1673"/>
        <v>3343</v>
      </c>
      <c r="BB729" s="37">
        <f t="shared" si="1673"/>
        <v>2336</v>
      </c>
      <c r="BC729" s="37">
        <f t="shared" si="1673"/>
        <v>2398</v>
      </c>
      <c r="BD729" s="821">
        <f>BD677</f>
        <v>9148</v>
      </c>
      <c r="BE729" s="37">
        <f>BE677</f>
        <v>1830</v>
      </c>
      <c r="BF729" s="22">
        <f t="shared" si="1674"/>
        <v>4786</v>
      </c>
      <c r="BG729" s="37">
        <f t="shared" si="1674"/>
        <v>1573</v>
      </c>
      <c r="BH729" s="22">
        <f t="shared" si="1674"/>
        <v>2227</v>
      </c>
      <c r="BI729" s="852">
        <f>BI677</f>
        <v>10416</v>
      </c>
      <c r="BJ729" s="22">
        <f>BJ677</f>
        <v>1428</v>
      </c>
      <c r="BK729" s="37">
        <f t="shared" si="1675"/>
        <v>3310</v>
      </c>
      <c r="BL729" s="37">
        <f t="shared" si="1675"/>
        <v>1848</v>
      </c>
      <c r="BM729" s="22">
        <f t="shared" si="1675"/>
        <v>1872</v>
      </c>
      <c r="BN729" s="852">
        <f>BN677</f>
        <v>8458</v>
      </c>
      <c r="BO729" s="37">
        <f>BO677</f>
        <v>2552</v>
      </c>
      <c r="BP729" s="37">
        <f t="shared" si="1676"/>
        <v>1584</v>
      </c>
      <c r="BQ729" s="37">
        <f t="shared" si="1676"/>
        <v>1388</v>
      </c>
      <c r="BR729" s="22">
        <f t="shared" si="1676"/>
        <v>1780</v>
      </c>
      <c r="BS729" s="852">
        <f>BS677</f>
        <v>7304</v>
      </c>
      <c r="BT729" s="480">
        <f>BT677</f>
        <v>1512</v>
      </c>
      <c r="BU729" s="37"/>
      <c r="BV729" s="37"/>
      <c r="BW729" s="37"/>
      <c r="BX729" s="821"/>
      <c r="BY729" s="37"/>
      <c r="BZ729" s="37"/>
      <c r="CA729" s="37"/>
      <c r="CB729" s="37"/>
      <c r="CC729" s="821"/>
      <c r="CD729" s="821"/>
      <c r="CE729" s="821"/>
      <c r="CF729" s="821"/>
      <c r="CG729" s="22"/>
    </row>
    <row r="730" spans="1:85" s="427" customFormat="1" x14ac:dyDescent="0.3">
      <c r="A730" s="362"/>
      <c r="B730" s="361"/>
      <c r="C730" s="872"/>
      <c r="D730" s="872"/>
      <c r="E730" s="872"/>
      <c r="F730" s="872"/>
      <c r="G730" s="742"/>
      <c r="H730" s="742"/>
      <c r="I730" s="742"/>
      <c r="J730" s="742"/>
      <c r="K730" s="872"/>
      <c r="L730" s="742"/>
      <c r="M730" s="742"/>
      <c r="N730" s="742"/>
      <c r="O730" s="742"/>
      <c r="P730" s="872"/>
      <c r="Q730" s="742"/>
      <c r="R730" s="742"/>
      <c r="S730" s="742"/>
      <c r="T730" s="742"/>
      <c r="U730" s="872"/>
      <c r="V730" s="742"/>
      <c r="W730" s="742"/>
      <c r="X730" s="742"/>
      <c r="Y730" s="742"/>
      <c r="Z730" s="872"/>
      <c r="AA730" s="742"/>
      <c r="AB730" s="742"/>
      <c r="AC730" s="742"/>
      <c r="AD730" s="742"/>
      <c r="AE730" s="872"/>
      <c r="AF730" s="742"/>
      <c r="AG730" s="742"/>
      <c r="AH730" s="742"/>
      <c r="AI730" s="742"/>
      <c r="AJ730" s="872"/>
      <c r="AK730" s="742"/>
      <c r="AL730" s="742"/>
      <c r="AM730" s="742"/>
      <c r="AN730" s="742"/>
      <c r="AO730" s="872"/>
      <c r="AP730" s="742"/>
      <c r="AQ730" s="742"/>
      <c r="AR730" s="742"/>
      <c r="AS730" s="742"/>
      <c r="AT730" s="872"/>
      <c r="AU730" s="742"/>
      <c r="AV730" s="742"/>
      <c r="AW730" s="742"/>
      <c r="AX730" s="742"/>
      <c r="AY730" s="872"/>
      <c r="AZ730" s="742"/>
      <c r="BA730" s="742"/>
      <c r="BB730" s="742"/>
      <c r="BC730" s="742"/>
      <c r="BD730" s="872"/>
      <c r="BE730" s="742"/>
      <c r="BF730" s="742"/>
      <c r="BG730" s="742"/>
      <c r="BH730" s="742"/>
      <c r="BI730" s="872"/>
      <c r="BJ730" s="742"/>
      <c r="BK730" s="742"/>
      <c r="BL730" s="742"/>
      <c r="BM730" s="742"/>
      <c r="BN730" s="872"/>
      <c r="BO730" s="742"/>
      <c r="BP730" s="742"/>
      <c r="BQ730" s="742"/>
      <c r="BR730" s="742"/>
      <c r="BS730" s="872"/>
      <c r="BT730" s="743"/>
      <c r="BU730" s="742"/>
      <c r="BV730" s="742"/>
      <c r="BW730" s="742"/>
      <c r="BX730" s="872"/>
      <c r="BY730" s="742"/>
      <c r="BZ730" s="742"/>
      <c r="CA730" s="742"/>
      <c r="CB730" s="742"/>
      <c r="CC730" s="872"/>
      <c r="CD730" s="872"/>
      <c r="CE730" s="872"/>
      <c r="CF730" s="872"/>
      <c r="CG730" s="321"/>
    </row>
    <row r="731" spans="1:85" s="428" customFormat="1" x14ac:dyDescent="0.3">
      <c r="A731" s="216" t="s">
        <v>287</v>
      </c>
      <c r="B731" s="216"/>
      <c r="C731" s="217">
        <f t="shared" ref="C731:AE731" si="1677">ROUND(C726-C735,6)</f>
        <v>0</v>
      </c>
      <c r="D731" s="217">
        <f t="shared" si="1677"/>
        <v>0</v>
      </c>
      <c r="E731" s="217">
        <f t="shared" si="1677"/>
        <v>0</v>
      </c>
      <c r="F731" s="217">
        <f t="shared" si="1677"/>
        <v>0</v>
      </c>
      <c r="G731" s="217">
        <f t="shared" si="1677"/>
        <v>0</v>
      </c>
      <c r="H731" s="217">
        <f t="shared" si="1677"/>
        <v>0</v>
      </c>
      <c r="I731" s="217">
        <f t="shared" si="1677"/>
        <v>0</v>
      </c>
      <c r="J731" s="217">
        <f t="shared" si="1677"/>
        <v>0</v>
      </c>
      <c r="K731" s="217">
        <f t="shared" si="1677"/>
        <v>0</v>
      </c>
      <c r="L731" s="217">
        <f t="shared" si="1677"/>
        <v>0</v>
      </c>
      <c r="M731" s="217">
        <f t="shared" si="1677"/>
        <v>0</v>
      </c>
      <c r="N731" s="217">
        <f t="shared" si="1677"/>
        <v>0</v>
      </c>
      <c r="O731" s="217">
        <f t="shared" si="1677"/>
        <v>0</v>
      </c>
      <c r="P731" s="217">
        <f t="shared" si="1677"/>
        <v>0</v>
      </c>
      <c r="Q731" s="217">
        <f t="shared" si="1677"/>
        <v>0</v>
      </c>
      <c r="R731" s="217">
        <f t="shared" si="1677"/>
        <v>0</v>
      </c>
      <c r="S731" s="217">
        <f t="shared" si="1677"/>
        <v>0</v>
      </c>
      <c r="T731" s="217">
        <f t="shared" si="1677"/>
        <v>0</v>
      </c>
      <c r="U731" s="217">
        <f t="shared" si="1677"/>
        <v>0</v>
      </c>
      <c r="V731" s="217">
        <f t="shared" si="1677"/>
        <v>0</v>
      </c>
      <c r="W731" s="217">
        <f t="shared" si="1677"/>
        <v>0</v>
      </c>
      <c r="X731" s="217">
        <f t="shared" si="1677"/>
        <v>0</v>
      </c>
      <c r="Y731" s="217">
        <f t="shared" si="1677"/>
        <v>0</v>
      </c>
      <c r="Z731" s="217">
        <f t="shared" si="1677"/>
        <v>0</v>
      </c>
      <c r="AA731" s="217">
        <f t="shared" si="1677"/>
        <v>0</v>
      </c>
      <c r="AB731" s="217">
        <f t="shared" si="1677"/>
        <v>0</v>
      </c>
      <c r="AC731" s="217">
        <f t="shared" si="1677"/>
        <v>0</v>
      </c>
      <c r="AD731" s="217">
        <f t="shared" si="1677"/>
        <v>0</v>
      </c>
      <c r="AE731" s="217">
        <f t="shared" si="1677"/>
        <v>0</v>
      </c>
      <c r="AF731" s="217">
        <f t="shared" ref="AF731:AY731" si="1678">ROUND(AF726-AF735-AF743-AF754,6)</f>
        <v>0</v>
      </c>
      <c r="AG731" s="217">
        <f t="shared" si="1678"/>
        <v>0</v>
      </c>
      <c r="AH731" s="217">
        <f t="shared" si="1678"/>
        <v>0</v>
      </c>
      <c r="AI731" s="217">
        <f t="shared" si="1678"/>
        <v>0</v>
      </c>
      <c r="AJ731" s="217">
        <f t="shared" si="1678"/>
        <v>0</v>
      </c>
      <c r="AK731" s="217">
        <f t="shared" si="1678"/>
        <v>0</v>
      </c>
      <c r="AL731" s="217">
        <f t="shared" si="1678"/>
        <v>0</v>
      </c>
      <c r="AM731" s="217">
        <f t="shared" si="1678"/>
        <v>0</v>
      </c>
      <c r="AN731" s="217">
        <f t="shared" si="1678"/>
        <v>0</v>
      </c>
      <c r="AO731" s="217">
        <f t="shared" si="1678"/>
        <v>0</v>
      </c>
      <c r="AP731" s="217">
        <f t="shared" si="1678"/>
        <v>0</v>
      </c>
      <c r="AQ731" s="217">
        <f t="shared" si="1678"/>
        <v>0</v>
      </c>
      <c r="AR731" s="217">
        <f>ROUND(AR726-AR735-AR743-AR754,6)</f>
        <v>0</v>
      </c>
      <c r="AS731" s="217">
        <f t="shared" ref="AS731:AU731" si="1679">ROUND(AS726-AS735-AS743-AS754,6)</f>
        <v>0</v>
      </c>
      <c r="AT731" s="217">
        <f t="shared" si="1679"/>
        <v>0</v>
      </c>
      <c r="AU731" s="217">
        <f t="shared" si="1679"/>
        <v>0</v>
      </c>
      <c r="AV731" s="217">
        <f>ROUND(AV726-AV735-AV743-AV754,6)</f>
        <v>0</v>
      </c>
      <c r="AW731" s="217">
        <f>ROUND(AW726-AW735-AW743-AW754,6)</f>
        <v>0</v>
      </c>
      <c r="AX731" s="217">
        <f t="shared" si="1678"/>
        <v>0</v>
      </c>
      <c r="AY731" s="217">
        <f t="shared" si="1678"/>
        <v>0</v>
      </c>
      <c r="AZ731" s="217">
        <f t="shared" ref="AZ731:BG731" si="1680">ROUND(AZ726-AZ735-AZ743-AZ754,6)</f>
        <v>0</v>
      </c>
      <c r="BA731" s="217">
        <f t="shared" si="1680"/>
        <v>0</v>
      </c>
      <c r="BB731" s="217">
        <f t="shared" si="1680"/>
        <v>0</v>
      </c>
      <c r="BC731" s="217">
        <f t="shared" si="1680"/>
        <v>0</v>
      </c>
      <c r="BD731" s="217">
        <f t="shared" si="1680"/>
        <v>0</v>
      </c>
      <c r="BE731" s="217">
        <f t="shared" si="1680"/>
        <v>0</v>
      </c>
      <c r="BF731" s="217">
        <f t="shared" si="1680"/>
        <v>0</v>
      </c>
      <c r="BG731" s="217">
        <f t="shared" si="1680"/>
        <v>0</v>
      </c>
      <c r="BH731" s="217">
        <f t="shared" ref="BH731:BI731" si="1681">ROUND(BH726-BH735-BH743-BH754,6)</f>
        <v>0</v>
      </c>
      <c r="BI731" s="217">
        <f t="shared" si="1681"/>
        <v>0</v>
      </c>
      <c r="BJ731" s="217">
        <f t="shared" ref="BJ731:BX731" si="1682">ROUND(BJ726-BJ735-BJ743-BJ754,6)</f>
        <v>0</v>
      </c>
      <c r="BK731" s="217">
        <f t="shared" si="1682"/>
        <v>0</v>
      </c>
      <c r="BL731" s="217">
        <f t="shared" si="1682"/>
        <v>0</v>
      </c>
      <c r="BM731" s="217">
        <f t="shared" si="1682"/>
        <v>0</v>
      </c>
      <c r="BN731" s="217">
        <f t="shared" si="1682"/>
        <v>0</v>
      </c>
      <c r="BO731" s="217">
        <f>ROUND(BO726-BO735-BO743-BO754,6)</f>
        <v>0</v>
      </c>
      <c r="BP731" s="217">
        <f>ROUND(BP726-BP735-BP743-BP754,6)</f>
        <v>0</v>
      </c>
      <c r="BQ731" s="217">
        <f>ROUND(BQ726-BQ735-BQ743-BQ754,6)</f>
        <v>0</v>
      </c>
      <c r="BR731" s="217">
        <f>ROUND(BR726-BR735-BR743-BR754,6)</f>
        <v>0</v>
      </c>
      <c r="BS731" s="217">
        <f t="shared" si="1682"/>
        <v>0</v>
      </c>
      <c r="BT731" s="380">
        <f>ROUND(BT726-BT735-BT743-BT754,6)</f>
        <v>0</v>
      </c>
      <c r="BU731" s="217">
        <f ca="1">ROUND(BU726-BU735-BU743-BU754,6)</f>
        <v>0</v>
      </c>
      <c r="BV731" s="217">
        <f ca="1">ROUND(BV726-BV735-BV743-BV754,6)</f>
        <v>0</v>
      </c>
      <c r="BW731" s="217">
        <f ca="1">ROUND(BW726-BW735-BW743-BW754,6)</f>
        <v>0</v>
      </c>
      <c r="BX731" s="217">
        <f t="shared" ca="1" si="1682"/>
        <v>0</v>
      </c>
      <c r="BY731" s="217">
        <f t="shared" ref="BY731:CF731" ca="1" si="1683">ROUND(BY726-BY735-BY743-BY754,6)</f>
        <v>0</v>
      </c>
      <c r="BZ731" s="217">
        <f t="shared" ca="1" si="1683"/>
        <v>0</v>
      </c>
      <c r="CA731" s="217">
        <f t="shared" ca="1" si="1683"/>
        <v>0</v>
      </c>
      <c r="CB731" s="217">
        <f t="shared" ca="1" si="1683"/>
        <v>0</v>
      </c>
      <c r="CC731" s="217">
        <f t="shared" ca="1" si="1683"/>
        <v>0</v>
      </c>
      <c r="CD731" s="217">
        <f t="shared" ca="1" si="1683"/>
        <v>0</v>
      </c>
      <c r="CE731" s="217">
        <f t="shared" ca="1" si="1683"/>
        <v>0</v>
      </c>
      <c r="CF731" s="217">
        <f t="shared" ca="1" si="1683"/>
        <v>0</v>
      </c>
      <c r="CG731" s="22"/>
    </row>
    <row r="732" spans="1:85" s="427" customFormat="1" x14ac:dyDescent="0.3">
      <c r="A732" s="362"/>
      <c r="B732" s="361"/>
      <c r="C732" s="872"/>
      <c r="D732" s="872"/>
      <c r="E732" s="872"/>
      <c r="F732" s="872"/>
      <c r="G732" s="742"/>
      <c r="H732" s="742"/>
      <c r="I732" s="742"/>
      <c r="J732" s="742"/>
      <c r="K732" s="872"/>
      <c r="L732" s="742"/>
      <c r="M732" s="742"/>
      <c r="N732" s="742"/>
      <c r="O732" s="742"/>
      <c r="P732" s="872"/>
      <c r="Q732" s="742"/>
      <c r="R732" s="742"/>
      <c r="S732" s="742"/>
      <c r="T732" s="742"/>
      <c r="U732" s="872"/>
      <c r="V732" s="742"/>
      <c r="W732" s="742"/>
      <c r="X732" s="742"/>
      <c r="Y732" s="742"/>
      <c r="Z732" s="872"/>
      <c r="AA732" s="742"/>
      <c r="AB732" s="742"/>
      <c r="AC732" s="742"/>
      <c r="AD732" s="742"/>
      <c r="AE732" s="872"/>
      <c r="AF732" s="742"/>
      <c r="AG732" s="742"/>
      <c r="AH732" s="742"/>
      <c r="AI732" s="742"/>
      <c r="AJ732" s="872"/>
      <c r="AK732" s="742"/>
      <c r="AL732" s="742"/>
      <c r="AM732" s="742"/>
      <c r="AN732" s="742"/>
      <c r="AO732" s="872"/>
      <c r="AP732" s="742"/>
      <c r="AQ732" s="742"/>
      <c r="AR732" s="742"/>
      <c r="AS732" s="742"/>
      <c r="AT732" s="872"/>
      <c r="AU732" s="742"/>
      <c r="AV732" s="742"/>
      <c r="AW732" s="742"/>
      <c r="AX732" s="742"/>
      <c r="AY732" s="872"/>
      <c r="AZ732" s="742"/>
      <c r="BA732" s="742"/>
      <c r="BB732" s="742"/>
      <c r="BC732" s="742"/>
      <c r="BD732" s="872"/>
      <c r="BE732" s="742"/>
      <c r="BF732" s="742"/>
      <c r="BG732" s="742"/>
      <c r="BH732" s="742"/>
      <c r="BI732" s="872"/>
      <c r="BJ732" s="742"/>
      <c r="BK732" s="742"/>
      <c r="BL732" s="742"/>
      <c r="BM732" s="742"/>
      <c r="BN732" s="872"/>
      <c r="BO732" s="742"/>
      <c r="BP732" s="742"/>
      <c r="BQ732" s="742"/>
      <c r="BR732" s="742"/>
      <c r="BS732" s="872"/>
      <c r="BT732" s="743"/>
      <c r="BU732" s="742"/>
      <c r="BV732" s="742"/>
      <c r="BW732" s="742"/>
      <c r="BX732" s="872"/>
      <c r="BY732" s="742"/>
      <c r="BZ732" s="742"/>
      <c r="CA732" s="742"/>
      <c r="CB732" s="742"/>
      <c r="CC732" s="872"/>
      <c r="CD732" s="872"/>
      <c r="CE732" s="872"/>
      <c r="CF732" s="872"/>
      <c r="CG732" s="321"/>
    </row>
    <row r="733" spans="1:85" s="427" customFormat="1" x14ac:dyDescent="0.3">
      <c r="A733" s="720" t="s">
        <v>288</v>
      </c>
      <c r="B733" s="720"/>
      <c r="C733" s="720"/>
      <c r="D733" s="720"/>
      <c r="E733" s="720"/>
      <c r="F733" s="720"/>
      <c r="G733" s="720"/>
      <c r="H733" s="720"/>
      <c r="I733" s="720"/>
      <c r="J733" s="720"/>
      <c r="K733" s="720"/>
      <c r="L733" s="720"/>
      <c r="M733" s="720"/>
      <c r="N733" s="720"/>
      <c r="O733" s="720"/>
      <c r="P733" s="720"/>
      <c r="Q733" s="720"/>
      <c r="R733" s="720"/>
      <c r="S733" s="720"/>
      <c r="T733" s="720"/>
      <c r="U733" s="720"/>
      <c r="V733" s="720"/>
      <c r="W733" s="720"/>
      <c r="X733" s="720"/>
      <c r="Y733" s="720"/>
      <c r="Z733" s="720"/>
      <c r="AA733" s="720"/>
      <c r="AB733" s="720"/>
      <c r="AC733" s="720"/>
      <c r="AD733" s="720"/>
      <c r="AE733" s="720"/>
      <c r="AF733" s="720"/>
      <c r="AG733" s="720"/>
      <c r="AH733" s="720"/>
      <c r="AI733" s="720"/>
      <c r="AJ733" s="720"/>
      <c r="AK733" s="720"/>
      <c r="AL733" s="720"/>
      <c r="AM733" s="720"/>
      <c r="AN733" s="720"/>
      <c r="AO733" s="720"/>
      <c r="AP733" s="720"/>
      <c r="AQ733" s="720"/>
      <c r="AR733" s="720"/>
      <c r="AS733" s="720"/>
      <c r="AT733" s="720"/>
      <c r="AU733" s="720"/>
      <c r="AV733" s="720"/>
      <c r="AW733" s="720"/>
      <c r="AX733" s="720"/>
      <c r="AY733" s="720"/>
      <c r="AZ733" s="720"/>
      <c r="BA733" s="720"/>
      <c r="BB733" s="720"/>
      <c r="BC733" s="720"/>
      <c r="BD733" s="720"/>
      <c r="BE733" s="720"/>
      <c r="BF733" s="720"/>
      <c r="BG733" s="720"/>
      <c r="BH733" s="720"/>
      <c r="BI733" s="720"/>
      <c r="BJ733" s="720"/>
      <c r="BK733" s="720"/>
      <c r="BL733" s="720"/>
      <c r="BM733" s="720"/>
      <c r="BN733" s="720"/>
      <c r="BO733" s="720"/>
      <c r="BP733" s="720"/>
      <c r="BQ733" s="720"/>
      <c r="BR733" s="720"/>
      <c r="BS733" s="720"/>
      <c r="BT733" s="721"/>
      <c r="BU733" s="720"/>
      <c r="BV733" s="720"/>
      <c r="BW733" s="720"/>
      <c r="BX733" s="720"/>
      <c r="BY733" s="720"/>
      <c r="BZ733" s="720"/>
      <c r="CA733" s="720"/>
      <c r="CB733" s="720"/>
      <c r="CC733" s="720"/>
      <c r="CD733" s="720"/>
      <c r="CE733" s="720"/>
      <c r="CF733" s="720"/>
      <c r="CG733" s="321"/>
    </row>
    <row r="734" spans="1:85" s="427" customFormat="1" x14ac:dyDescent="0.3">
      <c r="A734" s="18" t="s">
        <v>289</v>
      </c>
      <c r="B734" s="361"/>
      <c r="C734" s="872"/>
      <c r="D734" s="872"/>
      <c r="E734" s="872"/>
      <c r="F734" s="872"/>
      <c r="G734" s="742"/>
      <c r="H734" s="742"/>
      <c r="I734" s="742"/>
      <c r="J734" s="742"/>
      <c r="K734" s="872"/>
      <c r="L734" s="742"/>
      <c r="M734" s="742"/>
      <c r="N734" s="742"/>
      <c r="O734" s="742"/>
      <c r="P734" s="872"/>
      <c r="Q734" s="742"/>
      <c r="R734" s="742"/>
      <c r="S734" s="742"/>
      <c r="T734" s="742"/>
      <c r="U734" s="872"/>
      <c r="V734" s="742"/>
      <c r="W734" s="742"/>
      <c r="X734" s="742"/>
      <c r="Y734" s="742"/>
      <c r="Z734" s="872"/>
      <c r="AA734" s="742"/>
      <c r="AB734" s="742"/>
      <c r="AC734" s="742"/>
      <c r="AD734" s="742"/>
      <c r="AE734" s="872"/>
      <c r="AF734" s="742"/>
      <c r="AG734" s="742"/>
      <c r="AH734" s="742"/>
      <c r="AI734" s="742"/>
      <c r="AJ734" s="872"/>
      <c r="AK734" s="742"/>
      <c r="AL734" s="742"/>
      <c r="AM734" s="742"/>
      <c r="AN734" s="742"/>
      <c r="AO734" s="872"/>
      <c r="AP734" s="742"/>
      <c r="AQ734" s="742"/>
      <c r="AR734" s="742"/>
      <c r="AS734" s="742"/>
      <c r="AT734" s="872"/>
      <c r="AU734" s="742"/>
      <c r="AV734" s="742"/>
      <c r="AW734" s="742"/>
      <c r="AX734" s="742"/>
      <c r="AY734" s="872"/>
      <c r="AZ734" s="742"/>
      <c r="BA734" s="742"/>
      <c r="BB734" s="742"/>
      <c r="BC734" s="742"/>
      <c r="BD734" s="872"/>
      <c r="BE734" s="742"/>
      <c r="BF734" s="742"/>
      <c r="BG734" s="742"/>
      <c r="BH734" s="742"/>
      <c r="BI734" s="872"/>
      <c r="BJ734" s="742"/>
      <c r="BK734" s="742"/>
      <c r="BL734" s="742"/>
      <c r="BM734" s="742"/>
      <c r="BN734" s="872"/>
      <c r="BO734" s="742"/>
      <c r="BP734" s="742"/>
      <c r="BQ734" s="742"/>
      <c r="BR734" s="742"/>
      <c r="BS734" s="872"/>
      <c r="BT734" s="743"/>
      <c r="BU734" s="742"/>
      <c r="BV734" s="742"/>
      <c r="BW734" s="742"/>
      <c r="BX734" s="872"/>
      <c r="BY734" s="742"/>
      <c r="BZ734" s="742"/>
      <c r="CA734" s="742"/>
      <c r="CB734" s="742"/>
      <c r="CC734" s="872"/>
      <c r="CD734" s="872"/>
      <c r="CE734" s="872"/>
      <c r="CF734" s="872"/>
      <c r="CG734" s="321"/>
    </row>
    <row r="735" spans="1:85" s="428" customFormat="1" x14ac:dyDescent="0.3">
      <c r="A735" s="43" t="s">
        <v>290</v>
      </c>
      <c r="B735" s="109"/>
      <c r="C735" s="827">
        <v>8716</v>
      </c>
      <c r="D735" s="827">
        <v>14060</v>
      </c>
      <c r="E735" s="827">
        <v>15864</v>
      </c>
      <c r="F735" s="827">
        <v>20939</v>
      </c>
      <c r="G735" s="763">
        <v>17374</v>
      </c>
      <c r="H735" s="763">
        <v>20630</v>
      </c>
      <c r="I735" s="763">
        <v>17014</v>
      </c>
      <c r="J735" s="37">
        <f t="shared" ref="J735:J742" si="1684">K735</f>
        <v>16245</v>
      </c>
      <c r="K735" s="827">
        <v>16245</v>
      </c>
      <c r="L735" s="763">
        <v>15612</v>
      </c>
      <c r="M735" s="763">
        <v>13959</v>
      </c>
      <c r="N735" s="763">
        <v>14215</v>
      </c>
      <c r="O735" s="37">
        <f t="shared" ref="O735:O742" si="1685">P735</f>
        <v>12785</v>
      </c>
      <c r="P735" s="827">
        <v>12785</v>
      </c>
      <c r="Q735" s="763">
        <v>12675</v>
      </c>
      <c r="R735" s="763">
        <v>12156</v>
      </c>
      <c r="S735" s="763">
        <v>12933</v>
      </c>
      <c r="T735" s="37">
        <f t="shared" ref="T735:T742" si="1686">U735</f>
        <v>11022</v>
      </c>
      <c r="U735" s="827">
        <v>11022</v>
      </c>
      <c r="V735" s="763">
        <v>8562</v>
      </c>
      <c r="W735" s="763">
        <v>8764</v>
      </c>
      <c r="X735" s="763">
        <v>7351</v>
      </c>
      <c r="Y735" s="37">
        <f t="shared" ref="Y735:Y742" si="1687">Z735</f>
        <v>6988</v>
      </c>
      <c r="Z735" s="827">
        <v>6988</v>
      </c>
      <c r="AA735" s="763">
        <v>6983</v>
      </c>
      <c r="AB735" s="763">
        <v>4762</v>
      </c>
      <c r="AC735" s="763">
        <v>6641</v>
      </c>
      <c r="AD735" s="37">
        <f t="shared" ref="AD735:AD742" si="1688">AE735</f>
        <v>4813</v>
      </c>
      <c r="AE735" s="827">
        <v>4813</v>
      </c>
      <c r="AF735" s="763">
        <v>6466</v>
      </c>
      <c r="AG735" s="763">
        <v>7628</v>
      </c>
      <c r="AH735" s="763">
        <v>9686</v>
      </c>
      <c r="AI735" s="37">
        <f t="shared" ref="AI735:AI741" si="1689">AJ735</f>
        <v>9342</v>
      </c>
      <c r="AJ735" s="827">
        <v>9342</v>
      </c>
      <c r="AK735" s="763">
        <v>8699</v>
      </c>
      <c r="AL735" s="763">
        <v>8513</v>
      </c>
      <c r="AM735" s="763">
        <v>11697</v>
      </c>
      <c r="AN735" s="37">
        <f t="shared" ref="AN735:AN741" si="1690">AO735</f>
        <v>5686</v>
      </c>
      <c r="AO735" s="827">
        <v>5686</v>
      </c>
      <c r="AP735" s="763">
        <v>8492</v>
      </c>
      <c r="AQ735" s="763">
        <v>6855</v>
      </c>
      <c r="AR735" s="763">
        <v>6866</v>
      </c>
      <c r="AS735" s="763">
        <v>5596</v>
      </c>
      <c r="AT735" s="821">
        <f t="shared" ref="AT735:AT741" si="1691">AS735</f>
        <v>5596</v>
      </c>
      <c r="AU735" s="763">
        <v>7076</v>
      </c>
      <c r="AV735" s="763">
        <v>7527</v>
      </c>
      <c r="AW735" s="763">
        <v>5998</v>
      </c>
      <c r="AX735" s="763">
        <v>5640</v>
      </c>
      <c r="AY735" s="821">
        <f t="shared" ref="AY735:AY741" si="1692">AX735</f>
        <v>5640</v>
      </c>
      <c r="AZ735" s="763">
        <v>11671</v>
      </c>
      <c r="BA735" s="763">
        <v>12029</v>
      </c>
      <c r="BB735" s="763">
        <v>15164</v>
      </c>
      <c r="BC735" s="763">
        <v>17678</v>
      </c>
      <c r="BD735" s="821">
        <f t="shared" ref="BD735:BD741" si="1693">BC735</f>
        <v>17678</v>
      </c>
      <c r="BE735" s="763">
        <v>15668</v>
      </c>
      <c r="BF735" s="763">
        <v>9292</v>
      </c>
      <c r="BG735" s="763">
        <v>5797</v>
      </c>
      <c r="BH735" s="763">
        <v>8178</v>
      </c>
      <c r="BI735" s="821">
        <f t="shared" ref="BI735:BI741" si="1694">BH735</f>
        <v>8178</v>
      </c>
      <c r="BJ735" s="763">
        <v>6278</v>
      </c>
      <c r="BK735" s="763">
        <v>4008</v>
      </c>
      <c r="BL735" s="763">
        <v>4699</v>
      </c>
      <c r="BM735" s="763">
        <v>6781</v>
      </c>
      <c r="BN735" s="821">
        <f t="shared" ref="BN735:BN741" si="1695">BM735</f>
        <v>6781</v>
      </c>
      <c r="BO735" s="763">
        <v>4638</v>
      </c>
      <c r="BP735" s="763">
        <v>4061</v>
      </c>
      <c r="BQ735" s="763">
        <v>7725</v>
      </c>
      <c r="BR735" s="763">
        <v>6293</v>
      </c>
      <c r="BS735" s="821">
        <f t="shared" ref="BS735:BS741" si="1696">BR735</f>
        <v>6293</v>
      </c>
      <c r="BT735" s="764">
        <v>5323</v>
      </c>
      <c r="BU735" s="37">
        <f ca="1">BT735+BU723</f>
        <v>10178.281075008896</v>
      </c>
      <c r="BV735" s="37">
        <f ca="1">BU735+BV723</f>
        <v>13798.803073493544</v>
      </c>
      <c r="BW735" s="37">
        <f ca="1">BV735+BW723</f>
        <v>17113.066601978193</v>
      </c>
      <c r="BX735" s="821">
        <f t="shared" ref="BX735:BX741" ca="1" si="1697">BW735</f>
        <v>17113.066601978193</v>
      </c>
      <c r="BY735" s="37">
        <f ca="1">BX735+BY723</f>
        <v>21291.823448873802</v>
      </c>
      <c r="BZ735" s="37">
        <f ca="1">BY735+BZ723</f>
        <v>25987.828858367357</v>
      </c>
      <c r="CA735" s="37">
        <f ca="1">BZ735+CA723</f>
        <v>30853.66429455885</v>
      </c>
      <c r="CB735" s="37">
        <f ca="1">CA735+CB723</f>
        <v>35626.444825950348</v>
      </c>
      <c r="CC735" s="821">
        <f t="shared" ref="CC735:CC741" ca="1" si="1698">CB735</f>
        <v>35626.444825950348</v>
      </c>
      <c r="CD735" s="821">
        <f ca="1">CC735+CD723</f>
        <v>51481.852293772514</v>
      </c>
      <c r="CE735" s="821">
        <f ca="1">CD735+CE723</f>
        <v>66052.389631844679</v>
      </c>
      <c r="CF735" s="821">
        <f ca="1">CE735+CF723</f>
        <v>74755.978757166828</v>
      </c>
      <c r="CG735" s="22"/>
    </row>
    <row r="736" spans="1:85" s="428" customFormat="1" x14ac:dyDescent="0.3">
      <c r="A736" s="43" t="s">
        <v>291</v>
      </c>
      <c r="B736" s="109"/>
      <c r="C736" s="827">
        <v>0</v>
      </c>
      <c r="D736" s="827">
        <v>2855</v>
      </c>
      <c r="E736" s="827">
        <v>3958</v>
      </c>
      <c r="F736" s="827">
        <v>708</v>
      </c>
      <c r="G736" s="763">
        <v>1408</v>
      </c>
      <c r="H736" s="763">
        <v>1408</v>
      </c>
      <c r="I736" s="763">
        <v>1308</v>
      </c>
      <c r="J736" s="37">
        <f t="shared" si="1684"/>
        <v>8</v>
      </c>
      <c r="K736" s="827">
        <v>8</v>
      </c>
      <c r="L736" s="763">
        <v>308</v>
      </c>
      <c r="M736" s="763">
        <v>8</v>
      </c>
      <c r="N736" s="763">
        <v>8</v>
      </c>
      <c r="O736" s="37">
        <f t="shared" si="1685"/>
        <v>8</v>
      </c>
      <c r="P736" s="827">
        <v>8</v>
      </c>
      <c r="Q736" s="763">
        <v>0</v>
      </c>
      <c r="R736" s="763">
        <v>0</v>
      </c>
      <c r="S736" s="763">
        <v>0</v>
      </c>
      <c r="T736" s="37">
        <f t="shared" si="1686"/>
        <v>0</v>
      </c>
      <c r="U736" s="827">
        <v>0</v>
      </c>
      <c r="V736" s="763">
        <v>0</v>
      </c>
      <c r="W736" s="763">
        <v>0</v>
      </c>
      <c r="X736" s="763">
        <v>0</v>
      </c>
      <c r="Y736" s="37">
        <f t="shared" si="1687"/>
        <v>0</v>
      </c>
      <c r="Z736" s="827">
        <v>0</v>
      </c>
      <c r="AA736" s="763">
        <v>0</v>
      </c>
      <c r="AB736" s="37"/>
      <c r="AC736" s="37"/>
      <c r="AD736" s="37">
        <f t="shared" si="1688"/>
        <v>0</v>
      </c>
      <c r="AE736" s="821"/>
      <c r="AF736" s="37"/>
      <c r="AG736" s="37"/>
      <c r="AH736" s="37"/>
      <c r="AI736" s="37">
        <f t="shared" si="1689"/>
        <v>950</v>
      </c>
      <c r="AJ736" s="827">
        <v>950</v>
      </c>
      <c r="AK736" s="763">
        <v>0</v>
      </c>
      <c r="AL736" s="763">
        <v>0</v>
      </c>
      <c r="AM736" s="763">
        <v>0</v>
      </c>
      <c r="AN736" s="37">
        <f t="shared" si="1690"/>
        <v>0</v>
      </c>
      <c r="AO736" s="821"/>
      <c r="AP736" s="37"/>
      <c r="AQ736" s="37"/>
      <c r="AR736" s="37"/>
      <c r="AS736" s="37"/>
      <c r="AT736" s="821">
        <f t="shared" si="1691"/>
        <v>0</v>
      </c>
      <c r="AU736" s="37"/>
      <c r="AV736" s="37"/>
      <c r="AW736" s="37"/>
      <c r="AX736" s="37"/>
      <c r="AY736" s="821">
        <f t="shared" si="1692"/>
        <v>0</v>
      </c>
      <c r="AZ736" s="37"/>
      <c r="BA736" s="37"/>
      <c r="BB736" s="37"/>
      <c r="BC736" s="37"/>
      <c r="BD736" s="821">
        <f t="shared" si="1693"/>
        <v>0</v>
      </c>
      <c r="BE736" s="37"/>
      <c r="BF736" s="37"/>
      <c r="BG736" s="37"/>
      <c r="BH736" s="37"/>
      <c r="BI736" s="821">
        <f t="shared" si="1694"/>
        <v>0</v>
      </c>
      <c r="BJ736" s="37"/>
      <c r="BK736" s="37"/>
      <c r="BL736" s="763">
        <v>4</v>
      </c>
      <c r="BM736" s="763">
        <v>4</v>
      </c>
      <c r="BN736" s="821">
        <f t="shared" si="1695"/>
        <v>4</v>
      </c>
      <c r="BO736" s="763">
        <v>5</v>
      </c>
      <c r="BP736" s="763">
        <v>5</v>
      </c>
      <c r="BQ736" s="763">
        <v>2</v>
      </c>
      <c r="BR736" s="763">
        <v>4</v>
      </c>
      <c r="BS736" s="821">
        <f t="shared" si="1696"/>
        <v>4</v>
      </c>
      <c r="BT736" s="764">
        <v>4</v>
      </c>
      <c r="BU736" s="37">
        <f t="shared" ref="BU736:BW741" si="1699">BT736</f>
        <v>4</v>
      </c>
      <c r="BV736" s="37">
        <f t="shared" si="1699"/>
        <v>4</v>
      </c>
      <c r="BW736" s="37">
        <f t="shared" si="1699"/>
        <v>4</v>
      </c>
      <c r="BX736" s="821">
        <f t="shared" si="1697"/>
        <v>4</v>
      </c>
      <c r="BY736" s="37">
        <f t="shared" ref="BY736:CB741" si="1700">BX736</f>
        <v>4</v>
      </c>
      <c r="BZ736" s="37">
        <f t="shared" si="1700"/>
        <v>4</v>
      </c>
      <c r="CA736" s="37">
        <f t="shared" si="1700"/>
        <v>4</v>
      </c>
      <c r="CB736" s="37">
        <f t="shared" si="1700"/>
        <v>4</v>
      </c>
      <c r="CC736" s="821">
        <f t="shared" si="1698"/>
        <v>4</v>
      </c>
      <c r="CD736" s="821">
        <f t="shared" ref="CD736:CF741" si="1701">CC736</f>
        <v>4</v>
      </c>
      <c r="CE736" s="821">
        <f t="shared" si="1701"/>
        <v>4</v>
      </c>
      <c r="CF736" s="821">
        <f t="shared" si="1701"/>
        <v>4</v>
      </c>
      <c r="CG736" s="22"/>
    </row>
    <row r="737" spans="1:85" s="428" customFormat="1" x14ac:dyDescent="0.3">
      <c r="A737" s="43" t="s">
        <v>292</v>
      </c>
      <c r="B737" s="109"/>
      <c r="C737" s="827">
        <v>106</v>
      </c>
      <c r="D737" s="827">
        <v>155</v>
      </c>
      <c r="E737" s="827">
        <v>249</v>
      </c>
      <c r="F737" s="827">
        <v>266</v>
      </c>
      <c r="G737" s="763">
        <v>266</v>
      </c>
      <c r="H737" s="763">
        <v>258</v>
      </c>
      <c r="I737" s="763">
        <v>258</v>
      </c>
      <c r="J737" s="37">
        <f t="shared" si="1684"/>
        <v>263</v>
      </c>
      <c r="K737" s="827">
        <v>263</v>
      </c>
      <c r="L737" s="763">
        <v>263</v>
      </c>
      <c r="M737" s="763">
        <v>268</v>
      </c>
      <c r="N737" s="763">
        <v>267</v>
      </c>
      <c r="O737" s="37">
        <f t="shared" si="1685"/>
        <v>422</v>
      </c>
      <c r="P737" s="827">
        <v>422</v>
      </c>
      <c r="Q737" s="763">
        <v>432</v>
      </c>
      <c r="R737" s="763">
        <v>365</v>
      </c>
      <c r="S737" s="763">
        <v>306</v>
      </c>
      <c r="T737" s="37">
        <f t="shared" si="1686"/>
        <v>310</v>
      </c>
      <c r="U737" s="827">
        <v>310</v>
      </c>
      <c r="V737" s="763">
        <v>317</v>
      </c>
      <c r="W737" s="763">
        <v>320</v>
      </c>
      <c r="X737" s="763">
        <v>321</v>
      </c>
      <c r="Y737" s="37">
        <f t="shared" si="1687"/>
        <v>13</v>
      </c>
      <c r="Z737" s="827">
        <v>13</v>
      </c>
      <c r="AA737" s="763">
        <v>11</v>
      </c>
      <c r="AB737" s="763">
        <v>13</v>
      </c>
      <c r="AC737" s="763">
        <v>13</v>
      </c>
      <c r="AD737" s="37">
        <f t="shared" si="1688"/>
        <v>9</v>
      </c>
      <c r="AE737" s="827">
        <v>9</v>
      </c>
      <c r="AF737" s="763">
        <v>38</v>
      </c>
      <c r="AG737" s="763">
        <v>58</v>
      </c>
      <c r="AH737" s="763">
        <v>60</v>
      </c>
      <c r="AI737" s="37">
        <f t="shared" si="1689"/>
        <v>53</v>
      </c>
      <c r="AJ737" s="827">
        <v>53</v>
      </c>
      <c r="AK737" s="763">
        <v>56</v>
      </c>
      <c r="AL737" s="763">
        <v>58</v>
      </c>
      <c r="AM737" s="763">
        <v>58</v>
      </c>
      <c r="AN737" s="37">
        <f t="shared" si="1690"/>
        <v>63</v>
      </c>
      <c r="AO737" s="827">
        <v>63</v>
      </c>
      <c r="AP737" s="763">
        <v>50</v>
      </c>
      <c r="AQ737" s="763">
        <v>59</v>
      </c>
      <c r="AR737" s="763">
        <v>28</v>
      </c>
      <c r="AS737" s="763">
        <v>31</v>
      </c>
      <c r="AT737" s="821">
        <f t="shared" si="1691"/>
        <v>31</v>
      </c>
      <c r="AU737" s="763">
        <v>32</v>
      </c>
      <c r="AV737" s="763">
        <v>34</v>
      </c>
      <c r="AW737" s="763">
        <v>34</v>
      </c>
      <c r="AX737" s="763">
        <v>35</v>
      </c>
      <c r="AY737" s="821">
        <f t="shared" si="1692"/>
        <v>35</v>
      </c>
      <c r="AZ737" s="763">
        <v>33</v>
      </c>
      <c r="BA737" s="763">
        <v>341</v>
      </c>
      <c r="BB737" s="763">
        <v>267</v>
      </c>
      <c r="BC737" s="763">
        <v>223</v>
      </c>
      <c r="BD737" s="821">
        <f t="shared" si="1693"/>
        <v>223</v>
      </c>
      <c r="BE737" s="763">
        <v>130</v>
      </c>
      <c r="BF737" s="763">
        <v>318</v>
      </c>
      <c r="BG737" s="763">
        <v>141</v>
      </c>
      <c r="BH737" s="763">
        <v>45</v>
      </c>
      <c r="BI737" s="821">
        <f t="shared" si="1694"/>
        <v>45</v>
      </c>
      <c r="BJ737" s="763">
        <v>0</v>
      </c>
      <c r="BK737" s="37"/>
      <c r="BL737" s="37"/>
      <c r="BM737" s="37"/>
      <c r="BN737" s="821">
        <f t="shared" si="1695"/>
        <v>0</v>
      </c>
      <c r="BO737" s="763">
        <v>0</v>
      </c>
      <c r="BP737" s="37"/>
      <c r="BQ737" s="37"/>
      <c r="BR737" s="37">
        <f>BQ737</f>
        <v>0</v>
      </c>
      <c r="BS737" s="821">
        <f t="shared" si="1696"/>
        <v>0</v>
      </c>
      <c r="BT737" s="764">
        <v>0</v>
      </c>
      <c r="BU737" s="37">
        <f t="shared" si="1699"/>
        <v>0</v>
      </c>
      <c r="BV737" s="37">
        <f t="shared" si="1699"/>
        <v>0</v>
      </c>
      <c r="BW737" s="37">
        <f t="shared" si="1699"/>
        <v>0</v>
      </c>
      <c r="BX737" s="821">
        <f t="shared" si="1697"/>
        <v>0</v>
      </c>
      <c r="BY737" s="37">
        <f t="shared" si="1700"/>
        <v>0</v>
      </c>
      <c r="BZ737" s="37">
        <f t="shared" si="1700"/>
        <v>0</v>
      </c>
      <c r="CA737" s="37">
        <f t="shared" si="1700"/>
        <v>0</v>
      </c>
      <c r="CB737" s="37">
        <f t="shared" si="1700"/>
        <v>0</v>
      </c>
      <c r="CC737" s="821">
        <f t="shared" si="1698"/>
        <v>0</v>
      </c>
      <c r="CD737" s="821">
        <f t="shared" si="1701"/>
        <v>0</v>
      </c>
      <c r="CE737" s="821">
        <f t="shared" si="1701"/>
        <v>0</v>
      </c>
      <c r="CF737" s="821">
        <f t="shared" si="1701"/>
        <v>0</v>
      </c>
      <c r="CG737" s="22"/>
    </row>
    <row r="738" spans="1:85" s="428" customFormat="1" x14ac:dyDescent="0.3">
      <c r="A738" s="43" t="s">
        <v>293</v>
      </c>
      <c r="B738" s="109"/>
      <c r="C738" s="827">
        <v>17703</v>
      </c>
      <c r="D738" s="827">
        <v>20759</v>
      </c>
      <c r="E738" s="827">
        <v>21793</v>
      </c>
      <c r="F738" s="827">
        <v>20997</v>
      </c>
      <c r="G738" s="763">
        <v>21969</v>
      </c>
      <c r="H738" s="763">
        <v>20273</v>
      </c>
      <c r="I738" s="763">
        <v>21641</v>
      </c>
      <c r="J738" s="37">
        <f t="shared" si="1684"/>
        <v>21622</v>
      </c>
      <c r="K738" s="827">
        <v>21622</v>
      </c>
      <c r="L738" s="763">
        <v>20285</v>
      </c>
      <c r="M738" s="763">
        <v>21578</v>
      </c>
      <c r="N738" s="763">
        <v>19974</v>
      </c>
      <c r="O738" s="37">
        <f t="shared" si="1685"/>
        <v>16736</v>
      </c>
      <c r="P738" s="827">
        <v>16736</v>
      </c>
      <c r="Q738" s="763">
        <v>15239</v>
      </c>
      <c r="R738" s="763">
        <v>16153</v>
      </c>
      <c r="S738" s="763">
        <v>14240</v>
      </c>
      <c r="T738" s="37">
        <f t="shared" si="1686"/>
        <v>12860</v>
      </c>
      <c r="U738" s="827">
        <v>12860</v>
      </c>
      <c r="V738" s="763">
        <v>12459</v>
      </c>
      <c r="W738" s="763">
        <v>13490</v>
      </c>
      <c r="X738" s="763">
        <v>12522</v>
      </c>
      <c r="Y738" s="37">
        <f t="shared" si="1687"/>
        <v>14092</v>
      </c>
      <c r="Z738" s="827">
        <v>14092</v>
      </c>
      <c r="AA738" s="763">
        <v>13754</v>
      </c>
      <c r="AB738" s="763">
        <v>13168</v>
      </c>
      <c r="AC738" s="763">
        <v>14124</v>
      </c>
      <c r="AD738" s="37">
        <f t="shared" si="1688"/>
        <v>15353</v>
      </c>
      <c r="AE738" s="827">
        <v>15353</v>
      </c>
      <c r="AF738" s="763">
        <v>15771</v>
      </c>
      <c r="AG738" s="763">
        <v>16672</v>
      </c>
      <c r="AH738" s="763">
        <v>16788</v>
      </c>
      <c r="AI738" s="37">
        <f t="shared" si="1689"/>
        <v>15050</v>
      </c>
      <c r="AJ738" s="827">
        <v>15050</v>
      </c>
      <c r="AK738" s="763">
        <v>14928</v>
      </c>
      <c r="AL738" s="763">
        <v>14383</v>
      </c>
      <c r="AM738" s="763">
        <v>12966</v>
      </c>
      <c r="AN738" s="37">
        <f t="shared" si="1690"/>
        <v>13325</v>
      </c>
      <c r="AO738" s="827">
        <v>13325</v>
      </c>
      <c r="AP738" s="763">
        <v>10167</v>
      </c>
      <c r="AQ738" s="763">
        <v>8570</v>
      </c>
      <c r="AR738" s="763">
        <v>9722</v>
      </c>
      <c r="AS738" s="763">
        <v>11471</v>
      </c>
      <c r="AT738" s="821">
        <f t="shared" si="1691"/>
        <v>11471</v>
      </c>
      <c r="AU738" s="763">
        <v>14118</v>
      </c>
      <c r="AV738" s="763">
        <v>15705</v>
      </c>
      <c r="AW738" s="763">
        <v>16567</v>
      </c>
      <c r="AX738" s="763">
        <v>18419</v>
      </c>
      <c r="AY738" s="821">
        <f t="shared" si="1692"/>
        <v>18419</v>
      </c>
      <c r="AZ738" s="763">
        <v>23255</v>
      </c>
      <c r="BA738" s="763">
        <v>26860</v>
      </c>
      <c r="BB738" s="763">
        <v>22466</v>
      </c>
      <c r="BC738" s="763">
        <v>20456</v>
      </c>
      <c r="BD738" s="821">
        <f t="shared" si="1693"/>
        <v>20456</v>
      </c>
      <c r="BE738" s="763">
        <v>19021</v>
      </c>
      <c r="BF738" s="763">
        <v>19285</v>
      </c>
      <c r="BG738" s="763">
        <v>21993</v>
      </c>
      <c r="BH738" s="763">
        <v>19921</v>
      </c>
      <c r="BI738" s="821">
        <f t="shared" si="1694"/>
        <v>19921</v>
      </c>
      <c r="BJ738" s="763">
        <v>20414</v>
      </c>
      <c r="BK738" s="763">
        <v>20752</v>
      </c>
      <c r="BL738" s="763">
        <v>19591</v>
      </c>
      <c r="BM738" s="763">
        <v>20684</v>
      </c>
      <c r="BN738" s="821">
        <f t="shared" si="1695"/>
        <v>20684</v>
      </c>
      <c r="BO738" s="763">
        <v>19560</v>
      </c>
      <c r="BP738" s="763">
        <v>17663</v>
      </c>
      <c r="BQ738" s="763">
        <v>17887</v>
      </c>
      <c r="BR738" s="763">
        <v>18075</v>
      </c>
      <c r="BS738" s="821">
        <f t="shared" si="1696"/>
        <v>18075</v>
      </c>
      <c r="BT738" s="764">
        <v>25256</v>
      </c>
      <c r="BU738" s="37">
        <f t="shared" si="1699"/>
        <v>25256</v>
      </c>
      <c r="BV738" s="37">
        <f t="shared" si="1699"/>
        <v>25256</v>
      </c>
      <c r="BW738" s="37">
        <f t="shared" si="1699"/>
        <v>25256</v>
      </c>
      <c r="BX738" s="821">
        <f t="shared" si="1697"/>
        <v>25256</v>
      </c>
      <c r="BY738" s="37">
        <f t="shared" si="1700"/>
        <v>25256</v>
      </c>
      <c r="BZ738" s="37">
        <f t="shared" si="1700"/>
        <v>25256</v>
      </c>
      <c r="CA738" s="37">
        <f t="shared" si="1700"/>
        <v>25256</v>
      </c>
      <c r="CB738" s="37">
        <f t="shared" si="1700"/>
        <v>25256</v>
      </c>
      <c r="CC738" s="821">
        <f t="shared" si="1698"/>
        <v>25256</v>
      </c>
      <c r="CD738" s="821">
        <f t="shared" si="1701"/>
        <v>25256</v>
      </c>
      <c r="CE738" s="821">
        <f t="shared" si="1701"/>
        <v>25256</v>
      </c>
      <c r="CF738" s="821">
        <f t="shared" si="1701"/>
        <v>25256</v>
      </c>
      <c r="CG738" s="22"/>
    </row>
    <row r="739" spans="1:85" s="428" customFormat="1" hidden="1" outlineLevel="1" x14ac:dyDescent="0.3">
      <c r="A739" s="294" t="s">
        <v>294</v>
      </c>
      <c r="B739" s="109"/>
      <c r="C739" s="827">
        <v>3680</v>
      </c>
      <c r="D739" s="827">
        <v>3589</v>
      </c>
      <c r="E739" s="827">
        <v>3420</v>
      </c>
      <c r="F739" s="827">
        <v>3923</v>
      </c>
      <c r="G739" s="763">
        <v>4384</v>
      </c>
      <c r="H739" s="763">
        <v>5063</v>
      </c>
      <c r="I739" s="763">
        <v>4468</v>
      </c>
      <c r="J739" s="37">
        <f t="shared" si="1684"/>
        <v>3879</v>
      </c>
      <c r="K739" s="827">
        <v>3879</v>
      </c>
      <c r="L739" s="763">
        <v>4956</v>
      </c>
      <c r="M739" s="763">
        <v>4606</v>
      </c>
      <c r="N739" s="763">
        <v>4672</v>
      </c>
      <c r="O739" s="37">
        <f t="shared" si="1685"/>
        <v>3854</v>
      </c>
      <c r="P739" s="827">
        <v>3854</v>
      </c>
      <c r="Q739" s="763">
        <v>4157</v>
      </c>
      <c r="R739" s="763">
        <v>4317</v>
      </c>
      <c r="S739" s="763">
        <v>4048</v>
      </c>
      <c r="T739" s="37">
        <f t="shared" si="1686"/>
        <v>3535</v>
      </c>
      <c r="U739" s="827">
        <v>3535</v>
      </c>
      <c r="V739" s="763">
        <v>3723</v>
      </c>
      <c r="W739" s="763">
        <v>3680</v>
      </c>
      <c r="X739" s="763">
        <v>3231</v>
      </c>
      <c r="Y739" s="37">
        <f t="shared" si="1687"/>
        <v>2720</v>
      </c>
      <c r="Z739" s="827">
        <v>2720</v>
      </c>
      <c r="AA739" s="763">
        <v>3315</v>
      </c>
      <c r="AB739" s="763">
        <v>3461</v>
      </c>
      <c r="AC739" s="763">
        <v>3156</v>
      </c>
      <c r="AD739" s="37">
        <f t="shared" si="1688"/>
        <v>3142</v>
      </c>
      <c r="AE739" s="827">
        <v>3142</v>
      </c>
      <c r="AF739" s="763">
        <v>3705</v>
      </c>
      <c r="AG739" s="763">
        <v>4206</v>
      </c>
      <c r="AH739" s="763">
        <v>3618</v>
      </c>
      <c r="AI739" s="37">
        <f t="shared" si="1689"/>
        <v>3383</v>
      </c>
      <c r="AJ739" s="827">
        <v>3383</v>
      </c>
      <c r="AK739" s="763">
        <v>4481</v>
      </c>
      <c r="AL739" s="763">
        <v>4541</v>
      </c>
      <c r="AM739" s="763">
        <v>3722</v>
      </c>
      <c r="AN739" s="37">
        <f t="shared" si="1690"/>
        <v>3722</v>
      </c>
      <c r="AO739" s="827">
        <v>3722</v>
      </c>
      <c r="AP739" s="763">
        <v>4425</v>
      </c>
      <c r="AQ739" s="763">
        <v>3327</v>
      </c>
      <c r="AR739" s="763">
        <v>3588</v>
      </c>
      <c r="AS739" s="763">
        <v>3576</v>
      </c>
      <c r="AT739" s="821">
        <f t="shared" si="1691"/>
        <v>3576</v>
      </c>
      <c r="AU739" s="763">
        <v>3535</v>
      </c>
      <c r="AV739" s="763">
        <v>4093</v>
      </c>
      <c r="AW739" s="763">
        <v>3937</v>
      </c>
      <c r="AX739" s="763">
        <v>4248</v>
      </c>
      <c r="AY739" s="821">
        <f t="shared" si="1692"/>
        <v>4248</v>
      </c>
      <c r="AZ739" s="763">
        <v>4467</v>
      </c>
      <c r="BA739" s="763">
        <v>5671</v>
      </c>
      <c r="BB739" s="763">
        <v>6917</v>
      </c>
      <c r="BC739" s="763">
        <v>5866</v>
      </c>
      <c r="BD739" s="821">
        <f t="shared" si="1693"/>
        <v>5866</v>
      </c>
      <c r="BE739" s="763">
        <v>6268</v>
      </c>
      <c r="BF739" s="763">
        <v>6398</v>
      </c>
      <c r="BG739" s="763">
        <v>6665</v>
      </c>
      <c r="BH739" s="763">
        <v>6059</v>
      </c>
      <c r="BI739" s="821">
        <f t="shared" si="1694"/>
        <v>6059</v>
      </c>
      <c r="BJ739" s="763">
        <v>7212</v>
      </c>
      <c r="BK739" s="763">
        <v>7662</v>
      </c>
      <c r="BL739" s="763">
        <v>6767</v>
      </c>
      <c r="BM739" s="763">
        <v>6490</v>
      </c>
      <c r="BN739" s="821">
        <f t="shared" si="1695"/>
        <v>6490</v>
      </c>
      <c r="BO739" s="763">
        <v>6600</v>
      </c>
      <c r="BP739" s="763">
        <v>6275</v>
      </c>
      <c r="BQ739" s="763">
        <v>7416</v>
      </c>
      <c r="BR739" s="763">
        <v>6640</v>
      </c>
      <c r="BS739" s="821">
        <f t="shared" si="1696"/>
        <v>6640</v>
      </c>
      <c r="BT739" s="764">
        <v>7468</v>
      </c>
      <c r="BU739" s="37">
        <f t="shared" si="1699"/>
        <v>7468</v>
      </c>
      <c r="BV739" s="37">
        <f t="shared" si="1699"/>
        <v>7468</v>
      </c>
      <c r="BW739" s="37">
        <f t="shared" si="1699"/>
        <v>7468</v>
      </c>
      <c r="BX739" s="821">
        <f t="shared" si="1697"/>
        <v>7468</v>
      </c>
      <c r="BY739" s="37">
        <f t="shared" si="1700"/>
        <v>7468</v>
      </c>
      <c r="BZ739" s="37">
        <f t="shared" si="1700"/>
        <v>7468</v>
      </c>
      <c r="CA739" s="37">
        <f t="shared" si="1700"/>
        <v>7468</v>
      </c>
      <c r="CB739" s="37">
        <f t="shared" si="1700"/>
        <v>7468</v>
      </c>
      <c r="CC739" s="821">
        <f t="shared" si="1698"/>
        <v>7468</v>
      </c>
      <c r="CD739" s="821">
        <f t="shared" si="1701"/>
        <v>7468</v>
      </c>
      <c r="CE739" s="821">
        <f t="shared" si="1701"/>
        <v>7468</v>
      </c>
      <c r="CF739" s="821">
        <f t="shared" si="1701"/>
        <v>7468</v>
      </c>
      <c r="CG739" s="22"/>
    </row>
    <row r="740" spans="1:85" s="428" customFormat="1" hidden="1" outlineLevel="1" x14ac:dyDescent="0.3">
      <c r="A740" s="294" t="s">
        <v>295</v>
      </c>
      <c r="B740" s="109"/>
      <c r="C740" s="827">
        <v>383</v>
      </c>
      <c r="D740" s="827">
        <v>395</v>
      </c>
      <c r="E740" s="827">
        <v>502</v>
      </c>
      <c r="F740" s="827">
        <v>475</v>
      </c>
      <c r="G740" s="763">
        <v>477</v>
      </c>
      <c r="H740" s="763">
        <v>467</v>
      </c>
      <c r="I740" s="763">
        <v>503</v>
      </c>
      <c r="J740" s="37">
        <f t="shared" si="1684"/>
        <v>491</v>
      </c>
      <c r="K740" s="827">
        <v>491</v>
      </c>
      <c r="L740" s="763">
        <v>452</v>
      </c>
      <c r="M740" s="763">
        <v>479</v>
      </c>
      <c r="N740" s="763">
        <v>501</v>
      </c>
      <c r="O740" s="37">
        <f t="shared" si="1685"/>
        <v>467</v>
      </c>
      <c r="P740" s="827">
        <v>467</v>
      </c>
      <c r="Q740" s="763">
        <v>459</v>
      </c>
      <c r="R740" s="763">
        <v>454</v>
      </c>
      <c r="S740" s="763">
        <v>439</v>
      </c>
      <c r="T740" s="37">
        <f t="shared" si="1686"/>
        <v>490</v>
      </c>
      <c r="U740" s="827">
        <v>490</v>
      </c>
      <c r="V740" s="763">
        <v>449</v>
      </c>
      <c r="W740" s="763">
        <v>431</v>
      </c>
      <c r="X740" s="763">
        <v>440</v>
      </c>
      <c r="Y740" s="37">
        <f t="shared" si="1687"/>
        <v>455</v>
      </c>
      <c r="Z740" s="827">
        <v>455</v>
      </c>
      <c r="AA740" s="763">
        <v>437</v>
      </c>
      <c r="AB740" s="763">
        <v>472</v>
      </c>
      <c r="AC740" s="763">
        <v>516</v>
      </c>
      <c r="AD740" s="37">
        <f t="shared" si="1688"/>
        <v>476</v>
      </c>
      <c r="AE740" s="827">
        <v>476</v>
      </c>
      <c r="AF740" s="763">
        <v>475</v>
      </c>
      <c r="AG740" s="763">
        <v>492</v>
      </c>
      <c r="AH740" s="763">
        <v>495</v>
      </c>
      <c r="AI740" s="37">
        <f t="shared" si="1689"/>
        <v>487</v>
      </c>
      <c r="AJ740" s="827">
        <v>487</v>
      </c>
      <c r="AK740" s="763">
        <v>488</v>
      </c>
      <c r="AL740" s="763">
        <v>483</v>
      </c>
      <c r="AM740" s="763">
        <v>480</v>
      </c>
      <c r="AN740" s="37">
        <f t="shared" si="1690"/>
        <v>492</v>
      </c>
      <c r="AO740" s="827">
        <v>492</v>
      </c>
      <c r="AP740" s="763">
        <v>494</v>
      </c>
      <c r="AQ740" s="763">
        <v>485</v>
      </c>
      <c r="AR740" s="763">
        <v>409</v>
      </c>
      <c r="AS740" s="763">
        <v>457</v>
      </c>
      <c r="AT740" s="821">
        <f t="shared" si="1691"/>
        <v>457</v>
      </c>
      <c r="AU740" s="763">
        <v>448</v>
      </c>
      <c r="AV740" s="763">
        <v>556</v>
      </c>
      <c r="AW740" s="763">
        <v>621</v>
      </c>
      <c r="AX740" s="763">
        <v>565</v>
      </c>
      <c r="AY740" s="821">
        <f t="shared" si="1692"/>
        <v>565</v>
      </c>
      <c r="AZ740" s="763">
        <v>547</v>
      </c>
      <c r="BA740" s="763">
        <v>616</v>
      </c>
      <c r="BB740" s="763">
        <v>668</v>
      </c>
      <c r="BC740" s="763">
        <v>515</v>
      </c>
      <c r="BD740" s="821">
        <f t="shared" si="1693"/>
        <v>515</v>
      </c>
      <c r="BE740" s="763">
        <v>553</v>
      </c>
      <c r="BF740" s="763">
        <v>516</v>
      </c>
      <c r="BG740" s="763">
        <v>455</v>
      </c>
      <c r="BH740" s="763">
        <v>406</v>
      </c>
      <c r="BI740" s="821">
        <f t="shared" si="1694"/>
        <v>406</v>
      </c>
      <c r="BJ740" s="763">
        <v>411</v>
      </c>
      <c r="BK740" s="763">
        <v>426</v>
      </c>
      <c r="BL740" s="763">
        <v>479</v>
      </c>
      <c r="BM740" s="763">
        <v>502</v>
      </c>
      <c r="BN740" s="821">
        <f t="shared" si="1695"/>
        <v>502</v>
      </c>
      <c r="BO740" s="763">
        <v>471</v>
      </c>
      <c r="BP740" s="763">
        <v>517</v>
      </c>
      <c r="BQ740" s="763">
        <v>509</v>
      </c>
      <c r="BR740" s="763">
        <v>571</v>
      </c>
      <c r="BS740" s="821">
        <f t="shared" si="1696"/>
        <v>571</v>
      </c>
      <c r="BT740" s="764">
        <v>520</v>
      </c>
      <c r="BU740" s="37">
        <f t="shared" si="1699"/>
        <v>520</v>
      </c>
      <c r="BV740" s="37">
        <f t="shared" si="1699"/>
        <v>520</v>
      </c>
      <c r="BW740" s="37">
        <f t="shared" si="1699"/>
        <v>520</v>
      </c>
      <c r="BX740" s="821">
        <f t="shared" si="1697"/>
        <v>520</v>
      </c>
      <c r="BY740" s="37">
        <f t="shared" si="1700"/>
        <v>520</v>
      </c>
      <c r="BZ740" s="37">
        <f t="shared" si="1700"/>
        <v>520</v>
      </c>
      <c r="CA740" s="37">
        <f t="shared" si="1700"/>
        <v>520</v>
      </c>
      <c r="CB740" s="37">
        <f t="shared" si="1700"/>
        <v>520</v>
      </c>
      <c r="CC740" s="821">
        <f t="shared" si="1698"/>
        <v>520</v>
      </c>
      <c r="CD740" s="821">
        <f t="shared" si="1701"/>
        <v>520</v>
      </c>
      <c r="CE740" s="821">
        <f t="shared" si="1701"/>
        <v>520</v>
      </c>
      <c r="CF740" s="821">
        <f t="shared" si="1701"/>
        <v>520</v>
      </c>
      <c r="CG740" s="22"/>
    </row>
    <row r="741" spans="1:85" s="428" customFormat="1" hidden="1" outlineLevel="1" x14ac:dyDescent="0.3">
      <c r="A741" s="295" t="s">
        <v>296</v>
      </c>
      <c r="B741" s="244"/>
      <c r="C741" s="828">
        <v>1466</v>
      </c>
      <c r="D741" s="828">
        <v>1509</v>
      </c>
      <c r="E741" s="828">
        <v>1621</v>
      </c>
      <c r="F741" s="828">
        <v>1746</v>
      </c>
      <c r="G741" s="765">
        <v>1803</v>
      </c>
      <c r="H741" s="765">
        <v>1893</v>
      </c>
      <c r="I741" s="765">
        <v>1922</v>
      </c>
      <c r="J741" s="56">
        <f t="shared" si="1684"/>
        <v>2010</v>
      </c>
      <c r="K741" s="828">
        <v>2010</v>
      </c>
      <c r="L741" s="765">
        <v>2064</v>
      </c>
      <c r="M741" s="765">
        <v>2130</v>
      </c>
      <c r="N741" s="765">
        <v>2131</v>
      </c>
      <c r="O741" s="56">
        <f t="shared" si="1685"/>
        <v>2184</v>
      </c>
      <c r="P741" s="828">
        <v>2184</v>
      </c>
      <c r="Q741" s="765">
        <v>2221</v>
      </c>
      <c r="R741" s="765">
        <v>2345</v>
      </c>
      <c r="S741" s="765">
        <v>2377</v>
      </c>
      <c r="T741" s="56">
        <f t="shared" si="1686"/>
        <v>2309</v>
      </c>
      <c r="U741" s="828">
        <v>2309</v>
      </c>
      <c r="V741" s="765">
        <v>2336</v>
      </c>
      <c r="W741" s="765">
        <v>2316</v>
      </c>
      <c r="X741" s="765">
        <v>2305</v>
      </c>
      <c r="Y741" s="56">
        <f t="shared" si="1687"/>
        <v>2244</v>
      </c>
      <c r="Z741" s="828">
        <v>2244</v>
      </c>
      <c r="AA741" s="765">
        <v>2169</v>
      </c>
      <c r="AB741" s="765">
        <v>2142</v>
      </c>
      <c r="AC741" s="765">
        <v>2089</v>
      </c>
      <c r="AD741" s="56">
        <f t="shared" si="1688"/>
        <v>1967</v>
      </c>
      <c r="AE741" s="828">
        <v>1967</v>
      </c>
      <c r="AF741" s="765">
        <v>1948</v>
      </c>
      <c r="AG741" s="765">
        <v>1946</v>
      </c>
      <c r="AH741" s="765">
        <v>1916</v>
      </c>
      <c r="AI741" s="56">
        <f t="shared" si="1689"/>
        <v>1834</v>
      </c>
      <c r="AJ741" s="828">
        <v>1834</v>
      </c>
      <c r="AK741" s="765">
        <v>1754</v>
      </c>
      <c r="AL741" s="765">
        <v>1785</v>
      </c>
      <c r="AM741" s="765">
        <v>1749</v>
      </c>
      <c r="AN741" s="56">
        <f t="shared" si="1690"/>
        <v>1634</v>
      </c>
      <c r="AO741" s="828">
        <v>1634</v>
      </c>
      <c r="AP741" s="765">
        <v>1655</v>
      </c>
      <c r="AQ741" s="765">
        <v>1699</v>
      </c>
      <c r="AR741" s="765">
        <v>1684</v>
      </c>
      <c r="AS741" s="765">
        <v>1643</v>
      </c>
      <c r="AT741" s="822">
        <f t="shared" si="1691"/>
        <v>1643</v>
      </c>
      <c r="AU741" s="765">
        <v>1637</v>
      </c>
      <c r="AV741" s="765">
        <v>1590</v>
      </c>
      <c r="AW741" s="765">
        <v>1571</v>
      </c>
      <c r="AX741" s="765">
        <v>1492</v>
      </c>
      <c r="AY741" s="822">
        <f t="shared" si="1692"/>
        <v>1492</v>
      </c>
      <c r="AZ741" s="765">
        <v>1511</v>
      </c>
      <c r="BA741" s="765">
        <v>1428</v>
      </c>
      <c r="BB741" s="765">
        <v>1417</v>
      </c>
      <c r="BC741" s="765">
        <v>1866</v>
      </c>
      <c r="BD741" s="822">
        <f t="shared" si="1693"/>
        <v>1866</v>
      </c>
      <c r="BE741" s="765">
        <v>2411</v>
      </c>
      <c r="BF741" s="765">
        <v>2284</v>
      </c>
      <c r="BG741" s="765">
        <v>2308</v>
      </c>
      <c r="BH741" s="765">
        <v>2147</v>
      </c>
      <c r="BI741" s="822">
        <f t="shared" si="1694"/>
        <v>2147</v>
      </c>
      <c r="BJ741" s="765">
        <v>2319</v>
      </c>
      <c r="BK741" s="765">
        <v>2389</v>
      </c>
      <c r="BL741" s="765">
        <v>2479</v>
      </c>
      <c r="BM741" s="765">
        <v>2082</v>
      </c>
      <c r="BN741" s="822">
        <f t="shared" si="1695"/>
        <v>2082</v>
      </c>
      <c r="BO741" s="765">
        <v>2096</v>
      </c>
      <c r="BP741" s="765">
        <v>2021</v>
      </c>
      <c r="BQ741" s="765">
        <v>2511</v>
      </c>
      <c r="BR741" s="765">
        <v>2500</v>
      </c>
      <c r="BS741" s="822">
        <f t="shared" si="1696"/>
        <v>2500</v>
      </c>
      <c r="BT741" s="766">
        <v>2566</v>
      </c>
      <c r="BU741" s="56">
        <f t="shared" si="1699"/>
        <v>2566</v>
      </c>
      <c r="BV741" s="56">
        <f t="shared" si="1699"/>
        <v>2566</v>
      </c>
      <c r="BW741" s="56">
        <f t="shared" si="1699"/>
        <v>2566</v>
      </c>
      <c r="BX741" s="822">
        <f t="shared" si="1697"/>
        <v>2566</v>
      </c>
      <c r="BY741" s="56">
        <f t="shared" si="1700"/>
        <v>2566</v>
      </c>
      <c r="BZ741" s="56">
        <f t="shared" si="1700"/>
        <v>2566</v>
      </c>
      <c r="CA741" s="56">
        <f t="shared" si="1700"/>
        <v>2566</v>
      </c>
      <c r="CB741" s="56">
        <f t="shared" si="1700"/>
        <v>2566</v>
      </c>
      <c r="CC741" s="822">
        <f t="shared" si="1698"/>
        <v>2566</v>
      </c>
      <c r="CD741" s="822">
        <f t="shared" si="1701"/>
        <v>2566</v>
      </c>
      <c r="CE741" s="822">
        <f t="shared" si="1701"/>
        <v>2566</v>
      </c>
      <c r="CF741" s="822">
        <f t="shared" si="1701"/>
        <v>2566</v>
      </c>
      <c r="CG741" s="22"/>
    </row>
    <row r="742" spans="1:85" s="428" customFormat="1" collapsed="1" x14ac:dyDescent="0.3">
      <c r="A742" s="43" t="s">
        <v>297</v>
      </c>
      <c r="B742" s="109"/>
      <c r="C742" s="827">
        <v>5529</v>
      </c>
      <c r="D742" s="827">
        <v>5493</v>
      </c>
      <c r="E742" s="827">
        <v>5543</v>
      </c>
      <c r="F742" s="827">
        <v>6144</v>
      </c>
      <c r="G742" s="763">
        <v>6664</v>
      </c>
      <c r="H742" s="763">
        <v>7423</v>
      </c>
      <c r="I742" s="763">
        <v>6893</v>
      </c>
      <c r="J742" s="37">
        <f t="shared" si="1684"/>
        <v>6380</v>
      </c>
      <c r="K742" s="827">
        <v>6380</v>
      </c>
      <c r="L742" s="763">
        <v>7472</v>
      </c>
      <c r="M742" s="763">
        <v>7215</v>
      </c>
      <c r="N742" s="763">
        <v>7304</v>
      </c>
      <c r="O742" s="37">
        <f t="shared" si="1685"/>
        <v>6505</v>
      </c>
      <c r="P742" s="827">
        <v>6505</v>
      </c>
      <c r="Q742" s="763">
        <v>6837</v>
      </c>
      <c r="R742" s="763">
        <v>7116</v>
      </c>
      <c r="S742" s="763">
        <v>6864</v>
      </c>
      <c r="T742" s="37">
        <f t="shared" si="1686"/>
        <v>6334</v>
      </c>
      <c r="U742" s="827">
        <v>6334</v>
      </c>
      <c r="V742" s="763">
        <v>6508</v>
      </c>
      <c r="W742" s="763">
        <v>6427</v>
      </c>
      <c r="X742" s="763">
        <v>5976</v>
      </c>
      <c r="Y742" s="37">
        <f t="shared" si="1687"/>
        <v>5419</v>
      </c>
      <c r="Z742" s="827">
        <v>5419</v>
      </c>
      <c r="AA742" s="763">
        <v>5921</v>
      </c>
      <c r="AB742" s="763">
        <v>6075</v>
      </c>
      <c r="AC742" s="37">
        <f>SUM(AC739:AC741)</f>
        <v>5761</v>
      </c>
      <c r="AD742" s="37">
        <f t="shared" si="1688"/>
        <v>5585</v>
      </c>
      <c r="AE742" s="827">
        <v>5585</v>
      </c>
      <c r="AF742" s="763">
        <v>6128</v>
      </c>
      <c r="AG742" s="37">
        <f t="shared" ref="AG742:AY742" si="1702">SUM(AG739:AG741)</f>
        <v>6644</v>
      </c>
      <c r="AH742" s="37">
        <f t="shared" si="1702"/>
        <v>6029</v>
      </c>
      <c r="AI742" s="37">
        <f t="shared" si="1702"/>
        <v>5704</v>
      </c>
      <c r="AJ742" s="821">
        <f t="shared" si="1702"/>
        <v>5704</v>
      </c>
      <c r="AK742" s="37">
        <f t="shared" si="1702"/>
        <v>6723</v>
      </c>
      <c r="AL742" s="37">
        <f t="shared" si="1702"/>
        <v>6809</v>
      </c>
      <c r="AM742" s="37">
        <f t="shared" si="1702"/>
        <v>5951</v>
      </c>
      <c r="AN742" s="37">
        <f t="shared" si="1702"/>
        <v>5848</v>
      </c>
      <c r="AO742" s="821">
        <f t="shared" si="1702"/>
        <v>5848</v>
      </c>
      <c r="AP742" s="37">
        <f t="shared" si="1702"/>
        <v>6574</v>
      </c>
      <c r="AQ742" s="37">
        <f t="shared" si="1702"/>
        <v>5511</v>
      </c>
      <c r="AR742" s="37">
        <f>SUM(AR739:AR741)</f>
        <v>5681</v>
      </c>
      <c r="AS742" s="37">
        <f t="shared" si="1702"/>
        <v>5676</v>
      </c>
      <c r="AT742" s="821">
        <f t="shared" si="1702"/>
        <v>5676</v>
      </c>
      <c r="AU742" s="37">
        <f t="shared" ref="AU742" si="1703">SUM(AU739:AU741)</f>
        <v>5620</v>
      </c>
      <c r="AV742" s="37">
        <f>SUM(AV739:AV741)</f>
        <v>6239</v>
      </c>
      <c r="AW742" s="37">
        <f t="shared" ref="AW742" si="1704">SUM(AW739:AW741)</f>
        <v>6129</v>
      </c>
      <c r="AX742" s="37">
        <f t="shared" si="1702"/>
        <v>6305</v>
      </c>
      <c r="AY742" s="821">
        <f t="shared" si="1702"/>
        <v>6305</v>
      </c>
      <c r="AZ742" s="37">
        <f t="shared" ref="AZ742:BN742" si="1705">SUM(AZ739:AZ741)</f>
        <v>6525</v>
      </c>
      <c r="BA742" s="37">
        <f t="shared" si="1705"/>
        <v>7715</v>
      </c>
      <c r="BB742" s="37">
        <f t="shared" si="1705"/>
        <v>9002</v>
      </c>
      <c r="BC742" s="37">
        <f t="shared" si="1705"/>
        <v>8247</v>
      </c>
      <c r="BD742" s="821">
        <f t="shared" ref="BD742" si="1706">SUM(BD739:BD741)</f>
        <v>8247</v>
      </c>
      <c r="BE742" s="37">
        <f t="shared" si="1705"/>
        <v>9232</v>
      </c>
      <c r="BF742" s="37">
        <f t="shared" si="1705"/>
        <v>9198</v>
      </c>
      <c r="BG742" s="37">
        <f t="shared" si="1705"/>
        <v>9428</v>
      </c>
      <c r="BH742" s="37">
        <f t="shared" ref="BH742:BM742" si="1707">SUM(BH739:BH741)</f>
        <v>8612</v>
      </c>
      <c r="BI742" s="821">
        <f t="shared" si="1707"/>
        <v>8612</v>
      </c>
      <c r="BJ742" s="37">
        <f t="shared" si="1707"/>
        <v>9942</v>
      </c>
      <c r="BK742" s="37">
        <f t="shared" si="1707"/>
        <v>10477</v>
      </c>
      <c r="BL742" s="37">
        <f t="shared" si="1707"/>
        <v>9725</v>
      </c>
      <c r="BM742" s="37">
        <f t="shared" si="1707"/>
        <v>9074</v>
      </c>
      <c r="BN742" s="821">
        <f t="shared" si="1705"/>
        <v>9074</v>
      </c>
      <c r="BO742" s="37">
        <f t="shared" ref="BO742:BX742" si="1708">SUM(BO739:BO741)</f>
        <v>9167</v>
      </c>
      <c r="BP742" s="37">
        <f t="shared" si="1708"/>
        <v>8813</v>
      </c>
      <c r="BQ742" s="37">
        <f t="shared" si="1708"/>
        <v>10436</v>
      </c>
      <c r="BR742" s="37">
        <f t="shared" si="1708"/>
        <v>9711</v>
      </c>
      <c r="BS742" s="821">
        <f t="shared" si="1708"/>
        <v>9711</v>
      </c>
      <c r="BT742" s="480">
        <f>SUM(BT739:BT741)</f>
        <v>10554</v>
      </c>
      <c r="BU742" s="37">
        <f>SUM(BU739:BU741)</f>
        <v>10554</v>
      </c>
      <c r="BV742" s="37">
        <f>SUM(BV739:BV741)</f>
        <v>10554</v>
      </c>
      <c r="BW742" s="37">
        <f>SUM(BW739:BW741)</f>
        <v>10554</v>
      </c>
      <c r="BX742" s="821">
        <f t="shared" si="1708"/>
        <v>10554</v>
      </c>
      <c r="BY742" s="37">
        <f t="shared" ref="BY742:CF742" si="1709">SUM(BY739:BY741)</f>
        <v>10554</v>
      </c>
      <c r="BZ742" s="37">
        <f t="shared" si="1709"/>
        <v>10554</v>
      </c>
      <c r="CA742" s="37">
        <f t="shared" si="1709"/>
        <v>10554</v>
      </c>
      <c r="CB742" s="37">
        <f t="shared" si="1709"/>
        <v>10554</v>
      </c>
      <c r="CC742" s="821">
        <f t="shared" si="1709"/>
        <v>10554</v>
      </c>
      <c r="CD742" s="821">
        <f t="shared" si="1709"/>
        <v>10554</v>
      </c>
      <c r="CE742" s="821">
        <f t="shared" si="1709"/>
        <v>10554</v>
      </c>
      <c r="CF742" s="821">
        <f t="shared" si="1709"/>
        <v>10554</v>
      </c>
      <c r="CG742" s="22"/>
    </row>
    <row r="743" spans="1:85" s="428" customFormat="1" x14ac:dyDescent="0.3">
      <c r="A743" s="294" t="s">
        <v>298</v>
      </c>
      <c r="B743" s="109"/>
      <c r="C743" s="821"/>
      <c r="D743" s="821"/>
      <c r="E743" s="821"/>
      <c r="F743" s="821"/>
      <c r="G743" s="37"/>
      <c r="H743" s="37"/>
      <c r="I743" s="37"/>
      <c r="J743" s="37"/>
      <c r="K743" s="821"/>
      <c r="L743" s="37"/>
      <c r="M743" s="37"/>
      <c r="N743" s="37"/>
      <c r="O743" s="37"/>
      <c r="P743" s="821"/>
      <c r="Q743" s="37"/>
      <c r="R743" s="37"/>
      <c r="S743" s="37"/>
      <c r="T743" s="37"/>
      <c r="U743" s="821"/>
      <c r="V743" s="37"/>
      <c r="W743" s="37"/>
      <c r="X743" s="37"/>
      <c r="Y743" s="37"/>
      <c r="Z743" s="821"/>
      <c r="AA743" s="37"/>
      <c r="AB743" s="37"/>
      <c r="AC743" s="37"/>
      <c r="AD743" s="37"/>
      <c r="AE743" s="821"/>
      <c r="AF743" s="763">
        <v>316</v>
      </c>
      <c r="AG743" s="763">
        <v>339</v>
      </c>
      <c r="AH743" s="763">
        <v>277</v>
      </c>
      <c r="AI743" s="37"/>
      <c r="AJ743" s="821"/>
      <c r="AK743" s="763">
        <v>195</v>
      </c>
      <c r="AL743" s="763">
        <v>428</v>
      </c>
      <c r="AM743" s="763">
        <v>370</v>
      </c>
      <c r="AN743" s="37">
        <f>AO743</f>
        <v>452</v>
      </c>
      <c r="AO743" s="827">
        <v>452</v>
      </c>
      <c r="AP743" s="763">
        <v>434</v>
      </c>
      <c r="AQ743" s="763">
        <v>161</v>
      </c>
      <c r="AR743" s="763">
        <v>169</v>
      </c>
      <c r="AS743" s="763">
        <v>365</v>
      </c>
      <c r="AT743" s="821">
        <f>AS743</f>
        <v>365</v>
      </c>
      <c r="AU743" s="763">
        <v>412</v>
      </c>
      <c r="AV743" s="763">
        <v>378</v>
      </c>
      <c r="AW743" s="763">
        <v>246</v>
      </c>
      <c r="AX743" s="763">
        <v>333</v>
      </c>
      <c r="AY743" s="821">
        <f>AX743</f>
        <v>333</v>
      </c>
      <c r="AZ743" s="763">
        <v>317</v>
      </c>
      <c r="BA743" s="763">
        <v>524</v>
      </c>
      <c r="BB743" s="763">
        <v>742</v>
      </c>
      <c r="BC743" s="763">
        <v>630</v>
      </c>
      <c r="BD743" s="821">
        <f>BC743</f>
        <v>630</v>
      </c>
      <c r="BE743" s="763">
        <v>357</v>
      </c>
      <c r="BF743" s="763">
        <v>234</v>
      </c>
      <c r="BG743" s="763">
        <v>306</v>
      </c>
      <c r="BH743" s="763">
        <v>275</v>
      </c>
      <c r="BI743" s="821">
        <f t="shared" ref="BI743:BS743" si="1710">BH743</f>
        <v>275</v>
      </c>
      <c r="BJ743" s="763">
        <v>127</v>
      </c>
      <c r="BK743" s="763">
        <v>145</v>
      </c>
      <c r="BL743" s="763">
        <v>240</v>
      </c>
      <c r="BM743" s="763">
        <v>281</v>
      </c>
      <c r="BN743" s="821">
        <f t="shared" si="1710"/>
        <v>281</v>
      </c>
      <c r="BO743" s="763">
        <v>325</v>
      </c>
      <c r="BP743" s="763">
        <v>237</v>
      </c>
      <c r="BQ743" s="763">
        <v>247</v>
      </c>
      <c r="BR743" s="763">
        <v>174</v>
      </c>
      <c r="BS743" s="821">
        <f t="shared" si="1710"/>
        <v>174</v>
      </c>
      <c r="BT743" s="764">
        <v>199</v>
      </c>
      <c r="BU743" s="37">
        <f t="shared" ref="BU743:CF743" si="1711">BT743</f>
        <v>199</v>
      </c>
      <c r="BV743" s="37">
        <f t="shared" si="1711"/>
        <v>199</v>
      </c>
      <c r="BW743" s="37">
        <f t="shared" si="1711"/>
        <v>199</v>
      </c>
      <c r="BX743" s="821">
        <f t="shared" si="1711"/>
        <v>199</v>
      </c>
      <c r="BY743" s="37">
        <f t="shared" si="1711"/>
        <v>199</v>
      </c>
      <c r="BZ743" s="37">
        <f t="shared" si="1711"/>
        <v>199</v>
      </c>
      <c r="CA743" s="37">
        <f t="shared" si="1711"/>
        <v>199</v>
      </c>
      <c r="CB743" s="37">
        <f t="shared" si="1711"/>
        <v>199</v>
      </c>
      <c r="CC743" s="821">
        <f t="shared" si="1711"/>
        <v>199</v>
      </c>
      <c r="CD743" s="821">
        <f t="shared" si="1711"/>
        <v>199</v>
      </c>
      <c r="CE743" s="821">
        <f t="shared" si="1711"/>
        <v>199</v>
      </c>
      <c r="CF743" s="821">
        <f t="shared" si="1711"/>
        <v>199</v>
      </c>
      <c r="CG743" s="22"/>
    </row>
    <row r="744" spans="1:85" s="428" customFormat="1" x14ac:dyDescent="0.3">
      <c r="A744" s="295" t="s">
        <v>299</v>
      </c>
      <c r="B744" s="244"/>
      <c r="C744" s="822">
        <f t="shared" ref="C744:AH744" si="1712">C745-C743</f>
        <v>5162</v>
      </c>
      <c r="D744" s="822">
        <f t="shared" si="1712"/>
        <v>5519</v>
      </c>
      <c r="E744" s="822">
        <f t="shared" si="1712"/>
        <v>5827</v>
      </c>
      <c r="F744" s="822">
        <f t="shared" si="1712"/>
        <v>6666</v>
      </c>
      <c r="G744" s="56">
        <f t="shared" si="1712"/>
        <v>7015</v>
      </c>
      <c r="H744" s="56">
        <f t="shared" si="1712"/>
        <v>6112</v>
      </c>
      <c r="I744" s="56">
        <f t="shared" si="1712"/>
        <v>6389</v>
      </c>
      <c r="J744" s="56">
        <f t="shared" si="1712"/>
        <v>5732</v>
      </c>
      <c r="K744" s="822">
        <f t="shared" si="1712"/>
        <v>5732</v>
      </c>
      <c r="L744" s="56">
        <f t="shared" si="1712"/>
        <v>5809</v>
      </c>
      <c r="M744" s="56">
        <f t="shared" si="1712"/>
        <v>5892</v>
      </c>
      <c r="N744" s="56">
        <f t="shared" si="1712"/>
        <v>5315</v>
      </c>
      <c r="O744" s="56">
        <f t="shared" si="1712"/>
        <v>5776</v>
      </c>
      <c r="P744" s="822">
        <f t="shared" si="1712"/>
        <v>5776</v>
      </c>
      <c r="Q744" s="56">
        <f t="shared" si="1712"/>
        <v>6087</v>
      </c>
      <c r="R744" s="56">
        <f t="shared" si="1712"/>
        <v>4948</v>
      </c>
      <c r="S744" s="56">
        <f t="shared" si="1712"/>
        <v>5476</v>
      </c>
      <c r="T744" s="56">
        <f t="shared" si="1712"/>
        <v>3904</v>
      </c>
      <c r="U744" s="822">
        <f t="shared" si="1712"/>
        <v>3904</v>
      </c>
      <c r="V744" s="56">
        <f t="shared" si="1712"/>
        <v>3867</v>
      </c>
      <c r="W744" s="56">
        <f t="shared" si="1712"/>
        <v>3470</v>
      </c>
      <c r="X744" s="56">
        <f t="shared" si="1712"/>
        <v>2703</v>
      </c>
      <c r="Y744" s="56">
        <f t="shared" si="1712"/>
        <v>3107</v>
      </c>
      <c r="Z744" s="822">
        <f t="shared" si="1712"/>
        <v>3107</v>
      </c>
      <c r="AA744" s="56">
        <f t="shared" si="1712"/>
        <v>2899</v>
      </c>
      <c r="AB744" s="56">
        <f t="shared" si="1712"/>
        <v>2608</v>
      </c>
      <c r="AC744" s="56">
        <f t="shared" si="1712"/>
        <v>2859</v>
      </c>
      <c r="AD744" s="56">
        <f t="shared" si="1712"/>
        <v>2800</v>
      </c>
      <c r="AE744" s="822">
        <f t="shared" si="1712"/>
        <v>2800</v>
      </c>
      <c r="AF744" s="56">
        <f t="shared" si="1712"/>
        <v>3007</v>
      </c>
      <c r="AG744" s="56">
        <f t="shared" si="1712"/>
        <v>2915</v>
      </c>
      <c r="AH744" s="56">
        <f t="shared" si="1712"/>
        <v>2743</v>
      </c>
      <c r="AI744" s="56">
        <f t="shared" ref="AI744:BN744" si="1713">AI745-AI743</f>
        <v>2922</v>
      </c>
      <c r="AJ744" s="822">
        <f t="shared" si="1713"/>
        <v>2922</v>
      </c>
      <c r="AK744" s="56">
        <f t="shared" si="1713"/>
        <v>3070</v>
      </c>
      <c r="AL744" s="56">
        <f t="shared" si="1713"/>
        <v>2896</v>
      </c>
      <c r="AM744" s="56">
        <f t="shared" si="1713"/>
        <v>2946</v>
      </c>
      <c r="AN744" s="56">
        <f t="shared" si="1713"/>
        <v>2955</v>
      </c>
      <c r="AO744" s="822">
        <f t="shared" si="1713"/>
        <v>2955</v>
      </c>
      <c r="AP744" s="56">
        <f t="shared" si="1713"/>
        <v>2845</v>
      </c>
      <c r="AQ744" s="56">
        <f t="shared" si="1713"/>
        <v>2576</v>
      </c>
      <c r="AR744" s="56">
        <f t="shared" si="1713"/>
        <v>2337</v>
      </c>
      <c r="AS744" s="56">
        <f t="shared" si="1713"/>
        <v>2939</v>
      </c>
      <c r="AT744" s="822">
        <f t="shared" si="1713"/>
        <v>2939</v>
      </c>
      <c r="AU744" s="56">
        <f t="shared" si="1713"/>
        <v>3175</v>
      </c>
      <c r="AV744" s="56">
        <f t="shared" si="1713"/>
        <v>3090</v>
      </c>
      <c r="AW744" s="56">
        <f t="shared" si="1713"/>
        <v>3163</v>
      </c>
      <c r="AX744" s="56">
        <f t="shared" si="1713"/>
        <v>3006</v>
      </c>
      <c r="AY744" s="822">
        <f t="shared" si="1713"/>
        <v>3006</v>
      </c>
      <c r="AZ744" s="56">
        <f t="shared" si="1713"/>
        <v>2908</v>
      </c>
      <c r="BA744" s="56">
        <f t="shared" si="1713"/>
        <v>3719</v>
      </c>
      <c r="BB744" s="56">
        <f t="shared" si="1713"/>
        <v>3862</v>
      </c>
      <c r="BC744" s="56">
        <f t="shared" si="1713"/>
        <v>3109</v>
      </c>
      <c r="BD744" s="822">
        <f t="shared" si="1713"/>
        <v>3109</v>
      </c>
      <c r="BE744" s="56">
        <f t="shared" ref="BE744" si="1714">BE745-BE743</f>
        <v>3943</v>
      </c>
      <c r="BF744" s="56">
        <f t="shared" si="1713"/>
        <v>4463</v>
      </c>
      <c r="BG744" s="56">
        <f t="shared" si="1713"/>
        <v>4067</v>
      </c>
      <c r="BH744" s="37">
        <f t="shared" ref="BH744:BM744" si="1715">BH745-BH743</f>
        <v>4097</v>
      </c>
      <c r="BI744" s="821">
        <f t="shared" si="1715"/>
        <v>4097</v>
      </c>
      <c r="BJ744" s="56">
        <f t="shared" si="1715"/>
        <v>3747</v>
      </c>
      <c r="BK744" s="56">
        <f t="shared" si="1715"/>
        <v>3987</v>
      </c>
      <c r="BL744" s="56">
        <f t="shared" si="1715"/>
        <v>3928</v>
      </c>
      <c r="BM744" s="56">
        <f t="shared" si="1715"/>
        <v>4087</v>
      </c>
      <c r="BN744" s="822">
        <f t="shared" si="1713"/>
        <v>4087</v>
      </c>
      <c r="BO744" s="56">
        <f t="shared" ref="BO744:BX744" si="1716">BO745-BO743</f>
        <v>4879</v>
      </c>
      <c r="BP744" s="56">
        <f t="shared" si="1716"/>
        <v>3912</v>
      </c>
      <c r="BQ744" s="56">
        <f t="shared" si="1716"/>
        <v>4569</v>
      </c>
      <c r="BR744" s="56">
        <f t="shared" si="1716"/>
        <v>4295</v>
      </c>
      <c r="BS744" s="822">
        <f t="shared" si="1716"/>
        <v>4295</v>
      </c>
      <c r="BT744" s="478">
        <f>BT745-BT743</f>
        <v>4824</v>
      </c>
      <c r="BU744" s="56">
        <f>BU745-BU743</f>
        <v>4824</v>
      </c>
      <c r="BV744" s="56">
        <f>BV745-BV743</f>
        <v>4824</v>
      </c>
      <c r="BW744" s="56">
        <f>BW745-BW743</f>
        <v>4824</v>
      </c>
      <c r="BX744" s="822">
        <f t="shared" si="1716"/>
        <v>4824</v>
      </c>
      <c r="BY744" s="56">
        <f t="shared" ref="BY744:CF744" si="1717">BY745-BY743</f>
        <v>4824</v>
      </c>
      <c r="BZ744" s="56">
        <f t="shared" si="1717"/>
        <v>4824</v>
      </c>
      <c r="CA744" s="56">
        <f t="shared" si="1717"/>
        <v>4824</v>
      </c>
      <c r="CB744" s="56">
        <f t="shared" si="1717"/>
        <v>4824</v>
      </c>
      <c r="CC744" s="822">
        <f t="shared" si="1717"/>
        <v>4824</v>
      </c>
      <c r="CD744" s="822">
        <f t="shared" si="1717"/>
        <v>4824</v>
      </c>
      <c r="CE744" s="822">
        <f t="shared" si="1717"/>
        <v>4824</v>
      </c>
      <c r="CF744" s="822">
        <f t="shared" si="1717"/>
        <v>4824</v>
      </c>
      <c r="CG744" s="22"/>
    </row>
    <row r="745" spans="1:85" s="428" customFormat="1" x14ac:dyDescent="0.3">
      <c r="A745" s="289" t="s">
        <v>300</v>
      </c>
      <c r="B745" s="290"/>
      <c r="C745" s="944">
        <v>5162</v>
      </c>
      <c r="D745" s="944">
        <v>5519</v>
      </c>
      <c r="E745" s="944">
        <v>5827</v>
      </c>
      <c r="F745" s="944">
        <v>6666</v>
      </c>
      <c r="G745" s="797">
        <v>7015</v>
      </c>
      <c r="H745" s="797">
        <v>6112</v>
      </c>
      <c r="I745" s="797">
        <v>6389</v>
      </c>
      <c r="J745" s="135">
        <f>K745</f>
        <v>5732</v>
      </c>
      <c r="K745" s="944">
        <v>5732</v>
      </c>
      <c r="L745" s="797">
        <v>5809</v>
      </c>
      <c r="M745" s="797">
        <v>5892</v>
      </c>
      <c r="N745" s="797">
        <v>5315</v>
      </c>
      <c r="O745" s="135">
        <f>P745</f>
        <v>5776</v>
      </c>
      <c r="P745" s="944">
        <v>5776</v>
      </c>
      <c r="Q745" s="797">
        <v>6087</v>
      </c>
      <c r="R745" s="797">
        <v>4948</v>
      </c>
      <c r="S745" s="797">
        <v>5476</v>
      </c>
      <c r="T745" s="135">
        <f>U745</f>
        <v>3904</v>
      </c>
      <c r="U745" s="944">
        <v>3904</v>
      </c>
      <c r="V745" s="797">
        <v>3867</v>
      </c>
      <c r="W745" s="797">
        <v>3470</v>
      </c>
      <c r="X745" s="797">
        <v>2703</v>
      </c>
      <c r="Y745" s="135">
        <f>Z745</f>
        <v>3107</v>
      </c>
      <c r="Z745" s="944">
        <v>3107</v>
      </c>
      <c r="AA745" s="797">
        <v>2899</v>
      </c>
      <c r="AB745" s="797">
        <v>2608</v>
      </c>
      <c r="AC745" s="797">
        <v>2859</v>
      </c>
      <c r="AD745" s="135">
        <f>AE745</f>
        <v>2800</v>
      </c>
      <c r="AE745" s="944">
        <v>2800</v>
      </c>
      <c r="AF745" s="797">
        <v>3323</v>
      </c>
      <c r="AG745" s="797">
        <v>3254</v>
      </c>
      <c r="AH745" s="797">
        <v>3020</v>
      </c>
      <c r="AI745" s="135">
        <f>AJ745</f>
        <v>2922</v>
      </c>
      <c r="AJ745" s="944">
        <v>2922</v>
      </c>
      <c r="AK745" s="797">
        <v>3265</v>
      </c>
      <c r="AL745" s="797">
        <v>3324</v>
      </c>
      <c r="AM745" s="797">
        <v>3316</v>
      </c>
      <c r="AN745" s="135">
        <f>AO745</f>
        <v>3407</v>
      </c>
      <c r="AO745" s="944">
        <v>3407</v>
      </c>
      <c r="AP745" s="797">
        <v>3279</v>
      </c>
      <c r="AQ745" s="797">
        <v>2737</v>
      </c>
      <c r="AR745" s="797">
        <v>2506</v>
      </c>
      <c r="AS745" s="797">
        <v>3304</v>
      </c>
      <c r="AT745" s="900">
        <f>AS745</f>
        <v>3304</v>
      </c>
      <c r="AU745" s="797">
        <v>3587</v>
      </c>
      <c r="AV745" s="797">
        <v>3468</v>
      </c>
      <c r="AW745" s="797">
        <v>3409</v>
      </c>
      <c r="AX745" s="797">
        <v>3339</v>
      </c>
      <c r="AY745" s="900">
        <f>AX745</f>
        <v>3339</v>
      </c>
      <c r="AZ745" s="797">
        <v>3225</v>
      </c>
      <c r="BA745" s="797">
        <v>4243</v>
      </c>
      <c r="BB745" s="797">
        <v>4604</v>
      </c>
      <c r="BC745" s="797">
        <v>3739</v>
      </c>
      <c r="BD745" s="900">
        <f>BC745</f>
        <v>3739</v>
      </c>
      <c r="BE745" s="797">
        <v>4300</v>
      </c>
      <c r="BF745" s="797">
        <v>4697</v>
      </c>
      <c r="BG745" s="797">
        <v>4373</v>
      </c>
      <c r="BH745" s="797">
        <v>4372</v>
      </c>
      <c r="BI745" s="900">
        <f>BH745</f>
        <v>4372</v>
      </c>
      <c r="BJ745" s="797">
        <v>3874</v>
      </c>
      <c r="BK745" s="797">
        <v>4132</v>
      </c>
      <c r="BL745" s="797">
        <v>4168</v>
      </c>
      <c r="BM745" s="797">
        <v>4368</v>
      </c>
      <c r="BN745" s="900">
        <f>BM745</f>
        <v>4368</v>
      </c>
      <c r="BO745" s="797">
        <v>5204</v>
      </c>
      <c r="BP745" s="797">
        <v>4149</v>
      </c>
      <c r="BQ745" s="797">
        <v>4816</v>
      </c>
      <c r="BR745" s="797">
        <v>4469</v>
      </c>
      <c r="BS745" s="900">
        <f>BR745</f>
        <v>4469</v>
      </c>
      <c r="BT745" s="798">
        <v>5023</v>
      </c>
      <c r="BU745" s="135">
        <f t="shared" ref="BU745:CF745" si="1718">BT745</f>
        <v>5023</v>
      </c>
      <c r="BV745" s="135">
        <f t="shared" si="1718"/>
        <v>5023</v>
      </c>
      <c r="BW745" s="135">
        <f t="shared" si="1718"/>
        <v>5023</v>
      </c>
      <c r="BX745" s="900">
        <f t="shared" si="1718"/>
        <v>5023</v>
      </c>
      <c r="BY745" s="135">
        <f t="shared" si="1718"/>
        <v>5023</v>
      </c>
      <c r="BZ745" s="135">
        <f t="shared" si="1718"/>
        <v>5023</v>
      </c>
      <c r="CA745" s="135">
        <f t="shared" si="1718"/>
        <v>5023</v>
      </c>
      <c r="CB745" s="135">
        <f t="shared" si="1718"/>
        <v>5023</v>
      </c>
      <c r="CC745" s="900">
        <f t="shared" si="1718"/>
        <v>5023</v>
      </c>
      <c r="CD745" s="900">
        <f t="shared" si="1718"/>
        <v>5023</v>
      </c>
      <c r="CE745" s="900">
        <f t="shared" si="1718"/>
        <v>5023</v>
      </c>
      <c r="CF745" s="900">
        <f t="shared" si="1718"/>
        <v>5023</v>
      </c>
      <c r="CG745" s="22"/>
    </row>
    <row r="746" spans="1:85" s="429" customFormat="1" x14ac:dyDescent="0.3">
      <c r="A746" s="42" t="s">
        <v>301</v>
      </c>
      <c r="B746" s="99"/>
      <c r="C746" s="823">
        <f t="shared" ref="C746:AH746" si="1719">SUM(C735:C738)+C742+C745</f>
        <v>37216</v>
      </c>
      <c r="D746" s="823">
        <f t="shared" si="1719"/>
        <v>48841</v>
      </c>
      <c r="E746" s="823">
        <f t="shared" si="1719"/>
        <v>53234</v>
      </c>
      <c r="F746" s="823">
        <f t="shared" si="1719"/>
        <v>55720</v>
      </c>
      <c r="G746" s="393">
        <f t="shared" si="1719"/>
        <v>54696</v>
      </c>
      <c r="H746" s="393">
        <f t="shared" si="1719"/>
        <v>56104</v>
      </c>
      <c r="I746" s="393">
        <f t="shared" si="1719"/>
        <v>53503</v>
      </c>
      <c r="J746" s="393">
        <f t="shared" si="1719"/>
        <v>50250</v>
      </c>
      <c r="K746" s="823">
        <f t="shared" si="1719"/>
        <v>50250</v>
      </c>
      <c r="L746" s="393">
        <f t="shared" si="1719"/>
        <v>49749</v>
      </c>
      <c r="M746" s="393">
        <f t="shared" si="1719"/>
        <v>48920</v>
      </c>
      <c r="N746" s="393">
        <f t="shared" si="1719"/>
        <v>47083</v>
      </c>
      <c r="O746" s="393">
        <f t="shared" si="1719"/>
        <v>42232</v>
      </c>
      <c r="P746" s="823">
        <f t="shared" si="1719"/>
        <v>42232</v>
      </c>
      <c r="Q746" s="393">
        <f t="shared" si="1719"/>
        <v>41270</v>
      </c>
      <c r="R746" s="393">
        <f t="shared" si="1719"/>
        <v>40738</v>
      </c>
      <c r="S746" s="393">
        <f t="shared" si="1719"/>
        <v>39819</v>
      </c>
      <c r="T746" s="393">
        <f t="shared" si="1719"/>
        <v>34430</v>
      </c>
      <c r="U746" s="823">
        <f t="shared" si="1719"/>
        <v>34430</v>
      </c>
      <c r="V746" s="393">
        <f t="shared" si="1719"/>
        <v>31713</v>
      </c>
      <c r="W746" s="393">
        <f t="shared" si="1719"/>
        <v>32471</v>
      </c>
      <c r="X746" s="393">
        <f t="shared" si="1719"/>
        <v>28873</v>
      </c>
      <c r="Y746" s="393">
        <f t="shared" si="1719"/>
        <v>29619</v>
      </c>
      <c r="Z746" s="823">
        <f t="shared" si="1719"/>
        <v>29619</v>
      </c>
      <c r="AA746" s="393">
        <f t="shared" si="1719"/>
        <v>29568</v>
      </c>
      <c r="AB746" s="393">
        <f t="shared" si="1719"/>
        <v>26626</v>
      </c>
      <c r="AC746" s="393">
        <f t="shared" si="1719"/>
        <v>29398</v>
      </c>
      <c r="AD746" s="393">
        <f t="shared" si="1719"/>
        <v>28560</v>
      </c>
      <c r="AE746" s="823">
        <f t="shared" si="1719"/>
        <v>28560</v>
      </c>
      <c r="AF746" s="393">
        <f t="shared" si="1719"/>
        <v>31726</v>
      </c>
      <c r="AG746" s="393">
        <f t="shared" si="1719"/>
        <v>34256</v>
      </c>
      <c r="AH746" s="393">
        <f t="shared" si="1719"/>
        <v>35583</v>
      </c>
      <c r="AI746" s="393">
        <f t="shared" ref="AI746:BC746" si="1720">SUM(AI735:AI738)+AI742+AI745</f>
        <v>34021</v>
      </c>
      <c r="AJ746" s="823">
        <f t="shared" si="1720"/>
        <v>34021</v>
      </c>
      <c r="AK746" s="393">
        <f t="shared" si="1720"/>
        <v>33671</v>
      </c>
      <c r="AL746" s="393">
        <f t="shared" si="1720"/>
        <v>33087</v>
      </c>
      <c r="AM746" s="393">
        <f t="shared" si="1720"/>
        <v>33988</v>
      </c>
      <c r="AN746" s="393">
        <f t="shared" si="1720"/>
        <v>28329</v>
      </c>
      <c r="AO746" s="823">
        <f t="shared" si="1720"/>
        <v>28329</v>
      </c>
      <c r="AP746" s="393">
        <f t="shared" si="1720"/>
        <v>28562</v>
      </c>
      <c r="AQ746" s="393">
        <f t="shared" si="1720"/>
        <v>23732</v>
      </c>
      <c r="AR746" s="393">
        <f t="shared" si="1720"/>
        <v>24803</v>
      </c>
      <c r="AS746" s="393">
        <f t="shared" si="1720"/>
        <v>26078</v>
      </c>
      <c r="AT746" s="823">
        <f t="shared" si="1720"/>
        <v>26078</v>
      </c>
      <c r="AU746" s="393">
        <f t="shared" si="1720"/>
        <v>30433</v>
      </c>
      <c r="AV746" s="393">
        <f t="shared" si="1720"/>
        <v>32973</v>
      </c>
      <c r="AW746" s="393">
        <f t="shared" si="1720"/>
        <v>32137</v>
      </c>
      <c r="AX746" s="393">
        <f t="shared" si="1720"/>
        <v>33738</v>
      </c>
      <c r="AY746" s="823">
        <f t="shared" si="1720"/>
        <v>33738</v>
      </c>
      <c r="AZ746" s="393">
        <f t="shared" si="1720"/>
        <v>44709</v>
      </c>
      <c r="BA746" s="393">
        <f t="shared" si="1720"/>
        <v>51188</v>
      </c>
      <c r="BB746" s="393">
        <f t="shared" ref="BB746" si="1721">SUM(BB735:BB738)+BB742+BB745</f>
        <v>51503</v>
      </c>
      <c r="BC746" s="393">
        <f t="shared" si="1720"/>
        <v>50343</v>
      </c>
      <c r="BD746" s="823">
        <f t="shared" ref="BD746:BE746" si="1722">SUM(BD735:BD738)+BD742+BD745</f>
        <v>50343</v>
      </c>
      <c r="BE746" s="393">
        <f t="shared" si="1722"/>
        <v>48351</v>
      </c>
      <c r="BF746" s="393">
        <f t="shared" ref="BF746:BS746" si="1723">SUM(BF735:BF738)+BF742+BF745</f>
        <v>42790</v>
      </c>
      <c r="BG746" s="393">
        <f t="shared" si="1723"/>
        <v>41732</v>
      </c>
      <c r="BH746" s="393">
        <f t="shared" si="1723"/>
        <v>41128</v>
      </c>
      <c r="BI746" s="823">
        <f t="shared" si="1723"/>
        <v>41128</v>
      </c>
      <c r="BJ746" s="393">
        <f t="shared" si="1723"/>
        <v>40508</v>
      </c>
      <c r="BK746" s="393">
        <f t="shared" si="1723"/>
        <v>39369</v>
      </c>
      <c r="BL746" s="393">
        <f t="shared" si="1723"/>
        <v>38187</v>
      </c>
      <c r="BM746" s="393">
        <f t="shared" si="1723"/>
        <v>40911</v>
      </c>
      <c r="BN746" s="823">
        <f t="shared" si="1723"/>
        <v>40911</v>
      </c>
      <c r="BO746" s="393">
        <f>SUM(BO735:BO738)+BO742+BO745</f>
        <v>38574</v>
      </c>
      <c r="BP746" s="393">
        <f>SUM(BP735:BP738)+BP742+BP745</f>
        <v>34691</v>
      </c>
      <c r="BQ746" s="393">
        <f>SUM(BQ735:BQ738)+BQ742+BQ745</f>
        <v>40866</v>
      </c>
      <c r="BR746" s="393">
        <f>SUM(BR735:BR738)+BR742+BR745</f>
        <v>38552</v>
      </c>
      <c r="BS746" s="823">
        <f t="shared" si="1723"/>
        <v>38552</v>
      </c>
      <c r="BT746" s="641">
        <f t="shared" ref="BT746:CF746" si="1724">SUM(BT735:BT738)+BT742+BT745</f>
        <v>46160</v>
      </c>
      <c r="BU746" s="393">
        <f t="shared" ca="1" si="1724"/>
        <v>51015.281075008897</v>
      </c>
      <c r="BV746" s="393">
        <f t="shared" ca="1" si="1724"/>
        <v>54635.803073493546</v>
      </c>
      <c r="BW746" s="393">
        <f t="shared" ca="1" si="1724"/>
        <v>57950.066601978193</v>
      </c>
      <c r="BX746" s="823">
        <f t="shared" ca="1" si="1724"/>
        <v>57950.066601978193</v>
      </c>
      <c r="BY746" s="393">
        <f t="shared" ca="1" si="1724"/>
        <v>62128.823448873802</v>
      </c>
      <c r="BZ746" s="393">
        <f t="shared" ca="1" si="1724"/>
        <v>66824.828858367357</v>
      </c>
      <c r="CA746" s="393">
        <f t="shared" ca="1" si="1724"/>
        <v>71690.664294558854</v>
      </c>
      <c r="CB746" s="393">
        <f t="shared" ca="1" si="1724"/>
        <v>76463.444825950341</v>
      </c>
      <c r="CC746" s="823">
        <f t="shared" ca="1" si="1724"/>
        <v>76463.444825950341</v>
      </c>
      <c r="CD746" s="823">
        <f t="shared" ca="1" si="1724"/>
        <v>92318.852293772507</v>
      </c>
      <c r="CE746" s="823">
        <f t="shared" ca="1" si="1724"/>
        <v>106889.38963184468</v>
      </c>
      <c r="CF746" s="823">
        <f t="shared" ca="1" si="1724"/>
        <v>115592.97875716683</v>
      </c>
      <c r="CG746" s="26"/>
    </row>
    <row r="747" spans="1:85" s="429" customFormat="1" x14ac:dyDescent="0.3">
      <c r="A747" s="48"/>
      <c r="B747" s="58"/>
      <c r="C747" s="825"/>
      <c r="D747" s="825"/>
      <c r="E747" s="825"/>
      <c r="F747" s="825"/>
      <c r="G747" s="31"/>
      <c r="H747" s="31"/>
      <c r="I747" s="31"/>
      <c r="J747" s="31"/>
      <c r="K747" s="825"/>
      <c r="L747" s="31"/>
      <c r="M747" s="31"/>
      <c r="N747" s="31"/>
      <c r="O747" s="31"/>
      <c r="P747" s="825"/>
      <c r="Q747" s="31"/>
      <c r="R747" s="31"/>
      <c r="S747" s="31"/>
      <c r="T747" s="31"/>
      <c r="U747" s="825"/>
      <c r="V747" s="31"/>
      <c r="W747" s="31"/>
      <c r="X747" s="31"/>
      <c r="Y747" s="31"/>
      <c r="Z747" s="825"/>
      <c r="AA747" s="31"/>
      <c r="AB747" s="31"/>
      <c r="AC747" s="31"/>
      <c r="AD747" s="31"/>
      <c r="AE747" s="825"/>
      <c r="AF747" s="31"/>
      <c r="AG747" s="31"/>
      <c r="AH747" s="31"/>
      <c r="AI747" s="31"/>
      <c r="AJ747" s="825"/>
      <c r="AK747" s="31"/>
      <c r="AL747" s="31"/>
      <c r="AM747" s="31"/>
      <c r="AN747" s="31"/>
      <c r="AO747" s="825"/>
      <c r="AP747" s="31"/>
      <c r="AQ747" s="31"/>
      <c r="AR747" s="31"/>
      <c r="AS747" s="31"/>
      <c r="AT747" s="825"/>
      <c r="AU747" s="31"/>
      <c r="AV747" s="31"/>
      <c r="AW747" s="31"/>
      <c r="AX747" s="31"/>
      <c r="AY747" s="825"/>
      <c r="AZ747" s="31"/>
      <c r="BA747" s="31"/>
      <c r="BB747" s="31"/>
      <c r="BC747" s="31"/>
      <c r="BD747" s="825"/>
      <c r="BE747" s="31"/>
      <c r="BF747" s="31"/>
      <c r="BG747" s="31"/>
      <c r="BH747" s="31"/>
      <c r="BI747" s="825"/>
      <c r="BJ747" s="31"/>
      <c r="BK747" s="31"/>
      <c r="BL747" s="31"/>
      <c r="BM747" s="31"/>
      <c r="BN747" s="825"/>
      <c r="BO747" s="31"/>
      <c r="BP747" s="31"/>
      <c r="BQ747" s="31"/>
      <c r="BR747" s="31"/>
      <c r="BS747" s="825"/>
      <c r="BT747" s="379"/>
      <c r="BU747" s="31"/>
      <c r="BV747" s="31"/>
      <c r="BW747" s="31"/>
      <c r="BX747" s="825"/>
      <c r="BY747" s="31"/>
      <c r="BZ747" s="31"/>
      <c r="CA747" s="31"/>
      <c r="CB747" s="31"/>
      <c r="CC747" s="825"/>
      <c r="CD747" s="825"/>
      <c r="CE747" s="825"/>
      <c r="CF747" s="825"/>
      <c r="CG747" s="26"/>
    </row>
    <row r="748" spans="1:85" s="429" customFormat="1" x14ac:dyDescent="0.3">
      <c r="A748" s="395" t="s">
        <v>302</v>
      </c>
      <c r="B748" s="58"/>
      <c r="C748" s="825"/>
      <c r="D748" s="825"/>
      <c r="E748" s="825"/>
      <c r="F748" s="825"/>
      <c r="G748" s="31"/>
      <c r="H748" s="31"/>
      <c r="I748" s="31"/>
      <c r="J748" s="31"/>
      <c r="K748" s="825"/>
      <c r="L748" s="31"/>
      <c r="M748" s="31"/>
      <c r="N748" s="31"/>
      <c r="O748" s="31"/>
      <c r="P748" s="825"/>
      <c r="Q748" s="31"/>
      <c r="R748" s="31"/>
      <c r="S748" s="31"/>
      <c r="T748" s="31"/>
      <c r="U748" s="825"/>
      <c r="V748" s="31"/>
      <c r="W748" s="31"/>
      <c r="X748" s="31"/>
      <c r="Y748" s="31"/>
      <c r="Z748" s="825"/>
      <c r="AA748" s="31"/>
      <c r="AB748" s="31"/>
      <c r="AC748" s="31"/>
      <c r="AD748" s="31"/>
      <c r="AE748" s="825"/>
      <c r="AF748" s="31"/>
      <c r="AG748" s="31"/>
      <c r="AH748" s="31"/>
      <c r="AI748" s="31"/>
      <c r="AJ748" s="825"/>
      <c r="AK748" s="31"/>
      <c r="AL748" s="31"/>
      <c r="AM748" s="31"/>
      <c r="AN748" s="31"/>
      <c r="AO748" s="825"/>
      <c r="AP748" s="31"/>
      <c r="AQ748" s="31"/>
      <c r="AR748" s="31"/>
      <c r="AS748" s="31"/>
      <c r="AT748" s="825"/>
      <c r="AU748" s="31"/>
      <c r="AV748" s="31"/>
      <c r="AW748" s="31"/>
      <c r="AX748" s="31"/>
      <c r="AY748" s="825"/>
      <c r="AZ748" s="31"/>
      <c r="BA748" s="31"/>
      <c r="BB748" s="31"/>
      <c r="BC748" s="31"/>
      <c r="BD748" s="825"/>
      <c r="BE748" s="31"/>
      <c r="BF748" s="31"/>
      <c r="BG748" s="31"/>
      <c r="BH748" s="31"/>
      <c r="BI748" s="825"/>
      <c r="BJ748" s="31"/>
      <c r="BK748" s="31"/>
      <c r="BL748" s="31"/>
      <c r="BM748" s="31"/>
      <c r="BN748" s="825"/>
      <c r="BO748" s="31"/>
      <c r="BP748" s="31"/>
      <c r="BQ748" s="31"/>
      <c r="BR748" s="31"/>
      <c r="BS748" s="825"/>
      <c r="BT748" s="379"/>
      <c r="BU748" s="31"/>
      <c r="BV748" s="31"/>
      <c r="BW748" s="31"/>
      <c r="BX748" s="825"/>
      <c r="BY748" s="31"/>
      <c r="BZ748" s="31"/>
      <c r="CA748" s="31"/>
      <c r="CB748" s="31"/>
      <c r="CC748" s="825"/>
      <c r="CD748" s="825"/>
      <c r="CE748" s="825"/>
      <c r="CF748" s="825"/>
      <c r="CG748" s="26"/>
    </row>
    <row r="749" spans="1:85" s="428" customFormat="1" x14ac:dyDescent="0.3">
      <c r="A749" s="43" t="s">
        <v>303</v>
      </c>
      <c r="B749" s="109"/>
      <c r="C749" s="827">
        <v>2282</v>
      </c>
      <c r="D749" s="827">
        <v>2077</v>
      </c>
      <c r="E749" s="827">
        <v>2233</v>
      </c>
      <c r="F749" s="827">
        <v>3053</v>
      </c>
      <c r="G749" s="763">
        <v>3121</v>
      </c>
      <c r="H749" s="763">
        <v>3017</v>
      </c>
      <c r="I749" s="763">
        <v>3118</v>
      </c>
      <c r="J749" s="763">
        <v>2833</v>
      </c>
      <c r="K749" s="821">
        <f>J749</f>
        <v>2833</v>
      </c>
      <c r="L749" s="763">
        <v>2875</v>
      </c>
      <c r="M749" s="763">
        <v>3034</v>
      </c>
      <c r="N749" s="763">
        <v>2903</v>
      </c>
      <c r="O749" s="763">
        <v>2817</v>
      </c>
      <c r="P749" s="821">
        <f>O749</f>
        <v>2817</v>
      </c>
      <c r="Q749" s="763">
        <v>2820</v>
      </c>
      <c r="R749" s="763">
        <v>2880</v>
      </c>
      <c r="S749" s="763">
        <v>2436</v>
      </c>
      <c r="T749" s="763">
        <v>2412</v>
      </c>
      <c r="U749" s="821">
        <f>T749</f>
        <v>2412</v>
      </c>
      <c r="V749" s="763">
        <v>2492</v>
      </c>
      <c r="W749" s="763">
        <v>2469</v>
      </c>
      <c r="X749" s="763">
        <v>2444</v>
      </c>
      <c r="Y749" s="37">
        <f>Z749</f>
        <v>2485</v>
      </c>
      <c r="Z749" s="827">
        <v>2485</v>
      </c>
      <c r="AA749" s="763">
        <v>2457</v>
      </c>
      <c r="AB749" s="763">
        <v>2403</v>
      </c>
      <c r="AC749" s="763">
        <v>3016</v>
      </c>
      <c r="AD749" s="37">
        <f>AE749</f>
        <v>2849</v>
      </c>
      <c r="AE749" s="827">
        <v>2849</v>
      </c>
      <c r="AF749" s="763">
        <v>2723</v>
      </c>
      <c r="AG749" s="763">
        <v>2573</v>
      </c>
      <c r="AH749" s="763">
        <v>2460</v>
      </c>
      <c r="AI749" s="37">
        <f>AJ749</f>
        <v>1942</v>
      </c>
      <c r="AJ749" s="827">
        <v>1942</v>
      </c>
      <c r="AK749" s="763">
        <v>2019</v>
      </c>
      <c r="AL749" s="763">
        <v>1784</v>
      </c>
      <c r="AM749" s="763">
        <v>1584</v>
      </c>
      <c r="AN749" s="37">
        <f>AO749</f>
        <v>1511</v>
      </c>
      <c r="AO749" s="827">
        <v>1511</v>
      </c>
      <c r="AP749" s="763">
        <v>1243</v>
      </c>
      <c r="AQ749" s="763">
        <v>812</v>
      </c>
      <c r="AR749" s="763">
        <v>780</v>
      </c>
      <c r="AS749" s="763">
        <v>589</v>
      </c>
      <c r="AT749" s="821">
        <f>AS749</f>
        <v>589</v>
      </c>
      <c r="AU749" s="763">
        <v>571</v>
      </c>
      <c r="AV749" s="763">
        <v>566</v>
      </c>
      <c r="AW749" s="763">
        <v>644</v>
      </c>
      <c r="AX749" s="763">
        <v>603</v>
      </c>
      <c r="AY749" s="821">
        <f>AX749</f>
        <v>603</v>
      </c>
      <c r="AZ749" s="763">
        <v>516</v>
      </c>
      <c r="BA749" s="763">
        <v>649</v>
      </c>
      <c r="BB749" s="763">
        <v>1099</v>
      </c>
      <c r="BC749" s="763">
        <v>1069</v>
      </c>
      <c r="BD749" s="821">
        <f>BC749</f>
        <v>1069</v>
      </c>
      <c r="BE749" s="763">
        <v>1036</v>
      </c>
      <c r="BF749" s="763">
        <v>940</v>
      </c>
      <c r="BG749" s="763">
        <v>1055</v>
      </c>
      <c r="BH749" s="763">
        <v>942</v>
      </c>
      <c r="BI749" s="821">
        <f>BH749</f>
        <v>942</v>
      </c>
      <c r="BJ749" s="763">
        <v>968</v>
      </c>
      <c r="BK749" s="763">
        <v>974</v>
      </c>
      <c r="BL749" s="763">
        <v>942</v>
      </c>
      <c r="BM749" s="763">
        <v>877</v>
      </c>
      <c r="BN749" s="821">
        <f>BM749</f>
        <v>877</v>
      </c>
      <c r="BO749" s="763">
        <v>942</v>
      </c>
      <c r="BP749" s="763">
        <v>914</v>
      </c>
      <c r="BQ749" s="763">
        <v>987</v>
      </c>
      <c r="BR749" s="763">
        <v>1035</v>
      </c>
      <c r="BS749" s="821">
        <f>BR749</f>
        <v>1035</v>
      </c>
      <c r="BT749" s="764">
        <v>976</v>
      </c>
      <c r="BU749" s="37">
        <f t="shared" ref="BU749:CF749" si="1725">BT749</f>
        <v>976</v>
      </c>
      <c r="BV749" s="37">
        <f t="shared" si="1725"/>
        <v>976</v>
      </c>
      <c r="BW749" s="37">
        <f t="shared" si="1725"/>
        <v>976</v>
      </c>
      <c r="BX749" s="821">
        <f t="shared" si="1725"/>
        <v>976</v>
      </c>
      <c r="BY749" s="37">
        <f t="shared" si="1725"/>
        <v>976</v>
      </c>
      <c r="BZ749" s="37">
        <f t="shared" si="1725"/>
        <v>976</v>
      </c>
      <c r="CA749" s="37">
        <f t="shared" si="1725"/>
        <v>976</v>
      </c>
      <c r="CB749" s="37">
        <f t="shared" si="1725"/>
        <v>976</v>
      </c>
      <c r="CC749" s="821">
        <f t="shared" si="1725"/>
        <v>976</v>
      </c>
      <c r="CD749" s="821">
        <f t="shared" si="1725"/>
        <v>976</v>
      </c>
      <c r="CE749" s="821">
        <f t="shared" si="1725"/>
        <v>976</v>
      </c>
      <c r="CF749" s="821">
        <f t="shared" si="1725"/>
        <v>976</v>
      </c>
      <c r="CG749" s="22"/>
    </row>
    <row r="750" spans="1:85" s="428" customFormat="1" x14ac:dyDescent="0.3">
      <c r="A750" s="43" t="s">
        <v>304</v>
      </c>
      <c r="B750" s="109"/>
      <c r="C750" s="827">
        <v>21158</v>
      </c>
      <c r="D750" s="827">
        <v>21520</v>
      </c>
      <c r="E750" s="827">
        <v>22868</v>
      </c>
      <c r="F750" s="827">
        <v>23718</v>
      </c>
      <c r="G750" s="763">
        <v>24504</v>
      </c>
      <c r="H750" s="763">
        <v>25133</v>
      </c>
      <c r="I750" s="763">
        <v>25010</v>
      </c>
      <c r="J750" s="763">
        <v>25502</v>
      </c>
      <c r="K750" s="821">
        <f>J750</f>
        <v>25502</v>
      </c>
      <c r="L750" s="763">
        <v>25986</v>
      </c>
      <c r="M750" s="763">
        <v>25923</v>
      </c>
      <c r="N750" s="763">
        <v>26683</v>
      </c>
      <c r="O750" s="763">
        <v>26912</v>
      </c>
      <c r="P750" s="821">
        <f>O750</f>
        <v>26912</v>
      </c>
      <c r="Q750" s="763">
        <v>28238</v>
      </c>
      <c r="R750" s="763">
        <v>26206</v>
      </c>
      <c r="S750" s="763">
        <v>26710</v>
      </c>
      <c r="T750" s="763">
        <v>27110</v>
      </c>
      <c r="U750" s="821">
        <f>T750</f>
        <v>27110</v>
      </c>
      <c r="V750" s="763">
        <v>27510</v>
      </c>
      <c r="W750" s="763">
        <v>27740</v>
      </c>
      <c r="X750" s="763">
        <v>30002</v>
      </c>
      <c r="Y750" s="37">
        <f>Z750</f>
        <v>30250</v>
      </c>
      <c r="Z750" s="827">
        <v>30250</v>
      </c>
      <c r="AA750" s="763">
        <v>30915</v>
      </c>
      <c r="AB750" s="763">
        <v>31706</v>
      </c>
      <c r="AC750" s="763">
        <v>32402</v>
      </c>
      <c r="AD750" s="37">
        <f>AE750</f>
        <v>32497</v>
      </c>
      <c r="AE750" s="827">
        <v>32497</v>
      </c>
      <c r="AF750" s="763">
        <v>33470</v>
      </c>
      <c r="AG750" s="763">
        <v>34242</v>
      </c>
      <c r="AH750" s="763">
        <v>34672</v>
      </c>
      <c r="AI750" s="37">
        <f>AJ750</f>
        <v>35546</v>
      </c>
      <c r="AJ750" s="827">
        <v>35546</v>
      </c>
      <c r="AK750" s="763">
        <v>36360</v>
      </c>
      <c r="AL750" s="763">
        <v>37417</v>
      </c>
      <c r="AM750" s="763">
        <v>38327</v>
      </c>
      <c r="AN750" s="37">
        <f>AO750</f>
        <v>38688</v>
      </c>
      <c r="AO750" s="827">
        <v>38688</v>
      </c>
      <c r="AP750" s="763">
        <v>39693</v>
      </c>
      <c r="AQ750" s="763">
        <v>37290</v>
      </c>
      <c r="AR750" s="763">
        <v>37655</v>
      </c>
      <c r="AS750" s="763">
        <v>39052</v>
      </c>
      <c r="AT750" s="821">
        <f>AS750</f>
        <v>39052</v>
      </c>
      <c r="AU750" s="763">
        <v>39591</v>
      </c>
      <c r="AV750" s="763">
        <v>40551</v>
      </c>
      <c r="AW750" s="763">
        <v>41097</v>
      </c>
      <c r="AX750" s="763">
        <v>40696</v>
      </c>
      <c r="AY750" s="821">
        <f>AX750</f>
        <v>40696</v>
      </c>
      <c r="AZ750" s="763">
        <v>41732</v>
      </c>
      <c r="BA750" s="763">
        <v>43557</v>
      </c>
      <c r="BB750" s="763">
        <v>45154</v>
      </c>
      <c r="BC750" s="763">
        <v>45238</v>
      </c>
      <c r="BD750" s="821">
        <f>BC750</f>
        <v>45238</v>
      </c>
      <c r="BE750" s="763">
        <v>46248</v>
      </c>
      <c r="BF750" s="763">
        <v>46769</v>
      </c>
      <c r="BG750" s="763">
        <v>48123</v>
      </c>
      <c r="BH750" s="763">
        <v>46812</v>
      </c>
      <c r="BI750" s="821">
        <f>BH750</f>
        <v>46812</v>
      </c>
      <c r="BJ750" s="763">
        <v>47650</v>
      </c>
      <c r="BK750" s="763">
        <v>47654</v>
      </c>
      <c r="BL750" s="763">
        <v>47476</v>
      </c>
      <c r="BM750" s="763">
        <v>47438</v>
      </c>
      <c r="BN750" s="821">
        <f>BM750</f>
        <v>47438</v>
      </c>
      <c r="BO750" s="763">
        <v>49150</v>
      </c>
      <c r="BP750" s="763">
        <v>48033</v>
      </c>
      <c r="BQ750" s="763">
        <v>44398</v>
      </c>
      <c r="BR750" s="763">
        <v>43867</v>
      </c>
      <c r="BS750" s="821">
        <f>BR750</f>
        <v>43867</v>
      </c>
      <c r="BT750" s="764">
        <v>43227</v>
      </c>
      <c r="BU750" s="37">
        <f t="shared" ref="BU750:CF750" si="1726">BT750</f>
        <v>43227</v>
      </c>
      <c r="BV750" s="37">
        <f t="shared" si="1726"/>
        <v>43227</v>
      </c>
      <c r="BW750" s="37">
        <f t="shared" si="1726"/>
        <v>43227</v>
      </c>
      <c r="BX750" s="821">
        <f t="shared" si="1726"/>
        <v>43227</v>
      </c>
      <c r="BY750" s="37">
        <f t="shared" si="1726"/>
        <v>43227</v>
      </c>
      <c r="BZ750" s="37">
        <f t="shared" si="1726"/>
        <v>43227</v>
      </c>
      <c r="CA750" s="37">
        <f t="shared" si="1726"/>
        <v>43227</v>
      </c>
      <c r="CB750" s="37">
        <f t="shared" si="1726"/>
        <v>43227</v>
      </c>
      <c r="CC750" s="821">
        <f t="shared" si="1726"/>
        <v>43227</v>
      </c>
      <c r="CD750" s="821">
        <f t="shared" si="1726"/>
        <v>43227</v>
      </c>
      <c r="CE750" s="821">
        <f t="shared" si="1726"/>
        <v>43227</v>
      </c>
      <c r="CF750" s="821">
        <f t="shared" si="1726"/>
        <v>43227</v>
      </c>
      <c r="CG750" s="22"/>
    </row>
    <row r="751" spans="1:85" s="428" customFormat="1" hidden="1" outlineLevel="1" x14ac:dyDescent="0.3">
      <c r="A751" s="294" t="s">
        <v>305</v>
      </c>
      <c r="B751" s="109"/>
      <c r="C751" s="827">
        <v>188288</v>
      </c>
      <c r="D751" s="827">
        <v>207367</v>
      </c>
      <c r="E751" s="827">
        <v>233432</v>
      </c>
      <c r="F751" s="827">
        <v>263481</v>
      </c>
      <c r="G751" s="763">
        <v>271239</v>
      </c>
      <c r="H751" s="763">
        <v>279025</v>
      </c>
      <c r="I751" s="763">
        <v>287550</v>
      </c>
      <c r="J751" s="763">
        <v>296433</v>
      </c>
      <c r="K751" s="821">
        <f>J751</f>
        <v>296433</v>
      </c>
      <c r="L751" s="763">
        <v>304564</v>
      </c>
      <c r="M751" s="763">
        <v>312922</v>
      </c>
      <c r="N751" s="763">
        <v>318752</v>
      </c>
      <c r="O751" s="763">
        <v>327289</v>
      </c>
      <c r="P751" s="821">
        <f>O751</f>
        <v>327289</v>
      </c>
      <c r="Q751" s="763">
        <v>333824</v>
      </c>
      <c r="R751" s="763">
        <v>336619</v>
      </c>
      <c r="S751" s="763">
        <v>340558</v>
      </c>
      <c r="T751" s="763">
        <v>340277</v>
      </c>
      <c r="U751" s="821">
        <f>T751</f>
        <v>340277</v>
      </c>
      <c r="V751" s="763">
        <v>344895</v>
      </c>
      <c r="W751" s="763">
        <v>339081</v>
      </c>
      <c r="X751" s="763">
        <v>341066</v>
      </c>
      <c r="Y751" s="37">
        <f>Z751</f>
        <v>336077</v>
      </c>
      <c r="Z751" s="827">
        <v>336077</v>
      </c>
      <c r="AA751" s="763">
        <v>336150</v>
      </c>
      <c r="AB751" s="763">
        <v>337551</v>
      </c>
      <c r="AC751" s="763">
        <v>343066</v>
      </c>
      <c r="AD751" s="37">
        <f>AE751</f>
        <v>344485</v>
      </c>
      <c r="AE751" s="827">
        <v>344485</v>
      </c>
      <c r="AF751" s="763">
        <v>344977</v>
      </c>
      <c r="AG751" s="763">
        <v>343544</v>
      </c>
      <c r="AH751" s="763">
        <v>344949</v>
      </c>
      <c r="AI751" s="37">
        <f>AJ751</f>
        <v>340244</v>
      </c>
      <c r="AJ751" s="827">
        <v>340244</v>
      </c>
      <c r="AK751" s="763">
        <v>336701</v>
      </c>
      <c r="AL751" s="763">
        <v>335775</v>
      </c>
      <c r="AM751" s="763">
        <v>338699</v>
      </c>
      <c r="AN751" s="37">
        <f>AO751</f>
        <v>326722</v>
      </c>
      <c r="AO751" s="827">
        <v>326722</v>
      </c>
      <c r="AP751" s="763">
        <v>326412</v>
      </c>
      <c r="AQ751" s="763">
        <v>323522</v>
      </c>
      <c r="AR751" s="763">
        <v>325131</v>
      </c>
      <c r="AS751" s="763">
        <v>345232</v>
      </c>
      <c r="AT751" s="821">
        <f>AS751</f>
        <v>345232</v>
      </c>
      <c r="AU751" s="763">
        <v>346228</v>
      </c>
      <c r="AV751" s="763">
        <v>342157</v>
      </c>
      <c r="AW751" s="763">
        <v>328572</v>
      </c>
      <c r="AX751" s="763">
        <v>336045</v>
      </c>
      <c r="AY751" s="821">
        <f>AX751</f>
        <v>336045</v>
      </c>
      <c r="AZ751" s="763">
        <v>335340</v>
      </c>
      <c r="BA751" s="763">
        <v>322541</v>
      </c>
      <c r="BB751" s="763">
        <v>325102</v>
      </c>
      <c r="BC751" s="763">
        <v>327785</v>
      </c>
      <c r="BD751" s="821">
        <f>BC751</f>
        <v>327785</v>
      </c>
      <c r="BE751" s="763">
        <v>330409</v>
      </c>
      <c r="BF751" s="763">
        <v>327084</v>
      </c>
      <c r="BG751" s="763">
        <v>342522</v>
      </c>
      <c r="BH751" s="763">
        <v>346081</v>
      </c>
      <c r="BI751" s="821">
        <f>BH751</f>
        <v>346081</v>
      </c>
      <c r="BJ751" s="763">
        <v>350501</v>
      </c>
      <c r="BK751" s="763">
        <v>349859</v>
      </c>
      <c r="BL751" s="763">
        <v>343450</v>
      </c>
      <c r="BM751" s="763">
        <v>345933</v>
      </c>
      <c r="BN751" s="821">
        <f>BM751</f>
        <v>345933</v>
      </c>
      <c r="BO751" s="763">
        <v>348820</v>
      </c>
      <c r="BP751" s="763">
        <v>352035</v>
      </c>
      <c r="BQ751" s="763">
        <v>429269</v>
      </c>
      <c r="BR751" s="763">
        <v>434955</v>
      </c>
      <c r="BS751" s="821">
        <f>BR751</f>
        <v>434955</v>
      </c>
      <c r="BT751" s="764">
        <v>438923</v>
      </c>
      <c r="BU751" s="37">
        <f>BT751-BU700-BU702-BU703-BU693</f>
        <v>442923</v>
      </c>
      <c r="BV751" s="37">
        <f>BU751-BV700-BV702-BV703-BV693</f>
        <v>447423</v>
      </c>
      <c r="BW751" s="37">
        <f>BV751-BW700-BW702-BW703-BW693</f>
        <v>451923</v>
      </c>
      <c r="BX751" s="821">
        <f>BW751</f>
        <v>451923</v>
      </c>
      <c r="BY751" s="37">
        <f>BX751-BY700-BY702-BY703-BY693</f>
        <v>456423</v>
      </c>
      <c r="BZ751" s="37">
        <f>BY751-BZ700-BZ702-BZ703-BZ693</f>
        <v>460923</v>
      </c>
      <c r="CA751" s="37">
        <f>BZ751-CA700-CA702-CA703-CA693</f>
        <v>465423</v>
      </c>
      <c r="CB751" s="37">
        <f>CA751-CB700-CB702-CB703-CB693</f>
        <v>469923</v>
      </c>
      <c r="CC751" s="821">
        <f>CB751</f>
        <v>469923</v>
      </c>
      <c r="CD751" s="821">
        <f>CC751-CD700-CD702-CD703-CD693</f>
        <v>489923</v>
      </c>
      <c r="CE751" s="821">
        <f>CD751-CE700-CE702-CE703-CE693</f>
        <v>509923</v>
      </c>
      <c r="CF751" s="821">
        <f>CE751-CF700-CF702-CF703-CF693</f>
        <v>529923</v>
      </c>
      <c r="CG751" s="22"/>
    </row>
    <row r="752" spans="1:85" s="428" customFormat="1" hidden="1" outlineLevel="1" x14ac:dyDescent="0.3">
      <c r="A752" s="295" t="s">
        <v>306</v>
      </c>
      <c r="B752" s="244"/>
      <c r="C752" s="828">
        <v>91820</v>
      </c>
      <c r="D752" s="828">
        <v>102863</v>
      </c>
      <c r="E752" s="828">
        <v>110824</v>
      </c>
      <c r="F752" s="828">
        <v>122133</v>
      </c>
      <c r="G752" s="765">
        <v>125266</v>
      </c>
      <c r="H752" s="765">
        <v>128433</v>
      </c>
      <c r="I752" s="765">
        <v>130618</v>
      </c>
      <c r="J752" s="765">
        <v>131604</v>
      </c>
      <c r="K752" s="822">
        <f>J752</f>
        <v>131604</v>
      </c>
      <c r="L752" s="765">
        <v>135337</v>
      </c>
      <c r="M752" s="765">
        <v>138686</v>
      </c>
      <c r="N752" s="765">
        <v>140656</v>
      </c>
      <c r="O752" s="765">
        <v>144116</v>
      </c>
      <c r="P752" s="822">
        <f>O752</f>
        <v>144116</v>
      </c>
      <c r="Q752" s="765">
        <v>147701</v>
      </c>
      <c r="R752" s="765">
        <v>151352</v>
      </c>
      <c r="S752" s="765">
        <v>153153</v>
      </c>
      <c r="T752" s="765">
        <v>151881</v>
      </c>
      <c r="U752" s="822">
        <f>T752</f>
        <v>151881</v>
      </c>
      <c r="V752" s="765">
        <v>154955</v>
      </c>
      <c r="W752" s="765">
        <v>154396</v>
      </c>
      <c r="X752" s="765">
        <v>157627</v>
      </c>
      <c r="Y752" s="56">
        <f>Z752</f>
        <v>153891</v>
      </c>
      <c r="Z752" s="828">
        <v>153891</v>
      </c>
      <c r="AA752" s="765">
        <v>155854</v>
      </c>
      <c r="AB752" s="765">
        <v>159375</v>
      </c>
      <c r="AC752" s="765">
        <v>164630</v>
      </c>
      <c r="AD752" s="56">
        <f>AE752</f>
        <v>166773</v>
      </c>
      <c r="AE752" s="828">
        <v>166773</v>
      </c>
      <c r="AF752" s="765">
        <v>169131</v>
      </c>
      <c r="AG752" s="765">
        <v>169302</v>
      </c>
      <c r="AH752" s="765">
        <v>173304</v>
      </c>
      <c r="AI752" s="56">
        <f>AJ752</f>
        <v>171037</v>
      </c>
      <c r="AJ752" s="828">
        <v>171037</v>
      </c>
      <c r="AK752" s="765">
        <v>169969</v>
      </c>
      <c r="AL752" s="765">
        <v>170364</v>
      </c>
      <c r="AM752" s="765">
        <v>174336</v>
      </c>
      <c r="AN752" s="56">
        <f>AO752</f>
        <v>176228</v>
      </c>
      <c r="AO752" s="828">
        <v>176228</v>
      </c>
      <c r="AP752" s="765">
        <v>177192</v>
      </c>
      <c r="AQ752" s="765">
        <v>179672</v>
      </c>
      <c r="AR752" s="765">
        <v>182748</v>
      </c>
      <c r="AS752" s="765">
        <v>188614</v>
      </c>
      <c r="AT752" s="822">
        <f>AS752</f>
        <v>188614</v>
      </c>
      <c r="AU752" s="765">
        <v>192225</v>
      </c>
      <c r="AV752" s="763">
        <v>190949</v>
      </c>
      <c r="AW752" s="765">
        <v>180627</v>
      </c>
      <c r="AX752" s="765">
        <v>189084</v>
      </c>
      <c r="AY752" s="822">
        <f>AX752</f>
        <v>189084</v>
      </c>
      <c r="AZ752" s="763">
        <v>190896</v>
      </c>
      <c r="BA752" s="763">
        <v>178131</v>
      </c>
      <c r="BB752" s="765">
        <v>180958</v>
      </c>
      <c r="BC752" s="765">
        <v>184194</v>
      </c>
      <c r="BD752" s="822">
        <f>BC752</f>
        <v>184194</v>
      </c>
      <c r="BE752" s="765">
        <v>187458</v>
      </c>
      <c r="BF752" s="765">
        <v>184316</v>
      </c>
      <c r="BG752" s="765">
        <v>188550</v>
      </c>
      <c r="BH752" s="765">
        <v>192462</v>
      </c>
      <c r="BI752" s="822">
        <f>BH752</f>
        <v>192462</v>
      </c>
      <c r="BJ752" s="765">
        <v>196860</v>
      </c>
      <c r="BK752" s="765">
        <v>196856</v>
      </c>
      <c r="BL752" s="765">
        <v>195559</v>
      </c>
      <c r="BM752" s="765">
        <v>198134</v>
      </c>
      <c r="BN752" s="822">
        <f>BM752</f>
        <v>198134</v>
      </c>
      <c r="BO752" s="765">
        <v>200696</v>
      </c>
      <c r="BP752" s="765">
        <v>204593</v>
      </c>
      <c r="BQ752" s="765">
        <v>209775</v>
      </c>
      <c r="BR752" s="765">
        <v>215226</v>
      </c>
      <c r="BS752" s="822">
        <f>BR752</f>
        <v>215226</v>
      </c>
      <c r="BT752" s="766">
        <v>220774</v>
      </c>
      <c r="BU752" s="56">
        <f>BT752+BU682</f>
        <v>224774</v>
      </c>
      <c r="BV752" s="56">
        <f>BU752+BV682</f>
        <v>228074</v>
      </c>
      <c r="BW752" s="56">
        <f>BV752+BW682</f>
        <v>232074</v>
      </c>
      <c r="BX752" s="822">
        <f>BW752</f>
        <v>232074</v>
      </c>
      <c r="BY752" s="56">
        <f>BX752+BY682</f>
        <v>238074</v>
      </c>
      <c r="BZ752" s="56">
        <f>BY752+BZ682</f>
        <v>244574</v>
      </c>
      <c r="CA752" s="56">
        <f>BZ752+CA682</f>
        <v>251074</v>
      </c>
      <c r="CB752" s="56">
        <f>CA752+CB682</f>
        <v>257574</v>
      </c>
      <c r="CC752" s="822">
        <f>CB752</f>
        <v>257574</v>
      </c>
      <c r="CD752" s="822">
        <f>CC752+CD682</f>
        <v>283574</v>
      </c>
      <c r="CE752" s="822">
        <f>CD752+CE682</f>
        <v>308574</v>
      </c>
      <c r="CF752" s="822">
        <f>CE752+CF682</f>
        <v>334574</v>
      </c>
      <c r="CG752" s="22"/>
    </row>
    <row r="753" spans="1:85" s="428" customFormat="1" collapsed="1" x14ac:dyDescent="0.3">
      <c r="A753" s="296" t="s">
        <v>307</v>
      </c>
      <c r="B753" s="297"/>
      <c r="C753" s="887">
        <v>96468</v>
      </c>
      <c r="D753" s="887">
        <v>104504</v>
      </c>
      <c r="E753" s="887">
        <v>122608</v>
      </c>
      <c r="F753" s="887">
        <v>141348</v>
      </c>
      <c r="G753" s="785">
        <v>145973</v>
      </c>
      <c r="H753" s="785">
        <v>150592</v>
      </c>
      <c r="I753" s="785">
        <v>156932</v>
      </c>
      <c r="J753" s="785">
        <v>164829</v>
      </c>
      <c r="K753" s="886">
        <f>J753</f>
        <v>164829</v>
      </c>
      <c r="L753" s="785">
        <v>169227</v>
      </c>
      <c r="M753" s="785">
        <v>174054</v>
      </c>
      <c r="N753" s="785">
        <v>178096</v>
      </c>
      <c r="O753" s="785">
        <v>183173</v>
      </c>
      <c r="P753" s="886">
        <f>O753</f>
        <v>183173</v>
      </c>
      <c r="Q753" s="785">
        <v>186123</v>
      </c>
      <c r="R753" s="785">
        <v>185267</v>
      </c>
      <c r="S753" s="785">
        <v>187405</v>
      </c>
      <c r="T753" s="785">
        <v>188396</v>
      </c>
      <c r="U753" s="886">
        <f>T753</f>
        <v>188396</v>
      </c>
      <c r="V753" s="785">
        <v>189940</v>
      </c>
      <c r="W753" s="785">
        <v>184685</v>
      </c>
      <c r="X753" s="785">
        <v>183439</v>
      </c>
      <c r="Y753" s="84">
        <f>Z753</f>
        <v>182186</v>
      </c>
      <c r="Z753" s="887">
        <v>182186</v>
      </c>
      <c r="AA753" s="785">
        <v>180296</v>
      </c>
      <c r="AB753" s="785">
        <v>178176</v>
      </c>
      <c r="AC753" s="84">
        <f>AC751-AC752</f>
        <v>178436</v>
      </c>
      <c r="AD753" s="84">
        <f>AE753</f>
        <v>177712</v>
      </c>
      <c r="AE753" s="887">
        <v>177712</v>
      </c>
      <c r="AF753" s="785">
        <v>175846</v>
      </c>
      <c r="AG753" s="785">
        <v>174242</v>
      </c>
      <c r="AH753" s="84">
        <f t="shared" ref="AH753:AY753" si="1727">AH751-AH752</f>
        <v>171645</v>
      </c>
      <c r="AI753" s="84">
        <f t="shared" si="1727"/>
        <v>169207</v>
      </c>
      <c r="AJ753" s="886">
        <f t="shared" si="1727"/>
        <v>169207</v>
      </c>
      <c r="AK753" s="84">
        <f t="shared" si="1727"/>
        <v>166732</v>
      </c>
      <c r="AL753" s="84">
        <f t="shared" si="1727"/>
        <v>165411</v>
      </c>
      <c r="AM753" s="84">
        <f t="shared" si="1727"/>
        <v>164363</v>
      </c>
      <c r="AN753" s="84">
        <f t="shared" si="1727"/>
        <v>150494</v>
      </c>
      <c r="AO753" s="886">
        <f t="shared" si="1727"/>
        <v>150494</v>
      </c>
      <c r="AP753" s="84">
        <f t="shared" si="1727"/>
        <v>149220</v>
      </c>
      <c r="AQ753" s="84">
        <f t="shared" si="1727"/>
        <v>143850</v>
      </c>
      <c r="AR753" s="84">
        <f>AR751-AR752</f>
        <v>142383</v>
      </c>
      <c r="AS753" s="84">
        <f t="shared" si="1727"/>
        <v>156618</v>
      </c>
      <c r="AT753" s="886">
        <f t="shared" si="1727"/>
        <v>156618</v>
      </c>
      <c r="AU753" s="84">
        <f t="shared" ref="AU753" si="1728">AU751-AU752</f>
        <v>154003</v>
      </c>
      <c r="AV753" s="84">
        <f>AV751-AV752</f>
        <v>151208</v>
      </c>
      <c r="AW753" s="84">
        <f t="shared" ref="AW753" si="1729">AW751-AW752</f>
        <v>147945</v>
      </c>
      <c r="AX753" s="84">
        <f t="shared" si="1727"/>
        <v>146961</v>
      </c>
      <c r="AY753" s="886">
        <f t="shared" si="1727"/>
        <v>146961</v>
      </c>
      <c r="AZ753" s="84">
        <f t="shared" ref="AZ753:BN753" si="1730">AZ751-AZ752</f>
        <v>144444</v>
      </c>
      <c r="BA753" s="84">
        <f t="shared" si="1730"/>
        <v>144410</v>
      </c>
      <c r="BB753" s="84">
        <f t="shared" si="1730"/>
        <v>144144</v>
      </c>
      <c r="BC753" s="84">
        <f t="shared" si="1730"/>
        <v>143591</v>
      </c>
      <c r="BD753" s="886">
        <f t="shared" si="1730"/>
        <v>143591</v>
      </c>
      <c r="BE753" s="84">
        <f t="shared" si="1730"/>
        <v>142951</v>
      </c>
      <c r="BF753" s="84">
        <f t="shared" si="1730"/>
        <v>142768</v>
      </c>
      <c r="BG753" s="84">
        <f t="shared" si="1730"/>
        <v>153972</v>
      </c>
      <c r="BH753" s="37">
        <f t="shared" ref="BH753:BM753" si="1731">BH751-BH752</f>
        <v>153619</v>
      </c>
      <c r="BI753" s="886">
        <f t="shared" si="1731"/>
        <v>153619</v>
      </c>
      <c r="BJ753" s="84">
        <f t="shared" si="1731"/>
        <v>153641</v>
      </c>
      <c r="BK753" s="84">
        <f>BK751-BK752</f>
        <v>153003</v>
      </c>
      <c r="BL753" s="84">
        <f t="shared" si="1731"/>
        <v>147891</v>
      </c>
      <c r="BM753" s="84">
        <f t="shared" si="1731"/>
        <v>147799</v>
      </c>
      <c r="BN753" s="886">
        <f t="shared" si="1730"/>
        <v>147799</v>
      </c>
      <c r="BO753" s="84">
        <f t="shared" ref="BO753:BX753" si="1732">BO751-BO752</f>
        <v>148124</v>
      </c>
      <c r="BP753" s="84">
        <f t="shared" si="1732"/>
        <v>147442</v>
      </c>
      <c r="BQ753" s="84">
        <f t="shared" si="1732"/>
        <v>219494</v>
      </c>
      <c r="BR753" s="84">
        <f>BR751-BR752</f>
        <v>219729</v>
      </c>
      <c r="BS753" s="886">
        <f t="shared" si="1732"/>
        <v>219729</v>
      </c>
      <c r="BT753" s="479">
        <f>BT751-BT752</f>
        <v>218149</v>
      </c>
      <c r="BU753" s="84">
        <f>BU751-BU752</f>
        <v>218149</v>
      </c>
      <c r="BV753" s="84">
        <f>BV751-BV752</f>
        <v>219349</v>
      </c>
      <c r="BW753" s="84">
        <f>BW751-BW752</f>
        <v>219849</v>
      </c>
      <c r="BX753" s="886">
        <f t="shared" si="1732"/>
        <v>219849</v>
      </c>
      <c r="BY753" s="84">
        <f t="shared" ref="BY753:CF753" si="1733">BY751-BY752</f>
        <v>218349</v>
      </c>
      <c r="BZ753" s="84">
        <f t="shared" si="1733"/>
        <v>216349</v>
      </c>
      <c r="CA753" s="84">
        <f t="shared" si="1733"/>
        <v>214349</v>
      </c>
      <c r="CB753" s="84">
        <f t="shared" si="1733"/>
        <v>212349</v>
      </c>
      <c r="CC753" s="886">
        <f t="shared" si="1733"/>
        <v>212349</v>
      </c>
      <c r="CD753" s="886">
        <f t="shared" si="1733"/>
        <v>206349</v>
      </c>
      <c r="CE753" s="886">
        <f t="shared" si="1733"/>
        <v>201349</v>
      </c>
      <c r="CF753" s="886">
        <f t="shared" si="1733"/>
        <v>195349</v>
      </c>
      <c r="CG753" s="22"/>
    </row>
    <row r="754" spans="1:85" s="428" customFormat="1" x14ac:dyDescent="0.3">
      <c r="A754" s="294" t="s">
        <v>308</v>
      </c>
      <c r="B754" s="109"/>
      <c r="C754" s="821"/>
      <c r="D754" s="821"/>
      <c r="E754" s="821"/>
      <c r="F754" s="821"/>
      <c r="G754" s="37"/>
      <c r="H754" s="37"/>
      <c r="I754" s="37"/>
      <c r="J754" s="37"/>
      <c r="K754" s="821"/>
      <c r="L754" s="37"/>
      <c r="M754" s="37"/>
      <c r="N754" s="37"/>
      <c r="O754" s="37"/>
      <c r="P754" s="821"/>
      <c r="Q754" s="37"/>
      <c r="R754" s="37"/>
      <c r="S754" s="37"/>
      <c r="T754" s="37"/>
      <c r="U754" s="821"/>
      <c r="V754" s="37"/>
      <c r="W754" s="37"/>
      <c r="X754" s="37"/>
      <c r="Y754" s="37"/>
      <c r="Z754" s="821"/>
      <c r="AA754" s="37"/>
      <c r="AB754" s="37"/>
      <c r="AC754" s="37"/>
      <c r="AD754" s="37"/>
      <c r="AE754" s="821"/>
      <c r="AF754" s="763">
        <v>735</v>
      </c>
      <c r="AG754" s="763">
        <v>731</v>
      </c>
      <c r="AH754" s="763">
        <v>778</v>
      </c>
      <c r="AI754" s="763">
        <v>1139</v>
      </c>
      <c r="AJ754" s="827">
        <v>1139</v>
      </c>
      <c r="AK754" s="763">
        <v>801</v>
      </c>
      <c r="AL754" s="763">
        <v>750</v>
      </c>
      <c r="AM754" s="763">
        <v>753</v>
      </c>
      <c r="AN754" s="37">
        <f>AO754</f>
        <v>773</v>
      </c>
      <c r="AO754" s="827">
        <v>773</v>
      </c>
      <c r="AP754" s="763">
        <v>764</v>
      </c>
      <c r="AQ754" s="763">
        <v>763</v>
      </c>
      <c r="AR754" s="763">
        <v>756</v>
      </c>
      <c r="AS754" s="763">
        <v>776</v>
      </c>
      <c r="AT754" s="821">
        <f>AS754</f>
        <v>776</v>
      </c>
      <c r="AU754" s="763">
        <v>776</v>
      </c>
      <c r="AV754" s="763">
        <v>783</v>
      </c>
      <c r="AW754" s="763">
        <v>781</v>
      </c>
      <c r="AX754" s="763">
        <v>822</v>
      </c>
      <c r="AY754" s="821">
        <f>AX754</f>
        <v>822</v>
      </c>
      <c r="AZ754" s="763">
        <v>818</v>
      </c>
      <c r="BA754" s="763">
        <v>803</v>
      </c>
      <c r="BB754" s="763">
        <v>791</v>
      </c>
      <c r="BC754" s="763">
        <v>813</v>
      </c>
      <c r="BD754" s="821">
        <f>BC754</f>
        <v>813</v>
      </c>
      <c r="BE754" s="763">
        <v>874</v>
      </c>
      <c r="BF754" s="763">
        <v>874</v>
      </c>
      <c r="BG754" s="763">
        <v>903</v>
      </c>
      <c r="BH754" s="763">
        <v>822</v>
      </c>
      <c r="BI754" s="821">
        <f t="shared" ref="BI754:BS754" si="1734">BH754</f>
        <v>822</v>
      </c>
      <c r="BJ754" s="763">
        <v>807</v>
      </c>
      <c r="BK754" s="763">
        <v>812</v>
      </c>
      <c r="BL754" s="763">
        <v>825</v>
      </c>
      <c r="BM754" s="763">
        <v>1200</v>
      </c>
      <c r="BN754" s="821">
        <f t="shared" si="1734"/>
        <v>1200</v>
      </c>
      <c r="BO754" s="763">
        <v>1203</v>
      </c>
      <c r="BP754" s="763">
        <v>1077</v>
      </c>
      <c r="BQ754" s="763">
        <v>811</v>
      </c>
      <c r="BR754" s="763">
        <v>818</v>
      </c>
      <c r="BS754" s="821">
        <f t="shared" si="1734"/>
        <v>818</v>
      </c>
      <c r="BT754" s="764">
        <v>794</v>
      </c>
      <c r="BU754" s="37">
        <f t="shared" ref="BU754:CF754" si="1735">BT754</f>
        <v>794</v>
      </c>
      <c r="BV754" s="37">
        <f t="shared" si="1735"/>
        <v>794</v>
      </c>
      <c r="BW754" s="37">
        <f t="shared" si="1735"/>
        <v>794</v>
      </c>
      <c r="BX754" s="821">
        <f t="shared" si="1735"/>
        <v>794</v>
      </c>
      <c r="BY754" s="37">
        <f t="shared" si="1735"/>
        <v>794</v>
      </c>
      <c r="BZ754" s="37">
        <f t="shared" si="1735"/>
        <v>794</v>
      </c>
      <c r="CA754" s="37">
        <f t="shared" si="1735"/>
        <v>794</v>
      </c>
      <c r="CB754" s="37">
        <f t="shared" si="1735"/>
        <v>794</v>
      </c>
      <c r="CC754" s="821">
        <f t="shared" si="1735"/>
        <v>794</v>
      </c>
      <c r="CD754" s="821">
        <f t="shared" si="1735"/>
        <v>794</v>
      </c>
      <c r="CE754" s="821">
        <f t="shared" si="1735"/>
        <v>794</v>
      </c>
      <c r="CF754" s="821">
        <f t="shared" si="1735"/>
        <v>794</v>
      </c>
      <c r="CG754" s="22"/>
    </row>
    <row r="755" spans="1:85" s="428" customFormat="1" x14ac:dyDescent="0.3">
      <c r="A755" s="295" t="s">
        <v>309</v>
      </c>
      <c r="B755" s="244"/>
      <c r="C755" s="822"/>
      <c r="D755" s="822"/>
      <c r="E755" s="822"/>
      <c r="F755" s="822"/>
      <c r="G755" s="56"/>
      <c r="H755" s="56"/>
      <c r="I755" s="56"/>
      <c r="J755" s="56"/>
      <c r="K755" s="822"/>
      <c r="L755" s="56"/>
      <c r="M755" s="56"/>
      <c r="N755" s="56"/>
      <c r="O755" s="56"/>
      <c r="P755" s="822"/>
      <c r="Q755" s="56"/>
      <c r="R755" s="56"/>
      <c r="S755" s="56"/>
      <c r="T755" s="56"/>
      <c r="U755" s="822"/>
      <c r="V755" s="56"/>
      <c r="W755" s="56"/>
      <c r="X755" s="56"/>
      <c r="Y755" s="56"/>
      <c r="Z755" s="822"/>
      <c r="AA755" s="56"/>
      <c r="AB755" s="56"/>
      <c r="AC755" s="56"/>
      <c r="AD755" s="56"/>
      <c r="AE755" s="822"/>
      <c r="AF755" s="56">
        <f t="shared" ref="AF755:BN755" si="1736">AF756-AF754</f>
        <v>6211</v>
      </c>
      <c r="AG755" s="56">
        <f t="shared" si="1736"/>
        <v>6128</v>
      </c>
      <c r="AH755" s="56">
        <f t="shared" si="1736"/>
        <v>5967</v>
      </c>
      <c r="AI755" s="56">
        <f t="shared" si="1736"/>
        <v>5627</v>
      </c>
      <c r="AJ755" s="822">
        <f t="shared" si="1736"/>
        <v>5627</v>
      </c>
      <c r="AK755" s="56">
        <f t="shared" si="1736"/>
        <v>10065</v>
      </c>
      <c r="AL755" s="56">
        <f t="shared" si="1736"/>
        <v>9937</v>
      </c>
      <c r="AM755" s="56">
        <f t="shared" si="1736"/>
        <v>9963</v>
      </c>
      <c r="AN755" s="56">
        <f t="shared" si="1736"/>
        <v>9759</v>
      </c>
      <c r="AO755" s="822">
        <f t="shared" si="1736"/>
        <v>9759</v>
      </c>
      <c r="AP755" s="56">
        <f t="shared" si="1736"/>
        <v>9752</v>
      </c>
      <c r="AQ755" s="56">
        <f t="shared" si="1736"/>
        <v>10748</v>
      </c>
      <c r="AR755" s="56">
        <f t="shared" si="1736"/>
        <v>10471</v>
      </c>
      <c r="AS755" s="37">
        <f t="shared" si="1736"/>
        <v>11174</v>
      </c>
      <c r="AT755" s="821">
        <f t="shared" si="1736"/>
        <v>11174</v>
      </c>
      <c r="AU755" s="56">
        <f t="shared" si="1736"/>
        <v>10754</v>
      </c>
      <c r="AV755" s="56">
        <f t="shared" si="1736"/>
        <v>10961</v>
      </c>
      <c r="AW755" s="56">
        <f t="shared" si="1736"/>
        <v>10962</v>
      </c>
      <c r="AX755" s="56">
        <f t="shared" si="1736"/>
        <v>11562</v>
      </c>
      <c r="AY755" s="822">
        <f t="shared" si="1736"/>
        <v>11562</v>
      </c>
      <c r="AZ755" s="56">
        <f t="shared" si="1736"/>
        <v>11684</v>
      </c>
      <c r="BA755" s="56">
        <f t="shared" si="1736"/>
        <v>11844</v>
      </c>
      <c r="BB755" s="56">
        <f t="shared" si="1736"/>
        <v>11957</v>
      </c>
      <c r="BC755" s="56">
        <f t="shared" si="1736"/>
        <v>11497</v>
      </c>
      <c r="BD755" s="822">
        <f t="shared" si="1736"/>
        <v>11497</v>
      </c>
      <c r="BE755" s="56">
        <f t="shared" ref="BE755" si="1737">BE756-BE754</f>
        <v>11272</v>
      </c>
      <c r="BF755" s="56">
        <f t="shared" si="1736"/>
        <v>11946</v>
      </c>
      <c r="BG755" s="56">
        <f t="shared" si="1736"/>
        <v>12769</v>
      </c>
      <c r="BH755" s="37">
        <f t="shared" ref="BH755:BM755" si="1738">BH756-BH754</f>
        <v>12912</v>
      </c>
      <c r="BI755" s="822">
        <f t="shared" si="1738"/>
        <v>12912</v>
      </c>
      <c r="BJ755" s="56">
        <f t="shared" si="1738"/>
        <v>12775</v>
      </c>
      <c r="BK755" s="56">
        <f t="shared" si="1738"/>
        <v>13101</v>
      </c>
      <c r="BL755" s="56">
        <f t="shared" si="1738"/>
        <v>13214</v>
      </c>
      <c r="BM755" s="56">
        <f t="shared" si="1738"/>
        <v>13654</v>
      </c>
      <c r="BN755" s="822">
        <f t="shared" si="1736"/>
        <v>13654</v>
      </c>
      <c r="BO755" s="56">
        <f t="shared" ref="BO755:BX755" si="1739">BO756-BO754</f>
        <v>13808</v>
      </c>
      <c r="BP755" s="56">
        <f t="shared" si="1739"/>
        <v>14067</v>
      </c>
      <c r="BQ755" s="56">
        <f t="shared" si="1739"/>
        <v>15351</v>
      </c>
      <c r="BR755" s="56">
        <f t="shared" si="1739"/>
        <v>15418</v>
      </c>
      <c r="BS755" s="822">
        <f t="shared" si="1739"/>
        <v>15418</v>
      </c>
      <c r="BT755" s="478">
        <f>BT756-BT754</f>
        <v>15659</v>
      </c>
      <c r="BU755" s="56">
        <f>BU756-BU754</f>
        <v>15659</v>
      </c>
      <c r="BV755" s="56">
        <f>BV756-BV754</f>
        <v>15659</v>
      </c>
      <c r="BW755" s="56">
        <f>BW756-BW754</f>
        <v>15659</v>
      </c>
      <c r="BX755" s="822">
        <f t="shared" si="1739"/>
        <v>15659</v>
      </c>
      <c r="BY755" s="56">
        <f t="shared" ref="BY755:CF755" si="1740">BY756-BY754</f>
        <v>15659</v>
      </c>
      <c r="BZ755" s="56">
        <f t="shared" si="1740"/>
        <v>15659</v>
      </c>
      <c r="CA755" s="56">
        <f t="shared" si="1740"/>
        <v>15659</v>
      </c>
      <c r="CB755" s="56">
        <f t="shared" si="1740"/>
        <v>15659</v>
      </c>
      <c r="CC755" s="822">
        <f t="shared" si="1740"/>
        <v>15659</v>
      </c>
      <c r="CD755" s="822">
        <f t="shared" si="1740"/>
        <v>15659</v>
      </c>
      <c r="CE755" s="822">
        <f t="shared" si="1740"/>
        <v>15659</v>
      </c>
      <c r="CF755" s="822">
        <f t="shared" si="1740"/>
        <v>15659</v>
      </c>
      <c r="CG755" s="22"/>
    </row>
    <row r="756" spans="1:85" s="428" customFormat="1" x14ac:dyDescent="0.3">
      <c r="A756" s="296" t="s">
        <v>310</v>
      </c>
      <c r="B756" s="297"/>
      <c r="C756" s="887">
        <v>2879</v>
      </c>
      <c r="D756" s="887">
        <v>3210</v>
      </c>
      <c r="E756" s="887">
        <v>3889</v>
      </c>
      <c r="F756" s="887">
        <v>4503</v>
      </c>
      <c r="G756" s="785">
        <v>4476</v>
      </c>
      <c r="H756" s="785">
        <v>4562</v>
      </c>
      <c r="I756" s="785">
        <v>4635</v>
      </c>
      <c r="J756" s="785">
        <v>5120</v>
      </c>
      <c r="K756" s="886">
        <f>J756</f>
        <v>5120</v>
      </c>
      <c r="L756" s="785">
        <v>5118</v>
      </c>
      <c r="M756" s="785">
        <v>5493</v>
      </c>
      <c r="N756" s="785">
        <v>5844</v>
      </c>
      <c r="O756" s="785">
        <v>6299</v>
      </c>
      <c r="P756" s="886">
        <f>O756</f>
        <v>6299</v>
      </c>
      <c r="Q756" s="785">
        <v>6565</v>
      </c>
      <c r="R756" s="785">
        <v>6389</v>
      </c>
      <c r="S756" s="785">
        <v>6593</v>
      </c>
      <c r="T756" s="785">
        <v>6155</v>
      </c>
      <c r="U756" s="886">
        <f>T756</f>
        <v>6155</v>
      </c>
      <c r="V756" s="785">
        <v>6514</v>
      </c>
      <c r="W756" s="785">
        <v>6316</v>
      </c>
      <c r="X756" s="785">
        <v>6631</v>
      </c>
      <c r="Y756" s="84">
        <f>Z756</f>
        <v>6838</v>
      </c>
      <c r="Z756" s="887">
        <v>6838</v>
      </c>
      <c r="AA756" s="785">
        <v>6980</v>
      </c>
      <c r="AB756" s="785">
        <v>7352</v>
      </c>
      <c r="AC756" s="785">
        <v>6793</v>
      </c>
      <c r="AD756" s="84">
        <f>AE756</f>
        <v>7017</v>
      </c>
      <c r="AE756" s="887">
        <v>7017</v>
      </c>
      <c r="AF756" s="785">
        <v>6946</v>
      </c>
      <c r="AG756" s="785">
        <v>6859</v>
      </c>
      <c r="AH756" s="785">
        <v>6745</v>
      </c>
      <c r="AI756" s="84">
        <f>AJ756</f>
        <v>6766</v>
      </c>
      <c r="AJ756" s="887">
        <v>6766</v>
      </c>
      <c r="AK756" s="785">
        <v>10866</v>
      </c>
      <c r="AL756" s="785">
        <v>10687</v>
      </c>
      <c r="AM756" s="785">
        <v>10716</v>
      </c>
      <c r="AN756" s="84">
        <f>AO756</f>
        <v>10532</v>
      </c>
      <c r="AO756" s="887">
        <v>10532</v>
      </c>
      <c r="AP756" s="763">
        <v>10516</v>
      </c>
      <c r="AQ756" s="785">
        <v>11511</v>
      </c>
      <c r="AR756" s="785">
        <v>11227</v>
      </c>
      <c r="AS756" s="785">
        <v>11950</v>
      </c>
      <c r="AT756" s="886">
        <f>AS756</f>
        <v>11950</v>
      </c>
      <c r="AU756" s="763">
        <v>11530</v>
      </c>
      <c r="AV756" s="763">
        <v>11744</v>
      </c>
      <c r="AW756" s="785">
        <v>11743</v>
      </c>
      <c r="AX756" s="785">
        <v>12384</v>
      </c>
      <c r="AY756" s="886">
        <f>AX756</f>
        <v>12384</v>
      </c>
      <c r="AZ756" s="763">
        <v>12502</v>
      </c>
      <c r="BA756" s="763">
        <v>12647</v>
      </c>
      <c r="BB756" s="785">
        <v>12748</v>
      </c>
      <c r="BC756" s="785">
        <v>12310</v>
      </c>
      <c r="BD756" s="886">
        <f>BC756</f>
        <v>12310</v>
      </c>
      <c r="BE756" s="785">
        <v>12146</v>
      </c>
      <c r="BF756" s="785">
        <v>12820</v>
      </c>
      <c r="BG756" s="785">
        <v>13672</v>
      </c>
      <c r="BH756" s="785">
        <v>13734</v>
      </c>
      <c r="BI756" s="886">
        <f>BH756</f>
        <v>13734</v>
      </c>
      <c r="BJ756" s="785">
        <v>13582</v>
      </c>
      <c r="BK756" s="785">
        <v>13913</v>
      </c>
      <c r="BL756" s="785">
        <v>14039</v>
      </c>
      <c r="BM756" s="785">
        <v>14854</v>
      </c>
      <c r="BN756" s="886">
        <f>BM756</f>
        <v>14854</v>
      </c>
      <c r="BO756" s="785">
        <v>15011</v>
      </c>
      <c r="BP756" s="785">
        <v>15144</v>
      </c>
      <c r="BQ756" s="785">
        <v>16162</v>
      </c>
      <c r="BR756" s="785">
        <v>16236</v>
      </c>
      <c r="BS756" s="886">
        <f>BR756</f>
        <v>16236</v>
      </c>
      <c r="BT756" s="799">
        <v>16453</v>
      </c>
      <c r="BU756" s="84">
        <f t="shared" ref="BU756:CF756" si="1741">BT756</f>
        <v>16453</v>
      </c>
      <c r="BV756" s="84">
        <f t="shared" si="1741"/>
        <v>16453</v>
      </c>
      <c r="BW756" s="84">
        <f t="shared" si="1741"/>
        <v>16453</v>
      </c>
      <c r="BX756" s="886">
        <f t="shared" si="1741"/>
        <v>16453</v>
      </c>
      <c r="BY756" s="84">
        <f t="shared" si="1741"/>
        <v>16453</v>
      </c>
      <c r="BZ756" s="84">
        <f t="shared" si="1741"/>
        <v>16453</v>
      </c>
      <c r="CA756" s="84">
        <f t="shared" si="1741"/>
        <v>16453</v>
      </c>
      <c r="CB756" s="84">
        <f t="shared" si="1741"/>
        <v>16453</v>
      </c>
      <c r="CC756" s="886">
        <f t="shared" si="1741"/>
        <v>16453</v>
      </c>
      <c r="CD756" s="886">
        <f t="shared" si="1741"/>
        <v>16453</v>
      </c>
      <c r="CE756" s="886">
        <f t="shared" si="1741"/>
        <v>16453</v>
      </c>
      <c r="CF756" s="886">
        <f t="shared" si="1741"/>
        <v>16453</v>
      </c>
      <c r="CG756" s="22"/>
    </row>
    <row r="757" spans="1:85" s="428" customFormat="1" x14ac:dyDescent="0.3">
      <c r="A757" s="43" t="s">
        <v>311</v>
      </c>
      <c r="B757" s="109"/>
      <c r="C757" s="827">
        <v>4618</v>
      </c>
      <c r="D757" s="827">
        <v>4617</v>
      </c>
      <c r="E757" s="827">
        <v>4642</v>
      </c>
      <c r="F757" s="827">
        <v>4640</v>
      </c>
      <c r="G757" s="763">
        <v>4640</v>
      </c>
      <c r="H757" s="763">
        <v>4640</v>
      </c>
      <c r="I757" s="763">
        <v>4640</v>
      </c>
      <c r="J757" s="763">
        <v>4639</v>
      </c>
      <c r="K757" s="821">
        <f>J757</f>
        <v>4639</v>
      </c>
      <c r="L757" s="763">
        <v>4639</v>
      </c>
      <c r="M757" s="763">
        <v>4621</v>
      </c>
      <c r="N757" s="763">
        <v>4621</v>
      </c>
      <c r="O757" s="763">
        <v>4593</v>
      </c>
      <c r="P757" s="821">
        <f>O757</f>
        <v>4593</v>
      </c>
      <c r="Q757" s="763">
        <v>4588</v>
      </c>
      <c r="R757" s="763">
        <v>4588</v>
      </c>
      <c r="S757" s="763">
        <v>4588</v>
      </c>
      <c r="T757" s="763">
        <v>4588</v>
      </c>
      <c r="U757" s="821">
        <f>T757</f>
        <v>4588</v>
      </c>
      <c r="V757" s="763">
        <v>4588</v>
      </c>
      <c r="W757" s="763">
        <v>4581</v>
      </c>
      <c r="X757" s="763">
        <v>4581</v>
      </c>
      <c r="Y757" s="37">
        <f>Z757</f>
        <v>4581</v>
      </c>
      <c r="Z757" s="827">
        <v>4581</v>
      </c>
      <c r="AA757" s="763">
        <v>4543</v>
      </c>
      <c r="AB757" s="763">
        <v>4543</v>
      </c>
      <c r="AC757" s="763">
        <v>4531</v>
      </c>
      <c r="AD757" s="37">
        <f>AE757</f>
        <v>4531</v>
      </c>
      <c r="AE757" s="827">
        <v>4531</v>
      </c>
      <c r="AF757" s="763">
        <v>4531</v>
      </c>
      <c r="AG757" s="763">
        <v>4518</v>
      </c>
      <c r="AH757" s="763">
        <v>4518</v>
      </c>
      <c r="AI757" s="37">
        <f>AJ757</f>
        <v>4518</v>
      </c>
      <c r="AJ757" s="827">
        <v>4518</v>
      </c>
      <c r="AK757" s="763">
        <v>4507</v>
      </c>
      <c r="AL757" s="763">
        <v>4507</v>
      </c>
      <c r="AM757" s="763">
        <v>4507</v>
      </c>
      <c r="AN757" s="37">
        <f>AO757</f>
        <v>4463</v>
      </c>
      <c r="AO757" s="827">
        <v>4463</v>
      </c>
      <c r="AP757" s="763">
        <v>4454</v>
      </c>
      <c r="AQ757" s="763">
        <v>4416</v>
      </c>
      <c r="AR757" s="763">
        <v>4416</v>
      </c>
      <c r="AS757" s="763">
        <v>4402</v>
      </c>
      <c r="AT757" s="821">
        <f>AS757</f>
        <v>4402</v>
      </c>
      <c r="AU757" s="763">
        <v>4402</v>
      </c>
      <c r="AV757" s="763">
        <v>4402</v>
      </c>
      <c r="AW757" s="763">
        <v>4402</v>
      </c>
      <c r="AX757" s="763">
        <v>4385</v>
      </c>
      <c r="AY757" s="821">
        <f>AX757</f>
        <v>4385</v>
      </c>
      <c r="AZ757" s="763">
        <v>4374</v>
      </c>
      <c r="BA757" s="763">
        <v>4663</v>
      </c>
      <c r="BB757" s="763">
        <v>4663</v>
      </c>
      <c r="BC757" s="763">
        <v>4722</v>
      </c>
      <c r="BD757" s="821">
        <f>BC757</f>
        <v>4722</v>
      </c>
      <c r="BE757" s="763">
        <v>4722</v>
      </c>
      <c r="BF757" s="763">
        <v>4722</v>
      </c>
      <c r="BG757" s="763">
        <v>4722</v>
      </c>
      <c r="BH757" s="763">
        <v>4722</v>
      </c>
      <c r="BI757" s="821">
        <f>BH757</f>
        <v>4722</v>
      </c>
      <c r="BJ757" s="763">
        <v>4722</v>
      </c>
      <c r="BK757" s="763">
        <v>4722</v>
      </c>
      <c r="BL757" s="763">
        <v>4722</v>
      </c>
      <c r="BM757" s="763">
        <v>4578</v>
      </c>
      <c r="BN757" s="821">
        <f>BM757</f>
        <v>4578</v>
      </c>
      <c r="BO757" s="763">
        <v>4568</v>
      </c>
      <c r="BP757" s="763">
        <v>4568</v>
      </c>
      <c r="BQ757" s="763">
        <v>4568</v>
      </c>
      <c r="BR757" s="763">
        <v>4568</v>
      </c>
      <c r="BS757" s="821">
        <f>BR757</f>
        <v>4568</v>
      </c>
      <c r="BT757" s="764">
        <v>4568</v>
      </c>
      <c r="BU757" s="37">
        <f t="shared" ref="BU757:CF757" si="1742">BT757</f>
        <v>4568</v>
      </c>
      <c r="BV757" s="37">
        <f t="shared" si="1742"/>
        <v>4568</v>
      </c>
      <c r="BW757" s="37">
        <f t="shared" si="1742"/>
        <v>4568</v>
      </c>
      <c r="BX757" s="821">
        <f t="shared" si="1742"/>
        <v>4568</v>
      </c>
      <c r="BY757" s="37">
        <f t="shared" si="1742"/>
        <v>4568</v>
      </c>
      <c r="BZ757" s="37">
        <f t="shared" si="1742"/>
        <v>4568</v>
      </c>
      <c r="CA757" s="37">
        <f t="shared" si="1742"/>
        <v>4568</v>
      </c>
      <c r="CB757" s="37">
        <f t="shared" si="1742"/>
        <v>4568</v>
      </c>
      <c r="CC757" s="821">
        <f t="shared" si="1742"/>
        <v>4568</v>
      </c>
      <c r="CD757" s="821">
        <f t="shared" si="1742"/>
        <v>4568</v>
      </c>
      <c r="CE757" s="821">
        <f t="shared" si="1742"/>
        <v>4568</v>
      </c>
      <c r="CF757" s="821">
        <f t="shared" si="1742"/>
        <v>4568</v>
      </c>
      <c r="CG757" s="22"/>
    </row>
    <row r="758" spans="1:85" s="428" customFormat="1" x14ac:dyDescent="0.3">
      <c r="A758" s="242" t="s">
        <v>312</v>
      </c>
      <c r="B758" s="244"/>
      <c r="C758" s="828">
        <v>0</v>
      </c>
      <c r="D758" s="828">
        <v>0</v>
      </c>
      <c r="E758" s="828">
        <v>0</v>
      </c>
      <c r="F758" s="828">
        <v>0</v>
      </c>
      <c r="G758" s="765">
        <v>0</v>
      </c>
      <c r="H758" s="765">
        <v>0</v>
      </c>
      <c r="I758" s="765">
        <v>0</v>
      </c>
      <c r="J758" s="765">
        <v>580</v>
      </c>
      <c r="K758" s="822">
        <f>J758</f>
        <v>580</v>
      </c>
      <c r="L758" s="765">
        <v>644</v>
      </c>
      <c r="M758" s="765">
        <v>0</v>
      </c>
      <c r="N758" s="765">
        <v>201</v>
      </c>
      <c r="O758" s="765">
        <v>0</v>
      </c>
      <c r="P758" s="822">
        <f>O758</f>
        <v>0</v>
      </c>
      <c r="Q758" s="765">
        <v>0</v>
      </c>
      <c r="R758" s="765">
        <v>387</v>
      </c>
      <c r="S758" s="765">
        <v>898</v>
      </c>
      <c r="T758" s="765">
        <v>1449</v>
      </c>
      <c r="U758" s="822">
        <f>T758</f>
        <v>1449</v>
      </c>
      <c r="V758" s="765">
        <v>1085</v>
      </c>
      <c r="W758" s="765">
        <v>3216</v>
      </c>
      <c r="X758" s="765">
        <v>3893</v>
      </c>
      <c r="Y758" s="56">
        <f>Z758</f>
        <v>4119</v>
      </c>
      <c r="Z758" s="828">
        <v>4119</v>
      </c>
      <c r="AA758" s="765">
        <v>4352</v>
      </c>
      <c r="AB758" s="765">
        <v>3793</v>
      </c>
      <c r="AC758" s="765">
        <v>584</v>
      </c>
      <c r="AD758" s="56">
        <f>AE758</f>
        <v>640</v>
      </c>
      <c r="AE758" s="828">
        <v>640</v>
      </c>
      <c r="AF758" s="765">
        <v>1200</v>
      </c>
      <c r="AG758" s="765">
        <v>1239</v>
      </c>
      <c r="AH758" s="765">
        <v>983</v>
      </c>
      <c r="AI758" s="56">
        <f>AJ758</f>
        <v>1863</v>
      </c>
      <c r="AJ758" s="828">
        <v>1863</v>
      </c>
      <c r="AK758" s="765">
        <v>2654</v>
      </c>
      <c r="AL758" s="765">
        <v>2985</v>
      </c>
      <c r="AM758" s="765">
        <v>3052</v>
      </c>
      <c r="AN758" s="56">
        <f>AO758</f>
        <v>3411</v>
      </c>
      <c r="AO758" s="828">
        <v>3411</v>
      </c>
      <c r="AP758" s="765">
        <v>2989</v>
      </c>
      <c r="AQ758" s="765">
        <v>1792</v>
      </c>
      <c r="AR758" s="765">
        <v>1799</v>
      </c>
      <c r="AS758" s="763">
        <v>1101</v>
      </c>
      <c r="AT758" s="821">
        <f>AS758</f>
        <v>1101</v>
      </c>
      <c r="AU758" s="765">
        <v>1115</v>
      </c>
      <c r="AV758" s="763">
        <v>1362</v>
      </c>
      <c r="AW758" s="765">
        <v>1980</v>
      </c>
      <c r="AX758" s="765">
        <v>768</v>
      </c>
      <c r="AY758" s="822">
        <f>AX758</f>
        <v>768</v>
      </c>
      <c r="AZ758" s="763">
        <v>771</v>
      </c>
      <c r="BA758" s="763">
        <v>822</v>
      </c>
      <c r="BB758" s="765">
        <v>424</v>
      </c>
      <c r="BC758" s="765">
        <v>436</v>
      </c>
      <c r="BD758" s="822">
        <f>BC758</f>
        <v>436</v>
      </c>
      <c r="BE758" s="765">
        <v>432</v>
      </c>
      <c r="BF758" s="765">
        <v>970</v>
      </c>
      <c r="BG758" s="765">
        <v>651</v>
      </c>
      <c r="BH758" s="765">
        <v>675</v>
      </c>
      <c r="BI758" s="822">
        <f>BH758</f>
        <v>675</v>
      </c>
      <c r="BJ758" s="765">
        <v>580</v>
      </c>
      <c r="BK758" s="765">
        <v>1009</v>
      </c>
      <c r="BL758" s="765">
        <v>5975</v>
      </c>
      <c r="BM758" s="765">
        <v>481</v>
      </c>
      <c r="BN758" s="822">
        <f>BM758</f>
        <v>481</v>
      </c>
      <c r="BO758" s="765">
        <v>28</v>
      </c>
      <c r="BP758" s="765">
        <v>28</v>
      </c>
      <c r="BQ758" s="765">
        <v>26</v>
      </c>
      <c r="BR758" s="765">
        <v>25</v>
      </c>
      <c r="BS758" s="822">
        <f>BR758</f>
        <v>25</v>
      </c>
      <c r="BT758" s="766">
        <v>18</v>
      </c>
      <c r="BU758" s="56">
        <f t="shared" ref="BU758:CF758" si="1743">BT758</f>
        <v>18</v>
      </c>
      <c r="BV758" s="56">
        <f t="shared" si="1743"/>
        <v>18</v>
      </c>
      <c r="BW758" s="56">
        <f t="shared" si="1743"/>
        <v>18</v>
      </c>
      <c r="BX758" s="822">
        <f t="shared" si="1743"/>
        <v>18</v>
      </c>
      <c r="BY758" s="56">
        <f t="shared" si="1743"/>
        <v>18</v>
      </c>
      <c r="BZ758" s="56">
        <f t="shared" si="1743"/>
        <v>18</v>
      </c>
      <c r="CA758" s="56">
        <f t="shared" si="1743"/>
        <v>18</v>
      </c>
      <c r="CB758" s="56">
        <f t="shared" si="1743"/>
        <v>18</v>
      </c>
      <c r="CC758" s="822">
        <f t="shared" si="1743"/>
        <v>18</v>
      </c>
      <c r="CD758" s="822">
        <f t="shared" si="1743"/>
        <v>18</v>
      </c>
      <c r="CE758" s="822">
        <f t="shared" si="1743"/>
        <v>18</v>
      </c>
      <c r="CF758" s="822">
        <f t="shared" si="1743"/>
        <v>18</v>
      </c>
      <c r="CG758" s="22"/>
    </row>
    <row r="759" spans="1:85" s="429" customFormat="1" x14ac:dyDescent="0.3">
      <c r="A759" s="42" t="s">
        <v>313</v>
      </c>
      <c r="B759" s="99"/>
      <c r="C759" s="823">
        <f t="shared" ref="C759:AH759" si="1744">C749+C750+SUM(C756:C758)+C753</f>
        <v>127405</v>
      </c>
      <c r="D759" s="823">
        <f t="shared" si="1744"/>
        <v>135928</v>
      </c>
      <c r="E759" s="823">
        <f t="shared" si="1744"/>
        <v>156240</v>
      </c>
      <c r="F759" s="823">
        <f t="shared" si="1744"/>
        <v>177262</v>
      </c>
      <c r="G759" s="393">
        <f t="shared" si="1744"/>
        <v>182714</v>
      </c>
      <c r="H759" s="393">
        <f t="shared" si="1744"/>
        <v>187944</v>
      </c>
      <c r="I759" s="393">
        <f t="shared" si="1744"/>
        <v>194335</v>
      </c>
      <c r="J759" s="393">
        <f t="shared" si="1744"/>
        <v>203503</v>
      </c>
      <c r="K759" s="823">
        <f t="shared" si="1744"/>
        <v>203503</v>
      </c>
      <c r="L759" s="393">
        <f t="shared" si="1744"/>
        <v>208489</v>
      </c>
      <c r="M759" s="393">
        <f t="shared" si="1744"/>
        <v>213125</v>
      </c>
      <c r="N759" s="393">
        <f t="shared" si="1744"/>
        <v>218348</v>
      </c>
      <c r="O759" s="393">
        <f t="shared" si="1744"/>
        <v>223794</v>
      </c>
      <c r="P759" s="823">
        <f t="shared" si="1744"/>
        <v>223794</v>
      </c>
      <c r="Q759" s="393">
        <f t="shared" si="1744"/>
        <v>228334</v>
      </c>
      <c r="R759" s="393">
        <f t="shared" si="1744"/>
        <v>225717</v>
      </c>
      <c r="S759" s="393">
        <f t="shared" si="1744"/>
        <v>228630</v>
      </c>
      <c r="T759" s="393">
        <f t="shared" si="1744"/>
        <v>230110</v>
      </c>
      <c r="U759" s="823">
        <f t="shared" si="1744"/>
        <v>230110</v>
      </c>
      <c r="V759" s="393">
        <f t="shared" si="1744"/>
        <v>232129</v>
      </c>
      <c r="W759" s="393">
        <f t="shared" si="1744"/>
        <v>229007</v>
      </c>
      <c r="X759" s="393">
        <f t="shared" si="1744"/>
        <v>230990</v>
      </c>
      <c r="Y759" s="393">
        <f t="shared" si="1744"/>
        <v>230459</v>
      </c>
      <c r="Z759" s="823">
        <f t="shared" si="1744"/>
        <v>230459</v>
      </c>
      <c r="AA759" s="393">
        <f t="shared" si="1744"/>
        <v>229543</v>
      </c>
      <c r="AB759" s="393">
        <f t="shared" si="1744"/>
        <v>227973</v>
      </c>
      <c r="AC759" s="393">
        <f t="shared" si="1744"/>
        <v>225762</v>
      </c>
      <c r="AD759" s="393">
        <f t="shared" si="1744"/>
        <v>225246</v>
      </c>
      <c r="AE759" s="823">
        <f t="shared" si="1744"/>
        <v>225246</v>
      </c>
      <c r="AF759" s="393">
        <f t="shared" si="1744"/>
        <v>224716</v>
      </c>
      <c r="AG759" s="393">
        <f t="shared" si="1744"/>
        <v>223673</v>
      </c>
      <c r="AH759" s="393">
        <f t="shared" si="1744"/>
        <v>221023</v>
      </c>
      <c r="AI759" s="393">
        <f t="shared" ref="AI759:AT759" si="1745">AI749+AI750+SUM(AI756:AI758)+AI753</f>
        <v>219842</v>
      </c>
      <c r="AJ759" s="823">
        <f t="shared" si="1745"/>
        <v>219842</v>
      </c>
      <c r="AK759" s="393">
        <f t="shared" si="1745"/>
        <v>223138</v>
      </c>
      <c r="AL759" s="393">
        <f t="shared" si="1745"/>
        <v>222791</v>
      </c>
      <c r="AM759" s="393">
        <f t="shared" si="1745"/>
        <v>222549</v>
      </c>
      <c r="AN759" s="393">
        <f t="shared" si="1745"/>
        <v>209099</v>
      </c>
      <c r="AO759" s="823">
        <f t="shared" si="1745"/>
        <v>209099</v>
      </c>
      <c r="AP759" s="393">
        <f t="shared" si="1745"/>
        <v>208115</v>
      </c>
      <c r="AQ759" s="393">
        <f t="shared" si="1745"/>
        <v>199671</v>
      </c>
      <c r="AR759" s="393">
        <f>AR749+AR750+SUM(AR756:AR758)+AR753</f>
        <v>198260</v>
      </c>
      <c r="AS759" s="393">
        <f t="shared" si="1745"/>
        <v>213712</v>
      </c>
      <c r="AT759" s="823">
        <f t="shared" si="1745"/>
        <v>213712</v>
      </c>
      <c r="AU759" s="393">
        <f>AU749+AU750+SUM(AU756:AU758)+AU753</f>
        <v>211212</v>
      </c>
      <c r="AV759" s="393">
        <f>AV749+AV750+SUM(AV756:AV758)+AV753</f>
        <v>209833</v>
      </c>
      <c r="AW759" s="393">
        <f>AW749+AW750+SUM(AW756:AW758)+AW753</f>
        <v>207811</v>
      </c>
      <c r="AX759" s="393">
        <f t="shared" ref="AX759:AY759" si="1746">AX749+AX750+SUM(AX756:AX758)+AX753</f>
        <v>205797</v>
      </c>
      <c r="AY759" s="823">
        <f t="shared" si="1746"/>
        <v>205797</v>
      </c>
      <c r="AZ759" s="393">
        <f t="shared" ref="AZ759:BN759" si="1747">AZ749+AZ750+SUM(AZ756:AZ758)+AZ753</f>
        <v>204339</v>
      </c>
      <c r="BA759" s="393">
        <f t="shared" si="1747"/>
        <v>206748</v>
      </c>
      <c r="BB759" s="393">
        <f t="shared" si="1747"/>
        <v>208232</v>
      </c>
      <c r="BC759" s="393">
        <f t="shared" ref="BC759:BE759" si="1748">BC749+BC750+SUM(BC756:BC758)+BC753</f>
        <v>207366</v>
      </c>
      <c r="BD759" s="823">
        <f t="shared" si="1748"/>
        <v>207366</v>
      </c>
      <c r="BE759" s="393">
        <f t="shared" si="1748"/>
        <v>207535</v>
      </c>
      <c r="BF759" s="393">
        <f t="shared" si="1747"/>
        <v>208989</v>
      </c>
      <c r="BG759" s="393">
        <f t="shared" si="1747"/>
        <v>222195</v>
      </c>
      <c r="BH759" s="393">
        <f t="shared" ref="BH759:BM759" si="1749">BH749+BH750+SUM(BH756:BH758)+BH753</f>
        <v>220504</v>
      </c>
      <c r="BI759" s="823">
        <f t="shared" si="1749"/>
        <v>220504</v>
      </c>
      <c r="BJ759" s="393">
        <f t="shared" si="1749"/>
        <v>221143</v>
      </c>
      <c r="BK759" s="393">
        <f t="shared" si="1749"/>
        <v>221275</v>
      </c>
      <c r="BL759" s="393">
        <f t="shared" si="1749"/>
        <v>221045</v>
      </c>
      <c r="BM759" s="393">
        <f t="shared" si="1749"/>
        <v>216027</v>
      </c>
      <c r="BN759" s="823">
        <f t="shared" si="1747"/>
        <v>216027</v>
      </c>
      <c r="BO759" s="393">
        <f t="shared" ref="BO759:BX759" si="1750">BO749+BO750+SUM(BO756:BO758)+BO753</f>
        <v>217823</v>
      </c>
      <c r="BP759" s="393">
        <f t="shared" si="1750"/>
        <v>216129</v>
      </c>
      <c r="BQ759" s="393">
        <f t="shared" si="1750"/>
        <v>285635</v>
      </c>
      <c r="BR759" s="393">
        <f t="shared" si="1750"/>
        <v>285460</v>
      </c>
      <c r="BS759" s="823">
        <f t="shared" si="1750"/>
        <v>285460</v>
      </c>
      <c r="BT759" s="641">
        <f>BT749+BT750+SUM(BT756:BT758)+BT753</f>
        <v>283391</v>
      </c>
      <c r="BU759" s="393">
        <f>BU749+BU750+SUM(BU756:BU758)+BU753</f>
        <v>283391</v>
      </c>
      <c r="BV759" s="393">
        <f>BV749+BV750+SUM(BV756:BV758)+BV753</f>
        <v>284591</v>
      </c>
      <c r="BW759" s="393">
        <f>BW749+BW750+SUM(BW756:BW758)+BW753</f>
        <v>285091</v>
      </c>
      <c r="BX759" s="823">
        <f t="shared" si="1750"/>
        <v>285091</v>
      </c>
      <c r="BY759" s="393">
        <f t="shared" ref="BY759:CF759" si="1751">BY749+BY750+SUM(BY756:BY758)+BY753</f>
        <v>283591</v>
      </c>
      <c r="BZ759" s="393">
        <f t="shared" si="1751"/>
        <v>281591</v>
      </c>
      <c r="CA759" s="393">
        <f t="shared" si="1751"/>
        <v>279591</v>
      </c>
      <c r="CB759" s="393">
        <f t="shared" si="1751"/>
        <v>277591</v>
      </c>
      <c r="CC759" s="823">
        <f t="shared" si="1751"/>
        <v>277591</v>
      </c>
      <c r="CD759" s="823">
        <f t="shared" si="1751"/>
        <v>271591</v>
      </c>
      <c r="CE759" s="823">
        <f t="shared" si="1751"/>
        <v>266591</v>
      </c>
      <c r="CF759" s="823">
        <f t="shared" si="1751"/>
        <v>260591</v>
      </c>
      <c r="CG759" s="26"/>
    </row>
    <row r="760" spans="1:85" s="429" customFormat="1" x14ac:dyDescent="0.3">
      <c r="A760" s="48" t="s">
        <v>314</v>
      </c>
      <c r="B760" s="58"/>
      <c r="C760" s="825">
        <f t="shared" ref="C760:AH760" si="1752">C746+C759</f>
        <v>164621</v>
      </c>
      <c r="D760" s="825">
        <f t="shared" si="1752"/>
        <v>184769</v>
      </c>
      <c r="E760" s="825">
        <f t="shared" si="1752"/>
        <v>209474</v>
      </c>
      <c r="F760" s="825">
        <f t="shared" si="1752"/>
        <v>232982</v>
      </c>
      <c r="G760" s="31">
        <f t="shared" si="1752"/>
        <v>237410</v>
      </c>
      <c r="H760" s="31">
        <f t="shared" si="1752"/>
        <v>244048</v>
      </c>
      <c r="I760" s="31">
        <f t="shared" si="1752"/>
        <v>247838</v>
      </c>
      <c r="J760" s="31">
        <f t="shared" si="1752"/>
        <v>253753</v>
      </c>
      <c r="K760" s="825">
        <f t="shared" si="1752"/>
        <v>253753</v>
      </c>
      <c r="L760" s="31">
        <f t="shared" si="1752"/>
        <v>258238</v>
      </c>
      <c r="M760" s="31">
        <f t="shared" si="1752"/>
        <v>262045</v>
      </c>
      <c r="N760" s="31">
        <f t="shared" si="1752"/>
        <v>265431</v>
      </c>
      <c r="O760" s="31">
        <f t="shared" si="1752"/>
        <v>266026</v>
      </c>
      <c r="P760" s="825">
        <f t="shared" si="1752"/>
        <v>266026</v>
      </c>
      <c r="Q760" s="31">
        <f t="shared" si="1752"/>
        <v>269604</v>
      </c>
      <c r="R760" s="31">
        <f t="shared" si="1752"/>
        <v>266455</v>
      </c>
      <c r="S760" s="31">
        <f t="shared" si="1752"/>
        <v>268449</v>
      </c>
      <c r="T760" s="31">
        <f t="shared" si="1752"/>
        <v>264540</v>
      </c>
      <c r="U760" s="825">
        <f t="shared" si="1752"/>
        <v>264540</v>
      </c>
      <c r="V760" s="31">
        <f t="shared" si="1752"/>
        <v>263842</v>
      </c>
      <c r="W760" s="31">
        <f t="shared" si="1752"/>
        <v>261478</v>
      </c>
      <c r="X760" s="31">
        <f t="shared" si="1752"/>
        <v>259863</v>
      </c>
      <c r="Y760" s="31">
        <f t="shared" si="1752"/>
        <v>260078</v>
      </c>
      <c r="Z760" s="825">
        <f t="shared" si="1752"/>
        <v>260078</v>
      </c>
      <c r="AA760" s="31">
        <f t="shared" si="1752"/>
        <v>259111</v>
      </c>
      <c r="AB760" s="31">
        <f t="shared" si="1752"/>
        <v>254599</v>
      </c>
      <c r="AC760" s="31">
        <f t="shared" si="1752"/>
        <v>255160</v>
      </c>
      <c r="AD760" s="31">
        <f t="shared" si="1752"/>
        <v>253806</v>
      </c>
      <c r="AE760" s="825">
        <f t="shared" si="1752"/>
        <v>253806</v>
      </c>
      <c r="AF760" s="31">
        <f t="shared" si="1752"/>
        <v>256442</v>
      </c>
      <c r="AG760" s="31">
        <f t="shared" si="1752"/>
        <v>257929</v>
      </c>
      <c r="AH760" s="31">
        <f t="shared" si="1752"/>
        <v>256606</v>
      </c>
      <c r="AI760" s="31">
        <f t="shared" ref="AI760:BE760" si="1753">AI746+AI759</f>
        <v>253863</v>
      </c>
      <c r="AJ760" s="825">
        <f t="shared" si="1753"/>
        <v>253863</v>
      </c>
      <c r="AK760" s="31">
        <f t="shared" si="1753"/>
        <v>256809</v>
      </c>
      <c r="AL760" s="31">
        <f t="shared" si="1753"/>
        <v>255878</v>
      </c>
      <c r="AM760" s="31">
        <f t="shared" si="1753"/>
        <v>256537</v>
      </c>
      <c r="AN760" s="31">
        <f t="shared" si="1753"/>
        <v>237428</v>
      </c>
      <c r="AO760" s="825">
        <f t="shared" si="1753"/>
        <v>237428</v>
      </c>
      <c r="AP760" s="31">
        <f t="shared" si="1753"/>
        <v>236677</v>
      </c>
      <c r="AQ760" s="31">
        <f t="shared" si="1753"/>
        <v>223403</v>
      </c>
      <c r="AR760" s="31">
        <f t="shared" si="1753"/>
        <v>223063</v>
      </c>
      <c r="AS760" s="31">
        <f t="shared" si="1753"/>
        <v>239790</v>
      </c>
      <c r="AT760" s="825">
        <f t="shared" si="1753"/>
        <v>239790</v>
      </c>
      <c r="AU760" s="31">
        <f t="shared" si="1753"/>
        <v>241645</v>
      </c>
      <c r="AV760" s="31">
        <f t="shared" si="1753"/>
        <v>242806</v>
      </c>
      <c r="AW760" s="31">
        <f t="shared" si="1753"/>
        <v>239948</v>
      </c>
      <c r="AX760" s="31">
        <f t="shared" si="1753"/>
        <v>239535</v>
      </c>
      <c r="AY760" s="825">
        <f t="shared" si="1753"/>
        <v>239535</v>
      </c>
      <c r="AZ760" s="31">
        <f t="shared" si="1753"/>
        <v>249048</v>
      </c>
      <c r="BA760" s="31">
        <f t="shared" si="1753"/>
        <v>257936</v>
      </c>
      <c r="BB760" s="31">
        <f t="shared" si="1753"/>
        <v>259735</v>
      </c>
      <c r="BC760" s="31">
        <f t="shared" si="1753"/>
        <v>257709</v>
      </c>
      <c r="BD760" s="825">
        <f t="shared" si="1753"/>
        <v>257709</v>
      </c>
      <c r="BE760" s="31">
        <f t="shared" si="1753"/>
        <v>255886</v>
      </c>
      <c r="BF760" s="31">
        <f t="shared" ref="BF760:BN760" si="1754">BF746+BF759</f>
        <v>251779</v>
      </c>
      <c r="BG760" s="31">
        <f t="shared" si="1754"/>
        <v>263927</v>
      </c>
      <c r="BH760" s="31">
        <f t="shared" ref="BH760:BM760" si="1755">BH746+BH759</f>
        <v>261632</v>
      </c>
      <c r="BI760" s="825">
        <f t="shared" si="1755"/>
        <v>261632</v>
      </c>
      <c r="BJ760" s="31">
        <f t="shared" si="1755"/>
        <v>261651</v>
      </c>
      <c r="BK760" s="31">
        <f t="shared" si="1755"/>
        <v>260644</v>
      </c>
      <c r="BL760" s="31">
        <f t="shared" si="1755"/>
        <v>259232</v>
      </c>
      <c r="BM760" s="31">
        <f t="shared" si="1755"/>
        <v>256938</v>
      </c>
      <c r="BN760" s="825">
        <f t="shared" si="1754"/>
        <v>256938</v>
      </c>
      <c r="BO760" s="31">
        <f t="shared" ref="BO760:BX760" si="1756">BO746+BO759</f>
        <v>256397</v>
      </c>
      <c r="BP760" s="31">
        <f t="shared" si="1756"/>
        <v>250820</v>
      </c>
      <c r="BQ760" s="31">
        <f t="shared" si="1756"/>
        <v>326501</v>
      </c>
      <c r="BR760" s="31">
        <f t="shared" si="1756"/>
        <v>324012</v>
      </c>
      <c r="BS760" s="825">
        <f t="shared" si="1756"/>
        <v>324012</v>
      </c>
      <c r="BT760" s="379">
        <f>BT746+BT759</f>
        <v>329551</v>
      </c>
      <c r="BU760" s="31">
        <f ca="1">BU746+BU759</f>
        <v>334406.28107500891</v>
      </c>
      <c r="BV760" s="31">
        <f ca="1">BV746+BV759</f>
        <v>339226.80307349353</v>
      </c>
      <c r="BW760" s="31">
        <f ca="1">BW746+BW759</f>
        <v>343041.06660197821</v>
      </c>
      <c r="BX760" s="825">
        <f t="shared" ca="1" si="1756"/>
        <v>343041.06660197821</v>
      </c>
      <c r="BY760" s="31">
        <f t="shared" ref="BY760:CF760" ca="1" si="1757">BY746+BY759</f>
        <v>345719.82344887382</v>
      </c>
      <c r="BZ760" s="31">
        <f t="shared" ca="1" si="1757"/>
        <v>348415.82885836734</v>
      </c>
      <c r="CA760" s="31">
        <f t="shared" ca="1" si="1757"/>
        <v>351281.66429455887</v>
      </c>
      <c r="CB760" s="31">
        <f t="shared" ca="1" si="1757"/>
        <v>354054.44482595031</v>
      </c>
      <c r="CC760" s="825">
        <f t="shared" ca="1" si="1757"/>
        <v>354054.44482595031</v>
      </c>
      <c r="CD760" s="825">
        <f t="shared" ca="1" si="1757"/>
        <v>363909.85229377251</v>
      </c>
      <c r="CE760" s="825">
        <f t="shared" ca="1" si="1757"/>
        <v>373480.38963184471</v>
      </c>
      <c r="CF760" s="825">
        <f t="shared" ca="1" si="1757"/>
        <v>376183.97875716683</v>
      </c>
      <c r="CG760" s="26"/>
    </row>
    <row r="761" spans="1:85" s="429" customFormat="1" x14ac:dyDescent="0.3">
      <c r="A761" s="48"/>
      <c r="B761" s="58"/>
      <c r="C761" s="825"/>
      <c r="D761" s="825"/>
      <c r="E761" s="825"/>
      <c r="F761" s="825"/>
      <c r="G761" s="31"/>
      <c r="H761" s="31"/>
      <c r="I761" s="31"/>
      <c r="J761" s="31"/>
      <c r="K761" s="825"/>
      <c r="L761" s="31"/>
      <c r="M761" s="31"/>
      <c r="N761" s="31"/>
      <c r="O761" s="31"/>
      <c r="P761" s="825"/>
      <c r="Q761" s="31"/>
      <c r="R761" s="31"/>
      <c r="S761" s="31"/>
      <c r="T761" s="31"/>
      <c r="U761" s="825"/>
      <c r="V761" s="31"/>
      <c r="W761" s="31"/>
      <c r="X761" s="31"/>
      <c r="Y761" s="31"/>
      <c r="Z761" s="825"/>
      <c r="AA761" s="31"/>
      <c r="AB761" s="31"/>
      <c r="AC761" s="31"/>
      <c r="AD761" s="31"/>
      <c r="AE761" s="825"/>
      <c r="AF761" s="31"/>
      <c r="AG761" s="31"/>
      <c r="AH761" s="31"/>
      <c r="AI761" s="31"/>
      <c r="AJ761" s="825"/>
      <c r="AK761" s="31"/>
      <c r="AL761" s="31"/>
      <c r="AM761" s="31"/>
      <c r="AN761" s="31"/>
      <c r="AO761" s="825"/>
      <c r="AP761" s="31"/>
      <c r="AQ761" s="31"/>
      <c r="AR761" s="31"/>
      <c r="AS761" s="31"/>
      <c r="AT761" s="825"/>
      <c r="AU761" s="31"/>
      <c r="AV761" s="31"/>
      <c r="AW761" s="31"/>
      <c r="AX761" s="31"/>
      <c r="AY761" s="825"/>
      <c r="AZ761" s="31"/>
      <c r="BA761" s="31"/>
      <c r="BB761" s="31"/>
      <c r="BC761" s="31"/>
      <c r="BD761" s="825"/>
      <c r="BE761" s="31"/>
      <c r="BF761" s="31"/>
      <c r="BG761" s="31"/>
      <c r="BH761" s="31"/>
      <c r="BI761" s="825"/>
      <c r="BJ761" s="31"/>
      <c r="BK761" s="31"/>
      <c r="BL761" s="31"/>
      <c r="BM761" s="31"/>
      <c r="BN761" s="825"/>
      <c r="BO761" s="31"/>
      <c r="BP761" s="31"/>
      <c r="BQ761" s="31"/>
      <c r="BR761" s="31"/>
      <c r="BS761" s="825"/>
      <c r="BT761" s="379"/>
      <c r="BU761" s="31"/>
      <c r="BV761" s="31"/>
      <c r="BW761" s="31"/>
      <c r="BX761" s="825"/>
      <c r="BY761" s="31"/>
      <c r="BZ761" s="31"/>
      <c r="CA761" s="31"/>
      <c r="CB761" s="31"/>
      <c r="CC761" s="825"/>
      <c r="CD761" s="825"/>
      <c r="CE761" s="825"/>
      <c r="CF761" s="825"/>
      <c r="CG761" s="26"/>
    </row>
    <row r="762" spans="1:85" s="429" customFormat="1" x14ac:dyDescent="0.3">
      <c r="A762" s="48" t="s">
        <v>315</v>
      </c>
      <c r="B762" s="58"/>
      <c r="C762" s="825"/>
      <c r="D762" s="825"/>
      <c r="E762" s="825"/>
      <c r="F762" s="825"/>
      <c r="G762" s="31"/>
      <c r="H762" s="31"/>
      <c r="I762" s="31"/>
      <c r="J762" s="31"/>
      <c r="K762" s="825"/>
      <c r="L762" s="31"/>
      <c r="M762" s="31"/>
      <c r="N762" s="31"/>
      <c r="O762" s="31"/>
      <c r="P762" s="825"/>
      <c r="Q762" s="31"/>
      <c r="R762" s="31"/>
      <c r="S762" s="31"/>
      <c r="T762" s="31"/>
      <c r="U762" s="825"/>
      <c r="V762" s="31"/>
      <c r="W762" s="31"/>
      <c r="X762" s="31"/>
      <c r="Y762" s="31"/>
      <c r="Z762" s="825"/>
      <c r="AA762" s="31"/>
      <c r="AB762" s="31"/>
      <c r="AC762" s="31"/>
      <c r="AD762" s="31"/>
      <c r="AE762" s="825"/>
      <c r="AF762" s="31"/>
      <c r="AG762" s="31"/>
      <c r="AH762" s="31"/>
      <c r="AI762" s="31"/>
      <c r="AJ762" s="825"/>
      <c r="AK762" s="31"/>
      <c r="AL762" s="31"/>
      <c r="AM762" s="31"/>
      <c r="AN762" s="31"/>
      <c r="AO762" s="825"/>
      <c r="AP762" s="31"/>
      <c r="AQ762" s="31"/>
      <c r="AR762" s="31"/>
      <c r="AS762" s="31"/>
      <c r="AT762" s="825"/>
      <c r="AU762" s="31"/>
      <c r="AV762" s="31"/>
      <c r="AW762" s="31"/>
      <c r="AX762" s="31"/>
      <c r="AY762" s="825"/>
      <c r="AZ762" s="31"/>
      <c r="BA762" s="31"/>
      <c r="BB762" s="31"/>
      <c r="BC762" s="31"/>
      <c r="BD762" s="825"/>
      <c r="BE762" s="31"/>
      <c r="BF762" s="31"/>
      <c r="BG762" s="31"/>
      <c r="BH762" s="31"/>
      <c r="BI762" s="825"/>
      <c r="BJ762" s="31"/>
      <c r="BK762" s="31"/>
      <c r="BL762" s="31"/>
      <c r="BM762" s="31"/>
      <c r="BN762" s="825"/>
      <c r="BO762" s="31"/>
      <c r="BP762" s="31"/>
      <c r="BQ762" s="31"/>
      <c r="BR762" s="31"/>
      <c r="BS762" s="825"/>
      <c r="BT762" s="379"/>
      <c r="BU762" s="31"/>
      <c r="BV762" s="31"/>
      <c r="BW762" s="31"/>
      <c r="BX762" s="825"/>
      <c r="BY762" s="31"/>
      <c r="BZ762" s="31"/>
      <c r="CA762" s="31"/>
      <c r="CB762" s="31"/>
      <c r="CC762" s="825"/>
      <c r="CD762" s="825"/>
      <c r="CE762" s="825"/>
      <c r="CF762" s="825"/>
      <c r="CG762" s="26"/>
    </row>
    <row r="763" spans="1:85" s="428" customFormat="1" x14ac:dyDescent="0.3">
      <c r="A763" s="43" t="s">
        <v>316</v>
      </c>
      <c r="B763" s="109"/>
      <c r="C763" s="827">
        <v>384</v>
      </c>
      <c r="D763" s="827">
        <v>187</v>
      </c>
      <c r="E763" s="827">
        <v>340</v>
      </c>
      <c r="F763" s="827">
        <v>127</v>
      </c>
      <c r="G763" s="763">
        <v>2090</v>
      </c>
      <c r="H763" s="763">
        <v>1913</v>
      </c>
      <c r="I763" s="763">
        <v>527</v>
      </c>
      <c r="J763" s="763">
        <v>374</v>
      </c>
      <c r="K763" s="821">
        <f>J763</f>
        <v>374</v>
      </c>
      <c r="L763" s="763">
        <v>3008</v>
      </c>
      <c r="M763" s="763">
        <v>3498</v>
      </c>
      <c r="N763" s="763">
        <v>5665</v>
      </c>
      <c r="O763" s="763">
        <v>3790</v>
      </c>
      <c r="P763" s="821">
        <f>O763</f>
        <v>3790</v>
      </c>
      <c r="Q763" s="763">
        <v>3908</v>
      </c>
      <c r="R763" s="763">
        <v>2621</v>
      </c>
      <c r="S763" s="763">
        <v>6580</v>
      </c>
      <c r="T763" s="763">
        <v>4927</v>
      </c>
      <c r="U763" s="821">
        <f>T763</f>
        <v>4927</v>
      </c>
      <c r="V763" s="763">
        <v>9630</v>
      </c>
      <c r="W763" s="763">
        <v>5530</v>
      </c>
      <c r="X763" s="763">
        <v>6057</v>
      </c>
      <c r="Y763" s="37">
        <f>Z763</f>
        <v>10840</v>
      </c>
      <c r="Z763" s="827">
        <v>10840</v>
      </c>
      <c r="AA763" s="763">
        <v>8297</v>
      </c>
      <c r="AB763" s="763">
        <v>8782</v>
      </c>
      <c r="AC763" s="763">
        <v>7897</v>
      </c>
      <c r="AD763" s="37">
        <f>AE763</f>
        <v>5192</v>
      </c>
      <c r="AE763" s="827">
        <v>5192</v>
      </c>
      <c r="AF763" s="763">
        <v>8601</v>
      </c>
      <c r="AG763" s="763">
        <v>8598</v>
      </c>
      <c r="AH763" s="763">
        <v>6121</v>
      </c>
      <c r="AI763" s="37">
        <f>AJ763</f>
        <v>5726</v>
      </c>
      <c r="AJ763" s="827">
        <v>5726</v>
      </c>
      <c r="AK763" s="763">
        <v>7023</v>
      </c>
      <c r="AL763" s="763">
        <v>5588</v>
      </c>
      <c r="AM763" s="763">
        <v>7795</v>
      </c>
      <c r="AN763" s="37">
        <f>AO763</f>
        <v>3282</v>
      </c>
      <c r="AO763" s="827">
        <v>3282</v>
      </c>
      <c r="AP763" s="763">
        <v>8688</v>
      </c>
      <c r="AQ763" s="763">
        <v>3751</v>
      </c>
      <c r="AR763" s="763">
        <v>530</v>
      </c>
      <c r="AS763" s="763">
        <v>1548</v>
      </c>
      <c r="AT763" s="821">
        <f>AS763</f>
        <v>1548</v>
      </c>
      <c r="AU763" s="763">
        <v>4841</v>
      </c>
      <c r="AV763" s="763">
        <v>3497</v>
      </c>
      <c r="AW763" s="763">
        <v>291</v>
      </c>
      <c r="AX763" s="763">
        <v>256</v>
      </c>
      <c r="AY763" s="821">
        <f>AX763</f>
        <v>256</v>
      </c>
      <c r="AZ763" s="763">
        <v>314</v>
      </c>
      <c r="BA763" s="763">
        <v>3230</v>
      </c>
      <c r="BB763" s="763">
        <v>2221</v>
      </c>
      <c r="BC763" s="763">
        <v>1964</v>
      </c>
      <c r="BD763" s="821">
        <f>BC763</f>
        <v>1964</v>
      </c>
      <c r="BE763" s="763">
        <v>2931</v>
      </c>
      <c r="BF763" s="763">
        <v>1269</v>
      </c>
      <c r="BG763" s="763">
        <v>440</v>
      </c>
      <c r="BH763" s="763">
        <v>529</v>
      </c>
      <c r="BI763" s="821">
        <f>BH763</f>
        <v>529</v>
      </c>
      <c r="BJ763" s="763">
        <v>282</v>
      </c>
      <c r="BK763" s="763">
        <v>1735</v>
      </c>
      <c r="BL763" s="763">
        <v>5144</v>
      </c>
      <c r="BM763" s="763">
        <v>4406</v>
      </c>
      <c r="BN763" s="821">
        <f>BM763</f>
        <v>4406</v>
      </c>
      <c r="BO763" s="763">
        <v>4076</v>
      </c>
      <c r="BP763" s="763">
        <v>6191</v>
      </c>
      <c r="BQ763" s="763">
        <v>3591</v>
      </c>
      <c r="BR763" s="763">
        <v>977</v>
      </c>
      <c r="BS763" s="821">
        <f>BR763</f>
        <v>977</v>
      </c>
      <c r="BT763" s="764">
        <v>5828</v>
      </c>
      <c r="BU763" s="37">
        <f>BU588</f>
        <v>5828</v>
      </c>
      <c r="BV763" s="37">
        <f>BV588</f>
        <v>5828</v>
      </c>
      <c r="BW763" s="37">
        <f>BW588</f>
        <v>5828</v>
      </c>
      <c r="BX763" s="821">
        <f>BW763</f>
        <v>5828</v>
      </c>
      <c r="BY763" s="37">
        <f>BY588</f>
        <v>5828</v>
      </c>
      <c r="BZ763" s="37">
        <f>BZ588</f>
        <v>5828</v>
      </c>
      <c r="CA763" s="37">
        <f>CA588</f>
        <v>5828</v>
      </c>
      <c r="CB763" s="37">
        <f>CB588</f>
        <v>5828</v>
      </c>
      <c r="CC763" s="821">
        <f>CB763</f>
        <v>5828</v>
      </c>
      <c r="CD763" s="821">
        <f>CD588</f>
        <v>5828</v>
      </c>
      <c r="CE763" s="821">
        <f>CE588</f>
        <v>5828</v>
      </c>
      <c r="CF763" s="821">
        <f>CF588</f>
        <v>5828</v>
      </c>
      <c r="CG763" s="22"/>
    </row>
    <row r="764" spans="1:85" s="428" customFormat="1" x14ac:dyDescent="0.3">
      <c r="A764" s="43" t="s">
        <v>317</v>
      </c>
      <c r="B764" s="109"/>
      <c r="C764" s="827">
        <v>16437</v>
      </c>
      <c r="D764" s="827">
        <v>19259</v>
      </c>
      <c r="E764" s="827">
        <v>22147</v>
      </c>
      <c r="F764" s="827">
        <v>22776</v>
      </c>
      <c r="G764" s="763">
        <v>21617</v>
      </c>
      <c r="H764" s="763">
        <v>21609</v>
      </c>
      <c r="I764" s="763">
        <v>23149</v>
      </c>
      <c r="J764" s="763">
        <v>22815</v>
      </c>
      <c r="K764" s="821">
        <f>J764</f>
        <v>22815</v>
      </c>
      <c r="L764" s="763">
        <v>23332</v>
      </c>
      <c r="M764" s="763">
        <v>23623</v>
      </c>
      <c r="N764" s="763">
        <v>21821</v>
      </c>
      <c r="O764" s="763">
        <v>19000</v>
      </c>
      <c r="P764" s="821">
        <f>O764</f>
        <v>19000</v>
      </c>
      <c r="Q764" s="763">
        <v>16640</v>
      </c>
      <c r="R764" s="763">
        <v>17380</v>
      </c>
      <c r="S764" s="763">
        <v>15307</v>
      </c>
      <c r="T764" s="763">
        <v>13516</v>
      </c>
      <c r="U764" s="821">
        <f>T764</f>
        <v>13516</v>
      </c>
      <c r="V764" s="763">
        <v>12696</v>
      </c>
      <c r="W764" s="763">
        <v>13416</v>
      </c>
      <c r="X764" s="763">
        <v>12205</v>
      </c>
      <c r="Y764" s="37">
        <f>Z764</f>
        <v>13986</v>
      </c>
      <c r="Z764" s="827">
        <v>13986</v>
      </c>
      <c r="AA764" s="763">
        <v>13078</v>
      </c>
      <c r="AB764" s="763">
        <v>12057</v>
      </c>
      <c r="AC764" s="763">
        <v>13084</v>
      </c>
      <c r="AD764" s="37">
        <f>AE764</f>
        <v>14565</v>
      </c>
      <c r="AE764" s="827">
        <v>14565</v>
      </c>
      <c r="AF764" s="763">
        <v>14479</v>
      </c>
      <c r="AG764" s="763">
        <v>15722</v>
      </c>
      <c r="AH764" s="763">
        <v>15335</v>
      </c>
      <c r="AI764" s="37">
        <f>AJ764</f>
        <v>13953</v>
      </c>
      <c r="AJ764" s="827">
        <v>13953</v>
      </c>
      <c r="AK764" s="763">
        <v>14230</v>
      </c>
      <c r="AL764" s="763">
        <v>14805</v>
      </c>
      <c r="AM764" s="763">
        <v>13230</v>
      </c>
      <c r="AN764" s="37">
        <f>AO764</f>
        <v>14103</v>
      </c>
      <c r="AO764" s="827">
        <v>14103</v>
      </c>
      <c r="AP764" s="763">
        <v>11006</v>
      </c>
      <c r="AQ764" s="763">
        <v>8250</v>
      </c>
      <c r="AR764" s="763">
        <v>9537</v>
      </c>
      <c r="AS764" s="763">
        <v>10950</v>
      </c>
      <c r="AT764" s="821">
        <f>AS764</f>
        <v>10950</v>
      </c>
      <c r="AU764" s="763">
        <v>12858</v>
      </c>
      <c r="AV764" s="763">
        <v>14719</v>
      </c>
      <c r="AW764" s="763">
        <v>15308</v>
      </c>
      <c r="AX764" s="763">
        <v>16454</v>
      </c>
      <c r="AY764" s="821">
        <f>AX764</f>
        <v>16454</v>
      </c>
      <c r="AZ764" s="763">
        <v>20137</v>
      </c>
      <c r="BA764" s="763">
        <v>24906</v>
      </c>
      <c r="BB764" s="763">
        <v>21699</v>
      </c>
      <c r="BC764" s="763">
        <v>18955</v>
      </c>
      <c r="BD764" s="821">
        <f>BC764</f>
        <v>18955</v>
      </c>
      <c r="BE764" s="763">
        <v>17942</v>
      </c>
      <c r="BF764" s="763">
        <v>18656</v>
      </c>
      <c r="BG764" s="763">
        <v>21649</v>
      </c>
      <c r="BH764" s="763">
        <v>20423</v>
      </c>
      <c r="BI764" s="821">
        <f>BH764</f>
        <v>20423</v>
      </c>
      <c r="BJ764" s="763">
        <v>21257</v>
      </c>
      <c r="BK764" s="763">
        <v>21007</v>
      </c>
      <c r="BL764" s="763">
        <v>20037</v>
      </c>
      <c r="BM764" s="763">
        <v>22079</v>
      </c>
      <c r="BN764" s="821">
        <f>BM764</f>
        <v>22079</v>
      </c>
      <c r="BO764" s="763">
        <v>20878</v>
      </c>
      <c r="BP764" s="763">
        <v>18609</v>
      </c>
      <c r="BQ764" s="763">
        <v>19073</v>
      </c>
      <c r="BR764" s="763">
        <v>19280</v>
      </c>
      <c r="BS764" s="821">
        <f>BR764</f>
        <v>19280</v>
      </c>
      <c r="BT764" s="764">
        <v>23181</v>
      </c>
      <c r="BU764" s="37">
        <f t="shared" ref="BU764:BW767" si="1758">BT764</f>
        <v>23181</v>
      </c>
      <c r="BV764" s="37">
        <f t="shared" si="1758"/>
        <v>23181</v>
      </c>
      <c r="BW764" s="37">
        <f t="shared" si="1758"/>
        <v>23181</v>
      </c>
      <c r="BX764" s="821">
        <f>BW764</f>
        <v>23181</v>
      </c>
      <c r="BY764" s="37">
        <f t="shared" ref="BY764:CB767" si="1759">BX764</f>
        <v>23181</v>
      </c>
      <c r="BZ764" s="37">
        <f t="shared" si="1759"/>
        <v>23181</v>
      </c>
      <c r="CA764" s="37">
        <f t="shared" si="1759"/>
        <v>23181</v>
      </c>
      <c r="CB764" s="37">
        <f t="shared" si="1759"/>
        <v>23181</v>
      </c>
      <c r="CC764" s="821">
        <f>CB764</f>
        <v>23181</v>
      </c>
      <c r="CD764" s="821">
        <f t="shared" ref="CD764:CF767" si="1760">CC764</f>
        <v>23181</v>
      </c>
      <c r="CE764" s="821">
        <f t="shared" si="1760"/>
        <v>23181</v>
      </c>
      <c r="CF764" s="821">
        <f t="shared" si="1760"/>
        <v>23181</v>
      </c>
      <c r="CG764" s="22"/>
    </row>
    <row r="765" spans="1:85" s="428" customFormat="1" x14ac:dyDescent="0.3">
      <c r="A765" s="43" t="s">
        <v>318</v>
      </c>
      <c r="B765" s="109"/>
      <c r="C765" s="827">
        <v>5375</v>
      </c>
      <c r="D765" s="827">
        <v>5324</v>
      </c>
      <c r="E765" s="827">
        <v>5287</v>
      </c>
      <c r="F765" s="827">
        <v>5738</v>
      </c>
      <c r="G765" s="763">
        <v>5048</v>
      </c>
      <c r="H765" s="763">
        <v>5180</v>
      </c>
      <c r="I765" s="763">
        <v>5280</v>
      </c>
      <c r="J765" s="763">
        <v>5402</v>
      </c>
      <c r="K765" s="821">
        <f>J765</f>
        <v>5402</v>
      </c>
      <c r="L765" s="763">
        <v>5000</v>
      </c>
      <c r="M765" s="763">
        <v>5041</v>
      </c>
      <c r="N765" s="763">
        <v>5396</v>
      </c>
      <c r="O765" s="763">
        <v>5328</v>
      </c>
      <c r="P765" s="821">
        <f>O765</f>
        <v>5328</v>
      </c>
      <c r="Q765" s="763">
        <v>4607</v>
      </c>
      <c r="R765" s="763">
        <v>5024</v>
      </c>
      <c r="S765" s="763">
        <v>5062</v>
      </c>
      <c r="T765" s="763">
        <v>4833</v>
      </c>
      <c r="U765" s="821">
        <f>T765</f>
        <v>4833</v>
      </c>
      <c r="V765" s="763">
        <v>4904</v>
      </c>
      <c r="W765" s="763">
        <v>4458</v>
      </c>
      <c r="X765" s="763">
        <v>4441</v>
      </c>
      <c r="Y765" s="37">
        <f>Z765</f>
        <v>4882</v>
      </c>
      <c r="Z765" s="827">
        <v>4882</v>
      </c>
      <c r="AA765" s="763">
        <v>4657</v>
      </c>
      <c r="AB765" s="763">
        <v>4695</v>
      </c>
      <c r="AC765" s="763">
        <v>5085</v>
      </c>
      <c r="AD765" s="37">
        <f>AE765</f>
        <v>5267</v>
      </c>
      <c r="AE765" s="827">
        <v>5267</v>
      </c>
      <c r="AF765" s="763">
        <v>4587</v>
      </c>
      <c r="AG765" s="763">
        <v>4822</v>
      </c>
      <c r="AH765" s="763">
        <v>5029</v>
      </c>
      <c r="AI765" s="37">
        <f>AJ765</f>
        <v>4927</v>
      </c>
      <c r="AJ765" s="827">
        <v>4927</v>
      </c>
      <c r="AK765" s="763">
        <v>5880</v>
      </c>
      <c r="AL765" s="763">
        <v>6197</v>
      </c>
      <c r="AM765" s="763">
        <v>6523</v>
      </c>
      <c r="AN765" s="37">
        <f>AO765</f>
        <v>6589</v>
      </c>
      <c r="AO765" s="827">
        <v>6589</v>
      </c>
      <c r="AP765" s="763">
        <v>6263</v>
      </c>
      <c r="AQ765" s="763">
        <v>7405</v>
      </c>
      <c r="AR765" s="763">
        <v>7944</v>
      </c>
      <c r="AS765" s="763">
        <v>7812</v>
      </c>
      <c r="AT765" s="821">
        <f>AS765</f>
        <v>7812</v>
      </c>
      <c r="AU765" s="763">
        <v>7557</v>
      </c>
      <c r="AV765" s="763">
        <v>7680</v>
      </c>
      <c r="AW765" s="763">
        <v>6938</v>
      </c>
      <c r="AX765" s="763">
        <v>6972</v>
      </c>
      <c r="AY765" s="821">
        <f>AX765</f>
        <v>6972</v>
      </c>
      <c r="AZ765" s="763">
        <v>6974</v>
      </c>
      <c r="BA765" s="763">
        <v>6710</v>
      </c>
      <c r="BB765" s="763">
        <v>7181</v>
      </c>
      <c r="BC765" s="763">
        <v>7486</v>
      </c>
      <c r="BD765" s="821">
        <f>BC765</f>
        <v>7486</v>
      </c>
      <c r="BE765" s="763">
        <v>6658</v>
      </c>
      <c r="BF765" s="763">
        <v>7262</v>
      </c>
      <c r="BG765" s="763">
        <v>7618</v>
      </c>
      <c r="BH765" s="763">
        <v>7655</v>
      </c>
      <c r="BI765" s="821">
        <f>BH765</f>
        <v>7655</v>
      </c>
      <c r="BJ765" s="763">
        <v>7777</v>
      </c>
      <c r="BK765" s="763">
        <v>9054</v>
      </c>
      <c r="BL765" s="763">
        <v>8313</v>
      </c>
      <c r="BM765" s="763">
        <v>8486</v>
      </c>
      <c r="BN765" s="821">
        <f>BM765</f>
        <v>8486</v>
      </c>
      <c r="BO765" s="763">
        <v>8374</v>
      </c>
      <c r="BP765" s="763">
        <v>8117</v>
      </c>
      <c r="BQ765" s="763">
        <v>10541</v>
      </c>
      <c r="BR765" s="763">
        <v>10763</v>
      </c>
      <c r="BS765" s="821">
        <f>BR765</f>
        <v>10763</v>
      </c>
      <c r="BT765" s="764">
        <v>10349</v>
      </c>
      <c r="BU765" s="37">
        <f t="shared" si="1758"/>
        <v>10349</v>
      </c>
      <c r="BV765" s="37">
        <f t="shared" si="1758"/>
        <v>10349</v>
      </c>
      <c r="BW765" s="37">
        <f t="shared" si="1758"/>
        <v>10349</v>
      </c>
      <c r="BX765" s="821">
        <f>BW765</f>
        <v>10349</v>
      </c>
      <c r="BY765" s="37">
        <f t="shared" si="1759"/>
        <v>10349</v>
      </c>
      <c r="BZ765" s="37">
        <f t="shared" si="1759"/>
        <v>10349</v>
      </c>
      <c r="CA765" s="37">
        <f t="shared" si="1759"/>
        <v>10349</v>
      </c>
      <c r="CB765" s="37">
        <f t="shared" si="1759"/>
        <v>10349</v>
      </c>
      <c r="CC765" s="821">
        <f>CB765</f>
        <v>10349</v>
      </c>
      <c r="CD765" s="821">
        <f t="shared" si="1760"/>
        <v>10349</v>
      </c>
      <c r="CE765" s="821">
        <f t="shared" si="1760"/>
        <v>10349</v>
      </c>
      <c r="CF765" s="821">
        <f t="shared" si="1760"/>
        <v>10349</v>
      </c>
      <c r="CG765" s="22"/>
    </row>
    <row r="766" spans="1:85" s="428" customFormat="1" x14ac:dyDescent="0.3">
      <c r="A766" s="43" t="s">
        <v>319</v>
      </c>
      <c r="B766" s="109"/>
      <c r="C766" s="827">
        <v>2624</v>
      </c>
      <c r="D766" s="827">
        <v>2776</v>
      </c>
      <c r="E766" s="827">
        <v>4584</v>
      </c>
      <c r="F766" s="827">
        <v>4341</v>
      </c>
      <c r="G766" s="763">
        <v>4711</v>
      </c>
      <c r="H766" s="763">
        <v>3433</v>
      </c>
      <c r="I766" s="763">
        <v>3219</v>
      </c>
      <c r="J766" s="763">
        <v>3092</v>
      </c>
      <c r="K766" s="821">
        <f>J766</f>
        <v>3092</v>
      </c>
      <c r="L766" s="763">
        <v>3134</v>
      </c>
      <c r="M766" s="763">
        <v>2900</v>
      </c>
      <c r="N766" s="763">
        <v>2997</v>
      </c>
      <c r="O766" s="763">
        <v>2575</v>
      </c>
      <c r="P766" s="821">
        <f>O766</f>
        <v>2575</v>
      </c>
      <c r="Q766" s="763">
        <v>3115</v>
      </c>
      <c r="R766" s="763">
        <v>2047.0000000000002</v>
      </c>
      <c r="S766" s="763">
        <v>2039.0000000000002</v>
      </c>
      <c r="T766" s="763">
        <v>1073</v>
      </c>
      <c r="U766" s="821">
        <f>T766</f>
        <v>1073</v>
      </c>
      <c r="V766" s="763">
        <v>803</v>
      </c>
      <c r="W766" s="763">
        <v>490</v>
      </c>
      <c r="X766" s="763">
        <v>1000</v>
      </c>
      <c r="Y766" s="37">
        <f>Z766</f>
        <v>1050</v>
      </c>
      <c r="Z766" s="827">
        <v>1050</v>
      </c>
      <c r="AA766" s="763">
        <v>1414</v>
      </c>
      <c r="AB766" s="763">
        <v>1328</v>
      </c>
      <c r="AC766" s="763">
        <v>1123</v>
      </c>
      <c r="AD766" s="37">
        <f>AE766</f>
        <v>1600</v>
      </c>
      <c r="AE766" s="827">
        <v>1600</v>
      </c>
      <c r="AF766" s="763">
        <v>1867</v>
      </c>
      <c r="AG766" s="763">
        <v>1679</v>
      </c>
      <c r="AH766" s="763">
        <v>1797</v>
      </c>
      <c r="AI766" s="37">
        <f>AJ766</f>
        <v>1628</v>
      </c>
      <c r="AJ766" s="827">
        <v>1628</v>
      </c>
      <c r="AK766" s="763">
        <v>1971</v>
      </c>
      <c r="AL766" s="763">
        <v>1414</v>
      </c>
      <c r="AM766" s="763">
        <v>1542</v>
      </c>
      <c r="AN766" s="37">
        <f>AO766</f>
        <v>1554</v>
      </c>
      <c r="AO766" s="827">
        <v>1554</v>
      </c>
      <c r="AP766" s="763">
        <v>1534</v>
      </c>
      <c r="AQ766" s="763">
        <v>628</v>
      </c>
      <c r="AR766" s="763">
        <v>788</v>
      </c>
      <c r="AS766" s="763">
        <v>921</v>
      </c>
      <c r="AT766" s="821">
        <f>AS766</f>
        <v>921</v>
      </c>
      <c r="AU766" s="763">
        <v>1315</v>
      </c>
      <c r="AV766" s="763">
        <v>1212</v>
      </c>
      <c r="AW766" s="763">
        <v>1467</v>
      </c>
      <c r="AX766" s="763">
        <v>1700</v>
      </c>
      <c r="AY766" s="821">
        <f>AX766</f>
        <v>1700</v>
      </c>
      <c r="AZ766" s="763">
        <v>2573</v>
      </c>
      <c r="BA766" s="763">
        <v>2922</v>
      </c>
      <c r="BB766" s="763">
        <v>4020</v>
      </c>
      <c r="BC766" s="763">
        <v>4381</v>
      </c>
      <c r="BD766" s="821">
        <f>BC766</f>
        <v>4381</v>
      </c>
      <c r="BE766" s="763">
        <v>4883</v>
      </c>
      <c r="BF766" s="763">
        <v>1548</v>
      </c>
      <c r="BG766" s="763">
        <v>1927</v>
      </c>
      <c r="BH766" s="763">
        <v>1863</v>
      </c>
      <c r="BI766" s="821">
        <f>BH766</f>
        <v>1863</v>
      </c>
      <c r="BJ766" s="763">
        <v>2001</v>
      </c>
      <c r="BK766" s="763">
        <v>893</v>
      </c>
      <c r="BL766" s="763">
        <v>702</v>
      </c>
      <c r="BM766" s="763">
        <v>1872</v>
      </c>
      <c r="BN766" s="821">
        <f>BM766</f>
        <v>1872</v>
      </c>
      <c r="BO766" s="763">
        <v>842</v>
      </c>
      <c r="BP766" s="763">
        <v>659</v>
      </c>
      <c r="BQ766" s="763">
        <v>914</v>
      </c>
      <c r="BR766" s="763">
        <v>844</v>
      </c>
      <c r="BS766" s="821">
        <f>BR766</f>
        <v>844</v>
      </c>
      <c r="BT766" s="764">
        <v>1312</v>
      </c>
      <c r="BU766" s="37">
        <f t="shared" si="1758"/>
        <v>1312</v>
      </c>
      <c r="BV766" s="37">
        <f t="shared" si="1758"/>
        <v>1312</v>
      </c>
      <c r="BW766" s="37">
        <f t="shared" si="1758"/>
        <v>1312</v>
      </c>
      <c r="BX766" s="821">
        <f>BW766</f>
        <v>1312</v>
      </c>
      <c r="BY766" s="37">
        <f t="shared" si="1759"/>
        <v>1312</v>
      </c>
      <c r="BZ766" s="37">
        <f t="shared" si="1759"/>
        <v>1312</v>
      </c>
      <c r="CA766" s="37">
        <f t="shared" si="1759"/>
        <v>1312</v>
      </c>
      <c r="CB766" s="37">
        <f t="shared" si="1759"/>
        <v>1312</v>
      </c>
      <c r="CC766" s="821">
        <f>CB766</f>
        <v>1312</v>
      </c>
      <c r="CD766" s="821">
        <f t="shared" si="1760"/>
        <v>1312</v>
      </c>
      <c r="CE766" s="821">
        <f t="shared" si="1760"/>
        <v>1312</v>
      </c>
      <c r="CF766" s="821">
        <f t="shared" si="1760"/>
        <v>1312</v>
      </c>
      <c r="CG766" s="22"/>
    </row>
    <row r="767" spans="1:85" s="428" customFormat="1" x14ac:dyDescent="0.3">
      <c r="A767" s="242" t="s">
        <v>320</v>
      </c>
      <c r="B767" s="244"/>
      <c r="C767" s="828">
        <v>1391</v>
      </c>
      <c r="D767" s="828">
        <v>1466</v>
      </c>
      <c r="E767" s="828">
        <v>1242</v>
      </c>
      <c r="F767" s="828">
        <v>1230</v>
      </c>
      <c r="G767" s="765">
        <v>1219</v>
      </c>
      <c r="H767" s="765">
        <v>1278</v>
      </c>
      <c r="I767" s="765">
        <v>1295</v>
      </c>
      <c r="J767" s="765">
        <v>1335</v>
      </c>
      <c r="K767" s="822">
        <f>J767</f>
        <v>1335</v>
      </c>
      <c r="L767" s="765">
        <v>1178</v>
      </c>
      <c r="M767" s="765">
        <v>1266</v>
      </c>
      <c r="N767" s="765">
        <v>1209</v>
      </c>
      <c r="O767" s="765">
        <v>1233</v>
      </c>
      <c r="P767" s="822">
        <f>O767</f>
        <v>1233</v>
      </c>
      <c r="Q767" s="765">
        <v>1175</v>
      </c>
      <c r="R767" s="765">
        <v>1196</v>
      </c>
      <c r="S767" s="765">
        <v>1156</v>
      </c>
      <c r="T767" s="765">
        <v>1118</v>
      </c>
      <c r="U767" s="822">
        <f>T767</f>
        <v>1118</v>
      </c>
      <c r="V767" s="765">
        <v>1129</v>
      </c>
      <c r="W767" s="765">
        <v>1033</v>
      </c>
      <c r="X767" s="765">
        <v>1041</v>
      </c>
      <c r="Y767" s="56">
        <f>Z767</f>
        <v>1027</v>
      </c>
      <c r="Z767" s="828">
        <v>1027</v>
      </c>
      <c r="AA767" s="765">
        <v>980</v>
      </c>
      <c r="AB767" s="765">
        <v>1094</v>
      </c>
      <c r="AC767" s="765">
        <v>1034</v>
      </c>
      <c r="AD767" s="56">
        <f>AE767</f>
        <v>1113</v>
      </c>
      <c r="AE767" s="828">
        <v>1113</v>
      </c>
      <c r="AF767" s="765">
        <v>1096</v>
      </c>
      <c r="AG767" s="765">
        <v>1041</v>
      </c>
      <c r="AH767" s="765">
        <v>901</v>
      </c>
      <c r="AI767" s="56">
        <f>AJ767</f>
        <v>937</v>
      </c>
      <c r="AJ767" s="828">
        <v>937</v>
      </c>
      <c r="AK767" s="765">
        <v>847</v>
      </c>
      <c r="AL767" s="765">
        <v>825</v>
      </c>
      <c r="AM767" s="765">
        <v>1143</v>
      </c>
      <c r="AN767" s="56">
        <f>AO767</f>
        <v>1002</v>
      </c>
      <c r="AO767" s="828">
        <v>1002</v>
      </c>
      <c r="AP767" s="765">
        <v>744</v>
      </c>
      <c r="AQ767" s="765">
        <v>791</v>
      </c>
      <c r="AR767" s="765">
        <v>865</v>
      </c>
      <c r="AS767" s="765">
        <v>952</v>
      </c>
      <c r="AT767" s="822">
        <f>AS767</f>
        <v>952</v>
      </c>
      <c r="AU767" s="765">
        <v>909</v>
      </c>
      <c r="AV767" s="765">
        <v>1039</v>
      </c>
      <c r="AW767" s="765">
        <v>1184</v>
      </c>
      <c r="AX767" s="765">
        <v>1409</v>
      </c>
      <c r="AY767" s="822">
        <f>AX767</f>
        <v>1409</v>
      </c>
      <c r="AZ767" s="763">
        <v>1205</v>
      </c>
      <c r="BA767" s="765">
        <v>1353</v>
      </c>
      <c r="BB767" s="765">
        <v>1762</v>
      </c>
      <c r="BC767" s="765">
        <v>1422</v>
      </c>
      <c r="BD767" s="822">
        <f>BC767</f>
        <v>1422</v>
      </c>
      <c r="BE767" s="765">
        <v>1321</v>
      </c>
      <c r="BF767" s="765">
        <v>1112</v>
      </c>
      <c r="BG767" s="765">
        <v>1629</v>
      </c>
      <c r="BH767" s="765">
        <v>1788</v>
      </c>
      <c r="BI767" s="822">
        <f>BH767</f>
        <v>1788</v>
      </c>
      <c r="BJ767" s="765">
        <v>1623</v>
      </c>
      <c r="BK767" s="765">
        <v>1338</v>
      </c>
      <c r="BL767" s="765">
        <v>1522</v>
      </c>
      <c r="BM767" s="765">
        <v>1715</v>
      </c>
      <c r="BN767" s="822">
        <f>BM767</f>
        <v>1715</v>
      </c>
      <c r="BO767" s="765">
        <v>1532</v>
      </c>
      <c r="BP767" s="765">
        <v>1251</v>
      </c>
      <c r="BQ767" s="765">
        <v>1353</v>
      </c>
      <c r="BR767" s="765">
        <v>1523</v>
      </c>
      <c r="BS767" s="822">
        <f>BR767</f>
        <v>1523</v>
      </c>
      <c r="BT767" s="766">
        <v>1506</v>
      </c>
      <c r="BU767" s="56">
        <f t="shared" si="1758"/>
        <v>1506</v>
      </c>
      <c r="BV767" s="56">
        <f t="shared" si="1758"/>
        <v>1506</v>
      </c>
      <c r="BW767" s="56">
        <f t="shared" si="1758"/>
        <v>1506</v>
      </c>
      <c r="BX767" s="822">
        <f>BW767</f>
        <v>1506</v>
      </c>
      <c r="BY767" s="56">
        <f t="shared" si="1759"/>
        <v>1506</v>
      </c>
      <c r="BZ767" s="56">
        <f t="shared" si="1759"/>
        <v>1506</v>
      </c>
      <c r="CA767" s="56">
        <f t="shared" si="1759"/>
        <v>1506</v>
      </c>
      <c r="CB767" s="56">
        <f t="shared" si="1759"/>
        <v>1506</v>
      </c>
      <c r="CC767" s="822">
        <f>CB767</f>
        <v>1506</v>
      </c>
      <c r="CD767" s="822">
        <f t="shared" si="1760"/>
        <v>1506</v>
      </c>
      <c r="CE767" s="822">
        <f t="shared" si="1760"/>
        <v>1506</v>
      </c>
      <c r="CF767" s="822">
        <f t="shared" si="1760"/>
        <v>1506</v>
      </c>
      <c r="CG767" s="22"/>
    </row>
    <row r="768" spans="1:85" s="429" customFormat="1" x14ac:dyDescent="0.3">
      <c r="A768" s="42" t="s">
        <v>321</v>
      </c>
      <c r="B768" s="99"/>
      <c r="C768" s="823">
        <f t="shared" ref="C768:AH768" si="1761">SUM(C763:C767)</f>
        <v>26211</v>
      </c>
      <c r="D768" s="823">
        <f t="shared" si="1761"/>
        <v>29012</v>
      </c>
      <c r="E768" s="823">
        <f t="shared" si="1761"/>
        <v>33600</v>
      </c>
      <c r="F768" s="823">
        <f t="shared" si="1761"/>
        <v>34212</v>
      </c>
      <c r="G768" s="393">
        <f t="shared" si="1761"/>
        <v>34685</v>
      </c>
      <c r="H768" s="393">
        <f t="shared" si="1761"/>
        <v>33413</v>
      </c>
      <c r="I768" s="393">
        <f t="shared" si="1761"/>
        <v>33470</v>
      </c>
      <c r="J768" s="393">
        <f t="shared" si="1761"/>
        <v>33018</v>
      </c>
      <c r="K768" s="823">
        <f t="shared" si="1761"/>
        <v>33018</v>
      </c>
      <c r="L768" s="393">
        <f t="shared" si="1761"/>
        <v>35652</v>
      </c>
      <c r="M768" s="393">
        <f t="shared" si="1761"/>
        <v>36328</v>
      </c>
      <c r="N768" s="393">
        <f t="shared" si="1761"/>
        <v>37088</v>
      </c>
      <c r="O768" s="393">
        <f t="shared" si="1761"/>
        <v>31926</v>
      </c>
      <c r="P768" s="823">
        <f t="shared" si="1761"/>
        <v>31926</v>
      </c>
      <c r="Q768" s="393">
        <f t="shared" si="1761"/>
        <v>29445</v>
      </c>
      <c r="R768" s="393">
        <f t="shared" si="1761"/>
        <v>28268</v>
      </c>
      <c r="S768" s="393">
        <f t="shared" si="1761"/>
        <v>30144</v>
      </c>
      <c r="T768" s="393">
        <f t="shared" si="1761"/>
        <v>25467</v>
      </c>
      <c r="U768" s="823">
        <f t="shared" si="1761"/>
        <v>25467</v>
      </c>
      <c r="V768" s="393">
        <f t="shared" si="1761"/>
        <v>29162</v>
      </c>
      <c r="W768" s="393">
        <f t="shared" si="1761"/>
        <v>24927</v>
      </c>
      <c r="X768" s="393">
        <f t="shared" si="1761"/>
        <v>24744</v>
      </c>
      <c r="Y768" s="393">
        <f t="shared" si="1761"/>
        <v>31785</v>
      </c>
      <c r="Z768" s="823">
        <f t="shared" si="1761"/>
        <v>31785</v>
      </c>
      <c r="AA768" s="393">
        <f t="shared" si="1761"/>
        <v>28426</v>
      </c>
      <c r="AB768" s="393">
        <f t="shared" si="1761"/>
        <v>27956</v>
      </c>
      <c r="AC768" s="393">
        <f t="shared" si="1761"/>
        <v>28223</v>
      </c>
      <c r="AD768" s="393">
        <f t="shared" si="1761"/>
        <v>27737</v>
      </c>
      <c r="AE768" s="823">
        <f t="shared" si="1761"/>
        <v>27737</v>
      </c>
      <c r="AF768" s="393">
        <f t="shared" si="1761"/>
        <v>30630</v>
      </c>
      <c r="AG768" s="393">
        <f t="shared" si="1761"/>
        <v>31862</v>
      </c>
      <c r="AH768" s="393">
        <f t="shared" si="1761"/>
        <v>29183</v>
      </c>
      <c r="AI768" s="393">
        <f t="shared" ref="AI768:BA768" si="1762">SUM(AI763:AI767)</f>
        <v>27171</v>
      </c>
      <c r="AJ768" s="823">
        <f t="shared" si="1762"/>
        <v>27171</v>
      </c>
      <c r="AK768" s="393">
        <f t="shared" si="1762"/>
        <v>29951</v>
      </c>
      <c r="AL768" s="393">
        <f t="shared" si="1762"/>
        <v>28829</v>
      </c>
      <c r="AM768" s="393">
        <f t="shared" si="1762"/>
        <v>30233</v>
      </c>
      <c r="AN768" s="393">
        <f t="shared" si="1762"/>
        <v>26530</v>
      </c>
      <c r="AO768" s="823">
        <f t="shared" si="1762"/>
        <v>26530</v>
      </c>
      <c r="AP768" s="393">
        <f t="shared" si="1762"/>
        <v>28235</v>
      </c>
      <c r="AQ768" s="393">
        <f t="shared" si="1762"/>
        <v>20825</v>
      </c>
      <c r="AR768" s="393">
        <f t="shared" si="1762"/>
        <v>19664</v>
      </c>
      <c r="AS768" s="393">
        <f t="shared" si="1762"/>
        <v>22183</v>
      </c>
      <c r="AT768" s="823">
        <f t="shared" si="1762"/>
        <v>22183</v>
      </c>
      <c r="AU768" s="393">
        <f t="shared" si="1762"/>
        <v>27480</v>
      </c>
      <c r="AV768" s="393">
        <f t="shared" si="1762"/>
        <v>28147</v>
      </c>
      <c r="AW768" s="393">
        <f t="shared" si="1762"/>
        <v>25188</v>
      </c>
      <c r="AX768" s="393">
        <f t="shared" si="1762"/>
        <v>26791</v>
      </c>
      <c r="AY768" s="823">
        <f t="shared" si="1762"/>
        <v>26791</v>
      </c>
      <c r="AZ768" s="393">
        <f t="shared" si="1762"/>
        <v>31203</v>
      </c>
      <c r="BA768" s="393">
        <f t="shared" si="1762"/>
        <v>39121</v>
      </c>
      <c r="BB768" s="393">
        <f t="shared" ref="BB768:BE768" si="1763">SUM(BB763:BB767)</f>
        <v>36883</v>
      </c>
      <c r="BC768" s="393">
        <f t="shared" si="1763"/>
        <v>34208</v>
      </c>
      <c r="BD768" s="823">
        <f t="shared" si="1763"/>
        <v>34208</v>
      </c>
      <c r="BE768" s="393">
        <f t="shared" si="1763"/>
        <v>33735</v>
      </c>
      <c r="BF768" s="393">
        <f t="shared" ref="BF768:BS768" si="1764">SUM(BF763:BF767)</f>
        <v>29847</v>
      </c>
      <c r="BG768" s="393">
        <f t="shared" si="1764"/>
        <v>33263</v>
      </c>
      <c r="BH768" s="393">
        <f t="shared" si="1764"/>
        <v>32258</v>
      </c>
      <c r="BI768" s="823">
        <f t="shared" si="1764"/>
        <v>32258</v>
      </c>
      <c r="BJ768" s="393">
        <f t="shared" si="1764"/>
        <v>32940</v>
      </c>
      <c r="BK768" s="393">
        <f t="shared" si="1764"/>
        <v>34027</v>
      </c>
      <c r="BL768" s="393">
        <f t="shared" si="1764"/>
        <v>35718</v>
      </c>
      <c r="BM768" s="393">
        <f t="shared" si="1764"/>
        <v>38558</v>
      </c>
      <c r="BN768" s="823">
        <f t="shared" si="1764"/>
        <v>38558</v>
      </c>
      <c r="BO768" s="393">
        <f>SUM(BO763:BO767)</f>
        <v>35702</v>
      </c>
      <c r="BP768" s="393">
        <f>SUM(BP763:BP767)</f>
        <v>34827</v>
      </c>
      <c r="BQ768" s="393">
        <f>SUM(BQ763:BQ767)</f>
        <v>35472</v>
      </c>
      <c r="BR768" s="393">
        <f>SUM(BR763:BR767)</f>
        <v>33387</v>
      </c>
      <c r="BS768" s="823">
        <f t="shared" si="1764"/>
        <v>33387</v>
      </c>
      <c r="BT768" s="641">
        <f t="shared" ref="BT768:CF768" si="1765">SUM(BT763:BT767)</f>
        <v>42176</v>
      </c>
      <c r="BU768" s="393">
        <f t="shared" si="1765"/>
        <v>42176</v>
      </c>
      <c r="BV768" s="393">
        <f t="shared" si="1765"/>
        <v>42176</v>
      </c>
      <c r="BW768" s="393">
        <f t="shared" si="1765"/>
        <v>42176</v>
      </c>
      <c r="BX768" s="823">
        <f t="shared" si="1765"/>
        <v>42176</v>
      </c>
      <c r="BY768" s="393">
        <f t="shared" si="1765"/>
        <v>42176</v>
      </c>
      <c r="BZ768" s="393">
        <f t="shared" si="1765"/>
        <v>42176</v>
      </c>
      <c r="CA768" s="393">
        <f t="shared" si="1765"/>
        <v>42176</v>
      </c>
      <c r="CB768" s="393">
        <f t="shared" si="1765"/>
        <v>42176</v>
      </c>
      <c r="CC768" s="823">
        <f t="shared" si="1765"/>
        <v>42176</v>
      </c>
      <c r="CD768" s="823">
        <f t="shared" si="1765"/>
        <v>42176</v>
      </c>
      <c r="CE768" s="823">
        <f t="shared" si="1765"/>
        <v>42176</v>
      </c>
      <c r="CF768" s="823">
        <f t="shared" si="1765"/>
        <v>42176</v>
      </c>
      <c r="CG768" s="26"/>
    </row>
    <row r="769" spans="1:85" s="429" customFormat="1" x14ac:dyDescent="0.3">
      <c r="A769" s="48"/>
      <c r="B769" s="58"/>
      <c r="C769" s="825"/>
      <c r="D769" s="825"/>
      <c r="E769" s="825"/>
      <c r="F769" s="825"/>
      <c r="G769" s="31"/>
      <c r="H769" s="31"/>
      <c r="I769" s="31"/>
      <c r="J769" s="31"/>
      <c r="K769" s="825"/>
      <c r="L769" s="31"/>
      <c r="M769" s="31"/>
      <c r="N769" s="31"/>
      <c r="O769" s="31"/>
      <c r="P769" s="825"/>
      <c r="Q769" s="31"/>
      <c r="R769" s="31"/>
      <c r="S769" s="31"/>
      <c r="T769" s="31"/>
      <c r="U769" s="825"/>
      <c r="V769" s="31"/>
      <c r="W769" s="31"/>
      <c r="X769" s="31"/>
      <c r="Y769" s="31"/>
      <c r="Z769" s="825"/>
      <c r="AA769" s="31"/>
      <c r="AB769" s="31"/>
      <c r="AC769" s="31"/>
      <c r="AD769" s="31"/>
      <c r="AE769" s="825"/>
      <c r="AF769" s="31"/>
      <c r="AG769" s="31"/>
      <c r="AH769" s="31"/>
      <c r="AI769" s="31"/>
      <c r="AJ769" s="825"/>
      <c r="AK769" s="31"/>
      <c r="AL769" s="31"/>
      <c r="AM769" s="31"/>
      <c r="AN769" s="31"/>
      <c r="AO769" s="825"/>
      <c r="AP769" s="31"/>
      <c r="AQ769" s="31"/>
      <c r="AR769" s="31"/>
      <c r="AS769" s="31"/>
      <c r="AT769" s="825"/>
      <c r="AU769" s="31"/>
      <c r="AV769" s="31"/>
      <c r="AW769" s="31"/>
      <c r="AX769" s="31"/>
      <c r="AY769" s="825"/>
      <c r="AZ769" s="31"/>
      <c r="BA769" s="31"/>
      <c r="BB769" s="31"/>
      <c r="BC769" s="31"/>
      <c r="BD769" s="825"/>
      <c r="BE769" s="31"/>
      <c r="BF769" s="31"/>
      <c r="BG769" s="31"/>
      <c r="BH769" s="31"/>
      <c r="BI769" s="825"/>
      <c r="BJ769" s="31"/>
      <c r="BK769" s="31"/>
      <c r="BL769" s="31"/>
      <c r="BM769" s="31"/>
      <c r="BN769" s="825"/>
      <c r="BO769" s="31"/>
      <c r="BP769" s="31"/>
      <c r="BQ769" s="31"/>
      <c r="BR769" s="31"/>
      <c r="BS769" s="825"/>
      <c r="BT769" s="379"/>
      <c r="BU769" s="31"/>
      <c r="BV769" s="31"/>
      <c r="BW769" s="31"/>
      <c r="BX769" s="825"/>
      <c r="BY769" s="31"/>
      <c r="BZ769" s="31"/>
      <c r="CA769" s="31"/>
      <c r="CB769" s="31"/>
      <c r="CC769" s="825"/>
      <c r="CD769" s="825"/>
      <c r="CE769" s="825"/>
      <c r="CF769" s="825"/>
      <c r="CG769" s="26"/>
    </row>
    <row r="770" spans="1:85" s="429" customFormat="1" x14ac:dyDescent="0.3">
      <c r="A770" s="395" t="s">
        <v>322</v>
      </c>
      <c r="B770" s="58"/>
      <c r="C770" s="825"/>
      <c r="D770" s="825"/>
      <c r="E770" s="825"/>
      <c r="F770" s="825"/>
      <c r="G770" s="31"/>
      <c r="H770" s="31"/>
      <c r="I770" s="31"/>
      <c r="J770" s="31"/>
      <c r="K770" s="825"/>
      <c r="L770" s="31"/>
      <c r="M770" s="31"/>
      <c r="N770" s="31"/>
      <c r="O770" s="31"/>
      <c r="P770" s="825"/>
      <c r="Q770" s="31"/>
      <c r="R770" s="31"/>
      <c r="S770" s="31"/>
      <c r="T770" s="31"/>
      <c r="U770" s="825"/>
      <c r="V770" s="31"/>
      <c r="W770" s="31"/>
      <c r="X770" s="31"/>
      <c r="Y770" s="31"/>
      <c r="Z770" s="825"/>
      <c r="AA770" s="31"/>
      <c r="AB770" s="31"/>
      <c r="AC770" s="31"/>
      <c r="AD770" s="31"/>
      <c r="AE770" s="825"/>
      <c r="AF770" s="31"/>
      <c r="AG770" s="31"/>
      <c r="AH770" s="31"/>
      <c r="AI770" s="31"/>
      <c r="AJ770" s="825"/>
      <c r="AK770" s="31"/>
      <c r="AL770" s="31"/>
      <c r="AM770" s="31"/>
      <c r="AN770" s="31"/>
      <c r="AO770" s="825"/>
      <c r="AP770" s="31"/>
      <c r="AQ770" s="31"/>
      <c r="AR770" s="31"/>
      <c r="AS770" s="31"/>
      <c r="AT770" s="825"/>
      <c r="AU770" s="31"/>
      <c r="AV770" s="31"/>
      <c r="AW770" s="31"/>
      <c r="AX770" s="31"/>
      <c r="AY770" s="825"/>
      <c r="AZ770" s="31"/>
      <c r="BA770" s="31"/>
      <c r="BB770" s="31"/>
      <c r="BC770" s="31"/>
      <c r="BD770" s="825"/>
      <c r="BE770" s="31"/>
      <c r="BF770" s="31"/>
      <c r="BG770" s="31"/>
      <c r="BH770" s="31"/>
      <c r="BI770" s="825"/>
      <c r="BJ770" s="31"/>
      <c r="BK770" s="31"/>
      <c r="BL770" s="31"/>
      <c r="BM770" s="31"/>
      <c r="BN770" s="825"/>
      <c r="BO770" s="31"/>
      <c r="BP770" s="31"/>
      <c r="BQ770" s="31"/>
      <c r="BR770" s="31"/>
      <c r="BS770" s="825"/>
      <c r="BT770" s="379"/>
      <c r="BU770" s="31"/>
      <c r="BV770" s="31"/>
      <c r="BW770" s="31"/>
      <c r="BX770" s="825"/>
      <c r="BY770" s="31"/>
      <c r="BZ770" s="31"/>
      <c r="CA770" s="31"/>
      <c r="CB770" s="31"/>
      <c r="CC770" s="825"/>
      <c r="CD770" s="825"/>
      <c r="CE770" s="825"/>
      <c r="CF770" s="825"/>
      <c r="CG770" s="26"/>
    </row>
    <row r="771" spans="1:85" s="428" customFormat="1" x14ac:dyDescent="0.3">
      <c r="A771" s="43" t="s">
        <v>323</v>
      </c>
      <c r="B771" s="109"/>
      <c r="C771" s="827">
        <v>9829</v>
      </c>
      <c r="D771" s="827">
        <v>11003</v>
      </c>
      <c r="E771" s="827">
        <v>9684</v>
      </c>
      <c r="F771" s="827">
        <v>11966</v>
      </c>
      <c r="G771" s="763">
        <v>11960</v>
      </c>
      <c r="H771" s="763">
        <v>17960</v>
      </c>
      <c r="I771" s="763">
        <v>17960</v>
      </c>
      <c r="J771" s="763">
        <v>19960</v>
      </c>
      <c r="K771" s="821">
        <f>J771</f>
        <v>19960</v>
      </c>
      <c r="L771" s="763">
        <v>19960</v>
      </c>
      <c r="M771" s="763">
        <v>19960</v>
      </c>
      <c r="N771" s="763">
        <v>19960</v>
      </c>
      <c r="O771" s="763">
        <v>23960</v>
      </c>
      <c r="P771" s="821">
        <f>O771</f>
        <v>23960</v>
      </c>
      <c r="Q771" s="763">
        <v>29960</v>
      </c>
      <c r="R771" s="763">
        <v>29210</v>
      </c>
      <c r="S771" s="763">
        <v>29210</v>
      </c>
      <c r="T771" s="763">
        <v>33542</v>
      </c>
      <c r="U771" s="821">
        <f>T771</f>
        <v>33542</v>
      </c>
      <c r="V771" s="763">
        <v>32634.999999999996</v>
      </c>
      <c r="W771" s="763">
        <v>39487</v>
      </c>
      <c r="X771" s="763">
        <v>39462</v>
      </c>
      <c r="Y771" s="37">
        <f>Z771</f>
        <v>35193</v>
      </c>
      <c r="Z771" s="827">
        <v>35193</v>
      </c>
      <c r="AA771" s="763">
        <v>36864</v>
      </c>
      <c r="AB771" s="763">
        <v>33989</v>
      </c>
      <c r="AC771" s="763">
        <v>33983</v>
      </c>
      <c r="AD771" s="37">
        <f>AE771</f>
        <v>33477</v>
      </c>
      <c r="AE771" s="827">
        <v>33477</v>
      </c>
      <c r="AF771" s="763">
        <v>31054</v>
      </c>
      <c r="AG771" s="763">
        <v>29779</v>
      </c>
      <c r="AH771" s="763">
        <v>29854</v>
      </c>
      <c r="AI771" s="37">
        <f>AJ771</f>
        <v>28733</v>
      </c>
      <c r="AJ771" s="827">
        <v>28733</v>
      </c>
      <c r="AK771" s="763">
        <v>26064</v>
      </c>
      <c r="AL771" s="763">
        <v>25061</v>
      </c>
      <c r="AM771" s="763">
        <v>25056</v>
      </c>
      <c r="AN771" s="37">
        <f>AO771</f>
        <v>23691</v>
      </c>
      <c r="AO771" s="827">
        <v>23691</v>
      </c>
      <c r="AP771" s="763">
        <v>23663</v>
      </c>
      <c r="AQ771" s="763">
        <v>30302</v>
      </c>
      <c r="AR771" s="763">
        <v>34280</v>
      </c>
      <c r="AS771" s="763">
        <v>42767</v>
      </c>
      <c r="AT771" s="821">
        <f>AS771</f>
        <v>42767</v>
      </c>
      <c r="AU771" s="763">
        <v>40599</v>
      </c>
      <c r="AV771" s="763">
        <v>39521</v>
      </c>
      <c r="AW771" s="763">
        <v>37056</v>
      </c>
      <c r="AX771" s="763">
        <v>31113</v>
      </c>
      <c r="AY771" s="821">
        <f>AX771</f>
        <v>31113</v>
      </c>
      <c r="AZ771" s="763">
        <v>29019</v>
      </c>
      <c r="BA771" s="763">
        <v>23005</v>
      </c>
      <c r="BB771" s="763">
        <v>21420</v>
      </c>
      <c r="BC771" s="763">
        <v>21375</v>
      </c>
      <c r="BD771" s="821">
        <f>BC771</f>
        <v>21375</v>
      </c>
      <c r="BE771" s="763">
        <v>20275</v>
      </c>
      <c r="BF771" s="763">
        <v>20245</v>
      </c>
      <c r="BG771" s="763">
        <v>20119</v>
      </c>
      <c r="BH771" s="763">
        <v>20307</v>
      </c>
      <c r="BI771" s="821">
        <f>BH771</f>
        <v>20307</v>
      </c>
      <c r="BJ771" s="763">
        <v>21553</v>
      </c>
      <c r="BK771" s="763">
        <v>21449</v>
      </c>
      <c r="BL771" s="763">
        <v>20697</v>
      </c>
      <c r="BM771" s="763">
        <v>20135</v>
      </c>
      <c r="BN771" s="821">
        <f>BM771</f>
        <v>20135</v>
      </c>
      <c r="BO771" s="763">
        <v>25605</v>
      </c>
      <c r="BP771" s="763">
        <v>23276</v>
      </c>
      <c r="BQ771" s="763">
        <v>37953</v>
      </c>
      <c r="BR771" s="763">
        <v>39781</v>
      </c>
      <c r="BS771" s="821">
        <f>BR771</f>
        <v>39781</v>
      </c>
      <c r="BT771" s="764">
        <v>39600</v>
      </c>
      <c r="BU771" s="37">
        <f>BU589</f>
        <v>39600</v>
      </c>
      <c r="BV771" s="37">
        <f>BV589</f>
        <v>39600</v>
      </c>
      <c r="BW771" s="37">
        <f>BW589</f>
        <v>39600</v>
      </c>
      <c r="BX771" s="821">
        <f>BW771</f>
        <v>39600</v>
      </c>
      <c r="BY771" s="37">
        <f>BY589</f>
        <v>39600</v>
      </c>
      <c r="BZ771" s="37">
        <f>BZ589</f>
        <v>39600</v>
      </c>
      <c r="CA771" s="37">
        <f>CA589</f>
        <v>39600</v>
      </c>
      <c r="CB771" s="37">
        <f>CB589</f>
        <v>39600</v>
      </c>
      <c r="CC771" s="821">
        <f>CB771</f>
        <v>39600</v>
      </c>
      <c r="CD771" s="821">
        <f>CD589</f>
        <v>39600</v>
      </c>
      <c r="CE771" s="821">
        <f>CE589</f>
        <v>39600</v>
      </c>
      <c r="CF771" s="821">
        <f>CF589</f>
        <v>39600</v>
      </c>
      <c r="CG771" s="22"/>
    </row>
    <row r="772" spans="1:85" s="428" customFormat="1" x14ac:dyDescent="0.3">
      <c r="A772" s="43" t="s">
        <v>325</v>
      </c>
      <c r="B772" s="109"/>
      <c r="C772" s="827">
        <v>17390</v>
      </c>
      <c r="D772" s="827">
        <v>19264</v>
      </c>
      <c r="E772" s="827">
        <v>19181</v>
      </c>
      <c r="F772" s="827">
        <v>21502</v>
      </c>
      <c r="G772" s="763">
        <v>21623</v>
      </c>
      <c r="H772" s="763">
        <v>21099</v>
      </c>
      <c r="I772" s="763">
        <v>21796</v>
      </c>
      <c r="J772" s="763">
        <v>22982</v>
      </c>
      <c r="K772" s="821">
        <f>J772</f>
        <v>22982</v>
      </c>
      <c r="L772" s="763">
        <v>22942</v>
      </c>
      <c r="M772" s="763">
        <v>22888</v>
      </c>
      <c r="N772" s="763">
        <v>23055</v>
      </c>
      <c r="O772" s="763">
        <v>23549</v>
      </c>
      <c r="P772" s="821">
        <f>O772</f>
        <v>23549</v>
      </c>
      <c r="Q772" s="763">
        <v>23100</v>
      </c>
      <c r="R772" s="763">
        <v>23110</v>
      </c>
      <c r="S772" s="763">
        <v>23129</v>
      </c>
      <c r="T772" s="763">
        <v>23465</v>
      </c>
      <c r="U772" s="821">
        <f>T772</f>
        <v>23465</v>
      </c>
      <c r="V772" s="763">
        <v>23330</v>
      </c>
      <c r="W772" s="763">
        <v>22712</v>
      </c>
      <c r="X772" s="763">
        <v>22288</v>
      </c>
      <c r="Y772" s="37">
        <f>Z772</f>
        <v>21553</v>
      </c>
      <c r="Z772" s="827">
        <v>21553</v>
      </c>
      <c r="AA772" s="763">
        <v>21515</v>
      </c>
      <c r="AB772" s="763">
        <v>20898</v>
      </c>
      <c r="AC772" s="763">
        <v>20830</v>
      </c>
      <c r="AD772" s="37">
        <f>AE772</f>
        <v>21106</v>
      </c>
      <c r="AE772" s="827">
        <v>21106</v>
      </c>
      <c r="AF772" s="763">
        <v>20674</v>
      </c>
      <c r="AG772" s="763">
        <v>20566</v>
      </c>
      <c r="AH772" s="763">
        <v>20414</v>
      </c>
      <c r="AI772" s="37">
        <f>AJ772</f>
        <v>19742</v>
      </c>
      <c r="AJ772" s="827">
        <v>19742</v>
      </c>
      <c r="AK772" s="763">
        <v>22197</v>
      </c>
      <c r="AL772" s="763">
        <v>21962</v>
      </c>
      <c r="AM772" s="763">
        <v>21555</v>
      </c>
      <c r="AN772" s="37">
        <f>AO772</f>
        <v>20445</v>
      </c>
      <c r="AO772" s="827">
        <v>20445</v>
      </c>
      <c r="AP772" s="763">
        <v>18677</v>
      </c>
      <c r="AQ772" s="763">
        <v>19291</v>
      </c>
      <c r="AR772" s="763">
        <v>19267</v>
      </c>
      <c r="AS772" s="763">
        <v>20328</v>
      </c>
      <c r="AT772" s="821">
        <f>AS772</f>
        <v>20328</v>
      </c>
      <c r="AU772" s="763">
        <v>20139</v>
      </c>
      <c r="AV772" s="763">
        <v>20437</v>
      </c>
      <c r="AW772" s="763">
        <v>20298</v>
      </c>
      <c r="AX772" s="763">
        <v>20778</v>
      </c>
      <c r="AY772" s="821">
        <f>AX772</f>
        <v>20778</v>
      </c>
      <c r="AZ772" s="763">
        <v>20273</v>
      </c>
      <c r="BA772" s="763">
        <v>19722</v>
      </c>
      <c r="BB772" s="763">
        <v>20005</v>
      </c>
      <c r="BC772" s="763">
        <v>20396</v>
      </c>
      <c r="BD772" s="821">
        <f>BC772</f>
        <v>20396</v>
      </c>
      <c r="BE772" s="763">
        <v>19606</v>
      </c>
      <c r="BF772" s="763">
        <v>19980</v>
      </c>
      <c r="BG772" s="763">
        <v>20884</v>
      </c>
      <c r="BH772" s="763">
        <v>24226</v>
      </c>
      <c r="BI772" s="821">
        <f>BH772</f>
        <v>24226</v>
      </c>
      <c r="BJ772" s="763">
        <v>22448</v>
      </c>
      <c r="BK772" s="763">
        <v>21454</v>
      </c>
      <c r="BL772" s="763">
        <v>21955</v>
      </c>
      <c r="BM772" s="763">
        <v>22094</v>
      </c>
      <c r="BN772" s="821">
        <f>BM772</f>
        <v>22094</v>
      </c>
      <c r="BO772" s="763">
        <v>21610</v>
      </c>
      <c r="BP772" s="763">
        <v>21893</v>
      </c>
      <c r="BQ772" s="763">
        <v>23592</v>
      </c>
      <c r="BR772" s="763">
        <v>24543</v>
      </c>
      <c r="BS772" s="821">
        <f>BR772</f>
        <v>24543</v>
      </c>
      <c r="BT772" s="764">
        <v>24536</v>
      </c>
      <c r="BU772" s="37">
        <f>BT772</f>
        <v>24536</v>
      </c>
      <c r="BV772" s="37">
        <f>BU772</f>
        <v>24536</v>
      </c>
      <c r="BW772" s="37">
        <f>BV772</f>
        <v>24536</v>
      </c>
      <c r="BX772" s="821">
        <f>BW772</f>
        <v>24536</v>
      </c>
      <c r="BY772" s="37">
        <f>BX772</f>
        <v>24536</v>
      </c>
      <c r="BZ772" s="37">
        <f>BY772</f>
        <v>24536</v>
      </c>
      <c r="CA772" s="37">
        <f>BZ772</f>
        <v>24536</v>
      </c>
      <c r="CB772" s="37">
        <f>CA772</f>
        <v>24536</v>
      </c>
      <c r="CC772" s="821">
        <f>CB772</f>
        <v>24536</v>
      </c>
      <c r="CD772" s="821">
        <f>CC772</f>
        <v>24536</v>
      </c>
      <c r="CE772" s="821">
        <f>CD772</f>
        <v>24536</v>
      </c>
      <c r="CF772" s="821">
        <f>CE772</f>
        <v>24536</v>
      </c>
      <c r="CG772" s="22"/>
    </row>
    <row r="773" spans="1:85" s="428" customFormat="1" x14ac:dyDescent="0.3">
      <c r="A773" s="43" t="s">
        <v>326</v>
      </c>
      <c r="B773" s="109"/>
      <c r="C773" s="827">
        <v>11521</v>
      </c>
      <c r="D773" s="827">
        <v>12697</v>
      </c>
      <c r="E773" s="827">
        <v>15544</v>
      </c>
      <c r="F773" s="827">
        <v>17672</v>
      </c>
      <c r="G773" s="763">
        <v>18046</v>
      </c>
      <c r="H773" s="763">
        <v>18039</v>
      </c>
      <c r="I773" s="763">
        <v>19374</v>
      </c>
      <c r="J773" s="763">
        <v>21301</v>
      </c>
      <c r="K773" s="821">
        <f>J773</f>
        <v>21301</v>
      </c>
      <c r="L773" s="763">
        <v>21798</v>
      </c>
      <c r="M773" s="763">
        <v>22017</v>
      </c>
      <c r="N773" s="763">
        <v>21919</v>
      </c>
      <c r="O773" s="763">
        <v>21920</v>
      </c>
      <c r="P773" s="821">
        <f>O773</f>
        <v>21920</v>
      </c>
      <c r="Q773" s="763">
        <v>21583</v>
      </c>
      <c r="R773" s="763">
        <v>21597</v>
      </c>
      <c r="S773" s="763">
        <v>21869</v>
      </c>
      <c r="T773" s="763">
        <v>20165</v>
      </c>
      <c r="U773" s="821">
        <f>T773</f>
        <v>20165</v>
      </c>
      <c r="V773" s="763">
        <v>19592</v>
      </c>
      <c r="W773" s="763">
        <v>18342</v>
      </c>
      <c r="X773" s="763">
        <v>17817</v>
      </c>
      <c r="Y773" s="37">
        <f>Z773</f>
        <v>17516</v>
      </c>
      <c r="Z773" s="827">
        <v>17516</v>
      </c>
      <c r="AA773" s="763">
        <v>17276</v>
      </c>
      <c r="AB773" s="763">
        <v>17067</v>
      </c>
      <c r="AC773" s="763">
        <v>17438</v>
      </c>
      <c r="AD773" s="37">
        <f>AE773</f>
        <v>14652</v>
      </c>
      <c r="AE773" s="827">
        <v>14652</v>
      </c>
      <c r="AF773" s="763">
        <v>15082</v>
      </c>
      <c r="AG773" s="763">
        <v>15151</v>
      </c>
      <c r="AH773" s="763">
        <v>15624</v>
      </c>
      <c r="AI773" s="37">
        <f>AJ773</f>
        <v>15921</v>
      </c>
      <c r="AJ773" s="827">
        <v>15921</v>
      </c>
      <c r="AK773" s="763">
        <v>16099</v>
      </c>
      <c r="AL773" s="763">
        <v>16480</v>
      </c>
      <c r="AM773" s="763">
        <v>17100</v>
      </c>
      <c r="AN773" s="37">
        <f>AO773</f>
        <v>13688</v>
      </c>
      <c r="AO773" s="827">
        <v>13688</v>
      </c>
      <c r="AP773" s="763">
        <v>13457</v>
      </c>
      <c r="AQ773" s="763">
        <v>11110</v>
      </c>
      <c r="AR773" s="763">
        <v>10625</v>
      </c>
      <c r="AS773" s="763">
        <v>12569</v>
      </c>
      <c r="AT773" s="821">
        <f>AS773</f>
        <v>12569</v>
      </c>
      <c r="AU773" s="763">
        <v>12474</v>
      </c>
      <c r="AV773" s="763">
        <v>13140</v>
      </c>
      <c r="AW773" s="763">
        <v>13546</v>
      </c>
      <c r="AX773" s="763">
        <v>14665</v>
      </c>
      <c r="AY773" s="821">
        <f>AX773</f>
        <v>14665</v>
      </c>
      <c r="AZ773" s="763">
        <v>15526</v>
      </c>
      <c r="BA773" s="763">
        <v>15942</v>
      </c>
      <c r="BB773" s="763">
        <v>16616</v>
      </c>
      <c r="BC773" s="763">
        <v>17131</v>
      </c>
      <c r="BD773" s="821">
        <f>BC773</f>
        <v>17131</v>
      </c>
      <c r="BE773" s="763">
        <v>17736</v>
      </c>
      <c r="BF773" s="763">
        <v>18451</v>
      </c>
      <c r="BG773" s="763">
        <v>19637</v>
      </c>
      <c r="BH773" s="763">
        <v>18830</v>
      </c>
      <c r="BI773" s="821">
        <f>BH773</f>
        <v>18830</v>
      </c>
      <c r="BJ773" s="763">
        <v>19106</v>
      </c>
      <c r="BK773" s="763">
        <v>19509</v>
      </c>
      <c r="BL773" s="763">
        <v>19899</v>
      </c>
      <c r="BM773" s="763">
        <v>19137</v>
      </c>
      <c r="BN773" s="821">
        <f>BM773</f>
        <v>19137</v>
      </c>
      <c r="BO773" s="763">
        <v>19594</v>
      </c>
      <c r="BP773" s="763">
        <v>19708</v>
      </c>
      <c r="BQ773" s="763">
        <v>29796</v>
      </c>
      <c r="BR773" s="763">
        <v>30014</v>
      </c>
      <c r="BS773" s="821">
        <f>BR773</f>
        <v>30014</v>
      </c>
      <c r="BT773" s="764">
        <v>29945</v>
      </c>
      <c r="BU773" s="37">
        <f>BT773+BU687</f>
        <v>31223.497687736985</v>
      </c>
      <c r="BV773" s="37">
        <f ca="1">BU773+BV687</f>
        <v>32176.483450126027</v>
      </c>
      <c r="BW773" s="37">
        <f ca="1">BV773+BW687</f>
        <v>32909.720145216437</v>
      </c>
      <c r="BX773" s="821">
        <f ca="1">BW773</f>
        <v>32909.720145216437</v>
      </c>
      <c r="BY773" s="37">
        <f ca="1">BX773+BY687</f>
        <v>33100.392768887672</v>
      </c>
      <c r="BZ773" s="37">
        <f ca="1">BY773+BZ687</f>
        <v>33291.596117561916</v>
      </c>
      <c r="CA773" s="37">
        <f ca="1">BZ773+CA687</f>
        <v>33488.025005519179</v>
      </c>
      <c r="CB773" s="37">
        <f ca="1">CA773+CB687</f>
        <v>33681.590665636439</v>
      </c>
      <c r="CC773" s="821">
        <f ca="1">CB773</f>
        <v>33681.590665636439</v>
      </c>
      <c r="CD773" s="821">
        <f ca="1">CC773+CD687</f>
        <v>34417.831316636439</v>
      </c>
      <c r="CE773" s="821">
        <f ca="1">CD773+CE687</f>
        <v>34750.83062688644</v>
      </c>
      <c r="CF773" s="821">
        <f ca="1">CE773+CF687</f>
        <v>35267.015328886439</v>
      </c>
      <c r="CG773" s="22"/>
    </row>
    <row r="774" spans="1:85" s="428" customFormat="1" x14ac:dyDescent="0.3">
      <c r="A774" s="43" t="s">
        <v>327</v>
      </c>
      <c r="B774" s="109"/>
      <c r="C774" s="827">
        <v>6808</v>
      </c>
      <c r="D774" s="827">
        <v>6696</v>
      </c>
      <c r="E774" s="827">
        <v>9156</v>
      </c>
      <c r="F774" s="827">
        <v>9699</v>
      </c>
      <c r="G774" s="763">
        <v>9517</v>
      </c>
      <c r="H774" s="763">
        <v>9282</v>
      </c>
      <c r="I774" s="763">
        <v>9071</v>
      </c>
      <c r="J774" s="763">
        <v>5968</v>
      </c>
      <c r="K774" s="821">
        <f>J774</f>
        <v>5968</v>
      </c>
      <c r="L774" s="763">
        <v>5990</v>
      </c>
      <c r="M774" s="763">
        <v>6015</v>
      </c>
      <c r="N774" s="763">
        <v>6018</v>
      </c>
      <c r="O774" s="763">
        <v>8412</v>
      </c>
      <c r="P774" s="821">
        <f>O774</f>
        <v>8412</v>
      </c>
      <c r="Q774" s="763">
        <v>8450</v>
      </c>
      <c r="R774" s="763">
        <v>8300</v>
      </c>
      <c r="S774" s="763">
        <v>8073</v>
      </c>
      <c r="T774" s="763">
        <v>7935</v>
      </c>
      <c r="U774" s="821">
        <f>T774</f>
        <v>7935</v>
      </c>
      <c r="V774" s="763">
        <v>7573</v>
      </c>
      <c r="W774" s="763">
        <v>7617</v>
      </c>
      <c r="X774" s="763">
        <v>7534</v>
      </c>
      <c r="Y774" s="37">
        <f>Z774</f>
        <v>7216</v>
      </c>
      <c r="Z774" s="827">
        <v>7216</v>
      </c>
      <c r="AA774" s="763">
        <v>7145</v>
      </c>
      <c r="AB774" s="763">
        <v>7208</v>
      </c>
      <c r="AC774" s="763">
        <v>6683</v>
      </c>
      <c r="AD774" s="37">
        <f>AE774</f>
        <v>7421</v>
      </c>
      <c r="AE774" s="827">
        <v>7421</v>
      </c>
      <c r="AF774" s="763">
        <v>7346</v>
      </c>
      <c r="AG774" s="763">
        <v>7051</v>
      </c>
      <c r="AH774" s="763">
        <v>6723</v>
      </c>
      <c r="AI774" s="37">
        <f>AJ774</f>
        <v>6654</v>
      </c>
      <c r="AJ774" s="827">
        <v>6654</v>
      </c>
      <c r="AK774" s="763">
        <v>6380</v>
      </c>
      <c r="AL774" s="763">
        <v>6095</v>
      </c>
      <c r="AM774" s="763">
        <v>5701</v>
      </c>
      <c r="AN774" s="37">
        <f>AO774</f>
        <v>7866</v>
      </c>
      <c r="AO774" s="827">
        <v>7866</v>
      </c>
      <c r="AP774" s="763">
        <v>7731</v>
      </c>
      <c r="AQ774" s="763">
        <v>7489</v>
      </c>
      <c r="AR774" s="763">
        <v>7189</v>
      </c>
      <c r="AS774" s="763">
        <v>9217</v>
      </c>
      <c r="AT774" s="821">
        <f>AS774</f>
        <v>9217</v>
      </c>
      <c r="AU774" s="763">
        <v>8020</v>
      </c>
      <c r="AV774" s="763">
        <v>7650</v>
      </c>
      <c r="AW774" s="763">
        <v>7138</v>
      </c>
      <c r="AX774" s="763">
        <v>6248</v>
      </c>
      <c r="AY774" s="821">
        <f>AX774</f>
        <v>6248</v>
      </c>
      <c r="AZ774" s="763">
        <v>5927</v>
      </c>
      <c r="BA774" s="763">
        <v>5584</v>
      </c>
      <c r="BB774" s="763">
        <v>5184</v>
      </c>
      <c r="BC774" s="763">
        <v>4357</v>
      </c>
      <c r="BD774" s="821">
        <f>BC774</f>
        <v>4357</v>
      </c>
      <c r="BE774" s="763">
        <v>4100</v>
      </c>
      <c r="BF774" s="763">
        <v>3958</v>
      </c>
      <c r="BG774" s="763">
        <v>3776</v>
      </c>
      <c r="BH774" s="763">
        <v>4082</v>
      </c>
      <c r="BI774" s="821">
        <f>BH774</f>
        <v>4082</v>
      </c>
      <c r="BJ774" s="763">
        <v>3948</v>
      </c>
      <c r="BK774" s="763">
        <v>3942</v>
      </c>
      <c r="BL774" s="763">
        <v>3933</v>
      </c>
      <c r="BM774" s="763">
        <v>3857</v>
      </c>
      <c r="BN774" s="821">
        <f>BM774</f>
        <v>3857</v>
      </c>
      <c r="BO774" s="763">
        <v>3806</v>
      </c>
      <c r="BP774" s="763">
        <v>3858</v>
      </c>
      <c r="BQ774" s="763">
        <v>4088</v>
      </c>
      <c r="BR774" s="763">
        <v>4111</v>
      </c>
      <c r="BS774" s="821">
        <f>BR774</f>
        <v>4111</v>
      </c>
      <c r="BT774" s="764">
        <v>3923</v>
      </c>
      <c r="BU774" s="37">
        <f>BT774</f>
        <v>3923</v>
      </c>
      <c r="BV774" s="37">
        <f>BU774</f>
        <v>3923</v>
      </c>
      <c r="BW774" s="37">
        <f>BV774</f>
        <v>3923</v>
      </c>
      <c r="BX774" s="821">
        <f>BW774</f>
        <v>3923</v>
      </c>
      <c r="BY774" s="37">
        <f>BX774</f>
        <v>3923</v>
      </c>
      <c r="BZ774" s="37">
        <f>BY774</f>
        <v>3923</v>
      </c>
      <c r="CA774" s="37">
        <f>BZ774</f>
        <v>3923</v>
      </c>
      <c r="CB774" s="37">
        <f>CA774</f>
        <v>3923</v>
      </c>
      <c r="CC774" s="821">
        <f>CB774</f>
        <v>3923</v>
      </c>
      <c r="CD774" s="821">
        <f>CC774</f>
        <v>3923</v>
      </c>
      <c r="CE774" s="821">
        <f>CD774</f>
        <v>3923</v>
      </c>
      <c r="CF774" s="821">
        <f>CE774</f>
        <v>3923</v>
      </c>
      <c r="CG774" s="22"/>
    </row>
    <row r="775" spans="1:85" s="428" customFormat="1" hidden="1" outlineLevel="1" x14ac:dyDescent="0.3">
      <c r="A775" s="43" t="s">
        <v>324</v>
      </c>
      <c r="B775" s="109"/>
      <c r="C775" s="827">
        <v>301</v>
      </c>
      <c r="D775" s="827">
        <v>286</v>
      </c>
      <c r="E775" s="827">
        <v>128</v>
      </c>
      <c r="F775" s="827">
        <v>99</v>
      </c>
      <c r="G775" s="763">
        <v>93</v>
      </c>
      <c r="H775" s="763">
        <v>91</v>
      </c>
      <c r="I775" s="763">
        <v>94</v>
      </c>
      <c r="J775" s="763">
        <v>97</v>
      </c>
      <c r="K775" s="821">
        <f>J775</f>
        <v>97</v>
      </c>
      <c r="L775" s="763">
        <v>86</v>
      </c>
      <c r="M775" s="763">
        <v>90</v>
      </c>
      <c r="N775" s="763">
        <v>84</v>
      </c>
      <c r="O775" s="763">
        <v>68</v>
      </c>
      <c r="P775" s="821">
        <f>O775</f>
        <v>68</v>
      </c>
      <c r="Q775" s="763">
        <v>65</v>
      </c>
      <c r="R775" s="763">
        <v>79</v>
      </c>
      <c r="S775" s="763">
        <v>86</v>
      </c>
      <c r="T775" s="763">
        <v>80</v>
      </c>
      <c r="U775" s="821">
        <f>T775</f>
        <v>80</v>
      </c>
      <c r="V775" s="763">
        <v>74</v>
      </c>
      <c r="W775" s="763">
        <v>68</v>
      </c>
      <c r="X775" s="763">
        <v>66</v>
      </c>
      <c r="Y775" s="37">
        <f>Z775</f>
        <v>93</v>
      </c>
      <c r="Z775" s="827">
        <v>93</v>
      </c>
      <c r="AA775" s="763">
        <v>95</v>
      </c>
      <c r="AB775" s="763">
        <v>93</v>
      </c>
      <c r="AC775" s="763">
        <v>92</v>
      </c>
      <c r="AD775" s="37">
        <f>AE775</f>
        <v>94</v>
      </c>
      <c r="AE775" s="827">
        <v>94</v>
      </c>
      <c r="AF775" s="763">
        <v>90</v>
      </c>
      <c r="AG775" s="763">
        <v>140</v>
      </c>
      <c r="AH775" s="763">
        <v>135</v>
      </c>
      <c r="AI775" s="37">
        <f>AJ775</f>
        <v>0</v>
      </c>
      <c r="AJ775" s="821"/>
      <c r="AK775" s="37"/>
      <c r="AL775" s="37"/>
      <c r="AM775" s="37"/>
      <c r="AN775" s="37">
        <f>AO775</f>
        <v>0</v>
      </c>
      <c r="AO775" s="821"/>
      <c r="AP775" s="37"/>
      <c r="AQ775" s="37"/>
      <c r="AR775" s="37"/>
      <c r="AS775" s="37"/>
      <c r="AT775" s="821"/>
      <c r="AU775" s="37"/>
      <c r="AV775" s="37"/>
      <c r="AW775" s="37"/>
      <c r="AX775" s="37"/>
      <c r="AY775" s="821"/>
      <c r="AZ775" s="37"/>
      <c r="BA775" s="37"/>
      <c r="BB775" s="37"/>
      <c r="BC775" s="37"/>
      <c r="BD775" s="821"/>
      <c r="BE775" s="37"/>
      <c r="BF775" s="37"/>
      <c r="BG775" s="37"/>
      <c r="BH775" s="37"/>
      <c r="BI775" s="821"/>
      <c r="BJ775" s="37"/>
      <c r="BK775" s="37"/>
      <c r="BL775" s="37"/>
      <c r="BM775" s="37"/>
      <c r="BN775" s="821"/>
      <c r="BO775" s="37"/>
      <c r="BP775" s="37"/>
      <c r="BQ775" s="37"/>
      <c r="BR775" s="37"/>
      <c r="BS775" s="821"/>
      <c r="BT775" s="480"/>
      <c r="BU775" s="37"/>
      <c r="BV775" s="37"/>
      <c r="BW775" s="37"/>
      <c r="BX775" s="821"/>
      <c r="BY775" s="37"/>
      <c r="BZ775" s="37"/>
      <c r="CA775" s="37"/>
      <c r="CB775" s="37"/>
      <c r="CC775" s="821"/>
      <c r="CD775" s="821"/>
      <c r="CE775" s="821"/>
      <c r="CF775" s="821"/>
      <c r="CG775" s="22"/>
    </row>
    <row r="776" spans="1:85" s="429" customFormat="1" collapsed="1" x14ac:dyDescent="0.3">
      <c r="A776" s="42" t="s">
        <v>328</v>
      </c>
      <c r="B776" s="99"/>
      <c r="C776" s="823">
        <f t="shared" ref="C776:AH776" si="1766">SUM(C771:C775)</f>
        <v>45849</v>
      </c>
      <c r="D776" s="823">
        <f t="shared" si="1766"/>
        <v>49946</v>
      </c>
      <c r="E776" s="823">
        <f t="shared" si="1766"/>
        <v>53693</v>
      </c>
      <c r="F776" s="823">
        <f t="shared" si="1766"/>
        <v>60938</v>
      </c>
      <c r="G776" s="393">
        <f t="shared" si="1766"/>
        <v>61239</v>
      </c>
      <c r="H776" s="393">
        <f t="shared" si="1766"/>
        <v>66471</v>
      </c>
      <c r="I776" s="393">
        <f t="shared" si="1766"/>
        <v>68295</v>
      </c>
      <c r="J776" s="393">
        <f t="shared" si="1766"/>
        <v>70308</v>
      </c>
      <c r="K776" s="823">
        <f t="shared" si="1766"/>
        <v>70308</v>
      </c>
      <c r="L776" s="393">
        <f t="shared" si="1766"/>
        <v>70776</v>
      </c>
      <c r="M776" s="393">
        <f t="shared" si="1766"/>
        <v>70970</v>
      </c>
      <c r="N776" s="393">
        <f t="shared" si="1766"/>
        <v>71036</v>
      </c>
      <c r="O776" s="393">
        <f t="shared" si="1766"/>
        <v>77909</v>
      </c>
      <c r="P776" s="823">
        <f t="shared" si="1766"/>
        <v>77909</v>
      </c>
      <c r="Q776" s="393">
        <f t="shared" si="1766"/>
        <v>83158</v>
      </c>
      <c r="R776" s="393">
        <f t="shared" si="1766"/>
        <v>82296</v>
      </c>
      <c r="S776" s="393">
        <f t="shared" si="1766"/>
        <v>82367</v>
      </c>
      <c r="T776" s="393">
        <f t="shared" si="1766"/>
        <v>85187</v>
      </c>
      <c r="U776" s="823">
        <f t="shared" si="1766"/>
        <v>85187</v>
      </c>
      <c r="V776" s="393">
        <f t="shared" si="1766"/>
        <v>83204</v>
      </c>
      <c r="W776" s="393">
        <f t="shared" si="1766"/>
        <v>88226</v>
      </c>
      <c r="X776" s="393">
        <f t="shared" si="1766"/>
        <v>87167</v>
      </c>
      <c r="Y776" s="393">
        <f t="shared" si="1766"/>
        <v>81571</v>
      </c>
      <c r="Z776" s="823">
        <f t="shared" si="1766"/>
        <v>81571</v>
      </c>
      <c r="AA776" s="393">
        <f t="shared" si="1766"/>
        <v>82895</v>
      </c>
      <c r="AB776" s="393">
        <f t="shared" si="1766"/>
        <v>79255</v>
      </c>
      <c r="AC776" s="393">
        <f t="shared" si="1766"/>
        <v>79026</v>
      </c>
      <c r="AD776" s="393">
        <f t="shared" si="1766"/>
        <v>76750</v>
      </c>
      <c r="AE776" s="823">
        <f t="shared" si="1766"/>
        <v>76750</v>
      </c>
      <c r="AF776" s="393">
        <f t="shared" si="1766"/>
        <v>74246</v>
      </c>
      <c r="AG776" s="393">
        <f t="shared" si="1766"/>
        <v>72687</v>
      </c>
      <c r="AH776" s="393">
        <f t="shared" si="1766"/>
        <v>72750</v>
      </c>
      <c r="AI776" s="393">
        <f t="shared" ref="AI776:BN776" si="1767">SUM(AI771:AI775)</f>
        <v>71050</v>
      </c>
      <c r="AJ776" s="823">
        <f t="shared" si="1767"/>
        <v>71050</v>
      </c>
      <c r="AK776" s="393">
        <f t="shared" si="1767"/>
        <v>70740</v>
      </c>
      <c r="AL776" s="393">
        <f t="shared" si="1767"/>
        <v>69598</v>
      </c>
      <c r="AM776" s="393">
        <f t="shared" si="1767"/>
        <v>69412</v>
      </c>
      <c r="AN776" s="393">
        <f t="shared" si="1767"/>
        <v>65690</v>
      </c>
      <c r="AO776" s="823">
        <f t="shared" si="1767"/>
        <v>65690</v>
      </c>
      <c r="AP776" s="393">
        <f t="shared" si="1767"/>
        <v>63528</v>
      </c>
      <c r="AQ776" s="393">
        <f t="shared" si="1767"/>
        <v>68192</v>
      </c>
      <c r="AR776" s="393">
        <f t="shared" si="1767"/>
        <v>71361</v>
      </c>
      <c r="AS776" s="393">
        <f t="shared" si="1767"/>
        <v>84881</v>
      </c>
      <c r="AT776" s="823">
        <f t="shared" si="1767"/>
        <v>84881</v>
      </c>
      <c r="AU776" s="393">
        <f t="shared" si="1767"/>
        <v>81232</v>
      </c>
      <c r="AV776" s="393">
        <f t="shared" si="1767"/>
        <v>80748</v>
      </c>
      <c r="AW776" s="393">
        <f t="shared" si="1767"/>
        <v>78038</v>
      </c>
      <c r="AX776" s="393">
        <f t="shared" si="1767"/>
        <v>72804</v>
      </c>
      <c r="AY776" s="823">
        <f t="shared" si="1767"/>
        <v>72804</v>
      </c>
      <c r="AZ776" s="393">
        <f t="shared" si="1767"/>
        <v>70745</v>
      </c>
      <c r="BA776" s="393">
        <f t="shared" si="1767"/>
        <v>64253</v>
      </c>
      <c r="BB776" s="393">
        <f t="shared" si="1767"/>
        <v>63225</v>
      </c>
      <c r="BC776" s="393">
        <f t="shared" si="1767"/>
        <v>63259</v>
      </c>
      <c r="BD776" s="823">
        <f t="shared" si="1767"/>
        <v>63259</v>
      </c>
      <c r="BE776" s="393">
        <f t="shared" si="1767"/>
        <v>61717</v>
      </c>
      <c r="BF776" s="393">
        <f t="shared" si="1767"/>
        <v>62634</v>
      </c>
      <c r="BG776" s="393">
        <f t="shared" si="1767"/>
        <v>64416</v>
      </c>
      <c r="BH776" s="393">
        <f t="shared" ref="BH776:BM776" si="1768">SUM(BH771:BH775)</f>
        <v>67445</v>
      </c>
      <c r="BI776" s="823">
        <f t="shared" si="1768"/>
        <v>67445</v>
      </c>
      <c r="BJ776" s="393">
        <f t="shared" si="1768"/>
        <v>67055</v>
      </c>
      <c r="BK776" s="393">
        <f t="shared" si="1768"/>
        <v>66354</v>
      </c>
      <c r="BL776" s="393">
        <f t="shared" si="1768"/>
        <v>66484</v>
      </c>
      <c r="BM776" s="393">
        <f t="shared" si="1768"/>
        <v>65223</v>
      </c>
      <c r="BN776" s="823">
        <f t="shared" si="1767"/>
        <v>65223</v>
      </c>
      <c r="BO776" s="393">
        <f t="shared" ref="BO776:BX776" si="1769">SUM(BO771:BO775)</f>
        <v>70615</v>
      </c>
      <c r="BP776" s="393">
        <f t="shared" si="1769"/>
        <v>68735</v>
      </c>
      <c r="BQ776" s="393">
        <f t="shared" si="1769"/>
        <v>95429</v>
      </c>
      <c r="BR776" s="393">
        <f t="shared" si="1769"/>
        <v>98449</v>
      </c>
      <c r="BS776" s="823">
        <f t="shared" si="1769"/>
        <v>98449</v>
      </c>
      <c r="BT776" s="641">
        <f>SUM(BT771:BT775)</f>
        <v>98004</v>
      </c>
      <c r="BU776" s="393">
        <f>SUM(BU771:BU775)</f>
        <v>99282.497687736992</v>
      </c>
      <c r="BV776" s="393">
        <f ca="1">SUM(BV771:BV775)</f>
        <v>100235.48345012602</v>
      </c>
      <c r="BW776" s="393">
        <f ca="1">SUM(BW771:BW775)</f>
        <v>100968.72014521644</v>
      </c>
      <c r="BX776" s="823">
        <f t="shared" ca="1" si="1769"/>
        <v>100968.72014521644</v>
      </c>
      <c r="BY776" s="393">
        <f t="shared" ref="BY776:CF776" ca="1" si="1770">SUM(BY771:BY775)</f>
        <v>101159.39276888767</v>
      </c>
      <c r="BZ776" s="393">
        <f t="shared" ca="1" si="1770"/>
        <v>101350.59611756192</v>
      </c>
      <c r="CA776" s="393">
        <f t="shared" ca="1" si="1770"/>
        <v>101547.02500551919</v>
      </c>
      <c r="CB776" s="393">
        <f t="shared" ca="1" si="1770"/>
        <v>101740.59066563644</v>
      </c>
      <c r="CC776" s="823">
        <f t="shared" ca="1" si="1770"/>
        <v>101740.59066563644</v>
      </c>
      <c r="CD776" s="823">
        <f t="shared" ca="1" si="1770"/>
        <v>102476.83131663644</v>
      </c>
      <c r="CE776" s="823">
        <f t="shared" ca="1" si="1770"/>
        <v>102809.83062688644</v>
      </c>
      <c r="CF776" s="823">
        <f t="shared" ca="1" si="1770"/>
        <v>103326.01532888644</v>
      </c>
      <c r="CG776" s="26"/>
    </row>
    <row r="777" spans="1:85" s="429" customFormat="1" x14ac:dyDescent="0.3">
      <c r="A777" s="48" t="s">
        <v>329</v>
      </c>
      <c r="B777" s="58"/>
      <c r="C777" s="825">
        <f t="shared" ref="C777:AH777" si="1771">C768+C776</f>
        <v>72060</v>
      </c>
      <c r="D777" s="825">
        <f t="shared" si="1771"/>
        <v>78958</v>
      </c>
      <c r="E777" s="825">
        <f t="shared" si="1771"/>
        <v>87293</v>
      </c>
      <c r="F777" s="825">
        <f t="shared" si="1771"/>
        <v>95150</v>
      </c>
      <c r="G777" s="31">
        <f t="shared" si="1771"/>
        <v>95924</v>
      </c>
      <c r="H777" s="31">
        <f t="shared" si="1771"/>
        <v>99884</v>
      </c>
      <c r="I777" s="31">
        <f t="shared" si="1771"/>
        <v>101765</v>
      </c>
      <c r="J777" s="31">
        <f t="shared" si="1771"/>
        <v>103326</v>
      </c>
      <c r="K777" s="825">
        <f t="shared" si="1771"/>
        <v>103326</v>
      </c>
      <c r="L777" s="31">
        <f t="shared" si="1771"/>
        <v>106428</v>
      </c>
      <c r="M777" s="31">
        <f t="shared" si="1771"/>
        <v>107298</v>
      </c>
      <c r="N777" s="31">
        <f t="shared" si="1771"/>
        <v>108124</v>
      </c>
      <c r="O777" s="31">
        <f t="shared" si="1771"/>
        <v>109835</v>
      </c>
      <c r="P777" s="825">
        <f t="shared" si="1771"/>
        <v>109835</v>
      </c>
      <c r="Q777" s="31">
        <f t="shared" si="1771"/>
        <v>112603</v>
      </c>
      <c r="R777" s="31">
        <f t="shared" si="1771"/>
        <v>110564</v>
      </c>
      <c r="S777" s="31">
        <f t="shared" si="1771"/>
        <v>112511</v>
      </c>
      <c r="T777" s="31">
        <f t="shared" si="1771"/>
        <v>110654</v>
      </c>
      <c r="U777" s="825">
        <f t="shared" si="1771"/>
        <v>110654</v>
      </c>
      <c r="V777" s="31">
        <f t="shared" si="1771"/>
        <v>112366</v>
      </c>
      <c r="W777" s="31">
        <f t="shared" si="1771"/>
        <v>113153</v>
      </c>
      <c r="X777" s="31">
        <f t="shared" si="1771"/>
        <v>111911</v>
      </c>
      <c r="Y777" s="31">
        <f t="shared" si="1771"/>
        <v>113356</v>
      </c>
      <c r="Z777" s="825">
        <f t="shared" si="1771"/>
        <v>113356</v>
      </c>
      <c r="AA777" s="31">
        <f t="shared" si="1771"/>
        <v>111321</v>
      </c>
      <c r="AB777" s="31">
        <f t="shared" si="1771"/>
        <v>107211</v>
      </c>
      <c r="AC777" s="31">
        <f t="shared" si="1771"/>
        <v>107249</v>
      </c>
      <c r="AD777" s="31">
        <f t="shared" si="1771"/>
        <v>104487</v>
      </c>
      <c r="AE777" s="825">
        <f t="shared" si="1771"/>
        <v>104487</v>
      </c>
      <c r="AF777" s="31">
        <f t="shared" si="1771"/>
        <v>104876</v>
      </c>
      <c r="AG777" s="31">
        <f t="shared" si="1771"/>
        <v>104549</v>
      </c>
      <c r="AH777" s="31">
        <f t="shared" si="1771"/>
        <v>101933</v>
      </c>
      <c r="AI777" s="31">
        <f t="shared" ref="AI777:BN777" si="1772">AI768+AI776</f>
        <v>98221</v>
      </c>
      <c r="AJ777" s="825">
        <f t="shared" si="1772"/>
        <v>98221</v>
      </c>
      <c r="AK777" s="31">
        <f t="shared" si="1772"/>
        <v>100691</v>
      </c>
      <c r="AL777" s="31">
        <f t="shared" si="1772"/>
        <v>98427</v>
      </c>
      <c r="AM777" s="31">
        <f t="shared" si="1772"/>
        <v>99645</v>
      </c>
      <c r="AN777" s="31">
        <f t="shared" si="1772"/>
        <v>92220</v>
      </c>
      <c r="AO777" s="825">
        <f t="shared" si="1772"/>
        <v>92220</v>
      </c>
      <c r="AP777" s="31">
        <f t="shared" si="1772"/>
        <v>91763</v>
      </c>
      <c r="AQ777" s="31">
        <f t="shared" si="1772"/>
        <v>89017</v>
      </c>
      <c r="AR777" s="31">
        <f t="shared" si="1772"/>
        <v>91025</v>
      </c>
      <c r="AS777" s="31">
        <f t="shared" si="1772"/>
        <v>107064</v>
      </c>
      <c r="AT777" s="825">
        <f t="shared" si="1772"/>
        <v>107064</v>
      </c>
      <c r="AU777" s="31">
        <f t="shared" si="1772"/>
        <v>108712</v>
      </c>
      <c r="AV777" s="31">
        <f t="shared" si="1772"/>
        <v>108895</v>
      </c>
      <c r="AW777" s="31">
        <f t="shared" si="1772"/>
        <v>103226</v>
      </c>
      <c r="AX777" s="31">
        <f t="shared" si="1772"/>
        <v>99595</v>
      </c>
      <c r="AY777" s="825">
        <f t="shared" si="1772"/>
        <v>99595</v>
      </c>
      <c r="AZ777" s="31">
        <f t="shared" si="1772"/>
        <v>101948</v>
      </c>
      <c r="BA777" s="31">
        <f t="shared" si="1772"/>
        <v>103374</v>
      </c>
      <c r="BB777" s="31">
        <f t="shared" si="1772"/>
        <v>100108</v>
      </c>
      <c r="BC777" s="31">
        <f t="shared" si="1772"/>
        <v>97467</v>
      </c>
      <c r="BD777" s="825">
        <f t="shared" si="1772"/>
        <v>97467</v>
      </c>
      <c r="BE777" s="31">
        <f t="shared" si="1772"/>
        <v>95452</v>
      </c>
      <c r="BF777" s="31">
        <f t="shared" si="1772"/>
        <v>92481</v>
      </c>
      <c r="BG777" s="31">
        <f t="shared" si="1772"/>
        <v>97679</v>
      </c>
      <c r="BH777" s="31">
        <f t="shared" ref="BH777:BM777" si="1773">BH768+BH776</f>
        <v>99703</v>
      </c>
      <c r="BI777" s="825">
        <f t="shared" si="1773"/>
        <v>99703</v>
      </c>
      <c r="BJ777" s="31">
        <f t="shared" si="1773"/>
        <v>99995</v>
      </c>
      <c r="BK777" s="31">
        <f t="shared" si="1773"/>
        <v>100381</v>
      </c>
      <c r="BL777" s="31">
        <f t="shared" si="1773"/>
        <v>102202</v>
      </c>
      <c r="BM777" s="31">
        <f t="shared" si="1773"/>
        <v>103781</v>
      </c>
      <c r="BN777" s="825">
        <f t="shared" si="1772"/>
        <v>103781</v>
      </c>
      <c r="BO777" s="31">
        <f t="shared" ref="BO777:BX777" si="1774">BO768+BO776</f>
        <v>106317</v>
      </c>
      <c r="BP777" s="31">
        <f t="shared" si="1774"/>
        <v>103562</v>
      </c>
      <c r="BQ777" s="31">
        <f t="shared" si="1774"/>
        <v>130901</v>
      </c>
      <c r="BR777" s="31">
        <f t="shared" si="1774"/>
        <v>131836</v>
      </c>
      <c r="BS777" s="825">
        <f t="shared" si="1774"/>
        <v>131836</v>
      </c>
      <c r="BT777" s="379">
        <f>BT768+BT776</f>
        <v>140180</v>
      </c>
      <c r="BU777" s="31">
        <f>BU768+BU776</f>
        <v>141458.49768773699</v>
      </c>
      <c r="BV777" s="31">
        <f ca="1">BV768+BV776</f>
        <v>142411.48345012602</v>
      </c>
      <c r="BW777" s="31">
        <f ca="1">BW768+BW776</f>
        <v>143144.72014521644</v>
      </c>
      <c r="BX777" s="825">
        <f t="shared" ca="1" si="1774"/>
        <v>143144.72014521644</v>
      </c>
      <c r="BY777" s="31">
        <f t="shared" ref="BY777:CF777" ca="1" si="1775">BY768+BY776</f>
        <v>143335.39276888769</v>
      </c>
      <c r="BZ777" s="31">
        <f t="shared" ca="1" si="1775"/>
        <v>143526.59611756192</v>
      </c>
      <c r="CA777" s="31">
        <f t="shared" ca="1" si="1775"/>
        <v>143723.02500551919</v>
      </c>
      <c r="CB777" s="31">
        <f t="shared" ca="1" si="1775"/>
        <v>143916.59066563644</v>
      </c>
      <c r="CC777" s="825">
        <f t="shared" ca="1" si="1775"/>
        <v>143916.59066563644</v>
      </c>
      <c r="CD777" s="825">
        <f t="shared" ca="1" si="1775"/>
        <v>144652.83131663644</v>
      </c>
      <c r="CE777" s="825">
        <f t="shared" ca="1" si="1775"/>
        <v>144985.83062688645</v>
      </c>
      <c r="CF777" s="825">
        <f t="shared" ca="1" si="1775"/>
        <v>145502.01532888645</v>
      </c>
      <c r="CG777" s="26"/>
    </row>
    <row r="778" spans="1:85" s="429" customFormat="1" x14ac:dyDescent="0.3">
      <c r="A778" s="48"/>
      <c r="B778" s="58"/>
      <c r="C778" s="825"/>
      <c r="D778" s="825"/>
      <c r="E778" s="825"/>
      <c r="F778" s="825"/>
      <c r="G778" s="31"/>
      <c r="H778" s="31"/>
      <c r="I778" s="31"/>
      <c r="J778" s="31"/>
      <c r="K778" s="825"/>
      <c r="L778" s="31"/>
      <c r="M778" s="31"/>
      <c r="N778" s="31"/>
      <c r="O778" s="31"/>
      <c r="P778" s="825"/>
      <c r="Q778" s="31"/>
      <c r="R778" s="31"/>
      <c r="S778" s="31"/>
      <c r="T778" s="31"/>
      <c r="U778" s="825"/>
      <c r="V778" s="31"/>
      <c r="W778" s="31"/>
      <c r="X778" s="31"/>
      <c r="Y778" s="31"/>
      <c r="Z778" s="825"/>
      <c r="AA778" s="31"/>
      <c r="AB778" s="31"/>
      <c r="AC778" s="31"/>
      <c r="AD778" s="31"/>
      <c r="AE778" s="825"/>
      <c r="AF778" s="31"/>
      <c r="AG778" s="31"/>
      <c r="AH778" s="31"/>
      <c r="AI778" s="31"/>
      <c r="AJ778" s="825"/>
      <c r="AK778" s="31"/>
      <c r="AL778" s="31"/>
      <c r="AM778" s="31"/>
      <c r="AN778" s="31"/>
      <c r="AO778" s="825"/>
      <c r="AP778" s="31"/>
      <c r="AQ778" s="31"/>
      <c r="AR778" s="31"/>
      <c r="AS778" s="31"/>
      <c r="AT778" s="825"/>
      <c r="AU778" s="31"/>
      <c r="AV778" s="31"/>
      <c r="AW778" s="31"/>
      <c r="AX778" s="31"/>
      <c r="AY778" s="825"/>
      <c r="AZ778" s="31"/>
      <c r="BA778" s="31"/>
      <c r="BB778" s="31"/>
      <c r="BC778" s="31"/>
      <c r="BD778" s="825"/>
      <c r="BE778" s="31"/>
      <c r="BF778" s="31"/>
      <c r="BG778" s="31"/>
      <c r="BH778" s="31"/>
      <c r="BI778" s="825"/>
      <c r="BJ778" s="31"/>
      <c r="BK778" s="31"/>
      <c r="BL778" s="31"/>
      <c r="BM778" s="31"/>
      <c r="BN778" s="825"/>
      <c r="BO778" s="31"/>
      <c r="BP778" s="31"/>
      <c r="BQ778" s="31"/>
      <c r="BR778" s="31"/>
      <c r="BS778" s="825"/>
      <c r="BT778" s="379"/>
      <c r="BU778" s="31"/>
      <c r="BV778" s="31"/>
      <c r="BW778" s="31"/>
      <c r="BX778" s="825"/>
      <c r="BY778" s="31"/>
      <c r="BZ778" s="31"/>
      <c r="CA778" s="31"/>
      <c r="CB778" s="31"/>
      <c r="CC778" s="825"/>
      <c r="CD778" s="825"/>
      <c r="CE778" s="825"/>
      <c r="CF778" s="825"/>
      <c r="CG778" s="26"/>
    </row>
    <row r="779" spans="1:85" s="429" customFormat="1" x14ac:dyDescent="0.3">
      <c r="A779" s="395" t="s">
        <v>330</v>
      </c>
      <c r="B779" s="58"/>
      <c r="C779" s="825"/>
      <c r="D779" s="825"/>
      <c r="E779" s="825"/>
      <c r="F779" s="825"/>
      <c r="G779" s="31"/>
      <c r="H779" s="31"/>
      <c r="I779" s="31"/>
      <c r="J779" s="31"/>
      <c r="K779" s="825"/>
      <c r="L779" s="31"/>
      <c r="M779" s="31"/>
      <c r="N779" s="31"/>
      <c r="O779" s="31"/>
      <c r="P779" s="825"/>
      <c r="Q779" s="31"/>
      <c r="R779" s="31"/>
      <c r="S779" s="31"/>
      <c r="T779" s="31"/>
      <c r="U779" s="825"/>
      <c r="V779" s="31"/>
      <c r="W779" s="31"/>
      <c r="X779" s="31"/>
      <c r="Y779" s="31"/>
      <c r="Z779" s="825"/>
      <c r="AA779" s="31"/>
      <c r="AB779" s="31"/>
      <c r="AC779" s="31"/>
      <c r="AD779" s="31"/>
      <c r="AE779" s="825"/>
      <c r="AF779" s="31"/>
      <c r="AG779" s="31"/>
      <c r="AH779" s="31"/>
      <c r="AI779" s="31"/>
      <c r="AJ779" s="825"/>
      <c r="AK779" s="31"/>
      <c r="AL779" s="31"/>
      <c r="AM779" s="31"/>
      <c r="AN779" s="31"/>
      <c r="AO779" s="825"/>
      <c r="AP779" s="31"/>
      <c r="AQ779" s="31"/>
      <c r="AR779" s="31"/>
      <c r="AS779" s="31"/>
      <c r="AT779" s="825"/>
      <c r="AU779" s="31"/>
      <c r="AV779" s="31"/>
      <c r="AW779" s="31"/>
      <c r="AX779" s="31"/>
      <c r="AY779" s="825"/>
      <c r="AZ779" s="31"/>
      <c r="BA779" s="31"/>
      <c r="BB779" s="31"/>
      <c r="BC779" s="31"/>
      <c r="BD779" s="825"/>
      <c r="BE779" s="31"/>
      <c r="BF779" s="31"/>
      <c r="BG779" s="31"/>
      <c r="BH779" s="31"/>
      <c r="BI779" s="825"/>
      <c r="BJ779" s="31"/>
      <c r="BK779" s="31"/>
      <c r="BL779" s="31"/>
      <c r="BM779" s="31"/>
      <c r="BN779" s="825"/>
      <c r="BO779" s="31"/>
      <c r="BP779" s="31"/>
      <c r="BQ779" s="31"/>
      <c r="BR779" s="31"/>
      <c r="BS779" s="825"/>
      <c r="BT779" s="379"/>
      <c r="BU779" s="31"/>
      <c r="BV779" s="31"/>
      <c r="BW779" s="31"/>
      <c r="BX779" s="825"/>
      <c r="BY779" s="31"/>
      <c r="BZ779" s="31"/>
      <c r="CA779" s="31"/>
      <c r="CB779" s="31"/>
      <c r="CC779" s="825"/>
      <c r="CD779" s="825"/>
      <c r="CE779" s="825"/>
      <c r="CF779" s="825"/>
      <c r="CG779" s="26"/>
    </row>
    <row r="780" spans="1:85" s="428" customFormat="1" x14ac:dyDescent="0.3">
      <c r="A780" s="43" t="s">
        <v>331</v>
      </c>
      <c r="B780" s="109"/>
      <c r="C780" s="827">
        <v>0</v>
      </c>
      <c r="D780" s="827">
        <v>0</v>
      </c>
      <c r="E780" s="827">
        <v>0</v>
      </c>
      <c r="F780" s="827">
        <v>0</v>
      </c>
      <c r="G780" s="763">
        <v>0</v>
      </c>
      <c r="H780" s="763">
        <v>0</v>
      </c>
      <c r="I780" s="763">
        <v>0</v>
      </c>
      <c r="J780" s="763">
        <v>0</v>
      </c>
      <c r="K780" s="821">
        <f t="shared" ref="K780:K786" si="1776">J780</f>
        <v>0</v>
      </c>
      <c r="L780" s="763">
        <v>0</v>
      </c>
      <c r="M780" s="763">
        <v>0</v>
      </c>
      <c r="N780" s="763">
        <v>0</v>
      </c>
      <c r="O780" s="763">
        <v>0</v>
      </c>
      <c r="P780" s="821">
        <f t="shared" ref="P780:P786" si="1777">O780</f>
        <v>0</v>
      </c>
      <c r="Q780" s="763">
        <v>0</v>
      </c>
      <c r="R780" s="763">
        <v>0</v>
      </c>
      <c r="S780" s="763">
        <v>0</v>
      </c>
      <c r="T780" s="763">
        <v>0</v>
      </c>
      <c r="U780" s="821">
        <f t="shared" ref="U780:U786" si="1778">T780</f>
        <v>0</v>
      </c>
      <c r="V780" s="763">
        <v>0</v>
      </c>
      <c r="W780" s="763">
        <v>0</v>
      </c>
      <c r="X780" s="763">
        <v>0</v>
      </c>
      <c r="Y780" s="37">
        <f t="shared" ref="Y780:Y786" si="1779">Z780</f>
        <v>0</v>
      </c>
      <c r="Z780" s="827">
        <v>0</v>
      </c>
      <c r="AA780" s="763">
        <v>0</v>
      </c>
      <c r="AB780" s="37"/>
      <c r="AC780" s="763">
        <v>0</v>
      </c>
      <c r="AD780" s="37">
        <f t="shared" ref="AD780:AD786" si="1780">AE780</f>
        <v>0</v>
      </c>
      <c r="AE780" s="821"/>
      <c r="AF780" s="37"/>
      <c r="AG780" s="37"/>
      <c r="AH780" s="37"/>
      <c r="AI780" s="37"/>
      <c r="AJ780" s="821"/>
      <c r="AK780" s="37"/>
      <c r="AL780" s="37"/>
      <c r="AM780" s="37"/>
      <c r="AN780" s="37"/>
      <c r="AO780" s="821"/>
      <c r="AP780" s="37"/>
      <c r="AQ780" s="37"/>
      <c r="AR780" s="37"/>
      <c r="AS780" s="37"/>
      <c r="AT780" s="821"/>
      <c r="AU780" s="37"/>
      <c r="AV780" s="37"/>
      <c r="AW780" s="37"/>
      <c r="AX780" s="37"/>
      <c r="AY780" s="821"/>
      <c r="AZ780" s="37"/>
      <c r="BA780" s="37"/>
      <c r="BB780" s="37"/>
      <c r="BC780" s="37"/>
      <c r="BD780" s="821"/>
      <c r="BE780" s="37"/>
      <c r="BF780" s="37"/>
      <c r="BG780" s="37"/>
      <c r="BH780" s="37"/>
      <c r="BI780" s="821"/>
      <c r="BJ780" s="37"/>
      <c r="BK780" s="37"/>
      <c r="BL780" s="37"/>
      <c r="BM780" s="37"/>
      <c r="BN780" s="821"/>
      <c r="BO780" s="37"/>
      <c r="BP780" s="37"/>
      <c r="BQ780" s="37"/>
      <c r="BR780" s="37"/>
      <c r="BS780" s="821"/>
      <c r="BT780" s="480"/>
      <c r="BU780" s="37"/>
      <c r="BV780" s="37"/>
      <c r="BW780" s="37"/>
      <c r="BX780" s="821"/>
      <c r="BY780" s="37"/>
      <c r="BZ780" s="37"/>
      <c r="CA780" s="37"/>
      <c r="CB780" s="37"/>
      <c r="CC780" s="821"/>
      <c r="CD780" s="821"/>
      <c r="CE780" s="821"/>
      <c r="CF780" s="821"/>
      <c r="CG780" s="22"/>
    </row>
    <row r="781" spans="1:85" s="428" customFormat="1" x14ac:dyDescent="0.3">
      <c r="A781" s="43" t="s">
        <v>332</v>
      </c>
      <c r="B781" s="109"/>
      <c r="C781" s="827">
        <v>1832</v>
      </c>
      <c r="D781" s="827">
        <v>1832</v>
      </c>
      <c r="E781" s="827">
        <v>1832</v>
      </c>
      <c r="F781" s="827">
        <v>1832</v>
      </c>
      <c r="G781" s="763">
        <v>1832</v>
      </c>
      <c r="H781" s="763">
        <v>1832</v>
      </c>
      <c r="I781" s="763">
        <v>1832</v>
      </c>
      <c r="J781" s="763">
        <v>1832</v>
      </c>
      <c r="K781" s="821">
        <f t="shared" si="1776"/>
        <v>1832</v>
      </c>
      <c r="L781" s="763">
        <v>1832</v>
      </c>
      <c r="M781" s="763">
        <v>1832</v>
      </c>
      <c r="N781" s="763">
        <v>1832</v>
      </c>
      <c r="O781" s="763">
        <v>1832</v>
      </c>
      <c r="P781" s="821">
        <f t="shared" si="1777"/>
        <v>1832</v>
      </c>
      <c r="Q781" s="763">
        <v>1832</v>
      </c>
      <c r="R781" s="763">
        <v>1832</v>
      </c>
      <c r="S781" s="763">
        <v>1832</v>
      </c>
      <c r="T781" s="763">
        <v>1832</v>
      </c>
      <c r="U781" s="821">
        <f t="shared" si="1778"/>
        <v>1832</v>
      </c>
      <c r="V781" s="763">
        <v>1832</v>
      </c>
      <c r="W781" s="763">
        <v>1832</v>
      </c>
      <c r="X781" s="763">
        <v>1832</v>
      </c>
      <c r="Y781" s="37">
        <f t="shared" si="1779"/>
        <v>1832</v>
      </c>
      <c r="Z781" s="827">
        <v>1832</v>
      </c>
      <c r="AA781" s="763">
        <v>1832</v>
      </c>
      <c r="AB781" s="763">
        <v>1832</v>
      </c>
      <c r="AC781" s="763">
        <v>1832</v>
      </c>
      <c r="AD781" s="37">
        <f t="shared" si="1780"/>
        <v>1832</v>
      </c>
      <c r="AE781" s="827">
        <v>1832</v>
      </c>
      <c r="AF781" s="763">
        <v>1832</v>
      </c>
      <c r="AG781" s="763">
        <v>1832</v>
      </c>
      <c r="AH781" s="763">
        <v>1832</v>
      </c>
      <c r="AI781" s="37">
        <f t="shared" ref="AI781:AI786" si="1781">AJ781</f>
        <v>1832</v>
      </c>
      <c r="AJ781" s="827">
        <v>1832</v>
      </c>
      <c r="AK781" s="763">
        <v>1832</v>
      </c>
      <c r="AL781" s="763">
        <v>1832</v>
      </c>
      <c r="AM781" s="763">
        <v>1832</v>
      </c>
      <c r="AN781" s="37">
        <f t="shared" ref="AN781:AN786" si="1782">AO781</f>
        <v>1832</v>
      </c>
      <c r="AO781" s="827">
        <v>1832</v>
      </c>
      <c r="AP781" s="763">
        <v>1832</v>
      </c>
      <c r="AQ781" s="763">
        <v>1832</v>
      </c>
      <c r="AR781" s="763">
        <v>1832</v>
      </c>
      <c r="AS781" s="763">
        <v>1832</v>
      </c>
      <c r="AT781" s="821">
        <f t="shared" ref="AT781:AT786" si="1783">AS781</f>
        <v>1832</v>
      </c>
      <c r="AU781" s="763">
        <v>1832</v>
      </c>
      <c r="AV781" s="763">
        <v>1832</v>
      </c>
      <c r="AW781" s="763">
        <v>1832</v>
      </c>
      <c r="AX781" s="763">
        <v>1832</v>
      </c>
      <c r="AY781" s="821">
        <f t="shared" ref="AY781:AY786" si="1784">AX781</f>
        <v>1832</v>
      </c>
      <c r="AZ781" s="763">
        <v>1832</v>
      </c>
      <c r="BA781" s="763">
        <v>1832</v>
      </c>
      <c r="BB781" s="763">
        <v>1832</v>
      </c>
      <c r="BC781" s="763">
        <v>1832</v>
      </c>
      <c r="BD781" s="821">
        <f t="shared" ref="BD781:BD786" si="1785">BC781</f>
        <v>1832</v>
      </c>
      <c r="BE781" s="763">
        <v>1832</v>
      </c>
      <c r="BF781" s="763">
        <v>1832</v>
      </c>
      <c r="BG781" s="763">
        <v>1832</v>
      </c>
      <c r="BH781" s="763">
        <v>1832</v>
      </c>
      <c r="BI781" s="821">
        <f t="shared" ref="BI781:BI786" si="1786">BH781</f>
        <v>1832</v>
      </c>
      <c r="BJ781" s="763">
        <v>1832</v>
      </c>
      <c r="BK781" s="763">
        <v>1832</v>
      </c>
      <c r="BL781" s="763">
        <v>1832</v>
      </c>
      <c r="BM781" s="763">
        <v>1832</v>
      </c>
      <c r="BN781" s="821">
        <f t="shared" ref="BN781:BN786" si="1787">BM781</f>
        <v>1832</v>
      </c>
      <c r="BO781" s="763">
        <v>1832</v>
      </c>
      <c r="BP781" s="763">
        <v>1832</v>
      </c>
      <c r="BQ781" s="763">
        <v>1832</v>
      </c>
      <c r="BR781" s="763">
        <v>1832</v>
      </c>
      <c r="BS781" s="821">
        <f t="shared" ref="BS781:BS786" si="1788">BR781</f>
        <v>1832</v>
      </c>
      <c r="BT781" s="764">
        <v>1832</v>
      </c>
      <c r="BU781" s="37">
        <f t="shared" ref="BU781:CF781" si="1789">BT781</f>
        <v>1832</v>
      </c>
      <c r="BV781" s="37">
        <f t="shared" si="1789"/>
        <v>1832</v>
      </c>
      <c r="BW781" s="37">
        <f t="shared" si="1789"/>
        <v>1832</v>
      </c>
      <c r="BX781" s="821">
        <f t="shared" si="1789"/>
        <v>1832</v>
      </c>
      <c r="BY781" s="37">
        <f t="shared" si="1789"/>
        <v>1832</v>
      </c>
      <c r="BZ781" s="37">
        <f t="shared" si="1789"/>
        <v>1832</v>
      </c>
      <c r="CA781" s="37">
        <f t="shared" si="1789"/>
        <v>1832</v>
      </c>
      <c r="CB781" s="37">
        <f t="shared" si="1789"/>
        <v>1832</v>
      </c>
      <c r="CC781" s="821">
        <f t="shared" si="1789"/>
        <v>1832</v>
      </c>
      <c r="CD781" s="821">
        <f t="shared" si="1789"/>
        <v>1832</v>
      </c>
      <c r="CE781" s="821">
        <f t="shared" si="1789"/>
        <v>1832</v>
      </c>
      <c r="CF781" s="821">
        <f t="shared" si="1789"/>
        <v>1832</v>
      </c>
      <c r="CG781" s="22"/>
    </row>
    <row r="782" spans="1:85" s="428" customFormat="1" x14ac:dyDescent="0.3">
      <c r="A782" s="43" t="s">
        <v>333</v>
      </c>
      <c r="B782" s="109"/>
      <c r="C782" s="827">
        <v>14631</v>
      </c>
      <c r="D782" s="827">
        <v>14796</v>
      </c>
      <c r="E782" s="827">
        <v>15156</v>
      </c>
      <c r="F782" s="827">
        <v>15497</v>
      </c>
      <c r="G782" s="763">
        <v>15585</v>
      </c>
      <c r="H782" s="763">
        <v>15677</v>
      </c>
      <c r="I782" s="763">
        <v>15631</v>
      </c>
      <c r="J782" s="763">
        <v>15713</v>
      </c>
      <c r="K782" s="821">
        <f t="shared" si="1776"/>
        <v>15713</v>
      </c>
      <c r="L782" s="763">
        <v>15790</v>
      </c>
      <c r="M782" s="763">
        <v>15890</v>
      </c>
      <c r="N782" s="763">
        <v>15967</v>
      </c>
      <c r="O782" s="763">
        <v>16041</v>
      </c>
      <c r="P782" s="821">
        <f t="shared" si="1777"/>
        <v>16041</v>
      </c>
      <c r="Q782" s="763">
        <v>16105</v>
      </c>
      <c r="R782" s="763">
        <v>16174</v>
      </c>
      <c r="S782" s="763">
        <v>16254.000000000002</v>
      </c>
      <c r="T782" s="763">
        <v>16329.999999999998</v>
      </c>
      <c r="U782" s="821">
        <f t="shared" si="1778"/>
        <v>16329.999999999998</v>
      </c>
      <c r="V782" s="763">
        <v>16361.999999999998</v>
      </c>
      <c r="W782" s="763">
        <v>16436</v>
      </c>
      <c r="X782" s="763">
        <v>16512</v>
      </c>
      <c r="Y782" s="37">
        <f t="shared" si="1779"/>
        <v>16595</v>
      </c>
      <c r="Z782" s="827">
        <v>16595</v>
      </c>
      <c r="AA782" s="763">
        <v>16631</v>
      </c>
      <c r="AB782" s="763">
        <v>16668</v>
      </c>
      <c r="AC782" s="763">
        <v>16745</v>
      </c>
      <c r="AD782" s="37">
        <f t="shared" si="1780"/>
        <v>16848</v>
      </c>
      <c r="AE782" s="827">
        <v>16848</v>
      </c>
      <c r="AF782" s="763">
        <v>16963</v>
      </c>
      <c r="AG782" s="763">
        <v>17040</v>
      </c>
      <c r="AH782" s="763">
        <v>17080</v>
      </c>
      <c r="AI782" s="37">
        <f t="shared" si="1781"/>
        <v>17112</v>
      </c>
      <c r="AJ782" s="827">
        <v>17112</v>
      </c>
      <c r="AK782" s="763">
        <v>17146</v>
      </c>
      <c r="AL782" s="763">
        <v>17184</v>
      </c>
      <c r="AM782" s="763">
        <v>17235</v>
      </c>
      <c r="AN782" s="37">
        <f t="shared" si="1782"/>
        <v>17265</v>
      </c>
      <c r="AO782" s="827">
        <v>17265</v>
      </c>
      <c r="AP782" s="763">
        <v>17275</v>
      </c>
      <c r="AQ782" s="763">
        <v>17297</v>
      </c>
      <c r="AR782" s="763">
        <v>17318</v>
      </c>
      <c r="AS782" s="763">
        <v>16829</v>
      </c>
      <c r="AT782" s="821">
        <f t="shared" si="1783"/>
        <v>16829</v>
      </c>
      <c r="AU782" s="763">
        <v>16866</v>
      </c>
      <c r="AV782" s="763">
        <v>17044</v>
      </c>
      <c r="AW782" s="763">
        <v>17062</v>
      </c>
      <c r="AX782" s="763">
        <v>17282</v>
      </c>
      <c r="AY782" s="821">
        <f t="shared" si="1784"/>
        <v>17282</v>
      </c>
      <c r="AZ782" s="763">
        <v>18378</v>
      </c>
      <c r="BA782" s="763">
        <v>18559</v>
      </c>
      <c r="BB782" s="763">
        <v>18587</v>
      </c>
      <c r="BC782" s="763">
        <v>18660</v>
      </c>
      <c r="BD782" s="821">
        <f t="shared" si="1785"/>
        <v>18660</v>
      </c>
      <c r="BE782" s="763">
        <v>18714</v>
      </c>
      <c r="BF782" s="763">
        <v>18758</v>
      </c>
      <c r="BG782" s="763">
        <v>21317</v>
      </c>
      <c r="BH782" s="763">
        <v>21365</v>
      </c>
      <c r="BI782" s="821">
        <f t="shared" si="1786"/>
        <v>21365</v>
      </c>
      <c r="BJ782" s="763">
        <v>21443</v>
      </c>
      <c r="BK782" s="763">
        <v>21495</v>
      </c>
      <c r="BL782" s="763">
        <v>21578</v>
      </c>
      <c r="BM782" s="763">
        <v>21671</v>
      </c>
      <c r="BN782" s="821">
        <f t="shared" si="1787"/>
        <v>21671</v>
      </c>
      <c r="BO782" s="763">
        <v>21719</v>
      </c>
      <c r="BP782" s="763">
        <v>21803</v>
      </c>
      <c r="BQ782" s="763">
        <v>33812</v>
      </c>
      <c r="BR782" s="763">
        <v>33886</v>
      </c>
      <c r="BS782" s="821">
        <f t="shared" si="1788"/>
        <v>33886</v>
      </c>
      <c r="BT782" s="764">
        <v>33886</v>
      </c>
      <c r="BU782" s="37">
        <f>BT782+BU694</f>
        <v>33886</v>
      </c>
      <c r="BV782" s="37">
        <f>BU782+BV694</f>
        <v>33886</v>
      </c>
      <c r="BW782" s="37">
        <f>BV782+BW694</f>
        <v>33886</v>
      </c>
      <c r="BX782" s="821">
        <f>BW782</f>
        <v>33886</v>
      </c>
      <c r="BY782" s="37">
        <f>BX782+BY694</f>
        <v>33886</v>
      </c>
      <c r="BZ782" s="37">
        <f>BY782+BZ694</f>
        <v>33886</v>
      </c>
      <c r="CA782" s="37">
        <f>BZ782+CA694</f>
        <v>33886</v>
      </c>
      <c r="CB782" s="37">
        <f>CA782+CB694</f>
        <v>33886</v>
      </c>
      <c r="CC782" s="821">
        <f>CB782</f>
        <v>33886</v>
      </c>
      <c r="CD782" s="821">
        <f>CC782+CD694</f>
        <v>33886</v>
      </c>
      <c r="CE782" s="821">
        <f>CD782+CE694</f>
        <v>33886</v>
      </c>
      <c r="CF782" s="821">
        <f>CE782+CF694</f>
        <v>33886</v>
      </c>
      <c r="CG782" s="22"/>
    </row>
    <row r="783" spans="1:85" s="428" customFormat="1" x14ac:dyDescent="0.3">
      <c r="A783" s="43" t="s">
        <v>334</v>
      </c>
      <c r="B783" s="109"/>
      <c r="C783" s="827">
        <v>106289</v>
      </c>
      <c r="D783" s="827">
        <v>119641</v>
      </c>
      <c r="E783" s="827">
        <v>140399</v>
      </c>
      <c r="F783" s="827">
        <v>159730</v>
      </c>
      <c r="G783" s="763">
        <v>164173</v>
      </c>
      <c r="H783" s="763">
        <v>167615</v>
      </c>
      <c r="I783" s="763">
        <v>170651</v>
      </c>
      <c r="J783" s="763">
        <v>173677</v>
      </c>
      <c r="K783" s="821">
        <f t="shared" si="1776"/>
        <v>173677</v>
      </c>
      <c r="L783" s="763">
        <v>176294</v>
      </c>
      <c r="M783" s="763">
        <v>179939</v>
      </c>
      <c r="N783" s="763">
        <v>183519</v>
      </c>
      <c r="O783" s="763">
        <v>184987</v>
      </c>
      <c r="P783" s="821">
        <f t="shared" si="1777"/>
        <v>184987</v>
      </c>
      <c r="Q783" s="763">
        <v>185557</v>
      </c>
      <c r="R783" s="763">
        <v>184129</v>
      </c>
      <c r="S783" s="763">
        <v>184167</v>
      </c>
      <c r="T783" s="763">
        <v>181578</v>
      </c>
      <c r="U783" s="821">
        <f t="shared" si="1778"/>
        <v>181578</v>
      </c>
      <c r="V783" s="763">
        <v>178853</v>
      </c>
      <c r="W783" s="763">
        <v>175379</v>
      </c>
      <c r="X783" s="763">
        <v>174657</v>
      </c>
      <c r="Y783" s="37">
        <f t="shared" si="1779"/>
        <v>173046</v>
      </c>
      <c r="Z783" s="827">
        <v>173046</v>
      </c>
      <c r="AA783" s="763">
        <v>173698</v>
      </c>
      <c r="AB783" s="763">
        <v>173116</v>
      </c>
      <c r="AC783" s="763">
        <v>173035</v>
      </c>
      <c r="AD783" s="37">
        <f t="shared" si="1780"/>
        <v>174106</v>
      </c>
      <c r="AE783" s="827">
        <v>174106</v>
      </c>
      <c r="AF783" s="763">
        <v>175619</v>
      </c>
      <c r="AG783" s="763">
        <v>176899</v>
      </c>
      <c r="AH783" s="763">
        <v>178816</v>
      </c>
      <c r="AI783" s="37">
        <f t="shared" si="1781"/>
        <v>180987</v>
      </c>
      <c r="AJ783" s="827">
        <v>180987</v>
      </c>
      <c r="AK783" s="763">
        <v>181387</v>
      </c>
      <c r="AL783" s="763">
        <v>183442</v>
      </c>
      <c r="AM783" s="763">
        <v>183783</v>
      </c>
      <c r="AN783" s="37">
        <f t="shared" si="1782"/>
        <v>174945</v>
      </c>
      <c r="AO783" s="827">
        <v>174945</v>
      </c>
      <c r="AP783" s="763">
        <v>176113</v>
      </c>
      <c r="AQ783" s="763">
        <v>166122</v>
      </c>
      <c r="AR783" s="763">
        <v>163509</v>
      </c>
      <c r="AS783" s="763">
        <v>160377</v>
      </c>
      <c r="AT783" s="821">
        <f t="shared" si="1783"/>
        <v>160377</v>
      </c>
      <c r="AU783" s="763">
        <v>159285</v>
      </c>
      <c r="AV783" s="763">
        <v>159640</v>
      </c>
      <c r="AW783" s="763">
        <v>163044</v>
      </c>
      <c r="AX783" s="763">
        <v>165546</v>
      </c>
      <c r="AY783" s="821">
        <f t="shared" si="1784"/>
        <v>165546</v>
      </c>
      <c r="AZ783" s="763">
        <v>169059</v>
      </c>
      <c r="BA783" s="763">
        <v>177909</v>
      </c>
      <c r="BB783" s="763">
        <v>186394</v>
      </c>
      <c r="BC783" s="763">
        <v>190024</v>
      </c>
      <c r="BD783" s="821">
        <f t="shared" si="1785"/>
        <v>190024</v>
      </c>
      <c r="BE783" s="763">
        <v>193738</v>
      </c>
      <c r="BF783" s="763">
        <v>196926</v>
      </c>
      <c r="BG783" s="763">
        <v>200593</v>
      </c>
      <c r="BH783" s="763">
        <v>200025</v>
      </c>
      <c r="BI783" s="821">
        <f t="shared" si="1786"/>
        <v>200025</v>
      </c>
      <c r="BJ783" s="763">
        <v>202514</v>
      </c>
      <c r="BK783" s="763">
        <v>203960</v>
      </c>
      <c r="BL783" s="763">
        <v>205503</v>
      </c>
      <c r="BM783" s="763">
        <v>205852</v>
      </c>
      <c r="BN783" s="821">
        <f t="shared" si="1787"/>
        <v>205852</v>
      </c>
      <c r="BO783" s="763">
        <v>206359</v>
      </c>
      <c r="BP783" s="763">
        <v>205905</v>
      </c>
      <c r="BQ783" s="763">
        <v>206006</v>
      </c>
      <c r="BR783" s="763">
        <v>205365</v>
      </c>
      <c r="BS783" s="821">
        <f t="shared" si="1788"/>
        <v>205365</v>
      </c>
      <c r="BT783" s="764">
        <v>204039</v>
      </c>
      <c r="BU783" s="37">
        <f ca="1">BT783+BU681+BU715-BU518</f>
        <v>210405.78338727189</v>
      </c>
      <c r="BV783" s="37">
        <f ca="1">BU783+BV681+BV715-BV518</f>
        <v>214263.31962336751</v>
      </c>
      <c r="BW783" s="37">
        <f ca="1">BV783+BW681+BW715-BW518</f>
        <v>217334.34645676176</v>
      </c>
      <c r="BX783" s="821">
        <f ca="1">BW783</f>
        <v>217334.34645676176</v>
      </c>
      <c r="BY783" s="37">
        <f ca="1">BX783+BY681+BY715-BY518</f>
        <v>219812.43067998614</v>
      </c>
      <c r="BZ783" s="37">
        <f ca="1">BY783+BZ681+BZ715-BZ518</f>
        <v>222307.23274080546</v>
      </c>
      <c r="CA783" s="37">
        <f ca="1">BZ783+CA681+CA715-CA518</f>
        <v>224966.63928903968</v>
      </c>
      <c r="CB783" s="37">
        <f ca="1">CA783+CB681+CB715-CB518</f>
        <v>227535.85416031393</v>
      </c>
      <c r="CC783" s="821">
        <f ca="1">CB783</f>
        <v>227535.85416031393</v>
      </c>
      <c r="CD783" s="821">
        <f ca="1">CC783+CD681+CD715-CD518</f>
        <v>236615.0209771361</v>
      </c>
      <c r="CE783" s="821">
        <f ca="1">CD783+CE681+CE715-CE518</f>
        <v>245812.55900495825</v>
      </c>
      <c r="CF783" s="821">
        <f ca="1">CE783+CF681+CF715-CF518</f>
        <v>247959.9634282804</v>
      </c>
      <c r="CG783" s="22"/>
    </row>
    <row r="784" spans="1:85" s="428" customFormat="1" x14ac:dyDescent="0.3">
      <c r="A784" s="43" t="s">
        <v>335</v>
      </c>
      <c r="B784" s="109"/>
      <c r="C784" s="827">
        <v>-4321</v>
      </c>
      <c r="D784" s="827">
        <v>-4466</v>
      </c>
      <c r="E784" s="827">
        <v>-6022</v>
      </c>
      <c r="F784" s="827">
        <v>-6369</v>
      </c>
      <c r="G784" s="763">
        <v>-6269</v>
      </c>
      <c r="H784" s="763">
        <v>-6078</v>
      </c>
      <c r="I784" s="763">
        <v>-5997</v>
      </c>
      <c r="J784" s="763">
        <v>-3579</v>
      </c>
      <c r="K784" s="821">
        <f t="shared" si="1776"/>
        <v>-3579</v>
      </c>
      <c r="L784" s="763">
        <v>-3534</v>
      </c>
      <c r="M784" s="763">
        <v>-3497</v>
      </c>
      <c r="N784" s="763">
        <v>-3438</v>
      </c>
      <c r="O784" s="763">
        <v>-4859</v>
      </c>
      <c r="P784" s="821">
        <f t="shared" si="1777"/>
        <v>-4859</v>
      </c>
      <c r="Q784" s="763">
        <v>-4780</v>
      </c>
      <c r="R784" s="763">
        <v>-4651</v>
      </c>
      <c r="S784" s="763">
        <v>-4549</v>
      </c>
      <c r="T784" s="763">
        <v>-4291</v>
      </c>
      <c r="U784" s="821">
        <f t="shared" si="1778"/>
        <v>-4291</v>
      </c>
      <c r="V784" s="763">
        <v>-4150</v>
      </c>
      <c r="W784" s="763">
        <v>-4032</v>
      </c>
      <c r="X784" s="763">
        <v>-3843</v>
      </c>
      <c r="Y784" s="37">
        <f t="shared" si="1779"/>
        <v>-3843</v>
      </c>
      <c r="Z784" s="827">
        <v>-3843</v>
      </c>
      <c r="AA784" s="763">
        <v>-3726</v>
      </c>
      <c r="AB784" s="763">
        <v>-3604</v>
      </c>
      <c r="AC784" s="763">
        <v>-3422</v>
      </c>
      <c r="AD784" s="37">
        <f t="shared" si="1780"/>
        <v>-3589</v>
      </c>
      <c r="AE784" s="827">
        <v>-3589</v>
      </c>
      <c r="AF784" s="763">
        <v>-3459</v>
      </c>
      <c r="AG784" s="763">
        <v>-3368</v>
      </c>
      <c r="AH784" s="763">
        <v>-3265</v>
      </c>
      <c r="AI784" s="37">
        <f t="shared" si="1781"/>
        <v>-3544</v>
      </c>
      <c r="AJ784" s="827">
        <v>-3544</v>
      </c>
      <c r="AK784" s="763">
        <v>-3459</v>
      </c>
      <c r="AL784" s="763">
        <v>-3357</v>
      </c>
      <c r="AM784" s="763">
        <v>-3269</v>
      </c>
      <c r="AN784" s="37">
        <f t="shared" si="1782"/>
        <v>-4990</v>
      </c>
      <c r="AO784" s="827">
        <v>-4990</v>
      </c>
      <c r="AP784" s="763">
        <v>-4884</v>
      </c>
      <c r="AQ784" s="763">
        <v>-4750</v>
      </c>
      <c r="AR784" s="763">
        <v>-4507</v>
      </c>
      <c r="AS784" s="763">
        <v>-5612</v>
      </c>
      <c r="AT784" s="821">
        <f t="shared" si="1783"/>
        <v>-5612</v>
      </c>
      <c r="AU784" s="763">
        <v>-4586</v>
      </c>
      <c r="AV784" s="763">
        <v>-4295</v>
      </c>
      <c r="AW784" s="763">
        <v>-4418</v>
      </c>
      <c r="AX784" s="763">
        <v>-3889</v>
      </c>
      <c r="AY784" s="821">
        <f t="shared" si="1784"/>
        <v>-3889</v>
      </c>
      <c r="AZ784" s="763">
        <v>-3652</v>
      </c>
      <c r="BA784" s="763">
        <v>-3491</v>
      </c>
      <c r="BB784" s="763">
        <v>-3173</v>
      </c>
      <c r="BC784" s="763">
        <v>-2798</v>
      </c>
      <c r="BD784" s="821">
        <f t="shared" si="1785"/>
        <v>-2798</v>
      </c>
      <c r="BE784" s="763">
        <v>-2741</v>
      </c>
      <c r="BF784" s="763">
        <v>-2711</v>
      </c>
      <c r="BG784" s="763">
        <v>-2597</v>
      </c>
      <c r="BH784" s="763">
        <v>-2960</v>
      </c>
      <c r="BI784" s="821">
        <f t="shared" si="1786"/>
        <v>-2960</v>
      </c>
      <c r="BJ784" s="763">
        <v>-2965</v>
      </c>
      <c r="BK784" s="763">
        <v>-2924</v>
      </c>
      <c r="BL784" s="763">
        <v>-2825</v>
      </c>
      <c r="BM784" s="763">
        <v>-2760</v>
      </c>
      <c r="BN784" s="821">
        <f t="shared" si="1787"/>
        <v>-2760</v>
      </c>
      <c r="BO784" s="763">
        <v>-2709</v>
      </c>
      <c r="BP784" s="763">
        <v>-2567</v>
      </c>
      <c r="BQ784" s="763">
        <v>-2591</v>
      </c>
      <c r="BR784" s="763">
        <v>-2464</v>
      </c>
      <c r="BS784" s="821">
        <f t="shared" si="1788"/>
        <v>-2464</v>
      </c>
      <c r="BT784" s="764">
        <v>-2593</v>
      </c>
      <c r="BU784" s="37">
        <f t="shared" ref="BU784:BW785" si="1790">BT784</f>
        <v>-2593</v>
      </c>
      <c r="BV784" s="37">
        <f t="shared" si="1790"/>
        <v>-2593</v>
      </c>
      <c r="BW784" s="37">
        <f t="shared" si="1790"/>
        <v>-2593</v>
      </c>
      <c r="BX784" s="821">
        <f>BW784</f>
        <v>-2593</v>
      </c>
      <c r="BY784" s="37">
        <f t="shared" ref="BY784:CB785" si="1791">BX784</f>
        <v>-2593</v>
      </c>
      <c r="BZ784" s="37">
        <f t="shared" si="1791"/>
        <v>-2593</v>
      </c>
      <c r="CA784" s="37">
        <f t="shared" si="1791"/>
        <v>-2593</v>
      </c>
      <c r="CB784" s="37">
        <f t="shared" si="1791"/>
        <v>-2593</v>
      </c>
      <c r="CC784" s="821">
        <f>CB784</f>
        <v>-2593</v>
      </c>
      <c r="CD784" s="821">
        <f t="shared" ref="CD784:CF785" si="1792">CC784</f>
        <v>-2593</v>
      </c>
      <c r="CE784" s="821">
        <f t="shared" si="1792"/>
        <v>-2593</v>
      </c>
      <c r="CF784" s="821">
        <f t="shared" si="1792"/>
        <v>-2593</v>
      </c>
      <c r="CG784" s="22"/>
    </row>
    <row r="785" spans="1:85" s="428" customFormat="1" x14ac:dyDescent="0.3">
      <c r="A785" s="43" t="s">
        <v>336</v>
      </c>
      <c r="B785" s="109"/>
      <c r="C785" s="827">
        <v>-349</v>
      </c>
      <c r="D785" s="827">
        <v>-311</v>
      </c>
      <c r="E785" s="827">
        <v>-298</v>
      </c>
      <c r="F785" s="827">
        <v>-282</v>
      </c>
      <c r="G785" s="763">
        <v>-262</v>
      </c>
      <c r="H785" s="763">
        <v>-262</v>
      </c>
      <c r="I785" s="763">
        <v>-240</v>
      </c>
      <c r="J785" s="763">
        <v>-240</v>
      </c>
      <c r="K785" s="821">
        <f t="shared" si="1776"/>
        <v>-240</v>
      </c>
      <c r="L785" s="763">
        <v>-240</v>
      </c>
      <c r="M785" s="763">
        <v>-240</v>
      </c>
      <c r="N785" s="763">
        <v>-240</v>
      </c>
      <c r="O785" s="763">
        <v>-240</v>
      </c>
      <c r="P785" s="821">
        <f t="shared" si="1777"/>
        <v>-240</v>
      </c>
      <c r="Q785" s="763">
        <v>-240</v>
      </c>
      <c r="R785" s="763">
        <v>-240</v>
      </c>
      <c r="S785" s="763">
        <v>-240</v>
      </c>
      <c r="T785" s="763">
        <v>-240</v>
      </c>
      <c r="U785" s="821">
        <f t="shared" si="1778"/>
        <v>-240</v>
      </c>
      <c r="V785" s="763">
        <v>-240</v>
      </c>
      <c r="W785" s="763">
        <v>-240</v>
      </c>
      <c r="X785" s="763">
        <v>-240</v>
      </c>
      <c r="Y785" s="37">
        <f t="shared" si="1779"/>
        <v>-240</v>
      </c>
      <c r="Z785" s="827">
        <v>-240</v>
      </c>
      <c r="AA785" s="763">
        <v>-240</v>
      </c>
      <c r="AB785" s="763">
        <v>-240</v>
      </c>
      <c r="AC785" s="763">
        <v>-240</v>
      </c>
      <c r="AD785" s="37">
        <f t="shared" si="1780"/>
        <v>-240</v>
      </c>
      <c r="AE785" s="827">
        <v>-240</v>
      </c>
      <c r="AF785" s="763">
        <v>-240</v>
      </c>
      <c r="AG785" s="763">
        <v>-240</v>
      </c>
      <c r="AH785" s="763">
        <v>-240</v>
      </c>
      <c r="AI785" s="37">
        <f t="shared" si="1781"/>
        <v>-240</v>
      </c>
      <c r="AJ785" s="827">
        <v>-240</v>
      </c>
      <c r="AK785" s="763">
        <v>-240</v>
      </c>
      <c r="AL785" s="763">
        <v>-240</v>
      </c>
      <c r="AM785" s="763">
        <v>-240</v>
      </c>
      <c r="AN785" s="37">
        <f t="shared" si="1782"/>
        <v>-240</v>
      </c>
      <c r="AO785" s="827">
        <v>-240</v>
      </c>
      <c r="AP785" s="763">
        <v>-240</v>
      </c>
      <c r="AQ785" s="763">
        <v>-240</v>
      </c>
      <c r="AR785" s="763">
        <v>-240</v>
      </c>
      <c r="AS785" s="763">
        <v>-240</v>
      </c>
      <c r="AT785" s="821">
        <f t="shared" si="1783"/>
        <v>-240</v>
      </c>
      <c r="AU785" s="763">
        <v>-240</v>
      </c>
      <c r="AV785" s="763">
        <v>-240</v>
      </c>
      <c r="AW785" s="763">
        <v>-240</v>
      </c>
      <c r="AX785" s="763">
        <v>-240</v>
      </c>
      <c r="AY785" s="821">
        <f t="shared" si="1784"/>
        <v>-240</v>
      </c>
      <c r="AZ785" s="763">
        <v>-240</v>
      </c>
      <c r="BA785" s="763">
        <v>-240</v>
      </c>
      <c r="BB785" s="763">
        <v>-240</v>
      </c>
      <c r="BC785" s="763">
        <v>-240</v>
      </c>
      <c r="BD785" s="821">
        <f t="shared" si="1785"/>
        <v>-240</v>
      </c>
      <c r="BE785" s="763">
        <v>-240</v>
      </c>
      <c r="BF785" s="763">
        <v>-240</v>
      </c>
      <c r="BG785" s="763">
        <v>-240</v>
      </c>
      <c r="BH785" s="763">
        <v>-240</v>
      </c>
      <c r="BI785" s="821">
        <f t="shared" si="1786"/>
        <v>-240</v>
      </c>
      <c r="BJ785" s="763">
        <v>-240</v>
      </c>
      <c r="BK785" s="763">
        <v>-240</v>
      </c>
      <c r="BL785" s="763">
        <v>-240</v>
      </c>
      <c r="BM785" s="763">
        <v>-240</v>
      </c>
      <c r="BN785" s="821">
        <f t="shared" si="1787"/>
        <v>-240</v>
      </c>
      <c r="BO785" s="763">
        <v>-240</v>
      </c>
      <c r="BP785" s="763">
        <v>-240</v>
      </c>
      <c r="BQ785" s="763">
        <v>-240</v>
      </c>
      <c r="BR785" s="763">
        <v>-240</v>
      </c>
      <c r="BS785" s="821">
        <f t="shared" si="1788"/>
        <v>-240</v>
      </c>
      <c r="BT785" s="764">
        <v>-240</v>
      </c>
      <c r="BU785" s="37">
        <f t="shared" si="1790"/>
        <v>-240</v>
      </c>
      <c r="BV785" s="37">
        <f t="shared" si="1790"/>
        <v>-240</v>
      </c>
      <c r="BW785" s="37">
        <f t="shared" si="1790"/>
        <v>-240</v>
      </c>
      <c r="BX785" s="821">
        <f>BW785</f>
        <v>-240</v>
      </c>
      <c r="BY785" s="37">
        <f t="shared" si="1791"/>
        <v>-240</v>
      </c>
      <c r="BZ785" s="37">
        <f t="shared" si="1791"/>
        <v>-240</v>
      </c>
      <c r="CA785" s="37">
        <f t="shared" si="1791"/>
        <v>-240</v>
      </c>
      <c r="CB785" s="37">
        <f t="shared" si="1791"/>
        <v>-240</v>
      </c>
      <c r="CC785" s="821">
        <f>CB785</f>
        <v>-240</v>
      </c>
      <c r="CD785" s="821">
        <f t="shared" si="1792"/>
        <v>-240</v>
      </c>
      <c r="CE785" s="821">
        <f t="shared" si="1792"/>
        <v>-240</v>
      </c>
      <c r="CF785" s="821">
        <f t="shared" si="1792"/>
        <v>-240</v>
      </c>
      <c r="CG785" s="22"/>
    </row>
    <row r="786" spans="1:85" s="428" customFormat="1" x14ac:dyDescent="0.3">
      <c r="A786" s="242" t="s">
        <v>337</v>
      </c>
      <c r="B786" s="244"/>
      <c r="C786" s="828">
        <v>-26168</v>
      </c>
      <c r="D786" s="828">
        <v>-26411</v>
      </c>
      <c r="E786" s="828">
        <v>-29685</v>
      </c>
      <c r="F786" s="828">
        <v>-33884</v>
      </c>
      <c r="G786" s="765">
        <v>-34925</v>
      </c>
      <c r="H786" s="765">
        <v>-35943</v>
      </c>
      <c r="I786" s="765">
        <v>-37098</v>
      </c>
      <c r="J786" s="765">
        <v>-38290</v>
      </c>
      <c r="K786" s="822">
        <f t="shared" si="1776"/>
        <v>-38290</v>
      </c>
      <c r="L786" s="765">
        <v>-39481</v>
      </c>
      <c r="M786" s="765">
        <v>-40343</v>
      </c>
      <c r="N786" s="765">
        <v>-41500</v>
      </c>
      <c r="O786" s="765">
        <v>-42733</v>
      </c>
      <c r="P786" s="822">
        <f t="shared" si="1777"/>
        <v>-42733</v>
      </c>
      <c r="Q786" s="765">
        <v>-42671</v>
      </c>
      <c r="R786" s="765">
        <v>-42575</v>
      </c>
      <c r="S786" s="765">
        <v>-42552</v>
      </c>
      <c r="T786" s="765">
        <v>-42493</v>
      </c>
      <c r="U786" s="822">
        <f t="shared" si="1778"/>
        <v>-42493</v>
      </c>
      <c r="V786" s="765">
        <v>-42350</v>
      </c>
      <c r="W786" s="765">
        <v>-42212</v>
      </c>
      <c r="X786" s="765">
        <v>-42118</v>
      </c>
      <c r="Y786" s="56">
        <f t="shared" si="1779"/>
        <v>-41834</v>
      </c>
      <c r="Z786" s="828">
        <v>-41834</v>
      </c>
      <c r="AA786" s="765">
        <v>-41603</v>
      </c>
      <c r="AB786" s="765">
        <v>-41569</v>
      </c>
      <c r="AC786" s="765">
        <v>-41237</v>
      </c>
      <c r="AD786" s="56">
        <f t="shared" si="1780"/>
        <v>-40833</v>
      </c>
      <c r="AE786" s="828">
        <v>-40833</v>
      </c>
      <c r="AF786" s="765">
        <v>-40359</v>
      </c>
      <c r="AG786" s="765">
        <v>-39965</v>
      </c>
      <c r="AH786" s="765">
        <v>-40648</v>
      </c>
      <c r="AI786" s="56">
        <f t="shared" si="1781"/>
        <v>-41593</v>
      </c>
      <c r="AJ786" s="828">
        <v>-41593</v>
      </c>
      <c r="AK786" s="765">
        <v>-41621</v>
      </c>
      <c r="AL786" s="765">
        <v>-42466</v>
      </c>
      <c r="AM786" s="765">
        <v>-43500</v>
      </c>
      <c r="AN786" s="56">
        <f t="shared" si="1782"/>
        <v>-44599</v>
      </c>
      <c r="AO786" s="828">
        <v>-44599</v>
      </c>
      <c r="AP786" s="765">
        <v>-46166</v>
      </c>
      <c r="AQ786" s="765">
        <v>-46143</v>
      </c>
      <c r="AR786" s="765">
        <v>-46138</v>
      </c>
      <c r="AS786" s="765">
        <v>-41498</v>
      </c>
      <c r="AT786" s="822">
        <f t="shared" si="1783"/>
        <v>-41498</v>
      </c>
      <c r="AU786" s="765">
        <v>-41269</v>
      </c>
      <c r="AV786" s="765">
        <v>-40799</v>
      </c>
      <c r="AW786" s="765">
        <v>-41418</v>
      </c>
      <c r="AX786" s="765">
        <v>-41464</v>
      </c>
      <c r="AY786" s="822">
        <f t="shared" si="1784"/>
        <v>-41464</v>
      </c>
      <c r="AZ786" s="765">
        <v>-39158</v>
      </c>
      <c r="BA786" s="765">
        <v>-41015</v>
      </c>
      <c r="BB786" s="765">
        <v>-44720</v>
      </c>
      <c r="BC786" s="765">
        <v>-48196</v>
      </c>
      <c r="BD786" s="822">
        <f t="shared" si="1785"/>
        <v>-48196</v>
      </c>
      <c r="BE786" s="765">
        <v>-51854</v>
      </c>
      <c r="BF786" s="765">
        <v>-56240</v>
      </c>
      <c r="BG786" s="765">
        <v>-55640</v>
      </c>
      <c r="BH786" s="765">
        <v>-59065</v>
      </c>
      <c r="BI786" s="822">
        <f t="shared" si="1786"/>
        <v>-59065</v>
      </c>
      <c r="BJ786" s="765">
        <v>-61959</v>
      </c>
      <c r="BK786" s="765">
        <v>-64890</v>
      </c>
      <c r="BL786" s="765">
        <v>-69646</v>
      </c>
      <c r="BM786" s="765">
        <v>-74037</v>
      </c>
      <c r="BN786" s="822">
        <f t="shared" si="1787"/>
        <v>-74037</v>
      </c>
      <c r="BO786" s="765">
        <v>-77717</v>
      </c>
      <c r="BP786" s="765">
        <v>-80316</v>
      </c>
      <c r="BQ786" s="765">
        <v>-48976</v>
      </c>
      <c r="BR786" s="765">
        <v>-51929</v>
      </c>
      <c r="BS786" s="822">
        <f t="shared" si="1788"/>
        <v>-51929</v>
      </c>
      <c r="BT786" s="766">
        <v>-53209</v>
      </c>
      <c r="BU786" s="56">
        <f>BT786+BU719</f>
        <v>-56009</v>
      </c>
      <c r="BV786" s="56">
        <f>BU786+BV719</f>
        <v>-56009</v>
      </c>
      <c r="BW786" s="56">
        <f>BV786+BW719</f>
        <v>-56009</v>
      </c>
      <c r="BX786" s="822">
        <f>BW786</f>
        <v>-56009</v>
      </c>
      <c r="BY786" s="56">
        <f>BX786+BY719</f>
        <v>-56009</v>
      </c>
      <c r="BZ786" s="56">
        <f>BY786+BZ719</f>
        <v>-56009</v>
      </c>
      <c r="CA786" s="56">
        <f>BZ786+CA719</f>
        <v>-56009</v>
      </c>
      <c r="CB786" s="56">
        <f>CA786+CB719</f>
        <v>-56009</v>
      </c>
      <c r="CC786" s="822">
        <f>CB786</f>
        <v>-56009</v>
      </c>
      <c r="CD786" s="822">
        <f>CC786+CD719</f>
        <v>-56009</v>
      </c>
      <c r="CE786" s="822">
        <f>CD786+CE719</f>
        <v>-56009</v>
      </c>
      <c r="CF786" s="822">
        <f>CE786+CF719</f>
        <v>-56009</v>
      </c>
      <c r="CG786" s="22"/>
    </row>
    <row r="787" spans="1:85" s="429" customFormat="1" x14ac:dyDescent="0.3">
      <c r="A787" s="42" t="s">
        <v>338</v>
      </c>
      <c r="B787" s="99"/>
      <c r="C787" s="823">
        <f t="shared" ref="C787:AH787" si="1793">SUM(C780:C786)</f>
        <v>91914</v>
      </c>
      <c r="D787" s="823">
        <f t="shared" si="1793"/>
        <v>105081</v>
      </c>
      <c r="E787" s="823">
        <f t="shared" si="1793"/>
        <v>121382</v>
      </c>
      <c r="F787" s="823">
        <f t="shared" si="1793"/>
        <v>136524</v>
      </c>
      <c r="G787" s="393">
        <f t="shared" si="1793"/>
        <v>140134</v>
      </c>
      <c r="H787" s="393">
        <f t="shared" si="1793"/>
        <v>142841</v>
      </c>
      <c r="I787" s="393">
        <f t="shared" si="1793"/>
        <v>144779</v>
      </c>
      <c r="J787" s="393">
        <f t="shared" si="1793"/>
        <v>149113</v>
      </c>
      <c r="K787" s="823">
        <f t="shared" si="1793"/>
        <v>149113</v>
      </c>
      <c r="L787" s="393">
        <f t="shared" si="1793"/>
        <v>150661</v>
      </c>
      <c r="M787" s="393">
        <f t="shared" si="1793"/>
        <v>153581</v>
      </c>
      <c r="N787" s="393">
        <f t="shared" si="1793"/>
        <v>156140</v>
      </c>
      <c r="O787" s="393">
        <f t="shared" si="1793"/>
        <v>155028</v>
      </c>
      <c r="P787" s="823">
        <f t="shared" si="1793"/>
        <v>155028</v>
      </c>
      <c r="Q787" s="393">
        <f t="shared" si="1793"/>
        <v>155803</v>
      </c>
      <c r="R787" s="393">
        <f t="shared" si="1793"/>
        <v>154669</v>
      </c>
      <c r="S787" s="393">
        <f t="shared" si="1793"/>
        <v>154912</v>
      </c>
      <c r="T787" s="393">
        <f t="shared" si="1793"/>
        <v>152716</v>
      </c>
      <c r="U787" s="823">
        <f t="shared" si="1793"/>
        <v>152716</v>
      </c>
      <c r="V787" s="393">
        <f t="shared" si="1793"/>
        <v>150307</v>
      </c>
      <c r="W787" s="393">
        <f t="shared" si="1793"/>
        <v>147163</v>
      </c>
      <c r="X787" s="393">
        <f t="shared" si="1793"/>
        <v>146800</v>
      </c>
      <c r="Y787" s="393">
        <f t="shared" si="1793"/>
        <v>145556</v>
      </c>
      <c r="Z787" s="823">
        <f t="shared" si="1793"/>
        <v>145556</v>
      </c>
      <c r="AA787" s="393">
        <f t="shared" si="1793"/>
        <v>146592</v>
      </c>
      <c r="AB787" s="393">
        <f t="shared" si="1793"/>
        <v>146203</v>
      </c>
      <c r="AC787" s="393">
        <f t="shared" si="1793"/>
        <v>146713</v>
      </c>
      <c r="AD787" s="393">
        <f t="shared" si="1793"/>
        <v>148124</v>
      </c>
      <c r="AE787" s="823">
        <f t="shared" si="1793"/>
        <v>148124</v>
      </c>
      <c r="AF787" s="393">
        <f t="shared" si="1793"/>
        <v>150356</v>
      </c>
      <c r="AG787" s="393">
        <f t="shared" si="1793"/>
        <v>152198</v>
      </c>
      <c r="AH787" s="393">
        <f t="shared" si="1793"/>
        <v>153575</v>
      </c>
      <c r="AI787" s="393">
        <f t="shared" ref="AI787:BE787" si="1794">SUM(AI780:AI786)</f>
        <v>154554</v>
      </c>
      <c r="AJ787" s="823">
        <f t="shared" si="1794"/>
        <v>154554</v>
      </c>
      <c r="AK787" s="393">
        <f t="shared" si="1794"/>
        <v>155045</v>
      </c>
      <c r="AL787" s="393">
        <f t="shared" si="1794"/>
        <v>156395</v>
      </c>
      <c r="AM787" s="393">
        <f t="shared" si="1794"/>
        <v>155841</v>
      </c>
      <c r="AN787" s="393">
        <f t="shared" si="1794"/>
        <v>144213</v>
      </c>
      <c r="AO787" s="823">
        <f t="shared" si="1794"/>
        <v>144213</v>
      </c>
      <c r="AP787" s="393">
        <f t="shared" si="1794"/>
        <v>143930</v>
      </c>
      <c r="AQ787" s="393">
        <f t="shared" si="1794"/>
        <v>134118</v>
      </c>
      <c r="AR787" s="393">
        <f t="shared" si="1794"/>
        <v>131774</v>
      </c>
      <c r="AS787" s="393">
        <f t="shared" si="1794"/>
        <v>131688</v>
      </c>
      <c r="AT787" s="823">
        <f t="shared" si="1794"/>
        <v>131688</v>
      </c>
      <c r="AU787" s="393">
        <f t="shared" si="1794"/>
        <v>131888</v>
      </c>
      <c r="AV787" s="393">
        <f t="shared" si="1794"/>
        <v>133182</v>
      </c>
      <c r="AW787" s="393">
        <f t="shared" si="1794"/>
        <v>135862</v>
      </c>
      <c r="AX787" s="393">
        <f t="shared" si="1794"/>
        <v>139067</v>
      </c>
      <c r="AY787" s="823">
        <f t="shared" si="1794"/>
        <v>139067</v>
      </c>
      <c r="AZ787" s="393">
        <f t="shared" si="1794"/>
        <v>146219</v>
      </c>
      <c r="BA787" s="393">
        <f t="shared" si="1794"/>
        <v>153554</v>
      </c>
      <c r="BB787" s="393">
        <f t="shared" si="1794"/>
        <v>158680</v>
      </c>
      <c r="BC787" s="393">
        <f t="shared" si="1794"/>
        <v>159282</v>
      </c>
      <c r="BD787" s="823">
        <f t="shared" si="1794"/>
        <v>159282</v>
      </c>
      <c r="BE787" s="393">
        <f t="shared" si="1794"/>
        <v>159449</v>
      </c>
      <c r="BF787" s="393">
        <f t="shared" ref="BF787:BN787" si="1795">SUM(BF780:BF786)</f>
        <v>158325</v>
      </c>
      <c r="BG787" s="393">
        <f t="shared" si="1795"/>
        <v>165265</v>
      </c>
      <c r="BH787" s="393">
        <f t="shared" ref="BH787:BM787" si="1796">SUM(BH780:BH786)</f>
        <v>160957</v>
      </c>
      <c r="BI787" s="823">
        <f t="shared" si="1796"/>
        <v>160957</v>
      </c>
      <c r="BJ787" s="393">
        <f t="shared" si="1796"/>
        <v>160625</v>
      </c>
      <c r="BK787" s="393">
        <f t="shared" si="1796"/>
        <v>159233</v>
      </c>
      <c r="BL787" s="393">
        <f t="shared" si="1796"/>
        <v>156202</v>
      </c>
      <c r="BM787" s="393">
        <f t="shared" si="1796"/>
        <v>152318</v>
      </c>
      <c r="BN787" s="823">
        <f t="shared" si="1795"/>
        <v>152318</v>
      </c>
      <c r="BO787" s="393">
        <f t="shared" ref="BO787:BX787" si="1797">SUM(BO780:BO786)</f>
        <v>149244</v>
      </c>
      <c r="BP787" s="393">
        <f t="shared" si="1797"/>
        <v>146417</v>
      </c>
      <c r="BQ787" s="393">
        <f t="shared" si="1797"/>
        <v>189843</v>
      </c>
      <c r="BR787" s="393">
        <f t="shared" si="1797"/>
        <v>186450</v>
      </c>
      <c r="BS787" s="823">
        <f t="shared" si="1797"/>
        <v>186450</v>
      </c>
      <c r="BT787" s="641">
        <f>SUM(BT780:BT786)</f>
        <v>183715</v>
      </c>
      <c r="BU787" s="393">
        <f ca="1">SUM(BU780:BU786)</f>
        <v>187281.78338727189</v>
      </c>
      <c r="BV787" s="393">
        <f ca="1">SUM(BV780:BV786)</f>
        <v>191139.31962336751</v>
      </c>
      <c r="BW787" s="393">
        <f ca="1">SUM(BW780:BW786)</f>
        <v>194210.34645676176</v>
      </c>
      <c r="BX787" s="823">
        <f t="shared" ca="1" si="1797"/>
        <v>194210.34645676176</v>
      </c>
      <c r="BY787" s="393">
        <f t="shared" ref="BY787:CF787" ca="1" si="1798">SUM(BY780:BY786)</f>
        <v>196688.43067998614</v>
      </c>
      <c r="BZ787" s="393">
        <f t="shared" ca="1" si="1798"/>
        <v>199183.23274080546</v>
      </c>
      <c r="CA787" s="393">
        <f t="shared" ca="1" si="1798"/>
        <v>201842.63928903968</v>
      </c>
      <c r="CB787" s="393">
        <f t="shared" ca="1" si="1798"/>
        <v>204411.85416031396</v>
      </c>
      <c r="CC787" s="823">
        <f t="shared" ca="1" si="1798"/>
        <v>204411.85416031396</v>
      </c>
      <c r="CD787" s="823">
        <f t="shared" ca="1" si="1798"/>
        <v>213491.0209771361</v>
      </c>
      <c r="CE787" s="823">
        <f t="shared" ca="1" si="1798"/>
        <v>222688.55900495825</v>
      </c>
      <c r="CF787" s="823">
        <f t="shared" ca="1" si="1798"/>
        <v>224835.96342828043</v>
      </c>
      <c r="CG787" s="26"/>
    </row>
    <row r="788" spans="1:85" s="428" customFormat="1" x14ac:dyDescent="0.3">
      <c r="A788" s="43" t="s">
        <v>339</v>
      </c>
      <c r="B788" s="109"/>
      <c r="C788" s="827">
        <v>647</v>
      </c>
      <c r="D788" s="827">
        <v>730</v>
      </c>
      <c r="E788" s="827">
        <v>799</v>
      </c>
      <c r="F788" s="827">
        <v>1308</v>
      </c>
      <c r="G788" s="763">
        <v>1352</v>
      </c>
      <c r="H788" s="763">
        <v>1323</v>
      </c>
      <c r="I788" s="763">
        <v>1294</v>
      </c>
      <c r="J788" s="763">
        <v>1314</v>
      </c>
      <c r="K788" s="821">
        <f>J788</f>
        <v>1314</v>
      </c>
      <c r="L788" s="763">
        <v>1149</v>
      </c>
      <c r="M788" s="763">
        <v>1166</v>
      </c>
      <c r="N788" s="763">
        <v>1167</v>
      </c>
      <c r="O788" s="763">
        <v>1163</v>
      </c>
      <c r="P788" s="821">
        <f>O788</f>
        <v>1163</v>
      </c>
      <c r="Q788" s="763">
        <v>1198</v>
      </c>
      <c r="R788" s="763">
        <v>1222</v>
      </c>
      <c r="S788" s="763">
        <v>1026</v>
      </c>
      <c r="T788" s="763">
        <v>1170</v>
      </c>
      <c r="U788" s="821">
        <f>T788</f>
        <v>1170</v>
      </c>
      <c r="V788" s="763">
        <v>1169</v>
      </c>
      <c r="W788" s="763">
        <v>1162</v>
      </c>
      <c r="X788" s="763">
        <v>1152</v>
      </c>
      <c r="Y788" s="37">
        <f>Z788</f>
        <v>1166</v>
      </c>
      <c r="Z788" s="827">
        <v>1166</v>
      </c>
      <c r="AA788" s="763">
        <v>1198</v>
      </c>
      <c r="AB788" s="763">
        <v>1185</v>
      </c>
      <c r="AC788" s="763">
        <v>1198</v>
      </c>
      <c r="AD788" s="37">
        <f>AE788</f>
        <v>1195</v>
      </c>
      <c r="AE788" s="827">
        <v>1195</v>
      </c>
      <c r="AF788" s="763">
        <v>1210</v>
      </c>
      <c r="AG788" s="763">
        <v>1182</v>
      </c>
      <c r="AH788" s="763">
        <v>1098</v>
      </c>
      <c r="AI788" s="37">
        <f>AJ788</f>
        <v>1088</v>
      </c>
      <c r="AJ788" s="827">
        <v>1088</v>
      </c>
      <c r="AK788" s="763">
        <v>1073</v>
      </c>
      <c r="AL788" s="763">
        <v>1056</v>
      </c>
      <c r="AM788" s="763">
        <v>1051</v>
      </c>
      <c r="AN788" s="37">
        <f>AO788</f>
        <v>995</v>
      </c>
      <c r="AO788" s="827">
        <v>995</v>
      </c>
      <c r="AP788" s="763">
        <v>984</v>
      </c>
      <c r="AQ788" s="763">
        <v>268</v>
      </c>
      <c r="AR788" s="763">
        <v>264</v>
      </c>
      <c r="AS788" s="763">
        <v>1038</v>
      </c>
      <c r="AT788" s="821">
        <f>AS788</f>
        <v>1038</v>
      </c>
      <c r="AU788" s="763">
        <v>1045</v>
      </c>
      <c r="AV788" s="763">
        <v>729</v>
      </c>
      <c r="AW788" s="763">
        <v>860</v>
      </c>
      <c r="AX788" s="763">
        <v>873</v>
      </c>
      <c r="AY788" s="821">
        <f>AX788</f>
        <v>873</v>
      </c>
      <c r="AZ788" s="763">
        <v>881</v>
      </c>
      <c r="BA788" s="763">
        <v>1008</v>
      </c>
      <c r="BB788" s="763">
        <v>947</v>
      </c>
      <c r="BC788" s="763">
        <v>960</v>
      </c>
      <c r="BD788" s="821">
        <f>BC788</f>
        <v>960</v>
      </c>
      <c r="BE788" s="763">
        <v>985</v>
      </c>
      <c r="BF788" s="763">
        <v>973</v>
      </c>
      <c r="BG788" s="763">
        <v>983</v>
      </c>
      <c r="BH788" s="763">
        <v>972</v>
      </c>
      <c r="BI788" s="821">
        <f>BH788</f>
        <v>972</v>
      </c>
      <c r="BJ788" s="763">
        <v>1031</v>
      </c>
      <c r="BK788" s="763">
        <v>1030</v>
      </c>
      <c r="BL788" s="763">
        <v>828</v>
      </c>
      <c r="BM788" s="763">
        <v>839</v>
      </c>
      <c r="BN788" s="821">
        <f>BM788</f>
        <v>839</v>
      </c>
      <c r="BO788" s="763">
        <v>836</v>
      </c>
      <c r="BP788" s="763">
        <v>841</v>
      </c>
      <c r="BQ788" s="763">
        <v>5757</v>
      </c>
      <c r="BR788" s="763">
        <v>5726</v>
      </c>
      <c r="BS788" s="821">
        <f>BR788</f>
        <v>5726</v>
      </c>
      <c r="BT788" s="764">
        <v>5656</v>
      </c>
      <c r="BU788" s="37">
        <f>BT788+BU518</f>
        <v>5666</v>
      </c>
      <c r="BV788" s="37">
        <f>BU788+BV518</f>
        <v>5676</v>
      </c>
      <c r="BW788" s="37">
        <f>BV788+BW518</f>
        <v>5686</v>
      </c>
      <c r="BX788" s="821">
        <f>BW788</f>
        <v>5686</v>
      </c>
      <c r="BY788" s="37">
        <f>BX788+BY518</f>
        <v>5696</v>
      </c>
      <c r="BZ788" s="37">
        <f>BY788+BZ518</f>
        <v>5706</v>
      </c>
      <c r="CA788" s="37">
        <f>BZ788+CA518</f>
        <v>5716</v>
      </c>
      <c r="CB788" s="37">
        <f>CA788+CB518</f>
        <v>5726</v>
      </c>
      <c r="CC788" s="821">
        <f>CB788</f>
        <v>5726</v>
      </c>
      <c r="CD788" s="821">
        <f>CC788+CD518</f>
        <v>5766</v>
      </c>
      <c r="CE788" s="821">
        <f>CD788+CE518</f>
        <v>5806</v>
      </c>
      <c r="CF788" s="821">
        <f>CE788+CF518</f>
        <v>5846</v>
      </c>
      <c r="CG788" s="22"/>
    </row>
    <row r="789" spans="1:85" s="429" customFormat="1" x14ac:dyDescent="0.3">
      <c r="A789" s="48" t="s">
        <v>340</v>
      </c>
      <c r="B789" s="58"/>
      <c r="C789" s="825">
        <f t="shared" ref="C789:AH789" si="1799">C787+C777+C788</f>
        <v>164621</v>
      </c>
      <c r="D789" s="825">
        <f t="shared" si="1799"/>
        <v>184769</v>
      </c>
      <c r="E789" s="825">
        <f t="shared" si="1799"/>
        <v>209474</v>
      </c>
      <c r="F789" s="825">
        <f t="shared" si="1799"/>
        <v>232982</v>
      </c>
      <c r="G789" s="31">
        <f t="shared" si="1799"/>
        <v>237410</v>
      </c>
      <c r="H789" s="31">
        <f t="shared" si="1799"/>
        <v>244048</v>
      </c>
      <c r="I789" s="31">
        <f t="shared" si="1799"/>
        <v>247838</v>
      </c>
      <c r="J789" s="31">
        <f t="shared" si="1799"/>
        <v>253753</v>
      </c>
      <c r="K789" s="825">
        <f t="shared" si="1799"/>
        <v>253753</v>
      </c>
      <c r="L789" s="31">
        <f t="shared" si="1799"/>
        <v>258238</v>
      </c>
      <c r="M789" s="31">
        <f t="shared" si="1799"/>
        <v>262045</v>
      </c>
      <c r="N789" s="31">
        <f t="shared" si="1799"/>
        <v>265431</v>
      </c>
      <c r="O789" s="31">
        <f t="shared" si="1799"/>
        <v>266026</v>
      </c>
      <c r="P789" s="825">
        <f t="shared" si="1799"/>
        <v>266026</v>
      </c>
      <c r="Q789" s="31">
        <f t="shared" si="1799"/>
        <v>269604</v>
      </c>
      <c r="R789" s="31">
        <f t="shared" si="1799"/>
        <v>266455</v>
      </c>
      <c r="S789" s="31">
        <f t="shared" si="1799"/>
        <v>268449</v>
      </c>
      <c r="T789" s="31">
        <f t="shared" si="1799"/>
        <v>264540</v>
      </c>
      <c r="U789" s="825">
        <f t="shared" si="1799"/>
        <v>264540</v>
      </c>
      <c r="V789" s="31">
        <f t="shared" si="1799"/>
        <v>263842</v>
      </c>
      <c r="W789" s="31">
        <f t="shared" si="1799"/>
        <v>261478</v>
      </c>
      <c r="X789" s="31">
        <f t="shared" si="1799"/>
        <v>259863</v>
      </c>
      <c r="Y789" s="31">
        <f t="shared" si="1799"/>
        <v>260078</v>
      </c>
      <c r="Z789" s="825">
        <f t="shared" si="1799"/>
        <v>260078</v>
      </c>
      <c r="AA789" s="31">
        <f t="shared" si="1799"/>
        <v>259111</v>
      </c>
      <c r="AB789" s="31">
        <f t="shared" si="1799"/>
        <v>254599</v>
      </c>
      <c r="AC789" s="31">
        <f t="shared" si="1799"/>
        <v>255160</v>
      </c>
      <c r="AD789" s="31">
        <f t="shared" si="1799"/>
        <v>253806</v>
      </c>
      <c r="AE789" s="825">
        <f t="shared" si="1799"/>
        <v>253806</v>
      </c>
      <c r="AF789" s="31">
        <f t="shared" si="1799"/>
        <v>256442</v>
      </c>
      <c r="AG789" s="31">
        <f t="shared" si="1799"/>
        <v>257929</v>
      </c>
      <c r="AH789" s="31">
        <f t="shared" si="1799"/>
        <v>256606</v>
      </c>
      <c r="AI789" s="31">
        <f t="shared" ref="AI789:AY789" si="1800">AI787+AI777+AI788</f>
        <v>253863</v>
      </c>
      <c r="AJ789" s="825">
        <f t="shared" si="1800"/>
        <v>253863</v>
      </c>
      <c r="AK789" s="31">
        <f t="shared" si="1800"/>
        <v>256809</v>
      </c>
      <c r="AL789" s="31">
        <f t="shared" si="1800"/>
        <v>255878</v>
      </c>
      <c r="AM789" s="31">
        <f t="shared" si="1800"/>
        <v>256537</v>
      </c>
      <c r="AN789" s="31">
        <f t="shared" si="1800"/>
        <v>237428</v>
      </c>
      <c r="AO789" s="825">
        <f t="shared" si="1800"/>
        <v>237428</v>
      </c>
      <c r="AP789" s="31">
        <f t="shared" si="1800"/>
        <v>236677</v>
      </c>
      <c r="AQ789" s="31">
        <f t="shared" si="1800"/>
        <v>223403</v>
      </c>
      <c r="AR789" s="31">
        <f>AR787+AR777+AR788</f>
        <v>223063</v>
      </c>
      <c r="AS789" s="31">
        <f t="shared" si="1800"/>
        <v>239790</v>
      </c>
      <c r="AT789" s="825">
        <f t="shared" si="1800"/>
        <v>239790</v>
      </c>
      <c r="AU789" s="31">
        <f t="shared" ref="AU789" si="1801">AU787+AU777+AU788</f>
        <v>241645</v>
      </c>
      <c r="AV789" s="31">
        <f>AV787+AV777+AV788</f>
        <v>242806</v>
      </c>
      <c r="AW789" s="31">
        <f>AW787+AW777+AW788</f>
        <v>239948</v>
      </c>
      <c r="AX789" s="31">
        <f t="shared" si="1800"/>
        <v>239535</v>
      </c>
      <c r="AY789" s="825">
        <f t="shared" si="1800"/>
        <v>239535</v>
      </c>
      <c r="AZ789" s="31">
        <f t="shared" ref="AZ789:BN789" si="1802">AZ787+AZ777+AZ788</f>
        <v>249048</v>
      </c>
      <c r="BA789" s="31">
        <f t="shared" si="1802"/>
        <v>257936</v>
      </c>
      <c r="BB789" s="31">
        <f t="shared" si="1802"/>
        <v>259735</v>
      </c>
      <c r="BC789" s="31">
        <f t="shared" si="1802"/>
        <v>257709</v>
      </c>
      <c r="BD789" s="825">
        <f t="shared" si="1802"/>
        <v>257709</v>
      </c>
      <c r="BE789" s="31">
        <f t="shared" si="1802"/>
        <v>255886</v>
      </c>
      <c r="BF789" s="31">
        <f t="shared" si="1802"/>
        <v>251779</v>
      </c>
      <c r="BG789" s="31">
        <f t="shared" si="1802"/>
        <v>263927</v>
      </c>
      <c r="BH789" s="31">
        <f t="shared" ref="BH789:BM789" si="1803">BH787+BH777+BH788</f>
        <v>261632</v>
      </c>
      <c r="BI789" s="825">
        <f t="shared" si="1803"/>
        <v>261632</v>
      </c>
      <c r="BJ789" s="31">
        <f t="shared" si="1803"/>
        <v>261651</v>
      </c>
      <c r="BK789" s="31">
        <f t="shared" si="1803"/>
        <v>260644</v>
      </c>
      <c r="BL789" s="31">
        <f t="shared" si="1803"/>
        <v>259232</v>
      </c>
      <c r="BM789" s="31">
        <f t="shared" si="1803"/>
        <v>256938</v>
      </c>
      <c r="BN789" s="825">
        <f t="shared" si="1802"/>
        <v>256938</v>
      </c>
      <c r="BO789" s="31">
        <f t="shared" ref="BO789:BX789" si="1804">BO787+BO777+BO788</f>
        <v>256397</v>
      </c>
      <c r="BP789" s="31">
        <f t="shared" si="1804"/>
        <v>250820</v>
      </c>
      <c r="BQ789" s="31">
        <f t="shared" si="1804"/>
        <v>326501</v>
      </c>
      <c r="BR789" s="31">
        <f t="shared" si="1804"/>
        <v>324012</v>
      </c>
      <c r="BS789" s="825">
        <f t="shared" si="1804"/>
        <v>324012</v>
      </c>
      <c r="BT789" s="379">
        <f>BT787+BT777+BT788</f>
        <v>329551</v>
      </c>
      <c r="BU789" s="31">
        <f ca="1">BU787+BU777+BU788</f>
        <v>334406.28107500891</v>
      </c>
      <c r="BV789" s="31">
        <f ca="1">BV787+BV777+BV788</f>
        <v>339226.80307349353</v>
      </c>
      <c r="BW789" s="31">
        <f ca="1">BW787+BW777+BW788</f>
        <v>343041.06660197821</v>
      </c>
      <c r="BX789" s="825">
        <f t="shared" ca="1" si="1804"/>
        <v>343041.06660197821</v>
      </c>
      <c r="BY789" s="31">
        <f t="shared" ref="BY789:CF789" ca="1" si="1805">BY787+BY777+BY788</f>
        <v>345719.82344887382</v>
      </c>
      <c r="BZ789" s="31">
        <f t="shared" ca="1" si="1805"/>
        <v>348415.8288583674</v>
      </c>
      <c r="CA789" s="31">
        <f t="shared" ca="1" si="1805"/>
        <v>351281.66429455887</v>
      </c>
      <c r="CB789" s="31">
        <f t="shared" ca="1" si="1805"/>
        <v>354054.44482595043</v>
      </c>
      <c r="CC789" s="825">
        <f t="shared" ca="1" si="1805"/>
        <v>354054.44482595043</v>
      </c>
      <c r="CD789" s="825">
        <f t="shared" ca="1" si="1805"/>
        <v>363909.85229377251</v>
      </c>
      <c r="CE789" s="825">
        <f t="shared" ca="1" si="1805"/>
        <v>373480.38963184471</v>
      </c>
      <c r="CF789" s="825">
        <f t="shared" ca="1" si="1805"/>
        <v>376183.97875716689</v>
      </c>
      <c r="CG789" s="26"/>
    </row>
    <row r="790" spans="1:85" s="424" customFormat="1" x14ac:dyDescent="0.3">
      <c r="A790" s="722"/>
      <c r="B790" s="722"/>
      <c r="C790" s="722"/>
      <c r="D790" s="722"/>
      <c r="E790" s="722"/>
      <c r="F790" s="722"/>
      <c r="G790" s="722"/>
      <c r="H790" s="722"/>
      <c r="I790" s="722"/>
      <c r="J790" s="722"/>
      <c r="K790" s="722"/>
      <c r="L790" s="722"/>
      <c r="M790" s="722"/>
      <c r="N790" s="722"/>
      <c r="O790" s="722"/>
      <c r="P790" s="722"/>
      <c r="Q790" s="722"/>
      <c r="R790" s="722"/>
      <c r="S790" s="722"/>
      <c r="T790" s="722"/>
      <c r="U790" s="722"/>
      <c r="V790" s="722"/>
      <c r="W790" s="722"/>
      <c r="X790" s="722"/>
      <c r="Y790" s="722"/>
      <c r="Z790" s="722"/>
      <c r="AA790" s="722"/>
      <c r="AB790" s="722"/>
      <c r="AC790" s="722"/>
      <c r="AD790" s="722"/>
      <c r="AE790" s="722"/>
      <c r="AF790" s="722"/>
      <c r="AG790" s="722"/>
      <c r="AH790" s="722"/>
      <c r="AI790" s="722"/>
      <c r="AJ790" s="722"/>
      <c r="AK790" s="722"/>
      <c r="AL790" s="722"/>
      <c r="AM790" s="722"/>
      <c r="AN790" s="722"/>
      <c r="AO790" s="722"/>
      <c r="AP790" s="722"/>
      <c r="AQ790" s="722"/>
      <c r="AR790" s="722"/>
      <c r="AS790" s="722"/>
      <c r="AT790" s="722"/>
      <c r="AU790" s="722"/>
      <c r="AV790" s="722"/>
      <c r="AW790" s="722"/>
      <c r="AX790" s="722"/>
      <c r="AY790" s="722"/>
      <c r="AZ790" s="722"/>
      <c r="BA790" s="722"/>
      <c r="BB790" s="722"/>
      <c r="BC790" s="722"/>
      <c r="BD790" s="722"/>
      <c r="BE790" s="722"/>
      <c r="BF790" s="722"/>
      <c r="BG790" s="722"/>
      <c r="BH790" s="722"/>
      <c r="BI790" s="722"/>
      <c r="BJ790" s="722"/>
      <c r="BK790" s="722"/>
      <c r="BL790" s="722"/>
      <c r="BM790" s="722"/>
      <c r="BN790" s="722"/>
      <c r="BO790" s="722"/>
      <c r="BP790" s="722"/>
      <c r="BQ790" s="722"/>
      <c r="BR790" s="722"/>
      <c r="BS790" s="722"/>
      <c r="BT790" s="723"/>
      <c r="BU790" s="722"/>
      <c r="BV790" s="722"/>
      <c r="BW790" s="722"/>
      <c r="BX790" s="722"/>
      <c r="BY790" s="722"/>
      <c r="BZ790" s="722"/>
      <c r="CA790" s="722"/>
      <c r="CB790" s="722"/>
      <c r="CC790" s="722"/>
      <c r="CD790" s="722"/>
      <c r="CE790" s="722"/>
      <c r="CF790" s="722"/>
      <c r="CG790" s="190"/>
    </row>
    <row r="791" spans="1:85" s="428" customFormat="1" x14ac:dyDescent="0.3">
      <c r="A791" s="216" t="s">
        <v>341</v>
      </c>
      <c r="B791" s="216"/>
      <c r="C791" s="217">
        <f t="shared" ref="C791:AH791" si="1806">ROUND(C760-C789,6)</f>
        <v>0</v>
      </c>
      <c r="D791" s="217">
        <f t="shared" si="1806"/>
        <v>0</v>
      </c>
      <c r="E791" s="217">
        <f t="shared" si="1806"/>
        <v>0</v>
      </c>
      <c r="F791" s="217">
        <f t="shared" si="1806"/>
        <v>0</v>
      </c>
      <c r="G791" s="217">
        <f t="shared" si="1806"/>
        <v>0</v>
      </c>
      <c r="H791" s="217">
        <f t="shared" si="1806"/>
        <v>0</v>
      </c>
      <c r="I791" s="217">
        <f t="shared" si="1806"/>
        <v>0</v>
      </c>
      <c r="J791" s="217">
        <f t="shared" si="1806"/>
        <v>0</v>
      </c>
      <c r="K791" s="217">
        <f t="shared" si="1806"/>
        <v>0</v>
      </c>
      <c r="L791" s="217">
        <f t="shared" si="1806"/>
        <v>0</v>
      </c>
      <c r="M791" s="217">
        <f t="shared" si="1806"/>
        <v>0</v>
      </c>
      <c r="N791" s="217">
        <f t="shared" si="1806"/>
        <v>0</v>
      </c>
      <c r="O791" s="217">
        <f t="shared" si="1806"/>
        <v>0</v>
      </c>
      <c r="P791" s="217">
        <f t="shared" si="1806"/>
        <v>0</v>
      </c>
      <c r="Q791" s="217">
        <f t="shared" si="1806"/>
        <v>0</v>
      </c>
      <c r="R791" s="217">
        <f t="shared" si="1806"/>
        <v>0</v>
      </c>
      <c r="S791" s="217">
        <f t="shared" si="1806"/>
        <v>0</v>
      </c>
      <c r="T791" s="217">
        <f t="shared" si="1806"/>
        <v>0</v>
      </c>
      <c r="U791" s="217">
        <f t="shared" si="1806"/>
        <v>0</v>
      </c>
      <c r="V791" s="217">
        <f t="shared" si="1806"/>
        <v>0</v>
      </c>
      <c r="W791" s="217">
        <f t="shared" si="1806"/>
        <v>0</v>
      </c>
      <c r="X791" s="217">
        <f t="shared" si="1806"/>
        <v>0</v>
      </c>
      <c r="Y791" s="217">
        <f t="shared" si="1806"/>
        <v>0</v>
      </c>
      <c r="Z791" s="217">
        <f t="shared" si="1806"/>
        <v>0</v>
      </c>
      <c r="AA791" s="217">
        <f t="shared" si="1806"/>
        <v>0</v>
      </c>
      <c r="AB791" s="217">
        <f t="shared" si="1806"/>
        <v>0</v>
      </c>
      <c r="AC791" s="217">
        <f t="shared" si="1806"/>
        <v>0</v>
      </c>
      <c r="AD791" s="217">
        <f t="shared" si="1806"/>
        <v>0</v>
      </c>
      <c r="AE791" s="217">
        <f t="shared" si="1806"/>
        <v>0</v>
      </c>
      <c r="AF791" s="217">
        <f t="shared" si="1806"/>
        <v>0</v>
      </c>
      <c r="AG791" s="217">
        <f t="shared" si="1806"/>
        <v>0</v>
      </c>
      <c r="AH791" s="217">
        <f t="shared" si="1806"/>
        <v>0</v>
      </c>
      <c r="AI791" s="217">
        <f t="shared" ref="AI791:BN791" si="1807">ROUND(AI760-AI789,6)</f>
        <v>0</v>
      </c>
      <c r="AJ791" s="217">
        <f t="shared" si="1807"/>
        <v>0</v>
      </c>
      <c r="AK791" s="217">
        <f t="shared" si="1807"/>
        <v>0</v>
      </c>
      <c r="AL791" s="217">
        <f t="shared" si="1807"/>
        <v>0</v>
      </c>
      <c r="AM791" s="217">
        <f t="shared" si="1807"/>
        <v>0</v>
      </c>
      <c r="AN791" s="217">
        <f t="shared" si="1807"/>
        <v>0</v>
      </c>
      <c r="AO791" s="217">
        <f t="shared" si="1807"/>
        <v>0</v>
      </c>
      <c r="AP791" s="217">
        <f t="shared" si="1807"/>
        <v>0</v>
      </c>
      <c r="AQ791" s="217">
        <f t="shared" si="1807"/>
        <v>0</v>
      </c>
      <c r="AR791" s="217">
        <f t="shared" si="1807"/>
        <v>0</v>
      </c>
      <c r="AS791" s="217">
        <f t="shared" si="1807"/>
        <v>0</v>
      </c>
      <c r="AT791" s="217">
        <f t="shared" si="1807"/>
        <v>0</v>
      </c>
      <c r="AU791" s="217">
        <f t="shared" si="1807"/>
        <v>0</v>
      </c>
      <c r="AV791" s="217">
        <f t="shared" si="1807"/>
        <v>0</v>
      </c>
      <c r="AW791" s="217">
        <f t="shared" si="1807"/>
        <v>0</v>
      </c>
      <c r="AX791" s="217">
        <f t="shared" si="1807"/>
        <v>0</v>
      </c>
      <c r="AY791" s="217">
        <f t="shared" si="1807"/>
        <v>0</v>
      </c>
      <c r="AZ791" s="217">
        <f t="shared" si="1807"/>
        <v>0</v>
      </c>
      <c r="BA791" s="217">
        <f t="shared" si="1807"/>
        <v>0</v>
      </c>
      <c r="BB791" s="217">
        <f t="shared" si="1807"/>
        <v>0</v>
      </c>
      <c r="BC791" s="217">
        <f t="shared" si="1807"/>
        <v>0</v>
      </c>
      <c r="BD791" s="217">
        <f t="shared" si="1807"/>
        <v>0</v>
      </c>
      <c r="BE791" s="217">
        <f t="shared" si="1807"/>
        <v>0</v>
      </c>
      <c r="BF791" s="217">
        <f t="shared" si="1807"/>
        <v>0</v>
      </c>
      <c r="BG791" s="217">
        <f t="shared" si="1807"/>
        <v>0</v>
      </c>
      <c r="BH791" s="217">
        <f t="shared" ref="BH791:BM791" si="1808">ROUND(BH760-BH789,6)</f>
        <v>0</v>
      </c>
      <c r="BI791" s="217">
        <f t="shared" si="1808"/>
        <v>0</v>
      </c>
      <c r="BJ791" s="217">
        <f t="shared" si="1808"/>
        <v>0</v>
      </c>
      <c r="BK791" s="217">
        <f t="shared" si="1808"/>
        <v>0</v>
      </c>
      <c r="BL791" s="217">
        <f t="shared" si="1808"/>
        <v>0</v>
      </c>
      <c r="BM791" s="217">
        <f t="shared" si="1808"/>
        <v>0</v>
      </c>
      <c r="BN791" s="217">
        <f t="shared" si="1807"/>
        <v>0</v>
      </c>
      <c r="BO791" s="217">
        <f t="shared" ref="BO791:BX791" si="1809">ROUND(BO760-BO789,6)</f>
        <v>0</v>
      </c>
      <c r="BP791" s="217">
        <f t="shared" si="1809"/>
        <v>0</v>
      </c>
      <c r="BQ791" s="217">
        <f t="shared" si="1809"/>
        <v>0</v>
      </c>
      <c r="BR791" s="217">
        <f t="shared" si="1809"/>
        <v>0</v>
      </c>
      <c r="BS791" s="217">
        <f t="shared" si="1809"/>
        <v>0</v>
      </c>
      <c r="BT791" s="380">
        <f>ROUND(BT760-BT789,6)</f>
        <v>0</v>
      </c>
      <c r="BU791" s="217">
        <f ca="1">ROUND(BU760-BU789,6)</f>
        <v>0</v>
      </c>
      <c r="BV791" s="217">
        <f ca="1">ROUND(BV760-BV789,6)</f>
        <v>0</v>
      </c>
      <c r="BW791" s="217">
        <f ca="1">ROUND(BW760-BW789,6)</f>
        <v>0</v>
      </c>
      <c r="BX791" s="217">
        <f t="shared" ca="1" si="1809"/>
        <v>0</v>
      </c>
      <c r="BY791" s="217">
        <f t="shared" ref="BY791:CF791" ca="1" si="1810">ROUND(BY760-BY789,6)</f>
        <v>0</v>
      </c>
      <c r="BZ791" s="217">
        <f t="shared" ca="1" si="1810"/>
        <v>0</v>
      </c>
      <c r="CA791" s="217">
        <f t="shared" ca="1" si="1810"/>
        <v>0</v>
      </c>
      <c r="CB791" s="217">
        <f t="shared" ca="1" si="1810"/>
        <v>0</v>
      </c>
      <c r="CC791" s="217">
        <f t="shared" ca="1" si="1810"/>
        <v>0</v>
      </c>
      <c r="CD791" s="217">
        <f t="shared" ca="1" si="1810"/>
        <v>0</v>
      </c>
      <c r="CE791" s="217">
        <f t="shared" ca="1" si="1810"/>
        <v>0</v>
      </c>
      <c r="CF791" s="217">
        <f t="shared" ca="1" si="1810"/>
        <v>0</v>
      </c>
      <c r="CG791" s="22"/>
    </row>
    <row r="792" spans="1:85" s="424" customFormat="1" x14ac:dyDescent="0.3">
      <c r="A792" s="722"/>
      <c r="B792" s="722"/>
      <c r="C792" s="722"/>
      <c r="D792" s="722"/>
      <c r="E792" s="722"/>
      <c r="F792" s="722"/>
      <c r="G792" s="722"/>
      <c r="H792" s="722"/>
      <c r="I792" s="722"/>
      <c r="J792" s="722"/>
      <c r="K792" s="722"/>
      <c r="L792" s="722"/>
      <c r="M792" s="722"/>
      <c r="N792" s="722"/>
      <c r="O792" s="722"/>
      <c r="P792" s="722"/>
      <c r="Q792" s="722"/>
      <c r="R792" s="722"/>
      <c r="S792" s="722"/>
      <c r="T792" s="722"/>
      <c r="U792" s="722"/>
      <c r="V792" s="722"/>
      <c r="W792" s="722"/>
      <c r="X792" s="722"/>
      <c r="Y792" s="722"/>
      <c r="Z792" s="722"/>
      <c r="AA792" s="722"/>
      <c r="AB792" s="722"/>
      <c r="AC792" s="722"/>
      <c r="AD792" s="722"/>
      <c r="AE792" s="722"/>
      <c r="AF792" s="722"/>
      <c r="AG792" s="722"/>
      <c r="AH792" s="722"/>
      <c r="AI792" s="722"/>
      <c r="AJ792" s="722"/>
      <c r="AK792" s="722"/>
      <c r="AL792" s="722"/>
      <c r="AM792" s="722"/>
      <c r="AN792" s="722"/>
      <c r="AO792" s="722"/>
      <c r="AP792" s="722"/>
      <c r="AQ792" s="722"/>
      <c r="AR792" s="722"/>
      <c r="AS792" s="722"/>
      <c r="AT792" s="722"/>
      <c r="AU792" s="722"/>
      <c r="AV792" s="722"/>
      <c r="AW792" s="722"/>
      <c r="AX792" s="722"/>
      <c r="AY792" s="722"/>
      <c r="AZ792" s="722"/>
      <c r="BA792" s="722"/>
      <c r="BB792" s="722"/>
      <c r="BC792" s="722"/>
      <c r="BD792" s="722"/>
      <c r="BE792" s="722"/>
      <c r="BF792" s="722"/>
      <c r="BG792" s="722"/>
      <c r="BH792" s="722"/>
      <c r="BI792" s="722"/>
      <c r="BJ792" s="722"/>
      <c r="BK792" s="722"/>
      <c r="BL792" s="722"/>
      <c r="BM792" s="722"/>
      <c r="BN792" s="722"/>
      <c r="BO792" s="722"/>
      <c r="BP792" s="722"/>
      <c r="BQ792" s="722"/>
      <c r="BR792" s="722"/>
      <c r="BS792" s="722"/>
      <c r="BT792" s="723"/>
      <c r="BU792" s="722"/>
      <c r="BV792" s="722"/>
      <c r="BW792" s="722"/>
      <c r="BX792" s="722"/>
      <c r="BY792" s="722"/>
      <c r="BZ792" s="722"/>
      <c r="CA792" s="722"/>
      <c r="CB792" s="722"/>
      <c r="CC792" s="722"/>
      <c r="CD792" s="722"/>
      <c r="CE792" s="722"/>
      <c r="CF792" s="722"/>
      <c r="CG792" s="190"/>
    </row>
    <row r="793" spans="1:85" s="427" customFormat="1" x14ac:dyDescent="0.3">
      <c r="A793" s="726" t="s">
        <v>342</v>
      </c>
      <c r="B793" s="726"/>
      <c r="C793" s="726"/>
      <c r="D793" s="726"/>
      <c r="E793" s="726"/>
      <c r="F793" s="726"/>
      <c r="G793" s="726"/>
      <c r="H793" s="726"/>
      <c r="I793" s="726"/>
      <c r="J793" s="726"/>
      <c r="K793" s="726"/>
      <c r="L793" s="726"/>
      <c r="M793" s="726"/>
      <c r="N793" s="726"/>
      <c r="O793" s="726"/>
      <c r="P793" s="726"/>
      <c r="Q793" s="726"/>
      <c r="R793" s="726"/>
      <c r="S793" s="726"/>
      <c r="T793" s="726"/>
      <c r="U793" s="726"/>
      <c r="V793" s="726"/>
      <c r="W793" s="726"/>
      <c r="X793" s="726"/>
      <c r="Y793" s="726"/>
      <c r="Z793" s="726"/>
      <c r="AA793" s="726"/>
      <c r="AB793" s="726"/>
      <c r="AC793" s="726"/>
      <c r="AD793" s="726"/>
      <c r="AE793" s="726"/>
      <c r="AF793" s="726"/>
      <c r="AG793" s="726"/>
      <c r="AH793" s="726"/>
      <c r="AI793" s="726"/>
      <c r="AJ793" s="726"/>
      <c r="AK793" s="726"/>
      <c r="AL793" s="726"/>
      <c r="AM793" s="726"/>
      <c r="AN793" s="726"/>
      <c r="AO793" s="726"/>
      <c r="AP793" s="726"/>
      <c r="AQ793" s="726"/>
      <c r="AR793" s="726"/>
      <c r="AS793" s="726"/>
      <c r="AT793" s="726"/>
      <c r="AU793" s="726"/>
      <c r="AV793" s="726"/>
      <c r="AW793" s="726"/>
      <c r="AX793" s="726"/>
      <c r="AY793" s="726"/>
      <c r="AZ793" s="726"/>
      <c r="BA793" s="726"/>
      <c r="BB793" s="726"/>
      <c r="BC793" s="726"/>
      <c r="BD793" s="726"/>
      <c r="BE793" s="726"/>
      <c r="BF793" s="726"/>
      <c r="BG793" s="726"/>
      <c r="BH793" s="726"/>
      <c r="BI793" s="726"/>
      <c r="BJ793" s="726"/>
      <c r="BK793" s="726"/>
      <c r="BL793" s="726"/>
      <c r="BM793" s="726"/>
      <c r="BN793" s="726"/>
      <c r="BO793" s="726"/>
      <c r="BP793" s="726"/>
      <c r="BQ793" s="726"/>
      <c r="BR793" s="726"/>
      <c r="BS793" s="726"/>
      <c r="BT793" s="727"/>
      <c r="BU793" s="726"/>
      <c r="BV793" s="726"/>
      <c r="BW793" s="726"/>
      <c r="BX793" s="726"/>
      <c r="BY793" s="726"/>
      <c r="BZ793" s="726"/>
      <c r="CA793" s="726"/>
      <c r="CB793" s="726"/>
      <c r="CC793" s="726"/>
      <c r="CD793" s="726"/>
      <c r="CE793" s="726"/>
      <c r="CF793" s="726"/>
      <c r="CG793" s="321"/>
    </row>
    <row r="794" spans="1:85" s="428" customFormat="1" x14ac:dyDescent="0.3">
      <c r="A794" s="22" t="s">
        <v>343</v>
      </c>
      <c r="B794" s="298"/>
      <c r="C794" s="217">
        <f t="shared" ref="C794:AH794" si="1811">IF(ISBLANK(INDEX(MO_IS_FirstRow,0,COLUMN())),0,ROUND(C681-C516,6))</f>
        <v>0</v>
      </c>
      <c r="D794" s="217">
        <f t="shared" si="1811"/>
        <v>0</v>
      </c>
      <c r="E794" s="217">
        <f t="shared" si="1811"/>
        <v>0</v>
      </c>
      <c r="F794" s="217">
        <f t="shared" si="1811"/>
        <v>0</v>
      </c>
      <c r="G794" s="217">
        <f t="shared" si="1811"/>
        <v>0</v>
      </c>
      <c r="H794" s="217">
        <f t="shared" si="1811"/>
        <v>0</v>
      </c>
      <c r="I794" s="217">
        <f t="shared" si="1811"/>
        <v>0</v>
      </c>
      <c r="J794" s="217">
        <f t="shared" si="1811"/>
        <v>0</v>
      </c>
      <c r="K794" s="217">
        <f t="shared" si="1811"/>
        <v>0</v>
      </c>
      <c r="L794" s="217">
        <f t="shared" si="1811"/>
        <v>0</v>
      </c>
      <c r="M794" s="217">
        <f t="shared" si="1811"/>
        <v>0</v>
      </c>
      <c r="N794" s="217">
        <f t="shared" si="1811"/>
        <v>0</v>
      </c>
      <c r="O794" s="217">
        <f t="shared" si="1811"/>
        <v>0</v>
      </c>
      <c r="P794" s="217">
        <f t="shared" si="1811"/>
        <v>0</v>
      </c>
      <c r="Q794" s="217">
        <f t="shared" si="1811"/>
        <v>0</v>
      </c>
      <c r="R794" s="217">
        <f t="shared" si="1811"/>
        <v>0</v>
      </c>
      <c r="S794" s="217">
        <f t="shared" si="1811"/>
        <v>0</v>
      </c>
      <c r="T794" s="217">
        <f t="shared" si="1811"/>
        <v>0</v>
      </c>
      <c r="U794" s="217">
        <f t="shared" si="1811"/>
        <v>0</v>
      </c>
      <c r="V794" s="217">
        <f t="shared" si="1811"/>
        <v>0</v>
      </c>
      <c r="W794" s="217">
        <f t="shared" si="1811"/>
        <v>0</v>
      </c>
      <c r="X794" s="217">
        <f t="shared" si="1811"/>
        <v>0</v>
      </c>
      <c r="Y794" s="217">
        <f t="shared" si="1811"/>
        <v>0</v>
      </c>
      <c r="Z794" s="217">
        <f t="shared" si="1811"/>
        <v>0</v>
      </c>
      <c r="AA794" s="217">
        <f t="shared" si="1811"/>
        <v>0</v>
      </c>
      <c r="AB794" s="217">
        <f t="shared" si="1811"/>
        <v>0</v>
      </c>
      <c r="AC794" s="217">
        <f t="shared" si="1811"/>
        <v>0</v>
      </c>
      <c r="AD794" s="217">
        <f t="shared" si="1811"/>
        <v>0</v>
      </c>
      <c r="AE794" s="217">
        <f t="shared" si="1811"/>
        <v>0</v>
      </c>
      <c r="AF794" s="217">
        <f t="shared" si="1811"/>
        <v>0</v>
      </c>
      <c r="AG794" s="217">
        <f t="shared" si="1811"/>
        <v>0</v>
      </c>
      <c r="AH794" s="217">
        <f t="shared" si="1811"/>
        <v>0</v>
      </c>
      <c r="AI794" s="217">
        <f t="shared" ref="AI794:BD794" si="1812">IF(ISBLANK(INDEX(MO_IS_FirstRow,0,COLUMN())),0,ROUND(AI681-AI516,6))</f>
        <v>0</v>
      </c>
      <c r="AJ794" s="217">
        <f t="shared" si="1812"/>
        <v>0</v>
      </c>
      <c r="AK794" s="217">
        <f t="shared" si="1812"/>
        <v>0</v>
      </c>
      <c r="AL794" s="217">
        <f t="shared" si="1812"/>
        <v>0</v>
      </c>
      <c r="AM794" s="217">
        <f t="shared" si="1812"/>
        <v>0</v>
      </c>
      <c r="AN794" s="217">
        <f t="shared" si="1812"/>
        <v>0</v>
      </c>
      <c r="AO794" s="217">
        <f t="shared" si="1812"/>
        <v>0</v>
      </c>
      <c r="AP794" s="217">
        <f t="shared" si="1812"/>
        <v>0</v>
      </c>
      <c r="AQ794" s="217">
        <f t="shared" si="1812"/>
        <v>0</v>
      </c>
      <c r="AR794" s="217">
        <f t="shared" si="1812"/>
        <v>0</v>
      </c>
      <c r="AS794" s="217">
        <f t="shared" si="1812"/>
        <v>0</v>
      </c>
      <c r="AT794" s="217">
        <f t="shared" si="1812"/>
        <v>0</v>
      </c>
      <c r="AU794" s="217">
        <f t="shared" si="1812"/>
        <v>0</v>
      </c>
      <c r="AV794" s="217">
        <f t="shared" si="1812"/>
        <v>0</v>
      </c>
      <c r="AW794" s="217">
        <f t="shared" si="1812"/>
        <v>0</v>
      </c>
      <c r="AX794" s="217">
        <f t="shared" si="1812"/>
        <v>0</v>
      </c>
      <c r="AY794" s="217">
        <f t="shared" si="1812"/>
        <v>0</v>
      </c>
      <c r="AZ794" s="217">
        <f t="shared" si="1812"/>
        <v>0</v>
      </c>
      <c r="BA794" s="217">
        <f t="shared" si="1812"/>
        <v>0</v>
      </c>
      <c r="BB794" s="217">
        <f t="shared" si="1812"/>
        <v>0</v>
      </c>
      <c r="BC794" s="217">
        <f t="shared" si="1812"/>
        <v>0</v>
      </c>
      <c r="BD794" s="217">
        <f t="shared" si="1812"/>
        <v>0</v>
      </c>
      <c r="BE794" s="217">
        <f t="shared" ref="BE794:BI794" si="1813">IF(ISBLANK(INDEX(MO_IS_FirstRow,0,COLUMN())),0,ROUND(BE681-BE516,6))</f>
        <v>0</v>
      </c>
      <c r="BF794" s="217">
        <f t="shared" si="1813"/>
        <v>0</v>
      </c>
      <c r="BG794" s="217">
        <f t="shared" si="1813"/>
        <v>0</v>
      </c>
      <c r="BH794" s="217">
        <f t="shared" si="1813"/>
        <v>0</v>
      </c>
      <c r="BI794" s="217">
        <f t="shared" si="1813"/>
        <v>0</v>
      </c>
      <c r="BJ794" s="217">
        <f t="shared" ref="BJ794:BX794" si="1814">IF(ISBLANK(INDEX(MO_IS_FirstRow,0,COLUMN())),0,ROUND(BJ681-BJ516,6))</f>
        <v>0</v>
      </c>
      <c r="BK794" s="217">
        <f t="shared" si="1814"/>
        <v>0</v>
      </c>
      <c r="BL794" s="217">
        <f t="shared" si="1814"/>
        <v>0</v>
      </c>
      <c r="BM794" s="217">
        <f t="shared" si="1814"/>
        <v>0</v>
      </c>
      <c r="BN794" s="217">
        <f t="shared" si="1814"/>
        <v>0</v>
      </c>
      <c r="BO794" s="217">
        <f t="shared" ref="BO794:BW794" si="1815">IF(ISBLANK(INDEX(MO_IS_FirstRow,0,COLUMN())),0,ROUND(BO681-BO516,6))</f>
        <v>0</v>
      </c>
      <c r="BP794" s="217">
        <f t="shared" si="1815"/>
        <v>0</v>
      </c>
      <c r="BQ794" s="217">
        <f t="shared" si="1815"/>
        <v>0</v>
      </c>
      <c r="BR794" s="217">
        <f t="shared" si="1815"/>
        <v>0</v>
      </c>
      <c r="BS794" s="217">
        <f t="shared" si="1815"/>
        <v>0</v>
      </c>
      <c r="BT794" s="380">
        <f>IF(ISBLANK(INDEX(MO_IS_FirstRow,0,COLUMN())),0,ROUND(BT681-BT516,6))</f>
        <v>0</v>
      </c>
      <c r="BU794" s="217">
        <f t="shared" si="1815"/>
        <v>0</v>
      </c>
      <c r="BV794" s="217">
        <f t="shared" si="1815"/>
        <v>0</v>
      </c>
      <c r="BW794" s="217">
        <f t="shared" si="1815"/>
        <v>0</v>
      </c>
      <c r="BX794" s="217">
        <f t="shared" si="1814"/>
        <v>0</v>
      </c>
      <c r="BY794" s="217">
        <f t="shared" ref="BY794:CF794" si="1816">IF(ISBLANK(INDEX(MO_IS_FirstRow,0,COLUMN())),0,ROUND(BY681-BY516,6))</f>
        <v>0</v>
      </c>
      <c r="BZ794" s="217">
        <f t="shared" si="1816"/>
        <v>0</v>
      </c>
      <c r="CA794" s="217">
        <f t="shared" si="1816"/>
        <v>0</v>
      </c>
      <c r="CB794" s="217">
        <f t="shared" si="1816"/>
        <v>0</v>
      </c>
      <c r="CC794" s="217">
        <f t="shared" si="1816"/>
        <v>0</v>
      </c>
      <c r="CD794" s="217">
        <f t="shared" si="1816"/>
        <v>0</v>
      </c>
      <c r="CE794" s="217">
        <f t="shared" si="1816"/>
        <v>0</v>
      </c>
      <c r="CF794" s="217">
        <f t="shared" si="1816"/>
        <v>0</v>
      </c>
      <c r="CG794" s="22"/>
    </row>
    <row r="795" spans="1:85" s="424" customFormat="1" x14ac:dyDescent="0.3">
      <c r="A795" s="190" t="s">
        <v>344</v>
      </c>
      <c r="B795" s="363"/>
      <c r="C795" s="756">
        <f t="shared" ref="C795:AH795" si="1817">IF(ISBLANK(INDEX(MO_IS_FirstRow,0,COLUMN())),0,ROUND(C420-C516,6))</f>
        <v>0</v>
      </c>
      <c r="D795" s="756">
        <f t="shared" si="1817"/>
        <v>0</v>
      </c>
      <c r="E795" s="756">
        <f t="shared" si="1817"/>
        <v>0</v>
      </c>
      <c r="F795" s="756">
        <f t="shared" si="1817"/>
        <v>0</v>
      </c>
      <c r="G795" s="756">
        <f t="shared" si="1817"/>
        <v>0</v>
      </c>
      <c r="H795" s="756">
        <f t="shared" si="1817"/>
        <v>0</v>
      </c>
      <c r="I795" s="756">
        <f t="shared" si="1817"/>
        <v>0</v>
      </c>
      <c r="J795" s="756">
        <f t="shared" si="1817"/>
        <v>0</v>
      </c>
      <c r="K795" s="756">
        <f t="shared" si="1817"/>
        <v>0</v>
      </c>
      <c r="L795" s="756">
        <f t="shared" si="1817"/>
        <v>0</v>
      </c>
      <c r="M795" s="756">
        <f t="shared" si="1817"/>
        <v>0</v>
      </c>
      <c r="N795" s="756">
        <f t="shared" si="1817"/>
        <v>0</v>
      </c>
      <c r="O795" s="756">
        <f t="shared" si="1817"/>
        <v>0</v>
      </c>
      <c r="P795" s="756">
        <f t="shared" si="1817"/>
        <v>0</v>
      </c>
      <c r="Q795" s="756">
        <f t="shared" si="1817"/>
        <v>0</v>
      </c>
      <c r="R795" s="756">
        <f t="shared" si="1817"/>
        <v>0</v>
      </c>
      <c r="S795" s="756">
        <f t="shared" si="1817"/>
        <v>0</v>
      </c>
      <c r="T795" s="756">
        <f t="shared" si="1817"/>
        <v>0</v>
      </c>
      <c r="U795" s="756">
        <f t="shared" si="1817"/>
        <v>0</v>
      </c>
      <c r="V795" s="756">
        <f t="shared" si="1817"/>
        <v>0</v>
      </c>
      <c r="W795" s="756">
        <f t="shared" si="1817"/>
        <v>0</v>
      </c>
      <c r="X795" s="756">
        <f t="shared" si="1817"/>
        <v>0</v>
      </c>
      <c r="Y795" s="756">
        <f t="shared" si="1817"/>
        <v>0</v>
      </c>
      <c r="Z795" s="756">
        <f t="shared" si="1817"/>
        <v>0</v>
      </c>
      <c r="AA795" s="756">
        <f t="shared" si="1817"/>
        <v>0</v>
      </c>
      <c r="AB795" s="756">
        <f t="shared" si="1817"/>
        <v>0</v>
      </c>
      <c r="AC795" s="756">
        <f t="shared" si="1817"/>
        <v>0</v>
      </c>
      <c r="AD795" s="756">
        <f t="shared" si="1817"/>
        <v>0</v>
      </c>
      <c r="AE795" s="756">
        <f t="shared" si="1817"/>
        <v>0</v>
      </c>
      <c r="AF795" s="756">
        <f t="shared" si="1817"/>
        <v>0</v>
      </c>
      <c r="AG795" s="756">
        <f t="shared" si="1817"/>
        <v>0</v>
      </c>
      <c r="AH795" s="756">
        <f t="shared" si="1817"/>
        <v>0</v>
      </c>
      <c r="AI795" s="756">
        <f t="shared" ref="AI795:BN795" si="1818">IF(ISBLANK(INDEX(MO_IS_FirstRow,0,COLUMN())),0,ROUND(AI420-AI516,6))</f>
        <v>0</v>
      </c>
      <c r="AJ795" s="756">
        <f t="shared" si="1818"/>
        <v>0</v>
      </c>
      <c r="AK795" s="756">
        <f t="shared" si="1818"/>
        <v>0</v>
      </c>
      <c r="AL795" s="756">
        <f t="shared" si="1818"/>
        <v>0</v>
      </c>
      <c r="AM795" s="756">
        <f t="shared" si="1818"/>
        <v>0</v>
      </c>
      <c r="AN795" s="756">
        <f t="shared" si="1818"/>
        <v>0</v>
      </c>
      <c r="AO795" s="756">
        <f t="shared" si="1818"/>
        <v>0</v>
      </c>
      <c r="AP795" s="756">
        <f t="shared" si="1818"/>
        <v>0</v>
      </c>
      <c r="AQ795" s="756">
        <f t="shared" si="1818"/>
        <v>0</v>
      </c>
      <c r="AR795" s="756">
        <f t="shared" si="1818"/>
        <v>0</v>
      </c>
      <c r="AS795" s="756">
        <f t="shared" si="1818"/>
        <v>0</v>
      </c>
      <c r="AT795" s="756">
        <f t="shared" si="1818"/>
        <v>0</v>
      </c>
      <c r="AU795" s="756">
        <f t="shared" si="1818"/>
        <v>0</v>
      </c>
      <c r="AV795" s="756">
        <f t="shared" si="1818"/>
        <v>0</v>
      </c>
      <c r="AW795" s="756">
        <f t="shared" si="1818"/>
        <v>0</v>
      </c>
      <c r="AX795" s="756">
        <f t="shared" si="1818"/>
        <v>0</v>
      </c>
      <c r="AY795" s="756">
        <f t="shared" si="1818"/>
        <v>0</v>
      </c>
      <c r="AZ795" s="756">
        <f t="shared" si="1818"/>
        <v>0</v>
      </c>
      <c r="BA795" s="756">
        <f t="shared" si="1818"/>
        <v>0</v>
      </c>
      <c r="BB795" s="756">
        <f t="shared" si="1818"/>
        <v>0</v>
      </c>
      <c r="BC795" s="756">
        <f t="shared" si="1818"/>
        <v>0</v>
      </c>
      <c r="BD795" s="756">
        <f t="shared" si="1818"/>
        <v>0</v>
      </c>
      <c r="BE795" s="756">
        <f t="shared" si="1818"/>
        <v>0</v>
      </c>
      <c r="BF795" s="756">
        <f t="shared" si="1818"/>
        <v>0</v>
      </c>
      <c r="BG795" s="756">
        <f t="shared" si="1818"/>
        <v>0</v>
      </c>
      <c r="BH795" s="756">
        <f t="shared" si="1818"/>
        <v>0</v>
      </c>
      <c r="BI795" s="756">
        <f t="shared" si="1818"/>
        <v>0</v>
      </c>
      <c r="BJ795" s="756">
        <f t="shared" si="1818"/>
        <v>0</v>
      </c>
      <c r="BK795" s="756">
        <f t="shared" si="1818"/>
        <v>0</v>
      </c>
      <c r="BL795" s="756">
        <f t="shared" si="1818"/>
        <v>0</v>
      </c>
      <c r="BM795" s="756">
        <f t="shared" si="1818"/>
        <v>0</v>
      </c>
      <c r="BN795" s="756">
        <f t="shared" si="1818"/>
        <v>0</v>
      </c>
      <c r="BO795" s="756">
        <f t="shared" ref="BO795:BX795" si="1819">IF(ISBLANK(INDEX(MO_IS_FirstRow,0,COLUMN())),0,ROUND(BO420-BO516,6))</f>
        <v>0</v>
      </c>
      <c r="BP795" s="756">
        <f t="shared" si="1819"/>
        <v>0</v>
      </c>
      <c r="BQ795" s="756">
        <f t="shared" si="1819"/>
        <v>0</v>
      </c>
      <c r="BR795" s="756">
        <f t="shared" ref="BR795:BW795" si="1820">IF(ISBLANK(INDEX(MO_IS_FirstRow,0,COLUMN())),0,ROUND(BR420-BR516,6))</f>
        <v>0</v>
      </c>
      <c r="BS795" s="756">
        <f t="shared" si="1820"/>
        <v>0</v>
      </c>
      <c r="BT795" s="757">
        <f>IF(ISBLANK(INDEX(MO_IS_FirstRow,0,COLUMN())),0,ROUND(BT420-BT516,6))</f>
        <v>0</v>
      </c>
      <c r="BU795" s="756">
        <f t="shared" si="1820"/>
        <v>0</v>
      </c>
      <c r="BV795" s="756">
        <f t="shared" si="1820"/>
        <v>0</v>
      </c>
      <c r="BW795" s="756">
        <f t="shared" si="1820"/>
        <v>0</v>
      </c>
      <c r="BX795" s="756">
        <f t="shared" si="1819"/>
        <v>0</v>
      </c>
      <c r="BY795" s="756">
        <f t="shared" ref="BY795:CF795" si="1821">IF(ISBLANK(INDEX(MO_IS_FirstRow,0,COLUMN())),0,ROUND(BY420-BY516,6))</f>
        <v>0</v>
      </c>
      <c r="BZ795" s="756">
        <f t="shared" si="1821"/>
        <v>0</v>
      </c>
      <c r="CA795" s="756">
        <f t="shared" si="1821"/>
        <v>0</v>
      </c>
      <c r="CB795" s="756">
        <f t="shared" si="1821"/>
        <v>0</v>
      </c>
      <c r="CC795" s="756">
        <f t="shared" si="1821"/>
        <v>0</v>
      </c>
      <c r="CD795" s="756">
        <f t="shared" si="1821"/>
        <v>0</v>
      </c>
      <c r="CE795" s="756">
        <f t="shared" si="1821"/>
        <v>0</v>
      </c>
      <c r="CF795" s="756">
        <f t="shared" si="1821"/>
        <v>0</v>
      </c>
      <c r="CG795" s="190"/>
    </row>
    <row r="796" spans="1:85" s="424" customFormat="1" x14ac:dyDescent="0.3">
      <c r="A796" s="190" t="s">
        <v>584</v>
      </c>
      <c r="B796" s="363"/>
      <c r="C796" s="756">
        <f t="shared" ref="C796:AH796" si="1822">IF(C587&lt;0,C587,0)</f>
        <v>0</v>
      </c>
      <c r="D796" s="756">
        <f t="shared" si="1822"/>
        <v>0</v>
      </c>
      <c r="E796" s="756">
        <f t="shared" si="1822"/>
        <v>0</v>
      </c>
      <c r="F796" s="756">
        <f t="shared" si="1822"/>
        <v>0</v>
      </c>
      <c r="G796" s="756">
        <f t="shared" si="1822"/>
        <v>0</v>
      </c>
      <c r="H796" s="756">
        <f t="shared" si="1822"/>
        <v>0</v>
      </c>
      <c r="I796" s="756">
        <f t="shared" si="1822"/>
        <v>0</v>
      </c>
      <c r="J796" s="756">
        <f t="shared" si="1822"/>
        <v>0</v>
      </c>
      <c r="K796" s="756">
        <f t="shared" si="1822"/>
        <v>0</v>
      </c>
      <c r="L796" s="756">
        <f t="shared" si="1822"/>
        <v>0</v>
      </c>
      <c r="M796" s="756">
        <f t="shared" si="1822"/>
        <v>0</v>
      </c>
      <c r="N796" s="756">
        <f t="shared" si="1822"/>
        <v>0</v>
      </c>
      <c r="O796" s="756">
        <f t="shared" si="1822"/>
        <v>0</v>
      </c>
      <c r="P796" s="756">
        <f t="shared" si="1822"/>
        <v>0</v>
      </c>
      <c r="Q796" s="756">
        <f t="shared" si="1822"/>
        <v>0</v>
      </c>
      <c r="R796" s="756">
        <f t="shared" si="1822"/>
        <v>0</v>
      </c>
      <c r="S796" s="756">
        <f t="shared" si="1822"/>
        <v>0</v>
      </c>
      <c r="T796" s="756">
        <f t="shared" si="1822"/>
        <v>0</v>
      </c>
      <c r="U796" s="756">
        <f t="shared" si="1822"/>
        <v>0</v>
      </c>
      <c r="V796" s="756">
        <f t="shared" si="1822"/>
        <v>0</v>
      </c>
      <c r="W796" s="756">
        <f t="shared" si="1822"/>
        <v>0</v>
      </c>
      <c r="X796" s="756">
        <f t="shared" si="1822"/>
        <v>0</v>
      </c>
      <c r="Y796" s="756">
        <f t="shared" si="1822"/>
        <v>0</v>
      </c>
      <c r="Z796" s="756">
        <f t="shared" si="1822"/>
        <v>0</v>
      </c>
      <c r="AA796" s="756">
        <f t="shared" si="1822"/>
        <v>0</v>
      </c>
      <c r="AB796" s="756">
        <f t="shared" si="1822"/>
        <v>0</v>
      </c>
      <c r="AC796" s="756">
        <f t="shared" si="1822"/>
        <v>0</v>
      </c>
      <c r="AD796" s="756">
        <f t="shared" si="1822"/>
        <v>0</v>
      </c>
      <c r="AE796" s="756">
        <f t="shared" si="1822"/>
        <v>0</v>
      </c>
      <c r="AF796" s="756">
        <f t="shared" si="1822"/>
        <v>0</v>
      </c>
      <c r="AG796" s="756">
        <f t="shared" si="1822"/>
        <v>0</v>
      </c>
      <c r="AH796" s="756">
        <f t="shared" si="1822"/>
        <v>0</v>
      </c>
      <c r="AI796" s="756">
        <f t="shared" ref="AI796:BD796" si="1823">IF(AI587&lt;0,AI587,0)</f>
        <v>0</v>
      </c>
      <c r="AJ796" s="756">
        <f t="shared" si="1823"/>
        <v>0</v>
      </c>
      <c r="AK796" s="756">
        <f t="shared" si="1823"/>
        <v>0</v>
      </c>
      <c r="AL796" s="756">
        <f t="shared" si="1823"/>
        <v>0</v>
      </c>
      <c r="AM796" s="756">
        <f t="shared" si="1823"/>
        <v>0</v>
      </c>
      <c r="AN796" s="756">
        <f t="shared" si="1823"/>
        <v>0</v>
      </c>
      <c r="AO796" s="756">
        <f t="shared" si="1823"/>
        <v>0</v>
      </c>
      <c r="AP796" s="756">
        <f t="shared" si="1823"/>
        <v>0</v>
      </c>
      <c r="AQ796" s="756">
        <f t="shared" si="1823"/>
        <v>0</v>
      </c>
      <c r="AR796" s="756">
        <f t="shared" si="1823"/>
        <v>0</v>
      </c>
      <c r="AS796" s="756">
        <f t="shared" si="1823"/>
        <v>0</v>
      </c>
      <c r="AT796" s="756">
        <f t="shared" si="1823"/>
        <v>0</v>
      </c>
      <c r="AU796" s="756">
        <f t="shared" si="1823"/>
        <v>0</v>
      </c>
      <c r="AV796" s="756">
        <f t="shared" si="1823"/>
        <v>0</v>
      </c>
      <c r="AW796" s="756">
        <f t="shared" si="1823"/>
        <v>0</v>
      </c>
      <c r="AX796" s="756">
        <f t="shared" si="1823"/>
        <v>0</v>
      </c>
      <c r="AY796" s="756">
        <f t="shared" si="1823"/>
        <v>0</v>
      </c>
      <c r="AZ796" s="756">
        <f t="shared" si="1823"/>
        <v>0</v>
      </c>
      <c r="BA796" s="756">
        <f t="shared" si="1823"/>
        <v>0</v>
      </c>
      <c r="BB796" s="756">
        <f t="shared" si="1823"/>
        <v>0</v>
      </c>
      <c r="BC796" s="756">
        <f t="shared" si="1823"/>
        <v>0</v>
      </c>
      <c r="BD796" s="756">
        <f t="shared" si="1823"/>
        <v>0</v>
      </c>
      <c r="BE796" s="756">
        <f t="shared" ref="BE796:BI796" si="1824">IF(BE587&lt;0,BE587,0)</f>
        <v>0</v>
      </c>
      <c r="BF796" s="756">
        <f t="shared" si="1824"/>
        <v>0</v>
      </c>
      <c r="BG796" s="756">
        <f t="shared" si="1824"/>
        <v>0</v>
      </c>
      <c r="BH796" s="756">
        <f t="shared" si="1824"/>
        <v>0</v>
      </c>
      <c r="BI796" s="756">
        <f t="shared" si="1824"/>
        <v>0</v>
      </c>
      <c r="BJ796" s="756">
        <f t="shared" ref="BJ796:BX796" si="1825">IF(BJ587&lt;0,BJ587,0)</f>
        <v>0</v>
      </c>
      <c r="BK796" s="756">
        <f t="shared" si="1825"/>
        <v>0</v>
      </c>
      <c r="BL796" s="756">
        <f t="shared" si="1825"/>
        <v>0</v>
      </c>
      <c r="BM796" s="756">
        <f t="shared" si="1825"/>
        <v>0</v>
      </c>
      <c r="BN796" s="756">
        <f t="shared" si="1825"/>
        <v>0</v>
      </c>
      <c r="BO796" s="756">
        <f t="shared" ref="BO796:BW796" si="1826">IF(BO587&lt;0,BO587,0)</f>
        <v>0</v>
      </c>
      <c r="BP796" s="756">
        <f t="shared" si="1826"/>
        <v>0</v>
      </c>
      <c r="BQ796" s="756">
        <f t="shared" si="1826"/>
        <v>0</v>
      </c>
      <c r="BR796" s="756">
        <f t="shared" si="1826"/>
        <v>0</v>
      </c>
      <c r="BS796" s="756">
        <f t="shared" si="1826"/>
        <v>0</v>
      </c>
      <c r="BT796" s="757">
        <f>IF(BT587&lt;0,BT587,0)</f>
        <v>0</v>
      </c>
      <c r="BU796" s="756">
        <f t="shared" ca="1" si="1826"/>
        <v>0</v>
      </c>
      <c r="BV796" s="756">
        <f t="shared" ca="1" si="1826"/>
        <v>0</v>
      </c>
      <c r="BW796" s="756">
        <f t="shared" ca="1" si="1826"/>
        <v>0</v>
      </c>
      <c r="BX796" s="756">
        <f t="shared" ca="1" si="1825"/>
        <v>0</v>
      </c>
      <c r="BY796" s="756">
        <f t="shared" ref="BY796:CF796" ca="1" si="1827">IF(BY587&lt;0,BY587,0)</f>
        <v>0</v>
      </c>
      <c r="BZ796" s="756">
        <f t="shared" ca="1" si="1827"/>
        <v>0</v>
      </c>
      <c r="CA796" s="756">
        <f t="shared" ca="1" si="1827"/>
        <v>0</v>
      </c>
      <c r="CB796" s="756">
        <f t="shared" ca="1" si="1827"/>
        <v>0</v>
      </c>
      <c r="CC796" s="756">
        <f t="shared" ca="1" si="1827"/>
        <v>0</v>
      </c>
      <c r="CD796" s="756">
        <f t="shared" ca="1" si="1827"/>
        <v>0</v>
      </c>
      <c r="CE796" s="756">
        <f t="shared" ca="1" si="1827"/>
        <v>0</v>
      </c>
      <c r="CF796" s="756">
        <f t="shared" ca="1" si="1827"/>
        <v>0</v>
      </c>
      <c r="CG796" s="190"/>
    </row>
    <row r="797" spans="1:85" s="424" customFormat="1" x14ac:dyDescent="0.3">
      <c r="A797" s="190" t="s">
        <v>585</v>
      </c>
      <c r="B797" s="363"/>
      <c r="C797" s="756">
        <f t="shared" ref="C797:AH797" si="1828">IF(C590&lt;0,C590,0)</f>
        <v>0</v>
      </c>
      <c r="D797" s="756">
        <f t="shared" si="1828"/>
        <v>0</v>
      </c>
      <c r="E797" s="756">
        <f t="shared" si="1828"/>
        <v>0</v>
      </c>
      <c r="F797" s="756">
        <f t="shared" si="1828"/>
        <v>0</v>
      </c>
      <c r="G797" s="756">
        <f t="shared" si="1828"/>
        <v>0</v>
      </c>
      <c r="H797" s="756">
        <f t="shared" si="1828"/>
        <v>0</v>
      </c>
      <c r="I797" s="756">
        <f t="shared" si="1828"/>
        <v>0</v>
      </c>
      <c r="J797" s="756">
        <f t="shared" si="1828"/>
        <v>0</v>
      </c>
      <c r="K797" s="756">
        <f t="shared" si="1828"/>
        <v>0</v>
      </c>
      <c r="L797" s="756">
        <f t="shared" si="1828"/>
        <v>0</v>
      </c>
      <c r="M797" s="756">
        <f t="shared" si="1828"/>
        <v>0</v>
      </c>
      <c r="N797" s="756">
        <f t="shared" si="1828"/>
        <v>0</v>
      </c>
      <c r="O797" s="756">
        <f t="shared" si="1828"/>
        <v>0</v>
      </c>
      <c r="P797" s="756">
        <f t="shared" si="1828"/>
        <v>0</v>
      </c>
      <c r="Q797" s="756">
        <f t="shared" si="1828"/>
        <v>0</v>
      </c>
      <c r="R797" s="756">
        <f t="shared" si="1828"/>
        <v>0</v>
      </c>
      <c r="S797" s="756">
        <f t="shared" si="1828"/>
        <v>0</v>
      </c>
      <c r="T797" s="756">
        <f t="shared" si="1828"/>
        <v>0</v>
      </c>
      <c r="U797" s="756">
        <f t="shared" si="1828"/>
        <v>0</v>
      </c>
      <c r="V797" s="756">
        <f t="shared" si="1828"/>
        <v>0</v>
      </c>
      <c r="W797" s="756">
        <f t="shared" si="1828"/>
        <v>0</v>
      </c>
      <c r="X797" s="756">
        <f t="shared" si="1828"/>
        <v>0</v>
      </c>
      <c r="Y797" s="756">
        <f t="shared" si="1828"/>
        <v>0</v>
      </c>
      <c r="Z797" s="756">
        <f t="shared" si="1828"/>
        <v>0</v>
      </c>
      <c r="AA797" s="756">
        <f t="shared" si="1828"/>
        <v>0</v>
      </c>
      <c r="AB797" s="756">
        <f t="shared" si="1828"/>
        <v>0</v>
      </c>
      <c r="AC797" s="756">
        <f t="shared" si="1828"/>
        <v>0</v>
      </c>
      <c r="AD797" s="756">
        <f t="shared" si="1828"/>
        <v>0</v>
      </c>
      <c r="AE797" s="756">
        <f t="shared" si="1828"/>
        <v>0</v>
      </c>
      <c r="AF797" s="756">
        <f t="shared" si="1828"/>
        <v>0</v>
      </c>
      <c r="AG797" s="756">
        <f t="shared" si="1828"/>
        <v>0</v>
      </c>
      <c r="AH797" s="756">
        <f t="shared" si="1828"/>
        <v>0</v>
      </c>
      <c r="AI797" s="756">
        <f t="shared" ref="AI797:BD797" si="1829">IF(AI590&lt;0,AI590,0)</f>
        <v>0</v>
      </c>
      <c r="AJ797" s="756">
        <f t="shared" si="1829"/>
        <v>0</v>
      </c>
      <c r="AK797" s="756">
        <f t="shared" si="1829"/>
        <v>0</v>
      </c>
      <c r="AL797" s="756">
        <f t="shared" si="1829"/>
        <v>0</v>
      </c>
      <c r="AM797" s="756">
        <f t="shared" si="1829"/>
        <v>0</v>
      </c>
      <c r="AN797" s="756">
        <f t="shared" si="1829"/>
        <v>0</v>
      </c>
      <c r="AO797" s="756">
        <f t="shared" si="1829"/>
        <v>0</v>
      </c>
      <c r="AP797" s="756">
        <f t="shared" si="1829"/>
        <v>0</v>
      </c>
      <c r="AQ797" s="756">
        <f t="shared" si="1829"/>
        <v>0</v>
      </c>
      <c r="AR797" s="756">
        <f t="shared" si="1829"/>
        <v>0</v>
      </c>
      <c r="AS797" s="756">
        <f t="shared" si="1829"/>
        <v>0</v>
      </c>
      <c r="AT797" s="756">
        <f t="shared" si="1829"/>
        <v>0</v>
      </c>
      <c r="AU797" s="756">
        <f t="shared" si="1829"/>
        <v>0</v>
      </c>
      <c r="AV797" s="756">
        <f t="shared" si="1829"/>
        <v>0</v>
      </c>
      <c r="AW797" s="756">
        <f t="shared" si="1829"/>
        <v>0</v>
      </c>
      <c r="AX797" s="756">
        <f t="shared" si="1829"/>
        <v>0</v>
      </c>
      <c r="AY797" s="756">
        <f t="shared" si="1829"/>
        <v>0</v>
      </c>
      <c r="AZ797" s="756">
        <f t="shared" si="1829"/>
        <v>0</v>
      </c>
      <c r="BA797" s="756">
        <f t="shared" si="1829"/>
        <v>0</v>
      </c>
      <c r="BB797" s="756">
        <f t="shared" si="1829"/>
        <v>0</v>
      </c>
      <c r="BC797" s="756">
        <f t="shared" si="1829"/>
        <v>0</v>
      </c>
      <c r="BD797" s="756">
        <f t="shared" si="1829"/>
        <v>0</v>
      </c>
      <c r="BE797" s="756">
        <f t="shared" ref="BE797:BI797" si="1830">IF(BE590&lt;0,BE590,0)</f>
        <v>0</v>
      </c>
      <c r="BF797" s="756">
        <f t="shared" si="1830"/>
        <v>0</v>
      </c>
      <c r="BG797" s="756">
        <f t="shared" si="1830"/>
        <v>0</v>
      </c>
      <c r="BH797" s="756">
        <f t="shared" si="1830"/>
        <v>0</v>
      </c>
      <c r="BI797" s="756">
        <f t="shared" si="1830"/>
        <v>0</v>
      </c>
      <c r="BJ797" s="756">
        <f t="shared" ref="BJ797:BX797" si="1831">IF(BJ590&lt;0,BJ590,0)</f>
        <v>0</v>
      </c>
      <c r="BK797" s="756">
        <f t="shared" si="1831"/>
        <v>0</v>
      </c>
      <c r="BL797" s="756">
        <f t="shared" si="1831"/>
        <v>0</v>
      </c>
      <c r="BM797" s="756">
        <f t="shared" si="1831"/>
        <v>0</v>
      </c>
      <c r="BN797" s="756">
        <f t="shared" si="1831"/>
        <v>0</v>
      </c>
      <c r="BO797" s="756">
        <f t="shared" ref="BO797:BW797" si="1832">IF(BO590&lt;0,BO590,0)</f>
        <v>0</v>
      </c>
      <c r="BP797" s="756">
        <f t="shared" si="1832"/>
        <v>0</v>
      </c>
      <c r="BQ797" s="756">
        <f t="shared" si="1832"/>
        <v>0</v>
      </c>
      <c r="BR797" s="756">
        <f t="shared" si="1832"/>
        <v>0</v>
      </c>
      <c r="BS797" s="756">
        <f t="shared" si="1832"/>
        <v>0</v>
      </c>
      <c r="BT797" s="757">
        <f>IF(BT590&lt;0,BT590,0)</f>
        <v>0</v>
      </c>
      <c r="BU797" s="756">
        <f t="shared" si="1832"/>
        <v>0</v>
      </c>
      <c r="BV797" s="756">
        <f t="shared" si="1832"/>
        <v>0</v>
      </c>
      <c r="BW797" s="756">
        <f t="shared" si="1832"/>
        <v>0</v>
      </c>
      <c r="BX797" s="756">
        <f t="shared" si="1831"/>
        <v>0</v>
      </c>
      <c r="BY797" s="756">
        <f t="shared" ref="BY797:CF797" si="1833">IF(BY590&lt;0,BY590,0)</f>
        <v>0</v>
      </c>
      <c r="BZ797" s="756">
        <f t="shared" si="1833"/>
        <v>0</v>
      </c>
      <c r="CA797" s="756">
        <f t="shared" si="1833"/>
        <v>0</v>
      </c>
      <c r="CB797" s="756">
        <f t="shared" si="1833"/>
        <v>0</v>
      </c>
      <c r="CC797" s="756">
        <f t="shared" si="1833"/>
        <v>0</v>
      </c>
      <c r="CD797" s="756">
        <f t="shared" si="1833"/>
        <v>0</v>
      </c>
      <c r="CE797" s="756">
        <f t="shared" si="1833"/>
        <v>0</v>
      </c>
      <c r="CF797" s="756">
        <f t="shared" si="1833"/>
        <v>0</v>
      </c>
      <c r="CG797" s="190"/>
    </row>
    <row r="798" spans="1:85" s="428" customFormat="1" x14ac:dyDescent="0.3">
      <c r="A798" s="22" t="s">
        <v>345</v>
      </c>
      <c r="B798" s="298"/>
      <c r="C798" s="217">
        <f t="shared" ref="C798:AH798" si="1834">IF(AND(ISBLANK(C255),ISBLANK(C236),ISBLANK(C95)),0,ROUND(C495-C255-C236-C95,6))</f>
        <v>0</v>
      </c>
      <c r="D798" s="217">
        <f t="shared" si="1834"/>
        <v>0</v>
      </c>
      <c r="E798" s="217">
        <f t="shared" si="1834"/>
        <v>0</v>
      </c>
      <c r="F798" s="217">
        <f t="shared" si="1834"/>
        <v>0</v>
      </c>
      <c r="G798" s="217">
        <f t="shared" si="1834"/>
        <v>0</v>
      </c>
      <c r="H798" s="217">
        <f t="shared" si="1834"/>
        <v>0</v>
      </c>
      <c r="I798" s="217">
        <f t="shared" si="1834"/>
        <v>0</v>
      </c>
      <c r="J798" s="217">
        <f t="shared" si="1834"/>
        <v>0</v>
      </c>
      <c r="K798" s="217">
        <f t="shared" si="1834"/>
        <v>0</v>
      </c>
      <c r="L798" s="217">
        <f t="shared" si="1834"/>
        <v>0</v>
      </c>
      <c r="M798" s="217">
        <f t="shared" si="1834"/>
        <v>0</v>
      </c>
      <c r="N798" s="217">
        <f t="shared" si="1834"/>
        <v>0</v>
      </c>
      <c r="O798" s="217">
        <f t="shared" si="1834"/>
        <v>0</v>
      </c>
      <c r="P798" s="217">
        <f t="shared" si="1834"/>
        <v>0</v>
      </c>
      <c r="Q798" s="217">
        <f t="shared" si="1834"/>
        <v>0</v>
      </c>
      <c r="R798" s="217">
        <f t="shared" si="1834"/>
        <v>0</v>
      </c>
      <c r="S798" s="217">
        <f t="shared" si="1834"/>
        <v>0</v>
      </c>
      <c r="T798" s="217">
        <f t="shared" si="1834"/>
        <v>0</v>
      </c>
      <c r="U798" s="217">
        <f t="shared" si="1834"/>
        <v>0</v>
      </c>
      <c r="V798" s="217">
        <f t="shared" si="1834"/>
        <v>0</v>
      </c>
      <c r="W798" s="217">
        <f t="shared" si="1834"/>
        <v>0</v>
      </c>
      <c r="X798" s="217">
        <f t="shared" si="1834"/>
        <v>0</v>
      </c>
      <c r="Y798" s="217">
        <f t="shared" si="1834"/>
        <v>0</v>
      </c>
      <c r="Z798" s="217">
        <f t="shared" si="1834"/>
        <v>0</v>
      </c>
      <c r="AA798" s="217">
        <f t="shared" si="1834"/>
        <v>0</v>
      </c>
      <c r="AB798" s="217">
        <f t="shared" si="1834"/>
        <v>0</v>
      </c>
      <c r="AC798" s="217">
        <f t="shared" si="1834"/>
        <v>0</v>
      </c>
      <c r="AD798" s="217">
        <f t="shared" si="1834"/>
        <v>0</v>
      </c>
      <c r="AE798" s="217">
        <f t="shared" si="1834"/>
        <v>0</v>
      </c>
      <c r="AF798" s="217">
        <f t="shared" si="1834"/>
        <v>0</v>
      </c>
      <c r="AG798" s="217">
        <f t="shared" si="1834"/>
        <v>0</v>
      </c>
      <c r="AH798" s="217">
        <f t="shared" si="1834"/>
        <v>0</v>
      </c>
      <c r="AI798" s="217">
        <f t="shared" ref="AI798:BN798" si="1835">IF(AND(ISBLANK(AI255),ISBLANK(AI236),ISBLANK(AI95)),0,ROUND(AI495-AI255-AI236-AI95,6))</f>
        <v>0</v>
      </c>
      <c r="AJ798" s="217">
        <f t="shared" si="1835"/>
        <v>0</v>
      </c>
      <c r="AK798" s="217">
        <f t="shared" si="1835"/>
        <v>0</v>
      </c>
      <c r="AL798" s="217">
        <f t="shared" si="1835"/>
        <v>0</v>
      </c>
      <c r="AM798" s="217">
        <f t="shared" si="1835"/>
        <v>0</v>
      </c>
      <c r="AN798" s="217">
        <f t="shared" si="1835"/>
        <v>0</v>
      </c>
      <c r="AO798" s="217">
        <f t="shared" si="1835"/>
        <v>0</v>
      </c>
      <c r="AP798" s="217">
        <f t="shared" si="1835"/>
        <v>0</v>
      </c>
      <c r="AQ798" s="217">
        <f t="shared" si="1835"/>
        <v>0</v>
      </c>
      <c r="AR798" s="217">
        <f t="shared" si="1835"/>
        <v>0</v>
      </c>
      <c r="AS798" s="217">
        <f t="shared" si="1835"/>
        <v>0</v>
      </c>
      <c r="AT798" s="217">
        <f t="shared" si="1835"/>
        <v>0</v>
      </c>
      <c r="AU798" s="217">
        <f t="shared" si="1835"/>
        <v>0</v>
      </c>
      <c r="AV798" s="217">
        <f t="shared" si="1835"/>
        <v>0</v>
      </c>
      <c r="AW798" s="217">
        <f t="shared" si="1835"/>
        <v>0</v>
      </c>
      <c r="AX798" s="217">
        <f t="shared" si="1835"/>
        <v>0</v>
      </c>
      <c r="AY798" s="217">
        <f t="shared" si="1835"/>
        <v>0</v>
      </c>
      <c r="AZ798" s="217">
        <f t="shared" si="1835"/>
        <v>0</v>
      </c>
      <c r="BA798" s="217">
        <f t="shared" si="1835"/>
        <v>0</v>
      </c>
      <c r="BB798" s="217">
        <f t="shared" si="1835"/>
        <v>0</v>
      </c>
      <c r="BC798" s="217">
        <f t="shared" si="1835"/>
        <v>0</v>
      </c>
      <c r="BD798" s="217">
        <f t="shared" si="1835"/>
        <v>0</v>
      </c>
      <c r="BE798" s="217">
        <f t="shared" si="1835"/>
        <v>0</v>
      </c>
      <c r="BF798" s="217">
        <f t="shared" si="1835"/>
        <v>0</v>
      </c>
      <c r="BG798" s="217">
        <f t="shared" si="1835"/>
        <v>0</v>
      </c>
      <c r="BH798" s="217">
        <f t="shared" si="1835"/>
        <v>0</v>
      </c>
      <c r="BI798" s="217">
        <f t="shared" si="1835"/>
        <v>0</v>
      </c>
      <c r="BJ798" s="217">
        <f t="shared" si="1835"/>
        <v>0</v>
      </c>
      <c r="BK798" s="217">
        <f t="shared" si="1835"/>
        <v>0</v>
      </c>
      <c r="BL798" s="217">
        <f t="shared" si="1835"/>
        <v>0</v>
      </c>
      <c r="BM798" s="217">
        <f t="shared" si="1835"/>
        <v>0</v>
      </c>
      <c r="BN798" s="217">
        <f t="shared" si="1835"/>
        <v>0</v>
      </c>
      <c r="BO798" s="217">
        <f t="shared" ref="BO798:BX798" si="1836">IF(AND(ISBLANK(BO255),ISBLANK(BO236),ISBLANK(BO95)),0,ROUND(BO495-BO255-BO236-BO95,6))</f>
        <v>0</v>
      </c>
      <c r="BP798" s="217">
        <f t="shared" si="1836"/>
        <v>0</v>
      </c>
      <c r="BQ798" s="217">
        <f t="shared" si="1836"/>
        <v>0</v>
      </c>
      <c r="BR798" s="217">
        <f t="shared" ref="BR798:BW798" si="1837">IF(AND(ISBLANK(BR255),ISBLANK(BR236),ISBLANK(BR95)),0,ROUND(BR495-BR255-BR236-BR95,6))</f>
        <v>0</v>
      </c>
      <c r="BS798" s="217">
        <f t="shared" si="1837"/>
        <v>0</v>
      </c>
      <c r="BT798" s="380">
        <f>IF(AND(ISBLANK(BT255),ISBLANK(BT236),ISBLANK(BT95)),0,ROUND(BT495-BT255-BT236-BT95,6))</f>
        <v>0</v>
      </c>
      <c r="BU798" s="217">
        <f t="shared" si="1837"/>
        <v>0</v>
      </c>
      <c r="BV798" s="217">
        <f t="shared" si="1837"/>
        <v>0</v>
      </c>
      <c r="BW798" s="217">
        <f t="shared" si="1837"/>
        <v>0</v>
      </c>
      <c r="BX798" s="217">
        <f t="shared" si="1836"/>
        <v>0</v>
      </c>
      <c r="BY798" s="217">
        <f t="shared" ref="BY798:CF798" si="1838">IF(AND(ISBLANK(BY255),ISBLANK(BY236),ISBLANK(BY95)),0,ROUND(BY495-BY255-BY236-BY95,6))</f>
        <v>0</v>
      </c>
      <c r="BZ798" s="217">
        <f t="shared" si="1838"/>
        <v>0</v>
      </c>
      <c r="CA798" s="217">
        <f t="shared" si="1838"/>
        <v>0</v>
      </c>
      <c r="CB798" s="217">
        <f t="shared" si="1838"/>
        <v>0</v>
      </c>
      <c r="CC798" s="217">
        <f t="shared" si="1838"/>
        <v>0</v>
      </c>
      <c r="CD798" s="217">
        <f t="shared" si="1838"/>
        <v>0</v>
      </c>
      <c r="CE798" s="217">
        <f t="shared" si="1838"/>
        <v>0</v>
      </c>
      <c r="CF798" s="217">
        <f t="shared" si="1838"/>
        <v>0</v>
      </c>
      <c r="CG798" s="22"/>
    </row>
    <row r="799" spans="1:85" s="424" customFormat="1" x14ac:dyDescent="0.3">
      <c r="A799" s="190" t="s">
        <v>346</v>
      </c>
      <c r="B799" s="363"/>
      <c r="C799" s="756">
        <f>IF(ISBLANK(INDEX(MO_IS_FirstRow,0,COLUMN())),0,IF(OR(C723=B723,C723=D723),"CHECK",0))</f>
        <v>0</v>
      </c>
      <c r="D799" s="756">
        <f>IF(ISBLANK(INDEX(MO_IS_FirstRow,0,COLUMN())),0,IF(OR(D723=C723,D723=E723),"CHECK",0))</f>
        <v>0</v>
      </c>
      <c r="E799" s="756">
        <f>IF(ISBLANK(INDEX(MO_IS_FirstRow,0,COLUMN())),0,IF(OR(E723=D723,E723=F723),"CHECK",0))</f>
        <v>0</v>
      </c>
      <c r="F799" s="756">
        <f>IF(ISBLANK(INDEX(MO_IS_FirstRow,0,COLUMN())),0,IF(OR(F723=E723,F723=K723),"CHECK",0))</f>
        <v>0</v>
      </c>
      <c r="G799" s="756">
        <f>IF(ISBLANK(INDEX(MO_IS_FirstRow,0,COLUMN())),0,IF(OR(G723=B723,G723=H723,G723=E723),"CHECK",0))</f>
        <v>0</v>
      </c>
      <c r="H799" s="756">
        <f>IF(ISBLANK(INDEX(MO_IS_FirstRow,0,COLUMN())),0,IF(OR(H723=C723,H723=I723,H723=G723),"CHECK",0))</f>
        <v>0</v>
      </c>
      <c r="I799" s="756">
        <f>IF(ISBLANK(INDEX(MO_IS_FirstRow,0,COLUMN())),0,IF(OR(I723=D723,I723=J723,I723=H723),"CHECK",0))</f>
        <v>0</v>
      </c>
      <c r="J799" s="756">
        <f>IF(ISBLANK(INDEX(MO_IS_FirstRow,0,COLUMN())),0,IF(OR(J723=E723,J723=K723,J723=I723),"CHECK",0))</f>
        <v>0</v>
      </c>
      <c r="K799" s="756">
        <f>IF(ISBLANK(INDEX(MO_IS_FirstRow,0,COLUMN())),0,IF(K723=F723,"CHECK",0))</f>
        <v>0</v>
      </c>
      <c r="L799" s="756">
        <f>IF(ISBLANK(INDEX(MO_IS_FirstRow,0,COLUMN())),0,IF(OR(L723=G723,L723=M723,L723=J723),"CHECK",0))</f>
        <v>0</v>
      </c>
      <c r="M799" s="756">
        <f>IF(ISBLANK(INDEX(MO_IS_FirstRow,0,COLUMN())),0,IF(OR(M723=H723,M723=N723,M723=L723),"CHECK",0))</f>
        <v>0</v>
      </c>
      <c r="N799" s="756">
        <f>IF(ISBLANK(INDEX(MO_IS_FirstRow,0,COLUMN())),0,IF(OR(N723=I723,N723=O723,N723=M723),"CHECK",0))</f>
        <v>0</v>
      </c>
      <c r="O799" s="756">
        <f>IF(ISBLANK(INDEX(MO_IS_FirstRow,0,COLUMN())),0,IF(OR(O723=J723,O723=P723,O723=N723),"CHECK",0))</f>
        <v>0</v>
      </c>
      <c r="P799" s="756">
        <f>IF(ISBLANK(INDEX(MO_IS_FirstRow,0,COLUMN())),0,IF(P723=K723,"CHECK",0))</f>
        <v>0</v>
      </c>
      <c r="Q799" s="756">
        <f>IF(ISBLANK(INDEX(MO_IS_FirstRow,0,COLUMN())),0,IF(OR(Q723=L723,Q723=R723,Q723=O723),"CHECK",0))</f>
        <v>0</v>
      </c>
      <c r="R799" s="756">
        <f>IF(ISBLANK(INDEX(MO_IS_FirstRow,0,COLUMN())),0,IF(OR(R723=M723,R723=S723,R723=Q723),"CHECK",0))</f>
        <v>0</v>
      </c>
      <c r="S799" s="756">
        <f>IF(ISBLANK(INDEX(MO_IS_FirstRow,0,COLUMN())),0,IF(OR(S723=N723,S723=T723,S723=R723),"CHECK",0))</f>
        <v>0</v>
      </c>
      <c r="T799" s="756">
        <f>IF(ISBLANK(INDEX(MO_IS_FirstRow,0,COLUMN())),0,IF(OR(T723=O723,T723=U723,T723=S723),"CHECK",0))</f>
        <v>0</v>
      </c>
      <c r="U799" s="756">
        <f>IF(ISBLANK(INDEX(MO_IS_FirstRow,0,COLUMN())),0,IF(U723=P723,"CHECK",0))</f>
        <v>0</v>
      </c>
      <c r="V799" s="756">
        <f>IF(ISBLANK(INDEX(MO_IS_FirstRow,0,COLUMN())),0,IF(OR(V723=Q723,V723=W723,V723=T723),"CHECK",0))</f>
        <v>0</v>
      </c>
      <c r="W799" s="756">
        <f>IF(ISBLANK(INDEX(MO_IS_FirstRow,0,COLUMN())),0,IF(OR(W723=R723,W723=X723,W723=V723),"CHECK",0))</f>
        <v>0</v>
      </c>
      <c r="X799" s="756">
        <f>IF(ISBLANK(INDEX(MO_IS_FirstRow,0,COLUMN())),0,IF(OR(X723=S723,X723=Y723,X723=W723),"CHECK",0))</f>
        <v>0</v>
      </c>
      <c r="Y799" s="756">
        <f>IF(ISBLANK(INDEX(MO_IS_FirstRow,0,COLUMN())),0,IF(OR(Y723=T723,Y723=Z723,Y723=X723),"CHECK",0))</f>
        <v>0</v>
      </c>
      <c r="Z799" s="756">
        <f>IF(ISBLANK(INDEX(MO_IS_FirstRow,0,COLUMN())),0,IF(Z723=U723,"CHECK",0))</f>
        <v>0</v>
      </c>
      <c r="AA799" s="756">
        <f>IF(ISBLANK(INDEX(MO_IS_FirstRow,0,COLUMN())),0,IF(OR(AA723=V723,AA723=AB723,AA723=Y723),"CHECK",0))</f>
        <v>0</v>
      </c>
      <c r="AB799" s="756">
        <f>IF(ISBLANK(INDEX(MO_IS_FirstRow,0,COLUMN())),0,IF(OR(AB723=W723,AB723=AC723,AB723=AA723),"CHECK",0))</f>
        <v>0</v>
      </c>
      <c r="AC799" s="756">
        <f>IF(ISBLANK(INDEX(MO_IS_FirstRow,0,COLUMN())),0,IF(OR(AC723=X723,AC723=AD723,AC723=AB723),"CHECK",0))</f>
        <v>0</v>
      </c>
      <c r="AD799" s="756">
        <f>IF(ISBLANK(INDEX(MO_IS_FirstRow,0,COLUMN())),0,IF(OR(AD723=Y723,AD723=AE723,AD723=AC723),"CHECK",0))</f>
        <v>0</v>
      </c>
      <c r="AE799" s="756">
        <f>IF(ISBLANK(INDEX(MO_IS_FirstRow,0,COLUMN())),0,IF(AE723=Z723,"CHECK",0))</f>
        <v>0</v>
      </c>
      <c r="AF799" s="756">
        <f>IF(ISBLANK(INDEX(MO_IS_FirstRow,0,COLUMN())),0,IF(OR(AF723=AA723,AF723=AG723,AF723=AD723),"CHECK",0))</f>
        <v>0</v>
      </c>
      <c r="AG799" s="756">
        <f>IF(ISBLANK(INDEX(MO_IS_FirstRow,0,COLUMN())),0,IF(OR(AG723=AB723,AG723=AH723,AG723=AF723),"CHECK",0))</f>
        <v>0</v>
      </c>
      <c r="AH799" s="756">
        <f>IF(ISBLANK(INDEX(MO_IS_FirstRow,0,COLUMN())),0,IF(OR(AH723=AC723,AH723=AI723,AH723=AG723),"CHECK",0))</f>
        <v>0</v>
      </c>
      <c r="AI799" s="756">
        <f>IF(ISBLANK(INDEX(MO_IS_FirstRow,0,COLUMN())),0,IF(OR(AI723=AD723,AI723=AJ723,AI723=AH723),"CHECK",0))</f>
        <v>0</v>
      </c>
      <c r="AJ799" s="756">
        <f>IF(ISBLANK(INDEX(MO_IS_FirstRow,0,COLUMN())),0,IF(AJ723=AE723,"CHECK",0))</f>
        <v>0</v>
      </c>
      <c r="AK799" s="756">
        <f>IF(ISBLANK(INDEX(MO_IS_FirstRow,0,COLUMN())),0,IF(OR(AK723=AF723,AK723=AL723,AK723=AI723),"CHECK",0))</f>
        <v>0</v>
      </c>
      <c r="AL799" s="756">
        <f>IF(ISBLANK(INDEX(MO_IS_FirstRow,0,COLUMN())),0,IF(OR(AL723=AG723,AL723=AM723,AL723=AK723),"CHECK",0))</f>
        <v>0</v>
      </c>
      <c r="AM799" s="756">
        <f>IF(ISBLANK(INDEX(MO_IS_FirstRow,0,COLUMN())),0,IF(OR(AM723=AH723,AM723=AN723,AM723=AL723),"CHECK",0))</f>
        <v>0</v>
      </c>
      <c r="AN799" s="756">
        <f>IF(ISBLANK(INDEX(MO_IS_FirstRow,0,COLUMN())),0,IF(OR(AN723=AI723,AN723=AO723,AN723=AM723),"CHECK",0))</f>
        <v>0</v>
      </c>
      <c r="AO799" s="756">
        <f>IF(ISBLANK(INDEX(MO_IS_FirstRow,0,COLUMN())),0,IF(AO723=AJ723,"CHECK",0))</f>
        <v>0</v>
      </c>
      <c r="AP799" s="756">
        <f>IF(ISBLANK(INDEX(MO_IS_FirstRow,0,COLUMN())),0,IF(OR(AP723=AK723,AP723=AQ723,AP723=AN723),"CHECK",0))</f>
        <v>0</v>
      </c>
      <c r="AQ799" s="756">
        <f>IF(ISBLANK(INDEX(MO_IS_FirstRow,0,COLUMN())),0,IF(OR(AQ723=AL723,AQ723=AR723,AQ723=AP723),"CHECK",0))</f>
        <v>0</v>
      </c>
      <c r="AR799" s="756">
        <f>IF(ISBLANK(INDEX(MO_IS_FirstRow,0,COLUMN())),0,IF(OR(AR723=AM723,AR723=AS723,AR723=AQ723),"CHECK",0))</f>
        <v>0</v>
      </c>
      <c r="AS799" s="756">
        <f>IF(ISBLANK(INDEX(MO_IS_FirstRow,0,COLUMN())),0,IF(OR(AS723=AN723,AS723=AT723,AS723=AR723),"CHECK",0))</f>
        <v>0</v>
      </c>
      <c r="AT799" s="756">
        <f>IF(ISBLANK(INDEX(MO_IS_FirstRow,0,COLUMN())),0,IF(AT723=AO723,"CHECK",0))</f>
        <v>0</v>
      </c>
      <c r="AU799" s="756">
        <f>IF(ISBLANK(INDEX(MO_IS_FirstRow,0,COLUMN())),0,IF(OR(AU723=AP723,AU723=AV723,AU723=AS723),"CHECK",0))</f>
        <v>0</v>
      </c>
      <c r="AV799" s="756">
        <f>IF(ISBLANK(INDEX(MO_IS_FirstRow,0,COLUMN())),0,IF(OR(AV723=AQ723,AV723=AW723,AV723=AU723),"CHECK",0))</f>
        <v>0</v>
      </c>
      <c r="AW799" s="756">
        <f>IF(ISBLANK(INDEX(MO_IS_FirstRow,0,COLUMN())),0,IF(OR(AW723=AR723,AW723=AX723,AW723=AV723),"CHECK",0))</f>
        <v>0</v>
      </c>
      <c r="AX799" s="756">
        <f>IF(ISBLANK(INDEX(MO_IS_FirstRow,0,COLUMN())),0,IF(OR(AX723=AS723,AX723=AY723,AX723=AW723),"CHECK",0))</f>
        <v>0</v>
      </c>
      <c r="AY799" s="756">
        <f>IF(ISBLANK(INDEX(MO_IS_FirstRow,0,COLUMN())),0,IF(AY723=AT723,"CHECK",0))</f>
        <v>0</v>
      </c>
      <c r="AZ799" s="756">
        <f>IF(ISBLANK(INDEX(MO_IS_FirstRow,0,COLUMN())),0,IF(OR(AZ723=AU723,AZ723=BA723,AZ723=AX723),"CHECK",0))</f>
        <v>0</v>
      </c>
      <c r="BA799" s="756">
        <f>IF(ISBLANK(INDEX(MO_IS_FirstRow,0,COLUMN())),0,IF(OR(BA723=AV723,BA723=BB723,BA723=AZ723),"CHECK",0))</f>
        <v>0</v>
      </c>
      <c r="BB799" s="756">
        <f>IF(ISBLANK(INDEX(MO_IS_FirstRow,0,COLUMN())),0,IF(OR(BB723=AW723,BB723=BC723,BB723=BA723),"CHECK",0))</f>
        <v>0</v>
      </c>
      <c r="BC799" s="756">
        <f>IF(ISBLANK(INDEX(MO_IS_FirstRow,0,COLUMN())),0,IF(OR(BC723=AX723,BC723=BD723,BC723=BB723),"CHECK",0))</f>
        <v>0</v>
      </c>
      <c r="BD799" s="756">
        <f>IF(ISBLANK(INDEX(MO_IS_FirstRow,0,COLUMN())),0,IF(BD723=AY723,"CHECK",0))</f>
        <v>0</v>
      </c>
      <c r="BE799" s="756">
        <f>IF(ISBLANK(INDEX(MO_IS_FirstRow,0,COLUMN())),0,IF(OR(BE723=AZ723,BE723=BF723,BE723=BC723),"CHECK",0))</f>
        <v>0</v>
      </c>
      <c r="BF799" s="756">
        <f>IF(ISBLANK(INDEX(MO_IS_FirstRow,0,COLUMN())),0,IF(OR(BF723=BA723,BF723=BG723,BF723=BE723),"CHECK",0))</f>
        <v>0</v>
      </c>
      <c r="BG799" s="756">
        <f>IF(ISBLANK(INDEX(MO_IS_FirstRow,0,COLUMN())),0,IF(OR(BG723=BB723,BG723=BH723,BG723=BF723),"CHECK",0))</f>
        <v>0</v>
      </c>
      <c r="BH799" s="756">
        <f>IF(ISBLANK(INDEX(MO_IS_FirstRow,0,COLUMN())),0,IF(OR(BH723=BC723,BH723=BI723,BH723=BG723),"CHECK",0))</f>
        <v>0</v>
      </c>
      <c r="BI799" s="756">
        <f>IF(ISBLANK(INDEX(MO_IS_FirstRow,0,COLUMN())),0,IF(BI723=BD723,"CHECK",0))</f>
        <v>0</v>
      </c>
      <c r="BJ799" s="756">
        <f>IF(ISBLANK(INDEX(MO_IS_FirstRow,0,COLUMN())),0,IF(OR(BJ723=BE723,BJ723=BK723,BJ723=BH723),"CHECK",0))</f>
        <v>0</v>
      </c>
      <c r="BK799" s="756">
        <f>IF(ISBLANK(INDEX(MO_IS_FirstRow,0,COLUMN())),0,IF(OR(BK723=BF723,BK723=BL723,BK723=BJ723),"CHECK",0))</f>
        <v>0</v>
      </c>
      <c r="BL799" s="756">
        <f>IF(ISBLANK(INDEX(MO_IS_FirstRow,0,COLUMN())),0,IF(OR(BL723=BG723,BL723=BM723,BL723=BK723),"CHECK",0))</f>
        <v>0</v>
      </c>
      <c r="BM799" s="756">
        <f>IF(ISBLANK(INDEX(MO_IS_FirstRow,0,COLUMN())),0,IF(OR(BM723=BH723,BM723=BN723,BM723=BL723),"CHECK",0))</f>
        <v>0</v>
      </c>
      <c r="BN799" s="756">
        <f>IF(ISBLANK(INDEX(MO_IS_FirstRow,0,COLUMN())),0,IF(BN723=BI723,"CHECK",0))</f>
        <v>0</v>
      </c>
      <c r="BO799" s="756">
        <f>IF(ISBLANK(INDEX(MO_IS_FirstRow,0,COLUMN())),0,IF(OR(BO723=BJ723,BO723=BP723,BO723=BM723),"CHECK",0))</f>
        <v>0</v>
      </c>
      <c r="BP799" s="756">
        <f>IF(ISBLANK(INDEX(MO_IS_FirstRow,0,COLUMN())),0,IF(OR(BP723=BK723,BP723=BQ723,BP723=BO723),"CHECK",0))</f>
        <v>0</v>
      </c>
      <c r="BQ799" s="756">
        <f>IF(ISBLANK(INDEX(MO_IS_FirstRow,0,COLUMN())),0,IF(OR(BQ723=BL723,BQ723=BR723,BQ723=BP723),"CHECK",0))</f>
        <v>0</v>
      </c>
      <c r="BR799" s="756">
        <f>IF(ISBLANK(INDEX(MO_IS_FirstRow,0,COLUMN())),0,IF(OR(BR723=BM723,BR723=BS723,BR723=BQ723),"CHECK",0))</f>
        <v>0</v>
      </c>
      <c r="BS799" s="756">
        <f>IF(ISBLANK(INDEX(MO_IS_FirstRow,0,COLUMN())),0,IF(BS723=BN723,"CHECK",0))</f>
        <v>0</v>
      </c>
      <c r="BT799" s="757">
        <f ca="1">IF(ISBLANK(INDEX(MO_IS_FirstRow,0,COLUMN())),0,IF(OR(BT723=BO723,BT723=BU723,BT723=BR723),"CHECK",0))</f>
        <v>0</v>
      </c>
      <c r="BU799" s="756"/>
      <c r="BV799" s="756"/>
      <c r="BW799" s="756"/>
      <c r="BX799" s="756"/>
      <c r="BY799" s="756"/>
      <c r="BZ799" s="756"/>
      <c r="CA799" s="756"/>
      <c r="CB799" s="756"/>
      <c r="CC799" s="756"/>
      <c r="CD799" s="756"/>
      <c r="CE799" s="756"/>
      <c r="CF799" s="756"/>
      <c r="CG799" s="190"/>
    </row>
    <row r="800" spans="1:85" s="424" customFormat="1" x14ac:dyDescent="0.3">
      <c r="A800" s="190" t="s">
        <v>347</v>
      </c>
      <c r="B800" s="363"/>
      <c r="C800" s="756">
        <f>IF(ISBLANK(INDEX(MO_IS_FirstRow,0,COLUMN())),0,IF(OR(C516=B516,C516=D516),"CHECK",0))</f>
        <v>0</v>
      </c>
      <c r="D800" s="756">
        <f>IF(ISBLANK(INDEX(MO_IS_FirstRow,0,COLUMN())),0,IF(OR(D516=C516,D516=E516),"CHECK",0))</f>
        <v>0</v>
      </c>
      <c r="E800" s="756">
        <f>IF(ISBLANK(INDEX(MO_IS_FirstRow,0,COLUMN())),0,IF(OR(E516=D516,E516=F516),"CHECK",0))</f>
        <v>0</v>
      </c>
      <c r="F800" s="756">
        <f>IF(ISBLANK(INDEX(MO_IS_FirstRow,0,COLUMN())),0,IF(OR(F516=E516,F516=K516),"CHECK",0))</f>
        <v>0</v>
      </c>
      <c r="G800" s="756">
        <f>IF(ISBLANK(INDEX(MO_IS_FirstRow,0,COLUMN())),0,IF(OR(G516=B516,G516=H516,G516=E516),"CHECK",0))</f>
        <v>0</v>
      </c>
      <c r="H800" s="756">
        <f>IF(ISBLANK(INDEX(MO_IS_FirstRow,0,COLUMN())),0,IF(OR(H516=C516,H516=I516,H516=G516),"CHECK",0))</f>
        <v>0</v>
      </c>
      <c r="I800" s="756">
        <f>IF(ISBLANK(INDEX(MO_IS_FirstRow,0,COLUMN())),0,IF(OR(I516=D516,I516=J516,I516=H516),"CHECK",0))</f>
        <v>0</v>
      </c>
      <c r="J800" s="756">
        <f>IF(ISBLANK(INDEX(MO_IS_FirstRow,0,COLUMN())),0,IF(OR(J516=E516,J516=K516,J516=I516),"CHECK",0))</f>
        <v>0</v>
      </c>
      <c r="K800" s="756">
        <f>IF(ISBLANK(INDEX(MO_IS_FirstRow,0,COLUMN())),0,IF(K516=F516,"CHECK",0))</f>
        <v>0</v>
      </c>
      <c r="L800" s="756">
        <f>IF(ISBLANK(INDEX(MO_IS_FirstRow,0,COLUMN())),0,IF(OR(L516=G516,L516=M516,L516=J516),"CHECK",0))</f>
        <v>0</v>
      </c>
      <c r="M800" s="756">
        <f>IF(ISBLANK(INDEX(MO_IS_FirstRow,0,COLUMN())),0,IF(OR(M516=H516,M516=N516,M516=L516),"CHECK",0))</f>
        <v>0</v>
      </c>
      <c r="N800" s="756">
        <f>IF(ISBLANK(INDEX(MO_IS_FirstRow,0,COLUMN())),0,IF(OR(N516=I516,N516=O516,N516=M516),"CHECK",0))</f>
        <v>0</v>
      </c>
      <c r="O800" s="756">
        <f>IF(ISBLANK(INDEX(MO_IS_FirstRow,0,COLUMN())),0,IF(OR(O516=J516,O516=P516,O516=N516),"CHECK",0))</f>
        <v>0</v>
      </c>
      <c r="P800" s="756">
        <f>IF(ISBLANK(INDEX(MO_IS_FirstRow,0,COLUMN())),0,IF(P516=K516,"CHECK",0))</f>
        <v>0</v>
      </c>
      <c r="Q800" s="756">
        <f>IF(ISBLANK(INDEX(MO_IS_FirstRow,0,COLUMN())),0,IF(OR(Q516=L516,Q516=R516,Q516=O516),"CHECK",0))</f>
        <v>0</v>
      </c>
      <c r="R800" s="756">
        <f>IF(ISBLANK(INDEX(MO_IS_FirstRow,0,COLUMN())),0,IF(OR(R516=M516,R516=S516,R516=Q516),"CHECK",0))</f>
        <v>0</v>
      </c>
      <c r="S800" s="756">
        <f>IF(ISBLANK(INDEX(MO_IS_FirstRow,0,COLUMN())),0,IF(OR(S516=N516,S516=T516,S516=R516),"CHECK",0))</f>
        <v>0</v>
      </c>
      <c r="T800" s="756">
        <f>IF(ISBLANK(INDEX(MO_IS_FirstRow,0,COLUMN())),0,IF(OR(T516=O516,T516=U516,T516=S516),"CHECK",0))</f>
        <v>0</v>
      </c>
      <c r="U800" s="756">
        <f>IF(ISBLANK(INDEX(MO_IS_FirstRow,0,COLUMN())),0,IF(U516=P516,"CHECK",0))</f>
        <v>0</v>
      </c>
      <c r="V800" s="756">
        <f>IF(ISBLANK(INDEX(MO_IS_FirstRow,0,COLUMN())),0,IF(OR(V516=Q516,V516=W516,V516=T516),"CHECK",0))</f>
        <v>0</v>
      </c>
      <c r="W800" s="756">
        <f>IF(ISBLANK(INDEX(MO_IS_FirstRow,0,COLUMN())),0,IF(OR(W516=R516,W516=X516,W516=V516),"CHECK",0))</f>
        <v>0</v>
      </c>
      <c r="X800" s="756">
        <f>IF(ISBLANK(INDEX(MO_IS_FirstRow,0,COLUMN())),0,IF(OR(X516=S516,X516=Y516,X516=W516),"CHECK",0))</f>
        <v>0</v>
      </c>
      <c r="Y800" s="756">
        <f>IF(ISBLANK(INDEX(MO_IS_FirstRow,0,COLUMN())),0,IF(OR(Y516=T516,Y516=Z516,Y516=X516),"CHECK",0))</f>
        <v>0</v>
      </c>
      <c r="Z800" s="756">
        <f>IF(ISBLANK(INDEX(MO_IS_FirstRow,0,COLUMN())),0,IF(Z516=U516,"CHECK",0))</f>
        <v>0</v>
      </c>
      <c r="AA800" s="756">
        <f>IF(ISBLANK(INDEX(MO_IS_FirstRow,0,COLUMN())),0,IF(OR(AA516=V516,AA516=AB516,AA516=Y516),"CHECK",0))</f>
        <v>0</v>
      </c>
      <c r="AB800" s="756">
        <f>IF(ISBLANK(INDEX(MO_IS_FirstRow,0,COLUMN())),0,IF(OR(AB516=W516,AB516=AC516,AB516=AA516),"CHECK",0))</f>
        <v>0</v>
      </c>
      <c r="AC800" s="756">
        <f>IF(ISBLANK(INDEX(MO_IS_FirstRow,0,COLUMN())),0,IF(OR(AC516=X516,AC516=AD516,AC516=AB516),"CHECK",0))</f>
        <v>0</v>
      </c>
      <c r="AD800" s="756">
        <f>IF(ISBLANK(INDEX(MO_IS_FirstRow,0,COLUMN())),0,IF(OR(AD516=Y516,AD516=AE516,AD516=AC516),"CHECK",0))</f>
        <v>0</v>
      </c>
      <c r="AE800" s="756">
        <f>IF(ISBLANK(INDEX(MO_IS_FirstRow,0,COLUMN())),0,IF(AE516=Z516,"CHECK",0))</f>
        <v>0</v>
      </c>
      <c r="AF800" s="756">
        <f>IF(ISBLANK(INDEX(MO_IS_FirstRow,0,COLUMN())),0,IF(OR(AF516=AA516,AF516=AG516,AF516=AD516),"CHECK",0))</f>
        <v>0</v>
      </c>
      <c r="AG800" s="756">
        <f>IF(ISBLANK(INDEX(MO_IS_FirstRow,0,COLUMN())),0,IF(OR(AG516=AB516,AG516=AH516,AG516=AF516),"CHECK",0))</f>
        <v>0</v>
      </c>
      <c r="AH800" s="756">
        <f>IF(ISBLANK(INDEX(MO_IS_FirstRow,0,COLUMN())),0,IF(OR(AH516=AC516,AH516=AI516,AH516=AG516),"CHECK",0))</f>
        <v>0</v>
      </c>
      <c r="AI800" s="756">
        <f>IF(ISBLANK(INDEX(MO_IS_FirstRow,0,COLUMN())),0,IF(OR(AI516=AD516,AI516=AJ516,AI516=AH516),"CHECK",0))</f>
        <v>0</v>
      </c>
      <c r="AJ800" s="756">
        <f>IF(ISBLANK(INDEX(MO_IS_FirstRow,0,COLUMN())),0,IF(AJ516=AE516,"CHECK",0))</f>
        <v>0</v>
      </c>
      <c r="AK800" s="756">
        <f>IF(ISBLANK(INDEX(MO_IS_FirstRow,0,COLUMN())),0,IF(OR(AK516=AF516,AK516=AL516,AK516=AI516),"CHECK",0))</f>
        <v>0</v>
      </c>
      <c r="AL800" s="756">
        <f>IF(ISBLANK(INDEX(MO_IS_FirstRow,0,COLUMN())),0,IF(OR(AL516=AG516,AL516=AM516,AL516=AK516),"CHECK",0))</f>
        <v>0</v>
      </c>
      <c r="AM800" s="756">
        <f>IF(ISBLANK(INDEX(MO_IS_FirstRow,0,COLUMN())),0,IF(OR(AM516=AH516,AM516=AN516,AM516=AL516),"CHECK",0))</f>
        <v>0</v>
      </c>
      <c r="AN800" s="756">
        <f>IF(ISBLANK(INDEX(MO_IS_FirstRow,0,COLUMN())),0,IF(OR(AN516=AI516,AN516=AO516,AN516=AM516),"CHECK",0))</f>
        <v>0</v>
      </c>
      <c r="AO800" s="756">
        <f>IF(ISBLANK(INDEX(MO_IS_FirstRow,0,COLUMN())),0,IF(AO516=AJ516,"CHECK",0))</f>
        <v>0</v>
      </c>
      <c r="AP800" s="756">
        <f>IF(ISBLANK(INDEX(MO_IS_FirstRow,0,COLUMN())),0,IF(OR(AP516=AK516,AP516=AQ516,AP516=AN516),"CHECK",0))</f>
        <v>0</v>
      </c>
      <c r="AQ800" s="756">
        <f>IF(ISBLANK(INDEX(MO_IS_FirstRow,0,COLUMN())),0,IF(OR(AQ516=AL516,AQ516=AR516,AQ516=AP516),"CHECK",0))</f>
        <v>0</v>
      </c>
      <c r="AR800" s="756">
        <f>IF(ISBLANK(INDEX(MO_IS_FirstRow,0,COLUMN())),0,IF(OR(AR516=AM516,AR516=AS516,AR516=AQ516),"CHECK",0))</f>
        <v>0</v>
      </c>
      <c r="AS800" s="756">
        <f>IF(ISBLANK(INDEX(MO_IS_FirstRow,0,COLUMN())),0,IF(OR(AS516=AN516,AS516=AT516,AS516=AR516),"CHECK",0))</f>
        <v>0</v>
      </c>
      <c r="AT800" s="756">
        <f>IF(ISBLANK(INDEX(MO_IS_FirstRow,0,COLUMN())),0,IF(AT516=AO516,"CHECK",0))</f>
        <v>0</v>
      </c>
      <c r="AU800" s="756">
        <f>IF(ISBLANK(INDEX(MO_IS_FirstRow,0,COLUMN())),0,IF(OR(AU516=AP516,AU516=AV516,AU516=AS516),"CHECK",0))</f>
        <v>0</v>
      </c>
      <c r="AV800" s="756">
        <f>IF(ISBLANK(INDEX(MO_IS_FirstRow,0,COLUMN())),0,IF(OR(AV516=AQ516,AV516=AW516,AV516=AU516),"CHECK",0))</f>
        <v>0</v>
      </c>
      <c r="AW800" s="756">
        <f>IF(ISBLANK(INDEX(MO_IS_FirstRow,0,COLUMN())),0,IF(OR(AW516=AR516,AW516=AX516,AW516=AV516),"CHECK",0))</f>
        <v>0</v>
      </c>
      <c r="AX800" s="756">
        <f>IF(ISBLANK(INDEX(MO_IS_FirstRow,0,COLUMN())),0,IF(OR(AX516=AS516,AX516=AY516,AX516=AW516),"CHECK",0))</f>
        <v>0</v>
      </c>
      <c r="AY800" s="756">
        <f>IF(ISBLANK(INDEX(MO_IS_FirstRow,0,COLUMN())),0,IF(AY516=AT516,"CHECK",0))</f>
        <v>0</v>
      </c>
      <c r="AZ800" s="756">
        <f>IF(ISBLANK(INDEX(MO_IS_FirstRow,0,COLUMN())),0,IF(OR(AZ516=AU516,AZ516=BA516,AZ516=AX516),"CHECK",0))</f>
        <v>0</v>
      </c>
      <c r="BA800" s="756">
        <f>IF(ISBLANK(INDEX(MO_IS_FirstRow,0,COLUMN())),0,IF(OR(BA516=AV516,BA516=BB516,BA516=AZ516),"CHECK",0))</f>
        <v>0</v>
      </c>
      <c r="BB800" s="756">
        <f>IF(ISBLANK(INDEX(MO_IS_FirstRow,0,COLUMN())),0,IF(OR(BB516=AW516,BB516=BC516,BB516=BA516),"CHECK",0))</f>
        <v>0</v>
      </c>
      <c r="BC800" s="756">
        <f>IF(ISBLANK(INDEX(MO_IS_FirstRow,0,COLUMN())),0,IF(OR(BC516=AX516,BC516=BD516,BC516=BB516),"CHECK",0))</f>
        <v>0</v>
      </c>
      <c r="BD800" s="756">
        <f>IF(ISBLANK(INDEX(MO_IS_FirstRow,0,COLUMN())),0,IF(BD516=AY516,"CHECK",0))</f>
        <v>0</v>
      </c>
      <c r="BE800" s="756">
        <f>IF(ISBLANK(INDEX(MO_IS_FirstRow,0,COLUMN())),0,IF(OR(BE516=AZ516,BE516=BF516,BE516=BC516),"CHECK",0))</f>
        <v>0</v>
      </c>
      <c r="BF800" s="756">
        <f>IF(ISBLANK(INDEX(MO_IS_FirstRow,0,COLUMN())),0,IF(OR(BF516=BA516,BF516=BG516,BF516=BE516),"CHECK",0))</f>
        <v>0</v>
      </c>
      <c r="BG800" s="756">
        <f>IF(ISBLANK(INDEX(MO_IS_FirstRow,0,COLUMN())),0,IF(OR(BG516=BB516,BG516=BH516,BG516=BF516),"CHECK",0))</f>
        <v>0</v>
      </c>
      <c r="BH800" s="756">
        <f>IF(ISBLANK(INDEX(MO_IS_FirstRow,0,COLUMN())),0,IF(OR(BH516=BC516,BH516=BI516,BH516=BG516),"CHECK",0))</f>
        <v>0</v>
      </c>
      <c r="BI800" s="756">
        <f>IF(ISBLANK(INDEX(MO_IS_FirstRow,0,COLUMN())),0,IF(BI516=BD516,"CHECK",0))</f>
        <v>0</v>
      </c>
      <c r="BJ800" s="756">
        <f>IF(ISBLANK(INDEX(MO_IS_FirstRow,0,COLUMN())),0,IF(OR(BJ516=BE516,BJ516=BK516,BJ516=BH516),"CHECK",0))</f>
        <v>0</v>
      </c>
      <c r="BK800" s="756">
        <f>IF(ISBLANK(INDEX(MO_IS_FirstRow,0,COLUMN())),0,IF(OR(BK516=BF516,BK516=BL516,BK516=BJ516),"CHECK",0))</f>
        <v>0</v>
      </c>
      <c r="BL800" s="756">
        <f>IF(ISBLANK(INDEX(MO_IS_FirstRow,0,COLUMN())),0,IF(OR(BL516=BG516,BL516=BM516,BL516=BK516),"CHECK",0))</f>
        <v>0</v>
      </c>
      <c r="BM800" s="756">
        <f>IF(ISBLANK(INDEX(MO_IS_FirstRow,0,COLUMN())),0,IF(OR(BM516=BH516,BM516=BN516,BM516=BL516),"CHECK",0))</f>
        <v>0</v>
      </c>
      <c r="BN800" s="756">
        <f>IF(ISBLANK(INDEX(MO_IS_FirstRow,0,COLUMN())),0,IF(BN516=BI516,"CHECK",0))</f>
        <v>0</v>
      </c>
      <c r="BO800" s="756">
        <f>IF(ISBLANK(INDEX(MO_IS_FirstRow,0,COLUMN())),0,IF(OR(BO516=BJ516,BO516=BP516,BO516=BM516),"CHECK",0))</f>
        <v>0</v>
      </c>
      <c r="BP800" s="756">
        <f>IF(ISBLANK(INDEX(MO_IS_FirstRow,0,COLUMN())),0,IF(OR(BP516=BK516,BP516=BQ516,BP516=BO516),"CHECK",0))</f>
        <v>0</v>
      </c>
      <c r="BQ800" s="756">
        <f>IF(ISBLANK(INDEX(MO_IS_FirstRow,0,COLUMN())),0,IF(OR(BQ516=BL516,BQ516=BR516,BQ516=BP516),"CHECK",0))</f>
        <v>0</v>
      </c>
      <c r="BR800" s="756">
        <f>IF(ISBLANK(INDEX(MO_IS_FirstRow,0,COLUMN())),0,IF(OR(BR516=BM516,BR516=BS516,BR516=BQ516),"CHECK",0))</f>
        <v>0</v>
      </c>
      <c r="BS800" s="756">
        <f>IF(ISBLANK(INDEX(MO_IS_FirstRow,0,COLUMN())),0,IF(BS516=BN516,"CHECK",0))</f>
        <v>0</v>
      </c>
      <c r="BT800" s="757">
        <f>IF(ISBLANK(INDEX(MO_IS_FirstRow,0,COLUMN())),0,IF(OR(BT516=BO516,BT516=BU516,BT516=BR516),"CHECK",0))</f>
        <v>0</v>
      </c>
      <c r="BU800" s="756"/>
      <c r="BV800" s="756"/>
      <c r="BW800" s="756"/>
      <c r="BX800" s="756"/>
      <c r="BY800" s="756"/>
      <c r="BZ800" s="756"/>
      <c r="CA800" s="756"/>
      <c r="CB800" s="756"/>
      <c r="CC800" s="756"/>
      <c r="CD800" s="756"/>
      <c r="CE800" s="756"/>
      <c r="CF800" s="756"/>
      <c r="CG800" s="190"/>
    </row>
    <row r="801" spans="1:85" s="424" customFormat="1" x14ac:dyDescent="0.3">
      <c r="A801" s="190" t="s">
        <v>348</v>
      </c>
      <c r="B801" s="363"/>
      <c r="C801" s="756">
        <f>IF(OR(C760=B760,C760=D760),"CHECK",0)</f>
        <v>0</v>
      </c>
      <c r="D801" s="756">
        <f>IF(OR(D760=C760,D760=E760),"CHECK",0)</f>
        <v>0</v>
      </c>
      <c r="E801" s="756">
        <f>IF(OR(E760=D760,E760=F760),"CHECK",0)</f>
        <v>0</v>
      </c>
      <c r="F801" s="756">
        <f>IF(OR(F760=E760,F760=K760),"CHECK",0)</f>
        <v>0</v>
      </c>
      <c r="G801" s="756">
        <f>IF(OR(G760=B760,G760=H760,G760=E760),"CHECK",0)</f>
        <v>0</v>
      </c>
      <c r="H801" s="756">
        <f>IF(OR(H760=C760,H760=I760,H760=G760),"CHECK",0)</f>
        <v>0</v>
      </c>
      <c r="I801" s="756">
        <f>IF(OR(I760=D760,I760=J760,I760=H760),"CHECK",0)</f>
        <v>0</v>
      </c>
      <c r="J801" s="756">
        <f>IF(OR(J760=E760,J760=I760),"CHECK",0)</f>
        <v>0</v>
      </c>
      <c r="K801" s="756">
        <f>IF(K760=F760,"CHECK",0)</f>
        <v>0</v>
      </c>
      <c r="L801" s="756">
        <f>IF(OR(L760=G760,L760=M760,L760=J760),"CHECK",0)</f>
        <v>0</v>
      </c>
      <c r="M801" s="756">
        <f>IF(OR(M760=H760,M760=N760,M760=L760),"CHECK",0)</f>
        <v>0</v>
      </c>
      <c r="N801" s="756">
        <f>IF(OR(N760=I760,N760=O760,N760=M760),"CHECK",0)</f>
        <v>0</v>
      </c>
      <c r="O801" s="756">
        <f>IF(OR(O760=J760,O760=N760),"CHECK",0)</f>
        <v>0</v>
      </c>
      <c r="P801" s="756">
        <f>IF(P760=K760,"CHECK",0)</f>
        <v>0</v>
      </c>
      <c r="Q801" s="756">
        <f>IF(OR(Q760=L760,Q760=R760,Q760=O760),"CHECK",0)</f>
        <v>0</v>
      </c>
      <c r="R801" s="756">
        <f>IF(OR(R760=M760,R760=S760,R760=Q760),"CHECK",0)</f>
        <v>0</v>
      </c>
      <c r="S801" s="756">
        <f>IF(OR(S760=N760,S760=T760,S760=R760),"CHECK",0)</f>
        <v>0</v>
      </c>
      <c r="T801" s="756">
        <f>IF(OR(T760=O760,T760=S760),"CHECK",0)</f>
        <v>0</v>
      </c>
      <c r="U801" s="756">
        <f>IF(U760=P760,"CHECK",0)</f>
        <v>0</v>
      </c>
      <c r="V801" s="756">
        <f>IF(OR(V760=Q760,V760=W760,V760=T760),"CHECK",0)</f>
        <v>0</v>
      </c>
      <c r="W801" s="756">
        <f>IF(OR(W760=R760,W760=X760,W760=V760),"CHECK",0)</f>
        <v>0</v>
      </c>
      <c r="X801" s="756">
        <f>IF(OR(X760=S760,X760=Y760,X760=W760),"CHECK",0)</f>
        <v>0</v>
      </c>
      <c r="Y801" s="756">
        <f>IF(OR(Y760=T760,Y760=X760),"CHECK",0)</f>
        <v>0</v>
      </c>
      <c r="Z801" s="756">
        <f>IF(Z760=U760,"CHECK",0)</f>
        <v>0</v>
      </c>
      <c r="AA801" s="756">
        <f>IF(OR(AA760=V760,AA760=AB760,AA760=Y760),"CHECK",0)</f>
        <v>0</v>
      </c>
      <c r="AB801" s="756">
        <f>IF(OR(AB760=W760,AB760=AC760,AB760=AA760),"CHECK",0)</f>
        <v>0</v>
      </c>
      <c r="AC801" s="756">
        <f>IF(OR(AC760=X760,AC760=AD760,AC760=AB760),"CHECK",0)</f>
        <v>0</v>
      </c>
      <c r="AD801" s="756">
        <f>IF(OR(AD760=Y760,AD760=AC760),"CHECK",0)</f>
        <v>0</v>
      </c>
      <c r="AE801" s="756">
        <f>IF(AE760=Z760,"CHECK",0)</f>
        <v>0</v>
      </c>
      <c r="AF801" s="756">
        <f>IF(OR(AF760=AA760,AF760=AG760,AF760=AD760),"CHECK",0)</f>
        <v>0</v>
      </c>
      <c r="AG801" s="756">
        <f>IF(OR(AG760=AB760,AG760=AH760,AG760=AF760),"CHECK",0)</f>
        <v>0</v>
      </c>
      <c r="AH801" s="756">
        <f>IF(OR(AH760=AC760,AH760=AI760,AH760=AG760),"CHECK",0)</f>
        <v>0</v>
      </c>
      <c r="AI801" s="756">
        <f>IF(OR(AI760=AD760,AI760=AH760),"CHECK",0)</f>
        <v>0</v>
      </c>
      <c r="AJ801" s="756">
        <f>IF(AJ760=AE760,"CHECK",0)</f>
        <v>0</v>
      </c>
      <c r="AK801" s="756">
        <f>IF(OR(AK760=AF760,AK760=AL760,AK760=AI760),"CHECK",0)</f>
        <v>0</v>
      </c>
      <c r="AL801" s="756">
        <f>IF(OR(AL760=AG760,AL760=AM760,AL760=AK760),"CHECK",0)</f>
        <v>0</v>
      </c>
      <c r="AM801" s="756">
        <f>IF(OR(AM760=AH760,AM760=AN760,AM760=AL760),"CHECK",0)</f>
        <v>0</v>
      </c>
      <c r="AN801" s="756">
        <f>IF(OR(AN760=AI760,AN760=AM760),"CHECK",0)</f>
        <v>0</v>
      </c>
      <c r="AO801" s="756">
        <f>IF(AO760=AJ760,"CHECK",0)</f>
        <v>0</v>
      </c>
      <c r="AP801" s="756">
        <f>IF(OR(AP760=AK760,AP760=AQ760,AP760=AN760),"CHECK",0)</f>
        <v>0</v>
      </c>
      <c r="AQ801" s="756">
        <f>IF(OR(AQ760=AL760,AQ760=AR760,AQ760=AP760),"CHECK",0)</f>
        <v>0</v>
      </c>
      <c r="AR801" s="756">
        <f>IF(OR(AR760=AM760,AR760=AS760,AR760=AQ760),"CHECK",0)</f>
        <v>0</v>
      </c>
      <c r="AS801" s="756">
        <f>IF(OR(AS760=AN760,AS760=AR760),"CHECK",0)</f>
        <v>0</v>
      </c>
      <c r="AT801" s="756">
        <f>IF(AT760=AO760,"CHECK",0)</f>
        <v>0</v>
      </c>
      <c r="AU801" s="756">
        <f>IF(OR(AU760=AP760,AU760=AV760,AU760=AS760),"CHECK",0)</f>
        <v>0</v>
      </c>
      <c r="AV801" s="756">
        <f>IF(OR(AV760=AQ760,AV760=AW760,AV760=AU760),"CHECK",0)</f>
        <v>0</v>
      </c>
      <c r="AW801" s="756">
        <f>IF(OR(AW760=AR760,AW760=AX760,AW760=AV760),"CHECK",0)</f>
        <v>0</v>
      </c>
      <c r="AX801" s="756">
        <f>IF(OR(AX760=AS760,AX760=AW760),"CHECK",0)</f>
        <v>0</v>
      </c>
      <c r="AY801" s="756">
        <f>IF(AY760=AT760,"CHECK",0)</f>
        <v>0</v>
      </c>
      <c r="AZ801" s="756">
        <f>IF(OR(AZ760=AU760,AZ760=BA760,AZ760=AX760),"CHECK",0)</f>
        <v>0</v>
      </c>
      <c r="BA801" s="756">
        <f>IF(OR(BA760=AV760,BA760=BB760,BA760=AZ760),"CHECK",0)</f>
        <v>0</v>
      </c>
      <c r="BB801" s="756">
        <f>IF(OR(BB760=AW760,BB760=BC760,BB760=BA760),"CHECK",0)</f>
        <v>0</v>
      </c>
      <c r="BC801" s="756">
        <f>IF(OR(BC760=AX760,BC760=BB760),"CHECK",0)</f>
        <v>0</v>
      </c>
      <c r="BD801" s="756">
        <f>IF(BD760=AY760,"CHECK",0)</f>
        <v>0</v>
      </c>
      <c r="BE801" s="756">
        <f>IF(OR(BE760=AZ760,BE760=BF760,BE760=BC760),"CHECK",0)</f>
        <v>0</v>
      </c>
      <c r="BF801" s="756">
        <f>IF(OR(BF760=BA760,BF760=BG760,BF760=BE760),"CHECK",0)</f>
        <v>0</v>
      </c>
      <c r="BG801" s="756">
        <f>IF(OR(BG760=BB760,BG760=BH760,BG760=BF760),"CHECK",0)</f>
        <v>0</v>
      </c>
      <c r="BH801" s="756">
        <f>IF(OR(BH760=BC760,BH760=BG760),"CHECK",0)</f>
        <v>0</v>
      </c>
      <c r="BI801" s="756">
        <f>IF(BI760=BD760,"CHECK",0)</f>
        <v>0</v>
      </c>
      <c r="BJ801" s="756">
        <f>IF(OR(BJ760=BE760,BJ760=BK760,BJ760=BH760),"CHECK",0)</f>
        <v>0</v>
      </c>
      <c r="BK801" s="756">
        <f>IF(OR(BK760=BF760,BK760=BL760,BK760=BJ760),"CHECK",0)</f>
        <v>0</v>
      </c>
      <c r="BL801" s="756">
        <f>IF(OR(BL760=BG760,BL760=BM760,BL760=BK760),"CHECK",0)</f>
        <v>0</v>
      </c>
      <c r="BM801" s="756">
        <f>IF(OR(BM760=BH760,BM760=BL760),"CHECK",0)</f>
        <v>0</v>
      </c>
      <c r="BN801" s="756">
        <f>IF(BN760=BI760,"CHECK",0)</f>
        <v>0</v>
      </c>
      <c r="BO801" s="756">
        <f>IF(OR(BO760=BJ760,BO760=BP760,BO760=BM760),"CHECK",0)</f>
        <v>0</v>
      </c>
      <c r="BP801" s="756">
        <f>IF(OR(BP760=BK760,BP760=BQ760,BP760=BO760),"CHECK",0)</f>
        <v>0</v>
      </c>
      <c r="BQ801" s="756">
        <f>IF(OR(BQ760=BL760,BQ760=BR760,BQ760=BP760),"CHECK",0)</f>
        <v>0</v>
      </c>
      <c r="BR801" s="756">
        <f>IF(OR(BR760=BM760,BR760=BQ760),"CHECK",0)</f>
        <v>0</v>
      </c>
      <c r="BS801" s="756">
        <f>IF(BS760=BN760,"CHECK",0)</f>
        <v>0</v>
      </c>
      <c r="BT801" s="757">
        <f ca="1">IF(OR(BT760=BO760,BT760=BU760,BT760=BR760),"CHECK",0)</f>
        <v>0</v>
      </c>
      <c r="BU801" s="756"/>
      <c r="BV801" s="756"/>
      <c r="BW801" s="756"/>
      <c r="BX801" s="756"/>
      <c r="BY801" s="756"/>
      <c r="BZ801" s="756"/>
      <c r="CA801" s="756"/>
      <c r="CB801" s="756"/>
      <c r="CC801" s="756"/>
      <c r="CD801" s="756"/>
      <c r="CE801" s="756"/>
      <c r="CF801" s="756"/>
      <c r="CG801" s="190"/>
    </row>
    <row r="802" spans="1:85" s="424" customFormat="1" x14ac:dyDescent="0.3">
      <c r="A802" s="190" t="s">
        <v>349</v>
      </c>
      <c r="B802" s="363"/>
      <c r="C802" s="756">
        <f t="shared" ref="C802:AH802" si="1839">IF(ISBLANK(INDEX(MO_IS_FirstRow,0,COLUMN())),0,ROUND(C726-C674,6))</f>
        <v>0</v>
      </c>
      <c r="D802" s="756">
        <f t="shared" si="1839"/>
        <v>0</v>
      </c>
      <c r="E802" s="756">
        <f t="shared" si="1839"/>
        <v>0</v>
      </c>
      <c r="F802" s="756">
        <f t="shared" si="1839"/>
        <v>0</v>
      </c>
      <c r="G802" s="756">
        <f t="shared" si="1839"/>
        <v>0</v>
      </c>
      <c r="H802" s="756">
        <f t="shared" si="1839"/>
        <v>0</v>
      </c>
      <c r="I802" s="756">
        <f t="shared" si="1839"/>
        <v>0</v>
      </c>
      <c r="J802" s="756">
        <f t="shared" si="1839"/>
        <v>0</v>
      </c>
      <c r="K802" s="756">
        <f t="shared" si="1839"/>
        <v>0</v>
      </c>
      <c r="L802" s="756">
        <f t="shared" si="1839"/>
        <v>0</v>
      </c>
      <c r="M802" s="756">
        <f t="shared" si="1839"/>
        <v>0</v>
      </c>
      <c r="N802" s="756">
        <f t="shared" si="1839"/>
        <v>0</v>
      </c>
      <c r="O802" s="756">
        <f t="shared" si="1839"/>
        <v>0</v>
      </c>
      <c r="P802" s="756">
        <f t="shared" si="1839"/>
        <v>0</v>
      </c>
      <c r="Q802" s="756">
        <f t="shared" si="1839"/>
        <v>0</v>
      </c>
      <c r="R802" s="756">
        <f t="shared" si="1839"/>
        <v>0</v>
      </c>
      <c r="S802" s="756">
        <f t="shared" si="1839"/>
        <v>0</v>
      </c>
      <c r="T802" s="756">
        <f t="shared" si="1839"/>
        <v>0</v>
      </c>
      <c r="U802" s="756">
        <f t="shared" si="1839"/>
        <v>0</v>
      </c>
      <c r="V802" s="756">
        <f t="shared" si="1839"/>
        <v>0</v>
      </c>
      <c r="W802" s="756">
        <f t="shared" si="1839"/>
        <v>0</v>
      </c>
      <c r="X802" s="756">
        <f t="shared" si="1839"/>
        <v>0</v>
      </c>
      <c r="Y802" s="756">
        <f t="shared" si="1839"/>
        <v>0</v>
      </c>
      <c r="Z802" s="756">
        <f t="shared" si="1839"/>
        <v>0</v>
      </c>
      <c r="AA802" s="756">
        <f t="shared" si="1839"/>
        <v>0</v>
      </c>
      <c r="AB802" s="756">
        <f t="shared" si="1839"/>
        <v>0</v>
      </c>
      <c r="AC802" s="756">
        <f t="shared" si="1839"/>
        <v>0</v>
      </c>
      <c r="AD802" s="756">
        <f t="shared" si="1839"/>
        <v>0</v>
      </c>
      <c r="AE802" s="756">
        <f t="shared" si="1839"/>
        <v>0</v>
      </c>
      <c r="AF802" s="756">
        <f t="shared" si="1839"/>
        <v>0</v>
      </c>
      <c r="AG802" s="756">
        <f t="shared" si="1839"/>
        <v>0</v>
      </c>
      <c r="AH802" s="756">
        <f t="shared" si="1839"/>
        <v>0</v>
      </c>
      <c r="AI802" s="756">
        <f t="shared" ref="AI802:BD802" si="1840">IF(ISBLANK(INDEX(MO_IS_FirstRow,0,COLUMN())),0,ROUND(AI726-AI674,6))</f>
        <v>0</v>
      </c>
      <c r="AJ802" s="756">
        <f t="shared" si="1840"/>
        <v>0</v>
      </c>
      <c r="AK802" s="756">
        <f t="shared" si="1840"/>
        <v>0</v>
      </c>
      <c r="AL802" s="756">
        <f t="shared" si="1840"/>
        <v>0</v>
      </c>
      <c r="AM802" s="756">
        <f t="shared" si="1840"/>
        <v>0</v>
      </c>
      <c r="AN802" s="756">
        <f t="shared" si="1840"/>
        <v>0</v>
      </c>
      <c r="AO802" s="756">
        <f t="shared" si="1840"/>
        <v>0</v>
      </c>
      <c r="AP802" s="756">
        <f t="shared" si="1840"/>
        <v>0</v>
      </c>
      <c r="AQ802" s="756">
        <f t="shared" si="1840"/>
        <v>0</v>
      </c>
      <c r="AR802" s="756">
        <f t="shared" si="1840"/>
        <v>0</v>
      </c>
      <c r="AS802" s="756">
        <f t="shared" si="1840"/>
        <v>0</v>
      </c>
      <c r="AT802" s="756">
        <f t="shared" si="1840"/>
        <v>0</v>
      </c>
      <c r="AU802" s="756">
        <f t="shared" si="1840"/>
        <v>0</v>
      </c>
      <c r="AV802" s="756">
        <f t="shared" si="1840"/>
        <v>0</v>
      </c>
      <c r="AW802" s="756">
        <f t="shared" si="1840"/>
        <v>0</v>
      </c>
      <c r="AX802" s="756">
        <f t="shared" si="1840"/>
        <v>0</v>
      </c>
      <c r="AY802" s="756">
        <f t="shared" si="1840"/>
        <v>0</v>
      </c>
      <c r="AZ802" s="756">
        <f t="shared" si="1840"/>
        <v>0</v>
      </c>
      <c r="BA802" s="756">
        <f t="shared" si="1840"/>
        <v>0</v>
      </c>
      <c r="BB802" s="756">
        <f t="shared" si="1840"/>
        <v>0</v>
      </c>
      <c r="BC802" s="756">
        <f t="shared" si="1840"/>
        <v>0</v>
      </c>
      <c r="BD802" s="756">
        <f t="shared" si="1840"/>
        <v>0</v>
      </c>
      <c r="BE802" s="756">
        <f t="shared" ref="BE802:BI802" si="1841">IF(ISBLANK(INDEX(MO_IS_FirstRow,0,COLUMN())),0,ROUND(BE726-BE674,6))</f>
        <v>0</v>
      </c>
      <c r="BF802" s="756">
        <f t="shared" si="1841"/>
        <v>0</v>
      </c>
      <c r="BG802" s="756">
        <f t="shared" si="1841"/>
        <v>0</v>
      </c>
      <c r="BH802" s="756">
        <f t="shared" si="1841"/>
        <v>0</v>
      </c>
      <c r="BI802" s="756">
        <f t="shared" si="1841"/>
        <v>0</v>
      </c>
      <c r="BJ802" s="756">
        <f t="shared" ref="BJ802:BX802" si="1842">IF(ISBLANK(INDEX(MO_IS_FirstRow,0,COLUMN())),0,ROUND(BJ726-BJ674,6))</f>
        <v>0</v>
      </c>
      <c r="BK802" s="756">
        <f t="shared" si="1842"/>
        <v>0</v>
      </c>
      <c r="BL802" s="756">
        <f t="shared" si="1842"/>
        <v>0</v>
      </c>
      <c r="BM802" s="756">
        <f t="shared" si="1842"/>
        <v>0</v>
      </c>
      <c r="BN802" s="756">
        <f t="shared" si="1842"/>
        <v>0</v>
      </c>
      <c r="BO802" s="756">
        <f t="shared" ref="BO802:BW802" si="1843">IF(ISBLANK(INDEX(MO_IS_FirstRow,0,COLUMN())),0,ROUND(BO726-BO674,6))</f>
        <v>0</v>
      </c>
      <c r="BP802" s="756">
        <f t="shared" si="1843"/>
        <v>0</v>
      </c>
      <c r="BQ802" s="756">
        <f t="shared" si="1843"/>
        <v>0</v>
      </c>
      <c r="BR802" s="756">
        <f t="shared" si="1843"/>
        <v>0</v>
      </c>
      <c r="BS802" s="756">
        <f t="shared" si="1843"/>
        <v>0</v>
      </c>
      <c r="BT802" s="757">
        <f>IF(ISBLANK(INDEX(MO_IS_FirstRow,0,COLUMN())),0,ROUND(BT726-BT674,6))</f>
        <v>0</v>
      </c>
      <c r="BU802" s="756">
        <f t="shared" si="1843"/>
        <v>0</v>
      </c>
      <c r="BV802" s="756">
        <f t="shared" si="1843"/>
        <v>0</v>
      </c>
      <c r="BW802" s="756">
        <f t="shared" si="1843"/>
        <v>0</v>
      </c>
      <c r="BX802" s="756">
        <f t="shared" si="1842"/>
        <v>0</v>
      </c>
      <c r="BY802" s="756">
        <f t="shared" ref="BY802:CF802" si="1844">IF(ISBLANK(INDEX(MO_IS_FirstRow,0,COLUMN())),0,ROUND(BY726-BY674,6))</f>
        <v>0</v>
      </c>
      <c r="BZ802" s="756">
        <f t="shared" si="1844"/>
        <v>0</v>
      </c>
      <c r="CA802" s="756">
        <f t="shared" si="1844"/>
        <v>0</v>
      </c>
      <c r="CB802" s="756">
        <f t="shared" si="1844"/>
        <v>0</v>
      </c>
      <c r="CC802" s="756">
        <f t="shared" si="1844"/>
        <v>0</v>
      </c>
      <c r="CD802" s="756">
        <f t="shared" si="1844"/>
        <v>0</v>
      </c>
      <c r="CE802" s="756">
        <f t="shared" si="1844"/>
        <v>0</v>
      </c>
      <c r="CF802" s="756">
        <f t="shared" si="1844"/>
        <v>0</v>
      </c>
      <c r="CG802" s="190"/>
    </row>
    <row r="803" spans="1:85" s="424" customFormat="1" x14ac:dyDescent="0.3">
      <c r="A803" s="190" t="s">
        <v>350</v>
      </c>
      <c r="B803" s="363"/>
      <c r="C803" s="756">
        <f t="shared" ref="C803:AH803" si="1845">ROUND(INDEX(MO_CFSum_Capex,0,COLUMN())-C702,6)</f>
        <v>0</v>
      </c>
      <c r="D803" s="756">
        <f t="shared" si="1845"/>
        <v>0</v>
      </c>
      <c r="E803" s="756">
        <f t="shared" si="1845"/>
        <v>0</v>
      </c>
      <c r="F803" s="756">
        <f t="shared" si="1845"/>
        <v>0</v>
      </c>
      <c r="G803" s="756">
        <f t="shared" si="1845"/>
        <v>0</v>
      </c>
      <c r="H803" s="756">
        <f t="shared" si="1845"/>
        <v>0</v>
      </c>
      <c r="I803" s="756">
        <f t="shared" si="1845"/>
        <v>0</v>
      </c>
      <c r="J803" s="756">
        <f t="shared" si="1845"/>
        <v>0</v>
      </c>
      <c r="K803" s="756">
        <f t="shared" si="1845"/>
        <v>0</v>
      </c>
      <c r="L803" s="756">
        <f t="shared" si="1845"/>
        <v>0</v>
      </c>
      <c r="M803" s="756">
        <f t="shared" si="1845"/>
        <v>0</v>
      </c>
      <c r="N803" s="756">
        <f t="shared" si="1845"/>
        <v>0</v>
      </c>
      <c r="O803" s="756">
        <f t="shared" si="1845"/>
        <v>0</v>
      </c>
      <c r="P803" s="756">
        <f t="shared" si="1845"/>
        <v>0</v>
      </c>
      <c r="Q803" s="756">
        <f t="shared" si="1845"/>
        <v>0</v>
      </c>
      <c r="R803" s="756">
        <f t="shared" si="1845"/>
        <v>0</v>
      </c>
      <c r="S803" s="756">
        <f t="shared" si="1845"/>
        <v>0</v>
      </c>
      <c r="T803" s="756">
        <f t="shared" si="1845"/>
        <v>0</v>
      </c>
      <c r="U803" s="756">
        <f t="shared" si="1845"/>
        <v>0</v>
      </c>
      <c r="V803" s="756">
        <f t="shared" si="1845"/>
        <v>0</v>
      </c>
      <c r="W803" s="756">
        <f t="shared" si="1845"/>
        <v>0</v>
      </c>
      <c r="X803" s="756">
        <f t="shared" si="1845"/>
        <v>0</v>
      </c>
      <c r="Y803" s="756">
        <f t="shared" si="1845"/>
        <v>0</v>
      </c>
      <c r="Z803" s="756">
        <f t="shared" si="1845"/>
        <v>0</v>
      </c>
      <c r="AA803" s="756">
        <f t="shared" si="1845"/>
        <v>0</v>
      </c>
      <c r="AB803" s="756">
        <f t="shared" si="1845"/>
        <v>0</v>
      </c>
      <c r="AC803" s="756">
        <f t="shared" si="1845"/>
        <v>0</v>
      </c>
      <c r="AD803" s="756">
        <f t="shared" si="1845"/>
        <v>0</v>
      </c>
      <c r="AE803" s="756">
        <f t="shared" si="1845"/>
        <v>0</v>
      </c>
      <c r="AF803" s="756">
        <f t="shared" si="1845"/>
        <v>0</v>
      </c>
      <c r="AG803" s="756">
        <f t="shared" si="1845"/>
        <v>0</v>
      </c>
      <c r="AH803" s="756">
        <f t="shared" si="1845"/>
        <v>0</v>
      </c>
      <c r="AI803" s="756">
        <f t="shared" ref="AI803:BD803" si="1846">ROUND(INDEX(MO_CFSum_Capex,0,COLUMN())-AI702,6)</f>
        <v>0</v>
      </c>
      <c r="AJ803" s="756">
        <f t="shared" si="1846"/>
        <v>0</v>
      </c>
      <c r="AK803" s="756">
        <f t="shared" si="1846"/>
        <v>0</v>
      </c>
      <c r="AL803" s="756">
        <f t="shared" si="1846"/>
        <v>0</v>
      </c>
      <c r="AM803" s="756">
        <f t="shared" si="1846"/>
        <v>0</v>
      </c>
      <c r="AN803" s="756">
        <f t="shared" si="1846"/>
        <v>0</v>
      </c>
      <c r="AO803" s="756">
        <f t="shared" si="1846"/>
        <v>0</v>
      </c>
      <c r="AP803" s="756">
        <f t="shared" si="1846"/>
        <v>0</v>
      </c>
      <c r="AQ803" s="756">
        <f t="shared" si="1846"/>
        <v>0</v>
      </c>
      <c r="AR803" s="756">
        <f t="shared" si="1846"/>
        <v>0</v>
      </c>
      <c r="AS803" s="756">
        <f t="shared" si="1846"/>
        <v>0</v>
      </c>
      <c r="AT803" s="756">
        <f t="shared" si="1846"/>
        <v>0</v>
      </c>
      <c r="AU803" s="756">
        <f t="shared" si="1846"/>
        <v>0</v>
      </c>
      <c r="AV803" s="756">
        <f t="shared" si="1846"/>
        <v>0</v>
      </c>
      <c r="AW803" s="756">
        <f t="shared" si="1846"/>
        <v>0</v>
      </c>
      <c r="AX803" s="756">
        <f t="shared" si="1846"/>
        <v>0</v>
      </c>
      <c r="AY803" s="756">
        <f t="shared" si="1846"/>
        <v>0</v>
      </c>
      <c r="AZ803" s="756">
        <f t="shared" si="1846"/>
        <v>0</v>
      </c>
      <c r="BA803" s="756">
        <f t="shared" si="1846"/>
        <v>0</v>
      </c>
      <c r="BB803" s="756">
        <f t="shared" si="1846"/>
        <v>0</v>
      </c>
      <c r="BC803" s="756">
        <f t="shared" si="1846"/>
        <v>0</v>
      </c>
      <c r="BD803" s="756">
        <f t="shared" si="1846"/>
        <v>0</v>
      </c>
      <c r="BE803" s="756">
        <f t="shared" ref="BE803:BI803" si="1847">ROUND(INDEX(MO_CFSum_Capex,0,COLUMN())-BE702,6)</f>
        <v>0</v>
      </c>
      <c r="BF803" s="756">
        <f t="shared" si="1847"/>
        <v>0</v>
      </c>
      <c r="BG803" s="756">
        <f t="shared" si="1847"/>
        <v>0</v>
      </c>
      <c r="BH803" s="756">
        <f t="shared" si="1847"/>
        <v>0</v>
      </c>
      <c r="BI803" s="756">
        <f t="shared" si="1847"/>
        <v>0</v>
      </c>
      <c r="BJ803" s="756">
        <f t="shared" ref="BJ803:BX803" si="1848">ROUND(INDEX(MO_CFSum_Capex,0,COLUMN())-BJ702,6)</f>
        <v>0</v>
      </c>
      <c r="BK803" s="756">
        <f t="shared" si="1848"/>
        <v>0</v>
      </c>
      <c r="BL803" s="756">
        <f t="shared" si="1848"/>
        <v>0</v>
      </c>
      <c r="BM803" s="756">
        <f t="shared" si="1848"/>
        <v>0</v>
      </c>
      <c r="BN803" s="756">
        <f t="shared" si="1848"/>
        <v>0</v>
      </c>
      <c r="BO803" s="756">
        <f t="shared" ref="BO803:BW803" si="1849">ROUND(INDEX(MO_CFSum_Capex,0,COLUMN())-BO702,6)</f>
        <v>0</v>
      </c>
      <c r="BP803" s="756">
        <f t="shared" si="1849"/>
        <v>0</v>
      </c>
      <c r="BQ803" s="756">
        <f t="shared" si="1849"/>
        <v>0</v>
      </c>
      <c r="BR803" s="756">
        <f t="shared" si="1849"/>
        <v>0</v>
      </c>
      <c r="BS803" s="756">
        <f t="shared" si="1849"/>
        <v>0</v>
      </c>
      <c r="BT803" s="757">
        <f>ROUND(INDEX(MO_CFSum_Capex,0,COLUMN())-BT702,6)</f>
        <v>0</v>
      </c>
      <c r="BU803" s="756">
        <f t="shared" si="1849"/>
        <v>0</v>
      </c>
      <c r="BV803" s="756">
        <f t="shared" si="1849"/>
        <v>0</v>
      </c>
      <c r="BW803" s="756">
        <f t="shared" si="1849"/>
        <v>0</v>
      </c>
      <c r="BX803" s="756">
        <f t="shared" si="1848"/>
        <v>0</v>
      </c>
      <c r="BY803" s="756">
        <f t="shared" ref="BY803:CF803" si="1850">ROUND(INDEX(MO_CFSum_Capex,0,COLUMN())-BY702,6)</f>
        <v>0</v>
      </c>
      <c r="BZ803" s="756">
        <f t="shared" si="1850"/>
        <v>0</v>
      </c>
      <c r="CA803" s="756">
        <f t="shared" si="1850"/>
        <v>0</v>
      </c>
      <c r="CB803" s="756">
        <f t="shared" si="1850"/>
        <v>0</v>
      </c>
      <c r="CC803" s="756">
        <f t="shared" si="1850"/>
        <v>0</v>
      </c>
      <c r="CD803" s="756">
        <f t="shared" si="1850"/>
        <v>0</v>
      </c>
      <c r="CE803" s="756">
        <f t="shared" si="1850"/>
        <v>0</v>
      </c>
      <c r="CF803" s="756">
        <f t="shared" si="1850"/>
        <v>0</v>
      </c>
      <c r="CG803" s="190"/>
    </row>
    <row r="804" spans="1:85" s="424" customFormat="1" x14ac:dyDescent="0.3">
      <c r="A804" s="190" t="s">
        <v>351</v>
      </c>
      <c r="B804" s="363"/>
      <c r="C804" s="756">
        <f t="shared" ref="C804:AH804" si="1851">IF(OR(INDEX(MO_CFSum_Acquisition,1,COLUMN())&gt;0,INDEX(MO_CFSum_Divestiture,1,COLUMN())&lt;0,INDEX(MO_CFSum_Capex,1,COLUMN())&gt;0,INDEX(MO_CFSum_Dividend,1,COLUMN())&gt;0),"CHECK",0)</f>
        <v>0</v>
      </c>
      <c r="D804" s="756">
        <f t="shared" si="1851"/>
        <v>0</v>
      </c>
      <c r="E804" s="756">
        <f t="shared" si="1851"/>
        <v>0</v>
      </c>
      <c r="F804" s="756">
        <f t="shared" si="1851"/>
        <v>0</v>
      </c>
      <c r="G804" s="756">
        <f t="shared" si="1851"/>
        <v>0</v>
      </c>
      <c r="H804" s="756">
        <f t="shared" si="1851"/>
        <v>0</v>
      </c>
      <c r="I804" s="756">
        <f t="shared" si="1851"/>
        <v>0</v>
      </c>
      <c r="J804" s="756">
        <f t="shared" si="1851"/>
        <v>0</v>
      </c>
      <c r="K804" s="756">
        <f t="shared" si="1851"/>
        <v>0</v>
      </c>
      <c r="L804" s="756">
        <f t="shared" si="1851"/>
        <v>0</v>
      </c>
      <c r="M804" s="756">
        <f t="shared" si="1851"/>
        <v>0</v>
      </c>
      <c r="N804" s="756">
        <f t="shared" si="1851"/>
        <v>0</v>
      </c>
      <c r="O804" s="756">
        <f t="shared" si="1851"/>
        <v>0</v>
      </c>
      <c r="P804" s="756">
        <f t="shared" si="1851"/>
        <v>0</v>
      </c>
      <c r="Q804" s="756">
        <f t="shared" si="1851"/>
        <v>0</v>
      </c>
      <c r="R804" s="756">
        <f t="shared" si="1851"/>
        <v>0</v>
      </c>
      <c r="S804" s="756">
        <f t="shared" si="1851"/>
        <v>0</v>
      </c>
      <c r="T804" s="756">
        <f t="shared" si="1851"/>
        <v>0</v>
      </c>
      <c r="U804" s="756">
        <f t="shared" si="1851"/>
        <v>0</v>
      </c>
      <c r="V804" s="756">
        <f t="shared" si="1851"/>
        <v>0</v>
      </c>
      <c r="W804" s="756">
        <f t="shared" si="1851"/>
        <v>0</v>
      </c>
      <c r="X804" s="756">
        <f t="shared" si="1851"/>
        <v>0</v>
      </c>
      <c r="Y804" s="756">
        <f t="shared" si="1851"/>
        <v>0</v>
      </c>
      <c r="Z804" s="756">
        <f t="shared" si="1851"/>
        <v>0</v>
      </c>
      <c r="AA804" s="756">
        <f t="shared" si="1851"/>
        <v>0</v>
      </c>
      <c r="AB804" s="756">
        <f t="shared" si="1851"/>
        <v>0</v>
      </c>
      <c r="AC804" s="756">
        <f t="shared" si="1851"/>
        <v>0</v>
      </c>
      <c r="AD804" s="756">
        <f t="shared" si="1851"/>
        <v>0</v>
      </c>
      <c r="AE804" s="756">
        <f t="shared" si="1851"/>
        <v>0</v>
      </c>
      <c r="AF804" s="756">
        <f t="shared" si="1851"/>
        <v>0</v>
      </c>
      <c r="AG804" s="756">
        <f t="shared" si="1851"/>
        <v>0</v>
      </c>
      <c r="AH804" s="756">
        <f t="shared" si="1851"/>
        <v>0</v>
      </c>
      <c r="AI804" s="756">
        <f t="shared" ref="AI804:AU804" si="1852">IF(OR(INDEX(MO_CFSum_Acquisition,1,COLUMN())&gt;0,INDEX(MO_CFSum_Divestiture,1,COLUMN())&lt;0,INDEX(MO_CFSum_Capex,1,COLUMN())&gt;0,INDEX(MO_CFSum_Dividend,1,COLUMN())&gt;0),"CHECK",0)</f>
        <v>0</v>
      </c>
      <c r="AJ804" s="756">
        <f t="shared" si="1852"/>
        <v>0</v>
      </c>
      <c r="AK804" s="756">
        <f t="shared" si="1852"/>
        <v>0</v>
      </c>
      <c r="AL804" s="756">
        <f t="shared" si="1852"/>
        <v>0</v>
      </c>
      <c r="AM804" s="756">
        <f t="shared" si="1852"/>
        <v>0</v>
      </c>
      <c r="AN804" s="756">
        <f t="shared" si="1852"/>
        <v>0</v>
      </c>
      <c r="AO804" s="756">
        <f t="shared" si="1852"/>
        <v>0</v>
      </c>
      <c r="AP804" s="756">
        <f t="shared" si="1852"/>
        <v>0</v>
      </c>
      <c r="AQ804" s="756">
        <f t="shared" si="1852"/>
        <v>0</v>
      </c>
      <c r="AR804" s="756">
        <f>IF(OR(INDEX(MO_CFSum_Acquisition,1,COLUMN())&gt;0,INDEX(MO_CFSum_Divestiture,1,COLUMN())&lt;0,INDEX(MO_CFSum_Capex,1,COLUMN())&gt;0,INDEX(MO_CFSum_Dividend,1,COLUMN())&gt;0),"CHECK",0)</f>
        <v>0</v>
      </c>
      <c r="AS804" s="756" t="str">
        <f t="shared" si="1852"/>
        <v>CHECK</v>
      </c>
      <c r="AT804" s="756" t="str">
        <f t="shared" si="1852"/>
        <v>CHECK</v>
      </c>
      <c r="AU804" s="756">
        <f t="shared" si="1852"/>
        <v>0</v>
      </c>
      <c r="AV804" s="756">
        <f t="shared" ref="AV804:BA804" si="1853">IF(OR(INDEX(MO_CFSum_Acquisition,1,COLUMN())&gt;0,INDEX(MO_CFSum_Divestiture,1,COLUMN())&lt;0,INDEX(MO_CFSum_Capex,1,COLUMN())&gt;0,INDEX(MO_CFSum_Dividend,1,COLUMN())&gt;0),"CHECK",0)</f>
        <v>0</v>
      </c>
      <c r="AW804" s="756">
        <f t="shared" si="1853"/>
        <v>0</v>
      </c>
      <c r="AX804" s="756">
        <f t="shared" si="1853"/>
        <v>0</v>
      </c>
      <c r="AY804" s="756">
        <f t="shared" si="1853"/>
        <v>0</v>
      </c>
      <c r="AZ804" s="756">
        <f t="shared" si="1853"/>
        <v>0</v>
      </c>
      <c r="BA804" s="756">
        <f t="shared" si="1853"/>
        <v>0</v>
      </c>
      <c r="BB804" s="756">
        <f t="shared" ref="BB804:BD804" si="1854">IF(OR(INDEX(MO_CFSum_Acquisition,1,COLUMN())&gt;0,INDEX(MO_CFSum_Divestiture,1,COLUMN())&lt;0,INDEX(MO_CFSum_Capex,1,COLUMN())&gt;0,INDEX(MO_CFSum_Dividend,1,COLUMN())&gt;0),"CHECK",0)</f>
        <v>0</v>
      </c>
      <c r="BC804" s="756">
        <f t="shared" si="1854"/>
        <v>0</v>
      </c>
      <c r="BD804" s="756">
        <f t="shared" si="1854"/>
        <v>0</v>
      </c>
      <c r="BE804" s="756">
        <f t="shared" ref="BE804:BI804" si="1855">IF(OR(INDEX(MO_CFSum_Acquisition,1,COLUMN())&gt;0,INDEX(MO_CFSum_Divestiture,1,COLUMN())&lt;0,INDEX(MO_CFSum_Capex,1,COLUMN())&gt;0,INDEX(MO_CFSum_Dividend,1,COLUMN())&gt;0),"CHECK",0)</f>
        <v>0</v>
      </c>
      <c r="BF804" s="756">
        <f t="shared" si="1855"/>
        <v>0</v>
      </c>
      <c r="BG804" s="756" t="str">
        <f t="shared" si="1855"/>
        <v>CHECK</v>
      </c>
      <c r="BH804" s="756">
        <f t="shared" si="1855"/>
        <v>0</v>
      </c>
      <c r="BI804" s="756" t="str">
        <f t="shared" si="1855"/>
        <v>CHECK</v>
      </c>
      <c r="BJ804" s="756">
        <f t="shared" ref="BJ804:BX804" si="1856">IF(OR(INDEX(MO_CFSum_Acquisition,1,COLUMN())&gt;0,INDEX(MO_CFSum_Divestiture,1,COLUMN())&lt;0,INDEX(MO_CFSum_Capex,1,COLUMN())&gt;0,INDEX(MO_CFSum_Dividend,1,COLUMN())&gt;0),"CHECK",0)</f>
        <v>0</v>
      </c>
      <c r="BK804" s="756">
        <f t="shared" si="1856"/>
        <v>0</v>
      </c>
      <c r="BL804" s="756">
        <f t="shared" si="1856"/>
        <v>0</v>
      </c>
      <c r="BM804" s="756">
        <f t="shared" si="1856"/>
        <v>0</v>
      </c>
      <c r="BN804" s="756">
        <f t="shared" si="1856"/>
        <v>0</v>
      </c>
      <c r="BO804" s="756">
        <f t="shared" ref="BO804:BW804" si="1857">IF(OR(INDEX(MO_CFSum_Acquisition,1,COLUMN())&gt;0,INDEX(MO_CFSum_Divestiture,1,COLUMN())&lt;0,INDEX(MO_CFSum_Capex,1,COLUMN())&gt;0,INDEX(MO_CFSum_Dividend,1,COLUMN())&gt;0),"CHECK",0)</f>
        <v>0</v>
      </c>
      <c r="BP804" s="756">
        <f t="shared" si="1857"/>
        <v>0</v>
      </c>
      <c r="BQ804" s="756" t="str">
        <f t="shared" si="1857"/>
        <v>CHECK</v>
      </c>
      <c r="BR804" s="756">
        <f t="shared" si="1857"/>
        <v>0</v>
      </c>
      <c r="BS804" s="756">
        <f t="shared" si="1857"/>
        <v>0</v>
      </c>
      <c r="BT804" s="757">
        <f>IF(OR(INDEX(MO_CFSum_Acquisition,1,COLUMN())&gt;0,INDEX(MO_CFSum_Divestiture,1,COLUMN())&lt;0,INDEX(MO_CFSum_Capex,1,COLUMN())&gt;0,INDEX(MO_CFSum_Dividend,1,COLUMN())&gt;0),"CHECK",0)</f>
        <v>0</v>
      </c>
      <c r="BU804" s="756">
        <f t="shared" ca="1" si="1857"/>
        <v>0</v>
      </c>
      <c r="BV804" s="756">
        <f t="shared" ca="1" si="1857"/>
        <v>0</v>
      </c>
      <c r="BW804" s="756">
        <f t="shared" ca="1" si="1857"/>
        <v>0</v>
      </c>
      <c r="BX804" s="756">
        <f t="shared" ca="1" si="1856"/>
        <v>0</v>
      </c>
      <c r="BY804" s="756">
        <f t="shared" ref="BY804:CF804" ca="1" si="1858">IF(OR(INDEX(MO_CFSum_Acquisition,1,COLUMN())&gt;0,INDEX(MO_CFSum_Divestiture,1,COLUMN())&lt;0,INDEX(MO_CFSum_Capex,1,COLUMN())&gt;0,INDEX(MO_CFSum_Dividend,1,COLUMN())&gt;0),"CHECK",0)</f>
        <v>0</v>
      </c>
      <c r="BZ804" s="756">
        <f t="shared" ca="1" si="1858"/>
        <v>0</v>
      </c>
      <c r="CA804" s="756">
        <f t="shared" ca="1" si="1858"/>
        <v>0</v>
      </c>
      <c r="CB804" s="756">
        <f t="shared" ca="1" si="1858"/>
        <v>0</v>
      </c>
      <c r="CC804" s="756">
        <f t="shared" ca="1" si="1858"/>
        <v>0</v>
      </c>
      <c r="CD804" s="756">
        <f t="shared" ca="1" si="1858"/>
        <v>0</v>
      </c>
      <c r="CE804" s="756">
        <f t="shared" ca="1" si="1858"/>
        <v>0</v>
      </c>
      <c r="CF804" s="756">
        <f t="shared" ca="1" si="1858"/>
        <v>0</v>
      </c>
      <c r="CG804" s="190"/>
    </row>
    <row r="805" spans="1:85" s="424" customFormat="1" x14ac:dyDescent="0.3">
      <c r="A805" s="190" t="s">
        <v>352</v>
      </c>
      <c r="B805" s="363"/>
      <c r="C805" s="756"/>
      <c r="D805" s="756"/>
      <c r="E805" s="756"/>
      <c r="F805" s="756"/>
      <c r="G805" s="756"/>
      <c r="H805" s="756"/>
      <c r="I805" s="756"/>
      <c r="J805" s="756"/>
      <c r="K805" s="756">
        <f>ROUND(K516-SUM(G516,H516,I516,J516),6)</f>
        <v>0</v>
      </c>
      <c r="L805" s="756"/>
      <c r="M805" s="756"/>
      <c r="N805" s="756"/>
      <c r="O805" s="756"/>
      <c r="P805" s="756">
        <f>ROUND(P516-SUM(L516,M516,N516,O516),6)</f>
        <v>0</v>
      </c>
      <c r="Q805" s="756"/>
      <c r="R805" s="756"/>
      <c r="S805" s="756"/>
      <c r="T805" s="756"/>
      <c r="U805" s="756">
        <f>ROUND(U516-SUM(Q516,R516,S516,T516),6)</f>
        <v>0</v>
      </c>
      <c r="V805" s="756"/>
      <c r="W805" s="756"/>
      <c r="X805" s="756"/>
      <c r="Y805" s="756"/>
      <c r="Z805" s="756">
        <f>ROUND(Z516-SUM(V516,W516,X516,Y516),6)</f>
        <v>0</v>
      </c>
      <c r="AA805" s="756"/>
      <c r="AB805" s="756"/>
      <c r="AC805" s="756"/>
      <c r="AD805" s="756"/>
      <c r="AE805" s="756">
        <f>ROUND(AE516-SUM(AA516,AB516,AC516,AD516),6)</f>
        <v>0</v>
      </c>
      <c r="AF805" s="756"/>
      <c r="AG805" s="756"/>
      <c r="AH805" s="756"/>
      <c r="AI805" s="756"/>
      <c r="AJ805" s="756">
        <f>ROUND(AJ516-SUM(AF516,AG516,AH516,AI516),6)</f>
        <v>0</v>
      </c>
      <c r="AK805" s="756"/>
      <c r="AL805" s="756"/>
      <c r="AM805" s="756"/>
      <c r="AN805" s="756"/>
      <c r="AO805" s="756">
        <f>ROUND(AO516-SUM(AK516,AL516,AM516,AN516),6)</f>
        <v>0</v>
      </c>
      <c r="AP805" s="756"/>
      <c r="AQ805" s="756"/>
      <c r="AR805" s="756"/>
      <c r="AS805" s="756"/>
      <c r="AT805" s="756">
        <f>ROUND(AT516-SUM(AP516,AQ516,AR516,AS516),6)</f>
        <v>0</v>
      </c>
      <c r="AU805" s="756"/>
      <c r="AV805" s="756"/>
      <c r="AW805" s="756"/>
      <c r="AX805" s="756"/>
      <c r="AY805" s="756">
        <f>ROUND(AY516-SUM(AU516,AV516,AW516,AX516),6)</f>
        <v>0</v>
      </c>
      <c r="AZ805" s="756"/>
      <c r="BA805" s="756"/>
      <c r="BB805" s="756"/>
      <c r="BC805" s="756"/>
      <c r="BD805" s="756">
        <f>ROUND(BD516-SUM(AZ516,BA516,BB516,BC516),6)</f>
        <v>0</v>
      </c>
      <c r="BE805" s="756"/>
      <c r="BF805" s="756"/>
      <c r="BG805" s="756"/>
      <c r="BH805" s="756"/>
      <c r="BI805" s="756">
        <f>ROUND(BI516-SUM(BE516,BF516,BG516,BH516),6)</f>
        <v>0</v>
      </c>
      <c r="BJ805" s="756"/>
      <c r="BK805" s="756"/>
      <c r="BL805" s="756"/>
      <c r="BM805" s="756"/>
      <c r="BN805" s="756">
        <f>ROUND(BN516-SUM(BJ516,BK516,BL516,BM516),6)</f>
        <v>0</v>
      </c>
      <c r="BO805" s="756"/>
      <c r="BP805" s="756"/>
      <c r="BQ805" s="756"/>
      <c r="BR805" s="756"/>
      <c r="BS805" s="756">
        <f>ROUND(BS516-SUM(BO516,BP516,BQ516,BR516),6)</f>
        <v>0</v>
      </c>
      <c r="BT805" s="757"/>
      <c r="BU805" s="756"/>
      <c r="BV805" s="756"/>
      <c r="BW805" s="756"/>
      <c r="BX805" s="756">
        <f ca="1">ROUND(BX516-SUM(BT516,BU516,BV516,BW516),6)</f>
        <v>0</v>
      </c>
      <c r="BY805" s="756"/>
      <c r="BZ805" s="756"/>
      <c r="CA805" s="756"/>
      <c r="CB805" s="756"/>
      <c r="CC805" s="756">
        <f ca="1">ROUND(CC516-SUM(BY516,BZ516,CA516,CB516),6)</f>
        <v>0</v>
      </c>
      <c r="CD805" s="756"/>
      <c r="CE805" s="756"/>
      <c r="CF805" s="756"/>
      <c r="CG805" s="190"/>
    </row>
    <row r="806" spans="1:85" s="424" customFormat="1" x14ac:dyDescent="0.3">
      <c r="A806" s="190" t="s">
        <v>353</v>
      </c>
      <c r="B806" s="363"/>
      <c r="C806" s="756"/>
      <c r="D806" s="756"/>
      <c r="E806" s="756"/>
      <c r="F806" s="756"/>
      <c r="G806" s="756"/>
      <c r="H806" s="756"/>
      <c r="I806" s="756"/>
      <c r="J806" s="756"/>
      <c r="K806" s="756">
        <f>ROUND(SUM(G525,H525,I525,J525)-INDEX(MO_RIS_NI_NONGAAP_Diluted,1,COLUMN()),6)</f>
        <v>0</v>
      </c>
      <c r="L806" s="756"/>
      <c r="M806" s="756"/>
      <c r="N806" s="756"/>
      <c r="O806" s="756"/>
      <c r="P806" s="756">
        <f>ROUND(SUM(L525,M525,N525,O525)-INDEX(MO_RIS_NI_NONGAAP_Diluted,1,COLUMN()),6)</f>
        <v>0</v>
      </c>
      <c r="Q806" s="756"/>
      <c r="R806" s="756"/>
      <c r="S806" s="756"/>
      <c r="T806" s="756"/>
      <c r="U806" s="756">
        <f>ROUND(SUM(Q525,R525,S525,T525)-INDEX(MO_RIS_NI_NONGAAP_Diluted,1,COLUMN()),6)</f>
        <v>0</v>
      </c>
      <c r="V806" s="756"/>
      <c r="W806" s="756"/>
      <c r="X806" s="756"/>
      <c r="Y806" s="756"/>
      <c r="Z806" s="756">
        <f>ROUND(SUM(V525,W525,X525,Y525)-INDEX(MO_RIS_NI_NONGAAP_Diluted,1,COLUMN()),6)</f>
        <v>0</v>
      </c>
      <c r="AA806" s="756"/>
      <c r="AB806" s="756"/>
      <c r="AC806" s="756"/>
      <c r="AD806" s="756"/>
      <c r="AE806" s="756">
        <f>ROUND(SUM(AA525,AB525,AC525,AD525)-INDEX(MO_RIS_NI_NONGAAP_Diluted,1,COLUMN()),6)</f>
        <v>0</v>
      </c>
      <c r="AF806" s="756"/>
      <c r="AG806" s="756"/>
      <c r="AH806" s="756"/>
      <c r="AI806" s="756"/>
      <c r="AJ806" s="756">
        <f>ROUND(SUM(AF525,AG525,AH525,AI525)-INDEX(MO_RIS_NI_NONGAAP_Diluted,1,COLUMN()),6)</f>
        <v>0</v>
      </c>
      <c r="AK806" s="756"/>
      <c r="AL806" s="756"/>
      <c r="AM806" s="756"/>
      <c r="AN806" s="756"/>
      <c r="AO806" s="756">
        <f>ROUND(SUM(AK525,AL525,AM525,AN525)-INDEX(MO_RIS_NI_NONGAAP_Diluted,1,COLUMN()),6)</f>
        <v>0</v>
      </c>
      <c r="AP806" s="756"/>
      <c r="AQ806" s="756"/>
      <c r="AR806" s="756"/>
      <c r="AS806" s="756"/>
      <c r="AT806" s="756">
        <f>ROUND(SUM(AP525,AQ525,AR525,AS525)-INDEX(MO_RIS_NI_NONGAAP_Diluted,1,COLUMN()),6)</f>
        <v>0</v>
      </c>
      <c r="AU806" s="756"/>
      <c r="AV806" s="756"/>
      <c r="AW806" s="756"/>
      <c r="AX806" s="756"/>
      <c r="AY806" s="756">
        <f>ROUND(SUM(AU525,AV525,AW525,AX525)-INDEX(MO_RIS_NI_NONGAAP_Diluted,1,COLUMN()),6)</f>
        <v>0</v>
      </c>
      <c r="AZ806" s="756"/>
      <c r="BA806" s="756"/>
      <c r="BB806" s="756"/>
      <c r="BC806" s="756"/>
      <c r="BD806" s="756">
        <f>ROUND(SUM(AZ525,BA525,BB525,BC525)-INDEX(MO_RIS_NI_NONGAAP_Diluted,1,COLUMN()),6)</f>
        <v>0</v>
      </c>
      <c r="BE806" s="756"/>
      <c r="BF806" s="756"/>
      <c r="BG806" s="756"/>
      <c r="BH806" s="756"/>
      <c r="BI806" s="756">
        <f>ROUND(SUM(BE525,BF525,BG525,BH525)-INDEX(MO_RIS_NI_NONGAAP_Diluted,1,COLUMN()),6)</f>
        <v>0</v>
      </c>
      <c r="BJ806" s="756"/>
      <c r="BK806" s="756"/>
      <c r="BL806" s="756"/>
      <c r="BM806" s="756"/>
      <c r="BN806" s="756">
        <f>ROUND(SUM(BJ525,BK525,BL525,BM525)-INDEX(MO_RIS_NI_NONGAAP_Diluted,1,COLUMN()),6)</f>
        <v>0</v>
      </c>
      <c r="BO806" s="756"/>
      <c r="BP806" s="756"/>
      <c r="BQ806" s="756"/>
      <c r="BR806" s="756"/>
      <c r="BS806" s="756">
        <f>ROUND(SUM(BO525,BP525,BQ525,BR525)-INDEX(MO_RIS_NI_NONGAAP_Diluted,1,COLUMN()),6)</f>
        <v>0</v>
      </c>
      <c r="BT806" s="757"/>
      <c r="BU806" s="756"/>
      <c r="BV806" s="756"/>
      <c r="BW806" s="756"/>
      <c r="BX806" s="756">
        <f ca="1">ROUND(SUM(BT525,BU525,BV525,BW525)-INDEX(MO_RIS_NI_NONGAAP_Diluted,1,COLUMN()),6)</f>
        <v>0</v>
      </c>
      <c r="BY806" s="756"/>
      <c r="BZ806" s="756"/>
      <c r="CA806" s="756"/>
      <c r="CB806" s="756"/>
      <c r="CC806" s="756">
        <f ca="1">ROUND(SUM(BY525,BZ525,CA525,CB525)-INDEX(MO_RIS_NI_NONGAAP_Diluted,1,COLUMN()),6)</f>
        <v>0</v>
      </c>
      <c r="CD806" s="756"/>
      <c r="CE806" s="756"/>
      <c r="CF806" s="756"/>
      <c r="CG806" s="190"/>
    </row>
    <row r="807" spans="1:85" s="424" customFormat="1" x14ac:dyDescent="0.3">
      <c r="A807" s="190" t="s">
        <v>354</v>
      </c>
      <c r="B807" s="363"/>
      <c r="C807" s="756"/>
      <c r="D807" s="756"/>
      <c r="E807" s="756"/>
      <c r="F807" s="756"/>
      <c r="G807" s="756"/>
      <c r="H807" s="756"/>
      <c r="I807" s="756"/>
      <c r="J807" s="756"/>
      <c r="K807" s="756">
        <f ca="1">ROUND(SUM(G695,H695,I695,J695)-SUM(OFFSET(INDEX(MO_CFS_CFO_BeforeWC,1,COLUMN()),ROW(INDEX(MO_SubSection_CFS_CFO,1,COLUMN()))-ROW(INDEX(MO_CFS_CFO_BeforeWC,1,COLUMN())),0,ROW(INDEX(MO_CFS_CFO_BeforeWC,1,COLUMN()))-ROW(INDEX(MO_SubSection_CFS_CFO,1,COLUMN())),1)),6)</f>
        <v>0</v>
      </c>
      <c r="L807" s="756"/>
      <c r="M807" s="756"/>
      <c r="N807" s="756"/>
      <c r="O807" s="756"/>
      <c r="P807" s="756">
        <f ca="1">ROUND(SUM(L695,M695,N695,O695)-SUM(OFFSET(INDEX(MO_CFS_CFO_BeforeWC,1,COLUMN()),ROW(INDEX(MO_SubSection_CFS_CFO,1,COLUMN()))-ROW(INDEX(MO_CFS_CFO_BeforeWC,1,COLUMN())),0,ROW(INDEX(MO_CFS_CFO_BeforeWC,1,COLUMN()))-ROW(INDEX(MO_SubSection_CFS_CFO,1,COLUMN())),1)),6)</f>
        <v>0</v>
      </c>
      <c r="Q807" s="756"/>
      <c r="R807" s="756"/>
      <c r="S807" s="756"/>
      <c r="T807" s="756"/>
      <c r="U807" s="756">
        <f ca="1">ROUND(SUM(Q695,R695,S695,T695)-SUM(OFFSET(INDEX(MO_CFS_CFO_BeforeWC,1,COLUMN()),ROW(INDEX(MO_SubSection_CFS_CFO,1,COLUMN()))-ROW(INDEX(MO_CFS_CFO_BeforeWC,1,COLUMN())),0,ROW(INDEX(MO_CFS_CFO_BeforeWC,1,COLUMN()))-ROW(INDEX(MO_SubSection_CFS_CFO,1,COLUMN())),1)),6)</f>
        <v>0</v>
      </c>
      <c r="V807" s="756"/>
      <c r="W807" s="756"/>
      <c r="X807" s="756"/>
      <c r="Y807" s="756"/>
      <c r="Z807" s="756">
        <f ca="1">ROUND(SUM(V695,W695,X695,Y695)-SUM(OFFSET(INDEX(MO_CFS_CFO_BeforeWC,1,COLUMN()),ROW(INDEX(MO_SubSection_CFS_CFO,1,COLUMN()))-ROW(INDEX(MO_CFS_CFO_BeforeWC,1,COLUMN())),0,ROW(INDEX(MO_CFS_CFO_BeforeWC,1,COLUMN()))-ROW(INDEX(MO_SubSection_CFS_CFO,1,COLUMN())),1)),6)</f>
        <v>0</v>
      </c>
      <c r="AA807" s="756"/>
      <c r="AB807" s="756"/>
      <c r="AC807" s="756"/>
      <c r="AD807" s="756"/>
      <c r="AE807" s="756">
        <f ca="1">ROUND(SUM(AA695,AB695,AC695,AD695)-SUM(OFFSET(INDEX(MO_CFS_CFO_BeforeWC,1,COLUMN()),ROW(INDEX(MO_SubSection_CFS_CFO,1,COLUMN()))-ROW(INDEX(MO_CFS_CFO_BeforeWC,1,COLUMN())),0,ROW(INDEX(MO_CFS_CFO_BeforeWC,1,COLUMN()))-ROW(INDEX(MO_SubSection_CFS_CFO,1,COLUMN())),1)),6)</f>
        <v>0</v>
      </c>
      <c r="AF807" s="756"/>
      <c r="AG807" s="756"/>
      <c r="AH807" s="756"/>
      <c r="AI807" s="756"/>
      <c r="AJ807" s="756">
        <f ca="1">ROUND(SUM(AF695,AG695,AH695,AI695)-SUM(OFFSET(INDEX(MO_CFS_CFO_BeforeWC,1,COLUMN()),ROW(INDEX(MO_SubSection_CFS_CFO,1,COLUMN()))-ROW(INDEX(MO_CFS_CFO_BeforeWC,1,COLUMN())),0,ROW(INDEX(MO_CFS_CFO_BeforeWC,1,COLUMN()))-ROW(INDEX(MO_SubSection_CFS_CFO,1,COLUMN())),1)),6)</f>
        <v>0</v>
      </c>
      <c r="AK807" s="756"/>
      <c r="AL807" s="756"/>
      <c r="AM807" s="756"/>
      <c r="AN807" s="756"/>
      <c r="AO807" s="756">
        <f ca="1">ROUND(SUM(AK695,AL695,AM695,AN695)-SUM(OFFSET(INDEX(MO_CFS_CFO_BeforeWC,1,COLUMN()),ROW(INDEX(MO_SubSection_CFS_CFO,1,COLUMN()))-ROW(INDEX(MO_CFS_CFO_BeforeWC,1,COLUMN())),0,ROW(INDEX(MO_CFS_CFO_BeforeWC,1,COLUMN()))-ROW(INDEX(MO_SubSection_CFS_CFO,1,COLUMN())),1)),6)</f>
        <v>0</v>
      </c>
      <c r="AP807" s="756"/>
      <c r="AQ807" s="756"/>
      <c r="AR807" s="756"/>
      <c r="AS807" s="756"/>
      <c r="AT807" s="756">
        <f ca="1">ROUND(SUM(AP695,AQ695,AR695,AS695)-SUM(OFFSET(INDEX(MO_CFS_CFO_BeforeWC,1,COLUMN()),ROW(INDEX(MO_SubSection_CFS_CFO,1,COLUMN()))-ROW(INDEX(MO_CFS_CFO_BeforeWC,1,COLUMN())),0,ROW(INDEX(MO_CFS_CFO_BeforeWC,1,COLUMN()))-ROW(INDEX(MO_SubSection_CFS_CFO,1,COLUMN())),1)),6)</f>
        <v>0</v>
      </c>
      <c r="AU807" s="756"/>
      <c r="AV807" s="756"/>
      <c r="AW807" s="756"/>
      <c r="AX807" s="756"/>
      <c r="AY807" s="756">
        <f ca="1">ROUND(SUM(AU695,AV695,AW695,AX695)-SUM(OFFSET(INDEX(MO_CFS_CFO_BeforeWC,1,COLUMN()),ROW(INDEX(MO_SubSection_CFS_CFO,1,COLUMN()))-ROW(INDEX(MO_CFS_CFO_BeforeWC,1,COLUMN())),0,ROW(INDEX(MO_CFS_CFO_BeforeWC,1,COLUMN()))-ROW(INDEX(MO_SubSection_CFS_CFO,1,COLUMN())),1)),6)</f>
        <v>0</v>
      </c>
      <c r="AZ807" s="756"/>
      <c r="BA807" s="756"/>
      <c r="BB807" s="756"/>
      <c r="BC807" s="756"/>
      <c r="BD807" s="756">
        <f ca="1">ROUND(SUM(AZ695,BA695,BB695,BC695)-SUM(OFFSET(INDEX(MO_CFS_CFO_BeforeWC,1,COLUMN()),ROW(INDEX(MO_SubSection_CFS_CFO,1,COLUMN()))-ROW(INDEX(MO_CFS_CFO_BeforeWC,1,COLUMN())),0,ROW(INDEX(MO_CFS_CFO_BeforeWC,1,COLUMN()))-ROW(INDEX(MO_SubSection_CFS_CFO,1,COLUMN())),1)),6)</f>
        <v>0</v>
      </c>
      <c r="BE807" s="756"/>
      <c r="BF807" s="756"/>
      <c r="BG807" s="756"/>
      <c r="BH807" s="756"/>
      <c r="BI807" s="756">
        <f ca="1">ROUND(SUM(BE695,BF695,BG695,BH695)-SUM(OFFSET(INDEX(MO_CFS_CFO_BeforeWC,1,COLUMN()),ROW(INDEX(MO_SubSection_CFS_CFO,1,COLUMN()))-ROW(INDEX(MO_CFS_CFO_BeforeWC,1,COLUMN())),0,ROW(INDEX(MO_CFS_CFO_BeforeWC,1,COLUMN()))-ROW(INDEX(MO_SubSection_CFS_CFO,1,COLUMN())),1)),6)</f>
        <v>0</v>
      </c>
      <c r="BJ807" s="756"/>
      <c r="BK807" s="756"/>
      <c r="BL807" s="756"/>
      <c r="BM807" s="756"/>
      <c r="BN807" s="756">
        <f ca="1">ROUND(SUM(BJ695,BK695,BL695,BM695)-SUM(OFFSET(INDEX(MO_CFS_CFO_BeforeWC,1,COLUMN()),ROW(INDEX(MO_SubSection_CFS_CFO,1,COLUMN()))-ROW(INDEX(MO_CFS_CFO_BeforeWC,1,COLUMN())),0,ROW(INDEX(MO_CFS_CFO_BeforeWC,1,COLUMN()))-ROW(INDEX(MO_SubSection_CFS_CFO,1,COLUMN())),1)),6)</f>
        <v>0</v>
      </c>
      <c r="BO807" s="756"/>
      <c r="BP807" s="756"/>
      <c r="BQ807" s="756"/>
      <c r="BR807" s="756"/>
      <c r="BS807" s="756">
        <f ca="1">ROUND(SUM(BO695,BP695,BQ695,BR695)-SUM(OFFSET(INDEX(MO_CFS_CFO_BeforeWC,1,COLUMN()),ROW(INDEX(MO_SubSection_CFS_CFO,1,COLUMN()))-ROW(INDEX(MO_CFS_CFO_BeforeWC,1,COLUMN())),0,ROW(INDEX(MO_CFS_CFO_BeforeWC,1,COLUMN()))-ROW(INDEX(MO_SubSection_CFS_CFO,1,COLUMN())),1)),6)</f>
        <v>0</v>
      </c>
      <c r="BT807" s="757"/>
      <c r="BU807" s="756"/>
      <c r="BV807" s="756"/>
      <c r="BW807" s="756"/>
      <c r="BX807" s="756">
        <f ca="1">ROUND(SUM(BT695,BU695,BV695,BW695)-SUM(OFFSET(INDEX(MO_CFS_CFO_BeforeWC,1,COLUMN()),ROW(INDEX(MO_SubSection_CFS_CFO,1,COLUMN()))-ROW(INDEX(MO_CFS_CFO_BeforeWC,1,COLUMN())),0,ROW(INDEX(MO_CFS_CFO_BeforeWC,1,COLUMN()))-ROW(INDEX(MO_SubSection_CFS_CFO,1,COLUMN())),1)),6)</f>
        <v>0</v>
      </c>
      <c r="BY807" s="756"/>
      <c r="BZ807" s="756"/>
      <c r="CA807" s="756"/>
      <c r="CB807" s="756"/>
      <c r="CC807" s="756">
        <f ca="1">ROUND(SUM(BY695,BZ695,CA695,CB695)-SUM(OFFSET(INDEX(MO_CFS_CFO_BeforeWC,1,COLUMN()),ROW(INDEX(MO_SubSection_CFS_CFO,1,COLUMN()))-ROW(INDEX(MO_CFS_CFO_BeforeWC,1,COLUMN())),0,ROW(INDEX(MO_CFS_CFO_BeforeWC,1,COLUMN()))-ROW(INDEX(MO_SubSection_CFS_CFO,1,COLUMN())),1)),6)</f>
        <v>0</v>
      </c>
      <c r="CD807" s="756"/>
      <c r="CE807" s="756"/>
      <c r="CF807" s="756"/>
      <c r="CG807" s="190"/>
    </row>
    <row r="808" spans="1:85" s="424" customFormat="1" x14ac:dyDescent="0.3">
      <c r="A808" s="190" t="s">
        <v>355</v>
      </c>
      <c r="B808" s="363"/>
      <c r="C808" s="756"/>
      <c r="D808" s="756"/>
      <c r="E808" s="756"/>
      <c r="F808" s="756"/>
      <c r="G808" s="756"/>
      <c r="H808" s="756"/>
      <c r="I808" s="756"/>
      <c r="J808" s="756"/>
      <c r="K808" s="756">
        <f ca="1">ROUND(SUM(G697,H697,I697,J697)-SUM(OFFSET(INDEX(MO_CFS_CFO,1,COLUMN()),ROW(INDEX(MO_CFS_CFO_BeforeWC,1,COLUMN()))-ROW(INDEX(MO_CFS_CFO,1,COLUMN())),0,ROW(INDEX(MO_CFS_CFO,1,COLUMN()))-ROW(INDEX(MO_CFS_CFO_BeforeWC,1,COLUMN())),1)),6)</f>
        <v>0</v>
      </c>
      <c r="L808" s="756"/>
      <c r="M808" s="756"/>
      <c r="N808" s="756"/>
      <c r="O808" s="756"/>
      <c r="P808" s="756">
        <f ca="1">ROUND(SUM(L697,M697,N697,O697)-SUM(OFFSET(INDEX(MO_CFS_CFO,1,COLUMN()),ROW(INDEX(MO_CFS_CFO_BeforeWC,1,COLUMN()))-ROW(INDEX(MO_CFS_CFO,1,COLUMN())),0,ROW(INDEX(MO_CFS_CFO,1,COLUMN()))-ROW(INDEX(MO_CFS_CFO_BeforeWC,1,COLUMN())),1)),6)</f>
        <v>0</v>
      </c>
      <c r="Q808" s="756"/>
      <c r="R808" s="756"/>
      <c r="S808" s="756"/>
      <c r="T808" s="756"/>
      <c r="U808" s="756">
        <f ca="1">ROUND(SUM(Q697,R697,S697,T697)-SUM(OFFSET(INDEX(MO_CFS_CFO,1,COLUMN()),ROW(INDEX(MO_CFS_CFO_BeforeWC,1,COLUMN()))-ROW(INDEX(MO_CFS_CFO,1,COLUMN())),0,ROW(INDEX(MO_CFS_CFO,1,COLUMN()))-ROW(INDEX(MO_CFS_CFO_BeforeWC,1,COLUMN())),1)),6)</f>
        <v>0</v>
      </c>
      <c r="V808" s="756"/>
      <c r="W808" s="756"/>
      <c r="X808" s="756"/>
      <c r="Y808" s="756"/>
      <c r="Z808" s="756">
        <f ca="1">ROUND(SUM(V697,W697,X697,Y697)-SUM(OFFSET(INDEX(MO_CFS_CFO,1,COLUMN()),ROW(INDEX(MO_CFS_CFO_BeforeWC,1,COLUMN()))-ROW(INDEX(MO_CFS_CFO,1,COLUMN())),0,ROW(INDEX(MO_CFS_CFO,1,COLUMN()))-ROW(INDEX(MO_CFS_CFO_BeforeWC,1,COLUMN())),1)),6)</f>
        <v>0</v>
      </c>
      <c r="AA808" s="756"/>
      <c r="AB808" s="756"/>
      <c r="AC808" s="756"/>
      <c r="AD808" s="756"/>
      <c r="AE808" s="756">
        <f ca="1">ROUND(SUM(AA697,AB697,AC697,AD697)-SUM(OFFSET(INDEX(MO_CFS_CFO,1,COLUMN()),ROW(INDEX(MO_CFS_CFO_BeforeWC,1,COLUMN()))-ROW(INDEX(MO_CFS_CFO,1,COLUMN())),0,ROW(INDEX(MO_CFS_CFO,1,COLUMN()))-ROW(INDEX(MO_CFS_CFO_BeforeWC,1,COLUMN())),1)),6)</f>
        <v>0</v>
      </c>
      <c r="AF808" s="756"/>
      <c r="AG808" s="756"/>
      <c r="AH808" s="756"/>
      <c r="AI808" s="756"/>
      <c r="AJ808" s="756">
        <f ca="1">ROUND(SUM(AF697,AG697,AH697,AI697)-SUM(OFFSET(INDEX(MO_CFS_CFO,1,COLUMN()),ROW(INDEX(MO_CFS_CFO_BeforeWC,1,COLUMN()))-ROW(INDEX(MO_CFS_CFO,1,COLUMN())),0,ROW(INDEX(MO_CFS_CFO,1,COLUMN()))-ROW(INDEX(MO_CFS_CFO_BeforeWC,1,COLUMN())),1)),6)</f>
        <v>0</v>
      </c>
      <c r="AK808" s="756"/>
      <c r="AL808" s="756"/>
      <c r="AM808" s="756"/>
      <c r="AN808" s="756"/>
      <c r="AO808" s="756">
        <f ca="1">ROUND(SUM(AK697,AL697,AM697,AN697)-SUM(OFFSET(INDEX(MO_CFS_CFO,1,COLUMN()),ROW(INDEX(MO_CFS_CFO_BeforeWC,1,COLUMN()))-ROW(INDEX(MO_CFS_CFO,1,COLUMN())),0,ROW(INDEX(MO_CFS_CFO,1,COLUMN()))-ROW(INDEX(MO_CFS_CFO_BeforeWC,1,COLUMN())),1)),6)</f>
        <v>0</v>
      </c>
      <c r="AP808" s="756"/>
      <c r="AQ808" s="756"/>
      <c r="AR808" s="756"/>
      <c r="AS808" s="756"/>
      <c r="AT808" s="756">
        <f ca="1">ROUND(SUM(AP697,AQ697,AR697,AS697)-SUM(OFFSET(INDEX(MO_CFS_CFO,1,COLUMN()),ROW(INDEX(MO_CFS_CFO_BeforeWC,1,COLUMN()))-ROW(INDEX(MO_CFS_CFO,1,COLUMN())),0,ROW(INDEX(MO_CFS_CFO,1,COLUMN()))-ROW(INDEX(MO_CFS_CFO_BeforeWC,1,COLUMN())),1)),6)</f>
        <v>0</v>
      </c>
      <c r="AU808" s="756"/>
      <c r="AV808" s="756"/>
      <c r="AW808" s="756"/>
      <c r="AX808" s="756"/>
      <c r="AY808" s="756">
        <f ca="1">ROUND(SUM(AU697,AV697,AW697,AX697)-SUM(OFFSET(INDEX(MO_CFS_CFO,1,COLUMN()),ROW(INDEX(MO_CFS_CFO_BeforeWC,1,COLUMN()))-ROW(INDEX(MO_CFS_CFO,1,COLUMN())),0,ROW(INDEX(MO_CFS_CFO,1,COLUMN()))-ROW(INDEX(MO_CFS_CFO_BeforeWC,1,COLUMN())),1)),6)</f>
        <v>0</v>
      </c>
      <c r="AZ808" s="756"/>
      <c r="BA808" s="756"/>
      <c r="BB808" s="756"/>
      <c r="BC808" s="756"/>
      <c r="BD808" s="756">
        <f ca="1">ROUND(SUM(AZ697,BA697,BB697,BC697)-SUM(OFFSET(INDEX(MO_CFS_CFO,1,COLUMN()),ROW(INDEX(MO_CFS_CFO_BeforeWC,1,COLUMN()))-ROW(INDEX(MO_CFS_CFO,1,COLUMN())),0,ROW(INDEX(MO_CFS_CFO,1,COLUMN()))-ROW(INDEX(MO_CFS_CFO_BeforeWC,1,COLUMN())),1)),6)</f>
        <v>0</v>
      </c>
      <c r="BE808" s="756"/>
      <c r="BF808" s="756"/>
      <c r="BG808" s="756"/>
      <c r="BH808" s="756"/>
      <c r="BI808" s="756">
        <f ca="1">ROUND(SUM(BE697,BF697,BG697,BH697)-SUM(OFFSET(INDEX(MO_CFS_CFO,1,COLUMN()),ROW(INDEX(MO_CFS_CFO_BeforeWC,1,COLUMN()))-ROW(INDEX(MO_CFS_CFO,1,COLUMN())),0,ROW(INDEX(MO_CFS_CFO,1,COLUMN()))-ROW(INDEX(MO_CFS_CFO_BeforeWC,1,COLUMN())),1)),6)</f>
        <v>0</v>
      </c>
      <c r="BJ808" s="756"/>
      <c r="BK808" s="756"/>
      <c r="BL808" s="756"/>
      <c r="BM808" s="756"/>
      <c r="BN808" s="756">
        <f ca="1">ROUND(SUM(BJ697,BK697,BL697,BM697)-SUM(OFFSET(INDEX(MO_CFS_CFO,1,COLUMN()),ROW(INDEX(MO_CFS_CFO_BeforeWC,1,COLUMN()))-ROW(INDEX(MO_CFS_CFO,1,COLUMN())),0,ROW(INDEX(MO_CFS_CFO,1,COLUMN()))-ROW(INDEX(MO_CFS_CFO_BeforeWC,1,COLUMN())),1)),6)</f>
        <v>0</v>
      </c>
      <c r="BO808" s="756"/>
      <c r="BP808" s="756"/>
      <c r="BQ808" s="756"/>
      <c r="BR808" s="756"/>
      <c r="BS808" s="756">
        <f ca="1">ROUND(SUM(BO697,BP697,BQ697,BR697)-SUM(OFFSET(INDEX(MO_CFS_CFO,1,COLUMN()),ROW(INDEX(MO_CFS_CFO_BeforeWC,1,COLUMN()))-ROW(INDEX(MO_CFS_CFO,1,COLUMN())),0,ROW(INDEX(MO_CFS_CFO,1,COLUMN()))-ROW(INDEX(MO_CFS_CFO_BeforeWC,1,COLUMN())),1)),6)</f>
        <v>0</v>
      </c>
      <c r="BT808" s="757"/>
      <c r="BU808" s="756"/>
      <c r="BV808" s="756"/>
      <c r="BW808" s="756"/>
      <c r="BX808" s="756">
        <f ca="1">ROUND(SUM(BT697,BU697,BV697,BW697)-SUM(OFFSET(INDEX(MO_CFS_CFO,1,COLUMN()),ROW(INDEX(MO_CFS_CFO_BeforeWC,1,COLUMN()))-ROW(INDEX(MO_CFS_CFO,1,COLUMN())),0,ROW(INDEX(MO_CFS_CFO,1,COLUMN()))-ROW(INDEX(MO_CFS_CFO_BeforeWC,1,COLUMN())),1)),6)</f>
        <v>0</v>
      </c>
      <c r="BY808" s="756"/>
      <c r="BZ808" s="756"/>
      <c r="CA808" s="756"/>
      <c r="CB808" s="756"/>
      <c r="CC808" s="756">
        <f ca="1">ROUND(SUM(BY697,BZ697,CA697,CB697)-SUM(OFFSET(INDEX(MO_CFS_CFO,1,COLUMN()),ROW(INDEX(MO_CFS_CFO_BeforeWC,1,COLUMN()))-ROW(INDEX(MO_CFS_CFO,1,COLUMN())),0,ROW(INDEX(MO_CFS_CFO,1,COLUMN()))-ROW(INDEX(MO_CFS_CFO_BeforeWC,1,COLUMN())),1)),6)</f>
        <v>0</v>
      </c>
      <c r="CD808" s="756"/>
      <c r="CE808" s="756"/>
      <c r="CF808" s="756"/>
      <c r="CG808" s="190"/>
    </row>
    <row r="809" spans="1:85" s="424" customFormat="1" x14ac:dyDescent="0.3">
      <c r="A809" s="190" t="s">
        <v>356</v>
      </c>
      <c r="B809" s="363"/>
      <c r="C809" s="756"/>
      <c r="D809" s="756"/>
      <c r="E809" s="756"/>
      <c r="F809" s="756"/>
      <c r="G809" s="756"/>
      <c r="H809" s="756"/>
      <c r="I809" s="756"/>
      <c r="J809" s="756"/>
      <c r="K809" s="756">
        <f ca="1">ROUND(SUM(G709,H709,I709,J709)-SUM(OFFSET(INDEX(MO_CFS_CFI,1,COLUMN()),ROW(INDEX(MO_SubSection_CFS_CFI,1,COLUMN()))-ROW(INDEX(MO_CFS_CFI,1,COLUMN())),0,ROW(INDEX(MO_CFS_CFI,1,COLUMN()))-ROW(INDEX(MO_SubSection_CFS_CFI,1,COLUMN())),1)),6)</f>
        <v>0</v>
      </c>
      <c r="L809" s="756"/>
      <c r="M809" s="756"/>
      <c r="N809" s="756"/>
      <c r="O809" s="756"/>
      <c r="P809" s="756">
        <f ca="1">ROUND(SUM(L709,M709,N709,O709)-SUM(OFFSET(INDEX(MO_CFS_CFI,1,COLUMN()),ROW(INDEX(MO_SubSection_CFS_CFI,1,COLUMN()))-ROW(INDEX(MO_CFS_CFI,1,COLUMN())),0,ROW(INDEX(MO_CFS_CFI,1,COLUMN()))-ROW(INDEX(MO_SubSection_CFS_CFI,1,COLUMN())),1)),6)</f>
        <v>0</v>
      </c>
      <c r="Q809" s="756"/>
      <c r="R809" s="756"/>
      <c r="S809" s="756"/>
      <c r="T809" s="756"/>
      <c r="U809" s="756">
        <f ca="1">ROUND(SUM(Q709,R709,S709,T709)-SUM(OFFSET(INDEX(MO_CFS_CFI,1,COLUMN()),ROW(INDEX(MO_SubSection_CFS_CFI,1,COLUMN()))-ROW(INDEX(MO_CFS_CFI,1,COLUMN())),0,ROW(INDEX(MO_CFS_CFI,1,COLUMN()))-ROW(INDEX(MO_SubSection_CFS_CFI,1,COLUMN())),1)),6)</f>
        <v>0</v>
      </c>
      <c r="V809" s="756"/>
      <c r="W809" s="756"/>
      <c r="X809" s="756"/>
      <c r="Y809" s="756"/>
      <c r="Z809" s="756">
        <f ca="1">ROUND(SUM(V709,W709,X709,Y709)-SUM(OFFSET(INDEX(MO_CFS_CFI,1,COLUMN()),ROW(INDEX(MO_SubSection_CFS_CFI,1,COLUMN()))-ROW(INDEX(MO_CFS_CFI,1,COLUMN())),0,ROW(INDEX(MO_CFS_CFI,1,COLUMN()))-ROW(INDEX(MO_SubSection_CFS_CFI,1,COLUMN())),1)),6)</f>
        <v>0</v>
      </c>
      <c r="AA809" s="756"/>
      <c r="AB809" s="756"/>
      <c r="AC809" s="756"/>
      <c r="AD809" s="756"/>
      <c r="AE809" s="756">
        <f ca="1">ROUND(SUM(AA709,AB709,AC709,AD709)-SUM(OFFSET(INDEX(MO_CFS_CFI,1,COLUMN()),ROW(INDEX(MO_SubSection_CFS_CFI,1,COLUMN()))-ROW(INDEX(MO_CFS_CFI,1,COLUMN())),0,ROW(INDEX(MO_CFS_CFI,1,COLUMN()))-ROW(INDEX(MO_SubSection_CFS_CFI,1,COLUMN())),1)),6)</f>
        <v>0</v>
      </c>
      <c r="AF809" s="756"/>
      <c r="AG809" s="756"/>
      <c r="AH809" s="756"/>
      <c r="AI809" s="756"/>
      <c r="AJ809" s="756">
        <f ca="1">ROUND(SUM(AF709,AG709,AH709,AI709)-SUM(OFFSET(INDEX(MO_CFS_CFI,1,COLUMN()),ROW(INDEX(MO_SubSection_CFS_CFI,1,COLUMN()))-ROW(INDEX(MO_CFS_CFI,1,COLUMN())),0,ROW(INDEX(MO_CFS_CFI,1,COLUMN()))-ROW(INDEX(MO_SubSection_CFS_CFI,1,COLUMN())),1)),6)</f>
        <v>0</v>
      </c>
      <c r="AK809" s="756"/>
      <c r="AL809" s="756"/>
      <c r="AM809" s="756"/>
      <c r="AN809" s="756"/>
      <c r="AO809" s="756">
        <f ca="1">ROUND(SUM(AK709,AL709,AM709,AN709)-SUM(OFFSET(INDEX(MO_CFS_CFI,1,COLUMN()),ROW(INDEX(MO_SubSection_CFS_CFI,1,COLUMN()))-ROW(INDEX(MO_CFS_CFI,1,COLUMN())),0,ROW(INDEX(MO_CFS_CFI,1,COLUMN()))-ROW(INDEX(MO_SubSection_CFS_CFI,1,COLUMN())),1)),6)</f>
        <v>0</v>
      </c>
      <c r="AP809" s="756"/>
      <c r="AQ809" s="756"/>
      <c r="AR809" s="756"/>
      <c r="AS809" s="756"/>
      <c r="AT809" s="756">
        <f ca="1">ROUND(SUM(AP709,AQ709,AR709,AS709)-SUM(OFFSET(INDEX(MO_CFS_CFI,1,COLUMN()),ROW(INDEX(MO_SubSection_CFS_CFI,1,COLUMN()))-ROW(INDEX(MO_CFS_CFI,1,COLUMN())),0,ROW(INDEX(MO_CFS_CFI,1,COLUMN()))-ROW(INDEX(MO_SubSection_CFS_CFI,1,COLUMN())),1)),6)</f>
        <v>0</v>
      </c>
      <c r="AU809" s="756"/>
      <c r="AV809" s="756"/>
      <c r="AW809" s="756"/>
      <c r="AX809" s="756"/>
      <c r="AY809" s="756">
        <f ca="1">ROUND(SUM(AU709,AV709,AW709,AX709)-SUM(OFFSET(INDEX(MO_CFS_CFI,1,COLUMN()),ROW(INDEX(MO_SubSection_CFS_CFI,1,COLUMN()))-ROW(INDEX(MO_CFS_CFI,1,COLUMN())),0,ROW(INDEX(MO_CFS_CFI,1,COLUMN()))-ROW(INDEX(MO_SubSection_CFS_CFI,1,COLUMN())),1)),6)</f>
        <v>0</v>
      </c>
      <c r="AZ809" s="756"/>
      <c r="BA809" s="756"/>
      <c r="BB809" s="756"/>
      <c r="BC809" s="756"/>
      <c r="BD809" s="756">
        <f ca="1">ROUND(SUM(AZ709,BA709,BB709,BC709)-SUM(OFFSET(INDEX(MO_CFS_CFI,1,COLUMN()),ROW(INDEX(MO_SubSection_CFS_CFI,1,COLUMN()))-ROW(INDEX(MO_CFS_CFI,1,COLUMN())),0,ROW(INDEX(MO_CFS_CFI,1,COLUMN()))-ROW(INDEX(MO_SubSection_CFS_CFI,1,COLUMN())),1)),6)</f>
        <v>0</v>
      </c>
      <c r="BE809" s="756"/>
      <c r="BF809" s="756"/>
      <c r="BG809" s="756"/>
      <c r="BH809" s="756"/>
      <c r="BI809" s="756">
        <f ca="1">ROUND(SUM(BE709,BF709,BG709,BH709)-SUM(OFFSET(INDEX(MO_CFS_CFI,1,COLUMN()),ROW(INDEX(MO_SubSection_CFS_CFI,1,COLUMN()))-ROW(INDEX(MO_CFS_CFI,1,COLUMN())),0,ROW(INDEX(MO_CFS_CFI,1,COLUMN()))-ROW(INDEX(MO_SubSection_CFS_CFI,1,COLUMN())),1)),6)</f>
        <v>0</v>
      </c>
      <c r="BJ809" s="756"/>
      <c r="BK809" s="756"/>
      <c r="BL809" s="756"/>
      <c r="BM809" s="756"/>
      <c r="BN809" s="756">
        <f ca="1">ROUND(SUM(BJ709,BK709,BL709,BM709)-SUM(OFFSET(INDEX(MO_CFS_CFI,1,COLUMN()),ROW(INDEX(MO_SubSection_CFS_CFI,1,COLUMN()))-ROW(INDEX(MO_CFS_CFI,1,COLUMN())),0,ROW(INDEX(MO_CFS_CFI,1,COLUMN()))-ROW(INDEX(MO_SubSection_CFS_CFI,1,COLUMN())),1)),6)</f>
        <v>0</v>
      </c>
      <c r="BO809" s="756"/>
      <c r="BP809" s="756"/>
      <c r="BQ809" s="756"/>
      <c r="BR809" s="756"/>
      <c r="BS809" s="756">
        <f ca="1">ROUND(SUM(BO709,BP709,BQ709,BR709)-SUM(OFFSET(INDEX(MO_CFS_CFI,1,COLUMN()),ROW(INDEX(MO_SubSection_CFS_CFI,1,COLUMN()))-ROW(INDEX(MO_CFS_CFI,1,COLUMN())),0,ROW(INDEX(MO_CFS_CFI,1,COLUMN()))-ROW(INDEX(MO_SubSection_CFS_CFI,1,COLUMN())),1)),6)</f>
        <v>0</v>
      </c>
      <c r="BT809" s="757"/>
      <c r="BU809" s="756"/>
      <c r="BV809" s="756"/>
      <c r="BW809" s="756"/>
      <c r="BX809" s="756">
        <f ca="1">ROUND(SUM(BT709,BU709,BV709,BW709)-SUM(OFFSET(INDEX(MO_CFS_CFI,1,COLUMN()),ROW(INDEX(MO_SubSection_CFS_CFI,1,COLUMN()))-ROW(INDEX(MO_CFS_CFI,1,COLUMN())),0,ROW(INDEX(MO_CFS_CFI,1,COLUMN()))-ROW(INDEX(MO_SubSection_CFS_CFI,1,COLUMN())),1)),6)</f>
        <v>0</v>
      </c>
      <c r="BY809" s="756"/>
      <c r="BZ809" s="756"/>
      <c r="CA809" s="756"/>
      <c r="CB809" s="756"/>
      <c r="CC809" s="756">
        <f ca="1">ROUND(SUM(BY709,BZ709,CA709,CB709)-SUM(OFFSET(INDEX(MO_CFS_CFI,1,COLUMN()),ROW(INDEX(MO_SubSection_CFS_CFI,1,COLUMN()))-ROW(INDEX(MO_CFS_CFI,1,COLUMN())),0,ROW(INDEX(MO_CFS_CFI,1,COLUMN()))-ROW(INDEX(MO_SubSection_CFS_CFI,1,COLUMN())),1)),6)</f>
        <v>0</v>
      </c>
      <c r="CD809" s="756"/>
      <c r="CE809" s="756"/>
      <c r="CF809" s="756"/>
      <c r="CG809" s="190"/>
    </row>
    <row r="810" spans="1:85" s="424" customFormat="1" x14ac:dyDescent="0.3">
      <c r="A810" s="190" t="s">
        <v>357</v>
      </c>
      <c r="B810" s="363"/>
      <c r="C810" s="756"/>
      <c r="D810" s="756"/>
      <c r="E810" s="756"/>
      <c r="F810" s="756"/>
      <c r="G810" s="756"/>
      <c r="H810" s="756"/>
      <c r="I810" s="756"/>
      <c r="J810" s="756"/>
      <c r="K810" s="756">
        <f ca="1">ROUND(SUM(G720,H720,I720,J720)-SUM(OFFSET(INDEX(MO_CFS_CFF,1,COLUMN()),ROW(INDEX(MO_SubSection_CFS_CFF,1,COLUMN()))-ROW(INDEX(MO_CFS_CFF,1,COLUMN())),0,ROW(INDEX(MO_CFS_CFF,1,COLUMN()))-ROW(INDEX(MO_SubSection_CFS_CFF,1,COLUMN())),1)),6)</f>
        <v>0</v>
      </c>
      <c r="L810" s="756"/>
      <c r="M810" s="756"/>
      <c r="N810" s="756"/>
      <c r="O810" s="756"/>
      <c r="P810" s="756">
        <f ca="1">ROUND(SUM(L720,M720,N720,O720)-SUM(OFFSET(INDEX(MO_CFS_CFF,1,COLUMN()),ROW(INDEX(MO_SubSection_CFS_CFF,1,COLUMN()))-ROW(INDEX(MO_CFS_CFF,1,COLUMN())),0,ROW(INDEX(MO_CFS_CFF,1,COLUMN()))-ROW(INDEX(MO_SubSection_CFS_CFF,1,COLUMN())),1)),6)</f>
        <v>0</v>
      </c>
      <c r="Q810" s="756"/>
      <c r="R810" s="756"/>
      <c r="S810" s="756"/>
      <c r="T810" s="756"/>
      <c r="U810" s="756">
        <f ca="1">ROUND(SUM(Q720,R720,S720,T720)-SUM(OFFSET(INDEX(MO_CFS_CFF,1,COLUMN()),ROW(INDEX(MO_SubSection_CFS_CFF,1,COLUMN()))-ROW(INDEX(MO_CFS_CFF,1,COLUMN())),0,ROW(INDEX(MO_CFS_CFF,1,COLUMN()))-ROW(INDEX(MO_SubSection_CFS_CFF,1,COLUMN())),1)),6)</f>
        <v>0</v>
      </c>
      <c r="V810" s="756"/>
      <c r="W810" s="756"/>
      <c r="X810" s="756"/>
      <c r="Y810" s="756"/>
      <c r="Z810" s="756">
        <f ca="1">ROUND(SUM(V720,W720,X720,Y720)-SUM(OFFSET(INDEX(MO_CFS_CFF,1,COLUMN()),ROW(INDEX(MO_SubSection_CFS_CFF,1,COLUMN()))-ROW(INDEX(MO_CFS_CFF,1,COLUMN())),0,ROW(INDEX(MO_CFS_CFF,1,COLUMN()))-ROW(INDEX(MO_SubSection_CFS_CFF,1,COLUMN())),1)),6)</f>
        <v>0</v>
      </c>
      <c r="AA810" s="756"/>
      <c r="AB810" s="756"/>
      <c r="AC810" s="756"/>
      <c r="AD810" s="756"/>
      <c r="AE810" s="756">
        <f ca="1">ROUND(SUM(AA720,AB720,AC720,AD720)-SUM(OFFSET(INDEX(MO_CFS_CFF,1,COLUMN()),ROW(INDEX(MO_SubSection_CFS_CFF,1,COLUMN()))-ROW(INDEX(MO_CFS_CFF,1,COLUMN())),0,ROW(INDEX(MO_CFS_CFF,1,COLUMN()))-ROW(INDEX(MO_SubSection_CFS_CFF,1,COLUMN())),1)),6)</f>
        <v>0</v>
      </c>
      <c r="AF810" s="756"/>
      <c r="AG810" s="756"/>
      <c r="AH810" s="756"/>
      <c r="AI810" s="756"/>
      <c r="AJ810" s="756">
        <f ca="1">ROUND(SUM(AF720,AG720,AH720,AI720)-SUM(OFFSET(INDEX(MO_CFS_CFF,1,COLUMN()),ROW(INDEX(MO_SubSection_CFS_CFF,1,COLUMN()))-ROW(INDEX(MO_CFS_CFF,1,COLUMN())),0,ROW(INDEX(MO_CFS_CFF,1,COLUMN()))-ROW(INDEX(MO_SubSection_CFS_CFF,1,COLUMN())),1)),6)</f>
        <v>0</v>
      </c>
      <c r="AK810" s="756"/>
      <c r="AL810" s="756"/>
      <c r="AM810" s="756"/>
      <c r="AN810" s="756"/>
      <c r="AO810" s="756">
        <f ca="1">ROUND(SUM(AK720,AL720,AM720,AN720)-SUM(OFFSET(INDEX(MO_CFS_CFF,1,COLUMN()),ROW(INDEX(MO_SubSection_CFS_CFF,1,COLUMN()))-ROW(INDEX(MO_CFS_CFF,1,COLUMN())),0,ROW(INDEX(MO_CFS_CFF,1,COLUMN()))-ROW(INDEX(MO_SubSection_CFS_CFF,1,COLUMN())),1)),6)</f>
        <v>0</v>
      </c>
      <c r="AP810" s="756"/>
      <c r="AQ810" s="756"/>
      <c r="AR810" s="756"/>
      <c r="AS810" s="756"/>
      <c r="AT810" s="756">
        <f ca="1">ROUND(SUM(AP720,AQ720,AR720,AS720)-SUM(OFFSET(INDEX(MO_CFS_CFF,1,COLUMN()),ROW(INDEX(MO_SubSection_CFS_CFF,1,COLUMN()))-ROW(INDEX(MO_CFS_CFF,1,COLUMN())),0,ROW(INDEX(MO_CFS_CFF,1,COLUMN()))-ROW(INDEX(MO_SubSection_CFS_CFF,1,COLUMN())),1)),6)</f>
        <v>0</v>
      </c>
      <c r="AU810" s="756"/>
      <c r="AV810" s="756"/>
      <c r="AW810" s="756"/>
      <c r="AX810" s="756"/>
      <c r="AY810" s="756">
        <f ca="1">ROUND(SUM(AU720,AV720,AW720,AX720)-SUM(OFFSET(INDEX(MO_CFS_CFF,1,COLUMN()),ROW(INDEX(MO_SubSection_CFS_CFF,1,COLUMN()))-ROW(INDEX(MO_CFS_CFF,1,COLUMN())),0,ROW(INDEX(MO_CFS_CFF,1,COLUMN()))-ROW(INDEX(MO_SubSection_CFS_CFF,1,COLUMN())),1)),6)</f>
        <v>0</v>
      </c>
      <c r="AZ810" s="756"/>
      <c r="BA810" s="756"/>
      <c r="BB810" s="756"/>
      <c r="BC810" s="756"/>
      <c r="BD810" s="756">
        <f ca="1">ROUND(SUM(AZ720,BA720,BB720,BC720)-SUM(OFFSET(INDEX(MO_CFS_CFF,1,COLUMN()),ROW(INDEX(MO_SubSection_CFS_CFF,1,COLUMN()))-ROW(INDEX(MO_CFS_CFF,1,COLUMN())),0,ROW(INDEX(MO_CFS_CFF,1,COLUMN()))-ROW(INDEX(MO_SubSection_CFS_CFF,1,COLUMN())),1)),6)</f>
        <v>0</v>
      </c>
      <c r="BE810" s="756"/>
      <c r="BF810" s="756"/>
      <c r="BG810" s="756"/>
      <c r="BH810" s="756"/>
      <c r="BI810" s="756">
        <f ca="1">ROUND(SUM(BE720,BF720,BG720,BH720)-SUM(OFFSET(INDEX(MO_CFS_CFF,1,COLUMN()),ROW(INDEX(MO_SubSection_CFS_CFF,1,COLUMN()))-ROW(INDEX(MO_CFS_CFF,1,COLUMN())),0,ROW(INDEX(MO_CFS_CFF,1,COLUMN()))-ROW(INDEX(MO_SubSection_CFS_CFF,1,COLUMN())),1)),6)</f>
        <v>0</v>
      </c>
      <c r="BJ810" s="756"/>
      <c r="BK810" s="756"/>
      <c r="BL810" s="756"/>
      <c r="BM810" s="756"/>
      <c r="BN810" s="756">
        <f ca="1">ROUND(SUM(BJ720,BK720,BL720,BM720)-SUM(OFFSET(INDEX(MO_CFS_CFF,1,COLUMN()),ROW(INDEX(MO_SubSection_CFS_CFF,1,COLUMN()))-ROW(INDEX(MO_CFS_CFF,1,COLUMN())),0,ROW(INDEX(MO_CFS_CFF,1,COLUMN()))-ROW(INDEX(MO_SubSection_CFS_CFF,1,COLUMN())),1)),6)</f>
        <v>0</v>
      </c>
      <c r="BO810" s="756"/>
      <c r="BP810" s="756"/>
      <c r="BQ810" s="756"/>
      <c r="BR810" s="756"/>
      <c r="BS810" s="756">
        <f ca="1">ROUND(SUM(BO720,BP720,BQ720,BR720)-SUM(OFFSET(INDEX(MO_CFS_CFF,1,COLUMN()),ROW(INDEX(MO_SubSection_CFS_CFF,1,COLUMN()))-ROW(INDEX(MO_CFS_CFF,1,COLUMN())),0,ROW(INDEX(MO_CFS_CFF,1,COLUMN()))-ROW(INDEX(MO_SubSection_CFS_CFF,1,COLUMN())),1)),6)</f>
        <v>0</v>
      </c>
      <c r="BT810" s="757"/>
      <c r="BU810" s="756"/>
      <c r="BV810" s="756"/>
      <c r="BW810" s="756"/>
      <c r="BX810" s="756">
        <f ca="1">ROUND(SUM(BT720,BU720,BV720,BW720)-SUM(OFFSET(INDEX(MO_CFS_CFF,1,COLUMN()),ROW(INDEX(MO_SubSection_CFS_CFF,1,COLUMN()))-ROW(INDEX(MO_CFS_CFF,1,COLUMN())),0,ROW(INDEX(MO_CFS_CFF,1,COLUMN()))-ROW(INDEX(MO_SubSection_CFS_CFF,1,COLUMN())),1)),6)</f>
        <v>0</v>
      </c>
      <c r="BY810" s="756"/>
      <c r="BZ810" s="756"/>
      <c r="CA810" s="756"/>
      <c r="CB810" s="756"/>
      <c r="CC810" s="756">
        <f ca="1">ROUND(SUM(BY720,BZ720,CA720,CB720)-SUM(OFFSET(INDEX(MO_CFS_CFF,1,COLUMN()),ROW(INDEX(MO_SubSection_CFS_CFF,1,COLUMN()))-ROW(INDEX(MO_CFS_CFF,1,COLUMN())),0,ROW(INDEX(MO_CFS_CFF,1,COLUMN()))-ROW(INDEX(MO_SubSection_CFS_CFF,1,COLUMN())),1)),6)</f>
        <v>0</v>
      </c>
      <c r="CD810" s="756"/>
      <c r="CE810" s="756"/>
      <c r="CF810" s="756"/>
      <c r="CG810" s="190"/>
    </row>
    <row r="811" spans="1:85" s="424" customFormat="1" x14ac:dyDescent="0.3">
      <c r="A811" s="190" t="s">
        <v>358</v>
      </c>
      <c r="B811" s="363"/>
      <c r="C811" s="756"/>
      <c r="D811" s="756"/>
      <c r="E811" s="756"/>
      <c r="F811" s="756"/>
      <c r="G811" s="756"/>
      <c r="H811" s="756"/>
      <c r="I811" s="756"/>
      <c r="J811" s="756"/>
      <c r="K811" s="756">
        <f>ROUND(SUM(INDEX(MO_CFSum_Acquisition,0,COLUMN()),INDEX(MO_CFSum_Capex,0,COLUMN()),INDEX(MO_CFSum_Divestiture,0,COLUMN()),INDEX(MO_CFSum_Dividend,0,COLUMN()))-SUM(G567,H567,I567,J567,G568,H568,I568,J568,G569,H569,I569,J569)-SUM(G565,H565,I565,J565),6)</f>
        <v>0</v>
      </c>
      <c r="L811" s="756"/>
      <c r="M811" s="756"/>
      <c r="N811" s="756"/>
      <c r="O811" s="756"/>
      <c r="P811" s="756">
        <f>ROUND(SUM(INDEX(MO_CFSum_Acquisition,0,COLUMN()),INDEX(MO_CFSum_Capex,0,COLUMN()),INDEX(MO_CFSum_Divestiture,0,COLUMN()),INDEX(MO_CFSum_Dividend,0,COLUMN()))-SUM(L567,M567,N567,O567,L568,M568,N568,O568,L569,M569,N569,O569)-SUM(L565,M565,N565,O565),6)</f>
        <v>0</v>
      </c>
      <c r="Q811" s="756"/>
      <c r="R811" s="756"/>
      <c r="S811" s="756"/>
      <c r="T811" s="756"/>
      <c r="U811" s="756">
        <f>ROUND(SUM(INDEX(MO_CFSum_Acquisition,0,COLUMN()),INDEX(MO_CFSum_Capex,0,COLUMN()),INDEX(MO_CFSum_Divestiture,0,COLUMN()),INDEX(MO_CFSum_Dividend,0,COLUMN()))-SUM(Q567,R567,S567,T567,Q568,R568,S568,T568,Q569,R569,S569,T569)-SUM(Q565,R565,S565,T565),6)</f>
        <v>0</v>
      </c>
      <c r="V811" s="756"/>
      <c r="W811" s="756"/>
      <c r="X811" s="756"/>
      <c r="Y811" s="756"/>
      <c r="Z811" s="756">
        <f>ROUND(SUM(INDEX(MO_CFSum_Acquisition,0,COLUMN()),INDEX(MO_CFSum_Capex,0,COLUMN()),INDEX(MO_CFSum_Divestiture,0,COLUMN()),INDEX(MO_CFSum_Dividend,0,COLUMN()))-SUM(V567,W567,X567,Y567,V568,W568,X568,Y568,V569,W569,X569,Y569)-SUM(V565,W565,X565,Y565),6)</f>
        <v>0</v>
      </c>
      <c r="AA811" s="756"/>
      <c r="AB811" s="756"/>
      <c r="AC811" s="756"/>
      <c r="AD811" s="756"/>
      <c r="AE811" s="756">
        <f>ROUND(SUM(INDEX(MO_CFSum_Acquisition,0,COLUMN()),INDEX(MO_CFSum_Capex,0,COLUMN()),INDEX(MO_CFSum_Divestiture,0,COLUMN()),INDEX(MO_CFSum_Dividend,0,COLUMN()))-SUM(AA567,AB567,AC567,AD567,AA568,AB568,AC568,AD568,AA569,AB569,AC569,AD569)-SUM(AA565,AB565,AC565,AD565),6)</f>
        <v>0</v>
      </c>
      <c r="AF811" s="756"/>
      <c r="AG811" s="756"/>
      <c r="AH811" s="756"/>
      <c r="AI811" s="756"/>
      <c r="AJ811" s="756">
        <f>ROUND(SUM(INDEX(MO_CFSum_Acquisition,0,COLUMN()),INDEX(MO_CFSum_Capex,0,COLUMN()),INDEX(MO_CFSum_Divestiture,0,COLUMN()),INDEX(MO_CFSum_Dividend,0,COLUMN()))-SUM(AF567,AG567,AH567,AI567,AF568,AG568,AH568,AI568,AF569,AG569,AH569,AI569)-SUM(AF565,AG565,AH565,AI565),6)</f>
        <v>0</v>
      </c>
      <c r="AK811" s="756"/>
      <c r="AL811" s="756"/>
      <c r="AM811" s="756"/>
      <c r="AN811" s="756"/>
      <c r="AO811" s="756">
        <f>ROUND(SUM(INDEX(MO_CFSum_Acquisition,0,COLUMN()),INDEX(MO_CFSum_Capex,0,COLUMN()),INDEX(MO_CFSum_Divestiture,0,COLUMN()),INDEX(MO_CFSum_Dividend,0,COLUMN()))-SUM(AK567,AL567,AM567,AN567,AK568,AL568,AM568,AN568,AK569,AL569,AM569,AN569)-SUM(AK565,AL565,AM565,AN565),6)</f>
        <v>0</v>
      </c>
      <c r="AP811" s="756"/>
      <c r="AQ811" s="756"/>
      <c r="AR811" s="756"/>
      <c r="AS811" s="756"/>
      <c r="AT811" s="756">
        <f>ROUND(SUM(INDEX(MO_CFSum_Acquisition,0,COLUMN()),INDEX(MO_CFSum_Capex,0,COLUMN()),INDEX(MO_CFSum_Divestiture,0,COLUMN()),INDEX(MO_CFSum_Dividend,0,COLUMN()))-SUM(AP567,AQ567,AR567,AS567,AP568,AQ568,AR568,AS568,AP569,AQ569,AR569,AS569)-SUM(AP565,AQ565,AR565,AS565),6)</f>
        <v>0</v>
      </c>
      <c r="AU811" s="756"/>
      <c r="AV811" s="756"/>
      <c r="AW811" s="756"/>
      <c r="AX811" s="756"/>
      <c r="AY811" s="756">
        <f>ROUND(SUM(INDEX(MO_CFSum_Acquisition,0,COLUMN()),INDEX(MO_CFSum_Capex,0,COLUMN()),INDEX(MO_CFSum_Divestiture,0,COLUMN()),INDEX(MO_CFSum_Dividend,0,COLUMN()))-SUM(AU567,AV567,AW567,AX567,AU568,AV568,AW568,AX568,AU569,AV569,AW569,AX569)-SUM(AU565,AV565,AW565,AX565),6)</f>
        <v>0</v>
      </c>
      <c r="AZ811" s="756"/>
      <c r="BA811" s="756"/>
      <c r="BB811" s="756"/>
      <c r="BC811" s="756"/>
      <c r="BD811" s="756">
        <f>ROUND(SUM(INDEX(MO_CFSum_Acquisition,0,COLUMN()),INDEX(MO_CFSum_Capex,0,COLUMN()),INDEX(MO_CFSum_Divestiture,0,COLUMN()),INDEX(MO_CFSum_Dividend,0,COLUMN()))-SUM(AZ567,BA567,BB567,BC567,AZ568,BA568,BB568,BC568,AZ569,BA569,BB569,BC569)-SUM(AZ565,BA565,BB565,BC565),6)</f>
        <v>0</v>
      </c>
      <c r="BE811" s="756"/>
      <c r="BF811" s="756"/>
      <c r="BG811" s="756"/>
      <c r="BH811" s="756"/>
      <c r="BI811" s="756">
        <f>ROUND(SUM(INDEX(MO_CFSum_Acquisition,0,COLUMN()),INDEX(MO_CFSum_Capex,0,COLUMN()),INDEX(MO_CFSum_Divestiture,0,COLUMN()),INDEX(MO_CFSum_Dividend,0,COLUMN()))-SUM(BE567,BF567,BG567,BH567,BE568,BF568,BG568,BH568,BE569,BF569,BG569,BH569)-SUM(BE565,BF565,BG565,BH565),6)</f>
        <v>0</v>
      </c>
      <c r="BJ811" s="756"/>
      <c r="BK811" s="756"/>
      <c r="BL811" s="756"/>
      <c r="BM811" s="756"/>
      <c r="BN811" s="756">
        <f>ROUND(SUM(INDEX(MO_CFSum_Acquisition,0,COLUMN()),INDEX(MO_CFSum_Capex,0,COLUMN()),INDEX(MO_CFSum_Divestiture,0,COLUMN()),INDEX(MO_CFSum_Dividend,0,COLUMN()))-SUM(BJ567,BK567,BL567,BM567,BJ568,BK568,BL568,BM568,BJ569,BK569,BL569,BM569)-SUM(BJ565,BK565,BL565,BM565),6)</f>
        <v>0</v>
      </c>
      <c r="BO811" s="756"/>
      <c r="BP811" s="756"/>
      <c r="BQ811" s="756"/>
      <c r="BR811" s="756"/>
      <c r="BS811" s="756">
        <f>ROUND(SUM(INDEX(MO_CFSum_Acquisition,0,COLUMN()),INDEX(MO_CFSum_Capex,0,COLUMN()),INDEX(MO_CFSum_Divestiture,0,COLUMN()),INDEX(MO_CFSum_Dividend,0,COLUMN()))-SUM(BO567,BP567,BQ567,BR567,BO568,BP568,BQ568,BR568,BO569,BP569,BQ569,BR569)-SUM(BO565,BP565,BQ565,BR565),6)</f>
        <v>0</v>
      </c>
      <c r="BT811" s="757"/>
      <c r="BU811" s="756"/>
      <c r="BV811" s="756"/>
      <c r="BW811" s="756"/>
      <c r="BX811" s="756">
        <f ca="1">ROUND(SUM(INDEX(MO_CFSum_Acquisition,0,COLUMN()),INDEX(MO_CFSum_Capex,0,COLUMN()),INDEX(MO_CFSum_Divestiture,0,COLUMN()),INDEX(MO_CFSum_Dividend,0,COLUMN()))-SUM(BT567,BU567,BV567,BW567,BT568,BU568,BV568,BW568,BT569,BU569,BV569,BW569)-SUM(BT565,BU565,BV565,BW565),6)</f>
        <v>0</v>
      </c>
      <c r="BY811" s="756"/>
      <c r="BZ811" s="756"/>
      <c r="CA811" s="756"/>
      <c r="CB811" s="756"/>
      <c r="CC811" s="756">
        <f ca="1">ROUND(SUM(INDEX(MO_CFSum_Acquisition,0,COLUMN()),INDEX(MO_CFSum_Capex,0,COLUMN()),INDEX(MO_CFSum_Divestiture,0,COLUMN()),INDEX(MO_CFSum_Dividend,0,COLUMN()))-SUM(BY567,BZ567,CA567,CB567,BY568,BZ568,CA568,CB568,BY569,BZ569,CA569,CB569)-SUM(BY565,BZ565,CA565,CB565),6)</f>
        <v>0</v>
      </c>
      <c r="CD811" s="756"/>
      <c r="CE811" s="756"/>
      <c r="CF811" s="756"/>
      <c r="CG811" s="190"/>
    </row>
    <row r="812" spans="1:85" s="424" customFormat="1" x14ac:dyDescent="0.3">
      <c r="A812" s="722"/>
      <c r="B812" s="363"/>
      <c r="C812" s="363"/>
      <c r="D812" s="363"/>
      <c r="E812" s="363"/>
      <c r="F812" s="363"/>
      <c r="G812" s="363"/>
      <c r="H812" s="363"/>
      <c r="I812" s="363"/>
      <c r="J812" s="363"/>
      <c r="K812" s="363"/>
      <c r="L812" s="363"/>
      <c r="M812" s="363"/>
      <c r="N812" s="363"/>
      <c r="O812" s="363"/>
      <c r="P812" s="363"/>
      <c r="Q812" s="363"/>
      <c r="R812" s="363"/>
      <c r="S812" s="363"/>
      <c r="T812" s="363"/>
      <c r="U812" s="363"/>
      <c r="V812" s="363"/>
      <c r="W812" s="722"/>
      <c r="X812" s="363"/>
      <c r="Y812" s="722"/>
      <c r="Z812" s="722"/>
      <c r="AA812" s="722"/>
      <c r="AB812" s="722"/>
      <c r="AC812" s="363"/>
      <c r="AD812" s="722"/>
      <c r="AE812" s="722"/>
      <c r="AF812" s="722"/>
      <c r="AG812" s="722"/>
      <c r="AH812" s="363"/>
      <c r="AI812" s="722"/>
      <c r="AJ812" s="722"/>
      <c r="AK812" s="722"/>
      <c r="AL812" s="722"/>
      <c r="AM812" s="363"/>
      <c r="AN812" s="722"/>
      <c r="AO812" s="722"/>
      <c r="AP812" s="722"/>
      <c r="AQ812" s="722"/>
      <c r="AR812" s="363"/>
      <c r="AS812" s="722"/>
      <c r="AT812" s="722"/>
      <c r="AU812" s="722"/>
      <c r="AV812" s="722"/>
      <c r="AW812" s="363"/>
      <c r="AX812" s="722"/>
      <c r="AY812" s="722"/>
      <c r="AZ812" s="722"/>
      <c r="BA812" s="722"/>
      <c r="BB812" s="363"/>
      <c r="BC812" s="722"/>
      <c r="BD812" s="722"/>
      <c r="BE812" s="722"/>
      <c r="BF812" s="722"/>
      <c r="BG812" s="363"/>
      <c r="BH812" s="722"/>
      <c r="BI812" s="722"/>
      <c r="BJ812" s="722"/>
      <c r="BK812" s="722"/>
      <c r="BL812" s="363"/>
      <c r="BM812" s="722"/>
      <c r="BN812" s="722"/>
      <c r="BO812" s="722"/>
      <c r="BP812" s="722"/>
      <c r="BQ812" s="363"/>
      <c r="BR812" s="722"/>
      <c r="BS812" s="722"/>
      <c r="BT812" s="723"/>
      <c r="BU812" s="722"/>
      <c r="BV812" s="722"/>
      <c r="BW812" s="722"/>
      <c r="BX812" s="722"/>
      <c r="BY812" s="722"/>
      <c r="BZ812" s="722"/>
      <c r="CA812" s="722"/>
      <c r="CB812" s="722"/>
      <c r="CC812" s="722"/>
      <c r="CD812" s="722"/>
      <c r="CE812" s="722"/>
      <c r="CF812" s="722"/>
      <c r="CG812" s="190"/>
    </row>
    <row r="813" spans="1:85" s="427" customFormat="1" x14ac:dyDescent="0.3">
      <c r="A813" s="726" t="s">
        <v>359</v>
      </c>
      <c r="B813" s="726"/>
      <c r="C813" s="726"/>
      <c r="D813" s="726"/>
      <c r="E813" s="726"/>
      <c r="F813" s="726"/>
      <c r="G813" s="726"/>
      <c r="H813" s="726"/>
      <c r="I813" s="726"/>
      <c r="J813" s="726"/>
      <c r="K813" s="726"/>
      <c r="L813" s="726"/>
      <c r="M813" s="726"/>
      <c r="N813" s="726"/>
      <c r="O813" s="726"/>
      <c r="P813" s="726"/>
      <c r="Q813" s="726"/>
      <c r="R813" s="726"/>
      <c r="S813" s="726"/>
      <c r="T813" s="726"/>
      <c r="U813" s="726"/>
      <c r="V813" s="726"/>
      <c r="W813" s="726"/>
      <c r="X813" s="726"/>
      <c r="Y813" s="726"/>
      <c r="Z813" s="726"/>
      <c r="AA813" s="726"/>
      <c r="AB813" s="726"/>
      <c r="AC813" s="726"/>
      <c r="AD813" s="726"/>
      <c r="AE813" s="726"/>
      <c r="AF813" s="726"/>
      <c r="AG813" s="726"/>
      <c r="AH813" s="726"/>
      <c r="AI813" s="726"/>
      <c r="AJ813" s="726"/>
      <c r="AK813" s="726"/>
      <c r="AL813" s="726"/>
      <c r="AM813" s="726"/>
      <c r="AN813" s="726"/>
      <c r="AO813" s="726"/>
      <c r="AP813" s="726"/>
      <c r="AQ813" s="726"/>
      <c r="AR813" s="726"/>
      <c r="AS813" s="726"/>
      <c r="AT813" s="726"/>
      <c r="AU813" s="726"/>
      <c r="AV813" s="726"/>
      <c r="AW813" s="726"/>
      <c r="AX813" s="726"/>
      <c r="AY813" s="726"/>
      <c r="AZ813" s="726"/>
      <c r="BA813" s="726"/>
      <c r="BB813" s="726"/>
      <c r="BC813" s="726"/>
      <c r="BD813" s="726"/>
      <c r="BE813" s="726"/>
      <c r="BF813" s="726"/>
      <c r="BG813" s="726"/>
      <c r="BH813" s="726"/>
      <c r="BI813" s="726"/>
      <c r="BJ813" s="726"/>
      <c r="BK813" s="726"/>
      <c r="BL813" s="726"/>
      <c r="BM813" s="726"/>
      <c r="BN813" s="726"/>
      <c r="BO813" s="726"/>
      <c r="BP813" s="726"/>
      <c r="BQ813" s="726"/>
      <c r="BR813" s="726"/>
      <c r="BS813" s="726"/>
      <c r="BT813" s="727"/>
      <c r="BU813" s="726"/>
      <c r="BV813" s="726"/>
      <c r="BW813" s="726"/>
      <c r="BX813" s="726"/>
      <c r="BY813" s="726"/>
      <c r="BZ813" s="726"/>
      <c r="CA813" s="726"/>
      <c r="CB813" s="726"/>
      <c r="CC813" s="726"/>
      <c r="CD813" s="726"/>
      <c r="CE813" s="726"/>
      <c r="CF813" s="726"/>
      <c r="CG813" s="321"/>
    </row>
    <row r="814" spans="1:85" s="424" customFormat="1" x14ac:dyDescent="0.3">
      <c r="A814" s="364"/>
      <c r="B814" s="722"/>
      <c r="C814" s="237"/>
      <c r="D814" s="237"/>
      <c r="E814" s="722"/>
      <c r="F814" s="722"/>
      <c r="G814" s="722"/>
      <c r="H814" s="722"/>
      <c r="I814" s="722"/>
      <c r="J814" s="722"/>
      <c r="K814" s="722"/>
      <c r="L814" s="722"/>
      <c r="M814" s="722"/>
      <c r="N814" s="722"/>
      <c r="O814" s="722"/>
      <c r="P814" s="722"/>
      <c r="Q814" s="722"/>
      <c r="R814" s="722"/>
      <c r="S814" s="722"/>
      <c r="T814" s="722"/>
      <c r="U814" s="722"/>
      <c r="V814" s="722"/>
      <c r="W814" s="722"/>
      <c r="X814" s="722"/>
      <c r="Y814" s="722"/>
      <c r="Z814" s="722"/>
      <c r="AA814" s="722"/>
      <c r="AB814" s="722"/>
      <c r="AC814" s="722"/>
      <c r="AD814" s="722"/>
      <c r="AE814" s="722"/>
      <c r="AF814" s="722"/>
      <c r="AG814" s="722"/>
      <c r="AH814" s="722"/>
      <c r="AI814" s="722"/>
      <c r="AJ814" s="722"/>
      <c r="AK814" s="722"/>
      <c r="AL814" s="722"/>
      <c r="AM814" s="722"/>
      <c r="AN814" s="722"/>
      <c r="AO814" s="722"/>
      <c r="AP814" s="722"/>
      <c r="AQ814" s="722"/>
      <c r="AR814" s="722"/>
      <c r="AS814" s="722"/>
      <c r="AT814" s="722"/>
      <c r="AU814" s="722"/>
      <c r="AV814" s="722"/>
      <c r="AW814" s="722"/>
      <c r="AX814" s="722"/>
      <c r="AY814" s="722"/>
      <c r="AZ814" s="722"/>
      <c r="BA814" s="722"/>
      <c r="BB814" s="722"/>
      <c r="BC814" s="722"/>
      <c r="BD814" s="722"/>
      <c r="BE814" s="722"/>
      <c r="BF814" s="722"/>
      <c r="BG814" s="722"/>
      <c r="BH814" s="722"/>
      <c r="BI814" s="722"/>
      <c r="BJ814" s="722"/>
      <c r="BK814" s="722"/>
      <c r="BL814" s="722"/>
      <c r="BM814" s="722"/>
      <c r="BN814" s="722"/>
      <c r="BO814" s="722"/>
      <c r="BP814" s="722"/>
      <c r="BQ814" s="722"/>
      <c r="BR814" s="722"/>
      <c r="BS814" s="722"/>
      <c r="BT814" s="723"/>
      <c r="BU814" s="722"/>
      <c r="BV814" s="722"/>
      <c r="BW814" s="722"/>
      <c r="BX814" s="722"/>
      <c r="BY814" s="722"/>
      <c r="BZ814" s="722"/>
      <c r="CA814" s="722"/>
      <c r="CB814" s="722"/>
      <c r="CC814" s="722"/>
      <c r="CD814" s="722"/>
      <c r="CE814" s="722"/>
      <c r="CF814" s="722"/>
      <c r="CG814" s="190"/>
    </row>
    <row r="815" spans="1:85" s="429" customFormat="1" x14ac:dyDescent="0.3">
      <c r="A815" s="281" t="s">
        <v>360</v>
      </c>
      <c r="B815" s="365"/>
      <c r="C815" s="366"/>
      <c r="D815" s="366"/>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31"/>
      <c r="BE815" s="31"/>
      <c r="BF815" s="31"/>
      <c r="BG815" s="31"/>
      <c r="BH815" s="31"/>
      <c r="BI815" s="31"/>
      <c r="BJ815" s="31"/>
      <c r="BK815" s="31"/>
      <c r="BL815" s="31"/>
      <c r="BM815" s="31"/>
      <c r="BN815" s="31"/>
      <c r="BO815" s="31"/>
      <c r="BP815" s="31"/>
      <c r="BQ815" s="31"/>
      <c r="BR815" s="31"/>
      <c r="BS815" s="31"/>
      <c r="BT815" s="379"/>
      <c r="BU815" s="31"/>
      <c r="BV815" s="31"/>
      <c r="BW815" s="31"/>
      <c r="BX815" s="31"/>
      <c r="BY815" s="31"/>
      <c r="BZ815" s="31"/>
      <c r="CA815" s="31"/>
      <c r="CB815" s="31"/>
      <c r="CC815" s="31"/>
      <c r="CD815" s="31"/>
      <c r="CE815" s="31"/>
      <c r="CF815" s="31"/>
      <c r="CG815" s="26"/>
    </row>
    <row r="816" spans="1:85" s="429" customFormat="1" x14ac:dyDescent="0.3">
      <c r="A816" s="565" t="s">
        <v>698</v>
      </c>
      <c r="B816" s="367"/>
      <c r="C816" s="368"/>
      <c r="D816" s="368"/>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480"/>
      <c r="BU816" s="37"/>
      <c r="BV816" s="37"/>
      <c r="BW816" s="37"/>
      <c r="BX816" s="37"/>
      <c r="BY816" s="37"/>
      <c r="BZ816" s="37"/>
      <c r="CA816" s="37"/>
      <c r="CB816" s="37"/>
      <c r="CC816" s="37"/>
      <c r="CD816" s="37"/>
      <c r="CE816" s="37"/>
      <c r="CF816" s="37"/>
      <c r="CG816" s="26"/>
    </row>
    <row r="817" spans="1:85" s="428" customFormat="1" x14ac:dyDescent="0.3">
      <c r="A817" s="282" t="s">
        <v>361</v>
      </c>
      <c r="B817" s="367"/>
      <c r="C817" s="368"/>
      <c r="D817" s="368"/>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480"/>
      <c r="BU817" s="37"/>
      <c r="BV817" s="37"/>
      <c r="BW817" s="37"/>
      <c r="BX817" s="37"/>
      <c r="BY817" s="37"/>
      <c r="BZ817" s="37"/>
      <c r="CA817" s="37"/>
      <c r="CB817" s="37"/>
      <c r="CC817" s="37"/>
      <c r="CD817" s="37"/>
      <c r="CE817" s="37"/>
      <c r="CF817" s="37"/>
      <c r="CG817" s="22"/>
    </row>
    <row r="818" spans="1:85" s="428" customFormat="1" x14ac:dyDescent="0.3">
      <c r="A818" s="283" t="s">
        <v>362</v>
      </c>
      <c r="B818" s="367"/>
      <c r="C818" s="368"/>
      <c r="D818" s="368"/>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480"/>
      <c r="BU818" s="37"/>
      <c r="BV818" s="37"/>
      <c r="BW818" s="37"/>
      <c r="BX818" s="37"/>
      <c r="BY818" s="37"/>
      <c r="BZ818" s="37"/>
      <c r="CA818" s="37"/>
      <c r="CB818" s="37"/>
      <c r="CC818" s="37"/>
      <c r="CD818" s="37"/>
      <c r="CE818" s="37"/>
      <c r="CF818" s="37"/>
      <c r="CG818" s="22"/>
    </row>
    <row r="819" spans="1:85" s="428" customFormat="1" x14ac:dyDescent="0.3">
      <c r="A819" s="284" t="s">
        <v>363</v>
      </c>
      <c r="B819" s="367"/>
      <c r="C819" s="368"/>
      <c r="D819" s="368"/>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480"/>
      <c r="BU819" s="37"/>
      <c r="BV819" s="37"/>
      <c r="BW819" s="37"/>
      <c r="BX819" s="37"/>
      <c r="BY819" s="37"/>
      <c r="BZ819" s="37"/>
      <c r="CA819" s="37"/>
      <c r="CB819" s="37"/>
      <c r="CC819" s="37"/>
      <c r="CD819" s="37"/>
      <c r="CE819" s="37"/>
      <c r="CF819" s="37"/>
      <c r="CG819" s="22"/>
    </row>
    <row r="820" spans="1:85" s="428" customFormat="1" x14ac:dyDescent="0.3">
      <c r="A820" s="308" t="s">
        <v>364</v>
      </c>
      <c r="B820" s="367"/>
      <c r="C820" s="368"/>
      <c r="D820" s="368"/>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480"/>
      <c r="BU820" s="37"/>
      <c r="BV820" s="37"/>
      <c r="BW820" s="37"/>
      <c r="BX820" s="37"/>
      <c r="BY820" s="37"/>
      <c r="BZ820" s="37"/>
      <c r="CA820" s="37"/>
      <c r="CB820" s="37"/>
      <c r="CC820" s="37"/>
      <c r="CD820" s="37"/>
      <c r="CE820" s="37"/>
      <c r="CF820" s="37"/>
      <c r="CG820" s="22"/>
    </row>
    <row r="821" spans="1:85" s="428" customFormat="1" x14ac:dyDescent="0.3">
      <c r="A821" s="369"/>
      <c r="B821" s="301"/>
      <c r="C821" s="368"/>
      <c r="D821" s="368"/>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480"/>
      <c r="BU821" s="37"/>
      <c r="BV821" s="37"/>
      <c r="BW821" s="37"/>
      <c r="BX821" s="37"/>
      <c r="BY821" s="37"/>
      <c r="BZ821" s="37"/>
      <c r="CA821" s="37"/>
      <c r="CB821" s="37"/>
      <c r="CC821" s="37"/>
      <c r="CD821" s="37"/>
      <c r="CE821" s="37"/>
      <c r="CF821" s="37"/>
      <c r="CG821" s="22"/>
    </row>
    <row r="822" spans="1:85" s="425" customFormat="1" x14ac:dyDescent="0.3">
      <c r="A822" s="285" t="s">
        <v>365</v>
      </c>
      <c r="B822" s="378"/>
      <c r="C822" s="370"/>
      <c r="D822" s="370"/>
      <c r="E822" s="370"/>
      <c r="F822" s="370"/>
      <c r="G822" s="370"/>
      <c r="H822" s="370"/>
      <c r="I822" s="370"/>
      <c r="J822" s="370"/>
      <c r="K822" s="370"/>
      <c r="L822" s="370"/>
      <c r="M822" s="370"/>
      <c r="N822" s="370"/>
      <c r="O822" s="370"/>
      <c r="P822" s="370"/>
      <c r="Q822" s="370"/>
      <c r="R822" s="370"/>
      <c r="S822" s="370"/>
      <c r="T822" s="370"/>
      <c r="U822" s="370"/>
      <c r="V822" s="370"/>
      <c r="W822" s="370"/>
      <c r="X822" s="370"/>
      <c r="Y822" s="370"/>
      <c r="Z822" s="370"/>
      <c r="AA822" s="370"/>
      <c r="AB822" s="370"/>
      <c r="AC822" s="370"/>
      <c r="AD822" s="370"/>
      <c r="AE822" s="370"/>
      <c r="AF822" s="370"/>
      <c r="AG822" s="370"/>
      <c r="AH822" s="370"/>
      <c r="AI822" s="370"/>
      <c r="AJ822" s="370"/>
      <c r="AK822" s="370"/>
      <c r="AL822" s="370"/>
      <c r="AM822" s="370"/>
      <c r="AN822" s="370"/>
      <c r="AO822" s="370"/>
      <c r="AP822" s="370"/>
      <c r="AQ822" s="370"/>
      <c r="AR822" s="370"/>
      <c r="AS822" s="370"/>
      <c r="AT822" s="370"/>
      <c r="AU822" s="370"/>
      <c r="AV822" s="370"/>
      <c r="AW822" s="370"/>
      <c r="AX822" s="370"/>
      <c r="AY822" s="370"/>
      <c r="AZ822" s="370"/>
      <c r="BA822" s="370"/>
      <c r="BB822" s="370"/>
      <c r="BC822" s="370"/>
      <c r="BD822" s="370"/>
      <c r="BE822" s="370"/>
      <c r="BF822" s="370"/>
      <c r="BG822" s="370"/>
      <c r="BH822" s="370"/>
      <c r="BI822" s="370"/>
      <c r="BJ822" s="370"/>
      <c r="BK822" s="370"/>
      <c r="BL822" s="370"/>
      <c r="BM822" s="370"/>
      <c r="BN822" s="370"/>
      <c r="BO822" s="370"/>
      <c r="BP822" s="370"/>
      <c r="BQ822" s="370"/>
      <c r="BR822" s="370"/>
      <c r="BS822" s="370"/>
      <c r="BT822" s="382"/>
      <c r="BU822" s="370"/>
      <c r="BV822" s="370"/>
      <c r="BW822" s="370"/>
      <c r="BX822" s="370"/>
      <c r="BY822" s="370"/>
      <c r="BZ822" s="370"/>
      <c r="CA822" s="370"/>
      <c r="CB822" s="370"/>
      <c r="CC822" s="370"/>
      <c r="CD822" s="370"/>
      <c r="CE822" s="370"/>
      <c r="CF822" s="370"/>
      <c r="CG822" s="131"/>
    </row>
    <row r="823" spans="1:85" s="428" customFormat="1" x14ac:dyDescent="0.3">
      <c r="A823" s="286" t="s">
        <v>366</v>
      </c>
      <c r="B823" s="800">
        <v>1</v>
      </c>
      <c r="C823" s="37"/>
      <c r="D823" s="368"/>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480"/>
      <c r="BU823" s="37"/>
      <c r="BV823" s="37"/>
      <c r="BW823" s="37"/>
      <c r="BX823" s="37"/>
      <c r="BY823" s="37"/>
      <c r="BZ823" s="37"/>
      <c r="CA823" s="37"/>
      <c r="CB823" s="37"/>
      <c r="CC823" s="37"/>
      <c r="CD823" s="37"/>
      <c r="CE823" s="37"/>
      <c r="CF823" s="37"/>
      <c r="CG823" s="22"/>
    </row>
    <row r="824" spans="1:85" s="428" customFormat="1" x14ac:dyDescent="0.3">
      <c r="A824" s="286" t="s">
        <v>367</v>
      </c>
      <c r="B824" s="800">
        <v>2</v>
      </c>
      <c r="C824" s="37"/>
      <c r="D824" s="368"/>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480"/>
      <c r="BU824" s="37"/>
      <c r="BV824" s="37"/>
      <c r="BW824" s="37"/>
      <c r="BX824" s="37"/>
      <c r="BY824" s="37"/>
      <c r="BZ824" s="37"/>
      <c r="CA824" s="37"/>
      <c r="CB824" s="37"/>
      <c r="CC824" s="37"/>
      <c r="CD824" s="37"/>
      <c r="CE824" s="37"/>
      <c r="CF824" s="37"/>
      <c r="CG824" s="22"/>
    </row>
    <row r="825" spans="1:85" s="428" customFormat="1" x14ac:dyDescent="0.3">
      <c r="A825" s="286" t="s">
        <v>243</v>
      </c>
      <c r="B825" s="800">
        <v>3</v>
      </c>
      <c r="C825" s="37"/>
      <c r="D825" s="368"/>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480"/>
      <c r="BU825" s="37"/>
      <c r="BV825" s="37"/>
      <c r="BW825" s="37"/>
      <c r="BX825" s="37"/>
      <c r="BY825" s="37"/>
      <c r="BZ825" s="37"/>
      <c r="CA825" s="37"/>
      <c r="CB825" s="37"/>
      <c r="CC825" s="37"/>
      <c r="CD825" s="37"/>
      <c r="CE825" s="37"/>
      <c r="CF825" s="37"/>
      <c r="CG825" s="22"/>
    </row>
    <row r="826" spans="1:85" s="428" customFormat="1" x14ac:dyDescent="0.3">
      <c r="A826" s="287" t="s">
        <v>742</v>
      </c>
      <c r="B826" s="801">
        <v>4</v>
      </c>
      <c r="C826" s="37"/>
      <c r="D826" s="368"/>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480"/>
      <c r="BU826" s="37"/>
      <c r="BV826" s="37"/>
      <c r="BW826" s="37"/>
      <c r="BX826" s="37"/>
      <c r="BY826" s="37"/>
      <c r="BZ826" s="37"/>
      <c r="CA826" s="37"/>
      <c r="CB826" s="37"/>
      <c r="CC826" s="37"/>
      <c r="CD826" s="37"/>
      <c r="CE826" s="37"/>
      <c r="CF826" s="37"/>
      <c r="CG826" s="22"/>
    </row>
    <row r="827" spans="1:85" s="428" customFormat="1" x14ac:dyDescent="0.3">
      <c r="A827" s="371"/>
      <c r="B827" s="372"/>
      <c r="C827" s="368"/>
      <c r="D827" s="368"/>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480"/>
      <c r="BU827" s="37"/>
      <c r="BV827" s="37"/>
      <c r="BW827" s="37"/>
      <c r="BX827" s="37"/>
      <c r="BY827" s="37"/>
      <c r="BZ827" s="37"/>
      <c r="CA827" s="37"/>
      <c r="CB827" s="37"/>
      <c r="CC827" s="37"/>
      <c r="CD827" s="37"/>
      <c r="CE827" s="37"/>
      <c r="CF827" s="37"/>
      <c r="CG827" s="22"/>
    </row>
    <row r="828" spans="1:85" s="428" customFormat="1" x14ac:dyDescent="0.3">
      <c r="A828" s="291" t="s">
        <v>571</v>
      </c>
      <c r="B828" s="37"/>
      <c r="C828" s="368"/>
      <c r="D828" s="368"/>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480"/>
      <c r="BU828" s="37"/>
      <c r="BV828" s="37"/>
      <c r="BW828" s="37"/>
      <c r="BX828" s="37"/>
      <c r="BY828" s="37"/>
      <c r="BZ828" s="37"/>
      <c r="CA828" s="37"/>
      <c r="CB828" s="37"/>
      <c r="CC828" s="37"/>
      <c r="CD828" s="37"/>
      <c r="CE828" s="37"/>
      <c r="CF828" s="37"/>
      <c r="CG828" s="22"/>
    </row>
    <row r="829" spans="1:85" s="428" customFormat="1" x14ac:dyDescent="0.3">
      <c r="A829" s="292" t="str">
        <f>MO_OS_Energy_AverageDailyProduction_Total</f>
        <v>Total average daily production volumes, kBOE/d</v>
      </c>
      <c r="B829" s="37"/>
      <c r="C829" s="368"/>
      <c r="D829" s="368"/>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480"/>
      <c r="BU829" s="37"/>
      <c r="BV829" s="37"/>
      <c r="BW829" s="37"/>
      <c r="BX829" s="37"/>
      <c r="BY829" s="37"/>
      <c r="BZ829" s="37"/>
      <c r="CA829" s="37"/>
      <c r="CB829" s="37"/>
      <c r="CC829" s="37"/>
      <c r="CD829" s="37"/>
      <c r="CE829" s="37"/>
      <c r="CF829" s="37"/>
      <c r="CG829" s="22"/>
    </row>
    <row r="830" spans="1:85" s="428" customFormat="1" x14ac:dyDescent="0.3">
      <c r="A830" s="292" t="str">
        <f>MO_RIS_EBITDAX_Adj</f>
        <v>Adjusted EBITDAX (No Adjustments)</v>
      </c>
      <c r="B830" s="37"/>
      <c r="C830" s="368"/>
      <c r="D830" s="368"/>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480"/>
      <c r="BU830" s="37"/>
      <c r="BV830" s="37"/>
      <c r="BW830" s="37"/>
      <c r="BX830" s="37"/>
      <c r="BY830" s="37"/>
      <c r="BZ830" s="37"/>
      <c r="CA830" s="37"/>
      <c r="CB830" s="37"/>
      <c r="CC830" s="37"/>
      <c r="CD830" s="37"/>
      <c r="CE830" s="37"/>
      <c r="CF830" s="37"/>
      <c r="CG830" s="22"/>
    </row>
    <row r="831" spans="1:85" s="428" customFormat="1" x14ac:dyDescent="0.3">
      <c r="A831" s="292" t="str">
        <f>MO_CFSum_CFPS</f>
        <v>Cash Flow Per Diluted Share</v>
      </c>
      <c r="B831" s="37"/>
      <c r="C831" s="368"/>
      <c r="D831" s="368"/>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480"/>
      <c r="BU831" s="37"/>
      <c r="BV831" s="37"/>
      <c r="BW831" s="37"/>
      <c r="BX831" s="37"/>
      <c r="BY831" s="37"/>
      <c r="BZ831" s="37"/>
      <c r="CA831" s="37"/>
      <c r="CB831" s="37"/>
      <c r="CC831" s="37"/>
      <c r="CD831" s="37"/>
      <c r="CE831" s="37"/>
      <c r="CF831" s="37"/>
      <c r="CG831" s="22"/>
    </row>
    <row r="832" spans="1:85" s="428" customFormat="1" x14ac:dyDescent="0.3">
      <c r="A832" s="292" t="str">
        <f>MO_BSS_Debt_ToCF</f>
        <v>Net Debt / Cash Flow</v>
      </c>
      <c r="B832" s="37"/>
      <c r="C832" s="368"/>
      <c r="D832" s="368"/>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480"/>
      <c r="BU832" s="37"/>
      <c r="BV832" s="37"/>
      <c r="BW832" s="37"/>
      <c r="BX832" s="37"/>
      <c r="BY832" s="37"/>
      <c r="BZ832" s="37"/>
      <c r="CA832" s="37"/>
      <c r="CB832" s="37"/>
      <c r="CC832" s="37"/>
      <c r="CD832" s="37"/>
      <c r="CE832" s="37"/>
      <c r="CF832" s="37"/>
      <c r="CG832" s="22"/>
    </row>
    <row r="833" spans="1:85" s="428" customFormat="1" x14ac:dyDescent="0.3">
      <c r="A833" s="373"/>
      <c r="B833" s="37"/>
      <c r="C833" s="368"/>
      <c r="D833" s="368"/>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480"/>
      <c r="BU833" s="37"/>
      <c r="BV833" s="37"/>
      <c r="BW833" s="37"/>
      <c r="BX833" s="37"/>
      <c r="BY833" s="37"/>
      <c r="BZ833" s="37"/>
      <c r="CA833" s="37"/>
      <c r="CB833" s="37"/>
      <c r="CC833" s="37"/>
      <c r="CD833" s="37"/>
      <c r="CE833" s="37"/>
      <c r="CF833" s="37"/>
      <c r="CG833" s="22"/>
    </row>
    <row r="834" spans="1:85" s="428" customFormat="1" x14ac:dyDescent="0.3">
      <c r="A834" s="475"/>
      <c r="B834" s="37"/>
      <c r="C834" s="368"/>
      <c r="D834" s="368"/>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480"/>
      <c r="BU834" s="37"/>
      <c r="BV834" s="37"/>
      <c r="BW834" s="37"/>
      <c r="BX834" s="37"/>
      <c r="BY834" s="37"/>
      <c r="BZ834" s="37"/>
      <c r="CA834" s="37"/>
      <c r="CB834" s="37"/>
      <c r="CC834" s="37"/>
      <c r="CD834" s="37"/>
      <c r="CE834" s="37"/>
      <c r="CF834" s="37"/>
      <c r="CG834" s="22"/>
    </row>
    <row r="835" spans="1:85" s="428" customFormat="1" x14ac:dyDescent="0.3">
      <c r="A835" s="476" t="s">
        <v>723</v>
      </c>
      <c r="B835" s="37"/>
      <c r="C835" s="368"/>
      <c r="D835" s="368"/>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480"/>
      <c r="BU835" s="37"/>
      <c r="BV835" s="37"/>
      <c r="BW835" s="37"/>
      <c r="BX835" s="37"/>
      <c r="BY835" s="37"/>
      <c r="BZ835" s="37"/>
      <c r="CA835" s="37"/>
      <c r="CB835" s="37"/>
      <c r="CC835" s="37"/>
      <c r="CD835" s="37"/>
      <c r="CE835" s="37"/>
      <c r="CF835" s="37"/>
      <c r="CG835" s="22"/>
    </row>
    <row r="836" spans="1:85" s="428" customFormat="1" x14ac:dyDescent="0.3">
      <c r="A836" s="477" t="s">
        <v>724</v>
      </c>
      <c r="B836" s="37"/>
      <c r="C836" s="368"/>
      <c r="D836" s="368"/>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480"/>
      <c r="BU836" s="37"/>
      <c r="BV836" s="37"/>
      <c r="BW836" s="37"/>
      <c r="BX836" s="37"/>
      <c r="BY836" s="37"/>
      <c r="BZ836" s="37"/>
      <c r="CA836" s="37"/>
      <c r="CB836" s="37"/>
      <c r="CC836" s="37"/>
      <c r="CD836" s="37"/>
      <c r="CE836" s="37"/>
      <c r="CF836" s="37"/>
      <c r="CG836" s="22"/>
    </row>
    <row r="837" spans="1:85" s="428" customFormat="1" x14ac:dyDescent="0.3">
      <c r="A837" s="477" t="s">
        <v>725</v>
      </c>
      <c r="B837" s="37"/>
      <c r="C837" s="368"/>
      <c r="D837" s="368"/>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480"/>
      <c r="BU837" s="37"/>
      <c r="BV837" s="37"/>
      <c r="BW837" s="37"/>
      <c r="BX837" s="37"/>
      <c r="BY837" s="37"/>
      <c r="BZ837" s="37"/>
      <c r="CA837" s="37"/>
      <c r="CB837" s="37"/>
      <c r="CC837" s="37"/>
      <c r="CD837" s="37"/>
      <c r="CE837" s="37"/>
      <c r="CF837" s="37"/>
      <c r="CG837" s="22"/>
    </row>
    <row r="838" spans="1:85" s="428" customFormat="1" x14ac:dyDescent="0.3">
      <c r="A838" s="477" t="s">
        <v>726</v>
      </c>
      <c r="B838" s="37"/>
      <c r="C838" s="368"/>
      <c r="D838" s="368"/>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480"/>
      <c r="BU838" s="37"/>
      <c r="BV838" s="37"/>
      <c r="BW838" s="37"/>
      <c r="BX838" s="37"/>
      <c r="BY838" s="37"/>
      <c r="BZ838" s="37"/>
      <c r="CA838" s="37"/>
      <c r="CB838" s="37"/>
      <c r="CC838" s="37"/>
      <c r="CD838" s="37"/>
      <c r="CE838" s="37"/>
      <c r="CF838" s="37"/>
      <c r="CG838" s="22"/>
    </row>
    <row r="839" spans="1:85" s="428" customFormat="1" x14ac:dyDescent="0.3">
      <c r="A839" s="477" t="s">
        <v>727</v>
      </c>
      <c r="B839" s="37"/>
      <c r="C839" s="368"/>
      <c r="D839" s="368"/>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480"/>
      <c r="BU839" s="37"/>
      <c r="BV839" s="37"/>
      <c r="BW839" s="37"/>
      <c r="BX839" s="37"/>
      <c r="BY839" s="37"/>
      <c r="BZ839" s="37"/>
      <c r="CA839" s="37"/>
      <c r="CB839" s="37"/>
      <c r="CC839" s="37"/>
      <c r="CD839" s="37"/>
      <c r="CE839" s="37"/>
      <c r="CF839" s="37"/>
      <c r="CG839" s="22"/>
    </row>
    <row r="840" spans="1:85" s="428" customFormat="1" x14ac:dyDescent="0.3">
      <c r="A840" s="477" t="s">
        <v>755</v>
      </c>
      <c r="B840" s="37"/>
      <c r="C840" s="368"/>
      <c r="D840" s="368"/>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480"/>
      <c r="BU840" s="37"/>
      <c r="BV840" s="37"/>
      <c r="BW840" s="37"/>
      <c r="BX840" s="37"/>
      <c r="BY840" s="37"/>
      <c r="BZ840" s="37"/>
      <c r="CA840" s="37"/>
      <c r="CB840" s="37"/>
      <c r="CC840" s="37"/>
      <c r="CD840" s="37"/>
      <c r="CE840" s="37"/>
      <c r="CF840" s="37"/>
      <c r="CG840" s="22"/>
    </row>
    <row r="841" spans="1:85" s="428" customFormat="1" x14ac:dyDescent="0.3">
      <c r="A841" s="477" t="s">
        <v>756</v>
      </c>
      <c r="B841" s="37"/>
      <c r="C841" s="368"/>
      <c r="D841" s="368"/>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480"/>
      <c r="BU841" s="37"/>
      <c r="BV841" s="37"/>
      <c r="BW841" s="37"/>
      <c r="BX841" s="37"/>
      <c r="BY841" s="37"/>
      <c r="BZ841" s="37"/>
      <c r="CA841" s="37"/>
      <c r="CB841" s="37"/>
      <c r="CC841" s="37"/>
      <c r="CD841" s="37"/>
      <c r="CE841" s="37"/>
      <c r="CF841" s="37"/>
      <c r="CG841" s="22"/>
    </row>
    <row r="842" spans="1:85" s="428" customFormat="1" x14ac:dyDescent="0.3">
      <c r="A842" s="477" t="s">
        <v>757</v>
      </c>
      <c r="B842" s="37"/>
      <c r="C842" s="368"/>
      <c r="D842" s="368"/>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480"/>
      <c r="BU842" s="37"/>
      <c r="BV842" s="37"/>
      <c r="BW842" s="37"/>
      <c r="BX842" s="37"/>
      <c r="BY842" s="37"/>
      <c r="BZ842" s="37"/>
      <c r="CA842" s="37"/>
      <c r="CB842" s="37"/>
      <c r="CC842" s="37"/>
      <c r="CD842" s="37"/>
      <c r="CE842" s="37"/>
      <c r="CF842" s="37"/>
      <c r="CG842" s="22"/>
    </row>
    <row r="843" spans="1:85" s="428" customFormat="1" x14ac:dyDescent="0.3">
      <c r="A843" s="477" t="s">
        <v>758</v>
      </c>
      <c r="B843" s="37"/>
      <c r="C843" s="368"/>
      <c r="D843" s="368"/>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480"/>
      <c r="BU843" s="37"/>
      <c r="BV843" s="37"/>
      <c r="BW843" s="37"/>
      <c r="BX843" s="37"/>
      <c r="BY843" s="37"/>
      <c r="BZ843" s="37"/>
      <c r="CA843" s="37"/>
      <c r="CB843" s="37"/>
      <c r="CC843" s="37"/>
      <c r="CD843" s="37"/>
      <c r="CE843" s="37"/>
      <c r="CF843" s="37"/>
      <c r="CG843" s="22"/>
    </row>
    <row r="844" spans="1:85" s="428" customFormat="1" x14ac:dyDescent="0.3">
      <c r="A844" s="477" t="s">
        <v>759</v>
      </c>
      <c r="B844" s="37"/>
      <c r="C844" s="368"/>
      <c r="D844" s="368"/>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480"/>
      <c r="BU844" s="37"/>
      <c r="BV844" s="37"/>
      <c r="BW844" s="37"/>
      <c r="BX844" s="37"/>
      <c r="BY844" s="37"/>
      <c r="BZ844" s="37"/>
      <c r="CA844" s="37"/>
      <c r="CB844" s="37"/>
      <c r="CC844" s="37"/>
      <c r="CD844" s="37"/>
      <c r="CE844" s="37"/>
      <c r="CF844" s="37"/>
      <c r="CG844" s="22"/>
    </row>
    <row r="845" spans="1:85" s="428" customFormat="1" x14ac:dyDescent="0.3">
      <c r="A845" s="477" t="s">
        <v>760</v>
      </c>
      <c r="B845" s="37"/>
      <c r="C845" s="368"/>
      <c r="D845" s="368"/>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480"/>
      <c r="BU845" s="37"/>
      <c r="BV845" s="37"/>
      <c r="BW845" s="37"/>
      <c r="BX845" s="37"/>
      <c r="BY845" s="37"/>
      <c r="BZ845" s="37"/>
      <c r="CA845" s="37"/>
      <c r="CB845" s="37"/>
      <c r="CC845" s="37"/>
      <c r="CD845" s="37"/>
      <c r="CE845" s="37"/>
      <c r="CF845" s="37"/>
      <c r="CG845" s="22"/>
    </row>
    <row r="846" spans="1:85" s="428" customFormat="1" x14ac:dyDescent="0.3">
      <c r="A846" s="373"/>
      <c r="B846" s="37"/>
      <c r="C846" s="368"/>
      <c r="D846" s="368"/>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480"/>
      <c r="BU846" s="37"/>
      <c r="BV846" s="37"/>
      <c r="BW846" s="37"/>
      <c r="BX846" s="37"/>
      <c r="BY846" s="37"/>
      <c r="BZ846" s="37"/>
      <c r="CA846" s="37"/>
      <c r="CB846" s="37"/>
      <c r="CC846" s="37"/>
      <c r="CD846" s="37"/>
      <c r="CE846" s="37"/>
      <c r="CF846" s="37"/>
      <c r="CG846" s="22"/>
    </row>
    <row r="847" spans="1:85" s="428" customFormat="1" x14ac:dyDescent="0.3">
      <c r="A847" s="374"/>
      <c r="B847" s="301"/>
      <c r="C847" s="375"/>
      <c r="D847" s="375"/>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c r="AA847" s="301"/>
      <c r="AB847" s="301"/>
      <c r="AC847" s="301"/>
      <c r="AD847" s="301"/>
      <c r="AE847" s="301"/>
      <c r="AF847" s="301"/>
      <c r="AG847" s="301"/>
      <c r="AH847" s="301"/>
      <c r="AI847" s="301"/>
      <c r="AJ847" s="301"/>
      <c r="AK847" s="301"/>
      <c r="AL847" s="301"/>
      <c r="AM847" s="301"/>
      <c r="AN847" s="301"/>
      <c r="AO847" s="301"/>
      <c r="AP847" s="301"/>
      <c r="AQ847" s="301"/>
      <c r="AR847" s="301"/>
      <c r="AS847" s="301"/>
      <c r="AT847" s="301"/>
      <c r="AU847" s="301"/>
      <c r="AV847" s="301"/>
      <c r="AW847" s="301"/>
      <c r="AX847" s="301"/>
      <c r="AY847" s="301"/>
      <c r="AZ847" s="301"/>
      <c r="BA847" s="301"/>
      <c r="BB847" s="301"/>
      <c r="BC847" s="301"/>
      <c r="BD847" s="301"/>
      <c r="BE847" s="301"/>
      <c r="BF847" s="301"/>
      <c r="BG847" s="301"/>
      <c r="BH847" s="301"/>
      <c r="BI847" s="301"/>
      <c r="BJ847" s="301"/>
      <c r="BK847" s="301"/>
      <c r="BL847" s="301"/>
      <c r="BM847" s="301"/>
      <c r="BN847" s="301"/>
      <c r="BO847" s="301"/>
      <c r="BP847" s="301"/>
      <c r="BQ847" s="301"/>
      <c r="BR847" s="301"/>
      <c r="BS847" s="301"/>
      <c r="BT847" s="381"/>
      <c r="BU847" s="301"/>
      <c r="BV847" s="301"/>
      <c r="BW847" s="301"/>
      <c r="BX847" s="301"/>
      <c r="BY847" s="301"/>
      <c r="BZ847" s="301"/>
      <c r="CA847" s="301"/>
      <c r="CB847" s="301"/>
      <c r="CC847" s="301"/>
      <c r="CD847" s="301"/>
      <c r="CE847" s="301"/>
      <c r="CF847" s="301"/>
      <c r="CG847" s="22"/>
    </row>
    <row r="848" spans="1:85" s="428" customFormat="1" x14ac:dyDescent="0.3">
      <c r="A848" s="497" t="s">
        <v>761</v>
      </c>
      <c r="B848" s="84"/>
      <c r="C848" s="493"/>
      <c r="D848" s="493"/>
      <c r="E848" s="84"/>
      <c r="F848" s="84"/>
      <c r="G848" s="84"/>
      <c r="H848" s="84"/>
      <c r="I848" s="84"/>
      <c r="J848" s="84"/>
      <c r="K848" s="84"/>
      <c r="L848" s="84"/>
      <c r="M848" s="84"/>
      <c r="N848" s="84"/>
      <c r="O848" s="84"/>
      <c r="P848" s="84"/>
      <c r="Q848" s="84"/>
      <c r="R848" s="84"/>
      <c r="S848" s="84"/>
      <c r="T848" s="84"/>
      <c r="U848" s="84"/>
      <c r="V848" s="84"/>
      <c r="W848" s="84"/>
      <c r="X848" s="84"/>
      <c r="Y848" s="84"/>
      <c r="Z848" s="84"/>
      <c r="AA848" s="84"/>
      <c r="AB848" s="84"/>
      <c r="AC848" s="84"/>
      <c r="AD848" s="84"/>
      <c r="AE848" s="84"/>
      <c r="AF848" s="84"/>
      <c r="AG848" s="84"/>
      <c r="AH848" s="84"/>
      <c r="AI848" s="84"/>
      <c r="AJ848" s="84"/>
      <c r="AK848" s="84"/>
      <c r="AL848" s="84"/>
      <c r="AM848" s="84"/>
      <c r="AN848" s="84"/>
      <c r="AO848" s="84"/>
      <c r="AP848" s="84"/>
      <c r="AQ848" s="84"/>
      <c r="AR848" s="84"/>
      <c r="AS848" s="84"/>
      <c r="AT848" s="84"/>
      <c r="AU848" s="84"/>
      <c r="AV848" s="84"/>
      <c r="AW848" s="84"/>
      <c r="AX848" s="84"/>
      <c r="AY848" s="84"/>
      <c r="AZ848" s="84"/>
      <c r="BA848" s="84"/>
      <c r="BB848" s="84"/>
      <c r="BC848" s="84"/>
      <c r="BD848" s="84"/>
      <c r="BE848" s="84"/>
      <c r="BF848" s="84"/>
      <c r="BG848" s="84"/>
      <c r="BH848" s="84"/>
      <c r="BI848" s="84"/>
      <c r="BJ848" s="84"/>
      <c r="BK848" s="84"/>
      <c r="BL848" s="84"/>
      <c r="BM848" s="84"/>
      <c r="BN848" s="84"/>
      <c r="BO848" s="84"/>
      <c r="BP848" s="84"/>
      <c r="BQ848" s="84"/>
      <c r="BR848" s="84"/>
      <c r="BS848" s="84"/>
      <c r="BT848" s="479"/>
      <c r="BU848" s="84"/>
      <c r="BV848" s="84"/>
      <c r="BW848" s="84"/>
      <c r="BX848" s="84"/>
      <c r="BY848" s="84"/>
      <c r="BZ848" s="84"/>
      <c r="CA848" s="84"/>
      <c r="CB848" s="84"/>
      <c r="CC848" s="84"/>
      <c r="CD848" s="84"/>
      <c r="CE848" s="84"/>
      <c r="CF848" s="494"/>
      <c r="CG848" s="22"/>
    </row>
    <row r="849" spans="1:85" s="428" customFormat="1" x14ac:dyDescent="0.3">
      <c r="A849" s="498" t="s">
        <v>762</v>
      </c>
      <c r="B849" s="37"/>
      <c r="C849" s="500"/>
      <c r="D849" s="500"/>
      <c r="E849" s="501"/>
      <c r="F849" s="501"/>
      <c r="G849" s="501"/>
      <c r="H849" s="501"/>
      <c r="I849" s="501"/>
      <c r="J849" s="501"/>
      <c r="K849" s="501"/>
      <c r="L849" s="501"/>
      <c r="M849" s="501"/>
      <c r="N849" s="501"/>
      <c r="O849" s="501"/>
      <c r="P849" s="501"/>
      <c r="Q849" s="501"/>
      <c r="R849" s="501"/>
      <c r="S849" s="501"/>
      <c r="T849" s="501"/>
      <c r="U849" s="501"/>
      <c r="V849" s="501"/>
      <c r="W849" s="501"/>
      <c r="X849" s="501"/>
      <c r="Y849" s="501"/>
      <c r="Z849" s="501"/>
      <c r="AA849" s="501"/>
      <c r="AB849" s="501"/>
      <c r="AC849" s="802">
        <v>43075</v>
      </c>
      <c r="AD849" s="501"/>
      <c r="AE849" s="501"/>
      <c r="AF849" s="501"/>
      <c r="AG849" s="501"/>
      <c r="AH849" s="501"/>
      <c r="AI849" s="802">
        <v>43497</v>
      </c>
      <c r="AJ849" s="802">
        <v>43497</v>
      </c>
      <c r="AK849" s="501"/>
      <c r="AL849" s="501"/>
      <c r="AM849" s="802">
        <v>43770</v>
      </c>
      <c r="AN849" s="802">
        <v>43914</v>
      </c>
      <c r="AO849" s="802">
        <v>43914</v>
      </c>
      <c r="AP849" s="802">
        <v>43952</v>
      </c>
      <c r="AQ849" s="501"/>
      <c r="AR849" s="802">
        <v>44168</v>
      </c>
      <c r="AS849" s="802">
        <v>44225</v>
      </c>
      <c r="AT849" s="802">
        <v>44225</v>
      </c>
      <c r="AU849" s="802">
        <v>44316</v>
      </c>
      <c r="AV849" s="802">
        <v>44407</v>
      </c>
      <c r="AW849" s="802">
        <v>44498</v>
      </c>
      <c r="AX849" s="802">
        <v>44589</v>
      </c>
      <c r="AY849" s="802">
        <v>44589</v>
      </c>
      <c r="AZ849" s="802">
        <v>44680</v>
      </c>
      <c r="BA849" s="802">
        <v>44771</v>
      </c>
      <c r="BB849" s="802">
        <v>44862</v>
      </c>
      <c r="BC849" s="802">
        <v>44953</v>
      </c>
      <c r="BD849" s="802">
        <v>44953</v>
      </c>
      <c r="BE849" s="802">
        <v>45044</v>
      </c>
      <c r="BF849" s="802">
        <v>45135</v>
      </c>
      <c r="BG849" s="802">
        <v>45226</v>
      </c>
      <c r="BH849" s="802">
        <v>45324</v>
      </c>
      <c r="BI849" s="802">
        <v>45324</v>
      </c>
      <c r="BJ849" s="802">
        <v>45408</v>
      </c>
      <c r="BK849" s="802">
        <v>45506</v>
      </c>
      <c r="BL849" s="802">
        <v>45597</v>
      </c>
      <c r="BM849" s="802">
        <v>45688</v>
      </c>
      <c r="BN849" s="802">
        <v>45688</v>
      </c>
      <c r="BO849" s="802">
        <v>45779</v>
      </c>
      <c r="BP849" s="802">
        <v>45870</v>
      </c>
      <c r="BQ849" s="802">
        <v>45961</v>
      </c>
      <c r="BR849" s="802">
        <v>46052</v>
      </c>
      <c r="BS849" s="802">
        <v>46052</v>
      </c>
      <c r="BT849" s="803">
        <v>46143</v>
      </c>
      <c r="BU849" s="501"/>
      <c r="BV849" s="501"/>
      <c r="BW849" s="501"/>
      <c r="BX849" s="501"/>
      <c r="BY849" s="501"/>
      <c r="BZ849" s="501"/>
      <c r="CA849" s="501"/>
      <c r="CB849" s="501"/>
      <c r="CC849" s="501"/>
      <c r="CD849" s="501"/>
      <c r="CE849" s="501"/>
      <c r="CF849" s="503"/>
      <c r="CG849" s="22"/>
    </row>
    <row r="850" spans="1:85" s="428" customFormat="1" x14ac:dyDescent="0.3">
      <c r="A850" s="498" t="s">
        <v>763</v>
      </c>
      <c r="B850" s="37"/>
      <c r="C850" s="504"/>
      <c r="D850" s="504"/>
      <c r="E850" s="505"/>
      <c r="F850" s="505"/>
      <c r="G850" s="505"/>
      <c r="H850" s="505"/>
      <c r="I850" s="505"/>
      <c r="J850" s="505"/>
      <c r="K850" s="505"/>
      <c r="L850" s="505"/>
      <c r="M850" s="505"/>
      <c r="N850" s="505"/>
      <c r="O850" s="505"/>
      <c r="P850" s="505"/>
      <c r="Q850" s="505"/>
      <c r="R850" s="505"/>
      <c r="S850" s="505"/>
      <c r="T850" s="505"/>
      <c r="U850" s="505"/>
      <c r="V850" s="505"/>
      <c r="W850" s="505"/>
      <c r="X850" s="505"/>
      <c r="Y850" s="505"/>
      <c r="Z850" s="505"/>
      <c r="AA850" s="505"/>
      <c r="AB850" s="505"/>
      <c r="AC850" s="505" t="str">
        <f>AD$5</f>
        <v>Q4-2017</v>
      </c>
      <c r="AD850" s="505" t="str">
        <f>AF$5</f>
        <v>Q1-2018</v>
      </c>
      <c r="AE850" s="505" t="str">
        <f>AF$5</f>
        <v>Q1-2018</v>
      </c>
      <c r="AF850" s="505" t="str">
        <f>AG$5</f>
        <v>Q2-2018</v>
      </c>
      <c r="AG850" s="505" t="str">
        <f>AH$5</f>
        <v>Q3-2018</v>
      </c>
      <c r="AH850" s="505" t="str">
        <f>AI$5</f>
        <v>Q4-2018</v>
      </c>
      <c r="AI850" s="505" t="str">
        <f>AK$5</f>
        <v>Q1-2019</v>
      </c>
      <c r="AJ850" s="505" t="str">
        <f>AK$5</f>
        <v>Q1-2019</v>
      </c>
      <c r="AK850" s="505" t="str">
        <f>AL$5</f>
        <v>Q2-2019</v>
      </c>
      <c r="AL850" s="505" t="str">
        <f>AM$5</f>
        <v>Q3-2019</v>
      </c>
      <c r="AM850" s="505" t="str">
        <f>AN$5</f>
        <v>Q4-2019</v>
      </c>
      <c r="AN850" s="505" t="str">
        <f>AP$5</f>
        <v>Q1-2020</v>
      </c>
      <c r="AO850" s="505" t="str">
        <f>AP$5</f>
        <v>Q1-2020</v>
      </c>
      <c r="AP850" s="505" t="str">
        <f>AQ$5</f>
        <v>Q2-2020</v>
      </c>
      <c r="AQ850" s="505" t="str">
        <f>AR$5</f>
        <v>Q3-2020</v>
      </c>
      <c r="AR850" s="505" t="str">
        <f>AS$5</f>
        <v>Q4-2020</v>
      </c>
      <c r="AS850" s="505" t="str">
        <f>AU$5</f>
        <v>Q1-2021</v>
      </c>
      <c r="AT850" s="505" t="str">
        <f>AU$5</f>
        <v>Q1-2021</v>
      </c>
      <c r="AU850" s="505" t="str">
        <f>AV$5</f>
        <v>Q2-2021</v>
      </c>
      <c r="AV850" s="505" t="str">
        <f>AW$5</f>
        <v>Q3-2021</v>
      </c>
      <c r="AW850" s="505" t="str">
        <f>AX$5</f>
        <v>Q4-2021</v>
      </c>
      <c r="AX850" s="505" t="str">
        <f>AZ$5</f>
        <v>Q1-2022</v>
      </c>
      <c r="AY850" s="505" t="str">
        <f>AZ$5</f>
        <v>Q1-2022</v>
      </c>
      <c r="AZ850" s="505" t="str">
        <f>BA$5</f>
        <v>Q2-2022</v>
      </c>
      <c r="BA850" s="505" t="str">
        <f>BB$5</f>
        <v>Q3-2022</v>
      </c>
      <c r="BB850" s="505" t="str">
        <f>BC$5</f>
        <v>Q4-2022</v>
      </c>
      <c r="BC850" s="505" t="str">
        <f>BE$5</f>
        <v>Q1-2023</v>
      </c>
      <c r="BD850" s="505" t="str">
        <f>BE$5</f>
        <v>Q1-2023</v>
      </c>
      <c r="BE850" s="505" t="str">
        <f>BF$5</f>
        <v>Q2-2023</v>
      </c>
      <c r="BF850" s="505" t="str">
        <f>BG$5</f>
        <v>Q3-2023</v>
      </c>
      <c r="BG850" s="505" t="str">
        <f>BH$5</f>
        <v>Q4-2023</v>
      </c>
      <c r="BH850" s="505" t="str">
        <f>BJ$5</f>
        <v>Q1-2024</v>
      </c>
      <c r="BI850" s="505" t="str">
        <f>BJ$5</f>
        <v>Q1-2024</v>
      </c>
      <c r="BJ850" s="505" t="str">
        <f>BK$5</f>
        <v>Q2-2024</v>
      </c>
      <c r="BK850" s="505" t="str">
        <f>BL$5</f>
        <v>Q3-2024</v>
      </c>
      <c r="BL850" s="505" t="str">
        <f>BM$5</f>
        <v>Q4-2024</v>
      </c>
      <c r="BM850" s="505" t="str">
        <f>BO$5</f>
        <v>Q1-2025</v>
      </c>
      <c r="BN850" s="505" t="str">
        <f>BO$5</f>
        <v>Q1-2025</v>
      </c>
      <c r="BO850" s="505" t="str">
        <f>BP$5</f>
        <v>Q2-2025</v>
      </c>
      <c r="BP850" s="505" t="str">
        <f>BQ$5</f>
        <v>Q3-2025</v>
      </c>
      <c r="BQ850" s="505" t="str">
        <f>BR$5</f>
        <v>Q4-2025</v>
      </c>
      <c r="BR850" s="505" t="str">
        <f>BT$5</f>
        <v>Q1-2026</v>
      </c>
      <c r="BS850" s="505" t="str">
        <f>BT$5</f>
        <v>Q1-2026</v>
      </c>
      <c r="BT850" s="506" t="str">
        <f>BU$5</f>
        <v>Q2-2026</v>
      </c>
      <c r="BU850" s="505"/>
      <c r="BV850" s="505"/>
      <c r="BW850" s="505"/>
      <c r="BX850" s="505"/>
      <c r="BY850" s="505"/>
      <c r="BZ850" s="505"/>
      <c r="CA850" s="505"/>
      <c r="CB850" s="505"/>
      <c r="CC850" s="505"/>
      <c r="CD850" s="505"/>
      <c r="CE850" s="505"/>
      <c r="CF850" s="507"/>
      <c r="CG850" s="22"/>
    </row>
    <row r="851" spans="1:85" s="428" customFormat="1" x14ac:dyDescent="0.3">
      <c r="A851" s="499"/>
      <c r="B851" s="56"/>
      <c r="C851" s="495"/>
      <c r="D851" s="495"/>
      <c r="E851" s="56"/>
      <c r="F851" s="56"/>
      <c r="G851" s="56"/>
      <c r="H851" s="56"/>
      <c r="I851" s="56"/>
      <c r="J851" s="56"/>
      <c r="K851" s="56"/>
      <c r="L851" s="56"/>
      <c r="M851" s="56"/>
      <c r="N851" s="56"/>
      <c r="O851" s="56"/>
      <c r="P851" s="56"/>
      <c r="Q851" s="56"/>
      <c r="R851" s="56"/>
      <c r="S851" s="56"/>
      <c r="T851" s="56"/>
      <c r="U851" s="56"/>
      <c r="V851" s="56"/>
      <c r="W851" s="56"/>
      <c r="X851" s="56"/>
      <c r="Y851" s="56"/>
      <c r="Z851" s="56"/>
      <c r="AA851" s="56"/>
      <c r="AB851" s="56"/>
      <c r="AC851" s="56"/>
      <c r="AD851" s="56"/>
      <c r="AE851" s="56"/>
      <c r="AF851" s="56"/>
      <c r="AG851" s="56"/>
      <c r="AH851" s="56"/>
      <c r="AI851" s="56"/>
      <c r="AJ851" s="56"/>
      <c r="AK851" s="56"/>
      <c r="AL851" s="56"/>
      <c r="AM851" s="56"/>
      <c r="AN851" s="56"/>
      <c r="AO851" s="56"/>
      <c r="AP851" s="56"/>
      <c r="AQ851" s="56"/>
      <c r="AR851" s="56"/>
      <c r="AS851" s="56"/>
      <c r="AT851" s="56"/>
      <c r="AU851" s="56"/>
      <c r="AV851" s="56"/>
      <c r="AW851" s="56"/>
      <c r="AX851" s="56"/>
      <c r="AY851" s="56"/>
      <c r="AZ851" s="56"/>
      <c r="BA851" s="56"/>
      <c r="BB851" s="56"/>
      <c r="BC851" s="56"/>
      <c r="BD851" s="56"/>
      <c r="BE851" s="56"/>
      <c r="BF851" s="56"/>
      <c r="BG851" s="56"/>
      <c r="BH851" s="56"/>
      <c r="BI851" s="56"/>
      <c r="BJ851" s="56"/>
      <c r="BK851" s="56"/>
      <c r="BL851" s="56"/>
      <c r="BM851" s="56"/>
      <c r="BN851" s="56"/>
      <c r="BO851" s="56"/>
      <c r="BP851" s="56"/>
      <c r="BQ851" s="56"/>
      <c r="BR851" s="56"/>
      <c r="BS851" s="56"/>
      <c r="BT851" s="478"/>
      <c r="BU851" s="56"/>
      <c r="BV851" s="56"/>
      <c r="BW851" s="56"/>
      <c r="BX851" s="56"/>
      <c r="BY851" s="56"/>
      <c r="BZ851" s="56"/>
      <c r="CA851" s="56"/>
      <c r="CB851" s="56"/>
      <c r="CC851" s="56"/>
      <c r="CD851" s="56"/>
      <c r="CE851" s="56"/>
      <c r="CF851" s="496"/>
      <c r="CG851" s="22"/>
    </row>
    <row r="852" spans="1:85" s="428" customFormat="1" x14ac:dyDescent="0.3">
      <c r="A852" s="374"/>
      <c r="B852" s="301"/>
      <c r="C852" s="375"/>
      <c r="D852" s="375"/>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c r="AA852" s="301"/>
      <c r="AB852" s="301"/>
      <c r="AC852" s="301"/>
      <c r="AD852" s="301"/>
      <c r="AE852" s="301"/>
      <c r="AF852" s="301"/>
      <c r="AG852" s="301"/>
      <c r="AH852" s="301"/>
      <c r="AI852" s="301"/>
      <c r="AJ852" s="301"/>
      <c r="AK852" s="301"/>
      <c r="AL852" s="301"/>
      <c r="AM852" s="301"/>
      <c r="AN852" s="301"/>
      <c r="AO852" s="301"/>
      <c r="AP852" s="301"/>
      <c r="AQ852" s="301"/>
      <c r="AR852" s="301"/>
      <c r="AS852" s="301"/>
      <c r="AT852" s="301"/>
      <c r="AU852" s="301"/>
      <c r="AV852" s="301"/>
      <c r="AW852" s="301"/>
      <c r="AX852" s="301"/>
      <c r="AY852" s="301"/>
      <c r="AZ852" s="301"/>
      <c r="BA852" s="301"/>
      <c r="BB852" s="301"/>
      <c r="BC852" s="301"/>
      <c r="BD852" s="301"/>
      <c r="BE852" s="301"/>
      <c r="BF852" s="301"/>
      <c r="BG852" s="301"/>
      <c r="BH852" s="301"/>
      <c r="BI852" s="301"/>
      <c r="BJ852" s="301"/>
      <c r="BK852" s="301"/>
      <c r="BL852" s="301"/>
      <c r="BM852" s="301"/>
      <c r="BN852" s="301"/>
      <c r="BO852" s="301"/>
      <c r="BP852" s="301"/>
      <c r="BQ852" s="301"/>
      <c r="BR852" s="301"/>
      <c r="BS852" s="301"/>
      <c r="BT852" s="381"/>
      <c r="BU852" s="301"/>
      <c r="BV852" s="301"/>
      <c r="BW852" s="301"/>
      <c r="BX852" s="301"/>
      <c r="BY852" s="301"/>
      <c r="BZ852" s="301"/>
      <c r="CA852" s="301"/>
      <c r="CB852" s="301"/>
      <c r="CC852" s="301"/>
      <c r="CD852" s="301"/>
      <c r="CE852" s="301"/>
      <c r="CF852" s="301"/>
      <c r="CG852" s="22"/>
    </row>
    <row r="853" spans="1:85" s="428" customFormat="1" x14ac:dyDescent="0.3">
      <c r="A853" s="497" t="s">
        <v>764</v>
      </c>
      <c r="B853" s="84"/>
      <c r="C853" s="493"/>
      <c r="D853" s="493"/>
      <c r="E853" s="84"/>
      <c r="F853" s="84"/>
      <c r="G853" s="84"/>
      <c r="H853" s="84"/>
      <c r="I853" s="84"/>
      <c r="J853" s="84"/>
      <c r="K853" s="84"/>
      <c r="L853" s="84"/>
      <c r="M853" s="84"/>
      <c r="N853" s="84"/>
      <c r="O853" s="84"/>
      <c r="P853" s="84"/>
      <c r="Q853" s="84"/>
      <c r="R853" s="84"/>
      <c r="S853" s="84"/>
      <c r="T853" s="84"/>
      <c r="U853" s="84"/>
      <c r="V853" s="84"/>
      <c r="W853" s="84"/>
      <c r="X853" s="84"/>
      <c r="Y853" s="84"/>
      <c r="Z853" s="84"/>
      <c r="AA853" s="84"/>
      <c r="AB853" s="84"/>
      <c r="AC853" s="84"/>
      <c r="AD853" s="84"/>
      <c r="AE853" s="84"/>
      <c r="AF853" s="84"/>
      <c r="AG853" s="84"/>
      <c r="AH853" s="84"/>
      <c r="AI853" s="84"/>
      <c r="AJ853" s="84"/>
      <c r="AK853" s="84"/>
      <c r="AL853" s="84"/>
      <c r="AM853" s="84"/>
      <c r="AN853" s="84"/>
      <c r="AO853" s="84"/>
      <c r="AP853" s="84"/>
      <c r="AQ853" s="84"/>
      <c r="AR853" s="84"/>
      <c r="AS853" s="84"/>
      <c r="AT853" s="84"/>
      <c r="AU853" s="84"/>
      <c r="AV853" s="84"/>
      <c r="AW853" s="84"/>
      <c r="AX853" s="84"/>
      <c r="AY853" s="84"/>
      <c r="AZ853" s="84"/>
      <c r="BA853" s="84"/>
      <c r="BB853" s="84"/>
      <c r="BC853" s="84"/>
      <c r="BD853" s="84"/>
      <c r="BE853" s="84"/>
      <c r="BF853" s="84"/>
      <c r="BG853" s="84"/>
      <c r="BH853" s="84"/>
      <c r="BI853" s="84"/>
      <c r="BJ853" s="84"/>
      <c r="BK853" s="84"/>
      <c r="BL853" s="84"/>
      <c r="BM853" s="84"/>
      <c r="BN853" s="84"/>
      <c r="BO853" s="84"/>
      <c r="BP853" s="84"/>
      <c r="BQ853" s="84"/>
      <c r="BR853" s="84"/>
      <c r="BS853" s="84"/>
      <c r="BT853" s="479"/>
      <c r="BU853" s="84"/>
      <c r="BV853" s="84"/>
      <c r="BW853" s="84"/>
      <c r="BX853" s="84"/>
      <c r="BY853" s="84"/>
      <c r="BZ853" s="84"/>
      <c r="CA853" s="84"/>
      <c r="CB853" s="84"/>
      <c r="CC853" s="84"/>
      <c r="CD853" s="84"/>
      <c r="CE853" s="84"/>
      <c r="CF853" s="494"/>
      <c r="CG853" s="22"/>
    </row>
    <row r="854" spans="1:85" s="428" customFormat="1" x14ac:dyDescent="0.3">
      <c r="A854" s="498" t="s">
        <v>762</v>
      </c>
      <c r="B854" s="37"/>
      <c r="C854" s="500"/>
      <c r="D854" s="500"/>
      <c r="E854" s="501"/>
      <c r="F854" s="501"/>
      <c r="G854" s="501"/>
      <c r="H854" s="501"/>
      <c r="I854" s="501"/>
      <c r="J854" s="501"/>
      <c r="K854" s="501"/>
      <c r="L854" s="501"/>
      <c r="M854" s="501"/>
      <c r="N854" s="501"/>
      <c r="O854" s="501"/>
      <c r="P854" s="501"/>
      <c r="Q854" s="501"/>
      <c r="R854" s="501"/>
      <c r="S854" s="501"/>
      <c r="T854" s="501"/>
      <c r="U854" s="501"/>
      <c r="V854" s="501"/>
      <c r="W854" s="501"/>
      <c r="X854" s="501"/>
      <c r="Y854" s="501"/>
      <c r="Z854" s="501"/>
      <c r="AA854" s="501"/>
      <c r="AB854" s="501"/>
      <c r="AC854" s="501">
        <f>AC849</f>
        <v>43075</v>
      </c>
      <c r="AD854" s="501"/>
      <c r="AE854" s="501"/>
      <c r="AF854" s="501"/>
      <c r="AG854" s="501"/>
      <c r="AH854" s="501"/>
      <c r="AI854" s="501">
        <f>AI849</f>
        <v>43497</v>
      </c>
      <c r="AJ854" s="501">
        <f>AJ849</f>
        <v>43497</v>
      </c>
      <c r="AK854" s="501"/>
      <c r="AL854" s="501"/>
      <c r="AM854" s="501">
        <f>AM849</f>
        <v>43770</v>
      </c>
      <c r="AN854" s="501">
        <f>AN849</f>
        <v>43914</v>
      </c>
      <c r="AO854" s="501">
        <f>AO849</f>
        <v>43914</v>
      </c>
      <c r="AP854" s="501">
        <f>AP849</f>
        <v>43952</v>
      </c>
      <c r="AQ854" s="501"/>
      <c r="AR854" s="501">
        <f t="shared" ref="AR854:BG854" si="1859">AR849</f>
        <v>44168</v>
      </c>
      <c r="AS854" s="501">
        <f t="shared" si="1859"/>
        <v>44225</v>
      </c>
      <c r="AT854" s="501">
        <f t="shared" si="1859"/>
        <v>44225</v>
      </c>
      <c r="AU854" s="501">
        <f t="shared" si="1859"/>
        <v>44316</v>
      </c>
      <c r="AV854" s="501">
        <f t="shared" si="1859"/>
        <v>44407</v>
      </c>
      <c r="AW854" s="501">
        <f t="shared" si="1859"/>
        <v>44498</v>
      </c>
      <c r="AX854" s="501">
        <f t="shared" si="1859"/>
        <v>44589</v>
      </c>
      <c r="AY854" s="501">
        <f t="shared" si="1859"/>
        <v>44589</v>
      </c>
      <c r="AZ854" s="501">
        <f t="shared" si="1859"/>
        <v>44680</v>
      </c>
      <c r="BA854" s="501">
        <f t="shared" si="1859"/>
        <v>44771</v>
      </c>
      <c r="BB854" s="501">
        <f t="shared" si="1859"/>
        <v>44862</v>
      </c>
      <c r="BC854" s="501">
        <f t="shared" si="1859"/>
        <v>44953</v>
      </c>
      <c r="BD854" s="501">
        <f t="shared" si="1859"/>
        <v>44953</v>
      </c>
      <c r="BE854" s="501">
        <f t="shared" si="1859"/>
        <v>45044</v>
      </c>
      <c r="BF854" s="501">
        <f t="shared" si="1859"/>
        <v>45135</v>
      </c>
      <c r="BG854" s="501">
        <f t="shared" si="1859"/>
        <v>45226</v>
      </c>
      <c r="BH854" s="501">
        <f t="shared" ref="BH854:BN854" si="1860">BH849</f>
        <v>45324</v>
      </c>
      <c r="BI854" s="501">
        <f t="shared" si="1860"/>
        <v>45324</v>
      </c>
      <c r="BJ854" s="501">
        <f t="shared" si="1860"/>
        <v>45408</v>
      </c>
      <c r="BK854" s="501">
        <f t="shared" si="1860"/>
        <v>45506</v>
      </c>
      <c r="BL854" s="501">
        <f t="shared" si="1860"/>
        <v>45597</v>
      </c>
      <c r="BM854" s="501">
        <f t="shared" si="1860"/>
        <v>45688</v>
      </c>
      <c r="BN854" s="501">
        <f t="shared" si="1860"/>
        <v>45688</v>
      </c>
      <c r="BO854" s="501">
        <f t="shared" ref="BO854:BT854" si="1861">BO849</f>
        <v>45779</v>
      </c>
      <c r="BP854" s="501">
        <f t="shared" si="1861"/>
        <v>45870</v>
      </c>
      <c r="BQ854" s="501">
        <f t="shared" si="1861"/>
        <v>45961</v>
      </c>
      <c r="BR854" s="501">
        <f t="shared" si="1861"/>
        <v>46052</v>
      </c>
      <c r="BS854" s="501">
        <f t="shared" si="1861"/>
        <v>46052</v>
      </c>
      <c r="BT854" s="502">
        <f t="shared" si="1861"/>
        <v>46143</v>
      </c>
      <c r="BU854" s="501"/>
      <c r="BV854" s="501"/>
      <c r="BW854" s="501"/>
      <c r="BX854" s="501"/>
      <c r="BY854" s="501"/>
      <c r="BZ854" s="501"/>
      <c r="CA854" s="501"/>
      <c r="CB854" s="501"/>
      <c r="CC854" s="501"/>
      <c r="CD854" s="501"/>
      <c r="CE854" s="501"/>
      <c r="CF854" s="503"/>
      <c r="CG854" s="22"/>
    </row>
    <row r="855" spans="1:85" s="428" customFormat="1" x14ac:dyDescent="0.3">
      <c r="A855" s="498" t="s">
        <v>765</v>
      </c>
      <c r="B855" s="37"/>
      <c r="C855" s="504"/>
      <c r="D855" s="504"/>
      <c r="E855" s="505"/>
      <c r="F855" s="505"/>
      <c r="G855" s="505"/>
      <c r="H855" s="505"/>
      <c r="I855" s="505"/>
      <c r="J855" s="505"/>
      <c r="K855" s="505"/>
      <c r="L855" s="505"/>
      <c r="M855" s="505"/>
      <c r="N855" s="505"/>
      <c r="O855" s="505"/>
      <c r="P855" s="505"/>
      <c r="Q855" s="505"/>
      <c r="R855" s="505"/>
      <c r="S855" s="505"/>
      <c r="T855" s="505"/>
      <c r="U855" s="505"/>
      <c r="V855" s="505"/>
      <c r="W855" s="505"/>
      <c r="X855" s="505"/>
      <c r="Y855" s="505"/>
      <c r="Z855" s="505"/>
      <c r="AA855" s="505"/>
      <c r="AB855" s="505"/>
      <c r="AC855" s="505" t="str">
        <f t="shared" ref="AC855:BG855" si="1862">IF(AC856=AD856,"",AC856)</f>
        <v>FY2017</v>
      </c>
      <c r="AD855" s="505" t="str">
        <f t="shared" si="1862"/>
        <v/>
      </c>
      <c r="AE855" s="505" t="str">
        <f t="shared" si="1862"/>
        <v/>
      </c>
      <c r="AF855" s="505" t="str">
        <f t="shared" si="1862"/>
        <v/>
      </c>
      <c r="AG855" s="505" t="str">
        <f t="shared" si="1862"/>
        <v/>
      </c>
      <c r="AH855" s="505" t="str">
        <f t="shared" si="1862"/>
        <v>FY2018</v>
      </c>
      <c r="AI855" s="505" t="str">
        <f t="shared" si="1862"/>
        <v/>
      </c>
      <c r="AJ855" s="505" t="str">
        <f t="shared" si="1862"/>
        <v/>
      </c>
      <c r="AK855" s="505" t="str">
        <f t="shared" si="1862"/>
        <v/>
      </c>
      <c r="AL855" s="505" t="str">
        <f t="shared" si="1862"/>
        <v/>
      </c>
      <c r="AM855" s="505" t="str">
        <f t="shared" si="1862"/>
        <v>FY2019</v>
      </c>
      <c r="AN855" s="505" t="str">
        <f t="shared" si="1862"/>
        <v/>
      </c>
      <c r="AO855" s="505" t="str">
        <f t="shared" si="1862"/>
        <v/>
      </c>
      <c r="AP855" s="505" t="str">
        <f t="shared" si="1862"/>
        <v/>
      </c>
      <c r="AQ855" s="505" t="str">
        <f t="shared" si="1862"/>
        <v/>
      </c>
      <c r="AR855" s="505" t="str">
        <f t="shared" si="1862"/>
        <v>FY2020</v>
      </c>
      <c r="AS855" s="505" t="str">
        <f t="shared" si="1862"/>
        <v/>
      </c>
      <c r="AT855" s="505" t="str">
        <f t="shared" si="1862"/>
        <v/>
      </c>
      <c r="AU855" s="505" t="str">
        <f t="shared" si="1862"/>
        <v/>
      </c>
      <c r="AV855" s="505" t="str">
        <f t="shared" si="1862"/>
        <v/>
      </c>
      <c r="AW855" s="505" t="str">
        <f t="shared" si="1862"/>
        <v>FY2021</v>
      </c>
      <c r="AX855" s="505" t="str">
        <f t="shared" si="1862"/>
        <v/>
      </c>
      <c r="AY855" s="505" t="str">
        <f t="shared" si="1862"/>
        <v/>
      </c>
      <c r="AZ855" s="505" t="str">
        <f t="shared" si="1862"/>
        <v/>
      </c>
      <c r="BA855" s="505" t="str">
        <f t="shared" si="1862"/>
        <v/>
      </c>
      <c r="BB855" s="505" t="str">
        <f t="shared" si="1862"/>
        <v>FY2022</v>
      </c>
      <c r="BC855" s="505" t="str">
        <f t="shared" si="1862"/>
        <v/>
      </c>
      <c r="BD855" s="505" t="str">
        <f t="shared" si="1862"/>
        <v/>
      </c>
      <c r="BE855" s="505" t="str">
        <f t="shared" si="1862"/>
        <v/>
      </c>
      <c r="BF855" s="505" t="str">
        <f t="shared" si="1862"/>
        <v/>
      </c>
      <c r="BG855" s="505" t="str">
        <f t="shared" si="1862"/>
        <v>FY2023</v>
      </c>
      <c r="BH855" s="505" t="str">
        <f t="shared" ref="BH855:BN855" si="1863">IF(BH856=BI856,"",BH856)</f>
        <v/>
      </c>
      <c r="BI855" s="505" t="str">
        <f t="shared" si="1863"/>
        <v/>
      </c>
      <c r="BJ855" s="505" t="str">
        <f t="shared" si="1863"/>
        <v/>
      </c>
      <c r="BK855" s="505" t="str">
        <f t="shared" si="1863"/>
        <v/>
      </c>
      <c r="BL855" s="505" t="str">
        <f t="shared" si="1863"/>
        <v>FY2024</v>
      </c>
      <c r="BM855" s="505" t="str">
        <f t="shared" si="1863"/>
        <v/>
      </c>
      <c r="BN855" s="505" t="str">
        <f t="shared" si="1863"/>
        <v/>
      </c>
      <c r="BO855" s="505" t="str">
        <f t="shared" ref="BO855:BT855" si="1864">IF(BO856=BP856,"",BO856)</f>
        <v/>
      </c>
      <c r="BP855" s="505" t="str">
        <f t="shared" si="1864"/>
        <v/>
      </c>
      <c r="BQ855" s="505" t="str">
        <f t="shared" si="1864"/>
        <v>FY2025</v>
      </c>
      <c r="BR855" s="505" t="str">
        <f t="shared" si="1864"/>
        <v/>
      </c>
      <c r="BS855" s="505" t="str">
        <f t="shared" si="1864"/>
        <v/>
      </c>
      <c r="BT855" s="506" t="str">
        <f t="shared" si="1864"/>
        <v>FY2026</v>
      </c>
      <c r="BU855" s="505"/>
      <c r="BV855" s="505"/>
      <c r="BW855" s="505"/>
      <c r="BX855" s="505"/>
      <c r="BY855" s="505"/>
      <c r="BZ855" s="505"/>
      <c r="CA855" s="505"/>
      <c r="CB855" s="505"/>
      <c r="CC855" s="505"/>
      <c r="CD855" s="505"/>
      <c r="CE855" s="505"/>
      <c r="CF855" s="507"/>
      <c r="CG855" s="22"/>
    </row>
    <row r="856" spans="1:85" s="428" customFormat="1" x14ac:dyDescent="0.3">
      <c r="A856" s="498" t="s">
        <v>763</v>
      </c>
      <c r="B856" s="37"/>
      <c r="C856" s="504"/>
      <c r="D856" s="504"/>
      <c r="E856" s="505"/>
      <c r="F856" s="505"/>
      <c r="G856" s="505"/>
      <c r="H856" s="505"/>
      <c r="I856" s="505"/>
      <c r="J856" s="505"/>
      <c r="K856" s="505"/>
      <c r="L856" s="505"/>
      <c r="M856" s="505"/>
      <c r="N856" s="505"/>
      <c r="O856" s="505"/>
      <c r="P856" s="505"/>
      <c r="Q856" s="505"/>
      <c r="R856" s="505"/>
      <c r="S856" s="505"/>
      <c r="T856" s="505"/>
      <c r="U856" s="505"/>
      <c r="V856" s="505"/>
      <c r="W856" s="505"/>
      <c r="X856" s="505"/>
      <c r="Y856" s="505"/>
      <c r="Z856" s="505"/>
      <c r="AA856" s="505"/>
      <c r="AB856" s="505"/>
      <c r="AC856" s="505" t="str">
        <f>AE$5</f>
        <v>FY2017</v>
      </c>
      <c r="AD856" s="505" t="str">
        <f>AJ$5</f>
        <v>FY2018</v>
      </c>
      <c r="AE856" s="505" t="str">
        <f>AJ$5</f>
        <v>FY2018</v>
      </c>
      <c r="AF856" s="505" t="str">
        <f>AJ$5</f>
        <v>FY2018</v>
      </c>
      <c r="AG856" s="505" t="str">
        <f>AJ$5</f>
        <v>FY2018</v>
      </c>
      <c r="AH856" s="505" t="str">
        <f>AJ$5</f>
        <v>FY2018</v>
      </c>
      <c r="AI856" s="505" t="str">
        <f>AO$5</f>
        <v>FY2019</v>
      </c>
      <c r="AJ856" s="505" t="str">
        <f>AO$5</f>
        <v>FY2019</v>
      </c>
      <c r="AK856" s="505" t="str">
        <f>AO$5</f>
        <v>FY2019</v>
      </c>
      <c r="AL856" s="505" t="str">
        <f>AO$5</f>
        <v>FY2019</v>
      </c>
      <c r="AM856" s="505" t="str">
        <f>AO$5</f>
        <v>FY2019</v>
      </c>
      <c r="AN856" s="505" t="str">
        <f>AT$5</f>
        <v>FY2020</v>
      </c>
      <c r="AO856" s="505" t="str">
        <f>AT$5</f>
        <v>FY2020</v>
      </c>
      <c r="AP856" s="505" t="str">
        <f>AT$5</f>
        <v>FY2020</v>
      </c>
      <c r="AQ856" s="505" t="str">
        <f>AT$5</f>
        <v>FY2020</v>
      </c>
      <c r="AR856" s="505" t="str">
        <f>AT$5</f>
        <v>FY2020</v>
      </c>
      <c r="AS856" s="505" t="str">
        <f>AY$5</f>
        <v>FY2021</v>
      </c>
      <c r="AT856" s="505" t="str">
        <f>AY$5</f>
        <v>FY2021</v>
      </c>
      <c r="AU856" s="505" t="str">
        <f>AY$5</f>
        <v>FY2021</v>
      </c>
      <c r="AV856" s="505" t="str">
        <f>AY$5</f>
        <v>FY2021</v>
      </c>
      <c r="AW856" s="505" t="str">
        <f>AY$5</f>
        <v>FY2021</v>
      </c>
      <c r="AX856" s="505" t="str">
        <f>BD$5</f>
        <v>FY2022</v>
      </c>
      <c r="AY856" s="505" t="str">
        <f>BD$5</f>
        <v>FY2022</v>
      </c>
      <c r="AZ856" s="505" t="str">
        <f>BD$5</f>
        <v>FY2022</v>
      </c>
      <c r="BA856" s="505" t="str">
        <f>BD$5</f>
        <v>FY2022</v>
      </c>
      <c r="BB856" s="505" t="str">
        <f>BD$5</f>
        <v>FY2022</v>
      </c>
      <c r="BC856" s="505" t="str">
        <f>BI$5</f>
        <v>FY2023</v>
      </c>
      <c r="BD856" s="505" t="str">
        <f>BI$5</f>
        <v>FY2023</v>
      </c>
      <c r="BE856" s="505" t="str">
        <f>BI$5</f>
        <v>FY2023</v>
      </c>
      <c r="BF856" s="505" t="str">
        <f>BI$5</f>
        <v>FY2023</v>
      </c>
      <c r="BG856" s="505" t="str">
        <f>BI$5</f>
        <v>FY2023</v>
      </c>
      <c r="BH856" s="505" t="str">
        <f>BN$5</f>
        <v>FY2024</v>
      </c>
      <c r="BI856" s="505" t="str">
        <f>BN$5</f>
        <v>FY2024</v>
      </c>
      <c r="BJ856" s="505" t="str">
        <f>BN$5</f>
        <v>FY2024</v>
      </c>
      <c r="BK856" s="505" t="str">
        <f>BN$5</f>
        <v>FY2024</v>
      </c>
      <c r="BL856" s="505" t="str">
        <f>BN$5</f>
        <v>FY2024</v>
      </c>
      <c r="BM856" s="505" t="str">
        <f>BS$5</f>
        <v>FY2025</v>
      </c>
      <c r="BN856" s="505" t="str">
        <f>BS$5</f>
        <v>FY2025</v>
      </c>
      <c r="BO856" s="505" t="str">
        <f>BS$5</f>
        <v>FY2025</v>
      </c>
      <c r="BP856" s="505" t="str">
        <f>BS$5</f>
        <v>FY2025</v>
      </c>
      <c r="BQ856" s="505" t="str">
        <f>BS$5</f>
        <v>FY2025</v>
      </c>
      <c r="BR856" s="505" t="str">
        <f>BX$5</f>
        <v>FY2026</v>
      </c>
      <c r="BS856" s="505" t="str">
        <f>BX$5</f>
        <v>FY2026</v>
      </c>
      <c r="BT856" s="506" t="str">
        <f>BX$5</f>
        <v>FY2026</v>
      </c>
      <c r="BU856" s="505"/>
      <c r="BV856" s="505"/>
      <c r="BW856" s="505"/>
      <c r="BX856" s="505"/>
      <c r="BY856" s="505"/>
      <c r="BZ856" s="505"/>
      <c r="CA856" s="505"/>
      <c r="CB856" s="505"/>
      <c r="CC856" s="505"/>
      <c r="CD856" s="505"/>
      <c r="CE856" s="505"/>
      <c r="CF856" s="507"/>
      <c r="CG856" s="22"/>
    </row>
    <row r="857" spans="1:85" s="428" customFormat="1" x14ac:dyDescent="0.3">
      <c r="A857" s="499"/>
      <c r="B857" s="56"/>
      <c r="C857" s="495"/>
      <c r="D857" s="495"/>
      <c r="E857" s="56"/>
      <c r="F857" s="56"/>
      <c r="G857" s="56"/>
      <c r="H857" s="56"/>
      <c r="I857" s="56"/>
      <c r="J857" s="56"/>
      <c r="K857" s="56"/>
      <c r="L857" s="56"/>
      <c r="M857" s="56"/>
      <c r="N857" s="56"/>
      <c r="O857" s="56"/>
      <c r="P857" s="56"/>
      <c r="Q857" s="56"/>
      <c r="R857" s="56"/>
      <c r="S857" s="56"/>
      <c r="T857" s="56"/>
      <c r="U857" s="56"/>
      <c r="V857" s="56"/>
      <c r="W857" s="56"/>
      <c r="X857" s="56"/>
      <c r="Y857" s="56"/>
      <c r="Z857" s="56"/>
      <c r="AA857" s="56"/>
      <c r="AB857" s="56"/>
      <c r="AC857" s="56"/>
      <c r="AD857" s="56"/>
      <c r="AE857" s="56"/>
      <c r="AF857" s="56"/>
      <c r="AG857" s="56"/>
      <c r="AH857" s="56"/>
      <c r="AI857" s="56"/>
      <c r="AJ857" s="56"/>
      <c r="AK857" s="56"/>
      <c r="AL857" s="56"/>
      <c r="AM857" s="56"/>
      <c r="AN857" s="56"/>
      <c r="AO857" s="56"/>
      <c r="AP857" s="56"/>
      <c r="AQ857" s="56"/>
      <c r="AR857" s="56"/>
      <c r="AS857" s="56"/>
      <c r="AT857" s="56"/>
      <c r="AU857" s="56"/>
      <c r="AV857" s="56"/>
      <c r="AW857" s="56"/>
      <c r="AX857" s="56"/>
      <c r="AY857" s="56"/>
      <c r="AZ857" s="56"/>
      <c r="BA857" s="56"/>
      <c r="BB857" s="56"/>
      <c r="BC857" s="56"/>
      <c r="BD857" s="56"/>
      <c r="BE857" s="56"/>
      <c r="BF857" s="56"/>
      <c r="BG857" s="56"/>
      <c r="BH857" s="56"/>
      <c r="BI857" s="56"/>
      <c r="BJ857" s="56"/>
      <c r="BK857" s="56"/>
      <c r="BL857" s="56"/>
      <c r="BM857" s="56"/>
      <c r="BN857" s="56"/>
      <c r="BO857" s="56"/>
      <c r="BP857" s="56"/>
      <c r="BQ857" s="56"/>
      <c r="BR857" s="56"/>
      <c r="BS857" s="56"/>
      <c r="BT857" s="478"/>
      <c r="BU857" s="56"/>
      <c r="BV857" s="56"/>
      <c r="BW857" s="56"/>
      <c r="BX857" s="56"/>
      <c r="BY857" s="56"/>
      <c r="BZ857" s="56"/>
      <c r="CA857" s="56"/>
      <c r="CB857" s="56"/>
      <c r="CC857" s="56"/>
      <c r="CD857" s="56"/>
      <c r="CE857" s="56"/>
      <c r="CF857" s="496"/>
      <c r="CG857" s="22"/>
    </row>
    <row r="858" spans="1:85" s="428" customFormat="1" x14ac:dyDescent="0.3">
      <c r="A858" s="374"/>
      <c r="B858" s="301"/>
      <c r="C858" s="375"/>
      <c r="D858" s="375"/>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c r="AA858" s="301"/>
      <c r="AB858" s="301"/>
      <c r="AC858" s="301"/>
      <c r="AD858" s="301"/>
      <c r="AE858" s="301"/>
      <c r="AF858" s="301"/>
      <c r="AG858" s="301"/>
      <c r="AH858" s="301"/>
      <c r="AI858" s="301"/>
      <c r="AJ858" s="301"/>
      <c r="AK858" s="301"/>
      <c r="AL858" s="301"/>
      <c r="AM858" s="301"/>
      <c r="AN858" s="301"/>
      <c r="AO858" s="301"/>
      <c r="AP858" s="301"/>
      <c r="AQ858" s="301"/>
      <c r="AR858" s="301"/>
      <c r="AS858" s="301"/>
      <c r="AT858" s="301"/>
      <c r="AU858" s="301"/>
      <c r="AV858" s="301"/>
      <c r="AW858" s="301"/>
      <c r="AX858" s="301"/>
      <c r="AY858" s="301"/>
      <c r="AZ858" s="301"/>
      <c r="BA858" s="301"/>
      <c r="BB858" s="301"/>
      <c r="BC858" s="301"/>
      <c r="BD858" s="301"/>
      <c r="BE858" s="301"/>
      <c r="BF858" s="301"/>
      <c r="BG858" s="301"/>
      <c r="BH858" s="301"/>
      <c r="BI858" s="301"/>
      <c r="BJ858" s="301"/>
      <c r="BK858" s="301"/>
      <c r="BL858" s="301"/>
      <c r="BM858" s="301"/>
      <c r="BN858" s="301"/>
      <c r="BO858" s="301"/>
      <c r="BP858" s="301"/>
      <c r="BQ858" s="301"/>
      <c r="BR858" s="301"/>
      <c r="BS858" s="301"/>
      <c r="BT858" s="381"/>
      <c r="BU858" s="301"/>
      <c r="BV858" s="301"/>
      <c r="BW858" s="301"/>
      <c r="BX858" s="301"/>
      <c r="BY858" s="301"/>
      <c r="BZ858" s="301"/>
      <c r="CA858" s="301"/>
      <c r="CB858" s="301"/>
      <c r="CC858" s="301"/>
      <c r="CD858" s="301"/>
      <c r="CE858" s="301"/>
      <c r="CF858" s="301"/>
      <c r="CG858" s="22"/>
    </row>
    <row r="859" spans="1:85" s="427" customFormat="1" x14ac:dyDescent="0.3">
      <c r="A859" s="752" t="s">
        <v>368</v>
      </c>
      <c r="B859" s="736"/>
      <c r="C859" s="736"/>
      <c r="D859" s="736"/>
      <c r="E859" s="736"/>
      <c r="F859" s="736"/>
      <c r="G859" s="736"/>
      <c r="H859" s="736"/>
      <c r="I859" s="736"/>
      <c r="J859" s="736"/>
      <c r="K859" s="736"/>
      <c r="L859" s="736"/>
      <c r="M859" s="736"/>
      <c r="N859" s="736"/>
      <c r="O859" s="736"/>
      <c r="P859" s="736"/>
      <c r="Q859" s="736"/>
      <c r="R859" s="736"/>
      <c r="S859" s="736"/>
      <c r="T859" s="736"/>
      <c r="U859" s="736"/>
      <c r="V859" s="736"/>
      <c r="W859" s="736"/>
      <c r="X859" s="736"/>
      <c r="Y859" s="736"/>
      <c r="Z859" s="736"/>
      <c r="AA859" s="736"/>
      <c r="AB859" s="736"/>
      <c r="AC859" s="736"/>
      <c r="AD859" s="736"/>
      <c r="AE859" s="736"/>
      <c r="AF859" s="736"/>
      <c r="AG859" s="736"/>
      <c r="AH859" s="736"/>
      <c r="AI859" s="736"/>
      <c r="AJ859" s="736"/>
      <c r="AK859" s="736"/>
      <c r="AL859" s="736"/>
      <c r="AM859" s="736"/>
      <c r="AN859" s="736"/>
      <c r="AO859" s="736"/>
      <c r="AP859" s="736"/>
      <c r="AQ859" s="736"/>
      <c r="AR859" s="736"/>
      <c r="AS859" s="736"/>
      <c r="AT859" s="736"/>
      <c r="AU859" s="736"/>
      <c r="AV859" s="736"/>
      <c r="AW859" s="736"/>
      <c r="AX859" s="736"/>
      <c r="AY859" s="736"/>
      <c r="AZ859" s="736"/>
      <c r="BA859" s="736"/>
      <c r="BB859" s="736"/>
      <c r="BC859" s="736"/>
      <c r="BD859" s="736"/>
      <c r="BE859" s="736"/>
      <c r="BF859" s="736"/>
      <c r="BG859" s="736"/>
      <c r="BH859" s="736"/>
      <c r="BI859" s="736"/>
      <c r="BJ859" s="736"/>
      <c r="BK859" s="736"/>
      <c r="BL859" s="736"/>
      <c r="BM859" s="736"/>
      <c r="BN859" s="736"/>
      <c r="BO859" s="736"/>
      <c r="BP859" s="736"/>
      <c r="BQ859" s="736"/>
      <c r="BR859" s="736"/>
      <c r="BS859" s="736"/>
      <c r="BT859" s="738"/>
      <c r="BU859" s="736" t="str">
        <f>BU5</f>
        <v>Q2-2026</v>
      </c>
      <c r="BV859" s="736" t="str">
        <f>BV5</f>
        <v>Q3-2026</v>
      </c>
      <c r="BW859" s="736" t="str">
        <f>BW5</f>
        <v>Q4-2026</v>
      </c>
      <c r="BX859" s="736" t="str">
        <f t="shared" ref="BX859" si="1865">BX5</f>
        <v>FY2026</v>
      </c>
      <c r="BY859" s="736" t="str">
        <f t="shared" ref="BY859:CF859" si="1866">BY5</f>
        <v>Q1-2027</v>
      </c>
      <c r="BZ859" s="736" t="str">
        <f t="shared" si="1866"/>
        <v>Q2-2027</v>
      </c>
      <c r="CA859" s="736" t="str">
        <f t="shared" si="1866"/>
        <v>Q3-2027</v>
      </c>
      <c r="CB859" s="736" t="str">
        <f t="shared" si="1866"/>
        <v>Q4-2027</v>
      </c>
      <c r="CC859" s="736" t="str">
        <f t="shared" si="1866"/>
        <v>FY2027</v>
      </c>
      <c r="CD859" s="736" t="str">
        <f t="shared" si="1866"/>
        <v>FY2028</v>
      </c>
      <c r="CE859" s="736" t="str">
        <f t="shared" si="1866"/>
        <v>FY2029</v>
      </c>
      <c r="CF859" s="753" t="str">
        <f t="shared" si="1866"/>
        <v>FY2030</v>
      </c>
      <c r="CG859" s="267"/>
    </row>
    <row r="860" spans="1:85" s="427" customFormat="1" x14ac:dyDescent="0.3">
      <c r="A860" s="754" t="s">
        <v>369</v>
      </c>
      <c r="B860" s="742"/>
      <c r="C860" s="742"/>
      <c r="D860" s="742"/>
      <c r="E860" s="742"/>
      <c r="F860" s="742"/>
      <c r="G860" s="742"/>
      <c r="H860" s="742"/>
      <c r="I860" s="742"/>
      <c r="J860" s="742"/>
      <c r="K860" s="742"/>
      <c r="L860" s="742"/>
      <c r="M860" s="742"/>
      <c r="N860" s="742"/>
      <c r="O860" s="742"/>
      <c r="P860" s="742"/>
      <c r="Q860" s="742"/>
      <c r="R860" s="742"/>
      <c r="S860" s="742"/>
      <c r="T860" s="742"/>
      <c r="U860" s="742"/>
      <c r="V860" s="742"/>
      <c r="W860" s="742"/>
      <c r="X860" s="742"/>
      <c r="Y860" s="742"/>
      <c r="Z860" s="742"/>
      <c r="AA860" s="742"/>
      <c r="AB860" s="742"/>
      <c r="AC860" s="742"/>
      <c r="AD860" s="742"/>
      <c r="AE860" s="742"/>
      <c r="AF860" s="742"/>
      <c r="AG860" s="742"/>
      <c r="AH860" s="742"/>
      <c r="AI860" s="742"/>
      <c r="AJ860" s="742"/>
      <c r="AK860" s="742"/>
      <c r="AL860" s="742"/>
      <c r="AM860" s="742"/>
      <c r="AN860" s="742"/>
      <c r="AO860" s="742"/>
      <c r="AP860" s="742"/>
      <c r="AQ860" s="742"/>
      <c r="AR860" s="742"/>
      <c r="AS860" s="742"/>
      <c r="AT860" s="742"/>
      <c r="AU860" s="742"/>
      <c r="AV860" s="742"/>
      <c r="AW860" s="742"/>
      <c r="AX860" s="742"/>
      <c r="AY860" s="742"/>
      <c r="AZ860" s="742"/>
      <c r="BA860" s="742"/>
      <c r="BB860" s="742"/>
      <c r="BC860" s="742"/>
      <c r="BD860" s="742"/>
      <c r="BE860" s="742"/>
      <c r="BF860" s="742"/>
      <c r="BG860" s="742"/>
      <c r="BH860" s="742"/>
      <c r="BI860" s="742"/>
      <c r="BJ860" s="742"/>
      <c r="BK860" s="742"/>
      <c r="BL860" s="742"/>
      <c r="BM860" s="742"/>
      <c r="BN860" s="742"/>
      <c r="BO860" s="742"/>
      <c r="BP860" s="742"/>
      <c r="BQ860" s="742"/>
      <c r="BR860" s="742"/>
      <c r="BS860" s="742"/>
      <c r="BT860" s="743"/>
      <c r="BU860" s="742" t="str">
        <f ca="1">IF(MO.DataSourceIndex=3,IF(LEFT(INDIRECT(ADDRESS(ROW()-1,COLUMN())),2)="FY","ANNUAL",IF(LEFT(INDIRECT(ADDRESS(ROW()-1,COLUMN())),1)="Q","QUARTERLY","")),IF(LEFT(INDIRECT(ADDRESS(ROW()-1,COLUMN())),2)="FY","FY",IF(LEFT(INDIRECT(ADDRESS(ROW()-1,COLUMN())),1)="Q","FQ","FS")))</f>
        <v>FQ</v>
      </c>
      <c r="BV860" s="742" t="str">
        <f ca="1">IF(MO.DataSourceIndex=3,IF(LEFT(INDIRECT(ADDRESS(ROW()-1,COLUMN())),2)="FY","ANNUAL",IF(LEFT(INDIRECT(ADDRESS(ROW()-1,COLUMN())),1)="Q","QUARTERLY","")),IF(LEFT(INDIRECT(ADDRESS(ROW()-1,COLUMN())),2)="FY","FY",IF(LEFT(INDIRECT(ADDRESS(ROW()-1,COLUMN())),1)="Q","FQ","FS")))</f>
        <v>FQ</v>
      </c>
      <c r="BW860" s="742" t="str">
        <f ca="1">IF(MO.DataSourceIndex=3,IF(LEFT(INDIRECT(ADDRESS(ROW()-1,COLUMN())),2)="FY","ANNUAL",IF(LEFT(INDIRECT(ADDRESS(ROW()-1,COLUMN())),1)="Q","QUARTERLY","")),IF(LEFT(INDIRECT(ADDRESS(ROW()-1,COLUMN())),2)="FY","FY",IF(LEFT(INDIRECT(ADDRESS(ROW()-1,COLUMN())),1)="Q","FQ","FS")))</f>
        <v>FQ</v>
      </c>
      <c r="BX860" s="742" t="str">
        <f t="shared" ref="BX860" ca="1" si="1867">IF(MO.DataSourceIndex=3,IF(LEFT(INDIRECT(ADDRESS(ROW()-1,COLUMN())),2)="FY","ANNUAL",IF(LEFT(INDIRECT(ADDRESS(ROW()-1,COLUMN())),1)="Q","QUARTERLY","")),IF(LEFT(INDIRECT(ADDRESS(ROW()-1,COLUMN())),2)="FY","FY",IF(LEFT(INDIRECT(ADDRESS(ROW()-1,COLUMN())),1)="Q","FQ","FS")))</f>
        <v>FY</v>
      </c>
      <c r="BY860" s="742" t="str">
        <f t="shared" ref="BY860:CF860" ca="1" si="1868">IF(MO.DataSourceIndex=3,IF(LEFT(INDIRECT(ADDRESS(ROW()-1,COLUMN())),2)="FY","ANNUAL",IF(LEFT(INDIRECT(ADDRESS(ROW()-1,COLUMN())),1)="Q","QUARTERLY","")),IF(LEFT(INDIRECT(ADDRESS(ROW()-1,COLUMN())),2)="FY","FY",IF(LEFT(INDIRECT(ADDRESS(ROW()-1,COLUMN())),1)="Q","FQ","FS")))</f>
        <v>FQ</v>
      </c>
      <c r="BZ860" s="742" t="str">
        <f t="shared" ca="1" si="1868"/>
        <v>FQ</v>
      </c>
      <c r="CA860" s="742" t="str">
        <f t="shared" ca="1" si="1868"/>
        <v>FQ</v>
      </c>
      <c r="CB860" s="742" t="str">
        <f t="shared" ca="1" si="1868"/>
        <v>FQ</v>
      </c>
      <c r="CC860" s="742" t="str">
        <f t="shared" ca="1" si="1868"/>
        <v>FY</v>
      </c>
      <c r="CD860" s="742" t="str">
        <f t="shared" ca="1" si="1868"/>
        <v>FY</v>
      </c>
      <c r="CE860" s="742" t="str">
        <f t="shared" ca="1" si="1868"/>
        <v>FY</v>
      </c>
      <c r="CF860" s="755" t="str">
        <f t="shared" ca="1" si="1868"/>
        <v>FY</v>
      </c>
      <c r="CG860" s="267"/>
    </row>
    <row r="861" spans="1:85" s="427" customFormat="1" x14ac:dyDescent="0.3">
      <c r="A861" s="754" t="s">
        <v>370</v>
      </c>
      <c r="B861" s="742"/>
      <c r="C861" s="742"/>
      <c r="D861" s="742"/>
      <c r="E861" s="742"/>
      <c r="F861" s="742"/>
      <c r="G861" s="742"/>
      <c r="H861" s="742"/>
      <c r="I861" s="742"/>
      <c r="J861" s="742"/>
      <c r="K861" s="742"/>
      <c r="L861" s="742"/>
      <c r="M861" s="742"/>
      <c r="N861" s="742"/>
      <c r="O861" s="742"/>
      <c r="P861" s="742"/>
      <c r="Q861" s="742"/>
      <c r="R861" s="742"/>
      <c r="S861" s="742"/>
      <c r="T861" s="742"/>
      <c r="U861" s="742"/>
      <c r="V861" s="742"/>
      <c r="W861" s="742"/>
      <c r="X861" s="742"/>
      <c r="Y861" s="742"/>
      <c r="Z861" s="742"/>
      <c r="AA861" s="742"/>
      <c r="AB861" s="742"/>
      <c r="AC861" s="742"/>
      <c r="AD861" s="742"/>
      <c r="AE861" s="742"/>
      <c r="AF861" s="742"/>
      <c r="AG861" s="742"/>
      <c r="AH861" s="742"/>
      <c r="AI861" s="742"/>
      <c r="AJ861" s="742"/>
      <c r="AK861" s="742"/>
      <c r="AL861" s="742"/>
      <c r="AM861" s="742"/>
      <c r="AN861" s="742"/>
      <c r="AO861" s="742"/>
      <c r="AP861" s="742"/>
      <c r="AQ861" s="742"/>
      <c r="AR861" s="742"/>
      <c r="AS861" s="742"/>
      <c r="AT861" s="742"/>
      <c r="AU861" s="742"/>
      <c r="AV861" s="742"/>
      <c r="AW861" s="742"/>
      <c r="AX861" s="742"/>
      <c r="AY861" s="742"/>
      <c r="AZ861" s="742"/>
      <c r="BA861" s="742"/>
      <c r="BB861" s="742"/>
      <c r="BC861" s="742"/>
      <c r="BD861" s="742"/>
      <c r="BE861" s="742"/>
      <c r="BF861" s="742"/>
      <c r="BG861" s="742"/>
      <c r="BH861" s="742"/>
      <c r="BI861" s="742"/>
      <c r="BJ861" s="742"/>
      <c r="BK861" s="742"/>
      <c r="BL861" s="742"/>
      <c r="BM861" s="742"/>
      <c r="BN861" s="742"/>
      <c r="BO861" s="742"/>
      <c r="BP861" s="742"/>
      <c r="BQ861" s="742"/>
      <c r="BR861" s="742"/>
      <c r="BS861" s="742"/>
      <c r="BT861" s="743"/>
      <c r="BU861" s="742">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1</v>
      </c>
      <c r="BV861" s="742">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2</v>
      </c>
      <c r="BW861" s="742">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3</v>
      </c>
      <c r="BX861" s="742">
        <f t="shared" ref="BX861" ca="1" si="1869">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1</v>
      </c>
      <c r="BY861" s="742">
        <f t="shared" ref="BY861:CF861" ca="1" si="1870">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4</v>
      </c>
      <c r="BZ861" s="742">
        <f t="shared" ca="1" si="1870"/>
        <v>5</v>
      </c>
      <c r="CA861" s="742">
        <f t="shared" ca="1" si="1870"/>
        <v>6</v>
      </c>
      <c r="CB861" s="742">
        <f t="shared" ca="1" si="1870"/>
        <v>7</v>
      </c>
      <c r="CC861" s="742">
        <f t="shared" ca="1" si="1870"/>
        <v>2</v>
      </c>
      <c r="CD861" s="742">
        <f t="shared" ca="1" si="1870"/>
        <v>3</v>
      </c>
      <c r="CE861" s="742">
        <f t="shared" ca="1" si="1870"/>
        <v>4</v>
      </c>
      <c r="CF861" s="755">
        <f t="shared" ca="1" si="1870"/>
        <v>5</v>
      </c>
      <c r="CG861" s="267"/>
    </row>
    <row r="862" spans="1:85" s="447" customFormat="1" x14ac:dyDescent="0.3">
      <c r="A862" s="277" t="str">
        <f>$A$505</f>
        <v xml:space="preserve">Consensus Estimates - Adjusted EBITDAX </v>
      </c>
      <c r="B862" s="233"/>
      <c r="C862" s="235"/>
      <c r="D862" s="235"/>
      <c r="E862" s="235"/>
      <c r="F862" s="235"/>
      <c r="G862" s="235"/>
      <c r="H862" s="233"/>
      <c r="I862" s="233"/>
      <c r="J862" s="233"/>
      <c r="K862" s="233"/>
      <c r="L862" s="233"/>
      <c r="M862" s="233"/>
      <c r="N862" s="233"/>
      <c r="O862" s="233"/>
      <c r="P862" s="233"/>
      <c r="Q862" s="233"/>
      <c r="R862" s="233"/>
      <c r="S862" s="233"/>
      <c r="T862" s="233"/>
      <c r="U862" s="233"/>
      <c r="V862" s="233"/>
      <c r="W862" s="233"/>
      <c r="X862" s="233"/>
      <c r="Y862" s="233"/>
      <c r="Z862" s="233"/>
      <c r="AA862" s="233"/>
      <c r="AB862" s="233"/>
      <c r="AC862" s="233"/>
      <c r="AD862" s="233"/>
      <c r="AE862" s="233"/>
      <c r="AF862" s="233"/>
      <c r="AG862" s="233"/>
      <c r="AH862" s="233"/>
      <c r="AI862" s="233"/>
      <c r="AJ862" s="233"/>
      <c r="AK862" s="233"/>
      <c r="AL862" s="233"/>
      <c r="AM862" s="233"/>
      <c r="AN862" s="233"/>
      <c r="AO862" s="233"/>
      <c r="AP862" s="233"/>
      <c r="AQ862" s="233"/>
      <c r="AR862" s="233"/>
      <c r="AS862" s="233"/>
      <c r="AT862" s="233"/>
      <c r="AU862" s="233"/>
      <c r="AV862" s="233"/>
      <c r="AW862" s="233"/>
      <c r="AX862" s="233"/>
      <c r="AY862" s="233"/>
      <c r="AZ862" s="233"/>
      <c r="BA862" s="233"/>
      <c r="BB862" s="233"/>
      <c r="BC862" s="233"/>
      <c r="BD862" s="233"/>
      <c r="BE862" s="233"/>
      <c r="BF862" s="233"/>
      <c r="BG862" s="233"/>
      <c r="BH862" s="233"/>
      <c r="BI862" s="233"/>
      <c r="BJ862" s="233"/>
      <c r="BK862" s="233"/>
      <c r="BL862" s="233"/>
      <c r="BM862" s="233"/>
      <c r="BN862" s="233"/>
      <c r="BO862" s="233"/>
      <c r="BP862" s="233"/>
      <c r="BQ862" s="233"/>
      <c r="BR862" s="233"/>
      <c r="BS862" s="233"/>
      <c r="BT862" s="383"/>
      <c r="BU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v>n/a</v>
      </c>
      <c r="BV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v>n/a</v>
      </c>
      <c r="BW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v>n/a</v>
      </c>
      <c r="BX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v>n/a</v>
      </c>
      <c r="BY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v>n/a</v>
      </c>
      <c r="BZ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v>n/a</v>
      </c>
      <c r="CA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v>n/a</v>
      </c>
      <c r="CB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v>n/a</v>
      </c>
      <c r="CC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v>n/a</v>
      </c>
      <c r="CD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v>n/a</v>
      </c>
      <c r="CE862" s="37"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v>n/a</v>
      </c>
      <c r="CF862" s="274" t="str">
        <f ca="1">IFERROR(CHOOSE(MO.DataSourceIndex,BDP(MO.Ticker.Bloomberg&amp;" EQUITY","Company1303_EBITDAX","BEST_FPERIOD_OVERRIDE="&amp;INDEX(tb_ConsensusEstimate,3,COLUMN())&amp;INDEX(tb_ConsensusEstimate,2,COLUMN())),0,0,_xll.TR(MO.Ticker.Thomson,"ZAV(TR.EBITDAXMean(Scale=6))","Period="&amp;INDEX(tb_ConsensusEstimate,2,COLUMN())&amp;INDEX(tb_ConsensusEstimate,3,COLUMN()))),"n/a")</f>
        <v>n/a</v>
      </c>
      <c r="CG862" s="268"/>
    </row>
    <row r="863" spans="1:85" s="447" customFormat="1" x14ac:dyDescent="0.3">
      <c r="A863" s="277" t="str">
        <f>A54</f>
        <v>Consensus Estimates - Total average daily production volumes, kBOE/d</v>
      </c>
      <c r="B863" s="233"/>
      <c r="C863" s="235"/>
      <c r="D863" s="235"/>
      <c r="E863" s="235"/>
      <c r="F863" s="235"/>
      <c r="G863" s="235"/>
      <c r="H863" s="233"/>
      <c r="I863" s="233"/>
      <c r="J863" s="233"/>
      <c r="K863" s="233"/>
      <c r="L863" s="233"/>
      <c r="M863" s="233"/>
      <c r="N863" s="233"/>
      <c r="O863" s="233"/>
      <c r="P863" s="233"/>
      <c r="Q863" s="233"/>
      <c r="R863" s="233"/>
      <c r="S863" s="233"/>
      <c r="T863" s="233"/>
      <c r="U863" s="233"/>
      <c r="V863" s="233"/>
      <c r="W863" s="233"/>
      <c r="X863" s="233"/>
      <c r="Y863" s="233"/>
      <c r="Z863" s="233"/>
      <c r="AA863" s="233"/>
      <c r="AB863" s="233"/>
      <c r="AC863" s="233"/>
      <c r="AD863" s="233"/>
      <c r="AE863" s="233"/>
      <c r="AF863" s="233"/>
      <c r="AG863" s="233"/>
      <c r="AH863" s="233"/>
      <c r="AI863" s="233"/>
      <c r="AJ863" s="233"/>
      <c r="AK863" s="233"/>
      <c r="AL863" s="233"/>
      <c r="AM863" s="233"/>
      <c r="AN863" s="233"/>
      <c r="AO863" s="233"/>
      <c r="AP863" s="233"/>
      <c r="AQ863" s="233"/>
      <c r="AR863" s="233"/>
      <c r="AS863" s="233"/>
      <c r="AT863" s="233"/>
      <c r="AU863" s="233"/>
      <c r="AV863" s="233"/>
      <c r="AW863" s="233"/>
      <c r="AX863" s="233"/>
      <c r="AY863" s="233"/>
      <c r="AZ863" s="233"/>
      <c r="BA863" s="233"/>
      <c r="BB863" s="233"/>
      <c r="BC863" s="233"/>
      <c r="BD863" s="233"/>
      <c r="BE863" s="233"/>
      <c r="BF863" s="233"/>
      <c r="BG863" s="233"/>
      <c r="BH863" s="233"/>
      <c r="BI863" s="233"/>
      <c r="BJ863" s="233"/>
      <c r="BK863" s="233"/>
      <c r="BL863" s="233"/>
      <c r="BM863" s="233"/>
      <c r="BN863" s="233"/>
      <c r="BO863" s="233"/>
      <c r="BP863" s="233"/>
      <c r="BQ863" s="233"/>
      <c r="BR863" s="233"/>
      <c r="BS863" s="233"/>
      <c r="BT863" s="383"/>
      <c r="BU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v>n/a</v>
      </c>
      <c r="BV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v>n/a</v>
      </c>
      <c r="BW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v>n/a</v>
      </c>
      <c r="BX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v>n/a</v>
      </c>
      <c r="BY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v>n/a</v>
      </c>
      <c r="BZ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v>n/a</v>
      </c>
      <c r="CA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v>n/a</v>
      </c>
      <c r="CB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v>n/a</v>
      </c>
      <c r="CC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v>n/a</v>
      </c>
      <c r="CD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v>n/a</v>
      </c>
      <c r="CE863" s="37"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v>n/a</v>
      </c>
      <c r="CF863" s="274" t="str">
        <f ca="1">IFERROR(CHOOSE(MO.DataSourceIndex,BDP(MO.Ticker.Bloomberg&amp;" EQUITY","Company1303_TOTAL_PRODUCTION","BEST_FPERIOD_OVERRIDE="&amp;INDEX(tb_ConsensusEstimate,3,COLUMN())&amp;INDEX(tb_ConsensusEstimate,2,COLUMN())),_xll.ciqfunctions.udf.CIQ(MO.Ticker.CapIQ,"IQ_OG_TOTAL_PROD_EST","IQ_"&amp;INDEX(tb_ConsensusEstimate,2,COLUMN())&amp;"+"&amp;INDEX(tb_ConsensusEstimate,3,COLUMN())),FDS(MO.Ticker.FactSet,"FE_ESTIMATE(PRODPERDAY,MEAN,"&amp;INDEX(tb_ConsensusEstimate,2,COLUMN())&amp;",+"&amp;INDEX(tb_ConsensusEstimate,3,COLUMN())&amp;",NOW,,,'')"),_xll.TR(MO.Ticker.Thomson,"ZAV(TR.TotalProdPerDayBOEMean(Scale=3))","Period="&amp;INDEX(tb_ConsensusEstimate,2,COLUMN())&amp;INDEX(tb_ConsensusEstimate,3,COLUMN()))),"n/a")</f>
        <v>n/a</v>
      </c>
      <c r="CG863" s="268"/>
    </row>
    <row r="864" spans="1:85" s="448" customFormat="1" x14ac:dyDescent="0.3">
      <c r="A864" s="278" t="str">
        <f>$A$533</f>
        <v>Consensus Estimates - Adjusted Earnings Per Share - WAD</v>
      </c>
      <c r="B864" s="234"/>
      <c r="C864" s="236"/>
      <c r="D864" s="236"/>
      <c r="E864" s="236"/>
      <c r="F864" s="236"/>
      <c r="G864" s="236"/>
      <c r="H864" s="234"/>
      <c r="I864" s="234"/>
      <c r="J864" s="234"/>
      <c r="K864" s="234"/>
      <c r="L864" s="234"/>
      <c r="M864" s="234"/>
      <c r="N864" s="234"/>
      <c r="O864" s="234"/>
      <c r="P864" s="234"/>
      <c r="Q864" s="234"/>
      <c r="R864" s="234"/>
      <c r="S864" s="234"/>
      <c r="T864" s="234"/>
      <c r="U864" s="234"/>
      <c r="V864" s="234"/>
      <c r="W864" s="234"/>
      <c r="X864" s="234"/>
      <c r="Y864" s="234"/>
      <c r="Z864" s="234"/>
      <c r="AA864" s="234"/>
      <c r="AB864" s="234"/>
      <c r="AC864" s="234"/>
      <c r="AD864" s="234"/>
      <c r="AE864" s="234"/>
      <c r="AF864" s="234"/>
      <c r="AG864" s="234"/>
      <c r="AH864" s="234"/>
      <c r="AI864" s="234"/>
      <c r="AJ864" s="234"/>
      <c r="AK864" s="234"/>
      <c r="AL864" s="234"/>
      <c r="AM864" s="234"/>
      <c r="AN864" s="234"/>
      <c r="AO864" s="234"/>
      <c r="AP864" s="234"/>
      <c r="AQ864" s="234"/>
      <c r="AR864" s="234"/>
      <c r="AS864" s="234"/>
      <c r="AT864" s="234"/>
      <c r="AU864" s="234"/>
      <c r="AV864" s="234"/>
      <c r="AW864" s="234"/>
      <c r="AX864" s="234"/>
      <c r="AY864" s="234"/>
      <c r="AZ864" s="234"/>
      <c r="BA864" s="234"/>
      <c r="BB864" s="234"/>
      <c r="BC864" s="234"/>
      <c r="BD864" s="234"/>
      <c r="BE864" s="234"/>
      <c r="BF864" s="234"/>
      <c r="BG864" s="234"/>
      <c r="BH864" s="234"/>
      <c r="BI864" s="234"/>
      <c r="BJ864" s="234"/>
      <c r="BK864" s="234"/>
      <c r="BL864" s="234"/>
      <c r="BM864" s="234"/>
      <c r="BN864" s="234"/>
      <c r="BO864" s="234"/>
      <c r="BP864" s="234"/>
      <c r="BQ864" s="234"/>
      <c r="BR864" s="234"/>
      <c r="BS864" s="234"/>
      <c r="BT864" s="384"/>
      <c r="BU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V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W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X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Y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BZ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CA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CB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CC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CD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CE864" s="100"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CF864" s="275" t="str">
        <f ca="1">IFERROR(CHOOSE(MO.DataSourceIndex,BDP(MO.Ticker.Bloomberg&amp;" EQUITY","BEST_EPS","BEST_FPERIOD_OVERRIDE="&amp;INDEX(tb_ConsensusEstimate,3,COLUMN())&amp;INDEX(tb_ConsensusEstimate,2,COLUMN())),_xll.ciqfunctions.udf.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n/a</v>
      </c>
      <c r="CG864" s="269"/>
    </row>
    <row r="865" spans="1:85" s="448" customFormat="1" x14ac:dyDescent="0.3">
      <c r="A865" s="278" t="str">
        <f>$A$564</f>
        <v>Consensus Estimates - Cash Flow Per Diluted Share</v>
      </c>
      <c r="B865" s="234"/>
      <c r="C865" s="236"/>
      <c r="D865" s="236"/>
      <c r="E865" s="236"/>
      <c r="F865" s="236"/>
      <c r="G865" s="236"/>
      <c r="H865" s="234"/>
      <c r="I865" s="234"/>
      <c r="J865" s="234"/>
      <c r="K865" s="234"/>
      <c r="L865" s="234"/>
      <c r="M865" s="234"/>
      <c r="N865" s="234"/>
      <c r="O865" s="234"/>
      <c r="P865" s="234"/>
      <c r="Q865" s="234"/>
      <c r="R865" s="234"/>
      <c r="S865" s="234"/>
      <c r="T865" s="234"/>
      <c r="U865" s="234"/>
      <c r="V865" s="234"/>
      <c r="W865" s="234"/>
      <c r="X865" s="234"/>
      <c r="Y865" s="234"/>
      <c r="Z865" s="234"/>
      <c r="AA865" s="234"/>
      <c r="AB865" s="234"/>
      <c r="AC865" s="234"/>
      <c r="AD865" s="234"/>
      <c r="AE865" s="234"/>
      <c r="AF865" s="234"/>
      <c r="AG865" s="234"/>
      <c r="AH865" s="234"/>
      <c r="AI865" s="234"/>
      <c r="AJ865" s="234"/>
      <c r="AK865" s="234"/>
      <c r="AL865" s="234"/>
      <c r="AM865" s="234"/>
      <c r="AN865" s="234"/>
      <c r="AO865" s="234"/>
      <c r="AP865" s="234"/>
      <c r="AQ865" s="234"/>
      <c r="AR865" s="234"/>
      <c r="AS865" s="234"/>
      <c r="AT865" s="234"/>
      <c r="AU865" s="234"/>
      <c r="AV865" s="234"/>
      <c r="AW865" s="234"/>
      <c r="AX865" s="234"/>
      <c r="AY865" s="234"/>
      <c r="AZ865" s="234"/>
      <c r="BA865" s="234"/>
      <c r="BB865" s="234"/>
      <c r="BC865" s="234"/>
      <c r="BD865" s="234"/>
      <c r="BE865" s="234"/>
      <c r="BF865" s="234"/>
      <c r="BG865" s="234"/>
      <c r="BH865" s="234"/>
      <c r="BI865" s="234"/>
      <c r="BJ865" s="234"/>
      <c r="BK865" s="234"/>
      <c r="BL865" s="234"/>
      <c r="BM865" s="234"/>
      <c r="BN865" s="234"/>
      <c r="BO865" s="234"/>
      <c r="BP865" s="234"/>
      <c r="BQ865" s="234"/>
      <c r="BR865" s="234"/>
      <c r="BS865" s="234"/>
      <c r="BT865" s="384"/>
      <c r="BU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V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W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X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Y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BZ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CA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CB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CC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CD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CE865" s="100"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CF865" s="275" t="str">
        <f ca="1">IFERROR(CHOOSE(MO.DataSourceIndex,BDP(MO.Ticker.Bloomberg&amp;" EQUITY","BEST_CPS","BEST_FPERIOD_OVERRIDE="&amp;INDEX(tb_ConsensusEstimate,3,COLUMN())&amp;INDEX(tb_ConsensusEstimate,2,COLUMN())),_xll.ciqfunctions.udf.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n/a</v>
      </c>
      <c r="CG865" s="269"/>
    </row>
    <row r="866" spans="1:85" s="424" customFormat="1" x14ac:dyDescent="0.3">
      <c r="A866" s="279" t="str">
        <f>A566</f>
        <v>Consensus Estimates - Capex</v>
      </c>
      <c r="B866" s="722"/>
      <c r="C866" s="237"/>
      <c r="D866" s="237"/>
      <c r="E866" s="237"/>
      <c r="F866" s="237"/>
      <c r="G866" s="237"/>
      <c r="H866" s="722"/>
      <c r="I866" s="722"/>
      <c r="J866" s="722"/>
      <c r="K866" s="722"/>
      <c r="L866" s="722"/>
      <c r="M866" s="722"/>
      <c r="N866" s="722"/>
      <c r="O866" s="722"/>
      <c r="P866" s="722"/>
      <c r="Q866" s="722"/>
      <c r="R866" s="722"/>
      <c r="S866" s="722"/>
      <c r="T866" s="722"/>
      <c r="U866" s="722"/>
      <c r="V866" s="722"/>
      <c r="W866" s="722"/>
      <c r="X866" s="722"/>
      <c r="Y866" s="722"/>
      <c r="Z866" s="722"/>
      <c r="AA866" s="722"/>
      <c r="AB866" s="722"/>
      <c r="AC866" s="722"/>
      <c r="AD866" s="722"/>
      <c r="AE866" s="722"/>
      <c r="AF866" s="722"/>
      <c r="AG866" s="722"/>
      <c r="AH866" s="722"/>
      <c r="AI866" s="722"/>
      <c r="AJ866" s="722"/>
      <c r="AK866" s="722"/>
      <c r="AL866" s="722"/>
      <c r="AM866" s="722"/>
      <c r="AN866" s="722"/>
      <c r="AO866" s="722"/>
      <c r="AP866" s="722"/>
      <c r="AQ866" s="722"/>
      <c r="AR866" s="722"/>
      <c r="AS866" s="722"/>
      <c r="AT866" s="722"/>
      <c r="AU866" s="722"/>
      <c r="AV866" s="722"/>
      <c r="AW866" s="722"/>
      <c r="AX866" s="722"/>
      <c r="AY866" s="722"/>
      <c r="AZ866" s="722"/>
      <c r="BA866" s="722"/>
      <c r="BB866" s="722"/>
      <c r="BC866" s="722"/>
      <c r="BD866" s="722"/>
      <c r="BE866" s="722"/>
      <c r="BF866" s="722"/>
      <c r="BG866" s="722"/>
      <c r="BH866" s="722"/>
      <c r="BI866" s="722"/>
      <c r="BJ866" s="722"/>
      <c r="BK866" s="722"/>
      <c r="BL866" s="722"/>
      <c r="BM866" s="722"/>
      <c r="BN866" s="722"/>
      <c r="BO866" s="722"/>
      <c r="BP866" s="722"/>
      <c r="BQ866" s="722"/>
      <c r="BR866" s="722"/>
      <c r="BS866" s="722"/>
      <c r="BT866" s="723"/>
      <c r="BU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V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W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X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Y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BZ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A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B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C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D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E866" s="37"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F866" s="274" t="str">
        <f ca="1">IFERROR(CHOOSE(MO.DataSourceIndex,BDP(MO.Ticker.Bloomberg&amp;" EQUITY","BEST_CAPEX","BEST_FPERIOD_OVERRIDE="&amp;INDEX(tb_ConsensusEstimate,3,COLUMN())&amp;INDEX(tb_ConsensusEstimate,2,COLUMN())),_xll.ciqfunctions.udf.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n/a</v>
      </c>
      <c r="CG866" s="259"/>
    </row>
    <row r="867" spans="1:85" s="424" customFormat="1" x14ac:dyDescent="0.3">
      <c r="A867" s="280"/>
      <c r="B867" s="724"/>
      <c r="C867" s="273"/>
      <c r="D867" s="273"/>
      <c r="E867" s="724"/>
      <c r="F867" s="724"/>
      <c r="G867" s="724"/>
      <c r="H867" s="724"/>
      <c r="I867" s="724"/>
      <c r="J867" s="724"/>
      <c r="K867" s="724"/>
      <c r="L867" s="724"/>
      <c r="M867" s="724"/>
      <c r="N867" s="724"/>
      <c r="O867" s="724"/>
      <c r="P867" s="724"/>
      <c r="Q867" s="724"/>
      <c r="R867" s="724"/>
      <c r="S867" s="724"/>
      <c r="T867" s="724"/>
      <c r="U867" s="724"/>
      <c r="V867" s="724"/>
      <c r="W867" s="724"/>
      <c r="X867" s="724"/>
      <c r="Y867" s="724"/>
      <c r="Z867" s="724"/>
      <c r="AA867" s="724"/>
      <c r="AB867" s="724"/>
      <c r="AC867" s="724"/>
      <c r="AD867" s="724"/>
      <c r="AE867" s="724"/>
      <c r="AF867" s="724"/>
      <c r="AG867" s="724"/>
      <c r="AH867" s="724"/>
      <c r="AI867" s="724"/>
      <c r="AJ867" s="724"/>
      <c r="AK867" s="724"/>
      <c r="AL867" s="724"/>
      <c r="AM867" s="724"/>
      <c r="AN867" s="724"/>
      <c r="AO867" s="724"/>
      <c r="AP867" s="724"/>
      <c r="AQ867" s="724"/>
      <c r="AR867" s="724"/>
      <c r="AS867" s="724"/>
      <c r="AT867" s="724"/>
      <c r="AU867" s="724"/>
      <c r="AV867" s="724"/>
      <c r="AW867" s="724"/>
      <c r="AX867" s="724"/>
      <c r="AY867" s="724"/>
      <c r="AZ867" s="724"/>
      <c r="BA867" s="724"/>
      <c r="BB867" s="724"/>
      <c r="BC867" s="724"/>
      <c r="BD867" s="724"/>
      <c r="BE867" s="724"/>
      <c r="BF867" s="724"/>
      <c r="BG867" s="724"/>
      <c r="BH867" s="724"/>
      <c r="BI867" s="724"/>
      <c r="BJ867" s="724"/>
      <c r="BK867" s="724"/>
      <c r="BL867" s="724"/>
      <c r="BM867" s="724"/>
      <c r="BN867" s="724"/>
      <c r="BO867" s="724"/>
      <c r="BP867" s="724"/>
      <c r="BQ867" s="724"/>
      <c r="BR867" s="724"/>
      <c r="BS867" s="724"/>
      <c r="BT867" s="725"/>
      <c r="BU867" s="724"/>
      <c r="BV867" s="724"/>
      <c r="BW867" s="724"/>
      <c r="BX867" s="724"/>
      <c r="BY867" s="724"/>
      <c r="BZ867" s="724"/>
      <c r="CA867" s="724"/>
      <c r="CB867" s="724"/>
      <c r="CC867" s="724"/>
      <c r="CD867" s="724"/>
      <c r="CE867" s="724"/>
      <c r="CF867" s="276"/>
      <c r="CG867" s="259"/>
    </row>
    <row r="868" spans="1:85" s="424" customFormat="1" x14ac:dyDescent="0.3">
      <c r="A868" s="270"/>
      <c r="B868" s="271"/>
      <c r="C868" s="272"/>
      <c r="D868" s="272"/>
      <c r="E868" s="271"/>
      <c r="F868" s="271"/>
      <c r="G868" s="271"/>
      <c r="H868" s="271"/>
      <c r="I868" s="271"/>
      <c r="J868" s="271"/>
      <c r="K868" s="271"/>
      <c r="L868" s="271"/>
      <c r="M868" s="271"/>
      <c r="N868" s="271"/>
      <c r="O868" s="271"/>
      <c r="P868" s="271"/>
      <c r="Q868" s="271"/>
      <c r="R868" s="271"/>
      <c r="S868" s="271"/>
      <c r="T868" s="271"/>
      <c r="U868" s="271"/>
      <c r="V868" s="271"/>
      <c r="W868" s="271"/>
      <c r="X868" s="271"/>
      <c r="Y868" s="271"/>
      <c r="Z868" s="271"/>
      <c r="AA868" s="271"/>
      <c r="AB868" s="271"/>
      <c r="AC868" s="271"/>
      <c r="AD868" s="271"/>
      <c r="AE868" s="271"/>
      <c r="AF868" s="271"/>
      <c r="AG868" s="271"/>
      <c r="AH868" s="271"/>
      <c r="AI868" s="271"/>
      <c r="AJ868" s="271"/>
      <c r="AK868" s="271"/>
      <c r="AL868" s="271"/>
      <c r="AM868" s="271"/>
      <c r="AN868" s="271"/>
      <c r="AO868" s="271"/>
      <c r="AP868" s="271"/>
      <c r="AQ868" s="271"/>
      <c r="AR868" s="271"/>
      <c r="AS868" s="271"/>
      <c r="AT868" s="271"/>
      <c r="AU868" s="271"/>
      <c r="AV868" s="271"/>
      <c r="AW868" s="271"/>
      <c r="AX868" s="271"/>
      <c r="AY868" s="271"/>
      <c r="AZ868" s="271"/>
      <c r="BA868" s="271"/>
      <c r="BB868" s="271"/>
      <c r="BC868" s="271"/>
      <c r="BD868" s="271"/>
      <c r="BE868" s="271"/>
      <c r="BF868" s="271"/>
      <c r="BG868" s="271"/>
      <c r="BH868" s="271"/>
      <c r="BI868" s="271"/>
      <c r="BJ868" s="271"/>
      <c r="BK868" s="271"/>
      <c r="BL868" s="271"/>
      <c r="BM868" s="271"/>
      <c r="BN868" s="271"/>
      <c r="BO868" s="271"/>
      <c r="BP868" s="271"/>
      <c r="BQ868" s="271"/>
      <c r="BR868" s="271"/>
      <c r="BS868" s="271"/>
      <c r="BT868" s="385"/>
      <c r="BU868" s="271"/>
      <c r="BV868" s="271"/>
      <c r="BW868" s="271"/>
      <c r="BX868" s="271"/>
      <c r="BY868" s="271"/>
      <c r="BZ868" s="271"/>
      <c r="CA868" s="271"/>
      <c r="CB868" s="271"/>
      <c r="CC868" s="271"/>
      <c r="CD868" s="271"/>
      <c r="CE868" s="271"/>
      <c r="CF868" s="271"/>
      <c r="CG868" s="190"/>
    </row>
    <row r="869" spans="1:85" s="424" customFormat="1" x14ac:dyDescent="0.3">
      <c r="A869" s="205" t="s">
        <v>371</v>
      </c>
      <c r="B869" s="202"/>
      <c r="C869" s="203"/>
      <c r="D869" s="203"/>
      <c r="E869" s="202"/>
      <c r="F869" s="202"/>
      <c r="G869" s="202"/>
      <c r="H869" s="202"/>
      <c r="I869" s="202"/>
      <c r="J869" s="202"/>
      <c r="K869" s="202"/>
      <c r="L869" s="202"/>
      <c r="M869" s="202"/>
      <c r="N869" s="202"/>
      <c r="O869" s="202"/>
      <c r="P869" s="202"/>
      <c r="Q869" s="202"/>
      <c r="R869" s="202"/>
      <c r="S869" s="202"/>
      <c r="T869" s="202"/>
      <c r="U869" s="202"/>
      <c r="V869" s="202"/>
      <c r="W869" s="202"/>
      <c r="X869" s="202"/>
      <c r="Y869" s="202"/>
      <c r="Z869" s="202"/>
      <c r="AA869" s="202"/>
      <c r="AB869" s="202"/>
      <c r="AC869" s="202"/>
      <c r="AD869" s="202"/>
      <c r="AE869" s="202"/>
      <c r="AF869" s="202"/>
      <c r="AG869" s="202"/>
      <c r="AH869" s="202"/>
      <c r="AI869" s="202"/>
      <c r="AJ869" s="202"/>
      <c r="AK869" s="202"/>
      <c r="AL869" s="202"/>
      <c r="AM869" s="202"/>
      <c r="AN869" s="202"/>
      <c r="AO869" s="202"/>
      <c r="AP869" s="202"/>
      <c r="AQ869" s="202"/>
      <c r="AR869" s="202"/>
      <c r="AS869" s="202"/>
      <c r="AT869" s="202"/>
      <c r="AU869" s="202"/>
      <c r="AV869" s="202"/>
      <c r="AW869" s="202"/>
      <c r="AX869" s="202"/>
      <c r="AY869" s="202"/>
      <c r="AZ869" s="202"/>
      <c r="BA869" s="202"/>
      <c r="BB869" s="202"/>
      <c r="BC869" s="202"/>
      <c r="BD869" s="202"/>
      <c r="BE869" s="202"/>
      <c r="BF869" s="202"/>
      <c r="BG869" s="202"/>
      <c r="BH869" s="202"/>
      <c r="BI869" s="202"/>
      <c r="BJ869" s="202"/>
      <c r="BK869" s="202"/>
      <c r="BL869" s="202"/>
      <c r="BM869" s="202"/>
      <c r="BN869" s="202"/>
      <c r="BO869" s="202"/>
      <c r="BP869" s="202"/>
      <c r="BQ869" s="202"/>
      <c r="BR869" s="202"/>
      <c r="BS869" s="202"/>
      <c r="BT869" s="386"/>
      <c r="BU869" s="202"/>
      <c r="BV869" s="202"/>
      <c r="BW869" s="202"/>
      <c r="BX869" s="202"/>
      <c r="BY869" s="202"/>
      <c r="BZ869" s="202"/>
      <c r="CA869" s="202"/>
      <c r="CB869" s="202"/>
      <c r="CC869" s="202"/>
      <c r="CD869" s="202"/>
      <c r="CE869" s="202"/>
      <c r="CF869" s="204"/>
      <c r="CG869" s="259"/>
    </row>
    <row r="870" spans="1:85" s="424" customFormat="1" x14ac:dyDescent="0.3">
      <c r="A870" s="206" t="s">
        <v>372</v>
      </c>
      <c r="B870" s="722"/>
      <c r="C870" s="397">
        <f t="shared" ref="C870:AH870" si="1871">INDEX(MO_Common_QEndDate,0,COLUMN())-INDEX(MO_Common_FPDays,0,COLUMN())+1</f>
        <v>39814</v>
      </c>
      <c r="D870" s="397">
        <f t="shared" si="1871"/>
        <v>40179</v>
      </c>
      <c r="E870" s="207">
        <f t="shared" si="1871"/>
        <v>40544</v>
      </c>
      <c r="F870" s="207">
        <f t="shared" si="1871"/>
        <v>40909</v>
      </c>
      <c r="G870" s="207">
        <f t="shared" si="1871"/>
        <v>41275</v>
      </c>
      <c r="H870" s="207">
        <f t="shared" si="1871"/>
        <v>41365</v>
      </c>
      <c r="I870" s="207">
        <f t="shared" si="1871"/>
        <v>41456</v>
      </c>
      <c r="J870" s="207">
        <f t="shared" si="1871"/>
        <v>41548</v>
      </c>
      <c r="K870" s="207">
        <f t="shared" si="1871"/>
        <v>41275</v>
      </c>
      <c r="L870" s="207">
        <f t="shared" si="1871"/>
        <v>41640</v>
      </c>
      <c r="M870" s="207">
        <f t="shared" si="1871"/>
        <v>41730</v>
      </c>
      <c r="N870" s="207">
        <f t="shared" si="1871"/>
        <v>41821</v>
      </c>
      <c r="O870" s="207">
        <f t="shared" si="1871"/>
        <v>41913</v>
      </c>
      <c r="P870" s="207">
        <f t="shared" si="1871"/>
        <v>41640</v>
      </c>
      <c r="Q870" s="207">
        <f t="shared" si="1871"/>
        <v>42005</v>
      </c>
      <c r="R870" s="207">
        <f t="shared" si="1871"/>
        <v>42095</v>
      </c>
      <c r="S870" s="207">
        <f t="shared" si="1871"/>
        <v>42186</v>
      </c>
      <c r="T870" s="207">
        <f t="shared" si="1871"/>
        <v>42278</v>
      </c>
      <c r="U870" s="207">
        <f t="shared" si="1871"/>
        <v>42005</v>
      </c>
      <c r="V870" s="207">
        <f t="shared" si="1871"/>
        <v>42370</v>
      </c>
      <c r="W870" s="207">
        <f t="shared" si="1871"/>
        <v>42461</v>
      </c>
      <c r="X870" s="207">
        <f t="shared" si="1871"/>
        <v>42552</v>
      </c>
      <c r="Y870" s="207">
        <f t="shared" si="1871"/>
        <v>42644</v>
      </c>
      <c r="Z870" s="207">
        <f t="shared" si="1871"/>
        <v>42370</v>
      </c>
      <c r="AA870" s="207">
        <f t="shared" si="1871"/>
        <v>42736</v>
      </c>
      <c r="AB870" s="207">
        <f t="shared" si="1871"/>
        <v>42826</v>
      </c>
      <c r="AC870" s="207">
        <f t="shared" si="1871"/>
        <v>42917</v>
      </c>
      <c r="AD870" s="207">
        <f t="shared" si="1871"/>
        <v>43009</v>
      </c>
      <c r="AE870" s="207">
        <f t="shared" si="1871"/>
        <v>42736</v>
      </c>
      <c r="AF870" s="207">
        <f t="shared" si="1871"/>
        <v>43101</v>
      </c>
      <c r="AG870" s="207">
        <f t="shared" si="1871"/>
        <v>43191</v>
      </c>
      <c r="AH870" s="207">
        <f t="shared" si="1871"/>
        <v>43282</v>
      </c>
      <c r="AI870" s="207">
        <f t="shared" ref="AI870:AU870" si="1872">INDEX(MO_Common_QEndDate,0,COLUMN())-INDEX(MO_Common_FPDays,0,COLUMN())+1</f>
        <v>43374</v>
      </c>
      <c r="AJ870" s="207">
        <f t="shared" si="1872"/>
        <v>43101</v>
      </c>
      <c r="AK870" s="207">
        <f t="shared" si="1872"/>
        <v>43466</v>
      </c>
      <c r="AL870" s="207">
        <f t="shared" si="1872"/>
        <v>43556</v>
      </c>
      <c r="AM870" s="207">
        <f t="shared" si="1872"/>
        <v>43647</v>
      </c>
      <c r="AN870" s="207">
        <f t="shared" si="1872"/>
        <v>43739</v>
      </c>
      <c r="AO870" s="207">
        <f t="shared" si="1872"/>
        <v>43466</v>
      </c>
      <c r="AP870" s="207">
        <f t="shared" si="1872"/>
        <v>43831</v>
      </c>
      <c r="AQ870" s="207">
        <f t="shared" si="1872"/>
        <v>43922</v>
      </c>
      <c r="AR870" s="207">
        <f>INDEX(MO_Common_QEndDate,0,COLUMN())-INDEX(MO_Common_FPDays,0,COLUMN())+1</f>
        <v>44013</v>
      </c>
      <c r="AS870" s="207">
        <f t="shared" si="1872"/>
        <v>44105</v>
      </c>
      <c r="AT870" s="207">
        <f t="shared" si="1872"/>
        <v>43831</v>
      </c>
      <c r="AU870" s="207">
        <f t="shared" si="1872"/>
        <v>44197</v>
      </c>
      <c r="AV870" s="207">
        <f t="shared" ref="AV870:BA870" si="1873">INDEX(MO_Common_QEndDate,0,COLUMN())-INDEX(MO_Common_FPDays,0,COLUMN())+1</f>
        <v>44287</v>
      </c>
      <c r="AW870" s="207">
        <f t="shared" si="1873"/>
        <v>44378</v>
      </c>
      <c r="AX870" s="207">
        <f t="shared" si="1873"/>
        <v>44470</v>
      </c>
      <c r="AY870" s="207">
        <f t="shared" si="1873"/>
        <v>44197</v>
      </c>
      <c r="AZ870" s="207">
        <f t="shared" si="1873"/>
        <v>44562</v>
      </c>
      <c r="BA870" s="207">
        <f t="shared" si="1873"/>
        <v>44652</v>
      </c>
      <c r="BB870" s="207">
        <f t="shared" ref="BB870:BD870" si="1874">INDEX(MO_Common_QEndDate,0,COLUMN())-INDEX(MO_Common_FPDays,0,COLUMN())+1</f>
        <v>44743</v>
      </c>
      <c r="BC870" s="207">
        <f t="shared" si="1874"/>
        <v>44835</v>
      </c>
      <c r="BD870" s="207">
        <f t="shared" si="1874"/>
        <v>44562</v>
      </c>
      <c r="BE870" s="207">
        <f t="shared" ref="BE870:BI870" si="1875">INDEX(MO_Common_QEndDate,0,COLUMN())-INDEX(MO_Common_FPDays,0,COLUMN())+1</f>
        <v>44927</v>
      </c>
      <c r="BF870" s="207">
        <f t="shared" si="1875"/>
        <v>45017</v>
      </c>
      <c r="BG870" s="207">
        <f t="shared" si="1875"/>
        <v>45108</v>
      </c>
      <c r="BH870" s="207">
        <f t="shared" si="1875"/>
        <v>45200</v>
      </c>
      <c r="BI870" s="207">
        <f t="shared" si="1875"/>
        <v>44927</v>
      </c>
      <c r="BJ870" s="207">
        <f t="shared" ref="BJ870:BX870" si="1876">INDEX(MO_Common_QEndDate,0,COLUMN())-INDEX(MO_Common_FPDays,0,COLUMN())+1</f>
        <v>45292</v>
      </c>
      <c r="BK870" s="207">
        <f t="shared" si="1876"/>
        <v>45383</v>
      </c>
      <c r="BL870" s="207">
        <f t="shared" si="1876"/>
        <v>45474</v>
      </c>
      <c r="BM870" s="207">
        <f t="shared" si="1876"/>
        <v>45566</v>
      </c>
      <c r="BN870" s="207">
        <f t="shared" si="1876"/>
        <v>45292</v>
      </c>
      <c r="BO870" s="207">
        <f t="shared" ref="BO870:BW870" si="1877">INDEX(MO_Common_QEndDate,0,COLUMN())-INDEX(MO_Common_FPDays,0,COLUMN())+1</f>
        <v>45658</v>
      </c>
      <c r="BP870" s="207">
        <f t="shared" si="1877"/>
        <v>45748</v>
      </c>
      <c r="BQ870" s="207">
        <f t="shared" si="1877"/>
        <v>45839</v>
      </c>
      <c r="BR870" s="207">
        <f t="shared" si="1877"/>
        <v>45931</v>
      </c>
      <c r="BS870" s="207">
        <f t="shared" si="1877"/>
        <v>45658</v>
      </c>
      <c r="BT870" s="398">
        <f>INDEX(MO_Common_QEndDate,0,COLUMN())-INDEX(MO_Common_FPDays,0,COLUMN())+1</f>
        <v>46023</v>
      </c>
      <c r="BU870" s="207">
        <f t="shared" si="1877"/>
        <v>46113</v>
      </c>
      <c r="BV870" s="207">
        <f t="shared" si="1877"/>
        <v>46204</v>
      </c>
      <c r="BW870" s="207">
        <f t="shared" si="1877"/>
        <v>46296</v>
      </c>
      <c r="BX870" s="207">
        <f t="shared" si="1876"/>
        <v>46023</v>
      </c>
      <c r="BY870" s="207">
        <f t="shared" ref="BY870:CF870" si="1878">INDEX(MO_Common_QEndDate,0,COLUMN())-INDEX(MO_Common_FPDays,0,COLUMN())+1</f>
        <v>46388</v>
      </c>
      <c r="BZ870" s="207">
        <f t="shared" si="1878"/>
        <v>46478</v>
      </c>
      <c r="CA870" s="207">
        <f t="shared" si="1878"/>
        <v>46569</v>
      </c>
      <c r="CB870" s="207">
        <f t="shared" si="1878"/>
        <v>46661</v>
      </c>
      <c r="CC870" s="207">
        <f t="shared" si="1878"/>
        <v>46388</v>
      </c>
      <c r="CD870" s="207">
        <f t="shared" si="1878"/>
        <v>46753</v>
      </c>
      <c r="CE870" s="207">
        <f t="shared" si="1878"/>
        <v>47119</v>
      </c>
      <c r="CF870" s="399">
        <f t="shared" si="1878"/>
        <v>47484</v>
      </c>
      <c r="CG870" s="259"/>
    </row>
    <row r="871" spans="1:85" s="424" customFormat="1" x14ac:dyDescent="0.3">
      <c r="A871" s="206" t="s">
        <v>486</v>
      </c>
      <c r="B871" s="722"/>
      <c r="C871" s="397" t="b">
        <f>TRUE</f>
        <v>1</v>
      </c>
      <c r="D871" s="397" t="b">
        <f>TRUE</f>
        <v>1</v>
      </c>
      <c r="E871" s="207" t="b">
        <f>TRUE</f>
        <v>1</v>
      </c>
      <c r="F871" s="207" t="b">
        <f>TRUE</f>
        <v>1</v>
      </c>
      <c r="G871" s="207" t="b">
        <f>TRUE</f>
        <v>1</v>
      </c>
      <c r="H871" s="207" t="b">
        <f>TRUE</f>
        <v>1</v>
      </c>
      <c r="I871" s="207" t="b">
        <f>TRUE</f>
        <v>1</v>
      </c>
      <c r="J871" s="207" t="b">
        <f>TRUE</f>
        <v>1</v>
      </c>
      <c r="K871" s="207" t="b">
        <f>TRUE</f>
        <v>1</v>
      </c>
      <c r="L871" s="207" t="b">
        <f>TRUE</f>
        <v>1</v>
      </c>
      <c r="M871" s="207" t="b">
        <f>TRUE</f>
        <v>1</v>
      </c>
      <c r="N871" s="207" t="b">
        <f>TRUE</f>
        <v>1</v>
      </c>
      <c r="O871" s="207" t="b">
        <f>TRUE</f>
        <v>1</v>
      </c>
      <c r="P871" s="207" t="b">
        <f>TRUE</f>
        <v>1</v>
      </c>
      <c r="Q871" s="207" t="b">
        <f>TRUE</f>
        <v>1</v>
      </c>
      <c r="R871" s="207" t="b">
        <f>TRUE</f>
        <v>1</v>
      </c>
      <c r="S871" s="207" t="b">
        <f>TRUE</f>
        <v>1</v>
      </c>
      <c r="T871" s="207" t="b">
        <f>TRUE</f>
        <v>1</v>
      </c>
      <c r="U871" s="207" t="b">
        <f>TRUE</f>
        <v>1</v>
      </c>
      <c r="V871" s="207" t="b">
        <f>TRUE</f>
        <v>1</v>
      </c>
      <c r="W871" s="207" t="b">
        <f>TRUE</f>
        <v>1</v>
      </c>
      <c r="X871" s="207" t="b">
        <f>TRUE</f>
        <v>1</v>
      </c>
      <c r="Y871" s="207" t="b">
        <f>TRUE</f>
        <v>1</v>
      </c>
      <c r="Z871" s="207" t="b">
        <f>TRUE</f>
        <v>1</v>
      </c>
      <c r="AA871" s="207" t="b">
        <f>TRUE</f>
        <v>1</v>
      </c>
      <c r="AB871" s="207" t="b">
        <f>TRUE</f>
        <v>1</v>
      </c>
      <c r="AC871" s="207" t="b">
        <f>TRUE</f>
        <v>1</v>
      </c>
      <c r="AD871" s="207" t="b">
        <f>TRUE</f>
        <v>1</v>
      </c>
      <c r="AE871" s="207" t="b">
        <f>TRUE</f>
        <v>1</v>
      </c>
      <c r="AF871" s="207" t="b">
        <f>TRUE</f>
        <v>1</v>
      </c>
      <c r="AG871" s="207" t="b">
        <f>TRUE</f>
        <v>1</v>
      </c>
      <c r="AH871" s="207" t="b">
        <f>TRUE</f>
        <v>1</v>
      </c>
      <c r="AI871" s="207" t="b">
        <f>TRUE</f>
        <v>1</v>
      </c>
      <c r="AJ871" s="207" t="b">
        <f>TRUE</f>
        <v>1</v>
      </c>
      <c r="AK871" s="207" t="b">
        <f>TRUE</f>
        <v>1</v>
      </c>
      <c r="AL871" s="207" t="b">
        <f>TRUE</f>
        <v>1</v>
      </c>
      <c r="AM871" s="207" t="b">
        <f>TRUE</f>
        <v>1</v>
      </c>
      <c r="AN871" s="207" t="b">
        <f>TRUE</f>
        <v>1</v>
      </c>
      <c r="AO871" s="207" t="b">
        <f>TRUE</f>
        <v>1</v>
      </c>
      <c r="AP871" s="207" t="b">
        <f>TRUE</f>
        <v>1</v>
      </c>
      <c r="AQ871" s="207" t="b">
        <f>TRUE</f>
        <v>1</v>
      </c>
      <c r="AR871" s="207" t="b">
        <f>TRUE</f>
        <v>1</v>
      </c>
      <c r="AS871" s="207" t="b">
        <f>TRUE</f>
        <v>1</v>
      </c>
      <c r="AT871" s="207" t="b">
        <f>TRUE</f>
        <v>1</v>
      </c>
      <c r="AU871" s="207" t="b">
        <f>TRUE</f>
        <v>1</v>
      </c>
      <c r="AV871" s="207" t="b">
        <f>TRUE</f>
        <v>1</v>
      </c>
      <c r="AW871" s="207" t="b">
        <f>TRUE</f>
        <v>1</v>
      </c>
      <c r="AX871" s="207" t="b">
        <f>TRUE</f>
        <v>1</v>
      </c>
      <c r="AY871" s="207" t="b">
        <f>TRUE</f>
        <v>1</v>
      </c>
      <c r="AZ871" s="207" t="b">
        <f>TRUE</f>
        <v>1</v>
      </c>
      <c r="BA871" s="207" t="b">
        <f>TRUE</f>
        <v>1</v>
      </c>
      <c r="BB871" s="207" t="b">
        <f>TRUE</f>
        <v>1</v>
      </c>
      <c r="BC871" s="207" t="b">
        <f>TRUE</f>
        <v>1</v>
      </c>
      <c r="BD871" s="207" t="b">
        <f>TRUE</f>
        <v>1</v>
      </c>
      <c r="BE871" s="207" t="b">
        <f>TRUE</f>
        <v>1</v>
      </c>
      <c r="BF871" s="207" t="b">
        <f>TRUE</f>
        <v>1</v>
      </c>
      <c r="BG871" s="207" t="b">
        <f>TRUE</f>
        <v>1</v>
      </c>
      <c r="BH871" s="207" t="b">
        <f>TRUE</f>
        <v>1</v>
      </c>
      <c r="BI871" s="207" t="b">
        <f>TRUE</f>
        <v>1</v>
      </c>
      <c r="BJ871" s="207" t="b">
        <f>TRUE</f>
        <v>1</v>
      </c>
      <c r="BK871" s="207" t="b">
        <f>TRUE</f>
        <v>1</v>
      </c>
      <c r="BL871" s="207" t="b">
        <f>TRUE</f>
        <v>1</v>
      </c>
      <c r="BM871" s="207" t="b">
        <f>TRUE</f>
        <v>1</v>
      </c>
      <c r="BN871" s="207" t="b">
        <f>TRUE</f>
        <v>1</v>
      </c>
      <c r="BO871" s="207" t="b">
        <f>TRUE</f>
        <v>1</v>
      </c>
      <c r="BP871" s="207" t="b">
        <f>TRUE</f>
        <v>1</v>
      </c>
      <c r="BQ871" s="207" t="b">
        <f>TRUE</f>
        <v>1</v>
      </c>
      <c r="BR871" s="207" t="b">
        <f>TRUE</f>
        <v>1</v>
      </c>
      <c r="BS871" s="207" t="b">
        <f>TRUE</f>
        <v>1</v>
      </c>
      <c r="BT871" s="398" t="b">
        <f>TRUE</f>
        <v>1</v>
      </c>
      <c r="BU871" s="207" t="b">
        <f>FALSE</f>
        <v>0</v>
      </c>
      <c r="BV871" s="207" t="b">
        <f>FALSE</f>
        <v>0</v>
      </c>
      <c r="BW871" s="207" t="b">
        <f>FALSE</f>
        <v>0</v>
      </c>
      <c r="BX871" s="207" t="b">
        <f>FALSE</f>
        <v>0</v>
      </c>
      <c r="BY871" s="207" t="b">
        <f>FALSE</f>
        <v>0</v>
      </c>
      <c r="BZ871" s="207" t="b">
        <f>FALSE</f>
        <v>0</v>
      </c>
      <c r="CA871" s="207" t="b">
        <f>FALSE</f>
        <v>0</v>
      </c>
      <c r="CB871" s="207" t="b">
        <f>FALSE</f>
        <v>0</v>
      </c>
      <c r="CC871" s="207" t="b">
        <f>FALSE</f>
        <v>0</v>
      </c>
      <c r="CD871" s="207" t="b">
        <f>FALSE</f>
        <v>0</v>
      </c>
      <c r="CE871" s="207" t="b">
        <f>FALSE</f>
        <v>0</v>
      </c>
      <c r="CF871" s="399" t="b">
        <f>FALSE</f>
        <v>0</v>
      </c>
      <c r="CG871" s="259"/>
    </row>
    <row r="872" spans="1:85" s="445" customFormat="1" x14ac:dyDescent="0.3">
      <c r="A872" s="208" t="str">
        <f ca="1">"Stock High: "&amp;IF(OR(MO.RealTimeStockPriceToggle=FALSE,VLOOKUP(MO.DataSourceName,MO_SPT_StockHigh_Sources,COLUMN()+2,FALSE)="N/A"),"Real-Time Off Source",MO.DataSourceName)</f>
        <v>Stock High: Real-Time Off Source</v>
      </c>
      <c r="B872" s="209"/>
      <c r="C872" s="288">
        <f t="shared" ref="C872:AH872" ca="1" si="1879">IF(OR(MO.RealTimeStockPriceToggle=FALSE,VLOOKUP(MO.DataSourceName,MO_SPT_StockHigh_Sources,COLUMN(),FALSE)="N/A"),VLOOKUP("Real-Time Off Source",MO_SPT_StockHigh_Sources,COLUMN(),FALSE),VLOOKUP(MO.DataSourceName,MO_SPT_StockHigh_Sources,COLUMN(),FALSE))</f>
        <v>79.819999999999993</v>
      </c>
      <c r="D872" s="288">
        <f t="shared" ca="1" si="1879"/>
        <v>92.39</v>
      </c>
      <c r="E872" s="209">
        <f t="shared" ca="1" si="1879"/>
        <v>110.01</v>
      </c>
      <c r="F872" s="209">
        <f t="shared" ca="1" si="1879"/>
        <v>118.53</v>
      </c>
      <c r="G872" s="209">
        <f t="shared" ca="1" si="1879"/>
        <v>121.56</v>
      </c>
      <c r="H872" s="209">
        <f t="shared" ca="1" si="1879"/>
        <v>127.4</v>
      </c>
      <c r="I872" s="209">
        <f t="shared" ca="1" si="1879"/>
        <v>127.83</v>
      </c>
      <c r="J872" s="209">
        <f t="shared" ca="1" si="1879"/>
        <v>125.65</v>
      </c>
      <c r="K872" s="209">
        <f t="shared" ca="1" si="1879"/>
        <v>127.83</v>
      </c>
      <c r="L872" s="209">
        <f t="shared" ca="1" si="1879"/>
        <v>125.32</v>
      </c>
      <c r="M872" s="209">
        <f t="shared" ca="1" si="1879"/>
        <v>133.57</v>
      </c>
      <c r="N872" s="209">
        <f t="shared" ca="1" si="1879"/>
        <v>135.1</v>
      </c>
      <c r="O872" s="209">
        <f t="shared" ca="1" si="1879"/>
        <v>120.11709999999999</v>
      </c>
      <c r="P872" s="209">
        <f t="shared" ca="1" si="1879"/>
        <v>135.1</v>
      </c>
      <c r="Q872" s="209">
        <f t="shared" ca="1" si="1879"/>
        <v>113</v>
      </c>
      <c r="R872" s="209">
        <f t="shared" ca="1" si="1879"/>
        <v>112.2</v>
      </c>
      <c r="S872" s="209">
        <f t="shared" ca="1" si="1879"/>
        <v>96.67</v>
      </c>
      <c r="T872" s="209">
        <f t="shared" ca="1" si="1879"/>
        <v>98.64</v>
      </c>
      <c r="U872" s="209">
        <f t="shared" ca="1" si="1879"/>
        <v>113</v>
      </c>
      <c r="V872" s="209">
        <f t="shared" ca="1" si="1879"/>
        <v>97.91</v>
      </c>
      <c r="W872" s="209">
        <f t="shared" ca="1" si="1879"/>
        <v>105</v>
      </c>
      <c r="X872" s="209">
        <f t="shared" ca="1" si="1879"/>
        <v>107.58</v>
      </c>
      <c r="Y872" s="209">
        <f t="shared" ca="1" si="1879"/>
        <v>119</v>
      </c>
      <c r="Z872" s="209">
        <f t="shared" ca="1" si="1879"/>
        <v>119</v>
      </c>
      <c r="AA872" s="209">
        <f t="shared" ca="1" si="1879"/>
        <v>119</v>
      </c>
      <c r="AB872" s="209">
        <f t="shared" ca="1" si="1879"/>
        <v>110.67</v>
      </c>
      <c r="AC872" s="209">
        <f t="shared" ca="1" si="1879"/>
        <v>118.33</v>
      </c>
      <c r="AD872" s="209">
        <f t="shared" ca="1" si="1879"/>
        <v>126.2</v>
      </c>
      <c r="AE872" s="209">
        <f t="shared" ca="1" si="1879"/>
        <v>126.2</v>
      </c>
      <c r="AF872" s="209">
        <f t="shared" ca="1" si="1879"/>
        <v>128.637</v>
      </c>
      <c r="AG872" s="209">
        <f t="shared" ca="1" si="1879"/>
        <v>126.98950000000001</v>
      </c>
      <c r="AH872" s="209">
        <f t="shared" ca="1" si="1879"/>
        <v>125.39060000000001</v>
      </c>
      <c r="AI872" s="209">
        <f t="shared" ref="AI872:AU872" ca="1" si="1880">IF(OR(MO.RealTimeStockPriceToggle=FALSE,VLOOKUP(MO.DataSourceName,MO_SPT_StockHigh_Sources,COLUMN(),FALSE)="N/A"),VLOOKUP("Real-Time Off Source",MO_SPT_StockHigh_Sources,COLUMN(),FALSE),VLOOKUP(MO.DataSourceName,MO_SPT_StockHigh_Sources,COLUMN(),FALSE))</f>
        <v>125.5925</v>
      </c>
      <c r="AJ872" s="209">
        <f t="shared" ca="1" si="1880"/>
        <v>128.637</v>
      </c>
      <c r="AK872" s="209">
        <f t="shared" ca="1" si="1880"/>
        <v>125.88</v>
      </c>
      <c r="AL872" s="209">
        <f t="shared" ca="1" si="1880"/>
        <v>126.68</v>
      </c>
      <c r="AM872" s="209">
        <f t="shared" ca="1" si="1880"/>
        <v>126.54</v>
      </c>
      <c r="AN872" s="209">
        <f t="shared" ca="1" si="1880"/>
        <v>122.28</v>
      </c>
      <c r="AO872" s="209">
        <f t="shared" ca="1" si="1880"/>
        <v>126.68</v>
      </c>
      <c r="AP872" s="209">
        <f t="shared" ca="1" si="1880"/>
        <v>121.43</v>
      </c>
      <c r="AQ872" s="209">
        <f t="shared" ca="1" si="1880"/>
        <v>103.24</v>
      </c>
      <c r="AR872" s="209">
        <f ca="1">IF(OR(MO.RealTimeStockPriceToggle=FALSE,VLOOKUP(MO.DataSourceName,MO_SPT_StockHigh_Sources,COLUMN(),FALSE)="N/A"),VLOOKUP("Real-Time Off Source",MO_SPT_StockHigh_Sources,COLUMN(),FALSE),VLOOKUP(MO.DataSourceName,MO_SPT_StockHigh_Sources,COLUMN(),FALSE))</f>
        <v>91.39</v>
      </c>
      <c r="AS872" s="209">
        <f t="shared" ca="1" si="1880"/>
        <v>95.62</v>
      </c>
      <c r="AT872" s="209">
        <f t="shared" ca="1" si="1880"/>
        <v>121.43</v>
      </c>
      <c r="AU872" s="209">
        <f t="shared" ca="1" si="1880"/>
        <v>111.56</v>
      </c>
      <c r="AV872" s="209">
        <f t="shared" ref="AV872:BA872" ca="1" si="1881">IF(OR(MO.RealTimeStockPriceToggle=FALSE,VLOOKUP(MO.DataSourceName,MO_SPT_StockHigh_Sources,COLUMN(),FALSE)="N/A"),VLOOKUP("Real-Time Off Source",MO_SPT_StockHigh_Sources,COLUMN(),FALSE),VLOOKUP(MO.DataSourceName,MO_SPT_StockHigh_Sources,COLUMN(),FALSE))</f>
        <v>110.81</v>
      </c>
      <c r="AW872" s="209">
        <f t="shared" ca="1" si="1881"/>
        <v>106.21</v>
      </c>
      <c r="AX872" s="209">
        <f t="shared" ca="1" si="1881"/>
        <v>118.79</v>
      </c>
      <c r="AY872" s="209">
        <f t="shared" ca="1" si="1881"/>
        <v>118.79</v>
      </c>
      <c r="AZ872" s="209">
        <f t="shared" ca="1" si="1881"/>
        <v>170.9</v>
      </c>
      <c r="BA872" s="209">
        <f t="shared" ca="1" si="1881"/>
        <v>181.13</v>
      </c>
      <c r="BB872" s="209">
        <f t="shared" ref="BB872:BD872" ca="1" si="1882">IF(OR(MO.RealTimeStockPriceToggle=FALSE,VLOOKUP(MO.DataSourceName,MO_SPT_StockHigh_Sources,COLUMN(),FALSE)="N/A"),VLOOKUP("Real-Time Off Source",MO_SPT_StockHigh_Sources,COLUMN(),FALSE),VLOOKUP(MO.DataSourceName,MO_SPT_StockHigh_Sources,COLUMN(),FALSE))</f>
        <v>164.63</v>
      </c>
      <c r="BC872" s="209">
        <f t="shared" ca="1" si="1882"/>
        <v>188.05</v>
      </c>
      <c r="BD872" s="209">
        <f t="shared" ca="1" si="1882"/>
        <v>188.05</v>
      </c>
      <c r="BE872" s="209">
        <f t="shared" ref="BE872:BI872" ca="1" si="1883">IF(OR(MO.RealTimeStockPriceToggle=FALSE,VLOOKUP(MO.DataSourceName,MO_SPT_StockHigh_Sources,COLUMN(),FALSE)="N/A"),VLOOKUP("Real-Time Off Source",MO_SPT_StockHigh_Sources,COLUMN(),FALSE),VLOOKUP(MO.DataSourceName,MO_SPT_StockHigh_Sources,COLUMN(),FALSE))</f>
        <v>187.79</v>
      </c>
      <c r="BF872" s="209">
        <f t="shared" ca="1" si="1883"/>
        <v>172.44</v>
      </c>
      <c r="BG872" s="209">
        <f t="shared" ca="1" si="1883"/>
        <v>171.04</v>
      </c>
      <c r="BH872" s="209">
        <f t="shared" ca="1" si="1883"/>
        <v>169.1</v>
      </c>
      <c r="BI872" s="209">
        <f t="shared" ca="1" si="1883"/>
        <v>187.79</v>
      </c>
      <c r="BJ872" s="209">
        <f t="shared" ref="BJ872:BX872" ca="1" si="1884">IF(OR(MO.RealTimeStockPriceToggle=FALSE,VLOOKUP(MO.DataSourceName,MO_SPT_StockHigh_Sources,COLUMN(),FALSE)="N/A"),VLOOKUP("Real-Time Off Source",MO_SPT_StockHigh_Sources,COLUMN(),FALSE),VLOOKUP(MO.DataSourceName,MO_SPT_StockHigh_Sources,COLUMN(),FALSE))</f>
        <v>157.74</v>
      </c>
      <c r="BK872" s="209">
        <f t="shared" ca="1" si="1884"/>
        <v>166.33</v>
      </c>
      <c r="BL872" s="209">
        <f t="shared" ca="1" si="1884"/>
        <v>161.97</v>
      </c>
      <c r="BM872" s="209">
        <f t="shared" ca="1" si="1884"/>
        <v>162.53</v>
      </c>
      <c r="BN872" s="209">
        <f t="shared" ca="1" si="1884"/>
        <v>166.33</v>
      </c>
      <c r="BO872" s="209">
        <f t="shared" ref="BO872:BW872" ca="1" si="1885">IF(OR(MO.RealTimeStockPriceToggle=FALSE,VLOOKUP(MO.DataSourceName,MO_SPT_StockHigh_Sources,COLUMN(),FALSE)="N/A"),VLOOKUP("Real-Time Off Source",MO_SPT_StockHigh_Sources,COLUMN(),FALSE),VLOOKUP(MO.DataSourceName,MO_SPT_StockHigh_Sources,COLUMN(),FALSE))</f>
        <v>167.97</v>
      </c>
      <c r="BP872" s="209">
        <f t="shared" ca="1" si="1885"/>
        <v>168.51</v>
      </c>
      <c r="BQ872" s="209">
        <f t="shared" ca="1" si="1885"/>
        <v>161.83000000000001</v>
      </c>
      <c r="BR872" s="209">
        <f t="shared" ca="1" si="1885"/>
        <v>157.72</v>
      </c>
      <c r="BS872" s="209">
        <f t="shared" ca="1" si="1885"/>
        <v>168.51</v>
      </c>
      <c r="BT872" s="387">
        <f ca="1">IF(OR(MO.RealTimeStockPriceToggle=FALSE,VLOOKUP(MO.DataSourceName,MO_SPT_StockHigh_Sources,COLUMN(),FALSE)="N/A"),VLOOKUP("Real-Time Off Source",MO_SPT_StockHigh_Sources,COLUMN(),FALSE),VLOOKUP(MO.DataSourceName,MO_SPT_StockHigh_Sources,COLUMN(),FALSE))</f>
        <v>211.15</v>
      </c>
      <c r="BU872" s="209">
        <f t="shared" ca="1" si="1885"/>
        <v>0</v>
      </c>
      <c r="BV872" s="209">
        <f t="shared" ca="1" si="1885"/>
        <v>0</v>
      </c>
      <c r="BW872" s="209">
        <f t="shared" ca="1" si="1885"/>
        <v>0</v>
      </c>
      <c r="BX872" s="209">
        <f t="shared" ca="1" si="1884"/>
        <v>0</v>
      </c>
      <c r="BY872" s="209">
        <f t="shared" ref="BY872:CF872" ca="1" si="1886">IF(OR(MO.RealTimeStockPriceToggle=FALSE,VLOOKUP(MO.DataSourceName,MO_SPT_StockHigh_Sources,COLUMN(),FALSE)="N/A"),VLOOKUP("Real-Time Off Source",MO_SPT_StockHigh_Sources,COLUMN(),FALSE),VLOOKUP(MO.DataSourceName,MO_SPT_StockHigh_Sources,COLUMN(),FALSE))</f>
        <v>0</v>
      </c>
      <c r="BZ872" s="209">
        <f t="shared" ca="1" si="1886"/>
        <v>0</v>
      </c>
      <c r="CA872" s="209">
        <f t="shared" ca="1" si="1886"/>
        <v>0</v>
      </c>
      <c r="CB872" s="209">
        <f t="shared" ca="1" si="1886"/>
        <v>0</v>
      </c>
      <c r="CC872" s="209">
        <f t="shared" ca="1" si="1886"/>
        <v>0</v>
      </c>
      <c r="CD872" s="209">
        <f t="shared" ca="1" si="1886"/>
        <v>0</v>
      </c>
      <c r="CE872" s="209">
        <f t="shared" ca="1" si="1886"/>
        <v>0</v>
      </c>
      <c r="CF872" s="210">
        <f t="shared" ca="1" si="1886"/>
        <v>0</v>
      </c>
      <c r="CG872" s="260"/>
    </row>
    <row r="873" spans="1:85" s="445" customFormat="1" hidden="1" outlineLevel="1" x14ac:dyDescent="0.3">
      <c r="A873" s="211" t="s">
        <v>373</v>
      </c>
      <c r="B873" s="209"/>
      <c r="C873" s="804">
        <v>79.819999999999993</v>
      </c>
      <c r="D873" s="804">
        <v>92.39</v>
      </c>
      <c r="E873" s="805">
        <v>110.01</v>
      </c>
      <c r="F873" s="805">
        <v>118.53</v>
      </c>
      <c r="G873" s="805">
        <v>121.56</v>
      </c>
      <c r="H873" s="805">
        <v>127.4</v>
      </c>
      <c r="I873" s="805">
        <v>127.83</v>
      </c>
      <c r="J873" s="805">
        <v>125.65</v>
      </c>
      <c r="K873" s="805">
        <v>127.83</v>
      </c>
      <c r="L873" s="805">
        <v>125.32</v>
      </c>
      <c r="M873" s="805">
        <v>133.57</v>
      </c>
      <c r="N873" s="805">
        <v>135.1</v>
      </c>
      <c r="O873" s="805">
        <v>120.11709999999999</v>
      </c>
      <c r="P873" s="805">
        <v>135.1</v>
      </c>
      <c r="Q873" s="805">
        <v>113</v>
      </c>
      <c r="R873" s="805">
        <v>112.2</v>
      </c>
      <c r="S873" s="805">
        <v>96.67</v>
      </c>
      <c r="T873" s="805">
        <v>98.64</v>
      </c>
      <c r="U873" s="805">
        <v>113</v>
      </c>
      <c r="V873" s="805">
        <v>97.91</v>
      </c>
      <c r="W873" s="805">
        <v>105</v>
      </c>
      <c r="X873" s="805">
        <v>107.58</v>
      </c>
      <c r="Y873" s="805">
        <v>119</v>
      </c>
      <c r="Z873" s="805">
        <v>119</v>
      </c>
      <c r="AA873" s="805">
        <v>119</v>
      </c>
      <c r="AB873" s="805">
        <v>110.67</v>
      </c>
      <c r="AC873" s="805">
        <v>118.33</v>
      </c>
      <c r="AD873" s="805">
        <v>126.2</v>
      </c>
      <c r="AE873" s="805">
        <v>126.2</v>
      </c>
      <c r="AF873" s="805">
        <v>128.637</v>
      </c>
      <c r="AG873" s="805">
        <v>126.98950000000001</v>
      </c>
      <c r="AH873" s="805">
        <v>125.39060000000001</v>
      </c>
      <c r="AI873" s="805">
        <v>125.5925</v>
      </c>
      <c r="AJ873" s="805">
        <v>128.637</v>
      </c>
      <c r="AK873" s="805">
        <v>125.88</v>
      </c>
      <c r="AL873" s="805">
        <v>126.68</v>
      </c>
      <c r="AM873" s="805">
        <v>126.54</v>
      </c>
      <c r="AN873" s="805">
        <v>122.28</v>
      </c>
      <c r="AO873" s="805">
        <v>126.68</v>
      </c>
      <c r="AP873" s="805">
        <v>121.43</v>
      </c>
      <c r="AQ873" s="805">
        <v>103.24</v>
      </c>
      <c r="AR873" s="805">
        <v>91.39</v>
      </c>
      <c r="AS873" s="805">
        <v>95.62</v>
      </c>
      <c r="AT873" s="805">
        <v>121.43</v>
      </c>
      <c r="AU873" s="805">
        <v>111.56</v>
      </c>
      <c r="AV873" s="805">
        <v>110.81</v>
      </c>
      <c r="AW873" s="805">
        <v>106.21</v>
      </c>
      <c r="AX873" s="805">
        <v>118.79</v>
      </c>
      <c r="AY873" s="805">
        <v>118.79</v>
      </c>
      <c r="AZ873" s="805">
        <v>170.9</v>
      </c>
      <c r="BA873" s="805">
        <v>181.13</v>
      </c>
      <c r="BB873" s="805">
        <v>164.63</v>
      </c>
      <c r="BC873" s="805">
        <v>188.05</v>
      </c>
      <c r="BD873" s="805">
        <v>188.05</v>
      </c>
      <c r="BE873" s="805">
        <v>187.79</v>
      </c>
      <c r="BF873" s="805">
        <v>172.44</v>
      </c>
      <c r="BG873" s="805">
        <v>171.04</v>
      </c>
      <c r="BH873" s="805">
        <v>169.1</v>
      </c>
      <c r="BI873" s="805">
        <v>187.79</v>
      </c>
      <c r="BJ873" s="805">
        <v>157.74</v>
      </c>
      <c r="BK873" s="805">
        <v>166.33</v>
      </c>
      <c r="BL873" s="805">
        <v>161.97</v>
      </c>
      <c r="BM873" s="805">
        <v>162.53</v>
      </c>
      <c r="BN873" s="805">
        <v>166.33</v>
      </c>
      <c r="BO873" s="805">
        <v>167.97</v>
      </c>
      <c r="BP873" s="805">
        <v>168.51</v>
      </c>
      <c r="BQ873" s="805">
        <v>161.83000000000001</v>
      </c>
      <c r="BR873" s="805">
        <v>157.72</v>
      </c>
      <c r="BS873" s="805">
        <v>168.51</v>
      </c>
      <c r="BT873" s="806">
        <v>211.15</v>
      </c>
      <c r="BU873" s="209"/>
      <c r="BV873" s="209"/>
      <c r="BW873" s="209"/>
      <c r="BX873" s="209"/>
      <c r="BY873" s="209"/>
      <c r="BZ873" s="209"/>
      <c r="CA873" s="209"/>
      <c r="CB873" s="209"/>
      <c r="CC873" s="209"/>
      <c r="CD873" s="209"/>
      <c r="CE873" s="209"/>
      <c r="CF873" s="210"/>
      <c r="CG873" s="260"/>
    </row>
    <row r="874" spans="1:85" s="445" customFormat="1" hidden="1" outlineLevel="1" x14ac:dyDescent="0.3">
      <c r="A874" s="211" t="s">
        <v>7</v>
      </c>
      <c r="B874" s="209"/>
      <c r="C874" s="288" t="str">
        <f ca="1">IFERROR(BDP(MO.Ticker.Bloomberg&amp;" Equity","INTERVAL_HIGH","MARKET_DATA_OVERRIDE=PX_LAST","START_DATE_OVERRIDE",TEXT(INDEX(MO_SNA_FPStartDate,0,COLUMN()),"YYYYMMDD"),"END_DATE_OVERRIDE",TEXT(INDEX(MO_Common_QEndDate,0,COLUMN()),"YYYYMMDD")),"N/A")</f>
        <v>N/A</v>
      </c>
      <c r="D874" s="288" t="str">
        <f ca="1">IFERROR(BDP(MO.Ticker.Bloomberg&amp;" Equity","INTERVAL_HIGH","MARKET_DATA_OVERRIDE=PX_LAST","START_DATE_OVERRIDE",TEXT(INDEX(MO_SNA_FPStartDate,0,COLUMN()),"YYYYMMDD"),"END_DATE_OVERRIDE",TEXT(INDEX(MO_Common_QEndDate,0,COLUMN()),"YYYYMMDD")),"N/A")</f>
        <v>N/A</v>
      </c>
      <c r="E874" s="209" t="str">
        <f ca="1">IFERROR(BDP(MO.Ticker.Bloomberg&amp;" Equity","INTERVAL_HIGH","MARKET_DATA_OVERRIDE=PX_LAST","START_DATE_OVERRIDE",TEXT(INDEX(MO_SNA_FPStartDate,0,COLUMN()),"YYYYMMDD"),"END_DATE_OVERRIDE",TEXT(INDEX(MO_Common_QEndDate,0,COLUMN()),"YYYYMMDD")),"N/A")</f>
        <v>N/A</v>
      </c>
      <c r="F874" s="209" t="str">
        <f ca="1">IFERROR(BDP(MO.Ticker.Bloomberg&amp;" Equity","INTERVAL_HIGH","MARKET_DATA_OVERRIDE=PX_LAST","START_DATE_OVERRIDE",TEXT(INDEX(MO_SNA_FPStartDate,0,COLUMN()),"YYYYMMDD"),"END_DATE_OVERRIDE",TEXT(INDEX(MO_Common_QEndDate,0,COLUMN()),"YYYYMMDD")),"N/A")</f>
        <v>N/A</v>
      </c>
      <c r="G874" s="209" t="str">
        <f ca="1">IFERROR(BDP(MO.Ticker.Bloomberg&amp;" Equity","INTERVAL_HIGH","MARKET_DATA_OVERRIDE=PX_LAST","START_DATE_OVERRIDE",TEXT(INDEX(MO_SNA_FPStartDate,0,COLUMN()),"YYYYMMDD"),"END_DATE_OVERRIDE",TEXT(INDEX(MO_Common_QEndDate,0,COLUMN()),"YYYYMMDD")),"N/A")</f>
        <v>N/A</v>
      </c>
      <c r="H874" s="209" t="str">
        <f ca="1">IFERROR(BDP(MO.Ticker.Bloomberg&amp;" Equity","INTERVAL_HIGH","MARKET_DATA_OVERRIDE=PX_LAST","START_DATE_OVERRIDE",TEXT(INDEX(MO_SNA_FPStartDate,0,COLUMN()),"YYYYMMDD"),"END_DATE_OVERRIDE",TEXT(INDEX(MO_Common_QEndDate,0,COLUMN()),"YYYYMMDD")),"N/A")</f>
        <v>N/A</v>
      </c>
      <c r="I874" s="209" t="str">
        <f ca="1">IFERROR(BDP(MO.Ticker.Bloomberg&amp;" Equity","INTERVAL_HIGH","MARKET_DATA_OVERRIDE=PX_LAST","START_DATE_OVERRIDE",TEXT(INDEX(MO_SNA_FPStartDate,0,COLUMN()),"YYYYMMDD"),"END_DATE_OVERRIDE",TEXT(INDEX(MO_Common_QEndDate,0,COLUMN()),"YYYYMMDD")),"N/A")</f>
        <v>N/A</v>
      </c>
      <c r="J874" s="209" t="str">
        <f ca="1">IFERROR(BDP(MO.Ticker.Bloomberg&amp;" Equity","INTERVAL_HIGH","MARKET_DATA_OVERRIDE=PX_LAST","START_DATE_OVERRIDE",TEXT(INDEX(MO_SNA_FPStartDate,0,COLUMN()),"YYYYMMDD"),"END_DATE_OVERRIDE",TEXT(INDEX(MO_Common_QEndDate,0,COLUMN()),"YYYYMMDD")),"N/A")</f>
        <v>N/A</v>
      </c>
      <c r="K874" s="209" t="str">
        <f ca="1">IFERROR(BDP(MO.Ticker.Bloomberg&amp;" Equity","INTERVAL_HIGH","MARKET_DATA_OVERRIDE=PX_LAST","START_DATE_OVERRIDE",TEXT(INDEX(MO_SNA_FPStartDate,0,COLUMN()),"YYYYMMDD"),"END_DATE_OVERRIDE",TEXT(INDEX(MO_Common_QEndDate,0,COLUMN()),"YYYYMMDD")),"N/A")</f>
        <v>N/A</v>
      </c>
      <c r="L874" s="209" t="str">
        <f ca="1">IFERROR(BDP(MO.Ticker.Bloomberg&amp;" Equity","INTERVAL_HIGH","MARKET_DATA_OVERRIDE=PX_LAST","START_DATE_OVERRIDE",TEXT(INDEX(MO_SNA_FPStartDate,0,COLUMN()),"YYYYMMDD"),"END_DATE_OVERRIDE",TEXT(INDEX(MO_Common_QEndDate,0,COLUMN()),"YYYYMMDD")),"N/A")</f>
        <v>N/A</v>
      </c>
      <c r="M874" s="209" t="str">
        <f ca="1">IFERROR(BDP(MO.Ticker.Bloomberg&amp;" Equity","INTERVAL_HIGH","MARKET_DATA_OVERRIDE=PX_LAST","START_DATE_OVERRIDE",TEXT(INDEX(MO_SNA_FPStartDate,0,COLUMN()),"YYYYMMDD"),"END_DATE_OVERRIDE",TEXT(INDEX(MO_Common_QEndDate,0,COLUMN()),"YYYYMMDD")),"N/A")</f>
        <v>N/A</v>
      </c>
      <c r="N874" s="209" t="str">
        <f ca="1">IFERROR(BDP(MO.Ticker.Bloomberg&amp;" Equity","INTERVAL_HIGH","MARKET_DATA_OVERRIDE=PX_LAST","START_DATE_OVERRIDE",TEXT(INDEX(MO_SNA_FPStartDate,0,COLUMN()),"YYYYMMDD"),"END_DATE_OVERRIDE",TEXT(INDEX(MO_Common_QEndDate,0,COLUMN()),"YYYYMMDD")),"N/A")</f>
        <v>N/A</v>
      </c>
      <c r="O874" s="209" t="str">
        <f ca="1">IFERROR(BDP(MO.Ticker.Bloomberg&amp;" Equity","INTERVAL_HIGH","MARKET_DATA_OVERRIDE=PX_LAST","START_DATE_OVERRIDE",TEXT(INDEX(MO_SNA_FPStartDate,0,COLUMN()),"YYYYMMDD"),"END_DATE_OVERRIDE",TEXT(INDEX(MO_Common_QEndDate,0,COLUMN()),"YYYYMMDD")),"N/A")</f>
        <v>N/A</v>
      </c>
      <c r="P874" s="209" t="str">
        <f ca="1">IFERROR(BDP(MO.Ticker.Bloomberg&amp;" Equity","INTERVAL_HIGH","MARKET_DATA_OVERRIDE=PX_LAST","START_DATE_OVERRIDE",TEXT(INDEX(MO_SNA_FPStartDate,0,COLUMN()),"YYYYMMDD"),"END_DATE_OVERRIDE",TEXT(INDEX(MO_Common_QEndDate,0,COLUMN()),"YYYYMMDD")),"N/A")</f>
        <v>N/A</v>
      </c>
      <c r="Q874" s="209" t="str">
        <f ca="1">IFERROR(BDP(MO.Ticker.Bloomberg&amp;" Equity","INTERVAL_HIGH","MARKET_DATA_OVERRIDE=PX_LAST","START_DATE_OVERRIDE",TEXT(INDEX(MO_SNA_FPStartDate,0,COLUMN()),"YYYYMMDD"),"END_DATE_OVERRIDE",TEXT(INDEX(MO_Common_QEndDate,0,COLUMN()),"YYYYMMDD")),"N/A")</f>
        <v>N/A</v>
      </c>
      <c r="R874" s="209" t="str">
        <f ca="1">IFERROR(BDP(MO.Ticker.Bloomberg&amp;" Equity","INTERVAL_HIGH","MARKET_DATA_OVERRIDE=PX_LAST","START_DATE_OVERRIDE",TEXT(INDEX(MO_SNA_FPStartDate,0,COLUMN()),"YYYYMMDD"),"END_DATE_OVERRIDE",TEXT(INDEX(MO_Common_QEndDate,0,COLUMN()),"YYYYMMDD")),"N/A")</f>
        <v>N/A</v>
      </c>
      <c r="S874" s="209" t="str">
        <f ca="1">IFERROR(BDP(MO.Ticker.Bloomberg&amp;" Equity","INTERVAL_HIGH","MARKET_DATA_OVERRIDE=PX_LAST","START_DATE_OVERRIDE",TEXT(INDEX(MO_SNA_FPStartDate,0,COLUMN()),"YYYYMMDD"),"END_DATE_OVERRIDE",TEXT(INDEX(MO_Common_QEndDate,0,COLUMN()),"YYYYMMDD")),"N/A")</f>
        <v>N/A</v>
      </c>
      <c r="T874" s="209" t="str">
        <f ca="1">IFERROR(BDP(MO.Ticker.Bloomberg&amp;" Equity","INTERVAL_HIGH","MARKET_DATA_OVERRIDE=PX_LAST","START_DATE_OVERRIDE",TEXT(INDEX(MO_SNA_FPStartDate,0,COLUMN()),"YYYYMMDD"),"END_DATE_OVERRIDE",TEXT(INDEX(MO_Common_QEndDate,0,COLUMN()),"YYYYMMDD")),"N/A")</f>
        <v>N/A</v>
      </c>
      <c r="U874" s="209" t="str">
        <f ca="1">IFERROR(BDP(MO.Ticker.Bloomberg&amp;" Equity","INTERVAL_HIGH","MARKET_DATA_OVERRIDE=PX_LAST","START_DATE_OVERRIDE",TEXT(INDEX(MO_SNA_FPStartDate,0,COLUMN()),"YYYYMMDD"),"END_DATE_OVERRIDE",TEXT(INDEX(MO_Common_QEndDate,0,COLUMN()),"YYYYMMDD")),"N/A")</f>
        <v>N/A</v>
      </c>
      <c r="V874" s="209" t="str">
        <f ca="1">IFERROR(BDP(MO.Ticker.Bloomberg&amp;" Equity","INTERVAL_HIGH","MARKET_DATA_OVERRIDE=PX_LAST","START_DATE_OVERRIDE",TEXT(INDEX(MO_SNA_FPStartDate,0,COLUMN()),"YYYYMMDD"),"END_DATE_OVERRIDE",TEXT(INDEX(MO_Common_QEndDate,0,COLUMN()),"YYYYMMDD")),"N/A")</f>
        <v>N/A</v>
      </c>
      <c r="W874" s="209" t="str">
        <f ca="1">IFERROR(BDP(MO.Ticker.Bloomberg&amp;" Equity","INTERVAL_HIGH","MARKET_DATA_OVERRIDE=PX_LAST","START_DATE_OVERRIDE",TEXT(INDEX(MO_SNA_FPStartDate,0,COLUMN()),"YYYYMMDD"),"END_DATE_OVERRIDE",TEXT(INDEX(MO_Common_QEndDate,0,COLUMN()),"YYYYMMDD")),"N/A")</f>
        <v>N/A</v>
      </c>
      <c r="X874" s="209" t="str">
        <f ca="1">IFERROR(BDP(MO.Ticker.Bloomberg&amp;" Equity","INTERVAL_HIGH","MARKET_DATA_OVERRIDE=PX_LAST","START_DATE_OVERRIDE",TEXT(INDEX(MO_SNA_FPStartDate,0,COLUMN()),"YYYYMMDD"),"END_DATE_OVERRIDE",TEXT(INDEX(MO_Common_QEndDate,0,COLUMN()),"YYYYMMDD")),"N/A")</f>
        <v>N/A</v>
      </c>
      <c r="Y874" s="209" t="str">
        <f ca="1">IFERROR(BDP(MO.Ticker.Bloomberg&amp;" Equity","INTERVAL_HIGH","MARKET_DATA_OVERRIDE=PX_LAST","START_DATE_OVERRIDE",TEXT(INDEX(MO_SNA_FPStartDate,0,COLUMN()),"YYYYMMDD"),"END_DATE_OVERRIDE",TEXT(INDEX(MO_Common_QEndDate,0,COLUMN()),"YYYYMMDD")),"N/A")</f>
        <v>N/A</v>
      </c>
      <c r="Z874" s="209" t="str">
        <f ca="1">IFERROR(BDP(MO.Ticker.Bloomberg&amp;" Equity","INTERVAL_HIGH","MARKET_DATA_OVERRIDE=PX_LAST","START_DATE_OVERRIDE",TEXT(INDEX(MO_SNA_FPStartDate,0,COLUMN()),"YYYYMMDD"),"END_DATE_OVERRIDE",TEXT(INDEX(MO_Common_QEndDate,0,COLUMN()),"YYYYMMDD")),"N/A")</f>
        <v>N/A</v>
      </c>
      <c r="AA874" s="209" t="str">
        <f ca="1">IFERROR(BDP(MO.Ticker.Bloomberg&amp;" Equity","INTERVAL_HIGH","MARKET_DATA_OVERRIDE=PX_LAST","START_DATE_OVERRIDE",TEXT(INDEX(MO_SNA_FPStartDate,0,COLUMN()),"YYYYMMDD"),"END_DATE_OVERRIDE",TEXT(INDEX(MO_Common_QEndDate,0,COLUMN()),"YYYYMMDD")),"N/A")</f>
        <v>N/A</v>
      </c>
      <c r="AB874" s="209" t="str">
        <f ca="1">IFERROR(BDP(MO.Ticker.Bloomberg&amp;" Equity","INTERVAL_HIGH","MARKET_DATA_OVERRIDE=PX_LAST","START_DATE_OVERRIDE",TEXT(INDEX(MO_SNA_FPStartDate,0,COLUMN()),"YYYYMMDD"),"END_DATE_OVERRIDE",TEXT(INDEX(MO_Common_QEndDate,0,COLUMN()),"YYYYMMDD")),"N/A")</f>
        <v>N/A</v>
      </c>
      <c r="AC874" s="209" t="str">
        <f ca="1">IFERROR(BDP(MO.Ticker.Bloomberg&amp;" Equity","INTERVAL_HIGH","MARKET_DATA_OVERRIDE=PX_LAST","START_DATE_OVERRIDE",TEXT(INDEX(MO_SNA_FPStartDate,0,COLUMN()),"YYYYMMDD"),"END_DATE_OVERRIDE",TEXT(INDEX(MO_Common_QEndDate,0,COLUMN()),"YYYYMMDD")),"N/A")</f>
        <v>N/A</v>
      </c>
      <c r="AD874" s="209" t="str">
        <f ca="1">IFERROR(BDP(MO.Ticker.Bloomberg&amp;" Equity","INTERVAL_HIGH","MARKET_DATA_OVERRIDE=PX_LAST","START_DATE_OVERRIDE",TEXT(INDEX(MO_SNA_FPStartDate,0,COLUMN()),"YYYYMMDD"),"END_DATE_OVERRIDE",TEXT(INDEX(MO_Common_QEndDate,0,COLUMN()),"YYYYMMDD")),"N/A")</f>
        <v>N/A</v>
      </c>
      <c r="AE874" s="209" t="str">
        <f ca="1">IFERROR(BDP(MO.Ticker.Bloomberg&amp;" Equity","INTERVAL_HIGH","MARKET_DATA_OVERRIDE=PX_LAST","START_DATE_OVERRIDE",TEXT(INDEX(MO_SNA_FPStartDate,0,COLUMN()),"YYYYMMDD"),"END_DATE_OVERRIDE",TEXT(INDEX(MO_Common_QEndDate,0,COLUMN()),"YYYYMMDD")),"N/A")</f>
        <v>N/A</v>
      </c>
      <c r="AF874" s="209" t="str">
        <f ca="1">IFERROR(BDP(MO.Ticker.Bloomberg&amp;" Equity","INTERVAL_HIGH","MARKET_DATA_OVERRIDE=PX_LAST","START_DATE_OVERRIDE",TEXT(INDEX(MO_SNA_FPStartDate,0,COLUMN()),"YYYYMMDD"),"END_DATE_OVERRIDE",TEXT(INDEX(MO_Common_QEndDate,0,COLUMN()),"YYYYMMDD")),"N/A")</f>
        <v>N/A</v>
      </c>
      <c r="AG874" s="209" t="str">
        <f ca="1">IFERROR(BDP(MO.Ticker.Bloomberg&amp;" Equity","INTERVAL_HIGH","MARKET_DATA_OVERRIDE=PX_LAST","START_DATE_OVERRIDE",TEXT(INDEX(MO_SNA_FPStartDate,0,COLUMN()),"YYYYMMDD"),"END_DATE_OVERRIDE",TEXT(INDEX(MO_Common_QEndDate,0,COLUMN()),"YYYYMMDD")),"N/A")</f>
        <v>N/A</v>
      </c>
      <c r="AH874" s="209" t="str">
        <f ca="1">IFERROR(BDP(MO.Ticker.Bloomberg&amp;" Equity","INTERVAL_HIGH","MARKET_DATA_OVERRIDE=PX_LAST","START_DATE_OVERRIDE",TEXT(INDEX(MO_SNA_FPStartDate,0,COLUMN()),"YYYYMMDD"),"END_DATE_OVERRIDE",TEXT(INDEX(MO_Common_QEndDate,0,COLUMN()),"YYYYMMDD")),"N/A")</f>
        <v>N/A</v>
      </c>
      <c r="AI874" s="209" t="str">
        <f ca="1">IFERROR(BDP(MO.Ticker.Bloomberg&amp;" Equity","INTERVAL_HIGH","MARKET_DATA_OVERRIDE=PX_LAST","START_DATE_OVERRIDE",TEXT(INDEX(MO_SNA_FPStartDate,0,COLUMN()),"YYYYMMDD"),"END_DATE_OVERRIDE",TEXT(INDEX(MO_Common_QEndDate,0,COLUMN()),"YYYYMMDD")),"N/A")</f>
        <v>N/A</v>
      </c>
      <c r="AJ874" s="209" t="str">
        <f ca="1">IFERROR(BDP(MO.Ticker.Bloomberg&amp;" Equity","INTERVAL_HIGH","MARKET_DATA_OVERRIDE=PX_LAST","START_DATE_OVERRIDE",TEXT(INDEX(MO_SNA_FPStartDate,0,COLUMN()),"YYYYMMDD"),"END_DATE_OVERRIDE",TEXT(INDEX(MO_Common_QEndDate,0,COLUMN()),"YYYYMMDD")),"N/A")</f>
        <v>N/A</v>
      </c>
      <c r="AK874" s="209" t="str">
        <f ca="1">IFERROR(BDP(MO.Ticker.Bloomberg&amp;" Equity","INTERVAL_HIGH","MARKET_DATA_OVERRIDE=PX_LAST","START_DATE_OVERRIDE",TEXT(INDEX(MO_SNA_FPStartDate,0,COLUMN()),"YYYYMMDD"),"END_DATE_OVERRIDE",TEXT(INDEX(MO_Common_QEndDate,0,COLUMN()),"YYYYMMDD")),"N/A")</f>
        <v>N/A</v>
      </c>
      <c r="AL874" s="209" t="str">
        <f ca="1">IFERROR(BDP(MO.Ticker.Bloomberg&amp;" Equity","INTERVAL_HIGH","MARKET_DATA_OVERRIDE=PX_LAST","START_DATE_OVERRIDE",TEXT(INDEX(MO_SNA_FPStartDate,0,COLUMN()),"YYYYMMDD"),"END_DATE_OVERRIDE",TEXT(INDEX(MO_Common_QEndDate,0,COLUMN()),"YYYYMMDD")),"N/A")</f>
        <v>N/A</v>
      </c>
      <c r="AM874" s="209" t="str">
        <f ca="1">IFERROR(BDP(MO.Ticker.Bloomberg&amp;" Equity","INTERVAL_HIGH","MARKET_DATA_OVERRIDE=PX_LAST","START_DATE_OVERRIDE",TEXT(INDEX(MO_SNA_FPStartDate,0,COLUMN()),"YYYYMMDD"),"END_DATE_OVERRIDE",TEXT(INDEX(MO_Common_QEndDate,0,COLUMN()),"YYYYMMDD")),"N/A")</f>
        <v>N/A</v>
      </c>
      <c r="AN874" s="209" t="str">
        <f ca="1">IFERROR(BDP(MO.Ticker.Bloomberg&amp;" Equity","INTERVAL_HIGH","MARKET_DATA_OVERRIDE=PX_LAST","START_DATE_OVERRIDE",TEXT(INDEX(MO_SNA_FPStartDate,0,COLUMN()),"YYYYMMDD"),"END_DATE_OVERRIDE",TEXT(INDEX(MO_Common_QEndDate,0,COLUMN()),"YYYYMMDD")),"N/A")</f>
        <v>N/A</v>
      </c>
      <c r="AO874" s="209" t="str">
        <f ca="1">IFERROR(BDP(MO.Ticker.Bloomberg&amp;" Equity","INTERVAL_HIGH","MARKET_DATA_OVERRIDE=PX_LAST","START_DATE_OVERRIDE",TEXT(INDEX(MO_SNA_FPStartDate,0,COLUMN()),"YYYYMMDD"),"END_DATE_OVERRIDE",TEXT(INDEX(MO_Common_QEndDate,0,COLUMN()),"YYYYMMDD")),"N/A")</f>
        <v>N/A</v>
      </c>
      <c r="AP874" s="209" t="str">
        <f ca="1">IFERROR(BDP(MO.Ticker.Bloomberg&amp;" Equity","INTERVAL_HIGH","MARKET_DATA_OVERRIDE=PX_LAST","START_DATE_OVERRIDE",TEXT(INDEX(MO_SNA_FPStartDate,0,COLUMN()),"YYYYMMDD"),"END_DATE_OVERRIDE",TEXT(INDEX(MO_Common_QEndDate,0,COLUMN()),"YYYYMMDD")),"N/A")</f>
        <v>N/A</v>
      </c>
      <c r="AQ874" s="209" t="str">
        <f ca="1">IFERROR(BDP(MO.Ticker.Bloomberg&amp;" Equity","INTERVAL_HIGH","MARKET_DATA_OVERRIDE=PX_LAST","START_DATE_OVERRIDE",TEXT(INDEX(MO_SNA_FPStartDate,0,COLUMN()),"YYYYMMDD"),"END_DATE_OVERRIDE",TEXT(INDEX(MO_Common_QEndDate,0,COLUMN()),"YYYYMMDD")),"N/A")</f>
        <v>N/A</v>
      </c>
      <c r="AR874" s="209" t="str">
        <f ca="1">IFERROR(BDP(MO.Ticker.Bloomberg&amp;" Equity","INTERVAL_HIGH","MARKET_DATA_OVERRIDE=PX_LAST","START_DATE_OVERRIDE",TEXT(INDEX(MO_SNA_FPStartDate,0,COLUMN()),"YYYYMMDD"),"END_DATE_OVERRIDE",TEXT(INDEX(MO_Common_QEndDate,0,COLUMN()),"YYYYMMDD")),"N/A")</f>
        <v>N/A</v>
      </c>
      <c r="AS874" s="209" t="str">
        <f ca="1">IFERROR(BDP(MO.Ticker.Bloomberg&amp;" Equity","INTERVAL_HIGH","MARKET_DATA_OVERRIDE=PX_LAST","START_DATE_OVERRIDE",TEXT(INDEX(MO_SNA_FPStartDate,0,COLUMN()),"YYYYMMDD"),"END_DATE_OVERRIDE",TEXT(INDEX(MO_Common_QEndDate,0,COLUMN()),"YYYYMMDD")),"N/A")</f>
        <v>N/A</v>
      </c>
      <c r="AT874" s="209" t="str">
        <f ca="1">IFERROR(BDP(MO.Ticker.Bloomberg&amp;" Equity","INTERVAL_HIGH","MARKET_DATA_OVERRIDE=PX_LAST","START_DATE_OVERRIDE",TEXT(INDEX(MO_SNA_FPStartDate,0,COLUMN()),"YYYYMMDD"),"END_DATE_OVERRIDE",TEXT(INDEX(MO_Common_QEndDate,0,COLUMN()),"YYYYMMDD")),"N/A")</f>
        <v>N/A</v>
      </c>
      <c r="AU874" s="209" t="str">
        <f ca="1">IFERROR(BDP(MO.Ticker.Bloomberg&amp;" Equity","INTERVAL_HIGH","MARKET_DATA_OVERRIDE=PX_LAST","START_DATE_OVERRIDE",TEXT(INDEX(MO_SNA_FPStartDate,0,COLUMN()),"YYYYMMDD"),"END_DATE_OVERRIDE",TEXT(INDEX(MO_Common_QEndDate,0,COLUMN()),"YYYYMMDD")),"N/A")</f>
        <v>N/A</v>
      </c>
      <c r="AV874" s="209" t="str">
        <f ca="1">IFERROR(BDP(MO.Ticker.Bloomberg&amp;" Equity","INTERVAL_HIGH","MARKET_DATA_OVERRIDE=PX_LAST","START_DATE_OVERRIDE",TEXT(INDEX(MO_SNA_FPStartDate,0,COLUMN()),"YYYYMMDD"),"END_DATE_OVERRIDE",TEXT(INDEX(MO_Common_QEndDate,0,COLUMN()),"YYYYMMDD")),"N/A")</f>
        <v>N/A</v>
      </c>
      <c r="AW874" s="209" t="str">
        <f ca="1">IFERROR(BDP(MO.Ticker.Bloomberg&amp;" Equity","INTERVAL_HIGH","MARKET_DATA_OVERRIDE=PX_LAST","START_DATE_OVERRIDE",TEXT(INDEX(MO_SNA_FPStartDate,0,COLUMN()),"YYYYMMDD"),"END_DATE_OVERRIDE",TEXT(INDEX(MO_Common_QEndDate,0,COLUMN()),"YYYYMMDD")),"N/A")</f>
        <v>N/A</v>
      </c>
      <c r="AX874" s="209" t="str">
        <f ca="1">IFERROR(BDP(MO.Ticker.Bloomberg&amp;" Equity","INTERVAL_HIGH","MARKET_DATA_OVERRIDE=PX_LAST","START_DATE_OVERRIDE",TEXT(INDEX(MO_SNA_FPStartDate,0,COLUMN()),"YYYYMMDD"),"END_DATE_OVERRIDE",TEXT(INDEX(MO_Common_QEndDate,0,COLUMN()),"YYYYMMDD")),"N/A")</f>
        <v>N/A</v>
      </c>
      <c r="AY874" s="209" t="str">
        <f ca="1">IFERROR(BDP(MO.Ticker.Bloomberg&amp;" Equity","INTERVAL_HIGH","MARKET_DATA_OVERRIDE=PX_LAST","START_DATE_OVERRIDE",TEXT(INDEX(MO_SNA_FPStartDate,0,COLUMN()),"YYYYMMDD"),"END_DATE_OVERRIDE",TEXT(INDEX(MO_Common_QEndDate,0,COLUMN()),"YYYYMMDD")),"N/A")</f>
        <v>N/A</v>
      </c>
      <c r="AZ874" s="209" t="str">
        <f ca="1">IFERROR(BDP(MO.Ticker.Bloomberg&amp;" Equity","INTERVAL_HIGH","MARKET_DATA_OVERRIDE=PX_LAST","START_DATE_OVERRIDE",TEXT(INDEX(MO_SNA_FPStartDate,0,COLUMN()),"YYYYMMDD"),"END_DATE_OVERRIDE",TEXT(INDEX(MO_Common_QEndDate,0,COLUMN()),"YYYYMMDD")),"N/A")</f>
        <v>N/A</v>
      </c>
      <c r="BA874" s="209" t="str">
        <f ca="1">IFERROR(BDP(MO.Ticker.Bloomberg&amp;" Equity","INTERVAL_HIGH","MARKET_DATA_OVERRIDE=PX_LAST","START_DATE_OVERRIDE",TEXT(INDEX(MO_SNA_FPStartDate,0,COLUMN()),"YYYYMMDD"),"END_DATE_OVERRIDE",TEXT(INDEX(MO_Common_QEndDate,0,COLUMN()),"YYYYMMDD")),"N/A")</f>
        <v>N/A</v>
      </c>
      <c r="BB874" s="209" t="str">
        <f ca="1">IFERROR(BDP(MO.Ticker.Bloomberg&amp;" Equity","INTERVAL_HIGH","MARKET_DATA_OVERRIDE=PX_LAST","START_DATE_OVERRIDE",TEXT(INDEX(MO_SNA_FPStartDate,0,COLUMN()),"YYYYMMDD"),"END_DATE_OVERRIDE",TEXT(INDEX(MO_Common_QEndDate,0,COLUMN()),"YYYYMMDD")),"N/A")</f>
        <v>N/A</v>
      </c>
      <c r="BC874" s="209" t="str">
        <f ca="1">IFERROR(BDP(MO.Ticker.Bloomberg&amp;" Equity","INTERVAL_HIGH","MARKET_DATA_OVERRIDE=PX_LAST","START_DATE_OVERRIDE",TEXT(INDEX(MO_SNA_FPStartDate,0,COLUMN()),"YYYYMMDD"),"END_DATE_OVERRIDE",TEXT(INDEX(MO_Common_QEndDate,0,COLUMN()),"YYYYMMDD")),"N/A")</f>
        <v>N/A</v>
      </c>
      <c r="BD874" s="209" t="str">
        <f ca="1">IFERROR(BDP(MO.Ticker.Bloomberg&amp;" Equity","INTERVAL_HIGH","MARKET_DATA_OVERRIDE=PX_LAST","START_DATE_OVERRIDE",TEXT(INDEX(MO_SNA_FPStartDate,0,COLUMN()),"YYYYMMDD"),"END_DATE_OVERRIDE",TEXT(INDEX(MO_Common_QEndDate,0,COLUMN()),"YYYYMMDD")),"N/A")</f>
        <v>N/A</v>
      </c>
      <c r="BE874" s="209" t="str">
        <f ca="1">IFERROR(BDP(MO.Ticker.Bloomberg&amp;" Equity","INTERVAL_HIGH","MARKET_DATA_OVERRIDE=PX_LAST","START_DATE_OVERRIDE",TEXT(INDEX(MO_SNA_FPStartDate,0,COLUMN()),"YYYYMMDD"),"END_DATE_OVERRIDE",TEXT(INDEX(MO_Common_QEndDate,0,COLUMN()),"YYYYMMDD")),"N/A")</f>
        <v>N/A</v>
      </c>
      <c r="BF874" s="209" t="str">
        <f ca="1">IFERROR(BDP(MO.Ticker.Bloomberg&amp;" Equity","INTERVAL_HIGH","MARKET_DATA_OVERRIDE=PX_LAST","START_DATE_OVERRIDE",TEXT(INDEX(MO_SNA_FPStartDate,0,COLUMN()),"YYYYMMDD"),"END_DATE_OVERRIDE",TEXT(INDEX(MO_Common_QEndDate,0,COLUMN()),"YYYYMMDD")),"N/A")</f>
        <v>N/A</v>
      </c>
      <c r="BG874" s="209" t="str">
        <f ca="1">IFERROR(BDP(MO.Ticker.Bloomberg&amp;" Equity","INTERVAL_HIGH","MARKET_DATA_OVERRIDE=PX_LAST","START_DATE_OVERRIDE",TEXT(INDEX(MO_SNA_FPStartDate,0,COLUMN()),"YYYYMMDD"),"END_DATE_OVERRIDE",TEXT(INDEX(MO_Common_QEndDate,0,COLUMN()),"YYYYMMDD")),"N/A")</f>
        <v>N/A</v>
      </c>
      <c r="BH874" s="209" t="str">
        <f ca="1">IFERROR(BDP(MO.Ticker.Bloomberg&amp;" Equity","INTERVAL_HIGH","MARKET_DATA_OVERRIDE=PX_LAST","START_DATE_OVERRIDE",TEXT(INDEX(MO_SNA_FPStartDate,0,COLUMN()),"YYYYMMDD"),"END_DATE_OVERRIDE",TEXT(INDEX(MO_Common_QEndDate,0,COLUMN()),"YYYYMMDD")),"N/A")</f>
        <v>N/A</v>
      </c>
      <c r="BI874" s="209" t="str">
        <f ca="1">IFERROR(BDP(MO.Ticker.Bloomberg&amp;" Equity","INTERVAL_HIGH","MARKET_DATA_OVERRIDE=PX_LAST","START_DATE_OVERRIDE",TEXT(INDEX(MO_SNA_FPStartDate,0,COLUMN()),"YYYYMMDD"),"END_DATE_OVERRIDE",TEXT(INDEX(MO_Common_QEndDate,0,COLUMN()),"YYYYMMDD")),"N/A")</f>
        <v>N/A</v>
      </c>
      <c r="BJ874" s="209" t="str">
        <f ca="1">IFERROR(BDP(MO.Ticker.Bloomberg&amp;" Equity","INTERVAL_HIGH","MARKET_DATA_OVERRIDE=PX_LAST","START_DATE_OVERRIDE",TEXT(INDEX(MO_SNA_FPStartDate,0,COLUMN()),"YYYYMMDD"),"END_DATE_OVERRIDE",TEXT(INDEX(MO_Common_QEndDate,0,COLUMN()),"YYYYMMDD")),"N/A")</f>
        <v>N/A</v>
      </c>
      <c r="BK874" s="209" t="str">
        <f ca="1">IFERROR(BDP(MO.Ticker.Bloomberg&amp;" Equity","INTERVAL_HIGH","MARKET_DATA_OVERRIDE=PX_LAST","START_DATE_OVERRIDE",TEXT(INDEX(MO_SNA_FPStartDate,0,COLUMN()),"YYYYMMDD"),"END_DATE_OVERRIDE",TEXT(INDEX(MO_Common_QEndDate,0,COLUMN()),"YYYYMMDD")),"N/A")</f>
        <v>N/A</v>
      </c>
      <c r="BL874" s="209" t="str">
        <f ca="1">IFERROR(BDP(MO.Ticker.Bloomberg&amp;" Equity","INTERVAL_HIGH","MARKET_DATA_OVERRIDE=PX_LAST","START_DATE_OVERRIDE",TEXT(INDEX(MO_SNA_FPStartDate,0,COLUMN()),"YYYYMMDD"),"END_DATE_OVERRIDE",TEXT(INDEX(MO_Common_QEndDate,0,COLUMN()),"YYYYMMDD")),"N/A")</f>
        <v>N/A</v>
      </c>
      <c r="BM874" s="209" t="str">
        <f ca="1">IFERROR(BDP(MO.Ticker.Bloomberg&amp;" Equity","INTERVAL_HIGH","MARKET_DATA_OVERRIDE=PX_LAST","START_DATE_OVERRIDE",TEXT(INDEX(MO_SNA_FPStartDate,0,COLUMN()),"YYYYMMDD"),"END_DATE_OVERRIDE",TEXT(INDEX(MO_Common_QEndDate,0,COLUMN()),"YYYYMMDD")),"N/A")</f>
        <v>N/A</v>
      </c>
      <c r="BN874" s="209" t="str">
        <f ca="1">IFERROR(BDP(MO.Ticker.Bloomberg&amp;" Equity","INTERVAL_HIGH","MARKET_DATA_OVERRIDE=PX_LAST","START_DATE_OVERRIDE",TEXT(INDEX(MO_SNA_FPStartDate,0,COLUMN()),"YYYYMMDD"),"END_DATE_OVERRIDE",TEXT(INDEX(MO_Common_QEndDate,0,COLUMN()),"YYYYMMDD")),"N/A")</f>
        <v>N/A</v>
      </c>
      <c r="BO874" s="209" t="str">
        <f ca="1">IFERROR(BDP(MO.Ticker.Bloomberg&amp;" Equity","INTERVAL_HIGH","MARKET_DATA_OVERRIDE=PX_LAST","START_DATE_OVERRIDE",TEXT(INDEX(MO_SNA_FPStartDate,0,COLUMN()),"YYYYMMDD"),"END_DATE_OVERRIDE",TEXT(INDEX(MO_Common_QEndDate,0,COLUMN()),"YYYYMMDD")),"N/A")</f>
        <v>N/A</v>
      </c>
      <c r="BP874" s="209" t="str">
        <f ca="1">IFERROR(BDP(MO.Ticker.Bloomberg&amp;" Equity","INTERVAL_HIGH","MARKET_DATA_OVERRIDE=PX_LAST","START_DATE_OVERRIDE",TEXT(INDEX(MO_SNA_FPStartDate,0,COLUMN()),"YYYYMMDD"),"END_DATE_OVERRIDE",TEXT(INDEX(MO_Common_QEndDate,0,COLUMN()),"YYYYMMDD")),"N/A")</f>
        <v>N/A</v>
      </c>
      <c r="BQ874" s="209" t="str">
        <f ca="1">IFERROR(BDP(MO.Ticker.Bloomberg&amp;" Equity","INTERVAL_HIGH","MARKET_DATA_OVERRIDE=PX_LAST","START_DATE_OVERRIDE",TEXT(INDEX(MO_SNA_FPStartDate,0,COLUMN()),"YYYYMMDD"),"END_DATE_OVERRIDE",TEXT(INDEX(MO_Common_QEndDate,0,COLUMN()),"YYYYMMDD")),"N/A")</f>
        <v>N/A</v>
      </c>
      <c r="BR874" s="209" t="str">
        <f ca="1">IFERROR(BDP(MO.Ticker.Bloomberg&amp;" Equity","INTERVAL_HIGH","MARKET_DATA_OVERRIDE=PX_LAST","START_DATE_OVERRIDE",TEXT(INDEX(MO_SNA_FPStartDate,0,COLUMN()),"YYYYMMDD"),"END_DATE_OVERRIDE",TEXT(INDEX(MO_Common_QEndDate,0,COLUMN()),"YYYYMMDD")),"N/A")</f>
        <v>N/A</v>
      </c>
      <c r="BS874" s="209" t="str">
        <f ca="1">IFERROR(BDP(MO.Ticker.Bloomberg&amp;" Equity","INTERVAL_HIGH","MARKET_DATA_OVERRIDE=PX_LAST","START_DATE_OVERRIDE",TEXT(INDEX(MO_SNA_FPStartDate,0,COLUMN()),"YYYYMMDD"),"END_DATE_OVERRIDE",TEXT(INDEX(MO_Common_QEndDate,0,COLUMN()),"YYYYMMDD")),"N/A")</f>
        <v>N/A</v>
      </c>
      <c r="BT874" s="387" t="str">
        <f ca="1">IFERROR(BDP(MO.Ticker.Bloomberg&amp;" Equity","INTERVAL_HIGH","MARKET_DATA_OVERRIDE=PX_LAST","START_DATE_OVERRIDE",TEXT(INDEX(MO_SNA_FPStartDate,0,COLUMN()),"YYYYMMDD"),"END_DATE_OVERRIDE",TEXT(INDEX(MO_Common_QEndDate,0,COLUMN()),"YYYYMMDD")),"N/A")</f>
        <v>N/A</v>
      </c>
      <c r="BU874" s="209" t="str">
        <f ca="1">IFERROR(BDP(MO.Ticker.Bloomberg&amp;" Equity","INTERVAL_HIGH","MARKET_DATA_OVERRIDE=PX_LAST","START_DATE_OVERRIDE",TEXT(INDEX(MO_SNA_FPStartDate,0,COLUMN()),"YYYYMMDD"),"END_DATE_OVERRIDE",TEXT(INDEX(MO_Common_QEndDate,0,COLUMN()),"YYYYMMDD")),"N/A")</f>
        <v>N/A</v>
      </c>
      <c r="BV874" s="209" t="str">
        <f ca="1">IFERROR(BDP(MO.Ticker.Bloomberg&amp;" Equity","INTERVAL_HIGH","MARKET_DATA_OVERRIDE=PX_LAST","START_DATE_OVERRIDE",TEXT(INDEX(MO_SNA_FPStartDate,0,COLUMN()),"YYYYMMDD"),"END_DATE_OVERRIDE",TEXT(INDEX(MO_Common_QEndDate,0,COLUMN()),"YYYYMMDD")),"N/A")</f>
        <v>N/A</v>
      </c>
      <c r="BW874" s="209" t="str">
        <f ca="1">IFERROR(BDP(MO.Ticker.Bloomberg&amp;" Equity","INTERVAL_HIGH","MARKET_DATA_OVERRIDE=PX_LAST","START_DATE_OVERRIDE",TEXT(INDEX(MO_SNA_FPStartDate,0,COLUMN()),"YYYYMMDD"),"END_DATE_OVERRIDE",TEXT(INDEX(MO_Common_QEndDate,0,COLUMN()),"YYYYMMDD")),"N/A")</f>
        <v>N/A</v>
      </c>
      <c r="BX874" s="209" t="str">
        <f ca="1">IFERROR(BDP(MO.Ticker.Bloomberg&amp;" Equity","INTERVAL_HIGH","MARKET_DATA_OVERRIDE=PX_LAST","START_DATE_OVERRIDE",TEXT(INDEX(MO_SNA_FPStartDate,0,COLUMN()),"YYYYMMDD"),"END_DATE_OVERRIDE",TEXT(INDEX(MO_Common_QEndDate,0,COLUMN()),"YYYYMMDD")),"N/A")</f>
        <v>N/A</v>
      </c>
      <c r="BY874" s="209" t="str">
        <f ca="1">IFERROR(BDP(MO.Ticker.Bloomberg&amp;" Equity","INTERVAL_HIGH","MARKET_DATA_OVERRIDE=PX_LAST","START_DATE_OVERRIDE",TEXT(INDEX(MO_SNA_FPStartDate,0,COLUMN()),"YYYYMMDD"),"END_DATE_OVERRIDE",TEXT(INDEX(MO_Common_QEndDate,0,COLUMN()),"YYYYMMDD")),"N/A")</f>
        <v>N/A</v>
      </c>
      <c r="BZ874" s="209" t="str">
        <f ca="1">IFERROR(BDP(MO.Ticker.Bloomberg&amp;" Equity","INTERVAL_HIGH","MARKET_DATA_OVERRIDE=PX_LAST","START_DATE_OVERRIDE",TEXT(INDEX(MO_SNA_FPStartDate,0,COLUMN()),"YYYYMMDD"),"END_DATE_OVERRIDE",TEXT(INDEX(MO_Common_QEndDate,0,COLUMN()),"YYYYMMDD")),"N/A")</f>
        <v>N/A</v>
      </c>
      <c r="CA874" s="209" t="str">
        <f ca="1">IFERROR(BDP(MO.Ticker.Bloomberg&amp;" Equity","INTERVAL_HIGH","MARKET_DATA_OVERRIDE=PX_LAST","START_DATE_OVERRIDE",TEXT(INDEX(MO_SNA_FPStartDate,0,COLUMN()),"YYYYMMDD"),"END_DATE_OVERRIDE",TEXT(INDEX(MO_Common_QEndDate,0,COLUMN()),"YYYYMMDD")),"N/A")</f>
        <v>N/A</v>
      </c>
      <c r="CB874" s="209" t="str">
        <f ca="1">IFERROR(BDP(MO.Ticker.Bloomberg&amp;" Equity","INTERVAL_HIGH","MARKET_DATA_OVERRIDE=PX_LAST","START_DATE_OVERRIDE",TEXT(INDEX(MO_SNA_FPStartDate,0,COLUMN()),"YYYYMMDD"),"END_DATE_OVERRIDE",TEXT(INDEX(MO_Common_QEndDate,0,COLUMN()),"YYYYMMDD")),"N/A")</f>
        <v>N/A</v>
      </c>
      <c r="CC874" s="209" t="str">
        <f ca="1">IFERROR(BDP(MO.Ticker.Bloomberg&amp;" Equity","INTERVAL_HIGH","MARKET_DATA_OVERRIDE=PX_LAST","START_DATE_OVERRIDE",TEXT(INDEX(MO_SNA_FPStartDate,0,COLUMN()),"YYYYMMDD"),"END_DATE_OVERRIDE",TEXT(INDEX(MO_Common_QEndDate,0,COLUMN()),"YYYYMMDD")),"N/A")</f>
        <v>N/A</v>
      </c>
      <c r="CD874" s="209" t="str">
        <f ca="1">IFERROR(BDP(MO.Ticker.Bloomberg&amp;" Equity","INTERVAL_HIGH","MARKET_DATA_OVERRIDE=PX_LAST","START_DATE_OVERRIDE",TEXT(INDEX(MO_SNA_FPStartDate,0,COLUMN()),"YYYYMMDD"),"END_DATE_OVERRIDE",TEXT(INDEX(MO_Common_QEndDate,0,COLUMN()),"YYYYMMDD")),"N/A")</f>
        <v>N/A</v>
      </c>
      <c r="CE874" s="209" t="str">
        <f ca="1">IFERROR(BDP(MO.Ticker.Bloomberg&amp;" Equity","INTERVAL_HIGH","MARKET_DATA_OVERRIDE=PX_LAST","START_DATE_OVERRIDE",TEXT(INDEX(MO_SNA_FPStartDate,0,COLUMN()),"YYYYMMDD"),"END_DATE_OVERRIDE",TEXT(INDEX(MO_Common_QEndDate,0,COLUMN()),"YYYYMMDD")),"N/A")</f>
        <v>N/A</v>
      </c>
      <c r="CF874" s="210" t="str">
        <f ca="1">IFERROR(BDP(MO.Ticker.Bloomberg&amp;" Equity","INTERVAL_HIGH","MARKET_DATA_OVERRIDE=PX_LAST","START_DATE_OVERRIDE",TEXT(INDEX(MO_SNA_FPStartDate,0,COLUMN()),"YYYYMMDD"),"END_DATE_OVERRIDE",TEXT(INDEX(MO_Common_QEndDate,0,COLUMN()),"YYYYMMDD")),"N/A")</f>
        <v>N/A</v>
      </c>
      <c r="CG874" s="260"/>
    </row>
    <row r="875" spans="1:85" s="445" customFormat="1" hidden="1" outlineLevel="1" x14ac:dyDescent="0.3">
      <c r="A875" s="211" t="s">
        <v>374</v>
      </c>
      <c r="B875" s="209"/>
      <c r="C875" s="288">
        <f>IFERROR(_xll.ciqfunctions.udf.CIQHI(MO.Ticker.CapIQ,"IQ_LASTSALEPRICE",INDEX(MO_SNA_FPStartDate,0,COLUMN()),INDEX(MO_Common_QEndDate,0,COLUMN())),"N/A")</f>
        <v>79.64</v>
      </c>
      <c r="D875" s="288">
        <f>IFERROR(_xll.ciqfunctions.udf.CIQHI(MO.Ticker.CapIQ,"IQ_LASTSALEPRICE",INDEX(MO_SNA_FPStartDate,0,COLUMN()),INDEX(MO_Common_QEndDate,0,COLUMN())),"N/A")</f>
        <v>91.6</v>
      </c>
      <c r="E875" s="209">
        <f>IFERROR(_xll.ciqfunctions.udf.CIQHI(MO.Ticker.CapIQ,"IQ_LASTSALEPRICE",INDEX(MO_SNA_FPStartDate,0,COLUMN()),INDEX(MO_Common_QEndDate,0,COLUMN())),"N/A")</f>
        <v>109.66</v>
      </c>
      <c r="F875" s="209">
        <f>IFERROR(_xll.ciqfunctions.udf.CIQHI(MO.Ticker.CapIQ,"IQ_LASTSALEPRICE",INDEX(MO_SNA_FPStartDate,0,COLUMN()),INDEX(MO_Common_QEndDate,0,COLUMN())),"N/A")</f>
        <v>117.96</v>
      </c>
      <c r="G875" s="209">
        <f>IFERROR(_xll.ciqfunctions.udf.CIQHI(MO.Ticker.CapIQ,"IQ_LASTSALEPRICE",INDEX(MO_SNA_FPStartDate,0,COLUMN()),INDEX(MO_Common_QEndDate,0,COLUMN())),"N/A")</f>
        <v>121.18</v>
      </c>
      <c r="H875" s="209">
        <f>IFERROR(_xll.ciqfunctions.udf.CIQHI(MO.Ticker.CapIQ,"IQ_LASTSALEPRICE",INDEX(MO_SNA_FPStartDate,0,COLUMN()),INDEX(MO_Common_QEndDate,0,COLUMN())),"N/A")</f>
        <v>126.43</v>
      </c>
      <c r="I875" s="209">
        <f>IFERROR(_xll.ciqfunctions.udf.CIQHI(MO.Ticker.CapIQ,"IQ_LASTSALEPRICE",INDEX(MO_SNA_FPStartDate,0,COLUMN()),INDEX(MO_Common_QEndDate,0,COLUMN())),"N/A")</f>
        <v>127.76</v>
      </c>
      <c r="J875" s="209">
        <f>IFERROR(_xll.ciqfunctions.udf.CIQHI(MO.Ticker.CapIQ,"IQ_LASTSALEPRICE",INDEX(MO_SNA_FPStartDate,0,COLUMN()),INDEX(MO_Common_QEndDate,0,COLUMN())),"N/A")</f>
        <v>125.23</v>
      </c>
      <c r="K875" s="209">
        <f>IFERROR(_xll.ciqfunctions.udf.CIQHI(MO.Ticker.CapIQ,"IQ_LASTSALEPRICE",INDEX(MO_SNA_FPStartDate,0,COLUMN()),INDEX(MO_Common_QEndDate,0,COLUMN())),"N/A")</f>
        <v>127.76</v>
      </c>
      <c r="L875" s="209">
        <f>IFERROR(_xll.ciqfunctions.udf.CIQHI(MO.Ticker.CapIQ,"IQ_LASTSALEPRICE",INDEX(MO_SNA_FPStartDate,0,COLUMN()),INDEX(MO_Common_QEndDate,0,COLUMN())),"N/A")</f>
        <v>125.07</v>
      </c>
      <c r="M875" s="209">
        <f>IFERROR(_xll.ciqfunctions.udf.CIQHI(MO.Ticker.CapIQ,"IQ_LASTSALEPRICE",INDEX(MO_SNA_FPStartDate,0,COLUMN()),INDEX(MO_Common_QEndDate,0,COLUMN())),"N/A")</f>
        <v>132.97999999999999</v>
      </c>
      <c r="N875" s="209">
        <f>IFERROR(_xll.ciqfunctions.udf.CIQHI(MO.Ticker.CapIQ,"IQ_LASTSALEPRICE",INDEX(MO_SNA_FPStartDate,0,COLUMN()),INDEX(MO_Common_QEndDate,0,COLUMN())),"N/A")</f>
        <v>134.85</v>
      </c>
      <c r="O875" s="209">
        <f>IFERROR(_xll.ciqfunctions.udf.CIQHI(MO.Ticker.CapIQ,"IQ_LASTSALEPRICE",INDEX(MO_SNA_FPStartDate,0,COLUMN()),INDEX(MO_Common_QEndDate,0,COLUMN())),"N/A")</f>
        <v>119.95</v>
      </c>
      <c r="P875" s="209">
        <f>IFERROR(_xll.ciqfunctions.udf.CIQHI(MO.Ticker.CapIQ,"IQ_LASTSALEPRICE",INDEX(MO_SNA_FPStartDate,0,COLUMN()),INDEX(MO_Common_QEndDate,0,COLUMN())),"N/A")</f>
        <v>134.85</v>
      </c>
      <c r="Q875" s="209">
        <f>IFERROR(_xll.ciqfunctions.udf.CIQHI(MO.Ticker.CapIQ,"IQ_LASTSALEPRICE",INDEX(MO_SNA_FPStartDate,0,COLUMN()),INDEX(MO_Common_QEndDate,0,COLUMN())),"N/A")</f>
        <v>112.78</v>
      </c>
      <c r="R875" s="209">
        <f>IFERROR(_xll.ciqfunctions.udf.CIQHI(MO.Ticker.CapIQ,"IQ_LASTSALEPRICE",INDEX(MO_SNA_FPStartDate,0,COLUMN()),INDEX(MO_Common_QEndDate,0,COLUMN())),"N/A")</f>
        <v>111.73</v>
      </c>
      <c r="S875" s="209">
        <f>IFERROR(_xll.ciqfunctions.udf.CIQHI(MO.Ticker.CapIQ,"IQ_LASTSALEPRICE",INDEX(MO_SNA_FPStartDate,0,COLUMN()),INDEX(MO_Common_QEndDate,0,COLUMN())),"N/A")</f>
        <v>96.09</v>
      </c>
      <c r="T875" s="209">
        <f>IFERROR(_xll.ciqfunctions.udf.CIQHI(MO.Ticker.CapIQ,"IQ_LASTSALEPRICE",INDEX(MO_SNA_FPStartDate,0,COLUMN()),INDEX(MO_Common_QEndDate,0,COLUMN())),"N/A")</f>
        <v>98.14</v>
      </c>
      <c r="U875" s="209">
        <f>IFERROR(_xll.ciqfunctions.udf.CIQHI(MO.Ticker.CapIQ,"IQ_LASTSALEPRICE",INDEX(MO_SNA_FPStartDate,0,COLUMN()),INDEX(MO_Common_QEndDate,0,COLUMN())),"N/A")</f>
        <v>112.78</v>
      </c>
      <c r="V875" s="209">
        <f>IFERROR(_xll.ciqfunctions.udf.CIQHI(MO.Ticker.CapIQ,"IQ_LASTSALEPRICE",INDEX(MO_SNA_FPStartDate,0,COLUMN()),INDEX(MO_Common_QEndDate,0,COLUMN())),"N/A")</f>
        <v>97.69</v>
      </c>
      <c r="W875" s="209">
        <f>IFERROR(_xll.ciqfunctions.udf.CIQHI(MO.Ticker.CapIQ,"IQ_LASTSALEPRICE",INDEX(MO_SNA_FPStartDate,0,COLUMN()),INDEX(MO_Common_QEndDate,0,COLUMN())),"N/A")</f>
        <v>104.83</v>
      </c>
      <c r="X875" s="209">
        <f>IFERROR(_xll.ciqfunctions.udf.CIQHI(MO.Ticker.CapIQ,"IQ_LASTSALEPRICE",INDEX(MO_SNA_FPStartDate,0,COLUMN()),INDEX(MO_Common_QEndDate,0,COLUMN())),"N/A")</f>
        <v>107.03</v>
      </c>
      <c r="Y875" s="209">
        <f>IFERROR(_xll.ciqfunctions.udf.CIQHI(MO.Ticker.CapIQ,"IQ_LASTSALEPRICE",INDEX(MO_SNA_FPStartDate,0,COLUMN()),INDEX(MO_Common_QEndDate,0,COLUMN())),"N/A")</f>
        <v>118.77</v>
      </c>
      <c r="Z875" s="209">
        <f>IFERROR(_xll.ciqfunctions.udf.CIQHI(MO.Ticker.CapIQ,"IQ_LASTSALEPRICE",INDEX(MO_SNA_FPStartDate,0,COLUMN()),INDEX(MO_Common_QEndDate,0,COLUMN())),"N/A")</f>
        <v>118.77</v>
      </c>
      <c r="AA875" s="209">
        <f>IFERROR(_xll.ciqfunctions.udf.CIQHI(MO.Ticker.CapIQ,"IQ_LASTSALEPRICE",INDEX(MO_SNA_FPStartDate,0,COLUMN()),INDEX(MO_Common_QEndDate,0,COLUMN())),"N/A")</f>
        <v>117.85</v>
      </c>
      <c r="AB875" s="209">
        <f>IFERROR(_xll.ciqfunctions.udf.CIQHI(MO.Ticker.CapIQ,"IQ_LASTSALEPRICE",INDEX(MO_SNA_FPStartDate,0,COLUMN()),INDEX(MO_Common_QEndDate,0,COLUMN())),"N/A")</f>
        <v>109.43</v>
      </c>
      <c r="AC875" s="209">
        <f>IFERROR(_xll.ciqfunctions.udf.CIQHI(MO.Ticker.CapIQ,"IQ_LASTSALEPRICE",INDEX(MO_SNA_FPStartDate,0,COLUMN()),INDEX(MO_Common_QEndDate,0,COLUMN())),"N/A")</f>
        <v>117.99</v>
      </c>
      <c r="AD875" s="209">
        <f>IFERROR(_xll.ciqfunctions.udf.CIQHI(MO.Ticker.CapIQ,"IQ_LASTSALEPRICE",INDEX(MO_SNA_FPStartDate,0,COLUMN()),INDEX(MO_Common_QEndDate,0,COLUMN())),"N/A")</f>
        <v>125.98</v>
      </c>
      <c r="AE875" s="209">
        <f>IFERROR(_xll.ciqfunctions.udf.CIQHI(MO.Ticker.CapIQ,"IQ_LASTSALEPRICE",INDEX(MO_SNA_FPStartDate,0,COLUMN()),INDEX(MO_Common_QEndDate,0,COLUMN())),"N/A")</f>
        <v>125.98</v>
      </c>
      <c r="AF875" s="209">
        <f>IFERROR(_xll.ciqfunctions.udf.CIQHI(MO.Ticker.CapIQ,"IQ_LASTSALEPRICE",INDEX(MO_SNA_FPStartDate,0,COLUMN()),INDEX(MO_Common_QEndDate,0,COLUMN())),"N/A")</f>
        <v>133.6</v>
      </c>
      <c r="AG875" s="209">
        <f>IFERROR(_xll.ciqfunctions.udf.CIQHI(MO.Ticker.CapIQ,"IQ_LASTSALEPRICE",INDEX(MO_SNA_FPStartDate,0,COLUMN()),INDEX(MO_Common_QEndDate,0,COLUMN())),"N/A")</f>
        <v>130.38999999999999</v>
      </c>
      <c r="AH875" s="209">
        <f>IFERROR(_xll.ciqfunctions.udf.CIQHI(MO.Ticker.CapIQ,"IQ_LASTSALEPRICE",INDEX(MO_SNA_FPStartDate,0,COLUMN()),INDEX(MO_Common_QEndDate,0,COLUMN())),"N/A")</f>
        <v>127.83</v>
      </c>
      <c r="AI875" s="209">
        <f>IFERROR(_xll.ciqfunctions.udf.CIQHI(MO.Ticker.CapIQ,"IQ_LASTSALEPRICE",INDEX(MO_SNA_FPStartDate,0,COLUMN()),INDEX(MO_Common_QEndDate,0,COLUMN())),"N/A")</f>
        <v>126.82</v>
      </c>
      <c r="AJ875" s="209">
        <f>IFERROR(_xll.ciqfunctions.udf.CIQHI(MO.Ticker.CapIQ,"IQ_LASTSALEPRICE",INDEX(MO_SNA_FPStartDate,0,COLUMN()),INDEX(MO_Common_QEndDate,0,COLUMN())),"N/A")</f>
        <v>133.6</v>
      </c>
      <c r="AK875" s="209">
        <f>IFERROR(_xll.ciqfunctions.udf.CIQHI(MO.Ticker.CapIQ,"IQ_LASTSALEPRICE",INDEX(MO_SNA_FPStartDate,0,COLUMN()),INDEX(MO_Common_QEndDate,0,COLUMN())),"N/A")</f>
        <v>125.88</v>
      </c>
      <c r="AL875" s="209">
        <f>IFERROR(_xll.ciqfunctions.udf.CIQHI(MO.Ticker.CapIQ,"IQ_LASTSALEPRICE",INDEX(MO_SNA_FPStartDate,0,COLUMN()),INDEX(MO_Common_QEndDate,0,COLUMN())),"N/A")</f>
        <v>126.68</v>
      </c>
      <c r="AM875" s="209">
        <f>IFERROR(_xll.ciqfunctions.udf.CIQHI(MO.Ticker.CapIQ,"IQ_LASTSALEPRICE",INDEX(MO_SNA_FPStartDate,0,COLUMN()),INDEX(MO_Common_QEndDate,0,COLUMN())),"N/A")</f>
        <v>126.54</v>
      </c>
      <c r="AN875" s="209">
        <f>IFERROR(_xll.ciqfunctions.udf.CIQHI(MO.Ticker.CapIQ,"IQ_LASTSALEPRICE",INDEX(MO_SNA_FPStartDate,0,COLUMN()),INDEX(MO_Common_QEndDate,0,COLUMN())),"N/A")</f>
        <v>122.28</v>
      </c>
      <c r="AO875" s="209">
        <f>IFERROR(_xll.ciqfunctions.udf.CIQHI(MO.Ticker.CapIQ,"IQ_LASTSALEPRICE",INDEX(MO_SNA_FPStartDate,0,COLUMN()),INDEX(MO_Common_QEndDate,0,COLUMN())),"N/A")</f>
        <v>126.68</v>
      </c>
      <c r="AP875" s="209">
        <f>IFERROR(_xll.ciqfunctions.udf.CIQHI(MO.Ticker.CapIQ,"IQ_LASTSALEPRICE",INDEX(MO_SNA_FPStartDate,0,COLUMN()),INDEX(MO_Common_QEndDate,0,COLUMN())),"N/A")</f>
        <v>121.43</v>
      </c>
      <c r="AQ875" s="209">
        <f>IFERROR(_xll.ciqfunctions.udf.CIQHI(MO.Ticker.CapIQ,"IQ_LASTSALEPRICE",INDEX(MO_SNA_FPStartDate,0,COLUMN()),INDEX(MO_Common_QEndDate,0,COLUMN())),"N/A")</f>
        <v>103.24</v>
      </c>
      <c r="AR875" s="209">
        <f>IFERROR(_xll.ciqfunctions.udf.CIQHI(MO.Ticker.CapIQ,"IQ_LASTSALEPRICE",INDEX(MO_SNA_FPStartDate,0,COLUMN()),INDEX(MO_Common_QEndDate,0,COLUMN())),"N/A")</f>
        <v>91.39</v>
      </c>
      <c r="AS875" s="209">
        <f>IFERROR(_xll.ciqfunctions.udf.CIQHI(MO.Ticker.CapIQ,"IQ_LASTSALEPRICE",INDEX(MO_SNA_FPStartDate,0,COLUMN()),INDEX(MO_Common_QEndDate,0,COLUMN())),"N/A")</f>
        <v>95.62</v>
      </c>
      <c r="AT875" s="209">
        <f>IFERROR(_xll.ciqfunctions.udf.CIQHI(MO.Ticker.CapIQ,"IQ_LASTSALEPRICE",INDEX(MO_SNA_FPStartDate,0,COLUMN()),INDEX(MO_Common_QEndDate,0,COLUMN())),"N/A")</f>
        <v>121.43</v>
      </c>
      <c r="AU875" s="209">
        <f>IFERROR(_xll.ciqfunctions.udf.CIQHI(MO.Ticker.CapIQ,"IQ_LASTSALEPRICE",INDEX(MO_SNA_FPStartDate,0,COLUMN()),INDEX(MO_Common_QEndDate,0,COLUMN())),"N/A")</f>
        <v>111.56</v>
      </c>
      <c r="AV875" s="209">
        <f>IFERROR(_xll.ciqfunctions.udf.CIQHI(MO.Ticker.CapIQ,"IQ_LASTSALEPRICE",INDEX(MO_SNA_FPStartDate,0,COLUMN()),INDEX(MO_Common_QEndDate,0,COLUMN())),"N/A")</f>
        <v>110.81</v>
      </c>
      <c r="AW875" s="209">
        <f>IFERROR(_xll.ciqfunctions.udf.CIQHI(MO.Ticker.CapIQ,"IQ_LASTSALEPRICE",INDEX(MO_SNA_FPStartDate,0,COLUMN()),INDEX(MO_Common_QEndDate,0,COLUMN())),"N/A")</f>
        <v>106.21</v>
      </c>
      <c r="AX875" s="209">
        <f>IFERROR(_xll.ciqfunctions.udf.CIQHI(MO.Ticker.CapIQ,"IQ_LASTSALEPRICE",INDEX(MO_SNA_FPStartDate,0,COLUMN()),INDEX(MO_Common_QEndDate,0,COLUMN())),"N/A")</f>
        <v>118.79</v>
      </c>
      <c r="AY875" s="209">
        <f>IFERROR(_xll.ciqfunctions.udf.CIQHI(MO.Ticker.CapIQ,"IQ_LASTSALEPRICE",INDEX(MO_SNA_FPStartDate,0,COLUMN()),INDEX(MO_Common_QEndDate,0,COLUMN())),"N/A")</f>
        <v>118.79</v>
      </c>
      <c r="AZ875" s="209">
        <f>IFERROR(_xll.ciqfunctions.udf.CIQHI(MO.Ticker.CapIQ,"IQ_LASTSALEPRICE",INDEX(MO_SNA_FPStartDate,0,COLUMN()),INDEX(MO_Common_QEndDate,0,COLUMN())),"N/A")</f>
        <v>170.9</v>
      </c>
      <c r="BA875" s="209">
        <f>IFERROR(_xll.ciqfunctions.udf.CIQHI(MO.Ticker.CapIQ,"IQ_LASTSALEPRICE",INDEX(MO_SNA_FPStartDate,0,COLUMN()),INDEX(MO_Common_QEndDate,0,COLUMN())),"N/A")</f>
        <v>181.13</v>
      </c>
      <c r="BB875" s="209">
        <f>IFERROR(_xll.ciqfunctions.udf.CIQHI(MO.Ticker.CapIQ,"IQ_LASTSALEPRICE",INDEX(MO_SNA_FPStartDate,0,COLUMN()),INDEX(MO_Common_QEndDate,0,COLUMN())),"N/A")</f>
        <v>164.63</v>
      </c>
      <c r="BC875" s="209">
        <f>IFERROR(_xll.ciqfunctions.udf.CIQHI(MO.Ticker.CapIQ,"IQ_LASTSALEPRICE",INDEX(MO_SNA_FPStartDate,0,COLUMN()),INDEX(MO_Common_QEndDate,0,COLUMN())),"N/A")</f>
        <v>188.05</v>
      </c>
      <c r="BD875" s="209">
        <f>IFERROR(_xll.ciqfunctions.udf.CIQHI(MO.Ticker.CapIQ,"IQ_LASTSALEPRICE",INDEX(MO_SNA_FPStartDate,0,COLUMN()),INDEX(MO_Common_QEndDate,0,COLUMN())),"N/A")</f>
        <v>188.05</v>
      </c>
      <c r="BE875" s="209">
        <f>IFERROR(_xll.ciqfunctions.udf.CIQHI(MO.Ticker.CapIQ,"IQ_LASTSALEPRICE",INDEX(MO_SNA_FPStartDate,0,COLUMN()),INDEX(MO_Common_QEndDate,0,COLUMN())),"N/A")</f>
        <v>187.79</v>
      </c>
      <c r="BF875" s="209">
        <f>IFERROR(_xll.ciqfunctions.udf.CIQHI(MO.Ticker.CapIQ,"IQ_LASTSALEPRICE",INDEX(MO_SNA_FPStartDate,0,COLUMN()),INDEX(MO_Common_QEndDate,0,COLUMN())),"N/A")</f>
        <v>172.44</v>
      </c>
      <c r="BG875" s="209">
        <f>IFERROR(_xll.ciqfunctions.udf.CIQHI(MO.Ticker.CapIQ,"IQ_LASTSALEPRICE",INDEX(MO_SNA_FPStartDate,0,COLUMN()),INDEX(MO_Common_QEndDate,0,COLUMN())),"N/A")</f>
        <v>171.04</v>
      </c>
      <c r="BH875" s="209">
        <f>IFERROR(_xll.ciqfunctions.udf.CIQHI(MO.Ticker.CapIQ,"IQ_LASTSALEPRICE",INDEX(MO_SNA_FPStartDate,0,COLUMN()),INDEX(MO_Common_QEndDate,0,COLUMN())),"N/A")</f>
        <v>169.1</v>
      </c>
      <c r="BI875" s="209">
        <f>IFERROR(_xll.ciqfunctions.udf.CIQHI(MO.Ticker.CapIQ,"IQ_LASTSALEPRICE",INDEX(MO_SNA_FPStartDate,0,COLUMN()),INDEX(MO_Common_QEndDate,0,COLUMN())),"N/A")</f>
        <v>187.79</v>
      </c>
      <c r="BJ875" s="209">
        <f>IFERROR(_xll.ciqfunctions.udf.CIQHI(MO.Ticker.CapIQ,"IQ_LASTSALEPRICE",INDEX(MO_SNA_FPStartDate,0,COLUMN()),INDEX(MO_Common_QEndDate,0,COLUMN())),"N/A")</f>
        <v>157.74</v>
      </c>
      <c r="BK875" s="209">
        <f>IFERROR(_xll.ciqfunctions.udf.CIQHI(MO.Ticker.CapIQ,"IQ_LASTSALEPRICE",INDEX(MO_SNA_FPStartDate,0,COLUMN()),INDEX(MO_Common_QEndDate,0,COLUMN())),"N/A")</f>
        <v>166.33</v>
      </c>
      <c r="BL875" s="209">
        <f>IFERROR(_xll.ciqfunctions.udf.CIQHI(MO.Ticker.CapIQ,"IQ_LASTSALEPRICE",INDEX(MO_SNA_FPStartDate,0,COLUMN()),INDEX(MO_Common_QEndDate,0,COLUMN())),"N/A")</f>
        <v>161.97</v>
      </c>
      <c r="BM875" s="209">
        <f>IFERROR(_xll.ciqfunctions.udf.CIQHI(MO.Ticker.CapIQ,"IQ_LASTSALEPRICE",INDEX(MO_SNA_FPStartDate,0,COLUMN()),INDEX(MO_Common_QEndDate,0,COLUMN())),"N/A")</f>
        <v>162.53</v>
      </c>
      <c r="BN875" s="209">
        <f>IFERROR(_xll.ciqfunctions.udf.CIQHI(MO.Ticker.CapIQ,"IQ_LASTSALEPRICE",INDEX(MO_SNA_FPStartDate,0,COLUMN()),INDEX(MO_Common_QEndDate,0,COLUMN())),"N/A")</f>
        <v>166.33</v>
      </c>
      <c r="BO875" s="209">
        <f>IFERROR(_xll.ciqfunctions.udf.CIQHI(MO.Ticker.CapIQ,"IQ_LASTSALEPRICE",INDEX(MO_SNA_FPStartDate,0,COLUMN()),INDEX(MO_Common_QEndDate,0,COLUMN())),"N/A")</f>
        <v>167.97</v>
      </c>
      <c r="BP875" s="209">
        <f>IFERROR(_xll.ciqfunctions.udf.CIQHI(MO.Ticker.CapIQ,"IQ_LASTSALEPRICE",INDEX(MO_SNA_FPStartDate,0,COLUMN()),INDEX(MO_Common_QEndDate,0,COLUMN())),"N/A")</f>
        <v>168.51</v>
      </c>
      <c r="BQ875" s="209">
        <f>IFERROR(_xll.ciqfunctions.udf.CIQHI(MO.Ticker.CapIQ,"IQ_LASTSALEPRICE",INDEX(MO_SNA_FPStartDate,0,COLUMN()),INDEX(MO_Common_QEndDate,0,COLUMN())),"N/A")</f>
        <v>161.83000000000001</v>
      </c>
      <c r="BR875" s="209">
        <f>IFERROR(_xll.ciqfunctions.udf.CIQHI(MO.Ticker.CapIQ,"IQ_LASTSALEPRICE",INDEX(MO_SNA_FPStartDate,0,COLUMN()),INDEX(MO_Common_QEndDate,0,COLUMN())),"N/A")</f>
        <v>157.72</v>
      </c>
      <c r="BS875" s="209">
        <f>IFERROR(_xll.ciqfunctions.udf.CIQHI(MO.Ticker.CapIQ,"IQ_LASTSALEPRICE",INDEX(MO_SNA_FPStartDate,0,COLUMN()),INDEX(MO_Common_QEndDate,0,COLUMN())),"N/A")</f>
        <v>168.51</v>
      </c>
      <c r="BT875" s="387">
        <f>IFERROR(_xll.ciqfunctions.udf.CIQHI(MO.Ticker.CapIQ,"IQ_LASTSALEPRICE",INDEX(MO_SNA_FPStartDate,0,COLUMN()),INDEX(MO_Common_QEndDate,0,COLUMN())),"N/A")</f>
        <v>211.15</v>
      </c>
      <c r="BU875" s="209">
        <f>IFERROR(_xll.ciqfunctions.udf.CIQHI(MO.Ticker.CapIQ,"IQ_LASTSALEPRICE",INDEX(MO_SNA_FPStartDate,0,COLUMN()),INDEX(MO_Common_QEndDate,0,COLUMN())),"N/A")</f>
        <v>201.54</v>
      </c>
      <c r="BV875" s="209">
        <f>IFERROR(_xll.ciqfunctions.udf.CIQHI(MO.Ticker.CapIQ,"IQ_LASTSALEPRICE",INDEX(MO_SNA_FPStartDate,0,COLUMN()),INDEX(MO_Common_QEndDate,0,COLUMN())),"N/A")</f>
        <v>0</v>
      </c>
      <c r="BW875" s="209">
        <f>IFERROR(_xll.ciqfunctions.udf.CIQHI(MO.Ticker.CapIQ,"IQ_LASTSALEPRICE",INDEX(MO_SNA_FPStartDate,0,COLUMN()),INDEX(MO_Common_QEndDate,0,COLUMN())),"N/A")</f>
        <v>0</v>
      </c>
      <c r="BX875" s="209">
        <f>IFERROR(_xll.ciqfunctions.udf.CIQHI(MO.Ticker.CapIQ,"IQ_LASTSALEPRICE",INDEX(MO_SNA_FPStartDate,0,COLUMN()),INDEX(MO_Common_QEndDate,0,COLUMN())),"N/A")</f>
        <v>211.15</v>
      </c>
      <c r="BY875" s="209">
        <f>IFERROR(_xll.ciqfunctions.udf.CIQHI(MO.Ticker.CapIQ,"IQ_LASTSALEPRICE",INDEX(MO_SNA_FPStartDate,0,COLUMN()),INDEX(MO_Common_QEndDate,0,COLUMN())),"N/A")</f>
        <v>0</v>
      </c>
      <c r="BZ875" s="209">
        <f>IFERROR(_xll.ciqfunctions.udf.CIQHI(MO.Ticker.CapIQ,"IQ_LASTSALEPRICE",INDEX(MO_SNA_FPStartDate,0,COLUMN()),INDEX(MO_Common_QEndDate,0,COLUMN())),"N/A")</f>
        <v>0</v>
      </c>
      <c r="CA875" s="209">
        <f>IFERROR(_xll.ciqfunctions.udf.CIQHI(MO.Ticker.CapIQ,"IQ_LASTSALEPRICE",INDEX(MO_SNA_FPStartDate,0,COLUMN()),INDEX(MO_Common_QEndDate,0,COLUMN())),"N/A")</f>
        <v>0</v>
      </c>
      <c r="CB875" s="209">
        <f>IFERROR(_xll.ciqfunctions.udf.CIQHI(MO.Ticker.CapIQ,"IQ_LASTSALEPRICE",INDEX(MO_SNA_FPStartDate,0,COLUMN()),INDEX(MO_Common_QEndDate,0,COLUMN())),"N/A")</f>
        <v>0</v>
      </c>
      <c r="CC875" s="209">
        <f>IFERROR(_xll.ciqfunctions.udf.CIQHI(MO.Ticker.CapIQ,"IQ_LASTSALEPRICE",INDEX(MO_SNA_FPStartDate,0,COLUMN()),INDEX(MO_Common_QEndDate,0,COLUMN())),"N/A")</f>
        <v>0</v>
      </c>
      <c r="CD875" s="209">
        <f>IFERROR(_xll.ciqfunctions.udf.CIQHI(MO.Ticker.CapIQ,"IQ_LASTSALEPRICE",INDEX(MO_SNA_FPStartDate,0,COLUMN()),INDEX(MO_Common_QEndDate,0,COLUMN())),"N/A")</f>
        <v>0</v>
      </c>
      <c r="CE875" s="209">
        <f>IFERROR(_xll.ciqfunctions.udf.CIQHI(MO.Ticker.CapIQ,"IQ_LASTSALEPRICE",INDEX(MO_SNA_FPStartDate,0,COLUMN()),INDEX(MO_Common_QEndDate,0,COLUMN())),"N/A")</f>
        <v>0</v>
      </c>
      <c r="CF875" s="210">
        <f>IFERROR(_xll.ciqfunctions.udf.CIQHI(MO.Ticker.CapIQ,"IQ_LASTSALEPRICE",INDEX(MO_SNA_FPStartDate,0,COLUMN()),INDEX(MO_Common_QEndDate,0,COLUMN())),"N/A")</f>
        <v>0</v>
      </c>
      <c r="CG875" s="260"/>
    </row>
    <row r="876" spans="1:85" s="445" customFormat="1" hidden="1" outlineLevel="1" x14ac:dyDescent="0.3">
      <c r="A876" s="211" t="s">
        <v>375</v>
      </c>
      <c r="B876" s="209"/>
      <c r="C876" s="288" t="str">
        <f ca="1">IFERROR(FDS(MO.Ticker.FactSet,"P_PRICE_HIGH"&amp;"("&amp;INDEX(MO_SNA_FPStartDate,0,COLUMN())&amp;","&amp;INDEX(MO_Common_QEndDate,0,COLUMN())&amp;",,,,""PRICE"",""CLOSE"")"),"N/A")</f>
        <v>N/A</v>
      </c>
      <c r="D876" s="288" t="str">
        <f ca="1">IFERROR(FDS(MO.Ticker.FactSet,"P_PRICE_HIGH"&amp;"("&amp;INDEX(MO_SNA_FPStartDate,0,COLUMN())&amp;","&amp;INDEX(MO_Common_QEndDate,0,COLUMN())&amp;",,,,""PRICE"",""CLOSE"")"),"N/A")</f>
        <v>N/A</v>
      </c>
      <c r="E876" s="209" t="str">
        <f ca="1">IFERROR(FDS(MO.Ticker.FactSet,"P_PRICE_HIGH"&amp;"("&amp;INDEX(MO_SNA_FPStartDate,0,COLUMN())&amp;","&amp;INDEX(MO_Common_QEndDate,0,COLUMN())&amp;",,,,""PRICE"",""CLOSE"")"),"N/A")</f>
        <v>N/A</v>
      </c>
      <c r="F876" s="209" t="str">
        <f ca="1">IFERROR(FDS(MO.Ticker.FactSet,"P_PRICE_HIGH"&amp;"("&amp;INDEX(MO_SNA_FPStartDate,0,COLUMN())&amp;","&amp;INDEX(MO_Common_QEndDate,0,COLUMN())&amp;",,,,""PRICE"",""CLOSE"")"),"N/A")</f>
        <v>N/A</v>
      </c>
      <c r="G876" s="209" t="str">
        <f ca="1">IFERROR(FDS(MO.Ticker.FactSet,"P_PRICE_HIGH"&amp;"("&amp;INDEX(MO_SNA_FPStartDate,0,COLUMN())&amp;","&amp;INDEX(MO_Common_QEndDate,0,COLUMN())&amp;",,,,""PRICE"",""CLOSE"")"),"N/A")</f>
        <v>N/A</v>
      </c>
      <c r="H876" s="209" t="str">
        <f ca="1">IFERROR(FDS(MO.Ticker.FactSet,"P_PRICE_HIGH"&amp;"("&amp;INDEX(MO_SNA_FPStartDate,0,COLUMN())&amp;","&amp;INDEX(MO_Common_QEndDate,0,COLUMN())&amp;",,,,""PRICE"",""CLOSE"")"),"N/A")</f>
        <v>N/A</v>
      </c>
      <c r="I876" s="209" t="str">
        <f ca="1">IFERROR(FDS(MO.Ticker.FactSet,"P_PRICE_HIGH"&amp;"("&amp;INDEX(MO_SNA_FPStartDate,0,COLUMN())&amp;","&amp;INDEX(MO_Common_QEndDate,0,COLUMN())&amp;",,,,""PRICE"",""CLOSE"")"),"N/A")</f>
        <v>N/A</v>
      </c>
      <c r="J876" s="209" t="str">
        <f ca="1">IFERROR(FDS(MO.Ticker.FactSet,"P_PRICE_HIGH"&amp;"("&amp;INDEX(MO_SNA_FPStartDate,0,COLUMN())&amp;","&amp;INDEX(MO_Common_QEndDate,0,COLUMN())&amp;",,,,""PRICE"",""CLOSE"")"),"N/A")</f>
        <v>N/A</v>
      </c>
      <c r="K876" s="209" t="str">
        <f ca="1">IFERROR(FDS(MO.Ticker.FactSet,"P_PRICE_HIGH"&amp;"("&amp;INDEX(MO_SNA_FPStartDate,0,COLUMN())&amp;","&amp;INDEX(MO_Common_QEndDate,0,COLUMN())&amp;",,,,""PRICE"",""CLOSE"")"),"N/A")</f>
        <v>N/A</v>
      </c>
      <c r="L876" s="209" t="str">
        <f ca="1">IFERROR(FDS(MO.Ticker.FactSet,"P_PRICE_HIGH"&amp;"("&amp;INDEX(MO_SNA_FPStartDate,0,COLUMN())&amp;","&amp;INDEX(MO_Common_QEndDate,0,COLUMN())&amp;",,,,""PRICE"",""CLOSE"")"),"N/A")</f>
        <v>N/A</v>
      </c>
      <c r="M876" s="209" t="str">
        <f ca="1">IFERROR(FDS(MO.Ticker.FactSet,"P_PRICE_HIGH"&amp;"("&amp;INDEX(MO_SNA_FPStartDate,0,COLUMN())&amp;","&amp;INDEX(MO_Common_QEndDate,0,COLUMN())&amp;",,,,""PRICE"",""CLOSE"")"),"N/A")</f>
        <v>N/A</v>
      </c>
      <c r="N876" s="209" t="str">
        <f ca="1">IFERROR(FDS(MO.Ticker.FactSet,"P_PRICE_HIGH"&amp;"("&amp;INDEX(MO_SNA_FPStartDate,0,COLUMN())&amp;","&amp;INDEX(MO_Common_QEndDate,0,COLUMN())&amp;",,,,""PRICE"",""CLOSE"")"),"N/A")</f>
        <v>N/A</v>
      </c>
      <c r="O876" s="209" t="str">
        <f ca="1">IFERROR(FDS(MO.Ticker.FactSet,"P_PRICE_HIGH"&amp;"("&amp;INDEX(MO_SNA_FPStartDate,0,COLUMN())&amp;","&amp;INDEX(MO_Common_QEndDate,0,COLUMN())&amp;",,,,""PRICE"",""CLOSE"")"),"N/A")</f>
        <v>N/A</v>
      </c>
      <c r="P876" s="209" t="str">
        <f ca="1">IFERROR(FDS(MO.Ticker.FactSet,"P_PRICE_HIGH"&amp;"("&amp;INDEX(MO_SNA_FPStartDate,0,COLUMN())&amp;","&amp;INDEX(MO_Common_QEndDate,0,COLUMN())&amp;",,,,""PRICE"",""CLOSE"")"),"N/A")</f>
        <v>N/A</v>
      </c>
      <c r="Q876" s="209" t="str">
        <f ca="1">IFERROR(FDS(MO.Ticker.FactSet,"P_PRICE_HIGH"&amp;"("&amp;INDEX(MO_SNA_FPStartDate,0,COLUMN())&amp;","&amp;INDEX(MO_Common_QEndDate,0,COLUMN())&amp;",,,,""PRICE"",""CLOSE"")"),"N/A")</f>
        <v>N/A</v>
      </c>
      <c r="R876" s="209" t="str">
        <f ca="1">IFERROR(FDS(MO.Ticker.FactSet,"P_PRICE_HIGH"&amp;"("&amp;INDEX(MO_SNA_FPStartDate,0,COLUMN())&amp;","&amp;INDEX(MO_Common_QEndDate,0,COLUMN())&amp;",,,,""PRICE"",""CLOSE"")"),"N/A")</f>
        <v>N/A</v>
      </c>
      <c r="S876" s="209" t="str">
        <f ca="1">IFERROR(FDS(MO.Ticker.FactSet,"P_PRICE_HIGH"&amp;"("&amp;INDEX(MO_SNA_FPStartDate,0,COLUMN())&amp;","&amp;INDEX(MO_Common_QEndDate,0,COLUMN())&amp;",,,,""PRICE"",""CLOSE"")"),"N/A")</f>
        <v>N/A</v>
      </c>
      <c r="T876" s="209" t="str">
        <f ca="1">IFERROR(FDS(MO.Ticker.FactSet,"P_PRICE_HIGH"&amp;"("&amp;INDEX(MO_SNA_FPStartDate,0,COLUMN())&amp;","&amp;INDEX(MO_Common_QEndDate,0,COLUMN())&amp;",,,,""PRICE"",""CLOSE"")"),"N/A")</f>
        <v>N/A</v>
      </c>
      <c r="U876" s="209" t="str">
        <f ca="1">IFERROR(FDS(MO.Ticker.FactSet,"P_PRICE_HIGH"&amp;"("&amp;INDEX(MO_SNA_FPStartDate,0,COLUMN())&amp;","&amp;INDEX(MO_Common_QEndDate,0,COLUMN())&amp;",,,,""PRICE"",""CLOSE"")"),"N/A")</f>
        <v>N/A</v>
      </c>
      <c r="V876" s="209" t="str">
        <f ca="1">IFERROR(FDS(MO.Ticker.FactSet,"P_PRICE_HIGH"&amp;"("&amp;INDEX(MO_SNA_FPStartDate,0,COLUMN())&amp;","&amp;INDEX(MO_Common_QEndDate,0,COLUMN())&amp;",,,,""PRICE"",""CLOSE"")"),"N/A")</f>
        <v>N/A</v>
      </c>
      <c r="W876" s="209" t="str">
        <f ca="1">IFERROR(FDS(MO.Ticker.FactSet,"P_PRICE_HIGH"&amp;"("&amp;INDEX(MO_SNA_FPStartDate,0,COLUMN())&amp;","&amp;INDEX(MO_Common_QEndDate,0,COLUMN())&amp;",,,,""PRICE"",""CLOSE"")"),"N/A")</f>
        <v>N/A</v>
      </c>
      <c r="X876" s="209" t="str">
        <f ca="1">IFERROR(FDS(MO.Ticker.FactSet,"P_PRICE_HIGH"&amp;"("&amp;INDEX(MO_SNA_FPStartDate,0,COLUMN())&amp;","&amp;INDEX(MO_Common_QEndDate,0,COLUMN())&amp;",,,,""PRICE"",""CLOSE"")"),"N/A")</f>
        <v>N/A</v>
      </c>
      <c r="Y876" s="209" t="str">
        <f ca="1">IFERROR(FDS(MO.Ticker.FactSet,"P_PRICE_HIGH"&amp;"("&amp;INDEX(MO_SNA_FPStartDate,0,COLUMN())&amp;","&amp;INDEX(MO_Common_QEndDate,0,COLUMN())&amp;",,,,""PRICE"",""CLOSE"")"),"N/A")</f>
        <v>N/A</v>
      </c>
      <c r="Z876" s="209" t="str">
        <f ca="1">IFERROR(FDS(MO.Ticker.FactSet,"P_PRICE_HIGH"&amp;"("&amp;INDEX(MO_SNA_FPStartDate,0,COLUMN())&amp;","&amp;INDEX(MO_Common_QEndDate,0,COLUMN())&amp;",,,,""PRICE"",""CLOSE"")"),"N/A")</f>
        <v>N/A</v>
      </c>
      <c r="AA876" s="209" t="str">
        <f ca="1">IFERROR(FDS(MO.Ticker.FactSet,"P_PRICE_HIGH"&amp;"("&amp;INDEX(MO_SNA_FPStartDate,0,COLUMN())&amp;","&amp;INDEX(MO_Common_QEndDate,0,COLUMN())&amp;",,,,""PRICE"",""CLOSE"")"),"N/A")</f>
        <v>N/A</v>
      </c>
      <c r="AB876" s="209" t="str">
        <f ca="1">IFERROR(FDS(MO.Ticker.FactSet,"P_PRICE_HIGH"&amp;"("&amp;INDEX(MO_SNA_FPStartDate,0,COLUMN())&amp;","&amp;INDEX(MO_Common_QEndDate,0,COLUMN())&amp;",,,,""PRICE"",""CLOSE"")"),"N/A")</f>
        <v>N/A</v>
      </c>
      <c r="AC876" s="209" t="str">
        <f ca="1">IFERROR(FDS(MO.Ticker.FactSet,"P_PRICE_HIGH"&amp;"("&amp;INDEX(MO_SNA_FPStartDate,0,COLUMN())&amp;","&amp;INDEX(MO_Common_QEndDate,0,COLUMN())&amp;",,,,""PRICE"",""CLOSE"")"),"N/A")</f>
        <v>N/A</v>
      </c>
      <c r="AD876" s="209" t="str">
        <f ca="1">IFERROR(FDS(MO.Ticker.FactSet,"P_PRICE_HIGH"&amp;"("&amp;INDEX(MO_SNA_FPStartDate,0,COLUMN())&amp;","&amp;INDEX(MO_Common_QEndDate,0,COLUMN())&amp;",,,,""PRICE"",""CLOSE"")"),"N/A")</f>
        <v>N/A</v>
      </c>
      <c r="AE876" s="209" t="str">
        <f ca="1">IFERROR(FDS(MO.Ticker.FactSet,"P_PRICE_HIGH"&amp;"("&amp;INDEX(MO_SNA_FPStartDate,0,COLUMN())&amp;","&amp;INDEX(MO_Common_QEndDate,0,COLUMN())&amp;",,,,""PRICE"",""CLOSE"")"),"N/A")</f>
        <v>N/A</v>
      </c>
      <c r="AF876" s="209" t="str">
        <f ca="1">IFERROR(FDS(MO.Ticker.FactSet,"P_PRICE_HIGH"&amp;"("&amp;INDEX(MO_SNA_FPStartDate,0,COLUMN())&amp;","&amp;INDEX(MO_Common_QEndDate,0,COLUMN())&amp;",,,,""PRICE"",""CLOSE"")"),"N/A")</f>
        <v>N/A</v>
      </c>
      <c r="AG876" s="209" t="str">
        <f ca="1">IFERROR(FDS(MO.Ticker.FactSet,"P_PRICE_HIGH"&amp;"("&amp;INDEX(MO_SNA_FPStartDate,0,COLUMN())&amp;","&amp;INDEX(MO_Common_QEndDate,0,COLUMN())&amp;",,,,""PRICE"",""CLOSE"")"),"N/A")</f>
        <v>N/A</v>
      </c>
      <c r="AH876" s="209" t="str">
        <f ca="1">IFERROR(FDS(MO.Ticker.FactSet,"P_PRICE_HIGH"&amp;"("&amp;INDEX(MO_SNA_FPStartDate,0,COLUMN())&amp;","&amp;INDEX(MO_Common_QEndDate,0,COLUMN())&amp;",,,,""PRICE"",""CLOSE"")"),"N/A")</f>
        <v>N/A</v>
      </c>
      <c r="AI876" s="209" t="str">
        <f ca="1">IFERROR(FDS(MO.Ticker.FactSet,"P_PRICE_HIGH"&amp;"("&amp;INDEX(MO_SNA_FPStartDate,0,COLUMN())&amp;","&amp;INDEX(MO_Common_QEndDate,0,COLUMN())&amp;",,,,""PRICE"",""CLOSE"")"),"N/A")</f>
        <v>N/A</v>
      </c>
      <c r="AJ876" s="209" t="str">
        <f ca="1">IFERROR(FDS(MO.Ticker.FactSet,"P_PRICE_HIGH"&amp;"("&amp;INDEX(MO_SNA_FPStartDate,0,COLUMN())&amp;","&amp;INDEX(MO_Common_QEndDate,0,COLUMN())&amp;",,,,""PRICE"",""CLOSE"")"),"N/A")</f>
        <v>N/A</v>
      </c>
      <c r="AK876" s="209" t="str">
        <f ca="1">IFERROR(FDS(MO.Ticker.FactSet,"P_PRICE_HIGH"&amp;"("&amp;INDEX(MO_SNA_FPStartDate,0,COLUMN())&amp;","&amp;INDEX(MO_Common_QEndDate,0,COLUMN())&amp;",,,,""PRICE"",""CLOSE"")"),"N/A")</f>
        <v>N/A</v>
      </c>
      <c r="AL876" s="209" t="str">
        <f ca="1">IFERROR(FDS(MO.Ticker.FactSet,"P_PRICE_HIGH"&amp;"("&amp;INDEX(MO_SNA_FPStartDate,0,COLUMN())&amp;","&amp;INDEX(MO_Common_QEndDate,0,COLUMN())&amp;",,,,""PRICE"",""CLOSE"")"),"N/A")</f>
        <v>N/A</v>
      </c>
      <c r="AM876" s="209" t="str">
        <f ca="1">IFERROR(FDS(MO.Ticker.FactSet,"P_PRICE_HIGH"&amp;"("&amp;INDEX(MO_SNA_FPStartDate,0,COLUMN())&amp;","&amp;INDEX(MO_Common_QEndDate,0,COLUMN())&amp;",,,,""PRICE"",""CLOSE"")"),"N/A")</f>
        <v>N/A</v>
      </c>
      <c r="AN876" s="209" t="str">
        <f ca="1">IFERROR(FDS(MO.Ticker.FactSet,"P_PRICE_HIGH"&amp;"("&amp;INDEX(MO_SNA_FPStartDate,0,COLUMN())&amp;","&amp;INDEX(MO_Common_QEndDate,0,COLUMN())&amp;",,,,""PRICE"",""CLOSE"")"),"N/A")</f>
        <v>N/A</v>
      </c>
      <c r="AO876" s="209" t="str">
        <f ca="1">IFERROR(FDS(MO.Ticker.FactSet,"P_PRICE_HIGH"&amp;"("&amp;INDEX(MO_SNA_FPStartDate,0,COLUMN())&amp;","&amp;INDEX(MO_Common_QEndDate,0,COLUMN())&amp;",,,,""PRICE"",""CLOSE"")"),"N/A")</f>
        <v>N/A</v>
      </c>
      <c r="AP876" s="209" t="str">
        <f ca="1">IFERROR(FDS(MO.Ticker.FactSet,"P_PRICE_HIGH"&amp;"("&amp;INDEX(MO_SNA_FPStartDate,0,COLUMN())&amp;","&amp;INDEX(MO_Common_QEndDate,0,COLUMN())&amp;",,,,""PRICE"",""CLOSE"")"),"N/A")</f>
        <v>N/A</v>
      </c>
      <c r="AQ876" s="209" t="str">
        <f ca="1">IFERROR(FDS(MO.Ticker.FactSet,"P_PRICE_HIGH"&amp;"("&amp;INDEX(MO_SNA_FPStartDate,0,COLUMN())&amp;","&amp;INDEX(MO_Common_QEndDate,0,COLUMN())&amp;",,,,""PRICE"",""CLOSE"")"),"N/A")</f>
        <v>N/A</v>
      </c>
      <c r="AR876" s="209" t="str">
        <f ca="1">IFERROR(FDS(MO.Ticker.FactSet,"P_PRICE_HIGH"&amp;"("&amp;INDEX(MO_SNA_FPStartDate,0,COLUMN())&amp;","&amp;INDEX(MO_Common_QEndDate,0,COLUMN())&amp;",,,,""PRICE"",""CLOSE"")"),"N/A")</f>
        <v>N/A</v>
      </c>
      <c r="AS876" s="209" t="str">
        <f ca="1">IFERROR(FDS(MO.Ticker.FactSet,"P_PRICE_HIGH"&amp;"("&amp;INDEX(MO_SNA_FPStartDate,0,COLUMN())&amp;","&amp;INDEX(MO_Common_QEndDate,0,COLUMN())&amp;",,,,""PRICE"",""CLOSE"")"),"N/A")</f>
        <v>N/A</v>
      </c>
      <c r="AT876" s="209" t="str">
        <f ca="1">IFERROR(FDS(MO.Ticker.FactSet,"P_PRICE_HIGH"&amp;"("&amp;INDEX(MO_SNA_FPStartDate,0,COLUMN())&amp;","&amp;INDEX(MO_Common_QEndDate,0,COLUMN())&amp;",,,,""PRICE"",""CLOSE"")"),"N/A")</f>
        <v>N/A</v>
      </c>
      <c r="AU876" s="209" t="str">
        <f ca="1">IFERROR(FDS(MO.Ticker.FactSet,"P_PRICE_HIGH"&amp;"("&amp;INDEX(MO_SNA_FPStartDate,0,COLUMN())&amp;","&amp;INDEX(MO_Common_QEndDate,0,COLUMN())&amp;",,,,""PRICE"",""CLOSE"")"),"N/A")</f>
        <v>N/A</v>
      </c>
      <c r="AV876" s="209" t="str">
        <f ca="1">IFERROR(FDS(MO.Ticker.FactSet,"P_PRICE_HIGH"&amp;"("&amp;INDEX(MO_SNA_FPStartDate,0,COLUMN())&amp;","&amp;INDEX(MO_Common_QEndDate,0,COLUMN())&amp;",,,,""PRICE"",""CLOSE"")"),"N/A")</f>
        <v>N/A</v>
      </c>
      <c r="AW876" s="209" t="str">
        <f ca="1">IFERROR(FDS(MO.Ticker.FactSet,"P_PRICE_HIGH"&amp;"("&amp;INDEX(MO_SNA_FPStartDate,0,COLUMN())&amp;","&amp;INDEX(MO_Common_QEndDate,0,COLUMN())&amp;",,,,""PRICE"",""CLOSE"")"),"N/A")</f>
        <v>N/A</v>
      </c>
      <c r="AX876" s="209" t="str">
        <f ca="1">IFERROR(FDS(MO.Ticker.FactSet,"P_PRICE_HIGH"&amp;"("&amp;INDEX(MO_SNA_FPStartDate,0,COLUMN())&amp;","&amp;INDEX(MO_Common_QEndDate,0,COLUMN())&amp;",,,,""PRICE"",""CLOSE"")"),"N/A")</f>
        <v>N/A</v>
      </c>
      <c r="AY876" s="209" t="str">
        <f ca="1">IFERROR(FDS(MO.Ticker.FactSet,"P_PRICE_HIGH"&amp;"("&amp;INDEX(MO_SNA_FPStartDate,0,COLUMN())&amp;","&amp;INDEX(MO_Common_QEndDate,0,COLUMN())&amp;",,,,""PRICE"",""CLOSE"")"),"N/A")</f>
        <v>N/A</v>
      </c>
      <c r="AZ876" s="209" t="str">
        <f ca="1">IFERROR(FDS(MO.Ticker.FactSet,"P_PRICE_HIGH"&amp;"("&amp;INDEX(MO_SNA_FPStartDate,0,COLUMN())&amp;","&amp;INDEX(MO_Common_QEndDate,0,COLUMN())&amp;",,,,""PRICE"",""CLOSE"")"),"N/A")</f>
        <v>N/A</v>
      </c>
      <c r="BA876" s="209" t="str">
        <f ca="1">IFERROR(FDS(MO.Ticker.FactSet,"P_PRICE_HIGH"&amp;"("&amp;INDEX(MO_SNA_FPStartDate,0,COLUMN())&amp;","&amp;INDEX(MO_Common_QEndDate,0,COLUMN())&amp;",,,,""PRICE"",""CLOSE"")"),"N/A")</f>
        <v>N/A</v>
      </c>
      <c r="BB876" s="209" t="str">
        <f ca="1">IFERROR(FDS(MO.Ticker.FactSet,"P_PRICE_HIGH"&amp;"("&amp;INDEX(MO_SNA_FPStartDate,0,COLUMN())&amp;","&amp;INDEX(MO_Common_QEndDate,0,COLUMN())&amp;",,,,""PRICE"",""CLOSE"")"),"N/A")</f>
        <v>N/A</v>
      </c>
      <c r="BC876" s="209" t="str">
        <f ca="1">IFERROR(FDS(MO.Ticker.FactSet,"P_PRICE_HIGH"&amp;"("&amp;INDEX(MO_SNA_FPStartDate,0,COLUMN())&amp;","&amp;INDEX(MO_Common_QEndDate,0,COLUMN())&amp;",,,,""PRICE"",""CLOSE"")"),"N/A")</f>
        <v>N/A</v>
      </c>
      <c r="BD876" s="209" t="str">
        <f ca="1">IFERROR(FDS(MO.Ticker.FactSet,"P_PRICE_HIGH"&amp;"("&amp;INDEX(MO_SNA_FPStartDate,0,COLUMN())&amp;","&amp;INDEX(MO_Common_QEndDate,0,COLUMN())&amp;",,,,""PRICE"",""CLOSE"")"),"N/A")</f>
        <v>N/A</v>
      </c>
      <c r="BE876" s="209" t="str">
        <f ca="1">IFERROR(FDS(MO.Ticker.FactSet,"P_PRICE_HIGH"&amp;"("&amp;INDEX(MO_SNA_FPStartDate,0,COLUMN())&amp;","&amp;INDEX(MO_Common_QEndDate,0,COLUMN())&amp;",,,,""PRICE"",""CLOSE"")"),"N/A")</f>
        <v>N/A</v>
      </c>
      <c r="BF876" s="209" t="str">
        <f ca="1">IFERROR(FDS(MO.Ticker.FactSet,"P_PRICE_HIGH"&amp;"("&amp;INDEX(MO_SNA_FPStartDate,0,COLUMN())&amp;","&amp;INDEX(MO_Common_QEndDate,0,COLUMN())&amp;",,,,""PRICE"",""CLOSE"")"),"N/A")</f>
        <v>N/A</v>
      </c>
      <c r="BG876" s="209" t="str">
        <f ca="1">IFERROR(FDS(MO.Ticker.FactSet,"P_PRICE_HIGH"&amp;"("&amp;INDEX(MO_SNA_FPStartDate,0,COLUMN())&amp;","&amp;INDEX(MO_Common_QEndDate,0,COLUMN())&amp;",,,,""PRICE"",""CLOSE"")"),"N/A")</f>
        <v>N/A</v>
      </c>
      <c r="BH876" s="209" t="str">
        <f ca="1">IFERROR(FDS(MO.Ticker.FactSet,"P_PRICE_HIGH"&amp;"("&amp;INDEX(MO_SNA_FPStartDate,0,COLUMN())&amp;","&amp;INDEX(MO_Common_QEndDate,0,COLUMN())&amp;",,,,""PRICE"",""CLOSE"")"),"N/A")</f>
        <v>N/A</v>
      </c>
      <c r="BI876" s="209" t="str">
        <f ca="1">IFERROR(FDS(MO.Ticker.FactSet,"P_PRICE_HIGH"&amp;"("&amp;INDEX(MO_SNA_FPStartDate,0,COLUMN())&amp;","&amp;INDEX(MO_Common_QEndDate,0,COLUMN())&amp;",,,,""PRICE"",""CLOSE"")"),"N/A")</f>
        <v>N/A</v>
      </c>
      <c r="BJ876" s="209" t="str">
        <f ca="1">IFERROR(FDS(MO.Ticker.FactSet,"P_PRICE_HIGH"&amp;"("&amp;INDEX(MO_SNA_FPStartDate,0,COLUMN())&amp;","&amp;INDEX(MO_Common_QEndDate,0,COLUMN())&amp;",,,,""PRICE"",""CLOSE"")"),"N/A")</f>
        <v>N/A</v>
      </c>
      <c r="BK876" s="209" t="str">
        <f ca="1">IFERROR(FDS(MO.Ticker.FactSet,"P_PRICE_HIGH"&amp;"("&amp;INDEX(MO_SNA_FPStartDate,0,COLUMN())&amp;","&amp;INDEX(MO_Common_QEndDate,0,COLUMN())&amp;",,,,""PRICE"",""CLOSE"")"),"N/A")</f>
        <v>N/A</v>
      </c>
      <c r="BL876" s="209" t="str">
        <f ca="1">IFERROR(FDS(MO.Ticker.FactSet,"P_PRICE_HIGH"&amp;"("&amp;INDEX(MO_SNA_FPStartDate,0,COLUMN())&amp;","&amp;INDEX(MO_Common_QEndDate,0,COLUMN())&amp;",,,,""PRICE"",""CLOSE"")"),"N/A")</f>
        <v>N/A</v>
      </c>
      <c r="BM876" s="209" t="str">
        <f ca="1">IFERROR(FDS(MO.Ticker.FactSet,"P_PRICE_HIGH"&amp;"("&amp;INDEX(MO_SNA_FPStartDate,0,COLUMN())&amp;","&amp;INDEX(MO_Common_QEndDate,0,COLUMN())&amp;",,,,""PRICE"",""CLOSE"")"),"N/A")</f>
        <v>N/A</v>
      </c>
      <c r="BN876" s="209" t="str">
        <f ca="1">IFERROR(FDS(MO.Ticker.FactSet,"P_PRICE_HIGH"&amp;"("&amp;INDEX(MO_SNA_FPStartDate,0,COLUMN())&amp;","&amp;INDEX(MO_Common_QEndDate,0,COLUMN())&amp;",,,,""PRICE"",""CLOSE"")"),"N/A")</f>
        <v>N/A</v>
      </c>
      <c r="BO876" s="209" t="str">
        <f ca="1">IFERROR(FDS(MO.Ticker.FactSet,"P_PRICE_HIGH"&amp;"("&amp;INDEX(MO_SNA_FPStartDate,0,COLUMN())&amp;","&amp;INDEX(MO_Common_QEndDate,0,COLUMN())&amp;",,,,""PRICE"",""CLOSE"")"),"N/A")</f>
        <v>N/A</v>
      </c>
      <c r="BP876" s="209" t="str">
        <f ca="1">IFERROR(FDS(MO.Ticker.FactSet,"P_PRICE_HIGH"&amp;"("&amp;INDEX(MO_SNA_FPStartDate,0,COLUMN())&amp;","&amp;INDEX(MO_Common_QEndDate,0,COLUMN())&amp;",,,,""PRICE"",""CLOSE"")"),"N/A")</f>
        <v>N/A</v>
      </c>
      <c r="BQ876" s="209" t="str">
        <f ca="1">IFERROR(FDS(MO.Ticker.FactSet,"P_PRICE_HIGH"&amp;"("&amp;INDEX(MO_SNA_FPStartDate,0,COLUMN())&amp;","&amp;INDEX(MO_Common_QEndDate,0,COLUMN())&amp;",,,,""PRICE"",""CLOSE"")"),"N/A")</f>
        <v>N/A</v>
      </c>
      <c r="BR876" s="209" t="str">
        <f ca="1">IFERROR(FDS(MO.Ticker.FactSet,"P_PRICE_HIGH"&amp;"("&amp;INDEX(MO_SNA_FPStartDate,0,COLUMN())&amp;","&amp;INDEX(MO_Common_QEndDate,0,COLUMN())&amp;",,,,""PRICE"",""CLOSE"")"),"N/A")</f>
        <v>N/A</v>
      </c>
      <c r="BS876" s="209" t="str">
        <f ca="1">IFERROR(FDS(MO.Ticker.FactSet,"P_PRICE_HIGH"&amp;"("&amp;INDEX(MO_SNA_FPStartDate,0,COLUMN())&amp;","&amp;INDEX(MO_Common_QEndDate,0,COLUMN())&amp;",,,,""PRICE"",""CLOSE"")"),"N/A")</f>
        <v>N/A</v>
      </c>
      <c r="BT876" s="387" t="str">
        <f ca="1">IFERROR(FDS(MO.Ticker.FactSet,"P_PRICE_HIGH"&amp;"("&amp;INDEX(MO_SNA_FPStartDate,0,COLUMN())&amp;","&amp;INDEX(MO_Common_QEndDate,0,COLUMN())&amp;",,,,""PRICE"",""CLOSE"")"),"N/A")</f>
        <v>N/A</v>
      </c>
      <c r="BU876" s="209" t="str">
        <f ca="1">IFERROR(FDS(MO.Ticker.FactSet,"P_PRICE_HIGH"&amp;"("&amp;INDEX(MO_SNA_FPStartDate,0,COLUMN())&amp;","&amp;INDEX(MO_Common_QEndDate,0,COLUMN())&amp;",,,,""PRICE"",""CLOSE"")"),"N/A")</f>
        <v>N/A</v>
      </c>
      <c r="BV876" s="209" t="str">
        <f ca="1">IFERROR(FDS(MO.Ticker.FactSet,"P_PRICE_HIGH"&amp;"("&amp;INDEX(MO_SNA_FPStartDate,0,COLUMN())&amp;","&amp;INDEX(MO_Common_QEndDate,0,COLUMN())&amp;",,,,""PRICE"",""CLOSE"")"),"N/A")</f>
        <v>N/A</v>
      </c>
      <c r="BW876" s="209" t="str">
        <f ca="1">IFERROR(FDS(MO.Ticker.FactSet,"P_PRICE_HIGH"&amp;"("&amp;INDEX(MO_SNA_FPStartDate,0,COLUMN())&amp;","&amp;INDEX(MO_Common_QEndDate,0,COLUMN())&amp;",,,,""PRICE"",""CLOSE"")"),"N/A")</f>
        <v>N/A</v>
      </c>
      <c r="BX876" s="209" t="str">
        <f ca="1">IFERROR(FDS(MO.Ticker.FactSet,"P_PRICE_HIGH"&amp;"("&amp;INDEX(MO_SNA_FPStartDate,0,COLUMN())&amp;","&amp;INDEX(MO_Common_QEndDate,0,COLUMN())&amp;",,,,""PRICE"",""CLOSE"")"),"N/A")</f>
        <v>N/A</v>
      </c>
      <c r="BY876" s="209" t="str">
        <f ca="1">IFERROR(FDS(MO.Ticker.FactSet,"P_PRICE_HIGH"&amp;"("&amp;INDEX(MO_SNA_FPStartDate,0,COLUMN())&amp;","&amp;INDEX(MO_Common_QEndDate,0,COLUMN())&amp;",,,,""PRICE"",""CLOSE"")"),"N/A")</f>
        <v>N/A</v>
      </c>
      <c r="BZ876" s="209" t="str">
        <f ca="1">IFERROR(FDS(MO.Ticker.FactSet,"P_PRICE_HIGH"&amp;"("&amp;INDEX(MO_SNA_FPStartDate,0,COLUMN())&amp;","&amp;INDEX(MO_Common_QEndDate,0,COLUMN())&amp;",,,,""PRICE"",""CLOSE"")"),"N/A")</f>
        <v>N/A</v>
      </c>
      <c r="CA876" s="209" t="str">
        <f ca="1">IFERROR(FDS(MO.Ticker.FactSet,"P_PRICE_HIGH"&amp;"("&amp;INDEX(MO_SNA_FPStartDate,0,COLUMN())&amp;","&amp;INDEX(MO_Common_QEndDate,0,COLUMN())&amp;",,,,""PRICE"",""CLOSE"")"),"N/A")</f>
        <v>N/A</v>
      </c>
      <c r="CB876" s="209" t="str">
        <f ca="1">IFERROR(FDS(MO.Ticker.FactSet,"P_PRICE_HIGH"&amp;"("&amp;INDEX(MO_SNA_FPStartDate,0,COLUMN())&amp;","&amp;INDEX(MO_Common_QEndDate,0,COLUMN())&amp;",,,,""PRICE"",""CLOSE"")"),"N/A")</f>
        <v>N/A</v>
      </c>
      <c r="CC876" s="209" t="str">
        <f ca="1">IFERROR(FDS(MO.Ticker.FactSet,"P_PRICE_HIGH"&amp;"("&amp;INDEX(MO_SNA_FPStartDate,0,COLUMN())&amp;","&amp;INDEX(MO_Common_QEndDate,0,COLUMN())&amp;",,,,""PRICE"",""CLOSE"")"),"N/A")</f>
        <v>N/A</v>
      </c>
      <c r="CD876" s="209" t="str">
        <f ca="1">IFERROR(FDS(MO.Ticker.FactSet,"P_PRICE_HIGH"&amp;"("&amp;INDEX(MO_SNA_FPStartDate,0,COLUMN())&amp;","&amp;INDEX(MO_Common_QEndDate,0,COLUMN())&amp;",,,,""PRICE"",""CLOSE"")"),"N/A")</f>
        <v>N/A</v>
      </c>
      <c r="CE876" s="209" t="str">
        <f ca="1">IFERROR(FDS(MO.Ticker.FactSet,"P_PRICE_HIGH"&amp;"("&amp;INDEX(MO_SNA_FPStartDate,0,COLUMN())&amp;","&amp;INDEX(MO_Common_QEndDate,0,COLUMN())&amp;",,,,""PRICE"",""CLOSE"")"),"N/A")</f>
        <v>N/A</v>
      </c>
      <c r="CF876" s="210" t="str">
        <f ca="1">IFERROR(FDS(MO.Ticker.FactSet,"P_PRICE_HIGH"&amp;"("&amp;INDEX(MO_SNA_FPStartDate,0,COLUMN())&amp;","&amp;INDEX(MO_Common_QEndDate,0,COLUMN())&amp;",,,,""PRICE"",""CLOSE"")"),"N/A")</f>
        <v>N/A</v>
      </c>
      <c r="CG876" s="260"/>
    </row>
    <row r="877" spans="1:85" s="445" customFormat="1" hidden="1" outlineLevel="1" x14ac:dyDescent="0.3">
      <c r="A877" s="211" t="s">
        <v>594</v>
      </c>
      <c r="B877" s="209"/>
      <c r="C877" s="288" t="str">
        <f ca="1">IFERROR(_xll.TR(MO.Ticker.Thomson,"MAX(TR.Pricehigh)","sdate:#1 edate:#2",,INDEX(MO_SNA_FPStartDate,0,COLUMN()),INDEX(MO_Common_QEndDate,0,COLUMN())),"N/A")</f>
        <v>N/A</v>
      </c>
      <c r="D877" s="288" t="str">
        <f ca="1">IFERROR(_xll.TR(MO.Ticker.Thomson,"MAX(TR.Pricehigh)","sdate:#1 edate:#2",,INDEX(MO_SNA_FPStartDate,0,COLUMN()),INDEX(MO_Common_QEndDate,0,COLUMN())),"N/A")</f>
        <v>N/A</v>
      </c>
      <c r="E877" s="209" t="str">
        <f ca="1">IFERROR(_xll.TR(MO.Ticker.Thomson,"MAX(TR.Pricehigh)","sdate:#1 edate:#2",,INDEX(MO_SNA_FPStartDate,0,COLUMN()),INDEX(MO_Common_QEndDate,0,COLUMN())),"N/A")</f>
        <v>N/A</v>
      </c>
      <c r="F877" s="209" t="str">
        <f ca="1">IFERROR(_xll.TR(MO.Ticker.Thomson,"MAX(TR.Pricehigh)","sdate:#1 edate:#2",,INDEX(MO_SNA_FPStartDate,0,COLUMN()),INDEX(MO_Common_QEndDate,0,COLUMN())),"N/A")</f>
        <v>N/A</v>
      </c>
      <c r="G877" s="209" t="str">
        <f ca="1">IFERROR(_xll.TR(MO.Ticker.Thomson,"MAX(TR.Pricehigh)","sdate:#1 edate:#2",,INDEX(MO_SNA_FPStartDate,0,COLUMN()),INDEX(MO_Common_QEndDate,0,COLUMN())),"N/A")</f>
        <v>N/A</v>
      </c>
      <c r="H877" s="209" t="str">
        <f ca="1">IFERROR(_xll.TR(MO.Ticker.Thomson,"MAX(TR.Pricehigh)","sdate:#1 edate:#2",,INDEX(MO_SNA_FPStartDate,0,COLUMN()),INDEX(MO_Common_QEndDate,0,COLUMN())),"N/A")</f>
        <v>N/A</v>
      </c>
      <c r="I877" s="209" t="str">
        <f ca="1">IFERROR(_xll.TR(MO.Ticker.Thomson,"MAX(TR.Pricehigh)","sdate:#1 edate:#2",,INDEX(MO_SNA_FPStartDate,0,COLUMN()),INDEX(MO_Common_QEndDate,0,COLUMN())),"N/A")</f>
        <v>N/A</v>
      </c>
      <c r="J877" s="209" t="str">
        <f ca="1">IFERROR(_xll.TR(MO.Ticker.Thomson,"MAX(TR.Pricehigh)","sdate:#1 edate:#2",,INDEX(MO_SNA_FPStartDate,0,COLUMN()),INDEX(MO_Common_QEndDate,0,COLUMN())),"N/A")</f>
        <v>N/A</v>
      </c>
      <c r="K877" s="209" t="str">
        <f ca="1">IFERROR(_xll.TR(MO.Ticker.Thomson,"MAX(TR.Pricehigh)","sdate:#1 edate:#2",,INDEX(MO_SNA_FPStartDate,0,COLUMN()),INDEX(MO_Common_QEndDate,0,COLUMN())),"N/A")</f>
        <v>N/A</v>
      </c>
      <c r="L877" s="209" t="str">
        <f ca="1">IFERROR(_xll.TR(MO.Ticker.Thomson,"MAX(TR.Pricehigh)","sdate:#1 edate:#2",,INDEX(MO_SNA_FPStartDate,0,COLUMN()),INDEX(MO_Common_QEndDate,0,COLUMN())),"N/A")</f>
        <v>N/A</v>
      </c>
      <c r="M877" s="209" t="str">
        <f ca="1">IFERROR(_xll.TR(MO.Ticker.Thomson,"MAX(TR.Pricehigh)","sdate:#1 edate:#2",,INDEX(MO_SNA_FPStartDate,0,COLUMN()),INDEX(MO_Common_QEndDate,0,COLUMN())),"N/A")</f>
        <v>N/A</v>
      </c>
      <c r="N877" s="209" t="str">
        <f ca="1">IFERROR(_xll.TR(MO.Ticker.Thomson,"MAX(TR.Pricehigh)","sdate:#1 edate:#2",,INDEX(MO_SNA_FPStartDate,0,COLUMN()),INDEX(MO_Common_QEndDate,0,COLUMN())),"N/A")</f>
        <v>N/A</v>
      </c>
      <c r="O877" s="209" t="str">
        <f ca="1">IFERROR(_xll.TR(MO.Ticker.Thomson,"MAX(TR.Pricehigh)","sdate:#1 edate:#2",,INDEX(MO_SNA_FPStartDate,0,COLUMN()),INDEX(MO_Common_QEndDate,0,COLUMN())),"N/A")</f>
        <v>N/A</v>
      </c>
      <c r="P877" s="209" t="str">
        <f ca="1">IFERROR(_xll.TR(MO.Ticker.Thomson,"MAX(TR.Pricehigh)","sdate:#1 edate:#2",,INDEX(MO_SNA_FPStartDate,0,COLUMN()),INDEX(MO_Common_QEndDate,0,COLUMN())),"N/A")</f>
        <v>N/A</v>
      </c>
      <c r="Q877" s="209" t="str">
        <f ca="1">IFERROR(_xll.TR(MO.Ticker.Thomson,"MAX(TR.Pricehigh)","sdate:#1 edate:#2",,INDEX(MO_SNA_FPStartDate,0,COLUMN()),INDEX(MO_Common_QEndDate,0,COLUMN())),"N/A")</f>
        <v>N/A</v>
      </c>
      <c r="R877" s="209" t="str">
        <f ca="1">IFERROR(_xll.TR(MO.Ticker.Thomson,"MAX(TR.Pricehigh)","sdate:#1 edate:#2",,INDEX(MO_SNA_FPStartDate,0,COLUMN()),INDEX(MO_Common_QEndDate,0,COLUMN())),"N/A")</f>
        <v>N/A</v>
      </c>
      <c r="S877" s="209" t="str">
        <f ca="1">IFERROR(_xll.TR(MO.Ticker.Thomson,"MAX(TR.Pricehigh)","sdate:#1 edate:#2",,INDEX(MO_SNA_FPStartDate,0,COLUMN()),INDEX(MO_Common_QEndDate,0,COLUMN())),"N/A")</f>
        <v>N/A</v>
      </c>
      <c r="T877" s="209" t="str">
        <f ca="1">IFERROR(_xll.TR(MO.Ticker.Thomson,"MAX(TR.Pricehigh)","sdate:#1 edate:#2",,INDEX(MO_SNA_FPStartDate,0,COLUMN()),INDEX(MO_Common_QEndDate,0,COLUMN())),"N/A")</f>
        <v>N/A</v>
      </c>
      <c r="U877" s="209" t="str">
        <f ca="1">IFERROR(_xll.TR(MO.Ticker.Thomson,"MAX(TR.Pricehigh)","sdate:#1 edate:#2",,INDEX(MO_SNA_FPStartDate,0,COLUMN()),INDEX(MO_Common_QEndDate,0,COLUMN())),"N/A")</f>
        <v>N/A</v>
      </c>
      <c r="V877" s="209" t="str">
        <f ca="1">IFERROR(_xll.TR(MO.Ticker.Thomson,"MAX(TR.Pricehigh)","sdate:#1 edate:#2",,INDEX(MO_SNA_FPStartDate,0,COLUMN()),INDEX(MO_Common_QEndDate,0,COLUMN())),"N/A")</f>
        <v>N/A</v>
      </c>
      <c r="W877" s="209" t="str">
        <f ca="1">IFERROR(_xll.TR(MO.Ticker.Thomson,"MAX(TR.Pricehigh)","sdate:#1 edate:#2",,INDEX(MO_SNA_FPStartDate,0,COLUMN()),INDEX(MO_Common_QEndDate,0,COLUMN())),"N/A")</f>
        <v>N/A</v>
      </c>
      <c r="X877" s="209" t="str">
        <f ca="1">IFERROR(_xll.TR(MO.Ticker.Thomson,"MAX(TR.Pricehigh)","sdate:#1 edate:#2",,INDEX(MO_SNA_FPStartDate,0,COLUMN()),INDEX(MO_Common_QEndDate,0,COLUMN())),"N/A")</f>
        <v>N/A</v>
      </c>
      <c r="Y877" s="209" t="str">
        <f ca="1">IFERROR(_xll.TR(MO.Ticker.Thomson,"MAX(TR.Pricehigh)","sdate:#1 edate:#2",,INDEX(MO_SNA_FPStartDate,0,COLUMN()),INDEX(MO_Common_QEndDate,0,COLUMN())),"N/A")</f>
        <v>N/A</v>
      </c>
      <c r="Z877" s="209" t="str">
        <f ca="1">IFERROR(_xll.TR(MO.Ticker.Thomson,"MAX(TR.Pricehigh)","sdate:#1 edate:#2",,INDEX(MO_SNA_FPStartDate,0,COLUMN()),INDEX(MO_Common_QEndDate,0,COLUMN())),"N/A")</f>
        <v>N/A</v>
      </c>
      <c r="AA877" s="209" t="str">
        <f ca="1">IFERROR(_xll.TR(MO.Ticker.Thomson,"MAX(TR.Pricehigh)","sdate:#1 edate:#2",,INDEX(MO_SNA_FPStartDate,0,COLUMN()),INDEX(MO_Common_QEndDate,0,COLUMN())),"N/A")</f>
        <v>N/A</v>
      </c>
      <c r="AB877" s="209" t="str">
        <f ca="1">IFERROR(_xll.TR(MO.Ticker.Thomson,"MAX(TR.Pricehigh)","sdate:#1 edate:#2",,INDEX(MO_SNA_FPStartDate,0,COLUMN()),INDEX(MO_Common_QEndDate,0,COLUMN())),"N/A")</f>
        <v>N/A</v>
      </c>
      <c r="AC877" s="209" t="str">
        <f ca="1">IFERROR(_xll.TR(MO.Ticker.Thomson,"MAX(TR.Pricehigh)","sdate:#1 edate:#2",,INDEX(MO_SNA_FPStartDate,0,COLUMN()),INDEX(MO_Common_QEndDate,0,COLUMN())),"N/A")</f>
        <v>N/A</v>
      </c>
      <c r="AD877" s="209" t="str">
        <f ca="1">IFERROR(_xll.TR(MO.Ticker.Thomson,"MAX(TR.Pricehigh)","sdate:#1 edate:#2",,INDEX(MO_SNA_FPStartDate,0,COLUMN()),INDEX(MO_Common_QEndDate,0,COLUMN())),"N/A")</f>
        <v>N/A</v>
      </c>
      <c r="AE877" s="209" t="str">
        <f ca="1">IFERROR(_xll.TR(MO.Ticker.Thomson,"MAX(TR.Pricehigh)","sdate:#1 edate:#2",,INDEX(MO_SNA_FPStartDate,0,COLUMN()),INDEX(MO_Common_QEndDate,0,COLUMN())),"N/A")</f>
        <v>N/A</v>
      </c>
      <c r="AF877" s="209" t="str">
        <f ca="1">IFERROR(_xll.TR(MO.Ticker.Thomson,"MAX(TR.Pricehigh)","sdate:#1 edate:#2",,INDEX(MO_SNA_FPStartDate,0,COLUMN()),INDEX(MO_Common_QEndDate,0,COLUMN())),"N/A")</f>
        <v>N/A</v>
      </c>
      <c r="AG877" s="209" t="str">
        <f ca="1">IFERROR(_xll.TR(MO.Ticker.Thomson,"MAX(TR.Pricehigh)","sdate:#1 edate:#2",,INDEX(MO_SNA_FPStartDate,0,COLUMN()),INDEX(MO_Common_QEndDate,0,COLUMN())),"N/A")</f>
        <v>N/A</v>
      </c>
      <c r="AH877" s="209" t="str">
        <f ca="1">IFERROR(_xll.TR(MO.Ticker.Thomson,"MAX(TR.Pricehigh)","sdate:#1 edate:#2",,INDEX(MO_SNA_FPStartDate,0,COLUMN()),INDEX(MO_Common_QEndDate,0,COLUMN())),"N/A")</f>
        <v>N/A</v>
      </c>
      <c r="AI877" s="209" t="str">
        <f ca="1">IFERROR(_xll.TR(MO.Ticker.Thomson,"MAX(TR.Pricehigh)","sdate:#1 edate:#2",,INDEX(MO_SNA_FPStartDate,0,COLUMN()),INDEX(MO_Common_QEndDate,0,COLUMN())),"N/A")</f>
        <v>N/A</v>
      </c>
      <c r="AJ877" s="209" t="str">
        <f ca="1">IFERROR(_xll.TR(MO.Ticker.Thomson,"MAX(TR.Pricehigh)","sdate:#1 edate:#2",,INDEX(MO_SNA_FPStartDate,0,COLUMN()),INDEX(MO_Common_QEndDate,0,COLUMN())),"N/A")</f>
        <v>N/A</v>
      </c>
      <c r="AK877" s="209" t="str">
        <f ca="1">IFERROR(_xll.TR(MO.Ticker.Thomson,"MAX(TR.Pricehigh)","sdate:#1 edate:#2",,INDEX(MO_SNA_FPStartDate,0,COLUMN()),INDEX(MO_Common_QEndDate,0,COLUMN())),"N/A")</f>
        <v>N/A</v>
      </c>
      <c r="AL877" s="209" t="str">
        <f ca="1">IFERROR(_xll.TR(MO.Ticker.Thomson,"MAX(TR.Pricehigh)","sdate:#1 edate:#2",,INDEX(MO_SNA_FPStartDate,0,COLUMN()),INDEX(MO_Common_QEndDate,0,COLUMN())),"N/A")</f>
        <v>N/A</v>
      </c>
      <c r="AM877" s="209" t="str">
        <f ca="1">IFERROR(_xll.TR(MO.Ticker.Thomson,"MAX(TR.Pricehigh)","sdate:#1 edate:#2",,INDEX(MO_SNA_FPStartDate,0,COLUMN()),INDEX(MO_Common_QEndDate,0,COLUMN())),"N/A")</f>
        <v>N/A</v>
      </c>
      <c r="AN877" s="209" t="str">
        <f ca="1">IFERROR(_xll.TR(MO.Ticker.Thomson,"MAX(TR.Pricehigh)","sdate:#1 edate:#2",,INDEX(MO_SNA_FPStartDate,0,COLUMN()),INDEX(MO_Common_QEndDate,0,COLUMN())),"N/A")</f>
        <v>N/A</v>
      </c>
      <c r="AO877" s="209" t="str">
        <f ca="1">IFERROR(_xll.TR(MO.Ticker.Thomson,"MAX(TR.Pricehigh)","sdate:#1 edate:#2",,INDEX(MO_SNA_FPStartDate,0,COLUMN()),INDEX(MO_Common_QEndDate,0,COLUMN())),"N/A")</f>
        <v>N/A</v>
      </c>
      <c r="AP877" s="209" t="str">
        <f ca="1">IFERROR(_xll.TR(MO.Ticker.Thomson,"MAX(TR.Pricehigh)","sdate:#1 edate:#2",,INDEX(MO_SNA_FPStartDate,0,COLUMN()),INDEX(MO_Common_QEndDate,0,COLUMN())),"N/A")</f>
        <v>N/A</v>
      </c>
      <c r="AQ877" s="209" t="str">
        <f ca="1">IFERROR(_xll.TR(MO.Ticker.Thomson,"MAX(TR.Pricehigh)","sdate:#1 edate:#2",,INDEX(MO_SNA_FPStartDate,0,COLUMN()),INDEX(MO_Common_QEndDate,0,COLUMN())),"N/A")</f>
        <v>N/A</v>
      </c>
      <c r="AR877" s="209" t="str">
        <f ca="1">IFERROR(_xll.TR(MO.Ticker.Thomson,"MAX(TR.Pricehigh)","sdate:#1 edate:#2",,INDEX(MO_SNA_FPStartDate,0,COLUMN()),INDEX(MO_Common_QEndDate,0,COLUMN())),"N/A")</f>
        <v>N/A</v>
      </c>
      <c r="AS877" s="209" t="str">
        <f ca="1">IFERROR(_xll.TR(MO.Ticker.Thomson,"MAX(TR.Pricehigh)","sdate:#1 edate:#2",,INDEX(MO_SNA_FPStartDate,0,COLUMN()),INDEX(MO_Common_QEndDate,0,COLUMN())),"N/A")</f>
        <v>N/A</v>
      </c>
      <c r="AT877" s="209" t="str">
        <f ca="1">IFERROR(_xll.TR(MO.Ticker.Thomson,"MAX(TR.Pricehigh)","sdate:#1 edate:#2",,INDEX(MO_SNA_FPStartDate,0,COLUMN()),INDEX(MO_Common_QEndDate,0,COLUMN())),"N/A")</f>
        <v>N/A</v>
      </c>
      <c r="AU877" s="209" t="str">
        <f ca="1">IFERROR(_xll.TR(MO.Ticker.Thomson,"MAX(TR.Pricehigh)","sdate:#1 edate:#2",,INDEX(MO_SNA_FPStartDate,0,COLUMN()),INDEX(MO_Common_QEndDate,0,COLUMN())),"N/A")</f>
        <v>N/A</v>
      </c>
      <c r="AV877" s="209" t="str">
        <f ca="1">IFERROR(_xll.TR(MO.Ticker.Thomson,"MAX(TR.Pricehigh)","sdate:#1 edate:#2",,INDEX(MO_SNA_FPStartDate,0,COLUMN()),INDEX(MO_Common_QEndDate,0,COLUMN())),"N/A")</f>
        <v>N/A</v>
      </c>
      <c r="AW877" s="209" t="str">
        <f ca="1">IFERROR(_xll.TR(MO.Ticker.Thomson,"MAX(TR.Pricehigh)","sdate:#1 edate:#2",,INDEX(MO_SNA_FPStartDate,0,COLUMN()),INDEX(MO_Common_QEndDate,0,COLUMN())),"N/A")</f>
        <v>N/A</v>
      </c>
      <c r="AX877" s="209" t="str">
        <f ca="1">IFERROR(_xll.TR(MO.Ticker.Thomson,"MAX(TR.Pricehigh)","sdate:#1 edate:#2",,INDEX(MO_SNA_FPStartDate,0,COLUMN()),INDEX(MO_Common_QEndDate,0,COLUMN())),"N/A")</f>
        <v>N/A</v>
      </c>
      <c r="AY877" s="209" t="str">
        <f ca="1">IFERROR(_xll.TR(MO.Ticker.Thomson,"MAX(TR.Pricehigh)","sdate:#1 edate:#2",,INDEX(MO_SNA_FPStartDate,0,COLUMN()),INDEX(MO_Common_QEndDate,0,COLUMN())),"N/A")</f>
        <v>N/A</v>
      </c>
      <c r="AZ877" s="209" t="str">
        <f ca="1">IFERROR(_xll.TR(MO.Ticker.Thomson,"MAX(TR.Pricehigh)","sdate:#1 edate:#2",,INDEX(MO_SNA_FPStartDate,0,COLUMN()),INDEX(MO_Common_QEndDate,0,COLUMN())),"N/A")</f>
        <v>N/A</v>
      </c>
      <c r="BA877" s="209" t="str">
        <f ca="1">IFERROR(_xll.TR(MO.Ticker.Thomson,"MAX(TR.Pricehigh)","sdate:#1 edate:#2",,INDEX(MO_SNA_FPStartDate,0,COLUMN()),INDEX(MO_Common_QEndDate,0,COLUMN())),"N/A")</f>
        <v>N/A</v>
      </c>
      <c r="BB877" s="209" t="str">
        <f ca="1">IFERROR(_xll.TR(MO.Ticker.Thomson,"MAX(TR.Pricehigh)","sdate:#1 edate:#2",,INDEX(MO_SNA_FPStartDate,0,COLUMN()),INDEX(MO_Common_QEndDate,0,COLUMN())),"N/A")</f>
        <v>N/A</v>
      </c>
      <c r="BC877" s="209" t="str">
        <f ca="1">IFERROR(_xll.TR(MO.Ticker.Thomson,"MAX(TR.Pricehigh)","sdate:#1 edate:#2",,INDEX(MO_SNA_FPStartDate,0,COLUMN()),INDEX(MO_Common_QEndDate,0,COLUMN())),"N/A")</f>
        <v>N/A</v>
      </c>
      <c r="BD877" s="209" t="str">
        <f ca="1">IFERROR(_xll.TR(MO.Ticker.Thomson,"MAX(TR.Pricehigh)","sdate:#1 edate:#2",,INDEX(MO_SNA_FPStartDate,0,COLUMN()),INDEX(MO_Common_QEndDate,0,COLUMN())),"N/A")</f>
        <v>N/A</v>
      </c>
      <c r="BE877" s="209" t="str">
        <f ca="1">IFERROR(_xll.TR(MO.Ticker.Thomson,"MAX(TR.Pricehigh)","sdate:#1 edate:#2",,INDEX(MO_SNA_FPStartDate,0,COLUMN()),INDEX(MO_Common_QEndDate,0,COLUMN())),"N/A")</f>
        <v>N/A</v>
      </c>
      <c r="BF877" s="209" t="str">
        <f ca="1">IFERROR(_xll.TR(MO.Ticker.Thomson,"MAX(TR.Pricehigh)","sdate:#1 edate:#2",,INDEX(MO_SNA_FPStartDate,0,COLUMN()),INDEX(MO_Common_QEndDate,0,COLUMN())),"N/A")</f>
        <v>N/A</v>
      </c>
      <c r="BG877" s="209" t="str">
        <f ca="1">IFERROR(_xll.TR(MO.Ticker.Thomson,"MAX(TR.Pricehigh)","sdate:#1 edate:#2",,INDEX(MO_SNA_FPStartDate,0,COLUMN()),INDEX(MO_Common_QEndDate,0,COLUMN())),"N/A")</f>
        <v>N/A</v>
      </c>
      <c r="BH877" s="209" t="str">
        <f ca="1">IFERROR(_xll.TR(MO.Ticker.Thomson,"MAX(TR.Pricehigh)","sdate:#1 edate:#2",,INDEX(MO_SNA_FPStartDate,0,COLUMN()),INDEX(MO_Common_QEndDate,0,COLUMN())),"N/A")</f>
        <v>N/A</v>
      </c>
      <c r="BI877" s="209" t="str">
        <f ca="1">IFERROR(_xll.TR(MO.Ticker.Thomson,"MAX(TR.Pricehigh)","sdate:#1 edate:#2",,INDEX(MO_SNA_FPStartDate,0,COLUMN()),INDEX(MO_Common_QEndDate,0,COLUMN())),"N/A")</f>
        <v>N/A</v>
      </c>
      <c r="BJ877" s="209" t="str">
        <f ca="1">IFERROR(_xll.TR(MO.Ticker.Thomson,"MAX(TR.Pricehigh)","sdate:#1 edate:#2",,INDEX(MO_SNA_FPStartDate,0,COLUMN()),INDEX(MO_Common_QEndDate,0,COLUMN())),"N/A")</f>
        <v>N/A</v>
      </c>
      <c r="BK877" s="209" t="str">
        <f ca="1">IFERROR(_xll.TR(MO.Ticker.Thomson,"MAX(TR.Pricehigh)","sdate:#1 edate:#2",,INDEX(MO_SNA_FPStartDate,0,COLUMN()),INDEX(MO_Common_QEndDate,0,COLUMN())),"N/A")</f>
        <v>N/A</v>
      </c>
      <c r="BL877" s="209" t="str">
        <f ca="1">IFERROR(_xll.TR(MO.Ticker.Thomson,"MAX(TR.Pricehigh)","sdate:#1 edate:#2",,INDEX(MO_SNA_FPStartDate,0,COLUMN()),INDEX(MO_Common_QEndDate,0,COLUMN())),"N/A")</f>
        <v>N/A</v>
      </c>
      <c r="BM877" s="209" t="str">
        <f ca="1">IFERROR(_xll.TR(MO.Ticker.Thomson,"MAX(TR.Pricehigh)","sdate:#1 edate:#2",,INDEX(MO_SNA_FPStartDate,0,COLUMN()),INDEX(MO_Common_QEndDate,0,COLUMN())),"N/A")</f>
        <v>N/A</v>
      </c>
      <c r="BN877" s="209" t="str">
        <f ca="1">IFERROR(_xll.TR(MO.Ticker.Thomson,"MAX(TR.Pricehigh)","sdate:#1 edate:#2",,INDEX(MO_SNA_FPStartDate,0,COLUMN()),INDEX(MO_Common_QEndDate,0,COLUMN())),"N/A")</f>
        <v>N/A</v>
      </c>
      <c r="BO877" s="209" t="str">
        <f ca="1">IFERROR(_xll.TR(MO.Ticker.Thomson,"MAX(TR.Pricehigh)","sdate:#1 edate:#2",,INDEX(MO_SNA_FPStartDate,0,COLUMN()),INDEX(MO_Common_QEndDate,0,COLUMN())),"N/A")</f>
        <v>N/A</v>
      </c>
      <c r="BP877" s="209" t="str">
        <f ca="1">IFERROR(_xll.TR(MO.Ticker.Thomson,"MAX(TR.Pricehigh)","sdate:#1 edate:#2",,INDEX(MO_SNA_FPStartDate,0,COLUMN()),INDEX(MO_Common_QEndDate,0,COLUMN())),"N/A")</f>
        <v>N/A</v>
      </c>
      <c r="BQ877" s="209" t="str">
        <f ca="1">IFERROR(_xll.TR(MO.Ticker.Thomson,"MAX(TR.Pricehigh)","sdate:#1 edate:#2",,INDEX(MO_SNA_FPStartDate,0,COLUMN()),INDEX(MO_Common_QEndDate,0,COLUMN())),"N/A")</f>
        <v>N/A</v>
      </c>
      <c r="BR877" s="209" t="str">
        <f ca="1">IFERROR(_xll.TR(MO.Ticker.Thomson,"MAX(TR.Pricehigh)","sdate:#1 edate:#2",,INDEX(MO_SNA_FPStartDate,0,COLUMN()),INDEX(MO_Common_QEndDate,0,COLUMN())),"N/A")</f>
        <v>N/A</v>
      </c>
      <c r="BS877" s="209" t="str">
        <f ca="1">IFERROR(_xll.TR(MO.Ticker.Thomson,"MAX(TR.Pricehigh)","sdate:#1 edate:#2",,INDEX(MO_SNA_FPStartDate,0,COLUMN()),INDEX(MO_Common_QEndDate,0,COLUMN())),"N/A")</f>
        <v>N/A</v>
      </c>
      <c r="BT877" s="387" t="str">
        <f ca="1">IFERROR(_xll.TR(MO.Ticker.Thomson,"MAX(TR.Pricehigh)","sdate:#1 edate:#2",,INDEX(MO_SNA_FPStartDate,0,COLUMN()),INDEX(MO_Common_QEndDate,0,COLUMN())),"N/A")</f>
        <v>N/A</v>
      </c>
      <c r="BU877" s="209" t="str">
        <f ca="1">IFERROR(_xll.TR(MO.Ticker.Thomson,"MAX(TR.Pricehigh)","sdate:#1 edate:#2",,INDEX(MO_SNA_FPStartDate,0,COLUMN()),INDEX(MO_Common_QEndDate,0,COLUMN())),"N/A")</f>
        <v>N/A</v>
      </c>
      <c r="BV877" s="209" t="str">
        <f ca="1">IFERROR(_xll.TR(MO.Ticker.Thomson,"MAX(TR.Pricehigh)","sdate:#1 edate:#2",,INDEX(MO_SNA_FPStartDate,0,COLUMN()),INDEX(MO_Common_QEndDate,0,COLUMN())),"N/A")</f>
        <v>N/A</v>
      </c>
      <c r="BW877" s="209" t="str">
        <f ca="1">IFERROR(_xll.TR(MO.Ticker.Thomson,"MAX(TR.Pricehigh)","sdate:#1 edate:#2",,INDEX(MO_SNA_FPStartDate,0,COLUMN()),INDEX(MO_Common_QEndDate,0,COLUMN())),"N/A")</f>
        <v>N/A</v>
      </c>
      <c r="BX877" s="209" t="str">
        <f ca="1">IFERROR(_xll.TR(MO.Ticker.Thomson,"MAX(TR.Pricehigh)","sdate:#1 edate:#2",,INDEX(MO_SNA_FPStartDate,0,COLUMN()),INDEX(MO_Common_QEndDate,0,COLUMN())),"N/A")</f>
        <v>N/A</v>
      </c>
      <c r="BY877" s="209" t="str">
        <f ca="1">IFERROR(_xll.TR(MO.Ticker.Thomson,"MAX(TR.Pricehigh)","sdate:#1 edate:#2",,INDEX(MO_SNA_FPStartDate,0,COLUMN()),INDEX(MO_Common_QEndDate,0,COLUMN())),"N/A")</f>
        <v>N/A</v>
      </c>
      <c r="BZ877" s="209" t="str">
        <f ca="1">IFERROR(_xll.TR(MO.Ticker.Thomson,"MAX(TR.Pricehigh)","sdate:#1 edate:#2",,INDEX(MO_SNA_FPStartDate,0,COLUMN()),INDEX(MO_Common_QEndDate,0,COLUMN())),"N/A")</f>
        <v>N/A</v>
      </c>
      <c r="CA877" s="209" t="str">
        <f ca="1">IFERROR(_xll.TR(MO.Ticker.Thomson,"MAX(TR.Pricehigh)","sdate:#1 edate:#2",,INDEX(MO_SNA_FPStartDate,0,COLUMN()),INDEX(MO_Common_QEndDate,0,COLUMN())),"N/A")</f>
        <v>N/A</v>
      </c>
      <c r="CB877" s="209" t="str">
        <f ca="1">IFERROR(_xll.TR(MO.Ticker.Thomson,"MAX(TR.Pricehigh)","sdate:#1 edate:#2",,INDEX(MO_SNA_FPStartDate,0,COLUMN()),INDEX(MO_Common_QEndDate,0,COLUMN())),"N/A")</f>
        <v>N/A</v>
      </c>
      <c r="CC877" s="209" t="str">
        <f ca="1">IFERROR(_xll.TR(MO.Ticker.Thomson,"MAX(TR.Pricehigh)","sdate:#1 edate:#2",,INDEX(MO_SNA_FPStartDate,0,COLUMN()),INDEX(MO_Common_QEndDate,0,COLUMN())),"N/A")</f>
        <v>N/A</v>
      </c>
      <c r="CD877" s="209" t="str">
        <f ca="1">IFERROR(_xll.TR(MO.Ticker.Thomson,"MAX(TR.Pricehigh)","sdate:#1 edate:#2",,INDEX(MO_SNA_FPStartDate,0,COLUMN()),INDEX(MO_Common_QEndDate,0,COLUMN())),"N/A")</f>
        <v>N/A</v>
      </c>
      <c r="CE877" s="209" t="str">
        <f ca="1">IFERROR(_xll.TR(MO.Ticker.Thomson,"MAX(TR.Pricehigh)","sdate:#1 edate:#2",,INDEX(MO_SNA_FPStartDate,0,COLUMN()),INDEX(MO_Common_QEndDate,0,COLUMN())),"N/A")</f>
        <v>N/A</v>
      </c>
      <c r="CF877" s="210" t="str">
        <f ca="1">IFERROR(_xll.TR(MO.Ticker.Thomson,"MAX(TR.Pricehigh)","sdate:#1 edate:#2",,INDEX(MO_SNA_FPStartDate,0,COLUMN()),INDEX(MO_Common_QEndDate,0,COLUMN())),"N/A")</f>
        <v>N/A</v>
      </c>
      <c r="CG877" s="260"/>
    </row>
    <row r="878" spans="1:85" s="424" customFormat="1" hidden="1" outlineLevel="1" x14ac:dyDescent="0.3">
      <c r="A878" s="186"/>
      <c r="B878" s="722"/>
      <c r="C878" s="237"/>
      <c r="D878" s="237"/>
      <c r="E878" s="722"/>
      <c r="F878" s="722"/>
      <c r="G878" s="722"/>
      <c r="H878" s="722"/>
      <c r="I878" s="722"/>
      <c r="J878" s="722"/>
      <c r="K878" s="722"/>
      <c r="L878" s="722"/>
      <c r="M878" s="722"/>
      <c r="N878" s="722"/>
      <c r="O878" s="722"/>
      <c r="P878" s="722"/>
      <c r="Q878" s="722"/>
      <c r="R878" s="722"/>
      <c r="S878" s="722"/>
      <c r="T878" s="722"/>
      <c r="U878" s="722"/>
      <c r="V878" s="722"/>
      <c r="W878" s="722"/>
      <c r="X878" s="722"/>
      <c r="Y878" s="722"/>
      <c r="Z878" s="722"/>
      <c r="AA878" s="722"/>
      <c r="AB878" s="722"/>
      <c r="AC878" s="722"/>
      <c r="AD878" s="722"/>
      <c r="AE878" s="722"/>
      <c r="AF878" s="722"/>
      <c r="AG878" s="722"/>
      <c r="AH878" s="722"/>
      <c r="AI878" s="722"/>
      <c r="AJ878" s="722"/>
      <c r="AK878" s="722"/>
      <c r="AL878" s="722"/>
      <c r="AM878" s="722"/>
      <c r="AN878" s="722"/>
      <c r="AO878" s="722"/>
      <c r="AP878" s="722"/>
      <c r="AQ878" s="722"/>
      <c r="AR878" s="722"/>
      <c r="AS878" s="722"/>
      <c r="AT878" s="722"/>
      <c r="AU878" s="722"/>
      <c r="AV878" s="722"/>
      <c r="AW878" s="722"/>
      <c r="AX878" s="722"/>
      <c r="AY878" s="722"/>
      <c r="AZ878" s="722"/>
      <c r="BA878" s="722"/>
      <c r="BB878" s="722"/>
      <c r="BC878" s="722"/>
      <c r="BD878" s="722"/>
      <c r="BE878" s="722"/>
      <c r="BF878" s="722"/>
      <c r="BG878" s="722"/>
      <c r="BH878" s="722"/>
      <c r="BI878" s="722"/>
      <c r="BJ878" s="722"/>
      <c r="BK878" s="722"/>
      <c r="BL878" s="722"/>
      <c r="BM878" s="722"/>
      <c r="BN878" s="722"/>
      <c r="BO878" s="722"/>
      <c r="BP878" s="722"/>
      <c r="BQ878" s="722"/>
      <c r="BR878" s="722"/>
      <c r="BS878" s="722"/>
      <c r="BT878" s="723"/>
      <c r="BU878" s="722"/>
      <c r="BV878" s="722"/>
      <c r="BW878" s="722"/>
      <c r="BX878" s="722"/>
      <c r="BY878" s="722"/>
      <c r="BZ878" s="722"/>
      <c r="CA878" s="722"/>
      <c r="CB878" s="722"/>
      <c r="CC878" s="722"/>
      <c r="CD878" s="722"/>
      <c r="CE878" s="722"/>
      <c r="CF878" s="201"/>
      <c r="CG878" s="259"/>
    </row>
    <row r="879" spans="1:85" s="445" customFormat="1" collapsed="1" x14ac:dyDescent="0.3">
      <c r="A879" s="208" t="str">
        <f ca="1">"Stock Low: "&amp;IF(OR(MO.RealTimeStockPriceToggle=FALSE,VLOOKUP(MO.DataSourceName,MO_SPT_StockLow_Sources,COLUMN()+2,FALSE)="N/A"),"Real-Time Off Source",MO.DataSourceName)</f>
        <v>Stock Low: Real-Time Off Source</v>
      </c>
      <c r="B879" s="209"/>
      <c r="C879" s="288">
        <f t="shared" ref="C879:AH879" ca="1" si="1887">IF(OR(MO.RealTimeStockPriceToggle=FALSE,VLOOKUP(MO.DataSourceName,MO_SPT_StockLow_Sources,COLUMN(),FALSE)="N/A"),VLOOKUP("Real-Time Off Source",MO_SPT_StockLow_Sources,COLUMN(),FALSE),VLOOKUP(MO.DataSourceName,MO_SPT_StockLow_Sources,COLUMN(),FALSE))</f>
        <v>56.12</v>
      </c>
      <c r="D879" s="288">
        <f t="shared" ca="1" si="1887"/>
        <v>66.83</v>
      </c>
      <c r="E879" s="209">
        <f t="shared" ca="1" si="1887"/>
        <v>86.68</v>
      </c>
      <c r="F879" s="209">
        <f t="shared" ca="1" si="1887"/>
        <v>95.73</v>
      </c>
      <c r="G879" s="209">
        <f t="shared" ca="1" si="1887"/>
        <v>108.74</v>
      </c>
      <c r="H879" s="209">
        <f t="shared" ca="1" si="1887"/>
        <v>114.12</v>
      </c>
      <c r="I879" s="209">
        <f t="shared" ca="1" si="1887"/>
        <v>117.22</v>
      </c>
      <c r="J879" s="209">
        <f t="shared" ca="1" si="1887"/>
        <v>114.44</v>
      </c>
      <c r="K879" s="209">
        <f t="shared" ca="1" si="1887"/>
        <v>108.74</v>
      </c>
      <c r="L879" s="209">
        <f t="shared" ca="1" si="1887"/>
        <v>109.27</v>
      </c>
      <c r="M879" s="209">
        <f t="shared" ca="1" si="1887"/>
        <v>116.5</v>
      </c>
      <c r="N879" s="209">
        <f t="shared" ca="1" si="1887"/>
        <v>118.66</v>
      </c>
      <c r="O879" s="209">
        <f t="shared" ca="1" si="1887"/>
        <v>100.15</v>
      </c>
      <c r="P879" s="209">
        <f t="shared" ca="1" si="1887"/>
        <v>100.15</v>
      </c>
      <c r="Q879" s="209">
        <f t="shared" ca="1" si="1887"/>
        <v>98.88</v>
      </c>
      <c r="R879" s="209">
        <f t="shared" ca="1" si="1887"/>
        <v>96.22</v>
      </c>
      <c r="S879" s="209">
        <f t="shared" ca="1" si="1887"/>
        <v>69.58</v>
      </c>
      <c r="T879" s="209">
        <f t="shared" ca="1" si="1887"/>
        <v>77.31</v>
      </c>
      <c r="U879" s="209">
        <f t="shared" ca="1" si="1887"/>
        <v>69.58</v>
      </c>
      <c r="V879" s="209">
        <f t="shared" ca="1" si="1887"/>
        <v>75.33</v>
      </c>
      <c r="W879" s="209">
        <f t="shared" ca="1" si="1887"/>
        <v>92.43</v>
      </c>
      <c r="X879" s="209">
        <f t="shared" ca="1" si="1887"/>
        <v>97.53</v>
      </c>
      <c r="Y879" s="209">
        <f t="shared" ca="1" si="1887"/>
        <v>99.61</v>
      </c>
      <c r="Z879" s="209">
        <f t="shared" ca="1" si="1887"/>
        <v>75.33</v>
      </c>
      <c r="AA879" s="209">
        <f t="shared" ca="1" si="1887"/>
        <v>105.85</v>
      </c>
      <c r="AB879" s="209">
        <f t="shared" ca="1" si="1887"/>
        <v>102.55</v>
      </c>
      <c r="AC879" s="209">
        <f t="shared" ca="1" si="1887"/>
        <v>102.55</v>
      </c>
      <c r="AD879" s="209">
        <f t="shared" ca="1" si="1887"/>
        <v>112.57</v>
      </c>
      <c r="AE879" s="209">
        <f t="shared" ca="1" si="1887"/>
        <v>102.55</v>
      </c>
      <c r="AF879" s="209">
        <f t="shared" ca="1" si="1887"/>
        <v>106.054</v>
      </c>
      <c r="AG879" s="209">
        <f t="shared" ca="1" si="1887"/>
        <v>109.1463</v>
      </c>
      <c r="AH879" s="209">
        <f t="shared" ca="1" si="1887"/>
        <v>113.3719</v>
      </c>
      <c r="AI879" s="209">
        <f t="shared" ref="AI879:AU879" ca="1" si="1888">IF(OR(MO.RealTimeStockPriceToggle=FALSE,VLOOKUP(MO.DataSourceName,MO_SPT_StockLow_Sources,COLUMN(),FALSE)="N/A"),VLOOKUP("Real-Time Off Source",MO_SPT_StockLow_Sources,COLUMN(),FALSE),VLOOKUP(MO.DataSourceName,MO_SPT_StockLow_Sources,COLUMN(),FALSE))</f>
        <v>100.99</v>
      </c>
      <c r="AJ879" s="209">
        <f t="shared" ca="1" si="1888"/>
        <v>100.99</v>
      </c>
      <c r="AK879" s="209">
        <f t="shared" ca="1" si="1888"/>
        <v>108.57</v>
      </c>
      <c r="AL879" s="209">
        <f t="shared" ca="1" si="1888"/>
        <v>113.85</v>
      </c>
      <c r="AM879" s="209">
        <f t="shared" ca="1" si="1888"/>
        <v>115.18</v>
      </c>
      <c r="AN879" s="209">
        <f t="shared" ca="1" si="1888"/>
        <v>111.71</v>
      </c>
      <c r="AO879" s="209">
        <f t="shared" ca="1" si="1888"/>
        <v>108.57</v>
      </c>
      <c r="AP879" s="209">
        <f t="shared" ca="1" si="1888"/>
        <v>54.22</v>
      </c>
      <c r="AQ879" s="209">
        <f t="shared" ca="1" si="1888"/>
        <v>68.56</v>
      </c>
      <c r="AR879" s="209">
        <f ca="1">IF(OR(MO.RealTimeStockPriceToggle=FALSE,VLOOKUP(MO.DataSourceName,MO_SPT_StockLow_Sources,COLUMN(),FALSE)="N/A"),VLOOKUP("Real-Time Off Source",MO_SPT_StockLow_Sources,COLUMN(),FALSE),VLOOKUP(MO.DataSourceName,MO_SPT_StockLow_Sources,COLUMN(),FALSE))</f>
        <v>71.8</v>
      </c>
      <c r="AS879" s="209">
        <f t="shared" ca="1" si="1888"/>
        <v>66.88</v>
      </c>
      <c r="AT879" s="209">
        <f t="shared" ca="1" si="1888"/>
        <v>54.22</v>
      </c>
      <c r="AU879" s="209">
        <f t="shared" ca="1" si="1888"/>
        <v>84.71</v>
      </c>
      <c r="AV879" s="209">
        <f t="shared" ref="AV879:BA879" ca="1" si="1889">IF(OR(MO.RealTimeStockPriceToggle=FALSE,VLOOKUP(MO.DataSourceName,MO_SPT_StockLow_Sources,COLUMN(),FALSE)="N/A"),VLOOKUP("Real-Time Off Source",MO_SPT_StockLow_Sources,COLUMN(),FALSE),VLOOKUP(MO.DataSourceName,MO_SPT_StockLow_Sources,COLUMN(),FALSE))</f>
        <v>100.95</v>
      </c>
      <c r="AW879" s="209">
        <f t="shared" ca="1" si="1889"/>
        <v>94.29</v>
      </c>
      <c r="AX879" s="209">
        <f t="shared" ca="1" si="1889"/>
        <v>104.33</v>
      </c>
      <c r="AY879" s="209">
        <f t="shared" ca="1" si="1889"/>
        <v>84.71</v>
      </c>
      <c r="AZ879" s="209">
        <f t="shared" ca="1" si="1889"/>
        <v>119.26</v>
      </c>
      <c r="BA879" s="209">
        <f t="shared" ca="1" si="1889"/>
        <v>142.43</v>
      </c>
      <c r="BB879" s="209">
        <f t="shared" ref="BB879:BD879" ca="1" si="1890">IF(OR(MO.RealTimeStockPriceToggle=FALSE,VLOOKUP(MO.DataSourceName,MO_SPT_StockLow_Sources,COLUMN(),FALSE)="N/A"),VLOOKUP("Real-Time Off Source",MO_SPT_StockLow_Sources,COLUMN(),FALSE),VLOOKUP(MO.DataSourceName,MO_SPT_StockLow_Sources,COLUMN(),FALSE))</f>
        <v>135.94</v>
      </c>
      <c r="BC879" s="209">
        <f t="shared" ca="1" si="1890"/>
        <v>151.72999999999999</v>
      </c>
      <c r="BD879" s="209">
        <f t="shared" ca="1" si="1890"/>
        <v>119.26</v>
      </c>
      <c r="BE879" s="209">
        <f t="shared" ref="BE879:BI879" ca="1" si="1891">IF(OR(MO.RealTimeStockPriceToggle=FALSE,VLOOKUP(MO.DataSourceName,MO_SPT_StockLow_Sources,COLUMN(),FALSE)="N/A"),VLOOKUP("Real-Time Off Source",MO_SPT_StockLow_Sources,COLUMN(),FALSE),VLOOKUP(MO.DataSourceName,MO_SPT_StockLow_Sources,COLUMN(),FALSE))</f>
        <v>152.34</v>
      </c>
      <c r="BF879" s="209">
        <f t="shared" ca="1" si="1891"/>
        <v>150.62</v>
      </c>
      <c r="BG879" s="209">
        <f t="shared" ca="1" si="1891"/>
        <v>152.88</v>
      </c>
      <c r="BH879" s="209">
        <f t="shared" ca="1" si="1891"/>
        <v>141.77000000000001</v>
      </c>
      <c r="BI879" s="209">
        <f t="shared" ca="1" si="1891"/>
        <v>141.77000000000001</v>
      </c>
      <c r="BJ879" s="209">
        <f t="shared" ref="BJ879:BX879" ca="1" si="1892">IF(OR(MO.RealTimeStockPriceToggle=FALSE,VLOOKUP(MO.DataSourceName,MO_SPT_StockLow_Sources,COLUMN(),FALSE)="N/A"),VLOOKUP("Real-Time Off Source",MO_SPT_StockLow_Sources,COLUMN(),FALSE),VLOOKUP(MO.DataSourceName,MO_SPT_StockLow_Sources,COLUMN(),FALSE))</f>
        <v>141.82</v>
      </c>
      <c r="BK879" s="209">
        <f t="shared" ca="1" si="1892"/>
        <v>152.57</v>
      </c>
      <c r="BL879" s="209">
        <f t="shared" ca="1" si="1892"/>
        <v>137.88</v>
      </c>
      <c r="BM879" s="209">
        <f t="shared" ca="1" si="1892"/>
        <v>141.15</v>
      </c>
      <c r="BN879" s="209">
        <f t="shared" ca="1" si="1892"/>
        <v>137.88</v>
      </c>
      <c r="BO879" s="209">
        <f t="shared" ref="BO879:BW879" ca="1" si="1893">IF(OR(MO.RealTimeStockPriceToggle=FALSE,VLOOKUP(MO.DataSourceName,MO_SPT_StockLow_Sources,COLUMN(),FALSE)="N/A"),VLOOKUP("Real-Time Off Source",MO_SPT_StockLow_Sources,COLUMN(),FALSE),VLOOKUP(MO.DataSourceName,MO_SPT_StockLow_Sources,COLUMN(),FALSE))</f>
        <v>146.71</v>
      </c>
      <c r="BP879" s="209">
        <f t="shared" ca="1" si="1893"/>
        <v>133.72999999999999</v>
      </c>
      <c r="BQ879" s="209">
        <f t="shared" ca="1" si="1893"/>
        <v>145.57</v>
      </c>
      <c r="BR879" s="209">
        <f t="shared" ca="1" si="1893"/>
        <v>146.75</v>
      </c>
      <c r="BS879" s="209">
        <f t="shared" ca="1" si="1893"/>
        <v>133.72999999999999</v>
      </c>
      <c r="BT879" s="387">
        <f ca="1">IF(OR(MO.RealTimeStockPriceToggle=FALSE,VLOOKUP(MO.DataSourceName,MO_SPT_StockLow_Sources,COLUMN(),FALSE)="N/A"),VLOOKUP("Real-Time Off Source",MO_SPT_StockLow_Sources,COLUMN(),FALSE),VLOOKUP(MO.DataSourceName,MO_SPT_StockLow_Sources,COLUMN(),FALSE))</f>
        <v>155.19999999999999</v>
      </c>
      <c r="BU879" s="209">
        <f t="shared" ca="1" si="1893"/>
        <v>0</v>
      </c>
      <c r="BV879" s="209">
        <f t="shared" ca="1" si="1893"/>
        <v>0</v>
      </c>
      <c r="BW879" s="209">
        <f t="shared" ca="1" si="1893"/>
        <v>0</v>
      </c>
      <c r="BX879" s="209">
        <f t="shared" ca="1" si="1892"/>
        <v>0</v>
      </c>
      <c r="BY879" s="209">
        <f t="shared" ref="BY879:CF879" ca="1" si="1894">IF(OR(MO.RealTimeStockPriceToggle=FALSE,VLOOKUP(MO.DataSourceName,MO_SPT_StockLow_Sources,COLUMN(),FALSE)="N/A"),VLOOKUP("Real-Time Off Source",MO_SPT_StockLow_Sources,COLUMN(),FALSE),VLOOKUP(MO.DataSourceName,MO_SPT_StockLow_Sources,COLUMN(),FALSE))</f>
        <v>0</v>
      </c>
      <c r="BZ879" s="209">
        <f t="shared" ca="1" si="1894"/>
        <v>0</v>
      </c>
      <c r="CA879" s="209">
        <f t="shared" ca="1" si="1894"/>
        <v>0</v>
      </c>
      <c r="CB879" s="209">
        <f t="shared" ca="1" si="1894"/>
        <v>0</v>
      </c>
      <c r="CC879" s="209">
        <f t="shared" ca="1" si="1894"/>
        <v>0</v>
      </c>
      <c r="CD879" s="209">
        <f t="shared" ca="1" si="1894"/>
        <v>0</v>
      </c>
      <c r="CE879" s="209">
        <f t="shared" ca="1" si="1894"/>
        <v>0</v>
      </c>
      <c r="CF879" s="210">
        <f t="shared" ca="1" si="1894"/>
        <v>0</v>
      </c>
      <c r="CG879" s="260"/>
    </row>
    <row r="880" spans="1:85" s="445" customFormat="1" hidden="1" outlineLevel="1" x14ac:dyDescent="0.3">
      <c r="A880" s="211" t="s">
        <v>373</v>
      </c>
      <c r="B880" s="209"/>
      <c r="C880" s="804">
        <v>56.12</v>
      </c>
      <c r="D880" s="804">
        <v>66.83</v>
      </c>
      <c r="E880" s="805">
        <v>86.68</v>
      </c>
      <c r="F880" s="805">
        <v>95.73</v>
      </c>
      <c r="G880" s="805">
        <v>108.74</v>
      </c>
      <c r="H880" s="805">
        <v>114.12</v>
      </c>
      <c r="I880" s="805">
        <v>117.22</v>
      </c>
      <c r="J880" s="805">
        <v>114.44</v>
      </c>
      <c r="K880" s="805">
        <v>108.74</v>
      </c>
      <c r="L880" s="805">
        <v>109.27</v>
      </c>
      <c r="M880" s="805">
        <v>116.5</v>
      </c>
      <c r="N880" s="805">
        <v>118.66</v>
      </c>
      <c r="O880" s="805">
        <v>100.15</v>
      </c>
      <c r="P880" s="805">
        <v>100.15</v>
      </c>
      <c r="Q880" s="805">
        <v>98.88</v>
      </c>
      <c r="R880" s="805">
        <v>96.22</v>
      </c>
      <c r="S880" s="805">
        <v>69.58</v>
      </c>
      <c r="T880" s="805">
        <v>77.31</v>
      </c>
      <c r="U880" s="805">
        <v>69.58</v>
      </c>
      <c r="V880" s="805">
        <v>75.33</v>
      </c>
      <c r="W880" s="805">
        <v>92.43</v>
      </c>
      <c r="X880" s="805">
        <v>97.53</v>
      </c>
      <c r="Y880" s="805">
        <v>99.61</v>
      </c>
      <c r="Z880" s="805">
        <v>75.33</v>
      </c>
      <c r="AA880" s="805">
        <v>105.85</v>
      </c>
      <c r="AB880" s="805">
        <v>102.55</v>
      </c>
      <c r="AC880" s="805">
        <v>102.55</v>
      </c>
      <c r="AD880" s="805">
        <v>112.57</v>
      </c>
      <c r="AE880" s="805">
        <v>102.55</v>
      </c>
      <c r="AF880" s="805">
        <v>106.054</v>
      </c>
      <c r="AG880" s="805">
        <v>109.1463</v>
      </c>
      <c r="AH880" s="805">
        <v>113.3719</v>
      </c>
      <c r="AI880" s="805">
        <v>100.99</v>
      </c>
      <c r="AJ880" s="805">
        <v>100.99</v>
      </c>
      <c r="AK880" s="805">
        <v>108.57</v>
      </c>
      <c r="AL880" s="805">
        <v>113.85</v>
      </c>
      <c r="AM880" s="805">
        <v>115.18</v>
      </c>
      <c r="AN880" s="805">
        <v>111.71</v>
      </c>
      <c r="AO880" s="805">
        <v>108.57</v>
      </c>
      <c r="AP880" s="805">
        <v>54.22</v>
      </c>
      <c r="AQ880" s="805">
        <v>68.56</v>
      </c>
      <c r="AR880" s="805">
        <v>71.8</v>
      </c>
      <c r="AS880" s="805">
        <v>66.88</v>
      </c>
      <c r="AT880" s="805">
        <v>54.22</v>
      </c>
      <c r="AU880" s="805">
        <v>84.71</v>
      </c>
      <c r="AV880" s="805">
        <v>100.95</v>
      </c>
      <c r="AW880" s="805">
        <v>94.29</v>
      </c>
      <c r="AX880" s="805">
        <v>104.33</v>
      </c>
      <c r="AY880" s="805">
        <v>84.71</v>
      </c>
      <c r="AZ880" s="805">
        <v>119.26</v>
      </c>
      <c r="BA880" s="805">
        <v>142.43</v>
      </c>
      <c r="BB880" s="805">
        <v>135.94</v>
      </c>
      <c r="BC880" s="805">
        <v>151.72999999999999</v>
      </c>
      <c r="BD880" s="805">
        <v>119.26</v>
      </c>
      <c r="BE880" s="805">
        <v>152.34</v>
      </c>
      <c r="BF880" s="805">
        <v>150.62</v>
      </c>
      <c r="BG880" s="805">
        <v>152.88</v>
      </c>
      <c r="BH880" s="805">
        <v>141.77000000000001</v>
      </c>
      <c r="BI880" s="805">
        <v>141.77000000000001</v>
      </c>
      <c r="BJ880" s="805">
        <v>141.82</v>
      </c>
      <c r="BK880" s="805">
        <v>152.57</v>
      </c>
      <c r="BL880" s="805">
        <v>137.88</v>
      </c>
      <c r="BM880" s="805">
        <v>141.15</v>
      </c>
      <c r="BN880" s="805">
        <v>137.88</v>
      </c>
      <c r="BO880" s="805">
        <v>146.71</v>
      </c>
      <c r="BP880" s="805">
        <v>133.72999999999999</v>
      </c>
      <c r="BQ880" s="805">
        <v>145.57</v>
      </c>
      <c r="BR880" s="805">
        <v>146.75</v>
      </c>
      <c r="BS880" s="805">
        <v>133.72999999999999</v>
      </c>
      <c r="BT880" s="806">
        <v>155.19999999999999</v>
      </c>
      <c r="BU880" s="209"/>
      <c r="BV880" s="209"/>
      <c r="BW880" s="209"/>
      <c r="BX880" s="209"/>
      <c r="BY880" s="209"/>
      <c r="BZ880" s="209"/>
      <c r="CA880" s="209"/>
      <c r="CB880" s="209"/>
      <c r="CC880" s="209"/>
      <c r="CD880" s="209"/>
      <c r="CE880" s="209"/>
      <c r="CF880" s="210"/>
      <c r="CG880" s="260"/>
    </row>
    <row r="881" spans="1:85" s="445" customFormat="1" hidden="1" outlineLevel="1" x14ac:dyDescent="0.3">
      <c r="A881" s="211" t="s">
        <v>7</v>
      </c>
      <c r="B881" s="209"/>
      <c r="C881" s="288" t="str">
        <f ca="1">IFERROR(BDP(MO.Ticker.Bloomberg&amp;" Equity","INTERVAL_LOW","MARKET_DATA_OVERRIDE=PX_LAST","START_DATE_OVERRIDE",TEXT(INDEX(MO_SNA_FPStartDate,0,COLUMN()),"YYYYMMDD"),"END_DATE_OVERRIDE",TEXT(INDEX(MO_Common_QEndDate,0,COLUMN()),"YYYYMMDD")),"N/A")</f>
        <v>N/A</v>
      </c>
      <c r="D881" s="288" t="str">
        <f ca="1">IFERROR(BDP(MO.Ticker.Bloomberg&amp;" Equity","INTERVAL_LOW","MARKET_DATA_OVERRIDE=PX_LAST","START_DATE_OVERRIDE",TEXT(INDEX(MO_SNA_FPStartDate,0,COLUMN()),"YYYYMMDD"),"END_DATE_OVERRIDE",TEXT(INDEX(MO_Common_QEndDate,0,COLUMN()),"YYYYMMDD")),"N/A")</f>
        <v>N/A</v>
      </c>
      <c r="E881" s="209" t="str">
        <f ca="1">IFERROR(BDP(MO.Ticker.Bloomberg&amp;" Equity","INTERVAL_LOW","MARKET_DATA_OVERRIDE=PX_LAST","START_DATE_OVERRIDE",TEXT(INDEX(MO_SNA_FPStartDate,0,COLUMN()),"YYYYMMDD"),"END_DATE_OVERRIDE",TEXT(INDEX(MO_Common_QEndDate,0,COLUMN()),"YYYYMMDD")),"N/A")</f>
        <v>N/A</v>
      </c>
      <c r="F881" s="209" t="str">
        <f ca="1">IFERROR(BDP(MO.Ticker.Bloomberg&amp;" Equity","INTERVAL_LOW","MARKET_DATA_OVERRIDE=PX_LAST","START_DATE_OVERRIDE",TEXT(INDEX(MO_SNA_FPStartDate,0,COLUMN()),"YYYYMMDD"),"END_DATE_OVERRIDE",TEXT(INDEX(MO_Common_QEndDate,0,COLUMN()),"YYYYMMDD")),"N/A")</f>
        <v>N/A</v>
      </c>
      <c r="G881" s="209" t="str">
        <f ca="1">IFERROR(BDP(MO.Ticker.Bloomberg&amp;" Equity","INTERVAL_LOW","MARKET_DATA_OVERRIDE=PX_LAST","START_DATE_OVERRIDE",TEXT(INDEX(MO_SNA_FPStartDate,0,COLUMN()),"YYYYMMDD"),"END_DATE_OVERRIDE",TEXT(INDEX(MO_Common_QEndDate,0,COLUMN()),"YYYYMMDD")),"N/A")</f>
        <v>N/A</v>
      </c>
      <c r="H881" s="209" t="str">
        <f ca="1">IFERROR(BDP(MO.Ticker.Bloomberg&amp;" Equity","INTERVAL_LOW","MARKET_DATA_OVERRIDE=PX_LAST","START_DATE_OVERRIDE",TEXT(INDEX(MO_SNA_FPStartDate,0,COLUMN()),"YYYYMMDD"),"END_DATE_OVERRIDE",TEXT(INDEX(MO_Common_QEndDate,0,COLUMN()),"YYYYMMDD")),"N/A")</f>
        <v>N/A</v>
      </c>
      <c r="I881" s="209" t="str">
        <f ca="1">IFERROR(BDP(MO.Ticker.Bloomberg&amp;" Equity","INTERVAL_LOW","MARKET_DATA_OVERRIDE=PX_LAST","START_DATE_OVERRIDE",TEXT(INDEX(MO_SNA_FPStartDate,0,COLUMN()),"YYYYMMDD"),"END_DATE_OVERRIDE",TEXT(INDEX(MO_Common_QEndDate,0,COLUMN()),"YYYYMMDD")),"N/A")</f>
        <v>N/A</v>
      </c>
      <c r="J881" s="209" t="str">
        <f ca="1">IFERROR(BDP(MO.Ticker.Bloomberg&amp;" Equity","INTERVAL_LOW","MARKET_DATA_OVERRIDE=PX_LAST","START_DATE_OVERRIDE",TEXT(INDEX(MO_SNA_FPStartDate,0,COLUMN()),"YYYYMMDD"),"END_DATE_OVERRIDE",TEXT(INDEX(MO_Common_QEndDate,0,COLUMN()),"YYYYMMDD")),"N/A")</f>
        <v>N/A</v>
      </c>
      <c r="K881" s="209" t="str">
        <f ca="1">IFERROR(BDP(MO.Ticker.Bloomberg&amp;" Equity","INTERVAL_LOW","MARKET_DATA_OVERRIDE=PX_LAST","START_DATE_OVERRIDE",TEXT(INDEX(MO_SNA_FPStartDate,0,COLUMN()),"YYYYMMDD"),"END_DATE_OVERRIDE",TEXT(INDEX(MO_Common_QEndDate,0,COLUMN()),"YYYYMMDD")),"N/A")</f>
        <v>N/A</v>
      </c>
      <c r="L881" s="209" t="str">
        <f ca="1">IFERROR(BDP(MO.Ticker.Bloomberg&amp;" Equity","INTERVAL_LOW","MARKET_DATA_OVERRIDE=PX_LAST","START_DATE_OVERRIDE",TEXT(INDEX(MO_SNA_FPStartDate,0,COLUMN()),"YYYYMMDD"),"END_DATE_OVERRIDE",TEXT(INDEX(MO_Common_QEndDate,0,COLUMN()),"YYYYMMDD")),"N/A")</f>
        <v>N/A</v>
      </c>
      <c r="M881" s="209" t="str">
        <f ca="1">IFERROR(BDP(MO.Ticker.Bloomberg&amp;" Equity","INTERVAL_LOW","MARKET_DATA_OVERRIDE=PX_LAST","START_DATE_OVERRIDE",TEXT(INDEX(MO_SNA_FPStartDate,0,COLUMN()),"YYYYMMDD"),"END_DATE_OVERRIDE",TEXT(INDEX(MO_Common_QEndDate,0,COLUMN()),"YYYYMMDD")),"N/A")</f>
        <v>N/A</v>
      </c>
      <c r="N881" s="209" t="str">
        <f ca="1">IFERROR(BDP(MO.Ticker.Bloomberg&amp;" Equity","INTERVAL_LOW","MARKET_DATA_OVERRIDE=PX_LAST","START_DATE_OVERRIDE",TEXT(INDEX(MO_SNA_FPStartDate,0,COLUMN()),"YYYYMMDD"),"END_DATE_OVERRIDE",TEXT(INDEX(MO_Common_QEndDate,0,COLUMN()),"YYYYMMDD")),"N/A")</f>
        <v>N/A</v>
      </c>
      <c r="O881" s="209" t="str">
        <f ca="1">IFERROR(BDP(MO.Ticker.Bloomberg&amp;" Equity","INTERVAL_LOW","MARKET_DATA_OVERRIDE=PX_LAST","START_DATE_OVERRIDE",TEXT(INDEX(MO_SNA_FPStartDate,0,COLUMN()),"YYYYMMDD"),"END_DATE_OVERRIDE",TEXT(INDEX(MO_Common_QEndDate,0,COLUMN()),"YYYYMMDD")),"N/A")</f>
        <v>N/A</v>
      </c>
      <c r="P881" s="209" t="str">
        <f ca="1">IFERROR(BDP(MO.Ticker.Bloomberg&amp;" Equity","INTERVAL_LOW","MARKET_DATA_OVERRIDE=PX_LAST","START_DATE_OVERRIDE",TEXT(INDEX(MO_SNA_FPStartDate,0,COLUMN()),"YYYYMMDD"),"END_DATE_OVERRIDE",TEXT(INDEX(MO_Common_QEndDate,0,COLUMN()),"YYYYMMDD")),"N/A")</f>
        <v>N/A</v>
      </c>
      <c r="Q881" s="209" t="str">
        <f ca="1">IFERROR(BDP(MO.Ticker.Bloomberg&amp;" Equity","INTERVAL_LOW","MARKET_DATA_OVERRIDE=PX_LAST","START_DATE_OVERRIDE",TEXT(INDEX(MO_SNA_FPStartDate,0,COLUMN()),"YYYYMMDD"),"END_DATE_OVERRIDE",TEXT(INDEX(MO_Common_QEndDate,0,COLUMN()),"YYYYMMDD")),"N/A")</f>
        <v>N/A</v>
      </c>
      <c r="R881" s="209" t="str">
        <f ca="1">IFERROR(BDP(MO.Ticker.Bloomberg&amp;" Equity","INTERVAL_LOW","MARKET_DATA_OVERRIDE=PX_LAST","START_DATE_OVERRIDE",TEXT(INDEX(MO_SNA_FPStartDate,0,COLUMN()),"YYYYMMDD"),"END_DATE_OVERRIDE",TEXT(INDEX(MO_Common_QEndDate,0,COLUMN()),"YYYYMMDD")),"N/A")</f>
        <v>N/A</v>
      </c>
      <c r="S881" s="209" t="str">
        <f ca="1">IFERROR(BDP(MO.Ticker.Bloomberg&amp;" Equity","INTERVAL_LOW","MARKET_DATA_OVERRIDE=PX_LAST","START_DATE_OVERRIDE",TEXT(INDEX(MO_SNA_FPStartDate,0,COLUMN()),"YYYYMMDD"),"END_DATE_OVERRIDE",TEXT(INDEX(MO_Common_QEndDate,0,COLUMN()),"YYYYMMDD")),"N/A")</f>
        <v>N/A</v>
      </c>
      <c r="T881" s="209" t="str">
        <f ca="1">IFERROR(BDP(MO.Ticker.Bloomberg&amp;" Equity","INTERVAL_LOW","MARKET_DATA_OVERRIDE=PX_LAST","START_DATE_OVERRIDE",TEXT(INDEX(MO_SNA_FPStartDate,0,COLUMN()),"YYYYMMDD"),"END_DATE_OVERRIDE",TEXT(INDEX(MO_Common_QEndDate,0,COLUMN()),"YYYYMMDD")),"N/A")</f>
        <v>N/A</v>
      </c>
      <c r="U881" s="209" t="str">
        <f ca="1">IFERROR(BDP(MO.Ticker.Bloomberg&amp;" Equity","INTERVAL_LOW","MARKET_DATA_OVERRIDE=PX_LAST","START_DATE_OVERRIDE",TEXT(INDEX(MO_SNA_FPStartDate,0,COLUMN()),"YYYYMMDD"),"END_DATE_OVERRIDE",TEXT(INDEX(MO_Common_QEndDate,0,COLUMN()),"YYYYMMDD")),"N/A")</f>
        <v>N/A</v>
      </c>
      <c r="V881" s="209" t="str">
        <f ca="1">IFERROR(BDP(MO.Ticker.Bloomberg&amp;" Equity","INTERVAL_LOW","MARKET_DATA_OVERRIDE=PX_LAST","START_DATE_OVERRIDE",TEXT(INDEX(MO_SNA_FPStartDate,0,COLUMN()),"YYYYMMDD"),"END_DATE_OVERRIDE",TEXT(INDEX(MO_Common_QEndDate,0,COLUMN()),"YYYYMMDD")),"N/A")</f>
        <v>N/A</v>
      </c>
      <c r="W881" s="209" t="str">
        <f ca="1">IFERROR(BDP(MO.Ticker.Bloomberg&amp;" Equity","INTERVAL_LOW","MARKET_DATA_OVERRIDE=PX_LAST","START_DATE_OVERRIDE",TEXT(INDEX(MO_SNA_FPStartDate,0,COLUMN()),"YYYYMMDD"),"END_DATE_OVERRIDE",TEXT(INDEX(MO_Common_QEndDate,0,COLUMN()),"YYYYMMDD")),"N/A")</f>
        <v>N/A</v>
      </c>
      <c r="X881" s="209" t="str">
        <f ca="1">IFERROR(BDP(MO.Ticker.Bloomberg&amp;" Equity","INTERVAL_LOW","MARKET_DATA_OVERRIDE=PX_LAST","START_DATE_OVERRIDE",TEXT(INDEX(MO_SNA_FPStartDate,0,COLUMN()),"YYYYMMDD"),"END_DATE_OVERRIDE",TEXT(INDEX(MO_Common_QEndDate,0,COLUMN()),"YYYYMMDD")),"N/A")</f>
        <v>N/A</v>
      </c>
      <c r="Y881" s="209" t="str">
        <f ca="1">IFERROR(BDP(MO.Ticker.Bloomberg&amp;" Equity","INTERVAL_LOW","MARKET_DATA_OVERRIDE=PX_LAST","START_DATE_OVERRIDE",TEXT(INDEX(MO_SNA_FPStartDate,0,COLUMN()),"YYYYMMDD"),"END_DATE_OVERRIDE",TEXT(INDEX(MO_Common_QEndDate,0,COLUMN()),"YYYYMMDD")),"N/A")</f>
        <v>N/A</v>
      </c>
      <c r="Z881" s="209" t="str">
        <f ca="1">IFERROR(BDP(MO.Ticker.Bloomberg&amp;" Equity","INTERVAL_LOW","MARKET_DATA_OVERRIDE=PX_LAST","START_DATE_OVERRIDE",TEXT(INDEX(MO_SNA_FPStartDate,0,COLUMN()),"YYYYMMDD"),"END_DATE_OVERRIDE",TEXT(INDEX(MO_Common_QEndDate,0,COLUMN()),"YYYYMMDD")),"N/A")</f>
        <v>N/A</v>
      </c>
      <c r="AA881" s="209" t="str">
        <f ca="1">IFERROR(BDP(MO.Ticker.Bloomberg&amp;" Equity","INTERVAL_LOW","MARKET_DATA_OVERRIDE=PX_LAST","START_DATE_OVERRIDE",TEXT(INDEX(MO_SNA_FPStartDate,0,COLUMN()),"YYYYMMDD"),"END_DATE_OVERRIDE",TEXT(INDEX(MO_Common_QEndDate,0,COLUMN()),"YYYYMMDD")),"N/A")</f>
        <v>N/A</v>
      </c>
      <c r="AB881" s="209" t="str">
        <f ca="1">IFERROR(BDP(MO.Ticker.Bloomberg&amp;" Equity","INTERVAL_LOW","MARKET_DATA_OVERRIDE=PX_LAST","START_DATE_OVERRIDE",TEXT(INDEX(MO_SNA_FPStartDate,0,COLUMN()),"YYYYMMDD"),"END_DATE_OVERRIDE",TEXT(INDEX(MO_Common_QEndDate,0,COLUMN()),"YYYYMMDD")),"N/A")</f>
        <v>N/A</v>
      </c>
      <c r="AC881" s="209" t="str">
        <f ca="1">IFERROR(BDP(MO.Ticker.Bloomberg&amp;" Equity","INTERVAL_LOW","MARKET_DATA_OVERRIDE=PX_LAST","START_DATE_OVERRIDE",TEXT(INDEX(MO_SNA_FPStartDate,0,COLUMN()),"YYYYMMDD"),"END_DATE_OVERRIDE",TEXT(INDEX(MO_Common_QEndDate,0,COLUMN()),"YYYYMMDD")),"N/A")</f>
        <v>N/A</v>
      </c>
      <c r="AD881" s="209" t="str">
        <f ca="1">IFERROR(BDP(MO.Ticker.Bloomberg&amp;" Equity","INTERVAL_LOW","MARKET_DATA_OVERRIDE=PX_LAST","START_DATE_OVERRIDE",TEXT(INDEX(MO_SNA_FPStartDate,0,COLUMN()),"YYYYMMDD"),"END_DATE_OVERRIDE",TEXT(INDEX(MO_Common_QEndDate,0,COLUMN()),"YYYYMMDD")),"N/A")</f>
        <v>N/A</v>
      </c>
      <c r="AE881" s="209" t="str">
        <f ca="1">IFERROR(BDP(MO.Ticker.Bloomberg&amp;" Equity","INTERVAL_LOW","MARKET_DATA_OVERRIDE=PX_LAST","START_DATE_OVERRIDE",TEXT(INDEX(MO_SNA_FPStartDate,0,COLUMN()),"YYYYMMDD"),"END_DATE_OVERRIDE",TEXT(INDEX(MO_Common_QEndDate,0,COLUMN()),"YYYYMMDD")),"N/A")</f>
        <v>N/A</v>
      </c>
      <c r="AF881" s="209" t="str">
        <f ca="1">IFERROR(BDP(MO.Ticker.Bloomberg&amp;" Equity","INTERVAL_LOW","MARKET_DATA_OVERRIDE=PX_LAST","START_DATE_OVERRIDE",TEXT(INDEX(MO_SNA_FPStartDate,0,COLUMN()),"YYYYMMDD"),"END_DATE_OVERRIDE",TEXT(INDEX(MO_Common_QEndDate,0,COLUMN()),"YYYYMMDD")),"N/A")</f>
        <v>N/A</v>
      </c>
      <c r="AG881" s="209" t="str">
        <f ca="1">IFERROR(BDP(MO.Ticker.Bloomberg&amp;" Equity","INTERVAL_LOW","MARKET_DATA_OVERRIDE=PX_LAST","START_DATE_OVERRIDE",TEXT(INDEX(MO_SNA_FPStartDate,0,COLUMN()),"YYYYMMDD"),"END_DATE_OVERRIDE",TEXT(INDEX(MO_Common_QEndDate,0,COLUMN()),"YYYYMMDD")),"N/A")</f>
        <v>N/A</v>
      </c>
      <c r="AH881" s="209" t="str">
        <f ca="1">IFERROR(BDP(MO.Ticker.Bloomberg&amp;" Equity","INTERVAL_LOW","MARKET_DATA_OVERRIDE=PX_LAST","START_DATE_OVERRIDE",TEXT(INDEX(MO_SNA_FPStartDate,0,COLUMN()),"YYYYMMDD"),"END_DATE_OVERRIDE",TEXT(INDEX(MO_Common_QEndDate,0,COLUMN()),"YYYYMMDD")),"N/A")</f>
        <v>N/A</v>
      </c>
      <c r="AI881" s="209" t="str">
        <f ca="1">IFERROR(BDP(MO.Ticker.Bloomberg&amp;" Equity","INTERVAL_LOW","MARKET_DATA_OVERRIDE=PX_LAST","START_DATE_OVERRIDE",TEXT(INDEX(MO_SNA_FPStartDate,0,COLUMN()),"YYYYMMDD"),"END_DATE_OVERRIDE",TEXT(INDEX(MO_Common_QEndDate,0,COLUMN()),"YYYYMMDD")),"N/A")</f>
        <v>N/A</v>
      </c>
      <c r="AJ881" s="209" t="str">
        <f ca="1">IFERROR(BDP(MO.Ticker.Bloomberg&amp;" Equity","INTERVAL_LOW","MARKET_DATA_OVERRIDE=PX_LAST","START_DATE_OVERRIDE",TEXT(INDEX(MO_SNA_FPStartDate,0,COLUMN()),"YYYYMMDD"),"END_DATE_OVERRIDE",TEXT(INDEX(MO_Common_QEndDate,0,COLUMN()),"YYYYMMDD")),"N/A")</f>
        <v>N/A</v>
      </c>
      <c r="AK881" s="209" t="str">
        <f ca="1">IFERROR(BDP(MO.Ticker.Bloomberg&amp;" Equity","INTERVAL_LOW","MARKET_DATA_OVERRIDE=PX_LAST","START_DATE_OVERRIDE",TEXT(INDEX(MO_SNA_FPStartDate,0,COLUMN()),"YYYYMMDD"),"END_DATE_OVERRIDE",TEXT(INDEX(MO_Common_QEndDate,0,COLUMN()),"YYYYMMDD")),"N/A")</f>
        <v>N/A</v>
      </c>
      <c r="AL881" s="209" t="str">
        <f ca="1">IFERROR(BDP(MO.Ticker.Bloomberg&amp;" Equity","INTERVAL_LOW","MARKET_DATA_OVERRIDE=PX_LAST","START_DATE_OVERRIDE",TEXT(INDEX(MO_SNA_FPStartDate,0,COLUMN()),"YYYYMMDD"),"END_DATE_OVERRIDE",TEXT(INDEX(MO_Common_QEndDate,0,COLUMN()),"YYYYMMDD")),"N/A")</f>
        <v>N/A</v>
      </c>
      <c r="AM881" s="209" t="str">
        <f ca="1">IFERROR(BDP(MO.Ticker.Bloomberg&amp;" Equity","INTERVAL_LOW","MARKET_DATA_OVERRIDE=PX_LAST","START_DATE_OVERRIDE",TEXT(INDEX(MO_SNA_FPStartDate,0,COLUMN()),"YYYYMMDD"),"END_DATE_OVERRIDE",TEXT(INDEX(MO_Common_QEndDate,0,COLUMN()),"YYYYMMDD")),"N/A")</f>
        <v>N/A</v>
      </c>
      <c r="AN881" s="209" t="str">
        <f ca="1">IFERROR(BDP(MO.Ticker.Bloomberg&amp;" Equity","INTERVAL_LOW","MARKET_DATA_OVERRIDE=PX_LAST","START_DATE_OVERRIDE",TEXT(INDEX(MO_SNA_FPStartDate,0,COLUMN()),"YYYYMMDD"),"END_DATE_OVERRIDE",TEXT(INDEX(MO_Common_QEndDate,0,COLUMN()),"YYYYMMDD")),"N/A")</f>
        <v>N/A</v>
      </c>
      <c r="AO881" s="209" t="str">
        <f ca="1">IFERROR(BDP(MO.Ticker.Bloomberg&amp;" Equity","INTERVAL_LOW","MARKET_DATA_OVERRIDE=PX_LAST","START_DATE_OVERRIDE",TEXT(INDEX(MO_SNA_FPStartDate,0,COLUMN()),"YYYYMMDD"),"END_DATE_OVERRIDE",TEXT(INDEX(MO_Common_QEndDate,0,COLUMN()),"YYYYMMDD")),"N/A")</f>
        <v>N/A</v>
      </c>
      <c r="AP881" s="209" t="str">
        <f ca="1">IFERROR(BDP(MO.Ticker.Bloomberg&amp;" Equity","INTERVAL_LOW","MARKET_DATA_OVERRIDE=PX_LAST","START_DATE_OVERRIDE",TEXT(INDEX(MO_SNA_FPStartDate,0,COLUMN()),"YYYYMMDD"),"END_DATE_OVERRIDE",TEXT(INDEX(MO_Common_QEndDate,0,COLUMN()),"YYYYMMDD")),"N/A")</f>
        <v>N/A</v>
      </c>
      <c r="AQ881" s="209" t="str">
        <f ca="1">IFERROR(BDP(MO.Ticker.Bloomberg&amp;" Equity","INTERVAL_LOW","MARKET_DATA_OVERRIDE=PX_LAST","START_DATE_OVERRIDE",TEXT(INDEX(MO_SNA_FPStartDate,0,COLUMN()),"YYYYMMDD"),"END_DATE_OVERRIDE",TEXT(INDEX(MO_Common_QEndDate,0,COLUMN()),"YYYYMMDD")),"N/A")</f>
        <v>N/A</v>
      </c>
      <c r="AR881" s="209" t="str">
        <f ca="1">IFERROR(BDP(MO.Ticker.Bloomberg&amp;" Equity","INTERVAL_LOW","MARKET_DATA_OVERRIDE=PX_LAST","START_DATE_OVERRIDE",TEXT(INDEX(MO_SNA_FPStartDate,0,COLUMN()),"YYYYMMDD"),"END_DATE_OVERRIDE",TEXT(INDEX(MO_Common_QEndDate,0,COLUMN()),"YYYYMMDD")),"N/A")</f>
        <v>N/A</v>
      </c>
      <c r="AS881" s="209" t="str">
        <f ca="1">IFERROR(BDP(MO.Ticker.Bloomberg&amp;" Equity","INTERVAL_LOW","MARKET_DATA_OVERRIDE=PX_LAST","START_DATE_OVERRIDE",TEXT(INDEX(MO_SNA_FPStartDate,0,COLUMN()),"YYYYMMDD"),"END_DATE_OVERRIDE",TEXT(INDEX(MO_Common_QEndDate,0,COLUMN()),"YYYYMMDD")),"N/A")</f>
        <v>N/A</v>
      </c>
      <c r="AT881" s="209" t="str">
        <f ca="1">IFERROR(BDP(MO.Ticker.Bloomberg&amp;" Equity","INTERVAL_LOW","MARKET_DATA_OVERRIDE=PX_LAST","START_DATE_OVERRIDE",TEXT(INDEX(MO_SNA_FPStartDate,0,COLUMN()),"YYYYMMDD"),"END_DATE_OVERRIDE",TEXT(INDEX(MO_Common_QEndDate,0,COLUMN()),"YYYYMMDD")),"N/A")</f>
        <v>N/A</v>
      </c>
      <c r="AU881" s="209" t="str">
        <f ca="1">IFERROR(BDP(MO.Ticker.Bloomberg&amp;" Equity","INTERVAL_LOW","MARKET_DATA_OVERRIDE=PX_LAST","START_DATE_OVERRIDE",TEXT(INDEX(MO_SNA_FPStartDate,0,COLUMN()),"YYYYMMDD"),"END_DATE_OVERRIDE",TEXT(INDEX(MO_Common_QEndDate,0,COLUMN()),"YYYYMMDD")),"N/A")</f>
        <v>N/A</v>
      </c>
      <c r="AV881" s="209" t="str">
        <f ca="1">IFERROR(BDP(MO.Ticker.Bloomberg&amp;" Equity","INTERVAL_LOW","MARKET_DATA_OVERRIDE=PX_LAST","START_DATE_OVERRIDE",TEXT(INDEX(MO_SNA_FPStartDate,0,COLUMN()),"YYYYMMDD"),"END_DATE_OVERRIDE",TEXT(INDEX(MO_Common_QEndDate,0,COLUMN()),"YYYYMMDD")),"N/A")</f>
        <v>N/A</v>
      </c>
      <c r="AW881" s="209" t="str">
        <f ca="1">IFERROR(BDP(MO.Ticker.Bloomberg&amp;" Equity","INTERVAL_LOW","MARKET_DATA_OVERRIDE=PX_LAST","START_DATE_OVERRIDE",TEXT(INDEX(MO_SNA_FPStartDate,0,COLUMN()),"YYYYMMDD"),"END_DATE_OVERRIDE",TEXT(INDEX(MO_Common_QEndDate,0,COLUMN()),"YYYYMMDD")),"N/A")</f>
        <v>N/A</v>
      </c>
      <c r="AX881" s="209" t="str">
        <f ca="1">IFERROR(BDP(MO.Ticker.Bloomberg&amp;" Equity","INTERVAL_LOW","MARKET_DATA_OVERRIDE=PX_LAST","START_DATE_OVERRIDE",TEXT(INDEX(MO_SNA_FPStartDate,0,COLUMN()),"YYYYMMDD"),"END_DATE_OVERRIDE",TEXT(INDEX(MO_Common_QEndDate,0,COLUMN()),"YYYYMMDD")),"N/A")</f>
        <v>N/A</v>
      </c>
      <c r="AY881" s="209" t="str">
        <f ca="1">IFERROR(BDP(MO.Ticker.Bloomberg&amp;" Equity","INTERVAL_LOW","MARKET_DATA_OVERRIDE=PX_LAST","START_DATE_OVERRIDE",TEXT(INDEX(MO_SNA_FPStartDate,0,COLUMN()),"YYYYMMDD"),"END_DATE_OVERRIDE",TEXT(INDEX(MO_Common_QEndDate,0,COLUMN()),"YYYYMMDD")),"N/A")</f>
        <v>N/A</v>
      </c>
      <c r="AZ881" s="209" t="str">
        <f ca="1">IFERROR(BDP(MO.Ticker.Bloomberg&amp;" Equity","INTERVAL_LOW","MARKET_DATA_OVERRIDE=PX_LAST","START_DATE_OVERRIDE",TEXT(INDEX(MO_SNA_FPStartDate,0,COLUMN()),"YYYYMMDD"),"END_DATE_OVERRIDE",TEXT(INDEX(MO_Common_QEndDate,0,COLUMN()),"YYYYMMDD")),"N/A")</f>
        <v>N/A</v>
      </c>
      <c r="BA881" s="209" t="str">
        <f ca="1">IFERROR(BDP(MO.Ticker.Bloomberg&amp;" Equity","INTERVAL_LOW","MARKET_DATA_OVERRIDE=PX_LAST","START_DATE_OVERRIDE",TEXT(INDEX(MO_SNA_FPStartDate,0,COLUMN()),"YYYYMMDD"),"END_DATE_OVERRIDE",TEXT(INDEX(MO_Common_QEndDate,0,COLUMN()),"YYYYMMDD")),"N/A")</f>
        <v>N/A</v>
      </c>
      <c r="BB881" s="209" t="str">
        <f ca="1">IFERROR(BDP(MO.Ticker.Bloomberg&amp;" Equity","INTERVAL_LOW","MARKET_DATA_OVERRIDE=PX_LAST","START_DATE_OVERRIDE",TEXT(INDEX(MO_SNA_FPStartDate,0,COLUMN()),"YYYYMMDD"),"END_DATE_OVERRIDE",TEXT(INDEX(MO_Common_QEndDate,0,COLUMN()),"YYYYMMDD")),"N/A")</f>
        <v>N/A</v>
      </c>
      <c r="BC881" s="209" t="str">
        <f ca="1">IFERROR(BDP(MO.Ticker.Bloomberg&amp;" Equity","INTERVAL_LOW","MARKET_DATA_OVERRIDE=PX_LAST","START_DATE_OVERRIDE",TEXT(INDEX(MO_SNA_FPStartDate,0,COLUMN()),"YYYYMMDD"),"END_DATE_OVERRIDE",TEXT(INDEX(MO_Common_QEndDate,0,COLUMN()),"YYYYMMDD")),"N/A")</f>
        <v>N/A</v>
      </c>
      <c r="BD881" s="209" t="str">
        <f ca="1">IFERROR(BDP(MO.Ticker.Bloomberg&amp;" Equity","INTERVAL_LOW","MARKET_DATA_OVERRIDE=PX_LAST","START_DATE_OVERRIDE",TEXT(INDEX(MO_SNA_FPStartDate,0,COLUMN()),"YYYYMMDD"),"END_DATE_OVERRIDE",TEXT(INDEX(MO_Common_QEndDate,0,COLUMN()),"YYYYMMDD")),"N/A")</f>
        <v>N/A</v>
      </c>
      <c r="BE881" s="209" t="str">
        <f ca="1">IFERROR(BDP(MO.Ticker.Bloomberg&amp;" Equity","INTERVAL_LOW","MARKET_DATA_OVERRIDE=PX_LAST","START_DATE_OVERRIDE",TEXT(INDEX(MO_SNA_FPStartDate,0,COLUMN()),"YYYYMMDD"),"END_DATE_OVERRIDE",TEXT(INDEX(MO_Common_QEndDate,0,COLUMN()),"YYYYMMDD")),"N/A")</f>
        <v>N/A</v>
      </c>
      <c r="BF881" s="209" t="str">
        <f ca="1">IFERROR(BDP(MO.Ticker.Bloomberg&amp;" Equity","INTERVAL_LOW","MARKET_DATA_OVERRIDE=PX_LAST","START_DATE_OVERRIDE",TEXT(INDEX(MO_SNA_FPStartDate,0,COLUMN()),"YYYYMMDD"),"END_DATE_OVERRIDE",TEXT(INDEX(MO_Common_QEndDate,0,COLUMN()),"YYYYMMDD")),"N/A")</f>
        <v>N/A</v>
      </c>
      <c r="BG881" s="209" t="str">
        <f ca="1">IFERROR(BDP(MO.Ticker.Bloomberg&amp;" Equity","INTERVAL_LOW","MARKET_DATA_OVERRIDE=PX_LAST","START_DATE_OVERRIDE",TEXT(INDEX(MO_SNA_FPStartDate,0,COLUMN()),"YYYYMMDD"),"END_DATE_OVERRIDE",TEXT(INDEX(MO_Common_QEndDate,0,COLUMN()),"YYYYMMDD")),"N/A")</f>
        <v>N/A</v>
      </c>
      <c r="BH881" s="209" t="str">
        <f ca="1">IFERROR(BDP(MO.Ticker.Bloomberg&amp;" Equity","INTERVAL_LOW","MARKET_DATA_OVERRIDE=PX_LAST","START_DATE_OVERRIDE",TEXT(INDEX(MO_SNA_FPStartDate,0,COLUMN()),"YYYYMMDD"),"END_DATE_OVERRIDE",TEXT(INDEX(MO_Common_QEndDate,0,COLUMN()),"YYYYMMDD")),"N/A")</f>
        <v>N/A</v>
      </c>
      <c r="BI881" s="209" t="str">
        <f ca="1">IFERROR(BDP(MO.Ticker.Bloomberg&amp;" Equity","INTERVAL_LOW","MARKET_DATA_OVERRIDE=PX_LAST","START_DATE_OVERRIDE",TEXT(INDEX(MO_SNA_FPStartDate,0,COLUMN()),"YYYYMMDD"),"END_DATE_OVERRIDE",TEXT(INDEX(MO_Common_QEndDate,0,COLUMN()),"YYYYMMDD")),"N/A")</f>
        <v>N/A</v>
      </c>
      <c r="BJ881" s="209" t="str">
        <f ca="1">IFERROR(BDP(MO.Ticker.Bloomberg&amp;" Equity","INTERVAL_LOW","MARKET_DATA_OVERRIDE=PX_LAST","START_DATE_OVERRIDE",TEXT(INDEX(MO_SNA_FPStartDate,0,COLUMN()),"YYYYMMDD"),"END_DATE_OVERRIDE",TEXT(INDEX(MO_Common_QEndDate,0,COLUMN()),"YYYYMMDD")),"N/A")</f>
        <v>N/A</v>
      </c>
      <c r="BK881" s="209" t="str">
        <f ca="1">IFERROR(BDP(MO.Ticker.Bloomberg&amp;" Equity","INTERVAL_LOW","MARKET_DATA_OVERRIDE=PX_LAST","START_DATE_OVERRIDE",TEXT(INDEX(MO_SNA_FPStartDate,0,COLUMN()),"YYYYMMDD"),"END_DATE_OVERRIDE",TEXT(INDEX(MO_Common_QEndDate,0,COLUMN()),"YYYYMMDD")),"N/A")</f>
        <v>N/A</v>
      </c>
      <c r="BL881" s="209" t="str">
        <f ca="1">IFERROR(BDP(MO.Ticker.Bloomberg&amp;" Equity","INTERVAL_LOW","MARKET_DATA_OVERRIDE=PX_LAST","START_DATE_OVERRIDE",TEXT(INDEX(MO_SNA_FPStartDate,0,COLUMN()),"YYYYMMDD"),"END_DATE_OVERRIDE",TEXT(INDEX(MO_Common_QEndDate,0,COLUMN()),"YYYYMMDD")),"N/A")</f>
        <v>N/A</v>
      </c>
      <c r="BM881" s="209" t="str">
        <f ca="1">IFERROR(BDP(MO.Ticker.Bloomberg&amp;" Equity","INTERVAL_LOW","MARKET_DATA_OVERRIDE=PX_LAST","START_DATE_OVERRIDE",TEXT(INDEX(MO_SNA_FPStartDate,0,COLUMN()),"YYYYMMDD"),"END_DATE_OVERRIDE",TEXT(INDEX(MO_Common_QEndDate,0,COLUMN()),"YYYYMMDD")),"N/A")</f>
        <v>N/A</v>
      </c>
      <c r="BN881" s="209" t="str">
        <f ca="1">IFERROR(BDP(MO.Ticker.Bloomberg&amp;" Equity","INTERVAL_LOW","MARKET_DATA_OVERRIDE=PX_LAST","START_DATE_OVERRIDE",TEXT(INDEX(MO_SNA_FPStartDate,0,COLUMN()),"YYYYMMDD"),"END_DATE_OVERRIDE",TEXT(INDEX(MO_Common_QEndDate,0,COLUMN()),"YYYYMMDD")),"N/A")</f>
        <v>N/A</v>
      </c>
      <c r="BO881" s="209" t="str">
        <f ca="1">IFERROR(BDP(MO.Ticker.Bloomberg&amp;" Equity","INTERVAL_LOW","MARKET_DATA_OVERRIDE=PX_LAST","START_DATE_OVERRIDE",TEXT(INDEX(MO_SNA_FPStartDate,0,COLUMN()),"YYYYMMDD"),"END_DATE_OVERRIDE",TEXT(INDEX(MO_Common_QEndDate,0,COLUMN()),"YYYYMMDD")),"N/A")</f>
        <v>N/A</v>
      </c>
      <c r="BP881" s="209" t="str">
        <f ca="1">IFERROR(BDP(MO.Ticker.Bloomberg&amp;" Equity","INTERVAL_LOW","MARKET_DATA_OVERRIDE=PX_LAST","START_DATE_OVERRIDE",TEXT(INDEX(MO_SNA_FPStartDate,0,COLUMN()),"YYYYMMDD"),"END_DATE_OVERRIDE",TEXT(INDEX(MO_Common_QEndDate,0,COLUMN()),"YYYYMMDD")),"N/A")</f>
        <v>N/A</v>
      </c>
      <c r="BQ881" s="209" t="str">
        <f ca="1">IFERROR(BDP(MO.Ticker.Bloomberg&amp;" Equity","INTERVAL_LOW","MARKET_DATA_OVERRIDE=PX_LAST","START_DATE_OVERRIDE",TEXT(INDEX(MO_SNA_FPStartDate,0,COLUMN()),"YYYYMMDD"),"END_DATE_OVERRIDE",TEXT(INDEX(MO_Common_QEndDate,0,COLUMN()),"YYYYMMDD")),"N/A")</f>
        <v>N/A</v>
      </c>
      <c r="BR881" s="209" t="str">
        <f ca="1">IFERROR(BDP(MO.Ticker.Bloomberg&amp;" Equity","INTERVAL_LOW","MARKET_DATA_OVERRIDE=PX_LAST","START_DATE_OVERRIDE",TEXT(INDEX(MO_SNA_FPStartDate,0,COLUMN()),"YYYYMMDD"),"END_DATE_OVERRIDE",TEXT(INDEX(MO_Common_QEndDate,0,COLUMN()),"YYYYMMDD")),"N/A")</f>
        <v>N/A</v>
      </c>
      <c r="BS881" s="209" t="str">
        <f ca="1">IFERROR(BDP(MO.Ticker.Bloomberg&amp;" Equity","INTERVAL_LOW","MARKET_DATA_OVERRIDE=PX_LAST","START_DATE_OVERRIDE",TEXT(INDEX(MO_SNA_FPStartDate,0,COLUMN()),"YYYYMMDD"),"END_DATE_OVERRIDE",TEXT(INDEX(MO_Common_QEndDate,0,COLUMN()),"YYYYMMDD")),"N/A")</f>
        <v>N/A</v>
      </c>
      <c r="BT881" s="387" t="str">
        <f ca="1">IFERROR(BDP(MO.Ticker.Bloomberg&amp;" Equity","INTERVAL_LOW","MARKET_DATA_OVERRIDE=PX_LAST","START_DATE_OVERRIDE",TEXT(INDEX(MO_SNA_FPStartDate,0,COLUMN()),"YYYYMMDD"),"END_DATE_OVERRIDE",TEXT(INDEX(MO_Common_QEndDate,0,COLUMN()),"YYYYMMDD")),"N/A")</f>
        <v>N/A</v>
      </c>
      <c r="BU881" s="209" t="str">
        <f ca="1">IFERROR(BDP(MO.Ticker.Bloomberg&amp;" Equity","INTERVAL_LOW","MARKET_DATA_OVERRIDE=PX_LAST","START_DATE_OVERRIDE",TEXT(INDEX(MO_SNA_FPStartDate,0,COLUMN()),"YYYYMMDD"),"END_DATE_OVERRIDE",TEXT(INDEX(MO_Common_QEndDate,0,COLUMN()),"YYYYMMDD")),"N/A")</f>
        <v>N/A</v>
      </c>
      <c r="BV881" s="209" t="str">
        <f ca="1">IFERROR(BDP(MO.Ticker.Bloomberg&amp;" Equity","INTERVAL_LOW","MARKET_DATA_OVERRIDE=PX_LAST","START_DATE_OVERRIDE",TEXT(INDEX(MO_SNA_FPStartDate,0,COLUMN()),"YYYYMMDD"),"END_DATE_OVERRIDE",TEXT(INDEX(MO_Common_QEndDate,0,COLUMN()),"YYYYMMDD")),"N/A")</f>
        <v>N/A</v>
      </c>
      <c r="BW881" s="209" t="str">
        <f ca="1">IFERROR(BDP(MO.Ticker.Bloomberg&amp;" Equity","INTERVAL_LOW","MARKET_DATA_OVERRIDE=PX_LAST","START_DATE_OVERRIDE",TEXT(INDEX(MO_SNA_FPStartDate,0,COLUMN()),"YYYYMMDD"),"END_DATE_OVERRIDE",TEXT(INDEX(MO_Common_QEndDate,0,COLUMN()),"YYYYMMDD")),"N/A")</f>
        <v>N/A</v>
      </c>
      <c r="BX881" s="209" t="str">
        <f ca="1">IFERROR(BDP(MO.Ticker.Bloomberg&amp;" Equity","INTERVAL_LOW","MARKET_DATA_OVERRIDE=PX_LAST","START_DATE_OVERRIDE",TEXT(INDEX(MO_SNA_FPStartDate,0,COLUMN()),"YYYYMMDD"),"END_DATE_OVERRIDE",TEXT(INDEX(MO_Common_QEndDate,0,COLUMN()),"YYYYMMDD")),"N/A")</f>
        <v>N/A</v>
      </c>
      <c r="BY881" s="209" t="str">
        <f ca="1">IFERROR(BDP(MO.Ticker.Bloomberg&amp;" Equity","INTERVAL_LOW","MARKET_DATA_OVERRIDE=PX_LAST","START_DATE_OVERRIDE",TEXT(INDEX(MO_SNA_FPStartDate,0,COLUMN()),"YYYYMMDD"),"END_DATE_OVERRIDE",TEXT(INDEX(MO_Common_QEndDate,0,COLUMN()),"YYYYMMDD")),"N/A")</f>
        <v>N/A</v>
      </c>
      <c r="BZ881" s="209" t="str">
        <f ca="1">IFERROR(BDP(MO.Ticker.Bloomberg&amp;" Equity","INTERVAL_LOW","MARKET_DATA_OVERRIDE=PX_LAST","START_DATE_OVERRIDE",TEXT(INDEX(MO_SNA_FPStartDate,0,COLUMN()),"YYYYMMDD"),"END_DATE_OVERRIDE",TEXT(INDEX(MO_Common_QEndDate,0,COLUMN()),"YYYYMMDD")),"N/A")</f>
        <v>N/A</v>
      </c>
      <c r="CA881" s="209" t="str">
        <f ca="1">IFERROR(BDP(MO.Ticker.Bloomberg&amp;" Equity","INTERVAL_LOW","MARKET_DATA_OVERRIDE=PX_LAST","START_DATE_OVERRIDE",TEXT(INDEX(MO_SNA_FPStartDate,0,COLUMN()),"YYYYMMDD"),"END_DATE_OVERRIDE",TEXT(INDEX(MO_Common_QEndDate,0,COLUMN()),"YYYYMMDD")),"N/A")</f>
        <v>N/A</v>
      </c>
      <c r="CB881" s="209" t="str">
        <f ca="1">IFERROR(BDP(MO.Ticker.Bloomberg&amp;" Equity","INTERVAL_LOW","MARKET_DATA_OVERRIDE=PX_LAST","START_DATE_OVERRIDE",TEXT(INDEX(MO_SNA_FPStartDate,0,COLUMN()),"YYYYMMDD"),"END_DATE_OVERRIDE",TEXT(INDEX(MO_Common_QEndDate,0,COLUMN()),"YYYYMMDD")),"N/A")</f>
        <v>N/A</v>
      </c>
      <c r="CC881" s="209" t="str">
        <f ca="1">IFERROR(BDP(MO.Ticker.Bloomberg&amp;" Equity","INTERVAL_LOW","MARKET_DATA_OVERRIDE=PX_LAST","START_DATE_OVERRIDE",TEXT(INDEX(MO_SNA_FPStartDate,0,COLUMN()),"YYYYMMDD"),"END_DATE_OVERRIDE",TEXT(INDEX(MO_Common_QEndDate,0,COLUMN()),"YYYYMMDD")),"N/A")</f>
        <v>N/A</v>
      </c>
      <c r="CD881" s="209" t="str">
        <f ca="1">IFERROR(BDP(MO.Ticker.Bloomberg&amp;" Equity","INTERVAL_LOW","MARKET_DATA_OVERRIDE=PX_LAST","START_DATE_OVERRIDE",TEXT(INDEX(MO_SNA_FPStartDate,0,COLUMN()),"YYYYMMDD"),"END_DATE_OVERRIDE",TEXT(INDEX(MO_Common_QEndDate,0,COLUMN()),"YYYYMMDD")),"N/A")</f>
        <v>N/A</v>
      </c>
      <c r="CE881" s="209" t="str">
        <f ca="1">IFERROR(BDP(MO.Ticker.Bloomberg&amp;" Equity","INTERVAL_LOW","MARKET_DATA_OVERRIDE=PX_LAST","START_DATE_OVERRIDE",TEXT(INDEX(MO_SNA_FPStartDate,0,COLUMN()),"YYYYMMDD"),"END_DATE_OVERRIDE",TEXT(INDEX(MO_Common_QEndDate,0,COLUMN()),"YYYYMMDD")),"N/A")</f>
        <v>N/A</v>
      </c>
      <c r="CF881" s="210" t="str">
        <f ca="1">IFERROR(BDP(MO.Ticker.Bloomberg&amp;" Equity","INTERVAL_LOW","MARKET_DATA_OVERRIDE=PX_LAST","START_DATE_OVERRIDE",TEXT(INDEX(MO_SNA_FPStartDate,0,COLUMN()),"YYYYMMDD"),"END_DATE_OVERRIDE",TEXT(INDEX(MO_Common_QEndDate,0,COLUMN()),"YYYYMMDD")),"N/A")</f>
        <v>N/A</v>
      </c>
      <c r="CG881" s="260"/>
    </row>
    <row r="882" spans="1:85" s="445" customFormat="1" hidden="1" outlineLevel="1" x14ac:dyDescent="0.3">
      <c r="A882" s="211" t="s">
        <v>374</v>
      </c>
      <c r="B882" s="209"/>
      <c r="C882" s="288">
        <f>IFERROR(_xll.ciqfunctions.udf.CIQLO(MO.Ticker.CapIQ,"IQ_LASTSALEPRICE",INDEX(MO_SNA_FPStartDate,0,COLUMN()),INDEX(MO_Common_QEndDate,0,COLUMN())),"N/A")</f>
        <v>56.46</v>
      </c>
      <c r="D882" s="288">
        <f>IFERROR(_xll.ciqfunctions.udf.CIQLO(MO.Ticker.CapIQ,"IQ_LASTSALEPRICE",INDEX(MO_SNA_FPStartDate,0,COLUMN()),INDEX(MO_Common_QEndDate,0,COLUMN())),"N/A")</f>
        <v>67.31</v>
      </c>
      <c r="E882" s="209">
        <f>IFERROR(_xll.ciqfunctions.udf.CIQLO(MO.Ticker.CapIQ,"IQ_LASTSALEPRICE",INDEX(MO_SNA_FPStartDate,0,COLUMN()),INDEX(MO_Common_QEndDate,0,COLUMN())),"N/A")</f>
        <v>89.88</v>
      </c>
      <c r="F882" s="209">
        <f>IFERROR(_xll.ciqfunctions.udf.CIQLO(MO.Ticker.CapIQ,"IQ_LASTSALEPRICE",INDEX(MO_SNA_FPStartDate,0,COLUMN()),INDEX(MO_Common_QEndDate,0,COLUMN())),"N/A")</f>
        <v>96.41</v>
      </c>
      <c r="G882" s="209">
        <f>IFERROR(_xll.ciqfunctions.udf.CIQLO(MO.Ticker.CapIQ,"IQ_LASTSALEPRICE",INDEX(MO_SNA_FPStartDate,0,COLUMN()),INDEX(MO_Common_QEndDate,0,COLUMN())),"N/A")</f>
        <v>109.26</v>
      </c>
      <c r="H882" s="209">
        <f>IFERROR(_xll.ciqfunctions.udf.CIQLO(MO.Ticker.CapIQ,"IQ_LASTSALEPRICE",INDEX(MO_SNA_FPStartDate,0,COLUMN()),INDEX(MO_Common_QEndDate,0,COLUMN())),"N/A")</f>
        <v>114.81</v>
      </c>
      <c r="I882" s="209">
        <f>IFERROR(_xll.ciqfunctions.udf.CIQLO(MO.Ticker.CapIQ,"IQ_LASTSALEPRICE",INDEX(MO_SNA_FPStartDate,0,COLUMN()),INDEX(MO_Common_QEndDate,0,COLUMN())),"N/A")</f>
        <v>117.7</v>
      </c>
      <c r="J882" s="209">
        <f>IFERROR(_xll.ciqfunctions.udf.CIQLO(MO.Ticker.CapIQ,"IQ_LASTSALEPRICE",INDEX(MO_SNA_FPStartDate,0,COLUMN()),INDEX(MO_Common_QEndDate,0,COLUMN())),"N/A")</f>
        <v>116.13</v>
      </c>
      <c r="K882" s="209">
        <f>IFERROR(_xll.ciqfunctions.udf.CIQLO(MO.Ticker.CapIQ,"IQ_LASTSALEPRICE",INDEX(MO_SNA_FPStartDate,0,COLUMN()),INDEX(MO_Common_QEndDate,0,COLUMN())),"N/A")</f>
        <v>109.26</v>
      </c>
      <c r="L882" s="209">
        <f>IFERROR(_xll.ciqfunctions.udf.CIQLO(MO.Ticker.CapIQ,"IQ_LASTSALEPRICE",INDEX(MO_SNA_FPStartDate,0,COLUMN()),INDEX(MO_Common_QEndDate,0,COLUMN())),"N/A")</f>
        <v>109.52</v>
      </c>
      <c r="M882" s="209">
        <f>IFERROR(_xll.ciqfunctions.udf.CIQLO(MO.Ticker.CapIQ,"IQ_LASTSALEPRICE",INDEX(MO_SNA_FPStartDate,0,COLUMN()),INDEX(MO_Common_QEndDate,0,COLUMN())),"N/A")</f>
        <v>116.69</v>
      </c>
      <c r="N882" s="209">
        <f>IFERROR(_xll.ciqfunctions.udf.CIQLO(MO.Ticker.CapIQ,"IQ_LASTSALEPRICE",INDEX(MO_SNA_FPStartDate,0,COLUMN()),INDEX(MO_Common_QEndDate,0,COLUMN())),"N/A")</f>
        <v>119.32</v>
      </c>
      <c r="O882" s="209">
        <f>IFERROR(_xll.ciqfunctions.udf.CIQLO(MO.Ticker.CapIQ,"IQ_LASTSALEPRICE",INDEX(MO_SNA_FPStartDate,0,COLUMN()),INDEX(MO_Common_QEndDate,0,COLUMN())),"N/A")</f>
        <v>100.86</v>
      </c>
      <c r="P882" s="209">
        <f>IFERROR(_xll.ciqfunctions.udf.CIQLO(MO.Ticker.CapIQ,"IQ_LASTSALEPRICE",INDEX(MO_SNA_FPStartDate,0,COLUMN()),INDEX(MO_Common_QEndDate,0,COLUMN())),"N/A")</f>
        <v>100.86</v>
      </c>
      <c r="Q882" s="209">
        <f>IFERROR(_xll.ciqfunctions.udf.CIQLO(MO.Ticker.CapIQ,"IQ_LASTSALEPRICE",INDEX(MO_SNA_FPStartDate,0,COLUMN()),INDEX(MO_Common_QEndDate,0,COLUMN())),"N/A")</f>
        <v>101.62</v>
      </c>
      <c r="R882" s="209">
        <f>IFERROR(_xll.ciqfunctions.udf.CIQLO(MO.Ticker.CapIQ,"IQ_LASTSALEPRICE",INDEX(MO_SNA_FPStartDate,0,COLUMN()),INDEX(MO_Common_QEndDate,0,COLUMN())),"N/A")</f>
        <v>96.47</v>
      </c>
      <c r="S882" s="209">
        <f>IFERROR(_xll.ciqfunctions.udf.CIQLO(MO.Ticker.CapIQ,"IQ_LASTSALEPRICE",INDEX(MO_SNA_FPStartDate,0,COLUMN()),INDEX(MO_Common_QEndDate,0,COLUMN())),"N/A")</f>
        <v>70.02</v>
      </c>
      <c r="T882" s="209">
        <f>IFERROR(_xll.ciqfunctions.udf.CIQLO(MO.Ticker.CapIQ,"IQ_LASTSALEPRICE",INDEX(MO_SNA_FPStartDate,0,COLUMN()),INDEX(MO_Common_QEndDate,0,COLUMN())),"N/A")</f>
        <v>78.34</v>
      </c>
      <c r="U882" s="209">
        <f>IFERROR(_xll.ciqfunctions.udf.CIQLO(MO.Ticker.CapIQ,"IQ_LASTSALEPRICE",INDEX(MO_SNA_FPStartDate,0,COLUMN()),INDEX(MO_Common_QEndDate,0,COLUMN())),"N/A")</f>
        <v>70.02</v>
      </c>
      <c r="V882" s="209">
        <f>IFERROR(_xll.ciqfunctions.udf.CIQLO(MO.Ticker.CapIQ,"IQ_LASTSALEPRICE",INDEX(MO_SNA_FPStartDate,0,COLUMN()),INDEX(MO_Common_QEndDate,0,COLUMN())),"N/A")</f>
        <v>78.98</v>
      </c>
      <c r="W882" s="209">
        <f>IFERROR(_xll.ciqfunctions.udf.CIQLO(MO.Ticker.CapIQ,"IQ_LASTSALEPRICE",INDEX(MO_SNA_FPStartDate,0,COLUMN()),INDEX(MO_Common_QEndDate,0,COLUMN())),"N/A")</f>
        <v>92.67</v>
      </c>
      <c r="X882" s="209">
        <f>IFERROR(_xll.ciqfunctions.udf.CIQLO(MO.Ticker.CapIQ,"IQ_LASTSALEPRICE",INDEX(MO_SNA_FPStartDate,0,COLUMN()),INDEX(MO_Common_QEndDate,0,COLUMN())),"N/A")</f>
        <v>97.7</v>
      </c>
      <c r="Y882" s="209">
        <f>IFERROR(_xll.ciqfunctions.udf.CIQLO(MO.Ticker.CapIQ,"IQ_LASTSALEPRICE",INDEX(MO_SNA_FPStartDate,0,COLUMN()),INDEX(MO_Common_QEndDate,0,COLUMN())),"N/A")</f>
        <v>99.92</v>
      </c>
      <c r="Z882" s="209">
        <f>IFERROR(_xll.ciqfunctions.udf.CIQLO(MO.Ticker.CapIQ,"IQ_LASTSALEPRICE",INDEX(MO_SNA_FPStartDate,0,COLUMN()),INDEX(MO_Common_QEndDate,0,COLUMN())),"N/A")</f>
        <v>78.98</v>
      </c>
      <c r="AA882" s="209">
        <f>IFERROR(_xll.ciqfunctions.udf.CIQLO(MO.Ticker.CapIQ,"IQ_LASTSALEPRICE",INDEX(MO_SNA_FPStartDate,0,COLUMN()),INDEX(MO_Common_QEndDate,0,COLUMN())),"N/A")</f>
        <v>106.28</v>
      </c>
      <c r="AB882" s="209">
        <f>IFERROR(_xll.ciqfunctions.udf.CIQLO(MO.Ticker.CapIQ,"IQ_LASTSALEPRICE",INDEX(MO_SNA_FPStartDate,0,COLUMN()),INDEX(MO_Common_QEndDate,0,COLUMN())),"N/A")</f>
        <v>103.11</v>
      </c>
      <c r="AC882" s="209">
        <f>IFERROR(_xll.ciqfunctions.udf.CIQLO(MO.Ticker.CapIQ,"IQ_LASTSALEPRICE",INDEX(MO_SNA_FPStartDate,0,COLUMN()),INDEX(MO_Common_QEndDate,0,COLUMN())),"N/A")</f>
        <v>103.04</v>
      </c>
      <c r="AD882" s="209">
        <f>IFERROR(_xll.ciqfunctions.udf.CIQLO(MO.Ticker.CapIQ,"IQ_LASTSALEPRICE",INDEX(MO_SNA_FPStartDate,0,COLUMN()),INDEX(MO_Common_QEndDate,0,COLUMN())),"N/A")</f>
        <v>113.54</v>
      </c>
      <c r="AE882" s="209">
        <f>IFERROR(_xll.ciqfunctions.udf.CIQLO(MO.Ticker.CapIQ,"IQ_LASTSALEPRICE",INDEX(MO_SNA_FPStartDate,0,COLUMN()),INDEX(MO_Common_QEndDate,0,COLUMN())),"N/A")</f>
        <v>103.04</v>
      </c>
      <c r="AF882" s="209">
        <f>IFERROR(_xll.ciqfunctions.udf.CIQLO(MO.Ticker.CapIQ,"IQ_LASTSALEPRICE",INDEX(MO_SNA_FPStartDate,0,COLUMN()),INDEX(MO_Common_QEndDate,0,COLUMN())),"N/A")</f>
        <v>109.06</v>
      </c>
      <c r="AG882" s="209">
        <f>IFERROR(_xll.ciqfunctions.udf.CIQLO(MO.Ticker.CapIQ,"IQ_LASTSALEPRICE",INDEX(MO_SNA_FPStartDate,0,COLUMN()),INDEX(MO_Common_QEndDate,0,COLUMN())),"N/A")</f>
        <v>112.24</v>
      </c>
      <c r="AH882" s="209">
        <f>IFERROR(_xll.ciqfunctions.udf.CIQLO(MO.Ticker.CapIQ,"IQ_LASTSALEPRICE",INDEX(MO_SNA_FPStartDate,0,COLUMN()),INDEX(MO_Common_QEndDate,0,COLUMN())),"N/A")</f>
        <v>114.48</v>
      </c>
      <c r="AI882" s="209">
        <f>IFERROR(_xll.ciqfunctions.udf.CIQLO(MO.Ticker.CapIQ,"IQ_LASTSALEPRICE",INDEX(MO_SNA_FPStartDate,0,COLUMN()),INDEX(MO_Common_QEndDate,0,COLUMN())),"N/A")</f>
        <v>100.99</v>
      </c>
      <c r="AJ882" s="209">
        <f>IFERROR(_xll.ciqfunctions.udf.CIQLO(MO.Ticker.CapIQ,"IQ_LASTSALEPRICE",INDEX(MO_SNA_FPStartDate,0,COLUMN()),INDEX(MO_Common_QEndDate,0,COLUMN())),"N/A")</f>
        <v>100.99</v>
      </c>
      <c r="AK882" s="209">
        <f>IFERROR(_xll.ciqfunctions.udf.CIQLO(MO.Ticker.CapIQ,"IQ_LASTSALEPRICE",INDEX(MO_SNA_FPStartDate,0,COLUMN()),INDEX(MO_Common_QEndDate,0,COLUMN())),"N/A")</f>
        <v>108.57</v>
      </c>
      <c r="AL882" s="209">
        <f>IFERROR(_xll.ciqfunctions.udf.CIQLO(MO.Ticker.CapIQ,"IQ_LASTSALEPRICE",INDEX(MO_SNA_FPStartDate,0,COLUMN()),INDEX(MO_Common_QEndDate,0,COLUMN())),"N/A")</f>
        <v>113.85</v>
      </c>
      <c r="AM882" s="209">
        <f>IFERROR(_xll.ciqfunctions.udf.CIQLO(MO.Ticker.CapIQ,"IQ_LASTSALEPRICE",INDEX(MO_SNA_FPStartDate,0,COLUMN()),INDEX(MO_Common_QEndDate,0,COLUMN())),"N/A")</f>
        <v>115.18</v>
      </c>
      <c r="AN882" s="209">
        <f>IFERROR(_xll.ciqfunctions.udf.CIQLO(MO.Ticker.CapIQ,"IQ_LASTSALEPRICE",INDEX(MO_SNA_FPStartDate,0,COLUMN()),INDEX(MO_Common_QEndDate,0,COLUMN())),"N/A")</f>
        <v>111.71</v>
      </c>
      <c r="AO882" s="209">
        <f>IFERROR(_xll.ciqfunctions.udf.CIQLO(MO.Ticker.CapIQ,"IQ_LASTSALEPRICE",INDEX(MO_SNA_FPStartDate,0,COLUMN()),INDEX(MO_Common_QEndDate,0,COLUMN())),"N/A")</f>
        <v>108.57</v>
      </c>
      <c r="AP882" s="209">
        <f>IFERROR(_xll.ciqfunctions.udf.CIQLO(MO.Ticker.CapIQ,"IQ_LASTSALEPRICE",INDEX(MO_SNA_FPStartDate,0,COLUMN()),INDEX(MO_Common_QEndDate,0,COLUMN())),"N/A")</f>
        <v>54.22</v>
      </c>
      <c r="AQ882" s="209">
        <f>IFERROR(_xll.ciqfunctions.udf.CIQLO(MO.Ticker.CapIQ,"IQ_LASTSALEPRICE",INDEX(MO_SNA_FPStartDate,0,COLUMN()),INDEX(MO_Common_QEndDate,0,COLUMN())),"N/A")</f>
        <v>68.56</v>
      </c>
      <c r="AR882" s="209">
        <f>IFERROR(_xll.ciqfunctions.udf.CIQLO(MO.Ticker.CapIQ,"IQ_LASTSALEPRICE",INDEX(MO_SNA_FPStartDate,0,COLUMN()),INDEX(MO_Common_QEndDate,0,COLUMN())),"N/A")</f>
        <v>71.8</v>
      </c>
      <c r="AS882" s="209">
        <f>IFERROR(_xll.ciqfunctions.udf.CIQLO(MO.Ticker.CapIQ,"IQ_LASTSALEPRICE",INDEX(MO_SNA_FPStartDate,0,COLUMN()),INDEX(MO_Common_QEndDate,0,COLUMN())),"N/A")</f>
        <v>66.88</v>
      </c>
      <c r="AT882" s="209">
        <f>IFERROR(_xll.ciqfunctions.udf.CIQLO(MO.Ticker.CapIQ,"IQ_LASTSALEPRICE",INDEX(MO_SNA_FPStartDate,0,COLUMN()),INDEX(MO_Common_QEndDate,0,COLUMN())),"N/A")</f>
        <v>54.22</v>
      </c>
      <c r="AU882" s="209">
        <f>IFERROR(_xll.ciqfunctions.udf.CIQLO(MO.Ticker.CapIQ,"IQ_LASTSALEPRICE",INDEX(MO_SNA_FPStartDate,0,COLUMN()),INDEX(MO_Common_QEndDate,0,COLUMN())),"N/A")</f>
        <v>84.71</v>
      </c>
      <c r="AV882" s="209">
        <f>IFERROR(_xll.ciqfunctions.udf.CIQLO(MO.Ticker.CapIQ,"IQ_LASTSALEPRICE",INDEX(MO_SNA_FPStartDate,0,COLUMN()),INDEX(MO_Common_QEndDate,0,COLUMN())),"N/A")</f>
        <v>100.95</v>
      </c>
      <c r="AW882" s="209">
        <f>IFERROR(_xll.ciqfunctions.udf.CIQLO(MO.Ticker.CapIQ,"IQ_LASTSALEPRICE",INDEX(MO_SNA_FPStartDate,0,COLUMN()),INDEX(MO_Common_QEndDate,0,COLUMN())),"N/A")</f>
        <v>94.29</v>
      </c>
      <c r="AX882" s="209">
        <f>IFERROR(_xll.ciqfunctions.udf.CIQLO(MO.Ticker.CapIQ,"IQ_LASTSALEPRICE",INDEX(MO_SNA_FPStartDate,0,COLUMN()),INDEX(MO_Common_QEndDate,0,COLUMN())),"N/A")</f>
        <v>104.33</v>
      </c>
      <c r="AY882" s="209">
        <f>IFERROR(_xll.ciqfunctions.udf.CIQLO(MO.Ticker.CapIQ,"IQ_LASTSALEPRICE",INDEX(MO_SNA_FPStartDate,0,COLUMN()),INDEX(MO_Common_QEndDate,0,COLUMN())),"N/A")</f>
        <v>84.71</v>
      </c>
      <c r="AZ882" s="209">
        <f>IFERROR(_xll.ciqfunctions.udf.CIQLO(MO.Ticker.CapIQ,"IQ_LASTSALEPRICE",INDEX(MO_SNA_FPStartDate,0,COLUMN()),INDEX(MO_Common_QEndDate,0,COLUMN())),"N/A")</f>
        <v>119.26</v>
      </c>
      <c r="BA882" s="209">
        <f>IFERROR(_xll.ciqfunctions.udf.CIQLO(MO.Ticker.CapIQ,"IQ_LASTSALEPRICE",INDEX(MO_SNA_FPStartDate,0,COLUMN()),INDEX(MO_Common_QEndDate,0,COLUMN())),"N/A")</f>
        <v>142.43</v>
      </c>
      <c r="BB882" s="209">
        <f>IFERROR(_xll.ciqfunctions.udf.CIQLO(MO.Ticker.CapIQ,"IQ_LASTSALEPRICE",INDEX(MO_SNA_FPStartDate,0,COLUMN()),INDEX(MO_Common_QEndDate,0,COLUMN())),"N/A")</f>
        <v>135.94</v>
      </c>
      <c r="BC882" s="209">
        <f>IFERROR(_xll.ciqfunctions.udf.CIQLO(MO.Ticker.CapIQ,"IQ_LASTSALEPRICE",INDEX(MO_SNA_FPStartDate,0,COLUMN()),INDEX(MO_Common_QEndDate,0,COLUMN())),"N/A")</f>
        <v>151.72999999999999</v>
      </c>
      <c r="BD882" s="209">
        <f>IFERROR(_xll.ciqfunctions.udf.CIQLO(MO.Ticker.CapIQ,"IQ_LASTSALEPRICE",INDEX(MO_SNA_FPStartDate,0,COLUMN()),INDEX(MO_Common_QEndDate,0,COLUMN())),"N/A")</f>
        <v>119.26</v>
      </c>
      <c r="BE882" s="209">
        <f>IFERROR(_xll.ciqfunctions.udf.CIQLO(MO.Ticker.CapIQ,"IQ_LASTSALEPRICE",INDEX(MO_SNA_FPStartDate,0,COLUMN()),INDEX(MO_Common_QEndDate,0,COLUMN())),"N/A")</f>
        <v>152.34</v>
      </c>
      <c r="BF882" s="209">
        <f>IFERROR(_xll.ciqfunctions.udf.CIQLO(MO.Ticker.CapIQ,"IQ_LASTSALEPRICE",INDEX(MO_SNA_FPStartDate,0,COLUMN()),INDEX(MO_Common_QEndDate,0,COLUMN())),"N/A")</f>
        <v>150.62</v>
      </c>
      <c r="BG882" s="209">
        <f>IFERROR(_xll.ciqfunctions.udf.CIQLO(MO.Ticker.CapIQ,"IQ_LASTSALEPRICE",INDEX(MO_SNA_FPStartDate,0,COLUMN()),INDEX(MO_Common_QEndDate,0,COLUMN())),"N/A")</f>
        <v>152.88</v>
      </c>
      <c r="BH882" s="209">
        <f>IFERROR(_xll.ciqfunctions.udf.CIQLO(MO.Ticker.CapIQ,"IQ_LASTSALEPRICE",INDEX(MO_SNA_FPStartDate,0,COLUMN()),INDEX(MO_Common_QEndDate,0,COLUMN())),"N/A")</f>
        <v>141.77000000000001</v>
      </c>
      <c r="BI882" s="209">
        <f>IFERROR(_xll.ciqfunctions.udf.CIQLO(MO.Ticker.CapIQ,"IQ_LASTSALEPRICE",INDEX(MO_SNA_FPStartDate,0,COLUMN()),INDEX(MO_Common_QEndDate,0,COLUMN())),"N/A")</f>
        <v>141.77000000000001</v>
      </c>
      <c r="BJ882" s="209">
        <f>IFERROR(_xll.ciqfunctions.udf.CIQLO(MO.Ticker.CapIQ,"IQ_LASTSALEPRICE",INDEX(MO_SNA_FPStartDate,0,COLUMN()),INDEX(MO_Common_QEndDate,0,COLUMN())),"N/A")</f>
        <v>141.82</v>
      </c>
      <c r="BK882" s="209">
        <f>IFERROR(_xll.ciqfunctions.udf.CIQLO(MO.Ticker.CapIQ,"IQ_LASTSALEPRICE",INDEX(MO_SNA_FPStartDate,0,COLUMN()),INDEX(MO_Common_QEndDate,0,COLUMN())),"N/A")</f>
        <v>152.57</v>
      </c>
      <c r="BL882" s="209">
        <f>IFERROR(_xll.ciqfunctions.udf.CIQLO(MO.Ticker.CapIQ,"IQ_LASTSALEPRICE",INDEX(MO_SNA_FPStartDate,0,COLUMN()),INDEX(MO_Common_QEndDate,0,COLUMN())),"N/A")</f>
        <v>137.88</v>
      </c>
      <c r="BM882" s="209">
        <f>IFERROR(_xll.ciqfunctions.udf.CIQLO(MO.Ticker.CapIQ,"IQ_LASTSALEPRICE",INDEX(MO_SNA_FPStartDate,0,COLUMN()),INDEX(MO_Common_QEndDate,0,COLUMN())),"N/A")</f>
        <v>141.15</v>
      </c>
      <c r="BN882" s="209">
        <f>IFERROR(_xll.ciqfunctions.udf.CIQLO(MO.Ticker.CapIQ,"IQ_LASTSALEPRICE",INDEX(MO_SNA_FPStartDate,0,COLUMN()),INDEX(MO_Common_QEndDate,0,COLUMN())),"N/A")</f>
        <v>137.88</v>
      </c>
      <c r="BO882" s="209">
        <f>IFERROR(_xll.ciqfunctions.udf.CIQLO(MO.Ticker.CapIQ,"IQ_LASTSALEPRICE",INDEX(MO_SNA_FPStartDate,0,COLUMN()),INDEX(MO_Common_QEndDate,0,COLUMN())),"N/A")</f>
        <v>146.71</v>
      </c>
      <c r="BP882" s="209">
        <f>IFERROR(_xll.ciqfunctions.udf.CIQLO(MO.Ticker.CapIQ,"IQ_LASTSALEPRICE",INDEX(MO_SNA_FPStartDate,0,COLUMN()),INDEX(MO_Common_QEndDate,0,COLUMN())),"N/A")</f>
        <v>133.72999999999999</v>
      </c>
      <c r="BQ882" s="209">
        <f>IFERROR(_xll.ciqfunctions.udf.CIQLO(MO.Ticker.CapIQ,"IQ_LASTSALEPRICE",INDEX(MO_SNA_FPStartDate,0,COLUMN()),INDEX(MO_Common_QEndDate,0,COLUMN())),"N/A")</f>
        <v>145.57</v>
      </c>
      <c r="BR882" s="209">
        <f>IFERROR(_xll.ciqfunctions.udf.CIQLO(MO.Ticker.CapIQ,"IQ_LASTSALEPRICE",INDEX(MO_SNA_FPStartDate,0,COLUMN()),INDEX(MO_Common_QEndDate,0,COLUMN())),"N/A")</f>
        <v>146.75</v>
      </c>
      <c r="BS882" s="209">
        <f>IFERROR(_xll.ciqfunctions.udf.CIQLO(MO.Ticker.CapIQ,"IQ_LASTSALEPRICE",INDEX(MO_SNA_FPStartDate,0,COLUMN()),INDEX(MO_Common_QEndDate,0,COLUMN())),"N/A")</f>
        <v>133.72999999999999</v>
      </c>
      <c r="BT882" s="387">
        <f>IFERROR(_xll.ciqfunctions.udf.CIQLO(MO.Ticker.CapIQ,"IQ_LASTSALEPRICE",INDEX(MO_SNA_FPStartDate,0,COLUMN()),INDEX(MO_Common_QEndDate,0,COLUMN())),"N/A")</f>
        <v>155.19999999999999</v>
      </c>
      <c r="BU882" s="209">
        <f>IFERROR(_xll.ciqfunctions.udf.CIQLO(MO.Ticker.CapIQ,"IQ_LASTSALEPRICE",INDEX(MO_SNA_FPStartDate,0,COLUMN()),INDEX(MO_Common_QEndDate,0,COLUMN())),"N/A")</f>
        <v>181.62</v>
      </c>
      <c r="BV882" s="209">
        <f>IFERROR(_xll.ciqfunctions.udf.CIQLO(MO.Ticker.CapIQ,"IQ_LASTSALEPRICE",INDEX(MO_SNA_FPStartDate,0,COLUMN()),INDEX(MO_Common_QEndDate,0,COLUMN())),"N/A")</f>
        <v>0</v>
      </c>
      <c r="BW882" s="209">
        <f>IFERROR(_xll.ciqfunctions.udf.CIQLO(MO.Ticker.CapIQ,"IQ_LASTSALEPRICE",INDEX(MO_SNA_FPStartDate,0,COLUMN()),INDEX(MO_Common_QEndDate,0,COLUMN())),"N/A")</f>
        <v>0</v>
      </c>
      <c r="BX882" s="209">
        <f>IFERROR(_xll.ciqfunctions.udf.CIQLO(MO.Ticker.CapIQ,"IQ_LASTSALEPRICE",INDEX(MO_SNA_FPStartDate,0,COLUMN()),INDEX(MO_Common_QEndDate,0,COLUMN())),"N/A")</f>
        <v>155.19999999999999</v>
      </c>
      <c r="BY882" s="209">
        <f>IFERROR(_xll.ciqfunctions.udf.CIQLO(MO.Ticker.CapIQ,"IQ_LASTSALEPRICE",INDEX(MO_SNA_FPStartDate,0,COLUMN()),INDEX(MO_Common_QEndDate,0,COLUMN())),"N/A")</f>
        <v>0</v>
      </c>
      <c r="BZ882" s="209">
        <f>IFERROR(_xll.ciqfunctions.udf.CIQLO(MO.Ticker.CapIQ,"IQ_LASTSALEPRICE",INDEX(MO_SNA_FPStartDate,0,COLUMN()),INDEX(MO_Common_QEndDate,0,COLUMN())),"N/A")</f>
        <v>0</v>
      </c>
      <c r="CA882" s="209">
        <f>IFERROR(_xll.ciqfunctions.udf.CIQLO(MO.Ticker.CapIQ,"IQ_LASTSALEPRICE",INDEX(MO_SNA_FPStartDate,0,COLUMN()),INDEX(MO_Common_QEndDate,0,COLUMN())),"N/A")</f>
        <v>0</v>
      </c>
      <c r="CB882" s="209">
        <f>IFERROR(_xll.ciqfunctions.udf.CIQLO(MO.Ticker.CapIQ,"IQ_LASTSALEPRICE",INDEX(MO_SNA_FPStartDate,0,COLUMN()),INDEX(MO_Common_QEndDate,0,COLUMN())),"N/A")</f>
        <v>0</v>
      </c>
      <c r="CC882" s="209">
        <f>IFERROR(_xll.ciqfunctions.udf.CIQLO(MO.Ticker.CapIQ,"IQ_LASTSALEPRICE",INDEX(MO_SNA_FPStartDate,0,COLUMN()),INDEX(MO_Common_QEndDate,0,COLUMN())),"N/A")</f>
        <v>0</v>
      </c>
      <c r="CD882" s="209">
        <f>IFERROR(_xll.ciqfunctions.udf.CIQLO(MO.Ticker.CapIQ,"IQ_LASTSALEPRICE",INDEX(MO_SNA_FPStartDate,0,COLUMN()),INDEX(MO_Common_QEndDate,0,COLUMN())),"N/A")</f>
        <v>0</v>
      </c>
      <c r="CE882" s="209">
        <f>IFERROR(_xll.ciqfunctions.udf.CIQLO(MO.Ticker.CapIQ,"IQ_LASTSALEPRICE",INDEX(MO_SNA_FPStartDate,0,COLUMN()),INDEX(MO_Common_QEndDate,0,COLUMN())),"N/A")</f>
        <v>0</v>
      </c>
      <c r="CF882" s="210">
        <f>IFERROR(_xll.ciqfunctions.udf.CIQLO(MO.Ticker.CapIQ,"IQ_LASTSALEPRICE",INDEX(MO_SNA_FPStartDate,0,COLUMN()),INDEX(MO_Common_QEndDate,0,COLUMN())),"N/A")</f>
        <v>0</v>
      </c>
      <c r="CG882" s="260"/>
    </row>
    <row r="883" spans="1:85" s="445" customFormat="1" hidden="1" outlineLevel="1" x14ac:dyDescent="0.3">
      <c r="A883" s="211" t="s">
        <v>375</v>
      </c>
      <c r="B883" s="209"/>
      <c r="C883" s="288" t="str">
        <f ca="1">IFERROR(FDS(MO.Ticker.FactSet,"P_PRICE_LOW"&amp;"("&amp;INDEX(MO_SNA_FPStartDate,0,COLUMN())&amp;","&amp;INDEX(MO_Common_QEndDate,0,COLUMN())&amp;",,,,""PRICE"",""CLOSE"")"),"N/A")</f>
        <v>N/A</v>
      </c>
      <c r="D883" s="288" t="str">
        <f ca="1">IFERROR(FDS(MO.Ticker.FactSet,"P_PRICE_LOW"&amp;"("&amp;INDEX(MO_SNA_FPStartDate,0,COLUMN())&amp;","&amp;INDEX(MO_Common_QEndDate,0,COLUMN())&amp;",,,,""PRICE"",""CLOSE"")"),"N/A")</f>
        <v>N/A</v>
      </c>
      <c r="E883" s="209" t="str">
        <f ca="1">IFERROR(FDS(MO.Ticker.FactSet,"P_PRICE_LOW"&amp;"("&amp;INDEX(MO_SNA_FPStartDate,0,COLUMN())&amp;","&amp;INDEX(MO_Common_QEndDate,0,COLUMN())&amp;",,,,""PRICE"",""CLOSE"")"),"N/A")</f>
        <v>N/A</v>
      </c>
      <c r="F883" s="209" t="str">
        <f ca="1">IFERROR(FDS(MO.Ticker.FactSet,"P_PRICE_LOW"&amp;"("&amp;INDEX(MO_SNA_FPStartDate,0,COLUMN())&amp;","&amp;INDEX(MO_Common_QEndDate,0,COLUMN())&amp;",,,,""PRICE"",""CLOSE"")"),"N/A")</f>
        <v>N/A</v>
      </c>
      <c r="G883" s="209" t="str">
        <f ca="1">IFERROR(FDS(MO.Ticker.FactSet,"P_PRICE_LOW"&amp;"("&amp;INDEX(MO_SNA_FPStartDate,0,COLUMN())&amp;","&amp;INDEX(MO_Common_QEndDate,0,COLUMN())&amp;",,,,""PRICE"",""CLOSE"")"),"N/A")</f>
        <v>N/A</v>
      </c>
      <c r="H883" s="209" t="str">
        <f ca="1">IFERROR(FDS(MO.Ticker.FactSet,"P_PRICE_LOW"&amp;"("&amp;INDEX(MO_SNA_FPStartDate,0,COLUMN())&amp;","&amp;INDEX(MO_Common_QEndDate,0,COLUMN())&amp;",,,,""PRICE"",""CLOSE"")"),"N/A")</f>
        <v>N/A</v>
      </c>
      <c r="I883" s="209" t="str">
        <f ca="1">IFERROR(FDS(MO.Ticker.FactSet,"P_PRICE_LOW"&amp;"("&amp;INDEX(MO_SNA_FPStartDate,0,COLUMN())&amp;","&amp;INDEX(MO_Common_QEndDate,0,COLUMN())&amp;",,,,""PRICE"",""CLOSE"")"),"N/A")</f>
        <v>N/A</v>
      </c>
      <c r="J883" s="209" t="str">
        <f ca="1">IFERROR(FDS(MO.Ticker.FactSet,"P_PRICE_LOW"&amp;"("&amp;INDEX(MO_SNA_FPStartDate,0,COLUMN())&amp;","&amp;INDEX(MO_Common_QEndDate,0,COLUMN())&amp;",,,,""PRICE"",""CLOSE"")"),"N/A")</f>
        <v>N/A</v>
      </c>
      <c r="K883" s="209" t="str">
        <f ca="1">IFERROR(FDS(MO.Ticker.FactSet,"P_PRICE_LOW"&amp;"("&amp;INDEX(MO_SNA_FPStartDate,0,COLUMN())&amp;","&amp;INDEX(MO_Common_QEndDate,0,COLUMN())&amp;",,,,""PRICE"",""CLOSE"")"),"N/A")</f>
        <v>N/A</v>
      </c>
      <c r="L883" s="209" t="str">
        <f ca="1">IFERROR(FDS(MO.Ticker.FactSet,"P_PRICE_LOW"&amp;"("&amp;INDEX(MO_SNA_FPStartDate,0,COLUMN())&amp;","&amp;INDEX(MO_Common_QEndDate,0,COLUMN())&amp;",,,,""PRICE"",""CLOSE"")"),"N/A")</f>
        <v>N/A</v>
      </c>
      <c r="M883" s="209" t="str">
        <f ca="1">IFERROR(FDS(MO.Ticker.FactSet,"P_PRICE_LOW"&amp;"("&amp;INDEX(MO_SNA_FPStartDate,0,COLUMN())&amp;","&amp;INDEX(MO_Common_QEndDate,0,COLUMN())&amp;",,,,""PRICE"",""CLOSE"")"),"N/A")</f>
        <v>N/A</v>
      </c>
      <c r="N883" s="209" t="str">
        <f ca="1">IFERROR(FDS(MO.Ticker.FactSet,"P_PRICE_LOW"&amp;"("&amp;INDEX(MO_SNA_FPStartDate,0,COLUMN())&amp;","&amp;INDEX(MO_Common_QEndDate,0,COLUMN())&amp;",,,,""PRICE"",""CLOSE"")"),"N/A")</f>
        <v>N/A</v>
      </c>
      <c r="O883" s="209" t="str">
        <f ca="1">IFERROR(FDS(MO.Ticker.FactSet,"P_PRICE_LOW"&amp;"("&amp;INDEX(MO_SNA_FPStartDate,0,COLUMN())&amp;","&amp;INDEX(MO_Common_QEndDate,0,COLUMN())&amp;",,,,""PRICE"",""CLOSE"")"),"N/A")</f>
        <v>N/A</v>
      </c>
      <c r="P883" s="209" t="str">
        <f ca="1">IFERROR(FDS(MO.Ticker.FactSet,"P_PRICE_LOW"&amp;"("&amp;INDEX(MO_SNA_FPStartDate,0,COLUMN())&amp;","&amp;INDEX(MO_Common_QEndDate,0,COLUMN())&amp;",,,,""PRICE"",""CLOSE"")"),"N/A")</f>
        <v>N/A</v>
      </c>
      <c r="Q883" s="209" t="str">
        <f ca="1">IFERROR(FDS(MO.Ticker.FactSet,"P_PRICE_LOW"&amp;"("&amp;INDEX(MO_SNA_FPStartDate,0,COLUMN())&amp;","&amp;INDEX(MO_Common_QEndDate,0,COLUMN())&amp;",,,,""PRICE"",""CLOSE"")"),"N/A")</f>
        <v>N/A</v>
      </c>
      <c r="R883" s="209" t="str">
        <f ca="1">IFERROR(FDS(MO.Ticker.FactSet,"P_PRICE_LOW"&amp;"("&amp;INDEX(MO_SNA_FPStartDate,0,COLUMN())&amp;","&amp;INDEX(MO_Common_QEndDate,0,COLUMN())&amp;",,,,""PRICE"",""CLOSE"")"),"N/A")</f>
        <v>N/A</v>
      </c>
      <c r="S883" s="209" t="str">
        <f ca="1">IFERROR(FDS(MO.Ticker.FactSet,"P_PRICE_LOW"&amp;"("&amp;INDEX(MO_SNA_FPStartDate,0,COLUMN())&amp;","&amp;INDEX(MO_Common_QEndDate,0,COLUMN())&amp;",,,,""PRICE"",""CLOSE"")"),"N/A")</f>
        <v>N/A</v>
      </c>
      <c r="T883" s="209" t="str">
        <f ca="1">IFERROR(FDS(MO.Ticker.FactSet,"P_PRICE_LOW"&amp;"("&amp;INDEX(MO_SNA_FPStartDate,0,COLUMN())&amp;","&amp;INDEX(MO_Common_QEndDate,0,COLUMN())&amp;",,,,""PRICE"",""CLOSE"")"),"N/A")</f>
        <v>N/A</v>
      </c>
      <c r="U883" s="209" t="str">
        <f ca="1">IFERROR(FDS(MO.Ticker.FactSet,"P_PRICE_LOW"&amp;"("&amp;INDEX(MO_SNA_FPStartDate,0,COLUMN())&amp;","&amp;INDEX(MO_Common_QEndDate,0,COLUMN())&amp;",,,,""PRICE"",""CLOSE"")"),"N/A")</f>
        <v>N/A</v>
      </c>
      <c r="V883" s="209" t="str">
        <f ca="1">IFERROR(FDS(MO.Ticker.FactSet,"P_PRICE_LOW"&amp;"("&amp;INDEX(MO_SNA_FPStartDate,0,COLUMN())&amp;","&amp;INDEX(MO_Common_QEndDate,0,COLUMN())&amp;",,,,""PRICE"",""CLOSE"")"),"N/A")</f>
        <v>N/A</v>
      </c>
      <c r="W883" s="209" t="str">
        <f ca="1">IFERROR(FDS(MO.Ticker.FactSet,"P_PRICE_LOW"&amp;"("&amp;INDEX(MO_SNA_FPStartDate,0,COLUMN())&amp;","&amp;INDEX(MO_Common_QEndDate,0,COLUMN())&amp;",,,,""PRICE"",""CLOSE"")"),"N/A")</f>
        <v>N/A</v>
      </c>
      <c r="X883" s="209" t="str">
        <f ca="1">IFERROR(FDS(MO.Ticker.FactSet,"P_PRICE_LOW"&amp;"("&amp;INDEX(MO_SNA_FPStartDate,0,COLUMN())&amp;","&amp;INDEX(MO_Common_QEndDate,0,COLUMN())&amp;",,,,""PRICE"",""CLOSE"")"),"N/A")</f>
        <v>N/A</v>
      </c>
      <c r="Y883" s="209" t="str">
        <f ca="1">IFERROR(FDS(MO.Ticker.FactSet,"P_PRICE_LOW"&amp;"("&amp;INDEX(MO_SNA_FPStartDate,0,COLUMN())&amp;","&amp;INDEX(MO_Common_QEndDate,0,COLUMN())&amp;",,,,""PRICE"",""CLOSE"")"),"N/A")</f>
        <v>N/A</v>
      </c>
      <c r="Z883" s="209" t="str">
        <f ca="1">IFERROR(FDS(MO.Ticker.FactSet,"P_PRICE_LOW"&amp;"("&amp;INDEX(MO_SNA_FPStartDate,0,COLUMN())&amp;","&amp;INDEX(MO_Common_QEndDate,0,COLUMN())&amp;",,,,""PRICE"",""CLOSE"")"),"N/A")</f>
        <v>N/A</v>
      </c>
      <c r="AA883" s="209" t="str">
        <f ca="1">IFERROR(FDS(MO.Ticker.FactSet,"P_PRICE_LOW"&amp;"("&amp;INDEX(MO_SNA_FPStartDate,0,COLUMN())&amp;","&amp;INDEX(MO_Common_QEndDate,0,COLUMN())&amp;",,,,""PRICE"",""CLOSE"")"),"N/A")</f>
        <v>N/A</v>
      </c>
      <c r="AB883" s="209" t="str">
        <f ca="1">IFERROR(FDS(MO.Ticker.FactSet,"P_PRICE_LOW"&amp;"("&amp;INDEX(MO_SNA_FPStartDate,0,COLUMN())&amp;","&amp;INDEX(MO_Common_QEndDate,0,COLUMN())&amp;",,,,""PRICE"",""CLOSE"")"),"N/A")</f>
        <v>N/A</v>
      </c>
      <c r="AC883" s="209" t="str">
        <f ca="1">IFERROR(FDS(MO.Ticker.FactSet,"P_PRICE_LOW"&amp;"("&amp;INDEX(MO_SNA_FPStartDate,0,COLUMN())&amp;","&amp;INDEX(MO_Common_QEndDate,0,COLUMN())&amp;",,,,""PRICE"",""CLOSE"")"),"N/A")</f>
        <v>N/A</v>
      </c>
      <c r="AD883" s="209" t="str">
        <f ca="1">IFERROR(FDS(MO.Ticker.FactSet,"P_PRICE_LOW"&amp;"("&amp;INDEX(MO_SNA_FPStartDate,0,COLUMN())&amp;","&amp;INDEX(MO_Common_QEndDate,0,COLUMN())&amp;",,,,""PRICE"",""CLOSE"")"),"N/A")</f>
        <v>N/A</v>
      </c>
      <c r="AE883" s="209" t="str">
        <f ca="1">IFERROR(FDS(MO.Ticker.FactSet,"P_PRICE_LOW"&amp;"("&amp;INDEX(MO_SNA_FPStartDate,0,COLUMN())&amp;","&amp;INDEX(MO_Common_QEndDate,0,COLUMN())&amp;",,,,""PRICE"",""CLOSE"")"),"N/A")</f>
        <v>N/A</v>
      </c>
      <c r="AF883" s="209" t="str">
        <f ca="1">IFERROR(FDS(MO.Ticker.FactSet,"P_PRICE_LOW"&amp;"("&amp;INDEX(MO_SNA_FPStartDate,0,COLUMN())&amp;","&amp;INDEX(MO_Common_QEndDate,0,COLUMN())&amp;",,,,""PRICE"",""CLOSE"")"),"N/A")</f>
        <v>N/A</v>
      </c>
      <c r="AG883" s="209" t="str">
        <f ca="1">IFERROR(FDS(MO.Ticker.FactSet,"P_PRICE_LOW"&amp;"("&amp;INDEX(MO_SNA_FPStartDate,0,COLUMN())&amp;","&amp;INDEX(MO_Common_QEndDate,0,COLUMN())&amp;",,,,""PRICE"",""CLOSE"")"),"N/A")</f>
        <v>N/A</v>
      </c>
      <c r="AH883" s="209" t="str">
        <f ca="1">IFERROR(FDS(MO.Ticker.FactSet,"P_PRICE_LOW"&amp;"("&amp;INDEX(MO_SNA_FPStartDate,0,COLUMN())&amp;","&amp;INDEX(MO_Common_QEndDate,0,COLUMN())&amp;",,,,""PRICE"",""CLOSE"")"),"N/A")</f>
        <v>N/A</v>
      </c>
      <c r="AI883" s="209" t="str">
        <f ca="1">IFERROR(FDS(MO.Ticker.FactSet,"P_PRICE_LOW"&amp;"("&amp;INDEX(MO_SNA_FPStartDate,0,COLUMN())&amp;","&amp;INDEX(MO_Common_QEndDate,0,COLUMN())&amp;",,,,""PRICE"",""CLOSE"")"),"N/A")</f>
        <v>N/A</v>
      </c>
      <c r="AJ883" s="209" t="str">
        <f ca="1">IFERROR(FDS(MO.Ticker.FactSet,"P_PRICE_LOW"&amp;"("&amp;INDEX(MO_SNA_FPStartDate,0,COLUMN())&amp;","&amp;INDEX(MO_Common_QEndDate,0,COLUMN())&amp;",,,,""PRICE"",""CLOSE"")"),"N/A")</f>
        <v>N/A</v>
      </c>
      <c r="AK883" s="209" t="str">
        <f ca="1">IFERROR(FDS(MO.Ticker.FactSet,"P_PRICE_LOW"&amp;"("&amp;INDEX(MO_SNA_FPStartDate,0,COLUMN())&amp;","&amp;INDEX(MO_Common_QEndDate,0,COLUMN())&amp;",,,,""PRICE"",""CLOSE"")"),"N/A")</f>
        <v>N/A</v>
      </c>
      <c r="AL883" s="209" t="str">
        <f ca="1">IFERROR(FDS(MO.Ticker.FactSet,"P_PRICE_LOW"&amp;"("&amp;INDEX(MO_SNA_FPStartDate,0,COLUMN())&amp;","&amp;INDEX(MO_Common_QEndDate,0,COLUMN())&amp;",,,,""PRICE"",""CLOSE"")"),"N/A")</f>
        <v>N/A</v>
      </c>
      <c r="AM883" s="209" t="str">
        <f ca="1">IFERROR(FDS(MO.Ticker.FactSet,"P_PRICE_LOW"&amp;"("&amp;INDEX(MO_SNA_FPStartDate,0,COLUMN())&amp;","&amp;INDEX(MO_Common_QEndDate,0,COLUMN())&amp;",,,,""PRICE"",""CLOSE"")"),"N/A")</f>
        <v>N/A</v>
      </c>
      <c r="AN883" s="209" t="str">
        <f ca="1">IFERROR(FDS(MO.Ticker.FactSet,"P_PRICE_LOW"&amp;"("&amp;INDEX(MO_SNA_FPStartDate,0,COLUMN())&amp;","&amp;INDEX(MO_Common_QEndDate,0,COLUMN())&amp;",,,,""PRICE"",""CLOSE"")"),"N/A")</f>
        <v>N/A</v>
      </c>
      <c r="AO883" s="209" t="str">
        <f ca="1">IFERROR(FDS(MO.Ticker.FactSet,"P_PRICE_LOW"&amp;"("&amp;INDEX(MO_SNA_FPStartDate,0,COLUMN())&amp;","&amp;INDEX(MO_Common_QEndDate,0,COLUMN())&amp;",,,,""PRICE"",""CLOSE"")"),"N/A")</f>
        <v>N/A</v>
      </c>
      <c r="AP883" s="209" t="str">
        <f ca="1">IFERROR(FDS(MO.Ticker.FactSet,"P_PRICE_LOW"&amp;"("&amp;INDEX(MO_SNA_FPStartDate,0,COLUMN())&amp;","&amp;INDEX(MO_Common_QEndDate,0,COLUMN())&amp;",,,,""PRICE"",""CLOSE"")"),"N/A")</f>
        <v>N/A</v>
      </c>
      <c r="AQ883" s="209" t="str">
        <f ca="1">IFERROR(FDS(MO.Ticker.FactSet,"P_PRICE_LOW"&amp;"("&amp;INDEX(MO_SNA_FPStartDate,0,COLUMN())&amp;","&amp;INDEX(MO_Common_QEndDate,0,COLUMN())&amp;",,,,""PRICE"",""CLOSE"")"),"N/A")</f>
        <v>N/A</v>
      </c>
      <c r="AR883" s="209" t="str">
        <f ca="1">IFERROR(FDS(MO.Ticker.FactSet,"P_PRICE_LOW"&amp;"("&amp;INDEX(MO_SNA_FPStartDate,0,COLUMN())&amp;","&amp;INDEX(MO_Common_QEndDate,0,COLUMN())&amp;",,,,""PRICE"",""CLOSE"")"),"N/A")</f>
        <v>N/A</v>
      </c>
      <c r="AS883" s="209" t="str">
        <f ca="1">IFERROR(FDS(MO.Ticker.FactSet,"P_PRICE_LOW"&amp;"("&amp;INDEX(MO_SNA_FPStartDate,0,COLUMN())&amp;","&amp;INDEX(MO_Common_QEndDate,0,COLUMN())&amp;",,,,""PRICE"",""CLOSE"")"),"N/A")</f>
        <v>N/A</v>
      </c>
      <c r="AT883" s="209" t="str">
        <f ca="1">IFERROR(FDS(MO.Ticker.FactSet,"P_PRICE_LOW"&amp;"("&amp;INDEX(MO_SNA_FPStartDate,0,COLUMN())&amp;","&amp;INDEX(MO_Common_QEndDate,0,COLUMN())&amp;",,,,""PRICE"",""CLOSE"")"),"N/A")</f>
        <v>N/A</v>
      </c>
      <c r="AU883" s="209" t="str">
        <f ca="1">IFERROR(FDS(MO.Ticker.FactSet,"P_PRICE_LOW"&amp;"("&amp;INDEX(MO_SNA_FPStartDate,0,COLUMN())&amp;","&amp;INDEX(MO_Common_QEndDate,0,COLUMN())&amp;",,,,""PRICE"",""CLOSE"")"),"N/A")</f>
        <v>N/A</v>
      </c>
      <c r="AV883" s="209" t="str">
        <f ca="1">IFERROR(FDS(MO.Ticker.FactSet,"P_PRICE_LOW"&amp;"("&amp;INDEX(MO_SNA_FPStartDate,0,COLUMN())&amp;","&amp;INDEX(MO_Common_QEndDate,0,COLUMN())&amp;",,,,""PRICE"",""CLOSE"")"),"N/A")</f>
        <v>N/A</v>
      </c>
      <c r="AW883" s="209" t="str">
        <f ca="1">IFERROR(FDS(MO.Ticker.FactSet,"P_PRICE_LOW"&amp;"("&amp;INDEX(MO_SNA_FPStartDate,0,COLUMN())&amp;","&amp;INDEX(MO_Common_QEndDate,0,COLUMN())&amp;",,,,""PRICE"",""CLOSE"")"),"N/A")</f>
        <v>N/A</v>
      </c>
      <c r="AX883" s="209" t="str">
        <f ca="1">IFERROR(FDS(MO.Ticker.FactSet,"P_PRICE_LOW"&amp;"("&amp;INDEX(MO_SNA_FPStartDate,0,COLUMN())&amp;","&amp;INDEX(MO_Common_QEndDate,0,COLUMN())&amp;",,,,""PRICE"",""CLOSE"")"),"N/A")</f>
        <v>N/A</v>
      </c>
      <c r="AY883" s="209" t="str">
        <f ca="1">IFERROR(FDS(MO.Ticker.FactSet,"P_PRICE_LOW"&amp;"("&amp;INDEX(MO_SNA_FPStartDate,0,COLUMN())&amp;","&amp;INDEX(MO_Common_QEndDate,0,COLUMN())&amp;",,,,""PRICE"",""CLOSE"")"),"N/A")</f>
        <v>N/A</v>
      </c>
      <c r="AZ883" s="209" t="str">
        <f ca="1">IFERROR(FDS(MO.Ticker.FactSet,"P_PRICE_LOW"&amp;"("&amp;INDEX(MO_SNA_FPStartDate,0,COLUMN())&amp;","&amp;INDEX(MO_Common_QEndDate,0,COLUMN())&amp;",,,,""PRICE"",""CLOSE"")"),"N/A")</f>
        <v>N/A</v>
      </c>
      <c r="BA883" s="209" t="str">
        <f ca="1">IFERROR(FDS(MO.Ticker.FactSet,"P_PRICE_LOW"&amp;"("&amp;INDEX(MO_SNA_FPStartDate,0,COLUMN())&amp;","&amp;INDEX(MO_Common_QEndDate,0,COLUMN())&amp;",,,,""PRICE"",""CLOSE"")"),"N/A")</f>
        <v>N/A</v>
      </c>
      <c r="BB883" s="209" t="str">
        <f ca="1">IFERROR(FDS(MO.Ticker.FactSet,"P_PRICE_LOW"&amp;"("&amp;INDEX(MO_SNA_FPStartDate,0,COLUMN())&amp;","&amp;INDEX(MO_Common_QEndDate,0,COLUMN())&amp;",,,,""PRICE"",""CLOSE"")"),"N/A")</f>
        <v>N/A</v>
      </c>
      <c r="BC883" s="209" t="str">
        <f ca="1">IFERROR(FDS(MO.Ticker.FactSet,"P_PRICE_LOW"&amp;"("&amp;INDEX(MO_SNA_FPStartDate,0,COLUMN())&amp;","&amp;INDEX(MO_Common_QEndDate,0,COLUMN())&amp;",,,,""PRICE"",""CLOSE"")"),"N/A")</f>
        <v>N/A</v>
      </c>
      <c r="BD883" s="209" t="str">
        <f ca="1">IFERROR(FDS(MO.Ticker.FactSet,"P_PRICE_LOW"&amp;"("&amp;INDEX(MO_SNA_FPStartDate,0,COLUMN())&amp;","&amp;INDEX(MO_Common_QEndDate,0,COLUMN())&amp;",,,,""PRICE"",""CLOSE"")"),"N/A")</f>
        <v>N/A</v>
      </c>
      <c r="BE883" s="209" t="str">
        <f ca="1">IFERROR(FDS(MO.Ticker.FactSet,"P_PRICE_LOW"&amp;"("&amp;INDEX(MO_SNA_FPStartDate,0,COLUMN())&amp;","&amp;INDEX(MO_Common_QEndDate,0,COLUMN())&amp;",,,,""PRICE"",""CLOSE"")"),"N/A")</f>
        <v>N/A</v>
      </c>
      <c r="BF883" s="209" t="str">
        <f ca="1">IFERROR(FDS(MO.Ticker.FactSet,"P_PRICE_LOW"&amp;"("&amp;INDEX(MO_SNA_FPStartDate,0,COLUMN())&amp;","&amp;INDEX(MO_Common_QEndDate,0,COLUMN())&amp;",,,,""PRICE"",""CLOSE"")"),"N/A")</f>
        <v>N/A</v>
      </c>
      <c r="BG883" s="209" t="str">
        <f ca="1">IFERROR(FDS(MO.Ticker.FactSet,"P_PRICE_LOW"&amp;"("&amp;INDEX(MO_SNA_FPStartDate,0,COLUMN())&amp;","&amp;INDEX(MO_Common_QEndDate,0,COLUMN())&amp;",,,,""PRICE"",""CLOSE"")"),"N/A")</f>
        <v>N/A</v>
      </c>
      <c r="BH883" s="209" t="str">
        <f ca="1">IFERROR(FDS(MO.Ticker.FactSet,"P_PRICE_LOW"&amp;"("&amp;INDEX(MO_SNA_FPStartDate,0,COLUMN())&amp;","&amp;INDEX(MO_Common_QEndDate,0,COLUMN())&amp;",,,,""PRICE"",""CLOSE"")"),"N/A")</f>
        <v>N/A</v>
      </c>
      <c r="BI883" s="209" t="str">
        <f ca="1">IFERROR(FDS(MO.Ticker.FactSet,"P_PRICE_LOW"&amp;"("&amp;INDEX(MO_SNA_FPStartDate,0,COLUMN())&amp;","&amp;INDEX(MO_Common_QEndDate,0,COLUMN())&amp;",,,,""PRICE"",""CLOSE"")"),"N/A")</f>
        <v>N/A</v>
      </c>
      <c r="BJ883" s="209" t="str">
        <f ca="1">IFERROR(FDS(MO.Ticker.FactSet,"P_PRICE_LOW"&amp;"("&amp;INDEX(MO_SNA_FPStartDate,0,COLUMN())&amp;","&amp;INDEX(MO_Common_QEndDate,0,COLUMN())&amp;",,,,""PRICE"",""CLOSE"")"),"N/A")</f>
        <v>N/A</v>
      </c>
      <c r="BK883" s="209" t="str">
        <f ca="1">IFERROR(FDS(MO.Ticker.FactSet,"P_PRICE_LOW"&amp;"("&amp;INDEX(MO_SNA_FPStartDate,0,COLUMN())&amp;","&amp;INDEX(MO_Common_QEndDate,0,COLUMN())&amp;",,,,""PRICE"",""CLOSE"")"),"N/A")</f>
        <v>N/A</v>
      </c>
      <c r="BL883" s="209" t="str">
        <f ca="1">IFERROR(FDS(MO.Ticker.FactSet,"P_PRICE_LOW"&amp;"("&amp;INDEX(MO_SNA_FPStartDate,0,COLUMN())&amp;","&amp;INDEX(MO_Common_QEndDate,0,COLUMN())&amp;",,,,""PRICE"",""CLOSE"")"),"N/A")</f>
        <v>N/A</v>
      </c>
      <c r="BM883" s="209" t="str">
        <f ca="1">IFERROR(FDS(MO.Ticker.FactSet,"P_PRICE_LOW"&amp;"("&amp;INDEX(MO_SNA_FPStartDate,0,COLUMN())&amp;","&amp;INDEX(MO_Common_QEndDate,0,COLUMN())&amp;",,,,""PRICE"",""CLOSE"")"),"N/A")</f>
        <v>N/A</v>
      </c>
      <c r="BN883" s="209" t="str">
        <f ca="1">IFERROR(FDS(MO.Ticker.FactSet,"P_PRICE_LOW"&amp;"("&amp;INDEX(MO_SNA_FPStartDate,0,COLUMN())&amp;","&amp;INDEX(MO_Common_QEndDate,0,COLUMN())&amp;",,,,""PRICE"",""CLOSE"")"),"N/A")</f>
        <v>N/A</v>
      </c>
      <c r="BO883" s="209" t="str">
        <f ca="1">IFERROR(FDS(MO.Ticker.FactSet,"P_PRICE_LOW"&amp;"("&amp;INDEX(MO_SNA_FPStartDate,0,COLUMN())&amp;","&amp;INDEX(MO_Common_QEndDate,0,COLUMN())&amp;",,,,""PRICE"",""CLOSE"")"),"N/A")</f>
        <v>N/A</v>
      </c>
      <c r="BP883" s="209" t="str">
        <f ca="1">IFERROR(FDS(MO.Ticker.FactSet,"P_PRICE_LOW"&amp;"("&amp;INDEX(MO_SNA_FPStartDate,0,COLUMN())&amp;","&amp;INDEX(MO_Common_QEndDate,0,COLUMN())&amp;",,,,""PRICE"",""CLOSE"")"),"N/A")</f>
        <v>N/A</v>
      </c>
      <c r="BQ883" s="209" t="str">
        <f ca="1">IFERROR(FDS(MO.Ticker.FactSet,"P_PRICE_LOW"&amp;"("&amp;INDEX(MO_SNA_FPStartDate,0,COLUMN())&amp;","&amp;INDEX(MO_Common_QEndDate,0,COLUMN())&amp;",,,,""PRICE"",""CLOSE"")"),"N/A")</f>
        <v>N/A</v>
      </c>
      <c r="BR883" s="209" t="str">
        <f ca="1">IFERROR(FDS(MO.Ticker.FactSet,"P_PRICE_LOW"&amp;"("&amp;INDEX(MO_SNA_FPStartDate,0,COLUMN())&amp;","&amp;INDEX(MO_Common_QEndDate,0,COLUMN())&amp;",,,,""PRICE"",""CLOSE"")"),"N/A")</f>
        <v>N/A</v>
      </c>
      <c r="BS883" s="209" t="str">
        <f ca="1">IFERROR(FDS(MO.Ticker.FactSet,"P_PRICE_LOW"&amp;"("&amp;INDEX(MO_SNA_FPStartDate,0,COLUMN())&amp;","&amp;INDEX(MO_Common_QEndDate,0,COLUMN())&amp;",,,,""PRICE"",""CLOSE"")"),"N/A")</f>
        <v>N/A</v>
      </c>
      <c r="BT883" s="387" t="str">
        <f ca="1">IFERROR(FDS(MO.Ticker.FactSet,"P_PRICE_LOW"&amp;"("&amp;INDEX(MO_SNA_FPStartDate,0,COLUMN())&amp;","&amp;INDEX(MO_Common_QEndDate,0,COLUMN())&amp;",,,,""PRICE"",""CLOSE"")"),"N/A")</f>
        <v>N/A</v>
      </c>
      <c r="BU883" s="209" t="str">
        <f ca="1">IFERROR(FDS(MO.Ticker.FactSet,"P_PRICE_LOW"&amp;"("&amp;INDEX(MO_SNA_FPStartDate,0,COLUMN())&amp;","&amp;INDEX(MO_Common_QEndDate,0,COLUMN())&amp;",,,,""PRICE"",""CLOSE"")"),"N/A")</f>
        <v>N/A</v>
      </c>
      <c r="BV883" s="209" t="str">
        <f ca="1">IFERROR(FDS(MO.Ticker.FactSet,"P_PRICE_LOW"&amp;"("&amp;INDEX(MO_SNA_FPStartDate,0,COLUMN())&amp;","&amp;INDEX(MO_Common_QEndDate,0,COLUMN())&amp;",,,,""PRICE"",""CLOSE"")"),"N/A")</f>
        <v>N/A</v>
      </c>
      <c r="BW883" s="209" t="str">
        <f ca="1">IFERROR(FDS(MO.Ticker.FactSet,"P_PRICE_LOW"&amp;"("&amp;INDEX(MO_SNA_FPStartDate,0,COLUMN())&amp;","&amp;INDEX(MO_Common_QEndDate,0,COLUMN())&amp;",,,,""PRICE"",""CLOSE"")"),"N/A")</f>
        <v>N/A</v>
      </c>
      <c r="BX883" s="209" t="str">
        <f ca="1">IFERROR(FDS(MO.Ticker.FactSet,"P_PRICE_LOW"&amp;"("&amp;INDEX(MO_SNA_FPStartDate,0,COLUMN())&amp;","&amp;INDEX(MO_Common_QEndDate,0,COLUMN())&amp;",,,,""PRICE"",""CLOSE"")"),"N/A")</f>
        <v>N/A</v>
      </c>
      <c r="BY883" s="209" t="str">
        <f ca="1">IFERROR(FDS(MO.Ticker.FactSet,"P_PRICE_LOW"&amp;"("&amp;INDEX(MO_SNA_FPStartDate,0,COLUMN())&amp;","&amp;INDEX(MO_Common_QEndDate,0,COLUMN())&amp;",,,,""PRICE"",""CLOSE"")"),"N/A")</f>
        <v>N/A</v>
      </c>
      <c r="BZ883" s="209" t="str">
        <f ca="1">IFERROR(FDS(MO.Ticker.FactSet,"P_PRICE_LOW"&amp;"("&amp;INDEX(MO_SNA_FPStartDate,0,COLUMN())&amp;","&amp;INDEX(MO_Common_QEndDate,0,COLUMN())&amp;",,,,""PRICE"",""CLOSE"")"),"N/A")</f>
        <v>N/A</v>
      </c>
      <c r="CA883" s="209" t="str">
        <f ca="1">IFERROR(FDS(MO.Ticker.FactSet,"P_PRICE_LOW"&amp;"("&amp;INDEX(MO_SNA_FPStartDate,0,COLUMN())&amp;","&amp;INDEX(MO_Common_QEndDate,0,COLUMN())&amp;",,,,""PRICE"",""CLOSE"")"),"N/A")</f>
        <v>N/A</v>
      </c>
      <c r="CB883" s="209" t="str">
        <f ca="1">IFERROR(FDS(MO.Ticker.FactSet,"P_PRICE_LOW"&amp;"("&amp;INDEX(MO_SNA_FPStartDate,0,COLUMN())&amp;","&amp;INDEX(MO_Common_QEndDate,0,COLUMN())&amp;",,,,""PRICE"",""CLOSE"")"),"N/A")</f>
        <v>N/A</v>
      </c>
      <c r="CC883" s="209" t="str">
        <f ca="1">IFERROR(FDS(MO.Ticker.FactSet,"P_PRICE_LOW"&amp;"("&amp;INDEX(MO_SNA_FPStartDate,0,COLUMN())&amp;","&amp;INDEX(MO_Common_QEndDate,0,COLUMN())&amp;",,,,""PRICE"",""CLOSE"")"),"N/A")</f>
        <v>N/A</v>
      </c>
      <c r="CD883" s="209" t="str">
        <f ca="1">IFERROR(FDS(MO.Ticker.FactSet,"P_PRICE_LOW"&amp;"("&amp;INDEX(MO_SNA_FPStartDate,0,COLUMN())&amp;","&amp;INDEX(MO_Common_QEndDate,0,COLUMN())&amp;",,,,""PRICE"",""CLOSE"")"),"N/A")</f>
        <v>N/A</v>
      </c>
      <c r="CE883" s="209" t="str">
        <f ca="1">IFERROR(FDS(MO.Ticker.FactSet,"P_PRICE_LOW"&amp;"("&amp;INDEX(MO_SNA_FPStartDate,0,COLUMN())&amp;","&amp;INDEX(MO_Common_QEndDate,0,COLUMN())&amp;",,,,""PRICE"",""CLOSE"")"),"N/A")</f>
        <v>N/A</v>
      </c>
      <c r="CF883" s="210" t="str">
        <f ca="1">IFERROR(FDS(MO.Ticker.FactSet,"P_PRICE_LOW"&amp;"("&amp;INDEX(MO_SNA_FPStartDate,0,COLUMN())&amp;","&amp;INDEX(MO_Common_QEndDate,0,COLUMN())&amp;",,,,""PRICE"",""CLOSE"")"),"N/A")</f>
        <v>N/A</v>
      </c>
      <c r="CG883" s="260"/>
    </row>
    <row r="884" spans="1:85" s="445" customFormat="1" hidden="1" outlineLevel="1" x14ac:dyDescent="0.3">
      <c r="A884" s="211" t="s">
        <v>594</v>
      </c>
      <c r="B884" s="209"/>
      <c r="C884" s="288" t="str">
        <f ca="1">IFERROR(_xll.TR(MO.Ticker.Thomson,"Min(TR.PriceLow)","sdate:#1 edate:#2",,INDEX(MO_SNA_FPStartDate,0,COLUMN()),INDEX(MO_Common_QEndDate,0,COLUMN())),"N/A")</f>
        <v>N/A</v>
      </c>
      <c r="D884" s="288" t="str">
        <f ca="1">IFERROR(_xll.TR(MO.Ticker.Thomson,"Min(TR.PriceLow)","sdate:#1 edate:#2",,INDEX(MO_SNA_FPStartDate,0,COLUMN()),INDEX(MO_Common_QEndDate,0,COLUMN())),"N/A")</f>
        <v>N/A</v>
      </c>
      <c r="E884" s="209" t="str">
        <f ca="1">IFERROR(_xll.TR(MO.Ticker.Thomson,"Min(TR.PriceLow)","sdate:#1 edate:#2",,INDEX(MO_SNA_FPStartDate,0,COLUMN()),INDEX(MO_Common_QEndDate,0,COLUMN())),"N/A")</f>
        <v>N/A</v>
      </c>
      <c r="F884" s="209" t="str">
        <f ca="1">IFERROR(_xll.TR(MO.Ticker.Thomson,"Min(TR.PriceLow)","sdate:#1 edate:#2",,INDEX(MO_SNA_FPStartDate,0,COLUMN()),INDEX(MO_Common_QEndDate,0,COLUMN())),"N/A")</f>
        <v>N/A</v>
      </c>
      <c r="G884" s="209" t="str">
        <f ca="1">IFERROR(_xll.TR(MO.Ticker.Thomson,"Min(TR.PriceLow)","sdate:#1 edate:#2",,INDEX(MO_SNA_FPStartDate,0,COLUMN()),INDEX(MO_Common_QEndDate,0,COLUMN())),"N/A")</f>
        <v>N/A</v>
      </c>
      <c r="H884" s="209" t="str">
        <f ca="1">IFERROR(_xll.TR(MO.Ticker.Thomson,"Min(TR.PriceLow)","sdate:#1 edate:#2",,INDEX(MO_SNA_FPStartDate,0,COLUMN()),INDEX(MO_Common_QEndDate,0,COLUMN())),"N/A")</f>
        <v>N/A</v>
      </c>
      <c r="I884" s="209" t="str">
        <f ca="1">IFERROR(_xll.TR(MO.Ticker.Thomson,"Min(TR.PriceLow)","sdate:#1 edate:#2",,INDEX(MO_SNA_FPStartDate,0,COLUMN()),INDEX(MO_Common_QEndDate,0,COLUMN())),"N/A")</f>
        <v>N/A</v>
      </c>
      <c r="J884" s="209" t="str">
        <f ca="1">IFERROR(_xll.TR(MO.Ticker.Thomson,"Min(TR.PriceLow)","sdate:#1 edate:#2",,INDEX(MO_SNA_FPStartDate,0,COLUMN()),INDEX(MO_Common_QEndDate,0,COLUMN())),"N/A")</f>
        <v>N/A</v>
      </c>
      <c r="K884" s="209" t="str">
        <f ca="1">IFERROR(_xll.TR(MO.Ticker.Thomson,"Min(TR.PriceLow)","sdate:#1 edate:#2",,INDEX(MO_SNA_FPStartDate,0,COLUMN()),INDEX(MO_Common_QEndDate,0,COLUMN())),"N/A")</f>
        <v>N/A</v>
      </c>
      <c r="L884" s="209" t="str">
        <f ca="1">IFERROR(_xll.TR(MO.Ticker.Thomson,"Min(TR.PriceLow)","sdate:#1 edate:#2",,INDEX(MO_SNA_FPStartDate,0,COLUMN()),INDEX(MO_Common_QEndDate,0,COLUMN())),"N/A")</f>
        <v>N/A</v>
      </c>
      <c r="M884" s="209" t="str">
        <f ca="1">IFERROR(_xll.TR(MO.Ticker.Thomson,"Min(TR.PriceLow)","sdate:#1 edate:#2",,INDEX(MO_SNA_FPStartDate,0,COLUMN()),INDEX(MO_Common_QEndDate,0,COLUMN())),"N/A")</f>
        <v>N/A</v>
      </c>
      <c r="N884" s="209" t="str">
        <f ca="1">IFERROR(_xll.TR(MO.Ticker.Thomson,"Min(TR.PriceLow)","sdate:#1 edate:#2",,INDEX(MO_SNA_FPStartDate,0,COLUMN()),INDEX(MO_Common_QEndDate,0,COLUMN())),"N/A")</f>
        <v>N/A</v>
      </c>
      <c r="O884" s="209" t="str">
        <f ca="1">IFERROR(_xll.TR(MO.Ticker.Thomson,"Min(TR.PriceLow)","sdate:#1 edate:#2",,INDEX(MO_SNA_FPStartDate,0,COLUMN()),INDEX(MO_Common_QEndDate,0,COLUMN())),"N/A")</f>
        <v>N/A</v>
      </c>
      <c r="P884" s="209" t="str">
        <f ca="1">IFERROR(_xll.TR(MO.Ticker.Thomson,"Min(TR.PriceLow)","sdate:#1 edate:#2",,INDEX(MO_SNA_FPStartDate,0,COLUMN()),INDEX(MO_Common_QEndDate,0,COLUMN())),"N/A")</f>
        <v>N/A</v>
      </c>
      <c r="Q884" s="209" t="str">
        <f ca="1">IFERROR(_xll.TR(MO.Ticker.Thomson,"Min(TR.PriceLow)","sdate:#1 edate:#2",,INDEX(MO_SNA_FPStartDate,0,COLUMN()),INDEX(MO_Common_QEndDate,0,COLUMN())),"N/A")</f>
        <v>N/A</v>
      </c>
      <c r="R884" s="209" t="str">
        <f ca="1">IFERROR(_xll.TR(MO.Ticker.Thomson,"Min(TR.PriceLow)","sdate:#1 edate:#2",,INDEX(MO_SNA_FPStartDate,0,COLUMN()),INDEX(MO_Common_QEndDate,0,COLUMN())),"N/A")</f>
        <v>N/A</v>
      </c>
      <c r="S884" s="209" t="str">
        <f ca="1">IFERROR(_xll.TR(MO.Ticker.Thomson,"Min(TR.PriceLow)","sdate:#1 edate:#2",,INDEX(MO_SNA_FPStartDate,0,COLUMN()),INDEX(MO_Common_QEndDate,0,COLUMN())),"N/A")</f>
        <v>N/A</v>
      </c>
      <c r="T884" s="209" t="str">
        <f ca="1">IFERROR(_xll.TR(MO.Ticker.Thomson,"Min(TR.PriceLow)","sdate:#1 edate:#2",,INDEX(MO_SNA_FPStartDate,0,COLUMN()),INDEX(MO_Common_QEndDate,0,COLUMN())),"N/A")</f>
        <v>N/A</v>
      </c>
      <c r="U884" s="209" t="str">
        <f ca="1">IFERROR(_xll.TR(MO.Ticker.Thomson,"Min(TR.PriceLow)","sdate:#1 edate:#2",,INDEX(MO_SNA_FPStartDate,0,COLUMN()),INDEX(MO_Common_QEndDate,0,COLUMN())),"N/A")</f>
        <v>N/A</v>
      </c>
      <c r="V884" s="209" t="str">
        <f ca="1">IFERROR(_xll.TR(MO.Ticker.Thomson,"Min(TR.PriceLow)","sdate:#1 edate:#2",,INDEX(MO_SNA_FPStartDate,0,COLUMN()),INDEX(MO_Common_QEndDate,0,COLUMN())),"N/A")</f>
        <v>N/A</v>
      </c>
      <c r="W884" s="209" t="str">
        <f ca="1">IFERROR(_xll.TR(MO.Ticker.Thomson,"Min(TR.PriceLow)","sdate:#1 edate:#2",,INDEX(MO_SNA_FPStartDate,0,COLUMN()),INDEX(MO_Common_QEndDate,0,COLUMN())),"N/A")</f>
        <v>N/A</v>
      </c>
      <c r="X884" s="209" t="str">
        <f ca="1">IFERROR(_xll.TR(MO.Ticker.Thomson,"Min(TR.PriceLow)","sdate:#1 edate:#2",,INDEX(MO_SNA_FPStartDate,0,COLUMN()),INDEX(MO_Common_QEndDate,0,COLUMN())),"N/A")</f>
        <v>N/A</v>
      </c>
      <c r="Y884" s="209" t="str">
        <f ca="1">IFERROR(_xll.TR(MO.Ticker.Thomson,"Min(TR.PriceLow)","sdate:#1 edate:#2",,INDEX(MO_SNA_FPStartDate,0,COLUMN()),INDEX(MO_Common_QEndDate,0,COLUMN())),"N/A")</f>
        <v>N/A</v>
      </c>
      <c r="Z884" s="209" t="str">
        <f ca="1">IFERROR(_xll.TR(MO.Ticker.Thomson,"Min(TR.PriceLow)","sdate:#1 edate:#2",,INDEX(MO_SNA_FPStartDate,0,COLUMN()),INDEX(MO_Common_QEndDate,0,COLUMN())),"N/A")</f>
        <v>N/A</v>
      </c>
      <c r="AA884" s="209" t="str">
        <f ca="1">IFERROR(_xll.TR(MO.Ticker.Thomson,"Min(TR.PriceLow)","sdate:#1 edate:#2",,INDEX(MO_SNA_FPStartDate,0,COLUMN()),INDEX(MO_Common_QEndDate,0,COLUMN())),"N/A")</f>
        <v>N/A</v>
      </c>
      <c r="AB884" s="209" t="str">
        <f ca="1">IFERROR(_xll.TR(MO.Ticker.Thomson,"Min(TR.PriceLow)","sdate:#1 edate:#2",,INDEX(MO_SNA_FPStartDate,0,COLUMN()),INDEX(MO_Common_QEndDate,0,COLUMN())),"N/A")</f>
        <v>N/A</v>
      </c>
      <c r="AC884" s="209" t="str">
        <f ca="1">IFERROR(_xll.TR(MO.Ticker.Thomson,"Min(TR.PriceLow)","sdate:#1 edate:#2",,INDEX(MO_SNA_FPStartDate,0,COLUMN()),INDEX(MO_Common_QEndDate,0,COLUMN())),"N/A")</f>
        <v>N/A</v>
      </c>
      <c r="AD884" s="209" t="str">
        <f ca="1">IFERROR(_xll.TR(MO.Ticker.Thomson,"Min(TR.PriceLow)","sdate:#1 edate:#2",,INDEX(MO_SNA_FPStartDate,0,COLUMN()),INDEX(MO_Common_QEndDate,0,COLUMN())),"N/A")</f>
        <v>N/A</v>
      </c>
      <c r="AE884" s="209" t="str">
        <f ca="1">IFERROR(_xll.TR(MO.Ticker.Thomson,"Min(TR.PriceLow)","sdate:#1 edate:#2",,INDEX(MO_SNA_FPStartDate,0,COLUMN()),INDEX(MO_Common_QEndDate,0,COLUMN())),"N/A")</f>
        <v>N/A</v>
      </c>
      <c r="AF884" s="209" t="str">
        <f ca="1">IFERROR(_xll.TR(MO.Ticker.Thomson,"Min(TR.PriceLow)","sdate:#1 edate:#2",,INDEX(MO_SNA_FPStartDate,0,COLUMN()),INDEX(MO_Common_QEndDate,0,COLUMN())),"N/A")</f>
        <v>N/A</v>
      </c>
      <c r="AG884" s="209" t="str">
        <f ca="1">IFERROR(_xll.TR(MO.Ticker.Thomson,"Min(TR.PriceLow)","sdate:#1 edate:#2",,INDEX(MO_SNA_FPStartDate,0,COLUMN()),INDEX(MO_Common_QEndDate,0,COLUMN())),"N/A")</f>
        <v>N/A</v>
      </c>
      <c r="AH884" s="209" t="str">
        <f ca="1">IFERROR(_xll.TR(MO.Ticker.Thomson,"Min(TR.PriceLow)","sdate:#1 edate:#2",,INDEX(MO_SNA_FPStartDate,0,COLUMN()),INDEX(MO_Common_QEndDate,0,COLUMN())),"N/A")</f>
        <v>N/A</v>
      </c>
      <c r="AI884" s="209" t="str">
        <f ca="1">IFERROR(_xll.TR(MO.Ticker.Thomson,"Min(TR.PriceLow)","sdate:#1 edate:#2",,INDEX(MO_SNA_FPStartDate,0,COLUMN()),INDEX(MO_Common_QEndDate,0,COLUMN())),"N/A")</f>
        <v>N/A</v>
      </c>
      <c r="AJ884" s="209" t="str">
        <f ca="1">IFERROR(_xll.TR(MO.Ticker.Thomson,"Min(TR.PriceLow)","sdate:#1 edate:#2",,INDEX(MO_SNA_FPStartDate,0,COLUMN()),INDEX(MO_Common_QEndDate,0,COLUMN())),"N/A")</f>
        <v>N/A</v>
      </c>
      <c r="AK884" s="209" t="str">
        <f ca="1">IFERROR(_xll.TR(MO.Ticker.Thomson,"Min(TR.PriceLow)","sdate:#1 edate:#2",,INDEX(MO_SNA_FPStartDate,0,COLUMN()),INDEX(MO_Common_QEndDate,0,COLUMN())),"N/A")</f>
        <v>N/A</v>
      </c>
      <c r="AL884" s="209" t="str">
        <f ca="1">IFERROR(_xll.TR(MO.Ticker.Thomson,"Min(TR.PriceLow)","sdate:#1 edate:#2",,INDEX(MO_SNA_FPStartDate,0,COLUMN()),INDEX(MO_Common_QEndDate,0,COLUMN())),"N/A")</f>
        <v>N/A</v>
      </c>
      <c r="AM884" s="209" t="str">
        <f ca="1">IFERROR(_xll.TR(MO.Ticker.Thomson,"Min(TR.PriceLow)","sdate:#1 edate:#2",,INDEX(MO_SNA_FPStartDate,0,COLUMN()),INDEX(MO_Common_QEndDate,0,COLUMN())),"N/A")</f>
        <v>N/A</v>
      </c>
      <c r="AN884" s="209" t="str">
        <f ca="1">IFERROR(_xll.TR(MO.Ticker.Thomson,"Min(TR.PriceLow)","sdate:#1 edate:#2",,INDEX(MO_SNA_FPStartDate,0,COLUMN()),INDEX(MO_Common_QEndDate,0,COLUMN())),"N/A")</f>
        <v>N/A</v>
      </c>
      <c r="AO884" s="209" t="str">
        <f ca="1">IFERROR(_xll.TR(MO.Ticker.Thomson,"Min(TR.PriceLow)","sdate:#1 edate:#2",,INDEX(MO_SNA_FPStartDate,0,COLUMN()),INDEX(MO_Common_QEndDate,0,COLUMN())),"N/A")</f>
        <v>N/A</v>
      </c>
      <c r="AP884" s="209" t="str">
        <f ca="1">IFERROR(_xll.TR(MO.Ticker.Thomson,"Min(TR.PriceLow)","sdate:#1 edate:#2",,INDEX(MO_SNA_FPStartDate,0,COLUMN()),INDEX(MO_Common_QEndDate,0,COLUMN())),"N/A")</f>
        <v>N/A</v>
      </c>
      <c r="AQ884" s="209" t="str">
        <f ca="1">IFERROR(_xll.TR(MO.Ticker.Thomson,"Min(TR.PriceLow)","sdate:#1 edate:#2",,INDEX(MO_SNA_FPStartDate,0,COLUMN()),INDEX(MO_Common_QEndDate,0,COLUMN())),"N/A")</f>
        <v>N/A</v>
      </c>
      <c r="AR884" s="209" t="str">
        <f ca="1">IFERROR(_xll.TR(MO.Ticker.Thomson,"Min(TR.PriceLow)","sdate:#1 edate:#2",,INDEX(MO_SNA_FPStartDate,0,COLUMN()),INDEX(MO_Common_QEndDate,0,COLUMN())),"N/A")</f>
        <v>N/A</v>
      </c>
      <c r="AS884" s="209" t="str">
        <f ca="1">IFERROR(_xll.TR(MO.Ticker.Thomson,"Min(TR.PriceLow)","sdate:#1 edate:#2",,INDEX(MO_SNA_FPStartDate,0,COLUMN()),INDEX(MO_Common_QEndDate,0,COLUMN())),"N/A")</f>
        <v>N/A</v>
      </c>
      <c r="AT884" s="209" t="str">
        <f ca="1">IFERROR(_xll.TR(MO.Ticker.Thomson,"Min(TR.PriceLow)","sdate:#1 edate:#2",,INDEX(MO_SNA_FPStartDate,0,COLUMN()),INDEX(MO_Common_QEndDate,0,COLUMN())),"N/A")</f>
        <v>N/A</v>
      </c>
      <c r="AU884" s="209" t="str">
        <f ca="1">IFERROR(_xll.TR(MO.Ticker.Thomson,"Min(TR.PriceLow)","sdate:#1 edate:#2",,INDEX(MO_SNA_FPStartDate,0,COLUMN()),INDEX(MO_Common_QEndDate,0,COLUMN())),"N/A")</f>
        <v>N/A</v>
      </c>
      <c r="AV884" s="209" t="str">
        <f ca="1">IFERROR(_xll.TR(MO.Ticker.Thomson,"Min(TR.PriceLow)","sdate:#1 edate:#2",,INDEX(MO_SNA_FPStartDate,0,COLUMN()),INDEX(MO_Common_QEndDate,0,COLUMN())),"N/A")</f>
        <v>N/A</v>
      </c>
      <c r="AW884" s="209" t="str">
        <f ca="1">IFERROR(_xll.TR(MO.Ticker.Thomson,"Min(TR.PriceLow)","sdate:#1 edate:#2",,INDEX(MO_SNA_FPStartDate,0,COLUMN()),INDEX(MO_Common_QEndDate,0,COLUMN())),"N/A")</f>
        <v>N/A</v>
      </c>
      <c r="AX884" s="209" t="str">
        <f ca="1">IFERROR(_xll.TR(MO.Ticker.Thomson,"Min(TR.PriceLow)","sdate:#1 edate:#2",,INDEX(MO_SNA_FPStartDate,0,COLUMN()),INDEX(MO_Common_QEndDate,0,COLUMN())),"N/A")</f>
        <v>N/A</v>
      </c>
      <c r="AY884" s="209" t="str">
        <f ca="1">IFERROR(_xll.TR(MO.Ticker.Thomson,"Min(TR.PriceLow)","sdate:#1 edate:#2",,INDEX(MO_SNA_FPStartDate,0,COLUMN()),INDEX(MO_Common_QEndDate,0,COLUMN())),"N/A")</f>
        <v>N/A</v>
      </c>
      <c r="AZ884" s="209" t="str">
        <f ca="1">IFERROR(_xll.TR(MO.Ticker.Thomson,"Min(TR.PriceLow)","sdate:#1 edate:#2",,INDEX(MO_SNA_FPStartDate,0,COLUMN()),INDEX(MO_Common_QEndDate,0,COLUMN())),"N/A")</f>
        <v>N/A</v>
      </c>
      <c r="BA884" s="209" t="str">
        <f ca="1">IFERROR(_xll.TR(MO.Ticker.Thomson,"Min(TR.PriceLow)","sdate:#1 edate:#2",,INDEX(MO_SNA_FPStartDate,0,COLUMN()),INDEX(MO_Common_QEndDate,0,COLUMN())),"N/A")</f>
        <v>N/A</v>
      </c>
      <c r="BB884" s="209" t="str">
        <f ca="1">IFERROR(_xll.TR(MO.Ticker.Thomson,"Min(TR.PriceLow)","sdate:#1 edate:#2",,INDEX(MO_SNA_FPStartDate,0,COLUMN()),INDEX(MO_Common_QEndDate,0,COLUMN())),"N/A")</f>
        <v>N/A</v>
      </c>
      <c r="BC884" s="209" t="str">
        <f ca="1">IFERROR(_xll.TR(MO.Ticker.Thomson,"Min(TR.PriceLow)","sdate:#1 edate:#2",,INDEX(MO_SNA_FPStartDate,0,COLUMN()),INDEX(MO_Common_QEndDate,0,COLUMN())),"N/A")</f>
        <v>N/A</v>
      </c>
      <c r="BD884" s="209" t="str">
        <f ca="1">IFERROR(_xll.TR(MO.Ticker.Thomson,"Min(TR.PriceLow)","sdate:#1 edate:#2",,INDEX(MO_SNA_FPStartDate,0,COLUMN()),INDEX(MO_Common_QEndDate,0,COLUMN())),"N/A")</f>
        <v>N/A</v>
      </c>
      <c r="BE884" s="209" t="str">
        <f ca="1">IFERROR(_xll.TR(MO.Ticker.Thomson,"Min(TR.PriceLow)","sdate:#1 edate:#2",,INDEX(MO_SNA_FPStartDate,0,COLUMN()),INDEX(MO_Common_QEndDate,0,COLUMN())),"N/A")</f>
        <v>N/A</v>
      </c>
      <c r="BF884" s="209" t="str">
        <f ca="1">IFERROR(_xll.TR(MO.Ticker.Thomson,"Min(TR.PriceLow)","sdate:#1 edate:#2",,INDEX(MO_SNA_FPStartDate,0,COLUMN()),INDEX(MO_Common_QEndDate,0,COLUMN())),"N/A")</f>
        <v>N/A</v>
      </c>
      <c r="BG884" s="209" t="str">
        <f ca="1">IFERROR(_xll.TR(MO.Ticker.Thomson,"Min(TR.PriceLow)","sdate:#1 edate:#2",,INDEX(MO_SNA_FPStartDate,0,COLUMN()),INDEX(MO_Common_QEndDate,0,COLUMN())),"N/A")</f>
        <v>N/A</v>
      </c>
      <c r="BH884" s="209" t="str">
        <f ca="1">IFERROR(_xll.TR(MO.Ticker.Thomson,"Min(TR.PriceLow)","sdate:#1 edate:#2",,INDEX(MO_SNA_FPStartDate,0,COLUMN()),INDEX(MO_Common_QEndDate,0,COLUMN())),"N/A")</f>
        <v>N/A</v>
      </c>
      <c r="BI884" s="209" t="str">
        <f ca="1">IFERROR(_xll.TR(MO.Ticker.Thomson,"Min(TR.PriceLow)","sdate:#1 edate:#2",,INDEX(MO_SNA_FPStartDate,0,COLUMN()),INDEX(MO_Common_QEndDate,0,COLUMN())),"N/A")</f>
        <v>N/A</v>
      </c>
      <c r="BJ884" s="209" t="str">
        <f ca="1">IFERROR(_xll.TR(MO.Ticker.Thomson,"Min(TR.PriceLow)","sdate:#1 edate:#2",,INDEX(MO_SNA_FPStartDate,0,COLUMN()),INDEX(MO_Common_QEndDate,0,COLUMN())),"N/A")</f>
        <v>N/A</v>
      </c>
      <c r="BK884" s="209" t="str">
        <f ca="1">IFERROR(_xll.TR(MO.Ticker.Thomson,"Min(TR.PriceLow)","sdate:#1 edate:#2",,INDEX(MO_SNA_FPStartDate,0,COLUMN()),INDEX(MO_Common_QEndDate,0,COLUMN())),"N/A")</f>
        <v>N/A</v>
      </c>
      <c r="BL884" s="209" t="str">
        <f ca="1">IFERROR(_xll.TR(MO.Ticker.Thomson,"Min(TR.PriceLow)","sdate:#1 edate:#2",,INDEX(MO_SNA_FPStartDate,0,COLUMN()),INDEX(MO_Common_QEndDate,0,COLUMN())),"N/A")</f>
        <v>N/A</v>
      </c>
      <c r="BM884" s="209" t="str">
        <f ca="1">IFERROR(_xll.TR(MO.Ticker.Thomson,"Min(TR.PriceLow)","sdate:#1 edate:#2",,INDEX(MO_SNA_FPStartDate,0,COLUMN()),INDEX(MO_Common_QEndDate,0,COLUMN())),"N/A")</f>
        <v>N/A</v>
      </c>
      <c r="BN884" s="209" t="str">
        <f ca="1">IFERROR(_xll.TR(MO.Ticker.Thomson,"Min(TR.PriceLow)","sdate:#1 edate:#2",,INDEX(MO_SNA_FPStartDate,0,COLUMN()),INDEX(MO_Common_QEndDate,0,COLUMN())),"N/A")</f>
        <v>N/A</v>
      </c>
      <c r="BO884" s="209" t="str">
        <f ca="1">IFERROR(_xll.TR(MO.Ticker.Thomson,"Min(TR.PriceLow)","sdate:#1 edate:#2",,INDEX(MO_SNA_FPStartDate,0,COLUMN()),INDEX(MO_Common_QEndDate,0,COLUMN())),"N/A")</f>
        <v>N/A</v>
      </c>
      <c r="BP884" s="209" t="str">
        <f ca="1">IFERROR(_xll.TR(MO.Ticker.Thomson,"Min(TR.PriceLow)","sdate:#1 edate:#2",,INDEX(MO_SNA_FPStartDate,0,COLUMN()),INDEX(MO_Common_QEndDate,0,COLUMN())),"N/A")</f>
        <v>N/A</v>
      </c>
      <c r="BQ884" s="209" t="str">
        <f ca="1">IFERROR(_xll.TR(MO.Ticker.Thomson,"Min(TR.PriceLow)","sdate:#1 edate:#2",,INDEX(MO_SNA_FPStartDate,0,COLUMN()),INDEX(MO_Common_QEndDate,0,COLUMN())),"N/A")</f>
        <v>N/A</v>
      </c>
      <c r="BR884" s="209" t="str">
        <f ca="1">IFERROR(_xll.TR(MO.Ticker.Thomson,"Min(TR.PriceLow)","sdate:#1 edate:#2",,INDEX(MO_SNA_FPStartDate,0,COLUMN()),INDEX(MO_Common_QEndDate,0,COLUMN())),"N/A")</f>
        <v>N/A</v>
      </c>
      <c r="BS884" s="209" t="str">
        <f ca="1">IFERROR(_xll.TR(MO.Ticker.Thomson,"Min(TR.PriceLow)","sdate:#1 edate:#2",,INDEX(MO_SNA_FPStartDate,0,COLUMN()),INDEX(MO_Common_QEndDate,0,COLUMN())),"N/A")</f>
        <v>N/A</v>
      </c>
      <c r="BT884" s="387" t="str">
        <f ca="1">IFERROR(_xll.TR(MO.Ticker.Thomson,"Min(TR.PriceLow)","sdate:#1 edate:#2",,INDEX(MO_SNA_FPStartDate,0,COLUMN()),INDEX(MO_Common_QEndDate,0,COLUMN())),"N/A")</f>
        <v>N/A</v>
      </c>
      <c r="BU884" s="209" t="str">
        <f ca="1">IFERROR(_xll.TR(MO.Ticker.Thomson,"Min(TR.PriceLow)","sdate:#1 edate:#2",,INDEX(MO_SNA_FPStartDate,0,COLUMN()),INDEX(MO_Common_QEndDate,0,COLUMN())),"N/A")</f>
        <v>N/A</v>
      </c>
      <c r="BV884" s="209" t="str">
        <f ca="1">IFERROR(_xll.TR(MO.Ticker.Thomson,"Min(TR.PriceLow)","sdate:#1 edate:#2",,INDEX(MO_SNA_FPStartDate,0,COLUMN()),INDEX(MO_Common_QEndDate,0,COLUMN())),"N/A")</f>
        <v>N/A</v>
      </c>
      <c r="BW884" s="209" t="str">
        <f ca="1">IFERROR(_xll.TR(MO.Ticker.Thomson,"Min(TR.PriceLow)","sdate:#1 edate:#2",,INDEX(MO_SNA_FPStartDate,0,COLUMN()),INDEX(MO_Common_QEndDate,0,COLUMN())),"N/A")</f>
        <v>N/A</v>
      </c>
      <c r="BX884" s="209" t="str">
        <f ca="1">IFERROR(_xll.TR(MO.Ticker.Thomson,"Min(TR.PriceLow)","sdate:#1 edate:#2",,INDEX(MO_SNA_FPStartDate,0,COLUMN()),INDEX(MO_Common_QEndDate,0,COLUMN())),"N/A")</f>
        <v>N/A</v>
      </c>
      <c r="BY884" s="209" t="str">
        <f ca="1">IFERROR(_xll.TR(MO.Ticker.Thomson,"Min(TR.PriceLow)","sdate:#1 edate:#2",,INDEX(MO_SNA_FPStartDate,0,COLUMN()),INDEX(MO_Common_QEndDate,0,COLUMN())),"N/A")</f>
        <v>N/A</v>
      </c>
      <c r="BZ884" s="209" t="str">
        <f ca="1">IFERROR(_xll.TR(MO.Ticker.Thomson,"Min(TR.PriceLow)","sdate:#1 edate:#2",,INDEX(MO_SNA_FPStartDate,0,COLUMN()),INDEX(MO_Common_QEndDate,0,COLUMN())),"N/A")</f>
        <v>N/A</v>
      </c>
      <c r="CA884" s="209" t="str">
        <f ca="1">IFERROR(_xll.TR(MO.Ticker.Thomson,"Min(TR.PriceLow)","sdate:#1 edate:#2",,INDEX(MO_SNA_FPStartDate,0,COLUMN()),INDEX(MO_Common_QEndDate,0,COLUMN())),"N/A")</f>
        <v>N/A</v>
      </c>
      <c r="CB884" s="209" t="str">
        <f ca="1">IFERROR(_xll.TR(MO.Ticker.Thomson,"Min(TR.PriceLow)","sdate:#1 edate:#2",,INDEX(MO_SNA_FPStartDate,0,COLUMN()),INDEX(MO_Common_QEndDate,0,COLUMN())),"N/A")</f>
        <v>N/A</v>
      </c>
      <c r="CC884" s="209" t="str">
        <f ca="1">IFERROR(_xll.TR(MO.Ticker.Thomson,"Min(TR.PriceLow)","sdate:#1 edate:#2",,INDEX(MO_SNA_FPStartDate,0,COLUMN()),INDEX(MO_Common_QEndDate,0,COLUMN())),"N/A")</f>
        <v>N/A</v>
      </c>
      <c r="CD884" s="209" t="str">
        <f ca="1">IFERROR(_xll.TR(MO.Ticker.Thomson,"Min(TR.PriceLow)","sdate:#1 edate:#2",,INDEX(MO_SNA_FPStartDate,0,COLUMN()),INDEX(MO_Common_QEndDate,0,COLUMN())),"N/A")</f>
        <v>N/A</v>
      </c>
      <c r="CE884" s="209" t="str">
        <f ca="1">IFERROR(_xll.TR(MO.Ticker.Thomson,"Min(TR.PriceLow)","sdate:#1 edate:#2",,INDEX(MO_SNA_FPStartDate,0,COLUMN()),INDEX(MO_Common_QEndDate,0,COLUMN())),"N/A")</f>
        <v>N/A</v>
      </c>
      <c r="CF884" s="210" t="str">
        <f ca="1">IFERROR(_xll.TR(MO.Ticker.Thomson,"Min(TR.PriceLow)","sdate:#1 edate:#2",,INDEX(MO_SNA_FPStartDate,0,COLUMN()),INDEX(MO_Common_QEndDate,0,COLUMN())),"N/A")</f>
        <v>N/A</v>
      </c>
      <c r="CG884" s="260"/>
    </row>
    <row r="885" spans="1:85" s="424" customFormat="1" hidden="1" outlineLevel="1" x14ac:dyDescent="0.3">
      <c r="A885" s="186"/>
      <c r="B885" s="722"/>
      <c r="C885" s="237"/>
      <c r="D885" s="237"/>
      <c r="E885" s="722"/>
      <c r="F885" s="722"/>
      <c r="G885" s="722"/>
      <c r="H885" s="722"/>
      <c r="I885" s="722"/>
      <c r="J885" s="722"/>
      <c r="K885" s="722"/>
      <c r="L885" s="722"/>
      <c r="M885" s="722"/>
      <c r="N885" s="722"/>
      <c r="O885" s="722"/>
      <c r="P885" s="722"/>
      <c r="Q885" s="722"/>
      <c r="R885" s="722"/>
      <c r="S885" s="722"/>
      <c r="T885" s="722"/>
      <c r="U885" s="722"/>
      <c r="V885" s="722"/>
      <c r="W885" s="722"/>
      <c r="X885" s="722"/>
      <c r="Y885" s="722"/>
      <c r="Z885" s="722"/>
      <c r="AA885" s="722"/>
      <c r="AB885" s="722"/>
      <c r="AC885" s="722"/>
      <c r="AD885" s="722"/>
      <c r="AE885" s="722"/>
      <c r="AF885" s="722"/>
      <c r="AG885" s="722"/>
      <c r="AH885" s="722"/>
      <c r="AI885" s="722"/>
      <c r="AJ885" s="722"/>
      <c r="AK885" s="722"/>
      <c r="AL885" s="722"/>
      <c r="AM885" s="722"/>
      <c r="AN885" s="722"/>
      <c r="AO885" s="722"/>
      <c r="AP885" s="722"/>
      <c r="AQ885" s="722"/>
      <c r="AR885" s="722"/>
      <c r="AS885" s="722"/>
      <c r="AT885" s="722"/>
      <c r="AU885" s="722"/>
      <c r="AV885" s="722"/>
      <c r="AW885" s="722"/>
      <c r="AX885" s="722"/>
      <c r="AY885" s="722"/>
      <c r="AZ885" s="722"/>
      <c r="BA885" s="722"/>
      <c r="BB885" s="722"/>
      <c r="BC885" s="722"/>
      <c r="BD885" s="722"/>
      <c r="BE885" s="722"/>
      <c r="BF885" s="722"/>
      <c r="BG885" s="722"/>
      <c r="BH885" s="722"/>
      <c r="BI885" s="722"/>
      <c r="BJ885" s="722"/>
      <c r="BK885" s="722"/>
      <c r="BL885" s="722"/>
      <c r="BM885" s="722"/>
      <c r="BN885" s="722"/>
      <c r="BO885" s="722"/>
      <c r="BP885" s="722"/>
      <c r="BQ885" s="722"/>
      <c r="BR885" s="722"/>
      <c r="BS885" s="722"/>
      <c r="BT885" s="723"/>
      <c r="BU885" s="722"/>
      <c r="BV885" s="722"/>
      <c r="BW885" s="722"/>
      <c r="BX885" s="722"/>
      <c r="BY885" s="722"/>
      <c r="BZ885" s="722"/>
      <c r="CA885" s="722"/>
      <c r="CB885" s="722"/>
      <c r="CC885" s="722"/>
      <c r="CD885" s="722"/>
      <c r="CE885" s="722"/>
      <c r="CF885" s="201"/>
      <c r="CG885" s="259"/>
    </row>
    <row r="886" spans="1:85" s="445" customFormat="1" collapsed="1" x14ac:dyDescent="0.3">
      <c r="A886" s="208" t="str">
        <f ca="1">"Stock Average: "&amp;IF(OR(MO.RealTimeStockPriceToggle=FALSE,VLOOKUP(MO.DataSourceName,MO_SPT_StockAverage_Sources,COLUMN()+2,FALSE)="N/A"),"Real-Time Off Source",MO.DataSourceName)</f>
        <v>Stock Average: Real-Time Off Source</v>
      </c>
      <c r="B886" s="209"/>
      <c r="C886" s="288">
        <f t="shared" ref="C886:AH886" ca="1" si="1895">IF(OR(MO.RealTimeStockPriceToggle=FALSE,VLOOKUP(MO.DataSourceName,MO_SPT_StockAverage_Sources,COLUMN(),FALSE)="N/A"),VLOOKUP("Real-Time Off Source",MO_SPT_StockAverage_Sources,COLUMN(),FALSE),VLOOKUP(MO.DataSourceName,MO_SPT_StockAverage_Sources,COLUMN(),FALSE))</f>
        <v>67.97</v>
      </c>
      <c r="D886" s="288">
        <f t="shared" ca="1" si="1895"/>
        <v>79.61</v>
      </c>
      <c r="E886" s="209">
        <f t="shared" ca="1" si="1895"/>
        <v>98.344999999999999</v>
      </c>
      <c r="F886" s="209">
        <f t="shared" ca="1" si="1895"/>
        <v>107.13</v>
      </c>
      <c r="G886" s="209">
        <f t="shared" ca="1" si="1895"/>
        <v>115.15</v>
      </c>
      <c r="H886" s="209">
        <f t="shared" ca="1" si="1895"/>
        <v>120.76</v>
      </c>
      <c r="I886" s="209">
        <f t="shared" ca="1" si="1895"/>
        <v>122.52500000000001</v>
      </c>
      <c r="J886" s="209">
        <f t="shared" ca="1" si="1895"/>
        <v>120.045</v>
      </c>
      <c r="K886" s="209">
        <f t="shared" ca="1" si="1895"/>
        <v>119.62</v>
      </c>
      <c r="L886" s="209">
        <f t="shared" ca="1" si="1895"/>
        <v>117.295</v>
      </c>
      <c r="M886" s="209">
        <f t="shared" ca="1" si="1895"/>
        <v>125.035</v>
      </c>
      <c r="N886" s="209">
        <f t="shared" ca="1" si="1895"/>
        <v>126.88</v>
      </c>
      <c r="O886" s="209">
        <f t="shared" ca="1" si="1895"/>
        <v>110.13355</v>
      </c>
      <c r="P886" s="209">
        <f t="shared" ca="1" si="1895"/>
        <v>119.8358875</v>
      </c>
      <c r="Q886" s="209">
        <f t="shared" ca="1" si="1895"/>
        <v>105.94</v>
      </c>
      <c r="R886" s="209">
        <f t="shared" ca="1" si="1895"/>
        <v>104.21</v>
      </c>
      <c r="S886" s="209">
        <f t="shared" ca="1" si="1895"/>
        <v>83.125</v>
      </c>
      <c r="T886" s="209">
        <f t="shared" ca="1" si="1895"/>
        <v>87.974999999999994</v>
      </c>
      <c r="U886" s="209">
        <f t="shared" ca="1" si="1895"/>
        <v>95.3125</v>
      </c>
      <c r="V886" s="209">
        <f t="shared" ca="1" si="1895"/>
        <v>86.62</v>
      </c>
      <c r="W886" s="209">
        <f t="shared" ca="1" si="1895"/>
        <v>98.715000000000003</v>
      </c>
      <c r="X886" s="209">
        <f t="shared" ca="1" si="1895"/>
        <v>102.55500000000001</v>
      </c>
      <c r="Y886" s="209">
        <f t="shared" ca="1" si="1895"/>
        <v>109.30500000000001</v>
      </c>
      <c r="Z886" s="209">
        <f t="shared" ca="1" si="1895"/>
        <v>99.298749999999998</v>
      </c>
      <c r="AA886" s="209">
        <f t="shared" ca="1" si="1895"/>
        <v>112.425</v>
      </c>
      <c r="AB886" s="209">
        <f t="shared" ca="1" si="1895"/>
        <v>106.61</v>
      </c>
      <c r="AC886" s="209">
        <f t="shared" ca="1" si="1895"/>
        <v>110.44</v>
      </c>
      <c r="AD886" s="209">
        <f t="shared" ca="1" si="1895"/>
        <v>119.38500000000001</v>
      </c>
      <c r="AE886" s="209">
        <f t="shared" ca="1" si="1895"/>
        <v>112.215</v>
      </c>
      <c r="AF886" s="209">
        <f t="shared" ca="1" si="1895"/>
        <v>115.634137704918</v>
      </c>
      <c r="AG886" s="209">
        <f t="shared" ca="1" si="1895"/>
        <v>121.22818281249999</v>
      </c>
      <c r="AH886" s="209">
        <f t="shared" ca="1" si="1895"/>
        <v>119.555068253968</v>
      </c>
      <c r="AI886" s="209">
        <f t="shared" ref="AI886:AU886" ca="1" si="1896">IF(OR(MO.RealTimeStockPriceToggle=FALSE,VLOOKUP(MO.DataSourceName,MO_SPT_StockAverage_Sources,COLUMN(),FALSE)="N/A"),VLOOKUP("Real-Time Off Source",MO_SPT_StockAverage_Sources,COLUMN(),FALSE),VLOOKUP(MO.DataSourceName,MO_SPT_StockAverage_Sources,COLUMN(),FALSE))</f>
        <v>115.2454</v>
      </c>
      <c r="AJ886" s="209">
        <f t="shared" ca="1" si="1896"/>
        <v>117.947074103586</v>
      </c>
      <c r="AK886" s="209">
        <f t="shared" ca="1" si="1896"/>
        <v>118.309344262295</v>
      </c>
      <c r="AL886" s="209">
        <f t="shared" ca="1" si="1896"/>
        <v>120.916984126984</v>
      </c>
      <c r="AM886" s="209">
        <f t="shared" ca="1" si="1896"/>
        <v>121.44828124999999</v>
      </c>
      <c r="AN886" s="209">
        <f t="shared" ca="1" si="1896"/>
        <v>117.784375</v>
      </c>
      <c r="AO886" s="209">
        <f t="shared" ca="1" si="1896"/>
        <v>119.62511904761899</v>
      </c>
      <c r="AP886" s="209">
        <f t="shared" ca="1" si="1896"/>
        <v>98.813709677419396</v>
      </c>
      <c r="AQ886" s="209">
        <f t="shared" ca="1" si="1896"/>
        <v>89.528571428571396</v>
      </c>
      <c r="AR886" s="209">
        <f ca="1">IF(OR(MO.RealTimeStockPriceToggle=FALSE,VLOOKUP(MO.DataSourceName,MO_SPT_StockAverage_Sources,COLUMN(),FALSE)="N/A"),VLOOKUP("Real-Time Off Source",MO_SPT_StockAverage_Sources,COLUMN(),FALSE),VLOOKUP(MO.DataSourceName,MO_SPT_StockAverage_Sources,COLUMN(),FALSE))</f>
        <v>84.103437499999998</v>
      </c>
      <c r="AS886" s="209">
        <f t="shared" ca="1" si="1896"/>
        <v>80.965000000000003</v>
      </c>
      <c r="AT886" s="209">
        <f t="shared" ca="1" si="1896"/>
        <v>88.265335968379404</v>
      </c>
      <c r="AU886" s="209">
        <f t="shared" ca="1" si="1896"/>
        <v>97.6460655737705</v>
      </c>
      <c r="AV886" s="209">
        <f t="shared" ref="AV886:BA886" ca="1" si="1897">IF(OR(MO.RealTimeStockPriceToggle=FALSE,VLOOKUP(MO.DataSourceName,MO_SPT_StockAverage_Sources,COLUMN(),FALSE)="N/A"),VLOOKUP("Real-Time Off Source",MO_SPT_StockAverage_Sources,COLUMN(),FALSE),VLOOKUP(MO.DataSourceName,MO_SPT_StockAverage_Sources,COLUMN(),FALSE))</f>
        <v>105.565079365079</v>
      </c>
      <c r="AW886" s="209">
        <f t="shared" ca="1" si="1897"/>
        <v>99.743281249999995</v>
      </c>
      <c r="AX886" s="209">
        <f t="shared" ca="1" si="1897"/>
        <v>113.59078125000001</v>
      </c>
      <c r="AY886" s="209">
        <f t="shared" ca="1" si="1897"/>
        <v>104.207896825397</v>
      </c>
      <c r="AZ886" s="209">
        <f t="shared" ca="1" si="1897"/>
        <v>143.411129032258</v>
      </c>
      <c r="BA886" s="209">
        <f t="shared" ca="1" si="1897"/>
        <v>165.301290322581</v>
      </c>
      <c r="BB886" s="209">
        <f t="shared" ref="BB886:BD886" ca="1" si="1898">IF(OR(MO.RealTimeStockPriceToggle=FALSE,VLOOKUP(MO.DataSourceName,MO_SPT_StockAverage_Sources,COLUMN(),FALSE)="N/A"),VLOOKUP("Real-Time Off Source",MO_SPT_StockAverage_Sources,COLUMN(),FALSE),VLOOKUP(MO.DataSourceName,MO_SPT_StockAverage_Sources,COLUMN(),FALSE))</f>
        <v>152.50890625</v>
      </c>
      <c r="BC886" s="209">
        <f t="shared" ca="1" si="1898"/>
        <v>174.50539682539701</v>
      </c>
      <c r="BD886" s="209">
        <f t="shared" ca="1" si="1898"/>
        <v>158.942549800797</v>
      </c>
      <c r="BE886" s="209">
        <f t="shared" ref="BE886:BI886" ca="1" si="1899">IF(OR(MO.RealTimeStockPriceToggle=FALSE,VLOOKUP(MO.DataSourceName,MO_SPT_StockAverage_Sources,COLUMN(),FALSE)="N/A"),VLOOKUP("Real-Time Off Source",MO_SPT_StockAverage_Sources,COLUMN(),FALSE),VLOOKUP(MO.DataSourceName,MO_SPT_StockAverage_Sources,COLUMN(),FALSE))</f>
        <v>167.65435483870999</v>
      </c>
      <c r="BF886" s="209">
        <f t="shared" ca="1" si="1899"/>
        <v>160.321612903226</v>
      </c>
      <c r="BG886" s="209">
        <f t="shared" ca="1" si="1899"/>
        <v>161.52031746031699</v>
      </c>
      <c r="BH886" s="209">
        <f t="shared" ca="1" si="1899"/>
        <v>151.24269841269799</v>
      </c>
      <c r="BI886" s="209">
        <f t="shared" ca="1" si="1899"/>
        <v>160.15432000000001</v>
      </c>
      <c r="BJ886" s="209">
        <f t="shared" ref="BJ886:BX886" ca="1" si="1900">IF(OR(MO.RealTimeStockPriceToggle=FALSE,VLOOKUP(MO.DataSourceName,MO_SPT_StockAverage_Sources,COLUMN(),FALSE)="N/A"),VLOOKUP("Real-Time Off Source",MO_SPT_StockAverage_Sources,COLUMN(),FALSE),VLOOKUP(MO.DataSourceName,MO_SPT_StockAverage_Sources,COLUMN(),FALSE))</f>
        <v>150.90098360655699</v>
      </c>
      <c r="BK886" s="209">
        <f t="shared" ca="1" si="1900"/>
        <v>159.45841269841301</v>
      </c>
      <c r="BL886" s="209">
        <f t="shared" ca="1" si="1900"/>
        <v>148.84484375</v>
      </c>
      <c r="BM886" s="209">
        <f t="shared" ca="1" si="1900"/>
        <v>153.06578124999999</v>
      </c>
      <c r="BN886" s="209">
        <f t="shared" ca="1" si="1900"/>
        <v>153.06793650793699</v>
      </c>
      <c r="BO886" s="209">
        <f t="shared" ref="BO886:BW886" ca="1" si="1901">IF(OR(MO.RealTimeStockPriceToggle=FALSE,VLOOKUP(MO.DataSourceName,MO_SPT_StockAverage_Sources,COLUMN(),FALSE)="N/A"),VLOOKUP("Real-Time Off Source",MO_SPT_StockAverage_Sources,COLUMN(),FALSE),VLOOKUP(MO.DataSourceName,MO_SPT_StockAverage_Sources,COLUMN(),FALSE))</f>
        <v>156.5445</v>
      </c>
      <c r="BP886" s="209">
        <f t="shared" ca="1" si="1901"/>
        <v>140.972096774194</v>
      </c>
      <c r="BQ886" s="209">
        <f t="shared" ca="1" si="1901"/>
        <v>154.87187499999999</v>
      </c>
      <c r="BR886" s="209">
        <f t="shared" ca="1" si="1901"/>
        <v>152.30421874999999</v>
      </c>
      <c r="BS886" s="209">
        <f t="shared" ca="1" si="1901"/>
        <v>151.16883999999999</v>
      </c>
      <c r="BT886" s="387">
        <f ca="1">IF(OR(MO.RealTimeStockPriceToggle=FALSE,VLOOKUP(MO.DataSourceName,MO_SPT_StockAverage_Sources,COLUMN(),FALSE)="N/A"),VLOOKUP("Real-Time Off Source",MO_SPT_StockAverage_Sources,COLUMN(),FALSE),VLOOKUP(MO.DataSourceName,MO_SPT_StockAverage_Sources,COLUMN(),FALSE))</f>
        <v>182.34868852458999</v>
      </c>
      <c r="BU886" s="209">
        <f t="shared" ca="1" si="1901"/>
        <v>0</v>
      </c>
      <c r="BV886" s="209">
        <f t="shared" ca="1" si="1901"/>
        <v>0</v>
      </c>
      <c r="BW886" s="209">
        <f t="shared" ca="1" si="1901"/>
        <v>0</v>
      </c>
      <c r="BX886" s="209">
        <f t="shared" ca="1" si="1900"/>
        <v>0</v>
      </c>
      <c r="BY886" s="209">
        <f t="shared" ref="BY886:CF886" ca="1" si="1902">IF(OR(MO.RealTimeStockPriceToggle=FALSE,VLOOKUP(MO.DataSourceName,MO_SPT_StockAverage_Sources,COLUMN(),FALSE)="N/A"),VLOOKUP("Real-Time Off Source",MO_SPT_StockAverage_Sources,COLUMN(),FALSE),VLOOKUP(MO.DataSourceName,MO_SPT_StockAverage_Sources,COLUMN(),FALSE))</f>
        <v>0</v>
      </c>
      <c r="BZ886" s="209">
        <f t="shared" ca="1" si="1902"/>
        <v>0</v>
      </c>
      <c r="CA886" s="209">
        <f t="shared" ca="1" si="1902"/>
        <v>0</v>
      </c>
      <c r="CB886" s="209">
        <f t="shared" ca="1" si="1902"/>
        <v>0</v>
      </c>
      <c r="CC886" s="209">
        <f t="shared" ca="1" si="1902"/>
        <v>0</v>
      </c>
      <c r="CD886" s="209">
        <f t="shared" ca="1" si="1902"/>
        <v>0</v>
      </c>
      <c r="CE886" s="209">
        <f t="shared" ca="1" si="1902"/>
        <v>0</v>
      </c>
      <c r="CF886" s="210">
        <f t="shared" ca="1" si="1902"/>
        <v>0</v>
      </c>
      <c r="CG886" s="260"/>
    </row>
    <row r="887" spans="1:85" s="445" customFormat="1" hidden="1" outlineLevel="1" x14ac:dyDescent="0.3">
      <c r="A887" s="211" t="s">
        <v>373</v>
      </c>
      <c r="B887" s="209"/>
      <c r="C887" s="804">
        <v>67.97</v>
      </c>
      <c r="D887" s="804">
        <v>79.61</v>
      </c>
      <c r="E887" s="805">
        <v>98.344999999999999</v>
      </c>
      <c r="F887" s="805">
        <v>107.13</v>
      </c>
      <c r="G887" s="805">
        <v>115.15</v>
      </c>
      <c r="H887" s="805">
        <v>120.76</v>
      </c>
      <c r="I887" s="805">
        <v>122.52500000000001</v>
      </c>
      <c r="J887" s="805">
        <v>120.045</v>
      </c>
      <c r="K887" s="805">
        <v>119.62</v>
      </c>
      <c r="L887" s="805">
        <v>117.295</v>
      </c>
      <c r="M887" s="805">
        <v>125.035</v>
      </c>
      <c r="N887" s="805">
        <v>126.88</v>
      </c>
      <c r="O887" s="805">
        <v>110.13355</v>
      </c>
      <c r="P887" s="805">
        <v>119.8358875</v>
      </c>
      <c r="Q887" s="805">
        <v>105.94</v>
      </c>
      <c r="R887" s="805">
        <v>104.21</v>
      </c>
      <c r="S887" s="805">
        <v>83.125</v>
      </c>
      <c r="T887" s="805">
        <v>87.974999999999994</v>
      </c>
      <c r="U887" s="805">
        <v>95.3125</v>
      </c>
      <c r="V887" s="805">
        <v>86.62</v>
      </c>
      <c r="W887" s="805">
        <v>98.715000000000003</v>
      </c>
      <c r="X887" s="805">
        <v>102.55500000000001</v>
      </c>
      <c r="Y887" s="805">
        <v>109.30500000000001</v>
      </c>
      <c r="Z887" s="805">
        <v>99.298749999999998</v>
      </c>
      <c r="AA887" s="805">
        <v>112.425</v>
      </c>
      <c r="AB887" s="805">
        <v>106.61</v>
      </c>
      <c r="AC887" s="805">
        <v>110.44</v>
      </c>
      <c r="AD887" s="805">
        <v>119.38500000000001</v>
      </c>
      <c r="AE887" s="805">
        <v>112.215</v>
      </c>
      <c r="AF887" s="805">
        <v>115.634137704918</v>
      </c>
      <c r="AG887" s="805">
        <v>121.22818281249999</v>
      </c>
      <c r="AH887" s="805">
        <v>119.555068253968</v>
      </c>
      <c r="AI887" s="805">
        <v>115.2454</v>
      </c>
      <c r="AJ887" s="805">
        <v>117.947074103586</v>
      </c>
      <c r="AK887" s="805">
        <v>118.309344262295</v>
      </c>
      <c r="AL887" s="805">
        <v>120.916984126984</v>
      </c>
      <c r="AM887" s="805">
        <v>121.44828124999999</v>
      </c>
      <c r="AN887" s="805">
        <v>117.784375</v>
      </c>
      <c r="AO887" s="805">
        <v>119.62511904761899</v>
      </c>
      <c r="AP887" s="805">
        <v>98.813709677419396</v>
      </c>
      <c r="AQ887" s="805">
        <v>89.528571428571396</v>
      </c>
      <c r="AR887" s="805">
        <v>84.103437499999998</v>
      </c>
      <c r="AS887" s="805">
        <v>80.965000000000003</v>
      </c>
      <c r="AT887" s="805">
        <v>88.265335968379404</v>
      </c>
      <c r="AU887" s="805">
        <v>97.6460655737705</v>
      </c>
      <c r="AV887" s="805">
        <v>105.565079365079</v>
      </c>
      <c r="AW887" s="805">
        <v>99.743281249999995</v>
      </c>
      <c r="AX887" s="805">
        <v>113.59078125000001</v>
      </c>
      <c r="AY887" s="805">
        <v>104.207896825397</v>
      </c>
      <c r="AZ887" s="805">
        <v>143.411129032258</v>
      </c>
      <c r="BA887" s="805">
        <v>165.301290322581</v>
      </c>
      <c r="BB887" s="805">
        <v>152.50890625</v>
      </c>
      <c r="BC887" s="805">
        <v>174.50539682539701</v>
      </c>
      <c r="BD887" s="805">
        <v>158.942549800797</v>
      </c>
      <c r="BE887" s="805">
        <v>167.65435483870999</v>
      </c>
      <c r="BF887" s="805">
        <v>160.321612903226</v>
      </c>
      <c r="BG887" s="805">
        <v>161.52031746031699</v>
      </c>
      <c r="BH887" s="805">
        <v>151.24269841269799</v>
      </c>
      <c r="BI887" s="805">
        <v>160.15432000000001</v>
      </c>
      <c r="BJ887" s="805">
        <v>150.90098360655699</v>
      </c>
      <c r="BK887" s="805">
        <v>159.45841269841301</v>
      </c>
      <c r="BL887" s="805">
        <v>148.84484375</v>
      </c>
      <c r="BM887" s="805">
        <v>153.06578124999999</v>
      </c>
      <c r="BN887" s="805">
        <v>153.06793650793699</v>
      </c>
      <c r="BO887" s="805">
        <v>156.5445</v>
      </c>
      <c r="BP887" s="805">
        <v>140.972096774194</v>
      </c>
      <c r="BQ887" s="805">
        <v>154.87187499999999</v>
      </c>
      <c r="BR887" s="805">
        <v>152.30421874999999</v>
      </c>
      <c r="BS887" s="805">
        <v>151.16883999999999</v>
      </c>
      <c r="BT887" s="806">
        <v>182.34868852458999</v>
      </c>
      <c r="BU887" s="209"/>
      <c r="BV887" s="209"/>
      <c r="BW887" s="209"/>
      <c r="BX887" s="209"/>
      <c r="BY887" s="209"/>
      <c r="BZ887" s="209"/>
      <c r="CA887" s="209"/>
      <c r="CB887" s="209"/>
      <c r="CC887" s="209"/>
      <c r="CD887" s="209"/>
      <c r="CE887" s="209"/>
      <c r="CF887" s="210"/>
      <c r="CG887" s="260"/>
    </row>
    <row r="888" spans="1:85" s="445" customFormat="1" hidden="1" outlineLevel="1" x14ac:dyDescent="0.3">
      <c r="A888" s="211" t="s">
        <v>7</v>
      </c>
      <c r="B888" s="209"/>
      <c r="C888" s="288" t="str">
        <f ca="1">IFERROR(BDP(MO.Ticker.Bloomberg&amp;" Equity","INTERVAL_AVG","MARKET_DATA_OVERRIDE=PX_LAST","START_DATE_OVERRIDE",TEXT(INDEX(MO_SNA_FPStartDate,0,COLUMN()),"YYYYMMDD"),"END_DATE_OVERRIDE",TEXT(INDEX(MO_Common_QEndDate,0,COLUMN()),"YYYYMMDD")),"N/A")</f>
        <v>N/A</v>
      </c>
      <c r="D888" s="288" t="str">
        <f ca="1">IFERROR(BDP(MO.Ticker.Bloomberg&amp;" Equity","INTERVAL_AVG","MARKET_DATA_OVERRIDE=PX_LAST","START_DATE_OVERRIDE",TEXT(INDEX(MO_SNA_FPStartDate,0,COLUMN()),"YYYYMMDD"),"END_DATE_OVERRIDE",TEXT(INDEX(MO_Common_QEndDate,0,COLUMN()),"YYYYMMDD")),"N/A")</f>
        <v>N/A</v>
      </c>
      <c r="E888" s="209" t="str">
        <f ca="1">IFERROR(BDP(MO.Ticker.Bloomberg&amp;" Equity","INTERVAL_AVG","MARKET_DATA_OVERRIDE=PX_LAST","START_DATE_OVERRIDE",TEXT(INDEX(MO_SNA_FPStartDate,0,COLUMN()),"YYYYMMDD"),"END_DATE_OVERRIDE",TEXT(INDEX(MO_Common_QEndDate,0,COLUMN()),"YYYYMMDD")),"N/A")</f>
        <v>N/A</v>
      </c>
      <c r="F888" s="209" t="str">
        <f ca="1">IFERROR(BDP(MO.Ticker.Bloomberg&amp;" Equity","INTERVAL_AVG","MARKET_DATA_OVERRIDE=PX_LAST","START_DATE_OVERRIDE",TEXT(INDEX(MO_SNA_FPStartDate,0,COLUMN()),"YYYYMMDD"),"END_DATE_OVERRIDE",TEXT(INDEX(MO_Common_QEndDate,0,COLUMN()),"YYYYMMDD")),"N/A")</f>
        <v>N/A</v>
      </c>
      <c r="G888" s="209" t="str">
        <f ca="1">IFERROR(BDP(MO.Ticker.Bloomberg&amp;" Equity","INTERVAL_AVG","MARKET_DATA_OVERRIDE=PX_LAST","START_DATE_OVERRIDE",TEXT(INDEX(MO_SNA_FPStartDate,0,COLUMN()),"YYYYMMDD"),"END_DATE_OVERRIDE",TEXT(INDEX(MO_Common_QEndDate,0,COLUMN()),"YYYYMMDD")),"N/A")</f>
        <v>N/A</v>
      </c>
      <c r="H888" s="209" t="str">
        <f ca="1">IFERROR(BDP(MO.Ticker.Bloomberg&amp;" Equity","INTERVAL_AVG","MARKET_DATA_OVERRIDE=PX_LAST","START_DATE_OVERRIDE",TEXT(INDEX(MO_SNA_FPStartDate,0,COLUMN()),"YYYYMMDD"),"END_DATE_OVERRIDE",TEXT(INDEX(MO_Common_QEndDate,0,COLUMN()),"YYYYMMDD")),"N/A")</f>
        <v>N/A</v>
      </c>
      <c r="I888" s="209" t="str">
        <f ca="1">IFERROR(BDP(MO.Ticker.Bloomberg&amp;" Equity","INTERVAL_AVG","MARKET_DATA_OVERRIDE=PX_LAST","START_DATE_OVERRIDE",TEXT(INDEX(MO_SNA_FPStartDate,0,COLUMN()),"YYYYMMDD"),"END_DATE_OVERRIDE",TEXT(INDEX(MO_Common_QEndDate,0,COLUMN()),"YYYYMMDD")),"N/A")</f>
        <v>N/A</v>
      </c>
      <c r="J888" s="209" t="str">
        <f ca="1">IFERROR(BDP(MO.Ticker.Bloomberg&amp;" Equity","INTERVAL_AVG","MARKET_DATA_OVERRIDE=PX_LAST","START_DATE_OVERRIDE",TEXT(INDEX(MO_SNA_FPStartDate,0,COLUMN()),"YYYYMMDD"),"END_DATE_OVERRIDE",TEXT(INDEX(MO_Common_QEndDate,0,COLUMN()),"YYYYMMDD")),"N/A")</f>
        <v>N/A</v>
      </c>
      <c r="K888" s="209" t="str">
        <f ca="1">IFERROR(BDP(MO.Ticker.Bloomberg&amp;" Equity","INTERVAL_AVG","MARKET_DATA_OVERRIDE=PX_LAST","START_DATE_OVERRIDE",TEXT(INDEX(MO_SNA_FPStartDate,0,COLUMN()),"YYYYMMDD"),"END_DATE_OVERRIDE",TEXT(INDEX(MO_Common_QEndDate,0,COLUMN()),"YYYYMMDD")),"N/A")</f>
        <v>N/A</v>
      </c>
      <c r="L888" s="209" t="str">
        <f ca="1">IFERROR(BDP(MO.Ticker.Bloomberg&amp;" Equity","INTERVAL_AVG","MARKET_DATA_OVERRIDE=PX_LAST","START_DATE_OVERRIDE",TEXT(INDEX(MO_SNA_FPStartDate,0,COLUMN()),"YYYYMMDD"),"END_DATE_OVERRIDE",TEXT(INDEX(MO_Common_QEndDate,0,COLUMN()),"YYYYMMDD")),"N/A")</f>
        <v>N/A</v>
      </c>
      <c r="M888" s="209" t="str">
        <f ca="1">IFERROR(BDP(MO.Ticker.Bloomberg&amp;" Equity","INTERVAL_AVG","MARKET_DATA_OVERRIDE=PX_LAST","START_DATE_OVERRIDE",TEXT(INDEX(MO_SNA_FPStartDate,0,COLUMN()),"YYYYMMDD"),"END_DATE_OVERRIDE",TEXT(INDEX(MO_Common_QEndDate,0,COLUMN()),"YYYYMMDD")),"N/A")</f>
        <v>N/A</v>
      </c>
      <c r="N888" s="209" t="str">
        <f ca="1">IFERROR(BDP(MO.Ticker.Bloomberg&amp;" Equity","INTERVAL_AVG","MARKET_DATA_OVERRIDE=PX_LAST","START_DATE_OVERRIDE",TEXT(INDEX(MO_SNA_FPStartDate,0,COLUMN()),"YYYYMMDD"),"END_DATE_OVERRIDE",TEXT(INDEX(MO_Common_QEndDate,0,COLUMN()),"YYYYMMDD")),"N/A")</f>
        <v>N/A</v>
      </c>
      <c r="O888" s="209" t="str">
        <f ca="1">IFERROR(BDP(MO.Ticker.Bloomberg&amp;" Equity","INTERVAL_AVG","MARKET_DATA_OVERRIDE=PX_LAST","START_DATE_OVERRIDE",TEXT(INDEX(MO_SNA_FPStartDate,0,COLUMN()),"YYYYMMDD"),"END_DATE_OVERRIDE",TEXT(INDEX(MO_Common_QEndDate,0,COLUMN()),"YYYYMMDD")),"N/A")</f>
        <v>N/A</v>
      </c>
      <c r="P888" s="209" t="str">
        <f ca="1">IFERROR(BDP(MO.Ticker.Bloomberg&amp;" Equity","INTERVAL_AVG","MARKET_DATA_OVERRIDE=PX_LAST","START_DATE_OVERRIDE",TEXT(INDEX(MO_SNA_FPStartDate,0,COLUMN()),"YYYYMMDD"),"END_DATE_OVERRIDE",TEXT(INDEX(MO_Common_QEndDate,0,COLUMN()),"YYYYMMDD")),"N/A")</f>
        <v>N/A</v>
      </c>
      <c r="Q888" s="209" t="str">
        <f ca="1">IFERROR(BDP(MO.Ticker.Bloomberg&amp;" Equity","INTERVAL_AVG","MARKET_DATA_OVERRIDE=PX_LAST","START_DATE_OVERRIDE",TEXT(INDEX(MO_SNA_FPStartDate,0,COLUMN()),"YYYYMMDD"),"END_DATE_OVERRIDE",TEXT(INDEX(MO_Common_QEndDate,0,COLUMN()),"YYYYMMDD")),"N/A")</f>
        <v>N/A</v>
      </c>
      <c r="R888" s="209" t="str">
        <f ca="1">IFERROR(BDP(MO.Ticker.Bloomberg&amp;" Equity","INTERVAL_AVG","MARKET_DATA_OVERRIDE=PX_LAST","START_DATE_OVERRIDE",TEXT(INDEX(MO_SNA_FPStartDate,0,COLUMN()),"YYYYMMDD"),"END_DATE_OVERRIDE",TEXT(INDEX(MO_Common_QEndDate,0,COLUMN()),"YYYYMMDD")),"N/A")</f>
        <v>N/A</v>
      </c>
      <c r="S888" s="209" t="str">
        <f ca="1">IFERROR(BDP(MO.Ticker.Bloomberg&amp;" Equity","INTERVAL_AVG","MARKET_DATA_OVERRIDE=PX_LAST","START_DATE_OVERRIDE",TEXT(INDEX(MO_SNA_FPStartDate,0,COLUMN()),"YYYYMMDD"),"END_DATE_OVERRIDE",TEXT(INDEX(MO_Common_QEndDate,0,COLUMN()),"YYYYMMDD")),"N/A")</f>
        <v>N/A</v>
      </c>
      <c r="T888" s="209" t="str">
        <f ca="1">IFERROR(BDP(MO.Ticker.Bloomberg&amp;" Equity","INTERVAL_AVG","MARKET_DATA_OVERRIDE=PX_LAST","START_DATE_OVERRIDE",TEXT(INDEX(MO_SNA_FPStartDate,0,COLUMN()),"YYYYMMDD"),"END_DATE_OVERRIDE",TEXT(INDEX(MO_Common_QEndDate,0,COLUMN()),"YYYYMMDD")),"N/A")</f>
        <v>N/A</v>
      </c>
      <c r="U888" s="209" t="str">
        <f ca="1">IFERROR(BDP(MO.Ticker.Bloomberg&amp;" Equity","INTERVAL_AVG","MARKET_DATA_OVERRIDE=PX_LAST","START_DATE_OVERRIDE",TEXT(INDEX(MO_SNA_FPStartDate,0,COLUMN()),"YYYYMMDD"),"END_DATE_OVERRIDE",TEXT(INDEX(MO_Common_QEndDate,0,COLUMN()),"YYYYMMDD")),"N/A")</f>
        <v>N/A</v>
      </c>
      <c r="V888" s="209" t="str">
        <f ca="1">IFERROR(BDP(MO.Ticker.Bloomberg&amp;" Equity","INTERVAL_AVG","MARKET_DATA_OVERRIDE=PX_LAST","START_DATE_OVERRIDE",TEXT(INDEX(MO_SNA_FPStartDate,0,COLUMN()),"YYYYMMDD"),"END_DATE_OVERRIDE",TEXT(INDEX(MO_Common_QEndDate,0,COLUMN()),"YYYYMMDD")),"N/A")</f>
        <v>N/A</v>
      </c>
      <c r="W888" s="209" t="str">
        <f ca="1">IFERROR(BDP(MO.Ticker.Bloomberg&amp;" Equity","INTERVAL_AVG","MARKET_DATA_OVERRIDE=PX_LAST","START_DATE_OVERRIDE",TEXT(INDEX(MO_SNA_FPStartDate,0,COLUMN()),"YYYYMMDD"),"END_DATE_OVERRIDE",TEXT(INDEX(MO_Common_QEndDate,0,COLUMN()),"YYYYMMDD")),"N/A")</f>
        <v>N/A</v>
      </c>
      <c r="X888" s="209" t="str">
        <f ca="1">IFERROR(BDP(MO.Ticker.Bloomberg&amp;" Equity","INTERVAL_AVG","MARKET_DATA_OVERRIDE=PX_LAST","START_DATE_OVERRIDE",TEXT(INDEX(MO_SNA_FPStartDate,0,COLUMN()),"YYYYMMDD"),"END_DATE_OVERRIDE",TEXT(INDEX(MO_Common_QEndDate,0,COLUMN()),"YYYYMMDD")),"N/A")</f>
        <v>N/A</v>
      </c>
      <c r="Y888" s="209" t="str">
        <f ca="1">IFERROR(BDP(MO.Ticker.Bloomberg&amp;" Equity","INTERVAL_AVG","MARKET_DATA_OVERRIDE=PX_LAST","START_DATE_OVERRIDE",TEXT(INDEX(MO_SNA_FPStartDate,0,COLUMN()),"YYYYMMDD"),"END_DATE_OVERRIDE",TEXT(INDEX(MO_Common_QEndDate,0,COLUMN()),"YYYYMMDD")),"N/A")</f>
        <v>N/A</v>
      </c>
      <c r="Z888" s="209" t="str">
        <f ca="1">IFERROR(BDP(MO.Ticker.Bloomberg&amp;" Equity","INTERVAL_AVG","MARKET_DATA_OVERRIDE=PX_LAST","START_DATE_OVERRIDE",TEXT(INDEX(MO_SNA_FPStartDate,0,COLUMN()),"YYYYMMDD"),"END_DATE_OVERRIDE",TEXT(INDEX(MO_Common_QEndDate,0,COLUMN()),"YYYYMMDD")),"N/A")</f>
        <v>N/A</v>
      </c>
      <c r="AA888" s="209" t="str">
        <f ca="1">IFERROR(BDP(MO.Ticker.Bloomberg&amp;" Equity","INTERVAL_AVG","MARKET_DATA_OVERRIDE=PX_LAST","START_DATE_OVERRIDE",TEXT(INDEX(MO_SNA_FPStartDate,0,COLUMN()),"YYYYMMDD"),"END_DATE_OVERRIDE",TEXT(INDEX(MO_Common_QEndDate,0,COLUMN()),"YYYYMMDD")),"N/A")</f>
        <v>N/A</v>
      </c>
      <c r="AB888" s="209" t="str">
        <f ca="1">IFERROR(BDP(MO.Ticker.Bloomberg&amp;" Equity","INTERVAL_AVG","MARKET_DATA_OVERRIDE=PX_LAST","START_DATE_OVERRIDE",TEXT(INDEX(MO_SNA_FPStartDate,0,COLUMN()),"YYYYMMDD"),"END_DATE_OVERRIDE",TEXT(INDEX(MO_Common_QEndDate,0,COLUMN()),"YYYYMMDD")),"N/A")</f>
        <v>N/A</v>
      </c>
      <c r="AC888" s="209" t="str">
        <f ca="1">IFERROR(BDP(MO.Ticker.Bloomberg&amp;" Equity","INTERVAL_AVG","MARKET_DATA_OVERRIDE=PX_LAST","START_DATE_OVERRIDE",TEXT(INDEX(MO_SNA_FPStartDate,0,COLUMN()),"YYYYMMDD"),"END_DATE_OVERRIDE",TEXT(INDEX(MO_Common_QEndDate,0,COLUMN()),"YYYYMMDD")),"N/A")</f>
        <v>N/A</v>
      </c>
      <c r="AD888" s="209" t="str">
        <f ca="1">IFERROR(BDP(MO.Ticker.Bloomberg&amp;" Equity","INTERVAL_AVG","MARKET_DATA_OVERRIDE=PX_LAST","START_DATE_OVERRIDE",TEXT(INDEX(MO_SNA_FPStartDate,0,COLUMN()),"YYYYMMDD"),"END_DATE_OVERRIDE",TEXT(INDEX(MO_Common_QEndDate,0,COLUMN()),"YYYYMMDD")),"N/A")</f>
        <v>N/A</v>
      </c>
      <c r="AE888" s="209" t="str">
        <f ca="1">IFERROR(BDP(MO.Ticker.Bloomberg&amp;" Equity","INTERVAL_AVG","MARKET_DATA_OVERRIDE=PX_LAST","START_DATE_OVERRIDE",TEXT(INDEX(MO_SNA_FPStartDate,0,COLUMN()),"YYYYMMDD"),"END_DATE_OVERRIDE",TEXT(INDEX(MO_Common_QEndDate,0,COLUMN()),"YYYYMMDD")),"N/A")</f>
        <v>N/A</v>
      </c>
      <c r="AF888" s="209" t="str">
        <f ca="1">IFERROR(BDP(MO.Ticker.Bloomberg&amp;" Equity","INTERVAL_AVG","MARKET_DATA_OVERRIDE=PX_LAST","START_DATE_OVERRIDE",TEXT(INDEX(MO_SNA_FPStartDate,0,COLUMN()),"YYYYMMDD"),"END_DATE_OVERRIDE",TEXT(INDEX(MO_Common_QEndDate,0,COLUMN()),"YYYYMMDD")),"N/A")</f>
        <v>N/A</v>
      </c>
      <c r="AG888" s="209" t="str">
        <f ca="1">IFERROR(BDP(MO.Ticker.Bloomberg&amp;" Equity","INTERVAL_AVG","MARKET_DATA_OVERRIDE=PX_LAST","START_DATE_OVERRIDE",TEXT(INDEX(MO_SNA_FPStartDate,0,COLUMN()),"YYYYMMDD"),"END_DATE_OVERRIDE",TEXT(INDEX(MO_Common_QEndDate,0,COLUMN()),"YYYYMMDD")),"N/A")</f>
        <v>N/A</v>
      </c>
      <c r="AH888" s="209" t="str">
        <f ca="1">IFERROR(BDP(MO.Ticker.Bloomberg&amp;" Equity","INTERVAL_AVG","MARKET_DATA_OVERRIDE=PX_LAST","START_DATE_OVERRIDE",TEXT(INDEX(MO_SNA_FPStartDate,0,COLUMN()),"YYYYMMDD"),"END_DATE_OVERRIDE",TEXT(INDEX(MO_Common_QEndDate,0,COLUMN()),"YYYYMMDD")),"N/A")</f>
        <v>N/A</v>
      </c>
      <c r="AI888" s="209" t="str">
        <f ca="1">IFERROR(BDP(MO.Ticker.Bloomberg&amp;" Equity","INTERVAL_AVG","MARKET_DATA_OVERRIDE=PX_LAST","START_DATE_OVERRIDE",TEXT(INDEX(MO_SNA_FPStartDate,0,COLUMN()),"YYYYMMDD"),"END_DATE_OVERRIDE",TEXT(INDEX(MO_Common_QEndDate,0,COLUMN()),"YYYYMMDD")),"N/A")</f>
        <v>N/A</v>
      </c>
      <c r="AJ888" s="209" t="str">
        <f ca="1">IFERROR(BDP(MO.Ticker.Bloomberg&amp;" Equity","INTERVAL_AVG","MARKET_DATA_OVERRIDE=PX_LAST","START_DATE_OVERRIDE",TEXT(INDEX(MO_SNA_FPStartDate,0,COLUMN()),"YYYYMMDD"),"END_DATE_OVERRIDE",TEXT(INDEX(MO_Common_QEndDate,0,COLUMN()),"YYYYMMDD")),"N/A")</f>
        <v>N/A</v>
      </c>
      <c r="AK888" s="209" t="str">
        <f ca="1">IFERROR(BDP(MO.Ticker.Bloomberg&amp;" Equity","INTERVAL_AVG","MARKET_DATA_OVERRIDE=PX_LAST","START_DATE_OVERRIDE",TEXT(INDEX(MO_SNA_FPStartDate,0,COLUMN()),"YYYYMMDD"),"END_DATE_OVERRIDE",TEXT(INDEX(MO_Common_QEndDate,0,COLUMN()),"YYYYMMDD")),"N/A")</f>
        <v>N/A</v>
      </c>
      <c r="AL888" s="209" t="str">
        <f ca="1">IFERROR(BDP(MO.Ticker.Bloomberg&amp;" Equity","INTERVAL_AVG","MARKET_DATA_OVERRIDE=PX_LAST","START_DATE_OVERRIDE",TEXT(INDEX(MO_SNA_FPStartDate,0,COLUMN()),"YYYYMMDD"),"END_DATE_OVERRIDE",TEXT(INDEX(MO_Common_QEndDate,0,COLUMN()),"YYYYMMDD")),"N/A")</f>
        <v>N/A</v>
      </c>
      <c r="AM888" s="209" t="str">
        <f ca="1">IFERROR(BDP(MO.Ticker.Bloomberg&amp;" Equity","INTERVAL_AVG","MARKET_DATA_OVERRIDE=PX_LAST","START_DATE_OVERRIDE",TEXT(INDEX(MO_SNA_FPStartDate,0,COLUMN()),"YYYYMMDD"),"END_DATE_OVERRIDE",TEXT(INDEX(MO_Common_QEndDate,0,COLUMN()),"YYYYMMDD")),"N/A")</f>
        <v>N/A</v>
      </c>
      <c r="AN888" s="209" t="str">
        <f ca="1">IFERROR(BDP(MO.Ticker.Bloomberg&amp;" Equity","INTERVAL_AVG","MARKET_DATA_OVERRIDE=PX_LAST","START_DATE_OVERRIDE",TEXT(INDEX(MO_SNA_FPStartDate,0,COLUMN()),"YYYYMMDD"),"END_DATE_OVERRIDE",TEXT(INDEX(MO_Common_QEndDate,0,COLUMN()),"YYYYMMDD")),"N/A")</f>
        <v>N/A</v>
      </c>
      <c r="AO888" s="209" t="str">
        <f ca="1">IFERROR(BDP(MO.Ticker.Bloomberg&amp;" Equity","INTERVAL_AVG","MARKET_DATA_OVERRIDE=PX_LAST","START_DATE_OVERRIDE",TEXT(INDEX(MO_SNA_FPStartDate,0,COLUMN()),"YYYYMMDD"),"END_DATE_OVERRIDE",TEXT(INDEX(MO_Common_QEndDate,0,COLUMN()),"YYYYMMDD")),"N/A")</f>
        <v>N/A</v>
      </c>
      <c r="AP888" s="209" t="str">
        <f ca="1">IFERROR(BDP(MO.Ticker.Bloomberg&amp;" Equity","INTERVAL_AVG","MARKET_DATA_OVERRIDE=PX_LAST","START_DATE_OVERRIDE",TEXT(INDEX(MO_SNA_FPStartDate,0,COLUMN()),"YYYYMMDD"),"END_DATE_OVERRIDE",TEXT(INDEX(MO_Common_QEndDate,0,COLUMN()),"YYYYMMDD")),"N/A")</f>
        <v>N/A</v>
      </c>
      <c r="AQ888" s="209" t="str">
        <f ca="1">IFERROR(BDP(MO.Ticker.Bloomberg&amp;" Equity","INTERVAL_AVG","MARKET_DATA_OVERRIDE=PX_LAST","START_DATE_OVERRIDE",TEXT(INDEX(MO_SNA_FPStartDate,0,COLUMN()),"YYYYMMDD"),"END_DATE_OVERRIDE",TEXT(INDEX(MO_Common_QEndDate,0,COLUMN()),"YYYYMMDD")),"N/A")</f>
        <v>N/A</v>
      </c>
      <c r="AR888" s="209" t="str">
        <f ca="1">IFERROR(BDP(MO.Ticker.Bloomberg&amp;" Equity","INTERVAL_AVG","MARKET_DATA_OVERRIDE=PX_LAST","START_DATE_OVERRIDE",TEXT(INDEX(MO_SNA_FPStartDate,0,COLUMN()),"YYYYMMDD"),"END_DATE_OVERRIDE",TEXT(INDEX(MO_Common_QEndDate,0,COLUMN()),"YYYYMMDD")),"N/A")</f>
        <v>N/A</v>
      </c>
      <c r="AS888" s="209" t="str">
        <f ca="1">IFERROR(BDP(MO.Ticker.Bloomberg&amp;" Equity","INTERVAL_AVG","MARKET_DATA_OVERRIDE=PX_LAST","START_DATE_OVERRIDE",TEXT(INDEX(MO_SNA_FPStartDate,0,COLUMN()),"YYYYMMDD"),"END_DATE_OVERRIDE",TEXT(INDEX(MO_Common_QEndDate,0,COLUMN()),"YYYYMMDD")),"N/A")</f>
        <v>N/A</v>
      </c>
      <c r="AT888" s="209" t="str">
        <f ca="1">IFERROR(BDP(MO.Ticker.Bloomberg&amp;" Equity","INTERVAL_AVG","MARKET_DATA_OVERRIDE=PX_LAST","START_DATE_OVERRIDE",TEXT(INDEX(MO_SNA_FPStartDate,0,COLUMN()),"YYYYMMDD"),"END_DATE_OVERRIDE",TEXT(INDEX(MO_Common_QEndDate,0,COLUMN()),"YYYYMMDD")),"N/A")</f>
        <v>N/A</v>
      </c>
      <c r="AU888" s="209" t="str">
        <f ca="1">IFERROR(BDP(MO.Ticker.Bloomberg&amp;" Equity","INTERVAL_AVG","MARKET_DATA_OVERRIDE=PX_LAST","START_DATE_OVERRIDE",TEXT(INDEX(MO_SNA_FPStartDate,0,COLUMN()),"YYYYMMDD"),"END_DATE_OVERRIDE",TEXT(INDEX(MO_Common_QEndDate,0,COLUMN()),"YYYYMMDD")),"N/A")</f>
        <v>N/A</v>
      </c>
      <c r="AV888" s="209" t="str">
        <f ca="1">IFERROR(BDP(MO.Ticker.Bloomberg&amp;" Equity","INTERVAL_AVG","MARKET_DATA_OVERRIDE=PX_LAST","START_DATE_OVERRIDE",TEXT(INDEX(MO_SNA_FPStartDate,0,COLUMN()),"YYYYMMDD"),"END_DATE_OVERRIDE",TEXT(INDEX(MO_Common_QEndDate,0,COLUMN()),"YYYYMMDD")),"N/A")</f>
        <v>N/A</v>
      </c>
      <c r="AW888" s="209" t="str">
        <f ca="1">IFERROR(BDP(MO.Ticker.Bloomberg&amp;" Equity","INTERVAL_AVG","MARKET_DATA_OVERRIDE=PX_LAST","START_DATE_OVERRIDE",TEXT(INDEX(MO_SNA_FPStartDate,0,COLUMN()),"YYYYMMDD"),"END_DATE_OVERRIDE",TEXT(INDEX(MO_Common_QEndDate,0,COLUMN()),"YYYYMMDD")),"N/A")</f>
        <v>N/A</v>
      </c>
      <c r="AX888" s="209" t="str">
        <f ca="1">IFERROR(BDP(MO.Ticker.Bloomberg&amp;" Equity","INTERVAL_AVG","MARKET_DATA_OVERRIDE=PX_LAST","START_DATE_OVERRIDE",TEXT(INDEX(MO_SNA_FPStartDate,0,COLUMN()),"YYYYMMDD"),"END_DATE_OVERRIDE",TEXT(INDEX(MO_Common_QEndDate,0,COLUMN()),"YYYYMMDD")),"N/A")</f>
        <v>N/A</v>
      </c>
      <c r="AY888" s="209" t="str">
        <f ca="1">IFERROR(BDP(MO.Ticker.Bloomberg&amp;" Equity","INTERVAL_AVG","MARKET_DATA_OVERRIDE=PX_LAST","START_DATE_OVERRIDE",TEXT(INDEX(MO_SNA_FPStartDate,0,COLUMN()),"YYYYMMDD"),"END_DATE_OVERRIDE",TEXT(INDEX(MO_Common_QEndDate,0,COLUMN()),"YYYYMMDD")),"N/A")</f>
        <v>N/A</v>
      </c>
      <c r="AZ888" s="209" t="str">
        <f ca="1">IFERROR(BDP(MO.Ticker.Bloomberg&amp;" Equity","INTERVAL_AVG","MARKET_DATA_OVERRIDE=PX_LAST","START_DATE_OVERRIDE",TEXT(INDEX(MO_SNA_FPStartDate,0,COLUMN()),"YYYYMMDD"),"END_DATE_OVERRIDE",TEXT(INDEX(MO_Common_QEndDate,0,COLUMN()),"YYYYMMDD")),"N/A")</f>
        <v>N/A</v>
      </c>
      <c r="BA888" s="209" t="str">
        <f ca="1">IFERROR(BDP(MO.Ticker.Bloomberg&amp;" Equity","INTERVAL_AVG","MARKET_DATA_OVERRIDE=PX_LAST","START_DATE_OVERRIDE",TEXT(INDEX(MO_SNA_FPStartDate,0,COLUMN()),"YYYYMMDD"),"END_DATE_OVERRIDE",TEXT(INDEX(MO_Common_QEndDate,0,COLUMN()),"YYYYMMDD")),"N/A")</f>
        <v>N/A</v>
      </c>
      <c r="BB888" s="209" t="str">
        <f ca="1">IFERROR(BDP(MO.Ticker.Bloomberg&amp;" Equity","INTERVAL_AVG","MARKET_DATA_OVERRIDE=PX_LAST","START_DATE_OVERRIDE",TEXT(INDEX(MO_SNA_FPStartDate,0,COLUMN()),"YYYYMMDD"),"END_DATE_OVERRIDE",TEXT(INDEX(MO_Common_QEndDate,0,COLUMN()),"YYYYMMDD")),"N/A")</f>
        <v>N/A</v>
      </c>
      <c r="BC888" s="209" t="str">
        <f ca="1">IFERROR(BDP(MO.Ticker.Bloomberg&amp;" Equity","INTERVAL_AVG","MARKET_DATA_OVERRIDE=PX_LAST","START_DATE_OVERRIDE",TEXT(INDEX(MO_SNA_FPStartDate,0,COLUMN()),"YYYYMMDD"),"END_DATE_OVERRIDE",TEXT(INDEX(MO_Common_QEndDate,0,COLUMN()),"YYYYMMDD")),"N/A")</f>
        <v>N/A</v>
      </c>
      <c r="BD888" s="209" t="str">
        <f ca="1">IFERROR(BDP(MO.Ticker.Bloomberg&amp;" Equity","INTERVAL_AVG","MARKET_DATA_OVERRIDE=PX_LAST","START_DATE_OVERRIDE",TEXT(INDEX(MO_SNA_FPStartDate,0,COLUMN()),"YYYYMMDD"),"END_DATE_OVERRIDE",TEXT(INDEX(MO_Common_QEndDate,0,COLUMN()),"YYYYMMDD")),"N/A")</f>
        <v>N/A</v>
      </c>
      <c r="BE888" s="209" t="str">
        <f ca="1">IFERROR(BDP(MO.Ticker.Bloomberg&amp;" Equity","INTERVAL_AVG","MARKET_DATA_OVERRIDE=PX_LAST","START_DATE_OVERRIDE",TEXT(INDEX(MO_SNA_FPStartDate,0,COLUMN()),"YYYYMMDD"),"END_DATE_OVERRIDE",TEXT(INDEX(MO_Common_QEndDate,0,COLUMN()),"YYYYMMDD")),"N/A")</f>
        <v>N/A</v>
      </c>
      <c r="BF888" s="209" t="str">
        <f ca="1">IFERROR(BDP(MO.Ticker.Bloomberg&amp;" Equity","INTERVAL_AVG","MARKET_DATA_OVERRIDE=PX_LAST","START_DATE_OVERRIDE",TEXT(INDEX(MO_SNA_FPStartDate,0,COLUMN()),"YYYYMMDD"),"END_DATE_OVERRIDE",TEXT(INDEX(MO_Common_QEndDate,0,COLUMN()),"YYYYMMDD")),"N/A")</f>
        <v>N/A</v>
      </c>
      <c r="BG888" s="209" t="str">
        <f ca="1">IFERROR(BDP(MO.Ticker.Bloomberg&amp;" Equity","INTERVAL_AVG","MARKET_DATA_OVERRIDE=PX_LAST","START_DATE_OVERRIDE",TEXT(INDEX(MO_SNA_FPStartDate,0,COLUMN()),"YYYYMMDD"),"END_DATE_OVERRIDE",TEXT(INDEX(MO_Common_QEndDate,0,COLUMN()),"YYYYMMDD")),"N/A")</f>
        <v>N/A</v>
      </c>
      <c r="BH888" s="209" t="str">
        <f ca="1">IFERROR(BDP(MO.Ticker.Bloomberg&amp;" Equity","INTERVAL_AVG","MARKET_DATA_OVERRIDE=PX_LAST","START_DATE_OVERRIDE",TEXT(INDEX(MO_SNA_FPStartDate,0,COLUMN()),"YYYYMMDD"),"END_DATE_OVERRIDE",TEXT(INDEX(MO_Common_QEndDate,0,COLUMN()),"YYYYMMDD")),"N/A")</f>
        <v>N/A</v>
      </c>
      <c r="BI888" s="209" t="str">
        <f ca="1">IFERROR(BDP(MO.Ticker.Bloomberg&amp;" Equity","INTERVAL_AVG","MARKET_DATA_OVERRIDE=PX_LAST","START_DATE_OVERRIDE",TEXT(INDEX(MO_SNA_FPStartDate,0,COLUMN()),"YYYYMMDD"),"END_DATE_OVERRIDE",TEXT(INDEX(MO_Common_QEndDate,0,COLUMN()),"YYYYMMDD")),"N/A")</f>
        <v>N/A</v>
      </c>
      <c r="BJ888" s="209" t="str">
        <f ca="1">IFERROR(BDP(MO.Ticker.Bloomberg&amp;" Equity","INTERVAL_AVG","MARKET_DATA_OVERRIDE=PX_LAST","START_DATE_OVERRIDE",TEXT(INDEX(MO_SNA_FPStartDate,0,COLUMN()),"YYYYMMDD"),"END_DATE_OVERRIDE",TEXT(INDEX(MO_Common_QEndDate,0,COLUMN()),"YYYYMMDD")),"N/A")</f>
        <v>N/A</v>
      </c>
      <c r="BK888" s="209" t="str">
        <f ca="1">IFERROR(BDP(MO.Ticker.Bloomberg&amp;" Equity","INTERVAL_AVG","MARKET_DATA_OVERRIDE=PX_LAST","START_DATE_OVERRIDE",TEXT(INDEX(MO_SNA_FPStartDate,0,COLUMN()),"YYYYMMDD"),"END_DATE_OVERRIDE",TEXT(INDEX(MO_Common_QEndDate,0,COLUMN()),"YYYYMMDD")),"N/A")</f>
        <v>N/A</v>
      </c>
      <c r="BL888" s="209" t="str">
        <f ca="1">IFERROR(BDP(MO.Ticker.Bloomberg&amp;" Equity","INTERVAL_AVG","MARKET_DATA_OVERRIDE=PX_LAST","START_DATE_OVERRIDE",TEXT(INDEX(MO_SNA_FPStartDate,0,COLUMN()),"YYYYMMDD"),"END_DATE_OVERRIDE",TEXT(INDEX(MO_Common_QEndDate,0,COLUMN()),"YYYYMMDD")),"N/A")</f>
        <v>N/A</v>
      </c>
      <c r="BM888" s="209" t="str">
        <f ca="1">IFERROR(BDP(MO.Ticker.Bloomberg&amp;" Equity","INTERVAL_AVG","MARKET_DATA_OVERRIDE=PX_LAST","START_DATE_OVERRIDE",TEXT(INDEX(MO_SNA_FPStartDate,0,COLUMN()),"YYYYMMDD"),"END_DATE_OVERRIDE",TEXT(INDEX(MO_Common_QEndDate,0,COLUMN()),"YYYYMMDD")),"N/A")</f>
        <v>N/A</v>
      </c>
      <c r="BN888" s="209" t="str">
        <f ca="1">IFERROR(BDP(MO.Ticker.Bloomberg&amp;" Equity","INTERVAL_AVG","MARKET_DATA_OVERRIDE=PX_LAST","START_DATE_OVERRIDE",TEXT(INDEX(MO_SNA_FPStartDate,0,COLUMN()),"YYYYMMDD"),"END_DATE_OVERRIDE",TEXT(INDEX(MO_Common_QEndDate,0,COLUMN()),"YYYYMMDD")),"N/A")</f>
        <v>N/A</v>
      </c>
      <c r="BO888" s="209" t="str">
        <f ca="1">IFERROR(BDP(MO.Ticker.Bloomberg&amp;" Equity","INTERVAL_AVG","MARKET_DATA_OVERRIDE=PX_LAST","START_DATE_OVERRIDE",TEXT(INDEX(MO_SNA_FPStartDate,0,COLUMN()),"YYYYMMDD"),"END_DATE_OVERRIDE",TEXT(INDEX(MO_Common_QEndDate,0,COLUMN()),"YYYYMMDD")),"N/A")</f>
        <v>N/A</v>
      </c>
      <c r="BP888" s="209" t="str">
        <f ca="1">IFERROR(BDP(MO.Ticker.Bloomberg&amp;" Equity","INTERVAL_AVG","MARKET_DATA_OVERRIDE=PX_LAST","START_DATE_OVERRIDE",TEXT(INDEX(MO_SNA_FPStartDate,0,COLUMN()),"YYYYMMDD"),"END_DATE_OVERRIDE",TEXT(INDEX(MO_Common_QEndDate,0,COLUMN()),"YYYYMMDD")),"N/A")</f>
        <v>N/A</v>
      </c>
      <c r="BQ888" s="209" t="str">
        <f ca="1">IFERROR(BDP(MO.Ticker.Bloomberg&amp;" Equity","INTERVAL_AVG","MARKET_DATA_OVERRIDE=PX_LAST","START_DATE_OVERRIDE",TEXT(INDEX(MO_SNA_FPStartDate,0,COLUMN()),"YYYYMMDD"),"END_DATE_OVERRIDE",TEXT(INDEX(MO_Common_QEndDate,0,COLUMN()),"YYYYMMDD")),"N/A")</f>
        <v>N/A</v>
      </c>
      <c r="BR888" s="209" t="str">
        <f ca="1">IFERROR(BDP(MO.Ticker.Bloomberg&amp;" Equity","INTERVAL_AVG","MARKET_DATA_OVERRIDE=PX_LAST","START_DATE_OVERRIDE",TEXT(INDEX(MO_SNA_FPStartDate,0,COLUMN()),"YYYYMMDD"),"END_DATE_OVERRIDE",TEXT(INDEX(MO_Common_QEndDate,0,COLUMN()),"YYYYMMDD")),"N/A")</f>
        <v>N/A</v>
      </c>
      <c r="BS888" s="209" t="str">
        <f ca="1">IFERROR(BDP(MO.Ticker.Bloomberg&amp;" Equity","INTERVAL_AVG","MARKET_DATA_OVERRIDE=PX_LAST","START_DATE_OVERRIDE",TEXT(INDEX(MO_SNA_FPStartDate,0,COLUMN()),"YYYYMMDD"),"END_DATE_OVERRIDE",TEXT(INDEX(MO_Common_QEndDate,0,COLUMN()),"YYYYMMDD")),"N/A")</f>
        <v>N/A</v>
      </c>
      <c r="BT888" s="387" t="str">
        <f ca="1">IFERROR(BDP(MO.Ticker.Bloomberg&amp;" Equity","INTERVAL_AVG","MARKET_DATA_OVERRIDE=PX_LAST","START_DATE_OVERRIDE",TEXT(INDEX(MO_SNA_FPStartDate,0,COLUMN()),"YYYYMMDD"),"END_DATE_OVERRIDE",TEXT(INDEX(MO_Common_QEndDate,0,COLUMN()),"YYYYMMDD")),"N/A")</f>
        <v>N/A</v>
      </c>
      <c r="BU888" s="209" t="str">
        <f ca="1">IFERROR(BDP(MO.Ticker.Bloomberg&amp;" Equity","INTERVAL_AVG","MARKET_DATA_OVERRIDE=PX_LAST","START_DATE_OVERRIDE",TEXT(INDEX(MO_SNA_FPStartDate,0,COLUMN()),"YYYYMMDD"),"END_DATE_OVERRIDE",TEXT(INDEX(MO_Common_QEndDate,0,COLUMN()),"YYYYMMDD")),"N/A")</f>
        <v>N/A</v>
      </c>
      <c r="BV888" s="209" t="str">
        <f ca="1">IFERROR(BDP(MO.Ticker.Bloomberg&amp;" Equity","INTERVAL_AVG","MARKET_DATA_OVERRIDE=PX_LAST","START_DATE_OVERRIDE",TEXT(INDEX(MO_SNA_FPStartDate,0,COLUMN()),"YYYYMMDD"),"END_DATE_OVERRIDE",TEXT(INDEX(MO_Common_QEndDate,0,COLUMN()),"YYYYMMDD")),"N/A")</f>
        <v>N/A</v>
      </c>
      <c r="BW888" s="209" t="str">
        <f ca="1">IFERROR(BDP(MO.Ticker.Bloomberg&amp;" Equity","INTERVAL_AVG","MARKET_DATA_OVERRIDE=PX_LAST","START_DATE_OVERRIDE",TEXT(INDEX(MO_SNA_FPStartDate,0,COLUMN()),"YYYYMMDD"),"END_DATE_OVERRIDE",TEXT(INDEX(MO_Common_QEndDate,0,COLUMN()),"YYYYMMDD")),"N/A")</f>
        <v>N/A</v>
      </c>
      <c r="BX888" s="209" t="str">
        <f ca="1">IFERROR(BDP(MO.Ticker.Bloomberg&amp;" Equity","INTERVAL_AVG","MARKET_DATA_OVERRIDE=PX_LAST","START_DATE_OVERRIDE",TEXT(INDEX(MO_SNA_FPStartDate,0,COLUMN()),"YYYYMMDD"),"END_DATE_OVERRIDE",TEXT(INDEX(MO_Common_QEndDate,0,COLUMN()),"YYYYMMDD")),"N/A")</f>
        <v>N/A</v>
      </c>
      <c r="BY888" s="209" t="str">
        <f ca="1">IFERROR(BDP(MO.Ticker.Bloomberg&amp;" Equity","INTERVAL_AVG","MARKET_DATA_OVERRIDE=PX_LAST","START_DATE_OVERRIDE",TEXT(INDEX(MO_SNA_FPStartDate,0,COLUMN()),"YYYYMMDD"),"END_DATE_OVERRIDE",TEXT(INDEX(MO_Common_QEndDate,0,COLUMN()),"YYYYMMDD")),"N/A")</f>
        <v>N/A</v>
      </c>
      <c r="BZ888" s="209" t="str">
        <f ca="1">IFERROR(BDP(MO.Ticker.Bloomberg&amp;" Equity","INTERVAL_AVG","MARKET_DATA_OVERRIDE=PX_LAST","START_DATE_OVERRIDE",TEXT(INDEX(MO_SNA_FPStartDate,0,COLUMN()),"YYYYMMDD"),"END_DATE_OVERRIDE",TEXT(INDEX(MO_Common_QEndDate,0,COLUMN()),"YYYYMMDD")),"N/A")</f>
        <v>N/A</v>
      </c>
      <c r="CA888" s="209" t="str">
        <f ca="1">IFERROR(BDP(MO.Ticker.Bloomberg&amp;" Equity","INTERVAL_AVG","MARKET_DATA_OVERRIDE=PX_LAST","START_DATE_OVERRIDE",TEXT(INDEX(MO_SNA_FPStartDate,0,COLUMN()),"YYYYMMDD"),"END_DATE_OVERRIDE",TEXT(INDEX(MO_Common_QEndDate,0,COLUMN()),"YYYYMMDD")),"N/A")</f>
        <v>N/A</v>
      </c>
      <c r="CB888" s="209" t="str">
        <f ca="1">IFERROR(BDP(MO.Ticker.Bloomberg&amp;" Equity","INTERVAL_AVG","MARKET_DATA_OVERRIDE=PX_LAST","START_DATE_OVERRIDE",TEXT(INDEX(MO_SNA_FPStartDate,0,COLUMN()),"YYYYMMDD"),"END_DATE_OVERRIDE",TEXT(INDEX(MO_Common_QEndDate,0,COLUMN()),"YYYYMMDD")),"N/A")</f>
        <v>N/A</v>
      </c>
      <c r="CC888" s="209" t="str">
        <f ca="1">IFERROR(BDP(MO.Ticker.Bloomberg&amp;" Equity","INTERVAL_AVG","MARKET_DATA_OVERRIDE=PX_LAST","START_DATE_OVERRIDE",TEXT(INDEX(MO_SNA_FPStartDate,0,COLUMN()),"YYYYMMDD"),"END_DATE_OVERRIDE",TEXT(INDEX(MO_Common_QEndDate,0,COLUMN()),"YYYYMMDD")),"N/A")</f>
        <v>N/A</v>
      </c>
      <c r="CD888" s="209" t="str">
        <f ca="1">IFERROR(BDP(MO.Ticker.Bloomberg&amp;" Equity","INTERVAL_AVG","MARKET_DATA_OVERRIDE=PX_LAST","START_DATE_OVERRIDE",TEXT(INDEX(MO_SNA_FPStartDate,0,COLUMN()),"YYYYMMDD"),"END_DATE_OVERRIDE",TEXT(INDEX(MO_Common_QEndDate,0,COLUMN()),"YYYYMMDD")),"N/A")</f>
        <v>N/A</v>
      </c>
      <c r="CE888" s="209" t="str">
        <f ca="1">IFERROR(BDP(MO.Ticker.Bloomberg&amp;" Equity","INTERVAL_AVG","MARKET_DATA_OVERRIDE=PX_LAST","START_DATE_OVERRIDE",TEXT(INDEX(MO_SNA_FPStartDate,0,COLUMN()),"YYYYMMDD"),"END_DATE_OVERRIDE",TEXT(INDEX(MO_Common_QEndDate,0,COLUMN()),"YYYYMMDD")),"N/A")</f>
        <v>N/A</v>
      </c>
      <c r="CF888" s="210" t="str">
        <f ca="1">IFERROR(BDP(MO.Ticker.Bloomberg&amp;" Equity","INTERVAL_AVG","MARKET_DATA_OVERRIDE=PX_LAST","START_DATE_OVERRIDE",TEXT(INDEX(MO_SNA_FPStartDate,0,COLUMN()),"YYYYMMDD"),"END_DATE_OVERRIDE",TEXT(INDEX(MO_Common_QEndDate,0,COLUMN()),"YYYYMMDD")),"N/A")</f>
        <v>N/A</v>
      </c>
      <c r="CG888" s="260"/>
    </row>
    <row r="889" spans="1:85" s="445" customFormat="1" hidden="1" outlineLevel="1" x14ac:dyDescent="0.3">
      <c r="A889" s="211" t="s">
        <v>374</v>
      </c>
      <c r="B889" s="209"/>
      <c r="C889" s="288">
        <f>IFERROR(_xll.ciqfunctions.udf.CIQAVG(MO.Ticker.CapIQ,"IQ_LASTSALEPRICE",INDEX(MO_SNA_FPStartDate,0,COLUMN()),INDEX(MO_Common_QEndDate,0,COLUMN())),"N/A")</f>
        <v>70.175479999999993</v>
      </c>
      <c r="D889" s="288">
        <f>IFERROR(_xll.ciqfunctions.udf.CIQAVG(MO.Ticker.CapIQ,"IQ_LASTSALEPRICE",INDEX(MO_SNA_FPStartDate,0,COLUMN()),INDEX(MO_Common_QEndDate,0,COLUMN())),"N/A")</f>
        <v>78.138059999999996</v>
      </c>
      <c r="E889" s="209">
        <f>IFERROR(_xll.ciqfunctions.udf.CIQAVG(MO.Ticker.CapIQ,"IQ_LASTSALEPRICE",INDEX(MO_SNA_FPStartDate,0,COLUMN()),INDEX(MO_Common_QEndDate,0,COLUMN())),"N/A")</f>
        <v>100.85205999999999</v>
      </c>
      <c r="F889" s="209">
        <f>IFERROR(_xll.ciqfunctions.udf.CIQAVG(MO.Ticker.CapIQ,"IQ_LASTSALEPRICE",INDEX(MO_SNA_FPStartDate,0,COLUMN()),INDEX(MO_Common_QEndDate,0,COLUMN())),"N/A")</f>
        <v>107.55211</v>
      </c>
      <c r="G889" s="209">
        <f>IFERROR(_xll.ciqfunctions.udf.CIQAVG(MO.Ticker.CapIQ,"IQ_LASTSALEPRICE",INDEX(MO_SNA_FPStartDate,0,COLUMN()),INDEX(MO_Common_QEndDate,0,COLUMN())),"N/A")</f>
        <v>115.99033</v>
      </c>
      <c r="H889" s="209">
        <f>IFERROR(_xll.ciqfunctions.udf.CIQAVG(MO.Ticker.CapIQ,"IQ_LASTSALEPRICE",INDEX(MO_SNA_FPStartDate,0,COLUMN()),INDEX(MO_Common_QEndDate,0,COLUMN())),"N/A")</f>
        <v>120.86313</v>
      </c>
      <c r="I889" s="209">
        <f>IFERROR(_xll.ciqfunctions.udf.CIQAVG(MO.Ticker.CapIQ,"IQ_LASTSALEPRICE",INDEX(MO_SNA_FPStartDate,0,COLUMN()),INDEX(MO_Common_QEndDate,0,COLUMN())),"N/A")</f>
        <v>122.91437999999999</v>
      </c>
      <c r="J889" s="209">
        <f>IFERROR(_xll.ciqfunctions.udf.CIQAVG(MO.Ticker.CapIQ,"IQ_LASTSALEPRICE",INDEX(MO_SNA_FPStartDate,0,COLUMN()),INDEX(MO_Common_QEndDate,0,COLUMN())),"N/A")</f>
        <v>120.87376999999999</v>
      </c>
      <c r="K889" s="209">
        <f>IFERROR(_xll.ciqfunctions.udf.CIQAVG(MO.Ticker.CapIQ,"IQ_LASTSALEPRICE",INDEX(MO_SNA_FPStartDate,0,COLUMN()),INDEX(MO_Common_QEndDate,0,COLUMN())),"N/A")</f>
        <v>120.22659</v>
      </c>
      <c r="L889" s="209">
        <f>IFERROR(_xll.ciqfunctions.udf.CIQAVG(MO.Ticker.CapIQ,"IQ_LASTSALEPRICE",INDEX(MO_SNA_FPStartDate,0,COLUMN()),INDEX(MO_Common_QEndDate,0,COLUMN())),"N/A")</f>
        <v>116.29344</v>
      </c>
      <c r="M889" s="209">
        <f>IFERROR(_xll.ciqfunctions.udf.CIQAVG(MO.Ticker.CapIQ,"IQ_LASTSALEPRICE",INDEX(MO_SNA_FPStartDate,0,COLUMN()),INDEX(MO_Common_QEndDate,0,COLUMN())),"N/A")</f>
        <v>124.41095</v>
      </c>
      <c r="N889" s="209">
        <f>IFERROR(_xll.ciqfunctions.udf.CIQAVG(MO.Ticker.CapIQ,"IQ_LASTSALEPRICE",INDEX(MO_SNA_FPStartDate,0,COLUMN()),INDEX(MO_Common_QEndDate,0,COLUMN())),"N/A")</f>
        <v>127.60359</v>
      </c>
      <c r="O889" s="209">
        <f>IFERROR(_xll.ciqfunctions.udf.CIQAVG(MO.Ticker.CapIQ,"IQ_LASTSALEPRICE",INDEX(MO_SNA_FPStartDate,0,COLUMN()),INDEX(MO_Common_QEndDate,0,COLUMN())),"N/A")</f>
        <v>113.60969</v>
      </c>
      <c r="P889" s="209">
        <f>IFERROR(_xll.ciqfunctions.udf.CIQAVG(MO.Ticker.CapIQ,"IQ_LASTSALEPRICE",INDEX(MO_SNA_FPStartDate,0,COLUMN()),INDEX(MO_Common_QEndDate,0,COLUMN())),"N/A")</f>
        <v>120.51365</v>
      </c>
      <c r="Q889" s="209">
        <f>IFERROR(_xll.ciqfunctions.udf.CIQAVG(MO.Ticker.CapIQ,"IQ_LASTSALEPRICE",INDEX(MO_SNA_FPStartDate,0,COLUMN()),INDEX(MO_Common_QEndDate,0,COLUMN())),"N/A")</f>
        <v>106.71705</v>
      </c>
      <c r="R889" s="209">
        <f>IFERROR(_xll.ciqfunctions.udf.CIQAVG(MO.Ticker.CapIQ,"IQ_LASTSALEPRICE",INDEX(MO_SNA_FPStartDate,0,COLUMN()),INDEX(MO_Common_QEndDate,0,COLUMN())),"N/A")</f>
        <v>105.00302000000001</v>
      </c>
      <c r="S889" s="209">
        <f>IFERROR(_xll.ciqfunctions.udf.CIQAVG(MO.Ticker.CapIQ,"IQ_LASTSALEPRICE",INDEX(MO_SNA_FPStartDate,0,COLUMN()),INDEX(MO_Common_QEndDate,0,COLUMN())),"N/A")</f>
        <v>84.177499999999995</v>
      </c>
      <c r="T889" s="209">
        <f>IFERROR(_xll.ciqfunctions.udf.CIQAVG(MO.Ticker.CapIQ,"IQ_LASTSALEPRICE",INDEX(MO_SNA_FPStartDate,0,COLUMN()),INDEX(MO_Common_QEndDate,0,COLUMN())),"N/A")</f>
        <v>90.17313</v>
      </c>
      <c r="U889" s="209">
        <f>IFERROR(_xll.ciqfunctions.udf.CIQAVG(MO.Ticker.CapIQ,"IQ_LASTSALEPRICE",INDEX(MO_SNA_FPStartDate,0,COLUMN()),INDEX(MO_Common_QEndDate,0,COLUMN())),"N/A")</f>
        <v>96.362579999999994</v>
      </c>
      <c r="V889" s="209">
        <f>IFERROR(_xll.ciqfunctions.udf.CIQAVG(MO.Ticker.CapIQ,"IQ_LASTSALEPRICE",INDEX(MO_SNA_FPStartDate,0,COLUMN()),INDEX(MO_Common_QEndDate,0,COLUMN())),"N/A")</f>
        <v>87.46705</v>
      </c>
      <c r="W889" s="209">
        <f>IFERROR(_xll.ciqfunctions.udf.CIQAVG(MO.Ticker.CapIQ,"IQ_LASTSALEPRICE",INDEX(MO_SNA_FPStartDate,0,COLUMN()),INDEX(MO_Common_QEndDate,0,COLUMN())),"N/A")</f>
        <v>100.58109</v>
      </c>
      <c r="X889" s="209">
        <f>IFERROR(_xll.ciqfunctions.udf.CIQAVG(MO.Ticker.CapIQ,"IQ_LASTSALEPRICE",INDEX(MO_SNA_FPStartDate,0,COLUMN()),INDEX(MO_Common_QEndDate,0,COLUMN())),"N/A")</f>
        <v>102.10844</v>
      </c>
      <c r="Y889" s="209">
        <f>IFERROR(_xll.ciqfunctions.udf.CIQAVG(MO.Ticker.CapIQ,"IQ_LASTSALEPRICE",INDEX(MO_SNA_FPStartDate,0,COLUMN()),INDEX(MO_Common_QEndDate,0,COLUMN())),"N/A")</f>
        <v>108.89746</v>
      </c>
      <c r="Z889" s="209">
        <f>IFERROR(_xll.ciqfunctions.udf.CIQAVG(MO.Ticker.CapIQ,"IQ_LASTSALEPRICE",INDEX(MO_SNA_FPStartDate,0,COLUMN()),INDEX(MO_Common_QEndDate,0,COLUMN())),"N/A")</f>
        <v>99.873649999999998</v>
      </c>
      <c r="AA889" s="209">
        <f>IFERROR(_xll.ciqfunctions.udf.CIQAVG(MO.Ticker.CapIQ,"IQ_LASTSALEPRICE",INDEX(MO_SNA_FPStartDate,0,COLUMN()),INDEX(MO_Common_QEndDate,0,COLUMN())),"N/A")</f>
        <v>112.16645</v>
      </c>
      <c r="AB889" s="209">
        <f>IFERROR(_xll.ciqfunctions.udf.CIQAVG(MO.Ticker.CapIQ,"IQ_LASTSALEPRICE",INDEX(MO_SNA_FPStartDate,0,COLUMN()),INDEX(MO_Common_QEndDate,0,COLUMN())),"N/A")</f>
        <v>105.93904999999999</v>
      </c>
      <c r="AC889" s="209">
        <f>IFERROR(_xll.ciqfunctions.udf.CIQAVG(MO.Ticker.CapIQ,"IQ_LASTSALEPRICE",INDEX(MO_SNA_FPStartDate,0,COLUMN()),INDEX(MO_Common_QEndDate,0,COLUMN())),"N/A")</f>
        <v>109.15683</v>
      </c>
      <c r="AD889" s="209">
        <f>IFERROR(_xll.ciqfunctions.udf.CIQAVG(MO.Ticker.CapIQ,"IQ_LASTSALEPRICE",INDEX(MO_SNA_FPStartDate,0,COLUMN()),INDEX(MO_Common_QEndDate,0,COLUMN())),"N/A")</f>
        <v>118.57921</v>
      </c>
      <c r="AE889" s="209">
        <f>IFERROR(_xll.ciqfunctions.udf.CIQAVG(MO.Ticker.CapIQ,"IQ_LASTSALEPRICE",INDEX(MO_SNA_FPStartDate,0,COLUMN()),INDEX(MO_Common_QEndDate,0,COLUMN())),"N/A")</f>
        <v>111.45757</v>
      </c>
      <c r="AF889" s="209">
        <f>IFERROR(_xll.ciqfunctions.udf.CIQAVG(MO.Ticker.CapIQ,"IQ_LASTSALEPRICE",INDEX(MO_SNA_FPStartDate,0,COLUMN()),INDEX(MO_Common_QEndDate,0,COLUMN())),"N/A")</f>
        <v>119.54425999999999</v>
      </c>
      <c r="AG889" s="209">
        <f>IFERROR(_xll.ciqfunctions.udf.CIQAVG(MO.Ticker.CapIQ,"IQ_LASTSALEPRICE",INDEX(MO_SNA_FPStartDate,0,COLUMN()),INDEX(MO_Common_QEndDate,0,COLUMN())),"N/A")</f>
        <v>124.13422</v>
      </c>
      <c r="AH889" s="209">
        <f>IFERROR(_xll.ciqfunctions.udf.CIQAVG(MO.Ticker.CapIQ,"IQ_LASTSALEPRICE",INDEX(MO_SNA_FPStartDate,0,COLUMN()),INDEX(MO_Common_QEndDate,0,COLUMN())),"N/A")</f>
        <v>121.32079</v>
      </c>
      <c r="AI889" s="209">
        <f>IFERROR(_xll.ciqfunctions.udf.CIQAVG(MO.Ticker.CapIQ,"IQ_LASTSALEPRICE",INDEX(MO_SNA_FPStartDate,0,COLUMN()),INDEX(MO_Common_QEndDate,0,COLUMN())),"N/A")</f>
        <v>115.84302</v>
      </c>
      <c r="AJ889" s="209">
        <f>IFERROR(_xll.ciqfunctions.udf.CIQAVG(MO.Ticker.CapIQ,"IQ_LASTSALEPRICE",INDEX(MO_SNA_FPStartDate,0,COLUMN()),INDEX(MO_Common_QEndDate,0,COLUMN())),"N/A")</f>
        <v>120.23151</v>
      </c>
      <c r="AK889" s="209">
        <f>IFERROR(_xll.ciqfunctions.udf.CIQAVG(MO.Ticker.CapIQ,"IQ_LASTSALEPRICE",INDEX(MO_SNA_FPStartDate,0,COLUMN()),INDEX(MO_Common_QEndDate,0,COLUMN())),"N/A")</f>
        <v>118.30934000000001</v>
      </c>
      <c r="AL889" s="209">
        <f>IFERROR(_xll.ciqfunctions.udf.CIQAVG(MO.Ticker.CapIQ,"IQ_LASTSALEPRICE",INDEX(MO_SNA_FPStartDate,0,COLUMN()),INDEX(MO_Common_QEndDate,0,COLUMN())),"N/A")</f>
        <v>120.91698</v>
      </c>
      <c r="AM889" s="209">
        <f>IFERROR(_xll.ciqfunctions.udf.CIQAVG(MO.Ticker.CapIQ,"IQ_LASTSALEPRICE",INDEX(MO_SNA_FPStartDate,0,COLUMN()),INDEX(MO_Common_QEndDate,0,COLUMN())),"N/A")</f>
        <v>121.44828</v>
      </c>
      <c r="AN889" s="209">
        <f>IFERROR(_xll.ciqfunctions.udf.CIQAVG(MO.Ticker.CapIQ,"IQ_LASTSALEPRICE",INDEX(MO_SNA_FPStartDate,0,COLUMN()),INDEX(MO_Common_QEndDate,0,COLUMN())),"N/A")</f>
        <v>117.78438</v>
      </c>
      <c r="AO889" s="209">
        <f>IFERROR(_xll.ciqfunctions.udf.CIQAVG(MO.Ticker.CapIQ,"IQ_LASTSALEPRICE",INDEX(MO_SNA_FPStartDate,0,COLUMN()),INDEX(MO_Common_QEndDate,0,COLUMN())),"N/A")</f>
        <v>119.62512</v>
      </c>
      <c r="AP889" s="209">
        <f>IFERROR(_xll.ciqfunctions.udf.CIQAVG(MO.Ticker.CapIQ,"IQ_LASTSALEPRICE",INDEX(MO_SNA_FPStartDate,0,COLUMN()),INDEX(MO_Common_QEndDate,0,COLUMN())),"N/A")</f>
        <v>98.81371</v>
      </c>
      <c r="AQ889" s="209">
        <f>IFERROR(_xll.ciqfunctions.udf.CIQAVG(MO.Ticker.CapIQ,"IQ_LASTSALEPRICE",INDEX(MO_SNA_FPStartDate,0,COLUMN()),INDEX(MO_Common_QEndDate,0,COLUMN())),"N/A")</f>
        <v>89.528570000000002</v>
      </c>
      <c r="AR889" s="209">
        <f>IFERROR(_xll.ciqfunctions.udf.CIQAVG(MO.Ticker.CapIQ,"IQ_LASTSALEPRICE",INDEX(MO_SNA_FPStartDate,0,COLUMN()),INDEX(MO_Common_QEndDate,0,COLUMN())),"N/A")</f>
        <v>84.103440000000006</v>
      </c>
      <c r="AS889" s="209">
        <f>IFERROR(_xll.ciqfunctions.udf.CIQAVG(MO.Ticker.CapIQ,"IQ_LASTSALEPRICE",INDEX(MO_SNA_FPStartDate,0,COLUMN()),INDEX(MO_Common_QEndDate,0,COLUMN())),"N/A")</f>
        <v>80.965000000000003</v>
      </c>
      <c r="AT889" s="209">
        <f>IFERROR(_xll.ciqfunctions.udf.CIQAVG(MO.Ticker.CapIQ,"IQ_LASTSALEPRICE",INDEX(MO_SNA_FPStartDate,0,COLUMN()),INDEX(MO_Common_QEndDate,0,COLUMN())),"N/A")</f>
        <v>88.265339999999995</v>
      </c>
      <c r="AU889" s="209">
        <f>IFERROR(_xll.ciqfunctions.udf.CIQAVG(MO.Ticker.CapIQ,"IQ_LASTSALEPRICE",INDEX(MO_SNA_FPStartDate,0,COLUMN()),INDEX(MO_Common_QEndDate,0,COLUMN())),"N/A")</f>
        <v>97.646069999999995</v>
      </c>
      <c r="AV889" s="209">
        <f>IFERROR(_xll.ciqfunctions.udf.CIQAVG(MO.Ticker.CapIQ,"IQ_LASTSALEPRICE",INDEX(MO_SNA_FPStartDate,0,COLUMN()),INDEX(MO_Common_QEndDate,0,COLUMN())),"N/A")</f>
        <v>105.56507999999999</v>
      </c>
      <c r="AW889" s="209">
        <f>IFERROR(_xll.ciqfunctions.udf.CIQAVG(MO.Ticker.CapIQ,"IQ_LASTSALEPRICE",INDEX(MO_SNA_FPStartDate,0,COLUMN()),INDEX(MO_Common_QEndDate,0,COLUMN())),"N/A")</f>
        <v>99.743279999999999</v>
      </c>
      <c r="AX889" s="209">
        <f>IFERROR(_xll.ciqfunctions.udf.CIQAVG(MO.Ticker.CapIQ,"IQ_LASTSALEPRICE",INDEX(MO_SNA_FPStartDate,0,COLUMN()),INDEX(MO_Common_QEndDate,0,COLUMN())),"N/A")</f>
        <v>113.59078</v>
      </c>
      <c r="AY889" s="209">
        <f>IFERROR(_xll.ciqfunctions.udf.CIQAVG(MO.Ticker.CapIQ,"IQ_LASTSALEPRICE",INDEX(MO_SNA_FPStartDate,0,COLUMN()),INDEX(MO_Common_QEndDate,0,COLUMN())),"N/A")</f>
        <v>104.2079</v>
      </c>
      <c r="AZ889" s="209">
        <f>IFERROR(_xll.ciqfunctions.udf.CIQAVG(MO.Ticker.CapIQ,"IQ_LASTSALEPRICE",INDEX(MO_SNA_FPStartDate,0,COLUMN()),INDEX(MO_Common_QEndDate,0,COLUMN())),"N/A")</f>
        <v>143.41113000000001</v>
      </c>
      <c r="BA889" s="209">
        <f>IFERROR(_xll.ciqfunctions.udf.CIQAVG(MO.Ticker.CapIQ,"IQ_LASTSALEPRICE",INDEX(MO_SNA_FPStartDate,0,COLUMN()),INDEX(MO_Common_QEndDate,0,COLUMN())),"N/A")</f>
        <v>165.30128999999999</v>
      </c>
      <c r="BB889" s="209">
        <f>IFERROR(_xll.ciqfunctions.udf.CIQAVG(MO.Ticker.CapIQ,"IQ_LASTSALEPRICE",INDEX(MO_SNA_FPStartDate,0,COLUMN()),INDEX(MO_Common_QEndDate,0,COLUMN())),"N/A")</f>
        <v>152.50890999999999</v>
      </c>
      <c r="BC889" s="209">
        <f>IFERROR(_xll.ciqfunctions.udf.CIQAVG(MO.Ticker.CapIQ,"IQ_LASTSALEPRICE",INDEX(MO_SNA_FPStartDate,0,COLUMN()),INDEX(MO_Common_QEndDate,0,COLUMN())),"N/A")</f>
        <v>174.50540000000001</v>
      </c>
      <c r="BD889" s="209">
        <f>IFERROR(_xll.ciqfunctions.udf.CIQAVG(MO.Ticker.CapIQ,"IQ_LASTSALEPRICE",INDEX(MO_SNA_FPStartDate,0,COLUMN()),INDEX(MO_Common_QEndDate,0,COLUMN())),"N/A")</f>
        <v>158.94255000000001</v>
      </c>
      <c r="BE889" s="209">
        <f>IFERROR(_xll.ciqfunctions.udf.CIQAVG(MO.Ticker.CapIQ,"IQ_LASTSALEPRICE",INDEX(MO_SNA_FPStartDate,0,COLUMN()),INDEX(MO_Common_QEndDate,0,COLUMN())),"N/A")</f>
        <v>167.65434999999999</v>
      </c>
      <c r="BF889" s="209">
        <f>IFERROR(_xll.ciqfunctions.udf.CIQAVG(MO.Ticker.CapIQ,"IQ_LASTSALEPRICE",INDEX(MO_SNA_FPStartDate,0,COLUMN()),INDEX(MO_Common_QEndDate,0,COLUMN())),"N/A")</f>
        <v>160.32160999999999</v>
      </c>
      <c r="BG889" s="209">
        <f>IFERROR(_xll.ciqfunctions.udf.CIQAVG(MO.Ticker.CapIQ,"IQ_LASTSALEPRICE",INDEX(MO_SNA_FPStartDate,0,COLUMN()),INDEX(MO_Common_QEndDate,0,COLUMN())),"N/A")</f>
        <v>161.52032</v>
      </c>
      <c r="BH889" s="209">
        <f>IFERROR(_xll.ciqfunctions.udf.CIQAVG(MO.Ticker.CapIQ,"IQ_LASTSALEPRICE",INDEX(MO_SNA_FPStartDate,0,COLUMN()),INDEX(MO_Common_QEndDate,0,COLUMN())),"N/A")</f>
        <v>151.24270000000001</v>
      </c>
      <c r="BI889" s="209">
        <f>IFERROR(_xll.ciqfunctions.udf.CIQAVG(MO.Ticker.CapIQ,"IQ_LASTSALEPRICE",INDEX(MO_SNA_FPStartDate,0,COLUMN()),INDEX(MO_Common_QEndDate,0,COLUMN())),"N/A")</f>
        <v>160.15432000000001</v>
      </c>
      <c r="BJ889" s="209">
        <f>IFERROR(_xll.ciqfunctions.udf.CIQAVG(MO.Ticker.CapIQ,"IQ_LASTSALEPRICE",INDEX(MO_SNA_FPStartDate,0,COLUMN()),INDEX(MO_Common_QEndDate,0,COLUMN())),"N/A")</f>
        <v>150.90098</v>
      </c>
      <c r="BK889" s="209">
        <f>IFERROR(_xll.ciqfunctions.udf.CIQAVG(MO.Ticker.CapIQ,"IQ_LASTSALEPRICE",INDEX(MO_SNA_FPStartDate,0,COLUMN()),INDEX(MO_Common_QEndDate,0,COLUMN())),"N/A")</f>
        <v>159.45840999999999</v>
      </c>
      <c r="BL889" s="209">
        <f>IFERROR(_xll.ciqfunctions.udf.CIQAVG(MO.Ticker.CapIQ,"IQ_LASTSALEPRICE",INDEX(MO_SNA_FPStartDate,0,COLUMN()),INDEX(MO_Common_QEndDate,0,COLUMN())),"N/A")</f>
        <v>148.84484</v>
      </c>
      <c r="BM889" s="209">
        <f>IFERROR(_xll.ciqfunctions.udf.CIQAVG(MO.Ticker.CapIQ,"IQ_LASTSALEPRICE",INDEX(MO_SNA_FPStartDate,0,COLUMN()),INDEX(MO_Common_QEndDate,0,COLUMN())),"N/A")</f>
        <v>153.06577999999999</v>
      </c>
      <c r="BN889" s="209">
        <f>IFERROR(_xll.ciqfunctions.udf.CIQAVG(MO.Ticker.CapIQ,"IQ_LASTSALEPRICE",INDEX(MO_SNA_FPStartDate,0,COLUMN()),INDEX(MO_Common_QEndDate,0,COLUMN())),"N/A")</f>
        <v>153.06793999999999</v>
      </c>
      <c r="BO889" s="209">
        <f>IFERROR(_xll.ciqfunctions.udf.CIQAVG(MO.Ticker.CapIQ,"IQ_LASTSALEPRICE",INDEX(MO_SNA_FPStartDate,0,COLUMN()),INDEX(MO_Common_QEndDate,0,COLUMN())),"N/A")</f>
        <v>156.5445</v>
      </c>
      <c r="BP889" s="209">
        <f>IFERROR(_xll.ciqfunctions.udf.CIQAVG(MO.Ticker.CapIQ,"IQ_LASTSALEPRICE",INDEX(MO_SNA_FPStartDate,0,COLUMN()),INDEX(MO_Common_QEndDate,0,COLUMN())),"N/A")</f>
        <v>140.97210000000001</v>
      </c>
      <c r="BQ889" s="209">
        <f>IFERROR(_xll.ciqfunctions.udf.CIQAVG(MO.Ticker.CapIQ,"IQ_LASTSALEPRICE",INDEX(MO_SNA_FPStartDate,0,COLUMN()),INDEX(MO_Common_QEndDate,0,COLUMN())),"N/A")</f>
        <v>154.87188</v>
      </c>
      <c r="BR889" s="209">
        <f>IFERROR(_xll.ciqfunctions.udf.CIQAVG(MO.Ticker.CapIQ,"IQ_LASTSALEPRICE",INDEX(MO_SNA_FPStartDate,0,COLUMN()),INDEX(MO_Common_QEndDate,0,COLUMN())),"N/A")</f>
        <v>152.30421999999999</v>
      </c>
      <c r="BS889" s="209">
        <f>IFERROR(_xll.ciqfunctions.udf.CIQAVG(MO.Ticker.CapIQ,"IQ_LASTSALEPRICE",INDEX(MO_SNA_FPStartDate,0,COLUMN()),INDEX(MO_Common_QEndDate,0,COLUMN())),"N/A")</f>
        <v>151.16883999999999</v>
      </c>
      <c r="BT889" s="387">
        <f>IFERROR(_xll.ciqfunctions.udf.CIQAVG(MO.Ticker.CapIQ,"IQ_LASTSALEPRICE",INDEX(MO_SNA_FPStartDate,0,COLUMN()),INDEX(MO_Common_QEndDate,0,COLUMN())),"N/A")</f>
        <v>182.34869</v>
      </c>
      <c r="BU889" s="209">
        <f>IFERROR(_xll.ciqfunctions.udf.CIQAVG(MO.Ticker.CapIQ,"IQ_LASTSALEPRICE",INDEX(MO_SNA_FPStartDate,0,COLUMN()),INDEX(MO_Common_QEndDate,0,COLUMN())),"N/A")</f>
        <v>188.85854</v>
      </c>
      <c r="BV889" s="209">
        <f>IFERROR(_xll.ciqfunctions.udf.CIQAVG(MO.Ticker.CapIQ,"IQ_LASTSALEPRICE",INDEX(MO_SNA_FPStartDate,0,COLUMN()),INDEX(MO_Common_QEndDate,0,COLUMN())),"N/A")</f>
        <v>0</v>
      </c>
      <c r="BW889" s="209">
        <f>IFERROR(_xll.ciqfunctions.udf.CIQAVG(MO.Ticker.CapIQ,"IQ_LASTSALEPRICE",INDEX(MO_SNA_FPStartDate,0,COLUMN()),INDEX(MO_Common_QEndDate,0,COLUMN())),"N/A")</f>
        <v>0</v>
      </c>
      <c r="BX889" s="209">
        <f>IFERROR(_xll.ciqfunctions.udf.CIQAVG(MO.Ticker.CapIQ,"IQ_LASTSALEPRICE",INDEX(MO_SNA_FPStartDate,0,COLUMN()),INDEX(MO_Common_QEndDate,0,COLUMN())),"N/A")</f>
        <v>185.21540999999999</v>
      </c>
      <c r="BY889" s="209">
        <f>IFERROR(_xll.ciqfunctions.udf.CIQAVG(MO.Ticker.CapIQ,"IQ_LASTSALEPRICE",INDEX(MO_SNA_FPStartDate,0,COLUMN()),INDEX(MO_Common_QEndDate,0,COLUMN())),"N/A")</f>
        <v>0</v>
      </c>
      <c r="BZ889" s="209">
        <f>IFERROR(_xll.ciqfunctions.udf.CIQAVG(MO.Ticker.CapIQ,"IQ_LASTSALEPRICE",INDEX(MO_SNA_FPStartDate,0,COLUMN()),INDEX(MO_Common_QEndDate,0,COLUMN())),"N/A")</f>
        <v>0</v>
      </c>
      <c r="CA889" s="209">
        <f>IFERROR(_xll.ciqfunctions.udf.CIQAVG(MO.Ticker.CapIQ,"IQ_LASTSALEPRICE",INDEX(MO_SNA_FPStartDate,0,COLUMN()),INDEX(MO_Common_QEndDate,0,COLUMN())),"N/A")</f>
        <v>0</v>
      </c>
      <c r="CB889" s="209">
        <f>IFERROR(_xll.ciqfunctions.udf.CIQAVG(MO.Ticker.CapIQ,"IQ_LASTSALEPRICE",INDEX(MO_SNA_FPStartDate,0,COLUMN()),INDEX(MO_Common_QEndDate,0,COLUMN())),"N/A")</f>
        <v>0</v>
      </c>
      <c r="CC889" s="209">
        <f>IFERROR(_xll.ciqfunctions.udf.CIQAVG(MO.Ticker.CapIQ,"IQ_LASTSALEPRICE",INDEX(MO_SNA_FPStartDate,0,COLUMN()),INDEX(MO_Common_QEndDate,0,COLUMN())),"N/A")</f>
        <v>0</v>
      </c>
      <c r="CD889" s="209">
        <f>IFERROR(_xll.ciqfunctions.udf.CIQAVG(MO.Ticker.CapIQ,"IQ_LASTSALEPRICE",INDEX(MO_SNA_FPStartDate,0,COLUMN()),INDEX(MO_Common_QEndDate,0,COLUMN())),"N/A")</f>
        <v>0</v>
      </c>
      <c r="CE889" s="209">
        <f>IFERROR(_xll.ciqfunctions.udf.CIQAVG(MO.Ticker.CapIQ,"IQ_LASTSALEPRICE",INDEX(MO_SNA_FPStartDate,0,COLUMN()),INDEX(MO_Common_QEndDate,0,COLUMN())),"N/A")</f>
        <v>0</v>
      </c>
      <c r="CF889" s="210">
        <f>IFERROR(_xll.ciqfunctions.udf.CIQAVG(MO.Ticker.CapIQ,"IQ_LASTSALEPRICE",INDEX(MO_SNA_FPStartDate,0,COLUMN()),INDEX(MO_Common_QEndDate,0,COLUMN())),"N/A")</f>
        <v>0</v>
      </c>
      <c r="CG889" s="260"/>
    </row>
    <row r="890" spans="1:85" s="445" customFormat="1" hidden="1" outlineLevel="1" x14ac:dyDescent="0.3">
      <c r="A890" s="211" t="s">
        <v>375</v>
      </c>
      <c r="B890" s="209"/>
      <c r="C890" s="288" t="str">
        <f ca="1">IFERROR(FDS(MO.Ticker.FactSet,"P_PRICE_AVG"&amp;"("&amp;INDEX(MO_SNA_FPStartDate,0,COLUMN())&amp;","&amp;INDEX(MO_Common_QEndDate,0,COLUMN())&amp;",,,,""PRICE"",""CLOSE"")"),"N/A")</f>
        <v>N/A</v>
      </c>
      <c r="D890" s="288" t="str">
        <f ca="1">IFERROR(FDS(MO.Ticker.FactSet,"P_PRICE_AVG"&amp;"("&amp;INDEX(MO_SNA_FPStartDate,0,COLUMN())&amp;","&amp;INDEX(MO_Common_QEndDate,0,COLUMN())&amp;",,,,""PRICE"",""CLOSE"")"),"N/A")</f>
        <v>N/A</v>
      </c>
      <c r="E890" s="209" t="str">
        <f ca="1">IFERROR(FDS(MO.Ticker.FactSet,"P_PRICE_AVG"&amp;"("&amp;INDEX(MO_SNA_FPStartDate,0,COLUMN())&amp;","&amp;INDEX(MO_Common_QEndDate,0,COLUMN())&amp;",,,,""PRICE"",""CLOSE"")"),"N/A")</f>
        <v>N/A</v>
      </c>
      <c r="F890" s="209" t="str">
        <f ca="1">IFERROR(FDS(MO.Ticker.FactSet,"P_PRICE_AVG"&amp;"("&amp;INDEX(MO_SNA_FPStartDate,0,COLUMN())&amp;","&amp;INDEX(MO_Common_QEndDate,0,COLUMN())&amp;",,,,""PRICE"",""CLOSE"")"),"N/A")</f>
        <v>N/A</v>
      </c>
      <c r="G890" s="209" t="str">
        <f ca="1">IFERROR(FDS(MO.Ticker.FactSet,"P_PRICE_AVG"&amp;"("&amp;INDEX(MO_SNA_FPStartDate,0,COLUMN())&amp;","&amp;INDEX(MO_Common_QEndDate,0,COLUMN())&amp;",,,,""PRICE"",""CLOSE"")"),"N/A")</f>
        <v>N/A</v>
      </c>
      <c r="H890" s="209" t="str">
        <f ca="1">IFERROR(FDS(MO.Ticker.FactSet,"P_PRICE_AVG"&amp;"("&amp;INDEX(MO_SNA_FPStartDate,0,COLUMN())&amp;","&amp;INDEX(MO_Common_QEndDate,0,COLUMN())&amp;",,,,""PRICE"",""CLOSE"")"),"N/A")</f>
        <v>N/A</v>
      </c>
      <c r="I890" s="209" t="str">
        <f ca="1">IFERROR(FDS(MO.Ticker.FactSet,"P_PRICE_AVG"&amp;"("&amp;INDEX(MO_SNA_FPStartDate,0,COLUMN())&amp;","&amp;INDEX(MO_Common_QEndDate,0,COLUMN())&amp;",,,,""PRICE"",""CLOSE"")"),"N/A")</f>
        <v>N/A</v>
      </c>
      <c r="J890" s="209" t="str">
        <f ca="1">IFERROR(FDS(MO.Ticker.FactSet,"P_PRICE_AVG"&amp;"("&amp;INDEX(MO_SNA_FPStartDate,0,COLUMN())&amp;","&amp;INDEX(MO_Common_QEndDate,0,COLUMN())&amp;",,,,""PRICE"",""CLOSE"")"),"N/A")</f>
        <v>N/A</v>
      </c>
      <c r="K890" s="209" t="str">
        <f ca="1">IFERROR(FDS(MO.Ticker.FactSet,"P_PRICE_AVG"&amp;"("&amp;INDEX(MO_SNA_FPStartDate,0,COLUMN())&amp;","&amp;INDEX(MO_Common_QEndDate,0,COLUMN())&amp;",,,,""PRICE"",""CLOSE"")"),"N/A")</f>
        <v>N/A</v>
      </c>
      <c r="L890" s="209" t="str">
        <f ca="1">IFERROR(FDS(MO.Ticker.FactSet,"P_PRICE_AVG"&amp;"("&amp;INDEX(MO_SNA_FPStartDate,0,COLUMN())&amp;","&amp;INDEX(MO_Common_QEndDate,0,COLUMN())&amp;",,,,""PRICE"",""CLOSE"")"),"N/A")</f>
        <v>N/A</v>
      </c>
      <c r="M890" s="209" t="str">
        <f ca="1">IFERROR(FDS(MO.Ticker.FactSet,"P_PRICE_AVG"&amp;"("&amp;INDEX(MO_SNA_FPStartDate,0,COLUMN())&amp;","&amp;INDEX(MO_Common_QEndDate,0,COLUMN())&amp;",,,,""PRICE"",""CLOSE"")"),"N/A")</f>
        <v>N/A</v>
      </c>
      <c r="N890" s="209" t="str">
        <f ca="1">IFERROR(FDS(MO.Ticker.FactSet,"P_PRICE_AVG"&amp;"("&amp;INDEX(MO_SNA_FPStartDate,0,COLUMN())&amp;","&amp;INDEX(MO_Common_QEndDate,0,COLUMN())&amp;",,,,""PRICE"",""CLOSE"")"),"N/A")</f>
        <v>N/A</v>
      </c>
      <c r="O890" s="209" t="str">
        <f ca="1">IFERROR(FDS(MO.Ticker.FactSet,"P_PRICE_AVG"&amp;"("&amp;INDEX(MO_SNA_FPStartDate,0,COLUMN())&amp;","&amp;INDEX(MO_Common_QEndDate,0,COLUMN())&amp;",,,,""PRICE"",""CLOSE"")"),"N/A")</f>
        <v>N/A</v>
      </c>
      <c r="P890" s="209" t="str">
        <f ca="1">IFERROR(FDS(MO.Ticker.FactSet,"P_PRICE_AVG"&amp;"("&amp;INDEX(MO_SNA_FPStartDate,0,COLUMN())&amp;","&amp;INDEX(MO_Common_QEndDate,0,COLUMN())&amp;",,,,""PRICE"",""CLOSE"")"),"N/A")</f>
        <v>N/A</v>
      </c>
      <c r="Q890" s="209" t="str">
        <f ca="1">IFERROR(FDS(MO.Ticker.FactSet,"P_PRICE_AVG"&amp;"("&amp;INDEX(MO_SNA_FPStartDate,0,COLUMN())&amp;","&amp;INDEX(MO_Common_QEndDate,0,COLUMN())&amp;",,,,""PRICE"",""CLOSE"")"),"N/A")</f>
        <v>N/A</v>
      </c>
      <c r="R890" s="209" t="str">
        <f ca="1">IFERROR(FDS(MO.Ticker.FactSet,"P_PRICE_AVG"&amp;"("&amp;INDEX(MO_SNA_FPStartDate,0,COLUMN())&amp;","&amp;INDEX(MO_Common_QEndDate,0,COLUMN())&amp;",,,,""PRICE"",""CLOSE"")"),"N/A")</f>
        <v>N/A</v>
      </c>
      <c r="S890" s="209" t="str">
        <f ca="1">IFERROR(FDS(MO.Ticker.FactSet,"P_PRICE_AVG"&amp;"("&amp;INDEX(MO_SNA_FPStartDate,0,COLUMN())&amp;","&amp;INDEX(MO_Common_QEndDate,0,COLUMN())&amp;",,,,""PRICE"",""CLOSE"")"),"N/A")</f>
        <v>N/A</v>
      </c>
      <c r="T890" s="209" t="str">
        <f ca="1">IFERROR(FDS(MO.Ticker.FactSet,"P_PRICE_AVG"&amp;"("&amp;INDEX(MO_SNA_FPStartDate,0,COLUMN())&amp;","&amp;INDEX(MO_Common_QEndDate,0,COLUMN())&amp;",,,,""PRICE"",""CLOSE"")"),"N/A")</f>
        <v>N/A</v>
      </c>
      <c r="U890" s="209" t="str">
        <f ca="1">IFERROR(FDS(MO.Ticker.FactSet,"P_PRICE_AVG"&amp;"("&amp;INDEX(MO_SNA_FPStartDate,0,COLUMN())&amp;","&amp;INDEX(MO_Common_QEndDate,0,COLUMN())&amp;",,,,""PRICE"",""CLOSE"")"),"N/A")</f>
        <v>N/A</v>
      </c>
      <c r="V890" s="209" t="str">
        <f ca="1">IFERROR(FDS(MO.Ticker.FactSet,"P_PRICE_AVG"&amp;"("&amp;INDEX(MO_SNA_FPStartDate,0,COLUMN())&amp;","&amp;INDEX(MO_Common_QEndDate,0,COLUMN())&amp;",,,,""PRICE"",""CLOSE"")"),"N/A")</f>
        <v>N/A</v>
      </c>
      <c r="W890" s="209" t="str">
        <f ca="1">IFERROR(FDS(MO.Ticker.FactSet,"P_PRICE_AVG"&amp;"("&amp;INDEX(MO_SNA_FPStartDate,0,COLUMN())&amp;","&amp;INDEX(MO_Common_QEndDate,0,COLUMN())&amp;",,,,""PRICE"",""CLOSE"")"),"N/A")</f>
        <v>N/A</v>
      </c>
      <c r="X890" s="209" t="str">
        <f ca="1">IFERROR(FDS(MO.Ticker.FactSet,"P_PRICE_AVG"&amp;"("&amp;INDEX(MO_SNA_FPStartDate,0,COLUMN())&amp;","&amp;INDEX(MO_Common_QEndDate,0,COLUMN())&amp;",,,,""PRICE"",""CLOSE"")"),"N/A")</f>
        <v>N/A</v>
      </c>
      <c r="Y890" s="209" t="str">
        <f ca="1">IFERROR(FDS(MO.Ticker.FactSet,"P_PRICE_AVG"&amp;"("&amp;INDEX(MO_SNA_FPStartDate,0,COLUMN())&amp;","&amp;INDEX(MO_Common_QEndDate,0,COLUMN())&amp;",,,,""PRICE"",""CLOSE"")"),"N/A")</f>
        <v>N/A</v>
      </c>
      <c r="Z890" s="209" t="str">
        <f ca="1">IFERROR(FDS(MO.Ticker.FactSet,"P_PRICE_AVG"&amp;"("&amp;INDEX(MO_SNA_FPStartDate,0,COLUMN())&amp;","&amp;INDEX(MO_Common_QEndDate,0,COLUMN())&amp;",,,,""PRICE"",""CLOSE"")"),"N/A")</f>
        <v>N/A</v>
      </c>
      <c r="AA890" s="209" t="str">
        <f ca="1">IFERROR(FDS(MO.Ticker.FactSet,"P_PRICE_AVG"&amp;"("&amp;INDEX(MO_SNA_FPStartDate,0,COLUMN())&amp;","&amp;INDEX(MO_Common_QEndDate,0,COLUMN())&amp;",,,,""PRICE"",""CLOSE"")"),"N/A")</f>
        <v>N/A</v>
      </c>
      <c r="AB890" s="209" t="str">
        <f ca="1">IFERROR(FDS(MO.Ticker.FactSet,"P_PRICE_AVG"&amp;"("&amp;INDEX(MO_SNA_FPStartDate,0,COLUMN())&amp;","&amp;INDEX(MO_Common_QEndDate,0,COLUMN())&amp;",,,,""PRICE"",""CLOSE"")"),"N/A")</f>
        <v>N/A</v>
      </c>
      <c r="AC890" s="209" t="str">
        <f ca="1">IFERROR(FDS(MO.Ticker.FactSet,"P_PRICE_AVG"&amp;"("&amp;INDEX(MO_SNA_FPStartDate,0,COLUMN())&amp;","&amp;INDEX(MO_Common_QEndDate,0,COLUMN())&amp;",,,,""PRICE"",""CLOSE"")"),"N/A")</f>
        <v>N/A</v>
      </c>
      <c r="AD890" s="209" t="str">
        <f ca="1">IFERROR(FDS(MO.Ticker.FactSet,"P_PRICE_AVG"&amp;"("&amp;INDEX(MO_SNA_FPStartDate,0,COLUMN())&amp;","&amp;INDEX(MO_Common_QEndDate,0,COLUMN())&amp;",,,,""PRICE"",""CLOSE"")"),"N/A")</f>
        <v>N/A</v>
      </c>
      <c r="AE890" s="209" t="str">
        <f ca="1">IFERROR(FDS(MO.Ticker.FactSet,"P_PRICE_AVG"&amp;"("&amp;INDEX(MO_SNA_FPStartDate,0,COLUMN())&amp;","&amp;INDEX(MO_Common_QEndDate,0,COLUMN())&amp;",,,,""PRICE"",""CLOSE"")"),"N/A")</f>
        <v>N/A</v>
      </c>
      <c r="AF890" s="209" t="str">
        <f ca="1">IFERROR(FDS(MO.Ticker.FactSet,"P_PRICE_AVG"&amp;"("&amp;INDEX(MO_SNA_FPStartDate,0,COLUMN())&amp;","&amp;INDEX(MO_Common_QEndDate,0,COLUMN())&amp;",,,,""PRICE"",""CLOSE"")"),"N/A")</f>
        <v>N/A</v>
      </c>
      <c r="AG890" s="209" t="str">
        <f ca="1">IFERROR(FDS(MO.Ticker.FactSet,"P_PRICE_AVG"&amp;"("&amp;INDEX(MO_SNA_FPStartDate,0,COLUMN())&amp;","&amp;INDEX(MO_Common_QEndDate,0,COLUMN())&amp;",,,,""PRICE"",""CLOSE"")"),"N/A")</f>
        <v>N/A</v>
      </c>
      <c r="AH890" s="209" t="str">
        <f ca="1">IFERROR(FDS(MO.Ticker.FactSet,"P_PRICE_AVG"&amp;"("&amp;INDEX(MO_SNA_FPStartDate,0,COLUMN())&amp;","&amp;INDEX(MO_Common_QEndDate,0,COLUMN())&amp;",,,,""PRICE"",""CLOSE"")"),"N/A")</f>
        <v>N/A</v>
      </c>
      <c r="AI890" s="209" t="str">
        <f ca="1">IFERROR(FDS(MO.Ticker.FactSet,"P_PRICE_AVG"&amp;"("&amp;INDEX(MO_SNA_FPStartDate,0,COLUMN())&amp;","&amp;INDEX(MO_Common_QEndDate,0,COLUMN())&amp;",,,,""PRICE"",""CLOSE"")"),"N/A")</f>
        <v>N/A</v>
      </c>
      <c r="AJ890" s="209" t="str">
        <f ca="1">IFERROR(FDS(MO.Ticker.FactSet,"P_PRICE_AVG"&amp;"("&amp;INDEX(MO_SNA_FPStartDate,0,COLUMN())&amp;","&amp;INDEX(MO_Common_QEndDate,0,COLUMN())&amp;",,,,""PRICE"",""CLOSE"")"),"N/A")</f>
        <v>N/A</v>
      </c>
      <c r="AK890" s="209" t="str">
        <f ca="1">IFERROR(FDS(MO.Ticker.FactSet,"P_PRICE_AVG"&amp;"("&amp;INDEX(MO_SNA_FPStartDate,0,COLUMN())&amp;","&amp;INDEX(MO_Common_QEndDate,0,COLUMN())&amp;",,,,""PRICE"",""CLOSE"")"),"N/A")</f>
        <v>N/A</v>
      </c>
      <c r="AL890" s="209" t="str">
        <f ca="1">IFERROR(FDS(MO.Ticker.FactSet,"P_PRICE_AVG"&amp;"("&amp;INDEX(MO_SNA_FPStartDate,0,COLUMN())&amp;","&amp;INDEX(MO_Common_QEndDate,0,COLUMN())&amp;",,,,""PRICE"",""CLOSE"")"),"N/A")</f>
        <v>N/A</v>
      </c>
      <c r="AM890" s="209" t="str">
        <f ca="1">IFERROR(FDS(MO.Ticker.FactSet,"P_PRICE_AVG"&amp;"("&amp;INDEX(MO_SNA_FPStartDate,0,COLUMN())&amp;","&amp;INDEX(MO_Common_QEndDate,0,COLUMN())&amp;",,,,""PRICE"",""CLOSE"")"),"N/A")</f>
        <v>N/A</v>
      </c>
      <c r="AN890" s="209" t="str">
        <f ca="1">IFERROR(FDS(MO.Ticker.FactSet,"P_PRICE_AVG"&amp;"("&amp;INDEX(MO_SNA_FPStartDate,0,COLUMN())&amp;","&amp;INDEX(MO_Common_QEndDate,0,COLUMN())&amp;",,,,""PRICE"",""CLOSE"")"),"N/A")</f>
        <v>N/A</v>
      </c>
      <c r="AO890" s="209" t="str">
        <f ca="1">IFERROR(FDS(MO.Ticker.FactSet,"P_PRICE_AVG"&amp;"("&amp;INDEX(MO_SNA_FPStartDate,0,COLUMN())&amp;","&amp;INDEX(MO_Common_QEndDate,0,COLUMN())&amp;",,,,""PRICE"",""CLOSE"")"),"N/A")</f>
        <v>N/A</v>
      </c>
      <c r="AP890" s="209" t="str">
        <f ca="1">IFERROR(FDS(MO.Ticker.FactSet,"P_PRICE_AVG"&amp;"("&amp;INDEX(MO_SNA_FPStartDate,0,COLUMN())&amp;","&amp;INDEX(MO_Common_QEndDate,0,COLUMN())&amp;",,,,""PRICE"",""CLOSE"")"),"N/A")</f>
        <v>N/A</v>
      </c>
      <c r="AQ890" s="209" t="str">
        <f ca="1">IFERROR(FDS(MO.Ticker.FactSet,"P_PRICE_AVG"&amp;"("&amp;INDEX(MO_SNA_FPStartDate,0,COLUMN())&amp;","&amp;INDEX(MO_Common_QEndDate,0,COLUMN())&amp;",,,,""PRICE"",""CLOSE"")"),"N/A")</f>
        <v>N/A</v>
      </c>
      <c r="AR890" s="209" t="str">
        <f ca="1">IFERROR(FDS(MO.Ticker.FactSet,"P_PRICE_AVG"&amp;"("&amp;INDEX(MO_SNA_FPStartDate,0,COLUMN())&amp;","&amp;INDEX(MO_Common_QEndDate,0,COLUMN())&amp;",,,,""PRICE"",""CLOSE"")"),"N/A")</f>
        <v>N/A</v>
      </c>
      <c r="AS890" s="209" t="str">
        <f ca="1">IFERROR(FDS(MO.Ticker.FactSet,"P_PRICE_AVG"&amp;"("&amp;INDEX(MO_SNA_FPStartDate,0,COLUMN())&amp;","&amp;INDEX(MO_Common_QEndDate,0,COLUMN())&amp;",,,,""PRICE"",""CLOSE"")"),"N/A")</f>
        <v>N/A</v>
      </c>
      <c r="AT890" s="209" t="str">
        <f ca="1">IFERROR(FDS(MO.Ticker.FactSet,"P_PRICE_AVG"&amp;"("&amp;INDEX(MO_SNA_FPStartDate,0,COLUMN())&amp;","&amp;INDEX(MO_Common_QEndDate,0,COLUMN())&amp;",,,,""PRICE"",""CLOSE"")"),"N/A")</f>
        <v>N/A</v>
      </c>
      <c r="AU890" s="209" t="str">
        <f ca="1">IFERROR(FDS(MO.Ticker.FactSet,"P_PRICE_AVG"&amp;"("&amp;INDEX(MO_SNA_FPStartDate,0,COLUMN())&amp;","&amp;INDEX(MO_Common_QEndDate,0,COLUMN())&amp;",,,,""PRICE"",""CLOSE"")"),"N/A")</f>
        <v>N/A</v>
      </c>
      <c r="AV890" s="209" t="str">
        <f ca="1">IFERROR(FDS(MO.Ticker.FactSet,"P_PRICE_AVG"&amp;"("&amp;INDEX(MO_SNA_FPStartDate,0,COLUMN())&amp;","&amp;INDEX(MO_Common_QEndDate,0,COLUMN())&amp;",,,,""PRICE"",""CLOSE"")"),"N/A")</f>
        <v>N/A</v>
      </c>
      <c r="AW890" s="209" t="str">
        <f ca="1">IFERROR(FDS(MO.Ticker.FactSet,"P_PRICE_AVG"&amp;"("&amp;INDEX(MO_SNA_FPStartDate,0,COLUMN())&amp;","&amp;INDEX(MO_Common_QEndDate,0,COLUMN())&amp;",,,,""PRICE"",""CLOSE"")"),"N/A")</f>
        <v>N/A</v>
      </c>
      <c r="AX890" s="209" t="str">
        <f ca="1">IFERROR(FDS(MO.Ticker.FactSet,"P_PRICE_AVG"&amp;"("&amp;INDEX(MO_SNA_FPStartDate,0,COLUMN())&amp;","&amp;INDEX(MO_Common_QEndDate,0,COLUMN())&amp;",,,,""PRICE"",""CLOSE"")"),"N/A")</f>
        <v>N/A</v>
      </c>
      <c r="AY890" s="209" t="str">
        <f ca="1">IFERROR(FDS(MO.Ticker.FactSet,"P_PRICE_AVG"&amp;"("&amp;INDEX(MO_SNA_FPStartDate,0,COLUMN())&amp;","&amp;INDEX(MO_Common_QEndDate,0,COLUMN())&amp;",,,,""PRICE"",""CLOSE"")"),"N/A")</f>
        <v>N/A</v>
      </c>
      <c r="AZ890" s="209" t="str">
        <f ca="1">IFERROR(FDS(MO.Ticker.FactSet,"P_PRICE_AVG"&amp;"("&amp;INDEX(MO_SNA_FPStartDate,0,COLUMN())&amp;","&amp;INDEX(MO_Common_QEndDate,0,COLUMN())&amp;",,,,""PRICE"",""CLOSE"")"),"N/A")</f>
        <v>N/A</v>
      </c>
      <c r="BA890" s="209" t="str">
        <f ca="1">IFERROR(FDS(MO.Ticker.FactSet,"P_PRICE_AVG"&amp;"("&amp;INDEX(MO_SNA_FPStartDate,0,COLUMN())&amp;","&amp;INDEX(MO_Common_QEndDate,0,COLUMN())&amp;",,,,""PRICE"",""CLOSE"")"),"N/A")</f>
        <v>N/A</v>
      </c>
      <c r="BB890" s="209" t="str">
        <f ca="1">IFERROR(FDS(MO.Ticker.FactSet,"P_PRICE_AVG"&amp;"("&amp;INDEX(MO_SNA_FPStartDate,0,COLUMN())&amp;","&amp;INDEX(MO_Common_QEndDate,0,COLUMN())&amp;",,,,""PRICE"",""CLOSE"")"),"N/A")</f>
        <v>N/A</v>
      </c>
      <c r="BC890" s="209" t="str">
        <f ca="1">IFERROR(FDS(MO.Ticker.FactSet,"P_PRICE_AVG"&amp;"("&amp;INDEX(MO_SNA_FPStartDate,0,COLUMN())&amp;","&amp;INDEX(MO_Common_QEndDate,0,COLUMN())&amp;",,,,""PRICE"",""CLOSE"")"),"N/A")</f>
        <v>N/A</v>
      </c>
      <c r="BD890" s="209" t="str">
        <f ca="1">IFERROR(FDS(MO.Ticker.FactSet,"P_PRICE_AVG"&amp;"("&amp;INDEX(MO_SNA_FPStartDate,0,COLUMN())&amp;","&amp;INDEX(MO_Common_QEndDate,0,COLUMN())&amp;",,,,""PRICE"",""CLOSE"")"),"N/A")</f>
        <v>N/A</v>
      </c>
      <c r="BE890" s="209" t="str">
        <f ca="1">IFERROR(FDS(MO.Ticker.FactSet,"P_PRICE_AVG"&amp;"("&amp;INDEX(MO_SNA_FPStartDate,0,COLUMN())&amp;","&amp;INDEX(MO_Common_QEndDate,0,COLUMN())&amp;",,,,""PRICE"",""CLOSE"")"),"N/A")</f>
        <v>N/A</v>
      </c>
      <c r="BF890" s="209" t="str">
        <f ca="1">IFERROR(FDS(MO.Ticker.FactSet,"P_PRICE_AVG"&amp;"("&amp;INDEX(MO_SNA_FPStartDate,0,COLUMN())&amp;","&amp;INDEX(MO_Common_QEndDate,0,COLUMN())&amp;",,,,""PRICE"",""CLOSE"")"),"N/A")</f>
        <v>N/A</v>
      </c>
      <c r="BG890" s="209" t="str">
        <f ca="1">IFERROR(FDS(MO.Ticker.FactSet,"P_PRICE_AVG"&amp;"("&amp;INDEX(MO_SNA_FPStartDate,0,COLUMN())&amp;","&amp;INDEX(MO_Common_QEndDate,0,COLUMN())&amp;",,,,""PRICE"",""CLOSE"")"),"N/A")</f>
        <v>N/A</v>
      </c>
      <c r="BH890" s="209" t="str">
        <f ca="1">IFERROR(FDS(MO.Ticker.FactSet,"P_PRICE_AVG"&amp;"("&amp;INDEX(MO_SNA_FPStartDate,0,COLUMN())&amp;","&amp;INDEX(MO_Common_QEndDate,0,COLUMN())&amp;",,,,""PRICE"",""CLOSE"")"),"N/A")</f>
        <v>N/A</v>
      </c>
      <c r="BI890" s="209" t="str">
        <f ca="1">IFERROR(FDS(MO.Ticker.FactSet,"P_PRICE_AVG"&amp;"("&amp;INDEX(MO_SNA_FPStartDate,0,COLUMN())&amp;","&amp;INDEX(MO_Common_QEndDate,0,COLUMN())&amp;",,,,""PRICE"",""CLOSE"")"),"N/A")</f>
        <v>N/A</v>
      </c>
      <c r="BJ890" s="209" t="str">
        <f ca="1">IFERROR(FDS(MO.Ticker.FactSet,"P_PRICE_AVG"&amp;"("&amp;INDEX(MO_SNA_FPStartDate,0,COLUMN())&amp;","&amp;INDEX(MO_Common_QEndDate,0,COLUMN())&amp;",,,,""PRICE"",""CLOSE"")"),"N/A")</f>
        <v>N/A</v>
      </c>
      <c r="BK890" s="209" t="str">
        <f ca="1">IFERROR(FDS(MO.Ticker.FactSet,"P_PRICE_AVG"&amp;"("&amp;INDEX(MO_SNA_FPStartDate,0,COLUMN())&amp;","&amp;INDEX(MO_Common_QEndDate,0,COLUMN())&amp;",,,,""PRICE"",""CLOSE"")"),"N/A")</f>
        <v>N/A</v>
      </c>
      <c r="BL890" s="209" t="str">
        <f ca="1">IFERROR(FDS(MO.Ticker.FactSet,"P_PRICE_AVG"&amp;"("&amp;INDEX(MO_SNA_FPStartDate,0,COLUMN())&amp;","&amp;INDEX(MO_Common_QEndDate,0,COLUMN())&amp;",,,,""PRICE"",""CLOSE"")"),"N/A")</f>
        <v>N/A</v>
      </c>
      <c r="BM890" s="209" t="str">
        <f ca="1">IFERROR(FDS(MO.Ticker.FactSet,"P_PRICE_AVG"&amp;"("&amp;INDEX(MO_SNA_FPStartDate,0,COLUMN())&amp;","&amp;INDEX(MO_Common_QEndDate,0,COLUMN())&amp;",,,,""PRICE"",""CLOSE"")"),"N/A")</f>
        <v>N/A</v>
      </c>
      <c r="BN890" s="209" t="str">
        <f ca="1">IFERROR(FDS(MO.Ticker.FactSet,"P_PRICE_AVG"&amp;"("&amp;INDEX(MO_SNA_FPStartDate,0,COLUMN())&amp;","&amp;INDEX(MO_Common_QEndDate,0,COLUMN())&amp;",,,,""PRICE"",""CLOSE"")"),"N/A")</f>
        <v>N/A</v>
      </c>
      <c r="BO890" s="209" t="str">
        <f ca="1">IFERROR(FDS(MO.Ticker.FactSet,"P_PRICE_AVG"&amp;"("&amp;INDEX(MO_SNA_FPStartDate,0,COLUMN())&amp;","&amp;INDEX(MO_Common_QEndDate,0,COLUMN())&amp;",,,,""PRICE"",""CLOSE"")"),"N/A")</f>
        <v>N/A</v>
      </c>
      <c r="BP890" s="209" t="str">
        <f ca="1">IFERROR(FDS(MO.Ticker.FactSet,"P_PRICE_AVG"&amp;"("&amp;INDEX(MO_SNA_FPStartDate,0,COLUMN())&amp;","&amp;INDEX(MO_Common_QEndDate,0,COLUMN())&amp;",,,,""PRICE"",""CLOSE"")"),"N/A")</f>
        <v>N/A</v>
      </c>
      <c r="BQ890" s="209" t="str">
        <f ca="1">IFERROR(FDS(MO.Ticker.FactSet,"P_PRICE_AVG"&amp;"("&amp;INDEX(MO_SNA_FPStartDate,0,COLUMN())&amp;","&amp;INDEX(MO_Common_QEndDate,0,COLUMN())&amp;",,,,""PRICE"",""CLOSE"")"),"N/A")</f>
        <v>N/A</v>
      </c>
      <c r="BR890" s="209" t="str">
        <f ca="1">IFERROR(FDS(MO.Ticker.FactSet,"P_PRICE_AVG"&amp;"("&amp;INDEX(MO_SNA_FPStartDate,0,COLUMN())&amp;","&amp;INDEX(MO_Common_QEndDate,0,COLUMN())&amp;",,,,""PRICE"",""CLOSE"")"),"N/A")</f>
        <v>N/A</v>
      </c>
      <c r="BS890" s="209" t="str">
        <f ca="1">IFERROR(FDS(MO.Ticker.FactSet,"P_PRICE_AVG"&amp;"("&amp;INDEX(MO_SNA_FPStartDate,0,COLUMN())&amp;","&amp;INDEX(MO_Common_QEndDate,0,COLUMN())&amp;",,,,""PRICE"",""CLOSE"")"),"N/A")</f>
        <v>N/A</v>
      </c>
      <c r="BT890" s="387" t="str">
        <f ca="1">IFERROR(FDS(MO.Ticker.FactSet,"P_PRICE_AVG"&amp;"("&amp;INDEX(MO_SNA_FPStartDate,0,COLUMN())&amp;","&amp;INDEX(MO_Common_QEndDate,0,COLUMN())&amp;",,,,""PRICE"",""CLOSE"")"),"N/A")</f>
        <v>N/A</v>
      </c>
      <c r="BU890" s="209" t="str">
        <f ca="1">IFERROR(FDS(MO.Ticker.FactSet,"P_PRICE_AVG"&amp;"("&amp;INDEX(MO_SNA_FPStartDate,0,COLUMN())&amp;","&amp;INDEX(MO_Common_QEndDate,0,COLUMN())&amp;",,,,""PRICE"",""CLOSE"")"),"N/A")</f>
        <v>N/A</v>
      </c>
      <c r="BV890" s="209" t="str">
        <f ca="1">IFERROR(FDS(MO.Ticker.FactSet,"P_PRICE_AVG"&amp;"("&amp;INDEX(MO_SNA_FPStartDate,0,COLUMN())&amp;","&amp;INDEX(MO_Common_QEndDate,0,COLUMN())&amp;",,,,""PRICE"",""CLOSE"")"),"N/A")</f>
        <v>N/A</v>
      </c>
      <c r="BW890" s="209" t="str">
        <f ca="1">IFERROR(FDS(MO.Ticker.FactSet,"P_PRICE_AVG"&amp;"("&amp;INDEX(MO_SNA_FPStartDate,0,COLUMN())&amp;","&amp;INDEX(MO_Common_QEndDate,0,COLUMN())&amp;",,,,""PRICE"",""CLOSE"")"),"N/A")</f>
        <v>N/A</v>
      </c>
      <c r="BX890" s="209" t="str">
        <f ca="1">IFERROR(FDS(MO.Ticker.FactSet,"P_PRICE_AVG"&amp;"("&amp;INDEX(MO_SNA_FPStartDate,0,COLUMN())&amp;","&amp;INDEX(MO_Common_QEndDate,0,COLUMN())&amp;",,,,""PRICE"",""CLOSE"")"),"N/A")</f>
        <v>N/A</v>
      </c>
      <c r="BY890" s="209" t="str">
        <f ca="1">IFERROR(FDS(MO.Ticker.FactSet,"P_PRICE_AVG"&amp;"("&amp;INDEX(MO_SNA_FPStartDate,0,COLUMN())&amp;","&amp;INDEX(MO_Common_QEndDate,0,COLUMN())&amp;",,,,""PRICE"",""CLOSE"")"),"N/A")</f>
        <v>N/A</v>
      </c>
      <c r="BZ890" s="209" t="str">
        <f ca="1">IFERROR(FDS(MO.Ticker.FactSet,"P_PRICE_AVG"&amp;"("&amp;INDEX(MO_SNA_FPStartDate,0,COLUMN())&amp;","&amp;INDEX(MO_Common_QEndDate,0,COLUMN())&amp;",,,,""PRICE"",""CLOSE"")"),"N/A")</f>
        <v>N/A</v>
      </c>
      <c r="CA890" s="209" t="str">
        <f ca="1">IFERROR(FDS(MO.Ticker.FactSet,"P_PRICE_AVG"&amp;"("&amp;INDEX(MO_SNA_FPStartDate,0,COLUMN())&amp;","&amp;INDEX(MO_Common_QEndDate,0,COLUMN())&amp;",,,,""PRICE"",""CLOSE"")"),"N/A")</f>
        <v>N/A</v>
      </c>
      <c r="CB890" s="209" t="str">
        <f ca="1">IFERROR(FDS(MO.Ticker.FactSet,"P_PRICE_AVG"&amp;"("&amp;INDEX(MO_SNA_FPStartDate,0,COLUMN())&amp;","&amp;INDEX(MO_Common_QEndDate,0,COLUMN())&amp;",,,,""PRICE"",""CLOSE"")"),"N/A")</f>
        <v>N/A</v>
      </c>
      <c r="CC890" s="209" t="str">
        <f ca="1">IFERROR(FDS(MO.Ticker.FactSet,"P_PRICE_AVG"&amp;"("&amp;INDEX(MO_SNA_FPStartDate,0,COLUMN())&amp;","&amp;INDEX(MO_Common_QEndDate,0,COLUMN())&amp;",,,,""PRICE"",""CLOSE"")"),"N/A")</f>
        <v>N/A</v>
      </c>
      <c r="CD890" s="209" t="str">
        <f ca="1">IFERROR(FDS(MO.Ticker.FactSet,"P_PRICE_AVG"&amp;"("&amp;INDEX(MO_SNA_FPStartDate,0,COLUMN())&amp;","&amp;INDEX(MO_Common_QEndDate,0,COLUMN())&amp;",,,,""PRICE"",""CLOSE"")"),"N/A")</f>
        <v>N/A</v>
      </c>
      <c r="CE890" s="209" t="str">
        <f ca="1">IFERROR(FDS(MO.Ticker.FactSet,"P_PRICE_AVG"&amp;"("&amp;INDEX(MO_SNA_FPStartDate,0,COLUMN())&amp;","&amp;INDEX(MO_Common_QEndDate,0,COLUMN())&amp;",,,,""PRICE"",""CLOSE"")"),"N/A")</f>
        <v>N/A</v>
      </c>
      <c r="CF890" s="210" t="str">
        <f ca="1">IFERROR(FDS(MO.Ticker.FactSet,"P_PRICE_AVG"&amp;"("&amp;INDEX(MO_SNA_FPStartDate,0,COLUMN())&amp;","&amp;INDEX(MO_Common_QEndDate,0,COLUMN())&amp;",,,,""PRICE"",""CLOSE"")"),"N/A")</f>
        <v>N/A</v>
      </c>
      <c r="CG890" s="260"/>
    </row>
    <row r="891" spans="1:85" s="445" customFormat="1" hidden="1" outlineLevel="1" x14ac:dyDescent="0.3">
      <c r="A891" s="211" t="s">
        <v>594</v>
      </c>
      <c r="B891" s="209"/>
      <c r="C891" s="288" t="str">
        <f ca="1">IFERROR(_xll.TR(MO.Ticker.Thomson,"AVG(TR.Priceclose)","sdate:#1 edate:#2",,INDEX(MO_SNA_FPStartDate,0,COLUMN()),INDEX(MO_Common_QEndDate,0,COLUMN())),"N/A")</f>
        <v>N/A</v>
      </c>
      <c r="D891" s="288" t="str">
        <f ca="1">IFERROR(_xll.TR(MO.Ticker.Thomson,"AVG(TR.Priceclose)","sdate:#1 edate:#2",,INDEX(MO_SNA_FPStartDate,0,COLUMN()),INDEX(MO_Common_QEndDate,0,COLUMN())),"N/A")</f>
        <v>N/A</v>
      </c>
      <c r="E891" s="209" t="str">
        <f ca="1">IFERROR(_xll.TR(MO.Ticker.Thomson,"AVG(TR.Priceclose)","sdate:#1 edate:#2",,INDEX(MO_SNA_FPStartDate,0,COLUMN()),INDEX(MO_Common_QEndDate,0,COLUMN())),"N/A")</f>
        <v>N/A</v>
      </c>
      <c r="F891" s="209" t="str">
        <f ca="1">IFERROR(_xll.TR(MO.Ticker.Thomson,"AVG(TR.Priceclose)","sdate:#1 edate:#2",,INDEX(MO_SNA_FPStartDate,0,COLUMN()),INDEX(MO_Common_QEndDate,0,COLUMN())),"N/A")</f>
        <v>N/A</v>
      </c>
      <c r="G891" s="209" t="str">
        <f ca="1">IFERROR(_xll.TR(MO.Ticker.Thomson,"AVG(TR.Priceclose)","sdate:#1 edate:#2",,INDEX(MO_SNA_FPStartDate,0,COLUMN()),INDEX(MO_Common_QEndDate,0,COLUMN())),"N/A")</f>
        <v>N/A</v>
      </c>
      <c r="H891" s="209" t="str">
        <f ca="1">IFERROR(_xll.TR(MO.Ticker.Thomson,"AVG(TR.Priceclose)","sdate:#1 edate:#2",,INDEX(MO_SNA_FPStartDate,0,COLUMN()),INDEX(MO_Common_QEndDate,0,COLUMN())),"N/A")</f>
        <v>N/A</v>
      </c>
      <c r="I891" s="209" t="str">
        <f ca="1">IFERROR(_xll.TR(MO.Ticker.Thomson,"AVG(TR.Priceclose)","sdate:#1 edate:#2",,INDEX(MO_SNA_FPStartDate,0,COLUMN()),INDEX(MO_Common_QEndDate,0,COLUMN())),"N/A")</f>
        <v>N/A</v>
      </c>
      <c r="J891" s="209" t="str">
        <f ca="1">IFERROR(_xll.TR(MO.Ticker.Thomson,"AVG(TR.Priceclose)","sdate:#1 edate:#2",,INDEX(MO_SNA_FPStartDate,0,COLUMN()),INDEX(MO_Common_QEndDate,0,COLUMN())),"N/A")</f>
        <v>N/A</v>
      </c>
      <c r="K891" s="209" t="str">
        <f ca="1">IFERROR(_xll.TR(MO.Ticker.Thomson,"AVG(TR.Priceclose)","sdate:#1 edate:#2",,INDEX(MO_SNA_FPStartDate,0,COLUMN()),INDEX(MO_Common_QEndDate,0,COLUMN())),"N/A")</f>
        <v>N/A</v>
      </c>
      <c r="L891" s="209" t="str">
        <f ca="1">IFERROR(_xll.TR(MO.Ticker.Thomson,"AVG(TR.Priceclose)","sdate:#1 edate:#2",,INDEX(MO_SNA_FPStartDate,0,COLUMN()),INDEX(MO_Common_QEndDate,0,COLUMN())),"N/A")</f>
        <v>N/A</v>
      </c>
      <c r="M891" s="209" t="str">
        <f ca="1">IFERROR(_xll.TR(MO.Ticker.Thomson,"AVG(TR.Priceclose)","sdate:#1 edate:#2",,INDEX(MO_SNA_FPStartDate,0,COLUMN()),INDEX(MO_Common_QEndDate,0,COLUMN())),"N/A")</f>
        <v>N/A</v>
      </c>
      <c r="N891" s="209" t="str">
        <f ca="1">IFERROR(_xll.TR(MO.Ticker.Thomson,"AVG(TR.Priceclose)","sdate:#1 edate:#2",,INDEX(MO_SNA_FPStartDate,0,COLUMN()),INDEX(MO_Common_QEndDate,0,COLUMN())),"N/A")</f>
        <v>N/A</v>
      </c>
      <c r="O891" s="209" t="str">
        <f ca="1">IFERROR(_xll.TR(MO.Ticker.Thomson,"AVG(TR.Priceclose)","sdate:#1 edate:#2",,INDEX(MO_SNA_FPStartDate,0,COLUMN()),INDEX(MO_Common_QEndDate,0,COLUMN())),"N/A")</f>
        <v>N/A</v>
      </c>
      <c r="P891" s="209" t="str">
        <f ca="1">IFERROR(_xll.TR(MO.Ticker.Thomson,"AVG(TR.Priceclose)","sdate:#1 edate:#2",,INDEX(MO_SNA_FPStartDate,0,COLUMN()),INDEX(MO_Common_QEndDate,0,COLUMN())),"N/A")</f>
        <v>N/A</v>
      </c>
      <c r="Q891" s="209" t="str">
        <f ca="1">IFERROR(_xll.TR(MO.Ticker.Thomson,"AVG(TR.Priceclose)","sdate:#1 edate:#2",,INDEX(MO_SNA_FPStartDate,0,COLUMN()),INDEX(MO_Common_QEndDate,0,COLUMN())),"N/A")</f>
        <v>N/A</v>
      </c>
      <c r="R891" s="209" t="str">
        <f ca="1">IFERROR(_xll.TR(MO.Ticker.Thomson,"AVG(TR.Priceclose)","sdate:#1 edate:#2",,INDEX(MO_SNA_FPStartDate,0,COLUMN()),INDEX(MO_Common_QEndDate,0,COLUMN())),"N/A")</f>
        <v>N/A</v>
      </c>
      <c r="S891" s="209" t="str">
        <f ca="1">IFERROR(_xll.TR(MO.Ticker.Thomson,"AVG(TR.Priceclose)","sdate:#1 edate:#2",,INDEX(MO_SNA_FPStartDate,0,COLUMN()),INDEX(MO_Common_QEndDate,0,COLUMN())),"N/A")</f>
        <v>N/A</v>
      </c>
      <c r="T891" s="209" t="str">
        <f ca="1">IFERROR(_xll.TR(MO.Ticker.Thomson,"AVG(TR.Priceclose)","sdate:#1 edate:#2",,INDEX(MO_SNA_FPStartDate,0,COLUMN()),INDEX(MO_Common_QEndDate,0,COLUMN())),"N/A")</f>
        <v>N/A</v>
      </c>
      <c r="U891" s="209" t="str">
        <f ca="1">IFERROR(_xll.TR(MO.Ticker.Thomson,"AVG(TR.Priceclose)","sdate:#1 edate:#2",,INDEX(MO_SNA_FPStartDate,0,COLUMN()),INDEX(MO_Common_QEndDate,0,COLUMN())),"N/A")</f>
        <v>N/A</v>
      </c>
      <c r="V891" s="209" t="str">
        <f ca="1">IFERROR(_xll.TR(MO.Ticker.Thomson,"AVG(TR.Priceclose)","sdate:#1 edate:#2",,INDEX(MO_SNA_FPStartDate,0,COLUMN()),INDEX(MO_Common_QEndDate,0,COLUMN())),"N/A")</f>
        <v>N/A</v>
      </c>
      <c r="W891" s="209" t="str">
        <f ca="1">IFERROR(_xll.TR(MO.Ticker.Thomson,"AVG(TR.Priceclose)","sdate:#1 edate:#2",,INDEX(MO_SNA_FPStartDate,0,COLUMN()),INDEX(MO_Common_QEndDate,0,COLUMN())),"N/A")</f>
        <v>N/A</v>
      </c>
      <c r="X891" s="209" t="str">
        <f ca="1">IFERROR(_xll.TR(MO.Ticker.Thomson,"AVG(TR.Priceclose)","sdate:#1 edate:#2",,INDEX(MO_SNA_FPStartDate,0,COLUMN()),INDEX(MO_Common_QEndDate,0,COLUMN())),"N/A")</f>
        <v>N/A</v>
      </c>
      <c r="Y891" s="209" t="str">
        <f ca="1">IFERROR(_xll.TR(MO.Ticker.Thomson,"AVG(TR.Priceclose)","sdate:#1 edate:#2",,INDEX(MO_SNA_FPStartDate,0,COLUMN()),INDEX(MO_Common_QEndDate,0,COLUMN())),"N/A")</f>
        <v>N/A</v>
      </c>
      <c r="Z891" s="209" t="str">
        <f ca="1">IFERROR(_xll.TR(MO.Ticker.Thomson,"AVG(TR.Priceclose)","sdate:#1 edate:#2",,INDEX(MO_SNA_FPStartDate,0,COLUMN()),INDEX(MO_Common_QEndDate,0,COLUMN())),"N/A")</f>
        <v>N/A</v>
      </c>
      <c r="AA891" s="209" t="str">
        <f ca="1">IFERROR(_xll.TR(MO.Ticker.Thomson,"AVG(TR.Priceclose)","sdate:#1 edate:#2",,INDEX(MO_SNA_FPStartDate,0,COLUMN()),INDEX(MO_Common_QEndDate,0,COLUMN())),"N/A")</f>
        <v>N/A</v>
      </c>
      <c r="AB891" s="209" t="str">
        <f ca="1">IFERROR(_xll.TR(MO.Ticker.Thomson,"AVG(TR.Priceclose)","sdate:#1 edate:#2",,INDEX(MO_SNA_FPStartDate,0,COLUMN()),INDEX(MO_Common_QEndDate,0,COLUMN())),"N/A")</f>
        <v>N/A</v>
      </c>
      <c r="AC891" s="209" t="str">
        <f ca="1">IFERROR(_xll.TR(MO.Ticker.Thomson,"AVG(TR.Priceclose)","sdate:#1 edate:#2",,INDEX(MO_SNA_FPStartDate,0,COLUMN()),INDEX(MO_Common_QEndDate,0,COLUMN())),"N/A")</f>
        <v>N/A</v>
      </c>
      <c r="AD891" s="209" t="str">
        <f ca="1">IFERROR(_xll.TR(MO.Ticker.Thomson,"AVG(TR.Priceclose)","sdate:#1 edate:#2",,INDEX(MO_SNA_FPStartDate,0,COLUMN()),INDEX(MO_Common_QEndDate,0,COLUMN())),"N/A")</f>
        <v>N/A</v>
      </c>
      <c r="AE891" s="209" t="str">
        <f ca="1">IFERROR(_xll.TR(MO.Ticker.Thomson,"AVG(TR.Priceclose)","sdate:#1 edate:#2",,INDEX(MO_SNA_FPStartDate,0,COLUMN()),INDEX(MO_Common_QEndDate,0,COLUMN())),"N/A")</f>
        <v>N/A</v>
      </c>
      <c r="AF891" s="209" t="str">
        <f ca="1">IFERROR(_xll.TR(MO.Ticker.Thomson,"AVG(TR.Priceclose)","sdate:#1 edate:#2",,INDEX(MO_SNA_FPStartDate,0,COLUMN()),INDEX(MO_Common_QEndDate,0,COLUMN())),"N/A")</f>
        <v>N/A</v>
      </c>
      <c r="AG891" s="209" t="str">
        <f ca="1">IFERROR(_xll.TR(MO.Ticker.Thomson,"AVG(TR.Priceclose)","sdate:#1 edate:#2",,INDEX(MO_SNA_FPStartDate,0,COLUMN()),INDEX(MO_Common_QEndDate,0,COLUMN())),"N/A")</f>
        <v>N/A</v>
      </c>
      <c r="AH891" s="209" t="str">
        <f ca="1">IFERROR(_xll.TR(MO.Ticker.Thomson,"AVG(TR.Priceclose)","sdate:#1 edate:#2",,INDEX(MO_SNA_FPStartDate,0,COLUMN()),INDEX(MO_Common_QEndDate,0,COLUMN())),"N/A")</f>
        <v>N/A</v>
      </c>
      <c r="AI891" s="209" t="str">
        <f ca="1">IFERROR(_xll.TR(MO.Ticker.Thomson,"AVG(TR.Priceclose)","sdate:#1 edate:#2",,INDEX(MO_SNA_FPStartDate,0,COLUMN()),INDEX(MO_Common_QEndDate,0,COLUMN())),"N/A")</f>
        <v>N/A</v>
      </c>
      <c r="AJ891" s="209" t="str">
        <f ca="1">IFERROR(_xll.TR(MO.Ticker.Thomson,"AVG(TR.Priceclose)","sdate:#1 edate:#2",,INDEX(MO_SNA_FPStartDate,0,COLUMN()),INDEX(MO_Common_QEndDate,0,COLUMN())),"N/A")</f>
        <v>N/A</v>
      </c>
      <c r="AK891" s="209" t="str">
        <f ca="1">IFERROR(_xll.TR(MO.Ticker.Thomson,"AVG(TR.Priceclose)","sdate:#1 edate:#2",,INDEX(MO_SNA_FPStartDate,0,COLUMN()),INDEX(MO_Common_QEndDate,0,COLUMN())),"N/A")</f>
        <v>N/A</v>
      </c>
      <c r="AL891" s="209" t="str">
        <f ca="1">IFERROR(_xll.TR(MO.Ticker.Thomson,"AVG(TR.Priceclose)","sdate:#1 edate:#2",,INDEX(MO_SNA_FPStartDate,0,COLUMN()),INDEX(MO_Common_QEndDate,0,COLUMN())),"N/A")</f>
        <v>N/A</v>
      </c>
      <c r="AM891" s="209" t="str">
        <f ca="1">IFERROR(_xll.TR(MO.Ticker.Thomson,"AVG(TR.Priceclose)","sdate:#1 edate:#2",,INDEX(MO_SNA_FPStartDate,0,COLUMN()),INDEX(MO_Common_QEndDate,0,COLUMN())),"N/A")</f>
        <v>N/A</v>
      </c>
      <c r="AN891" s="209" t="str">
        <f ca="1">IFERROR(_xll.TR(MO.Ticker.Thomson,"AVG(TR.Priceclose)","sdate:#1 edate:#2",,INDEX(MO_SNA_FPStartDate,0,COLUMN()),INDEX(MO_Common_QEndDate,0,COLUMN())),"N/A")</f>
        <v>N/A</v>
      </c>
      <c r="AO891" s="209" t="str">
        <f ca="1">IFERROR(_xll.TR(MO.Ticker.Thomson,"AVG(TR.Priceclose)","sdate:#1 edate:#2",,INDEX(MO_SNA_FPStartDate,0,COLUMN()),INDEX(MO_Common_QEndDate,0,COLUMN())),"N/A")</f>
        <v>N/A</v>
      </c>
      <c r="AP891" s="209" t="str">
        <f ca="1">IFERROR(_xll.TR(MO.Ticker.Thomson,"AVG(TR.Priceclose)","sdate:#1 edate:#2",,INDEX(MO_SNA_FPStartDate,0,COLUMN()),INDEX(MO_Common_QEndDate,0,COLUMN())),"N/A")</f>
        <v>N/A</v>
      </c>
      <c r="AQ891" s="209" t="str">
        <f ca="1">IFERROR(_xll.TR(MO.Ticker.Thomson,"AVG(TR.Priceclose)","sdate:#1 edate:#2",,INDEX(MO_SNA_FPStartDate,0,COLUMN()),INDEX(MO_Common_QEndDate,0,COLUMN())),"N/A")</f>
        <v>N/A</v>
      </c>
      <c r="AR891" s="209" t="str">
        <f ca="1">IFERROR(_xll.TR(MO.Ticker.Thomson,"AVG(TR.Priceclose)","sdate:#1 edate:#2",,INDEX(MO_SNA_FPStartDate,0,COLUMN()),INDEX(MO_Common_QEndDate,0,COLUMN())),"N/A")</f>
        <v>N/A</v>
      </c>
      <c r="AS891" s="209" t="str">
        <f ca="1">IFERROR(_xll.TR(MO.Ticker.Thomson,"AVG(TR.Priceclose)","sdate:#1 edate:#2",,INDEX(MO_SNA_FPStartDate,0,COLUMN()),INDEX(MO_Common_QEndDate,0,COLUMN())),"N/A")</f>
        <v>N/A</v>
      </c>
      <c r="AT891" s="209" t="str">
        <f ca="1">IFERROR(_xll.TR(MO.Ticker.Thomson,"AVG(TR.Priceclose)","sdate:#1 edate:#2",,INDEX(MO_SNA_FPStartDate,0,COLUMN()),INDEX(MO_Common_QEndDate,0,COLUMN())),"N/A")</f>
        <v>N/A</v>
      </c>
      <c r="AU891" s="209" t="str">
        <f ca="1">IFERROR(_xll.TR(MO.Ticker.Thomson,"AVG(TR.Priceclose)","sdate:#1 edate:#2",,INDEX(MO_SNA_FPStartDate,0,COLUMN()),INDEX(MO_Common_QEndDate,0,COLUMN())),"N/A")</f>
        <v>N/A</v>
      </c>
      <c r="AV891" s="209" t="str">
        <f ca="1">IFERROR(_xll.TR(MO.Ticker.Thomson,"AVG(TR.Priceclose)","sdate:#1 edate:#2",,INDEX(MO_SNA_FPStartDate,0,COLUMN()),INDEX(MO_Common_QEndDate,0,COLUMN())),"N/A")</f>
        <v>N/A</v>
      </c>
      <c r="AW891" s="209" t="str">
        <f ca="1">IFERROR(_xll.TR(MO.Ticker.Thomson,"AVG(TR.Priceclose)","sdate:#1 edate:#2",,INDEX(MO_SNA_FPStartDate,0,COLUMN()),INDEX(MO_Common_QEndDate,0,COLUMN())),"N/A")</f>
        <v>N/A</v>
      </c>
      <c r="AX891" s="209" t="str">
        <f ca="1">IFERROR(_xll.TR(MO.Ticker.Thomson,"AVG(TR.Priceclose)","sdate:#1 edate:#2",,INDEX(MO_SNA_FPStartDate,0,COLUMN()),INDEX(MO_Common_QEndDate,0,COLUMN())),"N/A")</f>
        <v>N/A</v>
      </c>
      <c r="AY891" s="209" t="str">
        <f ca="1">IFERROR(_xll.TR(MO.Ticker.Thomson,"AVG(TR.Priceclose)","sdate:#1 edate:#2",,INDEX(MO_SNA_FPStartDate,0,COLUMN()),INDEX(MO_Common_QEndDate,0,COLUMN())),"N/A")</f>
        <v>N/A</v>
      </c>
      <c r="AZ891" s="209" t="str">
        <f ca="1">IFERROR(_xll.TR(MO.Ticker.Thomson,"AVG(TR.Priceclose)","sdate:#1 edate:#2",,INDEX(MO_SNA_FPStartDate,0,COLUMN()),INDEX(MO_Common_QEndDate,0,COLUMN())),"N/A")</f>
        <v>N/A</v>
      </c>
      <c r="BA891" s="209" t="str">
        <f ca="1">IFERROR(_xll.TR(MO.Ticker.Thomson,"AVG(TR.Priceclose)","sdate:#1 edate:#2",,INDEX(MO_SNA_FPStartDate,0,COLUMN()),INDEX(MO_Common_QEndDate,0,COLUMN())),"N/A")</f>
        <v>N/A</v>
      </c>
      <c r="BB891" s="209" t="str">
        <f ca="1">IFERROR(_xll.TR(MO.Ticker.Thomson,"AVG(TR.Priceclose)","sdate:#1 edate:#2",,INDEX(MO_SNA_FPStartDate,0,COLUMN()),INDEX(MO_Common_QEndDate,0,COLUMN())),"N/A")</f>
        <v>N/A</v>
      </c>
      <c r="BC891" s="209" t="str">
        <f ca="1">IFERROR(_xll.TR(MO.Ticker.Thomson,"AVG(TR.Priceclose)","sdate:#1 edate:#2",,INDEX(MO_SNA_FPStartDate,0,COLUMN()),INDEX(MO_Common_QEndDate,0,COLUMN())),"N/A")</f>
        <v>N/A</v>
      </c>
      <c r="BD891" s="209" t="str">
        <f ca="1">IFERROR(_xll.TR(MO.Ticker.Thomson,"AVG(TR.Priceclose)","sdate:#1 edate:#2",,INDEX(MO_SNA_FPStartDate,0,COLUMN()),INDEX(MO_Common_QEndDate,0,COLUMN())),"N/A")</f>
        <v>N/A</v>
      </c>
      <c r="BE891" s="209" t="str">
        <f ca="1">IFERROR(_xll.TR(MO.Ticker.Thomson,"AVG(TR.Priceclose)","sdate:#1 edate:#2",,INDEX(MO_SNA_FPStartDate,0,COLUMN()),INDEX(MO_Common_QEndDate,0,COLUMN())),"N/A")</f>
        <v>N/A</v>
      </c>
      <c r="BF891" s="209" t="str">
        <f ca="1">IFERROR(_xll.TR(MO.Ticker.Thomson,"AVG(TR.Priceclose)","sdate:#1 edate:#2",,INDEX(MO_SNA_FPStartDate,0,COLUMN()),INDEX(MO_Common_QEndDate,0,COLUMN())),"N/A")</f>
        <v>N/A</v>
      </c>
      <c r="BG891" s="209" t="str">
        <f ca="1">IFERROR(_xll.TR(MO.Ticker.Thomson,"AVG(TR.Priceclose)","sdate:#1 edate:#2",,INDEX(MO_SNA_FPStartDate,0,COLUMN()),INDEX(MO_Common_QEndDate,0,COLUMN())),"N/A")</f>
        <v>N/A</v>
      </c>
      <c r="BH891" s="209" t="str">
        <f ca="1">IFERROR(_xll.TR(MO.Ticker.Thomson,"AVG(TR.Priceclose)","sdate:#1 edate:#2",,INDEX(MO_SNA_FPStartDate,0,COLUMN()),INDEX(MO_Common_QEndDate,0,COLUMN())),"N/A")</f>
        <v>N/A</v>
      </c>
      <c r="BI891" s="209" t="str">
        <f ca="1">IFERROR(_xll.TR(MO.Ticker.Thomson,"AVG(TR.Priceclose)","sdate:#1 edate:#2",,INDEX(MO_SNA_FPStartDate,0,COLUMN()),INDEX(MO_Common_QEndDate,0,COLUMN())),"N/A")</f>
        <v>N/A</v>
      </c>
      <c r="BJ891" s="209" t="str">
        <f ca="1">IFERROR(_xll.TR(MO.Ticker.Thomson,"AVG(TR.Priceclose)","sdate:#1 edate:#2",,INDEX(MO_SNA_FPStartDate,0,COLUMN()),INDEX(MO_Common_QEndDate,0,COLUMN())),"N/A")</f>
        <v>N/A</v>
      </c>
      <c r="BK891" s="209" t="str">
        <f ca="1">IFERROR(_xll.TR(MO.Ticker.Thomson,"AVG(TR.Priceclose)","sdate:#1 edate:#2",,INDEX(MO_SNA_FPStartDate,0,COLUMN()),INDEX(MO_Common_QEndDate,0,COLUMN())),"N/A")</f>
        <v>N/A</v>
      </c>
      <c r="BL891" s="209" t="str">
        <f ca="1">IFERROR(_xll.TR(MO.Ticker.Thomson,"AVG(TR.Priceclose)","sdate:#1 edate:#2",,INDEX(MO_SNA_FPStartDate,0,COLUMN()),INDEX(MO_Common_QEndDate,0,COLUMN())),"N/A")</f>
        <v>N/A</v>
      </c>
      <c r="BM891" s="209" t="str">
        <f ca="1">IFERROR(_xll.TR(MO.Ticker.Thomson,"AVG(TR.Priceclose)","sdate:#1 edate:#2",,INDEX(MO_SNA_FPStartDate,0,COLUMN()),INDEX(MO_Common_QEndDate,0,COLUMN())),"N/A")</f>
        <v>N/A</v>
      </c>
      <c r="BN891" s="209" t="str">
        <f ca="1">IFERROR(_xll.TR(MO.Ticker.Thomson,"AVG(TR.Priceclose)","sdate:#1 edate:#2",,INDEX(MO_SNA_FPStartDate,0,COLUMN()),INDEX(MO_Common_QEndDate,0,COLUMN())),"N/A")</f>
        <v>N/A</v>
      </c>
      <c r="BO891" s="209" t="str">
        <f ca="1">IFERROR(_xll.TR(MO.Ticker.Thomson,"AVG(TR.Priceclose)","sdate:#1 edate:#2",,INDEX(MO_SNA_FPStartDate,0,COLUMN()),INDEX(MO_Common_QEndDate,0,COLUMN())),"N/A")</f>
        <v>N/A</v>
      </c>
      <c r="BP891" s="209" t="str">
        <f ca="1">IFERROR(_xll.TR(MO.Ticker.Thomson,"AVG(TR.Priceclose)","sdate:#1 edate:#2",,INDEX(MO_SNA_FPStartDate,0,COLUMN()),INDEX(MO_Common_QEndDate,0,COLUMN())),"N/A")</f>
        <v>N/A</v>
      </c>
      <c r="BQ891" s="209" t="str">
        <f ca="1">IFERROR(_xll.TR(MO.Ticker.Thomson,"AVG(TR.Priceclose)","sdate:#1 edate:#2",,INDEX(MO_SNA_FPStartDate,0,COLUMN()),INDEX(MO_Common_QEndDate,0,COLUMN())),"N/A")</f>
        <v>N/A</v>
      </c>
      <c r="BR891" s="209" t="str">
        <f ca="1">IFERROR(_xll.TR(MO.Ticker.Thomson,"AVG(TR.Priceclose)","sdate:#1 edate:#2",,INDEX(MO_SNA_FPStartDate,0,COLUMN()),INDEX(MO_Common_QEndDate,0,COLUMN())),"N/A")</f>
        <v>N/A</v>
      </c>
      <c r="BS891" s="209" t="str">
        <f ca="1">IFERROR(_xll.TR(MO.Ticker.Thomson,"AVG(TR.Priceclose)","sdate:#1 edate:#2",,INDEX(MO_SNA_FPStartDate,0,COLUMN()),INDEX(MO_Common_QEndDate,0,COLUMN())),"N/A")</f>
        <v>N/A</v>
      </c>
      <c r="BT891" s="387" t="str">
        <f ca="1">IFERROR(_xll.TR(MO.Ticker.Thomson,"AVG(TR.Priceclose)","sdate:#1 edate:#2",,INDEX(MO_SNA_FPStartDate,0,COLUMN()),INDEX(MO_Common_QEndDate,0,COLUMN())),"N/A")</f>
        <v>N/A</v>
      </c>
      <c r="BU891" s="209" t="str">
        <f ca="1">IFERROR(_xll.TR(MO.Ticker.Thomson,"AVG(TR.Priceclose)","sdate:#1 edate:#2",,INDEX(MO_SNA_FPStartDate,0,COLUMN()),INDEX(MO_Common_QEndDate,0,COLUMN())),"N/A")</f>
        <v>N/A</v>
      </c>
      <c r="BV891" s="209" t="str">
        <f ca="1">IFERROR(_xll.TR(MO.Ticker.Thomson,"AVG(TR.Priceclose)","sdate:#1 edate:#2",,INDEX(MO_SNA_FPStartDate,0,COLUMN()),INDEX(MO_Common_QEndDate,0,COLUMN())),"N/A")</f>
        <v>N/A</v>
      </c>
      <c r="BW891" s="209" t="str">
        <f ca="1">IFERROR(_xll.TR(MO.Ticker.Thomson,"AVG(TR.Priceclose)","sdate:#1 edate:#2",,INDEX(MO_SNA_FPStartDate,0,COLUMN()),INDEX(MO_Common_QEndDate,0,COLUMN())),"N/A")</f>
        <v>N/A</v>
      </c>
      <c r="BX891" s="209" t="str">
        <f ca="1">IFERROR(_xll.TR(MO.Ticker.Thomson,"AVG(TR.Priceclose)","sdate:#1 edate:#2",,INDEX(MO_SNA_FPStartDate,0,COLUMN()),INDEX(MO_Common_QEndDate,0,COLUMN())),"N/A")</f>
        <v>N/A</v>
      </c>
      <c r="BY891" s="209" t="str">
        <f ca="1">IFERROR(_xll.TR(MO.Ticker.Thomson,"AVG(TR.Priceclose)","sdate:#1 edate:#2",,INDEX(MO_SNA_FPStartDate,0,COLUMN()),INDEX(MO_Common_QEndDate,0,COLUMN())),"N/A")</f>
        <v>N/A</v>
      </c>
      <c r="BZ891" s="209" t="str">
        <f ca="1">IFERROR(_xll.TR(MO.Ticker.Thomson,"AVG(TR.Priceclose)","sdate:#1 edate:#2",,INDEX(MO_SNA_FPStartDate,0,COLUMN()),INDEX(MO_Common_QEndDate,0,COLUMN())),"N/A")</f>
        <v>N/A</v>
      </c>
      <c r="CA891" s="209" t="str">
        <f ca="1">IFERROR(_xll.TR(MO.Ticker.Thomson,"AVG(TR.Priceclose)","sdate:#1 edate:#2",,INDEX(MO_SNA_FPStartDate,0,COLUMN()),INDEX(MO_Common_QEndDate,0,COLUMN())),"N/A")</f>
        <v>N/A</v>
      </c>
      <c r="CB891" s="209" t="str">
        <f ca="1">IFERROR(_xll.TR(MO.Ticker.Thomson,"AVG(TR.Priceclose)","sdate:#1 edate:#2",,INDEX(MO_SNA_FPStartDate,0,COLUMN()),INDEX(MO_Common_QEndDate,0,COLUMN())),"N/A")</f>
        <v>N/A</v>
      </c>
      <c r="CC891" s="209" t="str">
        <f ca="1">IFERROR(_xll.TR(MO.Ticker.Thomson,"AVG(TR.Priceclose)","sdate:#1 edate:#2",,INDEX(MO_SNA_FPStartDate,0,COLUMN()),INDEX(MO_Common_QEndDate,0,COLUMN())),"N/A")</f>
        <v>N/A</v>
      </c>
      <c r="CD891" s="209" t="str">
        <f ca="1">IFERROR(_xll.TR(MO.Ticker.Thomson,"AVG(TR.Priceclose)","sdate:#1 edate:#2",,INDEX(MO_SNA_FPStartDate,0,COLUMN()),INDEX(MO_Common_QEndDate,0,COLUMN())),"N/A")</f>
        <v>N/A</v>
      </c>
      <c r="CE891" s="209" t="str">
        <f ca="1">IFERROR(_xll.TR(MO.Ticker.Thomson,"AVG(TR.Priceclose)","sdate:#1 edate:#2",,INDEX(MO_SNA_FPStartDate,0,COLUMN()),INDEX(MO_Common_QEndDate,0,COLUMN())),"N/A")</f>
        <v>N/A</v>
      </c>
      <c r="CF891" s="210" t="str">
        <f ca="1">IFERROR(_xll.TR(MO.Ticker.Thomson,"AVG(TR.Priceclose)","sdate:#1 edate:#2",,INDEX(MO_SNA_FPStartDate,0,COLUMN()),INDEX(MO_Common_QEndDate,0,COLUMN())),"N/A")</f>
        <v>N/A</v>
      </c>
      <c r="CG891" s="260"/>
    </row>
    <row r="892" spans="1:85" s="424" customFormat="1" hidden="1" outlineLevel="1" x14ac:dyDescent="0.3">
      <c r="A892" s="186"/>
      <c r="B892" s="722"/>
      <c r="C892" s="237"/>
      <c r="D892" s="237"/>
      <c r="E892" s="722"/>
      <c r="F892" s="722"/>
      <c r="G892" s="722"/>
      <c r="H892" s="722"/>
      <c r="I892" s="722"/>
      <c r="J892" s="722"/>
      <c r="K892" s="722"/>
      <c r="L892" s="722"/>
      <c r="M892" s="722"/>
      <c r="N892" s="722"/>
      <c r="O892" s="722"/>
      <c r="P892" s="722"/>
      <c r="Q892" s="722"/>
      <c r="R892" s="722"/>
      <c r="S892" s="722"/>
      <c r="T892" s="722"/>
      <c r="U892" s="722"/>
      <c r="V892" s="722"/>
      <c r="W892" s="722"/>
      <c r="X892" s="722"/>
      <c r="Y892" s="722"/>
      <c r="Z892" s="722"/>
      <c r="AA892" s="722"/>
      <c r="AB892" s="722"/>
      <c r="AC892" s="722"/>
      <c r="AD892" s="722"/>
      <c r="AE892" s="722"/>
      <c r="AF892" s="722"/>
      <c r="AG892" s="722"/>
      <c r="AH892" s="722"/>
      <c r="AI892" s="722"/>
      <c r="AJ892" s="722"/>
      <c r="AK892" s="722"/>
      <c r="AL892" s="722"/>
      <c r="AM892" s="722"/>
      <c r="AN892" s="722"/>
      <c r="AO892" s="722"/>
      <c r="AP892" s="722"/>
      <c r="AQ892" s="722"/>
      <c r="AR892" s="722"/>
      <c r="AS892" s="722"/>
      <c r="AT892" s="722"/>
      <c r="AU892" s="722"/>
      <c r="AV892" s="722"/>
      <c r="AW892" s="722"/>
      <c r="AX892" s="722"/>
      <c r="AY892" s="722"/>
      <c r="AZ892" s="722"/>
      <c r="BA892" s="722"/>
      <c r="BB892" s="722"/>
      <c r="BC892" s="722"/>
      <c r="BD892" s="722"/>
      <c r="BE892" s="722"/>
      <c r="BF892" s="722"/>
      <c r="BG892" s="722"/>
      <c r="BH892" s="722"/>
      <c r="BI892" s="722"/>
      <c r="BJ892" s="722"/>
      <c r="BK892" s="722"/>
      <c r="BL892" s="722"/>
      <c r="BM892" s="722"/>
      <c r="BN892" s="722"/>
      <c r="BO892" s="722"/>
      <c r="BP892" s="722"/>
      <c r="BQ892" s="722"/>
      <c r="BR892" s="722"/>
      <c r="BS892" s="722"/>
      <c r="BT892" s="723"/>
      <c r="BU892" s="722"/>
      <c r="BV892" s="722"/>
      <c r="BW892" s="722"/>
      <c r="BX892" s="722"/>
      <c r="BY892" s="722"/>
      <c r="BZ892" s="722"/>
      <c r="CA892" s="722"/>
      <c r="CB892" s="722"/>
      <c r="CC892" s="722"/>
      <c r="CD892" s="722"/>
      <c r="CE892" s="722"/>
      <c r="CF892" s="201"/>
      <c r="CG892" s="259"/>
    </row>
    <row r="893" spans="1:85" s="446" customFormat="1" collapsed="1" x14ac:dyDescent="0.3">
      <c r="A893" s="212" t="str">
        <f ca="1">"FX Average: "&amp;IF(OR(MO.RealTimeStockPriceToggle=FALSE,VLOOKUP(MO.DataSourceName,MO_SPT_FXAverage_Sources,COLUMN()+2,FALSE)="N/A"),"Real-Time Off Source",MO.DataSourceName)</f>
        <v>FX Average: Real-Time Off Source</v>
      </c>
      <c r="B893" s="307"/>
      <c r="C893" s="402">
        <f t="shared" ref="C893:AH893" ca="1" si="1903">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D893" s="402">
        <f t="shared" ca="1" si="1903"/>
        <v>1</v>
      </c>
      <c r="E893" s="307">
        <f t="shared" ca="1" si="1903"/>
        <v>1</v>
      </c>
      <c r="F893" s="307">
        <f t="shared" ca="1" si="1903"/>
        <v>1</v>
      </c>
      <c r="G893" s="307">
        <f t="shared" ca="1" si="1903"/>
        <v>1</v>
      </c>
      <c r="H893" s="307">
        <f t="shared" ca="1" si="1903"/>
        <v>1</v>
      </c>
      <c r="I893" s="307">
        <f t="shared" ca="1" si="1903"/>
        <v>1</v>
      </c>
      <c r="J893" s="307">
        <f t="shared" ca="1" si="1903"/>
        <v>1</v>
      </c>
      <c r="K893" s="307">
        <f t="shared" ca="1" si="1903"/>
        <v>1</v>
      </c>
      <c r="L893" s="307">
        <f t="shared" ca="1" si="1903"/>
        <v>1</v>
      </c>
      <c r="M893" s="307">
        <f t="shared" ca="1" si="1903"/>
        <v>1</v>
      </c>
      <c r="N893" s="307">
        <f t="shared" ca="1" si="1903"/>
        <v>1</v>
      </c>
      <c r="O893" s="307">
        <f t="shared" ca="1" si="1903"/>
        <v>1</v>
      </c>
      <c r="P893" s="307">
        <f t="shared" ca="1" si="1903"/>
        <v>1</v>
      </c>
      <c r="Q893" s="307">
        <f t="shared" ca="1" si="1903"/>
        <v>1</v>
      </c>
      <c r="R893" s="307">
        <f t="shared" ca="1" si="1903"/>
        <v>1</v>
      </c>
      <c r="S893" s="307">
        <f t="shared" ca="1" si="1903"/>
        <v>1</v>
      </c>
      <c r="T893" s="307">
        <f t="shared" ca="1" si="1903"/>
        <v>1</v>
      </c>
      <c r="U893" s="307">
        <f t="shared" ca="1" si="1903"/>
        <v>1</v>
      </c>
      <c r="V893" s="307">
        <f t="shared" ca="1" si="1903"/>
        <v>1</v>
      </c>
      <c r="W893" s="307">
        <f t="shared" ca="1" si="1903"/>
        <v>1</v>
      </c>
      <c r="X893" s="307">
        <f t="shared" ca="1" si="1903"/>
        <v>1</v>
      </c>
      <c r="Y893" s="307">
        <f t="shared" ca="1" si="1903"/>
        <v>1</v>
      </c>
      <c r="Z893" s="307">
        <f t="shared" ca="1" si="1903"/>
        <v>1</v>
      </c>
      <c r="AA893" s="307">
        <f t="shared" ca="1" si="1903"/>
        <v>1</v>
      </c>
      <c r="AB893" s="307">
        <f t="shared" ca="1" si="1903"/>
        <v>1</v>
      </c>
      <c r="AC893" s="307">
        <f t="shared" ca="1" si="1903"/>
        <v>1</v>
      </c>
      <c r="AD893" s="307">
        <f t="shared" ca="1" si="1903"/>
        <v>1</v>
      </c>
      <c r="AE893" s="307">
        <f t="shared" ca="1" si="1903"/>
        <v>1</v>
      </c>
      <c r="AF893" s="307">
        <f t="shared" ca="1" si="1903"/>
        <v>1</v>
      </c>
      <c r="AG893" s="307">
        <f t="shared" ca="1" si="1903"/>
        <v>1</v>
      </c>
      <c r="AH893" s="307">
        <f t="shared" ca="1" si="1903"/>
        <v>1</v>
      </c>
      <c r="AI893" s="307">
        <f t="shared" ref="AI893:BD893" ca="1" si="1904">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J893" s="307">
        <f t="shared" ca="1" si="1904"/>
        <v>1</v>
      </c>
      <c r="AK893" s="307">
        <f t="shared" ca="1" si="1904"/>
        <v>1</v>
      </c>
      <c r="AL893" s="307">
        <f t="shared" ca="1" si="1904"/>
        <v>1</v>
      </c>
      <c r="AM893" s="307">
        <f t="shared" ca="1" si="1904"/>
        <v>1</v>
      </c>
      <c r="AN893" s="307">
        <f t="shared" ca="1" si="1904"/>
        <v>1</v>
      </c>
      <c r="AO893" s="307">
        <f t="shared" ca="1" si="1904"/>
        <v>1</v>
      </c>
      <c r="AP893" s="307">
        <f t="shared" ca="1" si="1904"/>
        <v>1</v>
      </c>
      <c r="AQ893" s="307">
        <f t="shared" ca="1" si="1904"/>
        <v>1</v>
      </c>
      <c r="AR893" s="307">
        <f t="shared" ca="1" si="1904"/>
        <v>1</v>
      </c>
      <c r="AS893" s="307">
        <f t="shared" ca="1" si="1904"/>
        <v>1</v>
      </c>
      <c r="AT893" s="307">
        <f t="shared" ca="1" si="1904"/>
        <v>1</v>
      </c>
      <c r="AU893" s="307">
        <f t="shared" ca="1" si="1904"/>
        <v>1</v>
      </c>
      <c r="AV893" s="307">
        <f t="shared" ca="1" si="1904"/>
        <v>1</v>
      </c>
      <c r="AW893" s="307">
        <f t="shared" ca="1" si="1904"/>
        <v>1</v>
      </c>
      <c r="AX893" s="307">
        <f t="shared" ca="1" si="1904"/>
        <v>1</v>
      </c>
      <c r="AY893" s="307">
        <f t="shared" ca="1" si="1904"/>
        <v>1</v>
      </c>
      <c r="AZ893" s="307">
        <f t="shared" ca="1" si="1904"/>
        <v>1</v>
      </c>
      <c r="BA893" s="307">
        <f t="shared" ca="1" si="1904"/>
        <v>1</v>
      </c>
      <c r="BB893" s="307">
        <f t="shared" ca="1" si="1904"/>
        <v>1</v>
      </c>
      <c r="BC893" s="307">
        <f t="shared" ca="1" si="1904"/>
        <v>1</v>
      </c>
      <c r="BD893" s="307">
        <f t="shared" ca="1" si="1904"/>
        <v>1</v>
      </c>
      <c r="BE893" s="307">
        <f t="shared" ref="BE893:BI893" ca="1" si="1905">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F893" s="307">
        <f t="shared" ca="1" si="1905"/>
        <v>1</v>
      </c>
      <c r="BG893" s="307">
        <f t="shared" ca="1" si="1905"/>
        <v>1</v>
      </c>
      <c r="BH893" s="307">
        <f t="shared" ca="1" si="1905"/>
        <v>1</v>
      </c>
      <c r="BI893" s="307">
        <f t="shared" ca="1" si="1905"/>
        <v>1</v>
      </c>
      <c r="BJ893" s="307">
        <f t="shared" ref="BJ893:BX893" ca="1" si="1906">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K893" s="307">
        <f t="shared" ca="1" si="1906"/>
        <v>1</v>
      </c>
      <c r="BL893" s="307">
        <f t="shared" ca="1" si="1906"/>
        <v>1</v>
      </c>
      <c r="BM893" s="307">
        <f t="shared" ca="1" si="1906"/>
        <v>1</v>
      </c>
      <c r="BN893" s="307">
        <f t="shared" ca="1" si="1906"/>
        <v>1</v>
      </c>
      <c r="BO893" s="307">
        <f t="shared" ref="BO893:BW893" ca="1" si="1907">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P893" s="307">
        <f t="shared" ca="1" si="1907"/>
        <v>1</v>
      </c>
      <c r="BQ893" s="307">
        <f t="shared" ca="1" si="1907"/>
        <v>1</v>
      </c>
      <c r="BR893" s="307">
        <f t="shared" ca="1" si="1907"/>
        <v>1</v>
      </c>
      <c r="BS893" s="307">
        <f t="shared" ca="1" si="1907"/>
        <v>1</v>
      </c>
      <c r="BT893" s="403">
        <f ca="1">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U893" s="307">
        <f t="shared" ca="1" si="1907"/>
        <v>1</v>
      </c>
      <c r="BV893" s="307">
        <f t="shared" ca="1" si="1907"/>
        <v>1</v>
      </c>
      <c r="BW893" s="307">
        <f t="shared" ca="1" si="1907"/>
        <v>1</v>
      </c>
      <c r="BX893" s="307">
        <f t="shared" ca="1" si="1906"/>
        <v>1</v>
      </c>
      <c r="BY893" s="307">
        <f t="shared" ref="BY893:CF893" ca="1" si="1908">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Z893" s="307">
        <f t="shared" ca="1" si="1908"/>
        <v>1</v>
      </c>
      <c r="CA893" s="307">
        <f t="shared" ca="1" si="1908"/>
        <v>1</v>
      </c>
      <c r="CB893" s="307">
        <f t="shared" ca="1" si="1908"/>
        <v>1</v>
      </c>
      <c r="CC893" s="307">
        <f t="shared" ca="1" si="1908"/>
        <v>1</v>
      </c>
      <c r="CD893" s="307">
        <f t="shared" ca="1" si="1908"/>
        <v>1</v>
      </c>
      <c r="CE893" s="307">
        <f t="shared" ca="1" si="1908"/>
        <v>1</v>
      </c>
      <c r="CF893" s="404">
        <f t="shared" ca="1" si="1908"/>
        <v>1</v>
      </c>
      <c r="CG893" s="261"/>
    </row>
    <row r="894" spans="1:85" s="446" customFormat="1" hidden="1" outlineLevel="1" x14ac:dyDescent="0.3">
      <c r="A894" s="213" t="s">
        <v>373</v>
      </c>
      <c r="B894" s="307"/>
      <c r="C894" s="807">
        <v>1</v>
      </c>
      <c r="D894" s="807">
        <v>1</v>
      </c>
      <c r="E894" s="808">
        <v>1</v>
      </c>
      <c r="F894" s="808">
        <v>1</v>
      </c>
      <c r="G894" s="808">
        <v>1</v>
      </c>
      <c r="H894" s="808">
        <v>1</v>
      </c>
      <c r="I894" s="808">
        <v>1</v>
      </c>
      <c r="J894" s="808">
        <v>1</v>
      </c>
      <c r="K894" s="808">
        <v>1</v>
      </c>
      <c r="L894" s="808">
        <v>1</v>
      </c>
      <c r="M894" s="808">
        <v>1</v>
      </c>
      <c r="N894" s="808">
        <v>1</v>
      </c>
      <c r="O894" s="808">
        <v>1</v>
      </c>
      <c r="P894" s="808">
        <v>1</v>
      </c>
      <c r="Q894" s="808">
        <v>1</v>
      </c>
      <c r="R894" s="808">
        <v>1</v>
      </c>
      <c r="S894" s="808">
        <v>1</v>
      </c>
      <c r="T894" s="808">
        <v>1</v>
      </c>
      <c r="U894" s="808">
        <v>1</v>
      </c>
      <c r="V894" s="808">
        <v>1</v>
      </c>
      <c r="W894" s="808">
        <v>1</v>
      </c>
      <c r="X894" s="808">
        <v>1</v>
      </c>
      <c r="Y894" s="808">
        <v>1</v>
      </c>
      <c r="Z894" s="808">
        <v>1</v>
      </c>
      <c r="AA894" s="808">
        <v>1</v>
      </c>
      <c r="AB894" s="808">
        <v>1</v>
      </c>
      <c r="AC894" s="808">
        <v>1</v>
      </c>
      <c r="AD894" s="808">
        <v>1</v>
      </c>
      <c r="AE894" s="808">
        <v>1</v>
      </c>
      <c r="AF894" s="808">
        <v>1</v>
      </c>
      <c r="AG894" s="808">
        <v>1</v>
      </c>
      <c r="AH894" s="808">
        <v>1</v>
      </c>
      <c r="AI894" s="808">
        <v>1</v>
      </c>
      <c r="AJ894" s="808">
        <v>1</v>
      </c>
      <c r="AK894" s="808">
        <v>1</v>
      </c>
      <c r="AL894" s="808">
        <v>1</v>
      </c>
      <c r="AM894" s="808">
        <v>1</v>
      </c>
      <c r="AN894" s="808">
        <v>1</v>
      </c>
      <c r="AO894" s="808">
        <v>1</v>
      </c>
      <c r="AP894" s="808">
        <v>1</v>
      </c>
      <c r="AQ894" s="808">
        <v>1</v>
      </c>
      <c r="AR894" s="808">
        <v>1</v>
      </c>
      <c r="AS894" s="808">
        <v>1</v>
      </c>
      <c r="AT894" s="808">
        <v>1</v>
      </c>
      <c r="AU894" s="808">
        <v>1</v>
      </c>
      <c r="AV894" s="808">
        <v>1</v>
      </c>
      <c r="AW894" s="808">
        <v>1</v>
      </c>
      <c r="AX894" s="808">
        <v>1</v>
      </c>
      <c r="AY894" s="808">
        <v>1</v>
      </c>
      <c r="AZ894" s="808">
        <v>1</v>
      </c>
      <c r="BA894" s="808">
        <v>1</v>
      </c>
      <c r="BB894" s="808">
        <v>1</v>
      </c>
      <c r="BC894" s="808">
        <v>1</v>
      </c>
      <c r="BD894" s="808">
        <v>1</v>
      </c>
      <c r="BE894" s="808">
        <v>1</v>
      </c>
      <c r="BF894" s="808">
        <v>1</v>
      </c>
      <c r="BG894" s="808">
        <v>1</v>
      </c>
      <c r="BH894" s="808">
        <v>1</v>
      </c>
      <c r="BI894" s="808">
        <v>1</v>
      </c>
      <c r="BJ894" s="808">
        <v>1</v>
      </c>
      <c r="BK894" s="808">
        <v>1</v>
      </c>
      <c r="BL894" s="808">
        <v>1</v>
      </c>
      <c r="BM894" s="808">
        <v>1</v>
      </c>
      <c r="BN894" s="808">
        <v>1</v>
      </c>
      <c r="BO894" s="808">
        <v>1</v>
      </c>
      <c r="BP894" s="808">
        <v>1</v>
      </c>
      <c r="BQ894" s="808">
        <v>1</v>
      </c>
      <c r="BR894" s="808">
        <v>1</v>
      </c>
      <c r="BS894" s="808">
        <v>1</v>
      </c>
      <c r="BT894" s="809">
        <v>1</v>
      </c>
      <c r="BU894" s="307">
        <f t="shared" ref="BU894:CF894" si="1909">MO.MRFX.Hardcoded</f>
        <v>1</v>
      </c>
      <c r="BV894" s="307">
        <f t="shared" si="1909"/>
        <v>1</v>
      </c>
      <c r="BW894" s="307">
        <f t="shared" si="1909"/>
        <v>1</v>
      </c>
      <c r="BX894" s="307">
        <f t="shared" si="1909"/>
        <v>1</v>
      </c>
      <c r="BY894" s="307">
        <f t="shared" si="1909"/>
        <v>1</v>
      </c>
      <c r="BZ894" s="307">
        <f t="shared" si="1909"/>
        <v>1</v>
      </c>
      <c r="CA894" s="307">
        <f t="shared" si="1909"/>
        <v>1</v>
      </c>
      <c r="CB894" s="307">
        <f t="shared" si="1909"/>
        <v>1</v>
      </c>
      <c r="CC894" s="307">
        <f t="shared" si="1909"/>
        <v>1</v>
      </c>
      <c r="CD894" s="307">
        <f t="shared" si="1909"/>
        <v>1</v>
      </c>
      <c r="CE894" s="307">
        <f t="shared" si="1909"/>
        <v>1</v>
      </c>
      <c r="CF894" s="404">
        <f t="shared" si="1909"/>
        <v>1</v>
      </c>
      <c r="CG894" s="261"/>
    </row>
    <row r="895" spans="1:85" s="446" customFormat="1" hidden="1" outlineLevel="1" x14ac:dyDescent="0.3">
      <c r="A895" s="213" t="s">
        <v>7</v>
      </c>
      <c r="B895" s="307"/>
      <c r="C895" s="402"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D895" s="402"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E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F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G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H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I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J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K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L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M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N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O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P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Q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R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S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T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U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V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W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X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Y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Z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A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B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C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D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E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F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G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H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I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J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K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L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M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N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O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P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Q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R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S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T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U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V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W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X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Y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AZ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A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B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C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D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E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F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G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H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I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J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K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L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M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N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O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P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Q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R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S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T895" s="403"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U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V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W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X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Y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BZ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CA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CB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CC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CD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CE895" s="307"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CF895" s="404" t="str">
        <f ca="1">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N/A</v>
      </c>
      <c r="CG895" s="261"/>
    </row>
    <row r="896" spans="1:85" s="446" customFormat="1" hidden="1" outlineLevel="1" x14ac:dyDescent="0.3">
      <c r="A896" s="213" t="s">
        <v>374</v>
      </c>
      <c r="B896" s="307"/>
      <c r="C896" s="402">
        <f ca="1">IFERROR(IF(INDEX(MO_Common_QEndDate,0,COLUMN())&gt;TODAY(),_xll.ciqfunctions.udf.CIQ("$"&amp;HP.TradeCurrency&amp;MO.ReportCurrency,"IQ_LASTSALEPRICE"),_xll.ciqfunctions.udf.CIQAVG("$"&amp;HP.TradeCurrency&amp;MO.ReportCurrency,"IQ_LASTSALEPRICE",INDEX(MO_SNA_FPStartDate,0,COLUMN()),INDEX(MO_Common_QEndDate,0,COLUMN()))),"N/A")</f>
        <v>1</v>
      </c>
      <c r="D896" s="402">
        <f ca="1">IFERROR(IF(INDEX(MO_Common_QEndDate,0,COLUMN())&gt;TODAY(),_xll.ciqfunctions.udf.CIQ("$"&amp;HP.TradeCurrency&amp;MO.ReportCurrency,"IQ_LASTSALEPRICE"),_xll.ciqfunctions.udf.CIQAVG("$"&amp;HP.TradeCurrency&amp;MO.ReportCurrency,"IQ_LASTSALEPRICE",INDEX(MO_SNA_FPStartDate,0,COLUMN()),INDEX(MO_Common_QEndDate,0,COLUMN()))),"N/A")</f>
        <v>1</v>
      </c>
      <c r="E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F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G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H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I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J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K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L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M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N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O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P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Q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R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S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T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U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V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W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X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Y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Z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A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B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C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D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E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F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G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H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I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J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K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L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M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N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O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P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Q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R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S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T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U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V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W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X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Y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AZ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A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B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C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D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E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F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G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H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I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J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K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L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M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N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O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P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Q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R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S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T896" s="403">
        <f ca="1">IFERROR(IF(INDEX(MO_Common_QEndDate,0,COLUMN())&gt;TODAY(),_xll.ciqfunctions.udf.CIQ("$"&amp;HP.TradeCurrency&amp;MO.ReportCurrency,"IQ_LASTSALEPRICE"),_xll.ciqfunctions.udf.CIQAVG("$"&amp;HP.TradeCurrency&amp;MO.ReportCurrency,"IQ_LASTSALEPRICE",INDEX(MO_SNA_FPStartDate,0,COLUMN()),INDEX(MO_Common_QEndDate,0,COLUMN()))),"N/A")</f>
        <v>1</v>
      </c>
      <c r="BU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V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W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X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Y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BZ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CA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CB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CC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CD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CE896" s="307">
        <f ca="1">IFERROR(IF(INDEX(MO_Common_QEndDate,0,COLUMN())&gt;TODAY(),_xll.ciqfunctions.udf.CIQ("$"&amp;HP.TradeCurrency&amp;MO.ReportCurrency,"IQ_LASTSALEPRICE"),_xll.ciqfunctions.udf.CIQAVG("$"&amp;HP.TradeCurrency&amp;MO.ReportCurrency,"IQ_LASTSALEPRICE",INDEX(MO_SNA_FPStartDate,0,COLUMN()),INDEX(MO_Common_QEndDate,0,COLUMN()))),"N/A")</f>
        <v>1</v>
      </c>
      <c r="CF896" s="404">
        <f ca="1">IFERROR(IF(INDEX(MO_Common_QEndDate,0,COLUMN())&gt;TODAY(),_xll.ciqfunctions.udf.CIQ("$"&amp;HP.TradeCurrency&amp;MO.ReportCurrency,"IQ_LASTSALEPRICE"),_xll.ciqfunctions.udf.CIQAVG("$"&amp;HP.TradeCurrency&amp;MO.ReportCurrency,"IQ_LASTSALEPRICE",INDEX(MO_SNA_FPStartDate,0,COLUMN()),INDEX(MO_Common_QEndDate,0,COLUMN()))),"N/A")</f>
        <v>1</v>
      </c>
      <c r="CG896" s="261"/>
    </row>
    <row r="897" spans="1:85" s="446" customFormat="1" hidden="1" outlineLevel="1" x14ac:dyDescent="0.3">
      <c r="A897" s="213" t="s">
        <v>375</v>
      </c>
      <c r="B897" s="307"/>
      <c r="C897" s="402" t="str">
        <f ca="1">IFERROR(IF(INDEX(MO_Common_QEndDate,0,COLUMN())&gt;TODAY(),FDS(MO.ReportCurrency&amp;HP.TradeCurrency,"FG_PRICE(NOW)"),FDS(MO.ReportCurrency&amp;HP.TradeCurrency,"P_PRICE_AVG("&amp;INDEX(MO_SNA_FPStartDate,0,COLUMN())&amp;","&amp;INDEX(MO_Common_QEndDate,0,COLUMN())&amp;",,,,0)")),"N/A")</f>
        <v>N/A</v>
      </c>
      <c r="D897" s="402" t="str">
        <f ca="1">IFERROR(IF(INDEX(MO_Common_QEndDate,0,COLUMN())&gt;TODAY(),FDS(MO.ReportCurrency&amp;HP.TradeCurrency,"FG_PRICE(NOW)"),FDS(MO.ReportCurrency&amp;HP.TradeCurrency,"P_PRICE_AVG("&amp;INDEX(MO_SNA_FPStartDate,0,COLUMN())&amp;","&amp;INDEX(MO_Common_QEndDate,0,COLUMN())&amp;",,,,0)")),"N/A")</f>
        <v>N/A</v>
      </c>
      <c r="E897" s="307" t="str">
        <f ca="1">IFERROR(IF(INDEX(MO_Common_QEndDate,0,COLUMN())&gt;TODAY(),FDS(MO.ReportCurrency&amp;HP.TradeCurrency,"FG_PRICE(NOW)"),FDS(MO.ReportCurrency&amp;HP.TradeCurrency,"P_PRICE_AVG("&amp;INDEX(MO_SNA_FPStartDate,0,COLUMN())&amp;","&amp;INDEX(MO_Common_QEndDate,0,COLUMN())&amp;",,,,0)")),"N/A")</f>
        <v>N/A</v>
      </c>
      <c r="F897" s="307" t="str">
        <f ca="1">IFERROR(IF(INDEX(MO_Common_QEndDate,0,COLUMN())&gt;TODAY(),FDS(MO.ReportCurrency&amp;HP.TradeCurrency,"FG_PRICE(NOW)"),FDS(MO.ReportCurrency&amp;HP.TradeCurrency,"P_PRICE_AVG("&amp;INDEX(MO_SNA_FPStartDate,0,COLUMN())&amp;","&amp;INDEX(MO_Common_QEndDate,0,COLUMN())&amp;",,,,0)")),"N/A")</f>
        <v>N/A</v>
      </c>
      <c r="G897" s="307" t="str">
        <f ca="1">IFERROR(IF(INDEX(MO_Common_QEndDate,0,COLUMN())&gt;TODAY(),FDS(MO.ReportCurrency&amp;HP.TradeCurrency,"FG_PRICE(NOW)"),FDS(MO.ReportCurrency&amp;HP.TradeCurrency,"P_PRICE_AVG("&amp;INDEX(MO_SNA_FPStartDate,0,COLUMN())&amp;","&amp;INDEX(MO_Common_QEndDate,0,COLUMN())&amp;",,,,0)")),"N/A")</f>
        <v>N/A</v>
      </c>
      <c r="H897" s="307" t="str">
        <f ca="1">IFERROR(IF(INDEX(MO_Common_QEndDate,0,COLUMN())&gt;TODAY(),FDS(MO.ReportCurrency&amp;HP.TradeCurrency,"FG_PRICE(NOW)"),FDS(MO.ReportCurrency&amp;HP.TradeCurrency,"P_PRICE_AVG("&amp;INDEX(MO_SNA_FPStartDate,0,COLUMN())&amp;","&amp;INDEX(MO_Common_QEndDate,0,COLUMN())&amp;",,,,0)")),"N/A")</f>
        <v>N/A</v>
      </c>
      <c r="I897" s="307" t="str">
        <f ca="1">IFERROR(IF(INDEX(MO_Common_QEndDate,0,COLUMN())&gt;TODAY(),FDS(MO.ReportCurrency&amp;HP.TradeCurrency,"FG_PRICE(NOW)"),FDS(MO.ReportCurrency&amp;HP.TradeCurrency,"P_PRICE_AVG("&amp;INDEX(MO_SNA_FPStartDate,0,COLUMN())&amp;","&amp;INDEX(MO_Common_QEndDate,0,COLUMN())&amp;",,,,0)")),"N/A")</f>
        <v>N/A</v>
      </c>
      <c r="J897" s="307" t="str">
        <f ca="1">IFERROR(IF(INDEX(MO_Common_QEndDate,0,COLUMN())&gt;TODAY(),FDS(MO.ReportCurrency&amp;HP.TradeCurrency,"FG_PRICE(NOW)"),FDS(MO.ReportCurrency&amp;HP.TradeCurrency,"P_PRICE_AVG("&amp;INDEX(MO_SNA_FPStartDate,0,COLUMN())&amp;","&amp;INDEX(MO_Common_QEndDate,0,COLUMN())&amp;",,,,0)")),"N/A")</f>
        <v>N/A</v>
      </c>
      <c r="K897" s="307" t="str">
        <f ca="1">IFERROR(IF(INDEX(MO_Common_QEndDate,0,COLUMN())&gt;TODAY(),FDS(MO.ReportCurrency&amp;HP.TradeCurrency,"FG_PRICE(NOW)"),FDS(MO.ReportCurrency&amp;HP.TradeCurrency,"P_PRICE_AVG("&amp;INDEX(MO_SNA_FPStartDate,0,COLUMN())&amp;","&amp;INDEX(MO_Common_QEndDate,0,COLUMN())&amp;",,,,0)")),"N/A")</f>
        <v>N/A</v>
      </c>
      <c r="L897" s="307" t="str">
        <f ca="1">IFERROR(IF(INDEX(MO_Common_QEndDate,0,COLUMN())&gt;TODAY(),FDS(MO.ReportCurrency&amp;HP.TradeCurrency,"FG_PRICE(NOW)"),FDS(MO.ReportCurrency&amp;HP.TradeCurrency,"P_PRICE_AVG("&amp;INDEX(MO_SNA_FPStartDate,0,COLUMN())&amp;","&amp;INDEX(MO_Common_QEndDate,0,COLUMN())&amp;",,,,0)")),"N/A")</f>
        <v>N/A</v>
      </c>
      <c r="M897" s="307" t="str">
        <f ca="1">IFERROR(IF(INDEX(MO_Common_QEndDate,0,COLUMN())&gt;TODAY(),FDS(MO.ReportCurrency&amp;HP.TradeCurrency,"FG_PRICE(NOW)"),FDS(MO.ReportCurrency&amp;HP.TradeCurrency,"P_PRICE_AVG("&amp;INDEX(MO_SNA_FPStartDate,0,COLUMN())&amp;","&amp;INDEX(MO_Common_QEndDate,0,COLUMN())&amp;",,,,0)")),"N/A")</f>
        <v>N/A</v>
      </c>
      <c r="N897" s="307" t="str">
        <f ca="1">IFERROR(IF(INDEX(MO_Common_QEndDate,0,COLUMN())&gt;TODAY(),FDS(MO.ReportCurrency&amp;HP.TradeCurrency,"FG_PRICE(NOW)"),FDS(MO.ReportCurrency&amp;HP.TradeCurrency,"P_PRICE_AVG("&amp;INDEX(MO_SNA_FPStartDate,0,COLUMN())&amp;","&amp;INDEX(MO_Common_QEndDate,0,COLUMN())&amp;",,,,0)")),"N/A")</f>
        <v>N/A</v>
      </c>
      <c r="O897" s="307" t="str">
        <f ca="1">IFERROR(IF(INDEX(MO_Common_QEndDate,0,COLUMN())&gt;TODAY(),FDS(MO.ReportCurrency&amp;HP.TradeCurrency,"FG_PRICE(NOW)"),FDS(MO.ReportCurrency&amp;HP.TradeCurrency,"P_PRICE_AVG("&amp;INDEX(MO_SNA_FPStartDate,0,COLUMN())&amp;","&amp;INDEX(MO_Common_QEndDate,0,COLUMN())&amp;",,,,0)")),"N/A")</f>
        <v>N/A</v>
      </c>
      <c r="P897" s="307" t="str">
        <f ca="1">IFERROR(IF(INDEX(MO_Common_QEndDate,0,COLUMN())&gt;TODAY(),FDS(MO.ReportCurrency&amp;HP.TradeCurrency,"FG_PRICE(NOW)"),FDS(MO.ReportCurrency&amp;HP.TradeCurrency,"P_PRICE_AVG("&amp;INDEX(MO_SNA_FPStartDate,0,COLUMN())&amp;","&amp;INDEX(MO_Common_QEndDate,0,COLUMN())&amp;",,,,0)")),"N/A")</f>
        <v>N/A</v>
      </c>
      <c r="Q897" s="307" t="str">
        <f ca="1">IFERROR(IF(INDEX(MO_Common_QEndDate,0,COLUMN())&gt;TODAY(),FDS(MO.ReportCurrency&amp;HP.TradeCurrency,"FG_PRICE(NOW)"),FDS(MO.ReportCurrency&amp;HP.TradeCurrency,"P_PRICE_AVG("&amp;INDEX(MO_SNA_FPStartDate,0,COLUMN())&amp;","&amp;INDEX(MO_Common_QEndDate,0,COLUMN())&amp;",,,,0)")),"N/A")</f>
        <v>N/A</v>
      </c>
      <c r="R897" s="307" t="str">
        <f ca="1">IFERROR(IF(INDEX(MO_Common_QEndDate,0,COLUMN())&gt;TODAY(),FDS(MO.ReportCurrency&amp;HP.TradeCurrency,"FG_PRICE(NOW)"),FDS(MO.ReportCurrency&amp;HP.TradeCurrency,"P_PRICE_AVG("&amp;INDEX(MO_SNA_FPStartDate,0,COLUMN())&amp;","&amp;INDEX(MO_Common_QEndDate,0,COLUMN())&amp;",,,,0)")),"N/A")</f>
        <v>N/A</v>
      </c>
      <c r="S897" s="307" t="str">
        <f ca="1">IFERROR(IF(INDEX(MO_Common_QEndDate,0,COLUMN())&gt;TODAY(),FDS(MO.ReportCurrency&amp;HP.TradeCurrency,"FG_PRICE(NOW)"),FDS(MO.ReportCurrency&amp;HP.TradeCurrency,"P_PRICE_AVG("&amp;INDEX(MO_SNA_FPStartDate,0,COLUMN())&amp;","&amp;INDEX(MO_Common_QEndDate,0,COLUMN())&amp;",,,,0)")),"N/A")</f>
        <v>N/A</v>
      </c>
      <c r="T897" s="307" t="str">
        <f ca="1">IFERROR(IF(INDEX(MO_Common_QEndDate,0,COLUMN())&gt;TODAY(),FDS(MO.ReportCurrency&amp;HP.TradeCurrency,"FG_PRICE(NOW)"),FDS(MO.ReportCurrency&amp;HP.TradeCurrency,"P_PRICE_AVG("&amp;INDEX(MO_SNA_FPStartDate,0,COLUMN())&amp;","&amp;INDEX(MO_Common_QEndDate,0,COLUMN())&amp;",,,,0)")),"N/A")</f>
        <v>N/A</v>
      </c>
      <c r="U897" s="307" t="str">
        <f ca="1">IFERROR(IF(INDEX(MO_Common_QEndDate,0,COLUMN())&gt;TODAY(),FDS(MO.ReportCurrency&amp;HP.TradeCurrency,"FG_PRICE(NOW)"),FDS(MO.ReportCurrency&amp;HP.TradeCurrency,"P_PRICE_AVG("&amp;INDEX(MO_SNA_FPStartDate,0,COLUMN())&amp;","&amp;INDEX(MO_Common_QEndDate,0,COLUMN())&amp;",,,,0)")),"N/A")</f>
        <v>N/A</v>
      </c>
      <c r="V897" s="307" t="str">
        <f ca="1">IFERROR(IF(INDEX(MO_Common_QEndDate,0,COLUMN())&gt;TODAY(),FDS(MO.ReportCurrency&amp;HP.TradeCurrency,"FG_PRICE(NOW)"),FDS(MO.ReportCurrency&amp;HP.TradeCurrency,"P_PRICE_AVG("&amp;INDEX(MO_SNA_FPStartDate,0,COLUMN())&amp;","&amp;INDEX(MO_Common_QEndDate,0,COLUMN())&amp;",,,,0)")),"N/A")</f>
        <v>N/A</v>
      </c>
      <c r="W897" s="307" t="str">
        <f ca="1">IFERROR(IF(INDEX(MO_Common_QEndDate,0,COLUMN())&gt;TODAY(),FDS(MO.ReportCurrency&amp;HP.TradeCurrency,"FG_PRICE(NOW)"),FDS(MO.ReportCurrency&amp;HP.TradeCurrency,"P_PRICE_AVG("&amp;INDEX(MO_SNA_FPStartDate,0,COLUMN())&amp;","&amp;INDEX(MO_Common_QEndDate,0,COLUMN())&amp;",,,,0)")),"N/A")</f>
        <v>N/A</v>
      </c>
      <c r="X897" s="307" t="str">
        <f ca="1">IFERROR(IF(INDEX(MO_Common_QEndDate,0,COLUMN())&gt;TODAY(),FDS(MO.ReportCurrency&amp;HP.TradeCurrency,"FG_PRICE(NOW)"),FDS(MO.ReportCurrency&amp;HP.TradeCurrency,"P_PRICE_AVG("&amp;INDEX(MO_SNA_FPStartDate,0,COLUMN())&amp;","&amp;INDEX(MO_Common_QEndDate,0,COLUMN())&amp;",,,,0)")),"N/A")</f>
        <v>N/A</v>
      </c>
      <c r="Y897" s="307" t="str">
        <f ca="1">IFERROR(IF(INDEX(MO_Common_QEndDate,0,COLUMN())&gt;TODAY(),FDS(MO.ReportCurrency&amp;HP.TradeCurrency,"FG_PRICE(NOW)"),FDS(MO.ReportCurrency&amp;HP.TradeCurrency,"P_PRICE_AVG("&amp;INDEX(MO_SNA_FPStartDate,0,COLUMN())&amp;","&amp;INDEX(MO_Common_QEndDate,0,COLUMN())&amp;",,,,0)")),"N/A")</f>
        <v>N/A</v>
      </c>
      <c r="Z897" s="307" t="str">
        <f ca="1">IFERROR(IF(INDEX(MO_Common_QEndDate,0,COLUMN())&gt;TODAY(),FDS(MO.ReportCurrency&amp;HP.TradeCurrency,"FG_PRICE(NOW)"),FDS(MO.ReportCurrency&amp;HP.TradeCurrency,"P_PRICE_AVG("&amp;INDEX(MO_SNA_FPStartDate,0,COLUMN())&amp;","&amp;INDEX(MO_Common_QEndDate,0,COLUMN())&amp;",,,,0)")),"N/A")</f>
        <v>N/A</v>
      </c>
      <c r="AA897" s="307" t="str">
        <f ca="1">IFERROR(IF(INDEX(MO_Common_QEndDate,0,COLUMN())&gt;TODAY(),FDS(MO.ReportCurrency&amp;HP.TradeCurrency,"FG_PRICE(NOW)"),FDS(MO.ReportCurrency&amp;HP.TradeCurrency,"P_PRICE_AVG("&amp;INDEX(MO_SNA_FPStartDate,0,COLUMN())&amp;","&amp;INDEX(MO_Common_QEndDate,0,COLUMN())&amp;",,,,0)")),"N/A")</f>
        <v>N/A</v>
      </c>
      <c r="AB897" s="307" t="str">
        <f ca="1">IFERROR(IF(INDEX(MO_Common_QEndDate,0,COLUMN())&gt;TODAY(),FDS(MO.ReportCurrency&amp;HP.TradeCurrency,"FG_PRICE(NOW)"),FDS(MO.ReportCurrency&amp;HP.TradeCurrency,"P_PRICE_AVG("&amp;INDEX(MO_SNA_FPStartDate,0,COLUMN())&amp;","&amp;INDEX(MO_Common_QEndDate,0,COLUMN())&amp;",,,,0)")),"N/A")</f>
        <v>N/A</v>
      </c>
      <c r="AC897" s="307" t="str">
        <f ca="1">IFERROR(IF(INDEX(MO_Common_QEndDate,0,COLUMN())&gt;TODAY(),FDS(MO.ReportCurrency&amp;HP.TradeCurrency,"FG_PRICE(NOW)"),FDS(MO.ReportCurrency&amp;HP.TradeCurrency,"P_PRICE_AVG("&amp;INDEX(MO_SNA_FPStartDate,0,COLUMN())&amp;","&amp;INDEX(MO_Common_QEndDate,0,COLUMN())&amp;",,,,0)")),"N/A")</f>
        <v>N/A</v>
      </c>
      <c r="AD897" s="307" t="str">
        <f ca="1">IFERROR(IF(INDEX(MO_Common_QEndDate,0,COLUMN())&gt;TODAY(),FDS(MO.ReportCurrency&amp;HP.TradeCurrency,"FG_PRICE(NOW)"),FDS(MO.ReportCurrency&amp;HP.TradeCurrency,"P_PRICE_AVG("&amp;INDEX(MO_SNA_FPStartDate,0,COLUMN())&amp;","&amp;INDEX(MO_Common_QEndDate,0,COLUMN())&amp;",,,,0)")),"N/A")</f>
        <v>N/A</v>
      </c>
      <c r="AE897" s="307" t="str">
        <f ca="1">IFERROR(IF(INDEX(MO_Common_QEndDate,0,COLUMN())&gt;TODAY(),FDS(MO.ReportCurrency&amp;HP.TradeCurrency,"FG_PRICE(NOW)"),FDS(MO.ReportCurrency&amp;HP.TradeCurrency,"P_PRICE_AVG("&amp;INDEX(MO_SNA_FPStartDate,0,COLUMN())&amp;","&amp;INDEX(MO_Common_QEndDate,0,COLUMN())&amp;",,,,0)")),"N/A")</f>
        <v>N/A</v>
      </c>
      <c r="AF897" s="307" t="str">
        <f ca="1">IFERROR(IF(INDEX(MO_Common_QEndDate,0,COLUMN())&gt;TODAY(),FDS(MO.ReportCurrency&amp;HP.TradeCurrency,"FG_PRICE(NOW)"),FDS(MO.ReportCurrency&amp;HP.TradeCurrency,"P_PRICE_AVG("&amp;INDEX(MO_SNA_FPStartDate,0,COLUMN())&amp;","&amp;INDEX(MO_Common_QEndDate,0,COLUMN())&amp;",,,,0)")),"N/A")</f>
        <v>N/A</v>
      </c>
      <c r="AG897" s="307" t="str">
        <f ca="1">IFERROR(IF(INDEX(MO_Common_QEndDate,0,COLUMN())&gt;TODAY(),FDS(MO.ReportCurrency&amp;HP.TradeCurrency,"FG_PRICE(NOW)"),FDS(MO.ReportCurrency&amp;HP.TradeCurrency,"P_PRICE_AVG("&amp;INDEX(MO_SNA_FPStartDate,0,COLUMN())&amp;","&amp;INDEX(MO_Common_QEndDate,0,COLUMN())&amp;",,,,0)")),"N/A")</f>
        <v>N/A</v>
      </c>
      <c r="AH897" s="307" t="str">
        <f ca="1">IFERROR(IF(INDEX(MO_Common_QEndDate,0,COLUMN())&gt;TODAY(),FDS(MO.ReportCurrency&amp;HP.TradeCurrency,"FG_PRICE(NOW)"),FDS(MO.ReportCurrency&amp;HP.TradeCurrency,"P_PRICE_AVG("&amp;INDEX(MO_SNA_FPStartDate,0,COLUMN())&amp;","&amp;INDEX(MO_Common_QEndDate,0,COLUMN())&amp;",,,,0)")),"N/A")</f>
        <v>N/A</v>
      </c>
      <c r="AI897" s="307" t="str">
        <f ca="1">IFERROR(IF(INDEX(MO_Common_QEndDate,0,COLUMN())&gt;TODAY(),FDS(MO.ReportCurrency&amp;HP.TradeCurrency,"FG_PRICE(NOW)"),FDS(MO.ReportCurrency&amp;HP.TradeCurrency,"P_PRICE_AVG("&amp;INDEX(MO_SNA_FPStartDate,0,COLUMN())&amp;","&amp;INDEX(MO_Common_QEndDate,0,COLUMN())&amp;",,,,0)")),"N/A")</f>
        <v>N/A</v>
      </c>
      <c r="AJ897" s="307" t="str">
        <f ca="1">IFERROR(IF(INDEX(MO_Common_QEndDate,0,COLUMN())&gt;TODAY(),FDS(MO.ReportCurrency&amp;HP.TradeCurrency,"FG_PRICE(NOW)"),FDS(MO.ReportCurrency&amp;HP.TradeCurrency,"P_PRICE_AVG("&amp;INDEX(MO_SNA_FPStartDate,0,COLUMN())&amp;","&amp;INDEX(MO_Common_QEndDate,0,COLUMN())&amp;",,,,0)")),"N/A")</f>
        <v>N/A</v>
      </c>
      <c r="AK897" s="307" t="str">
        <f ca="1">IFERROR(IF(INDEX(MO_Common_QEndDate,0,COLUMN())&gt;TODAY(),FDS(MO.ReportCurrency&amp;HP.TradeCurrency,"FG_PRICE(NOW)"),FDS(MO.ReportCurrency&amp;HP.TradeCurrency,"P_PRICE_AVG("&amp;INDEX(MO_SNA_FPStartDate,0,COLUMN())&amp;","&amp;INDEX(MO_Common_QEndDate,0,COLUMN())&amp;",,,,0)")),"N/A")</f>
        <v>N/A</v>
      </c>
      <c r="AL897" s="307" t="str">
        <f ca="1">IFERROR(IF(INDEX(MO_Common_QEndDate,0,COLUMN())&gt;TODAY(),FDS(MO.ReportCurrency&amp;HP.TradeCurrency,"FG_PRICE(NOW)"),FDS(MO.ReportCurrency&amp;HP.TradeCurrency,"P_PRICE_AVG("&amp;INDEX(MO_SNA_FPStartDate,0,COLUMN())&amp;","&amp;INDEX(MO_Common_QEndDate,0,COLUMN())&amp;",,,,0)")),"N/A")</f>
        <v>N/A</v>
      </c>
      <c r="AM897" s="307" t="str">
        <f ca="1">IFERROR(IF(INDEX(MO_Common_QEndDate,0,COLUMN())&gt;TODAY(),FDS(MO.ReportCurrency&amp;HP.TradeCurrency,"FG_PRICE(NOW)"),FDS(MO.ReportCurrency&amp;HP.TradeCurrency,"P_PRICE_AVG("&amp;INDEX(MO_SNA_FPStartDate,0,COLUMN())&amp;","&amp;INDEX(MO_Common_QEndDate,0,COLUMN())&amp;",,,,0)")),"N/A")</f>
        <v>N/A</v>
      </c>
      <c r="AN897" s="307" t="str">
        <f ca="1">IFERROR(IF(INDEX(MO_Common_QEndDate,0,COLUMN())&gt;TODAY(),FDS(MO.ReportCurrency&amp;HP.TradeCurrency,"FG_PRICE(NOW)"),FDS(MO.ReportCurrency&amp;HP.TradeCurrency,"P_PRICE_AVG("&amp;INDEX(MO_SNA_FPStartDate,0,COLUMN())&amp;","&amp;INDEX(MO_Common_QEndDate,0,COLUMN())&amp;",,,,0)")),"N/A")</f>
        <v>N/A</v>
      </c>
      <c r="AO897" s="307" t="str">
        <f ca="1">IFERROR(IF(INDEX(MO_Common_QEndDate,0,COLUMN())&gt;TODAY(),FDS(MO.ReportCurrency&amp;HP.TradeCurrency,"FG_PRICE(NOW)"),FDS(MO.ReportCurrency&amp;HP.TradeCurrency,"P_PRICE_AVG("&amp;INDEX(MO_SNA_FPStartDate,0,COLUMN())&amp;","&amp;INDEX(MO_Common_QEndDate,0,COLUMN())&amp;",,,,0)")),"N/A")</f>
        <v>N/A</v>
      </c>
      <c r="AP897" s="307" t="str">
        <f ca="1">IFERROR(IF(INDEX(MO_Common_QEndDate,0,COLUMN())&gt;TODAY(),FDS(MO.ReportCurrency&amp;HP.TradeCurrency,"FG_PRICE(NOW)"),FDS(MO.ReportCurrency&amp;HP.TradeCurrency,"P_PRICE_AVG("&amp;INDEX(MO_SNA_FPStartDate,0,COLUMN())&amp;","&amp;INDEX(MO_Common_QEndDate,0,COLUMN())&amp;",,,,0)")),"N/A")</f>
        <v>N/A</v>
      </c>
      <c r="AQ897" s="307" t="str">
        <f ca="1">IFERROR(IF(INDEX(MO_Common_QEndDate,0,COLUMN())&gt;TODAY(),FDS(MO.ReportCurrency&amp;HP.TradeCurrency,"FG_PRICE(NOW)"),FDS(MO.ReportCurrency&amp;HP.TradeCurrency,"P_PRICE_AVG("&amp;INDEX(MO_SNA_FPStartDate,0,COLUMN())&amp;","&amp;INDEX(MO_Common_QEndDate,0,COLUMN())&amp;",,,,0)")),"N/A")</f>
        <v>N/A</v>
      </c>
      <c r="AR897" s="307" t="str">
        <f ca="1">IFERROR(IF(INDEX(MO_Common_QEndDate,0,COLUMN())&gt;TODAY(),FDS(MO.ReportCurrency&amp;HP.TradeCurrency,"FG_PRICE(NOW)"),FDS(MO.ReportCurrency&amp;HP.TradeCurrency,"P_PRICE_AVG("&amp;INDEX(MO_SNA_FPStartDate,0,COLUMN())&amp;","&amp;INDEX(MO_Common_QEndDate,0,COLUMN())&amp;",,,,0)")),"N/A")</f>
        <v>N/A</v>
      </c>
      <c r="AS897" s="307" t="str">
        <f ca="1">IFERROR(IF(INDEX(MO_Common_QEndDate,0,COLUMN())&gt;TODAY(),FDS(MO.ReportCurrency&amp;HP.TradeCurrency,"FG_PRICE(NOW)"),FDS(MO.ReportCurrency&amp;HP.TradeCurrency,"P_PRICE_AVG("&amp;INDEX(MO_SNA_FPStartDate,0,COLUMN())&amp;","&amp;INDEX(MO_Common_QEndDate,0,COLUMN())&amp;",,,,0)")),"N/A")</f>
        <v>N/A</v>
      </c>
      <c r="AT897" s="307" t="str">
        <f ca="1">IFERROR(IF(INDEX(MO_Common_QEndDate,0,COLUMN())&gt;TODAY(),FDS(MO.ReportCurrency&amp;HP.TradeCurrency,"FG_PRICE(NOW)"),FDS(MO.ReportCurrency&amp;HP.TradeCurrency,"P_PRICE_AVG("&amp;INDEX(MO_SNA_FPStartDate,0,COLUMN())&amp;","&amp;INDEX(MO_Common_QEndDate,0,COLUMN())&amp;",,,,0)")),"N/A")</f>
        <v>N/A</v>
      </c>
      <c r="AU897" s="307" t="str">
        <f ca="1">IFERROR(IF(INDEX(MO_Common_QEndDate,0,COLUMN())&gt;TODAY(),FDS(MO.ReportCurrency&amp;HP.TradeCurrency,"FG_PRICE(NOW)"),FDS(MO.ReportCurrency&amp;HP.TradeCurrency,"P_PRICE_AVG("&amp;INDEX(MO_SNA_FPStartDate,0,COLUMN())&amp;","&amp;INDEX(MO_Common_QEndDate,0,COLUMN())&amp;",,,,0)")),"N/A")</f>
        <v>N/A</v>
      </c>
      <c r="AV897" s="307" t="str">
        <f ca="1">IFERROR(IF(INDEX(MO_Common_QEndDate,0,COLUMN())&gt;TODAY(),FDS(MO.ReportCurrency&amp;HP.TradeCurrency,"FG_PRICE(NOW)"),FDS(MO.ReportCurrency&amp;HP.TradeCurrency,"P_PRICE_AVG("&amp;INDEX(MO_SNA_FPStartDate,0,COLUMN())&amp;","&amp;INDEX(MO_Common_QEndDate,0,COLUMN())&amp;",,,,0)")),"N/A")</f>
        <v>N/A</v>
      </c>
      <c r="AW897" s="307" t="str">
        <f ca="1">IFERROR(IF(INDEX(MO_Common_QEndDate,0,COLUMN())&gt;TODAY(),FDS(MO.ReportCurrency&amp;HP.TradeCurrency,"FG_PRICE(NOW)"),FDS(MO.ReportCurrency&amp;HP.TradeCurrency,"P_PRICE_AVG("&amp;INDEX(MO_SNA_FPStartDate,0,COLUMN())&amp;","&amp;INDEX(MO_Common_QEndDate,0,COLUMN())&amp;",,,,0)")),"N/A")</f>
        <v>N/A</v>
      </c>
      <c r="AX897" s="307" t="str">
        <f ca="1">IFERROR(IF(INDEX(MO_Common_QEndDate,0,COLUMN())&gt;TODAY(),FDS(MO.ReportCurrency&amp;HP.TradeCurrency,"FG_PRICE(NOW)"),FDS(MO.ReportCurrency&amp;HP.TradeCurrency,"P_PRICE_AVG("&amp;INDEX(MO_SNA_FPStartDate,0,COLUMN())&amp;","&amp;INDEX(MO_Common_QEndDate,0,COLUMN())&amp;",,,,0)")),"N/A")</f>
        <v>N/A</v>
      </c>
      <c r="AY897" s="307" t="str">
        <f ca="1">IFERROR(IF(INDEX(MO_Common_QEndDate,0,COLUMN())&gt;TODAY(),FDS(MO.ReportCurrency&amp;HP.TradeCurrency,"FG_PRICE(NOW)"),FDS(MO.ReportCurrency&amp;HP.TradeCurrency,"P_PRICE_AVG("&amp;INDEX(MO_SNA_FPStartDate,0,COLUMN())&amp;","&amp;INDEX(MO_Common_QEndDate,0,COLUMN())&amp;",,,,0)")),"N/A")</f>
        <v>N/A</v>
      </c>
      <c r="AZ897" s="307" t="str">
        <f ca="1">IFERROR(IF(INDEX(MO_Common_QEndDate,0,COLUMN())&gt;TODAY(),FDS(MO.ReportCurrency&amp;HP.TradeCurrency,"FG_PRICE(NOW)"),FDS(MO.ReportCurrency&amp;HP.TradeCurrency,"P_PRICE_AVG("&amp;INDEX(MO_SNA_FPStartDate,0,COLUMN())&amp;","&amp;INDEX(MO_Common_QEndDate,0,COLUMN())&amp;",,,,0)")),"N/A")</f>
        <v>N/A</v>
      </c>
      <c r="BA897" s="307" t="str">
        <f ca="1">IFERROR(IF(INDEX(MO_Common_QEndDate,0,COLUMN())&gt;TODAY(),FDS(MO.ReportCurrency&amp;HP.TradeCurrency,"FG_PRICE(NOW)"),FDS(MO.ReportCurrency&amp;HP.TradeCurrency,"P_PRICE_AVG("&amp;INDEX(MO_SNA_FPStartDate,0,COLUMN())&amp;","&amp;INDEX(MO_Common_QEndDate,0,COLUMN())&amp;",,,,0)")),"N/A")</f>
        <v>N/A</v>
      </c>
      <c r="BB897" s="307" t="str">
        <f ca="1">IFERROR(IF(INDEX(MO_Common_QEndDate,0,COLUMN())&gt;TODAY(),FDS(MO.ReportCurrency&amp;HP.TradeCurrency,"FG_PRICE(NOW)"),FDS(MO.ReportCurrency&amp;HP.TradeCurrency,"P_PRICE_AVG("&amp;INDEX(MO_SNA_FPStartDate,0,COLUMN())&amp;","&amp;INDEX(MO_Common_QEndDate,0,COLUMN())&amp;",,,,0)")),"N/A")</f>
        <v>N/A</v>
      </c>
      <c r="BC897" s="307" t="str">
        <f ca="1">IFERROR(IF(INDEX(MO_Common_QEndDate,0,COLUMN())&gt;TODAY(),FDS(MO.ReportCurrency&amp;HP.TradeCurrency,"FG_PRICE(NOW)"),FDS(MO.ReportCurrency&amp;HP.TradeCurrency,"P_PRICE_AVG("&amp;INDEX(MO_SNA_FPStartDate,0,COLUMN())&amp;","&amp;INDEX(MO_Common_QEndDate,0,COLUMN())&amp;",,,,0)")),"N/A")</f>
        <v>N/A</v>
      </c>
      <c r="BD897" s="307" t="str">
        <f ca="1">IFERROR(IF(INDEX(MO_Common_QEndDate,0,COLUMN())&gt;TODAY(),FDS(MO.ReportCurrency&amp;HP.TradeCurrency,"FG_PRICE(NOW)"),FDS(MO.ReportCurrency&amp;HP.TradeCurrency,"P_PRICE_AVG("&amp;INDEX(MO_SNA_FPStartDate,0,COLUMN())&amp;","&amp;INDEX(MO_Common_QEndDate,0,COLUMN())&amp;",,,,0)")),"N/A")</f>
        <v>N/A</v>
      </c>
      <c r="BE897" s="307" t="str">
        <f ca="1">IFERROR(IF(INDEX(MO_Common_QEndDate,0,COLUMN())&gt;TODAY(),FDS(MO.ReportCurrency&amp;HP.TradeCurrency,"FG_PRICE(NOW)"),FDS(MO.ReportCurrency&amp;HP.TradeCurrency,"P_PRICE_AVG("&amp;INDEX(MO_SNA_FPStartDate,0,COLUMN())&amp;","&amp;INDEX(MO_Common_QEndDate,0,COLUMN())&amp;",,,,0)")),"N/A")</f>
        <v>N/A</v>
      </c>
      <c r="BF897" s="307" t="str">
        <f ca="1">IFERROR(IF(INDEX(MO_Common_QEndDate,0,COLUMN())&gt;TODAY(),FDS(MO.ReportCurrency&amp;HP.TradeCurrency,"FG_PRICE(NOW)"),FDS(MO.ReportCurrency&amp;HP.TradeCurrency,"P_PRICE_AVG("&amp;INDEX(MO_SNA_FPStartDate,0,COLUMN())&amp;","&amp;INDEX(MO_Common_QEndDate,0,COLUMN())&amp;",,,,0)")),"N/A")</f>
        <v>N/A</v>
      </c>
      <c r="BG897" s="307" t="str">
        <f ca="1">IFERROR(IF(INDEX(MO_Common_QEndDate,0,COLUMN())&gt;TODAY(),FDS(MO.ReportCurrency&amp;HP.TradeCurrency,"FG_PRICE(NOW)"),FDS(MO.ReportCurrency&amp;HP.TradeCurrency,"P_PRICE_AVG("&amp;INDEX(MO_SNA_FPStartDate,0,COLUMN())&amp;","&amp;INDEX(MO_Common_QEndDate,0,COLUMN())&amp;",,,,0)")),"N/A")</f>
        <v>N/A</v>
      </c>
      <c r="BH897" s="307" t="str">
        <f ca="1">IFERROR(IF(INDEX(MO_Common_QEndDate,0,COLUMN())&gt;TODAY(),FDS(MO.ReportCurrency&amp;HP.TradeCurrency,"FG_PRICE(NOW)"),FDS(MO.ReportCurrency&amp;HP.TradeCurrency,"P_PRICE_AVG("&amp;INDEX(MO_SNA_FPStartDate,0,COLUMN())&amp;","&amp;INDEX(MO_Common_QEndDate,0,COLUMN())&amp;",,,,0)")),"N/A")</f>
        <v>N/A</v>
      </c>
      <c r="BI897" s="307" t="str">
        <f ca="1">IFERROR(IF(INDEX(MO_Common_QEndDate,0,COLUMN())&gt;TODAY(),FDS(MO.ReportCurrency&amp;HP.TradeCurrency,"FG_PRICE(NOW)"),FDS(MO.ReportCurrency&amp;HP.TradeCurrency,"P_PRICE_AVG("&amp;INDEX(MO_SNA_FPStartDate,0,COLUMN())&amp;","&amp;INDEX(MO_Common_QEndDate,0,COLUMN())&amp;",,,,0)")),"N/A")</f>
        <v>N/A</v>
      </c>
      <c r="BJ897" s="307" t="str">
        <f ca="1">IFERROR(IF(INDEX(MO_Common_QEndDate,0,COLUMN())&gt;TODAY(),FDS(MO.ReportCurrency&amp;HP.TradeCurrency,"FG_PRICE(NOW)"),FDS(MO.ReportCurrency&amp;HP.TradeCurrency,"P_PRICE_AVG("&amp;INDEX(MO_SNA_FPStartDate,0,COLUMN())&amp;","&amp;INDEX(MO_Common_QEndDate,0,COLUMN())&amp;",,,,0)")),"N/A")</f>
        <v>N/A</v>
      </c>
      <c r="BK897" s="307" t="str">
        <f ca="1">IFERROR(IF(INDEX(MO_Common_QEndDate,0,COLUMN())&gt;TODAY(),FDS(MO.ReportCurrency&amp;HP.TradeCurrency,"FG_PRICE(NOW)"),FDS(MO.ReportCurrency&amp;HP.TradeCurrency,"P_PRICE_AVG("&amp;INDEX(MO_SNA_FPStartDate,0,COLUMN())&amp;","&amp;INDEX(MO_Common_QEndDate,0,COLUMN())&amp;",,,,0)")),"N/A")</f>
        <v>N/A</v>
      </c>
      <c r="BL897" s="307" t="str">
        <f ca="1">IFERROR(IF(INDEX(MO_Common_QEndDate,0,COLUMN())&gt;TODAY(),FDS(MO.ReportCurrency&amp;HP.TradeCurrency,"FG_PRICE(NOW)"),FDS(MO.ReportCurrency&amp;HP.TradeCurrency,"P_PRICE_AVG("&amp;INDEX(MO_SNA_FPStartDate,0,COLUMN())&amp;","&amp;INDEX(MO_Common_QEndDate,0,COLUMN())&amp;",,,,0)")),"N/A")</f>
        <v>N/A</v>
      </c>
      <c r="BM897" s="307" t="str">
        <f ca="1">IFERROR(IF(INDEX(MO_Common_QEndDate,0,COLUMN())&gt;TODAY(),FDS(MO.ReportCurrency&amp;HP.TradeCurrency,"FG_PRICE(NOW)"),FDS(MO.ReportCurrency&amp;HP.TradeCurrency,"P_PRICE_AVG("&amp;INDEX(MO_SNA_FPStartDate,0,COLUMN())&amp;","&amp;INDEX(MO_Common_QEndDate,0,COLUMN())&amp;",,,,0)")),"N/A")</f>
        <v>N/A</v>
      </c>
      <c r="BN897" s="307" t="str">
        <f ca="1">IFERROR(IF(INDEX(MO_Common_QEndDate,0,COLUMN())&gt;TODAY(),FDS(MO.ReportCurrency&amp;HP.TradeCurrency,"FG_PRICE(NOW)"),FDS(MO.ReportCurrency&amp;HP.TradeCurrency,"P_PRICE_AVG("&amp;INDEX(MO_SNA_FPStartDate,0,COLUMN())&amp;","&amp;INDEX(MO_Common_QEndDate,0,COLUMN())&amp;",,,,0)")),"N/A")</f>
        <v>N/A</v>
      </c>
      <c r="BO897" s="307" t="str">
        <f ca="1">IFERROR(IF(INDEX(MO_Common_QEndDate,0,COLUMN())&gt;TODAY(),FDS(MO.ReportCurrency&amp;HP.TradeCurrency,"FG_PRICE(NOW)"),FDS(MO.ReportCurrency&amp;HP.TradeCurrency,"P_PRICE_AVG("&amp;INDEX(MO_SNA_FPStartDate,0,COLUMN())&amp;","&amp;INDEX(MO_Common_QEndDate,0,COLUMN())&amp;",,,,0)")),"N/A")</f>
        <v>N/A</v>
      </c>
      <c r="BP897" s="307" t="str">
        <f ca="1">IFERROR(IF(INDEX(MO_Common_QEndDate,0,COLUMN())&gt;TODAY(),FDS(MO.ReportCurrency&amp;HP.TradeCurrency,"FG_PRICE(NOW)"),FDS(MO.ReportCurrency&amp;HP.TradeCurrency,"P_PRICE_AVG("&amp;INDEX(MO_SNA_FPStartDate,0,COLUMN())&amp;","&amp;INDEX(MO_Common_QEndDate,0,COLUMN())&amp;",,,,0)")),"N/A")</f>
        <v>N/A</v>
      </c>
      <c r="BQ897" s="307" t="str">
        <f ca="1">IFERROR(IF(INDEX(MO_Common_QEndDate,0,COLUMN())&gt;TODAY(),FDS(MO.ReportCurrency&amp;HP.TradeCurrency,"FG_PRICE(NOW)"),FDS(MO.ReportCurrency&amp;HP.TradeCurrency,"P_PRICE_AVG("&amp;INDEX(MO_SNA_FPStartDate,0,COLUMN())&amp;","&amp;INDEX(MO_Common_QEndDate,0,COLUMN())&amp;",,,,0)")),"N/A")</f>
        <v>N/A</v>
      </c>
      <c r="BR897" s="307" t="str">
        <f ca="1">IFERROR(IF(INDEX(MO_Common_QEndDate,0,COLUMN())&gt;TODAY(),FDS(MO.ReportCurrency&amp;HP.TradeCurrency,"FG_PRICE(NOW)"),FDS(MO.ReportCurrency&amp;HP.TradeCurrency,"P_PRICE_AVG("&amp;INDEX(MO_SNA_FPStartDate,0,COLUMN())&amp;","&amp;INDEX(MO_Common_QEndDate,0,COLUMN())&amp;",,,,0)")),"N/A")</f>
        <v>N/A</v>
      </c>
      <c r="BS897" s="307" t="str">
        <f ca="1">IFERROR(IF(INDEX(MO_Common_QEndDate,0,COLUMN())&gt;TODAY(),FDS(MO.ReportCurrency&amp;HP.TradeCurrency,"FG_PRICE(NOW)"),FDS(MO.ReportCurrency&amp;HP.TradeCurrency,"P_PRICE_AVG("&amp;INDEX(MO_SNA_FPStartDate,0,COLUMN())&amp;","&amp;INDEX(MO_Common_QEndDate,0,COLUMN())&amp;",,,,0)")),"N/A")</f>
        <v>N/A</v>
      </c>
      <c r="BT897" s="403" t="str">
        <f ca="1">IFERROR(IF(INDEX(MO_Common_QEndDate,0,COLUMN())&gt;TODAY(),FDS(MO.ReportCurrency&amp;HP.TradeCurrency,"FG_PRICE(NOW)"),FDS(MO.ReportCurrency&amp;HP.TradeCurrency,"P_PRICE_AVG("&amp;INDEX(MO_SNA_FPStartDate,0,COLUMN())&amp;","&amp;INDEX(MO_Common_QEndDate,0,COLUMN())&amp;",,,,0)")),"N/A")</f>
        <v>N/A</v>
      </c>
      <c r="BU897" s="307" t="str">
        <f ca="1">IFERROR(IF(INDEX(MO_Common_QEndDate,0,COLUMN())&gt;TODAY(),FDS(MO.ReportCurrency&amp;HP.TradeCurrency,"FG_PRICE(NOW)"),FDS(MO.ReportCurrency&amp;HP.TradeCurrency,"P_PRICE_AVG("&amp;INDEX(MO_SNA_FPStartDate,0,COLUMN())&amp;","&amp;INDEX(MO_Common_QEndDate,0,COLUMN())&amp;",,,,0)")),"N/A")</f>
        <v>N/A</v>
      </c>
      <c r="BV897" s="307" t="str">
        <f ca="1">IFERROR(IF(INDEX(MO_Common_QEndDate,0,COLUMN())&gt;TODAY(),FDS(MO.ReportCurrency&amp;HP.TradeCurrency,"FG_PRICE(NOW)"),FDS(MO.ReportCurrency&amp;HP.TradeCurrency,"P_PRICE_AVG("&amp;INDEX(MO_SNA_FPStartDate,0,COLUMN())&amp;","&amp;INDEX(MO_Common_QEndDate,0,COLUMN())&amp;",,,,0)")),"N/A")</f>
        <v>N/A</v>
      </c>
      <c r="BW897" s="307" t="str">
        <f ca="1">IFERROR(IF(INDEX(MO_Common_QEndDate,0,COLUMN())&gt;TODAY(),FDS(MO.ReportCurrency&amp;HP.TradeCurrency,"FG_PRICE(NOW)"),FDS(MO.ReportCurrency&amp;HP.TradeCurrency,"P_PRICE_AVG("&amp;INDEX(MO_SNA_FPStartDate,0,COLUMN())&amp;","&amp;INDEX(MO_Common_QEndDate,0,COLUMN())&amp;",,,,0)")),"N/A")</f>
        <v>N/A</v>
      </c>
      <c r="BX897" s="307" t="str">
        <f ca="1">IFERROR(IF(INDEX(MO_Common_QEndDate,0,COLUMN())&gt;TODAY(),FDS(MO.ReportCurrency&amp;HP.TradeCurrency,"FG_PRICE(NOW)"),FDS(MO.ReportCurrency&amp;HP.TradeCurrency,"P_PRICE_AVG("&amp;INDEX(MO_SNA_FPStartDate,0,COLUMN())&amp;","&amp;INDEX(MO_Common_QEndDate,0,COLUMN())&amp;",,,,0)")),"N/A")</f>
        <v>N/A</v>
      </c>
      <c r="BY897" s="307" t="str">
        <f ca="1">IFERROR(IF(INDEX(MO_Common_QEndDate,0,COLUMN())&gt;TODAY(),FDS(MO.ReportCurrency&amp;HP.TradeCurrency,"FG_PRICE(NOW)"),FDS(MO.ReportCurrency&amp;HP.TradeCurrency,"P_PRICE_AVG("&amp;INDEX(MO_SNA_FPStartDate,0,COLUMN())&amp;","&amp;INDEX(MO_Common_QEndDate,0,COLUMN())&amp;",,,,0)")),"N/A")</f>
        <v>N/A</v>
      </c>
      <c r="BZ897" s="307" t="str">
        <f ca="1">IFERROR(IF(INDEX(MO_Common_QEndDate,0,COLUMN())&gt;TODAY(),FDS(MO.ReportCurrency&amp;HP.TradeCurrency,"FG_PRICE(NOW)"),FDS(MO.ReportCurrency&amp;HP.TradeCurrency,"P_PRICE_AVG("&amp;INDEX(MO_SNA_FPStartDate,0,COLUMN())&amp;","&amp;INDEX(MO_Common_QEndDate,0,COLUMN())&amp;",,,,0)")),"N/A")</f>
        <v>N/A</v>
      </c>
      <c r="CA897" s="307" t="str">
        <f ca="1">IFERROR(IF(INDEX(MO_Common_QEndDate,0,COLUMN())&gt;TODAY(),FDS(MO.ReportCurrency&amp;HP.TradeCurrency,"FG_PRICE(NOW)"),FDS(MO.ReportCurrency&amp;HP.TradeCurrency,"P_PRICE_AVG("&amp;INDEX(MO_SNA_FPStartDate,0,COLUMN())&amp;","&amp;INDEX(MO_Common_QEndDate,0,COLUMN())&amp;",,,,0)")),"N/A")</f>
        <v>N/A</v>
      </c>
      <c r="CB897" s="307" t="str">
        <f ca="1">IFERROR(IF(INDEX(MO_Common_QEndDate,0,COLUMN())&gt;TODAY(),FDS(MO.ReportCurrency&amp;HP.TradeCurrency,"FG_PRICE(NOW)"),FDS(MO.ReportCurrency&amp;HP.TradeCurrency,"P_PRICE_AVG("&amp;INDEX(MO_SNA_FPStartDate,0,COLUMN())&amp;","&amp;INDEX(MO_Common_QEndDate,0,COLUMN())&amp;",,,,0)")),"N/A")</f>
        <v>N/A</v>
      </c>
      <c r="CC897" s="307" t="str">
        <f ca="1">IFERROR(IF(INDEX(MO_Common_QEndDate,0,COLUMN())&gt;TODAY(),FDS(MO.ReportCurrency&amp;HP.TradeCurrency,"FG_PRICE(NOW)"),FDS(MO.ReportCurrency&amp;HP.TradeCurrency,"P_PRICE_AVG("&amp;INDEX(MO_SNA_FPStartDate,0,COLUMN())&amp;","&amp;INDEX(MO_Common_QEndDate,0,COLUMN())&amp;",,,,0)")),"N/A")</f>
        <v>N/A</v>
      </c>
      <c r="CD897" s="307" t="str">
        <f ca="1">IFERROR(IF(INDEX(MO_Common_QEndDate,0,COLUMN())&gt;TODAY(),FDS(MO.ReportCurrency&amp;HP.TradeCurrency,"FG_PRICE(NOW)"),FDS(MO.ReportCurrency&amp;HP.TradeCurrency,"P_PRICE_AVG("&amp;INDEX(MO_SNA_FPStartDate,0,COLUMN())&amp;","&amp;INDEX(MO_Common_QEndDate,0,COLUMN())&amp;",,,,0)")),"N/A")</f>
        <v>N/A</v>
      </c>
      <c r="CE897" s="307" t="str">
        <f ca="1">IFERROR(IF(INDEX(MO_Common_QEndDate,0,COLUMN())&gt;TODAY(),FDS(MO.ReportCurrency&amp;HP.TradeCurrency,"FG_PRICE(NOW)"),FDS(MO.ReportCurrency&amp;HP.TradeCurrency,"P_PRICE_AVG("&amp;INDEX(MO_SNA_FPStartDate,0,COLUMN())&amp;","&amp;INDEX(MO_Common_QEndDate,0,COLUMN())&amp;",,,,0)")),"N/A")</f>
        <v>N/A</v>
      </c>
      <c r="CF897" s="404" t="str">
        <f ca="1">IFERROR(IF(INDEX(MO_Common_QEndDate,0,COLUMN())&gt;TODAY(),FDS(MO.ReportCurrency&amp;HP.TradeCurrency,"FG_PRICE(NOW)"),FDS(MO.ReportCurrency&amp;HP.TradeCurrency,"P_PRICE_AVG("&amp;INDEX(MO_SNA_FPStartDate,0,COLUMN())&amp;","&amp;INDEX(MO_Common_QEndDate,0,COLUMN())&amp;",,,,0)")),"N/A")</f>
        <v>N/A</v>
      </c>
      <c r="CG897" s="261"/>
    </row>
    <row r="898" spans="1:85" s="446" customFormat="1" hidden="1" outlineLevel="1" x14ac:dyDescent="0.3">
      <c r="A898" s="213" t="s">
        <v>594</v>
      </c>
      <c r="B898" s="307"/>
      <c r="C898" s="402" t="str">
        <f t="shared" ref="C898:AH898" si="1910">"N/A"</f>
        <v>N/A</v>
      </c>
      <c r="D898" s="402" t="str">
        <f t="shared" si="1910"/>
        <v>N/A</v>
      </c>
      <c r="E898" s="307" t="str">
        <f t="shared" si="1910"/>
        <v>N/A</v>
      </c>
      <c r="F898" s="307" t="str">
        <f t="shared" si="1910"/>
        <v>N/A</v>
      </c>
      <c r="G898" s="307" t="str">
        <f t="shared" si="1910"/>
        <v>N/A</v>
      </c>
      <c r="H898" s="307" t="str">
        <f t="shared" si="1910"/>
        <v>N/A</v>
      </c>
      <c r="I898" s="307" t="str">
        <f t="shared" si="1910"/>
        <v>N/A</v>
      </c>
      <c r="J898" s="307" t="str">
        <f t="shared" si="1910"/>
        <v>N/A</v>
      </c>
      <c r="K898" s="307" t="str">
        <f t="shared" si="1910"/>
        <v>N/A</v>
      </c>
      <c r="L898" s="307" t="str">
        <f t="shared" si="1910"/>
        <v>N/A</v>
      </c>
      <c r="M898" s="307" t="str">
        <f t="shared" si="1910"/>
        <v>N/A</v>
      </c>
      <c r="N898" s="307" t="str">
        <f t="shared" si="1910"/>
        <v>N/A</v>
      </c>
      <c r="O898" s="307" t="str">
        <f t="shared" si="1910"/>
        <v>N/A</v>
      </c>
      <c r="P898" s="307" t="str">
        <f t="shared" si="1910"/>
        <v>N/A</v>
      </c>
      <c r="Q898" s="307" t="str">
        <f t="shared" si="1910"/>
        <v>N/A</v>
      </c>
      <c r="R898" s="307" t="str">
        <f t="shared" si="1910"/>
        <v>N/A</v>
      </c>
      <c r="S898" s="307" t="str">
        <f t="shared" si="1910"/>
        <v>N/A</v>
      </c>
      <c r="T898" s="307" t="str">
        <f t="shared" si="1910"/>
        <v>N/A</v>
      </c>
      <c r="U898" s="307" t="str">
        <f t="shared" si="1910"/>
        <v>N/A</v>
      </c>
      <c r="V898" s="307" t="str">
        <f t="shared" si="1910"/>
        <v>N/A</v>
      </c>
      <c r="W898" s="307" t="str">
        <f t="shared" si="1910"/>
        <v>N/A</v>
      </c>
      <c r="X898" s="307" t="str">
        <f t="shared" si="1910"/>
        <v>N/A</v>
      </c>
      <c r="Y898" s="307" t="str">
        <f t="shared" si="1910"/>
        <v>N/A</v>
      </c>
      <c r="Z898" s="307" t="str">
        <f t="shared" si="1910"/>
        <v>N/A</v>
      </c>
      <c r="AA898" s="307" t="str">
        <f t="shared" si="1910"/>
        <v>N/A</v>
      </c>
      <c r="AB898" s="307" t="str">
        <f t="shared" si="1910"/>
        <v>N/A</v>
      </c>
      <c r="AC898" s="307" t="str">
        <f t="shared" si="1910"/>
        <v>N/A</v>
      </c>
      <c r="AD898" s="307" t="str">
        <f t="shared" si="1910"/>
        <v>N/A</v>
      </c>
      <c r="AE898" s="307" t="str">
        <f t="shared" si="1910"/>
        <v>N/A</v>
      </c>
      <c r="AF898" s="307" t="str">
        <f t="shared" si="1910"/>
        <v>N/A</v>
      </c>
      <c r="AG898" s="307" t="str">
        <f t="shared" si="1910"/>
        <v>N/A</v>
      </c>
      <c r="AH898" s="307" t="str">
        <f t="shared" si="1910"/>
        <v>N/A</v>
      </c>
      <c r="AI898" s="307" t="str">
        <f t="shared" ref="AI898:AU898" si="1911">"N/A"</f>
        <v>N/A</v>
      </c>
      <c r="AJ898" s="307" t="str">
        <f t="shared" si="1911"/>
        <v>N/A</v>
      </c>
      <c r="AK898" s="307" t="str">
        <f t="shared" si="1911"/>
        <v>N/A</v>
      </c>
      <c r="AL898" s="307" t="str">
        <f t="shared" si="1911"/>
        <v>N/A</v>
      </c>
      <c r="AM898" s="307" t="str">
        <f t="shared" si="1911"/>
        <v>N/A</v>
      </c>
      <c r="AN898" s="307" t="str">
        <f t="shared" si="1911"/>
        <v>N/A</v>
      </c>
      <c r="AO898" s="307" t="str">
        <f t="shared" si="1911"/>
        <v>N/A</v>
      </c>
      <c r="AP898" s="307" t="str">
        <f t="shared" si="1911"/>
        <v>N/A</v>
      </c>
      <c r="AQ898" s="307" t="str">
        <f t="shared" si="1911"/>
        <v>N/A</v>
      </c>
      <c r="AR898" s="307" t="str">
        <f>"N/A"</f>
        <v>N/A</v>
      </c>
      <c r="AS898" s="307" t="str">
        <f t="shared" si="1911"/>
        <v>N/A</v>
      </c>
      <c r="AT898" s="307" t="str">
        <f t="shared" si="1911"/>
        <v>N/A</v>
      </c>
      <c r="AU898" s="307" t="str">
        <f t="shared" si="1911"/>
        <v>N/A</v>
      </c>
      <c r="AV898" s="307" t="str">
        <f t="shared" ref="AV898:BA898" si="1912">"N/A"</f>
        <v>N/A</v>
      </c>
      <c r="AW898" s="307" t="str">
        <f t="shared" si="1912"/>
        <v>N/A</v>
      </c>
      <c r="AX898" s="307" t="str">
        <f t="shared" si="1912"/>
        <v>N/A</v>
      </c>
      <c r="AY898" s="307" t="str">
        <f t="shared" si="1912"/>
        <v>N/A</v>
      </c>
      <c r="AZ898" s="307" t="str">
        <f t="shared" si="1912"/>
        <v>N/A</v>
      </c>
      <c r="BA898" s="307" t="str">
        <f t="shared" si="1912"/>
        <v>N/A</v>
      </c>
      <c r="BB898" s="307" t="str">
        <f t="shared" ref="BB898:BD898" si="1913">"N/A"</f>
        <v>N/A</v>
      </c>
      <c r="BC898" s="307" t="str">
        <f t="shared" si="1913"/>
        <v>N/A</v>
      </c>
      <c r="BD898" s="307" t="str">
        <f t="shared" si="1913"/>
        <v>N/A</v>
      </c>
      <c r="BE898" s="307" t="str">
        <f t="shared" ref="BE898:BI898" si="1914">"N/A"</f>
        <v>N/A</v>
      </c>
      <c r="BF898" s="307" t="str">
        <f t="shared" si="1914"/>
        <v>N/A</v>
      </c>
      <c r="BG898" s="307" t="str">
        <f t="shared" si="1914"/>
        <v>N/A</v>
      </c>
      <c r="BH898" s="307" t="str">
        <f t="shared" si="1914"/>
        <v>N/A</v>
      </c>
      <c r="BI898" s="307" t="str">
        <f t="shared" si="1914"/>
        <v>N/A</v>
      </c>
      <c r="BJ898" s="307" t="str">
        <f t="shared" ref="BJ898:BX898" si="1915">"N/A"</f>
        <v>N/A</v>
      </c>
      <c r="BK898" s="307" t="str">
        <f t="shared" si="1915"/>
        <v>N/A</v>
      </c>
      <c r="BL898" s="307" t="str">
        <f t="shared" si="1915"/>
        <v>N/A</v>
      </c>
      <c r="BM898" s="307" t="str">
        <f t="shared" si="1915"/>
        <v>N/A</v>
      </c>
      <c r="BN898" s="307" t="str">
        <f t="shared" si="1915"/>
        <v>N/A</v>
      </c>
      <c r="BO898" s="307" t="str">
        <f t="shared" ref="BO898:BW898" si="1916">"N/A"</f>
        <v>N/A</v>
      </c>
      <c r="BP898" s="307" t="str">
        <f t="shared" si="1916"/>
        <v>N/A</v>
      </c>
      <c r="BQ898" s="307" t="str">
        <f t="shared" si="1916"/>
        <v>N/A</v>
      </c>
      <c r="BR898" s="307" t="str">
        <f t="shared" si="1916"/>
        <v>N/A</v>
      </c>
      <c r="BS898" s="307" t="str">
        <f t="shared" si="1916"/>
        <v>N/A</v>
      </c>
      <c r="BT898" s="403" t="str">
        <f>"N/A"</f>
        <v>N/A</v>
      </c>
      <c r="BU898" s="307" t="str">
        <f t="shared" si="1916"/>
        <v>N/A</v>
      </c>
      <c r="BV898" s="307" t="str">
        <f t="shared" si="1916"/>
        <v>N/A</v>
      </c>
      <c r="BW898" s="307" t="str">
        <f t="shared" si="1916"/>
        <v>N/A</v>
      </c>
      <c r="BX898" s="307" t="str">
        <f t="shared" si="1915"/>
        <v>N/A</v>
      </c>
      <c r="BY898" s="307" t="str">
        <f t="shared" ref="BY898:CF898" si="1917">"N/A"</f>
        <v>N/A</v>
      </c>
      <c r="BZ898" s="307" t="str">
        <f t="shared" si="1917"/>
        <v>N/A</v>
      </c>
      <c r="CA898" s="307" t="str">
        <f t="shared" si="1917"/>
        <v>N/A</v>
      </c>
      <c r="CB898" s="307" t="str">
        <f t="shared" si="1917"/>
        <v>N/A</v>
      </c>
      <c r="CC898" s="307" t="str">
        <f t="shared" si="1917"/>
        <v>N/A</v>
      </c>
      <c r="CD898" s="307" t="str">
        <f t="shared" si="1917"/>
        <v>N/A</v>
      </c>
      <c r="CE898" s="307" t="str">
        <f t="shared" si="1917"/>
        <v>N/A</v>
      </c>
      <c r="CF898" s="404" t="str">
        <f t="shared" si="1917"/>
        <v>N/A</v>
      </c>
      <c r="CG898" s="261"/>
    </row>
    <row r="899" spans="1:85" s="424" customFormat="1" hidden="1" outlineLevel="1" collapsed="1" x14ac:dyDescent="0.3">
      <c r="A899" s="186"/>
      <c r="B899" s="722"/>
      <c r="C899" s="237"/>
      <c r="D899" s="237"/>
      <c r="E899" s="722"/>
      <c r="F899" s="722"/>
      <c r="G899" s="722"/>
      <c r="H899" s="722"/>
      <c r="I899" s="722"/>
      <c r="J899" s="722"/>
      <c r="K899" s="722"/>
      <c r="L899" s="722"/>
      <c r="M899" s="722"/>
      <c r="N899" s="722"/>
      <c r="O899" s="722"/>
      <c r="P899" s="722"/>
      <c r="Q899" s="722"/>
      <c r="R899" s="722"/>
      <c r="S899" s="722"/>
      <c r="T899" s="722"/>
      <c r="U899" s="722"/>
      <c r="V899" s="722"/>
      <c r="W899" s="722"/>
      <c r="X899" s="722"/>
      <c r="Y899" s="722"/>
      <c r="Z899" s="722"/>
      <c r="AA899" s="722"/>
      <c r="AB899" s="722"/>
      <c r="AC899" s="722"/>
      <c r="AD899" s="722"/>
      <c r="AE899" s="722"/>
      <c r="AF899" s="722"/>
      <c r="AG899" s="722"/>
      <c r="AH899" s="722"/>
      <c r="AI899" s="722"/>
      <c r="AJ899" s="722"/>
      <c r="AK899" s="722"/>
      <c r="AL899" s="722"/>
      <c r="AM899" s="722"/>
      <c r="AN899" s="722"/>
      <c r="AO899" s="722"/>
      <c r="AP899" s="722"/>
      <c r="AQ899" s="722"/>
      <c r="AR899" s="722"/>
      <c r="AS899" s="722"/>
      <c r="AT899" s="722"/>
      <c r="AU899" s="722"/>
      <c r="AV899" s="722"/>
      <c r="AW899" s="722"/>
      <c r="AX899" s="722"/>
      <c r="AY899" s="722"/>
      <c r="AZ899" s="722"/>
      <c r="BA899" s="722"/>
      <c r="BB899" s="722"/>
      <c r="BC899" s="722"/>
      <c r="BD899" s="722"/>
      <c r="BE899" s="722"/>
      <c r="BF899" s="722"/>
      <c r="BG899" s="722"/>
      <c r="BH899" s="722"/>
      <c r="BI899" s="722"/>
      <c r="BJ899" s="722"/>
      <c r="BK899" s="722"/>
      <c r="BL899" s="722"/>
      <c r="BM899" s="722"/>
      <c r="BN899" s="722"/>
      <c r="BO899" s="722"/>
      <c r="BP899" s="722"/>
      <c r="BQ899" s="722"/>
      <c r="BR899" s="722"/>
      <c r="BS899" s="722"/>
      <c r="BT899" s="723"/>
      <c r="BU899" s="722"/>
      <c r="BV899" s="722"/>
      <c r="BW899" s="722"/>
      <c r="BX899" s="722"/>
      <c r="BY899" s="722"/>
      <c r="BZ899" s="722"/>
      <c r="CA899" s="722"/>
      <c r="CB899" s="722"/>
      <c r="CC899" s="722"/>
      <c r="CD899" s="722"/>
      <c r="CE899" s="722"/>
      <c r="CF899" s="201"/>
      <c r="CG899" s="259"/>
    </row>
    <row r="900" spans="1:85" s="424" customFormat="1" collapsed="1" x14ac:dyDescent="0.3">
      <c r="A900" s="186" t="s">
        <v>695</v>
      </c>
      <c r="B900" s="722"/>
      <c r="C900" s="397">
        <f t="shared" ref="C900:AH900" si="1918">WORKDAY(INDEX(MO_Common_QEndDate,0,COLUMN()),-1)</f>
        <v>40177</v>
      </c>
      <c r="D900" s="397">
        <f t="shared" si="1918"/>
        <v>40542</v>
      </c>
      <c r="E900" s="207">
        <f t="shared" si="1918"/>
        <v>40907</v>
      </c>
      <c r="F900" s="207">
        <f t="shared" si="1918"/>
        <v>41271</v>
      </c>
      <c r="G900" s="207">
        <f t="shared" si="1918"/>
        <v>41362</v>
      </c>
      <c r="H900" s="207">
        <f t="shared" si="1918"/>
        <v>41453</v>
      </c>
      <c r="I900" s="207">
        <f t="shared" si="1918"/>
        <v>41544</v>
      </c>
      <c r="J900" s="207">
        <f t="shared" si="1918"/>
        <v>41638</v>
      </c>
      <c r="K900" s="207">
        <f t="shared" si="1918"/>
        <v>41638</v>
      </c>
      <c r="L900" s="207">
        <f t="shared" si="1918"/>
        <v>41726</v>
      </c>
      <c r="M900" s="207">
        <f t="shared" si="1918"/>
        <v>41817</v>
      </c>
      <c r="N900" s="207">
        <f t="shared" si="1918"/>
        <v>41911</v>
      </c>
      <c r="O900" s="207">
        <f t="shared" si="1918"/>
        <v>42003</v>
      </c>
      <c r="P900" s="207">
        <f t="shared" si="1918"/>
        <v>42003</v>
      </c>
      <c r="Q900" s="207">
        <f t="shared" si="1918"/>
        <v>42093</v>
      </c>
      <c r="R900" s="207">
        <f t="shared" si="1918"/>
        <v>42184</v>
      </c>
      <c r="S900" s="207">
        <f t="shared" si="1918"/>
        <v>42276</v>
      </c>
      <c r="T900" s="207">
        <f t="shared" si="1918"/>
        <v>42368</v>
      </c>
      <c r="U900" s="207">
        <f t="shared" si="1918"/>
        <v>42368</v>
      </c>
      <c r="V900" s="207">
        <f t="shared" si="1918"/>
        <v>42459</v>
      </c>
      <c r="W900" s="207">
        <f t="shared" si="1918"/>
        <v>42550</v>
      </c>
      <c r="X900" s="207">
        <f t="shared" si="1918"/>
        <v>42642</v>
      </c>
      <c r="Y900" s="207">
        <f t="shared" si="1918"/>
        <v>42734</v>
      </c>
      <c r="Z900" s="207">
        <f t="shared" si="1918"/>
        <v>42734</v>
      </c>
      <c r="AA900" s="207">
        <f t="shared" si="1918"/>
        <v>42824</v>
      </c>
      <c r="AB900" s="207">
        <f t="shared" si="1918"/>
        <v>42915</v>
      </c>
      <c r="AC900" s="207">
        <f t="shared" si="1918"/>
        <v>43007</v>
      </c>
      <c r="AD900" s="207">
        <f t="shared" si="1918"/>
        <v>43098</v>
      </c>
      <c r="AE900" s="207">
        <f t="shared" si="1918"/>
        <v>43098</v>
      </c>
      <c r="AF900" s="207">
        <f t="shared" si="1918"/>
        <v>43189</v>
      </c>
      <c r="AG900" s="207">
        <f t="shared" si="1918"/>
        <v>43280</v>
      </c>
      <c r="AH900" s="207">
        <f t="shared" si="1918"/>
        <v>43371</v>
      </c>
      <c r="AI900" s="207">
        <f t="shared" ref="AI900:AZ900" si="1919">WORKDAY(INDEX(MO_Common_QEndDate,0,COLUMN()),-1)</f>
        <v>43462</v>
      </c>
      <c r="AJ900" s="207">
        <f t="shared" si="1919"/>
        <v>43462</v>
      </c>
      <c r="AK900" s="207">
        <f t="shared" si="1919"/>
        <v>43553</v>
      </c>
      <c r="AL900" s="207">
        <f t="shared" si="1919"/>
        <v>43644</v>
      </c>
      <c r="AM900" s="207">
        <f t="shared" si="1919"/>
        <v>43735</v>
      </c>
      <c r="AN900" s="207">
        <f t="shared" si="1919"/>
        <v>43829</v>
      </c>
      <c r="AO900" s="207">
        <f t="shared" si="1919"/>
        <v>43829</v>
      </c>
      <c r="AP900" s="207">
        <f t="shared" si="1919"/>
        <v>43920</v>
      </c>
      <c r="AQ900" s="207">
        <f t="shared" si="1919"/>
        <v>44011</v>
      </c>
      <c r="AR900" s="207">
        <f t="shared" si="1919"/>
        <v>44103</v>
      </c>
      <c r="AS900" s="207">
        <f t="shared" si="1919"/>
        <v>44195</v>
      </c>
      <c r="AT900" s="207">
        <f t="shared" si="1919"/>
        <v>44195</v>
      </c>
      <c r="AU900" s="207">
        <f t="shared" si="1919"/>
        <v>44285</v>
      </c>
      <c r="AV900" s="207">
        <f t="shared" si="1919"/>
        <v>44376</v>
      </c>
      <c r="AW900" s="207">
        <f t="shared" si="1919"/>
        <v>44468</v>
      </c>
      <c r="AX900" s="207">
        <f t="shared" si="1919"/>
        <v>44560</v>
      </c>
      <c r="AY900" s="207">
        <f t="shared" si="1919"/>
        <v>44560</v>
      </c>
      <c r="AZ900" s="207">
        <f t="shared" si="1919"/>
        <v>44650</v>
      </c>
      <c r="BA900" s="207">
        <f t="shared" ref="BA900:BD900" si="1920">WORKDAY(INDEX(MO_Common_QEndDate,0,COLUMN()),-1)</f>
        <v>44741</v>
      </c>
      <c r="BB900" s="207">
        <f t="shared" si="1920"/>
        <v>44833</v>
      </c>
      <c r="BC900" s="207">
        <f t="shared" si="1920"/>
        <v>44925</v>
      </c>
      <c r="BD900" s="207">
        <f t="shared" si="1920"/>
        <v>44925</v>
      </c>
      <c r="BE900" s="207">
        <f t="shared" ref="BE900:BI900" si="1921">WORKDAY(INDEX(MO_Common_QEndDate,0,COLUMN()),-1)</f>
        <v>45015</v>
      </c>
      <c r="BF900" s="207">
        <f t="shared" si="1921"/>
        <v>45106</v>
      </c>
      <c r="BG900" s="207">
        <f t="shared" si="1921"/>
        <v>45198</v>
      </c>
      <c r="BH900" s="207">
        <f t="shared" si="1921"/>
        <v>45289</v>
      </c>
      <c r="BI900" s="207">
        <f t="shared" si="1921"/>
        <v>45289</v>
      </c>
      <c r="BJ900" s="207">
        <f t="shared" ref="BJ900:BN900" si="1922">WORKDAY(INDEX(MO_Common_QEndDate,0,COLUMN()),-1)</f>
        <v>45380</v>
      </c>
      <c r="BK900" s="207">
        <f t="shared" si="1922"/>
        <v>45471</v>
      </c>
      <c r="BL900" s="207">
        <f t="shared" si="1922"/>
        <v>45562</v>
      </c>
      <c r="BM900" s="207">
        <f t="shared" si="1922"/>
        <v>45656</v>
      </c>
      <c r="BN900" s="207">
        <f t="shared" si="1922"/>
        <v>45656</v>
      </c>
      <c r="BO900" s="207">
        <f t="shared" ref="BO900:CF900" si="1923">WORKDAY(INDEX(MO_Common_QEndDate,0,COLUMN()),-1)</f>
        <v>45744</v>
      </c>
      <c r="BP900" s="207">
        <f t="shared" si="1923"/>
        <v>45835</v>
      </c>
      <c r="BQ900" s="207">
        <f t="shared" si="1923"/>
        <v>45929</v>
      </c>
      <c r="BR900" s="207">
        <f t="shared" si="1923"/>
        <v>46021</v>
      </c>
      <c r="BS900" s="207">
        <f t="shared" si="1923"/>
        <v>46021</v>
      </c>
      <c r="BT900" s="398">
        <f>WORKDAY(INDEX(MO_Common_QEndDate,0,COLUMN()),-1)</f>
        <v>46111</v>
      </c>
      <c r="BU900" s="207">
        <f t="shared" si="1923"/>
        <v>46202</v>
      </c>
      <c r="BV900" s="207">
        <f t="shared" si="1923"/>
        <v>46294</v>
      </c>
      <c r="BW900" s="207">
        <f t="shared" si="1923"/>
        <v>46386</v>
      </c>
      <c r="BX900" s="207">
        <f t="shared" si="1923"/>
        <v>46386</v>
      </c>
      <c r="BY900" s="207">
        <f t="shared" si="1923"/>
        <v>46476</v>
      </c>
      <c r="BZ900" s="207">
        <f t="shared" si="1923"/>
        <v>46567</v>
      </c>
      <c r="CA900" s="207">
        <f t="shared" si="1923"/>
        <v>46659</v>
      </c>
      <c r="CB900" s="207">
        <f t="shared" si="1923"/>
        <v>46751</v>
      </c>
      <c r="CC900" s="207">
        <f t="shared" si="1923"/>
        <v>46751</v>
      </c>
      <c r="CD900" s="207">
        <f t="shared" si="1923"/>
        <v>47116</v>
      </c>
      <c r="CE900" s="207">
        <f t="shared" si="1923"/>
        <v>47480</v>
      </c>
      <c r="CF900" s="399">
        <f t="shared" si="1923"/>
        <v>47847</v>
      </c>
      <c r="CG900" s="259"/>
    </row>
    <row r="901" spans="1:85" s="424" customFormat="1" collapsed="1" x14ac:dyDescent="0.3">
      <c r="A901" s="186" t="s">
        <v>696</v>
      </c>
      <c r="B901" s="722"/>
      <c r="C901" s="810">
        <v>77.650000000000006</v>
      </c>
      <c r="D901" s="810">
        <v>91.6</v>
      </c>
      <c r="E901" s="811">
        <v>106.4</v>
      </c>
      <c r="F901" s="811">
        <v>106.45</v>
      </c>
      <c r="G901" s="811">
        <v>118.82</v>
      </c>
      <c r="H901" s="811">
        <v>118.34</v>
      </c>
      <c r="I901" s="811">
        <v>122.64</v>
      </c>
      <c r="J901" s="811">
        <v>124.23</v>
      </c>
      <c r="K901" s="811">
        <v>124.23</v>
      </c>
      <c r="L901" s="811">
        <v>118.5</v>
      </c>
      <c r="M901" s="811">
        <v>130.36000000000001</v>
      </c>
      <c r="N901" s="811">
        <v>120.55</v>
      </c>
      <c r="O901" s="811">
        <v>113.11</v>
      </c>
      <c r="P901" s="811">
        <v>113.11</v>
      </c>
      <c r="Q901" s="811">
        <v>106.9</v>
      </c>
      <c r="R901" s="811">
        <v>96.69</v>
      </c>
      <c r="S901" s="811">
        <v>76.25</v>
      </c>
      <c r="T901" s="811">
        <v>90.09</v>
      </c>
      <c r="U901" s="811">
        <v>90.09</v>
      </c>
      <c r="V901" s="811">
        <v>95.25</v>
      </c>
      <c r="W901" s="811">
        <v>103.42</v>
      </c>
      <c r="X901" s="811">
        <v>101.27</v>
      </c>
      <c r="Y901" s="811">
        <v>117.7</v>
      </c>
      <c r="Z901" s="811">
        <v>117.7</v>
      </c>
      <c r="AA901" s="811">
        <v>107.78</v>
      </c>
      <c r="AB901" s="811">
        <v>104.12</v>
      </c>
      <c r="AC901" s="811">
        <v>117.5</v>
      </c>
      <c r="AD901" s="811">
        <v>125.19</v>
      </c>
      <c r="AE901" s="811">
        <v>125.19</v>
      </c>
      <c r="AF901" s="811">
        <v>114.04</v>
      </c>
      <c r="AG901" s="811">
        <v>126.43</v>
      </c>
      <c r="AH901" s="811">
        <v>122.28</v>
      </c>
      <c r="AI901" s="811">
        <v>108.65</v>
      </c>
      <c r="AJ901" s="811">
        <v>108.65</v>
      </c>
      <c r="AK901" s="811">
        <v>123.18</v>
      </c>
      <c r="AL901" s="811">
        <v>124.44</v>
      </c>
      <c r="AM901" s="811">
        <v>118.6</v>
      </c>
      <c r="AN901" s="811">
        <v>119.85</v>
      </c>
      <c r="AO901" s="811">
        <v>119.85</v>
      </c>
      <c r="AP901" s="811">
        <v>71.95</v>
      </c>
      <c r="AQ901" s="811">
        <v>87.67</v>
      </c>
      <c r="AR901" s="811">
        <v>71.900000000000006</v>
      </c>
      <c r="AS901" s="811">
        <v>85.33</v>
      </c>
      <c r="AT901" s="811">
        <v>85.33</v>
      </c>
      <c r="AU901" s="811">
        <v>105.93</v>
      </c>
      <c r="AV901" s="811">
        <v>103.76</v>
      </c>
      <c r="AW901" s="811">
        <v>103.33</v>
      </c>
      <c r="AX901" s="811">
        <v>117.43</v>
      </c>
      <c r="AY901" s="811">
        <v>117.43</v>
      </c>
      <c r="AZ901" s="811">
        <v>165.48</v>
      </c>
      <c r="BA901" s="811">
        <v>146.97999999999999</v>
      </c>
      <c r="BB901" s="811">
        <v>144.77000000000001</v>
      </c>
      <c r="BC901" s="811">
        <v>179.49</v>
      </c>
      <c r="BD901" s="811">
        <v>179.49</v>
      </c>
      <c r="BE901" s="811">
        <v>162.38999999999999</v>
      </c>
      <c r="BF901" s="811">
        <v>156.24</v>
      </c>
      <c r="BG901" s="811">
        <v>168.62</v>
      </c>
      <c r="BH901" s="811">
        <v>149.16</v>
      </c>
      <c r="BI901" s="811">
        <v>149.16</v>
      </c>
      <c r="BJ901" s="811">
        <v>157.74</v>
      </c>
      <c r="BK901" s="811">
        <v>156.41999999999999</v>
      </c>
      <c r="BL901" s="811">
        <v>145.49</v>
      </c>
      <c r="BM901" s="811">
        <v>143.07</v>
      </c>
      <c r="BN901" s="811">
        <v>143.07</v>
      </c>
      <c r="BO901" s="811">
        <v>166.09</v>
      </c>
      <c r="BP901" s="811">
        <v>143.79</v>
      </c>
      <c r="BQ901" s="811">
        <v>156.1</v>
      </c>
      <c r="BR901" s="811">
        <v>152.31</v>
      </c>
      <c r="BS901" s="811">
        <v>152.31</v>
      </c>
      <c r="BT901" s="812">
        <v>210.71</v>
      </c>
      <c r="BU901" s="400"/>
      <c r="BV901" s="400"/>
      <c r="BW901" s="400"/>
      <c r="BX901" s="400"/>
      <c r="BY901" s="400"/>
      <c r="BZ901" s="400"/>
      <c r="CA901" s="400"/>
      <c r="CB901" s="400"/>
      <c r="CC901" s="400"/>
      <c r="CD901" s="400"/>
      <c r="CE901" s="400"/>
      <c r="CF901" s="401"/>
      <c r="CG901" s="259"/>
    </row>
    <row r="902" spans="1:85" s="424" customFormat="1" collapsed="1" x14ac:dyDescent="0.3">
      <c r="A902" s="186" t="s">
        <v>697</v>
      </c>
      <c r="B902" s="722"/>
      <c r="C902" s="807">
        <v>1</v>
      </c>
      <c r="D902" s="807">
        <v>1</v>
      </c>
      <c r="E902" s="808">
        <v>1</v>
      </c>
      <c r="F902" s="808">
        <v>1</v>
      </c>
      <c r="G902" s="808">
        <v>1</v>
      </c>
      <c r="H902" s="808">
        <v>1</v>
      </c>
      <c r="I902" s="808">
        <v>1</v>
      </c>
      <c r="J902" s="808">
        <v>1</v>
      </c>
      <c r="K902" s="808">
        <v>1</v>
      </c>
      <c r="L902" s="808">
        <v>1</v>
      </c>
      <c r="M902" s="808">
        <v>1</v>
      </c>
      <c r="N902" s="808">
        <v>1</v>
      </c>
      <c r="O902" s="808">
        <v>1</v>
      </c>
      <c r="P902" s="808">
        <v>1</v>
      </c>
      <c r="Q902" s="808">
        <v>1</v>
      </c>
      <c r="R902" s="808">
        <v>1</v>
      </c>
      <c r="S902" s="808">
        <v>1</v>
      </c>
      <c r="T902" s="808">
        <v>1</v>
      </c>
      <c r="U902" s="808">
        <v>1</v>
      </c>
      <c r="V902" s="808">
        <v>1</v>
      </c>
      <c r="W902" s="808">
        <v>1</v>
      </c>
      <c r="X902" s="808">
        <v>1</v>
      </c>
      <c r="Y902" s="808">
        <v>1</v>
      </c>
      <c r="Z902" s="808">
        <v>1</v>
      </c>
      <c r="AA902" s="808">
        <v>1</v>
      </c>
      <c r="AB902" s="808">
        <v>1</v>
      </c>
      <c r="AC902" s="808">
        <v>1</v>
      </c>
      <c r="AD902" s="808">
        <v>1</v>
      </c>
      <c r="AE902" s="808">
        <v>1</v>
      </c>
      <c r="AF902" s="808">
        <v>1</v>
      </c>
      <c r="AG902" s="808">
        <v>1</v>
      </c>
      <c r="AH902" s="808">
        <v>1</v>
      </c>
      <c r="AI902" s="808">
        <v>1</v>
      </c>
      <c r="AJ902" s="808">
        <v>1</v>
      </c>
      <c r="AK902" s="808">
        <v>1</v>
      </c>
      <c r="AL902" s="808">
        <v>1</v>
      </c>
      <c r="AM902" s="808">
        <v>1</v>
      </c>
      <c r="AN902" s="808">
        <v>1</v>
      </c>
      <c r="AO902" s="808">
        <v>1</v>
      </c>
      <c r="AP902" s="808">
        <v>1</v>
      </c>
      <c r="AQ902" s="808">
        <v>1</v>
      </c>
      <c r="AR902" s="808">
        <v>1</v>
      </c>
      <c r="AS902" s="808">
        <v>1</v>
      </c>
      <c r="AT902" s="808">
        <v>1</v>
      </c>
      <c r="AU902" s="808">
        <v>1</v>
      </c>
      <c r="AV902" s="808">
        <v>1</v>
      </c>
      <c r="AW902" s="808">
        <v>1</v>
      </c>
      <c r="AX902" s="808">
        <v>1</v>
      </c>
      <c r="AY902" s="808">
        <v>1</v>
      </c>
      <c r="AZ902" s="808">
        <v>1</v>
      </c>
      <c r="BA902" s="808">
        <v>1</v>
      </c>
      <c r="BB902" s="808">
        <v>1</v>
      </c>
      <c r="BC902" s="808">
        <v>1</v>
      </c>
      <c r="BD902" s="808">
        <v>1</v>
      </c>
      <c r="BE902" s="808">
        <v>1</v>
      </c>
      <c r="BF902" s="808">
        <v>1</v>
      </c>
      <c r="BG902" s="808">
        <v>1</v>
      </c>
      <c r="BH902" s="808">
        <v>1</v>
      </c>
      <c r="BI902" s="808">
        <v>1</v>
      </c>
      <c r="BJ902" s="808">
        <v>1</v>
      </c>
      <c r="BK902" s="808">
        <v>1</v>
      </c>
      <c r="BL902" s="808">
        <v>1</v>
      </c>
      <c r="BM902" s="808">
        <v>1</v>
      </c>
      <c r="BN902" s="808">
        <v>1</v>
      </c>
      <c r="BO902" s="808">
        <v>1</v>
      </c>
      <c r="BP902" s="808">
        <v>1</v>
      </c>
      <c r="BQ902" s="808">
        <v>1</v>
      </c>
      <c r="BR902" s="808">
        <v>1</v>
      </c>
      <c r="BS902" s="808">
        <v>1</v>
      </c>
      <c r="BT902" s="809">
        <v>1</v>
      </c>
      <c r="BU902" s="307"/>
      <c r="BV902" s="307"/>
      <c r="BW902" s="307"/>
      <c r="BX902" s="307"/>
      <c r="BY902" s="307"/>
      <c r="BZ902" s="307"/>
      <c r="CA902" s="307"/>
      <c r="CB902" s="307"/>
      <c r="CC902" s="307"/>
      <c r="CD902" s="307"/>
      <c r="CE902" s="307"/>
      <c r="CF902" s="404"/>
      <c r="CG902" s="259"/>
    </row>
    <row r="903" spans="1:85" s="424" customFormat="1" collapsed="1" x14ac:dyDescent="0.3">
      <c r="A903" s="405"/>
      <c r="B903" s="724"/>
      <c r="C903" s="406"/>
      <c r="D903" s="406"/>
      <c r="E903" s="407"/>
      <c r="F903" s="407"/>
      <c r="G903" s="407"/>
      <c r="H903" s="407"/>
      <c r="I903" s="407"/>
      <c r="J903" s="407"/>
      <c r="K903" s="407"/>
      <c r="L903" s="407"/>
      <c r="M903" s="407"/>
      <c r="N903" s="407"/>
      <c r="O903" s="407"/>
      <c r="P903" s="407"/>
      <c r="Q903" s="407"/>
      <c r="R903" s="407"/>
      <c r="S903" s="407"/>
      <c r="T903" s="407"/>
      <c r="U903" s="407"/>
      <c r="V903" s="407"/>
      <c r="W903" s="407"/>
      <c r="X903" s="407"/>
      <c r="Y903" s="407"/>
      <c r="Z903" s="407"/>
      <c r="AA903" s="407"/>
      <c r="AB903" s="407"/>
      <c r="AC903" s="407"/>
      <c r="AD903" s="407"/>
      <c r="AE903" s="407"/>
      <c r="AF903" s="407"/>
      <c r="AG903" s="407"/>
      <c r="AH903" s="407"/>
      <c r="AI903" s="407"/>
      <c r="AJ903" s="407"/>
      <c r="AK903" s="407"/>
      <c r="AL903" s="407"/>
      <c r="AM903" s="407"/>
      <c r="AN903" s="407"/>
      <c r="AO903" s="407"/>
      <c r="AP903" s="407"/>
      <c r="AQ903" s="407"/>
      <c r="AR903" s="407"/>
      <c r="AS903" s="407"/>
      <c r="AT903" s="407"/>
      <c r="AU903" s="407"/>
      <c r="AV903" s="407"/>
      <c r="AW903" s="407"/>
      <c r="AX903" s="407"/>
      <c r="AY903" s="407"/>
      <c r="AZ903" s="407"/>
      <c r="BA903" s="407"/>
      <c r="BB903" s="407"/>
      <c r="BC903" s="407"/>
      <c r="BD903" s="407"/>
      <c r="BE903" s="407"/>
      <c r="BF903" s="407"/>
      <c r="BG903" s="407"/>
      <c r="BH903" s="407"/>
      <c r="BI903" s="407"/>
      <c r="BJ903" s="407"/>
      <c r="BK903" s="407"/>
      <c r="BL903" s="407"/>
      <c r="BM903" s="407"/>
      <c r="BN903" s="407"/>
      <c r="BO903" s="407"/>
      <c r="BP903" s="407"/>
      <c r="BQ903" s="407"/>
      <c r="BR903" s="407"/>
      <c r="BS903" s="407"/>
      <c r="BT903" s="408"/>
      <c r="BU903" s="407"/>
      <c r="BV903" s="407"/>
      <c r="BW903" s="407"/>
      <c r="BX903" s="407"/>
      <c r="BY903" s="407"/>
      <c r="BZ903" s="407"/>
      <c r="CA903" s="407"/>
      <c r="CB903" s="407"/>
      <c r="CC903" s="407"/>
      <c r="CD903" s="407"/>
      <c r="CE903" s="407"/>
      <c r="CF903" s="409"/>
      <c r="CG903" s="259"/>
    </row>
    <row r="904" spans="1:85" s="424" customFormat="1" x14ac:dyDescent="0.3">
      <c r="A904" s="270"/>
      <c r="B904" s="271"/>
      <c r="C904" s="203"/>
      <c r="D904" s="203"/>
      <c r="E904" s="202"/>
      <c r="F904" s="202"/>
      <c r="G904" s="202"/>
      <c r="H904" s="202"/>
      <c r="I904" s="202"/>
      <c r="J904" s="202"/>
      <c r="K904" s="202"/>
      <c r="L904" s="202"/>
      <c r="M904" s="202"/>
      <c r="N904" s="202"/>
      <c r="O904" s="202"/>
      <c r="P904" s="202"/>
      <c r="Q904" s="202"/>
      <c r="R904" s="202"/>
      <c r="S904" s="202"/>
      <c r="T904" s="202"/>
      <c r="U904" s="202"/>
      <c r="V904" s="202"/>
      <c r="W904" s="202"/>
      <c r="X904" s="202"/>
      <c r="Y904" s="202"/>
      <c r="Z904" s="202"/>
      <c r="AA904" s="202"/>
      <c r="AB904" s="202"/>
      <c r="AC904" s="202"/>
      <c r="AD904" s="202"/>
      <c r="AE904" s="202"/>
      <c r="AF904" s="202"/>
      <c r="AG904" s="202"/>
      <c r="AH904" s="202"/>
      <c r="AI904" s="202"/>
      <c r="AJ904" s="202"/>
      <c r="AK904" s="202"/>
      <c r="AL904" s="202"/>
      <c r="AM904" s="202"/>
      <c r="AN904" s="202"/>
      <c r="AO904" s="202"/>
      <c r="AP904" s="202"/>
      <c r="AQ904" s="202"/>
      <c r="AR904" s="202"/>
      <c r="AS904" s="202"/>
      <c r="AT904" s="202"/>
      <c r="AU904" s="202"/>
      <c r="AV904" s="202"/>
      <c r="AW904" s="202"/>
      <c r="AX904" s="202"/>
      <c r="AY904" s="202"/>
      <c r="AZ904" s="202"/>
      <c r="BA904" s="202"/>
      <c r="BB904" s="202"/>
      <c r="BC904" s="202"/>
      <c r="BD904" s="202"/>
      <c r="BE904" s="202"/>
      <c r="BF904" s="202"/>
      <c r="BG904" s="202"/>
      <c r="BH904" s="202"/>
      <c r="BI904" s="202"/>
      <c r="BJ904" s="202"/>
      <c r="BK904" s="202"/>
      <c r="BL904" s="202"/>
      <c r="BM904" s="202"/>
      <c r="BN904" s="202"/>
      <c r="BO904" s="202"/>
      <c r="BP904" s="202"/>
      <c r="BQ904" s="202"/>
      <c r="BR904" s="202"/>
      <c r="BS904" s="202"/>
      <c r="BT904" s="386"/>
      <c r="BU904" s="202"/>
      <c r="BV904" s="202"/>
      <c r="BW904" s="202"/>
      <c r="BX904" s="202"/>
      <c r="BY904" s="202"/>
      <c r="BZ904" s="202"/>
      <c r="CA904" s="202"/>
      <c r="CB904" s="202"/>
      <c r="CC904" s="202"/>
      <c r="CD904" s="202"/>
      <c r="CE904" s="202"/>
      <c r="CF904" s="202"/>
      <c r="CG904" s="190"/>
    </row>
    <row r="905" spans="1:85" s="424" customFormat="1" x14ac:dyDescent="0.3">
      <c r="A905" s="189" t="s">
        <v>376</v>
      </c>
      <c r="B905" s="202"/>
      <c r="C905" s="722"/>
      <c r="D905" s="722"/>
      <c r="E905" s="722"/>
      <c r="F905" s="722"/>
      <c r="G905" s="722"/>
      <c r="H905" s="722"/>
      <c r="I905" s="722"/>
      <c r="J905" s="722"/>
      <c r="K905" s="722"/>
      <c r="L905" s="722"/>
      <c r="M905" s="722"/>
      <c r="N905" s="722"/>
      <c r="O905" s="722"/>
      <c r="P905" s="722"/>
      <c r="Q905" s="722"/>
      <c r="R905" s="722"/>
      <c r="S905" s="722"/>
      <c r="T905" s="722"/>
      <c r="U905" s="722"/>
      <c r="V905" s="722"/>
      <c r="W905" s="722"/>
      <c r="X905" s="722"/>
      <c r="Y905" s="722"/>
      <c r="Z905" s="722"/>
      <c r="AA905" s="722"/>
      <c r="AB905" s="722"/>
      <c r="AC905" s="722"/>
      <c r="AD905" s="722"/>
      <c r="AE905" s="722"/>
      <c r="AF905" s="722"/>
      <c r="AG905" s="722"/>
      <c r="AH905" s="722"/>
      <c r="AI905" s="722"/>
      <c r="AJ905" s="722"/>
      <c r="AK905" s="722"/>
      <c r="AL905" s="722"/>
      <c r="AM905" s="722"/>
      <c r="AN905" s="722"/>
      <c r="AO905" s="722"/>
      <c r="AP905" s="722"/>
      <c r="AQ905" s="722"/>
      <c r="AR905" s="722"/>
      <c r="AS905" s="722"/>
      <c r="AT905" s="722"/>
      <c r="AU905" s="722"/>
      <c r="AV905" s="722"/>
      <c r="AW905" s="722"/>
      <c r="AX905" s="722"/>
      <c r="AY905" s="722"/>
      <c r="AZ905" s="722"/>
      <c r="BA905" s="722"/>
      <c r="BB905" s="722"/>
      <c r="BC905" s="722"/>
      <c r="BD905" s="722"/>
      <c r="BE905" s="722"/>
      <c r="BF905" s="722"/>
      <c r="BG905" s="722"/>
      <c r="BH905" s="722"/>
      <c r="BI905" s="722"/>
      <c r="BJ905" s="722"/>
      <c r="BK905" s="722"/>
      <c r="BL905" s="722"/>
      <c r="BM905" s="722"/>
      <c r="BN905" s="722"/>
      <c r="BO905" s="722"/>
      <c r="BP905" s="722"/>
      <c r="BQ905" s="722"/>
      <c r="BR905" s="722"/>
      <c r="BS905" s="722"/>
      <c r="BT905" s="723"/>
      <c r="BU905" s="722"/>
      <c r="BV905" s="722"/>
      <c r="BW905" s="722"/>
      <c r="BX905" s="722"/>
      <c r="BY905" s="722"/>
      <c r="BZ905" s="722"/>
      <c r="CA905" s="722"/>
      <c r="CB905" s="722"/>
      <c r="CC905" s="722"/>
      <c r="CD905" s="722"/>
      <c r="CE905" s="722"/>
      <c r="CF905" s="722"/>
      <c r="CG905" s="190"/>
    </row>
    <row r="906" spans="1:85" s="445" customFormat="1" x14ac:dyDescent="0.3">
      <c r="A906" s="191" t="s">
        <v>377</v>
      </c>
      <c r="B906" s="209">
        <f>FP.LastPrice</f>
        <v>185.16</v>
      </c>
      <c r="C906" s="209"/>
      <c r="D906" s="209"/>
      <c r="E906" s="209"/>
      <c r="F906" s="209"/>
      <c r="G906" s="209"/>
      <c r="H906" s="209"/>
      <c r="I906" s="209"/>
      <c r="J906" s="209"/>
      <c r="K906" s="209"/>
      <c r="L906" s="209"/>
      <c r="M906" s="209"/>
      <c r="N906" s="209"/>
      <c r="O906" s="209"/>
      <c r="P906" s="209"/>
      <c r="Q906" s="209"/>
      <c r="R906" s="209"/>
      <c r="S906" s="209"/>
      <c r="T906" s="209"/>
      <c r="U906" s="209"/>
      <c r="V906" s="209"/>
      <c r="W906" s="209"/>
      <c r="X906" s="209"/>
      <c r="Y906" s="209"/>
      <c r="Z906" s="209"/>
      <c r="AA906" s="209"/>
      <c r="AB906" s="209"/>
      <c r="AC906" s="209"/>
      <c r="AD906" s="209"/>
      <c r="AE906" s="209"/>
      <c r="AF906" s="209"/>
      <c r="AG906" s="209"/>
      <c r="AH906" s="209"/>
      <c r="AI906" s="209"/>
      <c r="AJ906" s="209"/>
      <c r="AK906" s="209"/>
      <c r="AL906" s="209"/>
      <c r="AM906" s="209"/>
      <c r="AN906" s="209"/>
      <c r="AO906" s="209"/>
      <c r="AP906" s="209"/>
      <c r="AQ906" s="209"/>
      <c r="AR906" s="209"/>
      <c r="AS906" s="209"/>
      <c r="AT906" s="209"/>
      <c r="AU906" s="209"/>
      <c r="AV906" s="209"/>
      <c r="AW906" s="209"/>
      <c r="AX906" s="209"/>
      <c r="AY906" s="209"/>
      <c r="AZ906" s="209"/>
      <c r="BA906" s="209"/>
      <c r="BB906" s="209"/>
      <c r="BC906" s="209"/>
      <c r="BD906" s="209"/>
      <c r="BE906" s="209"/>
      <c r="BF906" s="209"/>
      <c r="BG906" s="209"/>
      <c r="BH906" s="209"/>
      <c r="BI906" s="209"/>
      <c r="BJ906" s="209"/>
      <c r="BK906" s="209"/>
      <c r="BL906" s="209"/>
      <c r="BM906" s="209"/>
      <c r="BN906" s="209"/>
      <c r="BO906" s="209"/>
      <c r="BP906" s="209"/>
      <c r="BQ906" s="209"/>
      <c r="BR906" s="209"/>
      <c r="BS906" s="209"/>
      <c r="BT906" s="387"/>
      <c r="BU906" s="209"/>
      <c r="BV906" s="209"/>
      <c r="BW906" s="209"/>
      <c r="BX906" s="209"/>
      <c r="BY906" s="209"/>
      <c r="BZ906" s="209"/>
      <c r="CA906" s="209"/>
      <c r="CB906" s="209"/>
      <c r="CC906" s="209"/>
      <c r="CD906" s="209"/>
      <c r="CE906" s="209"/>
      <c r="CF906" s="209"/>
      <c r="CG906" s="192"/>
    </row>
    <row r="907" spans="1:85" x14ac:dyDescent="0.3">
      <c r="A907" s="193" t="s">
        <v>378</v>
      </c>
      <c r="B907" s="392">
        <f>FP.LastPriceDate</f>
        <v>46148</v>
      </c>
      <c r="C907" s="352"/>
      <c r="D907" s="352"/>
      <c r="E907" s="352"/>
      <c r="F907" s="352"/>
      <c r="G907" s="352"/>
      <c r="H907" s="352"/>
      <c r="I907" s="352"/>
      <c r="J907" s="352"/>
      <c r="K907" s="352"/>
      <c r="L907" s="352"/>
      <c r="M907" s="352"/>
      <c r="N907" s="352"/>
      <c r="O907" s="352"/>
      <c r="P907" s="352"/>
      <c r="Q907" s="352"/>
      <c r="R907" s="352"/>
      <c r="S907" s="352"/>
      <c r="T907" s="352"/>
      <c r="U907" s="352"/>
      <c r="V907" s="352"/>
      <c r="W907" s="352"/>
      <c r="X907" s="352"/>
      <c r="Y907" s="352"/>
      <c r="Z907" s="352"/>
      <c r="AA907" s="352"/>
      <c r="AB907" s="352"/>
      <c r="AC907" s="352"/>
      <c r="AD907" s="352"/>
      <c r="AE907" s="352"/>
      <c r="AF907" s="352"/>
      <c r="AG907" s="352"/>
      <c r="AH907" s="352"/>
      <c r="AI907" s="352"/>
      <c r="AJ907" s="352"/>
      <c r="AK907" s="352"/>
      <c r="AL907" s="352"/>
      <c r="AM907" s="352"/>
      <c r="AN907" s="352"/>
      <c r="AO907" s="352"/>
      <c r="AP907" s="352"/>
      <c r="AQ907" s="352"/>
      <c r="AR907" s="352"/>
      <c r="AS907" s="352"/>
      <c r="AT907" s="352"/>
      <c r="AU907" s="352"/>
      <c r="AV907" s="352"/>
      <c r="AW907" s="352"/>
      <c r="AX907" s="352"/>
      <c r="AY907" s="352"/>
      <c r="AZ907" s="352"/>
      <c r="BA907" s="352"/>
      <c r="BB907" s="352"/>
      <c r="BC907" s="352"/>
      <c r="BD907" s="352"/>
      <c r="BE907" s="352"/>
      <c r="BF907" s="352"/>
      <c r="BG907" s="352"/>
      <c r="BH907" s="352"/>
      <c r="BI907" s="352"/>
      <c r="BJ907" s="352"/>
      <c r="BK907" s="352"/>
      <c r="BL907" s="352"/>
      <c r="BM907" s="352"/>
      <c r="BN907" s="352"/>
      <c r="BO907" s="352"/>
      <c r="BP907" s="352"/>
      <c r="BQ907" s="352"/>
      <c r="BR907" s="352"/>
      <c r="BS907" s="352"/>
      <c r="BT907" s="388"/>
      <c r="BU907" s="352"/>
      <c r="BV907" s="352"/>
      <c r="BW907" s="352"/>
      <c r="BX907" s="352"/>
      <c r="BY907" s="352"/>
      <c r="BZ907" s="352"/>
      <c r="CA907" s="352"/>
      <c r="CB907" s="352"/>
      <c r="CC907" s="352"/>
      <c r="CD907" s="352"/>
      <c r="CE907" s="352"/>
      <c r="CF907" s="352"/>
      <c r="CG907" s="30"/>
    </row>
    <row r="908" spans="1:85" x14ac:dyDescent="0.3">
      <c r="A908" s="193" t="s">
        <v>379</v>
      </c>
      <c r="B908" s="30" t="b">
        <f>IF(FP.RealTimeToggle="ON",TRUE,FALSE)</f>
        <v>0</v>
      </c>
      <c r="C908" s="352"/>
      <c r="D908" s="352"/>
      <c r="E908" s="352"/>
      <c r="F908" s="352"/>
      <c r="G908" s="352"/>
      <c r="H908" s="352"/>
      <c r="I908" s="352"/>
      <c r="J908" s="352"/>
      <c r="K908" s="352"/>
      <c r="L908" s="352"/>
      <c r="M908" s="352"/>
      <c r="N908" s="352"/>
      <c r="O908" s="352"/>
      <c r="P908" s="352"/>
      <c r="Q908" s="352"/>
      <c r="R908" s="352"/>
      <c r="S908" s="352"/>
      <c r="T908" s="352"/>
      <c r="U908" s="352"/>
      <c r="V908" s="352"/>
      <c r="W908" s="352"/>
      <c r="X908" s="352"/>
      <c r="Y908" s="352"/>
      <c r="Z908" s="352"/>
      <c r="AA908" s="352"/>
      <c r="AB908" s="352"/>
      <c r="AC908" s="352"/>
      <c r="AD908" s="352"/>
      <c r="AE908" s="352"/>
      <c r="AF908" s="352"/>
      <c r="AG908" s="352"/>
      <c r="AH908" s="352"/>
      <c r="AI908" s="352"/>
      <c r="AJ908" s="352"/>
      <c r="AK908" s="352"/>
      <c r="AL908" s="352"/>
      <c r="AM908" s="352"/>
      <c r="AN908" s="352"/>
      <c r="AO908" s="352"/>
      <c r="AP908" s="352"/>
      <c r="AQ908" s="352"/>
      <c r="AR908" s="352"/>
      <c r="AS908" s="352"/>
      <c r="AT908" s="352"/>
      <c r="AU908" s="352"/>
      <c r="AV908" s="352"/>
      <c r="AW908" s="352"/>
      <c r="AX908" s="352"/>
      <c r="AY908" s="352"/>
      <c r="AZ908" s="352"/>
      <c r="BA908" s="352"/>
      <c r="BB908" s="352"/>
      <c r="BC908" s="352"/>
      <c r="BD908" s="352"/>
      <c r="BE908" s="352"/>
      <c r="BF908" s="352"/>
      <c r="BG908" s="352"/>
      <c r="BH908" s="352"/>
      <c r="BI908" s="352"/>
      <c r="BJ908" s="352"/>
      <c r="BK908" s="352"/>
      <c r="BL908" s="352"/>
      <c r="BM908" s="352"/>
      <c r="BN908" s="352"/>
      <c r="BO908" s="352"/>
      <c r="BP908" s="352"/>
      <c r="BQ908" s="352"/>
      <c r="BR908" s="352"/>
      <c r="BS908" s="352"/>
      <c r="BT908" s="388"/>
      <c r="BU908" s="352"/>
      <c r="BV908" s="352"/>
      <c r="BW908" s="352"/>
      <c r="BX908" s="352"/>
      <c r="BY908" s="352"/>
      <c r="BZ908" s="352"/>
      <c r="CA908" s="352"/>
      <c r="CB908" s="352"/>
      <c r="CC908" s="352"/>
      <c r="CD908" s="352"/>
      <c r="CE908" s="352"/>
      <c r="CF908" s="352"/>
      <c r="CG908" s="30"/>
    </row>
    <row r="909" spans="1:85" s="445" customFormat="1" x14ac:dyDescent="0.3">
      <c r="A909" s="191" t="s">
        <v>380</v>
      </c>
      <c r="B909" s="192" t="str">
        <f ca="1">IFERROR(CHOOSE(MO.DataSourceIndex,BDP(MO.Ticker.Bloomberg&amp;" EQUITY","PX_LAST"),_xll.ciqfunctions.udf.CIQ(MO.Ticker.CapIQ,"IQ_LASTSALEPRICE"),FDS(MO.Ticker.FactSet,"FG_PRICE(NOW)"),_xll.TR(MO.Ticker.Thomson,"TRDPRC_1")),"N/A")</f>
        <v>N/A</v>
      </c>
      <c r="C909" s="209"/>
      <c r="D909" s="209"/>
      <c r="E909" s="209"/>
      <c r="F909" s="209"/>
      <c r="G909" s="209"/>
      <c r="H909" s="209"/>
      <c r="I909" s="209"/>
      <c r="J909" s="209"/>
      <c r="K909" s="209"/>
      <c r="L909" s="209"/>
      <c r="M909" s="209"/>
      <c r="N909" s="209"/>
      <c r="O909" s="209"/>
      <c r="P909" s="209"/>
      <c r="Q909" s="209"/>
      <c r="R909" s="209"/>
      <c r="S909" s="209"/>
      <c r="T909" s="209"/>
      <c r="U909" s="209"/>
      <c r="V909" s="209"/>
      <c r="W909" s="209"/>
      <c r="X909" s="209"/>
      <c r="Y909" s="209"/>
      <c r="Z909" s="209"/>
      <c r="AA909" s="209"/>
      <c r="AB909" s="209"/>
      <c r="AC909" s="209"/>
      <c r="AD909" s="209"/>
      <c r="AE909" s="209"/>
      <c r="AF909" s="209"/>
      <c r="AG909" s="209"/>
      <c r="AH909" s="209"/>
      <c r="AI909" s="209"/>
      <c r="AJ909" s="209"/>
      <c r="AK909" s="209"/>
      <c r="AL909" s="209"/>
      <c r="AM909" s="209"/>
      <c r="AN909" s="209"/>
      <c r="AO909" s="209"/>
      <c r="AP909" s="209"/>
      <c r="AQ909" s="209"/>
      <c r="AR909" s="209"/>
      <c r="AS909" s="209"/>
      <c r="AT909" s="209"/>
      <c r="AU909" s="209"/>
      <c r="AV909" s="209"/>
      <c r="AW909" s="209"/>
      <c r="AX909" s="209"/>
      <c r="AY909" s="209"/>
      <c r="AZ909" s="209"/>
      <c r="BA909" s="209"/>
      <c r="BB909" s="209"/>
      <c r="BC909" s="209"/>
      <c r="BD909" s="209"/>
      <c r="BE909" s="209"/>
      <c r="BF909" s="209"/>
      <c r="BG909" s="209"/>
      <c r="BH909" s="209"/>
      <c r="BI909" s="209"/>
      <c r="BJ909" s="209"/>
      <c r="BK909" s="209"/>
      <c r="BL909" s="209"/>
      <c r="BM909" s="209"/>
      <c r="BN909" s="209"/>
      <c r="BO909" s="209"/>
      <c r="BP909" s="209"/>
      <c r="BQ909" s="209"/>
      <c r="BR909" s="209"/>
      <c r="BS909" s="209"/>
      <c r="BT909" s="387"/>
      <c r="BU909" s="209"/>
      <c r="BV909" s="209"/>
      <c r="BW909" s="209"/>
      <c r="BX909" s="209"/>
      <c r="BY909" s="209"/>
      <c r="BZ909" s="209"/>
      <c r="CA909" s="209"/>
      <c r="CB909" s="209"/>
      <c r="CC909" s="209"/>
      <c r="CD909" s="209"/>
      <c r="CE909" s="209"/>
      <c r="CF909" s="209"/>
      <c r="CG909" s="192"/>
    </row>
    <row r="910" spans="1:85" s="445" customFormat="1" x14ac:dyDescent="0.3">
      <c r="A910" s="191" t="s">
        <v>729</v>
      </c>
      <c r="B910" s="192" t="b">
        <f>OR(AND(OR(EXACT(HP.TradeCurrency.HardCoded,"GBp"),EXACT(HP.TradeCurrency.HardCoded,"GBX")),EXACT(HP.ReportCurrency,"GBP")),AND(OR(EXACT(HP.TradeCurrency.HardCoded,"ZAc"),EXACT(HP.TradeCurrency.HardCoded,"ZAC")),EXACT(HP.ReportCurrency,"ZAR")))</f>
        <v>0</v>
      </c>
      <c r="C910" s="209"/>
      <c r="D910" s="209"/>
      <c r="E910" s="209"/>
      <c r="F910" s="209"/>
      <c r="G910" s="209"/>
      <c r="H910" s="209"/>
      <c r="I910" s="209"/>
      <c r="J910" s="209"/>
      <c r="K910" s="209"/>
      <c r="L910" s="209"/>
      <c r="M910" s="209"/>
      <c r="N910" s="209"/>
      <c r="O910" s="209"/>
      <c r="P910" s="209"/>
      <c r="Q910" s="209"/>
      <c r="R910" s="209"/>
      <c r="S910" s="209"/>
      <c r="T910" s="209"/>
      <c r="U910" s="209"/>
      <c r="V910" s="209"/>
      <c r="W910" s="209"/>
      <c r="X910" s="209"/>
      <c r="Y910" s="209"/>
      <c r="Z910" s="209"/>
      <c r="AA910" s="209"/>
      <c r="AB910" s="209"/>
      <c r="AC910" s="209"/>
      <c r="AD910" s="209"/>
      <c r="AE910" s="209"/>
      <c r="AF910" s="209"/>
      <c r="AG910" s="209"/>
      <c r="AH910" s="209"/>
      <c r="AI910" s="209"/>
      <c r="AJ910" s="209"/>
      <c r="AK910" s="209"/>
      <c r="AL910" s="209"/>
      <c r="AM910" s="209"/>
      <c r="AN910" s="209"/>
      <c r="AO910" s="209"/>
      <c r="AP910" s="209"/>
      <c r="AQ910" s="209"/>
      <c r="AR910" s="209"/>
      <c r="AS910" s="209"/>
      <c r="AT910" s="209"/>
      <c r="AU910" s="209"/>
      <c r="AV910" s="209"/>
      <c r="AW910" s="209"/>
      <c r="AX910" s="209"/>
      <c r="AY910" s="209"/>
      <c r="AZ910" s="209"/>
      <c r="BA910" s="209"/>
      <c r="BB910" s="209"/>
      <c r="BC910" s="209"/>
      <c r="BD910" s="209"/>
      <c r="BE910" s="209"/>
      <c r="BF910" s="209"/>
      <c r="BG910" s="209"/>
      <c r="BH910" s="209"/>
      <c r="BI910" s="209"/>
      <c r="BJ910" s="209"/>
      <c r="BK910" s="209"/>
      <c r="BL910" s="209"/>
      <c r="BM910" s="209"/>
      <c r="BN910" s="209"/>
      <c r="BO910" s="209"/>
      <c r="BP910" s="209"/>
      <c r="BQ910" s="209"/>
      <c r="BR910" s="209"/>
      <c r="BS910" s="209"/>
      <c r="BT910" s="387"/>
      <c r="BU910" s="209"/>
      <c r="BV910" s="209"/>
      <c r="BW910" s="209"/>
      <c r="BX910" s="209"/>
      <c r="BY910" s="209"/>
      <c r="BZ910" s="209"/>
      <c r="CA910" s="209"/>
      <c r="CB910" s="209"/>
      <c r="CC910" s="209"/>
      <c r="CD910" s="209"/>
      <c r="CE910" s="209"/>
      <c r="CF910" s="209"/>
      <c r="CG910" s="192"/>
    </row>
    <row r="911" spans="1:85" s="445" customFormat="1" x14ac:dyDescent="0.3">
      <c r="A911" s="191" t="s">
        <v>381</v>
      </c>
      <c r="B911" s="192" t="str">
        <f ca="1">IFERROR(CHOOSE(MO.DataSourceIndex,BDP(HP.Ticker&amp;" Equity","CRNCY"),_xll.ciqfunctions.udf.CIQ(HP.Ticker,"IQ_TRADING_CURRENCY"),FDS(HP.Ticker,"P_CURRENCY(""ISO"")"),_xll.TR(HP.Ticker,"Currency")),HP.TradeCurrency.HardCoded)</f>
        <v>USD</v>
      </c>
      <c r="C911" s="209"/>
      <c r="D911" s="209"/>
      <c r="E911" s="209"/>
      <c r="F911" s="209"/>
      <c r="G911" s="209"/>
      <c r="H911" s="209"/>
      <c r="I911" s="209"/>
      <c r="J911" s="209"/>
      <c r="K911" s="209"/>
      <c r="L911" s="209"/>
      <c r="M911" s="209"/>
      <c r="N911" s="209"/>
      <c r="O911" s="209"/>
      <c r="P911" s="209"/>
      <c r="Q911" s="209"/>
      <c r="R911" s="209"/>
      <c r="S911" s="209"/>
      <c r="T911" s="209"/>
      <c r="U911" s="209"/>
      <c r="V911" s="209"/>
      <c r="W911" s="209"/>
      <c r="X911" s="209"/>
      <c r="Y911" s="209"/>
      <c r="Z911" s="209"/>
      <c r="AA911" s="209"/>
      <c r="AB911" s="209"/>
      <c r="AC911" s="209"/>
      <c r="AD911" s="209"/>
      <c r="AE911" s="209"/>
      <c r="AF911" s="209"/>
      <c r="AG911" s="209"/>
      <c r="AH911" s="209"/>
      <c r="AI911" s="209"/>
      <c r="AJ911" s="209"/>
      <c r="AK911" s="209"/>
      <c r="AL911" s="209"/>
      <c r="AM911" s="209"/>
      <c r="AN911" s="209"/>
      <c r="AO911" s="209"/>
      <c r="AP911" s="209"/>
      <c r="AQ911" s="209"/>
      <c r="AR911" s="209"/>
      <c r="AS911" s="209"/>
      <c r="AT911" s="209"/>
      <c r="AU911" s="209"/>
      <c r="AV911" s="209"/>
      <c r="AW911" s="209"/>
      <c r="AX911" s="209"/>
      <c r="AY911" s="209"/>
      <c r="AZ911" s="209"/>
      <c r="BA911" s="209"/>
      <c r="BB911" s="209"/>
      <c r="BC911" s="209"/>
      <c r="BD911" s="209"/>
      <c r="BE911" s="209"/>
      <c r="BF911" s="209"/>
      <c r="BG911" s="209"/>
      <c r="BH911" s="209"/>
      <c r="BI911" s="209"/>
      <c r="BJ911" s="209"/>
      <c r="BK911" s="209"/>
      <c r="BL911" s="209"/>
      <c r="BM911" s="209"/>
      <c r="BN911" s="209"/>
      <c r="BO911" s="209"/>
      <c r="BP911" s="209"/>
      <c r="BQ911" s="209"/>
      <c r="BR911" s="209"/>
      <c r="BS911" s="209"/>
      <c r="BT911" s="387"/>
      <c r="BU911" s="209"/>
      <c r="BV911" s="209"/>
      <c r="BW911" s="209"/>
      <c r="BX911" s="209"/>
      <c r="BY911" s="209"/>
      <c r="BZ911" s="209"/>
      <c r="CA911" s="209"/>
      <c r="CB911" s="209"/>
      <c r="CC911" s="209"/>
      <c r="CD911" s="209"/>
      <c r="CE911" s="209"/>
      <c r="CF911" s="209"/>
      <c r="CG911" s="192"/>
    </row>
    <row r="912" spans="1:85" s="445" customFormat="1" x14ac:dyDescent="0.3">
      <c r="A912" s="191" t="s">
        <v>382</v>
      </c>
      <c r="B912" s="805" t="s">
        <v>11</v>
      </c>
      <c r="C912" s="209"/>
      <c r="D912" s="209"/>
      <c r="E912" s="209"/>
      <c r="F912" s="209"/>
      <c r="G912" s="209"/>
      <c r="H912" s="209"/>
      <c r="I912" s="209"/>
      <c r="J912" s="209"/>
      <c r="K912" s="209"/>
      <c r="L912" s="209"/>
      <c r="M912" s="209"/>
      <c r="N912" s="209"/>
      <c r="O912" s="209"/>
      <c r="P912" s="209"/>
      <c r="Q912" s="209"/>
      <c r="R912" s="209"/>
      <c r="S912" s="209"/>
      <c r="T912" s="209"/>
      <c r="U912" s="209"/>
      <c r="V912" s="209"/>
      <c r="W912" s="209"/>
      <c r="X912" s="209"/>
      <c r="Y912" s="209"/>
      <c r="Z912" s="209"/>
      <c r="AA912" s="209"/>
      <c r="AB912" s="209"/>
      <c r="AC912" s="209"/>
      <c r="AD912" s="209"/>
      <c r="AE912" s="209"/>
      <c r="AF912" s="209"/>
      <c r="AG912" s="209"/>
      <c r="AH912" s="209"/>
      <c r="AI912" s="209"/>
      <c r="AJ912" s="209"/>
      <c r="AK912" s="209"/>
      <c r="AL912" s="209"/>
      <c r="AM912" s="209"/>
      <c r="AN912" s="209"/>
      <c r="AO912" s="209"/>
      <c r="AP912" s="209"/>
      <c r="AQ912" s="209"/>
      <c r="AR912" s="209"/>
      <c r="AS912" s="209"/>
      <c r="AT912" s="209"/>
      <c r="AU912" s="209"/>
      <c r="AV912" s="209"/>
      <c r="AW912" s="209"/>
      <c r="AX912" s="209"/>
      <c r="AY912" s="209"/>
      <c r="AZ912" s="209"/>
      <c r="BA912" s="209"/>
      <c r="BB912" s="209"/>
      <c r="BC912" s="209"/>
      <c r="BD912" s="209"/>
      <c r="BE912" s="209"/>
      <c r="BF912" s="209"/>
      <c r="BG912" s="209"/>
      <c r="BH912" s="209"/>
      <c r="BI912" s="209"/>
      <c r="BJ912" s="209"/>
      <c r="BK912" s="209"/>
      <c r="BL912" s="209"/>
      <c r="BM912" s="209"/>
      <c r="BN912" s="209"/>
      <c r="BO912" s="209"/>
      <c r="BP912" s="209"/>
      <c r="BQ912" s="209"/>
      <c r="BR912" s="209"/>
      <c r="BS912" s="209"/>
      <c r="BT912" s="387"/>
      <c r="BU912" s="209"/>
      <c r="BV912" s="209"/>
      <c r="BW912" s="209"/>
      <c r="BX912" s="209"/>
      <c r="BY912" s="209"/>
      <c r="BZ912" s="209"/>
      <c r="CA912" s="209"/>
      <c r="CB912" s="209"/>
      <c r="CC912" s="209"/>
      <c r="CD912" s="209"/>
      <c r="CE912" s="209"/>
      <c r="CF912" s="209"/>
      <c r="CG912" s="192"/>
    </row>
    <row r="913" spans="1:85" s="445" customFormat="1" x14ac:dyDescent="0.3">
      <c r="A913" s="191" t="s">
        <v>383</v>
      </c>
      <c r="B913" s="805" t="s">
        <v>11</v>
      </c>
      <c r="C913" s="209"/>
      <c r="D913" s="209"/>
      <c r="E913" s="209"/>
      <c r="F913" s="209"/>
      <c r="G913" s="209"/>
      <c r="H913" s="209"/>
      <c r="I913" s="209"/>
      <c r="J913" s="209"/>
      <c r="K913" s="209"/>
      <c r="L913" s="209"/>
      <c r="M913" s="209"/>
      <c r="N913" s="209"/>
      <c r="O913" s="209"/>
      <c r="P913" s="209"/>
      <c r="Q913" s="209"/>
      <c r="R913" s="209"/>
      <c r="S913" s="209"/>
      <c r="T913" s="209"/>
      <c r="U913" s="209"/>
      <c r="V913" s="209"/>
      <c r="W913" s="209"/>
      <c r="X913" s="209"/>
      <c r="Y913" s="209"/>
      <c r="Z913" s="209"/>
      <c r="AA913" s="209"/>
      <c r="AB913" s="209"/>
      <c r="AC913" s="209"/>
      <c r="AD913" s="209"/>
      <c r="AE913" s="209"/>
      <c r="AF913" s="209"/>
      <c r="AG913" s="209"/>
      <c r="AH913" s="209"/>
      <c r="AI913" s="209"/>
      <c r="AJ913" s="209"/>
      <c r="AK913" s="209"/>
      <c r="AL913" s="209"/>
      <c r="AM913" s="209"/>
      <c r="AN913" s="209"/>
      <c r="AO913" s="209"/>
      <c r="AP913" s="209"/>
      <c r="AQ913" s="209"/>
      <c r="AR913" s="209"/>
      <c r="AS913" s="209"/>
      <c r="AT913" s="209"/>
      <c r="AU913" s="209"/>
      <c r="AV913" s="209"/>
      <c r="AW913" s="209"/>
      <c r="AX913" s="209"/>
      <c r="AY913" s="209"/>
      <c r="AZ913" s="209"/>
      <c r="BA913" s="209"/>
      <c r="BB913" s="209"/>
      <c r="BC913" s="209"/>
      <c r="BD913" s="209"/>
      <c r="BE913" s="209"/>
      <c r="BF913" s="209"/>
      <c r="BG913" s="209"/>
      <c r="BH913" s="209"/>
      <c r="BI913" s="209"/>
      <c r="BJ913" s="209"/>
      <c r="BK913" s="209"/>
      <c r="BL913" s="209"/>
      <c r="BM913" s="209"/>
      <c r="BN913" s="209"/>
      <c r="BO913" s="209"/>
      <c r="BP913" s="209"/>
      <c r="BQ913" s="209"/>
      <c r="BR913" s="209"/>
      <c r="BS913" s="209"/>
      <c r="BT913" s="387"/>
      <c r="BU913" s="209"/>
      <c r="BV913" s="209"/>
      <c r="BW913" s="209"/>
      <c r="BX913" s="209"/>
      <c r="BY913" s="209"/>
      <c r="BZ913" s="209"/>
      <c r="CA913" s="209"/>
      <c r="CB913" s="209"/>
      <c r="CC913" s="209"/>
      <c r="CD913" s="209"/>
      <c r="CE913" s="209"/>
      <c r="CF913" s="209"/>
      <c r="CG913" s="192"/>
    </row>
    <row r="914" spans="1:85" s="445" customFormat="1" x14ac:dyDescent="0.3">
      <c r="A914" s="191" t="s">
        <v>384</v>
      </c>
      <c r="B914" s="200">
        <f ca="1">IF(EXACT(MO.ReportFX,HP.TradeCurrency),1,IF(OR(INDEX(MO_SPT_FXAverage,1,MO.MRFPColumnNumber+1)="N/A",ISERROR(INDEX(MO_SPT_FXAverage,1,MO.MRFPColumnNumber+1))),MO.MRFX.Hardcoded,INDEX(MO_SPT_FXAverage,1,MO.MRFPColumnNumber+1)))</f>
        <v>1</v>
      </c>
      <c r="C914" s="209"/>
      <c r="D914" s="209"/>
      <c r="E914" s="209"/>
      <c r="F914" s="209"/>
      <c r="G914" s="209"/>
      <c r="H914" s="209"/>
      <c r="I914" s="209"/>
      <c r="J914" s="209"/>
      <c r="K914" s="209"/>
      <c r="L914" s="209"/>
      <c r="M914" s="209"/>
      <c r="N914" s="209"/>
      <c r="O914" s="209"/>
      <c r="P914" s="209"/>
      <c r="Q914" s="209"/>
      <c r="R914" s="209"/>
      <c r="S914" s="209"/>
      <c r="T914" s="209"/>
      <c r="U914" s="209"/>
      <c r="V914" s="209"/>
      <c r="W914" s="209"/>
      <c r="X914" s="209"/>
      <c r="Y914" s="209"/>
      <c r="Z914" s="209"/>
      <c r="AA914" s="209"/>
      <c r="AB914" s="209"/>
      <c r="AC914" s="209"/>
      <c r="AD914" s="209"/>
      <c r="AE914" s="209"/>
      <c r="AF914" s="209"/>
      <c r="AG914" s="209"/>
      <c r="AH914" s="209"/>
      <c r="AI914" s="209"/>
      <c r="AJ914" s="209"/>
      <c r="AK914" s="209"/>
      <c r="AL914" s="209"/>
      <c r="AM914" s="209"/>
      <c r="AN914" s="209"/>
      <c r="AO914" s="209"/>
      <c r="AP914" s="209"/>
      <c r="AQ914" s="209"/>
      <c r="AR914" s="209"/>
      <c r="AS914" s="209"/>
      <c r="AT914" s="209"/>
      <c r="AU914" s="209"/>
      <c r="AV914" s="209"/>
      <c r="AW914" s="209"/>
      <c r="AX914" s="209"/>
      <c r="AY914" s="209"/>
      <c r="AZ914" s="209"/>
      <c r="BA914" s="209"/>
      <c r="BB914" s="209"/>
      <c r="BC914" s="209"/>
      <c r="BD914" s="209"/>
      <c r="BE914" s="209"/>
      <c r="BF914" s="209"/>
      <c r="BG914" s="209"/>
      <c r="BH914" s="209"/>
      <c r="BI914" s="209"/>
      <c r="BJ914" s="209"/>
      <c r="BK914" s="209"/>
      <c r="BL914" s="209"/>
      <c r="BM914" s="209"/>
      <c r="BN914" s="209"/>
      <c r="BO914" s="209"/>
      <c r="BP914" s="209"/>
      <c r="BQ914" s="209"/>
      <c r="BR914" s="209"/>
      <c r="BS914" s="209"/>
      <c r="BT914" s="387"/>
      <c r="BU914" s="209"/>
      <c r="BV914" s="209"/>
      <c r="BW914" s="209"/>
      <c r="BX914" s="209"/>
      <c r="BY914" s="209"/>
      <c r="BZ914" s="209"/>
      <c r="CA914" s="209"/>
      <c r="CB914" s="209"/>
      <c r="CC914" s="209"/>
      <c r="CD914" s="209"/>
      <c r="CE914" s="209"/>
      <c r="CF914" s="209"/>
      <c r="CG914" s="192"/>
    </row>
    <row r="915" spans="1:85" s="445" customFormat="1" x14ac:dyDescent="0.3">
      <c r="A915" s="191" t="s">
        <v>385</v>
      </c>
      <c r="B915" s="808">
        <v>1</v>
      </c>
      <c r="C915" s="209"/>
      <c r="D915" s="209"/>
      <c r="E915" s="209"/>
      <c r="F915" s="209"/>
      <c r="G915" s="209"/>
      <c r="H915" s="209"/>
      <c r="I915" s="209"/>
      <c r="J915" s="209"/>
      <c r="K915" s="209"/>
      <c r="L915" s="209"/>
      <c r="M915" s="209"/>
      <c r="N915" s="209"/>
      <c r="O915" s="209"/>
      <c r="P915" s="209"/>
      <c r="Q915" s="209"/>
      <c r="R915" s="209"/>
      <c r="S915" s="209"/>
      <c r="T915" s="209"/>
      <c r="U915" s="209"/>
      <c r="V915" s="209"/>
      <c r="W915" s="209"/>
      <c r="X915" s="209"/>
      <c r="Y915" s="209"/>
      <c r="Z915" s="209"/>
      <c r="AA915" s="209"/>
      <c r="AB915" s="209"/>
      <c r="AC915" s="209"/>
      <c r="AD915" s="209"/>
      <c r="AE915" s="209"/>
      <c r="AF915" s="209"/>
      <c r="AG915" s="209"/>
      <c r="AH915" s="209"/>
      <c r="AI915" s="209"/>
      <c r="AJ915" s="209"/>
      <c r="AK915" s="209"/>
      <c r="AL915" s="209"/>
      <c r="AM915" s="209"/>
      <c r="AN915" s="209"/>
      <c r="AO915" s="209"/>
      <c r="AP915" s="209"/>
      <c r="AQ915" s="209"/>
      <c r="AR915" s="209"/>
      <c r="AS915" s="209"/>
      <c r="AT915" s="209"/>
      <c r="AU915" s="209"/>
      <c r="AV915" s="209"/>
      <c r="AW915" s="209"/>
      <c r="AX915" s="209"/>
      <c r="AY915" s="209"/>
      <c r="AZ915" s="209"/>
      <c r="BA915" s="209"/>
      <c r="BB915" s="209"/>
      <c r="BC915" s="209"/>
      <c r="BD915" s="209"/>
      <c r="BE915" s="209"/>
      <c r="BF915" s="209"/>
      <c r="BG915" s="209"/>
      <c r="BH915" s="209"/>
      <c r="BI915" s="209"/>
      <c r="BJ915" s="209"/>
      <c r="BK915" s="209"/>
      <c r="BL915" s="209"/>
      <c r="BM915" s="209"/>
      <c r="BN915" s="209"/>
      <c r="BO915" s="209"/>
      <c r="BP915" s="209"/>
      <c r="BQ915" s="209"/>
      <c r="BR915" s="209"/>
      <c r="BS915" s="209"/>
      <c r="BT915" s="387"/>
      <c r="BU915" s="209"/>
      <c r="BV915" s="209"/>
      <c r="BW915" s="209"/>
      <c r="BX915" s="209"/>
      <c r="BY915" s="209"/>
      <c r="BZ915" s="209"/>
      <c r="CA915" s="209"/>
      <c r="CB915" s="209"/>
      <c r="CC915" s="209"/>
      <c r="CD915" s="209"/>
      <c r="CE915" s="209"/>
      <c r="CF915" s="209"/>
      <c r="CG915" s="192"/>
    </row>
    <row r="916" spans="1:85" s="428" customFormat="1" x14ac:dyDescent="0.3">
      <c r="A916" s="40" t="s">
        <v>386</v>
      </c>
      <c r="B916" s="22">
        <f>MATCH(MO.MRFP,MO_Common_ColumnHeader,0)</f>
        <v>72</v>
      </c>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480"/>
      <c r="BU916" s="37"/>
      <c r="BV916" s="37"/>
      <c r="BW916" s="37"/>
      <c r="BX916" s="37"/>
      <c r="BY916" s="37"/>
      <c r="BZ916" s="37"/>
      <c r="CA916" s="37"/>
      <c r="CB916" s="37"/>
      <c r="CC916" s="37"/>
      <c r="CD916" s="37"/>
      <c r="CE916" s="37"/>
      <c r="CF916" s="37"/>
      <c r="CG916" s="22"/>
    </row>
    <row r="917" spans="1:85" s="428" customFormat="1" x14ac:dyDescent="0.3">
      <c r="A917" s="40" t="s">
        <v>387</v>
      </c>
      <c r="B917" s="763" t="s">
        <v>1667</v>
      </c>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480"/>
      <c r="BU917" s="37"/>
      <c r="BV917" s="37"/>
      <c r="BW917" s="37"/>
      <c r="BX917" s="37"/>
      <c r="BY917" s="37"/>
      <c r="BZ917" s="37"/>
      <c r="CA917" s="37"/>
      <c r="CB917" s="37"/>
      <c r="CC917" s="37"/>
      <c r="CD917" s="37"/>
      <c r="CE917" s="37"/>
      <c r="CF917" s="37"/>
      <c r="CG917" s="22"/>
    </row>
    <row r="918" spans="1:85" s="428" customFormat="1" x14ac:dyDescent="0.3">
      <c r="A918" s="40" t="s">
        <v>388</v>
      </c>
      <c r="B918" s="22" t="str">
        <f>"FY"&amp;RIGHT(MO.MRFP,4)</f>
        <v>FY2026</v>
      </c>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480"/>
      <c r="BU918" s="37"/>
      <c r="BV918" s="37"/>
      <c r="BW918" s="37"/>
      <c r="BX918" s="37"/>
      <c r="BY918" s="37"/>
      <c r="BZ918" s="37"/>
      <c r="CA918" s="37"/>
      <c r="CB918" s="37"/>
      <c r="CC918" s="37"/>
      <c r="CD918" s="37"/>
      <c r="CE918" s="37"/>
      <c r="CF918" s="37"/>
      <c r="CG918" s="22"/>
    </row>
    <row r="919" spans="1:85" s="428" customFormat="1" x14ac:dyDescent="0.3">
      <c r="A919" s="40" t="s">
        <v>527</v>
      </c>
      <c r="B919" s="22" t="str">
        <f>"FY"&amp;RIGHT(MO.MRFP,4)+IF(LEFT(MO.MRFP,2)="FY",1,0)</f>
        <v>FY2026</v>
      </c>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480"/>
      <c r="BU919" s="37"/>
      <c r="BV919" s="37"/>
      <c r="BW919" s="37"/>
      <c r="BX919" s="37"/>
      <c r="BY919" s="37"/>
      <c r="BZ919" s="37"/>
      <c r="CA919" s="37"/>
      <c r="CB919" s="37"/>
      <c r="CC919" s="37"/>
      <c r="CD919" s="37"/>
      <c r="CE919" s="37"/>
      <c r="CF919" s="37"/>
      <c r="CG919" s="22"/>
    </row>
    <row r="920" spans="1:85" s="428" customFormat="1" x14ac:dyDescent="0.3">
      <c r="A920" s="40" t="s">
        <v>728</v>
      </c>
      <c r="B920" s="22">
        <f>COUNTA(tb_KPIs)-1</f>
        <v>10</v>
      </c>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480"/>
      <c r="BU920" s="37"/>
      <c r="BV920" s="37"/>
      <c r="BW920" s="37"/>
      <c r="BX920" s="37"/>
      <c r="BY920" s="37"/>
      <c r="BZ920" s="37"/>
      <c r="CA920" s="37"/>
      <c r="CB920" s="37"/>
      <c r="CC920" s="37"/>
      <c r="CD920" s="37"/>
      <c r="CE920" s="37"/>
      <c r="CF920" s="37"/>
      <c r="CG920" s="22"/>
    </row>
    <row r="921" spans="1:85" s="428" customFormat="1" x14ac:dyDescent="0.3">
      <c r="A921" s="194" t="s">
        <v>389</v>
      </c>
      <c r="B921" s="195">
        <f>IF(MO.DataSourceName="Bloomberg",1,IF(MO.DataSourceName="Capital IQ",2,IF(MO.DataSourceName="FactSet",3,IF(MO.DataSourceName="Refinitiv",4,1))))</f>
        <v>1</v>
      </c>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480"/>
      <c r="BU921" s="37"/>
      <c r="BV921" s="37"/>
      <c r="BW921" s="37"/>
      <c r="BX921" s="37"/>
      <c r="BY921" s="37"/>
      <c r="BZ921" s="37"/>
      <c r="CA921" s="37"/>
      <c r="CB921" s="37"/>
      <c r="CC921" s="37"/>
      <c r="CD921" s="37"/>
      <c r="CE921" s="37"/>
      <c r="CF921" s="37"/>
      <c r="CG921" s="22"/>
    </row>
    <row r="922" spans="1:85" x14ac:dyDescent="0.3">
      <c r="A922" s="376"/>
      <c r="B922" s="376"/>
      <c r="C922" s="352"/>
      <c r="D922" s="352"/>
      <c r="E922" s="352"/>
      <c r="F922" s="352"/>
      <c r="G922" s="352"/>
      <c r="H922" s="352"/>
      <c r="I922" s="352"/>
      <c r="J922" s="352"/>
      <c r="K922" s="352"/>
      <c r="L922" s="352"/>
      <c r="M922" s="352"/>
      <c r="N922" s="352"/>
      <c r="O922" s="352"/>
      <c r="P922" s="352"/>
      <c r="Q922" s="352"/>
      <c r="R922" s="352"/>
      <c r="S922" s="352"/>
      <c r="T922" s="352"/>
      <c r="U922" s="352"/>
      <c r="V922" s="352"/>
      <c r="W922" s="352"/>
      <c r="X922" s="352"/>
      <c r="Y922" s="352"/>
      <c r="Z922" s="352"/>
      <c r="AA922" s="352"/>
      <c r="AB922" s="352"/>
      <c r="AC922" s="352"/>
      <c r="AD922" s="352"/>
      <c r="AE922" s="352"/>
      <c r="AF922" s="352"/>
      <c r="AG922" s="352"/>
      <c r="AH922" s="352"/>
      <c r="AI922" s="352"/>
      <c r="AJ922" s="352"/>
      <c r="AK922" s="352"/>
      <c r="AL922" s="352"/>
      <c r="AM922" s="352"/>
      <c r="AN922" s="352"/>
      <c r="AO922" s="352"/>
      <c r="AP922" s="352"/>
      <c r="AQ922" s="352"/>
      <c r="AR922" s="352"/>
      <c r="AS922" s="352"/>
      <c r="AT922" s="352"/>
      <c r="AU922" s="352"/>
      <c r="AV922" s="352"/>
      <c r="AW922" s="352"/>
      <c r="AX922" s="352"/>
      <c r="AY922" s="352"/>
      <c r="AZ922" s="352"/>
      <c r="BA922" s="352"/>
      <c r="BB922" s="352"/>
      <c r="BC922" s="352"/>
      <c r="BD922" s="352"/>
      <c r="BE922" s="352"/>
      <c r="BF922" s="352"/>
      <c r="BG922" s="352"/>
      <c r="BH922" s="352"/>
      <c r="BI922" s="352"/>
      <c r="BJ922" s="352"/>
      <c r="BK922" s="352"/>
      <c r="BL922" s="352"/>
      <c r="BM922" s="352"/>
      <c r="BN922" s="352"/>
      <c r="BO922" s="352"/>
      <c r="BP922" s="352"/>
      <c r="BQ922" s="352"/>
      <c r="BR922" s="352"/>
      <c r="BS922" s="352"/>
      <c r="BT922" s="388"/>
      <c r="BU922" s="352"/>
      <c r="BV922" s="352"/>
      <c r="BW922" s="352"/>
      <c r="BX922" s="352"/>
      <c r="BY922" s="352"/>
      <c r="BZ922" s="352"/>
      <c r="CA922" s="352"/>
      <c r="CB922" s="352"/>
      <c r="CC922" s="352"/>
      <c r="CD922" s="352"/>
      <c r="CE922" s="352"/>
      <c r="CF922" s="352"/>
      <c r="CG922" s="30"/>
    </row>
    <row r="923" spans="1:85" x14ac:dyDescent="0.3">
      <c r="A923" s="306" t="s">
        <v>816</v>
      </c>
      <c r="B923" s="196"/>
      <c r="C923" s="196"/>
      <c r="D923" s="196"/>
      <c r="E923" s="196"/>
      <c r="F923" s="196"/>
      <c r="G923" s="196"/>
      <c r="H923" s="196"/>
      <c r="I923" s="196"/>
      <c r="J923" s="196"/>
      <c r="K923" s="196"/>
      <c r="L923" s="196"/>
      <c r="M923" s="196"/>
      <c r="N923" s="196"/>
      <c r="O923" s="196"/>
      <c r="P923" s="196"/>
      <c r="Q923" s="196"/>
      <c r="R923" s="196"/>
      <c r="S923" s="196"/>
      <c r="T923" s="196"/>
      <c r="U923" s="196"/>
      <c r="V923" s="196"/>
      <c r="W923" s="196"/>
      <c r="X923" s="196"/>
      <c r="Y923" s="196"/>
      <c r="Z923" s="196"/>
      <c r="AA923" s="196"/>
      <c r="AB923" s="196"/>
      <c r="AC923" s="196"/>
      <c r="AD923" s="196"/>
      <c r="AE923" s="196"/>
      <c r="AF923" s="196"/>
      <c r="AG923" s="196"/>
      <c r="AH923" s="196"/>
      <c r="AI923" s="196"/>
      <c r="AJ923" s="196"/>
      <c r="AK923" s="196"/>
      <c r="AL923" s="196"/>
      <c r="AM923" s="196"/>
      <c r="AN923" s="196"/>
      <c r="AO923" s="196"/>
      <c r="AP923" s="196"/>
      <c r="AQ923" s="196"/>
      <c r="AR923" s="196"/>
      <c r="AS923" s="196"/>
      <c r="AT923" s="196"/>
      <c r="AU923" s="196"/>
      <c r="AV923" s="196"/>
      <c r="AW923" s="196"/>
      <c r="AX923" s="196"/>
      <c r="AY923" s="196"/>
      <c r="AZ923" s="196"/>
      <c r="BA923" s="196"/>
      <c r="BB923" s="196"/>
      <c r="BC923" s="196"/>
      <c r="BD923" s="196"/>
      <c r="BE923" s="196"/>
      <c r="BF923" s="196"/>
      <c r="BG923" s="196"/>
      <c r="BH923" s="196"/>
      <c r="BI923" s="196"/>
      <c r="BJ923" s="196"/>
      <c r="BK923" s="196"/>
      <c r="BL923" s="196"/>
      <c r="BM923" s="196"/>
      <c r="BN923" s="196"/>
      <c r="BO923" s="196"/>
      <c r="BP923" s="196"/>
      <c r="BQ923" s="196"/>
      <c r="BR923" s="196"/>
      <c r="BS923" s="196"/>
      <c r="BT923" s="196"/>
      <c r="BU923" s="196"/>
      <c r="BV923" s="196"/>
      <c r="BW923" s="196"/>
      <c r="BX923" s="196"/>
      <c r="BY923" s="196"/>
      <c r="BZ923" s="196"/>
      <c r="CA923" s="196"/>
      <c r="CB923" s="196"/>
      <c r="CC923" s="196"/>
      <c r="CD923" s="196"/>
      <c r="CE923" s="196"/>
      <c r="CF923" s="196"/>
      <c r="CG923" s="30"/>
    </row>
    <row r="924" spans="1:85" x14ac:dyDescent="0.3">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c r="BO924" s="30"/>
      <c r="BP924" s="30"/>
      <c r="BQ924" s="30"/>
      <c r="BR924" s="30"/>
      <c r="BS924" s="30"/>
      <c r="BT924" s="30"/>
      <c r="BU924" s="30"/>
      <c r="BV924" s="30"/>
      <c r="BW924" s="30"/>
      <c r="BX924" s="30"/>
      <c r="BY924" s="30"/>
      <c r="BZ924" s="30"/>
      <c r="CA924" s="30"/>
      <c r="CB924" s="30"/>
      <c r="CC924" s="30"/>
      <c r="CD924" s="30"/>
      <c r="CE924" s="30"/>
      <c r="CF924" s="30"/>
      <c r="CG924" s="30"/>
    </row>
  </sheetData>
  <conditionalFormatting sqref="C424:CF424">
    <cfRule type="cellIs" dxfId="9" priority="1244" operator="notEqual">
      <formula>0</formula>
    </cfRule>
    <cfRule type="cellIs" dxfId="8" priority="1245" operator="equal">
      <formula>0</formula>
    </cfRule>
  </conditionalFormatting>
  <conditionalFormatting sqref="C731:CF731">
    <cfRule type="cellIs" dxfId="7" priority="1242" operator="notEqual">
      <formula>0</formula>
    </cfRule>
    <cfRule type="cellIs" dxfId="6" priority="1243" operator="equal">
      <formula>0</formula>
    </cfRule>
  </conditionalFormatting>
  <conditionalFormatting sqref="C791:CF791">
    <cfRule type="cellIs" dxfId="5" priority="1240" operator="notEqual">
      <formula>0</formula>
    </cfRule>
    <cfRule type="cellIs" dxfId="4" priority="1241" operator="equal">
      <formula>0</formula>
    </cfRule>
  </conditionalFormatting>
  <conditionalFormatting sqref="C794:CF803 C804:AR804 AU804:BF804 BH804 BJ804:BP804 BR804:CF804 C805:CF811">
    <cfRule type="cellIs" dxfId="3" priority="1238" operator="notEqual">
      <formula>0</formula>
    </cfRule>
    <cfRule type="cellIs" dxfId="2" priority="1239" operator="equal">
      <formula>0</formula>
    </cfRule>
  </conditionalFormatting>
  <dataValidations count="1">
    <dataValidation type="list" allowBlank="1" showInputMessage="1" showErrorMessage="1" sqref="B604" xr:uid="{00000000-0002-0000-0100-000000000000}">
      <formula1>OFFSET(tb_ValuationToggle,1,0,4,1)</formula1>
    </dataValidation>
  </dataValidations>
  <hyperlinks>
    <hyperlink ref="A1" r:id="rId1" xr:uid="{00000000-0004-0000-0100-000000000000}"/>
  </hyperlinks>
  <pageMargins left="0" right="0" top="0.39370078740157499" bottom="0" header="0.196850393700787" footer="0"/>
  <pageSetup scale="30" fitToHeight="0" orientation="landscape" r:id="rId2"/>
  <headerFooter>
    <oddHeader>&amp;CChevron Company0697&amp;RPage &amp;P</oddHeader>
  </headerFooter>
  <customProperties>
    <customPr name="CarouselSheetID" r:id="rId3"/>
  </customProperties>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C493-A64E-4528-BA25-A92C67F1B888}">
  <sheetPr codeName="Sheet4"/>
  <dimension ref="A1:U227"/>
  <sheetViews>
    <sheetView workbookViewId="0">
      <pane ySplit="5" topLeftCell="A6" activePane="bottomLeft" state="frozenSplit"/>
      <selection pane="bottomLeft"/>
    </sheetView>
  </sheetViews>
  <sheetFormatPr defaultColWidth="8.5546875" defaultRowHeight="14.4" outlineLevelCol="1" x14ac:dyDescent="0.3"/>
  <cols>
    <col min="1" max="1" width="3.109375" style="449" customWidth="1"/>
    <col min="2" max="2" width="9.44140625" style="450" bestFit="1" customWidth="1"/>
    <col min="3" max="3" width="2.5546875" style="450" customWidth="1"/>
    <col min="4" max="4" width="43" style="451" customWidth="1"/>
    <col min="5" max="5" width="21.5546875" style="452" hidden="1" customWidth="1" outlineLevel="1"/>
    <col min="6" max="6" width="14.44140625" style="450" bestFit="1" customWidth="1" collapsed="1"/>
    <col min="7" max="7" width="14.44140625" style="450" hidden="1" customWidth="1" outlineLevel="1" collapsed="1"/>
    <col min="8" max="8" width="2.5546875" style="450" customWidth="1" collapsed="1"/>
    <col min="9" max="9" width="10.44140625" style="450" bestFit="1" customWidth="1"/>
    <col min="10" max="11" width="9.44140625" style="450" bestFit="1" customWidth="1"/>
    <col min="12" max="12" width="2.5546875" style="450" customWidth="1"/>
    <col min="13" max="13" width="8.5546875" style="450" bestFit="1" customWidth="1"/>
    <col min="14" max="14" width="11.5546875" style="451" bestFit="1" customWidth="1"/>
    <col min="15" max="15" width="2.5546875" style="450" customWidth="1"/>
    <col min="16" max="16" width="13.44140625" style="450" bestFit="1" customWidth="1"/>
    <col min="17" max="17" width="14.44140625" style="453" bestFit="1" customWidth="1"/>
    <col min="18" max="18" width="2.5546875" style="450" customWidth="1"/>
    <col min="19" max="19" width="10.5546875" style="454" bestFit="1" customWidth="1"/>
    <col min="20" max="20" width="20.5546875" style="455" customWidth="1"/>
    <col min="21" max="21" width="8.5546875" style="450" customWidth="1"/>
    <col min="22" max="16384" width="8.5546875" style="450"/>
  </cols>
  <sheetData>
    <row r="1" spans="1:21" ht="28.8" x14ac:dyDescent="0.55000000000000004">
      <c r="A1" s="143"/>
      <c r="B1" s="136" t="str">
        <f>MO.CompanyName</f>
        <v>Company0670 Company0697</v>
      </c>
      <c r="C1" s="137"/>
      <c r="D1" s="137"/>
      <c r="E1" s="139"/>
      <c r="F1" s="137"/>
      <c r="G1" s="137"/>
      <c r="H1" s="137"/>
      <c r="I1" s="137"/>
      <c r="J1" s="137"/>
      <c r="K1" s="137"/>
      <c r="L1" s="137"/>
      <c r="M1" s="137"/>
      <c r="N1" s="137"/>
      <c r="O1" s="137"/>
      <c r="P1" s="137"/>
      <c r="Q1" s="140"/>
      <c r="R1" s="137"/>
      <c r="S1" s="141"/>
      <c r="T1" s="137"/>
      <c r="U1" s="137"/>
    </row>
    <row r="2" spans="1:21" x14ac:dyDescent="0.3">
      <c r="A2" s="143"/>
      <c r="B2" s="138" t="s">
        <v>516</v>
      </c>
      <c r="C2" s="137"/>
      <c r="D2" s="137"/>
      <c r="E2" s="139"/>
      <c r="F2" s="137" t="str">
        <f>UL.MRQ</f>
        <v>Q1-2026</v>
      </c>
      <c r="G2" s="137"/>
      <c r="H2" s="137"/>
      <c r="I2" s="137"/>
      <c r="J2" s="137"/>
      <c r="K2" s="137"/>
      <c r="L2" s="137"/>
      <c r="M2" s="137"/>
      <c r="N2" s="137"/>
      <c r="O2" s="137"/>
      <c r="P2" s="137"/>
      <c r="Q2" s="140"/>
      <c r="R2" s="137"/>
      <c r="S2" s="141"/>
      <c r="T2" s="137"/>
      <c r="U2" s="137"/>
    </row>
    <row r="3" spans="1:21" x14ac:dyDescent="0.3">
      <c r="A3" s="143"/>
      <c r="B3" s="137"/>
      <c r="C3" s="137"/>
      <c r="D3" s="137"/>
      <c r="E3" s="139"/>
      <c r="F3" s="137"/>
      <c r="G3" s="137"/>
      <c r="H3" s="137"/>
      <c r="I3" s="137"/>
      <c r="J3" s="137"/>
      <c r="K3" s="137"/>
      <c r="L3" s="137"/>
      <c r="M3" s="137"/>
      <c r="N3" s="137"/>
      <c r="O3" s="137"/>
      <c r="P3" s="137"/>
      <c r="Q3" s="140"/>
      <c r="R3" s="137"/>
      <c r="S3" s="137"/>
      <c r="T3" s="137"/>
      <c r="U3" s="137"/>
    </row>
    <row r="4" spans="1:21" s="456" customFormat="1" x14ac:dyDescent="0.3">
      <c r="A4" s="143"/>
      <c r="B4" s="144"/>
      <c r="C4" s="187"/>
      <c r="D4" s="144"/>
      <c r="E4" s="144"/>
      <c r="F4" s="144"/>
      <c r="G4" s="144"/>
      <c r="H4" s="187"/>
      <c r="I4" s="145" t="s">
        <v>390</v>
      </c>
      <c r="J4" s="145"/>
      <c r="K4" s="145"/>
      <c r="L4" s="187"/>
      <c r="M4" s="145" t="s">
        <v>391</v>
      </c>
      <c r="N4" s="145"/>
      <c r="O4" s="187"/>
      <c r="P4" s="145" t="s">
        <v>392</v>
      </c>
      <c r="Q4" s="145"/>
      <c r="R4" s="187"/>
      <c r="S4" s="145" t="s">
        <v>393</v>
      </c>
      <c r="T4" s="145"/>
      <c r="U4" s="141"/>
    </row>
    <row r="5" spans="1:21" s="457" customFormat="1" x14ac:dyDescent="0.3">
      <c r="A5" s="143"/>
      <c r="B5" s="144" t="s">
        <v>394</v>
      </c>
      <c r="C5" s="188"/>
      <c r="D5" s="144" t="s">
        <v>395</v>
      </c>
      <c r="E5" s="144" t="s">
        <v>396</v>
      </c>
      <c r="F5" s="144" t="s">
        <v>397</v>
      </c>
      <c r="G5" s="144" t="s">
        <v>416</v>
      </c>
      <c r="H5" s="188"/>
      <c r="I5" s="146" t="s">
        <v>367</v>
      </c>
      <c r="J5" s="146" t="s">
        <v>366</v>
      </c>
      <c r="K5" s="146" t="s">
        <v>398</v>
      </c>
      <c r="L5" s="188"/>
      <c r="M5" s="144" t="s">
        <v>394</v>
      </c>
      <c r="N5" s="146" t="s">
        <v>399</v>
      </c>
      <c r="O5" s="188"/>
      <c r="P5" s="146" t="s">
        <v>400</v>
      </c>
      <c r="Q5" s="147" t="s">
        <v>401</v>
      </c>
      <c r="R5" s="188"/>
      <c r="S5" s="146" t="s">
        <v>402</v>
      </c>
      <c r="T5" s="146" t="s">
        <v>403</v>
      </c>
      <c r="U5" s="142"/>
    </row>
    <row r="6" spans="1:21" x14ac:dyDescent="0.3">
      <c r="A6" s="143">
        <v>221</v>
      </c>
      <c r="B6" s="148" t="str">
        <f t="shared" ref="B6:B7" si="0">IF(INDEX(MO_SNA_IsHistoricalPeriod,,MATCH(F6,MO_Common_ColumnHeader,0)),"Historical","Forward")</f>
        <v>Forward</v>
      </c>
      <c r="C6" s="137"/>
      <c r="D6" s="152" t="str">
        <f ca="1">INDEX(INDIRECT(E6),0,COLUMN(MO_Common_Column_A))</f>
        <v>Total average daily production volumes, kBOE/d</v>
      </c>
      <c r="E6" s="149" t="s">
        <v>405</v>
      </c>
      <c r="F6" s="148" t="s">
        <v>825</v>
      </c>
      <c r="G6" s="148" t="s">
        <v>824</v>
      </c>
      <c r="H6" s="137"/>
      <c r="I6" s="218">
        <v>7.0000000000000007E-2</v>
      </c>
      <c r="J6" s="218">
        <v>0.1</v>
      </c>
      <c r="K6" s="218">
        <f t="shared" ref="K6:K7" si="1">AVERAGE(I6:J6)</f>
        <v>8.5000000000000006E-2</v>
      </c>
      <c r="L6" s="137"/>
      <c r="M6" s="148" t="str">
        <f t="shared" ref="M6:M7" si="2">IF(INDEX(MO_SNA_IsHistoricalPeriod,,MATCH(F6,MO_Common_ColumnHeader,0)),"Actual","Estimate")</f>
        <v>Estimate</v>
      </c>
      <c r="N6" s="218">
        <f>INDEX(MO_OS_Energy_AverageDailyProduction_Total,0,MATCH(F6,MO_Common_ColumnHeader,0))/INDEX(MO_OS_Energy_AverageDailyProduction_Total,0,MATCH(G6,MO_Common_ColumnHeader,0))-1</f>
        <v>8.5572121603941342E-2</v>
      </c>
      <c r="O6" s="137"/>
      <c r="P6" s="154">
        <f>IF(ISNUMBER(N6),N6-K6,"N/A")</f>
        <v>5.7212160394133627E-4</v>
      </c>
      <c r="Q6" s="154">
        <f>IFERROR(IF(ISNUMBER(N6),(N6-K6)/ABS(K6),"N/A"),"N/A")</f>
        <v>6.7308423993098377E-3</v>
      </c>
      <c r="R6" s="137"/>
      <c r="S6" s="151">
        <v>46143</v>
      </c>
      <c r="T6" s="155" t="s">
        <v>407</v>
      </c>
      <c r="U6" s="137"/>
    </row>
    <row r="7" spans="1:21" x14ac:dyDescent="0.3">
      <c r="A7" s="143">
        <v>220</v>
      </c>
      <c r="B7" s="148" t="str">
        <f t="shared" si="0"/>
        <v>Forward</v>
      </c>
      <c r="C7" s="137"/>
      <c r="D7" s="152" t="str">
        <f ca="1">INDEX(INDIRECT(E7),0,COLUMN(MO_Common_Column_A))</f>
        <v>Capex</v>
      </c>
      <c r="E7" s="149" t="s">
        <v>536</v>
      </c>
      <c r="F7" s="148" t="s">
        <v>825</v>
      </c>
      <c r="G7" s="148"/>
      <c r="H7" s="137"/>
      <c r="I7" s="150">
        <v>-19000</v>
      </c>
      <c r="J7" s="150">
        <v>-18000</v>
      </c>
      <c r="K7" s="150">
        <f t="shared" si="1"/>
        <v>-18500</v>
      </c>
      <c r="L7" s="137"/>
      <c r="M7" s="148" t="str">
        <f t="shared" si="2"/>
        <v>Estimate</v>
      </c>
      <c r="N7" s="150">
        <f ca="1">IFERROR(INDEX(INDIRECT(E7),0,MATCH(F7,MO_Common_ColumnHeader,0)),"N/A")</f>
        <v>-18563</v>
      </c>
      <c r="O7" s="137"/>
      <c r="P7" s="153">
        <f ca="1">IF(ISNUMBER(N7),N7-K7,"N/A")</f>
        <v>-63</v>
      </c>
      <c r="Q7" s="154">
        <f ca="1">IFERROR(IF(ISNUMBER(N7),(N7-K7)/ABS(K7),"N/A"),"N/A")</f>
        <v>-3.4054054054054052E-3</v>
      </c>
      <c r="R7" s="137"/>
      <c r="S7" s="151">
        <v>46143</v>
      </c>
      <c r="T7" s="155" t="s">
        <v>407</v>
      </c>
      <c r="U7" s="137"/>
    </row>
    <row r="8" spans="1:21" x14ac:dyDescent="0.3">
      <c r="A8" s="143">
        <v>219</v>
      </c>
      <c r="B8" s="137"/>
      <c r="C8" s="137"/>
      <c r="D8" s="138"/>
      <c r="E8" s="139"/>
      <c r="F8" s="137"/>
      <c r="G8" s="137"/>
      <c r="H8" s="137"/>
      <c r="I8" s="117"/>
      <c r="J8" s="117"/>
      <c r="K8" s="117"/>
      <c r="L8" s="137"/>
      <c r="M8" s="137"/>
      <c r="N8" s="117"/>
      <c r="O8" s="137"/>
      <c r="P8" s="220"/>
      <c r="Q8" s="122"/>
      <c r="R8" s="137"/>
      <c r="S8" s="219"/>
      <c r="T8" s="221"/>
      <c r="U8" s="137"/>
    </row>
    <row r="9" spans="1:21" x14ac:dyDescent="0.3">
      <c r="A9" s="143">
        <v>218</v>
      </c>
      <c r="B9" s="148" t="str">
        <f>IF(INDEX(MO_SNA_IsHistoricalPeriod,,MATCH(F9,MO_Common_ColumnHeader,0)),"Historical","Forward")</f>
        <v>Forward</v>
      </c>
      <c r="C9" s="137"/>
      <c r="D9" s="152" t="s">
        <v>748</v>
      </c>
      <c r="E9" s="149"/>
      <c r="F9" s="148" t="s">
        <v>1670</v>
      </c>
      <c r="G9" s="148"/>
      <c r="H9" s="137"/>
      <c r="I9" s="150">
        <v>-100</v>
      </c>
      <c r="J9" s="150">
        <v>-150</v>
      </c>
      <c r="K9" s="150">
        <f>AVERAGE(I9:J9)</f>
        <v>-125</v>
      </c>
      <c r="L9" s="137"/>
      <c r="M9" s="148" t="str">
        <f>IF(INDEX(MO_SNA_IsHistoricalPeriod,,MATCH(F9,MO_Common_ColumnHeader,0)),"Actual","Estimate")</f>
        <v>Estimate</v>
      </c>
      <c r="N9" s="150"/>
      <c r="O9" s="137"/>
      <c r="P9" s="153"/>
      <c r="Q9" s="154"/>
      <c r="R9" s="137"/>
      <c r="S9" s="151">
        <v>46143</v>
      </c>
      <c r="T9" s="155" t="s">
        <v>407</v>
      </c>
      <c r="U9" s="137"/>
    </row>
    <row r="10" spans="1:21" x14ac:dyDescent="0.3">
      <c r="A10" s="143">
        <v>217</v>
      </c>
      <c r="B10" s="148" t="str">
        <f t="shared" ref="B10" si="3">IF(INDEX(MO_SNA_IsHistoricalPeriod,,MATCH(F10,MO_Common_ColumnHeader,0)),"Historical","Forward")</f>
        <v>Forward</v>
      </c>
      <c r="C10" s="137"/>
      <c r="D10" s="152" t="s">
        <v>812</v>
      </c>
      <c r="E10" s="149"/>
      <c r="F10" s="148" t="s">
        <v>1670</v>
      </c>
      <c r="G10" s="148"/>
      <c r="H10" s="137"/>
      <c r="I10" s="150">
        <v>-275</v>
      </c>
      <c r="J10" s="150">
        <v>-325</v>
      </c>
      <c r="K10" s="150">
        <f t="shared" ref="K10" si="4">AVERAGE(I10:J10)</f>
        <v>-300</v>
      </c>
      <c r="L10" s="137"/>
      <c r="M10" s="148" t="str">
        <f t="shared" ref="M10" si="5">IF(INDEX(MO_SNA_IsHistoricalPeriod,,MATCH(F10,MO_Common_ColumnHeader,0)),"Actual","Estimate")</f>
        <v>Estimate</v>
      </c>
      <c r="N10" s="150"/>
      <c r="O10" s="137"/>
      <c r="P10" s="153"/>
      <c r="Q10" s="154"/>
      <c r="R10" s="137"/>
      <c r="S10" s="151">
        <v>46143</v>
      </c>
      <c r="T10" s="155" t="s">
        <v>407</v>
      </c>
      <c r="U10" s="137"/>
    </row>
    <row r="11" spans="1:21" x14ac:dyDescent="0.3">
      <c r="A11" s="143">
        <v>216</v>
      </c>
      <c r="B11" s="148" t="str">
        <f>IF(INDEX(MO_SNA_IsHistoricalPeriod,,MATCH(F11,MO_Common_ColumnHeader,0)),"Historical","Forward")</f>
        <v>Forward</v>
      </c>
      <c r="C11" s="137"/>
      <c r="D11" s="152" t="s">
        <v>813</v>
      </c>
      <c r="E11" s="149" t="s">
        <v>612</v>
      </c>
      <c r="F11" s="148" t="s">
        <v>1670</v>
      </c>
      <c r="G11" s="148"/>
      <c r="H11" s="137"/>
      <c r="I11" s="150">
        <v>-2500</v>
      </c>
      <c r="J11" s="150">
        <v>-3000</v>
      </c>
      <c r="K11" s="150">
        <f>AVERAGE(I11:J11)</f>
        <v>-2750</v>
      </c>
      <c r="L11" s="137"/>
      <c r="M11" s="148" t="str">
        <f>IF(INDEX(MO_SNA_IsHistoricalPeriod,,MATCH(F11,MO_Common_ColumnHeader,0)),"Actual","Estimate")</f>
        <v>Estimate</v>
      </c>
      <c r="N11" s="150">
        <f ca="1">IFERROR(INDEX(INDIRECT(E11),0,MATCH(F11,MO_Common_ColumnHeader,0)),"N/A")</f>
        <v>-2800</v>
      </c>
      <c r="O11" s="137"/>
      <c r="P11" s="153">
        <f ca="1">IF(ISNUMBER(N11),N11-K11,"N/A")</f>
        <v>-50</v>
      </c>
      <c r="Q11" s="154">
        <f ca="1">IFERROR(IF(ISNUMBER(N11),(N11-K11)/ABS(K11),"N/A"),"N/A")</f>
        <v>-1.8181818181818181E-2</v>
      </c>
      <c r="R11" s="137"/>
      <c r="S11" s="151">
        <v>46143</v>
      </c>
      <c r="T11" s="155" t="s">
        <v>407</v>
      </c>
      <c r="U11" s="137"/>
    </row>
    <row r="12" spans="1:21" x14ac:dyDescent="0.3">
      <c r="A12" s="143">
        <v>215</v>
      </c>
      <c r="B12" s="148" t="str">
        <f>IF(INDEX(MO_SNA_IsHistoricalPeriod,,MATCH(F12,MO_Common_ColumnHeader,0)),"Historical","Forward")</f>
        <v>Forward</v>
      </c>
      <c r="C12" s="137"/>
      <c r="D12" s="152" t="s">
        <v>751</v>
      </c>
      <c r="E12" s="149" t="s">
        <v>750</v>
      </c>
      <c r="F12" s="148" t="s">
        <v>1670</v>
      </c>
      <c r="G12" s="148"/>
      <c r="H12" s="137"/>
      <c r="I12" s="150">
        <v>-2500</v>
      </c>
      <c r="J12" s="150">
        <v>-2500</v>
      </c>
      <c r="K12" s="150">
        <f>AVERAGE(I12:J12)</f>
        <v>-2500</v>
      </c>
      <c r="L12" s="137"/>
      <c r="M12" s="148" t="str">
        <f>IF(INDEX(MO_SNA_IsHistoricalPeriod,,MATCH(F12,MO_Common_ColumnHeader,0)),"Actual","Estimate")</f>
        <v>Estimate</v>
      </c>
      <c r="N12" s="150"/>
      <c r="O12" s="137"/>
      <c r="P12" s="153"/>
      <c r="Q12" s="154"/>
      <c r="R12" s="137"/>
      <c r="S12" s="151">
        <v>46143</v>
      </c>
      <c r="T12" s="155" t="s">
        <v>407</v>
      </c>
      <c r="U12" s="137"/>
    </row>
    <row r="13" spans="1:21" x14ac:dyDescent="0.3">
      <c r="A13" s="143">
        <v>214</v>
      </c>
      <c r="B13" s="137"/>
      <c r="C13" s="137"/>
      <c r="D13" s="138"/>
      <c r="E13" s="139"/>
      <c r="F13" s="137"/>
      <c r="G13" s="137"/>
      <c r="H13" s="137"/>
      <c r="I13" s="117"/>
      <c r="J13" s="117"/>
      <c r="K13" s="117"/>
      <c r="L13" s="137"/>
      <c r="M13" s="137"/>
      <c r="N13" s="117"/>
      <c r="O13" s="137"/>
      <c r="P13" s="220"/>
      <c r="Q13" s="122"/>
      <c r="R13" s="137"/>
      <c r="S13" s="219"/>
      <c r="T13" s="221"/>
      <c r="U13" s="137"/>
    </row>
    <row r="14" spans="1:21" x14ac:dyDescent="0.3">
      <c r="A14" s="143">
        <v>213</v>
      </c>
      <c r="B14" s="148" t="str">
        <f t="shared" ref="B14:B21" si="6">IF(INDEX(MO_SNA_IsHistoricalPeriod,,MATCH(F14,MO_Common_ColumnHeader,0)),"Historical","Forward")</f>
        <v>Forward</v>
      </c>
      <c r="C14" s="137"/>
      <c r="D14" s="152" t="s">
        <v>404</v>
      </c>
      <c r="E14" s="149" t="s">
        <v>405</v>
      </c>
      <c r="F14" s="148" t="s">
        <v>825</v>
      </c>
      <c r="G14" s="148" t="s">
        <v>824</v>
      </c>
      <c r="H14" s="137"/>
      <c r="I14" s="218">
        <v>7.0000000000000007E-2</v>
      </c>
      <c r="J14" s="218">
        <v>0.1</v>
      </c>
      <c r="K14" s="218">
        <f t="shared" ref="K14:K21" si="7">AVERAGE(I14:J14)</f>
        <v>8.5000000000000006E-2</v>
      </c>
      <c r="L14" s="137"/>
      <c r="M14" s="148" t="str">
        <f t="shared" ref="M14:M21" si="8">IF(INDEX(MO_SNA_IsHistoricalPeriod,,MATCH(F14,MO_Common_ColumnHeader,0)),"Actual","Estimate")</f>
        <v>Estimate</v>
      </c>
      <c r="N14" s="218">
        <f>INDEX(MO_OS_Energy_AverageDailyProduction_Total,0,MATCH(F14,MO_Common_ColumnHeader,0))/INDEX(MO_OS_Energy_AverageDailyProduction_Total,0,MATCH(G14,MO_Common_ColumnHeader,0))-1</f>
        <v>8.5572121603941342E-2</v>
      </c>
      <c r="O14" s="137"/>
      <c r="P14" s="154">
        <f>IF(ISNUMBER(N14),N14-K14,"N/A")</f>
        <v>5.7212160394133627E-4</v>
      </c>
      <c r="Q14" s="154">
        <f>IFERROR(IF(ISNUMBER(N14),(N14-K14)/ABS(K14),"N/A"),"N/A")</f>
        <v>6.7308423993098377E-3</v>
      </c>
      <c r="R14" s="137"/>
      <c r="S14" s="151">
        <v>46052</v>
      </c>
      <c r="T14" s="155" t="s">
        <v>407</v>
      </c>
      <c r="U14" s="137"/>
    </row>
    <row r="15" spans="1:21" x14ac:dyDescent="0.3">
      <c r="A15" s="143">
        <v>212</v>
      </c>
      <c r="B15" s="148" t="str">
        <f t="shared" si="6"/>
        <v>Forward</v>
      </c>
      <c r="C15" s="137"/>
      <c r="D15" s="152" t="str">
        <f ca="1">INDEX(INDIRECT(E15),0,COLUMN(MO_Common_Column_A))</f>
        <v>Total average daily production volumes, kBOE/d</v>
      </c>
      <c r="E15" s="149" t="s">
        <v>756</v>
      </c>
      <c r="F15" s="148" t="s">
        <v>825</v>
      </c>
      <c r="G15" s="148"/>
      <c r="H15" s="137"/>
      <c r="I15" s="150">
        <v>3980</v>
      </c>
      <c r="J15" s="150">
        <v>4100</v>
      </c>
      <c r="K15" s="150">
        <f t="shared" si="7"/>
        <v>4040</v>
      </c>
      <c r="L15" s="137"/>
      <c r="M15" s="148" t="str">
        <f t="shared" ref="M15" si="9">IF(INDEX(MO_SNA_IsHistoricalPeriod,,MATCH(F15,MO_Common_ColumnHeader,0)),"Actual","Estimate")</f>
        <v>Estimate</v>
      </c>
      <c r="N15" s="150">
        <f ca="1">IFERROR(INDEX(INDIRECT(E15),0,MATCH(F15,MO_Common_ColumnHeader,0)),"N/A")</f>
        <v>4040.6803652968038</v>
      </c>
      <c r="O15" s="137"/>
      <c r="P15" s="153">
        <f ca="1">IF(ISNUMBER(N15),N15-K15,"N/A")</f>
        <v>0.68036529680375679</v>
      </c>
      <c r="Q15" s="154">
        <f ca="1">IFERROR(IF(ISNUMBER(N15),(N15-K15)/ABS(K15),"N/A"),"N/A")</f>
        <v>1.6840725168409821E-4</v>
      </c>
      <c r="R15" s="137"/>
      <c r="S15" s="151">
        <v>46052</v>
      </c>
      <c r="T15" s="155" t="s">
        <v>407</v>
      </c>
      <c r="U15" s="137"/>
    </row>
    <row r="16" spans="1:21" x14ac:dyDescent="0.3">
      <c r="A16" s="143">
        <v>211</v>
      </c>
      <c r="B16" s="148" t="str">
        <f t="shared" si="6"/>
        <v>Forward</v>
      </c>
      <c r="C16" s="137"/>
      <c r="D16" s="152" t="str">
        <f ca="1">INDEX(INDIRECT(E16),0,COLUMN(MO_Common_Column_A))</f>
        <v>All other adjusted earnings, mm</v>
      </c>
      <c r="E16" s="149" t="s">
        <v>656</v>
      </c>
      <c r="F16" s="148" t="s">
        <v>825</v>
      </c>
      <c r="G16" s="148"/>
      <c r="H16" s="137"/>
      <c r="I16" s="150">
        <v>-3600</v>
      </c>
      <c r="J16" s="150">
        <v>-4000</v>
      </c>
      <c r="K16" s="150">
        <f t="shared" si="7"/>
        <v>-3800</v>
      </c>
      <c r="L16" s="137"/>
      <c r="M16" s="148" t="str">
        <f t="shared" si="8"/>
        <v>Estimate</v>
      </c>
      <c r="N16" s="150"/>
      <c r="O16" s="137"/>
      <c r="P16" s="153"/>
      <c r="Q16" s="154"/>
      <c r="R16" s="137"/>
      <c r="S16" s="151">
        <v>46052</v>
      </c>
      <c r="T16" s="155" t="s">
        <v>407</v>
      </c>
      <c r="U16" s="137"/>
    </row>
    <row r="17" spans="1:21" x14ac:dyDescent="0.3">
      <c r="A17" s="143">
        <v>210</v>
      </c>
      <c r="B17" s="148" t="str">
        <f t="shared" si="6"/>
        <v>Forward</v>
      </c>
      <c r="C17" s="137"/>
      <c r="D17" s="152" t="s">
        <v>751</v>
      </c>
      <c r="E17" s="149" t="s">
        <v>750</v>
      </c>
      <c r="F17" s="148" t="s">
        <v>825</v>
      </c>
      <c r="G17" s="148"/>
      <c r="H17" s="137"/>
      <c r="I17" s="150">
        <v>-4500</v>
      </c>
      <c r="J17" s="150">
        <v>-4500</v>
      </c>
      <c r="K17" s="150">
        <f t="shared" si="7"/>
        <v>-4500</v>
      </c>
      <c r="L17" s="137"/>
      <c r="M17" s="148" t="str">
        <f t="shared" si="8"/>
        <v>Estimate</v>
      </c>
      <c r="N17" s="150"/>
      <c r="O17" s="137"/>
      <c r="P17" s="153"/>
      <c r="Q17" s="154"/>
      <c r="R17" s="137"/>
      <c r="S17" s="151">
        <v>46052</v>
      </c>
      <c r="T17" s="155" t="s">
        <v>407</v>
      </c>
      <c r="U17" s="137"/>
    </row>
    <row r="18" spans="1:21" x14ac:dyDescent="0.3">
      <c r="A18" s="143">
        <v>209</v>
      </c>
      <c r="B18" s="148" t="str">
        <f t="shared" si="6"/>
        <v>Forward</v>
      </c>
      <c r="C18" s="137"/>
      <c r="D18" s="152" t="s">
        <v>822</v>
      </c>
      <c r="E18" s="149"/>
      <c r="F18" s="148" t="s">
        <v>825</v>
      </c>
      <c r="G18" s="148"/>
      <c r="H18" s="137"/>
      <c r="I18" s="150">
        <v>-2500</v>
      </c>
      <c r="J18" s="150">
        <v>-2400</v>
      </c>
      <c r="K18" s="150">
        <f t="shared" si="7"/>
        <v>-2450</v>
      </c>
      <c r="L18" s="137"/>
      <c r="M18" s="148" t="str">
        <f t="shared" si="8"/>
        <v>Estimate</v>
      </c>
      <c r="N18" s="150"/>
      <c r="O18" s="137"/>
      <c r="P18" s="153"/>
      <c r="Q18" s="154"/>
      <c r="R18" s="137"/>
      <c r="S18" s="151">
        <v>46052</v>
      </c>
      <c r="T18" s="155" t="s">
        <v>407</v>
      </c>
      <c r="U18" s="137"/>
    </row>
    <row r="19" spans="1:21" x14ac:dyDescent="0.3">
      <c r="A19" s="143">
        <v>208</v>
      </c>
      <c r="B19" s="148" t="str">
        <f t="shared" si="6"/>
        <v>Forward</v>
      </c>
      <c r="C19" s="137"/>
      <c r="D19" s="152" t="s">
        <v>599</v>
      </c>
      <c r="E19" s="149" t="s">
        <v>601</v>
      </c>
      <c r="F19" s="148" t="s">
        <v>825</v>
      </c>
      <c r="G19" s="148"/>
      <c r="H19" s="137"/>
      <c r="I19" s="150">
        <v>1000</v>
      </c>
      <c r="J19" s="150">
        <v>3000</v>
      </c>
      <c r="K19" s="150">
        <f t="shared" si="7"/>
        <v>2000</v>
      </c>
      <c r="L19" s="137"/>
      <c r="M19" s="148" t="str">
        <f t="shared" si="8"/>
        <v>Estimate</v>
      </c>
      <c r="N19" s="150">
        <f ca="1">IFERROR(INDEX(INDIRECT(E19),0,MATCH(F19,MO_Common_ColumnHeader,0)),"N/A")</f>
        <v>1572</v>
      </c>
      <c r="O19" s="137"/>
      <c r="P19" s="153">
        <f ca="1">IF(ISNUMBER(N19),N19-K19,"N/A")</f>
        <v>-428</v>
      </c>
      <c r="Q19" s="154">
        <f ca="1">IFERROR(IF(ISNUMBER(N19),(N19-K19)/ABS(K19),"N/A"),"N/A")</f>
        <v>-0.214</v>
      </c>
      <c r="R19" s="137"/>
      <c r="S19" s="151">
        <v>46052</v>
      </c>
      <c r="T19" s="155" t="s">
        <v>407</v>
      </c>
      <c r="U19" s="137"/>
    </row>
    <row r="20" spans="1:21" x14ac:dyDescent="0.3">
      <c r="A20" s="143">
        <v>207</v>
      </c>
      <c r="B20" s="148" t="str">
        <f t="shared" si="6"/>
        <v>Forward</v>
      </c>
      <c r="C20" s="137"/>
      <c r="D20" s="152" t="s">
        <v>614</v>
      </c>
      <c r="E20" s="149"/>
      <c r="F20" s="148" t="s">
        <v>825</v>
      </c>
      <c r="G20" s="148"/>
      <c r="H20" s="137"/>
      <c r="I20" s="150">
        <v>-19000</v>
      </c>
      <c r="J20" s="150">
        <v>-18000</v>
      </c>
      <c r="K20" s="150">
        <f t="shared" si="7"/>
        <v>-18500</v>
      </c>
      <c r="L20" s="137"/>
      <c r="M20" s="148" t="str">
        <f t="shared" si="8"/>
        <v>Estimate</v>
      </c>
      <c r="N20" s="150"/>
      <c r="O20" s="137"/>
      <c r="P20" s="153"/>
      <c r="Q20" s="154"/>
      <c r="R20" s="137"/>
      <c r="S20" s="151">
        <v>46052</v>
      </c>
      <c r="T20" s="155" t="s">
        <v>407</v>
      </c>
      <c r="U20" s="137"/>
    </row>
    <row r="21" spans="1:21" x14ac:dyDescent="0.3">
      <c r="A21" s="143">
        <v>206</v>
      </c>
      <c r="B21" s="148" t="str">
        <f t="shared" si="6"/>
        <v>Forward</v>
      </c>
      <c r="C21" s="137"/>
      <c r="D21" s="152" t="s">
        <v>721</v>
      </c>
      <c r="E21" s="149"/>
      <c r="F21" s="148" t="s">
        <v>825</v>
      </c>
      <c r="G21" s="148"/>
      <c r="H21" s="137"/>
      <c r="I21" s="150">
        <v>-2000</v>
      </c>
      <c r="J21" s="150">
        <v>-1000</v>
      </c>
      <c r="K21" s="150">
        <f t="shared" si="7"/>
        <v>-1500</v>
      </c>
      <c r="L21" s="137"/>
      <c r="M21" s="148" t="str">
        <f t="shared" si="8"/>
        <v>Estimate</v>
      </c>
      <c r="N21" s="150"/>
      <c r="O21" s="137"/>
      <c r="P21" s="153"/>
      <c r="Q21" s="154"/>
      <c r="R21" s="137"/>
      <c r="S21" s="151">
        <v>46052</v>
      </c>
      <c r="T21" s="155" t="s">
        <v>407</v>
      </c>
      <c r="U21" s="137"/>
    </row>
    <row r="22" spans="1:21" x14ac:dyDescent="0.3">
      <c r="A22" s="143">
        <v>205</v>
      </c>
      <c r="B22" s="148" t="str">
        <f>IF(INDEX(MO_SNA_IsHistoricalPeriod,,MATCH(F22,MO_Common_ColumnHeader,0)),"Historical","Forward")</f>
        <v>Forward</v>
      </c>
      <c r="C22" s="137"/>
      <c r="D22" s="152" t="s">
        <v>202</v>
      </c>
      <c r="E22" s="149"/>
      <c r="F22" s="148" t="s">
        <v>825</v>
      </c>
      <c r="G22" s="148"/>
      <c r="H22" s="137"/>
      <c r="I22" s="150">
        <v>23000</v>
      </c>
      <c r="J22" s="150">
        <v>24000</v>
      </c>
      <c r="K22" s="150">
        <f>AVERAGE(I22:J22)</f>
        <v>23500</v>
      </c>
      <c r="L22" s="137"/>
      <c r="M22" s="148" t="str">
        <f>IF(INDEX(MO_SNA_IsHistoricalPeriod,,MATCH(F22,MO_Common_ColumnHeader,0)),"Actual","Estimate")</f>
        <v>Estimate</v>
      </c>
      <c r="N22" s="150"/>
      <c r="O22" s="137"/>
      <c r="P22" s="153"/>
      <c r="Q22" s="154"/>
      <c r="R22" s="137"/>
      <c r="S22" s="151">
        <v>46052</v>
      </c>
      <c r="T22" s="155" t="s">
        <v>407</v>
      </c>
      <c r="U22" s="137"/>
    </row>
    <row r="23" spans="1:21" x14ac:dyDescent="0.3">
      <c r="A23" s="143">
        <v>204</v>
      </c>
      <c r="B23" s="148" t="str">
        <f>IF(INDEX(MO_SNA_IsHistoricalPeriod,,MATCH(F23,MO_Common_ColumnHeader,0)),"Historical","Forward")</f>
        <v>Forward</v>
      </c>
      <c r="C23" s="137"/>
      <c r="D23" s="152" t="s">
        <v>823</v>
      </c>
      <c r="E23" s="149"/>
      <c r="F23" s="148" t="s">
        <v>825</v>
      </c>
      <c r="G23" s="148"/>
      <c r="H23" s="137"/>
      <c r="I23" s="150">
        <v>2000</v>
      </c>
      <c r="J23" s="150">
        <v>2000</v>
      </c>
      <c r="K23" s="150">
        <f>AVERAGE(I23:J23)</f>
        <v>2000</v>
      </c>
      <c r="L23" s="137"/>
      <c r="M23" s="148" t="str">
        <f>IF(INDEX(MO_SNA_IsHistoricalPeriod,,MATCH(F23,MO_Common_ColumnHeader,0)),"Actual","Estimate")</f>
        <v>Estimate</v>
      </c>
      <c r="N23" s="150"/>
      <c r="O23" s="137"/>
      <c r="P23" s="153"/>
      <c r="Q23" s="154"/>
      <c r="R23" s="137"/>
      <c r="S23" s="151">
        <v>46052</v>
      </c>
      <c r="T23" s="155" t="s">
        <v>407</v>
      </c>
      <c r="U23" s="137"/>
    </row>
    <row r="24" spans="1:21" x14ac:dyDescent="0.3">
      <c r="A24" s="143">
        <v>203</v>
      </c>
      <c r="B24" s="137"/>
      <c r="C24" s="137"/>
      <c r="D24" s="138"/>
      <c r="E24" s="139"/>
      <c r="F24" s="137"/>
      <c r="G24" s="137"/>
      <c r="H24" s="137"/>
      <c r="I24" s="117"/>
      <c r="J24" s="117"/>
      <c r="K24" s="117"/>
      <c r="L24" s="137"/>
      <c r="M24" s="137"/>
      <c r="N24" s="117"/>
      <c r="O24" s="137"/>
      <c r="P24" s="220"/>
      <c r="Q24" s="122"/>
      <c r="R24" s="137"/>
      <c r="S24" s="219"/>
      <c r="T24" s="221"/>
      <c r="U24" s="137"/>
    </row>
    <row r="25" spans="1:21" x14ac:dyDescent="0.3">
      <c r="A25" s="143">
        <v>202</v>
      </c>
      <c r="B25" s="148" t="str">
        <f>IF(INDEX(MO_SNA_IsHistoricalPeriod,,MATCH(F25,MO_Common_ColumnHeader,0)),"Historical","Forward")</f>
        <v>Historical</v>
      </c>
      <c r="C25" s="137"/>
      <c r="D25" s="152" t="s">
        <v>748</v>
      </c>
      <c r="E25" s="149"/>
      <c r="F25" s="148" t="s">
        <v>1667</v>
      </c>
      <c r="G25" s="148"/>
      <c r="H25" s="137"/>
      <c r="I25" s="150">
        <v>-185</v>
      </c>
      <c r="J25" s="150">
        <v>-225</v>
      </c>
      <c r="K25" s="150">
        <f>AVERAGE(I25:J25)</f>
        <v>-205</v>
      </c>
      <c r="L25" s="137"/>
      <c r="M25" s="148" t="str">
        <f>IF(INDEX(MO_SNA_IsHistoricalPeriod,,MATCH(F25,MO_Common_ColumnHeader,0)),"Actual","Estimate")</f>
        <v>Actual</v>
      </c>
      <c r="N25" s="150"/>
      <c r="O25" s="137"/>
      <c r="P25" s="153"/>
      <c r="Q25" s="154"/>
      <c r="R25" s="137"/>
      <c r="S25" s="151">
        <v>46052</v>
      </c>
      <c r="T25" s="155" t="s">
        <v>407</v>
      </c>
      <c r="U25" s="137"/>
    </row>
    <row r="26" spans="1:21" x14ac:dyDescent="0.3">
      <c r="A26" s="143">
        <v>201</v>
      </c>
      <c r="B26" s="148" t="str">
        <f t="shared" ref="B26" si="10">IF(INDEX(MO_SNA_IsHistoricalPeriod,,MATCH(F26,MO_Common_ColumnHeader,0)),"Historical","Forward")</f>
        <v>Historical</v>
      </c>
      <c r="C26" s="137"/>
      <c r="D26" s="152" t="s">
        <v>812</v>
      </c>
      <c r="E26" s="149"/>
      <c r="F26" s="148" t="s">
        <v>1667</v>
      </c>
      <c r="G26" s="148"/>
      <c r="H26" s="137"/>
      <c r="I26" s="150">
        <v>-275</v>
      </c>
      <c r="J26" s="150">
        <v>-325</v>
      </c>
      <c r="K26" s="150">
        <f t="shared" ref="K26" si="11">AVERAGE(I26:J26)</f>
        <v>-300</v>
      </c>
      <c r="L26" s="137"/>
      <c r="M26" s="148" t="str">
        <f t="shared" ref="M26" si="12">IF(INDEX(MO_SNA_IsHistoricalPeriod,,MATCH(F26,MO_Common_ColumnHeader,0)),"Actual","Estimate")</f>
        <v>Actual</v>
      </c>
      <c r="N26" s="150"/>
      <c r="O26" s="137"/>
      <c r="P26" s="153"/>
      <c r="Q26" s="154"/>
      <c r="R26" s="137"/>
      <c r="S26" s="151">
        <v>46052</v>
      </c>
      <c r="T26" s="155" t="s">
        <v>407</v>
      </c>
      <c r="U26" s="137"/>
    </row>
    <row r="27" spans="1:21" x14ac:dyDescent="0.3">
      <c r="A27" s="143">
        <v>200</v>
      </c>
      <c r="B27" s="148" t="str">
        <f>IF(INDEX(MO_SNA_IsHistoricalPeriod,,MATCH(F27,MO_Common_ColumnHeader,0)),"Historical","Forward")</f>
        <v>Historical</v>
      </c>
      <c r="C27" s="137"/>
      <c r="D27" s="152" t="s">
        <v>813</v>
      </c>
      <c r="E27" s="149" t="s">
        <v>612</v>
      </c>
      <c r="F27" s="148" t="s">
        <v>1667</v>
      </c>
      <c r="G27" s="148"/>
      <c r="H27" s="137"/>
      <c r="I27" s="150">
        <v>-2500</v>
      </c>
      <c r="J27" s="150">
        <v>-3000</v>
      </c>
      <c r="K27" s="150">
        <f>AVERAGE(I27:J27)</f>
        <v>-2750</v>
      </c>
      <c r="L27" s="137"/>
      <c r="M27" s="148" t="str">
        <f>IF(INDEX(MO_SNA_IsHistoricalPeriod,,MATCH(F27,MO_Common_ColumnHeader,0)),"Actual","Estimate")</f>
        <v>Actual</v>
      </c>
      <c r="N27" s="150">
        <f ca="1">IFERROR(INDEX(INDIRECT(E27),0,MATCH(F27,MO_Common_ColumnHeader,0)),"N/A")</f>
        <v>-1412</v>
      </c>
      <c r="O27" s="137"/>
      <c r="P27" s="153">
        <f ca="1">IF(ISNUMBER(N27),N27-K27,"N/A")</f>
        <v>1338</v>
      </c>
      <c r="Q27" s="154">
        <f ca="1">IFERROR(IF(ISNUMBER(N27),(N27-K27)/ABS(K27),"N/A"),"N/A")</f>
        <v>0.48654545454545456</v>
      </c>
      <c r="R27" s="137"/>
      <c r="S27" s="151">
        <v>46052</v>
      </c>
      <c r="T27" s="155" t="s">
        <v>407</v>
      </c>
      <c r="U27" s="137"/>
    </row>
    <row r="28" spans="1:21" x14ac:dyDescent="0.3">
      <c r="A28" s="143">
        <v>199</v>
      </c>
      <c r="B28" s="148" t="str">
        <f>IF(INDEX(MO_SNA_IsHistoricalPeriod,,MATCH(F28,MO_Common_ColumnHeader,0)),"Historical","Forward")</f>
        <v>Historical</v>
      </c>
      <c r="C28" s="137"/>
      <c r="D28" s="152" t="s">
        <v>751</v>
      </c>
      <c r="E28" s="149" t="s">
        <v>750</v>
      </c>
      <c r="F28" s="148" t="s">
        <v>1667</v>
      </c>
      <c r="G28" s="148"/>
      <c r="H28" s="137"/>
      <c r="I28" s="150">
        <v>-300</v>
      </c>
      <c r="J28" s="150">
        <v>-400</v>
      </c>
      <c r="K28" s="150">
        <f>AVERAGE(I28:J28)</f>
        <v>-350</v>
      </c>
      <c r="L28" s="137"/>
      <c r="M28" s="148" t="str">
        <f>IF(INDEX(MO_SNA_IsHistoricalPeriod,,MATCH(F28,MO_Common_ColumnHeader,0)),"Actual","Estimate")</f>
        <v>Actual</v>
      </c>
      <c r="N28" s="150"/>
      <c r="O28" s="137"/>
      <c r="P28" s="153"/>
      <c r="Q28" s="154"/>
      <c r="R28" s="137"/>
      <c r="S28" s="151">
        <v>46052</v>
      </c>
      <c r="T28" s="155" t="s">
        <v>407</v>
      </c>
      <c r="U28" s="137"/>
    </row>
    <row r="29" spans="1:21" x14ac:dyDescent="0.3">
      <c r="A29" s="143">
        <v>198</v>
      </c>
      <c r="B29" s="148" t="str">
        <f>IF(INDEX(MO_SNA_IsHistoricalPeriod,,MATCH(F29,MO_Common_ColumnHeader,0)),"Historical","Forward")</f>
        <v>Historical</v>
      </c>
      <c r="C29" s="137"/>
      <c r="D29" s="152" t="s">
        <v>823</v>
      </c>
      <c r="E29" s="149"/>
      <c r="F29" s="148" t="s">
        <v>1667</v>
      </c>
      <c r="G29" s="148"/>
      <c r="H29" s="137"/>
      <c r="I29" s="150">
        <v>1000</v>
      </c>
      <c r="J29" s="150">
        <v>1000</v>
      </c>
      <c r="K29" s="150">
        <f>AVERAGE(I29:J29)</f>
        <v>1000</v>
      </c>
      <c r="L29" s="137"/>
      <c r="M29" s="148" t="str">
        <f>IF(INDEX(MO_SNA_IsHistoricalPeriod,,MATCH(F29,MO_Common_ColumnHeader,0)),"Actual","Estimate")</f>
        <v>Actual</v>
      </c>
      <c r="N29" s="150"/>
      <c r="O29" s="137"/>
      <c r="P29" s="153"/>
      <c r="Q29" s="154"/>
      <c r="R29" s="137"/>
      <c r="S29" s="151">
        <v>46052</v>
      </c>
      <c r="T29" s="155" t="s">
        <v>407</v>
      </c>
      <c r="U29" s="137"/>
    </row>
    <row r="30" spans="1:21" x14ac:dyDescent="0.3">
      <c r="A30" s="143">
        <v>197</v>
      </c>
      <c r="B30" s="137"/>
      <c r="C30" s="137"/>
      <c r="D30" s="138"/>
      <c r="E30" s="139"/>
      <c r="F30" s="137"/>
      <c r="G30" s="137"/>
      <c r="H30" s="137"/>
      <c r="I30" s="117"/>
      <c r="J30" s="117"/>
      <c r="K30" s="117"/>
      <c r="L30" s="137"/>
      <c r="M30" s="137"/>
      <c r="N30" s="117"/>
      <c r="O30" s="137"/>
      <c r="P30" s="220"/>
      <c r="Q30" s="122"/>
      <c r="R30" s="137"/>
      <c r="S30" s="219"/>
      <c r="T30" s="221"/>
      <c r="U30" s="137"/>
    </row>
    <row r="31" spans="1:21" x14ac:dyDescent="0.3">
      <c r="A31" s="143">
        <v>196</v>
      </c>
      <c r="B31" s="148" t="str">
        <f>IF(INDEX(MO_SNA_IsHistoricalPeriod,,MATCH(F31,MO_Common_ColumnHeader,0)),"Historical","Forward")</f>
        <v>Historical</v>
      </c>
      <c r="C31" s="137"/>
      <c r="D31" s="152" t="s">
        <v>1658</v>
      </c>
      <c r="E31" s="149"/>
      <c r="F31" s="148" t="s">
        <v>1664</v>
      </c>
      <c r="G31" s="148"/>
      <c r="H31" s="137"/>
      <c r="I31" s="150">
        <v>-125</v>
      </c>
      <c r="J31" s="150">
        <v>-125</v>
      </c>
      <c r="K31" s="150">
        <f>AVERAGE(I31:J31)</f>
        <v>-125</v>
      </c>
      <c r="L31" s="137"/>
      <c r="M31" s="148" t="str">
        <f>IF(INDEX(MO_SNA_IsHistoricalPeriod,,MATCH(F31,MO_Common_ColumnHeader,0)),"Actual","Estimate")</f>
        <v>Actual</v>
      </c>
      <c r="N31" s="150"/>
      <c r="O31" s="137"/>
      <c r="P31" s="153"/>
      <c r="Q31" s="154"/>
      <c r="R31" s="137"/>
      <c r="S31" s="151">
        <v>45961</v>
      </c>
      <c r="T31" s="155" t="s">
        <v>407</v>
      </c>
      <c r="U31" s="137"/>
    </row>
    <row r="32" spans="1:21" x14ac:dyDescent="0.3">
      <c r="A32" s="143">
        <v>195</v>
      </c>
      <c r="B32" s="148" t="str">
        <f t="shared" ref="B32" si="13">IF(INDEX(MO_SNA_IsHistoricalPeriod,,MATCH(F32,MO_Common_ColumnHeader,0)),"Historical","Forward")</f>
        <v>Historical</v>
      </c>
      <c r="C32" s="137"/>
      <c r="D32" s="152" t="s">
        <v>1659</v>
      </c>
      <c r="E32" s="149"/>
      <c r="F32" s="148" t="s">
        <v>1664</v>
      </c>
      <c r="G32" s="148"/>
      <c r="H32" s="137"/>
      <c r="I32" s="150">
        <v>-400</v>
      </c>
      <c r="J32" s="150">
        <v>-500</v>
      </c>
      <c r="K32" s="150">
        <f t="shared" ref="K32" si="14">AVERAGE(I32:J32)</f>
        <v>-450</v>
      </c>
      <c r="L32" s="137"/>
      <c r="M32" s="148" t="str">
        <f t="shared" ref="M32" si="15">IF(INDEX(MO_SNA_IsHistoricalPeriod,,MATCH(F32,MO_Common_ColumnHeader,0)),"Actual","Estimate")</f>
        <v>Actual</v>
      </c>
      <c r="N32" s="150"/>
      <c r="O32" s="137"/>
      <c r="P32" s="153"/>
      <c r="Q32" s="154"/>
      <c r="R32" s="137"/>
      <c r="S32" s="151">
        <v>45961</v>
      </c>
      <c r="T32" s="155" t="s">
        <v>407</v>
      </c>
      <c r="U32" s="137"/>
    </row>
    <row r="33" spans="1:21" x14ac:dyDescent="0.3">
      <c r="A33" s="143">
        <v>194</v>
      </c>
      <c r="B33" s="148" t="str">
        <f>IF(INDEX(MO_SNA_IsHistoricalPeriod,,MATCH(F33,MO_Common_ColumnHeader,0)),"Historical","Forward")</f>
        <v>Historical</v>
      </c>
      <c r="C33" s="137"/>
      <c r="D33" s="152" t="s">
        <v>813</v>
      </c>
      <c r="E33" s="149" t="s">
        <v>612</v>
      </c>
      <c r="F33" s="148" t="s">
        <v>1664</v>
      </c>
      <c r="G33" s="148"/>
      <c r="H33" s="137"/>
      <c r="I33" s="150">
        <v>-2500</v>
      </c>
      <c r="J33" s="150">
        <v>-3000</v>
      </c>
      <c r="K33" s="150">
        <f>AVERAGE(I33:J33)</f>
        <v>-2750</v>
      </c>
      <c r="L33" s="137"/>
      <c r="M33" s="148" t="str">
        <f>IF(INDEX(MO_SNA_IsHistoricalPeriod,,MATCH(F33,MO_Common_ColumnHeader,0)),"Actual","Estimate")</f>
        <v>Actual</v>
      </c>
      <c r="N33" s="150">
        <f ca="1">IFERROR(INDEX(INDIRECT(E33),0,MATCH(F33,MO_Common_ColumnHeader,0)),"N/A")</f>
        <v>-2941</v>
      </c>
      <c r="O33" s="137"/>
      <c r="P33" s="153">
        <f ca="1">IF(ISNUMBER(N33),N33-K33,"N/A")</f>
        <v>-191</v>
      </c>
      <c r="Q33" s="154">
        <f ca="1">IFERROR(IF(ISNUMBER(N33),(N33-K33)/ABS(K33),"N/A"),"N/A")</f>
        <v>-6.9454545454545449E-2</v>
      </c>
      <c r="R33" s="137"/>
      <c r="S33" s="151">
        <v>45961</v>
      </c>
      <c r="T33" s="155" t="s">
        <v>407</v>
      </c>
      <c r="U33" s="137"/>
    </row>
    <row r="34" spans="1:21" x14ac:dyDescent="0.3">
      <c r="A34" s="143">
        <v>193</v>
      </c>
      <c r="B34" s="148" t="str">
        <f>IF(INDEX(MO_SNA_IsHistoricalPeriod,,MATCH(F34,MO_Common_ColumnHeader,0)),"Historical","Forward")</f>
        <v>Historical</v>
      </c>
      <c r="C34" s="137"/>
      <c r="D34" s="152" t="s">
        <v>751</v>
      </c>
      <c r="E34" s="149"/>
      <c r="F34" s="148" t="s">
        <v>1664</v>
      </c>
      <c r="G34" s="148"/>
      <c r="H34" s="137"/>
      <c r="I34" s="150">
        <v>-800</v>
      </c>
      <c r="J34" s="150">
        <v>-900</v>
      </c>
      <c r="K34" s="150">
        <f>AVERAGE(I34:J34)</f>
        <v>-850</v>
      </c>
      <c r="L34" s="137"/>
      <c r="M34" s="148" t="str">
        <f>IF(INDEX(MO_SNA_IsHistoricalPeriod,,MATCH(F34,MO_Common_ColumnHeader,0)),"Actual","Estimate")</f>
        <v>Actual</v>
      </c>
      <c r="N34" s="150"/>
      <c r="O34" s="137"/>
      <c r="P34" s="153"/>
      <c r="Q34" s="154"/>
      <c r="R34" s="137"/>
      <c r="S34" s="151">
        <v>45961</v>
      </c>
      <c r="T34" s="155" t="s">
        <v>407</v>
      </c>
      <c r="U34" s="137"/>
    </row>
    <row r="35" spans="1:21" x14ac:dyDescent="0.3">
      <c r="A35" s="143">
        <v>192</v>
      </c>
      <c r="B35" s="148" t="str">
        <f>IF(INDEX(MO_SNA_IsHistoricalPeriod,,MATCH(F35,MO_Common_ColumnHeader,0)),"Historical","Forward")</f>
        <v>Historical</v>
      </c>
      <c r="C35" s="137"/>
      <c r="D35" s="152" t="s">
        <v>1663</v>
      </c>
      <c r="E35" s="149"/>
      <c r="F35" s="148" t="s">
        <v>1664</v>
      </c>
      <c r="G35" s="148"/>
      <c r="H35" s="137"/>
      <c r="I35" s="150">
        <v>-900</v>
      </c>
      <c r="J35" s="150">
        <v>-1100</v>
      </c>
      <c r="K35" s="150">
        <f>AVERAGE(I35:J35)</f>
        <v>-1000</v>
      </c>
      <c r="L35" s="137"/>
      <c r="M35" s="148" t="str">
        <f>IF(INDEX(MO_SNA_IsHistoricalPeriod,,MATCH(F35,MO_Common_ColumnHeader,0)),"Actual","Estimate")</f>
        <v>Actual</v>
      </c>
      <c r="N35" s="150"/>
      <c r="O35" s="137"/>
      <c r="P35" s="153"/>
      <c r="Q35" s="154"/>
      <c r="R35" s="137"/>
      <c r="S35" s="151">
        <v>45961</v>
      </c>
      <c r="T35" s="155" t="s">
        <v>407</v>
      </c>
      <c r="U35" s="137"/>
    </row>
    <row r="36" spans="1:21" x14ac:dyDescent="0.3">
      <c r="A36" s="143">
        <v>191</v>
      </c>
      <c r="B36" s="137"/>
      <c r="C36" s="137"/>
      <c r="D36" s="138"/>
      <c r="E36" s="139"/>
      <c r="F36" s="137"/>
      <c r="G36" s="137"/>
      <c r="H36" s="137"/>
      <c r="I36" s="117"/>
      <c r="J36" s="117"/>
      <c r="K36" s="117"/>
      <c r="L36" s="137"/>
      <c r="M36" s="137"/>
      <c r="N36" s="117"/>
      <c r="O36" s="137"/>
      <c r="P36" s="220"/>
      <c r="Q36" s="122"/>
      <c r="R36" s="137"/>
      <c r="S36" s="219"/>
      <c r="T36" s="221"/>
      <c r="U36" s="137"/>
    </row>
    <row r="37" spans="1:21" x14ac:dyDescent="0.3">
      <c r="A37" s="143">
        <v>190</v>
      </c>
      <c r="B37" s="148" t="str">
        <f>IF(INDEX(MO_SNA_IsHistoricalPeriod,,MATCH(F37,MO_Common_ColumnHeader,0)),"Historical","Forward")</f>
        <v>Historical</v>
      </c>
      <c r="C37" s="137"/>
      <c r="D37" s="152" t="s">
        <v>1658</v>
      </c>
      <c r="E37" s="149"/>
      <c r="F37" s="148" t="s">
        <v>1657</v>
      </c>
      <c r="G37" s="148"/>
      <c r="H37" s="137"/>
      <c r="I37" s="150">
        <v>-60</v>
      </c>
      <c r="J37" s="150">
        <v>-60</v>
      </c>
      <c r="K37" s="150">
        <f>AVERAGE(I37:J37)</f>
        <v>-60</v>
      </c>
      <c r="L37" s="137"/>
      <c r="M37" s="148" t="str">
        <f>IF(INDEX(MO_SNA_IsHistoricalPeriod,,MATCH(F37,MO_Common_ColumnHeader,0)),"Actual","Estimate")</f>
        <v>Actual</v>
      </c>
      <c r="N37" s="150"/>
      <c r="O37" s="137"/>
      <c r="P37" s="153"/>
      <c r="Q37" s="154"/>
      <c r="R37" s="137"/>
      <c r="S37" s="151">
        <v>45870</v>
      </c>
      <c r="T37" s="155" t="s">
        <v>407</v>
      </c>
      <c r="U37" s="137"/>
    </row>
    <row r="38" spans="1:21" x14ac:dyDescent="0.3">
      <c r="A38" s="143">
        <v>189</v>
      </c>
      <c r="B38" s="148" t="str">
        <f t="shared" ref="B38" si="16">IF(INDEX(MO_SNA_IsHistoricalPeriod,,MATCH(F38,MO_Common_ColumnHeader,0)),"Historical","Forward")</f>
        <v>Historical</v>
      </c>
      <c r="C38" s="137"/>
      <c r="D38" s="152" t="s">
        <v>1659</v>
      </c>
      <c r="E38" s="149"/>
      <c r="F38" s="148" t="s">
        <v>1657</v>
      </c>
      <c r="G38" s="148"/>
      <c r="H38" s="137"/>
      <c r="I38" s="150">
        <v>-200</v>
      </c>
      <c r="J38" s="150">
        <v>-250</v>
      </c>
      <c r="K38" s="150">
        <f t="shared" ref="K38" si="17">AVERAGE(I38:J38)</f>
        <v>-225</v>
      </c>
      <c r="L38" s="137"/>
      <c r="M38" s="148" t="str">
        <f t="shared" ref="M38" si="18">IF(INDEX(MO_SNA_IsHistoricalPeriod,,MATCH(F38,MO_Common_ColumnHeader,0)),"Actual","Estimate")</f>
        <v>Actual</v>
      </c>
      <c r="N38" s="150"/>
      <c r="O38" s="137"/>
      <c r="P38" s="153"/>
      <c r="Q38" s="154"/>
      <c r="R38" s="137"/>
      <c r="S38" s="151">
        <v>45870</v>
      </c>
      <c r="T38" s="155" t="s">
        <v>407</v>
      </c>
      <c r="U38" s="137"/>
    </row>
    <row r="39" spans="1:21" x14ac:dyDescent="0.3">
      <c r="A39" s="143">
        <v>188</v>
      </c>
      <c r="B39" s="148" t="str">
        <f>IF(INDEX(MO_SNA_IsHistoricalPeriod,,MATCH(F39,MO_Common_ColumnHeader,0)),"Historical","Forward")</f>
        <v>Historical</v>
      </c>
      <c r="C39" s="137"/>
      <c r="D39" s="152" t="s">
        <v>813</v>
      </c>
      <c r="E39" s="149" t="s">
        <v>612</v>
      </c>
      <c r="F39" s="148" t="s">
        <v>1657</v>
      </c>
      <c r="G39" s="148"/>
      <c r="H39" s="137"/>
      <c r="I39" s="150">
        <v>-2500</v>
      </c>
      <c r="J39" s="150">
        <v>-3000</v>
      </c>
      <c r="K39" s="150">
        <f>AVERAGE(I39:J39)</f>
        <v>-2750</v>
      </c>
      <c r="L39" s="137"/>
      <c r="M39" s="148" t="str">
        <f>IF(INDEX(MO_SNA_IsHistoricalPeriod,,MATCH(F39,MO_Common_ColumnHeader,0)),"Actual","Estimate")</f>
        <v>Actual</v>
      </c>
      <c r="N39" s="150">
        <f ca="1">IFERROR(INDEX(INDIRECT(E39),0,MATCH(F39,MO_Common_ColumnHeader,0)),"N/A")</f>
        <v>-2482</v>
      </c>
      <c r="O39" s="137"/>
      <c r="P39" s="153">
        <f ca="1">IF(ISNUMBER(N39),N39-K39,"N/A")</f>
        <v>268</v>
      </c>
      <c r="Q39" s="154">
        <f ca="1">IFERROR(IF(ISNUMBER(N39),(N39-K39)/ABS(K39),"N/A"),"N/A")</f>
        <v>9.745454545454546E-2</v>
      </c>
      <c r="R39" s="137"/>
      <c r="S39" s="151">
        <v>45870</v>
      </c>
      <c r="T39" s="155" t="s">
        <v>407</v>
      </c>
      <c r="U39" s="137"/>
    </row>
    <row r="40" spans="1:21" x14ac:dyDescent="0.3">
      <c r="A40" s="143">
        <v>187</v>
      </c>
      <c r="B40" s="148" t="str">
        <f>IF(INDEX(MO_SNA_IsHistoricalPeriod,,MATCH(F40,MO_Common_ColumnHeader,0)),"Historical","Forward")</f>
        <v>Historical</v>
      </c>
      <c r="C40" s="137"/>
      <c r="D40" s="152" t="s">
        <v>751</v>
      </c>
      <c r="E40" s="149"/>
      <c r="F40" s="148" t="s">
        <v>1657</v>
      </c>
      <c r="G40" s="148"/>
      <c r="H40" s="137"/>
      <c r="I40" s="150">
        <v>-700</v>
      </c>
      <c r="J40" s="150">
        <v>-800</v>
      </c>
      <c r="K40" s="150">
        <f>AVERAGE(I40:J40)</f>
        <v>-750</v>
      </c>
      <c r="L40" s="137"/>
      <c r="M40" s="148" t="str">
        <f>IF(INDEX(MO_SNA_IsHistoricalPeriod,,MATCH(F40,MO_Common_ColumnHeader,0)),"Actual","Estimate")</f>
        <v>Actual</v>
      </c>
      <c r="N40" s="150"/>
      <c r="O40" s="137"/>
      <c r="P40" s="153"/>
      <c r="Q40" s="154"/>
      <c r="R40" s="137"/>
      <c r="S40" s="151">
        <v>45870</v>
      </c>
      <c r="T40" s="155" t="s">
        <v>407</v>
      </c>
      <c r="U40" s="137"/>
    </row>
    <row r="41" spans="1:21" x14ac:dyDescent="0.3">
      <c r="A41" s="143">
        <v>186</v>
      </c>
      <c r="B41" s="148" t="str">
        <f>IF(INDEX(MO_SNA_IsHistoricalPeriod,,MATCH(F41,MO_Common_ColumnHeader,0)),"Historical","Forward")</f>
        <v>Historical</v>
      </c>
      <c r="C41" s="137"/>
      <c r="D41" s="152" t="s">
        <v>823</v>
      </c>
      <c r="E41" s="149"/>
      <c r="F41" s="148" t="s">
        <v>1657</v>
      </c>
      <c r="G41" s="148"/>
      <c r="H41" s="137"/>
      <c r="I41" s="150">
        <v>1000</v>
      </c>
      <c r="J41" s="150">
        <v>1000</v>
      </c>
      <c r="K41" s="150">
        <f>AVERAGE(I41:J41)</f>
        <v>1000</v>
      </c>
      <c r="L41" s="137"/>
      <c r="M41" s="148" t="str">
        <f>IF(INDEX(MO_SNA_IsHistoricalPeriod,,MATCH(F41,MO_Common_ColumnHeader,0)),"Actual","Estimate")</f>
        <v>Actual</v>
      </c>
      <c r="N41" s="150"/>
      <c r="O41" s="137"/>
      <c r="P41" s="153"/>
      <c r="Q41" s="154"/>
      <c r="R41" s="137"/>
      <c r="S41" s="151">
        <v>45870</v>
      </c>
      <c r="T41" s="155" t="s">
        <v>407</v>
      </c>
      <c r="U41" s="137"/>
    </row>
    <row r="42" spans="1:21" x14ac:dyDescent="0.3">
      <c r="A42" s="143">
        <v>185</v>
      </c>
      <c r="B42" s="148" t="str">
        <f t="shared" ref="B42" si="19">IF(INDEX(MO_SNA_IsHistoricalPeriod,,MATCH(F42,MO_Common_ColumnHeader,0)),"Historical","Forward")</f>
        <v>Historical</v>
      </c>
      <c r="C42" s="137"/>
      <c r="D42" s="152" t="s">
        <v>599</v>
      </c>
      <c r="E42" s="149" t="s">
        <v>601</v>
      </c>
      <c r="F42" s="148" t="s">
        <v>1657</v>
      </c>
      <c r="G42" s="148"/>
      <c r="H42" s="137"/>
      <c r="I42" s="150">
        <v>500</v>
      </c>
      <c r="J42" s="150">
        <v>500</v>
      </c>
      <c r="K42" s="150">
        <f t="shared" ref="K42" si="20">AVERAGE(I42:J42)</f>
        <v>500</v>
      </c>
      <c r="L42" s="137"/>
      <c r="M42" s="148" t="str">
        <f t="shared" ref="M42" si="21">IF(INDEX(MO_SNA_IsHistoricalPeriod,,MATCH(F42,MO_Common_ColumnHeader,0)),"Actual","Estimate")</f>
        <v>Actual</v>
      </c>
      <c r="N42" s="150">
        <f ca="1">IFERROR(INDEX(INDIRECT(E42),0,MATCH(F42,MO_Common_ColumnHeader,0)),"N/A")</f>
        <v>483</v>
      </c>
      <c r="O42" s="137"/>
      <c r="P42" s="153">
        <f ca="1">IF(ISNUMBER(N42),N42-K42,"N/A")</f>
        <v>-17</v>
      </c>
      <c r="Q42" s="154">
        <f ca="1">IFERROR(IF(ISNUMBER(N42),(N42-K42)/ABS(K42),"N/A"),"N/A")</f>
        <v>-3.4000000000000002E-2</v>
      </c>
      <c r="R42" s="137"/>
      <c r="S42" s="151">
        <v>45870</v>
      </c>
      <c r="T42" s="155" t="s">
        <v>407</v>
      </c>
      <c r="U42" s="137"/>
    </row>
    <row r="43" spans="1:21" x14ac:dyDescent="0.3">
      <c r="A43" s="143">
        <v>184</v>
      </c>
      <c r="B43" s="137"/>
      <c r="C43" s="137"/>
      <c r="D43" s="138"/>
      <c r="E43" s="139"/>
      <c r="F43" s="137"/>
      <c r="G43" s="137"/>
      <c r="H43" s="137"/>
      <c r="I43" s="117"/>
      <c r="J43" s="117"/>
      <c r="K43" s="117"/>
      <c r="L43" s="137"/>
      <c r="M43" s="137"/>
      <c r="N43" s="117"/>
      <c r="O43" s="137"/>
      <c r="P43" s="220"/>
      <c r="Q43" s="122"/>
      <c r="R43" s="137"/>
      <c r="S43" s="219"/>
      <c r="T43" s="221"/>
      <c r="U43" s="137"/>
    </row>
    <row r="44" spans="1:21" x14ac:dyDescent="0.3">
      <c r="A44" s="143">
        <v>183</v>
      </c>
      <c r="B44" s="148" t="str">
        <f>IF(INDEX(MO_SNA_IsHistoricalPeriod,,MATCH(F44,MO_Common_ColumnHeader,0)),"Historical","Forward")</f>
        <v>Historical</v>
      </c>
      <c r="C44" s="137"/>
      <c r="D44" s="152" t="s">
        <v>1599</v>
      </c>
      <c r="E44" s="149"/>
      <c r="F44" s="148" t="s">
        <v>824</v>
      </c>
      <c r="G44" s="148"/>
      <c r="H44" s="137"/>
      <c r="I44" s="150">
        <v>1400</v>
      </c>
      <c r="J44" s="150">
        <v>1400</v>
      </c>
      <c r="K44" s="150">
        <f>AVERAGE(I44:J44)</f>
        <v>1400</v>
      </c>
      <c r="L44" s="137"/>
      <c r="M44" s="148" t="str">
        <f>IF(INDEX(MO_SNA_IsHistoricalPeriod,,MATCH(F44,MO_Common_ColumnHeader,0)),"Actual","Estimate")</f>
        <v>Actual</v>
      </c>
      <c r="N44" s="150"/>
      <c r="O44" s="137"/>
      <c r="P44" s="153"/>
      <c r="Q44" s="154"/>
      <c r="R44" s="137"/>
      <c r="S44" s="151">
        <v>45779</v>
      </c>
      <c r="T44" s="155" t="s">
        <v>407</v>
      </c>
      <c r="U44" s="137"/>
    </row>
    <row r="45" spans="1:21" x14ac:dyDescent="0.3">
      <c r="A45" s="143">
        <v>182</v>
      </c>
      <c r="B45" s="148" t="str">
        <f t="shared" ref="B45" si="22">IF(INDEX(MO_SNA_IsHistoricalPeriod,,MATCH(F45,MO_Common_ColumnHeader,0)),"Historical","Forward")</f>
        <v>Historical</v>
      </c>
      <c r="C45" s="137"/>
      <c r="D45" s="152" t="s">
        <v>1600</v>
      </c>
      <c r="E45" s="149"/>
      <c r="F45" s="148" t="s">
        <v>824</v>
      </c>
      <c r="G45" s="148"/>
      <c r="H45" s="137"/>
      <c r="I45" s="150">
        <v>4000</v>
      </c>
      <c r="J45" s="150">
        <v>4000</v>
      </c>
      <c r="K45" s="150">
        <f t="shared" ref="K45" si="23">AVERAGE(I45:J45)</f>
        <v>4000</v>
      </c>
      <c r="L45" s="137"/>
      <c r="M45" s="148" t="str">
        <f t="shared" ref="M45" si="24">IF(INDEX(MO_SNA_IsHistoricalPeriod,,MATCH(F45,MO_Common_ColumnHeader,0)),"Actual","Estimate")</f>
        <v>Actual</v>
      </c>
      <c r="N45" s="150"/>
      <c r="O45" s="137"/>
      <c r="P45" s="153"/>
      <c r="Q45" s="154"/>
      <c r="R45" s="137"/>
      <c r="S45" s="151">
        <v>45779</v>
      </c>
      <c r="T45" s="155" t="s">
        <v>407</v>
      </c>
      <c r="U45" s="137"/>
    </row>
    <row r="46" spans="1:21" x14ac:dyDescent="0.3">
      <c r="A46" s="143">
        <v>181</v>
      </c>
      <c r="B46" s="148" t="str">
        <f>IF(INDEX(MO_SNA_IsHistoricalPeriod,,MATCH(F46,MO_Common_ColumnHeader,0)),"Historical","Forward")</f>
        <v>Historical</v>
      </c>
      <c r="C46" s="137"/>
      <c r="D46" s="152" t="s">
        <v>823</v>
      </c>
      <c r="E46" s="149"/>
      <c r="F46" s="148" t="s">
        <v>824</v>
      </c>
      <c r="G46" s="148"/>
      <c r="H46" s="137"/>
      <c r="I46" s="150">
        <v>1000</v>
      </c>
      <c r="J46" s="150">
        <v>1000</v>
      </c>
      <c r="K46" s="150">
        <f>AVERAGE(I46:J46)</f>
        <v>1000</v>
      </c>
      <c r="L46" s="137"/>
      <c r="M46" s="148" t="str">
        <f>IF(INDEX(MO_SNA_IsHistoricalPeriod,,MATCH(F46,MO_Common_ColumnHeader,0)),"Actual","Estimate")</f>
        <v>Actual</v>
      </c>
      <c r="N46" s="150"/>
      <c r="O46" s="137"/>
      <c r="P46" s="153"/>
      <c r="Q46" s="154"/>
      <c r="R46" s="137"/>
      <c r="S46" s="151">
        <v>45779</v>
      </c>
      <c r="T46" s="155" t="s">
        <v>407</v>
      </c>
      <c r="U46" s="137"/>
    </row>
    <row r="47" spans="1:21" x14ac:dyDescent="0.3">
      <c r="A47" s="143">
        <v>180</v>
      </c>
      <c r="B47" s="137"/>
      <c r="C47" s="137"/>
      <c r="D47" s="138"/>
      <c r="E47" s="139"/>
      <c r="F47" s="137"/>
      <c r="G47" s="137"/>
      <c r="H47" s="137"/>
      <c r="I47" s="117"/>
      <c r="J47" s="117"/>
      <c r="K47" s="117"/>
      <c r="L47" s="137"/>
      <c r="M47" s="137"/>
      <c r="N47" s="117"/>
      <c r="O47" s="137"/>
      <c r="P47" s="220"/>
      <c r="Q47" s="122"/>
      <c r="R47" s="137"/>
      <c r="S47" s="219"/>
      <c r="T47" s="221"/>
      <c r="U47" s="137"/>
    </row>
    <row r="48" spans="1:21" x14ac:dyDescent="0.3">
      <c r="A48" s="143">
        <v>179</v>
      </c>
      <c r="B48" s="148" t="str">
        <f>IF(INDEX(MO_SNA_IsHistoricalPeriod,,MATCH(F48,MO_Common_ColumnHeader,0)),"Historical","Forward")</f>
        <v>Historical</v>
      </c>
      <c r="C48" s="137"/>
      <c r="D48" s="152" t="s">
        <v>748</v>
      </c>
      <c r="E48" s="149"/>
      <c r="F48" s="148" t="s">
        <v>1598</v>
      </c>
      <c r="G48" s="148"/>
      <c r="H48" s="137"/>
      <c r="I48" s="150">
        <v>-105</v>
      </c>
      <c r="J48" s="150">
        <v>-105</v>
      </c>
      <c r="K48" s="150">
        <f>AVERAGE(I48:J48)</f>
        <v>-105</v>
      </c>
      <c r="L48" s="137"/>
      <c r="M48" s="148" t="str">
        <f>IF(INDEX(MO_SNA_IsHistoricalPeriod,,MATCH(F48,MO_Common_ColumnHeader,0)),"Actual","Estimate")</f>
        <v>Actual</v>
      </c>
      <c r="N48" s="150"/>
      <c r="O48" s="137"/>
      <c r="P48" s="153"/>
      <c r="Q48" s="154"/>
      <c r="R48" s="137"/>
      <c r="S48" s="151">
        <v>45779</v>
      </c>
      <c r="T48" s="155" t="s">
        <v>407</v>
      </c>
      <c r="U48" s="137"/>
    </row>
    <row r="49" spans="1:21" x14ac:dyDescent="0.3">
      <c r="A49" s="143">
        <v>178</v>
      </c>
      <c r="B49" s="148" t="str">
        <f t="shared" ref="B49" si="25">IF(INDEX(MO_SNA_IsHistoricalPeriod,,MATCH(F49,MO_Common_ColumnHeader,0)),"Historical","Forward")</f>
        <v>Historical</v>
      </c>
      <c r="C49" s="137"/>
      <c r="D49" s="152" t="s">
        <v>812</v>
      </c>
      <c r="E49" s="149"/>
      <c r="F49" s="148" t="s">
        <v>1598</v>
      </c>
      <c r="G49" s="148"/>
      <c r="H49" s="137"/>
      <c r="I49" s="150">
        <v>-300</v>
      </c>
      <c r="J49" s="150">
        <v>-350</v>
      </c>
      <c r="K49" s="150">
        <f t="shared" ref="K49" si="26">AVERAGE(I49:J49)</f>
        <v>-325</v>
      </c>
      <c r="L49" s="137"/>
      <c r="M49" s="148" t="str">
        <f t="shared" ref="M49" si="27">IF(INDEX(MO_SNA_IsHistoricalPeriod,,MATCH(F49,MO_Common_ColumnHeader,0)),"Actual","Estimate")</f>
        <v>Actual</v>
      </c>
      <c r="N49" s="150"/>
      <c r="O49" s="137"/>
      <c r="P49" s="153"/>
      <c r="Q49" s="154"/>
      <c r="R49" s="137"/>
      <c r="S49" s="151">
        <v>45779</v>
      </c>
      <c r="T49" s="155" t="s">
        <v>407</v>
      </c>
      <c r="U49" s="137"/>
    </row>
    <row r="50" spans="1:21" x14ac:dyDescent="0.3">
      <c r="A50" s="143">
        <v>177</v>
      </c>
      <c r="B50" s="148" t="str">
        <f>IF(INDEX(MO_SNA_IsHistoricalPeriod,,MATCH(F50,MO_Common_ColumnHeader,0)),"Historical","Forward")</f>
        <v>Historical</v>
      </c>
      <c r="C50" s="137"/>
      <c r="D50" s="152" t="s">
        <v>813</v>
      </c>
      <c r="E50" s="149" t="s">
        <v>612</v>
      </c>
      <c r="F50" s="148" t="s">
        <v>1598</v>
      </c>
      <c r="G50" s="148"/>
      <c r="H50" s="137"/>
      <c r="I50" s="150">
        <v>-2500</v>
      </c>
      <c r="J50" s="150">
        <v>-3000</v>
      </c>
      <c r="K50" s="150">
        <f>AVERAGE(I50:J50)</f>
        <v>-2750</v>
      </c>
      <c r="L50" s="137"/>
      <c r="M50" s="148" t="str">
        <f>IF(INDEX(MO_SNA_IsHistoricalPeriod,,MATCH(F50,MO_Common_ColumnHeader,0)),"Actual","Estimate")</f>
        <v>Actual</v>
      </c>
      <c r="N50" s="150">
        <f ca="1">IFERROR(INDEX(INDIRECT(E50),0,MATCH(F50,MO_Common_ColumnHeader,0)),"N/A")</f>
        <v>-2733</v>
      </c>
      <c r="O50" s="137"/>
      <c r="P50" s="153">
        <f ca="1">IF(ISNUMBER(N50),N50-K50,"N/A")</f>
        <v>17</v>
      </c>
      <c r="Q50" s="154">
        <f ca="1">IFERROR(IF(ISNUMBER(N50),(N50-K50)/ABS(K50),"N/A"),"N/A")</f>
        <v>6.1818181818181816E-3</v>
      </c>
      <c r="R50" s="137"/>
      <c r="S50" s="151">
        <v>45779</v>
      </c>
      <c r="T50" s="155" t="s">
        <v>407</v>
      </c>
      <c r="U50" s="137"/>
    </row>
    <row r="51" spans="1:21" x14ac:dyDescent="0.3">
      <c r="A51" s="143">
        <v>176</v>
      </c>
      <c r="B51" s="148" t="str">
        <f>IF(INDEX(MO_SNA_IsHistoricalPeriod,,MATCH(F51,MO_Common_ColumnHeader,0)),"Historical","Forward")</f>
        <v>Historical</v>
      </c>
      <c r="C51" s="137"/>
      <c r="D51" s="152" t="s">
        <v>751</v>
      </c>
      <c r="E51" s="149"/>
      <c r="F51" s="148" t="s">
        <v>1598</v>
      </c>
      <c r="G51" s="148"/>
      <c r="H51" s="137"/>
      <c r="I51" s="150">
        <v>-800</v>
      </c>
      <c r="J51" s="150">
        <v>-900</v>
      </c>
      <c r="K51" s="150">
        <f>AVERAGE(I51:J51)</f>
        <v>-850</v>
      </c>
      <c r="L51" s="137"/>
      <c r="M51" s="148" t="str">
        <f>IF(INDEX(MO_SNA_IsHistoricalPeriod,,MATCH(F51,MO_Common_ColumnHeader,0)),"Actual","Estimate")</f>
        <v>Actual</v>
      </c>
      <c r="N51" s="150"/>
      <c r="O51" s="137"/>
      <c r="P51" s="153"/>
      <c r="Q51" s="154"/>
      <c r="R51" s="137"/>
      <c r="S51" s="151">
        <v>45779</v>
      </c>
      <c r="T51" s="155" t="s">
        <v>407</v>
      </c>
      <c r="U51" s="137"/>
    </row>
    <row r="52" spans="1:21" x14ac:dyDescent="0.3">
      <c r="A52" s="143">
        <v>175</v>
      </c>
      <c r="B52" s="137"/>
      <c r="C52" s="137"/>
      <c r="D52" s="138"/>
      <c r="E52" s="139"/>
      <c r="F52" s="137"/>
      <c r="G52" s="137"/>
      <c r="H52" s="137"/>
      <c r="I52" s="117"/>
      <c r="J52" s="117"/>
      <c r="K52" s="117"/>
      <c r="L52" s="137"/>
      <c r="M52" s="137"/>
      <c r="N52" s="117"/>
      <c r="O52" s="137"/>
      <c r="P52" s="220"/>
      <c r="Q52" s="122"/>
      <c r="R52" s="137"/>
      <c r="S52" s="219"/>
      <c r="T52" s="221"/>
      <c r="U52" s="137"/>
    </row>
    <row r="53" spans="1:21" x14ac:dyDescent="0.3">
      <c r="A53" s="143">
        <v>174</v>
      </c>
      <c r="B53" s="148" t="str">
        <f t="shared" ref="B53" si="28">IF(INDEX(MO_SNA_IsHistoricalPeriod,,MATCH(F53,MO_Common_ColumnHeader,0)),"Historical","Forward")</f>
        <v>Forward</v>
      </c>
      <c r="C53" s="137"/>
      <c r="D53" s="152" t="s">
        <v>404</v>
      </c>
      <c r="E53" s="149" t="s">
        <v>405</v>
      </c>
      <c r="F53" s="148" t="s">
        <v>825</v>
      </c>
      <c r="G53" s="148"/>
      <c r="H53" s="137"/>
      <c r="I53" s="218">
        <v>0.03</v>
      </c>
      <c r="J53" s="218">
        <v>0.06</v>
      </c>
      <c r="K53" s="218">
        <f t="shared" ref="K53" si="29">AVERAGE(I53:J53)</f>
        <v>4.4999999999999998E-2</v>
      </c>
      <c r="L53" s="137"/>
      <c r="M53" s="148" t="str">
        <f t="shared" ref="M53" si="30">IF(INDEX(MO_SNA_IsHistoricalPeriod,,MATCH(F53,MO_Common_ColumnHeader,0)),"Actual","Estimate")</f>
        <v>Estimate</v>
      </c>
      <c r="N53" s="218">
        <f>INDEX(MO_OS_Energy_AverageDailyProduction_Total,0,MATCH(F53,MO_Common_ColumnHeader,0))/INDEX(MO_OS_Energy_AverageDailyProduction_Total,0,MATCH("FY2025",MO_Common_ColumnHeader,0))-1</f>
        <v>8.5572121603941342E-2</v>
      </c>
      <c r="O53" s="137"/>
      <c r="P53" s="154">
        <f>IF(ISNUMBER(N53),N53-K53,"N/A")</f>
        <v>4.0572121603941344E-2</v>
      </c>
      <c r="Q53" s="154">
        <f>IFERROR(IF(ISNUMBER(N53),(N53-K53)/ABS(K53),"N/A"),"N/A")</f>
        <v>0.90160270230980766</v>
      </c>
      <c r="R53" s="137"/>
      <c r="S53" s="151">
        <v>45688</v>
      </c>
      <c r="T53" s="155" t="s">
        <v>407</v>
      </c>
      <c r="U53" s="137"/>
    </row>
    <row r="54" spans="1:21" x14ac:dyDescent="0.3">
      <c r="A54" s="143">
        <v>173</v>
      </c>
      <c r="B54" s="137"/>
      <c r="C54" s="137"/>
      <c r="D54" s="138"/>
      <c r="E54" s="139"/>
      <c r="F54" s="137"/>
      <c r="G54" s="137"/>
      <c r="H54" s="137"/>
      <c r="I54" s="117"/>
      <c r="J54" s="117"/>
      <c r="K54" s="117"/>
      <c r="L54" s="137"/>
      <c r="M54" s="137"/>
      <c r="N54" s="117"/>
      <c r="O54" s="137"/>
      <c r="P54" s="220"/>
      <c r="Q54" s="122"/>
      <c r="R54" s="137"/>
      <c r="S54" s="219"/>
      <c r="T54" s="221"/>
      <c r="U54" s="137"/>
    </row>
    <row r="55" spans="1:21" x14ac:dyDescent="0.3">
      <c r="A55" s="143">
        <v>172</v>
      </c>
      <c r="B55" s="148" t="str">
        <f t="shared" ref="B55:B61" si="31">IF(INDEX(MO_SNA_IsHistoricalPeriod,,MATCH(F55,MO_Common_ColumnHeader,0)),"Historical","Forward")</f>
        <v>Historical</v>
      </c>
      <c r="C55" s="137"/>
      <c r="D55" s="152" t="s">
        <v>404</v>
      </c>
      <c r="E55" s="149" t="s">
        <v>405</v>
      </c>
      <c r="F55" s="148" t="s">
        <v>824</v>
      </c>
      <c r="G55" s="148"/>
      <c r="H55" s="137"/>
      <c r="I55" s="218">
        <v>0.06</v>
      </c>
      <c r="J55" s="218">
        <v>0.08</v>
      </c>
      <c r="K55" s="218">
        <f t="shared" ref="K55:K61" si="32">AVERAGE(I55:J55)</f>
        <v>7.0000000000000007E-2</v>
      </c>
      <c r="L55" s="137"/>
      <c r="M55" s="148" t="str">
        <f t="shared" ref="M55:M61" si="33">IF(INDEX(MO_SNA_IsHistoricalPeriod,,MATCH(F55,MO_Common_ColumnHeader,0)),"Actual","Estimate")</f>
        <v>Actual</v>
      </c>
      <c r="N55" s="218">
        <f>INDEX(MO_OS_Energy_AverageDailyProduction_Total,0,MATCH(F55,MO_Common_ColumnHeader,0))/INDEX(MO_OS_Energy_AverageDailyProduction_Total,0,MATCH("FY2024",MO_Common_ColumnHeader,0))-1</f>
        <v>0.11508887557419611</v>
      </c>
      <c r="O55" s="137"/>
      <c r="P55" s="154">
        <f>IF(ISNUMBER(N55),N55-K55,"N/A")</f>
        <v>4.5088875574196108E-2</v>
      </c>
      <c r="Q55" s="154">
        <f>IFERROR(IF(ISNUMBER(N55),(N55-K55)/ABS(K55),"N/A"),"N/A")</f>
        <v>0.64412679391708716</v>
      </c>
      <c r="R55" s="137"/>
      <c r="S55" s="151">
        <v>45688</v>
      </c>
      <c r="T55" s="155" t="s">
        <v>407</v>
      </c>
      <c r="U55" s="137"/>
    </row>
    <row r="56" spans="1:21" x14ac:dyDescent="0.3">
      <c r="A56" s="143">
        <v>171</v>
      </c>
      <c r="B56" s="148" t="str">
        <f t="shared" si="31"/>
        <v>Historical</v>
      </c>
      <c r="C56" s="137"/>
      <c r="D56" s="152" t="str">
        <f ca="1">INDEX(INDIRECT(E56),0,COLUMN(MO_Common_Column_A))</f>
        <v>All other adjusted earnings, mm</v>
      </c>
      <c r="E56" s="149" t="s">
        <v>656</v>
      </c>
      <c r="F56" s="148" t="s">
        <v>824</v>
      </c>
      <c r="G56" s="148"/>
      <c r="H56" s="137"/>
      <c r="I56" s="150">
        <v>-2500</v>
      </c>
      <c r="J56" s="150">
        <v>-2500</v>
      </c>
      <c r="K56" s="150">
        <f t="shared" si="32"/>
        <v>-2500</v>
      </c>
      <c r="L56" s="137"/>
      <c r="M56" s="148" t="str">
        <f t="shared" si="33"/>
        <v>Actual</v>
      </c>
      <c r="N56" s="150"/>
      <c r="O56" s="137"/>
      <c r="P56" s="153"/>
      <c r="Q56" s="154"/>
      <c r="R56" s="137"/>
      <c r="S56" s="151">
        <v>45688</v>
      </c>
      <c r="T56" s="155" t="s">
        <v>407</v>
      </c>
      <c r="U56" s="137"/>
    </row>
    <row r="57" spans="1:21" x14ac:dyDescent="0.3">
      <c r="A57" s="143">
        <v>170</v>
      </c>
      <c r="B57" s="148" t="str">
        <f t="shared" si="31"/>
        <v>Historical</v>
      </c>
      <c r="C57" s="137"/>
      <c r="D57" s="152" t="s">
        <v>751</v>
      </c>
      <c r="E57" s="149" t="s">
        <v>750</v>
      </c>
      <c r="F57" s="148" t="s">
        <v>824</v>
      </c>
      <c r="G57" s="148"/>
      <c r="H57" s="137"/>
      <c r="I57" s="150">
        <v>-5000</v>
      </c>
      <c r="J57" s="150">
        <v>-5000</v>
      </c>
      <c r="K57" s="150">
        <f t="shared" si="32"/>
        <v>-5000</v>
      </c>
      <c r="L57" s="137"/>
      <c r="M57" s="148" t="str">
        <f t="shared" si="33"/>
        <v>Actual</v>
      </c>
      <c r="N57" s="150"/>
      <c r="O57" s="137"/>
      <c r="P57" s="153"/>
      <c r="Q57" s="154"/>
      <c r="R57" s="137"/>
      <c r="S57" s="151">
        <v>45688</v>
      </c>
      <c r="T57" s="155" t="s">
        <v>407</v>
      </c>
      <c r="U57" s="137"/>
    </row>
    <row r="58" spans="1:21" x14ac:dyDescent="0.3">
      <c r="A58" s="143">
        <v>169</v>
      </c>
      <c r="B58" s="148" t="str">
        <f t="shared" si="31"/>
        <v>Historical</v>
      </c>
      <c r="C58" s="137"/>
      <c r="D58" s="152" t="s">
        <v>822</v>
      </c>
      <c r="E58" s="149"/>
      <c r="F58" s="148" t="s">
        <v>824</v>
      </c>
      <c r="G58" s="148"/>
      <c r="H58" s="137"/>
      <c r="I58" s="150">
        <v>1000</v>
      </c>
      <c r="J58" s="150">
        <v>1000</v>
      </c>
      <c r="K58" s="150">
        <f t="shared" si="32"/>
        <v>1000</v>
      </c>
      <c r="L58" s="137"/>
      <c r="M58" s="148" t="str">
        <f t="shared" si="33"/>
        <v>Actual</v>
      </c>
      <c r="N58" s="150"/>
      <c r="O58" s="137"/>
      <c r="P58" s="153"/>
      <c r="Q58" s="154"/>
      <c r="R58" s="137"/>
      <c r="S58" s="151">
        <v>45688</v>
      </c>
      <c r="T58" s="155" t="s">
        <v>407</v>
      </c>
      <c r="U58" s="137"/>
    </row>
    <row r="59" spans="1:21" x14ac:dyDescent="0.3">
      <c r="A59" s="143">
        <v>168</v>
      </c>
      <c r="B59" s="148" t="str">
        <f t="shared" si="31"/>
        <v>Historical</v>
      </c>
      <c r="C59" s="137"/>
      <c r="D59" s="152" t="s">
        <v>599</v>
      </c>
      <c r="E59" s="149" t="s">
        <v>601</v>
      </c>
      <c r="F59" s="148" t="s">
        <v>824</v>
      </c>
      <c r="G59" s="148"/>
      <c r="H59" s="137"/>
      <c r="I59" s="150">
        <v>1000</v>
      </c>
      <c r="J59" s="150">
        <v>2000</v>
      </c>
      <c r="K59" s="150">
        <f t="shared" si="32"/>
        <v>1500</v>
      </c>
      <c r="L59" s="137"/>
      <c r="M59" s="148" t="str">
        <f t="shared" si="33"/>
        <v>Actual</v>
      </c>
      <c r="N59" s="150">
        <f ca="1">IFERROR(INDEX(INDIRECT(E59),0,MATCH(F59,MO_Common_ColumnHeader,0)),"N/A")</f>
        <v>1826</v>
      </c>
      <c r="O59" s="137"/>
      <c r="P59" s="153">
        <f ca="1">IF(ISNUMBER(N59),N59-K59,"N/A")</f>
        <v>326</v>
      </c>
      <c r="Q59" s="154">
        <f ca="1">IFERROR(IF(ISNUMBER(N59),(N59-K59)/ABS(K59),"N/A"),"N/A")</f>
        <v>0.21733333333333332</v>
      </c>
      <c r="R59" s="137"/>
      <c r="S59" s="151">
        <v>45688</v>
      </c>
      <c r="T59" s="155" t="s">
        <v>407</v>
      </c>
      <c r="U59" s="137"/>
    </row>
    <row r="60" spans="1:21" x14ac:dyDescent="0.3">
      <c r="A60" s="143">
        <v>167</v>
      </c>
      <c r="B60" s="148" t="str">
        <f t="shared" si="31"/>
        <v>Historical</v>
      </c>
      <c r="C60" s="137"/>
      <c r="D60" s="152" t="s">
        <v>614</v>
      </c>
      <c r="E60" s="149"/>
      <c r="F60" s="148" t="s">
        <v>824</v>
      </c>
      <c r="G60" s="148"/>
      <c r="H60" s="137"/>
      <c r="I60" s="150">
        <v>-15000</v>
      </c>
      <c r="J60" s="150">
        <v>-15000</v>
      </c>
      <c r="K60" s="150">
        <f t="shared" si="32"/>
        <v>-15000</v>
      </c>
      <c r="L60" s="137"/>
      <c r="M60" s="148" t="str">
        <f t="shared" si="33"/>
        <v>Actual</v>
      </c>
      <c r="N60" s="150"/>
      <c r="O60" s="137"/>
      <c r="P60" s="153"/>
      <c r="Q60" s="154"/>
      <c r="R60" s="137"/>
      <c r="S60" s="151">
        <v>45688</v>
      </c>
      <c r="T60" s="155" t="s">
        <v>407</v>
      </c>
      <c r="U60" s="137"/>
    </row>
    <row r="61" spans="1:21" x14ac:dyDescent="0.3">
      <c r="A61" s="143">
        <v>166</v>
      </c>
      <c r="B61" s="148" t="str">
        <f t="shared" si="31"/>
        <v>Historical</v>
      </c>
      <c r="C61" s="137"/>
      <c r="D61" s="152" t="s">
        <v>721</v>
      </c>
      <c r="E61" s="149"/>
      <c r="F61" s="148" t="s">
        <v>824</v>
      </c>
      <c r="G61" s="148"/>
      <c r="H61" s="137"/>
      <c r="I61" s="150">
        <v>-2000</v>
      </c>
      <c r="J61" s="150">
        <v>-2000</v>
      </c>
      <c r="K61" s="150">
        <f t="shared" si="32"/>
        <v>-2000</v>
      </c>
      <c r="L61" s="137"/>
      <c r="M61" s="148" t="str">
        <f t="shared" si="33"/>
        <v>Actual</v>
      </c>
      <c r="N61" s="150"/>
      <c r="O61" s="137"/>
      <c r="P61" s="153"/>
      <c r="Q61" s="154"/>
      <c r="R61" s="137"/>
      <c r="S61" s="151">
        <v>45688</v>
      </c>
      <c r="T61" s="155" t="s">
        <v>407</v>
      </c>
      <c r="U61" s="137"/>
    </row>
    <row r="62" spans="1:21" x14ac:dyDescent="0.3">
      <c r="A62" s="143">
        <v>165</v>
      </c>
      <c r="B62" s="148" t="str">
        <f>IF(INDEX(MO_SNA_IsHistoricalPeriod,,MATCH(F62,MO_Common_ColumnHeader,0)),"Historical","Forward")</f>
        <v>Historical</v>
      </c>
      <c r="C62" s="137"/>
      <c r="D62" s="152" t="s">
        <v>202</v>
      </c>
      <c r="E62" s="149"/>
      <c r="F62" s="148" t="s">
        <v>824</v>
      </c>
      <c r="G62" s="148"/>
      <c r="H62" s="137"/>
      <c r="I62" s="150">
        <v>17000</v>
      </c>
      <c r="J62" s="150">
        <v>18000</v>
      </c>
      <c r="K62" s="150">
        <f>AVERAGE(I62:J62)</f>
        <v>17500</v>
      </c>
      <c r="L62" s="137"/>
      <c r="M62" s="148" t="str">
        <f>IF(INDEX(MO_SNA_IsHistoricalPeriod,,MATCH(F62,MO_Common_ColumnHeader,0)),"Actual","Estimate")</f>
        <v>Actual</v>
      </c>
      <c r="N62" s="150"/>
      <c r="O62" s="137"/>
      <c r="P62" s="153"/>
      <c r="Q62" s="154"/>
      <c r="R62" s="137"/>
      <c r="S62" s="151">
        <v>45688</v>
      </c>
      <c r="T62" s="155" t="s">
        <v>407</v>
      </c>
      <c r="U62" s="137"/>
    </row>
    <row r="63" spans="1:21" x14ac:dyDescent="0.3">
      <c r="A63" s="143">
        <v>164</v>
      </c>
      <c r="B63" s="148" t="str">
        <f>IF(INDEX(MO_SNA_IsHistoricalPeriod,,MATCH(F63,MO_Common_ColumnHeader,0)),"Historical","Forward")</f>
        <v>Historical</v>
      </c>
      <c r="C63" s="137"/>
      <c r="D63" s="152" t="s">
        <v>823</v>
      </c>
      <c r="E63" s="149"/>
      <c r="F63" s="148" t="s">
        <v>824</v>
      </c>
      <c r="G63" s="148"/>
      <c r="H63" s="137"/>
      <c r="I63" s="150">
        <v>1000</v>
      </c>
      <c r="J63" s="150">
        <v>1000</v>
      </c>
      <c r="K63" s="150">
        <f>AVERAGE(I63:J63)</f>
        <v>1000</v>
      </c>
      <c r="L63" s="137"/>
      <c r="M63" s="148" t="str">
        <f>IF(INDEX(MO_SNA_IsHistoricalPeriod,,MATCH(F63,MO_Common_ColumnHeader,0)),"Actual","Estimate")</f>
        <v>Actual</v>
      </c>
      <c r="N63" s="150"/>
      <c r="O63" s="137"/>
      <c r="P63" s="153"/>
      <c r="Q63" s="154"/>
      <c r="R63" s="137"/>
      <c r="S63" s="151">
        <v>45688</v>
      </c>
      <c r="T63" s="155" t="s">
        <v>407</v>
      </c>
      <c r="U63" s="137"/>
    </row>
    <row r="64" spans="1:21" x14ac:dyDescent="0.3">
      <c r="A64" s="143">
        <v>163</v>
      </c>
      <c r="B64" s="137"/>
      <c r="C64" s="137"/>
      <c r="D64" s="138"/>
      <c r="E64" s="139"/>
      <c r="F64" s="137"/>
      <c r="G64" s="137"/>
      <c r="H64" s="137"/>
      <c r="I64" s="117"/>
      <c r="J64" s="117"/>
      <c r="K64" s="117"/>
      <c r="L64" s="137"/>
      <c r="M64" s="137"/>
      <c r="N64" s="117"/>
      <c r="O64" s="137"/>
      <c r="P64" s="220"/>
      <c r="Q64" s="122"/>
      <c r="R64" s="137"/>
      <c r="S64" s="219"/>
      <c r="T64" s="221"/>
      <c r="U64" s="137"/>
    </row>
    <row r="65" spans="1:21" x14ac:dyDescent="0.3">
      <c r="A65" s="143">
        <v>162</v>
      </c>
      <c r="B65" s="148" t="str">
        <f>IF(INDEX(MO_SNA_IsHistoricalPeriod,,MATCH(F65,MO_Common_ColumnHeader,0)),"Historical","Forward")</f>
        <v>Historical</v>
      </c>
      <c r="C65" s="137"/>
      <c r="D65" s="152" t="s">
        <v>748</v>
      </c>
      <c r="E65" s="149"/>
      <c r="F65" s="148" t="s">
        <v>821</v>
      </c>
      <c r="G65" s="148"/>
      <c r="H65" s="137"/>
      <c r="I65" s="150">
        <v>-45</v>
      </c>
      <c r="J65" s="150">
        <v>-45</v>
      </c>
      <c r="K65" s="150">
        <f>AVERAGE(I65:J65)</f>
        <v>-45</v>
      </c>
      <c r="L65" s="137"/>
      <c r="M65" s="148" t="str">
        <f>IF(INDEX(MO_SNA_IsHistoricalPeriod,,MATCH(F65,MO_Common_ColumnHeader,0)),"Actual","Estimate")</f>
        <v>Actual</v>
      </c>
      <c r="N65" s="150"/>
      <c r="O65" s="137"/>
      <c r="P65" s="153"/>
      <c r="Q65" s="154"/>
      <c r="R65" s="137"/>
      <c r="S65" s="151">
        <v>45688</v>
      </c>
      <c r="T65" s="155" t="s">
        <v>407</v>
      </c>
      <c r="U65" s="137"/>
    </row>
    <row r="66" spans="1:21" x14ac:dyDescent="0.3">
      <c r="A66" s="143">
        <v>161</v>
      </c>
      <c r="B66" s="148" t="str">
        <f t="shared" ref="B66" si="34">IF(INDEX(MO_SNA_IsHistoricalPeriod,,MATCH(F66,MO_Common_ColumnHeader,0)),"Historical","Forward")</f>
        <v>Historical</v>
      </c>
      <c r="C66" s="137"/>
      <c r="D66" s="152" t="s">
        <v>812</v>
      </c>
      <c r="E66" s="149"/>
      <c r="F66" s="148" t="s">
        <v>821</v>
      </c>
      <c r="G66" s="148"/>
      <c r="H66" s="137"/>
      <c r="I66" s="150">
        <v>-100</v>
      </c>
      <c r="J66" s="150">
        <v>-200</v>
      </c>
      <c r="K66" s="150">
        <f t="shared" ref="K66" si="35">AVERAGE(I66:J66)</f>
        <v>-150</v>
      </c>
      <c r="L66" s="137"/>
      <c r="M66" s="148" t="str">
        <f t="shared" ref="M66" si="36">IF(INDEX(MO_SNA_IsHistoricalPeriod,,MATCH(F66,MO_Common_ColumnHeader,0)),"Actual","Estimate")</f>
        <v>Actual</v>
      </c>
      <c r="N66" s="150"/>
      <c r="O66" s="137"/>
      <c r="P66" s="153"/>
      <c r="Q66" s="154"/>
      <c r="R66" s="137"/>
      <c r="S66" s="151">
        <v>45688</v>
      </c>
      <c r="T66" s="155" t="s">
        <v>407</v>
      </c>
      <c r="U66" s="137"/>
    </row>
    <row r="67" spans="1:21" x14ac:dyDescent="0.3">
      <c r="A67" s="143">
        <v>160</v>
      </c>
      <c r="B67" s="148" t="str">
        <f>IF(INDEX(MO_SNA_IsHistoricalPeriod,,MATCH(F67,MO_Common_ColumnHeader,0)),"Historical","Forward")</f>
        <v>Historical</v>
      </c>
      <c r="C67" s="137"/>
      <c r="D67" s="152" t="s">
        <v>813</v>
      </c>
      <c r="E67" s="149" t="s">
        <v>612</v>
      </c>
      <c r="F67" s="148" t="s">
        <v>821</v>
      </c>
      <c r="G67" s="148"/>
      <c r="H67" s="137"/>
      <c r="I67" s="150">
        <v>-4000</v>
      </c>
      <c r="J67" s="150">
        <v>-4750</v>
      </c>
      <c r="K67" s="150">
        <f>AVERAGE(I67:J67)</f>
        <v>-4375</v>
      </c>
      <c r="L67" s="137"/>
      <c r="M67" s="148" t="str">
        <f>IF(INDEX(MO_SNA_IsHistoricalPeriod,,MATCH(F67,MO_Common_ColumnHeader,0)),"Actual","Estimate")</f>
        <v>Actual</v>
      </c>
      <c r="N67" s="150">
        <f ca="1">IFERROR(INDEX(INDIRECT(E67),0,MATCH(F67,MO_Common_ColumnHeader,0)),"N/A")</f>
        <v>-3699</v>
      </c>
      <c r="O67" s="137"/>
      <c r="P67" s="153">
        <f ca="1">IF(ISNUMBER(N67),N67-K67,"N/A")</f>
        <v>676</v>
      </c>
      <c r="Q67" s="154">
        <f ca="1">IFERROR(IF(ISNUMBER(N67),(N67-K67)/ABS(K67),"N/A"),"N/A")</f>
        <v>0.15451428571428572</v>
      </c>
      <c r="R67" s="137"/>
      <c r="S67" s="151">
        <v>45688</v>
      </c>
      <c r="T67" s="155" t="s">
        <v>407</v>
      </c>
      <c r="U67" s="137"/>
    </row>
    <row r="68" spans="1:21" x14ac:dyDescent="0.3">
      <c r="A68" s="143">
        <v>159</v>
      </c>
      <c r="B68" s="148" t="str">
        <f>IF(INDEX(MO_SNA_IsHistoricalPeriod,,MATCH(F68,MO_Common_ColumnHeader,0)),"Historical","Forward")</f>
        <v>Historical</v>
      </c>
      <c r="C68" s="137"/>
      <c r="D68" s="152" t="s">
        <v>751</v>
      </c>
      <c r="E68" s="149" t="s">
        <v>750</v>
      </c>
      <c r="F68" s="148" t="s">
        <v>821</v>
      </c>
      <c r="G68" s="148"/>
      <c r="H68" s="137"/>
      <c r="I68" s="150">
        <v>-500</v>
      </c>
      <c r="J68" s="150">
        <v>-500</v>
      </c>
      <c r="K68" s="150">
        <f>AVERAGE(I68:J68)</f>
        <v>-500</v>
      </c>
      <c r="L68" s="137"/>
      <c r="M68" s="148" t="str">
        <f>IF(INDEX(MO_SNA_IsHistoricalPeriod,,MATCH(F68,MO_Common_ColumnHeader,0)),"Actual","Estimate")</f>
        <v>Actual</v>
      </c>
      <c r="N68" s="150"/>
      <c r="O68" s="137"/>
      <c r="P68" s="153"/>
      <c r="Q68" s="154"/>
      <c r="R68" s="137"/>
      <c r="S68" s="151">
        <v>45688</v>
      </c>
      <c r="T68" s="155" t="s">
        <v>407</v>
      </c>
      <c r="U68" s="137"/>
    </row>
    <row r="69" spans="1:21" x14ac:dyDescent="0.3">
      <c r="A69" s="143">
        <v>158</v>
      </c>
      <c r="B69" s="148" t="str">
        <f>IF(INDEX(MO_SNA_IsHistoricalPeriod,,MATCH(F69,MO_Common_ColumnHeader,0)),"Historical","Forward")</f>
        <v>Historical</v>
      </c>
      <c r="C69" s="137"/>
      <c r="D69" s="152" t="str">
        <f ca="1">INDEX(INDIRECT(E69),0,COLUMN(MO_Common_Column_A))</f>
        <v>Divestiture</v>
      </c>
      <c r="E69" s="149" t="s">
        <v>601</v>
      </c>
      <c r="F69" s="148" t="s">
        <v>821</v>
      </c>
      <c r="G69" s="148"/>
      <c r="H69" s="137"/>
      <c r="I69" s="150">
        <v>500</v>
      </c>
      <c r="J69" s="150">
        <v>500</v>
      </c>
      <c r="K69" s="150">
        <f>AVERAGE(I69:J69)</f>
        <v>500</v>
      </c>
      <c r="L69" s="137"/>
      <c r="M69" s="148" t="str">
        <f>IF(INDEX(MO_SNA_IsHistoricalPeriod,,MATCH(F69,MO_Common_ColumnHeader,0)),"Actual","Estimate")</f>
        <v>Actual</v>
      </c>
      <c r="N69" s="150">
        <f ca="1">IFERROR(INDEX(INDIRECT(E69),0,MATCH(F69,MO_Common_ColumnHeader,0)),"N/A")</f>
        <v>600</v>
      </c>
      <c r="O69" s="137"/>
      <c r="P69" s="153">
        <f ca="1">IF(ISNUMBER(N69),N69-K69,"N/A")</f>
        <v>100</v>
      </c>
      <c r="Q69" s="154">
        <f ca="1">IFERROR(IF(ISNUMBER(N69),(N69-K69)/ABS(K69),"N/A"),"N/A")</f>
        <v>0.2</v>
      </c>
      <c r="R69" s="137"/>
      <c r="S69" s="151">
        <v>45688</v>
      </c>
      <c r="T69" s="155" t="s">
        <v>407</v>
      </c>
      <c r="U69" s="137"/>
    </row>
    <row r="70" spans="1:21" x14ac:dyDescent="0.3">
      <c r="A70" s="143">
        <v>157</v>
      </c>
      <c r="B70" s="137"/>
      <c r="C70" s="137"/>
      <c r="D70" s="138"/>
      <c r="E70" s="139"/>
      <c r="F70" s="137"/>
      <c r="G70" s="137"/>
      <c r="H70" s="137"/>
      <c r="I70" s="117"/>
      <c r="J70" s="117"/>
      <c r="K70" s="117"/>
      <c r="L70" s="137"/>
      <c r="M70" s="137"/>
      <c r="N70" s="117"/>
      <c r="O70" s="137"/>
      <c r="P70" s="220"/>
      <c r="Q70" s="122"/>
      <c r="R70" s="137"/>
      <c r="S70" s="219"/>
      <c r="T70" s="221"/>
      <c r="U70" s="137"/>
    </row>
    <row r="71" spans="1:21" x14ac:dyDescent="0.3">
      <c r="A71" s="143">
        <v>156</v>
      </c>
      <c r="B71" s="148" t="str">
        <f>IF(INDEX(MO_SNA_IsHistoricalPeriod,,MATCH(F71,MO_Common_ColumnHeader,0)),"Historical","Forward")</f>
        <v>Historical</v>
      </c>
      <c r="C71" s="137"/>
      <c r="D71" s="152" t="s">
        <v>748</v>
      </c>
      <c r="E71" s="149"/>
      <c r="F71" s="148" t="s">
        <v>819</v>
      </c>
      <c r="G71" s="148"/>
      <c r="H71" s="137"/>
      <c r="I71" s="150">
        <v>-45</v>
      </c>
      <c r="J71" s="150">
        <v>-45</v>
      </c>
      <c r="K71" s="150">
        <f>AVERAGE(I71:J71)</f>
        <v>-45</v>
      </c>
      <c r="L71" s="137"/>
      <c r="M71" s="148" t="str">
        <f>IF(INDEX(MO_SNA_IsHistoricalPeriod,,MATCH(F71,MO_Common_ColumnHeader,0)),"Actual","Estimate")</f>
        <v>Actual</v>
      </c>
      <c r="N71" s="150"/>
      <c r="O71" s="137"/>
      <c r="P71" s="153"/>
      <c r="Q71" s="154"/>
      <c r="R71" s="137"/>
      <c r="S71" s="151">
        <v>45597</v>
      </c>
      <c r="T71" s="155" t="s">
        <v>407</v>
      </c>
      <c r="U71" s="137"/>
    </row>
    <row r="72" spans="1:21" x14ac:dyDescent="0.3">
      <c r="A72" s="143">
        <v>155</v>
      </c>
      <c r="B72" s="148" t="str">
        <f t="shared" ref="B72" si="37">IF(INDEX(MO_SNA_IsHistoricalPeriod,,MATCH(F72,MO_Common_ColumnHeader,0)),"Historical","Forward")</f>
        <v>Historical</v>
      </c>
      <c r="C72" s="137"/>
      <c r="D72" s="152" t="s">
        <v>812</v>
      </c>
      <c r="E72" s="149"/>
      <c r="F72" s="148" t="s">
        <v>819</v>
      </c>
      <c r="G72" s="148"/>
      <c r="H72" s="137"/>
      <c r="I72" s="150">
        <v>-350</v>
      </c>
      <c r="J72" s="150">
        <v>-400</v>
      </c>
      <c r="K72" s="150">
        <f t="shared" ref="K72" si="38">AVERAGE(I72:J72)</f>
        <v>-375</v>
      </c>
      <c r="L72" s="137"/>
      <c r="M72" s="148" t="str">
        <f t="shared" ref="M72" si="39">IF(INDEX(MO_SNA_IsHistoricalPeriod,,MATCH(F72,MO_Common_ColumnHeader,0)),"Actual","Estimate")</f>
        <v>Actual</v>
      </c>
      <c r="N72" s="150"/>
      <c r="O72" s="137"/>
      <c r="P72" s="153"/>
      <c r="Q72" s="154"/>
      <c r="R72" s="137"/>
      <c r="S72" s="151">
        <v>45597</v>
      </c>
      <c r="T72" s="155" t="s">
        <v>407</v>
      </c>
      <c r="U72" s="137"/>
    </row>
    <row r="73" spans="1:21" x14ac:dyDescent="0.3">
      <c r="A73" s="143">
        <v>154</v>
      </c>
      <c r="B73" s="148" t="str">
        <f>IF(INDEX(MO_SNA_IsHistoricalPeriod,,MATCH(F73,MO_Common_ColumnHeader,0)),"Historical","Forward")</f>
        <v>Historical</v>
      </c>
      <c r="C73" s="137"/>
      <c r="D73" s="152" t="s">
        <v>751</v>
      </c>
      <c r="E73" s="149" t="s">
        <v>750</v>
      </c>
      <c r="F73" s="148" t="s">
        <v>819</v>
      </c>
      <c r="G73" s="148"/>
      <c r="H73" s="137"/>
      <c r="I73" s="150">
        <v>-1000</v>
      </c>
      <c r="J73" s="150">
        <v>-1000</v>
      </c>
      <c r="K73" s="150">
        <f>AVERAGE(I73:J73)</f>
        <v>-1000</v>
      </c>
      <c r="L73" s="137"/>
      <c r="M73" s="148" t="str">
        <f>IF(INDEX(MO_SNA_IsHistoricalPeriod,,MATCH(F73,MO_Common_ColumnHeader,0)),"Actual","Estimate")</f>
        <v>Actual</v>
      </c>
      <c r="N73" s="150"/>
      <c r="O73" s="137"/>
      <c r="P73" s="153"/>
      <c r="Q73" s="154"/>
      <c r="R73" s="137"/>
      <c r="S73" s="151">
        <v>45597</v>
      </c>
      <c r="T73" s="155" t="s">
        <v>407</v>
      </c>
      <c r="U73" s="137"/>
    </row>
    <row r="74" spans="1:21" x14ac:dyDescent="0.3">
      <c r="A74" s="143">
        <v>153</v>
      </c>
      <c r="B74" s="148" t="str">
        <f>IF(INDEX(MO_SNA_IsHistoricalPeriod,,MATCH(F74,MO_Common_ColumnHeader,0)),"Historical","Forward")</f>
        <v>Historical</v>
      </c>
      <c r="C74" s="137"/>
      <c r="D74" s="152" t="s">
        <v>813</v>
      </c>
      <c r="E74" s="149" t="s">
        <v>612</v>
      </c>
      <c r="F74" s="148" t="s">
        <v>819</v>
      </c>
      <c r="G74" s="148"/>
      <c r="H74" s="137"/>
      <c r="I74" s="150">
        <v>-4000</v>
      </c>
      <c r="J74" s="150">
        <v>-4750</v>
      </c>
      <c r="K74" s="150">
        <f>AVERAGE(I74:J74)</f>
        <v>-4375</v>
      </c>
      <c r="L74" s="137"/>
      <c r="M74" s="148" t="str">
        <f>IF(INDEX(MO_SNA_IsHistoricalPeriod,,MATCH(F74,MO_Common_ColumnHeader,0)),"Actual","Estimate")</f>
        <v>Actual</v>
      </c>
      <c r="N74" s="150">
        <f ca="1">IFERROR(INDEX(INDIRECT(E74),0,MATCH(F74,MO_Common_ColumnHeader,0)),"N/A")</f>
        <v>-4509</v>
      </c>
      <c r="O74" s="137"/>
      <c r="P74" s="153">
        <f ca="1">IF(ISNUMBER(N74),N74-K74,"N/A")</f>
        <v>-134</v>
      </c>
      <c r="Q74" s="154">
        <f ca="1">IFERROR(IF(ISNUMBER(N74),(N74-K74)/ABS(K74),"N/A"),"N/A")</f>
        <v>-3.0628571428571429E-2</v>
      </c>
      <c r="R74" s="137"/>
      <c r="S74" s="151">
        <v>45597</v>
      </c>
      <c r="T74" s="155" t="s">
        <v>407</v>
      </c>
      <c r="U74" s="137"/>
    </row>
    <row r="75" spans="1:21" x14ac:dyDescent="0.3">
      <c r="A75" s="143">
        <v>152</v>
      </c>
      <c r="B75" s="137"/>
      <c r="C75" s="137"/>
      <c r="D75" s="138"/>
      <c r="E75" s="139"/>
      <c r="F75" s="137"/>
      <c r="G75" s="137"/>
      <c r="H75" s="137"/>
      <c r="I75" s="117"/>
      <c r="J75" s="117"/>
      <c r="K75" s="117"/>
      <c r="L75" s="137"/>
      <c r="M75" s="137"/>
      <c r="N75" s="117"/>
      <c r="O75" s="137"/>
      <c r="P75" s="220"/>
      <c r="Q75" s="122"/>
      <c r="R75" s="137"/>
      <c r="S75" s="219"/>
      <c r="T75" s="221"/>
      <c r="U75" s="137"/>
    </row>
    <row r="76" spans="1:21" x14ac:dyDescent="0.3">
      <c r="A76" s="143">
        <v>151</v>
      </c>
      <c r="B76" s="148" t="str">
        <f>IF(INDEX(MO_SNA_IsHistoricalPeriod,,MATCH(F76,MO_Common_ColumnHeader,0)),"Historical","Forward")</f>
        <v>Historical</v>
      </c>
      <c r="C76" s="137"/>
      <c r="D76" s="152" t="s">
        <v>748</v>
      </c>
      <c r="E76" s="149"/>
      <c r="F76" s="148" t="s">
        <v>818</v>
      </c>
      <c r="G76" s="148"/>
      <c r="H76" s="137"/>
      <c r="I76" s="150">
        <v>-130</v>
      </c>
      <c r="J76" s="150">
        <v>-130</v>
      </c>
      <c r="K76" s="150">
        <f>AVERAGE(I76:J76)</f>
        <v>-130</v>
      </c>
      <c r="L76" s="137"/>
      <c r="M76" s="148" t="str">
        <f>IF(INDEX(MO_SNA_IsHistoricalPeriod,,MATCH(F76,MO_Common_ColumnHeader,0)),"Actual","Estimate")</f>
        <v>Actual</v>
      </c>
      <c r="N76" s="150"/>
      <c r="O76" s="137"/>
      <c r="P76" s="153"/>
      <c r="Q76" s="154"/>
      <c r="R76" s="137"/>
      <c r="S76" s="151">
        <v>45506</v>
      </c>
      <c r="T76" s="155" t="s">
        <v>407</v>
      </c>
      <c r="U76" s="137"/>
    </row>
    <row r="77" spans="1:21" x14ac:dyDescent="0.3">
      <c r="A77" s="143">
        <v>150</v>
      </c>
      <c r="B77" s="148" t="str">
        <f>IF(INDEX(MO_SNA_IsHistoricalPeriod,,MATCH(F77,MO_Common_ColumnHeader,0)),"Historical","Forward")</f>
        <v>Historical</v>
      </c>
      <c r="C77" s="137"/>
      <c r="D77" s="152" t="s">
        <v>817</v>
      </c>
      <c r="E77" s="149"/>
      <c r="F77" s="148" t="s">
        <v>818</v>
      </c>
      <c r="G77" s="148"/>
      <c r="H77" s="137"/>
      <c r="I77" s="150">
        <v>-600</v>
      </c>
      <c r="J77" s="150">
        <v>-600</v>
      </c>
      <c r="K77" s="150">
        <f>AVERAGE(I77:J77)</f>
        <v>-600</v>
      </c>
      <c r="L77" s="137"/>
      <c r="M77" s="148" t="str">
        <f>IF(INDEX(MO_SNA_IsHistoricalPeriod,,MATCH(F77,MO_Common_ColumnHeader,0)),"Actual","Estimate")</f>
        <v>Actual</v>
      </c>
      <c r="N77" s="150"/>
      <c r="O77" s="137"/>
      <c r="P77" s="153"/>
      <c r="Q77" s="154"/>
      <c r="R77" s="137"/>
      <c r="S77" s="151">
        <v>45506</v>
      </c>
      <c r="T77" s="155" t="s">
        <v>407</v>
      </c>
      <c r="U77" s="137"/>
    </row>
    <row r="78" spans="1:21" x14ac:dyDescent="0.3">
      <c r="A78" s="143">
        <v>149</v>
      </c>
      <c r="B78" s="148" t="str">
        <f t="shared" ref="B78" si="40">IF(INDEX(MO_SNA_IsHistoricalPeriod,,MATCH(F78,MO_Common_ColumnHeader,0)),"Historical","Forward")</f>
        <v>Historical</v>
      </c>
      <c r="C78" s="137"/>
      <c r="D78" s="152" t="s">
        <v>812</v>
      </c>
      <c r="E78" s="149"/>
      <c r="F78" s="148" t="s">
        <v>818</v>
      </c>
      <c r="G78" s="148"/>
      <c r="H78" s="137"/>
      <c r="I78" s="150">
        <v>-150</v>
      </c>
      <c r="J78" s="150">
        <v>-250</v>
      </c>
      <c r="K78" s="150">
        <f t="shared" ref="K78" si="41">AVERAGE(I78:J78)</f>
        <v>-200</v>
      </c>
      <c r="L78" s="137"/>
      <c r="M78" s="148" t="str">
        <f t="shared" ref="M78" si="42">IF(INDEX(MO_SNA_IsHistoricalPeriod,,MATCH(F78,MO_Common_ColumnHeader,0)),"Actual","Estimate")</f>
        <v>Actual</v>
      </c>
      <c r="N78" s="150"/>
      <c r="O78" s="137"/>
      <c r="P78" s="153"/>
      <c r="Q78" s="154"/>
      <c r="R78" s="137"/>
      <c r="S78" s="151">
        <v>45506</v>
      </c>
      <c r="T78" s="155" t="s">
        <v>407</v>
      </c>
      <c r="U78" s="137"/>
    </row>
    <row r="79" spans="1:21" x14ac:dyDescent="0.3">
      <c r="A79" s="143">
        <v>148</v>
      </c>
      <c r="B79" s="148" t="str">
        <f>IF(INDEX(MO_SNA_IsHistoricalPeriod,,MATCH(F79,MO_Common_ColumnHeader,0)),"Historical","Forward")</f>
        <v>Historical</v>
      </c>
      <c r="C79" s="137"/>
      <c r="D79" s="152" t="s">
        <v>751</v>
      </c>
      <c r="E79" s="149" t="s">
        <v>750</v>
      </c>
      <c r="F79" s="148" t="s">
        <v>818</v>
      </c>
      <c r="G79" s="148"/>
      <c r="H79" s="137"/>
      <c r="I79" s="150">
        <v>-1000</v>
      </c>
      <c r="J79" s="150">
        <v>-1000</v>
      </c>
      <c r="K79" s="150">
        <f>AVERAGE(I79:J79)</f>
        <v>-1000</v>
      </c>
      <c r="L79" s="137"/>
      <c r="M79" s="148" t="str">
        <f>IF(INDEX(MO_SNA_IsHistoricalPeriod,,MATCH(F79,MO_Common_ColumnHeader,0)),"Actual","Estimate")</f>
        <v>Actual</v>
      </c>
      <c r="N79" s="150"/>
      <c r="O79" s="137"/>
      <c r="P79" s="153"/>
      <c r="Q79" s="154"/>
      <c r="R79" s="137"/>
      <c r="S79" s="151">
        <v>45506</v>
      </c>
      <c r="T79" s="155" t="s">
        <v>407</v>
      </c>
      <c r="U79" s="137"/>
    </row>
    <row r="80" spans="1:21" x14ac:dyDescent="0.3">
      <c r="A80" s="143">
        <v>147</v>
      </c>
      <c r="B80" s="148" t="str">
        <f>IF(INDEX(MO_SNA_IsHistoricalPeriod,,MATCH(F80,MO_Common_ColumnHeader,0)),"Historical","Forward")</f>
        <v>Historical</v>
      </c>
      <c r="C80" s="137"/>
      <c r="D80" s="152" t="s">
        <v>813</v>
      </c>
      <c r="E80" s="149" t="s">
        <v>612</v>
      </c>
      <c r="F80" s="148" t="s">
        <v>818</v>
      </c>
      <c r="G80" s="148"/>
      <c r="H80" s="137"/>
      <c r="I80" s="150">
        <v>-4000</v>
      </c>
      <c r="J80" s="150">
        <v>-4750</v>
      </c>
      <c r="K80" s="150">
        <f>AVERAGE(I80:J80)</f>
        <v>-4375</v>
      </c>
      <c r="L80" s="137"/>
      <c r="M80" s="148" t="str">
        <f>IF(INDEX(MO_SNA_IsHistoricalPeriod,,MATCH(F80,MO_Common_ColumnHeader,0)),"Actual","Estimate")</f>
        <v>Actual</v>
      </c>
      <c r="N80" s="150">
        <f ca="1">IFERROR(INDEX(INDIRECT(E80),0,MATCH(F80,MO_Common_ColumnHeader,0)),"N/A")</f>
        <v>-4714</v>
      </c>
      <c r="O80" s="137"/>
      <c r="P80" s="153">
        <f ca="1">IF(ISNUMBER(N80),N80-K80,"N/A")</f>
        <v>-339</v>
      </c>
      <c r="Q80" s="154">
        <f ca="1">IFERROR(IF(ISNUMBER(N80),(N80-K80)/ABS(K80),"N/A"),"N/A")</f>
        <v>-7.7485714285714283E-2</v>
      </c>
      <c r="R80" s="137"/>
      <c r="S80" s="151">
        <v>45506</v>
      </c>
      <c r="T80" s="155" t="s">
        <v>407</v>
      </c>
      <c r="U80" s="137"/>
    </row>
    <row r="81" spans="1:21" x14ac:dyDescent="0.3">
      <c r="A81" s="143">
        <v>146</v>
      </c>
      <c r="B81" s="137"/>
      <c r="C81" s="137"/>
      <c r="D81" s="138"/>
      <c r="E81" s="139"/>
      <c r="F81" s="137"/>
      <c r="G81" s="137"/>
      <c r="H81" s="137"/>
      <c r="I81" s="117"/>
      <c r="J81" s="117"/>
      <c r="K81" s="117"/>
      <c r="L81" s="137"/>
      <c r="M81" s="137"/>
      <c r="N81" s="117"/>
      <c r="O81" s="137"/>
      <c r="P81" s="220"/>
      <c r="Q81" s="122"/>
      <c r="R81" s="137"/>
      <c r="S81" s="219"/>
      <c r="T81" s="221"/>
      <c r="U81" s="137"/>
    </row>
    <row r="82" spans="1:21" x14ac:dyDescent="0.3">
      <c r="A82" s="143">
        <v>145</v>
      </c>
      <c r="B82" s="148" t="str">
        <f>IF(INDEX(MO_SNA_IsHistoricalPeriod,,MATCH(F82,MO_Common_ColumnHeader,0)),"Historical","Forward")</f>
        <v>Historical</v>
      </c>
      <c r="C82" s="137"/>
      <c r="D82" s="152" t="s">
        <v>748</v>
      </c>
      <c r="E82" s="149"/>
      <c r="F82" s="148" t="s">
        <v>814</v>
      </c>
      <c r="G82" s="148"/>
      <c r="H82" s="137"/>
      <c r="I82" s="150">
        <v>-65</v>
      </c>
      <c r="J82" s="150">
        <v>-65</v>
      </c>
      <c r="K82" s="150">
        <f>AVERAGE(I82:J82)</f>
        <v>-65</v>
      </c>
      <c r="L82" s="137"/>
      <c r="M82" s="148" t="str">
        <f>IF(INDEX(MO_SNA_IsHistoricalPeriod,,MATCH(F82,MO_Common_ColumnHeader,0)),"Actual","Estimate")</f>
        <v>Actual</v>
      </c>
      <c r="N82" s="150"/>
      <c r="O82" s="137"/>
      <c r="P82" s="153"/>
      <c r="Q82" s="154"/>
      <c r="R82" s="137"/>
      <c r="S82" s="151">
        <v>45408</v>
      </c>
      <c r="T82" s="155" t="s">
        <v>407</v>
      </c>
      <c r="U82" s="137"/>
    </row>
    <row r="83" spans="1:21" x14ac:dyDescent="0.3">
      <c r="A83" s="143">
        <v>144</v>
      </c>
      <c r="B83" s="148" t="str">
        <f t="shared" ref="B83" si="43">IF(INDEX(MO_SNA_IsHistoricalPeriod,,MATCH(F83,MO_Common_ColumnHeader,0)),"Historical","Forward")</f>
        <v>Historical</v>
      </c>
      <c r="C83" s="137"/>
      <c r="D83" s="152" t="s">
        <v>812</v>
      </c>
      <c r="E83" s="149"/>
      <c r="F83" s="148" t="s">
        <v>814</v>
      </c>
      <c r="G83" s="148"/>
      <c r="H83" s="137"/>
      <c r="I83" s="150">
        <v>-300</v>
      </c>
      <c r="J83" s="150">
        <v>-400</v>
      </c>
      <c r="K83" s="150">
        <f t="shared" ref="K83" si="44">AVERAGE(I83:J83)</f>
        <v>-350</v>
      </c>
      <c r="L83" s="137"/>
      <c r="M83" s="148" t="str">
        <f t="shared" ref="M83" si="45">IF(INDEX(MO_SNA_IsHistoricalPeriod,,MATCH(F83,MO_Common_ColumnHeader,0)),"Actual","Estimate")</f>
        <v>Actual</v>
      </c>
      <c r="N83" s="150"/>
      <c r="O83" s="137"/>
      <c r="P83" s="153"/>
      <c r="Q83" s="154"/>
      <c r="R83" s="137"/>
      <c r="S83" s="151">
        <v>45408</v>
      </c>
      <c r="T83" s="155" t="s">
        <v>407</v>
      </c>
      <c r="U83" s="137"/>
    </row>
    <row r="84" spans="1:21" x14ac:dyDescent="0.3">
      <c r="A84" s="143">
        <v>143</v>
      </c>
      <c r="B84" s="148" t="str">
        <f>IF(INDEX(MO_SNA_IsHistoricalPeriod,,MATCH(F84,MO_Common_ColumnHeader,0)),"Historical","Forward")</f>
        <v>Historical</v>
      </c>
      <c r="C84" s="137"/>
      <c r="D84" s="152" t="s">
        <v>751</v>
      </c>
      <c r="E84" s="149" t="s">
        <v>750</v>
      </c>
      <c r="F84" s="148" t="s">
        <v>814</v>
      </c>
      <c r="G84" s="148"/>
      <c r="H84" s="137"/>
      <c r="I84" s="150">
        <v>-1000</v>
      </c>
      <c r="J84" s="150">
        <v>-1500</v>
      </c>
      <c r="K84" s="150">
        <f>AVERAGE(I84:J84)</f>
        <v>-1250</v>
      </c>
      <c r="L84" s="137"/>
      <c r="M84" s="148" t="str">
        <f>IF(INDEX(MO_SNA_IsHistoricalPeriod,,MATCH(F84,MO_Common_ColumnHeader,0)),"Actual","Estimate")</f>
        <v>Actual</v>
      </c>
      <c r="N84" s="150"/>
      <c r="O84" s="137"/>
      <c r="P84" s="153"/>
      <c r="Q84" s="154"/>
      <c r="R84" s="137"/>
      <c r="S84" s="151">
        <v>45408</v>
      </c>
      <c r="T84" s="155" t="s">
        <v>407</v>
      </c>
      <c r="U84" s="137"/>
    </row>
    <row r="85" spans="1:21" x14ac:dyDescent="0.3">
      <c r="A85" s="143">
        <v>142</v>
      </c>
      <c r="B85" s="148" t="str">
        <f>IF(INDEX(MO_SNA_IsHistoricalPeriod,,MATCH(F85,MO_Common_ColumnHeader,0)),"Historical","Forward")</f>
        <v>Historical</v>
      </c>
      <c r="C85" s="137"/>
      <c r="D85" s="152" t="s">
        <v>813</v>
      </c>
      <c r="E85" s="149" t="s">
        <v>612</v>
      </c>
      <c r="F85" s="148" t="s">
        <v>814</v>
      </c>
      <c r="G85" s="148"/>
      <c r="H85" s="137"/>
      <c r="I85" s="150">
        <v>-2500</v>
      </c>
      <c r="J85" s="150">
        <v>-3000</v>
      </c>
      <c r="K85" s="150">
        <f>AVERAGE(I85:J85)</f>
        <v>-2750</v>
      </c>
      <c r="L85" s="137"/>
      <c r="M85" s="148" t="str">
        <f>IF(INDEX(MO_SNA_IsHistoricalPeriod,,MATCH(F85,MO_Common_ColumnHeader,0)),"Actual","Estimate")</f>
        <v>Actual</v>
      </c>
      <c r="N85" s="150">
        <f ca="1">IFERROR(INDEX(INDIRECT(E85),0,MATCH(F85,MO_Common_ColumnHeader,0)),"N/A")</f>
        <v>-2930</v>
      </c>
      <c r="O85" s="137"/>
      <c r="P85" s="153">
        <f ca="1">IF(ISNUMBER(N85),N85-K85,"N/A")</f>
        <v>-180</v>
      </c>
      <c r="Q85" s="154">
        <f ca="1">IFERROR(IF(ISNUMBER(N85),(N85-K85)/ABS(K85),"N/A"),"N/A")</f>
        <v>-6.545454545454546E-2</v>
      </c>
      <c r="R85" s="137"/>
      <c r="S85" s="151">
        <v>45408</v>
      </c>
      <c r="T85" s="155" t="s">
        <v>407</v>
      </c>
      <c r="U85" s="137"/>
    </row>
    <row r="86" spans="1:21" x14ac:dyDescent="0.3">
      <c r="A86" s="143">
        <v>141</v>
      </c>
      <c r="B86" s="137"/>
      <c r="C86" s="137"/>
      <c r="D86" s="138"/>
      <c r="E86" s="139"/>
      <c r="F86" s="137"/>
      <c r="G86" s="137"/>
      <c r="H86" s="137"/>
      <c r="I86" s="117"/>
      <c r="J86" s="117"/>
      <c r="K86" s="117"/>
      <c r="L86" s="137"/>
      <c r="M86" s="137"/>
      <c r="N86" s="117"/>
      <c r="O86" s="137"/>
      <c r="P86" s="220"/>
      <c r="Q86" s="122"/>
      <c r="R86" s="137"/>
      <c r="S86" s="219"/>
      <c r="T86" s="221"/>
      <c r="U86" s="137"/>
    </row>
    <row r="87" spans="1:21" x14ac:dyDescent="0.3">
      <c r="A87" s="143">
        <v>140</v>
      </c>
      <c r="B87" s="148" t="str">
        <f t="shared" ref="B87:B92" si="46">IF(INDEX(MO_SNA_IsHistoricalPeriod,,MATCH(F87,MO_Common_ColumnHeader,0)),"Historical","Forward")</f>
        <v>Historical</v>
      </c>
      <c r="C87" s="137"/>
      <c r="D87" s="152" t="s">
        <v>404</v>
      </c>
      <c r="E87" s="149" t="s">
        <v>405</v>
      </c>
      <c r="F87" s="148" t="s">
        <v>810</v>
      </c>
      <c r="G87" s="148"/>
      <c r="H87" s="137"/>
      <c r="I87" s="218">
        <v>0.04</v>
      </c>
      <c r="J87" s="218">
        <v>7.0000000000000007E-2</v>
      </c>
      <c r="K87" s="218">
        <f t="shared" ref="K87:K92" si="47">AVERAGE(I87:J87)</f>
        <v>5.5000000000000007E-2</v>
      </c>
      <c r="L87" s="137"/>
      <c r="M87" s="148" t="str">
        <f t="shared" ref="M87:M92" si="48">IF(INDEX(MO_SNA_IsHistoricalPeriod,,MATCH(F87,MO_Common_ColumnHeader,0)),"Actual","Estimate")</f>
        <v>Actual</v>
      </c>
      <c r="N87" s="218">
        <f>INDEX(MO_OS_Energy_AverageDailyProduction_Total,0,MATCH(F87,MO_Common_ColumnHeader,0))/INDEX(MO_OS_Energy_AverageDailyProduction_Total,0,MATCH("FY2023",MO_Common_ColumnHeader,0))-1</f>
        <v>6.964323862422539E-2</v>
      </c>
      <c r="O87" s="137"/>
      <c r="P87" s="154">
        <f>IF(ISNUMBER(N87),N87-K87,"N/A")</f>
        <v>1.4643238624225383E-2</v>
      </c>
      <c r="Q87" s="154">
        <f>IFERROR(IF(ISNUMBER(N87),(N87-K87)/ABS(K87),"N/A"),"N/A")</f>
        <v>0.26624070225864327</v>
      </c>
      <c r="R87" s="137"/>
      <c r="S87" s="151">
        <v>45324</v>
      </c>
      <c r="T87" s="155" t="s">
        <v>407</v>
      </c>
      <c r="U87" s="137"/>
    </row>
    <row r="88" spans="1:21" x14ac:dyDescent="0.3">
      <c r="A88" s="143">
        <v>139</v>
      </c>
      <c r="B88" s="148" t="str">
        <f t="shared" si="46"/>
        <v>Historical</v>
      </c>
      <c r="C88" s="137"/>
      <c r="D88" s="152" t="str">
        <f ca="1">INDEX(INDIRECT(E88),0,COLUMN(MO_Common_Column_A))</f>
        <v>All other adjusted earnings, mm</v>
      </c>
      <c r="E88" s="149" t="s">
        <v>656</v>
      </c>
      <c r="F88" s="148" t="s">
        <v>810</v>
      </c>
      <c r="G88" s="148"/>
      <c r="H88" s="137"/>
      <c r="I88" s="150">
        <v>-2200</v>
      </c>
      <c r="J88" s="150">
        <v>-2200</v>
      </c>
      <c r="K88" s="150">
        <f t="shared" si="47"/>
        <v>-2200</v>
      </c>
      <c r="L88" s="137"/>
      <c r="M88" s="148" t="str">
        <f t="shared" si="48"/>
        <v>Actual</v>
      </c>
      <c r="N88" s="150"/>
      <c r="O88" s="137"/>
      <c r="P88" s="153"/>
      <c r="Q88" s="154"/>
      <c r="R88" s="137"/>
      <c r="S88" s="151">
        <v>45324</v>
      </c>
      <c r="T88" s="155" t="s">
        <v>407</v>
      </c>
      <c r="U88" s="137"/>
    </row>
    <row r="89" spans="1:21" x14ac:dyDescent="0.3">
      <c r="A89" s="143">
        <v>138</v>
      </c>
      <c r="B89" s="148" t="str">
        <f t="shared" si="46"/>
        <v>Historical</v>
      </c>
      <c r="C89" s="137"/>
      <c r="D89" s="152" t="s">
        <v>751</v>
      </c>
      <c r="E89" s="149" t="s">
        <v>750</v>
      </c>
      <c r="F89" s="148" t="s">
        <v>810</v>
      </c>
      <c r="G89" s="148"/>
      <c r="H89" s="137"/>
      <c r="I89" s="150">
        <v>-4000</v>
      </c>
      <c r="J89" s="150">
        <v>-4000</v>
      </c>
      <c r="K89" s="150">
        <f t="shared" si="47"/>
        <v>-4000</v>
      </c>
      <c r="L89" s="137"/>
      <c r="M89" s="148" t="str">
        <f t="shared" si="48"/>
        <v>Actual</v>
      </c>
      <c r="N89" s="150">
        <f ca="1">IFERROR(INDEX(INDIRECT(E89),0,MATCH(F89,MO_Common_ColumnHeader,0)),"N/A")</f>
        <v>-11801</v>
      </c>
      <c r="O89" s="137"/>
      <c r="P89" s="153">
        <f ca="1">IF(ISNUMBER(N89),N89-K89,"N/A")</f>
        <v>-7801</v>
      </c>
      <c r="Q89" s="154">
        <f ca="1">IFERROR(IF(ISNUMBER(N89),(N89-K89)/ABS(K89),"N/A"),"N/A")</f>
        <v>-1.95025</v>
      </c>
      <c r="R89" s="137"/>
      <c r="S89" s="151">
        <v>45324</v>
      </c>
      <c r="T89" s="155" t="s">
        <v>407</v>
      </c>
      <c r="U89" s="137"/>
    </row>
    <row r="90" spans="1:21" x14ac:dyDescent="0.3">
      <c r="A90" s="143">
        <v>137</v>
      </c>
      <c r="B90" s="148" t="str">
        <f t="shared" si="46"/>
        <v>Historical</v>
      </c>
      <c r="C90" s="137"/>
      <c r="D90" s="152" t="s">
        <v>600</v>
      </c>
      <c r="E90" s="149"/>
      <c r="F90" s="148" t="s">
        <v>810</v>
      </c>
      <c r="G90" s="148"/>
      <c r="H90" s="137"/>
      <c r="I90" s="150">
        <v>-1000</v>
      </c>
      <c r="J90" s="150">
        <v>-1000</v>
      </c>
      <c r="K90" s="150">
        <f t="shared" si="47"/>
        <v>-1000</v>
      </c>
      <c r="L90" s="137"/>
      <c r="M90" s="148" t="str">
        <f t="shared" si="48"/>
        <v>Actual</v>
      </c>
      <c r="N90" s="150"/>
      <c r="O90" s="137"/>
      <c r="P90" s="153"/>
      <c r="Q90" s="154"/>
      <c r="R90" s="137"/>
      <c r="S90" s="151">
        <v>45324</v>
      </c>
      <c r="T90" s="155" t="s">
        <v>407</v>
      </c>
      <c r="U90" s="137"/>
    </row>
    <row r="91" spans="1:21" x14ac:dyDescent="0.3">
      <c r="A91" s="143">
        <v>136</v>
      </c>
      <c r="B91" s="148" t="str">
        <f t="shared" si="46"/>
        <v>Historical</v>
      </c>
      <c r="C91" s="137"/>
      <c r="D91" s="152" t="s">
        <v>599</v>
      </c>
      <c r="E91" s="149" t="s">
        <v>601</v>
      </c>
      <c r="F91" s="148" t="s">
        <v>810</v>
      </c>
      <c r="G91" s="148"/>
      <c r="H91" s="137"/>
      <c r="I91" s="150">
        <v>1000</v>
      </c>
      <c r="J91" s="150">
        <v>2000</v>
      </c>
      <c r="K91" s="150">
        <f t="shared" si="47"/>
        <v>1500</v>
      </c>
      <c r="L91" s="137"/>
      <c r="M91" s="148" t="str">
        <f t="shared" si="48"/>
        <v>Actual</v>
      </c>
      <c r="N91" s="150">
        <f ca="1">IFERROR(INDEX(INDIRECT(E91),0,MATCH(F91,MO_Common_ColumnHeader,0)),"N/A")</f>
        <v>7704</v>
      </c>
      <c r="O91" s="137"/>
      <c r="P91" s="153">
        <f ca="1">IF(ISNUMBER(N91),N91-K91,"N/A")</f>
        <v>6204</v>
      </c>
      <c r="Q91" s="154">
        <f ca="1">IFERROR(IF(ISNUMBER(N91),(N91-K91)/ABS(K91),"N/A"),"N/A")</f>
        <v>4.1360000000000001</v>
      </c>
      <c r="R91" s="137"/>
      <c r="S91" s="151">
        <v>45324</v>
      </c>
      <c r="T91" s="155" t="s">
        <v>407</v>
      </c>
      <c r="U91" s="137"/>
    </row>
    <row r="92" spans="1:21" x14ac:dyDescent="0.3">
      <c r="A92" s="143">
        <v>135</v>
      </c>
      <c r="B92" s="148" t="str">
        <f t="shared" si="46"/>
        <v>Historical</v>
      </c>
      <c r="C92" s="137"/>
      <c r="D92" s="152" t="s">
        <v>614</v>
      </c>
      <c r="E92" s="149"/>
      <c r="F92" s="148" t="s">
        <v>810</v>
      </c>
      <c r="G92" s="148"/>
      <c r="H92" s="137"/>
      <c r="I92" s="150">
        <v>-15500</v>
      </c>
      <c r="J92" s="150">
        <v>-16500</v>
      </c>
      <c r="K92" s="150">
        <f t="shared" si="47"/>
        <v>-16000</v>
      </c>
      <c r="L92" s="137"/>
      <c r="M92" s="148" t="str">
        <f t="shared" si="48"/>
        <v>Actual</v>
      </c>
      <c r="N92" s="150"/>
      <c r="O92" s="137"/>
      <c r="P92" s="153"/>
      <c r="Q92" s="154"/>
      <c r="R92" s="137"/>
      <c r="S92" s="151">
        <v>45324</v>
      </c>
      <c r="T92" s="155" t="s">
        <v>407</v>
      </c>
      <c r="U92" s="137"/>
    </row>
    <row r="93" spans="1:21" x14ac:dyDescent="0.3">
      <c r="A93" s="143">
        <v>134</v>
      </c>
      <c r="B93" s="148" t="str">
        <f t="shared" ref="B93" si="49">IF(INDEX(MO_SNA_IsHistoricalPeriod,,MATCH(F93,MO_Common_ColumnHeader,0)),"Historical","Forward")</f>
        <v>Historical</v>
      </c>
      <c r="C93" s="137"/>
      <c r="D93" s="152" t="s">
        <v>721</v>
      </c>
      <c r="E93" s="149"/>
      <c r="F93" s="148" t="s">
        <v>810</v>
      </c>
      <c r="G93" s="148"/>
      <c r="H93" s="137"/>
      <c r="I93" s="150">
        <v>-3000</v>
      </c>
      <c r="J93" s="150">
        <v>-3000</v>
      </c>
      <c r="K93" s="150">
        <f t="shared" ref="K93" si="50">AVERAGE(I93:J93)</f>
        <v>-3000</v>
      </c>
      <c r="L93" s="137"/>
      <c r="M93" s="148" t="str">
        <f t="shared" ref="M93" si="51">IF(INDEX(MO_SNA_IsHistoricalPeriod,,MATCH(F93,MO_Common_ColumnHeader,0)),"Actual","Estimate")</f>
        <v>Actual</v>
      </c>
      <c r="N93" s="150"/>
      <c r="O93" s="137"/>
      <c r="P93" s="153"/>
      <c r="Q93" s="154"/>
      <c r="R93" s="137"/>
      <c r="S93" s="151">
        <v>45324</v>
      </c>
      <c r="T93" s="155" t="s">
        <v>407</v>
      </c>
      <c r="U93" s="137"/>
    </row>
    <row r="94" spans="1:21" x14ac:dyDescent="0.3">
      <c r="A94" s="143">
        <v>133</v>
      </c>
      <c r="B94" s="148" t="str">
        <f>IF(INDEX(MO_SNA_IsHistoricalPeriod,,MATCH(F94,MO_Common_ColumnHeader,0)),"Historical","Forward")</f>
        <v>Historical</v>
      </c>
      <c r="C94" s="137"/>
      <c r="D94" s="152" t="s">
        <v>202</v>
      </c>
      <c r="E94" s="149"/>
      <c r="F94" s="148" t="s">
        <v>810</v>
      </c>
      <c r="G94" s="148"/>
      <c r="H94" s="137"/>
      <c r="I94" s="150">
        <v>16000</v>
      </c>
      <c r="J94" s="150">
        <v>17000</v>
      </c>
      <c r="K94" s="150">
        <f>AVERAGE(I94:J94)</f>
        <v>16500</v>
      </c>
      <c r="L94" s="137"/>
      <c r="M94" s="148" t="str">
        <f>IF(INDEX(MO_SNA_IsHistoricalPeriod,,MATCH(F94,MO_Common_ColumnHeader,0)),"Actual","Estimate")</f>
        <v>Actual</v>
      </c>
      <c r="N94" s="150"/>
      <c r="O94" s="137"/>
      <c r="P94" s="153"/>
      <c r="Q94" s="154"/>
      <c r="R94" s="137"/>
      <c r="S94" s="151">
        <v>45324</v>
      </c>
      <c r="T94" s="155" t="s">
        <v>407</v>
      </c>
      <c r="U94" s="137"/>
    </row>
    <row r="95" spans="1:21" x14ac:dyDescent="0.3">
      <c r="A95" s="143">
        <v>132</v>
      </c>
      <c r="B95" s="137"/>
      <c r="C95" s="137"/>
      <c r="D95" s="138"/>
      <c r="E95" s="139"/>
      <c r="F95" s="137"/>
      <c r="G95" s="137"/>
      <c r="H95" s="137"/>
      <c r="I95" s="117"/>
      <c r="J95" s="117"/>
      <c r="K95" s="117"/>
      <c r="L95" s="137"/>
      <c r="M95" s="137"/>
      <c r="N95" s="117"/>
      <c r="O95" s="137"/>
      <c r="P95" s="220"/>
      <c r="Q95" s="122"/>
      <c r="R95" s="137"/>
      <c r="S95" s="219"/>
      <c r="T95" s="221"/>
      <c r="U95" s="137"/>
    </row>
    <row r="96" spans="1:21" x14ac:dyDescent="0.3">
      <c r="A96" s="143">
        <v>131</v>
      </c>
      <c r="B96" s="148" t="str">
        <f>IF(INDEX(MO_SNA_IsHistoricalPeriod,,MATCH(F96,MO_Common_ColumnHeader,0)),"Historical","Forward")</f>
        <v>Historical</v>
      </c>
      <c r="C96" s="137"/>
      <c r="D96" s="152" t="s">
        <v>748</v>
      </c>
      <c r="E96" s="149"/>
      <c r="F96" s="148" t="s">
        <v>809</v>
      </c>
      <c r="G96" s="148"/>
      <c r="H96" s="137"/>
      <c r="I96" s="150">
        <v>-70</v>
      </c>
      <c r="J96" s="150">
        <v>-70</v>
      </c>
      <c r="K96" s="150">
        <f>AVERAGE(I96:J96)</f>
        <v>-70</v>
      </c>
      <c r="L96" s="137"/>
      <c r="M96" s="148" t="str">
        <f>IF(INDEX(MO_SNA_IsHistoricalPeriod,,MATCH(F96,MO_Common_ColumnHeader,0)),"Actual","Estimate")</f>
        <v>Actual</v>
      </c>
      <c r="N96" s="150"/>
      <c r="O96" s="137"/>
      <c r="P96" s="153"/>
      <c r="Q96" s="154"/>
      <c r="R96" s="137"/>
      <c r="S96" s="151">
        <v>45324</v>
      </c>
      <c r="T96" s="155" t="s">
        <v>407</v>
      </c>
      <c r="U96" s="137"/>
    </row>
    <row r="97" spans="1:21" x14ac:dyDescent="0.3">
      <c r="A97" s="143">
        <v>130</v>
      </c>
      <c r="B97" s="148" t="str">
        <f t="shared" ref="B97" si="52">IF(INDEX(MO_SNA_IsHistoricalPeriod,,MATCH(F97,MO_Common_ColumnHeader,0)),"Historical","Forward")</f>
        <v>Historical</v>
      </c>
      <c r="C97" s="137"/>
      <c r="D97" s="152" t="s">
        <v>812</v>
      </c>
      <c r="E97" s="149"/>
      <c r="F97" s="148" t="s">
        <v>809</v>
      </c>
      <c r="G97" s="148"/>
      <c r="H97" s="137"/>
      <c r="I97" s="150">
        <v>-250</v>
      </c>
      <c r="J97" s="150">
        <v>-350</v>
      </c>
      <c r="K97" s="150">
        <f t="shared" ref="K97" si="53">AVERAGE(I97:J97)</f>
        <v>-300</v>
      </c>
      <c r="L97" s="137"/>
      <c r="M97" s="148" t="str">
        <f t="shared" ref="M97" si="54">IF(INDEX(MO_SNA_IsHistoricalPeriod,,MATCH(F97,MO_Common_ColumnHeader,0)),"Actual","Estimate")</f>
        <v>Actual</v>
      </c>
      <c r="N97" s="150"/>
      <c r="O97" s="137"/>
      <c r="P97" s="153"/>
      <c r="Q97" s="154"/>
      <c r="R97" s="137"/>
      <c r="S97" s="151">
        <v>45324</v>
      </c>
      <c r="T97" s="155" t="s">
        <v>407</v>
      </c>
      <c r="U97" s="137"/>
    </row>
    <row r="98" spans="1:21" x14ac:dyDescent="0.3">
      <c r="A98" s="143">
        <v>129</v>
      </c>
      <c r="B98" s="148" t="str">
        <f>IF(INDEX(MO_SNA_IsHistoricalPeriod,,MATCH(F98,MO_Common_ColumnHeader,0)),"Historical","Forward")</f>
        <v>Historical</v>
      </c>
      <c r="C98" s="137"/>
      <c r="D98" s="152" t="s">
        <v>813</v>
      </c>
      <c r="E98" s="149" t="s">
        <v>612</v>
      </c>
      <c r="F98" s="148" t="s">
        <v>809</v>
      </c>
      <c r="G98" s="148"/>
      <c r="H98" s="137"/>
      <c r="I98" s="150">
        <v>-2400</v>
      </c>
      <c r="J98" s="150">
        <v>-3600</v>
      </c>
      <c r="K98" s="150">
        <f>AVERAGE(I98:J98)</f>
        <v>-3000</v>
      </c>
      <c r="L98" s="137"/>
      <c r="M98" s="148" t="str">
        <f>IF(INDEX(MO_SNA_IsHistoricalPeriod,,MATCH(F98,MO_Common_ColumnHeader,0)),"Actual","Estimate")</f>
        <v>Actual</v>
      </c>
      <c r="N98" s="150">
        <f ca="1">IFERROR(INDEX(INDIRECT(E98),0,MATCH(F98,MO_Common_ColumnHeader,0)),"N/A")</f>
        <v>-2891</v>
      </c>
      <c r="O98" s="137"/>
      <c r="P98" s="153">
        <f ca="1">IF(ISNUMBER(N98),N98-K98,"N/A")</f>
        <v>109</v>
      </c>
      <c r="Q98" s="154">
        <f ca="1">IFERROR(IF(ISNUMBER(N98),(N98-K98)/ABS(K98),"N/A"),"N/A")</f>
        <v>3.6333333333333336E-2</v>
      </c>
      <c r="R98" s="137"/>
      <c r="S98" s="151">
        <v>45324</v>
      </c>
      <c r="T98" s="155" t="s">
        <v>407</v>
      </c>
      <c r="U98" s="137"/>
    </row>
    <row r="99" spans="1:21" x14ac:dyDescent="0.3">
      <c r="A99" s="143">
        <v>128</v>
      </c>
      <c r="B99" s="137"/>
      <c r="C99" s="137"/>
      <c r="D99" s="138"/>
      <c r="E99" s="139"/>
      <c r="F99" s="137"/>
      <c r="G99" s="137"/>
      <c r="H99" s="137"/>
      <c r="I99" s="117"/>
      <c r="J99" s="117"/>
      <c r="K99" s="117"/>
      <c r="L99" s="137"/>
      <c r="M99" s="137"/>
      <c r="N99" s="117"/>
      <c r="O99" s="137"/>
      <c r="P99" s="220"/>
      <c r="Q99" s="122"/>
      <c r="R99" s="137"/>
      <c r="S99" s="219"/>
      <c r="T99" s="221"/>
      <c r="U99" s="137"/>
    </row>
    <row r="100" spans="1:21" x14ac:dyDescent="0.3">
      <c r="A100" s="143">
        <v>127</v>
      </c>
      <c r="B100" s="148" t="str">
        <f>IF(INDEX(MO_SNA_IsHistoricalPeriod,,MATCH(F100,MO_Common_ColumnHeader,0)),"Historical","Forward")</f>
        <v>Historical</v>
      </c>
      <c r="C100" s="137"/>
      <c r="D100" s="152" t="s">
        <v>748</v>
      </c>
      <c r="E100" s="149"/>
      <c r="F100" s="148" t="s">
        <v>747</v>
      </c>
      <c r="G100" s="148"/>
      <c r="H100" s="137"/>
      <c r="I100" s="150">
        <v>-60</v>
      </c>
      <c r="J100" s="150">
        <v>-60</v>
      </c>
      <c r="K100" s="150">
        <f>AVERAGE(I100:J100)</f>
        <v>-60</v>
      </c>
      <c r="L100" s="137"/>
      <c r="M100" s="148" t="str">
        <f>IF(INDEX(MO_SNA_IsHistoricalPeriod,,MATCH(F100,MO_Common_ColumnHeader,0)),"Actual","Estimate")</f>
        <v>Actual</v>
      </c>
      <c r="N100" s="150"/>
      <c r="O100" s="137"/>
      <c r="P100" s="153"/>
      <c r="Q100" s="154"/>
      <c r="R100" s="137"/>
      <c r="S100" s="151">
        <v>45226</v>
      </c>
      <c r="T100" s="155" t="s">
        <v>407</v>
      </c>
      <c r="U100" s="137"/>
    </row>
    <row r="101" spans="1:21" x14ac:dyDescent="0.3">
      <c r="A101" s="143">
        <v>126</v>
      </c>
      <c r="B101" s="148" t="str">
        <f t="shared" ref="B101" si="55">IF(INDEX(MO_SNA_IsHistoricalPeriod,,MATCH(F101,MO_Common_ColumnHeader,0)),"Historical","Forward")</f>
        <v>Historical</v>
      </c>
      <c r="C101" s="137"/>
      <c r="D101" s="152" t="s">
        <v>746</v>
      </c>
      <c r="E101" s="149"/>
      <c r="F101" s="148" t="s">
        <v>747</v>
      </c>
      <c r="G101" s="148"/>
      <c r="H101" s="137"/>
      <c r="I101" s="150">
        <v>-300</v>
      </c>
      <c r="J101" s="150">
        <v>-300</v>
      </c>
      <c r="K101" s="150">
        <f t="shared" ref="K101" si="56">AVERAGE(I101:J101)</f>
        <v>-300</v>
      </c>
      <c r="L101" s="137"/>
      <c r="M101" s="148" t="str">
        <f t="shared" ref="M101" si="57">IF(INDEX(MO_SNA_IsHistoricalPeriod,,MATCH(F101,MO_Common_ColumnHeader,0)),"Actual","Estimate")</f>
        <v>Actual</v>
      </c>
      <c r="N101" s="150"/>
      <c r="O101" s="137"/>
      <c r="P101" s="153"/>
      <c r="Q101" s="154"/>
      <c r="R101" s="137"/>
      <c r="S101" s="151">
        <v>45226</v>
      </c>
      <c r="T101" s="155" t="s">
        <v>407</v>
      </c>
      <c r="U101" s="137"/>
    </row>
    <row r="102" spans="1:21" x14ac:dyDescent="0.3">
      <c r="A102" s="143">
        <v>125</v>
      </c>
      <c r="B102" s="148" t="str">
        <f>IF(INDEX(MO_SNA_IsHistoricalPeriod,,MATCH(F102,MO_Common_ColumnHeader,0)),"Historical","Forward")</f>
        <v>Historical</v>
      </c>
      <c r="C102" s="137"/>
      <c r="D102" s="152" t="s">
        <v>749</v>
      </c>
      <c r="E102" s="149"/>
      <c r="F102" s="148" t="s">
        <v>747</v>
      </c>
      <c r="G102" s="148"/>
      <c r="H102" s="137"/>
      <c r="I102" s="150">
        <v>-265</v>
      </c>
      <c r="J102" s="150">
        <v>-265</v>
      </c>
      <c r="K102" s="150">
        <f>AVERAGE(I102:J102)</f>
        <v>-265</v>
      </c>
      <c r="L102" s="137"/>
      <c r="M102" s="148" t="str">
        <f>IF(INDEX(MO_SNA_IsHistoricalPeriod,,MATCH(F102,MO_Common_ColumnHeader,0)),"Actual","Estimate")</f>
        <v>Actual</v>
      </c>
      <c r="N102" s="150"/>
      <c r="O102" s="137"/>
      <c r="P102" s="153"/>
      <c r="Q102" s="154"/>
      <c r="R102" s="137"/>
      <c r="S102" s="151">
        <v>45226</v>
      </c>
      <c r="T102" s="155" t="s">
        <v>407</v>
      </c>
      <c r="U102" s="137"/>
    </row>
    <row r="103" spans="1:21" x14ac:dyDescent="0.3">
      <c r="A103" s="143">
        <v>124</v>
      </c>
      <c r="B103" s="148" t="str">
        <f t="shared" ref="B103" si="58">IF(INDEX(MO_SNA_IsHistoricalPeriod,,MATCH(F103,MO_Common_ColumnHeader,0)),"Historical","Forward")</f>
        <v>Historical</v>
      </c>
      <c r="C103" s="137"/>
      <c r="D103" s="152" t="s">
        <v>607</v>
      </c>
      <c r="E103" s="149"/>
      <c r="F103" s="148" t="s">
        <v>747</v>
      </c>
      <c r="G103" s="148"/>
      <c r="H103" s="137"/>
      <c r="I103" s="150">
        <v>-100</v>
      </c>
      <c r="J103" s="150">
        <v>-200</v>
      </c>
      <c r="K103" s="150">
        <f t="shared" ref="K103" si="59">AVERAGE(I103:J103)</f>
        <v>-150</v>
      </c>
      <c r="L103" s="137"/>
      <c r="M103" s="148" t="str">
        <f t="shared" ref="M103" si="60">IF(INDEX(MO_SNA_IsHistoricalPeriod,,MATCH(F103,MO_Common_ColumnHeader,0)),"Actual","Estimate")</f>
        <v>Actual</v>
      </c>
      <c r="N103" s="150"/>
      <c r="O103" s="137"/>
      <c r="P103" s="153"/>
      <c r="Q103" s="154"/>
      <c r="R103" s="137"/>
      <c r="S103" s="151">
        <v>45226</v>
      </c>
      <c r="T103" s="155" t="s">
        <v>407</v>
      </c>
      <c r="U103" s="137"/>
    </row>
    <row r="104" spans="1:21" x14ac:dyDescent="0.3">
      <c r="A104" s="143">
        <v>123</v>
      </c>
      <c r="B104" s="148" t="str">
        <f>IF(INDEX(MO_SNA_IsHistoricalPeriod,,MATCH(F104,MO_Common_ColumnHeader,0)),"Historical","Forward")</f>
        <v>Historical</v>
      </c>
      <c r="C104" s="137"/>
      <c r="D104" s="152" t="s">
        <v>751</v>
      </c>
      <c r="E104" s="149" t="s">
        <v>750</v>
      </c>
      <c r="F104" s="148" t="s">
        <v>747</v>
      </c>
      <c r="G104" s="148"/>
      <c r="H104" s="137"/>
      <c r="I104" s="150">
        <v>-2000</v>
      </c>
      <c r="J104" s="150">
        <v>-2500</v>
      </c>
      <c r="K104" s="150">
        <f>AVERAGE(I104:J104)</f>
        <v>-2250</v>
      </c>
      <c r="L104" s="137"/>
      <c r="M104" s="148" t="str">
        <f>IF(INDEX(MO_SNA_IsHistoricalPeriod,,MATCH(F104,MO_Common_ColumnHeader,0)),"Actual","Estimate")</f>
        <v>Actual</v>
      </c>
      <c r="N104" s="150">
        <f ca="1">IFERROR(INDEX(INDIRECT(E104),0,MATCH(F104,MO_Common_ColumnHeader,0)),"N/A")</f>
        <v>-2809</v>
      </c>
      <c r="O104" s="137"/>
      <c r="P104" s="153">
        <f ca="1">IF(ISNUMBER(N104),N104-K104,"N/A")</f>
        <v>-559</v>
      </c>
      <c r="Q104" s="154">
        <f ca="1">IFERROR(IF(ISNUMBER(N104),(N104-K104)/ABS(K104),"N/A"),"N/A")</f>
        <v>-0.24844444444444444</v>
      </c>
      <c r="R104" s="137"/>
      <c r="S104" s="151">
        <v>45226</v>
      </c>
      <c r="T104" s="155" t="s">
        <v>407</v>
      </c>
      <c r="U104" s="137"/>
    </row>
    <row r="105" spans="1:21" x14ac:dyDescent="0.3">
      <c r="A105" s="143">
        <v>122</v>
      </c>
      <c r="B105" s="148" t="str">
        <f>IF(INDEX(MO_SNA_IsHistoricalPeriod,,MATCH(F105,MO_Common_ColumnHeader,0)),"Historical","Forward")</f>
        <v>Historical</v>
      </c>
      <c r="C105" s="137"/>
      <c r="D105" s="152" t="s">
        <v>611</v>
      </c>
      <c r="E105" s="149" t="s">
        <v>612</v>
      </c>
      <c r="F105" s="148" t="s">
        <v>747</v>
      </c>
      <c r="G105" s="148"/>
      <c r="H105" s="137"/>
      <c r="I105" s="150">
        <v>-2400</v>
      </c>
      <c r="J105" s="150">
        <v>-3600</v>
      </c>
      <c r="K105" s="150">
        <f>AVERAGE(I105:J105)</f>
        <v>-3000</v>
      </c>
      <c r="L105" s="137"/>
      <c r="M105" s="148" t="str">
        <f>IF(INDEX(MO_SNA_IsHistoricalPeriod,,MATCH(F105,MO_Common_ColumnHeader,0)),"Actual","Estimate")</f>
        <v>Actual</v>
      </c>
      <c r="N105" s="150">
        <f ca="1">IFERROR(INDEX(INDIRECT(E105),0,MATCH(F105,MO_Common_ColumnHeader,0)),"N/A")</f>
        <v>-3397</v>
      </c>
      <c r="O105" s="137"/>
      <c r="P105" s="153">
        <f ca="1">IF(ISNUMBER(N105),N105-K105,"N/A")</f>
        <v>-397</v>
      </c>
      <c r="Q105" s="154">
        <f ca="1">IFERROR(IF(ISNUMBER(N105),(N105-K105)/ABS(K105),"N/A"),"N/A")</f>
        <v>-0.13233333333333333</v>
      </c>
      <c r="R105" s="137"/>
      <c r="S105" s="151">
        <v>45226</v>
      </c>
      <c r="T105" s="155" t="s">
        <v>407</v>
      </c>
      <c r="U105" s="137"/>
    </row>
    <row r="106" spans="1:21" x14ac:dyDescent="0.3">
      <c r="A106" s="143">
        <v>121</v>
      </c>
      <c r="B106" s="137"/>
      <c r="C106" s="137"/>
      <c r="D106" s="138"/>
      <c r="E106" s="139"/>
      <c r="F106" s="137"/>
      <c r="G106" s="137"/>
      <c r="H106" s="137"/>
      <c r="I106" s="117"/>
      <c r="J106" s="117"/>
      <c r="K106" s="117"/>
      <c r="L106" s="137"/>
      <c r="M106" s="137"/>
      <c r="N106" s="117"/>
      <c r="O106" s="137"/>
      <c r="P106" s="220"/>
      <c r="Q106" s="122"/>
      <c r="R106" s="137"/>
      <c r="S106" s="219"/>
      <c r="T106" s="221"/>
      <c r="U106" s="137"/>
    </row>
    <row r="107" spans="1:21" x14ac:dyDescent="0.3">
      <c r="A107" s="143">
        <v>120</v>
      </c>
      <c r="B107" s="148" t="str">
        <f>IF(INDEX(MO_SNA_IsHistoricalPeriod,,MATCH(F107,MO_Common_ColumnHeader,0)),"Historical","Forward")</f>
        <v>Historical</v>
      </c>
      <c r="C107" s="137"/>
      <c r="D107" s="152" t="s">
        <v>545</v>
      </c>
      <c r="E107" s="149"/>
      <c r="F107" s="148" t="s">
        <v>732</v>
      </c>
      <c r="G107" s="148"/>
      <c r="H107" s="137"/>
      <c r="I107" s="150">
        <v>-110</v>
      </c>
      <c r="J107" s="150">
        <v>-110</v>
      </c>
      <c r="K107" s="150">
        <f>AVERAGE(I107:J107)</f>
        <v>-110</v>
      </c>
      <c r="L107" s="137"/>
      <c r="M107" s="148" t="str">
        <f>IF(INDEX(MO_SNA_IsHistoricalPeriod,,MATCH(F107,MO_Common_ColumnHeader,0)),"Actual","Estimate")</f>
        <v>Actual</v>
      </c>
      <c r="N107" s="150"/>
      <c r="O107" s="137"/>
      <c r="P107" s="153"/>
      <c r="Q107" s="154"/>
      <c r="R107" s="137"/>
      <c r="S107" s="151">
        <v>45135</v>
      </c>
      <c r="T107" s="155" t="s">
        <v>407</v>
      </c>
      <c r="U107" s="137"/>
    </row>
    <row r="108" spans="1:21" x14ac:dyDescent="0.3">
      <c r="A108" s="143">
        <v>119</v>
      </c>
      <c r="B108" s="148" t="str">
        <f t="shared" ref="B108" si="61">IF(INDEX(MO_SNA_IsHistoricalPeriod,,MATCH(F108,MO_Common_ColumnHeader,0)),"Historical","Forward")</f>
        <v>Historical</v>
      </c>
      <c r="C108" s="137"/>
      <c r="D108" s="152" t="s">
        <v>607</v>
      </c>
      <c r="E108" s="149"/>
      <c r="F108" s="148" t="s">
        <v>732</v>
      </c>
      <c r="G108" s="148"/>
      <c r="H108" s="137"/>
      <c r="I108" s="150">
        <v>-50</v>
      </c>
      <c r="J108" s="150">
        <v>-150</v>
      </c>
      <c r="K108" s="150">
        <f t="shared" ref="K108" si="62">AVERAGE(I108:J108)</f>
        <v>-100</v>
      </c>
      <c r="L108" s="137"/>
      <c r="M108" s="148" t="str">
        <f t="shared" ref="M108" si="63">IF(INDEX(MO_SNA_IsHistoricalPeriod,,MATCH(F108,MO_Common_ColumnHeader,0)),"Actual","Estimate")</f>
        <v>Actual</v>
      </c>
      <c r="N108" s="150"/>
      <c r="O108" s="137"/>
      <c r="P108" s="153"/>
      <c r="Q108" s="154"/>
      <c r="R108" s="137"/>
      <c r="S108" s="151">
        <v>45135</v>
      </c>
      <c r="T108" s="155" t="s">
        <v>407</v>
      </c>
      <c r="U108" s="137"/>
    </row>
    <row r="109" spans="1:21" x14ac:dyDescent="0.3">
      <c r="A109" s="143">
        <v>118</v>
      </c>
      <c r="B109" s="137"/>
      <c r="C109" s="137"/>
      <c r="D109" s="138"/>
      <c r="E109" s="139"/>
      <c r="F109" s="137"/>
      <c r="G109" s="137"/>
      <c r="H109" s="137"/>
      <c r="I109" s="117"/>
      <c r="J109" s="117"/>
      <c r="K109" s="117"/>
      <c r="L109" s="137"/>
      <c r="M109" s="137"/>
      <c r="N109" s="117"/>
      <c r="O109" s="137"/>
      <c r="P109" s="220"/>
      <c r="Q109" s="122"/>
      <c r="R109" s="137"/>
      <c r="S109" s="219"/>
      <c r="T109" s="221"/>
      <c r="U109" s="137"/>
    </row>
    <row r="110" spans="1:21" x14ac:dyDescent="0.3">
      <c r="A110" s="143">
        <v>117</v>
      </c>
      <c r="B110" s="148" t="str">
        <f>IF(INDEX(MO_SNA_IsHistoricalPeriod,,MATCH(F110,MO_Common_ColumnHeader,0)),"Historical","Forward")</f>
        <v>Historical</v>
      </c>
      <c r="C110" s="137"/>
      <c r="D110" s="152" t="s">
        <v>545</v>
      </c>
      <c r="E110" s="149"/>
      <c r="F110" s="148" t="s">
        <v>730</v>
      </c>
      <c r="G110" s="148"/>
      <c r="H110" s="137"/>
      <c r="I110" s="150">
        <v>-80</v>
      </c>
      <c r="J110" s="150">
        <v>-80</v>
      </c>
      <c r="K110" s="150">
        <f>AVERAGE(I110:J110)</f>
        <v>-80</v>
      </c>
      <c r="L110" s="137"/>
      <c r="M110" s="148" t="str">
        <f>IF(INDEX(MO_SNA_IsHistoricalPeriod,,MATCH(F110,MO_Common_ColumnHeader,0)),"Actual","Estimate")</f>
        <v>Actual</v>
      </c>
      <c r="N110" s="150"/>
      <c r="O110" s="137"/>
      <c r="P110" s="153"/>
      <c r="Q110" s="154"/>
      <c r="R110" s="137"/>
      <c r="S110" s="151">
        <v>45044</v>
      </c>
      <c r="T110" s="155" t="s">
        <v>407</v>
      </c>
      <c r="U110" s="137"/>
    </row>
    <row r="111" spans="1:21" x14ac:dyDescent="0.3">
      <c r="A111" s="143">
        <v>116</v>
      </c>
      <c r="B111" s="148" t="str">
        <f t="shared" ref="B111" si="64">IF(INDEX(MO_SNA_IsHistoricalPeriod,,MATCH(F111,MO_Common_ColumnHeader,0)),"Historical","Forward")</f>
        <v>Historical</v>
      </c>
      <c r="C111" s="137"/>
      <c r="D111" s="152" t="s">
        <v>607</v>
      </c>
      <c r="E111" s="149"/>
      <c r="F111" s="148" t="s">
        <v>730</v>
      </c>
      <c r="G111" s="148"/>
      <c r="H111" s="137"/>
      <c r="I111" s="150">
        <v>-250</v>
      </c>
      <c r="J111" s="150">
        <v>-350</v>
      </c>
      <c r="K111" s="150">
        <f t="shared" ref="K111" si="65">AVERAGE(I111:J111)</f>
        <v>-300</v>
      </c>
      <c r="L111" s="137"/>
      <c r="M111" s="148" t="str">
        <f t="shared" ref="M111" si="66">IF(INDEX(MO_SNA_IsHistoricalPeriod,,MATCH(F111,MO_Common_ColumnHeader,0)),"Actual","Estimate")</f>
        <v>Actual</v>
      </c>
      <c r="N111" s="150"/>
      <c r="O111" s="137"/>
      <c r="P111" s="153"/>
      <c r="Q111" s="154"/>
      <c r="R111" s="137"/>
      <c r="S111" s="151">
        <v>45044</v>
      </c>
      <c r="T111" s="155" t="s">
        <v>407</v>
      </c>
      <c r="U111" s="137"/>
    </row>
    <row r="112" spans="1:21" x14ac:dyDescent="0.3">
      <c r="A112" s="143">
        <v>115</v>
      </c>
      <c r="B112" s="137"/>
      <c r="C112" s="137"/>
      <c r="D112" s="138"/>
      <c r="E112" s="139"/>
      <c r="F112" s="137"/>
      <c r="G112" s="137"/>
      <c r="H112" s="137"/>
      <c r="I112" s="117"/>
      <c r="J112" s="117"/>
      <c r="K112" s="117"/>
      <c r="L112" s="137"/>
      <c r="M112" s="137"/>
      <c r="N112" s="117"/>
      <c r="O112" s="137"/>
      <c r="P112" s="220"/>
      <c r="Q112" s="122"/>
      <c r="R112" s="137"/>
      <c r="S112" s="219"/>
      <c r="T112" s="221"/>
      <c r="U112" s="137"/>
    </row>
    <row r="113" spans="1:21" x14ac:dyDescent="0.3">
      <c r="A113" s="143">
        <v>114</v>
      </c>
      <c r="B113" s="148" t="str">
        <f>IF(INDEX(MO_SNA_IsHistoricalPeriod,,MATCH(F113,MO_Common_ColumnHeader,0)),"Historical","Forward")</f>
        <v>Historical</v>
      </c>
      <c r="C113" s="137"/>
      <c r="D113" s="152" t="s">
        <v>404</v>
      </c>
      <c r="E113" s="149" t="s">
        <v>405</v>
      </c>
      <c r="F113" s="148" t="s">
        <v>553</v>
      </c>
      <c r="G113" s="148"/>
      <c r="H113" s="137"/>
      <c r="I113" s="218">
        <v>0</v>
      </c>
      <c r="J113" s="218">
        <v>0.03</v>
      </c>
      <c r="K113" s="218">
        <f>AVERAGE(I113:J113)</f>
        <v>1.4999999999999999E-2</v>
      </c>
      <c r="L113" s="137"/>
      <c r="M113" s="148" t="str">
        <f>IF(INDEX(MO_SNA_IsHistoricalPeriod,,MATCH(F113,MO_Common_ColumnHeader,0)),"Actual","Estimate")</f>
        <v>Actual</v>
      </c>
      <c r="N113" s="218">
        <f>INDEX(MO_OS_Energy_AverageDailyProduction_Total,0,MATCH(F113,MO_Common_ColumnHeader,0))/INDEX(MO_OS_Energy_AverageDailyProduction_Total,0,MATCH("FY2022",MO_Common_ColumnHeader,0))-1</f>
        <v>4.0337815312812442E-2</v>
      </c>
      <c r="O113" s="137"/>
      <c r="P113" s="154">
        <f>IF(ISNUMBER(N113),N113-K113,"N/A")</f>
        <v>2.5337815312812442E-2</v>
      </c>
      <c r="Q113" s="154">
        <f>IFERROR(IF(ISNUMBER(N113),(N113-K113)/ABS(K113),"N/A"),"N/A")</f>
        <v>1.6891876875208296</v>
      </c>
      <c r="R113" s="137"/>
      <c r="S113" s="151">
        <v>44953</v>
      </c>
      <c r="T113" s="155" t="s">
        <v>407</v>
      </c>
      <c r="U113" s="137"/>
    </row>
    <row r="114" spans="1:21" x14ac:dyDescent="0.3">
      <c r="A114" s="143">
        <v>113</v>
      </c>
      <c r="B114" s="148" t="str">
        <f>IF(INDEX(MO_SNA_IsHistoricalPeriod,,MATCH(F114,MO_Common_ColumnHeader,0)),"Historical","Forward")</f>
        <v>Historical</v>
      </c>
      <c r="C114" s="137"/>
      <c r="D114" s="152" t="str">
        <f ca="1">INDEX(INDIRECT(E114),0,COLUMN(MO_Common_Column_A))</f>
        <v>All other adjusted earnings, mm</v>
      </c>
      <c r="E114" s="149" t="s">
        <v>656</v>
      </c>
      <c r="F114" s="148" t="s">
        <v>553</v>
      </c>
      <c r="G114" s="148"/>
      <c r="H114" s="137"/>
      <c r="I114" s="150">
        <v>-2000</v>
      </c>
      <c r="J114" s="150">
        <v>-2000</v>
      </c>
      <c r="K114" s="150">
        <f>AVERAGE(I114:J114)</f>
        <v>-2000</v>
      </c>
      <c r="L114" s="137"/>
      <c r="M114" s="148" t="str">
        <f>IF(INDEX(MO_SNA_IsHistoricalPeriod,,MATCH(F114,MO_Common_ColumnHeader,0)),"Actual","Estimate")</f>
        <v>Actual</v>
      </c>
      <c r="N114" s="150"/>
      <c r="O114" s="137"/>
      <c r="P114" s="153"/>
      <c r="Q114" s="154"/>
      <c r="R114" s="137"/>
      <c r="S114" s="151">
        <v>44953</v>
      </c>
      <c r="T114" s="155" t="s">
        <v>407</v>
      </c>
      <c r="U114" s="137"/>
    </row>
    <row r="115" spans="1:21" x14ac:dyDescent="0.3">
      <c r="A115" s="143">
        <v>112</v>
      </c>
      <c r="B115" s="148" t="str">
        <f>IF(INDEX(MO_SNA_IsHistoricalPeriod,,MATCH(F115,MO_Common_ColumnHeader,0)),"Historical","Forward")</f>
        <v>Historical</v>
      </c>
      <c r="C115" s="137"/>
      <c r="D115" s="152" t="s">
        <v>614</v>
      </c>
      <c r="E115" s="149"/>
      <c r="F115" s="148" t="s">
        <v>553</v>
      </c>
      <c r="G115" s="148"/>
      <c r="H115" s="137"/>
      <c r="I115" s="150">
        <v>-14000</v>
      </c>
      <c r="J115" s="150">
        <v>-14000</v>
      </c>
      <c r="K115" s="150">
        <f>AVERAGE(I115:J115)</f>
        <v>-14000</v>
      </c>
      <c r="L115" s="137"/>
      <c r="M115" s="148" t="str">
        <f>IF(INDEX(MO_SNA_IsHistoricalPeriod,,MATCH(F115,MO_Common_ColumnHeader,0)),"Actual","Estimate")</f>
        <v>Actual</v>
      </c>
      <c r="N115" s="150"/>
      <c r="O115" s="137"/>
      <c r="P115" s="153"/>
      <c r="Q115" s="154"/>
      <c r="R115" s="137"/>
      <c r="S115" s="151">
        <v>44953</v>
      </c>
      <c r="T115" s="155" t="s">
        <v>407</v>
      </c>
      <c r="U115" s="137"/>
    </row>
    <row r="116" spans="1:21" x14ac:dyDescent="0.3">
      <c r="A116" s="143">
        <v>111</v>
      </c>
      <c r="B116" s="148" t="str">
        <f t="shared" ref="B116" si="67">IF(INDEX(MO_SNA_IsHistoricalPeriod,,MATCH(F116,MO_Common_ColumnHeader,0)),"Historical","Forward")</f>
        <v>Historical</v>
      </c>
      <c r="C116" s="137"/>
      <c r="D116" s="152" t="s">
        <v>721</v>
      </c>
      <c r="E116" s="149"/>
      <c r="F116" s="148" t="s">
        <v>553</v>
      </c>
      <c r="G116" s="148"/>
      <c r="H116" s="137"/>
      <c r="I116" s="150">
        <v>-3000</v>
      </c>
      <c r="J116" s="150">
        <v>-3000</v>
      </c>
      <c r="K116" s="150">
        <f t="shared" ref="K116" si="68">AVERAGE(I116:J116)</f>
        <v>-3000</v>
      </c>
      <c r="L116" s="137"/>
      <c r="M116" s="148" t="str">
        <f t="shared" ref="M116" si="69">IF(INDEX(MO_SNA_IsHistoricalPeriod,,MATCH(F116,MO_Common_ColumnHeader,0)),"Actual","Estimate")</f>
        <v>Actual</v>
      </c>
      <c r="N116" s="150"/>
      <c r="O116" s="137"/>
      <c r="P116" s="153"/>
      <c r="Q116" s="154"/>
      <c r="R116" s="137"/>
      <c r="S116" s="151">
        <v>44953</v>
      </c>
      <c r="T116" s="155" t="s">
        <v>407</v>
      </c>
      <c r="U116" s="137"/>
    </row>
    <row r="117" spans="1:21" x14ac:dyDescent="0.3">
      <c r="A117" s="143">
        <v>110</v>
      </c>
      <c r="B117" s="137"/>
      <c r="C117" s="137"/>
      <c r="D117" s="138"/>
      <c r="E117" s="139"/>
      <c r="F117" s="137"/>
      <c r="G117" s="137"/>
      <c r="H117" s="137"/>
      <c r="I117" s="117"/>
      <c r="J117" s="117"/>
      <c r="K117" s="117"/>
      <c r="L117" s="137"/>
      <c r="M117" s="137"/>
      <c r="N117" s="117"/>
      <c r="O117" s="137"/>
      <c r="P117" s="220"/>
      <c r="Q117" s="122"/>
      <c r="R117" s="137"/>
      <c r="S117" s="219"/>
      <c r="T117" s="221"/>
      <c r="U117" s="137"/>
    </row>
    <row r="118" spans="1:21" x14ac:dyDescent="0.3">
      <c r="A118" s="143">
        <v>109</v>
      </c>
      <c r="B118" s="148" t="str">
        <f>IF(INDEX(MO_SNA_IsHistoricalPeriod,,MATCH(F118,MO_Common_ColumnHeader,0)),"Historical","Forward")</f>
        <v>Historical</v>
      </c>
      <c r="C118" s="137"/>
      <c r="D118" s="152" t="s">
        <v>545</v>
      </c>
      <c r="E118" s="149"/>
      <c r="F118" s="148" t="s">
        <v>719</v>
      </c>
      <c r="G118" s="148"/>
      <c r="H118" s="137"/>
      <c r="I118" s="150">
        <v>-25</v>
      </c>
      <c r="J118" s="150">
        <v>-25</v>
      </c>
      <c r="K118" s="150">
        <f>AVERAGE(I118:J118)</f>
        <v>-25</v>
      </c>
      <c r="L118" s="137"/>
      <c r="M118" s="148" t="str">
        <f>IF(INDEX(MO_SNA_IsHistoricalPeriod,,MATCH(F118,MO_Common_ColumnHeader,0)),"Actual","Estimate")</f>
        <v>Actual</v>
      </c>
      <c r="N118" s="150"/>
      <c r="O118" s="137"/>
      <c r="P118" s="153"/>
      <c r="Q118" s="154"/>
      <c r="R118" s="137"/>
      <c r="S118" s="151">
        <v>44953</v>
      </c>
      <c r="T118" s="155" t="s">
        <v>407</v>
      </c>
      <c r="U118" s="137"/>
    </row>
    <row r="119" spans="1:21" x14ac:dyDescent="0.3">
      <c r="A119" s="143">
        <v>108</v>
      </c>
      <c r="B119" s="148" t="str">
        <f t="shared" ref="B119" si="70">IF(INDEX(MO_SNA_IsHistoricalPeriod,,MATCH(F119,MO_Common_ColumnHeader,0)),"Historical","Forward")</f>
        <v>Historical</v>
      </c>
      <c r="C119" s="137"/>
      <c r="D119" s="152" t="s">
        <v>607</v>
      </c>
      <c r="E119" s="149"/>
      <c r="F119" s="148" t="s">
        <v>719</v>
      </c>
      <c r="G119" s="148"/>
      <c r="H119" s="137"/>
      <c r="I119" s="150">
        <v>-200</v>
      </c>
      <c r="J119" s="150">
        <v>-300</v>
      </c>
      <c r="K119" s="150">
        <f t="shared" ref="K119" si="71">AVERAGE(I119:J119)</f>
        <v>-250</v>
      </c>
      <c r="L119" s="137"/>
      <c r="M119" s="148" t="str">
        <f t="shared" ref="M119" si="72">IF(INDEX(MO_SNA_IsHistoricalPeriod,,MATCH(F119,MO_Common_ColumnHeader,0)),"Actual","Estimate")</f>
        <v>Actual</v>
      </c>
      <c r="N119" s="150"/>
      <c r="O119" s="137"/>
      <c r="P119" s="153"/>
      <c r="Q119" s="154"/>
      <c r="R119" s="137"/>
      <c r="S119" s="151">
        <v>44953</v>
      </c>
      <c r="T119" s="155" t="s">
        <v>407</v>
      </c>
      <c r="U119" s="137"/>
    </row>
    <row r="120" spans="1:21" x14ac:dyDescent="0.3">
      <c r="A120" s="143">
        <v>107</v>
      </c>
      <c r="B120" s="148" t="str">
        <f t="shared" ref="B120" si="73">IF(INDEX(MO_SNA_IsHistoricalPeriod,,MATCH(F120,MO_Common_ColumnHeader,0)),"Historical","Forward")</f>
        <v>Historical</v>
      </c>
      <c r="C120" s="137"/>
      <c r="D120" s="152" t="s">
        <v>720</v>
      </c>
      <c r="E120" s="149"/>
      <c r="F120" s="148" t="s">
        <v>719</v>
      </c>
      <c r="G120" s="148"/>
      <c r="H120" s="137"/>
      <c r="I120" s="150">
        <v>-200</v>
      </c>
      <c r="J120" s="150">
        <v>-200</v>
      </c>
      <c r="K120" s="150">
        <f t="shared" ref="K120" si="74">AVERAGE(I120:J120)</f>
        <v>-200</v>
      </c>
      <c r="L120" s="137"/>
      <c r="M120" s="148" t="str">
        <f t="shared" ref="M120" si="75">IF(INDEX(MO_SNA_IsHistoricalPeriod,,MATCH(F120,MO_Common_ColumnHeader,0)),"Actual","Estimate")</f>
        <v>Actual</v>
      </c>
      <c r="N120" s="150"/>
      <c r="O120" s="137"/>
      <c r="P120" s="153"/>
      <c r="Q120" s="154"/>
      <c r="R120" s="137"/>
      <c r="S120" s="151">
        <v>44953</v>
      </c>
      <c r="T120" s="155" t="s">
        <v>407</v>
      </c>
      <c r="U120" s="137"/>
    </row>
    <row r="121" spans="1:21" x14ac:dyDescent="0.3">
      <c r="A121" s="143">
        <v>106</v>
      </c>
      <c r="B121" s="137"/>
      <c r="C121" s="137"/>
      <c r="D121" s="138"/>
      <c r="E121" s="139"/>
      <c r="F121" s="137"/>
      <c r="G121" s="137"/>
      <c r="H121" s="137"/>
      <c r="I121" s="117"/>
      <c r="J121" s="117"/>
      <c r="K121" s="117"/>
      <c r="L121" s="137"/>
      <c r="M121" s="137"/>
      <c r="N121" s="117"/>
      <c r="O121" s="137"/>
      <c r="P121" s="220"/>
      <c r="Q121" s="122"/>
      <c r="R121" s="137"/>
      <c r="S121" s="219"/>
      <c r="T121" s="221"/>
      <c r="U121" s="137"/>
    </row>
    <row r="122" spans="1:21" x14ac:dyDescent="0.3">
      <c r="A122" s="143">
        <v>105</v>
      </c>
      <c r="B122" s="148" t="str">
        <f>IF(INDEX(MO_SNA_IsHistoricalPeriod,,MATCH(F122,MO_Common_ColumnHeader,0)),"Historical","Forward")</f>
        <v>Historical</v>
      </c>
      <c r="C122" s="137"/>
      <c r="D122" s="152" t="s">
        <v>611</v>
      </c>
      <c r="E122" s="149" t="s">
        <v>612</v>
      </c>
      <c r="F122" s="148" t="s">
        <v>717</v>
      </c>
      <c r="G122" s="148"/>
      <c r="H122" s="137"/>
      <c r="I122" s="150">
        <v>-3750</v>
      </c>
      <c r="J122" s="150">
        <v>-3750</v>
      </c>
      <c r="K122" s="150">
        <f>AVERAGE(I122:J122)</f>
        <v>-3750</v>
      </c>
      <c r="L122" s="137"/>
      <c r="M122" s="148" t="str">
        <f>IF(INDEX(MO_SNA_IsHistoricalPeriod,,MATCH(F122,MO_Common_ColumnHeader,0)),"Actual","Estimate")</f>
        <v>Actual</v>
      </c>
      <c r="N122" s="150">
        <f ca="1">IFERROR(INDEX(INDIRECT(E122),0,MATCH(F122,MO_Common_ColumnHeader,0)),"N/A")</f>
        <v>-3417</v>
      </c>
      <c r="O122" s="137"/>
      <c r="P122" s="153">
        <f ca="1">IF(ISNUMBER(N122),N122-K122,"N/A")</f>
        <v>333</v>
      </c>
      <c r="Q122" s="154">
        <f ca="1">IFERROR(IF(ISNUMBER(N122),(N122-K122)/ABS(K122),"N/A"),"N/A")</f>
        <v>8.8800000000000004E-2</v>
      </c>
      <c r="R122" s="137"/>
      <c r="S122" s="151">
        <v>44862</v>
      </c>
      <c r="T122" s="155" t="s">
        <v>407</v>
      </c>
      <c r="U122" s="137"/>
    </row>
    <row r="123" spans="1:21" x14ac:dyDescent="0.3">
      <c r="A123" s="143">
        <v>104</v>
      </c>
      <c r="B123" s="148" t="str">
        <f t="shared" ref="B123:B124" si="76">IF(INDEX(MO_SNA_IsHistoricalPeriod,,MATCH(F123,MO_Common_ColumnHeader,0)),"Historical","Forward")</f>
        <v>Historical</v>
      </c>
      <c r="C123" s="137"/>
      <c r="D123" s="152" t="s">
        <v>545</v>
      </c>
      <c r="E123" s="149"/>
      <c r="F123" s="148" t="s">
        <v>717</v>
      </c>
      <c r="G123" s="148"/>
      <c r="H123" s="137"/>
      <c r="I123" s="150">
        <v>-40</v>
      </c>
      <c r="J123" s="150">
        <v>-40</v>
      </c>
      <c r="K123" s="150">
        <f t="shared" ref="K123:K124" si="77">AVERAGE(I123:J123)</f>
        <v>-40</v>
      </c>
      <c r="L123" s="137"/>
      <c r="M123" s="148" t="str">
        <f t="shared" ref="M123:M124" si="78">IF(INDEX(MO_SNA_IsHistoricalPeriod,,MATCH(F123,MO_Common_ColumnHeader,0)),"Actual","Estimate")</f>
        <v>Actual</v>
      </c>
      <c r="N123" s="150"/>
      <c r="O123" s="137"/>
      <c r="P123" s="153"/>
      <c r="Q123" s="154"/>
      <c r="R123" s="137"/>
      <c r="S123" s="151">
        <v>44862</v>
      </c>
      <c r="T123" s="155" t="s">
        <v>407</v>
      </c>
      <c r="U123" s="137"/>
    </row>
    <row r="124" spans="1:21" x14ac:dyDescent="0.3">
      <c r="A124" s="143">
        <v>103</v>
      </c>
      <c r="B124" s="148" t="str">
        <f t="shared" si="76"/>
        <v>Historical</v>
      </c>
      <c r="C124" s="137"/>
      <c r="D124" s="152" t="s">
        <v>607</v>
      </c>
      <c r="E124" s="149"/>
      <c r="F124" s="148" t="s">
        <v>717</v>
      </c>
      <c r="G124" s="148"/>
      <c r="H124" s="137"/>
      <c r="I124" s="150">
        <v>-100</v>
      </c>
      <c r="J124" s="150">
        <v>-200</v>
      </c>
      <c r="K124" s="150">
        <f t="shared" si="77"/>
        <v>-150</v>
      </c>
      <c r="L124" s="137"/>
      <c r="M124" s="148" t="str">
        <f t="shared" si="78"/>
        <v>Actual</v>
      </c>
      <c r="N124" s="150"/>
      <c r="O124" s="137"/>
      <c r="P124" s="153"/>
      <c r="Q124" s="154"/>
      <c r="R124" s="137"/>
      <c r="S124" s="151">
        <v>44862</v>
      </c>
      <c r="T124" s="155" t="s">
        <v>407</v>
      </c>
      <c r="U124" s="137"/>
    </row>
    <row r="125" spans="1:21" x14ac:dyDescent="0.3">
      <c r="A125" s="143">
        <v>102</v>
      </c>
      <c r="B125" s="137"/>
      <c r="C125" s="137"/>
      <c r="D125" s="138"/>
      <c r="E125" s="139"/>
      <c r="F125" s="137"/>
      <c r="G125" s="137"/>
      <c r="H125" s="137"/>
      <c r="I125" s="117"/>
      <c r="J125" s="117"/>
      <c r="K125" s="117"/>
      <c r="L125" s="137"/>
      <c r="M125" s="137"/>
      <c r="N125" s="117"/>
      <c r="O125" s="137"/>
      <c r="P125" s="220"/>
      <c r="Q125" s="122"/>
      <c r="R125" s="137"/>
      <c r="S125" s="219"/>
      <c r="T125" s="221"/>
      <c r="U125" s="137"/>
    </row>
    <row r="126" spans="1:21" x14ac:dyDescent="0.3">
      <c r="A126" s="143">
        <v>101</v>
      </c>
      <c r="B126" s="148" t="str">
        <f>IF(INDEX(MO_SNA_IsHistoricalPeriod,,MATCH(F126,MO_Common_ColumnHeader,0)),"Historical","Forward")</f>
        <v>Historical</v>
      </c>
      <c r="C126" s="137"/>
      <c r="D126" s="152" t="s">
        <v>611</v>
      </c>
      <c r="E126" s="149" t="s">
        <v>612</v>
      </c>
      <c r="F126" s="148" t="s">
        <v>700</v>
      </c>
      <c r="G126" s="148"/>
      <c r="H126" s="137"/>
      <c r="I126" s="150">
        <v>-3750</v>
      </c>
      <c r="J126" s="150">
        <v>-3750</v>
      </c>
      <c r="K126" s="150">
        <f>AVERAGE(I126:J126)</f>
        <v>-3750</v>
      </c>
      <c r="L126" s="137"/>
      <c r="M126" s="148" t="str">
        <f>IF(INDEX(MO_SNA_IsHistoricalPeriod,,MATCH(F126,MO_Common_ColumnHeader,0)),"Actual","Estimate")</f>
        <v>Actual</v>
      </c>
      <c r="N126" s="150">
        <f ca="1">IFERROR(INDEX(INDIRECT(E126),0,MATCH(F126,MO_Common_ColumnHeader,0)),"N/A")</f>
        <v>-3697</v>
      </c>
      <c r="O126" s="137"/>
      <c r="P126" s="153">
        <f ca="1">IF(ISNUMBER(N126),N126-K126,"N/A")</f>
        <v>53</v>
      </c>
      <c r="Q126" s="154">
        <f ca="1">IFERROR(IF(ISNUMBER(N126),(N126-K126)/ABS(K126),"N/A"),"N/A")</f>
        <v>1.4133333333333333E-2</v>
      </c>
      <c r="R126" s="137"/>
      <c r="S126" s="151">
        <v>44771</v>
      </c>
      <c r="T126" s="155" t="s">
        <v>407</v>
      </c>
      <c r="U126" s="137"/>
    </row>
    <row r="127" spans="1:21" x14ac:dyDescent="0.3">
      <c r="A127" s="143">
        <v>100</v>
      </c>
      <c r="B127" s="148" t="str">
        <f t="shared" ref="B127" si="79">IF(INDEX(MO_SNA_IsHistoricalPeriod,,MATCH(F127,MO_Common_ColumnHeader,0)),"Historical","Forward")</f>
        <v>Historical</v>
      </c>
      <c r="C127" s="137"/>
      <c r="D127" s="152" t="s">
        <v>545</v>
      </c>
      <c r="E127" s="149"/>
      <c r="F127" s="148" t="s">
        <v>700</v>
      </c>
      <c r="G127" s="148"/>
      <c r="H127" s="137"/>
      <c r="I127" s="150">
        <v>-50</v>
      </c>
      <c r="J127" s="150">
        <v>-50</v>
      </c>
      <c r="K127" s="150">
        <f t="shared" ref="K127" si="80">AVERAGE(I127:J127)</f>
        <v>-50</v>
      </c>
      <c r="L127" s="137"/>
      <c r="M127" s="148" t="str">
        <f t="shared" ref="M127" si="81">IF(INDEX(MO_SNA_IsHistoricalPeriod,,MATCH(F127,MO_Common_ColumnHeader,0)),"Actual","Estimate")</f>
        <v>Actual</v>
      </c>
      <c r="N127" s="150"/>
      <c r="O127" s="137"/>
      <c r="P127" s="153"/>
      <c r="Q127" s="154"/>
      <c r="R127" s="137"/>
      <c r="S127" s="151">
        <v>44771</v>
      </c>
      <c r="T127" s="155" t="s">
        <v>407</v>
      </c>
      <c r="U127" s="137"/>
    </row>
    <row r="128" spans="1:21" x14ac:dyDescent="0.3">
      <c r="A128" s="143">
        <v>99</v>
      </c>
      <c r="B128" s="148" t="str">
        <f t="shared" ref="B128" si="82">IF(INDEX(MO_SNA_IsHistoricalPeriod,,MATCH(F128,MO_Common_ColumnHeader,0)),"Historical","Forward")</f>
        <v>Historical</v>
      </c>
      <c r="C128" s="137"/>
      <c r="D128" s="152" t="s">
        <v>607</v>
      </c>
      <c r="E128" s="149"/>
      <c r="F128" s="148" t="s">
        <v>700</v>
      </c>
      <c r="G128" s="148"/>
      <c r="H128" s="137"/>
      <c r="I128" s="150">
        <v>-400</v>
      </c>
      <c r="J128" s="150">
        <v>-500</v>
      </c>
      <c r="K128" s="150">
        <f t="shared" ref="K128" si="83">AVERAGE(I128:J128)</f>
        <v>-450</v>
      </c>
      <c r="L128" s="137"/>
      <c r="M128" s="148" t="str">
        <f t="shared" ref="M128" si="84">IF(INDEX(MO_SNA_IsHistoricalPeriod,,MATCH(F128,MO_Common_ColumnHeader,0)),"Actual","Estimate")</f>
        <v>Actual</v>
      </c>
      <c r="N128" s="150"/>
      <c r="O128" s="137"/>
      <c r="P128" s="153"/>
      <c r="Q128" s="154"/>
      <c r="R128" s="137"/>
      <c r="S128" s="151">
        <v>44771</v>
      </c>
      <c r="T128" s="155" t="s">
        <v>407</v>
      </c>
      <c r="U128" s="137"/>
    </row>
    <row r="129" spans="1:21" x14ac:dyDescent="0.3">
      <c r="A129" s="143">
        <v>98</v>
      </c>
      <c r="B129" s="137"/>
      <c r="C129" s="137"/>
      <c r="D129" s="138"/>
      <c r="E129" s="139"/>
      <c r="F129" s="137"/>
      <c r="G129" s="137"/>
      <c r="H129" s="137"/>
      <c r="I129" s="117"/>
      <c r="J129" s="117"/>
      <c r="K129" s="117"/>
      <c r="L129" s="137"/>
      <c r="M129" s="137"/>
      <c r="N129" s="117"/>
      <c r="O129" s="137"/>
      <c r="P129" s="220"/>
      <c r="Q129" s="122"/>
      <c r="R129" s="137"/>
      <c r="S129" s="219"/>
      <c r="T129" s="221"/>
      <c r="U129" s="137"/>
    </row>
    <row r="130" spans="1:21" x14ac:dyDescent="0.3">
      <c r="A130" s="143">
        <v>97</v>
      </c>
      <c r="B130" s="148" t="str">
        <f>IF(INDEX(MO_SNA_IsHistoricalPeriod,,MATCH(F130,MO_Common_ColumnHeader,0)),"Historical","Forward")</f>
        <v>Historical</v>
      </c>
      <c r="C130" s="137"/>
      <c r="D130" s="152" t="s">
        <v>693</v>
      </c>
      <c r="E130" s="149"/>
      <c r="F130" s="148" t="s">
        <v>552</v>
      </c>
      <c r="G130" s="148"/>
      <c r="H130" s="137"/>
      <c r="I130" s="150">
        <v>700</v>
      </c>
      <c r="J130" s="150">
        <v>750</v>
      </c>
      <c r="K130" s="150">
        <f>AVERAGE(I130:J130)</f>
        <v>725</v>
      </c>
      <c r="L130" s="137"/>
      <c r="M130" s="148" t="str">
        <f>IF(INDEX(MO_SNA_IsHistoricalPeriod,,MATCH(F130,MO_Common_ColumnHeader,0)),"Actual","Estimate")</f>
        <v>Actual</v>
      </c>
      <c r="N130" s="150"/>
      <c r="O130" s="137"/>
      <c r="P130" s="153"/>
      <c r="Q130" s="154"/>
      <c r="R130" s="137"/>
      <c r="S130" s="151">
        <v>44680</v>
      </c>
      <c r="T130" s="155" t="s">
        <v>407</v>
      </c>
      <c r="U130" s="137"/>
    </row>
    <row r="131" spans="1:21" x14ac:dyDescent="0.3">
      <c r="A131" s="143">
        <v>96</v>
      </c>
      <c r="B131" s="137"/>
      <c r="C131" s="137"/>
      <c r="D131" s="138"/>
      <c r="E131" s="139"/>
      <c r="F131" s="137"/>
      <c r="G131" s="137"/>
      <c r="H131" s="137"/>
      <c r="I131" s="117"/>
      <c r="J131" s="117"/>
      <c r="K131" s="117"/>
      <c r="L131" s="137"/>
      <c r="M131" s="137"/>
      <c r="N131" s="117"/>
      <c r="O131" s="137"/>
      <c r="P131" s="220"/>
      <c r="Q131" s="122"/>
      <c r="R131" s="137"/>
      <c r="S131" s="219"/>
      <c r="T131" s="221"/>
      <c r="U131" s="137"/>
    </row>
    <row r="132" spans="1:21" x14ac:dyDescent="0.3">
      <c r="A132" s="143">
        <v>95</v>
      </c>
      <c r="B132" s="148" t="str">
        <f t="shared" ref="B132:B137" si="85">IF(INDEX(MO_SNA_IsHistoricalPeriod,,MATCH(F132,MO_Common_ColumnHeader,0)),"Historical","Forward")</f>
        <v>Historical</v>
      </c>
      <c r="C132" s="137"/>
      <c r="D132" s="152" t="s">
        <v>545</v>
      </c>
      <c r="E132" s="149"/>
      <c r="F132" s="148" t="s">
        <v>690</v>
      </c>
      <c r="G132" s="148"/>
      <c r="H132" s="137"/>
      <c r="I132" s="150">
        <v>-160</v>
      </c>
      <c r="J132" s="150">
        <v>-160</v>
      </c>
      <c r="K132" s="150">
        <f t="shared" ref="K132:K137" si="86">AVERAGE(I132:J132)</f>
        <v>-160</v>
      </c>
      <c r="L132" s="137"/>
      <c r="M132" s="148" t="str">
        <f t="shared" ref="M132:M137" si="87">IF(INDEX(MO_SNA_IsHistoricalPeriod,,MATCH(F132,MO_Common_ColumnHeader,0)),"Actual","Estimate")</f>
        <v>Actual</v>
      </c>
      <c r="N132" s="150"/>
      <c r="O132" s="137"/>
      <c r="P132" s="153"/>
      <c r="Q132" s="154"/>
      <c r="R132" s="137"/>
      <c r="S132" s="151">
        <v>44680</v>
      </c>
      <c r="T132" s="155" t="s">
        <v>407</v>
      </c>
      <c r="U132" s="137"/>
    </row>
    <row r="133" spans="1:21" x14ac:dyDescent="0.3">
      <c r="A133" s="143">
        <v>94</v>
      </c>
      <c r="B133" s="148" t="str">
        <f t="shared" si="85"/>
        <v>Historical</v>
      </c>
      <c r="C133" s="137"/>
      <c r="D133" s="152" t="s">
        <v>607</v>
      </c>
      <c r="E133" s="149"/>
      <c r="F133" s="148" t="s">
        <v>690</v>
      </c>
      <c r="G133" s="148"/>
      <c r="H133" s="137"/>
      <c r="I133" s="150">
        <v>-250</v>
      </c>
      <c r="J133" s="150">
        <v>-350</v>
      </c>
      <c r="K133" s="150">
        <f t="shared" si="86"/>
        <v>-300</v>
      </c>
      <c r="L133" s="137"/>
      <c r="M133" s="148" t="str">
        <f t="shared" si="87"/>
        <v>Actual</v>
      </c>
      <c r="N133" s="150"/>
      <c r="O133" s="137"/>
      <c r="P133" s="153"/>
      <c r="Q133" s="154"/>
      <c r="R133" s="137"/>
      <c r="S133" s="151">
        <v>44680</v>
      </c>
      <c r="T133" s="155" t="s">
        <v>407</v>
      </c>
      <c r="U133" s="137"/>
    </row>
    <row r="134" spans="1:21" x14ac:dyDescent="0.3">
      <c r="A134" s="143">
        <v>93</v>
      </c>
      <c r="B134" s="148" t="str">
        <f t="shared" si="85"/>
        <v>Historical</v>
      </c>
      <c r="C134" s="137"/>
      <c r="D134" s="152" t="s">
        <v>611</v>
      </c>
      <c r="E134" s="149" t="s">
        <v>612</v>
      </c>
      <c r="F134" s="148" t="s">
        <v>690</v>
      </c>
      <c r="G134" s="148"/>
      <c r="H134" s="137"/>
      <c r="I134" s="150">
        <v>-2500</v>
      </c>
      <c r="J134" s="150">
        <v>-2500</v>
      </c>
      <c r="K134" s="150">
        <f t="shared" si="86"/>
        <v>-2500</v>
      </c>
      <c r="L134" s="137"/>
      <c r="M134" s="148" t="str">
        <f t="shared" si="87"/>
        <v>Actual</v>
      </c>
      <c r="N134" s="150">
        <f ca="1">IFERROR(INDEX(INDIRECT(E134),0,MATCH(F134,MO_Common_ColumnHeader,0)),"N/A")</f>
        <v>-1689</v>
      </c>
      <c r="O134" s="137"/>
      <c r="P134" s="153">
        <f ca="1">IF(ISNUMBER(N134),N134-K134,"N/A")</f>
        <v>811</v>
      </c>
      <c r="Q134" s="154">
        <f ca="1">IFERROR(IF(ISNUMBER(N134),(N134-K134)/ABS(K134),"N/A"),"N/A")</f>
        <v>0.32440000000000002</v>
      </c>
      <c r="R134" s="137"/>
      <c r="S134" s="151">
        <v>44680</v>
      </c>
      <c r="T134" s="155" t="s">
        <v>407</v>
      </c>
      <c r="U134" s="137"/>
    </row>
    <row r="135" spans="1:21" x14ac:dyDescent="0.3">
      <c r="A135" s="143">
        <v>92</v>
      </c>
      <c r="B135" s="148" t="str">
        <f t="shared" si="85"/>
        <v>Historical</v>
      </c>
      <c r="C135" s="137"/>
      <c r="D135" s="152" t="s">
        <v>691</v>
      </c>
      <c r="E135" s="149"/>
      <c r="F135" s="148" t="s">
        <v>690</v>
      </c>
      <c r="G135" s="148"/>
      <c r="H135" s="137"/>
      <c r="I135" s="150">
        <v>-50</v>
      </c>
      <c r="J135" s="150">
        <v>-50</v>
      </c>
      <c r="K135" s="150">
        <f t="shared" si="86"/>
        <v>-50</v>
      </c>
      <c r="L135" s="137"/>
      <c r="M135" s="148" t="str">
        <f t="shared" si="87"/>
        <v>Actual</v>
      </c>
      <c r="N135" s="150"/>
      <c r="O135" s="137"/>
      <c r="P135" s="153"/>
      <c r="Q135" s="154"/>
      <c r="R135" s="137"/>
      <c r="S135" s="151">
        <v>44680</v>
      </c>
      <c r="T135" s="155" t="s">
        <v>407</v>
      </c>
      <c r="U135" s="137"/>
    </row>
    <row r="136" spans="1:21" x14ac:dyDescent="0.3">
      <c r="A136" s="143">
        <v>91</v>
      </c>
      <c r="B136" s="148" t="str">
        <f t="shared" si="85"/>
        <v>Historical</v>
      </c>
      <c r="C136" s="137"/>
      <c r="D136" s="152" t="s">
        <v>753</v>
      </c>
      <c r="E136" s="149"/>
      <c r="F136" s="148" t="s">
        <v>690</v>
      </c>
      <c r="G136" s="148"/>
      <c r="H136" s="137"/>
      <c r="I136" s="150">
        <v>250</v>
      </c>
      <c r="J136" s="150">
        <v>350</v>
      </c>
      <c r="K136" s="150">
        <f t="shared" si="86"/>
        <v>300</v>
      </c>
      <c r="L136" s="137"/>
      <c r="M136" s="148" t="str">
        <f t="shared" si="87"/>
        <v>Actual</v>
      </c>
      <c r="N136" s="150"/>
      <c r="O136" s="137"/>
      <c r="P136" s="153"/>
      <c r="Q136" s="154"/>
      <c r="R136" s="137"/>
      <c r="S136" s="151">
        <v>44680</v>
      </c>
      <c r="T136" s="155" t="s">
        <v>407</v>
      </c>
      <c r="U136" s="137"/>
    </row>
    <row r="137" spans="1:21" x14ac:dyDescent="0.3">
      <c r="A137" s="143">
        <v>90</v>
      </c>
      <c r="B137" s="148" t="str">
        <f t="shared" si="85"/>
        <v>Historical</v>
      </c>
      <c r="C137" s="137"/>
      <c r="D137" s="152" t="s">
        <v>692</v>
      </c>
      <c r="E137" s="149"/>
      <c r="F137" s="148" t="s">
        <v>690</v>
      </c>
      <c r="G137" s="148"/>
      <c r="H137" s="137"/>
      <c r="I137" s="150">
        <v>-600</v>
      </c>
      <c r="J137" s="150">
        <v>-600</v>
      </c>
      <c r="K137" s="150">
        <f t="shared" si="86"/>
        <v>-600</v>
      </c>
      <c r="L137" s="137"/>
      <c r="M137" s="148" t="str">
        <f t="shared" si="87"/>
        <v>Actual</v>
      </c>
      <c r="N137" s="150"/>
      <c r="O137" s="137"/>
      <c r="P137" s="153"/>
      <c r="Q137" s="154"/>
      <c r="R137" s="137"/>
      <c r="S137" s="151">
        <v>44680</v>
      </c>
      <c r="T137" s="155" t="s">
        <v>407</v>
      </c>
      <c r="U137" s="137"/>
    </row>
    <row r="138" spans="1:21" x14ac:dyDescent="0.3">
      <c r="A138" s="143">
        <v>89</v>
      </c>
      <c r="B138" s="137"/>
      <c r="C138" s="137"/>
      <c r="D138" s="138"/>
      <c r="E138" s="139"/>
      <c r="F138" s="137"/>
      <c r="G138" s="137"/>
      <c r="H138" s="137"/>
      <c r="I138" s="117"/>
      <c r="J138" s="117"/>
      <c r="K138" s="117"/>
      <c r="L138" s="137"/>
      <c r="M138" s="137"/>
      <c r="N138" s="117"/>
      <c r="O138" s="137"/>
      <c r="P138" s="220"/>
      <c r="Q138" s="122"/>
      <c r="R138" s="137"/>
      <c r="S138" s="219"/>
      <c r="T138" s="221"/>
      <c r="U138" s="137"/>
    </row>
    <row r="139" spans="1:21" x14ac:dyDescent="0.3">
      <c r="A139" s="143">
        <v>88</v>
      </c>
      <c r="B139" s="148" t="str">
        <f>IF(INDEX(MO_SNA_IsHistoricalPeriod,,MATCH(F139,MO_Common_ColumnHeader,0)),"Historical","Forward")</f>
        <v>Historical</v>
      </c>
      <c r="C139" s="137"/>
      <c r="D139" s="152" t="s">
        <v>602</v>
      </c>
      <c r="E139" s="149"/>
      <c r="F139" s="148" t="s">
        <v>552</v>
      </c>
      <c r="G139" s="148"/>
      <c r="H139" s="137"/>
      <c r="I139" s="150">
        <v>-15000</v>
      </c>
      <c r="J139" s="150">
        <v>-15000</v>
      </c>
      <c r="K139" s="150">
        <f>AVERAGE(I139:J139)</f>
        <v>-15000</v>
      </c>
      <c r="L139" s="137"/>
      <c r="M139" s="148" t="str">
        <f>IF(INDEX(MO_SNA_IsHistoricalPeriod,,MATCH(F139,MO_Common_ColumnHeader,0)),"Actual","Estimate")</f>
        <v>Actual</v>
      </c>
      <c r="N139" s="150"/>
      <c r="O139" s="137"/>
      <c r="P139" s="153"/>
      <c r="Q139" s="154"/>
      <c r="R139" s="137"/>
      <c r="S139" s="151">
        <v>44616</v>
      </c>
      <c r="T139" s="155" t="s">
        <v>658</v>
      </c>
      <c r="U139" s="137"/>
    </row>
    <row r="140" spans="1:21" x14ac:dyDescent="0.3">
      <c r="A140" s="143">
        <v>87</v>
      </c>
      <c r="B140" s="148" t="str">
        <f>IF(INDEX(MO_SNA_IsHistoricalPeriod,,MATCH(F140,MO_Common_ColumnHeader,0)),"Historical","Forward")</f>
        <v>Historical</v>
      </c>
      <c r="C140" s="137"/>
      <c r="D140" s="152" t="s">
        <v>659</v>
      </c>
      <c r="E140" s="149"/>
      <c r="F140" s="148" t="s">
        <v>552</v>
      </c>
      <c r="G140" s="148"/>
      <c r="H140" s="137"/>
      <c r="I140" s="150">
        <v>-8000</v>
      </c>
      <c r="J140" s="150">
        <v>-8000</v>
      </c>
      <c r="K140" s="150">
        <f>AVERAGE(I140:J140)</f>
        <v>-8000</v>
      </c>
      <c r="L140" s="137"/>
      <c r="M140" s="148" t="str">
        <f>IF(INDEX(MO_SNA_IsHistoricalPeriod,,MATCH(F140,MO_Common_ColumnHeader,0)),"Actual","Estimate")</f>
        <v>Actual</v>
      </c>
      <c r="N140" s="150"/>
      <c r="O140" s="137"/>
      <c r="P140" s="153"/>
      <c r="Q140" s="154"/>
      <c r="R140" s="137"/>
      <c r="S140" s="151">
        <v>44616</v>
      </c>
      <c r="T140" s="155" t="s">
        <v>658</v>
      </c>
      <c r="U140" s="137"/>
    </row>
    <row r="141" spans="1:21" x14ac:dyDescent="0.3">
      <c r="A141" s="143">
        <v>86</v>
      </c>
      <c r="B141" s="148" t="str">
        <f>IF(INDEX(MO_SNA_IsHistoricalPeriod,,MATCH(F141,MO_Common_ColumnHeader,0)),"Historical","Forward")</f>
        <v>Historical</v>
      </c>
      <c r="C141" s="137"/>
      <c r="D141" s="152" t="s">
        <v>660</v>
      </c>
      <c r="E141" s="149"/>
      <c r="F141" s="148" t="s">
        <v>552</v>
      </c>
      <c r="G141" s="148"/>
      <c r="H141" s="137"/>
      <c r="I141" s="150">
        <v>-2300</v>
      </c>
      <c r="J141" s="150">
        <v>-2300</v>
      </c>
      <c r="K141" s="150">
        <f>AVERAGE(I141:J141)</f>
        <v>-2300</v>
      </c>
      <c r="L141" s="137"/>
      <c r="M141" s="148" t="str">
        <f>IF(INDEX(MO_SNA_IsHistoricalPeriod,,MATCH(F141,MO_Common_ColumnHeader,0)),"Actual","Estimate")</f>
        <v>Actual</v>
      </c>
      <c r="N141" s="150"/>
      <c r="O141" s="137"/>
      <c r="P141" s="153"/>
      <c r="Q141" s="154"/>
      <c r="R141" s="137"/>
      <c r="S141" s="151">
        <v>44616</v>
      </c>
      <c r="T141" s="155" t="s">
        <v>658</v>
      </c>
      <c r="U141" s="137"/>
    </row>
    <row r="142" spans="1:21" x14ac:dyDescent="0.3">
      <c r="A142" s="143">
        <v>85</v>
      </c>
      <c r="B142" s="148" t="str">
        <f>IF(INDEX(MO_SNA_IsHistoricalPeriod,,MATCH(F142,MO_Common_ColumnHeader,0)),"Historical","Forward")</f>
        <v>Historical</v>
      </c>
      <c r="C142" s="137"/>
      <c r="D142" s="152" t="s">
        <v>661</v>
      </c>
      <c r="E142" s="149"/>
      <c r="F142" s="148" t="s">
        <v>552</v>
      </c>
      <c r="G142" s="148"/>
      <c r="H142" s="137"/>
      <c r="I142" s="150">
        <v>-400</v>
      </c>
      <c r="J142" s="150">
        <v>-400</v>
      </c>
      <c r="K142" s="150">
        <f>AVERAGE(I142:J142)</f>
        <v>-400</v>
      </c>
      <c r="L142" s="137"/>
      <c r="M142" s="148" t="str">
        <f>IF(INDEX(MO_SNA_IsHistoricalPeriod,,MATCH(F142,MO_Common_ColumnHeader,0)),"Actual","Estimate")</f>
        <v>Actual</v>
      </c>
      <c r="N142" s="150"/>
      <c r="O142" s="137"/>
      <c r="P142" s="153"/>
      <c r="Q142" s="154"/>
      <c r="R142" s="137"/>
      <c r="S142" s="151">
        <v>44616</v>
      </c>
      <c r="T142" s="155" t="s">
        <v>658</v>
      </c>
      <c r="U142" s="137"/>
    </row>
    <row r="143" spans="1:21" x14ac:dyDescent="0.3">
      <c r="A143" s="143">
        <v>84</v>
      </c>
      <c r="B143" s="137"/>
      <c r="C143" s="137"/>
      <c r="D143" s="138"/>
      <c r="E143" s="139"/>
      <c r="F143" s="137"/>
      <c r="G143" s="137"/>
      <c r="H143" s="137"/>
      <c r="I143" s="117"/>
      <c r="J143" s="117"/>
      <c r="K143" s="117"/>
      <c r="L143" s="137"/>
      <c r="M143" s="137"/>
      <c r="N143" s="117"/>
      <c r="O143" s="137"/>
      <c r="P143" s="220"/>
      <c r="Q143" s="122"/>
      <c r="R143" s="137"/>
      <c r="S143" s="219"/>
      <c r="T143" s="221"/>
      <c r="U143" s="137"/>
    </row>
    <row r="144" spans="1:21" x14ac:dyDescent="0.3">
      <c r="A144" s="143">
        <v>83</v>
      </c>
      <c r="B144" s="148" t="str">
        <f>IF(INDEX(MO_SNA_IsHistoricalPeriod,,MATCH(F144,MO_Common_ColumnHeader,0)),"Historical","Forward")</f>
        <v>Historical</v>
      </c>
      <c r="C144" s="137"/>
      <c r="D144" s="152" t="s">
        <v>404</v>
      </c>
      <c r="E144" s="149" t="s">
        <v>405</v>
      </c>
      <c r="F144" s="148" t="s">
        <v>552</v>
      </c>
      <c r="G144" s="148"/>
      <c r="H144" s="137"/>
      <c r="I144" s="218">
        <v>0</v>
      </c>
      <c r="J144" s="218">
        <v>-0.03</v>
      </c>
      <c r="K144" s="218">
        <f>AVERAGE(I144:J144)</f>
        <v>-1.4999999999999999E-2</v>
      </c>
      <c r="L144" s="137"/>
      <c r="M144" s="148" t="str">
        <f>IF(INDEX(MO_SNA_IsHistoricalPeriod,,MATCH(F144,MO_Common_ColumnHeader,0)),"Actual","Estimate")</f>
        <v>Actual</v>
      </c>
      <c r="N144" s="218">
        <f>INDEX(MO_OS_Energy_AverageDailyProduction_Total,0,MATCH(F144,MO_Common_ColumnHeader,0))/INDEX(MO_OS_Energy_AverageDailyProduction_Total,0,MATCH("FY2020",MO_Common_ColumnHeader,0))-1</f>
        <v>-2.702994918369539E-2</v>
      </c>
      <c r="O144" s="137"/>
      <c r="P144" s="154">
        <f>IF(ISNUMBER(N144),N144-K144,"N/A")</f>
        <v>-1.202994918369539E-2</v>
      </c>
      <c r="Q144" s="154">
        <f>IFERROR(IF(ISNUMBER(N144),(N144-K144)/ABS(K144),"N/A"),"N/A")</f>
        <v>-0.80199661224635943</v>
      </c>
      <c r="R144" s="137"/>
      <c r="S144" s="151">
        <v>44589</v>
      </c>
      <c r="T144" s="155" t="s">
        <v>407</v>
      </c>
      <c r="U144" s="137"/>
    </row>
    <row r="145" spans="1:21" x14ac:dyDescent="0.3">
      <c r="A145" s="143">
        <v>82</v>
      </c>
      <c r="B145" s="148" t="str">
        <f>IF(INDEX(MO_SNA_IsHistoricalPeriod,,MATCH(F145,MO_Common_ColumnHeader,0)),"Historical","Forward")</f>
        <v>Historical</v>
      </c>
      <c r="C145" s="137"/>
      <c r="D145" s="152" t="str">
        <f ca="1">INDEX(INDIRECT(E145),0,COLUMN(MO_Common_Column_A))</f>
        <v>All other adjusted earnings, mm</v>
      </c>
      <c r="E145" s="149" t="s">
        <v>656</v>
      </c>
      <c r="F145" s="148" t="s">
        <v>552</v>
      </c>
      <c r="G145" s="148"/>
      <c r="H145" s="137"/>
      <c r="I145" s="150">
        <v>-2200</v>
      </c>
      <c r="J145" s="150">
        <v>-2200</v>
      </c>
      <c r="K145" s="150">
        <f>AVERAGE(I145:J145)</f>
        <v>-2200</v>
      </c>
      <c r="L145" s="137"/>
      <c r="M145" s="148" t="str">
        <f>IF(INDEX(MO_SNA_IsHistoricalPeriod,,MATCH(F145,MO_Common_ColumnHeader,0)),"Actual","Estimate")</f>
        <v>Actual</v>
      </c>
      <c r="N145" s="150"/>
      <c r="O145" s="137"/>
      <c r="P145" s="153"/>
      <c r="Q145" s="154"/>
      <c r="R145" s="137"/>
      <c r="S145" s="151">
        <v>44589</v>
      </c>
      <c r="T145" s="155" t="s">
        <v>407</v>
      </c>
      <c r="U145" s="137"/>
    </row>
    <row r="146" spans="1:21" x14ac:dyDescent="0.3">
      <c r="A146" s="143">
        <v>81</v>
      </c>
      <c r="B146" s="137"/>
      <c r="C146" s="137"/>
      <c r="D146" s="138"/>
      <c r="E146" s="139"/>
      <c r="F146" s="137"/>
      <c r="G146" s="137"/>
      <c r="H146" s="137"/>
      <c r="I146" s="117"/>
      <c r="J146" s="117"/>
      <c r="K146" s="117"/>
      <c r="L146" s="137"/>
      <c r="M146" s="137"/>
      <c r="N146" s="117"/>
      <c r="O146" s="137"/>
      <c r="P146" s="220"/>
      <c r="Q146" s="122"/>
      <c r="R146" s="137"/>
      <c r="S146" s="219"/>
      <c r="T146" s="221"/>
      <c r="U146" s="137"/>
    </row>
    <row r="147" spans="1:21" x14ac:dyDescent="0.3">
      <c r="A147" s="143">
        <v>80</v>
      </c>
      <c r="B147" s="148" t="str">
        <f>IF(INDEX(MO_SNA_IsHistoricalPeriod,,MATCH(F147,MO_Common_ColumnHeader,0)),"Historical","Forward")</f>
        <v>Historical</v>
      </c>
      <c r="C147" s="137"/>
      <c r="D147" s="152" t="s">
        <v>545</v>
      </c>
      <c r="E147" s="149"/>
      <c r="F147" s="148" t="s">
        <v>654</v>
      </c>
      <c r="G147" s="148"/>
      <c r="H147" s="137"/>
      <c r="I147" s="150">
        <v>-40</v>
      </c>
      <c r="J147" s="150">
        <v>-40</v>
      </c>
      <c r="K147" s="150">
        <f>AVERAGE(I147:J147)</f>
        <v>-40</v>
      </c>
      <c r="L147" s="137"/>
      <c r="M147" s="148" t="str">
        <f>IF(INDEX(MO_SNA_IsHistoricalPeriod,,MATCH(F147,MO_Common_ColumnHeader,0)),"Actual","Estimate")</f>
        <v>Actual</v>
      </c>
      <c r="N147" s="150"/>
      <c r="O147" s="137"/>
      <c r="P147" s="153"/>
      <c r="Q147" s="154"/>
      <c r="R147" s="137"/>
      <c r="S147" s="151">
        <v>44589</v>
      </c>
      <c r="T147" s="155" t="s">
        <v>407</v>
      </c>
      <c r="U147" s="137"/>
    </row>
    <row r="148" spans="1:21" x14ac:dyDescent="0.3">
      <c r="A148" s="143">
        <v>79</v>
      </c>
      <c r="B148" s="148" t="str">
        <f>IF(INDEX(MO_SNA_IsHistoricalPeriod,,MATCH(F148,MO_Common_ColumnHeader,0)),"Historical","Forward")</f>
        <v>Historical</v>
      </c>
      <c r="C148" s="137"/>
      <c r="D148" s="152" t="s">
        <v>607</v>
      </c>
      <c r="E148" s="149"/>
      <c r="F148" s="148" t="s">
        <v>654</v>
      </c>
      <c r="G148" s="148"/>
      <c r="H148" s="137"/>
      <c r="I148" s="150">
        <v>-250</v>
      </c>
      <c r="J148" s="150">
        <v>-350</v>
      </c>
      <c r="K148" s="150">
        <f>AVERAGE(I148:J148)</f>
        <v>-300</v>
      </c>
      <c r="L148" s="137"/>
      <c r="M148" s="148" t="str">
        <f>IF(INDEX(MO_SNA_IsHistoricalPeriod,,MATCH(F148,MO_Common_ColumnHeader,0)),"Actual","Estimate")</f>
        <v>Actual</v>
      </c>
      <c r="N148" s="150"/>
      <c r="O148" s="137"/>
      <c r="P148" s="153"/>
      <c r="Q148" s="154"/>
      <c r="R148" s="137"/>
      <c r="S148" s="151">
        <v>44589</v>
      </c>
      <c r="T148" s="155" t="s">
        <v>407</v>
      </c>
      <c r="U148" s="137"/>
    </row>
    <row r="149" spans="1:21" x14ac:dyDescent="0.3">
      <c r="A149" s="143">
        <v>78</v>
      </c>
      <c r="B149" s="148" t="str">
        <f>IF(INDEX(MO_SNA_IsHistoricalPeriod,,MATCH(F149,MO_Common_ColumnHeader,0)),"Historical","Forward")</f>
        <v>Historical</v>
      </c>
      <c r="C149" s="137"/>
      <c r="D149" s="152" t="s">
        <v>655</v>
      </c>
      <c r="E149" s="149"/>
      <c r="F149" s="148" t="s">
        <v>654</v>
      </c>
      <c r="G149" s="148"/>
      <c r="H149" s="137"/>
      <c r="I149" s="150">
        <v>400</v>
      </c>
      <c r="J149" s="150">
        <v>400</v>
      </c>
      <c r="K149" s="150">
        <f>AVERAGE(I149:J149)</f>
        <v>400</v>
      </c>
      <c r="L149" s="137"/>
      <c r="M149" s="148" t="str">
        <f>IF(INDEX(MO_SNA_IsHistoricalPeriod,,MATCH(F149,MO_Common_ColumnHeader,0)),"Actual","Estimate")</f>
        <v>Actual</v>
      </c>
      <c r="N149" s="150"/>
      <c r="O149" s="137"/>
      <c r="P149" s="153"/>
      <c r="Q149" s="154"/>
      <c r="R149" s="137"/>
      <c r="S149" s="151">
        <v>44589</v>
      </c>
      <c r="T149" s="155" t="s">
        <v>407</v>
      </c>
      <c r="U149" s="137"/>
    </row>
    <row r="150" spans="1:21" x14ac:dyDescent="0.3">
      <c r="A150" s="143">
        <v>77</v>
      </c>
      <c r="B150" s="148" t="str">
        <f>IF(INDEX(MO_SNA_IsHistoricalPeriod,,MATCH(F150,MO_Common_ColumnHeader,0)),"Historical","Forward")</f>
        <v>Historical</v>
      </c>
      <c r="C150" s="137"/>
      <c r="D150" s="152" t="s">
        <v>611</v>
      </c>
      <c r="E150" s="149" t="s">
        <v>612</v>
      </c>
      <c r="F150" s="148" t="s">
        <v>654</v>
      </c>
      <c r="G150" s="148"/>
      <c r="H150" s="137"/>
      <c r="I150" s="150">
        <v>-1250</v>
      </c>
      <c r="J150" s="150">
        <v>-1250</v>
      </c>
      <c r="K150" s="150">
        <f>AVERAGE(I150:J150)</f>
        <v>-1250</v>
      </c>
      <c r="L150" s="137"/>
      <c r="M150" s="148" t="str">
        <f>IF(INDEX(MO_SNA_IsHistoricalPeriod,,MATCH(F150,MO_Common_ColumnHeader,0)),"Actual","Estimate")</f>
        <v>Actual</v>
      </c>
      <c r="N150" s="150">
        <f ca="1">IFERROR(INDEX(INDIRECT(E150),0,MATCH(F150,MO_Common_ColumnHeader,0)),"N/A")</f>
        <v>3386</v>
      </c>
      <c r="O150" s="137"/>
      <c r="P150" s="153">
        <f ca="1">IF(ISNUMBER(N150),N150-K150,"N/A")</f>
        <v>4636</v>
      </c>
      <c r="Q150" s="154">
        <f ca="1">IFERROR(IF(ISNUMBER(N150),(N150-K150)/ABS(K150),"N/A"),"N/A")</f>
        <v>3.7088000000000001</v>
      </c>
      <c r="R150" s="137"/>
      <c r="S150" s="151">
        <v>44589</v>
      </c>
      <c r="T150" s="155" t="s">
        <v>407</v>
      </c>
      <c r="U150" s="137"/>
    </row>
    <row r="151" spans="1:21" x14ac:dyDescent="0.3">
      <c r="A151" s="143">
        <v>76</v>
      </c>
      <c r="B151" s="137"/>
      <c r="C151" s="137"/>
      <c r="D151" s="138"/>
      <c r="E151" s="139"/>
      <c r="F151" s="137"/>
      <c r="G151" s="137"/>
      <c r="H151" s="137"/>
      <c r="I151" s="117"/>
      <c r="J151" s="117"/>
      <c r="K151" s="117"/>
      <c r="L151" s="137"/>
      <c r="M151" s="137"/>
      <c r="N151" s="117"/>
      <c r="O151" s="137"/>
      <c r="P151" s="220"/>
      <c r="Q151" s="122"/>
      <c r="R151" s="137"/>
      <c r="S151" s="219"/>
      <c r="T151" s="221"/>
      <c r="U151" s="137"/>
    </row>
    <row r="152" spans="1:21" x14ac:dyDescent="0.3">
      <c r="A152" s="143">
        <v>75</v>
      </c>
      <c r="B152" s="148" t="str">
        <f>IF(INDEX(MO_SNA_IsHistoricalPeriod,,MATCH(F152,MO_Common_ColumnHeader,0)),"Historical","Forward")</f>
        <v>Historical</v>
      </c>
      <c r="C152" s="137"/>
      <c r="D152" s="152" t="s">
        <v>602</v>
      </c>
      <c r="E152" s="149"/>
      <c r="F152" s="148" t="s">
        <v>552</v>
      </c>
      <c r="G152" s="148"/>
      <c r="H152" s="137"/>
      <c r="I152" s="150">
        <v>-15300</v>
      </c>
      <c r="J152" s="150">
        <v>-15300</v>
      </c>
      <c r="K152" s="150">
        <f>AVERAGE(I152:J152)</f>
        <v>-15300</v>
      </c>
      <c r="L152" s="137"/>
      <c r="M152" s="148" t="str">
        <f>IF(INDEX(MO_SNA_IsHistoricalPeriod,,MATCH(F152,MO_Common_ColumnHeader,0)),"Actual","Estimate")</f>
        <v>Actual</v>
      </c>
      <c r="N152" s="150"/>
      <c r="O152" s="137"/>
      <c r="P152" s="153"/>
      <c r="Q152" s="154"/>
      <c r="R152" s="137"/>
      <c r="S152" s="151">
        <v>44531</v>
      </c>
      <c r="T152" s="155" t="s">
        <v>410</v>
      </c>
      <c r="U152" s="137"/>
    </row>
    <row r="153" spans="1:21" x14ac:dyDescent="0.3">
      <c r="A153" s="143">
        <v>74</v>
      </c>
      <c r="B153" s="137"/>
      <c r="C153" s="137"/>
      <c r="D153" s="138"/>
      <c r="E153" s="139"/>
      <c r="F153" s="137"/>
      <c r="G153" s="137"/>
      <c r="H153" s="137"/>
      <c r="I153" s="117"/>
      <c r="J153" s="117"/>
      <c r="K153" s="117"/>
      <c r="L153" s="137"/>
      <c r="M153" s="137"/>
      <c r="N153" s="117"/>
      <c r="O153" s="137"/>
      <c r="P153" s="220"/>
      <c r="Q153" s="122"/>
      <c r="R153" s="137"/>
      <c r="S153" s="219"/>
      <c r="T153" s="221"/>
      <c r="U153" s="137"/>
    </row>
    <row r="154" spans="1:21" x14ac:dyDescent="0.3">
      <c r="A154" s="143">
        <v>73</v>
      </c>
      <c r="B154" s="148" t="str">
        <f>IF(INDEX(MO_SNA_IsHistoricalPeriod,,MATCH(F154,MO_Common_ColumnHeader,0)),"Historical","Forward")</f>
        <v>Historical</v>
      </c>
      <c r="C154" s="137"/>
      <c r="D154" s="152" t="s">
        <v>602</v>
      </c>
      <c r="E154" s="149"/>
      <c r="F154" s="148" t="s">
        <v>551</v>
      </c>
      <c r="G154" s="148"/>
      <c r="H154" s="137"/>
      <c r="I154" s="150">
        <v>-12000</v>
      </c>
      <c r="J154" s="150">
        <v>-13000</v>
      </c>
      <c r="K154" s="150">
        <f>AVERAGE(I154:J154)</f>
        <v>-12500</v>
      </c>
      <c r="L154" s="137"/>
      <c r="M154" s="148" t="str">
        <f>IF(INDEX(MO_SNA_IsHistoricalPeriod,,MATCH(F154,MO_Common_ColumnHeader,0)),"Actual","Estimate")</f>
        <v>Actual</v>
      </c>
      <c r="N154" s="150"/>
      <c r="O154" s="137"/>
      <c r="P154" s="153"/>
      <c r="Q154" s="154"/>
      <c r="R154" s="137"/>
      <c r="S154" s="151">
        <v>44498</v>
      </c>
      <c r="T154" s="155" t="s">
        <v>407</v>
      </c>
      <c r="U154" s="137"/>
    </row>
    <row r="155" spans="1:21" x14ac:dyDescent="0.3">
      <c r="A155" s="143">
        <v>72</v>
      </c>
      <c r="B155" s="137"/>
      <c r="C155" s="137"/>
      <c r="D155" s="138"/>
      <c r="E155" s="139"/>
      <c r="F155" s="137"/>
      <c r="G155" s="137"/>
      <c r="H155" s="137"/>
      <c r="I155" s="117"/>
      <c r="J155" s="117"/>
      <c r="K155" s="117"/>
      <c r="L155" s="137"/>
      <c r="M155" s="137"/>
      <c r="N155" s="117"/>
      <c r="O155" s="137"/>
      <c r="P155" s="220"/>
      <c r="Q155" s="122"/>
      <c r="R155" s="137"/>
      <c r="S155" s="219"/>
      <c r="T155" s="221"/>
      <c r="U155" s="137"/>
    </row>
    <row r="156" spans="1:21" x14ac:dyDescent="0.3">
      <c r="A156" s="143">
        <v>71</v>
      </c>
      <c r="B156" s="148" t="str">
        <f>IF(INDEX(MO_SNA_IsHistoricalPeriod,,MATCH(F156,MO_Common_ColumnHeader,0)),"Historical","Forward")</f>
        <v>Historical</v>
      </c>
      <c r="C156" s="137"/>
      <c r="D156" s="152" t="s">
        <v>545</v>
      </c>
      <c r="E156" s="149"/>
      <c r="F156" s="148" t="s">
        <v>652</v>
      </c>
      <c r="G156" s="148"/>
      <c r="H156" s="137"/>
      <c r="I156" s="150">
        <v>-60</v>
      </c>
      <c r="J156" s="150">
        <v>-60</v>
      </c>
      <c r="K156" s="150">
        <f>AVERAGE(I156:J156)</f>
        <v>-60</v>
      </c>
      <c r="L156" s="137"/>
      <c r="M156" s="148" t="str">
        <f>IF(INDEX(MO_SNA_IsHistoricalPeriod,,MATCH(F156,MO_Common_ColumnHeader,0)),"Actual","Estimate")</f>
        <v>Actual</v>
      </c>
      <c r="N156" s="150"/>
      <c r="O156" s="137"/>
      <c r="P156" s="153"/>
      <c r="Q156" s="154"/>
      <c r="R156" s="137"/>
      <c r="S156" s="151">
        <v>44498</v>
      </c>
      <c r="T156" s="155" t="s">
        <v>407</v>
      </c>
      <c r="U156" s="137"/>
    </row>
    <row r="157" spans="1:21" x14ac:dyDescent="0.3">
      <c r="A157" s="143">
        <v>70</v>
      </c>
      <c r="B157" s="148" t="str">
        <f>IF(INDEX(MO_SNA_IsHistoricalPeriod,,MATCH(F157,MO_Common_ColumnHeader,0)),"Historical","Forward")</f>
        <v>Historical</v>
      </c>
      <c r="C157" s="137"/>
      <c r="D157" s="152" t="s">
        <v>607</v>
      </c>
      <c r="E157" s="149"/>
      <c r="F157" s="148" t="s">
        <v>652</v>
      </c>
      <c r="G157" s="148"/>
      <c r="H157" s="137"/>
      <c r="I157" s="150">
        <v>-50</v>
      </c>
      <c r="J157" s="150">
        <v>-150</v>
      </c>
      <c r="K157" s="150">
        <f>AVERAGE(I157:J157)</f>
        <v>-100</v>
      </c>
      <c r="L157" s="137"/>
      <c r="M157" s="148" t="str">
        <f>IF(INDEX(MO_SNA_IsHistoricalPeriod,,MATCH(F157,MO_Common_ColumnHeader,0)),"Actual","Estimate")</f>
        <v>Actual</v>
      </c>
      <c r="N157" s="150"/>
      <c r="O157" s="137"/>
      <c r="P157" s="153"/>
      <c r="Q157" s="154"/>
      <c r="R157" s="137"/>
      <c r="S157" s="151">
        <v>44498</v>
      </c>
      <c r="T157" s="155" t="s">
        <v>407</v>
      </c>
      <c r="U157" s="137"/>
    </row>
    <row r="158" spans="1:21" x14ac:dyDescent="0.3">
      <c r="A158" s="143">
        <v>69</v>
      </c>
      <c r="B158" s="148" t="str">
        <f>IF(INDEX(MO_SNA_IsHistoricalPeriod,,MATCH(F158,MO_Common_ColumnHeader,0)),"Historical","Forward")</f>
        <v>Historical</v>
      </c>
      <c r="C158" s="137"/>
      <c r="D158" s="152" t="s">
        <v>611</v>
      </c>
      <c r="E158" s="149" t="s">
        <v>612</v>
      </c>
      <c r="F158" s="148" t="s">
        <v>652</v>
      </c>
      <c r="G158" s="148"/>
      <c r="H158" s="137"/>
      <c r="I158" s="150">
        <v>-750</v>
      </c>
      <c r="J158" s="150">
        <v>-750</v>
      </c>
      <c r="K158" s="150">
        <f>AVERAGE(I158:J158)</f>
        <v>-750</v>
      </c>
      <c r="L158" s="137"/>
      <c r="M158" s="148" t="str">
        <f>IF(INDEX(MO_SNA_IsHistoricalPeriod,,MATCH(F158,MO_Common_ColumnHeader,0)),"Actual","Estimate")</f>
        <v>Actual</v>
      </c>
      <c r="N158" s="150">
        <f ca="1">IFERROR(INDEX(INDIRECT(E158),0,MATCH(F158,MO_Common_ColumnHeader,0)),"N/A")</f>
        <v>283</v>
      </c>
      <c r="O158" s="137"/>
      <c r="P158" s="153">
        <f ca="1">IF(ISNUMBER(N158),N158-K158,"N/A")</f>
        <v>1033</v>
      </c>
      <c r="Q158" s="154">
        <f ca="1">IFERROR(IF(ISNUMBER(N158),(N158-K158)/ABS(K158),"N/A"),"N/A")</f>
        <v>1.3773333333333333</v>
      </c>
      <c r="R158" s="137"/>
      <c r="S158" s="151">
        <v>44498</v>
      </c>
      <c r="T158" s="155" t="s">
        <v>407</v>
      </c>
      <c r="U158" s="137"/>
    </row>
    <row r="159" spans="1:21" x14ac:dyDescent="0.3">
      <c r="A159" s="143">
        <v>68</v>
      </c>
      <c r="B159" s="137"/>
      <c r="C159" s="137"/>
      <c r="D159" s="138"/>
      <c r="E159" s="139"/>
      <c r="F159" s="137"/>
      <c r="G159" s="137"/>
      <c r="H159" s="137"/>
      <c r="I159" s="117"/>
      <c r="J159" s="117"/>
      <c r="K159" s="117"/>
      <c r="L159" s="137"/>
      <c r="M159" s="137"/>
      <c r="N159" s="117"/>
      <c r="O159" s="137"/>
      <c r="P159" s="220"/>
      <c r="Q159" s="122"/>
      <c r="R159" s="137"/>
      <c r="S159" s="219"/>
      <c r="T159" s="221"/>
      <c r="U159" s="137"/>
    </row>
    <row r="160" spans="1:21" x14ac:dyDescent="0.3">
      <c r="A160" s="143">
        <v>67</v>
      </c>
      <c r="B160" s="148" t="str">
        <f>IF(INDEX(MO_SNA_IsHistoricalPeriod,,MATCH(F160,MO_Common_ColumnHeader,0)),"Historical","Forward")</f>
        <v>Historical</v>
      </c>
      <c r="C160" s="137"/>
      <c r="D160" s="152" t="s">
        <v>545</v>
      </c>
      <c r="E160" s="149"/>
      <c r="F160" s="148" t="s">
        <v>610</v>
      </c>
      <c r="G160" s="148"/>
      <c r="H160" s="137"/>
      <c r="I160" s="150">
        <v>-150</v>
      </c>
      <c r="J160" s="150">
        <v>-150</v>
      </c>
      <c r="K160" s="150">
        <f>AVERAGE(I160:J160)</f>
        <v>-150</v>
      </c>
      <c r="L160" s="137"/>
      <c r="M160" s="148" t="str">
        <f>IF(INDEX(MO_SNA_IsHistoricalPeriod,,MATCH(F160,MO_Common_ColumnHeader,0)),"Actual","Estimate")</f>
        <v>Actual</v>
      </c>
      <c r="N160" s="150"/>
      <c r="O160" s="137"/>
      <c r="P160" s="153"/>
      <c r="Q160" s="154"/>
      <c r="R160" s="137"/>
      <c r="S160" s="151">
        <v>44407</v>
      </c>
      <c r="T160" s="155" t="s">
        <v>407</v>
      </c>
      <c r="U160" s="137"/>
    </row>
    <row r="161" spans="1:21" x14ac:dyDescent="0.3">
      <c r="A161" s="143">
        <v>66</v>
      </c>
      <c r="B161" s="148" t="str">
        <f>IF(INDEX(MO_SNA_IsHistoricalPeriod,,MATCH(F161,MO_Common_ColumnHeader,0)),"Historical","Forward")</f>
        <v>Historical</v>
      </c>
      <c r="C161" s="137"/>
      <c r="D161" s="152" t="s">
        <v>605</v>
      </c>
      <c r="E161" s="149"/>
      <c r="F161" s="148" t="s">
        <v>610</v>
      </c>
      <c r="G161" s="148"/>
      <c r="H161" s="137"/>
      <c r="I161" s="150">
        <v>-5</v>
      </c>
      <c r="J161" s="150">
        <v>-5</v>
      </c>
      <c r="K161" s="150">
        <f>AVERAGE(I161:J161)</f>
        <v>-5</v>
      </c>
      <c r="L161" s="137"/>
      <c r="M161" s="148" t="str">
        <f>IF(INDEX(MO_SNA_IsHistoricalPeriod,,MATCH(F161,MO_Common_ColumnHeader,0)),"Actual","Estimate")</f>
        <v>Actual</v>
      </c>
      <c r="N161" s="150"/>
      <c r="O161" s="137"/>
      <c r="P161" s="153"/>
      <c r="Q161" s="154"/>
      <c r="R161" s="137"/>
      <c r="S161" s="151">
        <v>44407</v>
      </c>
      <c r="T161" s="155" t="s">
        <v>407</v>
      </c>
      <c r="U161" s="137"/>
    </row>
    <row r="162" spans="1:21" x14ac:dyDescent="0.3">
      <c r="A162" s="143">
        <v>65</v>
      </c>
      <c r="B162" s="148" t="str">
        <f>IF(INDEX(MO_SNA_IsHistoricalPeriod,,MATCH(F162,MO_Common_ColumnHeader,0)),"Historical","Forward")</f>
        <v>Historical</v>
      </c>
      <c r="C162" s="137"/>
      <c r="D162" s="152" t="s">
        <v>607</v>
      </c>
      <c r="E162" s="149"/>
      <c r="F162" s="148" t="s">
        <v>610</v>
      </c>
      <c r="G162" s="148"/>
      <c r="H162" s="137"/>
      <c r="I162" s="150">
        <v>-50</v>
      </c>
      <c r="J162" s="150">
        <v>-150</v>
      </c>
      <c r="K162" s="150">
        <f>AVERAGE(I162:J162)</f>
        <v>-100</v>
      </c>
      <c r="L162" s="137"/>
      <c r="M162" s="148" t="str">
        <f>IF(INDEX(MO_SNA_IsHistoricalPeriod,,MATCH(F162,MO_Common_ColumnHeader,0)),"Actual","Estimate")</f>
        <v>Actual</v>
      </c>
      <c r="N162" s="150"/>
      <c r="O162" s="137"/>
      <c r="P162" s="153"/>
      <c r="Q162" s="154"/>
      <c r="R162" s="137"/>
      <c r="S162" s="151">
        <v>44407</v>
      </c>
      <c r="T162" s="155" t="s">
        <v>407</v>
      </c>
      <c r="U162" s="137"/>
    </row>
    <row r="163" spans="1:21" x14ac:dyDescent="0.3">
      <c r="A163" s="143">
        <v>64</v>
      </c>
      <c r="B163" s="148" t="str">
        <f>IF(INDEX(MO_SNA_IsHistoricalPeriod,,MATCH(F163,MO_Common_ColumnHeader,0)),"Historical","Forward")</f>
        <v>Historical</v>
      </c>
      <c r="C163" s="137"/>
      <c r="D163" s="152" t="s">
        <v>611</v>
      </c>
      <c r="E163" s="149" t="s">
        <v>612</v>
      </c>
      <c r="F163" s="148" t="s">
        <v>610</v>
      </c>
      <c r="G163" s="148"/>
      <c r="H163" s="137"/>
      <c r="I163" s="150">
        <v>-500</v>
      </c>
      <c r="J163" s="150">
        <v>-750</v>
      </c>
      <c r="K163" s="150">
        <f>AVERAGE(I163:J163)</f>
        <v>-625</v>
      </c>
      <c r="L163" s="137"/>
      <c r="M163" s="148" t="str">
        <f>IF(INDEX(MO_SNA_IsHistoricalPeriod,,MATCH(F163,MO_Common_ColumnHeader,0)),"Actual","Estimate")</f>
        <v>Actual</v>
      </c>
      <c r="N163" s="150">
        <f ca="1">IFERROR(INDEX(INDIRECT(E163),0,MATCH(F163,MO_Common_ColumnHeader,0)),"N/A")</f>
        <v>-618</v>
      </c>
      <c r="O163" s="137"/>
      <c r="P163" s="153">
        <f ca="1">IF(ISNUMBER(N163),N163-K163,"N/A")</f>
        <v>7</v>
      </c>
      <c r="Q163" s="154">
        <f ca="1">IFERROR(IF(ISNUMBER(N163),(N163-K163)/ABS(K163),"N/A"),"N/A")</f>
        <v>1.12E-2</v>
      </c>
      <c r="R163" s="137"/>
      <c r="S163" s="151">
        <v>44407</v>
      </c>
      <c r="T163" s="155" t="s">
        <v>407</v>
      </c>
      <c r="U163" s="137"/>
    </row>
    <row r="164" spans="1:21" x14ac:dyDescent="0.3">
      <c r="A164" s="143">
        <v>63</v>
      </c>
      <c r="B164" s="148" t="str">
        <f>IF(INDEX(MO_SNA_IsHistoricalPeriod,,MATCH(F164,MO_Common_ColumnHeader,0)),"Historical","Forward")</f>
        <v>Historical</v>
      </c>
      <c r="C164" s="137"/>
      <c r="D164" s="152" t="s">
        <v>613</v>
      </c>
      <c r="E164" s="149"/>
      <c r="F164" s="148" t="s">
        <v>610</v>
      </c>
      <c r="G164" s="148"/>
      <c r="H164" s="137"/>
      <c r="I164" s="150">
        <v>500</v>
      </c>
      <c r="J164" s="150">
        <v>500</v>
      </c>
      <c r="K164" s="150">
        <f>AVERAGE(I164:J164)</f>
        <v>500</v>
      </c>
      <c r="L164" s="137"/>
      <c r="M164" s="148" t="str">
        <f>IF(INDEX(MO_SNA_IsHistoricalPeriod,,MATCH(F164,MO_Common_ColumnHeader,0)),"Actual","Estimate")</f>
        <v>Actual</v>
      </c>
      <c r="N164" s="150"/>
      <c r="O164" s="137"/>
      <c r="P164" s="153"/>
      <c r="Q164" s="154"/>
      <c r="R164" s="137"/>
      <c r="S164" s="151">
        <v>44407</v>
      </c>
      <c r="T164" s="155" t="s">
        <v>407</v>
      </c>
      <c r="U164" s="137"/>
    </row>
    <row r="165" spans="1:21" x14ac:dyDescent="0.3">
      <c r="A165" s="143">
        <v>62</v>
      </c>
      <c r="B165" s="137"/>
      <c r="C165" s="137"/>
      <c r="D165" s="138"/>
      <c r="E165" s="139"/>
      <c r="F165" s="137"/>
      <c r="G165" s="137"/>
      <c r="H165" s="137"/>
      <c r="I165" s="117"/>
      <c r="J165" s="117"/>
      <c r="K165" s="117"/>
      <c r="L165" s="137"/>
      <c r="M165" s="137"/>
      <c r="N165" s="117"/>
      <c r="O165" s="137"/>
      <c r="P165" s="220"/>
      <c r="Q165" s="122"/>
      <c r="R165" s="137"/>
      <c r="S165" s="219"/>
      <c r="T165" s="221"/>
      <c r="U165" s="137"/>
    </row>
    <row r="166" spans="1:21" x14ac:dyDescent="0.3">
      <c r="A166" s="143">
        <v>61</v>
      </c>
      <c r="B166" s="148" t="str">
        <f>IF(INDEX(MO_SNA_IsHistoricalPeriod,,MATCH(F166,MO_Common_ColumnHeader,0)),"Historical","Forward")</f>
        <v>Historical</v>
      </c>
      <c r="C166" s="137"/>
      <c r="D166" s="152" t="s">
        <v>614</v>
      </c>
      <c r="E166" s="149"/>
      <c r="F166" s="148" t="s">
        <v>551</v>
      </c>
      <c r="G166" s="148"/>
      <c r="H166" s="137"/>
      <c r="I166" s="150">
        <v>-133</v>
      </c>
      <c r="J166" s="150">
        <v>-133</v>
      </c>
      <c r="K166" s="150">
        <f>AVERAGE(I166:J166)</f>
        <v>-133</v>
      </c>
      <c r="L166" s="137"/>
      <c r="M166" s="148" t="str">
        <f>IF(INDEX(MO_SNA_IsHistoricalPeriod,,MATCH(F166,MO_Common_ColumnHeader,0)),"Actual","Estimate")</f>
        <v>Actual</v>
      </c>
      <c r="N166" s="150"/>
      <c r="O166" s="137"/>
      <c r="P166" s="153"/>
      <c r="Q166" s="154"/>
      <c r="R166" s="137"/>
      <c r="S166" s="151">
        <v>44407</v>
      </c>
      <c r="T166" s="155" t="s">
        <v>407</v>
      </c>
      <c r="U166" s="137"/>
    </row>
    <row r="167" spans="1:21" x14ac:dyDescent="0.3">
      <c r="A167" s="143">
        <v>60</v>
      </c>
      <c r="B167" s="148" t="str">
        <f>IF(INDEX(MO_SNA_IsHistoricalPeriod,,MATCH(F167,MO_Common_ColumnHeader,0)),"Historical","Forward")</f>
        <v>Historical</v>
      </c>
      <c r="C167" s="137"/>
      <c r="D167" s="152" t="s">
        <v>547</v>
      </c>
      <c r="E167" s="149"/>
      <c r="F167" s="148" t="s">
        <v>551</v>
      </c>
      <c r="G167" s="148"/>
      <c r="H167" s="137"/>
      <c r="I167" s="150">
        <v>300</v>
      </c>
      <c r="J167" s="150">
        <v>300</v>
      </c>
      <c r="K167" s="150">
        <f>AVERAGE(I167:J167)</f>
        <v>300</v>
      </c>
      <c r="L167" s="137"/>
      <c r="M167" s="148" t="str">
        <f>IF(INDEX(MO_SNA_IsHistoricalPeriod,,MATCH(F167,MO_Common_ColumnHeader,0)),"Actual","Estimate")</f>
        <v>Actual</v>
      </c>
      <c r="N167" s="150"/>
      <c r="O167" s="137"/>
      <c r="P167" s="153"/>
      <c r="Q167" s="154"/>
      <c r="R167" s="137"/>
      <c r="S167" s="151">
        <v>44407</v>
      </c>
      <c r="T167" s="155" t="s">
        <v>407</v>
      </c>
      <c r="U167" s="137"/>
    </row>
    <row r="168" spans="1:21" x14ac:dyDescent="0.3">
      <c r="A168" s="143">
        <v>59</v>
      </c>
      <c r="B168" s="148" t="str">
        <f>IF(INDEX(MO_SNA_IsHistoricalPeriod,,MATCH(F168,MO_Common_ColumnHeader,0)),"Historical","Forward")</f>
        <v>Historical</v>
      </c>
      <c r="C168" s="137"/>
      <c r="D168" s="152" t="s">
        <v>600</v>
      </c>
      <c r="E168" s="149"/>
      <c r="F168" s="148" t="s">
        <v>551</v>
      </c>
      <c r="G168" s="148"/>
      <c r="H168" s="137"/>
      <c r="I168" s="150">
        <v>-2000</v>
      </c>
      <c r="J168" s="150">
        <v>-2000</v>
      </c>
      <c r="K168" s="150">
        <f>AVERAGE(I168:J168)</f>
        <v>-2000</v>
      </c>
      <c r="L168" s="137"/>
      <c r="M168" s="148" t="str">
        <f>IF(INDEX(MO_SNA_IsHistoricalPeriod,,MATCH(F168,MO_Common_ColumnHeader,0)),"Actual","Estimate")</f>
        <v>Actual</v>
      </c>
      <c r="N168" s="150"/>
      <c r="O168" s="137"/>
      <c r="P168" s="153"/>
      <c r="Q168" s="154"/>
      <c r="R168" s="137"/>
      <c r="S168" s="151">
        <v>44407</v>
      </c>
      <c r="T168" s="155" t="s">
        <v>407</v>
      </c>
      <c r="U168" s="137"/>
    </row>
    <row r="169" spans="1:21" x14ac:dyDescent="0.3">
      <c r="A169" s="143">
        <v>58</v>
      </c>
      <c r="B169" s="148" t="str">
        <f>IF(INDEX(MO_SNA_IsHistoricalPeriod,,MATCH(F169,MO_Common_ColumnHeader,0)),"Historical","Forward")</f>
        <v>Historical</v>
      </c>
      <c r="C169" s="137"/>
      <c r="D169" s="152" t="s">
        <v>599</v>
      </c>
      <c r="E169" s="149" t="s">
        <v>601</v>
      </c>
      <c r="F169" s="148" t="s">
        <v>551</v>
      </c>
      <c r="G169" s="148"/>
      <c r="H169" s="137"/>
      <c r="I169" s="150">
        <v>1000</v>
      </c>
      <c r="J169" s="150">
        <v>2000</v>
      </c>
      <c r="K169" s="150">
        <f>AVERAGE(I169:J169)</f>
        <v>1500</v>
      </c>
      <c r="L169" s="137"/>
      <c r="M169" s="148" t="str">
        <f>IF(INDEX(MO_SNA_IsHistoricalPeriod,,MATCH(F169,MO_Common_ColumnHeader,0)),"Actual","Estimate")</f>
        <v>Actual</v>
      </c>
      <c r="N169" s="150">
        <f ca="1">IFERROR(INDEX(INDIRECT(E169),0,MATCH(F169,MO_Common_ColumnHeader,0)),"N/A")</f>
        <v>1791</v>
      </c>
      <c r="O169" s="137"/>
      <c r="P169" s="153">
        <f ca="1">IF(ISNUMBER(N169),N169-K169,"N/A")</f>
        <v>291</v>
      </c>
      <c r="Q169" s="154">
        <f ca="1">IFERROR(IF(ISNUMBER(N169),(N169-K169)/ABS(K169),"N/A"),"N/A")</f>
        <v>0.19400000000000001</v>
      </c>
      <c r="R169" s="137"/>
      <c r="S169" s="151">
        <v>44407</v>
      </c>
      <c r="T169" s="155" t="s">
        <v>407</v>
      </c>
      <c r="U169" s="137"/>
    </row>
    <row r="170" spans="1:21" x14ac:dyDescent="0.3">
      <c r="A170" s="143">
        <v>57</v>
      </c>
      <c r="B170" s="137"/>
      <c r="C170" s="137"/>
      <c r="D170" s="138"/>
      <c r="E170" s="139"/>
      <c r="F170" s="137"/>
      <c r="G170" s="137"/>
      <c r="H170" s="137"/>
      <c r="I170" s="117"/>
      <c r="J170" s="117"/>
      <c r="K170" s="117"/>
      <c r="L170" s="137"/>
      <c r="M170" s="137"/>
      <c r="N170" s="117"/>
      <c r="O170" s="137"/>
      <c r="P170" s="220"/>
      <c r="Q170" s="122"/>
      <c r="R170" s="137"/>
      <c r="S170" s="219"/>
      <c r="T170" s="221"/>
      <c r="U170" s="137"/>
    </row>
    <row r="171" spans="1:21" x14ac:dyDescent="0.3">
      <c r="A171" s="143">
        <v>56</v>
      </c>
      <c r="B171" s="148" t="str">
        <f>IF(INDEX(MO_SNA_IsHistoricalPeriod,,MATCH(F171,MO_Common_ColumnHeader,0)),"Historical","Forward")</f>
        <v>Historical</v>
      </c>
      <c r="C171" s="137"/>
      <c r="D171" s="152" t="s">
        <v>545</v>
      </c>
      <c r="E171" s="149"/>
      <c r="F171" s="148" t="s">
        <v>608</v>
      </c>
      <c r="G171" s="148"/>
      <c r="H171" s="137"/>
      <c r="I171" s="150">
        <v>-90</v>
      </c>
      <c r="J171" s="150">
        <v>-90</v>
      </c>
      <c r="K171" s="150">
        <f>AVERAGE(I171:J171)</f>
        <v>-90</v>
      </c>
      <c r="L171" s="137"/>
      <c r="M171" s="148" t="str">
        <f>IF(INDEX(MO_SNA_IsHistoricalPeriod,,MATCH(F171,MO_Common_ColumnHeader,0)),"Actual","Estimate")</f>
        <v>Actual</v>
      </c>
      <c r="N171" s="150"/>
      <c r="O171" s="137"/>
      <c r="P171" s="153"/>
      <c r="Q171" s="154"/>
      <c r="R171" s="137"/>
      <c r="S171" s="151">
        <v>44316</v>
      </c>
      <c r="T171" s="155" t="s">
        <v>407</v>
      </c>
      <c r="U171" s="137"/>
    </row>
    <row r="172" spans="1:21" x14ac:dyDescent="0.3">
      <c r="A172" s="143">
        <v>55</v>
      </c>
      <c r="B172" s="148" t="str">
        <f>IF(INDEX(MO_SNA_IsHistoricalPeriod,,MATCH(F172,MO_Common_ColumnHeader,0)),"Historical","Forward")</f>
        <v>Historical</v>
      </c>
      <c r="C172" s="137"/>
      <c r="D172" s="152" t="s">
        <v>605</v>
      </c>
      <c r="E172" s="149"/>
      <c r="F172" s="148" t="s">
        <v>608</v>
      </c>
      <c r="G172" s="148"/>
      <c r="H172" s="137"/>
      <c r="I172" s="150">
        <v>-40</v>
      </c>
      <c r="J172" s="150">
        <v>-40</v>
      </c>
      <c r="K172" s="150">
        <f>AVERAGE(I172:J172)</f>
        <v>-40</v>
      </c>
      <c r="L172" s="137"/>
      <c r="M172" s="148" t="str">
        <f>IF(INDEX(MO_SNA_IsHistoricalPeriod,,MATCH(F172,MO_Common_ColumnHeader,0)),"Actual","Estimate")</f>
        <v>Actual</v>
      </c>
      <c r="N172" s="150"/>
      <c r="O172" s="137"/>
      <c r="P172" s="153"/>
      <c r="Q172" s="154"/>
      <c r="R172" s="137"/>
      <c r="S172" s="151">
        <v>44316</v>
      </c>
      <c r="T172" s="155" t="s">
        <v>407</v>
      </c>
      <c r="U172" s="137"/>
    </row>
    <row r="173" spans="1:21" x14ac:dyDescent="0.3">
      <c r="A173" s="143">
        <v>54</v>
      </c>
      <c r="B173" s="148" t="str">
        <f>IF(INDEX(MO_SNA_IsHistoricalPeriod,,MATCH(F173,MO_Common_ColumnHeader,0)),"Historical","Forward")</f>
        <v>Historical</v>
      </c>
      <c r="C173" s="137"/>
      <c r="D173" s="152" t="s">
        <v>606</v>
      </c>
      <c r="E173" s="149"/>
      <c r="F173" s="148" t="s">
        <v>608</v>
      </c>
      <c r="G173" s="148"/>
      <c r="H173" s="137"/>
      <c r="I173" s="150">
        <v>30</v>
      </c>
      <c r="J173" s="150">
        <v>30</v>
      </c>
      <c r="K173" s="150">
        <f>AVERAGE(I173:J173)</f>
        <v>30</v>
      </c>
      <c r="L173" s="137"/>
      <c r="M173" s="148" t="str">
        <f>IF(INDEX(MO_SNA_IsHistoricalPeriod,,MATCH(F173,MO_Common_ColumnHeader,0)),"Actual","Estimate")</f>
        <v>Actual</v>
      </c>
      <c r="N173" s="150"/>
      <c r="O173" s="137"/>
      <c r="P173" s="153"/>
      <c r="Q173" s="154"/>
      <c r="R173" s="137"/>
      <c r="S173" s="151">
        <v>44316</v>
      </c>
      <c r="T173" s="155" t="s">
        <v>407</v>
      </c>
      <c r="U173" s="137"/>
    </row>
    <row r="174" spans="1:21" x14ac:dyDescent="0.3">
      <c r="A174" s="143">
        <v>53</v>
      </c>
      <c r="B174" s="148" t="str">
        <f>IF(INDEX(MO_SNA_IsHistoricalPeriod,,MATCH(F174,MO_Common_ColumnHeader,0)),"Historical","Forward")</f>
        <v>Historical</v>
      </c>
      <c r="C174" s="137"/>
      <c r="D174" s="152" t="s">
        <v>607</v>
      </c>
      <c r="E174" s="149"/>
      <c r="F174" s="148" t="s">
        <v>608</v>
      </c>
      <c r="G174" s="148"/>
      <c r="H174" s="137"/>
      <c r="I174" s="150">
        <v>-50</v>
      </c>
      <c r="J174" s="150">
        <v>-150</v>
      </c>
      <c r="K174" s="150">
        <f>AVERAGE(I174:J174)</f>
        <v>-100</v>
      </c>
      <c r="L174" s="137"/>
      <c r="M174" s="148" t="str">
        <f>IF(INDEX(MO_SNA_IsHistoricalPeriod,,MATCH(F174,MO_Common_ColumnHeader,0)),"Actual","Estimate")</f>
        <v>Actual</v>
      </c>
      <c r="N174" s="150"/>
      <c r="O174" s="137"/>
      <c r="P174" s="153"/>
      <c r="Q174" s="154"/>
      <c r="R174" s="137"/>
      <c r="S174" s="151">
        <v>44316</v>
      </c>
      <c r="T174" s="155" t="s">
        <v>407</v>
      </c>
      <c r="U174" s="137"/>
    </row>
    <row r="175" spans="1:21" x14ac:dyDescent="0.3">
      <c r="A175" s="143">
        <v>52</v>
      </c>
      <c r="B175" s="137"/>
      <c r="C175" s="137"/>
      <c r="D175" s="138"/>
      <c r="E175" s="139"/>
      <c r="F175" s="137"/>
      <c r="G175" s="137"/>
      <c r="H175" s="137"/>
      <c r="I175" s="117"/>
      <c r="J175" s="117"/>
      <c r="K175" s="117"/>
      <c r="L175" s="137"/>
      <c r="M175" s="137"/>
      <c r="N175" s="117"/>
      <c r="O175" s="137"/>
      <c r="P175" s="220"/>
      <c r="Q175" s="122"/>
      <c r="R175" s="137"/>
      <c r="S175" s="219"/>
      <c r="T175" s="221"/>
      <c r="U175" s="137"/>
    </row>
    <row r="176" spans="1:21" x14ac:dyDescent="0.3">
      <c r="A176" s="143">
        <v>51</v>
      </c>
      <c r="B176" s="148" t="str">
        <f>IF(INDEX(MO_SNA_IsHistoricalPeriod,,MATCH(F176,MO_Common_ColumnHeader,0)),"Historical","Forward")</f>
        <v>Historical</v>
      </c>
      <c r="C176" s="137"/>
      <c r="D176" s="152" t="s">
        <v>404</v>
      </c>
      <c r="E176" s="149" t="s">
        <v>405</v>
      </c>
      <c r="F176" s="148" t="s">
        <v>551</v>
      </c>
      <c r="G176" s="148"/>
      <c r="H176" s="137"/>
      <c r="I176" s="218">
        <v>0</v>
      </c>
      <c r="J176" s="218">
        <v>0.03</v>
      </c>
      <c r="K176" s="218">
        <f>AVERAGE(I176:J176)</f>
        <v>1.4999999999999999E-2</v>
      </c>
      <c r="L176" s="137"/>
      <c r="M176" s="148" t="str">
        <f>IF(INDEX(MO_SNA_IsHistoricalPeriod,,MATCH(F176,MO_Common_ColumnHeader,0)),"Actual","Estimate")</f>
        <v>Actual</v>
      </c>
      <c r="N176" s="218">
        <f>INDEX(MO_OS_Energy_AverageDailyProduction_Total,0,MATCH(F176,MO_Common_ColumnHeader,0))/INDEX(MO_OS_Energy_AverageDailyProduction_Total,0,MATCH("FY2020",MO_Common_ColumnHeader,0))-1</f>
        <v>5.1356903449020219E-3</v>
      </c>
      <c r="O176" s="137"/>
      <c r="P176" s="154">
        <f>IF(ISNUMBER(N176),N176-K176,"N/A")</f>
        <v>-9.8643096550979775E-3</v>
      </c>
      <c r="Q176" s="154">
        <f>IFERROR(IF(ISNUMBER(N176),(N176-K176)/ABS(K176),"N/A"),"N/A")</f>
        <v>-0.6576206436731985</v>
      </c>
      <c r="R176" s="137"/>
      <c r="S176" s="151">
        <v>44225</v>
      </c>
      <c r="T176" s="155" t="s">
        <v>407</v>
      </c>
      <c r="U176" s="137"/>
    </row>
    <row r="177" spans="1:21" x14ac:dyDescent="0.3">
      <c r="A177" s="143">
        <v>50</v>
      </c>
      <c r="B177" s="148" t="str">
        <f>IF(INDEX(MO_SNA_IsHistoricalPeriod,,MATCH(F177,MO_Common_ColumnHeader,0)),"Historical","Forward")</f>
        <v>Historical</v>
      </c>
      <c r="C177" s="137"/>
      <c r="D177" s="152" t="s">
        <v>602</v>
      </c>
      <c r="E177" s="149"/>
      <c r="F177" s="148" t="s">
        <v>551</v>
      </c>
      <c r="G177" s="148"/>
      <c r="H177" s="137"/>
      <c r="I177" s="150">
        <v>-14000</v>
      </c>
      <c r="J177" s="150">
        <v>-14000</v>
      </c>
      <c r="K177" s="150">
        <f>AVERAGE(I177:J177)</f>
        <v>-14000</v>
      </c>
      <c r="L177" s="137"/>
      <c r="M177" s="148" t="str">
        <f>IF(INDEX(MO_SNA_IsHistoricalPeriod,,MATCH(F177,MO_Common_ColumnHeader,0)),"Actual","Estimate")</f>
        <v>Actual</v>
      </c>
      <c r="N177" s="150"/>
      <c r="O177" s="137"/>
      <c r="P177" s="153"/>
      <c r="Q177" s="154"/>
      <c r="R177" s="137"/>
      <c r="S177" s="151">
        <v>44225</v>
      </c>
      <c r="T177" s="155" t="s">
        <v>407</v>
      </c>
      <c r="U177" s="137"/>
    </row>
    <row r="178" spans="1:21" x14ac:dyDescent="0.3">
      <c r="A178" s="143">
        <v>49</v>
      </c>
      <c r="B178" s="148" t="str">
        <f>IF(INDEX(MO_SNA_IsHistoricalPeriod,,MATCH(F178,MO_Common_ColumnHeader,0)),"Historical","Forward")</f>
        <v>Historical</v>
      </c>
      <c r="C178" s="137"/>
      <c r="D178" s="152" t="str">
        <f ca="1">INDEX(INDIRECT(E178),0,COLUMN(MO_Common_Column_A))</f>
        <v>Other earnings, mm</v>
      </c>
      <c r="E178" s="149" t="s">
        <v>598</v>
      </c>
      <c r="F178" s="148" t="s">
        <v>551</v>
      </c>
      <c r="G178" s="148"/>
      <c r="H178" s="137"/>
      <c r="I178" s="150">
        <v>-2500</v>
      </c>
      <c r="J178" s="150">
        <v>-2500</v>
      </c>
      <c r="K178" s="150">
        <f>AVERAGE(I178:J178)</f>
        <v>-2500</v>
      </c>
      <c r="L178" s="137"/>
      <c r="M178" s="148" t="str">
        <f>IF(INDEX(MO_SNA_IsHistoricalPeriod,,MATCH(F178,MO_Common_ColumnHeader,0)),"Actual","Estimate")</f>
        <v>Actual</v>
      </c>
      <c r="N178" s="150"/>
      <c r="O178" s="137"/>
      <c r="P178" s="153"/>
      <c r="Q178" s="154"/>
      <c r="R178" s="137"/>
      <c r="S178" s="151">
        <v>44225</v>
      </c>
      <c r="T178" s="155" t="s">
        <v>407</v>
      </c>
      <c r="U178" s="137"/>
    </row>
    <row r="179" spans="1:21" x14ac:dyDescent="0.3">
      <c r="A179" s="143">
        <v>48</v>
      </c>
      <c r="B179" s="148" t="str">
        <f>IF(INDEX(MO_SNA_IsHistoricalPeriod,,MATCH(F179,MO_Common_ColumnHeader,0)),"Historical","Forward")</f>
        <v>Historical</v>
      </c>
      <c r="C179" s="137"/>
      <c r="D179" s="152" t="s">
        <v>600</v>
      </c>
      <c r="E179" s="149"/>
      <c r="F179" s="148" t="s">
        <v>551</v>
      </c>
      <c r="G179" s="148"/>
      <c r="H179" s="137"/>
      <c r="I179" s="150">
        <v>-500</v>
      </c>
      <c r="J179" s="150">
        <v>0</v>
      </c>
      <c r="K179" s="150">
        <f>AVERAGE(I179:J179)</f>
        <v>-250</v>
      </c>
      <c r="L179" s="137"/>
      <c r="M179" s="148" t="str">
        <f>IF(INDEX(MO_SNA_IsHistoricalPeriod,,MATCH(F179,MO_Common_ColumnHeader,0)),"Actual","Estimate")</f>
        <v>Actual</v>
      </c>
      <c r="N179" s="150"/>
      <c r="O179" s="137"/>
      <c r="P179" s="153"/>
      <c r="Q179" s="154"/>
      <c r="R179" s="137"/>
      <c r="S179" s="151">
        <v>44225</v>
      </c>
      <c r="T179" s="155" t="s">
        <v>407</v>
      </c>
      <c r="U179" s="137"/>
    </row>
    <row r="180" spans="1:21" x14ac:dyDescent="0.3">
      <c r="A180" s="143">
        <v>47</v>
      </c>
      <c r="B180" s="148" t="str">
        <f>IF(INDEX(MO_SNA_IsHistoricalPeriod,,MATCH(F180,MO_Common_ColumnHeader,0)),"Historical","Forward")</f>
        <v>Historical</v>
      </c>
      <c r="C180" s="137"/>
      <c r="D180" s="152" t="s">
        <v>599</v>
      </c>
      <c r="E180" s="149" t="s">
        <v>601</v>
      </c>
      <c r="F180" s="148" t="s">
        <v>551</v>
      </c>
      <c r="G180" s="148"/>
      <c r="H180" s="137"/>
      <c r="I180" s="150">
        <v>2000</v>
      </c>
      <c r="J180" s="150">
        <v>3000</v>
      </c>
      <c r="K180" s="150">
        <f>AVERAGE(I180:J180)</f>
        <v>2500</v>
      </c>
      <c r="L180" s="137"/>
      <c r="M180" s="148" t="str">
        <f>IF(INDEX(MO_SNA_IsHistoricalPeriod,,MATCH(F180,MO_Common_ColumnHeader,0)),"Actual","Estimate")</f>
        <v>Actual</v>
      </c>
      <c r="N180" s="150">
        <f ca="1">IFERROR(INDEX(INDIRECT(E180),0,MATCH(F180,MO_Common_ColumnHeader,0)),"N/A")</f>
        <v>1791</v>
      </c>
      <c r="O180" s="137"/>
      <c r="P180" s="153">
        <f ca="1">IF(ISNUMBER(N180),N180-K180,"N/A")</f>
        <v>-709</v>
      </c>
      <c r="Q180" s="154">
        <f ca="1">IFERROR(IF(ISNUMBER(N180),(N180-K180)/ABS(K180),"N/A"),"N/A")</f>
        <v>-0.28360000000000002</v>
      </c>
      <c r="R180" s="137"/>
      <c r="S180" s="151">
        <v>44225</v>
      </c>
      <c r="T180" s="155" t="s">
        <v>407</v>
      </c>
      <c r="U180" s="137"/>
    </row>
    <row r="181" spans="1:21" x14ac:dyDescent="0.3">
      <c r="A181" s="143">
        <v>46</v>
      </c>
      <c r="B181" s="137"/>
      <c r="C181" s="137"/>
      <c r="D181" s="138"/>
      <c r="E181" s="139"/>
      <c r="F181" s="137"/>
      <c r="G181" s="137"/>
      <c r="H181" s="137"/>
      <c r="I181" s="117"/>
      <c r="J181" s="117"/>
      <c r="K181" s="117"/>
      <c r="L181" s="137"/>
      <c r="M181" s="137"/>
      <c r="N181" s="117"/>
      <c r="O181" s="137"/>
      <c r="P181" s="220"/>
      <c r="Q181" s="122"/>
      <c r="R181" s="137"/>
      <c r="S181" s="219"/>
      <c r="T181" s="221"/>
      <c r="U181" s="137"/>
    </row>
    <row r="182" spans="1:21" x14ac:dyDescent="0.3">
      <c r="A182" s="143">
        <v>45</v>
      </c>
      <c r="B182" s="148" t="str">
        <f t="shared" ref="B182:B190" si="88">IF(INDEX(MO_SNA_IsHistoricalPeriod,,MATCH(F182,MO_Common_ColumnHeader,0)),"Historical","Forward")</f>
        <v>Historical</v>
      </c>
      <c r="C182" s="137"/>
      <c r="D182" s="152" t="s">
        <v>530</v>
      </c>
      <c r="E182" s="149"/>
      <c r="F182" s="148" t="s">
        <v>551</v>
      </c>
      <c r="G182" s="148"/>
      <c r="H182" s="137"/>
      <c r="I182" s="150">
        <v>-5000</v>
      </c>
      <c r="J182" s="150">
        <v>-5000</v>
      </c>
      <c r="K182" s="150">
        <f t="shared" ref="K182:K190" si="89">AVERAGE(I182:J182)</f>
        <v>-5000</v>
      </c>
      <c r="L182" s="137"/>
      <c r="M182" s="148" t="str">
        <f t="shared" ref="M182:M190" si="90">IF(INDEX(MO_SNA_IsHistoricalPeriod,,MATCH(F182,MO_Common_ColumnHeader,0)),"Actual","Estimate")</f>
        <v>Actual</v>
      </c>
      <c r="N182" s="150"/>
      <c r="O182" s="137"/>
      <c r="P182" s="153"/>
      <c r="Q182" s="154"/>
      <c r="R182" s="137"/>
      <c r="S182" s="151">
        <v>44168</v>
      </c>
      <c r="T182" s="155" t="s">
        <v>410</v>
      </c>
      <c r="U182" s="137"/>
    </row>
    <row r="183" spans="1:21" x14ac:dyDescent="0.3">
      <c r="A183" s="143">
        <v>44</v>
      </c>
      <c r="B183" s="148" t="str">
        <f t="shared" si="88"/>
        <v>Historical</v>
      </c>
      <c r="C183" s="137"/>
      <c r="D183" s="152" t="s">
        <v>531</v>
      </c>
      <c r="E183" s="149"/>
      <c r="F183" s="148" t="s">
        <v>551</v>
      </c>
      <c r="G183" s="148"/>
      <c r="H183" s="137"/>
      <c r="I183" s="150">
        <v>-6500</v>
      </c>
      <c r="J183" s="150">
        <v>-6500</v>
      </c>
      <c r="K183" s="150">
        <f t="shared" si="89"/>
        <v>-6500</v>
      </c>
      <c r="L183" s="137"/>
      <c r="M183" s="148" t="str">
        <f t="shared" si="90"/>
        <v>Actual</v>
      </c>
      <c r="N183" s="150"/>
      <c r="O183" s="137"/>
      <c r="P183" s="153"/>
      <c r="Q183" s="154"/>
      <c r="R183" s="137"/>
      <c r="S183" s="151">
        <v>44168</v>
      </c>
      <c r="T183" s="155" t="s">
        <v>410</v>
      </c>
      <c r="U183" s="137"/>
    </row>
    <row r="184" spans="1:21" x14ac:dyDescent="0.3">
      <c r="A184" s="143">
        <v>43</v>
      </c>
      <c r="B184" s="148" t="str">
        <f t="shared" si="88"/>
        <v>Historical</v>
      </c>
      <c r="C184" s="137"/>
      <c r="D184" s="152" t="s">
        <v>535</v>
      </c>
      <c r="E184" s="149"/>
      <c r="F184" s="148" t="s">
        <v>551</v>
      </c>
      <c r="G184" s="148"/>
      <c r="H184" s="137"/>
      <c r="I184" s="150">
        <v>-11500</v>
      </c>
      <c r="J184" s="150">
        <v>-11500</v>
      </c>
      <c r="K184" s="150">
        <f t="shared" si="89"/>
        <v>-11500</v>
      </c>
      <c r="L184" s="137"/>
      <c r="M184" s="148" t="str">
        <f t="shared" si="90"/>
        <v>Actual</v>
      </c>
      <c r="N184" s="150"/>
      <c r="O184" s="137"/>
      <c r="P184" s="153"/>
      <c r="Q184" s="154"/>
      <c r="R184" s="137"/>
      <c r="S184" s="151">
        <v>44168</v>
      </c>
      <c r="T184" s="155" t="s">
        <v>410</v>
      </c>
      <c r="U184" s="137"/>
    </row>
    <row r="185" spans="1:21" x14ac:dyDescent="0.3">
      <c r="A185" s="143">
        <v>42</v>
      </c>
      <c r="B185" s="148" t="str">
        <f t="shared" si="88"/>
        <v>Historical</v>
      </c>
      <c r="C185" s="137"/>
      <c r="D185" s="152" t="s">
        <v>532</v>
      </c>
      <c r="E185" s="149"/>
      <c r="F185" s="148" t="s">
        <v>551</v>
      </c>
      <c r="G185" s="148"/>
      <c r="H185" s="137"/>
      <c r="I185" s="150">
        <v>-1200</v>
      </c>
      <c r="J185" s="150">
        <v>-1200</v>
      </c>
      <c r="K185" s="150">
        <f t="shared" si="89"/>
        <v>-1200</v>
      </c>
      <c r="L185" s="137"/>
      <c r="M185" s="148" t="str">
        <f t="shared" si="90"/>
        <v>Actual</v>
      </c>
      <c r="N185" s="150"/>
      <c r="O185" s="137"/>
      <c r="P185" s="153"/>
      <c r="Q185" s="154"/>
      <c r="R185" s="137"/>
      <c r="S185" s="151">
        <v>44168</v>
      </c>
      <c r="T185" s="155" t="s">
        <v>410</v>
      </c>
      <c r="U185" s="137"/>
    </row>
    <row r="186" spans="1:21" x14ac:dyDescent="0.3">
      <c r="A186" s="143">
        <v>41</v>
      </c>
      <c r="B186" s="148" t="str">
        <f t="shared" si="88"/>
        <v>Historical</v>
      </c>
      <c r="C186" s="137"/>
      <c r="D186" s="152" t="s">
        <v>533</v>
      </c>
      <c r="E186" s="149"/>
      <c r="F186" s="148" t="s">
        <v>551</v>
      </c>
      <c r="G186" s="148"/>
      <c r="H186" s="137"/>
      <c r="I186" s="150">
        <v>-900</v>
      </c>
      <c r="J186" s="150">
        <v>-900</v>
      </c>
      <c r="K186" s="150">
        <f t="shared" si="89"/>
        <v>-900</v>
      </c>
      <c r="L186" s="137"/>
      <c r="M186" s="148" t="str">
        <f t="shared" si="90"/>
        <v>Actual</v>
      </c>
      <c r="N186" s="150"/>
      <c r="O186" s="137"/>
      <c r="P186" s="153"/>
      <c r="Q186" s="154"/>
      <c r="R186" s="137"/>
      <c r="S186" s="151">
        <v>44168</v>
      </c>
      <c r="T186" s="155" t="s">
        <v>410</v>
      </c>
      <c r="U186" s="137"/>
    </row>
    <row r="187" spans="1:21" x14ac:dyDescent="0.3">
      <c r="A187" s="143">
        <v>40</v>
      </c>
      <c r="B187" s="148" t="str">
        <f t="shared" si="88"/>
        <v>Historical</v>
      </c>
      <c r="C187" s="137"/>
      <c r="D187" s="152" t="s">
        <v>534</v>
      </c>
      <c r="E187" s="149"/>
      <c r="F187" s="148" t="s">
        <v>551</v>
      </c>
      <c r="G187" s="148"/>
      <c r="H187" s="137"/>
      <c r="I187" s="150">
        <v>-2100</v>
      </c>
      <c r="J187" s="150">
        <v>-2100</v>
      </c>
      <c r="K187" s="150">
        <f t="shared" si="89"/>
        <v>-2100</v>
      </c>
      <c r="L187" s="137"/>
      <c r="M187" s="148" t="str">
        <f t="shared" si="90"/>
        <v>Actual</v>
      </c>
      <c r="N187" s="150"/>
      <c r="O187" s="137"/>
      <c r="P187" s="153"/>
      <c r="Q187" s="154"/>
      <c r="R187" s="137"/>
      <c r="S187" s="151">
        <v>44168</v>
      </c>
      <c r="T187" s="155" t="s">
        <v>410</v>
      </c>
      <c r="U187" s="137"/>
    </row>
    <row r="188" spans="1:21" x14ac:dyDescent="0.3">
      <c r="A188" s="143">
        <v>39</v>
      </c>
      <c r="B188" s="148" t="str">
        <f t="shared" si="88"/>
        <v>Historical</v>
      </c>
      <c r="C188" s="137"/>
      <c r="D188" s="152" t="s">
        <v>537</v>
      </c>
      <c r="E188" s="149"/>
      <c r="F188" s="148" t="s">
        <v>551</v>
      </c>
      <c r="G188" s="148"/>
      <c r="H188" s="137"/>
      <c r="I188" s="150">
        <v>-400</v>
      </c>
      <c r="J188" s="150">
        <v>-400</v>
      </c>
      <c r="K188" s="150">
        <f t="shared" si="89"/>
        <v>-400</v>
      </c>
      <c r="L188" s="137"/>
      <c r="M188" s="148" t="str">
        <f t="shared" si="90"/>
        <v>Actual</v>
      </c>
      <c r="N188" s="150"/>
      <c r="O188" s="137"/>
      <c r="P188" s="153"/>
      <c r="Q188" s="154"/>
      <c r="R188" s="137"/>
      <c r="S188" s="151">
        <v>44168</v>
      </c>
      <c r="T188" s="155" t="s">
        <v>410</v>
      </c>
      <c r="U188" s="137"/>
    </row>
    <row r="189" spans="1:21" x14ac:dyDescent="0.3">
      <c r="A189" s="143">
        <v>38</v>
      </c>
      <c r="B189" s="148" t="str">
        <f t="shared" si="88"/>
        <v>Historical</v>
      </c>
      <c r="C189" s="137"/>
      <c r="D189" s="152" t="s">
        <v>539</v>
      </c>
      <c r="E189" s="149"/>
      <c r="F189" s="148" t="s">
        <v>551</v>
      </c>
      <c r="G189" s="148"/>
      <c r="H189" s="137"/>
      <c r="I189" s="150">
        <v>-4200</v>
      </c>
      <c r="J189" s="150">
        <v>-4200</v>
      </c>
      <c r="K189" s="150">
        <f t="shared" si="89"/>
        <v>-4200</v>
      </c>
      <c r="L189" s="137"/>
      <c r="M189" s="148" t="str">
        <f t="shared" si="90"/>
        <v>Actual</v>
      </c>
      <c r="N189" s="150"/>
      <c r="O189" s="137"/>
      <c r="P189" s="153"/>
      <c r="Q189" s="154"/>
      <c r="R189" s="137"/>
      <c r="S189" s="151">
        <v>44168</v>
      </c>
      <c r="T189" s="155" t="s">
        <v>410</v>
      </c>
      <c r="U189" s="137"/>
    </row>
    <row r="190" spans="1:21" x14ac:dyDescent="0.3">
      <c r="A190" s="143">
        <v>37</v>
      </c>
      <c r="B190" s="148" t="str">
        <f t="shared" si="88"/>
        <v>Historical</v>
      </c>
      <c r="C190" s="137"/>
      <c r="D190" s="152" t="str">
        <f ca="1">INDEX(INDIRECT(E190),0,COLUMN(MO_Common_Column_A))</f>
        <v>Capex</v>
      </c>
      <c r="E190" s="149" t="s">
        <v>536</v>
      </c>
      <c r="F190" s="148" t="s">
        <v>551</v>
      </c>
      <c r="G190" s="148"/>
      <c r="H190" s="137"/>
      <c r="I190" s="150">
        <v>-9700</v>
      </c>
      <c r="J190" s="150">
        <v>-9700</v>
      </c>
      <c r="K190" s="150">
        <f t="shared" si="89"/>
        <v>-9700</v>
      </c>
      <c r="L190" s="137"/>
      <c r="M190" s="148" t="str">
        <f t="shared" si="90"/>
        <v>Actual</v>
      </c>
      <c r="N190" s="150">
        <f ca="1">IFERROR(INDEX(INDIRECT(E190),0,MATCH(F190,MO_Common_ColumnHeader,0)),"N/A")</f>
        <v>-8056</v>
      </c>
      <c r="O190" s="137"/>
      <c r="P190" s="153">
        <f ca="1">IF(ISNUMBER(N190),N190-K190,"N/A")</f>
        <v>1644</v>
      </c>
      <c r="Q190" s="154">
        <f ca="1">IFERROR(IF(ISNUMBER(N190),(N190-K190)/ABS(K190),"N/A"),"N/A")</f>
        <v>0.16948453608247421</v>
      </c>
      <c r="R190" s="137"/>
      <c r="S190" s="151">
        <v>44168</v>
      </c>
      <c r="T190" s="155" t="s">
        <v>410</v>
      </c>
      <c r="U190" s="137"/>
    </row>
    <row r="191" spans="1:21" s="457" customFormat="1" x14ac:dyDescent="0.3">
      <c r="A191" s="143">
        <v>36</v>
      </c>
      <c r="B191" s="141"/>
      <c r="C191" s="142"/>
      <c r="D191" s="309"/>
      <c r="E191" s="141"/>
      <c r="F191" s="141"/>
      <c r="G191" s="141"/>
      <c r="H191" s="142"/>
      <c r="I191" s="142"/>
      <c r="J191" s="142"/>
      <c r="K191" s="142"/>
      <c r="L191" s="142"/>
      <c r="M191" s="141"/>
      <c r="N191" s="142"/>
      <c r="O191" s="142"/>
      <c r="P191" s="310"/>
      <c r="Q191" s="122"/>
      <c r="R191" s="142"/>
      <c r="S191" s="142"/>
      <c r="T191" s="311"/>
      <c r="U191" s="142"/>
    </row>
    <row r="192" spans="1:21" x14ac:dyDescent="0.3">
      <c r="A192" s="143">
        <v>35</v>
      </c>
      <c r="B192" s="148" t="str">
        <f>IF(INDEX(MO_SNA_IsHistoricalPeriod,,MATCH(F192,MO_Common_ColumnHeader,0)),"Historical","Forward")</f>
        <v>Historical</v>
      </c>
      <c r="C192" s="137"/>
      <c r="D192" s="152" t="s">
        <v>404</v>
      </c>
      <c r="E192" s="149" t="s">
        <v>405</v>
      </c>
      <c r="F192" s="148" t="s">
        <v>538</v>
      </c>
      <c r="G192" s="148"/>
      <c r="H192" s="137"/>
      <c r="I192" s="218">
        <v>0</v>
      </c>
      <c r="J192" s="218">
        <v>0</v>
      </c>
      <c r="K192" s="218">
        <f>AVERAGE(I192:J192)</f>
        <v>0</v>
      </c>
      <c r="L192" s="137"/>
      <c r="M192" s="148" t="str">
        <f>IF(INDEX(MO_SNA_IsHistoricalPeriod,,MATCH(F192,MO_Common_ColumnHeader,0)),"Actual","Estimate")</f>
        <v>Actual</v>
      </c>
      <c r="N192" s="218">
        <f>INDEX(MO_OS_Energy_AverageDailyProduction_Total,0,MATCH(F192,MO_Common_ColumnHeader,0))/INDEX(MO_OS_Energy_AverageDailyProduction_Total,0,MATCH("FY2019",MO_Common_ColumnHeader,0))-1</f>
        <v>8.2302283752113681E-3</v>
      </c>
      <c r="O192" s="137"/>
      <c r="P192" s="154">
        <f>IF(ISNUMBER(N192),N192-K192,"N/A")</f>
        <v>8.2302283752113681E-3</v>
      </c>
      <c r="Q192" s="154" t="str">
        <f>IFERROR(IF(ISNUMBER(N192),(N192-K192)/ABS(K192),"N/A"),"N/A")</f>
        <v>N/A</v>
      </c>
      <c r="R192" s="137"/>
      <c r="S192" s="151">
        <v>43957</v>
      </c>
      <c r="T192" s="155" t="s">
        <v>407</v>
      </c>
      <c r="U192" s="137"/>
    </row>
    <row r="193" spans="1:21" x14ac:dyDescent="0.3">
      <c r="A193" s="143">
        <v>34</v>
      </c>
      <c r="B193" s="148" t="str">
        <f>IF(INDEX(MO_SNA_IsHistoricalPeriod,,MATCH(F193,MO_Common_ColumnHeader,0)),"Historical","Forward")</f>
        <v>Historical</v>
      </c>
      <c r="C193" s="137"/>
      <c r="D193" s="152" t="str">
        <f ca="1">INDEX(INDIRECT(E193),0,COLUMN(MO_Common_Column_A))</f>
        <v>Capex</v>
      </c>
      <c r="E193" s="149" t="s">
        <v>536</v>
      </c>
      <c r="F193" s="148" t="s">
        <v>538</v>
      </c>
      <c r="G193" s="148"/>
      <c r="H193" s="137"/>
      <c r="I193" s="150">
        <v>-14000</v>
      </c>
      <c r="J193" s="150">
        <v>-14000</v>
      </c>
      <c r="K193" s="150">
        <f>AVERAGE(I193:J193)</f>
        <v>-14000</v>
      </c>
      <c r="L193" s="137"/>
      <c r="M193" s="148" t="str">
        <f>IF(INDEX(MO_SNA_IsHistoricalPeriod,,MATCH(F193,MO_Common_ColumnHeader,0)),"Actual","Estimate")</f>
        <v>Actual</v>
      </c>
      <c r="N193" s="150">
        <f ca="1">IFERROR(INDEX(INDIRECT(E193),0,MATCH(F193,MO_Common_ColumnHeader,0)),"N/A")</f>
        <v>-8922</v>
      </c>
      <c r="O193" s="137"/>
      <c r="P193" s="153">
        <f ca="1">IF(ISNUMBER(N193),N193-K193,"N/A")</f>
        <v>5078</v>
      </c>
      <c r="Q193" s="154">
        <f ca="1">IFERROR(IF(ISNUMBER(N193),(N193-K193)/ABS(K193),"N/A"),"N/A")</f>
        <v>0.36271428571428571</v>
      </c>
      <c r="R193" s="137"/>
      <c r="S193" s="151">
        <v>43952</v>
      </c>
      <c r="T193" s="155" t="s">
        <v>410</v>
      </c>
      <c r="U193" s="137"/>
    </row>
    <row r="194" spans="1:21" x14ac:dyDescent="0.3">
      <c r="A194" s="143">
        <v>33</v>
      </c>
      <c r="B194" s="137"/>
      <c r="C194" s="137"/>
      <c r="D194" s="138"/>
      <c r="E194" s="139"/>
      <c r="F194" s="137"/>
      <c r="G194" s="137"/>
      <c r="H194" s="137"/>
      <c r="I194" s="117"/>
      <c r="J194" s="117"/>
      <c r="K194" s="117"/>
      <c r="L194" s="137"/>
      <c r="M194" s="137"/>
      <c r="N194" s="117"/>
      <c r="O194" s="137"/>
      <c r="P194" s="220"/>
      <c r="Q194" s="122"/>
      <c r="R194" s="137"/>
      <c r="S194" s="219"/>
      <c r="T194" s="221"/>
      <c r="U194" s="137"/>
    </row>
    <row r="195" spans="1:21" x14ac:dyDescent="0.3">
      <c r="A195" s="143">
        <v>32</v>
      </c>
      <c r="B195" s="148" t="str">
        <f>IF(INDEX(MO_SNA_IsHistoricalPeriod,,MATCH(F195,MO_Common_ColumnHeader,0)),"Historical","Forward")</f>
        <v>Historical</v>
      </c>
      <c r="C195" s="137"/>
      <c r="D195" s="152" t="str">
        <f ca="1">INDEX(INDIRECT(E195),0,COLUMN(MO_Common_Column_A))</f>
        <v>Capex</v>
      </c>
      <c r="E195" s="149" t="s">
        <v>536</v>
      </c>
      <c r="F195" s="148" t="s">
        <v>538</v>
      </c>
      <c r="G195" s="148"/>
      <c r="H195" s="137"/>
      <c r="I195" s="150">
        <v>-10500</v>
      </c>
      <c r="J195" s="150">
        <v>-10500</v>
      </c>
      <c r="K195" s="150">
        <f>AVERAGE(I195:J195)</f>
        <v>-10500</v>
      </c>
      <c r="L195" s="137"/>
      <c r="M195" s="148" t="str">
        <f>IF(INDEX(MO_SNA_IsHistoricalPeriod,,MATCH(F195,MO_Common_ColumnHeader,0)),"Actual","Estimate")</f>
        <v>Actual</v>
      </c>
      <c r="N195" s="150">
        <f ca="1">IFERROR(INDEX(INDIRECT(E195),0,MATCH(F195,MO_Common_ColumnHeader,0)),"N/A")</f>
        <v>-8922</v>
      </c>
      <c r="O195" s="137"/>
      <c r="P195" s="153">
        <f ca="1">IF(ISNUMBER(N195),N195-K195,"N/A")</f>
        <v>1578</v>
      </c>
      <c r="Q195" s="154">
        <f ca="1">IFERROR(IF(ISNUMBER(N195),(N195-K195)/ABS(K195),"N/A"),"N/A")</f>
        <v>0.15028571428571427</v>
      </c>
      <c r="R195" s="137"/>
      <c r="S195" s="151">
        <v>43914</v>
      </c>
      <c r="T195" s="155" t="s">
        <v>410</v>
      </c>
      <c r="U195" s="137"/>
    </row>
    <row r="196" spans="1:21" x14ac:dyDescent="0.3">
      <c r="A196" s="143">
        <v>31</v>
      </c>
      <c r="B196" s="148" t="str">
        <f>IF(INDEX(MO_SNA_IsHistoricalPeriod,,MATCH(F196,MO_Common_ColumnHeader,0)),"Historical","Forward")</f>
        <v>Historical</v>
      </c>
      <c r="C196" s="137"/>
      <c r="D196" s="152" t="s">
        <v>570</v>
      </c>
      <c r="E196" s="149"/>
      <c r="F196" s="148" t="s">
        <v>538</v>
      </c>
      <c r="G196" s="148"/>
      <c r="H196" s="137"/>
      <c r="I196" s="150">
        <v>125</v>
      </c>
      <c r="J196" s="150">
        <v>125</v>
      </c>
      <c r="K196" s="150">
        <f>AVERAGE(I196:J196)</f>
        <v>125</v>
      </c>
      <c r="L196" s="137"/>
      <c r="M196" s="148" t="str">
        <f>IF(INDEX(MO_SNA_IsHistoricalPeriod,,MATCH(F196,MO_Common_ColumnHeader,0)),"Actual","Estimate")</f>
        <v>Actual</v>
      </c>
      <c r="N196" s="150"/>
      <c r="O196" s="137"/>
      <c r="P196" s="153"/>
      <c r="Q196" s="154"/>
      <c r="R196" s="137"/>
      <c r="S196" s="151">
        <v>43914</v>
      </c>
      <c r="T196" s="155" t="s">
        <v>410</v>
      </c>
      <c r="U196" s="137"/>
    </row>
    <row r="197" spans="1:21" x14ac:dyDescent="0.3">
      <c r="A197" s="143">
        <v>30</v>
      </c>
      <c r="B197" s="137"/>
      <c r="C197" s="137"/>
      <c r="D197" s="138"/>
      <c r="E197" s="139"/>
      <c r="F197" s="137"/>
      <c r="G197" s="137"/>
      <c r="H197" s="137"/>
      <c r="I197" s="117"/>
      <c r="J197" s="117"/>
      <c r="K197" s="117"/>
      <c r="L197" s="137"/>
      <c r="M197" s="137"/>
      <c r="N197" s="117"/>
      <c r="O197" s="137"/>
      <c r="P197" s="220"/>
      <c r="Q197" s="122"/>
      <c r="R197" s="137"/>
      <c r="S197" s="219"/>
      <c r="T197" s="221"/>
      <c r="U197" s="137"/>
    </row>
    <row r="198" spans="1:21" x14ac:dyDescent="0.3">
      <c r="A198" s="143">
        <v>29</v>
      </c>
      <c r="B198" s="148" t="str">
        <f>IF(INDEX(MO_SNA_IsHistoricalPeriod,,MATCH(F198,MO_Common_ColumnHeader,0)),"Historical","Forward")</f>
        <v>Historical</v>
      </c>
      <c r="C198" s="137"/>
      <c r="D198" s="152" t="str">
        <f ca="1">INDEX(INDIRECT(E198),0,COLUMN(MO_Common_Column_A))</f>
        <v>Impairment</v>
      </c>
      <c r="E198" s="149" t="s">
        <v>542</v>
      </c>
      <c r="F198" s="148" t="s">
        <v>540</v>
      </c>
      <c r="G198" s="148"/>
      <c r="H198" s="137"/>
      <c r="I198" s="150">
        <v>10000</v>
      </c>
      <c r="J198" s="150">
        <v>11000</v>
      </c>
      <c r="K198" s="150">
        <f>AVERAGE(I198:J198)</f>
        <v>10500</v>
      </c>
      <c r="L198" s="137"/>
      <c r="M198" s="148" t="str">
        <f>IF(INDEX(MO_SNA_IsHistoricalPeriod,,MATCH(F198,MO_Common_ColumnHeader,0)),"Actual","Estimate")</f>
        <v>Actual</v>
      </c>
      <c r="N198" s="150">
        <f ca="1">IFERROR(INDEX(INDIRECT(E198),0,MATCH(F198,MO_Common_ColumnHeader,0)),"N/A")</f>
        <v>0</v>
      </c>
      <c r="O198" s="137"/>
      <c r="P198" s="153">
        <f ca="1">IF(ISNUMBER(N198),N198-K198,"N/A")</f>
        <v>-10500</v>
      </c>
      <c r="Q198" s="154">
        <f ca="1">IFERROR(IF(ISNUMBER(N198),(N198-K198)/ABS(K198),"N/A"),"N/A")</f>
        <v>-1</v>
      </c>
      <c r="R198" s="137"/>
      <c r="S198" s="151">
        <v>43809</v>
      </c>
      <c r="T198" s="155" t="s">
        <v>410</v>
      </c>
      <c r="U198" s="137"/>
    </row>
    <row r="199" spans="1:21" x14ac:dyDescent="0.3">
      <c r="A199" s="143">
        <v>28</v>
      </c>
      <c r="B199" s="137"/>
      <c r="C199" s="137"/>
      <c r="D199" s="138"/>
      <c r="E199" s="139"/>
      <c r="F199" s="137"/>
      <c r="G199" s="137"/>
      <c r="H199" s="137"/>
      <c r="I199" s="117"/>
      <c r="J199" s="117"/>
      <c r="K199" s="117"/>
      <c r="L199" s="137"/>
      <c r="M199" s="137"/>
      <c r="N199" s="117"/>
      <c r="O199" s="137"/>
      <c r="P199" s="220"/>
      <c r="Q199" s="122"/>
      <c r="R199" s="137"/>
      <c r="S199" s="219"/>
      <c r="T199" s="221"/>
      <c r="U199" s="137"/>
    </row>
    <row r="200" spans="1:21" x14ac:dyDescent="0.3">
      <c r="A200" s="143">
        <v>27</v>
      </c>
      <c r="B200" s="148" t="str">
        <f t="shared" ref="B200:B208" si="91">IF(INDEX(MO_SNA_IsHistoricalPeriod,,MATCH(F200,MO_Common_ColumnHeader,0)),"Historical","Forward")</f>
        <v>Historical</v>
      </c>
      <c r="C200" s="137"/>
      <c r="D200" s="152" t="s">
        <v>530</v>
      </c>
      <c r="E200" s="149"/>
      <c r="F200" s="148" t="s">
        <v>538</v>
      </c>
      <c r="G200" s="148"/>
      <c r="H200" s="137"/>
      <c r="I200" s="150">
        <v>-7600</v>
      </c>
      <c r="J200" s="150">
        <v>-7600</v>
      </c>
      <c r="K200" s="150">
        <f t="shared" ref="K200:K208" si="92">AVERAGE(I200:J200)</f>
        <v>-7600</v>
      </c>
      <c r="L200" s="137"/>
      <c r="M200" s="148" t="str">
        <f t="shared" ref="M200:M208" si="93">IF(INDEX(MO_SNA_IsHistoricalPeriod,,MATCH(F200,MO_Common_ColumnHeader,0)),"Actual","Estimate")</f>
        <v>Actual</v>
      </c>
      <c r="N200" s="150"/>
      <c r="O200" s="137"/>
      <c r="P200" s="153"/>
      <c r="Q200" s="154"/>
      <c r="R200" s="137"/>
      <c r="S200" s="151">
        <v>43809</v>
      </c>
      <c r="T200" s="155" t="s">
        <v>410</v>
      </c>
      <c r="U200" s="137"/>
    </row>
    <row r="201" spans="1:21" x14ac:dyDescent="0.3">
      <c r="A201" s="143">
        <v>26</v>
      </c>
      <c r="B201" s="148" t="str">
        <f t="shared" si="91"/>
        <v>Historical</v>
      </c>
      <c r="C201" s="137"/>
      <c r="D201" s="152" t="s">
        <v>531</v>
      </c>
      <c r="E201" s="149"/>
      <c r="F201" s="148" t="s">
        <v>538</v>
      </c>
      <c r="G201" s="148"/>
      <c r="H201" s="137"/>
      <c r="I201" s="150">
        <v>-9100</v>
      </c>
      <c r="J201" s="150">
        <v>-9100</v>
      </c>
      <c r="K201" s="150">
        <f t="shared" si="92"/>
        <v>-9100</v>
      </c>
      <c r="L201" s="137"/>
      <c r="M201" s="148" t="str">
        <f t="shared" si="93"/>
        <v>Actual</v>
      </c>
      <c r="N201" s="150"/>
      <c r="O201" s="137"/>
      <c r="P201" s="153"/>
      <c r="Q201" s="154"/>
      <c r="R201" s="137"/>
      <c r="S201" s="151">
        <v>43809</v>
      </c>
      <c r="T201" s="155" t="s">
        <v>410</v>
      </c>
      <c r="U201" s="137"/>
    </row>
    <row r="202" spans="1:21" x14ac:dyDescent="0.3">
      <c r="A202" s="143">
        <v>25</v>
      </c>
      <c r="B202" s="148" t="str">
        <f t="shared" si="91"/>
        <v>Historical</v>
      </c>
      <c r="C202" s="137"/>
      <c r="D202" s="152" t="s">
        <v>535</v>
      </c>
      <c r="E202" s="149"/>
      <c r="F202" s="148" t="s">
        <v>538</v>
      </c>
      <c r="G202" s="148"/>
      <c r="H202" s="137"/>
      <c r="I202" s="150">
        <v>-16800</v>
      </c>
      <c r="J202" s="150">
        <v>-16800</v>
      </c>
      <c r="K202" s="150">
        <f t="shared" si="92"/>
        <v>-16800</v>
      </c>
      <c r="L202" s="137"/>
      <c r="M202" s="148" t="str">
        <f t="shared" si="93"/>
        <v>Actual</v>
      </c>
      <c r="N202" s="150"/>
      <c r="O202" s="137"/>
      <c r="P202" s="153"/>
      <c r="Q202" s="154"/>
      <c r="R202" s="137"/>
      <c r="S202" s="151">
        <v>43809</v>
      </c>
      <c r="T202" s="155" t="s">
        <v>410</v>
      </c>
      <c r="U202" s="137"/>
    </row>
    <row r="203" spans="1:21" x14ac:dyDescent="0.3">
      <c r="A203" s="143">
        <v>24</v>
      </c>
      <c r="B203" s="148" t="str">
        <f t="shared" si="91"/>
        <v>Historical</v>
      </c>
      <c r="C203" s="137"/>
      <c r="D203" s="152" t="s">
        <v>532</v>
      </c>
      <c r="E203" s="149"/>
      <c r="F203" s="148" t="s">
        <v>538</v>
      </c>
      <c r="G203" s="148"/>
      <c r="H203" s="137"/>
      <c r="I203" s="150">
        <v>-1600</v>
      </c>
      <c r="J203" s="150">
        <v>-1600</v>
      </c>
      <c r="K203" s="150">
        <f t="shared" si="92"/>
        <v>-1600</v>
      </c>
      <c r="L203" s="137"/>
      <c r="M203" s="148" t="str">
        <f t="shared" si="93"/>
        <v>Actual</v>
      </c>
      <c r="N203" s="150"/>
      <c r="O203" s="137"/>
      <c r="P203" s="153"/>
      <c r="Q203" s="154"/>
      <c r="R203" s="137"/>
      <c r="S203" s="151">
        <v>43809</v>
      </c>
      <c r="T203" s="155" t="s">
        <v>410</v>
      </c>
      <c r="U203" s="137"/>
    </row>
    <row r="204" spans="1:21" x14ac:dyDescent="0.3">
      <c r="A204" s="143">
        <v>23</v>
      </c>
      <c r="B204" s="148" t="str">
        <f t="shared" si="91"/>
        <v>Historical</v>
      </c>
      <c r="C204" s="137"/>
      <c r="D204" s="152" t="s">
        <v>533</v>
      </c>
      <c r="E204" s="149"/>
      <c r="F204" s="148" t="s">
        <v>538</v>
      </c>
      <c r="G204" s="148"/>
      <c r="H204" s="137"/>
      <c r="I204" s="150">
        <v>-1200</v>
      </c>
      <c r="J204" s="150">
        <v>-1200</v>
      </c>
      <c r="K204" s="150">
        <f t="shared" si="92"/>
        <v>-1200</v>
      </c>
      <c r="L204" s="137"/>
      <c r="M204" s="148" t="str">
        <f t="shared" si="93"/>
        <v>Actual</v>
      </c>
      <c r="N204" s="150"/>
      <c r="O204" s="137"/>
      <c r="P204" s="153"/>
      <c r="Q204" s="154"/>
      <c r="R204" s="137"/>
      <c r="S204" s="151">
        <v>43809</v>
      </c>
      <c r="T204" s="155" t="s">
        <v>410</v>
      </c>
      <c r="U204" s="137"/>
    </row>
    <row r="205" spans="1:21" x14ac:dyDescent="0.3">
      <c r="A205" s="143">
        <v>22</v>
      </c>
      <c r="B205" s="148" t="str">
        <f t="shared" si="91"/>
        <v>Historical</v>
      </c>
      <c r="C205" s="137"/>
      <c r="D205" s="152" t="s">
        <v>534</v>
      </c>
      <c r="E205" s="149"/>
      <c r="F205" s="148" t="s">
        <v>538</v>
      </c>
      <c r="G205" s="148"/>
      <c r="H205" s="137"/>
      <c r="I205" s="150">
        <v>-2800</v>
      </c>
      <c r="J205" s="150">
        <v>-2800</v>
      </c>
      <c r="K205" s="150">
        <f t="shared" si="92"/>
        <v>-2800</v>
      </c>
      <c r="L205" s="137"/>
      <c r="M205" s="148" t="str">
        <f t="shared" si="93"/>
        <v>Actual</v>
      </c>
      <c r="N205" s="150"/>
      <c r="O205" s="137"/>
      <c r="P205" s="153"/>
      <c r="Q205" s="154"/>
      <c r="R205" s="137"/>
      <c r="S205" s="151">
        <v>43809</v>
      </c>
      <c r="T205" s="155" t="s">
        <v>410</v>
      </c>
      <c r="U205" s="137"/>
    </row>
    <row r="206" spans="1:21" x14ac:dyDescent="0.3">
      <c r="A206" s="143">
        <v>21</v>
      </c>
      <c r="B206" s="148" t="str">
        <f t="shared" si="91"/>
        <v>Historical</v>
      </c>
      <c r="C206" s="137"/>
      <c r="D206" s="152" t="s">
        <v>537</v>
      </c>
      <c r="E206" s="149"/>
      <c r="F206" s="148" t="s">
        <v>538</v>
      </c>
      <c r="G206" s="148"/>
      <c r="H206" s="137"/>
      <c r="I206" s="150">
        <v>-400</v>
      </c>
      <c r="J206" s="150">
        <v>-400</v>
      </c>
      <c r="K206" s="150">
        <f t="shared" si="92"/>
        <v>-400</v>
      </c>
      <c r="L206" s="137"/>
      <c r="M206" s="148" t="str">
        <f t="shared" si="93"/>
        <v>Actual</v>
      </c>
      <c r="N206" s="150"/>
      <c r="O206" s="137"/>
      <c r="P206" s="153"/>
      <c r="Q206" s="154"/>
      <c r="R206" s="137"/>
      <c r="S206" s="151">
        <v>43809</v>
      </c>
      <c r="T206" s="155" t="s">
        <v>410</v>
      </c>
      <c r="U206" s="137"/>
    </row>
    <row r="207" spans="1:21" x14ac:dyDescent="0.3">
      <c r="A207" s="143">
        <v>20</v>
      </c>
      <c r="B207" s="148" t="str">
        <f t="shared" si="91"/>
        <v>Historical</v>
      </c>
      <c r="C207" s="137"/>
      <c r="D207" s="152" t="s">
        <v>539</v>
      </c>
      <c r="E207" s="149"/>
      <c r="F207" s="148" t="s">
        <v>538</v>
      </c>
      <c r="G207" s="148"/>
      <c r="H207" s="137"/>
      <c r="I207" s="150">
        <v>-6200</v>
      </c>
      <c r="J207" s="150">
        <v>-6200</v>
      </c>
      <c r="K207" s="150">
        <f t="shared" si="92"/>
        <v>-6200</v>
      </c>
      <c r="L207" s="137"/>
      <c r="M207" s="148" t="str">
        <f t="shared" si="93"/>
        <v>Actual</v>
      </c>
      <c r="N207" s="150"/>
      <c r="O207" s="137"/>
      <c r="P207" s="153"/>
      <c r="Q207" s="154"/>
      <c r="R207" s="137"/>
      <c r="S207" s="151">
        <v>43809</v>
      </c>
      <c r="T207" s="155" t="s">
        <v>410</v>
      </c>
      <c r="U207" s="137"/>
    </row>
    <row r="208" spans="1:21" x14ac:dyDescent="0.3">
      <c r="A208" s="143">
        <v>19</v>
      </c>
      <c r="B208" s="148" t="str">
        <f t="shared" si="91"/>
        <v>Historical</v>
      </c>
      <c r="C208" s="137"/>
      <c r="D208" s="152" t="str">
        <f ca="1">INDEX(INDIRECT(E208),0,COLUMN(MO_Common_Column_A))</f>
        <v>Capex</v>
      </c>
      <c r="E208" s="149" t="s">
        <v>536</v>
      </c>
      <c r="F208" s="148" t="s">
        <v>538</v>
      </c>
      <c r="G208" s="148"/>
      <c r="H208" s="137"/>
      <c r="I208" s="150">
        <v>-13800</v>
      </c>
      <c r="J208" s="150">
        <v>-13800</v>
      </c>
      <c r="K208" s="150">
        <f t="shared" si="92"/>
        <v>-13800</v>
      </c>
      <c r="L208" s="137"/>
      <c r="M208" s="148" t="str">
        <f t="shared" si="93"/>
        <v>Actual</v>
      </c>
      <c r="N208" s="150">
        <f ca="1">IFERROR(INDEX(INDIRECT(E208),0,MATCH(F208,MO_Common_ColumnHeader,0)),"N/A")</f>
        <v>-8922</v>
      </c>
      <c r="O208" s="137"/>
      <c r="P208" s="153">
        <f ca="1">IF(ISNUMBER(N208),N208-K208,"N/A")</f>
        <v>4878</v>
      </c>
      <c r="Q208" s="154">
        <f ca="1">IFERROR(IF(ISNUMBER(N208),(N208-K208)/ABS(K208),"N/A"),"N/A")</f>
        <v>0.35347826086956524</v>
      </c>
      <c r="R208" s="137"/>
      <c r="S208" s="151">
        <v>43809</v>
      </c>
      <c r="T208" s="155" t="s">
        <v>410</v>
      </c>
      <c r="U208" s="137"/>
    </row>
    <row r="209" spans="1:21" x14ac:dyDescent="0.3">
      <c r="A209" s="143">
        <v>18</v>
      </c>
      <c r="B209" s="137"/>
      <c r="C209" s="137"/>
      <c r="D209" s="138"/>
      <c r="E209" s="139"/>
      <c r="F209" s="137"/>
      <c r="G209" s="137"/>
      <c r="H209" s="137"/>
      <c r="I209" s="117"/>
      <c r="J209" s="117"/>
      <c r="K209" s="117"/>
      <c r="L209" s="137"/>
      <c r="M209" s="137"/>
      <c r="N209" s="117"/>
      <c r="O209" s="137"/>
      <c r="P209" s="220"/>
      <c r="Q209" s="122"/>
      <c r="R209" s="137"/>
      <c r="S209" s="219"/>
      <c r="T209" s="221"/>
      <c r="U209" s="137"/>
    </row>
    <row r="210" spans="1:21" x14ac:dyDescent="0.3">
      <c r="A210" s="143">
        <v>17</v>
      </c>
      <c r="B210" s="148" t="str">
        <f>IF(INDEX(MO_SNA_IsHistoricalPeriod,,MATCH(F210,MO_Common_ColumnHeader,0)),"Historical","Forward")</f>
        <v>Historical</v>
      </c>
      <c r="C210" s="137"/>
      <c r="D210" s="152" t="s">
        <v>550</v>
      </c>
      <c r="E210" s="149"/>
      <c r="F210" s="148" t="s">
        <v>553</v>
      </c>
      <c r="G210" s="148"/>
      <c r="H210" s="137"/>
      <c r="I210" s="150">
        <v>-19000</v>
      </c>
      <c r="J210" s="150">
        <v>-22000</v>
      </c>
      <c r="K210" s="150">
        <f>AVERAGE(I210:J210)</f>
        <v>-20500</v>
      </c>
      <c r="L210" s="137"/>
      <c r="M210" s="148" t="str">
        <f>IF(INDEX(MO_SNA_IsHistoricalPeriod,,MATCH(F210,MO_Common_ColumnHeader,0)),"Actual","Estimate")</f>
        <v>Actual</v>
      </c>
      <c r="N210" s="150"/>
      <c r="O210" s="137"/>
      <c r="P210" s="153"/>
      <c r="Q210" s="154"/>
      <c r="R210" s="137"/>
      <c r="S210" s="151">
        <v>43770</v>
      </c>
      <c r="T210" s="155" t="s">
        <v>407</v>
      </c>
      <c r="U210" s="137"/>
    </row>
    <row r="211" spans="1:21" x14ac:dyDescent="0.3">
      <c r="A211" s="143">
        <v>16</v>
      </c>
      <c r="B211" s="148" t="str">
        <f>IF(INDEX(MO_SNA_IsHistoricalPeriod,,MATCH(F211,MO_Common_ColumnHeader,0)),"Historical","Forward")</f>
        <v>Historical</v>
      </c>
      <c r="C211" s="137"/>
      <c r="D211" s="152" t="s">
        <v>550</v>
      </c>
      <c r="E211" s="149"/>
      <c r="F211" s="148" t="s">
        <v>552</v>
      </c>
      <c r="G211" s="148"/>
      <c r="H211" s="137"/>
      <c r="I211" s="150">
        <v>-19000</v>
      </c>
      <c r="J211" s="150">
        <v>-22000</v>
      </c>
      <c r="K211" s="150">
        <f>AVERAGE(I211:J211)</f>
        <v>-20500</v>
      </c>
      <c r="L211" s="137"/>
      <c r="M211" s="148" t="str">
        <f>IF(INDEX(MO_SNA_IsHistoricalPeriod,,MATCH(F211,MO_Common_ColumnHeader,0)),"Actual","Estimate")</f>
        <v>Actual</v>
      </c>
      <c r="N211" s="150"/>
      <c r="O211" s="137"/>
      <c r="P211" s="153"/>
      <c r="Q211" s="154"/>
      <c r="R211" s="137"/>
      <c r="S211" s="151">
        <v>43770</v>
      </c>
      <c r="T211" s="155" t="s">
        <v>407</v>
      </c>
      <c r="U211" s="137"/>
    </row>
    <row r="212" spans="1:21" x14ac:dyDescent="0.3">
      <c r="A212" s="143">
        <v>15</v>
      </c>
      <c r="B212" s="148" t="str">
        <f>IF(INDEX(MO_SNA_IsHistoricalPeriod,,MATCH(F212,MO_Common_ColumnHeader,0)),"Historical","Forward")</f>
        <v>Historical</v>
      </c>
      <c r="C212" s="137"/>
      <c r="D212" s="152" t="s">
        <v>550</v>
      </c>
      <c r="E212" s="149"/>
      <c r="F212" s="148" t="s">
        <v>551</v>
      </c>
      <c r="G212" s="148"/>
      <c r="H212" s="137"/>
      <c r="I212" s="150">
        <v>-19000</v>
      </c>
      <c r="J212" s="150">
        <v>-22000</v>
      </c>
      <c r="K212" s="150">
        <f>AVERAGE(I212:J212)</f>
        <v>-20500</v>
      </c>
      <c r="L212" s="137"/>
      <c r="M212" s="148" t="str">
        <f>IF(INDEX(MO_SNA_IsHistoricalPeriod,,MATCH(F212,MO_Common_ColumnHeader,0)),"Actual","Estimate")</f>
        <v>Actual</v>
      </c>
      <c r="N212" s="150"/>
      <c r="O212" s="137"/>
      <c r="P212" s="153"/>
      <c r="Q212" s="154"/>
      <c r="R212" s="137"/>
      <c r="S212" s="151">
        <v>43770</v>
      </c>
      <c r="T212" s="155" t="s">
        <v>407</v>
      </c>
      <c r="U212" s="137"/>
    </row>
    <row r="213" spans="1:21" x14ac:dyDescent="0.3">
      <c r="A213" s="143">
        <v>14</v>
      </c>
      <c r="B213" s="148" t="str">
        <f>IF(INDEX(MO_SNA_IsHistoricalPeriod,,MATCH(F213,MO_Common_ColumnHeader,0)),"Historical","Forward")</f>
        <v>Historical</v>
      </c>
      <c r="C213" s="137"/>
      <c r="D213" s="152" t="s">
        <v>550</v>
      </c>
      <c r="E213" s="149"/>
      <c r="F213" s="148" t="s">
        <v>538</v>
      </c>
      <c r="G213" s="148"/>
      <c r="H213" s="137"/>
      <c r="I213" s="150">
        <v>-18000</v>
      </c>
      <c r="J213" s="150">
        <v>-20000</v>
      </c>
      <c r="K213" s="150">
        <f>AVERAGE(I213:J213)</f>
        <v>-19000</v>
      </c>
      <c r="L213" s="137"/>
      <c r="M213" s="148" t="str">
        <f>IF(INDEX(MO_SNA_IsHistoricalPeriod,,MATCH(F213,MO_Common_ColumnHeader,0)),"Actual","Estimate")</f>
        <v>Actual</v>
      </c>
      <c r="N213" s="150"/>
      <c r="O213" s="137"/>
      <c r="P213" s="153"/>
      <c r="Q213" s="154"/>
      <c r="R213" s="137"/>
      <c r="S213" s="151">
        <v>43770</v>
      </c>
      <c r="T213" s="155" t="s">
        <v>407</v>
      </c>
      <c r="U213" s="137"/>
    </row>
    <row r="214" spans="1:21" x14ac:dyDescent="0.3">
      <c r="A214" s="143">
        <v>13</v>
      </c>
      <c r="B214" s="137"/>
      <c r="C214" s="137"/>
      <c r="D214" s="138"/>
      <c r="E214" s="139"/>
      <c r="F214" s="137"/>
      <c r="G214" s="137"/>
      <c r="H214" s="137"/>
      <c r="I214" s="117"/>
      <c r="J214" s="117"/>
      <c r="K214" s="117"/>
      <c r="L214" s="137"/>
      <c r="M214" s="137"/>
      <c r="N214" s="117"/>
      <c r="O214" s="137"/>
      <c r="P214" s="220"/>
      <c r="Q214" s="122"/>
      <c r="R214" s="137"/>
      <c r="S214" s="219"/>
      <c r="T214" s="221"/>
      <c r="U214" s="137"/>
    </row>
    <row r="215" spans="1:21" x14ac:dyDescent="0.3">
      <c r="A215" s="143">
        <v>12</v>
      </c>
      <c r="B215" s="148" t="str">
        <f>IF(INDEX(MO_SNA_IsHistoricalPeriod,,MATCH(F215,MO_Common_ColumnHeader,0)),"Historical","Forward")</f>
        <v>Historical</v>
      </c>
      <c r="C215" s="137"/>
      <c r="D215" s="152" t="s">
        <v>404</v>
      </c>
      <c r="E215" s="149" t="s">
        <v>405</v>
      </c>
      <c r="F215" s="148" t="s">
        <v>406</v>
      </c>
      <c r="G215" s="148"/>
      <c r="H215" s="137"/>
      <c r="I215" s="218">
        <v>0.04</v>
      </c>
      <c r="J215" s="218">
        <v>7.0000000000000007E-2</v>
      </c>
      <c r="K215" s="218">
        <f>AVERAGE(I215:J215)</f>
        <v>5.5000000000000007E-2</v>
      </c>
      <c r="L215" s="137"/>
      <c r="M215" s="148" t="str">
        <f>IF(INDEX(MO_SNA_IsHistoricalPeriod,,MATCH(F215,MO_Common_ColumnHeader,0)),"Actual","Estimate")</f>
        <v>Actual</v>
      </c>
      <c r="N215" s="218">
        <f>INDEX(MO_OS_Energy_AverageDailyProduction_Total,0,MATCH(F215,MO_Common_ColumnHeader,0))/INDEX(MO_OS_Energy_AverageDailyProduction_Total,0,MATCH("FY2018",MO_Common_ColumnHeader,0))-1</f>
        <v>4.3569762812126545E-2</v>
      </c>
      <c r="O215" s="137"/>
      <c r="P215" s="154">
        <f>IF(ISNUMBER(N215),N215-K215,"N/A")</f>
        <v>-1.1430237187873463E-2</v>
      </c>
      <c r="Q215" s="154">
        <f>IFERROR(IF(ISNUMBER(N215),(N215-K215)/ABS(K215),"N/A"),"N/A")</f>
        <v>-0.20782249432497202</v>
      </c>
      <c r="R215" s="137"/>
      <c r="S215" s="151">
        <v>43770</v>
      </c>
      <c r="T215" s="155" t="s">
        <v>407</v>
      </c>
      <c r="U215" s="137"/>
    </row>
    <row r="216" spans="1:21" x14ac:dyDescent="0.3">
      <c r="A216" s="143">
        <v>11</v>
      </c>
      <c r="B216" s="148" t="str">
        <f>IF(INDEX(MO_SNA_IsHistoricalPeriod,,MATCH(F216,MO_Common_ColumnHeader,0)),"Historical","Forward")</f>
        <v>Historical</v>
      </c>
      <c r="C216" s="137"/>
      <c r="D216" s="152" t="s">
        <v>544</v>
      </c>
      <c r="E216" s="149"/>
      <c r="F216" s="148" t="s">
        <v>406</v>
      </c>
      <c r="G216" s="148"/>
      <c r="H216" s="137"/>
      <c r="I216" s="150">
        <v>30</v>
      </c>
      <c r="J216" s="150">
        <v>30</v>
      </c>
      <c r="K216" s="150">
        <f>AVERAGE(I216:J216)</f>
        <v>30</v>
      </c>
      <c r="L216" s="137"/>
      <c r="M216" s="148" t="str">
        <f>IF(INDEX(MO_SNA_IsHistoricalPeriod,,MATCH(F216,MO_Common_ColumnHeader,0)),"Actual","Estimate")</f>
        <v>Actual</v>
      </c>
      <c r="N216" s="150"/>
      <c r="O216" s="137"/>
      <c r="P216" s="153"/>
      <c r="Q216" s="154"/>
      <c r="R216" s="137"/>
      <c r="S216" s="151">
        <v>43770</v>
      </c>
      <c r="T216" s="155" t="s">
        <v>407</v>
      </c>
      <c r="U216" s="137"/>
    </row>
    <row r="217" spans="1:21" x14ac:dyDescent="0.3">
      <c r="A217" s="143">
        <v>10</v>
      </c>
      <c r="B217" s="148" t="str">
        <f>IF(INDEX(MO_SNA_IsHistoricalPeriod,,MATCH(F217,MO_Common_ColumnHeader,0)),"Historical","Forward")</f>
        <v>Historical</v>
      </c>
      <c r="C217" s="137"/>
      <c r="D217" s="152" t="s">
        <v>545</v>
      </c>
      <c r="E217" s="149"/>
      <c r="F217" s="148" t="s">
        <v>406</v>
      </c>
      <c r="G217" s="148"/>
      <c r="H217" s="137"/>
      <c r="I217" s="150">
        <v>70</v>
      </c>
      <c r="J217" s="150">
        <v>70</v>
      </c>
      <c r="K217" s="150">
        <f>AVERAGE(I217:J217)</f>
        <v>70</v>
      </c>
      <c r="L217" s="137"/>
      <c r="M217" s="148" t="str">
        <f>IF(INDEX(MO_SNA_IsHistoricalPeriod,,MATCH(F217,MO_Common_ColumnHeader,0)),"Actual","Estimate")</f>
        <v>Actual</v>
      </c>
      <c r="N217" s="150"/>
      <c r="O217" s="137"/>
      <c r="P217" s="153"/>
      <c r="Q217" s="154"/>
      <c r="R217" s="137"/>
      <c r="S217" s="151">
        <v>43770</v>
      </c>
      <c r="T217" s="155" t="s">
        <v>407</v>
      </c>
      <c r="U217" s="137"/>
    </row>
    <row r="218" spans="1:21" x14ac:dyDescent="0.3">
      <c r="A218" s="143">
        <v>9</v>
      </c>
      <c r="B218" s="148" t="str">
        <f>IF(INDEX(MO_SNA_IsHistoricalPeriod,,MATCH(F218,MO_Common_ColumnHeader,0)),"Historical","Forward")</f>
        <v>Historical</v>
      </c>
      <c r="C218" s="137"/>
      <c r="D218" s="152" t="s">
        <v>547</v>
      </c>
      <c r="E218" s="149"/>
      <c r="F218" s="148" t="s">
        <v>406</v>
      </c>
      <c r="G218" s="148"/>
      <c r="H218" s="137"/>
      <c r="I218" s="150">
        <v>2000</v>
      </c>
      <c r="J218" s="150">
        <v>2000</v>
      </c>
      <c r="K218" s="150">
        <f>AVERAGE(I218:J218)</f>
        <v>2000</v>
      </c>
      <c r="L218" s="137"/>
      <c r="M218" s="148" t="str">
        <f>IF(INDEX(MO_SNA_IsHistoricalPeriod,,MATCH(F218,MO_Common_ColumnHeader,0)),"Actual","Estimate")</f>
        <v>Actual</v>
      </c>
      <c r="N218" s="150"/>
      <c r="O218" s="137"/>
      <c r="P218" s="153"/>
      <c r="Q218" s="154"/>
      <c r="R218" s="137"/>
      <c r="S218" s="151">
        <v>43770</v>
      </c>
      <c r="T218" s="155" t="s">
        <v>407</v>
      </c>
      <c r="U218" s="137"/>
    </row>
    <row r="219" spans="1:21" x14ac:dyDescent="0.3">
      <c r="A219" s="143">
        <v>8</v>
      </c>
      <c r="B219" s="137"/>
      <c r="C219" s="137"/>
      <c r="D219" s="138"/>
      <c r="E219" s="139"/>
      <c r="F219" s="137"/>
      <c r="G219" s="137"/>
      <c r="H219" s="137"/>
      <c r="I219" s="117"/>
      <c r="J219" s="117"/>
      <c r="K219" s="117"/>
      <c r="L219" s="137"/>
      <c r="M219" s="137"/>
      <c r="N219" s="117"/>
      <c r="O219" s="137"/>
      <c r="P219" s="220"/>
      <c r="Q219" s="122"/>
      <c r="R219" s="137"/>
      <c r="S219" s="219"/>
      <c r="T219" s="221"/>
      <c r="U219" s="137"/>
    </row>
    <row r="220" spans="1:21" x14ac:dyDescent="0.3">
      <c r="A220" s="143">
        <v>7</v>
      </c>
      <c r="B220" s="148" t="str">
        <f>IF(INDEX(MO_SNA_IsHistoricalPeriod,,MATCH(F220,MO_Common_ColumnHeader,0)),"Historical","Forward")</f>
        <v>Historical</v>
      </c>
      <c r="C220" s="137"/>
      <c r="D220" s="152" t="s">
        <v>546</v>
      </c>
      <c r="E220" s="149"/>
      <c r="F220" s="148" t="s">
        <v>540</v>
      </c>
      <c r="G220" s="148"/>
      <c r="H220" s="137"/>
      <c r="I220" s="150">
        <v>-120</v>
      </c>
      <c r="J220" s="150">
        <v>-120</v>
      </c>
      <c r="K220" s="150">
        <f>AVERAGE(I220:J220)</f>
        <v>-120</v>
      </c>
      <c r="L220" s="137"/>
      <c r="M220" s="148" t="str">
        <f>IF(INDEX(MO_SNA_IsHistoricalPeriod,,MATCH(F220,MO_Common_ColumnHeader,0)),"Actual","Estimate")</f>
        <v>Actual</v>
      </c>
      <c r="N220" s="150"/>
      <c r="O220" s="137"/>
      <c r="P220" s="153"/>
      <c r="Q220" s="154"/>
      <c r="R220" s="137"/>
      <c r="S220" s="151">
        <v>43770</v>
      </c>
      <c r="T220" s="155" t="s">
        <v>407</v>
      </c>
      <c r="U220" s="137"/>
    </row>
    <row r="221" spans="1:21" x14ac:dyDescent="0.3">
      <c r="A221" s="143">
        <v>6</v>
      </c>
      <c r="B221" s="148" t="str">
        <f>IF(INDEX(MO_SNA_IsHistoricalPeriod,,MATCH(F221,MO_Common_ColumnHeader,0)),"Historical","Forward")</f>
        <v>Historical</v>
      </c>
      <c r="C221" s="137"/>
      <c r="D221" s="152" t="s">
        <v>548</v>
      </c>
      <c r="E221" s="149"/>
      <c r="F221" s="148" t="s">
        <v>540</v>
      </c>
      <c r="G221" s="148"/>
      <c r="H221" s="137"/>
      <c r="I221" s="150">
        <v>430</v>
      </c>
      <c r="J221" s="150">
        <v>430</v>
      </c>
      <c r="K221" s="150">
        <f>AVERAGE(I221:J221)</f>
        <v>430</v>
      </c>
      <c r="L221" s="137"/>
      <c r="M221" s="148" t="str">
        <f>IF(INDEX(MO_SNA_IsHistoricalPeriod,,MATCH(F221,MO_Common_ColumnHeader,0)),"Actual","Estimate")</f>
        <v>Actual</v>
      </c>
      <c r="N221" s="150"/>
      <c r="O221" s="137"/>
      <c r="P221" s="153"/>
      <c r="Q221" s="154"/>
      <c r="R221" s="137"/>
      <c r="S221" s="151">
        <v>43770</v>
      </c>
      <c r="T221" s="155" t="s">
        <v>407</v>
      </c>
      <c r="U221" s="137"/>
    </row>
    <row r="222" spans="1:21" x14ac:dyDescent="0.3">
      <c r="A222" s="143">
        <v>5</v>
      </c>
      <c r="B222" s="148" t="str">
        <f>IF(INDEX(MO_SNA_IsHistoricalPeriod,,MATCH(F222,MO_Common_ColumnHeader,0)),"Historical","Forward")</f>
        <v>Historical</v>
      </c>
      <c r="C222" s="137"/>
      <c r="D222" s="152" t="str">
        <f ca="1">INDEX(INDIRECT(E222),0,COLUMN(MO_Common_Column_A))</f>
        <v>Net sales of treasury shares</v>
      </c>
      <c r="E222" s="149" t="s">
        <v>549</v>
      </c>
      <c r="F222" s="148" t="s">
        <v>540</v>
      </c>
      <c r="G222" s="148"/>
      <c r="H222" s="137"/>
      <c r="I222" s="150">
        <v>-1250</v>
      </c>
      <c r="J222" s="150">
        <v>-1250</v>
      </c>
      <c r="K222" s="150">
        <f>AVERAGE(I222:J222)</f>
        <v>-1250</v>
      </c>
      <c r="L222" s="137"/>
      <c r="M222" s="148" t="str">
        <f>IF(INDEX(MO_SNA_IsHistoricalPeriod,,MATCH(F222,MO_Common_ColumnHeader,0)),"Actual","Estimate")</f>
        <v>Actual</v>
      </c>
      <c r="N222" s="150">
        <f ca="1">IFERROR(INDEX(INDIRECT(E222),0,MATCH(F222,MO_Common_ColumnHeader,0)),"N/A")</f>
        <v>-1090</v>
      </c>
      <c r="O222" s="137"/>
      <c r="P222" s="153">
        <f ca="1">IF(ISNUMBER(N222),N222-K222,"N/A")</f>
        <v>160</v>
      </c>
      <c r="Q222" s="154">
        <f ca="1">IFERROR(IF(ISNUMBER(N222),(N222-K222)/ABS(K222),"N/A"),"N/A")</f>
        <v>0.128</v>
      </c>
      <c r="R222" s="137"/>
      <c r="S222" s="151">
        <v>43770</v>
      </c>
      <c r="T222" s="155" t="s">
        <v>407</v>
      </c>
      <c r="U222" s="137"/>
    </row>
    <row r="223" spans="1:21" x14ac:dyDescent="0.3">
      <c r="A223" s="143">
        <v>4</v>
      </c>
      <c r="B223" s="137"/>
      <c r="C223" s="137"/>
      <c r="D223" s="138"/>
      <c r="E223" s="139"/>
      <c r="F223" s="137"/>
      <c r="G223" s="137"/>
      <c r="H223" s="137"/>
      <c r="I223" s="117"/>
      <c r="J223" s="117"/>
      <c r="K223" s="117"/>
      <c r="L223" s="137"/>
      <c r="M223" s="137"/>
      <c r="N223" s="117"/>
      <c r="O223" s="137"/>
      <c r="P223" s="220"/>
      <c r="Q223" s="122"/>
      <c r="R223" s="137"/>
      <c r="S223" s="219"/>
      <c r="T223" s="221"/>
      <c r="U223" s="137"/>
    </row>
    <row r="224" spans="1:21" x14ac:dyDescent="0.3">
      <c r="A224" s="143">
        <v>3</v>
      </c>
      <c r="B224" s="148" t="str">
        <f>IF(INDEX(MO_SNA_IsHistoricalPeriod,,MATCH(F224,MO_Common_ColumnHeader,0)),"Historical","Forward")</f>
        <v>Historical</v>
      </c>
      <c r="C224" s="137"/>
      <c r="D224" s="152" t="s">
        <v>404</v>
      </c>
      <c r="E224" s="149" t="s">
        <v>405</v>
      </c>
      <c r="F224" s="148" t="s">
        <v>406</v>
      </c>
      <c r="G224" s="148"/>
      <c r="H224" s="137"/>
      <c r="I224" s="218">
        <v>0.04</v>
      </c>
      <c r="J224" s="218">
        <v>7.0000000000000007E-2</v>
      </c>
      <c r="K224" s="218">
        <f>AVERAGE(I224:J224)</f>
        <v>5.5000000000000007E-2</v>
      </c>
      <c r="L224" s="137"/>
      <c r="M224" s="148" t="str">
        <f>IF(INDEX(MO_SNA_IsHistoricalPeriod,,MATCH(F224,MO_Common_ColumnHeader,0)),"Actual","Estimate")</f>
        <v>Actual</v>
      </c>
      <c r="N224" s="218">
        <f>INDEX(MO_OS_Energy_AverageDailyProduction_Total,0,MATCH(F224,MO_Common_ColumnHeader,0))/INDEX(MO_OS_Energy_AverageDailyProduction_Total,0,MATCH("FY2018",MO_Common_ColumnHeader,0))-1</f>
        <v>4.3569762812126545E-2</v>
      </c>
      <c r="O224" s="137"/>
      <c r="P224" s="154">
        <f>IF(ISNUMBER(N224),N224-K224,"N/A")</f>
        <v>-1.1430237187873463E-2</v>
      </c>
      <c r="Q224" s="154">
        <f>IFERROR(IF(ISNUMBER(N224),(N224-K224)/ABS(K224),"N/A"),"N/A")</f>
        <v>-0.20782249432497202</v>
      </c>
      <c r="R224" s="137"/>
      <c r="S224" s="151">
        <v>43497</v>
      </c>
      <c r="T224" s="155" t="s">
        <v>407</v>
      </c>
      <c r="U224" s="137"/>
    </row>
    <row r="225" spans="1:21" x14ac:dyDescent="0.3">
      <c r="A225" s="143">
        <v>2</v>
      </c>
      <c r="B225" s="137"/>
      <c r="C225" s="137"/>
      <c r="D225" s="138"/>
      <c r="E225" s="139"/>
      <c r="F225" s="137"/>
      <c r="G225" s="137"/>
      <c r="H225" s="137"/>
      <c r="I225" s="117"/>
      <c r="J225" s="117"/>
      <c r="K225" s="117"/>
      <c r="L225" s="137"/>
      <c r="M225" s="137"/>
      <c r="N225" s="117"/>
      <c r="O225" s="137"/>
      <c r="P225" s="220"/>
      <c r="Q225" s="122"/>
      <c r="R225" s="137"/>
      <c r="S225" s="219"/>
      <c r="T225" s="221"/>
      <c r="U225" s="137"/>
    </row>
    <row r="226" spans="1:21" x14ac:dyDescent="0.3">
      <c r="A226" s="143">
        <v>1</v>
      </c>
      <c r="B226" s="148" t="str">
        <f>IF(INDEX(MO_SNA_IsHistoricalPeriod,,MATCH(F226,MO_Common_ColumnHeader,0)),"Historical","Forward")</f>
        <v>Historical</v>
      </c>
      <c r="C226" s="137"/>
      <c r="D226" s="152" t="str">
        <f ca="1">INDEX(INDIRECT(E226),0,COLUMN(MO_Common_Column_A))</f>
        <v>Capex</v>
      </c>
      <c r="E226" s="149" t="s">
        <v>408</v>
      </c>
      <c r="F226" s="148" t="s">
        <v>409</v>
      </c>
      <c r="G226" s="148"/>
      <c r="H226" s="137"/>
      <c r="I226" s="150">
        <v>-12800</v>
      </c>
      <c r="J226" s="150">
        <v>-12800</v>
      </c>
      <c r="K226" s="150">
        <f>AVERAGE(I226:J226)</f>
        <v>-12800</v>
      </c>
      <c r="L226" s="137"/>
      <c r="M226" s="148" t="str">
        <f>IF(INDEX(MO_SNA_IsHistoricalPeriod,,MATCH(F226,MO_Common_ColumnHeader,0)),"Actual","Estimate")</f>
        <v>Actual</v>
      </c>
      <c r="N226" s="150">
        <f ca="1">IFERROR(INDEX(INDIRECT(E226),0,MATCH(F226,MO_Common_ColumnHeader,0)),"N/A")</f>
        <v>-13792</v>
      </c>
      <c r="O226" s="137"/>
      <c r="P226" s="153">
        <f ca="1">IF(ISNUMBER(N226),N226-K226,"N/A")</f>
        <v>-992</v>
      </c>
      <c r="Q226" s="154">
        <f ca="1">IFERROR(IF(ISNUMBER(N226),(N226-K226)/ABS(K226),"N/A"),"N/A")</f>
        <v>-7.7499999999999999E-2</v>
      </c>
      <c r="R226" s="137"/>
      <c r="S226" s="151">
        <v>43075</v>
      </c>
      <c r="T226" s="155" t="s">
        <v>410</v>
      </c>
      <c r="U226" s="137"/>
    </row>
    <row r="227" spans="1:21" x14ac:dyDescent="0.3">
      <c r="A227" s="143">
        <v>0</v>
      </c>
      <c r="B227" s="137"/>
      <c r="C227" s="137"/>
      <c r="D227" s="137"/>
      <c r="E227" s="139"/>
      <c r="F227" s="137"/>
      <c r="G227" s="137"/>
      <c r="H227" s="137"/>
      <c r="I227" s="137"/>
      <c r="J227" s="137"/>
      <c r="K227" s="137"/>
      <c r="L227" s="137"/>
      <c r="M227" s="137"/>
      <c r="N227" s="137"/>
      <c r="O227" s="137"/>
      <c r="P227" s="137"/>
      <c r="Q227" s="140"/>
      <c r="R227" s="137"/>
      <c r="S227" s="141"/>
      <c r="T227" s="137"/>
      <c r="U227" s="137"/>
    </row>
  </sheetData>
  <autoFilter ref="A5:U5" xr:uid="{00000000-0009-0000-0000-000002000000}"/>
  <conditionalFormatting sqref="Q1:Q3 Q5 Q44 Q154 Q165 Q170:Q171 Q191 Q226:Q227">
    <cfRule type="colorScale" priority="345">
      <colorScale>
        <cfvo type="num" val="-0.1"/>
        <cfvo type="num" val="0"/>
        <cfvo type="num" val="0.1"/>
        <color rgb="FFF8696B"/>
        <color rgb="FFFFEB84"/>
        <color rgb="FF63BE7B"/>
      </colorScale>
    </cfRule>
  </conditionalFormatting>
  <conditionalFormatting sqref="Q6">
    <cfRule type="colorScale" priority="13">
      <colorScale>
        <cfvo type="num" val="-0.1"/>
        <cfvo type="num" val="0"/>
        <cfvo type="num" val="0.1"/>
        <color rgb="FFF8696B"/>
        <color rgb="FFFFEB84"/>
        <color rgb="FF63BE7B"/>
      </colorScale>
    </cfRule>
  </conditionalFormatting>
  <conditionalFormatting sqref="Q7">
    <cfRule type="colorScale" priority="11">
      <colorScale>
        <cfvo type="num" val="-0.1"/>
        <cfvo type="num" val="0"/>
        <cfvo type="num" val="0.1"/>
        <color rgb="FFF8696B"/>
        <color rgb="FFFFEB84"/>
        <color rgb="FF63BE7B"/>
      </colorScale>
    </cfRule>
  </conditionalFormatting>
  <conditionalFormatting sqref="Q8">
    <cfRule type="colorScale" priority="18">
      <colorScale>
        <cfvo type="num" val="-0.1"/>
        <cfvo type="num" val="0"/>
        <cfvo type="num" val="0.1"/>
        <color rgb="FFF8696B"/>
        <color rgb="FFFFEB84"/>
        <color rgb="FF63BE7B"/>
      </colorScale>
    </cfRule>
    <cfRule type="colorScale" priority="19">
      <colorScale>
        <cfvo type="num" val="-0.1"/>
        <cfvo type="num" val="0"/>
        <cfvo type="num" val="0.1"/>
        <color rgb="FFF8696B"/>
        <color rgb="FFFFEB84"/>
        <color rgb="FF63BE7B"/>
      </colorScale>
    </cfRule>
  </conditionalFormatting>
  <conditionalFormatting sqref="Q9">
    <cfRule type="colorScale" priority="23">
      <colorScale>
        <cfvo type="num" val="-0.1"/>
        <cfvo type="num" val="0"/>
        <cfvo type="num" val="0.1"/>
        <color rgb="FFF8696B"/>
        <color rgb="FFFFEB84"/>
        <color rgb="FF63BE7B"/>
      </colorScale>
    </cfRule>
    <cfRule type="colorScale" priority="24">
      <colorScale>
        <cfvo type="num" val="-0.1"/>
        <cfvo type="num" val="0"/>
        <cfvo type="num" val="0.1"/>
        <color rgb="FFF8696B"/>
        <color rgb="FFFFEB84"/>
        <color rgb="FF63BE7B"/>
      </colorScale>
    </cfRule>
    <cfRule type="colorScale" priority="25">
      <colorScale>
        <cfvo type="num" val="-0.1"/>
        <cfvo type="num" val="0"/>
        <cfvo type="num" val="0.1"/>
        <color rgb="FFF8696B"/>
        <color rgb="FFFFEB84"/>
        <color rgb="FF63BE7B"/>
      </colorScale>
    </cfRule>
  </conditionalFormatting>
  <conditionalFormatting sqref="Q10">
    <cfRule type="colorScale" priority="22">
      <colorScale>
        <cfvo type="num" val="-0.1"/>
        <cfvo type="num" val="0"/>
        <cfvo type="num" val="0.1"/>
        <color rgb="FFF8696B"/>
        <color rgb="FFFFEB84"/>
        <color rgb="FF63BE7B"/>
      </colorScale>
    </cfRule>
  </conditionalFormatting>
  <conditionalFormatting sqref="Q11">
    <cfRule type="colorScale" priority="21">
      <colorScale>
        <cfvo type="num" val="-0.1"/>
        <cfvo type="num" val="0"/>
        <cfvo type="num" val="0.1"/>
        <color rgb="FFF8696B"/>
        <color rgb="FFFFEB84"/>
        <color rgb="FF63BE7B"/>
      </colorScale>
    </cfRule>
  </conditionalFormatting>
  <conditionalFormatting sqref="Q12">
    <cfRule type="colorScale" priority="20">
      <colorScale>
        <cfvo type="num" val="-0.1"/>
        <cfvo type="num" val="0"/>
        <cfvo type="num" val="0.1"/>
        <color rgb="FFF8696B"/>
        <color rgb="FFFFEB84"/>
        <color rgb="FF63BE7B"/>
      </colorScale>
    </cfRule>
  </conditionalFormatting>
  <conditionalFormatting sqref="Q13">
    <cfRule type="colorScale" priority="26">
      <colorScale>
        <cfvo type="num" val="-0.1"/>
        <cfvo type="num" val="0"/>
        <cfvo type="num" val="0.1"/>
        <color rgb="FFF8696B"/>
        <color rgb="FFFFEB84"/>
        <color rgb="FF63BE7B"/>
      </colorScale>
    </cfRule>
    <cfRule type="colorScale" priority="27">
      <colorScale>
        <cfvo type="num" val="-0.1"/>
        <cfvo type="num" val="0"/>
        <cfvo type="num" val="0.1"/>
        <color rgb="FFF8696B"/>
        <color rgb="FFFFEB84"/>
        <color rgb="FF63BE7B"/>
      </colorScale>
    </cfRule>
  </conditionalFormatting>
  <conditionalFormatting sqref="Q14">
    <cfRule type="colorScale" priority="40">
      <colorScale>
        <cfvo type="num" val="-0.1"/>
        <cfvo type="num" val="0"/>
        <cfvo type="num" val="0.1"/>
        <color rgb="FFF8696B"/>
        <color rgb="FFFFEB84"/>
        <color rgb="FF63BE7B"/>
      </colorScale>
    </cfRule>
  </conditionalFormatting>
  <conditionalFormatting sqref="Q15">
    <cfRule type="colorScale" priority="28">
      <colorScale>
        <cfvo type="num" val="-0.1"/>
        <cfvo type="num" val="0"/>
        <cfvo type="num" val="0.1"/>
        <color rgb="FFF8696B"/>
        <color rgb="FFFFEB84"/>
        <color rgb="FF63BE7B"/>
      </colorScale>
    </cfRule>
  </conditionalFormatting>
  <conditionalFormatting sqref="Q16:Q19">
    <cfRule type="colorScale" priority="39">
      <colorScale>
        <cfvo type="num" val="-0.1"/>
        <cfvo type="num" val="0"/>
        <cfvo type="num" val="0.1"/>
        <color rgb="FFF8696B"/>
        <color rgb="FFFFEB84"/>
        <color rgb="FF63BE7B"/>
      </colorScale>
    </cfRule>
  </conditionalFormatting>
  <conditionalFormatting sqref="Q17">
    <cfRule type="colorScale" priority="41">
      <colorScale>
        <cfvo type="num" val="-0.1"/>
        <cfvo type="num" val="0"/>
        <cfvo type="num" val="0.1"/>
        <color rgb="FFF8696B"/>
        <color rgb="FFFFEB84"/>
        <color rgb="FF63BE7B"/>
      </colorScale>
    </cfRule>
  </conditionalFormatting>
  <conditionalFormatting sqref="Q18">
    <cfRule type="colorScale" priority="35">
      <colorScale>
        <cfvo type="num" val="-0.1"/>
        <cfvo type="num" val="0"/>
        <cfvo type="num" val="0.1"/>
        <color rgb="FFF8696B"/>
        <color rgb="FFFFEB84"/>
        <color rgb="FF63BE7B"/>
      </colorScale>
    </cfRule>
  </conditionalFormatting>
  <conditionalFormatting sqref="Q19">
    <cfRule type="colorScale" priority="36">
      <colorScale>
        <cfvo type="num" val="-0.1"/>
        <cfvo type="num" val="0"/>
        <cfvo type="num" val="0.1"/>
        <color rgb="FFF8696B"/>
        <color rgb="FFFFEB84"/>
        <color rgb="FF63BE7B"/>
      </colorScale>
    </cfRule>
  </conditionalFormatting>
  <conditionalFormatting sqref="Q20">
    <cfRule type="colorScale" priority="38">
      <colorScale>
        <cfvo type="num" val="-0.1"/>
        <cfvo type="num" val="0"/>
        <cfvo type="num" val="0.1"/>
        <color rgb="FFF8696B"/>
        <color rgb="FFFFEB84"/>
        <color rgb="FF63BE7B"/>
      </colorScale>
    </cfRule>
  </conditionalFormatting>
  <conditionalFormatting sqref="Q21">
    <cfRule type="colorScale" priority="37">
      <colorScale>
        <cfvo type="num" val="-0.1"/>
        <cfvo type="num" val="0"/>
        <cfvo type="num" val="0.1"/>
        <color rgb="FFF8696B"/>
        <color rgb="FFFFEB84"/>
        <color rgb="FF63BE7B"/>
      </colorScale>
    </cfRule>
  </conditionalFormatting>
  <conditionalFormatting sqref="Q22">
    <cfRule type="colorScale" priority="42">
      <colorScale>
        <cfvo type="num" val="-0.1"/>
        <cfvo type="num" val="0"/>
        <cfvo type="num" val="0.1"/>
        <color rgb="FFF8696B"/>
        <color rgb="FFFFEB84"/>
        <color rgb="FF63BE7B"/>
      </colorScale>
    </cfRule>
    <cfRule type="colorScale" priority="43">
      <colorScale>
        <cfvo type="num" val="-0.1"/>
        <cfvo type="num" val="0"/>
        <cfvo type="num" val="0.1"/>
        <color rgb="FFF8696B"/>
        <color rgb="FFFFEB84"/>
        <color rgb="FF63BE7B"/>
      </colorScale>
    </cfRule>
    <cfRule type="colorScale" priority="44">
      <colorScale>
        <cfvo type="num" val="-0.1"/>
        <cfvo type="num" val="0"/>
        <cfvo type="num" val="0.1"/>
        <color rgb="FFF8696B"/>
        <color rgb="FFFFEB84"/>
        <color rgb="FF63BE7B"/>
      </colorScale>
    </cfRule>
  </conditionalFormatting>
  <conditionalFormatting sqref="Q23">
    <cfRule type="colorScale" priority="34">
      <colorScale>
        <cfvo type="num" val="-0.1"/>
        <cfvo type="num" val="0"/>
        <cfvo type="num" val="0.1"/>
        <color rgb="FFF8696B"/>
        <color rgb="FFFFEB84"/>
        <color rgb="FF63BE7B"/>
      </colorScale>
    </cfRule>
    <cfRule type="colorScale" priority="33">
      <colorScale>
        <cfvo type="num" val="-0.1"/>
        <cfvo type="num" val="0"/>
        <cfvo type="num" val="0.1"/>
        <color rgb="FFF8696B"/>
        <color rgb="FFFFEB84"/>
        <color rgb="FF63BE7B"/>
      </colorScale>
    </cfRule>
    <cfRule type="colorScale" priority="32">
      <colorScale>
        <cfvo type="num" val="-0.1"/>
        <cfvo type="num" val="0"/>
        <cfvo type="num" val="0.1"/>
        <color rgb="FFF8696B"/>
        <color rgb="FFFFEB84"/>
        <color rgb="FF63BE7B"/>
      </colorScale>
    </cfRule>
  </conditionalFormatting>
  <conditionalFormatting sqref="Q24">
    <cfRule type="colorScale" priority="45">
      <colorScale>
        <cfvo type="num" val="-0.1"/>
        <cfvo type="num" val="0"/>
        <cfvo type="num" val="0.1"/>
        <color rgb="FFF8696B"/>
        <color rgb="FFFFEB84"/>
        <color rgb="FF63BE7B"/>
      </colorScale>
    </cfRule>
    <cfRule type="colorScale" priority="46">
      <colorScale>
        <cfvo type="num" val="-0.1"/>
        <cfvo type="num" val="0"/>
        <cfvo type="num" val="0.1"/>
        <color rgb="FFF8696B"/>
        <color rgb="FFFFEB84"/>
        <color rgb="FF63BE7B"/>
      </colorScale>
    </cfRule>
  </conditionalFormatting>
  <conditionalFormatting sqref="Q25">
    <cfRule type="colorScale" priority="51">
      <colorScale>
        <cfvo type="num" val="-0.1"/>
        <cfvo type="num" val="0"/>
        <cfvo type="num" val="0.1"/>
        <color rgb="FFF8696B"/>
        <color rgb="FFFFEB84"/>
        <color rgb="FF63BE7B"/>
      </colorScale>
    </cfRule>
    <cfRule type="colorScale" priority="52">
      <colorScale>
        <cfvo type="num" val="-0.1"/>
        <cfvo type="num" val="0"/>
        <cfvo type="num" val="0.1"/>
        <color rgb="FFF8696B"/>
        <color rgb="FFFFEB84"/>
        <color rgb="FF63BE7B"/>
      </colorScale>
    </cfRule>
    <cfRule type="colorScale" priority="53">
      <colorScale>
        <cfvo type="num" val="-0.1"/>
        <cfvo type="num" val="0"/>
        <cfvo type="num" val="0.1"/>
        <color rgb="FFF8696B"/>
        <color rgb="FFFFEB84"/>
        <color rgb="FF63BE7B"/>
      </colorScale>
    </cfRule>
  </conditionalFormatting>
  <conditionalFormatting sqref="Q26">
    <cfRule type="colorScale" priority="50">
      <colorScale>
        <cfvo type="num" val="-0.1"/>
        <cfvo type="num" val="0"/>
        <cfvo type="num" val="0.1"/>
        <color rgb="FFF8696B"/>
        <color rgb="FFFFEB84"/>
        <color rgb="FF63BE7B"/>
      </colorScale>
    </cfRule>
  </conditionalFormatting>
  <conditionalFormatting sqref="Q27">
    <cfRule type="colorScale" priority="49">
      <colorScale>
        <cfvo type="num" val="-0.1"/>
        <cfvo type="num" val="0"/>
        <cfvo type="num" val="0.1"/>
        <color rgb="FFF8696B"/>
        <color rgb="FFFFEB84"/>
        <color rgb="FF63BE7B"/>
      </colorScale>
    </cfRule>
  </conditionalFormatting>
  <conditionalFormatting sqref="Q28">
    <cfRule type="colorScale" priority="48">
      <colorScale>
        <cfvo type="num" val="-0.1"/>
        <cfvo type="num" val="0"/>
        <cfvo type="num" val="0.1"/>
        <color rgb="FFF8696B"/>
        <color rgb="FFFFEB84"/>
        <color rgb="FF63BE7B"/>
      </colorScale>
    </cfRule>
  </conditionalFormatting>
  <conditionalFormatting sqref="Q29">
    <cfRule type="colorScale" priority="29">
      <colorScale>
        <cfvo type="num" val="-0.1"/>
        <cfvo type="num" val="0"/>
        <cfvo type="num" val="0.1"/>
        <color rgb="FFF8696B"/>
        <color rgb="FFFFEB84"/>
        <color rgb="FF63BE7B"/>
      </colorScale>
    </cfRule>
    <cfRule type="colorScale" priority="30">
      <colorScale>
        <cfvo type="num" val="-0.1"/>
        <cfvo type="num" val="0"/>
        <cfvo type="num" val="0.1"/>
        <color rgb="FFF8696B"/>
        <color rgb="FFFFEB84"/>
        <color rgb="FF63BE7B"/>
      </colorScale>
    </cfRule>
    <cfRule type="colorScale" priority="31">
      <colorScale>
        <cfvo type="num" val="-0.1"/>
        <cfvo type="num" val="0"/>
        <cfvo type="num" val="0.1"/>
        <color rgb="FFF8696B"/>
        <color rgb="FFFFEB84"/>
        <color rgb="FF63BE7B"/>
      </colorScale>
    </cfRule>
  </conditionalFormatting>
  <conditionalFormatting sqref="Q30">
    <cfRule type="colorScale" priority="55">
      <colorScale>
        <cfvo type="num" val="-0.1"/>
        <cfvo type="num" val="0"/>
        <cfvo type="num" val="0.1"/>
        <color rgb="FFF8696B"/>
        <color rgb="FFFFEB84"/>
        <color rgb="FF63BE7B"/>
      </colorScale>
    </cfRule>
    <cfRule type="colorScale" priority="54">
      <colorScale>
        <cfvo type="num" val="-0.1"/>
        <cfvo type="num" val="0"/>
        <cfvo type="num" val="0.1"/>
        <color rgb="FFF8696B"/>
        <color rgb="FFFFEB84"/>
        <color rgb="FF63BE7B"/>
      </colorScale>
    </cfRule>
  </conditionalFormatting>
  <conditionalFormatting sqref="Q31">
    <cfRule type="colorScale" priority="65">
      <colorScale>
        <cfvo type="num" val="-0.1"/>
        <cfvo type="num" val="0"/>
        <cfvo type="num" val="0.1"/>
        <color rgb="FFF8696B"/>
        <color rgb="FFFFEB84"/>
        <color rgb="FF63BE7B"/>
      </colorScale>
    </cfRule>
    <cfRule type="colorScale" priority="66">
      <colorScale>
        <cfvo type="num" val="-0.1"/>
        <cfvo type="num" val="0"/>
        <cfvo type="num" val="0.1"/>
        <color rgb="FFF8696B"/>
        <color rgb="FFFFEB84"/>
        <color rgb="FF63BE7B"/>
      </colorScale>
    </cfRule>
    <cfRule type="colorScale" priority="67">
      <colorScale>
        <cfvo type="num" val="-0.1"/>
        <cfvo type="num" val="0"/>
        <cfvo type="num" val="0.1"/>
        <color rgb="FFF8696B"/>
        <color rgb="FFFFEB84"/>
        <color rgb="FF63BE7B"/>
      </colorScale>
    </cfRule>
  </conditionalFormatting>
  <conditionalFormatting sqref="Q32">
    <cfRule type="colorScale" priority="64">
      <colorScale>
        <cfvo type="num" val="-0.1"/>
        <cfvo type="num" val="0"/>
        <cfvo type="num" val="0.1"/>
        <color rgb="FFF8696B"/>
        <color rgb="FFFFEB84"/>
        <color rgb="FF63BE7B"/>
      </colorScale>
    </cfRule>
  </conditionalFormatting>
  <conditionalFormatting sqref="Q33">
    <cfRule type="colorScale" priority="63">
      <colorScale>
        <cfvo type="num" val="-0.1"/>
        <cfvo type="num" val="0"/>
        <cfvo type="num" val="0.1"/>
        <color rgb="FFF8696B"/>
        <color rgb="FFFFEB84"/>
        <color rgb="FF63BE7B"/>
      </colorScale>
    </cfRule>
  </conditionalFormatting>
  <conditionalFormatting sqref="Q34">
    <cfRule type="colorScale" priority="62">
      <colorScale>
        <cfvo type="num" val="-0.1"/>
        <cfvo type="num" val="0"/>
        <cfvo type="num" val="0.1"/>
        <color rgb="FFF8696B"/>
        <color rgb="FFFFEB84"/>
        <color rgb="FF63BE7B"/>
      </colorScale>
    </cfRule>
  </conditionalFormatting>
  <conditionalFormatting sqref="Q35">
    <cfRule type="colorScale" priority="56">
      <colorScale>
        <cfvo type="num" val="-0.1"/>
        <cfvo type="num" val="0"/>
        <cfvo type="num" val="0.1"/>
        <color rgb="FFF8696B"/>
        <color rgb="FFFFEB84"/>
        <color rgb="FF63BE7B"/>
      </colorScale>
    </cfRule>
  </conditionalFormatting>
  <conditionalFormatting sqref="Q36">
    <cfRule type="colorScale" priority="68">
      <colorScale>
        <cfvo type="num" val="-0.1"/>
        <cfvo type="num" val="0"/>
        <cfvo type="num" val="0.1"/>
        <color rgb="FFF8696B"/>
        <color rgb="FFFFEB84"/>
        <color rgb="FF63BE7B"/>
      </colorScale>
    </cfRule>
    <cfRule type="colorScale" priority="69">
      <colorScale>
        <cfvo type="num" val="-0.1"/>
        <cfvo type="num" val="0"/>
        <cfvo type="num" val="0.1"/>
        <color rgb="FFF8696B"/>
        <color rgb="FFFFEB84"/>
        <color rgb="FF63BE7B"/>
      </colorScale>
    </cfRule>
  </conditionalFormatting>
  <conditionalFormatting sqref="Q37">
    <cfRule type="colorScale" priority="80">
      <colorScale>
        <cfvo type="num" val="-0.1"/>
        <cfvo type="num" val="0"/>
        <cfvo type="num" val="0.1"/>
        <color rgb="FFF8696B"/>
        <color rgb="FFFFEB84"/>
        <color rgb="FF63BE7B"/>
      </colorScale>
    </cfRule>
    <cfRule type="colorScale" priority="79">
      <colorScale>
        <cfvo type="num" val="-0.1"/>
        <cfvo type="num" val="0"/>
        <cfvo type="num" val="0.1"/>
        <color rgb="FFF8696B"/>
        <color rgb="FFFFEB84"/>
        <color rgb="FF63BE7B"/>
      </colorScale>
    </cfRule>
    <cfRule type="colorScale" priority="78">
      <colorScale>
        <cfvo type="num" val="-0.1"/>
        <cfvo type="num" val="0"/>
        <cfvo type="num" val="0.1"/>
        <color rgb="FFF8696B"/>
        <color rgb="FFFFEB84"/>
        <color rgb="FF63BE7B"/>
      </colorScale>
    </cfRule>
  </conditionalFormatting>
  <conditionalFormatting sqref="Q38">
    <cfRule type="colorScale" priority="77">
      <colorScale>
        <cfvo type="num" val="-0.1"/>
        <cfvo type="num" val="0"/>
        <cfvo type="num" val="0.1"/>
        <color rgb="FFF8696B"/>
        <color rgb="FFFFEB84"/>
        <color rgb="FF63BE7B"/>
      </colorScale>
    </cfRule>
  </conditionalFormatting>
  <conditionalFormatting sqref="Q39">
    <cfRule type="colorScale" priority="76">
      <colorScale>
        <cfvo type="num" val="-0.1"/>
        <cfvo type="num" val="0"/>
        <cfvo type="num" val="0.1"/>
        <color rgb="FFF8696B"/>
        <color rgb="FFFFEB84"/>
        <color rgb="FF63BE7B"/>
      </colorScale>
    </cfRule>
  </conditionalFormatting>
  <conditionalFormatting sqref="Q40">
    <cfRule type="colorScale" priority="75">
      <colorScale>
        <cfvo type="num" val="-0.1"/>
        <cfvo type="num" val="0"/>
        <cfvo type="num" val="0.1"/>
        <color rgb="FFF8696B"/>
        <color rgb="FFFFEB84"/>
        <color rgb="FF63BE7B"/>
      </colorScale>
    </cfRule>
  </conditionalFormatting>
  <conditionalFormatting sqref="Q41">
    <cfRule type="colorScale" priority="72">
      <colorScale>
        <cfvo type="num" val="-0.1"/>
        <cfvo type="num" val="0"/>
        <cfvo type="num" val="0.1"/>
        <color rgb="FFF8696B"/>
        <color rgb="FFFFEB84"/>
        <color rgb="FF63BE7B"/>
      </colorScale>
    </cfRule>
    <cfRule type="colorScale" priority="73">
      <colorScale>
        <cfvo type="num" val="-0.1"/>
        <cfvo type="num" val="0"/>
        <cfvo type="num" val="0.1"/>
        <color rgb="FFF8696B"/>
        <color rgb="FFFFEB84"/>
        <color rgb="FF63BE7B"/>
      </colorScale>
    </cfRule>
    <cfRule type="colorScale" priority="74">
      <colorScale>
        <cfvo type="num" val="-0.1"/>
        <cfvo type="num" val="0"/>
        <cfvo type="num" val="0.1"/>
        <color rgb="FFF8696B"/>
        <color rgb="FFFFEB84"/>
        <color rgb="FF63BE7B"/>
      </colorScale>
    </cfRule>
  </conditionalFormatting>
  <conditionalFormatting sqref="Q42">
    <cfRule type="colorScale" priority="70">
      <colorScale>
        <cfvo type="num" val="-0.1"/>
        <cfvo type="num" val="0"/>
        <cfvo type="num" val="0.1"/>
        <color rgb="FFF8696B"/>
        <color rgb="FFFFEB84"/>
        <color rgb="FF63BE7B"/>
      </colorScale>
    </cfRule>
    <cfRule type="colorScale" priority="71">
      <colorScale>
        <cfvo type="num" val="-0.1"/>
        <cfvo type="num" val="0"/>
        <cfvo type="num" val="0.1"/>
        <color rgb="FFF8696B"/>
        <color rgb="FFFFEB84"/>
        <color rgb="FF63BE7B"/>
      </colorScale>
    </cfRule>
  </conditionalFormatting>
  <conditionalFormatting sqref="Q43">
    <cfRule type="colorScale" priority="82">
      <colorScale>
        <cfvo type="num" val="-0.1"/>
        <cfvo type="num" val="0"/>
        <cfvo type="num" val="0.1"/>
        <color rgb="FFF8696B"/>
        <color rgb="FFFFEB84"/>
        <color rgb="FF63BE7B"/>
      </colorScale>
    </cfRule>
    <cfRule type="colorScale" priority="81">
      <colorScale>
        <cfvo type="num" val="-0.1"/>
        <cfvo type="num" val="0"/>
        <cfvo type="num" val="0.1"/>
        <color rgb="FFF8696B"/>
        <color rgb="FFFFEB84"/>
        <color rgb="FF63BE7B"/>
      </colorScale>
    </cfRule>
  </conditionalFormatting>
  <conditionalFormatting sqref="Q44">
    <cfRule type="colorScale" priority="93">
      <colorScale>
        <cfvo type="num" val="-0.1"/>
        <cfvo type="num" val="0"/>
        <cfvo type="num" val="0.1"/>
        <color rgb="FFF8696B"/>
        <color rgb="FFFFEB84"/>
        <color rgb="FF63BE7B"/>
      </colorScale>
    </cfRule>
    <cfRule type="colorScale" priority="95">
      <colorScale>
        <cfvo type="num" val="-0.1"/>
        <cfvo type="num" val="0"/>
        <cfvo type="num" val="0.1"/>
        <color rgb="FFF8696B"/>
        <color rgb="FFFFEB84"/>
        <color rgb="FF63BE7B"/>
      </colorScale>
    </cfRule>
    <cfRule type="colorScale" priority="94">
      <colorScale>
        <cfvo type="num" val="-0.1"/>
        <cfvo type="num" val="0"/>
        <cfvo type="num" val="0.1"/>
        <color rgb="FFF8696B"/>
        <color rgb="FFFFEB84"/>
        <color rgb="FF63BE7B"/>
      </colorScale>
    </cfRule>
  </conditionalFormatting>
  <conditionalFormatting sqref="Q45">
    <cfRule type="colorScale" priority="88">
      <colorScale>
        <cfvo type="num" val="-0.1"/>
        <cfvo type="num" val="0"/>
        <cfvo type="num" val="0.1"/>
        <color rgb="FFF8696B"/>
        <color rgb="FFFFEB84"/>
        <color rgb="FF63BE7B"/>
      </colorScale>
    </cfRule>
  </conditionalFormatting>
  <conditionalFormatting sqref="Q46">
    <cfRule type="colorScale" priority="83">
      <colorScale>
        <cfvo type="num" val="-0.1"/>
        <cfvo type="num" val="0"/>
        <cfvo type="num" val="0.1"/>
        <color rgb="FFF8696B"/>
        <color rgb="FFFFEB84"/>
        <color rgb="FF63BE7B"/>
      </colorScale>
    </cfRule>
    <cfRule type="colorScale" priority="84">
      <colorScale>
        <cfvo type="num" val="-0.1"/>
        <cfvo type="num" val="0"/>
        <cfvo type="num" val="0.1"/>
        <color rgb="FFF8696B"/>
        <color rgb="FFFFEB84"/>
        <color rgb="FF63BE7B"/>
      </colorScale>
    </cfRule>
    <cfRule type="colorScale" priority="85">
      <colorScale>
        <cfvo type="num" val="-0.1"/>
        <cfvo type="num" val="0"/>
        <cfvo type="num" val="0.1"/>
        <color rgb="FFF8696B"/>
        <color rgb="FFFFEB84"/>
        <color rgb="FF63BE7B"/>
      </colorScale>
    </cfRule>
  </conditionalFormatting>
  <conditionalFormatting sqref="Q47">
    <cfRule type="colorScale" priority="96">
      <colorScale>
        <cfvo type="num" val="-0.1"/>
        <cfvo type="num" val="0"/>
        <cfvo type="num" val="0.1"/>
        <color rgb="FFF8696B"/>
        <color rgb="FFFFEB84"/>
        <color rgb="FF63BE7B"/>
      </colorScale>
    </cfRule>
    <cfRule type="colorScale" priority="97">
      <colorScale>
        <cfvo type="num" val="-0.1"/>
        <cfvo type="num" val="0"/>
        <cfvo type="num" val="0.1"/>
        <color rgb="FFF8696B"/>
        <color rgb="FFFFEB84"/>
        <color rgb="FF63BE7B"/>
      </colorScale>
    </cfRule>
  </conditionalFormatting>
  <conditionalFormatting sqref="Q48">
    <cfRule type="colorScale" priority="102">
      <colorScale>
        <cfvo type="num" val="-0.1"/>
        <cfvo type="num" val="0"/>
        <cfvo type="num" val="0.1"/>
        <color rgb="FFF8696B"/>
        <color rgb="FFFFEB84"/>
        <color rgb="FF63BE7B"/>
      </colorScale>
    </cfRule>
    <cfRule type="colorScale" priority="103">
      <colorScale>
        <cfvo type="num" val="-0.1"/>
        <cfvo type="num" val="0"/>
        <cfvo type="num" val="0.1"/>
        <color rgb="FFF8696B"/>
        <color rgb="FFFFEB84"/>
        <color rgb="FF63BE7B"/>
      </colorScale>
    </cfRule>
    <cfRule type="colorScale" priority="104">
      <colorScale>
        <cfvo type="num" val="-0.1"/>
        <cfvo type="num" val="0"/>
        <cfvo type="num" val="0.1"/>
        <color rgb="FFF8696B"/>
        <color rgb="FFFFEB84"/>
        <color rgb="FF63BE7B"/>
      </colorScale>
    </cfRule>
  </conditionalFormatting>
  <conditionalFormatting sqref="Q49">
    <cfRule type="colorScale" priority="101">
      <colorScale>
        <cfvo type="num" val="-0.1"/>
        <cfvo type="num" val="0"/>
        <cfvo type="num" val="0.1"/>
        <color rgb="FFF8696B"/>
        <color rgb="FFFFEB84"/>
        <color rgb="FF63BE7B"/>
      </colorScale>
    </cfRule>
  </conditionalFormatting>
  <conditionalFormatting sqref="Q50">
    <cfRule type="colorScale" priority="100">
      <colorScale>
        <cfvo type="num" val="-0.1"/>
        <cfvo type="num" val="0"/>
        <cfvo type="num" val="0.1"/>
        <color rgb="FFF8696B"/>
        <color rgb="FFFFEB84"/>
        <color rgb="FF63BE7B"/>
      </colorScale>
    </cfRule>
  </conditionalFormatting>
  <conditionalFormatting sqref="Q51">
    <cfRule type="colorScale" priority="99">
      <colorScale>
        <cfvo type="num" val="-0.1"/>
        <cfvo type="num" val="0"/>
        <cfvo type="num" val="0.1"/>
        <color rgb="FFF8696B"/>
        <color rgb="FFFFEB84"/>
        <color rgb="FF63BE7B"/>
      </colorScale>
    </cfRule>
  </conditionalFormatting>
  <conditionalFormatting sqref="Q52">
    <cfRule type="colorScale" priority="106">
      <colorScale>
        <cfvo type="num" val="-0.1"/>
        <cfvo type="num" val="0"/>
        <cfvo type="num" val="0.1"/>
        <color rgb="FFF8696B"/>
        <color rgb="FFFFEB84"/>
        <color rgb="FF63BE7B"/>
      </colorScale>
    </cfRule>
    <cfRule type="colorScale" priority="105">
      <colorScale>
        <cfvo type="num" val="-0.1"/>
        <cfvo type="num" val="0"/>
        <cfvo type="num" val="0.1"/>
        <color rgb="FFF8696B"/>
        <color rgb="FFFFEB84"/>
        <color rgb="FF63BE7B"/>
      </colorScale>
    </cfRule>
  </conditionalFormatting>
  <conditionalFormatting sqref="Q53">
    <cfRule type="colorScale" priority="107">
      <colorScale>
        <cfvo type="num" val="-0.1"/>
        <cfvo type="num" val="0"/>
        <cfvo type="num" val="0.1"/>
        <color rgb="FFF8696B"/>
        <color rgb="FFFFEB84"/>
        <color rgb="FF63BE7B"/>
      </colorScale>
    </cfRule>
  </conditionalFormatting>
  <conditionalFormatting sqref="Q54">
    <cfRule type="colorScale" priority="108">
      <colorScale>
        <cfvo type="num" val="-0.1"/>
        <cfvo type="num" val="0"/>
        <cfvo type="num" val="0.1"/>
        <color rgb="FFF8696B"/>
        <color rgb="FFFFEB84"/>
        <color rgb="FF63BE7B"/>
      </colorScale>
    </cfRule>
    <cfRule type="colorScale" priority="109">
      <colorScale>
        <cfvo type="num" val="-0.1"/>
        <cfvo type="num" val="0"/>
        <cfvo type="num" val="0.1"/>
        <color rgb="FFF8696B"/>
        <color rgb="FFFFEB84"/>
        <color rgb="FF63BE7B"/>
      </colorScale>
    </cfRule>
  </conditionalFormatting>
  <conditionalFormatting sqref="Q55">
    <cfRule type="colorScale" priority="118">
      <colorScale>
        <cfvo type="num" val="-0.1"/>
        <cfvo type="num" val="0"/>
        <cfvo type="num" val="0.1"/>
        <color rgb="FFF8696B"/>
        <color rgb="FFFFEB84"/>
        <color rgb="FF63BE7B"/>
      </colorScale>
    </cfRule>
  </conditionalFormatting>
  <conditionalFormatting sqref="Q56:Q59">
    <cfRule type="colorScale" priority="117">
      <colorScale>
        <cfvo type="num" val="-0.1"/>
        <cfvo type="num" val="0"/>
        <cfvo type="num" val="0.1"/>
        <color rgb="FFF8696B"/>
        <color rgb="FFFFEB84"/>
        <color rgb="FF63BE7B"/>
      </colorScale>
    </cfRule>
  </conditionalFormatting>
  <conditionalFormatting sqref="Q57">
    <cfRule type="colorScale" priority="119">
      <colorScale>
        <cfvo type="num" val="-0.1"/>
        <cfvo type="num" val="0"/>
        <cfvo type="num" val="0.1"/>
        <color rgb="FFF8696B"/>
        <color rgb="FFFFEB84"/>
        <color rgb="FF63BE7B"/>
      </colorScale>
    </cfRule>
  </conditionalFormatting>
  <conditionalFormatting sqref="Q58">
    <cfRule type="colorScale" priority="113">
      <colorScale>
        <cfvo type="num" val="-0.1"/>
        <cfvo type="num" val="0"/>
        <cfvo type="num" val="0.1"/>
        <color rgb="FFF8696B"/>
        <color rgb="FFFFEB84"/>
        <color rgb="FF63BE7B"/>
      </colorScale>
    </cfRule>
  </conditionalFormatting>
  <conditionalFormatting sqref="Q59">
    <cfRule type="colorScale" priority="114">
      <colorScale>
        <cfvo type="num" val="-0.1"/>
        <cfvo type="num" val="0"/>
        <cfvo type="num" val="0.1"/>
        <color rgb="FFF8696B"/>
        <color rgb="FFFFEB84"/>
        <color rgb="FF63BE7B"/>
      </colorScale>
    </cfRule>
  </conditionalFormatting>
  <conditionalFormatting sqref="Q60">
    <cfRule type="colorScale" priority="116">
      <colorScale>
        <cfvo type="num" val="-0.1"/>
        <cfvo type="num" val="0"/>
        <cfvo type="num" val="0.1"/>
        <color rgb="FFF8696B"/>
        <color rgb="FFFFEB84"/>
        <color rgb="FF63BE7B"/>
      </colorScale>
    </cfRule>
  </conditionalFormatting>
  <conditionalFormatting sqref="Q61">
    <cfRule type="colorScale" priority="115">
      <colorScale>
        <cfvo type="num" val="-0.1"/>
        <cfvo type="num" val="0"/>
        <cfvo type="num" val="0.1"/>
        <color rgb="FFF8696B"/>
        <color rgb="FFFFEB84"/>
        <color rgb="FF63BE7B"/>
      </colorScale>
    </cfRule>
  </conditionalFormatting>
  <conditionalFormatting sqref="Q62">
    <cfRule type="colorScale" priority="120">
      <colorScale>
        <cfvo type="num" val="-0.1"/>
        <cfvo type="num" val="0"/>
        <cfvo type="num" val="0.1"/>
        <color rgb="FFF8696B"/>
        <color rgb="FFFFEB84"/>
        <color rgb="FF63BE7B"/>
      </colorScale>
    </cfRule>
    <cfRule type="colorScale" priority="121">
      <colorScale>
        <cfvo type="num" val="-0.1"/>
        <cfvo type="num" val="0"/>
        <cfvo type="num" val="0.1"/>
        <color rgb="FFF8696B"/>
        <color rgb="FFFFEB84"/>
        <color rgb="FF63BE7B"/>
      </colorScale>
    </cfRule>
    <cfRule type="colorScale" priority="122">
      <colorScale>
        <cfvo type="num" val="-0.1"/>
        <cfvo type="num" val="0"/>
        <cfvo type="num" val="0.1"/>
        <color rgb="FFF8696B"/>
        <color rgb="FFFFEB84"/>
        <color rgb="FF63BE7B"/>
      </colorScale>
    </cfRule>
  </conditionalFormatting>
  <conditionalFormatting sqref="Q63">
    <cfRule type="colorScale" priority="110">
      <colorScale>
        <cfvo type="num" val="-0.1"/>
        <cfvo type="num" val="0"/>
        <cfvo type="num" val="0.1"/>
        <color rgb="FFF8696B"/>
        <color rgb="FFFFEB84"/>
        <color rgb="FF63BE7B"/>
      </colorScale>
    </cfRule>
    <cfRule type="colorScale" priority="111">
      <colorScale>
        <cfvo type="num" val="-0.1"/>
        <cfvo type="num" val="0"/>
        <cfvo type="num" val="0.1"/>
        <color rgb="FFF8696B"/>
        <color rgb="FFFFEB84"/>
        <color rgb="FF63BE7B"/>
      </colorScale>
    </cfRule>
    <cfRule type="colorScale" priority="112">
      <colorScale>
        <cfvo type="num" val="-0.1"/>
        <cfvo type="num" val="0"/>
        <cfvo type="num" val="0.1"/>
        <color rgb="FFF8696B"/>
        <color rgb="FFFFEB84"/>
        <color rgb="FF63BE7B"/>
      </colorScale>
    </cfRule>
  </conditionalFormatting>
  <conditionalFormatting sqref="Q64">
    <cfRule type="colorScale" priority="123">
      <colorScale>
        <cfvo type="num" val="-0.1"/>
        <cfvo type="num" val="0"/>
        <cfvo type="num" val="0.1"/>
        <color rgb="FFF8696B"/>
        <color rgb="FFFFEB84"/>
        <color rgb="FF63BE7B"/>
      </colorScale>
    </cfRule>
    <cfRule type="colorScale" priority="124">
      <colorScale>
        <cfvo type="num" val="-0.1"/>
        <cfvo type="num" val="0"/>
        <cfvo type="num" val="0.1"/>
        <color rgb="FFF8696B"/>
        <color rgb="FFFFEB84"/>
        <color rgb="FF63BE7B"/>
      </colorScale>
    </cfRule>
  </conditionalFormatting>
  <conditionalFormatting sqref="Q65">
    <cfRule type="colorScale" priority="129">
      <colorScale>
        <cfvo type="num" val="-0.1"/>
        <cfvo type="num" val="0"/>
        <cfvo type="num" val="0.1"/>
        <color rgb="FFF8696B"/>
        <color rgb="FFFFEB84"/>
        <color rgb="FF63BE7B"/>
      </colorScale>
    </cfRule>
    <cfRule type="colorScale" priority="130">
      <colorScale>
        <cfvo type="num" val="-0.1"/>
        <cfvo type="num" val="0"/>
        <cfvo type="num" val="0.1"/>
        <color rgb="FFF8696B"/>
        <color rgb="FFFFEB84"/>
        <color rgb="FF63BE7B"/>
      </colorScale>
    </cfRule>
    <cfRule type="colorScale" priority="131">
      <colorScale>
        <cfvo type="num" val="-0.1"/>
        <cfvo type="num" val="0"/>
        <cfvo type="num" val="0.1"/>
        <color rgb="FFF8696B"/>
        <color rgb="FFFFEB84"/>
        <color rgb="FF63BE7B"/>
      </colorScale>
    </cfRule>
  </conditionalFormatting>
  <conditionalFormatting sqref="Q66">
    <cfRule type="colorScale" priority="128">
      <colorScale>
        <cfvo type="num" val="-0.1"/>
        <cfvo type="num" val="0"/>
        <cfvo type="num" val="0.1"/>
        <color rgb="FFF8696B"/>
        <color rgb="FFFFEB84"/>
        <color rgb="FF63BE7B"/>
      </colorScale>
    </cfRule>
  </conditionalFormatting>
  <conditionalFormatting sqref="Q67">
    <cfRule type="colorScale" priority="127">
      <colorScale>
        <cfvo type="num" val="-0.1"/>
        <cfvo type="num" val="0"/>
        <cfvo type="num" val="0.1"/>
        <color rgb="FFF8696B"/>
        <color rgb="FFFFEB84"/>
        <color rgb="FF63BE7B"/>
      </colorScale>
    </cfRule>
  </conditionalFormatting>
  <conditionalFormatting sqref="Q68">
    <cfRule type="colorScale" priority="126">
      <colorScale>
        <cfvo type="num" val="-0.1"/>
        <cfvo type="num" val="0"/>
        <cfvo type="num" val="0.1"/>
        <color rgb="FFF8696B"/>
        <color rgb="FFFFEB84"/>
        <color rgb="FF63BE7B"/>
      </colorScale>
    </cfRule>
  </conditionalFormatting>
  <conditionalFormatting sqref="Q69">
    <cfRule type="colorScale" priority="125">
      <colorScale>
        <cfvo type="num" val="-0.1"/>
        <cfvo type="num" val="0"/>
        <cfvo type="num" val="0.1"/>
        <color rgb="FFF8696B"/>
        <color rgb="FFFFEB84"/>
        <color rgb="FF63BE7B"/>
      </colorScale>
    </cfRule>
  </conditionalFormatting>
  <conditionalFormatting sqref="Q70">
    <cfRule type="colorScale" priority="132">
      <colorScale>
        <cfvo type="num" val="-0.1"/>
        <cfvo type="num" val="0"/>
        <cfvo type="num" val="0.1"/>
        <color rgb="FFF8696B"/>
        <color rgb="FFFFEB84"/>
        <color rgb="FF63BE7B"/>
      </colorScale>
    </cfRule>
    <cfRule type="colorScale" priority="133">
      <colorScale>
        <cfvo type="num" val="-0.1"/>
        <cfvo type="num" val="0"/>
        <cfvo type="num" val="0.1"/>
        <color rgb="FFF8696B"/>
        <color rgb="FFFFEB84"/>
        <color rgb="FF63BE7B"/>
      </colorScale>
    </cfRule>
  </conditionalFormatting>
  <conditionalFormatting sqref="Q71">
    <cfRule type="colorScale" priority="141">
      <colorScale>
        <cfvo type="num" val="-0.1"/>
        <cfvo type="num" val="0"/>
        <cfvo type="num" val="0.1"/>
        <color rgb="FFF8696B"/>
        <color rgb="FFFFEB84"/>
        <color rgb="FF63BE7B"/>
      </colorScale>
    </cfRule>
    <cfRule type="colorScale" priority="139">
      <colorScale>
        <cfvo type="num" val="-0.1"/>
        <cfvo type="num" val="0"/>
        <cfvo type="num" val="0.1"/>
        <color rgb="FFF8696B"/>
        <color rgb="FFFFEB84"/>
        <color rgb="FF63BE7B"/>
      </colorScale>
    </cfRule>
    <cfRule type="colorScale" priority="140">
      <colorScale>
        <cfvo type="num" val="-0.1"/>
        <cfvo type="num" val="0"/>
        <cfvo type="num" val="0.1"/>
        <color rgb="FFF8696B"/>
        <color rgb="FFFFEB84"/>
        <color rgb="FF63BE7B"/>
      </colorScale>
    </cfRule>
  </conditionalFormatting>
  <conditionalFormatting sqref="Q72">
    <cfRule type="colorScale" priority="142">
      <colorScale>
        <cfvo type="num" val="-0.1"/>
        <cfvo type="num" val="0"/>
        <cfvo type="num" val="0.1"/>
        <color rgb="FFF8696B"/>
        <color rgb="FFFFEB84"/>
        <color rgb="FF63BE7B"/>
      </colorScale>
    </cfRule>
  </conditionalFormatting>
  <conditionalFormatting sqref="Q73">
    <cfRule type="colorScale" priority="137">
      <colorScale>
        <cfvo type="num" val="-0.1"/>
        <cfvo type="num" val="0"/>
        <cfvo type="num" val="0.1"/>
        <color rgb="FFF8696B"/>
        <color rgb="FFFFEB84"/>
        <color rgb="FF63BE7B"/>
      </colorScale>
    </cfRule>
  </conditionalFormatting>
  <conditionalFormatting sqref="Q74">
    <cfRule type="colorScale" priority="138">
      <colorScale>
        <cfvo type="num" val="-0.1"/>
        <cfvo type="num" val="0"/>
        <cfvo type="num" val="0.1"/>
        <color rgb="FFF8696B"/>
        <color rgb="FFFFEB84"/>
        <color rgb="FF63BE7B"/>
      </colorScale>
    </cfRule>
  </conditionalFormatting>
  <conditionalFormatting sqref="Q75">
    <cfRule type="colorScale" priority="143">
      <colorScale>
        <cfvo type="num" val="-0.1"/>
        <cfvo type="num" val="0"/>
        <cfvo type="num" val="0.1"/>
        <color rgb="FFF8696B"/>
        <color rgb="FFFFEB84"/>
        <color rgb="FF63BE7B"/>
      </colorScale>
    </cfRule>
    <cfRule type="colorScale" priority="144">
      <colorScale>
        <cfvo type="num" val="-0.1"/>
        <cfvo type="num" val="0"/>
        <cfvo type="num" val="0.1"/>
        <color rgb="FFF8696B"/>
        <color rgb="FFFFEB84"/>
        <color rgb="FF63BE7B"/>
      </colorScale>
    </cfRule>
  </conditionalFormatting>
  <conditionalFormatting sqref="Q76">
    <cfRule type="colorScale" priority="150">
      <colorScale>
        <cfvo type="num" val="-0.1"/>
        <cfvo type="num" val="0"/>
        <cfvo type="num" val="0.1"/>
        <color rgb="FFF8696B"/>
        <color rgb="FFFFEB84"/>
        <color rgb="FF63BE7B"/>
      </colorScale>
    </cfRule>
    <cfRule type="colorScale" priority="151">
      <colorScale>
        <cfvo type="num" val="-0.1"/>
        <cfvo type="num" val="0"/>
        <cfvo type="num" val="0.1"/>
        <color rgb="FFF8696B"/>
        <color rgb="FFFFEB84"/>
        <color rgb="FF63BE7B"/>
      </colorScale>
    </cfRule>
    <cfRule type="colorScale" priority="152">
      <colorScale>
        <cfvo type="num" val="-0.1"/>
        <cfvo type="num" val="0"/>
        <cfvo type="num" val="0.1"/>
        <color rgb="FFF8696B"/>
        <color rgb="FFFFEB84"/>
        <color rgb="FF63BE7B"/>
      </colorScale>
    </cfRule>
  </conditionalFormatting>
  <conditionalFormatting sqref="Q77">
    <cfRule type="colorScale" priority="145">
      <colorScale>
        <cfvo type="num" val="-0.1"/>
        <cfvo type="num" val="0"/>
        <cfvo type="num" val="0.1"/>
        <color rgb="FFF8696B"/>
        <color rgb="FFFFEB84"/>
        <color rgb="FF63BE7B"/>
      </colorScale>
    </cfRule>
    <cfRule type="colorScale" priority="146">
      <colorScale>
        <cfvo type="num" val="-0.1"/>
        <cfvo type="num" val="0"/>
        <cfvo type="num" val="0.1"/>
        <color rgb="FFF8696B"/>
        <color rgb="FFFFEB84"/>
        <color rgb="FF63BE7B"/>
      </colorScale>
    </cfRule>
    <cfRule type="colorScale" priority="147">
      <colorScale>
        <cfvo type="num" val="-0.1"/>
        <cfvo type="num" val="0"/>
        <cfvo type="num" val="0.1"/>
        <color rgb="FFF8696B"/>
        <color rgb="FFFFEB84"/>
        <color rgb="FF63BE7B"/>
      </colorScale>
    </cfRule>
  </conditionalFormatting>
  <conditionalFormatting sqref="Q78">
    <cfRule type="colorScale" priority="153">
      <colorScale>
        <cfvo type="num" val="-0.1"/>
        <cfvo type="num" val="0"/>
        <cfvo type="num" val="0.1"/>
        <color rgb="FFF8696B"/>
        <color rgb="FFFFEB84"/>
        <color rgb="FF63BE7B"/>
      </colorScale>
    </cfRule>
  </conditionalFormatting>
  <conditionalFormatting sqref="Q79">
    <cfRule type="colorScale" priority="148">
      <colorScale>
        <cfvo type="num" val="-0.1"/>
        <cfvo type="num" val="0"/>
        <cfvo type="num" val="0.1"/>
        <color rgb="FFF8696B"/>
        <color rgb="FFFFEB84"/>
        <color rgb="FF63BE7B"/>
      </colorScale>
    </cfRule>
  </conditionalFormatting>
  <conditionalFormatting sqref="Q80">
    <cfRule type="colorScale" priority="149">
      <colorScale>
        <cfvo type="num" val="-0.1"/>
        <cfvo type="num" val="0"/>
        <cfvo type="num" val="0.1"/>
        <color rgb="FFF8696B"/>
        <color rgb="FFFFEB84"/>
        <color rgb="FF63BE7B"/>
      </colorScale>
    </cfRule>
  </conditionalFormatting>
  <conditionalFormatting sqref="Q81">
    <cfRule type="colorScale" priority="155">
      <colorScale>
        <cfvo type="num" val="-0.1"/>
        <cfvo type="num" val="0"/>
        <cfvo type="num" val="0.1"/>
        <color rgb="FFF8696B"/>
        <color rgb="FFFFEB84"/>
        <color rgb="FF63BE7B"/>
      </colorScale>
    </cfRule>
    <cfRule type="colorScale" priority="154">
      <colorScale>
        <cfvo type="num" val="-0.1"/>
        <cfvo type="num" val="0"/>
        <cfvo type="num" val="0.1"/>
        <color rgb="FFF8696B"/>
        <color rgb="FFFFEB84"/>
        <color rgb="FF63BE7B"/>
      </colorScale>
    </cfRule>
  </conditionalFormatting>
  <conditionalFormatting sqref="Q82">
    <cfRule type="colorScale" priority="158">
      <colorScale>
        <cfvo type="num" val="-0.1"/>
        <cfvo type="num" val="0"/>
        <cfvo type="num" val="0.1"/>
        <color rgb="FFF8696B"/>
        <color rgb="FFFFEB84"/>
        <color rgb="FF63BE7B"/>
      </colorScale>
    </cfRule>
    <cfRule type="colorScale" priority="159">
      <colorScale>
        <cfvo type="num" val="-0.1"/>
        <cfvo type="num" val="0"/>
        <cfvo type="num" val="0.1"/>
        <color rgb="FFF8696B"/>
        <color rgb="FFFFEB84"/>
        <color rgb="FF63BE7B"/>
      </colorScale>
    </cfRule>
    <cfRule type="colorScale" priority="160">
      <colorScale>
        <cfvo type="num" val="-0.1"/>
        <cfvo type="num" val="0"/>
        <cfvo type="num" val="0.1"/>
        <color rgb="FFF8696B"/>
        <color rgb="FFFFEB84"/>
        <color rgb="FF63BE7B"/>
      </colorScale>
    </cfRule>
  </conditionalFormatting>
  <conditionalFormatting sqref="Q83">
    <cfRule type="colorScale" priority="161">
      <colorScale>
        <cfvo type="num" val="-0.1"/>
        <cfvo type="num" val="0"/>
        <cfvo type="num" val="0.1"/>
        <color rgb="FFF8696B"/>
        <color rgb="FFFFEB84"/>
        <color rgb="FF63BE7B"/>
      </colorScale>
    </cfRule>
  </conditionalFormatting>
  <conditionalFormatting sqref="Q84">
    <cfRule type="colorScale" priority="156">
      <colorScale>
        <cfvo type="num" val="-0.1"/>
        <cfvo type="num" val="0"/>
        <cfvo type="num" val="0.1"/>
        <color rgb="FFF8696B"/>
        <color rgb="FFFFEB84"/>
        <color rgb="FF63BE7B"/>
      </colorScale>
    </cfRule>
  </conditionalFormatting>
  <conditionalFormatting sqref="Q85">
    <cfRule type="colorScale" priority="157">
      <colorScale>
        <cfvo type="num" val="-0.1"/>
        <cfvo type="num" val="0"/>
        <cfvo type="num" val="0.1"/>
        <color rgb="FFF8696B"/>
        <color rgb="FFFFEB84"/>
        <color rgb="FF63BE7B"/>
      </colorScale>
    </cfRule>
  </conditionalFormatting>
  <conditionalFormatting sqref="Q86">
    <cfRule type="colorScale" priority="162">
      <colorScale>
        <cfvo type="num" val="-0.1"/>
        <cfvo type="num" val="0"/>
        <cfvo type="num" val="0.1"/>
        <color rgb="FFF8696B"/>
        <color rgb="FFFFEB84"/>
        <color rgb="FF63BE7B"/>
      </colorScale>
    </cfRule>
    <cfRule type="colorScale" priority="163">
      <colorScale>
        <cfvo type="num" val="-0.1"/>
        <cfvo type="num" val="0"/>
        <cfvo type="num" val="0.1"/>
        <color rgb="FFF8696B"/>
        <color rgb="FFFFEB84"/>
        <color rgb="FF63BE7B"/>
      </colorScale>
    </cfRule>
  </conditionalFormatting>
  <conditionalFormatting sqref="Q87">
    <cfRule type="colorScale" priority="172">
      <colorScale>
        <cfvo type="num" val="-0.1"/>
        <cfvo type="num" val="0"/>
        <cfvo type="num" val="0.1"/>
        <color rgb="FFF8696B"/>
        <color rgb="FFFFEB84"/>
        <color rgb="FF63BE7B"/>
      </colorScale>
    </cfRule>
  </conditionalFormatting>
  <conditionalFormatting sqref="Q88:Q91">
    <cfRule type="colorScale" priority="169">
      <colorScale>
        <cfvo type="num" val="-0.1"/>
        <cfvo type="num" val="0"/>
        <cfvo type="num" val="0.1"/>
        <color rgb="FFF8696B"/>
        <color rgb="FFFFEB84"/>
        <color rgb="FF63BE7B"/>
      </colorScale>
    </cfRule>
  </conditionalFormatting>
  <conditionalFormatting sqref="Q89">
    <cfRule type="colorScale" priority="173">
      <colorScale>
        <cfvo type="num" val="-0.1"/>
        <cfvo type="num" val="0"/>
        <cfvo type="num" val="0.1"/>
        <color rgb="FFF8696B"/>
        <color rgb="FFFFEB84"/>
        <color rgb="FF63BE7B"/>
      </colorScale>
    </cfRule>
  </conditionalFormatting>
  <conditionalFormatting sqref="Q90">
    <cfRule type="colorScale" priority="165">
      <colorScale>
        <cfvo type="num" val="-0.1"/>
        <cfvo type="num" val="0"/>
        <cfvo type="num" val="0.1"/>
        <color rgb="FFF8696B"/>
        <color rgb="FFFFEB84"/>
        <color rgb="FF63BE7B"/>
      </colorScale>
    </cfRule>
  </conditionalFormatting>
  <conditionalFormatting sqref="Q91">
    <cfRule type="colorScale" priority="166">
      <colorScale>
        <cfvo type="num" val="-0.1"/>
        <cfvo type="num" val="0"/>
        <cfvo type="num" val="0.1"/>
        <color rgb="FFF8696B"/>
        <color rgb="FFFFEB84"/>
        <color rgb="FF63BE7B"/>
      </colorScale>
    </cfRule>
  </conditionalFormatting>
  <conditionalFormatting sqref="Q92">
    <cfRule type="colorScale" priority="168">
      <colorScale>
        <cfvo type="num" val="-0.1"/>
        <cfvo type="num" val="0"/>
        <cfvo type="num" val="0.1"/>
        <color rgb="FFF8696B"/>
        <color rgb="FFFFEB84"/>
        <color rgb="FF63BE7B"/>
      </colorScale>
    </cfRule>
  </conditionalFormatting>
  <conditionalFormatting sqref="Q93">
    <cfRule type="colorScale" priority="167">
      <colorScale>
        <cfvo type="num" val="-0.1"/>
        <cfvo type="num" val="0"/>
        <cfvo type="num" val="0.1"/>
        <color rgb="FFF8696B"/>
        <color rgb="FFFFEB84"/>
        <color rgb="FF63BE7B"/>
      </colorScale>
    </cfRule>
  </conditionalFormatting>
  <conditionalFormatting sqref="Q94">
    <cfRule type="colorScale" priority="180">
      <colorScale>
        <cfvo type="num" val="-0.1"/>
        <cfvo type="num" val="0"/>
        <cfvo type="num" val="0.1"/>
        <color rgb="FFF8696B"/>
        <color rgb="FFFFEB84"/>
        <color rgb="FF63BE7B"/>
      </colorScale>
    </cfRule>
    <cfRule type="colorScale" priority="181">
      <colorScale>
        <cfvo type="num" val="-0.1"/>
        <cfvo type="num" val="0"/>
        <cfvo type="num" val="0.1"/>
        <color rgb="FFF8696B"/>
        <color rgb="FFFFEB84"/>
        <color rgb="FF63BE7B"/>
      </colorScale>
    </cfRule>
    <cfRule type="colorScale" priority="179">
      <colorScale>
        <cfvo type="num" val="-0.1"/>
        <cfvo type="num" val="0"/>
        <cfvo type="num" val="0.1"/>
        <color rgb="FFF8696B"/>
        <color rgb="FFFFEB84"/>
        <color rgb="FF63BE7B"/>
      </colorScale>
    </cfRule>
  </conditionalFormatting>
  <conditionalFormatting sqref="Q95">
    <cfRule type="colorScale" priority="184">
      <colorScale>
        <cfvo type="num" val="-0.1"/>
        <cfvo type="num" val="0"/>
        <cfvo type="num" val="0.1"/>
        <color rgb="FFF8696B"/>
        <color rgb="FFFFEB84"/>
        <color rgb="FF63BE7B"/>
      </colorScale>
    </cfRule>
    <cfRule type="colorScale" priority="183">
      <colorScale>
        <cfvo type="num" val="-0.1"/>
        <cfvo type="num" val="0"/>
        <cfvo type="num" val="0.1"/>
        <color rgb="FFF8696B"/>
        <color rgb="FFFFEB84"/>
        <color rgb="FF63BE7B"/>
      </colorScale>
    </cfRule>
  </conditionalFormatting>
  <conditionalFormatting sqref="Q96">
    <cfRule type="colorScale" priority="191">
      <colorScale>
        <cfvo type="num" val="-0.1"/>
        <cfvo type="num" val="0"/>
        <cfvo type="num" val="0.1"/>
        <color rgb="FFF8696B"/>
        <color rgb="FFFFEB84"/>
        <color rgb="FF63BE7B"/>
      </colorScale>
    </cfRule>
    <cfRule type="colorScale" priority="192">
      <colorScale>
        <cfvo type="num" val="-0.1"/>
        <cfvo type="num" val="0"/>
        <cfvo type="num" val="0.1"/>
        <color rgb="FFF8696B"/>
        <color rgb="FFFFEB84"/>
        <color rgb="FF63BE7B"/>
      </colorScale>
    </cfRule>
    <cfRule type="colorScale" priority="193">
      <colorScale>
        <cfvo type="num" val="-0.1"/>
        <cfvo type="num" val="0"/>
        <cfvo type="num" val="0.1"/>
        <color rgb="FFF8696B"/>
        <color rgb="FFFFEB84"/>
        <color rgb="FF63BE7B"/>
      </colorScale>
    </cfRule>
  </conditionalFormatting>
  <conditionalFormatting sqref="Q97">
    <cfRule type="colorScale" priority="194">
      <colorScale>
        <cfvo type="num" val="-0.1"/>
        <cfvo type="num" val="0"/>
        <cfvo type="num" val="0.1"/>
        <color rgb="FFF8696B"/>
        <color rgb="FFFFEB84"/>
        <color rgb="FF63BE7B"/>
      </colorScale>
    </cfRule>
  </conditionalFormatting>
  <conditionalFormatting sqref="Q98">
    <cfRule type="colorScale" priority="186">
      <colorScale>
        <cfvo type="num" val="-0.1"/>
        <cfvo type="num" val="0"/>
        <cfvo type="num" val="0.1"/>
        <color rgb="FFF8696B"/>
        <color rgb="FFFFEB84"/>
        <color rgb="FF63BE7B"/>
      </colorScale>
    </cfRule>
  </conditionalFormatting>
  <conditionalFormatting sqref="Q99">
    <cfRule type="colorScale" priority="195">
      <colorScale>
        <cfvo type="num" val="-0.1"/>
        <cfvo type="num" val="0"/>
        <cfvo type="num" val="0.1"/>
        <color rgb="FFF8696B"/>
        <color rgb="FFFFEB84"/>
        <color rgb="FF63BE7B"/>
      </colorScale>
    </cfRule>
    <cfRule type="colorScale" priority="196">
      <colorScale>
        <cfvo type="num" val="-0.1"/>
        <cfvo type="num" val="0"/>
        <cfvo type="num" val="0.1"/>
        <color rgb="FFF8696B"/>
        <color rgb="FFFFEB84"/>
        <color rgb="FF63BE7B"/>
      </colorScale>
    </cfRule>
  </conditionalFormatting>
  <conditionalFormatting sqref="Q100">
    <cfRule type="colorScale" priority="205">
      <colorScale>
        <cfvo type="num" val="-0.1"/>
        <cfvo type="num" val="0"/>
        <cfvo type="num" val="0.1"/>
        <color rgb="FFF8696B"/>
        <color rgb="FFFFEB84"/>
        <color rgb="FF63BE7B"/>
      </colorScale>
    </cfRule>
    <cfRule type="colorScale" priority="203">
      <colorScale>
        <cfvo type="num" val="-0.1"/>
        <cfvo type="num" val="0"/>
        <cfvo type="num" val="0.1"/>
        <color rgb="FFF8696B"/>
        <color rgb="FFFFEB84"/>
        <color rgb="FF63BE7B"/>
      </colorScale>
    </cfRule>
    <cfRule type="colorScale" priority="204">
      <colorScale>
        <cfvo type="num" val="-0.1"/>
        <cfvo type="num" val="0"/>
        <cfvo type="num" val="0.1"/>
        <color rgb="FFF8696B"/>
        <color rgb="FFFFEB84"/>
        <color rgb="FF63BE7B"/>
      </colorScale>
    </cfRule>
  </conditionalFormatting>
  <conditionalFormatting sqref="Q101">
    <cfRule type="colorScale" priority="206">
      <colorScale>
        <cfvo type="num" val="-0.1"/>
        <cfvo type="num" val="0"/>
        <cfvo type="num" val="0.1"/>
        <color rgb="FFF8696B"/>
        <color rgb="FFFFEB84"/>
        <color rgb="FF63BE7B"/>
      </colorScale>
    </cfRule>
  </conditionalFormatting>
  <conditionalFormatting sqref="Q102">
    <cfRule type="colorScale" priority="200">
      <colorScale>
        <cfvo type="num" val="-0.1"/>
        <cfvo type="num" val="0"/>
        <cfvo type="num" val="0.1"/>
        <color rgb="FFF8696B"/>
        <color rgb="FFFFEB84"/>
        <color rgb="FF63BE7B"/>
      </colorScale>
    </cfRule>
    <cfRule type="colorScale" priority="201">
      <colorScale>
        <cfvo type="num" val="-0.1"/>
        <cfvo type="num" val="0"/>
        <cfvo type="num" val="0.1"/>
        <color rgb="FFF8696B"/>
        <color rgb="FFFFEB84"/>
        <color rgb="FF63BE7B"/>
      </colorScale>
    </cfRule>
    <cfRule type="colorScale" priority="202">
      <colorScale>
        <cfvo type="num" val="-0.1"/>
        <cfvo type="num" val="0"/>
        <cfvo type="num" val="0.1"/>
        <color rgb="FFF8696B"/>
        <color rgb="FFFFEB84"/>
        <color rgb="FF63BE7B"/>
      </colorScale>
    </cfRule>
  </conditionalFormatting>
  <conditionalFormatting sqref="Q103">
    <cfRule type="colorScale" priority="199">
      <colorScale>
        <cfvo type="num" val="-0.1"/>
        <cfvo type="num" val="0"/>
        <cfvo type="num" val="0.1"/>
        <color rgb="FFF8696B"/>
        <color rgb="FFFFEB84"/>
        <color rgb="FF63BE7B"/>
      </colorScale>
    </cfRule>
  </conditionalFormatting>
  <conditionalFormatting sqref="Q104">
    <cfRule type="colorScale" priority="197">
      <colorScale>
        <cfvo type="num" val="-0.1"/>
        <cfvo type="num" val="0"/>
        <cfvo type="num" val="0.1"/>
        <color rgb="FFF8696B"/>
        <color rgb="FFFFEB84"/>
        <color rgb="FF63BE7B"/>
      </colorScale>
    </cfRule>
  </conditionalFormatting>
  <conditionalFormatting sqref="Q105">
    <cfRule type="colorScale" priority="198">
      <colorScale>
        <cfvo type="num" val="-0.1"/>
        <cfvo type="num" val="0"/>
        <cfvo type="num" val="0.1"/>
        <color rgb="FFF8696B"/>
        <color rgb="FFFFEB84"/>
        <color rgb="FF63BE7B"/>
      </colorScale>
    </cfRule>
  </conditionalFormatting>
  <conditionalFormatting sqref="Q106">
    <cfRule type="colorScale" priority="208">
      <colorScale>
        <cfvo type="num" val="-0.1"/>
        <cfvo type="num" val="0"/>
        <cfvo type="num" val="0.1"/>
        <color rgb="FFF8696B"/>
        <color rgb="FFFFEB84"/>
        <color rgb="FF63BE7B"/>
      </colorScale>
    </cfRule>
    <cfRule type="colorScale" priority="207">
      <colorScale>
        <cfvo type="num" val="-0.1"/>
        <cfvo type="num" val="0"/>
        <cfvo type="num" val="0.1"/>
        <color rgb="FFF8696B"/>
        <color rgb="FFFFEB84"/>
        <color rgb="FF63BE7B"/>
      </colorScale>
    </cfRule>
  </conditionalFormatting>
  <conditionalFormatting sqref="Q107">
    <cfRule type="colorScale" priority="211">
      <colorScale>
        <cfvo type="num" val="-0.1"/>
        <cfvo type="num" val="0"/>
        <cfvo type="num" val="0.1"/>
        <color rgb="FFF8696B"/>
        <color rgb="FFFFEB84"/>
        <color rgb="FF63BE7B"/>
      </colorScale>
    </cfRule>
    <cfRule type="colorScale" priority="213">
      <colorScale>
        <cfvo type="num" val="-0.1"/>
        <cfvo type="num" val="0"/>
        <cfvo type="num" val="0.1"/>
        <color rgb="FFF8696B"/>
        <color rgb="FFFFEB84"/>
        <color rgb="FF63BE7B"/>
      </colorScale>
    </cfRule>
    <cfRule type="colorScale" priority="214">
      <colorScale>
        <cfvo type="num" val="-0.1"/>
        <cfvo type="num" val="0"/>
        <cfvo type="num" val="0.1"/>
        <color rgb="FFF8696B"/>
        <color rgb="FFFFEB84"/>
        <color rgb="FF63BE7B"/>
      </colorScale>
    </cfRule>
  </conditionalFormatting>
  <conditionalFormatting sqref="Q108">
    <cfRule type="colorScale" priority="212">
      <colorScale>
        <cfvo type="num" val="-0.1"/>
        <cfvo type="num" val="0"/>
        <cfvo type="num" val="0.1"/>
        <color rgb="FFF8696B"/>
        <color rgb="FFFFEB84"/>
        <color rgb="FF63BE7B"/>
      </colorScale>
    </cfRule>
  </conditionalFormatting>
  <conditionalFormatting sqref="Q109">
    <cfRule type="colorScale" priority="210">
      <colorScale>
        <cfvo type="num" val="-0.1"/>
        <cfvo type="num" val="0"/>
        <cfvo type="num" val="0.1"/>
        <color rgb="FFF8696B"/>
        <color rgb="FFFFEB84"/>
        <color rgb="FF63BE7B"/>
      </colorScale>
    </cfRule>
    <cfRule type="colorScale" priority="209">
      <colorScale>
        <cfvo type="num" val="-0.1"/>
        <cfvo type="num" val="0"/>
        <cfvo type="num" val="0.1"/>
        <color rgb="FFF8696B"/>
        <color rgb="FFFFEB84"/>
        <color rgb="FF63BE7B"/>
      </colorScale>
    </cfRule>
  </conditionalFormatting>
  <conditionalFormatting sqref="Q110">
    <cfRule type="colorScale" priority="217">
      <colorScale>
        <cfvo type="num" val="-0.1"/>
        <cfvo type="num" val="0"/>
        <cfvo type="num" val="0.1"/>
        <color rgb="FFF8696B"/>
        <color rgb="FFFFEB84"/>
        <color rgb="FF63BE7B"/>
      </colorScale>
    </cfRule>
    <cfRule type="colorScale" priority="219">
      <colorScale>
        <cfvo type="num" val="-0.1"/>
        <cfvo type="num" val="0"/>
        <cfvo type="num" val="0.1"/>
        <color rgb="FFF8696B"/>
        <color rgb="FFFFEB84"/>
        <color rgb="FF63BE7B"/>
      </colorScale>
    </cfRule>
    <cfRule type="colorScale" priority="220">
      <colorScale>
        <cfvo type="num" val="-0.1"/>
        <cfvo type="num" val="0"/>
        <cfvo type="num" val="0.1"/>
        <color rgb="FFF8696B"/>
        <color rgb="FFFFEB84"/>
        <color rgb="FF63BE7B"/>
      </colorScale>
    </cfRule>
  </conditionalFormatting>
  <conditionalFormatting sqref="Q111">
    <cfRule type="colorScale" priority="218">
      <colorScale>
        <cfvo type="num" val="-0.1"/>
        <cfvo type="num" val="0"/>
        <cfvo type="num" val="0.1"/>
        <color rgb="FFF8696B"/>
        <color rgb="FFFFEB84"/>
        <color rgb="FF63BE7B"/>
      </colorScale>
    </cfRule>
  </conditionalFormatting>
  <conditionalFormatting sqref="Q112">
    <cfRule type="colorScale" priority="215">
      <colorScale>
        <cfvo type="num" val="-0.1"/>
        <cfvo type="num" val="0"/>
        <cfvo type="num" val="0.1"/>
        <color rgb="FFF8696B"/>
        <color rgb="FFFFEB84"/>
        <color rgb="FF63BE7B"/>
      </colorScale>
    </cfRule>
    <cfRule type="colorScale" priority="216">
      <colorScale>
        <cfvo type="num" val="-0.1"/>
        <cfvo type="num" val="0"/>
        <cfvo type="num" val="0.1"/>
        <color rgb="FFF8696B"/>
        <color rgb="FFFFEB84"/>
        <color rgb="FF63BE7B"/>
      </colorScale>
    </cfRule>
  </conditionalFormatting>
  <conditionalFormatting sqref="Q113">
    <cfRule type="colorScale" priority="231">
      <colorScale>
        <cfvo type="num" val="-0.1"/>
        <cfvo type="num" val="0"/>
        <cfvo type="num" val="0.1"/>
        <color rgb="FFF8696B"/>
        <color rgb="FFFFEB84"/>
        <color rgb="FF63BE7B"/>
      </colorScale>
    </cfRule>
  </conditionalFormatting>
  <conditionalFormatting sqref="Q114">
    <cfRule type="colorScale" priority="228">
      <colorScale>
        <cfvo type="num" val="-0.1"/>
        <cfvo type="num" val="0"/>
        <cfvo type="num" val="0.1"/>
        <color rgb="FFF8696B"/>
        <color rgb="FFFFEB84"/>
        <color rgb="FF63BE7B"/>
      </colorScale>
    </cfRule>
  </conditionalFormatting>
  <conditionalFormatting sqref="Q115">
    <cfRule type="colorScale" priority="227">
      <colorScale>
        <cfvo type="num" val="-0.1"/>
        <cfvo type="num" val="0"/>
        <cfvo type="num" val="0.1"/>
        <color rgb="FFF8696B"/>
        <color rgb="FFFFEB84"/>
        <color rgb="FF63BE7B"/>
      </colorScale>
    </cfRule>
  </conditionalFormatting>
  <conditionalFormatting sqref="Q116">
    <cfRule type="colorScale" priority="226">
      <colorScale>
        <cfvo type="num" val="-0.1"/>
        <cfvo type="num" val="0"/>
        <cfvo type="num" val="0.1"/>
        <color rgb="FFF8696B"/>
        <color rgb="FFFFEB84"/>
        <color rgb="FF63BE7B"/>
      </colorScale>
    </cfRule>
  </conditionalFormatting>
  <conditionalFormatting sqref="Q117:Q118">
    <cfRule type="colorScale" priority="230">
      <colorScale>
        <cfvo type="num" val="-0.1"/>
        <cfvo type="num" val="0"/>
        <cfvo type="num" val="0.1"/>
        <color rgb="FFF8696B"/>
        <color rgb="FFFFEB84"/>
        <color rgb="FF63BE7B"/>
      </colorScale>
    </cfRule>
    <cfRule type="colorScale" priority="229">
      <colorScale>
        <cfvo type="num" val="-0.1"/>
        <cfvo type="num" val="0"/>
        <cfvo type="num" val="0.1"/>
        <color rgb="FFF8696B"/>
        <color rgb="FFFFEB84"/>
        <color rgb="FF63BE7B"/>
      </colorScale>
    </cfRule>
  </conditionalFormatting>
  <conditionalFormatting sqref="Q118">
    <cfRule type="colorScale" priority="222">
      <colorScale>
        <cfvo type="num" val="-0.1"/>
        <cfvo type="num" val="0"/>
        <cfvo type="num" val="0.1"/>
        <color rgb="FFF8696B"/>
        <color rgb="FFFFEB84"/>
        <color rgb="FF63BE7B"/>
      </colorScale>
    </cfRule>
  </conditionalFormatting>
  <conditionalFormatting sqref="Q119">
    <cfRule type="colorScale" priority="225">
      <colorScale>
        <cfvo type="num" val="-0.1"/>
        <cfvo type="num" val="0"/>
        <cfvo type="num" val="0.1"/>
        <color rgb="FFF8696B"/>
        <color rgb="FFFFEB84"/>
        <color rgb="FF63BE7B"/>
      </colorScale>
    </cfRule>
  </conditionalFormatting>
  <conditionalFormatting sqref="Q120">
    <cfRule type="colorScale" priority="221">
      <colorScale>
        <cfvo type="num" val="-0.1"/>
        <cfvo type="num" val="0"/>
        <cfvo type="num" val="0.1"/>
        <color rgb="FFF8696B"/>
        <color rgb="FFFFEB84"/>
        <color rgb="FF63BE7B"/>
      </colorScale>
    </cfRule>
  </conditionalFormatting>
  <conditionalFormatting sqref="Q121">
    <cfRule type="colorScale" priority="224">
      <colorScale>
        <cfvo type="num" val="-0.1"/>
        <cfvo type="num" val="0"/>
        <cfvo type="num" val="0.1"/>
        <color rgb="FFF8696B"/>
        <color rgb="FFFFEB84"/>
        <color rgb="FF63BE7B"/>
      </colorScale>
    </cfRule>
    <cfRule type="colorScale" priority="223">
      <colorScale>
        <cfvo type="num" val="-0.1"/>
        <cfvo type="num" val="0"/>
        <cfvo type="num" val="0.1"/>
        <color rgb="FFF8696B"/>
        <color rgb="FFFFEB84"/>
        <color rgb="FF63BE7B"/>
      </colorScale>
    </cfRule>
  </conditionalFormatting>
  <conditionalFormatting sqref="Q122">
    <cfRule type="colorScale" priority="234">
      <colorScale>
        <cfvo type="num" val="-0.1"/>
        <cfvo type="num" val="0"/>
        <cfvo type="num" val="0.1"/>
        <color rgb="FFF8696B"/>
        <color rgb="FFFFEB84"/>
        <color rgb="FF63BE7B"/>
      </colorScale>
    </cfRule>
  </conditionalFormatting>
  <conditionalFormatting sqref="Q123">
    <cfRule type="colorScale" priority="232">
      <colorScale>
        <cfvo type="num" val="-0.1"/>
        <cfvo type="num" val="0"/>
        <cfvo type="num" val="0.1"/>
        <color rgb="FFF8696B"/>
        <color rgb="FFFFEB84"/>
        <color rgb="FF63BE7B"/>
      </colorScale>
    </cfRule>
  </conditionalFormatting>
  <conditionalFormatting sqref="Q124">
    <cfRule type="colorScale" priority="233">
      <colorScale>
        <cfvo type="num" val="-0.1"/>
        <cfvo type="num" val="0"/>
        <cfvo type="num" val="0.1"/>
        <color rgb="FFF8696B"/>
        <color rgb="FFFFEB84"/>
        <color rgb="FF63BE7B"/>
      </colorScale>
    </cfRule>
  </conditionalFormatting>
  <conditionalFormatting sqref="Q125">
    <cfRule type="colorScale" priority="237">
      <colorScale>
        <cfvo type="num" val="-0.1"/>
        <cfvo type="num" val="0"/>
        <cfvo type="num" val="0.1"/>
        <color rgb="FFF8696B"/>
        <color rgb="FFFFEB84"/>
        <color rgb="FF63BE7B"/>
      </colorScale>
    </cfRule>
    <cfRule type="colorScale" priority="238">
      <colorScale>
        <cfvo type="num" val="-0.1"/>
        <cfvo type="num" val="0"/>
        <cfvo type="num" val="0.1"/>
        <color rgb="FFF8696B"/>
        <color rgb="FFFFEB84"/>
        <color rgb="FF63BE7B"/>
      </colorScale>
    </cfRule>
  </conditionalFormatting>
  <conditionalFormatting sqref="Q126">
    <cfRule type="colorScale" priority="244">
      <colorScale>
        <cfvo type="num" val="-0.1"/>
        <cfvo type="num" val="0"/>
        <cfvo type="num" val="0.1"/>
        <color rgb="FFF8696B"/>
        <color rgb="FFFFEB84"/>
        <color rgb="FF63BE7B"/>
      </colorScale>
    </cfRule>
  </conditionalFormatting>
  <conditionalFormatting sqref="Q127">
    <cfRule type="colorScale" priority="240">
      <colorScale>
        <cfvo type="num" val="-0.1"/>
        <cfvo type="num" val="0"/>
        <cfvo type="num" val="0.1"/>
        <color rgb="FFF8696B"/>
        <color rgb="FFFFEB84"/>
        <color rgb="FF63BE7B"/>
      </colorScale>
    </cfRule>
  </conditionalFormatting>
  <conditionalFormatting sqref="Q128">
    <cfRule type="colorScale" priority="241">
      <colorScale>
        <cfvo type="num" val="-0.1"/>
        <cfvo type="num" val="0"/>
        <cfvo type="num" val="0.1"/>
        <color rgb="FFF8696B"/>
        <color rgb="FFFFEB84"/>
        <color rgb="FF63BE7B"/>
      </colorScale>
    </cfRule>
  </conditionalFormatting>
  <conditionalFormatting sqref="Q129">
    <cfRule type="colorScale" priority="242">
      <colorScale>
        <cfvo type="num" val="-0.1"/>
        <cfvo type="num" val="0"/>
        <cfvo type="num" val="0.1"/>
        <color rgb="FFF8696B"/>
        <color rgb="FFFFEB84"/>
        <color rgb="FF63BE7B"/>
      </colorScale>
    </cfRule>
    <cfRule type="colorScale" priority="243">
      <colorScale>
        <cfvo type="num" val="-0.1"/>
        <cfvo type="num" val="0"/>
        <cfvo type="num" val="0.1"/>
        <color rgb="FFF8696B"/>
        <color rgb="FFFFEB84"/>
        <color rgb="FF63BE7B"/>
      </colorScale>
    </cfRule>
  </conditionalFormatting>
  <conditionalFormatting sqref="Q130">
    <cfRule type="colorScale" priority="249">
      <colorScale>
        <cfvo type="num" val="-0.1"/>
        <cfvo type="num" val="0"/>
        <cfvo type="num" val="0.1"/>
        <color rgb="FFF8696B"/>
        <color rgb="FFFFEB84"/>
        <color rgb="FF63BE7B"/>
      </colorScale>
    </cfRule>
  </conditionalFormatting>
  <conditionalFormatting sqref="Q131">
    <cfRule type="colorScale" priority="245">
      <colorScale>
        <cfvo type="num" val="-0.1"/>
        <cfvo type="num" val="0"/>
        <cfvo type="num" val="0.1"/>
        <color rgb="FFF8696B"/>
        <color rgb="FFFFEB84"/>
        <color rgb="FF63BE7B"/>
      </colorScale>
    </cfRule>
    <cfRule type="colorScale" priority="246">
      <colorScale>
        <cfvo type="num" val="-0.1"/>
        <cfvo type="num" val="0"/>
        <cfvo type="num" val="0.1"/>
        <color rgb="FFF8696B"/>
        <color rgb="FFFFEB84"/>
        <color rgb="FF63BE7B"/>
      </colorScale>
    </cfRule>
  </conditionalFormatting>
  <conditionalFormatting sqref="Q132">
    <cfRule type="colorScale" priority="252">
      <colorScale>
        <cfvo type="num" val="-0.1"/>
        <cfvo type="num" val="0"/>
        <cfvo type="num" val="0.1"/>
        <color rgb="FFF8696B"/>
        <color rgb="FFFFEB84"/>
        <color rgb="FF63BE7B"/>
      </colorScale>
    </cfRule>
  </conditionalFormatting>
  <conditionalFormatting sqref="Q133">
    <cfRule type="colorScale" priority="251">
      <colorScale>
        <cfvo type="num" val="-0.1"/>
        <cfvo type="num" val="0"/>
        <cfvo type="num" val="0.1"/>
        <color rgb="FFF8696B"/>
        <color rgb="FFFFEB84"/>
        <color rgb="FF63BE7B"/>
      </colorScale>
    </cfRule>
  </conditionalFormatting>
  <conditionalFormatting sqref="Q134:Q137">
    <cfRule type="colorScale" priority="250">
      <colorScale>
        <cfvo type="num" val="-0.1"/>
        <cfvo type="num" val="0"/>
        <cfvo type="num" val="0.1"/>
        <color rgb="FFF8696B"/>
        <color rgb="FFFFEB84"/>
        <color rgb="FF63BE7B"/>
      </colorScale>
    </cfRule>
  </conditionalFormatting>
  <conditionalFormatting sqref="Q138">
    <cfRule type="colorScale" priority="247">
      <colorScale>
        <cfvo type="num" val="-0.1"/>
        <cfvo type="num" val="0"/>
        <cfvo type="num" val="0.1"/>
        <color rgb="FFF8696B"/>
        <color rgb="FFFFEB84"/>
        <color rgb="FF63BE7B"/>
      </colorScale>
    </cfRule>
    <cfRule type="colorScale" priority="248">
      <colorScale>
        <cfvo type="num" val="-0.1"/>
        <cfvo type="num" val="0"/>
        <cfvo type="num" val="0.1"/>
        <color rgb="FFF8696B"/>
        <color rgb="FFFFEB84"/>
        <color rgb="FF63BE7B"/>
      </colorScale>
    </cfRule>
  </conditionalFormatting>
  <conditionalFormatting sqref="Q139">
    <cfRule type="colorScale" priority="257">
      <colorScale>
        <cfvo type="num" val="-0.1"/>
        <cfvo type="num" val="0"/>
        <cfvo type="num" val="0.1"/>
        <color rgb="FFF8696B"/>
        <color rgb="FFFFEB84"/>
        <color rgb="FF63BE7B"/>
      </colorScale>
    </cfRule>
    <cfRule type="colorScale" priority="258">
      <colorScale>
        <cfvo type="num" val="-0.1"/>
        <cfvo type="num" val="0"/>
        <cfvo type="num" val="0.1"/>
        <color rgb="FFF8696B"/>
        <color rgb="FFFFEB84"/>
        <color rgb="FF63BE7B"/>
      </colorScale>
    </cfRule>
  </conditionalFormatting>
  <conditionalFormatting sqref="Q140">
    <cfRule type="colorScale" priority="255">
      <colorScale>
        <cfvo type="num" val="-0.1"/>
        <cfvo type="num" val="0"/>
        <cfvo type="num" val="0.1"/>
        <color rgb="FFF8696B"/>
        <color rgb="FFFFEB84"/>
        <color rgb="FF63BE7B"/>
      </colorScale>
    </cfRule>
    <cfRule type="colorScale" priority="256">
      <colorScale>
        <cfvo type="num" val="-0.1"/>
        <cfvo type="num" val="0"/>
        <cfvo type="num" val="0.1"/>
        <color rgb="FFF8696B"/>
        <color rgb="FFFFEB84"/>
        <color rgb="FF63BE7B"/>
      </colorScale>
    </cfRule>
  </conditionalFormatting>
  <conditionalFormatting sqref="Q141">
    <cfRule type="colorScale" priority="264">
      <colorScale>
        <cfvo type="num" val="-0.1"/>
        <cfvo type="num" val="0"/>
        <cfvo type="num" val="0.1"/>
        <color rgb="FFF8696B"/>
        <color rgb="FFFFEB84"/>
        <color rgb="FF63BE7B"/>
      </colorScale>
    </cfRule>
    <cfRule type="colorScale" priority="263">
      <colorScale>
        <cfvo type="num" val="-0.1"/>
        <cfvo type="num" val="0"/>
        <cfvo type="num" val="0.1"/>
        <color rgb="FFF8696B"/>
        <color rgb="FFFFEB84"/>
        <color rgb="FF63BE7B"/>
      </colorScale>
    </cfRule>
  </conditionalFormatting>
  <conditionalFormatting sqref="Q142">
    <cfRule type="colorScale" priority="259">
      <colorScale>
        <cfvo type="num" val="-0.1"/>
        <cfvo type="num" val="0"/>
        <cfvo type="num" val="0.1"/>
        <color rgb="FFF8696B"/>
        <color rgb="FFFFEB84"/>
        <color rgb="FF63BE7B"/>
      </colorScale>
    </cfRule>
    <cfRule type="colorScale" priority="260">
      <colorScale>
        <cfvo type="num" val="-0.1"/>
        <cfvo type="num" val="0"/>
        <cfvo type="num" val="0.1"/>
        <color rgb="FFF8696B"/>
        <color rgb="FFFFEB84"/>
        <color rgb="FF63BE7B"/>
      </colorScale>
    </cfRule>
  </conditionalFormatting>
  <conditionalFormatting sqref="Q143">
    <cfRule type="colorScale" priority="261">
      <colorScale>
        <cfvo type="num" val="-0.1"/>
        <cfvo type="num" val="0"/>
        <cfvo type="num" val="0.1"/>
        <color rgb="FFF8696B"/>
        <color rgb="FFFFEB84"/>
        <color rgb="FF63BE7B"/>
      </colorScale>
    </cfRule>
    <cfRule type="colorScale" priority="262">
      <colorScale>
        <cfvo type="num" val="-0.1"/>
        <cfvo type="num" val="0"/>
        <cfvo type="num" val="0.1"/>
        <color rgb="FFF8696B"/>
        <color rgb="FFFFEB84"/>
        <color rgb="FF63BE7B"/>
      </colorScale>
    </cfRule>
  </conditionalFormatting>
  <conditionalFormatting sqref="Q144">
    <cfRule type="colorScale" priority="275">
      <colorScale>
        <cfvo type="num" val="-0.1"/>
        <cfvo type="num" val="0"/>
        <cfvo type="num" val="0.1"/>
        <color rgb="FFF8696B"/>
        <color rgb="FFFFEB84"/>
        <color rgb="FF63BE7B"/>
      </colorScale>
    </cfRule>
  </conditionalFormatting>
  <conditionalFormatting sqref="Q145">
    <cfRule type="colorScale" priority="265">
      <colorScale>
        <cfvo type="num" val="-0.1"/>
        <cfvo type="num" val="0"/>
        <cfvo type="num" val="0.1"/>
        <color rgb="FFF8696B"/>
        <color rgb="FFFFEB84"/>
        <color rgb="FF63BE7B"/>
      </colorScale>
    </cfRule>
  </conditionalFormatting>
  <conditionalFormatting sqref="Q146">
    <cfRule type="colorScale" priority="268">
      <colorScale>
        <cfvo type="num" val="-0.1"/>
        <cfvo type="num" val="0"/>
        <cfvo type="num" val="0.1"/>
        <color rgb="FFF8696B"/>
        <color rgb="FFFFEB84"/>
        <color rgb="FF63BE7B"/>
      </colorScale>
    </cfRule>
    <cfRule type="colorScale" priority="269">
      <colorScale>
        <cfvo type="num" val="-0.1"/>
        <cfvo type="num" val="0"/>
        <cfvo type="num" val="0.1"/>
        <color rgb="FFF8696B"/>
        <color rgb="FFFFEB84"/>
        <color rgb="FF63BE7B"/>
      </colorScale>
    </cfRule>
  </conditionalFormatting>
  <conditionalFormatting sqref="Q147">
    <cfRule type="colorScale" priority="274">
      <colorScale>
        <cfvo type="num" val="-0.1"/>
        <cfvo type="num" val="0"/>
        <cfvo type="num" val="0.1"/>
        <color rgb="FFF8696B"/>
        <color rgb="FFFFEB84"/>
        <color rgb="FF63BE7B"/>
      </colorScale>
    </cfRule>
  </conditionalFormatting>
  <conditionalFormatting sqref="Q148">
    <cfRule type="colorScale" priority="273">
      <colorScale>
        <cfvo type="num" val="-0.1"/>
        <cfvo type="num" val="0"/>
        <cfvo type="num" val="0.1"/>
        <color rgb="FFF8696B"/>
        <color rgb="FFFFEB84"/>
        <color rgb="FF63BE7B"/>
      </colorScale>
    </cfRule>
  </conditionalFormatting>
  <conditionalFormatting sqref="Q149">
    <cfRule type="colorScale" priority="267">
      <colorScale>
        <cfvo type="num" val="-0.1"/>
        <cfvo type="num" val="0"/>
        <cfvo type="num" val="0.1"/>
        <color rgb="FFF8696B"/>
        <color rgb="FFFFEB84"/>
        <color rgb="FF63BE7B"/>
      </colorScale>
    </cfRule>
  </conditionalFormatting>
  <conditionalFormatting sqref="Q150">
    <cfRule type="colorScale" priority="272">
      <colorScale>
        <cfvo type="num" val="-0.1"/>
        <cfvo type="num" val="0"/>
        <cfvo type="num" val="0.1"/>
        <color rgb="FFF8696B"/>
        <color rgb="FFFFEB84"/>
        <color rgb="FF63BE7B"/>
      </colorScale>
    </cfRule>
  </conditionalFormatting>
  <conditionalFormatting sqref="Q151">
    <cfRule type="colorScale" priority="270">
      <colorScale>
        <cfvo type="num" val="-0.1"/>
        <cfvo type="num" val="0"/>
        <cfvo type="num" val="0.1"/>
        <color rgb="FFF8696B"/>
        <color rgb="FFFFEB84"/>
        <color rgb="FF63BE7B"/>
      </colorScale>
    </cfRule>
    <cfRule type="colorScale" priority="271">
      <colorScale>
        <cfvo type="num" val="-0.1"/>
        <cfvo type="num" val="0"/>
        <cfvo type="num" val="0.1"/>
        <color rgb="FFF8696B"/>
        <color rgb="FFFFEB84"/>
        <color rgb="FF63BE7B"/>
      </colorScale>
    </cfRule>
  </conditionalFormatting>
  <conditionalFormatting sqref="Q152">
    <cfRule type="colorScale" priority="279">
      <colorScale>
        <cfvo type="num" val="-0.1"/>
        <cfvo type="num" val="0"/>
        <cfvo type="num" val="0.1"/>
        <color rgb="FFF8696B"/>
        <color rgb="FFFFEB84"/>
        <color rgb="FF63BE7B"/>
      </colorScale>
    </cfRule>
    <cfRule type="colorScale" priority="278">
      <colorScale>
        <cfvo type="num" val="-0.1"/>
        <cfvo type="num" val="0"/>
        <cfvo type="num" val="0.1"/>
        <color rgb="FFF8696B"/>
        <color rgb="FFFFEB84"/>
        <color rgb="FF63BE7B"/>
      </colorScale>
    </cfRule>
  </conditionalFormatting>
  <conditionalFormatting sqref="Q153">
    <cfRule type="colorScale" priority="276">
      <colorScale>
        <cfvo type="num" val="-0.1"/>
        <cfvo type="num" val="0"/>
        <cfvo type="num" val="0.1"/>
        <color rgb="FFF8696B"/>
        <color rgb="FFFFEB84"/>
        <color rgb="FF63BE7B"/>
      </colorScale>
    </cfRule>
    <cfRule type="colorScale" priority="277">
      <colorScale>
        <cfvo type="num" val="-0.1"/>
        <cfvo type="num" val="0"/>
        <cfvo type="num" val="0.1"/>
        <color rgb="FFF8696B"/>
        <color rgb="FFFFEB84"/>
        <color rgb="FF63BE7B"/>
      </colorScale>
    </cfRule>
  </conditionalFormatting>
  <conditionalFormatting sqref="Q154">
    <cfRule type="colorScale" priority="282">
      <colorScale>
        <cfvo type="num" val="-0.1"/>
        <cfvo type="num" val="0"/>
        <cfvo type="num" val="0.1"/>
        <color rgb="FFF8696B"/>
        <color rgb="FFFFEB84"/>
        <color rgb="FF63BE7B"/>
      </colorScale>
    </cfRule>
  </conditionalFormatting>
  <conditionalFormatting sqref="Q155">
    <cfRule type="colorScale" priority="280">
      <colorScale>
        <cfvo type="num" val="-0.1"/>
        <cfvo type="num" val="0"/>
        <cfvo type="num" val="0.1"/>
        <color rgb="FFF8696B"/>
        <color rgb="FFFFEB84"/>
        <color rgb="FF63BE7B"/>
      </colorScale>
    </cfRule>
    <cfRule type="colorScale" priority="281">
      <colorScale>
        <cfvo type="num" val="-0.1"/>
        <cfvo type="num" val="0"/>
        <cfvo type="num" val="0.1"/>
        <color rgb="FFF8696B"/>
        <color rgb="FFFFEB84"/>
        <color rgb="FF63BE7B"/>
      </colorScale>
    </cfRule>
  </conditionalFormatting>
  <conditionalFormatting sqref="Q156">
    <cfRule type="colorScale" priority="287">
      <colorScale>
        <cfvo type="num" val="-0.1"/>
        <cfvo type="num" val="0"/>
        <cfvo type="num" val="0.1"/>
        <color rgb="FFF8696B"/>
        <color rgb="FFFFEB84"/>
        <color rgb="FF63BE7B"/>
      </colorScale>
    </cfRule>
  </conditionalFormatting>
  <conditionalFormatting sqref="Q157">
    <cfRule type="colorScale" priority="285">
      <colorScale>
        <cfvo type="num" val="-0.1"/>
        <cfvo type="num" val="0"/>
        <cfvo type="num" val="0.1"/>
        <color rgb="FFF8696B"/>
        <color rgb="FFFFEB84"/>
        <color rgb="FF63BE7B"/>
      </colorScale>
    </cfRule>
  </conditionalFormatting>
  <conditionalFormatting sqref="Q158">
    <cfRule type="colorScale" priority="284">
      <colorScale>
        <cfvo type="num" val="-0.1"/>
        <cfvo type="num" val="0"/>
        <cfvo type="num" val="0.1"/>
        <color rgb="FFF8696B"/>
        <color rgb="FFFFEB84"/>
        <color rgb="FF63BE7B"/>
      </colorScale>
    </cfRule>
  </conditionalFormatting>
  <conditionalFormatting sqref="Q159">
    <cfRule type="colorScale" priority="288">
      <colorScale>
        <cfvo type="num" val="-0.1"/>
        <cfvo type="num" val="0"/>
        <cfvo type="num" val="0.1"/>
        <color rgb="FFF8696B"/>
        <color rgb="FFFFEB84"/>
        <color rgb="FF63BE7B"/>
      </colorScale>
    </cfRule>
    <cfRule type="colorScale" priority="289">
      <colorScale>
        <cfvo type="num" val="-0.1"/>
        <cfvo type="num" val="0"/>
        <cfvo type="num" val="0.1"/>
        <color rgb="FFF8696B"/>
        <color rgb="FFFFEB84"/>
        <color rgb="FF63BE7B"/>
      </colorScale>
    </cfRule>
  </conditionalFormatting>
  <conditionalFormatting sqref="Q160">
    <cfRule type="colorScale" priority="298">
      <colorScale>
        <cfvo type="num" val="-0.1"/>
        <cfvo type="num" val="0"/>
        <cfvo type="num" val="0.1"/>
        <color rgb="FFF8696B"/>
        <color rgb="FFFFEB84"/>
        <color rgb="FF63BE7B"/>
      </colorScale>
    </cfRule>
  </conditionalFormatting>
  <conditionalFormatting sqref="Q161">
    <cfRule type="colorScale" priority="297">
      <colorScale>
        <cfvo type="num" val="-0.1"/>
        <cfvo type="num" val="0"/>
        <cfvo type="num" val="0.1"/>
        <color rgb="FFF8696B"/>
        <color rgb="FFFFEB84"/>
        <color rgb="FF63BE7B"/>
      </colorScale>
    </cfRule>
  </conditionalFormatting>
  <conditionalFormatting sqref="Q162">
    <cfRule type="colorScale" priority="296">
      <colorScale>
        <cfvo type="num" val="-0.1"/>
        <cfvo type="num" val="0"/>
        <cfvo type="num" val="0.1"/>
        <color rgb="FFF8696B"/>
        <color rgb="FFFFEB84"/>
        <color rgb="FF63BE7B"/>
      </colorScale>
    </cfRule>
  </conditionalFormatting>
  <conditionalFormatting sqref="Q163">
    <cfRule type="colorScale" priority="295">
      <colorScale>
        <cfvo type="num" val="-0.1"/>
        <cfvo type="num" val="0"/>
        <cfvo type="num" val="0.1"/>
        <color rgb="FFF8696B"/>
        <color rgb="FFFFEB84"/>
        <color rgb="FF63BE7B"/>
      </colorScale>
    </cfRule>
  </conditionalFormatting>
  <conditionalFormatting sqref="Q164">
    <cfRule type="colorScale" priority="294">
      <colorScale>
        <cfvo type="num" val="-0.1"/>
        <cfvo type="num" val="0"/>
        <cfvo type="num" val="0.1"/>
        <color rgb="FFF8696B"/>
        <color rgb="FFFFEB84"/>
        <color rgb="FF63BE7B"/>
      </colorScale>
    </cfRule>
  </conditionalFormatting>
  <conditionalFormatting sqref="Q165">
    <cfRule type="colorScale" priority="302">
      <colorScale>
        <cfvo type="num" val="-0.1"/>
        <cfvo type="num" val="0"/>
        <cfvo type="num" val="0.1"/>
        <color rgb="FFF8696B"/>
        <color rgb="FFFFEB84"/>
        <color rgb="FF63BE7B"/>
      </colorScale>
    </cfRule>
  </conditionalFormatting>
  <conditionalFormatting sqref="Q166">
    <cfRule type="colorScale" priority="293">
      <colorScale>
        <cfvo type="num" val="-0.1"/>
        <cfvo type="num" val="0"/>
        <cfvo type="num" val="0.1"/>
        <color rgb="FFF8696B"/>
        <color rgb="FFFFEB84"/>
        <color rgb="FF63BE7B"/>
      </colorScale>
    </cfRule>
  </conditionalFormatting>
  <conditionalFormatting sqref="Q167">
    <cfRule type="colorScale" priority="292">
      <colorScale>
        <cfvo type="num" val="-0.1"/>
        <cfvo type="num" val="0"/>
        <cfvo type="num" val="0.1"/>
        <color rgb="FFF8696B"/>
        <color rgb="FFFFEB84"/>
        <color rgb="FF63BE7B"/>
      </colorScale>
    </cfRule>
  </conditionalFormatting>
  <conditionalFormatting sqref="Q168">
    <cfRule type="colorScale" priority="291">
      <colorScale>
        <cfvo type="num" val="-0.1"/>
        <cfvo type="num" val="0"/>
        <cfvo type="num" val="0.1"/>
        <color rgb="FFF8696B"/>
        <color rgb="FFFFEB84"/>
        <color rgb="FF63BE7B"/>
      </colorScale>
    </cfRule>
  </conditionalFormatting>
  <conditionalFormatting sqref="Q169">
    <cfRule type="colorScale" priority="290">
      <colorScale>
        <cfvo type="num" val="-0.1"/>
        <cfvo type="num" val="0"/>
        <cfvo type="num" val="0.1"/>
        <color rgb="FFF8696B"/>
        <color rgb="FFFFEB84"/>
        <color rgb="FF63BE7B"/>
      </colorScale>
    </cfRule>
  </conditionalFormatting>
  <conditionalFormatting sqref="Q172">
    <cfRule type="colorScale" priority="300">
      <colorScale>
        <cfvo type="num" val="-0.1"/>
        <cfvo type="num" val="0"/>
        <cfvo type="num" val="0.1"/>
        <color rgb="FFF8696B"/>
        <color rgb="FFFFEB84"/>
        <color rgb="FF63BE7B"/>
      </colorScale>
    </cfRule>
  </conditionalFormatting>
  <conditionalFormatting sqref="Q173">
    <cfRule type="colorScale" priority="303">
      <colorScale>
        <cfvo type="num" val="-0.1"/>
        <cfvo type="num" val="0"/>
        <cfvo type="num" val="0.1"/>
        <color rgb="FFF8696B"/>
        <color rgb="FFFFEB84"/>
        <color rgb="FF63BE7B"/>
      </colorScale>
    </cfRule>
  </conditionalFormatting>
  <conditionalFormatting sqref="Q174">
    <cfRule type="colorScale" priority="299">
      <colorScale>
        <cfvo type="num" val="-0.1"/>
        <cfvo type="num" val="0"/>
        <cfvo type="num" val="0.1"/>
        <color rgb="FFF8696B"/>
        <color rgb="FFFFEB84"/>
        <color rgb="FF63BE7B"/>
      </colorScale>
    </cfRule>
  </conditionalFormatting>
  <conditionalFormatting sqref="Q175">
    <cfRule type="colorScale" priority="301">
      <colorScale>
        <cfvo type="num" val="-0.1"/>
        <cfvo type="num" val="0"/>
        <cfvo type="num" val="0.1"/>
        <color rgb="FFF8696B"/>
        <color rgb="FFFFEB84"/>
        <color rgb="FF63BE7B"/>
      </colorScale>
    </cfRule>
  </conditionalFormatting>
  <conditionalFormatting sqref="Q176">
    <cfRule type="colorScale" priority="310">
      <colorScale>
        <cfvo type="num" val="-0.1"/>
        <cfvo type="num" val="0"/>
        <cfvo type="num" val="0.1"/>
        <color rgb="FFF8696B"/>
        <color rgb="FFFFEB84"/>
        <color rgb="FF63BE7B"/>
      </colorScale>
    </cfRule>
  </conditionalFormatting>
  <conditionalFormatting sqref="Q177:Q181">
    <cfRule type="colorScale" priority="311">
      <colorScale>
        <cfvo type="num" val="-0.1"/>
        <cfvo type="num" val="0"/>
        <cfvo type="num" val="0.1"/>
        <color rgb="FFF8696B"/>
        <color rgb="FFFFEB84"/>
        <color rgb="FF63BE7B"/>
      </colorScale>
    </cfRule>
  </conditionalFormatting>
  <conditionalFormatting sqref="Q182">
    <cfRule type="colorScale" priority="309">
      <colorScale>
        <cfvo type="num" val="-0.1"/>
        <cfvo type="num" val="0"/>
        <cfvo type="num" val="0.1"/>
        <color rgb="FFF8696B"/>
        <color rgb="FFFFEB84"/>
        <color rgb="FF63BE7B"/>
      </colorScale>
    </cfRule>
  </conditionalFormatting>
  <conditionalFormatting sqref="Q184">
    <cfRule type="colorScale" priority="306">
      <colorScale>
        <cfvo type="num" val="-0.1"/>
        <cfvo type="num" val="0"/>
        <cfvo type="num" val="0.1"/>
        <color rgb="FFF8696B"/>
        <color rgb="FFFFEB84"/>
        <color rgb="FF63BE7B"/>
      </colorScale>
    </cfRule>
  </conditionalFormatting>
  <conditionalFormatting sqref="Q185 Q183">
    <cfRule type="colorScale" priority="308">
      <colorScale>
        <cfvo type="num" val="-0.1"/>
        <cfvo type="num" val="0"/>
        <cfvo type="num" val="0.1"/>
        <color rgb="FFF8696B"/>
        <color rgb="FFFFEB84"/>
        <color rgb="FF63BE7B"/>
      </colorScale>
    </cfRule>
  </conditionalFormatting>
  <conditionalFormatting sqref="Q187">
    <cfRule type="colorScale" priority="305">
      <colorScale>
        <cfvo type="num" val="-0.1"/>
        <cfvo type="num" val="0"/>
        <cfvo type="num" val="0.1"/>
        <color rgb="FFF8696B"/>
        <color rgb="FFFFEB84"/>
        <color rgb="FF63BE7B"/>
      </colorScale>
    </cfRule>
  </conditionalFormatting>
  <conditionalFormatting sqref="Q188 Q186 Q190">
    <cfRule type="colorScale" priority="307">
      <colorScale>
        <cfvo type="num" val="-0.1"/>
        <cfvo type="num" val="0"/>
        <cfvo type="num" val="0.1"/>
        <color rgb="FFF8696B"/>
        <color rgb="FFFFEB84"/>
        <color rgb="FF63BE7B"/>
      </colorScale>
    </cfRule>
  </conditionalFormatting>
  <conditionalFormatting sqref="Q189">
    <cfRule type="colorScale" priority="304">
      <colorScale>
        <cfvo type="num" val="-0.1"/>
        <cfvo type="num" val="0"/>
        <cfvo type="num" val="0.1"/>
        <color rgb="FFF8696B"/>
        <color rgb="FFFFEB84"/>
        <color rgb="FF63BE7B"/>
      </colorScale>
    </cfRule>
  </conditionalFormatting>
  <conditionalFormatting sqref="Q192">
    <cfRule type="colorScale" priority="314">
      <colorScale>
        <cfvo type="num" val="-0.1"/>
        <cfvo type="num" val="0"/>
        <cfvo type="num" val="0.1"/>
        <color rgb="FFF8696B"/>
        <color rgb="FFFFEB84"/>
        <color rgb="FF63BE7B"/>
      </colorScale>
    </cfRule>
  </conditionalFormatting>
  <conditionalFormatting sqref="Q193">
    <cfRule type="colorScale" priority="315">
      <colorScale>
        <cfvo type="num" val="-0.1"/>
        <cfvo type="num" val="0"/>
        <cfvo type="num" val="0.1"/>
        <color rgb="FFF8696B"/>
        <color rgb="FFFFEB84"/>
        <color rgb="FF63BE7B"/>
      </colorScale>
    </cfRule>
  </conditionalFormatting>
  <conditionalFormatting sqref="Q194">
    <cfRule type="colorScale" priority="316">
      <colorScale>
        <cfvo type="num" val="-0.1"/>
        <cfvo type="num" val="0"/>
        <cfvo type="num" val="0.1"/>
        <color rgb="FFF8696B"/>
        <color rgb="FFFFEB84"/>
        <color rgb="FF63BE7B"/>
      </colorScale>
    </cfRule>
  </conditionalFormatting>
  <conditionalFormatting sqref="Q196">
    <cfRule type="colorScale" priority="317">
      <colorScale>
        <cfvo type="num" val="-0.1"/>
        <cfvo type="num" val="0"/>
        <cfvo type="num" val="0.1"/>
        <color rgb="FFF8696B"/>
        <color rgb="FFFFEB84"/>
        <color rgb="FF63BE7B"/>
      </colorScale>
    </cfRule>
  </conditionalFormatting>
  <conditionalFormatting sqref="Q197 Q195">
    <cfRule type="colorScale" priority="318">
      <colorScale>
        <cfvo type="num" val="-0.1"/>
        <cfvo type="num" val="0"/>
        <cfvo type="num" val="0.1"/>
        <color rgb="FFF8696B"/>
        <color rgb="FFFFEB84"/>
        <color rgb="FF63BE7B"/>
      </colorScale>
    </cfRule>
  </conditionalFormatting>
  <conditionalFormatting sqref="Q198:Q199">
    <cfRule type="colorScale" priority="335">
      <colorScale>
        <cfvo type="num" val="-0.1"/>
        <cfvo type="num" val="0"/>
        <cfvo type="num" val="0.1"/>
        <color rgb="FFF8696B"/>
        <color rgb="FFFFEB84"/>
        <color rgb="FF63BE7B"/>
      </colorScale>
    </cfRule>
  </conditionalFormatting>
  <conditionalFormatting sqref="Q200">
    <cfRule type="colorScale" priority="342">
      <colorScale>
        <cfvo type="num" val="-0.1"/>
        <cfvo type="num" val="0"/>
        <cfvo type="num" val="0.1"/>
        <color rgb="FFF8696B"/>
        <color rgb="FFFFEB84"/>
        <color rgb="FF63BE7B"/>
      </colorScale>
    </cfRule>
  </conditionalFormatting>
  <conditionalFormatting sqref="Q202">
    <cfRule type="colorScale" priority="338">
      <colorScale>
        <cfvo type="num" val="-0.1"/>
        <cfvo type="num" val="0"/>
        <cfvo type="num" val="0.1"/>
        <color rgb="FFF8696B"/>
        <color rgb="FFFFEB84"/>
        <color rgb="FF63BE7B"/>
      </colorScale>
    </cfRule>
  </conditionalFormatting>
  <conditionalFormatting sqref="Q203 Q201">
    <cfRule type="colorScale" priority="341">
      <colorScale>
        <cfvo type="num" val="-0.1"/>
        <cfvo type="num" val="0"/>
        <cfvo type="num" val="0.1"/>
        <color rgb="FFF8696B"/>
        <color rgb="FFFFEB84"/>
        <color rgb="FF63BE7B"/>
      </colorScale>
    </cfRule>
  </conditionalFormatting>
  <conditionalFormatting sqref="Q205">
    <cfRule type="colorScale" priority="337">
      <colorScale>
        <cfvo type="num" val="-0.1"/>
        <cfvo type="num" val="0"/>
        <cfvo type="num" val="0.1"/>
        <color rgb="FFF8696B"/>
        <color rgb="FFFFEB84"/>
        <color rgb="FF63BE7B"/>
      </colorScale>
    </cfRule>
  </conditionalFormatting>
  <conditionalFormatting sqref="Q206 Q204 Q208:Q209 Q214 Q223">
    <cfRule type="colorScale" priority="340">
      <colorScale>
        <cfvo type="num" val="-0.1"/>
        <cfvo type="num" val="0"/>
        <cfvo type="num" val="0.1"/>
        <color rgb="FFF8696B"/>
        <color rgb="FFFFEB84"/>
        <color rgb="FF63BE7B"/>
      </colorScale>
    </cfRule>
  </conditionalFormatting>
  <conditionalFormatting sqref="Q207">
    <cfRule type="colorScale" priority="336">
      <colorScale>
        <cfvo type="num" val="-0.1"/>
        <cfvo type="num" val="0"/>
        <cfvo type="num" val="0.1"/>
        <color rgb="FFF8696B"/>
        <color rgb="FFFFEB84"/>
        <color rgb="FF63BE7B"/>
      </colorScale>
    </cfRule>
  </conditionalFormatting>
  <conditionalFormatting sqref="Q210">
    <cfRule type="colorScale" priority="320">
      <colorScale>
        <cfvo type="num" val="-0.1"/>
        <cfvo type="num" val="0"/>
        <cfvo type="num" val="0.1"/>
        <color rgb="FFF8696B"/>
        <color rgb="FFFFEB84"/>
        <color rgb="FF63BE7B"/>
      </colorScale>
    </cfRule>
  </conditionalFormatting>
  <conditionalFormatting sqref="Q211">
    <cfRule type="colorScale" priority="321">
      <colorScale>
        <cfvo type="num" val="-0.1"/>
        <cfvo type="num" val="0"/>
        <cfvo type="num" val="0.1"/>
        <color rgb="FFF8696B"/>
        <color rgb="FFFFEB84"/>
        <color rgb="FF63BE7B"/>
      </colorScale>
    </cfRule>
  </conditionalFormatting>
  <conditionalFormatting sqref="Q212">
    <cfRule type="colorScale" priority="322">
      <colorScale>
        <cfvo type="num" val="-0.1"/>
        <cfvo type="num" val="0"/>
        <cfvo type="num" val="0.1"/>
        <color rgb="FFF8696B"/>
        <color rgb="FFFFEB84"/>
        <color rgb="FF63BE7B"/>
      </colorScale>
    </cfRule>
  </conditionalFormatting>
  <conditionalFormatting sqref="Q213">
    <cfRule type="colorScale" priority="323">
      <colorScale>
        <cfvo type="num" val="-0.1"/>
        <cfvo type="num" val="0"/>
        <cfvo type="num" val="0.1"/>
        <color rgb="FFF8696B"/>
        <color rgb="FFFFEB84"/>
        <color rgb="FF63BE7B"/>
      </colorScale>
    </cfRule>
  </conditionalFormatting>
  <conditionalFormatting sqref="Q215">
    <cfRule type="colorScale" priority="327">
      <colorScale>
        <cfvo type="num" val="-0.1"/>
        <cfvo type="num" val="0"/>
        <cfvo type="num" val="0.1"/>
        <color rgb="FFF8696B"/>
        <color rgb="FFFFEB84"/>
        <color rgb="FF63BE7B"/>
      </colorScale>
    </cfRule>
  </conditionalFormatting>
  <conditionalFormatting sqref="Q216:Q217">
    <cfRule type="colorScale" priority="329">
      <colorScale>
        <cfvo type="num" val="-0.1"/>
        <cfvo type="num" val="0"/>
        <cfvo type="num" val="0.1"/>
        <color rgb="FFF8696B"/>
        <color rgb="FFFFEB84"/>
        <color rgb="FF63BE7B"/>
      </colorScale>
    </cfRule>
  </conditionalFormatting>
  <conditionalFormatting sqref="Q218">
    <cfRule type="colorScale" priority="332">
      <colorScale>
        <cfvo type="num" val="-0.1"/>
        <cfvo type="num" val="0"/>
        <cfvo type="num" val="0.1"/>
        <color rgb="FFF8696B"/>
        <color rgb="FFFFEB84"/>
        <color rgb="FF63BE7B"/>
      </colorScale>
    </cfRule>
  </conditionalFormatting>
  <conditionalFormatting sqref="Q219">
    <cfRule type="colorScale" priority="330">
      <colorScale>
        <cfvo type="num" val="-0.1"/>
        <cfvo type="num" val="0"/>
        <cfvo type="num" val="0.1"/>
        <color rgb="FFF8696B"/>
        <color rgb="FFFFEB84"/>
        <color rgb="FF63BE7B"/>
      </colorScale>
    </cfRule>
  </conditionalFormatting>
  <conditionalFormatting sqref="Q220:Q221">
    <cfRule type="colorScale" priority="328">
      <colorScale>
        <cfvo type="num" val="-0.1"/>
        <cfvo type="num" val="0"/>
        <cfvo type="num" val="0.1"/>
        <color rgb="FFF8696B"/>
        <color rgb="FFFFEB84"/>
        <color rgb="FF63BE7B"/>
      </colorScale>
    </cfRule>
  </conditionalFormatting>
  <conditionalFormatting sqref="Q222">
    <cfRule type="colorScale" priority="319">
      <colorScale>
        <cfvo type="num" val="-0.1"/>
        <cfvo type="num" val="0"/>
        <cfvo type="num" val="0.1"/>
        <color rgb="FFF8696B"/>
        <color rgb="FFFFEB84"/>
        <color rgb="FF63BE7B"/>
      </colorScale>
    </cfRule>
  </conditionalFormatting>
  <conditionalFormatting sqref="Q224:Q225">
    <cfRule type="colorScale" priority="343">
      <colorScale>
        <cfvo type="num" val="-0.1"/>
        <cfvo type="num" val="0"/>
        <cfvo type="num" val="0.1"/>
        <color rgb="FFF8696B"/>
        <color rgb="FFFFEB84"/>
        <color rgb="FF63BE7B"/>
      </colorScale>
    </cfRule>
  </conditionalFormatting>
  <hyperlinks>
    <hyperlink ref="T224" r:id="rId1" xr:uid="{00000000-0004-0000-0200-000000000000}"/>
    <hyperlink ref="T226" r:id="rId2" xr:uid="{00000000-0004-0000-0200-000001000000}"/>
    <hyperlink ref="T198" r:id="rId3" xr:uid="{00000000-0004-0000-0200-000002000000}"/>
    <hyperlink ref="T215" r:id="rId4" xr:uid="{00000000-0004-0000-0200-000003000000}"/>
    <hyperlink ref="T216" r:id="rId5" xr:uid="{00000000-0004-0000-0200-000004000000}"/>
    <hyperlink ref="T217" r:id="rId6" xr:uid="{00000000-0004-0000-0200-000005000000}"/>
    <hyperlink ref="T220" r:id="rId7" xr:uid="{00000000-0004-0000-0200-000006000000}"/>
    <hyperlink ref="T218" r:id="rId8" xr:uid="{00000000-0004-0000-0200-000007000000}"/>
    <hyperlink ref="T221" r:id="rId9" xr:uid="{00000000-0004-0000-0200-000008000000}"/>
    <hyperlink ref="T222" r:id="rId10" xr:uid="{00000000-0004-0000-0200-000009000000}"/>
    <hyperlink ref="T213" r:id="rId11" xr:uid="{00000000-0004-0000-0200-00000A000000}"/>
    <hyperlink ref="T212" r:id="rId12" xr:uid="{00000000-0004-0000-0200-00000B000000}"/>
    <hyperlink ref="T211" r:id="rId13" xr:uid="{00000000-0004-0000-0200-00000C000000}"/>
    <hyperlink ref="T210" r:id="rId14" xr:uid="{00000000-0004-0000-0200-00000D000000}"/>
    <hyperlink ref="T200:T208" r:id="rId15" display="Press Release" xr:uid="{00000000-0004-0000-0200-00000E000000}"/>
    <hyperlink ref="T195" r:id="rId16" xr:uid="{00000000-0004-0000-0200-00000F000000}"/>
    <hyperlink ref="T196" r:id="rId17" xr:uid="{00000000-0004-0000-0200-000010000000}"/>
    <hyperlink ref="T193" r:id="rId18" xr:uid="{00000000-0004-0000-0200-000011000000}"/>
    <hyperlink ref="T192" r:id="rId19" xr:uid="{00000000-0004-0000-0200-000012000000}"/>
    <hyperlink ref="T177" r:id="rId20" xr:uid="{00000000-0004-0000-0200-000013000000}"/>
    <hyperlink ref="T178" r:id="rId21" xr:uid="{00000000-0004-0000-0200-000014000000}"/>
    <hyperlink ref="T179" r:id="rId22" xr:uid="{00000000-0004-0000-0200-000015000000}"/>
    <hyperlink ref="T180" r:id="rId23" xr:uid="{00000000-0004-0000-0200-000016000000}"/>
    <hyperlink ref="T176" r:id="rId24" xr:uid="{00000000-0004-0000-0200-000017000000}"/>
    <hyperlink ref="T182" r:id="rId25" xr:uid="{00000000-0004-0000-0200-000018000000}"/>
    <hyperlink ref="T183" r:id="rId26" xr:uid="{00000000-0004-0000-0200-000019000000}"/>
    <hyperlink ref="T184" r:id="rId27" xr:uid="{00000000-0004-0000-0200-00001A000000}"/>
    <hyperlink ref="T185" r:id="rId28" xr:uid="{00000000-0004-0000-0200-00001B000000}"/>
    <hyperlink ref="T186" r:id="rId29" xr:uid="{00000000-0004-0000-0200-00001C000000}"/>
    <hyperlink ref="T187" r:id="rId30" xr:uid="{00000000-0004-0000-0200-00001D000000}"/>
    <hyperlink ref="T188" r:id="rId31" xr:uid="{00000000-0004-0000-0200-00001E000000}"/>
    <hyperlink ref="T189" r:id="rId32" xr:uid="{00000000-0004-0000-0200-00001F000000}"/>
    <hyperlink ref="T190" r:id="rId33" xr:uid="{00000000-0004-0000-0200-000020000000}"/>
    <hyperlink ref="T171" r:id="rId34" xr:uid="{00000000-0004-0000-0200-000021000000}"/>
    <hyperlink ref="T172" r:id="rId35" xr:uid="{00000000-0004-0000-0200-000022000000}"/>
    <hyperlink ref="T173" r:id="rId36" xr:uid="{00000000-0004-0000-0200-000023000000}"/>
    <hyperlink ref="T174" r:id="rId37" xr:uid="{00000000-0004-0000-0200-000024000000}"/>
    <hyperlink ref="T160:T164" r:id="rId38" display="Investor Presentation" xr:uid="{00000000-0004-0000-0200-000025000000}"/>
    <hyperlink ref="T166" r:id="rId39" xr:uid="{00000000-0004-0000-0200-000026000000}"/>
    <hyperlink ref="T167" r:id="rId40" xr:uid="{00000000-0004-0000-0200-000027000000}"/>
    <hyperlink ref="T168" r:id="rId41" xr:uid="{00000000-0004-0000-0200-000028000000}"/>
    <hyperlink ref="T169" r:id="rId42" xr:uid="{00000000-0004-0000-0200-000029000000}"/>
    <hyperlink ref="T156:T158" r:id="rId43" display="Investor Presentation" xr:uid="{00000000-0004-0000-0200-00002A000000}"/>
    <hyperlink ref="T156" r:id="rId44" xr:uid="{00000000-0004-0000-0200-00002B000000}"/>
    <hyperlink ref="T157" r:id="rId45" xr:uid="{00000000-0004-0000-0200-00002C000000}"/>
    <hyperlink ref="T158" r:id="rId46" xr:uid="{00000000-0004-0000-0200-00002D000000}"/>
    <hyperlink ref="T154" r:id="rId47" xr:uid="{00000000-0004-0000-0200-00002E000000}"/>
    <hyperlink ref="T152" r:id="rId48" xr:uid="{00000000-0004-0000-0200-00002F000000}"/>
    <hyperlink ref="T144" r:id="rId49" xr:uid="{00000000-0004-0000-0200-000030000000}"/>
    <hyperlink ref="T147:T150" r:id="rId50" display="Investor Presentation" xr:uid="{00000000-0004-0000-0200-000031000000}"/>
    <hyperlink ref="T149" r:id="rId51" xr:uid="{00000000-0004-0000-0200-000032000000}"/>
    <hyperlink ref="T145" r:id="rId52" xr:uid="{00000000-0004-0000-0200-000033000000}"/>
    <hyperlink ref="T139" r:id="rId53" xr:uid="{00000000-0004-0000-0200-000034000000}"/>
    <hyperlink ref="T140:T142" r:id="rId54" display="10-K" xr:uid="{00000000-0004-0000-0200-000035000000}"/>
    <hyperlink ref="T130" r:id="rId55" xr:uid="{00000000-0004-0000-0200-000036000000}"/>
    <hyperlink ref="T132:T137" r:id="rId56" display="Investor Presentation" xr:uid="{00000000-0004-0000-0200-000037000000}"/>
    <hyperlink ref="T126" r:id="rId57" xr:uid="{00000000-0004-0000-0200-000038000000}"/>
    <hyperlink ref="T128" r:id="rId58" xr:uid="{00000000-0004-0000-0200-000039000000}"/>
    <hyperlink ref="T127" r:id="rId59" xr:uid="{00000000-0004-0000-0200-00003A000000}"/>
    <hyperlink ref="T122" r:id="rId60" xr:uid="{00000000-0004-0000-0200-00003B000000}"/>
    <hyperlink ref="T123" r:id="rId61" xr:uid="{00000000-0004-0000-0200-00003C000000}"/>
    <hyperlink ref="T124" r:id="rId62" xr:uid="{00000000-0004-0000-0200-00003D000000}"/>
    <hyperlink ref="T113" r:id="rId63" xr:uid="{00000000-0004-0000-0200-00003E000000}"/>
    <hyperlink ref="T114" r:id="rId64" xr:uid="{00000000-0004-0000-0200-00003F000000}"/>
    <hyperlink ref="T115" r:id="rId65" xr:uid="{00000000-0004-0000-0200-000040000000}"/>
    <hyperlink ref="T116" r:id="rId66" xr:uid="{00000000-0004-0000-0200-000041000000}"/>
    <hyperlink ref="T119" r:id="rId67" xr:uid="{00000000-0004-0000-0200-000042000000}"/>
    <hyperlink ref="T118" r:id="rId68" xr:uid="{00000000-0004-0000-0200-000043000000}"/>
    <hyperlink ref="T120" r:id="rId69" xr:uid="{00000000-0004-0000-0200-000044000000}"/>
    <hyperlink ref="T110" r:id="rId70" xr:uid="{00000000-0004-0000-0200-000045000000}"/>
    <hyperlink ref="T111" r:id="rId71" xr:uid="{00000000-0004-0000-0200-000046000000}"/>
    <hyperlink ref="T107" r:id="rId72" xr:uid="{00000000-0004-0000-0200-000047000000}"/>
    <hyperlink ref="T108" r:id="rId73" xr:uid="{00000000-0004-0000-0200-000048000000}"/>
    <hyperlink ref="T100" r:id="rId74" xr:uid="{00000000-0004-0000-0200-000049000000}"/>
    <hyperlink ref="T101" r:id="rId75" xr:uid="{00000000-0004-0000-0200-00004A000000}"/>
    <hyperlink ref="T102" r:id="rId76" xr:uid="{00000000-0004-0000-0200-00004B000000}"/>
    <hyperlink ref="T103" r:id="rId77" xr:uid="{00000000-0004-0000-0200-00004C000000}"/>
    <hyperlink ref="T104" r:id="rId78" xr:uid="{00000000-0004-0000-0200-00004D000000}"/>
    <hyperlink ref="T105" r:id="rId79" xr:uid="{00000000-0004-0000-0200-00004E000000}"/>
    <hyperlink ref="T87" r:id="rId80" xr:uid="{00000000-0004-0000-0200-00004F000000}"/>
    <hyperlink ref="T88:T94" r:id="rId81" display="Investor Presentation" xr:uid="{00000000-0004-0000-0200-000050000000}"/>
    <hyperlink ref="T96:T98" r:id="rId82" display="Investor Presentation" xr:uid="{00000000-0004-0000-0200-000051000000}"/>
    <hyperlink ref="T82:T85" r:id="rId83" display="Investor Presentation" xr:uid="{00000000-0004-0000-0200-000052000000}"/>
    <hyperlink ref="T82" r:id="rId84" xr:uid="{00000000-0004-0000-0200-000053000000}"/>
    <hyperlink ref="T83" r:id="rId85" xr:uid="{00000000-0004-0000-0200-000054000000}"/>
    <hyperlink ref="T84" r:id="rId86" xr:uid="{00000000-0004-0000-0200-000055000000}"/>
    <hyperlink ref="T85" r:id="rId87" xr:uid="{00000000-0004-0000-0200-000056000000}"/>
    <hyperlink ref="T76:T80" r:id="rId88" display="Investor Presentation" xr:uid="{00000000-0004-0000-0200-000057000000}"/>
    <hyperlink ref="T76" r:id="rId89" xr:uid="{00000000-0004-0000-0200-000058000000}"/>
    <hyperlink ref="T77" r:id="rId90" xr:uid="{00000000-0004-0000-0200-000059000000}"/>
    <hyperlink ref="T78" r:id="rId91" xr:uid="{00000000-0004-0000-0200-00005A000000}"/>
    <hyperlink ref="T79" r:id="rId92" xr:uid="{00000000-0004-0000-0200-00005B000000}"/>
    <hyperlink ref="T80" r:id="rId93" xr:uid="{00000000-0004-0000-0200-00005C000000}"/>
    <hyperlink ref="T71:T74" r:id="rId94" display="Investor Presentation" xr:uid="{00000000-0004-0000-0200-00005D000000}"/>
    <hyperlink ref="T71" r:id="rId95" xr:uid="{00000000-0004-0000-0200-00005E000000}"/>
    <hyperlink ref="T72" r:id="rId96" xr:uid="{00000000-0004-0000-0200-00005F000000}"/>
    <hyperlink ref="T73" r:id="rId97" xr:uid="{00000000-0004-0000-0200-000060000000}"/>
    <hyperlink ref="T74" r:id="rId98" xr:uid="{00000000-0004-0000-0200-000061000000}"/>
    <hyperlink ref="T65" r:id="rId99" xr:uid="{00000000-0004-0000-0200-000062000000}"/>
    <hyperlink ref="T66" r:id="rId100" xr:uid="{00000000-0004-0000-0200-000063000000}"/>
    <hyperlink ref="T67" r:id="rId101" xr:uid="{00000000-0004-0000-0200-000064000000}"/>
    <hyperlink ref="T68" r:id="rId102" xr:uid="{00000000-0004-0000-0200-000065000000}"/>
    <hyperlink ref="T69" r:id="rId103" xr:uid="{00000000-0004-0000-0200-000066000000}"/>
    <hyperlink ref="T55" r:id="rId104" xr:uid="{00000000-0004-0000-0200-000067000000}"/>
    <hyperlink ref="T56" r:id="rId105" xr:uid="{00000000-0004-0000-0200-000068000000}"/>
    <hyperlink ref="T57" r:id="rId106" xr:uid="{00000000-0004-0000-0200-000069000000}"/>
    <hyperlink ref="T58" r:id="rId107" xr:uid="{00000000-0004-0000-0200-00006A000000}"/>
    <hyperlink ref="T59" r:id="rId108" xr:uid="{00000000-0004-0000-0200-00006B000000}"/>
    <hyperlink ref="T60" r:id="rId109" xr:uid="{00000000-0004-0000-0200-00006C000000}"/>
    <hyperlink ref="T61" r:id="rId110" xr:uid="{00000000-0004-0000-0200-00006D000000}"/>
    <hyperlink ref="T62" r:id="rId111" xr:uid="{00000000-0004-0000-0200-00006E000000}"/>
    <hyperlink ref="T63" r:id="rId112" xr:uid="{00000000-0004-0000-0200-00006F000000}"/>
    <hyperlink ref="T53" r:id="rId113" xr:uid="{00000000-0004-0000-0200-000070000000}"/>
    <hyperlink ref="T44:T46" r:id="rId114" display="Investor Presentation" xr:uid="{00000000-0004-0000-0200-000071000000}"/>
    <hyperlink ref="T48:T51" r:id="rId115" display="Investor Presentation" xr:uid="{00000000-0004-0000-0200-000072000000}"/>
    <hyperlink ref="T37" r:id="rId116" xr:uid="{00000000-0004-0000-0200-000073000000}"/>
    <hyperlink ref="T38:T40" r:id="rId117" display="Investor Presentation" xr:uid="{00000000-0004-0000-0200-000074000000}"/>
    <hyperlink ref="T41" r:id="rId118" xr:uid="{00000000-0004-0000-0200-000075000000}"/>
    <hyperlink ref="T42" r:id="rId119" xr:uid="{00000000-0004-0000-0200-000076000000}"/>
    <hyperlink ref="T31" r:id="rId120" xr:uid="{00000000-0004-0000-0200-000077000000}"/>
    <hyperlink ref="T32" r:id="rId121" xr:uid="{00000000-0004-0000-0200-000078000000}"/>
    <hyperlink ref="T33" r:id="rId122" xr:uid="{00000000-0004-0000-0200-000079000000}"/>
    <hyperlink ref="T34" r:id="rId123" xr:uid="{00000000-0004-0000-0200-00007A000000}"/>
    <hyperlink ref="T35" r:id="rId124" xr:uid="{00000000-0004-0000-0200-00007B000000}"/>
    <hyperlink ref="T14" r:id="rId125" xr:uid="{00000000-0004-0000-0200-00007C000000}"/>
    <hyperlink ref="T16:T23" r:id="rId126" display="Investor Presentation" xr:uid="{00000000-0004-0000-0200-00007D000000}"/>
    <hyperlink ref="T25:T29" r:id="rId127" display="Investor Presentation" xr:uid="{00000000-0004-0000-0200-00007E000000}"/>
    <hyperlink ref="T15" r:id="rId128" xr:uid="{00000000-0004-0000-0200-00007F000000}"/>
    <hyperlink ref="T6:T12" r:id="rId129" display="Investor Presentation" xr:uid="{00000000-0004-0000-0200-000080000000}"/>
  </hyperlinks>
  <pageMargins left="0.7" right="0.7" top="0.75" bottom="0.75" header="0.3" footer="0.3"/>
  <pageSetup orientation="portrait" r:id="rId130"/>
  <customProperties>
    <customPr name="CarouselSheetID" r:id="rId131"/>
  </customProperties>
  <legacyDrawing r:id="rId13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BCB3F-5C8E-4AFC-BB45-FE9A2CD15C49}">
  <dimension ref="A1:CG861"/>
  <sheetViews>
    <sheetView zoomScale="85" zoomScaleNormal="85" workbookViewId="0">
      <pane xSplit="2" ySplit="5" topLeftCell="C6" activePane="bottomRight" state="frozenSplit"/>
      <selection pane="topRight" activeCell="C1" sqref="C1"/>
      <selection pane="bottomLeft" activeCell="A6" sqref="A6"/>
      <selection pane="bottomRight"/>
    </sheetView>
  </sheetViews>
  <sheetFormatPr defaultColWidth="8.88671875" defaultRowHeight="14.55" customHeight="1" outlineLevelRow="1" outlineLevelCol="2" x14ac:dyDescent="0.3"/>
  <cols>
    <col min="1" max="1" width="46.6640625" style="450" customWidth="1"/>
    <col min="2" max="2" width="9.6640625" style="450" customWidth="1"/>
    <col min="3" max="3" width="10.33203125" style="450" hidden="1" customWidth="1" outlineLevel="1"/>
    <col min="4" max="6" width="8.88671875" style="450" hidden="1" customWidth="1" outlineLevel="1"/>
    <col min="7" max="10" width="8.88671875" hidden="1" customWidth="1" outlineLevel="2"/>
    <col min="11" max="11" width="8.88671875" style="450" hidden="1" customWidth="1" outlineLevel="1" collapsed="1"/>
    <col min="12" max="15" width="8.88671875" hidden="1" customWidth="1" outlineLevel="2"/>
    <col min="16" max="16" width="8.88671875" style="450" hidden="1" customWidth="1" outlineLevel="1" collapsed="1"/>
    <col min="17" max="20" width="8.88671875" hidden="1" customWidth="1" outlineLevel="2"/>
    <col min="21" max="21" width="8.88671875" style="450" hidden="1" customWidth="1" outlineLevel="1" collapsed="1"/>
    <col min="22" max="25" width="8.88671875" hidden="1" customWidth="1" outlineLevel="2"/>
    <col min="26" max="26" width="8.88671875" style="450" hidden="1" customWidth="1" outlineLevel="1" collapsed="1"/>
    <col min="27" max="30" width="8.88671875" hidden="1" customWidth="1" outlineLevel="2"/>
    <col min="31" max="31" width="8.88671875" style="450" hidden="1" customWidth="1" outlineLevel="1" collapsed="1"/>
    <col min="32" max="35" width="8.88671875" hidden="1" customWidth="1" outlineLevel="2"/>
    <col min="36" max="36" width="8.88671875" style="450" hidden="1" customWidth="1" outlineLevel="1" collapsed="1"/>
    <col min="37" max="40" width="8.88671875" hidden="1" customWidth="1" outlineLevel="1"/>
    <col min="41" max="41" width="9.6640625" style="450" customWidth="1" collapsed="1"/>
    <col min="42" max="45" width="9.6640625" hidden="1" customWidth="1" outlineLevel="1"/>
    <col min="46" max="46" width="9.6640625" style="450" customWidth="1" collapsed="1"/>
    <col min="47" max="50" width="9.6640625" hidden="1" customWidth="1" outlineLevel="1"/>
    <col min="51" max="51" width="9.6640625" style="450" customWidth="1" collapsed="1"/>
    <col min="52" max="55" width="9.6640625" hidden="1" customWidth="1" outlineLevel="1"/>
    <col min="56" max="56" width="9.6640625" style="450" customWidth="1" collapsed="1"/>
    <col min="57" max="60" width="9.6640625" hidden="1" customWidth="1" outlineLevel="1"/>
    <col min="61" max="61" width="9.6640625" style="450" customWidth="1" collapsed="1"/>
    <col min="62" max="65" width="9.6640625" hidden="1" customWidth="1" outlineLevel="1"/>
    <col min="66" max="66" width="9.6640625" style="450" customWidth="1" collapsed="1"/>
    <col min="67" max="70" width="9.6640625" customWidth="1" outlineLevel="1"/>
    <col min="71" max="71" width="9.6640625" style="450" customWidth="1"/>
    <col min="72" max="75" width="9.6640625" customWidth="1" outlineLevel="1"/>
    <col min="76" max="76" width="9.6640625" style="450" customWidth="1"/>
    <col min="77" max="80" width="9.6640625" style="450" customWidth="1" outlineLevel="1"/>
    <col min="81" max="84" width="9.6640625" style="450" customWidth="1"/>
    <col min="85" max="16384" width="8.88671875" style="450"/>
  </cols>
  <sheetData>
    <row r="1" spans="1:85" s="460" customFormat="1" ht="28.5" customHeight="1" x14ac:dyDescent="0.55000000000000004">
      <c r="A1" s="572" t="str">
        <f>MO.CompanyName</f>
        <v>Company0670 Company0697</v>
      </c>
      <c r="B1" s="157"/>
      <c r="C1" s="730"/>
      <c r="D1" s="730"/>
      <c r="E1" s="730"/>
      <c r="F1" s="730"/>
      <c r="G1" s="730"/>
      <c r="H1" s="730"/>
      <c r="I1" s="730"/>
      <c r="J1" s="730"/>
      <c r="K1" s="730"/>
      <c r="L1" s="730"/>
      <c r="M1" s="730"/>
      <c r="N1" s="730"/>
      <c r="O1" s="730"/>
      <c r="P1" s="730"/>
      <c r="Q1" s="730"/>
      <c r="R1" s="730"/>
      <c r="S1" s="730"/>
      <c r="T1" s="730"/>
      <c r="U1" s="730"/>
      <c r="V1" s="730"/>
      <c r="W1" s="730"/>
      <c r="X1" s="730"/>
      <c r="Y1" s="730"/>
      <c r="Z1" s="730"/>
      <c r="AA1" s="730"/>
      <c r="AB1" s="730"/>
      <c r="AC1" s="730"/>
      <c r="AD1" s="730"/>
      <c r="AE1" s="730"/>
      <c r="AF1" s="730"/>
      <c r="AG1" s="730"/>
      <c r="AH1" s="730"/>
      <c r="AI1" s="730"/>
      <c r="AJ1" s="730"/>
      <c r="AK1" s="730"/>
      <c r="AL1" s="730"/>
      <c r="AM1" s="730"/>
      <c r="AN1" s="730"/>
      <c r="AO1" s="730"/>
      <c r="AP1" s="730"/>
      <c r="AQ1" s="730"/>
      <c r="AR1" s="730"/>
      <c r="AS1" s="730"/>
      <c r="AT1" s="730"/>
      <c r="AU1" s="730"/>
      <c r="AV1" s="730"/>
      <c r="AW1" s="730"/>
      <c r="AX1" s="730"/>
      <c r="AY1" s="730"/>
      <c r="AZ1" s="730"/>
      <c r="BA1" s="730"/>
      <c r="BB1" s="730"/>
      <c r="BC1" s="730"/>
      <c r="BD1" s="730"/>
      <c r="BE1" s="730"/>
      <c r="BF1" s="730"/>
      <c r="BG1" s="730"/>
      <c r="BH1" s="730"/>
      <c r="BI1" s="730"/>
      <c r="BJ1" s="730"/>
      <c r="BK1" s="730"/>
      <c r="BL1" s="730"/>
      <c r="BM1" s="730"/>
      <c r="BN1" s="730"/>
      <c r="BO1" s="730"/>
      <c r="BP1" s="730"/>
      <c r="BQ1" s="730"/>
      <c r="BR1" s="730"/>
      <c r="BS1" s="730"/>
      <c r="BT1" s="731"/>
      <c r="BU1" s="730"/>
      <c r="BV1" s="730"/>
      <c r="BW1" s="730"/>
      <c r="BX1" s="730"/>
      <c r="BY1" s="730"/>
      <c r="BZ1" s="730"/>
      <c r="CA1" s="730"/>
      <c r="CB1" s="730"/>
      <c r="CC1" s="730"/>
      <c r="CD1" s="730"/>
      <c r="CE1" s="730"/>
      <c r="CF1" s="730"/>
      <c r="CG1" s="587"/>
    </row>
    <row r="2" spans="1:85" s="460" customFormat="1" ht="15" customHeight="1" x14ac:dyDescent="0.3">
      <c r="A2" s="573" t="str">
        <f>MO.Ticker</f>
        <v>Ticker0006 US</v>
      </c>
      <c r="B2" s="574"/>
      <c r="C2" s="575">
        <f>Model!C2</f>
        <v>39813</v>
      </c>
      <c r="D2" s="575">
        <f>Model!D2</f>
        <v>0</v>
      </c>
      <c r="E2" s="575">
        <f>Model!E2</f>
        <v>0</v>
      </c>
      <c r="F2" s="575">
        <f>Model!F2</f>
        <v>0</v>
      </c>
      <c r="G2" s="575">
        <f>Model!G2</f>
        <v>0</v>
      </c>
      <c r="H2" s="575">
        <f>Model!H2</f>
        <v>0</v>
      </c>
      <c r="I2" s="575">
        <f>Model!I2</f>
        <v>0</v>
      </c>
      <c r="J2" s="575">
        <f>Model!J2</f>
        <v>0</v>
      </c>
      <c r="K2" s="575">
        <f>Model!K2</f>
        <v>0</v>
      </c>
      <c r="L2" s="575">
        <f>Model!L2</f>
        <v>0</v>
      </c>
      <c r="M2" s="575">
        <f>Model!M2</f>
        <v>0</v>
      </c>
      <c r="N2" s="575">
        <f>Model!N2</f>
        <v>0</v>
      </c>
      <c r="O2" s="575">
        <f>Model!O2</f>
        <v>0</v>
      </c>
      <c r="P2" s="575">
        <f>Model!P2</f>
        <v>0</v>
      </c>
      <c r="Q2" s="575">
        <f>Model!Q2</f>
        <v>0</v>
      </c>
      <c r="R2" s="575">
        <f>Model!R2</f>
        <v>0</v>
      </c>
      <c r="S2" s="575">
        <f>Model!S2</f>
        <v>0</v>
      </c>
      <c r="T2" s="575">
        <f>Model!T2</f>
        <v>0</v>
      </c>
      <c r="U2" s="575">
        <f>Model!U2</f>
        <v>0</v>
      </c>
      <c r="V2" s="575">
        <f>Model!V2</f>
        <v>0</v>
      </c>
      <c r="W2" s="575">
        <f>Model!W2</f>
        <v>0</v>
      </c>
      <c r="X2" s="575">
        <f>Model!X2</f>
        <v>0</v>
      </c>
      <c r="Y2" s="575">
        <f>Model!Y2</f>
        <v>0</v>
      </c>
      <c r="Z2" s="575">
        <f>Model!Z2</f>
        <v>0</v>
      </c>
      <c r="AA2" s="575">
        <f>Model!AA2</f>
        <v>0</v>
      </c>
      <c r="AB2" s="575">
        <f>Model!AB2</f>
        <v>0</v>
      </c>
      <c r="AC2" s="575">
        <f>Model!AC2</f>
        <v>0</v>
      </c>
      <c r="AD2" s="575">
        <f>Model!AD2</f>
        <v>0</v>
      </c>
      <c r="AE2" s="575">
        <f>Model!AE2</f>
        <v>0</v>
      </c>
      <c r="AF2" s="575">
        <f>Model!AF2</f>
        <v>0</v>
      </c>
      <c r="AG2" s="575">
        <f>Model!AG2</f>
        <v>0</v>
      </c>
      <c r="AH2" s="575">
        <f>Model!AH2</f>
        <v>0</v>
      </c>
      <c r="AI2" s="575">
        <f>Model!AI2</f>
        <v>0</v>
      </c>
      <c r="AJ2" s="575">
        <f>Model!AJ2</f>
        <v>0</v>
      </c>
      <c r="AK2" s="575">
        <f>Model!AK2</f>
        <v>0</v>
      </c>
      <c r="AL2" s="575">
        <f>Model!AL2</f>
        <v>0</v>
      </c>
      <c r="AM2" s="575">
        <f>Model!AM2</f>
        <v>0</v>
      </c>
      <c r="AN2" s="575">
        <f>Model!AN2</f>
        <v>0</v>
      </c>
      <c r="AO2" s="575">
        <f>Model!AO2</f>
        <v>0</v>
      </c>
      <c r="AP2" s="575">
        <f>Model!AP2</f>
        <v>0</v>
      </c>
      <c r="AQ2" s="575">
        <f>Model!AQ2</f>
        <v>0</v>
      </c>
      <c r="AR2" s="575">
        <f>Model!AR2</f>
        <v>0</v>
      </c>
      <c r="AS2" s="575">
        <f>Model!AS2</f>
        <v>0</v>
      </c>
      <c r="AT2" s="575">
        <f>Model!AT2</f>
        <v>0</v>
      </c>
      <c r="AU2" s="575">
        <f>Model!AU2</f>
        <v>0</v>
      </c>
      <c r="AV2" s="575">
        <f>Model!AV2</f>
        <v>0</v>
      </c>
      <c r="AW2" s="575">
        <f>Model!AW2</f>
        <v>0</v>
      </c>
      <c r="AX2" s="575">
        <f>Model!AX2</f>
        <v>0</v>
      </c>
      <c r="AY2" s="575">
        <f>Model!AY2</f>
        <v>0</v>
      </c>
      <c r="AZ2" s="575">
        <f>Model!AZ2</f>
        <v>0</v>
      </c>
      <c r="BA2" s="575">
        <f>Model!BA2</f>
        <v>0</v>
      </c>
      <c r="BB2" s="575">
        <f>Model!BB2</f>
        <v>0</v>
      </c>
      <c r="BC2" s="575">
        <f>Model!BC2</f>
        <v>0</v>
      </c>
      <c r="BD2" s="575">
        <f>Model!BD2</f>
        <v>0</v>
      </c>
      <c r="BE2" s="575">
        <f>Model!BE2</f>
        <v>0</v>
      </c>
      <c r="BF2" s="575">
        <f>Model!BF2</f>
        <v>0</v>
      </c>
      <c r="BG2" s="575">
        <f>Model!BG2</f>
        <v>0</v>
      </c>
      <c r="BH2" s="575">
        <f>Model!BH2</f>
        <v>0</v>
      </c>
      <c r="BI2" s="575">
        <f>Model!BI2</f>
        <v>0</v>
      </c>
      <c r="BJ2" s="575">
        <f>Model!BJ2</f>
        <v>0</v>
      </c>
      <c r="BK2" s="575">
        <f>Model!BK2</f>
        <v>0</v>
      </c>
      <c r="BL2" s="575">
        <f>Model!BL2</f>
        <v>0</v>
      </c>
      <c r="BM2" s="575">
        <f>Model!BM2</f>
        <v>0</v>
      </c>
      <c r="BN2" s="575">
        <f>Model!BN2</f>
        <v>0</v>
      </c>
      <c r="BO2" s="575">
        <f>Model!BO2</f>
        <v>0</v>
      </c>
      <c r="BP2" s="575">
        <f>Model!BP2</f>
        <v>0</v>
      </c>
      <c r="BQ2" s="575">
        <f>Model!BQ2</f>
        <v>0</v>
      </c>
      <c r="BR2" s="575">
        <f>Model!BR2</f>
        <v>0</v>
      </c>
      <c r="BS2" s="575">
        <f>Model!BS2</f>
        <v>0</v>
      </c>
      <c r="BT2" s="705">
        <f>Model!BT2</f>
        <v>0</v>
      </c>
      <c r="BU2" s="612">
        <f>Model!BU2</f>
        <v>0</v>
      </c>
      <c r="BV2" s="612">
        <f>Model!BV2</f>
        <v>0</v>
      </c>
      <c r="BW2" s="612">
        <f>Model!BW2</f>
        <v>0</v>
      </c>
      <c r="BX2" s="575">
        <f>Model!BX2</f>
        <v>0</v>
      </c>
      <c r="BY2" s="612">
        <f>Model!BY2</f>
        <v>0</v>
      </c>
      <c r="BZ2" s="612">
        <f>Model!BZ2</f>
        <v>0</v>
      </c>
      <c r="CA2" s="612">
        <f>Model!CA2</f>
        <v>0</v>
      </c>
      <c r="CB2" s="612">
        <f>Model!CB2</f>
        <v>0</v>
      </c>
      <c r="CC2" s="612">
        <f>Model!CC2</f>
        <v>0</v>
      </c>
      <c r="CD2" s="612">
        <f>Model!CD2</f>
        <v>0</v>
      </c>
      <c r="CE2" s="612">
        <f>Model!CE2</f>
        <v>0</v>
      </c>
      <c r="CF2" s="612">
        <f>Model!CF2</f>
        <v>0</v>
      </c>
      <c r="CG2" s="587"/>
    </row>
    <row r="3" spans="1:85" s="460" customFormat="1" ht="15" customHeight="1" x14ac:dyDescent="0.3">
      <c r="A3" s="576" t="str">
        <f ca="1">MO.TradingCurrency</f>
        <v>USD</v>
      </c>
      <c r="B3" s="577">
        <f ca="1">MO.LastPrice</f>
        <v>185.16</v>
      </c>
      <c r="C3" s="970">
        <f t="shared" ref="C3:AH3" si="0">INDEX(MO_Common_FPDays,0,MATCH(C$5,MO_Common_ColumnHeader,0))</f>
        <v>365</v>
      </c>
      <c r="D3" s="970">
        <f t="shared" si="0"/>
        <v>365</v>
      </c>
      <c r="E3" s="970">
        <f t="shared" si="0"/>
        <v>365</v>
      </c>
      <c r="F3" s="970">
        <f t="shared" si="0"/>
        <v>366</v>
      </c>
      <c r="G3" s="579">
        <f t="shared" si="0"/>
        <v>90</v>
      </c>
      <c r="H3" s="579">
        <f t="shared" si="0"/>
        <v>91</v>
      </c>
      <c r="I3" s="579">
        <f t="shared" si="0"/>
        <v>92</v>
      </c>
      <c r="J3" s="579">
        <f t="shared" si="0"/>
        <v>92</v>
      </c>
      <c r="K3" s="970">
        <f t="shared" si="0"/>
        <v>365</v>
      </c>
      <c r="L3" s="579">
        <f t="shared" si="0"/>
        <v>90</v>
      </c>
      <c r="M3" s="579">
        <f t="shared" si="0"/>
        <v>91</v>
      </c>
      <c r="N3" s="579">
        <f t="shared" si="0"/>
        <v>92</v>
      </c>
      <c r="O3" s="579">
        <f t="shared" si="0"/>
        <v>92</v>
      </c>
      <c r="P3" s="970">
        <f t="shared" si="0"/>
        <v>365</v>
      </c>
      <c r="Q3" s="579">
        <f t="shared" si="0"/>
        <v>90</v>
      </c>
      <c r="R3" s="579">
        <f t="shared" si="0"/>
        <v>91</v>
      </c>
      <c r="S3" s="579">
        <f t="shared" si="0"/>
        <v>92</v>
      </c>
      <c r="T3" s="579">
        <f t="shared" si="0"/>
        <v>92</v>
      </c>
      <c r="U3" s="970">
        <f t="shared" si="0"/>
        <v>365</v>
      </c>
      <c r="V3" s="579">
        <f t="shared" si="0"/>
        <v>91</v>
      </c>
      <c r="W3" s="579">
        <f t="shared" si="0"/>
        <v>91</v>
      </c>
      <c r="X3" s="579">
        <f t="shared" si="0"/>
        <v>92</v>
      </c>
      <c r="Y3" s="579">
        <f t="shared" si="0"/>
        <v>92</v>
      </c>
      <c r="Z3" s="970">
        <f t="shared" si="0"/>
        <v>366</v>
      </c>
      <c r="AA3" s="579">
        <f t="shared" si="0"/>
        <v>90</v>
      </c>
      <c r="AB3" s="579">
        <f t="shared" si="0"/>
        <v>91</v>
      </c>
      <c r="AC3" s="579">
        <f t="shared" si="0"/>
        <v>92</v>
      </c>
      <c r="AD3" s="579">
        <f t="shared" si="0"/>
        <v>92</v>
      </c>
      <c r="AE3" s="970">
        <f t="shared" si="0"/>
        <v>365</v>
      </c>
      <c r="AF3" s="579">
        <f t="shared" si="0"/>
        <v>90</v>
      </c>
      <c r="AG3" s="579">
        <f t="shared" si="0"/>
        <v>91</v>
      </c>
      <c r="AH3" s="579">
        <f t="shared" si="0"/>
        <v>92</v>
      </c>
      <c r="AI3" s="579">
        <f t="shared" ref="AI3:BN3" si="1">INDEX(MO_Common_FPDays,0,MATCH(AI$5,MO_Common_ColumnHeader,0))</f>
        <v>92</v>
      </c>
      <c r="AJ3" s="970">
        <f t="shared" si="1"/>
        <v>365</v>
      </c>
      <c r="AK3" s="579">
        <f t="shared" si="1"/>
        <v>90</v>
      </c>
      <c r="AL3" s="579">
        <f t="shared" si="1"/>
        <v>91</v>
      </c>
      <c r="AM3" s="579">
        <f t="shared" si="1"/>
        <v>92</v>
      </c>
      <c r="AN3" s="579">
        <f t="shared" si="1"/>
        <v>92</v>
      </c>
      <c r="AO3" s="970">
        <f t="shared" si="1"/>
        <v>365</v>
      </c>
      <c r="AP3" s="579">
        <f t="shared" si="1"/>
        <v>91</v>
      </c>
      <c r="AQ3" s="579">
        <f t="shared" si="1"/>
        <v>91</v>
      </c>
      <c r="AR3" s="579">
        <f t="shared" si="1"/>
        <v>92</v>
      </c>
      <c r="AS3" s="579">
        <f t="shared" si="1"/>
        <v>92</v>
      </c>
      <c r="AT3" s="970">
        <f t="shared" si="1"/>
        <v>366</v>
      </c>
      <c r="AU3" s="579">
        <f t="shared" si="1"/>
        <v>90</v>
      </c>
      <c r="AV3" s="579">
        <f t="shared" si="1"/>
        <v>91</v>
      </c>
      <c r="AW3" s="579">
        <f t="shared" si="1"/>
        <v>92</v>
      </c>
      <c r="AX3" s="579">
        <f t="shared" si="1"/>
        <v>92</v>
      </c>
      <c r="AY3" s="970">
        <f t="shared" si="1"/>
        <v>365</v>
      </c>
      <c r="AZ3" s="579">
        <f t="shared" si="1"/>
        <v>90</v>
      </c>
      <c r="BA3" s="579">
        <f t="shared" si="1"/>
        <v>91</v>
      </c>
      <c r="BB3" s="579">
        <f t="shared" si="1"/>
        <v>92</v>
      </c>
      <c r="BC3" s="579">
        <f t="shared" si="1"/>
        <v>92</v>
      </c>
      <c r="BD3" s="970">
        <f t="shared" si="1"/>
        <v>365</v>
      </c>
      <c r="BE3" s="579">
        <f t="shared" si="1"/>
        <v>90</v>
      </c>
      <c r="BF3" s="579">
        <f t="shared" si="1"/>
        <v>91</v>
      </c>
      <c r="BG3" s="579">
        <f t="shared" si="1"/>
        <v>92</v>
      </c>
      <c r="BH3" s="579">
        <f t="shared" si="1"/>
        <v>92</v>
      </c>
      <c r="BI3" s="970">
        <f t="shared" si="1"/>
        <v>365</v>
      </c>
      <c r="BJ3" s="579">
        <f t="shared" si="1"/>
        <v>91</v>
      </c>
      <c r="BK3" s="579">
        <f t="shared" si="1"/>
        <v>91</v>
      </c>
      <c r="BL3" s="579">
        <f t="shared" si="1"/>
        <v>92</v>
      </c>
      <c r="BM3" s="579">
        <f t="shared" si="1"/>
        <v>92</v>
      </c>
      <c r="BN3" s="970">
        <f t="shared" si="1"/>
        <v>366</v>
      </c>
      <c r="BO3" s="579">
        <f t="shared" ref="BO3:BX3" si="2">INDEX(MO_Common_FPDays,0,MATCH(BO$5,MO_Common_ColumnHeader,0))</f>
        <v>90</v>
      </c>
      <c r="BP3" s="579">
        <f t="shared" si="2"/>
        <v>91</v>
      </c>
      <c r="BQ3" s="579">
        <f t="shared" si="2"/>
        <v>92</v>
      </c>
      <c r="BR3" s="579">
        <f t="shared" si="2"/>
        <v>92</v>
      </c>
      <c r="BS3" s="970">
        <f t="shared" si="2"/>
        <v>365</v>
      </c>
      <c r="BT3" s="706">
        <f>INDEX(MO_Common_FPDays,0,MATCH(BT$5,MO_Common_ColumnHeader,0))</f>
        <v>90</v>
      </c>
      <c r="BU3" s="310">
        <f>INDEX(MO_Common_FPDays,0,MATCH(BU$5,MO_Common_ColumnHeader,0))</f>
        <v>91</v>
      </c>
      <c r="BV3" s="310">
        <f>INDEX(MO_Common_FPDays,0,MATCH(BV$5,MO_Common_ColumnHeader,0))</f>
        <v>92</v>
      </c>
      <c r="BW3" s="310">
        <f>INDEX(MO_Common_FPDays,0,MATCH(BW$5,MO_Common_ColumnHeader,0))</f>
        <v>92</v>
      </c>
      <c r="BX3" s="970">
        <f t="shared" si="2"/>
        <v>365</v>
      </c>
      <c r="BY3" s="310">
        <f t="shared" ref="BY3:CF3" si="3">INDEX(MO_Common_FPDays,0,MATCH(BY$5,MO_Common_ColumnHeader,0))</f>
        <v>90</v>
      </c>
      <c r="BZ3" s="310">
        <f t="shared" si="3"/>
        <v>91</v>
      </c>
      <c r="CA3" s="310">
        <f t="shared" si="3"/>
        <v>92</v>
      </c>
      <c r="CB3" s="310">
        <f t="shared" si="3"/>
        <v>92</v>
      </c>
      <c r="CC3" s="971">
        <f t="shared" si="3"/>
        <v>365</v>
      </c>
      <c r="CD3" s="971">
        <f t="shared" si="3"/>
        <v>366</v>
      </c>
      <c r="CE3" s="971">
        <f t="shared" si="3"/>
        <v>365</v>
      </c>
      <c r="CF3" s="971">
        <f t="shared" si="3"/>
        <v>365</v>
      </c>
      <c r="CG3" s="587"/>
    </row>
    <row r="4" spans="1:85" s="460" customFormat="1" ht="15" customHeight="1" x14ac:dyDescent="0.3">
      <c r="A4" s="578" t="str">
        <f>MO.DataSourceName</f>
        <v>Bloomberg</v>
      </c>
      <c r="B4" s="579" t="str">
        <f ca="1">MO.RealTime</f>
        <v>OFF</v>
      </c>
      <c r="C4" s="972">
        <f t="shared" ref="C4:AH4" si="4">INDEX(MO_Common_QEndDate,0,MATCH(C$5,MO_Common_ColumnHeader,0))</f>
        <v>40178</v>
      </c>
      <c r="D4" s="972">
        <f t="shared" si="4"/>
        <v>40543</v>
      </c>
      <c r="E4" s="972">
        <f t="shared" si="4"/>
        <v>40908</v>
      </c>
      <c r="F4" s="972">
        <f t="shared" si="4"/>
        <v>41274</v>
      </c>
      <c r="G4" s="585">
        <f t="shared" si="4"/>
        <v>41364</v>
      </c>
      <c r="H4" s="585">
        <f t="shared" si="4"/>
        <v>41455</v>
      </c>
      <c r="I4" s="585">
        <f t="shared" si="4"/>
        <v>41547</v>
      </c>
      <c r="J4" s="585">
        <f t="shared" si="4"/>
        <v>41639</v>
      </c>
      <c r="K4" s="972">
        <f t="shared" si="4"/>
        <v>41639</v>
      </c>
      <c r="L4" s="585">
        <f t="shared" si="4"/>
        <v>41729</v>
      </c>
      <c r="M4" s="585">
        <f t="shared" si="4"/>
        <v>41820</v>
      </c>
      <c r="N4" s="585">
        <f t="shared" si="4"/>
        <v>41912</v>
      </c>
      <c r="O4" s="585">
        <f t="shared" si="4"/>
        <v>42004</v>
      </c>
      <c r="P4" s="972">
        <f t="shared" si="4"/>
        <v>42004</v>
      </c>
      <c r="Q4" s="585">
        <f t="shared" si="4"/>
        <v>42094</v>
      </c>
      <c r="R4" s="585">
        <f t="shared" si="4"/>
        <v>42185</v>
      </c>
      <c r="S4" s="585">
        <f t="shared" si="4"/>
        <v>42277</v>
      </c>
      <c r="T4" s="585">
        <f t="shared" si="4"/>
        <v>42369</v>
      </c>
      <c r="U4" s="972">
        <f t="shared" si="4"/>
        <v>42369</v>
      </c>
      <c r="V4" s="585">
        <f t="shared" si="4"/>
        <v>42460</v>
      </c>
      <c r="W4" s="585">
        <f t="shared" si="4"/>
        <v>42551</v>
      </c>
      <c r="X4" s="585">
        <f t="shared" si="4"/>
        <v>42643</v>
      </c>
      <c r="Y4" s="585">
        <f t="shared" si="4"/>
        <v>42735</v>
      </c>
      <c r="Z4" s="972">
        <f t="shared" si="4"/>
        <v>42735</v>
      </c>
      <c r="AA4" s="585">
        <f t="shared" si="4"/>
        <v>42825</v>
      </c>
      <c r="AB4" s="585">
        <f t="shared" si="4"/>
        <v>42916</v>
      </c>
      <c r="AC4" s="585">
        <f t="shared" si="4"/>
        <v>43008</v>
      </c>
      <c r="AD4" s="585">
        <f t="shared" si="4"/>
        <v>43100</v>
      </c>
      <c r="AE4" s="972">
        <f t="shared" si="4"/>
        <v>43100</v>
      </c>
      <c r="AF4" s="585">
        <f t="shared" si="4"/>
        <v>43190</v>
      </c>
      <c r="AG4" s="585">
        <f t="shared" si="4"/>
        <v>43281</v>
      </c>
      <c r="AH4" s="585">
        <f t="shared" si="4"/>
        <v>43373</v>
      </c>
      <c r="AI4" s="585">
        <f t="shared" ref="AI4:BN4" si="5">INDEX(MO_Common_QEndDate,0,MATCH(AI$5,MO_Common_ColumnHeader,0))</f>
        <v>43465</v>
      </c>
      <c r="AJ4" s="972">
        <f t="shared" si="5"/>
        <v>43465</v>
      </c>
      <c r="AK4" s="585">
        <f t="shared" si="5"/>
        <v>43555</v>
      </c>
      <c r="AL4" s="585">
        <f t="shared" si="5"/>
        <v>43646</v>
      </c>
      <c r="AM4" s="585">
        <f t="shared" si="5"/>
        <v>43738</v>
      </c>
      <c r="AN4" s="585">
        <f t="shared" si="5"/>
        <v>43830</v>
      </c>
      <c r="AO4" s="972">
        <f t="shared" si="5"/>
        <v>43830</v>
      </c>
      <c r="AP4" s="585">
        <f t="shared" si="5"/>
        <v>43921</v>
      </c>
      <c r="AQ4" s="585">
        <f t="shared" si="5"/>
        <v>44012</v>
      </c>
      <c r="AR4" s="585">
        <f t="shared" si="5"/>
        <v>44104</v>
      </c>
      <c r="AS4" s="585">
        <f t="shared" si="5"/>
        <v>44196</v>
      </c>
      <c r="AT4" s="972">
        <f t="shared" si="5"/>
        <v>44196</v>
      </c>
      <c r="AU4" s="585">
        <f t="shared" si="5"/>
        <v>44286</v>
      </c>
      <c r="AV4" s="585">
        <f t="shared" si="5"/>
        <v>44377</v>
      </c>
      <c r="AW4" s="585">
        <f t="shared" si="5"/>
        <v>44469</v>
      </c>
      <c r="AX4" s="585">
        <f t="shared" si="5"/>
        <v>44561</v>
      </c>
      <c r="AY4" s="972">
        <f t="shared" si="5"/>
        <v>44561</v>
      </c>
      <c r="AZ4" s="585">
        <f t="shared" si="5"/>
        <v>44651</v>
      </c>
      <c r="BA4" s="585">
        <f t="shared" si="5"/>
        <v>44742</v>
      </c>
      <c r="BB4" s="585">
        <f t="shared" si="5"/>
        <v>44834</v>
      </c>
      <c r="BC4" s="585">
        <f t="shared" si="5"/>
        <v>44926</v>
      </c>
      <c r="BD4" s="972">
        <f t="shared" si="5"/>
        <v>44926</v>
      </c>
      <c r="BE4" s="585">
        <f t="shared" si="5"/>
        <v>45016</v>
      </c>
      <c r="BF4" s="585">
        <f t="shared" si="5"/>
        <v>45107</v>
      </c>
      <c r="BG4" s="585">
        <f t="shared" si="5"/>
        <v>45199</v>
      </c>
      <c r="BH4" s="585">
        <f t="shared" si="5"/>
        <v>45291</v>
      </c>
      <c r="BI4" s="972">
        <f t="shared" si="5"/>
        <v>45291</v>
      </c>
      <c r="BJ4" s="585">
        <f t="shared" si="5"/>
        <v>45382</v>
      </c>
      <c r="BK4" s="585">
        <f t="shared" si="5"/>
        <v>45473</v>
      </c>
      <c r="BL4" s="585">
        <f t="shared" si="5"/>
        <v>45565</v>
      </c>
      <c r="BM4" s="585">
        <f t="shared" si="5"/>
        <v>45657</v>
      </c>
      <c r="BN4" s="972">
        <f t="shared" si="5"/>
        <v>45657</v>
      </c>
      <c r="BO4" s="585">
        <f t="shared" ref="BO4:BX4" si="6">INDEX(MO_Common_QEndDate,0,MATCH(BO$5,MO_Common_ColumnHeader,0))</f>
        <v>45747</v>
      </c>
      <c r="BP4" s="585">
        <f t="shared" si="6"/>
        <v>45838</v>
      </c>
      <c r="BQ4" s="585">
        <f t="shared" si="6"/>
        <v>45930</v>
      </c>
      <c r="BR4" s="585">
        <f t="shared" si="6"/>
        <v>46022</v>
      </c>
      <c r="BS4" s="972">
        <f t="shared" si="6"/>
        <v>46022</v>
      </c>
      <c r="BT4" s="707">
        <f>INDEX(MO_Common_QEndDate,0,MATCH(BT$5,MO_Common_ColumnHeader,0))</f>
        <v>46112</v>
      </c>
      <c r="BU4" s="613">
        <f>INDEX(MO_Common_QEndDate,0,MATCH(BU$5,MO_Common_ColumnHeader,0))</f>
        <v>46203</v>
      </c>
      <c r="BV4" s="613">
        <f>INDEX(MO_Common_QEndDate,0,MATCH(BV$5,MO_Common_ColumnHeader,0))</f>
        <v>46295</v>
      </c>
      <c r="BW4" s="613">
        <f>INDEX(MO_Common_QEndDate,0,MATCH(BW$5,MO_Common_ColumnHeader,0))</f>
        <v>46387</v>
      </c>
      <c r="BX4" s="972">
        <f t="shared" si="6"/>
        <v>46387</v>
      </c>
      <c r="BY4" s="613">
        <f t="shared" ref="BY4:CF4" si="7">INDEX(MO_Common_QEndDate,0,MATCH(BY$5,MO_Common_ColumnHeader,0))</f>
        <v>46477</v>
      </c>
      <c r="BZ4" s="613">
        <f t="shared" si="7"/>
        <v>46568</v>
      </c>
      <c r="CA4" s="613">
        <f t="shared" si="7"/>
        <v>46660</v>
      </c>
      <c r="CB4" s="613">
        <f t="shared" si="7"/>
        <v>46752</v>
      </c>
      <c r="CC4" s="973">
        <f t="shared" si="7"/>
        <v>46752</v>
      </c>
      <c r="CD4" s="973">
        <f t="shared" si="7"/>
        <v>47118</v>
      </c>
      <c r="CE4" s="973">
        <f t="shared" si="7"/>
        <v>47483</v>
      </c>
      <c r="CF4" s="973">
        <f t="shared" si="7"/>
        <v>47848</v>
      </c>
      <c r="CG4" s="587"/>
    </row>
    <row r="5" spans="1:85" s="460" customFormat="1" ht="15" customHeight="1" x14ac:dyDescent="0.3">
      <c r="A5" s="580" t="str">
        <f>MO.ReportFX</f>
        <v>USD</v>
      </c>
      <c r="B5" s="581"/>
      <c r="C5" s="974" t="str">
        <f>Model!C5</f>
        <v>FY2009</v>
      </c>
      <c r="D5" s="974" t="str">
        <f>Model!D5</f>
        <v>FY2010</v>
      </c>
      <c r="E5" s="974" t="str">
        <f>Model!E5</f>
        <v>FY2011</v>
      </c>
      <c r="F5" s="974" t="str">
        <f>Model!F5</f>
        <v>FY2012</v>
      </c>
      <c r="G5" s="968" t="str">
        <f>Model!G5</f>
        <v>Q1-2013</v>
      </c>
      <c r="H5" s="968" t="str">
        <f>Model!H5</f>
        <v>Q2-2013</v>
      </c>
      <c r="I5" s="968" t="str">
        <f>Model!I5</f>
        <v>Q3-2013</v>
      </c>
      <c r="J5" s="968" t="str">
        <f>Model!J5</f>
        <v>Q4-2013</v>
      </c>
      <c r="K5" s="974" t="str">
        <f>Model!K5</f>
        <v>FY2013</v>
      </c>
      <c r="L5" s="968" t="str">
        <f>Model!L5</f>
        <v>Q1-2014</v>
      </c>
      <c r="M5" s="968" t="str">
        <f>Model!M5</f>
        <v>Q2-2014</v>
      </c>
      <c r="N5" s="968" t="str">
        <f>Model!N5</f>
        <v>Q3-2014</v>
      </c>
      <c r="O5" s="968" t="str">
        <f>Model!O5</f>
        <v>Q4-2014</v>
      </c>
      <c r="P5" s="974" t="str">
        <f>Model!P5</f>
        <v>FY2014</v>
      </c>
      <c r="Q5" s="968" t="str">
        <f>Model!Q5</f>
        <v>Q1-2015</v>
      </c>
      <c r="R5" s="968" t="str">
        <f>Model!R5</f>
        <v>Q2-2015</v>
      </c>
      <c r="S5" s="968" t="str">
        <f>Model!S5</f>
        <v>Q3-2015</v>
      </c>
      <c r="T5" s="968" t="str">
        <f>Model!T5</f>
        <v>Q4-2015</v>
      </c>
      <c r="U5" s="974" t="str">
        <f>Model!U5</f>
        <v>FY2015</v>
      </c>
      <c r="V5" s="968" t="str">
        <f>Model!V5</f>
        <v>Q1-2016</v>
      </c>
      <c r="W5" s="968" t="str">
        <f>Model!W5</f>
        <v>Q2-2016</v>
      </c>
      <c r="X5" s="968" t="str">
        <f>Model!X5</f>
        <v>Q3-2016</v>
      </c>
      <c r="Y5" s="968" t="str">
        <f>Model!Y5</f>
        <v>Q4-2016</v>
      </c>
      <c r="Z5" s="974" t="str">
        <f>Model!Z5</f>
        <v>FY2016</v>
      </c>
      <c r="AA5" s="968" t="str">
        <f>Model!AA5</f>
        <v>Q1-2017</v>
      </c>
      <c r="AB5" s="968" t="str">
        <f>Model!AB5</f>
        <v>Q2-2017</v>
      </c>
      <c r="AC5" s="968" t="str">
        <f>Model!AC5</f>
        <v>Q3-2017</v>
      </c>
      <c r="AD5" s="968" t="str">
        <f>Model!AD5</f>
        <v>Q4-2017</v>
      </c>
      <c r="AE5" s="974" t="str">
        <f>Model!AE5</f>
        <v>FY2017</v>
      </c>
      <c r="AF5" s="968" t="str">
        <f>Model!AF5</f>
        <v>Q1-2018</v>
      </c>
      <c r="AG5" s="968" t="str">
        <f>Model!AG5</f>
        <v>Q2-2018</v>
      </c>
      <c r="AH5" s="968" t="str">
        <f>Model!AH5</f>
        <v>Q3-2018</v>
      </c>
      <c r="AI5" s="968" t="str">
        <f>Model!AI5</f>
        <v>Q4-2018</v>
      </c>
      <c r="AJ5" s="974" t="str">
        <f>Model!AJ5</f>
        <v>FY2018</v>
      </c>
      <c r="AK5" s="968" t="str">
        <f>Model!AK5</f>
        <v>Q1-2019</v>
      </c>
      <c r="AL5" s="968" t="str">
        <f>Model!AL5</f>
        <v>Q2-2019</v>
      </c>
      <c r="AM5" s="968" t="str">
        <f>Model!AM5</f>
        <v>Q3-2019</v>
      </c>
      <c r="AN5" s="968" t="str">
        <f>Model!AN5</f>
        <v>Q4-2019</v>
      </c>
      <c r="AO5" s="974" t="str">
        <f>Model!AO5</f>
        <v>FY2019</v>
      </c>
      <c r="AP5" s="968" t="str">
        <f>Model!AP5</f>
        <v>Q1-2020</v>
      </c>
      <c r="AQ5" s="968" t="str">
        <f>Model!AQ5</f>
        <v>Q2-2020</v>
      </c>
      <c r="AR5" s="968" t="str">
        <f>Model!AR5</f>
        <v>Q3-2020</v>
      </c>
      <c r="AS5" s="968" t="str">
        <f>Model!AS5</f>
        <v>Q4-2020</v>
      </c>
      <c r="AT5" s="974" t="str">
        <f>Model!AT5</f>
        <v>FY2020</v>
      </c>
      <c r="AU5" s="968" t="str">
        <f>Model!AU5</f>
        <v>Q1-2021</v>
      </c>
      <c r="AV5" s="968" t="str">
        <f>Model!AV5</f>
        <v>Q2-2021</v>
      </c>
      <c r="AW5" s="968" t="str">
        <f>Model!AW5</f>
        <v>Q3-2021</v>
      </c>
      <c r="AX5" s="968" t="str">
        <f>Model!AX5</f>
        <v>Q4-2021</v>
      </c>
      <c r="AY5" s="974" t="str">
        <f>Model!AY5</f>
        <v>FY2021</v>
      </c>
      <c r="AZ5" s="968" t="str">
        <f>Model!AZ5</f>
        <v>Q1-2022</v>
      </c>
      <c r="BA5" s="968" t="str">
        <f>Model!BA5</f>
        <v>Q2-2022</v>
      </c>
      <c r="BB5" s="968" t="str">
        <f>Model!BB5</f>
        <v>Q3-2022</v>
      </c>
      <c r="BC5" s="968" t="str">
        <f>Model!BC5</f>
        <v>Q4-2022</v>
      </c>
      <c r="BD5" s="974" t="str">
        <f>Model!BD5</f>
        <v>FY2022</v>
      </c>
      <c r="BE5" s="968" t="str">
        <f>Model!BE5</f>
        <v>Q1-2023</v>
      </c>
      <c r="BF5" s="968" t="str">
        <f>Model!BF5</f>
        <v>Q2-2023</v>
      </c>
      <c r="BG5" s="968" t="str">
        <f>Model!BG5</f>
        <v>Q3-2023</v>
      </c>
      <c r="BH5" s="968" t="str">
        <f>Model!BH5</f>
        <v>Q4-2023</v>
      </c>
      <c r="BI5" s="974" t="str">
        <f>Model!BI5</f>
        <v>FY2023</v>
      </c>
      <c r="BJ5" s="968" t="str">
        <f>Model!BJ5</f>
        <v>Q1-2024</v>
      </c>
      <c r="BK5" s="968" t="str">
        <f>Model!BK5</f>
        <v>Q2-2024</v>
      </c>
      <c r="BL5" s="968" t="str">
        <f>Model!BL5</f>
        <v>Q3-2024</v>
      </c>
      <c r="BM5" s="968" t="str">
        <f>Model!BM5</f>
        <v>Q4-2024</v>
      </c>
      <c r="BN5" s="974" t="str">
        <f>Model!BN5</f>
        <v>FY2024</v>
      </c>
      <c r="BO5" s="968" t="str">
        <f>Model!BO5</f>
        <v>Q1-2025</v>
      </c>
      <c r="BP5" s="968" t="str">
        <f>Model!BP5</f>
        <v>Q2-2025</v>
      </c>
      <c r="BQ5" s="968" t="str">
        <f>Model!BQ5</f>
        <v>Q3-2025</v>
      </c>
      <c r="BR5" s="968" t="str">
        <f>Model!BR5</f>
        <v>Q4-2025</v>
      </c>
      <c r="BS5" s="974" t="str">
        <f>Model!BS5</f>
        <v>FY2025</v>
      </c>
      <c r="BT5" s="969" t="str">
        <f>Model!BT5</f>
        <v>Q1-2026</v>
      </c>
      <c r="BU5" s="968" t="str">
        <f>Model!BU5</f>
        <v>Q2-2026</v>
      </c>
      <c r="BV5" s="968" t="str">
        <f>Model!BV5</f>
        <v>Q3-2026</v>
      </c>
      <c r="BW5" s="968" t="str">
        <f>Model!BW5</f>
        <v>Q4-2026</v>
      </c>
      <c r="BX5" s="974" t="str">
        <f>Model!BX5</f>
        <v>FY2026</v>
      </c>
      <c r="BY5" s="968" t="str">
        <f>Model!BY5</f>
        <v>Q1-2027</v>
      </c>
      <c r="BZ5" s="968" t="str">
        <f>Model!BZ5</f>
        <v>Q2-2027</v>
      </c>
      <c r="CA5" s="968" t="str">
        <f>Model!CA5</f>
        <v>Q3-2027</v>
      </c>
      <c r="CB5" s="968" t="str">
        <f>Model!CB5</f>
        <v>Q4-2027</v>
      </c>
      <c r="CC5" s="974" t="str">
        <f>Model!CC5</f>
        <v>FY2027</v>
      </c>
      <c r="CD5" s="974" t="str">
        <f>Model!CD5</f>
        <v>FY2028</v>
      </c>
      <c r="CE5" s="974" t="str">
        <f>Model!CE5</f>
        <v>FY2029</v>
      </c>
      <c r="CF5" s="974" t="str">
        <f>Model!CF5</f>
        <v>FY2030</v>
      </c>
      <c r="CG5" s="587"/>
    </row>
    <row r="6" spans="1:85" s="462" customFormat="1" ht="14.4" x14ac:dyDescent="0.3">
      <c r="A6" s="732" t="s">
        <v>826</v>
      </c>
      <c r="B6" s="732"/>
      <c r="C6" s="732"/>
      <c r="D6" s="732"/>
      <c r="E6" s="732"/>
      <c r="F6" s="732"/>
      <c r="G6" s="732"/>
      <c r="H6" s="732"/>
      <c r="I6" s="732"/>
      <c r="J6" s="732"/>
      <c r="K6" s="732"/>
      <c r="L6" s="732"/>
      <c r="M6" s="732"/>
      <c r="N6" s="732"/>
      <c r="O6" s="732"/>
      <c r="P6" s="732"/>
      <c r="Q6" s="732"/>
      <c r="R6" s="732"/>
      <c r="S6" s="732"/>
      <c r="T6" s="732"/>
      <c r="U6" s="732"/>
      <c r="V6" s="732"/>
      <c r="W6" s="732"/>
      <c r="X6" s="732"/>
      <c r="Y6" s="732"/>
      <c r="Z6" s="732"/>
      <c r="AA6" s="732"/>
      <c r="AB6" s="732"/>
      <c r="AC6" s="732"/>
      <c r="AD6" s="732"/>
      <c r="AE6" s="732"/>
      <c r="AF6" s="732"/>
      <c r="AG6" s="732"/>
      <c r="AH6" s="732"/>
      <c r="AI6" s="732"/>
      <c r="AJ6" s="732"/>
      <c r="AK6" s="732"/>
      <c r="AL6" s="732"/>
      <c r="AM6" s="732"/>
      <c r="AN6" s="732"/>
      <c r="AO6" s="732"/>
      <c r="AP6" s="732"/>
      <c r="AQ6" s="732"/>
      <c r="AR6" s="732"/>
      <c r="AS6" s="732"/>
      <c r="AT6" s="732"/>
      <c r="AU6" s="732"/>
      <c r="AV6" s="732"/>
      <c r="AW6" s="732"/>
      <c r="AX6" s="732"/>
      <c r="AY6" s="732"/>
      <c r="AZ6" s="732"/>
      <c r="BA6" s="732"/>
      <c r="BB6" s="732"/>
      <c r="BC6" s="732"/>
      <c r="BD6" s="732"/>
      <c r="BE6" s="732"/>
      <c r="BF6" s="732"/>
      <c r="BG6" s="732"/>
      <c r="BH6" s="732"/>
      <c r="BI6" s="732"/>
      <c r="BJ6" s="732"/>
      <c r="BK6" s="732"/>
      <c r="BL6" s="732"/>
      <c r="BM6" s="732"/>
      <c r="BN6" s="732"/>
      <c r="BO6" s="732"/>
      <c r="BP6" s="732"/>
      <c r="BQ6" s="732"/>
      <c r="BR6" s="732"/>
      <c r="BS6" s="732"/>
      <c r="BT6" s="733"/>
      <c r="BU6" s="732"/>
      <c r="BV6" s="732"/>
      <c r="BW6" s="732"/>
      <c r="BX6" s="732"/>
      <c r="BY6" s="732"/>
      <c r="BZ6" s="732"/>
      <c r="CA6" s="732"/>
      <c r="CB6" s="732"/>
      <c r="CC6" s="732"/>
      <c r="CD6" s="732"/>
      <c r="CE6" s="732"/>
      <c r="CF6" s="732"/>
      <c r="CG6" s="614"/>
    </row>
    <row r="7" spans="1:85" s="460" customFormat="1" ht="14.4" hidden="1" outlineLevel="1" x14ac:dyDescent="0.3">
      <c r="A7" s="591" t="s">
        <v>835</v>
      </c>
      <c r="B7" s="586"/>
      <c r="C7" s="150"/>
      <c r="D7" s="150"/>
      <c r="E7" s="150"/>
      <c r="F7" s="150"/>
      <c r="G7" s="117"/>
      <c r="H7" s="117"/>
      <c r="I7" s="117"/>
      <c r="J7" s="117"/>
      <c r="K7" s="150"/>
      <c r="L7" s="117"/>
      <c r="M7" s="117"/>
      <c r="N7" s="117"/>
      <c r="O7" s="117"/>
      <c r="P7" s="150"/>
      <c r="Q7" s="117"/>
      <c r="R7" s="117"/>
      <c r="S7" s="117"/>
      <c r="T7" s="117"/>
      <c r="U7" s="150"/>
      <c r="V7" s="117"/>
      <c r="W7" s="117"/>
      <c r="X7" s="117"/>
      <c r="Y7" s="117"/>
      <c r="Z7" s="150"/>
      <c r="AA7" s="117"/>
      <c r="AB7" s="117"/>
      <c r="AC7" s="117"/>
      <c r="AD7" s="117"/>
      <c r="AE7" s="150"/>
      <c r="AF7" s="117"/>
      <c r="AG7" s="117"/>
      <c r="AH7" s="117"/>
      <c r="AI7" s="117"/>
      <c r="AJ7" s="150"/>
      <c r="AK7" s="117"/>
      <c r="AL7" s="117"/>
      <c r="AM7" s="117"/>
      <c r="AN7" s="117"/>
      <c r="AO7" s="975">
        <v>571</v>
      </c>
      <c r="AP7" s="117"/>
      <c r="AQ7" s="117"/>
      <c r="AR7" s="117"/>
      <c r="AS7" s="117"/>
      <c r="AT7" s="975">
        <v>190</v>
      </c>
      <c r="AU7" s="117"/>
      <c r="AV7" s="117"/>
      <c r="AW7" s="117"/>
      <c r="AX7" s="117"/>
      <c r="AY7" s="975">
        <v>184</v>
      </c>
      <c r="AZ7" s="117"/>
      <c r="BA7" s="117"/>
      <c r="BB7" s="117"/>
      <c r="BC7" s="117"/>
      <c r="BD7" s="975">
        <v>239</v>
      </c>
      <c r="BE7" s="117"/>
      <c r="BF7" s="117"/>
      <c r="BG7" s="117"/>
      <c r="BH7" s="117"/>
      <c r="BI7" s="975">
        <v>280</v>
      </c>
      <c r="BJ7" s="117"/>
      <c r="BK7" s="117"/>
      <c r="BL7" s="117"/>
      <c r="BM7" s="117"/>
      <c r="BN7" s="975">
        <v>193</v>
      </c>
      <c r="BO7" s="117"/>
      <c r="BP7" s="117"/>
      <c r="BQ7" s="117"/>
      <c r="BR7" s="117"/>
      <c r="BS7" s="975">
        <v>127</v>
      </c>
      <c r="BT7" s="691"/>
      <c r="BU7" s="117"/>
      <c r="BV7" s="117"/>
      <c r="BW7" s="117"/>
      <c r="BX7" s="150"/>
      <c r="BY7" s="117"/>
      <c r="BZ7" s="117"/>
      <c r="CA7" s="117"/>
      <c r="CB7" s="117"/>
      <c r="CC7" s="150"/>
      <c r="CD7" s="150"/>
      <c r="CE7" s="150"/>
      <c r="CF7" s="150"/>
      <c r="CG7" s="587"/>
    </row>
    <row r="8" spans="1:85" s="460" customFormat="1" ht="14.4" hidden="1" outlineLevel="1" x14ac:dyDescent="0.3">
      <c r="A8" s="591" t="s">
        <v>827</v>
      </c>
      <c r="B8" s="586"/>
      <c r="C8" s="150"/>
      <c r="D8" s="150"/>
      <c r="E8" s="150"/>
      <c r="F8" s="150"/>
      <c r="G8" s="117"/>
      <c r="H8" s="117"/>
      <c r="I8" s="117"/>
      <c r="J8" s="117"/>
      <c r="K8" s="150"/>
      <c r="L8" s="117"/>
      <c r="M8" s="117"/>
      <c r="N8" s="117"/>
      <c r="O8" s="117"/>
      <c r="P8" s="150"/>
      <c r="Q8" s="117"/>
      <c r="R8" s="117"/>
      <c r="S8" s="117"/>
      <c r="T8" s="117"/>
      <c r="U8" s="150"/>
      <c r="V8" s="117"/>
      <c r="W8" s="117"/>
      <c r="X8" s="117"/>
      <c r="Y8" s="117"/>
      <c r="Z8" s="150"/>
      <c r="AA8" s="117"/>
      <c r="AB8" s="117"/>
      <c r="AC8" s="117"/>
      <c r="AD8" s="117"/>
      <c r="AE8" s="150"/>
      <c r="AF8" s="117"/>
      <c r="AG8" s="117"/>
      <c r="AH8" s="117"/>
      <c r="AI8" s="117"/>
      <c r="AJ8" s="150"/>
      <c r="AK8" s="117"/>
      <c r="AL8" s="117"/>
      <c r="AM8" s="117"/>
      <c r="AN8" s="117"/>
      <c r="AO8" s="975">
        <v>82</v>
      </c>
      <c r="AP8" s="117"/>
      <c r="AQ8" s="117"/>
      <c r="AR8" s="117"/>
      <c r="AS8" s="117"/>
      <c r="AT8" s="975">
        <v>83</v>
      </c>
      <c r="AU8" s="117"/>
      <c r="AV8" s="117"/>
      <c r="AW8" s="117"/>
      <c r="AX8" s="117"/>
      <c r="AY8" s="975">
        <v>67</v>
      </c>
      <c r="AZ8" s="117"/>
      <c r="BA8" s="117"/>
      <c r="BB8" s="117"/>
      <c r="BC8" s="117"/>
      <c r="BD8" s="975">
        <v>98</v>
      </c>
      <c r="BE8" s="117"/>
      <c r="BF8" s="117"/>
      <c r="BG8" s="117"/>
      <c r="BH8" s="117"/>
      <c r="BI8" s="975">
        <v>84</v>
      </c>
      <c r="BJ8" s="117"/>
      <c r="BK8" s="117"/>
      <c r="BL8" s="117"/>
      <c r="BM8" s="117"/>
      <c r="BN8" s="975">
        <v>173</v>
      </c>
      <c r="BO8" s="117"/>
      <c r="BP8" s="117"/>
      <c r="BQ8" s="117"/>
      <c r="BR8" s="117"/>
      <c r="BS8" s="975">
        <v>115</v>
      </c>
      <c r="BT8" s="691"/>
      <c r="BU8" s="117"/>
      <c r="BV8" s="117"/>
      <c r="BW8" s="117"/>
      <c r="BX8" s="150"/>
      <c r="BY8" s="117"/>
      <c r="BZ8" s="117"/>
      <c r="CA8" s="117"/>
      <c r="CB8" s="117"/>
      <c r="CC8" s="150"/>
      <c r="CD8" s="150"/>
      <c r="CE8" s="150"/>
      <c r="CF8" s="150"/>
      <c r="CG8" s="587"/>
    </row>
    <row r="9" spans="1:85" s="460" customFormat="1" ht="14.4" hidden="1" outlineLevel="1" x14ac:dyDescent="0.3">
      <c r="A9" s="592" t="s">
        <v>828</v>
      </c>
      <c r="B9" s="588"/>
      <c r="C9" s="954"/>
      <c r="D9" s="954"/>
      <c r="E9" s="954"/>
      <c r="F9" s="954"/>
      <c r="G9" s="133"/>
      <c r="H9" s="133"/>
      <c r="I9" s="133"/>
      <c r="J9" s="133"/>
      <c r="K9" s="954"/>
      <c r="L9" s="133"/>
      <c r="M9" s="133"/>
      <c r="N9" s="133"/>
      <c r="O9" s="133"/>
      <c r="P9" s="954"/>
      <c r="Q9" s="133"/>
      <c r="R9" s="133"/>
      <c r="S9" s="133"/>
      <c r="T9" s="133"/>
      <c r="U9" s="954"/>
      <c r="V9" s="133"/>
      <c r="W9" s="133"/>
      <c r="X9" s="133"/>
      <c r="Y9" s="133"/>
      <c r="Z9" s="954"/>
      <c r="AA9" s="133"/>
      <c r="AB9" s="133"/>
      <c r="AC9" s="133"/>
      <c r="AD9" s="133"/>
      <c r="AE9" s="954"/>
      <c r="AF9" s="133"/>
      <c r="AG9" s="133"/>
      <c r="AH9" s="133"/>
      <c r="AI9" s="133"/>
      <c r="AJ9" s="954"/>
      <c r="AK9" s="133"/>
      <c r="AL9" s="133"/>
      <c r="AM9" s="133"/>
      <c r="AN9" s="133"/>
      <c r="AO9" s="976">
        <v>140</v>
      </c>
      <c r="AP9" s="133"/>
      <c r="AQ9" s="133"/>
      <c r="AR9" s="133"/>
      <c r="AS9" s="133"/>
      <c r="AT9" s="976">
        <v>125</v>
      </c>
      <c r="AU9" s="133"/>
      <c r="AV9" s="133"/>
      <c r="AW9" s="133"/>
      <c r="AX9" s="133"/>
      <c r="AY9" s="976">
        <v>80</v>
      </c>
      <c r="AZ9" s="133"/>
      <c r="BA9" s="133"/>
      <c r="BB9" s="133"/>
      <c r="BC9" s="133"/>
      <c r="BD9" s="976">
        <v>53</v>
      </c>
      <c r="BE9" s="133"/>
      <c r="BF9" s="133"/>
      <c r="BG9" s="133"/>
      <c r="BH9" s="133"/>
      <c r="BI9" s="976">
        <v>50</v>
      </c>
      <c r="BJ9" s="133"/>
      <c r="BK9" s="133"/>
      <c r="BL9" s="133"/>
      <c r="BM9" s="133"/>
      <c r="BN9" s="976">
        <v>62</v>
      </c>
      <c r="BO9" s="133"/>
      <c r="BP9" s="133"/>
      <c r="BQ9" s="133"/>
      <c r="BR9" s="133"/>
      <c r="BS9" s="976">
        <v>75</v>
      </c>
      <c r="BT9" s="692"/>
      <c r="BU9" s="133"/>
      <c r="BV9" s="133"/>
      <c r="BW9" s="133"/>
      <c r="BX9" s="954"/>
      <c r="BY9" s="133"/>
      <c r="BZ9" s="133"/>
      <c r="CA9" s="133"/>
      <c r="CB9" s="133"/>
      <c r="CC9" s="954"/>
      <c r="CD9" s="954"/>
      <c r="CE9" s="954"/>
      <c r="CF9" s="954"/>
      <c r="CG9" s="587"/>
    </row>
    <row r="10" spans="1:85" s="460" customFormat="1" ht="14.4" hidden="1" outlineLevel="1" x14ac:dyDescent="0.3">
      <c r="A10" s="159" t="s">
        <v>829</v>
      </c>
      <c r="B10" s="586"/>
      <c r="C10" s="150"/>
      <c r="D10" s="150"/>
      <c r="E10" s="150"/>
      <c r="F10" s="150"/>
      <c r="G10" s="117"/>
      <c r="H10" s="117"/>
      <c r="I10" s="117"/>
      <c r="J10" s="117"/>
      <c r="K10" s="150"/>
      <c r="L10" s="117"/>
      <c r="M10" s="117"/>
      <c r="N10" s="117"/>
      <c r="O10" s="117"/>
      <c r="P10" s="150"/>
      <c r="Q10" s="117"/>
      <c r="R10" s="117"/>
      <c r="S10" s="117"/>
      <c r="T10" s="117"/>
      <c r="U10" s="150"/>
      <c r="V10" s="117"/>
      <c r="W10" s="117"/>
      <c r="X10" s="117"/>
      <c r="Y10" s="117"/>
      <c r="Z10" s="150"/>
      <c r="AA10" s="117"/>
      <c r="AB10" s="117"/>
      <c r="AC10" s="117"/>
      <c r="AD10" s="117"/>
      <c r="AE10" s="150"/>
      <c r="AF10" s="117"/>
      <c r="AG10" s="117"/>
      <c r="AH10" s="117"/>
      <c r="AI10" s="117"/>
      <c r="AJ10" s="150"/>
      <c r="AK10" s="117"/>
      <c r="AL10" s="117"/>
      <c r="AM10" s="117"/>
      <c r="AN10" s="117"/>
      <c r="AO10" s="150">
        <f>SUM(AO7:AO9)</f>
        <v>793</v>
      </c>
      <c r="AP10" s="117"/>
      <c r="AQ10" s="117"/>
      <c r="AR10" s="117"/>
      <c r="AS10" s="117"/>
      <c r="AT10" s="150">
        <f>SUM(AT7:AT9)</f>
        <v>398</v>
      </c>
      <c r="AU10" s="117"/>
      <c r="AV10" s="117"/>
      <c r="AW10" s="117"/>
      <c r="AX10" s="117"/>
      <c r="AY10" s="150">
        <f>SUM(AY7:AY9)</f>
        <v>331</v>
      </c>
      <c r="AZ10" s="117"/>
      <c r="BA10" s="117"/>
      <c r="BB10" s="117"/>
      <c r="BC10" s="117"/>
      <c r="BD10" s="150">
        <f>SUM(BD7:BD9)</f>
        <v>390</v>
      </c>
      <c r="BE10" s="117"/>
      <c r="BF10" s="117"/>
      <c r="BG10" s="117"/>
      <c r="BH10" s="117"/>
      <c r="BI10" s="150">
        <f>SUM(BI7:BI9)</f>
        <v>414</v>
      </c>
      <c r="BJ10" s="117"/>
      <c r="BK10" s="117"/>
      <c r="BL10" s="117"/>
      <c r="BM10" s="117"/>
      <c r="BN10" s="150">
        <f>SUM(BN7:BN9)</f>
        <v>428</v>
      </c>
      <c r="BO10" s="117"/>
      <c r="BP10" s="117"/>
      <c r="BQ10" s="117"/>
      <c r="BR10" s="117"/>
      <c r="BS10" s="150">
        <f>SUM(BS7:BS9)</f>
        <v>317</v>
      </c>
      <c r="BT10" s="691"/>
      <c r="BU10" s="117"/>
      <c r="BV10" s="117"/>
      <c r="BW10" s="117"/>
      <c r="BX10" s="150"/>
      <c r="BY10" s="117"/>
      <c r="BZ10" s="117"/>
      <c r="CA10" s="117"/>
      <c r="CB10" s="117"/>
      <c r="CC10" s="150"/>
      <c r="CD10" s="150"/>
      <c r="CE10" s="150"/>
      <c r="CF10" s="150"/>
      <c r="CG10" s="587"/>
    </row>
    <row r="11" spans="1:85" s="460" customFormat="1" ht="14.4" hidden="1" outlineLevel="1" x14ac:dyDescent="0.3">
      <c r="A11" s="591" t="s">
        <v>1601</v>
      </c>
      <c r="B11" s="586"/>
      <c r="C11" s="150"/>
      <c r="D11" s="150"/>
      <c r="E11" s="150"/>
      <c r="F11" s="150"/>
      <c r="G11" s="117"/>
      <c r="H11" s="117"/>
      <c r="I11" s="117"/>
      <c r="J11" s="117"/>
      <c r="K11" s="150"/>
      <c r="L11" s="117"/>
      <c r="M11" s="117"/>
      <c r="N11" s="117"/>
      <c r="O11" s="117"/>
      <c r="P11" s="150"/>
      <c r="Q11" s="117"/>
      <c r="R11" s="117"/>
      <c r="S11" s="117"/>
      <c r="T11" s="117"/>
      <c r="U11" s="150"/>
      <c r="V11" s="117"/>
      <c r="W11" s="117"/>
      <c r="X11" s="117"/>
      <c r="Y11" s="117"/>
      <c r="Z11" s="150"/>
      <c r="AA11" s="117"/>
      <c r="AB11" s="117"/>
      <c r="AC11" s="117"/>
      <c r="AD11" s="117"/>
      <c r="AE11" s="150"/>
      <c r="AF11" s="117"/>
      <c r="AG11" s="117"/>
      <c r="AH11" s="117"/>
      <c r="AI11" s="117"/>
      <c r="AJ11" s="150"/>
      <c r="AK11" s="117"/>
      <c r="AL11" s="117"/>
      <c r="AM11" s="117"/>
      <c r="AN11" s="117"/>
      <c r="AO11" s="975">
        <v>81</v>
      </c>
      <c r="AP11" s="117"/>
      <c r="AQ11" s="117"/>
      <c r="AR11" s="117"/>
      <c r="AS11" s="117"/>
      <c r="AT11" s="975">
        <v>3463</v>
      </c>
      <c r="AU11" s="117"/>
      <c r="AV11" s="117"/>
      <c r="AW11" s="117"/>
      <c r="AX11" s="117"/>
      <c r="AY11" s="150"/>
      <c r="AZ11" s="117"/>
      <c r="BA11" s="117"/>
      <c r="BB11" s="117"/>
      <c r="BC11" s="117"/>
      <c r="BD11" s="150"/>
      <c r="BE11" s="117"/>
      <c r="BF11" s="117"/>
      <c r="BG11" s="117"/>
      <c r="BH11" s="117"/>
      <c r="BI11" s="150"/>
      <c r="BJ11" s="117"/>
      <c r="BK11" s="117"/>
      <c r="BL11" s="117"/>
      <c r="BM11" s="117"/>
      <c r="BN11" s="150"/>
      <c r="BO11" s="117"/>
      <c r="BP11" s="117"/>
      <c r="BQ11" s="117"/>
      <c r="BR11" s="117"/>
      <c r="BS11" s="150"/>
      <c r="BT11" s="691"/>
      <c r="BU11" s="117"/>
      <c r="BV11" s="117"/>
      <c r="BW11" s="117"/>
      <c r="BX11" s="150"/>
      <c r="BY11" s="117"/>
      <c r="BZ11" s="117"/>
      <c r="CA11" s="117"/>
      <c r="CB11" s="117"/>
      <c r="CC11" s="150"/>
      <c r="CD11" s="150"/>
      <c r="CE11" s="150"/>
      <c r="CF11" s="150"/>
      <c r="CG11" s="587"/>
    </row>
    <row r="12" spans="1:85" s="460" customFormat="1" ht="14.4" hidden="1" outlineLevel="1" x14ac:dyDescent="0.3">
      <c r="A12" s="591" t="s">
        <v>830</v>
      </c>
      <c r="B12" s="586"/>
      <c r="C12" s="150"/>
      <c r="D12" s="150"/>
      <c r="E12" s="150"/>
      <c r="F12" s="150"/>
      <c r="G12" s="117"/>
      <c r="H12" s="117"/>
      <c r="I12" s="117"/>
      <c r="J12" s="117"/>
      <c r="K12" s="150"/>
      <c r="L12" s="117"/>
      <c r="M12" s="117"/>
      <c r="N12" s="117"/>
      <c r="O12" s="117"/>
      <c r="P12" s="150"/>
      <c r="Q12" s="117"/>
      <c r="R12" s="117"/>
      <c r="S12" s="117"/>
      <c r="T12" s="117"/>
      <c r="U12" s="150"/>
      <c r="V12" s="117"/>
      <c r="W12" s="117"/>
      <c r="X12" s="117"/>
      <c r="Y12" s="117"/>
      <c r="Z12" s="150"/>
      <c r="AA12" s="117"/>
      <c r="AB12" s="117"/>
      <c r="AC12" s="117"/>
      <c r="AD12" s="117"/>
      <c r="AE12" s="150"/>
      <c r="AF12" s="117"/>
      <c r="AG12" s="117"/>
      <c r="AH12" s="117"/>
      <c r="AI12" s="117"/>
      <c r="AJ12" s="150"/>
      <c r="AK12" s="117"/>
      <c r="AL12" s="117"/>
      <c r="AM12" s="117"/>
      <c r="AN12" s="117"/>
      <c r="AO12" s="150"/>
      <c r="AP12" s="117"/>
      <c r="AQ12" s="117"/>
      <c r="AR12" s="117"/>
      <c r="AS12" s="117"/>
      <c r="AT12" s="975">
        <v>23</v>
      </c>
      <c r="AU12" s="117"/>
      <c r="AV12" s="117"/>
      <c r="AW12" s="117"/>
      <c r="AX12" s="117"/>
      <c r="AY12" s="975">
        <v>98</v>
      </c>
      <c r="AZ12" s="117"/>
      <c r="BA12" s="117"/>
      <c r="BB12" s="117"/>
      <c r="BC12" s="117"/>
      <c r="BD12" s="975">
        <v>18</v>
      </c>
      <c r="BE12" s="117"/>
      <c r="BF12" s="117"/>
      <c r="BG12" s="117"/>
      <c r="BH12" s="117"/>
      <c r="BI12" s="975">
        <v>10123</v>
      </c>
      <c r="BJ12" s="117"/>
      <c r="BK12" s="117"/>
      <c r="BL12" s="117"/>
      <c r="BM12" s="117"/>
      <c r="BN12" s="975">
        <v>11</v>
      </c>
      <c r="BO12" s="117"/>
      <c r="BP12" s="117"/>
      <c r="BQ12" s="117"/>
      <c r="BR12" s="117"/>
      <c r="BS12" s="975">
        <v>19947</v>
      </c>
      <c r="BT12" s="691"/>
      <c r="BU12" s="117"/>
      <c r="BV12" s="117"/>
      <c r="BW12" s="117"/>
      <c r="BX12" s="150"/>
      <c r="BY12" s="117"/>
      <c r="BZ12" s="117"/>
      <c r="CA12" s="117"/>
      <c r="CB12" s="117"/>
      <c r="CC12" s="150"/>
      <c r="CD12" s="150"/>
      <c r="CE12" s="150"/>
      <c r="CF12" s="150"/>
      <c r="CG12" s="587"/>
    </row>
    <row r="13" spans="1:85" s="460" customFormat="1" ht="14.4" hidden="1" outlineLevel="1" x14ac:dyDescent="0.3">
      <c r="A13" s="591" t="s">
        <v>1602</v>
      </c>
      <c r="B13" s="586"/>
      <c r="C13" s="150"/>
      <c r="D13" s="150"/>
      <c r="E13" s="150"/>
      <c r="F13" s="150"/>
      <c r="G13" s="117"/>
      <c r="H13" s="117"/>
      <c r="I13" s="117"/>
      <c r="J13" s="117"/>
      <c r="K13" s="150"/>
      <c r="L13" s="117"/>
      <c r="M13" s="117"/>
      <c r="N13" s="117"/>
      <c r="O13" s="117"/>
      <c r="P13" s="150"/>
      <c r="Q13" s="117"/>
      <c r="R13" s="117"/>
      <c r="S13" s="117"/>
      <c r="T13" s="117"/>
      <c r="U13" s="150"/>
      <c r="V13" s="117"/>
      <c r="W13" s="117"/>
      <c r="X13" s="117"/>
      <c r="Y13" s="117"/>
      <c r="Z13" s="150"/>
      <c r="AA13" s="117"/>
      <c r="AB13" s="117"/>
      <c r="AC13" s="117"/>
      <c r="AD13" s="117"/>
      <c r="AE13" s="150"/>
      <c r="AF13" s="117"/>
      <c r="AG13" s="117"/>
      <c r="AH13" s="117"/>
      <c r="AI13" s="117"/>
      <c r="AJ13" s="150"/>
      <c r="AK13" s="117"/>
      <c r="AL13" s="117"/>
      <c r="AM13" s="117"/>
      <c r="AN13" s="117"/>
      <c r="AO13" s="975">
        <v>68</v>
      </c>
      <c r="AP13" s="117"/>
      <c r="AQ13" s="117"/>
      <c r="AR13" s="117"/>
      <c r="AS13" s="117"/>
      <c r="AT13" s="975">
        <v>2845</v>
      </c>
      <c r="AU13" s="117"/>
      <c r="AV13" s="117"/>
      <c r="AW13" s="117"/>
      <c r="AX13" s="117"/>
      <c r="AY13" s="150"/>
      <c r="AZ13" s="117"/>
      <c r="BA13" s="117"/>
      <c r="BB13" s="117"/>
      <c r="BC13" s="117"/>
      <c r="BD13" s="150"/>
      <c r="BE13" s="117"/>
      <c r="BF13" s="117"/>
      <c r="BG13" s="117"/>
      <c r="BH13" s="117"/>
      <c r="BI13" s="150"/>
      <c r="BJ13" s="117"/>
      <c r="BK13" s="117"/>
      <c r="BL13" s="117"/>
      <c r="BM13" s="117"/>
      <c r="BN13" s="150"/>
      <c r="BO13" s="117"/>
      <c r="BP13" s="117"/>
      <c r="BQ13" s="117"/>
      <c r="BR13" s="117"/>
      <c r="BS13" s="150"/>
      <c r="BT13" s="691"/>
      <c r="BU13" s="117"/>
      <c r="BV13" s="117"/>
      <c r="BW13" s="117"/>
      <c r="BX13" s="150"/>
      <c r="BY13" s="117"/>
      <c r="BZ13" s="117"/>
      <c r="CA13" s="117"/>
      <c r="CB13" s="117"/>
      <c r="CC13" s="150"/>
      <c r="CD13" s="150"/>
      <c r="CE13" s="150"/>
      <c r="CF13" s="150"/>
      <c r="CG13" s="587"/>
    </row>
    <row r="14" spans="1:85" s="460" customFormat="1" ht="14.4" hidden="1" outlineLevel="1" x14ac:dyDescent="0.3">
      <c r="A14" s="592" t="s">
        <v>831</v>
      </c>
      <c r="B14" s="588"/>
      <c r="C14" s="954"/>
      <c r="D14" s="954"/>
      <c r="E14" s="954"/>
      <c r="F14" s="954"/>
      <c r="G14" s="133"/>
      <c r="H14" s="133"/>
      <c r="I14" s="133"/>
      <c r="J14" s="133"/>
      <c r="K14" s="954"/>
      <c r="L14" s="133"/>
      <c r="M14" s="133"/>
      <c r="N14" s="133"/>
      <c r="O14" s="133"/>
      <c r="P14" s="954"/>
      <c r="Q14" s="133"/>
      <c r="R14" s="133"/>
      <c r="S14" s="133"/>
      <c r="T14" s="133"/>
      <c r="U14" s="954"/>
      <c r="V14" s="133"/>
      <c r="W14" s="133"/>
      <c r="X14" s="133"/>
      <c r="Y14" s="133"/>
      <c r="Z14" s="954"/>
      <c r="AA14" s="133"/>
      <c r="AB14" s="133"/>
      <c r="AC14" s="133"/>
      <c r="AD14" s="133"/>
      <c r="AE14" s="954"/>
      <c r="AF14" s="133"/>
      <c r="AG14" s="133"/>
      <c r="AH14" s="133"/>
      <c r="AI14" s="133"/>
      <c r="AJ14" s="954"/>
      <c r="AK14" s="133"/>
      <c r="AL14" s="133"/>
      <c r="AM14" s="133"/>
      <c r="AN14" s="133"/>
      <c r="AO14" s="954"/>
      <c r="AP14" s="133"/>
      <c r="AQ14" s="133"/>
      <c r="AR14" s="133"/>
      <c r="AS14" s="133"/>
      <c r="AT14" s="976">
        <v>35</v>
      </c>
      <c r="AU14" s="133"/>
      <c r="AV14" s="133"/>
      <c r="AW14" s="133"/>
      <c r="AX14" s="133"/>
      <c r="AY14" s="976">
        <v>13</v>
      </c>
      <c r="AZ14" s="133"/>
      <c r="BA14" s="133"/>
      <c r="BB14" s="133"/>
      <c r="BC14" s="133"/>
      <c r="BD14" s="976">
        <v>104</v>
      </c>
      <c r="BE14" s="133"/>
      <c r="BF14" s="133"/>
      <c r="BG14" s="133"/>
      <c r="BH14" s="133"/>
      <c r="BI14" s="976">
        <v>504</v>
      </c>
      <c r="BJ14" s="133"/>
      <c r="BK14" s="133"/>
      <c r="BL14" s="133"/>
      <c r="BM14" s="133"/>
      <c r="BN14" s="976">
        <v>69</v>
      </c>
      <c r="BO14" s="133"/>
      <c r="BP14" s="133"/>
      <c r="BQ14" s="133"/>
      <c r="BR14" s="133"/>
      <c r="BS14" s="976">
        <v>1783</v>
      </c>
      <c r="BT14" s="692"/>
      <c r="BU14" s="133"/>
      <c r="BV14" s="133"/>
      <c r="BW14" s="133"/>
      <c r="BX14" s="954"/>
      <c r="BY14" s="133"/>
      <c r="BZ14" s="133"/>
      <c r="CA14" s="133"/>
      <c r="CB14" s="133"/>
      <c r="CC14" s="954"/>
      <c r="CD14" s="954"/>
      <c r="CE14" s="954"/>
      <c r="CF14" s="954"/>
      <c r="CG14" s="587"/>
    </row>
    <row r="15" spans="1:85" s="460" customFormat="1" ht="14.4" hidden="1" outlineLevel="1" x14ac:dyDescent="0.3">
      <c r="A15" s="159" t="s">
        <v>832</v>
      </c>
      <c r="B15" s="586"/>
      <c r="C15" s="150"/>
      <c r="D15" s="150"/>
      <c r="E15" s="150"/>
      <c r="F15" s="150"/>
      <c r="G15" s="117"/>
      <c r="H15" s="117"/>
      <c r="I15" s="117"/>
      <c r="J15" s="117"/>
      <c r="K15" s="150"/>
      <c r="L15" s="117"/>
      <c r="M15" s="117"/>
      <c r="N15" s="117"/>
      <c r="O15" s="117"/>
      <c r="P15" s="150"/>
      <c r="Q15" s="117"/>
      <c r="R15" s="117"/>
      <c r="S15" s="117"/>
      <c r="T15" s="117"/>
      <c r="U15" s="150"/>
      <c r="V15" s="117"/>
      <c r="W15" s="117"/>
      <c r="X15" s="117"/>
      <c r="Y15" s="117"/>
      <c r="Z15" s="150"/>
      <c r="AA15" s="117"/>
      <c r="AB15" s="117"/>
      <c r="AC15" s="117"/>
      <c r="AD15" s="117"/>
      <c r="AE15" s="150"/>
      <c r="AF15" s="117"/>
      <c r="AG15" s="117"/>
      <c r="AH15" s="117"/>
      <c r="AI15" s="117"/>
      <c r="AJ15" s="150"/>
      <c r="AK15" s="117"/>
      <c r="AL15" s="117"/>
      <c r="AM15" s="117"/>
      <c r="AN15" s="117"/>
      <c r="AO15" s="150">
        <f>SUM(AO11:AO14)</f>
        <v>149</v>
      </c>
      <c r="AP15" s="117"/>
      <c r="AQ15" s="117"/>
      <c r="AR15" s="117"/>
      <c r="AS15" s="117"/>
      <c r="AT15" s="150">
        <f>SUM(AT11:AT14)</f>
        <v>6366</v>
      </c>
      <c r="AU15" s="117"/>
      <c r="AV15" s="117"/>
      <c r="AW15" s="117"/>
      <c r="AX15" s="117"/>
      <c r="AY15" s="150">
        <f>SUM(AY11:AY14)</f>
        <v>111</v>
      </c>
      <c r="AZ15" s="117"/>
      <c r="BA15" s="117"/>
      <c r="BB15" s="117"/>
      <c r="BC15" s="117"/>
      <c r="BD15" s="150">
        <f>SUM(BD11:BD14)</f>
        <v>122</v>
      </c>
      <c r="BE15" s="117"/>
      <c r="BF15" s="117"/>
      <c r="BG15" s="117"/>
      <c r="BH15" s="117"/>
      <c r="BI15" s="150">
        <f>SUM(BI11:BI14)</f>
        <v>10627</v>
      </c>
      <c r="BJ15" s="117"/>
      <c r="BK15" s="117"/>
      <c r="BL15" s="117"/>
      <c r="BM15" s="117"/>
      <c r="BN15" s="150">
        <f>SUM(BN11:BN14)</f>
        <v>80</v>
      </c>
      <c r="BO15" s="117"/>
      <c r="BP15" s="117"/>
      <c r="BQ15" s="117"/>
      <c r="BR15" s="117"/>
      <c r="BS15" s="150">
        <f>SUM(BS11:BS14)</f>
        <v>21730</v>
      </c>
      <c r="BT15" s="691"/>
      <c r="BU15" s="117"/>
      <c r="BV15" s="117"/>
      <c r="BW15" s="117"/>
      <c r="BX15" s="150"/>
      <c r="BY15" s="117"/>
      <c r="BZ15" s="117"/>
      <c r="CA15" s="117"/>
      <c r="CB15" s="117"/>
      <c r="CC15" s="150"/>
      <c r="CD15" s="150"/>
      <c r="CE15" s="150"/>
      <c r="CF15" s="150"/>
      <c r="CG15" s="587"/>
    </row>
    <row r="16" spans="1:85" s="460" customFormat="1" ht="14.4" hidden="1" outlineLevel="1" x14ac:dyDescent="0.3">
      <c r="A16" s="262" t="s">
        <v>833</v>
      </c>
      <c r="B16" s="588"/>
      <c r="C16" s="954"/>
      <c r="D16" s="954"/>
      <c r="E16" s="954"/>
      <c r="F16" s="954"/>
      <c r="G16" s="133"/>
      <c r="H16" s="133"/>
      <c r="I16" s="133"/>
      <c r="J16" s="133"/>
      <c r="K16" s="954"/>
      <c r="L16" s="133"/>
      <c r="M16" s="133"/>
      <c r="N16" s="133"/>
      <c r="O16" s="133"/>
      <c r="P16" s="954"/>
      <c r="Q16" s="133"/>
      <c r="R16" s="133"/>
      <c r="S16" s="133"/>
      <c r="T16" s="133"/>
      <c r="U16" s="954"/>
      <c r="V16" s="133"/>
      <c r="W16" s="133"/>
      <c r="X16" s="133"/>
      <c r="Y16" s="133"/>
      <c r="Z16" s="954"/>
      <c r="AA16" s="133"/>
      <c r="AB16" s="133"/>
      <c r="AC16" s="133"/>
      <c r="AD16" s="133"/>
      <c r="AE16" s="954"/>
      <c r="AF16" s="133"/>
      <c r="AG16" s="133"/>
      <c r="AH16" s="133"/>
      <c r="AI16" s="133"/>
      <c r="AJ16" s="954"/>
      <c r="AK16" s="133"/>
      <c r="AL16" s="133"/>
      <c r="AM16" s="133"/>
      <c r="AN16" s="133"/>
      <c r="AO16" s="976">
        <v>7072</v>
      </c>
      <c r="AP16" s="133"/>
      <c r="AQ16" s="133"/>
      <c r="AR16" s="133"/>
      <c r="AS16" s="133"/>
      <c r="AT16" s="976">
        <v>4622</v>
      </c>
      <c r="AU16" s="133"/>
      <c r="AV16" s="133"/>
      <c r="AW16" s="133"/>
      <c r="AX16" s="133"/>
      <c r="AY16" s="976">
        <v>4360</v>
      </c>
      <c r="AZ16" s="133"/>
      <c r="BA16" s="133"/>
      <c r="BB16" s="133"/>
      <c r="BC16" s="133"/>
      <c r="BD16" s="976">
        <v>6221</v>
      </c>
      <c r="BE16" s="133"/>
      <c r="BF16" s="133"/>
      <c r="BG16" s="133"/>
      <c r="BH16" s="133"/>
      <c r="BI16" s="976">
        <v>9645</v>
      </c>
      <c r="BJ16" s="133"/>
      <c r="BK16" s="133"/>
      <c r="BL16" s="133"/>
      <c r="BM16" s="133"/>
      <c r="BN16" s="976">
        <v>9334</v>
      </c>
      <c r="BO16" s="133"/>
      <c r="BP16" s="133"/>
      <c r="BQ16" s="133"/>
      <c r="BR16" s="133"/>
      <c r="BS16" s="976">
        <v>8532</v>
      </c>
      <c r="BT16" s="692"/>
      <c r="BU16" s="133"/>
      <c r="BV16" s="133"/>
      <c r="BW16" s="133"/>
      <c r="BX16" s="954"/>
      <c r="BY16" s="133"/>
      <c r="BZ16" s="133"/>
      <c r="CA16" s="133"/>
      <c r="CB16" s="133"/>
      <c r="CC16" s="954"/>
      <c r="CD16" s="954"/>
      <c r="CE16" s="954"/>
      <c r="CF16" s="954"/>
      <c r="CG16" s="587"/>
    </row>
    <row r="17" spans="1:85" s="461" customFormat="1" ht="14.4" hidden="1" outlineLevel="1" x14ac:dyDescent="0.3">
      <c r="A17" s="166" t="s">
        <v>834</v>
      </c>
      <c r="B17" s="583"/>
      <c r="C17" s="957"/>
      <c r="D17" s="957"/>
      <c r="E17" s="957"/>
      <c r="F17" s="957"/>
      <c r="G17" s="120"/>
      <c r="H17" s="120"/>
      <c r="I17" s="120"/>
      <c r="J17" s="120"/>
      <c r="K17" s="957"/>
      <c r="L17" s="120"/>
      <c r="M17" s="120"/>
      <c r="N17" s="120"/>
      <c r="O17" s="120"/>
      <c r="P17" s="957"/>
      <c r="Q17" s="120"/>
      <c r="R17" s="120"/>
      <c r="S17" s="120"/>
      <c r="T17" s="120"/>
      <c r="U17" s="957"/>
      <c r="V17" s="120"/>
      <c r="W17" s="120"/>
      <c r="X17" s="120"/>
      <c r="Y17" s="120"/>
      <c r="Z17" s="957"/>
      <c r="AA17" s="120"/>
      <c r="AB17" s="120"/>
      <c r="AC17" s="120"/>
      <c r="AD17" s="120"/>
      <c r="AE17" s="957"/>
      <c r="AF17" s="120"/>
      <c r="AG17" s="120"/>
      <c r="AH17" s="120"/>
      <c r="AI17" s="120"/>
      <c r="AJ17" s="957"/>
      <c r="AK17" s="120"/>
      <c r="AL17" s="120"/>
      <c r="AM17" s="120"/>
      <c r="AN17" s="120"/>
      <c r="AO17" s="957">
        <f>AO10+AO15+AO16</f>
        <v>8014</v>
      </c>
      <c r="AP17" s="120"/>
      <c r="AQ17" s="120"/>
      <c r="AR17" s="120"/>
      <c r="AS17" s="120"/>
      <c r="AT17" s="957">
        <f>AT10+AT15+AT16</f>
        <v>11386</v>
      </c>
      <c r="AU17" s="120"/>
      <c r="AV17" s="120"/>
      <c r="AW17" s="120"/>
      <c r="AX17" s="120"/>
      <c r="AY17" s="957">
        <f>AY10+AY15+AY16</f>
        <v>4802</v>
      </c>
      <c r="AZ17" s="120"/>
      <c r="BA17" s="120"/>
      <c r="BB17" s="120"/>
      <c r="BC17" s="120"/>
      <c r="BD17" s="957">
        <f>BD10+BD15+BD16</f>
        <v>6733</v>
      </c>
      <c r="BE17" s="120"/>
      <c r="BF17" s="120"/>
      <c r="BG17" s="120"/>
      <c r="BH17" s="120"/>
      <c r="BI17" s="957">
        <f>BI10+BI15+BI16</f>
        <v>20686</v>
      </c>
      <c r="BJ17" s="120"/>
      <c r="BK17" s="120"/>
      <c r="BL17" s="120"/>
      <c r="BM17" s="120"/>
      <c r="BN17" s="957">
        <f>BN10+BN15+BN16</f>
        <v>9842</v>
      </c>
      <c r="BO17" s="120"/>
      <c r="BP17" s="120"/>
      <c r="BQ17" s="120"/>
      <c r="BR17" s="120"/>
      <c r="BS17" s="957">
        <f>BS10+BS15+BS16</f>
        <v>30579</v>
      </c>
      <c r="BT17" s="694"/>
      <c r="BU17" s="120"/>
      <c r="BV17" s="120"/>
      <c r="BW17" s="120"/>
      <c r="BX17" s="957"/>
      <c r="BY17" s="120"/>
      <c r="BZ17" s="120"/>
      <c r="CA17" s="120"/>
      <c r="CB17" s="120"/>
      <c r="CC17" s="957"/>
      <c r="CD17" s="957"/>
      <c r="CE17" s="957"/>
      <c r="CF17" s="957"/>
      <c r="CG17" s="615"/>
    </row>
    <row r="18" spans="1:85" s="460" customFormat="1" ht="14.4" hidden="1" outlineLevel="1" x14ac:dyDescent="0.3">
      <c r="A18" s="591" t="s">
        <v>836</v>
      </c>
      <c r="B18" s="586"/>
      <c r="C18" s="150"/>
      <c r="D18" s="150"/>
      <c r="E18" s="150"/>
      <c r="F18" s="150"/>
      <c r="G18" s="117"/>
      <c r="H18" s="117"/>
      <c r="I18" s="117"/>
      <c r="J18" s="117"/>
      <c r="K18" s="150"/>
      <c r="L18" s="117"/>
      <c r="M18" s="117"/>
      <c r="N18" s="117"/>
      <c r="O18" s="117"/>
      <c r="P18" s="150"/>
      <c r="Q18" s="117"/>
      <c r="R18" s="117"/>
      <c r="S18" s="117"/>
      <c r="T18" s="117"/>
      <c r="U18" s="150"/>
      <c r="V18" s="117"/>
      <c r="W18" s="117"/>
      <c r="X18" s="117"/>
      <c r="Y18" s="117"/>
      <c r="Z18" s="150"/>
      <c r="AA18" s="117"/>
      <c r="AB18" s="117"/>
      <c r="AC18" s="117"/>
      <c r="AD18" s="117"/>
      <c r="AE18" s="150"/>
      <c r="AF18" s="117"/>
      <c r="AG18" s="117"/>
      <c r="AH18" s="117"/>
      <c r="AI18" s="117"/>
      <c r="AJ18" s="150"/>
      <c r="AK18" s="117"/>
      <c r="AL18" s="117"/>
      <c r="AM18" s="117"/>
      <c r="AN18" s="117"/>
      <c r="AO18" s="975">
        <v>44</v>
      </c>
      <c r="AP18" s="117"/>
      <c r="AQ18" s="117"/>
      <c r="AR18" s="117"/>
      <c r="AS18" s="117"/>
      <c r="AT18" s="975">
        <v>181</v>
      </c>
      <c r="AU18" s="117"/>
      <c r="AV18" s="117"/>
      <c r="AW18" s="117"/>
      <c r="AX18" s="117"/>
      <c r="AY18" s="975">
        <v>31</v>
      </c>
      <c r="AZ18" s="117"/>
      <c r="BA18" s="117"/>
      <c r="BB18" s="117"/>
      <c r="BC18" s="117"/>
      <c r="BD18" s="975">
        <v>84</v>
      </c>
      <c r="BE18" s="117"/>
      <c r="BF18" s="117"/>
      <c r="BG18" s="117"/>
      <c r="BH18" s="117"/>
      <c r="BI18" s="975">
        <v>92</v>
      </c>
      <c r="BJ18" s="117"/>
      <c r="BK18" s="117"/>
      <c r="BL18" s="117"/>
      <c r="BM18" s="117"/>
      <c r="BN18" s="975">
        <v>2</v>
      </c>
      <c r="BO18" s="117"/>
      <c r="BP18" s="117"/>
      <c r="BQ18" s="117"/>
      <c r="BR18" s="117"/>
      <c r="BS18" s="975">
        <v>161</v>
      </c>
      <c r="BT18" s="691"/>
      <c r="BU18" s="117"/>
      <c r="BV18" s="117"/>
      <c r="BW18" s="117"/>
      <c r="BX18" s="150"/>
      <c r="BY18" s="117"/>
      <c r="BZ18" s="117"/>
      <c r="CA18" s="117"/>
      <c r="CB18" s="117"/>
      <c r="CC18" s="150"/>
      <c r="CD18" s="150"/>
      <c r="CE18" s="150"/>
      <c r="CF18" s="150"/>
      <c r="CG18" s="587"/>
    </row>
    <row r="19" spans="1:85" s="460" customFormat="1" ht="14.4" hidden="1" outlineLevel="1" x14ac:dyDescent="0.3">
      <c r="A19" s="591" t="s">
        <v>837</v>
      </c>
      <c r="B19" s="586"/>
      <c r="C19" s="150"/>
      <c r="D19" s="150"/>
      <c r="E19" s="150"/>
      <c r="F19" s="150"/>
      <c r="G19" s="117"/>
      <c r="H19" s="117"/>
      <c r="I19" s="117"/>
      <c r="J19" s="117"/>
      <c r="K19" s="150"/>
      <c r="L19" s="117"/>
      <c r="M19" s="117"/>
      <c r="N19" s="117"/>
      <c r="O19" s="117"/>
      <c r="P19" s="150"/>
      <c r="Q19" s="117"/>
      <c r="R19" s="117"/>
      <c r="S19" s="117"/>
      <c r="T19" s="117"/>
      <c r="U19" s="150"/>
      <c r="V19" s="117"/>
      <c r="W19" s="117"/>
      <c r="X19" s="117"/>
      <c r="Y19" s="117"/>
      <c r="Z19" s="150"/>
      <c r="AA19" s="117"/>
      <c r="AB19" s="117"/>
      <c r="AC19" s="117"/>
      <c r="AD19" s="117"/>
      <c r="AE19" s="150"/>
      <c r="AF19" s="117"/>
      <c r="AG19" s="117"/>
      <c r="AH19" s="117"/>
      <c r="AI19" s="117"/>
      <c r="AJ19" s="150"/>
      <c r="AK19" s="117"/>
      <c r="AL19" s="117"/>
      <c r="AM19" s="117"/>
      <c r="AN19" s="117"/>
      <c r="AO19" s="975">
        <v>118</v>
      </c>
      <c r="AP19" s="117"/>
      <c r="AQ19" s="117"/>
      <c r="AR19" s="117"/>
      <c r="AS19" s="117"/>
      <c r="AT19" s="975">
        <v>29</v>
      </c>
      <c r="AU19" s="117"/>
      <c r="AV19" s="117"/>
      <c r="AW19" s="117"/>
      <c r="AX19" s="117"/>
      <c r="AY19" s="975">
        <v>58</v>
      </c>
      <c r="AZ19" s="117"/>
      <c r="BA19" s="117"/>
      <c r="BB19" s="117"/>
      <c r="BC19" s="117"/>
      <c r="BD19" s="975">
        <v>28</v>
      </c>
      <c r="BE19" s="117"/>
      <c r="BF19" s="117"/>
      <c r="BG19" s="117"/>
      <c r="BH19" s="117"/>
      <c r="BI19" s="975">
        <v>49</v>
      </c>
      <c r="BJ19" s="117"/>
      <c r="BK19" s="117"/>
      <c r="BL19" s="117"/>
      <c r="BM19" s="117"/>
      <c r="BN19" s="975">
        <v>81</v>
      </c>
      <c r="BO19" s="117"/>
      <c r="BP19" s="117"/>
      <c r="BQ19" s="117"/>
      <c r="BR19" s="117"/>
      <c r="BS19" s="975">
        <v>140</v>
      </c>
      <c r="BT19" s="691"/>
      <c r="BU19" s="117"/>
      <c r="BV19" s="117"/>
      <c r="BW19" s="117"/>
      <c r="BX19" s="150"/>
      <c r="BY19" s="117"/>
      <c r="BZ19" s="117"/>
      <c r="CA19" s="117"/>
      <c r="CB19" s="117"/>
      <c r="CC19" s="150"/>
      <c r="CD19" s="150"/>
      <c r="CE19" s="150"/>
      <c r="CF19" s="150"/>
      <c r="CG19" s="587"/>
    </row>
    <row r="20" spans="1:85" s="460" customFormat="1" ht="14.4" hidden="1" outlineLevel="1" x14ac:dyDescent="0.3">
      <c r="A20" s="592" t="s">
        <v>838</v>
      </c>
      <c r="B20" s="588"/>
      <c r="C20" s="954"/>
      <c r="D20" s="954"/>
      <c r="E20" s="954"/>
      <c r="F20" s="954"/>
      <c r="G20" s="133"/>
      <c r="H20" s="133"/>
      <c r="I20" s="133"/>
      <c r="J20" s="133"/>
      <c r="K20" s="954"/>
      <c r="L20" s="133"/>
      <c r="M20" s="133"/>
      <c r="N20" s="133"/>
      <c r="O20" s="133"/>
      <c r="P20" s="954"/>
      <c r="Q20" s="133"/>
      <c r="R20" s="133"/>
      <c r="S20" s="133"/>
      <c r="T20" s="133"/>
      <c r="U20" s="954"/>
      <c r="V20" s="133"/>
      <c r="W20" s="133"/>
      <c r="X20" s="133"/>
      <c r="Y20" s="133"/>
      <c r="Z20" s="954"/>
      <c r="AA20" s="133"/>
      <c r="AB20" s="133"/>
      <c r="AC20" s="133"/>
      <c r="AD20" s="133"/>
      <c r="AE20" s="954"/>
      <c r="AF20" s="133"/>
      <c r="AG20" s="133"/>
      <c r="AH20" s="133"/>
      <c r="AI20" s="133"/>
      <c r="AJ20" s="954"/>
      <c r="AK20" s="133"/>
      <c r="AL20" s="133"/>
      <c r="AM20" s="133"/>
      <c r="AN20" s="133"/>
      <c r="AO20" s="976">
        <v>52</v>
      </c>
      <c r="AP20" s="133"/>
      <c r="AQ20" s="133"/>
      <c r="AR20" s="133"/>
      <c r="AS20" s="133"/>
      <c r="AT20" s="976">
        <v>77</v>
      </c>
      <c r="AU20" s="133"/>
      <c r="AV20" s="133"/>
      <c r="AW20" s="133"/>
      <c r="AX20" s="133"/>
      <c r="AY20" s="976">
        <v>80</v>
      </c>
      <c r="AZ20" s="133"/>
      <c r="BA20" s="133"/>
      <c r="BB20" s="133"/>
      <c r="BC20" s="133"/>
      <c r="BD20" s="976">
        <v>72</v>
      </c>
      <c r="BE20" s="133"/>
      <c r="BF20" s="133"/>
      <c r="BG20" s="133"/>
      <c r="BH20" s="133"/>
      <c r="BI20" s="976">
        <v>104</v>
      </c>
      <c r="BJ20" s="133"/>
      <c r="BK20" s="133"/>
      <c r="BL20" s="133"/>
      <c r="BM20" s="133"/>
      <c r="BN20" s="976">
        <v>62</v>
      </c>
      <c r="BO20" s="133"/>
      <c r="BP20" s="133"/>
      <c r="BQ20" s="133"/>
      <c r="BR20" s="133"/>
      <c r="BS20" s="976">
        <v>71</v>
      </c>
      <c r="BT20" s="692"/>
      <c r="BU20" s="133"/>
      <c r="BV20" s="133"/>
      <c r="BW20" s="133"/>
      <c r="BX20" s="954"/>
      <c r="BY20" s="133"/>
      <c r="BZ20" s="133"/>
      <c r="CA20" s="133"/>
      <c r="CB20" s="133"/>
      <c r="CC20" s="954"/>
      <c r="CD20" s="954"/>
      <c r="CE20" s="954"/>
      <c r="CF20" s="954"/>
      <c r="CG20" s="587"/>
    </row>
    <row r="21" spans="1:85" s="460" customFormat="1" ht="14.4" hidden="1" outlineLevel="1" x14ac:dyDescent="0.3">
      <c r="A21" s="159" t="s">
        <v>839</v>
      </c>
      <c r="B21" s="586"/>
      <c r="C21" s="150"/>
      <c r="D21" s="150"/>
      <c r="E21" s="150"/>
      <c r="F21" s="150"/>
      <c r="G21" s="117"/>
      <c r="H21" s="117"/>
      <c r="I21" s="117"/>
      <c r="J21" s="117"/>
      <c r="K21" s="150"/>
      <c r="L21" s="117"/>
      <c r="M21" s="117"/>
      <c r="N21" s="117"/>
      <c r="O21" s="117"/>
      <c r="P21" s="150"/>
      <c r="Q21" s="117"/>
      <c r="R21" s="117"/>
      <c r="S21" s="117"/>
      <c r="T21" s="117"/>
      <c r="U21" s="150"/>
      <c r="V21" s="117"/>
      <c r="W21" s="117"/>
      <c r="X21" s="117"/>
      <c r="Y21" s="117"/>
      <c r="Z21" s="150"/>
      <c r="AA21" s="117"/>
      <c r="AB21" s="117"/>
      <c r="AC21" s="117"/>
      <c r="AD21" s="117"/>
      <c r="AE21" s="150"/>
      <c r="AF21" s="117"/>
      <c r="AG21" s="117"/>
      <c r="AH21" s="117"/>
      <c r="AI21" s="117"/>
      <c r="AJ21" s="150"/>
      <c r="AK21" s="117"/>
      <c r="AL21" s="117"/>
      <c r="AM21" s="117"/>
      <c r="AN21" s="117"/>
      <c r="AO21" s="150">
        <f>SUM(AO18:AO20)</f>
        <v>214</v>
      </c>
      <c r="AP21" s="117"/>
      <c r="AQ21" s="117"/>
      <c r="AR21" s="117"/>
      <c r="AS21" s="117"/>
      <c r="AT21" s="150">
        <f>SUM(AT18:AT20)</f>
        <v>287</v>
      </c>
      <c r="AU21" s="117"/>
      <c r="AV21" s="117"/>
      <c r="AW21" s="117"/>
      <c r="AX21" s="117"/>
      <c r="AY21" s="150">
        <f>SUM(AY18:AY20)</f>
        <v>169</v>
      </c>
      <c r="AZ21" s="117"/>
      <c r="BA21" s="117"/>
      <c r="BB21" s="117"/>
      <c r="BC21" s="117"/>
      <c r="BD21" s="150">
        <f>SUM(BD18:BD20)</f>
        <v>184</v>
      </c>
      <c r="BE21" s="117"/>
      <c r="BF21" s="117"/>
      <c r="BG21" s="117"/>
      <c r="BH21" s="117"/>
      <c r="BI21" s="150">
        <f>SUM(BI18:BI20)</f>
        <v>245</v>
      </c>
      <c r="BJ21" s="117"/>
      <c r="BK21" s="117"/>
      <c r="BL21" s="117"/>
      <c r="BM21" s="117"/>
      <c r="BN21" s="150">
        <f>SUM(BN18:BN20)</f>
        <v>145</v>
      </c>
      <c r="BO21" s="117"/>
      <c r="BP21" s="117"/>
      <c r="BQ21" s="117"/>
      <c r="BR21" s="117"/>
      <c r="BS21" s="150">
        <f>SUM(BS18:BS20)</f>
        <v>372</v>
      </c>
      <c r="BT21" s="691"/>
      <c r="BU21" s="117"/>
      <c r="BV21" s="117"/>
      <c r="BW21" s="117"/>
      <c r="BX21" s="150"/>
      <c r="BY21" s="117"/>
      <c r="BZ21" s="117"/>
      <c r="CA21" s="117"/>
      <c r="CB21" s="117"/>
      <c r="CC21" s="150"/>
      <c r="CD21" s="150"/>
      <c r="CE21" s="150"/>
      <c r="CF21" s="150"/>
      <c r="CG21" s="587"/>
    </row>
    <row r="22" spans="1:85" s="460" customFormat="1" ht="14.4" hidden="1" outlineLevel="1" x14ac:dyDescent="0.3">
      <c r="A22" s="591" t="s">
        <v>1603</v>
      </c>
      <c r="B22" s="586"/>
      <c r="C22" s="150"/>
      <c r="D22" s="150"/>
      <c r="E22" s="150"/>
      <c r="F22" s="150"/>
      <c r="G22" s="117"/>
      <c r="H22" s="117"/>
      <c r="I22" s="117"/>
      <c r="J22" s="117"/>
      <c r="K22" s="150"/>
      <c r="L22" s="117"/>
      <c r="M22" s="117"/>
      <c r="N22" s="117"/>
      <c r="O22" s="117"/>
      <c r="P22" s="150"/>
      <c r="Q22" s="117"/>
      <c r="R22" s="117"/>
      <c r="S22" s="117"/>
      <c r="T22" s="117"/>
      <c r="U22" s="150"/>
      <c r="V22" s="117"/>
      <c r="W22" s="117"/>
      <c r="X22" s="117"/>
      <c r="Y22" s="117"/>
      <c r="Z22" s="150"/>
      <c r="AA22" s="117"/>
      <c r="AB22" s="117"/>
      <c r="AC22" s="117"/>
      <c r="AD22" s="117"/>
      <c r="AE22" s="150"/>
      <c r="AF22" s="117"/>
      <c r="AG22" s="117"/>
      <c r="AH22" s="117"/>
      <c r="AI22" s="117"/>
      <c r="AJ22" s="150"/>
      <c r="AK22" s="117"/>
      <c r="AL22" s="117"/>
      <c r="AM22" s="117"/>
      <c r="AN22" s="117"/>
      <c r="AO22" s="975">
        <v>34</v>
      </c>
      <c r="AP22" s="117"/>
      <c r="AQ22" s="117"/>
      <c r="AR22" s="117"/>
      <c r="AS22" s="117"/>
      <c r="AT22" s="975">
        <v>0</v>
      </c>
      <c r="AU22" s="117"/>
      <c r="AV22" s="117"/>
      <c r="AW22" s="117"/>
      <c r="AX22" s="117"/>
      <c r="AY22" s="150"/>
      <c r="AZ22" s="117"/>
      <c r="BA22" s="117"/>
      <c r="BB22" s="117"/>
      <c r="BC22" s="117"/>
      <c r="BD22" s="150"/>
      <c r="BE22" s="117"/>
      <c r="BF22" s="117"/>
      <c r="BG22" s="117"/>
      <c r="BH22" s="117"/>
      <c r="BI22" s="150"/>
      <c r="BJ22" s="117"/>
      <c r="BK22" s="117"/>
      <c r="BL22" s="117"/>
      <c r="BM22" s="117"/>
      <c r="BN22" s="150"/>
      <c r="BO22" s="117"/>
      <c r="BP22" s="117"/>
      <c r="BQ22" s="117"/>
      <c r="BR22" s="117"/>
      <c r="BS22" s="150"/>
      <c r="BT22" s="691"/>
      <c r="BU22" s="117"/>
      <c r="BV22" s="117"/>
      <c r="BW22" s="117"/>
      <c r="BX22" s="150"/>
      <c r="BY22" s="117"/>
      <c r="BZ22" s="117"/>
      <c r="CA22" s="117"/>
      <c r="CB22" s="117"/>
      <c r="CC22" s="150"/>
      <c r="CD22" s="150"/>
      <c r="CE22" s="150"/>
      <c r="CF22" s="150"/>
      <c r="CG22" s="587"/>
    </row>
    <row r="23" spans="1:85" s="460" customFormat="1" ht="14.4" hidden="1" outlineLevel="1" x14ac:dyDescent="0.3">
      <c r="A23" s="591" t="s">
        <v>840</v>
      </c>
      <c r="B23" s="586"/>
      <c r="C23" s="150"/>
      <c r="D23" s="150"/>
      <c r="E23" s="150"/>
      <c r="F23" s="150"/>
      <c r="G23" s="117"/>
      <c r="H23" s="117"/>
      <c r="I23" s="117"/>
      <c r="J23" s="117"/>
      <c r="K23" s="150"/>
      <c r="L23" s="117"/>
      <c r="M23" s="117"/>
      <c r="N23" s="117"/>
      <c r="O23" s="117"/>
      <c r="P23" s="150"/>
      <c r="Q23" s="117"/>
      <c r="R23" s="117"/>
      <c r="S23" s="117"/>
      <c r="T23" s="117"/>
      <c r="U23" s="150"/>
      <c r="V23" s="117"/>
      <c r="W23" s="117"/>
      <c r="X23" s="117"/>
      <c r="Y23" s="117"/>
      <c r="Z23" s="150"/>
      <c r="AA23" s="117"/>
      <c r="AB23" s="117"/>
      <c r="AC23" s="117"/>
      <c r="AD23" s="117"/>
      <c r="AE23" s="150"/>
      <c r="AF23" s="117"/>
      <c r="AG23" s="117"/>
      <c r="AH23" s="117"/>
      <c r="AI23" s="117"/>
      <c r="AJ23" s="150"/>
      <c r="AK23" s="117"/>
      <c r="AL23" s="117"/>
      <c r="AM23" s="117"/>
      <c r="AN23" s="117"/>
      <c r="AO23" s="150"/>
      <c r="AP23" s="117"/>
      <c r="AQ23" s="117"/>
      <c r="AR23" s="117"/>
      <c r="AS23" s="117"/>
      <c r="AT23" s="975">
        <v>0</v>
      </c>
      <c r="AU23" s="117"/>
      <c r="AV23" s="117"/>
      <c r="AW23" s="117"/>
      <c r="AX23" s="117"/>
      <c r="AY23" s="975">
        <v>0</v>
      </c>
      <c r="AZ23" s="117"/>
      <c r="BA23" s="117"/>
      <c r="BB23" s="117"/>
      <c r="BC23" s="117"/>
      <c r="BD23" s="975">
        <v>0</v>
      </c>
      <c r="BE23" s="117"/>
      <c r="BF23" s="117"/>
      <c r="BG23" s="117"/>
      <c r="BH23" s="117"/>
      <c r="BI23" s="975">
        <v>0</v>
      </c>
      <c r="BJ23" s="117"/>
      <c r="BK23" s="117"/>
      <c r="BL23" s="117"/>
      <c r="BM23" s="117"/>
      <c r="BN23" s="975">
        <v>0</v>
      </c>
      <c r="BO23" s="117"/>
      <c r="BP23" s="117"/>
      <c r="BQ23" s="117"/>
      <c r="BR23" s="117"/>
      <c r="BS23" s="975">
        <v>22987</v>
      </c>
      <c r="BT23" s="691"/>
      <c r="BU23" s="117"/>
      <c r="BV23" s="117"/>
      <c r="BW23" s="117"/>
      <c r="BX23" s="150"/>
      <c r="BY23" s="117"/>
      <c r="BZ23" s="117"/>
      <c r="CA23" s="117"/>
      <c r="CB23" s="117"/>
      <c r="CC23" s="150"/>
      <c r="CD23" s="150"/>
      <c r="CE23" s="150"/>
      <c r="CF23" s="150"/>
      <c r="CG23" s="587"/>
    </row>
    <row r="24" spans="1:85" s="460" customFormat="1" ht="14.4" hidden="1" outlineLevel="1" x14ac:dyDescent="0.3">
      <c r="A24" s="591" t="s">
        <v>1604</v>
      </c>
      <c r="B24" s="586"/>
      <c r="C24" s="150"/>
      <c r="D24" s="150"/>
      <c r="E24" s="150"/>
      <c r="F24" s="150"/>
      <c r="G24" s="117"/>
      <c r="H24" s="117"/>
      <c r="I24" s="117"/>
      <c r="J24" s="117"/>
      <c r="K24" s="150"/>
      <c r="L24" s="117"/>
      <c r="M24" s="117"/>
      <c r="N24" s="117"/>
      <c r="O24" s="117"/>
      <c r="P24" s="150"/>
      <c r="Q24" s="117"/>
      <c r="R24" s="117"/>
      <c r="S24" s="117"/>
      <c r="T24" s="117"/>
      <c r="U24" s="150"/>
      <c r="V24" s="117"/>
      <c r="W24" s="117"/>
      <c r="X24" s="117"/>
      <c r="Y24" s="117"/>
      <c r="Z24" s="150"/>
      <c r="AA24" s="117"/>
      <c r="AB24" s="117"/>
      <c r="AC24" s="117"/>
      <c r="AD24" s="117"/>
      <c r="AE24" s="150"/>
      <c r="AF24" s="117"/>
      <c r="AG24" s="117"/>
      <c r="AH24" s="117"/>
      <c r="AI24" s="117"/>
      <c r="AJ24" s="150"/>
      <c r="AK24" s="117"/>
      <c r="AL24" s="117"/>
      <c r="AM24" s="117"/>
      <c r="AN24" s="117"/>
      <c r="AO24" s="975">
        <v>150</v>
      </c>
      <c r="AP24" s="117"/>
      <c r="AQ24" s="117"/>
      <c r="AR24" s="117"/>
      <c r="AS24" s="117"/>
      <c r="AT24" s="975">
        <v>2</v>
      </c>
      <c r="AU24" s="117"/>
      <c r="AV24" s="117"/>
      <c r="AW24" s="117"/>
      <c r="AX24" s="117"/>
      <c r="AY24" s="150"/>
      <c r="AZ24" s="117"/>
      <c r="BA24" s="117"/>
      <c r="BB24" s="117"/>
      <c r="BC24" s="117"/>
      <c r="BD24" s="150"/>
      <c r="BE24" s="117"/>
      <c r="BF24" s="117"/>
      <c r="BG24" s="117"/>
      <c r="BH24" s="117"/>
      <c r="BI24" s="150"/>
      <c r="BJ24" s="117"/>
      <c r="BK24" s="117"/>
      <c r="BL24" s="117"/>
      <c r="BM24" s="117"/>
      <c r="BN24" s="150"/>
      <c r="BO24" s="117"/>
      <c r="BP24" s="117"/>
      <c r="BQ24" s="117"/>
      <c r="BR24" s="117"/>
      <c r="BS24" s="150"/>
      <c r="BT24" s="691"/>
      <c r="BU24" s="117"/>
      <c r="BV24" s="117"/>
      <c r="BW24" s="117"/>
      <c r="BX24" s="150"/>
      <c r="BY24" s="117"/>
      <c r="BZ24" s="117"/>
      <c r="CA24" s="117"/>
      <c r="CB24" s="117"/>
      <c r="CC24" s="150"/>
      <c r="CD24" s="150"/>
      <c r="CE24" s="150"/>
      <c r="CF24" s="150"/>
      <c r="CG24" s="587"/>
    </row>
    <row r="25" spans="1:85" s="460" customFormat="1" ht="14.4" hidden="1" outlineLevel="1" x14ac:dyDescent="0.3">
      <c r="A25" s="592" t="s">
        <v>841</v>
      </c>
      <c r="B25" s="588"/>
      <c r="C25" s="954"/>
      <c r="D25" s="954"/>
      <c r="E25" s="954"/>
      <c r="F25" s="954"/>
      <c r="G25" s="133"/>
      <c r="H25" s="133"/>
      <c r="I25" s="133"/>
      <c r="J25" s="133"/>
      <c r="K25" s="954"/>
      <c r="L25" s="133"/>
      <c r="M25" s="133"/>
      <c r="N25" s="133"/>
      <c r="O25" s="133"/>
      <c r="P25" s="954"/>
      <c r="Q25" s="133"/>
      <c r="R25" s="133"/>
      <c r="S25" s="133"/>
      <c r="T25" s="133"/>
      <c r="U25" s="954"/>
      <c r="V25" s="133"/>
      <c r="W25" s="133"/>
      <c r="X25" s="133"/>
      <c r="Y25" s="133"/>
      <c r="Z25" s="954"/>
      <c r="AA25" s="133"/>
      <c r="AB25" s="133"/>
      <c r="AC25" s="133"/>
      <c r="AD25" s="133"/>
      <c r="AE25" s="954"/>
      <c r="AF25" s="133"/>
      <c r="AG25" s="133"/>
      <c r="AH25" s="133"/>
      <c r="AI25" s="133"/>
      <c r="AJ25" s="954"/>
      <c r="AK25" s="133"/>
      <c r="AL25" s="133"/>
      <c r="AM25" s="133"/>
      <c r="AN25" s="133"/>
      <c r="AO25" s="954"/>
      <c r="AP25" s="133"/>
      <c r="AQ25" s="133"/>
      <c r="AR25" s="133"/>
      <c r="AS25" s="133"/>
      <c r="AT25" s="976">
        <v>0</v>
      </c>
      <c r="AU25" s="133"/>
      <c r="AV25" s="133"/>
      <c r="AW25" s="133"/>
      <c r="AX25" s="133"/>
      <c r="AY25" s="976">
        <v>16</v>
      </c>
      <c r="AZ25" s="133"/>
      <c r="BA25" s="133"/>
      <c r="BB25" s="133"/>
      <c r="BC25" s="133"/>
      <c r="BD25" s="976">
        <v>78</v>
      </c>
      <c r="BE25" s="133"/>
      <c r="BF25" s="133"/>
      <c r="BG25" s="133"/>
      <c r="BH25" s="133"/>
      <c r="BI25" s="976">
        <v>1</v>
      </c>
      <c r="BJ25" s="133"/>
      <c r="BK25" s="133"/>
      <c r="BL25" s="133"/>
      <c r="BM25" s="133"/>
      <c r="BN25" s="976">
        <v>38</v>
      </c>
      <c r="BO25" s="133"/>
      <c r="BP25" s="133"/>
      <c r="BQ25" s="133"/>
      <c r="BR25" s="133"/>
      <c r="BS25" s="976">
        <v>28141</v>
      </c>
      <c r="BT25" s="692"/>
      <c r="BU25" s="133"/>
      <c r="BV25" s="133"/>
      <c r="BW25" s="133"/>
      <c r="BX25" s="954"/>
      <c r="BY25" s="133"/>
      <c r="BZ25" s="133"/>
      <c r="CA25" s="133"/>
      <c r="CB25" s="133"/>
      <c r="CC25" s="954"/>
      <c r="CD25" s="954"/>
      <c r="CE25" s="954"/>
      <c r="CF25" s="954"/>
      <c r="CG25" s="587"/>
    </row>
    <row r="26" spans="1:85" s="460" customFormat="1" ht="14.4" hidden="1" outlineLevel="1" x14ac:dyDescent="0.3">
      <c r="A26" s="159" t="s">
        <v>842</v>
      </c>
      <c r="B26" s="586"/>
      <c r="C26" s="150"/>
      <c r="D26" s="150"/>
      <c r="E26" s="150"/>
      <c r="F26" s="150"/>
      <c r="G26" s="117"/>
      <c r="H26" s="117"/>
      <c r="I26" s="117"/>
      <c r="J26" s="117"/>
      <c r="K26" s="150"/>
      <c r="L26" s="117"/>
      <c r="M26" s="117"/>
      <c r="N26" s="117"/>
      <c r="O26" s="117"/>
      <c r="P26" s="150"/>
      <c r="Q26" s="117"/>
      <c r="R26" s="117"/>
      <c r="S26" s="117"/>
      <c r="T26" s="117"/>
      <c r="U26" s="150"/>
      <c r="V26" s="117"/>
      <c r="W26" s="117"/>
      <c r="X26" s="117"/>
      <c r="Y26" s="117"/>
      <c r="Z26" s="150"/>
      <c r="AA26" s="117"/>
      <c r="AB26" s="117"/>
      <c r="AC26" s="117"/>
      <c r="AD26" s="117"/>
      <c r="AE26" s="150"/>
      <c r="AF26" s="117"/>
      <c r="AG26" s="117"/>
      <c r="AH26" s="117"/>
      <c r="AI26" s="117"/>
      <c r="AJ26" s="150"/>
      <c r="AK26" s="117"/>
      <c r="AL26" s="117"/>
      <c r="AM26" s="117"/>
      <c r="AN26" s="117"/>
      <c r="AO26" s="150">
        <f>SUM(AO22:AO25)</f>
        <v>184</v>
      </c>
      <c r="AP26" s="117"/>
      <c r="AQ26" s="117"/>
      <c r="AR26" s="117"/>
      <c r="AS26" s="117"/>
      <c r="AT26" s="150">
        <f>SUM(AT22:AT25)</f>
        <v>2</v>
      </c>
      <c r="AU26" s="117"/>
      <c r="AV26" s="117"/>
      <c r="AW26" s="117"/>
      <c r="AX26" s="117"/>
      <c r="AY26" s="150">
        <f>SUM(AY22:AY25)</f>
        <v>16</v>
      </c>
      <c r="AZ26" s="117"/>
      <c r="BA26" s="117"/>
      <c r="BB26" s="117"/>
      <c r="BC26" s="117"/>
      <c r="BD26" s="150">
        <f>SUM(BD22:BD25)</f>
        <v>78</v>
      </c>
      <c r="BE26" s="117"/>
      <c r="BF26" s="117"/>
      <c r="BG26" s="117"/>
      <c r="BH26" s="117"/>
      <c r="BI26" s="150">
        <f>SUM(BI22:BI25)</f>
        <v>1</v>
      </c>
      <c r="BJ26" s="117"/>
      <c r="BK26" s="117"/>
      <c r="BL26" s="117"/>
      <c r="BM26" s="117"/>
      <c r="BN26" s="150">
        <f>SUM(BN22:BN25)</f>
        <v>38</v>
      </c>
      <c r="BO26" s="117"/>
      <c r="BP26" s="117"/>
      <c r="BQ26" s="117"/>
      <c r="BR26" s="117"/>
      <c r="BS26" s="150">
        <f>SUM(BS22:BS25)</f>
        <v>51128</v>
      </c>
      <c r="BT26" s="691"/>
      <c r="BU26" s="117"/>
      <c r="BV26" s="117"/>
      <c r="BW26" s="117"/>
      <c r="BX26" s="150"/>
      <c r="BY26" s="117"/>
      <c r="BZ26" s="117"/>
      <c r="CA26" s="117"/>
      <c r="CB26" s="117"/>
      <c r="CC26" s="150"/>
      <c r="CD26" s="150"/>
      <c r="CE26" s="150"/>
      <c r="CF26" s="150"/>
      <c r="CG26" s="587"/>
    </row>
    <row r="27" spans="1:85" s="460" customFormat="1" ht="14.4" hidden="1" outlineLevel="1" x14ac:dyDescent="0.3">
      <c r="A27" s="262" t="s">
        <v>843</v>
      </c>
      <c r="B27" s="588"/>
      <c r="C27" s="954"/>
      <c r="D27" s="954"/>
      <c r="E27" s="954"/>
      <c r="F27" s="954"/>
      <c r="G27" s="133"/>
      <c r="H27" s="133"/>
      <c r="I27" s="133"/>
      <c r="J27" s="133"/>
      <c r="K27" s="954"/>
      <c r="L27" s="133"/>
      <c r="M27" s="133"/>
      <c r="N27" s="133"/>
      <c r="O27" s="133"/>
      <c r="P27" s="954"/>
      <c r="Q27" s="133"/>
      <c r="R27" s="133"/>
      <c r="S27" s="133"/>
      <c r="T27" s="133"/>
      <c r="U27" s="954"/>
      <c r="V27" s="133"/>
      <c r="W27" s="133"/>
      <c r="X27" s="133"/>
      <c r="Y27" s="133"/>
      <c r="Z27" s="954"/>
      <c r="AA27" s="133"/>
      <c r="AB27" s="133"/>
      <c r="AC27" s="133"/>
      <c r="AD27" s="133"/>
      <c r="AE27" s="954"/>
      <c r="AF27" s="133"/>
      <c r="AG27" s="133"/>
      <c r="AH27" s="133"/>
      <c r="AI27" s="133"/>
      <c r="AJ27" s="954"/>
      <c r="AK27" s="133"/>
      <c r="AL27" s="133"/>
      <c r="AM27" s="133"/>
      <c r="AN27" s="133"/>
      <c r="AO27" s="976">
        <v>1216</v>
      </c>
      <c r="AP27" s="133"/>
      <c r="AQ27" s="133"/>
      <c r="AR27" s="133"/>
      <c r="AS27" s="133"/>
      <c r="AT27" s="976">
        <v>740</v>
      </c>
      <c r="AU27" s="133"/>
      <c r="AV27" s="133"/>
      <c r="AW27" s="133"/>
      <c r="AX27" s="133"/>
      <c r="AY27" s="976">
        <v>640</v>
      </c>
      <c r="AZ27" s="133"/>
      <c r="BA27" s="133"/>
      <c r="BB27" s="133"/>
      <c r="BC27" s="133"/>
      <c r="BD27" s="976">
        <v>863</v>
      </c>
      <c r="BE27" s="133"/>
      <c r="BF27" s="133"/>
      <c r="BG27" s="133"/>
      <c r="BH27" s="133"/>
      <c r="BI27" s="976">
        <v>986</v>
      </c>
      <c r="BJ27" s="133"/>
      <c r="BK27" s="133"/>
      <c r="BL27" s="133"/>
      <c r="BM27" s="133"/>
      <c r="BN27" s="976">
        <v>1261</v>
      </c>
      <c r="BO27" s="133"/>
      <c r="BP27" s="133"/>
      <c r="BQ27" s="133"/>
      <c r="BR27" s="133"/>
      <c r="BS27" s="976">
        <v>2402</v>
      </c>
      <c r="BT27" s="692"/>
      <c r="BU27" s="133"/>
      <c r="BV27" s="133"/>
      <c r="BW27" s="133"/>
      <c r="BX27" s="954"/>
      <c r="BY27" s="133"/>
      <c r="BZ27" s="133"/>
      <c r="CA27" s="133"/>
      <c r="CB27" s="133"/>
      <c r="CC27" s="954"/>
      <c r="CD27" s="954"/>
      <c r="CE27" s="954"/>
      <c r="CF27" s="954"/>
      <c r="CG27" s="587"/>
    </row>
    <row r="28" spans="1:85" s="461" customFormat="1" ht="14.4" hidden="1" outlineLevel="1" x14ac:dyDescent="0.3">
      <c r="A28" s="166" t="s">
        <v>844</v>
      </c>
      <c r="B28" s="583"/>
      <c r="C28" s="957"/>
      <c r="D28" s="957"/>
      <c r="E28" s="957"/>
      <c r="F28" s="957"/>
      <c r="G28" s="120"/>
      <c r="H28" s="120"/>
      <c r="I28" s="120"/>
      <c r="J28" s="120"/>
      <c r="K28" s="957"/>
      <c r="L28" s="120"/>
      <c r="M28" s="120"/>
      <c r="N28" s="120"/>
      <c r="O28" s="120"/>
      <c r="P28" s="957"/>
      <c r="Q28" s="120"/>
      <c r="R28" s="120"/>
      <c r="S28" s="120"/>
      <c r="T28" s="120"/>
      <c r="U28" s="957"/>
      <c r="V28" s="120"/>
      <c r="W28" s="120"/>
      <c r="X28" s="120"/>
      <c r="Y28" s="120"/>
      <c r="Z28" s="957"/>
      <c r="AA28" s="120"/>
      <c r="AB28" s="120"/>
      <c r="AC28" s="120"/>
      <c r="AD28" s="120"/>
      <c r="AE28" s="957"/>
      <c r="AF28" s="120"/>
      <c r="AG28" s="120"/>
      <c r="AH28" s="120"/>
      <c r="AI28" s="120"/>
      <c r="AJ28" s="957"/>
      <c r="AK28" s="120"/>
      <c r="AL28" s="120"/>
      <c r="AM28" s="120"/>
      <c r="AN28" s="120"/>
      <c r="AO28" s="957">
        <f>AO21+AO26+AO27</f>
        <v>1614</v>
      </c>
      <c r="AP28" s="120"/>
      <c r="AQ28" s="120"/>
      <c r="AR28" s="120"/>
      <c r="AS28" s="120"/>
      <c r="AT28" s="957">
        <f>AT21+AT26+AT27</f>
        <v>1029</v>
      </c>
      <c r="AU28" s="120"/>
      <c r="AV28" s="120"/>
      <c r="AW28" s="120"/>
      <c r="AX28" s="120"/>
      <c r="AY28" s="957">
        <f>AY21+AY26+AY27</f>
        <v>825</v>
      </c>
      <c r="AZ28" s="120"/>
      <c r="BA28" s="120"/>
      <c r="BB28" s="120"/>
      <c r="BC28" s="120"/>
      <c r="BD28" s="957">
        <f>BD21+BD26+BD27</f>
        <v>1125</v>
      </c>
      <c r="BE28" s="120"/>
      <c r="BF28" s="120"/>
      <c r="BG28" s="120"/>
      <c r="BH28" s="120"/>
      <c r="BI28" s="957">
        <f>BI21+BI26+BI27</f>
        <v>1232</v>
      </c>
      <c r="BJ28" s="120"/>
      <c r="BK28" s="120"/>
      <c r="BL28" s="120"/>
      <c r="BM28" s="120"/>
      <c r="BN28" s="957">
        <f>BN21+BN26+BN27</f>
        <v>1444</v>
      </c>
      <c r="BO28" s="120"/>
      <c r="BP28" s="120"/>
      <c r="BQ28" s="120"/>
      <c r="BR28" s="120"/>
      <c r="BS28" s="957">
        <f>BS21+BS26+BS27</f>
        <v>53902</v>
      </c>
      <c r="BT28" s="694"/>
      <c r="BU28" s="120"/>
      <c r="BV28" s="120"/>
      <c r="BW28" s="120"/>
      <c r="BX28" s="957"/>
      <c r="BY28" s="120"/>
      <c r="BZ28" s="120"/>
      <c r="CA28" s="120"/>
      <c r="CB28" s="120"/>
      <c r="CC28" s="957"/>
      <c r="CD28" s="957"/>
      <c r="CE28" s="957"/>
      <c r="CF28" s="957"/>
      <c r="CG28" s="615"/>
    </row>
    <row r="29" spans="1:85" s="460" customFormat="1" ht="14.4" hidden="1" outlineLevel="1" x14ac:dyDescent="0.3">
      <c r="A29" s="591" t="s">
        <v>845</v>
      </c>
      <c r="B29" s="586"/>
      <c r="C29" s="150"/>
      <c r="D29" s="150"/>
      <c r="E29" s="150"/>
      <c r="F29" s="150"/>
      <c r="G29" s="117"/>
      <c r="H29" s="117"/>
      <c r="I29" s="117"/>
      <c r="J29" s="117"/>
      <c r="K29" s="150"/>
      <c r="L29" s="117"/>
      <c r="M29" s="117"/>
      <c r="N29" s="117"/>
      <c r="O29" s="117"/>
      <c r="P29" s="150"/>
      <c r="Q29" s="117"/>
      <c r="R29" s="117"/>
      <c r="S29" s="117"/>
      <c r="T29" s="117"/>
      <c r="U29" s="150"/>
      <c r="V29" s="117"/>
      <c r="W29" s="117"/>
      <c r="X29" s="117"/>
      <c r="Y29" s="117"/>
      <c r="Z29" s="150"/>
      <c r="AA29" s="117"/>
      <c r="AB29" s="117"/>
      <c r="AC29" s="117"/>
      <c r="AD29" s="117"/>
      <c r="AE29" s="150"/>
      <c r="AF29" s="117"/>
      <c r="AG29" s="117"/>
      <c r="AH29" s="117"/>
      <c r="AI29" s="117"/>
      <c r="AJ29" s="150"/>
      <c r="AK29" s="117"/>
      <c r="AL29" s="117"/>
      <c r="AM29" s="117"/>
      <c r="AN29" s="117"/>
      <c r="AO29" s="975">
        <v>9</v>
      </c>
      <c r="AP29" s="117"/>
      <c r="AQ29" s="117"/>
      <c r="AR29" s="117"/>
      <c r="AS29" s="117"/>
      <c r="AT29" s="975">
        <v>1</v>
      </c>
      <c r="AU29" s="117"/>
      <c r="AV29" s="117"/>
      <c r="AW29" s="117"/>
      <c r="AX29" s="117"/>
      <c r="AY29" s="975">
        <v>5</v>
      </c>
      <c r="AZ29" s="117"/>
      <c r="BA29" s="117"/>
      <c r="BB29" s="117"/>
      <c r="BC29" s="117"/>
      <c r="BD29" s="975">
        <v>78</v>
      </c>
      <c r="BE29" s="117"/>
      <c r="BF29" s="117"/>
      <c r="BG29" s="117"/>
      <c r="BH29" s="117"/>
      <c r="BI29" s="975">
        <v>36</v>
      </c>
      <c r="BJ29" s="117"/>
      <c r="BK29" s="117"/>
      <c r="BL29" s="117"/>
      <c r="BM29" s="117"/>
      <c r="BN29" s="975">
        <v>155</v>
      </c>
      <c r="BO29" s="117"/>
      <c r="BP29" s="117"/>
      <c r="BQ29" s="117"/>
      <c r="BR29" s="117"/>
      <c r="BS29" s="975">
        <v>109</v>
      </c>
      <c r="BT29" s="691"/>
      <c r="BU29" s="117"/>
      <c r="BV29" s="117"/>
      <c r="BW29" s="117"/>
      <c r="BX29" s="150"/>
      <c r="BY29" s="117"/>
      <c r="BZ29" s="117"/>
      <c r="CA29" s="117"/>
      <c r="CB29" s="117"/>
      <c r="CC29" s="150"/>
      <c r="CD29" s="150"/>
      <c r="CE29" s="150"/>
      <c r="CF29" s="150"/>
      <c r="CG29" s="587"/>
    </row>
    <row r="30" spans="1:85" s="460" customFormat="1" ht="14.4" hidden="1" outlineLevel="1" x14ac:dyDescent="0.3">
      <c r="A30" s="591" t="s">
        <v>846</v>
      </c>
      <c r="B30" s="586"/>
      <c r="C30" s="150"/>
      <c r="D30" s="150"/>
      <c r="E30" s="150"/>
      <c r="F30" s="150"/>
      <c r="G30" s="117"/>
      <c r="H30" s="117"/>
      <c r="I30" s="117"/>
      <c r="J30" s="117"/>
      <c r="K30" s="150"/>
      <c r="L30" s="117"/>
      <c r="M30" s="117"/>
      <c r="N30" s="117"/>
      <c r="O30" s="117"/>
      <c r="P30" s="150"/>
      <c r="Q30" s="117"/>
      <c r="R30" s="117"/>
      <c r="S30" s="117"/>
      <c r="T30" s="117"/>
      <c r="U30" s="150"/>
      <c r="V30" s="117"/>
      <c r="W30" s="117"/>
      <c r="X30" s="117"/>
      <c r="Y30" s="117"/>
      <c r="Z30" s="150"/>
      <c r="AA30" s="117"/>
      <c r="AB30" s="117"/>
      <c r="AC30" s="117"/>
      <c r="AD30" s="117"/>
      <c r="AE30" s="150"/>
      <c r="AF30" s="117"/>
      <c r="AG30" s="117"/>
      <c r="AH30" s="117"/>
      <c r="AI30" s="117"/>
      <c r="AJ30" s="150"/>
      <c r="AK30" s="117"/>
      <c r="AL30" s="117"/>
      <c r="AM30" s="117"/>
      <c r="AN30" s="117"/>
      <c r="AO30" s="975">
        <v>21</v>
      </c>
      <c r="AP30" s="117"/>
      <c r="AQ30" s="117"/>
      <c r="AR30" s="117"/>
      <c r="AS30" s="117"/>
      <c r="AT30" s="975">
        <v>58</v>
      </c>
      <c r="AU30" s="117"/>
      <c r="AV30" s="117"/>
      <c r="AW30" s="117"/>
      <c r="AX30" s="117"/>
      <c r="AY30" s="975">
        <v>40</v>
      </c>
      <c r="AZ30" s="117"/>
      <c r="BA30" s="117"/>
      <c r="BB30" s="117"/>
      <c r="BC30" s="117"/>
      <c r="BD30" s="975">
        <v>110</v>
      </c>
      <c r="BE30" s="117"/>
      <c r="BF30" s="117"/>
      <c r="BG30" s="117"/>
      <c r="BH30" s="117"/>
      <c r="BI30" s="975">
        <v>83</v>
      </c>
      <c r="BJ30" s="117"/>
      <c r="BK30" s="117"/>
      <c r="BL30" s="117"/>
      <c r="BM30" s="117"/>
      <c r="BN30" s="975">
        <v>47</v>
      </c>
      <c r="BO30" s="117"/>
      <c r="BP30" s="117"/>
      <c r="BQ30" s="117"/>
      <c r="BR30" s="117"/>
      <c r="BS30" s="975">
        <v>162</v>
      </c>
      <c r="BT30" s="691"/>
      <c r="BU30" s="117"/>
      <c r="BV30" s="117"/>
      <c r="BW30" s="117"/>
      <c r="BX30" s="150"/>
      <c r="BY30" s="117"/>
      <c r="BZ30" s="117"/>
      <c r="CA30" s="117"/>
      <c r="CB30" s="117"/>
      <c r="CC30" s="150"/>
      <c r="CD30" s="150"/>
      <c r="CE30" s="150"/>
      <c r="CF30" s="150"/>
      <c r="CG30" s="587"/>
    </row>
    <row r="31" spans="1:85" s="460" customFormat="1" ht="14.4" hidden="1" outlineLevel="1" x14ac:dyDescent="0.3">
      <c r="A31" s="592" t="s">
        <v>847</v>
      </c>
      <c r="B31" s="588"/>
      <c r="C31" s="954"/>
      <c r="D31" s="954"/>
      <c r="E31" s="954"/>
      <c r="F31" s="954"/>
      <c r="G31" s="133"/>
      <c r="H31" s="133"/>
      <c r="I31" s="133"/>
      <c r="J31" s="133"/>
      <c r="K31" s="954"/>
      <c r="L31" s="133"/>
      <c r="M31" s="133"/>
      <c r="N31" s="133"/>
      <c r="O31" s="133"/>
      <c r="P31" s="954"/>
      <c r="Q31" s="133"/>
      <c r="R31" s="133"/>
      <c r="S31" s="133"/>
      <c r="T31" s="133"/>
      <c r="U31" s="954"/>
      <c r="V31" s="133"/>
      <c r="W31" s="133"/>
      <c r="X31" s="133"/>
      <c r="Y31" s="133"/>
      <c r="Z31" s="954"/>
      <c r="AA31" s="133"/>
      <c r="AB31" s="133"/>
      <c r="AC31" s="133"/>
      <c r="AD31" s="133"/>
      <c r="AE31" s="954"/>
      <c r="AF31" s="133"/>
      <c r="AG31" s="133"/>
      <c r="AH31" s="133"/>
      <c r="AI31" s="133"/>
      <c r="AJ31" s="954"/>
      <c r="AK31" s="133"/>
      <c r="AL31" s="133"/>
      <c r="AM31" s="133"/>
      <c r="AN31" s="133"/>
      <c r="AO31" s="976">
        <v>35</v>
      </c>
      <c r="AP31" s="133"/>
      <c r="AQ31" s="133"/>
      <c r="AR31" s="133"/>
      <c r="AS31" s="133"/>
      <c r="AT31" s="976">
        <v>42</v>
      </c>
      <c r="AU31" s="133"/>
      <c r="AV31" s="133"/>
      <c r="AW31" s="133"/>
      <c r="AX31" s="133"/>
      <c r="AY31" s="976">
        <v>39</v>
      </c>
      <c r="AZ31" s="133"/>
      <c r="BA31" s="133"/>
      <c r="BB31" s="133"/>
      <c r="BC31" s="133"/>
      <c r="BD31" s="976">
        <v>75</v>
      </c>
      <c r="BE31" s="133"/>
      <c r="BF31" s="133"/>
      <c r="BG31" s="133"/>
      <c r="BH31" s="133"/>
      <c r="BI31" s="976">
        <v>57</v>
      </c>
      <c r="BJ31" s="133"/>
      <c r="BK31" s="133"/>
      <c r="BL31" s="133"/>
      <c r="BM31" s="133"/>
      <c r="BN31" s="976">
        <v>70</v>
      </c>
      <c r="BO31" s="133"/>
      <c r="BP31" s="133"/>
      <c r="BQ31" s="133"/>
      <c r="BR31" s="133"/>
      <c r="BS31" s="976">
        <v>92</v>
      </c>
      <c r="BT31" s="692"/>
      <c r="BU31" s="133"/>
      <c r="BV31" s="133"/>
      <c r="BW31" s="133"/>
      <c r="BX31" s="954"/>
      <c r="BY31" s="133"/>
      <c r="BZ31" s="133"/>
      <c r="CA31" s="133"/>
      <c r="CB31" s="133"/>
      <c r="CC31" s="954"/>
      <c r="CD31" s="954"/>
      <c r="CE31" s="954"/>
      <c r="CF31" s="954"/>
      <c r="CG31" s="587"/>
    </row>
    <row r="32" spans="1:85" s="460" customFormat="1" ht="14.4" hidden="1" outlineLevel="1" x14ac:dyDescent="0.3">
      <c r="A32" s="159" t="s">
        <v>848</v>
      </c>
      <c r="B32" s="586"/>
      <c r="C32" s="150"/>
      <c r="D32" s="150"/>
      <c r="E32" s="150"/>
      <c r="F32" s="150"/>
      <c r="G32" s="117"/>
      <c r="H32" s="117"/>
      <c r="I32" s="117"/>
      <c r="J32" s="117"/>
      <c r="K32" s="150"/>
      <c r="L32" s="117"/>
      <c r="M32" s="117"/>
      <c r="N32" s="117"/>
      <c r="O32" s="117"/>
      <c r="P32" s="150"/>
      <c r="Q32" s="117"/>
      <c r="R32" s="117"/>
      <c r="S32" s="117"/>
      <c r="T32" s="117"/>
      <c r="U32" s="150"/>
      <c r="V32" s="117"/>
      <c r="W32" s="117"/>
      <c r="X32" s="117"/>
      <c r="Y32" s="117"/>
      <c r="Z32" s="150"/>
      <c r="AA32" s="117"/>
      <c r="AB32" s="117"/>
      <c r="AC32" s="117"/>
      <c r="AD32" s="117"/>
      <c r="AE32" s="150"/>
      <c r="AF32" s="117"/>
      <c r="AG32" s="117"/>
      <c r="AH32" s="117"/>
      <c r="AI32" s="117"/>
      <c r="AJ32" s="150"/>
      <c r="AK32" s="117"/>
      <c r="AL32" s="117"/>
      <c r="AM32" s="117"/>
      <c r="AN32" s="117"/>
      <c r="AO32" s="150">
        <f>SUM(AO29:AO31)</f>
        <v>65</v>
      </c>
      <c r="AP32" s="117"/>
      <c r="AQ32" s="117"/>
      <c r="AR32" s="117"/>
      <c r="AS32" s="117"/>
      <c r="AT32" s="150">
        <f>SUM(AT29:AT31)</f>
        <v>101</v>
      </c>
      <c r="AU32" s="117"/>
      <c r="AV32" s="117"/>
      <c r="AW32" s="117"/>
      <c r="AX32" s="117"/>
      <c r="AY32" s="150">
        <f>SUM(AY29:AY31)</f>
        <v>84</v>
      </c>
      <c r="AZ32" s="117"/>
      <c r="BA32" s="117"/>
      <c r="BB32" s="117"/>
      <c r="BC32" s="117"/>
      <c r="BD32" s="150">
        <f>SUM(BD29:BD31)</f>
        <v>263</v>
      </c>
      <c r="BE32" s="117"/>
      <c r="BF32" s="117"/>
      <c r="BG32" s="117"/>
      <c r="BH32" s="117"/>
      <c r="BI32" s="150">
        <f>SUM(BI29:BI31)</f>
        <v>176</v>
      </c>
      <c r="BJ32" s="117"/>
      <c r="BK32" s="117"/>
      <c r="BL32" s="117"/>
      <c r="BM32" s="117"/>
      <c r="BN32" s="150">
        <f>SUM(BN29:BN31)</f>
        <v>272</v>
      </c>
      <c r="BO32" s="117"/>
      <c r="BP32" s="117"/>
      <c r="BQ32" s="117"/>
      <c r="BR32" s="117"/>
      <c r="BS32" s="150">
        <f>SUM(BS29:BS31)</f>
        <v>363</v>
      </c>
      <c r="BT32" s="691"/>
      <c r="BU32" s="117"/>
      <c r="BV32" s="117"/>
      <c r="BW32" s="117"/>
      <c r="BX32" s="150"/>
      <c r="BY32" s="117"/>
      <c r="BZ32" s="117"/>
      <c r="CA32" s="117"/>
      <c r="CB32" s="117"/>
      <c r="CC32" s="150"/>
      <c r="CD32" s="150"/>
      <c r="CE32" s="150"/>
      <c r="CF32" s="150"/>
      <c r="CG32" s="587"/>
    </row>
    <row r="33" spans="1:85" s="460" customFormat="1" ht="14.4" hidden="1" outlineLevel="1" x14ac:dyDescent="0.3">
      <c r="A33" s="591" t="s">
        <v>1606</v>
      </c>
      <c r="B33" s="586"/>
      <c r="C33" s="150"/>
      <c r="D33" s="150"/>
      <c r="E33" s="150"/>
      <c r="F33" s="150"/>
      <c r="G33" s="117"/>
      <c r="H33" s="117"/>
      <c r="I33" s="117"/>
      <c r="J33" s="117"/>
      <c r="K33" s="150"/>
      <c r="L33" s="117"/>
      <c r="M33" s="117"/>
      <c r="N33" s="117"/>
      <c r="O33" s="117"/>
      <c r="P33" s="150"/>
      <c r="Q33" s="117"/>
      <c r="R33" s="117"/>
      <c r="S33" s="117"/>
      <c r="T33" s="117"/>
      <c r="U33" s="150"/>
      <c r="V33" s="117"/>
      <c r="W33" s="117"/>
      <c r="X33" s="117"/>
      <c r="Y33" s="117"/>
      <c r="Z33" s="150"/>
      <c r="AA33" s="117"/>
      <c r="AB33" s="117"/>
      <c r="AC33" s="117"/>
      <c r="AD33" s="117"/>
      <c r="AE33" s="150"/>
      <c r="AF33" s="117"/>
      <c r="AG33" s="117"/>
      <c r="AH33" s="117"/>
      <c r="AI33" s="117"/>
      <c r="AJ33" s="150"/>
      <c r="AK33" s="117"/>
      <c r="AL33" s="117"/>
      <c r="AM33" s="117"/>
      <c r="AN33" s="117"/>
      <c r="AO33" s="150"/>
      <c r="AP33" s="117"/>
      <c r="AQ33" s="117"/>
      <c r="AR33" s="117"/>
      <c r="AS33" s="117"/>
      <c r="AT33" s="975">
        <v>438</v>
      </c>
      <c r="AU33" s="117"/>
      <c r="AV33" s="117"/>
      <c r="AW33" s="117"/>
      <c r="AX33" s="117"/>
      <c r="AY33" s="150"/>
      <c r="AZ33" s="117"/>
      <c r="BA33" s="117"/>
      <c r="BB33" s="117"/>
      <c r="BC33" s="117"/>
      <c r="BD33" s="150"/>
      <c r="BE33" s="117"/>
      <c r="BF33" s="117"/>
      <c r="BG33" s="117"/>
      <c r="BH33" s="117"/>
      <c r="BI33" s="150"/>
      <c r="BJ33" s="117"/>
      <c r="BK33" s="117"/>
      <c r="BL33" s="117"/>
      <c r="BM33" s="117"/>
      <c r="BN33" s="150"/>
      <c r="BO33" s="117"/>
      <c r="BP33" s="117"/>
      <c r="BQ33" s="117"/>
      <c r="BR33" s="117"/>
      <c r="BS33" s="150"/>
      <c r="BT33" s="691"/>
      <c r="BU33" s="117"/>
      <c r="BV33" s="117"/>
      <c r="BW33" s="117"/>
      <c r="BX33" s="150"/>
      <c r="BY33" s="117"/>
      <c r="BZ33" s="117"/>
      <c r="CA33" s="117"/>
      <c r="CB33" s="117"/>
      <c r="CC33" s="150"/>
      <c r="CD33" s="150"/>
      <c r="CE33" s="150"/>
      <c r="CF33" s="150"/>
      <c r="CG33" s="587"/>
    </row>
    <row r="34" spans="1:85" s="460" customFormat="1" ht="14.4" hidden="1" outlineLevel="1" x14ac:dyDescent="0.3">
      <c r="A34" s="591" t="s">
        <v>849</v>
      </c>
      <c r="B34" s="586"/>
      <c r="C34" s="150"/>
      <c r="D34" s="150"/>
      <c r="E34" s="150"/>
      <c r="F34" s="150"/>
      <c r="G34" s="117"/>
      <c r="H34" s="117"/>
      <c r="I34" s="117"/>
      <c r="J34" s="117"/>
      <c r="K34" s="150"/>
      <c r="L34" s="117"/>
      <c r="M34" s="117"/>
      <c r="N34" s="117"/>
      <c r="O34" s="117"/>
      <c r="P34" s="150"/>
      <c r="Q34" s="117"/>
      <c r="R34" s="117"/>
      <c r="S34" s="117"/>
      <c r="T34" s="117"/>
      <c r="U34" s="150"/>
      <c r="V34" s="117"/>
      <c r="W34" s="117"/>
      <c r="X34" s="117"/>
      <c r="Y34" s="117"/>
      <c r="Z34" s="150"/>
      <c r="AA34" s="117"/>
      <c r="AB34" s="117"/>
      <c r="AC34" s="117"/>
      <c r="AD34" s="117"/>
      <c r="AE34" s="150"/>
      <c r="AF34" s="117"/>
      <c r="AG34" s="117"/>
      <c r="AH34" s="117"/>
      <c r="AI34" s="117"/>
      <c r="AJ34" s="150"/>
      <c r="AK34" s="117"/>
      <c r="AL34" s="117"/>
      <c r="AM34" s="117"/>
      <c r="AN34" s="117"/>
      <c r="AO34" s="150"/>
      <c r="AP34" s="117"/>
      <c r="AQ34" s="117"/>
      <c r="AR34" s="117"/>
      <c r="AS34" s="117"/>
      <c r="AT34" s="975">
        <v>2</v>
      </c>
      <c r="AU34" s="117"/>
      <c r="AV34" s="117"/>
      <c r="AW34" s="117"/>
      <c r="AX34" s="117"/>
      <c r="AY34" s="975">
        <v>15</v>
      </c>
      <c r="AZ34" s="117"/>
      <c r="BA34" s="117"/>
      <c r="BB34" s="117"/>
      <c r="BC34" s="117"/>
      <c r="BD34" s="975">
        <v>63</v>
      </c>
      <c r="BE34" s="117"/>
      <c r="BF34" s="117"/>
      <c r="BG34" s="117"/>
      <c r="BH34" s="117"/>
      <c r="BI34" s="150"/>
      <c r="BJ34" s="117"/>
      <c r="BK34" s="117"/>
      <c r="BL34" s="117"/>
      <c r="BM34" s="117"/>
      <c r="BN34" s="975">
        <v>95</v>
      </c>
      <c r="BO34" s="117"/>
      <c r="BP34" s="117"/>
      <c r="BQ34" s="117"/>
      <c r="BR34" s="117"/>
      <c r="BS34" s="975">
        <v>0</v>
      </c>
      <c r="BT34" s="691"/>
      <c r="BU34" s="117"/>
      <c r="BV34" s="117"/>
      <c r="BW34" s="117"/>
      <c r="BX34" s="150"/>
      <c r="BY34" s="117"/>
      <c r="BZ34" s="117"/>
      <c r="CA34" s="117"/>
      <c r="CB34" s="117"/>
      <c r="CC34" s="150"/>
      <c r="CD34" s="150"/>
      <c r="CE34" s="150"/>
      <c r="CF34" s="150"/>
      <c r="CG34" s="587"/>
    </row>
    <row r="35" spans="1:85" s="460" customFormat="1" ht="14.4" hidden="1" outlineLevel="1" x14ac:dyDescent="0.3">
      <c r="A35" s="591" t="s">
        <v>1605</v>
      </c>
      <c r="B35" s="586"/>
      <c r="C35" s="150"/>
      <c r="D35" s="150"/>
      <c r="E35" s="150"/>
      <c r="F35" s="150"/>
      <c r="G35" s="117"/>
      <c r="H35" s="117"/>
      <c r="I35" s="117"/>
      <c r="J35" s="117"/>
      <c r="K35" s="150"/>
      <c r="L35" s="117"/>
      <c r="M35" s="117"/>
      <c r="N35" s="117"/>
      <c r="O35" s="117"/>
      <c r="P35" s="150"/>
      <c r="Q35" s="117"/>
      <c r="R35" s="117"/>
      <c r="S35" s="117"/>
      <c r="T35" s="117"/>
      <c r="U35" s="150"/>
      <c r="V35" s="117"/>
      <c r="W35" s="117"/>
      <c r="X35" s="117"/>
      <c r="Y35" s="117"/>
      <c r="Z35" s="150"/>
      <c r="AA35" s="117"/>
      <c r="AB35" s="117"/>
      <c r="AC35" s="117"/>
      <c r="AD35" s="117"/>
      <c r="AE35" s="150"/>
      <c r="AF35" s="117"/>
      <c r="AG35" s="117"/>
      <c r="AH35" s="117"/>
      <c r="AI35" s="117"/>
      <c r="AJ35" s="150"/>
      <c r="AK35" s="117"/>
      <c r="AL35" s="117"/>
      <c r="AM35" s="117"/>
      <c r="AN35" s="117"/>
      <c r="AO35" s="150"/>
      <c r="AP35" s="117"/>
      <c r="AQ35" s="117"/>
      <c r="AR35" s="117"/>
      <c r="AS35" s="117"/>
      <c r="AT35" s="975">
        <v>113</v>
      </c>
      <c r="AU35" s="117"/>
      <c r="AV35" s="117"/>
      <c r="AW35" s="117"/>
      <c r="AX35" s="117"/>
      <c r="AY35" s="150"/>
      <c r="AZ35" s="117"/>
      <c r="BA35" s="117"/>
      <c r="BB35" s="117"/>
      <c r="BC35" s="117"/>
      <c r="BD35" s="150"/>
      <c r="BE35" s="117"/>
      <c r="BF35" s="117"/>
      <c r="BG35" s="117"/>
      <c r="BH35" s="117"/>
      <c r="BI35" s="150"/>
      <c r="BJ35" s="117"/>
      <c r="BK35" s="117"/>
      <c r="BL35" s="117"/>
      <c r="BM35" s="117"/>
      <c r="BN35" s="150"/>
      <c r="BO35" s="117"/>
      <c r="BP35" s="117"/>
      <c r="BQ35" s="117"/>
      <c r="BR35" s="117"/>
      <c r="BS35" s="150"/>
      <c r="BT35" s="691"/>
      <c r="BU35" s="117"/>
      <c r="BV35" s="117"/>
      <c r="BW35" s="117"/>
      <c r="BX35" s="150"/>
      <c r="BY35" s="117"/>
      <c r="BZ35" s="117"/>
      <c r="CA35" s="117"/>
      <c r="CB35" s="117"/>
      <c r="CC35" s="150"/>
      <c r="CD35" s="150"/>
      <c r="CE35" s="150"/>
      <c r="CF35" s="150"/>
      <c r="CG35" s="587"/>
    </row>
    <row r="36" spans="1:85" s="460" customFormat="1" ht="14.4" hidden="1" outlineLevel="1" x14ac:dyDescent="0.3">
      <c r="A36" s="592" t="s">
        <v>850</v>
      </c>
      <c r="B36" s="588"/>
      <c r="C36" s="954"/>
      <c r="D36" s="954"/>
      <c r="E36" s="954"/>
      <c r="F36" s="954"/>
      <c r="G36" s="133"/>
      <c r="H36" s="133"/>
      <c r="I36" s="133"/>
      <c r="J36" s="133"/>
      <c r="K36" s="954"/>
      <c r="L36" s="133"/>
      <c r="M36" s="133"/>
      <c r="N36" s="133"/>
      <c r="O36" s="133"/>
      <c r="P36" s="954"/>
      <c r="Q36" s="133"/>
      <c r="R36" s="133"/>
      <c r="S36" s="133"/>
      <c r="T36" s="133"/>
      <c r="U36" s="954"/>
      <c r="V36" s="133"/>
      <c r="W36" s="133"/>
      <c r="X36" s="133"/>
      <c r="Y36" s="133"/>
      <c r="Z36" s="954"/>
      <c r="AA36" s="133"/>
      <c r="AB36" s="133"/>
      <c r="AC36" s="133"/>
      <c r="AD36" s="133"/>
      <c r="AE36" s="954"/>
      <c r="AF36" s="133"/>
      <c r="AG36" s="133"/>
      <c r="AH36" s="133"/>
      <c r="AI36" s="133"/>
      <c r="AJ36" s="954"/>
      <c r="AK36" s="133"/>
      <c r="AL36" s="133"/>
      <c r="AM36" s="133"/>
      <c r="AN36" s="133"/>
      <c r="AO36" s="954"/>
      <c r="AP36" s="133"/>
      <c r="AQ36" s="133"/>
      <c r="AR36" s="133"/>
      <c r="AS36" s="133"/>
      <c r="AT36" s="976">
        <v>10</v>
      </c>
      <c r="AU36" s="133"/>
      <c r="AV36" s="133"/>
      <c r="AW36" s="133"/>
      <c r="AX36" s="133"/>
      <c r="AY36" s="976">
        <v>0</v>
      </c>
      <c r="AZ36" s="133"/>
      <c r="BA36" s="133"/>
      <c r="BB36" s="133"/>
      <c r="BC36" s="133"/>
      <c r="BD36" s="976">
        <v>73</v>
      </c>
      <c r="BE36" s="133"/>
      <c r="BF36" s="133"/>
      <c r="BG36" s="133"/>
      <c r="BH36" s="133"/>
      <c r="BI36" s="954"/>
      <c r="BJ36" s="133"/>
      <c r="BK36" s="133"/>
      <c r="BL36" s="133"/>
      <c r="BM36" s="133"/>
      <c r="BN36" s="976">
        <v>22</v>
      </c>
      <c r="BO36" s="133"/>
      <c r="BP36" s="133"/>
      <c r="BQ36" s="133"/>
      <c r="BR36" s="133"/>
      <c r="BS36" s="976">
        <v>15</v>
      </c>
      <c r="BT36" s="692"/>
      <c r="BU36" s="133"/>
      <c r="BV36" s="133"/>
      <c r="BW36" s="133"/>
      <c r="BX36" s="954"/>
      <c r="BY36" s="133"/>
      <c r="BZ36" s="133"/>
      <c r="CA36" s="133"/>
      <c r="CB36" s="133"/>
      <c r="CC36" s="954"/>
      <c r="CD36" s="954"/>
      <c r="CE36" s="954"/>
      <c r="CF36" s="954"/>
      <c r="CG36" s="587"/>
    </row>
    <row r="37" spans="1:85" s="460" customFormat="1" ht="14.4" hidden="1" outlineLevel="1" x14ac:dyDescent="0.3">
      <c r="A37" s="159" t="s">
        <v>851</v>
      </c>
      <c r="B37" s="586"/>
      <c r="C37" s="150"/>
      <c r="D37" s="150"/>
      <c r="E37" s="150"/>
      <c r="F37" s="150"/>
      <c r="G37" s="117"/>
      <c r="H37" s="117"/>
      <c r="I37" s="117"/>
      <c r="J37" s="117"/>
      <c r="K37" s="150"/>
      <c r="L37" s="117"/>
      <c r="M37" s="117"/>
      <c r="N37" s="117"/>
      <c r="O37" s="117"/>
      <c r="P37" s="150"/>
      <c r="Q37" s="117"/>
      <c r="R37" s="117"/>
      <c r="S37" s="117"/>
      <c r="T37" s="117"/>
      <c r="U37" s="150"/>
      <c r="V37" s="117"/>
      <c r="W37" s="117"/>
      <c r="X37" s="117"/>
      <c r="Y37" s="117"/>
      <c r="Z37" s="150"/>
      <c r="AA37" s="117"/>
      <c r="AB37" s="117"/>
      <c r="AC37" s="117"/>
      <c r="AD37" s="117"/>
      <c r="AE37" s="150"/>
      <c r="AF37" s="117"/>
      <c r="AG37" s="117"/>
      <c r="AH37" s="117"/>
      <c r="AI37" s="117"/>
      <c r="AJ37" s="150"/>
      <c r="AK37" s="117"/>
      <c r="AL37" s="117"/>
      <c r="AM37" s="117"/>
      <c r="AN37" s="117"/>
      <c r="AO37" s="150">
        <f>SUM(AO34:AO36)</f>
        <v>0</v>
      </c>
      <c r="AP37" s="117"/>
      <c r="AQ37" s="117"/>
      <c r="AR37" s="117"/>
      <c r="AS37" s="117"/>
      <c r="AT37" s="150">
        <f>SUM(AT33:AT36)</f>
        <v>563</v>
      </c>
      <c r="AU37" s="117"/>
      <c r="AV37" s="117"/>
      <c r="AW37" s="117"/>
      <c r="AX37" s="117"/>
      <c r="AY37" s="150">
        <f>SUM(AY33:AY36)</f>
        <v>15</v>
      </c>
      <c r="AZ37" s="117"/>
      <c r="BA37" s="117"/>
      <c r="BB37" s="117"/>
      <c r="BC37" s="117"/>
      <c r="BD37" s="150">
        <f>SUM(BD33:BD36)</f>
        <v>136</v>
      </c>
      <c r="BE37" s="117"/>
      <c r="BF37" s="117"/>
      <c r="BG37" s="117"/>
      <c r="BH37" s="117"/>
      <c r="BI37" s="150">
        <f>SUM(BI33:BI36)</f>
        <v>0</v>
      </c>
      <c r="BJ37" s="117"/>
      <c r="BK37" s="117"/>
      <c r="BL37" s="117"/>
      <c r="BM37" s="117"/>
      <c r="BN37" s="150">
        <f>SUM(BN33:BN36)</f>
        <v>117</v>
      </c>
      <c r="BO37" s="117"/>
      <c r="BP37" s="117"/>
      <c r="BQ37" s="117"/>
      <c r="BR37" s="117"/>
      <c r="BS37" s="150">
        <f>SUM(BS33:BS36)</f>
        <v>15</v>
      </c>
      <c r="BT37" s="691"/>
      <c r="BU37" s="117"/>
      <c r="BV37" s="117"/>
      <c r="BW37" s="117"/>
      <c r="BX37" s="150"/>
      <c r="BY37" s="117"/>
      <c r="BZ37" s="117"/>
      <c r="CA37" s="117"/>
      <c r="CB37" s="117"/>
      <c r="CC37" s="150"/>
      <c r="CD37" s="150"/>
      <c r="CE37" s="150"/>
      <c r="CF37" s="150"/>
      <c r="CG37" s="587"/>
    </row>
    <row r="38" spans="1:85" s="460" customFormat="1" ht="14.4" hidden="1" outlineLevel="1" x14ac:dyDescent="0.3">
      <c r="A38" s="262" t="s">
        <v>852</v>
      </c>
      <c r="B38" s="588"/>
      <c r="C38" s="954"/>
      <c r="D38" s="954"/>
      <c r="E38" s="954"/>
      <c r="F38" s="954"/>
      <c r="G38" s="133"/>
      <c r="H38" s="133"/>
      <c r="I38" s="133"/>
      <c r="J38" s="133"/>
      <c r="K38" s="954"/>
      <c r="L38" s="133"/>
      <c r="M38" s="133"/>
      <c r="N38" s="133"/>
      <c r="O38" s="133"/>
      <c r="P38" s="954"/>
      <c r="Q38" s="133"/>
      <c r="R38" s="133"/>
      <c r="S38" s="133"/>
      <c r="T38" s="133"/>
      <c r="U38" s="954"/>
      <c r="V38" s="133"/>
      <c r="W38" s="133"/>
      <c r="X38" s="133"/>
      <c r="Y38" s="133"/>
      <c r="Z38" s="954"/>
      <c r="AA38" s="133"/>
      <c r="AB38" s="133"/>
      <c r="AC38" s="133"/>
      <c r="AD38" s="133"/>
      <c r="AE38" s="954"/>
      <c r="AF38" s="133"/>
      <c r="AG38" s="133"/>
      <c r="AH38" s="133"/>
      <c r="AI38" s="133"/>
      <c r="AJ38" s="954"/>
      <c r="AK38" s="133"/>
      <c r="AL38" s="133"/>
      <c r="AM38" s="133"/>
      <c r="AN38" s="133"/>
      <c r="AO38" s="976">
        <v>279</v>
      </c>
      <c r="AP38" s="133"/>
      <c r="AQ38" s="133"/>
      <c r="AR38" s="133"/>
      <c r="AS38" s="133"/>
      <c r="AT38" s="976">
        <v>386</v>
      </c>
      <c r="AU38" s="133"/>
      <c r="AV38" s="133"/>
      <c r="AW38" s="133"/>
      <c r="AX38" s="133"/>
      <c r="AY38" s="976">
        <v>383</v>
      </c>
      <c r="AZ38" s="133"/>
      <c r="BA38" s="133"/>
      <c r="BB38" s="133"/>
      <c r="BC38" s="133"/>
      <c r="BD38" s="976">
        <v>21</v>
      </c>
      <c r="BE38" s="133"/>
      <c r="BF38" s="133"/>
      <c r="BG38" s="133"/>
      <c r="BH38" s="133"/>
      <c r="BI38" s="976">
        <v>784</v>
      </c>
      <c r="BJ38" s="133"/>
      <c r="BK38" s="133"/>
      <c r="BL38" s="133"/>
      <c r="BM38" s="133"/>
      <c r="BN38" s="976">
        <v>895</v>
      </c>
      <c r="BO38" s="133"/>
      <c r="BP38" s="133"/>
      <c r="BQ38" s="133"/>
      <c r="BR38" s="133"/>
      <c r="BS38" s="976">
        <v>1390</v>
      </c>
      <c r="BT38" s="692"/>
      <c r="BU38" s="133"/>
      <c r="BV38" s="133"/>
      <c r="BW38" s="133"/>
      <c r="BX38" s="954"/>
      <c r="BY38" s="133"/>
      <c r="BZ38" s="133"/>
      <c r="CA38" s="133"/>
      <c r="CB38" s="133"/>
      <c r="CC38" s="954"/>
      <c r="CD38" s="954"/>
      <c r="CE38" s="954"/>
      <c r="CF38" s="954"/>
      <c r="CG38" s="587"/>
    </row>
    <row r="39" spans="1:85" s="461" customFormat="1" ht="14.4" hidden="1" outlineLevel="1" x14ac:dyDescent="0.3">
      <c r="A39" s="166" t="s">
        <v>853</v>
      </c>
      <c r="B39" s="583"/>
      <c r="C39" s="957"/>
      <c r="D39" s="957"/>
      <c r="E39" s="957"/>
      <c r="F39" s="957"/>
      <c r="G39" s="120"/>
      <c r="H39" s="120"/>
      <c r="I39" s="120"/>
      <c r="J39" s="120"/>
      <c r="K39" s="957"/>
      <c r="L39" s="120"/>
      <c r="M39" s="120"/>
      <c r="N39" s="120"/>
      <c r="O39" s="120"/>
      <c r="P39" s="957"/>
      <c r="Q39" s="120"/>
      <c r="R39" s="120"/>
      <c r="S39" s="120"/>
      <c r="T39" s="120"/>
      <c r="U39" s="957"/>
      <c r="V39" s="120"/>
      <c r="W39" s="120"/>
      <c r="X39" s="120"/>
      <c r="Y39" s="120"/>
      <c r="Z39" s="957"/>
      <c r="AA39" s="120"/>
      <c r="AB39" s="120"/>
      <c r="AC39" s="120"/>
      <c r="AD39" s="120"/>
      <c r="AE39" s="957"/>
      <c r="AF39" s="120"/>
      <c r="AG39" s="120"/>
      <c r="AH39" s="120"/>
      <c r="AI39" s="120"/>
      <c r="AJ39" s="957"/>
      <c r="AK39" s="120"/>
      <c r="AL39" s="120"/>
      <c r="AM39" s="120"/>
      <c r="AN39" s="120"/>
      <c r="AO39" s="957">
        <f>AO32+AO37+AO38</f>
        <v>344</v>
      </c>
      <c r="AP39" s="120"/>
      <c r="AQ39" s="120"/>
      <c r="AR39" s="120"/>
      <c r="AS39" s="120"/>
      <c r="AT39" s="957">
        <f>AT32+AT37+AT38</f>
        <v>1050</v>
      </c>
      <c r="AU39" s="120"/>
      <c r="AV39" s="120"/>
      <c r="AW39" s="120"/>
      <c r="AX39" s="120"/>
      <c r="AY39" s="957">
        <f>AY32+AY37+AY38</f>
        <v>482</v>
      </c>
      <c r="AZ39" s="120"/>
      <c r="BA39" s="120"/>
      <c r="BB39" s="120"/>
      <c r="BC39" s="120"/>
      <c r="BD39" s="957">
        <f>BD32+BD37+BD38</f>
        <v>420</v>
      </c>
      <c r="BE39" s="120"/>
      <c r="BF39" s="120"/>
      <c r="BG39" s="120"/>
      <c r="BH39" s="120"/>
      <c r="BI39" s="957">
        <f>BI32+BI37+BI38</f>
        <v>960</v>
      </c>
      <c r="BJ39" s="120"/>
      <c r="BK39" s="120"/>
      <c r="BL39" s="120"/>
      <c r="BM39" s="120"/>
      <c r="BN39" s="957">
        <f>BN32+BN37+BN38</f>
        <v>1284</v>
      </c>
      <c r="BO39" s="120"/>
      <c r="BP39" s="120"/>
      <c r="BQ39" s="120"/>
      <c r="BR39" s="120"/>
      <c r="BS39" s="957">
        <f>BS32+BS37+BS38</f>
        <v>1768</v>
      </c>
      <c r="BT39" s="694"/>
      <c r="BU39" s="120"/>
      <c r="BV39" s="120"/>
      <c r="BW39" s="120"/>
      <c r="BX39" s="957"/>
      <c r="BY39" s="120"/>
      <c r="BZ39" s="120"/>
      <c r="CA39" s="120"/>
      <c r="CB39" s="120"/>
      <c r="CC39" s="957"/>
      <c r="CD39" s="957"/>
      <c r="CE39" s="957"/>
      <c r="CF39" s="957"/>
      <c r="CG39" s="615"/>
    </row>
    <row r="40" spans="1:85" s="460" customFormat="1" ht="14.4" hidden="1" outlineLevel="1" x14ac:dyDescent="0.3">
      <c r="A40" s="591" t="s">
        <v>854</v>
      </c>
      <c r="B40" s="586"/>
      <c r="C40" s="150"/>
      <c r="D40" s="150"/>
      <c r="E40" s="150"/>
      <c r="F40" s="150"/>
      <c r="G40" s="117"/>
      <c r="H40" s="117"/>
      <c r="I40" s="117"/>
      <c r="J40" s="117"/>
      <c r="K40" s="150"/>
      <c r="L40" s="117"/>
      <c r="M40" s="117"/>
      <c r="N40" s="117"/>
      <c r="O40" s="117"/>
      <c r="P40" s="150"/>
      <c r="Q40" s="117"/>
      <c r="R40" s="117"/>
      <c r="S40" s="117"/>
      <c r="T40" s="117"/>
      <c r="U40" s="150"/>
      <c r="V40" s="117"/>
      <c r="W40" s="117"/>
      <c r="X40" s="117"/>
      <c r="Y40" s="117"/>
      <c r="Z40" s="150"/>
      <c r="AA40" s="117"/>
      <c r="AB40" s="117"/>
      <c r="AC40" s="117"/>
      <c r="AD40" s="117"/>
      <c r="AE40" s="150"/>
      <c r="AF40" s="117"/>
      <c r="AG40" s="117"/>
      <c r="AH40" s="117"/>
      <c r="AI40" s="117"/>
      <c r="AJ40" s="150"/>
      <c r="AK40" s="117"/>
      <c r="AL40" s="117"/>
      <c r="AM40" s="117"/>
      <c r="AN40" s="117"/>
      <c r="AO40" s="975">
        <v>2</v>
      </c>
      <c r="AP40" s="117"/>
      <c r="AQ40" s="117"/>
      <c r="AR40" s="117"/>
      <c r="AS40" s="117"/>
      <c r="AT40" s="975">
        <v>8</v>
      </c>
      <c r="AU40" s="117"/>
      <c r="AV40" s="117"/>
      <c r="AW40" s="117"/>
      <c r="AX40" s="117"/>
      <c r="AY40" s="975">
        <v>36</v>
      </c>
      <c r="AZ40" s="117"/>
      <c r="BA40" s="117"/>
      <c r="BB40" s="117"/>
      <c r="BC40" s="117"/>
      <c r="BD40" s="975">
        <v>34</v>
      </c>
      <c r="BE40" s="117"/>
      <c r="BF40" s="117"/>
      <c r="BG40" s="117"/>
      <c r="BH40" s="117"/>
      <c r="BI40" s="975">
        <v>111</v>
      </c>
      <c r="BJ40" s="117"/>
      <c r="BK40" s="117"/>
      <c r="BL40" s="117"/>
      <c r="BM40" s="117"/>
      <c r="BN40" s="975">
        <v>94</v>
      </c>
      <c r="BO40" s="117"/>
      <c r="BP40" s="117"/>
      <c r="BQ40" s="117"/>
      <c r="BR40" s="117"/>
      <c r="BS40" s="975">
        <v>32</v>
      </c>
      <c r="BT40" s="691"/>
      <c r="BU40" s="117"/>
      <c r="BV40" s="117"/>
      <c r="BW40" s="117"/>
      <c r="BX40" s="150"/>
      <c r="BY40" s="117"/>
      <c r="BZ40" s="117"/>
      <c r="CA40" s="117"/>
      <c r="CB40" s="117"/>
      <c r="CC40" s="150"/>
      <c r="CD40" s="150"/>
      <c r="CE40" s="150"/>
      <c r="CF40" s="150"/>
      <c r="CG40" s="587"/>
    </row>
    <row r="41" spans="1:85" s="460" customFormat="1" ht="14.4" hidden="1" outlineLevel="1" x14ac:dyDescent="0.3">
      <c r="A41" s="591" t="s">
        <v>855</v>
      </c>
      <c r="B41" s="586"/>
      <c r="C41" s="150"/>
      <c r="D41" s="150"/>
      <c r="E41" s="150"/>
      <c r="F41" s="150"/>
      <c r="G41" s="117"/>
      <c r="H41" s="117"/>
      <c r="I41" s="117"/>
      <c r="J41" s="117"/>
      <c r="K41" s="150"/>
      <c r="L41" s="117"/>
      <c r="M41" s="117"/>
      <c r="N41" s="117"/>
      <c r="O41" s="117"/>
      <c r="P41" s="150"/>
      <c r="Q41" s="117"/>
      <c r="R41" s="117"/>
      <c r="S41" s="117"/>
      <c r="T41" s="117"/>
      <c r="U41" s="150"/>
      <c r="V41" s="117"/>
      <c r="W41" s="117"/>
      <c r="X41" s="117"/>
      <c r="Y41" s="117"/>
      <c r="Z41" s="150"/>
      <c r="AA41" s="117"/>
      <c r="AB41" s="117"/>
      <c r="AC41" s="117"/>
      <c r="AD41" s="117"/>
      <c r="AE41" s="150"/>
      <c r="AF41" s="117"/>
      <c r="AG41" s="117"/>
      <c r="AH41" s="117"/>
      <c r="AI41" s="117"/>
      <c r="AJ41" s="150"/>
      <c r="AK41" s="117"/>
      <c r="AL41" s="117"/>
      <c r="AM41" s="117"/>
      <c r="AN41" s="117"/>
      <c r="AO41" s="975">
        <v>5</v>
      </c>
      <c r="AP41" s="117"/>
      <c r="AQ41" s="117"/>
      <c r="AR41" s="117"/>
      <c r="AS41" s="117"/>
      <c r="AT41" s="975">
        <v>3</v>
      </c>
      <c r="AU41" s="117"/>
      <c r="AV41" s="117"/>
      <c r="AW41" s="117"/>
      <c r="AX41" s="117"/>
      <c r="AY41" s="975">
        <v>0</v>
      </c>
      <c r="AZ41" s="117"/>
      <c r="BA41" s="117"/>
      <c r="BB41" s="117"/>
      <c r="BC41" s="117"/>
      <c r="BD41" s="975">
        <v>0</v>
      </c>
      <c r="BE41" s="117"/>
      <c r="BF41" s="117"/>
      <c r="BG41" s="117"/>
      <c r="BH41" s="117"/>
      <c r="BI41" s="975">
        <v>0</v>
      </c>
      <c r="BJ41" s="117"/>
      <c r="BK41" s="117"/>
      <c r="BL41" s="117"/>
      <c r="BM41" s="117"/>
      <c r="BN41" s="975">
        <v>23</v>
      </c>
      <c r="BO41" s="117"/>
      <c r="BP41" s="117"/>
      <c r="BQ41" s="117"/>
      <c r="BR41" s="117"/>
      <c r="BS41" s="975">
        <v>19</v>
      </c>
      <c r="BT41" s="691"/>
      <c r="BU41" s="117"/>
      <c r="BV41" s="117"/>
      <c r="BW41" s="117"/>
      <c r="BX41" s="150"/>
      <c r="BY41" s="117"/>
      <c r="BZ41" s="117"/>
      <c r="CA41" s="117"/>
      <c r="CB41" s="117"/>
      <c r="CC41" s="150"/>
      <c r="CD41" s="150"/>
      <c r="CE41" s="150"/>
      <c r="CF41" s="150"/>
      <c r="CG41" s="587"/>
    </row>
    <row r="42" spans="1:85" s="460" customFormat="1" ht="14.4" hidden="1" outlineLevel="1" x14ac:dyDescent="0.3">
      <c r="A42" s="592" t="s">
        <v>856</v>
      </c>
      <c r="B42" s="588"/>
      <c r="C42" s="954"/>
      <c r="D42" s="954"/>
      <c r="E42" s="954"/>
      <c r="F42" s="954"/>
      <c r="G42" s="133"/>
      <c r="H42" s="133"/>
      <c r="I42" s="133"/>
      <c r="J42" s="133"/>
      <c r="K42" s="954"/>
      <c r="L42" s="133"/>
      <c r="M42" s="133"/>
      <c r="N42" s="133"/>
      <c r="O42" s="133"/>
      <c r="P42" s="954"/>
      <c r="Q42" s="133"/>
      <c r="R42" s="133"/>
      <c r="S42" s="133"/>
      <c r="T42" s="133"/>
      <c r="U42" s="954"/>
      <c r="V42" s="133"/>
      <c r="W42" s="133"/>
      <c r="X42" s="133"/>
      <c r="Y42" s="133"/>
      <c r="Z42" s="954"/>
      <c r="AA42" s="133"/>
      <c r="AB42" s="133"/>
      <c r="AC42" s="133"/>
      <c r="AD42" s="133"/>
      <c r="AE42" s="954"/>
      <c r="AF42" s="133"/>
      <c r="AG42" s="133"/>
      <c r="AH42" s="133"/>
      <c r="AI42" s="133"/>
      <c r="AJ42" s="954"/>
      <c r="AK42" s="133"/>
      <c r="AL42" s="133"/>
      <c r="AM42" s="133"/>
      <c r="AN42" s="133"/>
      <c r="AO42" s="976">
        <v>29</v>
      </c>
      <c r="AP42" s="133"/>
      <c r="AQ42" s="133"/>
      <c r="AR42" s="133"/>
      <c r="AS42" s="133"/>
      <c r="AT42" s="976">
        <v>22</v>
      </c>
      <c r="AU42" s="133"/>
      <c r="AV42" s="133"/>
      <c r="AW42" s="133"/>
      <c r="AX42" s="133"/>
      <c r="AY42" s="976">
        <v>14</v>
      </c>
      <c r="AZ42" s="133"/>
      <c r="BA42" s="133"/>
      <c r="BB42" s="133"/>
      <c r="BC42" s="133"/>
      <c r="BD42" s="976">
        <v>30</v>
      </c>
      <c r="BE42" s="133"/>
      <c r="BF42" s="133"/>
      <c r="BG42" s="133"/>
      <c r="BH42" s="133"/>
      <c r="BI42" s="976">
        <v>15</v>
      </c>
      <c r="BJ42" s="133"/>
      <c r="BK42" s="133"/>
      <c r="BL42" s="133"/>
      <c r="BM42" s="133"/>
      <c r="BN42" s="976">
        <v>15</v>
      </c>
      <c r="BO42" s="133"/>
      <c r="BP42" s="133"/>
      <c r="BQ42" s="133"/>
      <c r="BR42" s="133"/>
      <c r="BS42" s="976">
        <v>21</v>
      </c>
      <c r="BT42" s="692"/>
      <c r="BU42" s="133"/>
      <c r="BV42" s="133"/>
      <c r="BW42" s="133"/>
      <c r="BX42" s="954"/>
      <c r="BY42" s="133"/>
      <c r="BZ42" s="133"/>
      <c r="CA42" s="133"/>
      <c r="CB42" s="133"/>
      <c r="CC42" s="954"/>
      <c r="CD42" s="954"/>
      <c r="CE42" s="954"/>
      <c r="CF42" s="954"/>
      <c r="CG42" s="587"/>
    </row>
    <row r="43" spans="1:85" s="460" customFormat="1" ht="14.4" hidden="1" outlineLevel="1" x14ac:dyDescent="0.3">
      <c r="A43" s="159" t="s">
        <v>857</v>
      </c>
      <c r="B43" s="586"/>
      <c r="C43" s="150"/>
      <c r="D43" s="150"/>
      <c r="E43" s="150"/>
      <c r="F43" s="150"/>
      <c r="G43" s="117"/>
      <c r="H43" s="117"/>
      <c r="I43" s="117"/>
      <c r="J43" s="117"/>
      <c r="K43" s="150"/>
      <c r="L43" s="117"/>
      <c r="M43" s="117"/>
      <c r="N43" s="117"/>
      <c r="O43" s="117"/>
      <c r="P43" s="150"/>
      <c r="Q43" s="117"/>
      <c r="R43" s="117"/>
      <c r="S43" s="117"/>
      <c r="T43" s="117"/>
      <c r="U43" s="150"/>
      <c r="V43" s="117"/>
      <c r="W43" s="117"/>
      <c r="X43" s="117"/>
      <c r="Y43" s="117"/>
      <c r="Z43" s="150"/>
      <c r="AA43" s="117"/>
      <c r="AB43" s="117"/>
      <c r="AC43" s="117"/>
      <c r="AD43" s="117"/>
      <c r="AE43" s="150"/>
      <c r="AF43" s="117"/>
      <c r="AG43" s="117"/>
      <c r="AH43" s="117"/>
      <c r="AI43" s="117"/>
      <c r="AJ43" s="150"/>
      <c r="AK43" s="117"/>
      <c r="AL43" s="117"/>
      <c r="AM43" s="117"/>
      <c r="AN43" s="117"/>
      <c r="AO43" s="150">
        <f>SUM(AO40:AO42)</f>
        <v>36</v>
      </c>
      <c r="AP43" s="117"/>
      <c r="AQ43" s="117"/>
      <c r="AR43" s="117"/>
      <c r="AS43" s="117"/>
      <c r="AT43" s="150">
        <f>SUM(AT40:AT42)</f>
        <v>33</v>
      </c>
      <c r="AU43" s="117"/>
      <c r="AV43" s="117"/>
      <c r="AW43" s="117"/>
      <c r="AX43" s="117"/>
      <c r="AY43" s="150">
        <f>SUM(AY40:AY42)</f>
        <v>50</v>
      </c>
      <c r="AZ43" s="117"/>
      <c r="BA43" s="117"/>
      <c r="BB43" s="117"/>
      <c r="BC43" s="117"/>
      <c r="BD43" s="150">
        <f>SUM(BD40:BD42)</f>
        <v>64</v>
      </c>
      <c r="BE43" s="117"/>
      <c r="BF43" s="117"/>
      <c r="BG43" s="117"/>
      <c r="BH43" s="117"/>
      <c r="BI43" s="150">
        <f>SUM(BI40:BI42)</f>
        <v>126</v>
      </c>
      <c r="BJ43" s="117"/>
      <c r="BK43" s="117"/>
      <c r="BL43" s="117"/>
      <c r="BM43" s="117"/>
      <c r="BN43" s="150">
        <f>SUM(BN40:BN42)</f>
        <v>132</v>
      </c>
      <c r="BO43" s="117"/>
      <c r="BP43" s="117"/>
      <c r="BQ43" s="117"/>
      <c r="BR43" s="117"/>
      <c r="BS43" s="150">
        <f>SUM(BS40:BS42)</f>
        <v>72</v>
      </c>
      <c r="BT43" s="691"/>
      <c r="BU43" s="117"/>
      <c r="BV43" s="117"/>
      <c r="BW43" s="117"/>
      <c r="BX43" s="150"/>
      <c r="BY43" s="117"/>
      <c r="BZ43" s="117"/>
      <c r="CA43" s="117"/>
      <c r="CB43" s="117"/>
      <c r="CC43" s="150"/>
      <c r="CD43" s="150"/>
      <c r="CE43" s="150"/>
      <c r="CF43" s="150"/>
      <c r="CG43" s="587"/>
    </row>
    <row r="44" spans="1:85" s="460" customFormat="1" ht="14.4" hidden="1" outlineLevel="1" x14ac:dyDescent="0.3">
      <c r="A44" s="591" t="s">
        <v>1607</v>
      </c>
      <c r="B44" s="586"/>
      <c r="C44" s="150"/>
      <c r="D44" s="150"/>
      <c r="E44" s="150"/>
      <c r="F44" s="150"/>
      <c r="G44" s="117"/>
      <c r="H44" s="117"/>
      <c r="I44" s="117"/>
      <c r="J44" s="117"/>
      <c r="K44" s="150"/>
      <c r="L44" s="117"/>
      <c r="M44" s="117"/>
      <c r="N44" s="117"/>
      <c r="O44" s="117"/>
      <c r="P44" s="150"/>
      <c r="Q44" s="117"/>
      <c r="R44" s="117"/>
      <c r="S44" s="117"/>
      <c r="T44" s="117"/>
      <c r="U44" s="150"/>
      <c r="V44" s="117"/>
      <c r="W44" s="117"/>
      <c r="X44" s="117"/>
      <c r="Y44" s="117"/>
      <c r="Z44" s="150"/>
      <c r="AA44" s="117"/>
      <c r="AB44" s="117"/>
      <c r="AC44" s="117"/>
      <c r="AD44" s="117"/>
      <c r="AE44" s="150"/>
      <c r="AF44" s="117"/>
      <c r="AG44" s="117"/>
      <c r="AH44" s="117"/>
      <c r="AI44" s="117"/>
      <c r="AJ44" s="150"/>
      <c r="AK44" s="117"/>
      <c r="AL44" s="117"/>
      <c r="AM44" s="117"/>
      <c r="AN44" s="117"/>
      <c r="AO44" s="975">
        <v>93</v>
      </c>
      <c r="AP44" s="117"/>
      <c r="AQ44" s="117"/>
      <c r="AR44" s="117"/>
      <c r="AS44" s="117"/>
      <c r="AT44" s="975">
        <v>7945</v>
      </c>
      <c r="AU44" s="117"/>
      <c r="AV44" s="117"/>
      <c r="AW44" s="117"/>
      <c r="AX44" s="117"/>
      <c r="AY44" s="150"/>
      <c r="AZ44" s="117"/>
      <c r="BA44" s="117"/>
      <c r="BB44" s="117"/>
      <c r="BC44" s="117"/>
      <c r="BD44" s="150"/>
      <c r="BE44" s="117"/>
      <c r="BF44" s="117"/>
      <c r="BG44" s="117"/>
      <c r="BH44" s="117"/>
      <c r="BI44" s="150"/>
      <c r="BJ44" s="117"/>
      <c r="BK44" s="117"/>
      <c r="BL44" s="117"/>
      <c r="BM44" s="117"/>
      <c r="BN44" s="150"/>
      <c r="BO44" s="117"/>
      <c r="BP44" s="117"/>
      <c r="BQ44" s="117"/>
      <c r="BR44" s="117"/>
      <c r="BS44" s="150"/>
      <c r="BT44" s="691"/>
      <c r="BU44" s="117"/>
      <c r="BV44" s="117"/>
      <c r="BW44" s="117"/>
      <c r="BX44" s="150"/>
      <c r="BY44" s="117"/>
      <c r="BZ44" s="117"/>
      <c r="CA44" s="117"/>
      <c r="CB44" s="117"/>
      <c r="CC44" s="150"/>
      <c r="CD44" s="150"/>
      <c r="CE44" s="150"/>
      <c r="CF44" s="150"/>
      <c r="CG44" s="587"/>
    </row>
    <row r="45" spans="1:85" s="460" customFormat="1" ht="14.4" hidden="1" outlineLevel="1" x14ac:dyDescent="0.3">
      <c r="A45" s="591" t="s">
        <v>858</v>
      </c>
      <c r="B45" s="586"/>
      <c r="C45" s="150"/>
      <c r="D45" s="150"/>
      <c r="E45" s="150"/>
      <c r="F45" s="150"/>
      <c r="G45" s="117"/>
      <c r="H45" s="117"/>
      <c r="I45" s="117"/>
      <c r="J45" s="117"/>
      <c r="K45" s="150"/>
      <c r="L45" s="117"/>
      <c r="M45" s="117"/>
      <c r="N45" s="117"/>
      <c r="O45" s="117"/>
      <c r="P45" s="150"/>
      <c r="Q45" s="117"/>
      <c r="R45" s="117"/>
      <c r="S45" s="117"/>
      <c r="T45" s="117"/>
      <c r="U45" s="150"/>
      <c r="V45" s="117"/>
      <c r="W45" s="117"/>
      <c r="X45" s="117"/>
      <c r="Y45" s="117"/>
      <c r="Z45" s="150"/>
      <c r="AA45" s="117"/>
      <c r="AB45" s="117"/>
      <c r="AC45" s="117"/>
      <c r="AD45" s="117"/>
      <c r="AE45" s="150"/>
      <c r="AF45" s="117"/>
      <c r="AG45" s="117"/>
      <c r="AH45" s="117"/>
      <c r="AI45" s="117"/>
      <c r="AJ45" s="150"/>
      <c r="AK45" s="117"/>
      <c r="AL45" s="117"/>
      <c r="AM45" s="117"/>
      <c r="AN45" s="117"/>
      <c r="AO45" s="150"/>
      <c r="AP45" s="117"/>
      <c r="AQ45" s="117"/>
      <c r="AR45" s="117"/>
      <c r="AS45" s="117"/>
      <c r="AT45" s="975">
        <v>56</v>
      </c>
      <c r="AU45" s="117"/>
      <c r="AV45" s="117"/>
      <c r="AW45" s="117"/>
      <c r="AX45" s="117"/>
      <c r="AY45" s="975">
        <v>53</v>
      </c>
      <c r="AZ45" s="117"/>
      <c r="BA45" s="117"/>
      <c r="BB45" s="117"/>
      <c r="BC45" s="117"/>
      <c r="BD45" s="975">
        <v>13</v>
      </c>
      <c r="BE45" s="117"/>
      <c r="BF45" s="117"/>
      <c r="BG45" s="117"/>
      <c r="BH45" s="117"/>
      <c r="BI45" s="150"/>
      <c r="BJ45" s="117"/>
      <c r="BK45" s="117"/>
      <c r="BL45" s="117"/>
      <c r="BM45" s="117"/>
      <c r="BN45" s="975">
        <v>0</v>
      </c>
      <c r="BO45" s="117"/>
      <c r="BP45" s="117"/>
      <c r="BQ45" s="117"/>
      <c r="BR45" s="117"/>
      <c r="BS45" s="975">
        <v>838</v>
      </c>
      <c r="BT45" s="691"/>
      <c r="BU45" s="117"/>
      <c r="BV45" s="117"/>
      <c r="BW45" s="117"/>
      <c r="BX45" s="150"/>
      <c r="BY45" s="117"/>
      <c r="BZ45" s="117"/>
      <c r="CA45" s="117"/>
      <c r="CB45" s="117"/>
      <c r="CC45" s="150"/>
      <c r="CD45" s="150"/>
      <c r="CE45" s="150"/>
      <c r="CF45" s="150"/>
      <c r="CG45" s="587"/>
    </row>
    <row r="46" spans="1:85" s="460" customFormat="1" ht="14.4" hidden="1" outlineLevel="1" x14ac:dyDescent="0.3">
      <c r="A46" s="591" t="s">
        <v>1608</v>
      </c>
      <c r="B46" s="586"/>
      <c r="C46" s="150"/>
      <c r="D46" s="150"/>
      <c r="E46" s="150"/>
      <c r="F46" s="150"/>
      <c r="G46" s="117"/>
      <c r="H46" s="117"/>
      <c r="I46" s="117"/>
      <c r="J46" s="117"/>
      <c r="K46" s="150"/>
      <c r="L46" s="117"/>
      <c r="M46" s="117"/>
      <c r="N46" s="117"/>
      <c r="O46" s="117"/>
      <c r="P46" s="150"/>
      <c r="Q46" s="117"/>
      <c r="R46" s="117"/>
      <c r="S46" s="117"/>
      <c r="T46" s="117"/>
      <c r="U46" s="150"/>
      <c r="V46" s="117"/>
      <c r="W46" s="117"/>
      <c r="X46" s="117"/>
      <c r="Y46" s="117"/>
      <c r="Z46" s="150"/>
      <c r="AA46" s="117"/>
      <c r="AB46" s="117"/>
      <c r="AC46" s="117"/>
      <c r="AD46" s="117"/>
      <c r="AE46" s="150"/>
      <c r="AF46" s="117"/>
      <c r="AG46" s="117"/>
      <c r="AH46" s="117"/>
      <c r="AI46" s="117"/>
      <c r="AJ46" s="150"/>
      <c r="AK46" s="117"/>
      <c r="AL46" s="117"/>
      <c r="AM46" s="117"/>
      <c r="AN46" s="117"/>
      <c r="AO46" s="975">
        <v>17</v>
      </c>
      <c r="AP46" s="117"/>
      <c r="AQ46" s="117"/>
      <c r="AR46" s="117"/>
      <c r="AS46" s="117"/>
      <c r="AT46" s="975">
        <v>129</v>
      </c>
      <c r="AU46" s="117"/>
      <c r="AV46" s="117"/>
      <c r="AW46" s="117"/>
      <c r="AX46" s="117"/>
      <c r="AY46" s="150"/>
      <c r="AZ46" s="117"/>
      <c r="BA46" s="117"/>
      <c r="BB46" s="117"/>
      <c r="BC46" s="117"/>
      <c r="BD46" s="150"/>
      <c r="BE46" s="117"/>
      <c r="BF46" s="117"/>
      <c r="BG46" s="117"/>
      <c r="BH46" s="117"/>
      <c r="BI46" s="150"/>
      <c r="BJ46" s="117"/>
      <c r="BK46" s="117"/>
      <c r="BL46" s="117"/>
      <c r="BM46" s="117"/>
      <c r="BN46" s="150"/>
      <c r="BO46" s="117"/>
      <c r="BP46" s="117"/>
      <c r="BQ46" s="117"/>
      <c r="BR46" s="117"/>
      <c r="BS46" s="150"/>
      <c r="BT46" s="691"/>
      <c r="BU46" s="117"/>
      <c r="BV46" s="117"/>
      <c r="BW46" s="117"/>
      <c r="BX46" s="150"/>
      <c r="BY46" s="117"/>
      <c r="BZ46" s="117"/>
      <c r="CA46" s="117"/>
      <c r="CB46" s="117"/>
      <c r="CC46" s="150"/>
      <c r="CD46" s="150"/>
      <c r="CE46" s="150"/>
      <c r="CF46" s="150"/>
      <c r="CG46" s="587"/>
    </row>
    <row r="47" spans="1:85" s="460" customFormat="1" ht="14.4" hidden="1" outlineLevel="1" x14ac:dyDescent="0.3">
      <c r="A47" s="592" t="s">
        <v>859</v>
      </c>
      <c r="B47" s="588"/>
      <c r="C47" s="954"/>
      <c r="D47" s="954"/>
      <c r="E47" s="954"/>
      <c r="F47" s="954"/>
      <c r="G47" s="133"/>
      <c r="H47" s="133"/>
      <c r="I47" s="133"/>
      <c r="J47" s="133"/>
      <c r="K47" s="954"/>
      <c r="L47" s="133"/>
      <c r="M47" s="133"/>
      <c r="N47" s="133"/>
      <c r="O47" s="133"/>
      <c r="P47" s="954"/>
      <c r="Q47" s="133"/>
      <c r="R47" s="133"/>
      <c r="S47" s="133"/>
      <c r="T47" s="133"/>
      <c r="U47" s="954"/>
      <c r="V47" s="133"/>
      <c r="W47" s="133"/>
      <c r="X47" s="133"/>
      <c r="Y47" s="133"/>
      <c r="Z47" s="954"/>
      <c r="AA47" s="133"/>
      <c r="AB47" s="133"/>
      <c r="AC47" s="133"/>
      <c r="AD47" s="133"/>
      <c r="AE47" s="954"/>
      <c r="AF47" s="133"/>
      <c r="AG47" s="133"/>
      <c r="AH47" s="133"/>
      <c r="AI47" s="133"/>
      <c r="AJ47" s="954"/>
      <c r="AK47" s="133"/>
      <c r="AL47" s="133"/>
      <c r="AM47" s="133"/>
      <c r="AN47" s="133"/>
      <c r="AO47" s="954"/>
      <c r="AP47" s="133"/>
      <c r="AQ47" s="133"/>
      <c r="AR47" s="133"/>
      <c r="AS47" s="133"/>
      <c r="AT47" s="976">
        <v>0</v>
      </c>
      <c r="AU47" s="133"/>
      <c r="AV47" s="133"/>
      <c r="AW47" s="133"/>
      <c r="AX47" s="133"/>
      <c r="AY47" s="976">
        <v>0</v>
      </c>
      <c r="AZ47" s="133"/>
      <c r="BA47" s="133"/>
      <c r="BB47" s="133"/>
      <c r="BC47" s="133"/>
      <c r="BD47" s="976">
        <v>0</v>
      </c>
      <c r="BE47" s="133"/>
      <c r="BF47" s="133"/>
      <c r="BG47" s="133"/>
      <c r="BH47" s="133"/>
      <c r="BI47" s="976">
        <v>3</v>
      </c>
      <c r="BJ47" s="133"/>
      <c r="BK47" s="133"/>
      <c r="BL47" s="133"/>
      <c r="BM47" s="133"/>
      <c r="BN47" s="976">
        <v>0</v>
      </c>
      <c r="BO47" s="133"/>
      <c r="BP47" s="133"/>
      <c r="BQ47" s="133"/>
      <c r="BR47" s="133"/>
      <c r="BS47" s="976">
        <v>0</v>
      </c>
      <c r="BT47" s="692"/>
      <c r="BU47" s="133"/>
      <c r="BV47" s="133"/>
      <c r="BW47" s="133"/>
      <c r="BX47" s="954"/>
      <c r="BY47" s="133"/>
      <c r="BZ47" s="133"/>
      <c r="CA47" s="133"/>
      <c r="CB47" s="133"/>
      <c r="CC47" s="954"/>
      <c r="CD47" s="954"/>
      <c r="CE47" s="954"/>
      <c r="CF47" s="954"/>
      <c r="CG47" s="587"/>
    </row>
    <row r="48" spans="1:85" s="460" customFormat="1" ht="14.4" hidden="1" outlineLevel="1" x14ac:dyDescent="0.3">
      <c r="A48" s="159" t="s">
        <v>860</v>
      </c>
      <c r="B48" s="586"/>
      <c r="C48" s="150"/>
      <c r="D48" s="150"/>
      <c r="E48" s="150"/>
      <c r="F48" s="150"/>
      <c r="G48" s="117"/>
      <c r="H48" s="117"/>
      <c r="I48" s="117"/>
      <c r="J48" s="117"/>
      <c r="K48" s="150"/>
      <c r="L48" s="117"/>
      <c r="M48" s="117"/>
      <c r="N48" s="117"/>
      <c r="O48" s="117"/>
      <c r="P48" s="150"/>
      <c r="Q48" s="117"/>
      <c r="R48" s="117"/>
      <c r="S48" s="117"/>
      <c r="T48" s="117"/>
      <c r="U48" s="150"/>
      <c r="V48" s="117"/>
      <c r="W48" s="117"/>
      <c r="X48" s="117"/>
      <c r="Y48" s="117"/>
      <c r="Z48" s="150"/>
      <c r="AA48" s="117"/>
      <c r="AB48" s="117"/>
      <c r="AC48" s="117"/>
      <c r="AD48" s="117"/>
      <c r="AE48" s="150"/>
      <c r="AF48" s="117"/>
      <c r="AG48" s="117"/>
      <c r="AH48" s="117"/>
      <c r="AI48" s="117"/>
      <c r="AJ48" s="150"/>
      <c r="AK48" s="117"/>
      <c r="AL48" s="117"/>
      <c r="AM48" s="117"/>
      <c r="AN48" s="117"/>
      <c r="AO48" s="150">
        <f>SUM(AO44:AO47)</f>
        <v>110</v>
      </c>
      <c r="AP48" s="117"/>
      <c r="AQ48" s="117"/>
      <c r="AR48" s="117"/>
      <c r="AS48" s="117"/>
      <c r="AT48" s="150">
        <f>SUM(AT44:AT47)</f>
        <v>8130</v>
      </c>
      <c r="AU48" s="117"/>
      <c r="AV48" s="117"/>
      <c r="AW48" s="117"/>
      <c r="AX48" s="117"/>
      <c r="AY48" s="150">
        <f>SUM(AY44:AY47)</f>
        <v>53</v>
      </c>
      <c r="AZ48" s="117"/>
      <c r="BA48" s="117"/>
      <c r="BB48" s="117"/>
      <c r="BC48" s="117"/>
      <c r="BD48" s="150">
        <f>SUM(BD44:BD47)</f>
        <v>13</v>
      </c>
      <c r="BE48" s="117"/>
      <c r="BF48" s="117"/>
      <c r="BG48" s="117"/>
      <c r="BH48" s="117"/>
      <c r="BI48" s="150">
        <f>SUM(BI44:BI47)</f>
        <v>3</v>
      </c>
      <c r="BJ48" s="117"/>
      <c r="BK48" s="117"/>
      <c r="BL48" s="117"/>
      <c r="BM48" s="117"/>
      <c r="BN48" s="150">
        <f>SUM(BN44:BN47)</f>
        <v>0</v>
      </c>
      <c r="BO48" s="117"/>
      <c r="BP48" s="117"/>
      <c r="BQ48" s="117"/>
      <c r="BR48" s="117"/>
      <c r="BS48" s="150">
        <f>SUM(BS44:BS47)</f>
        <v>838</v>
      </c>
      <c r="BT48" s="691"/>
      <c r="BU48" s="117"/>
      <c r="BV48" s="117"/>
      <c r="BW48" s="117"/>
      <c r="BX48" s="150"/>
      <c r="BY48" s="117"/>
      <c r="BZ48" s="117"/>
      <c r="CA48" s="117"/>
      <c r="CB48" s="117"/>
      <c r="CC48" s="150"/>
      <c r="CD48" s="150"/>
      <c r="CE48" s="150"/>
      <c r="CF48" s="150"/>
      <c r="CG48" s="587"/>
    </row>
    <row r="49" spans="1:85" s="460" customFormat="1" ht="14.4" hidden="1" outlineLevel="1" x14ac:dyDescent="0.3">
      <c r="A49" s="262" t="s">
        <v>861</v>
      </c>
      <c r="B49" s="588"/>
      <c r="C49" s="954"/>
      <c r="D49" s="954"/>
      <c r="E49" s="954"/>
      <c r="F49" s="954"/>
      <c r="G49" s="133"/>
      <c r="H49" s="133"/>
      <c r="I49" s="133"/>
      <c r="J49" s="133"/>
      <c r="K49" s="954"/>
      <c r="L49" s="133"/>
      <c r="M49" s="133"/>
      <c r="N49" s="133"/>
      <c r="O49" s="133"/>
      <c r="P49" s="954"/>
      <c r="Q49" s="133"/>
      <c r="R49" s="133"/>
      <c r="S49" s="133"/>
      <c r="T49" s="133"/>
      <c r="U49" s="954"/>
      <c r="V49" s="133"/>
      <c r="W49" s="133"/>
      <c r="X49" s="133"/>
      <c r="Y49" s="133"/>
      <c r="Z49" s="954"/>
      <c r="AA49" s="133"/>
      <c r="AB49" s="133"/>
      <c r="AC49" s="133"/>
      <c r="AD49" s="133"/>
      <c r="AE49" s="954"/>
      <c r="AF49" s="133"/>
      <c r="AG49" s="133"/>
      <c r="AH49" s="133"/>
      <c r="AI49" s="133"/>
      <c r="AJ49" s="954"/>
      <c r="AK49" s="133"/>
      <c r="AL49" s="133"/>
      <c r="AM49" s="133"/>
      <c r="AN49" s="133"/>
      <c r="AO49" s="976">
        <v>1020</v>
      </c>
      <c r="AP49" s="133"/>
      <c r="AQ49" s="133"/>
      <c r="AR49" s="133"/>
      <c r="AS49" s="133"/>
      <c r="AT49" s="976">
        <v>1034</v>
      </c>
      <c r="AU49" s="133"/>
      <c r="AV49" s="133"/>
      <c r="AW49" s="133"/>
      <c r="AX49" s="133"/>
      <c r="AY49" s="976">
        <v>545</v>
      </c>
      <c r="AZ49" s="133"/>
      <c r="BA49" s="133"/>
      <c r="BB49" s="133"/>
      <c r="BC49" s="133"/>
      <c r="BD49" s="976">
        <v>649</v>
      </c>
      <c r="BE49" s="133"/>
      <c r="BF49" s="133"/>
      <c r="BG49" s="133"/>
      <c r="BH49" s="133"/>
      <c r="BI49" s="976">
        <v>619</v>
      </c>
      <c r="BJ49" s="133"/>
      <c r="BK49" s="133"/>
      <c r="BL49" s="133"/>
      <c r="BM49" s="133"/>
      <c r="BN49" s="976">
        <v>774</v>
      </c>
      <c r="BO49" s="133"/>
      <c r="BP49" s="133"/>
      <c r="BQ49" s="133"/>
      <c r="BR49" s="133"/>
      <c r="BS49" s="976">
        <v>1180</v>
      </c>
      <c r="BT49" s="692"/>
      <c r="BU49" s="133"/>
      <c r="BV49" s="133"/>
      <c r="BW49" s="133"/>
      <c r="BX49" s="954"/>
      <c r="BY49" s="133"/>
      <c r="BZ49" s="133"/>
      <c r="CA49" s="133"/>
      <c r="CB49" s="133"/>
      <c r="CC49" s="954"/>
      <c r="CD49" s="954"/>
      <c r="CE49" s="954"/>
      <c r="CF49" s="954"/>
      <c r="CG49" s="587"/>
    </row>
    <row r="50" spans="1:85" s="461" customFormat="1" ht="14.4" hidden="1" outlineLevel="1" x14ac:dyDescent="0.3">
      <c r="A50" s="166" t="s">
        <v>862</v>
      </c>
      <c r="B50" s="583"/>
      <c r="C50" s="957"/>
      <c r="D50" s="957"/>
      <c r="E50" s="957"/>
      <c r="F50" s="957"/>
      <c r="G50" s="120"/>
      <c r="H50" s="120"/>
      <c r="I50" s="120"/>
      <c r="J50" s="120"/>
      <c r="K50" s="957"/>
      <c r="L50" s="120"/>
      <c r="M50" s="120"/>
      <c r="N50" s="120"/>
      <c r="O50" s="120"/>
      <c r="P50" s="957"/>
      <c r="Q50" s="120"/>
      <c r="R50" s="120"/>
      <c r="S50" s="120"/>
      <c r="T50" s="120"/>
      <c r="U50" s="957"/>
      <c r="V50" s="120"/>
      <c r="W50" s="120"/>
      <c r="X50" s="120"/>
      <c r="Y50" s="120"/>
      <c r="Z50" s="957"/>
      <c r="AA50" s="120"/>
      <c r="AB50" s="120"/>
      <c r="AC50" s="120"/>
      <c r="AD50" s="120"/>
      <c r="AE50" s="957"/>
      <c r="AF50" s="120"/>
      <c r="AG50" s="120"/>
      <c r="AH50" s="120"/>
      <c r="AI50" s="120"/>
      <c r="AJ50" s="957"/>
      <c r="AK50" s="120"/>
      <c r="AL50" s="120"/>
      <c r="AM50" s="120"/>
      <c r="AN50" s="120"/>
      <c r="AO50" s="957">
        <f>AO43+AO48+AO49</f>
        <v>1166</v>
      </c>
      <c r="AP50" s="120"/>
      <c r="AQ50" s="120"/>
      <c r="AR50" s="120"/>
      <c r="AS50" s="120"/>
      <c r="AT50" s="957">
        <f>AT43+AT48+AT49</f>
        <v>9197</v>
      </c>
      <c r="AU50" s="120"/>
      <c r="AV50" s="120"/>
      <c r="AW50" s="120"/>
      <c r="AX50" s="120"/>
      <c r="AY50" s="957">
        <f>AY43+AY48+AY49</f>
        <v>648</v>
      </c>
      <c r="AZ50" s="120"/>
      <c r="BA50" s="120"/>
      <c r="BB50" s="120"/>
      <c r="BC50" s="120"/>
      <c r="BD50" s="957">
        <f>BD43+BD48+BD49</f>
        <v>726</v>
      </c>
      <c r="BE50" s="120"/>
      <c r="BF50" s="120"/>
      <c r="BG50" s="120"/>
      <c r="BH50" s="120"/>
      <c r="BI50" s="957">
        <f>BI43+BI48+BI49</f>
        <v>748</v>
      </c>
      <c r="BJ50" s="120"/>
      <c r="BK50" s="120"/>
      <c r="BL50" s="120"/>
      <c r="BM50" s="120"/>
      <c r="BN50" s="957">
        <f>BN43+BN48+BN49</f>
        <v>906</v>
      </c>
      <c r="BO50" s="120"/>
      <c r="BP50" s="120"/>
      <c r="BQ50" s="120"/>
      <c r="BR50" s="120"/>
      <c r="BS50" s="957">
        <f>BS43+BS48+BS49</f>
        <v>2090</v>
      </c>
      <c r="BT50" s="694"/>
      <c r="BU50" s="120"/>
      <c r="BV50" s="120"/>
      <c r="BW50" s="120"/>
      <c r="BX50" s="957"/>
      <c r="BY50" s="120"/>
      <c r="BZ50" s="120"/>
      <c r="CA50" s="120"/>
      <c r="CB50" s="120"/>
      <c r="CC50" s="957"/>
      <c r="CD50" s="957"/>
      <c r="CE50" s="957"/>
      <c r="CF50" s="957"/>
      <c r="CG50" s="615"/>
    </row>
    <row r="51" spans="1:85" s="460" customFormat="1" ht="14.4" hidden="1" outlineLevel="1" x14ac:dyDescent="0.3">
      <c r="A51" s="591" t="s">
        <v>863</v>
      </c>
      <c r="B51" s="586"/>
      <c r="C51" s="150"/>
      <c r="D51" s="150"/>
      <c r="E51" s="150"/>
      <c r="F51" s="150"/>
      <c r="G51" s="117"/>
      <c r="H51" s="117"/>
      <c r="I51" s="117"/>
      <c r="J51" s="117"/>
      <c r="K51" s="150"/>
      <c r="L51" s="117"/>
      <c r="M51" s="117"/>
      <c r="N51" s="117"/>
      <c r="O51" s="117"/>
      <c r="P51" s="150"/>
      <c r="Q51" s="117"/>
      <c r="R51" s="117"/>
      <c r="S51" s="117"/>
      <c r="T51" s="117"/>
      <c r="U51" s="150"/>
      <c r="V51" s="117"/>
      <c r="W51" s="117"/>
      <c r="X51" s="117"/>
      <c r="Y51" s="117"/>
      <c r="Z51" s="150"/>
      <c r="AA51" s="117"/>
      <c r="AB51" s="117"/>
      <c r="AC51" s="117"/>
      <c r="AD51" s="117"/>
      <c r="AE51" s="150"/>
      <c r="AF51" s="117"/>
      <c r="AG51" s="117"/>
      <c r="AH51" s="117"/>
      <c r="AI51" s="117"/>
      <c r="AJ51" s="150"/>
      <c r="AK51" s="117"/>
      <c r="AL51" s="117"/>
      <c r="AM51" s="117"/>
      <c r="AN51" s="117"/>
      <c r="AO51" s="975">
        <v>4</v>
      </c>
      <c r="AP51" s="117"/>
      <c r="AQ51" s="117"/>
      <c r="AR51" s="117"/>
      <c r="AS51" s="117"/>
      <c r="AT51" s="975">
        <v>1</v>
      </c>
      <c r="AU51" s="117"/>
      <c r="AV51" s="117"/>
      <c r="AW51" s="117"/>
      <c r="AX51" s="117"/>
      <c r="AY51" s="975">
        <v>0</v>
      </c>
      <c r="AZ51" s="117"/>
      <c r="BA51" s="117"/>
      <c r="BB51" s="117"/>
      <c r="BC51" s="117"/>
      <c r="BD51" s="975">
        <v>4</v>
      </c>
      <c r="BE51" s="117"/>
      <c r="BF51" s="117"/>
      <c r="BG51" s="117"/>
      <c r="BH51" s="117"/>
      <c r="BI51" s="975">
        <v>11</v>
      </c>
      <c r="BJ51" s="117"/>
      <c r="BK51" s="117"/>
      <c r="BL51" s="117"/>
      <c r="BM51" s="117"/>
      <c r="BN51" s="975">
        <v>4</v>
      </c>
      <c r="BO51" s="117"/>
      <c r="BP51" s="117"/>
      <c r="BQ51" s="117"/>
      <c r="BR51" s="117"/>
      <c r="BS51" s="975">
        <v>82</v>
      </c>
      <c r="BT51" s="691"/>
      <c r="BU51" s="117"/>
      <c r="BV51" s="117"/>
      <c r="BW51" s="117"/>
      <c r="BX51" s="150"/>
      <c r="BY51" s="117"/>
      <c r="BZ51" s="117"/>
      <c r="CA51" s="117"/>
      <c r="CB51" s="117"/>
      <c r="CC51" s="150"/>
      <c r="CD51" s="150"/>
      <c r="CE51" s="150"/>
      <c r="CF51" s="150"/>
      <c r="CG51" s="587"/>
    </row>
    <row r="52" spans="1:85" s="460" customFormat="1" ht="14.4" hidden="1" outlineLevel="1" x14ac:dyDescent="0.3">
      <c r="A52" s="591" t="s">
        <v>871</v>
      </c>
      <c r="B52" s="586"/>
      <c r="C52" s="150"/>
      <c r="D52" s="150"/>
      <c r="E52" s="150"/>
      <c r="F52" s="150"/>
      <c r="G52" s="117"/>
      <c r="H52" s="117"/>
      <c r="I52" s="117"/>
      <c r="J52" s="117"/>
      <c r="K52" s="150"/>
      <c r="L52" s="117"/>
      <c r="M52" s="117"/>
      <c r="N52" s="117"/>
      <c r="O52" s="117"/>
      <c r="P52" s="150"/>
      <c r="Q52" s="117"/>
      <c r="R52" s="117"/>
      <c r="S52" s="117"/>
      <c r="T52" s="117"/>
      <c r="U52" s="150"/>
      <c r="V52" s="117"/>
      <c r="W52" s="117"/>
      <c r="X52" s="117"/>
      <c r="Y52" s="117"/>
      <c r="Z52" s="150"/>
      <c r="AA52" s="117"/>
      <c r="AB52" s="117"/>
      <c r="AC52" s="117"/>
      <c r="AD52" s="117"/>
      <c r="AE52" s="150"/>
      <c r="AF52" s="117"/>
      <c r="AG52" s="117"/>
      <c r="AH52" s="117"/>
      <c r="AI52" s="117"/>
      <c r="AJ52" s="150"/>
      <c r="AK52" s="117"/>
      <c r="AL52" s="117"/>
      <c r="AM52" s="117"/>
      <c r="AN52" s="117"/>
      <c r="AO52" s="975">
        <v>11</v>
      </c>
      <c r="AP52" s="117"/>
      <c r="AQ52" s="117"/>
      <c r="AR52" s="117"/>
      <c r="AS52" s="117"/>
      <c r="AT52" s="975">
        <v>12</v>
      </c>
      <c r="AU52" s="117"/>
      <c r="AV52" s="117"/>
      <c r="AW52" s="117"/>
      <c r="AX52" s="117"/>
      <c r="AY52" s="975">
        <v>22</v>
      </c>
      <c r="AZ52" s="117"/>
      <c r="BA52" s="117"/>
      <c r="BB52" s="117"/>
      <c r="BC52" s="117"/>
      <c r="BD52" s="975">
        <v>1</v>
      </c>
      <c r="BE52" s="117"/>
      <c r="BF52" s="117"/>
      <c r="BG52" s="117"/>
      <c r="BH52" s="117"/>
      <c r="BI52" s="975">
        <v>0</v>
      </c>
      <c r="BJ52" s="117"/>
      <c r="BK52" s="117"/>
      <c r="BL52" s="117"/>
      <c r="BM52" s="117"/>
      <c r="BN52" s="975">
        <v>3</v>
      </c>
      <c r="BO52" s="117"/>
      <c r="BP52" s="117"/>
      <c r="BQ52" s="117"/>
      <c r="BR52" s="117"/>
      <c r="BS52" s="975">
        <v>2</v>
      </c>
      <c r="BT52" s="691"/>
      <c r="BU52" s="117"/>
      <c r="BV52" s="117"/>
      <c r="BW52" s="117"/>
      <c r="BX52" s="150"/>
      <c r="BY52" s="117"/>
      <c r="BZ52" s="117"/>
      <c r="CA52" s="117"/>
      <c r="CB52" s="117"/>
      <c r="CC52" s="150"/>
      <c r="CD52" s="150"/>
      <c r="CE52" s="150"/>
      <c r="CF52" s="150"/>
      <c r="CG52" s="587"/>
    </row>
    <row r="53" spans="1:85" s="460" customFormat="1" ht="14.4" hidden="1" outlineLevel="1" x14ac:dyDescent="0.3">
      <c r="A53" s="592" t="s">
        <v>870</v>
      </c>
      <c r="B53" s="588"/>
      <c r="C53" s="954"/>
      <c r="D53" s="954"/>
      <c r="E53" s="954"/>
      <c r="F53" s="954"/>
      <c r="G53" s="133"/>
      <c r="H53" s="133"/>
      <c r="I53" s="133"/>
      <c r="J53" s="133"/>
      <c r="K53" s="954"/>
      <c r="L53" s="133"/>
      <c r="M53" s="133"/>
      <c r="N53" s="133"/>
      <c r="O53" s="133"/>
      <c r="P53" s="954"/>
      <c r="Q53" s="133"/>
      <c r="R53" s="133"/>
      <c r="S53" s="133"/>
      <c r="T53" s="133"/>
      <c r="U53" s="954"/>
      <c r="V53" s="133"/>
      <c r="W53" s="133"/>
      <c r="X53" s="133"/>
      <c r="Y53" s="133"/>
      <c r="Z53" s="954"/>
      <c r="AA53" s="133"/>
      <c r="AB53" s="133"/>
      <c r="AC53" s="133"/>
      <c r="AD53" s="133"/>
      <c r="AE53" s="954"/>
      <c r="AF53" s="133"/>
      <c r="AG53" s="133"/>
      <c r="AH53" s="133"/>
      <c r="AI53" s="133"/>
      <c r="AJ53" s="954"/>
      <c r="AK53" s="133"/>
      <c r="AL53" s="133"/>
      <c r="AM53" s="133"/>
      <c r="AN53" s="133"/>
      <c r="AO53" s="976">
        <v>44</v>
      </c>
      <c r="AP53" s="133"/>
      <c r="AQ53" s="133"/>
      <c r="AR53" s="133"/>
      <c r="AS53" s="133"/>
      <c r="AT53" s="976">
        <v>39</v>
      </c>
      <c r="AU53" s="133"/>
      <c r="AV53" s="133"/>
      <c r="AW53" s="133"/>
      <c r="AX53" s="133"/>
      <c r="AY53" s="976">
        <v>25</v>
      </c>
      <c r="AZ53" s="133"/>
      <c r="BA53" s="133"/>
      <c r="BB53" s="133"/>
      <c r="BC53" s="133"/>
      <c r="BD53" s="976">
        <v>27</v>
      </c>
      <c r="BE53" s="133"/>
      <c r="BF53" s="133"/>
      <c r="BG53" s="133"/>
      <c r="BH53" s="133"/>
      <c r="BI53" s="976">
        <v>32</v>
      </c>
      <c r="BJ53" s="133"/>
      <c r="BK53" s="133"/>
      <c r="BL53" s="133"/>
      <c r="BM53" s="133"/>
      <c r="BN53" s="976">
        <v>30</v>
      </c>
      <c r="BO53" s="133"/>
      <c r="BP53" s="133"/>
      <c r="BQ53" s="133"/>
      <c r="BR53" s="133"/>
      <c r="BS53" s="976">
        <v>28</v>
      </c>
      <c r="BT53" s="692"/>
      <c r="BU53" s="133"/>
      <c r="BV53" s="133"/>
      <c r="BW53" s="133"/>
      <c r="BX53" s="954"/>
      <c r="BY53" s="133"/>
      <c r="BZ53" s="133"/>
      <c r="CA53" s="133"/>
      <c r="CB53" s="133"/>
      <c r="CC53" s="954"/>
      <c r="CD53" s="954"/>
      <c r="CE53" s="954"/>
      <c r="CF53" s="954"/>
      <c r="CG53" s="587"/>
    </row>
    <row r="54" spans="1:85" s="460" customFormat="1" ht="14.4" hidden="1" outlineLevel="1" x14ac:dyDescent="0.3">
      <c r="A54" s="159" t="s">
        <v>865</v>
      </c>
      <c r="B54" s="586"/>
      <c r="C54" s="150"/>
      <c r="D54" s="150"/>
      <c r="E54" s="150"/>
      <c r="F54" s="150"/>
      <c r="G54" s="117"/>
      <c r="H54" s="117"/>
      <c r="I54" s="117"/>
      <c r="J54" s="117"/>
      <c r="K54" s="150"/>
      <c r="L54" s="117"/>
      <c r="M54" s="117"/>
      <c r="N54" s="117"/>
      <c r="O54" s="117"/>
      <c r="P54" s="150"/>
      <c r="Q54" s="117"/>
      <c r="R54" s="117"/>
      <c r="S54" s="117"/>
      <c r="T54" s="117"/>
      <c r="U54" s="150"/>
      <c r="V54" s="117"/>
      <c r="W54" s="117"/>
      <c r="X54" s="117"/>
      <c r="Y54" s="117"/>
      <c r="Z54" s="150"/>
      <c r="AA54" s="117"/>
      <c r="AB54" s="117"/>
      <c r="AC54" s="117"/>
      <c r="AD54" s="117"/>
      <c r="AE54" s="150"/>
      <c r="AF54" s="117"/>
      <c r="AG54" s="117"/>
      <c r="AH54" s="117"/>
      <c r="AI54" s="117"/>
      <c r="AJ54" s="150"/>
      <c r="AK54" s="117"/>
      <c r="AL54" s="117"/>
      <c r="AM54" s="117"/>
      <c r="AN54" s="117"/>
      <c r="AO54" s="150">
        <f>SUM(AO51:AO53)</f>
        <v>59</v>
      </c>
      <c r="AP54" s="117"/>
      <c r="AQ54" s="117"/>
      <c r="AR54" s="117"/>
      <c r="AS54" s="117"/>
      <c r="AT54" s="150">
        <f>SUM(AT51:AT53)</f>
        <v>52</v>
      </c>
      <c r="AU54" s="117"/>
      <c r="AV54" s="117"/>
      <c r="AW54" s="117"/>
      <c r="AX54" s="117"/>
      <c r="AY54" s="150">
        <f>SUM(AY51:AY53)</f>
        <v>47</v>
      </c>
      <c r="AZ54" s="117"/>
      <c r="BA54" s="117"/>
      <c r="BB54" s="117"/>
      <c r="BC54" s="117"/>
      <c r="BD54" s="150">
        <f>SUM(BD51:BD53)</f>
        <v>32</v>
      </c>
      <c r="BE54" s="117"/>
      <c r="BF54" s="117"/>
      <c r="BG54" s="117"/>
      <c r="BH54" s="117"/>
      <c r="BI54" s="150">
        <f>SUM(BI51:BI53)</f>
        <v>43</v>
      </c>
      <c r="BJ54" s="117"/>
      <c r="BK54" s="117"/>
      <c r="BL54" s="117"/>
      <c r="BM54" s="117"/>
      <c r="BN54" s="150">
        <f>SUM(BN51:BN53)</f>
        <v>37</v>
      </c>
      <c r="BO54" s="117"/>
      <c r="BP54" s="117"/>
      <c r="BQ54" s="117"/>
      <c r="BR54" s="117"/>
      <c r="BS54" s="150">
        <f>SUM(BS51:BS53)</f>
        <v>112</v>
      </c>
      <c r="BT54" s="691"/>
      <c r="BU54" s="117"/>
      <c r="BV54" s="117"/>
      <c r="BW54" s="117"/>
      <c r="BX54" s="150"/>
      <c r="BY54" s="117"/>
      <c r="BZ54" s="117"/>
      <c r="CA54" s="117"/>
      <c r="CB54" s="117"/>
      <c r="CC54" s="150"/>
      <c r="CD54" s="150"/>
      <c r="CE54" s="150"/>
      <c r="CF54" s="150"/>
      <c r="CG54" s="587"/>
    </row>
    <row r="55" spans="1:85" s="460" customFormat="1" ht="14.4" hidden="1" outlineLevel="1" x14ac:dyDescent="0.3">
      <c r="A55" s="591" t="s">
        <v>1609</v>
      </c>
      <c r="B55" s="586"/>
      <c r="C55" s="150"/>
      <c r="D55" s="150"/>
      <c r="E55" s="150"/>
      <c r="F55" s="150"/>
      <c r="G55" s="117"/>
      <c r="H55" s="117"/>
      <c r="I55" s="117"/>
      <c r="J55" s="117"/>
      <c r="K55" s="150"/>
      <c r="L55" s="117"/>
      <c r="M55" s="117"/>
      <c r="N55" s="117"/>
      <c r="O55" s="117"/>
      <c r="P55" s="150"/>
      <c r="Q55" s="117"/>
      <c r="R55" s="117"/>
      <c r="S55" s="117"/>
      <c r="T55" s="117"/>
      <c r="U55" s="150"/>
      <c r="V55" s="117"/>
      <c r="W55" s="117"/>
      <c r="X55" s="117"/>
      <c r="Y55" s="117"/>
      <c r="Z55" s="150"/>
      <c r="AA55" s="117"/>
      <c r="AB55" s="117"/>
      <c r="AC55" s="117"/>
      <c r="AD55" s="117"/>
      <c r="AE55" s="150"/>
      <c r="AF55" s="117"/>
      <c r="AG55" s="117"/>
      <c r="AH55" s="117"/>
      <c r="AI55" s="117"/>
      <c r="AJ55" s="150"/>
      <c r="AK55" s="117"/>
      <c r="AL55" s="117"/>
      <c r="AM55" s="117"/>
      <c r="AN55" s="117"/>
      <c r="AO55" s="975">
        <v>0</v>
      </c>
      <c r="AP55" s="117"/>
      <c r="AQ55" s="117"/>
      <c r="AR55" s="117"/>
      <c r="AS55" s="117"/>
      <c r="AT55" s="975">
        <v>0</v>
      </c>
      <c r="AU55" s="117"/>
      <c r="AV55" s="117"/>
      <c r="AW55" s="117"/>
      <c r="AX55" s="117"/>
      <c r="AY55" s="150"/>
      <c r="AZ55" s="117"/>
      <c r="BA55" s="117"/>
      <c r="BB55" s="117"/>
      <c r="BC55" s="117"/>
      <c r="BD55" s="150"/>
      <c r="BE55" s="117"/>
      <c r="BF55" s="117"/>
      <c r="BG55" s="117"/>
      <c r="BH55" s="117"/>
      <c r="BI55" s="150"/>
      <c r="BJ55" s="117"/>
      <c r="BK55" s="117"/>
      <c r="BL55" s="117"/>
      <c r="BM55" s="117"/>
      <c r="BN55" s="150"/>
      <c r="BO55" s="117"/>
      <c r="BP55" s="117"/>
      <c r="BQ55" s="117"/>
      <c r="BR55" s="117"/>
      <c r="BS55" s="150"/>
      <c r="BT55" s="691"/>
      <c r="BU55" s="117"/>
      <c r="BV55" s="117"/>
      <c r="BW55" s="117"/>
      <c r="BX55" s="150"/>
      <c r="BY55" s="117"/>
      <c r="BZ55" s="117"/>
      <c r="CA55" s="117"/>
      <c r="CB55" s="117"/>
      <c r="CC55" s="150"/>
      <c r="CD55" s="150"/>
      <c r="CE55" s="150"/>
      <c r="CF55" s="150"/>
      <c r="CG55" s="587"/>
    </row>
    <row r="56" spans="1:85" s="460" customFormat="1" ht="14.4" hidden="1" outlineLevel="1" x14ac:dyDescent="0.3">
      <c r="A56" s="591" t="s">
        <v>869</v>
      </c>
      <c r="B56" s="586"/>
      <c r="C56" s="150"/>
      <c r="D56" s="150"/>
      <c r="E56" s="150"/>
      <c r="F56" s="150"/>
      <c r="G56" s="117"/>
      <c r="H56" s="117"/>
      <c r="I56" s="117"/>
      <c r="J56" s="117"/>
      <c r="K56" s="150"/>
      <c r="L56" s="117"/>
      <c r="M56" s="117"/>
      <c r="N56" s="117"/>
      <c r="O56" s="117"/>
      <c r="P56" s="150"/>
      <c r="Q56" s="117"/>
      <c r="R56" s="117"/>
      <c r="S56" s="117"/>
      <c r="T56" s="117"/>
      <c r="U56" s="150"/>
      <c r="V56" s="117"/>
      <c r="W56" s="117"/>
      <c r="X56" s="117"/>
      <c r="Y56" s="117"/>
      <c r="Z56" s="150"/>
      <c r="AA56" s="117"/>
      <c r="AB56" s="117"/>
      <c r="AC56" s="117"/>
      <c r="AD56" s="117"/>
      <c r="AE56" s="150"/>
      <c r="AF56" s="117"/>
      <c r="AG56" s="117"/>
      <c r="AH56" s="117"/>
      <c r="AI56" s="117"/>
      <c r="AJ56" s="150"/>
      <c r="AK56" s="117"/>
      <c r="AL56" s="117"/>
      <c r="AM56" s="117"/>
      <c r="AN56" s="117"/>
      <c r="AO56" s="150"/>
      <c r="AP56" s="117"/>
      <c r="AQ56" s="117"/>
      <c r="AR56" s="117"/>
      <c r="AS56" s="117"/>
      <c r="AT56" s="975">
        <v>0</v>
      </c>
      <c r="AU56" s="117"/>
      <c r="AV56" s="117"/>
      <c r="AW56" s="117"/>
      <c r="AX56" s="117"/>
      <c r="AY56" s="975">
        <v>0</v>
      </c>
      <c r="AZ56" s="117"/>
      <c r="BA56" s="117"/>
      <c r="BB56" s="117"/>
      <c r="BC56" s="117"/>
      <c r="BD56" s="150"/>
      <c r="BE56" s="117"/>
      <c r="BF56" s="117"/>
      <c r="BG56" s="117"/>
      <c r="BH56" s="117"/>
      <c r="BI56" s="150"/>
      <c r="BJ56" s="117"/>
      <c r="BK56" s="117"/>
      <c r="BL56" s="117"/>
      <c r="BM56" s="117"/>
      <c r="BN56" s="975">
        <v>0</v>
      </c>
      <c r="BO56" s="117"/>
      <c r="BP56" s="117"/>
      <c r="BQ56" s="117"/>
      <c r="BR56" s="117"/>
      <c r="BS56" s="975">
        <v>0</v>
      </c>
      <c r="BT56" s="691"/>
      <c r="BU56" s="117"/>
      <c r="BV56" s="117"/>
      <c r="BW56" s="117"/>
      <c r="BX56" s="150"/>
      <c r="BY56" s="117"/>
      <c r="BZ56" s="117"/>
      <c r="CA56" s="117"/>
      <c r="CB56" s="117"/>
      <c r="CC56" s="150"/>
      <c r="CD56" s="150"/>
      <c r="CE56" s="150"/>
      <c r="CF56" s="150"/>
      <c r="CG56" s="587"/>
    </row>
    <row r="57" spans="1:85" s="460" customFormat="1" ht="14.4" hidden="1" outlineLevel="1" x14ac:dyDescent="0.3">
      <c r="A57" s="591" t="s">
        <v>1610</v>
      </c>
      <c r="B57" s="586"/>
      <c r="C57" s="150"/>
      <c r="D57" s="150"/>
      <c r="E57" s="150"/>
      <c r="F57" s="150"/>
      <c r="G57" s="117"/>
      <c r="H57" s="117"/>
      <c r="I57" s="117"/>
      <c r="J57" s="117"/>
      <c r="K57" s="150"/>
      <c r="L57" s="117"/>
      <c r="M57" s="117"/>
      <c r="N57" s="117"/>
      <c r="O57" s="117"/>
      <c r="P57" s="150"/>
      <c r="Q57" s="117"/>
      <c r="R57" s="117"/>
      <c r="S57" s="117"/>
      <c r="T57" s="117"/>
      <c r="U57" s="150"/>
      <c r="V57" s="117"/>
      <c r="W57" s="117"/>
      <c r="X57" s="117"/>
      <c r="Y57" s="117"/>
      <c r="Z57" s="150"/>
      <c r="AA57" s="117"/>
      <c r="AB57" s="117"/>
      <c r="AC57" s="117"/>
      <c r="AD57" s="117"/>
      <c r="AE57" s="150"/>
      <c r="AF57" s="117"/>
      <c r="AG57" s="117"/>
      <c r="AH57" s="117"/>
      <c r="AI57" s="117"/>
      <c r="AJ57" s="150"/>
      <c r="AK57" s="117"/>
      <c r="AL57" s="117"/>
      <c r="AM57" s="117"/>
      <c r="AN57" s="117"/>
      <c r="AO57" s="975">
        <v>1</v>
      </c>
      <c r="AP57" s="117"/>
      <c r="AQ57" s="117"/>
      <c r="AR57" s="117"/>
      <c r="AS57" s="117"/>
      <c r="AT57" s="975">
        <v>0</v>
      </c>
      <c r="AU57" s="117"/>
      <c r="AV57" s="117"/>
      <c r="AW57" s="117"/>
      <c r="AX57" s="117"/>
      <c r="AY57" s="150"/>
      <c r="AZ57" s="117"/>
      <c r="BA57" s="117"/>
      <c r="BB57" s="117"/>
      <c r="BC57" s="117"/>
      <c r="BD57" s="150"/>
      <c r="BE57" s="117"/>
      <c r="BF57" s="117"/>
      <c r="BG57" s="117"/>
      <c r="BH57" s="117"/>
      <c r="BI57" s="150"/>
      <c r="BJ57" s="117"/>
      <c r="BK57" s="117"/>
      <c r="BL57" s="117"/>
      <c r="BM57" s="117"/>
      <c r="BN57" s="150"/>
      <c r="BO57" s="117"/>
      <c r="BP57" s="117"/>
      <c r="BQ57" s="117"/>
      <c r="BR57" s="117"/>
      <c r="BS57" s="150"/>
      <c r="BT57" s="691"/>
      <c r="BU57" s="117"/>
      <c r="BV57" s="117"/>
      <c r="BW57" s="117"/>
      <c r="BX57" s="150"/>
      <c r="BY57" s="117"/>
      <c r="BZ57" s="117"/>
      <c r="CA57" s="117"/>
      <c r="CB57" s="117"/>
      <c r="CC57" s="150"/>
      <c r="CD57" s="150"/>
      <c r="CE57" s="150"/>
      <c r="CF57" s="150"/>
      <c r="CG57" s="587"/>
    </row>
    <row r="58" spans="1:85" s="460" customFormat="1" ht="14.4" hidden="1" outlineLevel="1" x14ac:dyDescent="0.3">
      <c r="A58" s="592" t="s">
        <v>868</v>
      </c>
      <c r="B58" s="588"/>
      <c r="C58" s="954"/>
      <c r="D58" s="954"/>
      <c r="E58" s="954"/>
      <c r="F58" s="954"/>
      <c r="G58" s="133"/>
      <c r="H58" s="133"/>
      <c r="I58" s="133"/>
      <c r="J58" s="133"/>
      <c r="K58" s="954"/>
      <c r="L58" s="133"/>
      <c r="M58" s="133"/>
      <c r="N58" s="133"/>
      <c r="O58" s="133"/>
      <c r="P58" s="954"/>
      <c r="Q58" s="133"/>
      <c r="R58" s="133"/>
      <c r="S58" s="133"/>
      <c r="T58" s="133"/>
      <c r="U58" s="954"/>
      <c r="V58" s="133"/>
      <c r="W58" s="133"/>
      <c r="X58" s="133"/>
      <c r="Y58" s="133"/>
      <c r="Z58" s="954"/>
      <c r="AA58" s="133"/>
      <c r="AB58" s="133"/>
      <c r="AC58" s="133"/>
      <c r="AD58" s="133"/>
      <c r="AE58" s="954"/>
      <c r="AF58" s="133"/>
      <c r="AG58" s="133"/>
      <c r="AH58" s="133"/>
      <c r="AI58" s="133"/>
      <c r="AJ58" s="954"/>
      <c r="AK58" s="133"/>
      <c r="AL58" s="133"/>
      <c r="AM58" s="133"/>
      <c r="AN58" s="133"/>
      <c r="AO58" s="954"/>
      <c r="AP58" s="133"/>
      <c r="AQ58" s="133"/>
      <c r="AR58" s="133"/>
      <c r="AS58" s="133"/>
      <c r="AT58" s="976">
        <v>0</v>
      </c>
      <c r="AU58" s="133"/>
      <c r="AV58" s="133"/>
      <c r="AW58" s="133"/>
      <c r="AX58" s="133"/>
      <c r="AY58" s="976">
        <v>0</v>
      </c>
      <c r="AZ58" s="133"/>
      <c r="BA58" s="133"/>
      <c r="BB58" s="133"/>
      <c r="BC58" s="133"/>
      <c r="BD58" s="954"/>
      <c r="BE58" s="133"/>
      <c r="BF58" s="133"/>
      <c r="BG58" s="133"/>
      <c r="BH58" s="133"/>
      <c r="BI58" s="954"/>
      <c r="BJ58" s="133"/>
      <c r="BK58" s="133"/>
      <c r="BL58" s="133"/>
      <c r="BM58" s="133"/>
      <c r="BN58" s="976">
        <v>0</v>
      </c>
      <c r="BO58" s="133"/>
      <c r="BP58" s="133"/>
      <c r="BQ58" s="133"/>
      <c r="BR58" s="133"/>
      <c r="BS58" s="976">
        <v>0</v>
      </c>
      <c r="BT58" s="692"/>
      <c r="BU58" s="133"/>
      <c r="BV58" s="133"/>
      <c r="BW58" s="133"/>
      <c r="BX58" s="954"/>
      <c r="BY58" s="133"/>
      <c r="BZ58" s="133"/>
      <c r="CA58" s="133"/>
      <c r="CB58" s="133"/>
      <c r="CC58" s="954"/>
      <c r="CD58" s="954"/>
      <c r="CE58" s="954"/>
      <c r="CF58" s="954"/>
      <c r="CG58" s="587"/>
    </row>
    <row r="59" spans="1:85" s="460" customFormat="1" ht="14.4" hidden="1" outlineLevel="1" x14ac:dyDescent="0.3">
      <c r="A59" s="159" t="s">
        <v>867</v>
      </c>
      <c r="B59" s="586"/>
      <c r="C59" s="150"/>
      <c r="D59" s="150"/>
      <c r="E59" s="150"/>
      <c r="F59" s="150"/>
      <c r="G59" s="117"/>
      <c r="H59" s="117"/>
      <c r="I59" s="117"/>
      <c r="J59" s="117"/>
      <c r="K59" s="150"/>
      <c r="L59" s="117"/>
      <c r="M59" s="117"/>
      <c r="N59" s="117"/>
      <c r="O59" s="117"/>
      <c r="P59" s="150"/>
      <c r="Q59" s="117"/>
      <c r="R59" s="117"/>
      <c r="S59" s="117"/>
      <c r="T59" s="117"/>
      <c r="U59" s="150"/>
      <c r="V59" s="117"/>
      <c r="W59" s="117"/>
      <c r="X59" s="117"/>
      <c r="Y59" s="117"/>
      <c r="Z59" s="150"/>
      <c r="AA59" s="117"/>
      <c r="AB59" s="117"/>
      <c r="AC59" s="117"/>
      <c r="AD59" s="117"/>
      <c r="AE59" s="150"/>
      <c r="AF59" s="117"/>
      <c r="AG59" s="117"/>
      <c r="AH59" s="117"/>
      <c r="AI59" s="117"/>
      <c r="AJ59" s="150"/>
      <c r="AK59" s="117"/>
      <c r="AL59" s="117"/>
      <c r="AM59" s="117"/>
      <c r="AN59" s="117"/>
      <c r="AO59" s="150">
        <f>SUM(AO55:AO58)</f>
        <v>1</v>
      </c>
      <c r="AP59" s="117"/>
      <c r="AQ59" s="117"/>
      <c r="AR59" s="117"/>
      <c r="AS59" s="117"/>
      <c r="AT59" s="150">
        <f>SUM(AT55:AT58)</f>
        <v>0</v>
      </c>
      <c r="AU59" s="117"/>
      <c r="AV59" s="117"/>
      <c r="AW59" s="117"/>
      <c r="AX59" s="117"/>
      <c r="AY59" s="150">
        <f>SUM(AY55:AY58)</f>
        <v>0</v>
      </c>
      <c r="AZ59" s="117"/>
      <c r="BA59" s="117"/>
      <c r="BB59" s="117"/>
      <c r="BC59" s="117"/>
      <c r="BD59" s="150">
        <f>SUM(BD55:BD58)</f>
        <v>0</v>
      </c>
      <c r="BE59" s="117"/>
      <c r="BF59" s="117"/>
      <c r="BG59" s="117"/>
      <c r="BH59" s="117"/>
      <c r="BI59" s="150">
        <f>SUM(BI55:BI58)</f>
        <v>0</v>
      </c>
      <c r="BJ59" s="117"/>
      <c r="BK59" s="117"/>
      <c r="BL59" s="117"/>
      <c r="BM59" s="117"/>
      <c r="BN59" s="150">
        <f>SUM(BN55:BN58)</f>
        <v>0</v>
      </c>
      <c r="BO59" s="117"/>
      <c r="BP59" s="117"/>
      <c r="BQ59" s="117"/>
      <c r="BR59" s="117"/>
      <c r="BS59" s="150">
        <f>SUM(BS55:BS58)</f>
        <v>0</v>
      </c>
      <c r="BT59" s="691"/>
      <c r="BU59" s="117"/>
      <c r="BV59" s="117"/>
      <c r="BW59" s="117"/>
      <c r="BX59" s="150"/>
      <c r="BY59" s="117"/>
      <c r="BZ59" s="117"/>
      <c r="CA59" s="117"/>
      <c r="CB59" s="117"/>
      <c r="CC59" s="150"/>
      <c r="CD59" s="150"/>
      <c r="CE59" s="150"/>
      <c r="CF59" s="150"/>
      <c r="CG59" s="587"/>
    </row>
    <row r="60" spans="1:85" s="460" customFormat="1" ht="14.4" hidden="1" outlineLevel="1" x14ac:dyDescent="0.3">
      <c r="A60" s="262" t="s">
        <v>864</v>
      </c>
      <c r="B60" s="588"/>
      <c r="C60" s="954"/>
      <c r="D60" s="954"/>
      <c r="E60" s="954"/>
      <c r="F60" s="954"/>
      <c r="G60" s="133"/>
      <c r="H60" s="133"/>
      <c r="I60" s="133"/>
      <c r="J60" s="133"/>
      <c r="K60" s="954"/>
      <c r="L60" s="133"/>
      <c r="M60" s="133"/>
      <c r="N60" s="133"/>
      <c r="O60" s="133"/>
      <c r="P60" s="954"/>
      <c r="Q60" s="133"/>
      <c r="R60" s="133"/>
      <c r="S60" s="133"/>
      <c r="T60" s="133"/>
      <c r="U60" s="954"/>
      <c r="V60" s="133"/>
      <c r="W60" s="133"/>
      <c r="X60" s="133"/>
      <c r="Y60" s="133"/>
      <c r="Z60" s="954"/>
      <c r="AA60" s="133"/>
      <c r="AB60" s="133"/>
      <c r="AC60" s="133"/>
      <c r="AD60" s="133"/>
      <c r="AE60" s="954"/>
      <c r="AF60" s="133"/>
      <c r="AG60" s="133"/>
      <c r="AH60" s="133"/>
      <c r="AI60" s="133"/>
      <c r="AJ60" s="954"/>
      <c r="AK60" s="133"/>
      <c r="AL60" s="133"/>
      <c r="AM60" s="133"/>
      <c r="AN60" s="133"/>
      <c r="AO60" s="976">
        <v>518</v>
      </c>
      <c r="AP60" s="133"/>
      <c r="AQ60" s="133"/>
      <c r="AR60" s="133"/>
      <c r="AS60" s="133"/>
      <c r="AT60" s="976">
        <v>753</v>
      </c>
      <c r="AU60" s="133"/>
      <c r="AV60" s="133"/>
      <c r="AW60" s="133"/>
      <c r="AX60" s="133"/>
      <c r="AY60" s="976">
        <v>526</v>
      </c>
      <c r="AZ60" s="133"/>
      <c r="BA60" s="133"/>
      <c r="BB60" s="133"/>
      <c r="BC60" s="133"/>
      <c r="BD60" s="976">
        <v>719</v>
      </c>
      <c r="BE60" s="133"/>
      <c r="BF60" s="133"/>
      <c r="BG60" s="133"/>
      <c r="BH60" s="133"/>
      <c r="BI60" s="976">
        <v>822</v>
      </c>
      <c r="BJ60" s="133"/>
      <c r="BK60" s="133"/>
      <c r="BL60" s="133"/>
      <c r="BM60" s="133"/>
      <c r="BN60" s="976">
        <v>1015</v>
      </c>
      <c r="BO60" s="133"/>
      <c r="BP60" s="133"/>
      <c r="BQ60" s="133"/>
      <c r="BR60" s="133"/>
      <c r="BS60" s="976">
        <v>963</v>
      </c>
      <c r="BT60" s="692"/>
      <c r="BU60" s="133"/>
      <c r="BV60" s="133"/>
      <c r="BW60" s="133"/>
      <c r="BX60" s="954"/>
      <c r="BY60" s="133"/>
      <c r="BZ60" s="133"/>
      <c r="CA60" s="133"/>
      <c r="CB60" s="133"/>
      <c r="CC60" s="954"/>
      <c r="CD60" s="954"/>
      <c r="CE60" s="954"/>
      <c r="CF60" s="954"/>
      <c r="CG60" s="587"/>
    </row>
    <row r="61" spans="1:85" s="461" customFormat="1" ht="14.4" hidden="1" outlineLevel="1" x14ac:dyDescent="0.3">
      <c r="A61" s="166" t="s">
        <v>866</v>
      </c>
      <c r="B61" s="583"/>
      <c r="C61" s="957"/>
      <c r="D61" s="957"/>
      <c r="E61" s="957"/>
      <c r="F61" s="957"/>
      <c r="G61" s="120"/>
      <c r="H61" s="120"/>
      <c r="I61" s="120"/>
      <c r="J61" s="120"/>
      <c r="K61" s="957"/>
      <c r="L61" s="120"/>
      <c r="M61" s="120"/>
      <c r="N61" s="120"/>
      <c r="O61" s="120"/>
      <c r="P61" s="957"/>
      <c r="Q61" s="120"/>
      <c r="R61" s="120"/>
      <c r="S61" s="120"/>
      <c r="T61" s="120"/>
      <c r="U61" s="957"/>
      <c r="V61" s="120"/>
      <c r="W61" s="120"/>
      <c r="X61" s="120"/>
      <c r="Y61" s="120"/>
      <c r="Z61" s="957"/>
      <c r="AA61" s="120"/>
      <c r="AB61" s="120"/>
      <c r="AC61" s="120"/>
      <c r="AD61" s="120"/>
      <c r="AE61" s="957"/>
      <c r="AF61" s="120"/>
      <c r="AG61" s="120"/>
      <c r="AH61" s="120"/>
      <c r="AI61" s="120"/>
      <c r="AJ61" s="957"/>
      <c r="AK61" s="120"/>
      <c r="AL61" s="120"/>
      <c r="AM61" s="120"/>
      <c r="AN61" s="120"/>
      <c r="AO61" s="957">
        <f>AO54+AO59+AO60</f>
        <v>578</v>
      </c>
      <c r="AP61" s="120"/>
      <c r="AQ61" s="120"/>
      <c r="AR61" s="120"/>
      <c r="AS61" s="120"/>
      <c r="AT61" s="957">
        <f>AT54+AT59+AT60</f>
        <v>805</v>
      </c>
      <c r="AU61" s="120"/>
      <c r="AV61" s="120"/>
      <c r="AW61" s="120"/>
      <c r="AX61" s="120"/>
      <c r="AY61" s="957">
        <f>AY54+AY59+AY60</f>
        <v>573</v>
      </c>
      <c r="AZ61" s="120"/>
      <c r="BA61" s="120"/>
      <c r="BB61" s="120"/>
      <c r="BC61" s="120"/>
      <c r="BD61" s="957">
        <f>BD54+BD59+BD60</f>
        <v>751</v>
      </c>
      <c r="BE61" s="120"/>
      <c r="BF61" s="120"/>
      <c r="BG61" s="120"/>
      <c r="BH61" s="120"/>
      <c r="BI61" s="957">
        <f>BI54+BI59+BI60</f>
        <v>865</v>
      </c>
      <c r="BJ61" s="120"/>
      <c r="BK61" s="120"/>
      <c r="BL61" s="120"/>
      <c r="BM61" s="120"/>
      <c r="BN61" s="957">
        <f>BN54+BN59+BN60</f>
        <v>1052</v>
      </c>
      <c r="BO61" s="120"/>
      <c r="BP61" s="120"/>
      <c r="BQ61" s="120"/>
      <c r="BR61" s="120"/>
      <c r="BS61" s="957">
        <f>BS54+BS59+BS60</f>
        <v>1075</v>
      </c>
      <c r="BT61" s="694"/>
      <c r="BU61" s="120"/>
      <c r="BV61" s="120"/>
      <c r="BW61" s="120"/>
      <c r="BX61" s="957"/>
      <c r="BY61" s="120"/>
      <c r="BZ61" s="120"/>
      <c r="CA61" s="120"/>
      <c r="CB61" s="120"/>
      <c r="CC61" s="957"/>
      <c r="CD61" s="957"/>
      <c r="CE61" s="957"/>
      <c r="CF61" s="957"/>
      <c r="CG61" s="615"/>
    </row>
    <row r="62" spans="1:85" s="460" customFormat="1" ht="14.4" hidden="1" outlineLevel="1" x14ac:dyDescent="0.3">
      <c r="A62" s="591" t="s">
        <v>872</v>
      </c>
      <c r="B62" s="586"/>
      <c r="C62" s="150"/>
      <c r="D62" s="150"/>
      <c r="E62" s="150"/>
      <c r="F62" s="150"/>
      <c r="G62" s="117"/>
      <c r="H62" s="117"/>
      <c r="I62" s="117"/>
      <c r="J62" s="117"/>
      <c r="K62" s="150"/>
      <c r="L62" s="117"/>
      <c r="M62" s="117"/>
      <c r="N62" s="117"/>
      <c r="O62" s="117"/>
      <c r="P62" s="150"/>
      <c r="Q62" s="117"/>
      <c r="R62" s="117"/>
      <c r="S62" s="117"/>
      <c r="T62" s="117"/>
      <c r="U62" s="150"/>
      <c r="V62" s="117"/>
      <c r="W62" s="117"/>
      <c r="X62" s="117"/>
      <c r="Y62" s="117"/>
      <c r="Z62" s="150"/>
      <c r="AA62" s="117"/>
      <c r="AB62" s="117"/>
      <c r="AC62" s="117"/>
      <c r="AD62" s="117"/>
      <c r="AE62" s="150"/>
      <c r="AF62" s="117"/>
      <c r="AG62" s="117"/>
      <c r="AH62" s="117"/>
      <c r="AI62" s="117"/>
      <c r="AJ62" s="150"/>
      <c r="AK62" s="117"/>
      <c r="AL62" s="117"/>
      <c r="AM62" s="117"/>
      <c r="AN62" s="117"/>
      <c r="AO62" s="975">
        <v>4</v>
      </c>
      <c r="AP62" s="117"/>
      <c r="AQ62" s="117"/>
      <c r="AR62" s="117"/>
      <c r="AS62" s="117"/>
      <c r="AT62" s="975">
        <v>0</v>
      </c>
      <c r="AU62" s="117"/>
      <c r="AV62" s="117"/>
      <c r="AW62" s="117"/>
      <c r="AX62" s="117"/>
      <c r="AY62" s="975">
        <v>0</v>
      </c>
      <c r="AZ62" s="117"/>
      <c r="BA62" s="117"/>
      <c r="BB62" s="117"/>
      <c r="BC62" s="117"/>
      <c r="BD62" s="975">
        <v>0</v>
      </c>
      <c r="BE62" s="117"/>
      <c r="BF62" s="117"/>
      <c r="BG62" s="117"/>
      <c r="BH62" s="117"/>
      <c r="BI62" s="975">
        <v>0</v>
      </c>
      <c r="BJ62" s="117"/>
      <c r="BK62" s="117"/>
      <c r="BL62" s="117"/>
      <c r="BM62" s="117"/>
      <c r="BN62" s="975">
        <v>0</v>
      </c>
      <c r="BO62" s="117"/>
      <c r="BP62" s="117"/>
      <c r="BQ62" s="117"/>
      <c r="BR62" s="117"/>
      <c r="BS62" s="975">
        <v>0</v>
      </c>
      <c r="BT62" s="691"/>
      <c r="BU62" s="117"/>
      <c r="BV62" s="117"/>
      <c r="BW62" s="117"/>
      <c r="BX62" s="150"/>
      <c r="BY62" s="117"/>
      <c r="BZ62" s="117"/>
      <c r="CA62" s="117"/>
      <c r="CB62" s="117"/>
      <c r="CC62" s="150"/>
      <c r="CD62" s="150"/>
      <c r="CE62" s="150"/>
      <c r="CF62" s="150"/>
      <c r="CG62" s="587"/>
    </row>
    <row r="63" spans="1:85" s="460" customFormat="1" ht="14.4" hidden="1" outlineLevel="1" x14ac:dyDescent="0.3">
      <c r="A63" s="591" t="s">
        <v>873</v>
      </c>
      <c r="B63" s="586"/>
      <c r="C63" s="150"/>
      <c r="D63" s="150"/>
      <c r="E63" s="150"/>
      <c r="F63" s="150"/>
      <c r="G63" s="117"/>
      <c r="H63" s="117"/>
      <c r="I63" s="117"/>
      <c r="J63" s="117"/>
      <c r="K63" s="150"/>
      <c r="L63" s="117"/>
      <c r="M63" s="117"/>
      <c r="N63" s="117"/>
      <c r="O63" s="117"/>
      <c r="P63" s="150"/>
      <c r="Q63" s="117"/>
      <c r="R63" s="117"/>
      <c r="S63" s="117"/>
      <c r="T63" s="117"/>
      <c r="U63" s="150"/>
      <c r="V63" s="117"/>
      <c r="W63" s="117"/>
      <c r="X63" s="117"/>
      <c r="Y63" s="117"/>
      <c r="Z63" s="150"/>
      <c r="AA63" s="117"/>
      <c r="AB63" s="117"/>
      <c r="AC63" s="117"/>
      <c r="AD63" s="117"/>
      <c r="AE63" s="150"/>
      <c r="AF63" s="117"/>
      <c r="AG63" s="117"/>
      <c r="AH63" s="117"/>
      <c r="AI63" s="117"/>
      <c r="AJ63" s="150"/>
      <c r="AK63" s="117"/>
      <c r="AL63" s="117"/>
      <c r="AM63" s="117"/>
      <c r="AN63" s="117"/>
      <c r="AO63" s="975">
        <v>1</v>
      </c>
      <c r="AP63" s="117"/>
      <c r="AQ63" s="117"/>
      <c r="AR63" s="117"/>
      <c r="AS63" s="117"/>
      <c r="AT63" s="975">
        <v>0</v>
      </c>
      <c r="AU63" s="117"/>
      <c r="AV63" s="117"/>
      <c r="AW63" s="117"/>
      <c r="AX63" s="117"/>
      <c r="AY63" s="975">
        <v>0</v>
      </c>
      <c r="AZ63" s="117"/>
      <c r="BA63" s="117"/>
      <c r="BB63" s="117"/>
      <c r="BC63" s="117"/>
      <c r="BD63" s="975">
        <v>0</v>
      </c>
      <c r="BE63" s="117"/>
      <c r="BF63" s="117"/>
      <c r="BG63" s="117"/>
      <c r="BH63" s="117"/>
      <c r="BI63" s="975">
        <v>0</v>
      </c>
      <c r="BJ63" s="117"/>
      <c r="BK63" s="117"/>
      <c r="BL63" s="117"/>
      <c r="BM63" s="117"/>
      <c r="BN63" s="975">
        <v>0</v>
      </c>
      <c r="BO63" s="117"/>
      <c r="BP63" s="117"/>
      <c r="BQ63" s="117"/>
      <c r="BR63" s="117"/>
      <c r="BS63" s="975">
        <v>0</v>
      </c>
      <c r="BT63" s="691"/>
      <c r="BU63" s="117"/>
      <c r="BV63" s="117"/>
      <c r="BW63" s="117"/>
      <c r="BX63" s="150"/>
      <c r="BY63" s="117"/>
      <c r="BZ63" s="117"/>
      <c r="CA63" s="117"/>
      <c r="CB63" s="117"/>
      <c r="CC63" s="150"/>
      <c r="CD63" s="150"/>
      <c r="CE63" s="150"/>
      <c r="CF63" s="150"/>
      <c r="CG63" s="587"/>
    </row>
    <row r="64" spans="1:85" s="460" customFormat="1" ht="14.4" hidden="1" outlineLevel="1" x14ac:dyDescent="0.3">
      <c r="A64" s="592" t="s">
        <v>874</v>
      </c>
      <c r="B64" s="588"/>
      <c r="C64" s="954"/>
      <c r="D64" s="954"/>
      <c r="E64" s="954"/>
      <c r="F64" s="954"/>
      <c r="G64" s="133"/>
      <c r="H64" s="133"/>
      <c r="I64" s="133"/>
      <c r="J64" s="133"/>
      <c r="K64" s="954"/>
      <c r="L64" s="133"/>
      <c r="M64" s="133"/>
      <c r="N64" s="133"/>
      <c r="O64" s="133"/>
      <c r="P64" s="954"/>
      <c r="Q64" s="133"/>
      <c r="R64" s="133"/>
      <c r="S64" s="133"/>
      <c r="T64" s="133"/>
      <c r="U64" s="954"/>
      <c r="V64" s="133"/>
      <c r="W64" s="133"/>
      <c r="X64" s="133"/>
      <c r="Y64" s="133"/>
      <c r="Z64" s="954"/>
      <c r="AA64" s="133"/>
      <c r="AB64" s="133"/>
      <c r="AC64" s="133"/>
      <c r="AD64" s="133"/>
      <c r="AE64" s="954"/>
      <c r="AF64" s="133"/>
      <c r="AG64" s="133"/>
      <c r="AH64" s="133"/>
      <c r="AI64" s="133"/>
      <c r="AJ64" s="954"/>
      <c r="AK64" s="133"/>
      <c r="AL64" s="133"/>
      <c r="AM64" s="133"/>
      <c r="AN64" s="133"/>
      <c r="AO64" s="976">
        <v>6</v>
      </c>
      <c r="AP64" s="133"/>
      <c r="AQ64" s="133"/>
      <c r="AR64" s="133"/>
      <c r="AS64" s="133"/>
      <c r="AT64" s="976">
        <v>2</v>
      </c>
      <c r="AU64" s="133"/>
      <c r="AV64" s="133"/>
      <c r="AW64" s="133"/>
      <c r="AX64" s="133"/>
      <c r="AY64" s="976">
        <v>1</v>
      </c>
      <c r="AZ64" s="133"/>
      <c r="BA64" s="133"/>
      <c r="BB64" s="133"/>
      <c r="BC64" s="133"/>
      <c r="BD64" s="976">
        <v>2</v>
      </c>
      <c r="BE64" s="133"/>
      <c r="BF64" s="133"/>
      <c r="BG64" s="133"/>
      <c r="BH64" s="133"/>
      <c r="BI64" s="976">
        <v>4</v>
      </c>
      <c r="BJ64" s="133"/>
      <c r="BK64" s="133"/>
      <c r="BL64" s="133"/>
      <c r="BM64" s="133"/>
      <c r="BN64" s="976">
        <v>0</v>
      </c>
      <c r="BO64" s="133"/>
      <c r="BP64" s="133"/>
      <c r="BQ64" s="133"/>
      <c r="BR64" s="133"/>
      <c r="BS64" s="976">
        <v>0</v>
      </c>
      <c r="BT64" s="692"/>
      <c r="BU64" s="133"/>
      <c r="BV64" s="133"/>
      <c r="BW64" s="133"/>
      <c r="BX64" s="954"/>
      <c r="BY64" s="133"/>
      <c r="BZ64" s="133"/>
      <c r="CA64" s="133"/>
      <c r="CB64" s="133"/>
      <c r="CC64" s="954"/>
      <c r="CD64" s="954"/>
      <c r="CE64" s="954"/>
      <c r="CF64" s="954"/>
      <c r="CG64" s="587"/>
    </row>
    <row r="65" spans="1:85" s="460" customFormat="1" ht="14.4" hidden="1" outlineLevel="1" x14ac:dyDescent="0.3">
      <c r="A65" s="159" t="s">
        <v>875</v>
      </c>
      <c r="B65" s="586"/>
      <c r="C65" s="150"/>
      <c r="D65" s="150"/>
      <c r="E65" s="150"/>
      <c r="F65" s="150"/>
      <c r="G65" s="117"/>
      <c r="H65" s="117"/>
      <c r="I65" s="117"/>
      <c r="J65" s="117"/>
      <c r="K65" s="150"/>
      <c r="L65" s="117"/>
      <c r="M65" s="117"/>
      <c r="N65" s="117"/>
      <c r="O65" s="117"/>
      <c r="P65" s="150"/>
      <c r="Q65" s="117"/>
      <c r="R65" s="117"/>
      <c r="S65" s="117"/>
      <c r="T65" s="117"/>
      <c r="U65" s="150"/>
      <c r="V65" s="117"/>
      <c r="W65" s="117"/>
      <c r="X65" s="117"/>
      <c r="Y65" s="117"/>
      <c r="Z65" s="150"/>
      <c r="AA65" s="117"/>
      <c r="AB65" s="117"/>
      <c r="AC65" s="117"/>
      <c r="AD65" s="117"/>
      <c r="AE65" s="150"/>
      <c r="AF65" s="117"/>
      <c r="AG65" s="117"/>
      <c r="AH65" s="117"/>
      <c r="AI65" s="117"/>
      <c r="AJ65" s="150"/>
      <c r="AK65" s="117"/>
      <c r="AL65" s="117"/>
      <c r="AM65" s="117"/>
      <c r="AN65" s="117"/>
      <c r="AO65" s="150">
        <f>SUM(AO62:AO64)</f>
        <v>11</v>
      </c>
      <c r="AP65" s="117"/>
      <c r="AQ65" s="117"/>
      <c r="AR65" s="117"/>
      <c r="AS65" s="117"/>
      <c r="AT65" s="150">
        <f>SUM(AT62:AT64)</f>
        <v>2</v>
      </c>
      <c r="AU65" s="117"/>
      <c r="AV65" s="117"/>
      <c r="AW65" s="117"/>
      <c r="AX65" s="117"/>
      <c r="AY65" s="150">
        <f>SUM(AY62:AY64)</f>
        <v>1</v>
      </c>
      <c r="AZ65" s="117"/>
      <c r="BA65" s="117"/>
      <c r="BB65" s="117"/>
      <c r="BC65" s="117"/>
      <c r="BD65" s="150">
        <f>SUM(BD62:BD64)</f>
        <v>2</v>
      </c>
      <c r="BE65" s="117"/>
      <c r="BF65" s="117"/>
      <c r="BG65" s="117"/>
      <c r="BH65" s="117"/>
      <c r="BI65" s="150">
        <f>SUM(BI62:BI64)</f>
        <v>4</v>
      </c>
      <c r="BJ65" s="117"/>
      <c r="BK65" s="117"/>
      <c r="BL65" s="117"/>
      <c r="BM65" s="117"/>
      <c r="BN65" s="150">
        <f>SUM(BN62:BN64)</f>
        <v>0</v>
      </c>
      <c r="BO65" s="117"/>
      <c r="BP65" s="117"/>
      <c r="BQ65" s="117"/>
      <c r="BR65" s="117"/>
      <c r="BS65" s="150">
        <f>SUM(BS62:BS64)</f>
        <v>0</v>
      </c>
      <c r="BT65" s="691"/>
      <c r="BU65" s="117"/>
      <c r="BV65" s="117"/>
      <c r="BW65" s="117"/>
      <c r="BX65" s="150"/>
      <c r="BY65" s="117"/>
      <c r="BZ65" s="117"/>
      <c r="CA65" s="117"/>
      <c r="CB65" s="117"/>
      <c r="CC65" s="150"/>
      <c r="CD65" s="150"/>
      <c r="CE65" s="150"/>
      <c r="CF65" s="150"/>
      <c r="CG65" s="587"/>
    </row>
    <row r="66" spans="1:85" s="460" customFormat="1" ht="14.4" hidden="1" outlineLevel="1" x14ac:dyDescent="0.3">
      <c r="A66" s="591" t="s">
        <v>1612</v>
      </c>
      <c r="B66" s="586"/>
      <c r="C66" s="150"/>
      <c r="D66" s="150"/>
      <c r="E66" s="150"/>
      <c r="F66" s="150"/>
      <c r="G66" s="117"/>
      <c r="H66" s="117"/>
      <c r="I66" s="117"/>
      <c r="J66" s="117"/>
      <c r="K66" s="150"/>
      <c r="L66" s="117"/>
      <c r="M66" s="117"/>
      <c r="N66" s="117"/>
      <c r="O66" s="117"/>
      <c r="P66" s="150"/>
      <c r="Q66" s="117"/>
      <c r="R66" s="117"/>
      <c r="S66" s="117"/>
      <c r="T66" s="117"/>
      <c r="U66" s="150"/>
      <c r="V66" s="117"/>
      <c r="W66" s="117"/>
      <c r="X66" s="117"/>
      <c r="Y66" s="117"/>
      <c r="Z66" s="150"/>
      <c r="AA66" s="117"/>
      <c r="AB66" s="117"/>
      <c r="AC66" s="117"/>
      <c r="AD66" s="117"/>
      <c r="AE66" s="150"/>
      <c r="AF66" s="117"/>
      <c r="AG66" s="117"/>
      <c r="AH66" s="117"/>
      <c r="AI66" s="117"/>
      <c r="AJ66" s="150"/>
      <c r="AK66" s="117"/>
      <c r="AL66" s="117"/>
      <c r="AM66" s="117"/>
      <c r="AN66" s="117"/>
      <c r="AO66" s="150"/>
      <c r="AP66" s="117"/>
      <c r="AQ66" s="117"/>
      <c r="AR66" s="117"/>
      <c r="AS66" s="117"/>
      <c r="AT66" s="975">
        <v>0</v>
      </c>
      <c r="AU66" s="117"/>
      <c r="AV66" s="117"/>
      <c r="AW66" s="117"/>
      <c r="AX66" s="117"/>
      <c r="AY66" s="150"/>
      <c r="AZ66" s="117"/>
      <c r="BA66" s="117"/>
      <c r="BB66" s="117"/>
      <c r="BC66" s="117"/>
      <c r="BD66" s="150"/>
      <c r="BE66" s="117"/>
      <c r="BF66" s="117"/>
      <c r="BG66" s="117"/>
      <c r="BH66" s="117"/>
      <c r="BI66" s="150"/>
      <c r="BJ66" s="117"/>
      <c r="BK66" s="117"/>
      <c r="BL66" s="117"/>
      <c r="BM66" s="117"/>
      <c r="BN66" s="150"/>
      <c r="BO66" s="117"/>
      <c r="BP66" s="117"/>
      <c r="BQ66" s="117"/>
      <c r="BR66" s="117"/>
      <c r="BS66" s="150"/>
      <c r="BT66" s="691"/>
      <c r="BU66" s="117"/>
      <c r="BV66" s="117"/>
      <c r="BW66" s="117"/>
      <c r="BX66" s="150"/>
      <c r="BY66" s="117"/>
      <c r="BZ66" s="117"/>
      <c r="CA66" s="117"/>
      <c r="CB66" s="117"/>
      <c r="CC66" s="150"/>
      <c r="CD66" s="150"/>
      <c r="CE66" s="150"/>
      <c r="CF66" s="150"/>
      <c r="CG66" s="587"/>
    </row>
    <row r="67" spans="1:85" s="460" customFormat="1" ht="14.4" hidden="1" outlineLevel="1" x14ac:dyDescent="0.3">
      <c r="A67" s="591" t="s">
        <v>876</v>
      </c>
      <c r="B67" s="586"/>
      <c r="C67" s="150"/>
      <c r="D67" s="150"/>
      <c r="E67" s="150"/>
      <c r="F67" s="150"/>
      <c r="G67" s="117"/>
      <c r="H67" s="117"/>
      <c r="I67" s="117"/>
      <c r="J67" s="117"/>
      <c r="K67" s="150"/>
      <c r="L67" s="117"/>
      <c r="M67" s="117"/>
      <c r="N67" s="117"/>
      <c r="O67" s="117"/>
      <c r="P67" s="150"/>
      <c r="Q67" s="117"/>
      <c r="R67" s="117"/>
      <c r="S67" s="117"/>
      <c r="T67" s="117"/>
      <c r="U67" s="150"/>
      <c r="V67" s="117"/>
      <c r="W67" s="117"/>
      <c r="X67" s="117"/>
      <c r="Y67" s="117"/>
      <c r="Z67" s="150"/>
      <c r="AA67" s="117"/>
      <c r="AB67" s="117"/>
      <c r="AC67" s="117"/>
      <c r="AD67" s="117"/>
      <c r="AE67" s="150"/>
      <c r="AF67" s="117"/>
      <c r="AG67" s="117"/>
      <c r="AH67" s="117"/>
      <c r="AI67" s="117"/>
      <c r="AJ67" s="150"/>
      <c r="AK67" s="117"/>
      <c r="AL67" s="117"/>
      <c r="AM67" s="117"/>
      <c r="AN67" s="117"/>
      <c r="AO67" s="150"/>
      <c r="AP67" s="117"/>
      <c r="AQ67" s="117"/>
      <c r="AR67" s="117"/>
      <c r="AS67" s="117"/>
      <c r="AT67" s="975">
        <v>0</v>
      </c>
      <c r="AU67" s="117"/>
      <c r="AV67" s="117"/>
      <c r="AW67" s="117"/>
      <c r="AX67" s="117"/>
      <c r="AY67" s="975">
        <v>0</v>
      </c>
      <c r="AZ67" s="117"/>
      <c r="BA67" s="117"/>
      <c r="BB67" s="117"/>
      <c r="BC67" s="117"/>
      <c r="BD67" s="150"/>
      <c r="BE67" s="117"/>
      <c r="BF67" s="117"/>
      <c r="BG67" s="117"/>
      <c r="BH67" s="117"/>
      <c r="BI67" s="150"/>
      <c r="BJ67" s="117"/>
      <c r="BK67" s="117"/>
      <c r="BL67" s="117"/>
      <c r="BM67" s="117"/>
      <c r="BN67" s="975">
        <v>0</v>
      </c>
      <c r="BO67" s="117"/>
      <c r="BP67" s="117"/>
      <c r="BQ67" s="117"/>
      <c r="BR67" s="117"/>
      <c r="BS67" s="975">
        <v>0</v>
      </c>
      <c r="BT67" s="691"/>
      <c r="BU67" s="117"/>
      <c r="BV67" s="117"/>
      <c r="BW67" s="117"/>
      <c r="BX67" s="150"/>
      <c r="BY67" s="117"/>
      <c r="BZ67" s="117"/>
      <c r="CA67" s="117"/>
      <c r="CB67" s="117"/>
      <c r="CC67" s="150"/>
      <c r="CD67" s="150"/>
      <c r="CE67" s="150"/>
      <c r="CF67" s="150"/>
      <c r="CG67" s="587"/>
    </row>
    <row r="68" spans="1:85" s="460" customFormat="1" ht="14.4" hidden="1" outlineLevel="1" x14ac:dyDescent="0.3">
      <c r="A68" s="591" t="s">
        <v>1611</v>
      </c>
      <c r="B68" s="586"/>
      <c r="C68" s="150"/>
      <c r="D68" s="150"/>
      <c r="E68" s="150"/>
      <c r="F68" s="150"/>
      <c r="G68" s="117"/>
      <c r="H68" s="117"/>
      <c r="I68" s="117"/>
      <c r="J68" s="117"/>
      <c r="K68" s="150"/>
      <c r="L68" s="117"/>
      <c r="M68" s="117"/>
      <c r="N68" s="117"/>
      <c r="O68" s="117"/>
      <c r="P68" s="150"/>
      <c r="Q68" s="117"/>
      <c r="R68" s="117"/>
      <c r="S68" s="117"/>
      <c r="T68" s="117"/>
      <c r="U68" s="150"/>
      <c r="V68" s="117"/>
      <c r="W68" s="117"/>
      <c r="X68" s="117"/>
      <c r="Y68" s="117"/>
      <c r="Z68" s="150"/>
      <c r="AA68" s="117"/>
      <c r="AB68" s="117"/>
      <c r="AC68" s="117"/>
      <c r="AD68" s="117"/>
      <c r="AE68" s="150"/>
      <c r="AF68" s="117"/>
      <c r="AG68" s="117"/>
      <c r="AH68" s="117"/>
      <c r="AI68" s="117"/>
      <c r="AJ68" s="150"/>
      <c r="AK68" s="117"/>
      <c r="AL68" s="117"/>
      <c r="AM68" s="117"/>
      <c r="AN68" s="117"/>
      <c r="AO68" s="150"/>
      <c r="AP68" s="117"/>
      <c r="AQ68" s="117"/>
      <c r="AR68" s="117"/>
      <c r="AS68" s="117"/>
      <c r="AT68" s="975">
        <v>0</v>
      </c>
      <c r="AU68" s="117"/>
      <c r="AV68" s="117"/>
      <c r="AW68" s="117"/>
      <c r="AX68" s="117"/>
      <c r="AY68" s="150"/>
      <c r="AZ68" s="117"/>
      <c r="BA68" s="117"/>
      <c r="BB68" s="117"/>
      <c r="BC68" s="117"/>
      <c r="BD68" s="150"/>
      <c r="BE68" s="117"/>
      <c r="BF68" s="117"/>
      <c r="BG68" s="117"/>
      <c r="BH68" s="117"/>
      <c r="BI68" s="150"/>
      <c r="BJ68" s="117"/>
      <c r="BK68" s="117"/>
      <c r="BL68" s="117"/>
      <c r="BM68" s="117"/>
      <c r="BN68" s="150"/>
      <c r="BO68" s="117"/>
      <c r="BP68" s="117"/>
      <c r="BQ68" s="117"/>
      <c r="BR68" s="117"/>
      <c r="BS68" s="150"/>
      <c r="BT68" s="691"/>
      <c r="BU68" s="117"/>
      <c r="BV68" s="117"/>
      <c r="BW68" s="117"/>
      <c r="BX68" s="150"/>
      <c r="BY68" s="117"/>
      <c r="BZ68" s="117"/>
      <c r="CA68" s="117"/>
      <c r="CB68" s="117"/>
      <c r="CC68" s="150"/>
      <c r="CD68" s="150"/>
      <c r="CE68" s="150"/>
      <c r="CF68" s="150"/>
      <c r="CG68" s="587"/>
    </row>
    <row r="69" spans="1:85" s="460" customFormat="1" ht="14.4" hidden="1" outlineLevel="1" x14ac:dyDescent="0.3">
      <c r="A69" s="592" t="s">
        <v>877</v>
      </c>
      <c r="B69" s="588"/>
      <c r="C69" s="954"/>
      <c r="D69" s="954"/>
      <c r="E69" s="954"/>
      <c r="F69" s="954"/>
      <c r="G69" s="133"/>
      <c r="H69" s="133"/>
      <c r="I69" s="133"/>
      <c r="J69" s="133"/>
      <c r="K69" s="954"/>
      <c r="L69" s="133"/>
      <c r="M69" s="133"/>
      <c r="N69" s="133"/>
      <c r="O69" s="133"/>
      <c r="P69" s="954"/>
      <c r="Q69" s="133"/>
      <c r="R69" s="133"/>
      <c r="S69" s="133"/>
      <c r="T69" s="133"/>
      <c r="U69" s="954"/>
      <c r="V69" s="133"/>
      <c r="W69" s="133"/>
      <c r="X69" s="133"/>
      <c r="Y69" s="133"/>
      <c r="Z69" s="954"/>
      <c r="AA69" s="133"/>
      <c r="AB69" s="133"/>
      <c r="AC69" s="133"/>
      <c r="AD69" s="133"/>
      <c r="AE69" s="954"/>
      <c r="AF69" s="133"/>
      <c r="AG69" s="133"/>
      <c r="AH69" s="133"/>
      <c r="AI69" s="133"/>
      <c r="AJ69" s="954"/>
      <c r="AK69" s="133"/>
      <c r="AL69" s="133"/>
      <c r="AM69" s="133"/>
      <c r="AN69" s="133"/>
      <c r="AO69" s="954"/>
      <c r="AP69" s="133"/>
      <c r="AQ69" s="133"/>
      <c r="AR69" s="133"/>
      <c r="AS69" s="133"/>
      <c r="AT69" s="976">
        <v>0</v>
      </c>
      <c r="AU69" s="133"/>
      <c r="AV69" s="133"/>
      <c r="AW69" s="133"/>
      <c r="AX69" s="133"/>
      <c r="AY69" s="976">
        <v>0</v>
      </c>
      <c r="AZ69" s="133"/>
      <c r="BA69" s="133"/>
      <c r="BB69" s="133"/>
      <c r="BC69" s="133"/>
      <c r="BD69" s="954"/>
      <c r="BE69" s="133"/>
      <c r="BF69" s="133"/>
      <c r="BG69" s="133"/>
      <c r="BH69" s="133"/>
      <c r="BI69" s="954"/>
      <c r="BJ69" s="133"/>
      <c r="BK69" s="133"/>
      <c r="BL69" s="133"/>
      <c r="BM69" s="133"/>
      <c r="BN69" s="976">
        <v>0</v>
      </c>
      <c r="BO69" s="133"/>
      <c r="BP69" s="133"/>
      <c r="BQ69" s="133"/>
      <c r="BR69" s="133"/>
      <c r="BS69" s="976">
        <v>0</v>
      </c>
      <c r="BT69" s="692"/>
      <c r="BU69" s="133"/>
      <c r="BV69" s="133"/>
      <c r="BW69" s="133"/>
      <c r="BX69" s="954"/>
      <c r="BY69" s="133"/>
      <c r="BZ69" s="133"/>
      <c r="CA69" s="133"/>
      <c r="CB69" s="133"/>
      <c r="CC69" s="954"/>
      <c r="CD69" s="954"/>
      <c r="CE69" s="954"/>
      <c r="CF69" s="954"/>
      <c r="CG69" s="587"/>
    </row>
    <row r="70" spans="1:85" s="460" customFormat="1" ht="14.4" hidden="1" outlineLevel="1" x14ac:dyDescent="0.3">
      <c r="A70" s="159" t="s">
        <v>878</v>
      </c>
      <c r="B70" s="586"/>
      <c r="C70" s="150"/>
      <c r="D70" s="150"/>
      <c r="E70" s="150"/>
      <c r="F70" s="150"/>
      <c r="G70" s="117"/>
      <c r="H70" s="117"/>
      <c r="I70" s="117"/>
      <c r="J70" s="117"/>
      <c r="K70" s="150"/>
      <c r="L70" s="117"/>
      <c r="M70" s="117"/>
      <c r="N70" s="117"/>
      <c r="O70" s="117"/>
      <c r="P70" s="150"/>
      <c r="Q70" s="117"/>
      <c r="R70" s="117"/>
      <c r="S70" s="117"/>
      <c r="T70" s="117"/>
      <c r="U70" s="150"/>
      <c r="V70" s="117"/>
      <c r="W70" s="117"/>
      <c r="X70" s="117"/>
      <c r="Y70" s="117"/>
      <c r="Z70" s="150"/>
      <c r="AA70" s="117"/>
      <c r="AB70" s="117"/>
      <c r="AC70" s="117"/>
      <c r="AD70" s="117"/>
      <c r="AE70" s="150"/>
      <c r="AF70" s="117"/>
      <c r="AG70" s="117"/>
      <c r="AH70" s="117"/>
      <c r="AI70" s="117"/>
      <c r="AJ70" s="150"/>
      <c r="AK70" s="117"/>
      <c r="AL70" s="117"/>
      <c r="AM70" s="117"/>
      <c r="AN70" s="117"/>
      <c r="AO70" s="150">
        <f>SUM(AO66:AO69)</f>
        <v>0</v>
      </c>
      <c r="AP70" s="117"/>
      <c r="AQ70" s="117"/>
      <c r="AR70" s="117"/>
      <c r="AS70" s="117"/>
      <c r="AT70" s="150">
        <f>SUM(AT66:AT69)</f>
        <v>0</v>
      </c>
      <c r="AU70" s="117"/>
      <c r="AV70" s="117"/>
      <c r="AW70" s="117"/>
      <c r="AX70" s="117"/>
      <c r="AY70" s="150">
        <f>SUM(AY66:AY69)</f>
        <v>0</v>
      </c>
      <c r="AZ70" s="117"/>
      <c r="BA70" s="117"/>
      <c r="BB70" s="117"/>
      <c r="BC70" s="117"/>
      <c r="BD70" s="150">
        <f>SUM(BD66:BD69)</f>
        <v>0</v>
      </c>
      <c r="BE70" s="117"/>
      <c r="BF70" s="117"/>
      <c r="BG70" s="117"/>
      <c r="BH70" s="117"/>
      <c r="BI70" s="150">
        <f>SUM(BI66:BI69)</f>
        <v>0</v>
      </c>
      <c r="BJ70" s="117"/>
      <c r="BK70" s="117"/>
      <c r="BL70" s="117"/>
      <c r="BM70" s="117"/>
      <c r="BN70" s="150">
        <f>SUM(BN66:BN69)</f>
        <v>0</v>
      </c>
      <c r="BO70" s="117"/>
      <c r="BP70" s="117"/>
      <c r="BQ70" s="117"/>
      <c r="BR70" s="117"/>
      <c r="BS70" s="150">
        <f>SUM(BS66:BS69)</f>
        <v>0</v>
      </c>
      <c r="BT70" s="691"/>
      <c r="BU70" s="117"/>
      <c r="BV70" s="117"/>
      <c r="BW70" s="117"/>
      <c r="BX70" s="150"/>
      <c r="BY70" s="117"/>
      <c r="BZ70" s="117"/>
      <c r="CA70" s="117"/>
      <c r="CB70" s="117"/>
      <c r="CC70" s="150"/>
      <c r="CD70" s="150"/>
      <c r="CE70" s="150"/>
      <c r="CF70" s="150"/>
      <c r="CG70" s="587"/>
    </row>
    <row r="71" spans="1:85" s="460" customFormat="1" ht="14.4" hidden="1" outlineLevel="1" x14ac:dyDescent="0.3">
      <c r="A71" s="262" t="s">
        <v>879</v>
      </c>
      <c r="B71" s="588"/>
      <c r="C71" s="954"/>
      <c r="D71" s="954"/>
      <c r="E71" s="954"/>
      <c r="F71" s="954"/>
      <c r="G71" s="133"/>
      <c r="H71" s="133"/>
      <c r="I71" s="133"/>
      <c r="J71" s="133"/>
      <c r="K71" s="954"/>
      <c r="L71" s="133"/>
      <c r="M71" s="133"/>
      <c r="N71" s="133"/>
      <c r="O71" s="133"/>
      <c r="P71" s="954"/>
      <c r="Q71" s="133"/>
      <c r="R71" s="133"/>
      <c r="S71" s="133"/>
      <c r="T71" s="133"/>
      <c r="U71" s="954"/>
      <c r="V71" s="133"/>
      <c r="W71" s="133"/>
      <c r="X71" s="133"/>
      <c r="Y71" s="133"/>
      <c r="Z71" s="954"/>
      <c r="AA71" s="133"/>
      <c r="AB71" s="133"/>
      <c r="AC71" s="133"/>
      <c r="AD71" s="133"/>
      <c r="AE71" s="954"/>
      <c r="AF71" s="133"/>
      <c r="AG71" s="133"/>
      <c r="AH71" s="133"/>
      <c r="AI71" s="133"/>
      <c r="AJ71" s="954"/>
      <c r="AK71" s="133"/>
      <c r="AL71" s="133"/>
      <c r="AM71" s="133"/>
      <c r="AN71" s="133"/>
      <c r="AO71" s="976">
        <v>199</v>
      </c>
      <c r="AP71" s="133"/>
      <c r="AQ71" s="133"/>
      <c r="AR71" s="133"/>
      <c r="AS71" s="133"/>
      <c r="AT71" s="976">
        <v>37</v>
      </c>
      <c r="AU71" s="133"/>
      <c r="AV71" s="133"/>
      <c r="AW71" s="133"/>
      <c r="AX71" s="133"/>
      <c r="AY71" s="976">
        <v>44</v>
      </c>
      <c r="AZ71" s="133"/>
      <c r="BA71" s="133"/>
      <c r="BB71" s="133"/>
      <c r="BC71" s="133"/>
      <c r="BD71" s="976">
        <v>35</v>
      </c>
      <c r="BE71" s="133"/>
      <c r="BF71" s="133"/>
      <c r="BG71" s="133"/>
      <c r="BH71" s="133"/>
      <c r="BI71" s="976">
        <v>64</v>
      </c>
      <c r="BJ71" s="133"/>
      <c r="BK71" s="133"/>
      <c r="BL71" s="133"/>
      <c r="BM71" s="133"/>
      <c r="BN71" s="976">
        <v>54</v>
      </c>
      <c r="BO71" s="133"/>
      <c r="BP71" s="133"/>
      <c r="BQ71" s="133"/>
      <c r="BR71" s="133"/>
      <c r="BS71" s="976">
        <v>71</v>
      </c>
      <c r="BT71" s="692"/>
      <c r="BU71" s="133"/>
      <c r="BV71" s="133"/>
      <c r="BW71" s="133"/>
      <c r="BX71" s="954"/>
      <c r="BY71" s="133"/>
      <c r="BZ71" s="133"/>
      <c r="CA71" s="133"/>
      <c r="CB71" s="133"/>
      <c r="CC71" s="954"/>
      <c r="CD71" s="954"/>
      <c r="CE71" s="954"/>
      <c r="CF71" s="954"/>
      <c r="CG71" s="587"/>
    </row>
    <row r="72" spans="1:85" s="461" customFormat="1" ht="14.4" hidden="1" outlineLevel="1" x14ac:dyDescent="0.3">
      <c r="A72" s="166" t="s">
        <v>880</v>
      </c>
      <c r="B72" s="583"/>
      <c r="C72" s="957"/>
      <c r="D72" s="957"/>
      <c r="E72" s="957"/>
      <c r="F72" s="957"/>
      <c r="G72" s="120"/>
      <c r="H72" s="120"/>
      <c r="I72" s="120"/>
      <c r="J72" s="120"/>
      <c r="K72" s="957"/>
      <c r="L72" s="120"/>
      <c r="M72" s="120"/>
      <c r="N72" s="120"/>
      <c r="O72" s="120"/>
      <c r="P72" s="957"/>
      <c r="Q72" s="120"/>
      <c r="R72" s="120"/>
      <c r="S72" s="120"/>
      <c r="T72" s="120"/>
      <c r="U72" s="957"/>
      <c r="V72" s="120"/>
      <c r="W72" s="120"/>
      <c r="X72" s="120"/>
      <c r="Y72" s="120"/>
      <c r="Z72" s="957"/>
      <c r="AA72" s="120"/>
      <c r="AB72" s="120"/>
      <c r="AC72" s="120"/>
      <c r="AD72" s="120"/>
      <c r="AE72" s="957"/>
      <c r="AF72" s="120"/>
      <c r="AG72" s="120"/>
      <c r="AH72" s="120"/>
      <c r="AI72" s="120"/>
      <c r="AJ72" s="957"/>
      <c r="AK72" s="120"/>
      <c r="AL72" s="120"/>
      <c r="AM72" s="120"/>
      <c r="AN72" s="120"/>
      <c r="AO72" s="957">
        <f>AO65+AO70+AO71</f>
        <v>210</v>
      </c>
      <c r="AP72" s="120"/>
      <c r="AQ72" s="120"/>
      <c r="AR72" s="120"/>
      <c r="AS72" s="120"/>
      <c r="AT72" s="957">
        <f>AT65+AT70+AT71</f>
        <v>39</v>
      </c>
      <c r="AU72" s="120"/>
      <c r="AV72" s="120"/>
      <c r="AW72" s="120"/>
      <c r="AX72" s="120"/>
      <c r="AY72" s="957">
        <f>AY65+AY70+AY71</f>
        <v>45</v>
      </c>
      <c r="AZ72" s="120"/>
      <c r="BA72" s="120"/>
      <c r="BB72" s="120"/>
      <c r="BC72" s="120"/>
      <c r="BD72" s="957">
        <f>BD65+BD70+BD71</f>
        <v>37</v>
      </c>
      <c r="BE72" s="120"/>
      <c r="BF72" s="120"/>
      <c r="BG72" s="120"/>
      <c r="BH72" s="120"/>
      <c r="BI72" s="957">
        <f>BI65+BI70+BI71</f>
        <v>68</v>
      </c>
      <c r="BJ72" s="120"/>
      <c r="BK72" s="120"/>
      <c r="BL72" s="120"/>
      <c r="BM72" s="120"/>
      <c r="BN72" s="957">
        <f>BN65+BN70+BN71</f>
        <v>54</v>
      </c>
      <c r="BO72" s="120"/>
      <c r="BP72" s="120"/>
      <c r="BQ72" s="120"/>
      <c r="BR72" s="120"/>
      <c r="BS72" s="957">
        <f>BS65+BS70+BS71</f>
        <v>71</v>
      </c>
      <c r="BT72" s="694"/>
      <c r="BU72" s="120"/>
      <c r="BV72" s="120"/>
      <c r="BW72" s="120"/>
      <c r="BX72" s="957"/>
      <c r="BY72" s="120"/>
      <c r="BZ72" s="120"/>
      <c r="CA72" s="120"/>
      <c r="CB72" s="120"/>
      <c r="CC72" s="957"/>
      <c r="CD72" s="957"/>
      <c r="CE72" s="957"/>
      <c r="CF72" s="957"/>
      <c r="CG72" s="615"/>
    </row>
    <row r="73" spans="1:85" s="460" customFormat="1" ht="14.4" hidden="1" outlineLevel="1" x14ac:dyDescent="0.3">
      <c r="A73" s="591" t="s">
        <v>881</v>
      </c>
      <c r="B73" s="586"/>
      <c r="C73" s="150"/>
      <c r="D73" s="150"/>
      <c r="E73" s="150"/>
      <c r="F73" s="150"/>
      <c r="G73" s="117"/>
      <c r="H73" s="117"/>
      <c r="I73" s="117"/>
      <c r="J73" s="117"/>
      <c r="K73" s="150"/>
      <c r="L73" s="117"/>
      <c r="M73" s="117"/>
      <c r="N73" s="117"/>
      <c r="O73" s="117"/>
      <c r="P73" s="150"/>
      <c r="Q73" s="117"/>
      <c r="R73" s="117"/>
      <c r="S73" s="117"/>
      <c r="T73" s="117"/>
      <c r="U73" s="150"/>
      <c r="V73" s="117"/>
      <c r="W73" s="117"/>
      <c r="X73" s="117"/>
      <c r="Y73" s="117"/>
      <c r="Z73" s="150"/>
      <c r="AA73" s="117"/>
      <c r="AB73" s="117"/>
      <c r="AC73" s="117"/>
      <c r="AD73" s="117"/>
      <c r="AE73" s="150"/>
      <c r="AF73" s="117"/>
      <c r="AG73" s="117"/>
      <c r="AH73" s="117"/>
      <c r="AI73" s="117"/>
      <c r="AJ73" s="150"/>
      <c r="AK73" s="117"/>
      <c r="AL73" s="117"/>
      <c r="AM73" s="117"/>
      <c r="AN73" s="117"/>
      <c r="AO73" s="150">
        <f>AO7+AO18+AO29+AO40+AO51+AO62</f>
        <v>634</v>
      </c>
      <c r="AP73" s="117"/>
      <c r="AQ73" s="117"/>
      <c r="AR73" s="117"/>
      <c r="AS73" s="117"/>
      <c r="AT73" s="150">
        <f>AT7+AT18+AT29+AT40+AT51+AT62</f>
        <v>381</v>
      </c>
      <c r="AU73" s="117"/>
      <c r="AV73" s="117"/>
      <c r="AW73" s="117"/>
      <c r="AX73" s="117"/>
      <c r="AY73" s="150">
        <f>AY7+AY18+AY29+AY40+AY51+AY62</f>
        <v>256</v>
      </c>
      <c r="AZ73" s="117"/>
      <c r="BA73" s="117"/>
      <c r="BB73" s="117"/>
      <c r="BC73" s="117"/>
      <c r="BD73" s="150">
        <f>BD7+BD18+BD29+BD40+BD51+BD62</f>
        <v>439</v>
      </c>
      <c r="BE73" s="117"/>
      <c r="BF73" s="117"/>
      <c r="BG73" s="117"/>
      <c r="BH73" s="117"/>
      <c r="BI73" s="150">
        <f>BI7+BI18+BI29+BI40+BI51+BI62</f>
        <v>530</v>
      </c>
      <c r="BJ73" s="117"/>
      <c r="BK73" s="117"/>
      <c r="BL73" s="117"/>
      <c r="BM73" s="117"/>
      <c r="BN73" s="150">
        <f>BN7+BN18+BN29+BN40+BN51+BN62</f>
        <v>448</v>
      </c>
      <c r="BO73" s="117"/>
      <c r="BP73" s="117"/>
      <c r="BQ73" s="117"/>
      <c r="BR73" s="117"/>
      <c r="BS73" s="150">
        <f>BS7+BS18+BS29+BS40+BS51+BS62</f>
        <v>511</v>
      </c>
      <c r="BT73" s="691"/>
      <c r="BU73" s="117"/>
      <c r="BV73" s="117"/>
      <c r="BW73" s="117"/>
      <c r="BX73" s="150"/>
      <c r="BY73" s="117"/>
      <c r="BZ73" s="117"/>
      <c r="CA73" s="117"/>
      <c r="CB73" s="117"/>
      <c r="CC73" s="150"/>
      <c r="CD73" s="150"/>
      <c r="CE73" s="150"/>
      <c r="CF73" s="150"/>
      <c r="CG73" s="587"/>
    </row>
    <row r="74" spans="1:85" s="460" customFormat="1" ht="14.4" hidden="1" outlineLevel="1" x14ac:dyDescent="0.3">
      <c r="A74" s="591" t="s">
        <v>882</v>
      </c>
      <c r="B74" s="586"/>
      <c r="C74" s="150"/>
      <c r="D74" s="150"/>
      <c r="E74" s="150"/>
      <c r="F74" s="150"/>
      <c r="G74" s="117"/>
      <c r="H74" s="117"/>
      <c r="I74" s="117"/>
      <c r="J74" s="117"/>
      <c r="K74" s="150"/>
      <c r="L74" s="117"/>
      <c r="M74" s="117"/>
      <c r="N74" s="117"/>
      <c r="O74" s="117"/>
      <c r="P74" s="150"/>
      <c r="Q74" s="117"/>
      <c r="R74" s="117"/>
      <c r="S74" s="117"/>
      <c r="T74" s="117"/>
      <c r="U74" s="150"/>
      <c r="V74" s="117"/>
      <c r="W74" s="117"/>
      <c r="X74" s="117"/>
      <c r="Y74" s="117"/>
      <c r="Z74" s="150"/>
      <c r="AA74" s="117"/>
      <c r="AB74" s="117"/>
      <c r="AC74" s="117"/>
      <c r="AD74" s="117"/>
      <c r="AE74" s="150"/>
      <c r="AF74" s="117"/>
      <c r="AG74" s="117"/>
      <c r="AH74" s="117"/>
      <c r="AI74" s="117"/>
      <c r="AJ74" s="150"/>
      <c r="AK74" s="117"/>
      <c r="AL74" s="117"/>
      <c r="AM74" s="117"/>
      <c r="AN74" s="117"/>
      <c r="AO74" s="150">
        <f>AO8+AO19+AO30+AO41+AO52+AO63</f>
        <v>238</v>
      </c>
      <c r="AP74" s="117"/>
      <c r="AQ74" s="117"/>
      <c r="AR74" s="117"/>
      <c r="AS74" s="117"/>
      <c r="AT74" s="150">
        <f>AT8+AT19+AT30+AT41+AT52+AT63</f>
        <v>185</v>
      </c>
      <c r="AU74" s="117"/>
      <c r="AV74" s="117"/>
      <c r="AW74" s="117"/>
      <c r="AX74" s="117"/>
      <c r="AY74" s="150">
        <f>AY8+AY19+AY30+AY41+AY52+AY63</f>
        <v>187</v>
      </c>
      <c r="AZ74" s="117"/>
      <c r="BA74" s="117"/>
      <c r="BB74" s="117"/>
      <c r="BC74" s="117"/>
      <c r="BD74" s="150">
        <f>BD8+BD19+BD30+BD41+BD52+BD63</f>
        <v>237</v>
      </c>
      <c r="BE74" s="117"/>
      <c r="BF74" s="117"/>
      <c r="BG74" s="117"/>
      <c r="BH74" s="117"/>
      <c r="BI74" s="150">
        <f>BI8+BI19+BI30+BI41+BI52+BI63</f>
        <v>216</v>
      </c>
      <c r="BJ74" s="117"/>
      <c r="BK74" s="117"/>
      <c r="BL74" s="117"/>
      <c r="BM74" s="117"/>
      <c r="BN74" s="150">
        <f>BN8+BN19+BN30+BN41+BN52+BN63</f>
        <v>327</v>
      </c>
      <c r="BO74" s="117"/>
      <c r="BP74" s="117"/>
      <c r="BQ74" s="117"/>
      <c r="BR74" s="117"/>
      <c r="BS74" s="150">
        <f>BS8+BS19+BS30+BS41+BS52+BS63</f>
        <v>438</v>
      </c>
      <c r="BT74" s="691"/>
      <c r="BU74" s="117"/>
      <c r="BV74" s="117"/>
      <c r="BW74" s="117"/>
      <c r="BX74" s="150"/>
      <c r="BY74" s="117"/>
      <c r="BZ74" s="117"/>
      <c r="CA74" s="117"/>
      <c r="CB74" s="117"/>
      <c r="CC74" s="150"/>
      <c r="CD74" s="150"/>
      <c r="CE74" s="150"/>
      <c r="CF74" s="150"/>
      <c r="CG74" s="587"/>
    </row>
    <row r="75" spans="1:85" s="460" customFormat="1" ht="14.4" hidden="1" outlineLevel="1" x14ac:dyDescent="0.3">
      <c r="A75" s="592" t="s">
        <v>883</v>
      </c>
      <c r="B75" s="588"/>
      <c r="C75" s="954"/>
      <c r="D75" s="954"/>
      <c r="E75" s="954"/>
      <c r="F75" s="954"/>
      <c r="G75" s="133"/>
      <c r="H75" s="133"/>
      <c r="I75" s="133"/>
      <c r="J75" s="133"/>
      <c r="K75" s="954"/>
      <c r="L75" s="133"/>
      <c r="M75" s="133"/>
      <c r="N75" s="133"/>
      <c r="O75" s="133"/>
      <c r="P75" s="954"/>
      <c r="Q75" s="133"/>
      <c r="R75" s="133"/>
      <c r="S75" s="133"/>
      <c r="T75" s="133"/>
      <c r="U75" s="954"/>
      <c r="V75" s="133"/>
      <c r="W75" s="133"/>
      <c r="X75" s="133"/>
      <c r="Y75" s="133"/>
      <c r="Z75" s="954"/>
      <c r="AA75" s="133"/>
      <c r="AB75" s="133"/>
      <c r="AC75" s="133"/>
      <c r="AD75" s="133"/>
      <c r="AE75" s="954"/>
      <c r="AF75" s="133"/>
      <c r="AG75" s="133"/>
      <c r="AH75" s="133"/>
      <c r="AI75" s="133"/>
      <c r="AJ75" s="954"/>
      <c r="AK75" s="133"/>
      <c r="AL75" s="133"/>
      <c r="AM75" s="133"/>
      <c r="AN75" s="133"/>
      <c r="AO75" s="954">
        <f>AO9+AO20+AO31+AO42+AO53+AO64</f>
        <v>306</v>
      </c>
      <c r="AP75" s="133"/>
      <c r="AQ75" s="133"/>
      <c r="AR75" s="133"/>
      <c r="AS75" s="133"/>
      <c r="AT75" s="954">
        <f>AT9+AT20+AT31+AT42+AT53+AT64</f>
        <v>307</v>
      </c>
      <c r="AU75" s="133"/>
      <c r="AV75" s="133"/>
      <c r="AW75" s="133"/>
      <c r="AX75" s="133"/>
      <c r="AY75" s="954">
        <f>AY9+AY20+AY31+AY42+AY53+AY64</f>
        <v>239</v>
      </c>
      <c r="AZ75" s="133"/>
      <c r="BA75" s="133"/>
      <c r="BB75" s="133"/>
      <c r="BC75" s="133"/>
      <c r="BD75" s="954">
        <f>BD9+BD20+BD31+BD42+BD53+BD64</f>
        <v>259</v>
      </c>
      <c r="BE75" s="133"/>
      <c r="BF75" s="133"/>
      <c r="BG75" s="133"/>
      <c r="BH75" s="133"/>
      <c r="BI75" s="954">
        <f>BI9+BI20+BI31+BI42+BI53+BI64</f>
        <v>262</v>
      </c>
      <c r="BJ75" s="133"/>
      <c r="BK75" s="133"/>
      <c r="BL75" s="133"/>
      <c r="BM75" s="133"/>
      <c r="BN75" s="954">
        <f>BN9+BN20+BN31+BN42+BN53+BN64</f>
        <v>239</v>
      </c>
      <c r="BO75" s="133"/>
      <c r="BP75" s="133"/>
      <c r="BQ75" s="133"/>
      <c r="BR75" s="133"/>
      <c r="BS75" s="954">
        <f>BS9+BS20+BS31+BS42+BS53+BS64</f>
        <v>287</v>
      </c>
      <c r="BT75" s="692"/>
      <c r="BU75" s="133"/>
      <c r="BV75" s="133"/>
      <c r="BW75" s="133"/>
      <c r="BX75" s="954"/>
      <c r="BY75" s="133"/>
      <c r="BZ75" s="133"/>
      <c r="CA75" s="133"/>
      <c r="CB75" s="133"/>
      <c r="CC75" s="954"/>
      <c r="CD75" s="954"/>
      <c r="CE75" s="954"/>
      <c r="CF75" s="954"/>
      <c r="CG75" s="587"/>
    </row>
    <row r="76" spans="1:85" s="460" customFormat="1" ht="14.4" hidden="1" outlineLevel="1" x14ac:dyDescent="0.3">
      <c r="A76" s="159" t="s">
        <v>887</v>
      </c>
      <c r="B76" s="586"/>
      <c r="C76" s="150"/>
      <c r="D76" s="150"/>
      <c r="E76" s="150"/>
      <c r="F76" s="150"/>
      <c r="G76" s="117"/>
      <c r="H76" s="117"/>
      <c r="I76" s="117"/>
      <c r="J76" s="117"/>
      <c r="K76" s="150"/>
      <c r="L76" s="117"/>
      <c r="M76" s="117"/>
      <c r="N76" s="117"/>
      <c r="O76" s="117"/>
      <c r="P76" s="150"/>
      <c r="Q76" s="117"/>
      <c r="R76" s="117"/>
      <c r="S76" s="117"/>
      <c r="T76" s="117"/>
      <c r="U76" s="150"/>
      <c r="V76" s="117"/>
      <c r="W76" s="117"/>
      <c r="X76" s="117"/>
      <c r="Y76" s="117"/>
      <c r="Z76" s="150"/>
      <c r="AA76" s="117"/>
      <c r="AB76" s="117"/>
      <c r="AC76" s="117"/>
      <c r="AD76" s="117"/>
      <c r="AE76" s="150"/>
      <c r="AF76" s="117"/>
      <c r="AG76" s="117"/>
      <c r="AH76" s="117"/>
      <c r="AI76" s="117"/>
      <c r="AJ76" s="150"/>
      <c r="AK76" s="117"/>
      <c r="AL76" s="117"/>
      <c r="AM76" s="117"/>
      <c r="AN76" s="117"/>
      <c r="AO76" s="150">
        <f>SUM(AO73:AO75)</f>
        <v>1178</v>
      </c>
      <c r="AP76" s="117"/>
      <c r="AQ76" s="117"/>
      <c r="AR76" s="117"/>
      <c r="AS76" s="117"/>
      <c r="AT76" s="150">
        <f>SUM(AT73:AT75)</f>
        <v>873</v>
      </c>
      <c r="AU76" s="117"/>
      <c r="AV76" s="117"/>
      <c r="AW76" s="117"/>
      <c r="AX76" s="117"/>
      <c r="AY76" s="150">
        <f>SUM(AY73:AY75)</f>
        <v>682</v>
      </c>
      <c r="AZ76" s="117"/>
      <c r="BA76" s="117"/>
      <c r="BB76" s="117"/>
      <c r="BC76" s="117"/>
      <c r="BD76" s="150">
        <f>SUM(BD73:BD75)</f>
        <v>935</v>
      </c>
      <c r="BE76" s="117"/>
      <c r="BF76" s="117"/>
      <c r="BG76" s="117"/>
      <c r="BH76" s="117"/>
      <c r="BI76" s="150">
        <f>SUM(BI73:BI75)</f>
        <v>1008</v>
      </c>
      <c r="BJ76" s="117"/>
      <c r="BK76" s="117"/>
      <c r="BL76" s="117"/>
      <c r="BM76" s="117"/>
      <c r="BN76" s="150">
        <f>SUM(BN73:BN75)</f>
        <v>1014</v>
      </c>
      <c r="BO76" s="117"/>
      <c r="BP76" s="117"/>
      <c r="BQ76" s="117"/>
      <c r="BR76" s="117"/>
      <c r="BS76" s="150">
        <f>SUM(BS73:BS75)</f>
        <v>1236</v>
      </c>
      <c r="BT76" s="691"/>
      <c r="BU76" s="117"/>
      <c r="BV76" s="117"/>
      <c r="BW76" s="117"/>
      <c r="BX76" s="150"/>
      <c r="BY76" s="117"/>
      <c r="BZ76" s="117"/>
      <c r="CA76" s="117"/>
      <c r="CB76" s="117"/>
      <c r="CC76" s="150"/>
      <c r="CD76" s="150"/>
      <c r="CE76" s="150"/>
      <c r="CF76" s="150"/>
      <c r="CG76" s="587"/>
    </row>
    <row r="77" spans="1:85" s="460" customFormat="1" ht="14.4" hidden="1" outlineLevel="1" x14ac:dyDescent="0.3">
      <c r="A77" s="591" t="s">
        <v>1613</v>
      </c>
      <c r="B77" s="586"/>
      <c r="C77" s="150"/>
      <c r="D77" s="150"/>
      <c r="E77" s="150"/>
      <c r="F77" s="150"/>
      <c r="G77" s="117"/>
      <c r="H77" s="117"/>
      <c r="I77" s="117"/>
      <c r="J77" s="117"/>
      <c r="K77" s="150"/>
      <c r="L77" s="117"/>
      <c r="M77" s="117"/>
      <c r="N77" s="117"/>
      <c r="O77" s="117"/>
      <c r="P77" s="150"/>
      <c r="Q77" s="117"/>
      <c r="R77" s="117"/>
      <c r="S77" s="117"/>
      <c r="T77" s="117"/>
      <c r="U77" s="150"/>
      <c r="V77" s="117"/>
      <c r="W77" s="117"/>
      <c r="X77" s="117"/>
      <c r="Y77" s="117"/>
      <c r="Z77" s="150"/>
      <c r="AA77" s="117"/>
      <c r="AB77" s="117"/>
      <c r="AC77" s="117"/>
      <c r="AD77" s="117"/>
      <c r="AE77" s="150"/>
      <c r="AF77" s="117"/>
      <c r="AG77" s="117"/>
      <c r="AH77" s="117"/>
      <c r="AI77" s="117"/>
      <c r="AJ77" s="150"/>
      <c r="AK77" s="117"/>
      <c r="AL77" s="117"/>
      <c r="AM77" s="117"/>
      <c r="AN77" s="117"/>
      <c r="AO77" s="150">
        <f>AO11+AO22+AO33+AO44+AO55+AO66</f>
        <v>208</v>
      </c>
      <c r="AP77" s="117"/>
      <c r="AQ77" s="117"/>
      <c r="AR77" s="117"/>
      <c r="AS77" s="117"/>
      <c r="AT77" s="150">
        <f>AT11+AT22+AT33+AT44+AT55+AT66</f>
        <v>11846</v>
      </c>
      <c r="AU77" s="117"/>
      <c r="AV77" s="117"/>
      <c r="AW77" s="117"/>
      <c r="AX77" s="117"/>
      <c r="AY77" s="150">
        <f>AY11+AY22+AY33+AY44+AY55+AY66</f>
        <v>0</v>
      </c>
      <c r="AZ77" s="117"/>
      <c r="BA77" s="117"/>
      <c r="BB77" s="117"/>
      <c r="BC77" s="117"/>
      <c r="BD77" s="150">
        <f>BD11+BD22+BD33+BD44+BD55+BD66</f>
        <v>0</v>
      </c>
      <c r="BE77" s="117"/>
      <c r="BF77" s="117"/>
      <c r="BG77" s="117"/>
      <c r="BH77" s="117"/>
      <c r="BI77" s="150">
        <f>BI11+BI22+BI33+BI44+BI55+BI66</f>
        <v>0</v>
      </c>
      <c r="BJ77" s="117"/>
      <c r="BK77" s="117"/>
      <c r="BL77" s="117"/>
      <c r="BM77" s="117"/>
      <c r="BN77" s="150">
        <f>BN11+BN22+BN33+BN44+BN55+BN66</f>
        <v>0</v>
      </c>
      <c r="BO77" s="117"/>
      <c r="BP77" s="117"/>
      <c r="BQ77" s="117"/>
      <c r="BR77" s="117"/>
      <c r="BS77" s="150">
        <f>BS11+BS22+BS33+BS44+BS55+BS66</f>
        <v>0</v>
      </c>
      <c r="BT77" s="691"/>
      <c r="BU77" s="117"/>
      <c r="BV77" s="117"/>
      <c r="BW77" s="117"/>
      <c r="BX77" s="150"/>
      <c r="BY77" s="117"/>
      <c r="BZ77" s="117"/>
      <c r="CA77" s="117"/>
      <c r="CB77" s="117"/>
      <c r="CC77" s="150"/>
      <c r="CD77" s="150"/>
      <c r="CE77" s="150"/>
      <c r="CF77" s="150"/>
      <c r="CG77" s="587"/>
    </row>
    <row r="78" spans="1:85" s="460" customFormat="1" ht="14.4" hidden="1" outlineLevel="1" x14ac:dyDescent="0.3">
      <c r="A78" s="591" t="s">
        <v>884</v>
      </c>
      <c r="B78" s="586"/>
      <c r="C78" s="150"/>
      <c r="D78" s="150"/>
      <c r="E78" s="150"/>
      <c r="F78" s="150"/>
      <c r="G78" s="117"/>
      <c r="H78" s="117"/>
      <c r="I78" s="117"/>
      <c r="J78" s="117"/>
      <c r="K78" s="150"/>
      <c r="L78" s="117"/>
      <c r="M78" s="117"/>
      <c r="N78" s="117"/>
      <c r="O78" s="117"/>
      <c r="P78" s="150"/>
      <c r="Q78" s="117"/>
      <c r="R78" s="117"/>
      <c r="S78" s="117"/>
      <c r="T78" s="117"/>
      <c r="U78" s="150"/>
      <c r="V78" s="117"/>
      <c r="W78" s="117"/>
      <c r="X78" s="117"/>
      <c r="Y78" s="117"/>
      <c r="Z78" s="150"/>
      <c r="AA78" s="117"/>
      <c r="AB78" s="117"/>
      <c r="AC78" s="117"/>
      <c r="AD78" s="117"/>
      <c r="AE78" s="150"/>
      <c r="AF78" s="117"/>
      <c r="AG78" s="117"/>
      <c r="AH78" s="117"/>
      <c r="AI78" s="117"/>
      <c r="AJ78" s="150"/>
      <c r="AK78" s="117"/>
      <c r="AL78" s="117"/>
      <c r="AM78" s="117"/>
      <c r="AN78" s="117"/>
      <c r="AO78" s="150">
        <f>AO12+AO23+AO34+AO45+AO56+AO67</f>
        <v>0</v>
      </c>
      <c r="AP78" s="117"/>
      <c r="AQ78" s="117"/>
      <c r="AR78" s="117"/>
      <c r="AS78" s="117"/>
      <c r="AT78" s="150">
        <f>AT12+AT23+AT34+AT45+AT56+AT67</f>
        <v>81</v>
      </c>
      <c r="AU78" s="117"/>
      <c r="AV78" s="117"/>
      <c r="AW78" s="117"/>
      <c r="AX78" s="117"/>
      <c r="AY78" s="150">
        <f>AY12+AY23+AY34+AY45+AY56+AY67</f>
        <v>166</v>
      </c>
      <c r="AZ78" s="117"/>
      <c r="BA78" s="117"/>
      <c r="BB78" s="117"/>
      <c r="BC78" s="117"/>
      <c r="BD78" s="150">
        <f>BD12+BD23+BD34+BD45+BD56+BD67</f>
        <v>94</v>
      </c>
      <c r="BE78" s="117"/>
      <c r="BF78" s="117"/>
      <c r="BG78" s="117"/>
      <c r="BH78" s="117"/>
      <c r="BI78" s="150">
        <f>BI12+BI23+BI34+BI45+BI56+BI67</f>
        <v>10123</v>
      </c>
      <c r="BJ78" s="117"/>
      <c r="BK78" s="117"/>
      <c r="BL78" s="117"/>
      <c r="BM78" s="117"/>
      <c r="BN78" s="150">
        <f>BN12+BN23+BN34+BN45+BN56+BN67</f>
        <v>106</v>
      </c>
      <c r="BO78" s="117"/>
      <c r="BP78" s="117"/>
      <c r="BQ78" s="117"/>
      <c r="BR78" s="117"/>
      <c r="BS78" s="150">
        <f>BS12+BS23+BS34+BS45+BS56+BS67</f>
        <v>43772</v>
      </c>
      <c r="BT78" s="691"/>
      <c r="BU78" s="117"/>
      <c r="BV78" s="117"/>
      <c r="BW78" s="117"/>
      <c r="BX78" s="150"/>
      <c r="BY78" s="117"/>
      <c r="BZ78" s="117"/>
      <c r="CA78" s="117"/>
      <c r="CB78" s="117"/>
      <c r="CC78" s="150"/>
      <c r="CD78" s="150"/>
      <c r="CE78" s="150"/>
      <c r="CF78" s="150"/>
      <c r="CG78" s="587"/>
    </row>
    <row r="79" spans="1:85" s="460" customFormat="1" ht="14.4" hidden="1" outlineLevel="1" x14ac:dyDescent="0.3">
      <c r="A79" s="591" t="s">
        <v>1614</v>
      </c>
      <c r="B79" s="586"/>
      <c r="C79" s="150"/>
      <c r="D79" s="150"/>
      <c r="E79" s="150"/>
      <c r="F79" s="150"/>
      <c r="G79" s="117"/>
      <c r="H79" s="117"/>
      <c r="I79" s="117"/>
      <c r="J79" s="117"/>
      <c r="K79" s="150"/>
      <c r="L79" s="117"/>
      <c r="M79" s="117"/>
      <c r="N79" s="117"/>
      <c r="O79" s="117"/>
      <c r="P79" s="150"/>
      <c r="Q79" s="117"/>
      <c r="R79" s="117"/>
      <c r="S79" s="117"/>
      <c r="T79" s="117"/>
      <c r="U79" s="150"/>
      <c r="V79" s="117"/>
      <c r="W79" s="117"/>
      <c r="X79" s="117"/>
      <c r="Y79" s="117"/>
      <c r="Z79" s="150"/>
      <c r="AA79" s="117"/>
      <c r="AB79" s="117"/>
      <c r="AC79" s="117"/>
      <c r="AD79" s="117"/>
      <c r="AE79" s="150"/>
      <c r="AF79" s="117"/>
      <c r="AG79" s="117"/>
      <c r="AH79" s="117"/>
      <c r="AI79" s="117"/>
      <c r="AJ79" s="150"/>
      <c r="AK79" s="117"/>
      <c r="AL79" s="117"/>
      <c r="AM79" s="117"/>
      <c r="AN79" s="117"/>
      <c r="AO79" s="150">
        <f>AO13+AO24+AO35+AO46+AO57+AO68</f>
        <v>236</v>
      </c>
      <c r="AP79" s="117"/>
      <c r="AQ79" s="117"/>
      <c r="AR79" s="117"/>
      <c r="AS79" s="117"/>
      <c r="AT79" s="150">
        <f>AT13+AT24+AT35+AT46+AT57+AT68</f>
        <v>3089</v>
      </c>
      <c r="AU79" s="117"/>
      <c r="AV79" s="117"/>
      <c r="AW79" s="117"/>
      <c r="AX79" s="117"/>
      <c r="AY79" s="150">
        <f>AY13+AY24+AY35+AY46+AY57+AY68</f>
        <v>0</v>
      </c>
      <c r="AZ79" s="117"/>
      <c r="BA79" s="117"/>
      <c r="BB79" s="117"/>
      <c r="BC79" s="117"/>
      <c r="BD79" s="150">
        <f>BD13+BD24+BD35+BD46+BD57+BD68</f>
        <v>0</v>
      </c>
      <c r="BE79" s="117"/>
      <c r="BF79" s="117"/>
      <c r="BG79" s="117"/>
      <c r="BH79" s="117"/>
      <c r="BI79" s="150">
        <f>BI13+BI24+BI35+BI46+BI57+BI68</f>
        <v>0</v>
      </c>
      <c r="BJ79" s="117"/>
      <c r="BK79" s="117"/>
      <c r="BL79" s="117"/>
      <c r="BM79" s="117"/>
      <c r="BN79" s="150">
        <f>BN13+BN24+BN35+BN46+BN57+BN68</f>
        <v>0</v>
      </c>
      <c r="BO79" s="117"/>
      <c r="BP79" s="117"/>
      <c r="BQ79" s="117"/>
      <c r="BR79" s="117"/>
      <c r="BS79" s="150">
        <f>BS13+BS24+BS35+BS46+BS57+BS68</f>
        <v>0</v>
      </c>
      <c r="BT79" s="691"/>
      <c r="BU79" s="117"/>
      <c r="BV79" s="117"/>
      <c r="BW79" s="117"/>
      <c r="BX79" s="150"/>
      <c r="BY79" s="117"/>
      <c r="BZ79" s="117"/>
      <c r="CA79" s="117"/>
      <c r="CB79" s="117"/>
      <c r="CC79" s="150"/>
      <c r="CD79" s="150"/>
      <c r="CE79" s="150"/>
      <c r="CF79" s="150"/>
      <c r="CG79" s="587"/>
    </row>
    <row r="80" spans="1:85" s="460" customFormat="1" ht="14.4" hidden="1" outlineLevel="1" x14ac:dyDescent="0.3">
      <c r="A80" s="592" t="s">
        <v>885</v>
      </c>
      <c r="B80" s="588"/>
      <c r="C80" s="954"/>
      <c r="D80" s="954"/>
      <c r="E80" s="954"/>
      <c r="F80" s="954"/>
      <c r="G80" s="133"/>
      <c r="H80" s="133"/>
      <c r="I80" s="133"/>
      <c r="J80" s="133"/>
      <c r="K80" s="954"/>
      <c r="L80" s="133"/>
      <c r="M80" s="133"/>
      <c r="N80" s="133"/>
      <c r="O80" s="133"/>
      <c r="P80" s="954"/>
      <c r="Q80" s="133"/>
      <c r="R80" s="133"/>
      <c r="S80" s="133"/>
      <c r="T80" s="133"/>
      <c r="U80" s="954"/>
      <c r="V80" s="133"/>
      <c r="W80" s="133"/>
      <c r="X80" s="133"/>
      <c r="Y80" s="133"/>
      <c r="Z80" s="954"/>
      <c r="AA80" s="133"/>
      <c r="AB80" s="133"/>
      <c r="AC80" s="133"/>
      <c r="AD80" s="133"/>
      <c r="AE80" s="954"/>
      <c r="AF80" s="133"/>
      <c r="AG80" s="133"/>
      <c r="AH80" s="133"/>
      <c r="AI80" s="133"/>
      <c r="AJ80" s="954"/>
      <c r="AK80" s="133"/>
      <c r="AL80" s="133"/>
      <c r="AM80" s="133"/>
      <c r="AN80" s="133"/>
      <c r="AO80" s="954">
        <f>AO14+AO25+AO36+AO47+AO58+AO69</f>
        <v>0</v>
      </c>
      <c r="AP80" s="133"/>
      <c r="AQ80" s="133"/>
      <c r="AR80" s="133"/>
      <c r="AS80" s="133"/>
      <c r="AT80" s="954">
        <f>AT14+AT25+AT36+AT47+AT58+AT69</f>
        <v>45</v>
      </c>
      <c r="AU80" s="133"/>
      <c r="AV80" s="133"/>
      <c r="AW80" s="133"/>
      <c r="AX80" s="133"/>
      <c r="AY80" s="954">
        <f>AY14+AY25+AY36+AY47+AY58+AY69</f>
        <v>29</v>
      </c>
      <c r="AZ80" s="133"/>
      <c r="BA80" s="133"/>
      <c r="BB80" s="133"/>
      <c r="BC80" s="133"/>
      <c r="BD80" s="954">
        <f>BD14+BD25+BD36+BD47+BD58+BD69</f>
        <v>255</v>
      </c>
      <c r="BE80" s="133"/>
      <c r="BF80" s="133"/>
      <c r="BG80" s="133"/>
      <c r="BH80" s="133"/>
      <c r="BI80" s="954">
        <f>BI14+BI25+BI36+BI47+BI58+BI69</f>
        <v>508</v>
      </c>
      <c r="BJ80" s="133"/>
      <c r="BK80" s="133"/>
      <c r="BL80" s="133"/>
      <c r="BM80" s="133"/>
      <c r="BN80" s="954">
        <f>BN14+BN25+BN36+BN47+BN58+BN69</f>
        <v>129</v>
      </c>
      <c r="BO80" s="133"/>
      <c r="BP80" s="133"/>
      <c r="BQ80" s="133"/>
      <c r="BR80" s="133"/>
      <c r="BS80" s="954">
        <f>BS14+BS25+BS36+BS47+BS58+BS69</f>
        <v>29939</v>
      </c>
      <c r="BT80" s="692"/>
      <c r="BU80" s="133"/>
      <c r="BV80" s="133"/>
      <c r="BW80" s="133"/>
      <c r="BX80" s="954"/>
      <c r="BY80" s="133"/>
      <c r="BZ80" s="133"/>
      <c r="CA80" s="133"/>
      <c r="CB80" s="133"/>
      <c r="CC80" s="954"/>
      <c r="CD80" s="954"/>
      <c r="CE80" s="954"/>
      <c r="CF80" s="954"/>
      <c r="CG80" s="587"/>
    </row>
    <row r="81" spans="1:85" s="460" customFormat="1" ht="14.4" hidden="1" outlineLevel="1" x14ac:dyDescent="0.3">
      <c r="A81" s="159" t="s">
        <v>888</v>
      </c>
      <c r="B81" s="586"/>
      <c r="C81" s="150"/>
      <c r="D81" s="150"/>
      <c r="E81" s="150"/>
      <c r="F81" s="150"/>
      <c r="G81" s="117"/>
      <c r="H81" s="117"/>
      <c r="I81" s="117"/>
      <c r="J81" s="117"/>
      <c r="K81" s="150"/>
      <c r="L81" s="117"/>
      <c r="M81" s="117"/>
      <c r="N81" s="117"/>
      <c r="O81" s="117"/>
      <c r="P81" s="150"/>
      <c r="Q81" s="117"/>
      <c r="R81" s="117"/>
      <c r="S81" s="117"/>
      <c r="T81" s="117"/>
      <c r="U81" s="150"/>
      <c r="V81" s="117"/>
      <c r="W81" s="117"/>
      <c r="X81" s="117"/>
      <c r="Y81" s="117"/>
      <c r="Z81" s="150"/>
      <c r="AA81" s="117"/>
      <c r="AB81" s="117"/>
      <c r="AC81" s="117"/>
      <c r="AD81" s="117"/>
      <c r="AE81" s="150"/>
      <c r="AF81" s="117"/>
      <c r="AG81" s="117"/>
      <c r="AH81" s="117"/>
      <c r="AI81" s="117"/>
      <c r="AJ81" s="150"/>
      <c r="AK81" s="117"/>
      <c r="AL81" s="117"/>
      <c r="AM81" s="117"/>
      <c r="AN81" s="117"/>
      <c r="AO81" s="150">
        <f>SUM(AO77:AO80)</f>
        <v>444</v>
      </c>
      <c r="AP81" s="117"/>
      <c r="AQ81" s="117"/>
      <c r="AR81" s="117"/>
      <c r="AS81" s="117"/>
      <c r="AT81" s="150">
        <f>SUM(AT77:AT80)</f>
        <v>15061</v>
      </c>
      <c r="AU81" s="117"/>
      <c r="AV81" s="117"/>
      <c r="AW81" s="117"/>
      <c r="AX81" s="117"/>
      <c r="AY81" s="150">
        <f>SUM(AY77:AY80)</f>
        <v>195</v>
      </c>
      <c r="AZ81" s="117"/>
      <c r="BA81" s="117"/>
      <c r="BB81" s="117"/>
      <c r="BC81" s="117"/>
      <c r="BD81" s="150">
        <f>SUM(BD77:BD80)</f>
        <v>349</v>
      </c>
      <c r="BE81" s="117"/>
      <c r="BF81" s="117"/>
      <c r="BG81" s="117"/>
      <c r="BH81" s="117"/>
      <c r="BI81" s="150">
        <f>SUM(BI77:BI80)</f>
        <v>10631</v>
      </c>
      <c r="BJ81" s="117"/>
      <c r="BK81" s="117"/>
      <c r="BL81" s="117"/>
      <c r="BM81" s="117"/>
      <c r="BN81" s="150">
        <f>SUM(BN77:BN80)</f>
        <v>235</v>
      </c>
      <c r="BO81" s="117"/>
      <c r="BP81" s="117"/>
      <c r="BQ81" s="117"/>
      <c r="BR81" s="117"/>
      <c r="BS81" s="150">
        <f>SUM(BS77:BS80)</f>
        <v>73711</v>
      </c>
      <c r="BT81" s="691"/>
      <c r="BU81" s="117"/>
      <c r="BV81" s="117"/>
      <c r="BW81" s="117"/>
      <c r="BX81" s="150"/>
      <c r="BY81" s="117"/>
      <c r="BZ81" s="117"/>
      <c r="CA81" s="117"/>
      <c r="CB81" s="117"/>
      <c r="CC81" s="150"/>
      <c r="CD81" s="150"/>
      <c r="CE81" s="150"/>
      <c r="CF81" s="150"/>
      <c r="CG81" s="587"/>
    </row>
    <row r="82" spans="1:85" s="460" customFormat="1" ht="14.4" hidden="1" outlineLevel="1" x14ac:dyDescent="0.3">
      <c r="A82" s="262" t="s">
        <v>886</v>
      </c>
      <c r="B82" s="588"/>
      <c r="C82" s="954"/>
      <c r="D82" s="954"/>
      <c r="E82" s="954"/>
      <c r="F82" s="954"/>
      <c r="G82" s="133"/>
      <c r="H82" s="133"/>
      <c r="I82" s="133"/>
      <c r="J82" s="133"/>
      <c r="K82" s="954"/>
      <c r="L82" s="133"/>
      <c r="M82" s="133"/>
      <c r="N82" s="133"/>
      <c r="O82" s="133"/>
      <c r="P82" s="954"/>
      <c r="Q82" s="133"/>
      <c r="R82" s="133"/>
      <c r="S82" s="133"/>
      <c r="T82" s="133"/>
      <c r="U82" s="954"/>
      <c r="V82" s="133"/>
      <c r="W82" s="133"/>
      <c r="X82" s="133"/>
      <c r="Y82" s="133"/>
      <c r="Z82" s="954"/>
      <c r="AA82" s="133"/>
      <c r="AB82" s="133"/>
      <c r="AC82" s="133"/>
      <c r="AD82" s="133"/>
      <c r="AE82" s="954"/>
      <c r="AF82" s="133"/>
      <c r="AG82" s="133"/>
      <c r="AH82" s="133"/>
      <c r="AI82" s="133"/>
      <c r="AJ82" s="954"/>
      <c r="AK82" s="133"/>
      <c r="AL82" s="133"/>
      <c r="AM82" s="133"/>
      <c r="AN82" s="133"/>
      <c r="AO82" s="954">
        <f>AO16+AO27+AO38+AO49+AO60+AO71</f>
        <v>10304</v>
      </c>
      <c r="AP82" s="133"/>
      <c r="AQ82" s="133"/>
      <c r="AR82" s="133"/>
      <c r="AS82" s="133"/>
      <c r="AT82" s="954">
        <f>AT16+AT27+AT38+AT49+AT60+AT71</f>
        <v>7572</v>
      </c>
      <c r="AU82" s="133"/>
      <c r="AV82" s="133"/>
      <c r="AW82" s="133"/>
      <c r="AX82" s="133"/>
      <c r="AY82" s="954">
        <f>AY16+AY27+AY38+AY49+AY60+AY71</f>
        <v>6498</v>
      </c>
      <c r="AZ82" s="133"/>
      <c r="BA82" s="133"/>
      <c r="BB82" s="133"/>
      <c r="BC82" s="133"/>
      <c r="BD82" s="954">
        <f>BD16+BD27+BD38+BD49+BD60+BD71</f>
        <v>8508</v>
      </c>
      <c r="BE82" s="133"/>
      <c r="BF82" s="133"/>
      <c r="BG82" s="133"/>
      <c r="BH82" s="133"/>
      <c r="BI82" s="954">
        <f>BI16+BI27+BI38+BI49+BI60+BI71</f>
        <v>12920</v>
      </c>
      <c r="BJ82" s="133"/>
      <c r="BK82" s="133"/>
      <c r="BL82" s="133"/>
      <c r="BM82" s="133"/>
      <c r="BN82" s="954">
        <f>BN16+BN27+BN38+BN49+BN60+BN71</f>
        <v>13333</v>
      </c>
      <c r="BO82" s="133"/>
      <c r="BP82" s="133"/>
      <c r="BQ82" s="133"/>
      <c r="BR82" s="133"/>
      <c r="BS82" s="954">
        <f>BS16+BS27+BS38+BS49+BS60+BS71</f>
        <v>14538</v>
      </c>
      <c r="BT82" s="692"/>
      <c r="BU82" s="133"/>
      <c r="BV82" s="133"/>
      <c r="BW82" s="133"/>
      <c r="BX82" s="954"/>
      <c r="BY82" s="133"/>
      <c r="BZ82" s="133"/>
      <c r="CA82" s="133"/>
      <c r="CB82" s="133"/>
      <c r="CC82" s="954"/>
      <c r="CD82" s="954"/>
      <c r="CE82" s="954"/>
      <c r="CF82" s="954"/>
      <c r="CG82" s="587"/>
    </row>
    <row r="83" spans="1:85" s="461" customFormat="1" ht="14.4" hidden="1" outlineLevel="1" x14ac:dyDescent="0.3">
      <c r="A83" s="166" t="s">
        <v>889</v>
      </c>
      <c r="B83" s="583"/>
      <c r="C83" s="957"/>
      <c r="D83" s="957"/>
      <c r="E83" s="957"/>
      <c r="F83" s="957"/>
      <c r="G83" s="120"/>
      <c r="H83" s="120"/>
      <c r="I83" s="120"/>
      <c r="J83" s="120"/>
      <c r="K83" s="957"/>
      <c r="L83" s="120"/>
      <c r="M83" s="120"/>
      <c r="N83" s="120"/>
      <c r="O83" s="120"/>
      <c r="P83" s="957"/>
      <c r="Q83" s="120"/>
      <c r="R83" s="120"/>
      <c r="S83" s="120"/>
      <c r="T83" s="120"/>
      <c r="U83" s="957"/>
      <c r="V83" s="120"/>
      <c r="W83" s="120"/>
      <c r="X83" s="120"/>
      <c r="Y83" s="120"/>
      <c r="Z83" s="957"/>
      <c r="AA83" s="120"/>
      <c r="AB83" s="120"/>
      <c r="AC83" s="120"/>
      <c r="AD83" s="120"/>
      <c r="AE83" s="957"/>
      <c r="AF83" s="120"/>
      <c r="AG83" s="120"/>
      <c r="AH83" s="120"/>
      <c r="AI83" s="120"/>
      <c r="AJ83" s="957"/>
      <c r="AK83" s="120"/>
      <c r="AL83" s="120"/>
      <c r="AM83" s="120"/>
      <c r="AN83" s="120"/>
      <c r="AO83" s="957">
        <f>AO76+AO81+AO82</f>
        <v>11926</v>
      </c>
      <c r="AP83" s="120"/>
      <c r="AQ83" s="120"/>
      <c r="AR83" s="120"/>
      <c r="AS83" s="120"/>
      <c r="AT83" s="957">
        <f>AT76+AT81+AT82</f>
        <v>23506</v>
      </c>
      <c r="AU83" s="120"/>
      <c r="AV83" s="120"/>
      <c r="AW83" s="120"/>
      <c r="AX83" s="120"/>
      <c r="AY83" s="957">
        <f>AY76+AY81+AY82</f>
        <v>7375</v>
      </c>
      <c r="AZ83" s="120"/>
      <c r="BA83" s="120"/>
      <c r="BB83" s="120"/>
      <c r="BC83" s="120"/>
      <c r="BD83" s="957">
        <f>BD76+BD81+BD82</f>
        <v>9792</v>
      </c>
      <c r="BE83" s="120"/>
      <c r="BF83" s="120"/>
      <c r="BG83" s="120"/>
      <c r="BH83" s="120"/>
      <c r="BI83" s="957">
        <f>BI76+BI81+BI82</f>
        <v>24559</v>
      </c>
      <c r="BJ83" s="120"/>
      <c r="BK83" s="120"/>
      <c r="BL83" s="120"/>
      <c r="BM83" s="120"/>
      <c r="BN83" s="957">
        <f>BN76+BN81+BN82</f>
        <v>14582</v>
      </c>
      <c r="BO83" s="120"/>
      <c r="BP83" s="120"/>
      <c r="BQ83" s="120"/>
      <c r="BR83" s="120"/>
      <c r="BS83" s="957">
        <f>BS76+BS81+BS82</f>
        <v>89485</v>
      </c>
      <c r="BT83" s="694"/>
      <c r="BU83" s="120"/>
      <c r="BV83" s="120"/>
      <c r="BW83" s="120"/>
      <c r="BX83" s="957"/>
      <c r="BY83" s="120"/>
      <c r="BZ83" s="120"/>
      <c r="CA83" s="120"/>
      <c r="CB83" s="120"/>
      <c r="CC83" s="957"/>
      <c r="CD83" s="957"/>
      <c r="CE83" s="957"/>
      <c r="CF83" s="957"/>
      <c r="CG83" s="615"/>
    </row>
    <row r="84" spans="1:85" s="461" customFormat="1" ht="14.4" hidden="1" outlineLevel="1" x14ac:dyDescent="0.3">
      <c r="A84" s="166"/>
      <c r="B84" s="583"/>
      <c r="C84" s="957"/>
      <c r="D84" s="957"/>
      <c r="E84" s="957"/>
      <c r="F84" s="957"/>
      <c r="G84" s="120"/>
      <c r="H84" s="120"/>
      <c r="I84" s="120"/>
      <c r="J84" s="120"/>
      <c r="K84" s="957"/>
      <c r="L84" s="120"/>
      <c r="M84" s="120"/>
      <c r="N84" s="120"/>
      <c r="O84" s="120"/>
      <c r="P84" s="957"/>
      <c r="Q84" s="120"/>
      <c r="R84" s="120"/>
      <c r="S84" s="120"/>
      <c r="T84" s="120"/>
      <c r="U84" s="957"/>
      <c r="V84" s="120"/>
      <c r="W84" s="120"/>
      <c r="X84" s="120"/>
      <c r="Y84" s="120"/>
      <c r="Z84" s="957"/>
      <c r="AA84" s="120"/>
      <c r="AB84" s="120"/>
      <c r="AC84" s="120"/>
      <c r="AD84" s="120"/>
      <c r="AE84" s="957"/>
      <c r="AF84" s="120"/>
      <c r="AG84" s="120"/>
      <c r="AH84" s="120"/>
      <c r="AI84" s="120"/>
      <c r="AJ84" s="957"/>
      <c r="AK84" s="120"/>
      <c r="AL84" s="120"/>
      <c r="AM84" s="120"/>
      <c r="AN84" s="120"/>
      <c r="AO84" s="957"/>
      <c r="AP84" s="120"/>
      <c r="AQ84" s="120"/>
      <c r="AR84" s="120"/>
      <c r="AS84" s="120"/>
      <c r="AT84" s="957"/>
      <c r="AU84" s="120"/>
      <c r="AV84" s="120"/>
      <c r="AW84" s="120"/>
      <c r="AX84" s="120"/>
      <c r="AY84" s="957"/>
      <c r="AZ84" s="120"/>
      <c r="BA84" s="120"/>
      <c r="BB84" s="120"/>
      <c r="BC84" s="120"/>
      <c r="BD84" s="957"/>
      <c r="BE84" s="120"/>
      <c r="BF84" s="120"/>
      <c r="BG84" s="120"/>
      <c r="BH84" s="120"/>
      <c r="BI84" s="957"/>
      <c r="BJ84" s="120"/>
      <c r="BK84" s="120"/>
      <c r="BL84" s="120"/>
      <c r="BM84" s="120"/>
      <c r="BN84" s="957"/>
      <c r="BO84" s="120"/>
      <c r="BP84" s="120"/>
      <c r="BQ84" s="120"/>
      <c r="BR84" s="120"/>
      <c r="BS84" s="957"/>
      <c r="BT84" s="694"/>
      <c r="BU84" s="120"/>
      <c r="BV84" s="120"/>
      <c r="BW84" s="120"/>
      <c r="BX84" s="957"/>
      <c r="BY84" s="120"/>
      <c r="BZ84" s="120"/>
      <c r="CA84" s="120"/>
      <c r="CB84" s="120"/>
      <c r="CC84" s="957"/>
      <c r="CD84" s="957"/>
      <c r="CE84" s="957"/>
      <c r="CF84" s="957"/>
      <c r="CG84" s="615"/>
    </row>
    <row r="85" spans="1:85" s="460" customFormat="1" ht="14.4" hidden="1" outlineLevel="1" x14ac:dyDescent="0.3">
      <c r="A85" s="591" t="s">
        <v>890</v>
      </c>
      <c r="B85" s="586"/>
      <c r="C85" s="150"/>
      <c r="D85" s="150"/>
      <c r="E85" s="150"/>
      <c r="F85" s="150"/>
      <c r="G85" s="117"/>
      <c r="H85" s="117"/>
      <c r="I85" s="117"/>
      <c r="J85" s="117"/>
      <c r="K85" s="150"/>
      <c r="L85" s="117"/>
      <c r="M85" s="117"/>
      <c r="N85" s="117"/>
      <c r="O85" s="117"/>
      <c r="P85" s="150"/>
      <c r="Q85" s="117"/>
      <c r="R85" s="117"/>
      <c r="S85" s="117"/>
      <c r="T85" s="117"/>
      <c r="U85" s="150"/>
      <c r="V85" s="117"/>
      <c r="W85" s="117"/>
      <c r="X85" s="117"/>
      <c r="Y85" s="117"/>
      <c r="Z85" s="150"/>
      <c r="AA85" s="117"/>
      <c r="AB85" s="117"/>
      <c r="AC85" s="117"/>
      <c r="AD85" s="117"/>
      <c r="AE85" s="150"/>
      <c r="AF85" s="117"/>
      <c r="AG85" s="117"/>
      <c r="AH85" s="117"/>
      <c r="AI85" s="117"/>
      <c r="AJ85" s="150"/>
      <c r="AK85" s="117"/>
      <c r="AL85" s="117"/>
      <c r="AM85" s="117"/>
      <c r="AN85" s="117"/>
      <c r="AO85" s="975">
        <v>0</v>
      </c>
      <c r="AP85" s="117"/>
      <c r="AQ85" s="117"/>
      <c r="AR85" s="117"/>
      <c r="AS85" s="117"/>
      <c r="AT85" s="975">
        <v>0</v>
      </c>
      <c r="AU85" s="117"/>
      <c r="AV85" s="117"/>
      <c r="AW85" s="117"/>
      <c r="AX85" s="117"/>
      <c r="AY85" s="975">
        <v>0</v>
      </c>
      <c r="AZ85" s="117"/>
      <c r="BA85" s="117"/>
      <c r="BB85" s="117"/>
      <c r="BC85" s="117"/>
      <c r="BD85" s="975">
        <v>0</v>
      </c>
      <c r="BE85" s="117"/>
      <c r="BF85" s="117"/>
      <c r="BG85" s="117"/>
      <c r="BH85" s="117"/>
      <c r="BI85" s="975">
        <v>0</v>
      </c>
      <c r="BJ85" s="117"/>
      <c r="BK85" s="117"/>
      <c r="BL85" s="117"/>
      <c r="BM85" s="117"/>
      <c r="BN85" s="975">
        <v>0</v>
      </c>
      <c r="BO85" s="117"/>
      <c r="BP85" s="117"/>
      <c r="BQ85" s="117"/>
      <c r="BR85" s="117"/>
      <c r="BS85" s="975">
        <v>0</v>
      </c>
      <c r="BT85" s="691"/>
      <c r="BU85" s="117"/>
      <c r="BV85" s="117"/>
      <c r="BW85" s="117"/>
      <c r="BX85" s="150"/>
      <c r="BY85" s="117"/>
      <c r="BZ85" s="117"/>
      <c r="CA85" s="117"/>
      <c r="CB85" s="117"/>
      <c r="CC85" s="150"/>
      <c r="CD85" s="150"/>
      <c r="CE85" s="150"/>
      <c r="CF85" s="150"/>
      <c r="CG85" s="587"/>
    </row>
    <row r="86" spans="1:85" s="460" customFormat="1" ht="14.4" hidden="1" outlineLevel="1" x14ac:dyDescent="0.3">
      <c r="A86" s="591" t="s">
        <v>891</v>
      </c>
      <c r="B86" s="586"/>
      <c r="C86" s="150"/>
      <c r="D86" s="150"/>
      <c r="E86" s="150"/>
      <c r="F86" s="150"/>
      <c r="G86" s="117"/>
      <c r="H86" s="117"/>
      <c r="I86" s="117"/>
      <c r="J86" s="117"/>
      <c r="K86" s="150"/>
      <c r="L86" s="117"/>
      <c r="M86" s="117"/>
      <c r="N86" s="117"/>
      <c r="O86" s="117"/>
      <c r="P86" s="150"/>
      <c r="Q86" s="117"/>
      <c r="R86" s="117"/>
      <c r="S86" s="117"/>
      <c r="T86" s="117"/>
      <c r="U86" s="150"/>
      <c r="V86" s="117"/>
      <c r="W86" s="117"/>
      <c r="X86" s="117"/>
      <c r="Y86" s="117"/>
      <c r="Z86" s="150"/>
      <c r="AA86" s="117"/>
      <c r="AB86" s="117"/>
      <c r="AC86" s="117"/>
      <c r="AD86" s="117"/>
      <c r="AE86" s="150"/>
      <c r="AF86" s="117"/>
      <c r="AG86" s="117"/>
      <c r="AH86" s="117"/>
      <c r="AI86" s="117"/>
      <c r="AJ86" s="150"/>
      <c r="AK86" s="117"/>
      <c r="AL86" s="117"/>
      <c r="AM86" s="117"/>
      <c r="AN86" s="117"/>
      <c r="AO86" s="975">
        <v>0</v>
      </c>
      <c r="AP86" s="117"/>
      <c r="AQ86" s="117"/>
      <c r="AR86" s="117"/>
      <c r="AS86" s="117"/>
      <c r="AT86" s="975">
        <v>0</v>
      </c>
      <c r="AU86" s="117"/>
      <c r="AV86" s="117"/>
      <c r="AW86" s="117"/>
      <c r="AX86" s="117"/>
      <c r="AY86" s="975">
        <v>0</v>
      </c>
      <c r="AZ86" s="117"/>
      <c r="BA86" s="117"/>
      <c r="BB86" s="117"/>
      <c r="BC86" s="117"/>
      <c r="BD86" s="975">
        <v>0</v>
      </c>
      <c r="BE86" s="117"/>
      <c r="BF86" s="117"/>
      <c r="BG86" s="117"/>
      <c r="BH86" s="117"/>
      <c r="BI86" s="975">
        <v>0</v>
      </c>
      <c r="BJ86" s="117"/>
      <c r="BK86" s="117"/>
      <c r="BL86" s="117"/>
      <c r="BM86" s="117"/>
      <c r="BN86" s="975">
        <v>0</v>
      </c>
      <c r="BO86" s="117"/>
      <c r="BP86" s="117"/>
      <c r="BQ86" s="117"/>
      <c r="BR86" s="117"/>
      <c r="BS86" s="975">
        <v>0</v>
      </c>
      <c r="BT86" s="691"/>
      <c r="BU86" s="117"/>
      <c r="BV86" s="117"/>
      <c r="BW86" s="117"/>
      <c r="BX86" s="150"/>
      <c r="BY86" s="117"/>
      <c r="BZ86" s="117"/>
      <c r="CA86" s="117"/>
      <c r="CB86" s="117"/>
      <c r="CC86" s="150"/>
      <c r="CD86" s="150"/>
      <c r="CE86" s="150"/>
      <c r="CF86" s="150"/>
      <c r="CG86" s="587"/>
    </row>
    <row r="87" spans="1:85" s="460" customFormat="1" ht="14.4" hidden="1" outlineLevel="1" x14ac:dyDescent="0.3">
      <c r="A87" s="592" t="s">
        <v>892</v>
      </c>
      <c r="B87" s="588"/>
      <c r="C87" s="954"/>
      <c r="D87" s="954"/>
      <c r="E87" s="954"/>
      <c r="F87" s="954"/>
      <c r="G87" s="133"/>
      <c r="H87" s="133"/>
      <c r="I87" s="133"/>
      <c r="J87" s="133"/>
      <c r="K87" s="954"/>
      <c r="L87" s="133"/>
      <c r="M87" s="133"/>
      <c r="N87" s="133"/>
      <c r="O87" s="133"/>
      <c r="P87" s="954"/>
      <c r="Q87" s="133"/>
      <c r="R87" s="133"/>
      <c r="S87" s="133"/>
      <c r="T87" s="133"/>
      <c r="U87" s="954"/>
      <c r="V87" s="133"/>
      <c r="W87" s="133"/>
      <c r="X87" s="133"/>
      <c r="Y87" s="133"/>
      <c r="Z87" s="954"/>
      <c r="AA87" s="133"/>
      <c r="AB87" s="133"/>
      <c r="AC87" s="133"/>
      <c r="AD87" s="133"/>
      <c r="AE87" s="954"/>
      <c r="AF87" s="133"/>
      <c r="AG87" s="133"/>
      <c r="AH87" s="133"/>
      <c r="AI87" s="133"/>
      <c r="AJ87" s="954"/>
      <c r="AK87" s="133"/>
      <c r="AL87" s="133"/>
      <c r="AM87" s="133"/>
      <c r="AN87" s="133"/>
      <c r="AO87" s="976">
        <v>0</v>
      </c>
      <c r="AP87" s="133"/>
      <c r="AQ87" s="133"/>
      <c r="AR87" s="133"/>
      <c r="AS87" s="133"/>
      <c r="AT87" s="976">
        <v>0</v>
      </c>
      <c r="AU87" s="133"/>
      <c r="AV87" s="133"/>
      <c r="AW87" s="133"/>
      <c r="AX87" s="133"/>
      <c r="AY87" s="976">
        <v>0</v>
      </c>
      <c r="AZ87" s="133"/>
      <c r="BA87" s="133"/>
      <c r="BB87" s="133"/>
      <c r="BC87" s="133"/>
      <c r="BD87" s="976">
        <v>0</v>
      </c>
      <c r="BE87" s="133"/>
      <c r="BF87" s="133"/>
      <c r="BG87" s="133"/>
      <c r="BH87" s="133"/>
      <c r="BI87" s="976">
        <v>0</v>
      </c>
      <c r="BJ87" s="133"/>
      <c r="BK87" s="133"/>
      <c r="BL87" s="133"/>
      <c r="BM87" s="133"/>
      <c r="BN87" s="976">
        <v>0</v>
      </c>
      <c r="BO87" s="133"/>
      <c r="BP87" s="133"/>
      <c r="BQ87" s="133"/>
      <c r="BR87" s="133"/>
      <c r="BS87" s="976">
        <v>0</v>
      </c>
      <c r="BT87" s="692"/>
      <c r="BU87" s="133"/>
      <c r="BV87" s="133"/>
      <c r="BW87" s="133"/>
      <c r="BX87" s="954"/>
      <c r="BY87" s="133"/>
      <c r="BZ87" s="133"/>
      <c r="CA87" s="133"/>
      <c r="CB87" s="133"/>
      <c r="CC87" s="954"/>
      <c r="CD87" s="954"/>
      <c r="CE87" s="954"/>
      <c r="CF87" s="954"/>
      <c r="CG87" s="587"/>
    </row>
    <row r="88" spans="1:85" s="460" customFormat="1" ht="14.4" hidden="1" outlineLevel="1" x14ac:dyDescent="0.3">
      <c r="A88" s="159" t="s">
        <v>893</v>
      </c>
      <c r="B88" s="586"/>
      <c r="C88" s="150"/>
      <c r="D88" s="150"/>
      <c r="E88" s="150"/>
      <c r="F88" s="150"/>
      <c r="G88" s="117"/>
      <c r="H88" s="117"/>
      <c r="I88" s="117"/>
      <c r="J88" s="117"/>
      <c r="K88" s="150"/>
      <c r="L88" s="117"/>
      <c r="M88" s="117"/>
      <c r="N88" s="117"/>
      <c r="O88" s="117"/>
      <c r="P88" s="150"/>
      <c r="Q88" s="117"/>
      <c r="R88" s="117"/>
      <c r="S88" s="117"/>
      <c r="T88" s="117"/>
      <c r="U88" s="150"/>
      <c r="V88" s="117"/>
      <c r="W88" s="117"/>
      <c r="X88" s="117"/>
      <c r="Y88" s="117"/>
      <c r="Z88" s="150"/>
      <c r="AA88" s="117"/>
      <c r="AB88" s="117"/>
      <c r="AC88" s="117"/>
      <c r="AD88" s="117"/>
      <c r="AE88" s="150"/>
      <c r="AF88" s="117"/>
      <c r="AG88" s="117"/>
      <c r="AH88" s="117"/>
      <c r="AI88" s="117"/>
      <c r="AJ88" s="150"/>
      <c r="AK88" s="117"/>
      <c r="AL88" s="117"/>
      <c r="AM88" s="117"/>
      <c r="AN88" s="117"/>
      <c r="AO88" s="150">
        <f>SUM(AO85:AO87)</f>
        <v>0</v>
      </c>
      <c r="AP88" s="117"/>
      <c r="AQ88" s="117"/>
      <c r="AR88" s="117"/>
      <c r="AS88" s="117"/>
      <c r="AT88" s="150">
        <f>SUM(AT85:AT87)</f>
        <v>0</v>
      </c>
      <c r="AU88" s="117"/>
      <c r="AV88" s="117"/>
      <c r="AW88" s="117"/>
      <c r="AX88" s="117"/>
      <c r="AY88" s="150">
        <f>SUM(AY85:AY87)</f>
        <v>0</v>
      </c>
      <c r="AZ88" s="117"/>
      <c r="BA88" s="117"/>
      <c r="BB88" s="117"/>
      <c r="BC88" s="117"/>
      <c r="BD88" s="150">
        <f>SUM(BD85:BD87)</f>
        <v>0</v>
      </c>
      <c r="BE88" s="117"/>
      <c r="BF88" s="117"/>
      <c r="BG88" s="117"/>
      <c r="BH88" s="117"/>
      <c r="BI88" s="150">
        <f>SUM(BI85:BI87)</f>
        <v>0</v>
      </c>
      <c r="BJ88" s="117"/>
      <c r="BK88" s="117"/>
      <c r="BL88" s="117"/>
      <c r="BM88" s="117"/>
      <c r="BN88" s="150">
        <f>SUM(BN85:BN87)</f>
        <v>0</v>
      </c>
      <c r="BO88" s="117"/>
      <c r="BP88" s="117"/>
      <c r="BQ88" s="117"/>
      <c r="BR88" s="117"/>
      <c r="BS88" s="150">
        <f>SUM(BS85:BS87)</f>
        <v>0</v>
      </c>
      <c r="BT88" s="691"/>
      <c r="BU88" s="117"/>
      <c r="BV88" s="117"/>
      <c r="BW88" s="117"/>
      <c r="BX88" s="150"/>
      <c r="BY88" s="117"/>
      <c r="BZ88" s="117"/>
      <c r="CA88" s="117"/>
      <c r="CB88" s="117"/>
      <c r="CC88" s="150"/>
      <c r="CD88" s="150"/>
      <c r="CE88" s="150"/>
      <c r="CF88" s="150"/>
      <c r="CG88" s="587"/>
    </row>
    <row r="89" spans="1:85" s="460" customFormat="1" ht="14.4" hidden="1" outlineLevel="1" x14ac:dyDescent="0.3">
      <c r="A89" s="591" t="s">
        <v>1615</v>
      </c>
      <c r="B89" s="586"/>
      <c r="C89" s="150"/>
      <c r="D89" s="150"/>
      <c r="E89" s="150"/>
      <c r="F89" s="150"/>
      <c r="G89" s="117"/>
      <c r="H89" s="117"/>
      <c r="I89" s="117"/>
      <c r="J89" s="117"/>
      <c r="K89" s="150"/>
      <c r="L89" s="117"/>
      <c r="M89" s="117"/>
      <c r="N89" s="117"/>
      <c r="O89" s="117"/>
      <c r="P89" s="150"/>
      <c r="Q89" s="117"/>
      <c r="R89" s="117"/>
      <c r="S89" s="117"/>
      <c r="T89" s="117"/>
      <c r="U89" s="150"/>
      <c r="V89" s="117"/>
      <c r="W89" s="117"/>
      <c r="X89" s="117"/>
      <c r="Y89" s="117"/>
      <c r="Z89" s="150"/>
      <c r="AA89" s="117"/>
      <c r="AB89" s="117"/>
      <c r="AC89" s="117"/>
      <c r="AD89" s="117"/>
      <c r="AE89" s="150"/>
      <c r="AF89" s="117"/>
      <c r="AG89" s="117"/>
      <c r="AH89" s="117"/>
      <c r="AI89" s="117"/>
      <c r="AJ89" s="150"/>
      <c r="AK89" s="117"/>
      <c r="AL89" s="117"/>
      <c r="AM89" s="117"/>
      <c r="AN89" s="117"/>
      <c r="AO89" s="150"/>
      <c r="AP89" s="117"/>
      <c r="AQ89" s="117"/>
      <c r="AR89" s="117"/>
      <c r="AS89" s="117"/>
      <c r="AT89" s="150"/>
      <c r="AU89" s="117"/>
      <c r="AV89" s="117"/>
      <c r="AW89" s="117"/>
      <c r="AX89" s="117"/>
      <c r="AY89" s="150"/>
      <c r="AZ89" s="117"/>
      <c r="BA89" s="117"/>
      <c r="BB89" s="117"/>
      <c r="BC89" s="117"/>
      <c r="BD89" s="150"/>
      <c r="BE89" s="117"/>
      <c r="BF89" s="117"/>
      <c r="BG89" s="117"/>
      <c r="BH89" s="117"/>
      <c r="BI89" s="150"/>
      <c r="BJ89" s="117"/>
      <c r="BK89" s="117"/>
      <c r="BL89" s="117"/>
      <c r="BM89" s="117"/>
      <c r="BN89" s="150"/>
      <c r="BO89" s="117"/>
      <c r="BP89" s="117"/>
      <c r="BQ89" s="117"/>
      <c r="BR89" s="117"/>
      <c r="BS89" s="150"/>
      <c r="BT89" s="691"/>
      <c r="BU89" s="117"/>
      <c r="BV89" s="117"/>
      <c r="BW89" s="117"/>
      <c r="BX89" s="150"/>
      <c r="BY89" s="117"/>
      <c r="BZ89" s="117"/>
      <c r="CA89" s="117"/>
      <c r="CB89" s="117"/>
      <c r="CC89" s="150"/>
      <c r="CD89" s="150"/>
      <c r="CE89" s="150"/>
      <c r="CF89" s="150"/>
      <c r="CG89" s="587"/>
    </row>
    <row r="90" spans="1:85" s="460" customFormat="1" ht="14.4" hidden="1" outlineLevel="1" x14ac:dyDescent="0.3">
      <c r="A90" s="591" t="s">
        <v>894</v>
      </c>
      <c r="B90" s="586"/>
      <c r="C90" s="150"/>
      <c r="D90" s="150"/>
      <c r="E90" s="150"/>
      <c r="F90" s="150"/>
      <c r="G90" s="117"/>
      <c r="H90" s="117"/>
      <c r="I90" s="117"/>
      <c r="J90" s="117"/>
      <c r="K90" s="150"/>
      <c r="L90" s="117"/>
      <c r="M90" s="117"/>
      <c r="N90" s="117"/>
      <c r="O90" s="117"/>
      <c r="P90" s="150"/>
      <c r="Q90" s="117"/>
      <c r="R90" s="117"/>
      <c r="S90" s="117"/>
      <c r="T90" s="117"/>
      <c r="U90" s="150"/>
      <c r="V90" s="117"/>
      <c r="W90" s="117"/>
      <c r="X90" s="117"/>
      <c r="Y90" s="117"/>
      <c r="Z90" s="150"/>
      <c r="AA90" s="117"/>
      <c r="AB90" s="117"/>
      <c r="AC90" s="117"/>
      <c r="AD90" s="117"/>
      <c r="AE90" s="150"/>
      <c r="AF90" s="117"/>
      <c r="AG90" s="117"/>
      <c r="AH90" s="117"/>
      <c r="AI90" s="117"/>
      <c r="AJ90" s="150"/>
      <c r="AK90" s="117"/>
      <c r="AL90" s="117"/>
      <c r="AM90" s="117"/>
      <c r="AN90" s="117"/>
      <c r="AO90" s="150"/>
      <c r="AP90" s="117"/>
      <c r="AQ90" s="117"/>
      <c r="AR90" s="117"/>
      <c r="AS90" s="117"/>
      <c r="AT90" s="150"/>
      <c r="AU90" s="117"/>
      <c r="AV90" s="117"/>
      <c r="AW90" s="117"/>
      <c r="AX90" s="117"/>
      <c r="AY90" s="150"/>
      <c r="AZ90" s="117"/>
      <c r="BA90" s="117"/>
      <c r="BB90" s="117"/>
      <c r="BC90" s="117"/>
      <c r="BD90" s="150"/>
      <c r="BE90" s="117"/>
      <c r="BF90" s="117"/>
      <c r="BG90" s="117"/>
      <c r="BH90" s="117"/>
      <c r="BI90" s="150"/>
      <c r="BJ90" s="117"/>
      <c r="BK90" s="117"/>
      <c r="BL90" s="117"/>
      <c r="BM90" s="117"/>
      <c r="BN90" s="975">
        <v>0</v>
      </c>
      <c r="BO90" s="117"/>
      <c r="BP90" s="117"/>
      <c r="BQ90" s="117"/>
      <c r="BR90" s="117"/>
      <c r="BS90" s="975">
        <v>0</v>
      </c>
      <c r="BT90" s="691"/>
      <c r="BU90" s="117"/>
      <c r="BV90" s="117"/>
      <c r="BW90" s="117"/>
      <c r="BX90" s="150"/>
      <c r="BY90" s="117"/>
      <c r="BZ90" s="117"/>
      <c r="CA90" s="117"/>
      <c r="CB90" s="117"/>
      <c r="CC90" s="150"/>
      <c r="CD90" s="150"/>
      <c r="CE90" s="150"/>
      <c r="CF90" s="150"/>
      <c r="CG90" s="587"/>
    </row>
    <row r="91" spans="1:85" s="460" customFormat="1" ht="14.4" hidden="1" outlineLevel="1" x14ac:dyDescent="0.3">
      <c r="A91" s="591" t="s">
        <v>1616</v>
      </c>
      <c r="B91" s="586"/>
      <c r="C91" s="150"/>
      <c r="D91" s="150"/>
      <c r="E91" s="150"/>
      <c r="F91" s="150"/>
      <c r="G91" s="117"/>
      <c r="H91" s="117"/>
      <c r="I91" s="117"/>
      <c r="J91" s="117"/>
      <c r="K91" s="150"/>
      <c r="L91" s="117"/>
      <c r="M91" s="117"/>
      <c r="N91" s="117"/>
      <c r="O91" s="117"/>
      <c r="P91" s="150"/>
      <c r="Q91" s="117"/>
      <c r="R91" s="117"/>
      <c r="S91" s="117"/>
      <c r="T91" s="117"/>
      <c r="U91" s="150"/>
      <c r="V91" s="117"/>
      <c r="W91" s="117"/>
      <c r="X91" s="117"/>
      <c r="Y91" s="117"/>
      <c r="Z91" s="150"/>
      <c r="AA91" s="117"/>
      <c r="AB91" s="117"/>
      <c r="AC91" s="117"/>
      <c r="AD91" s="117"/>
      <c r="AE91" s="150"/>
      <c r="AF91" s="117"/>
      <c r="AG91" s="117"/>
      <c r="AH91" s="117"/>
      <c r="AI91" s="117"/>
      <c r="AJ91" s="150"/>
      <c r="AK91" s="117"/>
      <c r="AL91" s="117"/>
      <c r="AM91" s="117"/>
      <c r="AN91" s="117"/>
      <c r="AO91" s="150"/>
      <c r="AP91" s="117"/>
      <c r="AQ91" s="117"/>
      <c r="AR91" s="117"/>
      <c r="AS91" s="117"/>
      <c r="AT91" s="150"/>
      <c r="AU91" s="117"/>
      <c r="AV91" s="117"/>
      <c r="AW91" s="117"/>
      <c r="AX91" s="117"/>
      <c r="AY91" s="150"/>
      <c r="AZ91" s="117"/>
      <c r="BA91" s="117"/>
      <c r="BB91" s="117"/>
      <c r="BC91" s="117"/>
      <c r="BD91" s="150"/>
      <c r="BE91" s="117"/>
      <c r="BF91" s="117"/>
      <c r="BG91" s="117"/>
      <c r="BH91" s="117"/>
      <c r="BI91" s="150"/>
      <c r="BJ91" s="117"/>
      <c r="BK91" s="117"/>
      <c r="BL91" s="117"/>
      <c r="BM91" s="117"/>
      <c r="BN91" s="150"/>
      <c r="BO91" s="117"/>
      <c r="BP91" s="117"/>
      <c r="BQ91" s="117"/>
      <c r="BR91" s="117"/>
      <c r="BS91" s="150"/>
      <c r="BT91" s="691"/>
      <c r="BU91" s="117"/>
      <c r="BV91" s="117"/>
      <c r="BW91" s="117"/>
      <c r="BX91" s="150"/>
      <c r="BY91" s="117"/>
      <c r="BZ91" s="117"/>
      <c r="CA91" s="117"/>
      <c r="CB91" s="117"/>
      <c r="CC91" s="150"/>
      <c r="CD91" s="150"/>
      <c r="CE91" s="150"/>
      <c r="CF91" s="150"/>
      <c r="CG91" s="587"/>
    </row>
    <row r="92" spans="1:85" s="460" customFormat="1" ht="14.4" hidden="1" outlineLevel="1" x14ac:dyDescent="0.3">
      <c r="A92" s="592" t="s">
        <v>895</v>
      </c>
      <c r="B92" s="588"/>
      <c r="C92" s="954"/>
      <c r="D92" s="954"/>
      <c r="E92" s="954"/>
      <c r="F92" s="954"/>
      <c r="G92" s="133"/>
      <c r="H92" s="133"/>
      <c r="I92" s="133"/>
      <c r="J92" s="133"/>
      <c r="K92" s="954"/>
      <c r="L92" s="133"/>
      <c r="M92" s="133"/>
      <c r="N92" s="133"/>
      <c r="O92" s="133"/>
      <c r="P92" s="954"/>
      <c r="Q92" s="133"/>
      <c r="R92" s="133"/>
      <c r="S92" s="133"/>
      <c r="T92" s="133"/>
      <c r="U92" s="954"/>
      <c r="V92" s="133"/>
      <c r="W92" s="133"/>
      <c r="X92" s="133"/>
      <c r="Y92" s="133"/>
      <c r="Z92" s="954"/>
      <c r="AA92" s="133"/>
      <c r="AB92" s="133"/>
      <c r="AC92" s="133"/>
      <c r="AD92" s="133"/>
      <c r="AE92" s="954"/>
      <c r="AF92" s="133"/>
      <c r="AG92" s="133"/>
      <c r="AH92" s="133"/>
      <c r="AI92" s="133"/>
      <c r="AJ92" s="954"/>
      <c r="AK92" s="133"/>
      <c r="AL92" s="133"/>
      <c r="AM92" s="133"/>
      <c r="AN92" s="133"/>
      <c r="AO92" s="954"/>
      <c r="AP92" s="133"/>
      <c r="AQ92" s="133"/>
      <c r="AR92" s="133"/>
      <c r="AS92" s="133"/>
      <c r="AT92" s="954"/>
      <c r="AU92" s="133"/>
      <c r="AV92" s="133"/>
      <c r="AW92" s="133"/>
      <c r="AX92" s="133"/>
      <c r="AY92" s="954"/>
      <c r="AZ92" s="133"/>
      <c r="BA92" s="133"/>
      <c r="BB92" s="133"/>
      <c r="BC92" s="133"/>
      <c r="BD92" s="954"/>
      <c r="BE92" s="133"/>
      <c r="BF92" s="133"/>
      <c r="BG92" s="133"/>
      <c r="BH92" s="133"/>
      <c r="BI92" s="954"/>
      <c r="BJ92" s="133"/>
      <c r="BK92" s="133"/>
      <c r="BL92" s="133"/>
      <c r="BM92" s="133"/>
      <c r="BN92" s="976">
        <v>0</v>
      </c>
      <c r="BO92" s="133"/>
      <c r="BP92" s="133"/>
      <c r="BQ92" s="133"/>
      <c r="BR92" s="133"/>
      <c r="BS92" s="976">
        <v>0</v>
      </c>
      <c r="BT92" s="692"/>
      <c r="BU92" s="133"/>
      <c r="BV92" s="133"/>
      <c r="BW92" s="133"/>
      <c r="BX92" s="954"/>
      <c r="BY92" s="133"/>
      <c r="BZ92" s="133"/>
      <c r="CA92" s="133"/>
      <c r="CB92" s="133"/>
      <c r="CC92" s="954"/>
      <c r="CD92" s="954"/>
      <c r="CE92" s="954"/>
      <c r="CF92" s="954"/>
      <c r="CG92" s="587"/>
    </row>
    <row r="93" spans="1:85" s="460" customFormat="1" ht="14.4" hidden="1" outlineLevel="1" x14ac:dyDescent="0.3">
      <c r="A93" s="159" t="s">
        <v>896</v>
      </c>
      <c r="B93" s="586"/>
      <c r="C93" s="150"/>
      <c r="D93" s="150"/>
      <c r="E93" s="150"/>
      <c r="F93" s="150"/>
      <c r="G93" s="117"/>
      <c r="H93" s="117"/>
      <c r="I93" s="117"/>
      <c r="J93" s="117"/>
      <c r="K93" s="150"/>
      <c r="L93" s="117"/>
      <c r="M93" s="117"/>
      <c r="N93" s="117"/>
      <c r="O93" s="117"/>
      <c r="P93" s="150"/>
      <c r="Q93" s="117"/>
      <c r="R93" s="117"/>
      <c r="S93" s="117"/>
      <c r="T93" s="117"/>
      <c r="U93" s="150"/>
      <c r="V93" s="117"/>
      <c r="W93" s="117"/>
      <c r="X93" s="117"/>
      <c r="Y93" s="117"/>
      <c r="Z93" s="150"/>
      <c r="AA93" s="117"/>
      <c r="AB93" s="117"/>
      <c r="AC93" s="117"/>
      <c r="AD93" s="117"/>
      <c r="AE93" s="150"/>
      <c r="AF93" s="117"/>
      <c r="AG93" s="117"/>
      <c r="AH93" s="117"/>
      <c r="AI93" s="117"/>
      <c r="AJ93" s="150"/>
      <c r="AK93" s="117"/>
      <c r="AL93" s="117"/>
      <c r="AM93" s="117"/>
      <c r="AN93" s="117"/>
      <c r="AO93" s="150">
        <f>SUM(AO89:AO92)</f>
        <v>0</v>
      </c>
      <c r="AP93" s="117"/>
      <c r="AQ93" s="117"/>
      <c r="AR93" s="117"/>
      <c r="AS93" s="117"/>
      <c r="AT93" s="150">
        <f>SUM(AT89:AT92)</f>
        <v>0</v>
      </c>
      <c r="AU93" s="117"/>
      <c r="AV93" s="117"/>
      <c r="AW93" s="117"/>
      <c r="AX93" s="117"/>
      <c r="AY93" s="150">
        <f>SUM(AY89:AY92)</f>
        <v>0</v>
      </c>
      <c r="AZ93" s="117"/>
      <c r="BA93" s="117"/>
      <c r="BB93" s="117"/>
      <c r="BC93" s="117"/>
      <c r="BD93" s="150">
        <f>SUM(BD89:BD92)</f>
        <v>0</v>
      </c>
      <c r="BE93" s="117"/>
      <c r="BF93" s="117"/>
      <c r="BG93" s="117"/>
      <c r="BH93" s="117"/>
      <c r="BI93" s="150">
        <f>SUM(BI89:BI92)</f>
        <v>0</v>
      </c>
      <c r="BJ93" s="117"/>
      <c r="BK93" s="117"/>
      <c r="BL93" s="117"/>
      <c r="BM93" s="117"/>
      <c r="BN93" s="150">
        <f>SUM(BN89:BN92)</f>
        <v>0</v>
      </c>
      <c r="BO93" s="117"/>
      <c r="BP93" s="117"/>
      <c r="BQ93" s="117"/>
      <c r="BR93" s="117"/>
      <c r="BS93" s="150">
        <f>SUM(BS89:BS92)</f>
        <v>0</v>
      </c>
      <c r="BT93" s="691"/>
      <c r="BU93" s="117"/>
      <c r="BV93" s="117"/>
      <c r="BW93" s="117"/>
      <c r="BX93" s="150"/>
      <c r="BY93" s="117"/>
      <c r="BZ93" s="117"/>
      <c r="CA93" s="117"/>
      <c r="CB93" s="117"/>
      <c r="CC93" s="150"/>
      <c r="CD93" s="150"/>
      <c r="CE93" s="150"/>
      <c r="CF93" s="150"/>
      <c r="CG93" s="587"/>
    </row>
    <row r="94" spans="1:85" s="460" customFormat="1" ht="14.4" hidden="1" outlineLevel="1" x14ac:dyDescent="0.3">
      <c r="A94" s="262" t="s">
        <v>897</v>
      </c>
      <c r="B94" s="588"/>
      <c r="C94" s="954"/>
      <c r="D94" s="954"/>
      <c r="E94" s="954"/>
      <c r="F94" s="954"/>
      <c r="G94" s="133"/>
      <c r="H94" s="133"/>
      <c r="I94" s="133"/>
      <c r="J94" s="133"/>
      <c r="K94" s="954"/>
      <c r="L94" s="133"/>
      <c r="M94" s="133"/>
      <c r="N94" s="133"/>
      <c r="O94" s="133"/>
      <c r="P94" s="954"/>
      <c r="Q94" s="133"/>
      <c r="R94" s="133"/>
      <c r="S94" s="133"/>
      <c r="T94" s="133"/>
      <c r="U94" s="954"/>
      <c r="V94" s="133"/>
      <c r="W94" s="133"/>
      <c r="X94" s="133"/>
      <c r="Y94" s="133"/>
      <c r="Z94" s="954"/>
      <c r="AA94" s="133"/>
      <c r="AB94" s="133"/>
      <c r="AC94" s="133"/>
      <c r="AD94" s="133"/>
      <c r="AE94" s="954"/>
      <c r="AF94" s="133"/>
      <c r="AG94" s="133"/>
      <c r="AH94" s="133"/>
      <c r="AI94" s="133"/>
      <c r="AJ94" s="954"/>
      <c r="AK94" s="133"/>
      <c r="AL94" s="133"/>
      <c r="AM94" s="133"/>
      <c r="AN94" s="133"/>
      <c r="AO94" s="976">
        <v>5112</v>
      </c>
      <c r="AP94" s="133"/>
      <c r="AQ94" s="133"/>
      <c r="AR94" s="133"/>
      <c r="AS94" s="133"/>
      <c r="AT94" s="976">
        <v>2998</v>
      </c>
      <c r="AU94" s="133"/>
      <c r="AV94" s="133"/>
      <c r="AW94" s="133"/>
      <c r="AX94" s="133"/>
      <c r="AY94" s="976">
        <v>2442</v>
      </c>
      <c r="AZ94" s="133"/>
      <c r="BA94" s="133"/>
      <c r="BB94" s="133"/>
      <c r="BC94" s="133"/>
      <c r="BD94" s="976">
        <v>2429</v>
      </c>
      <c r="BE94" s="133"/>
      <c r="BF94" s="133"/>
      <c r="BG94" s="133"/>
      <c r="BH94" s="133"/>
      <c r="BI94" s="976">
        <v>2278</v>
      </c>
      <c r="BJ94" s="133"/>
      <c r="BK94" s="133"/>
      <c r="BL94" s="133"/>
      <c r="BM94" s="133"/>
      <c r="BN94" s="976">
        <v>1480</v>
      </c>
      <c r="BO94" s="133"/>
      <c r="BP94" s="133"/>
      <c r="BQ94" s="133"/>
      <c r="BR94" s="133"/>
      <c r="BS94" s="976">
        <v>577</v>
      </c>
      <c r="BT94" s="692"/>
      <c r="BU94" s="133"/>
      <c r="BV94" s="133"/>
      <c r="BW94" s="133"/>
      <c r="BX94" s="954"/>
      <c r="BY94" s="133"/>
      <c r="BZ94" s="133"/>
      <c r="CA94" s="133"/>
      <c r="CB94" s="133"/>
      <c r="CC94" s="954"/>
      <c r="CD94" s="954"/>
      <c r="CE94" s="954"/>
      <c r="CF94" s="954"/>
      <c r="CG94" s="587"/>
    </row>
    <row r="95" spans="1:85" s="461" customFormat="1" ht="14.4" hidden="1" outlineLevel="1" x14ac:dyDescent="0.3">
      <c r="A95" s="166" t="s">
        <v>898</v>
      </c>
      <c r="B95" s="583"/>
      <c r="C95" s="957"/>
      <c r="D95" s="957"/>
      <c r="E95" s="957"/>
      <c r="F95" s="957"/>
      <c r="G95" s="120"/>
      <c r="H95" s="120"/>
      <c r="I95" s="120"/>
      <c r="J95" s="120"/>
      <c r="K95" s="957"/>
      <c r="L95" s="120"/>
      <c r="M95" s="120"/>
      <c r="N95" s="120"/>
      <c r="O95" s="120"/>
      <c r="P95" s="957"/>
      <c r="Q95" s="120"/>
      <c r="R95" s="120"/>
      <c r="S95" s="120"/>
      <c r="T95" s="120"/>
      <c r="U95" s="957"/>
      <c r="V95" s="120"/>
      <c r="W95" s="120"/>
      <c r="X95" s="120"/>
      <c r="Y95" s="120"/>
      <c r="Z95" s="957"/>
      <c r="AA95" s="120"/>
      <c r="AB95" s="120"/>
      <c r="AC95" s="120"/>
      <c r="AD95" s="120"/>
      <c r="AE95" s="957"/>
      <c r="AF95" s="120"/>
      <c r="AG95" s="120"/>
      <c r="AH95" s="120"/>
      <c r="AI95" s="120"/>
      <c r="AJ95" s="957"/>
      <c r="AK95" s="120"/>
      <c r="AL95" s="120"/>
      <c r="AM95" s="120"/>
      <c r="AN95" s="120"/>
      <c r="AO95" s="957">
        <f>AO88+AO93+AO94</f>
        <v>5112</v>
      </c>
      <c r="AP95" s="120"/>
      <c r="AQ95" s="120"/>
      <c r="AR95" s="120"/>
      <c r="AS95" s="120"/>
      <c r="AT95" s="957">
        <f>AT88+AT93+AT94</f>
        <v>2998</v>
      </c>
      <c r="AU95" s="120"/>
      <c r="AV95" s="120"/>
      <c r="AW95" s="120"/>
      <c r="AX95" s="120"/>
      <c r="AY95" s="957">
        <f>AY88+AY93+AY94</f>
        <v>2442</v>
      </c>
      <c r="AZ95" s="120"/>
      <c r="BA95" s="120"/>
      <c r="BB95" s="120"/>
      <c r="BC95" s="120"/>
      <c r="BD95" s="957">
        <f>BD88+BD93+BD94</f>
        <v>2429</v>
      </c>
      <c r="BE95" s="120"/>
      <c r="BF95" s="120"/>
      <c r="BG95" s="120"/>
      <c r="BH95" s="120"/>
      <c r="BI95" s="957">
        <f>BI88+BI93+BI94</f>
        <v>2278</v>
      </c>
      <c r="BJ95" s="120"/>
      <c r="BK95" s="120"/>
      <c r="BL95" s="120"/>
      <c r="BM95" s="120"/>
      <c r="BN95" s="957">
        <f>BN88+BN93+BN94</f>
        <v>1480</v>
      </c>
      <c r="BO95" s="120"/>
      <c r="BP95" s="120"/>
      <c r="BQ95" s="120"/>
      <c r="BR95" s="120"/>
      <c r="BS95" s="957">
        <f>BS88+BS93+BS94</f>
        <v>577</v>
      </c>
      <c r="BT95" s="694"/>
      <c r="BU95" s="120"/>
      <c r="BV95" s="120"/>
      <c r="BW95" s="120"/>
      <c r="BX95" s="957"/>
      <c r="BY95" s="120"/>
      <c r="BZ95" s="120"/>
      <c r="CA95" s="120"/>
      <c r="CB95" s="120"/>
      <c r="CC95" s="957"/>
      <c r="CD95" s="957"/>
      <c r="CE95" s="957"/>
      <c r="CF95" s="957"/>
      <c r="CG95" s="615"/>
    </row>
    <row r="96" spans="1:85" s="461" customFormat="1" ht="14.4" hidden="1" outlineLevel="1" x14ac:dyDescent="0.3">
      <c r="A96" s="166"/>
      <c r="B96" s="583"/>
      <c r="C96" s="957"/>
      <c r="D96" s="957"/>
      <c r="E96" s="957"/>
      <c r="F96" s="957"/>
      <c r="G96" s="120"/>
      <c r="H96" s="120"/>
      <c r="I96" s="120"/>
      <c r="J96" s="120"/>
      <c r="K96" s="957"/>
      <c r="L96" s="120"/>
      <c r="M96" s="120"/>
      <c r="N96" s="120"/>
      <c r="O96" s="120"/>
      <c r="P96" s="957"/>
      <c r="Q96" s="120"/>
      <c r="R96" s="120"/>
      <c r="S96" s="120"/>
      <c r="T96" s="120"/>
      <c r="U96" s="957"/>
      <c r="V96" s="120"/>
      <c r="W96" s="120"/>
      <c r="X96" s="120"/>
      <c r="Y96" s="120"/>
      <c r="Z96" s="957"/>
      <c r="AA96" s="120"/>
      <c r="AB96" s="120"/>
      <c r="AC96" s="120"/>
      <c r="AD96" s="120"/>
      <c r="AE96" s="957"/>
      <c r="AF96" s="120"/>
      <c r="AG96" s="120"/>
      <c r="AH96" s="120"/>
      <c r="AI96" s="120"/>
      <c r="AJ96" s="957"/>
      <c r="AK96" s="120"/>
      <c r="AL96" s="120"/>
      <c r="AM96" s="120"/>
      <c r="AN96" s="120"/>
      <c r="AO96" s="957"/>
      <c r="AP96" s="120"/>
      <c r="AQ96" s="120"/>
      <c r="AR96" s="120"/>
      <c r="AS96" s="120"/>
      <c r="AT96" s="957"/>
      <c r="AU96" s="120"/>
      <c r="AV96" s="120"/>
      <c r="AW96" s="120"/>
      <c r="AX96" s="120"/>
      <c r="AY96" s="957"/>
      <c r="AZ96" s="120"/>
      <c r="BA96" s="120"/>
      <c r="BB96" s="120"/>
      <c r="BC96" s="120"/>
      <c r="BD96" s="957"/>
      <c r="BE96" s="120"/>
      <c r="BF96" s="120"/>
      <c r="BG96" s="120"/>
      <c r="BH96" s="120"/>
      <c r="BI96" s="957"/>
      <c r="BJ96" s="120"/>
      <c r="BK96" s="120"/>
      <c r="BL96" s="120"/>
      <c r="BM96" s="120"/>
      <c r="BN96" s="957"/>
      <c r="BO96" s="120"/>
      <c r="BP96" s="120"/>
      <c r="BQ96" s="120"/>
      <c r="BR96" s="120"/>
      <c r="BS96" s="957"/>
      <c r="BT96" s="694"/>
      <c r="BU96" s="120"/>
      <c r="BV96" s="120"/>
      <c r="BW96" s="120"/>
      <c r="BX96" s="957"/>
      <c r="BY96" s="120"/>
      <c r="BZ96" s="120"/>
      <c r="CA96" s="120"/>
      <c r="CB96" s="120"/>
      <c r="CC96" s="957"/>
      <c r="CD96" s="957"/>
      <c r="CE96" s="957"/>
      <c r="CF96" s="957"/>
      <c r="CG96" s="615"/>
    </row>
    <row r="97" spans="1:85" s="460" customFormat="1" ht="14.4" hidden="1" outlineLevel="1" x14ac:dyDescent="0.3">
      <c r="A97" s="591" t="s">
        <v>899</v>
      </c>
      <c r="B97" s="586"/>
      <c r="C97" s="150"/>
      <c r="D97" s="150"/>
      <c r="E97" s="150"/>
      <c r="F97" s="150"/>
      <c r="G97" s="117"/>
      <c r="H97" s="117"/>
      <c r="I97" s="117"/>
      <c r="J97" s="117"/>
      <c r="K97" s="150"/>
      <c r="L97" s="117"/>
      <c r="M97" s="117"/>
      <c r="N97" s="117"/>
      <c r="O97" s="117"/>
      <c r="P97" s="150"/>
      <c r="Q97" s="117"/>
      <c r="R97" s="117"/>
      <c r="S97" s="117"/>
      <c r="T97" s="117"/>
      <c r="U97" s="150"/>
      <c r="V97" s="117"/>
      <c r="W97" s="117"/>
      <c r="X97" s="117"/>
      <c r="Y97" s="117"/>
      <c r="Z97" s="150"/>
      <c r="AA97" s="117"/>
      <c r="AB97" s="117"/>
      <c r="AC97" s="117"/>
      <c r="AD97" s="117"/>
      <c r="AE97" s="150"/>
      <c r="AF97" s="117"/>
      <c r="AG97" s="117"/>
      <c r="AH97" s="117"/>
      <c r="AI97" s="117"/>
      <c r="AJ97" s="150"/>
      <c r="AK97" s="117"/>
      <c r="AL97" s="117"/>
      <c r="AM97" s="117"/>
      <c r="AN97" s="117"/>
      <c r="AO97" s="975">
        <v>0</v>
      </c>
      <c r="AP97" s="117"/>
      <c r="AQ97" s="117"/>
      <c r="AR97" s="117"/>
      <c r="AS97" s="117"/>
      <c r="AT97" s="975">
        <v>0</v>
      </c>
      <c r="AU97" s="117"/>
      <c r="AV97" s="117"/>
      <c r="AW97" s="117"/>
      <c r="AX97" s="117"/>
      <c r="AY97" s="975">
        <v>0</v>
      </c>
      <c r="AZ97" s="117"/>
      <c r="BA97" s="117"/>
      <c r="BB97" s="117"/>
      <c r="BC97" s="117"/>
      <c r="BD97" s="150"/>
      <c r="BE97" s="117"/>
      <c r="BF97" s="117"/>
      <c r="BG97" s="117"/>
      <c r="BH97" s="117"/>
      <c r="BI97" s="150"/>
      <c r="BJ97" s="117"/>
      <c r="BK97" s="117"/>
      <c r="BL97" s="117"/>
      <c r="BM97" s="117"/>
      <c r="BN97" s="975">
        <v>0</v>
      </c>
      <c r="BO97" s="117"/>
      <c r="BP97" s="117"/>
      <c r="BQ97" s="117"/>
      <c r="BR97" s="117"/>
      <c r="BS97" s="975">
        <v>0</v>
      </c>
      <c r="BT97" s="691"/>
      <c r="BU97" s="117"/>
      <c r="BV97" s="117"/>
      <c r="BW97" s="117"/>
      <c r="BX97" s="150"/>
      <c r="BY97" s="117"/>
      <c r="BZ97" s="117"/>
      <c r="CA97" s="117"/>
      <c r="CB97" s="117"/>
      <c r="CC97" s="150"/>
      <c r="CD97" s="150"/>
      <c r="CE97" s="150"/>
      <c r="CF97" s="150"/>
      <c r="CG97" s="587"/>
    </row>
    <row r="98" spans="1:85" s="460" customFormat="1" ht="14.4" hidden="1" outlineLevel="1" x14ac:dyDescent="0.3">
      <c r="A98" s="591" t="s">
        <v>900</v>
      </c>
      <c r="B98" s="586"/>
      <c r="C98" s="150"/>
      <c r="D98" s="150"/>
      <c r="E98" s="150"/>
      <c r="F98" s="150"/>
      <c r="G98" s="117"/>
      <c r="H98" s="117"/>
      <c r="I98" s="117"/>
      <c r="J98" s="117"/>
      <c r="K98" s="150"/>
      <c r="L98" s="117"/>
      <c r="M98" s="117"/>
      <c r="N98" s="117"/>
      <c r="O98" s="117"/>
      <c r="P98" s="150"/>
      <c r="Q98" s="117"/>
      <c r="R98" s="117"/>
      <c r="S98" s="117"/>
      <c r="T98" s="117"/>
      <c r="U98" s="150"/>
      <c r="V98" s="117"/>
      <c r="W98" s="117"/>
      <c r="X98" s="117"/>
      <c r="Y98" s="117"/>
      <c r="Z98" s="150"/>
      <c r="AA98" s="117"/>
      <c r="AB98" s="117"/>
      <c r="AC98" s="117"/>
      <c r="AD98" s="117"/>
      <c r="AE98" s="150"/>
      <c r="AF98" s="117"/>
      <c r="AG98" s="117"/>
      <c r="AH98" s="117"/>
      <c r="AI98" s="117"/>
      <c r="AJ98" s="150"/>
      <c r="AK98" s="117"/>
      <c r="AL98" s="117"/>
      <c r="AM98" s="117"/>
      <c r="AN98" s="117"/>
      <c r="AO98" s="975">
        <v>0</v>
      </c>
      <c r="AP98" s="117"/>
      <c r="AQ98" s="117"/>
      <c r="AR98" s="117"/>
      <c r="AS98" s="117"/>
      <c r="AT98" s="975">
        <v>0</v>
      </c>
      <c r="AU98" s="117"/>
      <c r="AV98" s="117"/>
      <c r="AW98" s="117"/>
      <c r="AX98" s="117"/>
      <c r="AY98" s="975">
        <v>0</v>
      </c>
      <c r="AZ98" s="117"/>
      <c r="BA98" s="117"/>
      <c r="BB98" s="117"/>
      <c r="BC98" s="117"/>
      <c r="BD98" s="150"/>
      <c r="BE98" s="117"/>
      <c r="BF98" s="117"/>
      <c r="BG98" s="117"/>
      <c r="BH98" s="117"/>
      <c r="BI98" s="150"/>
      <c r="BJ98" s="117"/>
      <c r="BK98" s="117"/>
      <c r="BL98" s="117"/>
      <c r="BM98" s="117"/>
      <c r="BN98" s="975">
        <v>0</v>
      </c>
      <c r="BO98" s="117"/>
      <c r="BP98" s="117"/>
      <c r="BQ98" s="117"/>
      <c r="BR98" s="117"/>
      <c r="BS98" s="975">
        <v>0</v>
      </c>
      <c r="BT98" s="691"/>
      <c r="BU98" s="117"/>
      <c r="BV98" s="117"/>
      <c r="BW98" s="117"/>
      <c r="BX98" s="150"/>
      <c r="BY98" s="117"/>
      <c r="BZ98" s="117"/>
      <c r="CA98" s="117"/>
      <c r="CB98" s="117"/>
      <c r="CC98" s="150"/>
      <c r="CD98" s="150"/>
      <c r="CE98" s="150"/>
      <c r="CF98" s="150"/>
      <c r="CG98" s="587"/>
    </row>
    <row r="99" spans="1:85" s="460" customFormat="1" ht="14.4" hidden="1" outlineLevel="1" x14ac:dyDescent="0.3">
      <c r="A99" s="592" t="s">
        <v>901</v>
      </c>
      <c r="B99" s="588"/>
      <c r="C99" s="954"/>
      <c r="D99" s="954"/>
      <c r="E99" s="954"/>
      <c r="F99" s="954"/>
      <c r="G99" s="133"/>
      <c r="H99" s="133"/>
      <c r="I99" s="133"/>
      <c r="J99" s="133"/>
      <c r="K99" s="954"/>
      <c r="L99" s="133"/>
      <c r="M99" s="133"/>
      <c r="N99" s="133"/>
      <c r="O99" s="133"/>
      <c r="P99" s="954"/>
      <c r="Q99" s="133"/>
      <c r="R99" s="133"/>
      <c r="S99" s="133"/>
      <c r="T99" s="133"/>
      <c r="U99" s="954"/>
      <c r="V99" s="133"/>
      <c r="W99" s="133"/>
      <c r="X99" s="133"/>
      <c r="Y99" s="133"/>
      <c r="Z99" s="954"/>
      <c r="AA99" s="133"/>
      <c r="AB99" s="133"/>
      <c r="AC99" s="133"/>
      <c r="AD99" s="133"/>
      <c r="AE99" s="954"/>
      <c r="AF99" s="133"/>
      <c r="AG99" s="133"/>
      <c r="AH99" s="133"/>
      <c r="AI99" s="133"/>
      <c r="AJ99" s="954"/>
      <c r="AK99" s="133"/>
      <c r="AL99" s="133"/>
      <c r="AM99" s="133"/>
      <c r="AN99" s="133"/>
      <c r="AO99" s="976">
        <v>8</v>
      </c>
      <c r="AP99" s="133"/>
      <c r="AQ99" s="133"/>
      <c r="AR99" s="133"/>
      <c r="AS99" s="133"/>
      <c r="AT99" s="976">
        <v>0</v>
      </c>
      <c r="AU99" s="133"/>
      <c r="AV99" s="133"/>
      <c r="AW99" s="133"/>
      <c r="AX99" s="133"/>
      <c r="AY99" s="976">
        <v>0</v>
      </c>
      <c r="AZ99" s="133"/>
      <c r="BA99" s="133"/>
      <c r="BB99" s="133"/>
      <c r="BC99" s="133"/>
      <c r="BD99" s="954"/>
      <c r="BE99" s="133"/>
      <c r="BF99" s="133"/>
      <c r="BG99" s="133"/>
      <c r="BH99" s="133"/>
      <c r="BI99" s="954"/>
      <c r="BJ99" s="133"/>
      <c r="BK99" s="133"/>
      <c r="BL99" s="133"/>
      <c r="BM99" s="133"/>
      <c r="BN99" s="976">
        <v>0</v>
      </c>
      <c r="BO99" s="133"/>
      <c r="BP99" s="133"/>
      <c r="BQ99" s="133"/>
      <c r="BR99" s="133"/>
      <c r="BS99" s="976">
        <v>0</v>
      </c>
      <c r="BT99" s="692"/>
      <c r="BU99" s="133"/>
      <c r="BV99" s="133"/>
      <c r="BW99" s="133"/>
      <c r="BX99" s="954"/>
      <c r="BY99" s="133"/>
      <c r="BZ99" s="133"/>
      <c r="CA99" s="133"/>
      <c r="CB99" s="133"/>
      <c r="CC99" s="954"/>
      <c r="CD99" s="954"/>
      <c r="CE99" s="954"/>
      <c r="CF99" s="954"/>
      <c r="CG99" s="587"/>
    </row>
    <row r="100" spans="1:85" s="460" customFormat="1" ht="14.4" hidden="1" outlineLevel="1" x14ac:dyDescent="0.3">
      <c r="A100" s="159" t="s">
        <v>902</v>
      </c>
      <c r="B100" s="586"/>
      <c r="C100" s="150"/>
      <c r="D100" s="150"/>
      <c r="E100" s="150"/>
      <c r="F100" s="150"/>
      <c r="G100" s="117"/>
      <c r="H100" s="117"/>
      <c r="I100" s="117"/>
      <c r="J100" s="117"/>
      <c r="K100" s="150"/>
      <c r="L100" s="117"/>
      <c r="M100" s="117"/>
      <c r="N100" s="117"/>
      <c r="O100" s="117"/>
      <c r="P100" s="150"/>
      <c r="Q100" s="117"/>
      <c r="R100" s="117"/>
      <c r="S100" s="117"/>
      <c r="T100" s="117"/>
      <c r="U100" s="150"/>
      <c r="V100" s="117"/>
      <c r="W100" s="117"/>
      <c r="X100" s="117"/>
      <c r="Y100" s="117"/>
      <c r="Z100" s="150"/>
      <c r="AA100" s="117"/>
      <c r="AB100" s="117"/>
      <c r="AC100" s="117"/>
      <c r="AD100" s="117"/>
      <c r="AE100" s="150"/>
      <c r="AF100" s="117"/>
      <c r="AG100" s="117"/>
      <c r="AH100" s="117"/>
      <c r="AI100" s="117"/>
      <c r="AJ100" s="150"/>
      <c r="AK100" s="117"/>
      <c r="AL100" s="117"/>
      <c r="AM100" s="117"/>
      <c r="AN100" s="117"/>
      <c r="AO100" s="150">
        <f>SUM(AO97:AO99)</f>
        <v>8</v>
      </c>
      <c r="AP100" s="117"/>
      <c r="AQ100" s="117"/>
      <c r="AR100" s="117"/>
      <c r="AS100" s="117"/>
      <c r="AT100" s="150">
        <f>SUM(AT97:AT99)</f>
        <v>0</v>
      </c>
      <c r="AU100" s="117"/>
      <c r="AV100" s="117"/>
      <c r="AW100" s="117"/>
      <c r="AX100" s="117"/>
      <c r="AY100" s="150">
        <f>SUM(AY97:AY99)</f>
        <v>0</v>
      </c>
      <c r="AZ100" s="117"/>
      <c r="BA100" s="117"/>
      <c r="BB100" s="117"/>
      <c r="BC100" s="117"/>
      <c r="BD100" s="150">
        <f>SUM(BD97:BD99)</f>
        <v>0</v>
      </c>
      <c r="BE100" s="117"/>
      <c r="BF100" s="117"/>
      <c r="BG100" s="117"/>
      <c r="BH100" s="117"/>
      <c r="BI100" s="150">
        <f>SUM(BI97:BI99)</f>
        <v>0</v>
      </c>
      <c r="BJ100" s="117"/>
      <c r="BK100" s="117"/>
      <c r="BL100" s="117"/>
      <c r="BM100" s="117"/>
      <c r="BN100" s="150">
        <f>SUM(BN97:BN99)</f>
        <v>0</v>
      </c>
      <c r="BO100" s="117"/>
      <c r="BP100" s="117"/>
      <c r="BQ100" s="117"/>
      <c r="BR100" s="117"/>
      <c r="BS100" s="150">
        <f>SUM(BS97:BS99)</f>
        <v>0</v>
      </c>
      <c r="BT100" s="691"/>
      <c r="BU100" s="117"/>
      <c r="BV100" s="117"/>
      <c r="BW100" s="117"/>
      <c r="BX100" s="150"/>
      <c r="BY100" s="117"/>
      <c r="BZ100" s="117"/>
      <c r="CA100" s="117"/>
      <c r="CB100" s="117"/>
      <c r="CC100" s="150"/>
      <c r="CD100" s="150"/>
      <c r="CE100" s="150"/>
      <c r="CF100" s="150"/>
      <c r="CG100" s="587"/>
    </row>
    <row r="101" spans="1:85" s="460" customFormat="1" ht="14.4" hidden="1" outlineLevel="1" x14ac:dyDescent="0.3">
      <c r="A101" s="591" t="s">
        <v>1617</v>
      </c>
      <c r="B101" s="586"/>
      <c r="C101" s="150"/>
      <c r="D101" s="150"/>
      <c r="E101" s="150"/>
      <c r="F101" s="150"/>
      <c r="G101" s="117"/>
      <c r="H101" s="117"/>
      <c r="I101" s="117"/>
      <c r="J101" s="117"/>
      <c r="K101" s="150"/>
      <c r="L101" s="117"/>
      <c r="M101" s="117"/>
      <c r="N101" s="117"/>
      <c r="O101" s="117"/>
      <c r="P101" s="150"/>
      <c r="Q101" s="117"/>
      <c r="R101" s="117"/>
      <c r="S101" s="117"/>
      <c r="T101" s="117"/>
      <c r="U101" s="150"/>
      <c r="V101" s="117"/>
      <c r="W101" s="117"/>
      <c r="X101" s="117"/>
      <c r="Y101" s="117"/>
      <c r="Z101" s="150"/>
      <c r="AA101" s="117"/>
      <c r="AB101" s="117"/>
      <c r="AC101" s="117"/>
      <c r="AD101" s="117"/>
      <c r="AE101" s="150"/>
      <c r="AF101" s="117"/>
      <c r="AG101" s="117"/>
      <c r="AH101" s="117"/>
      <c r="AI101" s="117"/>
      <c r="AJ101" s="150"/>
      <c r="AK101" s="117"/>
      <c r="AL101" s="117"/>
      <c r="AM101" s="117"/>
      <c r="AN101" s="117"/>
      <c r="AO101" s="150"/>
      <c r="AP101" s="117"/>
      <c r="AQ101" s="117"/>
      <c r="AR101" s="117"/>
      <c r="AS101" s="117"/>
      <c r="AT101" s="975">
        <v>0</v>
      </c>
      <c r="AU101" s="117"/>
      <c r="AV101" s="117"/>
      <c r="AW101" s="117"/>
      <c r="AX101" s="117"/>
      <c r="AY101" s="150"/>
      <c r="AZ101" s="117"/>
      <c r="BA101" s="117"/>
      <c r="BB101" s="117"/>
      <c r="BC101" s="117"/>
      <c r="BD101" s="150"/>
      <c r="BE101" s="117"/>
      <c r="BF101" s="117"/>
      <c r="BG101" s="117"/>
      <c r="BH101" s="117"/>
      <c r="BI101" s="150"/>
      <c r="BJ101" s="117"/>
      <c r="BK101" s="117"/>
      <c r="BL101" s="117"/>
      <c r="BM101" s="117"/>
      <c r="BN101" s="150"/>
      <c r="BO101" s="117"/>
      <c r="BP101" s="117"/>
      <c r="BQ101" s="117"/>
      <c r="BR101" s="117"/>
      <c r="BS101" s="150"/>
      <c r="BT101" s="691"/>
      <c r="BU101" s="117"/>
      <c r="BV101" s="117"/>
      <c r="BW101" s="117"/>
      <c r="BX101" s="150"/>
      <c r="BY101" s="117"/>
      <c r="BZ101" s="117"/>
      <c r="CA101" s="117"/>
      <c r="CB101" s="117"/>
      <c r="CC101" s="150"/>
      <c r="CD101" s="150"/>
      <c r="CE101" s="150"/>
      <c r="CF101" s="150"/>
      <c r="CG101" s="587"/>
    </row>
    <row r="102" spans="1:85" s="460" customFormat="1" ht="14.4" hidden="1" outlineLevel="1" x14ac:dyDescent="0.3">
      <c r="A102" s="591" t="s">
        <v>903</v>
      </c>
      <c r="B102" s="586"/>
      <c r="C102" s="150"/>
      <c r="D102" s="150"/>
      <c r="E102" s="150"/>
      <c r="F102" s="150"/>
      <c r="G102" s="117"/>
      <c r="H102" s="117"/>
      <c r="I102" s="117"/>
      <c r="J102" s="117"/>
      <c r="K102" s="150"/>
      <c r="L102" s="117"/>
      <c r="M102" s="117"/>
      <c r="N102" s="117"/>
      <c r="O102" s="117"/>
      <c r="P102" s="150"/>
      <c r="Q102" s="117"/>
      <c r="R102" s="117"/>
      <c r="S102" s="117"/>
      <c r="T102" s="117"/>
      <c r="U102" s="150"/>
      <c r="V102" s="117"/>
      <c r="W102" s="117"/>
      <c r="X102" s="117"/>
      <c r="Y102" s="117"/>
      <c r="Z102" s="150"/>
      <c r="AA102" s="117"/>
      <c r="AB102" s="117"/>
      <c r="AC102" s="117"/>
      <c r="AD102" s="117"/>
      <c r="AE102" s="150"/>
      <c r="AF102" s="117"/>
      <c r="AG102" s="117"/>
      <c r="AH102" s="117"/>
      <c r="AI102" s="117"/>
      <c r="AJ102" s="150"/>
      <c r="AK102" s="117"/>
      <c r="AL102" s="117"/>
      <c r="AM102" s="117"/>
      <c r="AN102" s="117"/>
      <c r="AO102" s="150"/>
      <c r="AP102" s="117"/>
      <c r="AQ102" s="117"/>
      <c r="AR102" s="117"/>
      <c r="AS102" s="117"/>
      <c r="AT102" s="975">
        <v>0</v>
      </c>
      <c r="AU102" s="117"/>
      <c r="AV102" s="117"/>
      <c r="AW102" s="117"/>
      <c r="AX102" s="117"/>
      <c r="AY102" s="975">
        <v>0</v>
      </c>
      <c r="AZ102" s="117"/>
      <c r="BA102" s="117"/>
      <c r="BB102" s="117"/>
      <c r="BC102" s="117"/>
      <c r="BD102" s="150"/>
      <c r="BE102" s="117"/>
      <c r="BF102" s="117"/>
      <c r="BG102" s="117"/>
      <c r="BH102" s="117"/>
      <c r="BI102" s="150"/>
      <c r="BJ102" s="117"/>
      <c r="BK102" s="117"/>
      <c r="BL102" s="117"/>
      <c r="BM102" s="117"/>
      <c r="BN102" s="975">
        <v>0</v>
      </c>
      <c r="BO102" s="117"/>
      <c r="BP102" s="117"/>
      <c r="BQ102" s="117"/>
      <c r="BR102" s="117"/>
      <c r="BS102" s="975">
        <v>0</v>
      </c>
      <c r="BT102" s="691"/>
      <c r="BU102" s="117"/>
      <c r="BV102" s="117"/>
      <c r="BW102" s="117"/>
      <c r="BX102" s="150"/>
      <c r="BY102" s="117"/>
      <c r="BZ102" s="117"/>
      <c r="CA102" s="117"/>
      <c r="CB102" s="117"/>
      <c r="CC102" s="150"/>
      <c r="CD102" s="150"/>
      <c r="CE102" s="150"/>
      <c r="CF102" s="150"/>
      <c r="CG102" s="587"/>
    </row>
    <row r="103" spans="1:85" s="460" customFormat="1" ht="14.4" hidden="1" outlineLevel="1" x14ac:dyDescent="0.3">
      <c r="A103" s="591" t="s">
        <v>1618</v>
      </c>
      <c r="B103" s="586"/>
      <c r="C103" s="150"/>
      <c r="D103" s="150"/>
      <c r="E103" s="150"/>
      <c r="F103" s="150"/>
      <c r="G103" s="117"/>
      <c r="H103" s="117"/>
      <c r="I103" s="117"/>
      <c r="J103" s="117"/>
      <c r="K103" s="150"/>
      <c r="L103" s="117"/>
      <c r="M103" s="117"/>
      <c r="N103" s="117"/>
      <c r="O103" s="117"/>
      <c r="P103" s="150"/>
      <c r="Q103" s="117"/>
      <c r="R103" s="117"/>
      <c r="S103" s="117"/>
      <c r="T103" s="117"/>
      <c r="U103" s="150"/>
      <c r="V103" s="117"/>
      <c r="W103" s="117"/>
      <c r="X103" s="117"/>
      <c r="Y103" s="117"/>
      <c r="Z103" s="150"/>
      <c r="AA103" s="117"/>
      <c r="AB103" s="117"/>
      <c r="AC103" s="117"/>
      <c r="AD103" s="117"/>
      <c r="AE103" s="150"/>
      <c r="AF103" s="117"/>
      <c r="AG103" s="117"/>
      <c r="AH103" s="117"/>
      <c r="AI103" s="117"/>
      <c r="AJ103" s="150"/>
      <c r="AK103" s="117"/>
      <c r="AL103" s="117"/>
      <c r="AM103" s="117"/>
      <c r="AN103" s="117"/>
      <c r="AO103" s="150"/>
      <c r="AP103" s="117"/>
      <c r="AQ103" s="117"/>
      <c r="AR103" s="117"/>
      <c r="AS103" s="117"/>
      <c r="AT103" s="975">
        <v>0</v>
      </c>
      <c r="AU103" s="117"/>
      <c r="AV103" s="117"/>
      <c r="AW103" s="117"/>
      <c r="AX103" s="117"/>
      <c r="AY103" s="150"/>
      <c r="AZ103" s="117"/>
      <c r="BA103" s="117"/>
      <c r="BB103" s="117"/>
      <c r="BC103" s="117"/>
      <c r="BD103" s="150"/>
      <c r="BE103" s="117"/>
      <c r="BF103" s="117"/>
      <c r="BG103" s="117"/>
      <c r="BH103" s="117"/>
      <c r="BI103" s="150"/>
      <c r="BJ103" s="117"/>
      <c r="BK103" s="117"/>
      <c r="BL103" s="117"/>
      <c r="BM103" s="117"/>
      <c r="BN103" s="150"/>
      <c r="BO103" s="117"/>
      <c r="BP103" s="117"/>
      <c r="BQ103" s="117"/>
      <c r="BR103" s="117"/>
      <c r="BS103" s="150"/>
      <c r="BT103" s="691"/>
      <c r="BU103" s="117"/>
      <c r="BV103" s="117"/>
      <c r="BW103" s="117"/>
      <c r="BX103" s="150"/>
      <c r="BY103" s="117"/>
      <c r="BZ103" s="117"/>
      <c r="CA103" s="117"/>
      <c r="CB103" s="117"/>
      <c r="CC103" s="150"/>
      <c r="CD103" s="150"/>
      <c r="CE103" s="150"/>
      <c r="CF103" s="150"/>
      <c r="CG103" s="587"/>
    </row>
    <row r="104" spans="1:85" s="460" customFormat="1" ht="14.4" hidden="1" outlineLevel="1" x14ac:dyDescent="0.3">
      <c r="A104" s="592" t="s">
        <v>904</v>
      </c>
      <c r="B104" s="588"/>
      <c r="C104" s="954"/>
      <c r="D104" s="954"/>
      <c r="E104" s="954"/>
      <c r="F104" s="954"/>
      <c r="G104" s="133"/>
      <c r="H104" s="133"/>
      <c r="I104" s="133"/>
      <c r="J104" s="133"/>
      <c r="K104" s="954"/>
      <c r="L104" s="133"/>
      <c r="M104" s="133"/>
      <c r="N104" s="133"/>
      <c r="O104" s="133"/>
      <c r="P104" s="954"/>
      <c r="Q104" s="133"/>
      <c r="R104" s="133"/>
      <c r="S104" s="133"/>
      <c r="T104" s="133"/>
      <c r="U104" s="954"/>
      <c r="V104" s="133"/>
      <c r="W104" s="133"/>
      <c r="X104" s="133"/>
      <c r="Y104" s="133"/>
      <c r="Z104" s="954"/>
      <c r="AA104" s="133"/>
      <c r="AB104" s="133"/>
      <c r="AC104" s="133"/>
      <c r="AD104" s="133"/>
      <c r="AE104" s="954"/>
      <c r="AF104" s="133"/>
      <c r="AG104" s="133"/>
      <c r="AH104" s="133"/>
      <c r="AI104" s="133"/>
      <c r="AJ104" s="954"/>
      <c r="AK104" s="133"/>
      <c r="AL104" s="133"/>
      <c r="AM104" s="133"/>
      <c r="AN104" s="133"/>
      <c r="AO104" s="954"/>
      <c r="AP104" s="133"/>
      <c r="AQ104" s="133"/>
      <c r="AR104" s="133"/>
      <c r="AS104" s="133"/>
      <c r="AT104" s="976">
        <v>0</v>
      </c>
      <c r="AU104" s="133"/>
      <c r="AV104" s="133"/>
      <c r="AW104" s="133"/>
      <c r="AX104" s="133"/>
      <c r="AY104" s="976">
        <v>0</v>
      </c>
      <c r="AZ104" s="133"/>
      <c r="BA104" s="133"/>
      <c r="BB104" s="133"/>
      <c r="BC104" s="133"/>
      <c r="BD104" s="954"/>
      <c r="BE104" s="133"/>
      <c r="BF104" s="133"/>
      <c r="BG104" s="133"/>
      <c r="BH104" s="133"/>
      <c r="BI104" s="954"/>
      <c r="BJ104" s="133"/>
      <c r="BK104" s="133"/>
      <c r="BL104" s="133"/>
      <c r="BM104" s="133"/>
      <c r="BN104" s="976">
        <v>0</v>
      </c>
      <c r="BO104" s="133"/>
      <c r="BP104" s="133"/>
      <c r="BQ104" s="133"/>
      <c r="BR104" s="133"/>
      <c r="BS104" s="976">
        <v>0</v>
      </c>
      <c r="BT104" s="692"/>
      <c r="BU104" s="133"/>
      <c r="BV104" s="133"/>
      <c r="BW104" s="133"/>
      <c r="BX104" s="954"/>
      <c r="BY104" s="133"/>
      <c r="BZ104" s="133"/>
      <c r="CA104" s="133"/>
      <c r="CB104" s="133"/>
      <c r="CC104" s="954"/>
      <c r="CD104" s="954"/>
      <c r="CE104" s="954"/>
      <c r="CF104" s="954"/>
      <c r="CG104" s="587"/>
    </row>
    <row r="105" spans="1:85" s="460" customFormat="1" ht="14.4" hidden="1" outlineLevel="1" x14ac:dyDescent="0.3">
      <c r="A105" s="159" t="s">
        <v>905</v>
      </c>
      <c r="B105" s="586"/>
      <c r="C105" s="150"/>
      <c r="D105" s="150"/>
      <c r="E105" s="150"/>
      <c r="F105" s="150"/>
      <c r="G105" s="117"/>
      <c r="H105" s="117"/>
      <c r="I105" s="117"/>
      <c r="J105" s="117"/>
      <c r="K105" s="150"/>
      <c r="L105" s="117"/>
      <c r="M105" s="117"/>
      <c r="N105" s="117"/>
      <c r="O105" s="117"/>
      <c r="P105" s="150"/>
      <c r="Q105" s="117"/>
      <c r="R105" s="117"/>
      <c r="S105" s="117"/>
      <c r="T105" s="117"/>
      <c r="U105" s="150"/>
      <c r="V105" s="117"/>
      <c r="W105" s="117"/>
      <c r="X105" s="117"/>
      <c r="Y105" s="117"/>
      <c r="Z105" s="150"/>
      <c r="AA105" s="117"/>
      <c r="AB105" s="117"/>
      <c r="AC105" s="117"/>
      <c r="AD105" s="117"/>
      <c r="AE105" s="150"/>
      <c r="AF105" s="117"/>
      <c r="AG105" s="117"/>
      <c r="AH105" s="117"/>
      <c r="AI105" s="117"/>
      <c r="AJ105" s="150"/>
      <c r="AK105" s="117"/>
      <c r="AL105" s="117"/>
      <c r="AM105" s="117"/>
      <c r="AN105" s="117"/>
      <c r="AO105" s="150">
        <f>SUM(AO101:AO104)</f>
        <v>0</v>
      </c>
      <c r="AP105" s="117"/>
      <c r="AQ105" s="117"/>
      <c r="AR105" s="117"/>
      <c r="AS105" s="117"/>
      <c r="AT105" s="150">
        <f>SUM(AT101:AT104)</f>
        <v>0</v>
      </c>
      <c r="AU105" s="117"/>
      <c r="AV105" s="117"/>
      <c r="AW105" s="117"/>
      <c r="AX105" s="117"/>
      <c r="AY105" s="150">
        <f>SUM(AY101:AY104)</f>
        <v>0</v>
      </c>
      <c r="AZ105" s="117"/>
      <c r="BA105" s="117"/>
      <c r="BB105" s="117"/>
      <c r="BC105" s="117"/>
      <c r="BD105" s="150">
        <f>SUM(BD101:BD104)</f>
        <v>0</v>
      </c>
      <c r="BE105" s="117"/>
      <c r="BF105" s="117"/>
      <c r="BG105" s="117"/>
      <c r="BH105" s="117"/>
      <c r="BI105" s="150">
        <f>SUM(BI101:BI104)</f>
        <v>0</v>
      </c>
      <c r="BJ105" s="117"/>
      <c r="BK105" s="117"/>
      <c r="BL105" s="117"/>
      <c r="BM105" s="117"/>
      <c r="BN105" s="150">
        <f>SUM(BN101:BN104)</f>
        <v>0</v>
      </c>
      <c r="BO105" s="117"/>
      <c r="BP105" s="117"/>
      <c r="BQ105" s="117"/>
      <c r="BR105" s="117"/>
      <c r="BS105" s="150">
        <f>SUM(BS101:BS104)</f>
        <v>0</v>
      </c>
      <c r="BT105" s="691"/>
      <c r="BU105" s="117"/>
      <c r="BV105" s="117"/>
      <c r="BW105" s="117"/>
      <c r="BX105" s="150"/>
      <c r="BY105" s="117"/>
      <c r="BZ105" s="117"/>
      <c r="CA105" s="117"/>
      <c r="CB105" s="117"/>
      <c r="CC105" s="150"/>
      <c r="CD105" s="150"/>
      <c r="CE105" s="150"/>
      <c r="CF105" s="150"/>
      <c r="CG105" s="587"/>
    </row>
    <row r="106" spans="1:85" s="460" customFormat="1" ht="14.4" hidden="1" outlineLevel="1" x14ac:dyDescent="0.3">
      <c r="A106" s="262" t="s">
        <v>906</v>
      </c>
      <c r="B106" s="588"/>
      <c r="C106" s="954"/>
      <c r="D106" s="954"/>
      <c r="E106" s="954"/>
      <c r="F106" s="954"/>
      <c r="G106" s="133"/>
      <c r="H106" s="133"/>
      <c r="I106" s="133"/>
      <c r="J106" s="133"/>
      <c r="K106" s="954"/>
      <c r="L106" s="133"/>
      <c r="M106" s="133"/>
      <c r="N106" s="133"/>
      <c r="O106" s="133"/>
      <c r="P106" s="954"/>
      <c r="Q106" s="133"/>
      <c r="R106" s="133"/>
      <c r="S106" s="133"/>
      <c r="T106" s="133"/>
      <c r="U106" s="954"/>
      <c r="V106" s="133"/>
      <c r="W106" s="133"/>
      <c r="X106" s="133"/>
      <c r="Y106" s="133"/>
      <c r="Z106" s="954"/>
      <c r="AA106" s="133"/>
      <c r="AB106" s="133"/>
      <c r="AC106" s="133"/>
      <c r="AD106" s="133"/>
      <c r="AE106" s="954"/>
      <c r="AF106" s="133"/>
      <c r="AG106" s="133"/>
      <c r="AH106" s="133"/>
      <c r="AI106" s="133"/>
      <c r="AJ106" s="954"/>
      <c r="AK106" s="133"/>
      <c r="AL106" s="133"/>
      <c r="AM106" s="133"/>
      <c r="AN106" s="133"/>
      <c r="AO106" s="976">
        <v>158</v>
      </c>
      <c r="AP106" s="133"/>
      <c r="AQ106" s="133"/>
      <c r="AR106" s="133"/>
      <c r="AS106" s="133"/>
      <c r="AT106" s="976">
        <v>81</v>
      </c>
      <c r="AU106" s="133"/>
      <c r="AV106" s="133"/>
      <c r="AW106" s="133"/>
      <c r="AX106" s="133"/>
      <c r="AY106" s="976">
        <v>27</v>
      </c>
      <c r="AZ106" s="133"/>
      <c r="BA106" s="133"/>
      <c r="BB106" s="133"/>
      <c r="BC106" s="133"/>
      <c r="BD106" s="976">
        <v>34</v>
      </c>
      <c r="BE106" s="133"/>
      <c r="BF106" s="133"/>
      <c r="BG106" s="133"/>
      <c r="BH106" s="133"/>
      <c r="BI106" s="976">
        <v>86</v>
      </c>
      <c r="BJ106" s="133"/>
      <c r="BK106" s="133"/>
      <c r="BL106" s="133"/>
      <c r="BM106" s="133"/>
      <c r="BN106" s="976">
        <v>7</v>
      </c>
      <c r="BO106" s="133"/>
      <c r="BP106" s="133"/>
      <c r="BQ106" s="133"/>
      <c r="BR106" s="133"/>
      <c r="BS106" s="976">
        <v>21</v>
      </c>
      <c r="BT106" s="692"/>
      <c r="BU106" s="133"/>
      <c r="BV106" s="133"/>
      <c r="BW106" s="133"/>
      <c r="BX106" s="954"/>
      <c r="BY106" s="133"/>
      <c r="BZ106" s="133"/>
      <c r="CA106" s="133"/>
      <c r="CB106" s="133"/>
      <c r="CC106" s="954"/>
      <c r="CD106" s="954"/>
      <c r="CE106" s="954"/>
      <c r="CF106" s="954"/>
      <c r="CG106" s="587"/>
    </row>
    <row r="107" spans="1:85" s="461" customFormat="1" ht="14.4" hidden="1" outlineLevel="1" x14ac:dyDescent="0.3">
      <c r="A107" s="166" t="s">
        <v>907</v>
      </c>
      <c r="B107" s="583"/>
      <c r="C107" s="957"/>
      <c r="D107" s="957"/>
      <c r="E107" s="957"/>
      <c r="F107" s="957"/>
      <c r="G107" s="120"/>
      <c r="H107" s="120"/>
      <c r="I107" s="120"/>
      <c r="J107" s="120"/>
      <c r="K107" s="957"/>
      <c r="L107" s="120"/>
      <c r="M107" s="120"/>
      <c r="N107" s="120"/>
      <c r="O107" s="120"/>
      <c r="P107" s="957"/>
      <c r="Q107" s="120"/>
      <c r="R107" s="120"/>
      <c r="S107" s="120"/>
      <c r="T107" s="120"/>
      <c r="U107" s="957"/>
      <c r="V107" s="120"/>
      <c r="W107" s="120"/>
      <c r="X107" s="120"/>
      <c r="Y107" s="120"/>
      <c r="Z107" s="957"/>
      <c r="AA107" s="120"/>
      <c r="AB107" s="120"/>
      <c r="AC107" s="120"/>
      <c r="AD107" s="120"/>
      <c r="AE107" s="957"/>
      <c r="AF107" s="120"/>
      <c r="AG107" s="120"/>
      <c r="AH107" s="120"/>
      <c r="AI107" s="120"/>
      <c r="AJ107" s="957"/>
      <c r="AK107" s="120"/>
      <c r="AL107" s="120"/>
      <c r="AM107" s="120"/>
      <c r="AN107" s="120"/>
      <c r="AO107" s="957">
        <f>AO100+AO105+AO106</f>
        <v>166</v>
      </c>
      <c r="AP107" s="120"/>
      <c r="AQ107" s="120"/>
      <c r="AR107" s="120"/>
      <c r="AS107" s="120"/>
      <c r="AT107" s="957">
        <f>AT100+AT105+AT106</f>
        <v>81</v>
      </c>
      <c r="AU107" s="120"/>
      <c r="AV107" s="120"/>
      <c r="AW107" s="120"/>
      <c r="AX107" s="120"/>
      <c r="AY107" s="957">
        <f>AY100+AY105+AY106</f>
        <v>27</v>
      </c>
      <c r="AZ107" s="120"/>
      <c r="BA107" s="120"/>
      <c r="BB107" s="120"/>
      <c r="BC107" s="120"/>
      <c r="BD107" s="957">
        <f>BD100+BD105+BD106</f>
        <v>34</v>
      </c>
      <c r="BE107" s="120"/>
      <c r="BF107" s="120"/>
      <c r="BG107" s="120"/>
      <c r="BH107" s="120"/>
      <c r="BI107" s="957">
        <f>BI100+BI105+BI106</f>
        <v>86</v>
      </c>
      <c r="BJ107" s="120"/>
      <c r="BK107" s="120"/>
      <c r="BL107" s="120"/>
      <c r="BM107" s="120"/>
      <c r="BN107" s="957">
        <f>BN100+BN105+BN106</f>
        <v>7</v>
      </c>
      <c r="BO107" s="120"/>
      <c r="BP107" s="120"/>
      <c r="BQ107" s="120"/>
      <c r="BR107" s="120"/>
      <c r="BS107" s="957">
        <f>BS100+BS105+BS106</f>
        <v>21</v>
      </c>
      <c r="BT107" s="694"/>
      <c r="BU107" s="120"/>
      <c r="BV107" s="120"/>
      <c r="BW107" s="120"/>
      <c r="BX107" s="957"/>
      <c r="BY107" s="120"/>
      <c r="BZ107" s="120"/>
      <c r="CA107" s="120"/>
      <c r="CB107" s="120"/>
      <c r="CC107" s="957"/>
      <c r="CD107" s="957"/>
      <c r="CE107" s="957"/>
      <c r="CF107" s="957"/>
      <c r="CG107" s="615"/>
    </row>
    <row r="108" spans="1:85" s="461" customFormat="1" ht="14.4" collapsed="1" x14ac:dyDescent="0.3">
      <c r="A108" s="166"/>
      <c r="B108" s="583"/>
      <c r="C108" s="957"/>
      <c r="D108" s="957"/>
      <c r="E108" s="957"/>
      <c r="F108" s="957"/>
      <c r="G108" s="120"/>
      <c r="H108" s="120"/>
      <c r="I108" s="120"/>
      <c r="J108" s="120"/>
      <c r="K108" s="957"/>
      <c r="L108" s="120"/>
      <c r="M108" s="120"/>
      <c r="N108" s="120"/>
      <c r="O108" s="120"/>
      <c r="P108" s="957"/>
      <c r="Q108" s="120"/>
      <c r="R108" s="120"/>
      <c r="S108" s="120"/>
      <c r="T108" s="120"/>
      <c r="U108" s="957"/>
      <c r="V108" s="120"/>
      <c r="W108" s="120"/>
      <c r="X108" s="120"/>
      <c r="Y108" s="120"/>
      <c r="Z108" s="957"/>
      <c r="AA108" s="120"/>
      <c r="AB108" s="120"/>
      <c r="AC108" s="120"/>
      <c r="AD108" s="120"/>
      <c r="AE108" s="957"/>
      <c r="AF108" s="120"/>
      <c r="AG108" s="120"/>
      <c r="AH108" s="120"/>
      <c r="AI108" s="120"/>
      <c r="AJ108" s="957"/>
      <c r="AK108" s="120"/>
      <c r="AL108" s="120"/>
      <c r="AM108" s="120"/>
      <c r="AN108" s="120"/>
      <c r="AO108" s="957"/>
      <c r="AP108" s="120"/>
      <c r="AQ108" s="120"/>
      <c r="AR108" s="120"/>
      <c r="AS108" s="120"/>
      <c r="AT108" s="957"/>
      <c r="AU108" s="120"/>
      <c r="AV108" s="120"/>
      <c r="AW108" s="120"/>
      <c r="AX108" s="120"/>
      <c r="AY108" s="957"/>
      <c r="AZ108" s="120"/>
      <c r="BA108" s="120"/>
      <c r="BB108" s="120"/>
      <c r="BC108" s="120"/>
      <c r="BD108" s="957"/>
      <c r="BE108" s="120"/>
      <c r="BF108" s="120"/>
      <c r="BG108" s="120"/>
      <c r="BH108" s="120"/>
      <c r="BI108" s="957"/>
      <c r="BJ108" s="120"/>
      <c r="BK108" s="120"/>
      <c r="BL108" s="120"/>
      <c r="BM108" s="120"/>
      <c r="BN108" s="957"/>
      <c r="BO108" s="120"/>
      <c r="BP108" s="120"/>
      <c r="BQ108" s="120"/>
      <c r="BR108" s="120"/>
      <c r="BS108" s="957"/>
      <c r="BT108" s="694"/>
      <c r="BU108" s="120"/>
      <c r="BV108" s="120"/>
      <c r="BW108" s="120"/>
      <c r="BX108" s="957"/>
      <c r="BY108" s="120"/>
      <c r="BZ108" s="120"/>
      <c r="CA108" s="120"/>
      <c r="CB108" s="120"/>
      <c r="CC108" s="957"/>
      <c r="CD108" s="957"/>
      <c r="CE108" s="957"/>
      <c r="CF108" s="957"/>
      <c r="CG108" s="615"/>
    </row>
    <row r="109" spans="1:85" s="462" customFormat="1" ht="14.4" x14ac:dyDescent="0.3">
      <c r="A109" s="732" t="s">
        <v>908</v>
      </c>
      <c r="B109" s="732"/>
      <c r="C109" s="732"/>
      <c r="D109" s="732"/>
      <c r="E109" s="732"/>
      <c r="F109" s="732"/>
      <c r="G109" s="732"/>
      <c r="H109" s="732"/>
      <c r="I109" s="732"/>
      <c r="J109" s="732"/>
      <c r="K109" s="732"/>
      <c r="L109" s="732"/>
      <c r="M109" s="732"/>
      <c r="N109" s="732"/>
      <c r="O109" s="732"/>
      <c r="P109" s="732"/>
      <c r="Q109" s="732"/>
      <c r="R109" s="732"/>
      <c r="S109" s="732"/>
      <c r="T109" s="732"/>
      <c r="U109" s="732"/>
      <c r="V109" s="732"/>
      <c r="W109" s="732"/>
      <c r="X109" s="732"/>
      <c r="Y109" s="732"/>
      <c r="Z109" s="732"/>
      <c r="AA109" s="732"/>
      <c r="AB109" s="732"/>
      <c r="AC109" s="732"/>
      <c r="AD109" s="732"/>
      <c r="AE109" s="732"/>
      <c r="AF109" s="732"/>
      <c r="AG109" s="732"/>
      <c r="AH109" s="732"/>
      <c r="AI109" s="732"/>
      <c r="AJ109" s="732"/>
      <c r="AK109" s="732"/>
      <c r="AL109" s="732"/>
      <c r="AM109" s="732"/>
      <c r="AN109" s="732"/>
      <c r="AO109" s="732"/>
      <c r="AP109" s="732"/>
      <c r="AQ109" s="732"/>
      <c r="AR109" s="732"/>
      <c r="AS109" s="732"/>
      <c r="AT109" s="732"/>
      <c r="AU109" s="732"/>
      <c r="AV109" s="732"/>
      <c r="AW109" s="732"/>
      <c r="AX109" s="732"/>
      <c r="AY109" s="732"/>
      <c r="AZ109" s="732"/>
      <c r="BA109" s="732"/>
      <c r="BB109" s="732"/>
      <c r="BC109" s="732"/>
      <c r="BD109" s="732"/>
      <c r="BE109" s="732"/>
      <c r="BF109" s="732"/>
      <c r="BG109" s="732"/>
      <c r="BH109" s="732"/>
      <c r="BI109" s="732"/>
      <c r="BJ109" s="732"/>
      <c r="BK109" s="732"/>
      <c r="BL109" s="732"/>
      <c r="BM109" s="732"/>
      <c r="BN109" s="732"/>
      <c r="BO109" s="732"/>
      <c r="BP109" s="732"/>
      <c r="BQ109" s="732"/>
      <c r="BR109" s="732"/>
      <c r="BS109" s="732"/>
      <c r="BT109" s="733"/>
      <c r="BU109" s="732"/>
      <c r="BV109" s="732"/>
      <c r="BW109" s="732"/>
      <c r="BX109" s="732"/>
      <c r="BY109" s="732"/>
      <c r="BZ109" s="732"/>
      <c r="CA109" s="732"/>
      <c r="CB109" s="732"/>
      <c r="CC109" s="732"/>
      <c r="CD109" s="732"/>
      <c r="CE109" s="732"/>
      <c r="CF109" s="732"/>
      <c r="CG109" s="614"/>
    </row>
    <row r="110" spans="1:85" s="460" customFormat="1" ht="14.4" hidden="1" outlineLevel="1" x14ac:dyDescent="0.3">
      <c r="A110" s="591" t="s">
        <v>909</v>
      </c>
      <c r="B110" s="586"/>
      <c r="C110" s="150"/>
      <c r="D110" s="150"/>
      <c r="E110" s="150"/>
      <c r="F110" s="150"/>
      <c r="G110" s="117"/>
      <c r="H110" s="117"/>
      <c r="I110" s="117"/>
      <c r="J110" s="117"/>
      <c r="K110" s="150"/>
      <c r="L110" s="117"/>
      <c r="M110" s="117"/>
      <c r="N110" s="117"/>
      <c r="O110" s="117"/>
      <c r="P110" s="150"/>
      <c r="Q110" s="117"/>
      <c r="R110" s="117"/>
      <c r="S110" s="117"/>
      <c r="T110" s="117"/>
      <c r="U110" s="150"/>
      <c r="V110" s="117"/>
      <c r="W110" s="117"/>
      <c r="X110" s="117"/>
      <c r="Y110" s="117"/>
      <c r="Z110" s="150"/>
      <c r="AA110" s="117"/>
      <c r="AB110" s="117"/>
      <c r="AC110" s="117"/>
      <c r="AD110" s="117"/>
      <c r="AE110" s="150"/>
      <c r="AF110" s="117"/>
      <c r="AG110" s="117"/>
      <c r="AH110" s="117"/>
      <c r="AI110" s="117"/>
      <c r="AJ110" s="150"/>
      <c r="AK110" s="117"/>
      <c r="AL110" s="117"/>
      <c r="AM110" s="117"/>
      <c r="AN110" s="117"/>
      <c r="AO110" s="975">
        <v>4620</v>
      </c>
      <c r="AP110" s="117"/>
      <c r="AQ110" s="117"/>
      <c r="AR110" s="117"/>
      <c r="AS110" s="117"/>
      <c r="AT110" s="975">
        <v>3519</v>
      </c>
      <c r="AU110" s="117"/>
      <c r="AV110" s="117"/>
      <c r="AW110" s="117"/>
      <c r="AX110" s="117"/>
      <c r="AY110" s="975">
        <v>3302</v>
      </c>
      <c r="AZ110" s="117"/>
      <c r="BA110" s="117"/>
      <c r="BB110" s="117"/>
      <c r="BC110" s="117"/>
      <c r="BD110" s="975">
        <v>2541</v>
      </c>
      <c r="BE110" s="117"/>
      <c r="BF110" s="117"/>
      <c r="BG110" s="117"/>
      <c r="BH110" s="117"/>
      <c r="BI110" s="975">
        <v>2541</v>
      </c>
      <c r="BJ110" s="117"/>
      <c r="BK110" s="117"/>
      <c r="BL110" s="117"/>
      <c r="BM110" s="117"/>
      <c r="BN110" s="975">
        <v>2473</v>
      </c>
      <c r="BO110" s="117"/>
      <c r="BP110" s="117"/>
      <c r="BQ110" s="117"/>
      <c r="BR110" s="117"/>
      <c r="BS110" s="975">
        <v>4183</v>
      </c>
      <c r="BT110" s="691"/>
      <c r="BU110" s="117"/>
      <c r="BV110" s="117"/>
      <c r="BW110" s="117"/>
      <c r="BX110" s="150"/>
      <c r="BY110" s="117"/>
      <c r="BZ110" s="117"/>
      <c r="CA110" s="117"/>
      <c r="CB110" s="117"/>
      <c r="CC110" s="150"/>
      <c r="CD110" s="150"/>
      <c r="CE110" s="150"/>
      <c r="CF110" s="150"/>
      <c r="CG110" s="587"/>
    </row>
    <row r="111" spans="1:85" s="460" customFormat="1" ht="14.4" hidden="1" outlineLevel="1" x14ac:dyDescent="0.3">
      <c r="A111" s="591" t="s">
        <v>910</v>
      </c>
      <c r="B111" s="586"/>
      <c r="C111" s="150"/>
      <c r="D111" s="150"/>
      <c r="E111" s="150"/>
      <c r="F111" s="150"/>
      <c r="G111" s="117"/>
      <c r="H111" s="117"/>
      <c r="I111" s="117"/>
      <c r="J111" s="117"/>
      <c r="K111" s="150"/>
      <c r="L111" s="117"/>
      <c r="M111" s="117"/>
      <c r="N111" s="117"/>
      <c r="O111" s="117"/>
      <c r="P111" s="150"/>
      <c r="Q111" s="117"/>
      <c r="R111" s="117"/>
      <c r="S111" s="117"/>
      <c r="T111" s="117"/>
      <c r="U111" s="150"/>
      <c r="V111" s="117"/>
      <c r="W111" s="117"/>
      <c r="X111" s="117"/>
      <c r="Y111" s="117"/>
      <c r="Z111" s="150"/>
      <c r="AA111" s="117"/>
      <c r="AB111" s="117"/>
      <c r="AC111" s="117"/>
      <c r="AD111" s="117"/>
      <c r="AE111" s="150"/>
      <c r="AF111" s="117"/>
      <c r="AG111" s="117"/>
      <c r="AH111" s="117"/>
      <c r="AI111" s="117"/>
      <c r="AJ111" s="150"/>
      <c r="AK111" s="117"/>
      <c r="AL111" s="117"/>
      <c r="AM111" s="117"/>
      <c r="AN111" s="117"/>
      <c r="AO111" s="975">
        <v>82199</v>
      </c>
      <c r="AP111" s="117"/>
      <c r="AQ111" s="117"/>
      <c r="AR111" s="117"/>
      <c r="AS111" s="117"/>
      <c r="AT111" s="975">
        <v>81573</v>
      </c>
      <c r="AU111" s="117"/>
      <c r="AV111" s="117"/>
      <c r="AW111" s="117"/>
      <c r="AX111" s="117"/>
      <c r="AY111" s="975">
        <v>80821</v>
      </c>
      <c r="AZ111" s="117"/>
      <c r="BA111" s="117"/>
      <c r="BB111" s="117"/>
      <c r="BC111" s="117"/>
      <c r="BD111" s="975">
        <v>83525</v>
      </c>
      <c r="BE111" s="117"/>
      <c r="BF111" s="117"/>
      <c r="BG111" s="117"/>
      <c r="BH111" s="117"/>
      <c r="BI111" s="975">
        <v>100680</v>
      </c>
      <c r="BJ111" s="117"/>
      <c r="BK111" s="117"/>
      <c r="BL111" s="117"/>
      <c r="BM111" s="117"/>
      <c r="BN111" s="975">
        <v>109147</v>
      </c>
      <c r="BO111" s="117"/>
      <c r="BP111" s="117"/>
      <c r="BQ111" s="117"/>
      <c r="BR111" s="117"/>
      <c r="BS111" s="975">
        <v>137610</v>
      </c>
      <c r="BT111" s="691"/>
      <c r="BU111" s="117"/>
      <c r="BV111" s="117"/>
      <c r="BW111" s="117"/>
      <c r="BX111" s="150"/>
      <c r="BY111" s="117"/>
      <c r="BZ111" s="117"/>
      <c r="CA111" s="117"/>
      <c r="CB111" s="117"/>
      <c r="CC111" s="150"/>
      <c r="CD111" s="150"/>
      <c r="CE111" s="150"/>
      <c r="CF111" s="150"/>
      <c r="CG111" s="587"/>
    </row>
    <row r="112" spans="1:85" s="460" customFormat="1" ht="14.4" hidden="1" outlineLevel="1" x14ac:dyDescent="0.3">
      <c r="A112" s="591" t="s">
        <v>911</v>
      </c>
      <c r="B112" s="586"/>
      <c r="C112" s="150"/>
      <c r="D112" s="150"/>
      <c r="E112" s="150"/>
      <c r="F112" s="150"/>
      <c r="G112" s="117"/>
      <c r="H112" s="117"/>
      <c r="I112" s="117"/>
      <c r="J112" s="117"/>
      <c r="K112" s="150"/>
      <c r="L112" s="117"/>
      <c r="M112" s="117"/>
      <c r="N112" s="117"/>
      <c r="O112" s="117"/>
      <c r="P112" s="150"/>
      <c r="Q112" s="117"/>
      <c r="R112" s="117"/>
      <c r="S112" s="117"/>
      <c r="T112" s="117"/>
      <c r="U112" s="150"/>
      <c r="V112" s="117"/>
      <c r="W112" s="117"/>
      <c r="X112" s="117"/>
      <c r="Y112" s="117"/>
      <c r="Z112" s="150"/>
      <c r="AA112" s="117"/>
      <c r="AB112" s="117"/>
      <c r="AC112" s="117"/>
      <c r="AD112" s="117"/>
      <c r="AE112" s="150"/>
      <c r="AF112" s="117"/>
      <c r="AG112" s="117"/>
      <c r="AH112" s="117"/>
      <c r="AI112" s="117"/>
      <c r="AJ112" s="150"/>
      <c r="AK112" s="117"/>
      <c r="AL112" s="117"/>
      <c r="AM112" s="117"/>
      <c r="AN112" s="117"/>
      <c r="AO112" s="975">
        <v>2287</v>
      </c>
      <c r="AP112" s="117"/>
      <c r="AQ112" s="117"/>
      <c r="AR112" s="117"/>
      <c r="AS112" s="117"/>
      <c r="AT112" s="975">
        <v>1882</v>
      </c>
      <c r="AU112" s="117"/>
      <c r="AV112" s="117"/>
      <c r="AW112" s="117"/>
      <c r="AX112" s="117"/>
      <c r="AY112" s="975">
        <v>2134</v>
      </c>
      <c r="AZ112" s="117"/>
      <c r="BA112" s="117"/>
      <c r="BB112" s="117"/>
      <c r="BC112" s="117"/>
      <c r="BD112" s="975">
        <v>2146</v>
      </c>
      <c r="BE112" s="117"/>
      <c r="BF112" s="117"/>
      <c r="BG112" s="117"/>
      <c r="BH112" s="117"/>
      <c r="BI112" s="975">
        <v>2121</v>
      </c>
      <c r="BJ112" s="117"/>
      <c r="BK112" s="117"/>
      <c r="BL112" s="117"/>
      <c r="BM112" s="117"/>
      <c r="BN112" s="975">
        <v>2075</v>
      </c>
      <c r="BO112" s="117"/>
      <c r="BP112" s="117"/>
      <c r="BQ112" s="117"/>
      <c r="BR112" s="117"/>
      <c r="BS112" s="975">
        <v>4129</v>
      </c>
      <c r="BT112" s="691"/>
      <c r="BU112" s="117"/>
      <c r="BV112" s="117"/>
      <c r="BW112" s="117"/>
      <c r="BX112" s="150"/>
      <c r="BY112" s="117"/>
      <c r="BZ112" s="117"/>
      <c r="CA112" s="117"/>
      <c r="CB112" s="117"/>
      <c r="CC112" s="150"/>
      <c r="CD112" s="150"/>
      <c r="CE112" s="150"/>
      <c r="CF112" s="150"/>
      <c r="CG112" s="587"/>
    </row>
    <row r="113" spans="1:85" s="460" customFormat="1" ht="14.4" hidden="1" outlineLevel="1" x14ac:dyDescent="0.3">
      <c r="A113" s="591" t="s">
        <v>912</v>
      </c>
      <c r="B113" s="586"/>
      <c r="C113" s="150"/>
      <c r="D113" s="150"/>
      <c r="E113" s="150"/>
      <c r="F113" s="150"/>
      <c r="G113" s="117"/>
      <c r="H113" s="117"/>
      <c r="I113" s="117"/>
      <c r="J113" s="117"/>
      <c r="K113" s="150"/>
      <c r="L113" s="117"/>
      <c r="M113" s="117"/>
      <c r="N113" s="117"/>
      <c r="O113" s="117"/>
      <c r="P113" s="150"/>
      <c r="Q113" s="117"/>
      <c r="R113" s="117"/>
      <c r="S113" s="117"/>
      <c r="T113" s="117"/>
      <c r="U113" s="150"/>
      <c r="V113" s="117"/>
      <c r="W113" s="117"/>
      <c r="X113" s="117"/>
      <c r="Y113" s="117"/>
      <c r="Z113" s="150"/>
      <c r="AA113" s="117"/>
      <c r="AB113" s="117"/>
      <c r="AC113" s="117"/>
      <c r="AD113" s="117"/>
      <c r="AE113" s="150"/>
      <c r="AF113" s="117"/>
      <c r="AG113" s="117"/>
      <c r="AH113" s="117"/>
      <c r="AI113" s="117"/>
      <c r="AJ113" s="150"/>
      <c r="AK113" s="117"/>
      <c r="AL113" s="117"/>
      <c r="AM113" s="117"/>
      <c r="AN113" s="117"/>
      <c r="AO113" s="975">
        <v>533</v>
      </c>
      <c r="AP113" s="117"/>
      <c r="AQ113" s="117"/>
      <c r="AR113" s="117"/>
      <c r="AS113" s="117"/>
      <c r="AT113" s="975">
        <v>411</v>
      </c>
      <c r="AU113" s="117"/>
      <c r="AV113" s="117"/>
      <c r="AW113" s="117"/>
      <c r="AX113" s="117"/>
      <c r="AY113" s="975">
        <v>328</v>
      </c>
      <c r="AZ113" s="117"/>
      <c r="BA113" s="117"/>
      <c r="BB113" s="117"/>
      <c r="BC113" s="117"/>
      <c r="BD113" s="975">
        <v>43</v>
      </c>
      <c r="BE113" s="117"/>
      <c r="BF113" s="117"/>
      <c r="BG113" s="117"/>
      <c r="BH113" s="117"/>
      <c r="BI113" s="975">
        <v>0</v>
      </c>
      <c r="BJ113" s="117"/>
      <c r="BK113" s="117"/>
      <c r="BL113" s="117"/>
      <c r="BM113" s="117"/>
      <c r="BN113" s="975">
        <v>17</v>
      </c>
      <c r="BO113" s="117"/>
      <c r="BP113" s="117"/>
      <c r="BQ113" s="117"/>
      <c r="BR113" s="117"/>
      <c r="BS113" s="975">
        <v>91</v>
      </c>
      <c r="BT113" s="691"/>
      <c r="BU113" s="117"/>
      <c r="BV113" s="117"/>
      <c r="BW113" s="117"/>
      <c r="BX113" s="150"/>
      <c r="BY113" s="117"/>
      <c r="BZ113" s="117"/>
      <c r="CA113" s="117"/>
      <c r="CB113" s="117"/>
      <c r="CC113" s="150"/>
      <c r="CD113" s="150"/>
      <c r="CE113" s="150"/>
      <c r="CF113" s="150"/>
      <c r="CG113" s="587"/>
    </row>
    <row r="114" spans="1:85" s="460" customFormat="1" ht="14.4" hidden="1" outlineLevel="1" x14ac:dyDescent="0.3">
      <c r="A114" s="592" t="s">
        <v>913</v>
      </c>
      <c r="B114" s="588"/>
      <c r="C114" s="954"/>
      <c r="D114" s="954"/>
      <c r="E114" s="954"/>
      <c r="F114" s="954"/>
      <c r="G114" s="133"/>
      <c r="H114" s="133"/>
      <c r="I114" s="133"/>
      <c r="J114" s="133"/>
      <c r="K114" s="954"/>
      <c r="L114" s="133"/>
      <c r="M114" s="133"/>
      <c r="N114" s="133"/>
      <c r="O114" s="133"/>
      <c r="P114" s="954"/>
      <c r="Q114" s="133"/>
      <c r="R114" s="133"/>
      <c r="S114" s="133"/>
      <c r="T114" s="133"/>
      <c r="U114" s="954"/>
      <c r="V114" s="133"/>
      <c r="W114" s="133"/>
      <c r="X114" s="133"/>
      <c r="Y114" s="133"/>
      <c r="Z114" s="954"/>
      <c r="AA114" s="133"/>
      <c r="AB114" s="133"/>
      <c r="AC114" s="133"/>
      <c r="AD114" s="133"/>
      <c r="AE114" s="954"/>
      <c r="AF114" s="133"/>
      <c r="AG114" s="133"/>
      <c r="AH114" s="133"/>
      <c r="AI114" s="133"/>
      <c r="AJ114" s="954"/>
      <c r="AK114" s="133"/>
      <c r="AL114" s="133"/>
      <c r="AM114" s="133"/>
      <c r="AN114" s="133"/>
      <c r="AO114" s="976">
        <v>5080</v>
      </c>
      <c r="AP114" s="133"/>
      <c r="AQ114" s="133"/>
      <c r="AR114" s="133"/>
      <c r="AS114" s="133"/>
      <c r="AT114" s="976">
        <v>5549</v>
      </c>
      <c r="AU114" s="133"/>
      <c r="AV114" s="133"/>
      <c r="AW114" s="133"/>
      <c r="AX114" s="133"/>
      <c r="AY114" s="976">
        <v>6581</v>
      </c>
      <c r="AZ114" s="133"/>
      <c r="BA114" s="133"/>
      <c r="BB114" s="133"/>
      <c r="BC114" s="133"/>
      <c r="BD114" s="976">
        <v>8213</v>
      </c>
      <c r="BE114" s="133"/>
      <c r="BF114" s="133"/>
      <c r="BG114" s="133"/>
      <c r="BH114" s="133"/>
      <c r="BI114" s="976">
        <v>10872</v>
      </c>
      <c r="BJ114" s="133"/>
      <c r="BK114" s="133"/>
      <c r="BL114" s="133"/>
      <c r="BM114" s="133"/>
      <c r="BN114" s="976">
        <v>8918</v>
      </c>
      <c r="BO114" s="133"/>
      <c r="BP114" s="133"/>
      <c r="BQ114" s="133"/>
      <c r="BR114" s="133"/>
      <c r="BS114" s="976">
        <v>5238</v>
      </c>
      <c r="BT114" s="692"/>
      <c r="BU114" s="133"/>
      <c r="BV114" s="133"/>
      <c r="BW114" s="133"/>
      <c r="BX114" s="954"/>
      <c r="BY114" s="133"/>
      <c r="BZ114" s="133"/>
      <c r="CA114" s="133"/>
      <c r="CB114" s="133"/>
      <c r="CC114" s="954"/>
      <c r="CD114" s="954"/>
      <c r="CE114" s="954"/>
      <c r="CF114" s="954"/>
      <c r="CG114" s="587"/>
    </row>
    <row r="115" spans="1:85" s="460" customFormat="1" ht="14.4" hidden="1" outlineLevel="1" x14ac:dyDescent="0.3">
      <c r="A115" s="159" t="s">
        <v>914</v>
      </c>
      <c r="B115" s="586"/>
      <c r="C115" s="150"/>
      <c r="D115" s="150"/>
      <c r="E115" s="150"/>
      <c r="F115" s="150"/>
      <c r="G115" s="117"/>
      <c r="H115" s="117"/>
      <c r="I115" s="117"/>
      <c r="J115" s="117"/>
      <c r="K115" s="150"/>
      <c r="L115" s="117"/>
      <c r="M115" s="117"/>
      <c r="N115" s="117"/>
      <c r="O115" s="117"/>
      <c r="P115" s="150"/>
      <c r="Q115" s="117"/>
      <c r="R115" s="117"/>
      <c r="S115" s="117"/>
      <c r="T115" s="117"/>
      <c r="U115" s="150"/>
      <c r="V115" s="117"/>
      <c r="W115" s="117"/>
      <c r="X115" s="117"/>
      <c r="Y115" s="117"/>
      <c r="Z115" s="150"/>
      <c r="AA115" s="117"/>
      <c r="AB115" s="117"/>
      <c r="AC115" s="117"/>
      <c r="AD115" s="117"/>
      <c r="AE115" s="150"/>
      <c r="AF115" s="117"/>
      <c r="AG115" s="117"/>
      <c r="AH115" s="117"/>
      <c r="AI115" s="117"/>
      <c r="AJ115" s="150"/>
      <c r="AK115" s="117"/>
      <c r="AL115" s="117"/>
      <c r="AM115" s="117"/>
      <c r="AN115" s="117"/>
      <c r="AO115" s="150">
        <f>SUM(AO110:AO114)</f>
        <v>94719</v>
      </c>
      <c r="AP115" s="117"/>
      <c r="AQ115" s="117"/>
      <c r="AR115" s="117"/>
      <c r="AS115" s="117"/>
      <c r="AT115" s="150">
        <f>SUM(AT110:AT114)</f>
        <v>92934</v>
      </c>
      <c r="AU115" s="117"/>
      <c r="AV115" s="117"/>
      <c r="AW115" s="117"/>
      <c r="AX115" s="117"/>
      <c r="AY115" s="150">
        <f>SUM(AY110:AY114)</f>
        <v>93166</v>
      </c>
      <c r="AZ115" s="117"/>
      <c r="BA115" s="117"/>
      <c r="BB115" s="117"/>
      <c r="BC115" s="117"/>
      <c r="BD115" s="150">
        <f>SUM(BD110:BD114)</f>
        <v>96468</v>
      </c>
      <c r="BE115" s="117"/>
      <c r="BF115" s="117"/>
      <c r="BG115" s="117"/>
      <c r="BH115" s="117"/>
      <c r="BI115" s="150">
        <f>SUM(BI110:BI114)</f>
        <v>116214</v>
      </c>
      <c r="BJ115" s="117"/>
      <c r="BK115" s="117"/>
      <c r="BL115" s="117"/>
      <c r="BM115" s="117"/>
      <c r="BN115" s="150">
        <f>SUM(BN110:BN114)</f>
        <v>122630</v>
      </c>
      <c r="BO115" s="117"/>
      <c r="BP115" s="117"/>
      <c r="BQ115" s="117"/>
      <c r="BR115" s="117"/>
      <c r="BS115" s="150">
        <f>SUM(BS110:BS114)</f>
        <v>151251</v>
      </c>
      <c r="BT115" s="691"/>
      <c r="BU115" s="117"/>
      <c r="BV115" s="117"/>
      <c r="BW115" s="117"/>
      <c r="BX115" s="150"/>
      <c r="BY115" s="117"/>
      <c r="BZ115" s="117"/>
      <c r="CA115" s="117"/>
      <c r="CB115" s="117"/>
      <c r="CC115" s="150"/>
      <c r="CD115" s="150"/>
      <c r="CE115" s="150"/>
      <c r="CF115" s="150"/>
      <c r="CG115" s="587"/>
    </row>
    <row r="116" spans="1:85" s="460" customFormat="1" ht="14.4" hidden="1" outlineLevel="1" x14ac:dyDescent="0.3">
      <c r="A116" s="591" t="s">
        <v>915</v>
      </c>
      <c r="B116" s="586"/>
      <c r="C116" s="150"/>
      <c r="D116" s="150"/>
      <c r="E116" s="150"/>
      <c r="F116" s="150"/>
      <c r="G116" s="117"/>
      <c r="H116" s="117"/>
      <c r="I116" s="117"/>
      <c r="J116" s="117"/>
      <c r="K116" s="150"/>
      <c r="L116" s="117"/>
      <c r="M116" s="117"/>
      <c r="N116" s="117"/>
      <c r="O116" s="117"/>
      <c r="P116" s="150"/>
      <c r="Q116" s="117"/>
      <c r="R116" s="117"/>
      <c r="S116" s="117"/>
      <c r="T116" s="117"/>
      <c r="U116" s="150"/>
      <c r="V116" s="117"/>
      <c r="W116" s="117"/>
      <c r="X116" s="117"/>
      <c r="Y116" s="117"/>
      <c r="Z116" s="150"/>
      <c r="AA116" s="117"/>
      <c r="AB116" s="117"/>
      <c r="AC116" s="117"/>
      <c r="AD116" s="117"/>
      <c r="AE116" s="150"/>
      <c r="AF116" s="117"/>
      <c r="AG116" s="117"/>
      <c r="AH116" s="117"/>
      <c r="AI116" s="117"/>
      <c r="AJ116" s="150"/>
      <c r="AK116" s="117"/>
      <c r="AL116" s="117"/>
      <c r="AM116" s="117"/>
      <c r="AN116" s="117"/>
      <c r="AO116" s="975">
        <v>3964</v>
      </c>
      <c r="AP116" s="117"/>
      <c r="AQ116" s="117"/>
      <c r="AR116" s="117"/>
      <c r="AS116" s="117"/>
      <c r="AT116" s="975">
        <v>179</v>
      </c>
      <c r="AU116" s="117"/>
      <c r="AV116" s="117"/>
      <c r="AW116" s="117"/>
      <c r="AX116" s="117"/>
      <c r="AY116" s="975">
        <v>289</v>
      </c>
      <c r="AZ116" s="117"/>
      <c r="BA116" s="117"/>
      <c r="BB116" s="117"/>
      <c r="BC116" s="117"/>
      <c r="BD116" s="975">
        <v>178</v>
      </c>
      <c r="BE116" s="117"/>
      <c r="BF116" s="117"/>
      <c r="BG116" s="117"/>
      <c r="BH116" s="117"/>
      <c r="BI116" s="975">
        <v>168</v>
      </c>
      <c r="BJ116" s="117"/>
      <c r="BK116" s="117"/>
      <c r="BL116" s="117"/>
      <c r="BM116" s="117"/>
      <c r="BN116" s="975">
        <v>119</v>
      </c>
      <c r="BO116" s="117"/>
      <c r="BP116" s="117"/>
      <c r="BQ116" s="117"/>
      <c r="BR116" s="117"/>
      <c r="BS116" s="975">
        <v>133</v>
      </c>
      <c r="BT116" s="691"/>
      <c r="BU116" s="117"/>
      <c r="BV116" s="117"/>
      <c r="BW116" s="117"/>
      <c r="BX116" s="150"/>
      <c r="BY116" s="117"/>
      <c r="BZ116" s="117"/>
      <c r="CA116" s="117"/>
      <c r="CB116" s="117"/>
      <c r="CC116" s="150"/>
      <c r="CD116" s="150"/>
      <c r="CE116" s="150"/>
      <c r="CF116" s="150"/>
      <c r="CG116" s="587"/>
    </row>
    <row r="117" spans="1:85" s="460" customFormat="1" ht="14.4" hidden="1" outlineLevel="1" x14ac:dyDescent="0.3">
      <c r="A117" s="591" t="s">
        <v>916</v>
      </c>
      <c r="B117" s="586"/>
      <c r="C117" s="150"/>
      <c r="D117" s="150"/>
      <c r="E117" s="150"/>
      <c r="F117" s="150"/>
      <c r="G117" s="117"/>
      <c r="H117" s="117"/>
      <c r="I117" s="117"/>
      <c r="J117" s="117"/>
      <c r="K117" s="150"/>
      <c r="L117" s="117"/>
      <c r="M117" s="117"/>
      <c r="N117" s="117"/>
      <c r="O117" s="117"/>
      <c r="P117" s="150"/>
      <c r="Q117" s="117"/>
      <c r="R117" s="117"/>
      <c r="S117" s="117"/>
      <c r="T117" s="117"/>
      <c r="U117" s="150"/>
      <c r="V117" s="117"/>
      <c r="W117" s="117"/>
      <c r="X117" s="117"/>
      <c r="Y117" s="117"/>
      <c r="Z117" s="150"/>
      <c r="AA117" s="117"/>
      <c r="AB117" s="117"/>
      <c r="AC117" s="117"/>
      <c r="AD117" s="117"/>
      <c r="AE117" s="150"/>
      <c r="AF117" s="117"/>
      <c r="AG117" s="117"/>
      <c r="AH117" s="117"/>
      <c r="AI117" s="117"/>
      <c r="AJ117" s="150"/>
      <c r="AK117" s="117"/>
      <c r="AL117" s="117"/>
      <c r="AM117" s="117"/>
      <c r="AN117" s="117"/>
      <c r="AO117" s="975">
        <v>56911</v>
      </c>
      <c r="AP117" s="117"/>
      <c r="AQ117" s="117"/>
      <c r="AR117" s="117"/>
      <c r="AS117" s="117"/>
      <c r="AT117" s="975">
        <v>55839</v>
      </c>
      <c r="AU117" s="117"/>
      <c r="AV117" s="117"/>
      <c r="AW117" s="117"/>
      <c r="AX117" s="117"/>
      <c r="AY117" s="975">
        <v>55064</v>
      </c>
      <c r="AZ117" s="117"/>
      <c r="BA117" s="117"/>
      <c r="BB117" s="117"/>
      <c r="BC117" s="117"/>
      <c r="BD117" s="975">
        <v>58253</v>
      </c>
      <c r="BE117" s="117"/>
      <c r="BF117" s="117"/>
      <c r="BG117" s="117"/>
      <c r="BH117" s="117"/>
      <c r="BI117" s="975">
        <v>65055</v>
      </c>
      <c r="BJ117" s="117"/>
      <c r="BK117" s="117"/>
      <c r="BL117" s="117"/>
      <c r="BM117" s="117"/>
      <c r="BN117" s="975">
        <v>69545</v>
      </c>
      <c r="BO117" s="117"/>
      <c r="BP117" s="117"/>
      <c r="BQ117" s="117"/>
      <c r="BR117" s="117"/>
      <c r="BS117" s="975">
        <v>77504</v>
      </c>
      <c r="BT117" s="691"/>
      <c r="BU117" s="117"/>
      <c r="BV117" s="117"/>
      <c r="BW117" s="117"/>
      <c r="BX117" s="150"/>
      <c r="BY117" s="117"/>
      <c r="BZ117" s="117"/>
      <c r="CA117" s="117"/>
      <c r="CB117" s="117"/>
      <c r="CC117" s="150"/>
      <c r="CD117" s="150"/>
      <c r="CE117" s="150"/>
      <c r="CF117" s="150"/>
      <c r="CG117" s="587"/>
    </row>
    <row r="118" spans="1:85" s="460" customFormat="1" ht="14.4" hidden="1" outlineLevel="1" x14ac:dyDescent="0.3">
      <c r="A118" s="592" t="s">
        <v>917</v>
      </c>
      <c r="B118" s="588"/>
      <c r="C118" s="954"/>
      <c r="D118" s="954"/>
      <c r="E118" s="954"/>
      <c r="F118" s="954"/>
      <c r="G118" s="133"/>
      <c r="H118" s="133"/>
      <c r="I118" s="133"/>
      <c r="J118" s="133"/>
      <c r="K118" s="954"/>
      <c r="L118" s="133"/>
      <c r="M118" s="133"/>
      <c r="N118" s="133"/>
      <c r="O118" s="133"/>
      <c r="P118" s="954"/>
      <c r="Q118" s="133"/>
      <c r="R118" s="133"/>
      <c r="S118" s="133"/>
      <c r="T118" s="133"/>
      <c r="U118" s="954"/>
      <c r="V118" s="133"/>
      <c r="W118" s="133"/>
      <c r="X118" s="133"/>
      <c r="Y118" s="133"/>
      <c r="Z118" s="954"/>
      <c r="AA118" s="133"/>
      <c r="AB118" s="133"/>
      <c r="AC118" s="133"/>
      <c r="AD118" s="133"/>
      <c r="AE118" s="954"/>
      <c r="AF118" s="133"/>
      <c r="AG118" s="133"/>
      <c r="AH118" s="133"/>
      <c r="AI118" s="133"/>
      <c r="AJ118" s="954"/>
      <c r="AK118" s="133"/>
      <c r="AL118" s="133"/>
      <c r="AM118" s="133"/>
      <c r="AN118" s="133"/>
      <c r="AO118" s="976">
        <v>1635</v>
      </c>
      <c r="AP118" s="133"/>
      <c r="AQ118" s="133"/>
      <c r="AR118" s="133"/>
      <c r="AS118" s="133"/>
      <c r="AT118" s="976">
        <v>1002</v>
      </c>
      <c r="AU118" s="133"/>
      <c r="AV118" s="133"/>
      <c r="AW118" s="133"/>
      <c r="AX118" s="133"/>
      <c r="AY118" s="976">
        <v>1681</v>
      </c>
      <c r="AZ118" s="133"/>
      <c r="BA118" s="133"/>
      <c r="BB118" s="133"/>
      <c r="BC118" s="133"/>
      <c r="BD118" s="976">
        <v>1302</v>
      </c>
      <c r="BE118" s="133"/>
      <c r="BF118" s="133"/>
      <c r="BG118" s="133"/>
      <c r="BH118" s="133"/>
      <c r="BI118" s="976">
        <v>1295</v>
      </c>
      <c r="BJ118" s="133"/>
      <c r="BK118" s="133"/>
      <c r="BL118" s="133"/>
      <c r="BM118" s="133"/>
      <c r="BN118" s="976">
        <v>1265</v>
      </c>
      <c r="BO118" s="133"/>
      <c r="BP118" s="133"/>
      <c r="BQ118" s="133"/>
      <c r="BR118" s="133"/>
      <c r="BS118" s="976">
        <v>1260</v>
      </c>
      <c r="BT118" s="692"/>
      <c r="BU118" s="133"/>
      <c r="BV118" s="133"/>
      <c r="BW118" s="133"/>
      <c r="BX118" s="954"/>
      <c r="BY118" s="133"/>
      <c r="BZ118" s="133"/>
      <c r="CA118" s="133"/>
      <c r="CB118" s="133"/>
      <c r="CC118" s="954"/>
      <c r="CD118" s="954"/>
      <c r="CE118" s="954"/>
      <c r="CF118" s="954"/>
      <c r="CG118" s="587"/>
    </row>
    <row r="119" spans="1:85" s="460" customFormat="1" ht="14.4" hidden="1" outlineLevel="1" x14ac:dyDescent="0.3">
      <c r="A119" s="593" t="s">
        <v>918</v>
      </c>
      <c r="B119" s="589"/>
      <c r="C119" s="977"/>
      <c r="D119" s="977"/>
      <c r="E119" s="977"/>
      <c r="F119" s="977"/>
      <c r="G119" s="590"/>
      <c r="H119" s="590"/>
      <c r="I119" s="590"/>
      <c r="J119" s="590"/>
      <c r="K119" s="977"/>
      <c r="L119" s="590"/>
      <c r="M119" s="590"/>
      <c r="N119" s="590"/>
      <c r="O119" s="590"/>
      <c r="P119" s="977"/>
      <c r="Q119" s="590"/>
      <c r="R119" s="590"/>
      <c r="S119" s="590"/>
      <c r="T119" s="590"/>
      <c r="U119" s="977"/>
      <c r="V119" s="590"/>
      <c r="W119" s="590"/>
      <c r="X119" s="590"/>
      <c r="Y119" s="590"/>
      <c r="Z119" s="977"/>
      <c r="AA119" s="590"/>
      <c r="AB119" s="590"/>
      <c r="AC119" s="590"/>
      <c r="AD119" s="590"/>
      <c r="AE119" s="977"/>
      <c r="AF119" s="590"/>
      <c r="AG119" s="590"/>
      <c r="AH119" s="590"/>
      <c r="AI119" s="590"/>
      <c r="AJ119" s="977"/>
      <c r="AK119" s="590"/>
      <c r="AL119" s="590"/>
      <c r="AM119" s="590"/>
      <c r="AN119" s="590"/>
      <c r="AO119" s="977">
        <f>SUM(AO116:AO118)</f>
        <v>62510</v>
      </c>
      <c r="AP119" s="590"/>
      <c r="AQ119" s="590"/>
      <c r="AR119" s="590"/>
      <c r="AS119" s="590"/>
      <c r="AT119" s="977">
        <f>SUM(AT116:AT118)</f>
        <v>57020</v>
      </c>
      <c r="AU119" s="590"/>
      <c r="AV119" s="590"/>
      <c r="AW119" s="590"/>
      <c r="AX119" s="590"/>
      <c r="AY119" s="977">
        <f>SUM(AY116:AY118)</f>
        <v>57034</v>
      </c>
      <c r="AZ119" s="590"/>
      <c r="BA119" s="590"/>
      <c r="BB119" s="590"/>
      <c r="BC119" s="590"/>
      <c r="BD119" s="977">
        <f>SUM(BD116:BD118)</f>
        <v>59733</v>
      </c>
      <c r="BE119" s="590"/>
      <c r="BF119" s="590"/>
      <c r="BG119" s="590"/>
      <c r="BH119" s="590"/>
      <c r="BI119" s="977">
        <f>SUM(BI116:BI118)</f>
        <v>66518</v>
      </c>
      <c r="BJ119" s="590"/>
      <c r="BK119" s="590"/>
      <c r="BL119" s="590"/>
      <c r="BM119" s="590"/>
      <c r="BN119" s="977">
        <f>SUM(BN116:BN118)</f>
        <v>70929</v>
      </c>
      <c r="BO119" s="590"/>
      <c r="BP119" s="590"/>
      <c r="BQ119" s="590"/>
      <c r="BR119" s="590"/>
      <c r="BS119" s="977">
        <f>SUM(BS116:BS118)</f>
        <v>78897</v>
      </c>
      <c r="BT119" s="708"/>
      <c r="BU119" s="590"/>
      <c r="BV119" s="590"/>
      <c r="BW119" s="590"/>
      <c r="BX119" s="977"/>
      <c r="BY119" s="590"/>
      <c r="BZ119" s="590"/>
      <c r="CA119" s="590"/>
      <c r="CB119" s="590"/>
      <c r="CC119" s="977"/>
      <c r="CD119" s="977"/>
      <c r="CE119" s="977"/>
      <c r="CF119" s="977"/>
      <c r="CG119" s="587"/>
    </row>
    <row r="120" spans="1:85" s="461" customFormat="1" ht="14.4" hidden="1" outlineLevel="1" x14ac:dyDescent="0.3">
      <c r="A120" s="166" t="s">
        <v>919</v>
      </c>
      <c r="B120" s="583"/>
      <c r="C120" s="957"/>
      <c r="D120" s="957"/>
      <c r="E120" s="957"/>
      <c r="F120" s="957"/>
      <c r="G120" s="120"/>
      <c r="H120" s="120"/>
      <c r="I120" s="120"/>
      <c r="J120" s="120"/>
      <c r="K120" s="957"/>
      <c r="L120" s="120"/>
      <c r="M120" s="120"/>
      <c r="N120" s="120"/>
      <c r="O120" s="120"/>
      <c r="P120" s="957"/>
      <c r="Q120" s="120"/>
      <c r="R120" s="120"/>
      <c r="S120" s="120"/>
      <c r="T120" s="120"/>
      <c r="U120" s="957"/>
      <c r="V120" s="120"/>
      <c r="W120" s="120"/>
      <c r="X120" s="120"/>
      <c r="Y120" s="120"/>
      <c r="Z120" s="957"/>
      <c r="AA120" s="120"/>
      <c r="AB120" s="120"/>
      <c r="AC120" s="120"/>
      <c r="AD120" s="120"/>
      <c r="AE120" s="957"/>
      <c r="AF120" s="120"/>
      <c r="AG120" s="120"/>
      <c r="AH120" s="120"/>
      <c r="AI120" s="120"/>
      <c r="AJ120" s="957"/>
      <c r="AK120" s="120"/>
      <c r="AL120" s="120"/>
      <c r="AM120" s="120"/>
      <c r="AN120" s="120"/>
      <c r="AO120" s="957">
        <f>AO115-AO119</f>
        <v>32209</v>
      </c>
      <c r="AP120" s="120"/>
      <c r="AQ120" s="120"/>
      <c r="AR120" s="120"/>
      <c r="AS120" s="120"/>
      <c r="AT120" s="957">
        <f>AT115-AT119</f>
        <v>35914</v>
      </c>
      <c r="AU120" s="120"/>
      <c r="AV120" s="120"/>
      <c r="AW120" s="120"/>
      <c r="AX120" s="120"/>
      <c r="AY120" s="957">
        <f>AY115-AY119</f>
        <v>36132</v>
      </c>
      <c r="AZ120" s="120"/>
      <c r="BA120" s="120"/>
      <c r="BB120" s="120"/>
      <c r="BC120" s="120"/>
      <c r="BD120" s="957">
        <f>BD115-BD119</f>
        <v>36735</v>
      </c>
      <c r="BE120" s="120"/>
      <c r="BF120" s="120"/>
      <c r="BG120" s="120"/>
      <c r="BH120" s="120"/>
      <c r="BI120" s="957">
        <f>BI115-BI119</f>
        <v>49696</v>
      </c>
      <c r="BJ120" s="120"/>
      <c r="BK120" s="120"/>
      <c r="BL120" s="120"/>
      <c r="BM120" s="120"/>
      <c r="BN120" s="957">
        <f>BN115-BN119</f>
        <v>51701</v>
      </c>
      <c r="BO120" s="120"/>
      <c r="BP120" s="120"/>
      <c r="BQ120" s="120"/>
      <c r="BR120" s="120"/>
      <c r="BS120" s="957">
        <f>BS115-BS119</f>
        <v>72354</v>
      </c>
      <c r="BT120" s="694"/>
      <c r="BU120" s="120"/>
      <c r="BV120" s="120"/>
      <c r="BW120" s="120"/>
      <c r="BX120" s="957"/>
      <c r="BY120" s="120"/>
      <c r="BZ120" s="120"/>
      <c r="CA120" s="120"/>
      <c r="CB120" s="120"/>
      <c r="CC120" s="957"/>
      <c r="CD120" s="957"/>
      <c r="CE120" s="957"/>
      <c r="CF120" s="957"/>
      <c r="CG120" s="615"/>
    </row>
    <row r="121" spans="1:85" s="460" customFormat="1" ht="14.4" hidden="1" outlineLevel="1" x14ac:dyDescent="0.3">
      <c r="A121" s="591" t="s">
        <v>920</v>
      </c>
      <c r="B121" s="586"/>
      <c r="C121" s="150"/>
      <c r="D121" s="150"/>
      <c r="E121" s="150"/>
      <c r="F121" s="150"/>
      <c r="G121" s="117"/>
      <c r="H121" s="117"/>
      <c r="I121" s="117"/>
      <c r="J121" s="117"/>
      <c r="K121" s="150"/>
      <c r="L121" s="117"/>
      <c r="M121" s="117"/>
      <c r="N121" s="117"/>
      <c r="O121" s="117"/>
      <c r="P121" s="150"/>
      <c r="Q121" s="117"/>
      <c r="R121" s="117"/>
      <c r="S121" s="117"/>
      <c r="T121" s="117"/>
      <c r="U121" s="150"/>
      <c r="V121" s="117"/>
      <c r="W121" s="117"/>
      <c r="X121" s="117"/>
      <c r="Y121" s="117"/>
      <c r="Z121" s="150"/>
      <c r="AA121" s="117"/>
      <c r="AB121" s="117"/>
      <c r="AC121" s="117"/>
      <c r="AD121" s="117"/>
      <c r="AE121" s="150"/>
      <c r="AF121" s="117"/>
      <c r="AG121" s="117"/>
      <c r="AH121" s="117"/>
      <c r="AI121" s="117"/>
      <c r="AJ121" s="150"/>
      <c r="AK121" s="117"/>
      <c r="AL121" s="117"/>
      <c r="AM121" s="117"/>
      <c r="AN121" s="117"/>
      <c r="AO121" s="975">
        <v>2492</v>
      </c>
      <c r="AP121" s="117"/>
      <c r="AQ121" s="117"/>
      <c r="AR121" s="117"/>
      <c r="AS121" s="117"/>
      <c r="AT121" s="975">
        <v>2438</v>
      </c>
      <c r="AU121" s="117"/>
      <c r="AV121" s="117"/>
      <c r="AW121" s="117"/>
      <c r="AX121" s="117"/>
      <c r="AY121" s="975">
        <v>2382</v>
      </c>
      <c r="AZ121" s="117"/>
      <c r="BA121" s="117"/>
      <c r="BB121" s="117"/>
      <c r="BC121" s="117"/>
      <c r="BD121" s="975">
        <v>2176</v>
      </c>
      <c r="BE121" s="117"/>
      <c r="BF121" s="117"/>
      <c r="BG121" s="117"/>
      <c r="BH121" s="117"/>
      <c r="BI121" s="975">
        <v>1666</v>
      </c>
      <c r="BJ121" s="117"/>
      <c r="BK121" s="117"/>
      <c r="BL121" s="117"/>
      <c r="BM121" s="117"/>
      <c r="BN121" s="975">
        <v>1545</v>
      </c>
      <c r="BO121" s="117"/>
      <c r="BP121" s="117"/>
      <c r="BQ121" s="117"/>
      <c r="BR121" s="117"/>
      <c r="BS121" s="975">
        <v>27415</v>
      </c>
      <c r="BT121" s="691"/>
      <c r="BU121" s="117"/>
      <c r="BV121" s="117"/>
      <c r="BW121" s="117"/>
      <c r="BX121" s="150"/>
      <c r="BY121" s="117"/>
      <c r="BZ121" s="117"/>
      <c r="CA121" s="117"/>
      <c r="CB121" s="117"/>
      <c r="CC121" s="150"/>
      <c r="CD121" s="150"/>
      <c r="CE121" s="150"/>
      <c r="CF121" s="150"/>
      <c r="CG121" s="587"/>
    </row>
    <row r="122" spans="1:85" s="460" customFormat="1" ht="14.4" hidden="1" outlineLevel="1" x14ac:dyDescent="0.3">
      <c r="A122" s="591" t="s">
        <v>921</v>
      </c>
      <c r="B122" s="586"/>
      <c r="C122" s="150"/>
      <c r="D122" s="150"/>
      <c r="E122" s="150"/>
      <c r="F122" s="150"/>
      <c r="G122" s="117"/>
      <c r="H122" s="117"/>
      <c r="I122" s="117"/>
      <c r="J122" s="117"/>
      <c r="K122" s="150"/>
      <c r="L122" s="117"/>
      <c r="M122" s="117"/>
      <c r="N122" s="117"/>
      <c r="O122" s="117"/>
      <c r="P122" s="150"/>
      <c r="Q122" s="117"/>
      <c r="R122" s="117"/>
      <c r="S122" s="117"/>
      <c r="T122" s="117"/>
      <c r="U122" s="150"/>
      <c r="V122" s="117"/>
      <c r="W122" s="117"/>
      <c r="X122" s="117"/>
      <c r="Y122" s="117"/>
      <c r="Z122" s="150"/>
      <c r="AA122" s="117"/>
      <c r="AB122" s="117"/>
      <c r="AC122" s="117"/>
      <c r="AD122" s="117"/>
      <c r="AE122" s="150"/>
      <c r="AF122" s="117"/>
      <c r="AG122" s="117"/>
      <c r="AH122" s="117"/>
      <c r="AI122" s="117"/>
      <c r="AJ122" s="150"/>
      <c r="AK122" s="117"/>
      <c r="AL122" s="117"/>
      <c r="AM122" s="117"/>
      <c r="AN122" s="117"/>
      <c r="AO122" s="975">
        <v>24189</v>
      </c>
      <c r="AP122" s="117"/>
      <c r="AQ122" s="117"/>
      <c r="AR122" s="117"/>
      <c r="AS122" s="117"/>
      <c r="AT122" s="975">
        <v>24108</v>
      </c>
      <c r="AU122" s="117"/>
      <c r="AV122" s="117"/>
      <c r="AW122" s="117"/>
      <c r="AX122" s="117"/>
      <c r="AY122" s="975">
        <v>22031</v>
      </c>
      <c r="AZ122" s="117"/>
      <c r="BA122" s="117"/>
      <c r="BB122" s="117"/>
      <c r="BC122" s="117"/>
      <c r="BD122" s="975">
        <v>22867</v>
      </c>
      <c r="BE122" s="117"/>
      <c r="BF122" s="117"/>
      <c r="BG122" s="117"/>
      <c r="BH122" s="117"/>
      <c r="BI122" s="975">
        <v>23867</v>
      </c>
      <c r="BJ122" s="117"/>
      <c r="BK122" s="117"/>
      <c r="BL122" s="117"/>
      <c r="BM122" s="117"/>
      <c r="BN122" s="975">
        <v>15739</v>
      </c>
      <c r="BO122" s="117"/>
      <c r="BP122" s="117"/>
      <c r="BQ122" s="117"/>
      <c r="BR122" s="117"/>
      <c r="BS122" s="975">
        <v>38756</v>
      </c>
      <c r="BT122" s="691"/>
      <c r="BU122" s="117"/>
      <c r="BV122" s="117"/>
      <c r="BW122" s="117"/>
      <c r="BX122" s="150"/>
      <c r="BY122" s="117"/>
      <c r="BZ122" s="117"/>
      <c r="CA122" s="117"/>
      <c r="CB122" s="117"/>
      <c r="CC122" s="150"/>
      <c r="CD122" s="150"/>
      <c r="CE122" s="150"/>
      <c r="CF122" s="150"/>
      <c r="CG122" s="587"/>
    </row>
    <row r="123" spans="1:85" s="460" customFormat="1" ht="14.4" hidden="1" outlineLevel="1" x14ac:dyDescent="0.3">
      <c r="A123" s="591" t="s">
        <v>922</v>
      </c>
      <c r="B123" s="586"/>
      <c r="C123" s="150"/>
      <c r="D123" s="150"/>
      <c r="E123" s="150"/>
      <c r="F123" s="150"/>
      <c r="G123" s="117"/>
      <c r="H123" s="117"/>
      <c r="I123" s="117"/>
      <c r="J123" s="117"/>
      <c r="K123" s="150"/>
      <c r="L123" s="117"/>
      <c r="M123" s="117"/>
      <c r="N123" s="117"/>
      <c r="O123" s="117"/>
      <c r="P123" s="150"/>
      <c r="Q123" s="117"/>
      <c r="R123" s="117"/>
      <c r="S123" s="117"/>
      <c r="T123" s="117"/>
      <c r="U123" s="150"/>
      <c r="V123" s="117"/>
      <c r="W123" s="117"/>
      <c r="X123" s="117"/>
      <c r="Y123" s="117"/>
      <c r="Z123" s="150"/>
      <c r="AA123" s="117"/>
      <c r="AB123" s="117"/>
      <c r="AC123" s="117"/>
      <c r="AD123" s="117"/>
      <c r="AE123" s="150"/>
      <c r="AF123" s="117"/>
      <c r="AG123" s="117"/>
      <c r="AH123" s="117"/>
      <c r="AI123" s="117"/>
      <c r="AJ123" s="150"/>
      <c r="AK123" s="117"/>
      <c r="AL123" s="117"/>
      <c r="AM123" s="117"/>
      <c r="AN123" s="117"/>
      <c r="AO123" s="975">
        <v>311</v>
      </c>
      <c r="AP123" s="117"/>
      <c r="AQ123" s="117"/>
      <c r="AR123" s="117"/>
      <c r="AS123" s="117"/>
      <c r="AT123" s="975">
        <v>197</v>
      </c>
      <c r="AU123" s="117"/>
      <c r="AV123" s="117"/>
      <c r="AW123" s="117"/>
      <c r="AX123" s="117"/>
      <c r="AY123" s="975">
        <v>198</v>
      </c>
      <c r="AZ123" s="117"/>
      <c r="BA123" s="117"/>
      <c r="BB123" s="117"/>
      <c r="BC123" s="117"/>
      <c r="BD123" s="975">
        <v>194</v>
      </c>
      <c r="BE123" s="117"/>
      <c r="BF123" s="117"/>
      <c r="BG123" s="117"/>
      <c r="BH123" s="117"/>
      <c r="BI123" s="975">
        <v>191</v>
      </c>
      <c r="BJ123" s="117"/>
      <c r="BK123" s="117"/>
      <c r="BL123" s="117"/>
      <c r="BM123" s="117"/>
      <c r="BN123" s="975">
        <v>213</v>
      </c>
      <c r="BO123" s="117"/>
      <c r="BP123" s="117"/>
      <c r="BQ123" s="117"/>
      <c r="BR123" s="117"/>
      <c r="BS123" s="975">
        <v>1444</v>
      </c>
      <c r="BT123" s="691"/>
      <c r="BU123" s="117"/>
      <c r="BV123" s="117"/>
      <c r="BW123" s="117"/>
      <c r="BX123" s="150"/>
      <c r="BY123" s="117"/>
      <c r="BZ123" s="117"/>
      <c r="CA123" s="117"/>
      <c r="CB123" s="117"/>
      <c r="CC123" s="150"/>
      <c r="CD123" s="150"/>
      <c r="CE123" s="150"/>
      <c r="CF123" s="150"/>
      <c r="CG123" s="587"/>
    </row>
    <row r="124" spans="1:85" s="460" customFormat="1" ht="14.4" hidden="1" outlineLevel="1" x14ac:dyDescent="0.3">
      <c r="A124" s="591" t="s">
        <v>923</v>
      </c>
      <c r="B124" s="586"/>
      <c r="C124" s="150"/>
      <c r="D124" s="150"/>
      <c r="E124" s="150"/>
      <c r="F124" s="150"/>
      <c r="G124" s="117"/>
      <c r="H124" s="117"/>
      <c r="I124" s="117"/>
      <c r="J124" s="117"/>
      <c r="K124" s="150"/>
      <c r="L124" s="117"/>
      <c r="M124" s="117"/>
      <c r="N124" s="117"/>
      <c r="O124" s="117"/>
      <c r="P124" s="150"/>
      <c r="Q124" s="117"/>
      <c r="R124" s="117"/>
      <c r="S124" s="117"/>
      <c r="T124" s="117"/>
      <c r="U124" s="150"/>
      <c r="V124" s="117"/>
      <c r="W124" s="117"/>
      <c r="X124" s="117"/>
      <c r="Y124" s="117"/>
      <c r="Z124" s="150"/>
      <c r="AA124" s="117"/>
      <c r="AB124" s="117"/>
      <c r="AC124" s="117"/>
      <c r="AD124" s="117"/>
      <c r="AE124" s="150"/>
      <c r="AF124" s="117"/>
      <c r="AG124" s="117"/>
      <c r="AH124" s="117"/>
      <c r="AI124" s="117"/>
      <c r="AJ124" s="150"/>
      <c r="AK124" s="117"/>
      <c r="AL124" s="117"/>
      <c r="AM124" s="117"/>
      <c r="AN124" s="117"/>
      <c r="AO124" s="975">
        <v>147</v>
      </c>
      <c r="AP124" s="117"/>
      <c r="AQ124" s="117"/>
      <c r="AR124" s="117"/>
      <c r="AS124" s="117"/>
      <c r="AT124" s="975">
        <v>142</v>
      </c>
      <c r="AU124" s="117"/>
      <c r="AV124" s="117"/>
      <c r="AW124" s="117"/>
      <c r="AX124" s="117"/>
      <c r="AY124" s="975">
        <v>121</v>
      </c>
      <c r="AZ124" s="117"/>
      <c r="BA124" s="117"/>
      <c r="BB124" s="117"/>
      <c r="BC124" s="117"/>
      <c r="BD124" s="975">
        <v>56</v>
      </c>
      <c r="BE124" s="117"/>
      <c r="BF124" s="117"/>
      <c r="BG124" s="117"/>
      <c r="BH124" s="117"/>
      <c r="BI124" s="975">
        <v>73</v>
      </c>
      <c r="BJ124" s="117"/>
      <c r="BK124" s="117"/>
      <c r="BL124" s="117"/>
      <c r="BM124" s="117"/>
      <c r="BN124" s="975">
        <v>69</v>
      </c>
      <c r="BO124" s="117"/>
      <c r="BP124" s="117"/>
      <c r="BQ124" s="117"/>
      <c r="BR124" s="117"/>
      <c r="BS124" s="975">
        <v>144</v>
      </c>
      <c r="BT124" s="691"/>
      <c r="BU124" s="117"/>
      <c r="BV124" s="117"/>
      <c r="BW124" s="117"/>
      <c r="BX124" s="150"/>
      <c r="BY124" s="117"/>
      <c r="BZ124" s="117"/>
      <c r="CA124" s="117"/>
      <c r="CB124" s="117"/>
      <c r="CC124" s="150"/>
      <c r="CD124" s="150"/>
      <c r="CE124" s="150"/>
      <c r="CF124" s="150"/>
      <c r="CG124" s="587"/>
    </row>
    <row r="125" spans="1:85" s="460" customFormat="1" ht="14.4" hidden="1" outlineLevel="1" x14ac:dyDescent="0.3">
      <c r="A125" s="592" t="s">
        <v>924</v>
      </c>
      <c r="B125" s="588"/>
      <c r="C125" s="954"/>
      <c r="D125" s="954"/>
      <c r="E125" s="954"/>
      <c r="F125" s="954"/>
      <c r="G125" s="133"/>
      <c r="H125" s="133"/>
      <c r="I125" s="133"/>
      <c r="J125" s="133"/>
      <c r="K125" s="954"/>
      <c r="L125" s="133"/>
      <c r="M125" s="133"/>
      <c r="N125" s="133"/>
      <c r="O125" s="133"/>
      <c r="P125" s="954"/>
      <c r="Q125" s="133"/>
      <c r="R125" s="133"/>
      <c r="S125" s="133"/>
      <c r="T125" s="133"/>
      <c r="U125" s="954"/>
      <c r="V125" s="133"/>
      <c r="W125" s="133"/>
      <c r="X125" s="133"/>
      <c r="Y125" s="133"/>
      <c r="Z125" s="954"/>
      <c r="AA125" s="133"/>
      <c r="AB125" s="133"/>
      <c r="AC125" s="133"/>
      <c r="AD125" s="133"/>
      <c r="AE125" s="954"/>
      <c r="AF125" s="133"/>
      <c r="AG125" s="133"/>
      <c r="AH125" s="133"/>
      <c r="AI125" s="133"/>
      <c r="AJ125" s="954"/>
      <c r="AK125" s="133"/>
      <c r="AL125" s="133"/>
      <c r="AM125" s="133"/>
      <c r="AN125" s="133"/>
      <c r="AO125" s="976">
        <v>505</v>
      </c>
      <c r="AP125" s="133"/>
      <c r="AQ125" s="133"/>
      <c r="AR125" s="133"/>
      <c r="AS125" s="133"/>
      <c r="AT125" s="976">
        <v>582</v>
      </c>
      <c r="AU125" s="133"/>
      <c r="AV125" s="133"/>
      <c r="AW125" s="133"/>
      <c r="AX125" s="133"/>
      <c r="AY125" s="976">
        <v>431</v>
      </c>
      <c r="AZ125" s="133"/>
      <c r="BA125" s="133"/>
      <c r="BB125" s="133"/>
      <c r="BC125" s="133"/>
      <c r="BD125" s="976">
        <v>610</v>
      </c>
      <c r="BE125" s="133"/>
      <c r="BF125" s="133"/>
      <c r="BG125" s="133"/>
      <c r="BH125" s="133"/>
      <c r="BI125" s="976">
        <v>734</v>
      </c>
      <c r="BJ125" s="133"/>
      <c r="BK125" s="133"/>
      <c r="BL125" s="133"/>
      <c r="BM125" s="133"/>
      <c r="BN125" s="976">
        <v>650</v>
      </c>
      <c r="BO125" s="133"/>
      <c r="BP125" s="133"/>
      <c r="BQ125" s="133"/>
      <c r="BR125" s="133"/>
      <c r="BS125" s="976">
        <v>6411</v>
      </c>
      <c r="BT125" s="692"/>
      <c r="BU125" s="133"/>
      <c r="BV125" s="133"/>
      <c r="BW125" s="133"/>
      <c r="BX125" s="954"/>
      <c r="BY125" s="133"/>
      <c r="BZ125" s="133"/>
      <c r="CA125" s="133"/>
      <c r="CB125" s="133"/>
      <c r="CC125" s="954"/>
      <c r="CD125" s="954"/>
      <c r="CE125" s="954"/>
      <c r="CF125" s="954"/>
      <c r="CG125" s="587"/>
    </row>
    <row r="126" spans="1:85" s="460" customFormat="1" ht="14.4" hidden="1" outlineLevel="1" x14ac:dyDescent="0.3">
      <c r="A126" s="159" t="s">
        <v>925</v>
      </c>
      <c r="B126" s="586"/>
      <c r="C126" s="150"/>
      <c r="D126" s="150"/>
      <c r="E126" s="150"/>
      <c r="F126" s="150"/>
      <c r="G126" s="117"/>
      <c r="H126" s="117"/>
      <c r="I126" s="117"/>
      <c r="J126" s="117"/>
      <c r="K126" s="150"/>
      <c r="L126" s="117"/>
      <c r="M126" s="117"/>
      <c r="N126" s="117"/>
      <c r="O126" s="117"/>
      <c r="P126" s="150"/>
      <c r="Q126" s="117"/>
      <c r="R126" s="117"/>
      <c r="S126" s="117"/>
      <c r="T126" s="117"/>
      <c r="U126" s="150"/>
      <c r="V126" s="117"/>
      <c r="W126" s="117"/>
      <c r="X126" s="117"/>
      <c r="Y126" s="117"/>
      <c r="Z126" s="150"/>
      <c r="AA126" s="117"/>
      <c r="AB126" s="117"/>
      <c r="AC126" s="117"/>
      <c r="AD126" s="117"/>
      <c r="AE126" s="150"/>
      <c r="AF126" s="117"/>
      <c r="AG126" s="117"/>
      <c r="AH126" s="117"/>
      <c r="AI126" s="117"/>
      <c r="AJ126" s="150"/>
      <c r="AK126" s="117"/>
      <c r="AL126" s="117"/>
      <c r="AM126" s="117"/>
      <c r="AN126" s="117"/>
      <c r="AO126" s="150">
        <f>SUM(AO121:AO125)</f>
        <v>27644</v>
      </c>
      <c r="AP126" s="117"/>
      <c r="AQ126" s="117"/>
      <c r="AR126" s="117"/>
      <c r="AS126" s="117"/>
      <c r="AT126" s="150">
        <f>SUM(AT121:AT125)</f>
        <v>27467</v>
      </c>
      <c r="AU126" s="117"/>
      <c r="AV126" s="117"/>
      <c r="AW126" s="117"/>
      <c r="AX126" s="117"/>
      <c r="AY126" s="150">
        <f>SUM(AY121:AY125)</f>
        <v>25163</v>
      </c>
      <c r="AZ126" s="117"/>
      <c r="BA126" s="117"/>
      <c r="BB126" s="117"/>
      <c r="BC126" s="117"/>
      <c r="BD126" s="150">
        <f>SUM(BD121:BD125)</f>
        <v>25903</v>
      </c>
      <c r="BE126" s="117"/>
      <c r="BF126" s="117"/>
      <c r="BG126" s="117"/>
      <c r="BH126" s="117"/>
      <c r="BI126" s="150">
        <f>SUM(BI121:BI125)</f>
        <v>26531</v>
      </c>
      <c r="BJ126" s="117"/>
      <c r="BK126" s="117"/>
      <c r="BL126" s="117"/>
      <c r="BM126" s="117"/>
      <c r="BN126" s="150">
        <f>SUM(BN121:BN125)</f>
        <v>18216</v>
      </c>
      <c r="BO126" s="117"/>
      <c r="BP126" s="117"/>
      <c r="BQ126" s="117"/>
      <c r="BR126" s="117"/>
      <c r="BS126" s="150">
        <f>SUM(BS121:BS125)</f>
        <v>74170</v>
      </c>
      <c r="BT126" s="691"/>
      <c r="BU126" s="117"/>
      <c r="BV126" s="117"/>
      <c r="BW126" s="117"/>
      <c r="BX126" s="150"/>
      <c r="BY126" s="117"/>
      <c r="BZ126" s="117"/>
      <c r="CA126" s="117"/>
      <c r="CB126" s="117"/>
      <c r="CC126" s="150"/>
      <c r="CD126" s="150"/>
      <c r="CE126" s="150"/>
      <c r="CF126" s="150"/>
      <c r="CG126" s="587"/>
    </row>
    <row r="127" spans="1:85" s="460" customFormat="1" ht="14.4" hidden="1" outlineLevel="1" x14ac:dyDescent="0.3">
      <c r="A127" s="591" t="s">
        <v>926</v>
      </c>
      <c r="B127" s="586"/>
      <c r="C127" s="150"/>
      <c r="D127" s="150"/>
      <c r="E127" s="150"/>
      <c r="F127" s="150"/>
      <c r="G127" s="117"/>
      <c r="H127" s="117"/>
      <c r="I127" s="117"/>
      <c r="J127" s="117"/>
      <c r="K127" s="150"/>
      <c r="L127" s="117"/>
      <c r="M127" s="117"/>
      <c r="N127" s="117"/>
      <c r="O127" s="117"/>
      <c r="P127" s="150"/>
      <c r="Q127" s="117"/>
      <c r="R127" s="117"/>
      <c r="S127" s="117"/>
      <c r="T127" s="117"/>
      <c r="U127" s="150"/>
      <c r="V127" s="117"/>
      <c r="W127" s="117"/>
      <c r="X127" s="117"/>
      <c r="Y127" s="117"/>
      <c r="Z127" s="150"/>
      <c r="AA127" s="117"/>
      <c r="AB127" s="117"/>
      <c r="AC127" s="117"/>
      <c r="AD127" s="117"/>
      <c r="AE127" s="150"/>
      <c r="AF127" s="117"/>
      <c r="AG127" s="117"/>
      <c r="AH127" s="117"/>
      <c r="AI127" s="117"/>
      <c r="AJ127" s="150"/>
      <c r="AK127" s="117"/>
      <c r="AL127" s="117"/>
      <c r="AM127" s="117"/>
      <c r="AN127" s="117"/>
      <c r="AO127" s="975">
        <v>1271</v>
      </c>
      <c r="AP127" s="117"/>
      <c r="AQ127" s="117"/>
      <c r="AR127" s="117"/>
      <c r="AS127" s="117"/>
      <c r="AT127" s="975">
        <v>1471</v>
      </c>
      <c r="AU127" s="117"/>
      <c r="AV127" s="117"/>
      <c r="AW127" s="117"/>
      <c r="AX127" s="117"/>
      <c r="AY127" s="975">
        <v>1536</v>
      </c>
      <c r="AZ127" s="117"/>
      <c r="BA127" s="117"/>
      <c r="BB127" s="117"/>
      <c r="BC127" s="117"/>
      <c r="BD127" s="975">
        <v>1589</v>
      </c>
      <c r="BE127" s="117"/>
      <c r="BF127" s="117"/>
      <c r="BG127" s="117"/>
      <c r="BH127" s="117"/>
      <c r="BI127" s="975">
        <v>1214</v>
      </c>
      <c r="BJ127" s="117"/>
      <c r="BK127" s="117"/>
      <c r="BL127" s="117"/>
      <c r="BM127" s="117"/>
      <c r="BN127" s="975">
        <v>1119</v>
      </c>
      <c r="BO127" s="117"/>
      <c r="BP127" s="117"/>
      <c r="BQ127" s="117"/>
      <c r="BR127" s="117"/>
      <c r="BS127" s="975">
        <v>1150</v>
      </c>
      <c r="BT127" s="691"/>
      <c r="BU127" s="117"/>
      <c r="BV127" s="117"/>
      <c r="BW127" s="117"/>
      <c r="BX127" s="150"/>
      <c r="BY127" s="117"/>
      <c r="BZ127" s="117"/>
      <c r="CA127" s="117"/>
      <c r="CB127" s="117"/>
      <c r="CC127" s="150"/>
      <c r="CD127" s="150"/>
      <c r="CE127" s="150"/>
      <c r="CF127" s="150"/>
      <c r="CG127" s="587"/>
    </row>
    <row r="128" spans="1:85" s="460" customFormat="1" ht="14.4" hidden="1" outlineLevel="1" x14ac:dyDescent="0.3">
      <c r="A128" s="591" t="s">
        <v>927</v>
      </c>
      <c r="B128" s="586"/>
      <c r="C128" s="150"/>
      <c r="D128" s="150"/>
      <c r="E128" s="150"/>
      <c r="F128" s="150"/>
      <c r="G128" s="117"/>
      <c r="H128" s="117"/>
      <c r="I128" s="117"/>
      <c r="J128" s="117"/>
      <c r="K128" s="150"/>
      <c r="L128" s="117"/>
      <c r="M128" s="117"/>
      <c r="N128" s="117"/>
      <c r="O128" s="117"/>
      <c r="P128" s="150"/>
      <c r="Q128" s="117"/>
      <c r="R128" s="117"/>
      <c r="S128" s="117"/>
      <c r="T128" s="117"/>
      <c r="U128" s="150"/>
      <c r="V128" s="117"/>
      <c r="W128" s="117"/>
      <c r="X128" s="117"/>
      <c r="Y128" s="117"/>
      <c r="Z128" s="150"/>
      <c r="AA128" s="117"/>
      <c r="AB128" s="117"/>
      <c r="AC128" s="117"/>
      <c r="AD128" s="117"/>
      <c r="AE128" s="150"/>
      <c r="AF128" s="117"/>
      <c r="AG128" s="117"/>
      <c r="AH128" s="117"/>
      <c r="AI128" s="117"/>
      <c r="AJ128" s="150"/>
      <c r="AK128" s="117"/>
      <c r="AL128" s="117"/>
      <c r="AM128" s="117"/>
      <c r="AN128" s="117"/>
      <c r="AO128" s="975">
        <v>12644</v>
      </c>
      <c r="AP128" s="117"/>
      <c r="AQ128" s="117"/>
      <c r="AR128" s="117"/>
      <c r="AS128" s="117"/>
      <c r="AT128" s="975">
        <v>13141</v>
      </c>
      <c r="AU128" s="117"/>
      <c r="AV128" s="117"/>
      <c r="AW128" s="117"/>
      <c r="AX128" s="117"/>
      <c r="AY128" s="975">
        <v>11745</v>
      </c>
      <c r="AZ128" s="117"/>
      <c r="BA128" s="117"/>
      <c r="BB128" s="117"/>
      <c r="BC128" s="117"/>
      <c r="BD128" s="975">
        <v>12974</v>
      </c>
      <c r="BE128" s="117"/>
      <c r="BF128" s="117"/>
      <c r="BG128" s="117"/>
      <c r="BH128" s="117"/>
      <c r="BI128" s="975">
        <v>14009</v>
      </c>
      <c r="BJ128" s="117"/>
      <c r="BK128" s="117"/>
      <c r="BL128" s="117"/>
      <c r="BM128" s="117"/>
      <c r="BN128" s="975">
        <v>10314</v>
      </c>
      <c r="BO128" s="117"/>
      <c r="BP128" s="117"/>
      <c r="BQ128" s="117"/>
      <c r="BR128" s="117"/>
      <c r="BS128" s="975">
        <v>12574</v>
      </c>
      <c r="BT128" s="691"/>
      <c r="BU128" s="117"/>
      <c r="BV128" s="117"/>
      <c r="BW128" s="117"/>
      <c r="BX128" s="150"/>
      <c r="BY128" s="117"/>
      <c r="BZ128" s="117"/>
      <c r="CA128" s="117"/>
      <c r="CB128" s="117"/>
      <c r="CC128" s="150"/>
      <c r="CD128" s="150"/>
      <c r="CE128" s="150"/>
      <c r="CF128" s="150"/>
      <c r="CG128" s="587"/>
    </row>
    <row r="129" spans="1:85" s="460" customFormat="1" ht="14.4" hidden="1" outlineLevel="1" x14ac:dyDescent="0.3">
      <c r="A129" s="592" t="s">
        <v>928</v>
      </c>
      <c r="B129" s="588"/>
      <c r="C129" s="954"/>
      <c r="D129" s="954"/>
      <c r="E129" s="954"/>
      <c r="F129" s="954"/>
      <c r="G129" s="133"/>
      <c r="H129" s="133"/>
      <c r="I129" s="133"/>
      <c r="J129" s="133"/>
      <c r="K129" s="954"/>
      <c r="L129" s="133"/>
      <c r="M129" s="133"/>
      <c r="N129" s="133"/>
      <c r="O129" s="133"/>
      <c r="P129" s="954"/>
      <c r="Q129" s="133"/>
      <c r="R129" s="133"/>
      <c r="S129" s="133"/>
      <c r="T129" s="133"/>
      <c r="U129" s="954"/>
      <c r="V129" s="133"/>
      <c r="W129" s="133"/>
      <c r="X129" s="133"/>
      <c r="Y129" s="133"/>
      <c r="Z129" s="954"/>
      <c r="AA129" s="133"/>
      <c r="AB129" s="133"/>
      <c r="AC129" s="133"/>
      <c r="AD129" s="133"/>
      <c r="AE129" s="954"/>
      <c r="AF129" s="133"/>
      <c r="AG129" s="133"/>
      <c r="AH129" s="133"/>
      <c r="AI129" s="133"/>
      <c r="AJ129" s="954"/>
      <c r="AK129" s="133"/>
      <c r="AL129" s="133"/>
      <c r="AM129" s="133"/>
      <c r="AN129" s="133"/>
      <c r="AO129" s="976">
        <v>226</v>
      </c>
      <c r="AP129" s="133"/>
      <c r="AQ129" s="133"/>
      <c r="AR129" s="133"/>
      <c r="AS129" s="133"/>
      <c r="AT129" s="976">
        <v>159</v>
      </c>
      <c r="AU129" s="133"/>
      <c r="AV129" s="133"/>
      <c r="AW129" s="133"/>
      <c r="AX129" s="133"/>
      <c r="AY129" s="976">
        <v>155</v>
      </c>
      <c r="AZ129" s="133"/>
      <c r="BA129" s="133"/>
      <c r="BB129" s="133"/>
      <c r="BC129" s="133"/>
      <c r="BD129" s="976">
        <v>155</v>
      </c>
      <c r="BE129" s="133"/>
      <c r="BF129" s="133"/>
      <c r="BG129" s="133"/>
      <c r="BH129" s="133"/>
      <c r="BI129" s="976">
        <v>155</v>
      </c>
      <c r="BJ129" s="133"/>
      <c r="BK129" s="133"/>
      <c r="BL129" s="133"/>
      <c r="BM129" s="133"/>
      <c r="BN129" s="976">
        <v>152</v>
      </c>
      <c r="BO129" s="133"/>
      <c r="BP129" s="133"/>
      <c r="BQ129" s="133"/>
      <c r="BR129" s="133"/>
      <c r="BS129" s="976">
        <v>213</v>
      </c>
      <c r="BT129" s="692"/>
      <c r="BU129" s="133"/>
      <c r="BV129" s="133"/>
      <c r="BW129" s="133"/>
      <c r="BX129" s="954"/>
      <c r="BY129" s="133"/>
      <c r="BZ129" s="133"/>
      <c r="CA129" s="133"/>
      <c r="CB129" s="133"/>
      <c r="CC129" s="954"/>
      <c r="CD129" s="954"/>
      <c r="CE129" s="954"/>
      <c r="CF129" s="954"/>
      <c r="CG129" s="587"/>
    </row>
    <row r="130" spans="1:85" s="460" customFormat="1" ht="14.4" hidden="1" outlineLevel="1" x14ac:dyDescent="0.3">
      <c r="A130" s="593" t="s">
        <v>929</v>
      </c>
      <c r="B130" s="589"/>
      <c r="C130" s="977"/>
      <c r="D130" s="977"/>
      <c r="E130" s="977"/>
      <c r="F130" s="977"/>
      <c r="G130" s="590"/>
      <c r="H130" s="590"/>
      <c r="I130" s="590"/>
      <c r="J130" s="590"/>
      <c r="K130" s="977"/>
      <c r="L130" s="590"/>
      <c r="M130" s="590"/>
      <c r="N130" s="590"/>
      <c r="O130" s="590"/>
      <c r="P130" s="977"/>
      <c r="Q130" s="590"/>
      <c r="R130" s="590"/>
      <c r="S130" s="590"/>
      <c r="T130" s="590"/>
      <c r="U130" s="977"/>
      <c r="V130" s="590"/>
      <c r="W130" s="590"/>
      <c r="X130" s="590"/>
      <c r="Y130" s="590"/>
      <c r="Z130" s="977"/>
      <c r="AA130" s="590"/>
      <c r="AB130" s="590"/>
      <c r="AC130" s="590"/>
      <c r="AD130" s="590"/>
      <c r="AE130" s="977"/>
      <c r="AF130" s="590"/>
      <c r="AG130" s="590"/>
      <c r="AH130" s="590"/>
      <c r="AI130" s="590"/>
      <c r="AJ130" s="977"/>
      <c r="AK130" s="590"/>
      <c r="AL130" s="590"/>
      <c r="AM130" s="590"/>
      <c r="AN130" s="590"/>
      <c r="AO130" s="977">
        <f>SUM(AO127:AO129)</f>
        <v>14141</v>
      </c>
      <c r="AP130" s="590"/>
      <c r="AQ130" s="590"/>
      <c r="AR130" s="590"/>
      <c r="AS130" s="590"/>
      <c r="AT130" s="977">
        <f>SUM(AT127:AT129)</f>
        <v>14771</v>
      </c>
      <c r="AU130" s="590"/>
      <c r="AV130" s="590"/>
      <c r="AW130" s="590"/>
      <c r="AX130" s="590"/>
      <c r="AY130" s="977">
        <f>SUM(AY127:AY129)</f>
        <v>13436</v>
      </c>
      <c r="AZ130" s="590"/>
      <c r="BA130" s="590"/>
      <c r="BB130" s="590"/>
      <c r="BC130" s="590"/>
      <c r="BD130" s="977">
        <f>SUM(BD127:BD129)</f>
        <v>14718</v>
      </c>
      <c r="BE130" s="590"/>
      <c r="BF130" s="590"/>
      <c r="BG130" s="590"/>
      <c r="BH130" s="590"/>
      <c r="BI130" s="977">
        <f>SUM(BI127:BI129)</f>
        <v>15378</v>
      </c>
      <c r="BJ130" s="590"/>
      <c r="BK130" s="590"/>
      <c r="BL130" s="590"/>
      <c r="BM130" s="590"/>
      <c r="BN130" s="977">
        <f>SUM(BN127:BN129)</f>
        <v>11585</v>
      </c>
      <c r="BO130" s="590"/>
      <c r="BP130" s="590"/>
      <c r="BQ130" s="590"/>
      <c r="BR130" s="590"/>
      <c r="BS130" s="977">
        <f>SUM(BS127:BS129)</f>
        <v>13937</v>
      </c>
      <c r="BT130" s="708"/>
      <c r="BU130" s="590"/>
      <c r="BV130" s="590"/>
      <c r="BW130" s="590"/>
      <c r="BX130" s="977"/>
      <c r="BY130" s="590"/>
      <c r="BZ130" s="590"/>
      <c r="CA130" s="590"/>
      <c r="CB130" s="590"/>
      <c r="CC130" s="977"/>
      <c r="CD130" s="977"/>
      <c r="CE130" s="977"/>
      <c r="CF130" s="977"/>
      <c r="CG130" s="587"/>
    </row>
    <row r="131" spans="1:85" s="461" customFormat="1" ht="14.4" hidden="1" outlineLevel="1" x14ac:dyDescent="0.3">
      <c r="A131" s="166" t="s">
        <v>930</v>
      </c>
      <c r="B131" s="583"/>
      <c r="C131" s="957"/>
      <c r="D131" s="957"/>
      <c r="E131" s="957"/>
      <c r="F131" s="957"/>
      <c r="G131" s="120"/>
      <c r="H131" s="120"/>
      <c r="I131" s="120"/>
      <c r="J131" s="120"/>
      <c r="K131" s="957"/>
      <c r="L131" s="120"/>
      <c r="M131" s="120"/>
      <c r="N131" s="120"/>
      <c r="O131" s="120"/>
      <c r="P131" s="957"/>
      <c r="Q131" s="120"/>
      <c r="R131" s="120"/>
      <c r="S131" s="120"/>
      <c r="T131" s="120"/>
      <c r="U131" s="957"/>
      <c r="V131" s="120"/>
      <c r="W131" s="120"/>
      <c r="X131" s="120"/>
      <c r="Y131" s="120"/>
      <c r="Z131" s="957"/>
      <c r="AA131" s="120"/>
      <c r="AB131" s="120"/>
      <c r="AC131" s="120"/>
      <c r="AD131" s="120"/>
      <c r="AE131" s="957"/>
      <c r="AF131" s="120"/>
      <c r="AG131" s="120"/>
      <c r="AH131" s="120"/>
      <c r="AI131" s="120"/>
      <c r="AJ131" s="957"/>
      <c r="AK131" s="120"/>
      <c r="AL131" s="120"/>
      <c r="AM131" s="120"/>
      <c r="AN131" s="120"/>
      <c r="AO131" s="957">
        <f>AO126-AO130</f>
        <v>13503</v>
      </c>
      <c r="AP131" s="120"/>
      <c r="AQ131" s="120"/>
      <c r="AR131" s="120"/>
      <c r="AS131" s="120"/>
      <c r="AT131" s="957">
        <f>AT126-AT130</f>
        <v>12696</v>
      </c>
      <c r="AU131" s="120"/>
      <c r="AV131" s="120"/>
      <c r="AW131" s="120"/>
      <c r="AX131" s="120"/>
      <c r="AY131" s="957">
        <f>AY126-AY130</f>
        <v>11727</v>
      </c>
      <c r="AZ131" s="120"/>
      <c r="BA131" s="120"/>
      <c r="BB131" s="120"/>
      <c r="BC131" s="120"/>
      <c r="BD131" s="957">
        <f>BD126-BD130</f>
        <v>11185</v>
      </c>
      <c r="BE131" s="120"/>
      <c r="BF131" s="120"/>
      <c r="BG131" s="120"/>
      <c r="BH131" s="120"/>
      <c r="BI131" s="957">
        <f>BI126-BI130</f>
        <v>11153</v>
      </c>
      <c r="BJ131" s="120"/>
      <c r="BK131" s="120"/>
      <c r="BL131" s="120"/>
      <c r="BM131" s="120"/>
      <c r="BN131" s="957">
        <f>BN126-BN130</f>
        <v>6631</v>
      </c>
      <c r="BO131" s="120"/>
      <c r="BP131" s="120"/>
      <c r="BQ131" s="120"/>
      <c r="BR131" s="120"/>
      <c r="BS131" s="957">
        <f>BS126-BS130</f>
        <v>60233</v>
      </c>
      <c r="BT131" s="694"/>
      <c r="BU131" s="120"/>
      <c r="BV131" s="120"/>
      <c r="BW131" s="120"/>
      <c r="BX131" s="957"/>
      <c r="BY131" s="120"/>
      <c r="BZ131" s="120"/>
      <c r="CA131" s="120"/>
      <c r="CB131" s="120"/>
      <c r="CC131" s="957"/>
      <c r="CD131" s="957"/>
      <c r="CE131" s="957"/>
      <c r="CF131" s="957"/>
      <c r="CG131" s="615"/>
    </row>
    <row r="132" spans="1:85" s="460" customFormat="1" ht="14.4" hidden="1" outlineLevel="1" x14ac:dyDescent="0.3">
      <c r="A132" s="591" t="s">
        <v>931</v>
      </c>
      <c r="B132" s="586"/>
      <c r="C132" s="150"/>
      <c r="D132" s="150"/>
      <c r="E132" s="150"/>
      <c r="F132" s="150"/>
      <c r="G132" s="117"/>
      <c r="H132" s="117"/>
      <c r="I132" s="117"/>
      <c r="J132" s="117"/>
      <c r="K132" s="150"/>
      <c r="L132" s="117"/>
      <c r="M132" s="117"/>
      <c r="N132" s="117"/>
      <c r="O132" s="117"/>
      <c r="P132" s="150"/>
      <c r="Q132" s="117"/>
      <c r="R132" s="117"/>
      <c r="S132" s="117"/>
      <c r="T132" s="117"/>
      <c r="U132" s="150"/>
      <c r="V132" s="117"/>
      <c r="W132" s="117"/>
      <c r="X132" s="117"/>
      <c r="Y132" s="117"/>
      <c r="Z132" s="150"/>
      <c r="AA132" s="117"/>
      <c r="AB132" s="117"/>
      <c r="AC132" s="117"/>
      <c r="AD132" s="117"/>
      <c r="AE132" s="150"/>
      <c r="AF132" s="117"/>
      <c r="AG132" s="117"/>
      <c r="AH132" s="117"/>
      <c r="AI132" s="117"/>
      <c r="AJ132" s="150"/>
      <c r="AK132" s="117"/>
      <c r="AL132" s="117"/>
      <c r="AM132" s="117"/>
      <c r="AN132" s="117"/>
      <c r="AO132" s="975">
        <v>151</v>
      </c>
      <c r="AP132" s="117"/>
      <c r="AQ132" s="117"/>
      <c r="AR132" s="117"/>
      <c r="AS132" s="117"/>
      <c r="AT132" s="975">
        <v>188</v>
      </c>
      <c r="AU132" s="117"/>
      <c r="AV132" s="117"/>
      <c r="AW132" s="117"/>
      <c r="AX132" s="117"/>
      <c r="AY132" s="975">
        <v>191</v>
      </c>
      <c r="AZ132" s="117"/>
      <c r="BA132" s="117"/>
      <c r="BB132" s="117"/>
      <c r="BC132" s="117"/>
      <c r="BD132" s="975">
        <v>265</v>
      </c>
      <c r="BE132" s="117"/>
      <c r="BF132" s="117"/>
      <c r="BG132" s="117"/>
      <c r="BH132" s="117"/>
      <c r="BI132" s="975">
        <v>265</v>
      </c>
      <c r="BJ132" s="117"/>
      <c r="BK132" s="117"/>
      <c r="BL132" s="117"/>
      <c r="BM132" s="117"/>
      <c r="BN132" s="975">
        <v>287</v>
      </c>
      <c r="BO132" s="117"/>
      <c r="BP132" s="117"/>
      <c r="BQ132" s="117"/>
      <c r="BR132" s="117"/>
      <c r="BS132" s="975">
        <v>290</v>
      </c>
      <c r="BT132" s="691"/>
      <c r="BU132" s="117"/>
      <c r="BV132" s="117"/>
      <c r="BW132" s="117"/>
      <c r="BX132" s="150"/>
      <c r="BY132" s="117"/>
      <c r="BZ132" s="117"/>
      <c r="CA132" s="117"/>
      <c r="CB132" s="117"/>
      <c r="CC132" s="150"/>
      <c r="CD132" s="150"/>
      <c r="CE132" s="150"/>
      <c r="CF132" s="150"/>
      <c r="CG132" s="587"/>
    </row>
    <row r="133" spans="1:85" s="460" customFormat="1" ht="14.4" hidden="1" outlineLevel="1" x14ac:dyDescent="0.3">
      <c r="A133" s="591" t="s">
        <v>932</v>
      </c>
      <c r="B133" s="586"/>
      <c r="C133" s="150"/>
      <c r="D133" s="150"/>
      <c r="E133" s="150"/>
      <c r="F133" s="150"/>
      <c r="G133" s="117"/>
      <c r="H133" s="117"/>
      <c r="I133" s="117"/>
      <c r="J133" s="117"/>
      <c r="K133" s="150"/>
      <c r="L133" s="117"/>
      <c r="M133" s="117"/>
      <c r="N133" s="117"/>
      <c r="O133" s="117"/>
      <c r="P133" s="150"/>
      <c r="Q133" s="117"/>
      <c r="R133" s="117"/>
      <c r="S133" s="117"/>
      <c r="T133" s="117"/>
      <c r="U133" s="150"/>
      <c r="V133" s="117"/>
      <c r="W133" s="117"/>
      <c r="X133" s="117"/>
      <c r="Y133" s="117"/>
      <c r="Z133" s="150"/>
      <c r="AA133" s="117"/>
      <c r="AB133" s="117"/>
      <c r="AC133" s="117"/>
      <c r="AD133" s="117"/>
      <c r="AE133" s="150"/>
      <c r="AF133" s="117"/>
      <c r="AG133" s="117"/>
      <c r="AH133" s="117"/>
      <c r="AI133" s="117"/>
      <c r="AJ133" s="150"/>
      <c r="AK133" s="117"/>
      <c r="AL133" s="117"/>
      <c r="AM133" s="117"/>
      <c r="AN133" s="117"/>
      <c r="AO133" s="975">
        <v>45756</v>
      </c>
      <c r="AP133" s="117"/>
      <c r="AQ133" s="117"/>
      <c r="AR133" s="117"/>
      <c r="AS133" s="117"/>
      <c r="AT133" s="975">
        <v>46637</v>
      </c>
      <c r="AU133" s="117"/>
      <c r="AV133" s="117"/>
      <c r="AW133" s="117"/>
      <c r="AX133" s="117"/>
      <c r="AY133" s="975">
        <v>47030</v>
      </c>
      <c r="AZ133" s="117"/>
      <c r="BA133" s="117"/>
      <c r="BB133" s="117"/>
      <c r="BC133" s="117"/>
      <c r="BD133" s="975">
        <v>46950</v>
      </c>
      <c r="BE133" s="117"/>
      <c r="BF133" s="117"/>
      <c r="BG133" s="117"/>
      <c r="BH133" s="117"/>
      <c r="BI133" s="975">
        <v>47635</v>
      </c>
      <c r="BJ133" s="117"/>
      <c r="BK133" s="117"/>
      <c r="BL133" s="117"/>
      <c r="BM133" s="117"/>
      <c r="BN133" s="975">
        <v>48391</v>
      </c>
      <c r="BO133" s="117"/>
      <c r="BP133" s="117"/>
      <c r="BQ133" s="117"/>
      <c r="BR133" s="117"/>
      <c r="BS133" s="975">
        <v>41133</v>
      </c>
      <c r="BT133" s="691"/>
      <c r="BU133" s="117"/>
      <c r="BV133" s="117"/>
      <c r="BW133" s="117"/>
      <c r="BX133" s="150"/>
      <c r="BY133" s="117"/>
      <c r="BZ133" s="117"/>
      <c r="CA133" s="117"/>
      <c r="CB133" s="117"/>
      <c r="CC133" s="150"/>
      <c r="CD133" s="150"/>
      <c r="CE133" s="150"/>
      <c r="CF133" s="150"/>
      <c r="CG133" s="587"/>
    </row>
    <row r="134" spans="1:85" s="460" customFormat="1" ht="14.4" hidden="1" outlineLevel="1" x14ac:dyDescent="0.3">
      <c r="A134" s="591" t="s">
        <v>933</v>
      </c>
      <c r="B134" s="586"/>
      <c r="C134" s="150"/>
      <c r="D134" s="150"/>
      <c r="E134" s="150"/>
      <c r="F134" s="150"/>
      <c r="G134" s="117"/>
      <c r="H134" s="117"/>
      <c r="I134" s="117"/>
      <c r="J134" s="117"/>
      <c r="K134" s="150"/>
      <c r="L134" s="117"/>
      <c r="M134" s="117"/>
      <c r="N134" s="117"/>
      <c r="O134" s="117"/>
      <c r="P134" s="150"/>
      <c r="Q134" s="117"/>
      <c r="R134" s="117"/>
      <c r="S134" s="117"/>
      <c r="T134" s="117"/>
      <c r="U134" s="150"/>
      <c r="V134" s="117"/>
      <c r="W134" s="117"/>
      <c r="X134" s="117"/>
      <c r="Y134" s="117"/>
      <c r="Z134" s="150"/>
      <c r="AA134" s="117"/>
      <c r="AB134" s="117"/>
      <c r="AC134" s="117"/>
      <c r="AD134" s="117"/>
      <c r="AE134" s="150"/>
      <c r="AF134" s="117"/>
      <c r="AG134" s="117"/>
      <c r="AH134" s="117"/>
      <c r="AI134" s="117"/>
      <c r="AJ134" s="150"/>
      <c r="AK134" s="117"/>
      <c r="AL134" s="117"/>
      <c r="AM134" s="117"/>
      <c r="AN134" s="117"/>
      <c r="AO134" s="975">
        <v>1098</v>
      </c>
      <c r="AP134" s="117"/>
      <c r="AQ134" s="117"/>
      <c r="AR134" s="117"/>
      <c r="AS134" s="117"/>
      <c r="AT134" s="975">
        <v>1087</v>
      </c>
      <c r="AU134" s="117"/>
      <c r="AV134" s="117"/>
      <c r="AW134" s="117"/>
      <c r="AX134" s="117"/>
      <c r="AY134" s="975">
        <v>1096</v>
      </c>
      <c r="AZ134" s="117"/>
      <c r="BA134" s="117"/>
      <c r="BB134" s="117"/>
      <c r="BC134" s="117"/>
      <c r="BD134" s="975">
        <v>1543</v>
      </c>
      <c r="BE134" s="117"/>
      <c r="BF134" s="117"/>
      <c r="BG134" s="117"/>
      <c r="BH134" s="117"/>
      <c r="BI134" s="975">
        <v>1555</v>
      </c>
      <c r="BJ134" s="117"/>
      <c r="BK134" s="117"/>
      <c r="BL134" s="117"/>
      <c r="BM134" s="117"/>
      <c r="BN134" s="975">
        <v>1565</v>
      </c>
      <c r="BO134" s="117"/>
      <c r="BP134" s="117"/>
      <c r="BQ134" s="117"/>
      <c r="BR134" s="117"/>
      <c r="BS134" s="975">
        <v>1607</v>
      </c>
      <c r="BT134" s="691"/>
      <c r="BU134" s="117"/>
      <c r="BV134" s="117"/>
      <c r="BW134" s="117"/>
      <c r="BX134" s="150"/>
      <c r="BY134" s="117"/>
      <c r="BZ134" s="117"/>
      <c r="CA134" s="117"/>
      <c r="CB134" s="117"/>
      <c r="CC134" s="150"/>
      <c r="CD134" s="150"/>
      <c r="CE134" s="150"/>
      <c r="CF134" s="150"/>
      <c r="CG134" s="587"/>
    </row>
    <row r="135" spans="1:85" s="460" customFormat="1" ht="14.4" hidden="1" outlineLevel="1" x14ac:dyDescent="0.3">
      <c r="A135" s="591" t="s">
        <v>934</v>
      </c>
      <c r="B135" s="586"/>
      <c r="C135" s="150"/>
      <c r="D135" s="150"/>
      <c r="E135" s="150"/>
      <c r="F135" s="150"/>
      <c r="G135" s="117"/>
      <c r="H135" s="117"/>
      <c r="I135" s="117"/>
      <c r="J135" s="117"/>
      <c r="K135" s="150"/>
      <c r="L135" s="117"/>
      <c r="M135" s="117"/>
      <c r="N135" s="117"/>
      <c r="O135" s="117"/>
      <c r="P135" s="150"/>
      <c r="Q135" s="117"/>
      <c r="R135" s="117"/>
      <c r="S135" s="117"/>
      <c r="T135" s="117"/>
      <c r="U135" s="150"/>
      <c r="V135" s="117"/>
      <c r="W135" s="117"/>
      <c r="X135" s="117"/>
      <c r="Y135" s="117"/>
      <c r="Z135" s="150"/>
      <c r="AA135" s="117"/>
      <c r="AB135" s="117"/>
      <c r="AC135" s="117"/>
      <c r="AD135" s="117"/>
      <c r="AE135" s="150"/>
      <c r="AF135" s="117"/>
      <c r="AG135" s="117"/>
      <c r="AH135" s="117"/>
      <c r="AI135" s="117"/>
      <c r="AJ135" s="150"/>
      <c r="AK135" s="117"/>
      <c r="AL135" s="117"/>
      <c r="AM135" s="117"/>
      <c r="AN135" s="117"/>
      <c r="AO135" s="975">
        <v>405</v>
      </c>
      <c r="AP135" s="117"/>
      <c r="AQ135" s="117"/>
      <c r="AR135" s="117"/>
      <c r="AS135" s="117"/>
      <c r="AT135" s="975">
        <v>202</v>
      </c>
      <c r="AU135" s="117"/>
      <c r="AV135" s="117"/>
      <c r="AW135" s="117"/>
      <c r="AX135" s="117"/>
      <c r="AY135" s="975">
        <v>196</v>
      </c>
      <c r="AZ135" s="117"/>
      <c r="BA135" s="117"/>
      <c r="BB135" s="117"/>
      <c r="BC135" s="117"/>
      <c r="BD135" s="975">
        <v>116</v>
      </c>
      <c r="BE135" s="117"/>
      <c r="BF135" s="117"/>
      <c r="BG135" s="117"/>
      <c r="BH135" s="117"/>
      <c r="BI135" s="975">
        <v>205</v>
      </c>
      <c r="BJ135" s="117"/>
      <c r="BK135" s="117"/>
      <c r="BL135" s="117"/>
      <c r="BM135" s="117"/>
      <c r="BN135" s="975">
        <v>204</v>
      </c>
      <c r="BO135" s="117"/>
      <c r="BP135" s="117"/>
      <c r="BQ135" s="117"/>
      <c r="BR135" s="117"/>
      <c r="BS135" s="975">
        <v>206</v>
      </c>
      <c r="BT135" s="691"/>
      <c r="BU135" s="117"/>
      <c r="BV135" s="117"/>
      <c r="BW135" s="117"/>
      <c r="BX135" s="150"/>
      <c r="BY135" s="117"/>
      <c r="BZ135" s="117"/>
      <c r="CA135" s="117"/>
      <c r="CB135" s="117"/>
      <c r="CC135" s="150"/>
      <c r="CD135" s="150"/>
      <c r="CE135" s="150"/>
      <c r="CF135" s="150"/>
      <c r="CG135" s="587"/>
    </row>
    <row r="136" spans="1:85" s="460" customFormat="1" ht="14.4" hidden="1" outlineLevel="1" x14ac:dyDescent="0.3">
      <c r="A136" s="592" t="s">
        <v>935</v>
      </c>
      <c r="B136" s="588"/>
      <c r="C136" s="954"/>
      <c r="D136" s="954"/>
      <c r="E136" s="954"/>
      <c r="F136" s="954"/>
      <c r="G136" s="133"/>
      <c r="H136" s="133"/>
      <c r="I136" s="133"/>
      <c r="J136" s="133"/>
      <c r="K136" s="954"/>
      <c r="L136" s="133"/>
      <c r="M136" s="133"/>
      <c r="N136" s="133"/>
      <c r="O136" s="133"/>
      <c r="P136" s="954"/>
      <c r="Q136" s="133"/>
      <c r="R136" s="133"/>
      <c r="S136" s="133"/>
      <c r="T136" s="133"/>
      <c r="U136" s="954"/>
      <c r="V136" s="133"/>
      <c r="W136" s="133"/>
      <c r="X136" s="133"/>
      <c r="Y136" s="133"/>
      <c r="Z136" s="954"/>
      <c r="AA136" s="133"/>
      <c r="AB136" s="133"/>
      <c r="AC136" s="133"/>
      <c r="AD136" s="133"/>
      <c r="AE136" s="954"/>
      <c r="AF136" s="133"/>
      <c r="AG136" s="133"/>
      <c r="AH136" s="133"/>
      <c r="AI136" s="133"/>
      <c r="AJ136" s="954"/>
      <c r="AK136" s="133"/>
      <c r="AL136" s="133"/>
      <c r="AM136" s="133"/>
      <c r="AN136" s="133"/>
      <c r="AO136" s="976">
        <v>1176</v>
      </c>
      <c r="AP136" s="133"/>
      <c r="AQ136" s="133"/>
      <c r="AR136" s="133"/>
      <c r="AS136" s="133"/>
      <c r="AT136" s="976">
        <v>1030</v>
      </c>
      <c r="AU136" s="133"/>
      <c r="AV136" s="133"/>
      <c r="AW136" s="133"/>
      <c r="AX136" s="133"/>
      <c r="AY136" s="976">
        <v>1096</v>
      </c>
      <c r="AZ136" s="133"/>
      <c r="BA136" s="133"/>
      <c r="BB136" s="133"/>
      <c r="BC136" s="133"/>
      <c r="BD136" s="976">
        <v>1095</v>
      </c>
      <c r="BE136" s="133"/>
      <c r="BF136" s="133"/>
      <c r="BG136" s="133"/>
      <c r="BH136" s="133"/>
      <c r="BI136" s="976">
        <v>1271</v>
      </c>
      <c r="BJ136" s="133"/>
      <c r="BK136" s="133"/>
      <c r="BL136" s="133"/>
      <c r="BM136" s="133"/>
      <c r="BN136" s="976">
        <v>1756</v>
      </c>
      <c r="BO136" s="133"/>
      <c r="BP136" s="133"/>
      <c r="BQ136" s="133"/>
      <c r="BR136" s="133"/>
      <c r="BS136" s="976">
        <v>1541</v>
      </c>
      <c r="BT136" s="692"/>
      <c r="BU136" s="133"/>
      <c r="BV136" s="133"/>
      <c r="BW136" s="133"/>
      <c r="BX136" s="954"/>
      <c r="BY136" s="133"/>
      <c r="BZ136" s="133"/>
      <c r="CA136" s="133"/>
      <c r="CB136" s="133"/>
      <c r="CC136" s="954"/>
      <c r="CD136" s="954"/>
      <c r="CE136" s="954"/>
      <c r="CF136" s="954"/>
      <c r="CG136" s="587"/>
    </row>
    <row r="137" spans="1:85" s="460" customFormat="1" ht="14.4" hidden="1" outlineLevel="1" x14ac:dyDescent="0.3">
      <c r="A137" s="159" t="s">
        <v>936</v>
      </c>
      <c r="B137" s="586"/>
      <c r="C137" s="150"/>
      <c r="D137" s="150"/>
      <c r="E137" s="150"/>
      <c r="F137" s="150"/>
      <c r="G137" s="117"/>
      <c r="H137" s="117"/>
      <c r="I137" s="117"/>
      <c r="J137" s="117"/>
      <c r="K137" s="150"/>
      <c r="L137" s="117"/>
      <c r="M137" s="117"/>
      <c r="N137" s="117"/>
      <c r="O137" s="117"/>
      <c r="P137" s="150"/>
      <c r="Q137" s="117"/>
      <c r="R137" s="117"/>
      <c r="S137" s="117"/>
      <c r="T137" s="117"/>
      <c r="U137" s="150"/>
      <c r="V137" s="117"/>
      <c r="W137" s="117"/>
      <c r="X137" s="117"/>
      <c r="Y137" s="117"/>
      <c r="Z137" s="150"/>
      <c r="AA137" s="117"/>
      <c r="AB137" s="117"/>
      <c r="AC137" s="117"/>
      <c r="AD137" s="117"/>
      <c r="AE137" s="150"/>
      <c r="AF137" s="117"/>
      <c r="AG137" s="117"/>
      <c r="AH137" s="117"/>
      <c r="AI137" s="117"/>
      <c r="AJ137" s="150"/>
      <c r="AK137" s="117"/>
      <c r="AL137" s="117"/>
      <c r="AM137" s="117"/>
      <c r="AN137" s="117"/>
      <c r="AO137" s="150">
        <f>SUM(AO132:AO136)</f>
        <v>48586</v>
      </c>
      <c r="AP137" s="117"/>
      <c r="AQ137" s="117"/>
      <c r="AR137" s="117"/>
      <c r="AS137" s="117"/>
      <c r="AT137" s="150">
        <f>SUM(AT132:AT136)</f>
        <v>49144</v>
      </c>
      <c r="AU137" s="117"/>
      <c r="AV137" s="117"/>
      <c r="AW137" s="117"/>
      <c r="AX137" s="117"/>
      <c r="AY137" s="150">
        <f>SUM(AY132:AY136)</f>
        <v>49609</v>
      </c>
      <c r="AZ137" s="117"/>
      <c r="BA137" s="117"/>
      <c r="BB137" s="117"/>
      <c r="BC137" s="117"/>
      <c r="BD137" s="150">
        <f>SUM(BD132:BD136)</f>
        <v>49969</v>
      </c>
      <c r="BE137" s="117"/>
      <c r="BF137" s="117"/>
      <c r="BG137" s="117"/>
      <c r="BH137" s="117"/>
      <c r="BI137" s="150">
        <f>SUM(BI132:BI136)</f>
        <v>50931</v>
      </c>
      <c r="BJ137" s="117"/>
      <c r="BK137" s="117"/>
      <c r="BL137" s="117"/>
      <c r="BM137" s="117"/>
      <c r="BN137" s="150">
        <f>SUM(BN132:BN136)</f>
        <v>52203</v>
      </c>
      <c r="BO137" s="117"/>
      <c r="BP137" s="117"/>
      <c r="BQ137" s="117"/>
      <c r="BR137" s="117"/>
      <c r="BS137" s="150">
        <f>SUM(BS132:BS136)</f>
        <v>44777</v>
      </c>
      <c r="BT137" s="691"/>
      <c r="BU137" s="117"/>
      <c r="BV137" s="117"/>
      <c r="BW137" s="117"/>
      <c r="BX137" s="150"/>
      <c r="BY137" s="117"/>
      <c r="BZ137" s="117"/>
      <c r="CA137" s="117"/>
      <c r="CB137" s="117"/>
      <c r="CC137" s="150"/>
      <c r="CD137" s="150"/>
      <c r="CE137" s="150"/>
      <c r="CF137" s="150"/>
      <c r="CG137" s="587"/>
    </row>
    <row r="138" spans="1:85" s="460" customFormat="1" ht="14.4" hidden="1" outlineLevel="1" x14ac:dyDescent="0.3">
      <c r="A138" s="591" t="s">
        <v>937</v>
      </c>
      <c r="B138" s="586"/>
      <c r="C138" s="150"/>
      <c r="D138" s="150"/>
      <c r="E138" s="150"/>
      <c r="F138" s="150"/>
      <c r="G138" s="117"/>
      <c r="H138" s="117"/>
      <c r="I138" s="117"/>
      <c r="J138" s="117"/>
      <c r="K138" s="150"/>
      <c r="L138" s="117"/>
      <c r="M138" s="117"/>
      <c r="N138" s="117"/>
      <c r="O138" s="117"/>
      <c r="P138" s="150"/>
      <c r="Q138" s="117"/>
      <c r="R138" s="117"/>
      <c r="S138" s="117"/>
      <c r="T138" s="117"/>
      <c r="U138" s="150"/>
      <c r="V138" s="117"/>
      <c r="W138" s="117"/>
      <c r="X138" s="117"/>
      <c r="Y138" s="117"/>
      <c r="Z138" s="150"/>
      <c r="AA138" s="117"/>
      <c r="AB138" s="117"/>
      <c r="AC138" s="117"/>
      <c r="AD138" s="117"/>
      <c r="AE138" s="150"/>
      <c r="AF138" s="117"/>
      <c r="AG138" s="117"/>
      <c r="AH138" s="117"/>
      <c r="AI138" s="117"/>
      <c r="AJ138" s="150"/>
      <c r="AK138" s="117"/>
      <c r="AL138" s="117"/>
      <c r="AM138" s="117"/>
      <c r="AN138" s="117"/>
      <c r="AO138" s="975">
        <v>120</v>
      </c>
      <c r="AP138" s="117"/>
      <c r="AQ138" s="117"/>
      <c r="AR138" s="117"/>
      <c r="AS138" s="117"/>
      <c r="AT138" s="975">
        <v>126</v>
      </c>
      <c r="AU138" s="117"/>
      <c r="AV138" s="117"/>
      <c r="AW138" s="117"/>
      <c r="AX138" s="117"/>
      <c r="AY138" s="975">
        <v>131</v>
      </c>
      <c r="AZ138" s="117"/>
      <c r="BA138" s="117"/>
      <c r="BB138" s="117"/>
      <c r="BC138" s="117"/>
      <c r="BD138" s="975">
        <v>146</v>
      </c>
      <c r="BE138" s="117"/>
      <c r="BF138" s="117"/>
      <c r="BG138" s="117"/>
      <c r="BH138" s="117"/>
      <c r="BI138" s="975">
        <v>183</v>
      </c>
      <c r="BJ138" s="117"/>
      <c r="BK138" s="117"/>
      <c r="BL138" s="117"/>
      <c r="BM138" s="117"/>
      <c r="BN138" s="975">
        <v>213</v>
      </c>
      <c r="BO138" s="117"/>
      <c r="BP138" s="117"/>
      <c r="BQ138" s="117"/>
      <c r="BR138" s="117"/>
      <c r="BS138" s="975">
        <v>224</v>
      </c>
      <c r="BT138" s="691"/>
      <c r="BU138" s="117"/>
      <c r="BV138" s="117"/>
      <c r="BW138" s="117"/>
      <c r="BX138" s="150"/>
      <c r="BY138" s="117"/>
      <c r="BZ138" s="117"/>
      <c r="CA138" s="117"/>
      <c r="CB138" s="117"/>
      <c r="CC138" s="150"/>
      <c r="CD138" s="150"/>
      <c r="CE138" s="150"/>
      <c r="CF138" s="150"/>
      <c r="CG138" s="587"/>
    </row>
    <row r="139" spans="1:85" s="460" customFormat="1" ht="14.4" hidden="1" outlineLevel="1" x14ac:dyDescent="0.3">
      <c r="A139" s="591" t="s">
        <v>938</v>
      </c>
      <c r="B139" s="586"/>
      <c r="C139" s="150"/>
      <c r="D139" s="150"/>
      <c r="E139" s="150"/>
      <c r="F139" s="150"/>
      <c r="G139" s="117"/>
      <c r="H139" s="117"/>
      <c r="I139" s="117"/>
      <c r="J139" s="117"/>
      <c r="K139" s="150"/>
      <c r="L139" s="117"/>
      <c r="M139" s="117"/>
      <c r="N139" s="117"/>
      <c r="O139" s="117"/>
      <c r="P139" s="150"/>
      <c r="Q139" s="117"/>
      <c r="R139" s="117"/>
      <c r="S139" s="117"/>
      <c r="T139" s="117"/>
      <c r="U139" s="150"/>
      <c r="V139" s="117"/>
      <c r="W139" s="117"/>
      <c r="X139" s="117"/>
      <c r="Y139" s="117"/>
      <c r="Z139" s="150"/>
      <c r="AA139" s="117"/>
      <c r="AB139" s="117"/>
      <c r="AC139" s="117"/>
      <c r="AD139" s="117"/>
      <c r="AE139" s="150"/>
      <c r="AF139" s="117"/>
      <c r="AG139" s="117"/>
      <c r="AH139" s="117"/>
      <c r="AI139" s="117"/>
      <c r="AJ139" s="150"/>
      <c r="AK139" s="117"/>
      <c r="AL139" s="117"/>
      <c r="AM139" s="117"/>
      <c r="AN139" s="117"/>
      <c r="AO139" s="975">
        <v>33613</v>
      </c>
      <c r="AP139" s="117"/>
      <c r="AQ139" s="117"/>
      <c r="AR139" s="117"/>
      <c r="AS139" s="117"/>
      <c r="AT139" s="975">
        <v>35899</v>
      </c>
      <c r="AU139" s="117"/>
      <c r="AV139" s="117"/>
      <c r="AW139" s="117"/>
      <c r="AX139" s="117"/>
      <c r="AY139" s="975">
        <v>37657</v>
      </c>
      <c r="AZ139" s="117"/>
      <c r="BA139" s="117"/>
      <c r="BB139" s="117"/>
      <c r="BC139" s="117"/>
      <c r="BD139" s="975">
        <v>38543</v>
      </c>
      <c r="BE139" s="117"/>
      <c r="BF139" s="117"/>
      <c r="BG139" s="117"/>
      <c r="BH139" s="117"/>
      <c r="BI139" s="975">
        <v>39921</v>
      </c>
      <c r="BJ139" s="117"/>
      <c r="BK139" s="117"/>
      <c r="BL139" s="117"/>
      <c r="BM139" s="117"/>
      <c r="BN139" s="975">
        <v>41485</v>
      </c>
      <c r="BO139" s="117"/>
      <c r="BP139" s="117"/>
      <c r="BQ139" s="117"/>
      <c r="BR139" s="117"/>
      <c r="BS139" s="975">
        <v>36580</v>
      </c>
      <c r="BT139" s="691"/>
      <c r="BU139" s="117"/>
      <c r="BV139" s="117"/>
      <c r="BW139" s="117"/>
      <c r="BX139" s="150"/>
      <c r="BY139" s="117"/>
      <c r="BZ139" s="117"/>
      <c r="CA139" s="117"/>
      <c r="CB139" s="117"/>
      <c r="CC139" s="150"/>
      <c r="CD139" s="150"/>
      <c r="CE139" s="150"/>
      <c r="CF139" s="150"/>
      <c r="CG139" s="587"/>
    </row>
    <row r="140" spans="1:85" s="460" customFormat="1" ht="14.4" hidden="1" outlineLevel="1" x14ac:dyDescent="0.3">
      <c r="A140" s="592" t="s">
        <v>939</v>
      </c>
      <c r="B140" s="588"/>
      <c r="C140" s="954"/>
      <c r="D140" s="954"/>
      <c r="E140" s="954"/>
      <c r="F140" s="954"/>
      <c r="G140" s="133"/>
      <c r="H140" s="133"/>
      <c r="I140" s="133"/>
      <c r="J140" s="133"/>
      <c r="K140" s="954"/>
      <c r="L140" s="133"/>
      <c r="M140" s="133"/>
      <c r="N140" s="133"/>
      <c r="O140" s="133"/>
      <c r="P140" s="954"/>
      <c r="Q140" s="133"/>
      <c r="R140" s="133"/>
      <c r="S140" s="133"/>
      <c r="T140" s="133"/>
      <c r="U140" s="954"/>
      <c r="V140" s="133"/>
      <c r="W140" s="133"/>
      <c r="X140" s="133"/>
      <c r="Y140" s="133"/>
      <c r="Z140" s="954"/>
      <c r="AA140" s="133"/>
      <c r="AB140" s="133"/>
      <c r="AC140" s="133"/>
      <c r="AD140" s="133"/>
      <c r="AE140" s="954"/>
      <c r="AF140" s="133"/>
      <c r="AG140" s="133"/>
      <c r="AH140" s="133"/>
      <c r="AI140" s="133"/>
      <c r="AJ140" s="954"/>
      <c r="AK140" s="133"/>
      <c r="AL140" s="133"/>
      <c r="AM140" s="133"/>
      <c r="AN140" s="133"/>
      <c r="AO140" s="976">
        <v>772</v>
      </c>
      <c r="AP140" s="133"/>
      <c r="AQ140" s="133"/>
      <c r="AR140" s="133"/>
      <c r="AS140" s="133"/>
      <c r="AT140" s="976">
        <v>742</v>
      </c>
      <c r="AU140" s="133"/>
      <c r="AV140" s="133"/>
      <c r="AW140" s="133"/>
      <c r="AX140" s="133"/>
      <c r="AY140" s="976">
        <v>778</v>
      </c>
      <c r="AZ140" s="133"/>
      <c r="BA140" s="133"/>
      <c r="BB140" s="133"/>
      <c r="BC140" s="133"/>
      <c r="BD140" s="976">
        <v>1166</v>
      </c>
      <c r="BE140" s="133"/>
      <c r="BF140" s="133"/>
      <c r="BG140" s="133"/>
      <c r="BH140" s="133"/>
      <c r="BI140" s="976">
        <v>1202</v>
      </c>
      <c r="BJ140" s="133"/>
      <c r="BK140" s="133"/>
      <c r="BL140" s="133"/>
      <c r="BM140" s="133"/>
      <c r="BN140" s="976">
        <v>1231</v>
      </c>
      <c r="BO140" s="133"/>
      <c r="BP140" s="133"/>
      <c r="BQ140" s="133"/>
      <c r="BR140" s="133"/>
      <c r="BS140" s="976">
        <v>1265</v>
      </c>
      <c r="BT140" s="692"/>
      <c r="BU140" s="133"/>
      <c r="BV140" s="133"/>
      <c r="BW140" s="133"/>
      <c r="BX140" s="954"/>
      <c r="BY140" s="133"/>
      <c r="BZ140" s="133"/>
      <c r="CA140" s="133"/>
      <c r="CB140" s="133"/>
      <c r="CC140" s="954"/>
      <c r="CD140" s="954"/>
      <c r="CE140" s="954"/>
      <c r="CF140" s="954"/>
      <c r="CG140" s="587"/>
    </row>
    <row r="141" spans="1:85" s="460" customFormat="1" ht="14.4" hidden="1" outlineLevel="1" x14ac:dyDescent="0.3">
      <c r="A141" s="593" t="s">
        <v>940</v>
      </c>
      <c r="B141" s="589"/>
      <c r="C141" s="977"/>
      <c r="D141" s="977"/>
      <c r="E141" s="977"/>
      <c r="F141" s="977"/>
      <c r="G141" s="590"/>
      <c r="H141" s="590"/>
      <c r="I141" s="590"/>
      <c r="J141" s="590"/>
      <c r="K141" s="977"/>
      <c r="L141" s="590"/>
      <c r="M141" s="590"/>
      <c r="N141" s="590"/>
      <c r="O141" s="590"/>
      <c r="P141" s="977"/>
      <c r="Q141" s="590"/>
      <c r="R141" s="590"/>
      <c r="S141" s="590"/>
      <c r="T141" s="590"/>
      <c r="U141" s="977"/>
      <c r="V141" s="590"/>
      <c r="W141" s="590"/>
      <c r="X141" s="590"/>
      <c r="Y141" s="590"/>
      <c r="Z141" s="977"/>
      <c r="AA141" s="590"/>
      <c r="AB141" s="590"/>
      <c r="AC141" s="590"/>
      <c r="AD141" s="590"/>
      <c r="AE141" s="977"/>
      <c r="AF141" s="590"/>
      <c r="AG141" s="590"/>
      <c r="AH141" s="590"/>
      <c r="AI141" s="590"/>
      <c r="AJ141" s="977"/>
      <c r="AK141" s="590"/>
      <c r="AL141" s="590"/>
      <c r="AM141" s="590"/>
      <c r="AN141" s="590"/>
      <c r="AO141" s="977">
        <f>SUM(AO138:AO140)</f>
        <v>34505</v>
      </c>
      <c r="AP141" s="590"/>
      <c r="AQ141" s="590"/>
      <c r="AR141" s="590"/>
      <c r="AS141" s="590"/>
      <c r="AT141" s="977">
        <f>SUM(AT138:AT140)</f>
        <v>36767</v>
      </c>
      <c r="AU141" s="590"/>
      <c r="AV141" s="590"/>
      <c r="AW141" s="590"/>
      <c r="AX141" s="590"/>
      <c r="AY141" s="977">
        <f>SUM(AY138:AY140)</f>
        <v>38566</v>
      </c>
      <c r="AZ141" s="590"/>
      <c r="BA141" s="590"/>
      <c r="BB141" s="590"/>
      <c r="BC141" s="590"/>
      <c r="BD141" s="977">
        <f>SUM(BD138:BD140)</f>
        <v>39855</v>
      </c>
      <c r="BE141" s="590"/>
      <c r="BF141" s="590"/>
      <c r="BG141" s="590"/>
      <c r="BH141" s="590"/>
      <c r="BI141" s="977">
        <f>SUM(BI138:BI140)</f>
        <v>41306</v>
      </c>
      <c r="BJ141" s="590"/>
      <c r="BK141" s="590"/>
      <c r="BL141" s="590"/>
      <c r="BM141" s="590"/>
      <c r="BN141" s="977">
        <f>SUM(BN138:BN140)</f>
        <v>42929</v>
      </c>
      <c r="BO141" s="590"/>
      <c r="BP141" s="590"/>
      <c r="BQ141" s="590"/>
      <c r="BR141" s="590"/>
      <c r="BS141" s="977">
        <f>SUM(BS138:BS140)</f>
        <v>38069</v>
      </c>
      <c r="BT141" s="708"/>
      <c r="BU141" s="590"/>
      <c r="BV141" s="590"/>
      <c r="BW141" s="590"/>
      <c r="BX141" s="977"/>
      <c r="BY141" s="590"/>
      <c r="BZ141" s="590"/>
      <c r="CA141" s="590"/>
      <c r="CB141" s="590"/>
      <c r="CC141" s="977"/>
      <c r="CD141" s="977"/>
      <c r="CE141" s="977"/>
      <c r="CF141" s="977"/>
      <c r="CG141" s="587"/>
    </row>
    <row r="142" spans="1:85" s="461" customFormat="1" ht="14.4" hidden="1" outlineLevel="1" x14ac:dyDescent="0.3">
      <c r="A142" s="166" t="s">
        <v>941</v>
      </c>
      <c r="B142" s="583"/>
      <c r="C142" s="957"/>
      <c r="D142" s="957"/>
      <c r="E142" s="957"/>
      <c r="F142" s="957"/>
      <c r="G142" s="120"/>
      <c r="H142" s="120"/>
      <c r="I142" s="120"/>
      <c r="J142" s="120"/>
      <c r="K142" s="957"/>
      <c r="L142" s="120"/>
      <c r="M142" s="120"/>
      <c r="N142" s="120"/>
      <c r="O142" s="120"/>
      <c r="P142" s="957"/>
      <c r="Q142" s="120"/>
      <c r="R142" s="120"/>
      <c r="S142" s="120"/>
      <c r="T142" s="120"/>
      <c r="U142" s="957"/>
      <c r="V142" s="120"/>
      <c r="W142" s="120"/>
      <c r="X142" s="120"/>
      <c r="Y142" s="120"/>
      <c r="Z142" s="957"/>
      <c r="AA142" s="120"/>
      <c r="AB142" s="120"/>
      <c r="AC142" s="120"/>
      <c r="AD142" s="120"/>
      <c r="AE142" s="957"/>
      <c r="AF142" s="120"/>
      <c r="AG142" s="120"/>
      <c r="AH142" s="120"/>
      <c r="AI142" s="120"/>
      <c r="AJ142" s="957"/>
      <c r="AK142" s="120"/>
      <c r="AL142" s="120"/>
      <c r="AM142" s="120"/>
      <c r="AN142" s="120"/>
      <c r="AO142" s="957">
        <f>AO137-AO141</f>
        <v>14081</v>
      </c>
      <c r="AP142" s="120"/>
      <c r="AQ142" s="120"/>
      <c r="AR142" s="120"/>
      <c r="AS142" s="120"/>
      <c r="AT142" s="957">
        <f>AT137-AT141</f>
        <v>12377</v>
      </c>
      <c r="AU142" s="120"/>
      <c r="AV142" s="120"/>
      <c r="AW142" s="120"/>
      <c r="AX142" s="120"/>
      <c r="AY142" s="957">
        <f>AY137-AY141</f>
        <v>11043</v>
      </c>
      <c r="AZ142" s="120"/>
      <c r="BA142" s="120"/>
      <c r="BB142" s="120"/>
      <c r="BC142" s="120"/>
      <c r="BD142" s="957">
        <f>BD137-BD141</f>
        <v>10114</v>
      </c>
      <c r="BE142" s="120"/>
      <c r="BF142" s="120"/>
      <c r="BG142" s="120"/>
      <c r="BH142" s="120"/>
      <c r="BI142" s="957">
        <f>BI137-BI141</f>
        <v>9625</v>
      </c>
      <c r="BJ142" s="120"/>
      <c r="BK142" s="120"/>
      <c r="BL142" s="120"/>
      <c r="BM142" s="120"/>
      <c r="BN142" s="957">
        <f>BN137-BN141</f>
        <v>9274</v>
      </c>
      <c r="BO142" s="120"/>
      <c r="BP142" s="120"/>
      <c r="BQ142" s="120"/>
      <c r="BR142" s="120"/>
      <c r="BS142" s="957">
        <f>BS137-BS141</f>
        <v>6708</v>
      </c>
      <c r="BT142" s="694"/>
      <c r="BU142" s="120"/>
      <c r="BV142" s="120"/>
      <c r="BW142" s="120"/>
      <c r="BX142" s="957"/>
      <c r="BY142" s="120"/>
      <c r="BZ142" s="120"/>
      <c r="CA142" s="120"/>
      <c r="CB142" s="120"/>
      <c r="CC142" s="957"/>
      <c r="CD142" s="957"/>
      <c r="CE142" s="957"/>
      <c r="CF142" s="957"/>
      <c r="CG142" s="615"/>
    </row>
    <row r="143" spans="1:85" s="460" customFormat="1" ht="14.4" hidden="1" outlineLevel="1" x14ac:dyDescent="0.3">
      <c r="A143" s="591" t="s">
        <v>942</v>
      </c>
      <c r="B143" s="586"/>
      <c r="C143" s="150"/>
      <c r="D143" s="150"/>
      <c r="E143" s="150"/>
      <c r="F143" s="150"/>
      <c r="G143" s="117"/>
      <c r="H143" s="117"/>
      <c r="I143" s="117"/>
      <c r="J143" s="117"/>
      <c r="K143" s="150"/>
      <c r="L143" s="117"/>
      <c r="M143" s="117"/>
      <c r="N143" s="117"/>
      <c r="O143" s="117"/>
      <c r="P143" s="150"/>
      <c r="Q143" s="117"/>
      <c r="R143" s="117"/>
      <c r="S143" s="117"/>
      <c r="T143" s="117"/>
      <c r="U143" s="150"/>
      <c r="V143" s="117"/>
      <c r="W143" s="117"/>
      <c r="X143" s="117"/>
      <c r="Y143" s="117"/>
      <c r="Z143" s="150"/>
      <c r="AA143" s="117"/>
      <c r="AB143" s="117"/>
      <c r="AC143" s="117"/>
      <c r="AD143" s="117"/>
      <c r="AE143" s="150"/>
      <c r="AF143" s="117"/>
      <c r="AG143" s="117"/>
      <c r="AH143" s="117"/>
      <c r="AI143" s="117"/>
      <c r="AJ143" s="150"/>
      <c r="AK143" s="117"/>
      <c r="AL143" s="117"/>
      <c r="AM143" s="117"/>
      <c r="AN143" s="117"/>
      <c r="AO143" s="975">
        <v>1081</v>
      </c>
      <c r="AP143" s="117"/>
      <c r="AQ143" s="117"/>
      <c r="AR143" s="117"/>
      <c r="AS143" s="117"/>
      <c r="AT143" s="975">
        <v>984</v>
      </c>
      <c r="AU143" s="117"/>
      <c r="AV143" s="117"/>
      <c r="AW143" s="117"/>
      <c r="AX143" s="117"/>
      <c r="AY143" s="975">
        <v>982</v>
      </c>
      <c r="AZ143" s="117"/>
      <c r="BA143" s="117"/>
      <c r="BB143" s="117"/>
      <c r="BC143" s="117"/>
      <c r="BD143" s="975">
        <v>970</v>
      </c>
      <c r="BE143" s="117"/>
      <c r="BF143" s="117"/>
      <c r="BG143" s="117"/>
      <c r="BH143" s="117"/>
      <c r="BI143" s="975">
        <v>536</v>
      </c>
      <c r="BJ143" s="117"/>
      <c r="BK143" s="117"/>
      <c r="BL143" s="117"/>
      <c r="BM143" s="117"/>
      <c r="BN143" s="975">
        <v>536</v>
      </c>
      <c r="BO143" s="117"/>
      <c r="BP143" s="117"/>
      <c r="BQ143" s="117"/>
      <c r="BR143" s="117"/>
      <c r="BS143" s="975">
        <v>534</v>
      </c>
      <c r="BT143" s="691"/>
      <c r="BU143" s="117"/>
      <c r="BV143" s="117"/>
      <c r="BW143" s="117"/>
      <c r="BX143" s="150"/>
      <c r="BY143" s="117"/>
      <c r="BZ143" s="117"/>
      <c r="CA143" s="117"/>
      <c r="CB143" s="117"/>
      <c r="CC143" s="150"/>
      <c r="CD143" s="150"/>
      <c r="CE143" s="150"/>
      <c r="CF143" s="150"/>
      <c r="CG143" s="587"/>
    </row>
    <row r="144" spans="1:85" s="460" customFormat="1" ht="14.4" hidden="1" outlineLevel="1" x14ac:dyDescent="0.3">
      <c r="A144" s="591" t="s">
        <v>943</v>
      </c>
      <c r="B144" s="586"/>
      <c r="C144" s="150"/>
      <c r="D144" s="150"/>
      <c r="E144" s="150"/>
      <c r="F144" s="150"/>
      <c r="G144" s="117"/>
      <c r="H144" s="117"/>
      <c r="I144" s="117"/>
      <c r="J144" s="117"/>
      <c r="K144" s="150"/>
      <c r="L144" s="117"/>
      <c r="M144" s="117"/>
      <c r="N144" s="117"/>
      <c r="O144" s="117"/>
      <c r="P144" s="150"/>
      <c r="Q144" s="117"/>
      <c r="R144" s="117"/>
      <c r="S144" s="117"/>
      <c r="T144" s="117"/>
      <c r="U144" s="150"/>
      <c r="V144" s="117"/>
      <c r="W144" s="117"/>
      <c r="X144" s="117"/>
      <c r="Y144" s="117"/>
      <c r="Z144" s="150"/>
      <c r="AA144" s="117"/>
      <c r="AB144" s="117"/>
      <c r="AC144" s="117"/>
      <c r="AD144" s="117"/>
      <c r="AE144" s="150"/>
      <c r="AF144" s="117"/>
      <c r="AG144" s="117"/>
      <c r="AH144" s="117"/>
      <c r="AI144" s="117"/>
      <c r="AJ144" s="150"/>
      <c r="AK144" s="117"/>
      <c r="AL144" s="117"/>
      <c r="AM144" s="117"/>
      <c r="AN144" s="117"/>
      <c r="AO144" s="975">
        <v>56648</v>
      </c>
      <c r="AP144" s="117"/>
      <c r="AQ144" s="117"/>
      <c r="AR144" s="117"/>
      <c r="AS144" s="117"/>
      <c r="AT144" s="975">
        <v>58086</v>
      </c>
      <c r="AU144" s="117"/>
      <c r="AV144" s="117"/>
      <c r="AW144" s="117"/>
      <c r="AX144" s="117"/>
      <c r="AY144" s="975">
        <v>46379</v>
      </c>
      <c r="AZ144" s="117"/>
      <c r="BA144" s="117"/>
      <c r="BB144" s="117"/>
      <c r="BC144" s="117"/>
      <c r="BD144" s="975">
        <v>31179</v>
      </c>
      <c r="BE144" s="117"/>
      <c r="BF144" s="117"/>
      <c r="BG144" s="117"/>
      <c r="BH144" s="117"/>
      <c r="BI144" s="975">
        <v>30387</v>
      </c>
      <c r="BJ144" s="117"/>
      <c r="BK144" s="117"/>
      <c r="BL144" s="117"/>
      <c r="BM144" s="117"/>
      <c r="BN144" s="975">
        <v>29265</v>
      </c>
      <c r="BO144" s="117"/>
      <c r="BP144" s="117"/>
      <c r="BQ144" s="117"/>
      <c r="BR144" s="117"/>
      <c r="BS144" s="975">
        <v>30262</v>
      </c>
      <c r="BT144" s="691"/>
      <c r="BU144" s="117"/>
      <c r="BV144" s="117"/>
      <c r="BW144" s="117"/>
      <c r="BX144" s="150"/>
      <c r="BY144" s="117"/>
      <c r="BZ144" s="117"/>
      <c r="CA144" s="117"/>
      <c r="CB144" s="117"/>
      <c r="CC144" s="150"/>
      <c r="CD144" s="150"/>
      <c r="CE144" s="150"/>
      <c r="CF144" s="150"/>
      <c r="CG144" s="587"/>
    </row>
    <row r="145" spans="1:85" s="460" customFormat="1" ht="14.4" hidden="1" outlineLevel="1" x14ac:dyDescent="0.3">
      <c r="A145" s="591" t="s">
        <v>944</v>
      </c>
      <c r="B145" s="586"/>
      <c r="C145" s="150"/>
      <c r="D145" s="150"/>
      <c r="E145" s="150"/>
      <c r="F145" s="150"/>
      <c r="G145" s="117"/>
      <c r="H145" s="117"/>
      <c r="I145" s="117"/>
      <c r="J145" s="117"/>
      <c r="K145" s="150"/>
      <c r="L145" s="117"/>
      <c r="M145" s="117"/>
      <c r="N145" s="117"/>
      <c r="O145" s="117"/>
      <c r="P145" s="150"/>
      <c r="Q145" s="117"/>
      <c r="R145" s="117"/>
      <c r="S145" s="117"/>
      <c r="T145" s="117"/>
      <c r="U145" s="150"/>
      <c r="V145" s="117"/>
      <c r="W145" s="117"/>
      <c r="X145" s="117"/>
      <c r="Y145" s="117"/>
      <c r="Z145" s="150"/>
      <c r="AA145" s="117"/>
      <c r="AB145" s="117"/>
      <c r="AC145" s="117"/>
      <c r="AD145" s="117"/>
      <c r="AE145" s="150"/>
      <c r="AF145" s="117"/>
      <c r="AG145" s="117"/>
      <c r="AH145" s="117"/>
      <c r="AI145" s="117"/>
      <c r="AJ145" s="150"/>
      <c r="AK145" s="117"/>
      <c r="AL145" s="117"/>
      <c r="AM145" s="117"/>
      <c r="AN145" s="117"/>
      <c r="AO145" s="975">
        <v>2075</v>
      </c>
      <c r="AP145" s="117"/>
      <c r="AQ145" s="117"/>
      <c r="AR145" s="117"/>
      <c r="AS145" s="117"/>
      <c r="AT145" s="975">
        <v>2042</v>
      </c>
      <c r="AU145" s="117"/>
      <c r="AV145" s="117"/>
      <c r="AW145" s="117"/>
      <c r="AX145" s="117"/>
      <c r="AY145" s="975">
        <v>906</v>
      </c>
      <c r="AZ145" s="117"/>
      <c r="BA145" s="117"/>
      <c r="BB145" s="117"/>
      <c r="BC145" s="117"/>
      <c r="BD145" s="975">
        <v>696</v>
      </c>
      <c r="BE145" s="117"/>
      <c r="BF145" s="117"/>
      <c r="BG145" s="117"/>
      <c r="BH145" s="117"/>
      <c r="BI145" s="975">
        <v>688</v>
      </c>
      <c r="BJ145" s="117"/>
      <c r="BK145" s="117"/>
      <c r="BL145" s="117"/>
      <c r="BM145" s="117"/>
      <c r="BN145" s="975">
        <v>698</v>
      </c>
      <c r="BO145" s="117"/>
      <c r="BP145" s="117"/>
      <c r="BQ145" s="117"/>
      <c r="BR145" s="117"/>
      <c r="BS145" s="975">
        <v>788</v>
      </c>
      <c r="BT145" s="691"/>
      <c r="BU145" s="117"/>
      <c r="BV145" s="117"/>
      <c r="BW145" s="117"/>
      <c r="BX145" s="150"/>
      <c r="BY145" s="117"/>
      <c r="BZ145" s="117"/>
      <c r="CA145" s="117"/>
      <c r="CB145" s="117"/>
      <c r="CC145" s="150"/>
      <c r="CD145" s="150"/>
      <c r="CE145" s="150"/>
      <c r="CF145" s="150"/>
      <c r="CG145" s="587"/>
    </row>
    <row r="146" spans="1:85" s="460" customFormat="1" ht="14.4" hidden="1" outlineLevel="1" x14ac:dyDescent="0.3">
      <c r="A146" s="591" t="s">
        <v>945</v>
      </c>
      <c r="B146" s="586"/>
      <c r="C146" s="150"/>
      <c r="D146" s="150"/>
      <c r="E146" s="150"/>
      <c r="F146" s="150"/>
      <c r="G146" s="117"/>
      <c r="H146" s="117"/>
      <c r="I146" s="117"/>
      <c r="J146" s="117"/>
      <c r="K146" s="150"/>
      <c r="L146" s="117"/>
      <c r="M146" s="117"/>
      <c r="N146" s="117"/>
      <c r="O146" s="117"/>
      <c r="P146" s="150"/>
      <c r="Q146" s="117"/>
      <c r="R146" s="117"/>
      <c r="S146" s="117"/>
      <c r="T146" s="117"/>
      <c r="U146" s="150"/>
      <c r="V146" s="117"/>
      <c r="W146" s="117"/>
      <c r="X146" s="117"/>
      <c r="Y146" s="117"/>
      <c r="Z146" s="150"/>
      <c r="AA146" s="117"/>
      <c r="AB146" s="117"/>
      <c r="AC146" s="117"/>
      <c r="AD146" s="117"/>
      <c r="AE146" s="150"/>
      <c r="AF146" s="117"/>
      <c r="AG146" s="117"/>
      <c r="AH146" s="117"/>
      <c r="AI146" s="117"/>
      <c r="AJ146" s="150"/>
      <c r="AK146" s="117"/>
      <c r="AL146" s="117"/>
      <c r="AM146" s="117"/>
      <c r="AN146" s="117"/>
      <c r="AO146" s="975">
        <v>513</v>
      </c>
      <c r="AP146" s="117"/>
      <c r="AQ146" s="117"/>
      <c r="AR146" s="117"/>
      <c r="AS146" s="117"/>
      <c r="AT146" s="975">
        <v>505</v>
      </c>
      <c r="AU146" s="117"/>
      <c r="AV146" s="117"/>
      <c r="AW146" s="117"/>
      <c r="AX146" s="117"/>
      <c r="AY146" s="975">
        <v>246</v>
      </c>
      <c r="AZ146" s="117"/>
      <c r="BA146" s="117"/>
      <c r="BB146" s="117"/>
      <c r="BC146" s="117"/>
      <c r="BD146" s="975">
        <v>40</v>
      </c>
      <c r="BE146" s="117"/>
      <c r="BF146" s="117"/>
      <c r="BG146" s="117"/>
      <c r="BH146" s="117"/>
      <c r="BI146" s="975">
        <v>178</v>
      </c>
      <c r="BJ146" s="117"/>
      <c r="BK146" s="117"/>
      <c r="BL146" s="117"/>
      <c r="BM146" s="117"/>
      <c r="BN146" s="975">
        <v>179</v>
      </c>
      <c r="BO146" s="117"/>
      <c r="BP146" s="117"/>
      <c r="BQ146" s="117"/>
      <c r="BR146" s="117"/>
      <c r="BS146" s="975">
        <v>177</v>
      </c>
      <c r="BT146" s="691"/>
      <c r="BU146" s="117"/>
      <c r="BV146" s="117"/>
      <c r="BW146" s="117"/>
      <c r="BX146" s="150"/>
      <c r="BY146" s="117"/>
      <c r="BZ146" s="117"/>
      <c r="CA146" s="117"/>
      <c r="CB146" s="117"/>
      <c r="CC146" s="150"/>
      <c r="CD146" s="150"/>
      <c r="CE146" s="150"/>
      <c r="CF146" s="150"/>
      <c r="CG146" s="587"/>
    </row>
    <row r="147" spans="1:85" s="460" customFormat="1" ht="14.4" hidden="1" outlineLevel="1" x14ac:dyDescent="0.3">
      <c r="A147" s="592" t="s">
        <v>946</v>
      </c>
      <c r="B147" s="588"/>
      <c r="C147" s="954"/>
      <c r="D147" s="954"/>
      <c r="E147" s="954"/>
      <c r="F147" s="954"/>
      <c r="G147" s="133"/>
      <c r="H147" s="133"/>
      <c r="I147" s="133"/>
      <c r="J147" s="133"/>
      <c r="K147" s="954"/>
      <c r="L147" s="133"/>
      <c r="M147" s="133"/>
      <c r="N147" s="133"/>
      <c r="O147" s="133"/>
      <c r="P147" s="954"/>
      <c r="Q147" s="133"/>
      <c r="R147" s="133"/>
      <c r="S147" s="133"/>
      <c r="T147" s="133"/>
      <c r="U147" s="954"/>
      <c r="V147" s="133"/>
      <c r="W147" s="133"/>
      <c r="X147" s="133"/>
      <c r="Y147" s="133"/>
      <c r="Z147" s="954"/>
      <c r="AA147" s="133"/>
      <c r="AB147" s="133"/>
      <c r="AC147" s="133"/>
      <c r="AD147" s="133"/>
      <c r="AE147" s="954"/>
      <c r="AF147" s="133"/>
      <c r="AG147" s="133"/>
      <c r="AH147" s="133"/>
      <c r="AI147" s="133"/>
      <c r="AJ147" s="954"/>
      <c r="AK147" s="133"/>
      <c r="AL147" s="133"/>
      <c r="AM147" s="133"/>
      <c r="AN147" s="133"/>
      <c r="AO147" s="976">
        <v>926</v>
      </c>
      <c r="AP147" s="133"/>
      <c r="AQ147" s="133"/>
      <c r="AR147" s="133"/>
      <c r="AS147" s="133"/>
      <c r="AT147" s="976">
        <v>803</v>
      </c>
      <c r="AU147" s="133"/>
      <c r="AV147" s="133"/>
      <c r="AW147" s="133"/>
      <c r="AX147" s="133"/>
      <c r="AY147" s="976">
        <v>903</v>
      </c>
      <c r="AZ147" s="133"/>
      <c r="BA147" s="133"/>
      <c r="BB147" s="133"/>
      <c r="BC147" s="133"/>
      <c r="BD147" s="976">
        <v>914</v>
      </c>
      <c r="BE147" s="133"/>
      <c r="BF147" s="133"/>
      <c r="BG147" s="133"/>
      <c r="BH147" s="133"/>
      <c r="BI147" s="976">
        <v>1121</v>
      </c>
      <c r="BJ147" s="133"/>
      <c r="BK147" s="133"/>
      <c r="BL147" s="133"/>
      <c r="BM147" s="133"/>
      <c r="BN147" s="976">
        <v>1040</v>
      </c>
      <c r="BO147" s="133"/>
      <c r="BP147" s="133"/>
      <c r="BQ147" s="133"/>
      <c r="BR147" s="133"/>
      <c r="BS147" s="976">
        <v>1392</v>
      </c>
      <c r="BT147" s="692"/>
      <c r="BU147" s="133"/>
      <c r="BV147" s="133"/>
      <c r="BW147" s="133"/>
      <c r="BX147" s="954"/>
      <c r="BY147" s="133"/>
      <c r="BZ147" s="133"/>
      <c r="CA147" s="133"/>
      <c r="CB147" s="133"/>
      <c r="CC147" s="954"/>
      <c r="CD147" s="954"/>
      <c r="CE147" s="954"/>
      <c r="CF147" s="954"/>
      <c r="CG147" s="587"/>
    </row>
    <row r="148" spans="1:85" s="460" customFormat="1" ht="14.4" hidden="1" outlineLevel="1" x14ac:dyDescent="0.3">
      <c r="A148" s="159" t="s">
        <v>947</v>
      </c>
      <c r="B148" s="586"/>
      <c r="C148" s="150"/>
      <c r="D148" s="150"/>
      <c r="E148" s="150"/>
      <c r="F148" s="150"/>
      <c r="G148" s="117"/>
      <c r="H148" s="117"/>
      <c r="I148" s="117"/>
      <c r="J148" s="117"/>
      <c r="K148" s="150"/>
      <c r="L148" s="117"/>
      <c r="M148" s="117"/>
      <c r="N148" s="117"/>
      <c r="O148" s="117"/>
      <c r="P148" s="150"/>
      <c r="Q148" s="117"/>
      <c r="R148" s="117"/>
      <c r="S148" s="117"/>
      <c r="T148" s="117"/>
      <c r="U148" s="150"/>
      <c r="V148" s="117"/>
      <c r="W148" s="117"/>
      <c r="X148" s="117"/>
      <c r="Y148" s="117"/>
      <c r="Z148" s="150"/>
      <c r="AA148" s="117"/>
      <c r="AB148" s="117"/>
      <c r="AC148" s="117"/>
      <c r="AD148" s="117"/>
      <c r="AE148" s="150"/>
      <c r="AF148" s="117"/>
      <c r="AG148" s="117"/>
      <c r="AH148" s="117"/>
      <c r="AI148" s="117"/>
      <c r="AJ148" s="150"/>
      <c r="AK148" s="117"/>
      <c r="AL148" s="117"/>
      <c r="AM148" s="117"/>
      <c r="AN148" s="117"/>
      <c r="AO148" s="150">
        <f>SUM(AO143:AO147)</f>
        <v>61243</v>
      </c>
      <c r="AP148" s="117"/>
      <c r="AQ148" s="117"/>
      <c r="AR148" s="117"/>
      <c r="AS148" s="117"/>
      <c r="AT148" s="150">
        <f>SUM(AT143:AT147)</f>
        <v>62420</v>
      </c>
      <c r="AU148" s="117"/>
      <c r="AV148" s="117"/>
      <c r="AW148" s="117"/>
      <c r="AX148" s="117"/>
      <c r="AY148" s="150">
        <f>SUM(AY143:AY147)</f>
        <v>49416</v>
      </c>
      <c r="AZ148" s="117"/>
      <c r="BA148" s="117"/>
      <c r="BB148" s="117"/>
      <c r="BC148" s="117"/>
      <c r="BD148" s="150">
        <f>SUM(BD143:BD147)</f>
        <v>33799</v>
      </c>
      <c r="BE148" s="117"/>
      <c r="BF148" s="117"/>
      <c r="BG148" s="117"/>
      <c r="BH148" s="117"/>
      <c r="BI148" s="150">
        <f>SUM(BI143:BI147)</f>
        <v>32910</v>
      </c>
      <c r="BJ148" s="117"/>
      <c r="BK148" s="117"/>
      <c r="BL148" s="117"/>
      <c r="BM148" s="117"/>
      <c r="BN148" s="150">
        <f>SUM(BN143:BN147)</f>
        <v>31718</v>
      </c>
      <c r="BO148" s="117"/>
      <c r="BP148" s="117"/>
      <c r="BQ148" s="117"/>
      <c r="BR148" s="117"/>
      <c r="BS148" s="150">
        <f>SUM(BS143:BS147)</f>
        <v>33153</v>
      </c>
      <c r="BT148" s="691"/>
      <c r="BU148" s="117"/>
      <c r="BV148" s="117"/>
      <c r="BW148" s="117"/>
      <c r="BX148" s="150"/>
      <c r="BY148" s="117"/>
      <c r="BZ148" s="117"/>
      <c r="CA148" s="117"/>
      <c r="CB148" s="117"/>
      <c r="CC148" s="150"/>
      <c r="CD148" s="150"/>
      <c r="CE148" s="150"/>
      <c r="CF148" s="150"/>
      <c r="CG148" s="587"/>
    </row>
    <row r="149" spans="1:85" s="460" customFormat="1" ht="14.4" hidden="1" outlineLevel="1" x14ac:dyDescent="0.3">
      <c r="A149" s="591" t="s">
        <v>948</v>
      </c>
      <c r="B149" s="586"/>
      <c r="C149" s="150"/>
      <c r="D149" s="150"/>
      <c r="E149" s="150"/>
      <c r="F149" s="150"/>
      <c r="G149" s="117"/>
      <c r="H149" s="117"/>
      <c r="I149" s="117"/>
      <c r="J149" s="117"/>
      <c r="K149" s="150"/>
      <c r="L149" s="117"/>
      <c r="M149" s="117"/>
      <c r="N149" s="117"/>
      <c r="O149" s="117"/>
      <c r="P149" s="150"/>
      <c r="Q149" s="117"/>
      <c r="R149" s="117"/>
      <c r="S149" s="117"/>
      <c r="T149" s="117"/>
      <c r="U149" s="150"/>
      <c r="V149" s="117"/>
      <c r="W149" s="117"/>
      <c r="X149" s="117"/>
      <c r="Y149" s="117"/>
      <c r="Z149" s="150"/>
      <c r="AA149" s="117"/>
      <c r="AB149" s="117"/>
      <c r="AC149" s="117"/>
      <c r="AD149" s="117"/>
      <c r="AE149" s="150"/>
      <c r="AF149" s="117"/>
      <c r="AG149" s="117"/>
      <c r="AH149" s="117"/>
      <c r="AI149" s="117"/>
      <c r="AJ149" s="150"/>
      <c r="AK149" s="117"/>
      <c r="AL149" s="117"/>
      <c r="AM149" s="117"/>
      <c r="AN149" s="117"/>
      <c r="AO149" s="975">
        <v>842</v>
      </c>
      <c r="AP149" s="117"/>
      <c r="AQ149" s="117"/>
      <c r="AR149" s="117"/>
      <c r="AS149" s="117"/>
      <c r="AT149" s="975">
        <v>856</v>
      </c>
      <c r="AU149" s="117"/>
      <c r="AV149" s="117"/>
      <c r="AW149" s="117"/>
      <c r="AX149" s="117"/>
      <c r="AY149" s="975">
        <v>855</v>
      </c>
      <c r="AZ149" s="117"/>
      <c r="BA149" s="117"/>
      <c r="BB149" s="117"/>
      <c r="BC149" s="117"/>
      <c r="BD149" s="975">
        <v>969</v>
      </c>
      <c r="BE149" s="117"/>
      <c r="BF149" s="117"/>
      <c r="BG149" s="117"/>
      <c r="BH149" s="117"/>
      <c r="BI149" s="975">
        <v>533</v>
      </c>
      <c r="BJ149" s="117"/>
      <c r="BK149" s="117"/>
      <c r="BL149" s="117"/>
      <c r="BM149" s="117"/>
      <c r="BN149" s="975">
        <v>533</v>
      </c>
      <c r="BO149" s="117"/>
      <c r="BP149" s="117"/>
      <c r="BQ149" s="117"/>
      <c r="BR149" s="117"/>
      <c r="BS149" s="975">
        <v>534</v>
      </c>
      <c r="BT149" s="691"/>
      <c r="BU149" s="117"/>
      <c r="BV149" s="117"/>
      <c r="BW149" s="117"/>
      <c r="BX149" s="150"/>
      <c r="BY149" s="117"/>
      <c r="BZ149" s="117"/>
      <c r="CA149" s="117"/>
      <c r="CB149" s="117"/>
      <c r="CC149" s="150"/>
      <c r="CD149" s="150"/>
      <c r="CE149" s="150"/>
      <c r="CF149" s="150"/>
      <c r="CG149" s="587"/>
    </row>
    <row r="150" spans="1:85" s="460" customFormat="1" ht="14.4" hidden="1" outlineLevel="1" x14ac:dyDescent="0.3">
      <c r="A150" s="591" t="s">
        <v>949</v>
      </c>
      <c r="B150" s="586"/>
      <c r="C150" s="150"/>
      <c r="D150" s="150"/>
      <c r="E150" s="150"/>
      <c r="F150" s="150"/>
      <c r="G150" s="117"/>
      <c r="H150" s="117"/>
      <c r="I150" s="117"/>
      <c r="J150" s="117"/>
      <c r="K150" s="150"/>
      <c r="L150" s="117"/>
      <c r="M150" s="117"/>
      <c r="N150" s="117"/>
      <c r="O150" s="117"/>
      <c r="P150" s="150"/>
      <c r="Q150" s="117"/>
      <c r="R150" s="117"/>
      <c r="S150" s="117"/>
      <c r="T150" s="117"/>
      <c r="U150" s="150"/>
      <c r="V150" s="117"/>
      <c r="W150" s="117"/>
      <c r="X150" s="117"/>
      <c r="Y150" s="117"/>
      <c r="Z150" s="150"/>
      <c r="AA150" s="117"/>
      <c r="AB150" s="117"/>
      <c r="AC150" s="117"/>
      <c r="AD150" s="117"/>
      <c r="AE150" s="150"/>
      <c r="AF150" s="117"/>
      <c r="AG150" s="117"/>
      <c r="AH150" s="117"/>
      <c r="AI150" s="117"/>
      <c r="AJ150" s="150"/>
      <c r="AK150" s="117"/>
      <c r="AL150" s="117"/>
      <c r="AM150" s="117"/>
      <c r="AN150" s="117"/>
      <c r="AO150" s="975">
        <v>44871</v>
      </c>
      <c r="AP150" s="117"/>
      <c r="AQ150" s="117"/>
      <c r="AR150" s="117"/>
      <c r="AS150" s="117"/>
      <c r="AT150" s="975">
        <v>42354</v>
      </c>
      <c r="AU150" s="117"/>
      <c r="AV150" s="117"/>
      <c r="AW150" s="117"/>
      <c r="AX150" s="117"/>
      <c r="AY150" s="975">
        <v>33300</v>
      </c>
      <c r="AZ150" s="117"/>
      <c r="BA150" s="117"/>
      <c r="BB150" s="117"/>
      <c r="BC150" s="117"/>
      <c r="BD150" s="975">
        <v>19051</v>
      </c>
      <c r="BE150" s="117"/>
      <c r="BF150" s="117"/>
      <c r="BG150" s="117"/>
      <c r="BH150" s="117"/>
      <c r="BI150" s="975">
        <v>18941</v>
      </c>
      <c r="BJ150" s="117"/>
      <c r="BK150" s="117"/>
      <c r="BL150" s="117"/>
      <c r="BM150" s="117"/>
      <c r="BN150" s="975">
        <v>18251</v>
      </c>
      <c r="BO150" s="117"/>
      <c r="BP150" s="117"/>
      <c r="BQ150" s="117"/>
      <c r="BR150" s="117"/>
      <c r="BS150" s="975">
        <v>19126</v>
      </c>
      <c r="BT150" s="691"/>
      <c r="BU150" s="117"/>
      <c r="BV150" s="117"/>
      <c r="BW150" s="117"/>
      <c r="BX150" s="150"/>
      <c r="BY150" s="117"/>
      <c r="BZ150" s="117"/>
      <c r="CA150" s="117"/>
      <c r="CB150" s="117"/>
      <c r="CC150" s="150"/>
      <c r="CD150" s="150"/>
      <c r="CE150" s="150"/>
      <c r="CF150" s="150"/>
      <c r="CG150" s="587"/>
    </row>
    <row r="151" spans="1:85" s="460" customFormat="1" ht="14.4" hidden="1" outlineLevel="1" x14ac:dyDescent="0.3">
      <c r="A151" s="592" t="s">
        <v>950</v>
      </c>
      <c r="B151" s="588"/>
      <c r="C151" s="954"/>
      <c r="D151" s="954"/>
      <c r="E151" s="954"/>
      <c r="F151" s="954"/>
      <c r="G151" s="133"/>
      <c r="H151" s="133"/>
      <c r="I151" s="133"/>
      <c r="J151" s="133"/>
      <c r="K151" s="954"/>
      <c r="L151" s="133"/>
      <c r="M151" s="133"/>
      <c r="N151" s="133"/>
      <c r="O151" s="133"/>
      <c r="P151" s="954"/>
      <c r="Q151" s="133"/>
      <c r="R151" s="133"/>
      <c r="S151" s="133"/>
      <c r="T151" s="133"/>
      <c r="U151" s="954"/>
      <c r="V151" s="133"/>
      <c r="W151" s="133"/>
      <c r="X151" s="133"/>
      <c r="Y151" s="133"/>
      <c r="Z151" s="954"/>
      <c r="AA151" s="133"/>
      <c r="AB151" s="133"/>
      <c r="AC151" s="133"/>
      <c r="AD151" s="133"/>
      <c r="AE151" s="954"/>
      <c r="AF151" s="133"/>
      <c r="AG151" s="133"/>
      <c r="AH151" s="133"/>
      <c r="AI151" s="133"/>
      <c r="AJ151" s="954"/>
      <c r="AK151" s="133"/>
      <c r="AL151" s="133"/>
      <c r="AM151" s="133"/>
      <c r="AN151" s="133"/>
      <c r="AO151" s="976">
        <v>1605</v>
      </c>
      <c r="AP151" s="133"/>
      <c r="AQ151" s="133"/>
      <c r="AR151" s="133"/>
      <c r="AS151" s="133"/>
      <c r="AT151" s="976">
        <v>1644</v>
      </c>
      <c r="AU151" s="133"/>
      <c r="AV151" s="133"/>
      <c r="AW151" s="133"/>
      <c r="AX151" s="133"/>
      <c r="AY151" s="976">
        <v>623</v>
      </c>
      <c r="AZ151" s="133"/>
      <c r="BA151" s="133"/>
      <c r="BB151" s="133"/>
      <c r="BC151" s="133"/>
      <c r="BD151" s="976">
        <v>500</v>
      </c>
      <c r="BE151" s="133"/>
      <c r="BF151" s="133"/>
      <c r="BG151" s="133"/>
      <c r="BH151" s="133"/>
      <c r="BI151" s="976">
        <v>529</v>
      </c>
      <c r="BJ151" s="133"/>
      <c r="BK151" s="133"/>
      <c r="BL151" s="133"/>
      <c r="BM151" s="133"/>
      <c r="BN151" s="976">
        <v>556</v>
      </c>
      <c r="BO151" s="133"/>
      <c r="BP151" s="133"/>
      <c r="BQ151" s="133"/>
      <c r="BR151" s="133"/>
      <c r="BS151" s="976">
        <v>634</v>
      </c>
      <c r="BT151" s="692"/>
      <c r="BU151" s="133"/>
      <c r="BV151" s="133"/>
      <c r="BW151" s="133"/>
      <c r="BX151" s="954"/>
      <c r="BY151" s="133"/>
      <c r="BZ151" s="133"/>
      <c r="CA151" s="133"/>
      <c r="CB151" s="133"/>
      <c r="CC151" s="954"/>
      <c r="CD151" s="954"/>
      <c r="CE151" s="954"/>
      <c r="CF151" s="954"/>
      <c r="CG151" s="587"/>
    </row>
    <row r="152" spans="1:85" s="460" customFormat="1" ht="14.4" hidden="1" outlineLevel="1" x14ac:dyDescent="0.3">
      <c r="A152" s="593" t="s">
        <v>951</v>
      </c>
      <c r="B152" s="589"/>
      <c r="C152" s="977"/>
      <c r="D152" s="977"/>
      <c r="E152" s="977"/>
      <c r="F152" s="977"/>
      <c r="G152" s="590"/>
      <c r="H152" s="590"/>
      <c r="I152" s="590"/>
      <c r="J152" s="590"/>
      <c r="K152" s="977"/>
      <c r="L152" s="590"/>
      <c r="M152" s="590"/>
      <c r="N152" s="590"/>
      <c r="O152" s="590"/>
      <c r="P152" s="977"/>
      <c r="Q152" s="590"/>
      <c r="R152" s="590"/>
      <c r="S152" s="590"/>
      <c r="T152" s="590"/>
      <c r="U152" s="977"/>
      <c r="V152" s="590"/>
      <c r="W152" s="590"/>
      <c r="X152" s="590"/>
      <c r="Y152" s="590"/>
      <c r="Z152" s="977"/>
      <c r="AA152" s="590"/>
      <c r="AB152" s="590"/>
      <c r="AC152" s="590"/>
      <c r="AD152" s="590"/>
      <c r="AE152" s="977"/>
      <c r="AF152" s="590"/>
      <c r="AG152" s="590"/>
      <c r="AH152" s="590"/>
      <c r="AI152" s="590"/>
      <c r="AJ152" s="977"/>
      <c r="AK152" s="590"/>
      <c r="AL152" s="590"/>
      <c r="AM152" s="590"/>
      <c r="AN152" s="590"/>
      <c r="AO152" s="977">
        <f>SUM(AO149:AO151)</f>
        <v>47318</v>
      </c>
      <c r="AP152" s="590"/>
      <c r="AQ152" s="590"/>
      <c r="AR152" s="590"/>
      <c r="AS152" s="590"/>
      <c r="AT152" s="977">
        <f>SUM(AT149:AT151)</f>
        <v>44854</v>
      </c>
      <c r="AU152" s="590"/>
      <c r="AV152" s="590"/>
      <c r="AW152" s="590"/>
      <c r="AX152" s="590"/>
      <c r="AY152" s="977">
        <f>SUM(AY149:AY151)</f>
        <v>34778</v>
      </c>
      <c r="AZ152" s="590"/>
      <c r="BA152" s="590"/>
      <c r="BB152" s="590"/>
      <c r="BC152" s="590"/>
      <c r="BD152" s="977">
        <f>SUM(BD149:BD151)</f>
        <v>20520</v>
      </c>
      <c r="BE152" s="590"/>
      <c r="BF152" s="590"/>
      <c r="BG152" s="590"/>
      <c r="BH152" s="590"/>
      <c r="BI152" s="977">
        <f>SUM(BI149:BI151)</f>
        <v>20003</v>
      </c>
      <c r="BJ152" s="590"/>
      <c r="BK152" s="590"/>
      <c r="BL152" s="590"/>
      <c r="BM152" s="590"/>
      <c r="BN152" s="977">
        <f>SUM(BN149:BN151)</f>
        <v>19340</v>
      </c>
      <c r="BO152" s="590"/>
      <c r="BP152" s="590"/>
      <c r="BQ152" s="590"/>
      <c r="BR152" s="590"/>
      <c r="BS152" s="977">
        <f>SUM(BS149:BS151)</f>
        <v>20294</v>
      </c>
      <c r="BT152" s="708"/>
      <c r="BU152" s="590"/>
      <c r="BV152" s="590"/>
      <c r="BW152" s="590"/>
      <c r="BX152" s="977"/>
      <c r="BY152" s="590"/>
      <c r="BZ152" s="590"/>
      <c r="CA152" s="590"/>
      <c r="CB152" s="590"/>
      <c r="CC152" s="977"/>
      <c r="CD152" s="977"/>
      <c r="CE152" s="977"/>
      <c r="CF152" s="977"/>
      <c r="CG152" s="587"/>
    </row>
    <row r="153" spans="1:85" s="461" customFormat="1" ht="14.4" hidden="1" outlineLevel="1" x14ac:dyDescent="0.3">
      <c r="A153" s="166" t="s">
        <v>952</v>
      </c>
      <c r="B153" s="583"/>
      <c r="C153" s="957"/>
      <c r="D153" s="957"/>
      <c r="E153" s="957"/>
      <c r="F153" s="957"/>
      <c r="G153" s="120"/>
      <c r="H153" s="120"/>
      <c r="I153" s="120"/>
      <c r="J153" s="120"/>
      <c r="K153" s="957"/>
      <c r="L153" s="120"/>
      <c r="M153" s="120"/>
      <c r="N153" s="120"/>
      <c r="O153" s="120"/>
      <c r="P153" s="957"/>
      <c r="Q153" s="120"/>
      <c r="R153" s="120"/>
      <c r="S153" s="120"/>
      <c r="T153" s="120"/>
      <c r="U153" s="957"/>
      <c r="V153" s="120"/>
      <c r="W153" s="120"/>
      <c r="X153" s="120"/>
      <c r="Y153" s="120"/>
      <c r="Z153" s="957"/>
      <c r="AA153" s="120"/>
      <c r="AB153" s="120"/>
      <c r="AC153" s="120"/>
      <c r="AD153" s="120"/>
      <c r="AE153" s="957"/>
      <c r="AF153" s="120"/>
      <c r="AG153" s="120"/>
      <c r="AH153" s="120"/>
      <c r="AI153" s="120"/>
      <c r="AJ153" s="957"/>
      <c r="AK153" s="120"/>
      <c r="AL153" s="120"/>
      <c r="AM153" s="120"/>
      <c r="AN153" s="120"/>
      <c r="AO153" s="957">
        <f>AO148-AO152</f>
        <v>13925</v>
      </c>
      <c r="AP153" s="120"/>
      <c r="AQ153" s="120"/>
      <c r="AR153" s="120"/>
      <c r="AS153" s="120"/>
      <c r="AT153" s="957">
        <f>AT148-AT152</f>
        <v>17566</v>
      </c>
      <c r="AU153" s="120"/>
      <c r="AV153" s="120"/>
      <c r="AW153" s="120"/>
      <c r="AX153" s="120"/>
      <c r="AY153" s="957">
        <f>AY148-AY152</f>
        <v>14638</v>
      </c>
      <c r="AZ153" s="120"/>
      <c r="BA153" s="120"/>
      <c r="BB153" s="120"/>
      <c r="BC153" s="120"/>
      <c r="BD153" s="957">
        <f>BD148-BD152</f>
        <v>13279</v>
      </c>
      <c r="BE153" s="120"/>
      <c r="BF153" s="120"/>
      <c r="BG153" s="120"/>
      <c r="BH153" s="120"/>
      <c r="BI153" s="957">
        <f>BI148-BI152</f>
        <v>12907</v>
      </c>
      <c r="BJ153" s="120"/>
      <c r="BK153" s="120"/>
      <c r="BL153" s="120"/>
      <c r="BM153" s="120"/>
      <c r="BN153" s="957">
        <f>BN148-BN152</f>
        <v>12378</v>
      </c>
      <c r="BO153" s="120"/>
      <c r="BP153" s="120"/>
      <c r="BQ153" s="120"/>
      <c r="BR153" s="120"/>
      <c r="BS153" s="957">
        <f>BS148-BS152</f>
        <v>12859</v>
      </c>
      <c r="BT153" s="694"/>
      <c r="BU153" s="120"/>
      <c r="BV153" s="120"/>
      <c r="BW153" s="120"/>
      <c r="BX153" s="957"/>
      <c r="BY153" s="120"/>
      <c r="BZ153" s="120"/>
      <c r="CA153" s="120"/>
      <c r="CB153" s="120"/>
      <c r="CC153" s="957"/>
      <c r="CD153" s="957"/>
      <c r="CE153" s="957"/>
      <c r="CF153" s="957"/>
      <c r="CG153" s="615"/>
    </row>
    <row r="154" spans="1:85" s="460" customFormat="1" ht="14.4" hidden="1" outlineLevel="1" x14ac:dyDescent="0.3">
      <c r="A154" s="591" t="s">
        <v>953</v>
      </c>
      <c r="B154" s="586"/>
      <c r="C154" s="150"/>
      <c r="D154" s="150"/>
      <c r="E154" s="150"/>
      <c r="F154" s="150"/>
      <c r="G154" s="117"/>
      <c r="H154" s="117"/>
      <c r="I154" s="117"/>
      <c r="J154" s="117"/>
      <c r="K154" s="150"/>
      <c r="L154" s="117"/>
      <c r="M154" s="117"/>
      <c r="N154" s="117"/>
      <c r="O154" s="117"/>
      <c r="P154" s="150"/>
      <c r="Q154" s="117"/>
      <c r="R154" s="117"/>
      <c r="S154" s="117"/>
      <c r="T154" s="117"/>
      <c r="U154" s="150"/>
      <c r="V154" s="117"/>
      <c r="W154" s="117"/>
      <c r="X154" s="117"/>
      <c r="Y154" s="117"/>
      <c r="Z154" s="150"/>
      <c r="AA154" s="117"/>
      <c r="AB154" s="117"/>
      <c r="AC154" s="117"/>
      <c r="AD154" s="117"/>
      <c r="AE154" s="150"/>
      <c r="AF154" s="117"/>
      <c r="AG154" s="117"/>
      <c r="AH154" s="117"/>
      <c r="AI154" s="117"/>
      <c r="AJ154" s="150"/>
      <c r="AK154" s="117"/>
      <c r="AL154" s="117"/>
      <c r="AM154" s="117"/>
      <c r="AN154" s="117"/>
      <c r="AO154" s="975">
        <v>1986</v>
      </c>
      <c r="AP154" s="117"/>
      <c r="AQ154" s="117"/>
      <c r="AR154" s="117"/>
      <c r="AS154" s="117"/>
      <c r="AT154" s="975">
        <v>1987</v>
      </c>
      <c r="AU154" s="117"/>
      <c r="AV154" s="117"/>
      <c r="AW154" s="117"/>
      <c r="AX154" s="117"/>
      <c r="AY154" s="975">
        <v>1987</v>
      </c>
      <c r="AZ154" s="117"/>
      <c r="BA154" s="117"/>
      <c r="BB154" s="117"/>
      <c r="BC154" s="117"/>
      <c r="BD154" s="975">
        <v>1987</v>
      </c>
      <c r="BE154" s="117"/>
      <c r="BF154" s="117"/>
      <c r="BG154" s="117"/>
      <c r="BH154" s="117"/>
      <c r="BI154" s="975">
        <v>1882</v>
      </c>
      <c r="BJ154" s="117"/>
      <c r="BK154" s="117"/>
      <c r="BL154" s="117"/>
      <c r="BM154" s="117"/>
      <c r="BN154" s="975">
        <v>1882</v>
      </c>
      <c r="BO154" s="117"/>
      <c r="BP154" s="117"/>
      <c r="BQ154" s="117"/>
      <c r="BR154" s="117"/>
      <c r="BS154" s="975">
        <v>1881</v>
      </c>
      <c r="BT154" s="691"/>
      <c r="BU154" s="117"/>
      <c r="BV154" s="117"/>
      <c r="BW154" s="117"/>
      <c r="BX154" s="150"/>
      <c r="BY154" s="117"/>
      <c r="BZ154" s="117"/>
      <c r="CA154" s="117"/>
      <c r="CB154" s="117"/>
      <c r="CC154" s="150"/>
      <c r="CD154" s="150"/>
      <c r="CE154" s="150"/>
      <c r="CF154" s="150"/>
      <c r="CG154" s="587"/>
    </row>
    <row r="155" spans="1:85" s="460" customFormat="1" ht="14.4" hidden="1" outlineLevel="1" x14ac:dyDescent="0.3">
      <c r="A155" s="591" t="s">
        <v>954</v>
      </c>
      <c r="B155" s="586"/>
      <c r="C155" s="150"/>
      <c r="D155" s="150"/>
      <c r="E155" s="150"/>
      <c r="F155" s="150"/>
      <c r="G155" s="117"/>
      <c r="H155" s="117"/>
      <c r="I155" s="117"/>
      <c r="J155" s="117"/>
      <c r="K155" s="150"/>
      <c r="L155" s="117"/>
      <c r="M155" s="117"/>
      <c r="N155" s="117"/>
      <c r="O155" s="117"/>
      <c r="P155" s="150"/>
      <c r="Q155" s="117"/>
      <c r="R155" s="117"/>
      <c r="S155" s="117"/>
      <c r="T155" s="117"/>
      <c r="U155" s="150"/>
      <c r="V155" s="117"/>
      <c r="W155" s="117"/>
      <c r="X155" s="117"/>
      <c r="Y155" s="117"/>
      <c r="Z155" s="150"/>
      <c r="AA155" s="117"/>
      <c r="AB155" s="117"/>
      <c r="AC155" s="117"/>
      <c r="AD155" s="117"/>
      <c r="AE155" s="150"/>
      <c r="AF155" s="117"/>
      <c r="AG155" s="117"/>
      <c r="AH155" s="117"/>
      <c r="AI155" s="117"/>
      <c r="AJ155" s="150"/>
      <c r="AK155" s="117"/>
      <c r="AL155" s="117"/>
      <c r="AM155" s="117"/>
      <c r="AN155" s="117"/>
      <c r="AO155" s="975">
        <v>22032</v>
      </c>
      <c r="AP155" s="117"/>
      <c r="AQ155" s="117"/>
      <c r="AR155" s="117"/>
      <c r="AS155" s="117"/>
      <c r="AT155" s="975">
        <v>22321</v>
      </c>
      <c r="AU155" s="117"/>
      <c r="AV155" s="117"/>
      <c r="AW155" s="117"/>
      <c r="AX155" s="117"/>
      <c r="AY155" s="975">
        <v>22235</v>
      </c>
      <c r="AZ155" s="117"/>
      <c r="BA155" s="117"/>
      <c r="BB155" s="117"/>
      <c r="BC155" s="117"/>
      <c r="BD155" s="975">
        <v>22926</v>
      </c>
      <c r="BE155" s="117"/>
      <c r="BF155" s="117"/>
      <c r="BG155" s="117"/>
      <c r="BH155" s="117"/>
      <c r="BI155" s="975">
        <v>23842</v>
      </c>
      <c r="BJ155" s="117"/>
      <c r="BK155" s="117"/>
      <c r="BL155" s="117"/>
      <c r="BM155" s="117"/>
      <c r="BN155" s="975">
        <v>24310</v>
      </c>
      <c r="BO155" s="117"/>
      <c r="BP155" s="117"/>
      <c r="BQ155" s="117"/>
      <c r="BR155" s="117"/>
      <c r="BS155" s="975">
        <v>24401</v>
      </c>
      <c r="BT155" s="691"/>
      <c r="BU155" s="117"/>
      <c r="BV155" s="117"/>
      <c r="BW155" s="117"/>
      <c r="BX155" s="150"/>
      <c r="BY155" s="117"/>
      <c r="BZ155" s="117"/>
      <c r="CA155" s="117"/>
      <c r="CB155" s="117"/>
      <c r="CC155" s="150"/>
      <c r="CD155" s="150"/>
      <c r="CE155" s="150"/>
      <c r="CF155" s="150"/>
      <c r="CG155" s="587"/>
    </row>
    <row r="156" spans="1:85" s="460" customFormat="1" ht="14.4" hidden="1" outlineLevel="1" x14ac:dyDescent="0.3">
      <c r="A156" s="591" t="s">
        <v>955</v>
      </c>
      <c r="B156" s="586"/>
      <c r="C156" s="150"/>
      <c r="D156" s="150"/>
      <c r="E156" s="150"/>
      <c r="F156" s="150"/>
      <c r="G156" s="117"/>
      <c r="H156" s="117"/>
      <c r="I156" s="117"/>
      <c r="J156" s="117"/>
      <c r="K156" s="150"/>
      <c r="L156" s="117"/>
      <c r="M156" s="117"/>
      <c r="N156" s="117"/>
      <c r="O156" s="117"/>
      <c r="P156" s="150"/>
      <c r="Q156" s="117"/>
      <c r="R156" s="117"/>
      <c r="S156" s="117"/>
      <c r="T156" s="117"/>
      <c r="U156" s="150"/>
      <c r="V156" s="117"/>
      <c r="W156" s="117"/>
      <c r="X156" s="117"/>
      <c r="Y156" s="117"/>
      <c r="Z156" s="150"/>
      <c r="AA156" s="117"/>
      <c r="AB156" s="117"/>
      <c r="AC156" s="117"/>
      <c r="AD156" s="117"/>
      <c r="AE156" s="150"/>
      <c r="AF156" s="117"/>
      <c r="AG156" s="117"/>
      <c r="AH156" s="117"/>
      <c r="AI156" s="117"/>
      <c r="AJ156" s="150"/>
      <c r="AK156" s="117"/>
      <c r="AL156" s="117"/>
      <c r="AM156" s="117"/>
      <c r="AN156" s="117"/>
      <c r="AO156" s="975">
        <v>18610</v>
      </c>
      <c r="AP156" s="117"/>
      <c r="AQ156" s="117"/>
      <c r="AR156" s="117"/>
      <c r="AS156" s="117"/>
      <c r="AT156" s="975">
        <v>18898</v>
      </c>
      <c r="AU156" s="117"/>
      <c r="AV156" s="117"/>
      <c r="AW156" s="117"/>
      <c r="AX156" s="117"/>
      <c r="AY156" s="975">
        <v>18918</v>
      </c>
      <c r="AZ156" s="117"/>
      <c r="BA156" s="117"/>
      <c r="BB156" s="117"/>
      <c r="BC156" s="117"/>
      <c r="BD156" s="975">
        <v>19107</v>
      </c>
      <c r="BE156" s="117"/>
      <c r="BF156" s="117"/>
      <c r="BG156" s="117"/>
      <c r="BH156" s="117"/>
      <c r="BI156" s="975">
        <v>19118</v>
      </c>
      <c r="BJ156" s="117"/>
      <c r="BK156" s="117"/>
      <c r="BL156" s="117"/>
      <c r="BM156" s="117"/>
      <c r="BN156" s="975">
        <v>19134</v>
      </c>
      <c r="BO156" s="117"/>
      <c r="BP156" s="117"/>
      <c r="BQ156" s="117"/>
      <c r="BR156" s="117"/>
      <c r="BS156" s="975">
        <v>19135</v>
      </c>
      <c r="BT156" s="691"/>
      <c r="BU156" s="117"/>
      <c r="BV156" s="117"/>
      <c r="BW156" s="117"/>
      <c r="BX156" s="150"/>
      <c r="BY156" s="117"/>
      <c r="BZ156" s="117"/>
      <c r="CA156" s="117"/>
      <c r="CB156" s="117"/>
      <c r="CC156" s="150"/>
      <c r="CD156" s="150"/>
      <c r="CE156" s="150"/>
      <c r="CF156" s="150"/>
      <c r="CG156" s="587"/>
    </row>
    <row r="157" spans="1:85" s="460" customFormat="1" ht="14.4" hidden="1" outlineLevel="1" x14ac:dyDescent="0.3">
      <c r="A157" s="591" t="s">
        <v>956</v>
      </c>
      <c r="B157" s="586"/>
      <c r="C157" s="150"/>
      <c r="D157" s="150"/>
      <c r="E157" s="150"/>
      <c r="F157" s="150"/>
      <c r="G157" s="117"/>
      <c r="H157" s="117"/>
      <c r="I157" s="117"/>
      <c r="J157" s="117"/>
      <c r="K157" s="150"/>
      <c r="L157" s="117"/>
      <c r="M157" s="117"/>
      <c r="N157" s="117"/>
      <c r="O157" s="117"/>
      <c r="P157" s="150"/>
      <c r="Q157" s="117"/>
      <c r="R157" s="117"/>
      <c r="S157" s="117"/>
      <c r="T157" s="117"/>
      <c r="U157" s="150"/>
      <c r="V157" s="117"/>
      <c r="W157" s="117"/>
      <c r="X157" s="117"/>
      <c r="Y157" s="117"/>
      <c r="Z157" s="150"/>
      <c r="AA157" s="117"/>
      <c r="AB157" s="117"/>
      <c r="AC157" s="117"/>
      <c r="AD157" s="117"/>
      <c r="AE157" s="150"/>
      <c r="AF157" s="117"/>
      <c r="AG157" s="117"/>
      <c r="AH157" s="117"/>
      <c r="AI157" s="117"/>
      <c r="AJ157" s="150"/>
      <c r="AK157" s="117"/>
      <c r="AL157" s="117"/>
      <c r="AM157" s="117"/>
      <c r="AN157" s="117"/>
      <c r="AO157" s="975">
        <v>1322</v>
      </c>
      <c r="AP157" s="117"/>
      <c r="AQ157" s="117"/>
      <c r="AR157" s="117"/>
      <c r="AS157" s="117"/>
      <c r="AT157" s="975">
        <v>1144</v>
      </c>
      <c r="AU157" s="117"/>
      <c r="AV157" s="117"/>
      <c r="AW157" s="117"/>
      <c r="AX157" s="117"/>
      <c r="AY157" s="975">
        <v>1144</v>
      </c>
      <c r="AZ157" s="117"/>
      <c r="BA157" s="117"/>
      <c r="BB157" s="117"/>
      <c r="BC157" s="117"/>
      <c r="BD157" s="975">
        <v>1119</v>
      </c>
      <c r="BE157" s="117"/>
      <c r="BF157" s="117"/>
      <c r="BG157" s="117"/>
      <c r="BH157" s="117"/>
      <c r="BI157" s="975">
        <v>1119</v>
      </c>
      <c r="BJ157" s="117"/>
      <c r="BK157" s="117"/>
      <c r="BL157" s="117"/>
      <c r="BM157" s="117"/>
      <c r="BN157" s="975">
        <v>1119</v>
      </c>
      <c r="BO157" s="117"/>
      <c r="BP157" s="117"/>
      <c r="BQ157" s="117"/>
      <c r="BR157" s="117"/>
      <c r="BS157" s="975">
        <v>1067</v>
      </c>
      <c r="BT157" s="691"/>
      <c r="BU157" s="117"/>
      <c r="BV157" s="117"/>
      <c r="BW157" s="117"/>
      <c r="BX157" s="150"/>
      <c r="BY157" s="117"/>
      <c r="BZ157" s="117"/>
      <c r="CA157" s="117"/>
      <c r="CB157" s="117"/>
      <c r="CC157" s="150"/>
      <c r="CD157" s="150"/>
      <c r="CE157" s="150"/>
      <c r="CF157" s="150"/>
      <c r="CG157" s="587"/>
    </row>
    <row r="158" spans="1:85" s="460" customFormat="1" ht="14.4" hidden="1" outlineLevel="1" x14ac:dyDescent="0.3">
      <c r="A158" s="592" t="s">
        <v>957</v>
      </c>
      <c r="B158" s="588"/>
      <c r="C158" s="954"/>
      <c r="D158" s="954"/>
      <c r="E158" s="954"/>
      <c r="F158" s="954"/>
      <c r="G158" s="133"/>
      <c r="H158" s="133"/>
      <c r="I158" s="133"/>
      <c r="J158" s="133"/>
      <c r="K158" s="954"/>
      <c r="L158" s="133"/>
      <c r="M158" s="133"/>
      <c r="N158" s="133"/>
      <c r="O158" s="133"/>
      <c r="P158" s="954"/>
      <c r="Q158" s="133"/>
      <c r="R158" s="133"/>
      <c r="S158" s="133"/>
      <c r="T158" s="133"/>
      <c r="U158" s="954"/>
      <c r="V158" s="133"/>
      <c r="W158" s="133"/>
      <c r="X158" s="133"/>
      <c r="Y158" s="133"/>
      <c r="Z158" s="954"/>
      <c r="AA158" s="133"/>
      <c r="AB158" s="133"/>
      <c r="AC158" s="133"/>
      <c r="AD158" s="133"/>
      <c r="AE158" s="954"/>
      <c r="AF158" s="133"/>
      <c r="AG158" s="133"/>
      <c r="AH158" s="133"/>
      <c r="AI158" s="133"/>
      <c r="AJ158" s="954"/>
      <c r="AK158" s="133"/>
      <c r="AL158" s="133"/>
      <c r="AM158" s="133"/>
      <c r="AN158" s="133"/>
      <c r="AO158" s="976">
        <v>1023</v>
      </c>
      <c r="AP158" s="133"/>
      <c r="AQ158" s="133"/>
      <c r="AR158" s="133"/>
      <c r="AS158" s="133"/>
      <c r="AT158" s="976">
        <v>1157</v>
      </c>
      <c r="AU158" s="133"/>
      <c r="AV158" s="133"/>
      <c r="AW158" s="133"/>
      <c r="AX158" s="133"/>
      <c r="AY158" s="976">
        <v>1586</v>
      </c>
      <c r="AZ158" s="133"/>
      <c r="BA158" s="133"/>
      <c r="BB158" s="133"/>
      <c r="BC158" s="133"/>
      <c r="BD158" s="976">
        <v>1869</v>
      </c>
      <c r="BE158" s="133"/>
      <c r="BF158" s="133"/>
      <c r="BG158" s="133"/>
      <c r="BH158" s="133"/>
      <c r="BI158" s="976">
        <v>1469</v>
      </c>
      <c r="BJ158" s="133"/>
      <c r="BK158" s="133"/>
      <c r="BL158" s="133"/>
      <c r="BM158" s="133"/>
      <c r="BN158" s="976">
        <v>1814</v>
      </c>
      <c r="BO158" s="133"/>
      <c r="BP158" s="133"/>
      <c r="BQ158" s="133"/>
      <c r="BR158" s="133"/>
      <c r="BS158" s="976">
        <v>2666</v>
      </c>
      <c r="BT158" s="692"/>
      <c r="BU158" s="133"/>
      <c r="BV158" s="133"/>
      <c r="BW158" s="133"/>
      <c r="BX158" s="954"/>
      <c r="BY158" s="133"/>
      <c r="BZ158" s="133"/>
      <c r="CA158" s="133"/>
      <c r="CB158" s="133"/>
      <c r="CC158" s="954"/>
      <c r="CD158" s="954"/>
      <c r="CE158" s="954"/>
      <c r="CF158" s="954"/>
      <c r="CG158" s="587"/>
    </row>
    <row r="159" spans="1:85" s="460" customFormat="1" ht="14.4" hidden="1" outlineLevel="1" x14ac:dyDescent="0.3">
      <c r="A159" s="159" t="s">
        <v>958</v>
      </c>
      <c r="B159" s="586"/>
      <c r="C159" s="150"/>
      <c r="D159" s="150"/>
      <c r="E159" s="150"/>
      <c r="F159" s="150"/>
      <c r="G159" s="117"/>
      <c r="H159" s="117"/>
      <c r="I159" s="117"/>
      <c r="J159" s="117"/>
      <c r="K159" s="150"/>
      <c r="L159" s="117"/>
      <c r="M159" s="117"/>
      <c r="N159" s="117"/>
      <c r="O159" s="117"/>
      <c r="P159" s="150"/>
      <c r="Q159" s="117"/>
      <c r="R159" s="117"/>
      <c r="S159" s="117"/>
      <c r="T159" s="117"/>
      <c r="U159" s="150"/>
      <c r="V159" s="117"/>
      <c r="W159" s="117"/>
      <c r="X159" s="117"/>
      <c r="Y159" s="117"/>
      <c r="Z159" s="150"/>
      <c r="AA159" s="117"/>
      <c r="AB159" s="117"/>
      <c r="AC159" s="117"/>
      <c r="AD159" s="117"/>
      <c r="AE159" s="150"/>
      <c r="AF159" s="117"/>
      <c r="AG159" s="117"/>
      <c r="AH159" s="117"/>
      <c r="AI159" s="117"/>
      <c r="AJ159" s="150"/>
      <c r="AK159" s="117"/>
      <c r="AL159" s="117"/>
      <c r="AM159" s="117"/>
      <c r="AN159" s="117"/>
      <c r="AO159" s="150">
        <f>SUM(AO154:AO158)</f>
        <v>44973</v>
      </c>
      <c r="AP159" s="117"/>
      <c r="AQ159" s="117"/>
      <c r="AR159" s="117"/>
      <c r="AS159" s="117"/>
      <c r="AT159" s="150">
        <f>SUM(AT154:AT158)</f>
        <v>45507</v>
      </c>
      <c r="AU159" s="117"/>
      <c r="AV159" s="117"/>
      <c r="AW159" s="117"/>
      <c r="AX159" s="117"/>
      <c r="AY159" s="150">
        <f>SUM(AY154:AY158)</f>
        <v>45870</v>
      </c>
      <c r="AZ159" s="117"/>
      <c r="BA159" s="117"/>
      <c r="BB159" s="117"/>
      <c r="BC159" s="117"/>
      <c r="BD159" s="150">
        <f>SUM(BD154:BD158)</f>
        <v>47008</v>
      </c>
      <c r="BE159" s="117"/>
      <c r="BF159" s="117"/>
      <c r="BG159" s="117"/>
      <c r="BH159" s="117"/>
      <c r="BI159" s="150">
        <f>SUM(BI154:BI158)</f>
        <v>47430</v>
      </c>
      <c r="BJ159" s="117"/>
      <c r="BK159" s="117"/>
      <c r="BL159" s="117"/>
      <c r="BM159" s="117"/>
      <c r="BN159" s="150">
        <f>SUM(BN154:BN158)</f>
        <v>48259</v>
      </c>
      <c r="BO159" s="117"/>
      <c r="BP159" s="117"/>
      <c r="BQ159" s="117"/>
      <c r="BR159" s="117"/>
      <c r="BS159" s="150">
        <f>SUM(BS154:BS158)</f>
        <v>49150</v>
      </c>
      <c r="BT159" s="691"/>
      <c r="BU159" s="117"/>
      <c r="BV159" s="117"/>
      <c r="BW159" s="117"/>
      <c r="BX159" s="150"/>
      <c r="BY159" s="117"/>
      <c r="BZ159" s="117"/>
      <c r="CA159" s="117"/>
      <c r="CB159" s="117"/>
      <c r="CC159" s="150"/>
      <c r="CD159" s="150"/>
      <c r="CE159" s="150"/>
      <c r="CF159" s="150"/>
      <c r="CG159" s="587"/>
    </row>
    <row r="160" spans="1:85" s="460" customFormat="1" ht="14.4" hidden="1" outlineLevel="1" x14ac:dyDescent="0.3">
      <c r="A160" s="591" t="s">
        <v>959</v>
      </c>
      <c r="B160" s="586"/>
      <c r="C160" s="150"/>
      <c r="D160" s="150"/>
      <c r="E160" s="150"/>
      <c r="F160" s="150"/>
      <c r="G160" s="117"/>
      <c r="H160" s="117"/>
      <c r="I160" s="117"/>
      <c r="J160" s="117"/>
      <c r="K160" s="150"/>
      <c r="L160" s="117"/>
      <c r="M160" s="117"/>
      <c r="N160" s="117"/>
      <c r="O160" s="117"/>
      <c r="P160" s="150"/>
      <c r="Q160" s="117"/>
      <c r="R160" s="117"/>
      <c r="S160" s="117"/>
      <c r="T160" s="117"/>
      <c r="U160" s="150"/>
      <c r="V160" s="117"/>
      <c r="W160" s="117"/>
      <c r="X160" s="117"/>
      <c r="Y160" s="117"/>
      <c r="Z160" s="150"/>
      <c r="AA160" s="117"/>
      <c r="AB160" s="117"/>
      <c r="AC160" s="117"/>
      <c r="AD160" s="117"/>
      <c r="AE160" s="150"/>
      <c r="AF160" s="117"/>
      <c r="AG160" s="117"/>
      <c r="AH160" s="117"/>
      <c r="AI160" s="117"/>
      <c r="AJ160" s="150"/>
      <c r="AK160" s="117"/>
      <c r="AL160" s="117"/>
      <c r="AM160" s="117"/>
      <c r="AN160" s="117"/>
      <c r="AO160" s="975">
        <v>109</v>
      </c>
      <c r="AP160" s="117"/>
      <c r="AQ160" s="117"/>
      <c r="AR160" s="117"/>
      <c r="AS160" s="117"/>
      <c r="AT160" s="975">
        <v>110</v>
      </c>
      <c r="AU160" s="117"/>
      <c r="AV160" s="117"/>
      <c r="AW160" s="117"/>
      <c r="AX160" s="117"/>
      <c r="AY160" s="975">
        <v>110</v>
      </c>
      <c r="AZ160" s="117"/>
      <c r="BA160" s="117"/>
      <c r="BB160" s="117"/>
      <c r="BC160" s="117"/>
      <c r="BD160" s="975">
        <v>110</v>
      </c>
      <c r="BE160" s="117"/>
      <c r="BF160" s="117"/>
      <c r="BG160" s="117"/>
      <c r="BH160" s="117"/>
      <c r="BI160" s="975">
        <v>5</v>
      </c>
      <c r="BJ160" s="117"/>
      <c r="BK160" s="117"/>
      <c r="BL160" s="117"/>
      <c r="BM160" s="117"/>
      <c r="BN160" s="975">
        <v>5</v>
      </c>
      <c r="BO160" s="117"/>
      <c r="BP160" s="117"/>
      <c r="BQ160" s="117"/>
      <c r="BR160" s="117"/>
      <c r="BS160" s="975">
        <v>3</v>
      </c>
      <c r="BT160" s="691"/>
      <c r="BU160" s="117"/>
      <c r="BV160" s="117"/>
      <c r="BW160" s="117"/>
      <c r="BX160" s="150"/>
      <c r="BY160" s="117"/>
      <c r="BZ160" s="117"/>
      <c r="CA160" s="117"/>
      <c r="CB160" s="117"/>
      <c r="CC160" s="150"/>
      <c r="CD160" s="150"/>
      <c r="CE160" s="150"/>
      <c r="CF160" s="150"/>
      <c r="CG160" s="587"/>
    </row>
    <row r="161" spans="1:85" s="460" customFormat="1" ht="14.4" hidden="1" outlineLevel="1" x14ac:dyDescent="0.3">
      <c r="A161" s="591" t="s">
        <v>960</v>
      </c>
      <c r="B161" s="586"/>
      <c r="C161" s="150"/>
      <c r="D161" s="150"/>
      <c r="E161" s="150"/>
      <c r="F161" s="150"/>
      <c r="G161" s="117"/>
      <c r="H161" s="117"/>
      <c r="I161" s="117"/>
      <c r="J161" s="117"/>
      <c r="K161" s="150"/>
      <c r="L161" s="117"/>
      <c r="M161" s="117"/>
      <c r="N161" s="117"/>
      <c r="O161" s="117"/>
      <c r="P161" s="150"/>
      <c r="Q161" s="117"/>
      <c r="R161" s="117"/>
      <c r="S161" s="117"/>
      <c r="T161" s="117"/>
      <c r="U161" s="150"/>
      <c r="V161" s="117"/>
      <c r="W161" s="117"/>
      <c r="X161" s="117"/>
      <c r="Y161" s="117"/>
      <c r="Z161" s="150"/>
      <c r="AA161" s="117"/>
      <c r="AB161" s="117"/>
      <c r="AC161" s="117"/>
      <c r="AD161" s="117"/>
      <c r="AE161" s="150"/>
      <c r="AF161" s="117"/>
      <c r="AG161" s="117"/>
      <c r="AH161" s="117"/>
      <c r="AI161" s="117"/>
      <c r="AJ161" s="150"/>
      <c r="AK161" s="117"/>
      <c r="AL161" s="117"/>
      <c r="AM161" s="117"/>
      <c r="AN161" s="117"/>
      <c r="AO161" s="975">
        <v>6064</v>
      </c>
      <c r="AP161" s="117"/>
      <c r="AQ161" s="117"/>
      <c r="AR161" s="117"/>
      <c r="AS161" s="117"/>
      <c r="AT161" s="975">
        <v>7541</v>
      </c>
      <c r="AU161" s="117"/>
      <c r="AV161" s="117"/>
      <c r="AW161" s="117"/>
      <c r="AX161" s="117"/>
      <c r="AY161" s="975">
        <v>8920</v>
      </c>
      <c r="AZ161" s="117"/>
      <c r="BA161" s="117"/>
      <c r="BB161" s="117"/>
      <c r="BC161" s="117"/>
      <c r="BD161" s="975">
        <v>10689</v>
      </c>
      <c r="BE161" s="117"/>
      <c r="BF161" s="117"/>
      <c r="BG161" s="117"/>
      <c r="BH161" s="117"/>
      <c r="BI161" s="975">
        <v>12082</v>
      </c>
      <c r="BJ161" s="117"/>
      <c r="BK161" s="117"/>
      <c r="BL161" s="117"/>
      <c r="BM161" s="117"/>
      <c r="BN161" s="975">
        <v>14038</v>
      </c>
      <c r="BO161" s="117"/>
      <c r="BP161" s="117"/>
      <c r="BQ161" s="117"/>
      <c r="BR161" s="117"/>
      <c r="BS161" s="975">
        <v>15441</v>
      </c>
      <c r="BT161" s="691"/>
      <c r="BU161" s="117"/>
      <c r="BV161" s="117"/>
      <c r="BW161" s="117"/>
      <c r="BX161" s="150"/>
      <c r="BY161" s="117"/>
      <c r="BZ161" s="117"/>
      <c r="CA161" s="117"/>
      <c r="CB161" s="117"/>
      <c r="CC161" s="150"/>
      <c r="CD161" s="150"/>
      <c r="CE161" s="150"/>
      <c r="CF161" s="150"/>
      <c r="CG161" s="587"/>
    </row>
    <row r="162" spans="1:85" s="460" customFormat="1" ht="14.4" hidden="1" outlineLevel="1" x14ac:dyDescent="0.3">
      <c r="A162" s="592" t="s">
        <v>961</v>
      </c>
      <c r="B162" s="588"/>
      <c r="C162" s="954"/>
      <c r="D162" s="954"/>
      <c r="E162" s="954"/>
      <c r="F162" s="954"/>
      <c r="G162" s="133"/>
      <c r="H162" s="133"/>
      <c r="I162" s="133"/>
      <c r="J162" s="133"/>
      <c r="K162" s="954"/>
      <c r="L162" s="133"/>
      <c r="M162" s="133"/>
      <c r="N162" s="133"/>
      <c r="O162" s="133"/>
      <c r="P162" s="954"/>
      <c r="Q162" s="133"/>
      <c r="R162" s="133"/>
      <c r="S162" s="133"/>
      <c r="T162" s="133"/>
      <c r="U162" s="954"/>
      <c r="V162" s="133"/>
      <c r="W162" s="133"/>
      <c r="X162" s="133"/>
      <c r="Y162" s="133"/>
      <c r="Z162" s="954"/>
      <c r="AA162" s="133"/>
      <c r="AB162" s="133"/>
      <c r="AC162" s="133"/>
      <c r="AD162" s="133"/>
      <c r="AE162" s="954"/>
      <c r="AF162" s="133"/>
      <c r="AG162" s="133"/>
      <c r="AH162" s="133"/>
      <c r="AI162" s="133"/>
      <c r="AJ162" s="954"/>
      <c r="AK162" s="133"/>
      <c r="AL162" s="133"/>
      <c r="AM162" s="133"/>
      <c r="AN162" s="133"/>
      <c r="AO162" s="976">
        <v>2272</v>
      </c>
      <c r="AP162" s="133"/>
      <c r="AQ162" s="133"/>
      <c r="AR162" s="133"/>
      <c r="AS162" s="133"/>
      <c r="AT162" s="976">
        <v>2965</v>
      </c>
      <c r="AU162" s="133"/>
      <c r="AV162" s="133"/>
      <c r="AW162" s="133"/>
      <c r="AX162" s="133"/>
      <c r="AY162" s="976">
        <v>3724</v>
      </c>
      <c r="AZ162" s="133"/>
      <c r="BA162" s="133"/>
      <c r="BB162" s="133"/>
      <c r="BC162" s="133"/>
      <c r="BD162" s="976">
        <v>4644</v>
      </c>
      <c r="BE162" s="133"/>
      <c r="BF162" s="133"/>
      <c r="BG162" s="133"/>
      <c r="BH162" s="133"/>
      <c r="BI162" s="976">
        <v>5478</v>
      </c>
      <c r="BJ162" s="133"/>
      <c r="BK162" s="133"/>
      <c r="BL162" s="133"/>
      <c r="BM162" s="133"/>
      <c r="BN162" s="976">
        <v>6375</v>
      </c>
      <c r="BO162" s="133"/>
      <c r="BP162" s="133"/>
      <c r="BQ162" s="133"/>
      <c r="BR162" s="133"/>
      <c r="BS162" s="976">
        <v>7214</v>
      </c>
      <c r="BT162" s="692"/>
      <c r="BU162" s="133"/>
      <c r="BV162" s="133"/>
      <c r="BW162" s="133"/>
      <c r="BX162" s="954"/>
      <c r="BY162" s="133"/>
      <c r="BZ162" s="133"/>
      <c r="CA162" s="133"/>
      <c r="CB162" s="133"/>
      <c r="CC162" s="954"/>
      <c r="CD162" s="954"/>
      <c r="CE162" s="954"/>
      <c r="CF162" s="954"/>
      <c r="CG162" s="587"/>
    </row>
    <row r="163" spans="1:85" s="460" customFormat="1" ht="14.4" hidden="1" outlineLevel="1" x14ac:dyDescent="0.3">
      <c r="A163" s="593" t="s">
        <v>962</v>
      </c>
      <c r="B163" s="589"/>
      <c r="C163" s="977"/>
      <c r="D163" s="977"/>
      <c r="E163" s="977"/>
      <c r="F163" s="977"/>
      <c r="G163" s="590"/>
      <c r="H163" s="590"/>
      <c r="I163" s="590"/>
      <c r="J163" s="590"/>
      <c r="K163" s="977"/>
      <c r="L163" s="590"/>
      <c r="M163" s="590"/>
      <c r="N163" s="590"/>
      <c r="O163" s="590"/>
      <c r="P163" s="977"/>
      <c r="Q163" s="590"/>
      <c r="R163" s="590"/>
      <c r="S163" s="590"/>
      <c r="T163" s="590"/>
      <c r="U163" s="977"/>
      <c r="V163" s="590"/>
      <c r="W163" s="590"/>
      <c r="X163" s="590"/>
      <c r="Y163" s="590"/>
      <c r="Z163" s="977"/>
      <c r="AA163" s="590"/>
      <c r="AB163" s="590"/>
      <c r="AC163" s="590"/>
      <c r="AD163" s="590"/>
      <c r="AE163" s="977"/>
      <c r="AF163" s="590"/>
      <c r="AG163" s="590"/>
      <c r="AH163" s="590"/>
      <c r="AI163" s="590"/>
      <c r="AJ163" s="977"/>
      <c r="AK163" s="590"/>
      <c r="AL163" s="590"/>
      <c r="AM163" s="590"/>
      <c r="AN163" s="590"/>
      <c r="AO163" s="977">
        <f>SUM(AO160:AO162)</f>
        <v>8445</v>
      </c>
      <c r="AP163" s="590"/>
      <c r="AQ163" s="590"/>
      <c r="AR163" s="590"/>
      <c r="AS163" s="590"/>
      <c r="AT163" s="977">
        <f>SUM(AT160:AT162)</f>
        <v>10616</v>
      </c>
      <c r="AU163" s="590"/>
      <c r="AV163" s="590"/>
      <c r="AW163" s="590"/>
      <c r="AX163" s="590"/>
      <c r="AY163" s="977">
        <f>SUM(AY160:AY162)</f>
        <v>12754</v>
      </c>
      <c r="AZ163" s="590"/>
      <c r="BA163" s="590"/>
      <c r="BB163" s="590"/>
      <c r="BC163" s="590"/>
      <c r="BD163" s="977">
        <f>SUM(BD160:BD162)</f>
        <v>15443</v>
      </c>
      <c r="BE163" s="590"/>
      <c r="BF163" s="590"/>
      <c r="BG163" s="590"/>
      <c r="BH163" s="590"/>
      <c r="BI163" s="977">
        <f>SUM(BI160:BI162)</f>
        <v>17565</v>
      </c>
      <c r="BJ163" s="590"/>
      <c r="BK163" s="590"/>
      <c r="BL163" s="590"/>
      <c r="BM163" s="590"/>
      <c r="BN163" s="977">
        <f>SUM(BN160:BN162)</f>
        <v>20418</v>
      </c>
      <c r="BO163" s="590"/>
      <c r="BP163" s="590"/>
      <c r="BQ163" s="590"/>
      <c r="BR163" s="590"/>
      <c r="BS163" s="977">
        <f>SUM(BS160:BS162)</f>
        <v>22658</v>
      </c>
      <c r="BT163" s="708"/>
      <c r="BU163" s="590"/>
      <c r="BV163" s="590"/>
      <c r="BW163" s="590"/>
      <c r="BX163" s="977"/>
      <c r="BY163" s="590"/>
      <c r="BZ163" s="590"/>
      <c r="CA163" s="590"/>
      <c r="CB163" s="590"/>
      <c r="CC163" s="977"/>
      <c r="CD163" s="977"/>
      <c r="CE163" s="977"/>
      <c r="CF163" s="977"/>
      <c r="CG163" s="587"/>
    </row>
    <row r="164" spans="1:85" s="461" customFormat="1" ht="14.4" hidden="1" outlineLevel="1" x14ac:dyDescent="0.3">
      <c r="A164" s="166" t="s">
        <v>963</v>
      </c>
      <c r="B164" s="583"/>
      <c r="C164" s="957"/>
      <c r="D164" s="957"/>
      <c r="E164" s="957"/>
      <c r="F164" s="957"/>
      <c r="G164" s="120"/>
      <c r="H164" s="120"/>
      <c r="I164" s="120"/>
      <c r="J164" s="120"/>
      <c r="K164" s="957"/>
      <c r="L164" s="120"/>
      <c r="M164" s="120"/>
      <c r="N164" s="120"/>
      <c r="O164" s="120"/>
      <c r="P164" s="957"/>
      <c r="Q164" s="120"/>
      <c r="R164" s="120"/>
      <c r="S164" s="120"/>
      <c r="T164" s="120"/>
      <c r="U164" s="957"/>
      <c r="V164" s="120"/>
      <c r="W164" s="120"/>
      <c r="X164" s="120"/>
      <c r="Y164" s="120"/>
      <c r="Z164" s="957"/>
      <c r="AA164" s="120"/>
      <c r="AB164" s="120"/>
      <c r="AC164" s="120"/>
      <c r="AD164" s="120"/>
      <c r="AE164" s="957"/>
      <c r="AF164" s="120"/>
      <c r="AG164" s="120"/>
      <c r="AH164" s="120"/>
      <c r="AI164" s="120"/>
      <c r="AJ164" s="957"/>
      <c r="AK164" s="120"/>
      <c r="AL164" s="120"/>
      <c r="AM164" s="120"/>
      <c r="AN164" s="120"/>
      <c r="AO164" s="957">
        <f>AO159-AO163</f>
        <v>36528</v>
      </c>
      <c r="AP164" s="120"/>
      <c r="AQ164" s="120"/>
      <c r="AR164" s="120"/>
      <c r="AS164" s="120"/>
      <c r="AT164" s="957">
        <f>AT159-AT163</f>
        <v>34891</v>
      </c>
      <c r="AU164" s="120"/>
      <c r="AV164" s="120"/>
      <c r="AW164" s="120"/>
      <c r="AX164" s="120"/>
      <c r="AY164" s="957">
        <f>AY159-AY163</f>
        <v>33116</v>
      </c>
      <c r="AZ164" s="120"/>
      <c r="BA164" s="120"/>
      <c r="BB164" s="120"/>
      <c r="BC164" s="120"/>
      <c r="BD164" s="957">
        <f>BD159-BD163</f>
        <v>31565</v>
      </c>
      <c r="BE164" s="120"/>
      <c r="BF164" s="120"/>
      <c r="BG164" s="120"/>
      <c r="BH164" s="120"/>
      <c r="BI164" s="957">
        <f>BI159-BI163</f>
        <v>29865</v>
      </c>
      <c r="BJ164" s="120"/>
      <c r="BK164" s="120"/>
      <c r="BL164" s="120"/>
      <c r="BM164" s="120"/>
      <c r="BN164" s="957">
        <f>BN159-BN163</f>
        <v>27841</v>
      </c>
      <c r="BO164" s="120"/>
      <c r="BP164" s="120"/>
      <c r="BQ164" s="120"/>
      <c r="BR164" s="120"/>
      <c r="BS164" s="957">
        <f>BS159-BS163</f>
        <v>26492</v>
      </c>
      <c r="BT164" s="694"/>
      <c r="BU164" s="120"/>
      <c r="BV164" s="120"/>
      <c r="BW164" s="120"/>
      <c r="BX164" s="957"/>
      <c r="BY164" s="120"/>
      <c r="BZ164" s="120"/>
      <c r="CA164" s="120"/>
      <c r="CB164" s="120"/>
      <c r="CC164" s="957"/>
      <c r="CD164" s="957"/>
      <c r="CE164" s="957"/>
      <c r="CF164" s="957"/>
      <c r="CG164" s="615"/>
    </row>
    <row r="165" spans="1:85" s="460" customFormat="1" ht="14.4" hidden="1" outlineLevel="1" x14ac:dyDescent="0.3">
      <c r="A165" s="591" t="s">
        <v>964</v>
      </c>
      <c r="B165" s="586"/>
      <c r="C165" s="150"/>
      <c r="D165" s="150"/>
      <c r="E165" s="150"/>
      <c r="F165" s="150"/>
      <c r="G165" s="117"/>
      <c r="H165" s="117"/>
      <c r="I165" s="117"/>
      <c r="J165" s="117"/>
      <c r="K165" s="150"/>
      <c r="L165" s="117"/>
      <c r="M165" s="117"/>
      <c r="N165" s="117"/>
      <c r="O165" s="117"/>
      <c r="P165" s="150"/>
      <c r="Q165" s="117"/>
      <c r="R165" s="117"/>
      <c r="S165" s="117"/>
      <c r="T165" s="117"/>
      <c r="U165" s="150"/>
      <c r="V165" s="117"/>
      <c r="W165" s="117"/>
      <c r="X165" s="117"/>
      <c r="Y165" s="117"/>
      <c r="Z165" s="150"/>
      <c r="AA165" s="117"/>
      <c r="AB165" s="117"/>
      <c r="AC165" s="117"/>
      <c r="AD165" s="117"/>
      <c r="AE165" s="150"/>
      <c r="AF165" s="117"/>
      <c r="AG165" s="117"/>
      <c r="AH165" s="117"/>
      <c r="AI165" s="117"/>
      <c r="AJ165" s="150"/>
      <c r="AK165" s="117"/>
      <c r="AL165" s="117"/>
      <c r="AM165" s="117"/>
      <c r="AN165" s="117"/>
      <c r="AO165" s="975">
        <v>0</v>
      </c>
      <c r="AP165" s="117"/>
      <c r="AQ165" s="117"/>
      <c r="AR165" s="117"/>
      <c r="AS165" s="117"/>
      <c r="AT165" s="975">
        <v>0</v>
      </c>
      <c r="AU165" s="117"/>
      <c r="AV165" s="117"/>
      <c r="AW165" s="117"/>
      <c r="AX165" s="117"/>
      <c r="AY165" s="975">
        <v>0</v>
      </c>
      <c r="AZ165" s="117"/>
      <c r="BA165" s="117"/>
      <c r="BB165" s="117"/>
      <c r="BC165" s="117"/>
      <c r="BD165" s="975">
        <v>0</v>
      </c>
      <c r="BE165" s="117"/>
      <c r="BF165" s="117"/>
      <c r="BG165" s="117"/>
      <c r="BH165" s="117"/>
      <c r="BI165" s="975">
        <v>0</v>
      </c>
      <c r="BJ165" s="117"/>
      <c r="BK165" s="117"/>
      <c r="BL165" s="117"/>
      <c r="BM165" s="117"/>
      <c r="BN165" s="975">
        <v>0</v>
      </c>
      <c r="BO165" s="117"/>
      <c r="BP165" s="117"/>
      <c r="BQ165" s="117"/>
      <c r="BR165" s="117"/>
      <c r="BS165" s="975">
        <v>0</v>
      </c>
      <c r="BT165" s="691"/>
      <c r="BU165" s="117"/>
      <c r="BV165" s="117"/>
      <c r="BW165" s="117"/>
      <c r="BX165" s="150"/>
      <c r="BY165" s="117"/>
      <c r="BZ165" s="117"/>
      <c r="CA165" s="117"/>
      <c r="CB165" s="117"/>
      <c r="CC165" s="150"/>
      <c r="CD165" s="150"/>
      <c r="CE165" s="150"/>
      <c r="CF165" s="150"/>
      <c r="CG165" s="587"/>
    </row>
    <row r="166" spans="1:85" s="460" customFormat="1" ht="14.4" hidden="1" outlineLevel="1" x14ac:dyDescent="0.3">
      <c r="A166" s="591" t="s">
        <v>965</v>
      </c>
      <c r="B166" s="586"/>
      <c r="C166" s="150"/>
      <c r="D166" s="150"/>
      <c r="E166" s="150"/>
      <c r="F166" s="150"/>
      <c r="G166" s="117"/>
      <c r="H166" s="117"/>
      <c r="I166" s="117"/>
      <c r="J166" s="117"/>
      <c r="K166" s="150"/>
      <c r="L166" s="117"/>
      <c r="M166" s="117"/>
      <c r="N166" s="117"/>
      <c r="O166" s="117"/>
      <c r="P166" s="150"/>
      <c r="Q166" s="117"/>
      <c r="R166" s="117"/>
      <c r="S166" s="117"/>
      <c r="T166" s="117"/>
      <c r="U166" s="150"/>
      <c r="V166" s="117"/>
      <c r="W166" s="117"/>
      <c r="X166" s="117"/>
      <c r="Y166" s="117"/>
      <c r="Z166" s="150"/>
      <c r="AA166" s="117"/>
      <c r="AB166" s="117"/>
      <c r="AC166" s="117"/>
      <c r="AD166" s="117"/>
      <c r="AE166" s="150"/>
      <c r="AF166" s="117"/>
      <c r="AG166" s="117"/>
      <c r="AH166" s="117"/>
      <c r="AI166" s="117"/>
      <c r="AJ166" s="150"/>
      <c r="AK166" s="117"/>
      <c r="AL166" s="117"/>
      <c r="AM166" s="117"/>
      <c r="AN166" s="117"/>
      <c r="AO166" s="975">
        <v>2082</v>
      </c>
      <c r="AP166" s="117"/>
      <c r="AQ166" s="117"/>
      <c r="AR166" s="117"/>
      <c r="AS166" s="117"/>
      <c r="AT166" s="975">
        <v>2117</v>
      </c>
      <c r="AU166" s="117"/>
      <c r="AV166" s="117"/>
      <c r="AW166" s="117"/>
      <c r="AX166" s="117"/>
      <c r="AY166" s="975">
        <v>2156</v>
      </c>
      <c r="AZ166" s="117"/>
      <c r="BA166" s="117"/>
      <c r="BB166" s="117"/>
      <c r="BC166" s="117"/>
      <c r="BD166" s="975">
        <v>2186</v>
      </c>
      <c r="BE166" s="117"/>
      <c r="BF166" s="117"/>
      <c r="BG166" s="117"/>
      <c r="BH166" s="117"/>
      <c r="BI166" s="975">
        <v>2228</v>
      </c>
      <c r="BJ166" s="117"/>
      <c r="BK166" s="117"/>
      <c r="BL166" s="117"/>
      <c r="BM166" s="117"/>
      <c r="BN166" s="975">
        <v>2283</v>
      </c>
      <c r="BO166" s="117"/>
      <c r="BP166" s="117"/>
      <c r="BQ166" s="117"/>
      <c r="BR166" s="117"/>
      <c r="BS166" s="975">
        <v>2376</v>
      </c>
      <c r="BT166" s="691"/>
      <c r="BU166" s="117"/>
      <c r="BV166" s="117"/>
      <c r="BW166" s="117"/>
      <c r="BX166" s="150"/>
      <c r="BY166" s="117"/>
      <c r="BZ166" s="117"/>
      <c r="CA166" s="117"/>
      <c r="CB166" s="117"/>
      <c r="CC166" s="150"/>
      <c r="CD166" s="150"/>
      <c r="CE166" s="150"/>
      <c r="CF166" s="150"/>
      <c r="CG166" s="587"/>
    </row>
    <row r="167" spans="1:85" s="460" customFormat="1" ht="14.4" hidden="1" outlineLevel="1" x14ac:dyDescent="0.3">
      <c r="A167" s="591" t="s">
        <v>966</v>
      </c>
      <c r="B167" s="586"/>
      <c r="C167" s="150"/>
      <c r="D167" s="150"/>
      <c r="E167" s="150"/>
      <c r="F167" s="150"/>
      <c r="G167" s="117"/>
      <c r="H167" s="117"/>
      <c r="I167" s="117"/>
      <c r="J167" s="117"/>
      <c r="K167" s="150"/>
      <c r="L167" s="117"/>
      <c r="M167" s="117"/>
      <c r="N167" s="117"/>
      <c r="O167" s="117"/>
      <c r="P167" s="150"/>
      <c r="Q167" s="117"/>
      <c r="R167" s="117"/>
      <c r="S167" s="117"/>
      <c r="T167" s="117"/>
      <c r="U167" s="150"/>
      <c r="V167" s="117"/>
      <c r="W167" s="117"/>
      <c r="X167" s="117"/>
      <c r="Y167" s="117"/>
      <c r="Z167" s="150"/>
      <c r="AA167" s="117"/>
      <c r="AB167" s="117"/>
      <c r="AC167" s="117"/>
      <c r="AD167" s="117"/>
      <c r="AE167" s="150"/>
      <c r="AF167" s="117"/>
      <c r="AG167" s="117"/>
      <c r="AH167" s="117"/>
      <c r="AI167" s="117"/>
      <c r="AJ167" s="150"/>
      <c r="AK167" s="117"/>
      <c r="AL167" s="117"/>
      <c r="AM167" s="117"/>
      <c r="AN167" s="117"/>
      <c r="AO167" s="975">
        <v>0</v>
      </c>
      <c r="AP167" s="117"/>
      <c r="AQ167" s="117"/>
      <c r="AR167" s="117"/>
      <c r="AS167" s="117"/>
      <c r="AT167" s="975">
        <v>0</v>
      </c>
      <c r="AU167" s="117"/>
      <c r="AV167" s="117"/>
      <c r="AW167" s="117"/>
      <c r="AX167" s="117"/>
      <c r="AY167" s="975">
        <v>0</v>
      </c>
      <c r="AZ167" s="117"/>
      <c r="BA167" s="117"/>
      <c r="BB167" s="117"/>
      <c r="BC167" s="117"/>
      <c r="BD167" s="975">
        <v>0</v>
      </c>
      <c r="BE167" s="117"/>
      <c r="BF167" s="117"/>
      <c r="BG167" s="117"/>
      <c r="BH167" s="117"/>
      <c r="BI167" s="975">
        <v>0</v>
      </c>
      <c r="BJ167" s="117"/>
      <c r="BK167" s="117"/>
      <c r="BL167" s="117"/>
      <c r="BM167" s="117"/>
      <c r="BN167" s="975">
        <v>0</v>
      </c>
      <c r="BO167" s="117"/>
      <c r="BP167" s="117"/>
      <c r="BQ167" s="117"/>
      <c r="BR167" s="117"/>
      <c r="BS167" s="975">
        <v>0</v>
      </c>
      <c r="BT167" s="691"/>
      <c r="BU167" s="117"/>
      <c r="BV167" s="117"/>
      <c r="BW167" s="117"/>
      <c r="BX167" s="150"/>
      <c r="BY167" s="117"/>
      <c r="BZ167" s="117"/>
      <c r="CA167" s="117"/>
      <c r="CB167" s="117"/>
      <c r="CC167" s="150"/>
      <c r="CD167" s="150"/>
      <c r="CE167" s="150"/>
      <c r="CF167" s="150"/>
      <c r="CG167" s="587"/>
    </row>
    <row r="168" spans="1:85" s="460" customFormat="1" ht="14.4" hidden="1" outlineLevel="1" x14ac:dyDescent="0.3">
      <c r="A168" s="591" t="s">
        <v>967</v>
      </c>
      <c r="B168" s="586"/>
      <c r="C168" s="150"/>
      <c r="D168" s="150"/>
      <c r="E168" s="150"/>
      <c r="F168" s="150"/>
      <c r="G168" s="117"/>
      <c r="H168" s="117"/>
      <c r="I168" s="117"/>
      <c r="J168" s="117"/>
      <c r="K168" s="150"/>
      <c r="L168" s="117"/>
      <c r="M168" s="117"/>
      <c r="N168" s="117"/>
      <c r="O168" s="117"/>
      <c r="P168" s="150"/>
      <c r="Q168" s="117"/>
      <c r="R168" s="117"/>
      <c r="S168" s="117"/>
      <c r="T168" s="117"/>
      <c r="U168" s="150"/>
      <c r="V168" s="117"/>
      <c r="W168" s="117"/>
      <c r="X168" s="117"/>
      <c r="Y168" s="117"/>
      <c r="Z168" s="150"/>
      <c r="AA168" s="117"/>
      <c r="AB168" s="117"/>
      <c r="AC168" s="117"/>
      <c r="AD168" s="117"/>
      <c r="AE168" s="150"/>
      <c r="AF168" s="117"/>
      <c r="AG168" s="117"/>
      <c r="AH168" s="117"/>
      <c r="AI168" s="117"/>
      <c r="AJ168" s="150"/>
      <c r="AK168" s="117"/>
      <c r="AL168" s="117"/>
      <c r="AM168" s="117"/>
      <c r="AN168" s="117"/>
      <c r="AO168" s="975">
        <v>121</v>
      </c>
      <c r="AP168" s="117"/>
      <c r="AQ168" s="117"/>
      <c r="AR168" s="117"/>
      <c r="AS168" s="117"/>
      <c r="AT168" s="975">
        <v>108</v>
      </c>
      <c r="AU168" s="117"/>
      <c r="AV168" s="117"/>
      <c r="AW168" s="117"/>
      <c r="AX168" s="117"/>
      <c r="AY168" s="975">
        <v>74</v>
      </c>
      <c r="AZ168" s="117"/>
      <c r="BA168" s="117"/>
      <c r="BB168" s="117"/>
      <c r="BC168" s="117"/>
      <c r="BD168" s="975">
        <v>74</v>
      </c>
      <c r="BE168" s="117"/>
      <c r="BF168" s="117"/>
      <c r="BG168" s="117"/>
      <c r="BH168" s="117"/>
      <c r="BI168" s="975">
        <v>74</v>
      </c>
      <c r="BJ168" s="117"/>
      <c r="BK168" s="117"/>
      <c r="BL168" s="117"/>
      <c r="BM168" s="117"/>
      <c r="BN168" s="975">
        <v>74</v>
      </c>
      <c r="BO168" s="117"/>
      <c r="BP168" s="117"/>
      <c r="BQ168" s="117"/>
      <c r="BR168" s="117"/>
      <c r="BS168" s="975">
        <v>74</v>
      </c>
      <c r="BT168" s="691"/>
      <c r="BU168" s="117"/>
      <c r="BV168" s="117"/>
      <c r="BW168" s="117"/>
      <c r="BX168" s="150"/>
      <c r="BY168" s="117"/>
      <c r="BZ168" s="117"/>
      <c r="CA168" s="117"/>
      <c r="CB168" s="117"/>
      <c r="CC168" s="150"/>
      <c r="CD168" s="150"/>
      <c r="CE168" s="150"/>
      <c r="CF168" s="150"/>
      <c r="CG168" s="587"/>
    </row>
    <row r="169" spans="1:85" s="460" customFormat="1" ht="14.4" hidden="1" outlineLevel="1" x14ac:dyDescent="0.3">
      <c r="A169" s="592" t="s">
        <v>968</v>
      </c>
      <c r="B169" s="588"/>
      <c r="C169" s="954"/>
      <c r="D169" s="954"/>
      <c r="E169" s="954"/>
      <c r="F169" s="954"/>
      <c r="G169" s="133"/>
      <c r="H169" s="133"/>
      <c r="I169" s="133"/>
      <c r="J169" s="133"/>
      <c r="K169" s="954"/>
      <c r="L169" s="133"/>
      <c r="M169" s="133"/>
      <c r="N169" s="133"/>
      <c r="O169" s="133"/>
      <c r="P169" s="954"/>
      <c r="Q169" s="133"/>
      <c r="R169" s="133"/>
      <c r="S169" s="133"/>
      <c r="T169" s="133"/>
      <c r="U169" s="954"/>
      <c r="V169" s="133"/>
      <c r="W169" s="133"/>
      <c r="X169" s="133"/>
      <c r="Y169" s="133"/>
      <c r="Z169" s="954"/>
      <c r="AA169" s="133"/>
      <c r="AB169" s="133"/>
      <c r="AC169" s="133"/>
      <c r="AD169" s="133"/>
      <c r="AE169" s="954"/>
      <c r="AF169" s="133"/>
      <c r="AG169" s="133"/>
      <c r="AH169" s="133"/>
      <c r="AI169" s="133"/>
      <c r="AJ169" s="954"/>
      <c r="AK169" s="133"/>
      <c r="AL169" s="133"/>
      <c r="AM169" s="133"/>
      <c r="AN169" s="133"/>
      <c r="AO169" s="976">
        <v>15</v>
      </c>
      <c r="AP169" s="133"/>
      <c r="AQ169" s="133"/>
      <c r="AR169" s="133"/>
      <c r="AS169" s="133"/>
      <c r="AT169" s="976">
        <v>20</v>
      </c>
      <c r="AU169" s="133"/>
      <c r="AV169" s="133"/>
      <c r="AW169" s="133"/>
      <c r="AX169" s="133"/>
      <c r="AY169" s="976">
        <v>24</v>
      </c>
      <c r="AZ169" s="133"/>
      <c r="BA169" s="133"/>
      <c r="BB169" s="133"/>
      <c r="BC169" s="133"/>
      <c r="BD169" s="976">
        <v>30</v>
      </c>
      <c r="BE169" s="133"/>
      <c r="BF169" s="133"/>
      <c r="BG169" s="133"/>
      <c r="BH169" s="133"/>
      <c r="BI169" s="976">
        <v>52</v>
      </c>
      <c r="BJ169" s="133"/>
      <c r="BK169" s="133"/>
      <c r="BL169" s="133"/>
      <c r="BM169" s="133"/>
      <c r="BN169" s="976">
        <v>69</v>
      </c>
      <c r="BO169" s="133"/>
      <c r="BP169" s="133"/>
      <c r="BQ169" s="133"/>
      <c r="BR169" s="133"/>
      <c r="BS169" s="976">
        <v>29</v>
      </c>
      <c r="BT169" s="692"/>
      <c r="BU169" s="133"/>
      <c r="BV169" s="133"/>
      <c r="BW169" s="133"/>
      <c r="BX169" s="954"/>
      <c r="BY169" s="133"/>
      <c r="BZ169" s="133"/>
      <c r="CA169" s="133"/>
      <c r="CB169" s="133"/>
      <c r="CC169" s="954"/>
      <c r="CD169" s="954"/>
      <c r="CE169" s="954"/>
      <c r="CF169" s="954"/>
      <c r="CG169" s="587"/>
    </row>
    <row r="170" spans="1:85" s="460" customFormat="1" ht="14.4" hidden="1" outlineLevel="1" x14ac:dyDescent="0.3">
      <c r="A170" s="159" t="s">
        <v>969</v>
      </c>
      <c r="B170" s="586"/>
      <c r="C170" s="150"/>
      <c r="D170" s="150"/>
      <c r="E170" s="150"/>
      <c r="F170" s="150"/>
      <c r="G170" s="117"/>
      <c r="H170" s="117"/>
      <c r="I170" s="117"/>
      <c r="J170" s="117"/>
      <c r="K170" s="150"/>
      <c r="L170" s="117"/>
      <c r="M170" s="117"/>
      <c r="N170" s="117"/>
      <c r="O170" s="117"/>
      <c r="P170" s="150"/>
      <c r="Q170" s="117"/>
      <c r="R170" s="117"/>
      <c r="S170" s="117"/>
      <c r="T170" s="117"/>
      <c r="U170" s="150"/>
      <c r="V170" s="117"/>
      <c r="W170" s="117"/>
      <c r="X170" s="117"/>
      <c r="Y170" s="117"/>
      <c r="Z170" s="150"/>
      <c r="AA170" s="117"/>
      <c r="AB170" s="117"/>
      <c r="AC170" s="117"/>
      <c r="AD170" s="117"/>
      <c r="AE170" s="150"/>
      <c r="AF170" s="117"/>
      <c r="AG170" s="117"/>
      <c r="AH170" s="117"/>
      <c r="AI170" s="117"/>
      <c r="AJ170" s="150"/>
      <c r="AK170" s="117"/>
      <c r="AL170" s="117"/>
      <c r="AM170" s="117"/>
      <c r="AN170" s="117"/>
      <c r="AO170" s="150">
        <f>SUM(AO165:AO169)</f>
        <v>2218</v>
      </c>
      <c r="AP170" s="117"/>
      <c r="AQ170" s="117"/>
      <c r="AR170" s="117"/>
      <c r="AS170" s="117"/>
      <c r="AT170" s="150">
        <f>SUM(AT165:AT169)</f>
        <v>2245</v>
      </c>
      <c r="AU170" s="117"/>
      <c r="AV170" s="117"/>
      <c r="AW170" s="117"/>
      <c r="AX170" s="117"/>
      <c r="AY170" s="150">
        <f>SUM(AY165:AY169)</f>
        <v>2254</v>
      </c>
      <c r="AZ170" s="117"/>
      <c r="BA170" s="117"/>
      <c r="BB170" s="117"/>
      <c r="BC170" s="117"/>
      <c r="BD170" s="150">
        <f>SUM(BD165:BD169)</f>
        <v>2290</v>
      </c>
      <c r="BE170" s="117"/>
      <c r="BF170" s="117"/>
      <c r="BG170" s="117"/>
      <c r="BH170" s="117"/>
      <c r="BI170" s="150">
        <f>SUM(BI165:BI169)</f>
        <v>2354</v>
      </c>
      <c r="BJ170" s="117"/>
      <c r="BK170" s="117"/>
      <c r="BL170" s="117"/>
      <c r="BM170" s="117"/>
      <c r="BN170" s="150">
        <f>SUM(BN165:BN169)</f>
        <v>2426</v>
      </c>
      <c r="BO170" s="117"/>
      <c r="BP170" s="117"/>
      <c r="BQ170" s="117"/>
      <c r="BR170" s="117"/>
      <c r="BS170" s="150">
        <f>SUM(BS165:BS169)</f>
        <v>2479</v>
      </c>
      <c r="BT170" s="691"/>
      <c r="BU170" s="117"/>
      <c r="BV170" s="117"/>
      <c r="BW170" s="117"/>
      <c r="BX170" s="150"/>
      <c r="BY170" s="117"/>
      <c r="BZ170" s="117"/>
      <c r="CA170" s="117"/>
      <c r="CB170" s="117"/>
      <c r="CC170" s="150"/>
      <c r="CD170" s="150"/>
      <c r="CE170" s="150"/>
      <c r="CF170" s="150"/>
      <c r="CG170" s="587"/>
    </row>
    <row r="171" spans="1:85" s="460" customFormat="1" ht="14.4" hidden="1" outlineLevel="1" x14ac:dyDescent="0.3">
      <c r="A171" s="591" t="s">
        <v>970</v>
      </c>
      <c r="B171" s="586"/>
      <c r="C171" s="150"/>
      <c r="D171" s="150"/>
      <c r="E171" s="150"/>
      <c r="F171" s="150"/>
      <c r="G171" s="117"/>
      <c r="H171" s="117"/>
      <c r="I171" s="117"/>
      <c r="J171" s="117"/>
      <c r="K171" s="150"/>
      <c r="L171" s="117"/>
      <c r="M171" s="117"/>
      <c r="N171" s="117"/>
      <c r="O171" s="117"/>
      <c r="P171" s="150"/>
      <c r="Q171" s="117"/>
      <c r="R171" s="117"/>
      <c r="S171" s="117"/>
      <c r="T171" s="117"/>
      <c r="U171" s="150"/>
      <c r="V171" s="117"/>
      <c r="W171" s="117"/>
      <c r="X171" s="117"/>
      <c r="Y171" s="117"/>
      <c r="Z171" s="150"/>
      <c r="AA171" s="117"/>
      <c r="AB171" s="117"/>
      <c r="AC171" s="117"/>
      <c r="AD171" s="117"/>
      <c r="AE171" s="150"/>
      <c r="AF171" s="117"/>
      <c r="AG171" s="117"/>
      <c r="AH171" s="117"/>
      <c r="AI171" s="117"/>
      <c r="AJ171" s="150"/>
      <c r="AK171" s="117"/>
      <c r="AL171" s="117"/>
      <c r="AM171" s="117"/>
      <c r="AN171" s="117"/>
      <c r="AO171" s="975">
        <v>0</v>
      </c>
      <c r="AP171" s="117"/>
      <c r="AQ171" s="117"/>
      <c r="AR171" s="117"/>
      <c r="AS171" s="117"/>
      <c r="AT171" s="975">
        <v>0</v>
      </c>
      <c r="AU171" s="117"/>
      <c r="AV171" s="117"/>
      <c r="AW171" s="117"/>
      <c r="AX171" s="117"/>
      <c r="AY171" s="975">
        <v>0</v>
      </c>
      <c r="AZ171" s="117"/>
      <c r="BA171" s="117"/>
      <c r="BB171" s="117"/>
      <c r="BC171" s="117"/>
      <c r="BD171" s="975">
        <v>0</v>
      </c>
      <c r="BE171" s="117"/>
      <c r="BF171" s="117"/>
      <c r="BG171" s="117"/>
      <c r="BH171" s="117"/>
      <c r="BI171" s="975">
        <v>0</v>
      </c>
      <c r="BJ171" s="117"/>
      <c r="BK171" s="117"/>
      <c r="BL171" s="117"/>
      <c r="BM171" s="117"/>
      <c r="BN171" s="975">
        <v>0</v>
      </c>
      <c r="BO171" s="117"/>
      <c r="BP171" s="117"/>
      <c r="BQ171" s="117"/>
      <c r="BR171" s="117"/>
      <c r="BS171" s="975">
        <v>0</v>
      </c>
      <c r="BT171" s="691"/>
      <c r="BU171" s="117"/>
      <c r="BV171" s="117"/>
      <c r="BW171" s="117"/>
      <c r="BX171" s="150"/>
      <c r="BY171" s="117"/>
      <c r="BZ171" s="117"/>
      <c r="CA171" s="117"/>
      <c r="CB171" s="117"/>
      <c r="CC171" s="150"/>
      <c r="CD171" s="150"/>
      <c r="CE171" s="150"/>
      <c r="CF171" s="150"/>
      <c r="CG171" s="587"/>
    </row>
    <row r="172" spans="1:85" s="460" customFormat="1" ht="14.4" hidden="1" outlineLevel="1" x14ac:dyDescent="0.3">
      <c r="A172" s="591" t="s">
        <v>971</v>
      </c>
      <c r="B172" s="586"/>
      <c r="C172" s="150"/>
      <c r="D172" s="150"/>
      <c r="E172" s="150"/>
      <c r="F172" s="150"/>
      <c r="G172" s="117"/>
      <c r="H172" s="117"/>
      <c r="I172" s="117"/>
      <c r="J172" s="117"/>
      <c r="K172" s="150"/>
      <c r="L172" s="117"/>
      <c r="M172" s="117"/>
      <c r="N172" s="117"/>
      <c r="O172" s="117"/>
      <c r="P172" s="150"/>
      <c r="Q172" s="117"/>
      <c r="R172" s="117"/>
      <c r="S172" s="117"/>
      <c r="T172" s="117"/>
      <c r="U172" s="150"/>
      <c r="V172" s="117"/>
      <c r="W172" s="117"/>
      <c r="X172" s="117"/>
      <c r="Y172" s="117"/>
      <c r="Z172" s="150"/>
      <c r="AA172" s="117"/>
      <c r="AB172" s="117"/>
      <c r="AC172" s="117"/>
      <c r="AD172" s="117"/>
      <c r="AE172" s="150"/>
      <c r="AF172" s="117"/>
      <c r="AG172" s="117"/>
      <c r="AH172" s="117"/>
      <c r="AI172" s="117"/>
      <c r="AJ172" s="150"/>
      <c r="AK172" s="117"/>
      <c r="AL172" s="117"/>
      <c r="AM172" s="117"/>
      <c r="AN172" s="117"/>
      <c r="AO172" s="975">
        <v>404</v>
      </c>
      <c r="AP172" s="117"/>
      <c r="AQ172" s="117"/>
      <c r="AR172" s="117"/>
      <c r="AS172" s="117"/>
      <c r="AT172" s="975">
        <v>498</v>
      </c>
      <c r="AU172" s="117"/>
      <c r="AV172" s="117"/>
      <c r="AW172" s="117"/>
      <c r="AX172" s="117"/>
      <c r="AY172" s="975">
        <v>602</v>
      </c>
      <c r="AZ172" s="117"/>
      <c r="BA172" s="117"/>
      <c r="BB172" s="117"/>
      <c r="BC172" s="117"/>
      <c r="BD172" s="975">
        <v>720</v>
      </c>
      <c r="BE172" s="117"/>
      <c r="BF172" s="117"/>
      <c r="BG172" s="117"/>
      <c r="BH172" s="117"/>
      <c r="BI172" s="975">
        <v>834</v>
      </c>
      <c r="BJ172" s="117"/>
      <c r="BK172" s="117"/>
      <c r="BL172" s="117"/>
      <c r="BM172" s="117"/>
      <c r="BN172" s="975">
        <v>956</v>
      </c>
      <c r="BO172" s="117"/>
      <c r="BP172" s="117"/>
      <c r="BQ172" s="117"/>
      <c r="BR172" s="117"/>
      <c r="BS172" s="975">
        <v>1083</v>
      </c>
      <c r="BT172" s="691"/>
      <c r="BU172" s="117"/>
      <c r="BV172" s="117"/>
      <c r="BW172" s="117"/>
      <c r="BX172" s="150"/>
      <c r="BY172" s="117"/>
      <c r="BZ172" s="117"/>
      <c r="CA172" s="117"/>
      <c r="CB172" s="117"/>
      <c r="CC172" s="150"/>
      <c r="CD172" s="150"/>
      <c r="CE172" s="150"/>
      <c r="CF172" s="150"/>
      <c r="CG172" s="587"/>
    </row>
    <row r="173" spans="1:85" s="460" customFormat="1" ht="14.4" hidden="1" outlineLevel="1" x14ac:dyDescent="0.3">
      <c r="A173" s="592" t="s">
        <v>972</v>
      </c>
      <c r="B173" s="588"/>
      <c r="C173" s="954"/>
      <c r="D173" s="954"/>
      <c r="E173" s="954"/>
      <c r="F173" s="954"/>
      <c r="G173" s="133"/>
      <c r="H173" s="133"/>
      <c r="I173" s="133"/>
      <c r="J173" s="133"/>
      <c r="K173" s="954"/>
      <c r="L173" s="133"/>
      <c r="M173" s="133"/>
      <c r="N173" s="133"/>
      <c r="O173" s="133"/>
      <c r="P173" s="954"/>
      <c r="Q173" s="133"/>
      <c r="R173" s="133"/>
      <c r="S173" s="133"/>
      <c r="T173" s="133"/>
      <c r="U173" s="954"/>
      <c r="V173" s="133"/>
      <c r="W173" s="133"/>
      <c r="X173" s="133"/>
      <c r="Y173" s="133"/>
      <c r="Z173" s="954"/>
      <c r="AA173" s="133"/>
      <c r="AB173" s="133"/>
      <c r="AC173" s="133"/>
      <c r="AD173" s="133"/>
      <c r="AE173" s="954"/>
      <c r="AF173" s="133"/>
      <c r="AG173" s="133"/>
      <c r="AH173" s="133"/>
      <c r="AI173" s="133"/>
      <c r="AJ173" s="954"/>
      <c r="AK173" s="133"/>
      <c r="AL173" s="133"/>
      <c r="AM173" s="133"/>
      <c r="AN173" s="133"/>
      <c r="AO173" s="976">
        <v>0</v>
      </c>
      <c r="AP173" s="133"/>
      <c r="AQ173" s="133"/>
      <c r="AR173" s="133"/>
      <c r="AS173" s="133"/>
      <c r="AT173" s="976">
        <v>0</v>
      </c>
      <c r="AU173" s="133"/>
      <c r="AV173" s="133"/>
      <c r="AW173" s="133"/>
      <c r="AX173" s="133"/>
      <c r="AY173" s="976">
        <v>0</v>
      </c>
      <c r="AZ173" s="133"/>
      <c r="BA173" s="133"/>
      <c r="BB173" s="133"/>
      <c r="BC173" s="133"/>
      <c r="BD173" s="976">
        <v>0</v>
      </c>
      <c r="BE173" s="133"/>
      <c r="BF173" s="133"/>
      <c r="BG173" s="133"/>
      <c r="BH173" s="133"/>
      <c r="BI173" s="976">
        <v>0</v>
      </c>
      <c r="BJ173" s="133"/>
      <c r="BK173" s="133"/>
      <c r="BL173" s="133"/>
      <c r="BM173" s="133"/>
      <c r="BN173" s="976">
        <v>0</v>
      </c>
      <c r="BO173" s="133"/>
      <c r="BP173" s="133"/>
      <c r="BQ173" s="133"/>
      <c r="BR173" s="133"/>
      <c r="BS173" s="976">
        <v>0</v>
      </c>
      <c r="BT173" s="692"/>
      <c r="BU173" s="133"/>
      <c r="BV173" s="133"/>
      <c r="BW173" s="133"/>
      <c r="BX173" s="954"/>
      <c r="BY173" s="133"/>
      <c r="BZ173" s="133"/>
      <c r="CA173" s="133"/>
      <c r="CB173" s="133"/>
      <c r="CC173" s="954"/>
      <c r="CD173" s="954"/>
      <c r="CE173" s="954"/>
      <c r="CF173" s="954"/>
      <c r="CG173" s="587"/>
    </row>
    <row r="174" spans="1:85" s="460" customFormat="1" ht="14.4" hidden="1" outlineLevel="1" x14ac:dyDescent="0.3">
      <c r="A174" s="593" t="s">
        <v>973</v>
      </c>
      <c r="B174" s="589"/>
      <c r="C174" s="977"/>
      <c r="D174" s="977"/>
      <c r="E174" s="977"/>
      <c r="F174" s="977"/>
      <c r="G174" s="590"/>
      <c r="H174" s="590"/>
      <c r="I174" s="590"/>
      <c r="J174" s="590"/>
      <c r="K174" s="977"/>
      <c r="L174" s="590"/>
      <c r="M174" s="590"/>
      <c r="N174" s="590"/>
      <c r="O174" s="590"/>
      <c r="P174" s="977"/>
      <c r="Q174" s="590"/>
      <c r="R174" s="590"/>
      <c r="S174" s="590"/>
      <c r="T174" s="590"/>
      <c r="U174" s="977"/>
      <c r="V174" s="590"/>
      <c r="W174" s="590"/>
      <c r="X174" s="590"/>
      <c r="Y174" s="590"/>
      <c r="Z174" s="977"/>
      <c r="AA174" s="590"/>
      <c r="AB174" s="590"/>
      <c r="AC174" s="590"/>
      <c r="AD174" s="590"/>
      <c r="AE174" s="977"/>
      <c r="AF174" s="590"/>
      <c r="AG174" s="590"/>
      <c r="AH174" s="590"/>
      <c r="AI174" s="590"/>
      <c r="AJ174" s="977"/>
      <c r="AK174" s="590"/>
      <c r="AL174" s="590"/>
      <c r="AM174" s="590"/>
      <c r="AN174" s="590"/>
      <c r="AO174" s="977">
        <f>SUM(AO171:AO173)</f>
        <v>404</v>
      </c>
      <c r="AP174" s="590"/>
      <c r="AQ174" s="590"/>
      <c r="AR174" s="590"/>
      <c r="AS174" s="590"/>
      <c r="AT174" s="977">
        <f>SUM(AT171:AT173)</f>
        <v>498</v>
      </c>
      <c r="AU174" s="590"/>
      <c r="AV174" s="590"/>
      <c r="AW174" s="590"/>
      <c r="AX174" s="590"/>
      <c r="AY174" s="977">
        <f>SUM(AY171:AY173)</f>
        <v>602</v>
      </c>
      <c r="AZ174" s="590"/>
      <c r="BA174" s="590"/>
      <c r="BB174" s="590"/>
      <c r="BC174" s="590"/>
      <c r="BD174" s="977">
        <f>SUM(BD171:BD173)</f>
        <v>720</v>
      </c>
      <c r="BE174" s="590"/>
      <c r="BF174" s="590"/>
      <c r="BG174" s="590"/>
      <c r="BH174" s="590"/>
      <c r="BI174" s="977">
        <f>SUM(BI171:BI173)</f>
        <v>834</v>
      </c>
      <c r="BJ174" s="590"/>
      <c r="BK174" s="590"/>
      <c r="BL174" s="590"/>
      <c r="BM174" s="590"/>
      <c r="BN174" s="977">
        <f>SUM(BN171:BN173)</f>
        <v>956</v>
      </c>
      <c r="BO174" s="590"/>
      <c r="BP174" s="590"/>
      <c r="BQ174" s="590"/>
      <c r="BR174" s="590"/>
      <c r="BS174" s="977">
        <f>SUM(BS171:BS173)</f>
        <v>1083</v>
      </c>
      <c r="BT174" s="708"/>
      <c r="BU174" s="590"/>
      <c r="BV174" s="590"/>
      <c r="BW174" s="590"/>
      <c r="BX174" s="977"/>
      <c r="BY174" s="590"/>
      <c r="BZ174" s="590"/>
      <c r="CA174" s="590"/>
      <c r="CB174" s="590"/>
      <c r="CC174" s="977"/>
      <c r="CD174" s="977"/>
      <c r="CE174" s="977"/>
      <c r="CF174" s="977"/>
      <c r="CG174" s="587"/>
    </row>
    <row r="175" spans="1:85" s="461" customFormat="1" ht="14.4" hidden="1" outlineLevel="1" x14ac:dyDescent="0.3">
      <c r="A175" s="166" t="s">
        <v>974</v>
      </c>
      <c r="B175" s="583"/>
      <c r="C175" s="957"/>
      <c r="D175" s="957"/>
      <c r="E175" s="957"/>
      <c r="F175" s="957"/>
      <c r="G175" s="120"/>
      <c r="H175" s="120"/>
      <c r="I175" s="120"/>
      <c r="J175" s="120"/>
      <c r="K175" s="957"/>
      <c r="L175" s="120"/>
      <c r="M175" s="120"/>
      <c r="N175" s="120"/>
      <c r="O175" s="120"/>
      <c r="P175" s="957"/>
      <c r="Q175" s="120"/>
      <c r="R175" s="120"/>
      <c r="S175" s="120"/>
      <c r="T175" s="120"/>
      <c r="U175" s="957"/>
      <c r="V175" s="120"/>
      <c r="W175" s="120"/>
      <c r="X175" s="120"/>
      <c r="Y175" s="120"/>
      <c r="Z175" s="957"/>
      <c r="AA175" s="120"/>
      <c r="AB175" s="120"/>
      <c r="AC175" s="120"/>
      <c r="AD175" s="120"/>
      <c r="AE175" s="957"/>
      <c r="AF175" s="120"/>
      <c r="AG175" s="120"/>
      <c r="AH175" s="120"/>
      <c r="AI175" s="120"/>
      <c r="AJ175" s="957"/>
      <c r="AK175" s="120"/>
      <c r="AL175" s="120"/>
      <c r="AM175" s="120"/>
      <c r="AN175" s="120"/>
      <c r="AO175" s="957">
        <f>AO170-AO174</f>
        <v>1814</v>
      </c>
      <c r="AP175" s="120"/>
      <c r="AQ175" s="120"/>
      <c r="AR175" s="120"/>
      <c r="AS175" s="120"/>
      <c r="AT175" s="957">
        <f>AT170-AT174</f>
        <v>1747</v>
      </c>
      <c r="AU175" s="120"/>
      <c r="AV175" s="120"/>
      <c r="AW175" s="120"/>
      <c r="AX175" s="120"/>
      <c r="AY175" s="957">
        <f>AY170-AY174</f>
        <v>1652</v>
      </c>
      <c r="AZ175" s="120"/>
      <c r="BA175" s="120"/>
      <c r="BB175" s="120"/>
      <c r="BC175" s="120"/>
      <c r="BD175" s="957">
        <f>BD170-BD174</f>
        <v>1570</v>
      </c>
      <c r="BE175" s="120"/>
      <c r="BF175" s="120"/>
      <c r="BG175" s="120"/>
      <c r="BH175" s="120"/>
      <c r="BI175" s="957">
        <f>BI170-BI174</f>
        <v>1520</v>
      </c>
      <c r="BJ175" s="120"/>
      <c r="BK175" s="120"/>
      <c r="BL175" s="120"/>
      <c r="BM175" s="120"/>
      <c r="BN175" s="957">
        <f>BN170-BN174</f>
        <v>1470</v>
      </c>
      <c r="BO175" s="120"/>
      <c r="BP175" s="120"/>
      <c r="BQ175" s="120"/>
      <c r="BR175" s="120"/>
      <c r="BS175" s="957">
        <f>BS170-BS174</f>
        <v>1396</v>
      </c>
      <c r="BT175" s="694"/>
      <c r="BU175" s="120"/>
      <c r="BV175" s="120"/>
      <c r="BW175" s="120"/>
      <c r="BX175" s="957"/>
      <c r="BY175" s="120"/>
      <c r="BZ175" s="120"/>
      <c r="CA175" s="120"/>
      <c r="CB175" s="120"/>
      <c r="CC175" s="957"/>
      <c r="CD175" s="957"/>
      <c r="CE175" s="957"/>
      <c r="CF175" s="957"/>
      <c r="CG175" s="615"/>
    </row>
    <row r="176" spans="1:85" s="460" customFormat="1" ht="14.4" hidden="1" outlineLevel="1" x14ac:dyDescent="0.3">
      <c r="A176" s="591" t="s">
        <v>975</v>
      </c>
      <c r="B176" s="586"/>
      <c r="C176" s="150"/>
      <c r="D176" s="150"/>
      <c r="E176" s="150"/>
      <c r="F176" s="150"/>
      <c r="G176" s="117"/>
      <c r="H176" s="117"/>
      <c r="I176" s="117"/>
      <c r="J176" s="117"/>
      <c r="K176" s="150"/>
      <c r="L176" s="117"/>
      <c r="M176" s="117"/>
      <c r="N176" s="117"/>
      <c r="O176" s="117"/>
      <c r="P176" s="150"/>
      <c r="Q176" s="117"/>
      <c r="R176" s="117"/>
      <c r="S176" s="117"/>
      <c r="T176" s="117"/>
      <c r="U176" s="150"/>
      <c r="V176" s="117"/>
      <c r="W176" s="117"/>
      <c r="X176" s="117"/>
      <c r="Y176" s="117"/>
      <c r="Z176" s="150"/>
      <c r="AA176" s="117"/>
      <c r="AB176" s="117"/>
      <c r="AC176" s="117"/>
      <c r="AD176" s="117"/>
      <c r="AE176" s="150"/>
      <c r="AF176" s="117"/>
      <c r="AG176" s="117"/>
      <c r="AH176" s="117"/>
      <c r="AI176" s="117"/>
      <c r="AJ176" s="150"/>
      <c r="AK176" s="117"/>
      <c r="AL176" s="117"/>
      <c r="AM176" s="117"/>
      <c r="AN176" s="117"/>
      <c r="AO176" s="150">
        <f>AO110+AO121+AO132+AO143+AO154+AO165</f>
        <v>10330</v>
      </c>
      <c r="AP176" s="117"/>
      <c r="AQ176" s="117"/>
      <c r="AR176" s="117"/>
      <c r="AS176" s="117"/>
      <c r="AT176" s="150">
        <f>AT110+AT121+AT132+AT143+AT154+AT165</f>
        <v>9116</v>
      </c>
      <c r="AU176" s="117"/>
      <c r="AV176" s="117"/>
      <c r="AW176" s="117"/>
      <c r="AX176" s="117"/>
      <c r="AY176" s="150">
        <f>AY110+AY121+AY132+AY143+AY154+AY165</f>
        <v>8844</v>
      </c>
      <c r="AZ176" s="117"/>
      <c r="BA176" s="117"/>
      <c r="BB176" s="117"/>
      <c r="BC176" s="117"/>
      <c r="BD176" s="150">
        <f>BD110+BD121+BD132+BD143+BD154+BD165</f>
        <v>7939</v>
      </c>
      <c r="BE176" s="117"/>
      <c r="BF176" s="117"/>
      <c r="BG176" s="117"/>
      <c r="BH176" s="117"/>
      <c r="BI176" s="150">
        <f>BI110+BI121+BI132+BI143+BI154+BI165</f>
        <v>6890</v>
      </c>
      <c r="BJ176" s="117"/>
      <c r="BK176" s="117"/>
      <c r="BL176" s="117"/>
      <c r="BM176" s="117"/>
      <c r="BN176" s="150">
        <f>BN110+BN121+BN132+BN143+BN154+BN165</f>
        <v>6723</v>
      </c>
      <c r="BO176" s="117"/>
      <c r="BP176" s="117"/>
      <c r="BQ176" s="117"/>
      <c r="BR176" s="117"/>
      <c r="BS176" s="150">
        <f>BS110+BS121+BS132+BS143+BS154+BS165</f>
        <v>34303</v>
      </c>
      <c r="BT176" s="691"/>
      <c r="BU176" s="117"/>
      <c r="BV176" s="117"/>
      <c r="BW176" s="117"/>
      <c r="BX176" s="150"/>
      <c r="BY176" s="117"/>
      <c r="BZ176" s="117"/>
      <c r="CA176" s="117"/>
      <c r="CB176" s="117"/>
      <c r="CC176" s="150"/>
      <c r="CD176" s="150"/>
      <c r="CE176" s="150"/>
      <c r="CF176" s="150"/>
      <c r="CG176" s="587"/>
    </row>
    <row r="177" spans="1:85" s="460" customFormat="1" ht="14.4" hidden="1" outlineLevel="1" x14ac:dyDescent="0.3">
      <c r="A177" s="591" t="s">
        <v>976</v>
      </c>
      <c r="B177" s="586"/>
      <c r="C177" s="150"/>
      <c r="D177" s="150"/>
      <c r="E177" s="150"/>
      <c r="F177" s="150"/>
      <c r="G177" s="117"/>
      <c r="H177" s="117"/>
      <c r="I177" s="117"/>
      <c r="J177" s="117"/>
      <c r="K177" s="150"/>
      <c r="L177" s="117"/>
      <c r="M177" s="117"/>
      <c r="N177" s="117"/>
      <c r="O177" s="117"/>
      <c r="P177" s="150"/>
      <c r="Q177" s="117"/>
      <c r="R177" s="117"/>
      <c r="S177" s="117"/>
      <c r="T177" s="117"/>
      <c r="U177" s="150"/>
      <c r="V177" s="117"/>
      <c r="W177" s="117"/>
      <c r="X177" s="117"/>
      <c r="Y177" s="117"/>
      <c r="Z177" s="150"/>
      <c r="AA177" s="117"/>
      <c r="AB177" s="117"/>
      <c r="AC177" s="117"/>
      <c r="AD177" s="117"/>
      <c r="AE177" s="150"/>
      <c r="AF177" s="117"/>
      <c r="AG177" s="117"/>
      <c r="AH177" s="117"/>
      <c r="AI177" s="117"/>
      <c r="AJ177" s="150"/>
      <c r="AK177" s="117"/>
      <c r="AL177" s="117"/>
      <c r="AM177" s="117"/>
      <c r="AN177" s="117"/>
      <c r="AO177" s="150">
        <f t="shared" ref="AO177:AO180" si="8">AO111+AO122+AO133+AO144+AO155+AO166</f>
        <v>232906</v>
      </c>
      <c r="AP177" s="117"/>
      <c r="AQ177" s="117"/>
      <c r="AR177" s="117"/>
      <c r="AS177" s="117"/>
      <c r="AT177" s="150">
        <f t="shared" ref="AT177:AT180" si="9">AT111+AT122+AT133+AT144+AT155+AT166</f>
        <v>234842</v>
      </c>
      <c r="AU177" s="117"/>
      <c r="AV177" s="117"/>
      <c r="AW177" s="117"/>
      <c r="AX177" s="117"/>
      <c r="AY177" s="150">
        <f t="shared" ref="AY177:AY180" si="10">AY111+AY122+AY133+AY144+AY155+AY166</f>
        <v>220652</v>
      </c>
      <c r="AZ177" s="117"/>
      <c r="BA177" s="117"/>
      <c r="BB177" s="117"/>
      <c r="BC177" s="117"/>
      <c r="BD177" s="150">
        <f t="shared" ref="BD177:BD180" si="11">BD111+BD122+BD133+BD144+BD155+BD166</f>
        <v>209633</v>
      </c>
      <c r="BE177" s="117"/>
      <c r="BF177" s="117"/>
      <c r="BG177" s="117"/>
      <c r="BH177" s="117"/>
      <c r="BI177" s="150">
        <f t="shared" ref="BI177:BI180" si="12">BI111+BI122+BI133+BI144+BI155+BI166</f>
        <v>228639</v>
      </c>
      <c r="BJ177" s="117"/>
      <c r="BK177" s="117"/>
      <c r="BL177" s="117"/>
      <c r="BM177" s="117"/>
      <c r="BN177" s="150">
        <f t="shared" ref="BN177:BN180" si="13">BN111+BN122+BN133+BN144+BN155+BN166</f>
        <v>229135</v>
      </c>
      <c r="BO177" s="117"/>
      <c r="BP177" s="117"/>
      <c r="BQ177" s="117"/>
      <c r="BR177" s="117"/>
      <c r="BS177" s="150">
        <f t="shared" ref="BS177:BS180" si="14">BS111+BS122+BS133+BS144+BS155+BS166</f>
        <v>274538</v>
      </c>
      <c r="BT177" s="691"/>
      <c r="BU177" s="117"/>
      <c r="BV177" s="117"/>
      <c r="BW177" s="117"/>
      <c r="BX177" s="150"/>
      <c r="BY177" s="117"/>
      <c r="BZ177" s="117"/>
      <c r="CA177" s="117"/>
      <c r="CB177" s="117"/>
      <c r="CC177" s="150"/>
      <c r="CD177" s="150"/>
      <c r="CE177" s="150"/>
      <c r="CF177" s="150"/>
      <c r="CG177" s="587"/>
    </row>
    <row r="178" spans="1:85" s="460" customFormat="1" ht="14.4" hidden="1" outlineLevel="1" x14ac:dyDescent="0.3">
      <c r="A178" s="591" t="s">
        <v>977</v>
      </c>
      <c r="B178" s="586"/>
      <c r="C178" s="150"/>
      <c r="D178" s="150"/>
      <c r="E178" s="150"/>
      <c r="F178" s="150"/>
      <c r="G178" s="117"/>
      <c r="H178" s="117"/>
      <c r="I178" s="117"/>
      <c r="J178" s="117"/>
      <c r="K178" s="150"/>
      <c r="L178" s="117"/>
      <c r="M178" s="117"/>
      <c r="N178" s="117"/>
      <c r="O178" s="117"/>
      <c r="P178" s="150"/>
      <c r="Q178" s="117"/>
      <c r="R178" s="117"/>
      <c r="S178" s="117"/>
      <c r="T178" s="117"/>
      <c r="U178" s="150"/>
      <c r="V178" s="117"/>
      <c r="W178" s="117"/>
      <c r="X178" s="117"/>
      <c r="Y178" s="117"/>
      <c r="Z178" s="150"/>
      <c r="AA178" s="117"/>
      <c r="AB178" s="117"/>
      <c r="AC178" s="117"/>
      <c r="AD178" s="117"/>
      <c r="AE178" s="150"/>
      <c r="AF178" s="117"/>
      <c r="AG178" s="117"/>
      <c r="AH178" s="117"/>
      <c r="AI178" s="117"/>
      <c r="AJ178" s="150"/>
      <c r="AK178" s="117"/>
      <c r="AL178" s="117"/>
      <c r="AM178" s="117"/>
      <c r="AN178" s="117"/>
      <c r="AO178" s="150">
        <f t="shared" si="8"/>
        <v>24381</v>
      </c>
      <c r="AP178" s="117"/>
      <c r="AQ178" s="117"/>
      <c r="AR178" s="117"/>
      <c r="AS178" s="117"/>
      <c r="AT178" s="150">
        <f t="shared" si="9"/>
        <v>24106</v>
      </c>
      <c r="AU178" s="117"/>
      <c r="AV178" s="117"/>
      <c r="AW178" s="117"/>
      <c r="AX178" s="117"/>
      <c r="AY178" s="150">
        <f t="shared" si="10"/>
        <v>23252</v>
      </c>
      <c r="AZ178" s="117"/>
      <c r="BA178" s="117"/>
      <c r="BB178" s="117"/>
      <c r="BC178" s="117"/>
      <c r="BD178" s="150">
        <f t="shared" si="11"/>
        <v>23686</v>
      </c>
      <c r="BE178" s="117"/>
      <c r="BF178" s="117"/>
      <c r="BG178" s="117"/>
      <c r="BH178" s="117"/>
      <c r="BI178" s="150">
        <f t="shared" si="12"/>
        <v>23673</v>
      </c>
      <c r="BJ178" s="117"/>
      <c r="BK178" s="117"/>
      <c r="BL178" s="117"/>
      <c r="BM178" s="117"/>
      <c r="BN178" s="150">
        <f t="shared" si="13"/>
        <v>23685</v>
      </c>
      <c r="BO178" s="117"/>
      <c r="BP178" s="117"/>
      <c r="BQ178" s="117"/>
      <c r="BR178" s="117"/>
      <c r="BS178" s="150">
        <f t="shared" si="14"/>
        <v>27103</v>
      </c>
      <c r="BT178" s="691"/>
      <c r="BU178" s="117"/>
      <c r="BV178" s="117"/>
      <c r="BW178" s="117"/>
      <c r="BX178" s="150"/>
      <c r="BY178" s="117"/>
      <c r="BZ178" s="117"/>
      <c r="CA178" s="117"/>
      <c r="CB178" s="117"/>
      <c r="CC178" s="150"/>
      <c r="CD178" s="150"/>
      <c r="CE178" s="150"/>
      <c r="CF178" s="150"/>
      <c r="CG178" s="587"/>
    </row>
    <row r="179" spans="1:85" s="460" customFormat="1" ht="14.4" hidden="1" outlineLevel="1" x14ac:dyDescent="0.3">
      <c r="A179" s="591" t="s">
        <v>978</v>
      </c>
      <c r="B179" s="586"/>
      <c r="C179" s="150"/>
      <c r="D179" s="150"/>
      <c r="E179" s="150"/>
      <c r="F179" s="150"/>
      <c r="G179" s="117"/>
      <c r="H179" s="117"/>
      <c r="I179" s="117"/>
      <c r="J179" s="117"/>
      <c r="K179" s="150"/>
      <c r="L179" s="117"/>
      <c r="M179" s="117"/>
      <c r="N179" s="117"/>
      <c r="O179" s="117"/>
      <c r="P179" s="150"/>
      <c r="Q179" s="117"/>
      <c r="R179" s="117"/>
      <c r="S179" s="117"/>
      <c r="T179" s="117"/>
      <c r="U179" s="150"/>
      <c r="V179" s="117"/>
      <c r="W179" s="117"/>
      <c r="X179" s="117"/>
      <c r="Y179" s="117"/>
      <c r="Z179" s="150"/>
      <c r="AA179" s="117"/>
      <c r="AB179" s="117"/>
      <c r="AC179" s="117"/>
      <c r="AD179" s="117"/>
      <c r="AE179" s="150"/>
      <c r="AF179" s="117"/>
      <c r="AG179" s="117"/>
      <c r="AH179" s="117"/>
      <c r="AI179" s="117"/>
      <c r="AJ179" s="150"/>
      <c r="AK179" s="117"/>
      <c r="AL179" s="117"/>
      <c r="AM179" s="117"/>
      <c r="AN179" s="117"/>
      <c r="AO179" s="150">
        <f t="shared" si="8"/>
        <v>3041</v>
      </c>
      <c r="AP179" s="117"/>
      <c r="AQ179" s="117"/>
      <c r="AR179" s="117"/>
      <c r="AS179" s="117"/>
      <c r="AT179" s="150">
        <f t="shared" si="9"/>
        <v>2512</v>
      </c>
      <c r="AU179" s="117"/>
      <c r="AV179" s="117"/>
      <c r="AW179" s="117"/>
      <c r="AX179" s="117"/>
      <c r="AY179" s="150">
        <f t="shared" si="10"/>
        <v>2109</v>
      </c>
      <c r="AZ179" s="117"/>
      <c r="BA179" s="117"/>
      <c r="BB179" s="117"/>
      <c r="BC179" s="117"/>
      <c r="BD179" s="150">
        <f t="shared" si="11"/>
        <v>1448</v>
      </c>
      <c r="BE179" s="117"/>
      <c r="BF179" s="117"/>
      <c r="BG179" s="117"/>
      <c r="BH179" s="117"/>
      <c r="BI179" s="150">
        <f t="shared" si="12"/>
        <v>1649</v>
      </c>
      <c r="BJ179" s="117"/>
      <c r="BK179" s="117"/>
      <c r="BL179" s="117"/>
      <c r="BM179" s="117"/>
      <c r="BN179" s="150">
        <f t="shared" si="13"/>
        <v>1662</v>
      </c>
      <c r="BO179" s="117"/>
      <c r="BP179" s="117"/>
      <c r="BQ179" s="117"/>
      <c r="BR179" s="117"/>
      <c r="BS179" s="150">
        <f t="shared" si="14"/>
        <v>1759</v>
      </c>
      <c r="BT179" s="691"/>
      <c r="BU179" s="117"/>
      <c r="BV179" s="117"/>
      <c r="BW179" s="117"/>
      <c r="BX179" s="150"/>
      <c r="BY179" s="117"/>
      <c r="BZ179" s="117"/>
      <c r="CA179" s="117"/>
      <c r="CB179" s="117"/>
      <c r="CC179" s="150"/>
      <c r="CD179" s="150"/>
      <c r="CE179" s="150"/>
      <c r="CF179" s="150"/>
      <c r="CG179" s="587"/>
    </row>
    <row r="180" spans="1:85" s="460" customFormat="1" ht="14.4" hidden="1" outlineLevel="1" x14ac:dyDescent="0.3">
      <c r="A180" s="592" t="s">
        <v>979</v>
      </c>
      <c r="B180" s="588"/>
      <c r="C180" s="954"/>
      <c r="D180" s="954"/>
      <c r="E180" s="954"/>
      <c r="F180" s="954"/>
      <c r="G180" s="133"/>
      <c r="H180" s="133"/>
      <c r="I180" s="133"/>
      <c r="J180" s="133"/>
      <c r="K180" s="954"/>
      <c r="L180" s="133"/>
      <c r="M180" s="133"/>
      <c r="N180" s="133"/>
      <c r="O180" s="133"/>
      <c r="P180" s="954"/>
      <c r="Q180" s="133"/>
      <c r="R180" s="133"/>
      <c r="S180" s="133"/>
      <c r="T180" s="133"/>
      <c r="U180" s="954"/>
      <c r="V180" s="133"/>
      <c r="W180" s="133"/>
      <c r="X180" s="133"/>
      <c r="Y180" s="133"/>
      <c r="Z180" s="954"/>
      <c r="AA180" s="133"/>
      <c r="AB180" s="133"/>
      <c r="AC180" s="133"/>
      <c r="AD180" s="133"/>
      <c r="AE180" s="954"/>
      <c r="AF180" s="133"/>
      <c r="AG180" s="133"/>
      <c r="AH180" s="133"/>
      <c r="AI180" s="133"/>
      <c r="AJ180" s="954"/>
      <c r="AK180" s="133"/>
      <c r="AL180" s="133"/>
      <c r="AM180" s="133"/>
      <c r="AN180" s="133"/>
      <c r="AO180" s="954">
        <f t="shared" si="8"/>
        <v>8725</v>
      </c>
      <c r="AP180" s="133"/>
      <c r="AQ180" s="133"/>
      <c r="AR180" s="133"/>
      <c r="AS180" s="133"/>
      <c r="AT180" s="954">
        <f t="shared" si="9"/>
        <v>9141</v>
      </c>
      <c r="AU180" s="133"/>
      <c r="AV180" s="133"/>
      <c r="AW180" s="133"/>
      <c r="AX180" s="133"/>
      <c r="AY180" s="954">
        <f t="shared" si="10"/>
        <v>10621</v>
      </c>
      <c r="AZ180" s="133"/>
      <c r="BA180" s="133"/>
      <c r="BB180" s="133"/>
      <c r="BC180" s="133"/>
      <c r="BD180" s="954">
        <f t="shared" si="11"/>
        <v>12731</v>
      </c>
      <c r="BE180" s="133"/>
      <c r="BF180" s="133"/>
      <c r="BG180" s="133"/>
      <c r="BH180" s="133"/>
      <c r="BI180" s="954">
        <f t="shared" si="12"/>
        <v>15519</v>
      </c>
      <c r="BJ180" s="133"/>
      <c r="BK180" s="133"/>
      <c r="BL180" s="133"/>
      <c r="BM180" s="133"/>
      <c r="BN180" s="954">
        <f t="shared" si="13"/>
        <v>14247</v>
      </c>
      <c r="BO180" s="133"/>
      <c r="BP180" s="133"/>
      <c r="BQ180" s="133"/>
      <c r="BR180" s="133"/>
      <c r="BS180" s="954">
        <f t="shared" si="14"/>
        <v>17277</v>
      </c>
      <c r="BT180" s="692"/>
      <c r="BU180" s="133"/>
      <c r="BV180" s="133"/>
      <c r="BW180" s="133"/>
      <c r="BX180" s="954"/>
      <c r="BY180" s="133"/>
      <c r="BZ180" s="133"/>
      <c r="CA180" s="133"/>
      <c r="CB180" s="133"/>
      <c r="CC180" s="954"/>
      <c r="CD180" s="954"/>
      <c r="CE180" s="954"/>
      <c r="CF180" s="954"/>
      <c r="CG180" s="587"/>
    </row>
    <row r="181" spans="1:85" s="460" customFormat="1" ht="14.4" hidden="1" outlineLevel="1" x14ac:dyDescent="0.3">
      <c r="A181" s="159" t="s">
        <v>980</v>
      </c>
      <c r="B181" s="586"/>
      <c r="C181" s="150"/>
      <c r="D181" s="150"/>
      <c r="E181" s="150"/>
      <c r="F181" s="150"/>
      <c r="G181" s="117"/>
      <c r="H181" s="117"/>
      <c r="I181" s="117"/>
      <c r="J181" s="117"/>
      <c r="K181" s="150"/>
      <c r="L181" s="117"/>
      <c r="M181" s="117"/>
      <c r="N181" s="117"/>
      <c r="O181" s="117"/>
      <c r="P181" s="150"/>
      <c r="Q181" s="117"/>
      <c r="R181" s="117"/>
      <c r="S181" s="117"/>
      <c r="T181" s="117"/>
      <c r="U181" s="150"/>
      <c r="V181" s="117"/>
      <c r="W181" s="117"/>
      <c r="X181" s="117"/>
      <c r="Y181" s="117"/>
      <c r="Z181" s="150"/>
      <c r="AA181" s="117"/>
      <c r="AB181" s="117"/>
      <c r="AC181" s="117"/>
      <c r="AD181" s="117"/>
      <c r="AE181" s="150"/>
      <c r="AF181" s="117"/>
      <c r="AG181" s="117"/>
      <c r="AH181" s="117"/>
      <c r="AI181" s="117"/>
      <c r="AJ181" s="150"/>
      <c r="AK181" s="117"/>
      <c r="AL181" s="117"/>
      <c r="AM181" s="117"/>
      <c r="AN181" s="117"/>
      <c r="AO181" s="150">
        <f>SUM(AO176:AO180)</f>
        <v>279383</v>
      </c>
      <c r="AP181" s="117"/>
      <c r="AQ181" s="117"/>
      <c r="AR181" s="117"/>
      <c r="AS181" s="117"/>
      <c r="AT181" s="150">
        <f>SUM(AT176:AT180)</f>
        <v>279717</v>
      </c>
      <c r="AU181" s="117"/>
      <c r="AV181" s="117"/>
      <c r="AW181" s="117"/>
      <c r="AX181" s="117"/>
      <c r="AY181" s="150">
        <f>SUM(AY176:AY180)</f>
        <v>265478</v>
      </c>
      <c r="AZ181" s="117"/>
      <c r="BA181" s="117"/>
      <c r="BB181" s="117"/>
      <c r="BC181" s="117"/>
      <c r="BD181" s="150">
        <f>SUM(BD176:BD180)</f>
        <v>255437</v>
      </c>
      <c r="BE181" s="117"/>
      <c r="BF181" s="117"/>
      <c r="BG181" s="117"/>
      <c r="BH181" s="117"/>
      <c r="BI181" s="150">
        <f>SUM(BI176:BI180)</f>
        <v>276370</v>
      </c>
      <c r="BJ181" s="117"/>
      <c r="BK181" s="117"/>
      <c r="BL181" s="117"/>
      <c r="BM181" s="117"/>
      <c r="BN181" s="150">
        <f>SUM(BN176:BN180)</f>
        <v>275452</v>
      </c>
      <c r="BO181" s="117"/>
      <c r="BP181" s="117"/>
      <c r="BQ181" s="117"/>
      <c r="BR181" s="117"/>
      <c r="BS181" s="150">
        <f>SUM(BS176:BS180)</f>
        <v>354980</v>
      </c>
      <c r="BT181" s="691"/>
      <c r="BU181" s="117"/>
      <c r="BV181" s="117"/>
      <c r="BW181" s="117"/>
      <c r="BX181" s="150"/>
      <c r="BY181" s="117"/>
      <c r="BZ181" s="117"/>
      <c r="CA181" s="117"/>
      <c r="CB181" s="117"/>
      <c r="CC181" s="150"/>
      <c r="CD181" s="150"/>
      <c r="CE181" s="150"/>
      <c r="CF181" s="150"/>
      <c r="CG181" s="587"/>
    </row>
    <row r="182" spans="1:85" s="460" customFormat="1" ht="14.4" hidden="1" outlineLevel="1" x14ac:dyDescent="0.3">
      <c r="A182" s="591" t="s">
        <v>981</v>
      </c>
      <c r="B182" s="586"/>
      <c r="C182" s="150"/>
      <c r="D182" s="150"/>
      <c r="E182" s="150"/>
      <c r="F182" s="150"/>
      <c r="G182" s="117"/>
      <c r="H182" s="117"/>
      <c r="I182" s="117"/>
      <c r="J182" s="117"/>
      <c r="K182" s="150"/>
      <c r="L182" s="117"/>
      <c r="M182" s="117"/>
      <c r="N182" s="117"/>
      <c r="O182" s="117"/>
      <c r="P182" s="150"/>
      <c r="Q182" s="117"/>
      <c r="R182" s="117"/>
      <c r="S182" s="117"/>
      <c r="T182" s="117"/>
      <c r="U182" s="150"/>
      <c r="V182" s="117"/>
      <c r="W182" s="117"/>
      <c r="X182" s="117"/>
      <c r="Y182" s="117"/>
      <c r="Z182" s="150"/>
      <c r="AA182" s="117"/>
      <c r="AB182" s="117"/>
      <c r="AC182" s="117"/>
      <c r="AD182" s="117"/>
      <c r="AE182" s="150"/>
      <c r="AF182" s="117"/>
      <c r="AG182" s="117"/>
      <c r="AH182" s="117"/>
      <c r="AI182" s="117"/>
      <c r="AJ182" s="150"/>
      <c r="AK182" s="117"/>
      <c r="AL182" s="117"/>
      <c r="AM182" s="117"/>
      <c r="AN182" s="117"/>
      <c r="AO182" s="150">
        <f t="shared" ref="AO182:AO184" si="15">AO116+AO127+AO138+AO149+AO160+AO171</f>
        <v>6306</v>
      </c>
      <c r="AP182" s="117"/>
      <c r="AQ182" s="117"/>
      <c r="AR182" s="117"/>
      <c r="AS182" s="117"/>
      <c r="AT182" s="150">
        <f t="shared" ref="AT182:AT184" si="16">AT116+AT127+AT138+AT149+AT160+AT171</f>
        <v>2742</v>
      </c>
      <c r="AU182" s="117"/>
      <c r="AV182" s="117"/>
      <c r="AW182" s="117"/>
      <c r="AX182" s="117"/>
      <c r="AY182" s="150">
        <f t="shared" ref="AY182:AY184" si="17">AY116+AY127+AY138+AY149+AY160+AY171</f>
        <v>2921</v>
      </c>
      <c r="AZ182" s="117"/>
      <c r="BA182" s="117"/>
      <c r="BB182" s="117"/>
      <c r="BC182" s="117"/>
      <c r="BD182" s="150">
        <f t="shared" ref="BD182:BD184" si="18">BD116+BD127+BD138+BD149+BD160+BD171</f>
        <v>2992</v>
      </c>
      <c r="BE182" s="117"/>
      <c r="BF182" s="117"/>
      <c r="BG182" s="117"/>
      <c r="BH182" s="117"/>
      <c r="BI182" s="150">
        <f t="shared" ref="BI182:BI184" si="19">BI116+BI127+BI138+BI149+BI160+BI171</f>
        <v>2103</v>
      </c>
      <c r="BJ182" s="117"/>
      <c r="BK182" s="117"/>
      <c r="BL182" s="117"/>
      <c r="BM182" s="117"/>
      <c r="BN182" s="150">
        <f t="shared" ref="BN182:BN184" si="20">BN116+BN127+BN138+BN149+BN160+BN171</f>
        <v>1989</v>
      </c>
      <c r="BO182" s="117"/>
      <c r="BP182" s="117"/>
      <c r="BQ182" s="117"/>
      <c r="BR182" s="117"/>
      <c r="BS182" s="150">
        <f t="shared" ref="BS182:BS184" si="21">BS116+BS127+BS138+BS149+BS160+BS171</f>
        <v>2044</v>
      </c>
      <c r="BT182" s="691"/>
      <c r="BU182" s="117"/>
      <c r="BV182" s="117"/>
      <c r="BW182" s="117"/>
      <c r="BX182" s="150"/>
      <c r="BY182" s="117"/>
      <c r="BZ182" s="117"/>
      <c r="CA182" s="117"/>
      <c r="CB182" s="117"/>
      <c r="CC182" s="150"/>
      <c r="CD182" s="150"/>
      <c r="CE182" s="150"/>
      <c r="CF182" s="150"/>
      <c r="CG182" s="587"/>
    </row>
    <row r="183" spans="1:85" s="460" customFormat="1" ht="14.4" hidden="1" outlineLevel="1" x14ac:dyDescent="0.3">
      <c r="A183" s="591" t="s">
        <v>982</v>
      </c>
      <c r="B183" s="586"/>
      <c r="C183" s="150"/>
      <c r="D183" s="150"/>
      <c r="E183" s="150"/>
      <c r="F183" s="150"/>
      <c r="G183" s="117"/>
      <c r="H183" s="117"/>
      <c r="I183" s="117"/>
      <c r="J183" s="117"/>
      <c r="K183" s="150"/>
      <c r="L183" s="117"/>
      <c r="M183" s="117"/>
      <c r="N183" s="117"/>
      <c r="O183" s="117"/>
      <c r="P183" s="150"/>
      <c r="Q183" s="117"/>
      <c r="R183" s="117"/>
      <c r="S183" s="117"/>
      <c r="T183" s="117"/>
      <c r="U183" s="150"/>
      <c r="V183" s="117"/>
      <c r="W183" s="117"/>
      <c r="X183" s="117"/>
      <c r="Y183" s="117"/>
      <c r="Z183" s="150"/>
      <c r="AA183" s="117"/>
      <c r="AB183" s="117"/>
      <c r="AC183" s="117"/>
      <c r="AD183" s="117"/>
      <c r="AE183" s="150"/>
      <c r="AF183" s="117"/>
      <c r="AG183" s="117"/>
      <c r="AH183" s="117"/>
      <c r="AI183" s="117"/>
      <c r="AJ183" s="150"/>
      <c r="AK183" s="117"/>
      <c r="AL183" s="117"/>
      <c r="AM183" s="117"/>
      <c r="AN183" s="117"/>
      <c r="AO183" s="150">
        <f t="shared" si="15"/>
        <v>154507</v>
      </c>
      <c r="AP183" s="117"/>
      <c r="AQ183" s="117"/>
      <c r="AR183" s="117"/>
      <c r="AS183" s="117"/>
      <c r="AT183" s="150">
        <f t="shared" si="16"/>
        <v>155272</v>
      </c>
      <c r="AU183" s="117"/>
      <c r="AV183" s="117"/>
      <c r="AW183" s="117"/>
      <c r="AX183" s="117"/>
      <c r="AY183" s="150">
        <f t="shared" si="17"/>
        <v>147288</v>
      </c>
      <c r="AZ183" s="117"/>
      <c r="BA183" s="117"/>
      <c r="BB183" s="117"/>
      <c r="BC183" s="117"/>
      <c r="BD183" s="150">
        <f t="shared" si="18"/>
        <v>140230</v>
      </c>
      <c r="BE183" s="117"/>
      <c r="BF183" s="117"/>
      <c r="BG183" s="117"/>
      <c r="BH183" s="117"/>
      <c r="BI183" s="150">
        <f t="shared" si="19"/>
        <v>150842</v>
      </c>
      <c r="BJ183" s="117"/>
      <c r="BK183" s="117"/>
      <c r="BL183" s="117"/>
      <c r="BM183" s="117"/>
      <c r="BN183" s="150">
        <f t="shared" si="20"/>
        <v>154589</v>
      </c>
      <c r="BO183" s="117"/>
      <c r="BP183" s="117"/>
      <c r="BQ183" s="117"/>
      <c r="BR183" s="117"/>
      <c r="BS183" s="150">
        <f t="shared" si="21"/>
        <v>162308</v>
      </c>
      <c r="BT183" s="691"/>
      <c r="BU183" s="117"/>
      <c r="BV183" s="117"/>
      <c r="BW183" s="117"/>
      <c r="BX183" s="150"/>
      <c r="BY183" s="117"/>
      <c r="BZ183" s="117"/>
      <c r="CA183" s="117"/>
      <c r="CB183" s="117"/>
      <c r="CC183" s="150"/>
      <c r="CD183" s="150"/>
      <c r="CE183" s="150"/>
      <c r="CF183" s="150"/>
      <c r="CG183" s="587"/>
    </row>
    <row r="184" spans="1:85" s="460" customFormat="1" ht="14.4" hidden="1" outlineLevel="1" x14ac:dyDescent="0.3">
      <c r="A184" s="592" t="s">
        <v>983</v>
      </c>
      <c r="B184" s="588"/>
      <c r="C184" s="954"/>
      <c r="D184" s="954"/>
      <c r="E184" s="954"/>
      <c r="F184" s="954"/>
      <c r="G184" s="133"/>
      <c r="H184" s="133"/>
      <c r="I184" s="133"/>
      <c r="J184" s="133"/>
      <c r="K184" s="954"/>
      <c r="L184" s="133"/>
      <c r="M184" s="133"/>
      <c r="N184" s="133"/>
      <c r="O184" s="133"/>
      <c r="P184" s="954"/>
      <c r="Q184" s="133"/>
      <c r="R184" s="133"/>
      <c r="S184" s="133"/>
      <c r="T184" s="133"/>
      <c r="U184" s="954"/>
      <c r="V184" s="133"/>
      <c r="W184" s="133"/>
      <c r="X184" s="133"/>
      <c r="Y184" s="133"/>
      <c r="Z184" s="954"/>
      <c r="AA184" s="133"/>
      <c r="AB184" s="133"/>
      <c r="AC184" s="133"/>
      <c r="AD184" s="133"/>
      <c r="AE184" s="954"/>
      <c r="AF184" s="133"/>
      <c r="AG184" s="133"/>
      <c r="AH184" s="133"/>
      <c r="AI184" s="133"/>
      <c r="AJ184" s="954"/>
      <c r="AK184" s="133"/>
      <c r="AL184" s="133"/>
      <c r="AM184" s="133"/>
      <c r="AN184" s="133"/>
      <c r="AO184" s="954">
        <f t="shared" si="15"/>
        <v>6510</v>
      </c>
      <c r="AP184" s="133"/>
      <c r="AQ184" s="133"/>
      <c r="AR184" s="133"/>
      <c r="AS184" s="133"/>
      <c r="AT184" s="954">
        <f t="shared" si="16"/>
        <v>6512</v>
      </c>
      <c r="AU184" s="133"/>
      <c r="AV184" s="133"/>
      <c r="AW184" s="133"/>
      <c r="AX184" s="133"/>
      <c r="AY184" s="954">
        <f t="shared" si="17"/>
        <v>6961</v>
      </c>
      <c r="AZ184" s="133"/>
      <c r="BA184" s="133"/>
      <c r="BB184" s="133"/>
      <c r="BC184" s="133"/>
      <c r="BD184" s="954">
        <f t="shared" si="18"/>
        <v>7767</v>
      </c>
      <c r="BE184" s="133"/>
      <c r="BF184" s="133"/>
      <c r="BG184" s="133"/>
      <c r="BH184" s="133"/>
      <c r="BI184" s="954">
        <f t="shared" si="19"/>
        <v>8659</v>
      </c>
      <c r="BJ184" s="133"/>
      <c r="BK184" s="133"/>
      <c r="BL184" s="133"/>
      <c r="BM184" s="133"/>
      <c r="BN184" s="954">
        <f t="shared" si="20"/>
        <v>9579</v>
      </c>
      <c r="BO184" s="133"/>
      <c r="BP184" s="133"/>
      <c r="BQ184" s="133"/>
      <c r="BR184" s="133"/>
      <c r="BS184" s="954">
        <f t="shared" si="21"/>
        <v>10586</v>
      </c>
      <c r="BT184" s="692"/>
      <c r="BU184" s="133"/>
      <c r="BV184" s="133"/>
      <c r="BW184" s="133"/>
      <c r="BX184" s="954"/>
      <c r="BY184" s="133"/>
      <c r="BZ184" s="133"/>
      <c r="CA184" s="133"/>
      <c r="CB184" s="133"/>
      <c r="CC184" s="954"/>
      <c r="CD184" s="954"/>
      <c r="CE184" s="954"/>
      <c r="CF184" s="954"/>
      <c r="CG184" s="587"/>
    </row>
    <row r="185" spans="1:85" s="460" customFormat="1" ht="14.4" hidden="1" outlineLevel="1" x14ac:dyDescent="0.3">
      <c r="A185" s="593" t="s">
        <v>984</v>
      </c>
      <c r="B185" s="589"/>
      <c r="C185" s="977"/>
      <c r="D185" s="977"/>
      <c r="E185" s="977"/>
      <c r="F185" s="977"/>
      <c r="G185" s="590"/>
      <c r="H185" s="590"/>
      <c r="I185" s="590"/>
      <c r="J185" s="590"/>
      <c r="K185" s="977"/>
      <c r="L185" s="590"/>
      <c r="M185" s="590"/>
      <c r="N185" s="590"/>
      <c r="O185" s="590"/>
      <c r="P185" s="977"/>
      <c r="Q185" s="590"/>
      <c r="R185" s="590"/>
      <c r="S185" s="590"/>
      <c r="T185" s="590"/>
      <c r="U185" s="977"/>
      <c r="V185" s="590"/>
      <c r="W185" s="590"/>
      <c r="X185" s="590"/>
      <c r="Y185" s="590"/>
      <c r="Z185" s="977"/>
      <c r="AA185" s="590"/>
      <c r="AB185" s="590"/>
      <c r="AC185" s="590"/>
      <c r="AD185" s="590"/>
      <c r="AE185" s="977"/>
      <c r="AF185" s="590"/>
      <c r="AG185" s="590"/>
      <c r="AH185" s="590"/>
      <c r="AI185" s="590"/>
      <c r="AJ185" s="977"/>
      <c r="AK185" s="590"/>
      <c r="AL185" s="590"/>
      <c r="AM185" s="590"/>
      <c r="AN185" s="590"/>
      <c r="AO185" s="977">
        <f>SUM(AO182:AO184)</f>
        <v>167323</v>
      </c>
      <c r="AP185" s="590"/>
      <c r="AQ185" s="590"/>
      <c r="AR185" s="590"/>
      <c r="AS185" s="590"/>
      <c r="AT185" s="977">
        <f>SUM(AT182:AT184)</f>
        <v>164526</v>
      </c>
      <c r="AU185" s="590"/>
      <c r="AV185" s="590"/>
      <c r="AW185" s="590"/>
      <c r="AX185" s="590"/>
      <c r="AY185" s="977">
        <f>SUM(AY182:AY184)</f>
        <v>157170</v>
      </c>
      <c r="AZ185" s="590"/>
      <c r="BA185" s="590"/>
      <c r="BB185" s="590"/>
      <c r="BC185" s="590"/>
      <c r="BD185" s="977">
        <f>SUM(BD182:BD184)</f>
        <v>150989</v>
      </c>
      <c r="BE185" s="590"/>
      <c r="BF185" s="590"/>
      <c r="BG185" s="590"/>
      <c r="BH185" s="590"/>
      <c r="BI185" s="977">
        <f>SUM(BI182:BI184)</f>
        <v>161604</v>
      </c>
      <c r="BJ185" s="590"/>
      <c r="BK185" s="590"/>
      <c r="BL185" s="590"/>
      <c r="BM185" s="590"/>
      <c r="BN185" s="977">
        <f>SUM(BN182:BN184)</f>
        <v>166157</v>
      </c>
      <c r="BO185" s="590"/>
      <c r="BP185" s="590"/>
      <c r="BQ185" s="590"/>
      <c r="BR185" s="590"/>
      <c r="BS185" s="977">
        <f>SUM(BS182:BS184)</f>
        <v>174938</v>
      </c>
      <c r="BT185" s="708"/>
      <c r="BU185" s="590"/>
      <c r="BV185" s="590"/>
      <c r="BW185" s="590"/>
      <c r="BX185" s="977"/>
      <c r="BY185" s="590"/>
      <c r="BZ185" s="590"/>
      <c r="CA185" s="590"/>
      <c r="CB185" s="590"/>
      <c r="CC185" s="977"/>
      <c r="CD185" s="977"/>
      <c r="CE185" s="977"/>
      <c r="CF185" s="977"/>
      <c r="CG185" s="587"/>
    </row>
    <row r="186" spans="1:85" s="461" customFormat="1" ht="14.4" hidden="1" outlineLevel="1" x14ac:dyDescent="0.3">
      <c r="A186" s="166" t="s">
        <v>985</v>
      </c>
      <c r="B186" s="583"/>
      <c r="C186" s="957"/>
      <c r="D186" s="957"/>
      <c r="E186" s="957"/>
      <c r="F186" s="957"/>
      <c r="G186" s="120"/>
      <c r="H186" s="120"/>
      <c r="I186" s="120"/>
      <c r="J186" s="120"/>
      <c r="K186" s="957"/>
      <c r="L186" s="120"/>
      <c r="M186" s="120"/>
      <c r="N186" s="120"/>
      <c r="O186" s="120"/>
      <c r="P186" s="957"/>
      <c r="Q186" s="120"/>
      <c r="R186" s="120"/>
      <c r="S186" s="120"/>
      <c r="T186" s="120"/>
      <c r="U186" s="957"/>
      <c r="V186" s="120"/>
      <c r="W186" s="120"/>
      <c r="X186" s="120"/>
      <c r="Y186" s="120"/>
      <c r="Z186" s="957"/>
      <c r="AA186" s="120"/>
      <c r="AB186" s="120"/>
      <c r="AC186" s="120"/>
      <c r="AD186" s="120"/>
      <c r="AE186" s="957"/>
      <c r="AF186" s="120"/>
      <c r="AG186" s="120"/>
      <c r="AH186" s="120"/>
      <c r="AI186" s="120"/>
      <c r="AJ186" s="957"/>
      <c r="AK186" s="120"/>
      <c r="AL186" s="120"/>
      <c r="AM186" s="120"/>
      <c r="AN186" s="120"/>
      <c r="AO186" s="957">
        <f>AO181-AO185</f>
        <v>112060</v>
      </c>
      <c r="AP186" s="120"/>
      <c r="AQ186" s="120"/>
      <c r="AR186" s="120"/>
      <c r="AS186" s="120"/>
      <c r="AT186" s="957">
        <f>AT181-AT185</f>
        <v>115191</v>
      </c>
      <c r="AU186" s="120"/>
      <c r="AV186" s="120"/>
      <c r="AW186" s="120"/>
      <c r="AX186" s="120"/>
      <c r="AY186" s="957">
        <f>AY181-AY185</f>
        <v>108308</v>
      </c>
      <c r="AZ186" s="120"/>
      <c r="BA186" s="120"/>
      <c r="BB186" s="120"/>
      <c r="BC186" s="120"/>
      <c r="BD186" s="957">
        <f>BD181-BD185</f>
        <v>104448</v>
      </c>
      <c r="BE186" s="120"/>
      <c r="BF186" s="120"/>
      <c r="BG186" s="120"/>
      <c r="BH186" s="120"/>
      <c r="BI186" s="957">
        <f>BI181-BI185</f>
        <v>114766</v>
      </c>
      <c r="BJ186" s="120"/>
      <c r="BK186" s="120"/>
      <c r="BL186" s="120"/>
      <c r="BM186" s="120"/>
      <c r="BN186" s="957">
        <f>BN181-BN185</f>
        <v>109295</v>
      </c>
      <c r="BO186" s="120"/>
      <c r="BP186" s="120"/>
      <c r="BQ186" s="120"/>
      <c r="BR186" s="120"/>
      <c r="BS186" s="957">
        <f>BS181-BS185</f>
        <v>180042</v>
      </c>
      <c r="BT186" s="694"/>
      <c r="BU186" s="120"/>
      <c r="BV186" s="120"/>
      <c r="BW186" s="120"/>
      <c r="BX186" s="957"/>
      <c r="BY186" s="120"/>
      <c r="BZ186" s="120"/>
      <c r="CA186" s="120"/>
      <c r="CB186" s="120"/>
      <c r="CC186" s="957"/>
      <c r="CD186" s="957"/>
      <c r="CE186" s="957"/>
      <c r="CF186" s="957"/>
      <c r="CG186" s="615"/>
    </row>
    <row r="187" spans="1:85" s="461" customFormat="1" ht="14.4" hidden="1" outlineLevel="1" x14ac:dyDescent="0.3">
      <c r="A187" s="166"/>
      <c r="B187" s="583"/>
      <c r="C187" s="957"/>
      <c r="D187" s="957"/>
      <c r="E187" s="957"/>
      <c r="F187" s="957"/>
      <c r="G187" s="120"/>
      <c r="H187" s="120"/>
      <c r="I187" s="120"/>
      <c r="J187" s="120"/>
      <c r="K187" s="957"/>
      <c r="L187" s="120"/>
      <c r="M187" s="120"/>
      <c r="N187" s="120"/>
      <c r="O187" s="120"/>
      <c r="P187" s="957"/>
      <c r="Q187" s="120"/>
      <c r="R187" s="120"/>
      <c r="S187" s="120"/>
      <c r="T187" s="120"/>
      <c r="U187" s="957"/>
      <c r="V187" s="120"/>
      <c r="W187" s="120"/>
      <c r="X187" s="120"/>
      <c r="Y187" s="120"/>
      <c r="Z187" s="957"/>
      <c r="AA187" s="120"/>
      <c r="AB187" s="120"/>
      <c r="AC187" s="120"/>
      <c r="AD187" s="120"/>
      <c r="AE187" s="957"/>
      <c r="AF187" s="120"/>
      <c r="AG187" s="120"/>
      <c r="AH187" s="120"/>
      <c r="AI187" s="120"/>
      <c r="AJ187" s="957"/>
      <c r="AK187" s="120"/>
      <c r="AL187" s="120"/>
      <c r="AM187" s="120"/>
      <c r="AN187" s="120"/>
      <c r="AO187" s="957"/>
      <c r="AP187" s="120"/>
      <c r="AQ187" s="120"/>
      <c r="AR187" s="120"/>
      <c r="AS187" s="120"/>
      <c r="AT187" s="957"/>
      <c r="AU187" s="120"/>
      <c r="AV187" s="120"/>
      <c r="AW187" s="120"/>
      <c r="AX187" s="120"/>
      <c r="AY187" s="957"/>
      <c r="AZ187" s="120"/>
      <c r="BA187" s="120"/>
      <c r="BB187" s="120"/>
      <c r="BC187" s="120"/>
      <c r="BD187" s="957"/>
      <c r="BE187" s="120"/>
      <c r="BF187" s="120"/>
      <c r="BG187" s="120"/>
      <c r="BH187" s="120"/>
      <c r="BI187" s="957"/>
      <c r="BJ187" s="120"/>
      <c r="BK187" s="120"/>
      <c r="BL187" s="120"/>
      <c r="BM187" s="120"/>
      <c r="BN187" s="957"/>
      <c r="BO187" s="120"/>
      <c r="BP187" s="120"/>
      <c r="BQ187" s="120"/>
      <c r="BR187" s="120"/>
      <c r="BS187" s="957"/>
      <c r="BT187" s="694"/>
      <c r="BU187" s="120"/>
      <c r="BV187" s="120"/>
      <c r="BW187" s="120"/>
      <c r="BX187" s="957"/>
      <c r="BY187" s="120"/>
      <c r="BZ187" s="120"/>
      <c r="CA187" s="120"/>
      <c r="CB187" s="120"/>
      <c r="CC187" s="957"/>
      <c r="CD187" s="957"/>
      <c r="CE187" s="957"/>
      <c r="CF187" s="957"/>
      <c r="CG187" s="615"/>
    </row>
    <row r="188" spans="1:85" s="460" customFormat="1" ht="14.4" hidden="1" outlineLevel="1" x14ac:dyDescent="0.3">
      <c r="A188" s="591" t="s">
        <v>997</v>
      </c>
      <c r="B188" s="586"/>
      <c r="C188" s="150"/>
      <c r="D188" s="150"/>
      <c r="E188" s="150"/>
      <c r="F188" s="150"/>
      <c r="G188" s="117"/>
      <c r="H188" s="117"/>
      <c r="I188" s="117"/>
      <c r="J188" s="117"/>
      <c r="K188" s="150"/>
      <c r="L188" s="117"/>
      <c r="M188" s="117"/>
      <c r="N188" s="117"/>
      <c r="O188" s="117"/>
      <c r="P188" s="150"/>
      <c r="Q188" s="117"/>
      <c r="R188" s="117"/>
      <c r="S188" s="117"/>
      <c r="T188" s="117"/>
      <c r="U188" s="150"/>
      <c r="V188" s="117"/>
      <c r="W188" s="117"/>
      <c r="X188" s="117"/>
      <c r="Y188" s="117"/>
      <c r="Z188" s="150"/>
      <c r="AA188" s="117"/>
      <c r="AB188" s="117"/>
      <c r="AC188" s="117"/>
      <c r="AD188" s="117"/>
      <c r="AE188" s="150"/>
      <c r="AF188" s="117"/>
      <c r="AG188" s="117"/>
      <c r="AH188" s="117"/>
      <c r="AI188" s="117"/>
      <c r="AJ188" s="150"/>
      <c r="AK188" s="117"/>
      <c r="AL188" s="117"/>
      <c r="AM188" s="117"/>
      <c r="AN188" s="117"/>
      <c r="AO188" s="975">
        <v>108</v>
      </c>
      <c r="AP188" s="117"/>
      <c r="AQ188" s="117"/>
      <c r="AR188" s="117"/>
      <c r="AS188" s="117"/>
      <c r="AT188" s="975">
        <v>108</v>
      </c>
      <c r="AU188" s="117"/>
      <c r="AV188" s="117"/>
      <c r="AW188" s="117"/>
      <c r="AX188" s="117"/>
      <c r="AY188" s="975">
        <v>108</v>
      </c>
      <c r="AZ188" s="117"/>
      <c r="BA188" s="117"/>
      <c r="BB188" s="117"/>
      <c r="BC188" s="117"/>
      <c r="BD188" s="975">
        <v>108</v>
      </c>
      <c r="BE188" s="117"/>
      <c r="BF188" s="117"/>
      <c r="BG188" s="117"/>
      <c r="BH188" s="117"/>
      <c r="BI188" s="975">
        <v>108</v>
      </c>
      <c r="BJ188" s="117"/>
      <c r="BK188" s="117"/>
      <c r="BL188" s="117"/>
      <c r="BM188" s="117"/>
      <c r="BN188" s="975">
        <v>108</v>
      </c>
      <c r="BO188" s="117"/>
      <c r="BP188" s="117"/>
      <c r="BQ188" s="117"/>
      <c r="BR188" s="117"/>
      <c r="BS188" s="975">
        <v>108</v>
      </c>
      <c r="BT188" s="691"/>
      <c r="BU188" s="117"/>
      <c r="BV188" s="117"/>
      <c r="BW188" s="117"/>
      <c r="BX188" s="150"/>
      <c r="BY188" s="117"/>
      <c r="BZ188" s="117"/>
      <c r="CA188" s="117"/>
      <c r="CB188" s="117"/>
      <c r="CC188" s="150"/>
      <c r="CD188" s="150"/>
      <c r="CE188" s="150"/>
      <c r="CF188" s="150"/>
      <c r="CG188" s="587"/>
    </row>
    <row r="189" spans="1:85" s="460" customFormat="1" ht="14.4" hidden="1" outlineLevel="1" x14ac:dyDescent="0.3">
      <c r="A189" s="591" t="s">
        <v>998</v>
      </c>
      <c r="B189" s="586"/>
      <c r="C189" s="150"/>
      <c r="D189" s="150"/>
      <c r="E189" s="150"/>
      <c r="F189" s="150"/>
      <c r="G189" s="117"/>
      <c r="H189" s="117"/>
      <c r="I189" s="117"/>
      <c r="J189" s="117"/>
      <c r="K189" s="150"/>
      <c r="L189" s="117"/>
      <c r="M189" s="117"/>
      <c r="N189" s="117"/>
      <c r="O189" s="117"/>
      <c r="P189" s="150"/>
      <c r="Q189" s="117"/>
      <c r="R189" s="117"/>
      <c r="S189" s="117"/>
      <c r="T189" s="117"/>
      <c r="U189" s="150"/>
      <c r="V189" s="117"/>
      <c r="W189" s="117"/>
      <c r="X189" s="117"/>
      <c r="Y189" s="117"/>
      <c r="Z189" s="150"/>
      <c r="AA189" s="117"/>
      <c r="AB189" s="117"/>
      <c r="AC189" s="117"/>
      <c r="AD189" s="117"/>
      <c r="AE189" s="150"/>
      <c r="AF189" s="117"/>
      <c r="AG189" s="117"/>
      <c r="AH189" s="117"/>
      <c r="AI189" s="117"/>
      <c r="AJ189" s="150"/>
      <c r="AK189" s="117"/>
      <c r="AL189" s="117"/>
      <c r="AM189" s="117"/>
      <c r="AN189" s="117"/>
      <c r="AO189" s="975">
        <v>10757</v>
      </c>
      <c r="AP189" s="117"/>
      <c r="AQ189" s="117"/>
      <c r="AR189" s="117"/>
      <c r="AS189" s="117"/>
      <c r="AT189" s="975">
        <v>11326</v>
      </c>
      <c r="AU189" s="117"/>
      <c r="AV189" s="117"/>
      <c r="AW189" s="117"/>
      <c r="AX189" s="117"/>
      <c r="AY189" s="975">
        <v>14635</v>
      </c>
      <c r="AZ189" s="117"/>
      <c r="BA189" s="117"/>
      <c r="BB189" s="117"/>
      <c r="BC189" s="117"/>
      <c r="BD189" s="975">
        <v>15793</v>
      </c>
      <c r="BE189" s="117"/>
      <c r="BF189" s="117"/>
      <c r="BG189" s="117"/>
      <c r="BH189" s="117"/>
      <c r="BI189" s="975">
        <v>23139</v>
      </c>
      <c r="BJ189" s="117"/>
      <c r="BK189" s="117"/>
      <c r="BL189" s="117"/>
      <c r="BM189" s="117"/>
      <c r="BN189" s="975">
        <v>35374</v>
      </c>
      <c r="BO189" s="117"/>
      <c r="BP189" s="117"/>
      <c r="BQ189" s="117"/>
      <c r="BR189" s="117"/>
      <c r="BS189" s="975">
        <v>39515</v>
      </c>
      <c r="BT189" s="691"/>
      <c r="BU189" s="117"/>
      <c r="BV189" s="117"/>
      <c r="BW189" s="117"/>
      <c r="BX189" s="150"/>
      <c r="BY189" s="117"/>
      <c r="BZ189" s="117"/>
      <c r="CA189" s="117"/>
      <c r="CB189" s="117"/>
      <c r="CC189" s="150"/>
      <c r="CD189" s="150"/>
      <c r="CE189" s="150"/>
      <c r="CF189" s="150"/>
      <c r="CG189" s="587"/>
    </row>
    <row r="190" spans="1:85" s="460" customFormat="1" ht="14.4" hidden="1" outlineLevel="1" x14ac:dyDescent="0.3">
      <c r="A190" s="591" t="s">
        <v>999</v>
      </c>
      <c r="B190" s="586"/>
      <c r="C190" s="150"/>
      <c r="D190" s="150"/>
      <c r="E190" s="150"/>
      <c r="F190" s="150"/>
      <c r="G190" s="117"/>
      <c r="H190" s="117"/>
      <c r="I190" s="117"/>
      <c r="J190" s="117"/>
      <c r="K190" s="150"/>
      <c r="L190" s="117"/>
      <c r="M190" s="117"/>
      <c r="N190" s="117"/>
      <c r="O190" s="117"/>
      <c r="P190" s="150"/>
      <c r="Q190" s="117"/>
      <c r="R190" s="117"/>
      <c r="S190" s="117"/>
      <c r="T190" s="117"/>
      <c r="U190" s="150"/>
      <c r="V190" s="117"/>
      <c r="W190" s="117"/>
      <c r="X190" s="117"/>
      <c r="Y190" s="117"/>
      <c r="Z190" s="150"/>
      <c r="AA190" s="117"/>
      <c r="AB190" s="117"/>
      <c r="AC190" s="117"/>
      <c r="AD190" s="117"/>
      <c r="AE190" s="150"/>
      <c r="AF190" s="117"/>
      <c r="AG190" s="117"/>
      <c r="AH190" s="117"/>
      <c r="AI190" s="117"/>
      <c r="AJ190" s="150"/>
      <c r="AK190" s="117"/>
      <c r="AL190" s="117"/>
      <c r="AM190" s="117"/>
      <c r="AN190" s="117"/>
      <c r="AO190" s="975">
        <v>1981</v>
      </c>
      <c r="AP190" s="117"/>
      <c r="AQ190" s="117"/>
      <c r="AR190" s="117"/>
      <c r="AS190" s="117"/>
      <c r="AT190" s="975">
        <v>2023</v>
      </c>
      <c r="AU190" s="117"/>
      <c r="AV190" s="117"/>
      <c r="AW190" s="117"/>
      <c r="AX190" s="117"/>
      <c r="AY190" s="975">
        <v>582</v>
      </c>
      <c r="AZ190" s="117"/>
      <c r="BA190" s="117"/>
      <c r="BB190" s="117"/>
      <c r="BC190" s="117"/>
      <c r="BD190" s="975">
        <v>646</v>
      </c>
      <c r="BE190" s="117"/>
      <c r="BF190" s="117"/>
      <c r="BG190" s="117"/>
      <c r="BH190" s="117"/>
      <c r="BI190" s="975">
        <v>673</v>
      </c>
      <c r="BJ190" s="117"/>
      <c r="BK190" s="117"/>
      <c r="BL190" s="117"/>
      <c r="BM190" s="117"/>
      <c r="BN190" s="975">
        <v>733</v>
      </c>
      <c r="BO190" s="117"/>
      <c r="BP190" s="117"/>
      <c r="BQ190" s="117"/>
      <c r="BR190" s="117"/>
      <c r="BS190" s="975">
        <v>853</v>
      </c>
      <c r="BT190" s="691"/>
      <c r="BU190" s="117"/>
      <c r="BV190" s="117"/>
      <c r="BW190" s="117"/>
      <c r="BX190" s="150"/>
      <c r="BY190" s="117"/>
      <c r="BZ190" s="117"/>
      <c r="CA190" s="117"/>
      <c r="CB190" s="117"/>
      <c r="CC190" s="150"/>
      <c r="CD190" s="150"/>
      <c r="CE190" s="150"/>
      <c r="CF190" s="150"/>
      <c r="CG190" s="587"/>
    </row>
    <row r="191" spans="1:85" s="460" customFormat="1" ht="14.4" hidden="1" outlineLevel="1" x14ac:dyDescent="0.3">
      <c r="A191" s="591" t="s">
        <v>1000</v>
      </c>
      <c r="B191" s="586"/>
      <c r="C191" s="150"/>
      <c r="D191" s="150"/>
      <c r="E191" s="150"/>
      <c r="F191" s="150"/>
      <c r="G191" s="117"/>
      <c r="H191" s="117"/>
      <c r="I191" s="117"/>
      <c r="J191" s="117"/>
      <c r="K191" s="150"/>
      <c r="L191" s="117"/>
      <c r="M191" s="117"/>
      <c r="N191" s="117"/>
      <c r="O191" s="117"/>
      <c r="P191" s="150"/>
      <c r="Q191" s="117"/>
      <c r="R191" s="117"/>
      <c r="S191" s="117"/>
      <c r="T191" s="117"/>
      <c r="U191" s="150"/>
      <c r="V191" s="117"/>
      <c r="W191" s="117"/>
      <c r="X191" s="117"/>
      <c r="Y191" s="117"/>
      <c r="Z191" s="150"/>
      <c r="AA191" s="117"/>
      <c r="AB191" s="117"/>
      <c r="AC191" s="117"/>
      <c r="AD191" s="117"/>
      <c r="AE191" s="150"/>
      <c r="AF191" s="117"/>
      <c r="AG191" s="117"/>
      <c r="AH191" s="117"/>
      <c r="AI191" s="117"/>
      <c r="AJ191" s="150"/>
      <c r="AK191" s="117"/>
      <c r="AL191" s="117"/>
      <c r="AM191" s="117"/>
      <c r="AN191" s="117"/>
      <c r="AO191" s="975">
        <v>0</v>
      </c>
      <c r="AP191" s="117"/>
      <c r="AQ191" s="117"/>
      <c r="AR191" s="117"/>
      <c r="AS191" s="117"/>
      <c r="AT191" s="975">
        <v>0</v>
      </c>
      <c r="AU191" s="117"/>
      <c r="AV191" s="117"/>
      <c r="AW191" s="117"/>
      <c r="AX191" s="117"/>
      <c r="AY191" s="975">
        <v>0</v>
      </c>
      <c r="AZ191" s="117"/>
      <c r="BA191" s="117"/>
      <c r="BB191" s="117"/>
      <c r="BC191" s="117"/>
      <c r="BD191" s="975">
        <v>0</v>
      </c>
      <c r="BE191" s="117"/>
      <c r="BF191" s="117"/>
      <c r="BG191" s="117"/>
      <c r="BH191" s="117"/>
      <c r="BI191" s="975">
        <v>0</v>
      </c>
      <c r="BJ191" s="117"/>
      <c r="BK191" s="117"/>
      <c r="BL191" s="117"/>
      <c r="BM191" s="117"/>
      <c r="BN191" s="975">
        <v>0</v>
      </c>
      <c r="BO191" s="117"/>
      <c r="BP191" s="117"/>
      <c r="BQ191" s="117"/>
      <c r="BR191" s="117"/>
      <c r="BS191" s="975">
        <v>0</v>
      </c>
      <c r="BT191" s="691"/>
      <c r="BU191" s="117"/>
      <c r="BV191" s="117"/>
      <c r="BW191" s="117"/>
      <c r="BX191" s="150"/>
      <c r="BY191" s="117"/>
      <c r="BZ191" s="117"/>
      <c r="CA191" s="117"/>
      <c r="CB191" s="117"/>
      <c r="CC191" s="150"/>
      <c r="CD191" s="150"/>
      <c r="CE191" s="150"/>
      <c r="CF191" s="150"/>
      <c r="CG191" s="587"/>
    </row>
    <row r="192" spans="1:85" s="460" customFormat="1" ht="14.4" hidden="1" outlineLevel="1" x14ac:dyDescent="0.3">
      <c r="A192" s="592" t="s">
        <v>1001</v>
      </c>
      <c r="B192" s="588"/>
      <c r="C192" s="954"/>
      <c r="D192" s="954"/>
      <c r="E192" s="954"/>
      <c r="F192" s="954"/>
      <c r="G192" s="133"/>
      <c r="H192" s="133"/>
      <c r="I192" s="133"/>
      <c r="J192" s="133"/>
      <c r="K192" s="954"/>
      <c r="L192" s="133"/>
      <c r="M192" s="133"/>
      <c r="N192" s="133"/>
      <c r="O192" s="133"/>
      <c r="P192" s="954"/>
      <c r="Q192" s="133"/>
      <c r="R192" s="133"/>
      <c r="S192" s="133"/>
      <c r="T192" s="133"/>
      <c r="U192" s="954"/>
      <c r="V192" s="133"/>
      <c r="W192" s="133"/>
      <c r="X192" s="133"/>
      <c r="Y192" s="133"/>
      <c r="Z192" s="954"/>
      <c r="AA192" s="133"/>
      <c r="AB192" s="133"/>
      <c r="AC192" s="133"/>
      <c r="AD192" s="133"/>
      <c r="AE192" s="954"/>
      <c r="AF192" s="133"/>
      <c r="AG192" s="133"/>
      <c r="AH192" s="133"/>
      <c r="AI192" s="133"/>
      <c r="AJ192" s="954"/>
      <c r="AK192" s="133"/>
      <c r="AL192" s="133"/>
      <c r="AM192" s="133"/>
      <c r="AN192" s="133"/>
      <c r="AO192" s="976">
        <v>16503</v>
      </c>
      <c r="AP192" s="133"/>
      <c r="AQ192" s="133"/>
      <c r="AR192" s="133"/>
      <c r="AS192" s="133"/>
      <c r="AT192" s="976">
        <v>18806</v>
      </c>
      <c r="AU192" s="133"/>
      <c r="AV192" s="133"/>
      <c r="AW192" s="133"/>
      <c r="AX192" s="133"/>
      <c r="AY192" s="976">
        <v>19382</v>
      </c>
      <c r="AZ192" s="133"/>
      <c r="BA192" s="133"/>
      <c r="BB192" s="133"/>
      <c r="BC192" s="133"/>
      <c r="BD192" s="976">
        <v>20590</v>
      </c>
      <c r="BE192" s="133"/>
      <c r="BF192" s="133"/>
      <c r="BG192" s="133"/>
      <c r="BH192" s="133"/>
      <c r="BI192" s="976">
        <v>15438</v>
      </c>
      <c r="BJ192" s="133"/>
      <c r="BK192" s="133"/>
      <c r="BL192" s="133"/>
      <c r="BM192" s="133"/>
      <c r="BN192" s="976">
        <v>4634</v>
      </c>
      <c r="BO192" s="133"/>
      <c r="BP192" s="133"/>
      <c r="BQ192" s="133"/>
      <c r="BR192" s="133"/>
      <c r="BS192" s="976">
        <v>970</v>
      </c>
      <c r="BT192" s="692"/>
      <c r="BU192" s="133"/>
      <c r="BV192" s="133"/>
      <c r="BW192" s="133"/>
      <c r="BX192" s="954"/>
      <c r="BY192" s="133"/>
      <c r="BZ192" s="133"/>
      <c r="CA192" s="133"/>
      <c r="CB192" s="133"/>
      <c r="CC192" s="954"/>
      <c r="CD192" s="954"/>
      <c r="CE192" s="954"/>
      <c r="CF192" s="954"/>
      <c r="CG192" s="587"/>
    </row>
    <row r="193" spans="1:85" s="460" customFormat="1" ht="14.4" hidden="1" outlineLevel="1" x14ac:dyDescent="0.3">
      <c r="A193" s="159" t="s">
        <v>1002</v>
      </c>
      <c r="B193" s="586"/>
      <c r="C193" s="150"/>
      <c r="D193" s="150"/>
      <c r="E193" s="150"/>
      <c r="F193" s="150"/>
      <c r="G193" s="117"/>
      <c r="H193" s="117"/>
      <c r="I193" s="117"/>
      <c r="J193" s="117"/>
      <c r="K193" s="150"/>
      <c r="L193" s="117"/>
      <c r="M193" s="117"/>
      <c r="N193" s="117"/>
      <c r="O193" s="117"/>
      <c r="P193" s="150"/>
      <c r="Q193" s="117"/>
      <c r="R193" s="117"/>
      <c r="S193" s="117"/>
      <c r="T193" s="117"/>
      <c r="U193" s="150"/>
      <c r="V193" s="117"/>
      <c r="W193" s="117"/>
      <c r="X193" s="117"/>
      <c r="Y193" s="117"/>
      <c r="Z193" s="150"/>
      <c r="AA193" s="117"/>
      <c r="AB193" s="117"/>
      <c r="AC193" s="117"/>
      <c r="AD193" s="117"/>
      <c r="AE193" s="150"/>
      <c r="AF193" s="117"/>
      <c r="AG193" s="117"/>
      <c r="AH193" s="117"/>
      <c r="AI193" s="117"/>
      <c r="AJ193" s="150"/>
      <c r="AK193" s="117"/>
      <c r="AL193" s="117"/>
      <c r="AM193" s="117"/>
      <c r="AN193" s="117"/>
      <c r="AO193" s="150">
        <f>SUM(AO188:AO192)</f>
        <v>29349</v>
      </c>
      <c r="AP193" s="117"/>
      <c r="AQ193" s="117"/>
      <c r="AR193" s="117"/>
      <c r="AS193" s="117"/>
      <c r="AT193" s="150">
        <f>SUM(AT188:AT192)</f>
        <v>32263</v>
      </c>
      <c r="AU193" s="117"/>
      <c r="AV193" s="117"/>
      <c r="AW193" s="117"/>
      <c r="AX193" s="117"/>
      <c r="AY193" s="150">
        <f>SUM(AY188:AY192)</f>
        <v>34707</v>
      </c>
      <c r="AZ193" s="117"/>
      <c r="BA193" s="117"/>
      <c r="BB193" s="117"/>
      <c r="BC193" s="117"/>
      <c r="BD193" s="150">
        <f>SUM(BD188:BD192)</f>
        <v>37137</v>
      </c>
      <c r="BE193" s="117"/>
      <c r="BF193" s="117"/>
      <c r="BG193" s="117"/>
      <c r="BH193" s="117"/>
      <c r="BI193" s="150">
        <f>SUM(BI188:BI192)</f>
        <v>39358</v>
      </c>
      <c r="BJ193" s="117"/>
      <c r="BK193" s="117"/>
      <c r="BL193" s="117"/>
      <c r="BM193" s="117"/>
      <c r="BN193" s="150">
        <f>SUM(BN188:BN192)</f>
        <v>40849</v>
      </c>
      <c r="BO193" s="117"/>
      <c r="BP193" s="117"/>
      <c r="BQ193" s="117"/>
      <c r="BR193" s="117"/>
      <c r="BS193" s="150">
        <f>SUM(BS188:BS192)</f>
        <v>41446</v>
      </c>
      <c r="BT193" s="691"/>
      <c r="BU193" s="117"/>
      <c r="BV193" s="117"/>
      <c r="BW193" s="117"/>
      <c r="BX193" s="150"/>
      <c r="BY193" s="117"/>
      <c r="BZ193" s="117"/>
      <c r="CA193" s="117"/>
      <c r="CB193" s="117"/>
      <c r="CC193" s="150"/>
      <c r="CD193" s="150"/>
      <c r="CE193" s="150"/>
      <c r="CF193" s="150"/>
      <c r="CG193" s="587"/>
    </row>
    <row r="194" spans="1:85" s="460" customFormat="1" ht="14.4" hidden="1" outlineLevel="1" x14ac:dyDescent="0.3">
      <c r="A194" s="591" t="s">
        <v>1003</v>
      </c>
      <c r="B194" s="586"/>
      <c r="C194" s="150"/>
      <c r="D194" s="150"/>
      <c r="E194" s="150"/>
      <c r="F194" s="150"/>
      <c r="G194" s="117"/>
      <c r="H194" s="117"/>
      <c r="I194" s="117"/>
      <c r="J194" s="117"/>
      <c r="K194" s="150"/>
      <c r="L194" s="117"/>
      <c r="M194" s="117"/>
      <c r="N194" s="117"/>
      <c r="O194" s="117"/>
      <c r="P194" s="150"/>
      <c r="Q194" s="117"/>
      <c r="R194" s="117"/>
      <c r="S194" s="117"/>
      <c r="T194" s="117"/>
      <c r="U194" s="150"/>
      <c r="V194" s="117"/>
      <c r="W194" s="117"/>
      <c r="X194" s="117"/>
      <c r="Y194" s="117"/>
      <c r="Z194" s="150"/>
      <c r="AA194" s="117"/>
      <c r="AB194" s="117"/>
      <c r="AC194" s="117"/>
      <c r="AD194" s="117"/>
      <c r="AE194" s="150"/>
      <c r="AF194" s="117"/>
      <c r="AG194" s="117"/>
      <c r="AH194" s="117"/>
      <c r="AI194" s="117"/>
      <c r="AJ194" s="150"/>
      <c r="AK194" s="117"/>
      <c r="AL194" s="117"/>
      <c r="AM194" s="117"/>
      <c r="AN194" s="117"/>
      <c r="AO194" s="975">
        <v>65</v>
      </c>
      <c r="AP194" s="117"/>
      <c r="AQ194" s="117"/>
      <c r="AR194" s="117"/>
      <c r="AS194" s="117"/>
      <c r="AT194" s="975">
        <v>67</v>
      </c>
      <c r="AU194" s="117"/>
      <c r="AV194" s="117"/>
      <c r="AW194" s="117"/>
      <c r="AX194" s="117"/>
      <c r="AY194" s="975">
        <v>70</v>
      </c>
      <c r="AZ194" s="117"/>
      <c r="BA194" s="117"/>
      <c r="BB194" s="117"/>
      <c r="BC194" s="117"/>
      <c r="BD194" s="975">
        <v>74</v>
      </c>
      <c r="BE194" s="117"/>
      <c r="BF194" s="117"/>
      <c r="BG194" s="117"/>
      <c r="BH194" s="117"/>
      <c r="BI194" s="975">
        <v>77</v>
      </c>
      <c r="BJ194" s="117"/>
      <c r="BK194" s="117"/>
      <c r="BL194" s="117"/>
      <c r="BM194" s="117"/>
      <c r="BN194" s="975">
        <v>80</v>
      </c>
      <c r="BO194" s="117"/>
      <c r="BP194" s="117"/>
      <c r="BQ194" s="117"/>
      <c r="BR194" s="117"/>
      <c r="BS194" s="975">
        <v>84</v>
      </c>
      <c r="BT194" s="691"/>
      <c r="BU194" s="117"/>
      <c r="BV194" s="117"/>
      <c r="BW194" s="117"/>
      <c r="BX194" s="150"/>
      <c r="BY194" s="117"/>
      <c r="BZ194" s="117"/>
      <c r="CA194" s="117"/>
      <c r="CB194" s="117"/>
      <c r="CC194" s="150"/>
      <c r="CD194" s="150"/>
      <c r="CE194" s="150"/>
      <c r="CF194" s="150"/>
      <c r="CG194" s="587"/>
    </row>
    <row r="195" spans="1:85" s="460" customFormat="1" ht="14.4" hidden="1" outlineLevel="1" x14ac:dyDescent="0.3">
      <c r="A195" s="591" t="s">
        <v>1004</v>
      </c>
      <c r="B195" s="586"/>
      <c r="C195" s="150"/>
      <c r="D195" s="150"/>
      <c r="E195" s="150"/>
      <c r="F195" s="150"/>
      <c r="G195" s="117"/>
      <c r="H195" s="117"/>
      <c r="I195" s="117"/>
      <c r="J195" s="117"/>
      <c r="K195" s="150"/>
      <c r="L195" s="117"/>
      <c r="M195" s="117"/>
      <c r="N195" s="117"/>
      <c r="O195" s="117"/>
      <c r="P195" s="150"/>
      <c r="Q195" s="117"/>
      <c r="R195" s="117"/>
      <c r="S195" s="117"/>
      <c r="T195" s="117"/>
      <c r="U195" s="150"/>
      <c r="V195" s="117"/>
      <c r="W195" s="117"/>
      <c r="X195" s="117"/>
      <c r="Y195" s="117"/>
      <c r="Z195" s="150"/>
      <c r="AA195" s="117"/>
      <c r="AB195" s="117"/>
      <c r="AC195" s="117"/>
      <c r="AD195" s="117"/>
      <c r="AE195" s="150"/>
      <c r="AF195" s="117"/>
      <c r="AG195" s="117"/>
      <c r="AH195" s="117"/>
      <c r="AI195" s="117"/>
      <c r="AJ195" s="150"/>
      <c r="AK195" s="117"/>
      <c r="AL195" s="117"/>
      <c r="AM195" s="117"/>
      <c r="AN195" s="117"/>
      <c r="AO195" s="975">
        <v>6018</v>
      </c>
      <c r="AP195" s="117"/>
      <c r="AQ195" s="117"/>
      <c r="AR195" s="117"/>
      <c r="AS195" s="117"/>
      <c r="AT195" s="975">
        <v>6746</v>
      </c>
      <c r="AU195" s="117"/>
      <c r="AV195" s="117"/>
      <c r="AW195" s="117"/>
      <c r="AX195" s="117"/>
      <c r="AY195" s="975">
        <v>8461</v>
      </c>
      <c r="AZ195" s="117"/>
      <c r="BA195" s="117"/>
      <c r="BB195" s="117"/>
      <c r="BC195" s="117"/>
      <c r="BD195" s="975">
        <v>9441</v>
      </c>
      <c r="BE195" s="117"/>
      <c r="BF195" s="117"/>
      <c r="BG195" s="117"/>
      <c r="BH195" s="117"/>
      <c r="BI195" s="975">
        <v>10279</v>
      </c>
      <c r="BJ195" s="117"/>
      <c r="BK195" s="117"/>
      <c r="BL195" s="117"/>
      <c r="BM195" s="117"/>
      <c r="BN195" s="975">
        <v>11441</v>
      </c>
      <c r="BO195" s="117"/>
      <c r="BP195" s="117"/>
      <c r="BQ195" s="117"/>
      <c r="BR195" s="117"/>
      <c r="BS195" s="975">
        <v>15989</v>
      </c>
      <c r="BT195" s="691"/>
      <c r="BU195" s="117"/>
      <c r="BV195" s="117"/>
      <c r="BW195" s="117"/>
      <c r="BX195" s="150"/>
      <c r="BY195" s="117"/>
      <c r="BZ195" s="117"/>
      <c r="CA195" s="117"/>
      <c r="CB195" s="117"/>
      <c r="CC195" s="150"/>
      <c r="CD195" s="150"/>
      <c r="CE195" s="150"/>
      <c r="CF195" s="150"/>
      <c r="CG195" s="587"/>
    </row>
    <row r="196" spans="1:85" s="460" customFormat="1" ht="14.4" hidden="1" outlineLevel="1" x14ac:dyDescent="0.3">
      <c r="A196" s="592" t="s">
        <v>1005</v>
      </c>
      <c r="B196" s="588"/>
      <c r="C196" s="954"/>
      <c r="D196" s="954"/>
      <c r="E196" s="954"/>
      <c r="F196" s="954"/>
      <c r="G196" s="133"/>
      <c r="H196" s="133"/>
      <c r="I196" s="133"/>
      <c r="J196" s="133"/>
      <c r="K196" s="954"/>
      <c r="L196" s="133"/>
      <c r="M196" s="133"/>
      <c r="N196" s="133"/>
      <c r="O196" s="133"/>
      <c r="P196" s="954"/>
      <c r="Q196" s="133"/>
      <c r="R196" s="133"/>
      <c r="S196" s="133"/>
      <c r="T196" s="133"/>
      <c r="U196" s="954"/>
      <c r="V196" s="133"/>
      <c r="W196" s="133"/>
      <c r="X196" s="133"/>
      <c r="Y196" s="133"/>
      <c r="Z196" s="954"/>
      <c r="AA196" s="133"/>
      <c r="AB196" s="133"/>
      <c r="AC196" s="133"/>
      <c r="AD196" s="133"/>
      <c r="AE196" s="954"/>
      <c r="AF196" s="133"/>
      <c r="AG196" s="133"/>
      <c r="AH196" s="133"/>
      <c r="AI196" s="133"/>
      <c r="AJ196" s="954"/>
      <c r="AK196" s="133"/>
      <c r="AL196" s="133"/>
      <c r="AM196" s="133"/>
      <c r="AN196" s="133"/>
      <c r="AO196" s="976">
        <v>1053</v>
      </c>
      <c r="AP196" s="133"/>
      <c r="AQ196" s="133"/>
      <c r="AR196" s="133"/>
      <c r="AS196" s="133"/>
      <c r="AT196" s="976">
        <v>1169</v>
      </c>
      <c r="AU196" s="133"/>
      <c r="AV196" s="133"/>
      <c r="AW196" s="133"/>
      <c r="AX196" s="133"/>
      <c r="AY196" s="976">
        <v>362</v>
      </c>
      <c r="AZ196" s="133"/>
      <c r="BA196" s="133"/>
      <c r="BB196" s="133"/>
      <c r="BC196" s="133"/>
      <c r="BD196" s="976">
        <v>424</v>
      </c>
      <c r="BE196" s="133"/>
      <c r="BF196" s="133"/>
      <c r="BG196" s="133"/>
      <c r="BH196" s="133"/>
      <c r="BI196" s="976">
        <v>478</v>
      </c>
      <c r="BJ196" s="133"/>
      <c r="BK196" s="133"/>
      <c r="BL196" s="133"/>
      <c r="BM196" s="133"/>
      <c r="BN196" s="976">
        <v>535</v>
      </c>
      <c r="BO196" s="133"/>
      <c r="BP196" s="133"/>
      <c r="BQ196" s="133"/>
      <c r="BR196" s="133"/>
      <c r="BS196" s="976">
        <v>600</v>
      </c>
      <c r="BT196" s="692"/>
      <c r="BU196" s="133"/>
      <c r="BV196" s="133"/>
      <c r="BW196" s="133"/>
      <c r="BX196" s="954"/>
      <c r="BY196" s="133"/>
      <c r="BZ196" s="133"/>
      <c r="CA196" s="133"/>
      <c r="CB196" s="133"/>
      <c r="CC196" s="954"/>
      <c r="CD196" s="954"/>
      <c r="CE196" s="954"/>
      <c r="CF196" s="954"/>
      <c r="CG196" s="587"/>
    </row>
    <row r="197" spans="1:85" s="460" customFormat="1" ht="14.4" hidden="1" outlineLevel="1" x14ac:dyDescent="0.3">
      <c r="A197" s="593" t="s">
        <v>1006</v>
      </c>
      <c r="B197" s="589"/>
      <c r="C197" s="977"/>
      <c r="D197" s="977"/>
      <c r="E197" s="977"/>
      <c r="F197" s="977"/>
      <c r="G197" s="590"/>
      <c r="H197" s="590"/>
      <c r="I197" s="590"/>
      <c r="J197" s="590"/>
      <c r="K197" s="977"/>
      <c r="L197" s="590"/>
      <c r="M197" s="590"/>
      <c r="N197" s="590"/>
      <c r="O197" s="590"/>
      <c r="P197" s="977"/>
      <c r="Q197" s="590"/>
      <c r="R197" s="590"/>
      <c r="S197" s="590"/>
      <c r="T197" s="590"/>
      <c r="U197" s="977"/>
      <c r="V197" s="590"/>
      <c r="W197" s="590"/>
      <c r="X197" s="590"/>
      <c r="Y197" s="590"/>
      <c r="Z197" s="977"/>
      <c r="AA197" s="590"/>
      <c r="AB197" s="590"/>
      <c r="AC197" s="590"/>
      <c r="AD197" s="590"/>
      <c r="AE197" s="977"/>
      <c r="AF197" s="590"/>
      <c r="AG197" s="590"/>
      <c r="AH197" s="590"/>
      <c r="AI197" s="590"/>
      <c r="AJ197" s="977"/>
      <c r="AK197" s="590"/>
      <c r="AL197" s="590"/>
      <c r="AM197" s="590"/>
      <c r="AN197" s="590"/>
      <c r="AO197" s="977">
        <f>SUM(AO194:AO196)</f>
        <v>7136</v>
      </c>
      <c r="AP197" s="590"/>
      <c r="AQ197" s="590"/>
      <c r="AR197" s="590"/>
      <c r="AS197" s="590"/>
      <c r="AT197" s="977">
        <f>SUM(AT194:AT196)</f>
        <v>7982</v>
      </c>
      <c r="AU197" s="590"/>
      <c r="AV197" s="590"/>
      <c r="AW197" s="590"/>
      <c r="AX197" s="590"/>
      <c r="AY197" s="977">
        <f>SUM(AY194:AY196)</f>
        <v>8893</v>
      </c>
      <c r="AZ197" s="590"/>
      <c r="BA197" s="590"/>
      <c r="BB197" s="590"/>
      <c r="BC197" s="590"/>
      <c r="BD197" s="977">
        <f>SUM(BD194:BD196)</f>
        <v>9939</v>
      </c>
      <c r="BE197" s="590"/>
      <c r="BF197" s="590"/>
      <c r="BG197" s="590"/>
      <c r="BH197" s="590"/>
      <c r="BI197" s="977">
        <f>SUM(BI194:BI196)</f>
        <v>10834</v>
      </c>
      <c r="BJ197" s="590"/>
      <c r="BK197" s="590"/>
      <c r="BL197" s="590"/>
      <c r="BM197" s="590"/>
      <c r="BN197" s="977">
        <f>SUM(BN194:BN196)</f>
        <v>12056</v>
      </c>
      <c r="BO197" s="590"/>
      <c r="BP197" s="590"/>
      <c r="BQ197" s="590"/>
      <c r="BR197" s="590"/>
      <c r="BS197" s="977">
        <f>SUM(BS194:BS196)</f>
        <v>16673</v>
      </c>
      <c r="BT197" s="708"/>
      <c r="BU197" s="590"/>
      <c r="BV197" s="590"/>
      <c r="BW197" s="590"/>
      <c r="BX197" s="977"/>
      <c r="BY197" s="590"/>
      <c r="BZ197" s="590"/>
      <c r="CA197" s="590"/>
      <c r="CB197" s="590"/>
      <c r="CC197" s="977"/>
      <c r="CD197" s="977"/>
      <c r="CE197" s="977"/>
      <c r="CF197" s="977"/>
      <c r="CG197" s="587"/>
    </row>
    <row r="198" spans="1:85" s="461" customFormat="1" ht="14.4" hidden="1" outlineLevel="1" x14ac:dyDescent="0.3">
      <c r="A198" s="166" t="s">
        <v>1007</v>
      </c>
      <c r="B198" s="583"/>
      <c r="C198" s="957"/>
      <c r="D198" s="957"/>
      <c r="E198" s="957"/>
      <c r="F198" s="957"/>
      <c r="G198" s="120"/>
      <c r="H198" s="120"/>
      <c r="I198" s="120"/>
      <c r="J198" s="120"/>
      <c r="K198" s="957"/>
      <c r="L198" s="120"/>
      <c r="M198" s="120"/>
      <c r="N198" s="120"/>
      <c r="O198" s="120"/>
      <c r="P198" s="957"/>
      <c r="Q198" s="120"/>
      <c r="R198" s="120"/>
      <c r="S198" s="120"/>
      <c r="T198" s="120"/>
      <c r="U198" s="957"/>
      <c r="V198" s="120"/>
      <c r="W198" s="120"/>
      <c r="X198" s="120"/>
      <c r="Y198" s="120"/>
      <c r="Z198" s="957"/>
      <c r="AA198" s="120"/>
      <c r="AB198" s="120"/>
      <c r="AC198" s="120"/>
      <c r="AD198" s="120"/>
      <c r="AE198" s="957"/>
      <c r="AF198" s="120"/>
      <c r="AG198" s="120"/>
      <c r="AH198" s="120"/>
      <c r="AI198" s="120"/>
      <c r="AJ198" s="957"/>
      <c r="AK198" s="120"/>
      <c r="AL198" s="120"/>
      <c r="AM198" s="120"/>
      <c r="AN198" s="120"/>
      <c r="AO198" s="957">
        <f>AO193-AO197</f>
        <v>22213</v>
      </c>
      <c r="AP198" s="120"/>
      <c r="AQ198" s="120"/>
      <c r="AR198" s="120"/>
      <c r="AS198" s="120"/>
      <c r="AT198" s="957">
        <f>AT193-AT197</f>
        <v>24281</v>
      </c>
      <c r="AU198" s="120"/>
      <c r="AV198" s="120"/>
      <c r="AW198" s="120"/>
      <c r="AX198" s="120"/>
      <c r="AY198" s="957">
        <f>AY193-AY197</f>
        <v>25814</v>
      </c>
      <c r="AZ198" s="120"/>
      <c r="BA198" s="120"/>
      <c r="BB198" s="120"/>
      <c r="BC198" s="120"/>
      <c r="BD198" s="957">
        <f>BD193-BD197</f>
        <v>27198</v>
      </c>
      <c r="BE198" s="120"/>
      <c r="BF198" s="120"/>
      <c r="BG198" s="120"/>
      <c r="BH198" s="120"/>
      <c r="BI198" s="957">
        <f>BI193-BI197</f>
        <v>28524</v>
      </c>
      <c r="BJ198" s="120"/>
      <c r="BK198" s="120"/>
      <c r="BL198" s="120"/>
      <c r="BM198" s="120"/>
      <c r="BN198" s="957">
        <f>BN193-BN197</f>
        <v>28793</v>
      </c>
      <c r="BO198" s="120"/>
      <c r="BP198" s="120"/>
      <c r="BQ198" s="120"/>
      <c r="BR198" s="120"/>
      <c r="BS198" s="957">
        <f>BS193-BS197</f>
        <v>24773</v>
      </c>
      <c r="BT198" s="694"/>
      <c r="BU198" s="120"/>
      <c r="BV198" s="120"/>
      <c r="BW198" s="120"/>
      <c r="BX198" s="957"/>
      <c r="BY198" s="120"/>
      <c r="BZ198" s="120"/>
      <c r="CA198" s="120"/>
      <c r="CB198" s="120"/>
      <c r="CC198" s="957"/>
      <c r="CD198" s="957"/>
      <c r="CE198" s="957"/>
      <c r="CF198" s="957"/>
      <c r="CG198" s="615"/>
    </row>
    <row r="199" spans="1:85" s="461" customFormat="1" ht="14.4" hidden="1" outlineLevel="1" x14ac:dyDescent="0.3">
      <c r="A199" s="166"/>
      <c r="B199" s="583"/>
      <c r="C199" s="957"/>
      <c r="D199" s="957"/>
      <c r="E199" s="957"/>
      <c r="F199" s="957"/>
      <c r="G199" s="120"/>
      <c r="H199" s="120"/>
      <c r="I199" s="120"/>
      <c r="J199" s="120"/>
      <c r="K199" s="957"/>
      <c r="L199" s="120"/>
      <c r="M199" s="120"/>
      <c r="N199" s="120"/>
      <c r="O199" s="120"/>
      <c r="P199" s="957"/>
      <c r="Q199" s="120"/>
      <c r="R199" s="120"/>
      <c r="S199" s="120"/>
      <c r="T199" s="120"/>
      <c r="U199" s="957"/>
      <c r="V199" s="120"/>
      <c r="W199" s="120"/>
      <c r="X199" s="120"/>
      <c r="Y199" s="120"/>
      <c r="Z199" s="957"/>
      <c r="AA199" s="120"/>
      <c r="AB199" s="120"/>
      <c r="AC199" s="120"/>
      <c r="AD199" s="120"/>
      <c r="AE199" s="957"/>
      <c r="AF199" s="120"/>
      <c r="AG199" s="120"/>
      <c r="AH199" s="120"/>
      <c r="AI199" s="120"/>
      <c r="AJ199" s="957"/>
      <c r="AK199" s="120"/>
      <c r="AL199" s="120"/>
      <c r="AM199" s="120"/>
      <c r="AN199" s="120"/>
      <c r="AO199" s="957"/>
      <c r="AP199" s="120"/>
      <c r="AQ199" s="120"/>
      <c r="AR199" s="120"/>
      <c r="AS199" s="120"/>
      <c r="AT199" s="957"/>
      <c r="AU199" s="120"/>
      <c r="AV199" s="120"/>
      <c r="AW199" s="120"/>
      <c r="AX199" s="120"/>
      <c r="AY199" s="957"/>
      <c r="AZ199" s="120"/>
      <c r="BA199" s="120"/>
      <c r="BB199" s="120"/>
      <c r="BC199" s="120"/>
      <c r="BD199" s="957"/>
      <c r="BE199" s="120"/>
      <c r="BF199" s="120"/>
      <c r="BG199" s="120"/>
      <c r="BH199" s="120"/>
      <c r="BI199" s="957"/>
      <c r="BJ199" s="120"/>
      <c r="BK199" s="120"/>
      <c r="BL199" s="120"/>
      <c r="BM199" s="120"/>
      <c r="BN199" s="957"/>
      <c r="BO199" s="120"/>
      <c r="BP199" s="120"/>
      <c r="BQ199" s="120"/>
      <c r="BR199" s="120"/>
      <c r="BS199" s="957"/>
      <c r="BT199" s="694"/>
      <c r="BU199" s="120"/>
      <c r="BV199" s="120"/>
      <c r="BW199" s="120"/>
      <c r="BX199" s="957"/>
      <c r="BY199" s="120"/>
      <c r="BZ199" s="120"/>
      <c r="CA199" s="120"/>
      <c r="CB199" s="120"/>
      <c r="CC199" s="957"/>
      <c r="CD199" s="957"/>
      <c r="CE199" s="957"/>
      <c r="CF199" s="957"/>
      <c r="CG199" s="615"/>
    </row>
    <row r="200" spans="1:85" s="460" customFormat="1" ht="14.4" hidden="1" outlineLevel="1" x14ac:dyDescent="0.3">
      <c r="A200" s="591" t="s">
        <v>986</v>
      </c>
      <c r="B200" s="586"/>
      <c r="C200" s="150"/>
      <c r="D200" s="150"/>
      <c r="E200" s="150"/>
      <c r="F200" s="150"/>
      <c r="G200" s="117"/>
      <c r="H200" s="117"/>
      <c r="I200" s="117"/>
      <c r="J200" s="117"/>
      <c r="K200" s="150"/>
      <c r="L200" s="117"/>
      <c r="M200" s="117"/>
      <c r="N200" s="117"/>
      <c r="O200" s="117"/>
      <c r="P200" s="150"/>
      <c r="Q200" s="117"/>
      <c r="R200" s="117"/>
      <c r="S200" s="117"/>
      <c r="T200" s="117"/>
      <c r="U200" s="150"/>
      <c r="V200" s="117"/>
      <c r="W200" s="117"/>
      <c r="X200" s="117"/>
      <c r="Y200" s="117"/>
      <c r="Z200" s="150"/>
      <c r="AA200" s="117"/>
      <c r="AB200" s="117"/>
      <c r="AC200" s="117"/>
      <c r="AD200" s="117"/>
      <c r="AE200" s="150"/>
      <c r="AF200" s="117"/>
      <c r="AG200" s="117"/>
      <c r="AH200" s="117"/>
      <c r="AI200" s="117"/>
      <c r="AJ200" s="150"/>
      <c r="AK200" s="117"/>
      <c r="AL200" s="117"/>
      <c r="AM200" s="117"/>
      <c r="AN200" s="117"/>
      <c r="AO200" s="975">
        <v>0</v>
      </c>
      <c r="AP200" s="117"/>
      <c r="AQ200" s="117"/>
      <c r="AR200" s="117"/>
      <c r="AS200" s="117"/>
      <c r="AT200" s="975">
        <v>0</v>
      </c>
      <c r="AU200" s="117"/>
      <c r="AV200" s="117"/>
      <c r="AW200" s="117"/>
      <c r="AX200" s="117"/>
      <c r="AY200" s="975">
        <v>0</v>
      </c>
      <c r="AZ200" s="117"/>
      <c r="BA200" s="117"/>
      <c r="BB200" s="117"/>
      <c r="BC200" s="117"/>
      <c r="BD200" s="975">
        <v>0</v>
      </c>
      <c r="BE200" s="117"/>
      <c r="BF200" s="117"/>
      <c r="BG200" s="117"/>
      <c r="BH200" s="117"/>
      <c r="BI200" s="975">
        <v>0</v>
      </c>
      <c r="BJ200" s="117"/>
      <c r="BK200" s="117"/>
      <c r="BL200" s="117"/>
      <c r="BM200" s="117"/>
      <c r="BN200" s="975">
        <v>0</v>
      </c>
      <c r="BO200" s="117"/>
      <c r="BP200" s="117"/>
      <c r="BQ200" s="117"/>
      <c r="BR200" s="117"/>
      <c r="BS200" s="975">
        <v>0</v>
      </c>
      <c r="BT200" s="691"/>
      <c r="BU200" s="117"/>
      <c r="BV200" s="117"/>
      <c r="BW200" s="117"/>
      <c r="BX200" s="150"/>
      <c r="BY200" s="117"/>
      <c r="BZ200" s="117"/>
      <c r="CA200" s="117"/>
      <c r="CB200" s="117"/>
      <c r="CC200" s="150"/>
      <c r="CD200" s="150"/>
      <c r="CE200" s="150"/>
      <c r="CF200" s="150"/>
      <c r="CG200" s="587"/>
    </row>
    <row r="201" spans="1:85" s="460" customFormat="1" ht="14.4" hidden="1" outlineLevel="1" x14ac:dyDescent="0.3">
      <c r="A201" s="591" t="s">
        <v>987</v>
      </c>
      <c r="B201" s="586"/>
      <c r="C201" s="150"/>
      <c r="D201" s="150"/>
      <c r="E201" s="150"/>
      <c r="F201" s="150"/>
      <c r="G201" s="117"/>
      <c r="H201" s="117"/>
      <c r="I201" s="117"/>
      <c r="J201" s="117"/>
      <c r="K201" s="150"/>
      <c r="L201" s="117"/>
      <c r="M201" s="117"/>
      <c r="N201" s="117"/>
      <c r="O201" s="117"/>
      <c r="P201" s="150"/>
      <c r="Q201" s="117"/>
      <c r="R201" s="117"/>
      <c r="S201" s="117"/>
      <c r="T201" s="117"/>
      <c r="U201" s="150"/>
      <c r="V201" s="117"/>
      <c r="W201" s="117"/>
      <c r="X201" s="117"/>
      <c r="Y201" s="117"/>
      <c r="Z201" s="150"/>
      <c r="AA201" s="117"/>
      <c r="AB201" s="117"/>
      <c r="AC201" s="117"/>
      <c r="AD201" s="117"/>
      <c r="AE201" s="150"/>
      <c r="AF201" s="117"/>
      <c r="AG201" s="117"/>
      <c r="AH201" s="117"/>
      <c r="AI201" s="117"/>
      <c r="AJ201" s="150"/>
      <c r="AK201" s="117"/>
      <c r="AL201" s="117"/>
      <c r="AM201" s="117"/>
      <c r="AN201" s="117"/>
      <c r="AO201" s="975">
        <v>4311</v>
      </c>
      <c r="AP201" s="117"/>
      <c r="AQ201" s="117"/>
      <c r="AR201" s="117"/>
      <c r="AS201" s="117"/>
      <c r="AT201" s="975">
        <v>1548</v>
      </c>
      <c r="AU201" s="117"/>
      <c r="AV201" s="117"/>
      <c r="AW201" s="117"/>
      <c r="AX201" s="117"/>
      <c r="AY201" s="975">
        <v>1558</v>
      </c>
      <c r="AZ201" s="117"/>
      <c r="BA201" s="117"/>
      <c r="BB201" s="117"/>
      <c r="BC201" s="117"/>
      <c r="BD201" s="975">
        <v>1552</v>
      </c>
      <c r="BE201" s="117"/>
      <c r="BF201" s="117"/>
      <c r="BG201" s="117"/>
      <c r="BH201" s="117"/>
      <c r="BI201" s="975">
        <v>1609</v>
      </c>
      <c r="BJ201" s="117"/>
      <c r="BK201" s="117"/>
      <c r="BL201" s="117"/>
      <c r="BM201" s="117"/>
      <c r="BN201" s="975">
        <v>1612</v>
      </c>
      <c r="BO201" s="117"/>
      <c r="BP201" s="117"/>
      <c r="BQ201" s="117"/>
      <c r="BR201" s="117"/>
      <c r="BS201" s="975">
        <v>1637</v>
      </c>
      <c r="BT201" s="691"/>
      <c r="BU201" s="117"/>
      <c r="BV201" s="117"/>
      <c r="BW201" s="117"/>
      <c r="BX201" s="150"/>
      <c r="BY201" s="117"/>
      <c r="BZ201" s="117"/>
      <c r="CA201" s="117"/>
      <c r="CB201" s="117"/>
      <c r="CC201" s="150"/>
      <c r="CD201" s="150"/>
      <c r="CE201" s="150"/>
      <c r="CF201" s="150"/>
      <c r="CG201" s="587"/>
    </row>
    <row r="202" spans="1:85" s="460" customFormat="1" ht="14.4" hidden="1" outlineLevel="1" x14ac:dyDescent="0.3">
      <c r="A202" s="591" t="s">
        <v>988</v>
      </c>
      <c r="B202" s="586"/>
      <c r="C202" s="150"/>
      <c r="D202" s="150"/>
      <c r="E202" s="150"/>
      <c r="F202" s="150"/>
      <c r="G202" s="117"/>
      <c r="H202" s="117"/>
      <c r="I202" s="117"/>
      <c r="J202" s="117"/>
      <c r="K202" s="150"/>
      <c r="L202" s="117"/>
      <c r="M202" s="117"/>
      <c r="N202" s="117"/>
      <c r="O202" s="117"/>
      <c r="P202" s="150"/>
      <c r="Q202" s="117"/>
      <c r="R202" s="117"/>
      <c r="S202" s="117"/>
      <c r="T202" s="117"/>
      <c r="U202" s="150"/>
      <c r="V202" s="117"/>
      <c r="W202" s="117"/>
      <c r="X202" s="117"/>
      <c r="Y202" s="117"/>
      <c r="Z202" s="150"/>
      <c r="AA202" s="117"/>
      <c r="AB202" s="117"/>
      <c r="AC202" s="117"/>
      <c r="AD202" s="117"/>
      <c r="AE202" s="150"/>
      <c r="AF202" s="117"/>
      <c r="AG202" s="117"/>
      <c r="AH202" s="117"/>
      <c r="AI202" s="117"/>
      <c r="AJ202" s="150"/>
      <c r="AK202" s="117"/>
      <c r="AL202" s="117"/>
      <c r="AM202" s="117"/>
      <c r="AN202" s="117"/>
      <c r="AO202" s="975">
        <v>0</v>
      </c>
      <c r="AP202" s="117"/>
      <c r="AQ202" s="117"/>
      <c r="AR202" s="117"/>
      <c r="AS202" s="117"/>
      <c r="AT202" s="975">
        <v>0</v>
      </c>
      <c r="AU202" s="117"/>
      <c r="AV202" s="117"/>
      <c r="AW202" s="117"/>
      <c r="AX202" s="117"/>
      <c r="AY202" s="975">
        <v>0</v>
      </c>
      <c r="AZ202" s="117"/>
      <c r="BA202" s="117"/>
      <c r="BB202" s="117"/>
      <c r="BC202" s="117"/>
      <c r="BD202" s="975">
        <v>0</v>
      </c>
      <c r="BE202" s="117"/>
      <c r="BF202" s="117"/>
      <c r="BG202" s="117"/>
      <c r="BH202" s="117"/>
      <c r="BI202" s="975">
        <v>0</v>
      </c>
      <c r="BJ202" s="117"/>
      <c r="BK202" s="117"/>
      <c r="BL202" s="117"/>
      <c r="BM202" s="117"/>
      <c r="BN202" s="975">
        <v>0</v>
      </c>
      <c r="BO202" s="117"/>
      <c r="BP202" s="117"/>
      <c r="BQ202" s="117"/>
      <c r="BR202" s="117"/>
      <c r="BS202" s="975">
        <v>0</v>
      </c>
      <c r="BT202" s="691"/>
      <c r="BU202" s="117"/>
      <c r="BV202" s="117"/>
      <c r="BW202" s="117"/>
      <c r="BX202" s="150"/>
      <c r="BY202" s="117"/>
      <c r="BZ202" s="117"/>
      <c r="CA202" s="117"/>
      <c r="CB202" s="117"/>
      <c r="CC202" s="150"/>
      <c r="CD202" s="150"/>
      <c r="CE202" s="150"/>
      <c r="CF202" s="150"/>
      <c r="CG202" s="587"/>
    </row>
    <row r="203" spans="1:85" s="460" customFormat="1" ht="14.4" hidden="1" outlineLevel="1" x14ac:dyDescent="0.3">
      <c r="A203" s="591" t="s">
        <v>989</v>
      </c>
      <c r="B203" s="586"/>
      <c r="C203" s="150"/>
      <c r="D203" s="150"/>
      <c r="E203" s="150"/>
      <c r="F203" s="150"/>
      <c r="G203" s="117"/>
      <c r="H203" s="117"/>
      <c r="I203" s="117"/>
      <c r="J203" s="117"/>
      <c r="K203" s="150"/>
      <c r="L203" s="117"/>
      <c r="M203" s="117"/>
      <c r="N203" s="117"/>
      <c r="O203" s="117"/>
      <c r="P203" s="150"/>
      <c r="Q203" s="117"/>
      <c r="R203" s="117"/>
      <c r="S203" s="117"/>
      <c r="T203" s="117"/>
      <c r="U203" s="150"/>
      <c r="V203" s="117"/>
      <c r="W203" s="117"/>
      <c r="X203" s="117"/>
      <c r="Y203" s="117"/>
      <c r="Z203" s="150"/>
      <c r="AA203" s="117"/>
      <c r="AB203" s="117"/>
      <c r="AC203" s="117"/>
      <c r="AD203" s="117"/>
      <c r="AE203" s="150"/>
      <c r="AF203" s="117"/>
      <c r="AG203" s="117"/>
      <c r="AH203" s="117"/>
      <c r="AI203" s="117"/>
      <c r="AJ203" s="150"/>
      <c r="AK203" s="117"/>
      <c r="AL203" s="117"/>
      <c r="AM203" s="117"/>
      <c r="AN203" s="117"/>
      <c r="AO203" s="975">
        <v>0</v>
      </c>
      <c r="AP203" s="117"/>
      <c r="AQ203" s="117"/>
      <c r="AR203" s="117"/>
      <c r="AS203" s="117"/>
      <c r="AT203" s="975">
        <v>0</v>
      </c>
      <c r="AU203" s="117"/>
      <c r="AV203" s="117"/>
      <c r="AW203" s="117"/>
      <c r="AX203" s="117"/>
      <c r="AY203" s="975">
        <v>0</v>
      </c>
      <c r="AZ203" s="117"/>
      <c r="BA203" s="117"/>
      <c r="BB203" s="117"/>
      <c r="BC203" s="117"/>
      <c r="BD203" s="975">
        <v>0</v>
      </c>
      <c r="BE203" s="117"/>
      <c r="BF203" s="117"/>
      <c r="BG203" s="117"/>
      <c r="BH203" s="117"/>
      <c r="BI203" s="975">
        <v>0</v>
      </c>
      <c r="BJ203" s="117"/>
      <c r="BK203" s="117"/>
      <c r="BL203" s="117"/>
      <c r="BM203" s="117"/>
      <c r="BN203" s="975">
        <v>0</v>
      </c>
      <c r="BO203" s="117"/>
      <c r="BP203" s="117"/>
      <c r="BQ203" s="117"/>
      <c r="BR203" s="117"/>
      <c r="BS203" s="975">
        <v>0</v>
      </c>
      <c r="BT203" s="691"/>
      <c r="BU203" s="117"/>
      <c r="BV203" s="117"/>
      <c r="BW203" s="117"/>
      <c r="BX203" s="150"/>
      <c r="BY203" s="117"/>
      <c r="BZ203" s="117"/>
      <c r="CA203" s="117"/>
      <c r="CB203" s="117"/>
      <c r="CC203" s="150"/>
      <c r="CD203" s="150"/>
      <c r="CE203" s="150"/>
      <c r="CF203" s="150"/>
      <c r="CG203" s="587"/>
    </row>
    <row r="204" spans="1:85" s="460" customFormat="1" ht="14.4" hidden="1" outlineLevel="1" x14ac:dyDescent="0.3">
      <c r="A204" s="592" t="s">
        <v>990</v>
      </c>
      <c r="B204" s="588"/>
      <c r="C204" s="954"/>
      <c r="D204" s="954"/>
      <c r="E204" s="954"/>
      <c r="F204" s="954"/>
      <c r="G204" s="133"/>
      <c r="H204" s="133"/>
      <c r="I204" s="133"/>
      <c r="J204" s="133"/>
      <c r="K204" s="954"/>
      <c r="L204" s="133"/>
      <c r="M204" s="133"/>
      <c r="N204" s="133"/>
      <c r="O204" s="133"/>
      <c r="P204" s="954"/>
      <c r="Q204" s="133"/>
      <c r="R204" s="133"/>
      <c r="S204" s="133"/>
      <c r="T204" s="133"/>
      <c r="U204" s="954"/>
      <c r="V204" s="133"/>
      <c r="W204" s="133"/>
      <c r="X204" s="133"/>
      <c r="Y204" s="133"/>
      <c r="Z204" s="954"/>
      <c r="AA204" s="133"/>
      <c r="AB204" s="133"/>
      <c r="AC204" s="133"/>
      <c r="AD204" s="133"/>
      <c r="AE204" s="954"/>
      <c r="AF204" s="133"/>
      <c r="AG204" s="133"/>
      <c r="AH204" s="133"/>
      <c r="AI204" s="133"/>
      <c r="AJ204" s="954"/>
      <c r="AK204" s="133"/>
      <c r="AL204" s="133"/>
      <c r="AM204" s="133"/>
      <c r="AN204" s="133"/>
      <c r="AO204" s="976">
        <v>743</v>
      </c>
      <c r="AP204" s="133"/>
      <c r="AQ204" s="133"/>
      <c r="AR204" s="133"/>
      <c r="AS204" s="133"/>
      <c r="AT204" s="976">
        <v>23</v>
      </c>
      <c r="AU204" s="133"/>
      <c r="AV204" s="133"/>
      <c r="AW204" s="133"/>
      <c r="AX204" s="133"/>
      <c r="AY204" s="976">
        <v>31</v>
      </c>
      <c r="AZ204" s="133"/>
      <c r="BA204" s="133"/>
      <c r="BB204" s="133"/>
      <c r="BC204" s="133"/>
      <c r="BD204" s="976">
        <v>54</v>
      </c>
      <c r="BE204" s="133"/>
      <c r="BF204" s="133"/>
      <c r="BG204" s="133"/>
      <c r="BH204" s="133"/>
      <c r="BI204" s="976">
        <v>130</v>
      </c>
      <c r="BJ204" s="133"/>
      <c r="BK204" s="133"/>
      <c r="BL204" s="133"/>
      <c r="BM204" s="133"/>
      <c r="BN204" s="976">
        <v>0</v>
      </c>
      <c r="BO204" s="133"/>
      <c r="BP204" s="133"/>
      <c r="BQ204" s="133"/>
      <c r="BR204" s="133"/>
      <c r="BS204" s="976">
        <v>0</v>
      </c>
      <c r="BT204" s="692"/>
      <c r="BU204" s="133"/>
      <c r="BV204" s="133"/>
      <c r="BW204" s="133"/>
      <c r="BX204" s="954"/>
      <c r="BY204" s="133"/>
      <c r="BZ204" s="133"/>
      <c r="CA204" s="133"/>
      <c r="CB204" s="133"/>
      <c r="CC204" s="954"/>
      <c r="CD204" s="954"/>
      <c r="CE204" s="954"/>
      <c r="CF204" s="954"/>
      <c r="CG204" s="587"/>
    </row>
    <row r="205" spans="1:85" s="460" customFormat="1" ht="14.4" hidden="1" outlineLevel="1" x14ac:dyDescent="0.3">
      <c r="A205" s="159" t="s">
        <v>991</v>
      </c>
      <c r="B205" s="586"/>
      <c r="C205" s="150"/>
      <c r="D205" s="150"/>
      <c r="E205" s="150"/>
      <c r="F205" s="150"/>
      <c r="G205" s="117"/>
      <c r="H205" s="117"/>
      <c r="I205" s="117"/>
      <c r="J205" s="117"/>
      <c r="K205" s="150"/>
      <c r="L205" s="117"/>
      <c r="M205" s="117"/>
      <c r="N205" s="117"/>
      <c r="O205" s="117"/>
      <c r="P205" s="150"/>
      <c r="Q205" s="117"/>
      <c r="R205" s="117"/>
      <c r="S205" s="117"/>
      <c r="T205" s="117"/>
      <c r="U205" s="150"/>
      <c r="V205" s="117"/>
      <c r="W205" s="117"/>
      <c r="X205" s="117"/>
      <c r="Y205" s="117"/>
      <c r="Z205" s="150"/>
      <c r="AA205" s="117"/>
      <c r="AB205" s="117"/>
      <c r="AC205" s="117"/>
      <c r="AD205" s="117"/>
      <c r="AE205" s="150"/>
      <c r="AF205" s="117"/>
      <c r="AG205" s="117"/>
      <c r="AH205" s="117"/>
      <c r="AI205" s="117"/>
      <c r="AJ205" s="150"/>
      <c r="AK205" s="117"/>
      <c r="AL205" s="117"/>
      <c r="AM205" s="117"/>
      <c r="AN205" s="117"/>
      <c r="AO205" s="150">
        <f>SUM(AO200:AO204)</f>
        <v>5054</v>
      </c>
      <c r="AP205" s="117"/>
      <c r="AQ205" s="117"/>
      <c r="AR205" s="117"/>
      <c r="AS205" s="117"/>
      <c r="AT205" s="150">
        <f>SUM(AT200:AT204)</f>
        <v>1571</v>
      </c>
      <c r="AU205" s="117"/>
      <c r="AV205" s="117"/>
      <c r="AW205" s="117"/>
      <c r="AX205" s="117"/>
      <c r="AY205" s="150">
        <f>SUM(AY200:AY204)</f>
        <v>1589</v>
      </c>
      <c r="AZ205" s="117"/>
      <c r="BA205" s="117"/>
      <c r="BB205" s="117"/>
      <c r="BC205" s="117"/>
      <c r="BD205" s="150">
        <f>SUM(BD200:BD204)</f>
        <v>1606</v>
      </c>
      <c r="BE205" s="117"/>
      <c r="BF205" s="117"/>
      <c r="BG205" s="117"/>
      <c r="BH205" s="117"/>
      <c r="BI205" s="150">
        <f>SUM(BI200:BI204)</f>
        <v>1739</v>
      </c>
      <c r="BJ205" s="117"/>
      <c r="BK205" s="117"/>
      <c r="BL205" s="117"/>
      <c r="BM205" s="117"/>
      <c r="BN205" s="150">
        <f>SUM(BN200:BN204)</f>
        <v>1612</v>
      </c>
      <c r="BO205" s="117"/>
      <c r="BP205" s="117"/>
      <c r="BQ205" s="117"/>
      <c r="BR205" s="117"/>
      <c r="BS205" s="150">
        <f>SUM(BS200:BS204)</f>
        <v>1637</v>
      </c>
      <c r="BT205" s="691"/>
      <c r="BU205" s="117"/>
      <c r="BV205" s="117"/>
      <c r="BW205" s="117"/>
      <c r="BX205" s="150"/>
      <c r="BY205" s="117"/>
      <c r="BZ205" s="117"/>
      <c r="CA205" s="117"/>
      <c r="CB205" s="117"/>
      <c r="CC205" s="150"/>
      <c r="CD205" s="150"/>
      <c r="CE205" s="150"/>
      <c r="CF205" s="150"/>
      <c r="CG205" s="587"/>
    </row>
    <row r="206" spans="1:85" s="460" customFormat="1" ht="14.4" hidden="1" outlineLevel="1" x14ac:dyDescent="0.3">
      <c r="A206" s="591" t="s">
        <v>992</v>
      </c>
      <c r="B206" s="586"/>
      <c r="C206" s="150"/>
      <c r="D206" s="150"/>
      <c r="E206" s="150"/>
      <c r="F206" s="150"/>
      <c r="G206" s="117"/>
      <c r="H206" s="117"/>
      <c r="I206" s="117"/>
      <c r="J206" s="117"/>
      <c r="K206" s="150"/>
      <c r="L206" s="117"/>
      <c r="M206" s="117"/>
      <c r="N206" s="117"/>
      <c r="O206" s="117"/>
      <c r="P206" s="150"/>
      <c r="Q206" s="117"/>
      <c r="R206" s="117"/>
      <c r="S206" s="117"/>
      <c r="T206" s="117"/>
      <c r="U206" s="150"/>
      <c r="V206" s="117"/>
      <c r="W206" s="117"/>
      <c r="X206" s="117"/>
      <c r="Y206" s="117"/>
      <c r="Z206" s="150"/>
      <c r="AA206" s="117"/>
      <c r="AB206" s="117"/>
      <c r="AC206" s="117"/>
      <c r="AD206" s="117"/>
      <c r="AE206" s="150"/>
      <c r="AF206" s="117"/>
      <c r="AG206" s="117"/>
      <c r="AH206" s="117"/>
      <c r="AI206" s="117"/>
      <c r="AJ206" s="150"/>
      <c r="AK206" s="117"/>
      <c r="AL206" s="117"/>
      <c r="AM206" s="117"/>
      <c r="AN206" s="117"/>
      <c r="AO206" s="975">
        <v>0</v>
      </c>
      <c r="AP206" s="117"/>
      <c r="AQ206" s="117"/>
      <c r="AR206" s="117"/>
      <c r="AS206" s="117"/>
      <c r="AT206" s="975">
        <v>0</v>
      </c>
      <c r="AU206" s="117"/>
      <c r="AV206" s="117"/>
      <c r="AW206" s="117"/>
      <c r="AX206" s="117"/>
      <c r="AY206" s="975">
        <v>0</v>
      </c>
      <c r="AZ206" s="117"/>
      <c r="BA206" s="117"/>
      <c r="BB206" s="117"/>
      <c r="BC206" s="117"/>
      <c r="BD206" s="975">
        <v>0</v>
      </c>
      <c r="BE206" s="117"/>
      <c r="BF206" s="117"/>
      <c r="BG206" s="117"/>
      <c r="BH206" s="117"/>
      <c r="BI206" s="975">
        <v>0</v>
      </c>
      <c r="BJ206" s="117"/>
      <c r="BK206" s="117"/>
      <c r="BL206" s="117"/>
      <c r="BM206" s="117"/>
      <c r="BN206" s="975">
        <v>0</v>
      </c>
      <c r="BO206" s="117"/>
      <c r="BP206" s="117"/>
      <c r="BQ206" s="117"/>
      <c r="BR206" s="117"/>
      <c r="BS206" s="975">
        <v>0</v>
      </c>
      <c r="BT206" s="691"/>
      <c r="BU206" s="117"/>
      <c r="BV206" s="117"/>
      <c r="BW206" s="117"/>
      <c r="BX206" s="150"/>
      <c r="BY206" s="117"/>
      <c r="BZ206" s="117"/>
      <c r="CA206" s="117"/>
      <c r="CB206" s="117"/>
      <c r="CC206" s="150"/>
      <c r="CD206" s="150"/>
      <c r="CE206" s="150"/>
      <c r="CF206" s="150"/>
      <c r="CG206" s="587"/>
    </row>
    <row r="207" spans="1:85" s="460" customFormat="1" ht="14.4" hidden="1" outlineLevel="1" x14ac:dyDescent="0.3">
      <c r="A207" s="591" t="s">
        <v>993</v>
      </c>
      <c r="B207" s="586"/>
      <c r="C207" s="150"/>
      <c r="D207" s="150"/>
      <c r="E207" s="150"/>
      <c r="F207" s="150"/>
      <c r="G207" s="117"/>
      <c r="H207" s="117"/>
      <c r="I207" s="117"/>
      <c r="J207" s="117"/>
      <c r="K207" s="150"/>
      <c r="L207" s="117"/>
      <c r="M207" s="117"/>
      <c r="N207" s="117"/>
      <c r="O207" s="117"/>
      <c r="P207" s="150"/>
      <c r="Q207" s="117"/>
      <c r="R207" s="117"/>
      <c r="S207" s="117"/>
      <c r="T207" s="117"/>
      <c r="U207" s="150"/>
      <c r="V207" s="117"/>
      <c r="W207" s="117"/>
      <c r="X207" s="117"/>
      <c r="Y207" s="117"/>
      <c r="Z207" s="150"/>
      <c r="AA207" s="117"/>
      <c r="AB207" s="117"/>
      <c r="AC207" s="117"/>
      <c r="AD207" s="117"/>
      <c r="AE207" s="150"/>
      <c r="AF207" s="117"/>
      <c r="AG207" s="117"/>
      <c r="AH207" s="117"/>
      <c r="AI207" s="117"/>
      <c r="AJ207" s="150"/>
      <c r="AK207" s="117"/>
      <c r="AL207" s="117"/>
      <c r="AM207" s="117"/>
      <c r="AN207" s="117"/>
      <c r="AO207" s="975">
        <v>1912</v>
      </c>
      <c r="AP207" s="117"/>
      <c r="AQ207" s="117"/>
      <c r="AR207" s="117"/>
      <c r="AS207" s="117"/>
      <c r="AT207" s="975">
        <v>493</v>
      </c>
      <c r="AU207" s="117"/>
      <c r="AV207" s="117"/>
      <c r="AW207" s="117"/>
      <c r="AX207" s="117"/>
      <c r="AY207" s="975">
        <v>514</v>
      </c>
      <c r="AZ207" s="117"/>
      <c r="BA207" s="117"/>
      <c r="BB207" s="117"/>
      <c r="BC207" s="117"/>
      <c r="BD207" s="975">
        <v>654</v>
      </c>
      <c r="BE207" s="117"/>
      <c r="BF207" s="117"/>
      <c r="BG207" s="117"/>
      <c r="BH207" s="117"/>
      <c r="BI207" s="975">
        <v>866</v>
      </c>
      <c r="BJ207" s="117"/>
      <c r="BK207" s="117"/>
      <c r="BL207" s="117"/>
      <c r="BM207" s="117"/>
      <c r="BN207" s="975">
        <v>1014</v>
      </c>
      <c r="BO207" s="117"/>
      <c r="BP207" s="117"/>
      <c r="BQ207" s="117"/>
      <c r="BR207" s="117"/>
      <c r="BS207" s="975">
        <v>1206</v>
      </c>
      <c r="BT207" s="691"/>
      <c r="BU207" s="117"/>
      <c r="BV207" s="117"/>
      <c r="BW207" s="117"/>
      <c r="BX207" s="150"/>
      <c r="BY207" s="117"/>
      <c r="BZ207" s="117"/>
      <c r="CA207" s="117"/>
      <c r="CB207" s="117"/>
      <c r="CC207" s="150"/>
      <c r="CD207" s="150"/>
      <c r="CE207" s="150"/>
      <c r="CF207" s="150"/>
      <c r="CG207" s="587"/>
    </row>
    <row r="208" spans="1:85" s="460" customFormat="1" ht="14.4" hidden="1" outlineLevel="1" x14ac:dyDescent="0.3">
      <c r="A208" s="592" t="s">
        <v>994</v>
      </c>
      <c r="B208" s="588"/>
      <c r="C208" s="954"/>
      <c r="D208" s="954"/>
      <c r="E208" s="954"/>
      <c r="F208" s="954"/>
      <c r="G208" s="133"/>
      <c r="H208" s="133"/>
      <c r="I208" s="133"/>
      <c r="J208" s="133"/>
      <c r="K208" s="954"/>
      <c r="L208" s="133"/>
      <c r="M208" s="133"/>
      <c r="N208" s="133"/>
      <c r="O208" s="133"/>
      <c r="P208" s="954"/>
      <c r="Q208" s="133"/>
      <c r="R208" s="133"/>
      <c r="S208" s="133"/>
      <c r="T208" s="133"/>
      <c r="U208" s="954"/>
      <c r="V208" s="133"/>
      <c r="W208" s="133"/>
      <c r="X208" s="133"/>
      <c r="Y208" s="133"/>
      <c r="Z208" s="954"/>
      <c r="AA208" s="133"/>
      <c r="AB208" s="133"/>
      <c r="AC208" s="133"/>
      <c r="AD208" s="133"/>
      <c r="AE208" s="954"/>
      <c r="AF208" s="133"/>
      <c r="AG208" s="133"/>
      <c r="AH208" s="133"/>
      <c r="AI208" s="133"/>
      <c r="AJ208" s="954"/>
      <c r="AK208" s="133"/>
      <c r="AL208" s="133"/>
      <c r="AM208" s="133"/>
      <c r="AN208" s="133"/>
      <c r="AO208" s="976">
        <v>0</v>
      </c>
      <c r="AP208" s="133"/>
      <c r="AQ208" s="133"/>
      <c r="AR208" s="133"/>
      <c r="AS208" s="133"/>
      <c r="AT208" s="976">
        <v>0</v>
      </c>
      <c r="AU208" s="133"/>
      <c r="AV208" s="133"/>
      <c r="AW208" s="133"/>
      <c r="AX208" s="133"/>
      <c r="AY208" s="976">
        <v>0</v>
      </c>
      <c r="AZ208" s="133"/>
      <c r="BA208" s="133"/>
      <c r="BB208" s="133"/>
      <c r="BC208" s="133"/>
      <c r="BD208" s="976">
        <v>0</v>
      </c>
      <c r="BE208" s="133"/>
      <c r="BF208" s="133"/>
      <c r="BG208" s="133"/>
      <c r="BH208" s="133"/>
      <c r="BI208" s="976">
        <v>0</v>
      </c>
      <c r="BJ208" s="133"/>
      <c r="BK208" s="133"/>
      <c r="BL208" s="133"/>
      <c r="BM208" s="133"/>
      <c r="BN208" s="976">
        <v>0</v>
      </c>
      <c r="BO208" s="133"/>
      <c r="BP208" s="133"/>
      <c r="BQ208" s="133"/>
      <c r="BR208" s="133"/>
      <c r="BS208" s="976">
        <v>0</v>
      </c>
      <c r="BT208" s="692"/>
      <c r="BU208" s="133"/>
      <c r="BV208" s="133"/>
      <c r="BW208" s="133"/>
      <c r="BX208" s="954"/>
      <c r="BY208" s="133"/>
      <c r="BZ208" s="133"/>
      <c r="CA208" s="133"/>
      <c r="CB208" s="133"/>
      <c r="CC208" s="954"/>
      <c r="CD208" s="954"/>
      <c r="CE208" s="954"/>
      <c r="CF208" s="954"/>
      <c r="CG208" s="587"/>
    </row>
    <row r="209" spans="1:85" s="460" customFormat="1" ht="14.4" hidden="1" outlineLevel="1" x14ac:dyDescent="0.3">
      <c r="A209" s="593" t="s">
        <v>995</v>
      </c>
      <c r="B209" s="589"/>
      <c r="C209" s="977"/>
      <c r="D209" s="977"/>
      <c r="E209" s="977"/>
      <c r="F209" s="977"/>
      <c r="G209" s="590"/>
      <c r="H209" s="590"/>
      <c r="I209" s="590"/>
      <c r="J209" s="590"/>
      <c r="K209" s="977"/>
      <c r="L209" s="590"/>
      <c r="M209" s="590"/>
      <c r="N209" s="590"/>
      <c r="O209" s="590"/>
      <c r="P209" s="977"/>
      <c r="Q209" s="590"/>
      <c r="R209" s="590"/>
      <c r="S209" s="590"/>
      <c r="T209" s="590"/>
      <c r="U209" s="977"/>
      <c r="V209" s="590"/>
      <c r="W209" s="590"/>
      <c r="X209" s="590"/>
      <c r="Y209" s="590"/>
      <c r="Z209" s="977"/>
      <c r="AA209" s="590"/>
      <c r="AB209" s="590"/>
      <c r="AC209" s="590"/>
      <c r="AD209" s="590"/>
      <c r="AE209" s="977"/>
      <c r="AF209" s="590"/>
      <c r="AG209" s="590"/>
      <c r="AH209" s="590"/>
      <c r="AI209" s="590"/>
      <c r="AJ209" s="977"/>
      <c r="AK209" s="590"/>
      <c r="AL209" s="590"/>
      <c r="AM209" s="590"/>
      <c r="AN209" s="590"/>
      <c r="AO209" s="977">
        <f>SUM(AO206:AO208)</f>
        <v>1912</v>
      </c>
      <c r="AP209" s="590"/>
      <c r="AQ209" s="590"/>
      <c r="AR209" s="590"/>
      <c r="AS209" s="590"/>
      <c r="AT209" s="977">
        <f>SUM(AT206:AT208)</f>
        <v>493</v>
      </c>
      <c r="AU209" s="590"/>
      <c r="AV209" s="590"/>
      <c r="AW209" s="590"/>
      <c r="AX209" s="590"/>
      <c r="AY209" s="977">
        <f>SUM(AY206:AY208)</f>
        <v>514</v>
      </c>
      <c r="AZ209" s="590"/>
      <c r="BA209" s="590"/>
      <c r="BB209" s="590"/>
      <c r="BC209" s="590"/>
      <c r="BD209" s="977">
        <f>SUM(BD206:BD208)</f>
        <v>654</v>
      </c>
      <c r="BE209" s="590"/>
      <c r="BF209" s="590"/>
      <c r="BG209" s="590"/>
      <c r="BH209" s="590"/>
      <c r="BI209" s="977">
        <f>SUM(BI206:BI208)</f>
        <v>866</v>
      </c>
      <c r="BJ209" s="590"/>
      <c r="BK209" s="590"/>
      <c r="BL209" s="590"/>
      <c r="BM209" s="590"/>
      <c r="BN209" s="977">
        <f>SUM(BN206:BN208)</f>
        <v>1014</v>
      </c>
      <c r="BO209" s="590"/>
      <c r="BP209" s="590"/>
      <c r="BQ209" s="590"/>
      <c r="BR209" s="590"/>
      <c r="BS209" s="977">
        <f>SUM(BS206:BS208)</f>
        <v>1206</v>
      </c>
      <c r="BT209" s="708"/>
      <c r="BU209" s="590"/>
      <c r="BV209" s="590"/>
      <c r="BW209" s="590"/>
      <c r="BX209" s="977"/>
      <c r="BY209" s="590"/>
      <c r="BZ209" s="590"/>
      <c r="CA209" s="590"/>
      <c r="CB209" s="590"/>
      <c r="CC209" s="977"/>
      <c r="CD209" s="977"/>
      <c r="CE209" s="977"/>
      <c r="CF209" s="977"/>
      <c r="CG209" s="587"/>
    </row>
    <row r="210" spans="1:85" s="461" customFormat="1" ht="14.4" hidden="1" outlineLevel="1" x14ac:dyDescent="0.3">
      <c r="A210" s="166" t="s">
        <v>996</v>
      </c>
      <c r="B210" s="583"/>
      <c r="C210" s="957"/>
      <c r="D210" s="957"/>
      <c r="E210" s="957"/>
      <c r="F210" s="957"/>
      <c r="G210" s="120"/>
      <c r="H210" s="120"/>
      <c r="I210" s="120"/>
      <c r="J210" s="120"/>
      <c r="K210" s="957"/>
      <c r="L210" s="120"/>
      <c r="M210" s="120"/>
      <c r="N210" s="120"/>
      <c r="O210" s="120"/>
      <c r="P210" s="957"/>
      <c r="Q210" s="120"/>
      <c r="R210" s="120"/>
      <c r="S210" s="120"/>
      <c r="T210" s="120"/>
      <c r="U210" s="957"/>
      <c r="V210" s="120"/>
      <c r="W210" s="120"/>
      <c r="X210" s="120"/>
      <c r="Y210" s="120"/>
      <c r="Z210" s="957"/>
      <c r="AA210" s="120"/>
      <c r="AB210" s="120"/>
      <c r="AC210" s="120"/>
      <c r="AD210" s="120"/>
      <c r="AE210" s="957"/>
      <c r="AF210" s="120"/>
      <c r="AG210" s="120"/>
      <c r="AH210" s="120"/>
      <c r="AI210" s="120"/>
      <c r="AJ210" s="957"/>
      <c r="AK210" s="120"/>
      <c r="AL210" s="120"/>
      <c r="AM210" s="120"/>
      <c r="AN210" s="120"/>
      <c r="AO210" s="957">
        <f>AO205-AO209</f>
        <v>3142</v>
      </c>
      <c r="AP210" s="120"/>
      <c r="AQ210" s="120"/>
      <c r="AR210" s="120"/>
      <c r="AS210" s="120"/>
      <c r="AT210" s="957">
        <f>AT205-AT209</f>
        <v>1078</v>
      </c>
      <c r="AU210" s="120"/>
      <c r="AV210" s="120"/>
      <c r="AW210" s="120"/>
      <c r="AX210" s="120"/>
      <c r="AY210" s="957">
        <f>AY205-AY209</f>
        <v>1075</v>
      </c>
      <c r="AZ210" s="120"/>
      <c r="BA210" s="120"/>
      <c r="BB210" s="120"/>
      <c r="BC210" s="120"/>
      <c r="BD210" s="957">
        <f>BD205-BD209</f>
        <v>952</v>
      </c>
      <c r="BE210" s="120"/>
      <c r="BF210" s="120"/>
      <c r="BG210" s="120"/>
      <c r="BH210" s="120"/>
      <c r="BI210" s="957">
        <f>BI205-BI209</f>
        <v>873</v>
      </c>
      <c r="BJ210" s="120"/>
      <c r="BK210" s="120"/>
      <c r="BL210" s="120"/>
      <c r="BM210" s="120"/>
      <c r="BN210" s="957">
        <f>BN205-BN209</f>
        <v>598</v>
      </c>
      <c r="BO210" s="120"/>
      <c r="BP210" s="120"/>
      <c r="BQ210" s="120"/>
      <c r="BR210" s="120"/>
      <c r="BS210" s="957">
        <f>BS205-BS209</f>
        <v>431</v>
      </c>
      <c r="BT210" s="694"/>
      <c r="BU210" s="120"/>
      <c r="BV210" s="120"/>
      <c r="BW210" s="120"/>
      <c r="BX210" s="957"/>
      <c r="BY210" s="120"/>
      <c r="BZ210" s="120"/>
      <c r="CA210" s="120"/>
      <c r="CB210" s="120"/>
      <c r="CC210" s="957"/>
      <c r="CD210" s="957"/>
      <c r="CE210" s="957"/>
      <c r="CF210" s="957"/>
      <c r="CG210" s="615"/>
    </row>
    <row r="211" spans="1:85" s="461" customFormat="1" ht="14.4" collapsed="1" x14ac:dyDescent="0.3">
      <c r="A211" s="166"/>
      <c r="B211" s="583"/>
      <c r="C211" s="957"/>
      <c r="D211" s="957"/>
      <c r="E211" s="957"/>
      <c r="F211" s="957"/>
      <c r="G211" s="120"/>
      <c r="H211" s="120"/>
      <c r="I211" s="120"/>
      <c r="J211" s="120"/>
      <c r="K211" s="957"/>
      <c r="L211" s="120"/>
      <c r="M211" s="120"/>
      <c r="N211" s="120"/>
      <c r="O211" s="120"/>
      <c r="P211" s="957"/>
      <c r="Q211" s="120"/>
      <c r="R211" s="120"/>
      <c r="S211" s="120"/>
      <c r="T211" s="120"/>
      <c r="U211" s="957"/>
      <c r="V211" s="120"/>
      <c r="W211" s="120"/>
      <c r="X211" s="120"/>
      <c r="Y211" s="120"/>
      <c r="Z211" s="957"/>
      <c r="AA211" s="120"/>
      <c r="AB211" s="120"/>
      <c r="AC211" s="120"/>
      <c r="AD211" s="120"/>
      <c r="AE211" s="957"/>
      <c r="AF211" s="120"/>
      <c r="AG211" s="120"/>
      <c r="AH211" s="120"/>
      <c r="AI211" s="120"/>
      <c r="AJ211" s="957"/>
      <c r="AK211" s="120"/>
      <c r="AL211" s="120"/>
      <c r="AM211" s="120"/>
      <c r="AN211" s="120"/>
      <c r="AO211" s="957"/>
      <c r="AP211" s="120"/>
      <c r="AQ211" s="120"/>
      <c r="AR211" s="120"/>
      <c r="AS211" s="120"/>
      <c r="AT211" s="957"/>
      <c r="AU211" s="120"/>
      <c r="AV211" s="120"/>
      <c r="AW211" s="120"/>
      <c r="AX211" s="120"/>
      <c r="AY211" s="957"/>
      <c r="AZ211" s="120"/>
      <c r="BA211" s="120"/>
      <c r="BB211" s="120"/>
      <c r="BC211" s="120"/>
      <c r="BD211" s="957"/>
      <c r="BE211" s="120"/>
      <c r="BF211" s="120"/>
      <c r="BG211" s="120"/>
      <c r="BH211" s="120"/>
      <c r="BI211" s="957"/>
      <c r="BJ211" s="120"/>
      <c r="BK211" s="120"/>
      <c r="BL211" s="120"/>
      <c r="BM211" s="120"/>
      <c r="BN211" s="957"/>
      <c r="BO211" s="120"/>
      <c r="BP211" s="120"/>
      <c r="BQ211" s="120"/>
      <c r="BR211" s="120"/>
      <c r="BS211" s="957"/>
      <c r="BT211" s="694"/>
      <c r="BU211" s="120"/>
      <c r="BV211" s="120"/>
      <c r="BW211" s="120"/>
      <c r="BX211" s="957"/>
      <c r="BY211" s="120"/>
      <c r="BZ211" s="120"/>
      <c r="CA211" s="120"/>
      <c r="CB211" s="120"/>
      <c r="CC211" s="957"/>
      <c r="CD211" s="957"/>
      <c r="CE211" s="957"/>
      <c r="CF211" s="957"/>
      <c r="CG211" s="615"/>
    </row>
    <row r="212" spans="1:85" s="462" customFormat="1" ht="14.4" x14ac:dyDescent="0.3">
      <c r="A212" s="732" t="s">
        <v>1008</v>
      </c>
      <c r="B212" s="732"/>
      <c r="C212" s="732"/>
      <c r="D212" s="732"/>
      <c r="E212" s="732"/>
      <c r="F212" s="732"/>
      <c r="G212" s="732"/>
      <c r="H212" s="732"/>
      <c r="I212" s="732"/>
      <c r="J212" s="732"/>
      <c r="K212" s="732"/>
      <c r="L212" s="732"/>
      <c r="M212" s="732"/>
      <c r="N212" s="732"/>
      <c r="O212" s="732"/>
      <c r="P212" s="732"/>
      <c r="Q212" s="732"/>
      <c r="R212" s="732"/>
      <c r="S212" s="732"/>
      <c r="T212" s="732"/>
      <c r="U212" s="732"/>
      <c r="V212" s="732"/>
      <c r="W212" s="732"/>
      <c r="X212" s="732"/>
      <c r="Y212" s="732"/>
      <c r="Z212" s="732"/>
      <c r="AA212" s="732"/>
      <c r="AB212" s="732"/>
      <c r="AC212" s="732"/>
      <c r="AD212" s="732"/>
      <c r="AE212" s="732"/>
      <c r="AF212" s="732"/>
      <c r="AG212" s="732"/>
      <c r="AH212" s="732"/>
      <c r="AI212" s="732"/>
      <c r="AJ212" s="732"/>
      <c r="AK212" s="732"/>
      <c r="AL212" s="732"/>
      <c r="AM212" s="732"/>
      <c r="AN212" s="732"/>
      <c r="AO212" s="732"/>
      <c r="AP212" s="732"/>
      <c r="AQ212" s="732"/>
      <c r="AR212" s="732"/>
      <c r="AS212" s="732"/>
      <c r="AT212" s="732"/>
      <c r="AU212" s="732"/>
      <c r="AV212" s="732"/>
      <c r="AW212" s="732"/>
      <c r="AX212" s="732"/>
      <c r="AY212" s="732"/>
      <c r="AZ212" s="732"/>
      <c r="BA212" s="732"/>
      <c r="BB212" s="732"/>
      <c r="BC212" s="732"/>
      <c r="BD212" s="732"/>
      <c r="BE212" s="732"/>
      <c r="BF212" s="732"/>
      <c r="BG212" s="732"/>
      <c r="BH212" s="732"/>
      <c r="BI212" s="732"/>
      <c r="BJ212" s="732"/>
      <c r="BK212" s="732"/>
      <c r="BL212" s="732"/>
      <c r="BM212" s="732"/>
      <c r="BN212" s="732"/>
      <c r="BO212" s="732"/>
      <c r="BP212" s="732"/>
      <c r="BQ212" s="732"/>
      <c r="BR212" s="732"/>
      <c r="BS212" s="732"/>
      <c r="BT212" s="733"/>
      <c r="BU212" s="732"/>
      <c r="BV212" s="732"/>
      <c r="BW212" s="732"/>
      <c r="BX212" s="732"/>
      <c r="BY212" s="732"/>
      <c r="BZ212" s="732"/>
      <c r="CA212" s="732"/>
      <c r="CB212" s="732"/>
      <c r="CC212" s="732"/>
      <c r="CD212" s="732"/>
      <c r="CE212" s="732"/>
      <c r="CF212" s="732"/>
      <c r="CG212" s="614"/>
    </row>
    <row r="213" spans="1:85" s="460" customFormat="1" ht="14.4" hidden="1" outlineLevel="1" x14ac:dyDescent="0.3">
      <c r="A213" s="591" t="s">
        <v>1010</v>
      </c>
      <c r="B213" s="586"/>
      <c r="C213" s="150"/>
      <c r="D213" s="150"/>
      <c r="E213" s="150"/>
      <c r="F213" s="150"/>
      <c r="G213" s="117"/>
      <c r="H213" s="117"/>
      <c r="I213" s="117"/>
      <c r="J213" s="117"/>
      <c r="K213" s="150"/>
      <c r="L213" s="117"/>
      <c r="M213" s="117"/>
      <c r="N213" s="117"/>
      <c r="O213" s="117"/>
      <c r="P213" s="150"/>
      <c r="Q213" s="117"/>
      <c r="R213" s="117"/>
      <c r="S213" s="117"/>
      <c r="T213" s="117"/>
      <c r="U213" s="150"/>
      <c r="V213" s="117"/>
      <c r="W213" s="117"/>
      <c r="X213" s="117"/>
      <c r="Y213" s="117"/>
      <c r="Z213" s="150"/>
      <c r="AA213" s="117"/>
      <c r="AB213" s="117"/>
      <c r="AC213" s="117"/>
      <c r="AD213" s="117"/>
      <c r="AE213" s="150"/>
      <c r="AF213" s="117"/>
      <c r="AG213" s="117"/>
      <c r="AH213" s="117"/>
      <c r="AI213" s="117"/>
      <c r="AJ213" s="150"/>
      <c r="AK213" s="117"/>
      <c r="AL213" s="117"/>
      <c r="AM213" s="117"/>
      <c r="AN213" s="117"/>
      <c r="AO213" s="975">
        <v>2259</v>
      </c>
      <c r="AP213" s="117"/>
      <c r="AQ213" s="117"/>
      <c r="AR213" s="117"/>
      <c r="AS213" s="117"/>
      <c r="AT213" s="975">
        <v>1665</v>
      </c>
      <c r="AU213" s="117"/>
      <c r="AV213" s="117"/>
      <c r="AW213" s="117"/>
      <c r="AX213" s="117"/>
      <c r="AY213" s="975">
        <v>6708</v>
      </c>
      <c r="AZ213" s="117"/>
      <c r="BA213" s="117"/>
      <c r="BB213" s="117"/>
      <c r="BC213" s="117"/>
      <c r="BD213" s="975">
        <v>9656</v>
      </c>
      <c r="BE213" s="117"/>
      <c r="BF213" s="117"/>
      <c r="BG213" s="117"/>
      <c r="BH213" s="117"/>
      <c r="BI213" s="975">
        <v>6658</v>
      </c>
      <c r="BJ213" s="117"/>
      <c r="BK213" s="117"/>
      <c r="BL213" s="117"/>
      <c r="BM213" s="117"/>
      <c r="BN213" s="975">
        <v>6657</v>
      </c>
      <c r="BO213" s="117"/>
      <c r="BP213" s="117"/>
      <c r="BQ213" s="117"/>
      <c r="BR213" s="117"/>
      <c r="BS213" s="975">
        <v>9302</v>
      </c>
      <c r="BT213" s="691"/>
      <c r="BU213" s="117"/>
      <c r="BV213" s="117"/>
      <c r="BW213" s="117"/>
      <c r="BX213" s="150"/>
      <c r="BY213" s="117"/>
      <c r="BZ213" s="117"/>
      <c r="CA213" s="117"/>
      <c r="CB213" s="117"/>
      <c r="CC213" s="150"/>
      <c r="CD213" s="150"/>
      <c r="CE213" s="150"/>
      <c r="CF213" s="150"/>
      <c r="CG213" s="587"/>
    </row>
    <row r="214" spans="1:85" s="460" customFormat="1" ht="14.4" hidden="1" outlineLevel="1" x14ac:dyDescent="0.3">
      <c r="A214" s="592" t="s">
        <v>1011</v>
      </c>
      <c r="B214" s="588"/>
      <c r="C214" s="954"/>
      <c r="D214" s="954"/>
      <c r="E214" s="954"/>
      <c r="F214" s="954"/>
      <c r="G214" s="133"/>
      <c r="H214" s="133"/>
      <c r="I214" s="133"/>
      <c r="J214" s="133"/>
      <c r="K214" s="954"/>
      <c r="L214" s="133"/>
      <c r="M214" s="133"/>
      <c r="N214" s="133"/>
      <c r="O214" s="133"/>
      <c r="P214" s="954"/>
      <c r="Q214" s="133"/>
      <c r="R214" s="133"/>
      <c r="S214" s="133"/>
      <c r="T214" s="133"/>
      <c r="U214" s="954"/>
      <c r="V214" s="133"/>
      <c r="W214" s="133"/>
      <c r="X214" s="133"/>
      <c r="Y214" s="133"/>
      <c r="Z214" s="954"/>
      <c r="AA214" s="133"/>
      <c r="AB214" s="133"/>
      <c r="AC214" s="133"/>
      <c r="AD214" s="133"/>
      <c r="AE214" s="954"/>
      <c r="AF214" s="133"/>
      <c r="AG214" s="133"/>
      <c r="AH214" s="133"/>
      <c r="AI214" s="133"/>
      <c r="AJ214" s="954"/>
      <c r="AK214" s="133"/>
      <c r="AL214" s="133"/>
      <c r="AM214" s="133"/>
      <c r="AN214" s="133"/>
      <c r="AO214" s="976">
        <v>11043</v>
      </c>
      <c r="AP214" s="133"/>
      <c r="AQ214" s="133"/>
      <c r="AR214" s="133"/>
      <c r="AS214" s="133"/>
      <c r="AT214" s="976">
        <v>7711</v>
      </c>
      <c r="AU214" s="133"/>
      <c r="AV214" s="133"/>
      <c r="AW214" s="133"/>
      <c r="AX214" s="133"/>
      <c r="AY214" s="976">
        <v>12653</v>
      </c>
      <c r="AZ214" s="133"/>
      <c r="BA214" s="133"/>
      <c r="BB214" s="133"/>
      <c r="BC214" s="133"/>
      <c r="BD214" s="976">
        <v>18494</v>
      </c>
      <c r="BE214" s="133"/>
      <c r="BF214" s="133"/>
      <c r="BG214" s="133"/>
      <c r="BH214" s="133"/>
      <c r="BI214" s="976">
        <v>15948</v>
      </c>
      <c r="BJ214" s="133"/>
      <c r="BK214" s="133"/>
      <c r="BL214" s="133"/>
      <c r="BM214" s="133"/>
      <c r="BN214" s="976">
        <v>18043</v>
      </c>
      <c r="BO214" s="133"/>
      <c r="BP214" s="133"/>
      <c r="BQ214" s="133"/>
      <c r="BR214" s="133"/>
      <c r="BS214" s="976">
        <v>16783</v>
      </c>
      <c r="BT214" s="692"/>
      <c r="BU214" s="133"/>
      <c r="BV214" s="133"/>
      <c r="BW214" s="133"/>
      <c r="BX214" s="954"/>
      <c r="BY214" s="133"/>
      <c r="BZ214" s="133"/>
      <c r="CA214" s="133"/>
      <c r="CB214" s="133"/>
      <c r="CC214" s="954"/>
      <c r="CD214" s="954"/>
      <c r="CE214" s="954"/>
      <c r="CF214" s="954"/>
      <c r="CG214" s="587"/>
    </row>
    <row r="215" spans="1:85" s="460" customFormat="1" ht="14.4" hidden="1" outlineLevel="1" x14ac:dyDescent="0.3">
      <c r="A215" s="159" t="s">
        <v>1012</v>
      </c>
      <c r="B215" s="586"/>
      <c r="C215" s="150"/>
      <c r="D215" s="150"/>
      <c r="E215" s="150"/>
      <c r="F215" s="150"/>
      <c r="G215" s="117"/>
      <c r="H215" s="117"/>
      <c r="I215" s="117"/>
      <c r="J215" s="117"/>
      <c r="K215" s="150"/>
      <c r="L215" s="117"/>
      <c r="M215" s="117"/>
      <c r="N215" s="117"/>
      <c r="O215" s="117"/>
      <c r="P215" s="150"/>
      <c r="Q215" s="117"/>
      <c r="R215" s="117"/>
      <c r="S215" s="117"/>
      <c r="T215" s="117"/>
      <c r="U215" s="150"/>
      <c r="V215" s="117"/>
      <c r="W215" s="117"/>
      <c r="X215" s="117"/>
      <c r="Y215" s="117"/>
      <c r="Z215" s="150"/>
      <c r="AA215" s="117"/>
      <c r="AB215" s="117"/>
      <c r="AC215" s="117"/>
      <c r="AD215" s="117"/>
      <c r="AE215" s="150"/>
      <c r="AF215" s="117"/>
      <c r="AG215" s="117"/>
      <c r="AH215" s="117"/>
      <c r="AI215" s="117"/>
      <c r="AJ215" s="150"/>
      <c r="AK215" s="117"/>
      <c r="AL215" s="117"/>
      <c r="AM215" s="117"/>
      <c r="AN215" s="117"/>
      <c r="AO215" s="150">
        <f>SUM(AO213:AO214)</f>
        <v>13302</v>
      </c>
      <c r="AP215" s="117"/>
      <c r="AQ215" s="117"/>
      <c r="AR215" s="117"/>
      <c r="AS215" s="117"/>
      <c r="AT215" s="150">
        <f>SUM(AT213:AT214)</f>
        <v>9376</v>
      </c>
      <c r="AU215" s="117"/>
      <c r="AV215" s="117"/>
      <c r="AW215" s="117"/>
      <c r="AX215" s="117"/>
      <c r="AY215" s="150">
        <f>SUM(AY213:AY214)</f>
        <v>19361</v>
      </c>
      <c r="AZ215" s="117"/>
      <c r="BA215" s="117"/>
      <c r="BB215" s="117"/>
      <c r="BC215" s="117"/>
      <c r="BD215" s="150">
        <f>SUM(BD213:BD214)</f>
        <v>28150</v>
      </c>
      <c r="BE215" s="117"/>
      <c r="BF215" s="117"/>
      <c r="BG215" s="117"/>
      <c r="BH215" s="117"/>
      <c r="BI215" s="150">
        <f>SUM(BI213:BI214)</f>
        <v>22606</v>
      </c>
      <c r="BJ215" s="117"/>
      <c r="BK215" s="117"/>
      <c r="BL215" s="117"/>
      <c r="BM215" s="117"/>
      <c r="BN215" s="150">
        <f>SUM(BN213:BN214)</f>
        <v>24700</v>
      </c>
      <c r="BO215" s="117"/>
      <c r="BP215" s="117"/>
      <c r="BQ215" s="117"/>
      <c r="BR215" s="117"/>
      <c r="BS215" s="150">
        <f>SUM(BS213:BS214)</f>
        <v>26085</v>
      </c>
      <c r="BT215" s="691"/>
      <c r="BU215" s="117"/>
      <c r="BV215" s="117"/>
      <c r="BW215" s="117"/>
      <c r="BX215" s="150"/>
      <c r="BY215" s="117"/>
      <c r="BZ215" s="117"/>
      <c r="CA215" s="117"/>
      <c r="CB215" s="117"/>
      <c r="CC215" s="150"/>
      <c r="CD215" s="150"/>
      <c r="CE215" s="150"/>
      <c r="CF215" s="150"/>
      <c r="CG215" s="587"/>
    </row>
    <row r="216" spans="1:85" s="460" customFormat="1" ht="14.4" hidden="1" outlineLevel="1" x14ac:dyDescent="0.3">
      <c r="A216" s="591" t="s">
        <v>1013</v>
      </c>
      <c r="B216" s="586"/>
      <c r="C216" s="150"/>
      <c r="D216" s="150"/>
      <c r="E216" s="150"/>
      <c r="F216" s="150"/>
      <c r="G216" s="117"/>
      <c r="H216" s="117"/>
      <c r="I216" s="117"/>
      <c r="J216" s="117"/>
      <c r="K216" s="150"/>
      <c r="L216" s="117"/>
      <c r="M216" s="117"/>
      <c r="N216" s="117"/>
      <c r="O216" s="117"/>
      <c r="P216" s="150"/>
      <c r="Q216" s="117"/>
      <c r="R216" s="117"/>
      <c r="S216" s="117"/>
      <c r="T216" s="117"/>
      <c r="U216" s="150"/>
      <c r="V216" s="117"/>
      <c r="W216" s="117"/>
      <c r="X216" s="117"/>
      <c r="Y216" s="117"/>
      <c r="Z216" s="150"/>
      <c r="AA216" s="117"/>
      <c r="AB216" s="117"/>
      <c r="AC216" s="117"/>
      <c r="AD216" s="117"/>
      <c r="AE216" s="150"/>
      <c r="AF216" s="117"/>
      <c r="AG216" s="117"/>
      <c r="AH216" s="117"/>
      <c r="AI216" s="117"/>
      <c r="AJ216" s="150"/>
      <c r="AK216" s="117"/>
      <c r="AL216" s="117"/>
      <c r="AM216" s="117"/>
      <c r="AN216" s="117"/>
      <c r="AO216" s="975">
        <v>-3567</v>
      </c>
      <c r="AP216" s="117"/>
      <c r="AQ216" s="117"/>
      <c r="AR216" s="117"/>
      <c r="AS216" s="117"/>
      <c r="AT216" s="975">
        <v>-3933</v>
      </c>
      <c r="AU216" s="117"/>
      <c r="AV216" s="117"/>
      <c r="AW216" s="117"/>
      <c r="AX216" s="117"/>
      <c r="AY216" s="975">
        <v>-4325</v>
      </c>
      <c r="AZ216" s="117"/>
      <c r="BA216" s="117"/>
      <c r="BB216" s="117"/>
      <c r="BC216" s="117"/>
      <c r="BD216" s="975">
        <v>-4752</v>
      </c>
      <c r="BE216" s="117"/>
      <c r="BF216" s="117"/>
      <c r="BG216" s="117"/>
      <c r="BH216" s="117"/>
      <c r="BI216" s="975">
        <v>-5459</v>
      </c>
      <c r="BJ216" s="117"/>
      <c r="BK216" s="117"/>
      <c r="BL216" s="117"/>
      <c r="BM216" s="117"/>
      <c r="BN216" s="975">
        <v>-5472</v>
      </c>
      <c r="BO216" s="117"/>
      <c r="BP216" s="117"/>
      <c r="BQ216" s="117"/>
      <c r="BR216" s="117"/>
      <c r="BS216" s="975">
        <v>-6983</v>
      </c>
      <c r="BT216" s="691"/>
      <c r="BU216" s="117"/>
      <c r="BV216" s="117"/>
      <c r="BW216" s="117"/>
      <c r="BX216" s="150"/>
      <c r="BY216" s="117"/>
      <c r="BZ216" s="117"/>
      <c r="CA216" s="117"/>
      <c r="CB216" s="117"/>
      <c r="CC216" s="150"/>
      <c r="CD216" s="150"/>
      <c r="CE216" s="150"/>
      <c r="CF216" s="150"/>
      <c r="CG216" s="587"/>
    </row>
    <row r="217" spans="1:85" s="460" customFormat="1" ht="14.4" hidden="1" outlineLevel="1" x14ac:dyDescent="0.3">
      <c r="A217" s="591" t="s">
        <v>1014</v>
      </c>
      <c r="B217" s="586"/>
      <c r="C217" s="150"/>
      <c r="D217" s="150"/>
      <c r="E217" s="150"/>
      <c r="F217" s="150"/>
      <c r="G217" s="117"/>
      <c r="H217" s="117"/>
      <c r="I217" s="117"/>
      <c r="J217" s="117"/>
      <c r="K217" s="150"/>
      <c r="L217" s="117"/>
      <c r="M217" s="117"/>
      <c r="N217" s="117"/>
      <c r="O217" s="117"/>
      <c r="P217" s="150"/>
      <c r="Q217" s="117"/>
      <c r="R217" s="117"/>
      <c r="S217" s="117"/>
      <c r="T217" s="117"/>
      <c r="U217" s="150"/>
      <c r="V217" s="117"/>
      <c r="W217" s="117"/>
      <c r="X217" s="117"/>
      <c r="Y217" s="117"/>
      <c r="Z217" s="150"/>
      <c r="AA217" s="117"/>
      <c r="AB217" s="117"/>
      <c r="AC217" s="117"/>
      <c r="AD217" s="117"/>
      <c r="AE217" s="150"/>
      <c r="AF217" s="117"/>
      <c r="AG217" s="117"/>
      <c r="AH217" s="117"/>
      <c r="AI217" s="117"/>
      <c r="AJ217" s="150"/>
      <c r="AK217" s="117"/>
      <c r="AL217" s="117"/>
      <c r="AM217" s="117"/>
      <c r="AN217" s="117"/>
      <c r="AO217" s="975">
        <v>-595</v>
      </c>
      <c r="AP217" s="117"/>
      <c r="AQ217" s="117"/>
      <c r="AR217" s="117"/>
      <c r="AS217" s="117"/>
      <c r="AT217" s="975">
        <v>-597</v>
      </c>
      <c r="AU217" s="117"/>
      <c r="AV217" s="117"/>
      <c r="AW217" s="117"/>
      <c r="AX217" s="117"/>
      <c r="AY217" s="975">
        <v>-928</v>
      </c>
      <c r="AZ217" s="117"/>
      <c r="BA217" s="117"/>
      <c r="BB217" s="117"/>
      <c r="BC217" s="117"/>
      <c r="BD217" s="975">
        <v>-1286</v>
      </c>
      <c r="BE217" s="117"/>
      <c r="BF217" s="117"/>
      <c r="BG217" s="117"/>
      <c r="BH217" s="117"/>
      <c r="BI217" s="975">
        <v>-1222</v>
      </c>
      <c r="BJ217" s="117"/>
      <c r="BK217" s="117"/>
      <c r="BL217" s="117"/>
      <c r="BM217" s="117"/>
      <c r="BN217" s="975">
        <v>-1445</v>
      </c>
      <c r="BO217" s="117"/>
      <c r="BP217" s="117"/>
      <c r="BQ217" s="117"/>
      <c r="BR217" s="117"/>
      <c r="BS217" s="975">
        <v>-1452</v>
      </c>
      <c r="BT217" s="691"/>
      <c r="BU217" s="117"/>
      <c r="BV217" s="117"/>
      <c r="BW217" s="117"/>
      <c r="BX217" s="150"/>
      <c r="BY217" s="117"/>
      <c r="BZ217" s="117"/>
      <c r="CA217" s="117"/>
      <c r="CB217" s="117"/>
      <c r="CC217" s="150"/>
      <c r="CD217" s="150"/>
      <c r="CE217" s="150"/>
      <c r="CF217" s="150"/>
      <c r="CG217" s="587"/>
    </row>
    <row r="218" spans="1:85" s="460" customFormat="1" ht="14.4" hidden="1" outlineLevel="1" x14ac:dyDescent="0.3">
      <c r="A218" s="591" t="s">
        <v>1015</v>
      </c>
      <c r="B218" s="586"/>
      <c r="C218" s="150"/>
      <c r="D218" s="150"/>
      <c r="E218" s="150"/>
      <c r="F218" s="150"/>
      <c r="G218" s="117"/>
      <c r="H218" s="117"/>
      <c r="I218" s="117"/>
      <c r="J218" s="117"/>
      <c r="K218" s="150"/>
      <c r="L218" s="117"/>
      <c r="M218" s="117"/>
      <c r="N218" s="117"/>
      <c r="O218" s="117"/>
      <c r="P218" s="150"/>
      <c r="Q218" s="117"/>
      <c r="R218" s="117"/>
      <c r="S218" s="117"/>
      <c r="T218" s="117"/>
      <c r="U218" s="150"/>
      <c r="V218" s="117"/>
      <c r="W218" s="117"/>
      <c r="X218" s="117"/>
      <c r="Y218" s="117"/>
      <c r="Z218" s="150"/>
      <c r="AA218" s="117"/>
      <c r="AB218" s="117"/>
      <c r="AC218" s="117"/>
      <c r="AD218" s="117"/>
      <c r="AE218" s="150"/>
      <c r="AF218" s="117"/>
      <c r="AG218" s="117"/>
      <c r="AH218" s="117"/>
      <c r="AI218" s="117"/>
      <c r="AJ218" s="150"/>
      <c r="AK218" s="117"/>
      <c r="AL218" s="117"/>
      <c r="AM218" s="117"/>
      <c r="AN218" s="117"/>
      <c r="AO218" s="975">
        <v>-11659</v>
      </c>
      <c r="AP218" s="117"/>
      <c r="AQ218" s="117"/>
      <c r="AR218" s="117"/>
      <c r="AS218" s="117"/>
      <c r="AT218" s="975">
        <v>-6482</v>
      </c>
      <c r="AU218" s="117"/>
      <c r="AV218" s="117"/>
      <c r="AW218" s="117"/>
      <c r="AX218" s="117"/>
      <c r="AY218" s="975">
        <v>-5184</v>
      </c>
      <c r="AZ218" s="117"/>
      <c r="BA218" s="117"/>
      <c r="BB218" s="117"/>
      <c r="BC218" s="117"/>
      <c r="BD218" s="975">
        <v>-4612</v>
      </c>
      <c r="BE218" s="117"/>
      <c r="BF218" s="117"/>
      <c r="BG218" s="117"/>
      <c r="BH218" s="117"/>
      <c r="BI218" s="975">
        <v>-7133</v>
      </c>
      <c r="BJ218" s="117"/>
      <c r="BK218" s="117"/>
      <c r="BL218" s="117"/>
      <c r="BM218" s="117"/>
      <c r="BN218" s="975">
        <v>-7231</v>
      </c>
      <c r="BO218" s="117"/>
      <c r="BP218" s="117"/>
      <c r="BQ218" s="117"/>
      <c r="BR218" s="117"/>
      <c r="BS218" s="975">
        <v>-9324</v>
      </c>
      <c r="BT218" s="691"/>
      <c r="BU218" s="117"/>
      <c r="BV218" s="117"/>
      <c r="BW218" s="117"/>
      <c r="BX218" s="150"/>
      <c r="BY218" s="117"/>
      <c r="BZ218" s="117"/>
      <c r="CA218" s="117"/>
      <c r="CB218" s="117"/>
      <c r="CC218" s="150"/>
      <c r="CD218" s="150"/>
      <c r="CE218" s="150"/>
      <c r="CF218" s="150"/>
      <c r="CG218" s="587"/>
    </row>
    <row r="219" spans="1:85" s="460" customFormat="1" ht="14.4" hidden="1" outlineLevel="1" x14ac:dyDescent="0.3">
      <c r="A219" s="591" t="s">
        <v>1016</v>
      </c>
      <c r="B219" s="586"/>
      <c r="C219" s="150"/>
      <c r="D219" s="150"/>
      <c r="E219" s="150"/>
      <c r="F219" s="150"/>
      <c r="G219" s="117"/>
      <c r="H219" s="117"/>
      <c r="I219" s="117"/>
      <c r="J219" s="117"/>
      <c r="K219" s="150"/>
      <c r="L219" s="117"/>
      <c r="M219" s="117"/>
      <c r="N219" s="117"/>
      <c r="O219" s="117"/>
      <c r="P219" s="150"/>
      <c r="Q219" s="117"/>
      <c r="R219" s="117"/>
      <c r="S219" s="117"/>
      <c r="T219" s="117"/>
      <c r="U219" s="150"/>
      <c r="V219" s="117"/>
      <c r="W219" s="117"/>
      <c r="X219" s="117"/>
      <c r="Y219" s="117"/>
      <c r="Z219" s="150"/>
      <c r="AA219" s="117"/>
      <c r="AB219" s="117"/>
      <c r="AC219" s="117"/>
      <c r="AD219" s="117"/>
      <c r="AE219" s="150"/>
      <c r="AF219" s="117"/>
      <c r="AG219" s="117"/>
      <c r="AH219" s="117"/>
      <c r="AI219" s="117"/>
      <c r="AJ219" s="150"/>
      <c r="AK219" s="117"/>
      <c r="AL219" s="117"/>
      <c r="AM219" s="117"/>
      <c r="AN219" s="117"/>
      <c r="AO219" s="975">
        <v>-191</v>
      </c>
      <c r="AP219" s="117"/>
      <c r="AQ219" s="117"/>
      <c r="AR219" s="117"/>
      <c r="AS219" s="117"/>
      <c r="AT219" s="975">
        <v>-165</v>
      </c>
      <c r="AU219" s="117"/>
      <c r="AV219" s="117"/>
      <c r="AW219" s="117"/>
      <c r="AX219" s="117"/>
      <c r="AY219" s="975">
        <v>-197</v>
      </c>
      <c r="AZ219" s="117"/>
      <c r="BA219" s="117"/>
      <c r="BB219" s="117"/>
      <c r="BC219" s="117"/>
      <c r="BD219" s="975">
        <v>-167</v>
      </c>
      <c r="BE219" s="117"/>
      <c r="BF219" s="117"/>
      <c r="BG219" s="117"/>
      <c r="BH219" s="117"/>
      <c r="BI219" s="975">
        <v>-176</v>
      </c>
      <c r="BJ219" s="117"/>
      <c r="BK219" s="117"/>
      <c r="BL219" s="117"/>
      <c r="BM219" s="117"/>
      <c r="BN219" s="975">
        <v>-205</v>
      </c>
      <c r="BO219" s="117"/>
      <c r="BP219" s="117"/>
      <c r="BQ219" s="117"/>
      <c r="BR219" s="117"/>
      <c r="BS219" s="975">
        <v>-236</v>
      </c>
      <c r="BT219" s="691"/>
      <c r="BU219" s="117"/>
      <c r="BV219" s="117"/>
      <c r="BW219" s="117"/>
      <c r="BX219" s="150"/>
      <c r="BY219" s="117"/>
      <c r="BZ219" s="117"/>
      <c r="CA219" s="117"/>
      <c r="CB219" s="117"/>
      <c r="CC219" s="150"/>
      <c r="CD219" s="150"/>
      <c r="CE219" s="150"/>
      <c r="CF219" s="150"/>
      <c r="CG219" s="587"/>
    </row>
    <row r="220" spans="1:85" s="460" customFormat="1" ht="14.4" hidden="1" outlineLevel="1" x14ac:dyDescent="0.3">
      <c r="A220" s="591" t="s">
        <v>1017</v>
      </c>
      <c r="B220" s="586"/>
      <c r="C220" s="150"/>
      <c r="D220" s="150"/>
      <c r="E220" s="150"/>
      <c r="F220" s="150"/>
      <c r="G220" s="117"/>
      <c r="H220" s="117"/>
      <c r="I220" s="117"/>
      <c r="J220" s="117"/>
      <c r="K220" s="150"/>
      <c r="L220" s="117"/>
      <c r="M220" s="117"/>
      <c r="N220" s="117"/>
      <c r="O220" s="117"/>
      <c r="P220" s="150"/>
      <c r="Q220" s="117"/>
      <c r="R220" s="117"/>
      <c r="S220" s="117"/>
      <c r="T220" s="117"/>
      <c r="U220" s="150"/>
      <c r="V220" s="117"/>
      <c r="W220" s="117"/>
      <c r="X220" s="117"/>
      <c r="Y220" s="117"/>
      <c r="Z220" s="150"/>
      <c r="AA220" s="117"/>
      <c r="AB220" s="117"/>
      <c r="AC220" s="117"/>
      <c r="AD220" s="117"/>
      <c r="AE220" s="150"/>
      <c r="AF220" s="117"/>
      <c r="AG220" s="117"/>
      <c r="AH220" s="117"/>
      <c r="AI220" s="117"/>
      <c r="AJ220" s="150"/>
      <c r="AK220" s="117"/>
      <c r="AL220" s="117"/>
      <c r="AM220" s="117"/>
      <c r="AN220" s="117"/>
      <c r="AO220" s="975">
        <v>-293</v>
      </c>
      <c r="AP220" s="117"/>
      <c r="AQ220" s="117"/>
      <c r="AR220" s="117"/>
      <c r="AS220" s="117"/>
      <c r="AT220" s="975">
        <v>-457</v>
      </c>
      <c r="AU220" s="117"/>
      <c r="AV220" s="117"/>
      <c r="AW220" s="117"/>
      <c r="AX220" s="117"/>
      <c r="AY220" s="975">
        <v>-221</v>
      </c>
      <c r="AZ220" s="117"/>
      <c r="BA220" s="117"/>
      <c r="BB220" s="117"/>
      <c r="BC220" s="117"/>
      <c r="BD220" s="975">
        <v>-402</v>
      </c>
      <c r="BE220" s="117"/>
      <c r="BF220" s="117"/>
      <c r="BG220" s="117"/>
      <c r="BH220" s="117"/>
      <c r="BI220" s="975">
        <v>-439</v>
      </c>
      <c r="BJ220" s="117"/>
      <c r="BK220" s="117"/>
      <c r="BL220" s="117"/>
      <c r="BM220" s="117"/>
      <c r="BN220" s="975">
        <v>-352</v>
      </c>
      <c r="BO220" s="117"/>
      <c r="BP220" s="117"/>
      <c r="BQ220" s="117"/>
      <c r="BR220" s="117"/>
      <c r="BS220" s="975">
        <v>-169</v>
      </c>
      <c r="BT220" s="691"/>
      <c r="BU220" s="117"/>
      <c r="BV220" s="117"/>
      <c r="BW220" s="117"/>
      <c r="BX220" s="150"/>
      <c r="BY220" s="117"/>
      <c r="BZ220" s="117"/>
      <c r="CA220" s="117"/>
      <c r="CB220" s="117"/>
      <c r="CC220" s="150"/>
      <c r="CD220" s="150"/>
      <c r="CE220" s="150"/>
      <c r="CF220" s="150"/>
      <c r="CG220" s="587"/>
    </row>
    <row r="221" spans="1:85" s="460" customFormat="1" ht="14.4" hidden="1" outlineLevel="1" x14ac:dyDescent="0.3">
      <c r="A221" s="591" t="s">
        <v>915</v>
      </c>
      <c r="B221" s="586"/>
      <c r="C221" s="150"/>
      <c r="D221" s="150"/>
      <c r="E221" s="150"/>
      <c r="F221" s="150"/>
      <c r="G221" s="117"/>
      <c r="H221" s="117"/>
      <c r="I221" s="117"/>
      <c r="J221" s="117"/>
      <c r="K221" s="150"/>
      <c r="L221" s="117"/>
      <c r="M221" s="117"/>
      <c r="N221" s="117"/>
      <c r="O221" s="117"/>
      <c r="P221" s="150"/>
      <c r="Q221" s="117"/>
      <c r="R221" s="117"/>
      <c r="S221" s="117"/>
      <c r="T221" s="117"/>
      <c r="U221" s="150"/>
      <c r="V221" s="117"/>
      <c r="W221" s="117"/>
      <c r="X221" s="117"/>
      <c r="Y221" s="117"/>
      <c r="Z221" s="150"/>
      <c r="AA221" s="117"/>
      <c r="AB221" s="117"/>
      <c r="AC221" s="117"/>
      <c r="AD221" s="117"/>
      <c r="AE221" s="150"/>
      <c r="AF221" s="117"/>
      <c r="AG221" s="117"/>
      <c r="AH221" s="117"/>
      <c r="AI221" s="117"/>
      <c r="AJ221" s="150"/>
      <c r="AK221" s="117"/>
      <c r="AL221" s="117"/>
      <c r="AM221" s="117"/>
      <c r="AN221" s="117"/>
      <c r="AO221" s="975">
        <v>-3268</v>
      </c>
      <c r="AP221" s="117"/>
      <c r="AQ221" s="117"/>
      <c r="AR221" s="117"/>
      <c r="AS221" s="117"/>
      <c r="AT221" s="975">
        <v>-58</v>
      </c>
      <c r="AU221" s="117"/>
      <c r="AV221" s="117"/>
      <c r="AW221" s="117"/>
      <c r="AX221" s="117"/>
      <c r="AY221" s="975">
        <v>-43</v>
      </c>
      <c r="AZ221" s="117"/>
      <c r="BA221" s="117"/>
      <c r="BB221" s="117"/>
      <c r="BC221" s="117"/>
      <c r="BD221" s="975">
        <v>-38</v>
      </c>
      <c r="BE221" s="117"/>
      <c r="BF221" s="117"/>
      <c r="BG221" s="117"/>
      <c r="BH221" s="117"/>
      <c r="BI221" s="975">
        <v>-71</v>
      </c>
      <c r="BJ221" s="117"/>
      <c r="BK221" s="117"/>
      <c r="BL221" s="117"/>
      <c r="BM221" s="117"/>
      <c r="BN221" s="975">
        <v>-68</v>
      </c>
      <c r="BO221" s="117"/>
      <c r="BP221" s="117"/>
      <c r="BQ221" s="117"/>
      <c r="BR221" s="117"/>
      <c r="BS221" s="975">
        <v>-57</v>
      </c>
      <c r="BT221" s="691"/>
      <c r="BU221" s="117"/>
      <c r="BV221" s="117"/>
      <c r="BW221" s="117"/>
      <c r="BX221" s="150"/>
      <c r="BY221" s="117"/>
      <c r="BZ221" s="117"/>
      <c r="CA221" s="117"/>
      <c r="CB221" s="117"/>
      <c r="CC221" s="150"/>
      <c r="CD221" s="150"/>
      <c r="CE221" s="150"/>
      <c r="CF221" s="150"/>
      <c r="CG221" s="587"/>
    </row>
    <row r="222" spans="1:85" s="460" customFormat="1" ht="14.4" hidden="1" outlineLevel="1" x14ac:dyDescent="0.3">
      <c r="A222" s="592" t="s">
        <v>1018</v>
      </c>
      <c r="B222" s="588"/>
      <c r="C222" s="954"/>
      <c r="D222" s="954"/>
      <c r="E222" s="954"/>
      <c r="F222" s="954"/>
      <c r="G222" s="133"/>
      <c r="H222" s="133"/>
      <c r="I222" s="133"/>
      <c r="J222" s="133"/>
      <c r="K222" s="954"/>
      <c r="L222" s="133"/>
      <c r="M222" s="133"/>
      <c r="N222" s="133"/>
      <c r="O222" s="133"/>
      <c r="P222" s="954"/>
      <c r="Q222" s="133"/>
      <c r="R222" s="133"/>
      <c r="S222" s="133"/>
      <c r="T222" s="133"/>
      <c r="U222" s="954"/>
      <c r="V222" s="133"/>
      <c r="W222" s="133"/>
      <c r="X222" s="133"/>
      <c r="Y222" s="133"/>
      <c r="Z222" s="954"/>
      <c r="AA222" s="133"/>
      <c r="AB222" s="133"/>
      <c r="AC222" s="133"/>
      <c r="AD222" s="133"/>
      <c r="AE222" s="954"/>
      <c r="AF222" s="133"/>
      <c r="AG222" s="133"/>
      <c r="AH222" s="133"/>
      <c r="AI222" s="133"/>
      <c r="AJ222" s="954"/>
      <c r="AK222" s="133"/>
      <c r="AL222" s="133"/>
      <c r="AM222" s="133"/>
      <c r="AN222" s="133"/>
      <c r="AO222" s="976">
        <v>-51</v>
      </c>
      <c r="AP222" s="133"/>
      <c r="AQ222" s="133"/>
      <c r="AR222" s="133"/>
      <c r="AS222" s="133"/>
      <c r="AT222" s="976">
        <v>51</v>
      </c>
      <c r="AU222" s="133"/>
      <c r="AV222" s="133"/>
      <c r="AW222" s="133"/>
      <c r="AX222" s="133"/>
      <c r="AY222" s="976">
        <v>990</v>
      </c>
      <c r="AZ222" s="133"/>
      <c r="BA222" s="133"/>
      <c r="BB222" s="133"/>
      <c r="BC222" s="133"/>
      <c r="BD222" s="976">
        <v>92</v>
      </c>
      <c r="BE222" s="133"/>
      <c r="BF222" s="133"/>
      <c r="BG222" s="133"/>
      <c r="BH222" s="133"/>
      <c r="BI222" s="976">
        <v>-2673</v>
      </c>
      <c r="BJ222" s="133"/>
      <c r="BK222" s="133"/>
      <c r="BL222" s="133"/>
      <c r="BM222" s="133"/>
      <c r="BN222" s="976">
        <v>247</v>
      </c>
      <c r="BO222" s="133"/>
      <c r="BP222" s="133"/>
      <c r="BQ222" s="133"/>
      <c r="BR222" s="133"/>
      <c r="BS222" s="976">
        <v>350</v>
      </c>
      <c r="BT222" s="692"/>
      <c r="BU222" s="133"/>
      <c r="BV222" s="133"/>
      <c r="BW222" s="133"/>
      <c r="BX222" s="954"/>
      <c r="BY222" s="133"/>
      <c r="BZ222" s="133"/>
      <c r="CA222" s="133"/>
      <c r="CB222" s="133"/>
      <c r="CC222" s="954"/>
      <c r="CD222" s="954"/>
      <c r="CE222" s="954"/>
      <c r="CF222" s="954"/>
      <c r="CG222" s="587"/>
    </row>
    <row r="223" spans="1:85" s="460" customFormat="1" ht="14.4" hidden="1" outlineLevel="1" x14ac:dyDescent="0.3">
      <c r="A223" s="159" t="s">
        <v>1019</v>
      </c>
      <c r="B223" s="586"/>
      <c r="C223" s="150"/>
      <c r="D223" s="150"/>
      <c r="E223" s="150"/>
      <c r="F223" s="150"/>
      <c r="G223" s="117"/>
      <c r="H223" s="117"/>
      <c r="I223" s="117"/>
      <c r="J223" s="117"/>
      <c r="K223" s="150"/>
      <c r="L223" s="117"/>
      <c r="M223" s="117"/>
      <c r="N223" s="117"/>
      <c r="O223" s="117"/>
      <c r="P223" s="150"/>
      <c r="Q223" s="117"/>
      <c r="R223" s="117"/>
      <c r="S223" s="117"/>
      <c r="T223" s="117"/>
      <c r="U223" s="150"/>
      <c r="V223" s="117"/>
      <c r="W223" s="117"/>
      <c r="X223" s="117"/>
      <c r="Y223" s="117"/>
      <c r="Z223" s="150"/>
      <c r="AA223" s="117"/>
      <c r="AB223" s="117"/>
      <c r="AC223" s="117"/>
      <c r="AD223" s="117"/>
      <c r="AE223" s="150"/>
      <c r="AF223" s="117"/>
      <c r="AG223" s="117"/>
      <c r="AH223" s="117"/>
      <c r="AI223" s="117"/>
      <c r="AJ223" s="150"/>
      <c r="AK223" s="117"/>
      <c r="AL223" s="117"/>
      <c r="AM223" s="117"/>
      <c r="AN223" s="117"/>
      <c r="AO223" s="150">
        <f>SUM(AO215:AO222)</f>
        <v>-6322</v>
      </c>
      <c r="AP223" s="117"/>
      <c r="AQ223" s="117"/>
      <c r="AR223" s="117"/>
      <c r="AS223" s="117"/>
      <c r="AT223" s="150">
        <f>SUM(AT215:AT222)</f>
        <v>-2265</v>
      </c>
      <c r="AU223" s="117"/>
      <c r="AV223" s="117"/>
      <c r="AW223" s="117"/>
      <c r="AX223" s="117"/>
      <c r="AY223" s="150">
        <f>SUM(AY215:AY222)</f>
        <v>9453</v>
      </c>
      <c r="AZ223" s="117"/>
      <c r="BA223" s="117"/>
      <c r="BB223" s="117"/>
      <c r="BC223" s="117"/>
      <c r="BD223" s="150">
        <f>SUM(BD215:BD222)</f>
        <v>16985</v>
      </c>
      <c r="BE223" s="117"/>
      <c r="BF223" s="117"/>
      <c r="BG223" s="117"/>
      <c r="BH223" s="117"/>
      <c r="BI223" s="150">
        <f>SUM(BI215:BI222)</f>
        <v>5433</v>
      </c>
      <c r="BJ223" s="117"/>
      <c r="BK223" s="117"/>
      <c r="BL223" s="117"/>
      <c r="BM223" s="117"/>
      <c r="BN223" s="150">
        <f>SUM(BN215:BN222)</f>
        <v>10174</v>
      </c>
      <c r="BO223" s="117"/>
      <c r="BP223" s="117"/>
      <c r="BQ223" s="117"/>
      <c r="BR223" s="117"/>
      <c r="BS223" s="150">
        <f>SUM(BS215:BS222)</f>
        <v>8214</v>
      </c>
      <c r="BT223" s="691"/>
      <c r="BU223" s="117"/>
      <c r="BV223" s="117"/>
      <c r="BW223" s="117"/>
      <c r="BX223" s="150"/>
      <c r="BY223" s="117"/>
      <c r="BZ223" s="117"/>
      <c r="CA223" s="117"/>
      <c r="CB223" s="117"/>
      <c r="CC223" s="150"/>
      <c r="CD223" s="150"/>
      <c r="CE223" s="150"/>
      <c r="CF223" s="150"/>
      <c r="CG223" s="587"/>
    </row>
    <row r="224" spans="1:85" s="460" customFormat="1" ht="14.4" hidden="1" outlineLevel="1" x14ac:dyDescent="0.3">
      <c r="A224" s="262" t="s">
        <v>1020</v>
      </c>
      <c r="B224" s="588"/>
      <c r="C224" s="954"/>
      <c r="D224" s="954"/>
      <c r="E224" s="954"/>
      <c r="F224" s="954"/>
      <c r="G224" s="133"/>
      <c r="H224" s="133"/>
      <c r="I224" s="133"/>
      <c r="J224" s="133"/>
      <c r="K224" s="954"/>
      <c r="L224" s="133"/>
      <c r="M224" s="133"/>
      <c r="N224" s="133"/>
      <c r="O224" s="133"/>
      <c r="P224" s="954"/>
      <c r="Q224" s="133"/>
      <c r="R224" s="133"/>
      <c r="S224" s="133"/>
      <c r="T224" s="133"/>
      <c r="U224" s="954"/>
      <c r="V224" s="133"/>
      <c r="W224" s="133"/>
      <c r="X224" s="133"/>
      <c r="Y224" s="133"/>
      <c r="Z224" s="954"/>
      <c r="AA224" s="133"/>
      <c r="AB224" s="133"/>
      <c r="AC224" s="133"/>
      <c r="AD224" s="133"/>
      <c r="AE224" s="954"/>
      <c r="AF224" s="133"/>
      <c r="AG224" s="133"/>
      <c r="AH224" s="133"/>
      <c r="AI224" s="133"/>
      <c r="AJ224" s="954"/>
      <c r="AK224" s="133"/>
      <c r="AL224" s="133"/>
      <c r="AM224" s="133"/>
      <c r="AN224" s="133"/>
      <c r="AO224" s="976">
        <v>1311</v>
      </c>
      <c r="AP224" s="133"/>
      <c r="AQ224" s="133"/>
      <c r="AR224" s="133"/>
      <c r="AS224" s="133"/>
      <c r="AT224" s="976">
        <v>558</v>
      </c>
      <c r="AU224" s="133"/>
      <c r="AV224" s="133"/>
      <c r="AW224" s="133"/>
      <c r="AX224" s="133"/>
      <c r="AY224" s="976">
        <v>-2108</v>
      </c>
      <c r="AZ224" s="133"/>
      <c r="BA224" s="133"/>
      <c r="BB224" s="133"/>
      <c r="BC224" s="133"/>
      <c r="BD224" s="976">
        <v>-3736</v>
      </c>
      <c r="BE224" s="133"/>
      <c r="BF224" s="133"/>
      <c r="BG224" s="133"/>
      <c r="BH224" s="133"/>
      <c r="BI224" s="976">
        <v>-1195</v>
      </c>
      <c r="BJ224" s="133"/>
      <c r="BK224" s="133"/>
      <c r="BL224" s="133"/>
      <c r="BM224" s="133"/>
      <c r="BN224" s="976">
        <v>-2238</v>
      </c>
      <c r="BO224" s="133"/>
      <c r="BP224" s="133"/>
      <c r="BQ224" s="133"/>
      <c r="BR224" s="133"/>
      <c r="BS224" s="976">
        <v>-1825</v>
      </c>
      <c r="BT224" s="692"/>
      <c r="BU224" s="133"/>
      <c r="BV224" s="133"/>
      <c r="BW224" s="133"/>
      <c r="BX224" s="954"/>
      <c r="BY224" s="133"/>
      <c r="BZ224" s="133"/>
      <c r="CA224" s="133"/>
      <c r="CB224" s="133"/>
      <c r="CC224" s="954"/>
      <c r="CD224" s="954"/>
      <c r="CE224" s="954"/>
      <c r="CF224" s="954"/>
      <c r="CG224" s="587"/>
    </row>
    <row r="225" spans="1:85" s="461" customFormat="1" ht="14.4" hidden="1" outlineLevel="1" x14ac:dyDescent="0.3">
      <c r="A225" s="166" t="s">
        <v>1021</v>
      </c>
      <c r="B225" s="583"/>
      <c r="C225" s="957"/>
      <c r="D225" s="957"/>
      <c r="E225" s="957"/>
      <c r="F225" s="957"/>
      <c r="G225" s="120"/>
      <c r="H225" s="120"/>
      <c r="I225" s="120"/>
      <c r="J225" s="120"/>
      <c r="K225" s="957"/>
      <c r="L225" s="120"/>
      <c r="M225" s="120"/>
      <c r="N225" s="120"/>
      <c r="O225" s="120"/>
      <c r="P225" s="957"/>
      <c r="Q225" s="120"/>
      <c r="R225" s="120"/>
      <c r="S225" s="120"/>
      <c r="T225" s="120"/>
      <c r="U225" s="957"/>
      <c r="V225" s="120"/>
      <c r="W225" s="120"/>
      <c r="X225" s="120"/>
      <c r="Y225" s="120"/>
      <c r="Z225" s="957"/>
      <c r="AA225" s="120"/>
      <c r="AB225" s="120"/>
      <c r="AC225" s="120"/>
      <c r="AD225" s="120"/>
      <c r="AE225" s="957"/>
      <c r="AF225" s="120"/>
      <c r="AG225" s="120"/>
      <c r="AH225" s="120"/>
      <c r="AI225" s="120"/>
      <c r="AJ225" s="957"/>
      <c r="AK225" s="120"/>
      <c r="AL225" s="120"/>
      <c r="AM225" s="120"/>
      <c r="AN225" s="120"/>
      <c r="AO225" s="957">
        <f>SUM(AO223:AO224)</f>
        <v>-5011</v>
      </c>
      <c r="AP225" s="120"/>
      <c r="AQ225" s="120"/>
      <c r="AR225" s="120"/>
      <c r="AS225" s="120"/>
      <c r="AT225" s="957">
        <f>SUM(AT223:AT224)</f>
        <v>-1707</v>
      </c>
      <c r="AU225" s="120"/>
      <c r="AV225" s="120"/>
      <c r="AW225" s="120"/>
      <c r="AX225" s="120"/>
      <c r="AY225" s="957">
        <f>SUM(AY223:AY224)</f>
        <v>7345</v>
      </c>
      <c r="AZ225" s="120"/>
      <c r="BA225" s="120"/>
      <c r="BB225" s="120"/>
      <c r="BC225" s="120"/>
      <c r="BD225" s="957">
        <f>SUM(BD223:BD224)</f>
        <v>13249</v>
      </c>
      <c r="BE225" s="120"/>
      <c r="BF225" s="120"/>
      <c r="BG225" s="120"/>
      <c r="BH225" s="120"/>
      <c r="BI225" s="957">
        <f>SUM(BI223:BI224)</f>
        <v>4238</v>
      </c>
      <c r="BJ225" s="120"/>
      <c r="BK225" s="120"/>
      <c r="BL225" s="120"/>
      <c r="BM225" s="120"/>
      <c r="BN225" s="957">
        <f>SUM(BN223:BN224)</f>
        <v>7936</v>
      </c>
      <c r="BO225" s="120"/>
      <c r="BP225" s="120"/>
      <c r="BQ225" s="120"/>
      <c r="BR225" s="120"/>
      <c r="BS225" s="957">
        <f>SUM(BS223:BS224)</f>
        <v>6389</v>
      </c>
      <c r="BT225" s="694"/>
      <c r="BU225" s="120"/>
      <c r="BV225" s="120"/>
      <c r="BW225" s="120"/>
      <c r="BX225" s="957"/>
      <c r="BY225" s="120"/>
      <c r="BZ225" s="120"/>
      <c r="CA225" s="120"/>
      <c r="CB225" s="120"/>
      <c r="CC225" s="957"/>
      <c r="CD225" s="957"/>
      <c r="CE225" s="957"/>
      <c r="CF225" s="957"/>
      <c r="CG225" s="615"/>
    </row>
    <row r="226" spans="1:85" s="460" customFormat="1" ht="14.4" hidden="1" outlineLevel="1" x14ac:dyDescent="0.3">
      <c r="A226" s="591" t="s">
        <v>1022</v>
      </c>
      <c r="B226" s="586"/>
      <c r="C226" s="150"/>
      <c r="D226" s="150"/>
      <c r="E226" s="150"/>
      <c r="F226" s="150"/>
      <c r="G226" s="117"/>
      <c r="H226" s="117"/>
      <c r="I226" s="117"/>
      <c r="J226" s="117"/>
      <c r="K226" s="150"/>
      <c r="L226" s="117"/>
      <c r="M226" s="117"/>
      <c r="N226" s="117"/>
      <c r="O226" s="117"/>
      <c r="P226" s="150"/>
      <c r="Q226" s="117"/>
      <c r="R226" s="117"/>
      <c r="S226" s="117"/>
      <c r="T226" s="117"/>
      <c r="U226" s="150"/>
      <c r="V226" s="117"/>
      <c r="W226" s="117"/>
      <c r="X226" s="117"/>
      <c r="Y226" s="117"/>
      <c r="Z226" s="150"/>
      <c r="AA226" s="117"/>
      <c r="AB226" s="117"/>
      <c r="AC226" s="117"/>
      <c r="AD226" s="117"/>
      <c r="AE226" s="150"/>
      <c r="AF226" s="117"/>
      <c r="AG226" s="117"/>
      <c r="AH226" s="117"/>
      <c r="AI226" s="117"/>
      <c r="AJ226" s="150"/>
      <c r="AK226" s="117"/>
      <c r="AL226" s="117"/>
      <c r="AM226" s="117"/>
      <c r="AN226" s="117"/>
      <c r="AO226" s="975">
        <v>863</v>
      </c>
      <c r="AP226" s="117"/>
      <c r="AQ226" s="117"/>
      <c r="AR226" s="117"/>
      <c r="AS226" s="117"/>
      <c r="AT226" s="975">
        <v>505</v>
      </c>
      <c r="AU226" s="117"/>
      <c r="AV226" s="117"/>
      <c r="AW226" s="117"/>
      <c r="AX226" s="117"/>
      <c r="AY226" s="975">
        <v>888</v>
      </c>
      <c r="AZ226" s="117"/>
      <c r="BA226" s="117"/>
      <c r="BB226" s="117"/>
      <c r="BC226" s="117"/>
      <c r="BD226" s="975">
        <v>1172</v>
      </c>
      <c r="BE226" s="117"/>
      <c r="BF226" s="117"/>
      <c r="BG226" s="117"/>
      <c r="BH226" s="117"/>
      <c r="BI226" s="975">
        <v>724</v>
      </c>
      <c r="BJ226" s="117"/>
      <c r="BK226" s="117"/>
      <c r="BL226" s="117"/>
      <c r="BM226" s="117"/>
      <c r="BN226" s="975">
        <v>799</v>
      </c>
      <c r="BO226" s="117"/>
      <c r="BP226" s="117"/>
      <c r="BQ226" s="117"/>
      <c r="BR226" s="117"/>
      <c r="BS226" s="975">
        <v>3478</v>
      </c>
      <c r="BT226" s="691"/>
      <c r="BU226" s="117"/>
      <c r="BV226" s="117"/>
      <c r="BW226" s="117"/>
      <c r="BX226" s="150"/>
      <c r="BY226" s="117"/>
      <c r="BZ226" s="117"/>
      <c r="CA226" s="117"/>
      <c r="CB226" s="117"/>
      <c r="CC226" s="150"/>
      <c r="CD226" s="150"/>
      <c r="CE226" s="150"/>
      <c r="CF226" s="150"/>
      <c r="CG226" s="587"/>
    </row>
    <row r="227" spans="1:85" s="460" customFormat="1" ht="14.4" hidden="1" outlineLevel="1" x14ac:dyDescent="0.3">
      <c r="A227" s="592" t="s">
        <v>1023</v>
      </c>
      <c r="B227" s="588"/>
      <c r="C227" s="954"/>
      <c r="D227" s="954"/>
      <c r="E227" s="954"/>
      <c r="F227" s="954"/>
      <c r="G227" s="133"/>
      <c r="H227" s="133"/>
      <c r="I227" s="133"/>
      <c r="J227" s="133"/>
      <c r="K227" s="954"/>
      <c r="L227" s="133"/>
      <c r="M227" s="133"/>
      <c r="N227" s="133"/>
      <c r="O227" s="133"/>
      <c r="P227" s="954"/>
      <c r="Q227" s="133"/>
      <c r="R227" s="133"/>
      <c r="S227" s="133"/>
      <c r="T227" s="133"/>
      <c r="U227" s="954"/>
      <c r="V227" s="133"/>
      <c r="W227" s="133"/>
      <c r="X227" s="133"/>
      <c r="Y227" s="133"/>
      <c r="Z227" s="954"/>
      <c r="AA227" s="133"/>
      <c r="AB227" s="133"/>
      <c r="AC227" s="133"/>
      <c r="AD227" s="133"/>
      <c r="AE227" s="954"/>
      <c r="AF227" s="133"/>
      <c r="AG227" s="133"/>
      <c r="AH227" s="133"/>
      <c r="AI227" s="133"/>
      <c r="AJ227" s="954"/>
      <c r="AK227" s="133"/>
      <c r="AL227" s="133"/>
      <c r="AM227" s="133"/>
      <c r="AN227" s="133"/>
      <c r="AO227" s="976">
        <v>2160</v>
      </c>
      <c r="AP227" s="133"/>
      <c r="AQ227" s="133"/>
      <c r="AR227" s="133"/>
      <c r="AS227" s="133"/>
      <c r="AT227" s="976">
        <v>1683</v>
      </c>
      <c r="AU227" s="133"/>
      <c r="AV227" s="133"/>
      <c r="AW227" s="133"/>
      <c r="AX227" s="133"/>
      <c r="AY227" s="976">
        <v>3029</v>
      </c>
      <c r="AZ227" s="133"/>
      <c r="BA227" s="133"/>
      <c r="BB227" s="133"/>
      <c r="BC227" s="133"/>
      <c r="BD227" s="976">
        <v>3801</v>
      </c>
      <c r="BE227" s="133"/>
      <c r="BF227" s="133"/>
      <c r="BG227" s="133"/>
      <c r="BH227" s="133"/>
      <c r="BI227" s="976">
        <v>3243</v>
      </c>
      <c r="BJ227" s="133"/>
      <c r="BK227" s="133"/>
      <c r="BL227" s="133"/>
      <c r="BM227" s="133"/>
      <c r="BN227" s="976">
        <v>3110</v>
      </c>
      <c r="BO227" s="133"/>
      <c r="BP227" s="133"/>
      <c r="BQ227" s="133"/>
      <c r="BR227" s="133"/>
      <c r="BS227" s="976">
        <v>1832</v>
      </c>
      <c r="BT227" s="692"/>
      <c r="BU227" s="133"/>
      <c r="BV227" s="133"/>
      <c r="BW227" s="133"/>
      <c r="BX227" s="954"/>
      <c r="BY227" s="133"/>
      <c r="BZ227" s="133"/>
      <c r="CA227" s="133"/>
      <c r="CB227" s="133"/>
      <c r="CC227" s="954"/>
      <c r="CD227" s="954"/>
      <c r="CE227" s="954"/>
      <c r="CF227" s="954"/>
      <c r="CG227" s="587"/>
    </row>
    <row r="228" spans="1:85" s="460" customFormat="1" ht="14.4" hidden="1" outlineLevel="1" x14ac:dyDescent="0.3">
      <c r="A228" s="159" t="s">
        <v>1024</v>
      </c>
      <c r="B228" s="586"/>
      <c r="C228" s="150"/>
      <c r="D228" s="150"/>
      <c r="E228" s="150"/>
      <c r="F228" s="150"/>
      <c r="G228" s="117"/>
      <c r="H228" s="117"/>
      <c r="I228" s="117"/>
      <c r="J228" s="117"/>
      <c r="K228" s="150"/>
      <c r="L228" s="117"/>
      <c r="M228" s="117"/>
      <c r="N228" s="117"/>
      <c r="O228" s="117"/>
      <c r="P228" s="150"/>
      <c r="Q228" s="117"/>
      <c r="R228" s="117"/>
      <c r="S228" s="117"/>
      <c r="T228" s="117"/>
      <c r="U228" s="150"/>
      <c r="V228" s="117"/>
      <c r="W228" s="117"/>
      <c r="X228" s="117"/>
      <c r="Y228" s="117"/>
      <c r="Z228" s="150"/>
      <c r="AA228" s="117"/>
      <c r="AB228" s="117"/>
      <c r="AC228" s="117"/>
      <c r="AD228" s="117"/>
      <c r="AE228" s="150"/>
      <c r="AF228" s="117"/>
      <c r="AG228" s="117"/>
      <c r="AH228" s="117"/>
      <c r="AI228" s="117"/>
      <c r="AJ228" s="150"/>
      <c r="AK228" s="117"/>
      <c r="AL228" s="117"/>
      <c r="AM228" s="117"/>
      <c r="AN228" s="117"/>
      <c r="AO228" s="150">
        <f>SUM(AO226:AO227)</f>
        <v>3023</v>
      </c>
      <c r="AP228" s="117"/>
      <c r="AQ228" s="117"/>
      <c r="AR228" s="117"/>
      <c r="AS228" s="117"/>
      <c r="AT228" s="150">
        <f>SUM(AT226:AT227)</f>
        <v>2188</v>
      </c>
      <c r="AU228" s="117"/>
      <c r="AV228" s="117"/>
      <c r="AW228" s="117"/>
      <c r="AX228" s="117"/>
      <c r="AY228" s="150">
        <f>SUM(AY226:AY227)</f>
        <v>3917</v>
      </c>
      <c r="AZ228" s="117"/>
      <c r="BA228" s="117"/>
      <c r="BB228" s="117"/>
      <c r="BC228" s="117"/>
      <c r="BD228" s="150">
        <f>SUM(BD226:BD227)</f>
        <v>4973</v>
      </c>
      <c r="BE228" s="117"/>
      <c r="BF228" s="117"/>
      <c r="BG228" s="117"/>
      <c r="BH228" s="117"/>
      <c r="BI228" s="150">
        <f>SUM(BI226:BI227)</f>
        <v>3967</v>
      </c>
      <c r="BJ228" s="117"/>
      <c r="BK228" s="117"/>
      <c r="BL228" s="117"/>
      <c r="BM228" s="117"/>
      <c r="BN228" s="150">
        <f>SUM(BN226:BN227)</f>
        <v>3909</v>
      </c>
      <c r="BO228" s="117"/>
      <c r="BP228" s="117"/>
      <c r="BQ228" s="117"/>
      <c r="BR228" s="117"/>
      <c r="BS228" s="150">
        <f>SUM(BS226:BS227)</f>
        <v>5310</v>
      </c>
      <c r="BT228" s="691"/>
      <c r="BU228" s="117"/>
      <c r="BV228" s="117"/>
      <c r="BW228" s="117"/>
      <c r="BX228" s="150"/>
      <c r="BY228" s="117"/>
      <c r="BZ228" s="117"/>
      <c r="CA228" s="117"/>
      <c r="CB228" s="117"/>
      <c r="CC228" s="150"/>
      <c r="CD228" s="150"/>
      <c r="CE228" s="150"/>
      <c r="CF228" s="150"/>
      <c r="CG228" s="587"/>
    </row>
    <row r="229" spans="1:85" s="460" customFormat="1" ht="14.4" hidden="1" outlineLevel="1" x14ac:dyDescent="0.3">
      <c r="A229" s="591" t="s">
        <v>1025</v>
      </c>
      <c r="B229" s="586"/>
      <c r="C229" s="150"/>
      <c r="D229" s="150"/>
      <c r="E229" s="150"/>
      <c r="F229" s="150"/>
      <c r="G229" s="117"/>
      <c r="H229" s="117"/>
      <c r="I229" s="117"/>
      <c r="J229" s="117"/>
      <c r="K229" s="150"/>
      <c r="L229" s="117"/>
      <c r="M229" s="117"/>
      <c r="N229" s="117"/>
      <c r="O229" s="117"/>
      <c r="P229" s="150"/>
      <c r="Q229" s="117"/>
      <c r="R229" s="117"/>
      <c r="S229" s="117"/>
      <c r="T229" s="117"/>
      <c r="U229" s="150"/>
      <c r="V229" s="117"/>
      <c r="W229" s="117"/>
      <c r="X229" s="117"/>
      <c r="Y229" s="117"/>
      <c r="Z229" s="150"/>
      <c r="AA229" s="117"/>
      <c r="AB229" s="117"/>
      <c r="AC229" s="117"/>
      <c r="AD229" s="117"/>
      <c r="AE229" s="150"/>
      <c r="AF229" s="117"/>
      <c r="AG229" s="117"/>
      <c r="AH229" s="117"/>
      <c r="AI229" s="117"/>
      <c r="AJ229" s="150"/>
      <c r="AK229" s="117"/>
      <c r="AL229" s="117"/>
      <c r="AM229" s="117"/>
      <c r="AN229" s="117"/>
      <c r="AO229" s="975">
        <v>-1020</v>
      </c>
      <c r="AP229" s="117"/>
      <c r="AQ229" s="117"/>
      <c r="AR229" s="117"/>
      <c r="AS229" s="117"/>
      <c r="AT229" s="975">
        <v>-981</v>
      </c>
      <c r="AU229" s="117"/>
      <c r="AV229" s="117"/>
      <c r="AW229" s="117"/>
      <c r="AX229" s="117"/>
      <c r="AY229" s="975">
        <v>-974</v>
      </c>
      <c r="AZ229" s="117"/>
      <c r="BA229" s="117"/>
      <c r="BB229" s="117"/>
      <c r="BC229" s="117"/>
      <c r="BD229" s="975">
        <v>-1071</v>
      </c>
      <c r="BE229" s="117"/>
      <c r="BF229" s="117"/>
      <c r="BG229" s="117"/>
      <c r="BH229" s="117"/>
      <c r="BI229" s="975">
        <v>-1000</v>
      </c>
      <c r="BJ229" s="117"/>
      <c r="BK229" s="117"/>
      <c r="BL229" s="117"/>
      <c r="BM229" s="117"/>
      <c r="BN229" s="975">
        <v>-928</v>
      </c>
      <c r="BO229" s="117"/>
      <c r="BP229" s="117"/>
      <c r="BQ229" s="117"/>
      <c r="BR229" s="117"/>
      <c r="BS229" s="975">
        <v>-828</v>
      </c>
      <c r="BT229" s="691"/>
      <c r="BU229" s="117"/>
      <c r="BV229" s="117"/>
      <c r="BW229" s="117"/>
      <c r="BX229" s="150"/>
      <c r="BY229" s="117"/>
      <c r="BZ229" s="117"/>
      <c r="CA229" s="117"/>
      <c r="CB229" s="117"/>
      <c r="CC229" s="150"/>
      <c r="CD229" s="150"/>
      <c r="CE229" s="150"/>
      <c r="CF229" s="150"/>
      <c r="CG229" s="587"/>
    </row>
    <row r="230" spans="1:85" s="460" customFormat="1" ht="14.4" hidden="1" outlineLevel="1" x14ac:dyDescent="0.3">
      <c r="A230" s="591" t="s">
        <v>1026</v>
      </c>
      <c r="B230" s="586"/>
      <c r="C230" s="150"/>
      <c r="D230" s="150"/>
      <c r="E230" s="150"/>
      <c r="F230" s="150"/>
      <c r="G230" s="117"/>
      <c r="H230" s="117"/>
      <c r="I230" s="117"/>
      <c r="J230" s="117"/>
      <c r="K230" s="150"/>
      <c r="L230" s="117"/>
      <c r="M230" s="117"/>
      <c r="N230" s="117"/>
      <c r="O230" s="117"/>
      <c r="P230" s="150"/>
      <c r="Q230" s="117"/>
      <c r="R230" s="117"/>
      <c r="S230" s="117"/>
      <c r="T230" s="117"/>
      <c r="U230" s="150"/>
      <c r="V230" s="117"/>
      <c r="W230" s="117"/>
      <c r="X230" s="117"/>
      <c r="Y230" s="117"/>
      <c r="Z230" s="150"/>
      <c r="AA230" s="117"/>
      <c r="AB230" s="117"/>
      <c r="AC230" s="117"/>
      <c r="AD230" s="117"/>
      <c r="AE230" s="150"/>
      <c r="AF230" s="117"/>
      <c r="AG230" s="117"/>
      <c r="AH230" s="117"/>
      <c r="AI230" s="117"/>
      <c r="AJ230" s="150"/>
      <c r="AK230" s="117"/>
      <c r="AL230" s="117"/>
      <c r="AM230" s="117"/>
      <c r="AN230" s="117"/>
      <c r="AO230" s="975">
        <v>-64</v>
      </c>
      <c r="AP230" s="117"/>
      <c r="AQ230" s="117"/>
      <c r="AR230" s="117"/>
      <c r="AS230" s="117"/>
      <c r="AT230" s="975">
        <v>-62</v>
      </c>
      <c r="AU230" s="117"/>
      <c r="AV230" s="117"/>
      <c r="AW230" s="117"/>
      <c r="AX230" s="117"/>
      <c r="AY230" s="975">
        <v>-73</v>
      </c>
      <c r="AZ230" s="117"/>
      <c r="BA230" s="117"/>
      <c r="BB230" s="117"/>
      <c r="BC230" s="117"/>
      <c r="BD230" s="975">
        <v>-85</v>
      </c>
      <c r="BE230" s="117"/>
      <c r="BF230" s="117"/>
      <c r="BG230" s="117"/>
      <c r="BH230" s="117"/>
      <c r="BI230" s="975">
        <v>-69</v>
      </c>
      <c r="BJ230" s="117"/>
      <c r="BK230" s="117"/>
      <c r="BL230" s="117"/>
      <c r="BM230" s="117"/>
      <c r="BN230" s="975">
        <v>-67</v>
      </c>
      <c r="BO230" s="117"/>
      <c r="BP230" s="117"/>
      <c r="BQ230" s="117"/>
      <c r="BR230" s="117"/>
      <c r="BS230" s="975">
        <v>-52</v>
      </c>
      <c r="BT230" s="691"/>
      <c r="BU230" s="117"/>
      <c r="BV230" s="117"/>
      <c r="BW230" s="117"/>
      <c r="BX230" s="150"/>
      <c r="BY230" s="117"/>
      <c r="BZ230" s="117"/>
      <c r="CA230" s="117"/>
      <c r="CB230" s="117"/>
      <c r="CC230" s="150"/>
      <c r="CD230" s="150"/>
      <c r="CE230" s="150"/>
      <c r="CF230" s="150"/>
      <c r="CG230" s="587"/>
    </row>
    <row r="231" spans="1:85" s="460" customFormat="1" ht="14.4" hidden="1" outlineLevel="1" x14ac:dyDescent="0.3">
      <c r="A231" s="591" t="s">
        <v>1027</v>
      </c>
      <c r="B231" s="586"/>
      <c r="C231" s="150"/>
      <c r="D231" s="150"/>
      <c r="E231" s="150"/>
      <c r="F231" s="150"/>
      <c r="G231" s="117"/>
      <c r="H231" s="117"/>
      <c r="I231" s="117"/>
      <c r="J231" s="117"/>
      <c r="K231" s="150"/>
      <c r="L231" s="117"/>
      <c r="M231" s="117"/>
      <c r="N231" s="117"/>
      <c r="O231" s="117"/>
      <c r="P231" s="150"/>
      <c r="Q231" s="117"/>
      <c r="R231" s="117"/>
      <c r="S231" s="117"/>
      <c r="T231" s="117"/>
      <c r="U231" s="150"/>
      <c r="V231" s="117"/>
      <c r="W231" s="117"/>
      <c r="X231" s="117"/>
      <c r="Y231" s="117"/>
      <c r="Z231" s="150"/>
      <c r="AA231" s="117"/>
      <c r="AB231" s="117"/>
      <c r="AC231" s="117"/>
      <c r="AD231" s="117"/>
      <c r="AE231" s="150"/>
      <c r="AF231" s="117"/>
      <c r="AG231" s="117"/>
      <c r="AH231" s="117"/>
      <c r="AI231" s="117"/>
      <c r="AJ231" s="150"/>
      <c r="AK231" s="117"/>
      <c r="AL231" s="117"/>
      <c r="AM231" s="117"/>
      <c r="AN231" s="117"/>
      <c r="AO231" s="975">
        <v>-1380</v>
      </c>
      <c r="AP231" s="117"/>
      <c r="AQ231" s="117"/>
      <c r="AR231" s="117"/>
      <c r="AS231" s="117"/>
      <c r="AT231" s="975">
        <v>-1221</v>
      </c>
      <c r="AU231" s="117"/>
      <c r="AV231" s="117"/>
      <c r="AW231" s="117"/>
      <c r="AX231" s="117"/>
      <c r="AY231" s="975">
        <v>-1470</v>
      </c>
      <c r="AZ231" s="117"/>
      <c r="BA231" s="117"/>
      <c r="BB231" s="117"/>
      <c r="BC231" s="117"/>
      <c r="BD231" s="975">
        <v>-1223</v>
      </c>
      <c r="BE231" s="117"/>
      <c r="BF231" s="117"/>
      <c r="BG231" s="117"/>
      <c r="BH231" s="117"/>
      <c r="BI231" s="975">
        <v>-1042</v>
      </c>
      <c r="BJ231" s="117"/>
      <c r="BK231" s="117"/>
      <c r="BL231" s="117"/>
      <c r="BM231" s="117"/>
      <c r="BN231" s="975">
        <v>-981</v>
      </c>
      <c r="BO231" s="117"/>
      <c r="BP231" s="117"/>
      <c r="BQ231" s="117"/>
      <c r="BR231" s="117"/>
      <c r="BS231" s="975">
        <v>-2339</v>
      </c>
      <c r="BT231" s="691"/>
      <c r="BU231" s="117"/>
      <c r="BV231" s="117"/>
      <c r="BW231" s="117"/>
      <c r="BX231" s="150"/>
      <c r="BY231" s="117"/>
      <c r="BZ231" s="117"/>
      <c r="CA231" s="117"/>
      <c r="CB231" s="117"/>
      <c r="CC231" s="150"/>
      <c r="CD231" s="150"/>
      <c r="CE231" s="150"/>
      <c r="CF231" s="150"/>
      <c r="CG231" s="587"/>
    </row>
    <row r="232" spans="1:85" s="460" customFormat="1" ht="14.4" hidden="1" outlineLevel="1" x14ac:dyDescent="0.3">
      <c r="A232" s="591" t="s">
        <v>1028</v>
      </c>
      <c r="B232" s="586"/>
      <c r="C232" s="150"/>
      <c r="D232" s="150"/>
      <c r="E232" s="150"/>
      <c r="F232" s="150"/>
      <c r="G232" s="117"/>
      <c r="H232" s="117"/>
      <c r="I232" s="117"/>
      <c r="J232" s="117"/>
      <c r="K232" s="150"/>
      <c r="L232" s="117"/>
      <c r="M232" s="117"/>
      <c r="N232" s="117"/>
      <c r="O232" s="117"/>
      <c r="P232" s="150"/>
      <c r="Q232" s="117"/>
      <c r="R232" s="117"/>
      <c r="S232" s="117"/>
      <c r="T232" s="117"/>
      <c r="U232" s="150"/>
      <c r="V232" s="117"/>
      <c r="W232" s="117"/>
      <c r="X232" s="117"/>
      <c r="Y232" s="117"/>
      <c r="Z232" s="150"/>
      <c r="AA232" s="117"/>
      <c r="AB232" s="117"/>
      <c r="AC232" s="117"/>
      <c r="AD232" s="117"/>
      <c r="AE232" s="150"/>
      <c r="AF232" s="117"/>
      <c r="AG232" s="117"/>
      <c r="AH232" s="117"/>
      <c r="AI232" s="117"/>
      <c r="AJ232" s="150"/>
      <c r="AK232" s="117"/>
      <c r="AL232" s="117"/>
      <c r="AM232" s="117"/>
      <c r="AN232" s="117"/>
      <c r="AO232" s="975">
        <v>-21</v>
      </c>
      <c r="AP232" s="117"/>
      <c r="AQ232" s="117"/>
      <c r="AR232" s="117"/>
      <c r="AS232" s="117"/>
      <c r="AT232" s="975">
        <v>-22</v>
      </c>
      <c r="AU232" s="117"/>
      <c r="AV232" s="117"/>
      <c r="AW232" s="117"/>
      <c r="AX232" s="117"/>
      <c r="AY232" s="975">
        <v>-22</v>
      </c>
      <c r="AZ232" s="117"/>
      <c r="BA232" s="117"/>
      <c r="BB232" s="117"/>
      <c r="BC232" s="117"/>
      <c r="BD232" s="975">
        <v>-22</v>
      </c>
      <c r="BE232" s="117"/>
      <c r="BF232" s="117"/>
      <c r="BG232" s="117"/>
      <c r="BH232" s="117"/>
      <c r="BI232" s="975">
        <v>-25</v>
      </c>
      <c r="BJ232" s="117"/>
      <c r="BK232" s="117"/>
      <c r="BL232" s="117"/>
      <c r="BM232" s="117"/>
      <c r="BN232" s="975">
        <v>-26</v>
      </c>
      <c r="BO232" s="117"/>
      <c r="BP232" s="117"/>
      <c r="BQ232" s="117"/>
      <c r="BR232" s="117"/>
      <c r="BS232" s="975">
        <v>-33</v>
      </c>
      <c r="BT232" s="691"/>
      <c r="BU232" s="117"/>
      <c r="BV232" s="117"/>
      <c r="BW232" s="117"/>
      <c r="BX232" s="150"/>
      <c r="BY232" s="117"/>
      <c r="BZ232" s="117"/>
      <c r="CA232" s="117"/>
      <c r="CB232" s="117"/>
      <c r="CC232" s="150"/>
      <c r="CD232" s="150"/>
      <c r="CE232" s="150"/>
      <c r="CF232" s="150"/>
      <c r="CG232" s="587"/>
    </row>
    <row r="233" spans="1:85" s="460" customFormat="1" ht="14.4" hidden="1" outlineLevel="1" x14ac:dyDescent="0.3">
      <c r="A233" s="591" t="s">
        <v>1029</v>
      </c>
      <c r="B233" s="586"/>
      <c r="C233" s="150"/>
      <c r="D233" s="150"/>
      <c r="E233" s="150"/>
      <c r="F233" s="150"/>
      <c r="G233" s="117"/>
      <c r="H233" s="117"/>
      <c r="I233" s="117"/>
      <c r="J233" s="117"/>
      <c r="K233" s="150"/>
      <c r="L233" s="117"/>
      <c r="M233" s="117"/>
      <c r="N233" s="117"/>
      <c r="O233" s="117"/>
      <c r="P233" s="150"/>
      <c r="Q233" s="117"/>
      <c r="R233" s="117"/>
      <c r="S233" s="117"/>
      <c r="T233" s="117"/>
      <c r="U233" s="150"/>
      <c r="V233" s="117"/>
      <c r="W233" s="117"/>
      <c r="X233" s="117"/>
      <c r="Y233" s="117"/>
      <c r="Z233" s="150"/>
      <c r="AA233" s="117"/>
      <c r="AB233" s="117"/>
      <c r="AC233" s="117"/>
      <c r="AD233" s="117"/>
      <c r="AE233" s="150"/>
      <c r="AF233" s="117"/>
      <c r="AG233" s="117"/>
      <c r="AH233" s="117"/>
      <c r="AI233" s="117"/>
      <c r="AJ233" s="150"/>
      <c r="AK233" s="117"/>
      <c r="AL233" s="117"/>
      <c r="AM233" s="117"/>
      <c r="AN233" s="117"/>
      <c r="AO233" s="975">
        <v>-211</v>
      </c>
      <c r="AP233" s="117"/>
      <c r="AQ233" s="117"/>
      <c r="AR233" s="117"/>
      <c r="AS233" s="117"/>
      <c r="AT233" s="975">
        <v>-314</v>
      </c>
      <c r="AU233" s="117"/>
      <c r="AV233" s="117"/>
      <c r="AW233" s="117"/>
      <c r="AX233" s="117"/>
      <c r="AY233" s="975">
        <v>-132</v>
      </c>
      <c r="AZ233" s="117"/>
      <c r="BA233" s="117"/>
      <c r="BB233" s="117"/>
      <c r="BC233" s="117"/>
      <c r="BD233" s="975">
        <v>-169</v>
      </c>
      <c r="BE233" s="117"/>
      <c r="BF233" s="117"/>
      <c r="BG233" s="117"/>
      <c r="BH233" s="117"/>
      <c r="BI233" s="975">
        <v>-274</v>
      </c>
      <c r="BJ233" s="117"/>
      <c r="BK233" s="117"/>
      <c r="BL233" s="117"/>
      <c r="BM233" s="117"/>
      <c r="BN233" s="975">
        <v>-141</v>
      </c>
      <c r="BO233" s="117"/>
      <c r="BP233" s="117"/>
      <c r="BQ233" s="117"/>
      <c r="BR233" s="117"/>
      <c r="BS233" s="975">
        <v>-359</v>
      </c>
      <c r="BT233" s="691"/>
      <c r="BU233" s="117"/>
      <c r="BV233" s="117"/>
      <c r="BW233" s="117"/>
      <c r="BX233" s="150"/>
      <c r="BY233" s="117"/>
      <c r="BZ233" s="117"/>
      <c r="CA233" s="117"/>
      <c r="CB233" s="117"/>
      <c r="CC233" s="150"/>
      <c r="CD233" s="150"/>
      <c r="CE233" s="150"/>
      <c r="CF233" s="150"/>
      <c r="CG233" s="587"/>
    </row>
    <row r="234" spans="1:85" s="460" customFormat="1" ht="14.4" hidden="1" outlineLevel="1" x14ac:dyDescent="0.3">
      <c r="A234" s="591" t="s">
        <v>926</v>
      </c>
      <c r="B234" s="586"/>
      <c r="C234" s="150"/>
      <c r="D234" s="150"/>
      <c r="E234" s="150"/>
      <c r="F234" s="150"/>
      <c r="G234" s="117"/>
      <c r="H234" s="117"/>
      <c r="I234" s="117"/>
      <c r="J234" s="117"/>
      <c r="K234" s="150"/>
      <c r="L234" s="117"/>
      <c r="M234" s="117"/>
      <c r="N234" s="117"/>
      <c r="O234" s="117"/>
      <c r="P234" s="150"/>
      <c r="Q234" s="117"/>
      <c r="R234" s="117"/>
      <c r="S234" s="117"/>
      <c r="T234" s="117"/>
      <c r="U234" s="150"/>
      <c r="V234" s="117"/>
      <c r="W234" s="117"/>
      <c r="X234" s="117"/>
      <c r="Y234" s="117"/>
      <c r="Z234" s="150"/>
      <c r="AA234" s="117"/>
      <c r="AB234" s="117"/>
      <c r="AC234" s="117"/>
      <c r="AD234" s="117"/>
      <c r="AE234" s="150"/>
      <c r="AF234" s="117"/>
      <c r="AG234" s="117"/>
      <c r="AH234" s="117"/>
      <c r="AI234" s="117"/>
      <c r="AJ234" s="150"/>
      <c r="AK234" s="117"/>
      <c r="AL234" s="117"/>
      <c r="AM234" s="117"/>
      <c r="AN234" s="117"/>
      <c r="AO234" s="975">
        <v>-591</v>
      </c>
      <c r="AP234" s="117"/>
      <c r="AQ234" s="117"/>
      <c r="AR234" s="117"/>
      <c r="AS234" s="117"/>
      <c r="AT234" s="975">
        <v>-215</v>
      </c>
      <c r="AU234" s="117"/>
      <c r="AV234" s="117"/>
      <c r="AW234" s="117"/>
      <c r="AX234" s="117"/>
      <c r="AY234" s="975">
        <v>-95</v>
      </c>
      <c r="AZ234" s="117"/>
      <c r="BA234" s="117"/>
      <c r="BB234" s="117"/>
      <c r="BC234" s="117"/>
      <c r="BD234" s="975">
        <v>-250</v>
      </c>
      <c r="BE234" s="117"/>
      <c r="BF234" s="117"/>
      <c r="BG234" s="117"/>
      <c r="BH234" s="117"/>
      <c r="BI234" s="975">
        <v>-68</v>
      </c>
      <c r="BJ234" s="117"/>
      <c r="BK234" s="117"/>
      <c r="BL234" s="117"/>
      <c r="BM234" s="117"/>
      <c r="BN234" s="975">
        <v>-31</v>
      </c>
      <c r="BO234" s="117"/>
      <c r="BP234" s="117"/>
      <c r="BQ234" s="117"/>
      <c r="BR234" s="117"/>
      <c r="BS234" s="975">
        <v>-36</v>
      </c>
      <c r="BT234" s="691"/>
      <c r="BU234" s="117"/>
      <c r="BV234" s="117"/>
      <c r="BW234" s="117"/>
      <c r="BX234" s="150"/>
      <c r="BY234" s="117"/>
      <c r="BZ234" s="117"/>
      <c r="CA234" s="117"/>
      <c r="CB234" s="117"/>
      <c r="CC234" s="150"/>
      <c r="CD234" s="150"/>
      <c r="CE234" s="150"/>
      <c r="CF234" s="150"/>
      <c r="CG234" s="587"/>
    </row>
    <row r="235" spans="1:85" s="460" customFormat="1" ht="14.4" hidden="1" outlineLevel="1" x14ac:dyDescent="0.3">
      <c r="A235" s="592" t="s">
        <v>1030</v>
      </c>
      <c r="B235" s="588"/>
      <c r="C235" s="954"/>
      <c r="D235" s="954"/>
      <c r="E235" s="954"/>
      <c r="F235" s="954"/>
      <c r="G235" s="133"/>
      <c r="H235" s="133"/>
      <c r="I235" s="133"/>
      <c r="J235" s="133"/>
      <c r="K235" s="954"/>
      <c r="L235" s="133"/>
      <c r="M235" s="133"/>
      <c r="N235" s="133"/>
      <c r="O235" s="133"/>
      <c r="P235" s="954"/>
      <c r="Q235" s="133"/>
      <c r="R235" s="133"/>
      <c r="S235" s="133"/>
      <c r="T235" s="133"/>
      <c r="U235" s="954"/>
      <c r="V235" s="133"/>
      <c r="W235" s="133"/>
      <c r="X235" s="133"/>
      <c r="Y235" s="133"/>
      <c r="Z235" s="954"/>
      <c r="AA235" s="133"/>
      <c r="AB235" s="133"/>
      <c r="AC235" s="133"/>
      <c r="AD235" s="133"/>
      <c r="AE235" s="954"/>
      <c r="AF235" s="133"/>
      <c r="AG235" s="133"/>
      <c r="AH235" s="133"/>
      <c r="AI235" s="133"/>
      <c r="AJ235" s="954"/>
      <c r="AK235" s="133"/>
      <c r="AL235" s="133"/>
      <c r="AM235" s="133"/>
      <c r="AN235" s="133"/>
      <c r="AO235" s="976">
        <v>-44</v>
      </c>
      <c r="AP235" s="133"/>
      <c r="AQ235" s="133"/>
      <c r="AR235" s="133"/>
      <c r="AS235" s="133"/>
      <c r="AT235" s="976">
        <v>-8</v>
      </c>
      <c r="AU235" s="133"/>
      <c r="AV235" s="133"/>
      <c r="AW235" s="133"/>
      <c r="AX235" s="133"/>
      <c r="AY235" s="976">
        <v>-33</v>
      </c>
      <c r="AZ235" s="133"/>
      <c r="BA235" s="133"/>
      <c r="BB235" s="133"/>
      <c r="BC235" s="133"/>
      <c r="BD235" s="976">
        <v>21</v>
      </c>
      <c r="BE235" s="133"/>
      <c r="BF235" s="133"/>
      <c r="BG235" s="133"/>
      <c r="BH235" s="133"/>
      <c r="BI235" s="976">
        <v>-69</v>
      </c>
      <c r="BJ235" s="133"/>
      <c r="BK235" s="133"/>
      <c r="BL235" s="133"/>
      <c r="BM235" s="133"/>
      <c r="BN235" s="976">
        <v>1556</v>
      </c>
      <c r="BO235" s="133"/>
      <c r="BP235" s="133"/>
      <c r="BQ235" s="133"/>
      <c r="BR235" s="133"/>
      <c r="BS235" s="976">
        <v>-161</v>
      </c>
      <c r="BT235" s="692"/>
      <c r="BU235" s="133"/>
      <c r="BV235" s="133"/>
      <c r="BW235" s="133"/>
      <c r="BX235" s="954"/>
      <c r="BY235" s="133"/>
      <c r="BZ235" s="133"/>
      <c r="CA235" s="133"/>
      <c r="CB235" s="133"/>
      <c r="CC235" s="954"/>
      <c r="CD235" s="954"/>
      <c r="CE235" s="954"/>
      <c r="CF235" s="954"/>
      <c r="CG235" s="587"/>
    </row>
    <row r="236" spans="1:85" s="460" customFormat="1" ht="14.4" hidden="1" outlineLevel="1" x14ac:dyDescent="0.3">
      <c r="A236" s="159" t="s">
        <v>1031</v>
      </c>
      <c r="B236" s="586"/>
      <c r="C236" s="150"/>
      <c r="D236" s="150"/>
      <c r="E236" s="150"/>
      <c r="F236" s="150"/>
      <c r="G236" s="117"/>
      <c r="H236" s="117"/>
      <c r="I236" s="117"/>
      <c r="J236" s="117"/>
      <c r="K236" s="150"/>
      <c r="L236" s="117"/>
      <c r="M236" s="117"/>
      <c r="N236" s="117"/>
      <c r="O236" s="117"/>
      <c r="P236" s="150"/>
      <c r="Q236" s="117"/>
      <c r="R236" s="117"/>
      <c r="S236" s="117"/>
      <c r="T236" s="117"/>
      <c r="U236" s="150"/>
      <c r="V236" s="117"/>
      <c r="W236" s="117"/>
      <c r="X236" s="117"/>
      <c r="Y236" s="117"/>
      <c r="Z236" s="150"/>
      <c r="AA236" s="117"/>
      <c r="AB236" s="117"/>
      <c r="AC236" s="117"/>
      <c r="AD236" s="117"/>
      <c r="AE236" s="150"/>
      <c r="AF236" s="117"/>
      <c r="AG236" s="117"/>
      <c r="AH236" s="117"/>
      <c r="AI236" s="117"/>
      <c r="AJ236" s="150"/>
      <c r="AK236" s="117"/>
      <c r="AL236" s="117"/>
      <c r="AM236" s="117"/>
      <c r="AN236" s="117"/>
      <c r="AO236" s="150">
        <f>SUM(AO228:AO235)</f>
        <v>-308</v>
      </c>
      <c r="AP236" s="117"/>
      <c r="AQ236" s="117"/>
      <c r="AR236" s="117"/>
      <c r="AS236" s="117"/>
      <c r="AT236" s="150">
        <f>SUM(AT228:AT235)</f>
        <v>-635</v>
      </c>
      <c r="AU236" s="117"/>
      <c r="AV236" s="117"/>
      <c r="AW236" s="117"/>
      <c r="AX236" s="117"/>
      <c r="AY236" s="150">
        <f>SUM(AY228:AY235)</f>
        <v>1118</v>
      </c>
      <c r="AZ236" s="117"/>
      <c r="BA236" s="117"/>
      <c r="BB236" s="117"/>
      <c r="BC236" s="117"/>
      <c r="BD236" s="150">
        <f>SUM(BD228:BD235)</f>
        <v>2174</v>
      </c>
      <c r="BE236" s="117"/>
      <c r="BF236" s="117"/>
      <c r="BG236" s="117"/>
      <c r="BH236" s="117"/>
      <c r="BI236" s="150">
        <f>SUM(BI228:BI235)</f>
        <v>1420</v>
      </c>
      <c r="BJ236" s="117"/>
      <c r="BK236" s="117"/>
      <c r="BL236" s="117"/>
      <c r="BM236" s="117"/>
      <c r="BN236" s="150">
        <f>SUM(BN228:BN235)</f>
        <v>3291</v>
      </c>
      <c r="BO236" s="117"/>
      <c r="BP236" s="117"/>
      <c r="BQ236" s="117"/>
      <c r="BR236" s="117"/>
      <c r="BS236" s="150">
        <f>SUM(BS228:BS235)</f>
        <v>1502</v>
      </c>
      <c r="BT236" s="691"/>
      <c r="BU236" s="117"/>
      <c r="BV236" s="117"/>
      <c r="BW236" s="117"/>
      <c r="BX236" s="150"/>
      <c r="BY236" s="117"/>
      <c r="BZ236" s="117"/>
      <c r="CA236" s="117"/>
      <c r="CB236" s="117"/>
      <c r="CC236" s="150"/>
      <c r="CD236" s="150"/>
      <c r="CE236" s="150"/>
      <c r="CF236" s="150"/>
      <c r="CG236" s="587"/>
    </row>
    <row r="237" spans="1:85" s="460" customFormat="1" ht="14.4" hidden="1" outlineLevel="1" x14ac:dyDescent="0.3">
      <c r="A237" s="262" t="s">
        <v>1032</v>
      </c>
      <c r="B237" s="588"/>
      <c r="C237" s="954"/>
      <c r="D237" s="954"/>
      <c r="E237" s="954"/>
      <c r="F237" s="954"/>
      <c r="G237" s="133"/>
      <c r="H237" s="133"/>
      <c r="I237" s="133"/>
      <c r="J237" s="133"/>
      <c r="K237" s="954"/>
      <c r="L237" s="133"/>
      <c r="M237" s="133"/>
      <c r="N237" s="133"/>
      <c r="O237" s="133"/>
      <c r="P237" s="954"/>
      <c r="Q237" s="133"/>
      <c r="R237" s="133"/>
      <c r="S237" s="133"/>
      <c r="T237" s="133"/>
      <c r="U237" s="954"/>
      <c r="V237" s="133"/>
      <c r="W237" s="133"/>
      <c r="X237" s="133"/>
      <c r="Y237" s="133"/>
      <c r="Z237" s="954"/>
      <c r="AA237" s="133"/>
      <c r="AB237" s="133"/>
      <c r="AC237" s="133"/>
      <c r="AD237" s="133"/>
      <c r="AE237" s="954"/>
      <c r="AF237" s="133"/>
      <c r="AG237" s="133"/>
      <c r="AH237" s="133"/>
      <c r="AI237" s="133"/>
      <c r="AJ237" s="954"/>
      <c r="AK237" s="133"/>
      <c r="AL237" s="133"/>
      <c r="AM237" s="133"/>
      <c r="AN237" s="133"/>
      <c r="AO237" s="976">
        <v>-27</v>
      </c>
      <c r="AP237" s="133"/>
      <c r="AQ237" s="133"/>
      <c r="AR237" s="133"/>
      <c r="AS237" s="133"/>
      <c r="AT237" s="976">
        <v>-5</v>
      </c>
      <c r="AU237" s="133"/>
      <c r="AV237" s="133"/>
      <c r="AW237" s="133"/>
      <c r="AX237" s="133"/>
      <c r="AY237" s="976">
        <v>-318</v>
      </c>
      <c r="AZ237" s="133"/>
      <c r="BA237" s="133"/>
      <c r="BB237" s="133"/>
      <c r="BC237" s="133"/>
      <c r="BD237" s="976">
        <v>-670</v>
      </c>
      <c r="BE237" s="133"/>
      <c r="BF237" s="133"/>
      <c r="BG237" s="133"/>
      <c r="BH237" s="133"/>
      <c r="BI237" s="976">
        <v>-389</v>
      </c>
      <c r="BJ237" s="133"/>
      <c r="BK237" s="133"/>
      <c r="BL237" s="133"/>
      <c r="BM237" s="133"/>
      <c r="BN237" s="976">
        <v>-954</v>
      </c>
      <c r="BO237" s="133"/>
      <c r="BP237" s="133"/>
      <c r="BQ237" s="133"/>
      <c r="BR237" s="133"/>
      <c r="BS237" s="976">
        <v>-480</v>
      </c>
      <c r="BT237" s="692"/>
      <c r="BU237" s="133"/>
      <c r="BV237" s="133"/>
      <c r="BW237" s="133"/>
      <c r="BX237" s="954"/>
      <c r="BY237" s="133"/>
      <c r="BZ237" s="133"/>
      <c r="CA237" s="133"/>
      <c r="CB237" s="133"/>
      <c r="CC237" s="954"/>
      <c r="CD237" s="954"/>
      <c r="CE237" s="954"/>
      <c r="CF237" s="954"/>
      <c r="CG237" s="587"/>
    </row>
    <row r="238" spans="1:85" s="461" customFormat="1" ht="14.4" hidden="1" outlineLevel="1" x14ac:dyDescent="0.3">
      <c r="A238" s="166" t="s">
        <v>1033</v>
      </c>
      <c r="B238" s="583"/>
      <c r="C238" s="957"/>
      <c r="D238" s="957"/>
      <c r="E238" s="957"/>
      <c r="F238" s="957"/>
      <c r="G238" s="120"/>
      <c r="H238" s="120"/>
      <c r="I238" s="120"/>
      <c r="J238" s="120"/>
      <c r="K238" s="957"/>
      <c r="L238" s="120"/>
      <c r="M238" s="120"/>
      <c r="N238" s="120"/>
      <c r="O238" s="120"/>
      <c r="P238" s="957"/>
      <c r="Q238" s="120"/>
      <c r="R238" s="120"/>
      <c r="S238" s="120"/>
      <c r="T238" s="120"/>
      <c r="U238" s="957"/>
      <c r="V238" s="120"/>
      <c r="W238" s="120"/>
      <c r="X238" s="120"/>
      <c r="Y238" s="120"/>
      <c r="Z238" s="957"/>
      <c r="AA238" s="120"/>
      <c r="AB238" s="120"/>
      <c r="AC238" s="120"/>
      <c r="AD238" s="120"/>
      <c r="AE238" s="957"/>
      <c r="AF238" s="120"/>
      <c r="AG238" s="120"/>
      <c r="AH238" s="120"/>
      <c r="AI238" s="120"/>
      <c r="AJ238" s="957"/>
      <c r="AK238" s="120"/>
      <c r="AL238" s="120"/>
      <c r="AM238" s="120"/>
      <c r="AN238" s="120"/>
      <c r="AO238" s="957">
        <f>SUM(AO236:AO237)</f>
        <v>-335</v>
      </c>
      <c r="AP238" s="120"/>
      <c r="AQ238" s="120"/>
      <c r="AR238" s="120"/>
      <c r="AS238" s="120"/>
      <c r="AT238" s="957">
        <f>SUM(AT236:AT237)</f>
        <v>-640</v>
      </c>
      <c r="AU238" s="120"/>
      <c r="AV238" s="120"/>
      <c r="AW238" s="120"/>
      <c r="AX238" s="120"/>
      <c r="AY238" s="957">
        <f>SUM(AY236:AY237)</f>
        <v>800</v>
      </c>
      <c r="AZ238" s="120"/>
      <c r="BA238" s="120"/>
      <c r="BB238" s="120"/>
      <c r="BC238" s="120"/>
      <c r="BD238" s="957">
        <f>SUM(BD236:BD237)</f>
        <v>1504</v>
      </c>
      <c r="BE238" s="120"/>
      <c r="BF238" s="120"/>
      <c r="BG238" s="120"/>
      <c r="BH238" s="120"/>
      <c r="BI238" s="957">
        <f>SUM(BI236:BI237)</f>
        <v>1031</v>
      </c>
      <c r="BJ238" s="120"/>
      <c r="BK238" s="120"/>
      <c r="BL238" s="120"/>
      <c r="BM238" s="120"/>
      <c r="BN238" s="957">
        <f>SUM(BN236:BN237)</f>
        <v>2337</v>
      </c>
      <c r="BO238" s="120"/>
      <c r="BP238" s="120"/>
      <c r="BQ238" s="120"/>
      <c r="BR238" s="120"/>
      <c r="BS238" s="957">
        <f>SUM(BS236:BS237)</f>
        <v>1022</v>
      </c>
      <c r="BT238" s="694"/>
      <c r="BU238" s="120"/>
      <c r="BV238" s="120"/>
      <c r="BW238" s="120"/>
      <c r="BX238" s="957"/>
      <c r="BY238" s="120"/>
      <c r="BZ238" s="120"/>
      <c r="CA238" s="120"/>
      <c r="CB238" s="120"/>
      <c r="CC238" s="957"/>
      <c r="CD238" s="957"/>
      <c r="CE238" s="957"/>
      <c r="CF238" s="957"/>
      <c r="CG238" s="615"/>
    </row>
    <row r="239" spans="1:85" s="460" customFormat="1" ht="14.4" hidden="1" outlineLevel="1" x14ac:dyDescent="0.3">
      <c r="A239" s="591" t="s">
        <v>1034</v>
      </c>
      <c r="B239" s="586"/>
      <c r="C239" s="150"/>
      <c r="D239" s="150"/>
      <c r="E239" s="150"/>
      <c r="F239" s="150"/>
      <c r="G239" s="117"/>
      <c r="H239" s="117"/>
      <c r="I239" s="117"/>
      <c r="J239" s="117"/>
      <c r="K239" s="150"/>
      <c r="L239" s="117"/>
      <c r="M239" s="117"/>
      <c r="N239" s="117"/>
      <c r="O239" s="117"/>
      <c r="P239" s="150"/>
      <c r="Q239" s="117"/>
      <c r="R239" s="117"/>
      <c r="S239" s="117"/>
      <c r="T239" s="117"/>
      <c r="U239" s="150"/>
      <c r="V239" s="117"/>
      <c r="W239" s="117"/>
      <c r="X239" s="117"/>
      <c r="Y239" s="117"/>
      <c r="Z239" s="150"/>
      <c r="AA239" s="117"/>
      <c r="AB239" s="117"/>
      <c r="AC239" s="117"/>
      <c r="AD239" s="117"/>
      <c r="AE239" s="150"/>
      <c r="AF239" s="117"/>
      <c r="AG239" s="117"/>
      <c r="AH239" s="117"/>
      <c r="AI239" s="117"/>
      <c r="AJ239" s="150"/>
      <c r="AK239" s="117"/>
      <c r="AL239" s="117"/>
      <c r="AM239" s="117"/>
      <c r="AN239" s="117"/>
      <c r="AO239" s="975">
        <v>668</v>
      </c>
      <c r="AP239" s="117"/>
      <c r="AQ239" s="117"/>
      <c r="AR239" s="117"/>
      <c r="AS239" s="117"/>
      <c r="AT239" s="975">
        <v>473</v>
      </c>
      <c r="AU239" s="117"/>
      <c r="AV239" s="117"/>
      <c r="AW239" s="117"/>
      <c r="AX239" s="117"/>
      <c r="AY239" s="975">
        <v>1283</v>
      </c>
      <c r="AZ239" s="117"/>
      <c r="BA239" s="117"/>
      <c r="BB239" s="117"/>
      <c r="BC239" s="117"/>
      <c r="BD239" s="975">
        <v>2192</v>
      </c>
      <c r="BE239" s="117"/>
      <c r="BF239" s="117"/>
      <c r="BG239" s="117"/>
      <c r="BH239" s="117"/>
      <c r="BI239" s="975">
        <v>515</v>
      </c>
      <c r="BJ239" s="117"/>
      <c r="BK239" s="117"/>
      <c r="BL239" s="117"/>
      <c r="BM239" s="117"/>
      <c r="BN239" s="975">
        <v>622</v>
      </c>
      <c r="BO239" s="117"/>
      <c r="BP239" s="117"/>
      <c r="BQ239" s="117"/>
      <c r="BR239" s="117"/>
      <c r="BS239" s="975">
        <v>423</v>
      </c>
      <c r="BT239" s="691"/>
      <c r="BU239" s="117"/>
      <c r="BV239" s="117"/>
      <c r="BW239" s="117"/>
      <c r="BX239" s="150"/>
      <c r="BY239" s="117"/>
      <c r="BZ239" s="117"/>
      <c r="CA239" s="117"/>
      <c r="CB239" s="117"/>
      <c r="CC239" s="150"/>
      <c r="CD239" s="150"/>
      <c r="CE239" s="150"/>
      <c r="CF239" s="150"/>
      <c r="CG239" s="587"/>
    </row>
    <row r="240" spans="1:85" s="460" customFormat="1" ht="14.4" hidden="1" outlineLevel="1" x14ac:dyDescent="0.3">
      <c r="A240" s="592" t="s">
        <v>1035</v>
      </c>
      <c r="B240" s="588"/>
      <c r="C240" s="954"/>
      <c r="D240" s="954"/>
      <c r="E240" s="954"/>
      <c r="F240" s="954"/>
      <c r="G240" s="133"/>
      <c r="H240" s="133"/>
      <c r="I240" s="133"/>
      <c r="J240" s="133"/>
      <c r="K240" s="954"/>
      <c r="L240" s="133"/>
      <c r="M240" s="133"/>
      <c r="N240" s="133"/>
      <c r="O240" s="133"/>
      <c r="P240" s="954"/>
      <c r="Q240" s="133"/>
      <c r="R240" s="133"/>
      <c r="S240" s="133"/>
      <c r="T240" s="133"/>
      <c r="U240" s="954"/>
      <c r="V240" s="133"/>
      <c r="W240" s="133"/>
      <c r="X240" s="133"/>
      <c r="Y240" s="133"/>
      <c r="Z240" s="954"/>
      <c r="AA240" s="133"/>
      <c r="AB240" s="133"/>
      <c r="AC240" s="133"/>
      <c r="AD240" s="133"/>
      <c r="AE240" s="954"/>
      <c r="AF240" s="133"/>
      <c r="AG240" s="133"/>
      <c r="AH240" s="133"/>
      <c r="AI240" s="133"/>
      <c r="AJ240" s="954"/>
      <c r="AK240" s="133"/>
      <c r="AL240" s="133"/>
      <c r="AM240" s="133"/>
      <c r="AN240" s="133"/>
      <c r="AO240" s="976">
        <v>6534</v>
      </c>
      <c r="AP240" s="133"/>
      <c r="AQ240" s="133"/>
      <c r="AR240" s="133"/>
      <c r="AS240" s="133"/>
      <c r="AT240" s="976">
        <v>3378</v>
      </c>
      <c r="AU240" s="133"/>
      <c r="AV240" s="133"/>
      <c r="AW240" s="133"/>
      <c r="AX240" s="133"/>
      <c r="AY240" s="976">
        <v>5232</v>
      </c>
      <c r="AZ240" s="133"/>
      <c r="BA240" s="133"/>
      <c r="BB240" s="133"/>
      <c r="BC240" s="133"/>
      <c r="BD240" s="976">
        <v>6829</v>
      </c>
      <c r="BE240" s="133"/>
      <c r="BF240" s="133"/>
      <c r="BG240" s="133"/>
      <c r="BH240" s="133"/>
      <c r="BI240" s="976">
        <v>5979</v>
      </c>
      <c r="BJ240" s="133"/>
      <c r="BK240" s="133"/>
      <c r="BL240" s="133"/>
      <c r="BM240" s="133"/>
      <c r="BN240" s="976">
        <v>5227</v>
      </c>
      <c r="BO240" s="133"/>
      <c r="BP240" s="133"/>
      <c r="BQ240" s="133"/>
      <c r="BR240" s="133"/>
      <c r="BS240" s="976">
        <v>3880</v>
      </c>
      <c r="BT240" s="692"/>
      <c r="BU240" s="133"/>
      <c r="BV240" s="133"/>
      <c r="BW240" s="133"/>
      <c r="BX240" s="954"/>
      <c r="BY240" s="133"/>
      <c r="BZ240" s="133"/>
      <c r="CA240" s="133"/>
      <c r="CB240" s="133"/>
      <c r="CC240" s="954"/>
      <c r="CD240" s="954"/>
      <c r="CE240" s="954"/>
      <c r="CF240" s="954"/>
      <c r="CG240" s="587"/>
    </row>
    <row r="241" spans="1:85" s="460" customFormat="1" ht="14.4" hidden="1" outlineLevel="1" x14ac:dyDescent="0.3">
      <c r="A241" s="159" t="s">
        <v>1036</v>
      </c>
      <c r="B241" s="586"/>
      <c r="C241" s="150"/>
      <c r="D241" s="150"/>
      <c r="E241" s="150"/>
      <c r="F241" s="150"/>
      <c r="G241" s="117"/>
      <c r="H241" s="117"/>
      <c r="I241" s="117"/>
      <c r="J241" s="117"/>
      <c r="K241" s="150"/>
      <c r="L241" s="117"/>
      <c r="M241" s="117"/>
      <c r="N241" s="117"/>
      <c r="O241" s="117"/>
      <c r="P241" s="150"/>
      <c r="Q241" s="117"/>
      <c r="R241" s="117"/>
      <c r="S241" s="117"/>
      <c r="T241" s="117"/>
      <c r="U241" s="150"/>
      <c r="V241" s="117"/>
      <c r="W241" s="117"/>
      <c r="X241" s="117"/>
      <c r="Y241" s="117"/>
      <c r="Z241" s="150"/>
      <c r="AA241" s="117"/>
      <c r="AB241" s="117"/>
      <c r="AC241" s="117"/>
      <c r="AD241" s="117"/>
      <c r="AE241" s="150"/>
      <c r="AF241" s="117"/>
      <c r="AG241" s="117"/>
      <c r="AH241" s="117"/>
      <c r="AI241" s="117"/>
      <c r="AJ241" s="150"/>
      <c r="AK241" s="117"/>
      <c r="AL241" s="117"/>
      <c r="AM241" s="117"/>
      <c r="AN241" s="117"/>
      <c r="AO241" s="150">
        <f>SUM(AO239:AO240)</f>
        <v>7202</v>
      </c>
      <c r="AP241" s="117"/>
      <c r="AQ241" s="117"/>
      <c r="AR241" s="117"/>
      <c r="AS241" s="117"/>
      <c r="AT241" s="150">
        <f>SUM(AT239:AT240)</f>
        <v>3851</v>
      </c>
      <c r="AU241" s="117"/>
      <c r="AV241" s="117"/>
      <c r="AW241" s="117"/>
      <c r="AX241" s="117"/>
      <c r="AY241" s="150">
        <f>SUM(AY239:AY240)</f>
        <v>6515</v>
      </c>
      <c r="AZ241" s="117"/>
      <c r="BA241" s="117"/>
      <c r="BB241" s="117"/>
      <c r="BC241" s="117"/>
      <c r="BD241" s="150">
        <f>SUM(BD239:BD240)</f>
        <v>9021</v>
      </c>
      <c r="BE241" s="117"/>
      <c r="BF241" s="117"/>
      <c r="BG241" s="117"/>
      <c r="BH241" s="117"/>
      <c r="BI241" s="150">
        <f>SUM(BI239:BI240)</f>
        <v>6494</v>
      </c>
      <c r="BJ241" s="117"/>
      <c r="BK241" s="117"/>
      <c r="BL241" s="117"/>
      <c r="BM241" s="117"/>
      <c r="BN241" s="150">
        <f>SUM(BN239:BN240)</f>
        <v>5849</v>
      </c>
      <c r="BO241" s="117"/>
      <c r="BP241" s="117"/>
      <c r="BQ241" s="117"/>
      <c r="BR241" s="117"/>
      <c r="BS241" s="150">
        <f>SUM(BS239:BS240)</f>
        <v>4303</v>
      </c>
      <c r="BT241" s="691"/>
      <c r="BU241" s="117"/>
      <c r="BV241" s="117"/>
      <c r="BW241" s="117"/>
      <c r="BX241" s="150"/>
      <c r="BY241" s="117"/>
      <c r="BZ241" s="117"/>
      <c r="CA241" s="117"/>
      <c r="CB241" s="117"/>
      <c r="CC241" s="150"/>
      <c r="CD241" s="150"/>
      <c r="CE241" s="150"/>
      <c r="CF241" s="150"/>
      <c r="CG241" s="587"/>
    </row>
    <row r="242" spans="1:85" s="460" customFormat="1" ht="14.4" hidden="1" outlineLevel="1" x14ac:dyDescent="0.3">
      <c r="A242" s="591" t="s">
        <v>1037</v>
      </c>
      <c r="B242" s="586"/>
      <c r="C242" s="150"/>
      <c r="D242" s="150"/>
      <c r="E242" s="150"/>
      <c r="F242" s="150"/>
      <c r="G242" s="117"/>
      <c r="H242" s="117"/>
      <c r="I242" s="117"/>
      <c r="J242" s="117"/>
      <c r="K242" s="150"/>
      <c r="L242" s="117"/>
      <c r="M242" s="117"/>
      <c r="N242" s="117"/>
      <c r="O242" s="117"/>
      <c r="P242" s="150"/>
      <c r="Q242" s="117"/>
      <c r="R242" s="117"/>
      <c r="S242" s="117"/>
      <c r="T242" s="117"/>
      <c r="U242" s="150"/>
      <c r="V242" s="117"/>
      <c r="W242" s="117"/>
      <c r="X242" s="117"/>
      <c r="Y242" s="117"/>
      <c r="Z242" s="150"/>
      <c r="AA242" s="117"/>
      <c r="AB242" s="117"/>
      <c r="AC242" s="117"/>
      <c r="AD242" s="117"/>
      <c r="AE242" s="150"/>
      <c r="AF242" s="117"/>
      <c r="AG242" s="117"/>
      <c r="AH242" s="117"/>
      <c r="AI242" s="117"/>
      <c r="AJ242" s="150"/>
      <c r="AK242" s="117"/>
      <c r="AL242" s="117"/>
      <c r="AM242" s="117"/>
      <c r="AN242" s="117"/>
      <c r="AO242" s="975">
        <v>-1460</v>
      </c>
      <c r="AP242" s="117"/>
      <c r="AQ242" s="117"/>
      <c r="AR242" s="117"/>
      <c r="AS242" s="117"/>
      <c r="AT242" s="975">
        <v>-1485</v>
      </c>
      <c r="AU242" s="117"/>
      <c r="AV242" s="117"/>
      <c r="AW242" s="117"/>
      <c r="AX242" s="117"/>
      <c r="AY242" s="975">
        <v>-1414</v>
      </c>
      <c r="AZ242" s="117"/>
      <c r="BA242" s="117"/>
      <c r="BB242" s="117"/>
      <c r="BC242" s="117"/>
      <c r="BD242" s="975">
        <v>-1515</v>
      </c>
      <c r="BE242" s="117"/>
      <c r="BF242" s="117"/>
      <c r="BG242" s="117"/>
      <c r="BH242" s="117"/>
      <c r="BI242" s="975">
        <v>-1619</v>
      </c>
      <c r="BJ242" s="117"/>
      <c r="BK242" s="117"/>
      <c r="BL242" s="117"/>
      <c r="BM242" s="117"/>
      <c r="BN242" s="975">
        <v>-1662</v>
      </c>
      <c r="BO242" s="117"/>
      <c r="BP242" s="117"/>
      <c r="BQ242" s="117"/>
      <c r="BR242" s="117"/>
      <c r="BS242" s="975">
        <v>-1464</v>
      </c>
      <c r="BT242" s="691"/>
      <c r="BU242" s="117"/>
      <c r="BV242" s="117"/>
      <c r="BW242" s="117"/>
      <c r="BX242" s="150"/>
      <c r="BY242" s="117"/>
      <c r="BZ242" s="117"/>
      <c r="CA242" s="117"/>
      <c r="CB242" s="117"/>
      <c r="CC242" s="150"/>
      <c r="CD242" s="150"/>
      <c r="CE242" s="150"/>
      <c r="CF242" s="150"/>
      <c r="CG242" s="587"/>
    </row>
    <row r="243" spans="1:85" s="460" customFormat="1" ht="14.4" hidden="1" outlineLevel="1" x14ac:dyDescent="0.3">
      <c r="A243" s="591" t="s">
        <v>1038</v>
      </c>
      <c r="B243" s="586"/>
      <c r="C243" s="150"/>
      <c r="D243" s="150"/>
      <c r="E243" s="150"/>
      <c r="F243" s="150"/>
      <c r="G243" s="117"/>
      <c r="H243" s="117"/>
      <c r="I243" s="117"/>
      <c r="J243" s="117"/>
      <c r="K243" s="150"/>
      <c r="L243" s="117"/>
      <c r="M243" s="117"/>
      <c r="N243" s="117"/>
      <c r="O243" s="117"/>
      <c r="P243" s="150"/>
      <c r="Q243" s="117"/>
      <c r="R243" s="117"/>
      <c r="S243" s="117"/>
      <c r="T243" s="117"/>
      <c r="U243" s="150"/>
      <c r="V243" s="117"/>
      <c r="W243" s="117"/>
      <c r="X243" s="117"/>
      <c r="Y243" s="117"/>
      <c r="Z243" s="150"/>
      <c r="AA243" s="117"/>
      <c r="AB243" s="117"/>
      <c r="AC243" s="117"/>
      <c r="AD243" s="117"/>
      <c r="AE243" s="150"/>
      <c r="AF243" s="117"/>
      <c r="AG243" s="117"/>
      <c r="AH243" s="117"/>
      <c r="AI243" s="117"/>
      <c r="AJ243" s="150"/>
      <c r="AK243" s="117"/>
      <c r="AL243" s="117"/>
      <c r="AM243" s="117"/>
      <c r="AN243" s="117"/>
      <c r="AO243" s="975">
        <v>-101</v>
      </c>
      <c r="AP243" s="117"/>
      <c r="AQ243" s="117"/>
      <c r="AR243" s="117"/>
      <c r="AS243" s="117"/>
      <c r="AT243" s="975">
        <v>-77</v>
      </c>
      <c r="AU243" s="117"/>
      <c r="AV243" s="117"/>
      <c r="AW243" s="117"/>
      <c r="AX243" s="117"/>
      <c r="AY243" s="975">
        <v>-88</v>
      </c>
      <c r="AZ243" s="117"/>
      <c r="BA243" s="117"/>
      <c r="BB243" s="117"/>
      <c r="BC243" s="117"/>
      <c r="BD243" s="975">
        <v>-170</v>
      </c>
      <c r="BE243" s="117"/>
      <c r="BF243" s="117"/>
      <c r="BG243" s="117"/>
      <c r="BH243" s="117"/>
      <c r="BI243" s="975">
        <v>-142</v>
      </c>
      <c r="BJ243" s="117"/>
      <c r="BK243" s="117"/>
      <c r="BL243" s="117"/>
      <c r="BM243" s="117"/>
      <c r="BN243" s="975">
        <v>-165</v>
      </c>
      <c r="BO243" s="117"/>
      <c r="BP243" s="117"/>
      <c r="BQ243" s="117"/>
      <c r="BR243" s="117"/>
      <c r="BS243" s="975">
        <v>-190</v>
      </c>
      <c r="BT243" s="691"/>
      <c r="BU243" s="117"/>
      <c r="BV243" s="117"/>
      <c r="BW243" s="117"/>
      <c r="BX243" s="150"/>
      <c r="BY243" s="117"/>
      <c r="BZ243" s="117"/>
      <c r="CA243" s="117"/>
      <c r="CB243" s="117"/>
      <c r="CC243" s="150"/>
      <c r="CD243" s="150"/>
      <c r="CE243" s="150"/>
      <c r="CF243" s="150"/>
      <c r="CG243" s="587"/>
    </row>
    <row r="244" spans="1:85" s="460" customFormat="1" ht="14.4" hidden="1" outlineLevel="1" x14ac:dyDescent="0.3">
      <c r="A244" s="591" t="s">
        <v>1039</v>
      </c>
      <c r="B244" s="586"/>
      <c r="C244" s="150"/>
      <c r="D244" s="150"/>
      <c r="E244" s="150"/>
      <c r="F244" s="150"/>
      <c r="G244" s="117"/>
      <c r="H244" s="117"/>
      <c r="I244" s="117"/>
      <c r="J244" s="117"/>
      <c r="K244" s="150"/>
      <c r="L244" s="117"/>
      <c r="M244" s="117"/>
      <c r="N244" s="117"/>
      <c r="O244" s="117"/>
      <c r="P244" s="150"/>
      <c r="Q244" s="117"/>
      <c r="R244" s="117"/>
      <c r="S244" s="117"/>
      <c r="T244" s="117"/>
      <c r="U244" s="150"/>
      <c r="V244" s="117"/>
      <c r="W244" s="117"/>
      <c r="X244" s="117"/>
      <c r="Y244" s="117"/>
      <c r="Z244" s="150"/>
      <c r="AA244" s="117"/>
      <c r="AB244" s="117"/>
      <c r="AC244" s="117"/>
      <c r="AD244" s="117"/>
      <c r="AE244" s="150"/>
      <c r="AF244" s="117"/>
      <c r="AG244" s="117"/>
      <c r="AH244" s="117"/>
      <c r="AI244" s="117"/>
      <c r="AJ244" s="150"/>
      <c r="AK244" s="117"/>
      <c r="AL244" s="117"/>
      <c r="AM244" s="117"/>
      <c r="AN244" s="117"/>
      <c r="AO244" s="975">
        <v>-2548</v>
      </c>
      <c r="AP244" s="117"/>
      <c r="AQ244" s="117"/>
      <c r="AR244" s="117"/>
      <c r="AS244" s="117"/>
      <c r="AT244" s="975">
        <v>-2323</v>
      </c>
      <c r="AU244" s="117"/>
      <c r="AV244" s="117"/>
      <c r="AW244" s="117"/>
      <c r="AX244" s="117"/>
      <c r="AY244" s="975">
        <v>-1797</v>
      </c>
      <c r="AZ244" s="117"/>
      <c r="BA244" s="117"/>
      <c r="BB244" s="117"/>
      <c r="BC244" s="117"/>
      <c r="BD244" s="975">
        <v>-1943</v>
      </c>
      <c r="BE244" s="117"/>
      <c r="BF244" s="117"/>
      <c r="BG244" s="117"/>
      <c r="BH244" s="117"/>
      <c r="BI244" s="975">
        <v>-1414</v>
      </c>
      <c r="BJ244" s="117"/>
      <c r="BK244" s="117"/>
      <c r="BL244" s="117"/>
      <c r="BM244" s="117"/>
      <c r="BN244" s="975">
        <v>-1616</v>
      </c>
      <c r="BO244" s="117"/>
      <c r="BP244" s="117"/>
      <c r="BQ244" s="117"/>
      <c r="BR244" s="117"/>
      <c r="BS244" s="975">
        <v>-1206</v>
      </c>
      <c r="BT244" s="691"/>
      <c r="BU244" s="117"/>
      <c r="BV244" s="117"/>
      <c r="BW244" s="117"/>
      <c r="BX244" s="150"/>
      <c r="BY244" s="117"/>
      <c r="BZ244" s="117"/>
      <c r="CA244" s="117"/>
      <c r="CB244" s="117"/>
      <c r="CC244" s="150"/>
      <c r="CD244" s="150"/>
      <c r="CE244" s="150"/>
      <c r="CF244" s="150"/>
      <c r="CG244" s="587"/>
    </row>
    <row r="245" spans="1:85" s="460" customFormat="1" ht="14.4" hidden="1" outlineLevel="1" x14ac:dyDescent="0.3">
      <c r="A245" s="591" t="s">
        <v>1040</v>
      </c>
      <c r="B245" s="586"/>
      <c r="C245" s="150"/>
      <c r="D245" s="150"/>
      <c r="E245" s="150"/>
      <c r="F245" s="150"/>
      <c r="G245" s="117"/>
      <c r="H245" s="117"/>
      <c r="I245" s="117"/>
      <c r="J245" s="117"/>
      <c r="K245" s="150"/>
      <c r="L245" s="117"/>
      <c r="M245" s="117"/>
      <c r="N245" s="117"/>
      <c r="O245" s="117"/>
      <c r="P245" s="150"/>
      <c r="Q245" s="117"/>
      <c r="R245" s="117"/>
      <c r="S245" s="117"/>
      <c r="T245" s="117"/>
      <c r="U245" s="150"/>
      <c r="V245" s="117"/>
      <c r="W245" s="117"/>
      <c r="X245" s="117"/>
      <c r="Y245" s="117"/>
      <c r="Z245" s="150"/>
      <c r="AA245" s="117"/>
      <c r="AB245" s="117"/>
      <c r="AC245" s="117"/>
      <c r="AD245" s="117"/>
      <c r="AE245" s="150"/>
      <c r="AF245" s="117"/>
      <c r="AG245" s="117"/>
      <c r="AH245" s="117"/>
      <c r="AI245" s="117"/>
      <c r="AJ245" s="150"/>
      <c r="AK245" s="117"/>
      <c r="AL245" s="117"/>
      <c r="AM245" s="117"/>
      <c r="AN245" s="117"/>
      <c r="AO245" s="975">
        <v>-148</v>
      </c>
      <c r="AP245" s="117"/>
      <c r="AQ245" s="117"/>
      <c r="AR245" s="117"/>
      <c r="AS245" s="117"/>
      <c r="AT245" s="975">
        <v>-136</v>
      </c>
      <c r="AU245" s="117"/>
      <c r="AV245" s="117"/>
      <c r="AW245" s="117"/>
      <c r="AX245" s="117"/>
      <c r="AY245" s="975">
        <v>-144</v>
      </c>
      <c r="AZ245" s="117"/>
      <c r="BA245" s="117"/>
      <c r="BB245" s="117"/>
      <c r="BC245" s="117"/>
      <c r="BD245" s="975">
        <v>-147</v>
      </c>
      <c r="BE245" s="117"/>
      <c r="BF245" s="117"/>
      <c r="BG245" s="117"/>
      <c r="BH245" s="117"/>
      <c r="BI245" s="975">
        <v>-126</v>
      </c>
      <c r="BJ245" s="117"/>
      <c r="BK245" s="117"/>
      <c r="BL245" s="117"/>
      <c r="BM245" s="117"/>
      <c r="BN245" s="975">
        <v>-127</v>
      </c>
      <c r="BO245" s="117"/>
      <c r="BP245" s="117"/>
      <c r="BQ245" s="117"/>
      <c r="BR245" s="117"/>
      <c r="BS245" s="975">
        <v>-120</v>
      </c>
      <c r="BT245" s="691"/>
      <c r="BU245" s="117"/>
      <c r="BV245" s="117"/>
      <c r="BW245" s="117"/>
      <c r="BX245" s="150"/>
      <c r="BY245" s="117"/>
      <c r="BZ245" s="117"/>
      <c r="CA245" s="117"/>
      <c r="CB245" s="117"/>
      <c r="CC245" s="150"/>
      <c r="CD245" s="150"/>
      <c r="CE245" s="150"/>
      <c r="CF245" s="150"/>
      <c r="CG245" s="587"/>
    </row>
    <row r="246" spans="1:85" s="460" customFormat="1" ht="14.4" hidden="1" outlineLevel="1" x14ac:dyDescent="0.3">
      <c r="A246" s="591" t="s">
        <v>1041</v>
      </c>
      <c r="B246" s="586"/>
      <c r="C246" s="150"/>
      <c r="D246" s="150"/>
      <c r="E246" s="150"/>
      <c r="F246" s="150"/>
      <c r="G246" s="117"/>
      <c r="H246" s="117"/>
      <c r="I246" s="117"/>
      <c r="J246" s="117"/>
      <c r="K246" s="150"/>
      <c r="L246" s="117"/>
      <c r="M246" s="117"/>
      <c r="N246" s="117"/>
      <c r="O246" s="117"/>
      <c r="P246" s="150"/>
      <c r="Q246" s="117"/>
      <c r="R246" s="117"/>
      <c r="S246" s="117"/>
      <c r="T246" s="117"/>
      <c r="U246" s="150"/>
      <c r="V246" s="117"/>
      <c r="W246" s="117"/>
      <c r="X246" s="117"/>
      <c r="Y246" s="117"/>
      <c r="Z246" s="150"/>
      <c r="AA246" s="117"/>
      <c r="AB246" s="117"/>
      <c r="AC246" s="117"/>
      <c r="AD246" s="117"/>
      <c r="AE246" s="150"/>
      <c r="AF246" s="117"/>
      <c r="AG246" s="117"/>
      <c r="AH246" s="117"/>
      <c r="AI246" s="117"/>
      <c r="AJ246" s="150"/>
      <c r="AK246" s="117"/>
      <c r="AL246" s="117"/>
      <c r="AM246" s="117"/>
      <c r="AN246" s="117"/>
      <c r="AO246" s="975">
        <v>-73</v>
      </c>
      <c r="AP246" s="117"/>
      <c r="AQ246" s="117"/>
      <c r="AR246" s="117"/>
      <c r="AS246" s="117"/>
      <c r="AT246" s="975">
        <v>-431</v>
      </c>
      <c r="AU246" s="117"/>
      <c r="AV246" s="117"/>
      <c r="AW246" s="117"/>
      <c r="AX246" s="117"/>
      <c r="AY246" s="975">
        <v>-83</v>
      </c>
      <c r="AZ246" s="117"/>
      <c r="BA246" s="117"/>
      <c r="BB246" s="117"/>
      <c r="BC246" s="117"/>
      <c r="BD246" s="975">
        <v>-243</v>
      </c>
      <c r="BE246" s="117"/>
      <c r="BF246" s="117"/>
      <c r="BG246" s="117"/>
      <c r="BH246" s="117"/>
      <c r="BI246" s="975">
        <v>-151</v>
      </c>
      <c r="BJ246" s="117"/>
      <c r="BK246" s="117"/>
      <c r="BL246" s="117"/>
      <c r="BM246" s="117"/>
      <c r="BN246" s="975">
        <v>-308</v>
      </c>
      <c r="BO246" s="117"/>
      <c r="BP246" s="117"/>
      <c r="BQ246" s="117"/>
      <c r="BR246" s="117"/>
      <c r="BS246" s="975">
        <v>-379</v>
      </c>
      <c r="BT246" s="691"/>
      <c r="BU246" s="117"/>
      <c r="BV246" s="117"/>
      <c r="BW246" s="117"/>
      <c r="BX246" s="150"/>
      <c r="BY246" s="117"/>
      <c r="BZ246" s="117"/>
      <c r="CA246" s="117"/>
      <c r="CB246" s="117"/>
      <c r="CC246" s="150"/>
      <c r="CD246" s="150"/>
      <c r="CE246" s="150"/>
      <c r="CF246" s="150"/>
      <c r="CG246" s="587"/>
    </row>
    <row r="247" spans="1:85" s="460" customFormat="1" ht="14.4" hidden="1" outlineLevel="1" x14ac:dyDescent="0.3">
      <c r="A247" s="591" t="s">
        <v>937</v>
      </c>
      <c r="B247" s="586"/>
      <c r="C247" s="150"/>
      <c r="D247" s="150"/>
      <c r="E247" s="150"/>
      <c r="F247" s="150"/>
      <c r="G247" s="117"/>
      <c r="H247" s="117"/>
      <c r="I247" s="117"/>
      <c r="J247" s="117"/>
      <c r="K247" s="150"/>
      <c r="L247" s="117"/>
      <c r="M247" s="117"/>
      <c r="N247" s="117"/>
      <c r="O247" s="117"/>
      <c r="P247" s="150"/>
      <c r="Q247" s="117"/>
      <c r="R247" s="117"/>
      <c r="S247" s="117"/>
      <c r="T247" s="117"/>
      <c r="U247" s="150"/>
      <c r="V247" s="117"/>
      <c r="W247" s="117"/>
      <c r="X247" s="117"/>
      <c r="Y247" s="117"/>
      <c r="Z247" s="150"/>
      <c r="AA247" s="117"/>
      <c r="AB247" s="117"/>
      <c r="AC247" s="117"/>
      <c r="AD247" s="117"/>
      <c r="AE247" s="150"/>
      <c r="AF247" s="117"/>
      <c r="AG247" s="117"/>
      <c r="AH247" s="117"/>
      <c r="AI247" s="117"/>
      <c r="AJ247" s="150"/>
      <c r="AK247" s="117"/>
      <c r="AL247" s="117"/>
      <c r="AM247" s="117"/>
      <c r="AN247" s="117"/>
      <c r="AO247" s="975">
        <v>-2</v>
      </c>
      <c r="AP247" s="117"/>
      <c r="AQ247" s="117"/>
      <c r="AR247" s="117"/>
      <c r="AS247" s="117"/>
      <c r="AT247" s="975">
        <v>-6</v>
      </c>
      <c r="AU247" s="117"/>
      <c r="AV247" s="117"/>
      <c r="AW247" s="117"/>
      <c r="AX247" s="117"/>
      <c r="AY247" s="975">
        <v>-5</v>
      </c>
      <c r="AZ247" s="117"/>
      <c r="BA247" s="117"/>
      <c r="BB247" s="117"/>
      <c r="BC247" s="117"/>
      <c r="BD247" s="975">
        <v>-15</v>
      </c>
      <c r="BE247" s="117"/>
      <c r="BF247" s="117"/>
      <c r="BG247" s="117"/>
      <c r="BH247" s="117"/>
      <c r="BI247" s="975">
        <v>-44</v>
      </c>
      <c r="BJ247" s="117"/>
      <c r="BK247" s="117"/>
      <c r="BL247" s="117"/>
      <c r="BM247" s="117"/>
      <c r="BN247" s="975">
        <v>-30</v>
      </c>
      <c r="BO247" s="117"/>
      <c r="BP247" s="117"/>
      <c r="BQ247" s="117"/>
      <c r="BR247" s="117"/>
      <c r="BS247" s="975">
        <v>-23</v>
      </c>
      <c r="BT247" s="691"/>
      <c r="BU247" s="117"/>
      <c r="BV247" s="117"/>
      <c r="BW247" s="117"/>
      <c r="BX247" s="150"/>
      <c r="BY247" s="117"/>
      <c r="BZ247" s="117"/>
      <c r="CA247" s="117"/>
      <c r="CB247" s="117"/>
      <c r="CC247" s="150"/>
      <c r="CD247" s="150"/>
      <c r="CE247" s="150"/>
      <c r="CF247" s="150"/>
      <c r="CG247" s="587"/>
    </row>
    <row r="248" spans="1:85" s="460" customFormat="1" ht="14.4" hidden="1" outlineLevel="1" x14ac:dyDescent="0.3">
      <c r="A248" s="592" t="s">
        <v>1042</v>
      </c>
      <c r="B248" s="588"/>
      <c r="C248" s="954"/>
      <c r="D248" s="954"/>
      <c r="E248" s="954"/>
      <c r="F248" s="954"/>
      <c r="G248" s="133"/>
      <c r="H248" s="133"/>
      <c r="I248" s="133"/>
      <c r="J248" s="133"/>
      <c r="K248" s="954"/>
      <c r="L248" s="133"/>
      <c r="M248" s="133"/>
      <c r="N248" s="133"/>
      <c r="O248" s="133"/>
      <c r="P248" s="954"/>
      <c r="Q248" s="133"/>
      <c r="R248" s="133"/>
      <c r="S248" s="133"/>
      <c r="T248" s="133"/>
      <c r="U248" s="954"/>
      <c r="V248" s="133"/>
      <c r="W248" s="133"/>
      <c r="X248" s="133"/>
      <c r="Y248" s="133"/>
      <c r="Z248" s="954"/>
      <c r="AA248" s="133"/>
      <c r="AB248" s="133"/>
      <c r="AC248" s="133"/>
      <c r="AD248" s="133"/>
      <c r="AE248" s="954"/>
      <c r="AF248" s="133"/>
      <c r="AG248" s="133"/>
      <c r="AH248" s="133"/>
      <c r="AI248" s="133"/>
      <c r="AJ248" s="954"/>
      <c r="AK248" s="133"/>
      <c r="AL248" s="133"/>
      <c r="AM248" s="133"/>
      <c r="AN248" s="133"/>
      <c r="AO248" s="976">
        <v>-121</v>
      </c>
      <c r="AP248" s="133"/>
      <c r="AQ248" s="133"/>
      <c r="AR248" s="133"/>
      <c r="AS248" s="133"/>
      <c r="AT248" s="976">
        <v>-11</v>
      </c>
      <c r="AU248" s="133"/>
      <c r="AV248" s="133"/>
      <c r="AW248" s="133"/>
      <c r="AX248" s="133"/>
      <c r="AY248" s="976">
        <v>-72</v>
      </c>
      <c r="AZ248" s="133"/>
      <c r="BA248" s="133"/>
      <c r="BB248" s="133"/>
      <c r="BC248" s="133"/>
      <c r="BD248" s="976">
        <v>300</v>
      </c>
      <c r="BE248" s="133"/>
      <c r="BF248" s="133"/>
      <c r="BG248" s="133"/>
      <c r="BH248" s="133"/>
      <c r="BI248" s="976">
        <v>45</v>
      </c>
      <c r="BJ248" s="133"/>
      <c r="BK248" s="133"/>
      <c r="BL248" s="133"/>
      <c r="BM248" s="133"/>
      <c r="BN248" s="976">
        <v>534</v>
      </c>
      <c r="BO248" s="133"/>
      <c r="BP248" s="133"/>
      <c r="BQ248" s="133"/>
      <c r="BR248" s="133"/>
      <c r="BS248" s="976">
        <v>125</v>
      </c>
      <c r="BT248" s="692"/>
      <c r="BU248" s="133"/>
      <c r="BV248" s="133"/>
      <c r="BW248" s="133"/>
      <c r="BX248" s="954"/>
      <c r="BY248" s="133"/>
      <c r="BZ248" s="133"/>
      <c r="CA248" s="133"/>
      <c r="CB248" s="133"/>
      <c r="CC248" s="954"/>
      <c r="CD248" s="954"/>
      <c r="CE248" s="954"/>
      <c r="CF248" s="954"/>
      <c r="CG248" s="587"/>
    </row>
    <row r="249" spans="1:85" s="460" customFormat="1" ht="14.4" hidden="1" outlineLevel="1" x14ac:dyDescent="0.3">
      <c r="A249" s="159" t="s">
        <v>1043</v>
      </c>
      <c r="B249" s="586"/>
      <c r="C249" s="150"/>
      <c r="D249" s="150"/>
      <c r="E249" s="150"/>
      <c r="F249" s="150"/>
      <c r="G249" s="117"/>
      <c r="H249" s="117"/>
      <c r="I249" s="117"/>
      <c r="J249" s="117"/>
      <c r="K249" s="150"/>
      <c r="L249" s="117"/>
      <c r="M249" s="117"/>
      <c r="N249" s="117"/>
      <c r="O249" s="117"/>
      <c r="P249" s="150"/>
      <c r="Q249" s="117"/>
      <c r="R249" s="117"/>
      <c r="S249" s="117"/>
      <c r="T249" s="117"/>
      <c r="U249" s="150"/>
      <c r="V249" s="117"/>
      <c r="W249" s="117"/>
      <c r="X249" s="117"/>
      <c r="Y249" s="117"/>
      <c r="Z249" s="150"/>
      <c r="AA249" s="117"/>
      <c r="AB249" s="117"/>
      <c r="AC249" s="117"/>
      <c r="AD249" s="117"/>
      <c r="AE249" s="150"/>
      <c r="AF249" s="117"/>
      <c r="AG249" s="117"/>
      <c r="AH249" s="117"/>
      <c r="AI249" s="117"/>
      <c r="AJ249" s="150"/>
      <c r="AK249" s="117"/>
      <c r="AL249" s="117"/>
      <c r="AM249" s="117"/>
      <c r="AN249" s="117"/>
      <c r="AO249" s="150">
        <f>SUM(AO241:AO248)</f>
        <v>2749</v>
      </c>
      <c r="AP249" s="117"/>
      <c r="AQ249" s="117"/>
      <c r="AR249" s="117"/>
      <c r="AS249" s="117"/>
      <c r="AT249" s="150">
        <f>SUM(AT241:AT248)</f>
        <v>-618</v>
      </c>
      <c r="AU249" s="117"/>
      <c r="AV249" s="117"/>
      <c r="AW249" s="117"/>
      <c r="AX249" s="117"/>
      <c r="AY249" s="150">
        <f>SUM(AY241:AY248)</f>
        <v>2912</v>
      </c>
      <c r="AZ249" s="117"/>
      <c r="BA249" s="117"/>
      <c r="BB249" s="117"/>
      <c r="BC249" s="117"/>
      <c r="BD249" s="150">
        <f>SUM(BD241:BD248)</f>
        <v>5288</v>
      </c>
      <c r="BE249" s="117"/>
      <c r="BF249" s="117"/>
      <c r="BG249" s="117"/>
      <c r="BH249" s="117"/>
      <c r="BI249" s="150">
        <f>SUM(BI241:BI248)</f>
        <v>3043</v>
      </c>
      <c r="BJ249" s="117"/>
      <c r="BK249" s="117"/>
      <c r="BL249" s="117"/>
      <c r="BM249" s="117"/>
      <c r="BN249" s="150">
        <f>SUM(BN241:BN248)</f>
        <v>2475</v>
      </c>
      <c r="BO249" s="117"/>
      <c r="BP249" s="117"/>
      <c r="BQ249" s="117"/>
      <c r="BR249" s="117"/>
      <c r="BS249" s="150">
        <f>SUM(BS241:BS248)</f>
        <v>1046</v>
      </c>
      <c r="BT249" s="691"/>
      <c r="BU249" s="117"/>
      <c r="BV249" s="117"/>
      <c r="BW249" s="117"/>
      <c r="BX249" s="150"/>
      <c r="BY249" s="117"/>
      <c r="BZ249" s="117"/>
      <c r="CA249" s="117"/>
      <c r="CB249" s="117"/>
      <c r="CC249" s="150"/>
      <c r="CD249" s="150"/>
      <c r="CE249" s="150"/>
      <c r="CF249" s="150"/>
      <c r="CG249" s="587"/>
    </row>
    <row r="250" spans="1:85" s="460" customFormat="1" ht="14.4" hidden="1" outlineLevel="1" x14ac:dyDescent="0.3">
      <c r="A250" s="262" t="s">
        <v>1044</v>
      </c>
      <c r="B250" s="588"/>
      <c r="C250" s="954"/>
      <c r="D250" s="954"/>
      <c r="E250" s="954"/>
      <c r="F250" s="954"/>
      <c r="G250" s="133"/>
      <c r="H250" s="133"/>
      <c r="I250" s="133"/>
      <c r="J250" s="133"/>
      <c r="K250" s="954"/>
      <c r="L250" s="133"/>
      <c r="M250" s="133"/>
      <c r="N250" s="133"/>
      <c r="O250" s="133"/>
      <c r="P250" s="954"/>
      <c r="Q250" s="133"/>
      <c r="R250" s="133"/>
      <c r="S250" s="133"/>
      <c r="T250" s="133"/>
      <c r="U250" s="954"/>
      <c r="V250" s="133"/>
      <c r="W250" s="133"/>
      <c r="X250" s="133"/>
      <c r="Y250" s="133"/>
      <c r="Z250" s="954"/>
      <c r="AA250" s="133"/>
      <c r="AB250" s="133"/>
      <c r="AC250" s="133"/>
      <c r="AD250" s="133"/>
      <c r="AE250" s="954"/>
      <c r="AF250" s="133"/>
      <c r="AG250" s="133"/>
      <c r="AH250" s="133"/>
      <c r="AI250" s="133"/>
      <c r="AJ250" s="954"/>
      <c r="AK250" s="133"/>
      <c r="AL250" s="133"/>
      <c r="AM250" s="133"/>
      <c r="AN250" s="133"/>
      <c r="AO250" s="976">
        <v>-1731</v>
      </c>
      <c r="AP250" s="133"/>
      <c r="AQ250" s="133"/>
      <c r="AR250" s="133"/>
      <c r="AS250" s="133"/>
      <c r="AT250" s="976">
        <v>888</v>
      </c>
      <c r="AU250" s="133"/>
      <c r="AV250" s="133"/>
      <c r="AW250" s="133"/>
      <c r="AX250" s="133"/>
      <c r="AY250" s="976">
        <v>-1239</v>
      </c>
      <c r="AZ250" s="133"/>
      <c r="BA250" s="133"/>
      <c r="BB250" s="133"/>
      <c r="BC250" s="133"/>
      <c r="BD250" s="976">
        <v>-3114</v>
      </c>
      <c r="BE250" s="133"/>
      <c r="BF250" s="133"/>
      <c r="BG250" s="133"/>
      <c r="BH250" s="133"/>
      <c r="BI250" s="976">
        <v>-832</v>
      </c>
      <c r="BJ250" s="133"/>
      <c r="BK250" s="133"/>
      <c r="BL250" s="133"/>
      <c r="BM250" s="133"/>
      <c r="BN250" s="976">
        <v>-1240</v>
      </c>
      <c r="BO250" s="133"/>
      <c r="BP250" s="133"/>
      <c r="BQ250" s="133"/>
      <c r="BR250" s="133"/>
      <c r="BS250" s="976">
        <v>-305</v>
      </c>
      <c r="BT250" s="692"/>
      <c r="BU250" s="133"/>
      <c r="BV250" s="133"/>
      <c r="BW250" s="133"/>
      <c r="BX250" s="954"/>
      <c r="BY250" s="133"/>
      <c r="BZ250" s="133"/>
      <c r="CA250" s="133"/>
      <c r="CB250" s="133"/>
      <c r="CC250" s="954"/>
      <c r="CD250" s="954"/>
      <c r="CE250" s="954"/>
      <c r="CF250" s="954"/>
      <c r="CG250" s="587"/>
    </row>
    <row r="251" spans="1:85" s="461" customFormat="1" ht="14.4" hidden="1" outlineLevel="1" x14ac:dyDescent="0.3">
      <c r="A251" s="166" t="s">
        <v>1045</v>
      </c>
      <c r="B251" s="583"/>
      <c r="C251" s="957"/>
      <c r="D251" s="957"/>
      <c r="E251" s="957"/>
      <c r="F251" s="957"/>
      <c r="G251" s="120"/>
      <c r="H251" s="120"/>
      <c r="I251" s="120"/>
      <c r="J251" s="120"/>
      <c r="K251" s="957"/>
      <c r="L251" s="120"/>
      <c r="M251" s="120"/>
      <c r="N251" s="120"/>
      <c r="O251" s="120"/>
      <c r="P251" s="957"/>
      <c r="Q251" s="120"/>
      <c r="R251" s="120"/>
      <c r="S251" s="120"/>
      <c r="T251" s="120"/>
      <c r="U251" s="957"/>
      <c r="V251" s="120"/>
      <c r="W251" s="120"/>
      <c r="X251" s="120"/>
      <c r="Y251" s="120"/>
      <c r="Z251" s="957"/>
      <c r="AA251" s="120"/>
      <c r="AB251" s="120"/>
      <c r="AC251" s="120"/>
      <c r="AD251" s="120"/>
      <c r="AE251" s="957"/>
      <c r="AF251" s="120"/>
      <c r="AG251" s="120"/>
      <c r="AH251" s="120"/>
      <c r="AI251" s="120"/>
      <c r="AJ251" s="957"/>
      <c r="AK251" s="120"/>
      <c r="AL251" s="120"/>
      <c r="AM251" s="120"/>
      <c r="AN251" s="120"/>
      <c r="AO251" s="957">
        <f>SUM(AO249:AO250)</f>
        <v>1018</v>
      </c>
      <c r="AP251" s="120"/>
      <c r="AQ251" s="120"/>
      <c r="AR251" s="120"/>
      <c r="AS251" s="120"/>
      <c r="AT251" s="957">
        <f>SUM(AT249:AT250)</f>
        <v>270</v>
      </c>
      <c r="AU251" s="120"/>
      <c r="AV251" s="120"/>
      <c r="AW251" s="120"/>
      <c r="AX251" s="120"/>
      <c r="AY251" s="957">
        <f>SUM(AY249:AY250)</f>
        <v>1673</v>
      </c>
      <c r="AZ251" s="120"/>
      <c r="BA251" s="120"/>
      <c r="BB251" s="120"/>
      <c r="BC251" s="120"/>
      <c r="BD251" s="957">
        <f>SUM(BD249:BD250)</f>
        <v>2174</v>
      </c>
      <c r="BE251" s="120"/>
      <c r="BF251" s="120"/>
      <c r="BG251" s="120"/>
      <c r="BH251" s="120"/>
      <c r="BI251" s="957">
        <f>SUM(BI249:BI250)</f>
        <v>2211</v>
      </c>
      <c r="BJ251" s="120"/>
      <c r="BK251" s="120"/>
      <c r="BL251" s="120"/>
      <c r="BM251" s="120"/>
      <c r="BN251" s="957">
        <f>SUM(BN249:BN250)</f>
        <v>1235</v>
      </c>
      <c r="BO251" s="120"/>
      <c r="BP251" s="120"/>
      <c r="BQ251" s="120"/>
      <c r="BR251" s="120"/>
      <c r="BS251" s="957">
        <f>SUM(BS249:BS250)</f>
        <v>741</v>
      </c>
      <c r="BT251" s="694"/>
      <c r="BU251" s="120"/>
      <c r="BV251" s="120"/>
      <c r="BW251" s="120"/>
      <c r="BX251" s="957"/>
      <c r="BY251" s="120"/>
      <c r="BZ251" s="120"/>
      <c r="CA251" s="120"/>
      <c r="CB251" s="120"/>
      <c r="CC251" s="957"/>
      <c r="CD251" s="957"/>
      <c r="CE251" s="957"/>
      <c r="CF251" s="957"/>
      <c r="CG251" s="615"/>
    </row>
    <row r="252" spans="1:85" s="460" customFormat="1" ht="14.4" hidden="1" outlineLevel="1" x14ac:dyDescent="0.3">
      <c r="A252" s="591" t="s">
        <v>1046</v>
      </c>
      <c r="B252" s="586"/>
      <c r="C252" s="150"/>
      <c r="D252" s="150"/>
      <c r="E252" s="150"/>
      <c r="F252" s="150"/>
      <c r="G252" s="117"/>
      <c r="H252" s="117"/>
      <c r="I252" s="117"/>
      <c r="J252" s="117"/>
      <c r="K252" s="150"/>
      <c r="L252" s="117"/>
      <c r="M252" s="117"/>
      <c r="N252" s="117"/>
      <c r="O252" s="117"/>
      <c r="P252" s="150"/>
      <c r="Q252" s="117"/>
      <c r="R252" s="117"/>
      <c r="S252" s="117"/>
      <c r="T252" s="117"/>
      <c r="U252" s="150"/>
      <c r="V252" s="117"/>
      <c r="W252" s="117"/>
      <c r="X252" s="117"/>
      <c r="Y252" s="117"/>
      <c r="Z252" s="150"/>
      <c r="AA252" s="117"/>
      <c r="AB252" s="117"/>
      <c r="AC252" s="117"/>
      <c r="AD252" s="117"/>
      <c r="AE252" s="150"/>
      <c r="AF252" s="117"/>
      <c r="AG252" s="117"/>
      <c r="AH252" s="117"/>
      <c r="AI252" s="117"/>
      <c r="AJ252" s="150"/>
      <c r="AK252" s="117"/>
      <c r="AL252" s="117"/>
      <c r="AM252" s="117"/>
      <c r="AN252" s="117"/>
      <c r="AO252" s="975">
        <v>7410</v>
      </c>
      <c r="AP252" s="117"/>
      <c r="AQ252" s="117"/>
      <c r="AR252" s="117"/>
      <c r="AS252" s="117"/>
      <c r="AT252" s="975">
        <v>5629</v>
      </c>
      <c r="AU252" s="117"/>
      <c r="AV252" s="117"/>
      <c r="AW252" s="117"/>
      <c r="AX252" s="117"/>
      <c r="AY252" s="975">
        <v>5127</v>
      </c>
      <c r="AZ252" s="117"/>
      <c r="BA252" s="117"/>
      <c r="BB252" s="117"/>
      <c r="BC252" s="117"/>
      <c r="BD252" s="975">
        <v>3963</v>
      </c>
      <c r="BE252" s="117"/>
      <c r="BF252" s="117"/>
      <c r="BG252" s="117"/>
      <c r="BH252" s="117"/>
      <c r="BI252" s="975">
        <v>3309</v>
      </c>
      <c r="BJ252" s="117"/>
      <c r="BK252" s="117"/>
      <c r="BL252" s="117"/>
      <c r="BM252" s="117"/>
      <c r="BN252" s="975">
        <v>3376</v>
      </c>
      <c r="BO252" s="117"/>
      <c r="BP252" s="117"/>
      <c r="BQ252" s="117"/>
      <c r="BR252" s="117"/>
      <c r="BS252" s="975">
        <v>3409</v>
      </c>
      <c r="BT252" s="691"/>
      <c r="BU252" s="117"/>
      <c r="BV252" s="117"/>
      <c r="BW252" s="117"/>
      <c r="BX252" s="150"/>
      <c r="BY252" s="117"/>
      <c r="BZ252" s="117"/>
      <c r="CA252" s="117"/>
      <c r="CB252" s="117"/>
      <c r="CC252" s="150"/>
      <c r="CD252" s="150"/>
      <c r="CE252" s="150"/>
      <c r="CF252" s="150"/>
      <c r="CG252" s="587"/>
    </row>
    <row r="253" spans="1:85" s="460" customFormat="1" ht="14.4" hidden="1" outlineLevel="1" x14ac:dyDescent="0.3">
      <c r="A253" s="592" t="s">
        <v>1047</v>
      </c>
      <c r="B253" s="588"/>
      <c r="C253" s="954"/>
      <c r="D253" s="954"/>
      <c r="E253" s="954"/>
      <c r="F253" s="954"/>
      <c r="G253" s="133"/>
      <c r="H253" s="133"/>
      <c r="I253" s="133"/>
      <c r="J253" s="133"/>
      <c r="K253" s="954"/>
      <c r="L253" s="133"/>
      <c r="M253" s="133"/>
      <c r="N253" s="133"/>
      <c r="O253" s="133"/>
      <c r="P253" s="954"/>
      <c r="Q253" s="133"/>
      <c r="R253" s="133"/>
      <c r="S253" s="133"/>
      <c r="T253" s="133"/>
      <c r="U253" s="954"/>
      <c r="V253" s="133"/>
      <c r="W253" s="133"/>
      <c r="X253" s="133"/>
      <c r="Y253" s="133"/>
      <c r="Z253" s="954"/>
      <c r="AA253" s="133"/>
      <c r="AB253" s="133"/>
      <c r="AC253" s="133"/>
      <c r="AD253" s="133"/>
      <c r="AE253" s="954"/>
      <c r="AF253" s="133"/>
      <c r="AG253" s="133"/>
      <c r="AH253" s="133"/>
      <c r="AI253" s="133"/>
      <c r="AJ253" s="954"/>
      <c r="AK253" s="133"/>
      <c r="AL253" s="133"/>
      <c r="AM253" s="133"/>
      <c r="AN253" s="133"/>
      <c r="AO253" s="976">
        <v>1311</v>
      </c>
      <c r="AP253" s="133"/>
      <c r="AQ253" s="133"/>
      <c r="AR253" s="133"/>
      <c r="AS253" s="133"/>
      <c r="AT253" s="976">
        <v>1092</v>
      </c>
      <c r="AU253" s="133"/>
      <c r="AV253" s="133"/>
      <c r="AW253" s="133"/>
      <c r="AX253" s="133"/>
      <c r="AY253" s="976">
        <v>3019</v>
      </c>
      <c r="AZ253" s="133"/>
      <c r="BA253" s="133"/>
      <c r="BB253" s="133"/>
      <c r="BC253" s="133"/>
      <c r="BD253" s="976">
        <v>2477</v>
      </c>
      <c r="BE253" s="133"/>
      <c r="BF253" s="133"/>
      <c r="BG253" s="133"/>
      <c r="BH253" s="133"/>
      <c r="BI253" s="976">
        <v>2151</v>
      </c>
      <c r="BJ253" s="133"/>
      <c r="BK253" s="133"/>
      <c r="BL253" s="133"/>
      <c r="BM253" s="133"/>
      <c r="BN253" s="976">
        <v>2101</v>
      </c>
      <c r="BO253" s="133"/>
      <c r="BP253" s="133"/>
      <c r="BQ253" s="133"/>
      <c r="BR253" s="133"/>
      <c r="BS253" s="976">
        <v>1796</v>
      </c>
      <c r="BT253" s="692"/>
      <c r="BU253" s="133"/>
      <c r="BV253" s="133"/>
      <c r="BW253" s="133"/>
      <c r="BX253" s="954"/>
      <c r="BY253" s="133"/>
      <c r="BZ253" s="133"/>
      <c r="CA253" s="133"/>
      <c r="CB253" s="133"/>
      <c r="CC253" s="954"/>
      <c r="CD253" s="954"/>
      <c r="CE253" s="954"/>
      <c r="CF253" s="954"/>
      <c r="CG253" s="587"/>
    </row>
    <row r="254" spans="1:85" s="460" customFormat="1" ht="14.4" hidden="1" outlineLevel="1" x14ac:dyDescent="0.3">
      <c r="A254" s="159" t="s">
        <v>1048</v>
      </c>
      <c r="B254" s="586"/>
      <c r="C254" s="150"/>
      <c r="D254" s="150"/>
      <c r="E254" s="150"/>
      <c r="F254" s="150"/>
      <c r="G254" s="117"/>
      <c r="H254" s="117"/>
      <c r="I254" s="117"/>
      <c r="J254" s="117"/>
      <c r="K254" s="150"/>
      <c r="L254" s="117"/>
      <c r="M254" s="117"/>
      <c r="N254" s="117"/>
      <c r="O254" s="117"/>
      <c r="P254" s="150"/>
      <c r="Q254" s="117"/>
      <c r="R254" s="117"/>
      <c r="S254" s="117"/>
      <c r="T254" s="117"/>
      <c r="U254" s="150"/>
      <c r="V254" s="117"/>
      <c r="W254" s="117"/>
      <c r="X254" s="117"/>
      <c r="Y254" s="117"/>
      <c r="Z254" s="150"/>
      <c r="AA254" s="117"/>
      <c r="AB254" s="117"/>
      <c r="AC254" s="117"/>
      <c r="AD254" s="117"/>
      <c r="AE254" s="150"/>
      <c r="AF254" s="117"/>
      <c r="AG254" s="117"/>
      <c r="AH254" s="117"/>
      <c r="AI254" s="117"/>
      <c r="AJ254" s="150"/>
      <c r="AK254" s="117"/>
      <c r="AL254" s="117"/>
      <c r="AM254" s="117"/>
      <c r="AN254" s="117"/>
      <c r="AO254" s="150">
        <f>SUM(AO252:AO253)</f>
        <v>8721</v>
      </c>
      <c r="AP254" s="117"/>
      <c r="AQ254" s="117"/>
      <c r="AR254" s="117"/>
      <c r="AS254" s="117"/>
      <c r="AT254" s="150">
        <f>SUM(AT252:AT253)</f>
        <v>6721</v>
      </c>
      <c r="AU254" s="117"/>
      <c r="AV254" s="117"/>
      <c r="AW254" s="117"/>
      <c r="AX254" s="117"/>
      <c r="AY254" s="150">
        <f>SUM(AY252:AY253)</f>
        <v>8146</v>
      </c>
      <c r="AZ254" s="117"/>
      <c r="BA254" s="117"/>
      <c r="BB254" s="117"/>
      <c r="BC254" s="117"/>
      <c r="BD254" s="150">
        <f>SUM(BD252:BD253)</f>
        <v>6440</v>
      </c>
      <c r="BE254" s="117"/>
      <c r="BF254" s="117"/>
      <c r="BG254" s="117"/>
      <c r="BH254" s="117"/>
      <c r="BI254" s="150">
        <f>SUM(BI252:BI253)</f>
        <v>5460</v>
      </c>
      <c r="BJ254" s="117"/>
      <c r="BK254" s="117"/>
      <c r="BL254" s="117"/>
      <c r="BM254" s="117"/>
      <c r="BN254" s="150">
        <f>SUM(BN252:BN253)</f>
        <v>5477</v>
      </c>
      <c r="BO254" s="117"/>
      <c r="BP254" s="117"/>
      <c r="BQ254" s="117"/>
      <c r="BR254" s="117"/>
      <c r="BS254" s="150">
        <f>SUM(BS252:BS253)</f>
        <v>5205</v>
      </c>
      <c r="BT254" s="691"/>
      <c r="BU254" s="117"/>
      <c r="BV254" s="117"/>
      <c r="BW254" s="117"/>
      <c r="BX254" s="150"/>
      <c r="BY254" s="117"/>
      <c r="BZ254" s="117"/>
      <c r="CA254" s="117"/>
      <c r="CB254" s="117"/>
      <c r="CC254" s="150"/>
      <c r="CD254" s="150"/>
      <c r="CE254" s="150"/>
      <c r="CF254" s="150"/>
      <c r="CG254" s="587"/>
    </row>
    <row r="255" spans="1:85" s="460" customFormat="1" ht="14.4" hidden="1" outlineLevel="1" x14ac:dyDescent="0.3">
      <c r="A255" s="591" t="s">
        <v>1049</v>
      </c>
      <c r="B255" s="586"/>
      <c r="C255" s="150"/>
      <c r="D255" s="150"/>
      <c r="E255" s="150"/>
      <c r="F255" s="150"/>
      <c r="G255" s="117"/>
      <c r="H255" s="117"/>
      <c r="I255" s="117"/>
      <c r="J255" s="117"/>
      <c r="K255" s="150"/>
      <c r="L255" s="117"/>
      <c r="M255" s="117"/>
      <c r="N255" s="117"/>
      <c r="O255" s="117"/>
      <c r="P255" s="150"/>
      <c r="Q255" s="117"/>
      <c r="R255" s="117"/>
      <c r="S255" s="117"/>
      <c r="T255" s="117"/>
      <c r="U255" s="150"/>
      <c r="V255" s="117"/>
      <c r="W255" s="117"/>
      <c r="X255" s="117"/>
      <c r="Y255" s="117"/>
      <c r="Z255" s="150"/>
      <c r="AA255" s="117"/>
      <c r="AB255" s="117"/>
      <c r="AC255" s="117"/>
      <c r="AD255" s="117"/>
      <c r="AE255" s="150"/>
      <c r="AF255" s="117"/>
      <c r="AG255" s="117"/>
      <c r="AH255" s="117"/>
      <c r="AI255" s="117"/>
      <c r="AJ255" s="150"/>
      <c r="AK255" s="117"/>
      <c r="AL255" s="117"/>
      <c r="AM255" s="117"/>
      <c r="AN255" s="117"/>
      <c r="AO255" s="975">
        <v>-2703</v>
      </c>
      <c r="AP255" s="117"/>
      <c r="AQ255" s="117"/>
      <c r="AR255" s="117"/>
      <c r="AS255" s="117"/>
      <c r="AT255" s="975">
        <v>-2408</v>
      </c>
      <c r="AU255" s="117"/>
      <c r="AV255" s="117"/>
      <c r="AW255" s="117"/>
      <c r="AX255" s="117"/>
      <c r="AY255" s="975">
        <v>-2156</v>
      </c>
      <c r="AZ255" s="117"/>
      <c r="BA255" s="117"/>
      <c r="BB255" s="117"/>
      <c r="BC255" s="117"/>
      <c r="BD255" s="975">
        <v>-1316</v>
      </c>
      <c r="BE255" s="117"/>
      <c r="BF255" s="117"/>
      <c r="BG255" s="117"/>
      <c r="BH255" s="117"/>
      <c r="BI255" s="975">
        <v>-1103</v>
      </c>
      <c r="BJ255" s="117"/>
      <c r="BK255" s="117"/>
      <c r="BL255" s="117"/>
      <c r="BM255" s="117"/>
      <c r="BN255" s="975">
        <v>-939</v>
      </c>
      <c r="BO255" s="117"/>
      <c r="BP255" s="117"/>
      <c r="BQ255" s="117"/>
      <c r="BR255" s="117"/>
      <c r="BS255" s="975">
        <v>-1058</v>
      </c>
      <c r="BT255" s="691"/>
      <c r="BU255" s="117"/>
      <c r="BV255" s="117"/>
      <c r="BW255" s="117"/>
      <c r="BX255" s="150"/>
      <c r="BY255" s="117"/>
      <c r="BZ255" s="117"/>
      <c r="CA255" s="117"/>
      <c r="CB255" s="117"/>
      <c r="CC255" s="150"/>
      <c r="CD255" s="150"/>
      <c r="CE255" s="150"/>
      <c r="CF255" s="150"/>
      <c r="CG255" s="587"/>
    </row>
    <row r="256" spans="1:85" s="460" customFormat="1" ht="14.4" hidden="1" outlineLevel="1" x14ac:dyDescent="0.3">
      <c r="A256" s="591" t="s">
        <v>1050</v>
      </c>
      <c r="B256" s="586"/>
      <c r="C256" s="150"/>
      <c r="D256" s="150"/>
      <c r="E256" s="150"/>
      <c r="F256" s="150"/>
      <c r="G256" s="117"/>
      <c r="H256" s="117"/>
      <c r="I256" s="117"/>
      <c r="J256" s="117"/>
      <c r="K256" s="150"/>
      <c r="L256" s="117"/>
      <c r="M256" s="117"/>
      <c r="N256" s="117"/>
      <c r="O256" s="117"/>
      <c r="P256" s="150"/>
      <c r="Q256" s="117"/>
      <c r="R256" s="117"/>
      <c r="S256" s="117"/>
      <c r="T256" s="117"/>
      <c r="U256" s="150"/>
      <c r="V256" s="117"/>
      <c r="W256" s="117"/>
      <c r="X256" s="117"/>
      <c r="Y256" s="117"/>
      <c r="Z256" s="150"/>
      <c r="AA256" s="117"/>
      <c r="AB256" s="117"/>
      <c r="AC256" s="117"/>
      <c r="AD256" s="117"/>
      <c r="AE256" s="150"/>
      <c r="AF256" s="117"/>
      <c r="AG256" s="117"/>
      <c r="AH256" s="117"/>
      <c r="AI256" s="117"/>
      <c r="AJ256" s="150"/>
      <c r="AK256" s="117"/>
      <c r="AL256" s="117"/>
      <c r="AM256" s="117"/>
      <c r="AN256" s="117"/>
      <c r="AO256" s="975">
        <v>-16</v>
      </c>
      <c r="AP256" s="117"/>
      <c r="AQ256" s="117"/>
      <c r="AR256" s="117"/>
      <c r="AS256" s="117"/>
      <c r="AT256" s="975">
        <v>-11</v>
      </c>
      <c r="AU256" s="117"/>
      <c r="AV256" s="117"/>
      <c r="AW256" s="117"/>
      <c r="AX256" s="117"/>
      <c r="AY256" s="975">
        <v>-15</v>
      </c>
      <c r="AZ256" s="117"/>
      <c r="BA256" s="117"/>
      <c r="BB256" s="117"/>
      <c r="BC256" s="117"/>
      <c r="BD256" s="975">
        <v>-52</v>
      </c>
      <c r="BE256" s="117"/>
      <c r="BF256" s="117"/>
      <c r="BG256" s="117"/>
      <c r="BH256" s="117"/>
      <c r="BI256" s="975">
        <v>-27</v>
      </c>
      <c r="BJ256" s="117"/>
      <c r="BK256" s="117"/>
      <c r="BL256" s="117"/>
      <c r="BM256" s="117"/>
      <c r="BN256" s="975">
        <v>-24</v>
      </c>
      <c r="BO256" s="117"/>
      <c r="BP256" s="117"/>
      <c r="BQ256" s="117"/>
      <c r="BR256" s="117"/>
      <c r="BS256" s="975">
        <v>-20</v>
      </c>
      <c r="BT256" s="691"/>
      <c r="BU256" s="117"/>
      <c r="BV256" s="117"/>
      <c r="BW256" s="117"/>
      <c r="BX256" s="150"/>
      <c r="BY256" s="117"/>
      <c r="BZ256" s="117"/>
      <c r="CA256" s="117"/>
      <c r="CB256" s="117"/>
      <c r="CC256" s="150"/>
      <c r="CD256" s="150"/>
      <c r="CE256" s="150"/>
      <c r="CF256" s="150"/>
      <c r="CG256" s="587"/>
    </row>
    <row r="257" spans="1:85" s="460" customFormat="1" ht="14.4" hidden="1" outlineLevel="1" x14ac:dyDescent="0.3">
      <c r="A257" s="591" t="s">
        <v>1051</v>
      </c>
      <c r="B257" s="586"/>
      <c r="C257" s="150"/>
      <c r="D257" s="150"/>
      <c r="E257" s="150"/>
      <c r="F257" s="150"/>
      <c r="G257" s="117"/>
      <c r="H257" s="117"/>
      <c r="I257" s="117"/>
      <c r="J257" s="117"/>
      <c r="K257" s="150"/>
      <c r="L257" s="117"/>
      <c r="M257" s="117"/>
      <c r="N257" s="117"/>
      <c r="O257" s="117"/>
      <c r="P257" s="150"/>
      <c r="Q257" s="117"/>
      <c r="R257" s="117"/>
      <c r="S257" s="117"/>
      <c r="T257" s="117"/>
      <c r="U257" s="150"/>
      <c r="V257" s="117"/>
      <c r="W257" s="117"/>
      <c r="X257" s="117"/>
      <c r="Y257" s="117"/>
      <c r="Z257" s="150"/>
      <c r="AA257" s="117"/>
      <c r="AB257" s="117"/>
      <c r="AC257" s="117"/>
      <c r="AD257" s="117"/>
      <c r="AE257" s="150"/>
      <c r="AF257" s="117"/>
      <c r="AG257" s="117"/>
      <c r="AH257" s="117"/>
      <c r="AI257" s="117"/>
      <c r="AJ257" s="150"/>
      <c r="AK257" s="117"/>
      <c r="AL257" s="117"/>
      <c r="AM257" s="117"/>
      <c r="AN257" s="117"/>
      <c r="AO257" s="975">
        <v>-3165</v>
      </c>
      <c r="AP257" s="117"/>
      <c r="AQ257" s="117"/>
      <c r="AR257" s="117"/>
      <c r="AS257" s="117"/>
      <c r="AT257" s="975">
        <v>-3466</v>
      </c>
      <c r="AU257" s="117"/>
      <c r="AV257" s="117"/>
      <c r="AW257" s="117"/>
      <c r="AX257" s="117"/>
      <c r="AY257" s="975">
        <v>-3324</v>
      </c>
      <c r="AZ257" s="117"/>
      <c r="BA257" s="117"/>
      <c r="BB257" s="117"/>
      <c r="BC257" s="117"/>
      <c r="BD257" s="975">
        <v>-1765</v>
      </c>
      <c r="BE257" s="117"/>
      <c r="BF257" s="117"/>
      <c r="BG257" s="117"/>
      <c r="BH257" s="117"/>
      <c r="BI257" s="975">
        <v>-1114</v>
      </c>
      <c r="BJ257" s="117"/>
      <c r="BK257" s="117"/>
      <c r="BL257" s="117"/>
      <c r="BM257" s="117"/>
      <c r="BN257" s="975">
        <v>-1236</v>
      </c>
      <c r="BO257" s="117"/>
      <c r="BP257" s="117"/>
      <c r="BQ257" s="117"/>
      <c r="BR257" s="117"/>
      <c r="BS257" s="975">
        <v>-1206</v>
      </c>
      <c r="BT257" s="691"/>
      <c r="BU257" s="117"/>
      <c r="BV257" s="117"/>
      <c r="BW257" s="117"/>
      <c r="BX257" s="150"/>
      <c r="BY257" s="117"/>
      <c r="BZ257" s="117"/>
      <c r="CA257" s="117"/>
      <c r="CB257" s="117"/>
      <c r="CC257" s="150"/>
      <c r="CD257" s="150"/>
      <c r="CE257" s="150"/>
      <c r="CF257" s="150"/>
      <c r="CG257" s="587"/>
    </row>
    <row r="258" spans="1:85" s="460" customFormat="1" ht="14.4" hidden="1" outlineLevel="1" x14ac:dyDescent="0.3">
      <c r="A258" s="591" t="s">
        <v>1052</v>
      </c>
      <c r="B258" s="586"/>
      <c r="C258" s="150"/>
      <c r="D258" s="150"/>
      <c r="E258" s="150"/>
      <c r="F258" s="150"/>
      <c r="G258" s="117"/>
      <c r="H258" s="117"/>
      <c r="I258" s="117"/>
      <c r="J258" s="117"/>
      <c r="K258" s="150"/>
      <c r="L258" s="117"/>
      <c r="M258" s="117"/>
      <c r="N258" s="117"/>
      <c r="O258" s="117"/>
      <c r="P258" s="150"/>
      <c r="Q258" s="117"/>
      <c r="R258" s="117"/>
      <c r="S258" s="117"/>
      <c r="T258" s="117"/>
      <c r="U258" s="150"/>
      <c r="V258" s="117"/>
      <c r="W258" s="117"/>
      <c r="X258" s="117"/>
      <c r="Y258" s="117"/>
      <c r="Z258" s="150"/>
      <c r="AA258" s="117"/>
      <c r="AB258" s="117"/>
      <c r="AC258" s="117"/>
      <c r="AD258" s="117"/>
      <c r="AE258" s="150"/>
      <c r="AF258" s="117"/>
      <c r="AG258" s="117"/>
      <c r="AH258" s="117"/>
      <c r="AI258" s="117"/>
      <c r="AJ258" s="150"/>
      <c r="AK258" s="117"/>
      <c r="AL258" s="117"/>
      <c r="AM258" s="117"/>
      <c r="AN258" s="117"/>
      <c r="AO258" s="975">
        <v>-133</v>
      </c>
      <c r="AP258" s="117"/>
      <c r="AQ258" s="117"/>
      <c r="AR258" s="117"/>
      <c r="AS258" s="117"/>
      <c r="AT258" s="975">
        <v>-120</v>
      </c>
      <c r="AU258" s="117"/>
      <c r="AV258" s="117"/>
      <c r="AW258" s="117"/>
      <c r="AX258" s="117"/>
      <c r="AY258" s="975">
        <v>-113</v>
      </c>
      <c r="AZ258" s="117"/>
      <c r="BA258" s="117"/>
      <c r="BB258" s="117"/>
      <c r="BC258" s="117"/>
      <c r="BD258" s="975">
        <v>-87</v>
      </c>
      <c r="BE258" s="117"/>
      <c r="BF258" s="117"/>
      <c r="BG258" s="117"/>
      <c r="BH258" s="117"/>
      <c r="BI258" s="975">
        <v>-120</v>
      </c>
      <c r="BJ258" s="117"/>
      <c r="BK258" s="117"/>
      <c r="BL258" s="117"/>
      <c r="BM258" s="117"/>
      <c r="BN258" s="975">
        <v>-63</v>
      </c>
      <c r="BO258" s="117"/>
      <c r="BP258" s="117"/>
      <c r="BQ258" s="117"/>
      <c r="BR258" s="117"/>
      <c r="BS258" s="975">
        <v>-60</v>
      </c>
      <c r="BT258" s="691"/>
      <c r="BU258" s="117"/>
      <c r="BV258" s="117"/>
      <c r="BW258" s="117"/>
      <c r="BX258" s="150"/>
      <c r="BY258" s="117"/>
      <c r="BZ258" s="117"/>
      <c r="CA258" s="117"/>
      <c r="CB258" s="117"/>
      <c r="CC258" s="150"/>
      <c r="CD258" s="150"/>
      <c r="CE258" s="150"/>
      <c r="CF258" s="150"/>
      <c r="CG258" s="587"/>
    </row>
    <row r="259" spans="1:85" s="460" customFormat="1" ht="14.4" hidden="1" outlineLevel="1" x14ac:dyDescent="0.3">
      <c r="A259" s="591" t="s">
        <v>1053</v>
      </c>
      <c r="B259" s="586"/>
      <c r="C259" s="150"/>
      <c r="D259" s="150"/>
      <c r="E259" s="150"/>
      <c r="F259" s="150"/>
      <c r="G259" s="117"/>
      <c r="H259" s="117"/>
      <c r="I259" s="117"/>
      <c r="J259" s="117"/>
      <c r="K259" s="150"/>
      <c r="L259" s="117"/>
      <c r="M259" s="117"/>
      <c r="N259" s="117"/>
      <c r="O259" s="117"/>
      <c r="P259" s="150"/>
      <c r="Q259" s="117"/>
      <c r="R259" s="117"/>
      <c r="S259" s="117"/>
      <c r="T259" s="117"/>
      <c r="U259" s="150"/>
      <c r="V259" s="117"/>
      <c r="W259" s="117"/>
      <c r="X259" s="117"/>
      <c r="Y259" s="117"/>
      <c r="Z259" s="150"/>
      <c r="AA259" s="117"/>
      <c r="AB259" s="117"/>
      <c r="AC259" s="117"/>
      <c r="AD259" s="117"/>
      <c r="AE259" s="150"/>
      <c r="AF259" s="117"/>
      <c r="AG259" s="117"/>
      <c r="AH259" s="117"/>
      <c r="AI259" s="117"/>
      <c r="AJ259" s="150"/>
      <c r="AK259" s="117"/>
      <c r="AL259" s="117"/>
      <c r="AM259" s="117"/>
      <c r="AN259" s="117"/>
      <c r="AO259" s="975">
        <v>-93</v>
      </c>
      <c r="AP259" s="117"/>
      <c r="AQ259" s="117"/>
      <c r="AR259" s="117"/>
      <c r="AS259" s="117"/>
      <c r="AT259" s="975">
        <v>-67</v>
      </c>
      <c r="AU259" s="117"/>
      <c r="AV259" s="117"/>
      <c r="AW259" s="117"/>
      <c r="AX259" s="117"/>
      <c r="AY259" s="975">
        <v>-20</v>
      </c>
      <c r="AZ259" s="117"/>
      <c r="BA259" s="117"/>
      <c r="BB259" s="117"/>
      <c r="BC259" s="117"/>
      <c r="BD259" s="975">
        <v>-92</v>
      </c>
      <c r="BE259" s="117"/>
      <c r="BF259" s="117"/>
      <c r="BG259" s="117"/>
      <c r="BH259" s="117"/>
      <c r="BI259" s="975">
        <v>-33</v>
      </c>
      <c r="BJ259" s="117"/>
      <c r="BK259" s="117"/>
      <c r="BL259" s="117"/>
      <c r="BM259" s="117"/>
      <c r="BN259" s="975">
        <v>-233</v>
      </c>
      <c r="BO259" s="117"/>
      <c r="BP259" s="117"/>
      <c r="BQ259" s="117"/>
      <c r="BR259" s="117"/>
      <c r="BS259" s="975">
        <v>-57</v>
      </c>
      <c r="BT259" s="691"/>
      <c r="BU259" s="117"/>
      <c r="BV259" s="117"/>
      <c r="BW259" s="117"/>
      <c r="BX259" s="150"/>
      <c r="BY259" s="117"/>
      <c r="BZ259" s="117"/>
      <c r="CA259" s="117"/>
      <c r="CB259" s="117"/>
      <c r="CC259" s="150"/>
      <c r="CD259" s="150"/>
      <c r="CE259" s="150"/>
      <c r="CF259" s="150"/>
      <c r="CG259" s="587"/>
    </row>
    <row r="260" spans="1:85" s="460" customFormat="1" ht="14.4" hidden="1" outlineLevel="1" x14ac:dyDescent="0.3">
      <c r="A260" s="591" t="s">
        <v>948</v>
      </c>
      <c r="B260" s="586"/>
      <c r="C260" s="150"/>
      <c r="D260" s="150"/>
      <c r="E260" s="150"/>
      <c r="F260" s="150"/>
      <c r="G260" s="117"/>
      <c r="H260" s="117"/>
      <c r="I260" s="117"/>
      <c r="J260" s="117"/>
      <c r="K260" s="150"/>
      <c r="L260" s="117"/>
      <c r="M260" s="117"/>
      <c r="N260" s="117"/>
      <c r="O260" s="117"/>
      <c r="P260" s="150"/>
      <c r="Q260" s="117"/>
      <c r="R260" s="117"/>
      <c r="S260" s="117"/>
      <c r="T260" s="117"/>
      <c r="U260" s="150"/>
      <c r="V260" s="117"/>
      <c r="W260" s="117"/>
      <c r="X260" s="117"/>
      <c r="Y260" s="117"/>
      <c r="Z260" s="150"/>
      <c r="AA260" s="117"/>
      <c r="AB260" s="117"/>
      <c r="AC260" s="117"/>
      <c r="AD260" s="117"/>
      <c r="AE260" s="150"/>
      <c r="AF260" s="117"/>
      <c r="AG260" s="117"/>
      <c r="AH260" s="117"/>
      <c r="AI260" s="117"/>
      <c r="AJ260" s="150"/>
      <c r="AK260" s="117"/>
      <c r="AL260" s="117"/>
      <c r="AM260" s="117"/>
      <c r="AN260" s="117"/>
      <c r="AO260" s="975">
        <v>-388</v>
      </c>
      <c r="AP260" s="117"/>
      <c r="AQ260" s="117"/>
      <c r="AR260" s="117"/>
      <c r="AS260" s="117"/>
      <c r="AT260" s="975">
        <v>-8</v>
      </c>
      <c r="AU260" s="117"/>
      <c r="AV260" s="117"/>
      <c r="AW260" s="117"/>
      <c r="AX260" s="117"/>
      <c r="AY260" s="975">
        <v>0</v>
      </c>
      <c r="AZ260" s="117"/>
      <c r="BA260" s="117"/>
      <c r="BB260" s="117"/>
      <c r="BC260" s="117"/>
      <c r="BD260" s="975">
        <v>-124</v>
      </c>
      <c r="BE260" s="117"/>
      <c r="BF260" s="117"/>
      <c r="BG260" s="117"/>
      <c r="BH260" s="117"/>
      <c r="BI260" s="975">
        <v>0</v>
      </c>
      <c r="BJ260" s="117"/>
      <c r="BK260" s="117"/>
      <c r="BL260" s="117"/>
      <c r="BM260" s="117"/>
      <c r="BN260" s="975">
        <v>-1</v>
      </c>
      <c r="BO260" s="117"/>
      <c r="BP260" s="117"/>
      <c r="BQ260" s="117"/>
      <c r="BR260" s="117"/>
      <c r="BS260" s="975">
        <v>0</v>
      </c>
      <c r="BT260" s="691"/>
      <c r="BU260" s="117"/>
      <c r="BV260" s="117"/>
      <c r="BW260" s="117"/>
      <c r="BX260" s="150"/>
      <c r="BY260" s="117"/>
      <c r="BZ260" s="117"/>
      <c r="CA260" s="117"/>
      <c r="CB260" s="117"/>
      <c r="CC260" s="150"/>
      <c r="CD260" s="150"/>
      <c r="CE260" s="150"/>
      <c r="CF260" s="150"/>
      <c r="CG260" s="587"/>
    </row>
    <row r="261" spans="1:85" s="460" customFormat="1" ht="14.4" hidden="1" outlineLevel="1" x14ac:dyDescent="0.3">
      <c r="A261" s="592" t="s">
        <v>1054</v>
      </c>
      <c r="B261" s="588"/>
      <c r="C261" s="954"/>
      <c r="D261" s="954"/>
      <c r="E261" s="954"/>
      <c r="F261" s="954"/>
      <c r="G261" s="133"/>
      <c r="H261" s="133"/>
      <c r="I261" s="133"/>
      <c r="J261" s="133"/>
      <c r="K261" s="954"/>
      <c r="L261" s="133"/>
      <c r="M261" s="133"/>
      <c r="N261" s="133"/>
      <c r="O261" s="133"/>
      <c r="P261" s="954"/>
      <c r="Q261" s="133"/>
      <c r="R261" s="133"/>
      <c r="S261" s="133"/>
      <c r="T261" s="133"/>
      <c r="U261" s="954"/>
      <c r="V261" s="133"/>
      <c r="W261" s="133"/>
      <c r="X261" s="133"/>
      <c r="Y261" s="133"/>
      <c r="Z261" s="954"/>
      <c r="AA261" s="133"/>
      <c r="AB261" s="133"/>
      <c r="AC261" s="133"/>
      <c r="AD261" s="133"/>
      <c r="AE261" s="954"/>
      <c r="AF261" s="133"/>
      <c r="AG261" s="133"/>
      <c r="AH261" s="133"/>
      <c r="AI261" s="133"/>
      <c r="AJ261" s="954"/>
      <c r="AK261" s="133"/>
      <c r="AL261" s="133"/>
      <c r="AM261" s="133"/>
      <c r="AN261" s="133"/>
      <c r="AO261" s="976">
        <v>413</v>
      </c>
      <c r="AP261" s="133"/>
      <c r="AQ261" s="133"/>
      <c r="AR261" s="133"/>
      <c r="AS261" s="133"/>
      <c r="AT261" s="976">
        <v>1053</v>
      </c>
      <c r="AU261" s="133"/>
      <c r="AV261" s="133"/>
      <c r="AW261" s="133"/>
      <c r="AX261" s="133"/>
      <c r="AY261" s="976">
        <v>-124</v>
      </c>
      <c r="AZ261" s="133"/>
      <c r="BA261" s="133"/>
      <c r="BB261" s="133"/>
      <c r="BC261" s="133"/>
      <c r="BD261" s="976">
        <v>180</v>
      </c>
      <c r="BE261" s="133"/>
      <c r="BF261" s="133"/>
      <c r="BG261" s="133"/>
      <c r="BH261" s="133"/>
      <c r="BI261" s="976">
        <v>89</v>
      </c>
      <c r="BJ261" s="133"/>
      <c r="BK261" s="133"/>
      <c r="BL261" s="133"/>
      <c r="BM261" s="133"/>
      <c r="BN261" s="976">
        <v>139</v>
      </c>
      <c r="BO261" s="133"/>
      <c r="BP261" s="133"/>
      <c r="BQ261" s="133"/>
      <c r="BR261" s="133"/>
      <c r="BS261" s="976">
        <v>129</v>
      </c>
      <c r="BT261" s="692"/>
      <c r="BU261" s="133"/>
      <c r="BV261" s="133"/>
      <c r="BW261" s="133"/>
      <c r="BX261" s="954"/>
      <c r="BY261" s="133"/>
      <c r="BZ261" s="133"/>
      <c r="CA261" s="133"/>
      <c r="CB261" s="133"/>
      <c r="CC261" s="954"/>
      <c r="CD261" s="954"/>
      <c r="CE261" s="954"/>
      <c r="CF261" s="954"/>
      <c r="CG261" s="587"/>
    </row>
    <row r="262" spans="1:85" s="460" customFormat="1" ht="14.4" hidden="1" outlineLevel="1" x14ac:dyDescent="0.3">
      <c r="A262" s="159" t="s">
        <v>1055</v>
      </c>
      <c r="B262" s="586"/>
      <c r="C262" s="150"/>
      <c r="D262" s="150"/>
      <c r="E262" s="150"/>
      <c r="F262" s="150"/>
      <c r="G262" s="117"/>
      <c r="H262" s="117"/>
      <c r="I262" s="117"/>
      <c r="J262" s="117"/>
      <c r="K262" s="150"/>
      <c r="L262" s="117"/>
      <c r="M262" s="117"/>
      <c r="N262" s="117"/>
      <c r="O262" s="117"/>
      <c r="P262" s="150"/>
      <c r="Q262" s="117"/>
      <c r="R262" s="117"/>
      <c r="S262" s="117"/>
      <c r="T262" s="117"/>
      <c r="U262" s="150"/>
      <c r="V262" s="117"/>
      <c r="W262" s="117"/>
      <c r="X262" s="117"/>
      <c r="Y262" s="117"/>
      <c r="Z262" s="150"/>
      <c r="AA262" s="117"/>
      <c r="AB262" s="117"/>
      <c r="AC262" s="117"/>
      <c r="AD262" s="117"/>
      <c r="AE262" s="150"/>
      <c r="AF262" s="117"/>
      <c r="AG262" s="117"/>
      <c r="AH262" s="117"/>
      <c r="AI262" s="117"/>
      <c r="AJ262" s="150"/>
      <c r="AK262" s="117"/>
      <c r="AL262" s="117"/>
      <c r="AM262" s="117"/>
      <c r="AN262" s="117"/>
      <c r="AO262" s="150">
        <f>SUM(AO254:AO261)</f>
        <v>2636</v>
      </c>
      <c r="AP262" s="117"/>
      <c r="AQ262" s="117"/>
      <c r="AR262" s="117"/>
      <c r="AS262" s="117"/>
      <c r="AT262" s="150">
        <f>SUM(AT254:AT261)</f>
        <v>1694</v>
      </c>
      <c r="AU262" s="117"/>
      <c r="AV262" s="117"/>
      <c r="AW262" s="117"/>
      <c r="AX262" s="117"/>
      <c r="AY262" s="150">
        <f>SUM(AY254:AY261)</f>
        <v>2394</v>
      </c>
      <c r="AZ262" s="117"/>
      <c r="BA262" s="117"/>
      <c r="BB262" s="117"/>
      <c r="BC262" s="117"/>
      <c r="BD262" s="150">
        <f>SUM(BD254:BD261)</f>
        <v>3184</v>
      </c>
      <c r="BE262" s="117"/>
      <c r="BF262" s="117"/>
      <c r="BG262" s="117"/>
      <c r="BH262" s="117"/>
      <c r="BI262" s="150">
        <f>SUM(BI254:BI261)</f>
        <v>3152</v>
      </c>
      <c r="BJ262" s="117"/>
      <c r="BK262" s="117"/>
      <c r="BL262" s="117"/>
      <c r="BM262" s="117"/>
      <c r="BN262" s="150">
        <f>SUM(BN254:BN261)</f>
        <v>3120</v>
      </c>
      <c r="BO262" s="117"/>
      <c r="BP262" s="117"/>
      <c r="BQ262" s="117"/>
      <c r="BR262" s="117"/>
      <c r="BS262" s="150">
        <f>SUM(BS254:BS261)</f>
        <v>2933</v>
      </c>
      <c r="BT262" s="691"/>
      <c r="BU262" s="117"/>
      <c r="BV262" s="117"/>
      <c r="BW262" s="117"/>
      <c r="BX262" s="150"/>
      <c r="BY262" s="117"/>
      <c r="BZ262" s="117"/>
      <c r="CA262" s="117"/>
      <c r="CB262" s="117"/>
      <c r="CC262" s="150"/>
      <c r="CD262" s="150"/>
      <c r="CE262" s="150"/>
      <c r="CF262" s="150"/>
      <c r="CG262" s="587"/>
    </row>
    <row r="263" spans="1:85" s="460" customFormat="1" ht="14.4" hidden="1" outlineLevel="1" x14ac:dyDescent="0.3">
      <c r="A263" s="262" t="s">
        <v>1056</v>
      </c>
      <c r="B263" s="588"/>
      <c r="C263" s="954"/>
      <c r="D263" s="954"/>
      <c r="E263" s="954"/>
      <c r="F263" s="954"/>
      <c r="G263" s="133"/>
      <c r="H263" s="133"/>
      <c r="I263" s="133"/>
      <c r="J263" s="133"/>
      <c r="K263" s="954"/>
      <c r="L263" s="133"/>
      <c r="M263" s="133"/>
      <c r="N263" s="133"/>
      <c r="O263" s="133"/>
      <c r="P263" s="954"/>
      <c r="Q263" s="133"/>
      <c r="R263" s="133"/>
      <c r="S263" s="133"/>
      <c r="T263" s="133"/>
      <c r="U263" s="954"/>
      <c r="V263" s="133"/>
      <c r="W263" s="133"/>
      <c r="X263" s="133"/>
      <c r="Y263" s="133"/>
      <c r="Z263" s="954"/>
      <c r="AA263" s="133"/>
      <c r="AB263" s="133"/>
      <c r="AC263" s="133"/>
      <c r="AD263" s="133"/>
      <c r="AE263" s="954"/>
      <c r="AF263" s="133"/>
      <c r="AG263" s="133"/>
      <c r="AH263" s="133"/>
      <c r="AI263" s="133"/>
      <c r="AJ263" s="954"/>
      <c r="AK263" s="133"/>
      <c r="AL263" s="133"/>
      <c r="AM263" s="133"/>
      <c r="AN263" s="133"/>
      <c r="AO263" s="976">
        <v>-1212</v>
      </c>
      <c r="AP263" s="133"/>
      <c r="AQ263" s="133"/>
      <c r="AR263" s="133"/>
      <c r="AS263" s="133"/>
      <c r="AT263" s="976">
        <v>-353</v>
      </c>
      <c r="AU263" s="133"/>
      <c r="AV263" s="133"/>
      <c r="AW263" s="133"/>
      <c r="AX263" s="133"/>
      <c r="AY263" s="976">
        <v>-1326</v>
      </c>
      <c r="AZ263" s="133"/>
      <c r="BA263" s="133"/>
      <c r="BB263" s="133"/>
      <c r="BC263" s="133"/>
      <c r="BD263" s="976">
        <v>-1742</v>
      </c>
      <c r="BE263" s="133"/>
      <c r="BF263" s="133"/>
      <c r="BG263" s="133"/>
      <c r="BH263" s="133"/>
      <c r="BI263" s="976">
        <v>-1576</v>
      </c>
      <c r="BJ263" s="133"/>
      <c r="BK263" s="133"/>
      <c r="BL263" s="133"/>
      <c r="BM263" s="133"/>
      <c r="BN263" s="976">
        <v>-1684</v>
      </c>
      <c r="BO263" s="133"/>
      <c r="BP263" s="133"/>
      <c r="BQ263" s="133"/>
      <c r="BR263" s="133"/>
      <c r="BS263" s="976">
        <v>-1641</v>
      </c>
      <c r="BT263" s="692"/>
      <c r="BU263" s="133"/>
      <c r="BV263" s="133"/>
      <c r="BW263" s="133"/>
      <c r="BX263" s="954"/>
      <c r="BY263" s="133"/>
      <c r="BZ263" s="133"/>
      <c r="CA263" s="133"/>
      <c r="CB263" s="133"/>
      <c r="CC263" s="954"/>
      <c r="CD263" s="954"/>
      <c r="CE263" s="954"/>
      <c r="CF263" s="954"/>
      <c r="CG263" s="587"/>
    </row>
    <row r="264" spans="1:85" s="461" customFormat="1" ht="14.4" hidden="1" outlineLevel="1" x14ac:dyDescent="0.3">
      <c r="A264" s="166" t="s">
        <v>1057</v>
      </c>
      <c r="B264" s="583"/>
      <c r="C264" s="957"/>
      <c r="D264" s="957"/>
      <c r="E264" s="957"/>
      <c r="F264" s="957"/>
      <c r="G264" s="120"/>
      <c r="H264" s="120"/>
      <c r="I264" s="120"/>
      <c r="J264" s="120"/>
      <c r="K264" s="957"/>
      <c r="L264" s="120"/>
      <c r="M264" s="120"/>
      <c r="N264" s="120"/>
      <c r="O264" s="120"/>
      <c r="P264" s="957"/>
      <c r="Q264" s="120"/>
      <c r="R264" s="120"/>
      <c r="S264" s="120"/>
      <c r="T264" s="120"/>
      <c r="U264" s="957"/>
      <c r="V264" s="120"/>
      <c r="W264" s="120"/>
      <c r="X264" s="120"/>
      <c r="Y264" s="120"/>
      <c r="Z264" s="957"/>
      <c r="AA264" s="120"/>
      <c r="AB264" s="120"/>
      <c r="AC264" s="120"/>
      <c r="AD264" s="120"/>
      <c r="AE264" s="957"/>
      <c r="AF264" s="120"/>
      <c r="AG264" s="120"/>
      <c r="AH264" s="120"/>
      <c r="AI264" s="120"/>
      <c r="AJ264" s="957"/>
      <c r="AK264" s="120"/>
      <c r="AL264" s="120"/>
      <c r="AM264" s="120"/>
      <c r="AN264" s="120"/>
      <c r="AO264" s="957">
        <f>SUM(AO262:AO263)</f>
        <v>1424</v>
      </c>
      <c r="AP264" s="120"/>
      <c r="AQ264" s="120"/>
      <c r="AR264" s="120"/>
      <c r="AS264" s="120"/>
      <c r="AT264" s="957">
        <f>SUM(AT262:AT263)</f>
        <v>1341</v>
      </c>
      <c r="AU264" s="120"/>
      <c r="AV264" s="120"/>
      <c r="AW264" s="120"/>
      <c r="AX264" s="120"/>
      <c r="AY264" s="957">
        <f>SUM(AY262:AY263)</f>
        <v>1068</v>
      </c>
      <c r="AZ264" s="120"/>
      <c r="BA264" s="120"/>
      <c r="BB264" s="120"/>
      <c r="BC264" s="120"/>
      <c r="BD264" s="957">
        <f>SUM(BD262:BD263)</f>
        <v>1442</v>
      </c>
      <c r="BE264" s="120"/>
      <c r="BF264" s="120"/>
      <c r="BG264" s="120"/>
      <c r="BH264" s="120"/>
      <c r="BI264" s="957">
        <f>SUM(BI262:BI263)</f>
        <v>1576</v>
      </c>
      <c r="BJ264" s="120"/>
      <c r="BK264" s="120"/>
      <c r="BL264" s="120"/>
      <c r="BM264" s="120"/>
      <c r="BN264" s="957">
        <f>SUM(BN262:BN263)</f>
        <v>1436</v>
      </c>
      <c r="BO264" s="120"/>
      <c r="BP264" s="120"/>
      <c r="BQ264" s="120"/>
      <c r="BR264" s="120"/>
      <c r="BS264" s="957">
        <f>SUM(BS262:BS263)</f>
        <v>1292</v>
      </c>
      <c r="BT264" s="694"/>
      <c r="BU264" s="120"/>
      <c r="BV264" s="120"/>
      <c r="BW264" s="120"/>
      <c r="BX264" s="957"/>
      <c r="BY264" s="120"/>
      <c r="BZ264" s="120"/>
      <c r="CA264" s="120"/>
      <c r="CB264" s="120"/>
      <c r="CC264" s="957"/>
      <c r="CD264" s="957"/>
      <c r="CE264" s="957"/>
      <c r="CF264" s="957"/>
      <c r="CG264" s="615"/>
    </row>
    <row r="265" spans="1:85" s="460" customFormat="1" ht="14.4" hidden="1" outlineLevel="1" x14ac:dyDescent="0.3">
      <c r="A265" s="591" t="s">
        <v>1058</v>
      </c>
      <c r="B265" s="586"/>
      <c r="C265" s="150"/>
      <c r="D265" s="150"/>
      <c r="E265" s="150"/>
      <c r="F265" s="150"/>
      <c r="G265" s="117"/>
      <c r="H265" s="117"/>
      <c r="I265" s="117"/>
      <c r="J265" s="117"/>
      <c r="K265" s="150"/>
      <c r="L265" s="117"/>
      <c r="M265" s="117"/>
      <c r="N265" s="117"/>
      <c r="O265" s="117"/>
      <c r="P265" s="150"/>
      <c r="Q265" s="117"/>
      <c r="R265" s="117"/>
      <c r="S265" s="117"/>
      <c r="T265" s="117"/>
      <c r="U265" s="150"/>
      <c r="V265" s="117"/>
      <c r="W265" s="117"/>
      <c r="X265" s="117"/>
      <c r="Y265" s="117"/>
      <c r="Z265" s="150"/>
      <c r="AA265" s="117"/>
      <c r="AB265" s="117"/>
      <c r="AC265" s="117"/>
      <c r="AD265" s="117"/>
      <c r="AE265" s="150"/>
      <c r="AF265" s="117"/>
      <c r="AG265" s="117"/>
      <c r="AH265" s="117"/>
      <c r="AI265" s="117"/>
      <c r="AJ265" s="150"/>
      <c r="AK265" s="117"/>
      <c r="AL265" s="117"/>
      <c r="AM265" s="117"/>
      <c r="AN265" s="117"/>
      <c r="AO265" s="975">
        <v>4332</v>
      </c>
      <c r="AP265" s="117"/>
      <c r="AQ265" s="117"/>
      <c r="AR265" s="117"/>
      <c r="AS265" s="117"/>
      <c r="AT265" s="975">
        <v>3010</v>
      </c>
      <c r="AU265" s="117"/>
      <c r="AV265" s="117"/>
      <c r="AW265" s="117"/>
      <c r="AX265" s="117"/>
      <c r="AY265" s="975">
        <v>3725</v>
      </c>
      <c r="AZ265" s="117"/>
      <c r="BA265" s="117"/>
      <c r="BB265" s="117"/>
      <c r="BC265" s="117"/>
      <c r="BD265" s="975">
        <v>7302</v>
      </c>
      <c r="BE265" s="117"/>
      <c r="BF265" s="117"/>
      <c r="BG265" s="117"/>
      <c r="BH265" s="117"/>
      <c r="BI265" s="975">
        <v>6780</v>
      </c>
      <c r="BJ265" s="117"/>
      <c r="BK265" s="117"/>
      <c r="BL265" s="117"/>
      <c r="BM265" s="117"/>
      <c r="BN265" s="975">
        <v>5856</v>
      </c>
      <c r="BO265" s="117"/>
      <c r="BP265" s="117"/>
      <c r="BQ265" s="117"/>
      <c r="BR265" s="117"/>
      <c r="BS265" s="975">
        <v>4630</v>
      </c>
      <c r="BT265" s="691"/>
      <c r="BU265" s="117"/>
      <c r="BV265" s="117"/>
      <c r="BW265" s="117"/>
      <c r="BX265" s="150"/>
      <c r="BY265" s="117"/>
      <c r="BZ265" s="117"/>
      <c r="CA265" s="117"/>
      <c r="CB265" s="117"/>
      <c r="CC265" s="150"/>
      <c r="CD265" s="150"/>
      <c r="CE265" s="150"/>
      <c r="CF265" s="150"/>
      <c r="CG265" s="587"/>
    </row>
    <row r="266" spans="1:85" s="460" customFormat="1" ht="14.4" hidden="1" outlineLevel="1" x14ac:dyDescent="0.3">
      <c r="A266" s="592" t="s">
        <v>1059</v>
      </c>
      <c r="B266" s="588"/>
      <c r="C266" s="954"/>
      <c r="D266" s="954"/>
      <c r="E266" s="954"/>
      <c r="F266" s="954"/>
      <c r="G266" s="133"/>
      <c r="H266" s="133"/>
      <c r="I266" s="133"/>
      <c r="J266" s="133"/>
      <c r="K266" s="954"/>
      <c r="L266" s="133"/>
      <c r="M266" s="133"/>
      <c r="N266" s="133"/>
      <c r="O266" s="133"/>
      <c r="P266" s="954"/>
      <c r="Q266" s="133"/>
      <c r="R266" s="133"/>
      <c r="S266" s="133"/>
      <c r="T266" s="133"/>
      <c r="U266" s="954"/>
      <c r="V266" s="133"/>
      <c r="W266" s="133"/>
      <c r="X266" s="133"/>
      <c r="Y266" s="133"/>
      <c r="Z266" s="954"/>
      <c r="AA266" s="133"/>
      <c r="AB266" s="133"/>
      <c r="AC266" s="133"/>
      <c r="AD266" s="133"/>
      <c r="AE266" s="954"/>
      <c r="AF266" s="133"/>
      <c r="AG266" s="133"/>
      <c r="AH266" s="133"/>
      <c r="AI266" s="133"/>
      <c r="AJ266" s="954"/>
      <c r="AK266" s="133"/>
      <c r="AL266" s="133"/>
      <c r="AM266" s="133"/>
      <c r="AN266" s="133"/>
      <c r="AO266" s="976">
        <v>2596</v>
      </c>
      <c r="AP266" s="133"/>
      <c r="AQ266" s="133"/>
      <c r="AR266" s="133"/>
      <c r="AS266" s="133"/>
      <c r="AT266" s="976">
        <v>1830</v>
      </c>
      <c r="AU266" s="133"/>
      <c r="AV266" s="133"/>
      <c r="AW266" s="133"/>
      <c r="AX266" s="133"/>
      <c r="AY266" s="976">
        <v>3858</v>
      </c>
      <c r="AZ266" s="133"/>
      <c r="BA266" s="133"/>
      <c r="BB266" s="133"/>
      <c r="BC266" s="133"/>
      <c r="BD266" s="976">
        <v>7535</v>
      </c>
      <c r="BE266" s="133"/>
      <c r="BF266" s="133"/>
      <c r="BG266" s="133"/>
      <c r="BH266" s="133"/>
      <c r="BI266" s="976">
        <v>4753</v>
      </c>
      <c r="BJ266" s="133"/>
      <c r="BK266" s="133"/>
      <c r="BL266" s="133"/>
      <c r="BM266" s="133"/>
      <c r="BN266" s="976">
        <v>4237</v>
      </c>
      <c r="BO266" s="133"/>
      <c r="BP266" s="133"/>
      <c r="BQ266" s="133"/>
      <c r="BR266" s="133"/>
      <c r="BS266" s="976">
        <v>3970</v>
      </c>
      <c r="BT266" s="692"/>
      <c r="BU266" s="133"/>
      <c r="BV266" s="133"/>
      <c r="BW266" s="133"/>
      <c r="BX266" s="954"/>
      <c r="BY266" s="133"/>
      <c r="BZ266" s="133"/>
      <c r="CA266" s="133"/>
      <c r="CB266" s="133"/>
      <c r="CC266" s="954"/>
      <c r="CD266" s="954"/>
      <c r="CE266" s="954"/>
      <c r="CF266" s="954"/>
      <c r="CG266" s="587"/>
    </row>
    <row r="267" spans="1:85" s="460" customFormat="1" ht="14.4" hidden="1" outlineLevel="1" x14ac:dyDescent="0.3">
      <c r="A267" s="159" t="s">
        <v>1060</v>
      </c>
      <c r="B267" s="586"/>
      <c r="C267" s="150"/>
      <c r="D267" s="150"/>
      <c r="E267" s="150"/>
      <c r="F267" s="150"/>
      <c r="G267" s="117"/>
      <c r="H267" s="117"/>
      <c r="I267" s="117"/>
      <c r="J267" s="117"/>
      <c r="K267" s="150"/>
      <c r="L267" s="117"/>
      <c r="M267" s="117"/>
      <c r="N267" s="117"/>
      <c r="O267" s="117"/>
      <c r="P267" s="150"/>
      <c r="Q267" s="117"/>
      <c r="R267" s="117"/>
      <c r="S267" s="117"/>
      <c r="T267" s="117"/>
      <c r="U267" s="150"/>
      <c r="V267" s="117"/>
      <c r="W267" s="117"/>
      <c r="X267" s="117"/>
      <c r="Y267" s="117"/>
      <c r="Z267" s="150"/>
      <c r="AA267" s="117"/>
      <c r="AB267" s="117"/>
      <c r="AC267" s="117"/>
      <c r="AD267" s="117"/>
      <c r="AE267" s="150"/>
      <c r="AF267" s="117"/>
      <c r="AG267" s="117"/>
      <c r="AH267" s="117"/>
      <c r="AI267" s="117"/>
      <c r="AJ267" s="150"/>
      <c r="AK267" s="117"/>
      <c r="AL267" s="117"/>
      <c r="AM267" s="117"/>
      <c r="AN267" s="117"/>
      <c r="AO267" s="150">
        <f>SUM(AO265:AO266)</f>
        <v>6928</v>
      </c>
      <c r="AP267" s="117"/>
      <c r="AQ267" s="117"/>
      <c r="AR267" s="117"/>
      <c r="AS267" s="117"/>
      <c r="AT267" s="150">
        <f>SUM(AT265:AT266)</f>
        <v>4840</v>
      </c>
      <c r="AU267" s="117"/>
      <c r="AV267" s="117"/>
      <c r="AW267" s="117"/>
      <c r="AX267" s="117"/>
      <c r="AY267" s="150">
        <f>SUM(AY265:AY266)</f>
        <v>7583</v>
      </c>
      <c r="AZ267" s="117"/>
      <c r="BA267" s="117"/>
      <c r="BB267" s="117"/>
      <c r="BC267" s="117"/>
      <c r="BD267" s="150">
        <f>SUM(BD265:BD266)</f>
        <v>14837</v>
      </c>
      <c r="BE267" s="117"/>
      <c r="BF267" s="117"/>
      <c r="BG267" s="117"/>
      <c r="BH267" s="117"/>
      <c r="BI267" s="150">
        <f>SUM(BI265:BI266)</f>
        <v>11533</v>
      </c>
      <c r="BJ267" s="117"/>
      <c r="BK267" s="117"/>
      <c r="BL267" s="117"/>
      <c r="BM267" s="117"/>
      <c r="BN267" s="150">
        <f>SUM(BN265:BN266)</f>
        <v>10093</v>
      </c>
      <c r="BO267" s="117"/>
      <c r="BP267" s="117"/>
      <c r="BQ267" s="117"/>
      <c r="BR267" s="117"/>
      <c r="BS267" s="150">
        <f>SUM(BS265:BS266)</f>
        <v>8600</v>
      </c>
      <c r="BT267" s="691"/>
      <c r="BU267" s="117"/>
      <c r="BV267" s="117"/>
      <c r="BW267" s="117"/>
      <c r="BX267" s="150"/>
      <c r="BY267" s="117"/>
      <c r="BZ267" s="117"/>
      <c r="CA267" s="117"/>
      <c r="CB267" s="117"/>
      <c r="CC267" s="150"/>
      <c r="CD267" s="150"/>
      <c r="CE267" s="150"/>
      <c r="CF267" s="150"/>
      <c r="CG267" s="587"/>
    </row>
    <row r="268" spans="1:85" s="460" customFormat="1" ht="14.4" hidden="1" outlineLevel="1" x14ac:dyDescent="0.3">
      <c r="A268" s="591" t="s">
        <v>1061</v>
      </c>
      <c r="B268" s="586"/>
      <c r="C268" s="150"/>
      <c r="D268" s="150"/>
      <c r="E268" s="150"/>
      <c r="F268" s="150"/>
      <c r="G268" s="117"/>
      <c r="H268" s="117"/>
      <c r="I268" s="117"/>
      <c r="J268" s="117"/>
      <c r="K268" s="150"/>
      <c r="L268" s="117"/>
      <c r="M268" s="117"/>
      <c r="N268" s="117"/>
      <c r="O268" s="117"/>
      <c r="P268" s="150"/>
      <c r="Q268" s="117"/>
      <c r="R268" s="117"/>
      <c r="S268" s="117"/>
      <c r="T268" s="117"/>
      <c r="U268" s="150"/>
      <c r="V268" s="117"/>
      <c r="W268" s="117"/>
      <c r="X268" s="117"/>
      <c r="Y268" s="117"/>
      <c r="Z268" s="150"/>
      <c r="AA268" s="117"/>
      <c r="AB268" s="117"/>
      <c r="AC268" s="117"/>
      <c r="AD268" s="117"/>
      <c r="AE268" s="150"/>
      <c r="AF268" s="117"/>
      <c r="AG268" s="117"/>
      <c r="AH268" s="117"/>
      <c r="AI268" s="117"/>
      <c r="AJ268" s="150"/>
      <c r="AK268" s="117"/>
      <c r="AL268" s="117"/>
      <c r="AM268" s="117"/>
      <c r="AN268" s="117"/>
      <c r="AO268" s="975">
        <v>-616</v>
      </c>
      <c r="AP268" s="117"/>
      <c r="AQ268" s="117"/>
      <c r="AR268" s="117"/>
      <c r="AS268" s="117"/>
      <c r="AT268" s="975">
        <v>-589</v>
      </c>
      <c r="AU268" s="117"/>
      <c r="AV268" s="117"/>
      <c r="AW268" s="117"/>
      <c r="AX268" s="117"/>
      <c r="AY268" s="975">
        <v>-548</v>
      </c>
      <c r="AZ268" s="117"/>
      <c r="BA268" s="117"/>
      <c r="BB268" s="117"/>
      <c r="BC268" s="117"/>
      <c r="BD268" s="975">
        <v>-614</v>
      </c>
      <c r="BE268" s="117"/>
      <c r="BF268" s="117"/>
      <c r="BG268" s="117"/>
      <c r="BH268" s="117"/>
      <c r="BI268" s="975">
        <v>-556</v>
      </c>
      <c r="BJ268" s="117"/>
      <c r="BK268" s="117"/>
      <c r="BL268" s="117"/>
      <c r="BM268" s="117"/>
      <c r="BN268" s="975">
        <v>-540</v>
      </c>
      <c r="BO268" s="117"/>
      <c r="BP268" s="117"/>
      <c r="BQ268" s="117"/>
      <c r="BR268" s="117"/>
      <c r="BS268" s="975">
        <v>-523</v>
      </c>
      <c r="BT268" s="691"/>
      <c r="BU268" s="117"/>
      <c r="BV268" s="117"/>
      <c r="BW268" s="117"/>
      <c r="BX268" s="150"/>
      <c r="BY268" s="117"/>
      <c r="BZ268" s="117"/>
      <c r="CA268" s="117"/>
      <c r="CB268" s="117"/>
      <c r="CC268" s="150"/>
      <c r="CD268" s="150"/>
      <c r="CE268" s="150"/>
      <c r="CF268" s="150"/>
      <c r="CG268" s="587"/>
    </row>
    <row r="269" spans="1:85" s="460" customFormat="1" ht="14.4" hidden="1" outlineLevel="1" x14ac:dyDescent="0.3">
      <c r="A269" s="591" t="s">
        <v>1062</v>
      </c>
      <c r="B269" s="586"/>
      <c r="C269" s="150"/>
      <c r="D269" s="150"/>
      <c r="E269" s="150"/>
      <c r="F269" s="150"/>
      <c r="G269" s="117"/>
      <c r="H269" s="117"/>
      <c r="I269" s="117"/>
      <c r="J269" s="117"/>
      <c r="K269" s="150"/>
      <c r="L269" s="117"/>
      <c r="M269" s="117"/>
      <c r="N269" s="117"/>
      <c r="O269" s="117"/>
      <c r="P269" s="150"/>
      <c r="Q269" s="117"/>
      <c r="R269" s="117"/>
      <c r="S269" s="117"/>
      <c r="T269" s="117"/>
      <c r="U269" s="150"/>
      <c r="V269" s="117"/>
      <c r="W269" s="117"/>
      <c r="X269" s="117"/>
      <c r="Y269" s="117"/>
      <c r="Z269" s="150"/>
      <c r="AA269" s="117"/>
      <c r="AB269" s="117"/>
      <c r="AC269" s="117"/>
      <c r="AD269" s="117"/>
      <c r="AE269" s="150"/>
      <c r="AF269" s="117"/>
      <c r="AG269" s="117"/>
      <c r="AH269" s="117"/>
      <c r="AI269" s="117"/>
      <c r="AJ269" s="150"/>
      <c r="AK269" s="117"/>
      <c r="AL269" s="117"/>
      <c r="AM269" s="117"/>
      <c r="AN269" s="117"/>
      <c r="AO269" s="975">
        <v>-221</v>
      </c>
      <c r="AP269" s="117"/>
      <c r="AQ269" s="117"/>
      <c r="AR269" s="117"/>
      <c r="AS269" s="117"/>
      <c r="AT269" s="975">
        <v>-121</v>
      </c>
      <c r="AU269" s="117"/>
      <c r="AV269" s="117"/>
      <c r="AW269" s="117"/>
      <c r="AX269" s="117"/>
      <c r="AY269" s="975">
        <v>-260</v>
      </c>
      <c r="AZ269" s="117"/>
      <c r="BA269" s="117"/>
      <c r="BB269" s="117"/>
      <c r="BC269" s="117"/>
      <c r="BD269" s="975">
        <v>-352</v>
      </c>
      <c r="BE269" s="117"/>
      <c r="BF269" s="117"/>
      <c r="BG269" s="117"/>
      <c r="BH269" s="117"/>
      <c r="BI269" s="975">
        <v>-256</v>
      </c>
      <c r="BJ269" s="117"/>
      <c r="BK269" s="117"/>
      <c r="BL269" s="117"/>
      <c r="BM269" s="117"/>
      <c r="BN269" s="975">
        <v>-209</v>
      </c>
      <c r="BO269" s="117"/>
      <c r="BP269" s="117"/>
      <c r="BQ269" s="117"/>
      <c r="BR269" s="117"/>
      <c r="BS269" s="975">
        <v>-211</v>
      </c>
      <c r="BT269" s="691"/>
      <c r="BU269" s="117"/>
      <c r="BV269" s="117"/>
      <c r="BW269" s="117"/>
      <c r="BX269" s="150"/>
      <c r="BY269" s="117"/>
      <c r="BZ269" s="117"/>
      <c r="CA269" s="117"/>
      <c r="CB269" s="117"/>
      <c r="CC269" s="150"/>
      <c r="CD269" s="150"/>
      <c r="CE269" s="150"/>
      <c r="CF269" s="150"/>
      <c r="CG269" s="587"/>
    </row>
    <row r="270" spans="1:85" s="460" customFormat="1" ht="14.4" hidden="1" outlineLevel="1" x14ac:dyDescent="0.3">
      <c r="A270" s="591" t="s">
        <v>1063</v>
      </c>
      <c r="B270" s="586"/>
      <c r="C270" s="150"/>
      <c r="D270" s="150"/>
      <c r="E270" s="150"/>
      <c r="F270" s="150"/>
      <c r="G270" s="117"/>
      <c r="H270" s="117"/>
      <c r="I270" s="117"/>
      <c r="J270" s="117"/>
      <c r="K270" s="150"/>
      <c r="L270" s="117"/>
      <c r="M270" s="117"/>
      <c r="N270" s="117"/>
      <c r="O270" s="117"/>
      <c r="P270" s="150"/>
      <c r="Q270" s="117"/>
      <c r="R270" s="117"/>
      <c r="S270" s="117"/>
      <c r="T270" s="117"/>
      <c r="U270" s="150"/>
      <c r="V270" s="117"/>
      <c r="W270" s="117"/>
      <c r="X270" s="117"/>
      <c r="Y270" s="117"/>
      <c r="Z270" s="150"/>
      <c r="AA270" s="117"/>
      <c r="AB270" s="117"/>
      <c r="AC270" s="117"/>
      <c r="AD270" s="117"/>
      <c r="AE270" s="150"/>
      <c r="AF270" s="117"/>
      <c r="AG270" s="117"/>
      <c r="AH270" s="117"/>
      <c r="AI270" s="117"/>
      <c r="AJ270" s="150"/>
      <c r="AK270" s="117"/>
      <c r="AL270" s="117"/>
      <c r="AM270" s="117"/>
      <c r="AN270" s="117"/>
      <c r="AO270" s="975">
        <v>-2192</v>
      </c>
      <c r="AP270" s="117"/>
      <c r="AQ270" s="117"/>
      <c r="AR270" s="117"/>
      <c r="AS270" s="117"/>
      <c r="AT270" s="975">
        <v>-2192</v>
      </c>
      <c r="AU270" s="117"/>
      <c r="AV270" s="117"/>
      <c r="AW270" s="117"/>
      <c r="AX270" s="117"/>
      <c r="AY270" s="975">
        <v>-2409</v>
      </c>
      <c r="AZ270" s="117"/>
      <c r="BA270" s="117"/>
      <c r="BB270" s="117"/>
      <c r="BC270" s="117"/>
      <c r="BD270" s="975">
        <v>-2520</v>
      </c>
      <c r="BE270" s="117"/>
      <c r="BF270" s="117"/>
      <c r="BG270" s="117"/>
      <c r="BH270" s="117"/>
      <c r="BI270" s="975">
        <v>-2561</v>
      </c>
      <c r="BJ270" s="117"/>
      <c r="BK270" s="117"/>
      <c r="BL270" s="117"/>
      <c r="BM270" s="117"/>
      <c r="BN270" s="975">
        <v>-2547</v>
      </c>
      <c r="BO270" s="117"/>
      <c r="BP270" s="117"/>
      <c r="BQ270" s="117"/>
      <c r="BR270" s="117"/>
      <c r="BS270" s="975">
        <v>-2195</v>
      </c>
      <c r="BT270" s="691"/>
      <c r="BU270" s="117"/>
      <c r="BV270" s="117"/>
      <c r="BW270" s="117"/>
      <c r="BX270" s="150"/>
      <c r="BY270" s="117"/>
      <c r="BZ270" s="117"/>
      <c r="CA270" s="117"/>
      <c r="CB270" s="117"/>
      <c r="CC270" s="150"/>
      <c r="CD270" s="150"/>
      <c r="CE270" s="150"/>
      <c r="CF270" s="150"/>
      <c r="CG270" s="587"/>
    </row>
    <row r="271" spans="1:85" s="460" customFormat="1" ht="14.4" hidden="1" outlineLevel="1" x14ac:dyDescent="0.3">
      <c r="A271" s="591" t="s">
        <v>1064</v>
      </c>
      <c r="B271" s="586"/>
      <c r="C271" s="150"/>
      <c r="D271" s="150"/>
      <c r="E271" s="150"/>
      <c r="F271" s="150"/>
      <c r="G271" s="117"/>
      <c r="H271" s="117"/>
      <c r="I271" s="117"/>
      <c r="J271" s="117"/>
      <c r="K271" s="150"/>
      <c r="L271" s="117"/>
      <c r="M271" s="117"/>
      <c r="N271" s="117"/>
      <c r="O271" s="117"/>
      <c r="P271" s="150"/>
      <c r="Q271" s="117"/>
      <c r="R271" s="117"/>
      <c r="S271" s="117"/>
      <c r="T271" s="117"/>
      <c r="U271" s="150"/>
      <c r="V271" s="117"/>
      <c r="W271" s="117"/>
      <c r="X271" s="117"/>
      <c r="Y271" s="117"/>
      <c r="Z271" s="150"/>
      <c r="AA271" s="117"/>
      <c r="AB271" s="117"/>
      <c r="AC271" s="117"/>
      <c r="AD271" s="117"/>
      <c r="AE271" s="150"/>
      <c r="AF271" s="117"/>
      <c r="AG271" s="117"/>
      <c r="AH271" s="117"/>
      <c r="AI271" s="117"/>
      <c r="AJ271" s="150"/>
      <c r="AK271" s="117"/>
      <c r="AL271" s="117"/>
      <c r="AM271" s="117"/>
      <c r="AN271" s="117"/>
      <c r="AO271" s="975">
        <v>-53</v>
      </c>
      <c r="AP271" s="117"/>
      <c r="AQ271" s="117"/>
      <c r="AR271" s="117"/>
      <c r="AS271" s="117"/>
      <c r="AT271" s="975">
        <v>-62</v>
      </c>
      <c r="AU271" s="117"/>
      <c r="AV271" s="117"/>
      <c r="AW271" s="117"/>
      <c r="AX271" s="117"/>
      <c r="AY271" s="975">
        <v>-75</v>
      </c>
      <c r="AZ271" s="117"/>
      <c r="BA271" s="117"/>
      <c r="BB271" s="117"/>
      <c r="BC271" s="117"/>
      <c r="BD271" s="975">
        <v>-77</v>
      </c>
      <c r="BE271" s="117"/>
      <c r="BF271" s="117"/>
      <c r="BG271" s="117"/>
      <c r="BH271" s="117"/>
      <c r="BI271" s="975">
        <v>-92</v>
      </c>
      <c r="BJ271" s="117"/>
      <c r="BK271" s="117"/>
      <c r="BL271" s="117"/>
      <c r="BM271" s="117"/>
      <c r="BN271" s="975">
        <v>-104</v>
      </c>
      <c r="BO271" s="117"/>
      <c r="BP271" s="117"/>
      <c r="BQ271" s="117"/>
      <c r="BR271" s="117"/>
      <c r="BS271" s="975">
        <v>-108</v>
      </c>
      <c r="BT271" s="691"/>
      <c r="BU271" s="117"/>
      <c r="BV271" s="117"/>
      <c r="BW271" s="117"/>
      <c r="BX271" s="150"/>
      <c r="BY271" s="117"/>
      <c r="BZ271" s="117"/>
      <c r="CA271" s="117"/>
      <c r="CB271" s="117"/>
      <c r="CC271" s="150"/>
      <c r="CD271" s="150"/>
      <c r="CE271" s="150"/>
      <c r="CF271" s="150"/>
      <c r="CG271" s="587"/>
    </row>
    <row r="272" spans="1:85" s="460" customFormat="1" ht="14.4" hidden="1" outlineLevel="1" x14ac:dyDescent="0.3">
      <c r="A272" s="591" t="s">
        <v>1065</v>
      </c>
      <c r="B272" s="586"/>
      <c r="C272" s="150"/>
      <c r="D272" s="150"/>
      <c r="E272" s="150"/>
      <c r="F272" s="150"/>
      <c r="G272" s="117"/>
      <c r="H272" s="117"/>
      <c r="I272" s="117"/>
      <c r="J272" s="117"/>
      <c r="K272" s="150"/>
      <c r="L272" s="117"/>
      <c r="M272" s="117"/>
      <c r="N272" s="117"/>
      <c r="O272" s="117"/>
      <c r="P272" s="150"/>
      <c r="Q272" s="117"/>
      <c r="R272" s="117"/>
      <c r="S272" s="117"/>
      <c r="T272" s="117"/>
      <c r="U272" s="150"/>
      <c r="V272" s="117"/>
      <c r="W272" s="117"/>
      <c r="X272" s="117"/>
      <c r="Y272" s="117"/>
      <c r="Z272" s="150"/>
      <c r="AA272" s="117"/>
      <c r="AB272" s="117"/>
      <c r="AC272" s="117"/>
      <c r="AD272" s="117"/>
      <c r="AE272" s="150"/>
      <c r="AF272" s="117"/>
      <c r="AG272" s="117"/>
      <c r="AH272" s="117"/>
      <c r="AI272" s="117"/>
      <c r="AJ272" s="150"/>
      <c r="AK272" s="117"/>
      <c r="AL272" s="117"/>
      <c r="AM272" s="117"/>
      <c r="AN272" s="117"/>
      <c r="AO272" s="975">
        <v>-60</v>
      </c>
      <c r="AP272" s="117"/>
      <c r="AQ272" s="117"/>
      <c r="AR272" s="117"/>
      <c r="AS272" s="117"/>
      <c r="AT272" s="975">
        <v>-231</v>
      </c>
      <c r="AU272" s="117"/>
      <c r="AV272" s="117"/>
      <c r="AW272" s="117"/>
      <c r="AX272" s="117"/>
      <c r="AY272" s="975">
        <v>-47</v>
      </c>
      <c r="AZ272" s="117"/>
      <c r="BA272" s="117"/>
      <c r="BB272" s="117"/>
      <c r="BC272" s="117"/>
      <c r="BD272" s="975">
        <v>-52</v>
      </c>
      <c r="BE272" s="117"/>
      <c r="BF272" s="117"/>
      <c r="BG272" s="117"/>
      <c r="BH272" s="117"/>
      <c r="BI272" s="975">
        <v>-32</v>
      </c>
      <c r="BJ272" s="117"/>
      <c r="BK272" s="117"/>
      <c r="BL272" s="117"/>
      <c r="BM272" s="117"/>
      <c r="BN272" s="975">
        <v>-33</v>
      </c>
      <c r="BO272" s="117"/>
      <c r="BP272" s="117"/>
      <c r="BQ272" s="117"/>
      <c r="BR272" s="117"/>
      <c r="BS272" s="975">
        <v>-131</v>
      </c>
      <c r="BT272" s="691"/>
      <c r="BU272" s="117"/>
      <c r="BV272" s="117"/>
      <c r="BW272" s="117"/>
      <c r="BX272" s="150"/>
      <c r="BY272" s="117"/>
      <c r="BZ272" s="117"/>
      <c r="CA272" s="117"/>
      <c r="CB272" s="117"/>
      <c r="CC272" s="150"/>
      <c r="CD272" s="150"/>
      <c r="CE272" s="150"/>
      <c r="CF272" s="150"/>
      <c r="CG272" s="587"/>
    </row>
    <row r="273" spans="1:85" s="460" customFormat="1" ht="14.4" hidden="1" outlineLevel="1" x14ac:dyDescent="0.3">
      <c r="A273" s="591" t="s">
        <v>959</v>
      </c>
      <c r="B273" s="586"/>
      <c r="C273" s="150"/>
      <c r="D273" s="150"/>
      <c r="E273" s="150"/>
      <c r="F273" s="150"/>
      <c r="G273" s="117"/>
      <c r="H273" s="117"/>
      <c r="I273" s="117"/>
      <c r="J273" s="117"/>
      <c r="K273" s="150"/>
      <c r="L273" s="117"/>
      <c r="M273" s="117"/>
      <c r="N273" s="117"/>
      <c r="O273" s="117"/>
      <c r="P273" s="150"/>
      <c r="Q273" s="117"/>
      <c r="R273" s="117"/>
      <c r="S273" s="117"/>
      <c r="T273" s="117"/>
      <c r="U273" s="150"/>
      <c r="V273" s="117"/>
      <c r="W273" s="117"/>
      <c r="X273" s="117"/>
      <c r="Y273" s="117"/>
      <c r="Z273" s="150"/>
      <c r="AA273" s="117"/>
      <c r="AB273" s="117"/>
      <c r="AC273" s="117"/>
      <c r="AD273" s="117"/>
      <c r="AE273" s="150"/>
      <c r="AF273" s="117"/>
      <c r="AG273" s="117"/>
      <c r="AH273" s="117"/>
      <c r="AI273" s="117"/>
      <c r="AJ273" s="150"/>
      <c r="AK273" s="117"/>
      <c r="AL273" s="117"/>
      <c r="AM273" s="117"/>
      <c r="AN273" s="117"/>
      <c r="AO273" s="975">
        <v>-2</v>
      </c>
      <c r="AP273" s="117"/>
      <c r="AQ273" s="117"/>
      <c r="AR273" s="117"/>
      <c r="AS273" s="117"/>
      <c r="AT273" s="975">
        <v>-1</v>
      </c>
      <c r="AU273" s="117"/>
      <c r="AV273" s="117"/>
      <c r="AW273" s="117"/>
      <c r="AX273" s="117"/>
      <c r="AY273" s="975">
        <v>0</v>
      </c>
      <c r="AZ273" s="117"/>
      <c r="BA273" s="117"/>
      <c r="BB273" s="117"/>
      <c r="BC273" s="117"/>
      <c r="BD273" s="975">
        <v>0</v>
      </c>
      <c r="BE273" s="117"/>
      <c r="BF273" s="117"/>
      <c r="BG273" s="117"/>
      <c r="BH273" s="117"/>
      <c r="BI273" s="975">
        <v>0</v>
      </c>
      <c r="BJ273" s="117"/>
      <c r="BK273" s="117"/>
      <c r="BL273" s="117"/>
      <c r="BM273" s="117"/>
      <c r="BN273" s="975">
        <v>0</v>
      </c>
      <c r="BO273" s="117"/>
      <c r="BP273" s="117"/>
      <c r="BQ273" s="117"/>
      <c r="BR273" s="117"/>
      <c r="BS273" s="975">
        <v>0</v>
      </c>
      <c r="BT273" s="691"/>
      <c r="BU273" s="117"/>
      <c r="BV273" s="117"/>
      <c r="BW273" s="117"/>
      <c r="BX273" s="150"/>
      <c r="BY273" s="117"/>
      <c r="BZ273" s="117"/>
      <c r="CA273" s="117"/>
      <c r="CB273" s="117"/>
      <c r="CC273" s="150"/>
      <c r="CD273" s="150"/>
      <c r="CE273" s="150"/>
      <c r="CF273" s="150"/>
      <c r="CG273" s="587"/>
    </row>
    <row r="274" spans="1:85" s="460" customFormat="1" ht="14.4" hidden="1" outlineLevel="1" x14ac:dyDescent="0.3">
      <c r="A274" s="592" t="s">
        <v>1066</v>
      </c>
      <c r="B274" s="588"/>
      <c r="C274" s="954"/>
      <c r="D274" s="954"/>
      <c r="E274" s="954"/>
      <c r="F274" s="954"/>
      <c r="G274" s="133"/>
      <c r="H274" s="133"/>
      <c r="I274" s="133"/>
      <c r="J274" s="133"/>
      <c r="K274" s="954"/>
      <c r="L274" s="133"/>
      <c r="M274" s="133"/>
      <c r="N274" s="133"/>
      <c r="O274" s="133"/>
      <c r="P274" s="954"/>
      <c r="Q274" s="133"/>
      <c r="R274" s="133"/>
      <c r="S274" s="133"/>
      <c r="T274" s="133"/>
      <c r="U274" s="954"/>
      <c r="V274" s="133"/>
      <c r="W274" s="133"/>
      <c r="X274" s="133"/>
      <c r="Y274" s="133"/>
      <c r="Z274" s="954"/>
      <c r="AA274" s="133"/>
      <c r="AB274" s="133"/>
      <c r="AC274" s="133"/>
      <c r="AD274" s="133"/>
      <c r="AE274" s="954"/>
      <c r="AF274" s="133"/>
      <c r="AG274" s="133"/>
      <c r="AH274" s="133"/>
      <c r="AI274" s="133"/>
      <c r="AJ274" s="954"/>
      <c r="AK274" s="133"/>
      <c r="AL274" s="133"/>
      <c r="AM274" s="133"/>
      <c r="AN274" s="133"/>
      <c r="AO274" s="976">
        <v>53</v>
      </c>
      <c r="AP274" s="133"/>
      <c r="AQ274" s="133"/>
      <c r="AR274" s="133"/>
      <c r="AS274" s="133"/>
      <c r="AT274" s="976">
        <v>-2</v>
      </c>
      <c r="AU274" s="133"/>
      <c r="AV274" s="133"/>
      <c r="AW274" s="133"/>
      <c r="AX274" s="133"/>
      <c r="AY274" s="976">
        <v>26</v>
      </c>
      <c r="AZ274" s="133"/>
      <c r="BA274" s="133"/>
      <c r="BB274" s="133"/>
      <c r="BC274" s="133"/>
      <c r="BD274" s="976">
        <v>51</v>
      </c>
      <c r="BE274" s="133"/>
      <c r="BF274" s="133"/>
      <c r="BG274" s="133"/>
      <c r="BH274" s="133"/>
      <c r="BI274" s="976">
        <v>-52</v>
      </c>
      <c r="BJ274" s="133"/>
      <c r="BK274" s="133"/>
      <c r="BL274" s="133"/>
      <c r="BM274" s="133"/>
      <c r="BN274" s="976">
        <v>-8</v>
      </c>
      <c r="BO274" s="133"/>
      <c r="BP274" s="133"/>
      <c r="BQ274" s="133"/>
      <c r="BR274" s="133"/>
      <c r="BS274" s="976">
        <v>62</v>
      </c>
      <c r="BT274" s="692"/>
      <c r="BU274" s="133"/>
      <c r="BV274" s="133"/>
      <c r="BW274" s="133"/>
      <c r="BX274" s="954"/>
      <c r="BY274" s="133"/>
      <c r="BZ274" s="133"/>
      <c r="CA274" s="133"/>
      <c r="CB274" s="133"/>
      <c r="CC274" s="954"/>
      <c r="CD274" s="954"/>
      <c r="CE274" s="954"/>
      <c r="CF274" s="954"/>
      <c r="CG274" s="587"/>
    </row>
    <row r="275" spans="1:85" s="460" customFormat="1" ht="14.4" hidden="1" outlineLevel="1" x14ac:dyDescent="0.3">
      <c r="A275" s="159" t="s">
        <v>1067</v>
      </c>
      <c r="B275" s="586"/>
      <c r="C275" s="150"/>
      <c r="D275" s="150"/>
      <c r="E275" s="150"/>
      <c r="F275" s="150"/>
      <c r="G275" s="117"/>
      <c r="H275" s="117"/>
      <c r="I275" s="117"/>
      <c r="J275" s="117"/>
      <c r="K275" s="150"/>
      <c r="L275" s="117"/>
      <c r="M275" s="117"/>
      <c r="N275" s="117"/>
      <c r="O275" s="117"/>
      <c r="P275" s="150"/>
      <c r="Q275" s="117"/>
      <c r="R275" s="117"/>
      <c r="S275" s="117"/>
      <c r="T275" s="117"/>
      <c r="U275" s="150"/>
      <c r="V275" s="117"/>
      <c r="W275" s="117"/>
      <c r="X275" s="117"/>
      <c r="Y275" s="117"/>
      <c r="Z275" s="150"/>
      <c r="AA275" s="117"/>
      <c r="AB275" s="117"/>
      <c r="AC275" s="117"/>
      <c r="AD275" s="117"/>
      <c r="AE275" s="150"/>
      <c r="AF275" s="117"/>
      <c r="AG275" s="117"/>
      <c r="AH275" s="117"/>
      <c r="AI275" s="117"/>
      <c r="AJ275" s="150"/>
      <c r="AK275" s="117"/>
      <c r="AL275" s="117"/>
      <c r="AM275" s="117"/>
      <c r="AN275" s="117"/>
      <c r="AO275" s="150">
        <f>SUM(AO267:AO274)</f>
        <v>3837</v>
      </c>
      <c r="AP275" s="117"/>
      <c r="AQ275" s="117"/>
      <c r="AR275" s="117"/>
      <c r="AS275" s="117"/>
      <c r="AT275" s="150">
        <f>SUM(AT267:AT274)</f>
        <v>1642</v>
      </c>
      <c r="AU275" s="117"/>
      <c r="AV275" s="117"/>
      <c r="AW275" s="117"/>
      <c r="AX275" s="117"/>
      <c r="AY275" s="150">
        <f>SUM(AY267:AY274)</f>
        <v>4270</v>
      </c>
      <c r="AZ275" s="117"/>
      <c r="BA275" s="117"/>
      <c r="BB275" s="117"/>
      <c r="BC275" s="117"/>
      <c r="BD275" s="150">
        <f>SUM(BD267:BD274)</f>
        <v>11273</v>
      </c>
      <c r="BE275" s="117"/>
      <c r="BF275" s="117"/>
      <c r="BG275" s="117"/>
      <c r="BH275" s="117"/>
      <c r="BI275" s="150">
        <f>SUM(BI267:BI274)</f>
        <v>7984</v>
      </c>
      <c r="BJ275" s="117"/>
      <c r="BK275" s="117"/>
      <c r="BL275" s="117"/>
      <c r="BM275" s="117"/>
      <c r="BN275" s="150">
        <f>SUM(BN267:BN274)</f>
        <v>6652</v>
      </c>
      <c r="BO275" s="117"/>
      <c r="BP275" s="117"/>
      <c r="BQ275" s="117"/>
      <c r="BR275" s="117"/>
      <c r="BS275" s="150">
        <f>SUM(BS267:BS274)</f>
        <v>5494</v>
      </c>
      <c r="BT275" s="691"/>
      <c r="BU275" s="117"/>
      <c r="BV275" s="117"/>
      <c r="BW275" s="117"/>
      <c r="BX275" s="150"/>
      <c r="BY275" s="117"/>
      <c r="BZ275" s="117"/>
      <c r="CA275" s="117"/>
      <c r="CB275" s="117"/>
      <c r="CC275" s="150"/>
      <c r="CD275" s="150"/>
      <c r="CE275" s="150"/>
      <c r="CF275" s="150"/>
      <c r="CG275" s="587"/>
    </row>
    <row r="276" spans="1:85" s="460" customFormat="1" ht="14.4" hidden="1" outlineLevel="1" x14ac:dyDescent="0.3">
      <c r="A276" s="262" t="s">
        <v>1068</v>
      </c>
      <c r="B276" s="588"/>
      <c r="C276" s="954"/>
      <c r="D276" s="954"/>
      <c r="E276" s="954"/>
      <c r="F276" s="954"/>
      <c r="G276" s="133"/>
      <c r="H276" s="133"/>
      <c r="I276" s="133"/>
      <c r="J276" s="133"/>
      <c r="K276" s="954"/>
      <c r="L276" s="133"/>
      <c r="M276" s="133"/>
      <c r="N276" s="133"/>
      <c r="O276" s="133"/>
      <c r="P276" s="954"/>
      <c r="Q276" s="133"/>
      <c r="R276" s="133"/>
      <c r="S276" s="133"/>
      <c r="T276" s="133"/>
      <c r="U276" s="954"/>
      <c r="V276" s="133"/>
      <c r="W276" s="133"/>
      <c r="X276" s="133"/>
      <c r="Y276" s="133"/>
      <c r="Z276" s="954"/>
      <c r="AA276" s="133"/>
      <c r="AB276" s="133"/>
      <c r="AC276" s="133"/>
      <c r="AD276" s="133"/>
      <c r="AE276" s="954"/>
      <c r="AF276" s="133"/>
      <c r="AG276" s="133"/>
      <c r="AH276" s="133"/>
      <c r="AI276" s="133"/>
      <c r="AJ276" s="954"/>
      <c r="AK276" s="133"/>
      <c r="AL276" s="133"/>
      <c r="AM276" s="133"/>
      <c r="AN276" s="133"/>
      <c r="AO276" s="976">
        <v>-1161</v>
      </c>
      <c r="AP276" s="133"/>
      <c r="AQ276" s="133"/>
      <c r="AR276" s="133"/>
      <c r="AS276" s="133"/>
      <c r="AT276" s="976">
        <v>-558</v>
      </c>
      <c r="AU276" s="133"/>
      <c r="AV276" s="133"/>
      <c r="AW276" s="133"/>
      <c r="AX276" s="133"/>
      <c r="AY276" s="976">
        <v>-1314</v>
      </c>
      <c r="AZ276" s="133"/>
      <c r="BA276" s="133"/>
      <c r="BB276" s="133"/>
      <c r="BC276" s="133"/>
      <c r="BD276" s="976">
        <v>-3185</v>
      </c>
      <c r="BE276" s="133"/>
      <c r="BF276" s="133"/>
      <c r="BG276" s="133"/>
      <c r="BH276" s="133"/>
      <c r="BI276" s="976">
        <v>-2776</v>
      </c>
      <c r="BJ276" s="133"/>
      <c r="BK276" s="133"/>
      <c r="BL276" s="133"/>
      <c r="BM276" s="133"/>
      <c r="BN276" s="976">
        <v>-2010</v>
      </c>
      <c r="BO276" s="133"/>
      <c r="BP276" s="133"/>
      <c r="BQ276" s="133"/>
      <c r="BR276" s="133"/>
      <c r="BS276" s="976">
        <v>-1816</v>
      </c>
      <c r="BT276" s="692"/>
      <c r="BU276" s="133"/>
      <c r="BV276" s="133"/>
      <c r="BW276" s="133"/>
      <c r="BX276" s="954"/>
      <c r="BY276" s="133"/>
      <c r="BZ276" s="133"/>
      <c r="CA276" s="133"/>
      <c r="CB276" s="133"/>
      <c r="CC276" s="954"/>
      <c r="CD276" s="954"/>
      <c r="CE276" s="954"/>
      <c r="CF276" s="954"/>
      <c r="CG276" s="587"/>
    </row>
    <row r="277" spans="1:85" s="461" customFormat="1" ht="14.4" hidden="1" outlineLevel="1" x14ac:dyDescent="0.3">
      <c r="A277" s="166" t="s">
        <v>1069</v>
      </c>
      <c r="B277" s="583"/>
      <c r="C277" s="957"/>
      <c r="D277" s="957"/>
      <c r="E277" s="957"/>
      <c r="F277" s="957"/>
      <c r="G277" s="120"/>
      <c r="H277" s="120"/>
      <c r="I277" s="120"/>
      <c r="J277" s="120"/>
      <c r="K277" s="957"/>
      <c r="L277" s="120"/>
      <c r="M277" s="120"/>
      <c r="N277" s="120"/>
      <c r="O277" s="120"/>
      <c r="P277" s="957"/>
      <c r="Q277" s="120"/>
      <c r="R277" s="120"/>
      <c r="S277" s="120"/>
      <c r="T277" s="120"/>
      <c r="U277" s="957"/>
      <c r="V277" s="120"/>
      <c r="W277" s="120"/>
      <c r="X277" s="120"/>
      <c r="Y277" s="120"/>
      <c r="Z277" s="957"/>
      <c r="AA277" s="120"/>
      <c r="AB277" s="120"/>
      <c r="AC277" s="120"/>
      <c r="AD277" s="120"/>
      <c r="AE277" s="957"/>
      <c r="AF277" s="120"/>
      <c r="AG277" s="120"/>
      <c r="AH277" s="120"/>
      <c r="AI277" s="120"/>
      <c r="AJ277" s="957"/>
      <c r="AK277" s="120"/>
      <c r="AL277" s="120"/>
      <c r="AM277" s="120"/>
      <c r="AN277" s="120"/>
      <c r="AO277" s="957">
        <f>SUM(AO275:AO276)</f>
        <v>2676</v>
      </c>
      <c r="AP277" s="120"/>
      <c r="AQ277" s="120"/>
      <c r="AR277" s="120"/>
      <c r="AS277" s="120"/>
      <c r="AT277" s="957">
        <f>SUM(AT275:AT276)</f>
        <v>1084</v>
      </c>
      <c r="AU277" s="120"/>
      <c r="AV277" s="120"/>
      <c r="AW277" s="120"/>
      <c r="AX277" s="120"/>
      <c r="AY277" s="957">
        <f>SUM(AY275:AY276)</f>
        <v>2956</v>
      </c>
      <c r="AZ277" s="120"/>
      <c r="BA277" s="120"/>
      <c r="BB277" s="120"/>
      <c r="BC277" s="120"/>
      <c r="BD277" s="957">
        <f>SUM(BD275:BD276)</f>
        <v>8088</v>
      </c>
      <c r="BE277" s="120"/>
      <c r="BF277" s="120"/>
      <c r="BG277" s="120"/>
      <c r="BH277" s="120"/>
      <c r="BI277" s="957">
        <f>SUM(BI275:BI276)</f>
        <v>5208</v>
      </c>
      <c r="BJ277" s="120"/>
      <c r="BK277" s="120"/>
      <c r="BL277" s="120"/>
      <c r="BM277" s="120"/>
      <c r="BN277" s="957">
        <f>SUM(BN275:BN276)</f>
        <v>4642</v>
      </c>
      <c r="BO277" s="120"/>
      <c r="BP277" s="120"/>
      <c r="BQ277" s="120"/>
      <c r="BR277" s="120"/>
      <c r="BS277" s="957">
        <f>SUM(BS275:BS276)</f>
        <v>3678</v>
      </c>
      <c r="BT277" s="694"/>
      <c r="BU277" s="120"/>
      <c r="BV277" s="120"/>
      <c r="BW277" s="120"/>
      <c r="BX277" s="957"/>
      <c r="BY277" s="120"/>
      <c r="BZ277" s="120"/>
      <c r="CA277" s="120"/>
      <c r="CB277" s="120"/>
      <c r="CC277" s="957"/>
      <c r="CD277" s="957"/>
      <c r="CE277" s="957"/>
      <c r="CF277" s="957"/>
      <c r="CG277" s="615"/>
    </row>
    <row r="278" spans="1:85" s="460" customFormat="1" ht="14.4" hidden="1" outlineLevel="1" x14ac:dyDescent="0.3">
      <c r="A278" s="591" t="s">
        <v>1070</v>
      </c>
      <c r="B278" s="586"/>
      <c r="C278" s="150"/>
      <c r="D278" s="150"/>
      <c r="E278" s="150"/>
      <c r="F278" s="150"/>
      <c r="G278" s="117"/>
      <c r="H278" s="117"/>
      <c r="I278" s="117"/>
      <c r="J278" s="117"/>
      <c r="K278" s="150"/>
      <c r="L278" s="117"/>
      <c r="M278" s="117"/>
      <c r="N278" s="117"/>
      <c r="O278" s="117"/>
      <c r="P278" s="150"/>
      <c r="Q278" s="117"/>
      <c r="R278" s="117"/>
      <c r="S278" s="117"/>
      <c r="T278" s="117"/>
      <c r="U278" s="150"/>
      <c r="V278" s="117"/>
      <c r="W278" s="117"/>
      <c r="X278" s="117"/>
      <c r="Y278" s="117"/>
      <c r="Z278" s="150"/>
      <c r="AA278" s="117"/>
      <c r="AB278" s="117"/>
      <c r="AC278" s="117"/>
      <c r="AD278" s="117"/>
      <c r="AE278" s="150"/>
      <c r="AF278" s="117"/>
      <c r="AG278" s="117"/>
      <c r="AH278" s="117"/>
      <c r="AI278" s="117"/>
      <c r="AJ278" s="150"/>
      <c r="AK278" s="117"/>
      <c r="AL278" s="117"/>
      <c r="AM278" s="117"/>
      <c r="AN278" s="117"/>
      <c r="AO278" s="975">
        <v>592</v>
      </c>
      <c r="AP278" s="117"/>
      <c r="AQ278" s="117"/>
      <c r="AR278" s="117"/>
      <c r="AS278" s="117"/>
      <c r="AT278" s="975">
        <v>149</v>
      </c>
      <c r="AU278" s="117"/>
      <c r="AV278" s="117"/>
      <c r="AW278" s="117"/>
      <c r="AX278" s="117"/>
      <c r="AY278" s="975">
        <v>371</v>
      </c>
      <c r="AZ278" s="117"/>
      <c r="BA278" s="117"/>
      <c r="BB278" s="117"/>
      <c r="BC278" s="117"/>
      <c r="BD278" s="975">
        <v>564</v>
      </c>
      <c r="BE278" s="117"/>
      <c r="BF278" s="117"/>
      <c r="BG278" s="117"/>
      <c r="BH278" s="117"/>
      <c r="BI278" s="975">
        <v>368</v>
      </c>
      <c r="BJ278" s="117"/>
      <c r="BK278" s="117"/>
      <c r="BL278" s="117"/>
      <c r="BM278" s="117"/>
      <c r="BN278" s="975">
        <v>319</v>
      </c>
      <c r="BO278" s="117"/>
      <c r="BP278" s="117"/>
      <c r="BQ278" s="117"/>
      <c r="BR278" s="117"/>
      <c r="BS278" s="975">
        <v>284</v>
      </c>
      <c r="BT278" s="691"/>
      <c r="BU278" s="117"/>
      <c r="BV278" s="117"/>
      <c r="BW278" s="117"/>
      <c r="BX278" s="150"/>
      <c r="BY278" s="117"/>
      <c r="BZ278" s="117"/>
      <c r="CA278" s="117"/>
      <c r="CB278" s="117"/>
      <c r="CC278" s="150"/>
      <c r="CD278" s="150"/>
      <c r="CE278" s="150"/>
      <c r="CF278" s="150"/>
      <c r="CG278" s="587"/>
    </row>
    <row r="279" spans="1:85" s="460" customFormat="1" ht="14.4" hidden="1" outlineLevel="1" x14ac:dyDescent="0.3">
      <c r="A279" s="592" t="s">
        <v>1071</v>
      </c>
      <c r="B279" s="588"/>
      <c r="C279" s="954"/>
      <c r="D279" s="954"/>
      <c r="E279" s="954"/>
      <c r="F279" s="954"/>
      <c r="G279" s="133"/>
      <c r="H279" s="133"/>
      <c r="I279" s="133"/>
      <c r="J279" s="133"/>
      <c r="K279" s="954"/>
      <c r="L279" s="133"/>
      <c r="M279" s="133"/>
      <c r="N279" s="133"/>
      <c r="O279" s="133"/>
      <c r="P279" s="954"/>
      <c r="Q279" s="133"/>
      <c r="R279" s="133"/>
      <c r="S279" s="133"/>
      <c r="T279" s="133"/>
      <c r="U279" s="954"/>
      <c r="V279" s="133"/>
      <c r="W279" s="133"/>
      <c r="X279" s="133"/>
      <c r="Y279" s="133"/>
      <c r="Z279" s="954"/>
      <c r="AA279" s="133"/>
      <c r="AB279" s="133"/>
      <c r="AC279" s="133"/>
      <c r="AD279" s="133"/>
      <c r="AE279" s="954"/>
      <c r="AF279" s="133"/>
      <c r="AG279" s="133"/>
      <c r="AH279" s="133"/>
      <c r="AI279" s="133"/>
      <c r="AJ279" s="954"/>
      <c r="AK279" s="133"/>
      <c r="AL279" s="133"/>
      <c r="AM279" s="133"/>
      <c r="AN279" s="133"/>
      <c r="AO279" s="976">
        <v>655</v>
      </c>
      <c r="AP279" s="133"/>
      <c r="AQ279" s="133"/>
      <c r="AR279" s="133"/>
      <c r="AS279" s="133"/>
      <c r="AT279" s="976">
        <v>0</v>
      </c>
      <c r="AU279" s="133"/>
      <c r="AV279" s="133"/>
      <c r="AW279" s="133"/>
      <c r="AX279" s="133"/>
      <c r="AY279" s="976">
        <v>0</v>
      </c>
      <c r="AZ279" s="133"/>
      <c r="BA279" s="133"/>
      <c r="BB279" s="133"/>
      <c r="BC279" s="133"/>
      <c r="BD279" s="976">
        <v>0</v>
      </c>
      <c r="BE279" s="133"/>
      <c r="BF279" s="133"/>
      <c r="BG279" s="133"/>
      <c r="BH279" s="133"/>
      <c r="BI279" s="976">
        <v>0</v>
      </c>
      <c r="BJ279" s="133"/>
      <c r="BK279" s="133"/>
      <c r="BL279" s="133"/>
      <c r="BM279" s="133"/>
      <c r="BN279" s="976">
        <v>0</v>
      </c>
      <c r="BO279" s="133"/>
      <c r="BP279" s="133"/>
      <c r="BQ279" s="133"/>
      <c r="BR279" s="133"/>
      <c r="BS279" s="976">
        <v>0</v>
      </c>
      <c r="BT279" s="692"/>
      <c r="BU279" s="133"/>
      <c r="BV279" s="133"/>
      <c r="BW279" s="133"/>
      <c r="BX279" s="954"/>
      <c r="BY279" s="133"/>
      <c r="BZ279" s="133"/>
      <c r="CA279" s="133"/>
      <c r="CB279" s="133"/>
      <c r="CC279" s="954"/>
      <c r="CD279" s="954"/>
      <c r="CE279" s="954"/>
      <c r="CF279" s="954"/>
      <c r="CG279" s="587"/>
    </row>
    <row r="280" spans="1:85" s="460" customFormat="1" ht="14.4" hidden="1" outlineLevel="1" x14ac:dyDescent="0.3">
      <c r="A280" s="159" t="s">
        <v>1072</v>
      </c>
      <c r="B280" s="586"/>
      <c r="C280" s="150"/>
      <c r="D280" s="150"/>
      <c r="E280" s="150"/>
      <c r="F280" s="150"/>
      <c r="G280" s="117"/>
      <c r="H280" s="117"/>
      <c r="I280" s="117"/>
      <c r="J280" s="117"/>
      <c r="K280" s="150"/>
      <c r="L280" s="117"/>
      <c r="M280" s="117"/>
      <c r="N280" s="117"/>
      <c r="O280" s="117"/>
      <c r="P280" s="150"/>
      <c r="Q280" s="117"/>
      <c r="R280" s="117"/>
      <c r="S280" s="117"/>
      <c r="T280" s="117"/>
      <c r="U280" s="150"/>
      <c r="V280" s="117"/>
      <c r="W280" s="117"/>
      <c r="X280" s="117"/>
      <c r="Y280" s="117"/>
      <c r="Z280" s="150"/>
      <c r="AA280" s="117"/>
      <c r="AB280" s="117"/>
      <c r="AC280" s="117"/>
      <c r="AD280" s="117"/>
      <c r="AE280" s="150"/>
      <c r="AF280" s="117"/>
      <c r="AG280" s="117"/>
      <c r="AH280" s="117"/>
      <c r="AI280" s="117"/>
      <c r="AJ280" s="150"/>
      <c r="AK280" s="117"/>
      <c r="AL280" s="117"/>
      <c r="AM280" s="117"/>
      <c r="AN280" s="117"/>
      <c r="AO280" s="150">
        <f>SUM(AO278:AO279)</f>
        <v>1247</v>
      </c>
      <c r="AP280" s="117"/>
      <c r="AQ280" s="117"/>
      <c r="AR280" s="117"/>
      <c r="AS280" s="117"/>
      <c r="AT280" s="150">
        <f>SUM(AT278:AT279)</f>
        <v>149</v>
      </c>
      <c r="AU280" s="117"/>
      <c r="AV280" s="117"/>
      <c r="AW280" s="117"/>
      <c r="AX280" s="117"/>
      <c r="AY280" s="150">
        <f>SUM(AY278:AY279)</f>
        <v>371</v>
      </c>
      <c r="AZ280" s="117"/>
      <c r="BA280" s="117"/>
      <c r="BB280" s="117"/>
      <c r="BC280" s="117"/>
      <c r="BD280" s="150">
        <f>SUM(BD278:BD279)</f>
        <v>564</v>
      </c>
      <c r="BE280" s="117"/>
      <c r="BF280" s="117"/>
      <c r="BG280" s="117"/>
      <c r="BH280" s="117"/>
      <c r="BI280" s="150">
        <f>SUM(BI278:BI279)</f>
        <v>368</v>
      </c>
      <c r="BJ280" s="117"/>
      <c r="BK280" s="117"/>
      <c r="BL280" s="117"/>
      <c r="BM280" s="117"/>
      <c r="BN280" s="150">
        <f>SUM(BN278:BN279)</f>
        <v>319</v>
      </c>
      <c r="BO280" s="117"/>
      <c r="BP280" s="117"/>
      <c r="BQ280" s="117"/>
      <c r="BR280" s="117"/>
      <c r="BS280" s="150">
        <f>SUM(BS278:BS279)</f>
        <v>284</v>
      </c>
      <c r="BT280" s="691"/>
      <c r="BU280" s="117"/>
      <c r="BV280" s="117"/>
      <c r="BW280" s="117"/>
      <c r="BX280" s="150"/>
      <c r="BY280" s="117"/>
      <c r="BZ280" s="117"/>
      <c r="CA280" s="117"/>
      <c r="CB280" s="117"/>
      <c r="CC280" s="150"/>
      <c r="CD280" s="150"/>
      <c r="CE280" s="150"/>
      <c r="CF280" s="150"/>
      <c r="CG280" s="587"/>
    </row>
    <row r="281" spans="1:85" s="460" customFormat="1" ht="14.4" hidden="1" outlineLevel="1" x14ac:dyDescent="0.3">
      <c r="A281" s="591" t="s">
        <v>1073</v>
      </c>
      <c r="B281" s="586"/>
      <c r="C281" s="150"/>
      <c r="D281" s="150"/>
      <c r="E281" s="150"/>
      <c r="F281" s="150"/>
      <c r="G281" s="117"/>
      <c r="H281" s="117"/>
      <c r="I281" s="117"/>
      <c r="J281" s="117"/>
      <c r="K281" s="150"/>
      <c r="L281" s="117"/>
      <c r="M281" s="117"/>
      <c r="N281" s="117"/>
      <c r="O281" s="117"/>
      <c r="P281" s="150"/>
      <c r="Q281" s="117"/>
      <c r="R281" s="117"/>
      <c r="S281" s="117"/>
      <c r="T281" s="117"/>
      <c r="U281" s="150"/>
      <c r="V281" s="117"/>
      <c r="W281" s="117"/>
      <c r="X281" s="117"/>
      <c r="Y281" s="117"/>
      <c r="Z281" s="150"/>
      <c r="AA281" s="117"/>
      <c r="AB281" s="117"/>
      <c r="AC281" s="117"/>
      <c r="AD281" s="117"/>
      <c r="AE281" s="150"/>
      <c r="AF281" s="117"/>
      <c r="AG281" s="117"/>
      <c r="AH281" s="117"/>
      <c r="AI281" s="117"/>
      <c r="AJ281" s="150"/>
      <c r="AK281" s="117"/>
      <c r="AL281" s="117"/>
      <c r="AM281" s="117"/>
      <c r="AN281" s="117"/>
      <c r="AO281" s="975">
        <v>-343</v>
      </c>
      <c r="AP281" s="117"/>
      <c r="AQ281" s="117"/>
      <c r="AR281" s="117"/>
      <c r="AS281" s="117"/>
      <c r="AT281" s="975">
        <v>-64</v>
      </c>
      <c r="AU281" s="117"/>
      <c r="AV281" s="117"/>
      <c r="AW281" s="117"/>
      <c r="AX281" s="117"/>
      <c r="AY281" s="975">
        <v>-67</v>
      </c>
      <c r="AZ281" s="117"/>
      <c r="BA281" s="117"/>
      <c r="BB281" s="117"/>
      <c r="BC281" s="117"/>
      <c r="BD281" s="975">
        <v>-60</v>
      </c>
      <c r="BE281" s="117"/>
      <c r="BF281" s="117"/>
      <c r="BG281" s="117"/>
      <c r="BH281" s="117"/>
      <c r="BI281" s="975">
        <v>-64</v>
      </c>
      <c r="BJ281" s="117"/>
      <c r="BK281" s="117"/>
      <c r="BL281" s="117"/>
      <c r="BM281" s="117"/>
      <c r="BN281" s="975">
        <v>-74</v>
      </c>
      <c r="BO281" s="117"/>
      <c r="BP281" s="117"/>
      <c r="BQ281" s="117"/>
      <c r="BR281" s="117"/>
      <c r="BS281" s="975">
        <v>-79</v>
      </c>
      <c r="BT281" s="691"/>
      <c r="BU281" s="117"/>
      <c r="BV281" s="117"/>
      <c r="BW281" s="117"/>
      <c r="BX281" s="150"/>
      <c r="BY281" s="117"/>
      <c r="BZ281" s="117"/>
      <c r="CA281" s="117"/>
      <c r="CB281" s="117"/>
      <c r="CC281" s="150"/>
      <c r="CD281" s="150"/>
      <c r="CE281" s="150"/>
      <c r="CF281" s="150"/>
      <c r="CG281" s="587"/>
    </row>
    <row r="282" spans="1:85" s="460" customFormat="1" ht="14.4" hidden="1" outlineLevel="1" x14ac:dyDescent="0.3">
      <c r="A282" s="591" t="s">
        <v>1074</v>
      </c>
      <c r="B282" s="586"/>
      <c r="C282" s="150"/>
      <c r="D282" s="150"/>
      <c r="E282" s="150"/>
      <c r="F282" s="150"/>
      <c r="G282" s="117"/>
      <c r="H282" s="117"/>
      <c r="I282" s="117"/>
      <c r="J282" s="117"/>
      <c r="K282" s="150"/>
      <c r="L282" s="117"/>
      <c r="M282" s="117"/>
      <c r="N282" s="117"/>
      <c r="O282" s="117"/>
      <c r="P282" s="150"/>
      <c r="Q282" s="117"/>
      <c r="R282" s="117"/>
      <c r="S282" s="117"/>
      <c r="T282" s="117"/>
      <c r="U282" s="150"/>
      <c r="V282" s="117"/>
      <c r="W282" s="117"/>
      <c r="X282" s="117"/>
      <c r="Y282" s="117"/>
      <c r="Z282" s="150"/>
      <c r="AA282" s="117"/>
      <c r="AB282" s="117"/>
      <c r="AC282" s="117"/>
      <c r="AD282" s="117"/>
      <c r="AE282" s="150"/>
      <c r="AF282" s="117"/>
      <c r="AG282" s="117"/>
      <c r="AH282" s="117"/>
      <c r="AI282" s="117"/>
      <c r="AJ282" s="150"/>
      <c r="AK282" s="117"/>
      <c r="AL282" s="117"/>
      <c r="AM282" s="117"/>
      <c r="AN282" s="117"/>
      <c r="AO282" s="975">
        <v>-2</v>
      </c>
      <c r="AP282" s="117"/>
      <c r="AQ282" s="117"/>
      <c r="AR282" s="117"/>
      <c r="AS282" s="117"/>
      <c r="AT282" s="975">
        <v>-2</v>
      </c>
      <c r="AU282" s="117"/>
      <c r="AV282" s="117"/>
      <c r="AW282" s="117"/>
      <c r="AX282" s="117"/>
      <c r="AY282" s="975">
        <v>-4</v>
      </c>
      <c r="AZ282" s="117"/>
      <c r="BA282" s="117"/>
      <c r="BB282" s="117"/>
      <c r="BC282" s="117"/>
      <c r="BD282" s="975">
        <v>-4</v>
      </c>
      <c r="BE282" s="117"/>
      <c r="BF282" s="117"/>
      <c r="BG282" s="117"/>
      <c r="BH282" s="117"/>
      <c r="BI282" s="975">
        <v>-4</v>
      </c>
      <c r="BJ282" s="117"/>
      <c r="BK282" s="117"/>
      <c r="BL282" s="117"/>
      <c r="BM282" s="117"/>
      <c r="BN282" s="975">
        <v>-3</v>
      </c>
      <c r="BO282" s="117"/>
      <c r="BP282" s="117"/>
      <c r="BQ282" s="117"/>
      <c r="BR282" s="117"/>
      <c r="BS282" s="975">
        <v>-3</v>
      </c>
      <c r="BT282" s="691"/>
      <c r="BU282" s="117"/>
      <c r="BV282" s="117"/>
      <c r="BW282" s="117"/>
      <c r="BX282" s="150"/>
      <c r="BY282" s="117"/>
      <c r="BZ282" s="117"/>
      <c r="CA282" s="117"/>
      <c r="CB282" s="117"/>
      <c r="CC282" s="150"/>
      <c r="CD282" s="150"/>
      <c r="CE282" s="150"/>
      <c r="CF282" s="150"/>
      <c r="CG282" s="587"/>
    </row>
    <row r="283" spans="1:85" s="460" customFormat="1" ht="14.4" hidden="1" outlineLevel="1" x14ac:dyDescent="0.3">
      <c r="A283" s="591" t="s">
        <v>1075</v>
      </c>
      <c r="B283" s="586"/>
      <c r="C283" s="150"/>
      <c r="D283" s="150"/>
      <c r="E283" s="150"/>
      <c r="F283" s="150"/>
      <c r="G283" s="117"/>
      <c r="H283" s="117"/>
      <c r="I283" s="117"/>
      <c r="J283" s="117"/>
      <c r="K283" s="150"/>
      <c r="L283" s="117"/>
      <c r="M283" s="117"/>
      <c r="N283" s="117"/>
      <c r="O283" s="117"/>
      <c r="P283" s="150"/>
      <c r="Q283" s="117"/>
      <c r="R283" s="117"/>
      <c r="S283" s="117"/>
      <c r="T283" s="117"/>
      <c r="U283" s="150"/>
      <c r="V283" s="117"/>
      <c r="W283" s="117"/>
      <c r="X283" s="117"/>
      <c r="Y283" s="117"/>
      <c r="Z283" s="150"/>
      <c r="AA283" s="117"/>
      <c r="AB283" s="117"/>
      <c r="AC283" s="117"/>
      <c r="AD283" s="117"/>
      <c r="AE283" s="150"/>
      <c r="AF283" s="117"/>
      <c r="AG283" s="117"/>
      <c r="AH283" s="117"/>
      <c r="AI283" s="117"/>
      <c r="AJ283" s="150"/>
      <c r="AK283" s="117"/>
      <c r="AL283" s="117"/>
      <c r="AM283" s="117"/>
      <c r="AN283" s="117"/>
      <c r="AO283" s="975">
        <v>-85</v>
      </c>
      <c r="AP283" s="117"/>
      <c r="AQ283" s="117"/>
      <c r="AR283" s="117"/>
      <c r="AS283" s="117"/>
      <c r="AT283" s="975">
        <v>-92</v>
      </c>
      <c r="AU283" s="117"/>
      <c r="AV283" s="117"/>
      <c r="AW283" s="117"/>
      <c r="AX283" s="117"/>
      <c r="AY283" s="975">
        <v>-105</v>
      </c>
      <c r="AZ283" s="117"/>
      <c r="BA283" s="117"/>
      <c r="BB283" s="117"/>
      <c r="BC283" s="117"/>
      <c r="BD283" s="975">
        <v>-117</v>
      </c>
      <c r="BE283" s="117"/>
      <c r="BF283" s="117"/>
      <c r="BG283" s="117"/>
      <c r="BH283" s="117"/>
      <c r="BI283" s="975">
        <v>-115</v>
      </c>
      <c r="BJ283" s="117"/>
      <c r="BK283" s="117"/>
      <c r="BL283" s="117"/>
      <c r="BM283" s="117"/>
      <c r="BN283" s="975">
        <v>-103</v>
      </c>
      <c r="BO283" s="117"/>
      <c r="BP283" s="117"/>
      <c r="BQ283" s="117"/>
      <c r="BR283" s="117"/>
      <c r="BS283" s="975">
        <v>-145</v>
      </c>
      <c r="BT283" s="691"/>
      <c r="BU283" s="117"/>
      <c r="BV283" s="117"/>
      <c r="BW283" s="117"/>
      <c r="BX283" s="150"/>
      <c r="BY283" s="117"/>
      <c r="BZ283" s="117"/>
      <c r="CA283" s="117"/>
      <c r="CB283" s="117"/>
      <c r="CC283" s="150"/>
      <c r="CD283" s="150"/>
      <c r="CE283" s="150"/>
      <c r="CF283" s="150"/>
      <c r="CG283" s="587"/>
    </row>
    <row r="284" spans="1:85" s="460" customFormat="1" ht="14.4" hidden="1" outlineLevel="1" x14ac:dyDescent="0.3">
      <c r="A284" s="591" t="s">
        <v>1076</v>
      </c>
      <c r="B284" s="586"/>
      <c r="C284" s="150"/>
      <c r="D284" s="150"/>
      <c r="E284" s="150"/>
      <c r="F284" s="150"/>
      <c r="G284" s="117"/>
      <c r="H284" s="117"/>
      <c r="I284" s="117"/>
      <c r="J284" s="117"/>
      <c r="K284" s="150"/>
      <c r="L284" s="117"/>
      <c r="M284" s="117"/>
      <c r="N284" s="117"/>
      <c r="O284" s="117"/>
      <c r="P284" s="150"/>
      <c r="Q284" s="117"/>
      <c r="R284" s="117"/>
      <c r="S284" s="117"/>
      <c r="T284" s="117"/>
      <c r="U284" s="150"/>
      <c r="V284" s="117"/>
      <c r="W284" s="117"/>
      <c r="X284" s="117"/>
      <c r="Y284" s="117"/>
      <c r="Z284" s="150"/>
      <c r="AA284" s="117"/>
      <c r="AB284" s="117"/>
      <c r="AC284" s="117"/>
      <c r="AD284" s="117"/>
      <c r="AE284" s="150"/>
      <c r="AF284" s="117"/>
      <c r="AG284" s="117"/>
      <c r="AH284" s="117"/>
      <c r="AI284" s="117"/>
      <c r="AJ284" s="150"/>
      <c r="AK284" s="117"/>
      <c r="AL284" s="117"/>
      <c r="AM284" s="117"/>
      <c r="AN284" s="117"/>
      <c r="AO284" s="975">
        <v>-37</v>
      </c>
      <c r="AP284" s="117"/>
      <c r="AQ284" s="117"/>
      <c r="AR284" s="117"/>
      <c r="AS284" s="117"/>
      <c r="AT284" s="975">
        <v>-10</v>
      </c>
      <c r="AU284" s="117"/>
      <c r="AV284" s="117"/>
      <c r="AW284" s="117"/>
      <c r="AX284" s="117"/>
      <c r="AY284" s="975">
        <v>-13</v>
      </c>
      <c r="AZ284" s="117"/>
      <c r="BA284" s="117"/>
      <c r="BB284" s="117"/>
      <c r="BC284" s="117"/>
      <c r="BD284" s="975">
        <v>-11</v>
      </c>
      <c r="BE284" s="117"/>
      <c r="BF284" s="117"/>
      <c r="BG284" s="117"/>
      <c r="BH284" s="117"/>
      <c r="BI284" s="975">
        <v>-8</v>
      </c>
      <c r="BJ284" s="117"/>
      <c r="BK284" s="117"/>
      <c r="BL284" s="117"/>
      <c r="BM284" s="117"/>
      <c r="BN284" s="975">
        <v>-8</v>
      </c>
      <c r="BO284" s="117"/>
      <c r="BP284" s="117"/>
      <c r="BQ284" s="117"/>
      <c r="BR284" s="117"/>
      <c r="BS284" s="975">
        <v>-7</v>
      </c>
      <c r="BT284" s="691"/>
      <c r="BU284" s="117"/>
      <c r="BV284" s="117"/>
      <c r="BW284" s="117"/>
      <c r="BX284" s="150"/>
      <c r="BY284" s="117"/>
      <c r="BZ284" s="117"/>
      <c r="CA284" s="117"/>
      <c r="CB284" s="117"/>
      <c r="CC284" s="150"/>
      <c r="CD284" s="150"/>
      <c r="CE284" s="150"/>
      <c r="CF284" s="150"/>
      <c r="CG284" s="587"/>
    </row>
    <row r="285" spans="1:85" s="460" customFormat="1" ht="14.4" hidden="1" outlineLevel="1" x14ac:dyDescent="0.3">
      <c r="A285" s="591" t="s">
        <v>1077</v>
      </c>
      <c r="B285" s="586"/>
      <c r="C285" s="150"/>
      <c r="D285" s="150"/>
      <c r="E285" s="150"/>
      <c r="F285" s="150"/>
      <c r="G285" s="117"/>
      <c r="H285" s="117"/>
      <c r="I285" s="117"/>
      <c r="J285" s="117"/>
      <c r="K285" s="150"/>
      <c r="L285" s="117"/>
      <c r="M285" s="117"/>
      <c r="N285" s="117"/>
      <c r="O285" s="117"/>
      <c r="P285" s="150"/>
      <c r="Q285" s="117"/>
      <c r="R285" s="117"/>
      <c r="S285" s="117"/>
      <c r="T285" s="117"/>
      <c r="U285" s="150"/>
      <c r="V285" s="117"/>
      <c r="W285" s="117"/>
      <c r="X285" s="117"/>
      <c r="Y285" s="117"/>
      <c r="Z285" s="150"/>
      <c r="AA285" s="117"/>
      <c r="AB285" s="117"/>
      <c r="AC285" s="117"/>
      <c r="AD285" s="117"/>
      <c r="AE285" s="150"/>
      <c r="AF285" s="117"/>
      <c r="AG285" s="117"/>
      <c r="AH285" s="117"/>
      <c r="AI285" s="117"/>
      <c r="AJ285" s="150"/>
      <c r="AK285" s="117"/>
      <c r="AL285" s="117"/>
      <c r="AM285" s="117"/>
      <c r="AN285" s="117"/>
      <c r="AO285" s="975">
        <v>-10</v>
      </c>
      <c r="AP285" s="117"/>
      <c r="AQ285" s="117"/>
      <c r="AR285" s="117"/>
      <c r="AS285" s="117"/>
      <c r="AT285" s="975">
        <v>-15</v>
      </c>
      <c r="AU285" s="117"/>
      <c r="AV285" s="117"/>
      <c r="AW285" s="117"/>
      <c r="AX285" s="117"/>
      <c r="AY285" s="975">
        <v>-35</v>
      </c>
      <c r="AZ285" s="117"/>
      <c r="BA285" s="117"/>
      <c r="BB285" s="117"/>
      <c r="BC285" s="117"/>
      <c r="BD285" s="975">
        <v>-2</v>
      </c>
      <c r="BE285" s="117"/>
      <c r="BF285" s="117"/>
      <c r="BG285" s="117"/>
      <c r="BH285" s="117"/>
      <c r="BI285" s="975">
        <v>-5</v>
      </c>
      <c r="BJ285" s="117"/>
      <c r="BK285" s="117"/>
      <c r="BL285" s="117"/>
      <c r="BM285" s="117"/>
      <c r="BN285" s="975">
        <v>-1</v>
      </c>
      <c r="BO285" s="117"/>
      <c r="BP285" s="117"/>
      <c r="BQ285" s="117"/>
      <c r="BR285" s="117"/>
      <c r="BS285" s="975">
        <v>-3</v>
      </c>
      <c r="BT285" s="691"/>
      <c r="BU285" s="117"/>
      <c r="BV285" s="117"/>
      <c r="BW285" s="117"/>
      <c r="BX285" s="150"/>
      <c r="BY285" s="117"/>
      <c r="BZ285" s="117"/>
      <c r="CA285" s="117"/>
      <c r="CB285" s="117"/>
      <c r="CC285" s="150"/>
      <c r="CD285" s="150"/>
      <c r="CE285" s="150"/>
      <c r="CF285" s="150"/>
      <c r="CG285" s="587"/>
    </row>
    <row r="286" spans="1:85" s="460" customFormat="1" ht="14.4" hidden="1" outlineLevel="1" x14ac:dyDescent="0.3">
      <c r="A286" s="591" t="s">
        <v>970</v>
      </c>
      <c r="B286" s="586"/>
      <c r="C286" s="150"/>
      <c r="D286" s="150"/>
      <c r="E286" s="150"/>
      <c r="F286" s="150"/>
      <c r="G286" s="117"/>
      <c r="H286" s="117"/>
      <c r="I286" s="117"/>
      <c r="J286" s="117"/>
      <c r="K286" s="150"/>
      <c r="L286" s="117"/>
      <c r="M286" s="117"/>
      <c r="N286" s="117"/>
      <c r="O286" s="117"/>
      <c r="P286" s="150"/>
      <c r="Q286" s="117"/>
      <c r="R286" s="117"/>
      <c r="S286" s="117"/>
      <c r="T286" s="117"/>
      <c r="U286" s="150"/>
      <c r="V286" s="117"/>
      <c r="W286" s="117"/>
      <c r="X286" s="117"/>
      <c r="Y286" s="117"/>
      <c r="Z286" s="150"/>
      <c r="AA286" s="117"/>
      <c r="AB286" s="117"/>
      <c r="AC286" s="117"/>
      <c r="AD286" s="117"/>
      <c r="AE286" s="150"/>
      <c r="AF286" s="117"/>
      <c r="AG286" s="117"/>
      <c r="AH286" s="117"/>
      <c r="AI286" s="117"/>
      <c r="AJ286" s="150"/>
      <c r="AK286" s="117"/>
      <c r="AL286" s="117"/>
      <c r="AM286" s="117"/>
      <c r="AN286" s="117"/>
      <c r="AO286" s="975">
        <v>0</v>
      </c>
      <c r="AP286" s="117"/>
      <c r="AQ286" s="117"/>
      <c r="AR286" s="117"/>
      <c r="AS286" s="117"/>
      <c r="AT286" s="975">
        <v>0</v>
      </c>
      <c r="AU286" s="117"/>
      <c r="AV286" s="117"/>
      <c r="AW286" s="117"/>
      <c r="AX286" s="117"/>
      <c r="AY286" s="975">
        <v>0</v>
      </c>
      <c r="AZ286" s="117"/>
      <c r="BA286" s="117"/>
      <c r="BB286" s="117"/>
      <c r="BC286" s="117"/>
      <c r="BD286" s="975">
        <v>0</v>
      </c>
      <c r="BE286" s="117"/>
      <c r="BF286" s="117"/>
      <c r="BG286" s="117"/>
      <c r="BH286" s="117"/>
      <c r="BI286" s="975">
        <v>0</v>
      </c>
      <c r="BJ286" s="117"/>
      <c r="BK286" s="117"/>
      <c r="BL286" s="117"/>
      <c r="BM286" s="117"/>
      <c r="BN286" s="975">
        <v>0</v>
      </c>
      <c r="BO286" s="117"/>
      <c r="BP286" s="117"/>
      <c r="BQ286" s="117"/>
      <c r="BR286" s="117"/>
      <c r="BS286" s="975">
        <v>0</v>
      </c>
      <c r="BT286" s="691"/>
      <c r="BU286" s="117"/>
      <c r="BV286" s="117"/>
      <c r="BW286" s="117"/>
      <c r="BX286" s="150"/>
      <c r="BY286" s="117"/>
      <c r="BZ286" s="117"/>
      <c r="CA286" s="117"/>
      <c r="CB286" s="117"/>
      <c r="CC286" s="150"/>
      <c r="CD286" s="150"/>
      <c r="CE286" s="150"/>
      <c r="CF286" s="150"/>
      <c r="CG286" s="587"/>
    </row>
    <row r="287" spans="1:85" s="460" customFormat="1" ht="14.4" hidden="1" outlineLevel="1" x14ac:dyDescent="0.3">
      <c r="A287" s="592" t="s">
        <v>1078</v>
      </c>
      <c r="B287" s="588"/>
      <c r="C287" s="954"/>
      <c r="D287" s="954"/>
      <c r="E287" s="954"/>
      <c r="F287" s="954"/>
      <c r="G287" s="133"/>
      <c r="H287" s="133"/>
      <c r="I287" s="133"/>
      <c r="J287" s="133"/>
      <c r="K287" s="954"/>
      <c r="L287" s="133"/>
      <c r="M287" s="133"/>
      <c r="N287" s="133"/>
      <c r="O287" s="133"/>
      <c r="P287" s="954"/>
      <c r="Q287" s="133"/>
      <c r="R287" s="133"/>
      <c r="S287" s="133"/>
      <c r="T287" s="133"/>
      <c r="U287" s="954"/>
      <c r="V287" s="133"/>
      <c r="W287" s="133"/>
      <c r="X287" s="133"/>
      <c r="Y287" s="133"/>
      <c r="Z287" s="954"/>
      <c r="AA287" s="133"/>
      <c r="AB287" s="133"/>
      <c r="AC287" s="133"/>
      <c r="AD287" s="133"/>
      <c r="AE287" s="954"/>
      <c r="AF287" s="133"/>
      <c r="AG287" s="133"/>
      <c r="AH287" s="133"/>
      <c r="AI287" s="133"/>
      <c r="AJ287" s="954"/>
      <c r="AK287" s="133"/>
      <c r="AL287" s="133"/>
      <c r="AM287" s="133"/>
      <c r="AN287" s="133"/>
      <c r="AO287" s="976">
        <v>1373</v>
      </c>
      <c r="AP287" s="133"/>
      <c r="AQ287" s="133"/>
      <c r="AR287" s="133"/>
      <c r="AS287" s="133"/>
      <c r="AT287" s="976">
        <v>-9</v>
      </c>
      <c r="AU287" s="133"/>
      <c r="AV287" s="133"/>
      <c r="AW287" s="133"/>
      <c r="AX287" s="133"/>
      <c r="AY287" s="976">
        <v>2</v>
      </c>
      <c r="AZ287" s="133"/>
      <c r="BA287" s="133"/>
      <c r="BB287" s="133"/>
      <c r="BC287" s="133"/>
      <c r="BD287" s="976">
        <v>105</v>
      </c>
      <c r="BE287" s="133"/>
      <c r="BF287" s="133"/>
      <c r="BG287" s="133"/>
      <c r="BH287" s="133"/>
      <c r="BI287" s="976">
        <v>4</v>
      </c>
      <c r="BJ287" s="133"/>
      <c r="BK287" s="133"/>
      <c r="BL287" s="133"/>
      <c r="BM287" s="133"/>
      <c r="BN287" s="976">
        <v>-4</v>
      </c>
      <c r="BO287" s="133"/>
      <c r="BP287" s="133"/>
      <c r="BQ287" s="133"/>
      <c r="BR287" s="133"/>
      <c r="BS287" s="976">
        <v>-82</v>
      </c>
      <c r="BT287" s="692"/>
      <c r="BU287" s="133"/>
      <c r="BV287" s="133"/>
      <c r="BW287" s="133"/>
      <c r="BX287" s="954"/>
      <c r="BY287" s="133"/>
      <c r="BZ287" s="133"/>
      <c r="CA287" s="133"/>
      <c r="CB287" s="133"/>
      <c r="CC287" s="954"/>
      <c r="CD287" s="954"/>
      <c r="CE287" s="954"/>
      <c r="CF287" s="954"/>
      <c r="CG287" s="587"/>
    </row>
    <row r="288" spans="1:85" s="460" customFormat="1" ht="14.4" hidden="1" outlineLevel="1" x14ac:dyDescent="0.3">
      <c r="A288" s="159" t="s">
        <v>1079</v>
      </c>
      <c r="B288" s="586"/>
      <c r="C288" s="150"/>
      <c r="D288" s="150"/>
      <c r="E288" s="150"/>
      <c r="F288" s="150"/>
      <c r="G288" s="117"/>
      <c r="H288" s="117"/>
      <c r="I288" s="117"/>
      <c r="J288" s="117"/>
      <c r="K288" s="150"/>
      <c r="L288" s="117"/>
      <c r="M288" s="117"/>
      <c r="N288" s="117"/>
      <c r="O288" s="117"/>
      <c r="P288" s="150"/>
      <c r="Q288" s="117"/>
      <c r="R288" s="117"/>
      <c r="S288" s="117"/>
      <c r="T288" s="117"/>
      <c r="U288" s="150"/>
      <c r="V288" s="117"/>
      <c r="W288" s="117"/>
      <c r="X288" s="117"/>
      <c r="Y288" s="117"/>
      <c r="Z288" s="150"/>
      <c r="AA288" s="117"/>
      <c r="AB288" s="117"/>
      <c r="AC288" s="117"/>
      <c r="AD288" s="117"/>
      <c r="AE288" s="150"/>
      <c r="AF288" s="117"/>
      <c r="AG288" s="117"/>
      <c r="AH288" s="117"/>
      <c r="AI288" s="117"/>
      <c r="AJ288" s="150"/>
      <c r="AK288" s="117"/>
      <c r="AL288" s="117"/>
      <c r="AM288" s="117"/>
      <c r="AN288" s="117"/>
      <c r="AO288" s="150">
        <f>SUM(AO280:AO287)</f>
        <v>2143</v>
      </c>
      <c r="AP288" s="117"/>
      <c r="AQ288" s="117"/>
      <c r="AR288" s="117"/>
      <c r="AS288" s="117"/>
      <c r="AT288" s="150">
        <f>SUM(AT280:AT287)</f>
        <v>-43</v>
      </c>
      <c r="AU288" s="117"/>
      <c r="AV288" s="117"/>
      <c r="AW288" s="117"/>
      <c r="AX288" s="117"/>
      <c r="AY288" s="150">
        <f>SUM(AY280:AY287)</f>
        <v>149</v>
      </c>
      <c r="AZ288" s="117"/>
      <c r="BA288" s="117"/>
      <c r="BB288" s="117"/>
      <c r="BC288" s="117"/>
      <c r="BD288" s="150">
        <f>SUM(BD280:BD287)</f>
        <v>475</v>
      </c>
      <c r="BE288" s="117"/>
      <c r="BF288" s="117"/>
      <c r="BG288" s="117"/>
      <c r="BH288" s="117"/>
      <c r="BI288" s="150">
        <f>SUM(BI280:BI287)</f>
        <v>176</v>
      </c>
      <c r="BJ288" s="117"/>
      <c r="BK288" s="117"/>
      <c r="BL288" s="117"/>
      <c r="BM288" s="117"/>
      <c r="BN288" s="150">
        <f>SUM(BN280:BN287)</f>
        <v>126</v>
      </c>
      <c r="BO288" s="117"/>
      <c r="BP288" s="117"/>
      <c r="BQ288" s="117"/>
      <c r="BR288" s="117"/>
      <c r="BS288" s="150">
        <f>SUM(BS280:BS287)</f>
        <v>-35</v>
      </c>
      <c r="BT288" s="691"/>
      <c r="BU288" s="117"/>
      <c r="BV288" s="117"/>
      <c r="BW288" s="117"/>
      <c r="BX288" s="150"/>
      <c r="BY288" s="117"/>
      <c r="BZ288" s="117"/>
      <c r="CA288" s="117"/>
      <c r="CB288" s="117"/>
      <c r="CC288" s="150"/>
      <c r="CD288" s="150"/>
      <c r="CE288" s="150"/>
      <c r="CF288" s="150"/>
      <c r="CG288" s="587"/>
    </row>
    <row r="289" spans="1:85" s="460" customFormat="1" ht="14.4" hidden="1" outlineLevel="1" x14ac:dyDescent="0.3">
      <c r="A289" s="262" t="s">
        <v>1080</v>
      </c>
      <c r="B289" s="588"/>
      <c r="C289" s="954"/>
      <c r="D289" s="954"/>
      <c r="E289" s="954"/>
      <c r="F289" s="954"/>
      <c r="G289" s="133"/>
      <c r="H289" s="133"/>
      <c r="I289" s="133"/>
      <c r="J289" s="133"/>
      <c r="K289" s="954"/>
      <c r="L289" s="133"/>
      <c r="M289" s="133"/>
      <c r="N289" s="133"/>
      <c r="O289" s="133"/>
      <c r="P289" s="954"/>
      <c r="Q289" s="133"/>
      <c r="R289" s="133"/>
      <c r="S289" s="133"/>
      <c r="T289" s="133"/>
      <c r="U289" s="954"/>
      <c r="V289" s="133"/>
      <c r="W289" s="133"/>
      <c r="X289" s="133"/>
      <c r="Y289" s="133"/>
      <c r="Z289" s="954"/>
      <c r="AA289" s="133"/>
      <c r="AB289" s="133"/>
      <c r="AC289" s="133"/>
      <c r="AD289" s="133"/>
      <c r="AE289" s="954"/>
      <c r="AF289" s="133"/>
      <c r="AG289" s="133"/>
      <c r="AH289" s="133"/>
      <c r="AI289" s="133"/>
      <c r="AJ289" s="954"/>
      <c r="AK289" s="133"/>
      <c r="AL289" s="133"/>
      <c r="AM289" s="133"/>
      <c r="AN289" s="133"/>
      <c r="AO289" s="976">
        <v>-311</v>
      </c>
      <c r="AP289" s="133"/>
      <c r="AQ289" s="133"/>
      <c r="AR289" s="133"/>
      <c r="AS289" s="133"/>
      <c r="AT289" s="976">
        <v>12</v>
      </c>
      <c r="AU289" s="133"/>
      <c r="AV289" s="133"/>
      <c r="AW289" s="133"/>
      <c r="AX289" s="133"/>
      <c r="AY289" s="976">
        <v>-38</v>
      </c>
      <c r="AZ289" s="133"/>
      <c r="BA289" s="133"/>
      <c r="BB289" s="133"/>
      <c r="BC289" s="133"/>
      <c r="BD289" s="976">
        <v>-193</v>
      </c>
      <c r="BE289" s="133"/>
      <c r="BF289" s="133"/>
      <c r="BG289" s="133"/>
      <c r="BH289" s="133"/>
      <c r="BI289" s="976">
        <v>-196</v>
      </c>
      <c r="BJ289" s="133"/>
      <c r="BK289" s="133"/>
      <c r="BL289" s="133"/>
      <c r="BM289" s="133"/>
      <c r="BN289" s="976">
        <v>-95</v>
      </c>
      <c r="BO289" s="133"/>
      <c r="BP289" s="133"/>
      <c r="BQ289" s="133"/>
      <c r="BR289" s="133"/>
      <c r="BS289" s="976">
        <v>-52</v>
      </c>
      <c r="BT289" s="692"/>
      <c r="BU289" s="133"/>
      <c r="BV289" s="133"/>
      <c r="BW289" s="133"/>
      <c r="BX289" s="954"/>
      <c r="BY289" s="133"/>
      <c r="BZ289" s="133"/>
      <c r="CA289" s="133"/>
      <c r="CB289" s="133"/>
      <c r="CC289" s="954"/>
      <c r="CD289" s="954"/>
      <c r="CE289" s="954"/>
      <c r="CF289" s="954"/>
      <c r="CG289" s="587"/>
    </row>
    <row r="290" spans="1:85" s="461" customFormat="1" ht="14.4" hidden="1" outlineLevel="1" x14ac:dyDescent="0.3">
      <c r="A290" s="166" t="s">
        <v>1081</v>
      </c>
      <c r="B290" s="583"/>
      <c r="C290" s="957"/>
      <c r="D290" s="957"/>
      <c r="E290" s="957"/>
      <c r="F290" s="957"/>
      <c r="G290" s="120"/>
      <c r="H290" s="120"/>
      <c r="I290" s="120"/>
      <c r="J290" s="120"/>
      <c r="K290" s="957"/>
      <c r="L290" s="120"/>
      <c r="M290" s="120"/>
      <c r="N290" s="120"/>
      <c r="O290" s="120"/>
      <c r="P290" s="957"/>
      <c r="Q290" s="120"/>
      <c r="R290" s="120"/>
      <c r="S290" s="120"/>
      <c r="T290" s="120"/>
      <c r="U290" s="957"/>
      <c r="V290" s="120"/>
      <c r="W290" s="120"/>
      <c r="X290" s="120"/>
      <c r="Y290" s="120"/>
      <c r="Z290" s="957"/>
      <c r="AA290" s="120"/>
      <c r="AB290" s="120"/>
      <c r="AC290" s="120"/>
      <c r="AD290" s="120"/>
      <c r="AE290" s="957"/>
      <c r="AF290" s="120"/>
      <c r="AG290" s="120"/>
      <c r="AH290" s="120"/>
      <c r="AI290" s="120"/>
      <c r="AJ290" s="957"/>
      <c r="AK290" s="120"/>
      <c r="AL290" s="120"/>
      <c r="AM290" s="120"/>
      <c r="AN290" s="120"/>
      <c r="AO290" s="957">
        <f>SUM(AO288:AO289)</f>
        <v>1832</v>
      </c>
      <c r="AP290" s="120"/>
      <c r="AQ290" s="120"/>
      <c r="AR290" s="120"/>
      <c r="AS290" s="120"/>
      <c r="AT290" s="957">
        <f>SUM(AT288:AT289)</f>
        <v>-31</v>
      </c>
      <c r="AU290" s="120"/>
      <c r="AV290" s="120"/>
      <c r="AW290" s="120"/>
      <c r="AX290" s="120"/>
      <c r="AY290" s="957">
        <f>SUM(AY288:AY289)</f>
        <v>111</v>
      </c>
      <c r="AZ290" s="120"/>
      <c r="BA290" s="120"/>
      <c r="BB290" s="120"/>
      <c r="BC290" s="120"/>
      <c r="BD290" s="957">
        <f>SUM(BD288:BD289)</f>
        <v>282</v>
      </c>
      <c r="BE290" s="120"/>
      <c r="BF290" s="120"/>
      <c r="BG290" s="120"/>
      <c r="BH290" s="120"/>
      <c r="BI290" s="957">
        <f>SUM(BI288:BI289)</f>
        <v>-20</v>
      </c>
      <c r="BJ290" s="120"/>
      <c r="BK290" s="120"/>
      <c r="BL290" s="120"/>
      <c r="BM290" s="120"/>
      <c r="BN290" s="957">
        <f>SUM(BN288:BN289)</f>
        <v>31</v>
      </c>
      <c r="BO290" s="120"/>
      <c r="BP290" s="120"/>
      <c r="BQ290" s="120"/>
      <c r="BR290" s="120"/>
      <c r="BS290" s="957">
        <f>SUM(BS288:BS289)</f>
        <v>-87</v>
      </c>
      <c r="BT290" s="694"/>
      <c r="BU290" s="120"/>
      <c r="BV290" s="120"/>
      <c r="BW290" s="120"/>
      <c r="BX290" s="957"/>
      <c r="BY290" s="120"/>
      <c r="BZ290" s="120"/>
      <c r="CA290" s="120"/>
      <c r="CB290" s="120"/>
      <c r="CC290" s="957"/>
      <c r="CD290" s="957"/>
      <c r="CE290" s="957"/>
      <c r="CF290" s="957"/>
      <c r="CG290" s="615"/>
    </row>
    <row r="291" spans="1:85" s="460" customFormat="1" ht="14.4" hidden="1" outlineLevel="1" x14ac:dyDescent="0.3">
      <c r="A291" s="591" t="s">
        <v>1082</v>
      </c>
      <c r="B291" s="586"/>
      <c r="C291" s="150"/>
      <c r="D291" s="150"/>
      <c r="E291" s="150"/>
      <c r="F291" s="150"/>
      <c r="G291" s="117"/>
      <c r="H291" s="117"/>
      <c r="I291" s="117"/>
      <c r="J291" s="117"/>
      <c r="K291" s="150"/>
      <c r="L291" s="117"/>
      <c r="M291" s="117"/>
      <c r="N291" s="117"/>
      <c r="O291" s="117"/>
      <c r="P291" s="150"/>
      <c r="Q291" s="117"/>
      <c r="R291" s="117"/>
      <c r="S291" s="117"/>
      <c r="T291" s="117"/>
      <c r="U291" s="150"/>
      <c r="V291" s="117"/>
      <c r="W291" s="117"/>
      <c r="X291" s="117"/>
      <c r="Y291" s="117"/>
      <c r="Z291" s="150"/>
      <c r="AA291" s="117"/>
      <c r="AB291" s="117"/>
      <c r="AC291" s="117"/>
      <c r="AD291" s="117"/>
      <c r="AE291" s="150"/>
      <c r="AF291" s="117"/>
      <c r="AG291" s="117"/>
      <c r="AH291" s="117"/>
      <c r="AI291" s="117"/>
      <c r="AJ291" s="150"/>
      <c r="AK291" s="117"/>
      <c r="AL291" s="117"/>
      <c r="AM291" s="117"/>
      <c r="AN291" s="117"/>
      <c r="AO291" s="150">
        <f>AO213+AO226+AO239+AO252+AO265+AO278</f>
        <v>16124</v>
      </c>
      <c r="AP291" s="117"/>
      <c r="AQ291" s="117"/>
      <c r="AR291" s="117"/>
      <c r="AS291" s="117"/>
      <c r="AT291" s="150">
        <f>AT213+AT226+AT239+AT252+AT265+AT278</f>
        <v>11431</v>
      </c>
      <c r="AU291" s="117"/>
      <c r="AV291" s="117"/>
      <c r="AW291" s="117"/>
      <c r="AX291" s="117"/>
      <c r="AY291" s="150">
        <f>AY213+AY226+AY239+AY252+AY265+AY278</f>
        <v>18102</v>
      </c>
      <c r="AZ291" s="117"/>
      <c r="BA291" s="117"/>
      <c r="BB291" s="117"/>
      <c r="BC291" s="117"/>
      <c r="BD291" s="150">
        <f>BD213+BD226+BD239+BD252+BD265+BD278</f>
        <v>24849</v>
      </c>
      <c r="BE291" s="117"/>
      <c r="BF291" s="117"/>
      <c r="BG291" s="117"/>
      <c r="BH291" s="117"/>
      <c r="BI291" s="150">
        <f>BI213+BI226+BI239+BI252+BI265+BI278</f>
        <v>18354</v>
      </c>
      <c r="BJ291" s="117"/>
      <c r="BK291" s="117"/>
      <c r="BL291" s="117"/>
      <c r="BM291" s="117"/>
      <c r="BN291" s="150">
        <f>BN213+BN226+BN239+BN252+BN265+BN278</f>
        <v>17629</v>
      </c>
      <c r="BO291" s="117"/>
      <c r="BP291" s="117"/>
      <c r="BQ291" s="117"/>
      <c r="BR291" s="117"/>
      <c r="BS291" s="150">
        <f>BS213+BS226+BS239+BS252+BS265+BS278</f>
        <v>21526</v>
      </c>
      <c r="BT291" s="691"/>
      <c r="BU291" s="117"/>
      <c r="BV291" s="117"/>
      <c r="BW291" s="117"/>
      <c r="BX291" s="150"/>
      <c r="BY291" s="117"/>
      <c r="BZ291" s="117"/>
      <c r="CA291" s="117"/>
      <c r="CB291" s="117"/>
      <c r="CC291" s="150"/>
      <c r="CD291" s="150"/>
      <c r="CE291" s="150"/>
      <c r="CF291" s="150"/>
      <c r="CG291" s="587"/>
    </row>
    <row r="292" spans="1:85" s="460" customFormat="1" ht="14.4" hidden="1" outlineLevel="1" x14ac:dyDescent="0.3">
      <c r="A292" s="592" t="s">
        <v>1083</v>
      </c>
      <c r="B292" s="588"/>
      <c r="C292" s="954"/>
      <c r="D292" s="954"/>
      <c r="E292" s="954"/>
      <c r="F292" s="954"/>
      <c r="G292" s="133"/>
      <c r="H292" s="133"/>
      <c r="I292" s="133"/>
      <c r="J292" s="133"/>
      <c r="K292" s="954"/>
      <c r="L292" s="133"/>
      <c r="M292" s="133"/>
      <c r="N292" s="133"/>
      <c r="O292" s="133"/>
      <c r="P292" s="954"/>
      <c r="Q292" s="133"/>
      <c r="R292" s="133"/>
      <c r="S292" s="133"/>
      <c r="T292" s="133"/>
      <c r="U292" s="954"/>
      <c r="V292" s="133"/>
      <c r="W292" s="133"/>
      <c r="X292" s="133"/>
      <c r="Y292" s="133"/>
      <c r="Z292" s="954"/>
      <c r="AA292" s="133"/>
      <c r="AB292" s="133"/>
      <c r="AC292" s="133"/>
      <c r="AD292" s="133"/>
      <c r="AE292" s="954"/>
      <c r="AF292" s="133"/>
      <c r="AG292" s="133"/>
      <c r="AH292" s="133"/>
      <c r="AI292" s="133"/>
      <c r="AJ292" s="954"/>
      <c r="AK292" s="133"/>
      <c r="AL292" s="133"/>
      <c r="AM292" s="133"/>
      <c r="AN292" s="133"/>
      <c r="AO292" s="954">
        <f>AO214+AO227+AO240+AO253+AO266+AO279</f>
        <v>24299</v>
      </c>
      <c r="AP292" s="133"/>
      <c r="AQ292" s="133"/>
      <c r="AR292" s="133"/>
      <c r="AS292" s="133"/>
      <c r="AT292" s="954">
        <f>AT214+AT227+AT240+AT253+AT266+AT279</f>
        <v>15694</v>
      </c>
      <c r="AU292" s="133"/>
      <c r="AV292" s="133"/>
      <c r="AW292" s="133"/>
      <c r="AX292" s="133"/>
      <c r="AY292" s="954">
        <f>AY214+AY227+AY240+AY253+AY266+AY279</f>
        <v>27791</v>
      </c>
      <c r="AZ292" s="133"/>
      <c r="BA292" s="133"/>
      <c r="BB292" s="133"/>
      <c r="BC292" s="133"/>
      <c r="BD292" s="954">
        <f>BD214+BD227+BD240+BD253+BD266+BD279</f>
        <v>39136</v>
      </c>
      <c r="BE292" s="133"/>
      <c r="BF292" s="133"/>
      <c r="BG292" s="133"/>
      <c r="BH292" s="133"/>
      <c r="BI292" s="954">
        <f>BI214+BI227+BI240+BI253+BI266+BI279</f>
        <v>32074</v>
      </c>
      <c r="BJ292" s="133"/>
      <c r="BK292" s="133"/>
      <c r="BL292" s="133"/>
      <c r="BM292" s="133"/>
      <c r="BN292" s="954">
        <f>BN214+BN227+BN240+BN253+BN266+BN279</f>
        <v>32718</v>
      </c>
      <c r="BO292" s="133"/>
      <c r="BP292" s="133"/>
      <c r="BQ292" s="133"/>
      <c r="BR292" s="133"/>
      <c r="BS292" s="954">
        <f>BS214+BS227+BS240+BS253+BS266+BS279</f>
        <v>28261</v>
      </c>
      <c r="BT292" s="692"/>
      <c r="BU292" s="133"/>
      <c r="BV292" s="133"/>
      <c r="BW292" s="133"/>
      <c r="BX292" s="954"/>
      <c r="BY292" s="133"/>
      <c r="BZ292" s="133"/>
      <c r="CA292" s="133"/>
      <c r="CB292" s="133"/>
      <c r="CC292" s="954"/>
      <c r="CD292" s="954"/>
      <c r="CE292" s="954"/>
      <c r="CF292" s="954"/>
      <c r="CG292" s="587"/>
    </row>
    <row r="293" spans="1:85" s="460" customFormat="1" ht="14.4" hidden="1" outlineLevel="1" x14ac:dyDescent="0.3">
      <c r="A293" s="159" t="s">
        <v>1009</v>
      </c>
      <c r="B293" s="586"/>
      <c r="C293" s="150"/>
      <c r="D293" s="150"/>
      <c r="E293" s="150"/>
      <c r="F293" s="150"/>
      <c r="G293" s="117"/>
      <c r="H293" s="117"/>
      <c r="I293" s="117"/>
      <c r="J293" s="117"/>
      <c r="K293" s="150"/>
      <c r="L293" s="117"/>
      <c r="M293" s="117"/>
      <c r="N293" s="117"/>
      <c r="O293" s="117"/>
      <c r="P293" s="150"/>
      <c r="Q293" s="117"/>
      <c r="R293" s="117"/>
      <c r="S293" s="117"/>
      <c r="T293" s="117"/>
      <c r="U293" s="150"/>
      <c r="V293" s="117"/>
      <c r="W293" s="117"/>
      <c r="X293" s="117"/>
      <c r="Y293" s="117"/>
      <c r="Z293" s="150"/>
      <c r="AA293" s="117"/>
      <c r="AB293" s="117"/>
      <c r="AC293" s="117"/>
      <c r="AD293" s="117"/>
      <c r="AE293" s="150"/>
      <c r="AF293" s="117"/>
      <c r="AG293" s="117"/>
      <c r="AH293" s="117"/>
      <c r="AI293" s="117"/>
      <c r="AJ293" s="150"/>
      <c r="AK293" s="117"/>
      <c r="AL293" s="117"/>
      <c r="AM293" s="117"/>
      <c r="AN293" s="117"/>
      <c r="AO293" s="150">
        <f>SUM(AO291:AO292)</f>
        <v>40423</v>
      </c>
      <c r="AP293" s="117"/>
      <c r="AQ293" s="117"/>
      <c r="AR293" s="117"/>
      <c r="AS293" s="117"/>
      <c r="AT293" s="150">
        <f>SUM(AT291:AT292)</f>
        <v>27125</v>
      </c>
      <c r="AU293" s="117"/>
      <c r="AV293" s="117"/>
      <c r="AW293" s="117"/>
      <c r="AX293" s="117"/>
      <c r="AY293" s="150">
        <f>SUM(AY291:AY292)</f>
        <v>45893</v>
      </c>
      <c r="AZ293" s="117"/>
      <c r="BA293" s="117"/>
      <c r="BB293" s="117"/>
      <c r="BC293" s="117"/>
      <c r="BD293" s="150">
        <f>SUM(BD291:BD292)</f>
        <v>63985</v>
      </c>
      <c r="BE293" s="117"/>
      <c r="BF293" s="117"/>
      <c r="BG293" s="117"/>
      <c r="BH293" s="117"/>
      <c r="BI293" s="150">
        <f>SUM(BI291:BI292)</f>
        <v>50428</v>
      </c>
      <c r="BJ293" s="117"/>
      <c r="BK293" s="117"/>
      <c r="BL293" s="117"/>
      <c r="BM293" s="117"/>
      <c r="BN293" s="150">
        <f>SUM(BN291:BN292)</f>
        <v>50347</v>
      </c>
      <c r="BO293" s="117"/>
      <c r="BP293" s="117"/>
      <c r="BQ293" s="117"/>
      <c r="BR293" s="117"/>
      <c r="BS293" s="150">
        <f>SUM(BS291:BS292)</f>
        <v>49787</v>
      </c>
      <c r="BT293" s="691"/>
      <c r="BU293" s="117"/>
      <c r="BV293" s="117"/>
      <c r="BW293" s="117"/>
      <c r="BX293" s="150"/>
      <c r="BY293" s="117"/>
      <c r="BZ293" s="117"/>
      <c r="CA293" s="117"/>
      <c r="CB293" s="117"/>
      <c r="CC293" s="150"/>
      <c r="CD293" s="150"/>
      <c r="CE293" s="150"/>
      <c r="CF293" s="150"/>
      <c r="CG293" s="587"/>
    </row>
    <row r="294" spans="1:85" s="460" customFormat="1" ht="14.4" hidden="1" outlineLevel="1" x14ac:dyDescent="0.3">
      <c r="A294" s="591" t="s">
        <v>1084</v>
      </c>
      <c r="B294" s="586"/>
      <c r="C294" s="150"/>
      <c r="D294" s="150"/>
      <c r="E294" s="150"/>
      <c r="F294" s="150"/>
      <c r="G294" s="117"/>
      <c r="H294" s="117"/>
      <c r="I294" s="117"/>
      <c r="J294" s="117"/>
      <c r="K294" s="150"/>
      <c r="L294" s="117"/>
      <c r="M294" s="117"/>
      <c r="N294" s="117"/>
      <c r="O294" s="117"/>
      <c r="P294" s="150"/>
      <c r="Q294" s="117"/>
      <c r="R294" s="117"/>
      <c r="S294" s="117"/>
      <c r="T294" s="117"/>
      <c r="U294" s="150"/>
      <c r="V294" s="117"/>
      <c r="W294" s="117"/>
      <c r="X294" s="117"/>
      <c r="Y294" s="117"/>
      <c r="Z294" s="150"/>
      <c r="AA294" s="117"/>
      <c r="AB294" s="117"/>
      <c r="AC294" s="117"/>
      <c r="AD294" s="117"/>
      <c r="AE294" s="150"/>
      <c r="AF294" s="117"/>
      <c r="AG294" s="117"/>
      <c r="AH294" s="117"/>
      <c r="AI294" s="117"/>
      <c r="AJ294" s="150"/>
      <c r="AK294" s="117"/>
      <c r="AL294" s="117"/>
      <c r="AM294" s="117"/>
      <c r="AN294" s="117"/>
      <c r="AO294" s="150">
        <f t="shared" ref="AO294:AO300" si="22">AO216+AO229+AO242+AO255+AO268+AO281</f>
        <v>-9709</v>
      </c>
      <c r="AP294" s="117"/>
      <c r="AQ294" s="117"/>
      <c r="AR294" s="117"/>
      <c r="AS294" s="117"/>
      <c r="AT294" s="150">
        <f t="shared" ref="AT294:AT300" si="23">AT216+AT229+AT242+AT255+AT268+AT281</f>
        <v>-9460</v>
      </c>
      <c r="AU294" s="117"/>
      <c r="AV294" s="117"/>
      <c r="AW294" s="117"/>
      <c r="AX294" s="117"/>
      <c r="AY294" s="150">
        <f t="shared" ref="AY294:AY300" si="24">AY216+AY229+AY242+AY255+AY268+AY281</f>
        <v>-9484</v>
      </c>
      <c r="AZ294" s="117"/>
      <c r="BA294" s="117"/>
      <c r="BB294" s="117"/>
      <c r="BC294" s="117"/>
      <c r="BD294" s="150">
        <f t="shared" ref="BD294:BD300" si="25">BD216+BD229+BD242+BD255+BD268+BD281</f>
        <v>-9328</v>
      </c>
      <c r="BE294" s="117"/>
      <c r="BF294" s="117"/>
      <c r="BG294" s="117"/>
      <c r="BH294" s="117"/>
      <c r="BI294" s="150">
        <f t="shared" ref="BI294:BI300" si="26">BI216+BI229+BI242+BI255+BI268+BI281</f>
        <v>-9801</v>
      </c>
      <c r="BJ294" s="117"/>
      <c r="BK294" s="117"/>
      <c r="BL294" s="117"/>
      <c r="BM294" s="117"/>
      <c r="BN294" s="150">
        <f t="shared" ref="BN294:BN300" si="27">BN216+BN229+BN242+BN255+BN268+BN281</f>
        <v>-9615</v>
      </c>
      <c r="BO294" s="117"/>
      <c r="BP294" s="117"/>
      <c r="BQ294" s="117"/>
      <c r="BR294" s="117"/>
      <c r="BS294" s="150">
        <f t="shared" ref="BS294:BS300" si="28">BS216+BS229+BS242+BS255+BS268+BS281</f>
        <v>-10935</v>
      </c>
      <c r="BT294" s="691"/>
      <c r="BU294" s="117"/>
      <c r="BV294" s="117"/>
      <c r="BW294" s="117"/>
      <c r="BX294" s="150"/>
      <c r="BY294" s="117"/>
      <c r="BZ294" s="117"/>
      <c r="CA294" s="117"/>
      <c r="CB294" s="117"/>
      <c r="CC294" s="150"/>
      <c r="CD294" s="150"/>
      <c r="CE294" s="150"/>
      <c r="CF294" s="150"/>
      <c r="CG294" s="587"/>
    </row>
    <row r="295" spans="1:85" s="460" customFormat="1" ht="14.4" hidden="1" outlineLevel="1" x14ac:dyDescent="0.3">
      <c r="A295" s="591" t="s">
        <v>1085</v>
      </c>
      <c r="B295" s="586"/>
      <c r="C295" s="150"/>
      <c r="D295" s="150"/>
      <c r="E295" s="150"/>
      <c r="F295" s="150"/>
      <c r="G295" s="117"/>
      <c r="H295" s="117"/>
      <c r="I295" s="117"/>
      <c r="J295" s="117"/>
      <c r="K295" s="150"/>
      <c r="L295" s="117"/>
      <c r="M295" s="117"/>
      <c r="N295" s="117"/>
      <c r="O295" s="117"/>
      <c r="P295" s="150"/>
      <c r="Q295" s="117"/>
      <c r="R295" s="117"/>
      <c r="S295" s="117"/>
      <c r="T295" s="117"/>
      <c r="U295" s="150"/>
      <c r="V295" s="117"/>
      <c r="W295" s="117"/>
      <c r="X295" s="117"/>
      <c r="Y295" s="117"/>
      <c r="Z295" s="150"/>
      <c r="AA295" s="117"/>
      <c r="AB295" s="117"/>
      <c r="AC295" s="117"/>
      <c r="AD295" s="117"/>
      <c r="AE295" s="150"/>
      <c r="AF295" s="117"/>
      <c r="AG295" s="117"/>
      <c r="AH295" s="117"/>
      <c r="AI295" s="117"/>
      <c r="AJ295" s="150"/>
      <c r="AK295" s="117"/>
      <c r="AL295" s="117"/>
      <c r="AM295" s="117"/>
      <c r="AN295" s="117"/>
      <c r="AO295" s="150">
        <f t="shared" si="22"/>
        <v>-999</v>
      </c>
      <c r="AP295" s="117"/>
      <c r="AQ295" s="117"/>
      <c r="AR295" s="117"/>
      <c r="AS295" s="117"/>
      <c r="AT295" s="150">
        <f t="shared" si="23"/>
        <v>-870</v>
      </c>
      <c r="AU295" s="117"/>
      <c r="AV295" s="117"/>
      <c r="AW295" s="117"/>
      <c r="AX295" s="117"/>
      <c r="AY295" s="150">
        <f t="shared" si="24"/>
        <v>-1368</v>
      </c>
      <c r="AZ295" s="117"/>
      <c r="BA295" s="117"/>
      <c r="BB295" s="117"/>
      <c r="BC295" s="117"/>
      <c r="BD295" s="150">
        <f t="shared" si="25"/>
        <v>-1949</v>
      </c>
      <c r="BE295" s="117"/>
      <c r="BF295" s="117"/>
      <c r="BG295" s="117"/>
      <c r="BH295" s="117"/>
      <c r="BI295" s="150">
        <f t="shared" si="26"/>
        <v>-1720</v>
      </c>
      <c r="BJ295" s="117"/>
      <c r="BK295" s="117"/>
      <c r="BL295" s="117"/>
      <c r="BM295" s="117"/>
      <c r="BN295" s="150">
        <f t="shared" si="27"/>
        <v>-1913</v>
      </c>
      <c r="BO295" s="117"/>
      <c r="BP295" s="117"/>
      <c r="BQ295" s="117"/>
      <c r="BR295" s="117"/>
      <c r="BS295" s="150">
        <f t="shared" si="28"/>
        <v>-1928</v>
      </c>
      <c r="BT295" s="691"/>
      <c r="BU295" s="117"/>
      <c r="BV295" s="117"/>
      <c r="BW295" s="117"/>
      <c r="BX295" s="150"/>
      <c r="BY295" s="117"/>
      <c r="BZ295" s="117"/>
      <c r="CA295" s="117"/>
      <c r="CB295" s="117"/>
      <c r="CC295" s="150"/>
      <c r="CD295" s="150"/>
      <c r="CE295" s="150"/>
      <c r="CF295" s="150"/>
      <c r="CG295" s="587"/>
    </row>
    <row r="296" spans="1:85" s="460" customFormat="1" ht="14.4" hidden="1" outlineLevel="1" x14ac:dyDescent="0.3">
      <c r="A296" s="591" t="s">
        <v>1086</v>
      </c>
      <c r="B296" s="586"/>
      <c r="C296" s="150"/>
      <c r="D296" s="150"/>
      <c r="E296" s="150"/>
      <c r="F296" s="150"/>
      <c r="G296" s="117"/>
      <c r="H296" s="117"/>
      <c r="I296" s="117"/>
      <c r="J296" s="117"/>
      <c r="K296" s="150"/>
      <c r="L296" s="117"/>
      <c r="M296" s="117"/>
      <c r="N296" s="117"/>
      <c r="O296" s="117"/>
      <c r="P296" s="150"/>
      <c r="Q296" s="117"/>
      <c r="R296" s="117"/>
      <c r="S296" s="117"/>
      <c r="T296" s="117"/>
      <c r="U296" s="150"/>
      <c r="V296" s="117"/>
      <c r="W296" s="117"/>
      <c r="X296" s="117"/>
      <c r="Y296" s="117"/>
      <c r="Z296" s="150"/>
      <c r="AA296" s="117"/>
      <c r="AB296" s="117"/>
      <c r="AC296" s="117"/>
      <c r="AD296" s="117"/>
      <c r="AE296" s="150"/>
      <c r="AF296" s="117"/>
      <c r="AG296" s="117"/>
      <c r="AH296" s="117"/>
      <c r="AI296" s="117"/>
      <c r="AJ296" s="150"/>
      <c r="AK296" s="117"/>
      <c r="AL296" s="117"/>
      <c r="AM296" s="117"/>
      <c r="AN296" s="117"/>
      <c r="AO296" s="150">
        <f t="shared" si="22"/>
        <v>-21029</v>
      </c>
      <c r="AP296" s="117"/>
      <c r="AQ296" s="117"/>
      <c r="AR296" s="117"/>
      <c r="AS296" s="117"/>
      <c r="AT296" s="150">
        <f t="shared" si="23"/>
        <v>-15776</v>
      </c>
      <c r="AU296" s="117"/>
      <c r="AV296" s="117"/>
      <c r="AW296" s="117"/>
      <c r="AX296" s="117"/>
      <c r="AY296" s="150">
        <f t="shared" si="24"/>
        <v>-14289</v>
      </c>
      <c r="AZ296" s="117"/>
      <c r="BA296" s="117"/>
      <c r="BB296" s="117"/>
      <c r="BC296" s="117"/>
      <c r="BD296" s="150">
        <f t="shared" si="25"/>
        <v>-12180</v>
      </c>
      <c r="BE296" s="117"/>
      <c r="BF296" s="117"/>
      <c r="BG296" s="117"/>
      <c r="BH296" s="117"/>
      <c r="BI296" s="150">
        <f t="shared" si="26"/>
        <v>-13379</v>
      </c>
      <c r="BJ296" s="117"/>
      <c r="BK296" s="117"/>
      <c r="BL296" s="117"/>
      <c r="BM296" s="117"/>
      <c r="BN296" s="150">
        <f t="shared" si="27"/>
        <v>-13714</v>
      </c>
      <c r="BO296" s="117"/>
      <c r="BP296" s="117"/>
      <c r="BQ296" s="117"/>
      <c r="BR296" s="117"/>
      <c r="BS296" s="150">
        <f t="shared" si="28"/>
        <v>-16415</v>
      </c>
      <c r="BT296" s="691"/>
      <c r="BU296" s="117"/>
      <c r="BV296" s="117"/>
      <c r="BW296" s="117"/>
      <c r="BX296" s="150"/>
      <c r="BY296" s="117"/>
      <c r="BZ296" s="117"/>
      <c r="CA296" s="117"/>
      <c r="CB296" s="117"/>
      <c r="CC296" s="150"/>
      <c r="CD296" s="150"/>
      <c r="CE296" s="150"/>
      <c r="CF296" s="150"/>
      <c r="CG296" s="587"/>
    </row>
    <row r="297" spans="1:85" s="460" customFormat="1" ht="14.4" hidden="1" outlineLevel="1" x14ac:dyDescent="0.3">
      <c r="A297" s="591" t="s">
        <v>1087</v>
      </c>
      <c r="B297" s="586"/>
      <c r="C297" s="150"/>
      <c r="D297" s="150"/>
      <c r="E297" s="150"/>
      <c r="F297" s="150"/>
      <c r="G297" s="117"/>
      <c r="H297" s="117"/>
      <c r="I297" s="117"/>
      <c r="J297" s="117"/>
      <c r="K297" s="150"/>
      <c r="L297" s="117"/>
      <c r="M297" s="117"/>
      <c r="N297" s="117"/>
      <c r="O297" s="117"/>
      <c r="P297" s="150"/>
      <c r="Q297" s="117"/>
      <c r="R297" s="117"/>
      <c r="S297" s="117"/>
      <c r="T297" s="117"/>
      <c r="U297" s="150"/>
      <c r="V297" s="117"/>
      <c r="W297" s="117"/>
      <c r="X297" s="117"/>
      <c r="Y297" s="117"/>
      <c r="Z297" s="150"/>
      <c r="AA297" s="117"/>
      <c r="AB297" s="117"/>
      <c r="AC297" s="117"/>
      <c r="AD297" s="117"/>
      <c r="AE297" s="150"/>
      <c r="AF297" s="117"/>
      <c r="AG297" s="117"/>
      <c r="AH297" s="117"/>
      <c r="AI297" s="117"/>
      <c r="AJ297" s="150"/>
      <c r="AK297" s="117"/>
      <c r="AL297" s="117"/>
      <c r="AM297" s="117"/>
      <c r="AN297" s="117"/>
      <c r="AO297" s="150">
        <f t="shared" si="22"/>
        <v>-583</v>
      </c>
      <c r="AP297" s="117"/>
      <c r="AQ297" s="117"/>
      <c r="AR297" s="117"/>
      <c r="AS297" s="117"/>
      <c r="AT297" s="150">
        <f t="shared" si="23"/>
        <v>-515</v>
      </c>
      <c r="AU297" s="117"/>
      <c r="AV297" s="117"/>
      <c r="AW297" s="117"/>
      <c r="AX297" s="117"/>
      <c r="AY297" s="150">
        <f t="shared" si="24"/>
        <v>-564</v>
      </c>
      <c r="AZ297" s="117"/>
      <c r="BA297" s="117"/>
      <c r="BB297" s="117"/>
      <c r="BC297" s="117"/>
      <c r="BD297" s="150">
        <f t="shared" si="25"/>
        <v>-511</v>
      </c>
      <c r="BE297" s="117"/>
      <c r="BF297" s="117"/>
      <c r="BG297" s="117"/>
      <c r="BH297" s="117"/>
      <c r="BI297" s="150">
        <f t="shared" si="26"/>
        <v>-547</v>
      </c>
      <c r="BJ297" s="117"/>
      <c r="BK297" s="117"/>
      <c r="BL297" s="117"/>
      <c r="BM297" s="117"/>
      <c r="BN297" s="150">
        <f t="shared" si="27"/>
        <v>-533</v>
      </c>
      <c r="BO297" s="117"/>
      <c r="BP297" s="117"/>
      <c r="BQ297" s="117"/>
      <c r="BR297" s="117"/>
      <c r="BS297" s="150">
        <f t="shared" si="28"/>
        <v>-564</v>
      </c>
      <c r="BT297" s="691"/>
      <c r="BU297" s="117"/>
      <c r="BV297" s="117"/>
      <c r="BW297" s="117"/>
      <c r="BX297" s="150"/>
      <c r="BY297" s="117"/>
      <c r="BZ297" s="117"/>
      <c r="CA297" s="117"/>
      <c r="CB297" s="117"/>
      <c r="CC297" s="150"/>
      <c r="CD297" s="150"/>
      <c r="CE297" s="150"/>
      <c r="CF297" s="150"/>
      <c r="CG297" s="587"/>
    </row>
    <row r="298" spans="1:85" s="460" customFormat="1" ht="14.4" hidden="1" outlineLevel="1" x14ac:dyDescent="0.3">
      <c r="A298" s="591" t="s">
        <v>1088</v>
      </c>
      <c r="B298" s="586"/>
      <c r="C298" s="150"/>
      <c r="D298" s="150"/>
      <c r="E298" s="150"/>
      <c r="F298" s="150"/>
      <c r="G298" s="117"/>
      <c r="H298" s="117"/>
      <c r="I298" s="117"/>
      <c r="J298" s="117"/>
      <c r="K298" s="150"/>
      <c r="L298" s="117"/>
      <c r="M298" s="117"/>
      <c r="N298" s="117"/>
      <c r="O298" s="117"/>
      <c r="P298" s="150"/>
      <c r="Q298" s="117"/>
      <c r="R298" s="117"/>
      <c r="S298" s="117"/>
      <c r="T298" s="117"/>
      <c r="U298" s="150"/>
      <c r="V298" s="117"/>
      <c r="W298" s="117"/>
      <c r="X298" s="117"/>
      <c r="Y298" s="117"/>
      <c r="Z298" s="150"/>
      <c r="AA298" s="117"/>
      <c r="AB298" s="117"/>
      <c r="AC298" s="117"/>
      <c r="AD298" s="117"/>
      <c r="AE298" s="150"/>
      <c r="AF298" s="117"/>
      <c r="AG298" s="117"/>
      <c r="AH298" s="117"/>
      <c r="AI298" s="117"/>
      <c r="AJ298" s="150"/>
      <c r="AK298" s="117"/>
      <c r="AL298" s="117"/>
      <c r="AM298" s="117"/>
      <c r="AN298" s="117"/>
      <c r="AO298" s="150">
        <f t="shared" si="22"/>
        <v>-740</v>
      </c>
      <c r="AP298" s="117"/>
      <c r="AQ298" s="117"/>
      <c r="AR298" s="117"/>
      <c r="AS298" s="117"/>
      <c r="AT298" s="150">
        <f t="shared" si="23"/>
        <v>-1515</v>
      </c>
      <c r="AU298" s="117"/>
      <c r="AV298" s="117"/>
      <c r="AW298" s="117"/>
      <c r="AX298" s="117"/>
      <c r="AY298" s="150">
        <f t="shared" si="24"/>
        <v>-538</v>
      </c>
      <c r="AZ298" s="117"/>
      <c r="BA298" s="117"/>
      <c r="BB298" s="117"/>
      <c r="BC298" s="117"/>
      <c r="BD298" s="150">
        <f t="shared" si="25"/>
        <v>-960</v>
      </c>
      <c r="BE298" s="117"/>
      <c r="BF298" s="117"/>
      <c r="BG298" s="117"/>
      <c r="BH298" s="117"/>
      <c r="BI298" s="150">
        <f t="shared" si="26"/>
        <v>-934</v>
      </c>
      <c r="BJ298" s="117"/>
      <c r="BK298" s="117"/>
      <c r="BL298" s="117"/>
      <c r="BM298" s="117"/>
      <c r="BN298" s="150">
        <f t="shared" si="27"/>
        <v>-1068</v>
      </c>
      <c r="BO298" s="117"/>
      <c r="BP298" s="117"/>
      <c r="BQ298" s="117"/>
      <c r="BR298" s="117"/>
      <c r="BS298" s="150">
        <f t="shared" si="28"/>
        <v>-1098</v>
      </c>
      <c r="BT298" s="691"/>
      <c r="BU298" s="117"/>
      <c r="BV298" s="117"/>
      <c r="BW298" s="117"/>
      <c r="BX298" s="150"/>
      <c r="BY298" s="117"/>
      <c r="BZ298" s="117"/>
      <c r="CA298" s="117"/>
      <c r="CB298" s="117"/>
      <c r="CC298" s="150"/>
      <c r="CD298" s="150"/>
      <c r="CE298" s="150"/>
      <c r="CF298" s="150"/>
      <c r="CG298" s="587"/>
    </row>
    <row r="299" spans="1:85" s="460" customFormat="1" ht="14.4" hidden="1" outlineLevel="1" x14ac:dyDescent="0.3">
      <c r="A299" s="591" t="s">
        <v>981</v>
      </c>
      <c r="B299" s="586"/>
      <c r="C299" s="150"/>
      <c r="D299" s="150"/>
      <c r="E299" s="150"/>
      <c r="F299" s="150"/>
      <c r="G299" s="117"/>
      <c r="H299" s="117"/>
      <c r="I299" s="117"/>
      <c r="J299" s="117"/>
      <c r="K299" s="150"/>
      <c r="L299" s="117"/>
      <c r="M299" s="117"/>
      <c r="N299" s="117"/>
      <c r="O299" s="117"/>
      <c r="P299" s="150"/>
      <c r="Q299" s="117"/>
      <c r="R299" s="117"/>
      <c r="S299" s="117"/>
      <c r="T299" s="117"/>
      <c r="U299" s="150"/>
      <c r="V299" s="117"/>
      <c r="W299" s="117"/>
      <c r="X299" s="117"/>
      <c r="Y299" s="117"/>
      <c r="Z299" s="150"/>
      <c r="AA299" s="117"/>
      <c r="AB299" s="117"/>
      <c r="AC299" s="117"/>
      <c r="AD299" s="117"/>
      <c r="AE299" s="150"/>
      <c r="AF299" s="117"/>
      <c r="AG299" s="117"/>
      <c r="AH299" s="117"/>
      <c r="AI299" s="117"/>
      <c r="AJ299" s="150"/>
      <c r="AK299" s="117"/>
      <c r="AL299" s="117"/>
      <c r="AM299" s="117"/>
      <c r="AN299" s="117"/>
      <c r="AO299" s="150">
        <f t="shared" si="22"/>
        <v>-4251</v>
      </c>
      <c r="AP299" s="117"/>
      <c r="AQ299" s="117"/>
      <c r="AR299" s="117"/>
      <c r="AS299" s="117"/>
      <c r="AT299" s="150">
        <f t="shared" si="23"/>
        <v>-288</v>
      </c>
      <c r="AU299" s="117"/>
      <c r="AV299" s="117"/>
      <c r="AW299" s="117"/>
      <c r="AX299" s="117"/>
      <c r="AY299" s="150">
        <f t="shared" si="24"/>
        <v>-143</v>
      </c>
      <c r="AZ299" s="117"/>
      <c r="BA299" s="117"/>
      <c r="BB299" s="117"/>
      <c r="BC299" s="117"/>
      <c r="BD299" s="150">
        <f t="shared" si="25"/>
        <v>-427</v>
      </c>
      <c r="BE299" s="117"/>
      <c r="BF299" s="117"/>
      <c r="BG299" s="117"/>
      <c r="BH299" s="117"/>
      <c r="BI299" s="150">
        <f t="shared" si="26"/>
        <v>-183</v>
      </c>
      <c r="BJ299" s="117"/>
      <c r="BK299" s="117"/>
      <c r="BL299" s="117"/>
      <c r="BM299" s="117"/>
      <c r="BN299" s="150">
        <f t="shared" si="27"/>
        <v>-130</v>
      </c>
      <c r="BO299" s="117"/>
      <c r="BP299" s="117"/>
      <c r="BQ299" s="117"/>
      <c r="BR299" s="117"/>
      <c r="BS299" s="150">
        <f t="shared" si="28"/>
        <v>-116</v>
      </c>
      <c r="BT299" s="691"/>
      <c r="BU299" s="117"/>
      <c r="BV299" s="117"/>
      <c r="BW299" s="117"/>
      <c r="BX299" s="150"/>
      <c r="BY299" s="117"/>
      <c r="BZ299" s="117"/>
      <c r="CA299" s="117"/>
      <c r="CB299" s="117"/>
      <c r="CC299" s="150"/>
      <c r="CD299" s="150"/>
      <c r="CE299" s="150"/>
      <c r="CF299" s="150"/>
      <c r="CG299" s="587"/>
    </row>
    <row r="300" spans="1:85" s="460" customFormat="1" ht="14.4" hidden="1" outlineLevel="1" x14ac:dyDescent="0.3">
      <c r="A300" s="592" t="s">
        <v>1089</v>
      </c>
      <c r="B300" s="588"/>
      <c r="C300" s="954"/>
      <c r="D300" s="954"/>
      <c r="E300" s="954"/>
      <c r="F300" s="954"/>
      <c r="G300" s="133"/>
      <c r="H300" s="133"/>
      <c r="I300" s="133"/>
      <c r="J300" s="133"/>
      <c r="K300" s="954"/>
      <c r="L300" s="133"/>
      <c r="M300" s="133"/>
      <c r="N300" s="133"/>
      <c r="O300" s="133"/>
      <c r="P300" s="954"/>
      <c r="Q300" s="133"/>
      <c r="R300" s="133"/>
      <c r="S300" s="133"/>
      <c r="T300" s="133"/>
      <c r="U300" s="954"/>
      <c r="V300" s="133"/>
      <c r="W300" s="133"/>
      <c r="X300" s="133"/>
      <c r="Y300" s="133"/>
      <c r="Z300" s="954"/>
      <c r="AA300" s="133"/>
      <c r="AB300" s="133"/>
      <c r="AC300" s="133"/>
      <c r="AD300" s="133"/>
      <c r="AE300" s="954"/>
      <c r="AF300" s="133"/>
      <c r="AG300" s="133"/>
      <c r="AH300" s="133"/>
      <c r="AI300" s="133"/>
      <c r="AJ300" s="954"/>
      <c r="AK300" s="133"/>
      <c r="AL300" s="133"/>
      <c r="AM300" s="133"/>
      <c r="AN300" s="133"/>
      <c r="AO300" s="954">
        <f t="shared" si="22"/>
        <v>1623</v>
      </c>
      <c r="AP300" s="133"/>
      <c r="AQ300" s="133"/>
      <c r="AR300" s="133"/>
      <c r="AS300" s="133"/>
      <c r="AT300" s="954">
        <f t="shared" si="23"/>
        <v>1074</v>
      </c>
      <c r="AU300" s="133"/>
      <c r="AV300" s="133"/>
      <c r="AW300" s="133"/>
      <c r="AX300" s="133"/>
      <c r="AY300" s="954">
        <f t="shared" si="24"/>
        <v>789</v>
      </c>
      <c r="AZ300" s="133"/>
      <c r="BA300" s="133"/>
      <c r="BB300" s="133"/>
      <c r="BC300" s="133"/>
      <c r="BD300" s="954">
        <f t="shared" si="25"/>
        <v>749</v>
      </c>
      <c r="BE300" s="133"/>
      <c r="BF300" s="133"/>
      <c r="BG300" s="133"/>
      <c r="BH300" s="133"/>
      <c r="BI300" s="954">
        <f t="shared" si="26"/>
        <v>-2656</v>
      </c>
      <c r="BJ300" s="133"/>
      <c r="BK300" s="133"/>
      <c r="BL300" s="133"/>
      <c r="BM300" s="133"/>
      <c r="BN300" s="954">
        <f t="shared" si="27"/>
        <v>2464</v>
      </c>
      <c r="BO300" s="133"/>
      <c r="BP300" s="133"/>
      <c r="BQ300" s="133"/>
      <c r="BR300" s="133"/>
      <c r="BS300" s="954">
        <f t="shared" si="28"/>
        <v>423</v>
      </c>
      <c r="BT300" s="692"/>
      <c r="BU300" s="133"/>
      <c r="BV300" s="133"/>
      <c r="BW300" s="133"/>
      <c r="BX300" s="954"/>
      <c r="BY300" s="133"/>
      <c r="BZ300" s="133"/>
      <c r="CA300" s="133"/>
      <c r="CB300" s="133"/>
      <c r="CC300" s="954"/>
      <c r="CD300" s="954"/>
      <c r="CE300" s="954"/>
      <c r="CF300" s="954"/>
      <c r="CG300" s="587"/>
    </row>
    <row r="301" spans="1:85" s="460" customFormat="1" ht="14.4" hidden="1" outlineLevel="1" x14ac:dyDescent="0.3">
      <c r="A301" s="159" t="s">
        <v>1090</v>
      </c>
      <c r="B301" s="586"/>
      <c r="C301" s="150"/>
      <c r="D301" s="150"/>
      <c r="E301" s="150"/>
      <c r="F301" s="150"/>
      <c r="G301" s="117"/>
      <c r="H301" s="117"/>
      <c r="I301" s="117"/>
      <c r="J301" s="117"/>
      <c r="K301" s="150"/>
      <c r="L301" s="117"/>
      <c r="M301" s="117"/>
      <c r="N301" s="117"/>
      <c r="O301" s="117"/>
      <c r="P301" s="150"/>
      <c r="Q301" s="117"/>
      <c r="R301" s="117"/>
      <c r="S301" s="117"/>
      <c r="T301" s="117"/>
      <c r="U301" s="150"/>
      <c r="V301" s="117"/>
      <c r="W301" s="117"/>
      <c r="X301" s="117"/>
      <c r="Y301" s="117"/>
      <c r="Z301" s="150"/>
      <c r="AA301" s="117"/>
      <c r="AB301" s="117"/>
      <c r="AC301" s="117"/>
      <c r="AD301" s="117"/>
      <c r="AE301" s="150"/>
      <c r="AF301" s="117"/>
      <c r="AG301" s="117"/>
      <c r="AH301" s="117"/>
      <c r="AI301" s="117"/>
      <c r="AJ301" s="150"/>
      <c r="AK301" s="117"/>
      <c r="AL301" s="117"/>
      <c r="AM301" s="117"/>
      <c r="AN301" s="117"/>
      <c r="AO301" s="150">
        <f>SUM(AO293:AO300)</f>
        <v>4735</v>
      </c>
      <c r="AP301" s="117"/>
      <c r="AQ301" s="117"/>
      <c r="AR301" s="117"/>
      <c r="AS301" s="117"/>
      <c r="AT301" s="150">
        <f>SUM(AT293:AT300)</f>
        <v>-225</v>
      </c>
      <c r="AU301" s="117"/>
      <c r="AV301" s="117"/>
      <c r="AW301" s="117"/>
      <c r="AX301" s="117"/>
      <c r="AY301" s="150">
        <f>SUM(AY293:AY300)</f>
        <v>20296</v>
      </c>
      <c r="AZ301" s="117"/>
      <c r="BA301" s="117"/>
      <c r="BB301" s="117"/>
      <c r="BC301" s="117"/>
      <c r="BD301" s="150">
        <f>SUM(BD293:BD300)</f>
        <v>39379</v>
      </c>
      <c r="BE301" s="117"/>
      <c r="BF301" s="117"/>
      <c r="BG301" s="117"/>
      <c r="BH301" s="117"/>
      <c r="BI301" s="150">
        <f>SUM(BI293:BI300)</f>
        <v>21208</v>
      </c>
      <c r="BJ301" s="117"/>
      <c r="BK301" s="117"/>
      <c r="BL301" s="117"/>
      <c r="BM301" s="117"/>
      <c r="BN301" s="150">
        <f>SUM(BN293:BN300)</f>
        <v>25838</v>
      </c>
      <c r="BO301" s="117"/>
      <c r="BP301" s="117"/>
      <c r="BQ301" s="117"/>
      <c r="BR301" s="117"/>
      <c r="BS301" s="150">
        <f>SUM(BS293:BS300)</f>
        <v>19154</v>
      </c>
      <c r="BT301" s="691"/>
      <c r="BU301" s="117"/>
      <c r="BV301" s="117"/>
      <c r="BW301" s="117"/>
      <c r="BX301" s="150"/>
      <c r="BY301" s="117"/>
      <c r="BZ301" s="117"/>
      <c r="CA301" s="117"/>
      <c r="CB301" s="117"/>
      <c r="CC301" s="150"/>
      <c r="CD301" s="150"/>
      <c r="CE301" s="150"/>
      <c r="CF301" s="150"/>
      <c r="CG301" s="587"/>
    </row>
    <row r="302" spans="1:85" s="460" customFormat="1" ht="14.4" hidden="1" outlineLevel="1" x14ac:dyDescent="0.3">
      <c r="A302" s="262" t="s">
        <v>1091</v>
      </c>
      <c r="B302" s="588"/>
      <c r="C302" s="954"/>
      <c r="D302" s="954"/>
      <c r="E302" s="954"/>
      <c r="F302" s="954"/>
      <c r="G302" s="133"/>
      <c r="H302" s="133"/>
      <c r="I302" s="133"/>
      <c r="J302" s="133"/>
      <c r="K302" s="954"/>
      <c r="L302" s="133"/>
      <c r="M302" s="133"/>
      <c r="N302" s="133"/>
      <c r="O302" s="133"/>
      <c r="P302" s="954"/>
      <c r="Q302" s="133"/>
      <c r="R302" s="133"/>
      <c r="S302" s="133"/>
      <c r="T302" s="133"/>
      <c r="U302" s="954"/>
      <c r="V302" s="133"/>
      <c r="W302" s="133"/>
      <c r="X302" s="133"/>
      <c r="Y302" s="133"/>
      <c r="Z302" s="954"/>
      <c r="AA302" s="133"/>
      <c r="AB302" s="133"/>
      <c r="AC302" s="133"/>
      <c r="AD302" s="133"/>
      <c r="AE302" s="954"/>
      <c r="AF302" s="133"/>
      <c r="AG302" s="133"/>
      <c r="AH302" s="133"/>
      <c r="AI302" s="133"/>
      <c r="AJ302" s="954"/>
      <c r="AK302" s="133"/>
      <c r="AL302" s="133"/>
      <c r="AM302" s="133"/>
      <c r="AN302" s="133"/>
      <c r="AO302" s="954">
        <f>AO224+AO237+AO250+AO263+AO276+AO289</f>
        <v>-3131</v>
      </c>
      <c r="AP302" s="133"/>
      <c r="AQ302" s="133"/>
      <c r="AR302" s="133"/>
      <c r="AS302" s="133"/>
      <c r="AT302" s="954">
        <f>AT224+AT237+AT250+AT263+AT276+AT289</f>
        <v>542</v>
      </c>
      <c r="AU302" s="133"/>
      <c r="AV302" s="133"/>
      <c r="AW302" s="133"/>
      <c r="AX302" s="133"/>
      <c r="AY302" s="954">
        <f>AY224+AY237+AY250+AY263+AY276+AY289</f>
        <v>-6343</v>
      </c>
      <c r="AZ302" s="133"/>
      <c r="BA302" s="133"/>
      <c r="BB302" s="133"/>
      <c r="BC302" s="133"/>
      <c r="BD302" s="954">
        <f>BD224+BD237+BD250+BD263+BD276+BD289</f>
        <v>-12640</v>
      </c>
      <c r="BE302" s="133"/>
      <c r="BF302" s="133"/>
      <c r="BG302" s="133"/>
      <c r="BH302" s="133"/>
      <c r="BI302" s="954">
        <f>BI224+BI237+BI250+BI263+BI276+BI289</f>
        <v>-6964</v>
      </c>
      <c r="BJ302" s="133"/>
      <c r="BK302" s="133"/>
      <c r="BL302" s="133"/>
      <c r="BM302" s="133"/>
      <c r="BN302" s="954">
        <f>BN224+BN237+BN250+BN263+BN276+BN289</f>
        <v>-8221</v>
      </c>
      <c r="BO302" s="133"/>
      <c r="BP302" s="133"/>
      <c r="BQ302" s="133"/>
      <c r="BR302" s="133"/>
      <c r="BS302" s="954">
        <f>BS224+BS237+BS250+BS263+BS276+BS289</f>
        <v>-6119</v>
      </c>
      <c r="BT302" s="692"/>
      <c r="BU302" s="133"/>
      <c r="BV302" s="133"/>
      <c r="BW302" s="133"/>
      <c r="BX302" s="954"/>
      <c r="BY302" s="133"/>
      <c r="BZ302" s="133"/>
      <c r="CA302" s="133"/>
      <c r="CB302" s="133"/>
      <c r="CC302" s="954"/>
      <c r="CD302" s="954"/>
      <c r="CE302" s="954"/>
      <c r="CF302" s="954"/>
      <c r="CG302" s="587"/>
    </row>
    <row r="303" spans="1:85" s="461" customFormat="1" ht="14.4" hidden="1" outlineLevel="1" x14ac:dyDescent="0.3">
      <c r="A303" s="166" t="s">
        <v>1092</v>
      </c>
      <c r="B303" s="583"/>
      <c r="C303" s="957"/>
      <c r="D303" s="957"/>
      <c r="E303" s="957"/>
      <c r="F303" s="957"/>
      <c r="G303" s="120"/>
      <c r="H303" s="120"/>
      <c r="I303" s="120"/>
      <c r="J303" s="120"/>
      <c r="K303" s="957"/>
      <c r="L303" s="120"/>
      <c r="M303" s="120"/>
      <c r="N303" s="120"/>
      <c r="O303" s="120"/>
      <c r="P303" s="957"/>
      <c r="Q303" s="120"/>
      <c r="R303" s="120"/>
      <c r="S303" s="120"/>
      <c r="T303" s="120"/>
      <c r="U303" s="957"/>
      <c r="V303" s="120"/>
      <c r="W303" s="120"/>
      <c r="X303" s="120"/>
      <c r="Y303" s="120"/>
      <c r="Z303" s="957"/>
      <c r="AA303" s="120"/>
      <c r="AB303" s="120"/>
      <c r="AC303" s="120"/>
      <c r="AD303" s="120"/>
      <c r="AE303" s="957"/>
      <c r="AF303" s="120"/>
      <c r="AG303" s="120"/>
      <c r="AH303" s="120"/>
      <c r="AI303" s="120"/>
      <c r="AJ303" s="957"/>
      <c r="AK303" s="120"/>
      <c r="AL303" s="120"/>
      <c r="AM303" s="120"/>
      <c r="AN303" s="120"/>
      <c r="AO303" s="957">
        <f>SUM(AO301:AO302)</f>
        <v>1604</v>
      </c>
      <c r="AP303" s="120"/>
      <c r="AQ303" s="120"/>
      <c r="AR303" s="120"/>
      <c r="AS303" s="120"/>
      <c r="AT303" s="957">
        <f>SUM(AT301:AT302)</f>
        <v>317</v>
      </c>
      <c r="AU303" s="120"/>
      <c r="AV303" s="120"/>
      <c r="AW303" s="120"/>
      <c r="AX303" s="120"/>
      <c r="AY303" s="957">
        <f>SUM(AY301:AY302)</f>
        <v>13953</v>
      </c>
      <c r="AZ303" s="120"/>
      <c r="BA303" s="120"/>
      <c r="BB303" s="120"/>
      <c r="BC303" s="120"/>
      <c r="BD303" s="957">
        <f>SUM(BD301:BD302)</f>
        <v>26739</v>
      </c>
      <c r="BE303" s="120"/>
      <c r="BF303" s="120"/>
      <c r="BG303" s="120"/>
      <c r="BH303" s="120"/>
      <c r="BI303" s="957">
        <f>SUM(BI301:BI302)</f>
        <v>14244</v>
      </c>
      <c r="BJ303" s="120"/>
      <c r="BK303" s="120"/>
      <c r="BL303" s="120"/>
      <c r="BM303" s="120"/>
      <c r="BN303" s="957">
        <f>SUM(BN301:BN302)</f>
        <v>17617</v>
      </c>
      <c r="BO303" s="120"/>
      <c r="BP303" s="120"/>
      <c r="BQ303" s="120"/>
      <c r="BR303" s="120"/>
      <c r="BS303" s="957">
        <f>SUM(BS301:BS302)</f>
        <v>13035</v>
      </c>
      <c r="BT303" s="694"/>
      <c r="BU303" s="120"/>
      <c r="BV303" s="120"/>
      <c r="BW303" s="120"/>
      <c r="BX303" s="957"/>
      <c r="BY303" s="120"/>
      <c r="BZ303" s="120"/>
      <c r="CA303" s="120"/>
      <c r="CB303" s="120"/>
      <c r="CC303" s="957"/>
      <c r="CD303" s="957"/>
      <c r="CE303" s="957"/>
      <c r="CF303" s="957"/>
      <c r="CG303" s="615"/>
    </row>
    <row r="304" spans="1:85" s="461" customFormat="1" ht="14.4" hidden="1" outlineLevel="1" x14ac:dyDescent="0.3">
      <c r="A304" s="166"/>
      <c r="B304" s="583"/>
      <c r="C304" s="957"/>
      <c r="D304" s="957"/>
      <c r="E304" s="957"/>
      <c r="F304" s="957"/>
      <c r="G304" s="120"/>
      <c r="H304" s="120"/>
      <c r="I304" s="120"/>
      <c r="J304" s="120"/>
      <c r="K304" s="957"/>
      <c r="L304" s="120"/>
      <c r="M304" s="120"/>
      <c r="N304" s="120"/>
      <c r="O304" s="120"/>
      <c r="P304" s="957"/>
      <c r="Q304" s="120"/>
      <c r="R304" s="120"/>
      <c r="S304" s="120"/>
      <c r="T304" s="120"/>
      <c r="U304" s="957"/>
      <c r="V304" s="120"/>
      <c r="W304" s="120"/>
      <c r="X304" s="120"/>
      <c r="Y304" s="120"/>
      <c r="Z304" s="957"/>
      <c r="AA304" s="120"/>
      <c r="AB304" s="120"/>
      <c r="AC304" s="120"/>
      <c r="AD304" s="120"/>
      <c r="AE304" s="957"/>
      <c r="AF304" s="120"/>
      <c r="AG304" s="120"/>
      <c r="AH304" s="120"/>
      <c r="AI304" s="120"/>
      <c r="AJ304" s="957"/>
      <c r="AK304" s="120"/>
      <c r="AL304" s="120"/>
      <c r="AM304" s="120"/>
      <c r="AN304" s="120"/>
      <c r="AO304" s="957"/>
      <c r="AP304" s="120"/>
      <c r="AQ304" s="120"/>
      <c r="AR304" s="120"/>
      <c r="AS304" s="120"/>
      <c r="AT304" s="957"/>
      <c r="AU304" s="120"/>
      <c r="AV304" s="120"/>
      <c r="AW304" s="120"/>
      <c r="AX304" s="120"/>
      <c r="AY304" s="957"/>
      <c r="AZ304" s="120"/>
      <c r="BA304" s="120"/>
      <c r="BB304" s="120"/>
      <c r="BC304" s="120"/>
      <c r="BD304" s="957"/>
      <c r="BE304" s="120"/>
      <c r="BF304" s="120"/>
      <c r="BG304" s="120"/>
      <c r="BH304" s="120"/>
      <c r="BI304" s="957"/>
      <c r="BJ304" s="120"/>
      <c r="BK304" s="120"/>
      <c r="BL304" s="120"/>
      <c r="BM304" s="120"/>
      <c r="BN304" s="957"/>
      <c r="BO304" s="120"/>
      <c r="BP304" s="120"/>
      <c r="BQ304" s="120"/>
      <c r="BR304" s="120"/>
      <c r="BS304" s="957"/>
      <c r="BT304" s="694"/>
      <c r="BU304" s="120"/>
      <c r="BV304" s="120"/>
      <c r="BW304" s="120"/>
      <c r="BX304" s="957"/>
      <c r="BY304" s="120"/>
      <c r="BZ304" s="120"/>
      <c r="CA304" s="120"/>
      <c r="CB304" s="120"/>
      <c r="CC304" s="957"/>
      <c r="CD304" s="957"/>
      <c r="CE304" s="957"/>
      <c r="CF304" s="957"/>
      <c r="CG304" s="615"/>
    </row>
    <row r="305" spans="1:85" s="460" customFormat="1" ht="14.4" hidden="1" outlineLevel="1" x14ac:dyDescent="0.3">
      <c r="A305" s="591" t="s">
        <v>1093</v>
      </c>
      <c r="B305" s="586"/>
      <c r="C305" s="150"/>
      <c r="D305" s="150"/>
      <c r="E305" s="150"/>
      <c r="F305" s="150"/>
      <c r="G305" s="117"/>
      <c r="H305" s="117"/>
      <c r="I305" s="117"/>
      <c r="J305" s="117"/>
      <c r="K305" s="150"/>
      <c r="L305" s="117"/>
      <c r="M305" s="117"/>
      <c r="N305" s="117"/>
      <c r="O305" s="117"/>
      <c r="P305" s="150"/>
      <c r="Q305" s="117"/>
      <c r="R305" s="117"/>
      <c r="S305" s="117"/>
      <c r="T305" s="117"/>
      <c r="U305" s="150"/>
      <c r="V305" s="117"/>
      <c r="W305" s="117"/>
      <c r="X305" s="117"/>
      <c r="Y305" s="117"/>
      <c r="Z305" s="150"/>
      <c r="AA305" s="117"/>
      <c r="AB305" s="117"/>
      <c r="AC305" s="117"/>
      <c r="AD305" s="117"/>
      <c r="AE305" s="150"/>
      <c r="AF305" s="117"/>
      <c r="AG305" s="117"/>
      <c r="AH305" s="117"/>
      <c r="AI305" s="117"/>
      <c r="AJ305" s="150"/>
      <c r="AK305" s="117"/>
      <c r="AL305" s="117"/>
      <c r="AM305" s="117"/>
      <c r="AN305" s="117"/>
      <c r="AO305" s="975">
        <v>5603</v>
      </c>
      <c r="AP305" s="117"/>
      <c r="AQ305" s="117"/>
      <c r="AR305" s="117"/>
      <c r="AS305" s="117"/>
      <c r="AT305" s="975">
        <v>3088</v>
      </c>
      <c r="AU305" s="117"/>
      <c r="AV305" s="117"/>
      <c r="AW305" s="117"/>
      <c r="AX305" s="117"/>
      <c r="AY305" s="975">
        <v>5564</v>
      </c>
      <c r="AZ305" s="117"/>
      <c r="BA305" s="117"/>
      <c r="BB305" s="117"/>
      <c r="BC305" s="117"/>
      <c r="BD305" s="975">
        <v>8304</v>
      </c>
      <c r="BE305" s="117"/>
      <c r="BF305" s="117"/>
      <c r="BG305" s="117"/>
      <c r="BH305" s="117"/>
      <c r="BI305" s="975">
        <v>6831</v>
      </c>
      <c r="BJ305" s="117"/>
      <c r="BK305" s="117"/>
      <c r="BL305" s="117"/>
      <c r="BM305" s="117"/>
      <c r="BN305" s="975">
        <v>7240</v>
      </c>
      <c r="BO305" s="117"/>
      <c r="BP305" s="117"/>
      <c r="BQ305" s="117"/>
      <c r="BR305" s="117"/>
      <c r="BS305" s="975">
        <v>8362</v>
      </c>
      <c r="BT305" s="691"/>
      <c r="BU305" s="117"/>
      <c r="BV305" s="117"/>
      <c r="BW305" s="117"/>
      <c r="BX305" s="150"/>
      <c r="BY305" s="117"/>
      <c r="BZ305" s="117"/>
      <c r="CA305" s="117"/>
      <c r="CB305" s="117"/>
      <c r="CC305" s="150"/>
      <c r="CD305" s="150"/>
      <c r="CE305" s="150"/>
      <c r="CF305" s="150"/>
      <c r="CG305" s="587"/>
    </row>
    <row r="306" spans="1:85" s="460" customFormat="1" ht="14.4" hidden="1" outlineLevel="1" x14ac:dyDescent="0.3">
      <c r="A306" s="592" t="s">
        <v>1094</v>
      </c>
      <c r="B306" s="588"/>
      <c r="C306" s="954"/>
      <c r="D306" s="954"/>
      <c r="E306" s="954"/>
      <c r="F306" s="954"/>
      <c r="G306" s="133"/>
      <c r="H306" s="133"/>
      <c r="I306" s="133"/>
      <c r="J306" s="133"/>
      <c r="K306" s="954"/>
      <c r="L306" s="133"/>
      <c r="M306" s="133"/>
      <c r="N306" s="133"/>
      <c r="O306" s="133"/>
      <c r="P306" s="954"/>
      <c r="Q306" s="133"/>
      <c r="R306" s="133"/>
      <c r="S306" s="133"/>
      <c r="T306" s="133"/>
      <c r="U306" s="954"/>
      <c r="V306" s="133"/>
      <c r="W306" s="133"/>
      <c r="X306" s="133"/>
      <c r="Y306" s="133"/>
      <c r="Z306" s="954"/>
      <c r="AA306" s="133"/>
      <c r="AB306" s="133"/>
      <c r="AC306" s="133"/>
      <c r="AD306" s="133"/>
      <c r="AE306" s="954"/>
      <c r="AF306" s="133"/>
      <c r="AG306" s="133"/>
      <c r="AH306" s="133"/>
      <c r="AI306" s="133"/>
      <c r="AJ306" s="954"/>
      <c r="AK306" s="133"/>
      <c r="AL306" s="133"/>
      <c r="AM306" s="133"/>
      <c r="AN306" s="133"/>
      <c r="AO306" s="976">
        <v>0</v>
      </c>
      <c r="AP306" s="133"/>
      <c r="AQ306" s="133"/>
      <c r="AR306" s="133"/>
      <c r="AS306" s="133"/>
      <c r="AT306" s="976">
        <v>0</v>
      </c>
      <c r="AU306" s="133"/>
      <c r="AV306" s="133"/>
      <c r="AW306" s="133"/>
      <c r="AX306" s="133"/>
      <c r="AY306" s="976">
        <v>0</v>
      </c>
      <c r="AZ306" s="133"/>
      <c r="BA306" s="133"/>
      <c r="BB306" s="133"/>
      <c r="BC306" s="133"/>
      <c r="BD306" s="976">
        <v>0</v>
      </c>
      <c r="BE306" s="133"/>
      <c r="BF306" s="133"/>
      <c r="BG306" s="133"/>
      <c r="BH306" s="133"/>
      <c r="BI306" s="976">
        <v>0</v>
      </c>
      <c r="BJ306" s="133"/>
      <c r="BK306" s="133"/>
      <c r="BL306" s="133"/>
      <c r="BM306" s="133"/>
      <c r="BN306" s="976">
        <v>0</v>
      </c>
      <c r="BO306" s="133"/>
      <c r="BP306" s="133"/>
      <c r="BQ306" s="133"/>
      <c r="BR306" s="133"/>
      <c r="BS306" s="976">
        <v>0</v>
      </c>
      <c r="BT306" s="692"/>
      <c r="BU306" s="133"/>
      <c r="BV306" s="133"/>
      <c r="BW306" s="133"/>
      <c r="BX306" s="954"/>
      <c r="BY306" s="133"/>
      <c r="BZ306" s="133"/>
      <c r="CA306" s="133"/>
      <c r="CB306" s="133"/>
      <c r="CC306" s="954"/>
      <c r="CD306" s="954"/>
      <c r="CE306" s="954"/>
      <c r="CF306" s="954"/>
      <c r="CG306" s="587"/>
    </row>
    <row r="307" spans="1:85" s="460" customFormat="1" ht="14.4" hidden="1" outlineLevel="1" x14ac:dyDescent="0.3">
      <c r="A307" s="159" t="s">
        <v>1095</v>
      </c>
      <c r="B307" s="586"/>
      <c r="C307" s="150"/>
      <c r="D307" s="150"/>
      <c r="E307" s="150"/>
      <c r="F307" s="150"/>
      <c r="G307" s="117"/>
      <c r="H307" s="117"/>
      <c r="I307" s="117"/>
      <c r="J307" s="117"/>
      <c r="K307" s="150"/>
      <c r="L307" s="117"/>
      <c r="M307" s="117"/>
      <c r="N307" s="117"/>
      <c r="O307" s="117"/>
      <c r="P307" s="150"/>
      <c r="Q307" s="117"/>
      <c r="R307" s="117"/>
      <c r="S307" s="117"/>
      <c r="T307" s="117"/>
      <c r="U307" s="150"/>
      <c r="V307" s="117"/>
      <c r="W307" s="117"/>
      <c r="X307" s="117"/>
      <c r="Y307" s="117"/>
      <c r="Z307" s="150"/>
      <c r="AA307" s="117"/>
      <c r="AB307" s="117"/>
      <c r="AC307" s="117"/>
      <c r="AD307" s="117"/>
      <c r="AE307" s="150"/>
      <c r="AF307" s="117"/>
      <c r="AG307" s="117"/>
      <c r="AH307" s="117"/>
      <c r="AI307" s="117"/>
      <c r="AJ307" s="150"/>
      <c r="AK307" s="117"/>
      <c r="AL307" s="117"/>
      <c r="AM307" s="117"/>
      <c r="AN307" s="117"/>
      <c r="AO307" s="150">
        <f>SUM(AO305:AO306)</f>
        <v>5603</v>
      </c>
      <c r="AP307" s="117"/>
      <c r="AQ307" s="117"/>
      <c r="AR307" s="117"/>
      <c r="AS307" s="117"/>
      <c r="AT307" s="150">
        <f>SUM(AT305:AT306)</f>
        <v>3088</v>
      </c>
      <c r="AU307" s="117"/>
      <c r="AV307" s="117"/>
      <c r="AW307" s="117"/>
      <c r="AX307" s="117"/>
      <c r="AY307" s="150">
        <f>SUM(AY305:AY306)</f>
        <v>5564</v>
      </c>
      <c r="AZ307" s="117"/>
      <c r="BA307" s="117"/>
      <c r="BB307" s="117"/>
      <c r="BC307" s="117"/>
      <c r="BD307" s="150">
        <f>SUM(BD305:BD306)</f>
        <v>8304</v>
      </c>
      <c r="BE307" s="117"/>
      <c r="BF307" s="117"/>
      <c r="BG307" s="117"/>
      <c r="BH307" s="117"/>
      <c r="BI307" s="150">
        <f>SUM(BI305:BI306)</f>
        <v>6831</v>
      </c>
      <c r="BJ307" s="117"/>
      <c r="BK307" s="117"/>
      <c r="BL307" s="117"/>
      <c r="BM307" s="117"/>
      <c r="BN307" s="150">
        <f>SUM(BN305:BN306)</f>
        <v>7240</v>
      </c>
      <c r="BO307" s="117"/>
      <c r="BP307" s="117"/>
      <c r="BQ307" s="117"/>
      <c r="BR307" s="117"/>
      <c r="BS307" s="150">
        <f>SUM(BS305:BS306)</f>
        <v>8362</v>
      </c>
      <c r="BT307" s="691"/>
      <c r="BU307" s="117"/>
      <c r="BV307" s="117"/>
      <c r="BW307" s="117"/>
      <c r="BX307" s="150"/>
      <c r="BY307" s="117"/>
      <c r="BZ307" s="117"/>
      <c r="CA307" s="117"/>
      <c r="CB307" s="117"/>
      <c r="CC307" s="150"/>
      <c r="CD307" s="150"/>
      <c r="CE307" s="150"/>
      <c r="CF307" s="150"/>
      <c r="CG307" s="587"/>
    </row>
    <row r="308" spans="1:85" s="460" customFormat="1" ht="14.4" hidden="1" outlineLevel="1" x14ac:dyDescent="0.3">
      <c r="A308" s="591" t="s">
        <v>1096</v>
      </c>
      <c r="B308" s="586"/>
      <c r="C308" s="150"/>
      <c r="D308" s="150"/>
      <c r="E308" s="150"/>
      <c r="F308" s="150"/>
      <c r="G308" s="117"/>
      <c r="H308" s="117"/>
      <c r="I308" s="117"/>
      <c r="J308" s="117"/>
      <c r="K308" s="150"/>
      <c r="L308" s="117"/>
      <c r="M308" s="117"/>
      <c r="N308" s="117"/>
      <c r="O308" s="117"/>
      <c r="P308" s="150"/>
      <c r="Q308" s="117"/>
      <c r="R308" s="117"/>
      <c r="S308" s="117"/>
      <c r="T308" s="117"/>
      <c r="U308" s="150"/>
      <c r="V308" s="117"/>
      <c r="W308" s="117"/>
      <c r="X308" s="117"/>
      <c r="Y308" s="117"/>
      <c r="Z308" s="150"/>
      <c r="AA308" s="117"/>
      <c r="AB308" s="117"/>
      <c r="AC308" s="117"/>
      <c r="AD308" s="117"/>
      <c r="AE308" s="150"/>
      <c r="AF308" s="117"/>
      <c r="AG308" s="117"/>
      <c r="AH308" s="117"/>
      <c r="AI308" s="117"/>
      <c r="AJ308" s="150"/>
      <c r="AK308" s="117"/>
      <c r="AL308" s="117"/>
      <c r="AM308" s="117"/>
      <c r="AN308" s="117"/>
      <c r="AO308" s="975">
        <v>-475</v>
      </c>
      <c r="AP308" s="117"/>
      <c r="AQ308" s="117"/>
      <c r="AR308" s="117"/>
      <c r="AS308" s="117"/>
      <c r="AT308" s="975">
        <v>-419</v>
      </c>
      <c r="AU308" s="117"/>
      <c r="AV308" s="117"/>
      <c r="AW308" s="117"/>
      <c r="AX308" s="117"/>
      <c r="AY308" s="975">
        <v>-487</v>
      </c>
      <c r="AZ308" s="117"/>
      <c r="BA308" s="117"/>
      <c r="BB308" s="117"/>
      <c r="BC308" s="117"/>
      <c r="BD308" s="975">
        <v>-485</v>
      </c>
      <c r="BE308" s="117"/>
      <c r="BF308" s="117"/>
      <c r="BG308" s="117"/>
      <c r="BH308" s="117"/>
      <c r="BI308" s="975">
        <v>-602</v>
      </c>
      <c r="BJ308" s="117"/>
      <c r="BK308" s="117"/>
      <c r="BL308" s="117"/>
      <c r="BM308" s="117"/>
      <c r="BN308" s="975">
        <v>-696</v>
      </c>
      <c r="BO308" s="117"/>
      <c r="BP308" s="117"/>
      <c r="BQ308" s="117"/>
      <c r="BR308" s="117"/>
      <c r="BS308" s="975">
        <v>-636</v>
      </c>
      <c r="BT308" s="691"/>
      <c r="BU308" s="117"/>
      <c r="BV308" s="117"/>
      <c r="BW308" s="117"/>
      <c r="BX308" s="150"/>
      <c r="BY308" s="117"/>
      <c r="BZ308" s="117"/>
      <c r="CA308" s="117"/>
      <c r="CB308" s="117"/>
      <c r="CC308" s="150"/>
      <c r="CD308" s="150"/>
      <c r="CE308" s="150"/>
      <c r="CF308" s="150"/>
      <c r="CG308" s="587"/>
    </row>
    <row r="309" spans="1:85" s="460" customFormat="1" ht="14.4" hidden="1" outlineLevel="1" x14ac:dyDescent="0.3">
      <c r="A309" s="591" t="s">
        <v>1097</v>
      </c>
      <c r="B309" s="586"/>
      <c r="C309" s="150"/>
      <c r="D309" s="150"/>
      <c r="E309" s="150"/>
      <c r="F309" s="150"/>
      <c r="G309" s="117"/>
      <c r="H309" s="117"/>
      <c r="I309" s="117"/>
      <c r="J309" s="117"/>
      <c r="K309" s="150"/>
      <c r="L309" s="117"/>
      <c r="M309" s="117"/>
      <c r="N309" s="117"/>
      <c r="O309" s="117"/>
      <c r="P309" s="150"/>
      <c r="Q309" s="117"/>
      <c r="R309" s="117"/>
      <c r="S309" s="117"/>
      <c r="T309" s="117"/>
      <c r="U309" s="150"/>
      <c r="V309" s="117"/>
      <c r="W309" s="117"/>
      <c r="X309" s="117"/>
      <c r="Y309" s="117"/>
      <c r="Z309" s="150"/>
      <c r="AA309" s="117"/>
      <c r="AB309" s="117"/>
      <c r="AC309" s="117"/>
      <c r="AD309" s="117"/>
      <c r="AE309" s="150"/>
      <c r="AF309" s="117"/>
      <c r="AG309" s="117"/>
      <c r="AH309" s="117"/>
      <c r="AI309" s="117"/>
      <c r="AJ309" s="150"/>
      <c r="AK309" s="117"/>
      <c r="AL309" s="117"/>
      <c r="AM309" s="117"/>
      <c r="AN309" s="117"/>
      <c r="AO309" s="975">
        <v>-57</v>
      </c>
      <c r="AP309" s="117"/>
      <c r="AQ309" s="117"/>
      <c r="AR309" s="117"/>
      <c r="AS309" s="117"/>
      <c r="AT309" s="975">
        <v>-190</v>
      </c>
      <c r="AU309" s="117"/>
      <c r="AV309" s="117"/>
      <c r="AW309" s="117"/>
      <c r="AX309" s="117"/>
      <c r="AY309" s="975">
        <v>-359</v>
      </c>
      <c r="AZ309" s="117"/>
      <c r="BA309" s="117"/>
      <c r="BB309" s="117"/>
      <c r="BC309" s="117"/>
      <c r="BD309" s="975">
        <v>-933</v>
      </c>
      <c r="BE309" s="117"/>
      <c r="BF309" s="117"/>
      <c r="BG309" s="117"/>
      <c r="BH309" s="117"/>
      <c r="BI309" s="975">
        <v>-675</v>
      </c>
      <c r="BJ309" s="117"/>
      <c r="BK309" s="117"/>
      <c r="BL309" s="117"/>
      <c r="BM309" s="117"/>
      <c r="BN309" s="975">
        <v>-1117</v>
      </c>
      <c r="BO309" s="117"/>
      <c r="BP309" s="117"/>
      <c r="BQ309" s="117"/>
      <c r="BR309" s="117"/>
      <c r="BS309" s="975">
        <v>-1378</v>
      </c>
      <c r="BT309" s="691"/>
      <c r="BU309" s="117"/>
      <c r="BV309" s="117"/>
      <c r="BW309" s="117"/>
      <c r="BX309" s="150"/>
      <c r="BY309" s="117"/>
      <c r="BZ309" s="117"/>
      <c r="CA309" s="117"/>
      <c r="CB309" s="117"/>
      <c r="CC309" s="150"/>
      <c r="CD309" s="150"/>
      <c r="CE309" s="150"/>
      <c r="CF309" s="150"/>
      <c r="CG309" s="587"/>
    </row>
    <row r="310" spans="1:85" s="460" customFormat="1" ht="14.4" hidden="1" outlineLevel="1" x14ac:dyDescent="0.3">
      <c r="A310" s="591" t="s">
        <v>1098</v>
      </c>
      <c r="B310" s="586"/>
      <c r="C310" s="150"/>
      <c r="D310" s="150"/>
      <c r="E310" s="150"/>
      <c r="F310" s="150"/>
      <c r="G310" s="117"/>
      <c r="H310" s="117"/>
      <c r="I310" s="117"/>
      <c r="J310" s="117"/>
      <c r="K310" s="150"/>
      <c r="L310" s="117"/>
      <c r="M310" s="117"/>
      <c r="N310" s="117"/>
      <c r="O310" s="117"/>
      <c r="P310" s="150"/>
      <c r="Q310" s="117"/>
      <c r="R310" s="117"/>
      <c r="S310" s="117"/>
      <c r="T310" s="117"/>
      <c r="U310" s="150"/>
      <c r="V310" s="117"/>
      <c r="W310" s="117"/>
      <c r="X310" s="117"/>
      <c r="Y310" s="117"/>
      <c r="Z310" s="150"/>
      <c r="AA310" s="117"/>
      <c r="AB310" s="117"/>
      <c r="AC310" s="117"/>
      <c r="AD310" s="117"/>
      <c r="AE310" s="150"/>
      <c r="AF310" s="117"/>
      <c r="AG310" s="117"/>
      <c r="AH310" s="117"/>
      <c r="AI310" s="117"/>
      <c r="AJ310" s="150"/>
      <c r="AK310" s="117"/>
      <c r="AL310" s="117"/>
      <c r="AM310" s="117"/>
      <c r="AN310" s="117"/>
      <c r="AO310" s="975">
        <v>-870</v>
      </c>
      <c r="AP310" s="117"/>
      <c r="AQ310" s="117"/>
      <c r="AR310" s="117"/>
      <c r="AS310" s="117"/>
      <c r="AT310" s="975">
        <v>-879</v>
      </c>
      <c r="AU310" s="117"/>
      <c r="AV310" s="117"/>
      <c r="AW310" s="117"/>
      <c r="AX310" s="117"/>
      <c r="AY310" s="975">
        <v>-947</v>
      </c>
      <c r="AZ310" s="117"/>
      <c r="BA310" s="117"/>
      <c r="BB310" s="117"/>
      <c r="BC310" s="117"/>
      <c r="BD310" s="975">
        <v>-964</v>
      </c>
      <c r="BE310" s="117"/>
      <c r="BF310" s="117"/>
      <c r="BG310" s="117"/>
      <c r="BH310" s="117"/>
      <c r="BI310" s="975">
        <v>-895</v>
      </c>
      <c r="BJ310" s="117"/>
      <c r="BK310" s="117"/>
      <c r="BL310" s="117"/>
      <c r="BM310" s="117"/>
      <c r="BN310" s="975">
        <v>-1222</v>
      </c>
      <c r="BO310" s="117"/>
      <c r="BP310" s="117"/>
      <c r="BQ310" s="117"/>
      <c r="BR310" s="117"/>
      <c r="BS310" s="975">
        <v>-4621</v>
      </c>
      <c r="BT310" s="691"/>
      <c r="BU310" s="117"/>
      <c r="BV310" s="117"/>
      <c r="BW310" s="117"/>
      <c r="BX310" s="150"/>
      <c r="BY310" s="117"/>
      <c r="BZ310" s="117"/>
      <c r="CA310" s="117"/>
      <c r="CB310" s="117"/>
      <c r="CC310" s="150"/>
      <c r="CD310" s="150"/>
      <c r="CE310" s="150"/>
      <c r="CF310" s="150"/>
      <c r="CG310" s="587"/>
    </row>
    <row r="311" spans="1:85" s="460" customFormat="1" ht="14.4" hidden="1" outlineLevel="1" x14ac:dyDescent="0.3">
      <c r="A311" s="591" t="s">
        <v>1099</v>
      </c>
      <c r="B311" s="586"/>
      <c r="C311" s="150"/>
      <c r="D311" s="150"/>
      <c r="E311" s="150"/>
      <c r="F311" s="150"/>
      <c r="G311" s="117"/>
      <c r="H311" s="117"/>
      <c r="I311" s="117"/>
      <c r="J311" s="117"/>
      <c r="K311" s="150"/>
      <c r="L311" s="117"/>
      <c r="M311" s="117"/>
      <c r="N311" s="117"/>
      <c r="O311" s="117"/>
      <c r="P311" s="150"/>
      <c r="Q311" s="117"/>
      <c r="R311" s="117"/>
      <c r="S311" s="117"/>
      <c r="T311" s="117"/>
      <c r="U311" s="150"/>
      <c r="V311" s="117"/>
      <c r="W311" s="117"/>
      <c r="X311" s="117"/>
      <c r="Y311" s="117"/>
      <c r="Z311" s="150"/>
      <c r="AA311" s="117"/>
      <c r="AB311" s="117"/>
      <c r="AC311" s="117"/>
      <c r="AD311" s="117"/>
      <c r="AE311" s="150"/>
      <c r="AF311" s="117"/>
      <c r="AG311" s="117"/>
      <c r="AH311" s="117"/>
      <c r="AI311" s="117"/>
      <c r="AJ311" s="150"/>
      <c r="AK311" s="117"/>
      <c r="AL311" s="117"/>
      <c r="AM311" s="117"/>
      <c r="AN311" s="117"/>
      <c r="AO311" s="975">
        <v>-5</v>
      </c>
      <c r="AP311" s="117"/>
      <c r="AQ311" s="117"/>
      <c r="AR311" s="117"/>
      <c r="AS311" s="117"/>
      <c r="AT311" s="975">
        <v>-9</v>
      </c>
      <c r="AU311" s="117"/>
      <c r="AV311" s="117"/>
      <c r="AW311" s="117"/>
      <c r="AX311" s="117"/>
      <c r="AY311" s="975">
        <v>-7</v>
      </c>
      <c r="AZ311" s="117"/>
      <c r="BA311" s="117"/>
      <c r="BB311" s="117"/>
      <c r="BC311" s="117"/>
      <c r="BD311" s="975">
        <v>-6</v>
      </c>
      <c r="BE311" s="117"/>
      <c r="BF311" s="117"/>
      <c r="BG311" s="117"/>
      <c r="BH311" s="117"/>
      <c r="BI311" s="975">
        <v>-7</v>
      </c>
      <c r="BJ311" s="117"/>
      <c r="BK311" s="117"/>
      <c r="BL311" s="117"/>
      <c r="BM311" s="117"/>
      <c r="BN311" s="975">
        <v>-5</v>
      </c>
      <c r="BO311" s="117"/>
      <c r="BP311" s="117"/>
      <c r="BQ311" s="117"/>
      <c r="BR311" s="117"/>
      <c r="BS311" s="975">
        <v>-8</v>
      </c>
      <c r="BT311" s="691"/>
      <c r="BU311" s="117"/>
      <c r="BV311" s="117"/>
      <c r="BW311" s="117"/>
      <c r="BX311" s="150"/>
      <c r="BY311" s="117"/>
      <c r="BZ311" s="117"/>
      <c r="CA311" s="117"/>
      <c r="CB311" s="117"/>
      <c r="CC311" s="150"/>
      <c r="CD311" s="150"/>
      <c r="CE311" s="150"/>
      <c r="CF311" s="150"/>
      <c r="CG311" s="587"/>
    </row>
    <row r="312" spans="1:85" s="460" customFormat="1" ht="14.4" hidden="1" outlineLevel="1" x14ac:dyDescent="0.3">
      <c r="A312" s="591" t="s">
        <v>1100</v>
      </c>
      <c r="B312" s="586"/>
      <c r="C312" s="150"/>
      <c r="D312" s="150"/>
      <c r="E312" s="150"/>
      <c r="F312" s="150"/>
      <c r="G312" s="117"/>
      <c r="H312" s="117"/>
      <c r="I312" s="117"/>
      <c r="J312" s="117"/>
      <c r="K312" s="150"/>
      <c r="L312" s="117"/>
      <c r="M312" s="117"/>
      <c r="N312" s="117"/>
      <c r="O312" s="117"/>
      <c r="P312" s="150"/>
      <c r="Q312" s="117"/>
      <c r="R312" s="117"/>
      <c r="S312" s="117"/>
      <c r="T312" s="117"/>
      <c r="U312" s="150"/>
      <c r="V312" s="117"/>
      <c r="W312" s="117"/>
      <c r="X312" s="117"/>
      <c r="Y312" s="117"/>
      <c r="Z312" s="150"/>
      <c r="AA312" s="117"/>
      <c r="AB312" s="117"/>
      <c r="AC312" s="117"/>
      <c r="AD312" s="117"/>
      <c r="AE312" s="150"/>
      <c r="AF312" s="117"/>
      <c r="AG312" s="117"/>
      <c r="AH312" s="117"/>
      <c r="AI312" s="117"/>
      <c r="AJ312" s="150"/>
      <c r="AK312" s="117"/>
      <c r="AL312" s="117"/>
      <c r="AM312" s="117"/>
      <c r="AN312" s="117"/>
      <c r="AO312" s="975">
        <v>0</v>
      </c>
      <c r="AP312" s="117"/>
      <c r="AQ312" s="117"/>
      <c r="AR312" s="117"/>
      <c r="AS312" s="117"/>
      <c r="AT312" s="975">
        <v>0</v>
      </c>
      <c r="AU312" s="117"/>
      <c r="AV312" s="117"/>
      <c r="AW312" s="117"/>
      <c r="AX312" s="117"/>
      <c r="AY312" s="975">
        <v>0</v>
      </c>
      <c r="AZ312" s="117"/>
      <c r="BA312" s="117"/>
      <c r="BB312" s="117"/>
      <c r="BC312" s="117"/>
      <c r="BD312" s="975">
        <v>0</v>
      </c>
      <c r="BE312" s="117"/>
      <c r="BF312" s="117"/>
      <c r="BG312" s="117"/>
      <c r="BH312" s="117"/>
      <c r="BI312" s="975">
        <v>0</v>
      </c>
      <c r="BJ312" s="117"/>
      <c r="BK312" s="117"/>
      <c r="BL312" s="117"/>
      <c r="BM312" s="117"/>
      <c r="BN312" s="975">
        <v>0</v>
      </c>
      <c r="BO312" s="117"/>
      <c r="BP312" s="117"/>
      <c r="BQ312" s="117"/>
      <c r="BR312" s="117"/>
      <c r="BS312" s="975">
        <v>0</v>
      </c>
      <c r="BT312" s="691"/>
      <c r="BU312" s="117"/>
      <c r="BV312" s="117"/>
      <c r="BW312" s="117"/>
      <c r="BX312" s="150"/>
      <c r="BY312" s="117"/>
      <c r="BZ312" s="117"/>
      <c r="CA312" s="117"/>
      <c r="CB312" s="117"/>
      <c r="CC312" s="150"/>
      <c r="CD312" s="150"/>
      <c r="CE312" s="150"/>
      <c r="CF312" s="150"/>
      <c r="CG312" s="587"/>
    </row>
    <row r="313" spans="1:85" s="460" customFormat="1" ht="14.4" hidden="1" outlineLevel="1" x14ac:dyDescent="0.3">
      <c r="A313" s="591" t="s">
        <v>1003</v>
      </c>
      <c r="B313" s="586"/>
      <c r="C313" s="150"/>
      <c r="D313" s="150"/>
      <c r="E313" s="150"/>
      <c r="F313" s="150"/>
      <c r="G313" s="117"/>
      <c r="H313" s="117"/>
      <c r="I313" s="117"/>
      <c r="J313" s="117"/>
      <c r="K313" s="150"/>
      <c r="L313" s="117"/>
      <c r="M313" s="117"/>
      <c r="N313" s="117"/>
      <c r="O313" s="117"/>
      <c r="P313" s="150"/>
      <c r="Q313" s="117"/>
      <c r="R313" s="117"/>
      <c r="S313" s="117"/>
      <c r="T313" s="117"/>
      <c r="U313" s="150"/>
      <c r="V313" s="117"/>
      <c r="W313" s="117"/>
      <c r="X313" s="117"/>
      <c r="Y313" s="117"/>
      <c r="Z313" s="150"/>
      <c r="AA313" s="117"/>
      <c r="AB313" s="117"/>
      <c r="AC313" s="117"/>
      <c r="AD313" s="117"/>
      <c r="AE313" s="150"/>
      <c r="AF313" s="117"/>
      <c r="AG313" s="117"/>
      <c r="AH313" s="117"/>
      <c r="AI313" s="117"/>
      <c r="AJ313" s="150"/>
      <c r="AK313" s="117"/>
      <c r="AL313" s="117"/>
      <c r="AM313" s="117"/>
      <c r="AN313" s="117"/>
      <c r="AO313" s="975">
        <v>-4</v>
      </c>
      <c r="AP313" s="117"/>
      <c r="AQ313" s="117"/>
      <c r="AR313" s="117"/>
      <c r="AS313" s="117"/>
      <c r="AT313" s="975">
        <v>0</v>
      </c>
      <c r="AU313" s="117"/>
      <c r="AV313" s="117"/>
      <c r="AW313" s="117"/>
      <c r="AX313" s="117"/>
      <c r="AY313" s="975">
        <v>0</v>
      </c>
      <c r="AZ313" s="117"/>
      <c r="BA313" s="117"/>
      <c r="BB313" s="117"/>
      <c r="BC313" s="117"/>
      <c r="BD313" s="975">
        <v>0</v>
      </c>
      <c r="BE313" s="117"/>
      <c r="BF313" s="117"/>
      <c r="BG313" s="117"/>
      <c r="BH313" s="117"/>
      <c r="BI313" s="975">
        <v>0</v>
      </c>
      <c r="BJ313" s="117"/>
      <c r="BK313" s="117"/>
      <c r="BL313" s="117"/>
      <c r="BM313" s="117"/>
      <c r="BN313" s="975">
        <v>0</v>
      </c>
      <c r="BO313" s="117"/>
      <c r="BP313" s="117"/>
      <c r="BQ313" s="117"/>
      <c r="BR313" s="117"/>
      <c r="BS313" s="975">
        <v>0</v>
      </c>
      <c r="BT313" s="691"/>
      <c r="BU313" s="117"/>
      <c r="BV313" s="117"/>
      <c r="BW313" s="117"/>
      <c r="BX313" s="150"/>
      <c r="BY313" s="117"/>
      <c r="BZ313" s="117"/>
      <c r="CA313" s="117"/>
      <c r="CB313" s="117"/>
      <c r="CC313" s="150"/>
      <c r="CD313" s="150"/>
      <c r="CE313" s="150"/>
      <c r="CF313" s="150"/>
      <c r="CG313" s="587"/>
    </row>
    <row r="314" spans="1:85" s="460" customFormat="1" ht="14.4" hidden="1" outlineLevel="1" x14ac:dyDescent="0.3">
      <c r="A314" s="592" t="s">
        <v>1101</v>
      </c>
      <c r="B314" s="588"/>
      <c r="C314" s="954"/>
      <c r="D314" s="954"/>
      <c r="E314" s="954"/>
      <c r="F314" s="954"/>
      <c r="G314" s="133"/>
      <c r="H314" s="133"/>
      <c r="I314" s="133"/>
      <c r="J314" s="133"/>
      <c r="K314" s="954"/>
      <c r="L314" s="133"/>
      <c r="M314" s="133"/>
      <c r="N314" s="133"/>
      <c r="O314" s="133"/>
      <c r="P314" s="954"/>
      <c r="Q314" s="133"/>
      <c r="R314" s="133"/>
      <c r="S314" s="133"/>
      <c r="T314" s="133"/>
      <c r="U314" s="954"/>
      <c r="V314" s="133"/>
      <c r="W314" s="133"/>
      <c r="X314" s="133"/>
      <c r="Y314" s="133"/>
      <c r="Z314" s="954"/>
      <c r="AA314" s="133"/>
      <c r="AB314" s="133"/>
      <c r="AC314" s="133"/>
      <c r="AD314" s="133"/>
      <c r="AE314" s="954"/>
      <c r="AF314" s="133"/>
      <c r="AG314" s="133"/>
      <c r="AH314" s="133"/>
      <c r="AI314" s="133"/>
      <c r="AJ314" s="954"/>
      <c r="AK314" s="133"/>
      <c r="AL314" s="133"/>
      <c r="AM314" s="133"/>
      <c r="AN314" s="133"/>
      <c r="AO314" s="976">
        <v>1</v>
      </c>
      <c r="AP314" s="133"/>
      <c r="AQ314" s="133"/>
      <c r="AR314" s="133"/>
      <c r="AS314" s="133"/>
      <c r="AT314" s="976">
        <v>-29</v>
      </c>
      <c r="AU314" s="133"/>
      <c r="AV314" s="133"/>
      <c r="AW314" s="133"/>
      <c r="AX314" s="133"/>
      <c r="AY314" s="976">
        <v>98</v>
      </c>
      <c r="AZ314" s="133"/>
      <c r="BA314" s="133"/>
      <c r="BB314" s="133"/>
      <c r="BC314" s="133"/>
      <c r="BD314" s="976">
        <v>195</v>
      </c>
      <c r="BE314" s="133"/>
      <c r="BF314" s="133"/>
      <c r="BG314" s="133"/>
      <c r="BH314" s="133"/>
      <c r="BI314" s="976">
        <v>32</v>
      </c>
      <c r="BJ314" s="133"/>
      <c r="BK314" s="133"/>
      <c r="BL314" s="133"/>
      <c r="BM314" s="133"/>
      <c r="BN314" s="976">
        <v>-80</v>
      </c>
      <c r="BO314" s="133"/>
      <c r="BP314" s="133"/>
      <c r="BQ314" s="133"/>
      <c r="BR314" s="133"/>
      <c r="BS314" s="976">
        <v>53</v>
      </c>
      <c r="BT314" s="692"/>
      <c r="BU314" s="133"/>
      <c r="BV314" s="133"/>
      <c r="BW314" s="133"/>
      <c r="BX314" s="954"/>
      <c r="BY314" s="133"/>
      <c r="BZ314" s="133"/>
      <c r="CA314" s="133"/>
      <c r="CB314" s="133"/>
      <c r="CC314" s="954"/>
      <c r="CD314" s="954"/>
      <c r="CE314" s="954"/>
      <c r="CF314" s="954"/>
      <c r="CG314" s="587"/>
    </row>
    <row r="315" spans="1:85" s="460" customFormat="1" ht="14.4" hidden="1" outlineLevel="1" x14ac:dyDescent="0.3">
      <c r="A315" s="159" t="s">
        <v>1102</v>
      </c>
      <c r="B315" s="586"/>
      <c r="C315" s="150"/>
      <c r="D315" s="150"/>
      <c r="E315" s="150"/>
      <c r="F315" s="150"/>
      <c r="G315" s="117"/>
      <c r="H315" s="117"/>
      <c r="I315" s="117"/>
      <c r="J315" s="117"/>
      <c r="K315" s="150"/>
      <c r="L315" s="117"/>
      <c r="M315" s="117"/>
      <c r="N315" s="117"/>
      <c r="O315" s="117"/>
      <c r="P315" s="150"/>
      <c r="Q315" s="117"/>
      <c r="R315" s="117"/>
      <c r="S315" s="117"/>
      <c r="T315" s="117"/>
      <c r="U315" s="150"/>
      <c r="V315" s="117"/>
      <c r="W315" s="117"/>
      <c r="X315" s="117"/>
      <c r="Y315" s="117"/>
      <c r="Z315" s="150"/>
      <c r="AA315" s="117"/>
      <c r="AB315" s="117"/>
      <c r="AC315" s="117"/>
      <c r="AD315" s="117"/>
      <c r="AE315" s="150"/>
      <c r="AF315" s="117"/>
      <c r="AG315" s="117"/>
      <c r="AH315" s="117"/>
      <c r="AI315" s="117"/>
      <c r="AJ315" s="150"/>
      <c r="AK315" s="117"/>
      <c r="AL315" s="117"/>
      <c r="AM315" s="117"/>
      <c r="AN315" s="117"/>
      <c r="AO315" s="150">
        <f>SUM(AO307:AO314)</f>
        <v>4193</v>
      </c>
      <c r="AP315" s="117"/>
      <c r="AQ315" s="117"/>
      <c r="AR315" s="117"/>
      <c r="AS315" s="117"/>
      <c r="AT315" s="150">
        <f>SUM(AT307:AT314)</f>
        <v>1562</v>
      </c>
      <c r="AU315" s="117"/>
      <c r="AV315" s="117"/>
      <c r="AW315" s="117"/>
      <c r="AX315" s="117"/>
      <c r="AY315" s="150">
        <f>SUM(AY307:AY314)</f>
        <v>3862</v>
      </c>
      <c r="AZ315" s="117"/>
      <c r="BA315" s="117"/>
      <c r="BB315" s="117"/>
      <c r="BC315" s="117"/>
      <c r="BD315" s="150">
        <f>SUM(BD307:BD314)</f>
        <v>6111</v>
      </c>
      <c r="BE315" s="117"/>
      <c r="BF315" s="117"/>
      <c r="BG315" s="117"/>
      <c r="BH315" s="117"/>
      <c r="BI315" s="150">
        <f>SUM(BI307:BI314)</f>
        <v>4684</v>
      </c>
      <c r="BJ315" s="117"/>
      <c r="BK315" s="117"/>
      <c r="BL315" s="117"/>
      <c r="BM315" s="117"/>
      <c r="BN315" s="150">
        <f>SUM(BN307:BN314)</f>
        <v>4120</v>
      </c>
      <c r="BO315" s="117"/>
      <c r="BP315" s="117"/>
      <c r="BQ315" s="117"/>
      <c r="BR315" s="117"/>
      <c r="BS315" s="150">
        <f>SUM(BS307:BS314)</f>
        <v>1772</v>
      </c>
      <c r="BT315" s="691"/>
      <c r="BU315" s="117"/>
      <c r="BV315" s="117"/>
      <c r="BW315" s="117"/>
      <c r="BX315" s="150"/>
      <c r="BY315" s="117"/>
      <c r="BZ315" s="117"/>
      <c r="CA315" s="117"/>
      <c r="CB315" s="117"/>
      <c r="CC315" s="150"/>
      <c r="CD315" s="150"/>
      <c r="CE315" s="150"/>
      <c r="CF315" s="150"/>
      <c r="CG315" s="587"/>
    </row>
    <row r="316" spans="1:85" s="460" customFormat="1" ht="14.4" hidden="1" outlineLevel="1" x14ac:dyDescent="0.3">
      <c r="A316" s="262" t="s">
        <v>1103</v>
      </c>
      <c r="B316" s="588"/>
      <c r="C316" s="954"/>
      <c r="D316" s="954"/>
      <c r="E316" s="954"/>
      <c r="F316" s="954"/>
      <c r="G316" s="133"/>
      <c r="H316" s="133"/>
      <c r="I316" s="133"/>
      <c r="J316" s="133"/>
      <c r="K316" s="954"/>
      <c r="L316" s="133"/>
      <c r="M316" s="133"/>
      <c r="N316" s="133"/>
      <c r="O316" s="133"/>
      <c r="P316" s="954"/>
      <c r="Q316" s="133"/>
      <c r="R316" s="133"/>
      <c r="S316" s="133"/>
      <c r="T316" s="133"/>
      <c r="U316" s="954"/>
      <c r="V316" s="133"/>
      <c r="W316" s="133"/>
      <c r="X316" s="133"/>
      <c r="Y316" s="133"/>
      <c r="Z316" s="954"/>
      <c r="AA316" s="133"/>
      <c r="AB316" s="133"/>
      <c r="AC316" s="133"/>
      <c r="AD316" s="133"/>
      <c r="AE316" s="954"/>
      <c r="AF316" s="133"/>
      <c r="AG316" s="133"/>
      <c r="AH316" s="133"/>
      <c r="AI316" s="133"/>
      <c r="AJ316" s="954"/>
      <c r="AK316" s="133"/>
      <c r="AL316" s="133"/>
      <c r="AM316" s="133"/>
      <c r="AN316" s="133"/>
      <c r="AO316" s="976">
        <v>-1261</v>
      </c>
      <c r="AP316" s="133"/>
      <c r="AQ316" s="133"/>
      <c r="AR316" s="133"/>
      <c r="AS316" s="133"/>
      <c r="AT316" s="976">
        <v>-471</v>
      </c>
      <c r="AU316" s="133"/>
      <c r="AV316" s="133"/>
      <c r="AW316" s="133"/>
      <c r="AX316" s="133"/>
      <c r="AY316" s="976">
        <v>-1161</v>
      </c>
      <c r="AZ316" s="133"/>
      <c r="BA316" s="133"/>
      <c r="BB316" s="133"/>
      <c r="BC316" s="133"/>
      <c r="BD316" s="976">
        <v>-1835</v>
      </c>
      <c r="BE316" s="133"/>
      <c r="BF316" s="133"/>
      <c r="BG316" s="133"/>
      <c r="BH316" s="133"/>
      <c r="BI316" s="976">
        <v>-1408</v>
      </c>
      <c r="BJ316" s="133"/>
      <c r="BK316" s="133"/>
      <c r="BL316" s="133"/>
      <c r="BM316" s="133"/>
      <c r="BN316" s="976">
        <v>-1238</v>
      </c>
      <c r="BO316" s="133"/>
      <c r="BP316" s="133"/>
      <c r="BQ316" s="133"/>
      <c r="BR316" s="133"/>
      <c r="BS316" s="976">
        <v>-535</v>
      </c>
      <c r="BT316" s="692"/>
      <c r="BU316" s="133"/>
      <c r="BV316" s="133"/>
      <c r="BW316" s="133"/>
      <c r="BX316" s="954"/>
      <c r="BY316" s="133"/>
      <c r="BZ316" s="133"/>
      <c r="CA316" s="133"/>
      <c r="CB316" s="133"/>
      <c r="CC316" s="954"/>
      <c r="CD316" s="954"/>
      <c r="CE316" s="954"/>
      <c r="CF316" s="954"/>
      <c r="CG316" s="587"/>
    </row>
    <row r="317" spans="1:85" s="461" customFormat="1" ht="14.4" hidden="1" outlineLevel="1" x14ac:dyDescent="0.3">
      <c r="A317" s="166" t="s">
        <v>1104</v>
      </c>
      <c r="B317" s="583"/>
      <c r="C317" s="957"/>
      <c r="D317" s="957"/>
      <c r="E317" s="957"/>
      <c r="F317" s="957"/>
      <c r="G317" s="120"/>
      <c r="H317" s="120"/>
      <c r="I317" s="120"/>
      <c r="J317" s="120"/>
      <c r="K317" s="957"/>
      <c r="L317" s="120"/>
      <c r="M317" s="120"/>
      <c r="N317" s="120"/>
      <c r="O317" s="120"/>
      <c r="P317" s="957"/>
      <c r="Q317" s="120"/>
      <c r="R317" s="120"/>
      <c r="S317" s="120"/>
      <c r="T317" s="120"/>
      <c r="U317" s="957"/>
      <c r="V317" s="120"/>
      <c r="W317" s="120"/>
      <c r="X317" s="120"/>
      <c r="Y317" s="120"/>
      <c r="Z317" s="957"/>
      <c r="AA317" s="120"/>
      <c r="AB317" s="120"/>
      <c r="AC317" s="120"/>
      <c r="AD317" s="120"/>
      <c r="AE317" s="957"/>
      <c r="AF317" s="120"/>
      <c r="AG317" s="120"/>
      <c r="AH317" s="120"/>
      <c r="AI317" s="120"/>
      <c r="AJ317" s="957"/>
      <c r="AK317" s="120"/>
      <c r="AL317" s="120"/>
      <c r="AM317" s="120"/>
      <c r="AN317" s="120"/>
      <c r="AO317" s="957">
        <f>SUM(AO315:AO316)</f>
        <v>2932</v>
      </c>
      <c r="AP317" s="120"/>
      <c r="AQ317" s="120"/>
      <c r="AR317" s="120"/>
      <c r="AS317" s="120"/>
      <c r="AT317" s="957">
        <f>SUM(AT315:AT316)</f>
        <v>1091</v>
      </c>
      <c r="AU317" s="120"/>
      <c r="AV317" s="120"/>
      <c r="AW317" s="120"/>
      <c r="AX317" s="120"/>
      <c r="AY317" s="957">
        <f>SUM(AY315:AY316)</f>
        <v>2701</v>
      </c>
      <c r="AZ317" s="120"/>
      <c r="BA317" s="120"/>
      <c r="BB317" s="120"/>
      <c r="BC317" s="120"/>
      <c r="BD317" s="957">
        <f>SUM(BD315:BD316)</f>
        <v>4276</v>
      </c>
      <c r="BE317" s="120"/>
      <c r="BF317" s="120"/>
      <c r="BG317" s="120"/>
      <c r="BH317" s="120"/>
      <c r="BI317" s="957">
        <f>SUM(BI315:BI316)</f>
        <v>3276</v>
      </c>
      <c r="BJ317" s="120"/>
      <c r="BK317" s="120"/>
      <c r="BL317" s="120"/>
      <c r="BM317" s="120"/>
      <c r="BN317" s="957">
        <f>SUM(BN315:BN316)</f>
        <v>2882</v>
      </c>
      <c r="BO317" s="120"/>
      <c r="BP317" s="120"/>
      <c r="BQ317" s="120"/>
      <c r="BR317" s="120"/>
      <c r="BS317" s="957">
        <f>SUM(BS315:BS316)</f>
        <v>1237</v>
      </c>
      <c r="BT317" s="694"/>
      <c r="BU317" s="120"/>
      <c r="BV317" s="120"/>
      <c r="BW317" s="120"/>
      <c r="BX317" s="957"/>
      <c r="BY317" s="120"/>
      <c r="BZ317" s="120"/>
      <c r="CA317" s="120"/>
      <c r="CB317" s="120"/>
      <c r="CC317" s="957"/>
      <c r="CD317" s="957"/>
      <c r="CE317" s="957"/>
      <c r="CF317" s="957"/>
      <c r="CG317" s="615"/>
    </row>
    <row r="318" spans="1:85" s="461" customFormat="1" ht="14.4" hidden="1" outlineLevel="1" x14ac:dyDescent="0.3">
      <c r="A318" s="166"/>
      <c r="B318" s="583"/>
      <c r="C318" s="957"/>
      <c r="D318" s="957"/>
      <c r="E318" s="957"/>
      <c r="F318" s="957"/>
      <c r="G318" s="120"/>
      <c r="H318" s="120"/>
      <c r="I318" s="120"/>
      <c r="J318" s="120"/>
      <c r="K318" s="957"/>
      <c r="L318" s="120"/>
      <c r="M318" s="120"/>
      <c r="N318" s="120"/>
      <c r="O318" s="120"/>
      <c r="P318" s="957"/>
      <c r="Q318" s="120"/>
      <c r="R318" s="120"/>
      <c r="S318" s="120"/>
      <c r="T318" s="120"/>
      <c r="U318" s="957"/>
      <c r="V318" s="120"/>
      <c r="W318" s="120"/>
      <c r="X318" s="120"/>
      <c r="Y318" s="120"/>
      <c r="Z318" s="957"/>
      <c r="AA318" s="120"/>
      <c r="AB318" s="120"/>
      <c r="AC318" s="120"/>
      <c r="AD318" s="120"/>
      <c r="AE318" s="957"/>
      <c r="AF318" s="120"/>
      <c r="AG318" s="120"/>
      <c r="AH318" s="120"/>
      <c r="AI318" s="120"/>
      <c r="AJ318" s="957"/>
      <c r="AK318" s="120"/>
      <c r="AL318" s="120"/>
      <c r="AM318" s="120"/>
      <c r="AN318" s="120"/>
      <c r="AO318" s="957"/>
      <c r="AP318" s="120"/>
      <c r="AQ318" s="120"/>
      <c r="AR318" s="120"/>
      <c r="AS318" s="120"/>
      <c r="AT318" s="957"/>
      <c r="AU318" s="120"/>
      <c r="AV318" s="120"/>
      <c r="AW318" s="120"/>
      <c r="AX318" s="120"/>
      <c r="AY318" s="957"/>
      <c r="AZ318" s="120"/>
      <c r="BA318" s="120"/>
      <c r="BB318" s="120"/>
      <c r="BC318" s="120"/>
      <c r="BD318" s="957"/>
      <c r="BE318" s="120"/>
      <c r="BF318" s="120"/>
      <c r="BG318" s="120"/>
      <c r="BH318" s="120"/>
      <c r="BI318" s="957"/>
      <c r="BJ318" s="120"/>
      <c r="BK318" s="120"/>
      <c r="BL318" s="120"/>
      <c r="BM318" s="120"/>
      <c r="BN318" s="957"/>
      <c r="BO318" s="120"/>
      <c r="BP318" s="120"/>
      <c r="BQ318" s="120"/>
      <c r="BR318" s="120"/>
      <c r="BS318" s="957"/>
      <c r="BT318" s="694"/>
      <c r="BU318" s="120"/>
      <c r="BV318" s="120"/>
      <c r="BW318" s="120"/>
      <c r="BX318" s="957"/>
      <c r="BY318" s="120"/>
      <c r="BZ318" s="120"/>
      <c r="CA318" s="120"/>
      <c r="CB318" s="120"/>
      <c r="CC318" s="957"/>
      <c r="CD318" s="957"/>
      <c r="CE318" s="957"/>
      <c r="CF318" s="957"/>
      <c r="CG318" s="615"/>
    </row>
    <row r="319" spans="1:85" s="460" customFormat="1" ht="14.4" hidden="1" outlineLevel="1" x14ac:dyDescent="0.3">
      <c r="A319" s="591" t="s">
        <v>1105</v>
      </c>
      <c r="B319" s="586"/>
      <c r="C319" s="150"/>
      <c r="D319" s="150"/>
      <c r="E319" s="150"/>
      <c r="F319" s="150"/>
      <c r="G319" s="117"/>
      <c r="H319" s="117"/>
      <c r="I319" s="117"/>
      <c r="J319" s="117"/>
      <c r="K319" s="150"/>
      <c r="L319" s="117"/>
      <c r="M319" s="117"/>
      <c r="N319" s="117"/>
      <c r="O319" s="117"/>
      <c r="P319" s="150"/>
      <c r="Q319" s="117"/>
      <c r="R319" s="117"/>
      <c r="S319" s="117"/>
      <c r="T319" s="117"/>
      <c r="U319" s="150"/>
      <c r="V319" s="117"/>
      <c r="W319" s="117"/>
      <c r="X319" s="117"/>
      <c r="Y319" s="117"/>
      <c r="Z319" s="150"/>
      <c r="AA319" s="117"/>
      <c r="AB319" s="117"/>
      <c r="AC319" s="117"/>
      <c r="AD319" s="117"/>
      <c r="AE319" s="150"/>
      <c r="AF319" s="117"/>
      <c r="AG319" s="117"/>
      <c r="AH319" s="117"/>
      <c r="AI319" s="117"/>
      <c r="AJ319" s="150"/>
      <c r="AK319" s="117"/>
      <c r="AL319" s="117"/>
      <c r="AM319" s="117"/>
      <c r="AN319" s="117"/>
      <c r="AO319" s="975">
        <v>780</v>
      </c>
      <c r="AP319" s="117"/>
      <c r="AQ319" s="117"/>
      <c r="AR319" s="117"/>
      <c r="AS319" s="117"/>
      <c r="AT319" s="975">
        <v>288</v>
      </c>
      <c r="AU319" s="117"/>
      <c r="AV319" s="117"/>
      <c r="AW319" s="117"/>
      <c r="AX319" s="117"/>
      <c r="AY319" s="975">
        <v>868</v>
      </c>
      <c r="AZ319" s="117"/>
      <c r="BA319" s="117"/>
      <c r="BB319" s="117"/>
      <c r="BC319" s="117"/>
      <c r="BD319" s="975">
        <v>2080</v>
      </c>
      <c r="BE319" s="117"/>
      <c r="BF319" s="117"/>
      <c r="BG319" s="117"/>
      <c r="BH319" s="117"/>
      <c r="BI319" s="975">
        <v>891</v>
      </c>
      <c r="BJ319" s="117"/>
      <c r="BK319" s="117"/>
      <c r="BL319" s="117"/>
      <c r="BM319" s="117"/>
      <c r="BN319" s="975">
        <v>700</v>
      </c>
      <c r="BO319" s="117"/>
      <c r="BP319" s="117"/>
      <c r="BQ319" s="117"/>
      <c r="BR319" s="117"/>
      <c r="BS319" s="975">
        <v>895</v>
      </c>
      <c r="BT319" s="691"/>
      <c r="BU319" s="117"/>
      <c r="BV319" s="117"/>
      <c r="BW319" s="117"/>
      <c r="BX319" s="150"/>
      <c r="BY319" s="117"/>
      <c r="BZ319" s="117"/>
      <c r="CA319" s="117"/>
      <c r="CB319" s="117"/>
      <c r="CC319" s="150"/>
      <c r="CD319" s="150"/>
      <c r="CE319" s="150"/>
      <c r="CF319" s="150"/>
      <c r="CG319" s="587"/>
    </row>
    <row r="320" spans="1:85" s="460" customFormat="1" ht="14.4" hidden="1" outlineLevel="1" x14ac:dyDescent="0.3">
      <c r="A320" s="592" t="s">
        <v>1106</v>
      </c>
      <c r="B320" s="588"/>
      <c r="C320" s="954"/>
      <c r="D320" s="954"/>
      <c r="E320" s="954"/>
      <c r="F320" s="954"/>
      <c r="G320" s="133"/>
      <c r="H320" s="133"/>
      <c r="I320" s="133"/>
      <c r="J320" s="133"/>
      <c r="K320" s="954"/>
      <c r="L320" s="133"/>
      <c r="M320" s="133"/>
      <c r="N320" s="133"/>
      <c r="O320" s="133"/>
      <c r="P320" s="954"/>
      <c r="Q320" s="133"/>
      <c r="R320" s="133"/>
      <c r="S320" s="133"/>
      <c r="T320" s="133"/>
      <c r="U320" s="954"/>
      <c r="V320" s="133"/>
      <c r="W320" s="133"/>
      <c r="X320" s="133"/>
      <c r="Y320" s="133"/>
      <c r="Z320" s="954"/>
      <c r="AA320" s="133"/>
      <c r="AB320" s="133"/>
      <c r="AC320" s="133"/>
      <c r="AD320" s="133"/>
      <c r="AE320" s="954"/>
      <c r="AF320" s="133"/>
      <c r="AG320" s="133"/>
      <c r="AH320" s="133"/>
      <c r="AI320" s="133"/>
      <c r="AJ320" s="954"/>
      <c r="AK320" s="133"/>
      <c r="AL320" s="133"/>
      <c r="AM320" s="133"/>
      <c r="AN320" s="133"/>
      <c r="AO320" s="976">
        <v>0</v>
      </c>
      <c r="AP320" s="133"/>
      <c r="AQ320" s="133"/>
      <c r="AR320" s="133"/>
      <c r="AS320" s="133"/>
      <c r="AT320" s="976">
        <v>0</v>
      </c>
      <c r="AU320" s="133"/>
      <c r="AV320" s="133"/>
      <c r="AW320" s="133"/>
      <c r="AX320" s="133"/>
      <c r="AY320" s="976">
        <v>0</v>
      </c>
      <c r="AZ320" s="133"/>
      <c r="BA320" s="133"/>
      <c r="BB320" s="133"/>
      <c r="BC320" s="133"/>
      <c r="BD320" s="976">
        <v>0</v>
      </c>
      <c r="BE320" s="133"/>
      <c r="BF320" s="133"/>
      <c r="BG320" s="133"/>
      <c r="BH320" s="133"/>
      <c r="BI320" s="976">
        <v>0</v>
      </c>
      <c r="BJ320" s="133"/>
      <c r="BK320" s="133"/>
      <c r="BL320" s="133"/>
      <c r="BM320" s="133"/>
      <c r="BN320" s="976">
        <v>0</v>
      </c>
      <c r="BO320" s="133"/>
      <c r="BP320" s="133"/>
      <c r="BQ320" s="133"/>
      <c r="BR320" s="133"/>
      <c r="BS320" s="976">
        <v>0</v>
      </c>
      <c r="BT320" s="692"/>
      <c r="BU320" s="133"/>
      <c r="BV320" s="133"/>
      <c r="BW320" s="133"/>
      <c r="BX320" s="954"/>
      <c r="BY320" s="133"/>
      <c r="BZ320" s="133"/>
      <c r="CA320" s="133"/>
      <c r="CB320" s="133"/>
      <c r="CC320" s="954"/>
      <c r="CD320" s="954"/>
      <c r="CE320" s="954"/>
      <c r="CF320" s="954"/>
      <c r="CG320" s="587"/>
    </row>
    <row r="321" spans="1:85" s="460" customFormat="1" ht="14.4" hidden="1" outlineLevel="1" x14ac:dyDescent="0.3">
      <c r="A321" s="159" t="s">
        <v>1107</v>
      </c>
      <c r="B321" s="586"/>
      <c r="C321" s="150"/>
      <c r="D321" s="150"/>
      <c r="E321" s="150"/>
      <c r="F321" s="150"/>
      <c r="G321" s="117"/>
      <c r="H321" s="117"/>
      <c r="I321" s="117"/>
      <c r="J321" s="117"/>
      <c r="K321" s="150"/>
      <c r="L321" s="117"/>
      <c r="M321" s="117"/>
      <c r="N321" s="117"/>
      <c r="O321" s="117"/>
      <c r="P321" s="150"/>
      <c r="Q321" s="117"/>
      <c r="R321" s="117"/>
      <c r="S321" s="117"/>
      <c r="T321" s="117"/>
      <c r="U321" s="150"/>
      <c r="V321" s="117"/>
      <c r="W321" s="117"/>
      <c r="X321" s="117"/>
      <c r="Y321" s="117"/>
      <c r="Z321" s="150"/>
      <c r="AA321" s="117"/>
      <c r="AB321" s="117"/>
      <c r="AC321" s="117"/>
      <c r="AD321" s="117"/>
      <c r="AE321" s="150"/>
      <c r="AF321" s="117"/>
      <c r="AG321" s="117"/>
      <c r="AH321" s="117"/>
      <c r="AI321" s="117"/>
      <c r="AJ321" s="150"/>
      <c r="AK321" s="117"/>
      <c r="AL321" s="117"/>
      <c r="AM321" s="117"/>
      <c r="AN321" s="117"/>
      <c r="AO321" s="150">
        <f>SUM(AO319:AO320)</f>
        <v>780</v>
      </c>
      <c r="AP321" s="117"/>
      <c r="AQ321" s="117"/>
      <c r="AR321" s="117"/>
      <c r="AS321" s="117"/>
      <c r="AT321" s="150">
        <f>SUM(AT319:AT320)</f>
        <v>288</v>
      </c>
      <c r="AU321" s="117"/>
      <c r="AV321" s="117"/>
      <c r="AW321" s="117"/>
      <c r="AX321" s="117"/>
      <c r="AY321" s="150">
        <f>SUM(AY319:AY320)</f>
        <v>868</v>
      </c>
      <c r="AZ321" s="117"/>
      <c r="BA321" s="117"/>
      <c r="BB321" s="117"/>
      <c r="BC321" s="117"/>
      <c r="BD321" s="150">
        <f>SUM(BD319:BD320)</f>
        <v>2080</v>
      </c>
      <c r="BE321" s="117"/>
      <c r="BF321" s="117"/>
      <c r="BG321" s="117"/>
      <c r="BH321" s="117"/>
      <c r="BI321" s="150">
        <f>SUM(BI319:BI320)</f>
        <v>891</v>
      </c>
      <c r="BJ321" s="117"/>
      <c r="BK321" s="117"/>
      <c r="BL321" s="117"/>
      <c r="BM321" s="117"/>
      <c r="BN321" s="150">
        <f>SUM(BN319:BN320)</f>
        <v>700</v>
      </c>
      <c r="BO321" s="117"/>
      <c r="BP321" s="117"/>
      <c r="BQ321" s="117"/>
      <c r="BR321" s="117"/>
      <c r="BS321" s="150">
        <f>SUM(BS319:BS320)</f>
        <v>895</v>
      </c>
      <c r="BT321" s="691"/>
      <c r="BU321" s="117"/>
      <c r="BV321" s="117"/>
      <c r="BW321" s="117"/>
      <c r="BX321" s="150"/>
      <c r="BY321" s="117"/>
      <c r="BZ321" s="117"/>
      <c r="CA321" s="117"/>
      <c r="CB321" s="117"/>
      <c r="CC321" s="150"/>
      <c r="CD321" s="150"/>
      <c r="CE321" s="150"/>
      <c r="CF321" s="150"/>
      <c r="CG321" s="587"/>
    </row>
    <row r="322" spans="1:85" s="460" customFormat="1" ht="14.4" hidden="1" outlineLevel="1" x14ac:dyDescent="0.3">
      <c r="A322" s="591" t="s">
        <v>1108</v>
      </c>
      <c r="B322" s="586"/>
      <c r="C322" s="150"/>
      <c r="D322" s="150"/>
      <c r="E322" s="150"/>
      <c r="F322" s="150"/>
      <c r="G322" s="117"/>
      <c r="H322" s="117"/>
      <c r="I322" s="117"/>
      <c r="J322" s="117"/>
      <c r="K322" s="150"/>
      <c r="L322" s="117"/>
      <c r="M322" s="117"/>
      <c r="N322" s="117"/>
      <c r="O322" s="117"/>
      <c r="P322" s="150"/>
      <c r="Q322" s="117"/>
      <c r="R322" s="117"/>
      <c r="S322" s="117"/>
      <c r="T322" s="117"/>
      <c r="U322" s="150"/>
      <c r="V322" s="117"/>
      <c r="W322" s="117"/>
      <c r="X322" s="117"/>
      <c r="Y322" s="117"/>
      <c r="Z322" s="150"/>
      <c r="AA322" s="117"/>
      <c r="AB322" s="117"/>
      <c r="AC322" s="117"/>
      <c r="AD322" s="117"/>
      <c r="AE322" s="150"/>
      <c r="AF322" s="117"/>
      <c r="AG322" s="117"/>
      <c r="AH322" s="117"/>
      <c r="AI322" s="117"/>
      <c r="AJ322" s="150"/>
      <c r="AK322" s="117"/>
      <c r="AL322" s="117"/>
      <c r="AM322" s="117"/>
      <c r="AN322" s="117"/>
      <c r="AO322" s="975">
        <v>-247</v>
      </c>
      <c r="AP322" s="117"/>
      <c r="AQ322" s="117"/>
      <c r="AR322" s="117"/>
      <c r="AS322" s="117"/>
      <c r="AT322" s="975">
        <v>-98</v>
      </c>
      <c r="AU322" s="117"/>
      <c r="AV322" s="117"/>
      <c r="AW322" s="117"/>
      <c r="AX322" s="117"/>
      <c r="AY322" s="975">
        <v>-20</v>
      </c>
      <c r="AZ322" s="117"/>
      <c r="BA322" s="117"/>
      <c r="BB322" s="117"/>
      <c r="BC322" s="117"/>
      <c r="BD322" s="975">
        <v>-47</v>
      </c>
      <c r="BE322" s="117"/>
      <c r="BF322" s="117"/>
      <c r="BG322" s="117"/>
      <c r="BH322" s="117"/>
      <c r="BI322" s="975">
        <v>-44</v>
      </c>
      <c r="BJ322" s="117"/>
      <c r="BK322" s="117"/>
      <c r="BL322" s="117"/>
      <c r="BM322" s="117"/>
      <c r="BN322" s="975">
        <v>-46</v>
      </c>
      <c r="BO322" s="117"/>
      <c r="BP322" s="117"/>
      <c r="BQ322" s="117"/>
      <c r="BR322" s="117"/>
      <c r="BS322" s="975">
        <v>-68</v>
      </c>
      <c r="BT322" s="691"/>
      <c r="BU322" s="117"/>
      <c r="BV322" s="117"/>
      <c r="BW322" s="117"/>
      <c r="BX322" s="150"/>
      <c r="BY322" s="117"/>
      <c r="BZ322" s="117"/>
      <c r="CA322" s="117"/>
      <c r="CB322" s="117"/>
      <c r="CC322" s="150"/>
      <c r="CD322" s="150"/>
      <c r="CE322" s="150"/>
      <c r="CF322" s="150"/>
      <c r="CG322" s="587"/>
    </row>
    <row r="323" spans="1:85" s="460" customFormat="1" ht="14.4" hidden="1" outlineLevel="1" x14ac:dyDescent="0.3">
      <c r="A323" s="591" t="s">
        <v>1109</v>
      </c>
      <c r="B323" s="586"/>
      <c r="C323" s="150"/>
      <c r="D323" s="150"/>
      <c r="E323" s="150"/>
      <c r="F323" s="150"/>
      <c r="G323" s="117"/>
      <c r="H323" s="117"/>
      <c r="I323" s="117"/>
      <c r="J323" s="117"/>
      <c r="K323" s="150"/>
      <c r="L323" s="117"/>
      <c r="M323" s="117"/>
      <c r="N323" s="117"/>
      <c r="O323" s="117"/>
      <c r="P323" s="150"/>
      <c r="Q323" s="117"/>
      <c r="R323" s="117"/>
      <c r="S323" s="117"/>
      <c r="T323" s="117"/>
      <c r="U323" s="150"/>
      <c r="V323" s="117"/>
      <c r="W323" s="117"/>
      <c r="X323" s="117"/>
      <c r="Y323" s="117"/>
      <c r="Z323" s="150"/>
      <c r="AA323" s="117"/>
      <c r="AB323" s="117"/>
      <c r="AC323" s="117"/>
      <c r="AD323" s="117"/>
      <c r="AE323" s="150"/>
      <c r="AF323" s="117"/>
      <c r="AG323" s="117"/>
      <c r="AH323" s="117"/>
      <c r="AI323" s="117"/>
      <c r="AJ323" s="150"/>
      <c r="AK323" s="117"/>
      <c r="AL323" s="117"/>
      <c r="AM323" s="117"/>
      <c r="AN323" s="117"/>
      <c r="AO323" s="975">
        <v>-10</v>
      </c>
      <c r="AP323" s="117"/>
      <c r="AQ323" s="117"/>
      <c r="AR323" s="117"/>
      <c r="AS323" s="117"/>
      <c r="AT323" s="975">
        <v>-30</v>
      </c>
      <c r="AU323" s="117"/>
      <c r="AV323" s="117"/>
      <c r="AW323" s="117"/>
      <c r="AX323" s="117"/>
      <c r="AY323" s="975">
        <v>0</v>
      </c>
      <c r="AZ323" s="117"/>
      <c r="BA323" s="117"/>
      <c r="BB323" s="117"/>
      <c r="BC323" s="117"/>
      <c r="BD323" s="975">
        <v>0</v>
      </c>
      <c r="BE323" s="117"/>
      <c r="BF323" s="117"/>
      <c r="BG323" s="117"/>
      <c r="BH323" s="117"/>
      <c r="BI323" s="975">
        <v>0</v>
      </c>
      <c r="BJ323" s="117"/>
      <c r="BK323" s="117"/>
      <c r="BL323" s="117"/>
      <c r="BM323" s="117"/>
      <c r="BN323" s="975">
        <v>0</v>
      </c>
      <c r="BO323" s="117"/>
      <c r="BP323" s="117"/>
      <c r="BQ323" s="117"/>
      <c r="BR323" s="117"/>
      <c r="BS323" s="975">
        <v>0</v>
      </c>
      <c r="BT323" s="691"/>
      <c r="BU323" s="117"/>
      <c r="BV323" s="117"/>
      <c r="BW323" s="117"/>
      <c r="BX323" s="150"/>
      <c r="BY323" s="117"/>
      <c r="BZ323" s="117"/>
      <c r="CA323" s="117"/>
      <c r="CB323" s="117"/>
      <c r="CC323" s="150"/>
      <c r="CD323" s="150"/>
      <c r="CE323" s="150"/>
      <c r="CF323" s="150"/>
      <c r="CG323" s="587"/>
    </row>
    <row r="324" spans="1:85" s="460" customFormat="1" ht="14.4" hidden="1" outlineLevel="1" x14ac:dyDescent="0.3">
      <c r="A324" s="591" t="s">
        <v>1110</v>
      </c>
      <c r="B324" s="586"/>
      <c r="C324" s="150"/>
      <c r="D324" s="150"/>
      <c r="E324" s="150"/>
      <c r="F324" s="150"/>
      <c r="G324" s="117"/>
      <c r="H324" s="117"/>
      <c r="I324" s="117"/>
      <c r="J324" s="117"/>
      <c r="K324" s="150"/>
      <c r="L324" s="117"/>
      <c r="M324" s="117"/>
      <c r="N324" s="117"/>
      <c r="O324" s="117"/>
      <c r="P324" s="150"/>
      <c r="Q324" s="117"/>
      <c r="R324" s="117"/>
      <c r="S324" s="117"/>
      <c r="T324" s="117"/>
      <c r="U324" s="150"/>
      <c r="V324" s="117"/>
      <c r="W324" s="117"/>
      <c r="X324" s="117"/>
      <c r="Y324" s="117"/>
      <c r="Z324" s="150"/>
      <c r="AA324" s="117"/>
      <c r="AB324" s="117"/>
      <c r="AC324" s="117"/>
      <c r="AD324" s="117"/>
      <c r="AE324" s="150"/>
      <c r="AF324" s="117"/>
      <c r="AG324" s="117"/>
      <c r="AH324" s="117"/>
      <c r="AI324" s="117"/>
      <c r="AJ324" s="150"/>
      <c r="AK324" s="117"/>
      <c r="AL324" s="117"/>
      <c r="AM324" s="117"/>
      <c r="AN324" s="117"/>
      <c r="AO324" s="975">
        <v>-211</v>
      </c>
      <c r="AP324" s="117"/>
      <c r="AQ324" s="117"/>
      <c r="AR324" s="117"/>
      <c r="AS324" s="117"/>
      <c r="AT324" s="975">
        <v>-146</v>
      </c>
      <c r="AU324" s="117"/>
      <c r="AV324" s="117"/>
      <c r="AW324" s="117"/>
      <c r="AX324" s="117"/>
      <c r="AY324" s="975">
        <v>-215</v>
      </c>
      <c r="AZ324" s="117"/>
      <c r="BA324" s="117"/>
      <c r="BB324" s="117"/>
      <c r="BC324" s="117"/>
      <c r="BD324" s="975">
        <v>-164</v>
      </c>
      <c r="BE324" s="117"/>
      <c r="BF324" s="117"/>
      <c r="BG324" s="117"/>
      <c r="BH324" s="117"/>
      <c r="BI324" s="975">
        <v>-173</v>
      </c>
      <c r="BJ324" s="117"/>
      <c r="BK324" s="117"/>
      <c r="BL324" s="117"/>
      <c r="BM324" s="117"/>
      <c r="BN324" s="975">
        <v>-154</v>
      </c>
      <c r="BO324" s="117"/>
      <c r="BP324" s="117"/>
      <c r="BQ324" s="117"/>
      <c r="BR324" s="117"/>
      <c r="BS324" s="975">
        <v>-179</v>
      </c>
      <c r="BT324" s="691"/>
      <c r="BU324" s="117"/>
      <c r="BV324" s="117"/>
      <c r="BW324" s="117"/>
      <c r="BX324" s="150"/>
      <c r="BY324" s="117"/>
      <c r="BZ324" s="117"/>
      <c r="CA324" s="117"/>
      <c r="CB324" s="117"/>
      <c r="CC324" s="150"/>
      <c r="CD324" s="150"/>
      <c r="CE324" s="150"/>
      <c r="CF324" s="150"/>
      <c r="CG324" s="587"/>
    </row>
    <row r="325" spans="1:85" s="460" customFormat="1" ht="14.4" hidden="1" outlineLevel="1" x14ac:dyDescent="0.3">
      <c r="A325" s="591" t="s">
        <v>1111</v>
      </c>
      <c r="B325" s="586"/>
      <c r="C325" s="150"/>
      <c r="D325" s="150"/>
      <c r="E325" s="150"/>
      <c r="F325" s="150"/>
      <c r="G325" s="117"/>
      <c r="H325" s="117"/>
      <c r="I325" s="117"/>
      <c r="J325" s="117"/>
      <c r="K325" s="150"/>
      <c r="L325" s="117"/>
      <c r="M325" s="117"/>
      <c r="N325" s="117"/>
      <c r="O325" s="117"/>
      <c r="P325" s="150"/>
      <c r="Q325" s="117"/>
      <c r="R325" s="117"/>
      <c r="S325" s="117"/>
      <c r="T325" s="117"/>
      <c r="U325" s="150"/>
      <c r="V325" s="117"/>
      <c r="W325" s="117"/>
      <c r="X325" s="117"/>
      <c r="Y325" s="117"/>
      <c r="Z325" s="150"/>
      <c r="AA325" s="117"/>
      <c r="AB325" s="117"/>
      <c r="AC325" s="117"/>
      <c r="AD325" s="117"/>
      <c r="AE325" s="150"/>
      <c r="AF325" s="117"/>
      <c r="AG325" s="117"/>
      <c r="AH325" s="117"/>
      <c r="AI325" s="117"/>
      <c r="AJ325" s="150"/>
      <c r="AK325" s="117"/>
      <c r="AL325" s="117"/>
      <c r="AM325" s="117"/>
      <c r="AN325" s="117"/>
      <c r="AO325" s="975">
        <v>-8</v>
      </c>
      <c r="AP325" s="117"/>
      <c r="AQ325" s="117"/>
      <c r="AR325" s="117"/>
      <c r="AS325" s="117"/>
      <c r="AT325" s="975">
        <v>-6</v>
      </c>
      <c r="AU325" s="117"/>
      <c r="AV325" s="117"/>
      <c r="AW325" s="117"/>
      <c r="AX325" s="117"/>
      <c r="AY325" s="975">
        <v>-3</v>
      </c>
      <c r="AZ325" s="117"/>
      <c r="BA325" s="117"/>
      <c r="BB325" s="117"/>
      <c r="BC325" s="117"/>
      <c r="BD325" s="975">
        <v>-3</v>
      </c>
      <c r="BE325" s="117"/>
      <c r="BF325" s="117"/>
      <c r="BG325" s="117"/>
      <c r="BH325" s="117"/>
      <c r="BI325" s="975">
        <v>-3</v>
      </c>
      <c r="BJ325" s="117"/>
      <c r="BK325" s="117"/>
      <c r="BL325" s="117"/>
      <c r="BM325" s="117"/>
      <c r="BN325" s="975">
        <v>-3</v>
      </c>
      <c r="BO325" s="117"/>
      <c r="BP325" s="117"/>
      <c r="BQ325" s="117"/>
      <c r="BR325" s="117"/>
      <c r="BS325" s="975">
        <v>-4</v>
      </c>
      <c r="BT325" s="691"/>
      <c r="BU325" s="117"/>
      <c r="BV325" s="117"/>
      <c r="BW325" s="117"/>
      <c r="BX325" s="150"/>
      <c r="BY325" s="117"/>
      <c r="BZ325" s="117"/>
      <c r="CA325" s="117"/>
      <c r="CB325" s="117"/>
      <c r="CC325" s="150"/>
      <c r="CD325" s="150"/>
      <c r="CE325" s="150"/>
      <c r="CF325" s="150"/>
      <c r="CG325" s="587"/>
    </row>
    <row r="326" spans="1:85" s="460" customFormat="1" ht="14.4" hidden="1" outlineLevel="1" x14ac:dyDescent="0.3">
      <c r="A326" s="591" t="s">
        <v>1112</v>
      </c>
      <c r="B326" s="586"/>
      <c r="C326" s="150"/>
      <c r="D326" s="150"/>
      <c r="E326" s="150"/>
      <c r="F326" s="150"/>
      <c r="G326" s="117"/>
      <c r="H326" s="117"/>
      <c r="I326" s="117"/>
      <c r="J326" s="117"/>
      <c r="K326" s="150"/>
      <c r="L326" s="117"/>
      <c r="M326" s="117"/>
      <c r="N326" s="117"/>
      <c r="O326" s="117"/>
      <c r="P326" s="150"/>
      <c r="Q326" s="117"/>
      <c r="R326" s="117"/>
      <c r="S326" s="117"/>
      <c r="T326" s="117"/>
      <c r="U326" s="150"/>
      <c r="V326" s="117"/>
      <c r="W326" s="117"/>
      <c r="X326" s="117"/>
      <c r="Y326" s="117"/>
      <c r="Z326" s="150"/>
      <c r="AA326" s="117"/>
      <c r="AB326" s="117"/>
      <c r="AC326" s="117"/>
      <c r="AD326" s="117"/>
      <c r="AE326" s="150"/>
      <c r="AF326" s="117"/>
      <c r="AG326" s="117"/>
      <c r="AH326" s="117"/>
      <c r="AI326" s="117"/>
      <c r="AJ326" s="150"/>
      <c r="AK326" s="117"/>
      <c r="AL326" s="117"/>
      <c r="AM326" s="117"/>
      <c r="AN326" s="117"/>
      <c r="AO326" s="975">
        <v>-8</v>
      </c>
      <c r="AP326" s="117"/>
      <c r="AQ326" s="117"/>
      <c r="AR326" s="117"/>
      <c r="AS326" s="117"/>
      <c r="AT326" s="975">
        <v>1</v>
      </c>
      <c r="AU326" s="117"/>
      <c r="AV326" s="117"/>
      <c r="AW326" s="117"/>
      <c r="AX326" s="117"/>
      <c r="AY326" s="975">
        <v>0</v>
      </c>
      <c r="AZ326" s="117"/>
      <c r="BA326" s="117"/>
      <c r="BB326" s="117"/>
      <c r="BC326" s="117"/>
      <c r="BD326" s="975">
        <v>0</v>
      </c>
      <c r="BE326" s="117"/>
      <c r="BF326" s="117"/>
      <c r="BG326" s="117"/>
      <c r="BH326" s="117"/>
      <c r="BI326" s="975">
        <v>0</v>
      </c>
      <c r="BJ326" s="117"/>
      <c r="BK326" s="117"/>
      <c r="BL326" s="117"/>
      <c r="BM326" s="117"/>
      <c r="BN326" s="975">
        <v>0</v>
      </c>
      <c r="BO326" s="117"/>
      <c r="BP326" s="117"/>
      <c r="BQ326" s="117"/>
      <c r="BR326" s="117"/>
      <c r="BS326" s="975">
        <v>0</v>
      </c>
      <c r="BT326" s="691"/>
      <c r="BU326" s="117"/>
      <c r="BV326" s="117"/>
      <c r="BW326" s="117"/>
      <c r="BX326" s="150"/>
      <c r="BY326" s="117"/>
      <c r="BZ326" s="117"/>
      <c r="CA326" s="117"/>
      <c r="CB326" s="117"/>
      <c r="CC326" s="150"/>
      <c r="CD326" s="150"/>
      <c r="CE326" s="150"/>
      <c r="CF326" s="150"/>
      <c r="CG326" s="587"/>
    </row>
    <row r="327" spans="1:85" s="460" customFormat="1" ht="14.4" hidden="1" outlineLevel="1" x14ac:dyDescent="0.3">
      <c r="A327" s="591" t="s">
        <v>992</v>
      </c>
      <c r="B327" s="586"/>
      <c r="C327" s="150"/>
      <c r="D327" s="150"/>
      <c r="E327" s="150"/>
      <c r="F327" s="150"/>
      <c r="G327" s="117"/>
      <c r="H327" s="117"/>
      <c r="I327" s="117"/>
      <c r="J327" s="117"/>
      <c r="K327" s="150"/>
      <c r="L327" s="117"/>
      <c r="M327" s="117"/>
      <c r="N327" s="117"/>
      <c r="O327" s="117"/>
      <c r="P327" s="150"/>
      <c r="Q327" s="117"/>
      <c r="R327" s="117"/>
      <c r="S327" s="117"/>
      <c r="T327" s="117"/>
      <c r="U327" s="150"/>
      <c r="V327" s="117"/>
      <c r="W327" s="117"/>
      <c r="X327" s="117"/>
      <c r="Y327" s="117"/>
      <c r="Z327" s="150"/>
      <c r="AA327" s="117"/>
      <c r="AB327" s="117"/>
      <c r="AC327" s="117"/>
      <c r="AD327" s="117"/>
      <c r="AE327" s="150"/>
      <c r="AF327" s="117"/>
      <c r="AG327" s="117"/>
      <c r="AH327" s="117"/>
      <c r="AI327" s="117"/>
      <c r="AJ327" s="150"/>
      <c r="AK327" s="117"/>
      <c r="AL327" s="117"/>
      <c r="AM327" s="117"/>
      <c r="AN327" s="117"/>
      <c r="AO327" s="975">
        <v>0</v>
      </c>
      <c r="AP327" s="117"/>
      <c r="AQ327" s="117"/>
      <c r="AR327" s="117"/>
      <c r="AS327" s="117"/>
      <c r="AT327" s="975">
        <v>0</v>
      </c>
      <c r="AU327" s="117"/>
      <c r="AV327" s="117"/>
      <c r="AW327" s="117"/>
      <c r="AX327" s="117"/>
      <c r="AY327" s="975">
        <v>0</v>
      </c>
      <c r="AZ327" s="117"/>
      <c r="BA327" s="117"/>
      <c r="BB327" s="117"/>
      <c r="BC327" s="117"/>
      <c r="BD327" s="975">
        <v>0</v>
      </c>
      <c r="BE327" s="117"/>
      <c r="BF327" s="117"/>
      <c r="BG327" s="117"/>
      <c r="BH327" s="117"/>
      <c r="BI327" s="975">
        <v>0</v>
      </c>
      <c r="BJ327" s="117"/>
      <c r="BK327" s="117"/>
      <c r="BL327" s="117"/>
      <c r="BM327" s="117"/>
      <c r="BN327" s="975">
        <v>0</v>
      </c>
      <c r="BO327" s="117"/>
      <c r="BP327" s="117"/>
      <c r="BQ327" s="117"/>
      <c r="BR327" s="117"/>
      <c r="BS327" s="975">
        <v>0</v>
      </c>
      <c r="BT327" s="691"/>
      <c r="BU327" s="117"/>
      <c r="BV327" s="117"/>
      <c r="BW327" s="117"/>
      <c r="BX327" s="150"/>
      <c r="BY327" s="117"/>
      <c r="BZ327" s="117"/>
      <c r="CA327" s="117"/>
      <c r="CB327" s="117"/>
      <c r="CC327" s="150"/>
      <c r="CD327" s="150"/>
      <c r="CE327" s="150"/>
      <c r="CF327" s="150"/>
      <c r="CG327" s="587"/>
    </row>
    <row r="328" spans="1:85" s="460" customFormat="1" ht="14.4" hidden="1" outlineLevel="1" x14ac:dyDescent="0.3">
      <c r="A328" s="592" t="s">
        <v>1113</v>
      </c>
      <c r="B328" s="588"/>
      <c r="C328" s="954"/>
      <c r="D328" s="954"/>
      <c r="E328" s="954"/>
      <c r="F328" s="954"/>
      <c r="G328" s="133"/>
      <c r="H328" s="133"/>
      <c r="I328" s="133"/>
      <c r="J328" s="133"/>
      <c r="K328" s="954"/>
      <c r="L328" s="133"/>
      <c r="M328" s="133"/>
      <c r="N328" s="133"/>
      <c r="O328" s="133"/>
      <c r="P328" s="954"/>
      <c r="Q328" s="133"/>
      <c r="R328" s="133"/>
      <c r="S328" s="133"/>
      <c r="T328" s="133"/>
      <c r="U328" s="954"/>
      <c r="V328" s="133"/>
      <c r="W328" s="133"/>
      <c r="X328" s="133"/>
      <c r="Y328" s="133"/>
      <c r="Z328" s="954"/>
      <c r="AA328" s="133"/>
      <c r="AB328" s="133"/>
      <c r="AC328" s="133"/>
      <c r="AD328" s="133"/>
      <c r="AE328" s="954"/>
      <c r="AF328" s="133"/>
      <c r="AG328" s="133"/>
      <c r="AH328" s="133"/>
      <c r="AI328" s="133"/>
      <c r="AJ328" s="954"/>
      <c r="AK328" s="133"/>
      <c r="AL328" s="133"/>
      <c r="AM328" s="133"/>
      <c r="AN328" s="133"/>
      <c r="AO328" s="976">
        <v>-157</v>
      </c>
      <c r="AP328" s="133"/>
      <c r="AQ328" s="133"/>
      <c r="AR328" s="133"/>
      <c r="AS328" s="133"/>
      <c r="AT328" s="976">
        <v>-2103</v>
      </c>
      <c r="AU328" s="133"/>
      <c r="AV328" s="133"/>
      <c r="AW328" s="133"/>
      <c r="AX328" s="133"/>
      <c r="AY328" s="976">
        <v>-332</v>
      </c>
      <c r="AZ328" s="133"/>
      <c r="BA328" s="133"/>
      <c r="BB328" s="133"/>
      <c r="BC328" s="133"/>
      <c r="BD328" s="976">
        <v>-27</v>
      </c>
      <c r="BE328" s="133"/>
      <c r="BF328" s="133"/>
      <c r="BG328" s="133"/>
      <c r="BH328" s="133"/>
      <c r="BI328" s="976">
        <v>-185</v>
      </c>
      <c r="BJ328" s="133"/>
      <c r="BK328" s="133"/>
      <c r="BL328" s="133"/>
      <c r="BM328" s="133"/>
      <c r="BN328" s="976">
        <v>-150</v>
      </c>
      <c r="BO328" s="133"/>
      <c r="BP328" s="133"/>
      <c r="BQ328" s="133"/>
      <c r="BR328" s="133"/>
      <c r="BS328" s="976">
        <v>-206</v>
      </c>
      <c r="BT328" s="692"/>
      <c r="BU328" s="133"/>
      <c r="BV328" s="133"/>
      <c r="BW328" s="133"/>
      <c r="BX328" s="954"/>
      <c r="BY328" s="133"/>
      <c r="BZ328" s="133"/>
      <c r="CA328" s="133"/>
      <c r="CB328" s="133"/>
      <c r="CC328" s="954"/>
      <c r="CD328" s="954"/>
      <c r="CE328" s="954"/>
      <c r="CF328" s="954"/>
      <c r="CG328" s="587"/>
    </row>
    <row r="329" spans="1:85" s="460" customFormat="1" ht="14.4" hidden="1" outlineLevel="1" x14ac:dyDescent="0.3">
      <c r="A329" s="159" t="s">
        <v>1114</v>
      </c>
      <c r="B329" s="586"/>
      <c r="C329" s="150"/>
      <c r="D329" s="150"/>
      <c r="E329" s="150"/>
      <c r="F329" s="150"/>
      <c r="G329" s="117"/>
      <c r="H329" s="117"/>
      <c r="I329" s="117"/>
      <c r="J329" s="117"/>
      <c r="K329" s="150"/>
      <c r="L329" s="117"/>
      <c r="M329" s="117"/>
      <c r="N329" s="117"/>
      <c r="O329" s="117"/>
      <c r="P329" s="150"/>
      <c r="Q329" s="117"/>
      <c r="R329" s="117"/>
      <c r="S329" s="117"/>
      <c r="T329" s="117"/>
      <c r="U329" s="150"/>
      <c r="V329" s="117"/>
      <c r="W329" s="117"/>
      <c r="X329" s="117"/>
      <c r="Y329" s="117"/>
      <c r="Z329" s="150"/>
      <c r="AA329" s="117"/>
      <c r="AB329" s="117"/>
      <c r="AC329" s="117"/>
      <c r="AD329" s="117"/>
      <c r="AE329" s="150"/>
      <c r="AF329" s="117"/>
      <c r="AG329" s="117"/>
      <c r="AH329" s="117"/>
      <c r="AI329" s="117"/>
      <c r="AJ329" s="150"/>
      <c r="AK329" s="117"/>
      <c r="AL329" s="117"/>
      <c r="AM329" s="117"/>
      <c r="AN329" s="117"/>
      <c r="AO329" s="150">
        <f>SUM(AO321:AO328)</f>
        <v>139</v>
      </c>
      <c r="AP329" s="117"/>
      <c r="AQ329" s="117"/>
      <c r="AR329" s="117"/>
      <c r="AS329" s="117"/>
      <c r="AT329" s="150">
        <f>SUM(AT321:AT328)</f>
        <v>-2094</v>
      </c>
      <c r="AU329" s="117"/>
      <c r="AV329" s="117"/>
      <c r="AW329" s="117"/>
      <c r="AX329" s="117"/>
      <c r="AY329" s="150">
        <f>SUM(AY321:AY328)</f>
        <v>298</v>
      </c>
      <c r="AZ329" s="117"/>
      <c r="BA329" s="117"/>
      <c r="BB329" s="117"/>
      <c r="BC329" s="117"/>
      <c r="BD329" s="150">
        <f>SUM(BD321:BD328)</f>
        <v>1839</v>
      </c>
      <c r="BE329" s="117"/>
      <c r="BF329" s="117"/>
      <c r="BG329" s="117"/>
      <c r="BH329" s="117"/>
      <c r="BI329" s="150">
        <f>SUM(BI321:BI328)</f>
        <v>486</v>
      </c>
      <c r="BJ329" s="117"/>
      <c r="BK329" s="117"/>
      <c r="BL329" s="117"/>
      <c r="BM329" s="117"/>
      <c r="BN329" s="150">
        <f>SUM(BN321:BN328)</f>
        <v>347</v>
      </c>
      <c r="BO329" s="117"/>
      <c r="BP329" s="117"/>
      <c r="BQ329" s="117"/>
      <c r="BR329" s="117"/>
      <c r="BS329" s="150">
        <f>SUM(BS321:BS328)</f>
        <v>438</v>
      </c>
      <c r="BT329" s="691"/>
      <c r="BU329" s="117"/>
      <c r="BV329" s="117"/>
      <c r="BW329" s="117"/>
      <c r="BX329" s="150"/>
      <c r="BY329" s="117"/>
      <c r="BZ329" s="117"/>
      <c r="CA329" s="117"/>
      <c r="CB329" s="117"/>
      <c r="CC329" s="150"/>
      <c r="CD329" s="150"/>
      <c r="CE329" s="150"/>
      <c r="CF329" s="150"/>
      <c r="CG329" s="587"/>
    </row>
    <row r="330" spans="1:85" s="460" customFormat="1" ht="14.4" hidden="1" outlineLevel="1" x14ac:dyDescent="0.3">
      <c r="A330" s="262" t="s">
        <v>1115</v>
      </c>
      <c r="B330" s="588"/>
      <c r="C330" s="954"/>
      <c r="D330" s="954"/>
      <c r="E330" s="954"/>
      <c r="F330" s="954"/>
      <c r="G330" s="133"/>
      <c r="H330" s="133"/>
      <c r="I330" s="133"/>
      <c r="J330" s="133"/>
      <c r="K330" s="954"/>
      <c r="L330" s="133"/>
      <c r="M330" s="133"/>
      <c r="N330" s="133"/>
      <c r="O330" s="133"/>
      <c r="P330" s="954"/>
      <c r="Q330" s="133"/>
      <c r="R330" s="133"/>
      <c r="S330" s="133"/>
      <c r="T330" s="133"/>
      <c r="U330" s="954"/>
      <c r="V330" s="133"/>
      <c r="W330" s="133"/>
      <c r="X330" s="133"/>
      <c r="Y330" s="133"/>
      <c r="Z330" s="954"/>
      <c r="AA330" s="133"/>
      <c r="AB330" s="133"/>
      <c r="AC330" s="133"/>
      <c r="AD330" s="133"/>
      <c r="AE330" s="954"/>
      <c r="AF330" s="133"/>
      <c r="AG330" s="133"/>
      <c r="AH330" s="133"/>
      <c r="AI330" s="133"/>
      <c r="AJ330" s="954"/>
      <c r="AK330" s="133"/>
      <c r="AL330" s="133"/>
      <c r="AM330" s="133"/>
      <c r="AN330" s="133"/>
      <c r="AO330" s="976">
        <v>-73</v>
      </c>
      <c r="AP330" s="133"/>
      <c r="AQ330" s="133"/>
      <c r="AR330" s="133"/>
      <c r="AS330" s="133"/>
      <c r="AT330" s="976">
        <v>161</v>
      </c>
      <c r="AU330" s="133"/>
      <c r="AV330" s="133"/>
      <c r="AW330" s="133"/>
      <c r="AX330" s="133"/>
      <c r="AY330" s="976">
        <v>29</v>
      </c>
      <c r="AZ330" s="133"/>
      <c r="BA330" s="133"/>
      <c r="BB330" s="133"/>
      <c r="BC330" s="133"/>
      <c r="BD330" s="976">
        <v>12</v>
      </c>
      <c r="BE330" s="133"/>
      <c r="BF330" s="133"/>
      <c r="BG330" s="133"/>
      <c r="BH330" s="133"/>
      <c r="BI330" s="976">
        <v>24</v>
      </c>
      <c r="BJ330" s="133"/>
      <c r="BK330" s="133"/>
      <c r="BL330" s="133"/>
      <c r="BM330" s="133"/>
      <c r="BN330" s="976">
        <v>12</v>
      </c>
      <c r="BO330" s="133"/>
      <c r="BP330" s="133"/>
      <c r="BQ330" s="133"/>
      <c r="BR330" s="133"/>
      <c r="BS330" s="976">
        <v>22</v>
      </c>
      <c r="BT330" s="692"/>
      <c r="BU330" s="133"/>
      <c r="BV330" s="133"/>
      <c r="BW330" s="133"/>
      <c r="BX330" s="954"/>
      <c r="BY330" s="133"/>
      <c r="BZ330" s="133"/>
      <c r="CA330" s="133"/>
      <c r="CB330" s="133"/>
      <c r="CC330" s="954"/>
      <c r="CD330" s="954"/>
      <c r="CE330" s="954"/>
      <c r="CF330" s="954"/>
      <c r="CG330" s="587"/>
    </row>
    <row r="331" spans="1:85" s="461" customFormat="1" ht="14.4" hidden="1" outlineLevel="1" x14ac:dyDescent="0.3">
      <c r="A331" s="166" t="s">
        <v>1116</v>
      </c>
      <c r="B331" s="583"/>
      <c r="C331" s="957"/>
      <c r="D331" s="957"/>
      <c r="E331" s="957"/>
      <c r="F331" s="957"/>
      <c r="G331" s="120"/>
      <c r="H331" s="120"/>
      <c r="I331" s="120"/>
      <c r="J331" s="120"/>
      <c r="K331" s="957"/>
      <c r="L331" s="120"/>
      <c r="M331" s="120"/>
      <c r="N331" s="120"/>
      <c r="O331" s="120"/>
      <c r="P331" s="957"/>
      <c r="Q331" s="120"/>
      <c r="R331" s="120"/>
      <c r="S331" s="120"/>
      <c r="T331" s="120"/>
      <c r="U331" s="957"/>
      <c r="V331" s="120"/>
      <c r="W331" s="120"/>
      <c r="X331" s="120"/>
      <c r="Y331" s="120"/>
      <c r="Z331" s="957"/>
      <c r="AA331" s="120"/>
      <c r="AB331" s="120"/>
      <c r="AC331" s="120"/>
      <c r="AD331" s="120"/>
      <c r="AE331" s="957"/>
      <c r="AF331" s="120"/>
      <c r="AG331" s="120"/>
      <c r="AH331" s="120"/>
      <c r="AI331" s="120"/>
      <c r="AJ331" s="957"/>
      <c r="AK331" s="120"/>
      <c r="AL331" s="120"/>
      <c r="AM331" s="120"/>
      <c r="AN331" s="120"/>
      <c r="AO331" s="957">
        <f>SUM(AO329:AO330)</f>
        <v>66</v>
      </c>
      <c r="AP331" s="120"/>
      <c r="AQ331" s="120"/>
      <c r="AR331" s="120"/>
      <c r="AS331" s="120"/>
      <c r="AT331" s="957">
        <f>SUM(AT329:AT330)</f>
        <v>-1933</v>
      </c>
      <c r="AU331" s="120"/>
      <c r="AV331" s="120"/>
      <c r="AW331" s="120"/>
      <c r="AX331" s="120"/>
      <c r="AY331" s="957">
        <f>SUM(AY329:AY330)</f>
        <v>327</v>
      </c>
      <c r="AZ331" s="120"/>
      <c r="BA331" s="120"/>
      <c r="BB331" s="120"/>
      <c r="BC331" s="120"/>
      <c r="BD331" s="957">
        <f>SUM(BD329:BD330)</f>
        <v>1851</v>
      </c>
      <c r="BE331" s="120"/>
      <c r="BF331" s="120"/>
      <c r="BG331" s="120"/>
      <c r="BH331" s="120"/>
      <c r="BI331" s="957">
        <f>SUM(BI329:BI330)</f>
        <v>510</v>
      </c>
      <c r="BJ331" s="120"/>
      <c r="BK331" s="120"/>
      <c r="BL331" s="120"/>
      <c r="BM331" s="120"/>
      <c r="BN331" s="957">
        <f>SUM(BN329:BN330)</f>
        <v>359</v>
      </c>
      <c r="BO331" s="120"/>
      <c r="BP331" s="120"/>
      <c r="BQ331" s="120"/>
      <c r="BR331" s="120"/>
      <c r="BS331" s="957">
        <f>SUM(BS329:BS330)</f>
        <v>460</v>
      </c>
      <c r="BT331" s="694"/>
      <c r="BU331" s="120"/>
      <c r="BV331" s="120"/>
      <c r="BW331" s="120"/>
      <c r="BX331" s="957"/>
      <c r="BY331" s="120"/>
      <c r="BZ331" s="120"/>
      <c r="CA331" s="120"/>
      <c r="CB331" s="120"/>
      <c r="CC331" s="957"/>
      <c r="CD331" s="957"/>
      <c r="CE331" s="957"/>
      <c r="CF331" s="957"/>
      <c r="CG331" s="615"/>
    </row>
    <row r="332" spans="1:85" s="461" customFormat="1" ht="14.4" collapsed="1" x14ac:dyDescent="0.3">
      <c r="A332" s="166"/>
      <c r="B332" s="583"/>
      <c r="C332" s="957"/>
      <c r="D332" s="957"/>
      <c r="E332" s="957"/>
      <c r="F332" s="957"/>
      <c r="G332" s="120"/>
      <c r="H332" s="120"/>
      <c r="I332" s="120"/>
      <c r="J332" s="120"/>
      <c r="K332" s="957"/>
      <c r="L332" s="120"/>
      <c r="M332" s="120"/>
      <c r="N332" s="120"/>
      <c r="O332" s="120"/>
      <c r="P332" s="957"/>
      <c r="Q332" s="120"/>
      <c r="R332" s="120"/>
      <c r="S332" s="120"/>
      <c r="T332" s="120"/>
      <c r="U332" s="957"/>
      <c r="V332" s="120"/>
      <c r="W332" s="120"/>
      <c r="X332" s="120"/>
      <c r="Y332" s="120"/>
      <c r="Z332" s="957"/>
      <c r="AA332" s="120"/>
      <c r="AB332" s="120"/>
      <c r="AC332" s="120"/>
      <c r="AD332" s="120"/>
      <c r="AE332" s="957"/>
      <c r="AF332" s="120"/>
      <c r="AG332" s="120"/>
      <c r="AH332" s="120"/>
      <c r="AI332" s="120"/>
      <c r="AJ332" s="957"/>
      <c r="AK332" s="120"/>
      <c r="AL332" s="120"/>
      <c r="AM332" s="120"/>
      <c r="AN332" s="120"/>
      <c r="AO332" s="957"/>
      <c r="AP332" s="120"/>
      <c r="AQ332" s="120"/>
      <c r="AR332" s="120"/>
      <c r="AS332" s="120"/>
      <c r="AT332" s="957"/>
      <c r="AU332" s="120"/>
      <c r="AV332" s="120"/>
      <c r="AW332" s="120"/>
      <c r="AX332" s="120"/>
      <c r="AY332" s="957"/>
      <c r="AZ332" s="120"/>
      <c r="BA332" s="120"/>
      <c r="BB332" s="120"/>
      <c r="BC332" s="120"/>
      <c r="BD332" s="957"/>
      <c r="BE332" s="120"/>
      <c r="BF332" s="120"/>
      <c r="BG332" s="120"/>
      <c r="BH332" s="120"/>
      <c r="BI332" s="957"/>
      <c r="BJ332" s="120"/>
      <c r="BK332" s="120"/>
      <c r="BL332" s="120"/>
      <c r="BM332" s="120"/>
      <c r="BN332" s="957"/>
      <c r="BO332" s="120"/>
      <c r="BP332" s="120"/>
      <c r="BQ332" s="120"/>
      <c r="BR332" s="120"/>
      <c r="BS332" s="957"/>
      <c r="BT332" s="694"/>
      <c r="BU332" s="120"/>
      <c r="BV332" s="120"/>
      <c r="BW332" s="120"/>
      <c r="BX332" s="957"/>
      <c r="BY332" s="120"/>
      <c r="BZ332" s="120"/>
      <c r="CA332" s="120"/>
      <c r="CB332" s="120"/>
      <c r="CC332" s="957"/>
      <c r="CD332" s="957"/>
      <c r="CE332" s="957"/>
      <c r="CF332" s="957"/>
      <c r="CG332" s="615"/>
    </row>
    <row r="333" spans="1:85" s="462" customFormat="1" ht="14.4" x14ac:dyDescent="0.3">
      <c r="A333" s="732" t="s">
        <v>1117</v>
      </c>
      <c r="B333" s="732"/>
      <c r="C333" s="732"/>
      <c r="D333" s="732"/>
      <c r="E333" s="732"/>
      <c r="F333" s="732"/>
      <c r="G333" s="732"/>
      <c r="H333" s="732"/>
      <c r="I333" s="732"/>
      <c r="J333" s="732"/>
      <c r="K333" s="732"/>
      <c r="L333" s="732"/>
      <c r="M333" s="732"/>
      <c r="N333" s="732"/>
      <c r="O333" s="732"/>
      <c r="P333" s="732"/>
      <c r="Q333" s="732"/>
      <c r="R333" s="732"/>
      <c r="S333" s="732"/>
      <c r="T333" s="732"/>
      <c r="U333" s="732"/>
      <c r="V333" s="732"/>
      <c r="W333" s="732"/>
      <c r="X333" s="732"/>
      <c r="Y333" s="732"/>
      <c r="Z333" s="732"/>
      <c r="AA333" s="732"/>
      <c r="AB333" s="732"/>
      <c r="AC333" s="732"/>
      <c r="AD333" s="732"/>
      <c r="AE333" s="732"/>
      <c r="AF333" s="732"/>
      <c r="AG333" s="732"/>
      <c r="AH333" s="732"/>
      <c r="AI333" s="732"/>
      <c r="AJ333" s="732"/>
      <c r="AK333" s="732"/>
      <c r="AL333" s="732"/>
      <c r="AM333" s="732"/>
      <c r="AN333" s="732"/>
      <c r="AO333" s="732"/>
      <c r="AP333" s="732"/>
      <c r="AQ333" s="732"/>
      <c r="AR333" s="732"/>
      <c r="AS333" s="732"/>
      <c r="AT333" s="732"/>
      <c r="AU333" s="732"/>
      <c r="AV333" s="732"/>
      <c r="AW333" s="732"/>
      <c r="AX333" s="732"/>
      <c r="AY333" s="732"/>
      <c r="AZ333" s="732"/>
      <c r="BA333" s="732"/>
      <c r="BB333" s="732"/>
      <c r="BC333" s="732"/>
      <c r="BD333" s="732"/>
      <c r="BE333" s="732"/>
      <c r="BF333" s="732"/>
      <c r="BG333" s="732"/>
      <c r="BH333" s="732"/>
      <c r="BI333" s="732"/>
      <c r="BJ333" s="732"/>
      <c r="BK333" s="732"/>
      <c r="BL333" s="732"/>
      <c r="BM333" s="732"/>
      <c r="BN333" s="732"/>
      <c r="BO333" s="732"/>
      <c r="BP333" s="732"/>
      <c r="BQ333" s="732"/>
      <c r="BR333" s="732"/>
      <c r="BS333" s="732"/>
      <c r="BT333" s="733"/>
      <c r="BU333" s="732"/>
      <c r="BV333" s="732"/>
      <c r="BW333" s="732"/>
      <c r="BX333" s="732"/>
      <c r="BY333" s="732"/>
      <c r="BZ333" s="732"/>
      <c r="CA333" s="732"/>
      <c r="CB333" s="732"/>
      <c r="CC333" s="732"/>
      <c r="CD333" s="732"/>
      <c r="CE333" s="732"/>
      <c r="CF333" s="732"/>
      <c r="CG333" s="614"/>
    </row>
    <row r="334" spans="1:85" s="603" customFormat="1" ht="14.4" hidden="1" outlineLevel="1" x14ac:dyDescent="0.3">
      <c r="A334" s="596" t="s">
        <v>1118</v>
      </c>
      <c r="B334" s="597"/>
      <c r="C334" s="978"/>
      <c r="D334" s="978"/>
      <c r="E334" s="978"/>
      <c r="F334" s="978"/>
      <c r="G334" s="598"/>
      <c r="H334" s="598"/>
      <c r="I334" s="598"/>
      <c r="J334" s="598"/>
      <c r="K334" s="978"/>
      <c r="L334" s="598"/>
      <c r="M334" s="598"/>
      <c r="N334" s="598"/>
      <c r="O334" s="598"/>
      <c r="P334" s="978"/>
      <c r="Q334" s="598"/>
      <c r="R334" s="598"/>
      <c r="S334" s="598"/>
      <c r="T334" s="598"/>
      <c r="U334" s="978"/>
      <c r="V334" s="598"/>
      <c r="W334" s="598"/>
      <c r="X334" s="598"/>
      <c r="Y334" s="598"/>
      <c r="Z334" s="978"/>
      <c r="AA334" s="598"/>
      <c r="AB334" s="598"/>
      <c r="AC334" s="598"/>
      <c r="AD334" s="598"/>
      <c r="AE334" s="978"/>
      <c r="AF334" s="598"/>
      <c r="AG334" s="598"/>
      <c r="AH334" s="598"/>
      <c r="AI334" s="598"/>
      <c r="AJ334" s="978"/>
      <c r="AK334" s="598"/>
      <c r="AL334" s="598"/>
      <c r="AM334" s="598"/>
      <c r="AN334" s="598"/>
      <c r="AO334" s="978"/>
      <c r="AP334" s="598"/>
      <c r="AQ334" s="598"/>
      <c r="AR334" s="598"/>
      <c r="AS334" s="598"/>
      <c r="AT334" s="978"/>
      <c r="AU334" s="598"/>
      <c r="AV334" s="598"/>
      <c r="AW334" s="598"/>
      <c r="AX334" s="598"/>
      <c r="AY334" s="979">
        <v>65.16</v>
      </c>
      <c r="AZ334" s="598"/>
      <c r="BA334" s="598"/>
      <c r="BB334" s="598"/>
      <c r="BC334" s="598"/>
      <c r="BD334" s="979">
        <v>91.88</v>
      </c>
      <c r="BE334" s="598"/>
      <c r="BF334" s="598"/>
      <c r="BG334" s="598"/>
      <c r="BH334" s="598"/>
      <c r="BI334" s="979">
        <v>74.36</v>
      </c>
      <c r="BJ334" s="598"/>
      <c r="BK334" s="598"/>
      <c r="BL334" s="598"/>
      <c r="BM334" s="598"/>
      <c r="BN334" s="979">
        <v>73.47</v>
      </c>
      <c r="BO334" s="598"/>
      <c r="BP334" s="598"/>
      <c r="BQ334" s="598"/>
      <c r="BR334" s="598"/>
      <c r="BS334" s="979">
        <v>62.22</v>
      </c>
      <c r="BT334" s="709"/>
      <c r="BU334" s="598"/>
      <c r="BV334" s="598"/>
      <c r="BW334" s="598"/>
      <c r="BX334" s="978"/>
      <c r="BY334" s="598"/>
      <c r="BZ334" s="598"/>
      <c r="CA334" s="598"/>
      <c r="CB334" s="598"/>
      <c r="CC334" s="978"/>
      <c r="CD334" s="978"/>
      <c r="CE334" s="978"/>
      <c r="CF334" s="978"/>
      <c r="CG334" s="616"/>
    </row>
    <row r="335" spans="1:85" s="603" customFormat="1" ht="14.4" hidden="1" outlineLevel="1" x14ac:dyDescent="0.3">
      <c r="A335" s="596" t="s">
        <v>1119</v>
      </c>
      <c r="B335" s="597"/>
      <c r="C335" s="978"/>
      <c r="D335" s="978"/>
      <c r="E335" s="978"/>
      <c r="F335" s="978"/>
      <c r="G335" s="598"/>
      <c r="H335" s="598"/>
      <c r="I335" s="598"/>
      <c r="J335" s="598"/>
      <c r="K335" s="978"/>
      <c r="L335" s="598"/>
      <c r="M335" s="598"/>
      <c r="N335" s="598"/>
      <c r="O335" s="598"/>
      <c r="P335" s="978"/>
      <c r="Q335" s="598"/>
      <c r="R335" s="598"/>
      <c r="S335" s="598"/>
      <c r="T335" s="598"/>
      <c r="U335" s="978"/>
      <c r="V335" s="598"/>
      <c r="W335" s="598"/>
      <c r="X335" s="598"/>
      <c r="Y335" s="598"/>
      <c r="Z335" s="978"/>
      <c r="AA335" s="598"/>
      <c r="AB335" s="598"/>
      <c r="AC335" s="598"/>
      <c r="AD335" s="598"/>
      <c r="AE335" s="978"/>
      <c r="AF335" s="598"/>
      <c r="AG335" s="598"/>
      <c r="AH335" s="598"/>
      <c r="AI335" s="598"/>
      <c r="AJ335" s="978"/>
      <c r="AK335" s="598"/>
      <c r="AL335" s="598"/>
      <c r="AM335" s="598"/>
      <c r="AN335" s="598"/>
      <c r="AO335" s="979">
        <v>48.54</v>
      </c>
      <c r="AP335" s="598"/>
      <c r="AQ335" s="598"/>
      <c r="AR335" s="598"/>
      <c r="AS335" s="598"/>
      <c r="AT335" s="979">
        <v>30.53</v>
      </c>
      <c r="AU335" s="598"/>
      <c r="AV335" s="598"/>
      <c r="AW335" s="598"/>
      <c r="AX335" s="598"/>
      <c r="AY335" s="979">
        <v>28.54</v>
      </c>
      <c r="AZ335" s="598"/>
      <c r="BA335" s="598"/>
      <c r="BB335" s="598"/>
      <c r="BC335" s="598"/>
      <c r="BD335" s="979">
        <v>33.76</v>
      </c>
      <c r="BE335" s="598"/>
      <c r="BF335" s="598"/>
      <c r="BG335" s="598"/>
      <c r="BH335" s="598"/>
      <c r="BI335" s="979">
        <v>20.010000000000002</v>
      </c>
      <c r="BJ335" s="598"/>
      <c r="BK335" s="598"/>
      <c r="BL335" s="598"/>
      <c r="BM335" s="598"/>
      <c r="BN335" s="979">
        <v>19.88</v>
      </c>
      <c r="BO335" s="598"/>
      <c r="BP335" s="598"/>
      <c r="BQ335" s="598"/>
      <c r="BR335" s="598"/>
      <c r="BS335" s="979">
        <v>18.8</v>
      </c>
      <c r="BT335" s="709"/>
      <c r="BU335" s="598"/>
      <c r="BV335" s="598"/>
      <c r="BW335" s="598"/>
      <c r="BX335" s="978"/>
      <c r="BY335" s="598"/>
      <c r="BZ335" s="598"/>
      <c r="CA335" s="598"/>
      <c r="CB335" s="598"/>
      <c r="CC335" s="978"/>
      <c r="CD335" s="978"/>
      <c r="CE335" s="978"/>
      <c r="CF335" s="978"/>
      <c r="CG335" s="616"/>
    </row>
    <row r="336" spans="1:85" s="603" customFormat="1" ht="14.4" hidden="1" outlineLevel="1" x14ac:dyDescent="0.3">
      <c r="A336" s="596" t="s">
        <v>1238</v>
      </c>
      <c r="B336" s="597"/>
      <c r="C336" s="978"/>
      <c r="D336" s="978"/>
      <c r="E336" s="978"/>
      <c r="F336" s="978"/>
      <c r="G336" s="598"/>
      <c r="H336" s="598"/>
      <c r="I336" s="598"/>
      <c r="J336" s="598"/>
      <c r="K336" s="978"/>
      <c r="L336" s="598"/>
      <c r="M336" s="598"/>
      <c r="N336" s="598"/>
      <c r="O336" s="598"/>
      <c r="P336" s="978"/>
      <c r="Q336" s="598"/>
      <c r="R336" s="598"/>
      <c r="S336" s="598"/>
      <c r="T336" s="598"/>
      <c r="U336" s="978"/>
      <c r="V336" s="598"/>
      <c r="W336" s="598"/>
      <c r="X336" s="598"/>
      <c r="Y336" s="598"/>
      <c r="Z336" s="978"/>
      <c r="AA336" s="598"/>
      <c r="AB336" s="598"/>
      <c r="AC336" s="598"/>
      <c r="AD336" s="598"/>
      <c r="AE336" s="978"/>
      <c r="AF336" s="598"/>
      <c r="AG336" s="598"/>
      <c r="AH336" s="598"/>
      <c r="AI336" s="598"/>
      <c r="AJ336" s="978"/>
      <c r="AK336" s="598"/>
      <c r="AL336" s="598"/>
      <c r="AM336" s="598"/>
      <c r="AN336" s="598"/>
      <c r="AO336" s="979">
        <v>1.07</v>
      </c>
      <c r="AP336" s="598"/>
      <c r="AQ336" s="598"/>
      <c r="AR336" s="598"/>
      <c r="AS336" s="598"/>
      <c r="AT336" s="979">
        <v>0.96</v>
      </c>
      <c r="AU336" s="598"/>
      <c r="AV336" s="598"/>
      <c r="AW336" s="598"/>
      <c r="AX336" s="598"/>
      <c r="AY336" s="979">
        <v>3.02</v>
      </c>
      <c r="AZ336" s="598"/>
      <c r="BA336" s="598"/>
      <c r="BB336" s="598"/>
      <c r="BC336" s="598"/>
      <c r="BD336" s="979">
        <v>5.53</v>
      </c>
      <c r="BE336" s="598"/>
      <c r="BF336" s="598"/>
      <c r="BG336" s="598"/>
      <c r="BH336" s="598"/>
      <c r="BI336" s="979">
        <v>1.65</v>
      </c>
      <c r="BJ336" s="598"/>
      <c r="BK336" s="598"/>
      <c r="BL336" s="598"/>
      <c r="BM336" s="598"/>
      <c r="BN336" s="979">
        <v>1.03</v>
      </c>
      <c r="BO336" s="598"/>
      <c r="BP336" s="598"/>
      <c r="BQ336" s="598"/>
      <c r="BR336" s="598"/>
      <c r="BS336" s="979">
        <v>2.04</v>
      </c>
      <c r="BT336" s="709"/>
      <c r="BU336" s="598"/>
      <c r="BV336" s="598"/>
      <c r="BW336" s="598"/>
      <c r="BX336" s="978"/>
      <c r="BY336" s="598"/>
      <c r="BZ336" s="598"/>
      <c r="CA336" s="598"/>
      <c r="CB336" s="598"/>
      <c r="CC336" s="978"/>
      <c r="CD336" s="978"/>
      <c r="CE336" s="978"/>
      <c r="CF336" s="978"/>
      <c r="CG336" s="616"/>
    </row>
    <row r="337" spans="1:85" s="604" customFormat="1" ht="14.4" hidden="1" outlineLevel="1" x14ac:dyDescent="0.3">
      <c r="A337" s="599" t="s">
        <v>1120</v>
      </c>
      <c r="B337" s="600"/>
      <c r="C337" s="980"/>
      <c r="D337" s="980"/>
      <c r="E337" s="980"/>
      <c r="F337" s="980"/>
      <c r="G337" s="601"/>
      <c r="H337" s="601"/>
      <c r="I337" s="601"/>
      <c r="J337" s="601"/>
      <c r="K337" s="980"/>
      <c r="L337" s="601"/>
      <c r="M337" s="601"/>
      <c r="N337" s="601"/>
      <c r="O337" s="601"/>
      <c r="P337" s="980"/>
      <c r="Q337" s="601"/>
      <c r="R337" s="601"/>
      <c r="S337" s="601"/>
      <c r="T337" s="601"/>
      <c r="U337" s="980"/>
      <c r="V337" s="601"/>
      <c r="W337" s="601"/>
      <c r="X337" s="601"/>
      <c r="Y337" s="601"/>
      <c r="Z337" s="980"/>
      <c r="AA337" s="601"/>
      <c r="AB337" s="601"/>
      <c r="AC337" s="601"/>
      <c r="AD337" s="601"/>
      <c r="AE337" s="980"/>
      <c r="AF337" s="601"/>
      <c r="AG337" s="601"/>
      <c r="AH337" s="601"/>
      <c r="AI337" s="601"/>
      <c r="AJ337" s="980"/>
      <c r="AK337" s="601"/>
      <c r="AL337" s="601"/>
      <c r="AM337" s="601"/>
      <c r="AN337" s="601"/>
      <c r="AO337" s="981">
        <v>10.48</v>
      </c>
      <c r="AP337" s="601"/>
      <c r="AQ337" s="601"/>
      <c r="AR337" s="601"/>
      <c r="AS337" s="601"/>
      <c r="AT337" s="981">
        <v>10.01</v>
      </c>
      <c r="AU337" s="601"/>
      <c r="AV337" s="601"/>
      <c r="AW337" s="601"/>
      <c r="AX337" s="601"/>
      <c r="AY337" s="981">
        <v>10.45</v>
      </c>
      <c r="AZ337" s="601"/>
      <c r="BA337" s="601"/>
      <c r="BB337" s="601"/>
      <c r="BC337" s="601"/>
      <c r="BD337" s="981">
        <v>11.1</v>
      </c>
      <c r="BE337" s="601"/>
      <c r="BF337" s="601"/>
      <c r="BG337" s="601"/>
      <c r="BH337" s="601"/>
      <c r="BI337" s="981">
        <v>11.19</v>
      </c>
      <c r="BJ337" s="601"/>
      <c r="BK337" s="601"/>
      <c r="BL337" s="601"/>
      <c r="BM337" s="601"/>
      <c r="BN337" s="981">
        <v>9.41</v>
      </c>
      <c r="BO337" s="601"/>
      <c r="BP337" s="601"/>
      <c r="BQ337" s="601"/>
      <c r="BR337" s="601"/>
      <c r="BS337" s="981">
        <v>10.35</v>
      </c>
      <c r="BT337" s="710"/>
      <c r="BU337" s="601"/>
      <c r="BV337" s="601"/>
      <c r="BW337" s="601"/>
      <c r="BX337" s="980"/>
      <c r="BY337" s="601"/>
      <c r="BZ337" s="601"/>
      <c r="CA337" s="601"/>
      <c r="CB337" s="601"/>
      <c r="CC337" s="980"/>
      <c r="CD337" s="980"/>
      <c r="CE337" s="980"/>
      <c r="CF337" s="980"/>
      <c r="CG337" s="617"/>
    </row>
    <row r="338" spans="1:85" s="604" customFormat="1" ht="14.4" hidden="1" outlineLevel="1" x14ac:dyDescent="0.3">
      <c r="A338" s="599"/>
      <c r="B338" s="600"/>
      <c r="C338" s="980"/>
      <c r="D338" s="980"/>
      <c r="E338" s="980"/>
      <c r="F338" s="980"/>
      <c r="G338" s="601"/>
      <c r="H338" s="601"/>
      <c r="I338" s="601"/>
      <c r="J338" s="601"/>
      <c r="K338" s="980"/>
      <c r="L338" s="601"/>
      <c r="M338" s="601"/>
      <c r="N338" s="601"/>
      <c r="O338" s="601"/>
      <c r="P338" s="980"/>
      <c r="Q338" s="601"/>
      <c r="R338" s="601"/>
      <c r="S338" s="601"/>
      <c r="T338" s="601"/>
      <c r="U338" s="980"/>
      <c r="V338" s="601"/>
      <c r="W338" s="601"/>
      <c r="X338" s="601"/>
      <c r="Y338" s="601"/>
      <c r="Z338" s="980"/>
      <c r="AA338" s="601"/>
      <c r="AB338" s="601"/>
      <c r="AC338" s="601"/>
      <c r="AD338" s="601"/>
      <c r="AE338" s="980"/>
      <c r="AF338" s="601"/>
      <c r="AG338" s="601"/>
      <c r="AH338" s="601"/>
      <c r="AI338" s="601"/>
      <c r="AJ338" s="980"/>
      <c r="AK338" s="601"/>
      <c r="AL338" s="601"/>
      <c r="AM338" s="601"/>
      <c r="AN338" s="601"/>
      <c r="AO338" s="980"/>
      <c r="AP338" s="601"/>
      <c r="AQ338" s="601"/>
      <c r="AR338" s="601"/>
      <c r="AS338" s="601"/>
      <c r="AT338" s="980"/>
      <c r="AU338" s="601"/>
      <c r="AV338" s="601"/>
      <c r="AW338" s="601"/>
      <c r="AX338" s="601"/>
      <c r="AY338" s="980"/>
      <c r="AZ338" s="601"/>
      <c r="BA338" s="601"/>
      <c r="BB338" s="601"/>
      <c r="BC338" s="601"/>
      <c r="BD338" s="980"/>
      <c r="BE338" s="601"/>
      <c r="BF338" s="601"/>
      <c r="BG338" s="601"/>
      <c r="BH338" s="601"/>
      <c r="BI338" s="980"/>
      <c r="BJ338" s="601"/>
      <c r="BK338" s="601"/>
      <c r="BL338" s="601"/>
      <c r="BM338" s="601"/>
      <c r="BN338" s="980"/>
      <c r="BO338" s="601"/>
      <c r="BP338" s="601"/>
      <c r="BQ338" s="601"/>
      <c r="BR338" s="601"/>
      <c r="BS338" s="980"/>
      <c r="BT338" s="710"/>
      <c r="BU338" s="601"/>
      <c r="BV338" s="601"/>
      <c r="BW338" s="601"/>
      <c r="BX338" s="980"/>
      <c r="BY338" s="601"/>
      <c r="BZ338" s="601"/>
      <c r="CA338" s="601"/>
      <c r="CB338" s="601"/>
      <c r="CC338" s="980"/>
      <c r="CD338" s="980"/>
      <c r="CE338" s="980"/>
      <c r="CF338" s="980"/>
      <c r="CG338" s="617"/>
    </row>
    <row r="339" spans="1:85" s="603" customFormat="1" ht="14.4" hidden="1" outlineLevel="1" x14ac:dyDescent="0.3">
      <c r="A339" s="596" t="s">
        <v>1121</v>
      </c>
      <c r="B339" s="597"/>
      <c r="C339" s="978"/>
      <c r="D339" s="978"/>
      <c r="E339" s="978"/>
      <c r="F339" s="978"/>
      <c r="G339" s="598"/>
      <c r="H339" s="598"/>
      <c r="I339" s="598"/>
      <c r="J339" s="598"/>
      <c r="K339" s="978"/>
      <c r="L339" s="598"/>
      <c r="M339" s="598"/>
      <c r="N339" s="598"/>
      <c r="O339" s="598"/>
      <c r="P339" s="978"/>
      <c r="Q339" s="598"/>
      <c r="R339" s="598"/>
      <c r="S339" s="598"/>
      <c r="T339" s="598"/>
      <c r="U339" s="978"/>
      <c r="V339" s="598"/>
      <c r="W339" s="598"/>
      <c r="X339" s="598"/>
      <c r="Y339" s="598"/>
      <c r="Z339" s="978"/>
      <c r="AA339" s="598"/>
      <c r="AB339" s="598"/>
      <c r="AC339" s="598"/>
      <c r="AD339" s="598"/>
      <c r="AE339" s="978"/>
      <c r="AF339" s="598"/>
      <c r="AG339" s="598"/>
      <c r="AH339" s="598"/>
      <c r="AI339" s="598"/>
      <c r="AJ339" s="978"/>
      <c r="AK339" s="598"/>
      <c r="AL339" s="598"/>
      <c r="AM339" s="598"/>
      <c r="AN339" s="598"/>
      <c r="AO339" s="978"/>
      <c r="AP339" s="598"/>
      <c r="AQ339" s="598"/>
      <c r="AR339" s="598"/>
      <c r="AS339" s="598"/>
      <c r="AT339" s="978"/>
      <c r="AU339" s="598"/>
      <c r="AV339" s="598"/>
      <c r="AW339" s="598"/>
      <c r="AX339" s="598"/>
      <c r="AY339" s="979">
        <v>62.84</v>
      </c>
      <c r="AZ339" s="598"/>
      <c r="BA339" s="598"/>
      <c r="BB339" s="598"/>
      <c r="BC339" s="598"/>
      <c r="BD339" s="979">
        <v>90.04</v>
      </c>
      <c r="BE339" s="598"/>
      <c r="BF339" s="598"/>
      <c r="BG339" s="598"/>
      <c r="BH339" s="598"/>
      <c r="BI339" s="979">
        <v>72.849999999999994</v>
      </c>
      <c r="BJ339" s="598"/>
      <c r="BK339" s="598"/>
      <c r="BL339" s="598"/>
      <c r="BM339" s="598"/>
      <c r="BN339" s="979">
        <v>70.06</v>
      </c>
      <c r="BO339" s="598"/>
      <c r="BP339" s="598"/>
      <c r="BQ339" s="598"/>
      <c r="BR339" s="598"/>
      <c r="BS339" s="979">
        <v>64.02</v>
      </c>
      <c r="BT339" s="709"/>
      <c r="BU339" s="598"/>
      <c r="BV339" s="598"/>
      <c r="BW339" s="598"/>
      <c r="BX339" s="978"/>
      <c r="BY339" s="598"/>
      <c r="BZ339" s="598"/>
      <c r="CA339" s="598"/>
      <c r="CB339" s="598"/>
      <c r="CC339" s="978"/>
      <c r="CD339" s="978"/>
      <c r="CE339" s="978"/>
      <c r="CF339" s="978"/>
      <c r="CG339" s="616"/>
    </row>
    <row r="340" spans="1:85" s="603" customFormat="1" ht="14.4" hidden="1" outlineLevel="1" x14ac:dyDescent="0.3">
      <c r="A340" s="596" t="s">
        <v>1122</v>
      </c>
      <c r="B340" s="597"/>
      <c r="C340" s="978"/>
      <c r="D340" s="978"/>
      <c r="E340" s="978"/>
      <c r="F340" s="978"/>
      <c r="G340" s="598"/>
      <c r="H340" s="598"/>
      <c r="I340" s="598"/>
      <c r="J340" s="598"/>
      <c r="K340" s="978"/>
      <c r="L340" s="598"/>
      <c r="M340" s="598"/>
      <c r="N340" s="598"/>
      <c r="O340" s="598"/>
      <c r="P340" s="978"/>
      <c r="Q340" s="598"/>
      <c r="R340" s="598"/>
      <c r="S340" s="598"/>
      <c r="T340" s="598"/>
      <c r="U340" s="978"/>
      <c r="V340" s="598"/>
      <c r="W340" s="598"/>
      <c r="X340" s="598"/>
      <c r="Y340" s="598"/>
      <c r="Z340" s="978"/>
      <c r="AA340" s="598"/>
      <c r="AB340" s="598"/>
      <c r="AC340" s="598"/>
      <c r="AD340" s="598"/>
      <c r="AE340" s="978"/>
      <c r="AF340" s="598"/>
      <c r="AG340" s="598"/>
      <c r="AH340" s="598"/>
      <c r="AI340" s="598"/>
      <c r="AJ340" s="978"/>
      <c r="AK340" s="598"/>
      <c r="AL340" s="598"/>
      <c r="AM340" s="598"/>
      <c r="AN340" s="598"/>
      <c r="AO340" s="979">
        <v>54.85</v>
      </c>
      <c r="AP340" s="598"/>
      <c r="AQ340" s="598"/>
      <c r="AR340" s="598"/>
      <c r="AS340" s="598"/>
      <c r="AT340" s="979">
        <v>35.409999999999997</v>
      </c>
      <c r="AU340" s="598"/>
      <c r="AV340" s="598"/>
      <c r="AW340" s="598"/>
      <c r="AX340" s="598"/>
      <c r="AY340" s="979">
        <v>26.33</v>
      </c>
      <c r="AZ340" s="598"/>
      <c r="BA340" s="598"/>
      <c r="BB340" s="598"/>
      <c r="BC340" s="598"/>
      <c r="BD340" s="979">
        <v>34.33</v>
      </c>
      <c r="BE340" s="598"/>
      <c r="BF340" s="598"/>
      <c r="BG340" s="598"/>
      <c r="BH340" s="598"/>
      <c r="BI340" s="979">
        <v>29</v>
      </c>
      <c r="BJ340" s="598"/>
      <c r="BK340" s="598"/>
      <c r="BL340" s="598"/>
      <c r="BM340" s="598"/>
      <c r="BN340" s="979">
        <v>26.53</v>
      </c>
      <c r="BO340" s="598"/>
      <c r="BP340" s="598"/>
      <c r="BQ340" s="598"/>
      <c r="BR340" s="598"/>
      <c r="BS340" s="979">
        <v>0</v>
      </c>
      <c r="BT340" s="709"/>
      <c r="BU340" s="598"/>
      <c r="BV340" s="598"/>
      <c r="BW340" s="598"/>
      <c r="BX340" s="978"/>
      <c r="BY340" s="598"/>
      <c r="BZ340" s="598"/>
      <c r="CA340" s="598"/>
      <c r="CB340" s="598"/>
      <c r="CC340" s="978"/>
      <c r="CD340" s="978"/>
      <c r="CE340" s="978"/>
      <c r="CF340" s="978"/>
      <c r="CG340" s="616"/>
    </row>
    <row r="341" spans="1:85" s="603" customFormat="1" ht="14.4" hidden="1" outlineLevel="1" x14ac:dyDescent="0.3">
      <c r="A341" s="596" t="s">
        <v>1239</v>
      </c>
      <c r="B341" s="597"/>
      <c r="C341" s="978"/>
      <c r="D341" s="978"/>
      <c r="E341" s="978"/>
      <c r="F341" s="978"/>
      <c r="G341" s="598"/>
      <c r="H341" s="598"/>
      <c r="I341" s="598"/>
      <c r="J341" s="598"/>
      <c r="K341" s="978"/>
      <c r="L341" s="598"/>
      <c r="M341" s="598"/>
      <c r="N341" s="598"/>
      <c r="O341" s="598"/>
      <c r="P341" s="978"/>
      <c r="Q341" s="598"/>
      <c r="R341" s="598"/>
      <c r="S341" s="598"/>
      <c r="T341" s="598"/>
      <c r="U341" s="978"/>
      <c r="V341" s="598"/>
      <c r="W341" s="598"/>
      <c r="X341" s="598"/>
      <c r="Y341" s="598"/>
      <c r="Z341" s="978"/>
      <c r="AA341" s="598"/>
      <c r="AB341" s="598"/>
      <c r="AC341" s="598"/>
      <c r="AD341" s="598"/>
      <c r="AE341" s="978"/>
      <c r="AF341" s="598"/>
      <c r="AG341" s="598"/>
      <c r="AH341" s="598"/>
      <c r="AI341" s="598"/>
      <c r="AJ341" s="978"/>
      <c r="AK341" s="598"/>
      <c r="AL341" s="598"/>
      <c r="AM341" s="598"/>
      <c r="AN341" s="598"/>
      <c r="AO341" s="979">
        <v>2.2400000000000002</v>
      </c>
      <c r="AP341" s="598"/>
      <c r="AQ341" s="598"/>
      <c r="AR341" s="598"/>
      <c r="AS341" s="598"/>
      <c r="AT341" s="979">
        <v>2.2000000000000002</v>
      </c>
      <c r="AU341" s="598"/>
      <c r="AV341" s="598"/>
      <c r="AW341" s="598"/>
      <c r="AX341" s="598"/>
      <c r="AY341" s="979">
        <v>3.39</v>
      </c>
      <c r="AZ341" s="598"/>
      <c r="BA341" s="598"/>
      <c r="BB341" s="598"/>
      <c r="BC341" s="598"/>
      <c r="BD341" s="979">
        <v>5.15</v>
      </c>
      <c r="BE341" s="598"/>
      <c r="BF341" s="598"/>
      <c r="BG341" s="598"/>
      <c r="BH341" s="598"/>
      <c r="BI341" s="979">
        <v>2.63</v>
      </c>
      <c r="BJ341" s="598"/>
      <c r="BK341" s="598"/>
      <c r="BL341" s="598"/>
      <c r="BM341" s="598"/>
      <c r="BN341" s="979">
        <v>1.03</v>
      </c>
      <c r="BO341" s="598"/>
      <c r="BP341" s="598"/>
      <c r="BQ341" s="598"/>
      <c r="BR341" s="598"/>
      <c r="BS341" s="979">
        <v>1.71</v>
      </c>
      <c r="BT341" s="709"/>
      <c r="BU341" s="598"/>
      <c r="BV341" s="598"/>
      <c r="BW341" s="598"/>
      <c r="BX341" s="978"/>
      <c r="BY341" s="598"/>
      <c r="BZ341" s="598"/>
      <c r="CA341" s="598"/>
      <c r="CB341" s="598"/>
      <c r="CC341" s="978"/>
      <c r="CD341" s="978"/>
      <c r="CE341" s="978"/>
      <c r="CF341" s="978"/>
      <c r="CG341" s="616"/>
    </row>
    <row r="342" spans="1:85" s="604" customFormat="1" ht="14.4" hidden="1" outlineLevel="1" x14ac:dyDescent="0.3">
      <c r="A342" s="599" t="s">
        <v>1123</v>
      </c>
      <c r="B342" s="600"/>
      <c r="C342" s="980"/>
      <c r="D342" s="980"/>
      <c r="E342" s="980"/>
      <c r="F342" s="980"/>
      <c r="G342" s="601"/>
      <c r="H342" s="601"/>
      <c r="I342" s="601"/>
      <c r="J342" s="601"/>
      <c r="K342" s="980"/>
      <c r="L342" s="601"/>
      <c r="M342" s="601"/>
      <c r="N342" s="601"/>
      <c r="O342" s="601"/>
      <c r="P342" s="980"/>
      <c r="Q342" s="601"/>
      <c r="R342" s="601"/>
      <c r="S342" s="601"/>
      <c r="T342" s="601"/>
      <c r="U342" s="980"/>
      <c r="V342" s="601"/>
      <c r="W342" s="601"/>
      <c r="X342" s="601"/>
      <c r="Y342" s="601"/>
      <c r="Z342" s="980"/>
      <c r="AA342" s="601"/>
      <c r="AB342" s="601"/>
      <c r="AC342" s="601"/>
      <c r="AD342" s="601"/>
      <c r="AE342" s="980"/>
      <c r="AF342" s="601"/>
      <c r="AG342" s="601"/>
      <c r="AH342" s="601"/>
      <c r="AI342" s="601"/>
      <c r="AJ342" s="980"/>
      <c r="AK342" s="601"/>
      <c r="AL342" s="601"/>
      <c r="AM342" s="601"/>
      <c r="AN342" s="601"/>
      <c r="AO342" s="981">
        <v>15.97</v>
      </c>
      <c r="AP342" s="601"/>
      <c r="AQ342" s="601"/>
      <c r="AR342" s="601"/>
      <c r="AS342" s="601"/>
      <c r="AT342" s="981">
        <v>14.27</v>
      </c>
      <c r="AU342" s="601"/>
      <c r="AV342" s="601"/>
      <c r="AW342" s="601"/>
      <c r="AX342" s="601"/>
      <c r="AY342" s="981">
        <v>13.91</v>
      </c>
      <c r="AZ342" s="601"/>
      <c r="BA342" s="601"/>
      <c r="BB342" s="601"/>
      <c r="BC342" s="601"/>
      <c r="BD342" s="981">
        <v>17</v>
      </c>
      <c r="BE342" s="601"/>
      <c r="BF342" s="601"/>
      <c r="BG342" s="601"/>
      <c r="BH342" s="601"/>
      <c r="BI342" s="981">
        <v>16.13</v>
      </c>
      <c r="BJ342" s="601"/>
      <c r="BK342" s="601"/>
      <c r="BL342" s="601"/>
      <c r="BM342" s="601"/>
      <c r="BN342" s="981">
        <v>14.28</v>
      </c>
      <c r="BO342" s="601"/>
      <c r="BP342" s="601"/>
      <c r="BQ342" s="601"/>
      <c r="BR342" s="601"/>
      <c r="BS342" s="981">
        <v>10.93</v>
      </c>
      <c r="BT342" s="710"/>
      <c r="BU342" s="601"/>
      <c r="BV342" s="601"/>
      <c r="BW342" s="601"/>
      <c r="BX342" s="980"/>
      <c r="BY342" s="601"/>
      <c r="BZ342" s="601"/>
      <c r="CA342" s="601"/>
      <c r="CB342" s="601"/>
      <c r="CC342" s="980"/>
      <c r="CD342" s="980"/>
      <c r="CE342" s="980"/>
      <c r="CF342" s="980"/>
      <c r="CG342" s="617"/>
    </row>
    <row r="343" spans="1:85" s="604" customFormat="1" ht="14.4" hidden="1" outlineLevel="1" x14ac:dyDescent="0.3">
      <c r="A343" s="599"/>
      <c r="B343" s="600"/>
      <c r="C343" s="980"/>
      <c r="D343" s="980"/>
      <c r="E343" s="980"/>
      <c r="F343" s="980"/>
      <c r="G343" s="601"/>
      <c r="H343" s="601"/>
      <c r="I343" s="601"/>
      <c r="J343" s="601"/>
      <c r="K343" s="980"/>
      <c r="L343" s="601"/>
      <c r="M343" s="601"/>
      <c r="N343" s="601"/>
      <c r="O343" s="601"/>
      <c r="P343" s="980"/>
      <c r="Q343" s="601"/>
      <c r="R343" s="601"/>
      <c r="S343" s="601"/>
      <c r="T343" s="601"/>
      <c r="U343" s="980"/>
      <c r="V343" s="601"/>
      <c r="W343" s="601"/>
      <c r="X343" s="601"/>
      <c r="Y343" s="601"/>
      <c r="Z343" s="980"/>
      <c r="AA343" s="601"/>
      <c r="AB343" s="601"/>
      <c r="AC343" s="601"/>
      <c r="AD343" s="601"/>
      <c r="AE343" s="980"/>
      <c r="AF343" s="601"/>
      <c r="AG343" s="601"/>
      <c r="AH343" s="601"/>
      <c r="AI343" s="601"/>
      <c r="AJ343" s="980"/>
      <c r="AK343" s="601"/>
      <c r="AL343" s="601"/>
      <c r="AM343" s="601"/>
      <c r="AN343" s="601"/>
      <c r="AO343" s="980"/>
      <c r="AP343" s="601"/>
      <c r="AQ343" s="601"/>
      <c r="AR343" s="601"/>
      <c r="AS343" s="601"/>
      <c r="AT343" s="980"/>
      <c r="AU343" s="601"/>
      <c r="AV343" s="601"/>
      <c r="AW343" s="601"/>
      <c r="AX343" s="601"/>
      <c r="AY343" s="980"/>
      <c r="AZ343" s="601"/>
      <c r="BA343" s="601"/>
      <c r="BB343" s="601"/>
      <c r="BC343" s="601"/>
      <c r="BD343" s="980"/>
      <c r="BE343" s="601"/>
      <c r="BF343" s="601"/>
      <c r="BG343" s="601"/>
      <c r="BH343" s="601"/>
      <c r="BI343" s="980"/>
      <c r="BJ343" s="601"/>
      <c r="BK343" s="601"/>
      <c r="BL343" s="601"/>
      <c r="BM343" s="601"/>
      <c r="BN343" s="980"/>
      <c r="BO343" s="601"/>
      <c r="BP343" s="601"/>
      <c r="BQ343" s="601"/>
      <c r="BR343" s="601"/>
      <c r="BS343" s="980"/>
      <c r="BT343" s="710"/>
      <c r="BU343" s="601"/>
      <c r="BV343" s="601"/>
      <c r="BW343" s="601"/>
      <c r="BX343" s="980"/>
      <c r="BY343" s="601"/>
      <c r="BZ343" s="601"/>
      <c r="CA343" s="601"/>
      <c r="CB343" s="601"/>
      <c r="CC343" s="980"/>
      <c r="CD343" s="980"/>
      <c r="CE343" s="980"/>
      <c r="CF343" s="980"/>
      <c r="CG343" s="617"/>
    </row>
    <row r="344" spans="1:85" s="603" customFormat="1" ht="14.4" hidden="1" outlineLevel="1" x14ac:dyDescent="0.3">
      <c r="A344" s="596" t="s">
        <v>1124</v>
      </c>
      <c r="B344" s="597"/>
      <c r="C344" s="978"/>
      <c r="D344" s="978"/>
      <c r="E344" s="978"/>
      <c r="F344" s="978"/>
      <c r="G344" s="598"/>
      <c r="H344" s="598"/>
      <c r="I344" s="598"/>
      <c r="J344" s="598"/>
      <c r="K344" s="978"/>
      <c r="L344" s="598"/>
      <c r="M344" s="598"/>
      <c r="N344" s="598"/>
      <c r="O344" s="598"/>
      <c r="P344" s="978"/>
      <c r="Q344" s="598"/>
      <c r="R344" s="598"/>
      <c r="S344" s="598"/>
      <c r="T344" s="598"/>
      <c r="U344" s="978"/>
      <c r="V344" s="598"/>
      <c r="W344" s="598"/>
      <c r="X344" s="598"/>
      <c r="Y344" s="598"/>
      <c r="Z344" s="978"/>
      <c r="AA344" s="598"/>
      <c r="AB344" s="598"/>
      <c r="AC344" s="598"/>
      <c r="AD344" s="598"/>
      <c r="AE344" s="978"/>
      <c r="AF344" s="598"/>
      <c r="AG344" s="598"/>
      <c r="AH344" s="598"/>
      <c r="AI344" s="598"/>
      <c r="AJ344" s="978"/>
      <c r="AK344" s="598"/>
      <c r="AL344" s="598"/>
      <c r="AM344" s="598"/>
      <c r="AN344" s="598"/>
      <c r="AO344" s="978"/>
      <c r="AP344" s="598"/>
      <c r="AQ344" s="598"/>
      <c r="AR344" s="598"/>
      <c r="AS344" s="598"/>
      <c r="AT344" s="978"/>
      <c r="AU344" s="598"/>
      <c r="AV344" s="598"/>
      <c r="AW344" s="598"/>
      <c r="AX344" s="598"/>
      <c r="AY344" s="979">
        <v>72.38</v>
      </c>
      <c r="AZ344" s="598"/>
      <c r="BA344" s="598"/>
      <c r="BB344" s="598"/>
      <c r="BC344" s="598"/>
      <c r="BD344" s="979">
        <v>100.82</v>
      </c>
      <c r="BE344" s="598"/>
      <c r="BF344" s="598"/>
      <c r="BG344" s="598"/>
      <c r="BH344" s="598"/>
      <c r="BI344" s="979">
        <v>72.86</v>
      </c>
      <c r="BJ344" s="598"/>
      <c r="BK344" s="598"/>
      <c r="BL344" s="598"/>
      <c r="BM344" s="598"/>
      <c r="BN344" s="979">
        <v>75.69</v>
      </c>
      <c r="BO344" s="598"/>
      <c r="BP344" s="598"/>
      <c r="BQ344" s="598"/>
      <c r="BR344" s="598"/>
      <c r="BS344" s="979">
        <v>66.3</v>
      </c>
      <c r="BT344" s="709"/>
      <c r="BU344" s="598"/>
      <c r="BV344" s="598"/>
      <c r="BW344" s="598"/>
      <c r="BX344" s="978"/>
      <c r="BY344" s="598"/>
      <c r="BZ344" s="598"/>
      <c r="CA344" s="598"/>
      <c r="CB344" s="598"/>
      <c r="CC344" s="978"/>
      <c r="CD344" s="978"/>
      <c r="CE344" s="978"/>
      <c r="CF344" s="978"/>
      <c r="CG344" s="616"/>
    </row>
    <row r="345" spans="1:85" s="603" customFormat="1" ht="14.4" hidden="1" outlineLevel="1" x14ac:dyDescent="0.3">
      <c r="A345" s="596" t="s">
        <v>1125</v>
      </c>
      <c r="B345" s="597"/>
      <c r="C345" s="978"/>
      <c r="D345" s="978"/>
      <c r="E345" s="978"/>
      <c r="F345" s="978"/>
      <c r="G345" s="598"/>
      <c r="H345" s="598"/>
      <c r="I345" s="598"/>
      <c r="J345" s="598"/>
      <c r="K345" s="978"/>
      <c r="L345" s="598"/>
      <c r="M345" s="598"/>
      <c r="N345" s="598"/>
      <c r="O345" s="598"/>
      <c r="P345" s="978"/>
      <c r="Q345" s="598"/>
      <c r="R345" s="598"/>
      <c r="S345" s="598"/>
      <c r="T345" s="598"/>
      <c r="U345" s="978"/>
      <c r="V345" s="598"/>
      <c r="W345" s="598"/>
      <c r="X345" s="598"/>
      <c r="Y345" s="598"/>
      <c r="Z345" s="978"/>
      <c r="AA345" s="598"/>
      <c r="AB345" s="598"/>
      <c r="AC345" s="598"/>
      <c r="AD345" s="598"/>
      <c r="AE345" s="978"/>
      <c r="AF345" s="598"/>
      <c r="AG345" s="598"/>
      <c r="AH345" s="598"/>
      <c r="AI345" s="598"/>
      <c r="AJ345" s="978"/>
      <c r="AK345" s="598"/>
      <c r="AL345" s="598"/>
      <c r="AM345" s="598"/>
      <c r="AN345" s="598"/>
      <c r="AO345" s="979">
        <v>62.27</v>
      </c>
      <c r="AP345" s="598"/>
      <c r="AQ345" s="598"/>
      <c r="AR345" s="598"/>
      <c r="AS345" s="598"/>
      <c r="AT345" s="979">
        <v>38.06</v>
      </c>
      <c r="AU345" s="598"/>
      <c r="AV345" s="598"/>
      <c r="AW345" s="598"/>
      <c r="AX345" s="598"/>
      <c r="AY345" s="979">
        <v>39.4</v>
      </c>
      <c r="AZ345" s="598"/>
      <c r="BA345" s="598"/>
      <c r="BB345" s="598"/>
      <c r="BC345" s="598"/>
      <c r="BD345" s="979">
        <v>35.43</v>
      </c>
      <c r="BE345" s="598"/>
      <c r="BF345" s="598"/>
      <c r="BG345" s="598"/>
      <c r="BH345" s="598"/>
      <c r="BI345" s="979">
        <v>27.8</v>
      </c>
      <c r="BJ345" s="598"/>
      <c r="BK345" s="598"/>
      <c r="BL345" s="598"/>
      <c r="BM345" s="598"/>
      <c r="BN345" s="979">
        <v>32.130000000000003</v>
      </c>
      <c r="BO345" s="598"/>
      <c r="BP345" s="598"/>
      <c r="BQ345" s="598"/>
      <c r="BR345" s="598"/>
      <c r="BS345" s="979">
        <v>21.74</v>
      </c>
      <c r="BT345" s="709"/>
      <c r="BU345" s="598"/>
      <c r="BV345" s="598"/>
      <c r="BW345" s="598"/>
      <c r="BX345" s="978"/>
      <c r="BY345" s="598"/>
      <c r="BZ345" s="598"/>
      <c r="CA345" s="598"/>
      <c r="CB345" s="598"/>
      <c r="CC345" s="978"/>
      <c r="CD345" s="978"/>
      <c r="CE345" s="978"/>
      <c r="CF345" s="978"/>
      <c r="CG345" s="616"/>
    </row>
    <row r="346" spans="1:85" s="603" customFormat="1" ht="14.4" hidden="1" outlineLevel="1" x14ac:dyDescent="0.3">
      <c r="A346" s="596" t="s">
        <v>1240</v>
      </c>
      <c r="B346" s="597"/>
      <c r="C346" s="978"/>
      <c r="D346" s="978"/>
      <c r="E346" s="978"/>
      <c r="F346" s="978"/>
      <c r="G346" s="598"/>
      <c r="H346" s="598"/>
      <c r="I346" s="598"/>
      <c r="J346" s="598"/>
      <c r="K346" s="978"/>
      <c r="L346" s="598"/>
      <c r="M346" s="598"/>
      <c r="N346" s="598"/>
      <c r="O346" s="598"/>
      <c r="P346" s="978"/>
      <c r="Q346" s="598"/>
      <c r="R346" s="598"/>
      <c r="S346" s="598"/>
      <c r="T346" s="598"/>
      <c r="U346" s="978"/>
      <c r="V346" s="598"/>
      <c r="W346" s="598"/>
      <c r="X346" s="598"/>
      <c r="Y346" s="598"/>
      <c r="Z346" s="978"/>
      <c r="AA346" s="598"/>
      <c r="AB346" s="598"/>
      <c r="AC346" s="598"/>
      <c r="AD346" s="598"/>
      <c r="AE346" s="978"/>
      <c r="AF346" s="598"/>
      <c r="AG346" s="598"/>
      <c r="AH346" s="598"/>
      <c r="AI346" s="598"/>
      <c r="AJ346" s="978"/>
      <c r="AK346" s="598"/>
      <c r="AL346" s="598"/>
      <c r="AM346" s="598"/>
      <c r="AN346" s="598"/>
      <c r="AO346" s="979">
        <v>1.84</v>
      </c>
      <c r="AP346" s="598"/>
      <c r="AQ346" s="598"/>
      <c r="AR346" s="598"/>
      <c r="AS346" s="598"/>
      <c r="AT346" s="979">
        <v>1.61</v>
      </c>
      <c r="AU346" s="598"/>
      <c r="AV346" s="598"/>
      <c r="AW346" s="598"/>
      <c r="AX346" s="598"/>
      <c r="AY346" s="979">
        <v>2.66</v>
      </c>
      <c r="AZ346" s="598"/>
      <c r="BA346" s="598"/>
      <c r="BB346" s="598"/>
      <c r="BC346" s="598"/>
      <c r="BD346" s="979">
        <v>9</v>
      </c>
      <c r="BE346" s="598"/>
      <c r="BF346" s="598"/>
      <c r="BG346" s="598"/>
      <c r="BH346" s="598"/>
      <c r="BI346" s="979">
        <v>3.95</v>
      </c>
      <c r="BJ346" s="598"/>
      <c r="BK346" s="598"/>
      <c r="BL346" s="598"/>
      <c r="BM346" s="598"/>
      <c r="BN346" s="979">
        <v>4.1399999999999997</v>
      </c>
      <c r="BO346" s="598"/>
      <c r="BP346" s="598"/>
      <c r="BQ346" s="598"/>
      <c r="BR346" s="598"/>
      <c r="BS346" s="979">
        <v>4.91</v>
      </c>
      <c r="BT346" s="709"/>
      <c r="BU346" s="598"/>
      <c r="BV346" s="598"/>
      <c r="BW346" s="598"/>
      <c r="BX346" s="978"/>
      <c r="BY346" s="598"/>
      <c r="BZ346" s="598"/>
      <c r="CA346" s="598"/>
      <c r="CB346" s="598"/>
      <c r="CC346" s="978"/>
      <c r="CD346" s="978"/>
      <c r="CE346" s="978"/>
      <c r="CF346" s="978"/>
      <c r="CG346" s="616"/>
    </row>
    <row r="347" spans="1:85" s="604" customFormat="1" ht="14.4" hidden="1" outlineLevel="1" x14ac:dyDescent="0.3">
      <c r="A347" s="599" t="s">
        <v>1126</v>
      </c>
      <c r="B347" s="600"/>
      <c r="C347" s="980"/>
      <c r="D347" s="980"/>
      <c r="E347" s="980"/>
      <c r="F347" s="980"/>
      <c r="G347" s="601"/>
      <c r="H347" s="601"/>
      <c r="I347" s="601"/>
      <c r="J347" s="601"/>
      <c r="K347" s="980"/>
      <c r="L347" s="601"/>
      <c r="M347" s="601"/>
      <c r="N347" s="601"/>
      <c r="O347" s="601"/>
      <c r="P347" s="980"/>
      <c r="Q347" s="601"/>
      <c r="R347" s="601"/>
      <c r="S347" s="601"/>
      <c r="T347" s="601"/>
      <c r="U347" s="980"/>
      <c r="V347" s="601"/>
      <c r="W347" s="601"/>
      <c r="X347" s="601"/>
      <c r="Y347" s="601"/>
      <c r="Z347" s="980"/>
      <c r="AA347" s="601"/>
      <c r="AB347" s="601"/>
      <c r="AC347" s="601"/>
      <c r="AD347" s="601"/>
      <c r="AE347" s="980"/>
      <c r="AF347" s="601"/>
      <c r="AG347" s="601"/>
      <c r="AH347" s="601"/>
      <c r="AI347" s="601"/>
      <c r="AJ347" s="980"/>
      <c r="AK347" s="601"/>
      <c r="AL347" s="601"/>
      <c r="AM347" s="601"/>
      <c r="AN347" s="601"/>
      <c r="AO347" s="981">
        <v>11.9</v>
      </c>
      <c r="AP347" s="601"/>
      <c r="AQ347" s="601"/>
      <c r="AR347" s="601"/>
      <c r="AS347" s="601"/>
      <c r="AT347" s="981">
        <v>13.19</v>
      </c>
      <c r="AU347" s="601"/>
      <c r="AV347" s="601"/>
      <c r="AW347" s="601"/>
      <c r="AX347" s="601"/>
      <c r="AY347" s="981">
        <v>12.4</v>
      </c>
      <c r="AZ347" s="601"/>
      <c r="BA347" s="601"/>
      <c r="BB347" s="601"/>
      <c r="BC347" s="601"/>
      <c r="BD347" s="981">
        <v>14.43</v>
      </c>
      <c r="BE347" s="601"/>
      <c r="BF347" s="601"/>
      <c r="BG347" s="601"/>
      <c r="BH347" s="601"/>
      <c r="BI347" s="981">
        <v>16.350000000000001</v>
      </c>
      <c r="BJ347" s="601"/>
      <c r="BK347" s="601"/>
      <c r="BL347" s="601"/>
      <c r="BM347" s="601"/>
      <c r="BN347" s="981">
        <v>18.07</v>
      </c>
      <c r="BO347" s="601"/>
      <c r="BP347" s="601"/>
      <c r="BQ347" s="601"/>
      <c r="BR347" s="601"/>
      <c r="BS347" s="981">
        <v>18.71</v>
      </c>
      <c r="BT347" s="710"/>
      <c r="BU347" s="601"/>
      <c r="BV347" s="601"/>
      <c r="BW347" s="601"/>
      <c r="BX347" s="980"/>
      <c r="BY347" s="601"/>
      <c r="BZ347" s="601"/>
      <c r="CA347" s="601"/>
      <c r="CB347" s="601"/>
      <c r="CC347" s="980"/>
      <c r="CD347" s="980"/>
      <c r="CE347" s="980"/>
      <c r="CF347" s="980"/>
      <c r="CG347" s="617"/>
    </row>
    <row r="348" spans="1:85" s="604" customFormat="1" ht="14.4" hidden="1" outlineLevel="1" x14ac:dyDescent="0.3">
      <c r="A348" s="599"/>
      <c r="B348" s="600"/>
      <c r="C348" s="980"/>
      <c r="D348" s="980"/>
      <c r="E348" s="980"/>
      <c r="F348" s="980"/>
      <c r="G348" s="601"/>
      <c r="H348" s="601"/>
      <c r="I348" s="601"/>
      <c r="J348" s="601"/>
      <c r="K348" s="980"/>
      <c r="L348" s="601"/>
      <c r="M348" s="601"/>
      <c r="N348" s="601"/>
      <c r="O348" s="601"/>
      <c r="P348" s="980"/>
      <c r="Q348" s="601"/>
      <c r="R348" s="601"/>
      <c r="S348" s="601"/>
      <c r="T348" s="601"/>
      <c r="U348" s="980"/>
      <c r="V348" s="601"/>
      <c r="W348" s="601"/>
      <c r="X348" s="601"/>
      <c r="Y348" s="601"/>
      <c r="Z348" s="980"/>
      <c r="AA348" s="601"/>
      <c r="AB348" s="601"/>
      <c r="AC348" s="601"/>
      <c r="AD348" s="601"/>
      <c r="AE348" s="980"/>
      <c r="AF348" s="601"/>
      <c r="AG348" s="601"/>
      <c r="AH348" s="601"/>
      <c r="AI348" s="601"/>
      <c r="AJ348" s="980"/>
      <c r="AK348" s="601"/>
      <c r="AL348" s="601"/>
      <c r="AM348" s="601"/>
      <c r="AN348" s="601"/>
      <c r="AO348" s="980"/>
      <c r="AP348" s="601"/>
      <c r="AQ348" s="601"/>
      <c r="AR348" s="601"/>
      <c r="AS348" s="601"/>
      <c r="AT348" s="980"/>
      <c r="AU348" s="601"/>
      <c r="AV348" s="601"/>
      <c r="AW348" s="601"/>
      <c r="AX348" s="601"/>
      <c r="AY348" s="980"/>
      <c r="AZ348" s="601"/>
      <c r="BA348" s="601"/>
      <c r="BB348" s="601"/>
      <c r="BC348" s="601"/>
      <c r="BD348" s="980"/>
      <c r="BE348" s="601"/>
      <c r="BF348" s="601"/>
      <c r="BG348" s="601"/>
      <c r="BH348" s="601"/>
      <c r="BI348" s="980"/>
      <c r="BJ348" s="601"/>
      <c r="BK348" s="601"/>
      <c r="BL348" s="601"/>
      <c r="BM348" s="601"/>
      <c r="BN348" s="980"/>
      <c r="BO348" s="601"/>
      <c r="BP348" s="601"/>
      <c r="BQ348" s="601"/>
      <c r="BR348" s="601"/>
      <c r="BS348" s="980"/>
      <c r="BT348" s="710"/>
      <c r="BU348" s="601"/>
      <c r="BV348" s="601"/>
      <c r="BW348" s="601"/>
      <c r="BX348" s="980"/>
      <c r="BY348" s="601"/>
      <c r="BZ348" s="601"/>
      <c r="CA348" s="601"/>
      <c r="CB348" s="601"/>
      <c r="CC348" s="980"/>
      <c r="CD348" s="980"/>
      <c r="CE348" s="980"/>
      <c r="CF348" s="980"/>
      <c r="CG348" s="617"/>
    </row>
    <row r="349" spans="1:85" s="603" customFormat="1" ht="14.4" hidden="1" outlineLevel="1" x14ac:dyDescent="0.3">
      <c r="A349" s="596" t="s">
        <v>1127</v>
      </c>
      <c r="B349" s="597"/>
      <c r="C349" s="978"/>
      <c r="D349" s="978"/>
      <c r="E349" s="978"/>
      <c r="F349" s="978"/>
      <c r="G349" s="598"/>
      <c r="H349" s="598"/>
      <c r="I349" s="598"/>
      <c r="J349" s="598"/>
      <c r="K349" s="978"/>
      <c r="L349" s="598"/>
      <c r="M349" s="598"/>
      <c r="N349" s="598"/>
      <c r="O349" s="598"/>
      <c r="P349" s="978"/>
      <c r="Q349" s="598"/>
      <c r="R349" s="598"/>
      <c r="S349" s="598"/>
      <c r="T349" s="598"/>
      <c r="U349" s="978"/>
      <c r="V349" s="598"/>
      <c r="W349" s="598"/>
      <c r="X349" s="598"/>
      <c r="Y349" s="598"/>
      <c r="Z349" s="978"/>
      <c r="AA349" s="598"/>
      <c r="AB349" s="598"/>
      <c r="AC349" s="598"/>
      <c r="AD349" s="598"/>
      <c r="AE349" s="978"/>
      <c r="AF349" s="598"/>
      <c r="AG349" s="598"/>
      <c r="AH349" s="598"/>
      <c r="AI349" s="598"/>
      <c r="AJ349" s="978"/>
      <c r="AK349" s="598"/>
      <c r="AL349" s="598"/>
      <c r="AM349" s="598"/>
      <c r="AN349" s="598"/>
      <c r="AO349" s="978"/>
      <c r="AP349" s="598"/>
      <c r="AQ349" s="598"/>
      <c r="AR349" s="598"/>
      <c r="AS349" s="598"/>
      <c r="AT349" s="978"/>
      <c r="AU349" s="598"/>
      <c r="AV349" s="598"/>
      <c r="AW349" s="598"/>
      <c r="AX349" s="598"/>
      <c r="AY349" s="979">
        <v>63.71</v>
      </c>
      <c r="AZ349" s="598"/>
      <c r="BA349" s="598"/>
      <c r="BB349" s="598"/>
      <c r="BC349" s="598"/>
      <c r="BD349" s="979">
        <v>85.64</v>
      </c>
      <c r="BE349" s="598"/>
      <c r="BF349" s="598"/>
      <c r="BG349" s="598"/>
      <c r="BH349" s="598"/>
      <c r="BI349" s="979">
        <v>70.05</v>
      </c>
      <c r="BJ349" s="598"/>
      <c r="BK349" s="598"/>
      <c r="BL349" s="598"/>
      <c r="BM349" s="598"/>
      <c r="BN349" s="979">
        <v>71.22</v>
      </c>
      <c r="BO349" s="598"/>
      <c r="BP349" s="598"/>
      <c r="BQ349" s="598"/>
      <c r="BR349" s="598"/>
      <c r="BS349" s="979">
        <v>64.06</v>
      </c>
      <c r="BT349" s="709"/>
      <c r="BU349" s="598"/>
      <c r="BV349" s="598"/>
      <c r="BW349" s="598"/>
      <c r="BX349" s="978"/>
      <c r="BY349" s="598"/>
      <c r="BZ349" s="598"/>
      <c r="CA349" s="598"/>
      <c r="CB349" s="598"/>
      <c r="CC349" s="978"/>
      <c r="CD349" s="978"/>
      <c r="CE349" s="978"/>
      <c r="CF349" s="978"/>
      <c r="CG349" s="616"/>
    </row>
    <row r="350" spans="1:85" s="603" customFormat="1" ht="14.4" hidden="1" outlineLevel="1" x14ac:dyDescent="0.3">
      <c r="A350" s="596" t="s">
        <v>1128</v>
      </c>
      <c r="B350" s="597"/>
      <c r="C350" s="978"/>
      <c r="D350" s="978"/>
      <c r="E350" s="978"/>
      <c r="F350" s="978"/>
      <c r="G350" s="598"/>
      <c r="H350" s="598"/>
      <c r="I350" s="598"/>
      <c r="J350" s="598"/>
      <c r="K350" s="978"/>
      <c r="L350" s="598"/>
      <c r="M350" s="598"/>
      <c r="N350" s="598"/>
      <c r="O350" s="598"/>
      <c r="P350" s="978"/>
      <c r="Q350" s="598"/>
      <c r="R350" s="598"/>
      <c r="S350" s="598"/>
      <c r="T350" s="598"/>
      <c r="U350" s="978"/>
      <c r="V350" s="598"/>
      <c r="W350" s="598"/>
      <c r="X350" s="598"/>
      <c r="Y350" s="598"/>
      <c r="Z350" s="978"/>
      <c r="AA350" s="598"/>
      <c r="AB350" s="598"/>
      <c r="AC350" s="598"/>
      <c r="AD350" s="598"/>
      <c r="AE350" s="978"/>
      <c r="AF350" s="598"/>
      <c r="AG350" s="598"/>
      <c r="AH350" s="598"/>
      <c r="AI350" s="598"/>
      <c r="AJ350" s="978"/>
      <c r="AK350" s="598"/>
      <c r="AL350" s="598"/>
      <c r="AM350" s="598"/>
      <c r="AN350" s="598"/>
      <c r="AO350" s="979">
        <v>59.53</v>
      </c>
      <c r="AP350" s="598"/>
      <c r="AQ350" s="598"/>
      <c r="AR350" s="598"/>
      <c r="AS350" s="598"/>
      <c r="AT350" s="979">
        <v>39.770000000000003</v>
      </c>
      <c r="AU350" s="598"/>
      <c r="AV350" s="598"/>
      <c r="AW350" s="598"/>
      <c r="AX350" s="598"/>
      <c r="AY350" s="979">
        <v>0</v>
      </c>
      <c r="AZ350" s="598"/>
      <c r="BA350" s="598"/>
      <c r="BB350" s="598"/>
      <c r="BC350" s="598"/>
      <c r="BD350" s="979">
        <v>0</v>
      </c>
      <c r="BE350" s="598"/>
      <c r="BF350" s="598"/>
      <c r="BG350" s="598"/>
      <c r="BH350" s="598"/>
      <c r="BI350" s="979">
        <v>0</v>
      </c>
      <c r="BJ350" s="598"/>
      <c r="BK350" s="598"/>
      <c r="BL350" s="598"/>
      <c r="BM350" s="598"/>
      <c r="BN350" s="979">
        <v>0</v>
      </c>
      <c r="BO350" s="598"/>
      <c r="BP350" s="598"/>
      <c r="BQ350" s="598"/>
      <c r="BR350" s="598"/>
      <c r="BS350" s="979">
        <v>0</v>
      </c>
      <c r="BT350" s="709"/>
      <c r="BU350" s="598"/>
      <c r="BV350" s="598"/>
      <c r="BW350" s="598"/>
      <c r="BX350" s="978"/>
      <c r="BY350" s="598"/>
      <c r="BZ350" s="598"/>
      <c r="CA350" s="598"/>
      <c r="CB350" s="598"/>
      <c r="CC350" s="978"/>
      <c r="CD350" s="978"/>
      <c r="CE350" s="978"/>
      <c r="CF350" s="978"/>
      <c r="CG350" s="616"/>
    </row>
    <row r="351" spans="1:85" s="603" customFormat="1" ht="14.4" hidden="1" outlineLevel="1" x14ac:dyDescent="0.3">
      <c r="A351" s="596" t="s">
        <v>1241</v>
      </c>
      <c r="B351" s="597"/>
      <c r="C351" s="978"/>
      <c r="D351" s="978"/>
      <c r="E351" s="978"/>
      <c r="F351" s="978"/>
      <c r="G351" s="598"/>
      <c r="H351" s="598"/>
      <c r="I351" s="598"/>
      <c r="J351" s="598"/>
      <c r="K351" s="978"/>
      <c r="L351" s="598"/>
      <c r="M351" s="598"/>
      <c r="N351" s="598"/>
      <c r="O351" s="598"/>
      <c r="P351" s="978"/>
      <c r="Q351" s="598"/>
      <c r="R351" s="598"/>
      <c r="S351" s="598"/>
      <c r="T351" s="598"/>
      <c r="U351" s="978"/>
      <c r="V351" s="598"/>
      <c r="W351" s="598"/>
      <c r="X351" s="598"/>
      <c r="Y351" s="598"/>
      <c r="Z351" s="978"/>
      <c r="AA351" s="598"/>
      <c r="AB351" s="598"/>
      <c r="AC351" s="598"/>
      <c r="AD351" s="598"/>
      <c r="AE351" s="978"/>
      <c r="AF351" s="598"/>
      <c r="AG351" s="598"/>
      <c r="AH351" s="598"/>
      <c r="AI351" s="598"/>
      <c r="AJ351" s="978"/>
      <c r="AK351" s="598"/>
      <c r="AL351" s="598"/>
      <c r="AM351" s="598"/>
      <c r="AN351" s="598"/>
      <c r="AO351" s="979">
        <v>4.7300000000000004</v>
      </c>
      <c r="AP351" s="598"/>
      <c r="AQ351" s="598"/>
      <c r="AR351" s="598"/>
      <c r="AS351" s="598"/>
      <c r="AT351" s="979">
        <v>4.3</v>
      </c>
      <c r="AU351" s="598"/>
      <c r="AV351" s="598"/>
      <c r="AW351" s="598"/>
      <c r="AX351" s="598"/>
      <c r="AY351" s="979">
        <v>4.0999999999999996</v>
      </c>
      <c r="AZ351" s="598"/>
      <c r="BA351" s="598"/>
      <c r="BB351" s="598"/>
      <c r="BC351" s="598"/>
      <c r="BD351" s="979">
        <v>4.0199999999999996</v>
      </c>
      <c r="BE351" s="598"/>
      <c r="BF351" s="598"/>
      <c r="BG351" s="598"/>
      <c r="BH351" s="598"/>
      <c r="BI351" s="979">
        <v>4.0999999999999996</v>
      </c>
      <c r="BJ351" s="598"/>
      <c r="BK351" s="598"/>
      <c r="BL351" s="598"/>
      <c r="BM351" s="598"/>
      <c r="BN351" s="979">
        <v>4.21</v>
      </c>
      <c r="BO351" s="598"/>
      <c r="BP351" s="598"/>
      <c r="BQ351" s="598"/>
      <c r="BR351" s="598"/>
      <c r="BS351" s="979">
        <v>4.41</v>
      </c>
      <c r="BT351" s="709"/>
      <c r="BU351" s="598"/>
      <c r="BV351" s="598"/>
      <c r="BW351" s="598"/>
      <c r="BX351" s="978"/>
      <c r="BY351" s="598"/>
      <c r="BZ351" s="598"/>
      <c r="CA351" s="598"/>
      <c r="CB351" s="598"/>
      <c r="CC351" s="978"/>
      <c r="CD351" s="978"/>
      <c r="CE351" s="978"/>
      <c r="CF351" s="978"/>
      <c r="CG351" s="616"/>
    </row>
    <row r="352" spans="1:85" s="604" customFormat="1" ht="14.4" hidden="1" outlineLevel="1" x14ac:dyDescent="0.3">
      <c r="A352" s="599" t="s">
        <v>1129</v>
      </c>
      <c r="B352" s="600"/>
      <c r="C352" s="980"/>
      <c r="D352" s="980"/>
      <c r="E352" s="980"/>
      <c r="F352" s="980"/>
      <c r="G352" s="601"/>
      <c r="H352" s="601"/>
      <c r="I352" s="601"/>
      <c r="J352" s="601"/>
      <c r="K352" s="980"/>
      <c r="L352" s="601"/>
      <c r="M352" s="601"/>
      <c r="N352" s="601"/>
      <c r="O352" s="601"/>
      <c r="P352" s="980"/>
      <c r="Q352" s="601"/>
      <c r="R352" s="601"/>
      <c r="S352" s="601"/>
      <c r="T352" s="601"/>
      <c r="U352" s="980"/>
      <c r="V352" s="601"/>
      <c r="W352" s="601"/>
      <c r="X352" s="601"/>
      <c r="Y352" s="601"/>
      <c r="Z352" s="980"/>
      <c r="AA352" s="601"/>
      <c r="AB352" s="601"/>
      <c r="AC352" s="601"/>
      <c r="AD352" s="601"/>
      <c r="AE352" s="980"/>
      <c r="AF352" s="601"/>
      <c r="AG352" s="601"/>
      <c r="AH352" s="601"/>
      <c r="AI352" s="601"/>
      <c r="AJ352" s="980"/>
      <c r="AK352" s="601"/>
      <c r="AL352" s="601"/>
      <c r="AM352" s="601"/>
      <c r="AN352" s="601"/>
      <c r="AO352" s="981">
        <v>12.74</v>
      </c>
      <c r="AP352" s="601"/>
      <c r="AQ352" s="601"/>
      <c r="AR352" s="601"/>
      <c r="AS352" s="601"/>
      <c r="AT352" s="981">
        <v>11.24</v>
      </c>
      <c r="AU352" s="601"/>
      <c r="AV352" s="601"/>
      <c r="AW352" s="601"/>
      <c r="AX352" s="601"/>
      <c r="AY352" s="981">
        <v>10.52</v>
      </c>
      <c r="AZ352" s="601"/>
      <c r="BA352" s="601"/>
      <c r="BB352" s="601"/>
      <c r="BC352" s="601"/>
      <c r="BD352" s="981">
        <v>8.49</v>
      </c>
      <c r="BE352" s="601"/>
      <c r="BF352" s="601"/>
      <c r="BG352" s="601"/>
      <c r="BH352" s="601"/>
      <c r="BI352" s="981">
        <v>7.82</v>
      </c>
      <c r="BJ352" s="601"/>
      <c r="BK352" s="601"/>
      <c r="BL352" s="601"/>
      <c r="BM352" s="601"/>
      <c r="BN352" s="981">
        <v>6.8</v>
      </c>
      <c r="BO352" s="601"/>
      <c r="BP352" s="601"/>
      <c r="BQ352" s="601"/>
      <c r="BR352" s="601"/>
      <c r="BS352" s="981">
        <v>7.78</v>
      </c>
      <c r="BT352" s="710"/>
      <c r="BU352" s="601"/>
      <c r="BV352" s="601"/>
      <c r="BW352" s="601"/>
      <c r="BX352" s="980"/>
      <c r="BY352" s="601"/>
      <c r="BZ352" s="601"/>
      <c r="CA352" s="601"/>
      <c r="CB352" s="601"/>
      <c r="CC352" s="980"/>
      <c r="CD352" s="980"/>
      <c r="CE352" s="980"/>
      <c r="CF352" s="980"/>
      <c r="CG352" s="617"/>
    </row>
    <row r="353" spans="1:85" s="604" customFormat="1" ht="14.4" hidden="1" outlineLevel="1" x14ac:dyDescent="0.3">
      <c r="A353" s="599"/>
      <c r="B353" s="600"/>
      <c r="C353" s="980"/>
      <c r="D353" s="980"/>
      <c r="E353" s="980"/>
      <c r="F353" s="980"/>
      <c r="G353" s="601"/>
      <c r="H353" s="601"/>
      <c r="I353" s="601"/>
      <c r="J353" s="601"/>
      <c r="K353" s="980"/>
      <c r="L353" s="601"/>
      <c r="M353" s="601"/>
      <c r="N353" s="601"/>
      <c r="O353" s="601"/>
      <c r="P353" s="980"/>
      <c r="Q353" s="601"/>
      <c r="R353" s="601"/>
      <c r="S353" s="601"/>
      <c r="T353" s="601"/>
      <c r="U353" s="980"/>
      <c r="V353" s="601"/>
      <c r="W353" s="601"/>
      <c r="X353" s="601"/>
      <c r="Y353" s="601"/>
      <c r="Z353" s="980"/>
      <c r="AA353" s="601"/>
      <c r="AB353" s="601"/>
      <c r="AC353" s="601"/>
      <c r="AD353" s="601"/>
      <c r="AE353" s="980"/>
      <c r="AF353" s="601"/>
      <c r="AG353" s="601"/>
      <c r="AH353" s="601"/>
      <c r="AI353" s="601"/>
      <c r="AJ353" s="980"/>
      <c r="AK353" s="601"/>
      <c r="AL353" s="601"/>
      <c r="AM353" s="601"/>
      <c r="AN353" s="601"/>
      <c r="AO353" s="980"/>
      <c r="AP353" s="601"/>
      <c r="AQ353" s="601"/>
      <c r="AR353" s="601"/>
      <c r="AS353" s="601"/>
      <c r="AT353" s="980"/>
      <c r="AU353" s="601"/>
      <c r="AV353" s="601"/>
      <c r="AW353" s="601"/>
      <c r="AX353" s="601"/>
      <c r="AY353" s="980"/>
      <c r="AZ353" s="601"/>
      <c r="BA353" s="601"/>
      <c r="BB353" s="601"/>
      <c r="BC353" s="601"/>
      <c r="BD353" s="980"/>
      <c r="BE353" s="601"/>
      <c r="BF353" s="601"/>
      <c r="BG353" s="601"/>
      <c r="BH353" s="601"/>
      <c r="BI353" s="980"/>
      <c r="BJ353" s="601"/>
      <c r="BK353" s="601"/>
      <c r="BL353" s="601"/>
      <c r="BM353" s="601"/>
      <c r="BN353" s="980"/>
      <c r="BO353" s="601"/>
      <c r="BP353" s="601"/>
      <c r="BQ353" s="601"/>
      <c r="BR353" s="601"/>
      <c r="BS353" s="980"/>
      <c r="BT353" s="710"/>
      <c r="BU353" s="601"/>
      <c r="BV353" s="601"/>
      <c r="BW353" s="601"/>
      <c r="BX353" s="980"/>
      <c r="BY353" s="601"/>
      <c r="BZ353" s="601"/>
      <c r="CA353" s="601"/>
      <c r="CB353" s="601"/>
      <c r="CC353" s="980"/>
      <c r="CD353" s="980"/>
      <c r="CE353" s="980"/>
      <c r="CF353" s="980"/>
      <c r="CG353" s="617"/>
    </row>
    <row r="354" spans="1:85" s="603" customFormat="1" ht="14.4" hidden="1" outlineLevel="1" x14ac:dyDescent="0.3">
      <c r="A354" s="596" t="s">
        <v>1130</v>
      </c>
      <c r="B354" s="597"/>
      <c r="C354" s="978"/>
      <c r="D354" s="978"/>
      <c r="E354" s="978"/>
      <c r="F354" s="978"/>
      <c r="G354" s="598"/>
      <c r="H354" s="598"/>
      <c r="I354" s="598"/>
      <c r="J354" s="598"/>
      <c r="K354" s="978"/>
      <c r="L354" s="598"/>
      <c r="M354" s="598"/>
      <c r="N354" s="598"/>
      <c r="O354" s="598"/>
      <c r="P354" s="978"/>
      <c r="Q354" s="598"/>
      <c r="R354" s="598"/>
      <c r="S354" s="598"/>
      <c r="T354" s="598"/>
      <c r="U354" s="978"/>
      <c r="V354" s="598"/>
      <c r="W354" s="598"/>
      <c r="X354" s="598"/>
      <c r="Y354" s="598"/>
      <c r="Z354" s="978"/>
      <c r="AA354" s="598"/>
      <c r="AB354" s="598"/>
      <c r="AC354" s="598"/>
      <c r="AD354" s="598"/>
      <c r="AE354" s="978"/>
      <c r="AF354" s="598"/>
      <c r="AG354" s="598"/>
      <c r="AH354" s="598"/>
      <c r="AI354" s="598"/>
      <c r="AJ354" s="978"/>
      <c r="AK354" s="598"/>
      <c r="AL354" s="598"/>
      <c r="AM354" s="598"/>
      <c r="AN354" s="598"/>
      <c r="AO354" s="978"/>
      <c r="AP354" s="598"/>
      <c r="AQ354" s="598"/>
      <c r="AR354" s="598"/>
      <c r="AS354" s="598"/>
      <c r="AT354" s="978"/>
      <c r="AU354" s="598"/>
      <c r="AV354" s="598"/>
      <c r="AW354" s="598"/>
      <c r="AX354" s="598"/>
      <c r="AY354" s="979">
        <v>71.400000000000006</v>
      </c>
      <c r="AZ354" s="598"/>
      <c r="BA354" s="598"/>
      <c r="BB354" s="598"/>
      <c r="BC354" s="598"/>
      <c r="BD354" s="979">
        <v>98</v>
      </c>
      <c r="BE354" s="598"/>
      <c r="BF354" s="598"/>
      <c r="BG354" s="598"/>
      <c r="BH354" s="598"/>
      <c r="BI354" s="979">
        <v>78.930000000000007</v>
      </c>
      <c r="BJ354" s="598"/>
      <c r="BK354" s="598"/>
      <c r="BL354" s="598"/>
      <c r="BM354" s="598"/>
      <c r="BN354" s="979">
        <v>74.2</v>
      </c>
      <c r="BO354" s="598"/>
      <c r="BP354" s="598"/>
      <c r="BQ354" s="598"/>
      <c r="BR354" s="598"/>
      <c r="BS354" s="979">
        <v>65.08</v>
      </c>
      <c r="BT354" s="709"/>
      <c r="BU354" s="598"/>
      <c r="BV354" s="598"/>
      <c r="BW354" s="598"/>
      <c r="BX354" s="978"/>
      <c r="BY354" s="598"/>
      <c r="BZ354" s="598"/>
      <c r="CA354" s="598"/>
      <c r="CB354" s="598"/>
      <c r="CC354" s="978"/>
      <c r="CD354" s="978"/>
      <c r="CE354" s="978"/>
      <c r="CF354" s="978"/>
      <c r="CG354" s="616"/>
    </row>
    <row r="355" spans="1:85" s="603" customFormat="1" ht="14.4" hidden="1" outlineLevel="1" x14ac:dyDescent="0.3">
      <c r="A355" s="596" t="s">
        <v>1131</v>
      </c>
      <c r="B355" s="597"/>
      <c r="C355" s="978"/>
      <c r="D355" s="978"/>
      <c r="E355" s="978"/>
      <c r="F355" s="978"/>
      <c r="G355" s="598"/>
      <c r="H355" s="598"/>
      <c r="I355" s="598"/>
      <c r="J355" s="598"/>
      <c r="K355" s="978"/>
      <c r="L355" s="598"/>
      <c r="M355" s="598"/>
      <c r="N355" s="598"/>
      <c r="O355" s="598"/>
      <c r="P355" s="978"/>
      <c r="Q355" s="598"/>
      <c r="R355" s="598"/>
      <c r="S355" s="598"/>
      <c r="T355" s="598"/>
      <c r="U355" s="978"/>
      <c r="V355" s="598"/>
      <c r="W355" s="598"/>
      <c r="X355" s="598"/>
      <c r="Y355" s="598"/>
      <c r="Z355" s="978"/>
      <c r="AA355" s="598"/>
      <c r="AB355" s="598"/>
      <c r="AC355" s="598"/>
      <c r="AD355" s="598"/>
      <c r="AE355" s="978"/>
      <c r="AF355" s="598"/>
      <c r="AG355" s="598"/>
      <c r="AH355" s="598"/>
      <c r="AI355" s="598"/>
      <c r="AJ355" s="978"/>
      <c r="AK355" s="598"/>
      <c r="AL355" s="598"/>
      <c r="AM355" s="598"/>
      <c r="AN355" s="598"/>
      <c r="AO355" s="979">
        <v>60.15</v>
      </c>
      <c r="AP355" s="598"/>
      <c r="AQ355" s="598"/>
      <c r="AR355" s="598"/>
      <c r="AS355" s="598"/>
      <c r="AT355" s="979">
        <v>38.03</v>
      </c>
      <c r="AU355" s="598"/>
      <c r="AV355" s="598"/>
      <c r="AW355" s="598"/>
      <c r="AX355" s="598"/>
      <c r="AY355" s="979">
        <v>30</v>
      </c>
      <c r="AZ355" s="598"/>
      <c r="BA355" s="598"/>
      <c r="BB355" s="598"/>
      <c r="BC355" s="598"/>
      <c r="BD355" s="979">
        <v>0</v>
      </c>
      <c r="BE355" s="598"/>
      <c r="BF355" s="598"/>
      <c r="BG355" s="598"/>
      <c r="BH355" s="598"/>
      <c r="BI355" s="979">
        <v>51</v>
      </c>
      <c r="BJ355" s="598"/>
      <c r="BK355" s="598"/>
      <c r="BL355" s="598"/>
      <c r="BM355" s="598"/>
      <c r="BN355" s="979">
        <v>59.48</v>
      </c>
      <c r="BO355" s="598"/>
      <c r="BP355" s="598"/>
      <c r="BQ355" s="598"/>
      <c r="BR355" s="598"/>
      <c r="BS355" s="979">
        <v>0</v>
      </c>
      <c r="BT355" s="709"/>
      <c r="BU355" s="598"/>
      <c r="BV355" s="598"/>
      <c r="BW355" s="598"/>
      <c r="BX355" s="978"/>
      <c r="BY355" s="598"/>
      <c r="BZ355" s="598"/>
      <c r="CA355" s="598"/>
      <c r="CB355" s="598"/>
      <c r="CC355" s="978"/>
      <c r="CD355" s="978"/>
      <c r="CE355" s="978"/>
      <c r="CF355" s="978"/>
      <c r="CG355" s="616"/>
    </row>
    <row r="356" spans="1:85" s="603" customFormat="1" ht="14.4" hidden="1" outlineLevel="1" x14ac:dyDescent="0.3">
      <c r="A356" s="596" t="s">
        <v>1242</v>
      </c>
      <c r="B356" s="597"/>
      <c r="C356" s="978"/>
      <c r="D356" s="978"/>
      <c r="E356" s="978"/>
      <c r="F356" s="978"/>
      <c r="G356" s="598"/>
      <c r="H356" s="598"/>
      <c r="I356" s="598"/>
      <c r="J356" s="598"/>
      <c r="K356" s="978"/>
      <c r="L356" s="598"/>
      <c r="M356" s="598"/>
      <c r="N356" s="598"/>
      <c r="O356" s="598"/>
      <c r="P356" s="978"/>
      <c r="Q356" s="598"/>
      <c r="R356" s="598"/>
      <c r="S356" s="598"/>
      <c r="T356" s="598"/>
      <c r="U356" s="978"/>
      <c r="V356" s="598"/>
      <c r="W356" s="598"/>
      <c r="X356" s="598"/>
      <c r="Y356" s="598"/>
      <c r="Z356" s="978"/>
      <c r="AA356" s="598"/>
      <c r="AB356" s="598"/>
      <c r="AC356" s="598"/>
      <c r="AD356" s="598"/>
      <c r="AE356" s="978"/>
      <c r="AF356" s="598"/>
      <c r="AG356" s="598"/>
      <c r="AH356" s="598"/>
      <c r="AI356" s="598"/>
      <c r="AJ356" s="978"/>
      <c r="AK356" s="598"/>
      <c r="AL356" s="598"/>
      <c r="AM356" s="598"/>
      <c r="AN356" s="598"/>
      <c r="AO356" s="979">
        <v>7.54</v>
      </c>
      <c r="AP356" s="598"/>
      <c r="AQ356" s="598"/>
      <c r="AR356" s="598"/>
      <c r="AS356" s="598"/>
      <c r="AT356" s="979">
        <v>5.42</v>
      </c>
      <c r="AU356" s="598"/>
      <c r="AV356" s="598"/>
      <c r="AW356" s="598"/>
      <c r="AX356" s="598"/>
      <c r="AY356" s="979">
        <v>8.2200000000000006</v>
      </c>
      <c r="AZ356" s="598"/>
      <c r="BA356" s="598"/>
      <c r="BB356" s="598"/>
      <c r="BC356" s="598"/>
      <c r="BD356" s="979">
        <v>15.34</v>
      </c>
      <c r="BE356" s="598"/>
      <c r="BF356" s="598"/>
      <c r="BG356" s="598"/>
      <c r="BH356" s="598"/>
      <c r="BI356" s="979">
        <v>11.43</v>
      </c>
      <c r="BJ356" s="598"/>
      <c r="BK356" s="598"/>
      <c r="BL356" s="598"/>
      <c r="BM356" s="598"/>
      <c r="BN356" s="979">
        <v>10.24</v>
      </c>
      <c r="BO356" s="598"/>
      <c r="BP356" s="598"/>
      <c r="BQ356" s="598"/>
      <c r="BR356" s="598"/>
      <c r="BS356" s="979">
        <v>8.85</v>
      </c>
      <c r="BT356" s="709"/>
      <c r="BU356" s="598"/>
      <c r="BV356" s="598"/>
      <c r="BW356" s="598"/>
      <c r="BX356" s="978"/>
      <c r="BY356" s="598"/>
      <c r="BZ356" s="598"/>
      <c r="CA356" s="598"/>
      <c r="CB356" s="598"/>
      <c r="CC356" s="978"/>
      <c r="CD356" s="978"/>
      <c r="CE356" s="978"/>
      <c r="CF356" s="978"/>
      <c r="CG356" s="616"/>
    </row>
    <row r="357" spans="1:85" s="604" customFormat="1" ht="14.4" hidden="1" outlineLevel="1" x14ac:dyDescent="0.3">
      <c r="A357" s="599" t="s">
        <v>1132</v>
      </c>
      <c r="B357" s="600"/>
      <c r="C357" s="980"/>
      <c r="D357" s="980"/>
      <c r="E357" s="980"/>
      <c r="F357" s="980"/>
      <c r="G357" s="601"/>
      <c r="H357" s="601"/>
      <c r="I357" s="601"/>
      <c r="J357" s="601"/>
      <c r="K357" s="980"/>
      <c r="L357" s="601"/>
      <c r="M357" s="601"/>
      <c r="N357" s="601"/>
      <c r="O357" s="601"/>
      <c r="P357" s="980"/>
      <c r="Q357" s="601"/>
      <c r="R357" s="601"/>
      <c r="S357" s="601"/>
      <c r="T357" s="601"/>
      <c r="U357" s="980"/>
      <c r="V357" s="601"/>
      <c r="W357" s="601"/>
      <c r="X357" s="601"/>
      <c r="Y357" s="601"/>
      <c r="Z357" s="980"/>
      <c r="AA357" s="601"/>
      <c r="AB357" s="601"/>
      <c r="AC357" s="601"/>
      <c r="AD357" s="601"/>
      <c r="AE357" s="980"/>
      <c r="AF357" s="601"/>
      <c r="AG357" s="601"/>
      <c r="AH357" s="601"/>
      <c r="AI357" s="601"/>
      <c r="AJ357" s="980"/>
      <c r="AK357" s="601"/>
      <c r="AL357" s="601"/>
      <c r="AM357" s="601"/>
      <c r="AN357" s="601"/>
      <c r="AO357" s="981">
        <v>4.08</v>
      </c>
      <c r="AP357" s="601"/>
      <c r="AQ357" s="601"/>
      <c r="AR357" s="601"/>
      <c r="AS357" s="601"/>
      <c r="AT357" s="981">
        <v>4.0199999999999996</v>
      </c>
      <c r="AU357" s="601"/>
      <c r="AV357" s="601"/>
      <c r="AW357" s="601"/>
      <c r="AX357" s="601"/>
      <c r="AY357" s="981">
        <v>3.65</v>
      </c>
      <c r="AZ357" s="601"/>
      <c r="BA357" s="601"/>
      <c r="BB357" s="601"/>
      <c r="BC357" s="601"/>
      <c r="BD357" s="981">
        <v>3.79</v>
      </c>
      <c r="BE357" s="601"/>
      <c r="BF357" s="601"/>
      <c r="BG357" s="601"/>
      <c r="BH357" s="601"/>
      <c r="BI357" s="981">
        <v>3.41</v>
      </c>
      <c r="BJ357" s="601"/>
      <c r="BK357" s="601"/>
      <c r="BL357" s="601"/>
      <c r="BM357" s="601"/>
      <c r="BN357" s="981">
        <v>3.37</v>
      </c>
      <c r="BO357" s="601"/>
      <c r="BP357" s="601"/>
      <c r="BQ357" s="601"/>
      <c r="BR357" s="601"/>
      <c r="BS357" s="981">
        <v>3.32</v>
      </c>
      <c r="BT357" s="710"/>
      <c r="BU357" s="601"/>
      <c r="BV357" s="601"/>
      <c r="BW357" s="601"/>
      <c r="BX357" s="980"/>
      <c r="BY357" s="601"/>
      <c r="BZ357" s="601"/>
      <c r="CA357" s="601"/>
      <c r="CB357" s="601"/>
      <c r="CC357" s="980"/>
      <c r="CD357" s="980"/>
      <c r="CE357" s="980"/>
      <c r="CF357" s="980"/>
      <c r="CG357" s="617"/>
    </row>
    <row r="358" spans="1:85" s="604" customFormat="1" ht="14.4" hidden="1" outlineLevel="1" x14ac:dyDescent="0.3">
      <c r="A358" s="599"/>
      <c r="B358" s="600"/>
      <c r="C358" s="980"/>
      <c r="D358" s="980"/>
      <c r="E358" s="980"/>
      <c r="F358" s="980"/>
      <c r="G358" s="601"/>
      <c r="H358" s="601"/>
      <c r="I358" s="601"/>
      <c r="J358" s="601"/>
      <c r="K358" s="980"/>
      <c r="L358" s="601"/>
      <c r="M358" s="601"/>
      <c r="N358" s="601"/>
      <c r="O358" s="601"/>
      <c r="P358" s="980"/>
      <c r="Q358" s="601"/>
      <c r="R358" s="601"/>
      <c r="S358" s="601"/>
      <c r="T358" s="601"/>
      <c r="U358" s="980"/>
      <c r="V358" s="601"/>
      <c r="W358" s="601"/>
      <c r="X358" s="601"/>
      <c r="Y358" s="601"/>
      <c r="Z358" s="980"/>
      <c r="AA358" s="601"/>
      <c r="AB358" s="601"/>
      <c r="AC358" s="601"/>
      <c r="AD358" s="601"/>
      <c r="AE358" s="980"/>
      <c r="AF358" s="601"/>
      <c r="AG358" s="601"/>
      <c r="AH358" s="601"/>
      <c r="AI358" s="601"/>
      <c r="AJ358" s="980"/>
      <c r="AK358" s="601"/>
      <c r="AL358" s="601"/>
      <c r="AM358" s="601"/>
      <c r="AN358" s="601"/>
      <c r="AO358" s="980"/>
      <c r="AP358" s="601"/>
      <c r="AQ358" s="601"/>
      <c r="AR358" s="601"/>
      <c r="AS358" s="601"/>
      <c r="AT358" s="980"/>
      <c r="AU358" s="601"/>
      <c r="AV358" s="601"/>
      <c r="AW358" s="601"/>
      <c r="AX358" s="601"/>
      <c r="AY358" s="980"/>
      <c r="AZ358" s="601"/>
      <c r="BA358" s="601"/>
      <c r="BB358" s="601"/>
      <c r="BC358" s="601"/>
      <c r="BD358" s="980"/>
      <c r="BE358" s="601"/>
      <c r="BF358" s="601"/>
      <c r="BG358" s="601"/>
      <c r="BH358" s="601"/>
      <c r="BI358" s="980"/>
      <c r="BJ358" s="601"/>
      <c r="BK358" s="601"/>
      <c r="BL358" s="601"/>
      <c r="BM358" s="601"/>
      <c r="BN358" s="980"/>
      <c r="BO358" s="601"/>
      <c r="BP358" s="601"/>
      <c r="BQ358" s="601"/>
      <c r="BR358" s="601"/>
      <c r="BS358" s="980"/>
      <c r="BT358" s="710"/>
      <c r="BU358" s="601"/>
      <c r="BV358" s="601"/>
      <c r="BW358" s="601"/>
      <c r="BX358" s="980"/>
      <c r="BY358" s="601"/>
      <c r="BZ358" s="601"/>
      <c r="CA358" s="601"/>
      <c r="CB358" s="601"/>
      <c r="CC358" s="980"/>
      <c r="CD358" s="980"/>
      <c r="CE358" s="980"/>
      <c r="CF358" s="980"/>
      <c r="CG358" s="617"/>
    </row>
    <row r="359" spans="1:85" s="603" customFormat="1" ht="14.4" hidden="1" outlineLevel="1" x14ac:dyDescent="0.3">
      <c r="A359" s="596" t="s">
        <v>1133</v>
      </c>
      <c r="B359" s="597"/>
      <c r="C359" s="978"/>
      <c r="D359" s="978"/>
      <c r="E359" s="978"/>
      <c r="F359" s="978"/>
      <c r="G359" s="598"/>
      <c r="H359" s="598"/>
      <c r="I359" s="598"/>
      <c r="J359" s="598"/>
      <c r="K359" s="978"/>
      <c r="L359" s="598"/>
      <c r="M359" s="598"/>
      <c r="N359" s="598"/>
      <c r="O359" s="598"/>
      <c r="P359" s="978"/>
      <c r="Q359" s="598"/>
      <c r="R359" s="598"/>
      <c r="S359" s="598"/>
      <c r="T359" s="598"/>
      <c r="U359" s="978"/>
      <c r="V359" s="598"/>
      <c r="W359" s="598"/>
      <c r="X359" s="598"/>
      <c r="Y359" s="598"/>
      <c r="Z359" s="978"/>
      <c r="AA359" s="598"/>
      <c r="AB359" s="598"/>
      <c r="AC359" s="598"/>
      <c r="AD359" s="598"/>
      <c r="AE359" s="978"/>
      <c r="AF359" s="598"/>
      <c r="AG359" s="598"/>
      <c r="AH359" s="598"/>
      <c r="AI359" s="598"/>
      <c r="AJ359" s="978"/>
      <c r="AK359" s="598"/>
      <c r="AL359" s="598"/>
      <c r="AM359" s="598"/>
      <c r="AN359" s="598"/>
      <c r="AO359" s="978"/>
      <c r="AP359" s="598"/>
      <c r="AQ359" s="598"/>
      <c r="AR359" s="598"/>
      <c r="AS359" s="598"/>
      <c r="AT359" s="978"/>
      <c r="AU359" s="598"/>
      <c r="AV359" s="598"/>
      <c r="AW359" s="598"/>
      <c r="AX359" s="598"/>
      <c r="AY359" s="979">
        <v>69.2</v>
      </c>
      <c r="AZ359" s="598"/>
      <c r="BA359" s="598"/>
      <c r="BB359" s="598"/>
      <c r="BC359" s="598"/>
      <c r="BD359" s="979">
        <v>102</v>
      </c>
      <c r="BE359" s="598"/>
      <c r="BF359" s="598"/>
      <c r="BG359" s="598"/>
      <c r="BH359" s="598"/>
      <c r="BI359" s="979">
        <v>83</v>
      </c>
      <c r="BJ359" s="598"/>
      <c r="BK359" s="598"/>
      <c r="BL359" s="598"/>
      <c r="BM359" s="598"/>
      <c r="BN359" s="979">
        <v>77.47</v>
      </c>
      <c r="BO359" s="598"/>
      <c r="BP359" s="598"/>
      <c r="BQ359" s="598"/>
      <c r="BR359" s="598"/>
      <c r="BS359" s="979">
        <v>70.489999999999995</v>
      </c>
      <c r="BT359" s="709"/>
      <c r="BU359" s="598"/>
      <c r="BV359" s="598"/>
      <c r="BW359" s="598"/>
      <c r="BX359" s="978"/>
      <c r="BY359" s="598"/>
      <c r="BZ359" s="598"/>
      <c r="CA359" s="598"/>
      <c r="CB359" s="598"/>
      <c r="CC359" s="978"/>
      <c r="CD359" s="978"/>
      <c r="CE359" s="978"/>
      <c r="CF359" s="978"/>
      <c r="CG359" s="616"/>
    </row>
    <row r="360" spans="1:85" s="603" customFormat="1" ht="14.4" hidden="1" outlineLevel="1" x14ac:dyDescent="0.3">
      <c r="A360" s="596" t="s">
        <v>1134</v>
      </c>
      <c r="B360" s="597"/>
      <c r="C360" s="978"/>
      <c r="D360" s="978"/>
      <c r="E360" s="978"/>
      <c r="F360" s="978"/>
      <c r="G360" s="598"/>
      <c r="H360" s="598"/>
      <c r="I360" s="598"/>
      <c r="J360" s="598"/>
      <c r="K360" s="978"/>
      <c r="L360" s="598"/>
      <c r="M360" s="598"/>
      <c r="N360" s="598"/>
      <c r="O360" s="598"/>
      <c r="P360" s="978"/>
      <c r="Q360" s="598"/>
      <c r="R360" s="598"/>
      <c r="S360" s="598"/>
      <c r="T360" s="598"/>
      <c r="U360" s="978"/>
      <c r="V360" s="598"/>
      <c r="W360" s="598"/>
      <c r="X360" s="598"/>
      <c r="Y360" s="598"/>
      <c r="Z360" s="978"/>
      <c r="AA360" s="598"/>
      <c r="AB360" s="598"/>
      <c r="AC360" s="598"/>
      <c r="AD360" s="598"/>
      <c r="AE360" s="978"/>
      <c r="AF360" s="598"/>
      <c r="AG360" s="598"/>
      <c r="AH360" s="598"/>
      <c r="AI360" s="598"/>
      <c r="AJ360" s="978"/>
      <c r="AK360" s="598"/>
      <c r="AL360" s="598"/>
      <c r="AM360" s="598"/>
      <c r="AN360" s="598"/>
      <c r="AO360" s="979">
        <v>61.8</v>
      </c>
      <c r="AP360" s="598"/>
      <c r="AQ360" s="598"/>
      <c r="AR360" s="598"/>
      <c r="AS360" s="598"/>
      <c r="AT360" s="979">
        <v>34.200000000000003</v>
      </c>
      <c r="AU360" s="598"/>
      <c r="AV360" s="598"/>
      <c r="AW360" s="598"/>
      <c r="AX360" s="598"/>
      <c r="AY360" s="979">
        <v>0</v>
      </c>
      <c r="AZ360" s="598"/>
      <c r="BA360" s="598"/>
      <c r="BB360" s="598"/>
      <c r="BC360" s="598"/>
      <c r="BD360" s="979">
        <v>0</v>
      </c>
      <c r="BE360" s="598"/>
      <c r="BF360" s="598"/>
      <c r="BG360" s="598"/>
      <c r="BH360" s="598"/>
      <c r="BI360" s="979">
        <v>0</v>
      </c>
      <c r="BJ360" s="598"/>
      <c r="BK360" s="598"/>
      <c r="BL360" s="598"/>
      <c r="BM360" s="598"/>
      <c r="BN360" s="979">
        <v>0</v>
      </c>
      <c r="BO360" s="598"/>
      <c r="BP360" s="598"/>
      <c r="BQ360" s="598"/>
      <c r="BR360" s="598"/>
      <c r="BS360" s="979">
        <v>0</v>
      </c>
      <c r="BT360" s="709"/>
      <c r="BU360" s="598"/>
      <c r="BV360" s="598"/>
      <c r="BW360" s="598"/>
      <c r="BX360" s="978"/>
      <c r="BY360" s="598"/>
      <c r="BZ360" s="598"/>
      <c r="CA360" s="598"/>
      <c r="CB360" s="598"/>
      <c r="CC360" s="978"/>
      <c r="CD360" s="978"/>
      <c r="CE360" s="978"/>
      <c r="CF360" s="978"/>
      <c r="CG360" s="616"/>
    </row>
    <row r="361" spans="1:85" s="603" customFormat="1" ht="14.4" hidden="1" outlineLevel="1" x14ac:dyDescent="0.3">
      <c r="A361" s="596" t="s">
        <v>1243</v>
      </c>
      <c r="B361" s="597"/>
      <c r="C361" s="978"/>
      <c r="D361" s="978"/>
      <c r="E361" s="978"/>
      <c r="F361" s="978"/>
      <c r="G361" s="598"/>
      <c r="H361" s="598"/>
      <c r="I361" s="598"/>
      <c r="J361" s="598"/>
      <c r="K361" s="978"/>
      <c r="L361" s="598"/>
      <c r="M361" s="598"/>
      <c r="N361" s="598"/>
      <c r="O361" s="598"/>
      <c r="P361" s="978"/>
      <c r="Q361" s="598"/>
      <c r="R361" s="598"/>
      <c r="S361" s="598"/>
      <c r="T361" s="598"/>
      <c r="U361" s="978"/>
      <c r="V361" s="598"/>
      <c r="W361" s="598"/>
      <c r="X361" s="598"/>
      <c r="Y361" s="598"/>
      <c r="Z361" s="978"/>
      <c r="AA361" s="598"/>
      <c r="AB361" s="598"/>
      <c r="AC361" s="598"/>
      <c r="AD361" s="598"/>
      <c r="AE361" s="978"/>
      <c r="AF361" s="598"/>
      <c r="AG361" s="598"/>
      <c r="AH361" s="598"/>
      <c r="AI361" s="598"/>
      <c r="AJ361" s="978"/>
      <c r="AK361" s="598"/>
      <c r="AL361" s="598"/>
      <c r="AM361" s="598"/>
      <c r="AN361" s="598"/>
      <c r="AO361" s="979">
        <v>4.43</v>
      </c>
      <c r="AP361" s="598"/>
      <c r="AQ361" s="598"/>
      <c r="AR361" s="598"/>
      <c r="AS361" s="598"/>
      <c r="AT361" s="979">
        <v>1.07</v>
      </c>
      <c r="AU361" s="598"/>
      <c r="AV361" s="598"/>
      <c r="AW361" s="598"/>
      <c r="AX361" s="598"/>
      <c r="AY361" s="979">
        <v>12.5</v>
      </c>
      <c r="AZ361" s="598"/>
      <c r="BA361" s="598"/>
      <c r="BB361" s="598"/>
      <c r="BC361" s="598"/>
      <c r="BD361" s="979">
        <v>27</v>
      </c>
      <c r="BE361" s="598"/>
      <c r="BF361" s="598"/>
      <c r="BG361" s="598"/>
      <c r="BH361" s="598"/>
      <c r="BI361" s="979">
        <v>12</v>
      </c>
      <c r="BJ361" s="598"/>
      <c r="BK361" s="598"/>
      <c r="BL361" s="598"/>
      <c r="BM361" s="598"/>
      <c r="BN361" s="979">
        <v>9.1</v>
      </c>
      <c r="BO361" s="598"/>
      <c r="BP361" s="598"/>
      <c r="BQ361" s="598"/>
      <c r="BR361" s="598"/>
      <c r="BS361" s="979">
        <v>10.15</v>
      </c>
      <c r="BT361" s="709"/>
      <c r="BU361" s="598"/>
      <c r="BV361" s="598"/>
      <c r="BW361" s="598"/>
      <c r="BX361" s="978"/>
      <c r="BY361" s="598"/>
      <c r="BZ361" s="598"/>
      <c r="CA361" s="598"/>
      <c r="CB361" s="598"/>
      <c r="CC361" s="978"/>
      <c r="CD361" s="978"/>
      <c r="CE361" s="978"/>
      <c r="CF361" s="978"/>
      <c r="CG361" s="616"/>
    </row>
    <row r="362" spans="1:85" s="604" customFormat="1" ht="14.4" hidden="1" outlineLevel="1" x14ac:dyDescent="0.3">
      <c r="A362" s="599" t="s">
        <v>1135</v>
      </c>
      <c r="B362" s="600"/>
      <c r="C362" s="980"/>
      <c r="D362" s="980"/>
      <c r="E362" s="980"/>
      <c r="F362" s="980"/>
      <c r="G362" s="601"/>
      <c r="H362" s="601"/>
      <c r="I362" s="601"/>
      <c r="J362" s="601"/>
      <c r="K362" s="980"/>
      <c r="L362" s="601"/>
      <c r="M362" s="601"/>
      <c r="N362" s="601"/>
      <c r="O362" s="601"/>
      <c r="P362" s="980"/>
      <c r="Q362" s="601"/>
      <c r="R362" s="601"/>
      <c r="S362" s="601"/>
      <c r="T362" s="601"/>
      <c r="U362" s="980"/>
      <c r="V362" s="601"/>
      <c r="W362" s="601"/>
      <c r="X362" s="601"/>
      <c r="Y362" s="601"/>
      <c r="Z362" s="980"/>
      <c r="AA362" s="601"/>
      <c r="AB362" s="601"/>
      <c r="AC362" s="601"/>
      <c r="AD362" s="601"/>
      <c r="AE362" s="980"/>
      <c r="AF362" s="601"/>
      <c r="AG362" s="601"/>
      <c r="AH362" s="601"/>
      <c r="AI362" s="601"/>
      <c r="AJ362" s="980"/>
      <c r="AK362" s="601"/>
      <c r="AL362" s="601"/>
      <c r="AM362" s="601"/>
      <c r="AN362" s="601"/>
      <c r="AO362" s="981">
        <v>14.28</v>
      </c>
      <c r="AP362" s="601"/>
      <c r="AQ362" s="601"/>
      <c r="AR362" s="601"/>
      <c r="AS362" s="601"/>
      <c r="AT362" s="981">
        <v>13.23</v>
      </c>
      <c r="AU362" s="601"/>
      <c r="AV362" s="601"/>
      <c r="AW362" s="601"/>
      <c r="AX362" s="601"/>
      <c r="AY362" s="981">
        <v>13.4</v>
      </c>
      <c r="AZ362" s="601"/>
      <c r="BA362" s="601"/>
      <c r="BB362" s="601"/>
      <c r="BC362" s="601"/>
      <c r="BD362" s="981">
        <v>12</v>
      </c>
      <c r="BE362" s="601"/>
      <c r="BF362" s="601"/>
      <c r="BG362" s="601"/>
      <c r="BH362" s="601"/>
      <c r="BI362" s="981">
        <v>12.8</v>
      </c>
      <c r="BJ362" s="601"/>
      <c r="BK362" s="601"/>
      <c r="BL362" s="601"/>
      <c r="BM362" s="601"/>
      <c r="BN362" s="981">
        <v>16.43</v>
      </c>
      <c r="BO362" s="601"/>
      <c r="BP362" s="601"/>
      <c r="BQ362" s="601"/>
      <c r="BR362" s="601"/>
      <c r="BS362" s="981">
        <v>19.239999999999998</v>
      </c>
      <c r="BT362" s="710"/>
      <c r="BU362" s="601"/>
      <c r="BV362" s="601"/>
      <c r="BW362" s="601"/>
      <c r="BX362" s="980"/>
      <c r="BY362" s="601"/>
      <c r="BZ362" s="601"/>
      <c r="CA362" s="601"/>
      <c r="CB362" s="601"/>
      <c r="CC362" s="980"/>
      <c r="CD362" s="980"/>
      <c r="CE362" s="980"/>
      <c r="CF362" s="980"/>
      <c r="CG362" s="617"/>
    </row>
    <row r="363" spans="1:85" s="461" customFormat="1" ht="14.4" hidden="1" outlineLevel="1" x14ac:dyDescent="0.3">
      <c r="A363" s="166"/>
      <c r="B363" s="583"/>
      <c r="C363" s="957"/>
      <c r="D363" s="957"/>
      <c r="E363" s="957"/>
      <c r="F363" s="957"/>
      <c r="G363" s="120"/>
      <c r="H363" s="120"/>
      <c r="I363" s="120"/>
      <c r="J363" s="120"/>
      <c r="K363" s="957"/>
      <c r="L363" s="120"/>
      <c r="M363" s="120"/>
      <c r="N363" s="120"/>
      <c r="O363" s="120"/>
      <c r="P363" s="957"/>
      <c r="Q363" s="120"/>
      <c r="R363" s="120"/>
      <c r="S363" s="120"/>
      <c r="T363" s="120"/>
      <c r="U363" s="957"/>
      <c r="V363" s="120"/>
      <c r="W363" s="120"/>
      <c r="X363" s="120"/>
      <c r="Y363" s="120"/>
      <c r="Z363" s="957"/>
      <c r="AA363" s="120"/>
      <c r="AB363" s="120"/>
      <c r="AC363" s="120"/>
      <c r="AD363" s="120"/>
      <c r="AE363" s="957"/>
      <c r="AF363" s="120"/>
      <c r="AG363" s="120"/>
      <c r="AH363" s="120"/>
      <c r="AI363" s="120"/>
      <c r="AJ363" s="957"/>
      <c r="AK363" s="120"/>
      <c r="AL363" s="120"/>
      <c r="AM363" s="120"/>
      <c r="AN363" s="120"/>
      <c r="AO363" s="957"/>
      <c r="AP363" s="120"/>
      <c r="AQ363" s="120"/>
      <c r="AR363" s="120"/>
      <c r="AS363" s="120"/>
      <c r="AT363" s="957"/>
      <c r="AU363" s="120"/>
      <c r="AV363" s="120"/>
      <c r="AW363" s="120"/>
      <c r="AX363" s="120"/>
      <c r="AY363" s="957"/>
      <c r="AZ363" s="120"/>
      <c r="BA363" s="120"/>
      <c r="BB363" s="120"/>
      <c r="BC363" s="120"/>
      <c r="BD363" s="957"/>
      <c r="BE363" s="120"/>
      <c r="BF363" s="120"/>
      <c r="BG363" s="120"/>
      <c r="BH363" s="120"/>
      <c r="BI363" s="957"/>
      <c r="BJ363" s="120"/>
      <c r="BK363" s="120"/>
      <c r="BL363" s="120"/>
      <c r="BM363" s="120"/>
      <c r="BN363" s="957"/>
      <c r="BO363" s="120"/>
      <c r="BP363" s="120"/>
      <c r="BQ363" s="120"/>
      <c r="BR363" s="120"/>
      <c r="BS363" s="957"/>
      <c r="BT363" s="694"/>
      <c r="BU363" s="120"/>
      <c r="BV363" s="120"/>
      <c r="BW363" s="120"/>
      <c r="BX363" s="957"/>
      <c r="BY363" s="120"/>
      <c r="BZ363" s="120"/>
      <c r="CA363" s="120"/>
      <c r="CB363" s="120"/>
      <c r="CC363" s="957"/>
      <c r="CD363" s="957"/>
      <c r="CE363" s="957"/>
      <c r="CF363" s="957"/>
      <c r="CG363" s="615"/>
    </row>
    <row r="364" spans="1:85" s="603" customFormat="1" ht="14.4" hidden="1" outlineLevel="1" x14ac:dyDescent="0.3">
      <c r="A364" s="596" t="s">
        <v>1136</v>
      </c>
      <c r="B364" s="597"/>
      <c r="C364" s="978"/>
      <c r="D364" s="978"/>
      <c r="E364" s="978"/>
      <c r="F364" s="978"/>
      <c r="G364" s="598"/>
      <c r="H364" s="598"/>
      <c r="I364" s="598"/>
      <c r="J364" s="598"/>
      <c r="K364" s="978"/>
      <c r="L364" s="598"/>
      <c r="M364" s="598"/>
      <c r="N364" s="598"/>
      <c r="O364" s="598"/>
      <c r="P364" s="978"/>
      <c r="Q364" s="598"/>
      <c r="R364" s="598"/>
      <c r="S364" s="598"/>
      <c r="T364" s="598"/>
      <c r="U364" s="978"/>
      <c r="V364" s="598"/>
      <c r="W364" s="598"/>
      <c r="X364" s="598"/>
      <c r="Y364" s="598"/>
      <c r="Z364" s="978"/>
      <c r="AA364" s="598"/>
      <c r="AB364" s="598"/>
      <c r="AC364" s="598"/>
      <c r="AD364" s="598"/>
      <c r="AE364" s="978"/>
      <c r="AF364" s="598"/>
      <c r="AG364" s="598"/>
      <c r="AH364" s="598"/>
      <c r="AI364" s="598"/>
      <c r="AJ364" s="978"/>
      <c r="AK364" s="598"/>
      <c r="AL364" s="598"/>
      <c r="AM364" s="598"/>
      <c r="AN364" s="598"/>
      <c r="AO364" s="978"/>
      <c r="AP364" s="598"/>
      <c r="AQ364" s="598"/>
      <c r="AR364" s="598"/>
      <c r="AS364" s="598"/>
      <c r="AT364" s="978"/>
      <c r="AU364" s="598"/>
      <c r="AV364" s="598"/>
      <c r="AW364" s="598"/>
      <c r="AX364" s="598"/>
      <c r="AY364" s="979">
        <v>66.14</v>
      </c>
      <c r="AZ364" s="598"/>
      <c r="BA364" s="598"/>
      <c r="BB364" s="598"/>
      <c r="BC364" s="598"/>
      <c r="BD364" s="979">
        <v>92.92</v>
      </c>
      <c r="BE364" s="598"/>
      <c r="BF364" s="598"/>
      <c r="BG364" s="598"/>
      <c r="BH364" s="598"/>
      <c r="BI364" s="979">
        <v>73.760000000000005</v>
      </c>
      <c r="BJ364" s="598"/>
      <c r="BK364" s="598"/>
      <c r="BL364" s="598"/>
      <c r="BM364" s="598"/>
      <c r="BN364" s="979">
        <v>73.27</v>
      </c>
      <c r="BO364" s="598"/>
      <c r="BP364" s="598"/>
      <c r="BQ364" s="598"/>
      <c r="BR364" s="598"/>
      <c r="BS364" s="979">
        <v>63.22</v>
      </c>
      <c r="BT364" s="709"/>
      <c r="BU364" s="598"/>
      <c r="BV364" s="598"/>
      <c r="BW364" s="598"/>
      <c r="BX364" s="978"/>
      <c r="BY364" s="598"/>
      <c r="BZ364" s="598"/>
      <c r="CA364" s="598"/>
      <c r="CB364" s="598"/>
      <c r="CC364" s="978"/>
      <c r="CD364" s="978"/>
      <c r="CE364" s="978"/>
      <c r="CF364" s="978"/>
      <c r="CG364" s="616"/>
    </row>
    <row r="365" spans="1:85" s="603" customFormat="1" ht="14.4" hidden="1" outlineLevel="1" x14ac:dyDescent="0.3">
      <c r="A365" s="596" t="s">
        <v>1137</v>
      </c>
      <c r="B365" s="597"/>
      <c r="C365" s="978"/>
      <c r="D365" s="978"/>
      <c r="E365" s="978"/>
      <c r="F365" s="978"/>
      <c r="G365" s="598"/>
      <c r="H365" s="598"/>
      <c r="I365" s="598"/>
      <c r="J365" s="598"/>
      <c r="K365" s="978"/>
      <c r="L365" s="598"/>
      <c r="M365" s="598"/>
      <c r="N365" s="598"/>
      <c r="O365" s="598"/>
      <c r="P365" s="978"/>
      <c r="Q365" s="598"/>
      <c r="R365" s="598"/>
      <c r="S365" s="598"/>
      <c r="T365" s="598"/>
      <c r="U365" s="978"/>
      <c r="V365" s="598"/>
      <c r="W365" s="598"/>
      <c r="X365" s="598"/>
      <c r="Y365" s="598"/>
      <c r="Z365" s="978"/>
      <c r="AA365" s="598"/>
      <c r="AB365" s="598"/>
      <c r="AC365" s="598"/>
      <c r="AD365" s="598"/>
      <c r="AE365" s="978"/>
      <c r="AF365" s="598"/>
      <c r="AG365" s="598"/>
      <c r="AH365" s="598"/>
      <c r="AI365" s="598"/>
      <c r="AJ365" s="978"/>
      <c r="AK365" s="598"/>
      <c r="AL365" s="598"/>
      <c r="AM365" s="598"/>
      <c r="AN365" s="598"/>
      <c r="AO365" s="979">
        <v>54.47</v>
      </c>
      <c r="AP365" s="598"/>
      <c r="AQ365" s="598"/>
      <c r="AR365" s="598"/>
      <c r="AS365" s="598"/>
      <c r="AT365" s="979">
        <v>34.119999999999997</v>
      </c>
      <c r="AU365" s="598"/>
      <c r="AV365" s="598"/>
      <c r="AW365" s="598"/>
      <c r="AX365" s="598"/>
      <c r="AY365" s="979">
        <v>29.1</v>
      </c>
      <c r="AZ365" s="598"/>
      <c r="BA365" s="598"/>
      <c r="BB365" s="598"/>
      <c r="BC365" s="598"/>
      <c r="BD365" s="979">
        <v>34.31</v>
      </c>
      <c r="BE365" s="598"/>
      <c r="BF365" s="598"/>
      <c r="BG365" s="598"/>
      <c r="BH365" s="598"/>
      <c r="BI365" s="979">
        <v>20.79</v>
      </c>
      <c r="BJ365" s="598"/>
      <c r="BK365" s="598"/>
      <c r="BL365" s="598"/>
      <c r="BM365" s="598"/>
      <c r="BN365" s="979">
        <v>20.51</v>
      </c>
      <c r="BO365" s="598"/>
      <c r="BP365" s="598"/>
      <c r="BQ365" s="598"/>
      <c r="BR365" s="598"/>
      <c r="BS365" s="979">
        <v>18.91</v>
      </c>
      <c r="BT365" s="709"/>
      <c r="BU365" s="598"/>
      <c r="BV365" s="598"/>
      <c r="BW365" s="598"/>
      <c r="BX365" s="978"/>
      <c r="BY365" s="598"/>
      <c r="BZ365" s="598"/>
      <c r="CA365" s="598"/>
      <c r="CB365" s="598"/>
      <c r="CC365" s="978"/>
      <c r="CD365" s="978"/>
      <c r="CE365" s="978"/>
      <c r="CF365" s="978"/>
      <c r="CG365" s="616"/>
    </row>
    <row r="366" spans="1:85" s="603" customFormat="1" ht="14.4" hidden="1" outlineLevel="1" x14ac:dyDescent="0.3">
      <c r="A366" s="596" t="s">
        <v>1244</v>
      </c>
      <c r="B366" s="597"/>
      <c r="C366" s="978"/>
      <c r="D366" s="978"/>
      <c r="E366" s="978"/>
      <c r="F366" s="978"/>
      <c r="G366" s="598"/>
      <c r="H366" s="598"/>
      <c r="I366" s="598"/>
      <c r="J366" s="598"/>
      <c r="K366" s="978"/>
      <c r="L366" s="598"/>
      <c r="M366" s="598"/>
      <c r="N366" s="598"/>
      <c r="O366" s="598"/>
      <c r="P366" s="978"/>
      <c r="Q366" s="598"/>
      <c r="R366" s="598"/>
      <c r="S366" s="598"/>
      <c r="T366" s="598"/>
      <c r="U366" s="978"/>
      <c r="V366" s="598"/>
      <c r="W366" s="598"/>
      <c r="X366" s="598"/>
      <c r="Y366" s="598"/>
      <c r="Z366" s="978"/>
      <c r="AA366" s="598"/>
      <c r="AB366" s="598"/>
      <c r="AC366" s="598"/>
      <c r="AD366" s="598"/>
      <c r="AE366" s="978"/>
      <c r="AF366" s="598"/>
      <c r="AG366" s="598"/>
      <c r="AH366" s="598"/>
      <c r="AI366" s="598"/>
      <c r="AJ366" s="978"/>
      <c r="AK366" s="598"/>
      <c r="AL366" s="598"/>
      <c r="AM366" s="598"/>
      <c r="AN366" s="598"/>
      <c r="AO366" s="979">
        <v>4.8600000000000003</v>
      </c>
      <c r="AP366" s="598"/>
      <c r="AQ366" s="598"/>
      <c r="AR366" s="598"/>
      <c r="AS366" s="598"/>
      <c r="AT366" s="979">
        <v>3.68</v>
      </c>
      <c r="AU366" s="598"/>
      <c r="AV366" s="598"/>
      <c r="AW366" s="598"/>
      <c r="AX366" s="598"/>
      <c r="AY366" s="979">
        <v>5.08</v>
      </c>
      <c r="AZ366" s="598"/>
      <c r="BA366" s="598"/>
      <c r="BB366" s="598"/>
      <c r="BC366" s="598"/>
      <c r="BD366" s="979">
        <v>8.85</v>
      </c>
      <c r="BE366" s="598"/>
      <c r="BF366" s="598"/>
      <c r="BG366" s="598"/>
      <c r="BH366" s="598"/>
      <c r="BI366" s="979">
        <v>6.01</v>
      </c>
      <c r="BJ366" s="598"/>
      <c r="BK366" s="598"/>
      <c r="BL366" s="598"/>
      <c r="BM366" s="598"/>
      <c r="BN366" s="979">
        <v>4.99</v>
      </c>
      <c r="BO366" s="598"/>
      <c r="BP366" s="598"/>
      <c r="BQ366" s="598"/>
      <c r="BR366" s="598"/>
      <c r="BS366" s="979">
        <v>4.8600000000000003</v>
      </c>
      <c r="BT366" s="709"/>
      <c r="BU366" s="598"/>
      <c r="BV366" s="598"/>
      <c r="BW366" s="598"/>
      <c r="BX366" s="978"/>
      <c r="BY366" s="598"/>
      <c r="BZ366" s="598"/>
      <c r="CA366" s="598"/>
      <c r="CB366" s="598"/>
      <c r="CC366" s="978"/>
      <c r="CD366" s="978"/>
      <c r="CE366" s="978"/>
      <c r="CF366" s="978"/>
      <c r="CG366" s="616"/>
    </row>
    <row r="367" spans="1:85" s="604" customFormat="1" ht="14.4" hidden="1" outlineLevel="1" x14ac:dyDescent="0.3">
      <c r="A367" s="599" t="s">
        <v>1138</v>
      </c>
      <c r="B367" s="600"/>
      <c r="C367" s="980"/>
      <c r="D367" s="980"/>
      <c r="E367" s="980"/>
      <c r="F367" s="980"/>
      <c r="G367" s="601"/>
      <c r="H367" s="601"/>
      <c r="I367" s="601"/>
      <c r="J367" s="601"/>
      <c r="K367" s="980"/>
      <c r="L367" s="601"/>
      <c r="M367" s="601"/>
      <c r="N367" s="601"/>
      <c r="O367" s="601"/>
      <c r="P367" s="980"/>
      <c r="Q367" s="601"/>
      <c r="R367" s="601"/>
      <c r="S367" s="601"/>
      <c r="T367" s="601"/>
      <c r="U367" s="980"/>
      <c r="V367" s="601"/>
      <c r="W367" s="601"/>
      <c r="X367" s="601"/>
      <c r="Y367" s="601"/>
      <c r="Z367" s="980"/>
      <c r="AA367" s="601"/>
      <c r="AB367" s="601"/>
      <c r="AC367" s="601"/>
      <c r="AD367" s="601"/>
      <c r="AE367" s="980"/>
      <c r="AF367" s="601"/>
      <c r="AG367" s="601"/>
      <c r="AH367" s="601"/>
      <c r="AI367" s="601"/>
      <c r="AJ367" s="980"/>
      <c r="AK367" s="601"/>
      <c r="AL367" s="601"/>
      <c r="AM367" s="601"/>
      <c r="AN367" s="601"/>
      <c r="AO367" s="981">
        <v>10.62</v>
      </c>
      <c r="AP367" s="601"/>
      <c r="AQ367" s="601"/>
      <c r="AR367" s="601"/>
      <c r="AS367" s="601"/>
      <c r="AT367" s="981">
        <v>10.07</v>
      </c>
      <c r="AU367" s="601"/>
      <c r="AV367" s="601"/>
      <c r="AW367" s="601"/>
      <c r="AX367" s="601"/>
      <c r="AY367" s="981">
        <v>9.9</v>
      </c>
      <c r="AZ367" s="601"/>
      <c r="BA367" s="601"/>
      <c r="BB367" s="601"/>
      <c r="BC367" s="601"/>
      <c r="BD367" s="981">
        <v>10.16</v>
      </c>
      <c r="BE367" s="601"/>
      <c r="BF367" s="601"/>
      <c r="BG367" s="601"/>
      <c r="BH367" s="601"/>
      <c r="BI367" s="981">
        <v>10.23</v>
      </c>
      <c r="BJ367" s="601"/>
      <c r="BK367" s="601"/>
      <c r="BL367" s="601"/>
      <c r="BM367" s="601"/>
      <c r="BN367" s="981">
        <v>9.23</v>
      </c>
      <c r="BO367" s="601"/>
      <c r="BP367" s="601"/>
      <c r="BQ367" s="601"/>
      <c r="BR367" s="601"/>
      <c r="BS367" s="981">
        <v>9.7100000000000009</v>
      </c>
      <c r="BT367" s="710"/>
      <c r="BU367" s="601"/>
      <c r="BV367" s="601"/>
      <c r="BW367" s="601"/>
      <c r="BX367" s="980"/>
      <c r="BY367" s="601"/>
      <c r="BZ367" s="601"/>
      <c r="CA367" s="601"/>
      <c r="CB367" s="601"/>
      <c r="CC367" s="980"/>
      <c r="CD367" s="980"/>
      <c r="CE367" s="980"/>
      <c r="CF367" s="980"/>
      <c r="CG367" s="617"/>
    </row>
    <row r="368" spans="1:85" s="461" customFormat="1" ht="14.4" hidden="1" outlineLevel="1" x14ac:dyDescent="0.3">
      <c r="A368" s="166"/>
      <c r="B368" s="583"/>
      <c r="C368" s="957"/>
      <c r="D368" s="957"/>
      <c r="E368" s="957"/>
      <c r="F368" s="957"/>
      <c r="G368" s="120"/>
      <c r="H368" s="120"/>
      <c r="I368" s="120"/>
      <c r="J368" s="120"/>
      <c r="K368" s="957"/>
      <c r="L368" s="120"/>
      <c r="M368" s="120"/>
      <c r="N368" s="120"/>
      <c r="O368" s="120"/>
      <c r="P368" s="957"/>
      <c r="Q368" s="120"/>
      <c r="R368" s="120"/>
      <c r="S368" s="120"/>
      <c r="T368" s="120"/>
      <c r="U368" s="957"/>
      <c r="V368" s="120"/>
      <c r="W368" s="120"/>
      <c r="X368" s="120"/>
      <c r="Y368" s="120"/>
      <c r="Z368" s="957"/>
      <c r="AA368" s="120"/>
      <c r="AB368" s="120"/>
      <c r="AC368" s="120"/>
      <c r="AD368" s="120"/>
      <c r="AE368" s="957"/>
      <c r="AF368" s="120"/>
      <c r="AG368" s="120"/>
      <c r="AH368" s="120"/>
      <c r="AI368" s="120"/>
      <c r="AJ368" s="957"/>
      <c r="AK368" s="120"/>
      <c r="AL368" s="120"/>
      <c r="AM368" s="120"/>
      <c r="AN368" s="120"/>
      <c r="AO368" s="957"/>
      <c r="AP368" s="120"/>
      <c r="AQ368" s="120"/>
      <c r="AR368" s="120"/>
      <c r="AS368" s="120"/>
      <c r="AT368" s="957"/>
      <c r="AU368" s="120"/>
      <c r="AV368" s="120"/>
      <c r="AW368" s="120"/>
      <c r="AX368" s="120"/>
      <c r="AY368" s="957"/>
      <c r="AZ368" s="120"/>
      <c r="BA368" s="120"/>
      <c r="BB368" s="120"/>
      <c r="BC368" s="120"/>
      <c r="BD368" s="957"/>
      <c r="BE368" s="120"/>
      <c r="BF368" s="120"/>
      <c r="BG368" s="120"/>
      <c r="BH368" s="120"/>
      <c r="BI368" s="957"/>
      <c r="BJ368" s="120"/>
      <c r="BK368" s="120"/>
      <c r="BL368" s="120"/>
      <c r="BM368" s="120"/>
      <c r="BN368" s="957"/>
      <c r="BO368" s="120"/>
      <c r="BP368" s="120"/>
      <c r="BQ368" s="120"/>
      <c r="BR368" s="120"/>
      <c r="BS368" s="957"/>
      <c r="BT368" s="694"/>
      <c r="BU368" s="120"/>
      <c r="BV368" s="120"/>
      <c r="BW368" s="120"/>
      <c r="BX368" s="957"/>
      <c r="BY368" s="120"/>
      <c r="BZ368" s="120"/>
      <c r="CA368" s="120"/>
      <c r="CB368" s="120"/>
      <c r="CC368" s="957"/>
      <c r="CD368" s="957"/>
      <c r="CE368" s="957"/>
      <c r="CF368" s="957"/>
      <c r="CG368" s="615"/>
    </row>
    <row r="369" spans="1:85" s="603" customFormat="1" ht="14.4" hidden="1" outlineLevel="1" x14ac:dyDescent="0.3">
      <c r="A369" s="596" t="s">
        <v>1140</v>
      </c>
      <c r="B369" s="597"/>
      <c r="C369" s="978"/>
      <c r="D369" s="978"/>
      <c r="E369" s="978"/>
      <c r="F369" s="978"/>
      <c r="G369" s="598"/>
      <c r="H369" s="598"/>
      <c r="I369" s="598"/>
      <c r="J369" s="598"/>
      <c r="K369" s="978"/>
      <c r="L369" s="598"/>
      <c r="M369" s="598"/>
      <c r="N369" s="598"/>
      <c r="O369" s="598"/>
      <c r="P369" s="978"/>
      <c r="Q369" s="598"/>
      <c r="R369" s="598"/>
      <c r="S369" s="598"/>
      <c r="T369" s="598"/>
      <c r="U369" s="978"/>
      <c r="V369" s="598"/>
      <c r="W369" s="598"/>
      <c r="X369" s="598"/>
      <c r="Y369" s="598"/>
      <c r="Z369" s="978"/>
      <c r="AA369" s="598"/>
      <c r="AB369" s="598"/>
      <c r="AC369" s="598"/>
      <c r="AD369" s="598"/>
      <c r="AE369" s="978"/>
      <c r="AF369" s="598"/>
      <c r="AG369" s="598"/>
      <c r="AH369" s="598"/>
      <c r="AI369" s="598"/>
      <c r="AJ369" s="978"/>
      <c r="AK369" s="598"/>
      <c r="AL369" s="598"/>
      <c r="AM369" s="598"/>
      <c r="AN369" s="598"/>
      <c r="AO369" s="978"/>
      <c r="AP369" s="598"/>
      <c r="AQ369" s="598"/>
      <c r="AR369" s="598"/>
      <c r="AS369" s="598"/>
      <c r="AT369" s="978"/>
      <c r="AU369" s="598"/>
      <c r="AV369" s="598"/>
      <c r="AW369" s="598"/>
      <c r="AX369" s="598"/>
      <c r="AY369" s="979">
        <v>58.31</v>
      </c>
      <c r="AZ369" s="598"/>
      <c r="BA369" s="598"/>
      <c r="BB369" s="598"/>
      <c r="BC369" s="598"/>
      <c r="BD369" s="979">
        <v>85.71</v>
      </c>
      <c r="BE369" s="598"/>
      <c r="BF369" s="598"/>
      <c r="BG369" s="598"/>
      <c r="BH369" s="598"/>
      <c r="BI369" s="979">
        <v>66.44</v>
      </c>
      <c r="BJ369" s="598"/>
      <c r="BK369" s="598"/>
      <c r="BL369" s="598"/>
      <c r="BM369" s="598"/>
      <c r="BN369" s="979">
        <v>67.02</v>
      </c>
      <c r="BO369" s="598"/>
      <c r="BP369" s="598"/>
      <c r="BQ369" s="598"/>
      <c r="BR369" s="598"/>
      <c r="BS369" s="979">
        <v>56.88</v>
      </c>
      <c r="BT369" s="709"/>
      <c r="BU369" s="598"/>
      <c r="BV369" s="598"/>
      <c r="BW369" s="598"/>
      <c r="BX369" s="978"/>
      <c r="BY369" s="598"/>
      <c r="BZ369" s="598"/>
      <c r="CA369" s="598"/>
      <c r="CB369" s="598"/>
      <c r="CC369" s="978"/>
      <c r="CD369" s="978"/>
      <c r="CE369" s="978"/>
      <c r="CF369" s="978"/>
      <c r="CG369" s="616"/>
    </row>
    <row r="370" spans="1:85" s="603" customFormat="1" ht="14.4" hidden="1" outlineLevel="1" x14ac:dyDescent="0.3">
      <c r="A370" s="596" t="s">
        <v>1141</v>
      </c>
      <c r="B370" s="597"/>
      <c r="C370" s="978"/>
      <c r="D370" s="978"/>
      <c r="E370" s="978"/>
      <c r="F370" s="978"/>
      <c r="G370" s="598"/>
      <c r="H370" s="598"/>
      <c r="I370" s="598"/>
      <c r="J370" s="598"/>
      <c r="K370" s="978"/>
      <c r="L370" s="598"/>
      <c r="M370" s="598"/>
      <c r="N370" s="598"/>
      <c r="O370" s="598"/>
      <c r="P370" s="978"/>
      <c r="Q370" s="598"/>
      <c r="R370" s="598"/>
      <c r="S370" s="598"/>
      <c r="T370" s="598"/>
      <c r="U370" s="978"/>
      <c r="V370" s="598"/>
      <c r="W370" s="598"/>
      <c r="X370" s="598"/>
      <c r="Y370" s="598"/>
      <c r="Z370" s="978"/>
      <c r="AA370" s="598"/>
      <c r="AB370" s="598"/>
      <c r="AC370" s="598"/>
      <c r="AD370" s="598"/>
      <c r="AE370" s="978"/>
      <c r="AF370" s="598"/>
      <c r="AG370" s="598"/>
      <c r="AH370" s="598"/>
      <c r="AI370" s="598"/>
      <c r="AJ370" s="978"/>
      <c r="AK370" s="598"/>
      <c r="AL370" s="598"/>
      <c r="AM370" s="598"/>
      <c r="AN370" s="598"/>
      <c r="AO370" s="979">
        <v>49.14</v>
      </c>
      <c r="AP370" s="598"/>
      <c r="AQ370" s="598"/>
      <c r="AR370" s="598"/>
      <c r="AS370" s="598"/>
      <c r="AT370" s="979">
        <v>24.25</v>
      </c>
      <c r="AU370" s="598"/>
      <c r="AV370" s="598"/>
      <c r="AW370" s="598"/>
      <c r="AX370" s="598"/>
      <c r="AY370" s="979">
        <v>27.13</v>
      </c>
      <c r="AZ370" s="598"/>
      <c r="BA370" s="598"/>
      <c r="BB370" s="598"/>
      <c r="BC370" s="598"/>
      <c r="BD370" s="979">
        <v>20.83</v>
      </c>
      <c r="BE370" s="598"/>
      <c r="BF370" s="598"/>
      <c r="BG370" s="598"/>
      <c r="BH370" s="598"/>
      <c r="BI370" s="979">
        <v>9.43</v>
      </c>
      <c r="BJ370" s="598"/>
      <c r="BK370" s="598"/>
      <c r="BL370" s="598"/>
      <c r="BM370" s="598"/>
      <c r="BN370" s="979">
        <v>12.09</v>
      </c>
      <c r="BO370" s="598"/>
      <c r="BP370" s="598"/>
      <c r="BQ370" s="598"/>
      <c r="BR370" s="598"/>
      <c r="BS370" s="979">
        <v>12</v>
      </c>
      <c r="BT370" s="709"/>
      <c r="BU370" s="598"/>
      <c r="BV370" s="598"/>
      <c r="BW370" s="598"/>
      <c r="BX370" s="978"/>
      <c r="BY370" s="598"/>
      <c r="BZ370" s="598"/>
      <c r="CA370" s="598"/>
      <c r="CB370" s="598"/>
      <c r="CC370" s="978"/>
      <c r="CD370" s="978"/>
      <c r="CE370" s="978"/>
      <c r="CF370" s="978"/>
      <c r="CG370" s="616"/>
    </row>
    <row r="371" spans="1:85" s="603" customFormat="1" ht="14.4" hidden="1" outlineLevel="1" x14ac:dyDescent="0.3">
      <c r="A371" s="596" t="s">
        <v>1245</v>
      </c>
      <c r="B371" s="597"/>
      <c r="C371" s="978"/>
      <c r="D371" s="978"/>
      <c r="E371" s="978"/>
      <c r="F371" s="978"/>
      <c r="G371" s="598"/>
      <c r="H371" s="598"/>
      <c r="I371" s="598"/>
      <c r="J371" s="598"/>
      <c r="K371" s="978"/>
      <c r="L371" s="598"/>
      <c r="M371" s="598"/>
      <c r="N371" s="598"/>
      <c r="O371" s="598"/>
      <c r="P371" s="978"/>
      <c r="Q371" s="598"/>
      <c r="R371" s="598"/>
      <c r="S371" s="598"/>
      <c r="T371" s="598"/>
      <c r="U371" s="978"/>
      <c r="V371" s="598"/>
      <c r="W371" s="598"/>
      <c r="X371" s="598"/>
      <c r="Y371" s="598"/>
      <c r="Z371" s="978"/>
      <c r="AA371" s="598"/>
      <c r="AB371" s="598"/>
      <c r="AC371" s="598"/>
      <c r="AD371" s="598"/>
      <c r="AE371" s="978"/>
      <c r="AF371" s="598"/>
      <c r="AG371" s="598"/>
      <c r="AH371" s="598"/>
      <c r="AI371" s="598"/>
      <c r="AJ371" s="978"/>
      <c r="AK371" s="598"/>
      <c r="AL371" s="598"/>
      <c r="AM371" s="598"/>
      <c r="AN371" s="598"/>
      <c r="AO371" s="979">
        <v>0.79</v>
      </c>
      <c r="AP371" s="598"/>
      <c r="AQ371" s="598"/>
      <c r="AR371" s="598"/>
      <c r="AS371" s="598"/>
      <c r="AT371" s="979">
        <v>0.54</v>
      </c>
      <c r="AU371" s="598"/>
      <c r="AV371" s="598"/>
      <c r="AW371" s="598"/>
      <c r="AX371" s="598"/>
      <c r="AY371" s="979">
        <v>0.47</v>
      </c>
      <c r="AZ371" s="598"/>
      <c r="BA371" s="598"/>
      <c r="BB371" s="598"/>
      <c r="BC371" s="598"/>
      <c r="BD371" s="979">
        <v>0.95</v>
      </c>
      <c r="BE371" s="598"/>
      <c r="BF371" s="598"/>
      <c r="BG371" s="598"/>
      <c r="BH371" s="598"/>
      <c r="BI371" s="979">
        <v>1.31</v>
      </c>
      <c r="BJ371" s="598"/>
      <c r="BK371" s="598"/>
      <c r="BL371" s="598"/>
      <c r="BM371" s="598"/>
      <c r="BN371" s="979">
        <v>1.57</v>
      </c>
      <c r="BO371" s="598"/>
      <c r="BP371" s="598"/>
      <c r="BQ371" s="598"/>
      <c r="BR371" s="598"/>
      <c r="BS371" s="979">
        <v>0.89</v>
      </c>
      <c r="BT371" s="709"/>
      <c r="BU371" s="598"/>
      <c r="BV371" s="598"/>
      <c r="BW371" s="598"/>
      <c r="BX371" s="978"/>
      <c r="BY371" s="598"/>
      <c r="BZ371" s="598"/>
      <c r="CA371" s="598"/>
      <c r="CB371" s="598"/>
      <c r="CC371" s="978"/>
      <c r="CD371" s="978"/>
      <c r="CE371" s="978"/>
      <c r="CF371" s="978"/>
      <c r="CG371" s="616"/>
    </row>
    <row r="372" spans="1:85" s="604" customFormat="1" ht="14.4" hidden="1" outlineLevel="1" x14ac:dyDescent="0.3">
      <c r="A372" s="599" t="s">
        <v>1142</v>
      </c>
      <c r="B372" s="600"/>
      <c r="C372" s="980"/>
      <c r="D372" s="980"/>
      <c r="E372" s="980"/>
      <c r="F372" s="980"/>
      <c r="G372" s="601"/>
      <c r="H372" s="601"/>
      <c r="I372" s="601"/>
      <c r="J372" s="601"/>
      <c r="K372" s="980"/>
      <c r="L372" s="601"/>
      <c r="M372" s="601"/>
      <c r="N372" s="601"/>
      <c r="O372" s="601"/>
      <c r="P372" s="980"/>
      <c r="Q372" s="601"/>
      <c r="R372" s="601"/>
      <c r="S372" s="601"/>
      <c r="T372" s="601"/>
      <c r="U372" s="980"/>
      <c r="V372" s="601"/>
      <c r="W372" s="601"/>
      <c r="X372" s="601"/>
      <c r="Y372" s="601"/>
      <c r="Z372" s="980"/>
      <c r="AA372" s="601"/>
      <c r="AB372" s="601"/>
      <c r="AC372" s="601"/>
      <c r="AD372" s="601"/>
      <c r="AE372" s="980"/>
      <c r="AF372" s="601"/>
      <c r="AG372" s="601"/>
      <c r="AH372" s="601"/>
      <c r="AI372" s="601"/>
      <c r="AJ372" s="980"/>
      <c r="AK372" s="601"/>
      <c r="AL372" s="601"/>
      <c r="AM372" s="601"/>
      <c r="AN372" s="601"/>
      <c r="AO372" s="981">
        <v>3.53</v>
      </c>
      <c r="AP372" s="601"/>
      <c r="AQ372" s="601"/>
      <c r="AR372" s="601"/>
      <c r="AS372" s="601"/>
      <c r="AT372" s="981">
        <v>3.17</v>
      </c>
      <c r="AU372" s="601"/>
      <c r="AV372" s="601"/>
      <c r="AW372" s="601"/>
      <c r="AX372" s="601"/>
      <c r="AY372" s="981">
        <v>4.09</v>
      </c>
      <c r="AZ372" s="601"/>
      <c r="BA372" s="601"/>
      <c r="BB372" s="601"/>
      <c r="BC372" s="601"/>
      <c r="BD372" s="981">
        <v>3.85</v>
      </c>
      <c r="BE372" s="601"/>
      <c r="BF372" s="601"/>
      <c r="BG372" s="601"/>
      <c r="BH372" s="601"/>
      <c r="BI372" s="981">
        <v>4.47</v>
      </c>
      <c r="BJ372" s="601"/>
      <c r="BK372" s="601"/>
      <c r="BL372" s="601"/>
      <c r="BM372" s="601"/>
      <c r="BN372" s="981">
        <v>5.44</v>
      </c>
      <c r="BO372" s="601"/>
      <c r="BP372" s="601"/>
      <c r="BQ372" s="601"/>
      <c r="BR372" s="601"/>
      <c r="BS372" s="981">
        <v>3.8</v>
      </c>
      <c r="BT372" s="710"/>
      <c r="BU372" s="601"/>
      <c r="BV372" s="601"/>
      <c r="BW372" s="601"/>
      <c r="BX372" s="980"/>
      <c r="BY372" s="601"/>
      <c r="BZ372" s="601"/>
      <c r="CA372" s="601"/>
      <c r="CB372" s="601"/>
      <c r="CC372" s="980"/>
      <c r="CD372" s="980"/>
      <c r="CE372" s="980"/>
      <c r="CF372" s="980"/>
      <c r="CG372" s="617"/>
    </row>
    <row r="373" spans="1:85" s="461" customFormat="1" ht="14.4" hidden="1" outlineLevel="1" x14ac:dyDescent="0.3">
      <c r="A373" s="166"/>
      <c r="B373" s="583"/>
      <c r="C373" s="957"/>
      <c r="D373" s="957"/>
      <c r="E373" s="957"/>
      <c r="F373" s="957"/>
      <c r="G373" s="120"/>
      <c r="H373" s="120"/>
      <c r="I373" s="120"/>
      <c r="J373" s="120"/>
      <c r="K373" s="957"/>
      <c r="L373" s="120"/>
      <c r="M373" s="120"/>
      <c r="N373" s="120"/>
      <c r="O373" s="120"/>
      <c r="P373" s="957"/>
      <c r="Q373" s="120"/>
      <c r="R373" s="120"/>
      <c r="S373" s="120"/>
      <c r="T373" s="120"/>
      <c r="U373" s="957"/>
      <c r="V373" s="120"/>
      <c r="W373" s="120"/>
      <c r="X373" s="120"/>
      <c r="Y373" s="120"/>
      <c r="Z373" s="957"/>
      <c r="AA373" s="120"/>
      <c r="AB373" s="120"/>
      <c r="AC373" s="120"/>
      <c r="AD373" s="120"/>
      <c r="AE373" s="957"/>
      <c r="AF373" s="120"/>
      <c r="AG373" s="120"/>
      <c r="AH373" s="120"/>
      <c r="AI373" s="120"/>
      <c r="AJ373" s="957"/>
      <c r="AK373" s="120"/>
      <c r="AL373" s="120"/>
      <c r="AM373" s="120"/>
      <c r="AN373" s="120"/>
      <c r="AO373" s="957"/>
      <c r="AP373" s="120"/>
      <c r="AQ373" s="120"/>
      <c r="AR373" s="120"/>
      <c r="AS373" s="120"/>
      <c r="AT373" s="957"/>
      <c r="AU373" s="120"/>
      <c r="AV373" s="120"/>
      <c r="AW373" s="120"/>
      <c r="AX373" s="120"/>
      <c r="AY373" s="957"/>
      <c r="AZ373" s="120"/>
      <c r="BA373" s="120"/>
      <c r="BB373" s="120"/>
      <c r="BC373" s="120"/>
      <c r="BD373" s="957"/>
      <c r="BE373" s="120"/>
      <c r="BF373" s="120"/>
      <c r="BG373" s="120"/>
      <c r="BH373" s="120"/>
      <c r="BI373" s="957"/>
      <c r="BJ373" s="120"/>
      <c r="BK373" s="120"/>
      <c r="BL373" s="120"/>
      <c r="BM373" s="120"/>
      <c r="BN373" s="957"/>
      <c r="BO373" s="120"/>
      <c r="BP373" s="120"/>
      <c r="BQ373" s="120"/>
      <c r="BR373" s="120"/>
      <c r="BS373" s="957"/>
      <c r="BT373" s="694"/>
      <c r="BU373" s="120"/>
      <c r="BV373" s="120"/>
      <c r="BW373" s="120"/>
      <c r="BX373" s="957"/>
      <c r="BY373" s="120"/>
      <c r="BZ373" s="120"/>
      <c r="CA373" s="120"/>
      <c r="CB373" s="120"/>
      <c r="CC373" s="957"/>
      <c r="CD373" s="957"/>
      <c r="CE373" s="957"/>
      <c r="CF373" s="957"/>
      <c r="CG373" s="615"/>
    </row>
    <row r="374" spans="1:85" s="603" customFormat="1" ht="14.4" hidden="1" outlineLevel="1" x14ac:dyDescent="0.3">
      <c r="A374" s="596" t="s">
        <v>1143</v>
      </c>
      <c r="B374" s="597"/>
      <c r="C374" s="978"/>
      <c r="D374" s="978"/>
      <c r="E374" s="978"/>
      <c r="F374" s="978"/>
      <c r="G374" s="598"/>
      <c r="H374" s="598"/>
      <c r="I374" s="598"/>
      <c r="J374" s="598"/>
      <c r="K374" s="978"/>
      <c r="L374" s="598"/>
      <c r="M374" s="598"/>
      <c r="N374" s="598"/>
      <c r="O374" s="598"/>
      <c r="P374" s="978"/>
      <c r="Q374" s="598"/>
      <c r="R374" s="598"/>
      <c r="S374" s="598"/>
      <c r="T374" s="598"/>
      <c r="U374" s="978"/>
      <c r="V374" s="598"/>
      <c r="W374" s="598"/>
      <c r="X374" s="598"/>
      <c r="Y374" s="598"/>
      <c r="Z374" s="978"/>
      <c r="AA374" s="598"/>
      <c r="AB374" s="598"/>
      <c r="AC374" s="598"/>
      <c r="AD374" s="598"/>
      <c r="AE374" s="978"/>
      <c r="AF374" s="598"/>
      <c r="AG374" s="598"/>
      <c r="AH374" s="598"/>
      <c r="AI374" s="598"/>
      <c r="AJ374" s="978"/>
      <c r="AK374" s="598"/>
      <c r="AL374" s="598"/>
      <c r="AM374" s="598"/>
      <c r="AN374" s="598"/>
      <c r="AO374" s="978"/>
      <c r="AP374" s="598"/>
      <c r="AQ374" s="598"/>
      <c r="AR374" s="598"/>
      <c r="AS374" s="598"/>
      <c r="AT374" s="978"/>
      <c r="AU374" s="598"/>
      <c r="AV374" s="598"/>
      <c r="AW374" s="598"/>
      <c r="AX374" s="598"/>
      <c r="AY374" s="979">
        <v>0</v>
      </c>
      <c r="AZ374" s="598"/>
      <c r="BA374" s="598"/>
      <c r="BB374" s="598"/>
      <c r="BC374" s="598"/>
      <c r="BD374" s="979">
        <v>0</v>
      </c>
      <c r="BE374" s="598"/>
      <c r="BF374" s="598"/>
      <c r="BG374" s="598"/>
      <c r="BH374" s="598"/>
      <c r="BI374" s="979">
        <v>0</v>
      </c>
      <c r="BJ374" s="598"/>
      <c r="BK374" s="598"/>
      <c r="BL374" s="598"/>
      <c r="BM374" s="598"/>
      <c r="BN374" s="979">
        <v>0</v>
      </c>
      <c r="BO374" s="598"/>
      <c r="BP374" s="598"/>
      <c r="BQ374" s="598"/>
      <c r="BR374" s="598"/>
      <c r="BS374" s="979">
        <v>0</v>
      </c>
      <c r="BT374" s="709"/>
      <c r="BU374" s="598"/>
      <c r="BV374" s="598"/>
      <c r="BW374" s="598"/>
      <c r="BX374" s="978"/>
      <c r="BY374" s="598"/>
      <c r="BZ374" s="598"/>
      <c r="CA374" s="598"/>
      <c r="CB374" s="598"/>
      <c r="CC374" s="978"/>
      <c r="CD374" s="978"/>
      <c r="CE374" s="978"/>
      <c r="CF374" s="978"/>
      <c r="CG374" s="616"/>
    </row>
    <row r="375" spans="1:85" s="603" customFormat="1" ht="14.4" hidden="1" outlineLevel="1" x14ac:dyDescent="0.3">
      <c r="A375" s="596" t="s">
        <v>1144</v>
      </c>
      <c r="B375" s="597"/>
      <c r="C375" s="978"/>
      <c r="D375" s="978"/>
      <c r="E375" s="978"/>
      <c r="F375" s="978"/>
      <c r="G375" s="598"/>
      <c r="H375" s="598"/>
      <c r="I375" s="598"/>
      <c r="J375" s="598"/>
      <c r="K375" s="978"/>
      <c r="L375" s="598"/>
      <c r="M375" s="598"/>
      <c r="N375" s="598"/>
      <c r="O375" s="598"/>
      <c r="P375" s="978"/>
      <c r="Q375" s="598"/>
      <c r="R375" s="598"/>
      <c r="S375" s="598"/>
      <c r="T375" s="598"/>
      <c r="U375" s="978"/>
      <c r="V375" s="598"/>
      <c r="W375" s="598"/>
      <c r="X375" s="598"/>
      <c r="Y375" s="598"/>
      <c r="Z375" s="978"/>
      <c r="AA375" s="598"/>
      <c r="AB375" s="598"/>
      <c r="AC375" s="598"/>
      <c r="AD375" s="598"/>
      <c r="AE375" s="978"/>
      <c r="AF375" s="598"/>
      <c r="AG375" s="598"/>
      <c r="AH375" s="598"/>
      <c r="AI375" s="598"/>
      <c r="AJ375" s="978"/>
      <c r="AK375" s="598"/>
      <c r="AL375" s="598"/>
      <c r="AM375" s="598"/>
      <c r="AN375" s="598"/>
      <c r="AO375" s="979">
        <v>45.25</v>
      </c>
      <c r="AP375" s="598"/>
      <c r="AQ375" s="598"/>
      <c r="AR375" s="598"/>
      <c r="AS375" s="598"/>
      <c r="AT375" s="979">
        <v>24.07</v>
      </c>
      <c r="AU375" s="598"/>
      <c r="AV375" s="598"/>
      <c r="AW375" s="598"/>
      <c r="AX375" s="598"/>
      <c r="AY375" s="979">
        <v>66</v>
      </c>
      <c r="AZ375" s="598"/>
      <c r="BA375" s="598"/>
      <c r="BB375" s="598"/>
      <c r="BC375" s="598"/>
      <c r="BD375" s="979">
        <v>65.33</v>
      </c>
      <c r="BE375" s="598"/>
      <c r="BF375" s="598"/>
      <c r="BG375" s="598"/>
      <c r="BH375" s="598"/>
      <c r="BI375" s="979">
        <v>45.33</v>
      </c>
      <c r="BJ375" s="598"/>
      <c r="BK375" s="598"/>
      <c r="BL375" s="598"/>
      <c r="BM375" s="598"/>
      <c r="BN375" s="979">
        <v>47.61</v>
      </c>
      <c r="BO375" s="598"/>
      <c r="BP375" s="598"/>
      <c r="BQ375" s="598"/>
      <c r="BR375" s="598"/>
      <c r="BS375" s="979">
        <v>43.32</v>
      </c>
      <c r="BT375" s="709"/>
      <c r="BU375" s="598"/>
      <c r="BV375" s="598"/>
      <c r="BW375" s="598"/>
      <c r="BX375" s="978"/>
      <c r="BY375" s="598"/>
      <c r="BZ375" s="598"/>
      <c r="CA375" s="598"/>
      <c r="CB375" s="598"/>
      <c r="CC375" s="978"/>
      <c r="CD375" s="978"/>
      <c r="CE375" s="978"/>
      <c r="CF375" s="978"/>
      <c r="CG375" s="616"/>
    </row>
    <row r="376" spans="1:85" s="603" customFormat="1" ht="14.4" hidden="1" outlineLevel="1" x14ac:dyDescent="0.3">
      <c r="A376" s="596" t="s">
        <v>1246</v>
      </c>
      <c r="B376" s="597"/>
      <c r="C376" s="978"/>
      <c r="D376" s="978"/>
      <c r="E376" s="978"/>
      <c r="F376" s="978"/>
      <c r="G376" s="598"/>
      <c r="H376" s="598"/>
      <c r="I376" s="598"/>
      <c r="J376" s="598"/>
      <c r="K376" s="978"/>
      <c r="L376" s="598"/>
      <c r="M376" s="598"/>
      <c r="N376" s="598"/>
      <c r="O376" s="598"/>
      <c r="P376" s="978"/>
      <c r="Q376" s="598"/>
      <c r="R376" s="598"/>
      <c r="S376" s="598"/>
      <c r="T376" s="598"/>
      <c r="U376" s="978"/>
      <c r="V376" s="598"/>
      <c r="W376" s="598"/>
      <c r="X376" s="598"/>
      <c r="Y376" s="598"/>
      <c r="Z376" s="978"/>
      <c r="AA376" s="598"/>
      <c r="AB376" s="598"/>
      <c r="AC376" s="598"/>
      <c r="AD376" s="598"/>
      <c r="AE376" s="978"/>
      <c r="AF376" s="598"/>
      <c r="AG376" s="598"/>
      <c r="AH376" s="598"/>
      <c r="AI376" s="598"/>
      <c r="AJ376" s="978"/>
      <c r="AK376" s="598"/>
      <c r="AL376" s="598"/>
      <c r="AM376" s="598"/>
      <c r="AN376" s="598"/>
      <c r="AO376" s="979">
        <v>0.99</v>
      </c>
      <c r="AP376" s="598"/>
      <c r="AQ376" s="598"/>
      <c r="AR376" s="598"/>
      <c r="AS376" s="598"/>
      <c r="AT376" s="979">
        <v>0.61</v>
      </c>
      <c r="AU376" s="598"/>
      <c r="AV376" s="598"/>
      <c r="AW376" s="598"/>
      <c r="AX376" s="598"/>
      <c r="AY376" s="979">
        <v>9.7100000000000009</v>
      </c>
      <c r="AZ376" s="598"/>
      <c r="BA376" s="598"/>
      <c r="BB376" s="598"/>
      <c r="BC376" s="598"/>
      <c r="BD376" s="979">
        <v>29.44</v>
      </c>
      <c r="BE376" s="598"/>
      <c r="BF376" s="598"/>
      <c r="BG376" s="598"/>
      <c r="BH376" s="598"/>
      <c r="BI376" s="979">
        <v>10.34</v>
      </c>
      <c r="BJ376" s="598"/>
      <c r="BK376" s="598"/>
      <c r="BL376" s="598"/>
      <c r="BM376" s="598"/>
      <c r="BN376" s="979">
        <v>7.75</v>
      </c>
      <c r="BO376" s="598"/>
      <c r="BP376" s="598"/>
      <c r="BQ376" s="598"/>
      <c r="BR376" s="598"/>
      <c r="BS376" s="979">
        <v>8.2799999999999994</v>
      </c>
      <c r="BT376" s="709"/>
      <c r="BU376" s="598"/>
      <c r="BV376" s="598"/>
      <c r="BW376" s="598"/>
      <c r="BX376" s="978"/>
      <c r="BY376" s="598"/>
      <c r="BZ376" s="598"/>
      <c r="CA376" s="598"/>
      <c r="CB376" s="598"/>
      <c r="CC376" s="978"/>
      <c r="CD376" s="978"/>
      <c r="CE376" s="978"/>
      <c r="CF376" s="978"/>
      <c r="CG376" s="616"/>
    </row>
    <row r="377" spans="1:85" s="604" customFormat="1" ht="14.4" hidden="1" outlineLevel="1" x14ac:dyDescent="0.3">
      <c r="A377" s="599" t="s">
        <v>1145</v>
      </c>
      <c r="B377" s="600"/>
      <c r="C377" s="980"/>
      <c r="D377" s="980"/>
      <c r="E377" s="980"/>
      <c r="F377" s="980"/>
      <c r="G377" s="601"/>
      <c r="H377" s="601"/>
      <c r="I377" s="601"/>
      <c r="J377" s="601"/>
      <c r="K377" s="980"/>
      <c r="L377" s="601"/>
      <c r="M377" s="601"/>
      <c r="N377" s="601"/>
      <c r="O377" s="601"/>
      <c r="P377" s="980"/>
      <c r="Q377" s="601"/>
      <c r="R377" s="601"/>
      <c r="S377" s="601"/>
      <c r="T377" s="601"/>
      <c r="U377" s="980"/>
      <c r="V377" s="601"/>
      <c r="W377" s="601"/>
      <c r="X377" s="601"/>
      <c r="Y377" s="601"/>
      <c r="Z377" s="980"/>
      <c r="AA377" s="601"/>
      <c r="AB377" s="601"/>
      <c r="AC377" s="601"/>
      <c r="AD377" s="601"/>
      <c r="AE377" s="980"/>
      <c r="AF377" s="601"/>
      <c r="AG377" s="601"/>
      <c r="AH377" s="601"/>
      <c r="AI377" s="601"/>
      <c r="AJ377" s="980"/>
      <c r="AK377" s="601"/>
      <c r="AL377" s="601"/>
      <c r="AM377" s="601"/>
      <c r="AN377" s="601"/>
      <c r="AO377" s="981">
        <v>7.93</v>
      </c>
      <c r="AP377" s="601"/>
      <c r="AQ377" s="601"/>
      <c r="AR377" s="601"/>
      <c r="AS377" s="601"/>
      <c r="AT377" s="981">
        <v>3.91</v>
      </c>
      <c r="AU377" s="601"/>
      <c r="AV377" s="601"/>
      <c r="AW377" s="601"/>
      <c r="AX377" s="601"/>
      <c r="AY377" s="981">
        <v>1.25</v>
      </c>
      <c r="AZ377" s="601"/>
      <c r="BA377" s="601"/>
      <c r="BB377" s="601"/>
      <c r="BC377" s="601"/>
      <c r="BD377" s="981">
        <v>3.36</v>
      </c>
      <c r="BE377" s="601"/>
      <c r="BF377" s="601"/>
      <c r="BG377" s="601"/>
      <c r="BH377" s="601"/>
      <c r="BI377" s="981">
        <v>2.94</v>
      </c>
      <c r="BJ377" s="601"/>
      <c r="BK377" s="601"/>
      <c r="BL377" s="601"/>
      <c r="BM377" s="601"/>
      <c r="BN377" s="981">
        <v>2.89</v>
      </c>
      <c r="BO377" s="601"/>
      <c r="BP377" s="601"/>
      <c r="BQ377" s="601"/>
      <c r="BR377" s="601"/>
      <c r="BS377" s="981">
        <v>3.47</v>
      </c>
      <c r="BT377" s="710"/>
      <c r="BU377" s="601"/>
      <c r="BV377" s="601"/>
      <c r="BW377" s="601"/>
      <c r="BX377" s="980"/>
      <c r="BY377" s="601"/>
      <c r="BZ377" s="601"/>
      <c r="CA377" s="601"/>
      <c r="CB377" s="601"/>
      <c r="CC377" s="980"/>
      <c r="CD377" s="980"/>
      <c r="CE377" s="980"/>
      <c r="CF377" s="980"/>
      <c r="CG377" s="617"/>
    </row>
    <row r="378" spans="1:85" s="461" customFormat="1" ht="14.4" collapsed="1" x14ac:dyDescent="0.3">
      <c r="A378" s="166"/>
      <c r="B378" s="583"/>
      <c r="C378" s="957"/>
      <c r="D378" s="957"/>
      <c r="E378" s="957"/>
      <c r="F378" s="957"/>
      <c r="G378" s="120"/>
      <c r="H378" s="120"/>
      <c r="I378" s="120"/>
      <c r="J378" s="120"/>
      <c r="K378" s="957"/>
      <c r="L378" s="120"/>
      <c r="M378" s="120"/>
      <c r="N378" s="120"/>
      <c r="O378" s="120"/>
      <c r="P378" s="957"/>
      <c r="Q378" s="120"/>
      <c r="R378" s="120"/>
      <c r="S378" s="120"/>
      <c r="T378" s="120"/>
      <c r="U378" s="957"/>
      <c r="V378" s="120"/>
      <c r="W378" s="120"/>
      <c r="X378" s="120"/>
      <c r="Y378" s="120"/>
      <c r="Z378" s="957"/>
      <c r="AA378" s="120"/>
      <c r="AB378" s="120"/>
      <c r="AC378" s="120"/>
      <c r="AD378" s="120"/>
      <c r="AE378" s="957"/>
      <c r="AF378" s="120"/>
      <c r="AG378" s="120"/>
      <c r="AH378" s="120"/>
      <c r="AI378" s="120"/>
      <c r="AJ378" s="957"/>
      <c r="AK378" s="120"/>
      <c r="AL378" s="120"/>
      <c r="AM378" s="120"/>
      <c r="AN378" s="120"/>
      <c r="AO378" s="957"/>
      <c r="AP378" s="120"/>
      <c r="AQ378" s="120"/>
      <c r="AR378" s="120"/>
      <c r="AS378" s="120"/>
      <c r="AT378" s="957"/>
      <c r="AU378" s="120"/>
      <c r="AV378" s="120"/>
      <c r="AW378" s="120"/>
      <c r="AX378" s="120"/>
      <c r="AY378" s="957"/>
      <c r="AZ378" s="120"/>
      <c r="BA378" s="120"/>
      <c r="BB378" s="120"/>
      <c r="BC378" s="120"/>
      <c r="BD378" s="957"/>
      <c r="BE378" s="120"/>
      <c r="BF378" s="120"/>
      <c r="BG378" s="120"/>
      <c r="BH378" s="120"/>
      <c r="BI378" s="957"/>
      <c r="BJ378" s="120"/>
      <c r="BK378" s="120"/>
      <c r="BL378" s="120"/>
      <c r="BM378" s="120"/>
      <c r="BN378" s="957"/>
      <c r="BO378" s="120"/>
      <c r="BP378" s="120"/>
      <c r="BQ378" s="120"/>
      <c r="BR378" s="120"/>
      <c r="BS378" s="957"/>
      <c r="BT378" s="694"/>
      <c r="BU378" s="120"/>
      <c r="BV378" s="120"/>
      <c r="BW378" s="120"/>
      <c r="BX378" s="957"/>
      <c r="BY378" s="120"/>
      <c r="BZ378" s="120"/>
      <c r="CA378" s="120"/>
      <c r="CB378" s="120"/>
      <c r="CC378" s="957"/>
      <c r="CD378" s="957"/>
      <c r="CE378" s="957"/>
      <c r="CF378" s="957"/>
      <c r="CG378" s="615"/>
    </row>
    <row r="379" spans="1:85" s="462" customFormat="1" ht="14.4" x14ac:dyDescent="0.3">
      <c r="A379" s="732" t="s">
        <v>1139</v>
      </c>
      <c r="B379" s="732"/>
      <c r="C379" s="732"/>
      <c r="D379" s="732"/>
      <c r="E379" s="732"/>
      <c r="F379" s="732"/>
      <c r="G379" s="732"/>
      <c r="H379" s="732"/>
      <c r="I379" s="732"/>
      <c r="J379" s="732"/>
      <c r="K379" s="732"/>
      <c r="L379" s="732"/>
      <c r="M379" s="732"/>
      <c r="N379" s="732"/>
      <c r="O379" s="732"/>
      <c r="P379" s="732"/>
      <c r="Q379" s="732"/>
      <c r="R379" s="732"/>
      <c r="S379" s="732"/>
      <c r="T379" s="732"/>
      <c r="U379" s="732"/>
      <c r="V379" s="732"/>
      <c r="W379" s="732"/>
      <c r="X379" s="732"/>
      <c r="Y379" s="732"/>
      <c r="Z379" s="732"/>
      <c r="AA379" s="732"/>
      <c r="AB379" s="732"/>
      <c r="AC379" s="732"/>
      <c r="AD379" s="732"/>
      <c r="AE379" s="732"/>
      <c r="AF379" s="732"/>
      <c r="AG379" s="732"/>
      <c r="AH379" s="732"/>
      <c r="AI379" s="732"/>
      <c r="AJ379" s="732"/>
      <c r="AK379" s="732"/>
      <c r="AL379" s="732"/>
      <c r="AM379" s="732"/>
      <c r="AN379" s="732"/>
      <c r="AO379" s="732"/>
      <c r="AP379" s="732"/>
      <c r="AQ379" s="732"/>
      <c r="AR379" s="732"/>
      <c r="AS379" s="732"/>
      <c r="AT379" s="732"/>
      <c r="AU379" s="732"/>
      <c r="AV379" s="732"/>
      <c r="AW379" s="732"/>
      <c r="AX379" s="732"/>
      <c r="AY379" s="732"/>
      <c r="AZ379" s="732"/>
      <c r="BA379" s="732"/>
      <c r="BB379" s="732"/>
      <c r="BC379" s="732"/>
      <c r="BD379" s="732"/>
      <c r="BE379" s="732"/>
      <c r="BF379" s="732"/>
      <c r="BG379" s="732"/>
      <c r="BH379" s="732"/>
      <c r="BI379" s="732"/>
      <c r="BJ379" s="732"/>
      <c r="BK379" s="732"/>
      <c r="BL379" s="732"/>
      <c r="BM379" s="732"/>
      <c r="BN379" s="732"/>
      <c r="BO379" s="732"/>
      <c r="BP379" s="732"/>
      <c r="BQ379" s="732"/>
      <c r="BR379" s="732"/>
      <c r="BS379" s="732"/>
      <c r="BT379" s="733"/>
      <c r="BU379" s="732"/>
      <c r="BV379" s="732"/>
      <c r="BW379" s="732"/>
      <c r="BX379" s="732"/>
      <c r="BY379" s="732"/>
      <c r="BZ379" s="732"/>
      <c r="CA379" s="732"/>
      <c r="CB379" s="732"/>
      <c r="CC379" s="732"/>
      <c r="CD379" s="732"/>
      <c r="CE379" s="732"/>
      <c r="CF379" s="732"/>
      <c r="CG379" s="614"/>
    </row>
    <row r="380" spans="1:85" s="460" customFormat="1" ht="14.4" hidden="1" outlineLevel="1" x14ac:dyDescent="0.3">
      <c r="A380" s="159" t="s">
        <v>1146</v>
      </c>
      <c r="B380" s="586"/>
      <c r="C380" s="150"/>
      <c r="D380" s="150"/>
      <c r="E380" s="150"/>
      <c r="F380" s="150"/>
      <c r="G380" s="117"/>
      <c r="H380" s="117"/>
      <c r="I380" s="117"/>
      <c r="J380" s="117"/>
      <c r="K380" s="150"/>
      <c r="L380" s="117"/>
      <c r="M380" s="117"/>
      <c r="N380" s="117"/>
      <c r="O380" s="117"/>
      <c r="P380" s="150"/>
      <c r="Q380" s="117"/>
      <c r="R380" s="117"/>
      <c r="S380" s="117"/>
      <c r="T380" s="117"/>
      <c r="U380" s="150"/>
      <c r="V380" s="117"/>
      <c r="W380" s="117"/>
      <c r="X380" s="117"/>
      <c r="Y380" s="117"/>
      <c r="Z380" s="150"/>
      <c r="AA380" s="117"/>
      <c r="AB380" s="117"/>
      <c r="AC380" s="117"/>
      <c r="AD380" s="117"/>
      <c r="AE380" s="150"/>
      <c r="AF380" s="117"/>
      <c r="AG380" s="117"/>
      <c r="AH380" s="117"/>
      <c r="AI380" s="117"/>
      <c r="AJ380" s="150"/>
      <c r="AK380" s="117"/>
      <c r="AL380" s="117"/>
      <c r="AM380" s="117"/>
      <c r="AN380" s="117"/>
      <c r="AO380" s="975">
        <v>1121</v>
      </c>
      <c r="AP380" s="117"/>
      <c r="AQ380" s="117"/>
      <c r="AR380" s="117"/>
      <c r="AS380" s="117"/>
      <c r="AT380" s="975">
        <v>1157</v>
      </c>
      <c r="AU380" s="117"/>
      <c r="AV380" s="117"/>
      <c r="AW380" s="117"/>
      <c r="AX380" s="117"/>
      <c r="AY380" s="975">
        <v>1177</v>
      </c>
      <c r="AZ380" s="117"/>
      <c r="BA380" s="117"/>
      <c r="BB380" s="117"/>
      <c r="BC380" s="117"/>
      <c r="BD380" s="975">
        <v>1198</v>
      </c>
      <c r="BE380" s="117"/>
      <c r="BF380" s="117"/>
      <c r="BG380" s="117"/>
      <c r="BH380" s="117"/>
      <c r="BI380" s="975">
        <v>1221</v>
      </c>
      <c r="BJ380" s="117"/>
      <c r="BK380" s="117"/>
      <c r="BL380" s="117"/>
      <c r="BM380" s="117"/>
      <c r="BN380" s="975">
        <v>1207</v>
      </c>
      <c r="BO380" s="117"/>
      <c r="BP380" s="117"/>
      <c r="BQ380" s="117"/>
      <c r="BR380" s="117"/>
      <c r="BS380" s="975">
        <v>1502</v>
      </c>
      <c r="BT380" s="691"/>
      <c r="BU380" s="117"/>
      <c r="BV380" s="117"/>
      <c r="BW380" s="117"/>
      <c r="BX380" s="150"/>
      <c r="BY380" s="117"/>
      <c r="BZ380" s="117"/>
      <c r="CA380" s="117"/>
      <c r="CB380" s="117"/>
      <c r="CC380" s="150"/>
      <c r="CD380" s="150"/>
      <c r="CE380" s="150"/>
      <c r="CF380" s="150"/>
      <c r="CG380" s="587"/>
    </row>
    <row r="381" spans="1:85" s="460" customFormat="1" ht="14.4" hidden="1" outlineLevel="1" x14ac:dyDescent="0.3">
      <c r="A381" s="159" t="s">
        <v>1147</v>
      </c>
      <c r="B381" s="586"/>
      <c r="C381" s="150"/>
      <c r="D381" s="150"/>
      <c r="E381" s="150"/>
      <c r="F381" s="150"/>
      <c r="G381" s="117"/>
      <c r="H381" s="117"/>
      <c r="I381" s="117"/>
      <c r="J381" s="117"/>
      <c r="K381" s="150"/>
      <c r="L381" s="117"/>
      <c r="M381" s="117"/>
      <c r="N381" s="117"/>
      <c r="O381" s="117"/>
      <c r="P381" s="150"/>
      <c r="Q381" s="117"/>
      <c r="R381" s="117"/>
      <c r="S381" s="117"/>
      <c r="T381" s="117"/>
      <c r="U381" s="150"/>
      <c r="V381" s="117"/>
      <c r="W381" s="117"/>
      <c r="X381" s="117"/>
      <c r="Y381" s="117"/>
      <c r="Z381" s="150"/>
      <c r="AA381" s="117"/>
      <c r="AB381" s="117"/>
      <c r="AC381" s="117"/>
      <c r="AD381" s="117"/>
      <c r="AE381" s="150"/>
      <c r="AF381" s="117"/>
      <c r="AG381" s="117"/>
      <c r="AH381" s="117"/>
      <c r="AI381" s="117"/>
      <c r="AJ381" s="150"/>
      <c r="AK381" s="117"/>
      <c r="AL381" s="117"/>
      <c r="AM381" s="117"/>
      <c r="AN381" s="117"/>
      <c r="AO381" s="975">
        <v>174</v>
      </c>
      <c r="AP381" s="117"/>
      <c r="AQ381" s="117"/>
      <c r="AR381" s="117"/>
      <c r="AS381" s="117"/>
      <c r="AT381" s="975">
        <v>168</v>
      </c>
      <c r="AU381" s="117"/>
      <c r="AV381" s="117"/>
      <c r="AW381" s="117"/>
      <c r="AX381" s="117"/>
      <c r="AY381" s="975">
        <v>181</v>
      </c>
      <c r="AZ381" s="117"/>
      <c r="BA381" s="117"/>
      <c r="BB381" s="117"/>
      <c r="BC381" s="117"/>
      <c r="BD381" s="975">
        <v>174</v>
      </c>
      <c r="BE381" s="117"/>
      <c r="BF381" s="117"/>
      <c r="BG381" s="117"/>
      <c r="BH381" s="117"/>
      <c r="BI381" s="975">
        <v>195</v>
      </c>
      <c r="BJ381" s="117"/>
      <c r="BK381" s="117"/>
      <c r="BL381" s="117"/>
      <c r="BM381" s="117"/>
      <c r="BN381" s="975">
        <v>181</v>
      </c>
      <c r="BO381" s="117"/>
      <c r="BP381" s="117"/>
      <c r="BQ381" s="117"/>
      <c r="BR381" s="117"/>
      <c r="BS381" s="975">
        <v>430</v>
      </c>
      <c r="BT381" s="691"/>
      <c r="BU381" s="117"/>
      <c r="BV381" s="117"/>
      <c r="BW381" s="117"/>
      <c r="BX381" s="150"/>
      <c r="BY381" s="117"/>
      <c r="BZ381" s="117"/>
      <c r="CA381" s="117"/>
      <c r="CB381" s="117"/>
      <c r="CC381" s="150"/>
      <c r="CD381" s="150"/>
      <c r="CE381" s="150"/>
      <c r="CF381" s="150"/>
      <c r="CG381" s="587"/>
    </row>
    <row r="382" spans="1:85" s="460" customFormat="1" ht="14.4" hidden="1" outlineLevel="1" x14ac:dyDescent="0.3">
      <c r="A382" s="159" t="s">
        <v>1148</v>
      </c>
      <c r="B382" s="586"/>
      <c r="C382" s="150"/>
      <c r="D382" s="150"/>
      <c r="E382" s="150"/>
      <c r="F382" s="150"/>
      <c r="G382" s="117"/>
      <c r="H382" s="117"/>
      <c r="I382" s="117"/>
      <c r="J382" s="117"/>
      <c r="K382" s="150"/>
      <c r="L382" s="117"/>
      <c r="M382" s="117"/>
      <c r="N382" s="117"/>
      <c r="O382" s="117"/>
      <c r="P382" s="150"/>
      <c r="Q382" s="117"/>
      <c r="R382" s="117"/>
      <c r="S382" s="117"/>
      <c r="T382" s="117"/>
      <c r="U382" s="150"/>
      <c r="V382" s="117"/>
      <c r="W382" s="117"/>
      <c r="X382" s="117"/>
      <c r="Y382" s="117"/>
      <c r="Z382" s="150"/>
      <c r="AA382" s="117"/>
      <c r="AB382" s="117"/>
      <c r="AC382" s="117"/>
      <c r="AD382" s="117"/>
      <c r="AE382" s="150"/>
      <c r="AF382" s="117"/>
      <c r="AG382" s="117"/>
      <c r="AH382" s="117"/>
      <c r="AI382" s="117"/>
      <c r="AJ382" s="150"/>
      <c r="AK382" s="117"/>
      <c r="AL382" s="117"/>
      <c r="AM382" s="117"/>
      <c r="AN382" s="117"/>
      <c r="AO382" s="975">
        <v>525</v>
      </c>
      <c r="AP382" s="117"/>
      <c r="AQ382" s="117"/>
      <c r="AR382" s="117"/>
      <c r="AS382" s="117"/>
      <c r="AT382" s="975">
        <v>497</v>
      </c>
      <c r="AU382" s="117"/>
      <c r="AV382" s="117"/>
      <c r="AW382" s="117"/>
      <c r="AX382" s="117"/>
      <c r="AY382" s="975">
        <v>428</v>
      </c>
      <c r="AZ382" s="117"/>
      <c r="BA382" s="117"/>
      <c r="BB382" s="117"/>
      <c r="BC382" s="117"/>
      <c r="BD382" s="975">
        <v>392</v>
      </c>
      <c r="BE382" s="117"/>
      <c r="BF382" s="117"/>
      <c r="BG382" s="117"/>
      <c r="BH382" s="117"/>
      <c r="BI382" s="975">
        <v>367</v>
      </c>
      <c r="BJ382" s="117"/>
      <c r="BK382" s="117"/>
      <c r="BL382" s="117"/>
      <c r="BM382" s="117"/>
      <c r="BN382" s="975">
        <v>392</v>
      </c>
      <c r="BO382" s="117"/>
      <c r="BP382" s="117"/>
      <c r="BQ382" s="117"/>
      <c r="BR382" s="117"/>
      <c r="BS382" s="975">
        <v>325</v>
      </c>
      <c r="BT382" s="691"/>
      <c r="BU382" s="117"/>
      <c r="BV382" s="117"/>
      <c r="BW382" s="117"/>
      <c r="BX382" s="150"/>
      <c r="BY382" s="117"/>
      <c r="BZ382" s="117"/>
      <c r="CA382" s="117"/>
      <c r="CB382" s="117"/>
      <c r="CC382" s="150"/>
      <c r="CD382" s="150"/>
      <c r="CE382" s="150"/>
      <c r="CF382" s="150"/>
      <c r="CG382" s="587"/>
    </row>
    <row r="383" spans="1:85" s="460" customFormat="1" ht="14.4" hidden="1" outlineLevel="1" x14ac:dyDescent="0.3">
      <c r="A383" s="159" t="s">
        <v>1149</v>
      </c>
      <c r="B383" s="586"/>
      <c r="C383" s="150"/>
      <c r="D383" s="150"/>
      <c r="E383" s="150"/>
      <c r="F383" s="150"/>
      <c r="G383" s="117"/>
      <c r="H383" s="117"/>
      <c r="I383" s="117"/>
      <c r="J383" s="117"/>
      <c r="K383" s="150"/>
      <c r="L383" s="117"/>
      <c r="M383" s="117"/>
      <c r="N383" s="117"/>
      <c r="O383" s="117"/>
      <c r="P383" s="150"/>
      <c r="Q383" s="117"/>
      <c r="R383" s="117"/>
      <c r="S383" s="117"/>
      <c r="T383" s="117"/>
      <c r="U383" s="150"/>
      <c r="V383" s="117"/>
      <c r="W383" s="117"/>
      <c r="X383" s="117"/>
      <c r="Y383" s="117"/>
      <c r="Z383" s="150"/>
      <c r="AA383" s="117"/>
      <c r="AB383" s="117"/>
      <c r="AC383" s="117"/>
      <c r="AD383" s="117"/>
      <c r="AE383" s="150"/>
      <c r="AF383" s="117"/>
      <c r="AG383" s="117"/>
      <c r="AH383" s="117"/>
      <c r="AI383" s="117"/>
      <c r="AJ383" s="150"/>
      <c r="AK383" s="117"/>
      <c r="AL383" s="117"/>
      <c r="AM383" s="117"/>
      <c r="AN383" s="117"/>
      <c r="AO383" s="975">
        <v>406</v>
      </c>
      <c r="AP383" s="117"/>
      <c r="AQ383" s="117"/>
      <c r="AR383" s="117"/>
      <c r="AS383" s="117"/>
      <c r="AT383" s="975">
        <v>358</v>
      </c>
      <c r="AU383" s="117"/>
      <c r="AV383" s="117"/>
      <c r="AW383" s="117"/>
      <c r="AX383" s="117"/>
      <c r="AY383" s="975">
        <v>270</v>
      </c>
      <c r="AZ383" s="117"/>
      <c r="BA383" s="117"/>
      <c r="BB383" s="117"/>
      <c r="BC383" s="117"/>
      <c r="BD383" s="975">
        <v>235</v>
      </c>
      <c r="BE383" s="117"/>
      <c r="BF383" s="117"/>
      <c r="BG383" s="117"/>
      <c r="BH383" s="117"/>
      <c r="BI383" s="975">
        <v>240</v>
      </c>
      <c r="BJ383" s="117"/>
      <c r="BK383" s="117"/>
      <c r="BL383" s="117"/>
      <c r="BM383" s="117"/>
      <c r="BN383" s="975">
        <v>246</v>
      </c>
      <c r="BO383" s="117"/>
      <c r="BP383" s="117"/>
      <c r="BQ383" s="117"/>
      <c r="BR383" s="117"/>
      <c r="BS383" s="975">
        <v>263</v>
      </c>
      <c r="BT383" s="691"/>
      <c r="BU383" s="117"/>
      <c r="BV383" s="117"/>
      <c r="BW383" s="117"/>
      <c r="BX383" s="150"/>
      <c r="BY383" s="117"/>
      <c r="BZ383" s="117"/>
      <c r="CA383" s="117"/>
      <c r="CB383" s="117"/>
      <c r="CC383" s="150"/>
      <c r="CD383" s="150"/>
      <c r="CE383" s="150"/>
      <c r="CF383" s="150"/>
      <c r="CG383" s="587"/>
    </row>
    <row r="384" spans="1:85" s="460" customFormat="1" ht="14.4" hidden="1" outlineLevel="1" x14ac:dyDescent="0.3">
      <c r="A384" s="159" t="s">
        <v>1150</v>
      </c>
      <c r="B384" s="586"/>
      <c r="C384" s="150"/>
      <c r="D384" s="150"/>
      <c r="E384" s="150"/>
      <c r="F384" s="150"/>
      <c r="G384" s="117"/>
      <c r="H384" s="117"/>
      <c r="I384" s="117"/>
      <c r="J384" s="117"/>
      <c r="K384" s="150"/>
      <c r="L384" s="117"/>
      <c r="M384" s="117"/>
      <c r="N384" s="117"/>
      <c r="O384" s="117"/>
      <c r="P384" s="150"/>
      <c r="Q384" s="117"/>
      <c r="R384" s="117"/>
      <c r="S384" s="117"/>
      <c r="T384" s="117"/>
      <c r="U384" s="150"/>
      <c r="V384" s="117"/>
      <c r="W384" s="117"/>
      <c r="X384" s="117"/>
      <c r="Y384" s="117"/>
      <c r="Z384" s="150"/>
      <c r="AA384" s="117"/>
      <c r="AB384" s="117"/>
      <c r="AC384" s="117"/>
      <c r="AD384" s="117"/>
      <c r="AE384" s="150"/>
      <c r="AF384" s="117"/>
      <c r="AG384" s="117"/>
      <c r="AH384" s="117"/>
      <c r="AI384" s="117"/>
      <c r="AJ384" s="150"/>
      <c r="AK384" s="117"/>
      <c r="AL384" s="117"/>
      <c r="AM384" s="117"/>
      <c r="AN384" s="117"/>
      <c r="AO384" s="975">
        <v>136</v>
      </c>
      <c r="AP384" s="117"/>
      <c r="AQ384" s="117"/>
      <c r="AR384" s="117"/>
      <c r="AS384" s="117"/>
      <c r="AT384" s="975">
        <v>115</v>
      </c>
      <c r="AU384" s="117"/>
      <c r="AV384" s="117"/>
      <c r="AW384" s="117"/>
      <c r="AX384" s="117"/>
      <c r="AY384" s="975">
        <v>102</v>
      </c>
      <c r="AZ384" s="117"/>
      <c r="BA384" s="117"/>
      <c r="BB384" s="117"/>
      <c r="BC384" s="117"/>
      <c r="BD384" s="975">
        <v>99</v>
      </c>
      <c r="BE384" s="117"/>
      <c r="BF384" s="117"/>
      <c r="BG384" s="117"/>
      <c r="BH384" s="117"/>
      <c r="BI384" s="975">
        <v>85</v>
      </c>
      <c r="BJ384" s="117"/>
      <c r="BK384" s="117"/>
      <c r="BL384" s="117"/>
      <c r="BM384" s="117"/>
      <c r="BN384" s="975">
        <v>72</v>
      </c>
      <c r="BO384" s="117"/>
      <c r="BP384" s="117"/>
      <c r="BQ384" s="117"/>
      <c r="BR384" s="117"/>
      <c r="BS384" s="975">
        <v>66</v>
      </c>
      <c r="BT384" s="691"/>
      <c r="BU384" s="117"/>
      <c r="BV384" s="117"/>
      <c r="BW384" s="117"/>
      <c r="BX384" s="150"/>
      <c r="BY384" s="117"/>
      <c r="BZ384" s="117"/>
      <c r="CA384" s="117"/>
      <c r="CB384" s="117"/>
      <c r="CC384" s="150"/>
      <c r="CD384" s="150"/>
      <c r="CE384" s="150"/>
      <c r="CF384" s="150"/>
      <c r="CG384" s="587"/>
    </row>
    <row r="385" spans="1:85" s="460" customFormat="1" ht="14.4" hidden="1" outlineLevel="1" x14ac:dyDescent="0.3">
      <c r="A385" s="262" t="s">
        <v>1151</v>
      </c>
      <c r="B385" s="588"/>
      <c r="C385" s="954"/>
      <c r="D385" s="954"/>
      <c r="E385" s="954"/>
      <c r="F385" s="954"/>
      <c r="G385" s="133"/>
      <c r="H385" s="133"/>
      <c r="I385" s="133"/>
      <c r="J385" s="133"/>
      <c r="K385" s="954"/>
      <c r="L385" s="133"/>
      <c r="M385" s="133"/>
      <c r="N385" s="133"/>
      <c r="O385" s="133"/>
      <c r="P385" s="954"/>
      <c r="Q385" s="133"/>
      <c r="R385" s="133"/>
      <c r="S385" s="133"/>
      <c r="T385" s="133"/>
      <c r="U385" s="954"/>
      <c r="V385" s="133"/>
      <c r="W385" s="133"/>
      <c r="X385" s="133"/>
      <c r="Y385" s="133"/>
      <c r="Z385" s="954"/>
      <c r="AA385" s="133"/>
      <c r="AB385" s="133"/>
      <c r="AC385" s="133"/>
      <c r="AD385" s="133"/>
      <c r="AE385" s="954"/>
      <c r="AF385" s="133"/>
      <c r="AG385" s="133"/>
      <c r="AH385" s="133"/>
      <c r="AI385" s="133"/>
      <c r="AJ385" s="954"/>
      <c r="AK385" s="133"/>
      <c r="AL385" s="133"/>
      <c r="AM385" s="133"/>
      <c r="AN385" s="133"/>
      <c r="AO385" s="976">
        <v>21</v>
      </c>
      <c r="AP385" s="133"/>
      <c r="AQ385" s="133"/>
      <c r="AR385" s="133"/>
      <c r="AS385" s="133"/>
      <c r="AT385" s="976">
        <v>23</v>
      </c>
      <c r="AU385" s="133"/>
      <c r="AV385" s="133"/>
      <c r="AW385" s="133"/>
      <c r="AX385" s="133"/>
      <c r="AY385" s="976">
        <v>24</v>
      </c>
      <c r="AZ385" s="133"/>
      <c r="BA385" s="133"/>
      <c r="BB385" s="133"/>
      <c r="BC385" s="133"/>
      <c r="BD385" s="976">
        <v>26</v>
      </c>
      <c r="BE385" s="133"/>
      <c r="BF385" s="133"/>
      <c r="BG385" s="133"/>
      <c r="BH385" s="133"/>
      <c r="BI385" s="976">
        <v>25</v>
      </c>
      <c r="BJ385" s="133"/>
      <c r="BK385" s="133"/>
      <c r="BL385" s="133"/>
      <c r="BM385" s="133"/>
      <c r="BN385" s="976">
        <v>23</v>
      </c>
      <c r="BO385" s="133"/>
      <c r="BP385" s="133"/>
      <c r="BQ385" s="133"/>
      <c r="BR385" s="133"/>
      <c r="BS385" s="976">
        <v>19</v>
      </c>
      <c r="BT385" s="692"/>
      <c r="BU385" s="133"/>
      <c r="BV385" s="133"/>
      <c r="BW385" s="133"/>
      <c r="BX385" s="954"/>
      <c r="BY385" s="133"/>
      <c r="BZ385" s="133"/>
      <c r="CA385" s="133"/>
      <c r="CB385" s="133"/>
      <c r="CC385" s="954"/>
      <c r="CD385" s="954"/>
      <c r="CE385" s="954"/>
      <c r="CF385" s="954"/>
      <c r="CG385" s="587"/>
    </row>
    <row r="386" spans="1:85" s="461" customFormat="1" ht="14.4" hidden="1" outlineLevel="1" x14ac:dyDescent="0.3">
      <c r="A386" s="166" t="s">
        <v>1162</v>
      </c>
      <c r="B386" s="583"/>
      <c r="C386" s="957"/>
      <c r="D386" s="957"/>
      <c r="E386" s="957"/>
      <c r="F386" s="957"/>
      <c r="G386" s="120"/>
      <c r="H386" s="120"/>
      <c r="I386" s="120"/>
      <c r="J386" s="120"/>
      <c r="K386" s="957"/>
      <c r="L386" s="120"/>
      <c r="M386" s="120"/>
      <c r="N386" s="120"/>
      <c r="O386" s="120"/>
      <c r="P386" s="957"/>
      <c r="Q386" s="120"/>
      <c r="R386" s="120"/>
      <c r="S386" s="120"/>
      <c r="T386" s="120"/>
      <c r="U386" s="957"/>
      <c r="V386" s="120"/>
      <c r="W386" s="120"/>
      <c r="X386" s="120"/>
      <c r="Y386" s="120"/>
      <c r="Z386" s="957"/>
      <c r="AA386" s="120"/>
      <c r="AB386" s="120"/>
      <c r="AC386" s="120"/>
      <c r="AD386" s="120"/>
      <c r="AE386" s="957"/>
      <c r="AF386" s="120"/>
      <c r="AG386" s="120"/>
      <c r="AH386" s="120"/>
      <c r="AI386" s="120"/>
      <c r="AJ386" s="957"/>
      <c r="AK386" s="120"/>
      <c r="AL386" s="120"/>
      <c r="AM386" s="120"/>
      <c r="AN386" s="120"/>
      <c r="AO386" s="957">
        <f>SUM(AO380:AO385)</f>
        <v>2383</v>
      </c>
      <c r="AP386" s="120"/>
      <c r="AQ386" s="120"/>
      <c r="AR386" s="120"/>
      <c r="AS386" s="120"/>
      <c r="AT386" s="957">
        <f>SUM(AT380:AT385)</f>
        <v>2318</v>
      </c>
      <c r="AU386" s="120"/>
      <c r="AV386" s="120"/>
      <c r="AW386" s="120"/>
      <c r="AX386" s="120"/>
      <c r="AY386" s="957">
        <f>SUM(AY380:AY385)</f>
        <v>2182</v>
      </c>
      <c r="AZ386" s="120"/>
      <c r="BA386" s="120"/>
      <c r="BB386" s="120"/>
      <c r="BC386" s="120"/>
      <c r="BD386" s="957">
        <f>SUM(BD380:BD385)</f>
        <v>2124</v>
      </c>
      <c r="BE386" s="120"/>
      <c r="BF386" s="120"/>
      <c r="BG386" s="120"/>
      <c r="BH386" s="120"/>
      <c r="BI386" s="957">
        <f>SUM(BI380:BI385)</f>
        <v>2133</v>
      </c>
      <c r="BJ386" s="120"/>
      <c r="BK386" s="120"/>
      <c r="BL386" s="120"/>
      <c r="BM386" s="120"/>
      <c r="BN386" s="957">
        <f>SUM(BN380:BN385)</f>
        <v>2121</v>
      </c>
      <c r="BO386" s="120"/>
      <c r="BP386" s="120"/>
      <c r="BQ386" s="120"/>
      <c r="BR386" s="120"/>
      <c r="BS386" s="957">
        <f>SUM(BS380:BS385)</f>
        <v>2605</v>
      </c>
      <c r="BT386" s="694"/>
      <c r="BU386" s="120"/>
      <c r="BV386" s="120"/>
      <c r="BW386" s="120"/>
      <c r="BX386" s="957"/>
      <c r="BY386" s="120"/>
      <c r="BZ386" s="120"/>
      <c r="CA386" s="120"/>
      <c r="CB386" s="120"/>
      <c r="CC386" s="957"/>
      <c r="CD386" s="957"/>
      <c r="CE386" s="957"/>
      <c r="CF386" s="957"/>
      <c r="CG386" s="615"/>
    </row>
    <row r="387" spans="1:85" s="460" customFormat="1" ht="14.4" hidden="1" outlineLevel="1" x14ac:dyDescent="0.3">
      <c r="A387" s="159" t="s">
        <v>1152</v>
      </c>
      <c r="B387" s="586"/>
      <c r="C387" s="150"/>
      <c r="D387" s="150"/>
      <c r="E387" s="150"/>
      <c r="F387" s="150"/>
      <c r="G387" s="117"/>
      <c r="H387" s="117"/>
      <c r="I387" s="117"/>
      <c r="J387" s="117"/>
      <c r="K387" s="150"/>
      <c r="L387" s="117"/>
      <c r="M387" s="117"/>
      <c r="N387" s="117"/>
      <c r="O387" s="117"/>
      <c r="P387" s="150"/>
      <c r="Q387" s="117"/>
      <c r="R387" s="117"/>
      <c r="S387" s="117"/>
      <c r="T387" s="117"/>
      <c r="U387" s="150"/>
      <c r="V387" s="117"/>
      <c r="W387" s="117"/>
      <c r="X387" s="117"/>
      <c r="Y387" s="117"/>
      <c r="Z387" s="150"/>
      <c r="AA387" s="117"/>
      <c r="AB387" s="117"/>
      <c r="AC387" s="117"/>
      <c r="AD387" s="117"/>
      <c r="AE387" s="150"/>
      <c r="AF387" s="117"/>
      <c r="AG387" s="117"/>
      <c r="AH387" s="117"/>
      <c r="AI387" s="117"/>
      <c r="AJ387" s="150"/>
      <c r="AK387" s="117"/>
      <c r="AL387" s="117"/>
      <c r="AM387" s="117"/>
      <c r="AN387" s="117"/>
      <c r="AO387" s="975">
        <v>584</v>
      </c>
      <c r="AP387" s="117"/>
      <c r="AQ387" s="117"/>
      <c r="AR387" s="117"/>
      <c r="AS387" s="117"/>
      <c r="AT387" s="975">
        <v>565</v>
      </c>
      <c r="AU387" s="117"/>
      <c r="AV387" s="117"/>
      <c r="AW387" s="117"/>
      <c r="AX387" s="117"/>
      <c r="AY387" s="975">
        <v>555</v>
      </c>
      <c r="AZ387" s="117"/>
      <c r="BA387" s="117"/>
      <c r="BB387" s="117"/>
      <c r="BC387" s="117"/>
      <c r="BD387" s="975">
        <v>515</v>
      </c>
      <c r="BE387" s="117"/>
      <c r="BF387" s="117"/>
      <c r="BG387" s="117"/>
      <c r="BH387" s="117"/>
      <c r="BI387" s="975">
        <v>478</v>
      </c>
      <c r="BJ387" s="117"/>
      <c r="BK387" s="117"/>
      <c r="BL387" s="117"/>
      <c r="BM387" s="117"/>
      <c r="BN387" s="975">
        <v>663</v>
      </c>
      <c r="BO387" s="117"/>
      <c r="BP387" s="117"/>
      <c r="BQ387" s="117"/>
      <c r="BR387" s="117"/>
      <c r="BS387" s="975">
        <v>714</v>
      </c>
      <c r="BT387" s="691"/>
      <c r="BU387" s="117"/>
      <c r="BV387" s="117"/>
      <c r="BW387" s="117"/>
      <c r="BX387" s="150"/>
      <c r="BY387" s="117"/>
      <c r="BZ387" s="117"/>
      <c r="CA387" s="117"/>
      <c r="CB387" s="117"/>
      <c r="CC387" s="150"/>
      <c r="CD387" s="150"/>
      <c r="CE387" s="150"/>
      <c r="CF387" s="150"/>
      <c r="CG387" s="587"/>
    </row>
    <row r="388" spans="1:85" s="460" customFormat="1" ht="14.4" hidden="1" outlineLevel="1" x14ac:dyDescent="0.3">
      <c r="A388" s="262" t="s">
        <v>1153</v>
      </c>
      <c r="B388" s="588"/>
      <c r="C388" s="954"/>
      <c r="D388" s="954"/>
      <c r="E388" s="954"/>
      <c r="F388" s="954"/>
      <c r="G388" s="133"/>
      <c r="H388" s="133"/>
      <c r="I388" s="133"/>
      <c r="J388" s="133"/>
      <c r="K388" s="954"/>
      <c r="L388" s="133"/>
      <c r="M388" s="133"/>
      <c r="N388" s="133"/>
      <c r="O388" s="133"/>
      <c r="P388" s="954"/>
      <c r="Q388" s="133"/>
      <c r="R388" s="133"/>
      <c r="S388" s="133"/>
      <c r="T388" s="133"/>
      <c r="U388" s="954"/>
      <c r="V388" s="133"/>
      <c r="W388" s="133"/>
      <c r="X388" s="133"/>
      <c r="Y388" s="133"/>
      <c r="Z388" s="954"/>
      <c r="AA388" s="133"/>
      <c r="AB388" s="133"/>
      <c r="AC388" s="133"/>
      <c r="AD388" s="133"/>
      <c r="AE388" s="954"/>
      <c r="AF388" s="133"/>
      <c r="AG388" s="133"/>
      <c r="AH388" s="133"/>
      <c r="AI388" s="133"/>
      <c r="AJ388" s="954"/>
      <c r="AK388" s="133"/>
      <c r="AL388" s="133"/>
      <c r="AM388" s="133"/>
      <c r="AN388" s="133"/>
      <c r="AO388" s="976">
        <v>114</v>
      </c>
      <c r="AP388" s="133"/>
      <c r="AQ388" s="133"/>
      <c r="AR388" s="133"/>
      <c r="AS388" s="133"/>
      <c r="AT388" s="976">
        <v>2</v>
      </c>
      <c r="AU388" s="133"/>
      <c r="AV388" s="133"/>
      <c r="AW388" s="133"/>
      <c r="AX388" s="133"/>
      <c r="AY388" s="976">
        <v>3</v>
      </c>
      <c r="AZ388" s="133"/>
      <c r="BA388" s="133"/>
      <c r="BB388" s="133"/>
      <c r="BC388" s="133"/>
      <c r="BD388" s="976">
        <v>3</v>
      </c>
      <c r="BE388" s="133"/>
      <c r="BF388" s="133"/>
      <c r="BG388" s="133"/>
      <c r="BH388" s="133"/>
      <c r="BI388" s="976">
        <v>3</v>
      </c>
      <c r="BJ388" s="133"/>
      <c r="BK388" s="133"/>
      <c r="BL388" s="133"/>
      <c r="BM388" s="133"/>
      <c r="BN388" s="976">
        <v>2</v>
      </c>
      <c r="BO388" s="133"/>
      <c r="BP388" s="133"/>
      <c r="BQ388" s="133"/>
      <c r="BR388" s="133"/>
      <c r="BS388" s="976">
        <v>2</v>
      </c>
      <c r="BT388" s="692"/>
      <c r="BU388" s="133"/>
      <c r="BV388" s="133"/>
      <c r="BW388" s="133"/>
      <c r="BX388" s="954"/>
      <c r="BY388" s="133"/>
      <c r="BZ388" s="133"/>
      <c r="CA388" s="133"/>
      <c r="CB388" s="133"/>
      <c r="CC388" s="954"/>
      <c r="CD388" s="954"/>
      <c r="CE388" s="954"/>
      <c r="CF388" s="954"/>
      <c r="CG388" s="587"/>
    </row>
    <row r="389" spans="1:85" s="461" customFormat="1" ht="14.4" hidden="1" outlineLevel="1" x14ac:dyDescent="0.3">
      <c r="A389" s="602" t="s">
        <v>1163</v>
      </c>
      <c r="B389" s="594"/>
      <c r="C389" s="982"/>
      <c r="D389" s="982"/>
      <c r="E389" s="982"/>
      <c r="F389" s="982"/>
      <c r="G389" s="595"/>
      <c r="H389" s="595"/>
      <c r="I389" s="595"/>
      <c r="J389" s="595"/>
      <c r="K389" s="982"/>
      <c r="L389" s="595"/>
      <c r="M389" s="595"/>
      <c r="N389" s="595"/>
      <c r="O389" s="595"/>
      <c r="P389" s="982"/>
      <c r="Q389" s="595"/>
      <c r="R389" s="595"/>
      <c r="S389" s="595"/>
      <c r="T389" s="595"/>
      <c r="U389" s="982"/>
      <c r="V389" s="595"/>
      <c r="W389" s="595"/>
      <c r="X389" s="595"/>
      <c r="Y389" s="595"/>
      <c r="Z389" s="982"/>
      <c r="AA389" s="595"/>
      <c r="AB389" s="595"/>
      <c r="AC389" s="595"/>
      <c r="AD389" s="595"/>
      <c r="AE389" s="982"/>
      <c r="AF389" s="595"/>
      <c r="AG389" s="595"/>
      <c r="AH389" s="595"/>
      <c r="AI389" s="595"/>
      <c r="AJ389" s="982"/>
      <c r="AK389" s="595"/>
      <c r="AL389" s="595"/>
      <c r="AM389" s="595"/>
      <c r="AN389" s="595"/>
      <c r="AO389" s="982">
        <f>SUM(AO387:AO388)</f>
        <v>698</v>
      </c>
      <c r="AP389" s="595"/>
      <c r="AQ389" s="595"/>
      <c r="AR389" s="595"/>
      <c r="AS389" s="595"/>
      <c r="AT389" s="982">
        <f>SUM(AT387:AT388)</f>
        <v>567</v>
      </c>
      <c r="AU389" s="595"/>
      <c r="AV389" s="595"/>
      <c r="AW389" s="595"/>
      <c r="AX389" s="595"/>
      <c r="AY389" s="982">
        <f>SUM(AY387:AY388)</f>
        <v>558</v>
      </c>
      <c r="AZ389" s="595"/>
      <c r="BA389" s="595"/>
      <c r="BB389" s="595"/>
      <c r="BC389" s="595"/>
      <c r="BD389" s="982">
        <f>SUM(BD387:BD388)</f>
        <v>518</v>
      </c>
      <c r="BE389" s="595"/>
      <c r="BF389" s="595"/>
      <c r="BG389" s="595"/>
      <c r="BH389" s="595"/>
      <c r="BI389" s="982">
        <f>SUM(BI387:BI388)</f>
        <v>481</v>
      </c>
      <c r="BJ389" s="595"/>
      <c r="BK389" s="595"/>
      <c r="BL389" s="595"/>
      <c r="BM389" s="595"/>
      <c r="BN389" s="982">
        <f>SUM(BN387:BN388)</f>
        <v>665</v>
      </c>
      <c r="BO389" s="595"/>
      <c r="BP389" s="595"/>
      <c r="BQ389" s="595"/>
      <c r="BR389" s="595"/>
      <c r="BS389" s="982">
        <f>SUM(BS387:BS388)</f>
        <v>716</v>
      </c>
      <c r="BT389" s="711"/>
      <c r="BU389" s="595"/>
      <c r="BV389" s="595"/>
      <c r="BW389" s="595"/>
      <c r="BX389" s="982"/>
      <c r="BY389" s="595"/>
      <c r="BZ389" s="595"/>
      <c r="CA389" s="595"/>
      <c r="CB389" s="595"/>
      <c r="CC389" s="982"/>
      <c r="CD389" s="982"/>
      <c r="CE389" s="982"/>
      <c r="CF389" s="982"/>
      <c r="CG389" s="615"/>
    </row>
    <row r="390" spans="1:85" s="461" customFormat="1" ht="14.4" hidden="1" outlineLevel="1" x14ac:dyDescent="0.3">
      <c r="A390" s="166" t="s">
        <v>1164</v>
      </c>
      <c r="B390" s="583"/>
      <c r="C390" s="957"/>
      <c r="D390" s="957"/>
      <c r="E390" s="957"/>
      <c r="F390" s="957"/>
      <c r="G390" s="120"/>
      <c r="H390" s="120"/>
      <c r="I390" s="120"/>
      <c r="J390" s="120"/>
      <c r="K390" s="957"/>
      <c r="L390" s="120"/>
      <c r="M390" s="120"/>
      <c r="N390" s="120"/>
      <c r="O390" s="120"/>
      <c r="P390" s="957"/>
      <c r="Q390" s="120"/>
      <c r="R390" s="120"/>
      <c r="S390" s="120"/>
      <c r="T390" s="120"/>
      <c r="U390" s="957"/>
      <c r="V390" s="120"/>
      <c r="W390" s="120"/>
      <c r="X390" s="120"/>
      <c r="Y390" s="120"/>
      <c r="Z390" s="957"/>
      <c r="AA390" s="120"/>
      <c r="AB390" s="120"/>
      <c r="AC390" s="120"/>
      <c r="AD390" s="120"/>
      <c r="AE390" s="957"/>
      <c r="AF390" s="120"/>
      <c r="AG390" s="120"/>
      <c r="AH390" s="120"/>
      <c r="AI390" s="120"/>
      <c r="AJ390" s="957"/>
      <c r="AK390" s="120"/>
      <c r="AL390" s="120"/>
      <c r="AM390" s="120"/>
      <c r="AN390" s="120"/>
      <c r="AO390" s="957">
        <f>AO386+AO389</f>
        <v>3081</v>
      </c>
      <c r="AP390" s="120"/>
      <c r="AQ390" s="120"/>
      <c r="AR390" s="120"/>
      <c r="AS390" s="120"/>
      <c r="AT390" s="957">
        <f>AT386+AT389</f>
        <v>2885</v>
      </c>
      <c r="AU390" s="120"/>
      <c r="AV390" s="120"/>
      <c r="AW390" s="120"/>
      <c r="AX390" s="120"/>
      <c r="AY390" s="957">
        <f>AY386+AY389</f>
        <v>2740</v>
      </c>
      <c r="AZ390" s="120"/>
      <c r="BA390" s="120"/>
      <c r="BB390" s="120"/>
      <c r="BC390" s="120"/>
      <c r="BD390" s="957">
        <f>BD386+BD389</f>
        <v>2642</v>
      </c>
      <c r="BE390" s="120"/>
      <c r="BF390" s="120"/>
      <c r="BG390" s="120"/>
      <c r="BH390" s="120"/>
      <c r="BI390" s="957">
        <f>BI386+BI389</f>
        <v>2614</v>
      </c>
      <c r="BJ390" s="120"/>
      <c r="BK390" s="120"/>
      <c r="BL390" s="120"/>
      <c r="BM390" s="120"/>
      <c r="BN390" s="957">
        <f>BN386+BN389</f>
        <v>2786</v>
      </c>
      <c r="BO390" s="120"/>
      <c r="BP390" s="120"/>
      <c r="BQ390" s="120"/>
      <c r="BR390" s="120"/>
      <c r="BS390" s="957">
        <f>BS386+BS389</f>
        <v>3321</v>
      </c>
      <c r="BT390" s="694"/>
      <c r="BU390" s="120"/>
      <c r="BV390" s="120"/>
      <c r="BW390" s="120"/>
      <c r="BX390" s="957"/>
      <c r="BY390" s="120"/>
      <c r="BZ390" s="120"/>
      <c r="CA390" s="120"/>
      <c r="CB390" s="120"/>
      <c r="CC390" s="957"/>
      <c r="CD390" s="957"/>
      <c r="CE390" s="957"/>
      <c r="CF390" s="957"/>
      <c r="CG390" s="615"/>
    </row>
    <row r="391" spans="1:85" s="460" customFormat="1" ht="14.4" hidden="1" outlineLevel="1" x14ac:dyDescent="0.3">
      <c r="A391" s="159" t="s">
        <v>1154</v>
      </c>
      <c r="B391" s="586"/>
      <c r="C391" s="150"/>
      <c r="D391" s="150"/>
      <c r="E391" s="150"/>
      <c r="F391" s="150"/>
      <c r="G391" s="117"/>
      <c r="H391" s="117"/>
      <c r="I391" s="117"/>
      <c r="J391" s="117"/>
      <c r="K391" s="150"/>
      <c r="L391" s="117"/>
      <c r="M391" s="117"/>
      <c r="N391" s="117"/>
      <c r="O391" s="117"/>
      <c r="P391" s="150"/>
      <c r="Q391" s="117"/>
      <c r="R391" s="117"/>
      <c r="S391" s="117"/>
      <c r="T391" s="117"/>
      <c r="U391" s="150"/>
      <c r="V391" s="117"/>
      <c r="W391" s="117"/>
      <c r="X391" s="117"/>
      <c r="Y391" s="117"/>
      <c r="Z391" s="150"/>
      <c r="AA391" s="117"/>
      <c r="AB391" s="117"/>
      <c r="AC391" s="117"/>
      <c r="AD391" s="117"/>
      <c r="AE391" s="150"/>
      <c r="AF391" s="117"/>
      <c r="AG391" s="117"/>
      <c r="AH391" s="117"/>
      <c r="AI391" s="117"/>
      <c r="AJ391" s="150"/>
      <c r="AK391" s="117"/>
      <c r="AL391" s="117"/>
      <c r="AM391" s="117"/>
      <c r="AN391" s="117"/>
      <c r="AO391" s="975">
        <v>807</v>
      </c>
      <c r="AP391" s="117"/>
      <c r="AQ391" s="117"/>
      <c r="AR391" s="117"/>
      <c r="AS391" s="117"/>
      <c r="AT391" s="975">
        <v>593</v>
      </c>
      <c r="AU391" s="117"/>
      <c r="AV391" s="117"/>
      <c r="AW391" s="117"/>
      <c r="AX391" s="117"/>
      <c r="AY391" s="975">
        <v>887</v>
      </c>
      <c r="AZ391" s="117"/>
      <c r="BA391" s="117"/>
      <c r="BB391" s="117"/>
      <c r="BC391" s="117"/>
      <c r="BD391" s="975">
        <v>875</v>
      </c>
      <c r="BE391" s="117"/>
      <c r="BF391" s="117"/>
      <c r="BG391" s="117"/>
      <c r="BH391" s="117"/>
      <c r="BI391" s="975">
        <v>721</v>
      </c>
      <c r="BJ391" s="117"/>
      <c r="BK391" s="117"/>
      <c r="BL391" s="117"/>
      <c r="BM391" s="117"/>
      <c r="BN391" s="975">
        <v>639</v>
      </c>
      <c r="BO391" s="117"/>
      <c r="BP391" s="117"/>
      <c r="BQ391" s="117"/>
      <c r="BR391" s="117"/>
      <c r="BS391" s="975">
        <v>553</v>
      </c>
      <c r="BT391" s="691"/>
      <c r="BU391" s="117"/>
      <c r="BV391" s="117"/>
      <c r="BW391" s="117"/>
      <c r="BX391" s="150"/>
      <c r="BY391" s="117"/>
      <c r="BZ391" s="117"/>
      <c r="CA391" s="117"/>
      <c r="CB391" s="117"/>
      <c r="CC391" s="150"/>
      <c r="CD391" s="150"/>
      <c r="CE391" s="150"/>
      <c r="CF391" s="150"/>
      <c r="CG391" s="587"/>
    </row>
    <row r="392" spans="1:85" s="460" customFormat="1" ht="14.4" hidden="1" outlineLevel="1" x14ac:dyDescent="0.3">
      <c r="A392" s="159" t="s">
        <v>1155</v>
      </c>
      <c r="B392" s="586"/>
      <c r="C392" s="150"/>
      <c r="D392" s="150"/>
      <c r="E392" s="150"/>
      <c r="F392" s="150"/>
      <c r="G392" s="117"/>
      <c r="H392" s="117"/>
      <c r="I392" s="117"/>
      <c r="J392" s="117"/>
      <c r="K392" s="150"/>
      <c r="L392" s="117"/>
      <c r="M392" s="117"/>
      <c r="N392" s="117"/>
      <c r="O392" s="117"/>
      <c r="P392" s="150"/>
      <c r="Q392" s="117"/>
      <c r="R392" s="117"/>
      <c r="S392" s="117"/>
      <c r="T392" s="117"/>
      <c r="U392" s="150"/>
      <c r="V392" s="117"/>
      <c r="W392" s="117"/>
      <c r="X392" s="117"/>
      <c r="Y392" s="117"/>
      <c r="Z392" s="150"/>
      <c r="AA392" s="117"/>
      <c r="AB392" s="117"/>
      <c r="AC392" s="117"/>
      <c r="AD392" s="117"/>
      <c r="AE392" s="150"/>
      <c r="AF392" s="117"/>
      <c r="AG392" s="117"/>
      <c r="AH392" s="117"/>
      <c r="AI392" s="117"/>
      <c r="AJ392" s="150"/>
      <c r="AK392" s="117"/>
      <c r="AL392" s="117"/>
      <c r="AM392" s="117"/>
      <c r="AN392" s="117"/>
      <c r="AO392" s="975">
        <v>146</v>
      </c>
      <c r="AP392" s="117"/>
      <c r="AQ392" s="117"/>
      <c r="AR392" s="117"/>
      <c r="AS392" s="117"/>
      <c r="AT392" s="975">
        <v>92</v>
      </c>
      <c r="AU392" s="117"/>
      <c r="AV392" s="117"/>
      <c r="AW392" s="117"/>
      <c r="AX392" s="117"/>
      <c r="AY392" s="975">
        <v>107</v>
      </c>
      <c r="AZ392" s="117"/>
      <c r="BA392" s="117"/>
      <c r="BB392" s="117"/>
      <c r="BC392" s="117"/>
      <c r="BD392" s="975">
        <v>121</v>
      </c>
      <c r="BE392" s="117"/>
      <c r="BF392" s="117"/>
      <c r="BG392" s="117"/>
      <c r="BH392" s="117"/>
      <c r="BI392" s="975">
        <v>129</v>
      </c>
      <c r="BJ392" s="117"/>
      <c r="BK392" s="117"/>
      <c r="BL392" s="117"/>
      <c r="BM392" s="117"/>
      <c r="BN392" s="975">
        <v>106</v>
      </c>
      <c r="BO392" s="117"/>
      <c r="BP392" s="117"/>
      <c r="BQ392" s="117"/>
      <c r="BR392" s="117"/>
      <c r="BS392" s="975">
        <v>315</v>
      </c>
      <c r="BT392" s="691"/>
      <c r="BU392" s="117"/>
      <c r="BV392" s="117"/>
      <c r="BW392" s="117"/>
      <c r="BX392" s="150"/>
      <c r="BY392" s="117"/>
      <c r="BZ392" s="117"/>
      <c r="CA392" s="117"/>
      <c r="CB392" s="117"/>
      <c r="CC392" s="150"/>
      <c r="CD392" s="150"/>
      <c r="CE392" s="150"/>
      <c r="CF392" s="150"/>
      <c r="CG392" s="587"/>
    </row>
    <row r="393" spans="1:85" s="460" customFormat="1" ht="14.4" hidden="1" outlineLevel="1" x14ac:dyDescent="0.3">
      <c r="A393" s="159" t="s">
        <v>1156</v>
      </c>
      <c r="B393" s="586"/>
      <c r="C393" s="150"/>
      <c r="D393" s="150"/>
      <c r="E393" s="150"/>
      <c r="F393" s="150"/>
      <c r="G393" s="117"/>
      <c r="H393" s="117"/>
      <c r="I393" s="117"/>
      <c r="J393" s="117"/>
      <c r="K393" s="150"/>
      <c r="L393" s="117"/>
      <c r="M393" s="117"/>
      <c r="N393" s="117"/>
      <c r="O393" s="117"/>
      <c r="P393" s="150"/>
      <c r="Q393" s="117"/>
      <c r="R393" s="117"/>
      <c r="S393" s="117"/>
      <c r="T393" s="117"/>
      <c r="U393" s="150"/>
      <c r="V393" s="117"/>
      <c r="W393" s="117"/>
      <c r="X393" s="117"/>
      <c r="Y393" s="117"/>
      <c r="Z393" s="150"/>
      <c r="AA393" s="117"/>
      <c r="AB393" s="117"/>
      <c r="AC393" s="117"/>
      <c r="AD393" s="117"/>
      <c r="AE393" s="150"/>
      <c r="AF393" s="117"/>
      <c r="AG393" s="117"/>
      <c r="AH393" s="117"/>
      <c r="AI393" s="117"/>
      <c r="AJ393" s="150"/>
      <c r="AK393" s="117"/>
      <c r="AL393" s="117"/>
      <c r="AM393" s="117"/>
      <c r="AN393" s="117"/>
      <c r="AO393" s="975">
        <v>88</v>
      </c>
      <c r="AP393" s="117"/>
      <c r="AQ393" s="117"/>
      <c r="AR393" s="117"/>
      <c r="AS393" s="117"/>
      <c r="AT393" s="975">
        <v>57</v>
      </c>
      <c r="AU393" s="117"/>
      <c r="AV393" s="117"/>
      <c r="AW393" s="117"/>
      <c r="AX393" s="117"/>
      <c r="AY393" s="975">
        <v>52</v>
      </c>
      <c r="AZ393" s="117"/>
      <c r="BA393" s="117"/>
      <c r="BB393" s="117"/>
      <c r="BC393" s="117"/>
      <c r="BD393" s="975">
        <v>62</v>
      </c>
      <c r="BE393" s="117"/>
      <c r="BF393" s="117"/>
      <c r="BG393" s="117"/>
      <c r="BH393" s="117"/>
      <c r="BI393" s="975">
        <v>78</v>
      </c>
      <c r="BJ393" s="117"/>
      <c r="BK393" s="117"/>
      <c r="BL393" s="117"/>
      <c r="BM393" s="117"/>
      <c r="BN393" s="975">
        <v>63</v>
      </c>
      <c r="BO393" s="117"/>
      <c r="BP393" s="117"/>
      <c r="BQ393" s="117"/>
      <c r="BR393" s="117"/>
      <c r="BS393" s="975">
        <v>50</v>
      </c>
      <c r="BT393" s="691"/>
      <c r="BU393" s="117"/>
      <c r="BV393" s="117"/>
      <c r="BW393" s="117"/>
      <c r="BX393" s="150"/>
      <c r="BY393" s="117"/>
      <c r="BZ393" s="117"/>
      <c r="CA393" s="117"/>
      <c r="CB393" s="117"/>
      <c r="CC393" s="150"/>
      <c r="CD393" s="150"/>
      <c r="CE393" s="150"/>
      <c r="CF393" s="150"/>
      <c r="CG393" s="587"/>
    </row>
    <row r="394" spans="1:85" s="460" customFormat="1" ht="14.4" hidden="1" outlineLevel="1" x14ac:dyDescent="0.3">
      <c r="A394" s="159" t="s">
        <v>1157</v>
      </c>
      <c r="B394" s="586"/>
      <c r="C394" s="150"/>
      <c r="D394" s="150"/>
      <c r="E394" s="150"/>
      <c r="F394" s="150"/>
      <c r="G394" s="117"/>
      <c r="H394" s="117"/>
      <c r="I394" s="117"/>
      <c r="J394" s="117"/>
      <c r="K394" s="150"/>
      <c r="L394" s="117"/>
      <c r="M394" s="117"/>
      <c r="N394" s="117"/>
      <c r="O394" s="117"/>
      <c r="P394" s="150"/>
      <c r="Q394" s="117"/>
      <c r="R394" s="117"/>
      <c r="S394" s="117"/>
      <c r="T394" s="117"/>
      <c r="U394" s="150"/>
      <c r="V394" s="117"/>
      <c r="W394" s="117"/>
      <c r="X394" s="117"/>
      <c r="Y394" s="117"/>
      <c r="Z394" s="150"/>
      <c r="AA394" s="117"/>
      <c r="AB394" s="117"/>
      <c r="AC394" s="117"/>
      <c r="AD394" s="117"/>
      <c r="AE394" s="150"/>
      <c r="AF394" s="117"/>
      <c r="AG394" s="117"/>
      <c r="AH394" s="117"/>
      <c r="AI394" s="117"/>
      <c r="AJ394" s="150"/>
      <c r="AK394" s="117"/>
      <c r="AL394" s="117"/>
      <c r="AM394" s="117"/>
      <c r="AN394" s="117"/>
      <c r="AO394" s="975">
        <v>107</v>
      </c>
      <c r="AP394" s="117"/>
      <c r="AQ394" s="117"/>
      <c r="AR394" s="117"/>
      <c r="AS394" s="117"/>
      <c r="AT394" s="975">
        <v>45</v>
      </c>
      <c r="AU394" s="117"/>
      <c r="AV394" s="117"/>
      <c r="AW394" s="117"/>
      <c r="AX394" s="117"/>
      <c r="AY394" s="975">
        <v>52</v>
      </c>
      <c r="AZ394" s="117"/>
      <c r="BA394" s="117"/>
      <c r="BB394" s="117"/>
      <c r="BC394" s="117"/>
      <c r="BD394" s="975">
        <v>58</v>
      </c>
      <c r="BE394" s="117"/>
      <c r="BF394" s="117"/>
      <c r="BG394" s="117"/>
      <c r="BH394" s="117"/>
      <c r="BI394" s="975">
        <v>61</v>
      </c>
      <c r="BJ394" s="117"/>
      <c r="BK394" s="117"/>
      <c r="BL394" s="117"/>
      <c r="BM394" s="117"/>
      <c r="BN394" s="975">
        <v>52</v>
      </c>
      <c r="BO394" s="117"/>
      <c r="BP394" s="117"/>
      <c r="BQ394" s="117"/>
      <c r="BR394" s="117"/>
      <c r="BS394" s="975">
        <v>42</v>
      </c>
      <c r="BT394" s="691"/>
      <c r="BU394" s="117"/>
      <c r="BV394" s="117"/>
      <c r="BW394" s="117"/>
      <c r="BX394" s="150"/>
      <c r="BY394" s="117"/>
      <c r="BZ394" s="117"/>
      <c r="CA394" s="117"/>
      <c r="CB394" s="117"/>
      <c r="CC394" s="150"/>
      <c r="CD394" s="150"/>
      <c r="CE394" s="150"/>
      <c r="CF394" s="150"/>
      <c r="CG394" s="587"/>
    </row>
    <row r="395" spans="1:85" s="460" customFormat="1" ht="14.4" hidden="1" outlineLevel="1" x14ac:dyDescent="0.3">
      <c r="A395" s="159" t="s">
        <v>1158</v>
      </c>
      <c r="B395" s="586"/>
      <c r="C395" s="150"/>
      <c r="D395" s="150"/>
      <c r="E395" s="150"/>
      <c r="F395" s="150"/>
      <c r="G395" s="117"/>
      <c r="H395" s="117"/>
      <c r="I395" s="117"/>
      <c r="J395" s="117"/>
      <c r="K395" s="150"/>
      <c r="L395" s="117"/>
      <c r="M395" s="117"/>
      <c r="N395" s="117"/>
      <c r="O395" s="117"/>
      <c r="P395" s="150"/>
      <c r="Q395" s="117"/>
      <c r="R395" s="117"/>
      <c r="S395" s="117"/>
      <c r="T395" s="117"/>
      <c r="U395" s="150"/>
      <c r="V395" s="117"/>
      <c r="W395" s="117"/>
      <c r="X395" s="117"/>
      <c r="Y395" s="117"/>
      <c r="Z395" s="150"/>
      <c r="AA395" s="117"/>
      <c r="AB395" s="117"/>
      <c r="AC395" s="117"/>
      <c r="AD395" s="117"/>
      <c r="AE395" s="150"/>
      <c r="AF395" s="117"/>
      <c r="AG395" s="117"/>
      <c r="AH395" s="117"/>
      <c r="AI395" s="117"/>
      <c r="AJ395" s="150"/>
      <c r="AK395" s="117"/>
      <c r="AL395" s="117"/>
      <c r="AM395" s="117"/>
      <c r="AN395" s="117"/>
      <c r="AO395" s="975">
        <v>30</v>
      </c>
      <c r="AP395" s="117"/>
      <c r="AQ395" s="117"/>
      <c r="AR395" s="117"/>
      <c r="AS395" s="117"/>
      <c r="AT395" s="975">
        <v>26</v>
      </c>
      <c r="AU395" s="117"/>
      <c r="AV395" s="117"/>
      <c r="AW395" s="117"/>
      <c r="AX395" s="117"/>
      <c r="AY395" s="975">
        <v>32</v>
      </c>
      <c r="AZ395" s="117"/>
      <c r="BA395" s="117"/>
      <c r="BB395" s="117"/>
      <c r="BC395" s="117"/>
      <c r="BD395" s="975">
        <v>22</v>
      </c>
      <c r="BE395" s="117"/>
      <c r="BF395" s="117"/>
      <c r="BG395" s="117"/>
      <c r="BH395" s="117"/>
      <c r="BI395" s="975">
        <v>22</v>
      </c>
      <c r="BJ395" s="117"/>
      <c r="BK395" s="117"/>
      <c r="BL395" s="117"/>
      <c r="BM395" s="117"/>
      <c r="BN395" s="975">
        <v>20</v>
      </c>
      <c r="BO395" s="117"/>
      <c r="BP395" s="117"/>
      <c r="BQ395" s="117"/>
      <c r="BR395" s="117"/>
      <c r="BS395" s="975">
        <v>27</v>
      </c>
      <c r="BT395" s="691"/>
      <c r="BU395" s="117"/>
      <c r="BV395" s="117"/>
      <c r="BW395" s="117"/>
      <c r="BX395" s="150"/>
      <c r="BY395" s="117"/>
      <c r="BZ395" s="117"/>
      <c r="CA395" s="117"/>
      <c r="CB395" s="117"/>
      <c r="CC395" s="150"/>
      <c r="CD395" s="150"/>
      <c r="CE395" s="150"/>
      <c r="CF395" s="150"/>
      <c r="CG395" s="587"/>
    </row>
    <row r="396" spans="1:85" s="460" customFormat="1" ht="14.4" hidden="1" outlineLevel="1" x14ac:dyDescent="0.3">
      <c r="A396" s="262" t="s">
        <v>1159</v>
      </c>
      <c r="B396" s="588"/>
      <c r="C396" s="954"/>
      <c r="D396" s="954"/>
      <c r="E396" s="954"/>
      <c r="F396" s="954"/>
      <c r="G396" s="133"/>
      <c r="H396" s="133"/>
      <c r="I396" s="133"/>
      <c r="J396" s="133"/>
      <c r="K396" s="954"/>
      <c r="L396" s="133"/>
      <c r="M396" s="133"/>
      <c r="N396" s="133"/>
      <c r="O396" s="133"/>
      <c r="P396" s="954"/>
      <c r="Q396" s="133"/>
      <c r="R396" s="133"/>
      <c r="S396" s="133"/>
      <c r="T396" s="133"/>
      <c r="U396" s="954"/>
      <c r="V396" s="133"/>
      <c r="W396" s="133"/>
      <c r="X396" s="133"/>
      <c r="Y396" s="133"/>
      <c r="Z396" s="954"/>
      <c r="AA396" s="133"/>
      <c r="AB396" s="133"/>
      <c r="AC396" s="133"/>
      <c r="AD396" s="133"/>
      <c r="AE396" s="954"/>
      <c r="AF396" s="133"/>
      <c r="AG396" s="133"/>
      <c r="AH396" s="133"/>
      <c r="AI396" s="133"/>
      <c r="AJ396" s="954"/>
      <c r="AK396" s="133"/>
      <c r="AL396" s="133"/>
      <c r="AM396" s="133"/>
      <c r="AN396" s="133"/>
      <c r="AO396" s="976">
        <v>48</v>
      </c>
      <c r="AP396" s="133"/>
      <c r="AQ396" s="133"/>
      <c r="AR396" s="133"/>
      <c r="AS396" s="133"/>
      <c r="AT396" s="976">
        <v>38</v>
      </c>
      <c r="AU396" s="133"/>
      <c r="AV396" s="133"/>
      <c r="AW396" s="133"/>
      <c r="AX396" s="133"/>
      <c r="AY396" s="976">
        <v>38</v>
      </c>
      <c r="AZ396" s="133"/>
      <c r="BA396" s="133"/>
      <c r="BB396" s="133"/>
      <c r="BC396" s="133"/>
      <c r="BD396" s="976">
        <v>32</v>
      </c>
      <c r="BE396" s="133"/>
      <c r="BF396" s="133"/>
      <c r="BG396" s="133"/>
      <c r="BH396" s="133"/>
      <c r="BI396" s="976">
        <v>28</v>
      </c>
      <c r="BJ396" s="133"/>
      <c r="BK396" s="133"/>
      <c r="BL396" s="133"/>
      <c r="BM396" s="133"/>
      <c r="BN396" s="976">
        <v>26</v>
      </c>
      <c r="BO396" s="133"/>
      <c r="BP396" s="133"/>
      <c r="BQ396" s="133"/>
      <c r="BR396" s="133"/>
      <c r="BS396" s="976">
        <v>16</v>
      </c>
      <c r="BT396" s="692"/>
      <c r="BU396" s="133"/>
      <c r="BV396" s="133"/>
      <c r="BW396" s="133"/>
      <c r="BX396" s="954"/>
      <c r="BY396" s="133"/>
      <c r="BZ396" s="133"/>
      <c r="CA396" s="133"/>
      <c r="CB396" s="133"/>
      <c r="CC396" s="954"/>
      <c r="CD396" s="954"/>
      <c r="CE396" s="954"/>
      <c r="CF396" s="954"/>
      <c r="CG396" s="587"/>
    </row>
    <row r="397" spans="1:85" s="461" customFormat="1" ht="14.4" hidden="1" outlineLevel="1" x14ac:dyDescent="0.3">
      <c r="A397" s="166" t="s">
        <v>1165</v>
      </c>
      <c r="B397" s="583"/>
      <c r="C397" s="957"/>
      <c r="D397" s="957"/>
      <c r="E397" s="957"/>
      <c r="F397" s="957"/>
      <c r="G397" s="120"/>
      <c r="H397" s="120"/>
      <c r="I397" s="120"/>
      <c r="J397" s="120"/>
      <c r="K397" s="957"/>
      <c r="L397" s="120"/>
      <c r="M397" s="120"/>
      <c r="N397" s="120"/>
      <c r="O397" s="120"/>
      <c r="P397" s="957"/>
      <c r="Q397" s="120"/>
      <c r="R397" s="120"/>
      <c r="S397" s="120"/>
      <c r="T397" s="120"/>
      <c r="U397" s="957"/>
      <c r="V397" s="120"/>
      <c r="W397" s="120"/>
      <c r="X397" s="120"/>
      <c r="Y397" s="120"/>
      <c r="Z397" s="957"/>
      <c r="AA397" s="120"/>
      <c r="AB397" s="120"/>
      <c r="AC397" s="120"/>
      <c r="AD397" s="120"/>
      <c r="AE397" s="957"/>
      <c r="AF397" s="120"/>
      <c r="AG397" s="120"/>
      <c r="AH397" s="120"/>
      <c r="AI397" s="120"/>
      <c r="AJ397" s="957"/>
      <c r="AK397" s="120"/>
      <c r="AL397" s="120"/>
      <c r="AM397" s="120"/>
      <c r="AN397" s="120"/>
      <c r="AO397" s="957">
        <f>SUM(AO391:AO396)</f>
        <v>1226</v>
      </c>
      <c r="AP397" s="120"/>
      <c r="AQ397" s="120"/>
      <c r="AR397" s="120"/>
      <c r="AS397" s="120"/>
      <c r="AT397" s="957">
        <f>SUM(AT391:AT396)</f>
        <v>851</v>
      </c>
      <c r="AU397" s="120"/>
      <c r="AV397" s="120"/>
      <c r="AW397" s="120"/>
      <c r="AX397" s="120"/>
      <c r="AY397" s="957">
        <f>SUM(AY391:AY396)</f>
        <v>1168</v>
      </c>
      <c r="AZ397" s="120"/>
      <c r="BA397" s="120"/>
      <c r="BB397" s="120"/>
      <c r="BC397" s="120"/>
      <c r="BD397" s="957">
        <f>SUM(BD391:BD396)</f>
        <v>1170</v>
      </c>
      <c r="BE397" s="120"/>
      <c r="BF397" s="120"/>
      <c r="BG397" s="120"/>
      <c r="BH397" s="120"/>
      <c r="BI397" s="957">
        <f>SUM(BI391:BI396)</f>
        <v>1039</v>
      </c>
      <c r="BJ397" s="120"/>
      <c r="BK397" s="120"/>
      <c r="BL397" s="120"/>
      <c r="BM397" s="120"/>
      <c r="BN397" s="957">
        <f>SUM(BN391:BN396)</f>
        <v>906</v>
      </c>
      <c r="BO397" s="120"/>
      <c r="BP397" s="120"/>
      <c r="BQ397" s="120"/>
      <c r="BR397" s="120"/>
      <c r="BS397" s="957">
        <f>SUM(BS391:BS396)</f>
        <v>1003</v>
      </c>
      <c r="BT397" s="694"/>
      <c r="BU397" s="120"/>
      <c r="BV397" s="120"/>
      <c r="BW397" s="120"/>
      <c r="BX397" s="957"/>
      <c r="BY397" s="120"/>
      <c r="BZ397" s="120"/>
      <c r="CA397" s="120"/>
      <c r="CB397" s="120"/>
      <c r="CC397" s="957"/>
      <c r="CD397" s="957"/>
      <c r="CE397" s="957"/>
      <c r="CF397" s="957"/>
      <c r="CG397" s="615"/>
    </row>
    <row r="398" spans="1:85" s="460" customFormat="1" ht="14.4" hidden="1" outlineLevel="1" x14ac:dyDescent="0.3">
      <c r="A398" s="159" t="s">
        <v>1160</v>
      </c>
      <c r="B398" s="586"/>
      <c r="C398" s="150"/>
      <c r="D398" s="150"/>
      <c r="E398" s="150"/>
      <c r="F398" s="150"/>
      <c r="G398" s="117"/>
      <c r="H398" s="117"/>
      <c r="I398" s="117"/>
      <c r="J398" s="117"/>
      <c r="K398" s="150"/>
      <c r="L398" s="117"/>
      <c r="M398" s="117"/>
      <c r="N398" s="117"/>
      <c r="O398" s="117"/>
      <c r="P398" s="150"/>
      <c r="Q398" s="117"/>
      <c r="R398" s="117"/>
      <c r="S398" s="117"/>
      <c r="T398" s="117"/>
      <c r="U398" s="150"/>
      <c r="V398" s="117"/>
      <c r="W398" s="117"/>
      <c r="X398" s="117"/>
      <c r="Y398" s="117"/>
      <c r="Z398" s="150"/>
      <c r="AA398" s="117"/>
      <c r="AB398" s="117"/>
      <c r="AC398" s="117"/>
      <c r="AD398" s="117"/>
      <c r="AE398" s="150"/>
      <c r="AF398" s="117"/>
      <c r="AG398" s="117"/>
      <c r="AH398" s="117"/>
      <c r="AI398" s="117"/>
      <c r="AJ398" s="150"/>
      <c r="AK398" s="117"/>
      <c r="AL398" s="117"/>
      <c r="AM398" s="117"/>
      <c r="AN398" s="117"/>
      <c r="AO398" s="975">
        <v>889</v>
      </c>
      <c r="AP398" s="117"/>
      <c r="AQ398" s="117"/>
      <c r="AR398" s="117"/>
      <c r="AS398" s="117"/>
      <c r="AT398" s="975">
        <v>985</v>
      </c>
      <c r="AU398" s="117"/>
      <c r="AV398" s="117"/>
      <c r="AW398" s="117"/>
      <c r="AX398" s="117"/>
      <c r="AY398" s="975">
        <v>695</v>
      </c>
      <c r="AZ398" s="117"/>
      <c r="BA398" s="117"/>
      <c r="BB398" s="117"/>
      <c r="BC398" s="117"/>
      <c r="BD398" s="975">
        <v>611</v>
      </c>
      <c r="BE398" s="117"/>
      <c r="BF398" s="117"/>
      <c r="BG398" s="117"/>
      <c r="BH398" s="117"/>
      <c r="BI398" s="975">
        <v>526</v>
      </c>
      <c r="BJ398" s="117"/>
      <c r="BK398" s="117"/>
      <c r="BL398" s="117"/>
      <c r="BM398" s="117"/>
      <c r="BN398" s="975">
        <v>224</v>
      </c>
      <c r="BO398" s="117"/>
      <c r="BP398" s="117"/>
      <c r="BQ398" s="117"/>
      <c r="BR398" s="117"/>
      <c r="BS398" s="975">
        <v>45</v>
      </c>
      <c r="BT398" s="691"/>
      <c r="BU398" s="117"/>
      <c r="BV398" s="117"/>
      <c r="BW398" s="117"/>
      <c r="BX398" s="150"/>
      <c r="BY398" s="117"/>
      <c r="BZ398" s="117"/>
      <c r="CA398" s="117"/>
      <c r="CB398" s="117"/>
      <c r="CC398" s="150"/>
      <c r="CD398" s="150"/>
      <c r="CE398" s="150"/>
      <c r="CF398" s="150"/>
      <c r="CG398" s="587"/>
    </row>
    <row r="399" spans="1:85" s="460" customFormat="1" ht="14.4" hidden="1" outlineLevel="1" x14ac:dyDescent="0.3">
      <c r="A399" s="262" t="s">
        <v>1161</v>
      </c>
      <c r="B399" s="588"/>
      <c r="C399" s="954"/>
      <c r="D399" s="954"/>
      <c r="E399" s="954"/>
      <c r="F399" s="954"/>
      <c r="G399" s="133"/>
      <c r="H399" s="133"/>
      <c r="I399" s="133"/>
      <c r="J399" s="133"/>
      <c r="K399" s="954"/>
      <c r="L399" s="133"/>
      <c r="M399" s="133"/>
      <c r="N399" s="133"/>
      <c r="O399" s="133"/>
      <c r="P399" s="954"/>
      <c r="Q399" s="133"/>
      <c r="R399" s="133"/>
      <c r="S399" s="133"/>
      <c r="T399" s="133"/>
      <c r="U399" s="954"/>
      <c r="V399" s="133"/>
      <c r="W399" s="133"/>
      <c r="X399" s="133"/>
      <c r="Y399" s="133"/>
      <c r="Z399" s="954"/>
      <c r="AA399" s="133"/>
      <c r="AB399" s="133"/>
      <c r="AC399" s="133"/>
      <c r="AD399" s="133"/>
      <c r="AE399" s="954"/>
      <c r="AF399" s="133"/>
      <c r="AG399" s="133"/>
      <c r="AH399" s="133"/>
      <c r="AI399" s="133"/>
      <c r="AJ399" s="954"/>
      <c r="AK399" s="133"/>
      <c r="AL399" s="133"/>
      <c r="AM399" s="133"/>
      <c r="AN399" s="133"/>
      <c r="AO399" s="976">
        <v>45</v>
      </c>
      <c r="AP399" s="133"/>
      <c r="AQ399" s="133"/>
      <c r="AR399" s="133"/>
      <c r="AS399" s="133"/>
      <c r="AT399" s="976">
        <v>1</v>
      </c>
      <c r="AU399" s="133"/>
      <c r="AV399" s="133"/>
      <c r="AW399" s="133"/>
      <c r="AX399" s="133"/>
      <c r="AY399" s="976">
        <v>1</v>
      </c>
      <c r="AZ399" s="133"/>
      <c r="BA399" s="133"/>
      <c r="BB399" s="133"/>
      <c r="BC399" s="133"/>
      <c r="BD399" s="976">
        <v>0</v>
      </c>
      <c r="BE399" s="133"/>
      <c r="BF399" s="133"/>
      <c r="BG399" s="133"/>
      <c r="BH399" s="133"/>
      <c r="BI399" s="976">
        <v>0</v>
      </c>
      <c r="BJ399" s="133"/>
      <c r="BK399" s="133"/>
      <c r="BL399" s="133"/>
      <c r="BM399" s="133"/>
      <c r="BN399" s="976">
        <v>0</v>
      </c>
      <c r="BO399" s="133"/>
      <c r="BP399" s="133"/>
      <c r="BQ399" s="133"/>
      <c r="BR399" s="133"/>
      <c r="BS399" s="976">
        <v>0</v>
      </c>
      <c r="BT399" s="692"/>
      <c r="BU399" s="133"/>
      <c r="BV399" s="133"/>
      <c r="BW399" s="133"/>
      <c r="BX399" s="954"/>
      <c r="BY399" s="133"/>
      <c r="BZ399" s="133"/>
      <c r="CA399" s="133"/>
      <c r="CB399" s="133"/>
      <c r="CC399" s="954"/>
      <c r="CD399" s="954"/>
      <c r="CE399" s="954"/>
      <c r="CF399" s="954"/>
      <c r="CG399" s="587"/>
    </row>
    <row r="400" spans="1:85" s="461" customFormat="1" ht="14.4" hidden="1" outlineLevel="1" x14ac:dyDescent="0.3">
      <c r="A400" s="602" t="s">
        <v>1166</v>
      </c>
      <c r="B400" s="594"/>
      <c r="C400" s="982"/>
      <c r="D400" s="982"/>
      <c r="E400" s="982"/>
      <c r="F400" s="982"/>
      <c r="G400" s="595"/>
      <c r="H400" s="595"/>
      <c r="I400" s="595"/>
      <c r="J400" s="595"/>
      <c r="K400" s="982"/>
      <c r="L400" s="595"/>
      <c r="M400" s="595"/>
      <c r="N400" s="595"/>
      <c r="O400" s="595"/>
      <c r="P400" s="982"/>
      <c r="Q400" s="595"/>
      <c r="R400" s="595"/>
      <c r="S400" s="595"/>
      <c r="T400" s="595"/>
      <c r="U400" s="982"/>
      <c r="V400" s="595"/>
      <c r="W400" s="595"/>
      <c r="X400" s="595"/>
      <c r="Y400" s="595"/>
      <c r="Z400" s="982"/>
      <c r="AA400" s="595"/>
      <c r="AB400" s="595"/>
      <c r="AC400" s="595"/>
      <c r="AD400" s="595"/>
      <c r="AE400" s="982"/>
      <c r="AF400" s="595"/>
      <c r="AG400" s="595"/>
      <c r="AH400" s="595"/>
      <c r="AI400" s="595"/>
      <c r="AJ400" s="982"/>
      <c r="AK400" s="595"/>
      <c r="AL400" s="595"/>
      <c r="AM400" s="595"/>
      <c r="AN400" s="595"/>
      <c r="AO400" s="982">
        <f>SUM(AO398:AO399)</f>
        <v>934</v>
      </c>
      <c r="AP400" s="595"/>
      <c r="AQ400" s="595"/>
      <c r="AR400" s="595"/>
      <c r="AS400" s="595"/>
      <c r="AT400" s="982">
        <f>SUM(AT398:AT399)</f>
        <v>986</v>
      </c>
      <c r="AU400" s="595"/>
      <c r="AV400" s="595"/>
      <c r="AW400" s="595"/>
      <c r="AX400" s="595"/>
      <c r="AY400" s="982">
        <f>SUM(AY398:AY399)</f>
        <v>696</v>
      </c>
      <c r="AZ400" s="595"/>
      <c r="BA400" s="595"/>
      <c r="BB400" s="595"/>
      <c r="BC400" s="595"/>
      <c r="BD400" s="982">
        <f>SUM(BD398:BD399)</f>
        <v>611</v>
      </c>
      <c r="BE400" s="595"/>
      <c r="BF400" s="595"/>
      <c r="BG400" s="595"/>
      <c r="BH400" s="595"/>
      <c r="BI400" s="982">
        <f>SUM(BI398:BI399)</f>
        <v>526</v>
      </c>
      <c r="BJ400" s="595"/>
      <c r="BK400" s="595"/>
      <c r="BL400" s="595"/>
      <c r="BM400" s="595"/>
      <c r="BN400" s="982">
        <f>SUM(BN398:BN399)</f>
        <v>224</v>
      </c>
      <c r="BO400" s="595"/>
      <c r="BP400" s="595"/>
      <c r="BQ400" s="595"/>
      <c r="BR400" s="595"/>
      <c r="BS400" s="982">
        <f>SUM(BS398:BS399)</f>
        <v>45</v>
      </c>
      <c r="BT400" s="711"/>
      <c r="BU400" s="595"/>
      <c r="BV400" s="595"/>
      <c r="BW400" s="595"/>
      <c r="BX400" s="982"/>
      <c r="BY400" s="595"/>
      <c r="BZ400" s="595"/>
      <c r="CA400" s="595"/>
      <c r="CB400" s="595"/>
      <c r="CC400" s="982"/>
      <c r="CD400" s="982"/>
      <c r="CE400" s="982"/>
      <c r="CF400" s="982"/>
      <c r="CG400" s="615"/>
    </row>
    <row r="401" spans="1:85" s="461" customFormat="1" ht="14.4" hidden="1" outlineLevel="1" x14ac:dyDescent="0.3">
      <c r="A401" s="602" t="s">
        <v>1167</v>
      </c>
      <c r="B401" s="594"/>
      <c r="C401" s="982"/>
      <c r="D401" s="982"/>
      <c r="E401" s="982"/>
      <c r="F401" s="982"/>
      <c r="G401" s="595"/>
      <c r="H401" s="595"/>
      <c r="I401" s="595"/>
      <c r="J401" s="595"/>
      <c r="K401" s="982"/>
      <c r="L401" s="595"/>
      <c r="M401" s="595"/>
      <c r="N401" s="595"/>
      <c r="O401" s="595"/>
      <c r="P401" s="982"/>
      <c r="Q401" s="595"/>
      <c r="R401" s="595"/>
      <c r="S401" s="595"/>
      <c r="T401" s="595"/>
      <c r="U401" s="982"/>
      <c r="V401" s="595"/>
      <c r="W401" s="595"/>
      <c r="X401" s="595"/>
      <c r="Y401" s="595"/>
      <c r="Z401" s="982"/>
      <c r="AA401" s="595"/>
      <c r="AB401" s="595"/>
      <c r="AC401" s="595"/>
      <c r="AD401" s="595"/>
      <c r="AE401" s="982"/>
      <c r="AF401" s="595"/>
      <c r="AG401" s="595"/>
      <c r="AH401" s="595"/>
      <c r="AI401" s="595"/>
      <c r="AJ401" s="982"/>
      <c r="AK401" s="595"/>
      <c r="AL401" s="595"/>
      <c r="AM401" s="595"/>
      <c r="AN401" s="595"/>
      <c r="AO401" s="982">
        <f>AO397+AO400</f>
        <v>2160</v>
      </c>
      <c r="AP401" s="595"/>
      <c r="AQ401" s="595"/>
      <c r="AR401" s="595"/>
      <c r="AS401" s="595"/>
      <c r="AT401" s="982">
        <f>AT397+AT400</f>
        <v>1837</v>
      </c>
      <c r="AU401" s="595"/>
      <c r="AV401" s="595"/>
      <c r="AW401" s="595"/>
      <c r="AX401" s="595"/>
      <c r="AY401" s="982">
        <f>AY397+AY400</f>
        <v>1864</v>
      </c>
      <c r="AZ401" s="595"/>
      <c r="BA401" s="595"/>
      <c r="BB401" s="595"/>
      <c r="BC401" s="595"/>
      <c r="BD401" s="982">
        <f>BD397+BD400</f>
        <v>1781</v>
      </c>
      <c r="BE401" s="595"/>
      <c r="BF401" s="595"/>
      <c r="BG401" s="595"/>
      <c r="BH401" s="595"/>
      <c r="BI401" s="982">
        <f>BI397+BI400</f>
        <v>1565</v>
      </c>
      <c r="BJ401" s="595"/>
      <c r="BK401" s="595"/>
      <c r="BL401" s="595"/>
      <c r="BM401" s="595"/>
      <c r="BN401" s="982">
        <f>BN397+BN400</f>
        <v>1130</v>
      </c>
      <c r="BO401" s="595"/>
      <c r="BP401" s="595"/>
      <c r="BQ401" s="595"/>
      <c r="BR401" s="595"/>
      <c r="BS401" s="982">
        <f>BS397+BS400</f>
        <v>1048</v>
      </c>
      <c r="BT401" s="711"/>
      <c r="BU401" s="595"/>
      <c r="BV401" s="595"/>
      <c r="BW401" s="595"/>
      <c r="BX401" s="982"/>
      <c r="BY401" s="595"/>
      <c r="BZ401" s="595"/>
      <c r="CA401" s="595"/>
      <c r="CB401" s="595"/>
      <c r="CC401" s="982"/>
      <c r="CD401" s="982"/>
      <c r="CE401" s="982"/>
      <c r="CF401" s="982"/>
      <c r="CG401" s="615"/>
    </row>
    <row r="402" spans="1:85" s="461" customFormat="1" ht="14.4" hidden="1" outlineLevel="1" x14ac:dyDescent="0.3">
      <c r="A402" s="166" t="s">
        <v>1168</v>
      </c>
      <c r="B402" s="583"/>
      <c r="C402" s="957"/>
      <c r="D402" s="957"/>
      <c r="E402" s="957"/>
      <c r="F402" s="957"/>
      <c r="G402" s="120"/>
      <c r="H402" s="120"/>
      <c r="I402" s="120"/>
      <c r="J402" s="120"/>
      <c r="K402" s="957"/>
      <c r="L402" s="120"/>
      <c r="M402" s="120"/>
      <c r="N402" s="120"/>
      <c r="O402" s="120"/>
      <c r="P402" s="957"/>
      <c r="Q402" s="120"/>
      <c r="R402" s="120"/>
      <c r="S402" s="120"/>
      <c r="T402" s="120"/>
      <c r="U402" s="957"/>
      <c r="V402" s="120"/>
      <c r="W402" s="120"/>
      <c r="X402" s="120"/>
      <c r="Y402" s="120"/>
      <c r="Z402" s="957"/>
      <c r="AA402" s="120"/>
      <c r="AB402" s="120"/>
      <c r="AC402" s="120"/>
      <c r="AD402" s="120"/>
      <c r="AE402" s="957"/>
      <c r="AF402" s="120"/>
      <c r="AG402" s="120"/>
      <c r="AH402" s="120"/>
      <c r="AI402" s="120"/>
      <c r="AJ402" s="957"/>
      <c r="AK402" s="120"/>
      <c r="AL402" s="120"/>
      <c r="AM402" s="120"/>
      <c r="AN402" s="120"/>
      <c r="AO402" s="957">
        <f>AO390+AO401</f>
        <v>5241</v>
      </c>
      <c r="AP402" s="120"/>
      <c r="AQ402" s="120"/>
      <c r="AR402" s="120"/>
      <c r="AS402" s="120"/>
      <c r="AT402" s="957">
        <f>AT390+AT401</f>
        <v>4722</v>
      </c>
      <c r="AU402" s="120"/>
      <c r="AV402" s="120"/>
      <c r="AW402" s="120"/>
      <c r="AX402" s="120"/>
      <c r="AY402" s="957">
        <f>AY390+AY401</f>
        <v>4604</v>
      </c>
      <c r="AZ402" s="120"/>
      <c r="BA402" s="120"/>
      <c r="BB402" s="120"/>
      <c r="BC402" s="120"/>
      <c r="BD402" s="957">
        <f>BD390+BD401</f>
        <v>4423</v>
      </c>
      <c r="BE402" s="120"/>
      <c r="BF402" s="120"/>
      <c r="BG402" s="120"/>
      <c r="BH402" s="120"/>
      <c r="BI402" s="957">
        <f>BI390+BI401</f>
        <v>4179</v>
      </c>
      <c r="BJ402" s="120"/>
      <c r="BK402" s="120"/>
      <c r="BL402" s="120"/>
      <c r="BM402" s="120"/>
      <c r="BN402" s="957">
        <f>BN390+BN401</f>
        <v>3916</v>
      </c>
      <c r="BO402" s="120"/>
      <c r="BP402" s="120"/>
      <c r="BQ402" s="120"/>
      <c r="BR402" s="120"/>
      <c r="BS402" s="957">
        <f>BS390+BS401</f>
        <v>4369</v>
      </c>
      <c r="BT402" s="694"/>
      <c r="BU402" s="120"/>
      <c r="BV402" s="120"/>
      <c r="BW402" s="120"/>
      <c r="BX402" s="957"/>
      <c r="BY402" s="120"/>
      <c r="BZ402" s="120"/>
      <c r="CA402" s="120"/>
      <c r="CB402" s="120"/>
      <c r="CC402" s="957"/>
      <c r="CD402" s="957"/>
      <c r="CE402" s="957"/>
      <c r="CF402" s="957"/>
      <c r="CG402" s="615"/>
    </row>
    <row r="403" spans="1:85" s="461" customFormat="1" ht="14.4" hidden="1" outlineLevel="1" x14ac:dyDescent="0.3">
      <c r="A403" s="166"/>
      <c r="B403" s="583"/>
      <c r="C403" s="957"/>
      <c r="D403" s="957"/>
      <c r="E403" s="957"/>
      <c r="F403" s="957"/>
      <c r="G403" s="120"/>
      <c r="H403" s="120"/>
      <c r="I403" s="120"/>
      <c r="J403" s="120"/>
      <c r="K403" s="957"/>
      <c r="L403" s="120"/>
      <c r="M403" s="120"/>
      <c r="N403" s="120"/>
      <c r="O403" s="120"/>
      <c r="P403" s="957"/>
      <c r="Q403" s="120"/>
      <c r="R403" s="120"/>
      <c r="S403" s="120"/>
      <c r="T403" s="120"/>
      <c r="U403" s="957"/>
      <c r="V403" s="120"/>
      <c r="W403" s="120"/>
      <c r="X403" s="120"/>
      <c r="Y403" s="120"/>
      <c r="Z403" s="957"/>
      <c r="AA403" s="120"/>
      <c r="AB403" s="120"/>
      <c r="AC403" s="120"/>
      <c r="AD403" s="120"/>
      <c r="AE403" s="957"/>
      <c r="AF403" s="120"/>
      <c r="AG403" s="120"/>
      <c r="AH403" s="120"/>
      <c r="AI403" s="120"/>
      <c r="AJ403" s="957"/>
      <c r="AK403" s="120"/>
      <c r="AL403" s="120"/>
      <c r="AM403" s="120"/>
      <c r="AN403" s="120"/>
      <c r="AO403" s="957"/>
      <c r="AP403" s="120"/>
      <c r="AQ403" s="120"/>
      <c r="AR403" s="120"/>
      <c r="AS403" s="120"/>
      <c r="AT403" s="957"/>
      <c r="AU403" s="120"/>
      <c r="AV403" s="120"/>
      <c r="AW403" s="120"/>
      <c r="AX403" s="120"/>
      <c r="AY403" s="957"/>
      <c r="AZ403" s="120"/>
      <c r="BA403" s="120"/>
      <c r="BB403" s="120"/>
      <c r="BC403" s="120"/>
      <c r="BD403" s="957"/>
      <c r="BE403" s="120"/>
      <c r="BF403" s="120"/>
      <c r="BG403" s="120"/>
      <c r="BH403" s="120"/>
      <c r="BI403" s="957"/>
      <c r="BJ403" s="120"/>
      <c r="BK403" s="120"/>
      <c r="BL403" s="120"/>
      <c r="BM403" s="120"/>
      <c r="BN403" s="957"/>
      <c r="BO403" s="120"/>
      <c r="BP403" s="120"/>
      <c r="BQ403" s="120"/>
      <c r="BR403" s="120"/>
      <c r="BS403" s="957"/>
      <c r="BT403" s="694"/>
      <c r="BU403" s="120"/>
      <c r="BV403" s="120"/>
      <c r="BW403" s="120"/>
      <c r="BX403" s="957"/>
      <c r="BY403" s="120"/>
      <c r="BZ403" s="120"/>
      <c r="CA403" s="120"/>
      <c r="CB403" s="120"/>
      <c r="CC403" s="957"/>
      <c r="CD403" s="957"/>
      <c r="CE403" s="957"/>
      <c r="CF403" s="957"/>
      <c r="CG403" s="615"/>
    </row>
    <row r="404" spans="1:85" s="460" customFormat="1" ht="14.4" hidden="1" outlineLevel="1" x14ac:dyDescent="0.3">
      <c r="A404" s="159" t="s">
        <v>1169</v>
      </c>
      <c r="B404" s="586"/>
      <c r="C404" s="150"/>
      <c r="D404" s="150"/>
      <c r="E404" s="150"/>
      <c r="F404" s="150"/>
      <c r="G404" s="117"/>
      <c r="H404" s="117"/>
      <c r="I404" s="117"/>
      <c r="J404" s="117"/>
      <c r="K404" s="150"/>
      <c r="L404" s="117"/>
      <c r="M404" s="117"/>
      <c r="N404" s="117"/>
      <c r="O404" s="117"/>
      <c r="P404" s="150"/>
      <c r="Q404" s="117"/>
      <c r="R404" s="117"/>
      <c r="S404" s="117"/>
      <c r="T404" s="117"/>
      <c r="U404" s="150"/>
      <c r="V404" s="117"/>
      <c r="W404" s="117"/>
      <c r="X404" s="117"/>
      <c r="Y404" s="117"/>
      <c r="Z404" s="150"/>
      <c r="AA404" s="117"/>
      <c r="AB404" s="117"/>
      <c r="AC404" s="117"/>
      <c r="AD404" s="117"/>
      <c r="AE404" s="150"/>
      <c r="AF404" s="117"/>
      <c r="AG404" s="117"/>
      <c r="AH404" s="117"/>
      <c r="AI404" s="117"/>
      <c r="AJ404" s="150"/>
      <c r="AK404" s="117"/>
      <c r="AL404" s="117"/>
      <c r="AM404" s="117"/>
      <c r="AN404" s="117"/>
      <c r="AO404" s="975">
        <v>0</v>
      </c>
      <c r="AP404" s="117"/>
      <c r="AQ404" s="117"/>
      <c r="AR404" s="117"/>
      <c r="AS404" s="117"/>
      <c r="AT404" s="975">
        <v>0</v>
      </c>
      <c r="AU404" s="117"/>
      <c r="AV404" s="117"/>
      <c r="AW404" s="117"/>
      <c r="AX404" s="117"/>
      <c r="AY404" s="975">
        <v>0</v>
      </c>
      <c r="AZ404" s="117"/>
      <c r="BA404" s="117"/>
      <c r="BB404" s="117"/>
      <c r="BC404" s="117"/>
      <c r="BD404" s="975">
        <v>0</v>
      </c>
      <c r="BE404" s="117"/>
      <c r="BF404" s="117"/>
      <c r="BG404" s="117"/>
      <c r="BH404" s="117"/>
      <c r="BI404" s="975">
        <v>0</v>
      </c>
      <c r="BJ404" s="117"/>
      <c r="BK404" s="117"/>
      <c r="BL404" s="117"/>
      <c r="BM404" s="117"/>
      <c r="BN404" s="975">
        <v>0</v>
      </c>
      <c r="BO404" s="117"/>
      <c r="BP404" s="117"/>
      <c r="BQ404" s="117"/>
      <c r="BR404" s="117"/>
      <c r="BS404" s="975">
        <v>0</v>
      </c>
      <c r="BT404" s="691"/>
      <c r="BU404" s="117"/>
      <c r="BV404" s="117"/>
      <c r="BW404" s="117"/>
      <c r="BX404" s="150"/>
      <c r="BY404" s="117"/>
      <c r="BZ404" s="117"/>
      <c r="CA404" s="117"/>
      <c r="CB404" s="117"/>
      <c r="CC404" s="150"/>
      <c r="CD404" s="150"/>
      <c r="CE404" s="150"/>
      <c r="CF404" s="150"/>
      <c r="CG404" s="587"/>
    </row>
    <row r="405" spans="1:85" s="460" customFormat="1" ht="14.4" hidden="1" outlineLevel="1" x14ac:dyDescent="0.3">
      <c r="A405" s="159" t="s">
        <v>1170</v>
      </c>
      <c r="B405" s="586"/>
      <c r="C405" s="150"/>
      <c r="D405" s="150"/>
      <c r="E405" s="150"/>
      <c r="F405" s="150"/>
      <c r="G405" s="117"/>
      <c r="H405" s="117"/>
      <c r="I405" s="117"/>
      <c r="J405" s="117"/>
      <c r="K405" s="150"/>
      <c r="L405" s="117"/>
      <c r="M405" s="117"/>
      <c r="N405" s="117"/>
      <c r="O405" s="117"/>
      <c r="P405" s="150"/>
      <c r="Q405" s="117"/>
      <c r="R405" s="117"/>
      <c r="S405" s="117"/>
      <c r="T405" s="117"/>
      <c r="U405" s="150"/>
      <c r="V405" s="117"/>
      <c r="W405" s="117"/>
      <c r="X405" s="117"/>
      <c r="Y405" s="117"/>
      <c r="Z405" s="150"/>
      <c r="AA405" s="117"/>
      <c r="AB405" s="117"/>
      <c r="AC405" s="117"/>
      <c r="AD405" s="117"/>
      <c r="AE405" s="150"/>
      <c r="AF405" s="117"/>
      <c r="AG405" s="117"/>
      <c r="AH405" s="117"/>
      <c r="AI405" s="117"/>
      <c r="AJ405" s="150"/>
      <c r="AK405" s="117"/>
      <c r="AL405" s="117"/>
      <c r="AM405" s="117"/>
      <c r="AN405" s="117"/>
      <c r="AO405" s="975">
        <v>540</v>
      </c>
      <c r="AP405" s="117"/>
      <c r="AQ405" s="117"/>
      <c r="AR405" s="117"/>
      <c r="AS405" s="117"/>
      <c r="AT405" s="975">
        <v>597</v>
      </c>
      <c r="AU405" s="117"/>
      <c r="AV405" s="117"/>
      <c r="AW405" s="117"/>
      <c r="AX405" s="117"/>
      <c r="AY405" s="975">
        <v>471</v>
      </c>
      <c r="AZ405" s="117"/>
      <c r="BA405" s="117"/>
      <c r="BB405" s="117"/>
      <c r="BC405" s="117"/>
      <c r="BD405" s="975">
        <v>574</v>
      </c>
      <c r="BE405" s="117"/>
      <c r="BF405" s="117"/>
      <c r="BG405" s="117"/>
      <c r="BH405" s="117"/>
      <c r="BI405" s="975">
        <v>598</v>
      </c>
      <c r="BJ405" s="117"/>
      <c r="BK405" s="117"/>
      <c r="BL405" s="117"/>
      <c r="BM405" s="117"/>
      <c r="BN405" s="975">
        <v>0</v>
      </c>
      <c r="BO405" s="117"/>
      <c r="BP405" s="117"/>
      <c r="BQ405" s="117"/>
      <c r="BR405" s="117"/>
      <c r="BS405" s="975">
        <v>0</v>
      </c>
      <c r="BT405" s="691"/>
      <c r="BU405" s="117"/>
      <c r="BV405" s="117"/>
      <c r="BW405" s="117"/>
      <c r="BX405" s="150"/>
      <c r="BY405" s="117"/>
      <c r="BZ405" s="117"/>
      <c r="CA405" s="117"/>
      <c r="CB405" s="117"/>
      <c r="CC405" s="150"/>
      <c r="CD405" s="150"/>
      <c r="CE405" s="150"/>
      <c r="CF405" s="150"/>
      <c r="CG405" s="587"/>
    </row>
    <row r="406" spans="1:85" s="460" customFormat="1" ht="14.4" hidden="1" outlineLevel="1" x14ac:dyDescent="0.3">
      <c r="A406" s="159" t="s">
        <v>1171</v>
      </c>
      <c r="B406" s="586"/>
      <c r="C406" s="150"/>
      <c r="D406" s="150"/>
      <c r="E406" s="150"/>
      <c r="F406" s="150"/>
      <c r="G406" s="117"/>
      <c r="H406" s="117"/>
      <c r="I406" s="117"/>
      <c r="J406" s="117"/>
      <c r="K406" s="150"/>
      <c r="L406" s="117"/>
      <c r="M406" s="117"/>
      <c r="N406" s="117"/>
      <c r="O406" s="117"/>
      <c r="P406" s="150"/>
      <c r="Q406" s="117"/>
      <c r="R406" s="117"/>
      <c r="S406" s="117"/>
      <c r="T406" s="117"/>
      <c r="U406" s="150"/>
      <c r="V406" s="117"/>
      <c r="W406" s="117"/>
      <c r="X406" s="117"/>
      <c r="Y406" s="117"/>
      <c r="Z406" s="150"/>
      <c r="AA406" s="117"/>
      <c r="AB406" s="117"/>
      <c r="AC406" s="117"/>
      <c r="AD406" s="117"/>
      <c r="AE406" s="150"/>
      <c r="AF406" s="117"/>
      <c r="AG406" s="117"/>
      <c r="AH406" s="117"/>
      <c r="AI406" s="117"/>
      <c r="AJ406" s="150"/>
      <c r="AK406" s="117"/>
      <c r="AL406" s="117"/>
      <c r="AM406" s="117"/>
      <c r="AN406" s="117"/>
      <c r="AO406" s="975">
        <v>0</v>
      </c>
      <c r="AP406" s="117"/>
      <c r="AQ406" s="117"/>
      <c r="AR406" s="117"/>
      <c r="AS406" s="117"/>
      <c r="AT406" s="975">
        <v>0</v>
      </c>
      <c r="AU406" s="117"/>
      <c r="AV406" s="117"/>
      <c r="AW406" s="117"/>
      <c r="AX406" s="117"/>
      <c r="AY406" s="975">
        <v>0</v>
      </c>
      <c r="AZ406" s="117"/>
      <c r="BA406" s="117"/>
      <c r="BB406" s="117"/>
      <c r="BC406" s="117"/>
      <c r="BD406" s="975">
        <v>0</v>
      </c>
      <c r="BE406" s="117"/>
      <c r="BF406" s="117"/>
      <c r="BG406" s="117"/>
      <c r="BH406" s="117"/>
      <c r="BI406" s="975">
        <v>0</v>
      </c>
      <c r="BJ406" s="117"/>
      <c r="BK406" s="117"/>
      <c r="BL406" s="117"/>
      <c r="BM406" s="117"/>
      <c r="BN406" s="975">
        <v>0</v>
      </c>
      <c r="BO406" s="117"/>
      <c r="BP406" s="117"/>
      <c r="BQ406" s="117"/>
      <c r="BR406" s="117"/>
      <c r="BS406" s="975">
        <v>0</v>
      </c>
      <c r="BT406" s="691"/>
      <c r="BU406" s="117"/>
      <c r="BV406" s="117"/>
      <c r="BW406" s="117"/>
      <c r="BX406" s="150"/>
      <c r="BY406" s="117"/>
      <c r="BZ406" s="117"/>
      <c r="CA406" s="117"/>
      <c r="CB406" s="117"/>
      <c r="CC406" s="150"/>
      <c r="CD406" s="150"/>
      <c r="CE406" s="150"/>
      <c r="CF406" s="150"/>
      <c r="CG406" s="587"/>
    </row>
    <row r="407" spans="1:85" s="460" customFormat="1" ht="14.4" hidden="1" outlineLevel="1" x14ac:dyDescent="0.3">
      <c r="A407" s="159" t="s">
        <v>1172</v>
      </c>
      <c r="B407" s="586"/>
      <c r="C407" s="150"/>
      <c r="D407" s="150"/>
      <c r="E407" s="150"/>
      <c r="F407" s="150"/>
      <c r="G407" s="117"/>
      <c r="H407" s="117"/>
      <c r="I407" s="117"/>
      <c r="J407" s="117"/>
      <c r="K407" s="150"/>
      <c r="L407" s="117"/>
      <c r="M407" s="117"/>
      <c r="N407" s="117"/>
      <c r="O407" s="117"/>
      <c r="P407" s="150"/>
      <c r="Q407" s="117"/>
      <c r="R407" s="117"/>
      <c r="S407" s="117"/>
      <c r="T407" s="117"/>
      <c r="U407" s="150"/>
      <c r="V407" s="117"/>
      <c r="W407" s="117"/>
      <c r="X407" s="117"/>
      <c r="Y407" s="117"/>
      <c r="Z407" s="150"/>
      <c r="AA407" s="117"/>
      <c r="AB407" s="117"/>
      <c r="AC407" s="117"/>
      <c r="AD407" s="117"/>
      <c r="AE407" s="150"/>
      <c r="AF407" s="117"/>
      <c r="AG407" s="117"/>
      <c r="AH407" s="117"/>
      <c r="AI407" s="117"/>
      <c r="AJ407" s="150"/>
      <c r="AK407" s="117"/>
      <c r="AL407" s="117"/>
      <c r="AM407" s="117"/>
      <c r="AN407" s="117"/>
      <c r="AO407" s="975">
        <v>0</v>
      </c>
      <c r="AP407" s="117"/>
      <c r="AQ407" s="117"/>
      <c r="AR407" s="117"/>
      <c r="AS407" s="117"/>
      <c r="AT407" s="975">
        <v>0</v>
      </c>
      <c r="AU407" s="117"/>
      <c r="AV407" s="117"/>
      <c r="AW407" s="117"/>
      <c r="AX407" s="117"/>
      <c r="AY407" s="975">
        <v>0</v>
      </c>
      <c r="AZ407" s="117"/>
      <c r="BA407" s="117"/>
      <c r="BB407" s="117"/>
      <c r="BC407" s="117"/>
      <c r="BD407" s="975">
        <v>0</v>
      </c>
      <c r="BE407" s="117"/>
      <c r="BF407" s="117"/>
      <c r="BG407" s="117"/>
      <c r="BH407" s="117"/>
      <c r="BI407" s="975">
        <v>0</v>
      </c>
      <c r="BJ407" s="117"/>
      <c r="BK407" s="117"/>
      <c r="BL407" s="117"/>
      <c r="BM407" s="117"/>
      <c r="BN407" s="975">
        <v>0</v>
      </c>
      <c r="BO407" s="117"/>
      <c r="BP407" s="117"/>
      <c r="BQ407" s="117"/>
      <c r="BR407" s="117"/>
      <c r="BS407" s="975">
        <v>0</v>
      </c>
      <c r="BT407" s="691"/>
      <c r="BU407" s="117"/>
      <c r="BV407" s="117"/>
      <c r="BW407" s="117"/>
      <c r="BX407" s="150"/>
      <c r="BY407" s="117"/>
      <c r="BZ407" s="117"/>
      <c r="CA407" s="117"/>
      <c r="CB407" s="117"/>
      <c r="CC407" s="150"/>
      <c r="CD407" s="150"/>
      <c r="CE407" s="150"/>
      <c r="CF407" s="150"/>
      <c r="CG407" s="587"/>
    </row>
    <row r="408" spans="1:85" s="460" customFormat="1" ht="14.4" hidden="1" outlineLevel="1" x14ac:dyDescent="0.3">
      <c r="A408" s="159" t="s">
        <v>1173</v>
      </c>
      <c r="B408" s="586"/>
      <c r="C408" s="150"/>
      <c r="D408" s="150"/>
      <c r="E408" s="150"/>
      <c r="F408" s="150"/>
      <c r="G408" s="117"/>
      <c r="H408" s="117"/>
      <c r="I408" s="117"/>
      <c r="J408" s="117"/>
      <c r="K408" s="150"/>
      <c r="L408" s="117"/>
      <c r="M408" s="117"/>
      <c r="N408" s="117"/>
      <c r="O408" s="117"/>
      <c r="P408" s="150"/>
      <c r="Q408" s="117"/>
      <c r="R408" s="117"/>
      <c r="S408" s="117"/>
      <c r="T408" s="117"/>
      <c r="U408" s="150"/>
      <c r="V408" s="117"/>
      <c r="W408" s="117"/>
      <c r="X408" s="117"/>
      <c r="Y408" s="117"/>
      <c r="Z408" s="150"/>
      <c r="AA408" s="117"/>
      <c r="AB408" s="117"/>
      <c r="AC408" s="117"/>
      <c r="AD408" s="117"/>
      <c r="AE408" s="150"/>
      <c r="AF408" s="117"/>
      <c r="AG408" s="117"/>
      <c r="AH408" s="117"/>
      <c r="AI408" s="117"/>
      <c r="AJ408" s="150"/>
      <c r="AK408" s="117"/>
      <c r="AL408" s="117"/>
      <c r="AM408" s="117"/>
      <c r="AN408" s="117"/>
      <c r="AO408" s="975">
        <v>0</v>
      </c>
      <c r="AP408" s="117"/>
      <c r="AQ408" s="117"/>
      <c r="AR408" s="117"/>
      <c r="AS408" s="117"/>
      <c r="AT408" s="975">
        <v>0</v>
      </c>
      <c r="AU408" s="117"/>
      <c r="AV408" s="117"/>
      <c r="AW408" s="117"/>
      <c r="AX408" s="117"/>
      <c r="AY408" s="975">
        <v>0</v>
      </c>
      <c r="AZ408" s="117"/>
      <c r="BA408" s="117"/>
      <c r="BB408" s="117"/>
      <c r="BC408" s="117"/>
      <c r="BD408" s="975">
        <v>0</v>
      </c>
      <c r="BE408" s="117"/>
      <c r="BF408" s="117"/>
      <c r="BG408" s="117"/>
      <c r="BH408" s="117"/>
      <c r="BI408" s="975">
        <v>0</v>
      </c>
      <c r="BJ408" s="117"/>
      <c r="BK408" s="117"/>
      <c r="BL408" s="117"/>
      <c r="BM408" s="117"/>
      <c r="BN408" s="975">
        <v>0</v>
      </c>
      <c r="BO408" s="117"/>
      <c r="BP408" s="117"/>
      <c r="BQ408" s="117"/>
      <c r="BR408" s="117"/>
      <c r="BS408" s="975">
        <v>0</v>
      </c>
      <c r="BT408" s="691"/>
      <c r="BU408" s="117"/>
      <c r="BV408" s="117"/>
      <c r="BW408" s="117"/>
      <c r="BX408" s="150"/>
      <c r="BY408" s="117"/>
      <c r="BZ408" s="117"/>
      <c r="CA408" s="117"/>
      <c r="CB408" s="117"/>
      <c r="CC408" s="150"/>
      <c r="CD408" s="150"/>
      <c r="CE408" s="150"/>
      <c r="CF408" s="150"/>
      <c r="CG408" s="587"/>
    </row>
    <row r="409" spans="1:85" s="460" customFormat="1" ht="14.4" hidden="1" outlineLevel="1" x14ac:dyDescent="0.3">
      <c r="A409" s="262" t="s">
        <v>1174</v>
      </c>
      <c r="B409" s="588"/>
      <c r="C409" s="954"/>
      <c r="D409" s="954"/>
      <c r="E409" s="954"/>
      <c r="F409" s="954"/>
      <c r="G409" s="133"/>
      <c r="H409" s="133"/>
      <c r="I409" s="133"/>
      <c r="J409" s="133"/>
      <c r="K409" s="954"/>
      <c r="L409" s="133"/>
      <c r="M409" s="133"/>
      <c r="N409" s="133"/>
      <c r="O409" s="133"/>
      <c r="P409" s="954"/>
      <c r="Q409" s="133"/>
      <c r="R409" s="133"/>
      <c r="S409" s="133"/>
      <c r="T409" s="133"/>
      <c r="U409" s="954"/>
      <c r="V409" s="133"/>
      <c r="W409" s="133"/>
      <c r="X409" s="133"/>
      <c r="Y409" s="133"/>
      <c r="Z409" s="954"/>
      <c r="AA409" s="133"/>
      <c r="AB409" s="133"/>
      <c r="AC409" s="133"/>
      <c r="AD409" s="133"/>
      <c r="AE409" s="954"/>
      <c r="AF409" s="133"/>
      <c r="AG409" s="133"/>
      <c r="AH409" s="133"/>
      <c r="AI409" s="133"/>
      <c r="AJ409" s="954"/>
      <c r="AK409" s="133"/>
      <c r="AL409" s="133"/>
      <c r="AM409" s="133"/>
      <c r="AN409" s="133"/>
      <c r="AO409" s="976">
        <v>0</v>
      </c>
      <c r="AP409" s="133"/>
      <c r="AQ409" s="133"/>
      <c r="AR409" s="133"/>
      <c r="AS409" s="133"/>
      <c r="AT409" s="976">
        <v>0</v>
      </c>
      <c r="AU409" s="133"/>
      <c r="AV409" s="133"/>
      <c r="AW409" s="133"/>
      <c r="AX409" s="133"/>
      <c r="AY409" s="976">
        <v>0</v>
      </c>
      <c r="AZ409" s="133"/>
      <c r="BA409" s="133"/>
      <c r="BB409" s="133"/>
      <c r="BC409" s="133"/>
      <c r="BD409" s="976">
        <v>0</v>
      </c>
      <c r="BE409" s="133"/>
      <c r="BF409" s="133"/>
      <c r="BG409" s="133"/>
      <c r="BH409" s="133"/>
      <c r="BI409" s="976">
        <v>0</v>
      </c>
      <c r="BJ409" s="133"/>
      <c r="BK409" s="133"/>
      <c r="BL409" s="133"/>
      <c r="BM409" s="133"/>
      <c r="BN409" s="976">
        <v>0</v>
      </c>
      <c r="BO409" s="133"/>
      <c r="BP409" s="133"/>
      <c r="BQ409" s="133"/>
      <c r="BR409" s="133"/>
      <c r="BS409" s="976">
        <v>0</v>
      </c>
      <c r="BT409" s="692"/>
      <c r="BU409" s="133"/>
      <c r="BV409" s="133"/>
      <c r="BW409" s="133"/>
      <c r="BX409" s="954"/>
      <c r="BY409" s="133"/>
      <c r="BZ409" s="133"/>
      <c r="CA409" s="133"/>
      <c r="CB409" s="133"/>
      <c r="CC409" s="954"/>
      <c r="CD409" s="954"/>
      <c r="CE409" s="954"/>
      <c r="CF409" s="954"/>
      <c r="CG409" s="587"/>
    </row>
    <row r="410" spans="1:85" s="461" customFormat="1" ht="14.4" hidden="1" outlineLevel="1" x14ac:dyDescent="0.3">
      <c r="A410" s="166" t="s">
        <v>1186</v>
      </c>
      <c r="B410" s="583"/>
      <c r="C410" s="957"/>
      <c r="D410" s="957"/>
      <c r="E410" s="957"/>
      <c r="F410" s="957"/>
      <c r="G410" s="120"/>
      <c r="H410" s="120"/>
      <c r="I410" s="120"/>
      <c r="J410" s="120"/>
      <c r="K410" s="957"/>
      <c r="L410" s="120"/>
      <c r="M410" s="120"/>
      <c r="N410" s="120"/>
      <c r="O410" s="120"/>
      <c r="P410" s="957"/>
      <c r="Q410" s="120"/>
      <c r="R410" s="120"/>
      <c r="S410" s="120"/>
      <c r="T410" s="120"/>
      <c r="U410" s="957"/>
      <c r="V410" s="120"/>
      <c r="W410" s="120"/>
      <c r="X410" s="120"/>
      <c r="Y410" s="120"/>
      <c r="Z410" s="957"/>
      <c r="AA410" s="120"/>
      <c r="AB410" s="120"/>
      <c r="AC410" s="120"/>
      <c r="AD410" s="120"/>
      <c r="AE410" s="957"/>
      <c r="AF410" s="120"/>
      <c r="AG410" s="120"/>
      <c r="AH410" s="120"/>
      <c r="AI410" s="120"/>
      <c r="AJ410" s="957"/>
      <c r="AK410" s="120"/>
      <c r="AL410" s="120"/>
      <c r="AM410" s="120"/>
      <c r="AN410" s="120"/>
      <c r="AO410" s="957">
        <f>SUM(AO404:AO409)</f>
        <v>540</v>
      </c>
      <c r="AP410" s="120"/>
      <c r="AQ410" s="120"/>
      <c r="AR410" s="120"/>
      <c r="AS410" s="120"/>
      <c r="AT410" s="957">
        <f>SUM(AT404:AT409)</f>
        <v>597</v>
      </c>
      <c r="AU410" s="120"/>
      <c r="AV410" s="120"/>
      <c r="AW410" s="120"/>
      <c r="AX410" s="120"/>
      <c r="AY410" s="957">
        <f>SUM(AY404:AY409)</f>
        <v>471</v>
      </c>
      <c r="AZ410" s="120"/>
      <c r="BA410" s="120"/>
      <c r="BB410" s="120"/>
      <c r="BC410" s="120"/>
      <c r="BD410" s="957">
        <f>SUM(BD404:BD409)</f>
        <v>574</v>
      </c>
      <c r="BE410" s="120"/>
      <c r="BF410" s="120"/>
      <c r="BG410" s="120"/>
      <c r="BH410" s="120"/>
      <c r="BI410" s="957">
        <f>SUM(BI404:BI409)</f>
        <v>598</v>
      </c>
      <c r="BJ410" s="120"/>
      <c r="BK410" s="120"/>
      <c r="BL410" s="120"/>
      <c r="BM410" s="120"/>
      <c r="BN410" s="957">
        <f>SUM(BN404:BN409)</f>
        <v>0</v>
      </c>
      <c r="BO410" s="120"/>
      <c r="BP410" s="120"/>
      <c r="BQ410" s="120"/>
      <c r="BR410" s="120"/>
      <c r="BS410" s="957">
        <f>SUM(BS404:BS409)</f>
        <v>0</v>
      </c>
      <c r="BT410" s="694"/>
      <c r="BU410" s="120"/>
      <c r="BV410" s="120"/>
      <c r="BW410" s="120"/>
      <c r="BX410" s="957"/>
      <c r="BY410" s="120"/>
      <c r="BZ410" s="120"/>
      <c r="CA410" s="120"/>
      <c r="CB410" s="120"/>
      <c r="CC410" s="957"/>
      <c r="CD410" s="957"/>
      <c r="CE410" s="957"/>
      <c r="CF410" s="957"/>
      <c r="CG410" s="615"/>
    </row>
    <row r="411" spans="1:85" s="460" customFormat="1" ht="14.4" hidden="1" outlineLevel="1" x14ac:dyDescent="0.3">
      <c r="A411" s="159" t="s">
        <v>1175</v>
      </c>
      <c r="B411" s="586"/>
      <c r="C411" s="150"/>
      <c r="D411" s="150"/>
      <c r="E411" s="150"/>
      <c r="F411" s="150"/>
      <c r="G411" s="117"/>
      <c r="H411" s="117"/>
      <c r="I411" s="117"/>
      <c r="J411" s="117"/>
      <c r="K411" s="150"/>
      <c r="L411" s="117"/>
      <c r="M411" s="117"/>
      <c r="N411" s="117"/>
      <c r="O411" s="117"/>
      <c r="P411" s="150"/>
      <c r="Q411" s="117"/>
      <c r="R411" s="117"/>
      <c r="S411" s="117"/>
      <c r="T411" s="117"/>
      <c r="U411" s="150"/>
      <c r="V411" s="117"/>
      <c r="W411" s="117"/>
      <c r="X411" s="117"/>
      <c r="Y411" s="117"/>
      <c r="Z411" s="150"/>
      <c r="AA411" s="117"/>
      <c r="AB411" s="117"/>
      <c r="AC411" s="117"/>
      <c r="AD411" s="117"/>
      <c r="AE411" s="150"/>
      <c r="AF411" s="117"/>
      <c r="AG411" s="117"/>
      <c r="AH411" s="117"/>
      <c r="AI411" s="117"/>
      <c r="AJ411" s="150"/>
      <c r="AK411" s="117"/>
      <c r="AL411" s="117"/>
      <c r="AM411" s="117"/>
      <c r="AN411" s="117"/>
      <c r="AO411" s="975">
        <v>0</v>
      </c>
      <c r="AP411" s="117"/>
      <c r="AQ411" s="117"/>
      <c r="AR411" s="117"/>
      <c r="AS411" s="117"/>
      <c r="AT411" s="975">
        <v>0</v>
      </c>
      <c r="AU411" s="117"/>
      <c r="AV411" s="117"/>
      <c r="AW411" s="117"/>
      <c r="AX411" s="117"/>
      <c r="AY411" s="975">
        <v>0</v>
      </c>
      <c r="AZ411" s="117"/>
      <c r="BA411" s="117"/>
      <c r="BB411" s="117"/>
      <c r="BC411" s="117"/>
      <c r="BD411" s="975">
        <v>0</v>
      </c>
      <c r="BE411" s="117"/>
      <c r="BF411" s="117"/>
      <c r="BG411" s="117"/>
      <c r="BH411" s="117"/>
      <c r="BI411" s="975">
        <v>0</v>
      </c>
      <c r="BJ411" s="117"/>
      <c r="BK411" s="117"/>
      <c r="BL411" s="117"/>
      <c r="BM411" s="117"/>
      <c r="BN411" s="975">
        <v>0</v>
      </c>
      <c r="BO411" s="117"/>
      <c r="BP411" s="117"/>
      <c r="BQ411" s="117"/>
      <c r="BR411" s="117"/>
      <c r="BS411" s="975">
        <v>0</v>
      </c>
      <c r="BT411" s="691"/>
      <c r="BU411" s="117"/>
      <c r="BV411" s="117"/>
      <c r="BW411" s="117"/>
      <c r="BX411" s="150"/>
      <c r="BY411" s="117"/>
      <c r="BZ411" s="117"/>
      <c r="CA411" s="117"/>
      <c r="CB411" s="117"/>
      <c r="CC411" s="150"/>
      <c r="CD411" s="150"/>
      <c r="CE411" s="150"/>
      <c r="CF411" s="150"/>
      <c r="CG411" s="587"/>
    </row>
    <row r="412" spans="1:85" s="460" customFormat="1" ht="14.4" hidden="1" outlineLevel="1" x14ac:dyDescent="0.3">
      <c r="A412" s="262" t="s">
        <v>1176</v>
      </c>
      <c r="B412" s="588"/>
      <c r="C412" s="954"/>
      <c r="D412" s="954"/>
      <c r="E412" s="954"/>
      <c r="F412" s="954"/>
      <c r="G412" s="133"/>
      <c r="H412" s="133"/>
      <c r="I412" s="133"/>
      <c r="J412" s="133"/>
      <c r="K412" s="954"/>
      <c r="L412" s="133"/>
      <c r="M412" s="133"/>
      <c r="N412" s="133"/>
      <c r="O412" s="133"/>
      <c r="P412" s="954"/>
      <c r="Q412" s="133"/>
      <c r="R412" s="133"/>
      <c r="S412" s="133"/>
      <c r="T412" s="133"/>
      <c r="U412" s="954"/>
      <c r="V412" s="133"/>
      <c r="W412" s="133"/>
      <c r="X412" s="133"/>
      <c r="Y412" s="133"/>
      <c r="Z412" s="954"/>
      <c r="AA412" s="133"/>
      <c r="AB412" s="133"/>
      <c r="AC412" s="133"/>
      <c r="AD412" s="133"/>
      <c r="AE412" s="954"/>
      <c r="AF412" s="133"/>
      <c r="AG412" s="133"/>
      <c r="AH412" s="133"/>
      <c r="AI412" s="133"/>
      <c r="AJ412" s="954"/>
      <c r="AK412" s="133"/>
      <c r="AL412" s="133"/>
      <c r="AM412" s="133"/>
      <c r="AN412" s="133"/>
      <c r="AO412" s="976">
        <v>0</v>
      </c>
      <c r="AP412" s="133"/>
      <c r="AQ412" s="133"/>
      <c r="AR412" s="133"/>
      <c r="AS412" s="133"/>
      <c r="AT412" s="976">
        <v>0</v>
      </c>
      <c r="AU412" s="133"/>
      <c r="AV412" s="133"/>
      <c r="AW412" s="133"/>
      <c r="AX412" s="133"/>
      <c r="AY412" s="976">
        <v>0</v>
      </c>
      <c r="AZ412" s="133"/>
      <c r="BA412" s="133"/>
      <c r="BB412" s="133"/>
      <c r="BC412" s="133"/>
      <c r="BD412" s="976">
        <v>0</v>
      </c>
      <c r="BE412" s="133"/>
      <c r="BF412" s="133"/>
      <c r="BG412" s="133"/>
      <c r="BH412" s="133"/>
      <c r="BI412" s="976">
        <v>0</v>
      </c>
      <c r="BJ412" s="133"/>
      <c r="BK412" s="133"/>
      <c r="BL412" s="133"/>
      <c r="BM412" s="133"/>
      <c r="BN412" s="976">
        <v>0</v>
      </c>
      <c r="BO412" s="133"/>
      <c r="BP412" s="133"/>
      <c r="BQ412" s="133"/>
      <c r="BR412" s="133"/>
      <c r="BS412" s="976">
        <v>0</v>
      </c>
      <c r="BT412" s="692"/>
      <c r="BU412" s="133"/>
      <c r="BV412" s="133"/>
      <c r="BW412" s="133"/>
      <c r="BX412" s="954"/>
      <c r="BY412" s="133"/>
      <c r="BZ412" s="133"/>
      <c r="CA412" s="133"/>
      <c r="CB412" s="133"/>
      <c r="CC412" s="954"/>
      <c r="CD412" s="954"/>
      <c r="CE412" s="954"/>
      <c r="CF412" s="954"/>
      <c r="CG412" s="587"/>
    </row>
    <row r="413" spans="1:85" s="461" customFormat="1" ht="14.4" hidden="1" outlineLevel="1" x14ac:dyDescent="0.3">
      <c r="A413" s="602" t="s">
        <v>1187</v>
      </c>
      <c r="B413" s="594"/>
      <c r="C413" s="982"/>
      <c r="D413" s="982"/>
      <c r="E413" s="982"/>
      <c r="F413" s="982"/>
      <c r="G413" s="595"/>
      <c r="H413" s="595"/>
      <c r="I413" s="595"/>
      <c r="J413" s="595"/>
      <c r="K413" s="982"/>
      <c r="L413" s="595"/>
      <c r="M413" s="595"/>
      <c r="N413" s="595"/>
      <c r="O413" s="595"/>
      <c r="P413" s="982"/>
      <c r="Q413" s="595"/>
      <c r="R413" s="595"/>
      <c r="S413" s="595"/>
      <c r="T413" s="595"/>
      <c r="U413" s="982"/>
      <c r="V413" s="595"/>
      <c r="W413" s="595"/>
      <c r="X413" s="595"/>
      <c r="Y413" s="595"/>
      <c r="Z413" s="982"/>
      <c r="AA413" s="595"/>
      <c r="AB413" s="595"/>
      <c r="AC413" s="595"/>
      <c r="AD413" s="595"/>
      <c r="AE413" s="982"/>
      <c r="AF413" s="595"/>
      <c r="AG413" s="595"/>
      <c r="AH413" s="595"/>
      <c r="AI413" s="595"/>
      <c r="AJ413" s="982"/>
      <c r="AK413" s="595"/>
      <c r="AL413" s="595"/>
      <c r="AM413" s="595"/>
      <c r="AN413" s="595"/>
      <c r="AO413" s="982">
        <f>SUM(AO411:AO412)</f>
        <v>0</v>
      </c>
      <c r="AP413" s="595"/>
      <c r="AQ413" s="595"/>
      <c r="AR413" s="595"/>
      <c r="AS413" s="595"/>
      <c r="AT413" s="982">
        <f>SUM(AT411:AT412)</f>
        <v>0</v>
      </c>
      <c r="AU413" s="595"/>
      <c r="AV413" s="595"/>
      <c r="AW413" s="595"/>
      <c r="AX413" s="595"/>
      <c r="AY413" s="982">
        <f>SUM(AY411:AY412)</f>
        <v>0</v>
      </c>
      <c r="AZ413" s="595"/>
      <c r="BA413" s="595"/>
      <c r="BB413" s="595"/>
      <c r="BC413" s="595"/>
      <c r="BD413" s="982">
        <f>SUM(BD411:BD412)</f>
        <v>0</v>
      </c>
      <c r="BE413" s="595"/>
      <c r="BF413" s="595"/>
      <c r="BG413" s="595"/>
      <c r="BH413" s="595"/>
      <c r="BI413" s="982">
        <f>SUM(BI411:BI412)</f>
        <v>0</v>
      </c>
      <c r="BJ413" s="595"/>
      <c r="BK413" s="595"/>
      <c r="BL413" s="595"/>
      <c r="BM413" s="595"/>
      <c r="BN413" s="982">
        <f>SUM(BN411:BN412)</f>
        <v>0</v>
      </c>
      <c r="BO413" s="595"/>
      <c r="BP413" s="595"/>
      <c r="BQ413" s="595"/>
      <c r="BR413" s="595"/>
      <c r="BS413" s="982">
        <f>SUM(BS411:BS412)</f>
        <v>0</v>
      </c>
      <c r="BT413" s="711"/>
      <c r="BU413" s="595"/>
      <c r="BV413" s="595"/>
      <c r="BW413" s="595"/>
      <c r="BX413" s="982"/>
      <c r="BY413" s="595"/>
      <c r="BZ413" s="595"/>
      <c r="CA413" s="595"/>
      <c r="CB413" s="595"/>
      <c r="CC413" s="982"/>
      <c r="CD413" s="982"/>
      <c r="CE413" s="982"/>
      <c r="CF413" s="982"/>
      <c r="CG413" s="615"/>
    </row>
    <row r="414" spans="1:85" s="461" customFormat="1" ht="14.4" hidden="1" outlineLevel="1" x14ac:dyDescent="0.3">
      <c r="A414" s="166" t="s">
        <v>1188</v>
      </c>
      <c r="B414" s="583"/>
      <c r="C414" s="957"/>
      <c r="D414" s="957"/>
      <c r="E414" s="957"/>
      <c r="F414" s="957"/>
      <c r="G414" s="120"/>
      <c r="H414" s="120"/>
      <c r="I414" s="120"/>
      <c r="J414" s="120"/>
      <c r="K414" s="957"/>
      <c r="L414" s="120"/>
      <c r="M414" s="120"/>
      <c r="N414" s="120"/>
      <c r="O414" s="120"/>
      <c r="P414" s="957"/>
      <c r="Q414" s="120"/>
      <c r="R414" s="120"/>
      <c r="S414" s="120"/>
      <c r="T414" s="120"/>
      <c r="U414" s="957"/>
      <c r="V414" s="120"/>
      <c r="W414" s="120"/>
      <c r="X414" s="120"/>
      <c r="Y414" s="120"/>
      <c r="Z414" s="957"/>
      <c r="AA414" s="120"/>
      <c r="AB414" s="120"/>
      <c r="AC414" s="120"/>
      <c r="AD414" s="120"/>
      <c r="AE414" s="957"/>
      <c r="AF414" s="120"/>
      <c r="AG414" s="120"/>
      <c r="AH414" s="120"/>
      <c r="AI414" s="120"/>
      <c r="AJ414" s="957"/>
      <c r="AK414" s="120"/>
      <c r="AL414" s="120"/>
      <c r="AM414" s="120"/>
      <c r="AN414" s="120"/>
      <c r="AO414" s="957">
        <f>AO410+AO413</f>
        <v>540</v>
      </c>
      <c r="AP414" s="120"/>
      <c r="AQ414" s="120"/>
      <c r="AR414" s="120"/>
      <c r="AS414" s="120"/>
      <c r="AT414" s="957">
        <f>AT410+AT413</f>
        <v>597</v>
      </c>
      <c r="AU414" s="120"/>
      <c r="AV414" s="120"/>
      <c r="AW414" s="120"/>
      <c r="AX414" s="120"/>
      <c r="AY414" s="957">
        <f>AY410+AY413</f>
        <v>471</v>
      </c>
      <c r="AZ414" s="120"/>
      <c r="BA414" s="120"/>
      <c r="BB414" s="120"/>
      <c r="BC414" s="120"/>
      <c r="BD414" s="957">
        <f>BD410+BD413</f>
        <v>574</v>
      </c>
      <c r="BE414" s="120"/>
      <c r="BF414" s="120"/>
      <c r="BG414" s="120"/>
      <c r="BH414" s="120"/>
      <c r="BI414" s="957">
        <f>BI410+BI413</f>
        <v>598</v>
      </c>
      <c r="BJ414" s="120"/>
      <c r="BK414" s="120"/>
      <c r="BL414" s="120"/>
      <c r="BM414" s="120"/>
      <c r="BN414" s="957">
        <f>BN410+BN413</f>
        <v>0</v>
      </c>
      <c r="BO414" s="120"/>
      <c r="BP414" s="120"/>
      <c r="BQ414" s="120"/>
      <c r="BR414" s="120"/>
      <c r="BS414" s="957">
        <f>BS410+BS413</f>
        <v>0</v>
      </c>
      <c r="BT414" s="694"/>
      <c r="BU414" s="120"/>
      <c r="BV414" s="120"/>
      <c r="BW414" s="120"/>
      <c r="BX414" s="957"/>
      <c r="BY414" s="120"/>
      <c r="BZ414" s="120"/>
      <c r="CA414" s="120"/>
      <c r="CB414" s="120"/>
      <c r="CC414" s="957"/>
      <c r="CD414" s="957"/>
      <c r="CE414" s="957"/>
      <c r="CF414" s="957"/>
      <c r="CG414" s="615"/>
    </row>
    <row r="415" spans="1:85" s="460" customFormat="1" ht="14.4" hidden="1" outlineLevel="1" x14ac:dyDescent="0.3">
      <c r="A415" s="159" t="s">
        <v>1177</v>
      </c>
      <c r="B415" s="586"/>
      <c r="C415" s="150"/>
      <c r="D415" s="150"/>
      <c r="E415" s="150"/>
      <c r="F415" s="150"/>
      <c r="G415" s="117"/>
      <c r="H415" s="117"/>
      <c r="I415" s="117"/>
      <c r="J415" s="117"/>
      <c r="K415" s="150"/>
      <c r="L415" s="117"/>
      <c r="M415" s="117"/>
      <c r="N415" s="117"/>
      <c r="O415" s="117"/>
      <c r="P415" s="150"/>
      <c r="Q415" s="117"/>
      <c r="R415" s="117"/>
      <c r="S415" s="117"/>
      <c r="T415" s="117"/>
      <c r="U415" s="150"/>
      <c r="V415" s="117"/>
      <c r="W415" s="117"/>
      <c r="X415" s="117"/>
      <c r="Y415" s="117"/>
      <c r="Z415" s="150"/>
      <c r="AA415" s="117"/>
      <c r="AB415" s="117"/>
      <c r="AC415" s="117"/>
      <c r="AD415" s="117"/>
      <c r="AE415" s="150"/>
      <c r="AF415" s="117"/>
      <c r="AG415" s="117"/>
      <c r="AH415" s="117"/>
      <c r="AI415" s="117"/>
      <c r="AJ415" s="150"/>
      <c r="AK415" s="117"/>
      <c r="AL415" s="117"/>
      <c r="AM415" s="117"/>
      <c r="AN415" s="117"/>
      <c r="AO415" s="975">
        <v>0</v>
      </c>
      <c r="AP415" s="117"/>
      <c r="AQ415" s="117"/>
      <c r="AR415" s="117"/>
      <c r="AS415" s="117"/>
      <c r="AT415" s="975">
        <v>0</v>
      </c>
      <c r="AU415" s="117"/>
      <c r="AV415" s="117"/>
      <c r="AW415" s="117"/>
      <c r="AX415" s="117"/>
      <c r="AY415" s="975">
        <v>0</v>
      </c>
      <c r="AZ415" s="117"/>
      <c r="BA415" s="117"/>
      <c r="BB415" s="117"/>
      <c r="BC415" s="117"/>
      <c r="BD415" s="975">
        <v>0</v>
      </c>
      <c r="BE415" s="117"/>
      <c r="BF415" s="117"/>
      <c r="BG415" s="117"/>
      <c r="BH415" s="117"/>
      <c r="BI415" s="975">
        <v>0</v>
      </c>
      <c r="BJ415" s="117"/>
      <c r="BK415" s="117"/>
      <c r="BL415" s="117"/>
      <c r="BM415" s="117"/>
      <c r="BN415" s="975">
        <v>0</v>
      </c>
      <c r="BO415" s="117"/>
      <c r="BP415" s="117"/>
      <c r="BQ415" s="117"/>
      <c r="BR415" s="117"/>
      <c r="BS415" s="975">
        <v>0</v>
      </c>
      <c r="BT415" s="691"/>
      <c r="BU415" s="117"/>
      <c r="BV415" s="117"/>
      <c r="BW415" s="117"/>
      <c r="BX415" s="150"/>
      <c r="BY415" s="117"/>
      <c r="BZ415" s="117"/>
      <c r="CA415" s="117"/>
      <c r="CB415" s="117"/>
      <c r="CC415" s="150"/>
      <c r="CD415" s="150"/>
      <c r="CE415" s="150"/>
      <c r="CF415" s="150"/>
      <c r="CG415" s="587"/>
    </row>
    <row r="416" spans="1:85" s="460" customFormat="1" ht="14.4" hidden="1" outlineLevel="1" x14ac:dyDescent="0.3">
      <c r="A416" s="159" t="s">
        <v>1178</v>
      </c>
      <c r="B416" s="586"/>
      <c r="C416" s="150"/>
      <c r="D416" s="150"/>
      <c r="E416" s="150"/>
      <c r="F416" s="150"/>
      <c r="G416" s="117"/>
      <c r="H416" s="117"/>
      <c r="I416" s="117"/>
      <c r="J416" s="117"/>
      <c r="K416" s="150"/>
      <c r="L416" s="117"/>
      <c r="M416" s="117"/>
      <c r="N416" s="117"/>
      <c r="O416" s="117"/>
      <c r="P416" s="150"/>
      <c r="Q416" s="117"/>
      <c r="R416" s="117"/>
      <c r="S416" s="117"/>
      <c r="T416" s="117"/>
      <c r="U416" s="150"/>
      <c r="V416" s="117"/>
      <c r="W416" s="117"/>
      <c r="X416" s="117"/>
      <c r="Y416" s="117"/>
      <c r="Z416" s="150"/>
      <c r="AA416" s="117"/>
      <c r="AB416" s="117"/>
      <c r="AC416" s="117"/>
      <c r="AD416" s="117"/>
      <c r="AE416" s="150"/>
      <c r="AF416" s="117"/>
      <c r="AG416" s="117"/>
      <c r="AH416" s="117"/>
      <c r="AI416" s="117"/>
      <c r="AJ416" s="150"/>
      <c r="AK416" s="117"/>
      <c r="AL416" s="117"/>
      <c r="AM416" s="117"/>
      <c r="AN416" s="117"/>
      <c r="AO416" s="975">
        <v>0</v>
      </c>
      <c r="AP416" s="117"/>
      <c r="AQ416" s="117"/>
      <c r="AR416" s="117"/>
      <c r="AS416" s="117"/>
      <c r="AT416" s="975">
        <v>0</v>
      </c>
      <c r="AU416" s="117"/>
      <c r="AV416" s="117"/>
      <c r="AW416" s="117"/>
      <c r="AX416" s="117"/>
      <c r="AY416" s="975">
        <v>0</v>
      </c>
      <c r="AZ416" s="117"/>
      <c r="BA416" s="117"/>
      <c r="BB416" s="117"/>
      <c r="BC416" s="117"/>
      <c r="BD416" s="975">
        <v>0</v>
      </c>
      <c r="BE416" s="117"/>
      <c r="BF416" s="117"/>
      <c r="BG416" s="117"/>
      <c r="BH416" s="117"/>
      <c r="BI416" s="975">
        <v>0</v>
      </c>
      <c r="BJ416" s="117"/>
      <c r="BK416" s="117"/>
      <c r="BL416" s="117"/>
      <c r="BM416" s="117"/>
      <c r="BN416" s="975">
        <v>0</v>
      </c>
      <c r="BO416" s="117"/>
      <c r="BP416" s="117"/>
      <c r="BQ416" s="117"/>
      <c r="BR416" s="117"/>
      <c r="BS416" s="975">
        <v>0</v>
      </c>
      <c r="BT416" s="691"/>
      <c r="BU416" s="117"/>
      <c r="BV416" s="117"/>
      <c r="BW416" s="117"/>
      <c r="BX416" s="150"/>
      <c r="BY416" s="117"/>
      <c r="BZ416" s="117"/>
      <c r="CA416" s="117"/>
      <c r="CB416" s="117"/>
      <c r="CC416" s="150"/>
      <c r="CD416" s="150"/>
      <c r="CE416" s="150"/>
      <c r="CF416" s="150"/>
      <c r="CG416" s="587"/>
    </row>
    <row r="417" spans="1:85" s="460" customFormat="1" ht="14.4" hidden="1" outlineLevel="1" x14ac:dyDescent="0.3">
      <c r="A417" s="159" t="s">
        <v>1179</v>
      </c>
      <c r="B417" s="586"/>
      <c r="C417" s="150"/>
      <c r="D417" s="150"/>
      <c r="E417" s="150"/>
      <c r="F417" s="150"/>
      <c r="G417" s="117"/>
      <c r="H417" s="117"/>
      <c r="I417" s="117"/>
      <c r="J417" s="117"/>
      <c r="K417" s="150"/>
      <c r="L417" s="117"/>
      <c r="M417" s="117"/>
      <c r="N417" s="117"/>
      <c r="O417" s="117"/>
      <c r="P417" s="150"/>
      <c r="Q417" s="117"/>
      <c r="R417" s="117"/>
      <c r="S417" s="117"/>
      <c r="T417" s="117"/>
      <c r="U417" s="150"/>
      <c r="V417" s="117"/>
      <c r="W417" s="117"/>
      <c r="X417" s="117"/>
      <c r="Y417" s="117"/>
      <c r="Z417" s="150"/>
      <c r="AA417" s="117"/>
      <c r="AB417" s="117"/>
      <c r="AC417" s="117"/>
      <c r="AD417" s="117"/>
      <c r="AE417" s="150"/>
      <c r="AF417" s="117"/>
      <c r="AG417" s="117"/>
      <c r="AH417" s="117"/>
      <c r="AI417" s="117"/>
      <c r="AJ417" s="150"/>
      <c r="AK417" s="117"/>
      <c r="AL417" s="117"/>
      <c r="AM417" s="117"/>
      <c r="AN417" s="117"/>
      <c r="AO417" s="975">
        <v>0</v>
      </c>
      <c r="AP417" s="117"/>
      <c r="AQ417" s="117"/>
      <c r="AR417" s="117"/>
      <c r="AS417" s="117"/>
      <c r="AT417" s="975">
        <v>0</v>
      </c>
      <c r="AU417" s="117"/>
      <c r="AV417" s="117"/>
      <c r="AW417" s="117"/>
      <c r="AX417" s="117"/>
      <c r="AY417" s="975">
        <v>0</v>
      </c>
      <c r="AZ417" s="117"/>
      <c r="BA417" s="117"/>
      <c r="BB417" s="117"/>
      <c r="BC417" s="117"/>
      <c r="BD417" s="975">
        <v>0</v>
      </c>
      <c r="BE417" s="117"/>
      <c r="BF417" s="117"/>
      <c r="BG417" s="117"/>
      <c r="BH417" s="117"/>
      <c r="BI417" s="975">
        <v>0</v>
      </c>
      <c r="BJ417" s="117"/>
      <c r="BK417" s="117"/>
      <c r="BL417" s="117"/>
      <c r="BM417" s="117"/>
      <c r="BN417" s="975">
        <v>0</v>
      </c>
      <c r="BO417" s="117"/>
      <c r="BP417" s="117"/>
      <c r="BQ417" s="117"/>
      <c r="BR417" s="117"/>
      <c r="BS417" s="975">
        <v>0</v>
      </c>
      <c r="BT417" s="691"/>
      <c r="BU417" s="117"/>
      <c r="BV417" s="117"/>
      <c r="BW417" s="117"/>
      <c r="BX417" s="150"/>
      <c r="BY417" s="117"/>
      <c r="BZ417" s="117"/>
      <c r="CA417" s="117"/>
      <c r="CB417" s="117"/>
      <c r="CC417" s="150"/>
      <c r="CD417" s="150"/>
      <c r="CE417" s="150"/>
      <c r="CF417" s="150"/>
      <c r="CG417" s="587"/>
    </row>
    <row r="418" spans="1:85" s="460" customFormat="1" ht="14.4" hidden="1" outlineLevel="1" x14ac:dyDescent="0.3">
      <c r="A418" s="159" t="s">
        <v>1180</v>
      </c>
      <c r="B418" s="586"/>
      <c r="C418" s="150"/>
      <c r="D418" s="150"/>
      <c r="E418" s="150"/>
      <c r="F418" s="150"/>
      <c r="G418" s="117"/>
      <c r="H418" s="117"/>
      <c r="I418" s="117"/>
      <c r="J418" s="117"/>
      <c r="K418" s="150"/>
      <c r="L418" s="117"/>
      <c r="M418" s="117"/>
      <c r="N418" s="117"/>
      <c r="O418" s="117"/>
      <c r="P418" s="150"/>
      <c r="Q418" s="117"/>
      <c r="R418" s="117"/>
      <c r="S418" s="117"/>
      <c r="T418" s="117"/>
      <c r="U418" s="150"/>
      <c r="V418" s="117"/>
      <c r="W418" s="117"/>
      <c r="X418" s="117"/>
      <c r="Y418" s="117"/>
      <c r="Z418" s="150"/>
      <c r="AA418" s="117"/>
      <c r="AB418" s="117"/>
      <c r="AC418" s="117"/>
      <c r="AD418" s="117"/>
      <c r="AE418" s="150"/>
      <c r="AF418" s="117"/>
      <c r="AG418" s="117"/>
      <c r="AH418" s="117"/>
      <c r="AI418" s="117"/>
      <c r="AJ418" s="150"/>
      <c r="AK418" s="117"/>
      <c r="AL418" s="117"/>
      <c r="AM418" s="117"/>
      <c r="AN418" s="117"/>
      <c r="AO418" s="975">
        <v>0</v>
      </c>
      <c r="AP418" s="117"/>
      <c r="AQ418" s="117"/>
      <c r="AR418" s="117"/>
      <c r="AS418" s="117"/>
      <c r="AT418" s="975">
        <v>0</v>
      </c>
      <c r="AU418" s="117"/>
      <c r="AV418" s="117"/>
      <c r="AW418" s="117"/>
      <c r="AX418" s="117"/>
      <c r="AY418" s="975">
        <v>0</v>
      </c>
      <c r="AZ418" s="117"/>
      <c r="BA418" s="117"/>
      <c r="BB418" s="117"/>
      <c r="BC418" s="117"/>
      <c r="BD418" s="975">
        <v>0</v>
      </c>
      <c r="BE418" s="117"/>
      <c r="BF418" s="117"/>
      <c r="BG418" s="117"/>
      <c r="BH418" s="117"/>
      <c r="BI418" s="975">
        <v>0</v>
      </c>
      <c r="BJ418" s="117"/>
      <c r="BK418" s="117"/>
      <c r="BL418" s="117"/>
      <c r="BM418" s="117"/>
      <c r="BN418" s="975">
        <v>0</v>
      </c>
      <c r="BO418" s="117"/>
      <c r="BP418" s="117"/>
      <c r="BQ418" s="117"/>
      <c r="BR418" s="117"/>
      <c r="BS418" s="975">
        <v>0</v>
      </c>
      <c r="BT418" s="691"/>
      <c r="BU418" s="117"/>
      <c r="BV418" s="117"/>
      <c r="BW418" s="117"/>
      <c r="BX418" s="150"/>
      <c r="BY418" s="117"/>
      <c r="BZ418" s="117"/>
      <c r="CA418" s="117"/>
      <c r="CB418" s="117"/>
      <c r="CC418" s="150"/>
      <c r="CD418" s="150"/>
      <c r="CE418" s="150"/>
      <c r="CF418" s="150"/>
      <c r="CG418" s="587"/>
    </row>
    <row r="419" spans="1:85" s="460" customFormat="1" ht="14.4" hidden="1" outlineLevel="1" x14ac:dyDescent="0.3">
      <c r="A419" s="159" t="s">
        <v>1181</v>
      </c>
      <c r="B419" s="586"/>
      <c r="C419" s="150"/>
      <c r="D419" s="150"/>
      <c r="E419" s="150"/>
      <c r="F419" s="150"/>
      <c r="G419" s="117"/>
      <c r="H419" s="117"/>
      <c r="I419" s="117"/>
      <c r="J419" s="117"/>
      <c r="K419" s="150"/>
      <c r="L419" s="117"/>
      <c r="M419" s="117"/>
      <c r="N419" s="117"/>
      <c r="O419" s="117"/>
      <c r="P419" s="150"/>
      <c r="Q419" s="117"/>
      <c r="R419" s="117"/>
      <c r="S419" s="117"/>
      <c r="T419" s="117"/>
      <c r="U419" s="150"/>
      <c r="V419" s="117"/>
      <c r="W419" s="117"/>
      <c r="X419" s="117"/>
      <c r="Y419" s="117"/>
      <c r="Z419" s="150"/>
      <c r="AA419" s="117"/>
      <c r="AB419" s="117"/>
      <c r="AC419" s="117"/>
      <c r="AD419" s="117"/>
      <c r="AE419" s="150"/>
      <c r="AF419" s="117"/>
      <c r="AG419" s="117"/>
      <c r="AH419" s="117"/>
      <c r="AI419" s="117"/>
      <c r="AJ419" s="150"/>
      <c r="AK419" s="117"/>
      <c r="AL419" s="117"/>
      <c r="AM419" s="117"/>
      <c r="AN419" s="117"/>
      <c r="AO419" s="975">
        <v>0</v>
      </c>
      <c r="AP419" s="117"/>
      <c r="AQ419" s="117"/>
      <c r="AR419" s="117"/>
      <c r="AS419" s="117"/>
      <c r="AT419" s="975">
        <v>0</v>
      </c>
      <c r="AU419" s="117"/>
      <c r="AV419" s="117"/>
      <c r="AW419" s="117"/>
      <c r="AX419" s="117"/>
      <c r="AY419" s="975">
        <v>0</v>
      </c>
      <c r="AZ419" s="117"/>
      <c r="BA419" s="117"/>
      <c r="BB419" s="117"/>
      <c r="BC419" s="117"/>
      <c r="BD419" s="975">
        <v>0</v>
      </c>
      <c r="BE419" s="117"/>
      <c r="BF419" s="117"/>
      <c r="BG419" s="117"/>
      <c r="BH419" s="117"/>
      <c r="BI419" s="975">
        <v>0</v>
      </c>
      <c r="BJ419" s="117"/>
      <c r="BK419" s="117"/>
      <c r="BL419" s="117"/>
      <c r="BM419" s="117"/>
      <c r="BN419" s="975">
        <v>0</v>
      </c>
      <c r="BO419" s="117"/>
      <c r="BP419" s="117"/>
      <c r="BQ419" s="117"/>
      <c r="BR419" s="117"/>
      <c r="BS419" s="975">
        <v>0</v>
      </c>
      <c r="BT419" s="691"/>
      <c r="BU419" s="117"/>
      <c r="BV419" s="117"/>
      <c r="BW419" s="117"/>
      <c r="BX419" s="150"/>
      <c r="BY419" s="117"/>
      <c r="BZ419" s="117"/>
      <c r="CA419" s="117"/>
      <c r="CB419" s="117"/>
      <c r="CC419" s="150"/>
      <c r="CD419" s="150"/>
      <c r="CE419" s="150"/>
      <c r="CF419" s="150"/>
      <c r="CG419" s="587"/>
    </row>
    <row r="420" spans="1:85" s="460" customFormat="1" ht="14.4" hidden="1" outlineLevel="1" x14ac:dyDescent="0.3">
      <c r="A420" s="262" t="s">
        <v>1182</v>
      </c>
      <c r="B420" s="588"/>
      <c r="C420" s="954"/>
      <c r="D420" s="954"/>
      <c r="E420" s="954"/>
      <c r="F420" s="954"/>
      <c r="G420" s="133"/>
      <c r="H420" s="133"/>
      <c r="I420" s="133"/>
      <c r="J420" s="133"/>
      <c r="K420" s="954"/>
      <c r="L420" s="133"/>
      <c r="M420" s="133"/>
      <c r="N420" s="133"/>
      <c r="O420" s="133"/>
      <c r="P420" s="954"/>
      <c r="Q420" s="133"/>
      <c r="R420" s="133"/>
      <c r="S420" s="133"/>
      <c r="T420" s="133"/>
      <c r="U420" s="954"/>
      <c r="V420" s="133"/>
      <c r="W420" s="133"/>
      <c r="X420" s="133"/>
      <c r="Y420" s="133"/>
      <c r="Z420" s="954"/>
      <c r="AA420" s="133"/>
      <c r="AB420" s="133"/>
      <c r="AC420" s="133"/>
      <c r="AD420" s="133"/>
      <c r="AE420" s="954"/>
      <c r="AF420" s="133"/>
      <c r="AG420" s="133"/>
      <c r="AH420" s="133"/>
      <c r="AI420" s="133"/>
      <c r="AJ420" s="954"/>
      <c r="AK420" s="133"/>
      <c r="AL420" s="133"/>
      <c r="AM420" s="133"/>
      <c r="AN420" s="133"/>
      <c r="AO420" s="976">
        <v>0</v>
      </c>
      <c r="AP420" s="133"/>
      <c r="AQ420" s="133"/>
      <c r="AR420" s="133"/>
      <c r="AS420" s="133"/>
      <c r="AT420" s="976">
        <v>0</v>
      </c>
      <c r="AU420" s="133"/>
      <c r="AV420" s="133"/>
      <c r="AW420" s="133"/>
      <c r="AX420" s="133"/>
      <c r="AY420" s="976">
        <v>0</v>
      </c>
      <c r="AZ420" s="133"/>
      <c r="BA420" s="133"/>
      <c r="BB420" s="133"/>
      <c r="BC420" s="133"/>
      <c r="BD420" s="976">
        <v>0</v>
      </c>
      <c r="BE420" s="133"/>
      <c r="BF420" s="133"/>
      <c r="BG420" s="133"/>
      <c r="BH420" s="133"/>
      <c r="BI420" s="976">
        <v>0</v>
      </c>
      <c r="BJ420" s="133"/>
      <c r="BK420" s="133"/>
      <c r="BL420" s="133"/>
      <c r="BM420" s="133"/>
      <c r="BN420" s="976">
        <v>0</v>
      </c>
      <c r="BO420" s="133"/>
      <c r="BP420" s="133"/>
      <c r="BQ420" s="133"/>
      <c r="BR420" s="133"/>
      <c r="BS420" s="976">
        <v>0</v>
      </c>
      <c r="BT420" s="692"/>
      <c r="BU420" s="133"/>
      <c r="BV420" s="133"/>
      <c r="BW420" s="133"/>
      <c r="BX420" s="954"/>
      <c r="BY420" s="133"/>
      <c r="BZ420" s="133"/>
      <c r="CA420" s="133"/>
      <c r="CB420" s="133"/>
      <c r="CC420" s="954"/>
      <c r="CD420" s="954"/>
      <c r="CE420" s="954"/>
      <c r="CF420" s="954"/>
      <c r="CG420" s="587"/>
    </row>
    <row r="421" spans="1:85" s="461" customFormat="1" ht="14.4" hidden="1" outlineLevel="1" x14ac:dyDescent="0.3">
      <c r="A421" s="166" t="s">
        <v>1189</v>
      </c>
      <c r="B421" s="583"/>
      <c r="C421" s="957"/>
      <c r="D421" s="957"/>
      <c r="E421" s="957"/>
      <c r="F421" s="957"/>
      <c r="G421" s="120"/>
      <c r="H421" s="120"/>
      <c r="I421" s="120"/>
      <c r="J421" s="120"/>
      <c r="K421" s="957"/>
      <c r="L421" s="120"/>
      <c r="M421" s="120"/>
      <c r="N421" s="120"/>
      <c r="O421" s="120"/>
      <c r="P421" s="957"/>
      <c r="Q421" s="120"/>
      <c r="R421" s="120"/>
      <c r="S421" s="120"/>
      <c r="T421" s="120"/>
      <c r="U421" s="957"/>
      <c r="V421" s="120"/>
      <c r="W421" s="120"/>
      <c r="X421" s="120"/>
      <c r="Y421" s="120"/>
      <c r="Z421" s="957"/>
      <c r="AA421" s="120"/>
      <c r="AB421" s="120"/>
      <c r="AC421" s="120"/>
      <c r="AD421" s="120"/>
      <c r="AE421" s="957"/>
      <c r="AF421" s="120"/>
      <c r="AG421" s="120"/>
      <c r="AH421" s="120"/>
      <c r="AI421" s="120"/>
      <c r="AJ421" s="957"/>
      <c r="AK421" s="120"/>
      <c r="AL421" s="120"/>
      <c r="AM421" s="120"/>
      <c r="AN421" s="120"/>
      <c r="AO421" s="957">
        <f>SUM(AO415:AO420)</f>
        <v>0</v>
      </c>
      <c r="AP421" s="120"/>
      <c r="AQ421" s="120"/>
      <c r="AR421" s="120"/>
      <c r="AS421" s="120"/>
      <c r="AT421" s="957">
        <f>SUM(AT415:AT420)</f>
        <v>0</v>
      </c>
      <c r="AU421" s="120"/>
      <c r="AV421" s="120"/>
      <c r="AW421" s="120"/>
      <c r="AX421" s="120"/>
      <c r="AY421" s="957">
        <f>SUM(AY415:AY420)</f>
        <v>0</v>
      </c>
      <c r="AZ421" s="120"/>
      <c r="BA421" s="120"/>
      <c r="BB421" s="120"/>
      <c r="BC421" s="120"/>
      <c r="BD421" s="957">
        <f>SUM(BD415:BD420)</f>
        <v>0</v>
      </c>
      <c r="BE421" s="120"/>
      <c r="BF421" s="120"/>
      <c r="BG421" s="120"/>
      <c r="BH421" s="120"/>
      <c r="BI421" s="957">
        <f>SUM(BI415:BI420)</f>
        <v>0</v>
      </c>
      <c r="BJ421" s="120"/>
      <c r="BK421" s="120"/>
      <c r="BL421" s="120"/>
      <c r="BM421" s="120"/>
      <c r="BN421" s="957">
        <f>SUM(BN415:BN420)</f>
        <v>0</v>
      </c>
      <c r="BO421" s="120"/>
      <c r="BP421" s="120"/>
      <c r="BQ421" s="120"/>
      <c r="BR421" s="120"/>
      <c r="BS421" s="957">
        <f>SUM(BS415:BS420)</f>
        <v>0</v>
      </c>
      <c r="BT421" s="694"/>
      <c r="BU421" s="120"/>
      <c r="BV421" s="120"/>
      <c r="BW421" s="120"/>
      <c r="BX421" s="957"/>
      <c r="BY421" s="120"/>
      <c r="BZ421" s="120"/>
      <c r="CA421" s="120"/>
      <c r="CB421" s="120"/>
      <c r="CC421" s="957"/>
      <c r="CD421" s="957"/>
      <c r="CE421" s="957"/>
      <c r="CF421" s="957"/>
      <c r="CG421" s="615"/>
    </row>
    <row r="422" spans="1:85" s="460" customFormat="1" ht="14.4" hidden="1" outlineLevel="1" x14ac:dyDescent="0.3">
      <c r="A422" s="159" t="s">
        <v>1183</v>
      </c>
      <c r="B422" s="586"/>
      <c r="C422" s="150"/>
      <c r="D422" s="150"/>
      <c r="E422" s="150"/>
      <c r="F422" s="150"/>
      <c r="G422" s="117"/>
      <c r="H422" s="117"/>
      <c r="I422" s="117"/>
      <c r="J422" s="117"/>
      <c r="K422" s="150"/>
      <c r="L422" s="117"/>
      <c r="M422" s="117"/>
      <c r="N422" s="117"/>
      <c r="O422" s="117"/>
      <c r="P422" s="150"/>
      <c r="Q422" s="117"/>
      <c r="R422" s="117"/>
      <c r="S422" s="117"/>
      <c r="T422" s="117"/>
      <c r="U422" s="150"/>
      <c r="V422" s="117"/>
      <c r="W422" s="117"/>
      <c r="X422" s="117"/>
      <c r="Y422" s="117"/>
      <c r="Z422" s="150"/>
      <c r="AA422" s="117"/>
      <c r="AB422" s="117"/>
      <c r="AC422" s="117"/>
      <c r="AD422" s="117"/>
      <c r="AE422" s="150"/>
      <c r="AF422" s="117"/>
      <c r="AG422" s="117"/>
      <c r="AH422" s="117"/>
      <c r="AI422" s="117"/>
      <c r="AJ422" s="150"/>
      <c r="AK422" s="117"/>
      <c r="AL422" s="117"/>
      <c r="AM422" s="117"/>
      <c r="AN422" s="117"/>
      <c r="AO422" s="975">
        <v>0</v>
      </c>
      <c r="AP422" s="117"/>
      <c r="AQ422" s="117"/>
      <c r="AR422" s="117"/>
      <c r="AS422" s="117"/>
      <c r="AT422" s="975">
        <v>0</v>
      </c>
      <c r="AU422" s="117"/>
      <c r="AV422" s="117"/>
      <c r="AW422" s="117"/>
      <c r="AX422" s="117"/>
      <c r="AY422" s="975">
        <v>0</v>
      </c>
      <c r="AZ422" s="117"/>
      <c r="BA422" s="117"/>
      <c r="BB422" s="117"/>
      <c r="BC422" s="117"/>
      <c r="BD422" s="975">
        <v>0</v>
      </c>
      <c r="BE422" s="117"/>
      <c r="BF422" s="117"/>
      <c r="BG422" s="117"/>
      <c r="BH422" s="117"/>
      <c r="BI422" s="975">
        <v>0</v>
      </c>
      <c r="BJ422" s="117"/>
      <c r="BK422" s="117"/>
      <c r="BL422" s="117"/>
      <c r="BM422" s="117"/>
      <c r="BN422" s="975">
        <v>0</v>
      </c>
      <c r="BO422" s="117"/>
      <c r="BP422" s="117"/>
      <c r="BQ422" s="117"/>
      <c r="BR422" s="117"/>
      <c r="BS422" s="975">
        <v>0</v>
      </c>
      <c r="BT422" s="691"/>
      <c r="BU422" s="117"/>
      <c r="BV422" s="117"/>
      <c r="BW422" s="117"/>
      <c r="BX422" s="150"/>
      <c r="BY422" s="117"/>
      <c r="BZ422" s="117"/>
      <c r="CA422" s="117"/>
      <c r="CB422" s="117"/>
      <c r="CC422" s="150"/>
      <c r="CD422" s="150"/>
      <c r="CE422" s="150"/>
      <c r="CF422" s="150"/>
      <c r="CG422" s="587"/>
    </row>
    <row r="423" spans="1:85" s="460" customFormat="1" ht="14.4" hidden="1" outlineLevel="1" x14ac:dyDescent="0.3">
      <c r="A423" s="262" t="s">
        <v>1184</v>
      </c>
      <c r="B423" s="588"/>
      <c r="C423" s="954"/>
      <c r="D423" s="954"/>
      <c r="E423" s="954"/>
      <c r="F423" s="954"/>
      <c r="G423" s="133"/>
      <c r="H423" s="133"/>
      <c r="I423" s="133"/>
      <c r="J423" s="133"/>
      <c r="K423" s="954"/>
      <c r="L423" s="133"/>
      <c r="M423" s="133"/>
      <c r="N423" s="133"/>
      <c r="O423" s="133"/>
      <c r="P423" s="954"/>
      <c r="Q423" s="133"/>
      <c r="R423" s="133"/>
      <c r="S423" s="133"/>
      <c r="T423" s="133"/>
      <c r="U423" s="954"/>
      <c r="V423" s="133"/>
      <c r="W423" s="133"/>
      <c r="X423" s="133"/>
      <c r="Y423" s="133"/>
      <c r="Z423" s="954"/>
      <c r="AA423" s="133"/>
      <c r="AB423" s="133"/>
      <c r="AC423" s="133"/>
      <c r="AD423" s="133"/>
      <c r="AE423" s="954"/>
      <c r="AF423" s="133"/>
      <c r="AG423" s="133"/>
      <c r="AH423" s="133"/>
      <c r="AI423" s="133"/>
      <c r="AJ423" s="954"/>
      <c r="AK423" s="133"/>
      <c r="AL423" s="133"/>
      <c r="AM423" s="133"/>
      <c r="AN423" s="133"/>
      <c r="AO423" s="976">
        <v>0</v>
      </c>
      <c r="AP423" s="133"/>
      <c r="AQ423" s="133"/>
      <c r="AR423" s="133"/>
      <c r="AS423" s="133"/>
      <c r="AT423" s="976">
        <v>0</v>
      </c>
      <c r="AU423" s="133"/>
      <c r="AV423" s="133"/>
      <c r="AW423" s="133"/>
      <c r="AX423" s="133"/>
      <c r="AY423" s="976">
        <v>0</v>
      </c>
      <c r="AZ423" s="133"/>
      <c r="BA423" s="133"/>
      <c r="BB423" s="133"/>
      <c r="BC423" s="133"/>
      <c r="BD423" s="976">
        <v>0</v>
      </c>
      <c r="BE423" s="133"/>
      <c r="BF423" s="133"/>
      <c r="BG423" s="133"/>
      <c r="BH423" s="133"/>
      <c r="BI423" s="976">
        <v>0</v>
      </c>
      <c r="BJ423" s="133"/>
      <c r="BK423" s="133"/>
      <c r="BL423" s="133"/>
      <c r="BM423" s="133"/>
      <c r="BN423" s="976">
        <v>0</v>
      </c>
      <c r="BO423" s="133"/>
      <c r="BP423" s="133"/>
      <c r="BQ423" s="133"/>
      <c r="BR423" s="133"/>
      <c r="BS423" s="976">
        <v>0</v>
      </c>
      <c r="BT423" s="692"/>
      <c r="BU423" s="133"/>
      <c r="BV423" s="133"/>
      <c r="BW423" s="133"/>
      <c r="BX423" s="954"/>
      <c r="BY423" s="133"/>
      <c r="BZ423" s="133"/>
      <c r="CA423" s="133"/>
      <c r="CB423" s="133"/>
      <c r="CC423" s="954"/>
      <c r="CD423" s="954"/>
      <c r="CE423" s="954"/>
      <c r="CF423" s="954"/>
      <c r="CG423" s="587"/>
    </row>
    <row r="424" spans="1:85" s="461" customFormat="1" ht="14.4" hidden="1" outlineLevel="1" x14ac:dyDescent="0.3">
      <c r="A424" s="602" t="s">
        <v>1190</v>
      </c>
      <c r="B424" s="594"/>
      <c r="C424" s="982"/>
      <c r="D424" s="982"/>
      <c r="E424" s="982"/>
      <c r="F424" s="982"/>
      <c r="G424" s="595"/>
      <c r="H424" s="595"/>
      <c r="I424" s="595"/>
      <c r="J424" s="595"/>
      <c r="K424" s="982"/>
      <c r="L424" s="595"/>
      <c r="M424" s="595"/>
      <c r="N424" s="595"/>
      <c r="O424" s="595"/>
      <c r="P424" s="982"/>
      <c r="Q424" s="595"/>
      <c r="R424" s="595"/>
      <c r="S424" s="595"/>
      <c r="T424" s="595"/>
      <c r="U424" s="982"/>
      <c r="V424" s="595"/>
      <c r="W424" s="595"/>
      <c r="X424" s="595"/>
      <c r="Y424" s="595"/>
      <c r="Z424" s="982"/>
      <c r="AA424" s="595"/>
      <c r="AB424" s="595"/>
      <c r="AC424" s="595"/>
      <c r="AD424" s="595"/>
      <c r="AE424" s="982"/>
      <c r="AF424" s="595"/>
      <c r="AG424" s="595"/>
      <c r="AH424" s="595"/>
      <c r="AI424" s="595"/>
      <c r="AJ424" s="982"/>
      <c r="AK424" s="595"/>
      <c r="AL424" s="595"/>
      <c r="AM424" s="595"/>
      <c r="AN424" s="595"/>
      <c r="AO424" s="982">
        <f>SUM(AO422:AO423)</f>
        <v>0</v>
      </c>
      <c r="AP424" s="595"/>
      <c r="AQ424" s="595"/>
      <c r="AR424" s="595"/>
      <c r="AS424" s="595"/>
      <c r="AT424" s="982">
        <f>SUM(AT422:AT423)</f>
        <v>0</v>
      </c>
      <c r="AU424" s="595"/>
      <c r="AV424" s="595"/>
      <c r="AW424" s="595"/>
      <c r="AX424" s="595"/>
      <c r="AY424" s="982">
        <f>SUM(AY422:AY423)</f>
        <v>0</v>
      </c>
      <c r="AZ424" s="595"/>
      <c r="BA424" s="595"/>
      <c r="BB424" s="595"/>
      <c r="BC424" s="595"/>
      <c r="BD424" s="982">
        <f>SUM(BD422:BD423)</f>
        <v>0</v>
      </c>
      <c r="BE424" s="595"/>
      <c r="BF424" s="595"/>
      <c r="BG424" s="595"/>
      <c r="BH424" s="595"/>
      <c r="BI424" s="982">
        <f>SUM(BI422:BI423)</f>
        <v>0</v>
      </c>
      <c r="BJ424" s="595"/>
      <c r="BK424" s="595"/>
      <c r="BL424" s="595"/>
      <c r="BM424" s="595"/>
      <c r="BN424" s="982">
        <f>SUM(BN422:BN423)</f>
        <v>0</v>
      </c>
      <c r="BO424" s="595"/>
      <c r="BP424" s="595"/>
      <c r="BQ424" s="595"/>
      <c r="BR424" s="595"/>
      <c r="BS424" s="982">
        <f>SUM(BS422:BS423)</f>
        <v>0</v>
      </c>
      <c r="BT424" s="711"/>
      <c r="BU424" s="595"/>
      <c r="BV424" s="595"/>
      <c r="BW424" s="595"/>
      <c r="BX424" s="982"/>
      <c r="BY424" s="595"/>
      <c r="BZ424" s="595"/>
      <c r="CA424" s="595"/>
      <c r="CB424" s="595"/>
      <c r="CC424" s="982"/>
      <c r="CD424" s="982"/>
      <c r="CE424" s="982"/>
      <c r="CF424" s="982"/>
      <c r="CG424" s="615"/>
    </row>
    <row r="425" spans="1:85" s="461" customFormat="1" ht="14.4" hidden="1" outlineLevel="1" x14ac:dyDescent="0.3">
      <c r="A425" s="166" t="s">
        <v>1191</v>
      </c>
      <c r="B425" s="583"/>
      <c r="C425" s="957"/>
      <c r="D425" s="957"/>
      <c r="E425" s="957"/>
      <c r="F425" s="957"/>
      <c r="G425" s="120"/>
      <c r="H425" s="120"/>
      <c r="I425" s="120"/>
      <c r="J425" s="120"/>
      <c r="K425" s="957"/>
      <c r="L425" s="120"/>
      <c r="M425" s="120"/>
      <c r="N425" s="120"/>
      <c r="O425" s="120"/>
      <c r="P425" s="957"/>
      <c r="Q425" s="120"/>
      <c r="R425" s="120"/>
      <c r="S425" s="120"/>
      <c r="T425" s="120"/>
      <c r="U425" s="957"/>
      <c r="V425" s="120"/>
      <c r="W425" s="120"/>
      <c r="X425" s="120"/>
      <c r="Y425" s="120"/>
      <c r="Z425" s="957"/>
      <c r="AA425" s="120"/>
      <c r="AB425" s="120"/>
      <c r="AC425" s="120"/>
      <c r="AD425" s="120"/>
      <c r="AE425" s="957"/>
      <c r="AF425" s="120"/>
      <c r="AG425" s="120"/>
      <c r="AH425" s="120"/>
      <c r="AI425" s="120"/>
      <c r="AJ425" s="957"/>
      <c r="AK425" s="120"/>
      <c r="AL425" s="120"/>
      <c r="AM425" s="120"/>
      <c r="AN425" s="120"/>
      <c r="AO425" s="957">
        <f>AO421+AO424</f>
        <v>0</v>
      </c>
      <c r="AP425" s="120"/>
      <c r="AQ425" s="120"/>
      <c r="AR425" s="120"/>
      <c r="AS425" s="120"/>
      <c r="AT425" s="957">
        <f>AT421+AT424</f>
        <v>0</v>
      </c>
      <c r="AU425" s="120"/>
      <c r="AV425" s="120"/>
      <c r="AW425" s="120"/>
      <c r="AX425" s="120"/>
      <c r="AY425" s="957">
        <f>AY421+AY424</f>
        <v>0</v>
      </c>
      <c r="AZ425" s="120"/>
      <c r="BA425" s="120"/>
      <c r="BB425" s="120"/>
      <c r="BC425" s="120"/>
      <c r="BD425" s="957">
        <f>BD421+BD424</f>
        <v>0</v>
      </c>
      <c r="BE425" s="120"/>
      <c r="BF425" s="120"/>
      <c r="BG425" s="120"/>
      <c r="BH425" s="120"/>
      <c r="BI425" s="957">
        <f>BI421+BI424</f>
        <v>0</v>
      </c>
      <c r="BJ425" s="120"/>
      <c r="BK425" s="120"/>
      <c r="BL425" s="120"/>
      <c r="BM425" s="120"/>
      <c r="BN425" s="957">
        <f>BN421+BN424</f>
        <v>0</v>
      </c>
      <c r="BO425" s="120"/>
      <c r="BP425" s="120"/>
      <c r="BQ425" s="120"/>
      <c r="BR425" s="120"/>
      <c r="BS425" s="957">
        <f>BS421+BS424</f>
        <v>0</v>
      </c>
      <c r="BT425" s="694"/>
      <c r="BU425" s="120"/>
      <c r="BV425" s="120"/>
      <c r="BW425" s="120"/>
      <c r="BX425" s="957"/>
      <c r="BY425" s="120"/>
      <c r="BZ425" s="120"/>
      <c r="CA425" s="120"/>
      <c r="CB425" s="120"/>
      <c r="CC425" s="957"/>
      <c r="CD425" s="957"/>
      <c r="CE425" s="957"/>
      <c r="CF425" s="957"/>
      <c r="CG425" s="615"/>
    </row>
    <row r="426" spans="1:85" s="461" customFormat="1" ht="14.4" hidden="1" outlineLevel="1" x14ac:dyDescent="0.3">
      <c r="A426" s="166" t="s">
        <v>1185</v>
      </c>
      <c r="B426" s="583"/>
      <c r="C426" s="957"/>
      <c r="D426" s="957"/>
      <c r="E426" s="957"/>
      <c r="F426" s="957"/>
      <c r="G426" s="120"/>
      <c r="H426" s="120"/>
      <c r="I426" s="120"/>
      <c r="J426" s="120"/>
      <c r="K426" s="957"/>
      <c r="L426" s="120"/>
      <c r="M426" s="120"/>
      <c r="N426" s="120"/>
      <c r="O426" s="120"/>
      <c r="P426" s="957"/>
      <c r="Q426" s="120"/>
      <c r="R426" s="120"/>
      <c r="S426" s="120"/>
      <c r="T426" s="120"/>
      <c r="U426" s="957"/>
      <c r="V426" s="120"/>
      <c r="W426" s="120"/>
      <c r="X426" s="120"/>
      <c r="Y426" s="120"/>
      <c r="Z426" s="957"/>
      <c r="AA426" s="120"/>
      <c r="AB426" s="120"/>
      <c r="AC426" s="120"/>
      <c r="AD426" s="120"/>
      <c r="AE426" s="957"/>
      <c r="AF426" s="120"/>
      <c r="AG426" s="120"/>
      <c r="AH426" s="120"/>
      <c r="AI426" s="120"/>
      <c r="AJ426" s="957"/>
      <c r="AK426" s="120"/>
      <c r="AL426" s="120"/>
      <c r="AM426" s="120"/>
      <c r="AN426" s="120"/>
      <c r="AO426" s="957">
        <f>AO414+AO425</f>
        <v>540</v>
      </c>
      <c r="AP426" s="120"/>
      <c r="AQ426" s="120"/>
      <c r="AR426" s="120"/>
      <c r="AS426" s="120"/>
      <c r="AT426" s="957">
        <f>AT414+AT425</f>
        <v>597</v>
      </c>
      <c r="AU426" s="120"/>
      <c r="AV426" s="120"/>
      <c r="AW426" s="120"/>
      <c r="AX426" s="120"/>
      <c r="AY426" s="957">
        <f>AY414+AY425</f>
        <v>471</v>
      </c>
      <c r="AZ426" s="120"/>
      <c r="BA426" s="120"/>
      <c r="BB426" s="120"/>
      <c r="BC426" s="120"/>
      <c r="BD426" s="957">
        <f>BD414+BD425</f>
        <v>574</v>
      </c>
      <c r="BE426" s="120"/>
      <c r="BF426" s="120"/>
      <c r="BG426" s="120"/>
      <c r="BH426" s="120"/>
      <c r="BI426" s="957">
        <f>BI414+BI425</f>
        <v>598</v>
      </c>
      <c r="BJ426" s="120"/>
      <c r="BK426" s="120"/>
      <c r="BL426" s="120"/>
      <c r="BM426" s="120"/>
      <c r="BN426" s="957">
        <f>BN414+BN425</f>
        <v>0</v>
      </c>
      <c r="BO426" s="120"/>
      <c r="BP426" s="120"/>
      <c r="BQ426" s="120"/>
      <c r="BR426" s="120"/>
      <c r="BS426" s="957">
        <f>BS414+BS425</f>
        <v>0</v>
      </c>
      <c r="BT426" s="694"/>
      <c r="BU426" s="120"/>
      <c r="BV426" s="120"/>
      <c r="BW426" s="120"/>
      <c r="BX426" s="957"/>
      <c r="BY426" s="120"/>
      <c r="BZ426" s="120"/>
      <c r="CA426" s="120"/>
      <c r="CB426" s="120"/>
      <c r="CC426" s="957"/>
      <c r="CD426" s="957"/>
      <c r="CE426" s="957"/>
      <c r="CF426" s="957"/>
      <c r="CG426" s="615"/>
    </row>
    <row r="427" spans="1:85" s="461" customFormat="1" ht="14.4" hidden="1" outlineLevel="1" x14ac:dyDescent="0.3">
      <c r="A427" s="166"/>
      <c r="B427" s="583"/>
      <c r="C427" s="957"/>
      <c r="D427" s="957"/>
      <c r="E427" s="957"/>
      <c r="F427" s="957"/>
      <c r="G427" s="120"/>
      <c r="H427" s="120"/>
      <c r="I427" s="120"/>
      <c r="J427" s="120"/>
      <c r="K427" s="957"/>
      <c r="L427" s="120"/>
      <c r="M427" s="120"/>
      <c r="N427" s="120"/>
      <c r="O427" s="120"/>
      <c r="P427" s="957"/>
      <c r="Q427" s="120"/>
      <c r="R427" s="120"/>
      <c r="S427" s="120"/>
      <c r="T427" s="120"/>
      <c r="U427" s="957"/>
      <c r="V427" s="120"/>
      <c r="W427" s="120"/>
      <c r="X427" s="120"/>
      <c r="Y427" s="120"/>
      <c r="Z427" s="957"/>
      <c r="AA427" s="120"/>
      <c r="AB427" s="120"/>
      <c r="AC427" s="120"/>
      <c r="AD427" s="120"/>
      <c r="AE427" s="957"/>
      <c r="AF427" s="120"/>
      <c r="AG427" s="120"/>
      <c r="AH427" s="120"/>
      <c r="AI427" s="120"/>
      <c r="AJ427" s="957"/>
      <c r="AK427" s="120"/>
      <c r="AL427" s="120"/>
      <c r="AM427" s="120"/>
      <c r="AN427" s="120"/>
      <c r="AO427" s="957"/>
      <c r="AP427" s="120"/>
      <c r="AQ427" s="120"/>
      <c r="AR427" s="120"/>
      <c r="AS427" s="120"/>
      <c r="AT427" s="957"/>
      <c r="AU427" s="120"/>
      <c r="AV427" s="120"/>
      <c r="AW427" s="120"/>
      <c r="AX427" s="120"/>
      <c r="AY427" s="957"/>
      <c r="AZ427" s="120"/>
      <c r="BA427" s="120"/>
      <c r="BB427" s="120"/>
      <c r="BC427" s="120"/>
      <c r="BD427" s="957"/>
      <c r="BE427" s="120"/>
      <c r="BF427" s="120"/>
      <c r="BG427" s="120"/>
      <c r="BH427" s="120"/>
      <c r="BI427" s="957"/>
      <c r="BJ427" s="120"/>
      <c r="BK427" s="120"/>
      <c r="BL427" s="120"/>
      <c r="BM427" s="120"/>
      <c r="BN427" s="957"/>
      <c r="BO427" s="120"/>
      <c r="BP427" s="120"/>
      <c r="BQ427" s="120"/>
      <c r="BR427" s="120"/>
      <c r="BS427" s="957"/>
      <c r="BT427" s="694"/>
      <c r="BU427" s="120"/>
      <c r="BV427" s="120"/>
      <c r="BW427" s="120"/>
      <c r="BX427" s="957"/>
      <c r="BY427" s="120"/>
      <c r="BZ427" s="120"/>
      <c r="CA427" s="120"/>
      <c r="CB427" s="120"/>
      <c r="CC427" s="957"/>
      <c r="CD427" s="957"/>
      <c r="CE427" s="957"/>
      <c r="CF427" s="957"/>
      <c r="CG427" s="615"/>
    </row>
    <row r="428" spans="1:85" s="460" customFormat="1" ht="14.4" hidden="1" outlineLevel="1" x14ac:dyDescent="0.3">
      <c r="A428" s="159" t="s">
        <v>1195</v>
      </c>
      <c r="B428" s="586"/>
      <c r="C428" s="150"/>
      <c r="D428" s="150"/>
      <c r="E428" s="150"/>
      <c r="F428" s="150"/>
      <c r="G428" s="117"/>
      <c r="H428" s="117"/>
      <c r="I428" s="117"/>
      <c r="J428" s="117"/>
      <c r="K428" s="150"/>
      <c r="L428" s="117"/>
      <c r="M428" s="117"/>
      <c r="N428" s="117"/>
      <c r="O428" s="117"/>
      <c r="P428" s="150"/>
      <c r="Q428" s="117"/>
      <c r="R428" s="117"/>
      <c r="S428" s="117"/>
      <c r="T428" s="117"/>
      <c r="U428" s="150"/>
      <c r="V428" s="117"/>
      <c r="W428" s="117"/>
      <c r="X428" s="117"/>
      <c r="Y428" s="117"/>
      <c r="Z428" s="150"/>
      <c r="AA428" s="117"/>
      <c r="AB428" s="117"/>
      <c r="AC428" s="117"/>
      <c r="AD428" s="117"/>
      <c r="AE428" s="150"/>
      <c r="AF428" s="117"/>
      <c r="AG428" s="117"/>
      <c r="AH428" s="117"/>
      <c r="AI428" s="117"/>
      <c r="AJ428" s="150"/>
      <c r="AK428" s="117"/>
      <c r="AL428" s="117"/>
      <c r="AM428" s="117"/>
      <c r="AN428" s="117"/>
      <c r="AO428" s="975">
        <v>258</v>
      </c>
      <c r="AP428" s="117"/>
      <c r="AQ428" s="117"/>
      <c r="AR428" s="117"/>
      <c r="AS428" s="117"/>
      <c r="AT428" s="975">
        <v>346</v>
      </c>
      <c r="AU428" s="117"/>
      <c r="AV428" s="117"/>
      <c r="AW428" s="117"/>
      <c r="AX428" s="117"/>
      <c r="AY428" s="975">
        <v>421</v>
      </c>
      <c r="AZ428" s="117"/>
      <c r="BA428" s="117"/>
      <c r="BB428" s="117"/>
      <c r="BC428" s="117"/>
      <c r="BD428" s="975">
        <v>450</v>
      </c>
      <c r="BE428" s="117"/>
      <c r="BF428" s="117"/>
      <c r="BG428" s="117"/>
      <c r="BH428" s="117"/>
      <c r="BI428" s="975">
        <v>611</v>
      </c>
      <c r="BJ428" s="117"/>
      <c r="BK428" s="117"/>
      <c r="BL428" s="117"/>
      <c r="BM428" s="117"/>
      <c r="BN428" s="975">
        <v>615</v>
      </c>
      <c r="BO428" s="117"/>
      <c r="BP428" s="117"/>
      <c r="BQ428" s="117"/>
      <c r="BR428" s="117"/>
      <c r="BS428" s="975">
        <v>854</v>
      </c>
      <c r="BT428" s="691"/>
      <c r="BU428" s="117"/>
      <c r="BV428" s="117"/>
      <c r="BW428" s="117"/>
      <c r="BX428" s="150"/>
      <c r="BY428" s="117"/>
      <c r="BZ428" s="117"/>
      <c r="CA428" s="117"/>
      <c r="CB428" s="117"/>
      <c r="CC428" s="150"/>
      <c r="CD428" s="150"/>
      <c r="CE428" s="150"/>
      <c r="CF428" s="150"/>
      <c r="CG428" s="587"/>
    </row>
    <row r="429" spans="1:85" s="460" customFormat="1" ht="14.4" hidden="1" outlineLevel="1" x14ac:dyDescent="0.3">
      <c r="A429" s="159" t="s">
        <v>1196</v>
      </c>
      <c r="B429" s="586"/>
      <c r="C429" s="150"/>
      <c r="D429" s="150"/>
      <c r="E429" s="150"/>
      <c r="F429" s="150"/>
      <c r="G429" s="117"/>
      <c r="H429" s="117"/>
      <c r="I429" s="117"/>
      <c r="J429" s="117"/>
      <c r="K429" s="150"/>
      <c r="L429" s="117"/>
      <c r="M429" s="117"/>
      <c r="N429" s="117"/>
      <c r="O429" s="117"/>
      <c r="P429" s="150"/>
      <c r="Q429" s="117"/>
      <c r="R429" s="117"/>
      <c r="S429" s="117"/>
      <c r="T429" s="117"/>
      <c r="U429" s="150"/>
      <c r="V429" s="117"/>
      <c r="W429" s="117"/>
      <c r="X429" s="117"/>
      <c r="Y429" s="117"/>
      <c r="Z429" s="150"/>
      <c r="AA429" s="117"/>
      <c r="AB429" s="117"/>
      <c r="AC429" s="117"/>
      <c r="AD429" s="117"/>
      <c r="AE429" s="150"/>
      <c r="AF429" s="117"/>
      <c r="AG429" s="117"/>
      <c r="AH429" s="117"/>
      <c r="AI429" s="117"/>
      <c r="AJ429" s="150"/>
      <c r="AK429" s="117"/>
      <c r="AL429" s="117"/>
      <c r="AM429" s="117"/>
      <c r="AN429" s="117"/>
      <c r="AO429" s="975">
        <v>5</v>
      </c>
      <c r="AP429" s="117"/>
      <c r="AQ429" s="117"/>
      <c r="AR429" s="117"/>
      <c r="AS429" s="117"/>
      <c r="AT429" s="975">
        <v>6</v>
      </c>
      <c r="AU429" s="117"/>
      <c r="AV429" s="117"/>
      <c r="AW429" s="117"/>
      <c r="AX429" s="117"/>
      <c r="AY429" s="975">
        <v>7</v>
      </c>
      <c r="AZ429" s="117"/>
      <c r="BA429" s="117"/>
      <c r="BB429" s="117"/>
      <c r="BC429" s="117"/>
      <c r="BD429" s="975">
        <v>7</v>
      </c>
      <c r="BE429" s="117"/>
      <c r="BF429" s="117"/>
      <c r="BG429" s="117"/>
      <c r="BH429" s="117"/>
      <c r="BI429" s="975">
        <v>7</v>
      </c>
      <c r="BJ429" s="117"/>
      <c r="BK429" s="117"/>
      <c r="BL429" s="117"/>
      <c r="BM429" s="117"/>
      <c r="BN429" s="975">
        <v>0</v>
      </c>
      <c r="BO429" s="117"/>
      <c r="BP429" s="117"/>
      <c r="BQ429" s="117"/>
      <c r="BR429" s="117"/>
      <c r="BS429" s="975">
        <v>0</v>
      </c>
      <c r="BT429" s="691"/>
      <c r="BU429" s="117"/>
      <c r="BV429" s="117"/>
      <c r="BW429" s="117"/>
      <c r="BX429" s="150"/>
      <c r="BY429" s="117"/>
      <c r="BZ429" s="117"/>
      <c r="CA429" s="117"/>
      <c r="CB429" s="117"/>
      <c r="CC429" s="150"/>
      <c r="CD429" s="150"/>
      <c r="CE429" s="150"/>
      <c r="CF429" s="150"/>
      <c r="CG429" s="587"/>
    </row>
    <row r="430" spans="1:85" s="460" customFormat="1" ht="14.4" hidden="1" outlineLevel="1" x14ac:dyDescent="0.3">
      <c r="A430" s="159" t="s">
        <v>1197</v>
      </c>
      <c r="B430" s="586"/>
      <c r="C430" s="150"/>
      <c r="D430" s="150"/>
      <c r="E430" s="150"/>
      <c r="F430" s="150"/>
      <c r="G430" s="117"/>
      <c r="H430" s="117"/>
      <c r="I430" s="117"/>
      <c r="J430" s="117"/>
      <c r="K430" s="150"/>
      <c r="L430" s="117"/>
      <c r="M430" s="117"/>
      <c r="N430" s="117"/>
      <c r="O430" s="117"/>
      <c r="P430" s="150"/>
      <c r="Q430" s="117"/>
      <c r="R430" s="117"/>
      <c r="S430" s="117"/>
      <c r="T430" s="117"/>
      <c r="U430" s="150"/>
      <c r="V430" s="117"/>
      <c r="W430" s="117"/>
      <c r="X430" s="117"/>
      <c r="Y430" s="117"/>
      <c r="Z430" s="150"/>
      <c r="AA430" s="117"/>
      <c r="AB430" s="117"/>
      <c r="AC430" s="117"/>
      <c r="AD430" s="117"/>
      <c r="AE430" s="150"/>
      <c r="AF430" s="117"/>
      <c r="AG430" s="117"/>
      <c r="AH430" s="117"/>
      <c r="AI430" s="117"/>
      <c r="AJ430" s="150"/>
      <c r="AK430" s="117"/>
      <c r="AL430" s="117"/>
      <c r="AM430" s="117"/>
      <c r="AN430" s="117"/>
      <c r="AO430" s="975">
        <v>67</v>
      </c>
      <c r="AP430" s="117"/>
      <c r="AQ430" s="117"/>
      <c r="AR430" s="117"/>
      <c r="AS430" s="117"/>
      <c r="AT430" s="975">
        <v>68</v>
      </c>
      <c r="AU430" s="117"/>
      <c r="AV430" s="117"/>
      <c r="AW430" s="117"/>
      <c r="AX430" s="117"/>
      <c r="AY430" s="975">
        <v>77</v>
      </c>
      <c r="AZ430" s="117"/>
      <c r="BA430" s="117"/>
      <c r="BB430" s="117"/>
      <c r="BC430" s="117"/>
      <c r="BD430" s="975">
        <v>72</v>
      </c>
      <c r="BE430" s="117"/>
      <c r="BF430" s="117"/>
      <c r="BG430" s="117"/>
      <c r="BH430" s="117"/>
      <c r="BI430" s="975">
        <v>70</v>
      </c>
      <c r="BJ430" s="117"/>
      <c r="BK430" s="117"/>
      <c r="BL430" s="117"/>
      <c r="BM430" s="117"/>
      <c r="BN430" s="975">
        <v>67</v>
      </c>
      <c r="BO430" s="117"/>
      <c r="BP430" s="117"/>
      <c r="BQ430" s="117"/>
      <c r="BR430" s="117"/>
      <c r="BS430" s="975">
        <v>49</v>
      </c>
      <c r="BT430" s="691"/>
      <c r="BU430" s="117"/>
      <c r="BV430" s="117"/>
      <c r="BW430" s="117"/>
      <c r="BX430" s="150"/>
      <c r="BY430" s="117"/>
      <c r="BZ430" s="117"/>
      <c r="CA430" s="117"/>
      <c r="CB430" s="117"/>
      <c r="CC430" s="150"/>
      <c r="CD430" s="150"/>
      <c r="CE430" s="150"/>
      <c r="CF430" s="150"/>
      <c r="CG430" s="587"/>
    </row>
    <row r="431" spans="1:85" s="460" customFormat="1" ht="14.4" hidden="1" outlineLevel="1" x14ac:dyDescent="0.3">
      <c r="A431" s="159" t="s">
        <v>1198</v>
      </c>
      <c r="B431" s="586"/>
      <c r="C431" s="150"/>
      <c r="D431" s="150"/>
      <c r="E431" s="150"/>
      <c r="F431" s="150"/>
      <c r="G431" s="117"/>
      <c r="H431" s="117"/>
      <c r="I431" s="117"/>
      <c r="J431" s="117"/>
      <c r="K431" s="150"/>
      <c r="L431" s="117"/>
      <c r="M431" s="117"/>
      <c r="N431" s="117"/>
      <c r="O431" s="117"/>
      <c r="P431" s="150"/>
      <c r="Q431" s="117"/>
      <c r="R431" s="117"/>
      <c r="S431" s="117"/>
      <c r="T431" s="117"/>
      <c r="U431" s="150"/>
      <c r="V431" s="117"/>
      <c r="W431" s="117"/>
      <c r="X431" s="117"/>
      <c r="Y431" s="117"/>
      <c r="Z431" s="150"/>
      <c r="AA431" s="117"/>
      <c r="AB431" s="117"/>
      <c r="AC431" s="117"/>
      <c r="AD431" s="117"/>
      <c r="AE431" s="150"/>
      <c r="AF431" s="117"/>
      <c r="AG431" s="117"/>
      <c r="AH431" s="117"/>
      <c r="AI431" s="117"/>
      <c r="AJ431" s="150"/>
      <c r="AK431" s="117"/>
      <c r="AL431" s="117"/>
      <c r="AM431" s="117"/>
      <c r="AN431" s="117"/>
      <c r="AO431" s="975">
        <v>0</v>
      </c>
      <c r="AP431" s="117"/>
      <c r="AQ431" s="117"/>
      <c r="AR431" s="117"/>
      <c r="AS431" s="117"/>
      <c r="AT431" s="975">
        <v>0</v>
      </c>
      <c r="AU431" s="117"/>
      <c r="AV431" s="117"/>
      <c r="AW431" s="117"/>
      <c r="AX431" s="117"/>
      <c r="AY431" s="975">
        <v>0</v>
      </c>
      <c r="AZ431" s="117"/>
      <c r="BA431" s="117"/>
      <c r="BB431" s="117"/>
      <c r="BC431" s="117"/>
      <c r="BD431" s="975">
        <v>0</v>
      </c>
      <c r="BE431" s="117"/>
      <c r="BF431" s="117"/>
      <c r="BG431" s="117"/>
      <c r="BH431" s="117"/>
      <c r="BI431" s="975">
        <v>0</v>
      </c>
      <c r="BJ431" s="117"/>
      <c r="BK431" s="117"/>
      <c r="BL431" s="117"/>
      <c r="BM431" s="117"/>
      <c r="BN431" s="975">
        <v>0</v>
      </c>
      <c r="BO431" s="117"/>
      <c r="BP431" s="117"/>
      <c r="BQ431" s="117"/>
      <c r="BR431" s="117"/>
      <c r="BS431" s="975">
        <v>0</v>
      </c>
      <c r="BT431" s="691"/>
      <c r="BU431" s="117"/>
      <c r="BV431" s="117"/>
      <c r="BW431" s="117"/>
      <c r="BX431" s="150"/>
      <c r="BY431" s="117"/>
      <c r="BZ431" s="117"/>
      <c r="CA431" s="117"/>
      <c r="CB431" s="117"/>
      <c r="CC431" s="150"/>
      <c r="CD431" s="150"/>
      <c r="CE431" s="150"/>
      <c r="CF431" s="150"/>
      <c r="CG431" s="587"/>
    </row>
    <row r="432" spans="1:85" s="460" customFormat="1" ht="14.4" hidden="1" outlineLevel="1" x14ac:dyDescent="0.3">
      <c r="A432" s="159" t="s">
        <v>1199</v>
      </c>
      <c r="B432" s="586"/>
      <c r="C432" s="150"/>
      <c r="D432" s="150"/>
      <c r="E432" s="150"/>
      <c r="F432" s="150"/>
      <c r="G432" s="117"/>
      <c r="H432" s="117"/>
      <c r="I432" s="117"/>
      <c r="J432" s="117"/>
      <c r="K432" s="150"/>
      <c r="L432" s="117"/>
      <c r="M432" s="117"/>
      <c r="N432" s="117"/>
      <c r="O432" s="117"/>
      <c r="P432" s="150"/>
      <c r="Q432" s="117"/>
      <c r="R432" s="117"/>
      <c r="S432" s="117"/>
      <c r="T432" s="117"/>
      <c r="U432" s="150"/>
      <c r="V432" s="117"/>
      <c r="W432" s="117"/>
      <c r="X432" s="117"/>
      <c r="Y432" s="117"/>
      <c r="Z432" s="150"/>
      <c r="AA432" s="117"/>
      <c r="AB432" s="117"/>
      <c r="AC432" s="117"/>
      <c r="AD432" s="117"/>
      <c r="AE432" s="150"/>
      <c r="AF432" s="117"/>
      <c r="AG432" s="117"/>
      <c r="AH432" s="117"/>
      <c r="AI432" s="117"/>
      <c r="AJ432" s="150"/>
      <c r="AK432" s="117"/>
      <c r="AL432" s="117"/>
      <c r="AM432" s="117"/>
      <c r="AN432" s="117"/>
      <c r="AO432" s="975">
        <v>4</v>
      </c>
      <c r="AP432" s="117"/>
      <c r="AQ432" s="117"/>
      <c r="AR432" s="117"/>
      <c r="AS432" s="117"/>
      <c r="AT432" s="975">
        <v>4</v>
      </c>
      <c r="AU432" s="117"/>
      <c r="AV432" s="117"/>
      <c r="AW432" s="117"/>
      <c r="AX432" s="117"/>
      <c r="AY432" s="975">
        <v>3</v>
      </c>
      <c r="AZ432" s="117"/>
      <c r="BA432" s="117"/>
      <c r="BB432" s="117"/>
      <c r="BC432" s="117"/>
      <c r="BD432" s="975">
        <v>3</v>
      </c>
      <c r="BE432" s="117"/>
      <c r="BF432" s="117"/>
      <c r="BG432" s="117"/>
      <c r="BH432" s="117"/>
      <c r="BI432" s="975">
        <v>2</v>
      </c>
      <c r="BJ432" s="117"/>
      <c r="BK432" s="117"/>
      <c r="BL432" s="117"/>
      <c r="BM432" s="117"/>
      <c r="BN432" s="975">
        <v>1</v>
      </c>
      <c r="BO432" s="117"/>
      <c r="BP432" s="117"/>
      <c r="BQ432" s="117"/>
      <c r="BR432" s="117"/>
      <c r="BS432" s="975">
        <v>1</v>
      </c>
      <c r="BT432" s="691"/>
      <c r="BU432" s="117"/>
      <c r="BV432" s="117"/>
      <c r="BW432" s="117"/>
      <c r="BX432" s="150"/>
      <c r="BY432" s="117"/>
      <c r="BZ432" s="117"/>
      <c r="CA432" s="117"/>
      <c r="CB432" s="117"/>
      <c r="CC432" s="150"/>
      <c r="CD432" s="150"/>
      <c r="CE432" s="150"/>
      <c r="CF432" s="150"/>
      <c r="CG432" s="587"/>
    </row>
    <row r="433" spans="1:85" s="460" customFormat="1" ht="14.4" hidden="1" outlineLevel="1" x14ac:dyDescent="0.3">
      <c r="A433" s="262" t="s">
        <v>1200</v>
      </c>
      <c r="B433" s="588"/>
      <c r="C433" s="954"/>
      <c r="D433" s="954"/>
      <c r="E433" s="954"/>
      <c r="F433" s="954"/>
      <c r="G433" s="133"/>
      <c r="H433" s="133"/>
      <c r="I433" s="133"/>
      <c r="J433" s="133"/>
      <c r="K433" s="954"/>
      <c r="L433" s="133"/>
      <c r="M433" s="133"/>
      <c r="N433" s="133"/>
      <c r="O433" s="133"/>
      <c r="P433" s="954"/>
      <c r="Q433" s="133"/>
      <c r="R433" s="133"/>
      <c r="S433" s="133"/>
      <c r="T433" s="133"/>
      <c r="U433" s="954"/>
      <c r="V433" s="133"/>
      <c r="W433" s="133"/>
      <c r="X433" s="133"/>
      <c r="Y433" s="133"/>
      <c r="Z433" s="954"/>
      <c r="AA433" s="133"/>
      <c r="AB433" s="133"/>
      <c r="AC433" s="133"/>
      <c r="AD433" s="133"/>
      <c r="AE433" s="954"/>
      <c r="AF433" s="133"/>
      <c r="AG433" s="133"/>
      <c r="AH433" s="133"/>
      <c r="AI433" s="133"/>
      <c r="AJ433" s="954"/>
      <c r="AK433" s="133"/>
      <c r="AL433" s="133"/>
      <c r="AM433" s="133"/>
      <c r="AN433" s="133"/>
      <c r="AO433" s="976">
        <v>0</v>
      </c>
      <c r="AP433" s="133"/>
      <c r="AQ433" s="133"/>
      <c r="AR433" s="133"/>
      <c r="AS433" s="133"/>
      <c r="AT433" s="976">
        <v>0</v>
      </c>
      <c r="AU433" s="133"/>
      <c r="AV433" s="133"/>
      <c r="AW433" s="133"/>
      <c r="AX433" s="133"/>
      <c r="AY433" s="976">
        <v>0</v>
      </c>
      <c r="AZ433" s="133"/>
      <c r="BA433" s="133"/>
      <c r="BB433" s="133"/>
      <c r="BC433" s="133"/>
      <c r="BD433" s="976">
        <v>0</v>
      </c>
      <c r="BE433" s="133"/>
      <c r="BF433" s="133"/>
      <c r="BG433" s="133"/>
      <c r="BH433" s="133"/>
      <c r="BI433" s="976">
        <v>0</v>
      </c>
      <c r="BJ433" s="133"/>
      <c r="BK433" s="133"/>
      <c r="BL433" s="133"/>
      <c r="BM433" s="133"/>
      <c r="BN433" s="976">
        <v>0</v>
      </c>
      <c r="BO433" s="133"/>
      <c r="BP433" s="133"/>
      <c r="BQ433" s="133"/>
      <c r="BR433" s="133"/>
      <c r="BS433" s="976">
        <v>0</v>
      </c>
      <c r="BT433" s="692"/>
      <c r="BU433" s="133"/>
      <c r="BV433" s="133"/>
      <c r="BW433" s="133"/>
      <c r="BX433" s="954"/>
      <c r="BY433" s="133"/>
      <c r="BZ433" s="133"/>
      <c r="CA433" s="133"/>
      <c r="CB433" s="133"/>
      <c r="CC433" s="954"/>
      <c r="CD433" s="954"/>
      <c r="CE433" s="954"/>
      <c r="CF433" s="954"/>
      <c r="CG433" s="587"/>
    </row>
    <row r="434" spans="1:85" s="461" customFormat="1" ht="14.4" hidden="1" outlineLevel="1" x14ac:dyDescent="0.3">
      <c r="A434" s="166" t="s">
        <v>1192</v>
      </c>
      <c r="B434" s="583"/>
      <c r="C434" s="957"/>
      <c r="D434" s="957"/>
      <c r="E434" s="957"/>
      <c r="F434" s="957"/>
      <c r="G434" s="120"/>
      <c r="H434" s="120"/>
      <c r="I434" s="120"/>
      <c r="J434" s="120"/>
      <c r="K434" s="957"/>
      <c r="L434" s="120"/>
      <c r="M434" s="120"/>
      <c r="N434" s="120"/>
      <c r="O434" s="120"/>
      <c r="P434" s="957"/>
      <c r="Q434" s="120"/>
      <c r="R434" s="120"/>
      <c r="S434" s="120"/>
      <c r="T434" s="120"/>
      <c r="U434" s="957"/>
      <c r="V434" s="120"/>
      <c r="W434" s="120"/>
      <c r="X434" s="120"/>
      <c r="Y434" s="120"/>
      <c r="Z434" s="957"/>
      <c r="AA434" s="120"/>
      <c r="AB434" s="120"/>
      <c r="AC434" s="120"/>
      <c r="AD434" s="120"/>
      <c r="AE434" s="957"/>
      <c r="AF434" s="120"/>
      <c r="AG434" s="120"/>
      <c r="AH434" s="120"/>
      <c r="AI434" s="120"/>
      <c r="AJ434" s="957"/>
      <c r="AK434" s="120"/>
      <c r="AL434" s="120"/>
      <c r="AM434" s="120"/>
      <c r="AN434" s="120"/>
      <c r="AO434" s="957">
        <f>SUM(AO428:AO433)</f>
        <v>334</v>
      </c>
      <c r="AP434" s="120"/>
      <c r="AQ434" s="120"/>
      <c r="AR434" s="120"/>
      <c r="AS434" s="120"/>
      <c r="AT434" s="957">
        <f>SUM(AT428:AT433)</f>
        <v>424</v>
      </c>
      <c r="AU434" s="120"/>
      <c r="AV434" s="120"/>
      <c r="AW434" s="120"/>
      <c r="AX434" s="120"/>
      <c r="AY434" s="957">
        <f>SUM(AY428:AY433)</f>
        <v>508</v>
      </c>
      <c r="AZ434" s="120"/>
      <c r="BA434" s="120"/>
      <c r="BB434" s="120"/>
      <c r="BC434" s="120"/>
      <c r="BD434" s="957">
        <f>SUM(BD428:BD433)</f>
        <v>532</v>
      </c>
      <c r="BE434" s="120"/>
      <c r="BF434" s="120"/>
      <c r="BG434" s="120"/>
      <c r="BH434" s="120"/>
      <c r="BI434" s="957">
        <f>SUM(BI428:BI433)</f>
        <v>690</v>
      </c>
      <c r="BJ434" s="120"/>
      <c r="BK434" s="120"/>
      <c r="BL434" s="120"/>
      <c r="BM434" s="120"/>
      <c r="BN434" s="957">
        <f>SUM(BN428:BN433)</f>
        <v>683</v>
      </c>
      <c r="BO434" s="120"/>
      <c r="BP434" s="120"/>
      <c r="BQ434" s="120"/>
      <c r="BR434" s="120"/>
      <c r="BS434" s="957">
        <f>SUM(BS428:BS433)</f>
        <v>904</v>
      </c>
      <c r="BT434" s="694"/>
      <c r="BU434" s="120"/>
      <c r="BV434" s="120"/>
      <c r="BW434" s="120"/>
      <c r="BX434" s="957"/>
      <c r="BY434" s="120"/>
      <c r="BZ434" s="120"/>
      <c r="CA434" s="120"/>
      <c r="CB434" s="120"/>
      <c r="CC434" s="957"/>
      <c r="CD434" s="957"/>
      <c r="CE434" s="957"/>
      <c r="CF434" s="957"/>
      <c r="CG434" s="615"/>
    </row>
    <row r="435" spans="1:85" s="460" customFormat="1" ht="14.4" hidden="1" outlineLevel="1" x14ac:dyDescent="0.3">
      <c r="A435" s="159" t="s">
        <v>1201</v>
      </c>
      <c r="B435" s="586"/>
      <c r="C435" s="150"/>
      <c r="D435" s="150"/>
      <c r="E435" s="150"/>
      <c r="F435" s="150"/>
      <c r="G435" s="117"/>
      <c r="H435" s="117"/>
      <c r="I435" s="117"/>
      <c r="J435" s="117"/>
      <c r="K435" s="150"/>
      <c r="L435" s="117"/>
      <c r="M435" s="117"/>
      <c r="N435" s="117"/>
      <c r="O435" s="117"/>
      <c r="P435" s="150"/>
      <c r="Q435" s="117"/>
      <c r="R435" s="117"/>
      <c r="S435" s="117"/>
      <c r="T435" s="117"/>
      <c r="U435" s="150"/>
      <c r="V435" s="117"/>
      <c r="W435" s="117"/>
      <c r="X435" s="117"/>
      <c r="Y435" s="117"/>
      <c r="Z435" s="150"/>
      <c r="AA435" s="117"/>
      <c r="AB435" s="117"/>
      <c r="AC435" s="117"/>
      <c r="AD435" s="117"/>
      <c r="AE435" s="150"/>
      <c r="AF435" s="117"/>
      <c r="AG435" s="117"/>
      <c r="AH435" s="117"/>
      <c r="AI435" s="117"/>
      <c r="AJ435" s="150"/>
      <c r="AK435" s="117"/>
      <c r="AL435" s="117"/>
      <c r="AM435" s="117"/>
      <c r="AN435" s="117"/>
      <c r="AO435" s="975">
        <v>59</v>
      </c>
      <c r="AP435" s="117"/>
      <c r="AQ435" s="117"/>
      <c r="AR435" s="117"/>
      <c r="AS435" s="117"/>
      <c r="AT435" s="975">
        <v>53</v>
      </c>
      <c r="AU435" s="117"/>
      <c r="AV435" s="117"/>
      <c r="AW435" s="117"/>
      <c r="AX435" s="117"/>
      <c r="AY435" s="975">
        <v>52</v>
      </c>
      <c r="AZ435" s="117"/>
      <c r="BA435" s="117"/>
      <c r="BB435" s="117"/>
      <c r="BC435" s="117"/>
      <c r="BD435" s="975">
        <v>52</v>
      </c>
      <c r="BE435" s="117"/>
      <c r="BF435" s="117"/>
      <c r="BG435" s="117"/>
      <c r="BH435" s="117"/>
      <c r="BI435" s="975">
        <v>67</v>
      </c>
      <c r="BJ435" s="117"/>
      <c r="BK435" s="117"/>
      <c r="BL435" s="117"/>
      <c r="BM435" s="117"/>
      <c r="BN435" s="975">
        <v>70</v>
      </c>
      <c r="BO435" s="117"/>
      <c r="BP435" s="117"/>
      <c r="BQ435" s="117"/>
      <c r="BR435" s="117"/>
      <c r="BS435" s="975">
        <v>61</v>
      </c>
      <c r="BT435" s="691"/>
      <c r="BU435" s="117"/>
      <c r="BV435" s="117"/>
      <c r="BW435" s="117"/>
      <c r="BX435" s="150"/>
      <c r="BY435" s="117"/>
      <c r="BZ435" s="117"/>
      <c r="CA435" s="117"/>
      <c r="CB435" s="117"/>
      <c r="CC435" s="150"/>
      <c r="CD435" s="150"/>
      <c r="CE435" s="150"/>
      <c r="CF435" s="150"/>
      <c r="CG435" s="587"/>
    </row>
    <row r="436" spans="1:85" s="460" customFormat="1" ht="14.4" hidden="1" outlineLevel="1" x14ac:dyDescent="0.3">
      <c r="A436" s="262" t="s">
        <v>1202</v>
      </c>
      <c r="B436" s="588"/>
      <c r="C436" s="954"/>
      <c r="D436" s="954"/>
      <c r="E436" s="954"/>
      <c r="F436" s="954"/>
      <c r="G436" s="133"/>
      <c r="H436" s="133"/>
      <c r="I436" s="133"/>
      <c r="J436" s="133"/>
      <c r="K436" s="954"/>
      <c r="L436" s="133"/>
      <c r="M436" s="133"/>
      <c r="N436" s="133"/>
      <c r="O436" s="133"/>
      <c r="P436" s="954"/>
      <c r="Q436" s="133"/>
      <c r="R436" s="133"/>
      <c r="S436" s="133"/>
      <c r="T436" s="133"/>
      <c r="U436" s="954"/>
      <c r="V436" s="133"/>
      <c r="W436" s="133"/>
      <c r="X436" s="133"/>
      <c r="Y436" s="133"/>
      <c r="Z436" s="954"/>
      <c r="AA436" s="133"/>
      <c r="AB436" s="133"/>
      <c r="AC436" s="133"/>
      <c r="AD436" s="133"/>
      <c r="AE436" s="954"/>
      <c r="AF436" s="133"/>
      <c r="AG436" s="133"/>
      <c r="AH436" s="133"/>
      <c r="AI436" s="133"/>
      <c r="AJ436" s="954"/>
      <c r="AK436" s="133"/>
      <c r="AL436" s="133"/>
      <c r="AM436" s="133"/>
      <c r="AN436" s="133"/>
      <c r="AO436" s="976">
        <v>10</v>
      </c>
      <c r="AP436" s="133"/>
      <c r="AQ436" s="133"/>
      <c r="AR436" s="133"/>
      <c r="AS436" s="133"/>
      <c r="AT436" s="976">
        <v>12</v>
      </c>
      <c r="AU436" s="133"/>
      <c r="AV436" s="133"/>
      <c r="AW436" s="133"/>
      <c r="AX436" s="133"/>
      <c r="AY436" s="976">
        <v>13</v>
      </c>
      <c r="AZ436" s="133"/>
      <c r="BA436" s="133"/>
      <c r="BB436" s="133"/>
      <c r="BC436" s="133"/>
      <c r="BD436" s="976">
        <v>13</v>
      </c>
      <c r="BE436" s="133"/>
      <c r="BF436" s="133"/>
      <c r="BG436" s="133"/>
      <c r="BH436" s="133"/>
      <c r="BI436" s="976">
        <v>13</v>
      </c>
      <c r="BJ436" s="133"/>
      <c r="BK436" s="133"/>
      <c r="BL436" s="133"/>
      <c r="BM436" s="133"/>
      <c r="BN436" s="976">
        <v>12</v>
      </c>
      <c r="BO436" s="133"/>
      <c r="BP436" s="133"/>
      <c r="BQ436" s="133"/>
      <c r="BR436" s="133"/>
      <c r="BS436" s="976">
        <v>14</v>
      </c>
      <c r="BT436" s="692"/>
      <c r="BU436" s="133"/>
      <c r="BV436" s="133"/>
      <c r="BW436" s="133"/>
      <c r="BX436" s="954"/>
      <c r="BY436" s="133"/>
      <c r="BZ436" s="133"/>
      <c r="CA436" s="133"/>
      <c r="CB436" s="133"/>
      <c r="CC436" s="954"/>
      <c r="CD436" s="954"/>
      <c r="CE436" s="954"/>
      <c r="CF436" s="954"/>
      <c r="CG436" s="587"/>
    </row>
    <row r="437" spans="1:85" s="461" customFormat="1" ht="14.4" hidden="1" outlineLevel="1" x14ac:dyDescent="0.3">
      <c r="A437" s="602" t="s">
        <v>1193</v>
      </c>
      <c r="B437" s="594"/>
      <c r="C437" s="982"/>
      <c r="D437" s="982"/>
      <c r="E437" s="982"/>
      <c r="F437" s="982"/>
      <c r="G437" s="595"/>
      <c r="H437" s="595"/>
      <c r="I437" s="595"/>
      <c r="J437" s="595"/>
      <c r="K437" s="982"/>
      <c r="L437" s="595"/>
      <c r="M437" s="595"/>
      <c r="N437" s="595"/>
      <c r="O437" s="595"/>
      <c r="P437" s="982"/>
      <c r="Q437" s="595"/>
      <c r="R437" s="595"/>
      <c r="S437" s="595"/>
      <c r="T437" s="595"/>
      <c r="U437" s="982"/>
      <c r="V437" s="595"/>
      <c r="W437" s="595"/>
      <c r="X437" s="595"/>
      <c r="Y437" s="595"/>
      <c r="Z437" s="982"/>
      <c r="AA437" s="595"/>
      <c r="AB437" s="595"/>
      <c r="AC437" s="595"/>
      <c r="AD437" s="595"/>
      <c r="AE437" s="982"/>
      <c r="AF437" s="595"/>
      <c r="AG437" s="595"/>
      <c r="AH437" s="595"/>
      <c r="AI437" s="595"/>
      <c r="AJ437" s="982"/>
      <c r="AK437" s="595"/>
      <c r="AL437" s="595"/>
      <c r="AM437" s="595"/>
      <c r="AN437" s="595"/>
      <c r="AO437" s="982">
        <f>SUM(AO435:AO436)</f>
        <v>69</v>
      </c>
      <c r="AP437" s="595"/>
      <c r="AQ437" s="595"/>
      <c r="AR437" s="595"/>
      <c r="AS437" s="595"/>
      <c r="AT437" s="982">
        <f>SUM(AT435:AT436)</f>
        <v>65</v>
      </c>
      <c r="AU437" s="595"/>
      <c r="AV437" s="595"/>
      <c r="AW437" s="595"/>
      <c r="AX437" s="595"/>
      <c r="AY437" s="982">
        <f>SUM(AY435:AY436)</f>
        <v>65</v>
      </c>
      <c r="AZ437" s="595"/>
      <c r="BA437" s="595"/>
      <c r="BB437" s="595"/>
      <c r="BC437" s="595"/>
      <c r="BD437" s="982">
        <f>SUM(BD435:BD436)</f>
        <v>65</v>
      </c>
      <c r="BE437" s="595"/>
      <c r="BF437" s="595"/>
      <c r="BG437" s="595"/>
      <c r="BH437" s="595"/>
      <c r="BI437" s="982">
        <f>SUM(BI435:BI436)</f>
        <v>80</v>
      </c>
      <c r="BJ437" s="595"/>
      <c r="BK437" s="595"/>
      <c r="BL437" s="595"/>
      <c r="BM437" s="595"/>
      <c r="BN437" s="982">
        <f>SUM(BN435:BN436)</f>
        <v>82</v>
      </c>
      <c r="BO437" s="595"/>
      <c r="BP437" s="595"/>
      <c r="BQ437" s="595"/>
      <c r="BR437" s="595"/>
      <c r="BS437" s="982">
        <f>SUM(BS435:BS436)</f>
        <v>75</v>
      </c>
      <c r="BT437" s="711"/>
      <c r="BU437" s="595"/>
      <c r="BV437" s="595"/>
      <c r="BW437" s="595"/>
      <c r="BX437" s="982"/>
      <c r="BY437" s="595"/>
      <c r="BZ437" s="595"/>
      <c r="CA437" s="595"/>
      <c r="CB437" s="595"/>
      <c r="CC437" s="982"/>
      <c r="CD437" s="982"/>
      <c r="CE437" s="982"/>
      <c r="CF437" s="982"/>
      <c r="CG437" s="615"/>
    </row>
    <row r="438" spans="1:85" s="461" customFormat="1" ht="14.4" hidden="1" outlineLevel="1" x14ac:dyDescent="0.3">
      <c r="A438" s="166" t="s">
        <v>1194</v>
      </c>
      <c r="B438" s="583"/>
      <c r="C438" s="957"/>
      <c r="D438" s="957"/>
      <c r="E438" s="957"/>
      <c r="F438" s="957"/>
      <c r="G438" s="120"/>
      <c r="H438" s="120"/>
      <c r="I438" s="120"/>
      <c r="J438" s="120"/>
      <c r="K438" s="957"/>
      <c r="L438" s="120"/>
      <c r="M438" s="120"/>
      <c r="N438" s="120"/>
      <c r="O438" s="120"/>
      <c r="P438" s="957"/>
      <c r="Q438" s="120"/>
      <c r="R438" s="120"/>
      <c r="S438" s="120"/>
      <c r="T438" s="120"/>
      <c r="U438" s="957"/>
      <c r="V438" s="120"/>
      <c r="W438" s="120"/>
      <c r="X438" s="120"/>
      <c r="Y438" s="120"/>
      <c r="Z438" s="957"/>
      <c r="AA438" s="120"/>
      <c r="AB438" s="120"/>
      <c r="AC438" s="120"/>
      <c r="AD438" s="120"/>
      <c r="AE438" s="957"/>
      <c r="AF438" s="120"/>
      <c r="AG438" s="120"/>
      <c r="AH438" s="120"/>
      <c r="AI438" s="120"/>
      <c r="AJ438" s="957"/>
      <c r="AK438" s="120"/>
      <c r="AL438" s="120"/>
      <c r="AM438" s="120"/>
      <c r="AN438" s="120"/>
      <c r="AO438" s="957">
        <f>AO434+AO437</f>
        <v>403</v>
      </c>
      <c r="AP438" s="120"/>
      <c r="AQ438" s="120"/>
      <c r="AR438" s="120"/>
      <c r="AS438" s="120"/>
      <c r="AT438" s="957">
        <f>AT434+AT437</f>
        <v>489</v>
      </c>
      <c r="AU438" s="120"/>
      <c r="AV438" s="120"/>
      <c r="AW438" s="120"/>
      <c r="AX438" s="120"/>
      <c r="AY438" s="957">
        <f>AY434+AY437</f>
        <v>573</v>
      </c>
      <c r="AZ438" s="120"/>
      <c r="BA438" s="120"/>
      <c r="BB438" s="120"/>
      <c r="BC438" s="120"/>
      <c r="BD438" s="957">
        <f>BD434+BD437</f>
        <v>597</v>
      </c>
      <c r="BE438" s="120"/>
      <c r="BF438" s="120"/>
      <c r="BG438" s="120"/>
      <c r="BH438" s="120"/>
      <c r="BI438" s="957">
        <f>BI434+BI437</f>
        <v>770</v>
      </c>
      <c r="BJ438" s="120"/>
      <c r="BK438" s="120"/>
      <c r="BL438" s="120"/>
      <c r="BM438" s="120"/>
      <c r="BN438" s="957">
        <f>BN434+BN437</f>
        <v>765</v>
      </c>
      <c r="BO438" s="120"/>
      <c r="BP438" s="120"/>
      <c r="BQ438" s="120"/>
      <c r="BR438" s="120"/>
      <c r="BS438" s="957">
        <f>BS434+BS437</f>
        <v>979</v>
      </c>
      <c r="BT438" s="694"/>
      <c r="BU438" s="120"/>
      <c r="BV438" s="120"/>
      <c r="BW438" s="120"/>
      <c r="BX438" s="957"/>
      <c r="BY438" s="120"/>
      <c r="BZ438" s="120"/>
      <c r="CA438" s="120"/>
      <c r="CB438" s="120"/>
      <c r="CC438" s="957"/>
      <c r="CD438" s="957"/>
      <c r="CE438" s="957"/>
      <c r="CF438" s="957"/>
      <c r="CG438" s="615"/>
    </row>
    <row r="439" spans="1:85" s="460" customFormat="1" ht="14.4" hidden="1" outlineLevel="1" x14ac:dyDescent="0.3">
      <c r="A439" s="159" t="s">
        <v>1203</v>
      </c>
      <c r="B439" s="586"/>
      <c r="C439" s="150"/>
      <c r="D439" s="150"/>
      <c r="E439" s="150"/>
      <c r="F439" s="150"/>
      <c r="G439" s="117"/>
      <c r="H439" s="117"/>
      <c r="I439" s="117"/>
      <c r="J439" s="117"/>
      <c r="K439" s="150"/>
      <c r="L439" s="117"/>
      <c r="M439" s="117"/>
      <c r="N439" s="117"/>
      <c r="O439" s="117"/>
      <c r="P439" s="150"/>
      <c r="Q439" s="117"/>
      <c r="R439" s="117"/>
      <c r="S439" s="117"/>
      <c r="T439" s="117"/>
      <c r="U439" s="150"/>
      <c r="V439" s="117"/>
      <c r="W439" s="117"/>
      <c r="X439" s="117"/>
      <c r="Y439" s="117"/>
      <c r="Z439" s="150"/>
      <c r="AA439" s="117"/>
      <c r="AB439" s="117"/>
      <c r="AC439" s="117"/>
      <c r="AD439" s="117"/>
      <c r="AE439" s="150"/>
      <c r="AF439" s="117"/>
      <c r="AG439" s="117"/>
      <c r="AH439" s="117"/>
      <c r="AI439" s="117"/>
      <c r="AJ439" s="150"/>
      <c r="AK439" s="117"/>
      <c r="AL439" s="117"/>
      <c r="AM439" s="117"/>
      <c r="AN439" s="117"/>
      <c r="AO439" s="975">
        <v>244</v>
      </c>
      <c r="AP439" s="117"/>
      <c r="AQ439" s="117"/>
      <c r="AR439" s="117"/>
      <c r="AS439" s="117"/>
      <c r="AT439" s="975">
        <v>247</v>
      </c>
      <c r="AU439" s="117"/>
      <c r="AV439" s="117"/>
      <c r="AW439" s="117"/>
      <c r="AX439" s="117"/>
      <c r="AY439" s="975">
        <v>391</v>
      </c>
      <c r="AZ439" s="117"/>
      <c r="BA439" s="117"/>
      <c r="BB439" s="117"/>
      <c r="BC439" s="117"/>
      <c r="BD439" s="975">
        <v>435</v>
      </c>
      <c r="BE439" s="117"/>
      <c r="BF439" s="117"/>
      <c r="BG439" s="117"/>
      <c r="BH439" s="117"/>
      <c r="BI439" s="975">
        <v>413</v>
      </c>
      <c r="BJ439" s="117"/>
      <c r="BK439" s="117"/>
      <c r="BL439" s="117"/>
      <c r="BM439" s="117"/>
      <c r="BN439" s="975">
        <v>373</v>
      </c>
      <c r="BO439" s="117"/>
      <c r="BP439" s="117"/>
      <c r="BQ439" s="117"/>
      <c r="BR439" s="117"/>
      <c r="BS439" s="975">
        <v>351</v>
      </c>
      <c r="BT439" s="691"/>
      <c r="BU439" s="117"/>
      <c r="BV439" s="117"/>
      <c r="BW439" s="117"/>
      <c r="BX439" s="150"/>
      <c r="BY439" s="117"/>
      <c r="BZ439" s="117"/>
      <c r="CA439" s="117"/>
      <c r="CB439" s="117"/>
      <c r="CC439" s="150"/>
      <c r="CD439" s="150"/>
      <c r="CE439" s="150"/>
      <c r="CF439" s="150"/>
      <c r="CG439" s="587"/>
    </row>
    <row r="440" spans="1:85" s="460" customFormat="1" ht="14.4" hidden="1" outlineLevel="1" x14ac:dyDescent="0.3">
      <c r="A440" s="159" t="s">
        <v>1204</v>
      </c>
      <c r="B440" s="586"/>
      <c r="C440" s="150"/>
      <c r="D440" s="150"/>
      <c r="E440" s="150"/>
      <c r="F440" s="150"/>
      <c r="G440" s="117"/>
      <c r="H440" s="117"/>
      <c r="I440" s="117"/>
      <c r="J440" s="117"/>
      <c r="K440" s="150"/>
      <c r="L440" s="117"/>
      <c r="M440" s="117"/>
      <c r="N440" s="117"/>
      <c r="O440" s="117"/>
      <c r="P440" s="150"/>
      <c r="Q440" s="117"/>
      <c r="R440" s="117"/>
      <c r="S440" s="117"/>
      <c r="T440" s="117"/>
      <c r="U440" s="150"/>
      <c r="V440" s="117"/>
      <c r="W440" s="117"/>
      <c r="X440" s="117"/>
      <c r="Y440" s="117"/>
      <c r="Z440" s="150"/>
      <c r="AA440" s="117"/>
      <c r="AB440" s="117"/>
      <c r="AC440" s="117"/>
      <c r="AD440" s="117"/>
      <c r="AE440" s="150"/>
      <c r="AF440" s="117"/>
      <c r="AG440" s="117"/>
      <c r="AH440" s="117"/>
      <c r="AI440" s="117"/>
      <c r="AJ440" s="150"/>
      <c r="AK440" s="117"/>
      <c r="AL440" s="117"/>
      <c r="AM440" s="117"/>
      <c r="AN440" s="117"/>
      <c r="AO440" s="975">
        <v>11</v>
      </c>
      <c r="AP440" s="117"/>
      <c r="AQ440" s="117"/>
      <c r="AR440" s="117"/>
      <c r="AS440" s="117"/>
      <c r="AT440" s="975">
        <v>2</v>
      </c>
      <c r="AU440" s="117"/>
      <c r="AV440" s="117"/>
      <c r="AW440" s="117"/>
      <c r="AX440" s="117"/>
      <c r="AY440" s="975">
        <v>8</v>
      </c>
      <c r="AZ440" s="117"/>
      <c r="BA440" s="117"/>
      <c r="BB440" s="117"/>
      <c r="BC440" s="117"/>
      <c r="BD440" s="975">
        <v>10</v>
      </c>
      <c r="BE440" s="117"/>
      <c r="BF440" s="117"/>
      <c r="BG440" s="117"/>
      <c r="BH440" s="117"/>
      <c r="BI440" s="975">
        <v>8</v>
      </c>
      <c r="BJ440" s="117"/>
      <c r="BK440" s="117"/>
      <c r="BL440" s="117"/>
      <c r="BM440" s="117"/>
      <c r="BN440" s="975">
        <v>0</v>
      </c>
      <c r="BO440" s="117"/>
      <c r="BP440" s="117"/>
      <c r="BQ440" s="117"/>
      <c r="BR440" s="117"/>
      <c r="BS440" s="975">
        <v>0</v>
      </c>
      <c r="BT440" s="691"/>
      <c r="BU440" s="117"/>
      <c r="BV440" s="117"/>
      <c r="BW440" s="117"/>
      <c r="BX440" s="150"/>
      <c r="BY440" s="117"/>
      <c r="BZ440" s="117"/>
      <c r="CA440" s="117"/>
      <c r="CB440" s="117"/>
      <c r="CC440" s="150"/>
      <c r="CD440" s="150"/>
      <c r="CE440" s="150"/>
      <c r="CF440" s="150"/>
      <c r="CG440" s="587"/>
    </row>
    <row r="441" spans="1:85" s="460" customFormat="1" ht="14.4" hidden="1" outlineLevel="1" x14ac:dyDescent="0.3">
      <c r="A441" s="159" t="s">
        <v>1205</v>
      </c>
      <c r="B441" s="586"/>
      <c r="C441" s="150"/>
      <c r="D441" s="150"/>
      <c r="E441" s="150"/>
      <c r="F441" s="150"/>
      <c r="G441" s="117"/>
      <c r="H441" s="117"/>
      <c r="I441" s="117"/>
      <c r="J441" s="117"/>
      <c r="K441" s="150"/>
      <c r="L441" s="117"/>
      <c r="M441" s="117"/>
      <c r="N441" s="117"/>
      <c r="O441" s="117"/>
      <c r="P441" s="150"/>
      <c r="Q441" s="117"/>
      <c r="R441" s="117"/>
      <c r="S441" s="117"/>
      <c r="T441" s="117"/>
      <c r="U441" s="150"/>
      <c r="V441" s="117"/>
      <c r="W441" s="117"/>
      <c r="X441" s="117"/>
      <c r="Y441" s="117"/>
      <c r="Z441" s="150"/>
      <c r="AA441" s="117"/>
      <c r="AB441" s="117"/>
      <c r="AC441" s="117"/>
      <c r="AD441" s="117"/>
      <c r="AE441" s="150"/>
      <c r="AF441" s="117"/>
      <c r="AG441" s="117"/>
      <c r="AH441" s="117"/>
      <c r="AI441" s="117"/>
      <c r="AJ441" s="150"/>
      <c r="AK441" s="117"/>
      <c r="AL441" s="117"/>
      <c r="AM441" s="117"/>
      <c r="AN441" s="117"/>
      <c r="AO441" s="975">
        <v>33</v>
      </c>
      <c r="AP441" s="117"/>
      <c r="AQ441" s="117"/>
      <c r="AR441" s="117"/>
      <c r="AS441" s="117"/>
      <c r="AT441" s="975">
        <v>36</v>
      </c>
      <c r="AU441" s="117"/>
      <c r="AV441" s="117"/>
      <c r="AW441" s="117"/>
      <c r="AX441" s="117"/>
      <c r="AY441" s="975">
        <v>28</v>
      </c>
      <c r="AZ441" s="117"/>
      <c r="BA441" s="117"/>
      <c r="BB441" s="117"/>
      <c r="BC441" s="117"/>
      <c r="BD441" s="975">
        <v>25</v>
      </c>
      <c r="BE441" s="117"/>
      <c r="BF441" s="117"/>
      <c r="BG441" s="117"/>
      <c r="BH441" s="117"/>
      <c r="BI441" s="975">
        <v>27</v>
      </c>
      <c r="BJ441" s="117"/>
      <c r="BK441" s="117"/>
      <c r="BL441" s="117"/>
      <c r="BM441" s="117"/>
      <c r="BN441" s="975">
        <v>19</v>
      </c>
      <c r="BO441" s="117"/>
      <c r="BP441" s="117"/>
      <c r="BQ441" s="117"/>
      <c r="BR441" s="117"/>
      <c r="BS441" s="975">
        <v>16</v>
      </c>
      <c r="BT441" s="691"/>
      <c r="BU441" s="117"/>
      <c r="BV441" s="117"/>
      <c r="BW441" s="117"/>
      <c r="BX441" s="150"/>
      <c r="BY441" s="117"/>
      <c r="BZ441" s="117"/>
      <c r="CA441" s="117"/>
      <c r="CB441" s="117"/>
      <c r="CC441" s="150"/>
      <c r="CD441" s="150"/>
      <c r="CE441" s="150"/>
      <c r="CF441" s="150"/>
      <c r="CG441" s="587"/>
    </row>
    <row r="442" spans="1:85" s="460" customFormat="1" ht="14.4" hidden="1" outlineLevel="1" x14ac:dyDescent="0.3">
      <c r="A442" s="159" t="s">
        <v>1206</v>
      </c>
      <c r="B442" s="586"/>
      <c r="C442" s="150"/>
      <c r="D442" s="150"/>
      <c r="E442" s="150"/>
      <c r="F442" s="150"/>
      <c r="G442" s="117"/>
      <c r="H442" s="117"/>
      <c r="I442" s="117"/>
      <c r="J442" s="117"/>
      <c r="K442" s="150"/>
      <c r="L442" s="117"/>
      <c r="M442" s="117"/>
      <c r="N442" s="117"/>
      <c r="O442" s="117"/>
      <c r="P442" s="150"/>
      <c r="Q442" s="117"/>
      <c r="R442" s="117"/>
      <c r="S442" s="117"/>
      <c r="T442" s="117"/>
      <c r="U442" s="150"/>
      <c r="V442" s="117"/>
      <c r="W442" s="117"/>
      <c r="X442" s="117"/>
      <c r="Y442" s="117"/>
      <c r="Z442" s="150"/>
      <c r="AA442" s="117"/>
      <c r="AB442" s="117"/>
      <c r="AC442" s="117"/>
      <c r="AD442" s="117"/>
      <c r="AE442" s="150"/>
      <c r="AF442" s="117"/>
      <c r="AG442" s="117"/>
      <c r="AH442" s="117"/>
      <c r="AI442" s="117"/>
      <c r="AJ442" s="150"/>
      <c r="AK442" s="117"/>
      <c r="AL442" s="117"/>
      <c r="AM442" s="117"/>
      <c r="AN442" s="117"/>
      <c r="AO442" s="975">
        <v>0</v>
      </c>
      <c r="AP442" s="117"/>
      <c r="AQ442" s="117"/>
      <c r="AR442" s="117"/>
      <c r="AS442" s="117"/>
      <c r="AT442" s="975">
        <v>0</v>
      </c>
      <c r="AU442" s="117"/>
      <c r="AV442" s="117"/>
      <c r="AW442" s="117"/>
      <c r="AX442" s="117"/>
      <c r="AY442" s="975">
        <v>0</v>
      </c>
      <c r="AZ442" s="117"/>
      <c r="BA442" s="117"/>
      <c r="BB442" s="117"/>
      <c r="BC442" s="117"/>
      <c r="BD442" s="975">
        <v>0</v>
      </c>
      <c r="BE442" s="117"/>
      <c r="BF442" s="117"/>
      <c r="BG442" s="117"/>
      <c r="BH442" s="117"/>
      <c r="BI442" s="975">
        <v>0</v>
      </c>
      <c r="BJ442" s="117"/>
      <c r="BK442" s="117"/>
      <c r="BL442" s="117"/>
      <c r="BM442" s="117"/>
      <c r="BN442" s="975">
        <v>0</v>
      </c>
      <c r="BO442" s="117"/>
      <c r="BP442" s="117"/>
      <c r="BQ442" s="117"/>
      <c r="BR442" s="117"/>
      <c r="BS442" s="975">
        <v>0</v>
      </c>
      <c r="BT442" s="691"/>
      <c r="BU442" s="117"/>
      <c r="BV442" s="117"/>
      <c r="BW442" s="117"/>
      <c r="BX442" s="150"/>
      <c r="BY442" s="117"/>
      <c r="BZ442" s="117"/>
      <c r="CA442" s="117"/>
      <c r="CB442" s="117"/>
      <c r="CC442" s="150"/>
      <c r="CD442" s="150"/>
      <c r="CE442" s="150"/>
      <c r="CF442" s="150"/>
      <c r="CG442" s="587"/>
    </row>
    <row r="443" spans="1:85" s="460" customFormat="1" ht="14.4" hidden="1" outlineLevel="1" x14ac:dyDescent="0.3">
      <c r="A443" s="159" t="s">
        <v>1207</v>
      </c>
      <c r="B443" s="586"/>
      <c r="C443" s="150"/>
      <c r="D443" s="150"/>
      <c r="E443" s="150"/>
      <c r="F443" s="150"/>
      <c r="G443" s="117"/>
      <c r="H443" s="117"/>
      <c r="I443" s="117"/>
      <c r="J443" s="117"/>
      <c r="K443" s="150"/>
      <c r="L443" s="117"/>
      <c r="M443" s="117"/>
      <c r="N443" s="117"/>
      <c r="O443" s="117"/>
      <c r="P443" s="150"/>
      <c r="Q443" s="117"/>
      <c r="R443" s="117"/>
      <c r="S443" s="117"/>
      <c r="T443" s="117"/>
      <c r="U443" s="150"/>
      <c r="V443" s="117"/>
      <c r="W443" s="117"/>
      <c r="X443" s="117"/>
      <c r="Y443" s="117"/>
      <c r="Z443" s="150"/>
      <c r="AA443" s="117"/>
      <c r="AB443" s="117"/>
      <c r="AC443" s="117"/>
      <c r="AD443" s="117"/>
      <c r="AE443" s="150"/>
      <c r="AF443" s="117"/>
      <c r="AG443" s="117"/>
      <c r="AH443" s="117"/>
      <c r="AI443" s="117"/>
      <c r="AJ443" s="150"/>
      <c r="AK443" s="117"/>
      <c r="AL443" s="117"/>
      <c r="AM443" s="117"/>
      <c r="AN443" s="117"/>
      <c r="AO443" s="975">
        <v>0</v>
      </c>
      <c r="AP443" s="117"/>
      <c r="AQ443" s="117"/>
      <c r="AR443" s="117"/>
      <c r="AS443" s="117"/>
      <c r="AT443" s="975">
        <v>0</v>
      </c>
      <c r="AU443" s="117"/>
      <c r="AV443" s="117"/>
      <c r="AW443" s="117"/>
      <c r="AX443" s="117"/>
      <c r="AY443" s="975">
        <v>0</v>
      </c>
      <c r="AZ443" s="117"/>
      <c r="BA443" s="117"/>
      <c r="BB443" s="117"/>
      <c r="BC443" s="117"/>
      <c r="BD443" s="975">
        <v>0</v>
      </c>
      <c r="BE443" s="117"/>
      <c r="BF443" s="117"/>
      <c r="BG443" s="117"/>
      <c r="BH443" s="117"/>
      <c r="BI443" s="975">
        <v>0</v>
      </c>
      <c r="BJ443" s="117"/>
      <c r="BK443" s="117"/>
      <c r="BL443" s="117"/>
      <c r="BM443" s="117"/>
      <c r="BN443" s="975">
        <v>0</v>
      </c>
      <c r="BO443" s="117"/>
      <c r="BP443" s="117"/>
      <c r="BQ443" s="117"/>
      <c r="BR443" s="117"/>
      <c r="BS443" s="975">
        <v>0</v>
      </c>
      <c r="BT443" s="691"/>
      <c r="BU443" s="117"/>
      <c r="BV443" s="117"/>
      <c r="BW443" s="117"/>
      <c r="BX443" s="150"/>
      <c r="BY443" s="117"/>
      <c r="BZ443" s="117"/>
      <c r="CA443" s="117"/>
      <c r="CB443" s="117"/>
      <c r="CC443" s="150"/>
      <c r="CD443" s="150"/>
      <c r="CE443" s="150"/>
      <c r="CF443" s="150"/>
      <c r="CG443" s="587"/>
    </row>
    <row r="444" spans="1:85" s="460" customFormat="1" ht="14.4" hidden="1" outlineLevel="1" x14ac:dyDescent="0.3">
      <c r="A444" s="262" t="s">
        <v>1208</v>
      </c>
      <c r="B444" s="588"/>
      <c r="C444" s="954"/>
      <c r="D444" s="954"/>
      <c r="E444" s="954"/>
      <c r="F444" s="954"/>
      <c r="G444" s="133"/>
      <c r="H444" s="133"/>
      <c r="I444" s="133"/>
      <c r="J444" s="133"/>
      <c r="K444" s="954"/>
      <c r="L444" s="133"/>
      <c r="M444" s="133"/>
      <c r="N444" s="133"/>
      <c r="O444" s="133"/>
      <c r="P444" s="954"/>
      <c r="Q444" s="133"/>
      <c r="R444" s="133"/>
      <c r="S444" s="133"/>
      <c r="T444" s="133"/>
      <c r="U444" s="954"/>
      <c r="V444" s="133"/>
      <c r="W444" s="133"/>
      <c r="X444" s="133"/>
      <c r="Y444" s="133"/>
      <c r="Z444" s="954"/>
      <c r="AA444" s="133"/>
      <c r="AB444" s="133"/>
      <c r="AC444" s="133"/>
      <c r="AD444" s="133"/>
      <c r="AE444" s="954"/>
      <c r="AF444" s="133"/>
      <c r="AG444" s="133"/>
      <c r="AH444" s="133"/>
      <c r="AI444" s="133"/>
      <c r="AJ444" s="954"/>
      <c r="AK444" s="133"/>
      <c r="AL444" s="133"/>
      <c r="AM444" s="133"/>
      <c r="AN444" s="133"/>
      <c r="AO444" s="976">
        <v>0</v>
      </c>
      <c r="AP444" s="133"/>
      <c r="AQ444" s="133"/>
      <c r="AR444" s="133"/>
      <c r="AS444" s="133"/>
      <c r="AT444" s="976">
        <v>0</v>
      </c>
      <c r="AU444" s="133"/>
      <c r="AV444" s="133"/>
      <c r="AW444" s="133"/>
      <c r="AX444" s="133"/>
      <c r="AY444" s="976">
        <v>0</v>
      </c>
      <c r="AZ444" s="133"/>
      <c r="BA444" s="133"/>
      <c r="BB444" s="133"/>
      <c r="BC444" s="133"/>
      <c r="BD444" s="976">
        <v>0</v>
      </c>
      <c r="BE444" s="133"/>
      <c r="BF444" s="133"/>
      <c r="BG444" s="133"/>
      <c r="BH444" s="133"/>
      <c r="BI444" s="976">
        <v>0</v>
      </c>
      <c r="BJ444" s="133"/>
      <c r="BK444" s="133"/>
      <c r="BL444" s="133"/>
      <c r="BM444" s="133"/>
      <c r="BN444" s="976">
        <v>0</v>
      </c>
      <c r="BO444" s="133"/>
      <c r="BP444" s="133"/>
      <c r="BQ444" s="133"/>
      <c r="BR444" s="133"/>
      <c r="BS444" s="976">
        <v>0</v>
      </c>
      <c r="BT444" s="692"/>
      <c r="BU444" s="133"/>
      <c r="BV444" s="133"/>
      <c r="BW444" s="133"/>
      <c r="BX444" s="954"/>
      <c r="BY444" s="133"/>
      <c r="BZ444" s="133"/>
      <c r="CA444" s="133"/>
      <c r="CB444" s="133"/>
      <c r="CC444" s="954"/>
      <c r="CD444" s="954"/>
      <c r="CE444" s="954"/>
      <c r="CF444" s="954"/>
      <c r="CG444" s="587"/>
    </row>
    <row r="445" spans="1:85" s="461" customFormat="1" ht="14.4" hidden="1" outlineLevel="1" x14ac:dyDescent="0.3">
      <c r="A445" s="166" t="s">
        <v>1229</v>
      </c>
      <c r="B445" s="583"/>
      <c r="C445" s="957"/>
      <c r="D445" s="957"/>
      <c r="E445" s="957"/>
      <c r="F445" s="957"/>
      <c r="G445" s="120"/>
      <c r="H445" s="120"/>
      <c r="I445" s="120"/>
      <c r="J445" s="120"/>
      <c r="K445" s="957"/>
      <c r="L445" s="120"/>
      <c r="M445" s="120"/>
      <c r="N445" s="120"/>
      <c r="O445" s="120"/>
      <c r="P445" s="957"/>
      <c r="Q445" s="120"/>
      <c r="R445" s="120"/>
      <c r="S445" s="120"/>
      <c r="T445" s="120"/>
      <c r="U445" s="957"/>
      <c r="V445" s="120"/>
      <c r="W445" s="120"/>
      <c r="X445" s="120"/>
      <c r="Y445" s="120"/>
      <c r="Z445" s="957"/>
      <c r="AA445" s="120"/>
      <c r="AB445" s="120"/>
      <c r="AC445" s="120"/>
      <c r="AD445" s="120"/>
      <c r="AE445" s="957"/>
      <c r="AF445" s="120"/>
      <c r="AG445" s="120"/>
      <c r="AH445" s="120"/>
      <c r="AI445" s="120"/>
      <c r="AJ445" s="957"/>
      <c r="AK445" s="120"/>
      <c r="AL445" s="120"/>
      <c r="AM445" s="120"/>
      <c r="AN445" s="120"/>
      <c r="AO445" s="957">
        <f>SUM(AO439:AO444)</f>
        <v>288</v>
      </c>
      <c r="AP445" s="120"/>
      <c r="AQ445" s="120"/>
      <c r="AR445" s="120"/>
      <c r="AS445" s="120"/>
      <c r="AT445" s="957">
        <f>SUM(AT439:AT444)</f>
        <v>285</v>
      </c>
      <c r="AU445" s="120"/>
      <c r="AV445" s="120"/>
      <c r="AW445" s="120"/>
      <c r="AX445" s="120"/>
      <c r="AY445" s="957">
        <f>SUM(AY439:AY444)</f>
        <v>427</v>
      </c>
      <c r="AZ445" s="120"/>
      <c r="BA445" s="120"/>
      <c r="BB445" s="120"/>
      <c r="BC445" s="120"/>
      <c r="BD445" s="957">
        <f>SUM(BD439:BD444)</f>
        <v>470</v>
      </c>
      <c r="BE445" s="120"/>
      <c r="BF445" s="120"/>
      <c r="BG445" s="120"/>
      <c r="BH445" s="120"/>
      <c r="BI445" s="957">
        <f>SUM(BI439:BI444)</f>
        <v>448</v>
      </c>
      <c r="BJ445" s="120"/>
      <c r="BK445" s="120"/>
      <c r="BL445" s="120"/>
      <c r="BM445" s="120"/>
      <c r="BN445" s="957">
        <f>SUM(BN439:BN444)</f>
        <v>392</v>
      </c>
      <c r="BO445" s="120"/>
      <c r="BP445" s="120"/>
      <c r="BQ445" s="120"/>
      <c r="BR445" s="120"/>
      <c r="BS445" s="957">
        <f>SUM(BS439:BS444)</f>
        <v>367</v>
      </c>
      <c r="BT445" s="694"/>
      <c r="BU445" s="120"/>
      <c r="BV445" s="120"/>
      <c r="BW445" s="120"/>
      <c r="BX445" s="957"/>
      <c r="BY445" s="120"/>
      <c r="BZ445" s="120"/>
      <c r="CA445" s="120"/>
      <c r="CB445" s="120"/>
      <c r="CC445" s="957"/>
      <c r="CD445" s="957"/>
      <c r="CE445" s="957"/>
      <c r="CF445" s="957"/>
      <c r="CG445" s="615"/>
    </row>
    <row r="446" spans="1:85" s="460" customFormat="1" ht="14.4" hidden="1" outlineLevel="1" x14ac:dyDescent="0.3">
      <c r="A446" s="159" t="s">
        <v>1209</v>
      </c>
      <c r="B446" s="586"/>
      <c r="C446" s="150"/>
      <c r="D446" s="150"/>
      <c r="E446" s="150"/>
      <c r="F446" s="150"/>
      <c r="G446" s="117"/>
      <c r="H446" s="117"/>
      <c r="I446" s="117"/>
      <c r="J446" s="117"/>
      <c r="K446" s="150"/>
      <c r="L446" s="117"/>
      <c r="M446" s="117"/>
      <c r="N446" s="117"/>
      <c r="O446" s="117"/>
      <c r="P446" s="150"/>
      <c r="Q446" s="117"/>
      <c r="R446" s="117"/>
      <c r="S446" s="117"/>
      <c r="T446" s="117"/>
      <c r="U446" s="150"/>
      <c r="V446" s="117"/>
      <c r="W446" s="117"/>
      <c r="X446" s="117"/>
      <c r="Y446" s="117"/>
      <c r="Z446" s="150"/>
      <c r="AA446" s="117"/>
      <c r="AB446" s="117"/>
      <c r="AC446" s="117"/>
      <c r="AD446" s="117"/>
      <c r="AE446" s="150"/>
      <c r="AF446" s="117"/>
      <c r="AG446" s="117"/>
      <c r="AH446" s="117"/>
      <c r="AI446" s="117"/>
      <c r="AJ446" s="150"/>
      <c r="AK446" s="117"/>
      <c r="AL446" s="117"/>
      <c r="AM446" s="117"/>
      <c r="AN446" s="117"/>
      <c r="AO446" s="975">
        <v>44</v>
      </c>
      <c r="AP446" s="117"/>
      <c r="AQ446" s="117"/>
      <c r="AR446" s="117"/>
      <c r="AS446" s="117"/>
      <c r="AT446" s="975">
        <v>49</v>
      </c>
      <c r="AU446" s="117"/>
      <c r="AV446" s="117"/>
      <c r="AW446" s="117"/>
      <c r="AX446" s="117"/>
      <c r="AY446" s="975">
        <v>32</v>
      </c>
      <c r="AZ446" s="117"/>
      <c r="BA446" s="117"/>
      <c r="BB446" s="117"/>
      <c r="BC446" s="117"/>
      <c r="BD446" s="975">
        <v>21</v>
      </c>
      <c r="BE446" s="117"/>
      <c r="BF446" s="117"/>
      <c r="BG446" s="117"/>
      <c r="BH446" s="117"/>
      <c r="BI446" s="975">
        <v>11</v>
      </c>
      <c r="BJ446" s="117"/>
      <c r="BK446" s="117"/>
      <c r="BL446" s="117"/>
      <c r="BM446" s="117"/>
      <c r="BN446" s="975">
        <v>2</v>
      </c>
      <c r="BO446" s="117"/>
      <c r="BP446" s="117"/>
      <c r="BQ446" s="117"/>
      <c r="BR446" s="117"/>
      <c r="BS446" s="975">
        <v>2</v>
      </c>
      <c r="BT446" s="691"/>
      <c r="BU446" s="117"/>
      <c r="BV446" s="117"/>
      <c r="BW446" s="117"/>
      <c r="BX446" s="150"/>
      <c r="BY446" s="117"/>
      <c r="BZ446" s="117"/>
      <c r="CA446" s="117"/>
      <c r="CB446" s="117"/>
      <c r="CC446" s="150"/>
      <c r="CD446" s="150"/>
      <c r="CE446" s="150"/>
      <c r="CF446" s="150"/>
      <c r="CG446" s="587"/>
    </row>
    <row r="447" spans="1:85" s="460" customFormat="1" ht="14.4" hidden="1" outlineLevel="1" x14ac:dyDescent="0.3">
      <c r="A447" s="262" t="s">
        <v>1210</v>
      </c>
      <c r="B447" s="588"/>
      <c r="C447" s="954"/>
      <c r="D447" s="954"/>
      <c r="E447" s="954"/>
      <c r="F447" s="954"/>
      <c r="G447" s="133"/>
      <c r="H447" s="133"/>
      <c r="I447" s="133"/>
      <c r="J447" s="133"/>
      <c r="K447" s="954"/>
      <c r="L447" s="133"/>
      <c r="M447" s="133"/>
      <c r="N447" s="133"/>
      <c r="O447" s="133"/>
      <c r="P447" s="954"/>
      <c r="Q447" s="133"/>
      <c r="R447" s="133"/>
      <c r="S447" s="133"/>
      <c r="T447" s="133"/>
      <c r="U447" s="954"/>
      <c r="V447" s="133"/>
      <c r="W447" s="133"/>
      <c r="X447" s="133"/>
      <c r="Y447" s="133"/>
      <c r="Z447" s="954"/>
      <c r="AA447" s="133"/>
      <c r="AB447" s="133"/>
      <c r="AC447" s="133"/>
      <c r="AD447" s="133"/>
      <c r="AE447" s="954"/>
      <c r="AF447" s="133"/>
      <c r="AG447" s="133"/>
      <c r="AH447" s="133"/>
      <c r="AI447" s="133"/>
      <c r="AJ447" s="954"/>
      <c r="AK447" s="133"/>
      <c r="AL447" s="133"/>
      <c r="AM447" s="133"/>
      <c r="AN447" s="133"/>
      <c r="AO447" s="976">
        <v>5</v>
      </c>
      <c r="AP447" s="133"/>
      <c r="AQ447" s="133"/>
      <c r="AR447" s="133"/>
      <c r="AS447" s="133"/>
      <c r="AT447" s="976">
        <v>5</v>
      </c>
      <c r="AU447" s="133"/>
      <c r="AV447" s="133"/>
      <c r="AW447" s="133"/>
      <c r="AX447" s="133"/>
      <c r="AY447" s="976">
        <v>6</v>
      </c>
      <c r="AZ447" s="133"/>
      <c r="BA447" s="133"/>
      <c r="BB447" s="133"/>
      <c r="BC447" s="133"/>
      <c r="BD447" s="976">
        <v>0</v>
      </c>
      <c r="BE447" s="133"/>
      <c r="BF447" s="133"/>
      <c r="BG447" s="133"/>
      <c r="BH447" s="133"/>
      <c r="BI447" s="976">
        <v>0</v>
      </c>
      <c r="BJ447" s="133"/>
      <c r="BK447" s="133"/>
      <c r="BL447" s="133"/>
      <c r="BM447" s="133"/>
      <c r="BN447" s="976">
        <v>0</v>
      </c>
      <c r="BO447" s="133"/>
      <c r="BP447" s="133"/>
      <c r="BQ447" s="133"/>
      <c r="BR447" s="133"/>
      <c r="BS447" s="976">
        <v>0</v>
      </c>
      <c r="BT447" s="692"/>
      <c r="BU447" s="133"/>
      <c r="BV447" s="133"/>
      <c r="BW447" s="133"/>
      <c r="BX447" s="954"/>
      <c r="BY447" s="133"/>
      <c r="BZ447" s="133"/>
      <c r="CA447" s="133"/>
      <c r="CB447" s="133"/>
      <c r="CC447" s="954"/>
      <c r="CD447" s="954"/>
      <c r="CE447" s="954"/>
      <c r="CF447" s="954"/>
      <c r="CG447" s="587"/>
    </row>
    <row r="448" spans="1:85" s="461" customFormat="1" ht="14.4" hidden="1" outlineLevel="1" x14ac:dyDescent="0.3">
      <c r="A448" s="602" t="s">
        <v>1230</v>
      </c>
      <c r="B448" s="594"/>
      <c r="C448" s="982"/>
      <c r="D448" s="982"/>
      <c r="E448" s="982"/>
      <c r="F448" s="982"/>
      <c r="G448" s="595"/>
      <c r="H448" s="595"/>
      <c r="I448" s="595"/>
      <c r="J448" s="595"/>
      <c r="K448" s="982"/>
      <c r="L448" s="595"/>
      <c r="M448" s="595"/>
      <c r="N448" s="595"/>
      <c r="O448" s="595"/>
      <c r="P448" s="982"/>
      <c r="Q448" s="595"/>
      <c r="R448" s="595"/>
      <c r="S448" s="595"/>
      <c r="T448" s="595"/>
      <c r="U448" s="982"/>
      <c r="V448" s="595"/>
      <c r="W448" s="595"/>
      <c r="X448" s="595"/>
      <c r="Y448" s="595"/>
      <c r="Z448" s="982"/>
      <c r="AA448" s="595"/>
      <c r="AB448" s="595"/>
      <c r="AC448" s="595"/>
      <c r="AD448" s="595"/>
      <c r="AE448" s="982"/>
      <c r="AF448" s="595"/>
      <c r="AG448" s="595"/>
      <c r="AH448" s="595"/>
      <c r="AI448" s="595"/>
      <c r="AJ448" s="982"/>
      <c r="AK448" s="595"/>
      <c r="AL448" s="595"/>
      <c r="AM448" s="595"/>
      <c r="AN448" s="595"/>
      <c r="AO448" s="982">
        <f>SUM(AO446:AO447)</f>
        <v>49</v>
      </c>
      <c r="AP448" s="595"/>
      <c r="AQ448" s="595"/>
      <c r="AR448" s="595"/>
      <c r="AS448" s="595"/>
      <c r="AT448" s="982">
        <f>SUM(AT446:AT447)</f>
        <v>54</v>
      </c>
      <c r="AU448" s="595"/>
      <c r="AV448" s="595"/>
      <c r="AW448" s="595"/>
      <c r="AX448" s="595"/>
      <c r="AY448" s="982">
        <f>SUM(AY446:AY447)</f>
        <v>38</v>
      </c>
      <c r="AZ448" s="595"/>
      <c r="BA448" s="595"/>
      <c r="BB448" s="595"/>
      <c r="BC448" s="595"/>
      <c r="BD448" s="982">
        <f>SUM(BD446:BD447)</f>
        <v>21</v>
      </c>
      <c r="BE448" s="595"/>
      <c r="BF448" s="595"/>
      <c r="BG448" s="595"/>
      <c r="BH448" s="595"/>
      <c r="BI448" s="982">
        <f>SUM(BI446:BI447)</f>
        <v>11</v>
      </c>
      <c r="BJ448" s="595"/>
      <c r="BK448" s="595"/>
      <c r="BL448" s="595"/>
      <c r="BM448" s="595"/>
      <c r="BN448" s="982">
        <f>SUM(BN446:BN447)</f>
        <v>2</v>
      </c>
      <c r="BO448" s="595"/>
      <c r="BP448" s="595"/>
      <c r="BQ448" s="595"/>
      <c r="BR448" s="595"/>
      <c r="BS448" s="982">
        <f>SUM(BS446:BS447)</f>
        <v>2</v>
      </c>
      <c r="BT448" s="711"/>
      <c r="BU448" s="595"/>
      <c r="BV448" s="595"/>
      <c r="BW448" s="595"/>
      <c r="BX448" s="982"/>
      <c r="BY448" s="595"/>
      <c r="BZ448" s="595"/>
      <c r="CA448" s="595"/>
      <c r="CB448" s="595"/>
      <c r="CC448" s="982"/>
      <c r="CD448" s="982"/>
      <c r="CE448" s="982"/>
      <c r="CF448" s="982"/>
      <c r="CG448" s="615"/>
    </row>
    <row r="449" spans="1:85" s="461" customFormat="1" ht="14.4" hidden="1" outlineLevel="1" x14ac:dyDescent="0.3">
      <c r="A449" s="166" t="s">
        <v>1231</v>
      </c>
      <c r="B449" s="583"/>
      <c r="C449" s="957"/>
      <c r="D449" s="957"/>
      <c r="E449" s="957"/>
      <c r="F449" s="957"/>
      <c r="G449" s="120"/>
      <c r="H449" s="120"/>
      <c r="I449" s="120"/>
      <c r="J449" s="120"/>
      <c r="K449" s="957"/>
      <c r="L449" s="120"/>
      <c r="M449" s="120"/>
      <c r="N449" s="120"/>
      <c r="O449" s="120"/>
      <c r="P449" s="957"/>
      <c r="Q449" s="120"/>
      <c r="R449" s="120"/>
      <c r="S449" s="120"/>
      <c r="T449" s="120"/>
      <c r="U449" s="957"/>
      <c r="V449" s="120"/>
      <c r="W449" s="120"/>
      <c r="X449" s="120"/>
      <c r="Y449" s="120"/>
      <c r="Z449" s="957"/>
      <c r="AA449" s="120"/>
      <c r="AB449" s="120"/>
      <c r="AC449" s="120"/>
      <c r="AD449" s="120"/>
      <c r="AE449" s="957"/>
      <c r="AF449" s="120"/>
      <c r="AG449" s="120"/>
      <c r="AH449" s="120"/>
      <c r="AI449" s="120"/>
      <c r="AJ449" s="957"/>
      <c r="AK449" s="120"/>
      <c r="AL449" s="120"/>
      <c r="AM449" s="120"/>
      <c r="AN449" s="120"/>
      <c r="AO449" s="957">
        <f>AO445+AO448</f>
        <v>337</v>
      </c>
      <c r="AP449" s="120"/>
      <c r="AQ449" s="120"/>
      <c r="AR449" s="120"/>
      <c r="AS449" s="120"/>
      <c r="AT449" s="957">
        <f>AT445+AT448</f>
        <v>339</v>
      </c>
      <c r="AU449" s="120"/>
      <c r="AV449" s="120"/>
      <c r="AW449" s="120"/>
      <c r="AX449" s="120"/>
      <c r="AY449" s="957">
        <f>AY445+AY448</f>
        <v>465</v>
      </c>
      <c r="AZ449" s="120"/>
      <c r="BA449" s="120"/>
      <c r="BB449" s="120"/>
      <c r="BC449" s="120"/>
      <c r="BD449" s="957">
        <f>BD445+BD448</f>
        <v>491</v>
      </c>
      <c r="BE449" s="120"/>
      <c r="BF449" s="120"/>
      <c r="BG449" s="120"/>
      <c r="BH449" s="120"/>
      <c r="BI449" s="957">
        <f>BI445+BI448</f>
        <v>459</v>
      </c>
      <c r="BJ449" s="120"/>
      <c r="BK449" s="120"/>
      <c r="BL449" s="120"/>
      <c r="BM449" s="120"/>
      <c r="BN449" s="957">
        <f>BN445+BN448</f>
        <v>394</v>
      </c>
      <c r="BO449" s="120"/>
      <c r="BP449" s="120"/>
      <c r="BQ449" s="120"/>
      <c r="BR449" s="120"/>
      <c r="BS449" s="957">
        <f>BS445+BS448</f>
        <v>369</v>
      </c>
      <c r="BT449" s="694"/>
      <c r="BU449" s="120"/>
      <c r="BV449" s="120"/>
      <c r="BW449" s="120"/>
      <c r="BX449" s="957"/>
      <c r="BY449" s="120"/>
      <c r="BZ449" s="120"/>
      <c r="CA449" s="120"/>
      <c r="CB449" s="120"/>
      <c r="CC449" s="957"/>
      <c r="CD449" s="957"/>
      <c r="CE449" s="957"/>
      <c r="CF449" s="957"/>
      <c r="CG449" s="615"/>
    </row>
    <row r="450" spans="1:85" s="461" customFormat="1" ht="14.4" hidden="1" outlineLevel="1" x14ac:dyDescent="0.3">
      <c r="A450" s="166" t="s">
        <v>1211</v>
      </c>
      <c r="B450" s="583"/>
      <c r="C450" s="957"/>
      <c r="D450" s="957"/>
      <c r="E450" s="957"/>
      <c r="F450" s="957"/>
      <c r="G450" s="120"/>
      <c r="H450" s="120"/>
      <c r="I450" s="120"/>
      <c r="J450" s="120"/>
      <c r="K450" s="957"/>
      <c r="L450" s="120"/>
      <c r="M450" s="120"/>
      <c r="N450" s="120"/>
      <c r="O450" s="120"/>
      <c r="P450" s="957"/>
      <c r="Q450" s="120"/>
      <c r="R450" s="120"/>
      <c r="S450" s="120"/>
      <c r="T450" s="120"/>
      <c r="U450" s="957"/>
      <c r="V450" s="120"/>
      <c r="W450" s="120"/>
      <c r="X450" s="120"/>
      <c r="Y450" s="120"/>
      <c r="Z450" s="957"/>
      <c r="AA450" s="120"/>
      <c r="AB450" s="120"/>
      <c r="AC450" s="120"/>
      <c r="AD450" s="120"/>
      <c r="AE450" s="957"/>
      <c r="AF450" s="120"/>
      <c r="AG450" s="120"/>
      <c r="AH450" s="120"/>
      <c r="AI450" s="120"/>
      <c r="AJ450" s="957"/>
      <c r="AK450" s="120"/>
      <c r="AL450" s="120"/>
      <c r="AM450" s="120"/>
      <c r="AN450" s="120"/>
      <c r="AO450" s="957">
        <f>AO438+AO449</f>
        <v>740</v>
      </c>
      <c r="AP450" s="120"/>
      <c r="AQ450" s="120"/>
      <c r="AR450" s="120"/>
      <c r="AS450" s="120"/>
      <c r="AT450" s="957">
        <f>AT438+AT449</f>
        <v>828</v>
      </c>
      <c r="AU450" s="120"/>
      <c r="AV450" s="120"/>
      <c r="AW450" s="120"/>
      <c r="AX450" s="120"/>
      <c r="AY450" s="957">
        <f>AY438+AY449</f>
        <v>1038</v>
      </c>
      <c r="AZ450" s="120"/>
      <c r="BA450" s="120"/>
      <c r="BB450" s="120"/>
      <c r="BC450" s="120"/>
      <c r="BD450" s="957">
        <f>BD438+BD449</f>
        <v>1088</v>
      </c>
      <c r="BE450" s="120"/>
      <c r="BF450" s="120"/>
      <c r="BG450" s="120"/>
      <c r="BH450" s="120"/>
      <c r="BI450" s="957">
        <f>BI438+BI449</f>
        <v>1229</v>
      </c>
      <c r="BJ450" s="120"/>
      <c r="BK450" s="120"/>
      <c r="BL450" s="120"/>
      <c r="BM450" s="120"/>
      <c r="BN450" s="957">
        <f>BN438+BN449</f>
        <v>1159</v>
      </c>
      <c r="BO450" s="120"/>
      <c r="BP450" s="120"/>
      <c r="BQ450" s="120"/>
      <c r="BR450" s="120"/>
      <c r="BS450" s="957">
        <f>BS438+BS449</f>
        <v>1348</v>
      </c>
      <c r="BT450" s="694"/>
      <c r="BU450" s="120"/>
      <c r="BV450" s="120"/>
      <c r="BW450" s="120"/>
      <c r="BX450" s="957"/>
      <c r="BY450" s="120"/>
      <c r="BZ450" s="120"/>
      <c r="CA450" s="120"/>
      <c r="CB450" s="120"/>
      <c r="CC450" s="957"/>
      <c r="CD450" s="957"/>
      <c r="CE450" s="957"/>
      <c r="CF450" s="957"/>
      <c r="CG450" s="615"/>
    </row>
    <row r="451" spans="1:85" s="461" customFormat="1" ht="14.4" hidden="1" outlineLevel="1" x14ac:dyDescent="0.3">
      <c r="A451" s="166"/>
      <c r="B451" s="583"/>
      <c r="C451" s="957"/>
      <c r="D451" s="957"/>
      <c r="E451" s="957"/>
      <c r="F451" s="957"/>
      <c r="G451" s="120"/>
      <c r="H451" s="120"/>
      <c r="I451" s="120"/>
      <c r="J451" s="120"/>
      <c r="K451" s="957"/>
      <c r="L451" s="120"/>
      <c r="M451" s="120"/>
      <c r="N451" s="120"/>
      <c r="O451" s="120"/>
      <c r="P451" s="957"/>
      <c r="Q451" s="120"/>
      <c r="R451" s="120"/>
      <c r="S451" s="120"/>
      <c r="T451" s="120"/>
      <c r="U451" s="957"/>
      <c r="V451" s="120"/>
      <c r="W451" s="120"/>
      <c r="X451" s="120"/>
      <c r="Y451" s="120"/>
      <c r="Z451" s="957"/>
      <c r="AA451" s="120"/>
      <c r="AB451" s="120"/>
      <c r="AC451" s="120"/>
      <c r="AD451" s="120"/>
      <c r="AE451" s="957"/>
      <c r="AF451" s="120"/>
      <c r="AG451" s="120"/>
      <c r="AH451" s="120"/>
      <c r="AI451" s="120"/>
      <c r="AJ451" s="957"/>
      <c r="AK451" s="120"/>
      <c r="AL451" s="120"/>
      <c r="AM451" s="120"/>
      <c r="AN451" s="120"/>
      <c r="AO451" s="957"/>
      <c r="AP451" s="120"/>
      <c r="AQ451" s="120"/>
      <c r="AR451" s="120"/>
      <c r="AS451" s="120"/>
      <c r="AT451" s="957"/>
      <c r="AU451" s="120"/>
      <c r="AV451" s="120"/>
      <c r="AW451" s="120"/>
      <c r="AX451" s="120"/>
      <c r="AY451" s="957"/>
      <c r="AZ451" s="120"/>
      <c r="BA451" s="120"/>
      <c r="BB451" s="120"/>
      <c r="BC451" s="120"/>
      <c r="BD451" s="957"/>
      <c r="BE451" s="120"/>
      <c r="BF451" s="120"/>
      <c r="BG451" s="120"/>
      <c r="BH451" s="120"/>
      <c r="BI451" s="957"/>
      <c r="BJ451" s="120"/>
      <c r="BK451" s="120"/>
      <c r="BL451" s="120"/>
      <c r="BM451" s="120"/>
      <c r="BN451" s="957"/>
      <c r="BO451" s="120"/>
      <c r="BP451" s="120"/>
      <c r="BQ451" s="120"/>
      <c r="BR451" s="120"/>
      <c r="BS451" s="957"/>
      <c r="BT451" s="694"/>
      <c r="BU451" s="120"/>
      <c r="BV451" s="120"/>
      <c r="BW451" s="120"/>
      <c r="BX451" s="957"/>
      <c r="BY451" s="120"/>
      <c r="BZ451" s="120"/>
      <c r="CA451" s="120"/>
      <c r="CB451" s="120"/>
      <c r="CC451" s="957"/>
      <c r="CD451" s="957"/>
      <c r="CE451" s="957"/>
      <c r="CF451" s="957"/>
      <c r="CG451" s="615"/>
    </row>
    <row r="452" spans="1:85" s="460" customFormat="1" ht="14.4" hidden="1" outlineLevel="1" x14ac:dyDescent="0.3">
      <c r="A452" s="159" t="s">
        <v>1212</v>
      </c>
      <c r="B452" s="586"/>
      <c r="C452" s="150"/>
      <c r="D452" s="150"/>
      <c r="E452" s="150"/>
      <c r="F452" s="150"/>
      <c r="G452" s="117"/>
      <c r="H452" s="117"/>
      <c r="I452" s="117"/>
      <c r="J452" s="117"/>
      <c r="K452" s="150"/>
      <c r="L452" s="117"/>
      <c r="M452" s="117"/>
      <c r="N452" s="117"/>
      <c r="O452" s="117"/>
      <c r="P452" s="150"/>
      <c r="Q452" s="117"/>
      <c r="R452" s="117"/>
      <c r="S452" s="117"/>
      <c r="T452" s="117"/>
      <c r="U452" s="150"/>
      <c r="V452" s="117"/>
      <c r="W452" s="117"/>
      <c r="X452" s="117"/>
      <c r="Y452" s="117"/>
      <c r="Z452" s="150"/>
      <c r="AA452" s="117"/>
      <c r="AB452" s="117"/>
      <c r="AC452" s="117"/>
      <c r="AD452" s="117"/>
      <c r="AE452" s="150"/>
      <c r="AF452" s="117"/>
      <c r="AG452" s="117"/>
      <c r="AH452" s="117"/>
      <c r="AI452" s="117"/>
      <c r="AJ452" s="150"/>
      <c r="AK452" s="117"/>
      <c r="AL452" s="117"/>
      <c r="AM452" s="117"/>
      <c r="AN452" s="117"/>
      <c r="AO452" s="975">
        <v>2998</v>
      </c>
      <c r="AP452" s="117"/>
      <c r="AQ452" s="117"/>
      <c r="AR452" s="117"/>
      <c r="AS452" s="117"/>
      <c r="AT452" s="975">
        <v>2503</v>
      </c>
      <c r="AU452" s="117"/>
      <c r="AV452" s="117"/>
      <c r="AW452" s="117"/>
      <c r="AX452" s="117"/>
      <c r="AY452" s="975">
        <v>3136</v>
      </c>
      <c r="AZ452" s="117"/>
      <c r="BA452" s="117"/>
      <c r="BB452" s="117"/>
      <c r="BC452" s="117"/>
      <c r="BD452" s="975">
        <v>3288</v>
      </c>
      <c r="BE452" s="117"/>
      <c r="BF452" s="117"/>
      <c r="BG452" s="117"/>
      <c r="BH452" s="117"/>
      <c r="BI452" s="975">
        <v>4543</v>
      </c>
      <c r="BJ452" s="117"/>
      <c r="BK452" s="117"/>
      <c r="BL452" s="117"/>
      <c r="BM452" s="117"/>
      <c r="BN452" s="975">
        <v>4420</v>
      </c>
      <c r="BO452" s="117"/>
      <c r="BP452" s="117"/>
      <c r="BQ452" s="117"/>
      <c r="BR452" s="117"/>
      <c r="BS452" s="975">
        <v>5521</v>
      </c>
      <c r="BT452" s="691"/>
      <c r="BU452" s="117"/>
      <c r="BV452" s="117"/>
      <c r="BW452" s="117"/>
      <c r="BX452" s="150"/>
      <c r="BY452" s="117"/>
      <c r="BZ452" s="117"/>
      <c r="CA452" s="117"/>
      <c r="CB452" s="117"/>
      <c r="CC452" s="150"/>
      <c r="CD452" s="150"/>
      <c r="CE452" s="150"/>
      <c r="CF452" s="150"/>
      <c r="CG452" s="587"/>
    </row>
    <row r="453" spans="1:85" s="460" customFormat="1" ht="14.4" hidden="1" outlineLevel="1" x14ac:dyDescent="0.3">
      <c r="A453" s="159" t="s">
        <v>1213</v>
      </c>
      <c r="B453" s="586"/>
      <c r="C453" s="150"/>
      <c r="D453" s="150"/>
      <c r="E453" s="150"/>
      <c r="F453" s="150"/>
      <c r="G453" s="117"/>
      <c r="H453" s="117"/>
      <c r="I453" s="117"/>
      <c r="J453" s="117"/>
      <c r="K453" s="150"/>
      <c r="L453" s="117"/>
      <c r="M453" s="117"/>
      <c r="N453" s="117"/>
      <c r="O453" s="117"/>
      <c r="P453" s="150"/>
      <c r="Q453" s="117"/>
      <c r="R453" s="117"/>
      <c r="S453" s="117"/>
      <c r="T453" s="117"/>
      <c r="U453" s="150"/>
      <c r="V453" s="117"/>
      <c r="W453" s="117"/>
      <c r="X453" s="117"/>
      <c r="Y453" s="117"/>
      <c r="Z453" s="150"/>
      <c r="AA453" s="117"/>
      <c r="AB453" s="117"/>
      <c r="AC453" s="117"/>
      <c r="AD453" s="117"/>
      <c r="AE453" s="150"/>
      <c r="AF453" s="117"/>
      <c r="AG453" s="117"/>
      <c r="AH453" s="117"/>
      <c r="AI453" s="117"/>
      <c r="AJ453" s="150"/>
      <c r="AK453" s="117"/>
      <c r="AL453" s="117"/>
      <c r="AM453" s="117"/>
      <c r="AN453" s="117"/>
      <c r="AO453" s="975">
        <v>397</v>
      </c>
      <c r="AP453" s="117"/>
      <c r="AQ453" s="117"/>
      <c r="AR453" s="117"/>
      <c r="AS453" s="117"/>
      <c r="AT453" s="975">
        <v>222</v>
      </c>
      <c r="AU453" s="117"/>
      <c r="AV453" s="117"/>
      <c r="AW453" s="117"/>
      <c r="AX453" s="117"/>
      <c r="AY453" s="975">
        <v>259</v>
      </c>
      <c r="AZ453" s="117"/>
      <c r="BA453" s="117"/>
      <c r="BB453" s="117"/>
      <c r="BC453" s="117"/>
      <c r="BD453" s="975">
        <v>305</v>
      </c>
      <c r="BE453" s="117"/>
      <c r="BF453" s="117"/>
      <c r="BG453" s="117"/>
      <c r="BH453" s="117"/>
      <c r="BI453" s="975">
        <v>298</v>
      </c>
      <c r="BJ453" s="117"/>
      <c r="BK453" s="117"/>
      <c r="BL453" s="117"/>
      <c r="BM453" s="117"/>
      <c r="BN453" s="975">
        <v>168</v>
      </c>
      <c r="BO453" s="117"/>
      <c r="BP453" s="117"/>
      <c r="BQ453" s="117"/>
      <c r="BR453" s="117"/>
      <c r="BS453" s="975">
        <v>287</v>
      </c>
      <c r="BT453" s="691"/>
      <c r="BU453" s="117"/>
      <c r="BV453" s="117"/>
      <c r="BW453" s="117"/>
      <c r="BX453" s="150"/>
      <c r="BY453" s="117"/>
      <c r="BZ453" s="117"/>
      <c r="CA453" s="117"/>
      <c r="CB453" s="117"/>
      <c r="CC453" s="150"/>
      <c r="CD453" s="150"/>
      <c r="CE453" s="150"/>
      <c r="CF453" s="150"/>
      <c r="CG453" s="587"/>
    </row>
    <row r="454" spans="1:85" s="460" customFormat="1" ht="14.4" hidden="1" outlineLevel="1" x14ac:dyDescent="0.3">
      <c r="A454" s="159" t="s">
        <v>1214</v>
      </c>
      <c r="B454" s="586"/>
      <c r="C454" s="150"/>
      <c r="D454" s="150"/>
      <c r="E454" s="150"/>
      <c r="F454" s="150"/>
      <c r="G454" s="117"/>
      <c r="H454" s="117"/>
      <c r="I454" s="117"/>
      <c r="J454" s="117"/>
      <c r="K454" s="150"/>
      <c r="L454" s="117"/>
      <c r="M454" s="117"/>
      <c r="N454" s="117"/>
      <c r="O454" s="117"/>
      <c r="P454" s="150"/>
      <c r="Q454" s="117"/>
      <c r="R454" s="117"/>
      <c r="S454" s="117"/>
      <c r="T454" s="117"/>
      <c r="U454" s="150"/>
      <c r="V454" s="117"/>
      <c r="W454" s="117"/>
      <c r="X454" s="117"/>
      <c r="Y454" s="117"/>
      <c r="Z454" s="150"/>
      <c r="AA454" s="117"/>
      <c r="AB454" s="117"/>
      <c r="AC454" s="117"/>
      <c r="AD454" s="117"/>
      <c r="AE454" s="150"/>
      <c r="AF454" s="117"/>
      <c r="AG454" s="117"/>
      <c r="AH454" s="117"/>
      <c r="AI454" s="117"/>
      <c r="AJ454" s="150"/>
      <c r="AK454" s="117"/>
      <c r="AL454" s="117"/>
      <c r="AM454" s="117"/>
      <c r="AN454" s="117"/>
      <c r="AO454" s="975">
        <v>1472</v>
      </c>
      <c r="AP454" s="117"/>
      <c r="AQ454" s="117"/>
      <c r="AR454" s="117"/>
      <c r="AS454" s="117"/>
      <c r="AT454" s="975">
        <v>1629</v>
      </c>
      <c r="AU454" s="117"/>
      <c r="AV454" s="117"/>
      <c r="AW454" s="117"/>
      <c r="AX454" s="117"/>
      <c r="AY454" s="975">
        <v>1884</v>
      </c>
      <c r="AZ454" s="117"/>
      <c r="BA454" s="117"/>
      <c r="BB454" s="117"/>
      <c r="BC454" s="117"/>
      <c r="BD454" s="975">
        <v>1734</v>
      </c>
      <c r="BE454" s="117"/>
      <c r="BF454" s="117"/>
      <c r="BG454" s="117"/>
      <c r="BH454" s="117"/>
      <c r="BI454" s="975">
        <v>1632</v>
      </c>
      <c r="BJ454" s="117"/>
      <c r="BK454" s="117"/>
      <c r="BL454" s="117"/>
      <c r="BM454" s="117"/>
      <c r="BN454" s="975">
        <v>1491</v>
      </c>
      <c r="BO454" s="117"/>
      <c r="BP454" s="117"/>
      <c r="BQ454" s="117"/>
      <c r="BR454" s="117"/>
      <c r="BS454" s="975">
        <v>1249</v>
      </c>
      <c r="BT454" s="691"/>
      <c r="BU454" s="117"/>
      <c r="BV454" s="117"/>
      <c r="BW454" s="117"/>
      <c r="BX454" s="150"/>
      <c r="BY454" s="117"/>
      <c r="BZ454" s="117"/>
      <c r="CA454" s="117"/>
      <c r="CB454" s="117"/>
      <c r="CC454" s="150"/>
      <c r="CD454" s="150"/>
      <c r="CE454" s="150"/>
      <c r="CF454" s="150"/>
      <c r="CG454" s="587"/>
    </row>
    <row r="455" spans="1:85" s="460" customFormat="1" ht="14.4" hidden="1" outlineLevel="1" x14ac:dyDescent="0.3">
      <c r="A455" s="159" t="s">
        <v>1215</v>
      </c>
      <c r="B455" s="586"/>
      <c r="C455" s="150"/>
      <c r="D455" s="150"/>
      <c r="E455" s="150"/>
      <c r="F455" s="150"/>
      <c r="G455" s="117"/>
      <c r="H455" s="117"/>
      <c r="I455" s="117"/>
      <c r="J455" s="117"/>
      <c r="K455" s="150"/>
      <c r="L455" s="117"/>
      <c r="M455" s="117"/>
      <c r="N455" s="117"/>
      <c r="O455" s="117"/>
      <c r="P455" s="150"/>
      <c r="Q455" s="117"/>
      <c r="R455" s="117"/>
      <c r="S455" s="117"/>
      <c r="T455" s="117"/>
      <c r="U455" s="150"/>
      <c r="V455" s="117"/>
      <c r="W455" s="117"/>
      <c r="X455" s="117"/>
      <c r="Y455" s="117"/>
      <c r="Z455" s="150"/>
      <c r="AA455" s="117"/>
      <c r="AB455" s="117"/>
      <c r="AC455" s="117"/>
      <c r="AD455" s="117"/>
      <c r="AE455" s="150"/>
      <c r="AF455" s="117"/>
      <c r="AG455" s="117"/>
      <c r="AH455" s="117"/>
      <c r="AI455" s="117"/>
      <c r="AJ455" s="150"/>
      <c r="AK455" s="117"/>
      <c r="AL455" s="117"/>
      <c r="AM455" s="117"/>
      <c r="AN455" s="117"/>
      <c r="AO455" s="975">
        <v>3382</v>
      </c>
      <c r="AP455" s="117"/>
      <c r="AQ455" s="117"/>
      <c r="AR455" s="117"/>
      <c r="AS455" s="117"/>
      <c r="AT455" s="975">
        <v>7864</v>
      </c>
      <c r="AU455" s="117"/>
      <c r="AV455" s="117"/>
      <c r="AW455" s="117"/>
      <c r="AX455" s="117"/>
      <c r="AY455" s="975">
        <v>7007</v>
      </c>
      <c r="AZ455" s="117"/>
      <c r="BA455" s="117"/>
      <c r="BB455" s="117"/>
      <c r="BC455" s="117"/>
      <c r="BD455" s="975">
        <v>6578</v>
      </c>
      <c r="BE455" s="117"/>
      <c r="BF455" s="117"/>
      <c r="BG455" s="117"/>
      <c r="BH455" s="117"/>
      <c r="BI455" s="975">
        <v>6974</v>
      </c>
      <c r="BJ455" s="117"/>
      <c r="BK455" s="117"/>
      <c r="BL455" s="117"/>
      <c r="BM455" s="117"/>
      <c r="BN455" s="975">
        <v>6560</v>
      </c>
      <c r="BO455" s="117"/>
      <c r="BP455" s="117"/>
      <c r="BQ455" s="117"/>
      <c r="BR455" s="117"/>
      <c r="BS455" s="975">
        <v>6196</v>
      </c>
      <c r="BT455" s="691"/>
      <c r="BU455" s="117"/>
      <c r="BV455" s="117"/>
      <c r="BW455" s="117"/>
      <c r="BX455" s="150"/>
      <c r="BY455" s="117"/>
      <c r="BZ455" s="117"/>
      <c r="CA455" s="117"/>
      <c r="CB455" s="117"/>
      <c r="CC455" s="150"/>
      <c r="CD455" s="150"/>
      <c r="CE455" s="150"/>
      <c r="CF455" s="150"/>
      <c r="CG455" s="587"/>
    </row>
    <row r="456" spans="1:85" s="460" customFormat="1" ht="14.4" hidden="1" outlineLevel="1" x14ac:dyDescent="0.3">
      <c r="A456" s="159" t="s">
        <v>1216</v>
      </c>
      <c r="B456" s="586"/>
      <c r="C456" s="150"/>
      <c r="D456" s="150"/>
      <c r="E456" s="150"/>
      <c r="F456" s="150"/>
      <c r="G456" s="117"/>
      <c r="H456" s="117"/>
      <c r="I456" s="117"/>
      <c r="J456" s="117"/>
      <c r="K456" s="150"/>
      <c r="L456" s="117"/>
      <c r="M456" s="117"/>
      <c r="N456" s="117"/>
      <c r="O456" s="117"/>
      <c r="P456" s="150"/>
      <c r="Q456" s="117"/>
      <c r="R456" s="117"/>
      <c r="S456" s="117"/>
      <c r="T456" s="117"/>
      <c r="U456" s="150"/>
      <c r="V456" s="117"/>
      <c r="W456" s="117"/>
      <c r="X456" s="117"/>
      <c r="Y456" s="117"/>
      <c r="Z456" s="150"/>
      <c r="AA456" s="117"/>
      <c r="AB456" s="117"/>
      <c r="AC456" s="117"/>
      <c r="AD456" s="117"/>
      <c r="AE456" s="150"/>
      <c r="AF456" s="117"/>
      <c r="AG456" s="117"/>
      <c r="AH456" s="117"/>
      <c r="AI456" s="117"/>
      <c r="AJ456" s="150"/>
      <c r="AK456" s="117"/>
      <c r="AL456" s="117"/>
      <c r="AM456" s="117"/>
      <c r="AN456" s="117"/>
      <c r="AO456" s="975">
        <v>10697</v>
      </c>
      <c r="AP456" s="117"/>
      <c r="AQ456" s="117"/>
      <c r="AR456" s="117"/>
      <c r="AS456" s="117"/>
      <c r="AT456" s="975">
        <v>8951</v>
      </c>
      <c r="AU456" s="117"/>
      <c r="AV456" s="117"/>
      <c r="AW456" s="117"/>
      <c r="AX456" s="117"/>
      <c r="AY456" s="975">
        <v>8057</v>
      </c>
      <c r="AZ456" s="117"/>
      <c r="BA456" s="117"/>
      <c r="BB456" s="117"/>
      <c r="BC456" s="117"/>
      <c r="BD456" s="975">
        <v>7898</v>
      </c>
      <c r="BE456" s="117"/>
      <c r="BF456" s="117"/>
      <c r="BG456" s="117"/>
      <c r="BH456" s="117"/>
      <c r="BI456" s="975">
        <v>6951</v>
      </c>
      <c r="BJ456" s="117"/>
      <c r="BK456" s="117"/>
      <c r="BL456" s="117"/>
      <c r="BM456" s="117"/>
      <c r="BN456" s="975">
        <v>6517</v>
      </c>
      <c r="BO456" s="117"/>
      <c r="BP456" s="117"/>
      <c r="BQ456" s="117"/>
      <c r="BR456" s="117"/>
      <c r="BS456" s="975">
        <v>5886</v>
      </c>
      <c r="BT456" s="691"/>
      <c r="BU456" s="117"/>
      <c r="BV456" s="117"/>
      <c r="BW456" s="117"/>
      <c r="BX456" s="150"/>
      <c r="BY456" s="117"/>
      <c r="BZ456" s="117"/>
      <c r="CA456" s="117"/>
      <c r="CB456" s="117"/>
      <c r="CC456" s="150"/>
      <c r="CD456" s="150"/>
      <c r="CE456" s="150"/>
      <c r="CF456" s="150"/>
      <c r="CG456" s="587"/>
    </row>
    <row r="457" spans="1:85" s="460" customFormat="1" ht="14.4" hidden="1" outlineLevel="1" x14ac:dyDescent="0.3">
      <c r="A457" s="262" t="s">
        <v>1217</v>
      </c>
      <c r="B457" s="588"/>
      <c r="C457" s="954"/>
      <c r="D457" s="954"/>
      <c r="E457" s="954"/>
      <c r="F457" s="954"/>
      <c r="G457" s="133"/>
      <c r="H457" s="133"/>
      <c r="I457" s="133"/>
      <c r="J457" s="133"/>
      <c r="K457" s="954"/>
      <c r="L457" s="133"/>
      <c r="M457" s="133"/>
      <c r="N457" s="133"/>
      <c r="O457" s="133"/>
      <c r="P457" s="954"/>
      <c r="Q457" s="133"/>
      <c r="R457" s="133"/>
      <c r="S457" s="133"/>
      <c r="T457" s="133"/>
      <c r="U457" s="954"/>
      <c r="V457" s="133"/>
      <c r="W457" s="133"/>
      <c r="X457" s="133"/>
      <c r="Y457" s="133"/>
      <c r="Z457" s="954"/>
      <c r="AA457" s="133"/>
      <c r="AB457" s="133"/>
      <c r="AC457" s="133"/>
      <c r="AD457" s="133"/>
      <c r="AE457" s="954"/>
      <c r="AF457" s="133"/>
      <c r="AG457" s="133"/>
      <c r="AH457" s="133"/>
      <c r="AI457" s="133"/>
      <c r="AJ457" s="954"/>
      <c r="AK457" s="133"/>
      <c r="AL457" s="133"/>
      <c r="AM457" s="133"/>
      <c r="AN457" s="133"/>
      <c r="AO457" s="976">
        <v>8</v>
      </c>
      <c r="AP457" s="133"/>
      <c r="AQ457" s="133"/>
      <c r="AR457" s="133"/>
      <c r="AS457" s="133"/>
      <c r="AT457" s="976">
        <v>8</v>
      </c>
      <c r="AU457" s="133"/>
      <c r="AV457" s="133"/>
      <c r="AW457" s="133"/>
      <c r="AX457" s="133"/>
      <c r="AY457" s="976">
        <v>8</v>
      </c>
      <c r="AZ457" s="133"/>
      <c r="BA457" s="133"/>
      <c r="BB457" s="133"/>
      <c r="BC457" s="133"/>
      <c r="BD457" s="976">
        <v>9</v>
      </c>
      <c r="BE457" s="133"/>
      <c r="BF457" s="133"/>
      <c r="BG457" s="133"/>
      <c r="BH457" s="133"/>
      <c r="BI457" s="976">
        <v>9</v>
      </c>
      <c r="BJ457" s="133"/>
      <c r="BK457" s="133"/>
      <c r="BL457" s="133"/>
      <c r="BM457" s="133"/>
      <c r="BN457" s="976">
        <v>10</v>
      </c>
      <c r="BO457" s="133"/>
      <c r="BP457" s="133"/>
      <c r="BQ457" s="133"/>
      <c r="BR457" s="133"/>
      <c r="BS457" s="976">
        <v>7</v>
      </c>
      <c r="BT457" s="692"/>
      <c r="BU457" s="133"/>
      <c r="BV457" s="133"/>
      <c r="BW457" s="133"/>
      <c r="BX457" s="954"/>
      <c r="BY457" s="133"/>
      <c r="BZ457" s="133"/>
      <c r="CA457" s="133"/>
      <c r="CB457" s="133"/>
      <c r="CC457" s="954"/>
      <c r="CD457" s="954"/>
      <c r="CE457" s="954"/>
      <c r="CF457" s="954"/>
      <c r="CG457" s="587"/>
    </row>
    <row r="458" spans="1:85" s="461" customFormat="1" ht="14.4" hidden="1" outlineLevel="1" x14ac:dyDescent="0.3">
      <c r="A458" s="166" t="s">
        <v>1232</v>
      </c>
      <c r="B458" s="583"/>
      <c r="C458" s="957"/>
      <c r="D458" s="957"/>
      <c r="E458" s="957"/>
      <c r="F458" s="957"/>
      <c r="G458" s="120"/>
      <c r="H458" s="120"/>
      <c r="I458" s="120"/>
      <c r="J458" s="120"/>
      <c r="K458" s="957"/>
      <c r="L458" s="120"/>
      <c r="M458" s="120"/>
      <c r="N458" s="120"/>
      <c r="O458" s="120"/>
      <c r="P458" s="957"/>
      <c r="Q458" s="120"/>
      <c r="R458" s="120"/>
      <c r="S458" s="120"/>
      <c r="T458" s="120"/>
      <c r="U458" s="957"/>
      <c r="V458" s="120"/>
      <c r="W458" s="120"/>
      <c r="X458" s="120"/>
      <c r="Y458" s="120"/>
      <c r="Z458" s="957"/>
      <c r="AA458" s="120"/>
      <c r="AB458" s="120"/>
      <c r="AC458" s="120"/>
      <c r="AD458" s="120"/>
      <c r="AE458" s="957"/>
      <c r="AF458" s="120"/>
      <c r="AG458" s="120"/>
      <c r="AH458" s="120"/>
      <c r="AI458" s="120"/>
      <c r="AJ458" s="957"/>
      <c r="AK458" s="120"/>
      <c r="AL458" s="120"/>
      <c r="AM458" s="120"/>
      <c r="AN458" s="120"/>
      <c r="AO458" s="957">
        <f>SUM(AO452:AO457)</f>
        <v>18954</v>
      </c>
      <c r="AP458" s="120"/>
      <c r="AQ458" s="120"/>
      <c r="AR458" s="120"/>
      <c r="AS458" s="120"/>
      <c r="AT458" s="957">
        <f>SUM(AT452:AT457)</f>
        <v>21177</v>
      </c>
      <c r="AU458" s="120"/>
      <c r="AV458" s="120"/>
      <c r="AW458" s="120"/>
      <c r="AX458" s="120"/>
      <c r="AY458" s="957">
        <f>SUM(AY452:AY457)</f>
        <v>20351</v>
      </c>
      <c r="AZ458" s="120"/>
      <c r="BA458" s="120"/>
      <c r="BB458" s="120"/>
      <c r="BC458" s="120"/>
      <c r="BD458" s="957">
        <f>SUM(BD452:BD457)</f>
        <v>19812</v>
      </c>
      <c r="BE458" s="120"/>
      <c r="BF458" s="120"/>
      <c r="BG458" s="120"/>
      <c r="BH458" s="120"/>
      <c r="BI458" s="957">
        <f>SUM(BI452:BI457)</f>
        <v>20407</v>
      </c>
      <c r="BJ458" s="120"/>
      <c r="BK458" s="120"/>
      <c r="BL458" s="120"/>
      <c r="BM458" s="120"/>
      <c r="BN458" s="957">
        <f>SUM(BN452:BN457)</f>
        <v>19166</v>
      </c>
      <c r="BO458" s="120"/>
      <c r="BP458" s="120"/>
      <c r="BQ458" s="120"/>
      <c r="BR458" s="120"/>
      <c r="BS458" s="957">
        <f>SUM(BS452:BS457)</f>
        <v>19146</v>
      </c>
      <c r="BT458" s="694"/>
      <c r="BU458" s="120"/>
      <c r="BV458" s="120"/>
      <c r="BW458" s="120"/>
      <c r="BX458" s="957"/>
      <c r="BY458" s="120"/>
      <c r="BZ458" s="120"/>
      <c r="CA458" s="120"/>
      <c r="CB458" s="120"/>
      <c r="CC458" s="957"/>
      <c r="CD458" s="957"/>
      <c r="CE458" s="957"/>
      <c r="CF458" s="957"/>
      <c r="CG458" s="615"/>
    </row>
    <row r="459" spans="1:85" s="460" customFormat="1" ht="14.4" hidden="1" outlineLevel="1" x14ac:dyDescent="0.3">
      <c r="A459" s="159" t="s">
        <v>1218</v>
      </c>
      <c r="B459" s="586"/>
      <c r="C459" s="150"/>
      <c r="D459" s="150"/>
      <c r="E459" s="150"/>
      <c r="F459" s="150"/>
      <c r="G459" s="117"/>
      <c r="H459" s="117"/>
      <c r="I459" s="117"/>
      <c r="J459" s="117"/>
      <c r="K459" s="150"/>
      <c r="L459" s="117"/>
      <c r="M459" s="117"/>
      <c r="N459" s="117"/>
      <c r="O459" s="117"/>
      <c r="P459" s="150"/>
      <c r="Q459" s="117"/>
      <c r="R459" s="117"/>
      <c r="S459" s="117"/>
      <c r="T459" s="117"/>
      <c r="U459" s="150"/>
      <c r="V459" s="117"/>
      <c r="W459" s="117"/>
      <c r="X459" s="117"/>
      <c r="Y459" s="117"/>
      <c r="Z459" s="150"/>
      <c r="AA459" s="117"/>
      <c r="AB459" s="117"/>
      <c r="AC459" s="117"/>
      <c r="AD459" s="117"/>
      <c r="AE459" s="150"/>
      <c r="AF459" s="117"/>
      <c r="AG459" s="117"/>
      <c r="AH459" s="117"/>
      <c r="AI459" s="117"/>
      <c r="AJ459" s="150"/>
      <c r="AK459" s="117"/>
      <c r="AL459" s="117"/>
      <c r="AM459" s="117"/>
      <c r="AN459" s="117"/>
      <c r="AO459" s="975">
        <v>1135</v>
      </c>
      <c r="AP459" s="117"/>
      <c r="AQ459" s="117"/>
      <c r="AR459" s="117"/>
      <c r="AS459" s="117"/>
      <c r="AT459" s="975">
        <v>1057</v>
      </c>
      <c r="AU459" s="117"/>
      <c r="AV459" s="117"/>
      <c r="AW459" s="117"/>
      <c r="AX459" s="117"/>
      <c r="AY459" s="975">
        <v>1059</v>
      </c>
      <c r="AZ459" s="117"/>
      <c r="BA459" s="117"/>
      <c r="BB459" s="117"/>
      <c r="BC459" s="117"/>
      <c r="BD459" s="975">
        <v>895</v>
      </c>
      <c r="BE459" s="117"/>
      <c r="BF459" s="117"/>
      <c r="BG459" s="117"/>
      <c r="BH459" s="117"/>
      <c r="BI459" s="975">
        <v>1062</v>
      </c>
      <c r="BJ459" s="117"/>
      <c r="BK459" s="117"/>
      <c r="BL459" s="117"/>
      <c r="BM459" s="117"/>
      <c r="BN459" s="975">
        <v>1118</v>
      </c>
      <c r="BO459" s="117"/>
      <c r="BP459" s="117"/>
      <c r="BQ459" s="117"/>
      <c r="BR459" s="117"/>
      <c r="BS459" s="975">
        <v>895</v>
      </c>
      <c r="BT459" s="691"/>
      <c r="BU459" s="117"/>
      <c r="BV459" s="117"/>
      <c r="BW459" s="117"/>
      <c r="BX459" s="150"/>
      <c r="BY459" s="117"/>
      <c r="BZ459" s="117"/>
      <c r="CA459" s="117"/>
      <c r="CB459" s="117"/>
      <c r="CC459" s="150"/>
      <c r="CD459" s="150"/>
      <c r="CE459" s="150"/>
      <c r="CF459" s="150"/>
      <c r="CG459" s="587"/>
    </row>
    <row r="460" spans="1:85" s="460" customFormat="1" ht="14.4" hidden="1" outlineLevel="1" x14ac:dyDescent="0.3">
      <c r="A460" s="262" t="s">
        <v>1219</v>
      </c>
      <c r="B460" s="588"/>
      <c r="C460" s="954"/>
      <c r="D460" s="954"/>
      <c r="E460" s="954"/>
      <c r="F460" s="954"/>
      <c r="G460" s="133"/>
      <c r="H460" s="133"/>
      <c r="I460" s="133"/>
      <c r="J460" s="133"/>
      <c r="K460" s="954"/>
      <c r="L460" s="133"/>
      <c r="M460" s="133"/>
      <c r="N460" s="133"/>
      <c r="O460" s="133"/>
      <c r="P460" s="954"/>
      <c r="Q460" s="133"/>
      <c r="R460" s="133"/>
      <c r="S460" s="133"/>
      <c r="T460" s="133"/>
      <c r="U460" s="954"/>
      <c r="V460" s="133"/>
      <c r="W460" s="133"/>
      <c r="X460" s="133"/>
      <c r="Y460" s="133"/>
      <c r="Z460" s="954"/>
      <c r="AA460" s="133"/>
      <c r="AB460" s="133"/>
      <c r="AC460" s="133"/>
      <c r="AD460" s="133"/>
      <c r="AE460" s="954"/>
      <c r="AF460" s="133"/>
      <c r="AG460" s="133"/>
      <c r="AH460" s="133"/>
      <c r="AI460" s="133"/>
      <c r="AJ460" s="954"/>
      <c r="AK460" s="133"/>
      <c r="AL460" s="133"/>
      <c r="AM460" s="133"/>
      <c r="AN460" s="133"/>
      <c r="AO460" s="976">
        <v>308</v>
      </c>
      <c r="AP460" s="133"/>
      <c r="AQ460" s="133"/>
      <c r="AR460" s="133"/>
      <c r="AS460" s="133"/>
      <c r="AT460" s="976">
        <v>322</v>
      </c>
      <c r="AU460" s="133"/>
      <c r="AV460" s="133"/>
      <c r="AW460" s="133"/>
      <c r="AX460" s="133"/>
      <c r="AY460" s="976">
        <v>310</v>
      </c>
      <c r="AZ460" s="133"/>
      <c r="BA460" s="133"/>
      <c r="BB460" s="133"/>
      <c r="BC460" s="133"/>
      <c r="BD460" s="976">
        <v>349</v>
      </c>
      <c r="BE460" s="133"/>
      <c r="BF460" s="133"/>
      <c r="BG460" s="133"/>
      <c r="BH460" s="133"/>
      <c r="BI460" s="976">
        <v>323</v>
      </c>
      <c r="BJ460" s="133"/>
      <c r="BK460" s="133"/>
      <c r="BL460" s="133"/>
      <c r="BM460" s="133"/>
      <c r="BN460" s="976">
        <v>670</v>
      </c>
      <c r="BO460" s="133"/>
      <c r="BP460" s="133"/>
      <c r="BQ460" s="133"/>
      <c r="BR460" s="133"/>
      <c r="BS460" s="976">
        <v>696</v>
      </c>
      <c r="BT460" s="692"/>
      <c r="BU460" s="133"/>
      <c r="BV460" s="133"/>
      <c r="BW460" s="133"/>
      <c r="BX460" s="954"/>
      <c r="BY460" s="133"/>
      <c r="BZ460" s="133"/>
      <c r="CA460" s="133"/>
      <c r="CB460" s="133"/>
      <c r="CC460" s="954"/>
      <c r="CD460" s="954"/>
      <c r="CE460" s="954"/>
      <c r="CF460" s="954"/>
      <c r="CG460" s="587"/>
    </row>
    <row r="461" spans="1:85" s="461" customFormat="1" ht="14.4" hidden="1" outlineLevel="1" x14ac:dyDescent="0.3">
      <c r="A461" s="602" t="s">
        <v>1233</v>
      </c>
      <c r="B461" s="594"/>
      <c r="C461" s="982"/>
      <c r="D461" s="982"/>
      <c r="E461" s="982"/>
      <c r="F461" s="982"/>
      <c r="G461" s="595"/>
      <c r="H461" s="595"/>
      <c r="I461" s="595"/>
      <c r="J461" s="595"/>
      <c r="K461" s="982"/>
      <c r="L461" s="595"/>
      <c r="M461" s="595"/>
      <c r="N461" s="595"/>
      <c r="O461" s="595"/>
      <c r="P461" s="982"/>
      <c r="Q461" s="595"/>
      <c r="R461" s="595"/>
      <c r="S461" s="595"/>
      <c r="T461" s="595"/>
      <c r="U461" s="982"/>
      <c r="V461" s="595"/>
      <c r="W461" s="595"/>
      <c r="X461" s="595"/>
      <c r="Y461" s="595"/>
      <c r="Z461" s="982"/>
      <c r="AA461" s="595"/>
      <c r="AB461" s="595"/>
      <c r="AC461" s="595"/>
      <c r="AD461" s="595"/>
      <c r="AE461" s="982"/>
      <c r="AF461" s="595"/>
      <c r="AG461" s="595"/>
      <c r="AH461" s="595"/>
      <c r="AI461" s="595"/>
      <c r="AJ461" s="982"/>
      <c r="AK461" s="595"/>
      <c r="AL461" s="595"/>
      <c r="AM461" s="595"/>
      <c r="AN461" s="595"/>
      <c r="AO461" s="982">
        <f>SUM(AO459:AO460)</f>
        <v>1443</v>
      </c>
      <c r="AP461" s="595"/>
      <c r="AQ461" s="595"/>
      <c r="AR461" s="595"/>
      <c r="AS461" s="595"/>
      <c r="AT461" s="982">
        <f>SUM(AT459:AT460)</f>
        <v>1379</v>
      </c>
      <c r="AU461" s="595"/>
      <c r="AV461" s="595"/>
      <c r="AW461" s="595"/>
      <c r="AX461" s="595"/>
      <c r="AY461" s="982">
        <f>SUM(AY459:AY460)</f>
        <v>1369</v>
      </c>
      <c r="AZ461" s="595"/>
      <c r="BA461" s="595"/>
      <c r="BB461" s="595"/>
      <c r="BC461" s="595"/>
      <c r="BD461" s="982">
        <f>SUM(BD459:BD460)</f>
        <v>1244</v>
      </c>
      <c r="BE461" s="595"/>
      <c r="BF461" s="595"/>
      <c r="BG461" s="595"/>
      <c r="BH461" s="595"/>
      <c r="BI461" s="982">
        <f>SUM(BI459:BI460)</f>
        <v>1385</v>
      </c>
      <c r="BJ461" s="595"/>
      <c r="BK461" s="595"/>
      <c r="BL461" s="595"/>
      <c r="BM461" s="595"/>
      <c r="BN461" s="982">
        <f>SUM(BN459:BN460)</f>
        <v>1788</v>
      </c>
      <c r="BO461" s="595"/>
      <c r="BP461" s="595"/>
      <c r="BQ461" s="595"/>
      <c r="BR461" s="595"/>
      <c r="BS461" s="982">
        <f>SUM(BS459:BS460)</f>
        <v>1591</v>
      </c>
      <c r="BT461" s="711"/>
      <c r="BU461" s="595"/>
      <c r="BV461" s="595"/>
      <c r="BW461" s="595"/>
      <c r="BX461" s="982"/>
      <c r="BY461" s="595"/>
      <c r="BZ461" s="595"/>
      <c r="CA461" s="595"/>
      <c r="CB461" s="595"/>
      <c r="CC461" s="982"/>
      <c r="CD461" s="982"/>
      <c r="CE461" s="982"/>
      <c r="CF461" s="982"/>
      <c r="CG461" s="615"/>
    </row>
    <row r="462" spans="1:85" s="461" customFormat="1" ht="14.4" hidden="1" outlineLevel="1" x14ac:dyDescent="0.3">
      <c r="A462" s="166" t="s">
        <v>1234</v>
      </c>
      <c r="B462" s="583"/>
      <c r="C462" s="957"/>
      <c r="D462" s="957"/>
      <c r="E462" s="957"/>
      <c r="F462" s="957"/>
      <c r="G462" s="120"/>
      <c r="H462" s="120"/>
      <c r="I462" s="120"/>
      <c r="J462" s="120"/>
      <c r="K462" s="957"/>
      <c r="L462" s="120"/>
      <c r="M462" s="120"/>
      <c r="N462" s="120"/>
      <c r="O462" s="120"/>
      <c r="P462" s="957"/>
      <c r="Q462" s="120"/>
      <c r="R462" s="120"/>
      <c r="S462" s="120"/>
      <c r="T462" s="120"/>
      <c r="U462" s="957"/>
      <c r="V462" s="120"/>
      <c r="W462" s="120"/>
      <c r="X462" s="120"/>
      <c r="Y462" s="120"/>
      <c r="Z462" s="957"/>
      <c r="AA462" s="120"/>
      <c r="AB462" s="120"/>
      <c r="AC462" s="120"/>
      <c r="AD462" s="120"/>
      <c r="AE462" s="957"/>
      <c r="AF462" s="120"/>
      <c r="AG462" s="120"/>
      <c r="AH462" s="120"/>
      <c r="AI462" s="120"/>
      <c r="AJ462" s="957"/>
      <c r="AK462" s="120"/>
      <c r="AL462" s="120"/>
      <c r="AM462" s="120"/>
      <c r="AN462" s="120"/>
      <c r="AO462" s="957">
        <f>AO458+AO461</f>
        <v>20397</v>
      </c>
      <c r="AP462" s="120"/>
      <c r="AQ462" s="120"/>
      <c r="AR462" s="120"/>
      <c r="AS462" s="120"/>
      <c r="AT462" s="957">
        <f>AT458+AT461</f>
        <v>22556</v>
      </c>
      <c r="AU462" s="120"/>
      <c r="AV462" s="120"/>
      <c r="AW462" s="120"/>
      <c r="AX462" s="120"/>
      <c r="AY462" s="957">
        <f>AY458+AY461</f>
        <v>21720</v>
      </c>
      <c r="AZ462" s="120"/>
      <c r="BA462" s="120"/>
      <c r="BB462" s="120"/>
      <c r="BC462" s="120"/>
      <c r="BD462" s="957">
        <f>BD458+BD461</f>
        <v>21056</v>
      </c>
      <c r="BE462" s="120"/>
      <c r="BF462" s="120"/>
      <c r="BG462" s="120"/>
      <c r="BH462" s="120"/>
      <c r="BI462" s="957">
        <f>BI458+BI461</f>
        <v>21792</v>
      </c>
      <c r="BJ462" s="120"/>
      <c r="BK462" s="120"/>
      <c r="BL462" s="120"/>
      <c r="BM462" s="120"/>
      <c r="BN462" s="957">
        <f>BN458+BN461</f>
        <v>20954</v>
      </c>
      <c r="BO462" s="120"/>
      <c r="BP462" s="120"/>
      <c r="BQ462" s="120"/>
      <c r="BR462" s="120"/>
      <c r="BS462" s="957">
        <f>BS458+BS461</f>
        <v>20737</v>
      </c>
      <c r="BT462" s="694"/>
      <c r="BU462" s="120"/>
      <c r="BV462" s="120"/>
      <c r="BW462" s="120"/>
      <c r="BX462" s="957"/>
      <c r="BY462" s="120"/>
      <c r="BZ462" s="120"/>
      <c r="CA462" s="120"/>
      <c r="CB462" s="120"/>
      <c r="CC462" s="957"/>
      <c r="CD462" s="957"/>
      <c r="CE462" s="957"/>
      <c r="CF462" s="957"/>
      <c r="CG462" s="615"/>
    </row>
    <row r="463" spans="1:85" s="460" customFormat="1" ht="14.4" hidden="1" outlineLevel="1" x14ac:dyDescent="0.3">
      <c r="A463" s="159" t="s">
        <v>1220</v>
      </c>
      <c r="B463" s="586"/>
      <c r="C463" s="150"/>
      <c r="D463" s="150"/>
      <c r="E463" s="150"/>
      <c r="F463" s="150"/>
      <c r="G463" s="117"/>
      <c r="H463" s="117"/>
      <c r="I463" s="117"/>
      <c r="J463" s="117"/>
      <c r="K463" s="150"/>
      <c r="L463" s="117"/>
      <c r="M463" s="117"/>
      <c r="N463" s="117"/>
      <c r="O463" s="117"/>
      <c r="P463" s="150"/>
      <c r="Q463" s="117"/>
      <c r="R463" s="117"/>
      <c r="S463" s="117"/>
      <c r="T463" s="117"/>
      <c r="U463" s="150"/>
      <c r="V463" s="117"/>
      <c r="W463" s="117"/>
      <c r="X463" s="117"/>
      <c r="Y463" s="117"/>
      <c r="Z463" s="150"/>
      <c r="AA463" s="117"/>
      <c r="AB463" s="117"/>
      <c r="AC463" s="117"/>
      <c r="AD463" s="117"/>
      <c r="AE463" s="150"/>
      <c r="AF463" s="117"/>
      <c r="AG463" s="117"/>
      <c r="AH463" s="117"/>
      <c r="AI463" s="117"/>
      <c r="AJ463" s="150"/>
      <c r="AK463" s="117"/>
      <c r="AL463" s="117"/>
      <c r="AM463" s="117"/>
      <c r="AN463" s="117"/>
      <c r="AO463" s="975">
        <v>1730</v>
      </c>
      <c r="AP463" s="117"/>
      <c r="AQ463" s="117"/>
      <c r="AR463" s="117"/>
      <c r="AS463" s="117"/>
      <c r="AT463" s="975">
        <v>1747</v>
      </c>
      <c r="AU463" s="117"/>
      <c r="AV463" s="117"/>
      <c r="AW463" s="117"/>
      <c r="AX463" s="117"/>
      <c r="AY463" s="975">
        <v>2749</v>
      </c>
      <c r="AZ463" s="117"/>
      <c r="BA463" s="117"/>
      <c r="BB463" s="117"/>
      <c r="BC463" s="117"/>
      <c r="BD463" s="975">
        <v>3543</v>
      </c>
      <c r="BE463" s="117"/>
      <c r="BF463" s="117"/>
      <c r="BG463" s="117"/>
      <c r="BH463" s="117"/>
      <c r="BI463" s="975">
        <v>3139</v>
      </c>
      <c r="BJ463" s="117"/>
      <c r="BK463" s="117"/>
      <c r="BL463" s="117"/>
      <c r="BM463" s="117"/>
      <c r="BN463" s="975">
        <v>2730</v>
      </c>
      <c r="BO463" s="117"/>
      <c r="BP463" s="117"/>
      <c r="BQ463" s="117"/>
      <c r="BR463" s="117"/>
      <c r="BS463" s="975">
        <v>2520</v>
      </c>
      <c r="BT463" s="691"/>
      <c r="BU463" s="117"/>
      <c r="BV463" s="117"/>
      <c r="BW463" s="117"/>
      <c r="BX463" s="150"/>
      <c r="BY463" s="117"/>
      <c r="BZ463" s="117"/>
      <c r="CA463" s="117"/>
      <c r="CB463" s="117"/>
      <c r="CC463" s="150"/>
      <c r="CD463" s="150"/>
      <c r="CE463" s="150"/>
      <c r="CF463" s="150"/>
      <c r="CG463" s="587"/>
    </row>
    <row r="464" spans="1:85" s="460" customFormat="1" ht="14.4" hidden="1" outlineLevel="1" x14ac:dyDescent="0.3">
      <c r="A464" s="159" t="s">
        <v>1221</v>
      </c>
      <c r="B464" s="586"/>
      <c r="C464" s="150"/>
      <c r="D464" s="150"/>
      <c r="E464" s="150"/>
      <c r="F464" s="150"/>
      <c r="G464" s="117"/>
      <c r="H464" s="117"/>
      <c r="I464" s="117"/>
      <c r="J464" s="117"/>
      <c r="K464" s="150"/>
      <c r="L464" s="117"/>
      <c r="M464" s="117"/>
      <c r="N464" s="117"/>
      <c r="O464" s="117"/>
      <c r="P464" s="150"/>
      <c r="Q464" s="117"/>
      <c r="R464" s="117"/>
      <c r="S464" s="117"/>
      <c r="T464" s="117"/>
      <c r="U464" s="150"/>
      <c r="V464" s="117"/>
      <c r="W464" s="117"/>
      <c r="X464" s="117"/>
      <c r="Y464" s="117"/>
      <c r="Z464" s="150"/>
      <c r="AA464" s="117"/>
      <c r="AB464" s="117"/>
      <c r="AC464" s="117"/>
      <c r="AD464" s="117"/>
      <c r="AE464" s="150"/>
      <c r="AF464" s="117"/>
      <c r="AG464" s="117"/>
      <c r="AH464" s="117"/>
      <c r="AI464" s="117"/>
      <c r="AJ464" s="150"/>
      <c r="AK464" s="117"/>
      <c r="AL464" s="117"/>
      <c r="AM464" s="117"/>
      <c r="AN464" s="117"/>
      <c r="AO464" s="975">
        <v>339</v>
      </c>
      <c r="AP464" s="117"/>
      <c r="AQ464" s="117"/>
      <c r="AR464" s="117"/>
      <c r="AS464" s="117"/>
      <c r="AT464" s="975">
        <v>107</v>
      </c>
      <c r="AU464" s="117"/>
      <c r="AV464" s="117"/>
      <c r="AW464" s="117"/>
      <c r="AX464" s="117"/>
      <c r="AY464" s="975">
        <v>196</v>
      </c>
      <c r="AZ464" s="117"/>
      <c r="BA464" s="117"/>
      <c r="BB464" s="117"/>
      <c r="BC464" s="117"/>
      <c r="BD464" s="975">
        <v>240</v>
      </c>
      <c r="BE464" s="117"/>
      <c r="BF464" s="117"/>
      <c r="BG464" s="117"/>
      <c r="BH464" s="117"/>
      <c r="BI464" s="975">
        <v>276</v>
      </c>
      <c r="BJ464" s="117"/>
      <c r="BK464" s="117"/>
      <c r="BL464" s="117"/>
      <c r="BM464" s="117"/>
      <c r="BN464" s="975">
        <v>146</v>
      </c>
      <c r="BO464" s="117"/>
      <c r="BP464" s="117"/>
      <c r="BQ464" s="117"/>
      <c r="BR464" s="117"/>
      <c r="BS464" s="975">
        <v>240</v>
      </c>
      <c r="BT464" s="691"/>
      <c r="BU464" s="117"/>
      <c r="BV464" s="117"/>
      <c r="BW464" s="117"/>
      <c r="BX464" s="150"/>
      <c r="BY464" s="117"/>
      <c r="BZ464" s="117"/>
      <c r="CA464" s="117"/>
      <c r="CB464" s="117"/>
      <c r="CC464" s="150"/>
      <c r="CD464" s="150"/>
      <c r="CE464" s="150"/>
      <c r="CF464" s="150"/>
      <c r="CG464" s="587"/>
    </row>
    <row r="465" spans="1:85" s="460" customFormat="1" ht="14.4" hidden="1" outlineLevel="1" x14ac:dyDescent="0.3">
      <c r="A465" s="159" t="s">
        <v>1222</v>
      </c>
      <c r="B465" s="586"/>
      <c r="C465" s="150"/>
      <c r="D465" s="150"/>
      <c r="E465" s="150"/>
      <c r="F465" s="150"/>
      <c r="G465" s="117"/>
      <c r="H465" s="117"/>
      <c r="I465" s="117"/>
      <c r="J465" s="117"/>
      <c r="K465" s="150"/>
      <c r="L465" s="117"/>
      <c r="M465" s="117"/>
      <c r="N465" s="117"/>
      <c r="O465" s="117"/>
      <c r="P465" s="150"/>
      <c r="Q465" s="117"/>
      <c r="R465" s="117"/>
      <c r="S465" s="117"/>
      <c r="T465" s="117"/>
      <c r="U465" s="150"/>
      <c r="V465" s="117"/>
      <c r="W465" s="117"/>
      <c r="X465" s="117"/>
      <c r="Y465" s="117"/>
      <c r="Z465" s="150"/>
      <c r="AA465" s="117"/>
      <c r="AB465" s="117"/>
      <c r="AC465" s="117"/>
      <c r="AD465" s="117"/>
      <c r="AE465" s="150"/>
      <c r="AF465" s="117"/>
      <c r="AG465" s="117"/>
      <c r="AH465" s="117"/>
      <c r="AI465" s="117"/>
      <c r="AJ465" s="150"/>
      <c r="AK465" s="117"/>
      <c r="AL465" s="117"/>
      <c r="AM465" s="117"/>
      <c r="AN465" s="117"/>
      <c r="AO465" s="975">
        <v>1286</v>
      </c>
      <c r="AP465" s="117"/>
      <c r="AQ465" s="117"/>
      <c r="AR465" s="117"/>
      <c r="AS465" s="117"/>
      <c r="AT465" s="975">
        <v>1208</v>
      </c>
      <c r="AU465" s="117"/>
      <c r="AV465" s="117"/>
      <c r="AW465" s="117"/>
      <c r="AX465" s="117"/>
      <c r="AY465" s="975">
        <v>912</v>
      </c>
      <c r="AZ465" s="117"/>
      <c r="BA465" s="117"/>
      <c r="BB465" s="117"/>
      <c r="BC465" s="117"/>
      <c r="BD465" s="975">
        <v>756</v>
      </c>
      <c r="BE465" s="117"/>
      <c r="BF465" s="117"/>
      <c r="BG465" s="117"/>
      <c r="BH465" s="117"/>
      <c r="BI465" s="975">
        <v>625</v>
      </c>
      <c r="BJ465" s="117"/>
      <c r="BK465" s="117"/>
      <c r="BL465" s="117"/>
      <c r="BM465" s="117"/>
      <c r="BN465" s="975">
        <v>703</v>
      </c>
      <c r="BO465" s="117"/>
      <c r="BP465" s="117"/>
      <c r="BQ465" s="117"/>
      <c r="BR465" s="117"/>
      <c r="BS465" s="975">
        <v>689</v>
      </c>
      <c r="BT465" s="691"/>
      <c r="BU465" s="117"/>
      <c r="BV465" s="117"/>
      <c r="BW465" s="117"/>
      <c r="BX465" s="150"/>
      <c r="BY465" s="117"/>
      <c r="BZ465" s="117"/>
      <c r="CA465" s="117"/>
      <c r="CB465" s="117"/>
      <c r="CC465" s="150"/>
      <c r="CD465" s="150"/>
      <c r="CE465" s="150"/>
      <c r="CF465" s="150"/>
      <c r="CG465" s="587"/>
    </row>
    <row r="466" spans="1:85" s="460" customFormat="1" ht="14.4" hidden="1" outlineLevel="1" x14ac:dyDescent="0.3">
      <c r="A466" s="159" t="s">
        <v>1223</v>
      </c>
      <c r="B466" s="586"/>
      <c r="C466" s="150"/>
      <c r="D466" s="150"/>
      <c r="E466" s="150"/>
      <c r="F466" s="150"/>
      <c r="G466" s="117"/>
      <c r="H466" s="117"/>
      <c r="I466" s="117"/>
      <c r="J466" s="117"/>
      <c r="K466" s="150"/>
      <c r="L466" s="117"/>
      <c r="M466" s="117"/>
      <c r="N466" s="117"/>
      <c r="O466" s="117"/>
      <c r="P466" s="150"/>
      <c r="Q466" s="117"/>
      <c r="R466" s="117"/>
      <c r="S466" s="117"/>
      <c r="T466" s="117"/>
      <c r="U466" s="150"/>
      <c r="V466" s="117"/>
      <c r="W466" s="117"/>
      <c r="X466" s="117"/>
      <c r="Y466" s="117"/>
      <c r="Z466" s="150"/>
      <c r="AA466" s="117"/>
      <c r="AB466" s="117"/>
      <c r="AC466" s="117"/>
      <c r="AD466" s="117"/>
      <c r="AE466" s="150"/>
      <c r="AF466" s="117"/>
      <c r="AG466" s="117"/>
      <c r="AH466" s="117"/>
      <c r="AI466" s="117"/>
      <c r="AJ466" s="150"/>
      <c r="AK466" s="117"/>
      <c r="AL466" s="117"/>
      <c r="AM466" s="117"/>
      <c r="AN466" s="117"/>
      <c r="AO466" s="975">
        <v>299</v>
      </c>
      <c r="AP466" s="117"/>
      <c r="AQ466" s="117"/>
      <c r="AR466" s="117"/>
      <c r="AS466" s="117"/>
      <c r="AT466" s="975">
        <v>319</v>
      </c>
      <c r="AU466" s="117"/>
      <c r="AV466" s="117"/>
      <c r="AW466" s="117"/>
      <c r="AX466" s="117"/>
      <c r="AY466" s="975">
        <v>466</v>
      </c>
      <c r="AZ466" s="117"/>
      <c r="BA466" s="117"/>
      <c r="BB466" s="117"/>
      <c r="BC466" s="117"/>
      <c r="BD466" s="975">
        <v>1959</v>
      </c>
      <c r="BE466" s="117"/>
      <c r="BF466" s="117"/>
      <c r="BG466" s="117"/>
      <c r="BH466" s="117"/>
      <c r="BI466" s="975">
        <v>1419</v>
      </c>
      <c r="BJ466" s="117"/>
      <c r="BK466" s="117"/>
      <c r="BL466" s="117"/>
      <c r="BM466" s="117"/>
      <c r="BN466" s="975">
        <v>1351</v>
      </c>
      <c r="BO466" s="117"/>
      <c r="BP466" s="117"/>
      <c r="BQ466" s="117"/>
      <c r="BR466" s="117"/>
      <c r="BS466" s="975">
        <v>1728</v>
      </c>
      <c r="BT466" s="691"/>
      <c r="BU466" s="117"/>
      <c r="BV466" s="117"/>
      <c r="BW466" s="117"/>
      <c r="BX466" s="150"/>
      <c r="BY466" s="117"/>
      <c r="BZ466" s="117"/>
      <c r="CA466" s="117"/>
      <c r="CB466" s="117"/>
      <c r="CC466" s="150"/>
      <c r="CD466" s="150"/>
      <c r="CE466" s="150"/>
      <c r="CF466" s="150"/>
      <c r="CG466" s="587"/>
    </row>
    <row r="467" spans="1:85" s="460" customFormat="1" ht="14.4" hidden="1" outlineLevel="1" x14ac:dyDescent="0.3">
      <c r="A467" s="159" t="s">
        <v>1224</v>
      </c>
      <c r="B467" s="586"/>
      <c r="C467" s="150"/>
      <c r="D467" s="150"/>
      <c r="E467" s="150"/>
      <c r="F467" s="150"/>
      <c r="G467" s="117"/>
      <c r="H467" s="117"/>
      <c r="I467" s="117"/>
      <c r="J467" s="117"/>
      <c r="K467" s="150"/>
      <c r="L467" s="117"/>
      <c r="M467" s="117"/>
      <c r="N467" s="117"/>
      <c r="O467" s="117"/>
      <c r="P467" s="150"/>
      <c r="Q467" s="117"/>
      <c r="R467" s="117"/>
      <c r="S467" s="117"/>
      <c r="T467" s="117"/>
      <c r="U467" s="150"/>
      <c r="V467" s="117"/>
      <c r="W467" s="117"/>
      <c r="X467" s="117"/>
      <c r="Y467" s="117"/>
      <c r="Z467" s="150"/>
      <c r="AA467" s="117"/>
      <c r="AB467" s="117"/>
      <c r="AC467" s="117"/>
      <c r="AD467" s="117"/>
      <c r="AE467" s="150"/>
      <c r="AF467" s="117"/>
      <c r="AG467" s="117"/>
      <c r="AH467" s="117"/>
      <c r="AI467" s="117"/>
      <c r="AJ467" s="150"/>
      <c r="AK467" s="117"/>
      <c r="AL467" s="117"/>
      <c r="AM467" s="117"/>
      <c r="AN467" s="117"/>
      <c r="AO467" s="975">
        <v>3961</v>
      </c>
      <c r="AP467" s="117"/>
      <c r="AQ467" s="117"/>
      <c r="AR467" s="117"/>
      <c r="AS467" s="117"/>
      <c r="AT467" s="975">
        <v>2434</v>
      </c>
      <c r="AU467" s="117"/>
      <c r="AV467" s="117"/>
      <c r="AW467" s="117"/>
      <c r="AX467" s="117"/>
      <c r="AY467" s="975">
        <v>3627</v>
      </c>
      <c r="AZ467" s="117"/>
      <c r="BA467" s="117"/>
      <c r="BB467" s="117"/>
      <c r="BC467" s="117"/>
      <c r="BD467" s="975">
        <v>2444</v>
      </c>
      <c r="BE467" s="117"/>
      <c r="BF467" s="117"/>
      <c r="BG467" s="117"/>
      <c r="BH467" s="117"/>
      <c r="BI467" s="975">
        <v>2444</v>
      </c>
      <c r="BJ467" s="117"/>
      <c r="BK467" s="117"/>
      <c r="BL467" s="117"/>
      <c r="BM467" s="117"/>
      <c r="BN467" s="975">
        <v>2422</v>
      </c>
      <c r="BO467" s="117"/>
      <c r="BP467" s="117"/>
      <c r="BQ467" s="117"/>
      <c r="BR467" s="117"/>
      <c r="BS467" s="975">
        <v>3314</v>
      </c>
      <c r="BT467" s="691"/>
      <c r="BU467" s="117"/>
      <c r="BV467" s="117"/>
      <c r="BW467" s="117"/>
      <c r="BX467" s="150"/>
      <c r="BY467" s="117"/>
      <c r="BZ467" s="117"/>
      <c r="CA467" s="117"/>
      <c r="CB467" s="117"/>
      <c r="CC467" s="150"/>
      <c r="CD467" s="150"/>
      <c r="CE467" s="150"/>
      <c r="CF467" s="150"/>
      <c r="CG467" s="587"/>
    </row>
    <row r="468" spans="1:85" s="460" customFormat="1" ht="14.4" hidden="1" outlineLevel="1" x14ac:dyDescent="0.3">
      <c r="A468" s="262" t="s">
        <v>1225</v>
      </c>
      <c r="B468" s="588"/>
      <c r="C468" s="954"/>
      <c r="D468" s="954"/>
      <c r="E468" s="954"/>
      <c r="F468" s="954"/>
      <c r="G468" s="133"/>
      <c r="H468" s="133"/>
      <c r="I468" s="133"/>
      <c r="J468" s="133"/>
      <c r="K468" s="954"/>
      <c r="L468" s="133"/>
      <c r="M468" s="133"/>
      <c r="N468" s="133"/>
      <c r="O468" s="133"/>
      <c r="P468" s="954"/>
      <c r="Q468" s="133"/>
      <c r="R468" s="133"/>
      <c r="S468" s="133"/>
      <c r="T468" s="133"/>
      <c r="U468" s="954"/>
      <c r="V468" s="133"/>
      <c r="W468" s="133"/>
      <c r="X468" s="133"/>
      <c r="Y468" s="133"/>
      <c r="Z468" s="954"/>
      <c r="AA468" s="133"/>
      <c r="AB468" s="133"/>
      <c r="AC468" s="133"/>
      <c r="AD468" s="133"/>
      <c r="AE468" s="954"/>
      <c r="AF468" s="133"/>
      <c r="AG468" s="133"/>
      <c r="AH468" s="133"/>
      <c r="AI468" s="133"/>
      <c r="AJ468" s="954"/>
      <c r="AK468" s="133"/>
      <c r="AL468" s="133"/>
      <c r="AM468" s="133"/>
      <c r="AN468" s="133"/>
      <c r="AO468" s="976">
        <v>18</v>
      </c>
      <c r="AP468" s="133"/>
      <c r="AQ468" s="133"/>
      <c r="AR468" s="133"/>
      <c r="AS468" s="133"/>
      <c r="AT468" s="976">
        <v>14</v>
      </c>
      <c r="AU468" s="133"/>
      <c r="AV468" s="133"/>
      <c r="AW468" s="133"/>
      <c r="AX468" s="133"/>
      <c r="AY468" s="976">
        <v>13</v>
      </c>
      <c r="AZ468" s="133"/>
      <c r="BA468" s="133"/>
      <c r="BB468" s="133"/>
      <c r="BC468" s="133"/>
      <c r="BD468" s="976">
        <v>11</v>
      </c>
      <c r="BE468" s="133"/>
      <c r="BF468" s="133"/>
      <c r="BG468" s="133"/>
      <c r="BH468" s="133"/>
      <c r="BI468" s="976">
        <v>8</v>
      </c>
      <c r="BJ468" s="133"/>
      <c r="BK468" s="133"/>
      <c r="BL468" s="133"/>
      <c r="BM468" s="133"/>
      <c r="BN468" s="976">
        <v>8</v>
      </c>
      <c r="BO468" s="133"/>
      <c r="BP468" s="133"/>
      <c r="BQ468" s="133"/>
      <c r="BR468" s="133"/>
      <c r="BS468" s="976">
        <v>5</v>
      </c>
      <c r="BT468" s="692"/>
      <c r="BU468" s="133"/>
      <c r="BV468" s="133"/>
      <c r="BW468" s="133"/>
      <c r="BX468" s="954"/>
      <c r="BY468" s="133"/>
      <c r="BZ468" s="133"/>
      <c r="CA468" s="133"/>
      <c r="CB468" s="133"/>
      <c r="CC468" s="954"/>
      <c r="CD468" s="954"/>
      <c r="CE468" s="954"/>
      <c r="CF468" s="954"/>
      <c r="CG468" s="587"/>
    </row>
    <row r="469" spans="1:85" s="461" customFormat="1" ht="14.4" hidden="1" outlineLevel="1" x14ac:dyDescent="0.3">
      <c r="A469" s="166" t="s">
        <v>1235</v>
      </c>
      <c r="B469" s="583"/>
      <c r="C469" s="957"/>
      <c r="D469" s="957"/>
      <c r="E469" s="957"/>
      <c r="F469" s="957"/>
      <c r="G469" s="120"/>
      <c r="H469" s="120"/>
      <c r="I469" s="120"/>
      <c r="J469" s="120"/>
      <c r="K469" s="957"/>
      <c r="L469" s="120"/>
      <c r="M469" s="120"/>
      <c r="N469" s="120"/>
      <c r="O469" s="120"/>
      <c r="P469" s="957"/>
      <c r="Q469" s="120"/>
      <c r="R469" s="120"/>
      <c r="S469" s="120"/>
      <c r="T469" s="120"/>
      <c r="U469" s="957"/>
      <c r="V469" s="120"/>
      <c r="W469" s="120"/>
      <c r="X469" s="120"/>
      <c r="Y469" s="120"/>
      <c r="Z469" s="957"/>
      <c r="AA469" s="120"/>
      <c r="AB469" s="120"/>
      <c r="AC469" s="120"/>
      <c r="AD469" s="120"/>
      <c r="AE469" s="957"/>
      <c r="AF469" s="120"/>
      <c r="AG469" s="120"/>
      <c r="AH469" s="120"/>
      <c r="AI469" s="120"/>
      <c r="AJ469" s="957"/>
      <c r="AK469" s="120"/>
      <c r="AL469" s="120"/>
      <c r="AM469" s="120"/>
      <c r="AN469" s="120"/>
      <c r="AO469" s="957">
        <f>SUM(AO463:AO468)</f>
        <v>7633</v>
      </c>
      <c r="AP469" s="120"/>
      <c r="AQ469" s="120"/>
      <c r="AR469" s="120"/>
      <c r="AS469" s="120"/>
      <c r="AT469" s="957">
        <f>SUM(AT463:AT468)</f>
        <v>5829</v>
      </c>
      <c r="AU469" s="120"/>
      <c r="AV469" s="120"/>
      <c r="AW469" s="120"/>
      <c r="AX469" s="120"/>
      <c r="AY469" s="957">
        <f>SUM(AY463:AY468)</f>
        <v>7963</v>
      </c>
      <c r="AZ469" s="120"/>
      <c r="BA469" s="120"/>
      <c r="BB469" s="120"/>
      <c r="BC469" s="120"/>
      <c r="BD469" s="957">
        <f>SUM(BD463:BD468)</f>
        <v>8953</v>
      </c>
      <c r="BE469" s="120"/>
      <c r="BF469" s="120"/>
      <c r="BG469" s="120"/>
      <c r="BH469" s="120"/>
      <c r="BI469" s="957">
        <f>SUM(BI463:BI468)</f>
        <v>7911</v>
      </c>
      <c r="BJ469" s="120"/>
      <c r="BK469" s="120"/>
      <c r="BL469" s="120"/>
      <c r="BM469" s="120"/>
      <c r="BN469" s="957">
        <f>SUM(BN463:BN468)</f>
        <v>7360</v>
      </c>
      <c r="BO469" s="120"/>
      <c r="BP469" s="120"/>
      <c r="BQ469" s="120"/>
      <c r="BR469" s="120"/>
      <c r="BS469" s="957">
        <f>SUM(BS463:BS468)</f>
        <v>8496</v>
      </c>
      <c r="BT469" s="694"/>
      <c r="BU469" s="120"/>
      <c r="BV469" s="120"/>
      <c r="BW469" s="120"/>
      <c r="BX469" s="957"/>
      <c r="BY469" s="120"/>
      <c r="BZ469" s="120"/>
      <c r="CA469" s="120"/>
      <c r="CB469" s="120"/>
      <c r="CC469" s="957"/>
      <c r="CD469" s="957"/>
      <c r="CE469" s="957"/>
      <c r="CF469" s="957"/>
      <c r="CG469" s="615"/>
    </row>
    <row r="470" spans="1:85" s="460" customFormat="1" ht="14.4" hidden="1" outlineLevel="1" x14ac:dyDescent="0.3">
      <c r="A470" s="159" t="s">
        <v>1226</v>
      </c>
      <c r="B470" s="586"/>
      <c r="C470" s="150"/>
      <c r="D470" s="150"/>
      <c r="E470" s="150"/>
      <c r="F470" s="150"/>
      <c r="G470" s="117"/>
      <c r="H470" s="117"/>
      <c r="I470" s="117"/>
      <c r="J470" s="117"/>
      <c r="K470" s="150"/>
      <c r="L470" s="117"/>
      <c r="M470" s="117"/>
      <c r="N470" s="117"/>
      <c r="O470" s="117"/>
      <c r="P470" s="150"/>
      <c r="Q470" s="117"/>
      <c r="R470" s="117"/>
      <c r="S470" s="117"/>
      <c r="T470" s="117"/>
      <c r="U470" s="150"/>
      <c r="V470" s="117"/>
      <c r="W470" s="117"/>
      <c r="X470" s="117"/>
      <c r="Y470" s="117"/>
      <c r="Z470" s="150"/>
      <c r="AA470" s="117"/>
      <c r="AB470" s="117"/>
      <c r="AC470" s="117"/>
      <c r="AD470" s="117"/>
      <c r="AE470" s="150"/>
      <c r="AF470" s="117"/>
      <c r="AG470" s="117"/>
      <c r="AH470" s="117"/>
      <c r="AI470" s="117"/>
      <c r="AJ470" s="150"/>
      <c r="AK470" s="117"/>
      <c r="AL470" s="117"/>
      <c r="AM470" s="117"/>
      <c r="AN470" s="117"/>
      <c r="AO470" s="975">
        <v>869</v>
      </c>
      <c r="AP470" s="117"/>
      <c r="AQ470" s="117"/>
      <c r="AR470" s="117"/>
      <c r="AS470" s="117"/>
      <c r="AT470" s="975">
        <v>961</v>
      </c>
      <c r="AU470" s="117"/>
      <c r="AV470" s="117"/>
      <c r="AW470" s="117"/>
      <c r="AX470" s="117"/>
      <c r="AY470" s="975">
        <v>642</v>
      </c>
      <c r="AZ470" s="117"/>
      <c r="BA470" s="117"/>
      <c r="BB470" s="117"/>
      <c r="BC470" s="117"/>
      <c r="BD470" s="975">
        <v>368</v>
      </c>
      <c r="BE470" s="117"/>
      <c r="BF470" s="117"/>
      <c r="BG470" s="117"/>
      <c r="BH470" s="117"/>
      <c r="BI470" s="975">
        <v>233</v>
      </c>
      <c r="BJ470" s="117"/>
      <c r="BK470" s="117"/>
      <c r="BL470" s="117"/>
      <c r="BM470" s="117"/>
      <c r="BN470" s="975">
        <v>20</v>
      </c>
      <c r="BO470" s="117"/>
      <c r="BP470" s="117"/>
      <c r="BQ470" s="117"/>
      <c r="BR470" s="117"/>
      <c r="BS470" s="975">
        <v>0</v>
      </c>
      <c r="BT470" s="691"/>
      <c r="BU470" s="117"/>
      <c r="BV470" s="117"/>
      <c r="BW470" s="117"/>
      <c r="BX470" s="150"/>
      <c r="BY470" s="117"/>
      <c r="BZ470" s="117"/>
      <c r="CA470" s="117"/>
      <c r="CB470" s="117"/>
      <c r="CC470" s="150"/>
      <c r="CD470" s="150"/>
      <c r="CE470" s="150"/>
      <c r="CF470" s="150"/>
      <c r="CG470" s="587"/>
    </row>
    <row r="471" spans="1:85" s="460" customFormat="1" ht="14.4" hidden="1" outlineLevel="1" x14ac:dyDescent="0.3">
      <c r="A471" s="262" t="s">
        <v>1227</v>
      </c>
      <c r="B471" s="588"/>
      <c r="C471" s="954"/>
      <c r="D471" s="954"/>
      <c r="E471" s="954"/>
      <c r="F471" s="954"/>
      <c r="G471" s="133"/>
      <c r="H471" s="133"/>
      <c r="I471" s="133"/>
      <c r="J471" s="133"/>
      <c r="K471" s="954"/>
      <c r="L471" s="133"/>
      <c r="M471" s="133"/>
      <c r="N471" s="133"/>
      <c r="O471" s="133"/>
      <c r="P471" s="954"/>
      <c r="Q471" s="133"/>
      <c r="R471" s="133"/>
      <c r="S471" s="133"/>
      <c r="T471" s="133"/>
      <c r="U471" s="954"/>
      <c r="V471" s="133"/>
      <c r="W471" s="133"/>
      <c r="X471" s="133"/>
      <c r="Y471" s="133"/>
      <c r="Z471" s="954"/>
      <c r="AA471" s="133"/>
      <c r="AB471" s="133"/>
      <c r="AC471" s="133"/>
      <c r="AD471" s="133"/>
      <c r="AE471" s="954"/>
      <c r="AF471" s="133"/>
      <c r="AG471" s="133"/>
      <c r="AH471" s="133"/>
      <c r="AI471" s="133"/>
      <c r="AJ471" s="954"/>
      <c r="AK471" s="133"/>
      <c r="AL471" s="133"/>
      <c r="AM471" s="133"/>
      <c r="AN471" s="133"/>
      <c r="AO471" s="976">
        <v>558</v>
      </c>
      <c r="AP471" s="133"/>
      <c r="AQ471" s="133"/>
      <c r="AR471" s="133"/>
      <c r="AS471" s="133"/>
      <c r="AT471" s="976">
        <v>576</v>
      </c>
      <c r="AU471" s="133"/>
      <c r="AV471" s="133"/>
      <c r="AW471" s="133"/>
      <c r="AX471" s="133"/>
      <c r="AY471" s="976">
        <v>583</v>
      </c>
      <c r="AZ471" s="133"/>
      <c r="BA471" s="133"/>
      <c r="BB471" s="133"/>
      <c r="BC471" s="133"/>
      <c r="BD471" s="976">
        <v>487</v>
      </c>
      <c r="BE471" s="133"/>
      <c r="BF471" s="133"/>
      <c r="BG471" s="133"/>
      <c r="BH471" s="133"/>
      <c r="BI471" s="976">
        <v>445</v>
      </c>
      <c r="BJ471" s="133"/>
      <c r="BK471" s="133"/>
      <c r="BL471" s="133"/>
      <c r="BM471" s="133"/>
      <c r="BN471" s="976">
        <v>41</v>
      </c>
      <c r="BO471" s="133"/>
      <c r="BP471" s="133"/>
      <c r="BQ471" s="133"/>
      <c r="BR471" s="133"/>
      <c r="BS471" s="976">
        <v>12</v>
      </c>
      <c r="BT471" s="692"/>
      <c r="BU471" s="133"/>
      <c r="BV471" s="133"/>
      <c r="BW471" s="133"/>
      <c r="BX471" s="954"/>
      <c r="BY471" s="133"/>
      <c r="BZ471" s="133"/>
      <c r="CA471" s="133"/>
      <c r="CB471" s="133"/>
      <c r="CC471" s="954"/>
      <c r="CD471" s="954"/>
      <c r="CE471" s="954"/>
      <c r="CF471" s="954"/>
      <c r="CG471" s="587"/>
    </row>
    <row r="472" spans="1:85" s="461" customFormat="1" ht="14.4" hidden="1" outlineLevel="1" x14ac:dyDescent="0.3">
      <c r="A472" s="602" t="s">
        <v>1236</v>
      </c>
      <c r="B472" s="594"/>
      <c r="C472" s="982"/>
      <c r="D472" s="982"/>
      <c r="E472" s="982"/>
      <c r="F472" s="982"/>
      <c r="G472" s="595"/>
      <c r="H472" s="595"/>
      <c r="I472" s="595"/>
      <c r="J472" s="595"/>
      <c r="K472" s="982"/>
      <c r="L472" s="595"/>
      <c r="M472" s="595"/>
      <c r="N472" s="595"/>
      <c r="O472" s="595"/>
      <c r="P472" s="982"/>
      <c r="Q472" s="595"/>
      <c r="R472" s="595"/>
      <c r="S472" s="595"/>
      <c r="T472" s="595"/>
      <c r="U472" s="982"/>
      <c r="V472" s="595"/>
      <c r="W472" s="595"/>
      <c r="X472" s="595"/>
      <c r="Y472" s="595"/>
      <c r="Z472" s="982"/>
      <c r="AA472" s="595"/>
      <c r="AB472" s="595"/>
      <c r="AC472" s="595"/>
      <c r="AD472" s="595"/>
      <c r="AE472" s="982"/>
      <c r="AF472" s="595"/>
      <c r="AG472" s="595"/>
      <c r="AH472" s="595"/>
      <c r="AI472" s="595"/>
      <c r="AJ472" s="982"/>
      <c r="AK472" s="595"/>
      <c r="AL472" s="595"/>
      <c r="AM472" s="595"/>
      <c r="AN472" s="595"/>
      <c r="AO472" s="982">
        <f>SUM(AO470:AO471)</f>
        <v>1427</v>
      </c>
      <c r="AP472" s="595"/>
      <c r="AQ472" s="595"/>
      <c r="AR472" s="595"/>
      <c r="AS472" s="595"/>
      <c r="AT472" s="982">
        <f>SUM(AT470:AT471)</f>
        <v>1537</v>
      </c>
      <c r="AU472" s="595"/>
      <c r="AV472" s="595"/>
      <c r="AW472" s="595"/>
      <c r="AX472" s="595"/>
      <c r="AY472" s="982">
        <f>SUM(AY470:AY471)</f>
        <v>1225</v>
      </c>
      <c r="AZ472" s="595"/>
      <c r="BA472" s="595"/>
      <c r="BB472" s="595"/>
      <c r="BC472" s="595"/>
      <c r="BD472" s="982">
        <f>SUM(BD470:BD471)</f>
        <v>855</v>
      </c>
      <c r="BE472" s="595"/>
      <c r="BF472" s="595"/>
      <c r="BG472" s="595"/>
      <c r="BH472" s="595"/>
      <c r="BI472" s="982">
        <f>SUM(BI470:BI471)</f>
        <v>678</v>
      </c>
      <c r="BJ472" s="595"/>
      <c r="BK472" s="595"/>
      <c r="BL472" s="595"/>
      <c r="BM472" s="595"/>
      <c r="BN472" s="982">
        <f>SUM(BN470:BN471)</f>
        <v>61</v>
      </c>
      <c r="BO472" s="595"/>
      <c r="BP472" s="595"/>
      <c r="BQ472" s="595"/>
      <c r="BR472" s="595"/>
      <c r="BS472" s="982">
        <f>SUM(BS470:BS471)</f>
        <v>12</v>
      </c>
      <c r="BT472" s="711"/>
      <c r="BU472" s="595"/>
      <c r="BV472" s="595"/>
      <c r="BW472" s="595"/>
      <c r="BX472" s="982"/>
      <c r="BY472" s="595"/>
      <c r="BZ472" s="595"/>
      <c r="CA472" s="595"/>
      <c r="CB472" s="595"/>
      <c r="CC472" s="982"/>
      <c r="CD472" s="982"/>
      <c r="CE472" s="982"/>
      <c r="CF472" s="982"/>
      <c r="CG472" s="615"/>
    </row>
    <row r="473" spans="1:85" s="461" customFormat="1" ht="14.4" hidden="1" outlineLevel="1" x14ac:dyDescent="0.3">
      <c r="A473" s="166" t="s">
        <v>1237</v>
      </c>
      <c r="B473" s="583"/>
      <c r="C473" s="957"/>
      <c r="D473" s="957"/>
      <c r="E473" s="957"/>
      <c r="F473" s="957"/>
      <c r="G473" s="120"/>
      <c r="H473" s="120"/>
      <c r="I473" s="120"/>
      <c r="J473" s="120"/>
      <c r="K473" s="957"/>
      <c r="L473" s="120"/>
      <c r="M473" s="120"/>
      <c r="N473" s="120"/>
      <c r="O473" s="120"/>
      <c r="P473" s="957"/>
      <c r="Q473" s="120"/>
      <c r="R473" s="120"/>
      <c r="S473" s="120"/>
      <c r="T473" s="120"/>
      <c r="U473" s="957"/>
      <c r="V473" s="120"/>
      <c r="W473" s="120"/>
      <c r="X473" s="120"/>
      <c r="Y473" s="120"/>
      <c r="Z473" s="957"/>
      <c r="AA473" s="120"/>
      <c r="AB473" s="120"/>
      <c r="AC473" s="120"/>
      <c r="AD473" s="120"/>
      <c r="AE473" s="957"/>
      <c r="AF473" s="120"/>
      <c r="AG473" s="120"/>
      <c r="AH473" s="120"/>
      <c r="AI473" s="120"/>
      <c r="AJ473" s="957"/>
      <c r="AK473" s="120"/>
      <c r="AL473" s="120"/>
      <c r="AM473" s="120"/>
      <c r="AN473" s="120"/>
      <c r="AO473" s="957">
        <f>AO469+AO472</f>
        <v>9060</v>
      </c>
      <c r="AP473" s="120"/>
      <c r="AQ473" s="120"/>
      <c r="AR473" s="120"/>
      <c r="AS473" s="120"/>
      <c r="AT473" s="957">
        <f>AT469+AT472</f>
        <v>7366</v>
      </c>
      <c r="AU473" s="120"/>
      <c r="AV473" s="120"/>
      <c r="AW473" s="120"/>
      <c r="AX473" s="120"/>
      <c r="AY473" s="957">
        <f>AY469+AY472</f>
        <v>9188</v>
      </c>
      <c r="AZ473" s="120"/>
      <c r="BA473" s="120"/>
      <c r="BB473" s="120"/>
      <c r="BC473" s="120"/>
      <c r="BD473" s="957">
        <f>BD469+BD472</f>
        <v>9808</v>
      </c>
      <c r="BE473" s="120"/>
      <c r="BF473" s="120"/>
      <c r="BG473" s="120"/>
      <c r="BH473" s="120"/>
      <c r="BI473" s="957">
        <f>BI469+BI472</f>
        <v>8589</v>
      </c>
      <c r="BJ473" s="120"/>
      <c r="BK473" s="120"/>
      <c r="BL473" s="120"/>
      <c r="BM473" s="120"/>
      <c r="BN473" s="957">
        <f>BN469+BN472</f>
        <v>7421</v>
      </c>
      <c r="BO473" s="120"/>
      <c r="BP473" s="120"/>
      <c r="BQ473" s="120"/>
      <c r="BR473" s="120"/>
      <c r="BS473" s="957">
        <f>BS469+BS472</f>
        <v>8508</v>
      </c>
      <c r="BT473" s="694"/>
      <c r="BU473" s="120"/>
      <c r="BV473" s="120"/>
      <c r="BW473" s="120"/>
      <c r="BX473" s="957"/>
      <c r="BY473" s="120"/>
      <c r="BZ473" s="120"/>
      <c r="CA473" s="120"/>
      <c r="CB473" s="120"/>
      <c r="CC473" s="957"/>
      <c r="CD473" s="957"/>
      <c r="CE473" s="957"/>
      <c r="CF473" s="957"/>
      <c r="CG473" s="615"/>
    </row>
    <row r="474" spans="1:85" s="461" customFormat="1" ht="14.4" hidden="1" outlineLevel="1" x14ac:dyDescent="0.3">
      <c r="A474" s="166" t="s">
        <v>1228</v>
      </c>
      <c r="B474" s="583"/>
      <c r="C474" s="957"/>
      <c r="D474" s="957"/>
      <c r="E474" s="957"/>
      <c r="F474" s="957"/>
      <c r="G474" s="120"/>
      <c r="H474" s="120"/>
      <c r="I474" s="120"/>
      <c r="J474" s="120"/>
      <c r="K474" s="957"/>
      <c r="L474" s="120"/>
      <c r="M474" s="120"/>
      <c r="N474" s="120"/>
      <c r="O474" s="120"/>
      <c r="P474" s="957"/>
      <c r="Q474" s="120"/>
      <c r="R474" s="120"/>
      <c r="S474" s="120"/>
      <c r="T474" s="120"/>
      <c r="U474" s="957"/>
      <c r="V474" s="120"/>
      <c r="W474" s="120"/>
      <c r="X474" s="120"/>
      <c r="Y474" s="120"/>
      <c r="Z474" s="957"/>
      <c r="AA474" s="120"/>
      <c r="AB474" s="120"/>
      <c r="AC474" s="120"/>
      <c r="AD474" s="120"/>
      <c r="AE474" s="957"/>
      <c r="AF474" s="120"/>
      <c r="AG474" s="120"/>
      <c r="AH474" s="120"/>
      <c r="AI474" s="120"/>
      <c r="AJ474" s="957"/>
      <c r="AK474" s="120"/>
      <c r="AL474" s="120"/>
      <c r="AM474" s="120"/>
      <c r="AN474" s="120"/>
      <c r="AO474" s="957">
        <f>AO462+AO473</f>
        <v>29457</v>
      </c>
      <c r="AP474" s="120"/>
      <c r="AQ474" s="120"/>
      <c r="AR474" s="120"/>
      <c r="AS474" s="120"/>
      <c r="AT474" s="957">
        <f>AT462+AT473</f>
        <v>29922</v>
      </c>
      <c r="AU474" s="120"/>
      <c r="AV474" s="120"/>
      <c r="AW474" s="120"/>
      <c r="AX474" s="120"/>
      <c r="AY474" s="957">
        <f>AY462+AY473</f>
        <v>30908</v>
      </c>
      <c r="AZ474" s="120"/>
      <c r="BA474" s="120"/>
      <c r="BB474" s="120"/>
      <c r="BC474" s="120"/>
      <c r="BD474" s="957">
        <f>BD462+BD473</f>
        <v>30864</v>
      </c>
      <c r="BE474" s="120"/>
      <c r="BF474" s="120"/>
      <c r="BG474" s="120"/>
      <c r="BH474" s="120"/>
      <c r="BI474" s="957">
        <f>BI462+BI473</f>
        <v>30381</v>
      </c>
      <c r="BJ474" s="120"/>
      <c r="BK474" s="120"/>
      <c r="BL474" s="120"/>
      <c r="BM474" s="120"/>
      <c r="BN474" s="957">
        <f>BN462+BN473</f>
        <v>28375</v>
      </c>
      <c r="BO474" s="120"/>
      <c r="BP474" s="120"/>
      <c r="BQ474" s="120"/>
      <c r="BR474" s="120"/>
      <c r="BS474" s="957">
        <f>BS462+BS473</f>
        <v>29245</v>
      </c>
      <c r="BT474" s="694"/>
      <c r="BU474" s="120"/>
      <c r="BV474" s="120"/>
      <c r="BW474" s="120"/>
      <c r="BX474" s="957"/>
      <c r="BY474" s="120"/>
      <c r="BZ474" s="120"/>
      <c r="CA474" s="120"/>
      <c r="CB474" s="120"/>
      <c r="CC474" s="957"/>
      <c r="CD474" s="957"/>
      <c r="CE474" s="957"/>
      <c r="CF474" s="957"/>
      <c r="CG474" s="615"/>
    </row>
    <row r="475" spans="1:85" s="461" customFormat="1" ht="14.4" collapsed="1" x14ac:dyDescent="0.3">
      <c r="A475" s="166"/>
      <c r="B475" s="583"/>
      <c r="C475" s="957"/>
      <c r="D475" s="957"/>
      <c r="E475" s="957"/>
      <c r="F475" s="957"/>
      <c r="G475" s="120"/>
      <c r="H475" s="120"/>
      <c r="I475" s="120"/>
      <c r="J475" s="120"/>
      <c r="K475" s="957"/>
      <c r="L475" s="120"/>
      <c r="M475" s="120"/>
      <c r="N475" s="120"/>
      <c r="O475" s="120"/>
      <c r="P475" s="957"/>
      <c r="Q475" s="120"/>
      <c r="R475" s="120"/>
      <c r="S475" s="120"/>
      <c r="T475" s="120"/>
      <c r="U475" s="957"/>
      <c r="V475" s="120"/>
      <c r="W475" s="120"/>
      <c r="X475" s="120"/>
      <c r="Y475" s="120"/>
      <c r="Z475" s="957"/>
      <c r="AA475" s="120"/>
      <c r="AB475" s="120"/>
      <c r="AC475" s="120"/>
      <c r="AD475" s="120"/>
      <c r="AE475" s="957"/>
      <c r="AF475" s="120"/>
      <c r="AG475" s="120"/>
      <c r="AH475" s="120"/>
      <c r="AI475" s="120"/>
      <c r="AJ475" s="957"/>
      <c r="AK475" s="120"/>
      <c r="AL475" s="120"/>
      <c r="AM475" s="120"/>
      <c r="AN475" s="120"/>
      <c r="AO475" s="957"/>
      <c r="AP475" s="120"/>
      <c r="AQ475" s="120"/>
      <c r="AR475" s="120"/>
      <c r="AS475" s="120"/>
      <c r="AT475" s="957"/>
      <c r="AU475" s="120"/>
      <c r="AV475" s="120"/>
      <c r="AW475" s="120"/>
      <c r="AX475" s="120"/>
      <c r="AY475" s="957"/>
      <c r="AZ475" s="120"/>
      <c r="BA475" s="120"/>
      <c r="BB475" s="120"/>
      <c r="BC475" s="120"/>
      <c r="BD475" s="957"/>
      <c r="BE475" s="120"/>
      <c r="BF475" s="120"/>
      <c r="BG475" s="120"/>
      <c r="BH475" s="120"/>
      <c r="BI475" s="957"/>
      <c r="BJ475" s="120"/>
      <c r="BK475" s="120"/>
      <c r="BL475" s="120"/>
      <c r="BM475" s="120"/>
      <c r="BN475" s="957"/>
      <c r="BO475" s="120"/>
      <c r="BP475" s="120"/>
      <c r="BQ475" s="120"/>
      <c r="BR475" s="120"/>
      <c r="BS475" s="957"/>
      <c r="BT475" s="694"/>
      <c r="BU475" s="120"/>
      <c r="BV475" s="120"/>
      <c r="BW475" s="120"/>
      <c r="BX475" s="957"/>
      <c r="BY475" s="120"/>
      <c r="BZ475" s="120"/>
      <c r="CA475" s="120"/>
      <c r="CB475" s="120"/>
      <c r="CC475" s="957"/>
      <c r="CD475" s="957"/>
      <c r="CE475" s="957"/>
      <c r="CF475" s="957"/>
      <c r="CG475" s="615"/>
    </row>
    <row r="476" spans="1:85" s="462" customFormat="1" ht="14.4" x14ac:dyDescent="0.3">
      <c r="A476" s="732" t="s">
        <v>1247</v>
      </c>
      <c r="B476" s="732"/>
      <c r="C476" s="732"/>
      <c r="D476" s="732"/>
      <c r="E476" s="732"/>
      <c r="F476" s="732"/>
      <c r="G476" s="732"/>
      <c r="H476" s="732"/>
      <c r="I476" s="732"/>
      <c r="J476" s="732"/>
      <c r="K476" s="732"/>
      <c r="L476" s="732"/>
      <c r="M476" s="732"/>
      <c r="N476" s="732"/>
      <c r="O476" s="732"/>
      <c r="P476" s="732"/>
      <c r="Q476" s="732"/>
      <c r="R476" s="732"/>
      <c r="S476" s="732"/>
      <c r="T476" s="732"/>
      <c r="U476" s="732"/>
      <c r="V476" s="732"/>
      <c r="W476" s="732"/>
      <c r="X476" s="732"/>
      <c r="Y476" s="732"/>
      <c r="Z476" s="732"/>
      <c r="AA476" s="732"/>
      <c r="AB476" s="732"/>
      <c r="AC476" s="732"/>
      <c r="AD476" s="732"/>
      <c r="AE476" s="732"/>
      <c r="AF476" s="732"/>
      <c r="AG476" s="732"/>
      <c r="AH476" s="732"/>
      <c r="AI476" s="732"/>
      <c r="AJ476" s="732"/>
      <c r="AK476" s="732"/>
      <c r="AL476" s="732"/>
      <c r="AM476" s="732"/>
      <c r="AN476" s="732"/>
      <c r="AO476" s="732"/>
      <c r="AP476" s="732"/>
      <c r="AQ476" s="732"/>
      <c r="AR476" s="732"/>
      <c r="AS476" s="732"/>
      <c r="AT476" s="732"/>
      <c r="AU476" s="732"/>
      <c r="AV476" s="732"/>
      <c r="AW476" s="732"/>
      <c r="AX476" s="732"/>
      <c r="AY476" s="732"/>
      <c r="AZ476" s="732"/>
      <c r="BA476" s="732"/>
      <c r="BB476" s="732"/>
      <c r="BC476" s="732"/>
      <c r="BD476" s="732"/>
      <c r="BE476" s="732"/>
      <c r="BF476" s="732"/>
      <c r="BG476" s="732"/>
      <c r="BH476" s="732"/>
      <c r="BI476" s="732"/>
      <c r="BJ476" s="732"/>
      <c r="BK476" s="732"/>
      <c r="BL476" s="732"/>
      <c r="BM476" s="732"/>
      <c r="BN476" s="732"/>
      <c r="BO476" s="732"/>
      <c r="BP476" s="732"/>
      <c r="BQ476" s="732"/>
      <c r="BR476" s="732"/>
      <c r="BS476" s="732"/>
      <c r="BT476" s="733"/>
      <c r="BU476" s="732"/>
      <c r="BV476" s="732"/>
      <c r="BW476" s="732"/>
      <c r="BX476" s="732"/>
      <c r="BY476" s="732"/>
      <c r="BZ476" s="732"/>
      <c r="CA476" s="732"/>
      <c r="CB476" s="732"/>
      <c r="CC476" s="732"/>
      <c r="CD476" s="732"/>
      <c r="CE476" s="732"/>
      <c r="CF476" s="732"/>
      <c r="CG476" s="614"/>
    </row>
    <row r="477" spans="1:85" s="461" customFormat="1" ht="14.4" hidden="1" outlineLevel="1" x14ac:dyDescent="0.3">
      <c r="A477" s="166" t="s">
        <v>1248</v>
      </c>
      <c r="B477" s="583"/>
      <c r="C477" s="957"/>
      <c r="D477" s="957"/>
      <c r="E477" s="957"/>
      <c r="F477" s="957"/>
      <c r="G477" s="120"/>
      <c r="H477" s="120"/>
      <c r="I477" s="120"/>
      <c r="J477" s="120"/>
      <c r="K477" s="957"/>
      <c r="L477" s="120"/>
      <c r="M477" s="120"/>
      <c r="N477" s="120"/>
      <c r="O477" s="120"/>
      <c r="P477" s="957"/>
      <c r="Q477" s="120"/>
      <c r="R477" s="120"/>
      <c r="S477" s="120"/>
      <c r="T477" s="120"/>
      <c r="U477" s="957"/>
      <c r="V477" s="120"/>
      <c r="W477" s="120"/>
      <c r="X477" s="120"/>
      <c r="Y477" s="120"/>
      <c r="Z477" s="957"/>
      <c r="AA477" s="120"/>
      <c r="AB477" s="120"/>
      <c r="AC477" s="120"/>
      <c r="AD477" s="120"/>
      <c r="AE477" s="957"/>
      <c r="AF477" s="120"/>
      <c r="AG477" s="120"/>
      <c r="AH477" s="120"/>
      <c r="AI477" s="120"/>
      <c r="AJ477" s="957"/>
      <c r="AK477" s="120"/>
      <c r="AL477" s="120"/>
      <c r="AM477" s="120"/>
      <c r="AN477" s="120"/>
      <c r="AO477" s="983">
        <v>1874</v>
      </c>
      <c r="AP477" s="120"/>
      <c r="AQ477" s="120"/>
      <c r="AR477" s="120"/>
      <c r="AS477" s="120"/>
      <c r="AT477" s="983">
        <v>1928</v>
      </c>
      <c r="AU477" s="120"/>
      <c r="AV477" s="120"/>
      <c r="AW477" s="120"/>
      <c r="AX477" s="120"/>
      <c r="AY477" s="983">
        <v>1750</v>
      </c>
      <c r="AZ477" s="120"/>
      <c r="BA477" s="120"/>
      <c r="BB477" s="120"/>
      <c r="BC477" s="120"/>
      <c r="BD477" s="983">
        <v>2064</v>
      </c>
      <c r="BE477" s="120"/>
      <c r="BF477" s="120"/>
      <c r="BG477" s="120"/>
      <c r="BH477" s="120"/>
      <c r="BI477" s="983">
        <v>2073</v>
      </c>
      <c r="BJ477" s="120"/>
      <c r="BK477" s="120"/>
      <c r="BL477" s="120"/>
      <c r="BM477" s="120"/>
      <c r="BN477" s="983">
        <v>1942</v>
      </c>
      <c r="BO477" s="120"/>
      <c r="BP477" s="120"/>
      <c r="BQ477" s="120"/>
      <c r="BR477" s="120"/>
      <c r="BS477" s="983">
        <v>1846</v>
      </c>
      <c r="BT477" s="694"/>
      <c r="BU477" s="120"/>
      <c r="BV477" s="120"/>
      <c r="BW477" s="120"/>
      <c r="BX477" s="957"/>
      <c r="BY477" s="120"/>
      <c r="BZ477" s="120"/>
      <c r="CA477" s="120"/>
      <c r="CB477" s="120"/>
      <c r="CC477" s="957"/>
      <c r="CD477" s="957"/>
      <c r="CE477" s="957"/>
      <c r="CF477" s="957"/>
      <c r="CG477" s="615"/>
    </row>
    <row r="478" spans="1:85" s="460" customFormat="1" ht="14.4" hidden="1" outlineLevel="1" x14ac:dyDescent="0.3">
      <c r="A478" s="159" t="s">
        <v>1249</v>
      </c>
      <c r="B478" s="586"/>
      <c r="C478" s="150"/>
      <c r="D478" s="150"/>
      <c r="E478" s="150"/>
      <c r="F478" s="150"/>
      <c r="G478" s="117"/>
      <c r="H478" s="117"/>
      <c r="I478" s="117"/>
      <c r="J478" s="117"/>
      <c r="K478" s="150"/>
      <c r="L478" s="117"/>
      <c r="M478" s="117"/>
      <c r="N478" s="117"/>
      <c r="O478" s="117"/>
      <c r="P478" s="150"/>
      <c r="Q478" s="117"/>
      <c r="R478" s="117"/>
      <c r="S478" s="117"/>
      <c r="T478" s="117"/>
      <c r="U478" s="150"/>
      <c r="V478" s="117"/>
      <c r="W478" s="117"/>
      <c r="X478" s="117"/>
      <c r="Y478" s="117"/>
      <c r="Z478" s="150"/>
      <c r="AA478" s="117"/>
      <c r="AB478" s="117"/>
      <c r="AC478" s="117"/>
      <c r="AD478" s="117"/>
      <c r="AE478" s="150"/>
      <c r="AF478" s="117"/>
      <c r="AG478" s="117"/>
      <c r="AH478" s="117"/>
      <c r="AI478" s="117"/>
      <c r="AJ478" s="150"/>
      <c r="AK478" s="117"/>
      <c r="AL478" s="117"/>
      <c r="AM478" s="117"/>
      <c r="AN478" s="117"/>
      <c r="AO478" s="975">
        <v>-153</v>
      </c>
      <c r="AP478" s="117"/>
      <c r="AQ478" s="117"/>
      <c r="AR478" s="117"/>
      <c r="AS478" s="117"/>
      <c r="AT478" s="975">
        <v>-279</v>
      </c>
      <c r="AU478" s="117"/>
      <c r="AV478" s="117"/>
      <c r="AW478" s="117"/>
      <c r="AX478" s="117"/>
      <c r="AY478" s="975">
        <v>206</v>
      </c>
      <c r="AZ478" s="117"/>
      <c r="BA478" s="117"/>
      <c r="BB478" s="117"/>
      <c r="BC478" s="117"/>
      <c r="BD478" s="975">
        <v>-26</v>
      </c>
      <c r="BE478" s="117"/>
      <c r="BF478" s="117"/>
      <c r="BG478" s="117"/>
      <c r="BH478" s="117"/>
      <c r="BI478" s="975">
        <v>-257</v>
      </c>
      <c r="BJ478" s="117"/>
      <c r="BK478" s="117"/>
      <c r="BL478" s="117"/>
      <c r="BM478" s="117"/>
      <c r="BN478" s="975">
        <v>2</v>
      </c>
      <c r="BO478" s="117"/>
      <c r="BP478" s="117"/>
      <c r="BQ478" s="117"/>
      <c r="BR478" s="117"/>
      <c r="BS478" s="975">
        <v>1</v>
      </c>
      <c r="BT478" s="691"/>
      <c r="BU478" s="117"/>
      <c r="BV478" s="117"/>
      <c r="BW478" s="117"/>
      <c r="BX478" s="150"/>
      <c r="BY478" s="117"/>
      <c r="BZ478" s="117"/>
      <c r="CA478" s="117"/>
      <c r="CB478" s="117"/>
      <c r="CC478" s="150"/>
      <c r="CD478" s="150"/>
      <c r="CE478" s="150"/>
      <c r="CF478" s="150"/>
      <c r="CG478" s="587"/>
    </row>
    <row r="479" spans="1:85" s="460" customFormat="1" ht="14.4" hidden="1" outlineLevel="1" x14ac:dyDescent="0.3">
      <c r="A479" s="159" t="s">
        <v>1250</v>
      </c>
      <c r="B479" s="586"/>
      <c r="C479" s="150"/>
      <c r="D479" s="150"/>
      <c r="E479" s="150"/>
      <c r="F479" s="150"/>
      <c r="G479" s="117"/>
      <c r="H479" s="117"/>
      <c r="I479" s="117"/>
      <c r="J479" s="117"/>
      <c r="K479" s="150"/>
      <c r="L479" s="117"/>
      <c r="M479" s="117"/>
      <c r="N479" s="117"/>
      <c r="O479" s="117"/>
      <c r="P479" s="150"/>
      <c r="Q479" s="117"/>
      <c r="R479" s="117"/>
      <c r="S479" s="117"/>
      <c r="T479" s="117"/>
      <c r="U479" s="150"/>
      <c r="V479" s="117"/>
      <c r="W479" s="117"/>
      <c r="X479" s="117"/>
      <c r="Y479" s="117"/>
      <c r="Z479" s="150"/>
      <c r="AA479" s="117"/>
      <c r="AB479" s="117"/>
      <c r="AC479" s="117"/>
      <c r="AD479" s="117"/>
      <c r="AE479" s="150"/>
      <c r="AF479" s="117"/>
      <c r="AG479" s="117"/>
      <c r="AH479" s="117"/>
      <c r="AI479" s="117"/>
      <c r="AJ479" s="150"/>
      <c r="AK479" s="117"/>
      <c r="AL479" s="117"/>
      <c r="AM479" s="117"/>
      <c r="AN479" s="117"/>
      <c r="AO479" s="975">
        <v>7</v>
      </c>
      <c r="AP479" s="117"/>
      <c r="AQ479" s="117"/>
      <c r="AR479" s="117"/>
      <c r="AS479" s="117"/>
      <c r="AT479" s="975">
        <v>1</v>
      </c>
      <c r="AU479" s="117"/>
      <c r="AV479" s="117"/>
      <c r="AW479" s="117"/>
      <c r="AX479" s="117"/>
      <c r="AY479" s="975">
        <v>0</v>
      </c>
      <c r="AZ479" s="117"/>
      <c r="BA479" s="117"/>
      <c r="BB479" s="117"/>
      <c r="BC479" s="117"/>
      <c r="BD479" s="975">
        <v>2</v>
      </c>
      <c r="BE479" s="117"/>
      <c r="BF479" s="117"/>
      <c r="BG479" s="117"/>
      <c r="BH479" s="117"/>
      <c r="BI479" s="975">
        <v>9</v>
      </c>
      <c r="BJ479" s="117"/>
      <c r="BK479" s="117"/>
      <c r="BL479" s="117"/>
      <c r="BM479" s="117"/>
      <c r="BN479" s="975">
        <v>9</v>
      </c>
      <c r="BO479" s="117"/>
      <c r="BP479" s="117"/>
      <c r="BQ479" s="117"/>
      <c r="BR479" s="117"/>
      <c r="BS479" s="975">
        <v>0</v>
      </c>
      <c r="BT479" s="691"/>
      <c r="BU479" s="117"/>
      <c r="BV479" s="117"/>
      <c r="BW479" s="117"/>
      <c r="BX479" s="150"/>
      <c r="BY479" s="117"/>
      <c r="BZ479" s="117"/>
      <c r="CA479" s="117"/>
      <c r="CB479" s="117"/>
      <c r="CC479" s="150"/>
      <c r="CD479" s="150"/>
      <c r="CE479" s="150"/>
      <c r="CF479" s="150"/>
      <c r="CG479" s="587"/>
    </row>
    <row r="480" spans="1:85" s="460" customFormat="1" ht="14.4" hidden="1" outlineLevel="1" x14ac:dyDescent="0.3">
      <c r="A480" s="159" t="s">
        <v>1251</v>
      </c>
      <c r="B480" s="586"/>
      <c r="C480" s="150"/>
      <c r="D480" s="150"/>
      <c r="E480" s="150"/>
      <c r="F480" s="150"/>
      <c r="G480" s="117"/>
      <c r="H480" s="117"/>
      <c r="I480" s="117"/>
      <c r="J480" s="117"/>
      <c r="K480" s="150"/>
      <c r="L480" s="117"/>
      <c r="M480" s="117"/>
      <c r="N480" s="117"/>
      <c r="O480" s="117"/>
      <c r="P480" s="150"/>
      <c r="Q480" s="117"/>
      <c r="R480" s="117"/>
      <c r="S480" s="117"/>
      <c r="T480" s="117"/>
      <c r="U480" s="150"/>
      <c r="V480" s="117"/>
      <c r="W480" s="117"/>
      <c r="X480" s="117"/>
      <c r="Y480" s="117"/>
      <c r="Z480" s="150"/>
      <c r="AA480" s="117"/>
      <c r="AB480" s="117"/>
      <c r="AC480" s="117"/>
      <c r="AD480" s="117"/>
      <c r="AE480" s="150"/>
      <c r="AF480" s="117"/>
      <c r="AG480" s="117"/>
      <c r="AH480" s="117"/>
      <c r="AI480" s="117"/>
      <c r="AJ480" s="150"/>
      <c r="AK480" s="117"/>
      <c r="AL480" s="117"/>
      <c r="AM480" s="117"/>
      <c r="AN480" s="117"/>
      <c r="AO480" s="975">
        <v>394</v>
      </c>
      <c r="AP480" s="117"/>
      <c r="AQ480" s="117"/>
      <c r="AR480" s="117"/>
      <c r="AS480" s="117"/>
      <c r="AT480" s="975">
        <v>105</v>
      </c>
      <c r="AU480" s="117"/>
      <c r="AV480" s="117"/>
      <c r="AW480" s="117"/>
      <c r="AX480" s="117"/>
      <c r="AY480" s="975">
        <v>349</v>
      </c>
      <c r="AZ480" s="117"/>
      <c r="BA480" s="117"/>
      <c r="BB480" s="117"/>
      <c r="BC480" s="117"/>
      <c r="BD480" s="975">
        <v>264</v>
      </c>
      <c r="BE480" s="117"/>
      <c r="BF480" s="117"/>
      <c r="BG480" s="117"/>
      <c r="BH480" s="117"/>
      <c r="BI480" s="975">
        <v>170</v>
      </c>
      <c r="BJ480" s="117"/>
      <c r="BK480" s="117"/>
      <c r="BL480" s="117"/>
      <c r="BM480" s="117"/>
      <c r="BN480" s="975">
        <v>185</v>
      </c>
      <c r="BO480" s="117"/>
      <c r="BP480" s="117"/>
      <c r="BQ480" s="117"/>
      <c r="BR480" s="117"/>
      <c r="BS480" s="975">
        <v>148</v>
      </c>
      <c r="BT480" s="691"/>
      <c r="BU480" s="117"/>
      <c r="BV480" s="117"/>
      <c r="BW480" s="117"/>
      <c r="BX480" s="150"/>
      <c r="BY480" s="117"/>
      <c r="BZ480" s="117"/>
      <c r="CA480" s="117"/>
      <c r="CB480" s="117"/>
      <c r="CC480" s="150"/>
      <c r="CD480" s="150"/>
      <c r="CE480" s="150"/>
      <c r="CF480" s="150"/>
      <c r="CG480" s="587"/>
    </row>
    <row r="481" spans="1:85" s="460" customFormat="1" ht="14.4" hidden="1" outlineLevel="1" x14ac:dyDescent="0.3">
      <c r="A481" s="159" t="s">
        <v>1252</v>
      </c>
      <c r="B481" s="586"/>
      <c r="C481" s="150"/>
      <c r="D481" s="150"/>
      <c r="E481" s="150"/>
      <c r="F481" s="150"/>
      <c r="G481" s="117"/>
      <c r="H481" s="117"/>
      <c r="I481" s="117"/>
      <c r="J481" s="117"/>
      <c r="K481" s="150"/>
      <c r="L481" s="117"/>
      <c r="M481" s="117"/>
      <c r="N481" s="117"/>
      <c r="O481" s="117"/>
      <c r="P481" s="150"/>
      <c r="Q481" s="117"/>
      <c r="R481" s="117"/>
      <c r="S481" s="117"/>
      <c r="T481" s="117"/>
      <c r="U481" s="150"/>
      <c r="V481" s="117"/>
      <c r="W481" s="117"/>
      <c r="X481" s="117"/>
      <c r="Y481" s="117"/>
      <c r="Z481" s="150"/>
      <c r="AA481" s="117"/>
      <c r="AB481" s="117"/>
      <c r="AC481" s="117"/>
      <c r="AD481" s="117"/>
      <c r="AE481" s="150"/>
      <c r="AF481" s="117"/>
      <c r="AG481" s="117"/>
      <c r="AH481" s="117"/>
      <c r="AI481" s="117"/>
      <c r="AJ481" s="150"/>
      <c r="AK481" s="117"/>
      <c r="AL481" s="117"/>
      <c r="AM481" s="117"/>
      <c r="AN481" s="117"/>
      <c r="AO481" s="975">
        <v>19</v>
      </c>
      <c r="AP481" s="117"/>
      <c r="AQ481" s="117"/>
      <c r="AR481" s="117"/>
      <c r="AS481" s="117"/>
      <c r="AT481" s="975">
        <v>227</v>
      </c>
      <c r="AU481" s="117"/>
      <c r="AV481" s="117"/>
      <c r="AW481" s="117"/>
      <c r="AX481" s="117"/>
      <c r="AY481" s="975">
        <v>26</v>
      </c>
      <c r="AZ481" s="117"/>
      <c r="BA481" s="117"/>
      <c r="BB481" s="117"/>
      <c r="BC481" s="117"/>
      <c r="BD481" s="975">
        <v>22</v>
      </c>
      <c r="BE481" s="117"/>
      <c r="BF481" s="117"/>
      <c r="BG481" s="117"/>
      <c r="BH481" s="117"/>
      <c r="BI481" s="975">
        <v>207</v>
      </c>
      <c r="BJ481" s="117"/>
      <c r="BK481" s="117"/>
      <c r="BL481" s="117"/>
      <c r="BM481" s="117"/>
      <c r="BN481" s="975">
        <v>21</v>
      </c>
      <c r="BO481" s="117"/>
      <c r="BP481" s="117"/>
      <c r="BQ481" s="117"/>
      <c r="BR481" s="117"/>
      <c r="BS481" s="975">
        <v>392</v>
      </c>
      <c r="BT481" s="691"/>
      <c r="BU481" s="117"/>
      <c r="BV481" s="117"/>
      <c r="BW481" s="117"/>
      <c r="BX481" s="150"/>
      <c r="BY481" s="117"/>
      <c r="BZ481" s="117"/>
      <c r="CA481" s="117"/>
      <c r="CB481" s="117"/>
      <c r="CC481" s="150"/>
      <c r="CD481" s="150"/>
      <c r="CE481" s="150"/>
      <c r="CF481" s="150"/>
      <c r="CG481" s="587"/>
    </row>
    <row r="482" spans="1:85" s="460" customFormat="1" ht="14.4" hidden="1" outlineLevel="1" x14ac:dyDescent="0.3">
      <c r="A482" s="159" t="s">
        <v>1253</v>
      </c>
      <c r="B482" s="586"/>
      <c r="C482" s="150"/>
      <c r="D482" s="150"/>
      <c r="E482" s="150"/>
      <c r="F482" s="150"/>
      <c r="G482" s="117"/>
      <c r="H482" s="117"/>
      <c r="I482" s="117"/>
      <c r="J482" s="117"/>
      <c r="K482" s="150"/>
      <c r="L482" s="117"/>
      <c r="M482" s="117"/>
      <c r="N482" s="117"/>
      <c r="O482" s="117"/>
      <c r="P482" s="150"/>
      <c r="Q482" s="117"/>
      <c r="R482" s="117"/>
      <c r="S482" s="117"/>
      <c r="T482" s="117"/>
      <c r="U482" s="150"/>
      <c r="V482" s="117"/>
      <c r="W482" s="117"/>
      <c r="X482" s="117"/>
      <c r="Y482" s="117"/>
      <c r="Z482" s="150"/>
      <c r="AA482" s="117"/>
      <c r="AB482" s="117"/>
      <c r="AC482" s="117"/>
      <c r="AD482" s="117"/>
      <c r="AE482" s="150"/>
      <c r="AF482" s="117"/>
      <c r="AG482" s="117"/>
      <c r="AH482" s="117"/>
      <c r="AI482" s="117"/>
      <c r="AJ482" s="150"/>
      <c r="AK482" s="117"/>
      <c r="AL482" s="117"/>
      <c r="AM482" s="117"/>
      <c r="AN482" s="117"/>
      <c r="AO482" s="975">
        <v>0</v>
      </c>
      <c r="AP482" s="117"/>
      <c r="AQ482" s="117"/>
      <c r="AR482" s="117"/>
      <c r="AS482" s="117"/>
      <c r="AT482" s="975">
        <v>-11</v>
      </c>
      <c r="AU482" s="117"/>
      <c r="AV482" s="117"/>
      <c r="AW482" s="117"/>
      <c r="AX482" s="117"/>
      <c r="AY482" s="975">
        <v>-32</v>
      </c>
      <c r="AZ482" s="117"/>
      <c r="BA482" s="117"/>
      <c r="BB482" s="117"/>
      <c r="BC482" s="117"/>
      <c r="BD482" s="975">
        <v>-16</v>
      </c>
      <c r="BE482" s="117"/>
      <c r="BF482" s="117"/>
      <c r="BG482" s="117"/>
      <c r="BH482" s="117"/>
      <c r="BI482" s="975">
        <v>-1</v>
      </c>
      <c r="BJ482" s="117"/>
      <c r="BK482" s="117"/>
      <c r="BL482" s="117"/>
      <c r="BM482" s="117"/>
      <c r="BN482" s="975">
        <v>-27</v>
      </c>
      <c r="BO482" s="117"/>
      <c r="BP482" s="117"/>
      <c r="BQ482" s="117"/>
      <c r="BR482" s="117"/>
      <c r="BS482" s="975">
        <v>-1</v>
      </c>
      <c r="BT482" s="691"/>
      <c r="BU482" s="117"/>
      <c r="BV482" s="117"/>
      <c r="BW482" s="117"/>
      <c r="BX482" s="150"/>
      <c r="BY482" s="117"/>
      <c r="BZ482" s="117"/>
      <c r="CA482" s="117"/>
      <c r="CB482" s="117"/>
      <c r="CC482" s="150"/>
      <c r="CD482" s="150"/>
      <c r="CE482" s="150"/>
      <c r="CF482" s="150"/>
      <c r="CG482" s="587"/>
    </row>
    <row r="483" spans="1:85" s="460" customFormat="1" ht="14.4" hidden="1" outlineLevel="1" x14ac:dyDescent="0.3">
      <c r="A483" s="262" t="s">
        <v>1254</v>
      </c>
      <c r="B483" s="588"/>
      <c r="C483" s="954"/>
      <c r="D483" s="954"/>
      <c r="E483" s="954"/>
      <c r="F483" s="954"/>
      <c r="G483" s="133"/>
      <c r="H483" s="133"/>
      <c r="I483" s="133"/>
      <c r="J483" s="133"/>
      <c r="K483" s="954"/>
      <c r="L483" s="133"/>
      <c r="M483" s="133"/>
      <c r="N483" s="133"/>
      <c r="O483" s="133"/>
      <c r="P483" s="954"/>
      <c r="Q483" s="133"/>
      <c r="R483" s="133"/>
      <c r="S483" s="133"/>
      <c r="T483" s="133"/>
      <c r="U483" s="954"/>
      <c r="V483" s="133"/>
      <c r="W483" s="133"/>
      <c r="X483" s="133"/>
      <c r="Y483" s="133"/>
      <c r="Z483" s="954"/>
      <c r="AA483" s="133"/>
      <c r="AB483" s="133"/>
      <c r="AC483" s="133"/>
      <c r="AD483" s="133"/>
      <c r="AE483" s="954"/>
      <c r="AF483" s="133"/>
      <c r="AG483" s="133"/>
      <c r="AH483" s="133"/>
      <c r="AI483" s="133"/>
      <c r="AJ483" s="954"/>
      <c r="AK483" s="133"/>
      <c r="AL483" s="133"/>
      <c r="AM483" s="133"/>
      <c r="AN483" s="133"/>
      <c r="AO483" s="976">
        <v>-213</v>
      </c>
      <c r="AP483" s="133"/>
      <c r="AQ483" s="133"/>
      <c r="AR483" s="133"/>
      <c r="AS483" s="133"/>
      <c r="AT483" s="976">
        <v>-221</v>
      </c>
      <c r="AU483" s="133"/>
      <c r="AV483" s="133"/>
      <c r="AW483" s="133"/>
      <c r="AX483" s="133"/>
      <c r="AY483" s="976">
        <v>-235</v>
      </c>
      <c r="AZ483" s="133"/>
      <c r="BA483" s="133"/>
      <c r="BB483" s="133"/>
      <c r="BC483" s="133"/>
      <c r="BD483" s="976">
        <v>-237</v>
      </c>
      <c r="BE483" s="133"/>
      <c r="BF483" s="133"/>
      <c r="BG483" s="133"/>
      <c r="BH483" s="133"/>
      <c r="BI483" s="976">
        <v>-259</v>
      </c>
      <c r="BJ483" s="133"/>
      <c r="BK483" s="133"/>
      <c r="BL483" s="133"/>
      <c r="BM483" s="133"/>
      <c r="BN483" s="976">
        <v>-286</v>
      </c>
      <c r="BO483" s="133"/>
      <c r="BP483" s="133"/>
      <c r="BQ483" s="133"/>
      <c r="BR483" s="133"/>
      <c r="BS483" s="976">
        <v>-331</v>
      </c>
      <c r="BT483" s="692"/>
      <c r="BU483" s="133"/>
      <c r="BV483" s="133"/>
      <c r="BW483" s="133"/>
      <c r="BX483" s="954"/>
      <c r="BY483" s="133"/>
      <c r="BZ483" s="133"/>
      <c r="CA483" s="133"/>
      <c r="CB483" s="133"/>
      <c r="CC483" s="954"/>
      <c r="CD483" s="954"/>
      <c r="CE483" s="954"/>
      <c r="CF483" s="954"/>
      <c r="CG483" s="587"/>
    </row>
    <row r="484" spans="1:85" s="461" customFormat="1" ht="14.4" hidden="1" outlineLevel="1" x14ac:dyDescent="0.3">
      <c r="A484" s="166" t="s">
        <v>1255</v>
      </c>
      <c r="B484" s="583"/>
      <c r="C484" s="957"/>
      <c r="D484" s="957"/>
      <c r="E484" s="957"/>
      <c r="F484" s="957"/>
      <c r="G484" s="120"/>
      <c r="H484" s="120"/>
      <c r="I484" s="120"/>
      <c r="J484" s="120"/>
      <c r="K484" s="957"/>
      <c r="L484" s="120"/>
      <c r="M484" s="120"/>
      <c r="N484" s="120"/>
      <c r="O484" s="120"/>
      <c r="P484" s="957"/>
      <c r="Q484" s="120"/>
      <c r="R484" s="120"/>
      <c r="S484" s="120"/>
      <c r="T484" s="120"/>
      <c r="U484" s="957"/>
      <c r="V484" s="120"/>
      <c r="W484" s="120"/>
      <c r="X484" s="120"/>
      <c r="Y484" s="120"/>
      <c r="Z484" s="957"/>
      <c r="AA484" s="120"/>
      <c r="AB484" s="120"/>
      <c r="AC484" s="120"/>
      <c r="AD484" s="120"/>
      <c r="AE484" s="957"/>
      <c r="AF484" s="120"/>
      <c r="AG484" s="120"/>
      <c r="AH484" s="120"/>
      <c r="AI484" s="120"/>
      <c r="AJ484" s="957"/>
      <c r="AK484" s="120"/>
      <c r="AL484" s="120"/>
      <c r="AM484" s="120"/>
      <c r="AN484" s="120"/>
      <c r="AO484" s="957">
        <f>SUM(AO477:AO483)</f>
        <v>1928</v>
      </c>
      <c r="AP484" s="120"/>
      <c r="AQ484" s="120"/>
      <c r="AR484" s="120"/>
      <c r="AS484" s="120"/>
      <c r="AT484" s="957">
        <f>SUM(AT477:AT483)</f>
        <v>1750</v>
      </c>
      <c r="AU484" s="120"/>
      <c r="AV484" s="120"/>
      <c r="AW484" s="120"/>
      <c r="AX484" s="120"/>
      <c r="AY484" s="957">
        <f>SUM(AY477:AY483)</f>
        <v>2064</v>
      </c>
      <c r="AZ484" s="120"/>
      <c r="BA484" s="120"/>
      <c r="BB484" s="120"/>
      <c r="BC484" s="120"/>
      <c r="BD484" s="957">
        <f>SUM(BD477:BD483)</f>
        <v>2073</v>
      </c>
      <c r="BE484" s="120"/>
      <c r="BF484" s="120"/>
      <c r="BG484" s="120"/>
      <c r="BH484" s="120"/>
      <c r="BI484" s="957">
        <f>SUM(BI477:BI483)</f>
        <v>1942</v>
      </c>
      <c r="BJ484" s="120"/>
      <c r="BK484" s="120"/>
      <c r="BL484" s="120"/>
      <c r="BM484" s="120"/>
      <c r="BN484" s="957">
        <f>SUM(BN477:BN483)</f>
        <v>1846</v>
      </c>
      <c r="BO484" s="120"/>
      <c r="BP484" s="120"/>
      <c r="BQ484" s="120"/>
      <c r="BR484" s="120"/>
      <c r="BS484" s="957">
        <f>SUM(BS477:BS483)</f>
        <v>2055</v>
      </c>
      <c r="BT484" s="694"/>
      <c r="BU484" s="120"/>
      <c r="BV484" s="120"/>
      <c r="BW484" s="120"/>
      <c r="BX484" s="957"/>
      <c r="BY484" s="120"/>
      <c r="BZ484" s="120"/>
      <c r="CA484" s="120"/>
      <c r="CB484" s="120"/>
      <c r="CC484" s="957"/>
      <c r="CD484" s="957"/>
      <c r="CE484" s="957"/>
      <c r="CF484" s="957"/>
      <c r="CG484" s="615"/>
    </row>
    <row r="485" spans="1:85" s="461" customFormat="1" ht="14.4" hidden="1" outlineLevel="1" x14ac:dyDescent="0.3">
      <c r="A485" s="166" t="s">
        <v>1256</v>
      </c>
      <c r="B485" s="583"/>
      <c r="C485" s="957"/>
      <c r="D485" s="957"/>
      <c r="E485" s="957"/>
      <c r="F485" s="957"/>
      <c r="G485" s="120"/>
      <c r="H485" s="120"/>
      <c r="I485" s="120"/>
      <c r="J485" s="120"/>
      <c r="K485" s="957"/>
      <c r="L485" s="120"/>
      <c r="M485" s="120"/>
      <c r="N485" s="120"/>
      <c r="O485" s="120"/>
      <c r="P485" s="957"/>
      <c r="Q485" s="120"/>
      <c r="R485" s="120"/>
      <c r="S485" s="120"/>
      <c r="T485" s="120"/>
      <c r="U485" s="957"/>
      <c r="V485" s="120"/>
      <c r="W485" s="120"/>
      <c r="X485" s="120"/>
      <c r="Y485" s="120"/>
      <c r="Z485" s="957"/>
      <c r="AA485" s="120"/>
      <c r="AB485" s="120"/>
      <c r="AC485" s="120"/>
      <c r="AD485" s="120"/>
      <c r="AE485" s="957"/>
      <c r="AF485" s="120"/>
      <c r="AG485" s="120"/>
      <c r="AH485" s="120"/>
      <c r="AI485" s="120"/>
      <c r="AJ485" s="957"/>
      <c r="AK485" s="120"/>
      <c r="AL485" s="120"/>
      <c r="AM485" s="120"/>
      <c r="AN485" s="120"/>
      <c r="AO485" s="983">
        <v>341</v>
      </c>
      <c r="AP485" s="120"/>
      <c r="AQ485" s="120"/>
      <c r="AR485" s="120"/>
      <c r="AS485" s="120"/>
      <c r="AT485" s="983">
        <v>320</v>
      </c>
      <c r="AU485" s="120"/>
      <c r="AV485" s="120"/>
      <c r="AW485" s="120"/>
      <c r="AX485" s="120"/>
      <c r="AY485" s="983">
        <v>260</v>
      </c>
      <c r="AZ485" s="120"/>
      <c r="BA485" s="120"/>
      <c r="BB485" s="120"/>
      <c r="BC485" s="120"/>
      <c r="BD485" s="983">
        <v>288</v>
      </c>
      <c r="BE485" s="120"/>
      <c r="BF485" s="120"/>
      <c r="BG485" s="120"/>
      <c r="BH485" s="120"/>
      <c r="BI485" s="983">
        <v>295</v>
      </c>
      <c r="BJ485" s="120"/>
      <c r="BK485" s="120"/>
      <c r="BL485" s="120"/>
      <c r="BM485" s="120"/>
      <c r="BN485" s="983">
        <v>324</v>
      </c>
      <c r="BO485" s="120"/>
      <c r="BP485" s="120"/>
      <c r="BQ485" s="120"/>
      <c r="BR485" s="120"/>
      <c r="BS485" s="983">
        <v>287</v>
      </c>
      <c r="BT485" s="694"/>
      <c r="BU485" s="120"/>
      <c r="BV485" s="120"/>
      <c r="BW485" s="120"/>
      <c r="BX485" s="957"/>
      <c r="BY485" s="120"/>
      <c r="BZ485" s="120"/>
      <c r="CA485" s="120"/>
      <c r="CB485" s="120"/>
      <c r="CC485" s="957"/>
      <c r="CD485" s="957"/>
      <c r="CE485" s="957"/>
      <c r="CF485" s="957"/>
      <c r="CG485" s="615"/>
    </row>
    <row r="486" spans="1:85" s="460" customFormat="1" ht="14.4" hidden="1" outlineLevel="1" x14ac:dyDescent="0.3">
      <c r="A486" s="159" t="s">
        <v>1257</v>
      </c>
      <c r="B486" s="586"/>
      <c r="C486" s="150"/>
      <c r="D486" s="150"/>
      <c r="E486" s="150"/>
      <c r="F486" s="150"/>
      <c r="G486" s="117"/>
      <c r="H486" s="117"/>
      <c r="I486" s="117"/>
      <c r="J486" s="117"/>
      <c r="K486" s="150"/>
      <c r="L486" s="117"/>
      <c r="M486" s="117"/>
      <c r="N486" s="117"/>
      <c r="O486" s="117"/>
      <c r="P486" s="150"/>
      <c r="Q486" s="117"/>
      <c r="R486" s="117"/>
      <c r="S486" s="117"/>
      <c r="T486" s="117"/>
      <c r="U486" s="150"/>
      <c r="V486" s="117"/>
      <c r="W486" s="117"/>
      <c r="X486" s="117"/>
      <c r="Y486" s="117"/>
      <c r="Z486" s="150"/>
      <c r="AA486" s="117"/>
      <c r="AB486" s="117"/>
      <c r="AC486" s="117"/>
      <c r="AD486" s="117"/>
      <c r="AE486" s="150"/>
      <c r="AF486" s="117"/>
      <c r="AG486" s="117"/>
      <c r="AH486" s="117"/>
      <c r="AI486" s="117"/>
      <c r="AJ486" s="150"/>
      <c r="AK486" s="117"/>
      <c r="AL486" s="117"/>
      <c r="AM486" s="117"/>
      <c r="AN486" s="117"/>
      <c r="AO486" s="975">
        <v>-25</v>
      </c>
      <c r="AP486" s="117"/>
      <c r="AQ486" s="117"/>
      <c r="AR486" s="117"/>
      <c r="AS486" s="117"/>
      <c r="AT486" s="975">
        <v>-25</v>
      </c>
      <c r="AU486" s="117"/>
      <c r="AV486" s="117"/>
      <c r="AW486" s="117"/>
      <c r="AX486" s="117"/>
      <c r="AY486" s="975">
        <v>41</v>
      </c>
      <c r="AZ486" s="117"/>
      <c r="BA486" s="117"/>
      <c r="BB486" s="117"/>
      <c r="BC486" s="117"/>
      <c r="BD486" s="975">
        <v>-9</v>
      </c>
      <c r="BE486" s="117"/>
      <c r="BF486" s="117"/>
      <c r="BG486" s="117"/>
      <c r="BH486" s="117"/>
      <c r="BI486" s="975">
        <v>9</v>
      </c>
      <c r="BJ486" s="117"/>
      <c r="BK486" s="117"/>
      <c r="BL486" s="117"/>
      <c r="BM486" s="117"/>
      <c r="BN486" s="975">
        <v>-7</v>
      </c>
      <c r="BO486" s="117"/>
      <c r="BP486" s="117"/>
      <c r="BQ486" s="117"/>
      <c r="BR486" s="117"/>
      <c r="BS486" s="975">
        <v>-28</v>
      </c>
      <c r="BT486" s="691"/>
      <c r="BU486" s="117"/>
      <c r="BV486" s="117"/>
      <c r="BW486" s="117"/>
      <c r="BX486" s="150"/>
      <c r="BY486" s="117"/>
      <c r="BZ486" s="117"/>
      <c r="CA486" s="117"/>
      <c r="CB486" s="117"/>
      <c r="CC486" s="150"/>
      <c r="CD486" s="150"/>
      <c r="CE486" s="150"/>
      <c r="CF486" s="150"/>
      <c r="CG486" s="587"/>
    </row>
    <row r="487" spans="1:85" s="460" customFormat="1" ht="14.4" hidden="1" outlineLevel="1" x14ac:dyDescent="0.3">
      <c r="A487" s="159" t="s">
        <v>1258</v>
      </c>
      <c r="B487" s="586"/>
      <c r="C487" s="150"/>
      <c r="D487" s="150"/>
      <c r="E487" s="150"/>
      <c r="F487" s="150"/>
      <c r="G487" s="117"/>
      <c r="H487" s="117"/>
      <c r="I487" s="117"/>
      <c r="J487" s="117"/>
      <c r="K487" s="150"/>
      <c r="L487" s="117"/>
      <c r="M487" s="117"/>
      <c r="N487" s="117"/>
      <c r="O487" s="117"/>
      <c r="P487" s="150"/>
      <c r="Q487" s="117"/>
      <c r="R487" s="117"/>
      <c r="S487" s="117"/>
      <c r="T487" s="117"/>
      <c r="U487" s="150"/>
      <c r="V487" s="117"/>
      <c r="W487" s="117"/>
      <c r="X487" s="117"/>
      <c r="Y487" s="117"/>
      <c r="Z487" s="150"/>
      <c r="AA487" s="117"/>
      <c r="AB487" s="117"/>
      <c r="AC487" s="117"/>
      <c r="AD487" s="117"/>
      <c r="AE487" s="150"/>
      <c r="AF487" s="117"/>
      <c r="AG487" s="117"/>
      <c r="AH487" s="117"/>
      <c r="AI487" s="117"/>
      <c r="AJ487" s="150"/>
      <c r="AK487" s="117"/>
      <c r="AL487" s="117"/>
      <c r="AM487" s="117"/>
      <c r="AN487" s="117"/>
      <c r="AO487" s="975">
        <v>0</v>
      </c>
      <c r="AP487" s="117"/>
      <c r="AQ487" s="117"/>
      <c r="AR487" s="117"/>
      <c r="AS487" s="117"/>
      <c r="AT487" s="975">
        <v>1</v>
      </c>
      <c r="AU487" s="117"/>
      <c r="AV487" s="117"/>
      <c r="AW487" s="117"/>
      <c r="AX487" s="117"/>
      <c r="AY487" s="975">
        <v>9</v>
      </c>
      <c r="AZ487" s="117"/>
      <c r="BA487" s="117"/>
      <c r="BB487" s="117"/>
      <c r="BC487" s="117"/>
      <c r="BD487" s="975">
        <v>15</v>
      </c>
      <c r="BE487" s="117"/>
      <c r="BF487" s="117"/>
      <c r="BG487" s="117"/>
      <c r="BH487" s="117"/>
      <c r="BI487" s="975">
        <v>0</v>
      </c>
      <c r="BJ487" s="117"/>
      <c r="BK487" s="117"/>
      <c r="BL487" s="117"/>
      <c r="BM487" s="117"/>
      <c r="BN487" s="975">
        <v>1</v>
      </c>
      <c r="BO487" s="117"/>
      <c r="BP487" s="117"/>
      <c r="BQ487" s="117"/>
      <c r="BR487" s="117"/>
      <c r="BS487" s="975">
        <v>3</v>
      </c>
      <c r="BT487" s="691"/>
      <c r="BU487" s="117"/>
      <c r="BV487" s="117"/>
      <c r="BW487" s="117"/>
      <c r="BX487" s="150"/>
      <c r="BY487" s="117"/>
      <c r="BZ487" s="117"/>
      <c r="CA487" s="117"/>
      <c r="CB487" s="117"/>
      <c r="CC487" s="150"/>
      <c r="CD487" s="150"/>
      <c r="CE487" s="150"/>
      <c r="CF487" s="150"/>
      <c r="CG487" s="587"/>
    </row>
    <row r="488" spans="1:85" s="460" customFormat="1" ht="14.4" hidden="1" outlineLevel="1" x14ac:dyDescent="0.3">
      <c r="A488" s="159" t="s">
        <v>1259</v>
      </c>
      <c r="B488" s="586"/>
      <c r="C488" s="150"/>
      <c r="D488" s="150"/>
      <c r="E488" s="150"/>
      <c r="F488" s="150"/>
      <c r="G488" s="117"/>
      <c r="H488" s="117"/>
      <c r="I488" s="117"/>
      <c r="J488" s="117"/>
      <c r="K488" s="150"/>
      <c r="L488" s="117"/>
      <c r="M488" s="117"/>
      <c r="N488" s="117"/>
      <c r="O488" s="117"/>
      <c r="P488" s="150"/>
      <c r="Q488" s="117"/>
      <c r="R488" s="117"/>
      <c r="S488" s="117"/>
      <c r="T488" s="117"/>
      <c r="U488" s="150"/>
      <c r="V488" s="117"/>
      <c r="W488" s="117"/>
      <c r="X488" s="117"/>
      <c r="Y488" s="117"/>
      <c r="Z488" s="150"/>
      <c r="AA488" s="117"/>
      <c r="AB488" s="117"/>
      <c r="AC488" s="117"/>
      <c r="AD488" s="117"/>
      <c r="AE488" s="150"/>
      <c r="AF488" s="117"/>
      <c r="AG488" s="117"/>
      <c r="AH488" s="117"/>
      <c r="AI488" s="117"/>
      <c r="AJ488" s="150"/>
      <c r="AK488" s="117"/>
      <c r="AL488" s="117"/>
      <c r="AM488" s="117"/>
      <c r="AN488" s="117"/>
      <c r="AO488" s="975">
        <v>39</v>
      </c>
      <c r="AP488" s="117"/>
      <c r="AQ488" s="117"/>
      <c r="AR488" s="117"/>
      <c r="AS488" s="117"/>
      <c r="AT488" s="975">
        <v>3</v>
      </c>
      <c r="AU488" s="117"/>
      <c r="AV488" s="117"/>
      <c r="AW488" s="117"/>
      <c r="AX488" s="117"/>
      <c r="AY488" s="975">
        <v>16</v>
      </c>
      <c r="AZ488" s="117"/>
      <c r="BA488" s="117"/>
      <c r="BB488" s="117"/>
      <c r="BC488" s="117"/>
      <c r="BD488" s="975">
        <v>32</v>
      </c>
      <c r="BE488" s="117"/>
      <c r="BF488" s="117"/>
      <c r="BG488" s="117"/>
      <c r="BH488" s="117"/>
      <c r="BI488" s="975">
        <v>55</v>
      </c>
      <c r="BJ488" s="117"/>
      <c r="BK488" s="117"/>
      <c r="BL488" s="117"/>
      <c r="BM488" s="117"/>
      <c r="BN488" s="975">
        <v>52</v>
      </c>
      <c r="BO488" s="117"/>
      <c r="BP488" s="117"/>
      <c r="BQ488" s="117"/>
      <c r="BR488" s="117"/>
      <c r="BS488" s="975">
        <v>89</v>
      </c>
      <c r="BT488" s="691"/>
      <c r="BU488" s="117"/>
      <c r="BV488" s="117"/>
      <c r="BW488" s="117"/>
      <c r="BX488" s="150"/>
      <c r="BY488" s="117"/>
      <c r="BZ488" s="117"/>
      <c r="CA488" s="117"/>
      <c r="CB488" s="117"/>
      <c r="CC488" s="150"/>
      <c r="CD488" s="150"/>
      <c r="CE488" s="150"/>
      <c r="CF488" s="150"/>
      <c r="CG488" s="587"/>
    </row>
    <row r="489" spans="1:85" s="460" customFormat="1" ht="14.4" hidden="1" outlineLevel="1" x14ac:dyDescent="0.3">
      <c r="A489" s="159" t="s">
        <v>1260</v>
      </c>
      <c r="B489" s="586"/>
      <c r="C489" s="150"/>
      <c r="D489" s="150"/>
      <c r="E489" s="150"/>
      <c r="F489" s="150"/>
      <c r="G489" s="117"/>
      <c r="H489" s="117"/>
      <c r="I489" s="117"/>
      <c r="J489" s="117"/>
      <c r="K489" s="150"/>
      <c r="L489" s="117"/>
      <c r="M489" s="117"/>
      <c r="N489" s="117"/>
      <c r="O489" s="117"/>
      <c r="P489" s="150"/>
      <c r="Q489" s="117"/>
      <c r="R489" s="117"/>
      <c r="S489" s="117"/>
      <c r="T489" s="117"/>
      <c r="U489" s="150"/>
      <c r="V489" s="117"/>
      <c r="W489" s="117"/>
      <c r="X489" s="117"/>
      <c r="Y489" s="117"/>
      <c r="Z489" s="150"/>
      <c r="AA489" s="117"/>
      <c r="AB489" s="117"/>
      <c r="AC489" s="117"/>
      <c r="AD489" s="117"/>
      <c r="AE489" s="150"/>
      <c r="AF489" s="117"/>
      <c r="AG489" s="117"/>
      <c r="AH489" s="117"/>
      <c r="AI489" s="117"/>
      <c r="AJ489" s="150"/>
      <c r="AK489" s="117"/>
      <c r="AL489" s="117"/>
      <c r="AM489" s="117"/>
      <c r="AN489" s="117"/>
      <c r="AO489" s="975">
        <v>2</v>
      </c>
      <c r="AP489" s="117"/>
      <c r="AQ489" s="117"/>
      <c r="AR489" s="117"/>
      <c r="AS489" s="117"/>
      <c r="AT489" s="975">
        <v>0</v>
      </c>
      <c r="AU489" s="117"/>
      <c r="AV489" s="117"/>
      <c r="AW489" s="117"/>
      <c r="AX489" s="117"/>
      <c r="AY489" s="975">
        <v>0</v>
      </c>
      <c r="AZ489" s="117"/>
      <c r="BA489" s="117"/>
      <c r="BB489" s="117"/>
      <c r="BC489" s="117"/>
      <c r="BD489" s="975">
        <v>5</v>
      </c>
      <c r="BE489" s="117"/>
      <c r="BF489" s="117"/>
      <c r="BG489" s="117"/>
      <c r="BH489" s="117"/>
      <c r="BI489" s="975">
        <v>0</v>
      </c>
      <c r="BJ489" s="117"/>
      <c r="BK489" s="117"/>
      <c r="BL489" s="117"/>
      <c r="BM489" s="117"/>
      <c r="BN489" s="975">
        <v>0</v>
      </c>
      <c r="BO489" s="117"/>
      <c r="BP489" s="117"/>
      <c r="BQ489" s="117"/>
      <c r="BR489" s="117"/>
      <c r="BS489" s="975">
        <v>473</v>
      </c>
      <c r="BT489" s="691"/>
      <c r="BU489" s="117"/>
      <c r="BV489" s="117"/>
      <c r="BW489" s="117"/>
      <c r="BX489" s="150"/>
      <c r="BY489" s="117"/>
      <c r="BZ489" s="117"/>
      <c r="CA489" s="117"/>
      <c r="CB489" s="117"/>
      <c r="CC489" s="150"/>
      <c r="CD489" s="150"/>
      <c r="CE489" s="150"/>
      <c r="CF489" s="150"/>
      <c r="CG489" s="587"/>
    </row>
    <row r="490" spans="1:85" s="460" customFormat="1" ht="14.4" hidden="1" outlineLevel="1" x14ac:dyDescent="0.3">
      <c r="A490" s="159" t="s">
        <v>1261</v>
      </c>
      <c r="B490" s="586"/>
      <c r="C490" s="150"/>
      <c r="D490" s="150"/>
      <c r="E490" s="150"/>
      <c r="F490" s="150"/>
      <c r="G490" s="117"/>
      <c r="H490" s="117"/>
      <c r="I490" s="117"/>
      <c r="J490" s="117"/>
      <c r="K490" s="150"/>
      <c r="L490" s="117"/>
      <c r="M490" s="117"/>
      <c r="N490" s="117"/>
      <c r="O490" s="117"/>
      <c r="P490" s="150"/>
      <c r="Q490" s="117"/>
      <c r="R490" s="117"/>
      <c r="S490" s="117"/>
      <c r="T490" s="117"/>
      <c r="U490" s="150"/>
      <c r="V490" s="117"/>
      <c r="W490" s="117"/>
      <c r="X490" s="117"/>
      <c r="Y490" s="117"/>
      <c r="Z490" s="150"/>
      <c r="AA490" s="117"/>
      <c r="AB490" s="117"/>
      <c r="AC490" s="117"/>
      <c r="AD490" s="117"/>
      <c r="AE490" s="150"/>
      <c r="AF490" s="117"/>
      <c r="AG490" s="117"/>
      <c r="AH490" s="117"/>
      <c r="AI490" s="117"/>
      <c r="AJ490" s="150"/>
      <c r="AK490" s="117"/>
      <c r="AL490" s="117"/>
      <c r="AM490" s="117"/>
      <c r="AN490" s="117"/>
      <c r="AO490" s="975">
        <v>-4</v>
      </c>
      <c r="AP490" s="117"/>
      <c r="AQ490" s="117"/>
      <c r="AR490" s="117"/>
      <c r="AS490" s="117"/>
      <c r="AT490" s="975">
        <v>0</v>
      </c>
      <c r="AU490" s="117"/>
      <c r="AV490" s="117"/>
      <c r="AW490" s="117"/>
      <c r="AX490" s="117"/>
      <c r="AY490" s="975">
        <v>0</v>
      </c>
      <c r="AZ490" s="117"/>
      <c r="BA490" s="117"/>
      <c r="BB490" s="117"/>
      <c r="BC490" s="117"/>
      <c r="BD490" s="975">
        <v>0</v>
      </c>
      <c r="BE490" s="117"/>
      <c r="BF490" s="117"/>
      <c r="BG490" s="117"/>
      <c r="BH490" s="117"/>
      <c r="BI490" s="975">
        <v>0</v>
      </c>
      <c r="BJ490" s="117"/>
      <c r="BK490" s="117"/>
      <c r="BL490" s="117"/>
      <c r="BM490" s="117"/>
      <c r="BN490" s="975">
        <v>-46</v>
      </c>
      <c r="BO490" s="117"/>
      <c r="BP490" s="117"/>
      <c r="BQ490" s="117"/>
      <c r="BR490" s="117"/>
      <c r="BS490" s="975">
        <v>0</v>
      </c>
      <c r="BT490" s="691"/>
      <c r="BU490" s="117"/>
      <c r="BV490" s="117"/>
      <c r="BW490" s="117"/>
      <c r="BX490" s="150"/>
      <c r="BY490" s="117"/>
      <c r="BZ490" s="117"/>
      <c r="CA490" s="117"/>
      <c r="CB490" s="117"/>
      <c r="CC490" s="150"/>
      <c r="CD490" s="150"/>
      <c r="CE490" s="150"/>
      <c r="CF490" s="150"/>
      <c r="CG490" s="587"/>
    </row>
    <row r="491" spans="1:85" s="460" customFormat="1" ht="14.4" hidden="1" outlineLevel="1" x14ac:dyDescent="0.3">
      <c r="A491" s="262" t="s">
        <v>1262</v>
      </c>
      <c r="B491" s="588"/>
      <c r="C491" s="954"/>
      <c r="D491" s="954"/>
      <c r="E491" s="954"/>
      <c r="F491" s="954"/>
      <c r="G491" s="133"/>
      <c r="H491" s="133"/>
      <c r="I491" s="133"/>
      <c r="J491" s="133"/>
      <c r="K491" s="954"/>
      <c r="L491" s="133"/>
      <c r="M491" s="133"/>
      <c r="N491" s="133"/>
      <c r="O491" s="133"/>
      <c r="P491" s="954"/>
      <c r="Q491" s="133"/>
      <c r="R491" s="133"/>
      <c r="S491" s="133"/>
      <c r="T491" s="133"/>
      <c r="U491" s="954"/>
      <c r="V491" s="133"/>
      <c r="W491" s="133"/>
      <c r="X491" s="133"/>
      <c r="Y491" s="133"/>
      <c r="Z491" s="954"/>
      <c r="AA491" s="133"/>
      <c r="AB491" s="133"/>
      <c r="AC491" s="133"/>
      <c r="AD491" s="133"/>
      <c r="AE491" s="954"/>
      <c r="AF491" s="133"/>
      <c r="AG491" s="133"/>
      <c r="AH491" s="133"/>
      <c r="AI491" s="133"/>
      <c r="AJ491" s="954"/>
      <c r="AK491" s="133"/>
      <c r="AL491" s="133"/>
      <c r="AM491" s="133"/>
      <c r="AN491" s="133"/>
      <c r="AO491" s="976">
        <v>-33</v>
      </c>
      <c r="AP491" s="133"/>
      <c r="AQ491" s="133"/>
      <c r="AR491" s="133"/>
      <c r="AS491" s="133"/>
      <c r="AT491" s="976">
        <v>-39</v>
      </c>
      <c r="AU491" s="133"/>
      <c r="AV491" s="133"/>
      <c r="AW491" s="133"/>
      <c r="AX491" s="133"/>
      <c r="AY491" s="976">
        <v>-38</v>
      </c>
      <c r="AZ491" s="133"/>
      <c r="BA491" s="133"/>
      <c r="BB491" s="133"/>
      <c r="BC491" s="133"/>
      <c r="BD491" s="976">
        <v>-36</v>
      </c>
      <c r="BE491" s="133"/>
      <c r="BF491" s="133"/>
      <c r="BG491" s="133"/>
      <c r="BH491" s="133"/>
      <c r="BI491" s="976">
        <v>-35</v>
      </c>
      <c r="BJ491" s="133"/>
      <c r="BK491" s="133"/>
      <c r="BL491" s="133"/>
      <c r="BM491" s="133"/>
      <c r="BN491" s="976">
        <v>-37</v>
      </c>
      <c r="BO491" s="133"/>
      <c r="BP491" s="133"/>
      <c r="BQ491" s="133"/>
      <c r="BR491" s="133"/>
      <c r="BS491" s="976">
        <v>-79</v>
      </c>
      <c r="BT491" s="692"/>
      <c r="BU491" s="133"/>
      <c r="BV491" s="133"/>
      <c r="BW491" s="133"/>
      <c r="BX491" s="954"/>
      <c r="BY491" s="133"/>
      <c r="BZ491" s="133"/>
      <c r="CA491" s="133"/>
      <c r="CB491" s="133"/>
      <c r="CC491" s="954"/>
      <c r="CD491" s="954"/>
      <c r="CE491" s="954"/>
      <c r="CF491" s="954"/>
      <c r="CG491" s="587"/>
    </row>
    <row r="492" spans="1:85" s="461" customFormat="1" ht="14.4" hidden="1" outlineLevel="1" x14ac:dyDescent="0.3">
      <c r="A492" s="166" t="s">
        <v>1263</v>
      </c>
      <c r="B492" s="583"/>
      <c r="C492" s="957"/>
      <c r="D492" s="957"/>
      <c r="E492" s="957"/>
      <c r="F492" s="957"/>
      <c r="G492" s="120"/>
      <c r="H492" s="120"/>
      <c r="I492" s="120"/>
      <c r="J492" s="120"/>
      <c r="K492" s="957"/>
      <c r="L492" s="120"/>
      <c r="M492" s="120"/>
      <c r="N492" s="120"/>
      <c r="O492" s="120"/>
      <c r="P492" s="957"/>
      <c r="Q492" s="120"/>
      <c r="R492" s="120"/>
      <c r="S492" s="120"/>
      <c r="T492" s="120"/>
      <c r="U492" s="957"/>
      <c r="V492" s="120"/>
      <c r="W492" s="120"/>
      <c r="X492" s="120"/>
      <c r="Y492" s="120"/>
      <c r="Z492" s="957"/>
      <c r="AA492" s="120"/>
      <c r="AB492" s="120"/>
      <c r="AC492" s="120"/>
      <c r="AD492" s="120"/>
      <c r="AE492" s="957"/>
      <c r="AF492" s="120"/>
      <c r="AG492" s="120"/>
      <c r="AH492" s="120"/>
      <c r="AI492" s="120"/>
      <c r="AJ492" s="957"/>
      <c r="AK492" s="120"/>
      <c r="AL492" s="120"/>
      <c r="AM492" s="120"/>
      <c r="AN492" s="120"/>
      <c r="AO492" s="957">
        <f>SUM(AO485:AO491)</f>
        <v>320</v>
      </c>
      <c r="AP492" s="120"/>
      <c r="AQ492" s="120"/>
      <c r="AR492" s="120"/>
      <c r="AS492" s="120"/>
      <c r="AT492" s="957">
        <f>SUM(AT485:AT491)</f>
        <v>260</v>
      </c>
      <c r="AU492" s="120"/>
      <c r="AV492" s="120"/>
      <c r="AW492" s="120"/>
      <c r="AX492" s="120"/>
      <c r="AY492" s="957">
        <f>SUM(AY485:AY491)</f>
        <v>288</v>
      </c>
      <c r="AZ492" s="120"/>
      <c r="BA492" s="120"/>
      <c r="BB492" s="120"/>
      <c r="BC492" s="120"/>
      <c r="BD492" s="957">
        <f>SUM(BD485:BD491)</f>
        <v>295</v>
      </c>
      <c r="BE492" s="120"/>
      <c r="BF492" s="120"/>
      <c r="BG492" s="120"/>
      <c r="BH492" s="120"/>
      <c r="BI492" s="957">
        <f>SUM(BI485:BI491)</f>
        <v>324</v>
      </c>
      <c r="BJ492" s="120"/>
      <c r="BK492" s="120"/>
      <c r="BL492" s="120"/>
      <c r="BM492" s="120"/>
      <c r="BN492" s="957">
        <f>SUM(BN485:BN491)</f>
        <v>287</v>
      </c>
      <c r="BO492" s="120"/>
      <c r="BP492" s="120"/>
      <c r="BQ492" s="120"/>
      <c r="BR492" s="120"/>
      <c r="BS492" s="957">
        <f>SUM(BS485:BS491)</f>
        <v>745</v>
      </c>
      <c r="BT492" s="694"/>
      <c r="BU492" s="120"/>
      <c r="BV492" s="120"/>
      <c r="BW492" s="120"/>
      <c r="BX492" s="957"/>
      <c r="BY492" s="120"/>
      <c r="BZ492" s="120"/>
      <c r="CA492" s="120"/>
      <c r="CB492" s="120"/>
      <c r="CC492" s="957"/>
      <c r="CD492" s="957"/>
      <c r="CE492" s="957"/>
      <c r="CF492" s="957"/>
      <c r="CG492" s="615"/>
    </row>
    <row r="493" spans="1:85" s="461" customFormat="1" ht="14.4" hidden="1" outlineLevel="1" x14ac:dyDescent="0.3">
      <c r="A493" s="166" t="s">
        <v>1264</v>
      </c>
      <c r="B493" s="583"/>
      <c r="C493" s="957"/>
      <c r="D493" s="957"/>
      <c r="E493" s="957"/>
      <c r="F493" s="957"/>
      <c r="G493" s="120"/>
      <c r="H493" s="120"/>
      <c r="I493" s="120"/>
      <c r="J493" s="120"/>
      <c r="K493" s="957"/>
      <c r="L493" s="120"/>
      <c r="M493" s="120"/>
      <c r="N493" s="120"/>
      <c r="O493" s="120"/>
      <c r="P493" s="957"/>
      <c r="Q493" s="120"/>
      <c r="R493" s="120"/>
      <c r="S493" s="120"/>
      <c r="T493" s="120"/>
      <c r="U493" s="957"/>
      <c r="V493" s="120"/>
      <c r="W493" s="120"/>
      <c r="X493" s="120"/>
      <c r="Y493" s="120"/>
      <c r="Z493" s="957"/>
      <c r="AA493" s="120"/>
      <c r="AB493" s="120"/>
      <c r="AC493" s="120"/>
      <c r="AD493" s="120"/>
      <c r="AE493" s="957"/>
      <c r="AF493" s="120"/>
      <c r="AG493" s="120"/>
      <c r="AH493" s="120"/>
      <c r="AI493" s="120"/>
      <c r="AJ493" s="957"/>
      <c r="AK493" s="120"/>
      <c r="AL493" s="120"/>
      <c r="AM493" s="120"/>
      <c r="AN493" s="120"/>
      <c r="AO493" s="983">
        <v>678</v>
      </c>
      <c r="AP493" s="120"/>
      <c r="AQ493" s="120"/>
      <c r="AR493" s="120"/>
      <c r="AS493" s="120"/>
      <c r="AT493" s="983">
        <v>613</v>
      </c>
      <c r="AU493" s="120"/>
      <c r="AV493" s="120"/>
      <c r="AW493" s="120"/>
      <c r="AX493" s="120"/>
      <c r="AY493" s="983">
        <v>554</v>
      </c>
      <c r="AZ493" s="120"/>
      <c r="BA493" s="120"/>
      <c r="BB493" s="120"/>
      <c r="BC493" s="120"/>
      <c r="BD493" s="983">
        <v>480</v>
      </c>
      <c r="BE493" s="120"/>
      <c r="BF493" s="120"/>
      <c r="BG493" s="120"/>
      <c r="BH493" s="120"/>
      <c r="BI493" s="983">
        <v>454</v>
      </c>
      <c r="BJ493" s="120"/>
      <c r="BK493" s="120"/>
      <c r="BL493" s="120"/>
      <c r="BM493" s="120"/>
      <c r="BN493" s="983">
        <v>445</v>
      </c>
      <c r="BO493" s="120"/>
      <c r="BP493" s="120"/>
      <c r="BQ493" s="120"/>
      <c r="BR493" s="120"/>
      <c r="BS493" s="983">
        <v>455</v>
      </c>
      <c r="BT493" s="694"/>
      <c r="BU493" s="120"/>
      <c r="BV493" s="120"/>
      <c r="BW493" s="120"/>
      <c r="BX493" s="957"/>
      <c r="BY493" s="120"/>
      <c r="BZ493" s="120"/>
      <c r="CA493" s="120"/>
      <c r="CB493" s="120"/>
      <c r="CC493" s="957"/>
      <c r="CD493" s="957"/>
      <c r="CE493" s="957"/>
      <c r="CF493" s="957"/>
      <c r="CG493" s="615"/>
    </row>
    <row r="494" spans="1:85" s="460" customFormat="1" ht="14.4" hidden="1" outlineLevel="1" x14ac:dyDescent="0.3">
      <c r="A494" s="159" t="s">
        <v>1265</v>
      </c>
      <c r="B494" s="586"/>
      <c r="C494" s="150"/>
      <c r="D494" s="150"/>
      <c r="E494" s="150"/>
      <c r="F494" s="150"/>
      <c r="G494" s="117"/>
      <c r="H494" s="117"/>
      <c r="I494" s="117"/>
      <c r="J494" s="117"/>
      <c r="K494" s="150"/>
      <c r="L494" s="117"/>
      <c r="M494" s="117"/>
      <c r="N494" s="117"/>
      <c r="O494" s="117"/>
      <c r="P494" s="150"/>
      <c r="Q494" s="117"/>
      <c r="R494" s="117"/>
      <c r="S494" s="117"/>
      <c r="T494" s="117"/>
      <c r="U494" s="150"/>
      <c r="V494" s="117"/>
      <c r="W494" s="117"/>
      <c r="X494" s="117"/>
      <c r="Y494" s="117"/>
      <c r="Z494" s="150"/>
      <c r="AA494" s="117"/>
      <c r="AB494" s="117"/>
      <c r="AC494" s="117"/>
      <c r="AD494" s="117"/>
      <c r="AE494" s="150"/>
      <c r="AF494" s="117"/>
      <c r="AG494" s="117"/>
      <c r="AH494" s="117"/>
      <c r="AI494" s="117"/>
      <c r="AJ494" s="150"/>
      <c r="AK494" s="117"/>
      <c r="AL494" s="117"/>
      <c r="AM494" s="117"/>
      <c r="AN494" s="117"/>
      <c r="AO494" s="975">
        <v>42</v>
      </c>
      <c r="AP494" s="117"/>
      <c r="AQ494" s="117"/>
      <c r="AR494" s="117"/>
      <c r="AS494" s="117"/>
      <c r="AT494" s="975">
        <v>11</v>
      </c>
      <c r="AU494" s="117"/>
      <c r="AV494" s="117"/>
      <c r="AW494" s="117"/>
      <c r="AX494" s="117"/>
      <c r="AY494" s="975">
        <v>10</v>
      </c>
      <c r="AZ494" s="117"/>
      <c r="BA494" s="117"/>
      <c r="BB494" s="117"/>
      <c r="BC494" s="117"/>
      <c r="BD494" s="975">
        <v>4</v>
      </c>
      <c r="BE494" s="117"/>
      <c r="BF494" s="117"/>
      <c r="BG494" s="117"/>
      <c r="BH494" s="117"/>
      <c r="BI494" s="975">
        <v>37</v>
      </c>
      <c r="BJ494" s="117"/>
      <c r="BK494" s="117"/>
      <c r="BL494" s="117"/>
      <c r="BM494" s="117"/>
      <c r="BN494" s="975">
        <v>21</v>
      </c>
      <c r="BO494" s="117"/>
      <c r="BP494" s="117"/>
      <c r="BQ494" s="117"/>
      <c r="BR494" s="117"/>
      <c r="BS494" s="975">
        <v>3</v>
      </c>
      <c r="BT494" s="691"/>
      <c r="BU494" s="117"/>
      <c r="BV494" s="117"/>
      <c r="BW494" s="117"/>
      <c r="BX494" s="150"/>
      <c r="BY494" s="117"/>
      <c r="BZ494" s="117"/>
      <c r="CA494" s="117"/>
      <c r="CB494" s="117"/>
      <c r="CC494" s="150"/>
      <c r="CD494" s="150"/>
      <c r="CE494" s="150"/>
      <c r="CF494" s="150"/>
      <c r="CG494" s="587"/>
    </row>
    <row r="495" spans="1:85" s="460" customFormat="1" ht="14.4" hidden="1" outlineLevel="1" x14ac:dyDescent="0.3">
      <c r="A495" s="159" t="s">
        <v>1266</v>
      </c>
      <c r="B495" s="586"/>
      <c r="C495" s="150"/>
      <c r="D495" s="150"/>
      <c r="E495" s="150"/>
      <c r="F495" s="150"/>
      <c r="G495" s="117"/>
      <c r="H495" s="117"/>
      <c r="I495" s="117"/>
      <c r="J495" s="117"/>
      <c r="K495" s="150"/>
      <c r="L495" s="117"/>
      <c r="M495" s="117"/>
      <c r="N495" s="117"/>
      <c r="O495" s="117"/>
      <c r="P495" s="150"/>
      <c r="Q495" s="117"/>
      <c r="R495" s="117"/>
      <c r="S495" s="117"/>
      <c r="T495" s="117"/>
      <c r="U495" s="150"/>
      <c r="V495" s="117"/>
      <c r="W495" s="117"/>
      <c r="X495" s="117"/>
      <c r="Y495" s="117"/>
      <c r="Z495" s="150"/>
      <c r="AA495" s="117"/>
      <c r="AB495" s="117"/>
      <c r="AC495" s="117"/>
      <c r="AD495" s="117"/>
      <c r="AE495" s="150"/>
      <c r="AF495" s="117"/>
      <c r="AG495" s="117"/>
      <c r="AH495" s="117"/>
      <c r="AI495" s="117"/>
      <c r="AJ495" s="150"/>
      <c r="AK495" s="117"/>
      <c r="AL495" s="117"/>
      <c r="AM495" s="117"/>
      <c r="AN495" s="117"/>
      <c r="AO495" s="975">
        <v>0</v>
      </c>
      <c r="AP495" s="117"/>
      <c r="AQ495" s="117"/>
      <c r="AR495" s="117"/>
      <c r="AS495" s="117"/>
      <c r="AT495" s="975">
        <v>0</v>
      </c>
      <c r="AU495" s="117"/>
      <c r="AV495" s="117"/>
      <c r="AW495" s="117"/>
      <c r="AX495" s="117"/>
      <c r="AY495" s="975">
        <v>0</v>
      </c>
      <c r="AZ495" s="117"/>
      <c r="BA495" s="117"/>
      <c r="BB495" s="117"/>
      <c r="BC495" s="117"/>
      <c r="BD495" s="975">
        <v>4</v>
      </c>
      <c r="BE495" s="117"/>
      <c r="BF495" s="117"/>
      <c r="BG495" s="117"/>
      <c r="BH495" s="117"/>
      <c r="BI495" s="975">
        <v>2</v>
      </c>
      <c r="BJ495" s="117"/>
      <c r="BK495" s="117"/>
      <c r="BL495" s="117"/>
      <c r="BM495" s="117"/>
      <c r="BN495" s="975">
        <v>1</v>
      </c>
      <c r="BO495" s="117"/>
      <c r="BP495" s="117"/>
      <c r="BQ495" s="117"/>
      <c r="BR495" s="117"/>
      <c r="BS495" s="975">
        <v>0</v>
      </c>
      <c r="BT495" s="691"/>
      <c r="BU495" s="117"/>
      <c r="BV495" s="117"/>
      <c r="BW495" s="117"/>
      <c r="BX495" s="150"/>
      <c r="BY495" s="117"/>
      <c r="BZ495" s="117"/>
      <c r="CA495" s="117"/>
      <c r="CB495" s="117"/>
      <c r="CC495" s="150"/>
      <c r="CD495" s="150"/>
      <c r="CE495" s="150"/>
      <c r="CF495" s="150"/>
      <c r="CG495" s="587"/>
    </row>
    <row r="496" spans="1:85" s="460" customFormat="1" ht="14.4" hidden="1" outlineLevel="1" x14ac:dyDescent="0.3">
      <c r="A496" s="159" t="s">
        <v>1267</v>
      </c>
      <c r="B496" s="586"/>
      <c r="C496" s="150"/>
      <c r="D496" s="150"/>
      <c r="E496" s="150"/>
      <c r="F496" s="150"/>
      <c r="G496" s="117"/>
      <c r="H496" s="117"/>
      <c r="I496" s="117"/>
      <c r="J496" s="117"/>
      <c r="K496" s="150"/>
      <c r="L496" s="117"/>
      <c r="M496" s="117"/>
      <c r="N496" s="117"/>
      <c r="O496" s="117"/>
      <c r="P496" s="150"/>
      <c r="Q496" s="117"/>
      <c r="R496" s="117"/>
      <c r="S496" s="117"/>
      <c r="T496" s="117"/>
      <c r="U496" s="150"/>
      <c r="V496" s="117"/>
      <c r="W496" s="117"/>
      <c r="X496" s="117"/>
      <c r="Y496" s="117"/>
      <c r="Z496" s="150"/>
      <c r="AA496" s="117"/>
      <c r="AB496" s="117"/>
      <c r="AC496" s="117"/>
      <c r="AD496" s="117"/>
      <c r="AE496" s="150"/>
      <c r="AF496" s="117"/>
      <c r="AG496" s="117"/>
      <c r="AH496" s="117"/>
      <c r="AI496" s="117"/>
      <c r="AJ496" s="150"/>
      <c r="AK496" s="117"/>
      <c r="AL496" s="117"/>
      <c r="AM496" s="117"/>
      <c r="AN496" s="117"/>
      <c r="AO496" s="975">
        <v>1</v>
      </c>
      <c r="AP496" s="117"/>
      <c r="AQ496" s="117"/>
      <c r="AR496" s="117"/>
      <c r="AS496" s="117"/>
      <c r="AT496" s="975">
        <v>1</v>
      </c>
      <c r="AU496" s="117"/>
      <c r="AV496" s="117"/>
      <c r="AW496" s="117"/>
      <c r="AX496" s="117"/>
      <c r="AY496" s="975">
        <v>0</v>
      </c>
      <c r="AZ496" s="117"/>
      <c r="BA496" s="117"/>
      <c r="BB496" s="117"/>
      <c r="BC496" s="117"/>
      <c r="BD496" s="975">
        <v>6</v>
      </c>
      <c r="BE496" s="117"/>
      <c r="BF496" s="117"/>
      <c r="BG496" s="117"/>
      <c r="BH496" s="117"/>
      <c r="BI496" s="975">
        <v>0</v>
      </c>
      <c r="BJ496" s="117"/>
      <c r="BK496" s="117"/>
      <c r="BL496" s="117"/>
      <c r="BM496" s="117"/>
      <c r="BN496" s="975">
        <v>4</v>
      </c>
      <c r="BO496" s="117"/>
      <c r="BP496" s="117"/>
      <c r="BQ496" s="117"/>
      <c r="BR496" s="117"/>
      <c r="BS496" s="975">
        <v>2</v>
      </c>
      <c r="BT496" s="691"/>
      <c r="BU496" s="117"/>
      <c r="BV496" s="117"/>
      <c r="BW496" s="117"/>
      <c r="BX496" s="150"/>
      <c r="BY496" s="117"/>
      <c r="BZ496" s="117"/>
      <c r="CA496" s="117"/>
      <c r="CB496" s="117"/>
      <c r="CC496" s="150"/>
      <c r="CD496" s="150"/>
      <c r="CE496" s="150"/>
      <c r="CF496" s="150"/>
      <c r="CG496" s="587"/>
    </row>
    <row r="497" spans="1:85" s="460" customFormat="1" ht="14.4" hidden="1" outlineLevel="1" x14ac:dyDescent="0.3">
      <c r="A497" s="159" t="s">
        <v>1268</v>
      </c>
      <c r="B497" s="586"/>
      <c r="C497" s="150"/>
      <c r="D497" s="150"/>
      <c r="E497" s="150"/>
      <c r="F497" s="150"/>
      <c r="G497" s="117"/>
      <c r="H497" s="117"/>
      <c r="I497" s="117"/>
      <c r="J497" s="117"/>
      <c r="K497" s="150"/>
      <c r="L497" s="117"/>
      <c r="M497" s="117"/>
      <c r="N497" s="117"/>
      <c r="O497" s="117"/>
      <c r="P497" s="150"/>
      <c r="Q497" s="117"/>
      <c r="R497" s="117"/>
      <c r="S497" s="117"/>
      <c r="T497" s="117"/>
      <c r="U497" s="150"/>
      <c r="V497" s="117"/>
      <c r="W497" s="117"/>
      <c r="X497" s="117"/>
      <c r="Y497" s="117"/>
      <c r="Z497" s="150"/>
      <c r="AA497" s="117"/>
      <c r="AB497" s="117"/>
      <c r="AC497" s="117"/>
      <c r="AD497" s="117"/>
      <c r="AE497" s="150"/>
      <c r="AF497" s="117"/>
      <c r="AG497" s="117"/>
      <c r="AH497" s="117"/>
      <c r="AI497" s="117"/>
      <c r="AJ497" s="150"/>
      <c r="AK497" s="117"/>
      <c r="AL497" s="117"/>
      <c r="AM497" s="117"/>
      <c r="AN497" s="117"/>
      <c r="AO497" s="975">
        <v>0</v>
      </c>
      <c r="AP497" s="117"/>
      <c r="AQ497" s="117"/>
      <c r="AR497" s="117"/>
      <c r="AS497" s="117"/>
      <c r="AT497" s="975">
        <v>21</v>
      </c>
      <c r="AU497" s="117"/>
      <c r="AV497" s="117"/>
      <c r="AW497" s="117"/>
      <c r="AX497" s="117"/>
      <c r="AY497" s="975">
        <v>0</v>
      </c>
      <c r="AZ497" s="117"/>
      <c r="BA497" s="117"/>
      <c r="BB497" s="117"/>
      <c r="BC497" s="117"/>
      <c r="BD497" s="975">
        <v>36</v>
      </c>
      <c r="BE497" s="117"/>
      <c r="BF497" s="117"/>
      <c r="BG497" s="117"/>
      <c r="BH497" s="117"/>
      <c r="BI497" s="975">
        <v>24</v>
      </c>
      <c r="BJ497" s="117"/>
      <c r="BK497" s="117"/>
      <c r="BL497" s="117"/>
      <c r="BM497" s="117"/>
      <c r="BN497" s="975">
        <v>51</v>
      </c>
      <c r="BO497" s="117"/>
      <c r="BP497" s="117"/>
      <c r="BQ497" s="117"/>
      <c r="BR497" s="117"/>
      <c r="BS497" s="975">
        <v>3</v>
      </c>
      <c r="BT497" s="691"/>
      <c r="BU497" s="117"/>
      <c r="BV497" s="117"/>
      <c r="BW497" s="117"/>
      <c r="BX497" s="150"/>
      <c r="BY497" s="117"/>
      <c r="BZ497" s="117"/>
      <c r="CA497" s="117"/>
      <c r="CB497" s="117"/>
      <c r="CC497" s="150"/>
      <c r="CD497" s="150"/>
      <c r="CE497" s="150"/>
      <c r="CF497" s="150"/>
      <c r="CG497" s="587"/>
    </row>
    <row r="498" spans="1:85" s="460" customFormat="1" ht="14.4" hidden="1" outlineLevel="1" x14ac:dyDescent="0.3">
      <c r="A498" s="159" t="s">
        <v>1269</v>
      </c>
      <c r="B498" s="586"/>
      <c r="C498" s="150"/>
      <c r="D498" s="150"/>
      <c r="E498" s="150"/>
      <c r="F498" s="150"/>
      <c r="G498" s="117"/>
      <c r="H498" s="117"/>
      <c r="I498" s="117"/>
      <c r="J498" s="117"/>
      <c r="K498" s="150"/>
      <c r="L498" s="117"/>
      <c r="M498" s="117"/>
      <c r="N498" s="117"/>
      <c r="O498" s="117"/>
      <c r="P498" s="150"/>
      <c r="Q498" s="117"/>
      <c r="R498" s="117"/>
      <c r="S498" s="117"/>
      <c r="T498" s="117"/>
      <c r="U498" s="150"/>
      <c r="V498" s="117"/>
      <c r="W498" s="117"/>
      <c r="X498" s="117"/>
      <c r="Y498" s="117"/>
      <c r="Z498" s="150"/>
      <c r="AA498" s="117"/>
      <c r="AB498" s="117"/>
      <c r="AC498" s="117"/>
      <c r="AD498" s="117"/>
      <c r="AE498" s="150"/>
      <c r="AF498" s="117"/>
      <c r="AG498" s="117"/>
      <c r="AH498" s="117"/>
      <c r="AI498" s="117"/>
      <c r="AJ498" s="150"/>
      <c r="AK498" s="117"/>
      <c r="AL498" s="117"/>
      <c r="AM498" s="117"/>
      <c r="AN498" s="117"/>
      <c r="AO498" s="975">
        <v>0</v>
      </c>
      <c r="AP498" s="117"/>
      <c r="AQ498" s="117"/>
      <c r="AR498" s="117"/>
      <c r="AS498" s="117"/>
      <c r="AT498" s="975">
        <v>0</v>
      </c>
      <c r="AU498" s="117"/>
      <c r="AV498" s="117"/>
      <c r="AW498" s="117"/>
      <c r="AX498" s="117"/>
      <c r="AY498" s="975">
        <v>0</v>
      </c>
      <c r="AZ498" s="117"/>
      <c r="BA498" s="117"/>
      <c r="BB498" s="117"/>
      <c r="BC498" s="117"/>
      <c r="BD498" s="975">
        <v>-3</v>
      </c>
      <c r="BE498" s="117"/>
      <c r="BF498" s="117"/>
      <c r="BG498" s="117"/>
      <c r="BH498" s="117"/>
      <c r="BI498" s="975">
        <v>0</v>
      </c>
      <c r="BJ498" s="117"/>
      <c r="BK498" s="117"/>
      <c r="BL498" s="117"/>
      <c r="BM498" s="117"/>
      <c r="BN498" s="975">
        <v>0</v>
      </c>
      <c r="BO498" s="117"/>
      <c r="BP498" s="117"/>
      <c r="BQ498" s="117"/>
      <c r="BR498" s="117"/>
      <c r="BS498" s="975">
        <v>-35</v>
      </c>
      <c r="BT498" s="691"/>
      <c r="BU498" s="117"/>
      <c r="BV498" s="117"/>
      <c r="BW498" s="117"/>
      <c r="BX498" s="150"/>
      <c r="BY498" s="117"/>
      <c r="BZ498" s="117"/>
      <c r="CA498" s="117"/>
      <c r="CB498" s="117"/>
      <c r="CC498" s="150"/>
      <c r="CD498" s="150"/>
      <c r="CE498" s="150"/>
      <c r="CF498" s="150"/>
      <c r="CG498" s="587"/>
    </row>
    <row r="499" spans="1:85" s="460" customFormat="1" ht="14.4" hidden="1" outlineLevel="1" x14ac:dyDescent="0.3">
      <c r="A499" s="262" t="s">
        <v>1270</v>
      </c>
      <c r="B499" s="588"/>
      <c r="C499" s="954"/>
      <c r="D499" s="954"/>
      <c r="E499" s="954"/>
      <c r="F499" s="954"/>
      <c r="G499" s="133"/>
      <c r="H499" s="133"/>
      <c r="I499" s="133"/>
      <c r="J499" s="133"/>
      <c r="K499" s="954"/>
      <c r="L499" s="133"/>
      <c r="M499" s="133"/>
      <c r="N499" s="133"/>
      <c r="O499" s="133"/>
      <c r="P499" s="954"/>
      <c r="Q499" s="133"/>
      <c r="R499" s="133"/>
      <c r="S499" s="133"/>
      <c r="T499" s="133"/>
      <c r="U499" s="954"/>
      <c r="V499" s="133"/>
      <c r="W499" s="133"/>
      <c r="X499" s="133"/>
      <c r="Y499" s="133"/>
      <c r="Z499" s="954"/>
      <c r="AA499" s="133"/>
      <c r="AB499" s="133"/>
      <c r="AC499" s="133"/>
      <c r="AD499" s="133"/>
      <c r="AE499" s="954"/>
      <c r="AF499" s="133"/>
      <c r="AG499" s="133"/>
      <c r="AH499" s="133"/>
      <c r="AI499" s="133"/>
      <c r="AJ499" s="954"/>
      <c r="AK499" s="133"/>
      <c r="AL499" s="133"/>
      <c r="AM499" s="133"/>
      <c r="AN499" s="133"/>
      <c r="AO499" s="976">
        <v>-108</v>
      </c>
      <c r="AP499" s="133"/>
      <c r="AQ499" s="133"/>
      <c r="AR499" s="133"/>
      <c r="AS499" s="133"/>
      <c r="AT499" s="976">
        <v>-92</v>
      </c>
      <c r="AU499" s="133"/>
      <c r="AV499" s="133"/>
      <c r="AW499" s="133"/>
      <c r="AX499" s="133"/>
      <c r="AY499" s="976">
        <v>-84</v>
      </c>
      <c r="AZ499" s="133"/>
      <c r="BA499" s="133"/>
      <c r="BB499" s="133"/>
      <c r="BC499" s="133"/>
      <c r="BD499" s="976">
        <v>-73</v>
      </c>
      <c r="BE499" s="133"/>
      <c r="BF499" s="133"/>
      <c r="BG499" s="133"/>
      <c r="BH499" s="133"/>
      <c r="BI499" s="976">
        <v>-72</v>
      </c>
      <c r="BJ499" s="133"/>
      <c r="BK499" s="133"/>
      <c r="BL499" s="133"/>
      <c r="BM499" s="133"/>
      <c r="BN499" s="976">
        <v>-67</v>
      </c>
      <c r="BO499" s="133"/>
      <c r="BP499" s="133"/>
      <c r="BQ499" s="133"/>
      <c r="BR499" s="133"/>
      <c r="BS499" s="976">
        <v>-53</v>
      </c>
      <c r="BT499" s="692"/>
      <c r="BU499" s="133"/>
      <c r="BV499" s="133"/>
      <c r="BW499" s="133"/>
      <c r="BX499" s="954"/>
      <c r="BY499" s="133"/>
      <c r="BZ499" s="133"/>
      <c r="CA499" s="133"/>
      <c r="CB499" s="133"/>
      <c r="CC499" s="954"/>
      <c r="CD499" s="954"/>
      <c r="CE499" s="954"/>
      <c r="CF499" s="954"/>
      <c r="CG499" s="587"/>
    </row>
    <row r="500" spans="1:85" s="461" customFormat="1" ht="14.4" hidden="1" outlineLevel="1" x14ac:dyDescent="0.3">
      <c r="A500" s="166" t="s">
        <v>1271</v>
      </c>
      <c r="B500" s="583"/>
      <c r="C500" s="957"/>
      <c r="D500" s="957"/>
      <c r="E500" s="957"/>
      <c r="F500" s="957"/>
      <c r="G500" s="120"/>
      <c r="H500" s="120"/>
      <c r="I500" s="120"/>
      <c r="J500" s="120"/>
      <c r="K500" s="957"/>
      <c r="L500" s="120"/>
      <c r="M500" s="120"/>
      <c r="N500" s="120"/>
      <c r="O500" s="120"/>
      <c r="P500" s="957"/>
      <c r="Q500" s="120"/>
      <c r="R500" s="120"/>
      <c r="S500" s="120"/>
      <c r="T500" s="120"/>
      <c r="U500" s="957"/>
      <c r="V500" s="120"/>
      <c r="W500" s="120"/>
      <c r="X500" s="120"/>
      <c r="Y500" s="120"/>
      <c r="Z500" s="957"/>
      <c r="AA500" s="120"/>
      <c r="AB500" s="120"/>
      <c r="AC500" s="120"/>
      <c r="AD500" s="120"/>
      <c r="AE500" s="957"/>
      <c r="AF500" s="120"/>
      <c r="AG500" s="120"/>
      <c r="AH500" s="120"/>
      <c r="AI500" s="120"/>
      <c r="AJ500" s="957"/>
      <c r="AK500" s="120"/>
      <c r="AL500" s="120"/>
      <c r="AM500" s="120"/>
      <c r="AN500" s="120"/>
      <c r="AO500" s="957">
        <f>SUM(AO493:AO499)</f>
        <v>613</v>
      </c>
      <c r="AP500" s="120"/>
      <c r="AQ500" s="120"/>
      <c r="AR500" s="120"/>
      <c r="AS500" s="120"/>
      <c r="AT500" s="957">
        <f>SUM(AT493:AT499)</f>
        <v>554</v>
      </c>
      <c r="AU500" s="120"/>
      <c r="AV500" s="120"/>
      <c r="AW500" s="120"/>
      <c r="AX500" s="120"/>
      <c r="AY500" s="957">
        <f>SUM(AY493:AY499)</f>
        <v>480</v>
      </c>
      <c r="AZ500" s="120"/>
      <c r="BA500" s="120"/>
      <c r="BB500" s="120"/>
      <c r="BC500" s="120"/>
      <c r="BD500" s="957">
        <f>SUM(BD493:BD499)</f>
        <v>454</v>
      </c>
      <c r="BE500" s="120"/>
      <c r="BF500" s="120"/>
      <c r="BG500" s="120"/>
      <c r="BH500" s="120"/>
      <c r="BI500" s="957">
        <f>SUM(BI493:BI499)</f>
        <v>445</v>
      </c>
      <c r="BJ500" s="120"/>
      <c r="BK500" s="120"/>
      <c r="BL500" s="120"/>
      <c r="BM500" s="120"/>
      <c r="BN500" s="957">
        <f>SUM(BN493:BN499)</f>
        <v>455</v>
      </c>
      <c r="BO500" s="120"/>
      <c r="BP500" s="120"/>
      <c r="BQ500" s="120"/>
      <c r="BR500" s="120"/>
      <c r="BS500" s="957">
        <f>SUM(BS493:BS499)</f>
        <v>375</v>
      </c>
      <c r="BT500" s="694"/>
      <c r="BU500" s="120"/>
      <c r="BV500" s="120"/>
      <c r="BW500" s="120"/>
      <c r="BX500" s="957"/>
      <c r="BY500" s="120"/>
      <c r="BZ500" s="120"/>
      <c r="CA500" s="120"/>
      <c r="CB500" s="120"/>
      <c r="CC500" s="957"/>
      <c r="CD500" s="957"/>
      <c r="CE500" s="957"/>
      <c r="CF500" s="957"/>
      <c r="CG500" s="615"/>
    </row>
    <row r="501" spans="1:85" s="461" customFormat="1" ht="14.4" hidden="1" outlineLevel="1" x14ac:dyDescent="0.3">
      <c r="A501" s="166" t="s">
        <v>1272</v>
      </c>
      <c r="B501" s="583"/>
      <c r="C501" s="957"/>
      <c r="D501" s="957"/>
      <c r="E501" s="957"/>
      <c r="F501" s="957"/>
      <c r="G501" s="120"/>
      <c r="H501" s="120"/>
      <c r="I501" s="120"/>
      <c r="J501" s="120"/>
      <c r="K501" s="957"/>
      <c r="L501" s="120"/>
      <c r="M501" s="120"/>
      <c r="N501" s="120"/>
      <c r="O501" s="120"/>
      <c r="P501" s="957"/>
      <c r="Q501" s="120"/>
      <c r="R501" s="120"/>
      <c r="S501" s="120"/>
      <c r="T501" s="120"/>
      <c r="U501" s="957"/>
      <c r="V501" s="120"/>
      <c r="W501" s="120"/>
      <c r="X501" s="120"/>
      <c r="Y501" s="120"/>
      <c r="Z501" s="957"/>
      <c r="AA501" s="120"/>
      <c r="AB501" s="120"/>
      <c r="AC501" s="120"/>
      <c r="AD501" s="120"/>
      <c r="AE501" s="957"/>
      <c r="AF501" s="120"/>
      <c r="AG501" s="120"/>
      <c r="AH501" s="120"/>
      <c r="AI501" s="120"/>
      <c r="AJ501" s="957"/>
      <c r="AK501" s="120"/>
      <c r="AL501" s="120"/>
      <c r="AM501" s="120"/>
      <c r="AN501" s="120"/>
      <c r="AO501" s="983">
        <v>579</v>
      </c>
      <c r="AP501" s="120"/>
      <c r="AQ501" s="120"/>
      <c r="AR501" s="120"/>
      <c r="AS501" s="120"/>
      <c r="AT501" s="983">
        <v>513</v>
      </c>
      <c r="AU501" s="120"/>
      <c r="AV501" s="120"/>
      <c r="AW501" s="120"/>
      <c r="AX501" s="120"/>
      <c r="AY501" s="983">
        <v>403</v>
      </c>
      <c r="AZ501" s="120"/>
      <c r="BA501" s="120"/>
      <c r="BB501" s="120"/>
      <c r="BC501" s="120"/>
      <c r="BD501" s="983">
        <v>322</v>
      </c>
      <c r="BE501" s="120"/>
      <c r="BF501" s="120"/>
      <c r="BG501" s="120"/>
      <c r="BH501" s="120"/>
      <c r="BI501" s="983">
        <v>293</v>
      </c>
      <c r="BJ501" s="120"/>
      <c r="BK501" s="120"/>
      <c r="BL501" s="120"/>
      <c r="BM501" s="120"/>
      <c r="BN501" s="983">
        <v>301</v>
      </c>
      <c r="BO501" s="120"/>
      <c r="BP501" s="120"/>
      <c r="BQ501" s="120"/>
      <c r="BR501" s="120"/>
      <c r="BS501" s="983">
        <v>298</v>
      </c>
      <c r="BT501" s="694"/>
      <c r="BU501" s="120"/>
      <c r="BV501" s="120"/>
      <c r="BW501" s="120"/>
      <c r="BX501" s="957"/>
      <c r="BY501" s="120"/>
      <c r="BZ501" s="120"/>
      <c r="CA501" s="120"/>
      <c r="CB501" s="120"/>
      <c r="CC501" s="957"/>
      <c r="CD501" s="957"/>
      <c r="CE501" s="957"/>
      <c r="CF501" s="957"/>
      <c r="CG501" s="615"/>
    </row>
    <row r="502" spans="1:85" s="460" customFormat="1" ht="14.4" hidden="1" outlineLevel="1" x14ac:dyDescent="0.3">
      <c r="A502" s="159" t="s">
        <v>1273</v>
      </c>
      <c r="B502" s="586"/>
      <c r="C502" s="150"/>
      <c r="D502" s="150"/>
      <c r="E502" s="150"/>
      <c r="F502" s="150"/>
      <c r="G502" s="117"/>
      <c r="H502" s="117"/>
      <c r="I502" s="117"/>
      <c r="J502" s="117"/>
      <c r="K502" s="150"/>
      <c r="L502" s="117"/>
      <c r="M502" s="117"/>
      <c r="N502" s="117"/>
      <c r="O502" s="117"/>
      <c r="P502" s="150"/>
      <c r="Q502" s="117"/>
      <c r="R502" s="117"/>
      <c r="S502" s="117"/>
      <c r="T502" s="117"/>
      <c r="U502" s="150"/>
      <c r="V502" s="117"/>
      <c r="W502" s="117"/>
      <c r="X502" s="117"/>
      <c r="Y502" s="117"/>
      <c r="Z502" s="150"/>
      <c r="AA502" s="117"/>
      <c r="AB502" s="117"/>
      <c r="AC502" s="117"/>
      <c r="AD502" s="117"/>
      <c r="AE502" s="150"/>
      <c r="AF502" s="117"/>
      <c r="AG502" s="117"/>
      <c r="AH502" s="117"/>
      <c r="AI502" s="117"/>
      <c r="AJ502" s="150"/>
      <c r="AK502" s="117"/>
      <c r="AL502" s="117"/>
      <c r="AM502" s="117"/>
      <c r="AN502" s="117"/>
      <c r="AO502" s="975">
        <v>19</v>
      </c>
      <c r="AP502" s="117"/>
      <c r="AQ502" s="117"/>
      <c r="AR502" s="117"/>
      <c r="AS502" s="117"/>
      <c r="AT502" s="975">
        <v>74</v>
      </c>
      <c r="AU502" s="117"/>
      <c r="AV502" s="117"/>
      <c r="AW502" s="117"/>
      <c r="AX502" s="117"/>
      <c r="AY502" s="975">
        <v>-8</v>
      </c>
      <c r="AZ502" s="117"/>
      <c r="BA502" s="117"/>
      <c r="BB502" s="117"/>
      <c r="BC502" s="117"/>
      <c r="BD502" s="975">
        <v>8</v>
      </c>
      <c r="BE502" s="117"/>
      <c r="BF502" s="117"/>
      <c r="BG502" s="117"/>
      <c r="BH502" s="117"/>
      <c r="BI502" s="975">
        <v>48</v>
      </c>
      <c r="BJ502" s="117"/>
      <c r="BK502" s="117"/>
      <c r="BL502" s="117"/>
      <c r="BM502" s="117"/>
      <c r="BN502" s="975">
        <v>37</v>
      </c>
      <c r="BO502" s="117"/>
      <c r="BP502" s="117"/>
      <c r="BQ502" s="117"/>
      <c r="BR502" s="117"/>
      <c r="BS502" s="975">
        <v>46</v>
      </c>
      <c r="BT502" s="691"/>
      <c r="BU502" s="117"/>
      <c r="BV502" s="117"/>
      <c r="BW502" s="117"/>
      <c r="BX502" s="150"/>
      <c r="BY502" s="117"/>
      <c r="BZ502" s="117"/>
      <c r="CA502" s="117"/>
      <c r="CB502" s="117"/>
      <c r="CC502" s="150"/>
      <c r="CD502" s="150"/>
      <c r="CE502" s="150"/>
      <c r="CF502" s="150"/>
      <c r="CG502" s="587"/>
    </row>
    <row r="503" spans="1:85" s="460" customFormat="1" ht="14.4" hidden="1" outlineLevel="1" x14ac:dyDescent="0.3">
      <c r="A503" s="159" t="s">
        <v>1274</v>
      </c>
      <c r="B503" s="586"/>
      <c r="C503" s="150"/>
      <c r="D503" s="150"/>
      <c r="E503" s="150"/>
      <c r="F503" s="150"/>
      <c r="G503" s="117"/>
      <c r="H503" s="117"/>
      <c r="I503" s="117"/>
      <c r="J503" s="117"/>
      <c r="K503" s="150"/>
      <c r="L503" s="117"/>
      <c r="M503" s="117"/>
      <c r="N503" s="117"/>
      <c r="O503" s="117"/>
      <c r="P503" s="150"/>
      <c r="Q503" s="117"/>
      <c r="R503" s="117"/>
      <c r="S503" s="117"/>
      <c r="T503" s="117"/>
      <c r="U503" s="150"/>
      <c r="V503" s="117"/>
      <c r="W503" s="117"/>
      <c r="X503" s="117"/>
      <c r="Y503" s="117"/>
      <c r="Z503" s="150"/>
      <c r="AA503" s="117"/>
      <c r="AB503" s="117"/>
      <c r="AC503" s="117"/>
      <c r="AD503" s="117"/>
      <c r="AE503" s="150"/>
      <c r="AF503" s="117"/>
      <c r="AG503" s="117"/>
      <c r="AH503" s="117"/>
      <c r="AI503" s="117"/>
      <c r="AJ503" s="150"/>
      <c r="AK503" s="117"/>
      <c r="AL503" s="117"/>
      <c r="AM503" s="117"/>
      <c r="AN503" s="117"/>
      <c r="AO503" s="975">
        <v>0</v>
      </c>
      <c r="AP503" s="117"/>
      <c r="AQ503" s="117"/>
      <c r="AR503" s="117"/>
      <c r="AS503" s="117"/>
      <c r="AT503" s="975">
        <v>0</v>
      </c>
      <c r="AU503" s="117"/>
      <c r="AV503" s="117"/>
      <c r="AW503" s="117"/>
      <c r="AX503" s="117"/>
      <c r="AY503" s="975">
        <v>0</v>
      </c>
      <c r="AZ503" s="117"/>
      <c r="BA503" s="117"/>
      <c r="BB503" s="117"/>
      <c r="BC503" s="117"/>
      <c r="BD503" s="975">
        <v>5</v>
      </c>
      <c r="BE503" s="117"/>
      <c r="BF503" s="117"/>
      <c r="BG503" s="117"/>
      <c r="BH503" s="117"/>
      <c r="BI503" s="975">
        <v>0</v>
      </c>
      <c r="BJ503" s="117"/>
      <c r="BK503" s="117"/>
      <c r="BL503" s="117"/>
      <c r="BM503" s="117"/>
      <c r="BN503" s="975">
        <v>0</v>
      </c>
      <c r="BO503" s="117"/>
      <c r="BP503" s="117"/>
      <c r="BQ503" s="117"/>
      <c r="BR503" s="117"/>
      <c r="BS503" s="975">
        <v>0</v>
      </c>
      <c r="BT503" s="691"/>
      <c r="BU503" s="117"/>
      <c r="BV503" s="117"/>
      <c r="BW503" s="117"/>
      <c r="BX503" s="150"/>
      <c r="BY503" s="117"/>
      <c r="BZ503" s="117"/>
      <c r="CA503" s="117"/>
      <c r="CB503" s="117"/>
      <c r="CC503" s="150"/>
      <c r="CD503" s="150"/>
      <c r="CE503" s="150"/>
      <c r="CF503" s="150"/>
      <c r="CG503" s="587"/>
    </row>
    <row r="504" spans="1:85" s="460" customFormat="1" ht="14.4" hidden="1" outlineLevel="1" x14ac:dyDescent="0.3">
      <c r="A504" s="159" t="s">
        <v>1275</v>
      </c>
      <c r="B504" s="586"/>
      <c r="C504" s="150"/>
      <c r="D504" s="150"/>
      <c r="E504" s="150"/>
      <c r="F504" s="150"/>
      <c r="G504" s="117"/>
      <c r="H504" s="117"/>
      <c r="I504" s="117"/>
      <c r="J504" s="117"/>
      <c r="K504" s="150"/>
      <c r="L504" s="117"/>
      <c r="M504" s="117"/>
      <c r="N504" s="117"/>
      <c r="O504" s="117"/>
      <c r="P504" s="150"/>
      <c r="Q504" s="117"/>
      <c r="R504" s="117"/>
      <c r="S504" s="117"/>
      <c r="T504" s="117"/>
      <c r="U504" s="150"/>
      <c r="V504" s="117"/>
      <c r="W504" s="117"/>
      <c r="X504" s="117"/>
      <c r="Y504" s="117"/>
      <c r="Z504" s="150"/>
      <c r="AA504" s="117"/>
      <c r="AB504" s="117"/>
      <c r="AC504" s="117"/>
      <c r="AD504" s="117"/>
      <c r="AE504" s="150"/>
      <c r="AF504" s="117"/>
      <c r="AG504" s="117"/>
      <c r="AH504" s="117"/>
      <c r="AI504" s="117"/>
      <c r="AJ504" s="150"/>
      <c r="AK504" s="117"/>
      <c r="AL504" s="117"/>
      <c r="AM504" s="117"/>
      <c r="AN504" s="117"/>
      <c r="AO504" s="975">
        <v>1</v>
      </c>
      <c r="AP504" s="117"/>
      <c r="AQ504" s="117"/>
      <c r="AR504" s="117"/>
      <c r="AS504" s="117"/>
      <c r="AT504" s="975">
        <v>0</v>
      </c>
      <c r="AU504" s="117"/>
      <c r="AV504" s="117"/>
      <c r="AW504" s="117"/>
      <c r="AX504" s="117"/>
      <c r="AY504" s="975">
        <v>0</v>
      </c>
      <c r="AZ504" s="117"/>
      <c r="BA504" s="117"/>
      <c r="BB504" s="117"/>
      <c r="BC504" s="117"/>
      <c r="BD504" s="975">
        <v>0</v>
      </c>
      <c r="BE504" s="117"/>
      <c r="BF504" s="117"/>
      <c r="BG504" s="117"/>
      <c r="BH504" s="117"/>
      <c r="BI504" s="975">
        <v>0</v>
      </c>
      <c r="BJ504" s="117"/>
      <c r="BK504" s="117"/>
      <c r="BL504" s="117"/>
      <c r="BM504" s="117"/>
      <c r="BN504" s="975">
        <v>0</v>
      </c>
      <c r="BO504" s="117"/>
      <c r="BP504" s="117"/>
      <c r="BQ504" s="117"/>
      <c r="BR504" s="117"/>
      <c r="BS504" s="975">
        <v>0</v>
      </c>
      <c r="BT504" s="691"/>
      <c r="BU504" s="117"/>
      <c r="BV504" s="117"/>
      <c r="BW504" s="117"/>
      <c r="BX504" s="150"/>
      <c r="BY504" s="117"/>
      <c r="BZ504" s="117"/>
      <c r="CA504" s="117"/>
      <c r="CB504" s="117"/>
      <c r="CC504" s="150"/>
      <c r="CD504" s="150"/>
      <c r="CE504" s="150"/>
      <c r="CF504" s="150"/>
      <c r="CG504" s="587"/>
    </row>
    <row r="505" spans="1:85" s="460" customFormat="1" ht="14.4" hidden="1" outlineLevel="1" x14ac:dyDescent="0.3">
      <c r="A505" s="159" t="s">
        <v>1276</v>
      </c>
      <c r="B505" s="586"/>
      <c r="C505" s="150"/>
      <c r="D505" s="150"/>
      <c r="E505" s="150"/>
      <c r="F505" s="150"/>
      <c r="G505" s="117"/>
      <c r="H505" s="117"/>
      <c r="I505" s="117"/>
      <c r="J505" s="117"/>
      <c r="K505" s="150"/>
      <c r="L505" s="117"/>
      <c r="M505" s="117"/>
      <c r="N505" s="117"/>
      <c r="O505" s="117"/>
      <c r="P505" s="150"/>
      <c r="Q505" s="117"/>
      <c r="R505" s="117"/>
      <c r="S505" s="117"/>
      <c r="T505" s="117"/>
      <c r="U505" s="150"/>
      <c r="V505" s="117"/>
      <c r="W505" s="117"/>
      <c r="X505" s="117"/>
      <c r="Y505" s="117"/>
      <c r="Z505" s="150"/>
      <c r="AA505" s="117"/>
      <c r="AB505" s="117"/>
      <c r="AC505" s="117"/>
      <c r="AD505" s="117"/>
      <c r="AE505" s="150"/>
      <c r="AF505" s="117"/>
      <c r="AG505" s="117"/>
      <c r="AH505" s="117"/>
      <c r="AI505" s="117"/>
      <c r="AJ505" s="150"/>
      <c r="AK505" s="117"/>
      <c r="AL505" s="117"/>
      <c r="AM505" s="117"/>
      <c r="AN505" s="117"/>
      <c r="AO505" s="975">
        <v>0</v>
      </c>
      <c r="AP505" s="117"/>
      <c r="AQ505" s="117"/>
      <c r="AR505" s="117"/>
      <c r="AS505" s="117"/>
      <c r="AT505" s="975">
        <v>10</v>
      </c>
      <c r="AU505" s="117"/>
      <c r="AV505" s="117"/>
      <c r="AW505" s="117"/>
      <c r="AX505" s="117"/>
      <c r="AY505" s="975">
        <v>2</v>
      </c>
      <c r="AZ505" s="117"/>
      <c r="BA505" s="117"/>
      <c r="BB505" s="117"/>
      <c r="BC505" s="117"/>
      <c r="BD505" s="975">
        <v>0</v>
      </c>
      <c r="BE505" s="117"/>
      <c r="BF505" s="117"/>
      <c r="BG505" s="117"/>
      <c r="BH505" s="117"/>
      <c r="BI505" s="975">
        <v>0</v>
      </c>
      <c r="BJ505" s="117"/>
      <c r="BK505" s="117"/>
      <c r="BL505" s="117"/>
      <c r="BM505" s="117"/>
      <c r="BN505" s="975">
        <v>0</v>
      </c>
      <c r="BO505" s="117"/>
      <c r="BP505" s="117"/>
      <c r="BQ505" s="117"/>
      <c r="BR505" s="117"/>
      <c r="BS505" s="975">
        <v>3</v>
      </c>
      <c r="BT505" s="691"/>
      <c r="BU505" s="117"/>
      <c r="BV505" s="117"/>
      <c r="BW505" s="117"/>
      <c r="BX505" s="150"/>
      <c r="BY505" s="117"/>
      <c r="BZ505" s="117"/>
      <c r="CA505" s="117"/>
      <c r="CB505" s="117"/>
      <c r="CC505" s="150"/>
      <c r="CD505" s="150"/>
      <c r="CE505" s="150"/>
      <c r="CF505" s="150"/>
      <c r="CG505" s="587"/>
    </row>
    <row r="506" spans="1:85" s="460" customFormat="1" ht="14.4" hidden="1" outlineLevel="1" x14ac:dyDescent="0.3">
      <c r="A506" s="159" t="s">
        <v>1277</v>
      </c>
      <c r="B506" s="586"/>
      <c r="C506" s="150"/>
      <c r="D506" s="150"/>
      <c r="E506" s="150"/>
      <c r="F506" s="150"/>
      <c r="G506" s="117"/>
      <c r="H506" s="117"/>
      <c r="I506" s="117"/>
      <c r="J506" s="117"/>
      <c r="K506" s="150"/>
      <c r="L506" s="117"/>
      <c r="M506" s="117"/>
      <c r="N506" s="117"/>
      <c r="O506" s="117"/>
      <c r="P506" s="150"/>
      <c r="Q506" s="117"/>
      <c r="R506" s="117"/>
      <c r="S506" s="117"/>
      <c r="T506" s="117"/>
      <c r="U506" s="150"/>
      <c r="V506" s="117"/>
      <c r="W506" s="117"/>
      <c r="X506" s="117"/>
      <c r="Y506" s="117"/>
      <c r="Z506" s="150"/>
      <c r="AA506" s="117"/>
      <c r="AB506" s="117"/>
      <c r="AC506" s="117"/>
      <c r="AD506" s="117"/>
      <c r="AE506" s="150"/>
      <c r="AF506" s="117"/>
      <c r="AG506" s="117"/>
      <c r="AH506" s="117"/>
      <c r="AI506" s="117"/>
      <c r="AJ506" s="150"/>
      <c r="AK506" s="117"/>
      <c r="AL506" s="117"/>
      <c r="AM506" s="117"/>
      <c r="AN506" s="117"/>
      <c r="AO506" s="975">
        <v>0</v>
      </c>
      <c r="AP506" s="117"/>
      <c r="AQ506" s="117"/>
      <c r="AR506" s="117"/>
      <c r="AS506" s="117"/>
      <c r="AT506" s="975">
        <v>-99</v>
      </c>
      <c r="AU506" s="117"/>
      <c r="AV506" s="117"/>
      <c r="AW506" s="117"/>
      <c r="AX506" s="117"/>
      <c r="AY506" s="975">
        <v>-1</v>
      </c>
      <c r="AZ506" s="117"/>
      <c r="BA506" s="117"/>
      <c r="BB506" s="117"/>
      <c r="BC506" s="117"/>
      <c r="BD506" s="975">
        <v>0</v>
      </c>
      <c r="BE506" s="117"/>
      <c r="BF506" s="117"/>
      <c r="BG506" s="117"/>
      <c r="BH506" s="117"/>
      <c r="BI506" s="975">
        <v>0</v>
      </c>
      <c r="BJ506" s="117"/>
      <c r="BK506" s="117"/>
      <c r="BL506" s="117"/>
      <c r="BM506" s="117"/>
      <c r="BN506" s="975">
        <v>0</v>
      </c>
      <c r="BO506" s="117"/>
      <c r="BP506" s="117"/>
      <c r="BQ506" s="117"/>
      <c r="BR506" s="117"/>
      <c r="BS506" s="975">
        <v>-1</v>
      </c>
      <c r="BT506" s="691"/>
      <c r="BU506" s="117"/>
      <c r="BV506" s="117"/>
      <c r="BW506" s="117"/>
      <c r="BX506" s="150"/>
      <c r="BY506" s="117"/>
      <c r="BZ506" s="117"/>
      <c r="CA506" s="117"/>
      <c r="CB506" s="117"/>
      <c r="CC506" s="150"/>
      <c r="CD506" s="150"/>
      <c r="CE506" s="150"/>
      <c r="CF506" s="150"/>
      <c r="CG506" s="587"/>
    </row>
    <row r="507" spans="1:85" s="460" customFormat="1" ht="14.4" hidden="1" outlineLevel="1" x14ac:dyDescent="0.3">
      <c r="A507" s="262" t="s">
        <v>1278</v>
      </c>
      <c r="B507" s="588"/>
      <c r="C507" s="954"/>
      <c r="D507" s="954"/>
      <c r="E507" s="954"/>
      <c r="F507" s="954"/>
      <c r="G507" s="133"/>
      <c r="H507" s="133"/>
      <c r="I507" s="133"/>
      <c r="J507" s="133"/>
      <c r="K507" s="954"/>
      <c r="L507" s="133"/>
      <c r="M507" s="133"/>
      <c r="N507" s="133"/>
      <c r="O507" s="133"/>
      <c r="P507" s="954"/>
      <c r="Q507" s="133"/>
      <c r="R507" s="133"/>
      <c r="S507" s="133"/>
      <c r="T507" s="133"/>
      <c r="U507" s="954"/>
      <c r="V507" s="133"/>
      <c r="W507" s="133"/>
      <c r="X507" s="133"/>
      <c r="Y507" s="133"/>
      <c r="Z507" s="954"/>
      <c r="AA507" s="133"/>
      <c r="AB507" s="133"/>
      <c r="AC507" s="133"/>
      <c r="AD507" s="133"/>
      <c r="AE507" s="954"/>
      <c r="AF507" s="133"/>
      <c r="AG507" s="133"/>
      <c r="AH507" s="133"/>
      <c r="AI507" s="133"/>
      <c r="AJ507" s="954"/>
      <c r="AK507" s="133"/>
      <c r="AL507" s="133"/>
      <c r="AM507" s="133"/>
      <c r="AN507" s="133"/>
      <c r="AO507" s="976">
        <v>-86</v>
      </c>
      <c r="AP507" s="133"/>
      <c r="AQ507" s="133"/>
      <c r="AR507" s="133"/>
      <c r="AS507" s="133"/>
      <c r="AT507" s="976">
        <v>-95</v>
      </c>
      <c r="AU507" s="133"/>
      <c r="AV507" s="133"/>
      <c r="AW507" s="133"/>
      <c r="AX507" s="133"/>
      <c r="AY507" s="976">
        <v>-74</v>
      </c>
      <c r="AZ507" s="133"/>
      <c r="BA507" s="133"/>
      <c r="BB507" s="133"/>
      <c r="BC507" s="133"/>
      <c r="BD507" s="976">
        <v>-42</v>
      </c>
      <c r="BE507" s="133"/>
      <c r="BF507" s="133"/>
      <c r="BG507" s="133"/>
      <c r="BH507" s="133"/>
      <c r="BI507" s="976">
        <v>-40</v>
      </c>
      <c r="BJ507" s="133"/>
      <c r="BK507" s="133"/>
      <c r="BL507" s="133"/>
      <c r="BM507" s="133"/>
      <c r="BN507" s="976">
        <v>-40</v>
      </c>
      <c r="BO507" s="133"/>
      <c r="BP507" s="133"/>
      <c r="BQ507" s="133"/>
      <c r="BR507" s="133"/>
      <c r="BS507" s="976">
        <v>-41</v>
      </c>
      <c r="BT507" s="692"/>
      <c r="BU507" s="133"/>
      <c r="BV507" s="133"/>
      <c r="BW507" s="133"/>
      <c r="BX507" s="954"/>
      <c r="BY507" s="133"/>
      <c r="BZ507" s="133"/>
      <c r="CA507" s="133"/>
      <c r="CB507" s="133"/>
      <c r="CC507" s="954"/>
      <c r="CD507" s="954"/>
      <c r="CE507" s="954"/>
      <c r="CF507" s="954"/>
      <c r="CG507" s="587"/>
    </row>
    <row r="508" spans="1:85" s="461" customFormat="1" ht="14.4" hidden="1" outlineLevel="1" x14ac:dyDescent="0.3">
      <c r="A508" s="166" t="s">
        <v>1279</v>
      </c>
      <c r="B508" s="583"/>
      <c r="C508" s="957"/>
      <c r="D508" s="957"/>
      <c r="E508" s="957"/>
      <c r="F508" s="957"/>
      <c r="G508" s="120"/>
      <c r="H508" s="120"/>
      <c r="I508" s="120"/>
      <c r="J508" s="120"/>
      <c r="K508" s="957"/>
      <c r="L508" s="120"/>
      <c r="M508" s="120"/>
      <c r="N508" s="120"/>
      <c r="O508" s="120"/>
      <c r="P508" s="957"/>
      <c r="Q508" s="120"/>
      <c r="R508" s="120"/>
      <c r="S508" s="120"/>
      <c r="T508" s="120"/>
      <c r="U508" s="957"/>
      <c r="V508" s="120"/>
      <c r="W508" s="120"/>
      <c r="X508" s="120"/>
      <c r="Y508" s="120"/>
      <c r="Z508" s="957"/>
      <c r="AA508" s="120"/>
      <c r="AB508" s="120"/>
      <c r="AC508" s="120"/>
      <c r="AD508" s="120"/>
      <c r="AE508" s="957"/>
      <c r="AF508" s="120"/>
      <c r="AG508" s="120"/>
      <c r="AH508" s="120"/>
      <c r="AI508" s="120"/>
      <c r="AJ508" s="957"/>
      <c r="AK508" s="120"/>
      <c r="AL508" s="120"/>
      <c r="AM508" s="120"/>
      <c r="AN508" s="120"/>
      <c r="AO508" s="957">
        <f>SUM(AO501:AO507)</f>
        <v>513</v>
      </c>
      <c r="AP508" s="120"/>
      <c r="AQ508" s="120"/>
      <c r="AR508" s="120"/>
      <c r="AS508" s="120"/>
      <c r="AT508" s="957">
        <f>SUM(AT501:AT507)</f>
        <v>403</v>
      </c>
      <c r="AU508" s="120"/>
      <c r="AV508" s="120"/>
      <c r="AW508" s="120"/>
      <c r="AX508" s="120"/>
      <c r="AY508" s="957">
        <f>SUM(AY501:AY507)</f>
        <v>322</v>
      </c>
      <c r="AZ508" s="120"/>
      <c r="BA508" s="120"/>
      <c r="BB508" s="120"/>
      <c r="BC508" s="120"/>
      <c r="BD508" s="957">
        <f>SUM(BD501:BD507)</f>
        <v>293</v>
      </c>
      <c r="BE508" s="120"/>
      <c r="BF508" s="120"/>
      <c r="BG508" s="120"/>
      <c r="BH508" s="120"/>
      <c r="BI508" s="957">
        <f>SUM(BI501:BI507)</f>
        <v>301</v>
      </c>
      <c r="BJ508" s="120"/>
      <c r="BK508" s="120"/>
      <c r="BL508" s="120"/>
      <c r="BM508" s="120"/>
      <c r="BN508" s="957">
        <f>SUM(BN501:BN507)</f>
        <v>298</v>
      </c>
      <c r="BO508" s="120"/>
      <c r="BP508" s="120"/>
      <c r="BQ508" s="120"/>
      <c r="BR508" s="120"/>
      <c r="BS508" s="957">
        <f>SUM(BS501:BS507)</f>
        <v>305</v>
      </c>
      <c r="BT508" s="694"/>
      <c r="BU508" s="120"/>
      <c r="BV508" s="120"/>
      <c r="BW508" s="120"/>
      <c r="BX508" s="957"/>
      <c r="BY508" s="120"/>
      <c r="BZ508" s="120"/>
      <c r="CA508" s="120"/>
      <c r="CB508" s="120"/>
      <c r="CC508" s="957"/>
      <c r="CD508" s="957"/>
      <c r="CE508" s="957"/>
      <c r="CF508" s="957"/>
      <c r="CG508" s="615"/>
    </row>
    <row r="509" spans="1:85" s="461" customFormat="1" ht="14.4" hidden="1" outlineLevel="1" x14ac:dyDescent="0.3">
      <c r="A509" s="166" t="s">
        <v>1280</v>
      </c>
      <c r="B509" s="583"/>
      <c r="C509" s="957"/>
      <c r="D509" s="957"/>
      <c r="E509" s="957"/>
      <c r="F509" s="957"/>
      <c r="G509" s="120"/>
      <c r="H509" s="120"/>
      <c r="I509" s="120"/>
      <c r="J509" s="120"/>
      <c r="K509" s="957"/>
      <c r="L509" s="120"/>
      <c r="M509" s="120"/>
      <c r="N509" s="120"/>
      <c r="O509" s="120"/>
      <c r="P509" s="957"/>
      <c r="Q509" s="120"/>
      <c r="R509" s="120"/>
      <c r="S509" s="120"/>
      <c r="T509" s="120"/>
      <c r="U509" s="957"/>
      <c r="V509" s="120"/>
      <c r="W509" s="120"/>
      <c r="X509" s="120"/>
      <c r="Y509" s="120"/>
      <c r="Z509" s="957"/>
      <c r="AA509" s="120"/>
      <c r="AB509" s="120"/>
      <c r="AC509" s="120"/>
      <c r="AD509" s="120"/>
      <c r="AE509" s="957"/>
      <c r="AF509" s="120"/>
      <c r="AG509" s="120"/>
      <c r="AH509" s="120"/>
      <c r="AI509" s="120"/>
      <c r="AJ509" s="957"/>
      <c r="AK509" s="120"/>
      <c r="AL509" s="120"/>
      <c r="AM509" s="120"/>
      <c r="AN509" s="120"/>
      <c r="AO509" s="983">
        <v>156</v>
      </c>
      <c r="AP509" s="120"/>
      <c r="AQ509" s="120"/>
      <c r="AR509" s="120"/>
      <c r="AS509" s="120"/>
      <c r="AT509" s="983">
        <v>166</v>
      </c>
      <c r="AU509" s="120"/>
      <c r="AV509" s="120"/>
      <c r="AW509" s="120"/>
      <c r="AX509" s="120"/>
      <c r="AY509" s="983">
        <v>141</v>
      </c>
      <c r="AZ509" s="120"/>
      <c r="BA509" s="120"/>
      <c r="BB509" s="120"/>
      <c r="BC509" s="120"/>
      <c r="BD509" s="983">
        <v>134</v>
      </c>
      <c r="BE509" s="120"/>
      <c r="BF509" s="120"/>
      <c r="BG509" s="120"/>
      <c r="BH509" s="120"/>
      <c r="BI509" s="983">
        <v>121</v>
      </c>
      <c r="BJ509" s="120"/>
      <c r="BK509" s="120"/>
      <c r="BL509" s="120"/>
      <c r="BM509" s="120"/>
      <c r="BN509" s="983">
        <v>107</v>
      </c>
      <c r="BO509" s="120"/>
      <c r="BP509" s="120"/>
      <c r="BQ509" s="120"/>
      <c r="BR509" s="120"/>
      <c r="BS509" s="983">
        <v>92</v>
      </c>
      <c r="BT509" s="694"/>
      <c r="BU509" s="120"/>
      <c r="BV509" s="120"/>
      <c r="BW509" s="120"/>
      <c r="BX509" s="957"/>
      <c r="BY509" s="120"/>
      <c r="BZ509" s="120"/>
      <c r="CA509" s="120"/>
      <c r="CB509" s="120"/>
      <c r="CC509" s="957"/>
      <c r="CD509" s="957"/>
      <c r="CE509" s="957"/>
      <c r="CF509" s="957"/>
      <c r="CG509" s="615"/>
    </row>
    <row r="510" spans="1:85" s="460" customFormat="1" ht="14.4" hidden="1" outlineLevel="1" x14ac:dyDescent="0.3">
      <c r="A510" s="159" t="s">
        <v>1281</v>
      </c>
      <c r="B510" s="586"/>
      <c r="C510" s="150"/>
      <c r="D510" s="150"/>
      <c r="E510" s="150"/>
      <c r="F510" s="150"/>
      <c r="G510" s="117"/>
      <c r="H510" s="117"/>
      <c r="I510" s="117"/>
      <c r="J510" s="117"/>
      <c r="K510" s="150"/>
      <c r="L510" s="117"/>
      <c r="M510" s="117"/>
      <c r="N510" s="117"/>
      <c r="O510" s="117"/>
      <c r="P510" s="150"/>
      <c r="Q510" s="117"/>
      <c r="R510" s="117"/>
      <c r="S510" s="117"/>
      <c r="T510" s="117"/>
      <c r="U510" s="150"/>
      <c r="V510" s="117"/>
      <c r="W510" s="117"/>
      <c r="X510" s="117"/>
      <c r="Y510" s="117"/>
      <c r="Z510" s="150"/>
      <c r="AA510" s="117"/>
      <c r="AB510" s="117"/>
      <c r="AC510" s="117"/>
      <c r="AD510" s="117"/>
      <c r="AE510" s="150"/>
      <c r="AF510" s="117"/>
      <c r="AG510" s="117"/>
      <c r="AH510" s="117"/>
      <c r="AI510" s="117"/>
      <c r="AJ510" s="150"/>
      <c r="AK510" s="117"/>
      <c r="AL510" s="117"/>
      <c r="AM510" s="117"/>
      <c r="AN510" s="117"/>
      <c r="AO510" s="975">
        <v>25</v>
      </c>
      <c r="AP510" s="117"/>
      <c r="AQ510" s="117"/>
      <c r="AR510" s="117"/>
      <c r="AS510" s="117"/>
      <c r="AT510" s="975">
        <v>-11</v>
      </c>
      <c r="AU510" s="117"/>
      <c r="AV510" s="117"/>
      <c r="AW510" s="117"/>
      <c r="AX510" s="117"/>
      <c r="AY510" s="975">
        <v>8</v>
      </c>
      <c r="AZ510" s="117"/>
      <c r="BA510" s="117"/>
      <c r="BB510" s="117"/>
      <c r="BC510" s="117"/>
      <c r="BD510" s="975">
        <v>2</v>
      </c>
      <c r="BE510" s="117"/>
      <c r="BF510" s="117"/>
      <c r="BG510" s="117"/>
      <c r="BH510" s="117"/>
      <c r="BI510" s="975">
        <v>1</v>
      </c>
      <c r="BJ510" s="117"/>
      <c r="BK510" s="117"/>
      <c r="BL510" s="117"/>
      <c r="BM510" s="117"/>
      <c r="BN510" s="975">
        <v>0</v>
      </c>
      <c r="BO510" s="117"/>
      <c r="BP510" s="117"/>
      <c r="BQ510" s="117"/>
      <c r="BR510" s="117"/>
      <c r="BS510" s="975">
        <v>6</v>
      </c>
      <c r="BT510" s="691"/>
      <c r="BU510" s="117"/>
      <c r="BV510" s="117"/>
      <c r="BW510" s="117"/>
      <c r="BX510" s="150"/>
      <c r="BY510" s="117"/>
      <c r="BZ510" s="117"/>
      <c r="CA510" s="117"/>
      <c r="CB510" s="117"/>
      <c r="CC510" s="150"/>
      <c r="CD510" s="150"/>
      <c r="CE510" s="150"/>
      <c r="CF510" s="150"/>
      <c r="CG510" s="587"/>
    </row>
    <row r="511" spans="1:85" s="460" customFormat="1" ht="14.4" hidden="1" outlineLevel="1" x14ac:dyDescent="0.3">
      <c r="A511" s="159" t="s">
        <v>1282</v>
      </c>
      <c r="B511" s="586"/>
      <c r="C511" s="150"/>
      <c r="D511" s="150"/>
      <c r="E511" s="150"/>
      <c r="F511" s="150"/>
      <c r="G511" s="117"/>
      <c r="H511" s="117"/>
      <c r="I511" s="117"/>
      <c r="J511" s="117"/>
      <c r="K511" s="150"/>
      <c r="L511" s="117"/>
      <c r="M511" s="117"/>
      <c r="N511" s="117"/>
      <c r="O511" s="117"/>
      <c r="P511" s="150"/>
      <c r="Q511" s="117"/>
      <c r="R511" s="117"/>
      <c r="S511" s="117"/>
      <c r="T511" s="117"/>
      <c r="U511" s="150"/>
      <c r="V511" s="117"/>
      <c r="W511" s="117"/>
      <c r="X511" s="117"/>
      <c r="Y511" s="117"/>
      <c r="Z511" s="150"/>
      <c r="AA511" s="117"/>
      <c r="AB511" s="117"/>
      <c r="AC511" s="117"/>
      <c r="AD511" s="117"/>
      <c r="AE511" s="150"/>
      <c r="AF511" s="117"/>
      <c r="AG511" s="117"/>
      <c r="AH511" s="117"/>
      <c r="AI511" s="117"/>
      <c r="AJ511" s="150"/>
      <c r="AK511" s="117"/>
      <c r="AL511" s="117"/>
      <c r="AM511" s="117"/>
      <c r="AN511" s="117"/>
      <c r="AO511" s="975">
        <v>0</v>
      </c>
      <c r="AP511" s="117"/>
      <c r="AQ511" s="117"/>
      <c r="AR511" s="117"/>
      <c r="AS511" s="117"/>
      <c r="AT511" s="975">
        <v>0</v>
      </c>
      <c r="AU511" s="117"/>
      <c r="AV511" s="117"/>
      <c r="AW511" s="117"/>
      <c r="AX511" s="117"/>
      <c r="AY511" s="975">
        <v>0</v>
      </c>
      <c r="AZ511" s="117"/>
      <c r="BA511" s="117"/>
      <c r="BB511" s="117"/>
      <c r="BC511" s="117"/>
      <c r="BD511" s="975">
        <v>0</v>
      </c>
      <c r="BE511" s="117"/>
      <c r="BF511" s="117"/>
      <c r="BG511" s="117"/>
      <c r="BH511" s="117"/>
      <c r="BI511" s="975">
        <v>0</v>
      </c>
      <c r="BJ511" s="117"/>
      <c r="BK511" s="117"/>
      <c r="BL511" s="117"/>
      <c r="BM511" s="117"/>
      <c r="BN511" s="975">
        <v>0</v>
      </c>
      <c r="BO511" s="117"/>
      <c r="BP511" s="117"/>
      <c r="BQ511" s="117"/>
      <c r="BR511" s="117"/>
      <c r="BS511" s="975">
        <v>0</v>
      </c>
      <c r="BT511" s="691"/>
      <c r="BU511" s="117"/>
      <c r="BV511" s="117"/>
      <c r="BW511" s="117"/>
      <c r="BX511" s="150"/>
      <c r="BY511" s="117"/>
      <c r="BZ511" s="117"/>
      <c r="CA511" s="117"/>
      <c r="CB511" s="117"/>
      <c r="CC511" s="150"/>
      <c r="CD511" s="150"/>
      <c r="CE511" s="150"/>
      <c r="CF511" s="150"/>
      <c r="CG511" s="587"/>
    </row>
    <row r="512" spans="1:85" s="460" customFormat="1" ht="14.4" hidden="1" outlineLevel="1" x14ac:dyDescent="0.3">
      <c r="A512" s="159" t="s">
        <v>1283</v>
      </c>
      <c r="B512" s="586"/>
      <c r="C512" s="150"/>
      <c r="D512" s="150"/>
      <c r="E512" s="150"/>
      <c r="F512" s="150"/>
      <c r="G512" s="117"/>
      <c r="H512" s="117"/>
      <c r="I512" s="117"/>
      <c r="J512" s="117"/>
      <c r="K512" s="150"/>
      <c r="L512" s="117"/>
      <c r="M512" s="117"/>
      <c r="N512" s="117"/>
      <c r="O512" s="117"/>
      <c r="P512" s="150"/>
      <c r="Q512" s="117"/>
      <c r="R512" s="117"/>
      <c r="S512" s="117"/>
      <c r="T512" s="117"/>
      <c r="U512" s="150"/>
      <c r="V512" s="117"/>
      <c r="W512" s="117"/>
      <c r="X512" s="117"/>
      <c r="Y512" s="117"/>
      <c r="Z512" s="150"/>
      <c r="AA512" s="117"/>
      <c r="AB512" s="117"/>
      <c r="AC512" s="117"/>
      <c r="AD512" s="117"/>
      <c r="AE512" s="150"/>
      <c r="AF512" s="117"/>
      <c r="AG512" s="117"/>
      <c r="AH512" s="117"/>
      <c r="AI512" s="117"/>
      <c r="AJ512" s="150"/>
      <c r="AK512" s="117"/>
      <c r="AL512" s="117"/>
      <c r="AM512" s="117"/>
      <c r="AN512" s="117"/>
      <c r="AO512" s="975">
        <v>1</v>
      </c>
      <c r="AP512" s="117"/>
      <c r="AQ512" s="117"/>
      <c r="AR512" s="117"/>
      <c r="AS512" s="117"/>
      <c r="AT512" s="975">
        <v>1</v>
      </c>
      <c r="AU512" s="117"/>
      <c r="AV512" s="117"/>
      <c r="AW512" s="117"/>
      <c r="AX512" s="117"/>
      <c r="AY512" s="975">
        <v>0</v>
      </c>
      <c r="AZ512" s="117"/>
      <c r="BA512" s="117"/>
      <c r="BB512" s="117"/>
      <c r="BC512" s="117"/>
      <c r="BD512" s="975">
        <v>0</v>
      </c>
      <c r="BE512" s="117"/>
      <c r="BF512" s="117"/>
      <c r="BG512" s="117"/>
      <c r="BH512" s="117"/>
      <c r="BI512" s="975">
        <v>0</v>
      </c>
      <c r="BJ512" s="117"/>
      <c r="BK512" s="117"/>
      <c r="BL512" s="117"/>
      <c r="BM512" s="117"/>
      <c r="BN512" s="975">
        <v>0</v>
      </c>
      <c r="BO512" s="117"/>
      <c r="BP512" s="117"/>
      <c r="BQ512" s="117"/>
      <c r="BR512" s="117"/>
      <c r="BS512" s="975">
        <v>8</v>
      </c>
      <c r="BT512" s="691"/>
      <c r="BU512" s="117"/>
      <c r="BV512" s="117"/>
      <c r="BW512" s="117"/>
      <c r="BX512" s="150"/>
      <c r="BY512" s="117"/>
      <c r="BZ512" s="117"/>
      <c r="CA512" s="117"/>
      <c r="CB512" s="117"/>
      <c r="CC512" s="150"/>
      <c r="CD512" s="150"/>
      <c r="CE512" s="150"/>
      <c r="CF512" s="150"/>
      <c r="CG512" s="587"/>
    </row>
    <row r="513" spans="1:85" s="460" customFormat="1" ht="14.4" hidden="1" outlineLevel="1" x14ac:dyDescent="0.3">
      <c r="A513" s="159" t="s">
        <v>1284</v>
      </c>
      <c r="B513" s="586"/>
      <c r="C513" s="150"/>
      <c r="D513" s="150"/>
      <c r="E513" s="150"/>
      <c r="F513" s="150"/>
      <c r="G513" s="117"/>
      <c r="H513" s="117"/>
      <c r="I513" s="117"/>
      <c r="J513" s="117"/>
      <c r="K513" s="150"/>
      <c r="L513" s="117"/>
      <c r="M513" s="117"/>
      <c r="N513" s="117"/>
      <c r="O513" s="117"/>
      <c r="P513" s="150"/>
      <c r="Q513" s="117"/>
      <c r="R513" s="117"/>
      <c r="S513" s="117"/>
      <c r="T513" s="117"/>
      <c r="U513" s="150"/>
      <c r="V513" s="117"/>
      <c r="W513" s="117"/>
      <c r="X513" s="117"/>
      <c r="Y513" s="117"/>
      <c r="Z513" s="150"/>
      <c r="AA513" s="117"/>
      <c r="AB513" s="117"/>
      <c r="AC513" s="117"/>
      <c r="AD513" s="117"/>
      <c r="AE513" s="150"/>
      <c r="AF513" s="117"/>
      <c r="AG513" s="117"/>
      <c r="AH513" s="117"/>
      <c r="AI513" s="117"/>
      <c r="AJ513" s="150"/>
      <c r="AK513" s="117"/>
      <c r="AL513" s="117"/>
      <c r="AM513" s="117"/>
      <c r="AN513" s="117"/>
      <c r="AO513" s="975">
        <v>0</v>
      </c>
      <c r="AP513" s="117"/>
      <c r="AQ513" s="117"/>
      <c r="AR513" s="117"/>
      <c r="AS513" s="117"/>
      <c r="AT513" s="975">
        <v>0</v>
      </c>
      <c r="AU513" s="117"/>
      <c r="AV513" s="117"/>
      <c r="AW513" s="117"/>
      <c r="AX513" s="117"/>
      <c r="AY513" s="975">
        <v>0</v>
      </c>
      <c r="AZ513" s="117"/>
      <c r="BA513" s="117"/>
      <c r="BB513" s="117"/>
      <c r="BC513" s="117"/>
      <c r="BD513" s="975">
        <v>0</v>
      </c>
      <c r="BE513" s="117"/>
      <c r="BF513" s="117"/>
      <c r="BG513" s="117"/>
      <c r="BH513" s="117"/>
      <c r="BI513" s="975">
        <v>0</v>
      </c>
      <c r="BJ513" s="117"/>
      <c r="BK513" s="117"/>
      <c r="BL513" s="117"/>
      <c r="BM513" s="117"/>
      <c r="BN513" s="975">
        <v>0</v>
      </c>
      <c r="BO513" s="117"/>
      <c r="BP513" s="117"/>
      <c r="BQ513" s="117"/>
      <c r="BR513" s="117"/>
      <c r="BS513" s="975">
        <v>0</v>
      </c>
      <c r="BT513" s="691"/>
      <c r="BU513" s="117"/>
      <c r="BV513" s="117"/>
      <c r="BW513" s="117"/>
      <c r="BX513" s="150"/>
      <c r="BY513" s="117"/>
      <c r="BZ513" s="117"/>
      <c r="CA513" s="117"/>
      <c r="CB513" s="117"/>
      <c r="CC513" s="150"/>
      <c r="CD513" s="150"/>
      <c r="CE513" s="150"/>
      <c r="CF513" s="150"/>
      <c r="CG513" s="587"/>
    </row>
    <row r="514" spans="1:85" s="460" customFormat="1" ht="14.4" hidden="1" outlineLevel="1" x14ac:dyDescent="0.3">
      <c r="A514" s="159" t="s">
        <v>1285</v>
      </c>
      <c r="B514" s="586"/>
      <c r="C514" s="150"/>
      <c r="D514" s="150"/>
      <c r="E514" s="150"/>
      <c r="F514" s="150"/>
      <c r="G514" s="117"/>
      <c r="H514" s="117"/>
      <c r="I514" s="117"/>
      <c r="J514" s="117"/>
      <c r="K514" s="150"/>
      <c r="L514" s="117"/>
      <c r="M514" s="117"/>
      <c r="N514" s="117"/>
      <c r="O514" s="117"/>
      <c r="P514" s="150"/>
      <c r="Q514" s="117"/>
      <c r="R514" s="117"/>
      <c r="S514" s="117"/>
      <c r="T514" s="117"/>
      <c r="U514" s="150"/>
      <c r="V514" s="117"/>
      <c r="W514" s="117"/>
      <c r="X514" s="117"/>
      <c r="Y514" s="117"/>
      <c r="Z514" s="150"/>
      <c r="AA514" s="117"/>
      <c r="AB514" s="117"/>
      <c r="AC514" s="117"/>
      <c r="AD514" s="117"/>
      <c r="AE514" s="150"/>
      <c r="AF514" s="117"/>
      <c r="AG514" s="117"/>
      <c r="AH514" s="117"/>
      <c r="AI514" s="117"/>
      <c r="AJ514" s="150"/>
      <c r="AK514" s="117"/>
      <c r="AL514" s="117"/>
      <c r="AM514" s="117"/>
      <c r="AN514" s="117"/>
      <c r="AO514" s="975">
        <v>0</v>
      </c>
      <c r="AP514" s="117"/>
      <c r="AQ514" s="117"/>
      <c r="AR514" s="117"/>
      <c r="AS514" s="117"/>
      <c r="AT514" s="975">
        <v>0</v>
      </c>
      <c r="AU514" s="117"/>
      <c r="AV514" s="117"/>
      <c r="AW514" s="117"/>
      <c r="AX514" s="117"/>
      <c r="AY514" s="975">
        <v>0</v>
      </c>
      <c r="AZ514" s="117"/>
      <c r="BA514" s="117"/>
      <c r="BB514" s="117"/>
      <c r="BC514" s="117"/>
      <c r="BD514" s="975">
        <v>0</v>
      </c>
      <c r="BE514" s="117"/>
      <c r="BF514" s="117"/>
      <c r="BG514" s="117"/>
      <c r="BH514" s="117"/>
      <c r="BI514" s="975">
        <v>0</v>
      </c>
      <c r="BJ514" s="117"/>
      <c r="BK514" s="117"/>
      <c r="BL514" s="117"/>
      <c r="BM514" s="117"/>
      <c r="BN514" s="975">
        <v>0</v>
      </c>
      <c r="BO514" s="117"/>
      <c r="BP514" s="117"/>
      <c r="BQ514" s="117"/>
      <c r="BR514" s="117"/>
      <c r="BS514" s="975">
        <v>0</v>
      </c>
      <c r="BT514" s="691"/>
      <c r="BU514" s="117"/>
      <c r="BV514" s="117"/>
      <c r="BW514" s="117"/>
      <c r="BX514" s="150"/>
      <c r="BY514" s="117"/>
      <c r="BZ514" s="117"/>
      <c r="CA514" s="117"/>
      <c r="CB514" s="117"/>
      <c r="CC514" s="150"/>
      <c r="CD514" s="150"/>
      <c r="CE514" s="150"/>
      <c r="CF514" s="150"/>
      <c r="CG514" s="587"/>
    </row>
    <row r="515" spans="1:85" s="460" customFormat="1" ht="14.4" hidden="1" outlineLevel="1" x14ac:dyDescent="0.3">
      <c r="A515" s="262" t="s">
        <v>1286</v>
      </c>
      <c r="B515" s="588"/>
      <c r="C515" s="954"/>
      <c r="D515" s="954"/>
      <c r="E515" s="954"/>
      <c r="F515" s="954"/>
      <c r="G515" s="133"/>
      <c r="H515" s="133"/>
      <c r="I515" s="133"/>
      <c r="J515" s="133"/>
      <c r="K515" s="954"/>
      <c r="L515" s="133"/>
      <c r="M515" s="133"/>
      <c r="N515" s="133"/>
      <c r="O515" s="133"/>
      <c r="P515" s="954"/>
      <c r="Q515" s="133"/>
      <c r="R515" s="133"/>
      <c r="S515" s="133"/>
      <c r="T515" s="133"/>
      <c r="U515" s="954"/>
      <c r="V515" s="133"/>
      <c r="W515" s="133"/>
      <c r="X515" s="133"/>
      <c r="Y515" s="133"/>
      <c r="Z515" s="954"/>
      <c r="AA515" s="133"/>
      <c r="AB515" s="133"/>
      <c r="AC515" s="133"/>
      <c r="AD515" s="133"/>
      <c r="AE515" s="954"/>
      <c r="AF515" s="133"/>
      <c r="AG515" s="133"/>
      <c r="AH515" s="133"/>
      <c r="AI515" s="133"/>
      <c r="AJ515" s="954"/>
      <c r="AK515" s="133"/>
      <c r="AL515" s="133"/>
      <c r="AM515" s="133"/>
      <c r="AN515" s="133"/>
      <c r="AO515" s="976">
        <v>-16</v>
      </c>
      <c r="AP515" s="133"/>
      <c r="AQ515" s="133"/>
      <c r="AR515" s="133"/>
      <c r="AS515" s="133"/>
      <c r="AT515" s="976">
        <v>-15</v>
      </c>
      <c r="AU515" s="133"/>
      <c r="AV515" s="133"/>
      <c r="AW515" s="133"/>
      <c r="AX515" s="133"/>
      <c r="AY515" s="976">
        <v>-15</v>
      </c>
      <c r="AZ515" s="133"/>
      <c r="BA515" s="133"/>
      <c r="BB515" s="133"/>
      <c r="BC515" s="133"/>
      <c r="BD515" s="976">
        <v>-15</v>
      </c>
      <c r="BE515" s="133"/>
      <c r="BF515" s="133"/>
      <c r="BG515" s="133"/>
      <c r="BH515" s="133"/>
      <c r="BI515" s="976">
        <v>-15</v>
      </c>
      <c r="BJ515" s="133"/>
      <c r="BK515" s="133"/>
      <c r="BL515" s="133"/>
      <c r="BM515" s="133"/>
      <c r="BN515" s="976">
        <v>-15</v>
      </c>
      <c r="BO515" s="133"/>
      <c r="BP515" s="133"/>
      <c r="BQ515" s="133"/>
      <c r="BR515" s="133"/>
      <c r="BS515" s="976">
        <v>-13</v>
      </c>
      <c r="BT515" s="692"/>
      <c r="BU515" s="133"/>
      <c r="BV515" s="133"/>
      <c r="BW515" s="133"/>
      <c r="BX515" s="954"/>
      <c r="BY515" s="133"/>
      <c r="BZ515" s="133"/>
      <c r="CA515" s="133"/>
      <c r="CB515" s="133"/>
      <c r="CC515" s="954"/>
      <c r="CD515" s="954"/>
      <c r="CE515" s="954"/>
      <c r="CF515" s="954"/>
      <c r="CG515" s="587"/>
    </row>
    <row r="516" spans="1:85" s="461" customFormat="1" ht="14.4" hidden="1" outlineLevel="1" x14ac:dyDescent="0.3">
      <c r="A516" s="166" t="s">
        <v>1287</v>
      </c>
      <c r="B516" s="583"/>
      <c r="C516" s="957"/>
      <c r="D516" s="957"/>
      <c r="E516" s="957"/>
      <c r="F516" s="957"/>
      <c r="G516" s="120"/>
      <c r="H516" s="120"/>
      <c r="I516" s="120"/>
      <c r="J516" s="120"/>
      <c r="K516" s="957"/>
      <c r="L516" s="120"/>
      <c r="M516" s="120"/>
      <c r="N516" s="120"/>
      <c r="O516" s="120"/>
      <c r="P516" s="957"/>
      <c r="Q516" s="120"/>
      <c r="R516" s="120"/>
      <c r="S516" s="120"/>
      <c r="T516" s="120"/>
      <c r="U516" s="957"/>
      <c r="V516" s="120"/>
      <c r="W516" s="120"/>
      <c r="X516" s="120"/>
      <c r="Y516" s="120"/>
      <c r="Z516" s="957"/>
      <c r="AA516" s="120"/>
      <c r="AB516" s="120"/>
      <c r="AC516" s="120"/>
      <c r="AD516" s="120"/>
      <c r="AE516" s="957"/>
      <c r="AF516" s="120"/>
      <c r="AG516" s="120"/>
      <c r="AH516" s="120"/>
      <c r="AI516" s="120"/>
      <c r="AJ516" s="957"/>
      <c r="AK516" s="120"/>
      <c r="AL516" s="120"/>
      <c r="AM516" s="120"/>
      <c r="AN516" s="120"/>
      <c r="AO516" s="957">
        <f>SUM(AO509:AO515)</f>
        <v>166</v>
      </c>
      <c r="AP516" s="120"/>
      <c r="AQ516" s="120"/>
      <c r="AR516" s="120"/>
      <c r="AS516" s="120"/>
      <c r="AT516" s="957">
        <f>SUM(AT509:AT515)</f>
        <v>141</v>
      </c>
      <c r="AU516" s="120"/>
      <c r="AV516" s="120"/>
      <c r="AW516" s="120"/>
      <c r="AX516" s="120"/>
      <c r="AY516" s="957">
        <f>SUM(AY509:AY515)</f>
        <v>134</v>
      </c>
      <c r="AZ516" s="120"/>
      <c r="BA516" s="120"/>
      <c r="BB516" s="120"/>
      <c r="BC516" s="120"/>
      <c r="BD516" s="957">
        <f>SUM(BD509:BD515)</f>
        <v>121</v>
      </c>
      <c r="BE516" s="120"/>
      <c r="BF516" s="120"/>
      <c r="BG516" s="120"/>
      <c r="BH516" s="120"/>
      <c r="BI516" s="957">
        <f>SUM(BI509:BI515)</f>
        <v>107</v>
      </c>
      <c r="BJ516" s="120"/>
      <c r="BK516" s="120"/>
      <c r="BL516" s="120"/>
      <c r="BM516" s="120"/>
      <c r="BN516" s="957">
        <f>SUM(BN509:BN515)</f>
        <v>92</v>
      </c>
      <c r="BO516" s="120"/>
      <c r="BP516" s="120"/>
      <c r="BQ516" s="120"/>
      <c r="BR516" s="120"/>
      <c r="BS516" s="957">
        <f>SUM(BS509:BS515)</f>
        <v>93</v>
      </c>
      <c r="BT516" s="694"/>
      <c r="BU516" s="120"/>
      <c r="BV516" s="120"/>
      <c r="BW516" s="120"/>
      <c r="BX516" s="957"/>
      <c r="BY516" s="120"/>
      <c r="BZ516" s="120"/>
      <c r="CA516" s="120"/>
      <c r="CB516" s="120"/>
      <c r="CC516" s="957"/>
      <c r="CD516" s="957"/>
      <c r="CE516" s="957"/>
      <c r="CF516" s="957"/>
      <c r="CG516" s="615"/>
    </row>
    <row r="517" spans="1:85" s="461" customFormat="1" ht="14.4" hidden="1" outlineLevel="1" x14ac:dyDescent="0.3">
      <c r="A517" s="166" t="s">
        <v>1288</v>
      </c>
      <c r="B517" s="583"/>
      <c r="C517" s="957"/>
      <c r="D517" s="957"/>
      <c r="E517" s="957"/>
      <c r="F517" s="957"/>
      <c r="G517" s="120"/>
      <c r="H517" s="120"/>
      <c r="I517" s="120"/>
      <c r="J517" s="120"/>
      <c r="K517" s="957"/>
      <c r="L517" s="120"/>
      <c r="M517" s="120"/>
      <c r="N517" s="120"/>
      <c r="O517" s="120"/>
      <c r="P517" s="957"/>
      <c r="Q517" s="120"/>
      <c r="R517" s="120"/>
      <c r="S517" s="120"/>
      <c r="T517" s="120"/>
      <c r="U517" s="957"/>
      <c r="V517" s="120"/>
      <c r="W517" s="120"/>
      <c r="X517" s="120"/>
      <c r="Y517" s="120"/>
      <c r="Z517" s="957"/>
      <c r="AA517" s="120"/>
      <c r="AB517" s="120"/>
      <c r="AC517" s="120"/>
      <c r="AD517" s="120"/>
      <c r="AE517" s="957"/>
      <c r="AF517" s="120"/>
      <c r="AG517" s="120"/>
      <c r="AH517" s="120"/>
      <c r="AI517" s="120"/>
      <c r="AJ517" s="957"/>
      <c r="AK517" s="120"/>
      <c r="AL517" s="120"/>
      <c r="AM517" s="120"/>
      <c r="AN517" s="120"/>
      <c r="AO517" s="983">
        <v>146</v>
      </c>
      <c r="AP517" s="120"/>
      <c r="AQ517" s="120"/>
      <c r="AR517" s="120"/>
      <c r="AS517" s="120"/>
      <c r="AT517" s="983">
        <v>69</v>
      </c>
      <c r="AU517" s="120"/>
      <c r="AV517" s="120"/>
      <c r="AW517" s="120"/>
      <c r="AX517" s="120"/>
      <c r="AY517" s="983">
        <v>61</v>
      </c>
      <c r="AZ517" s="120"/>
      <c r="BA517" s="120"/>
      <c r="BB517" s="120"/>
      <c r="BC517" s="120"/>
      <c r="BD517" s="983">
        <v>62</v>
      </c>
      <c r="BE517" s="120"/>
      <c r="BF517" s="120"/>
      <c r="BG517" s="120"/>
      <c r="BH517" s="120"/>
      <c r="BI517" s="983">
        <v>58</v>
      </c>
      <c r="BJ517" s="120"/>
      <c r="BK517" s="120"/>
      <c r="BL517" s="120"/>
      <c r="BM517" s="120"/>
      <c r="BN517" s="983">
        <v>53</v>
      </c>
      <c r="BO517" s="120"/>
      <c r="BP517" s="120"/>
      <c r="BQ517" s="120"/>
      <c r="BR517" s="120"/>
      <c r="BS517" s="983">
        <v>49</v>
      </c>
      <c r="BT517" s="694"/>
      <c r="BU517" s="120"/>
      <c r="BV517" s="120"/>
      <c r="BW517" s="120"/>
      <c r="BX517" s="957"/>
      <c r="BY517" s="120"/>
      <c r="BZ517" s="120"/>
      <c r="CA517" s="120"/>
      <c r="CB517" s="120"/>
      <c r="CC517" s="957"/>
      <c r="CD517" s="957"/>
      <c r="CE517" s="957"/>
      <c r="CF517" s="957"/>
      <c r="CG517" s="615"/>
    </row>
    <row r="518" spans="1:85" s="460" customFormat="1" ht="14.4" hidden="1" outlineLevel="1" x14ac:dyDescent="0.3">
      <c r="A518" s="159" t="s">
        <v>1289</v>
      </c>
      <c r="B518" s="586"/>
      <c r="C518" s="150"/>
      <c r="D518" s="150"/>
      <c r="E518" s="150"/>
      <c r="F518" s="150"/>
      <c r="G518" s="117"/>
      <c r="H518" s="117"/>
      <c r="I518" s="117"/>
      <c r="J518" s="117"/>
      <c r="K518" s="150"/>
      <c r="L518" s="117"/>
      <c r="M518" s="117"/>
      <c r="N518" s="117"/>
      <c r="O518" s="117"/>
      <c r="P518" s="150"/>
      <c r="Q518" s="117"/>
      <c r="R518" s="117"/>
      <c r="S518" s="117"/>
      <c r="T518" s="117"/>
      <c r="U518" s="150"/>
      <c r="V518" s="117"/>
      <c r="W518" s="117"/>
      <c r="X518" s="117"/>
      <c r="Y518" s="117"/>
      <c r="Z518" s="150"/>
      <c r="AA518" s="117"/>
      <c r="AB518" s="117"/>
      <c r="AC518" s="117"/>
      <c r="AD518" s="117"/>
      <c r="AE518" s="150"/>
      <c r="AF518" s="117"/>
      <c r="AG518" s="117"/>
      <c r="AH518" s="117"/>
      <c r="AI518" s="117"/>
      <c r="AJ518" s="150"/>
      <c r="AK518" s="117"/>
      <c r="AL518" s="117"/>
      <c r="AM518" s="117"/>
      <c r="AN518" s="117"/>
      <c r="AO518" s="975">
        <v>6</v>
      </c>
      <c r="AP518" s="117"/>
      <c r="AQ518" s="117"/>
      <c r="AR518" s="117"/>
      <c r="AS518" s="117"/>
      <c r="AT518" s="975">
        <v>-4</v>
      </c>
      <c r="AU518" s="117"/>
      <c r="AV518" s="117"/>
      <c r="AW518" s="117"/>
      <c r="AX518" s="117"/>
      <c r="AY518" s="975">
        <v>6</v>
      </c>
      <c r="AZ518" s="117"/>
      <c r="BA518" s="117"/>
      <c r="BB518" s="117"/>
      <c r="BC518" s="117"/>
      <c r="BD518" s="975">
        <v>1</v>
      </c>
      <c r="BE518" s="117"/>
      <c r="BF518" s="117"/>
      <c r="BG518" s="117"/>
      <c r="BH518" s="117"/>
      <c r="BI518" s="975">
        <v>-1</v>
      </c>
      <c r="BJ518" s="117"/>
      <c r="BK518" s="117"/>
      <c r="BL518" s="117"/>
      <c r="BM518" s="117"/>
      <c r="BN518" s="975">
        <v>0</v>
      </c>
      <c r="BO518" s="117"/>
      <c r="BP518" s="117"/>
      <c r="BQ518" s="117"/>
      <c r="BR518" s="117"/>
      <c r="BS518" s="975">
        <v>-10</v>
      </c>
      <c r="BT518" s="691"/>
      <c r="BU518" s="117"/>
      <c r="BV518" s="117"/>
      <c r="BW518" s="117"/>
      <c r="BX518" s="150"/>
      <c r="BY518" s="117"/>
      <c r="BZ518" s="117"/>
      <c r="CA518" s="117"/>
      <c r="CB518" s="117"/>
      <c r="CC518" s="150"/>
      <c r="CD518" s="150"/>
      <c r="CE518" s="150"/>
      <c r="CF518" s="150"/>
      <c r="CG518" s="587"/>
    </row>
    <row r="519" spans="1:85" s="460" customFormat="1" ht="14.4" hidden="1" outlineLevel="1" x14ac:dyDescent="0.3">
      <c r="A519" s="159" t="s">
        <v>1290</v>
      </c>
      <c r="B519" s="586"/>
      <c r="C519" s="150"/>
      <c r="D519" s="150"/>
      <c r="E519" s="150"/>
      <c r="F519" s="150"/>
      <c r="G519" s="117"/>
      <c r="H519" s="117"/>
      <c r="I519" s="117"/>
      <c r="J519" s="117"/>
      <c r="K519" s="150"/>
      <c r="L519" s="117"/>
      <c r="M519" s="117"/>
      <c r="N519" s="117"/>
      <c r="O519" s="117"/>
      <c r="P519" s="150"/>
      <c r="Q519" s="117"/>
      <c r="R519" s="117"/>
      <c r="S519" s="117"/>
      <c r="T519" s="117"/>
      <c r="U519" s="150"/>
      <c r="V519" s="117"/>
      <c r="W519" s="117"/>
      <c r="X519" s="117"/>
      <c r="Y519" s="117"/>
      <c r="Z519" s="150"/>
      <c r="AA519" s="117"/>
      <c r="AB519" s="117"/>
      <c r="AC519" s="117"/>
      <c r="AD519" s="117"/>
      <c r="AE519" s="150"/>
      <c r="AF519" s="117"/>
      <c r="AG519" s="117"/>
      <c r="AH519" s="117"/>
      <c r="AI519" s="117"/>
      <c r="AJ519" s="150"/>
      <c r="AK519" s="117"/>
      <c r="AL519" s="117"/>
      <c r="AM519" s="117"/>
      <c r="AN519" s="117"/>
      <c r="AO519" s="975">
        <v>0</v>
      </c>
      <c r="AP519" s="117"/>
      <c r="AQ519" s="117"/>
      <c r="AR519" s="117"/>
      <c r="AS519" s="117"/>
      <c r="AT519" s="975">
        <v>0</v>
      </c>
      <c r="AU519" s="117"/>
      <c r="AV519" s="117"/>
      <c r="AW519" s="117"/>
      <c r="AX519" s="117"/>
      <c r="AY519" s="975">
        <v>0</v>
      </c>
      <c r="AZ519" s="117"/>
      <c r="BA519" s="117"/>
      <c r="BB519" s="117"/>
      <c r="BC519" s="117"/>
      <c r="BD519" s="975">
        <v>0</v>
      </c>
      <c r="BE519" s="117"/>
      <c r="BF519" s="117"/>
      <c r="BG519" s="117"/>
      <c r="BH519" s="117"/>
      <c r="BI519" s="975">
        <v>0</v>
      </c>
      <c r="BJ519" s="117"/>
      <c r="BK519" s="117"/>
      <c r="BL519" s="117"/>
      <c r="BM519" s="117"/>
      <c r="BN519" s="975">
        <v>0</v>
      </c>
      <c r="BO519" s="117"/>
      <c r="BP519" s="117"/>
      <c r="BQ519" s="117"/>
      <c r="BR519" s="117"/>
      <c r="BS519" s="975">
        <v>0</v>
      </c>
      <c r="BT519" s="691"/>
      <c r="BU519" s="117"/>
      <c r="BV519" s="117"/>
      <c r="BW519" s="117"/>
      <c r="BX519" s="150"/>
      <c r="BY519" s="117"/>
      <c r="BZ519" s="117"/>
      <c r="CA519" s="117"/>
      <c r="CB519" s="117"/>
      <c r="CC519" s="150"/>
      <c r="CD519" s="150"/>
      <c r="CE519" s="150"/>
      <c r="CF519" s="150"/>
      <c r="CG519" s="587"/>
    </row>
    <row r="520" spans="1:85" s="460" customFormat="1" ht="14.4" hidden="1" outlineLevel="1" x14ac:dyDescent="0.3">
      <c r="A520" s="159" t="s">
        <v>1291</v>
      </c>
      <c r="B520" s="586"/>
      <c r="C520" s="150"/>
      <c r="D520" s="150"/>
      <c r="E520" s="150"/>
      <c r="F520" s="150"/>
      <c r="G520" s="117"/>
      <c r="H520" s="117"/>
      <c r="I520" s="117"/>
      <c r="J520" s="117"/>
      <c r="K520" s="150"/>
      <c r="L520" s="117"/>
      <c r="M520" s="117"/>
      <c r="N520" s="117"/>
      <c r="O520" s="117"/>
      <c r="P520" s="150"/>
      <c r="Q520" s="117"/>
      <c r="R520" s="117"/>
      <c r="S520" s="117"/>
      <c r="T520" s="117"/>
      <c r="U520" s="150"/>
      <c r="V520" s="117"/>
      <c r="W520" s="117"/>
      <c r="X520" s="117"/>
      <c r="Y520" s="117"/>
      <c r="Z520" s="150"/>
      <c r="AA520" s="117"/>
      <c r="AB520" s="117"/>
      <c r="AC520" s="117"/>
      <c r="AD520" s="117"/>
      <c r="AE520" s="150"/>
      <c r="AF520" s="117"/>
      <c r="AG520" s="117"/>
      <c r="AH520" s="117"/>
      <c r="AI520" s="117"/>
      <c r="AJ520" s="150"/>
      <c r="AK520" s="117"/>
      <c r="AL520" s="117"/>
      <c r="AM520" s="117"/>
      <c r="AN520" s="117"/>
      <c r="AO520" s="975">
        <v>2</v>
      </c>
      <c r="AP520" s="117"/>
      <c r="AQ520" s="117"/>
      <c r="AR520" s="117"/>
      <c r="AS520" s="117"/>
      <c r="AT520" s="975">
        <v>0</v>
      </c>
      <c r="AU520" s="117"/>
      <c r="AV520" s="117"/>
      <c r="AW520" s="117"/>
      <c r="AX520" s="117"/>
      <c r="AY520" s="975">
        <v>0</v>
      </c>
      <c r="AZ520" s="117"/>
      <c r="BA520" s="117"/>
      <c r="BB520" s="117"/>
      <c r="BC520" s="117"/>
      <c r="BD520" s="975">
        <v>0</v>
      </c>
      <c r="BE520" s="117"/>
      <c r="BF520" s="117"/>
      <c r="BG520" s="117"/>
      <c r="BH520" s="117"/>
      <c r="BI520" s="975">
        <v>0</v>
      </c>
      <c r="BJ520" s="117"/>
      <c r="BK520" s="117"/>
      <c r="BL520" s="117"/>
      <c r="BM520" s="117"/>
      <c r="BN520" s="975">
        <v>0</v>
      </c>
      <c r="BO520" s="117"/>
      <c r="BP520" s="117"/>
      <c r="BQ520" s="117"/>
      <c r="BR520" s="117"/>
      <c r="BS520" s="975">
        <v>0</v>
      </c>
      <c r="BT520" s="691"/>
      <c r="BU520" s="117"/>
      <c r="BV520" s="117"/>
      <c r="BW520" s="117"/>
      <c r="BX520" s="150"/>
      <c r="BY520" s="117"/>
      <c r="BZ520" s="117"/>
      <c r="CA520" s="117"/>
      <c r="CB520" s="117"/>
      <c r="CC520" s="150"/>
      <c r="CD520" s="150"/>
      <c r="CE520" s="150"/>
      <c r="CF520" s="150"/>
      <c r="CG520" s="587"/>
    </row>
    <row r="521" spans="1:85" s="460" customFormat="1" ht="14.4" hidden="1" outlineLevel="1" x14ac:dyDescent="0.3">
      <c r="A521" s="159" t="s">
        <v>1292</v>
      </c>
      <c r="B521" s="586"/>
      <c r="C521" s="150"/>
      <c r="D521" s="150"/>
      <c r="E521" s="150"/>
      <c r="F521" s="150"/>
      <c r="G521" s="117"/>
      <c r="H521" s="117"/>
      <c r="I521" s="117"/>
      <c r="J521" s="117"/>
      <c r="K521" s="150"/>
      <c r="L521" s="117"/>
      <c r="M521" s="117"/>
      <c r="N521" s="117"/>
      <c r="O521" s="117"/>
      <c r="P521" s="150"/>
      <c r="Q521" s="117"/>
      <c r="R521" s="117"/>
      <c r="S521" s="117"/>
      <c r="T521" s="117"/>
      <c r="U521" s="150"/>
      <c r="V521" s="117"/>
      <c r="W521" s="117"/>
      <c r="X521" s="117"/>
      <c r="Y521" s="117"/>
      <c r="Z521" s="150"/>
      <c r="AA521" s="117"/>
      <c r="AB521" s="117"/>
      <c r="AC521" s="117"/>
      <c r="AD521" s="117"/>
      <c r="AE521" s="150"/>
      <c r="AF521" s="117"/>
      <c r="AG521" s="117"/>
      <c r="AH521" s="117"/>
      <c r="AI521" s="117"/>
      <c r="AJ521" s="150"/>
      <c r="AK521" s="117"/>
      <c r="AL521" s="117"/>
      <c r="AM521" s="117"/>
      <c r="AN521" s="117"/>
      <c r="AO521" s="975">
        <v>0</v>
      </c>
      <c r="AP521" s="117"/>
      <c r="AQ521" s="117"/>
      <c r="AR521" s="117"/>
      <c r="AS521" s="117"/>
      <c r="AT521" s="975">
        <v>0</v>
      </c>
      <c r="AU521" s="117"/>
      <c r="AV521" s="117"/>
      <c r="AW521" s="117"/>
      <c r="AX521" s="117"/>
      <c r="AY521" s="975">
        <v>0</v>
      </c>
      <c r="AZ521" s="117"/>
      <c r="BA521" s="117"/>
      <c r="BB521" s="117"/>
      <c r="BC521" s="117"/>
      <c r="BD521" s="975">
        <v>0</v>
      </c>
      <c r="BE521" s="117"/>
      <c r="BF521" s="117"/>
      <c r="BG521" s="117"/>
      <c r="BH521" s="117"/>
      <c r="BI521" s="975">
        <v>0</v>
      </c>
      <c r="BJ521" s="117"/>
      <c r="BK521" s="117"/>
      <c r="BL521" s="117"/>
      <c r="BM521" s="117"/>
      <c r="BN521" s="975">
        <v>0</v>
      </c>
      <c r="BO521" s="117"/>
      <c r="BP521" s="117"/>
      <c r="BQ521" s="117"/>
      <c r="BR521" s="117"/>
      <c r="BS521" s="975">
        <v>0</v>
      </c>
      <c r="BT521" s="691"/>
      <c r="BU521" s="117"/>
      <c r="BV521" s="117"/>
      <c r="BW521" s="117"/>
      <c r="BX521" s="150"/>
      <c r="BY521" s="117"/>
      <c r="BZ521" s="117"/>
      <c r="CA521" s="117"/>
      <c r="CB521" s="117"/>
      <c r="CC521" s="150"/>
      <c r="CD521" s="150"/>
      <c r="CE521" s="150"/>
      <c r="CF521" s="150"/>
      <c r="CG521" s="587"/>
    </row>
    <row r="522" spans="1:85" s="460" customFormat="1" ht="14.4" hidden="1" outlineLevel="1" x14ac:dyDescent="0.3">
      <c r="A522" s="159" t="s">
        <v>1293</v>
      </c>
      <c r="B522" s="586"/>
      <c r="C522" s="150"/>
      <c r="D522" s="150"/>
      <c r="E522" s="150"/>
      <c r="F522" s="150"/>
      <c r="G522" s="117"/>
      <c r="H522" s="117"/>
      <c r="I522" s="117"/>
      <c r="J522" s="117"/>
      <c r="K522" s="150"/>
      <c r="L522" s="117"/>
      <c r="M522" s="117"/>
      <c r="N522" s="117"/>
      <c r="O522" s="117"/>
      <c r="P522" s="150"/>
      <c r="Q522" s="117"/>
      <c r="R522" s="117"/>
      <c r="S522" s="117"/>
      <c r="T522" s="117"/>
      <c r="U522" s="150"/>
      <c r="V522" s="117"/>
      <c r="W522" s="117"/>
      <c r="X522" s="117"/>
      <c r="Y522" s="117"/>
      <c r="Z522" s="150"/>
      <c r="AA522" s="117"/>
      <c r="AB522" s="117"/>
      <c r="AC522" s="117"/>
      <c r="AD522" s="117"/>
      <c r="AE522" s="150"/>
      <c r="AF522" s="117"/>
      <c r="AG522" s="117"/>
      <c r="AH522" s="117"/>
      <c r="AI522" s="117"/>
      <c r="AJ522" s="150"/>
      <c r="AK522" s="117"/>
      <c r="AL522" s="117"/>
      <c r="AM522" s="117"/>
      <c r="AN522" s="117"/>
      <c r="AO522" s="975">
        <v>-69</v>
      </c>
      <c r="AP522" s="117"/>
      <c r="AQ522" s="117"/>
      <c r="AR522" s="117"/>
      <c r="AS522" s="117"/>
      <c r="AT522" s="975">
        <v>0</v>
      </c>
      <c r="AU522" s="117"/>
      <c r="AV522" s="117"/>
      <c r="AW522" s="117"/>
      <c r="AX522" s="117"/>
      <c r="AY522" s="975">
        <v>0</v>
      </c>
      <c r="AZ522" s="117"/>
      <c r="BA522" s="117"/>
      <c r="BB522" s="117"/>
      <c r="BC522" s="117"/>
      <c r="BD522" s="975">
        <v>0</v>
      </c>
      <c r="BE522" s="117"/>
      <c r="BF522" s="117"/>
      <c r="BG522" s="117"/>
      <c r="BH522" s="117"/>
      <c r="BI522" s="975">
        <v>0</v>
      </c>
      <c r="BJ522" s="117"/>
      <c r="BK522" s="117"/>
      <c r="BL522" s="117"/>
      <c r="BM522" s="117"/>
      <c r="BN522" s="975">
        <v>0</v>
      </c>
      <c r="BO522" s="117"/>
      <c r="BP522" s="117"/>
      <c r="BQ522" s="117"/>
      <c r="BR522" s="117"/>
      <c r="BS522" s="975">
        <v>0</v>
      </c>
      <c r="BT522" s="691"/>
      <c r="BU522" s="117"/>
      <c r="BV522" s="117"/>
      <c r="BW522" s="117"/>
      <c r="BX522" s="150"/>
      <c r="BY522" s="117"/>
      <c r="BZ522" s="117"/>
      <c r="CA522" s="117"/>
      <c r="CB522" s="117"/>
      <c r="CC522" s="150"/>
      <c r="CD522" s="150"/>
      <c r="CE522" s="150"/>
      <c r="CF522" s="150"/>
      <c r="CG522" s="587"/>
    </row>
    <row r="523" spans="1:85" s="460" customFormat="1" ht="14.4" hidden="1" outlineLevel="1" x14ac:dyDescent="0.3">
      <c r="A523" s="262" t="s">
        <v>1294</v>
      </c>
      <c r="B523" s="588"/>
      <c r="C523" s="954"/>
      <c r="D523" s="954"/>
      <c r="E523" s="954"/>
      <c r="F523" s="954"/>
      <c r="G523" s="133"/>
      <c r="H523" s="133"/>
      <c r="I523" s="133"/>
      <c r="J523" s="133"/>
      <c r="K523" s="954"/>
      <c r="L523" s="133"/>
      <c r="M523" s="133"/>
      <c r="N523" s="133"/>
      <c r="O523" s="133"/>
      <c r="P523" s="954"/>
      <c r="Q523" s="133"/>
      <c r="R523" s="133"/>
      <c r="S523" s="133"/>
      <c r="T523" s="133"/>
      <c r="U523" s="954"/>
      <c r="V523" s="133"/>
      <c r="W523" s="133"/>
      <c r="X523" s="133"/>
      <c r="Y523" s="133"/>
      <c r="Z523" s="954"/>
      <c r="AA523" s="133"/>
      <c r="AB523" s="133"/>
      <c r="AC523" s="133"/>
      <c r="AD523" s="133"/>
      <c r="AE523" s="954"/>
      <c r="AF523" s="133"/>
      <c r="AG523" s="133"/>
      <c r="AH523" s="133"/>
      <c r="AI523" s="133"/>
      <c r="AJ523" s="954"/>
      <c r="AK523" s="133"/>
      <c r="AL523" s="133"/>
      <c r="AM523" s="133"/>
      <c r="AN523" s="133"/>
      <c r="AO523" s="976">
        <v>-16</v>
      </c>
      <c r="AP523" s="133"/>
      <c r="AQ523" s="133"/>
      <c r="AR523" s="133"/>
      <c r="AS523" s="133"/>
      <c r="AT523" s="976">
        <v>-4</v>
      </c>
      <c r="AU523" s="133"/>
      <c r="AV523" s="133"/>
      <c r="AW523" s="133"/>
      <c r="AX523" s="133"/>
      <c r="AY523" s="976">
        <v>-5</v>
      </c>
      <c r="AZ523" s="133"/>
      <c r="BA523" s="133"/>
      <c r="BB523" s="133"/>
      <c r="BC523" s="133"/>
      <c r="BD523" s="976">
        <v>-5</v>
      </c>
      <c r="BE523" s="133"/>
      <c r="BF523" s="133"/>
      <c r="BG523" s="133"/>
      <c r="BH523" s="133"/>
      <c r="BI523" s="976">
        <v>-4</v>
      </c>
      <c r="BJ523" s="133"/>
      <c r="BK523" s="133"/>
      <c r="BL523" s="133"/>
      <c r="BM523" s="133"/>
      <c r="BN523" s="976">
        <v>-4</v>
      </c>
      <c r="BO523" s="133"/>
      <c r="BP523" s="133"/>
      <c r="BQ523" s="133"/>
      <c r="BR523" s="133"/>
      <c r="BS523" s="976">
        <v>-4</v>
      </c>
      <c r="BT523" s="692"/>
      <c r="BU523" s="133"/>
      <c r="BV523" s="133"/>
      <c r="BW523" s="133"/>
      <c r="BX523" s="954"/>
      <c r="BY523" s="133"/>
      <c r="BZ523" s="133"/>
      <c r="CA523" s="133"/>
      <c r="CB523" s="133"/>
      <c r="CC523" s="954"/>
      <c r="CD523" s="954"/>
      <c r="CE523" s="954"/>
      <c r="CF523" s="954"/>
      <c r="CG523" s="587"/>
    </row>
    <row r="524" spans="1:85" s="461" customFormat="1" ht="14.4" hidden="1" outlineLevel="1" x14ac:dyDescent="0.3">
      <c r="A524" s="166" t="s">
        <v>1295</v>
      </c>
      <c r="B524" s="583"/>
      <c r="C524" s="957"/>
      <c r="D524" s="957"/>
      <c r="E524" s="957"/>
      <c r="F524" s="957"/>
      <c r="G524" s="120"/>
      <c r="H524" s="120"/>
      <c r="I524" s="120"/>
      <c r="J524" s="120"/>
      <c r="K524" s="957"/>
      <c r="L524" s="120"/>
      <c r="M524" s="120"/>
      <c r="N524" s="120"/>
      <c r="O524" s="120"/>
      <c r="P524" s="957"/>
      <c r="Q524" s="120"/>
      <c r="R524" s="120"/>
      <c r="S524" s="120"/>
      <c r="T524" s="120"/>
      <c r="U524" s="957"/>
      <c r="V524" s="120"/>
      <c r="W524" s="120"/>
      <c r="X524" s="120"/>
      <c r="Y524" s="120"/>
      <c r="Z524" s="957"/>
      <c r="AA524" s="120"/>
      <c r="AB524" s="120"/>
      <c r="AC524" s="120"/>
      <c r="AD524" s="120"/>
      <c r="AE524" s="957"/>
      <c r="AF524" s="120"/>
      <c r="AG524" s="120"/>
      <c r="AH524" s="120"/>
      <c r="AI524" s="120"/>
      <c r="AJ524" s="957"/>
      <c r="AK524" s="120"/>
      <c r="AL524" s="120"/>
      <c r="AM524" s="120"/>
      <c r="AN524" s="120"/>
      <c r="AO524" s="957">
        <f>SUM(AO517:AO523)</f>
        <v>69</v>
      </c>
      <c r="AP524" s="120"/>
      <c r="AQ524" s="120"/>
      <c r="AR524" s="120"/>
      <c r="AS524" s="120"/>
      <c r="AT524" s="957">
        <f>SUM(AT517:AT523)</f>
        <v>61</v>
      </c>
      <c r="AU524" s="120"/>
      <c r="AV524" s="120"/>
      <c r="AW524" s="120"/>
      <c r="AX524" s="120"/>
      <c r="AY524" s="957">
        <f>SUM(AY517:AY523)</f>
        <v>62</v>
      </c>
      <c r="AZ524" s="120"/>
      <c r="BA524" s="120"/>
      <c r="BB524" s="120"/>
      <c r="BC524" s="120"/>
      <c r="BD524" s="957">
        <f>SUM(BD517:BD523)</f>
        <v>58</v>
      </c>
      <c r="BE524" s="120"/>
      <c r="BF524" s="120"/>
      <c r="BG524" s="120"/>
      <c r="BH524" s="120"/>
      <c r="BI524" s="957">
        <f>SUM(BI517:BI523)</f>
        <v>53</v>
      </c>
      <c r="BJ524" s="120"/>
      <c r="BK524" s="120"/>
      <c r="BL524" s="120"/>
      <c r="BM524" s="120"/>
      <c r="BN524" s="957">
        <f>SUM(BN517:BN523)</f>
        <v>49</v>
      </c>
      <c r="BO524" s="120"/>
      <c r="BP524" s="120"/>
      <c r="BQ524" s="120"/>
      <c r="BR524" s="120"/>
      <c r="BS524" s="957">
        <f>SUM(BS517:BS523)</f>
        <v>35</v>
      </c>
      <c r="BT524" s="694"/>
      <c r="BU524" s="120"/>
      <c r="BV524" s="120"/>
      <c r="BW524" s="120"/>
      <c r="BX524" s="957"/>
      <c r="BY524" s="120"/>
      <c r="BZ524" s="120"/>
      <c r="CA524" s="120"/>
      <c r="CB524" s="120"/>
      <c r="CC524" s="957"/>
      <c r="CD524" s="957"/>
      <c r="CE524" s="957"/>
      <c r="CF524" s="957"/>
      <c r="CG524" s="615"/>
    </row>
    <row r="525" spans="1:85" s="461" customFormat="1" ht="14.4" hidden="1" outlineLevel="1" x14ac:dyDescent="0.3">
      <c r="A525" s="166" t="s">
        <v>1296</v>
      </c>
      <c r="B525" s="583"/>
      <c r="C525" s="957"/>
      <c r="D525" s="957"/>
      <c r="E525" s="957"/>
      <c r="F525" s="957"/>
      <c r="G525" s="120"/>
      <c r="H525" s="120"/>
      <c r="I525" s="120"/>
      <c r="J525" s="120"/>
      <c r="K525" s="957"/>
      <c r="L525" s="120"/>
      <c r="M525" s="120"/>
      <c r="N525" s="120"/>
      <c r="O525" s="120"/>
      <c r="P525" s="957"/>
      <c r="Q525" s="120"/>
      <c r="R525" s="120"/>
      <c r="S525" s="120"/>
      <c r="T525" s="120"/>
      <c r="U525" s="957"/>
      <c r="V525" s="120"/>
      <c r="W525" s="120"/>
      <c r="X525" s="120"/>
      <c r="Y525" s="120"/>
      <c r="Z525" s="957"/>
      <c r="AA525" s="120"/>
      <c r="AB525" s="120"/>
      <c r="AC525" s="120"/>
      <c r="AD525" s="120"/>
      <c r="AE525" s="957"/>
      <c r="AF525" s="120"/>
      <c r="AG525" s="120"/>
      <c r="AH525" s="120"/>
      <c r="AI525" s="120"/>
      <c r="AJ525" s="957"/>
      <c r="AK525" s="120"/>
      <c r="AL525" s="120"/>
      <c r="AM525" s="120"/>
      <c r="AN525" s="120"/>
      <c r="AO525" s="983">
        <v>545</v>
      </c>
      <c r="AP525" s="120"/>
      <c r="AQ525" s="120"/>
      <c r="AR525" s="120"/>
      <c r="AS525" s="120"/>
      <c r="AT525" s="983">
        <v>540</v>
      </c>
      <c r="AU525" s="120"/>
      <c r="AV525" s="120"/>
      <c r="AW525" s="120"/>
      <c r="AX525" s="120"/>
      <c r="AY525" s="983">
        <v>597</v>
      </c>
      <c r="AZ525" s="120"/>
      <c r="BA525" s="120"/>
      <c r="BB525" s="120"/>
      <c r="BC525" s="120"/>
      <c r="BD525" s="983">
        <v>471</v>
      </c>
      <c r="BE525" s="120"/>
      <c r="BF525" s="120"/>
      <c r="BG525" s="120"/>
      <c r="BH525" s="120"/>
      <c r="BI525" s="983">
        <v>574</v>
      </c>
      <c r="BJ525" s="120"/>
      <c r="BK525" s="120"/>
      <c r="BL525" s="120"/>
      <c r="BM525" s="120"/>
      <c r="BN525" s="983">
        <v>598</v>
      </c>
      <c r="BO525" s="120"/>
      <c r="BP525" s="120"/>
      <c r="BQ525" s="120"/>
      <c r="BR525" s="120"/>
      <c r="BS525" s="983">
        <v>0</v>
      </c>
      <c r="BT525" s="694"/>
      <c r="BU525" s="120"/>
      <c r="BV525" s="120"/>
      <c r="BW525" s="120"/>
      <c r="BX525" s="957"/>
      <c r="BY525" s="120"/>
      <c r="BZ525" s="120"/>
      <c r="CA525" s="120"/>
      <c r="CB525" s="120"/>
      <c r="CC525" s="957"/>
      <c r="CD525" s="957"/>
      <c r="CE525" s="957"/>
      <c r="CF525" s="957"/>
      <c r="CG525" s="615"/>
    </row>
    <row r="526" spans="1:85" s="460" customFormat="1" ht="14.4" hidden="1" outlineLevel="1" x14ac:dyDescent="0.3">
      <c r="A526" s="159" t="s">
        <v>1297</v>
      </c>
      <c r="B526" s="586"/>
      <c r="C526" s="150"/>
      <c r="D526" s="150"/>
      <c r="E526" s="150"/>
      <c r="F526" s="150"/>
      <c r="G526" s="117"/>
      <c r="H526" s="117"/>
      <c r="I526" s="117"/>
      <c r="J526" s="117"/>
      <c r="K526" s="150"/>
      <c r="L526" s="117"/>
      <c r="M526" s="117"/>
      <c r="N526" s="117"/>
      <c r="O526" s="117"/>
      <c r="P526" s="150"/>
      <c r="Q526" s="117"/>
      <c r="R526" s="117"/>
      <c r="S526" s="117"/>
      <c r="T526" s="117"/>
      <c r="U526" s="150"/>
      <c r="V526" s="117"/>
      <c r="W526" s="117"/>
      <c r="X526" s="117"/>
      <c r="Y526" s="117"/>
      <c r="Z526" s="150"/>
      <c r="AA526" s="117"/>
      <c r="AB526" s="117"/>
      <c r="AC526" s="117"/>
      <c r="AD526" s="117"/>
      <c r="AE526" s="150"/>
      <c r="AF526" s="117"/>
      <c r="AG526" s="117"/>
      <c r="AH526" s="117"/>
      <c r="AI526" s="117"/>
      <c r="AJ526" s="150"/>
      <c r="AK526" s="117"/>
      <c r="AL526" s="117"/>
      <c r="AM526" s="117"/>
      <c r="AN526" s="117"/>
      <c r="AO526" s="975">
        <v>14</v>
      </c>
      <c r="AP526" s="117"/>
      <c r="AQ526" s="117"/>
      <c r="AR526" s="117"/>
      <c r="AS526" s="117"/>
      <c r="AT526" s="975">
        <v>77</v>
      </c>
      <c r="AU526" s="117"/>
      <c r="AV526" s="117"/>
      <c r="AW526" s="117"/>
      <c r="AX526" s="117"/>
      <c r="AY526" s="975">
        <v>-106</v>
      </c>
      <c r="AZ526" s="117"/>
      <c r="BA526" s="117"/>
      <c r="BB526" s="117"/>
      <c r="BC526" s="117"/>
      <c r="BD526" s="975">
        <v>-49</v>
      </c>
      <c r="BE526" s="117"/>
      <c r="BF526" s="117"/>
      <c r="BG526" s="117"/>
      <c r="BH526" s="117"/>
      <c r="BI526" s="975">
        <v>42</v>
      </c>
      <c r="BJ526" s="117"/>
      <c r="BK526" s="117"/>
      <c r="BL526" s="117"/>
      <c r="BM526" s="117"/>
      <c r="BN526" s="975">
        <v>-4</v>
      </c>
      <c r="BO526" s="117"/>
      <c r="BP526" s="117"/>
      <c r="BQ526" s="117"/>
      <c r="BR526" s="117"/>
      <c r="BS526" s="975">
        <v>0</v>
      </c>
      <c r="BT526" s="691"/>
      <c r="BU526" s="117"/>
      <c r="BV526" s="117"/>
      <c r="BW526" s="117"/>
      <c r="BX526" s="150"/>
      <c r="BY526" s="117"/>
      <c r="BZ526" s="117"/>
      <c r="CA526" s="117"/>
      <c r="CB526" s="117"/>
      <c r="CC526" s="150"/>
      <c r="CD526" s="150"/>
      <c r="CE526" s="150"/>
      <c r="CF526" s="150"/>
      <c r="CG526" s="587"/>
    </row>
    <row r="527" spans="1:85" s="460" customFormat="1" ht="14.4" hidden="1" outlineLevel="1" x14ac:dyDescent="0.3">
      <c r="A527" s="159" t="s">
        <v>1298</v>
      </c>
      <c r="B527" s="586"/>
      <c r="C527" s="150"/>
      <c r="D527" s="150"/>
      <c r="E527" s="150"/>
      <c r="F527" s="150"/>
      <c r="G527" s="117"/>
      <c r="H527" s="117"/>
      <c r="I527" s="117"/>
      <c r="J527" s="117"/>
      <c r="K527" s="150"/>
      <c r="L527" s="117"/>
      <c r="M527" s="117"/>
      <c r="N527" s="117"/>
      <c r="O527" s="117"/>
      <c r="P527" s="150"/>
      <c r="Q527" s="117"/>
      <c r="R527" s="117"/>
      <c r="S527" s="117"/>
      <c r="T527" s="117"/>
      <c r="U527" s="150"/>
      <c r="V527" s="117"/>
      <c r="W527" s="117"/>
      <c r="X527" s="117"/>
      <c r="Y527" s="117"/>
      <c r="Z527" s="150"/>
      <c r="AA527" s="117"/>
      <c r="AB527" s="117"/>
      <c r="AC527" s="117"/>
      <c r="AD527" s="117"/>
      <c r="AE527" s="150"/>
      <c r="AF527" s="117"/>
      <c r="AG527" s="117"/>
      <c r="AH527" s="117"/>
      <c r="AI527" s="117"/>
      <c r="AJ527" s="150"/>
      <c r="AK527" s="117"/>
      <c r="AL527" s="117"/>
      <c r="AM527" s="117"/>
      <c r="AN527" s="117"/>
      <c r="AO527" s="975">
        <v>0</v>
      </c>
      <c r="AP527" s="117"/>
      <c r="AQ527" s="117"/>
      <c r="AR527" s="117"/>
      <c r="AS527" s="117"/>
      <c r="AT527" s="975">
        <v>0</v>
      </c>
      <c r="AU527" s="117"/>
      <c r="AV527" s="117"/>
      <c r="AW527" s="117"/>
      <c r="AX527" s="117"/>
      <c r="AY527" s="975">
        <v>0</v>
      </c>
      <c r="AZ527" s="117"/>
      <c r="BA527" s="117"/>
      <c r="BB527" s="117"/>
      <c r="BC527" s="117"/>
      <c r="BD527" s="975">
        <v>0</v>
      </c>
      <c r="BE527" s="117"/>
      <c r="BF527" s="117"/>
      <c r="BG527" s="117"/>
      <c r="BH527" s="117"/>
      <c r="BI527" s="975">
        <v>0</v>
      </c>
      <c r="BJ527" s="117"/>
      <c r="BK527" s="117"/>
      <c r="BL527" s="117"/>
      <c r="BM527" s="117"/>
      <c r="BN527" s="975">
        <v>0</v>
      </c>
      <c r="BO527" s="117"/>
      <c r="BP527" s="117"/>
      <c r="BQ527" s="117"/>
      <c r="BR527" s="117"/>
      <c r="BS527" s="975">
        <v>0</v>
      </c>
      <c r="BT527" s="691"/>
      <c r="BU527" s="117"/>
      <c r="BV527" s="117"/>
      <c r="BW527" s="117"/>
      <c r="BX527" s="150"/>
      <c r="BY527" s="117"/>
      <c r="BZ527" s="117"/>
      <c r="CA527" s="117"/>
      <c r="CB527" s="117"/>
      <c r="CC527" s="150"/>
      <c r="CD527" s="150"/>
      <c r="CE527" s="150"/>
      <c r="CF527" s="150"/>
      <c r="CG527" s="587"/>
    </row>
    <row r="528" spans="1:85" s="460" customFormat="1" ht="14.4" hidden="1" outlineLevel="1" x14ac:dyDescent="0.3">
      <c r="A528" s="159" t="s">
        <v>1299</v>
      </c>
      <c r="B528" s="586"/>
      <c r="C528" s="150"/>
      <c r="D528" s="150"/>
      <c r="E528" s="150"/>
      <c r="F528" s="150"/>
      <c r="G528" s="117"/>
      <c r="H528" s="117"/>
      <c r="I528" s="117"/>
      <c r="J528" s="117"/>
      <c r="K528" s="150"/>
      <c r="L528" s="117"/>
      <c r="M528" s="117"/>
      <c r="N528" s="117"/>
      <c r="O528" s="117"/>
      <c r="P528" s="150"/>
      <c r="Q528" s="117"/>
      <c r="R528" s="117"/>
      <c r="S528" s="117"/>
      <c r="T528" s="117"/>
      <c r="U528" s="150"/>
      <c r="V528" s="117"/>
      <c r="W528" s="117"/>
      <c r="X528" s="117"/>
      <c r="Y528" s="117"/>
      <c r="Z528" s="150"/>
      <c r="AA528" s="117"/>
      <c r="AB528" s="117"/>
      <c r="AC528" s="117"/>
      <c r="AD528" s="117"/>
      <c r="AE528" s="150"/>
      <c r="AF528" s="117"/>
      <c r="AG528" s="117"/>
      <c r="AH528" s="117"/>
      <c r="AI528" s="117"/>
      <c r="AJ528" s="150"/>
      <c r="AK528" s="117"/>
      <c r="AL528" s="117"/>
      <c r="AM528" s="117"/>
      <c r="AN528" s="117"/>
      <c r="AO528" s="975">
        <v>0</v>
      </c>
      <c r="AP528" s="117"/>
      <c r="AQ528" s="117"/>
      <c r="AR528" s="117"/>
      <c r="AS528" s="117"/>
      <c r="AT528" s="975">
        <v>0</v>
      </c>
      <c r="AU528" s="117"/>
      <c r="AV528" s="117"/>
      <c r="AW528" s="117"/>
      <c r="AX528" s="117"/>
      <c r="AY528" s="975">
        <v>0</v>
      </c>
      <c r="AZ528" s="117"/>
      <c r="BA528" s="117"/>
      <c r="BB528" s="117"/>
      <c r="BC528" s="117"/>
      <c r="BD528" s="975">
        <v>0</v>
      </c>
      <c r="BE528" s="117"/>
      <c r="BF528" s="117"/>
      <c r="BG528" s="117"/>
      <c r="BH528" s="117"/>
      <c r="BI528" s="975">
        <v>0</v>
      </c>
      <c r="BJ528" s="117"/>
      <c r="BK528" s="117"/>
      <c r="BL528" s="117"/>
      <c r="BM528" s="117"/>
      <c r="BN528" s="975">
        <v>0</v>
      </c>
      <c r="BO528" s="117"/>
      <c r="BP528" s="117"/>
      <c r="BQ528" s="117"/>
      <c r="BR528" s="117"/>
      <c r="BS528" s="975">
        <v>0</v>
      </c>
      <c r="BT528" s="691"/>
      <c r="BU528" s="117"/>
      <c r="BV528" s="117"/>
      <c r="BW528" s="117"/>
      <c r="BX528" s="150"/>
      <c r="BY528" s="117"/>
      <c r="BZ528" s="117"/>
      <c r="CA528" s="117"/>
      <c r="CB528" s="117"/>
      <c r="CC528" s="150"/>
      <c r="CD528" s="150"/>
      <c r="CE528" s="150"/>
      <c r="CF528" s="150"/>
      <c r="CG528" s="587"/>
    </row>
    <row r="529" spans="1:85" s="460" customFormat="1" ht="14.4" hidden="1" outlineLevel="1" x14ac:dyDescent="0.3">
      <c r="A529" s="159" t="s">
        <v>1300</v>
      </c>
      <c r="B529" s="586"/>
      <c r="C529" s="150"/>
      <c r="D529" s="150"/>
      <c r="E529" s="150"/>
      <c r="F529" s="150"/>
      <c r="G529" s="117"/>
      <c r="H529" s="117"/>
      <c r="I529" s="117"/>
      <c r="J529" s="117"/>
      <c r="K529" s="150"/>
      <c r="L529" s="117"/>
      <c r="M529" s="117"/>
      <c r="N529" s="117"/>
      <c r="O529" s="117"/>
      <c r="P529" s="150"/>
      <c r="Q529" s="117"/>
      <c r="R529" s="117"/>
      <c r="S529" s="117"/>
      <c r="T529" s="117"/>
      <c r="U529" s="150"/>
      <c r="V529" s="117"/>
      <c r="W529" s="117"/>
      <c r="X529" s="117"/>
      <c r="Y529" s="117"/>
      <c r="Z529" s="150"/>
      <c r="AA529" s="117"/>
      <c r="AB529" s="117"/>
      <c r="AC529" s="117"/>
      <c r="AD529" s="117"/>
      <c r="AE529" s="150"/>
      <c r="AF529" s="117"/>
      <c r="AG529" s="117"/>
      <c r="AH529" s="117"/>
      <c r="AI529" s="117"/>
      <c r="AJ529" s="150"/>
      <c r="AK529" s="117"/>
      <c r="AL529" s="117"/>
      <c r="AM529" s="117"/>
      <c r="AN529" s="117"/>
      <c r="AO529" s="975">
        <v>0</v>
      </c>
      <c r="AP529" s="117"/>
      <c r="AQ529" s="117"/>
      <c r="AR529" s="117"/>
      <c r="AS529" s="117"/>
      <c r="AT529" s="975">
        <v>0</v>
      </c>
      <c r="AU529" s="117"/>
      <c r="AV529" s="117"/>
      <c r="AW529" s="117"/>
      <c r="AX529" s="117"/>
      <c r="AY529" s="975">
        <v>0</v>
      </c>
      <c r="AZ529" s="117"/>
      <c r="BA529" s="117"/>
      <c r="BB529" s="117"/>
      <c r="BC529" s="117"/>
      <c r="BD529" s="975">
        <v>168</v>
      </c>
      <c r="BE529" s="117"/>
      <c r="BF529" s="117"/>
      <c r="BG529" s="117"/>
      <c r="BH529" s="117"/>
      <c r="BI529" s="975">
        <v>0</v>
      </c>
      <c r="BJ529" s="117"/>
      <c r="BK529" s="117"/>
      <c r="BL529" s="117"/>
      <c r="BM529" s="117"/>
      <c r="BN529" s="975">
        <v>16</v>
      </c>
      <c r="BO529" s="117"/>
      <c r="BP529" s="117"/>
      <c r="BQ529" s="117"/>
      <c r="BR529" s="117"/>
      <c r="BS529" s="975">
        <v>0</v>
      </c>
      <c r="BT529" s="691"/>
      <c r="BU529" s="117"/>
      <c r="BV529" s="117"/>
      <c r="BW529" s="117"/>
      <c r="BX529" s="150"/>
      <c r="BY529" s="117"/>
      <c r="BZ529" s="117"/>
      <c r="CA529" s="117"/>
      <c r="CB529" s="117"/>
      <c r="CC529" s="150"/>
      <c r="CD529" s="150"/>
      <c r="CE529" s="150"/>
      <c r="CF529" s="150"/>
      <c r="CG529" s="587"/>
    </row>
    <row r="530" spans="1:85" s="460" customFormat="1" ht="14.4" hidden="1" outlineLevel="1" x14ac:dyDescent="0.3">
      <c r="A530" s="159" t="s">
        <v>1301</v>
      </c>
      <c r="B530" s="586"/>
      <c r="C530" s="150"/>
      <c r="D530" s="150"/>
      <c r="E530" s="150"/>
      <c r="F530" s="150"/>
      <c r="G530" s="117"/>
      <c r="H530" s="117"/>
      <c r="I530" s="117"/>
      <c r="J530" s="117"/>
      <c r="K530" s="150"/>
      <c r="L530" s="117"/>
      <c r="M530" s="117"/>
      <c r="N530" s="117"/>
      <c r="O530" s="117"/>
      <c r="P530" s="150"/>
      <c r="Q530" s="117"/>
      <c r="R530" s="117"/>
      <c r="S530" s="117"/>
      <c r="T530" s="117"/>
      <c r="U530" s="150"/>
      <c r="V530" s="117"/>
      <c r="W530" s="117"/>
      <c r="X530" s="117"/>
      <c r="Y530" s="117"/>
      <c r="Z530" s="150"/>
      <c r="AA530" s="117"/>
      <c r="AB530" s="117"/>
      <c r="AC530" s="117"/>
      <c r="AD530" s="117"/>
      <c r="AE530" s="150"/>
      <c r="AF530" s="117"/>
      <c r="AG530" s="117"/>
      <c r="AH530" s="117"/>
      <c r="AI530" s="117"/>
      <c r="AJ530" s="150"/>
      <c r="AK530" s="117"/>
      <c r="AL530" s="117"/>
      <c r="AM530" s="117"/>
      <c r="AN530" s="117"/>
      <c r="AO530" s="975">
        <v>0</v>
      </c>
      <c r="AP530" s="117"/>
      <c r="AQ530" s="117"/>
      <c r="AR530" s="117"/>
      <c r="AS530" s="117"/>
      <c r="AT530" s="975">
        <v>0</v>
      </c>
      <c r="AU530" s="117"/>
      <c r="AV530" s="117"/>
      <c r="AW530" s="117"/>
      <c r="AX530" s="117"/>
      <c r="AY530" s="975">
        <v>0</v>
      </c>
      <c r="AZ530" s="117"/>
      <c r="BA530" s="117"/>
      <c r="BB530" s="117"/>
      <c r="BC530" s="117"/>
      <c r="BD530" s="975">
        <v>0</v>
      </c>
      <c r="BE530" s="117"/>
      <c r="BF530" s="117"/>
      <c r="BG530" s="117"/>
      <c r="BH530" s="117"/>
      <c r="BI530" s="975">
        <v>0</v>
      </c>
      <c r="BJ530" s="117"/>
      <c r="BK530" s="117"/>
      <c r="BL530" s="117"/>
      <c r="BM530" s="117"/>
      <c r="BN530" s="975">
        <v>-593</v>
      </c>
      <c r="BO530" s="117"/>
      <c r="BP530" s="117"/>
      <c r="BQ530" s="117"/>
      <c r="BR530" s="117"/>
      <c r="BS530" s="975">
        <v>0</v>
      </c>
      <c r="BT530" s="691"/>
      <c r="BU530" s="117"/>
      <c r="BV530" s="117"/>
      <c r="BW530" s="117"/>
      <c r="BX530" s="150"/>
      <c r="BY530" s="117"/>
      <c r="BZ530" s="117"/>
      <c r="CA530" s="117"/>
      <c r="CB530" s="117"/>
      <c r="CC530" s="150"/>
      <c r="CD530" s="150"/>
      <c r="CE530" s="150"/>
      <c r="CF530" s="150"/>
      <c r="CG530" s="587"/>
    </row>
    <row r="531" spans="1:85" s="460" customFormat="1" ht="14.4" hidden="1" outlineLevel="1" x14ac:dyDescent="0.3">
      <c r="A531" s="262" t="s">
        <v>1302</v>
      </c>
      <c r="B531" s="588"/>
      <c r="C531" s="954"/>
      <c r="D531" s="954"/>
      <c r="E531" s="954"/>
      <c r="F531" s="954"/>
      <c r="G531" s="133"/>
      <c r="H531" s="133"/>
      <c r="I531" s="133"/>
      <c r="J531" s="133"/>
      <c r="K531" s="954"/>
      <c r="L531" s="133"/>
      <c r="M531" s="133"/>
      <c r="N531" s="133"/>
      <c r="O531" s="133"/>
      <c r="P531" s="954"/>
      <c r="Q531" s="133"/>
      <c r="R531" s="133"/>
      <c r="S531" s="133"/>
      <c r="T531" s="133"/>
      <c r="U531" s="954"/>
      <c r="V531" s="133"/>
      <c r="W531" s="133"/>
      <c r="X531" s="133"/>
      <c r="Y531" s="133"/>
      <c r="Z531" s="954"/>
      <c r="AA531" s="133"/>
      <c r="AB531" s="133"/>
      <c r="AC531" s="133"/>
      <c r="AD531" s="133"/>
      <c r="AE531" s="954"/>
      <c r="AF531" s="133"/>
      <c r="AG531" s="133"/>
      <c r="AH531" s="133"/>
      <c r="AI531" s="133"/>
      <c r="AJ531" s="954"/>
      <c r="AK531" s="133"/>
      <c r="AL531" s="133"/>
      <c r="AM531" s="133"/>
      <c r="AN531" s="133"/>
      <c r="AO531" s="976">
        <v>-19</v>
      </c>
      <c r="AP531" s="133"/>
      <c r="AQ531" s="133"/>
      <c r="AR531" s="133"/>
      <c r="AS531" s="133"/>
      <c r="AT531" s="976">
        <v>-20</v>
      </c>
      <c r="AU531" s="133"/>
      <c r="AV531" s="133"/>
      <c r="AW531" s="133"/>
      <c r="AX531" s="133"/>
      <c r="AY531" s="976">
        <v>-20</v>
      </c>
      <c r="AZ531" s="133"/>
      <c r="BA531" s="133"/>
      <c r="BB531" s="133"/>
      <c r="BC531" s="133"/>
      <c r="BD531" s="976">
        <v>-16</v>
      </c>
      <c r="BE531" s="133"/>
      <c r="BF531" s="133"/>
      <c r="BG531" s="133"/>
      <c r="BH531" s="133"/>
      <c r="BI531" s="976">
        <v>-18</v>
      </c>
      <c r="BJ531" s="133"/>
      <c r="BK531" s="133"/>
      <c r="BL531" s="133"/>
      <c r="BM531" s="133"/>
      <c r="BN531" s="976">
        <v>-17</v>
      </c>
      <c r="BO531" s="133"/>
      <c r="BP531" s="133"/>
      <c r="BQ531" s="133"/>
      <c r="BR531" s="133"/>
      <c r="BS531" s="976">
        <v>0</v>
      </c>
      <c r="BT531" s="692"/>
      <c r="BU531" s="133"/>
      <c r="BV531" s="133"/>
      <c r="BW531" s="133"/>
      <c r="BX531" s="954"/>
      <c r="BY531" s="133"/>
      <c r="BZ531" s="133"/>
      <c r="CA531" s="133"/>
      <c r="CB531" s="133"/>
      <c r="CC531" s="954"/>
      <c r="CD531" s="954"/>
      <c r="CE531" s="954"/>
      <c r="CF531" s="954"/>
      <c r="CG531" s="587"/>
    </row>
    <row r="532" spans="1:85" s="461" customFormat="1" ht="14.4" hidden="1" outlineLevel="1" x14ac:dyDescent="0.3">
      <c r="A532" s="166" t="s">
        <v>1303</v>
      </c>
      <c r="B532" s="583"/>
      <c r="C532" s="957"/>
      <c r="D532" s="957"/>
      <c r="E532" s="957"/>
      <c r="F532" s="957"/>
      <c r="G532" s="120"/>
      <c r="H532" s="120"/>
      <c r="I532" s="120"/>
      <c r="J532" s="120"/>
      <c r="K532" s="957"/>
      <c r="L532" s="120"/>
      <c r="M532" s="120"/>
      <c r="N532" s="120"/>
      <c r="O532" s="120"/>
      <c r="P532" s="957"/>
      <c r="Q532" s="120"/>
      <c r="R532" s="120"/>
      <c r="S532" s="120"/>
      <c r="T532" s="120"/>
      <c r="U532" s="957"/>
      <c r="V532" s="120"/>
      <c r="W532" s="120"/>
      <c r="X532" s="120"/>
      <c r="Y532" s="120"/>
      <c r="Z532" s="957"/>
      <c r="AA532" s="120"/>
      <c r="AB532" s="120"/>
      <c r="AC532" s="120"/>
      <c r="AD532" s="120"/>
      <c r="AE532" s="957"/>
      <c r="AF532" s="120"/>
      <c r="AG532" s="120"/>
      <c r="AH532" s="120"/>
      <c r="AI532" s="120"/>
      <c r="AJ532" s="957"/>
      <c r="AK532" s="120"/>
      <c r="AL532" s="120"/>
      <c r="AM532" s="120"/>
      <c r="AN532" s="120"/>
      <c r="AO532" s="957">
        <f>SUM(AO525:AO531)</f>
        <v>540</v>
      </c>
      <c r="AP532" s="120"/>
      <c r="AQ532" s="120"/>
      <c r="AR532" s="120"/>
      <c r="AS532" s="120"/>
      <c r="AT532" s="957">
        <f>SUM(AT525:AT531)</f>
        <v>597</v>
      </c>
      <c r="AU532" s="120"/>
      <c r="AV532" s="120"/>
      <c r="AW532" s="120"/>
      <c r="AX532" s="120"/>
      <c r="AY532" s="957">
        <f>SUM(AY525:AY531)</f>
        <v>471</v>
      </c>
      <c r="AZ532" s="120"/>
      <c r="BA532" s="120"/>
      <c r="BB532" s="120"/>
      <c r="BC532" s="120"/>
      <c r="BD532" s="957">
        <f>SUM(BD525:BD531)</f>
        <v>574</v>
      </c>
      <c r="BE532" s="120"/>
      <c r="BF532" s="120"/>
      <c r="BG532" s="120"/>
      <c r="BH532" s="120"/>
      <c r="BI532" s="957">
        <f>SUM(BI525:BI531)</f>
        <v>598</v>
      </c>
      <c r="BJ532" s="120"/>
      <c r="BK532" s="120"/>
      <c r="BL532" s="120"/>
      <c r="BM532" s="120"/>
      <c r="BN532" s="957">
        <f>SUM(BN525:BN531)</f>
        <v>0</v>
      </c>
      <c r="BO532" s="120"/>
      <c r="BP532" s="120"/>
      <c r="BQ532" s="120"/>
      <c r="BR532" s="120"/>
      <c r="BS532" s="957">
        <f>SUM(BS525:BS531)</f>
        <v>0</v>
      </c>
      <c r="BT532" s="694"/>
      <c r="BU532" s="120"/>
      <c r="BV532" s="120"/>
      <c r="BW532" s="120"/>
      <c r="BX532" s="957"/>
      <c r="BY532" s="120"/>
      <c r="BZ532" s="120"/>
      <c r="CA532" s="120"/>
      <c r="CB532" s="120"/>
      <c r="CC532" s="957"/>
      <c r="CD532" s="957"/>
      <c r="CE532" s="957"/>
      <c r="CF532" s="957"/>
      <c r="CG532" s="615"/>
    </row>
    <row r="533" spans="1:85" s="461" customFormat="1" ht="14.4" hidden="1" outlineLevel="1" x14ac:dyDescent="0.3">
      <c r="A533" s="166" t="s">
        <v>1304</v>
      </c>
      <c r="B533" s="583"/>
      <c r="C533" s="957"/>
      <c r="D533" s="957"/>
      <c r="E533" s="957"/>
      <c r="F533" s="957"/>
      <c r="G533" s="120"/>
      <c r="H533" s="120"/>
      <c r="I533" s="120"/>
      <c r="J533" s="120"/>
      <c r="K533" s="957"/>
      <c r="L533" s="120"/>
      <c r="M533" s="120"/>
      <c r="N533" s="120"/>
      <c r="O533" s="120"/>
      <c r="P533" s="957"/>
      <c r="Q533" s="120"/>
      <c r="R533" s="120"/>
      <c r="S533" s="120"/>
      <c r="T533" s="120"/>
      <c r="U533" s="957"/>
      <c r="V533" s="120"/>
      <c r="W533" s="120"/>
      <c r="X533" s="120"/>
      <c r="Y533" s="120"/>
      <c r="Z533" s="957"/>
      <c r="AA533" s="120"/>
      <c r="AB533" s="120"/>
      <c r="AC533" s="120"/>
      <c r="AD533" s="120"/>
      <c r="AE533" s="957"/>
      <c r="AF533" s="120"/>
      <c r="AG533" s="120"/>
      <c r="AH533" s="120"/>
      <c r="AI533" s="120"/>
      <c r="AJ533" s="957"/>
      <c r="AK533" s="120"/>
      <c r="AL533" s="120"/>
      <c r="AM533" s="120"/>
      <c r="AN533" s="120"/>
      <c r="AO533" s="957">
        <f>AO477+AO485+AO493+AO501+AO509+AO517+AO525</f>
        <v>4319</v>
      </c>
      <c r="AP533" s="120"/>
      <c r="AQ533" s="120"/>
      <c r="AR533" s="120"/>
      <c r="AS533" s="120"/>
      <c r="AT533" s="957">
        <f>AT477+AT485+AT493+AT501+AT509+AT517+AT525</f>
        <v>4149</v>
      </c>
      <c r="AU533" s="120"/>
      <c r="AV533" s="120"/>
      <c r="AW533" s="120"/>
      <c r="AX533" s="120"/>
      <c r="AY533" s="957">
        <f>AY477+AY485+AY493+AY501+AY509+AY517+AY525</f>
        <v>3766</v>
      </c>
      <c r="AZ533" s="120"/>
      <c r="BA533" s="120"/>
      <c r="BB533" s="120"/>
      <c r="BC533" s="120"/>
      <c r="BD533" s="957">
        <f>BD477+BD485+BD493+BD501+BD509+BD517+BD525</f>
        <v>3821</v>
      </c>
      <c r="BE533" s="120"/>
      <c r="BF533" s="120"/>
      <c r="BG533" s="120"/>
      <c r="BH533" s="120"/>
      <c r="BI533" s="957">
        <f>BI477+BI485+BI493+BI501+BI509+BI517+BI525</f>
        <v>3868</v>
      </c>
      <c r="BJ533" s="120"/>
      <c r="BK533" s="120"/>
      <c r="BL533" s="120"/>
      <c r="BM533" s="120"/>
      <c r="BN533" s="957">
        <f>BN477+BN485+BN493+BN501+BN509+BN517+BN525</f>
        <v>3770</v>
      </c>
      <c r="BO533" s="120"/>
      <c r="BP533" s="120"/>
      <c r="BQ533" s="120"/>
      <c r="BR533" s="120"/>
      <c r="BS533" s="983">
        <v>3027</v>
      </c>
      <c r="BT533" s="694"/>
      <c r="BU533" s="120"/>
      <c r="BV533" s="120"/>
      <c r="BW533" s="120"/>
      <c r="BX533" s="957"/>
      <c r="BY533" s="120"/>
      <c r="BZ533" s="120"/>
      <c r="CA533" s="120"/>
      <c r="CB533" s="120"/>
      <c r="CC533" s="957"/>
      <c r="CD533" s="957"/>
      <c r="CE533" s="957"/>
      <c r="CF533" s="957"/>
      <c r="CG533" s="615"/>
    </row>
    <row r="534" spans="1:85" s="460" customFormat="1" ht="14.4" hidden="1" outlineLevel="1" x14ac:dyDescent="0.3">
      <c r="A534" s="159" t="s">
        <v>1305</v>
      </c>
      <c r="B534" s="586"/>
      <c r="C534" s="150"/>
      <c r="D534" s="150"/>
      <c r="E534" s="150"/>
      <c r="F534" s="150"/>
      <c r="G534" s="117"/>
      <c r="H534" s="117"/>
      <c r="I534" s="117"/>
      <c r="J534" s="117"/>
      <c r="K534" s="150"/>
      <c r="L534" s="117"/>
      <c r="M534" s="117"/>
      <c r="N534" s="117"/>
      <c r="O534" s="117"/>
      <c r="P534" s="150"/>
      <c r="Q534" s="117"/>
      <c r="R534" s="117"/>
      <c r="S534" s="117"/>
      <c r="T534" s="117"/>
      <c r="U534" s="150"/>
      <c r="V534" s="117"/>
      <c r="W534" s="117"/>
      <c r="X534" s="117"/>
      <c r="Y534" s="117"/>
      <c r="Z534" s="150"/>
      <c r="AA534" s="117"/>
      <c r="AB534" s="117"/>
      <c r="AC534" s="117"/>
      <c r="AD534" s="117"/>
      <c r="AE534" s="150"/>
      <c r="AF534" s="117"/>
      <c r="AG534" s="117"/>
      <c r="AH534" s="117"/>
      <c r="AI534" s="117"/>
      <c r="AJ534" s="150"/>
      <c r="AK534" s="117"/>
      <c r="AL534" s="117"/>
      <c r="AM534" s="117"/>
      <c r="AN534" s="117"/>
      <c r="AO534" s="150">
        <f t="shared" ref="AO534:AO539" si="29">AO478+AO486+AO494+AO502+AO510+AO518+AO526</f>
        <v>-72</v>
      </c>
      <c r="AP534" s="117"/>
      <c r="AQ534" s="117"/>
      <c r="AR534" s="117"/>
      <c r="AS534" s="117"/>
      <c r="AT534" s="150">
        <f t="shared" ref="AT534:AT539" si="30">AT478+AT486+AT494+AT502+AT510+AT518+AT526</f>
        <v>-157</v>
      </c>
      <c r="AU534" s="117"/>
      <c r="AV534" s="117"/>
      <c r="AW534" s="117"/>
      <c r="AX534" s="117"/>
      <c r="AY534" s="150">
        <f t="shared" ref="AY534:AY539" si="31">AY478+AY486+AY494+AY502+AY510+AY518+AY526</f>
        <v>157</v>
      </c>
      <c r="AZ534" s="117"/>
      <c r="BA534" s="117"/>
      <c r="BB534" s="117"/>
      <c r="BC534" s="117"/>
      <c r="BD534" s="150">
        <f t="shared" ref="BD534:BD539" si="32">BD478+BD486+BD494+BD502+BD510+BD518+BD526</f>
        <v>-69</v>
      </c>
      <c r="BE534" s="117"/>
      <c r="BF534" s="117"/>
      <c r="BG534" s="117"/>
      <c r="BH534" s="117"/>
      <c r="BI534" s="150">
        <f t="shared" ref="BI534:BI539" si="33">BI478+BI486+BI494+BI502+BI510+BI518+BI526</f>
        <v>-121</v>
      </c>
      <c r="BJ534" s="117"/>
      <c r="BK534" s="117"/>
      <c r="BL534" s="117"/>
      <c r="BM534" s="117"/>
      <c r="BN534" s="150">
        <f t="shared" ref="BN534:BN539" si="34">BN478+BN486+BN494+BN502+BN510+BN518+BN526</f>
        <v>49</v>
      </c>
      <c r="BO534" s="117"/>
      <c r="BP534" s="117"/>
      <c r="BQ534" s="117"/>
      <c r="BR534" s="117"/>
      <c r="BS534" s="975">
        <v>18</v>
      </c>
      <c r="BT534" s="691"/>
      <c r="BU534" s="117"/>
      <c r="BV534" s="117"/>
      <c r="BW534" s="117"/>
      <c r="BX534" s="150"/>
      <c r="BY534" s="117"/>
      <c r="BZ534" s="117"/>
      <c r="CA534" s="117"/>
      <c r="CB534" s="117"/>
      <c r="CC534" s="150"/>
      <c r="CD534" s="150"/>
      <c r="CE534" s="150"/>
      <c r="CF534" s="150"/>
      <c r="CG534" s="587"/>
    </row>
    <row r="535" spans="1:85" s="460" customFormat="1" ht="14.4" hidden="1" outlineLevel="1" x14ac:dyDescent="0.3">
      <c r="A535" s="159" t="s">
        <v>1306</v>
      </c>
      <c r="B535" s="586"/>
      <c r="C535" s="150"/>
      <c r="D535" s="150"/>
      <c r="E535" s="150"/>
      <c r="F535" s="150"/>
      <c r="G535" s="117"/>
      <c r="H535" s="117"/>
      <c r="I535" s="117"/>
      <c r="J535" s="117"/>
      <c r="K535" s="150"/>
      <c r="L535" s="117"/>
      <c r="M535" s="117"/>
      <c r="N535" s="117"/>
      <c r="O535" s="117"/>
      <c r="P535" s="150"/>
      <c r="Q535" s="117"/>
      <c r="R535" s="117"/>
      <c r="S535" s="117"/>
      <c r="T535" s="117"/>
      <c r="U535" s="150"/>
      <c r="V535" s="117"/>
      <c r="W535" s="117"/>
      <c r="X535" s="117"/>
      <c r="Y535" s="117"/>
      <c r="Z535" s="150"/>
      <c r="AA535" s="117"/>
      <c r="AB535" s="117"/>
      <c r="AC535" s="117"/>
      <c r="AD535" s="117"/>
      <c r="AE535" s="150"/>
      <c r="AF535" s="117"/>
      <c r="AG535" s="117"/>
      <c r="AH535" s="117"/>
      <c r="AI535" s="117"/>
      <c r="AJ535" s="150"/>
      <c r="AK535" s="117"/>
      <c r="AL535" s="117"/>
      <c r="AM535" s="117"/>
      <c r="AN535" s="117"/>
      <c r="AO535" s="150">
        <f t="shared" si="29"/>
        <v>7</v>
      </c>
      <c r="AP535" s="117"/>
      <c r="AQ535" s="117"/>
      <c r="AR535" s="117"/>
      <c r="AS535" s="117"/>
      <c r="AT535" s="150">
        <f t="shared" si="30"/>
        <v>2</v>
      </c>
      <c r="AU535" s="117"/>
      <c r="AV535" s="117"/>
      <c r="AW535" s="117"/>
      <c r="AX535" s="117"/>
      <c r="AY535" s="150">
        <f t="shared" si="31"/>
        <v>9</v>
      </c>
      <c r="AZ535" s="117"/>
      <c r="BA535" s="117"/>
      <c r="BB535" s="117"/>
      <c r="BC535" s="117"/>
      <c r="BD535" s="150">
        <f t="shared" si="32"/>
        <v>26</v>
      </c>
      <c r="BE535" s="117"/>
      <c r="BF535" s="117"/>
      <c r="BG535" s="117"/>
      <c r="BH535" s="117"/>
      <c r="BI535" s="150">
        <f t="shared" si="33"/>
        <v>11</v>
      </c>
      <c r="BJ535" s="117"/>
      <c r="BK535" s="117"/>
      <c r="BL535" s="117"/>
      <c r="BM535" s="117"/>
      <c r="BN535" s="150">
        <f t="shared" si="34"/>
        <v>11</v>
      </c>
      <c r="BO535" s="117"/>
      <c r="BP535" s="117"/>
      <c r="BQ535" s="117"/>
      <c r="BR535" s="117"/>
      <c r="BS535" s="975">
        <v>3</v>
      </c>
      <c r="BT535" s="691"/>
      <c r="BU535" s="117"/>
      <c r="BV535" s="117"/>
      <c r="BW535" s="117"/>
      <c r="BX535" s="150"/>
      <c r="BY535" s="117"/>
      <c r="BZ535" s="117"/>
      <c r="CA535" s="117"/>
      <c r="CB535" s="117"/>
      <c r="CC535" s="150"/>
      <c r="CD535" s="150"/>
      <c r="CE535" s="150"/>
      <c r="CF535" s="150"/>
      <c r="CG535" s="587"/>
    </row>
    <row r="536" spans="1:85" s="460" customFormat="1" ht="14.4" hidden="1" outlineLevel="1" x14ac:dyDescent="0.3">
      <c r="A536" s="159" t="s">
        <v>1307</v>
      </c>
      <c r="B536" s="586"/>
      <c r="C536" s="150"/>
      <c r="D536" s="150"/>
      <c r="E536" s="150"/>
      <c r="F536" s="150"/>
      <c r="G536" s="117"/>
      <c r="H536" s="117"/>
      <c r="I536" s="117"/>
      <c r="J536" s="117"/>
      <c r="K536" s="150"/>
      <c r="L536" s="117"/>
      <c r="M536" s="117"/>
      <c r="N536" s="117"/>
      <c r="O536" s="117"/>
      <c r="P536" s="150"/>
      <c r="Q536" s="117"/>
      <c r="R536" s="117"/>
      <c r="S536" s="117"/>
      <c r="T536" s="117"/>
      <c r="U536" s="150"/>
      <c r="V536" s="117"/>
      <c r="W536" s="117"/>
      <c r="X536" s="117"/>
      <c r="Y536" s="117"/>
      <c r="Z536" s="150"/>
      <c r="AA536" s="117"/>
      <c r="AB536" s="117"/>
      <c r="AC536" s="117"/>
      <c r="AD536" s="117"/>
      <c r="AE536" s="150"/>
      <c r="AF536" s="117"/>
      <c r="AG536" s="117"/>
      <c r="AH536" s="117"/>
      <c r="AI536" s="117"/>
      <c r="AJ536" s="150"/>
      <c r="AK536" s="117"/>
      <c r="AL536" s="117"/>
      <c r="AM536" s="117"/>
      <c r="AN536" s="117"/>
      <c r="AO536" s="150">
        <f t="shared" si="29"/>
        <v>438</v>
      </c>
      <c r="AP536" s="117"/>
      <c r="AQ536" s="117"/>
      <c r="AR536" s="117"/>
      <c r="AS536" s="117"/>
      <c r="AT536" s="150">
        <f t="shared" si="30"/>
        <v>110</v>
      </c>
      <c r="AU536" s="117"/>
      <c r="AV536" s="117"/>
      <c r="AW536" s="117"/>
      <c r="AX536" s="117"/>
      <c r="AY536" s="150">
        <f t="shared" si="31"/>
        <v>365</v>
      </c>
      <c r="AZ536" s="117"/>
      <c r="BA536" s="117"/>
      <c r="BB536" s="117"/>
      <c r="BC536" s="117"/>
      <c r="BD536" s="150">
        <f t="shared" si="32"/>
        <v>302</v>
      </c>
      <c r="BE536" s="117"/>
      <c r="BF536" s="117"/>
      <c r="BG536" s="117"/>
      <c r="BH536" s="117"/>
      <c r="BI536" s="150">
        <f t="shared" si="33"/>
        <v>225</v>
      </c>
      <c r="BJ536" s="117"/>
      <c r="BK536" s="117"/>
      <c r="BL536" s="117"/>
      <c r="BM536" s="117"/>
      <c r="BN536" s="150">
        <f t="shared" si="34"/>
        <v>241</v>
      </c>
      <c r="BO536" s="117"/>
      <c r="BP536" s="117"/>
      <c r="BQ536" s="117"/>
      <c r="BR536" s="117"/>
      <c r="BS536" s="975">
        <v>247</v>
      </c>
      <c r="BT536" s="691"/>
      <c r="BU536" s="117"/>
      <c r="BV536" s="117"/>
      <c r="BW536" s="117"/>
      <c r="BX536" s="150"/>
      <c r="BY536" s="117"/>
      <c r="BZ536" s="117"/>
      <c r="CA536" s="117"/>
      <c r="CB536" s="117"/>
      <c r="CC536" s="150"/>
      <c r="CD536" s="150"/>
      <c r="CE536" s="150"/>
      <c r="CF536" s="150"/>
      <c r="CG536" s="587"/>
    </row>
    <row r="537" spans="1:85" s="460" customFormat="1" ht="14.4" hidden="1" outlineLevel="1" x14ac:dyDescent="0.3">
      <c r="A537" s="159" t="s">
        <v>1308</v>
      </c>
      <c r="B537" s="586"/>
      <c r="C537" s="150"/>
      <c r="D537" s="150"/>
      <c r="E537" s="150"/>
      <c r="F537" s="150"/>
      <c r="G537" s="117"/>
      <c r="H537" s="117"/>
      <c r="I537" s="117"/>
      <c r="J537" s="117"/>
      <c r="K537" s="150"/>
      <c r="L537" s="117"/>
      <c r="M537" s="117"/>
      <c r="N537" s="117"/>
      <c r="O537" s="117"/>
      <c r="P537" s="150"/>
      <c r="Q537" s="117"/>
      <c r="R537" s="117"/>
      <c r="S537" s="117"/>
      <c r="T537" s="117"/>
      <c r="U537" s="150"/>
      <c r="V537" s="117"/>
      <c r="W537" s="117"/>
      <c r="X537" s="117"/>
      <c r="Y537" s="117"/>
      <c r="Z537" s="150"/>
      <c r="AA537" s="117"/>
      <c r="AB537" s="117"/>
      <c r="AC537" s="117"/>
      <c r="AD537" s="117"/>
      <c r="AE537" s="150"/>
      <c r="AF537" s="117"/>
      <c r="AG537" s="117"/>
      <c r="AH537" s="117"/>
      <c r="AI537" s="117"/>
      <c r="AJ537" s="150"/>
      <c r="AK537" s="117"/>
      <c r="AL537" s="117"/>
      <c r="AM537" s="117"/>
      <c r="AN537" s="117"/>
      <c r="AO537" s="150">
        <f t="shared" si="29"/>
        <v>21</v>
      </c>
      <c r="AP537" s="117"/>
      <c r="AQ537" s="117"/>
      <c r="AR537" s="117"/>
      <c r="AS537" s="117"/>
      <c r="AT537" s="150">
        <f t="shared" si="30"/>
        <v>258</v>
      </c>
      <c r="AU537" s="117"/>
      <c r="AV537" s="117"/>
      <c r="AW537" s="117"/>
      <c r="AX537" s="117"/>
      <c r="AY537" s="150">
        <f t="shared" si="31"/>
        <v>28</v>
      </c>
      <c r="AZ537" s="117"/>
      <c r="BA537" s="117"/>
      <c r="BB537" s="117"/>
      <c r="BC537" s="117"/>
      <c r="BD537" s="150">
        <f t="shared" si="32"/>
        <v>231</v>
      </c>
      <c r="BE537" s="117"/>
      <c r="BF537" s="117"/>
      <c r="BG537" s="117"/>
      <c r="BH537" s="117"/>
      <c r="BI537" s="150">
        <f t="shared" si="33"/>
        <v>231</v>
      </c>
      <c r="BJ537" s="117"/>
      <c r="BK537" s="117"/>
      <c r="BL537" s="117"/>
      <c r="BM537" s="117"/>
      <c r="BN537" s="150">
        <f t="shared" si="34"/>
        <v>88</v>
      </c>
      <c r="BO537" s="117"/>
      <c r="BP537" s="117"/>
      <c r="BQ537" s="117"/>
      <c r="BR537" s="117"/>
      <c r="BS537" s="975">
        <v>871</v>
      </c>
      <c r="BT537" s="691"/>
      <c r="BU537" s="117"/>
      <c r="BV537" s="117"/>
      <c r="BW537" s="117"/>
      <c r="BX537" s="150"/>
      <c r="BY537" s="117"/>
      <c r="BZ537" s="117"/>
      <c r="CA537" s="117"/>
      <c r="CB537" s="117"/>
      <c r="CC537" s="150"/>
      <c r="CD537" s="150"/>
      <c r="CE537" s="150"/>
      <c r="CF537" s="150"/>
      <c r="CG537" s="587"/>
    </row>
    <row r="538" spans="1:85" s="460" customFormat="1" ht="14.4" hidden="1" outlineLevel="1" x14ac:dyDescent="0.3">
      <c r="A538" s="159" t="s">
        <v>1309</v>
      </c>
      <c r="B538" s="586"/>
      <c r="C538" s="150"/>
      <c r="D538" s="150"/>
      <c r="E538" s="150"/>
      <c r="F538" s="150"/>
      <c r="G538" s="117"/>
      <c r="H538" s="117"/>
      <c r="I538" s="117"/>
      <c r="J538" s="117"/>
      <c r="K538" s="150"/>
      <c r="L538" s="117"/>
      <c r="M538" s="117"/>
      <c r="N538" s="117"/>
      <c r="O538" s="117"/>
      <c r="P538" s="150"/>
      <c r="Q538" s="117"/>
      <c r="R538" s="117"/>
      <c r="S538" s="117"/>
      <c r="T538" s="117"/>
      <c r="U538" s="150"/>
      <c r="V538" s="117"/>
      <c r="W538" s="117"/>
      <c r="X538" s="117"/>
      <c r="Y538" s="117"/>
      <c r="Z538" s="150"/>
      <c r="AA538" s="117"/>
      <c r="AB538" s="117"/>
      <c r="AC538" s="117"/>
      <c r="AD538" s="117"/>
      <c r="AE538" s="150"/>
      <c r="AF538" s="117"/>
      <c r="AG538" s="117"/>
      <c r="AH538" s="117"/>
      <c r="AI538" s="117"/>
      <c r="AJ538" s="150"/>
      <c r="AK538" s="117"/>
      <c r="AL538" s="117"/>
      <c r="AM538" s="117"/>
      <c r="AN538" s="117"/>
      <c r="AO538" s="150">
        <f t="shared" si="29"/>
        <v>-73</v>
      </c>
      <c r="AP538" s="117"/>
      <c r="AQ538" s="117"/>
      <c r="AR538" s="117"/>
      <c r="AS538" s="117"/>
      <c r="AT538" s="150">
        <f t="shared" si="30"/>
        <v>-110</v>
      </c>
      <c r="AU538" s="117"/>
      <c r="AV538" s="117"/>
      <c r="AW538" s="117"/>
      <c r="AX538" s="117"/>
      <c r="AY538" s="150">
        <f t="shared" si="31"/>
        <v>-33</v>
      </c>
      <c r="AZ538" s="117"/>
      <c r="BA538" s="117"/>
      <c r="BB538" s="117"/>
      <c r="BC538" s="117"/>
      <c r="BD538" s="150">
        <f t="shared" si="32"/>
        <v>-19</v>
      </c>
      <c r="BE538" s="117"/>
      <c r="BF538" s="117"/>
      <c r="BG538" s="117"/>
      <c r="BH538" s="117"/>
      <c r="BI538" s="150">
        <f t="shared" si="33"/>
        <v>-1</v>
      </c>
      <c r="BJ538" s="117"/>
      <c r="BK538" s="117"/>
      <c r="BL538" s="117"/>
      <c r="BM538" s="117"/>
      <c r="BN538" s="150">
        <f t="shared" si="34"/>
        <v>-666</v>
      </c>
      <c r="BO538" s="117"/>
      <c r="BP538" s="117"/>
      <c r="BQ538" s="117"/>
      <c r="BR538" s="117"/>
      <c r="BS538" s="975">
        <v>-37</v>
      </c>
      <c r="BT538" s="691"/>
      <c r="BU538" s="117"/>
      <c r="BV538" s="117"/>
      <c r="BW538" s="117"/>
      <c r="BX538" s="150"/>
      <c r="BY538" s="117"/>
      <c r="BZ538" s="117"/>
      <c r="CA538" s="117"/>
      <c r="CB538" s="117"/>
      <c r="CC538" s="150"/>
      <c r="CD538" s="150"/>
      <c r="CE538" s="150"/>
      <c r="CF538" s="150"/>
      <c r="CG538" s="587"/>
    </row>
    <row r="539" spans="1:85" s="460" customFormat="1" ht="14.4" hidden="1" outlineLevel="1" x14ac:dyDescent="0.3">
      <c r="A539" s="262" t="s">
        <v>1310</v>
      </c>
      <c r="B539" s="588"/>
      <c r="C539" s="954"/>
      <c r="D539" s="954"/>
      <c r="E539" s="954"/>
      <c r="F539" s="954"/>
      <c r="G539" s="133"/>
      <c r="H539" s="133"/>
      <c r="I539" s="133"/>
      <c r="J539" s="133"/>
      <c r="K539" s="954"/>
      <c r="L539" s="133"/>
      <c r="M539" s="133"/>
      <c r="N539" s="133"/>
      <c r="O539" s="133"/>
      <c r="P539" s="954"/>
      <c r="Q539" s="133"/>
      <c r="R539" s="133"/>
      <c r="S539" s="133"/>
      <c r="T539" s="133"/>
      <c r="U539" s="954"/>
      <c r="V539" s="133"/>
      <c r="W539" s="133"/>
      <c r="X539" s="133"/>
      <c r="Y539" s="133"/>
      <c r="Z539" s="954"/>
      <c r="AA539" s="133"/>
      <c r="AB539" s="133"/>
      <c r="AC539" s="133"/>
      <c r="AD539" s="133"/>
      <c r="AE539" s="954"/>
      <c r="AF539" s="133"/>
      <c r="AG539" s="133"/>
      <c r="AH539" s="133"/>
      <c r="AI539" s="133"/>
      <c r="AJ539" s="954"/>
      <c r="AK539" s="133"/>
      <c r="AL539" s="133"/>
      <c r="AM539" s="133"/>
      <c r="AN539" s="133"/>
      <c r="AO539" s="954">
        <f t="shared" si="29"/>
        <v>-491</v>
      </c>
      <c r="AP539" s="133"/>
      <c r="AQ539" s="133"/>
      <c r="AR539" s="133"/>
      <c r="AS539" s="133"/>
      <c r="AT539" s="954">
        <f t="shared" si="30"/>
        <v>-486</v>
      </c>
      <c r="AU539" s="133"/>
      <c r="AV539" s="133"/>
      <c r="AW539" s="133"/>
      <c r="AX539" s="133"/>
      <c r="AY539" s="954">
        <f t="shared" si="31"/>
        <v>-471</v>
      </c>
      <c r="AZ539" s="133"/>
      <c r="BA539" s="133"/>
      <c r="BB539" s="133"/>
      <c r="BC539" s="133"/>
      <c r="BD539" s="954">
        <f t="shared" si="32"/>
        <v>-424</v>
      </c>
      <c r="BE539" s="133"/>
      <c r="BF539" s="133"/>
      <c r="BG539" s="133"/>
      <c r="BH539" s="133"/>
      <c r="BI539" s="954">
        <f t="shared" si="33"/>
        <v>-443</v>
      </c>
      <c r="BJ539" s="133"/>
      <c r="BK539" s="133"/>
      <c r="BL539" s="133"/>
      <c r="BM539" s="133"/>
      <c r="BN539" s="954">
        <f t="shared" si="34"/>
        <v>-466</v>
      </c>
      <c r="BO539" s="133"/>
      <c r="BP539" s="133"/>
      <c r="BQ539" s="133"/>
      <c r="BR539" s="133"/>
      <c r="BS539" s="976">
        <v>-521</v>
      </c>
      <c r="BT539" s="692"/>
      <c r="BU539" s="133"/>
      <c r="BV539" s="133"/>
      <c r="BW539" s="133"/>
      <c r="BX539" s="954"/>
      <c r="BY539" s="133"/>
      <c r="BZ539" s="133"/>
      <c r="CA539" s="133"/>
      <c r="CB539" s="133"/>
      <c r="CC539" s="954"/>
      <c r="CD539" s="954"/>
      <c r="CE539" s="954"/>
      <c r="CF539" s="954"/>
      <c r="CG539" s="587"/>
    </row>
    <row r="540" spans="1:85" s="461" customFormat="1" ht="14.4" hidden="1" outlineLevel="1" x14ac:dyDescent="0.3">
      <c r="A540" s="166" t="s">
        <v>1311</v>
      </c>
      <c r="B540" s="583"/>
      <c r="C540" s="957"/>
      <c r="D540" s="957"/>
      <c r="E540" s="957"/>
      <c r="F540" s="957"/>
      <c r="G540" s="120"/>
      <c r="H540" s="120"/>
      <c r="I540" s="120"/>
      <c r="J540" s="120"/>
      <c r="K540" s="957"/>
      <c r="L540" s="120"/>
      <c r="M540" s="120"/>
      <c r="N540" s="120"/>
      <c r="O540" s="120"/>
      <c r="P540" s="957"/>
      <c r="Q540" s="120"/>
      <c r="R540" s="120"/>
      <c r="S540" s="120"/>
      <c r="T540" s="120"/>
      <c r="U540" s="957"/>
      <c r="V540" s="120"/>
      <c r="W540" s="120"/>
      <c r="X540" s="120"/>
      <c r="Y540" s="120"/>
      <c r="Z540" s="957"/>
      <c r="AA540" s="120"/>
      <c r="AB540" s="120"/>
      <c r="AC540" s="120"/>
      <c r="AD540" s="120"/>
      <c r="AE540" s="957"/>
      <c r="AF540" s="120"/>
      <c r="AG540" s="120"/>
      <c r="AH540" s="120"/>
      <c r="AI540" s="120"/>
      <c r="AJ540" s="957"/>
      <c r="AK540" s="120"/>
      <c r="AL540" s="120"/>
      <c r="AM540" s="120"/>
      <c r="AN540" s="120"/>
      <c r="AO540" s="957">
        <f>SUM(AO533:AO539)</f>
        <v>4149</v>
      </c>
      <c r="AP540" s="120"/>
      <c r="AQ540" s="120"/>
      <c r="AR540" s="120"/>
      <c r="AS540" s="120"/>
      <c r="AT540" s="957">
        <f>SUM(AT533:AT539)</f>
        <v>3766</v>
      </c>
      <c r="AU540" s="120"/>
      <c r="AV540" s="120"/>
      <c r="AW540" s="120"/>
      <c r="AX540" s="120"/>
      <c r="AY540" s="957">
        <f>SUM(AY533:AY539)</f>
        <v>3821</v>
      </c>
      <c r="AZ540" s="120"/>
      <c r="BA540" s="120"/>
      <c r="BB540" s="120"/>
      <c r="BC540" s="120"/>
      <c r="BD540" s="957">
        <f>SUM(BD533:BD539)</f>
        <v>3868</v>
      </c>
      <c r="BE540" s="120"/>
      <c r="BF540" s="120"/>
      <c r="BG540" s="120"/>
      <c r="BH540" s="120"/>
      <c r="BI540" s="957">
        <f>SUM(BI533:BI539)</f>
        <v>3770</v>
      </c>
      <c r="BJ540" s="120"/>
      <c r="BK540" s="120"/>
      <c r="BL540" s="120"/>
      <c r="BM540" s="120"/>
      <c r="BN540" s="957">
        <f>SUM(BN533:BN539)</f>
        <v>3027</v>
      </c>
      <c r="BO540" s="120"/>
      <c r="BP540" s="120"/>
      <c r="BQ540" s="120"/>
      <c r="BR540" s="120"/>
      <c r="BS540" s="957">
        <f>SUM(BS533:BS539)</f>
        <v>3608</v>
      </c>
      <c r="BT540" s="694"/>
      <c r="BU540" s="120"/>
      <c r="BV540" s="120"/>
      <c r="BW540" s="120"/>
      <c r="BX540" s="957"/>
      <c r="BY540" s="120"/>
      <c r="BZ540" s="120"/>
      <c r="CA540" s="120"/>
      <c r="CB540" s="120"/>
      <c r="CC540" s="957"/>
      <c r="CD540" s="957"/>
      <c r="CE540" s="957"/>
      <c r="CF540" s="957"/>
      <c r="CG540" s="615"/>
    </row>
    <row r="541" spans="1:85" s="461" customFormat="1" ht="14.4" hidden="1" outlineLevel="1" x14ac:dyDescent="0.3">
      <c r="A541" s="166"/>
      <c r="B541" s="583"/>
      <c r="C541" s="957"/>
      <c r="D541" s="957"/>
      <c r="E541" s="957"/>
      <c r="F541" s="957"/>
      <c r="G541" s="120"/>
      <c r="H541" s="120"/>
      <c r="I541" s="120"/>
      <c r="J541" s="120"/>
      <c r="K541" s="957"/>
      <c r="L541" s="120"/>
      <c r="M541" s="120"/>
      <c r="N541" s="120"/>
      <c r="O541" s="120"/>
      <c r="P541" s="957"/>
      <c r="Q541" s="120"/>
      <c r="R541" s="120"/>
      <c r="S541" s="120"/>
      <c r="T541" s="120"/>
      <c r="U541" s="957"/>
      <c r="V541" s="120"/>
      <c r="W541" s="120"/>
      <c r="X541" s="120"/>
      <c r="Y541" s="120"/>
      <c r="Z541" s="957"/>
      <c r="AA541" s="120"/>
      <c r="AB541" s="120"/>
      <c r="AC541" s="120"/>
      <c r="AD541" s="120"/>
      <c r="AE541" s="957"/>
      <c r="AF541" s="120"/>
      <c r="AG541" s="120"/>
      <c r="AH541" s="120"/>
      <c r="AI541" s="120"/>
      <c r="AJ541" s="957"/>
      <c r="AK541" s="120"/>
      <c r="AL541" s="120"/>
      <c r="AM541" s="120"/>
      <c r="AN541" s="120"/>
      <c r="AO541" s="957"/>
      <c r="AP541" s="120"/>
      <c r="AQ541" s="120"/>
      <c r="AR541" s="120"/>
      <c r="AS541" s="120"/>
      <c r="AT541" s="957"/>
      <c r="AU541" s="120"/>
      <c r="AV541" s="120"/>
      <c r="AW541" s="120"/>
      <c r="AX541" s="120"/>
      <c r="AY541" s="957"/>
      <c r="AZ541" s="120"/>
      <c r="BA541" s="120"/>
      <c r="BB541" s="120"/>
      <c r="BC541" s="120"/>
      <c r="BD541" s="957"/>
      <c r="BE541" s="120"/>
      <c r="BF541" s="120"/>
      <c r="BG541" s="120"/>
      <c r="BH541" s="120"/>
      <c r="BI541" s="957"/>
      <c r="BJ541" s="120"/>
      <c r="BK541" s="120"/>
      <c r="BL541" s="120"/>
      <c r="BM541" s="120"/>
      <c r="BN541" s="957"/>
      <c r="BO541" s="120"/>
      <c r="BP541" s="120"/>
      <c r="BQ541" s="120"/>
      <c r="BR541" s="120"/>
      <c r="BS541" s="957"/>
      <c r="BT541" s="694"/>
      <c r="BU541" s="120"/>
      <c r="BV541" s="120"/>
      <c r="BW541" s="120"/>
      <c r="BX541" s="957"/>
      <c r="BY541" s="120"/>
      <c r="BZ541" s="120"/>
      <c r="CA541" s="120"/>
      <c r="CB541" s="120"/>
      <c r="CC541" s="957"/>
      <c r="CD541" s="957"/>
      <c r="CE541" s="957"/>
      <c r="CF541" s="957"/>
      <c r="CG541" s="615"/>
    </row>
    <row r="542" spans="1:85" s="461" customFormat="1" ht="14.4" hidden="1" outlineLevel="1" x14ac:dyDescent="0.3">
      <c r="A542" s="166" t="s">
        <v>1312</v>
      </c>
      <c r="B542" s="583"/>
      <c r="C542" s="957"/>
      <c r="D542" s="957"/>
      <c r="E542" s="957"/>
      <c r="F542" s="957"/>
      <c r="G542" s="120"/>
      <c r="H542" s="120"/>
      <c r="I542" s="120"/>
      <c r="J542" s="120"/>
      <c r="K542" s="957"/>
      <c r="L542" s="120"/>
      <c r="M542" s="120"/>
      <c r="N542" s="120"/>
      <c r="O542" s="120"/>
      <c r="P542" s="957"/>
      <c r="Q542" s="120"/>
      <c r="R542" s="120"/>
      <c r="S542" s="120"/>
      <c r="T542" s="120"/>
      <c r="U542" s="957"/>
      <c r="V542" s="120"/>
      <c r="W542" s="120"/>
      <c r="X542" s="120"/>
      <c r="Y542" s="120"/>
      <c r="Z542" s="957"/>
      <c r="AA542" s="120"/>
      <c r="AB542" s="120"/>
      <c r="AC542" s="120"/>
      <c r="AD542" s="120"/>
      <c r="AE542" s="957"/>
      <c r="AF542" s="120"/>
      <c r="AG542" s="120"/>
      <c r="AH542" s="120"/>
      <c r="AI542" s="120"/>
      <c r="AJ542" s="957"/>
      <c r="AK542" s="120"/>
      <c r="AL542" s="120"/>
      <c r="AM542" s="120"/>
      <c r="AN542" s="120"/>
      <c r="AO542" s="983">
        <v>1504</v>
      </c>
      <c r="AP542" s="120"/>
      <c r="AQ542" s="120"/>
      <c r="AR542" s="120"/>
      <c r="AS542" s="120"/>
      <c r="AT542" s="983">
        <v>1473</v>
      </c>
      <c r="AU542" s="120"/>
      <c r="AV542" s="120"/>
      <c r="AW542" s="120"/>
      <c r="AX542" s="120"/>
      <c r="AY542" s="983">
        <v>1550</v>
      </c>
      <c r="AZ542" s="120"/>
      <c r="BA542" s="120"/>
      <c r="BB542" s="120"/>
      <c r="BC542" s="120"/>
      <c r="BD542" s="983">
        <v>1250</v>
      </c>
      <c r="BE542" s="120"/>
      <c r="BF542" s="120"/>
      <c r="BG542" s="120"/>
      <c r="BH542" s="120"/>
      <c r="BI542" s="983">
        <v>1126</v>
      </c>
      <c r="BJ542" s="120"/>
      <c r="BK542" s="120"/>
      <c r="BL542" s="120"/>
      <c r="BM542" s="120"/>
      <c r="BN542" s="983">
        <v>1004</v>
      </c>
      <c r="BO542" s="120"/>
      <c r="BP542" s="120"/>
      <c r="BQ542" s="120"/>
      <c r="BR542" s="120"/>
      <c r="BS542" s="983">
        <v>887</v>
      </c>
      <c r="BT542" s="694"/>
      <c r="BU542" s="120"/>
      <c r="BV542" s="120"/>
      <c r="BW542" s="120"/>
      <c r="BX542" s="957"/>
      <c r="BY542" s="120"/>
      <c r="BZ542" s="120"/>
      <c r="CA542" s="120"/>
      <c r="CB542" s="120"/>
      <c r="CC542" s="957"/>
      <c r="CD542" s="957"/>
      <c r="CE542" s="957"/>
      <c r="CF542" s="957"/>
      <c r="CG542" s="615"/>
    </row>
    <row r="543" spans="1:85" s="460" customFormat="1" ht="14.4" hidden="1" outlineLevel="1" x14ac:dyDescent="0.3">
      <c r="A543" s="159" t="s">
        <v>1313</v>
      </c>
      <c r="B543" s="586"/>
      <c r="C543" s="150"/>
      <c r="D543" s="150"/>
      <c r="E543" s="150"/>
      <c r="F543" s="150"/>
      <c r="G543" s="117"/>
      <c r="H543" s="117"/>
      <c r="I543" s="117"/>
      <c r="J543" s="117"/>
      <c r="K543" s="150"/>
      <c r="L543" s="117"/>
      <c r="M543" s="117"/>
      <c r="N543" s="117"/>
      <c r="O543" s="117"/>
      <c r="P543" s="150"/>
      <c r="Q543" s="117"/>
      <c r="R543" s="117"/>
      <c r="S543" s="117"/>
      <c r="T543" s="117"/>
      <c r="U543" s="150"/>
      <c r="V543" s="117"/>
      <c r="W543" s="117"/>
      <c r="X543" s="117"/>
      <c r="Y543" s="117"/>
      <c r="Z543" s="150"/>
      <c r="AA543" s="117"/>
      <c r="AB543" s="117"/>
      <c r="AC543" s="117"/>
      <c r="AD543" s="117"/>
      <c r="AE543" s="150"/>
      <c r="AF543" s="117"/>
      <c r="AG543" s="117"/>
      <c r="AH543" s="117"/>
      <c r="AI543" s="117"/>
      <c r="AJ543" s="150"/>
      <c r="AK543" s="117"/>
      <c r="AL543" s="117"/>
      <c r="AM543" s="117"/>
      <c r="AN543" s="117"/>
      <c r="AO543" s="975">
        <v>75</v>
      </c>
      <c r="AP543" s="117"/>
      <c r="AQ543" s="117"/>
      <c r="AR543" s="117"/>
      <c r="AS543" s="117"/>
      <c r="AT543" s="975">
        <v>180</v>
      </c>
      <c r="AU543" s="117"/>
      <c r="AV543" s="117"/>
      <c r="AW543" s="117"/>
      <c r="AX543" s="117"/>
      <c r="AY543" s="975">
        <v>-208</v>
      </c>
      <c r="AZ543" s="117"/>
      <c r="BA543" s="117"/>
      <c r="BB543" s="117"/>
      <c r="BC543" s="117"/>
      <c r="BD543" s="975">
        <v>-35</v>
      </c>
      <c r="BE543" s="117"/>
      <c r="BF543" s="117"/>
      <c r="BG543" s="117"/>
      <c r="BH543" s="117"/>
      <c r="BI543" s="975">
        <v>-20</v>
      </c>
      <c r="BJ543" s="117"/>
      <c r="BK543" s="117"/>
      <c r="BL543" s="117"/>
      <c r="BM543" s="117"/>
      <c r="BN543" s="975">
        <v>-13</v>
      </c>
      <c r="BO543" s="117"/>
      <c r="BP543" s="117"/>
      <c r="BQ543" s="117"/>
      <c r="BR543" s="117"/>
      <c r="BS543" s="975">
        <v>16</v>
      </c>
      <c r="BT543" s="691"/>
      <c r="BU543" s="117"/>
      <c r="BV543" s="117"/>
      <c r="BW543" s="117"/>
      <c r="BX543" s="150"/>
      <c r="BY543" s="117"/>
      <c r="BZ543" s="117"/>
      <c r="CA543" s="117"/>
      <c r="CB543" s="117"/>
      <c r="CC543" s="150"/>
      <c r="CD543" s="150"/>
      <c r="CE543" s="150"/>
      <c r="CF543" s="150"/>
      <c r="CG543" s="587"/>
    </row>
    <row r="544" spans="1:85" s="460" customFormat="1" ht="14.4" hidden="1" outlineLevel="1" x14ac:dyDescent="0.3">
      <c r="A544" s="159" t="s">
        <v>1314</v>
      </c>
      <c r="B544" s="586"/>
      <c r="C544" s="150"/>
      <c r="D544" s="150"/>
      <c r="E544" s="150"/>
      <c r="F544" s="150"/>
      <c r="G544" s="117"/>
      <c r="H544" s="117"/>
      <c r="I544" s="117"/>
      <c r="J544" s="117"/>
      <c r="K544" s="150"/>
      <c r="L544" s="117"/>
      <c r="M544" s="117"/>
      <c r="N544" s="117"/>
      <c r="O544" s="117"/>
      <c r="P544" s="150"/>
      <c r="Q544" s="117"/>
      <c r="R544" s="117"/>
      <c r="S544" s="117"/>
      <c r="T544" s="117"/>
      <c r="U544" s="150"/>
      <c r="V544" s="117"/>
      <c r="W544" s="117"/>
      <c r="X544" s="117"/>
      <c r="Y544" s="117"/>
      <c r="Z544" s="150"/>
      <c r="AA544" s="117"/>
      <c r="AB544" s="117"/>
      <c r="AC544" s="117"/>
      <c r="AD544" s="117"/>
      <c r="AE544" s="150"/>
      <c r="AF544" s="117"/>
      <c r="AG544" s="117"/>
      <c r="AH544" s="117"/>
      <c r="AI544" s="117"/>
      <c r="AJ544" s="150"/>
      <c r="AK544" s="117"/>
      <c r="AL544" s="117"/>
      <c r="AM544" s="117"/>
      <c r="AN544" s="117"/>
      <c r="AO544" s="975">
        <v>0</v>
      </c>
      <c r="AP544" s="117"/>
      <c r="AQ544" s="117"/>
      <c r="AR544" s="117"/>
      <c r="AS544" s="117"/>
      <c r="AT544" s="975">
        <v>0</v>
      </c>
      <c r="AU544" s="117"/>
      <c r="AV544" s="117"/>
      <c r="AW544" s="117"/>
      <c r="AX544" s="117"/>
      <c r="AY544" s="975">
        <v>0</v>
      </c>
      <c r="AZ544" s="117"/>
      <c r="BA544" s="117"/>
      <c r="BB544" s="117"/>
      <c r="BC544" s="117"/>
      <c r="BD544" s="975">
        <v>0</v>
      </c>
      <c r="BE544" s="117"/>
      <c r="BF544" s="117"/>
      <c r="BG544" s="117"/>
      <c r="BH544" s="117"/>
      <c r="BI544" s="975">
        <v>0</v>
      </c>
      <c r="BJ544" s="117"/>
      <c r="BK544" s="117"/>
      <c r="BL544" s="117"/>
      <c r="BM544" s="117"/>
      <c r="BN544" s="975">
        <v>0</v>
      </c>
      <c r="BO544" s="117"/>
      <c r="BP544" s="117"/>
      <c r="BQ544" s="117"/>
      <c r="BR544" s="117"/>
      <c r="BS544" s="975">
        <v>1</v>
      </c>
      <c r="BT544" s="691"/>
      <c r="BU544" s="117"/>
      <c r="BV544" s="117"/>
      <c r="BW544" s="117"/>
      <c r="BX544" s="150"/>
      <c r="BY544" s="117"/>
      <c r="BZ544" s="117"/>
      <c r="CA544" s="117"/>
      <c r="CB544" s="117"/>
      <c r="CC544" s="150"/>
      <c r="CD544" s="150"/>
      <c r="CE544" s="150"/>
      <c r="CF544" s="150"/>
      <c r="CG544" s="587"/>
    </row>
    <row r="545" spans="1:85" s="460" customFormat="1" ht="14.4" hidden="1" outlineLevel="1" x14ac:dyDescent="0.3">
      <c r="A545" s="159" t="s">
        <v>1315</v>
      </c>
      <c r="B545" s="586"/>
      <c r="C545" s="150"/>
      <c r="D545" s="150"/>
      <c r="E545" s="150"/>
      <c r="F545" s="150"/>
      <c r="G545" s="117"/>
      <c r="H545" s="117"/>
      <c r="I545" s="117"/>
      <c r="J545" s="117"/>
      <c r="K545" s="150"/>
      <c r="L545" s="117"/>
      <c r="M545" s="117"/>
      <c r="N545" s="117"/>
      <c r="O545" s="117"/>
      <c r="P545" s="150"/>
      <c r="Q545" s="117"/>
      <c r="R545" s="117"/>
      <c r="S545" s="117"/>
      <c r="T545" s="117"/>
      <c r="U545" s="150"/>
      <c r="V545" s="117"/>
      <c r="W545" s="117"/>
      <c r="X545" s="117"/>
      <c r="Y545" s="117"/>
      <c r="Z545" s="150"/>
      <c r="AA545" s="117"/>
      <c r="AB545" s="117"/>
      <c r="AC545" s="117"/>
      <c r="AD545" s="117"/>
      <c r="AE545" s="150"/>
      <c r="AF545" s="117"/>
      <c r="AG545" s="117"/>
      <c r="AH545" s="117"/>
      <c r="AI545" s="117"/>
      <c r="AJ545" s="150"/>
      <c r="AK545" s="117"/>
      <c r="AL545" s="117"/>
      <c r="AM545" s="117"/>
      <c r="AN545" s="117"/>
      <c r="AO545" s="975">
        <v>0</v>
      </c>
      <c r="AP545" s="117"/>
      <c r="AQ545" s="117"/>
      <c r="AR545" s="117"/>
      <c r="AS545" s="117"/>
      <c r="AT545" s="975">
        <v>0</v>
      </c>
      <c r="AU545" s="117"/>
      <c r="AV545" s="117"/>
      <c r="AW545" s="117"/>
      <c r="AX545" s="117"/>
      <c r="AY545" s="975">
        <v>0</v>
      </c>
      <c r="AZ545" s="117"/>
      <c r="BA545" s="117"/>
      <c r="BB545" s="117"/>
      <c r="BC545" s="117"/>
      <c r="BD545" s="975">
        <v>10</v>
      </c>
      <c r="BE545" s="117"/>
      <c r="BF545" s="117"/>
      <c r="BG545" s="117"/>
      <c r="BH545" s="117"/>
      <c r="BI545" s="975">
        <v>0</v>
      </c>
      <c r="BJ545" s="117"/>
      <c r="BK545" s="117"/>
      <c r="BL545" s="117"/>
      <c r="BM545" s="117"/>
      <c r="BN545" s="975">
        <v>0</v>
      </c>
      <c r="BO545" s="117"/>
      <c r="BP545" s="117"/>
      <c r="BQ545" s="117"/>
      <c r="BR545" s="117"/>
      <c r="BS545" s="975">
        <v>0</v>
      </c>
      <c r="BT545" s="691"/>
      <c r="BU545" s="117"/>
      <c r="BV545" s="117"/>
      <c r="BW545" s="117"/>
      <c r="BX545" s="150"/>
      <c r="BY545" s="117"/>
      <c r="BZ545" s="117"/>
      <c r="CA545" s="117"/>
      <c r="CB545" s="117"/>
      <c r="CC545" s="150"/>
      <c r="CD545" s="150"/>
      <c r="CE545" s="150"/>
      <c r="CF545" s="150"/>
      <c r="CG545" s="587"/>
    </row>
    <row r="546" spans="1:85" s="460" customFormat="1" ht="14.4" hidden="1" outlineLevel="1" x14ac:dyDescent="0.3">
      <c r="A546" s="159" t="s">
        <v>1316</v>
      </c>
      <c r="B546" s="586"/>
      <c r="C546" s="150"/>
      <c r="D546" s="150"/>
      <c r="E546" s="150"/>
      <c r="F546" s="150"/>
      <c r="G546" s="117"/>
      <c r="H546" s="117"/>
      <c r="I546" s="117"/>
      <c r="J546" s="117"/>
      <c r="K546" s="150"/>
      <c r="L546" s="117"/>
      <c r="M546" s="117"/>
      <c r="N546" s="117"/>
      <c r="O546" s="117"/>
      <c r="P546" s="150"/>
      <c r="Q546" s="117"/>
      <c r="R546" s="117"/>
      <c r="S546" s="117"/>
      <c r="T546" s="117"/>
      <c r="U546" s="150"/>
      <c r="V546" s="117"/>
      <c r="W546" s="117"/>
      <c r="X546" s="117"/>
      <c r="Y546" s="117"/>
      <c r="Z546" s="150"/>
      <c r="AA546" s="117"/>
      <c r="AB546" s="117"/>
      <c r="AC546" s="117"/>
      <c r="AD546" s="117"/>
      <c r="AE546" s="150"/>
      <c r="AF546" s="117"/>
      <c r="AG546" s="117"/>
      <c r="AH546" s="117"/>
      <c r="AI546" s="117"/>
      <c r="AJ546" s="150"/>
      <c r="AK546" s="117"/>
      <c r="AL546" s="117"/>
      <c r="AM546" s="117"/>
      <c r="AN546" s="117"/>
      <c r="AO546" s="975">
        <v>0</v>
      </c>
      <c r="AP546" s="117"/>
      <c r="AQ546" s="117"/>
      <c r="AR546" s="117"/>
      <c r="AS546" s="117"/>
      <c r="AT546" s="975">
        <v>0</v>
      </c>
      <c r="AU546" s="117"/>
      <c r="AV546" s="117"/>
      <c r="AW546" s="117"/>
      <c r="AX546" s="117"/>
      <c r="AY546" s="975">
        <v>0</v>
      </c>
      <c r="AZ546" s="117"/>
      <c r="BA546" s="117"/>
      <c r="BB546" s="117"/>
      <c r="BC546" s="117"/>
      <c r="BD546" s="975">
        <v>0</v>
      </c>
      <c r="BE546" s="117"/>
      <c r="BF546" s="117"/>
      <c r="BG546" s="117"/>
      <c r="BH546" s="117"/>
      <c r="BI546" s="975">
        <v>0</v>
      </c>
      <c r="BJ546" s="117"/>
      <c r="BK546" s="117"/>
      <c r="BL546" s="117"/>
      <c r="BM546" s="117"/>
      <c r="BN546" s="975">
        <v>0</v>
      </c>
      <c r="BO546" s="117"/>
      <c r="BP546" s="117"/>
      <c r="BQ546" s="117"/>
      <c r="BR546" s="117"/>
      <c r="BS546" s="975">
        <v>0</v>
      </c>
      <c r="BT546" s="691"/>
      <c r="BU546" s="117"/>
      <c r="BV546" s="117"/>
      <c r="BW546" s="117"/>
      <c r="BX546" s="150"/>
      <c r="BY546" s="117"/>
      <c r="BZ546" s="117"/>
      <c r="CA546" s="117"/>
      <c r="CB546" s="117"/>
      <c r="CC546" s="150"/>
      <c r="CD546" s="150"/>
      <c r="CE546" s="150"/>
      <c r="CF546" s="150"/>
      <c r="CG546" s="587"/>
    </row>
    <row r="547" spans="1:85" s="460" customFormat="1" ht="14.4" hidden="1" outlineLevel="1" x14ac:dyDescent="0.3">
      <c r="A547" s="159" t="s">
        <v>1317</v>
      </c>
      <c r="B547" s="586"/>
      <c r="C547" s="150"/>
      <c r="D547" s="150"/>
      <c r="E547" s="150"/>
      <c r="F547" s="150"/>
      <c r="G547" s="117"/>
      <c r="H547" s="117"/>
      <c r="I547" s="117"/>
      <c r="J547" s="117"/>
      <c r="K547" s="150"/>
      <c r="L547" s="117"/>
      <c r="M547" s="117"/>
      <c r="N547" s="117"/>
      <c r="O547" s="117"/>
      <c r="P547" s="150"/>
      <c r="Q547" s="117"/>
      <c r="R547" s="117"/>
      <c r="S547" s="117"/>
      <c r="T547" s="117"/>
      <c r="U547" s="150"/>
      <c r="V547" s="117"/>
      <c r="W547" s="117"/>
      <c r="X547" s="117"/>
      <c r="Y547" s="117"/>
      <c r="Z547" s="150"/>
      <c r="AA547" s="117"/>
      <c r="AB547" s="117"/>
      <c r="AC547" s="117"/>
      <c r="AD547" s="117"/>
      <c r="AE547" s="150"/>
      <c r="AF547" s="117"/>
      <c r="AG547" s="117"/>
      <c r="AH547" s="117"/>
      <c r="AI547" s="117"/>
      <c r="AJ547" s="150"/>
      <c r="AK547" s="117"/>
      <c r="AL547" s="117"/>
      <c r="AM547" s="117"/>
      <c r="AN547" s="117"/>
      <c r="AO547" s="975">
        <v>0</v>
      </c>
      <c r="AP547" s="117"/>
      <c r="AQ547" s="117"/>
      <c r="AR547" s="117"/>
      <c r="AS547" s="117"/>
      <c r="AT547" s="975">
        <v>0</v>
      </c>
      <c r="AU547" s="117"/>
      <c r="AV547" s="117"/>
      <c r="AW547" s="117"/>
      <c r="AX547" s="117"/>
      <c r="AY547" s="975">
        <v>0</v>
      </c>
      <c r="AZ547" s="117"/>
      <c r="BA547" s="117"/>
      <c r="BB547" s="117"/>
      <c r="BC547" s="117"/>
      <c r="BD547" s="975">
        <v>0</v>
      </c>
      <c r="BE547" s="117"/>
      <c r="BF547" s="117"/>
      <c r="BG547" s="117"/>
      <c r="BH547" s="117"/>
      <c r="BI547" s="975">
        <v>0</v>
      </c>
      <c r="BJ547" s="117"/>
      <c r="BK547" s="117"/>
      <c r="BL547" s="117"/>
      <c r="BM547" s="117"/>
      <c r="BN547" s="975">
        <v>0</v>
      </c>
      <c r="BO547" s="117"/>
      <c r="BP547" s="117"/>
      <c r="BQ547" s="117"/>
      <c r="BR547" s="117"/>
      <c r="BS547" s="975">
        <v>0</v>
      </c>
      <c r="BT547" s="691"/>
      <c r="BU547" s="117"/>
      <c r="BV547" s="117"/>
      <c r="BW547" s="117"/>
      <c r="BX547" s="150"/>
      <c r="BY547" s="117"/>
      <c r="BZ547" s="117"/>
      <c r="CA547" s="117"/>
      <c r="CB547" s="117"/>
      <c r="CC547" s="150"/>
      <c r="CD547" s="150"/>
      <c r="CE547" s="150"/>
      <c r="CF547" s="150"/>
      <c r="CG547" s="587"/>
    </row>
    <row r="548" spans="1:85" s="460" customFormat="1" ht="14.4" hidden="1" outlineLevel="1" x14ac:dyDescent="0.3">
      <c r="A548" s="262" t="s">
        <v>1318</v>
      </c>
      <c r="B548" s="588"/>
      <c r="C548" s="954"/>
      <c r="D548" s="954"/>
      <c r="E548" s="954"/>
      <c r="F548" s="954"/>
      <c r="G548" s="133"/>
      <c r="H548" s="133"/>
      <c r="I548" s="133"/>
      <c r="J548" s="133"/>
      <c r="K548" s="954"/>
      <c r="L548" s="133"/>
      <c r="M548" s="133"/>
      <c r="N548" s="133"/>
      <c r="O548" s="133"/>
      <c r="P548" s="954"/>
      <c r="Q548" s="133"/>
      <c r="R548" s="133"/>
      <c r="S548" s="133"/>
      <c r="T548" s="133"/>
      <c r="U548" s="954"/>
      <c r="V548" s="133"/>
      <c r="W548" s="133"/>
      <c r="X548" s="133"/>
      <c r="Y548" s="133"/>
      <c r="Z548" s="954"/>
      <c r="AA548" s="133"/>
      <c r="AB548" s="133"/>
      <c r="AC548" s="133"/>
      <c r="AD548" s="133"/>
      <c r="AE548" s="954"/>
      <c r="AF548" s="133"/>
      <c r="AG548" s="133"/>
      <c r="AH548" s="133"/>
      <c r="AI548" s="133"/>
      <c r="AJ548" s="954"/>
      <c r="AK548" s="133"/>
      <c r="AL548" s="133"/>
      <c r="AM548" s="133"/>
      <c r="AN548" s="133"/>
      <c r="AO548" s="976">
        <v>-106</v>
      </c>
      <c r="AP548" s="133"/>
      <c r="AQ548" s="133"/>
      <c r="AR548" s="133"/>
      <c r="AS548" s="133"/>
      <c r="AT548" s="976">
        <v>-103</v>
      </c>
      <c r="AU548" s="133"/>
      <c r="AV548" s="133"/>
      <c r="AW548" s="133"/>
      <c r="AX548" s="133"/>
      <c r="AY548" s="976">
        <v>-92</v>
      </c>
      <c r="AZ548" s="133"/>
      <c r="BA548" s="133"/>
      <c r="BB548" s="133"/>
      <c r="BC548" s="133"/>
      <c r="BD548" s="976">
        <v>-99</v>
      </c>
      <c r="BE548" s="133"/>
      <c r="BF548" s="133"/>
      <c r="BG548" s="133"/>
      <c r="BH548" s="133"/>
      <c r="BI548" s="976">
        <v>-102</v>
      </c>
      <c r="BJ548" s="133"/>
      <c r="BK548" s="133"/>
      <c r="BL548" s="133"/>
      <c r="BM548" s="133"/>
      <c r="BN548" s="976">
        <v>-104</v>
      </c>
      <c r="BO548" s="133"/>
      <c r="BP548" s="133"/>
      <c r="BQ548" s="133"/>
      <c r="BR548" s="133"/>
      <c r="BS548" s="976">
        <v>-145</v>
      </c>
      <c r="BT548" s="692"/>
      <c r="BU548" s="133"/>
      <c r="BV548" s="133"/>
      <c r="BW548" s="133"/>
      <c r="BX548" s="954"/>
      <c r="BY548" s="133"/>
      <c r="BZ548" s="133"/>
      <c r="CA548" s="133"/>
      <c r="CB548" s="133"/>
      <c r="CC548" s="954"/>
      <c r="CD548" s="954"/>
      <c r="CE548" s="954"/>
      <c r="CF548" s="954"/>
      <c r="CG548" s="587"/>
    </row>
    <row r="549" spans="1:85" s="461" customFormat="1" ht="14.4" hidden="1" outlineLevel="1" x14ac:dyDescent="0.3">
      <c r="A549" s="166" t="s">
        <v>1319</v>
      </c>
      <c r="B549" s="583"/>
      <c r="C549" s="957"/>
      <c r="D549" s="957"/>
      <c r="E549" s="957"/>
      <c r="F549" s="957"/>
      <c r="G549" s="120"/>
      <c r="H549" s="120"/>
      <c r="I549" s="120"/>
      <c r="J549" s="120"/>
      <c r="K549" s="957"/>
      <c r="L549" s="120"/>
      <c r="M549" s="120"/>
      <c r="N549" s="120"/>
      <c r="O549" s="120"/>
      <c r="P549" s="957"/>
      <c r="Q549" s="120"/>
      <c r="R549" s="120"/>
      <c r="S549" s="120"/>
      <c r="T549" s="120"/>
      <c r="U549" s="957"/>
      <c r="V549" s="120"/>
      <c r="W549" s="120"/>
      <c r="X549" s="120"/>
      <c r="Y549" s="120"/>
      <c r="Z549" s="957"/>
      <c r="AA549" s="120"/>
      <c r="AB549" s="120"/>
      <c r="AC549" s="120"/>
      <c r="AD549" s="120"/>
      <c r="AE549" s="957"/>
      <c r="AF549" s="120"/>
      <c r="AG549" s="120"/>
      <c r="AH549" s="120"/>
      <c r="AI549" s="120"/>
      <c r="AJ549" s="957"/>
      <c r="AK549" s="120"/>
      <c r="AL549" s="120"/>
      <c r="AM549" s="120"/>
      <c r="AN549" s="120"/>
      <c r="AO549" s="957">
        <f>SUM(AO542:AO548)</f>
        <v>1473</v>
      </c>
      <c r="AP549" s="120"/>
      <c r="AQ549" s="120"/>
      <c r="AR549" s="120"/>
      <c r="AS549" s="120"/>
      <c r="AT549" s="957">
        <f>SUM(AT542:AT548)</f>
        <v>1550</v>
      </c>
      <c r="AU549" s="120"/>
      <c r="AV549" s="120"/>
      <c r="AW549" s="120"/>
      <c r="AX549" s="120"/>
      <c r="AY549" s="957">
        <f>SUM(AY542:AY548)</f>
        <v>1250</v>
      </c>
      <c r="AZ549" s="120"/>
      <c r="BA549" s="120"/>
      <c r="BB549" s="120"/>
      <c r="BC549" s="120"/>
      <c r="BD549" s="957">
        <f>SUM(BD542:BD548)</f>
        <v>1126</v>
      </c>
      <c r="BE549" s="120"/>
      <c r="BF549" s="120"/>
      <c r="BG549" s="120"/>
      <c r="BH549" s="120"/>
      <c r="BI549" s="957">
        <f>SUM(BI542:BI548)</f>
        <v>1004</v>
      </c>
      <c r="BJ549" s="120"/>
      <c r="BK549" s="120"/>
      <c r="BL549" s="120"/>
      <c r="BM549" s="120"/>
      <c r="BN549" s="957">
        <f>SUM(BN542:BN548)</f>
        <v>887</v>
      </c>
      <c r="BO549" s="120"/>
      <c r="BP549" s="120"/>
      <c r="BQ549" s="120"/>
      <c r="BR549" s="120"/>
      <c r="BS549" s="957">
        <f>SUM(BS542:BS548)</f>
        <v>759</v>
      </c>
      <c r="BT549" s="694"/>
      <c r="BU549" s="120"/>
      <c r="BV549" s="120"/>
      <c r="BW549" s="120"/>
      <c r="BX549" s="957"/>
      <c r="BY549" s="120"/>
      <c r="BZ549" s="120"/>
      <c r="CA549" s="120"/>
      <c r="CB549" s="120"/>
      <c r="CC549" s="957"/>
      <c r="CD549" s="957"/>
      <c r="CE549" s="957"/>
      <c r="CF549" s="957"/>
      <c r="CG549" s="615"/>
    </row>
    <row r="550" spans="1:85" s="461" customFormat="1" ht="14.4" hidden="1" outlineLevel="1" x14ac:dyDescent="0.3">
      <c r="A550" s="166" t="s">
        <v>1296</v>
      </c>
      <c r="B550" s="583"/>
      <c r="C550" s="957"/>
      <c r="D550" s="957"/>
      <c r="E550" s="957"/>
      <c r="F550" s="957"/>
      <c r="G550" s="120"/>
      <c r="H550" s="120"/>
      <c r="I550" s="120"/>
      <c r="J550" s="120"/>
      <c r="K550" s="957"/>
      <c r="L550" s="120"/>
      <c r="M550" s="120"/>
      <c r="N550" s="120"/>
      <c r="O550" s="120"/>
      <c r="P550" s="957"/>
      <c r="Q550" s="120"/>
      <c r="R550" s="120"/>
      <c r="S550" s="120"/>
      <c r="T550" s="120"/>
      <c r="U550" s="957"/>
      <c r="V550" s="120"/>
      <c r="W550" s="120"/>
      <c r="X550" s="120"/>
      <c r="Y550" s="120"/>
      <c r="Z550" s="957"/>
      <c r="AA550" s="120"/>
      <c r="AB550" s="120"/>
      <c r="AC550" s="120"/>
      <c r="AD550" s="120"/>
      <c r="AE550" s="957"/>
      <c r="AF550" s="120"/>
      <c r="AG550" s="120"/>
      <c r="AH550" s="120"/>
      <c r="AI550" s="120"/>
      <c r="AJ550" s="957"/>
      <c r="AK550" s="120"/>
      <c r="AL550" s="120"/>
      <c r="AM550" s="120"/>
      <c r="AN550" s="120"/>
      <c r="AO550" s="983">
        <v>127</v>
      </c>
      <c r="AP550" s="120"/>
      <c r="AQ550" s="120"/>
      <c r="AR550" s="120"/>
      <c r="AS550" s="120"/>
      <c r="AT550" s="983">
        <v>0</v>
      </c>
      <c r="AU550" s="120"/>
      <c r="AV550" s="120"/>
      <c r="AW550" s="120"/>
      <c r="AX550" s="120"/>
      <c r="AY550" s="983">
        <v>0</v>
      </c>
      <c r="AZ550" s="120"/>
      <c r="BA550" s="120"/>
      <c r="BB550" s="120"/>
      <c r="BC550" s="120"/>
      <c r="BD550" s="983">
        <v>0</v>
      </c>
      <c r="BE550" s="120"/>
      <c r="BF550" s="120"/>
      <c r="BG550" s="120"/>
      <c r="BH550" s="120"/>
      <c r="BI550" s="983">
        <v>0</v>
      </c>
      <c r="BJ550" s="120"/>
      <c r="BK550" s="120"/>
      <c r="BL550" s="120"/>
      <c r="BM550" s="120"/>
      <c r="BN550" s="983">
        <v>0</v>
      </c>
      <c r="BO550" s="120"/>
      <c r="BP550" s="120"/>
      <c r="BQ550" s="120"/>
      <c r="BR550" s="120"/>
      <c r="BS550" s="983">
        <v>0</v>
      </c>
      <c r="BT550" s="694"/>
      <c r="BU550" s="120"/>
      <c r="BV550" s="120"/>
      <c r="BW550" s="120"/>
      <c r="BX550" s="957"/>
      <c r="BY550" s="120"/>
      <c r="BZ550" s="120"/>
      <c r="CA550" s="120"/>
      <c r="CB550" s="120"/>
      <c r="CC550" s="957"/>
      <c r="CD550" s="957"/>
      <c r="CE550" s="957"/>
      <c r="CF550" s="957"/>
      <c r="CG550" s="615"/>
    </row>
    <row r="551" spans="1:85" s="460" customFormat="1" ht="14.4" hidden="1" outlineLevel="1" x14ac:dyDescent="0.3">
      <c r="A551" s="159" t="s">
        <v>1297</v>
      </c>
      <c r="B551" s="586"/>
      <c r="C551" s="150"/>
      <c r="D551" s="150"/>
      <c r="E551" s="150"/>
      <c r="F551" s="150"/>
      <c r="G551" s="117"/>
      <c r="H551" s="117"/>
      <c r="I551" s="117"/>
      <c r="J551" s="117"/>
      <c r="K551" s="150"/>
      <c r="L551" s="117"/>
      <c r="M551" s="117"/>
      <c r="N551" s="117"/>
      <c r="O551" s="117"/>
      <c r="P551" s="150"/>
      <c r="Q551" s="117"/>
      <c r="R551" s="117"/>
      <c r="S551" s="117"/>
      <c r="T551" s="117"/>
      <c r="U551" s="150"/>
      <c r="V551" s="117"/>
      <c r="W551" s="117"/>
      <c r="X551" s="117"/>
      <c r="Y551" s="117"/>
      <c r="Z551" s="150"/>
      <c r="AA551" s="117"/>
      <c r="AB551" s="117"/>
      <c r="AC551" s="117"/>
      <c r="AD551" s="117"/>
      <c r="AE551" s="150"/>
      <c r="AF551" s="117"/>
      <c r="AG551" s="117"/>
      <c r="AH551" s="117"/>
      <c r="AI551" s="117"/>
      <c r="AJ551" s="150"/>
      <c r="AK551" s="117"/>
      <c r="AL551" s="117"/>
      <c r="AM551" s="117"/>
      <c r="AN551" s="117"/>
      <c r="AO551" s="975">
        <v>-126</v>
      </c>
      <c r="AP551" s="117"/>
      <c r="AQ551" s="117"/>
      <c r="AR551" s="117"/>
      <c r="AS551" s="117"/>
      <c r="AT551" s="975">
        <v>0</v>
      </c>
      <c r="AU551" s="117"/>
      <c r="AV551" s="117"/>
      <c r="AW551" s="117"/>
      <c r="AX551" s="117"/>
      <c r="AY551" s="975">
        <v>0</v>
      </c>
      <c r="AZ551" s="117"/>
      <c r="BA551" s="117"/>
      <c r="BB551" s="117"/>
      <c r="BC551" s="117"/>
      <c r="BD551" s="975">
        <v>0</v>
      </c>
      <c r="BE551" s="117"/>
      <c r="BF551" s="117"/>
      <c r="BG551" s="117"/>
      <c r="BH551" s="117"/>
      <c r="BI551" s="975">
        <v>0</v>
      </c>
      <c r="BJ551" s="117"/>
      <c r="BK551" s="117"/>
      <c r="BL551" s="117"/>
      <c r="BM551" s="117"/>
      <c r="BN551" s="975">
        <v>0</v>
      </c>
      <c r="BO551" s="117"/>
      <c r="BP551" s="117"/>
      <c r="BQ551" s="117"/>
      <c r="BR551" s="117"/>
      <c r="BS551" s="975">
        <v>0</v>
      </c>
      <c r="BT551" s="691"/>
      <c r="BU551" s="117"/>
      <c r="BV551" s="117"/>
      <c r="BW551" s="117"/>
      <c r="BX551" s="150"/>
      <c r="BY551" s="117"/>
      <c r="BZ551" s="117"/>
      <c r="CA551" s="117"/>
      <c r="CB551" s="117"/>
      <c r="CC551" s="150"/>
      <c r="CD551" s="150"/>
      <c r="CE551" s="150"/>
      <c r="CF551" s="150"/>
      <c r="CG551" s="587"/>
    </row>
    <row r="552" spans="1:85" s="460" customFormat="1" ht="14.4" hidden="1" outlineLevel="1" x14ac:dyDescent="0.3">
      <c r="A552" s="159" t="s">
        <v>1298</v>
      </c>
      <c r="B552" s="586"/>
      <c r="C552" s="150"/>
      <c r="D552" s="150"/>
      <c r="E552" s="150"/>
      <c r="F552" s="150"/>
      <c r="G552" s="117"/>
      <c r="H552" s="117"/>
      <c r="I552" s="117"/>
      <c r="J552" s="117"/>
      <c r="K552" s="150"/>
      <c r="L552" s="117"/>
      <c r="M552" s="117"/>
      <c r="N552" s="117"/>
      <c r="O552" s="117"/>
      <c r="P552" s="150"/>
      <c r="Q552" s="117"/>
      <c r="R552" s="117"/>
      <c r="S552" s="117"/>
      <c r="T552" s="117"/>
      <c r="U552" s="150"/>
      <c r="V552" s="117"/>
      <c r="W552" s="117"/>
      <c r="X552" s="117"/>
      <c r="Y552" s="117"/>
      <c r="Z552" s="150"/>
      <c r="AA552" s="117"/>
      <c r="AB552" s="117"/>
      <c r="AC552" s="117"/>
      <c r="AD552" s="117"/>
      <c r="AE552" s="150"/>
      <c r="AF552" s="117"/>
      <c r="AG552" s="117"/>
      <c r="AH552" s="117"/>
      <c r="AI552" s="117"/>
      <c r="AJ552" s="150"/>
      <c r="AK552" s="117"/>
      <c r="AL552" s="117"/>
      <c r="AM552" s="117"/>
      <c r="AN552" s="117"/>
      <c r="AO552" s="975">
        <v>0</v>
      </c>
      <c r="AP552" s="117"/>
      <c r="AQ552" s="117"/>
      <c r="AR552" s="117"/>
      <c r="AS552" s="117"/>
      <c r="AT552" s="975">
        <v>0</v>
      </c>
      <c r="AU552" s="117"/>
      <c r="AV552" s="117"/>
      <c r="AW552" s="117"/>
      <c r="AX552" s="117"/>
      <c r="AY552" s="975">
        <v>0</v>
      </c>
      <c r="AZ552" s="117"/>
      <c r="BA552" s="117"/>
      <c r="BB552" s="117"/>
      <c r="BC552" s="117"/>
      <c r="BD552" s="975">
        <v>0</v>
      </c>
      <c r="BE552" s="117"/>
      <c r="BF552" s="117"/>
      <c r="BG552" s="117"/>
      <c r="BH552" s="117"/>
      <c r="BI552" s="975">
        <v>0</v>
      </c>
      <c r="BJ552" s="117"/>
      <c r="BK552" s="117"/>
      <c r="BL552" s="117"/>
      <c r="BM552" s="117"/>
      <c r="BN552" s="975">
        <v>0</v>
      </c>
      <c r="BO552" s="117"/>
      <c r="BP552" s="117"/>
      <c r="BQ552" s="117"/>
      <c r="BR552" s="117"/>
      <c r="BS552" s="975">
        <v>0</v>
      </c>
      <c r="BT552" s="691"/>
      <c r="BU552" s="117"/>
      <c r="BV552" s="117"/>
      <c r="BW552" s="117"/>
      <c r="BX552" s="150"/>
      <c r="BY552" s="117"/>
      <c r="BZ552" s="117"/>
      <c r="CA552" s="117"/>
      <c r="CB552" s="117"/>
      <c r="CC552" s="150"/>
      <c r="CD552" s="150"/>
      <c r="CE552" s="150"/>
      <c r="CF552" s="150"/>
      <c r="CG552" s="587"/>
    </row>
    <row r="553" spans="1:85" s="460" customFormat="1" ht="14.4" hidden="1" outlineLevel="1" x14ac:dyDescent="0.3">
      <c r="A553" s="159" t="s">
        <v>1299</v>
      </c>
      <c r="B553" s="586"/>
      <c r="C553" s="150"/>
      <c r="D553" s="150"/>
      <c r="E553" s="150"/>
      <c r="F553" s="150"/>
      <c r="G553" s="117"/>
      <c r="H553" s="117"/>
      <c r="I553" s="117"/>
      <c r="J553" s="117"/>
      <c r="K553" s="150"/>
      <c r="L553" s="117"/>
      <c r="M553" s="117"/>
      <c r="N553" s="117"/>
      <c r="O553" s="117"/>
      <c r="P553" s="150"/>
      <c r="Q553" s="117"/>
      <c r="R553" s="117"/>
      <c r="S553" s="117"/>
      <c r="T553" s="117"/>
      <c r="U553" s="150"/>
      <c r="V553" s="117"/>
      <c r="W553" s="117"/>
      <c r="X553" s="117"/>
      <c r="Y553" s="117"/>
      <c r="Z553" s="150"/>
      <c r="AA553" s="117"/>
      <c r="AB553" s="117"/>
      <c r="AC553" s="117"/>
      <c r="AD553" s="117"/>
      <c r="AE553" s="150"/>
      <c r="AF553" s="117"/>
      <c r="AG553" s="117"/>
      <c r="AH553" s="117"/>
      <c r="AI553" s="117"/>
      <c r="AJ553" s="150"/>
      <c r="AK553" s="117"/>
      <c r="AL553" s="117"/>
      <c r="AM553" s="117"/>
      <c r="AN553" s="117"/>
      <c r="AO553" s="975">
        <v>0</v>
      </c>
      <c r="AP553" s="117"/>
      <c r="AQ553" s="117"/>
      <c r="AR553" s="117"/>
      <c r="AS553" s="117"/>
      <c r="AT553" s="975">
        <v>0</v>
      </c>
      <c r="AU553" s="117"/>
      <c r="AV553" s="117"/>
      <c r="AW553" s="117"/>
      <c r="AX553" s="117"/>
      <c r="AY553" s="975">
        <v>0</v>
      </c>
      <c r="AZ553" s="117"/>
      <c r="BA553" s="117"/>
      <c r="BB553" s="117"/>
      <c r="BC553" s="117"/>
      <c r="BD553" s="975">
        <v>0</v>
      </c>
      <c r="BE553" s="117"/>
      <c r="BF553" s="117"/>
      <c r="BG553" s="117"/>
      <c r="BH553" s="117"/>
      <c r="BI553" s="975">
        <v>0</v>
      </c>
      <c r="BJ553" s="117"/>
      <c r="BK553" s="117"/>
      <c r="BL553" s="117"/>
      <c r="BM553" s="117"/>
      <c r="BN553" s="975">
        <v>0</v>
      </c>
      <c r="BO553" s="117"/>
      <c r="BP553" s="117"/>
      <c r="BQ553" s="117"/>
      <c r="BR553" s="117"/>
      <c r="BS553" s="975">
        <v>0</v>
      </c>
      <c r="BT553" s="691"/>
      <c r="BU553" s="117"/>
      <c r="BV553" s="117"/>
      <c r="BW553" s="117"/>
      <c r="BX553" s="150"/>
      <c r="BY553" s="117"/>
      <c r="BZ553" s="117"/>
      <c r="CA553" s="117"/>
      <c r="CB553" s="117"/>
      <c r="CC553" s="150"/>
      <c r="CD553" s="150"/>
      <c r="CE553" s="150"/>
      <c r="CF553" s="150"/>
      <c r="CG553" s="587"/>
    </row>
    <row r="554" spans="1:85" s="460" customFormat="1" ht="14.4" hidden="1" outlineLevel="1" x14ac:dyDescent="0.3">
      <c r="A554" s="159" t="s">
        <v>1300</v>
      </c>
      <c r="B554" s="586"/>
      <c r="C554" s="150"/>
      <c r="D554" s="150"/>
      <c r="E554" s="150"/>
      <c r="F554" s="150"/>
      <c r="G554" s="117"/>
      <c r="H554" s="117"/>
      <c r="I554" s="117"/>
      <c r="J554" s="117"/>
      <c r="K554" s="150"/>
      <c r="L554" s="117"/>
      <c r="M554" s="117"/>
      <c r="N554" s="117"/>
      <c r="O554" s="117"/>
      <c r="P554" s="150"/>
      <c r="Q554" s="117"/>
      <c r="R554" s="117"/>
      <c r="S554" s="117"/>
      <c r="T554" s="117"/>
      <c r="U554" s="150"/>
      <c r="V554" s="117"/>
      <c r="W554" s="117"/>
      <c r="X554" s="117"/>
      <c r="Y554" s="117"/>
      <c r="Z554" s="150"/>
      <c r="AA554" s="117"/>
      <c r="AB554" s="117"/>
      <c r="AC554" s="117"/>
      <c r="AD554" s="117"/>
      <c r="AE554" s="150"/>
      <c r="AF554" s="117"/>
      <c r="AG554" s="117"/>
      <c r="AH554" s="117"/>
      <c r="AI554" s="117"/>
      <c r="AJ554" s="150"/>
      <c r="AK554" s="117"/>
      <c r="AL554" s="117"/>
      <c r="AM554" s="117"/>
      <c r="AN554" s="117"/>
      <c r="AO554" s="975">
        <v>0</v>
      </c>
      <c r="AP554" s="117"/>
      <c r="AQ554" s="117"/>
      <c r="AR554" s="117"/>
      <c r="AS554" s="117"/>
      <c r="AT554" s="975">
        <v>0</v>
      </c>
      <c r="AU554" s="117"/>
      <c r="AV554" s="117"/>
      <c r="AW554" s="117"/>
      <c r="AX554" s="117"/>
      <c r="AY554" s="975">
        <v>0</v>
      </c>
      <c r="AZ554" s="117"/>
      <c r="BA554" s="117"/>
      <c r="BB554" s="117"/>
      <c r="BC554" s="117"/>
      <c r="BD554" s="975">
        <v>0</v>
      </c>
      <c r="BE554" s="117"/>
      <c r="BF554" s="117"/>
      <c r="BG554" s="117"/>
      <c r="BH554" s="117"/>
      <c r="BI554" s="975">
        <v>0</v>
      </c>
      <c r="BJ554" s="117"/>
      <c r="BK554" s="117"/>
      <c r="BL554" s="117"/>
      <c r="BM554" s="117"/>
      <c r="BN554" s="975">
        <v>0</v>
      </c>
      <c r="BO554" s="117"/>
      <c r="BP554" s="117"/>
      <c r="BQ554" s="117"/>
      <c r="BR554" s="117"/>
      <c r="BS554" s="975">
        <v>0</v>
      </c>
      <c r="BT554" s="691"/>
      <c r="BU554" s="117"/>
      <c r="BV554" s="117"/>
      <c r="BW554" s="117"/>
      <c r="BX554" s="150"/>
      <c r="BY554" s="117"/>
      <c r="BZ554" s="117"/>
      <c r="CA554" s="117"/>
      <c r="CB554" s="117"/>
      <c r="CC554" s="150"/>
      <c r="CD554" s="150"/>
      <c r="CE554" s="150"/>
      <c r="CF554" s="150"/>
      <c r="CG554" s="587"/>
    </row>
    <row r="555" spans="1:85" s="460" customFormat="1" ht="14.4" hidden="1" outlineLevel="1" x14ac:dyDescent="0.3">
      <c r="A555" s="159" t="s">
        <v>1301</v>
      </c>
      <c r="B555" s="586"/>
      <c r="C555" s="150"/>
      <c r="D555" s="150"/>
      <c r="E555" s="150"/>
      <c r="F555" s="150"/>
      <c r="G555" s="117"/>
      <c r="H555" s="117"/>
      <c r="I555" s="117"/>
      <c r="J555" s="117"/>
      <c r="K555" s="150"/>
      <c r="L555" s="117"/>
      <c r="M555" s="117"/>
      <c r="N555" s="117"/>
      <c r="O555" s="117"/>
      <c r="P555" s="150"/>
      <c r="Q555" s="117"/>
      <c r="R555" s="117"/>
      <c r="S555" s="117"/>
      <c r="T555" s="117"/>
      <c r="U555" s="150"/>
      <c r="V555" s="117"/>
      <c r="W555" s="117"/>
      <c r="X555" s="117"/>
      <c r="Y555" s="117"/>
      <c r="Z555" s="150"/>
      <c r="AA555" s="117"/>
      <c r="AB555" s="117"/>
      <c r="AC555" s="117"/>
      <c r="AD555" s="117"/>
      <c r="AE555" s="150"/>
      <c r="AF555" s="117"/>
      <c r="AG555" s="117"/>
      <c r="AH555" s="117"/>
      <c r="AI555" s="117"/>
      <c r="AJ555" s="150"/>
      <c r="AK555" s="117"/>
      <c r="AL555" s="117"/>
      <c r="AM555" s="117"/>
      <c r="AN555" s="117"/>
      <c r="AO555" s="975">
        <v>0</v>
      </c>
      <c r="AP555" s="117"/>
      <c r="AQ555" s="117"/>
      <c r="AR555" s="117"/>
      <c r="AS555" s="117"/>
      <c r="AT555" s="975">
        <v>0</v>
      </c>
      <c r="AU555" s="117"/>
      <c r="AV555" s="117"/>
      <c r="AW555" s="117"/>
      <c r="AX555" s="117"/>
      <c r="AY555" s="975">
        <v>0</v>
      </c>
      <c r="AZ555" s="117"/>
      <c r="BA555" s="117"/>
      <c r="BB555" s="117"/>
      <c r="BC555" s="117"/>
      <c r="BD555" s="975">
        <v>0</v>
      </c>
      <c r="BE555" s="117"/>
      <c r="BF555" s="117"/>
      <c r="BG555" s="117"/>
      <c r="BH555" s="117"/>
      <c r="BI555" s="975">
        <v>0</v>
      </c>
      <c r="BJ555" s="117"/>
      <c r="BK555" s="117"/>
      <c r="BL555" s="117"/>
      <c r="BM555" s="117"/>
      <c r="BN555" s="975">
        <v>0</v>
      </c>
      <c r="BO555" s="117"/>
      <c r="BP555" s="117"/>
      <c r="BQ555" s="117"/>
      <c r="BR555" s="117"/>
      <c r="BS555" s="975">
        <v>0</v>
      </c>
      <c r="BT555" s="691"/>
      <c r="BU555" s="117"/>
      <c r="BV555" s="117"/>
      <c r="BW555" s="117"/>
      <c r="BX555" s="150"/>
      <c r="BY555" s="117"/>
      <c r="BZ555" s="117"/>
      <c r="CA555" s="117"/>
      <c r="CB555" s="117"/>
      <c r="CC555" s="150"/>
      <c r="CD555" s="150"/>
      <c r="CE555" s="150"/>
      <c r="CF555" s="150"/>
      <c r="CG555" s="587"/>
    </row>
    <row r="556" spans="1:85" s="460" customFormat="1" ht="14.4" hidden="1" outlineLevel="1" x14ac:dyDescent="0.3">
      <c r="A556" s="262" t="s">
        <v>1302</v>
      </c>
      <c r="B556" s="588"/>
      <c r="C556" s="954"/>
      <c r="D556" s="954"/>
      <c r="E556" s="954"/>
      <c r="F556" s="954"/>
      <c r="G556" s="133"/>
      <c r="H556" s="133"/>
      <c r="I556" s="133"/>
      <c r="J556" s="133"/>
      <c r="K556" s="954"/>
      <c r="L556" s="133"/>
      <c r="M556" s="133"/>
      <c r="N556" s="133"/>
      <c r="O556" s="133"/>
      <c r="P556" s="954"/>
      <c r="Q556" s="133"/>
      <c r="R556" s="133"/>
      <c r="S556" s="133"/>
      <c r="T556" s="133"/>
      <c r="U556" s="954"/>
      <c r="V556" s="133"/>
      <c r="W556" s="133"/>
      <c r="X556" s="133"/>
      <c r="Y556" s="133"/>
      <c r="Z556" s="954"/>
      <c r="AA556" s="133"/>
      <c r="AB556" s="133"/>
      <c r="AC556" s="133"/>
      <c r="AD556" s="133"/>
      <c r="AE556" s="954"/>
      <c r="AF556" s="133"/>
      <c r="AG556" s="133"/>
      <c r="AH556" s="133"/>
      <c r="AI556" s="133"/>
      <c r="AJ556" s="954"/>
      <c r="AK556" s="133"/>
      <c r="AL556" s="133"/>
      <c r="AM556" s="133"/>
      <c r="AN556" s="133"/>
      <c r="AO556" s="976">
        <v>-1</v>
      </c>
      <c r="AP556" s="133"/>
      <c r="AQ556" s="133"/>
      <c r="AR556" s="133"/>
      <c r="AS556" s="133"/>
      <c r="AT556" s="976">
        <v>0</v>
      </c>
      <c r="AU556" s="133"/>
      <c r="AV556" s="133"/>
      <c r="AW556" s="133"/>
      <c r="AX556" s="133"/>
      <c r="AY556" s="976">
        <v>0</v>
      </c>
      <c r="AZ556" s="133"/>
      <c r="BA556" s="133"/>
      <c r="BB556" s="133"/>
      <c r="BC556" s="133"/>
      <c r="BD556" s="976">
        <v>0</v>
      </c>
      <c r="BE556" s="133"/>
      <c r="BF556" s="133"/>
      <c r="BG556" s="133"/>
      <c r="BH556" s="133"/>
      <c r="BI556" s="976">
        <v>0</v>
      </c>
      <c r="BJ556" s="133"/>
      <c r="BK556" s="133"/>
      <c r="BL556" s="133"/>
      <c r="BM556" s="133"/>
      <c r="BN556" s="976">
        <v>0</v>
      </c>
      <c r="BO556" s="133"/>
      <c r="BP556" s="133"/>
      <c r="BQ556" s="133"/>
      <c r="BR556" s="133"/>
      <c r="BS556" s="976">
        <v>0</v>
      </c>
      <c r="BT556" s="692"/>
      <c r="BU556" s="133"/>
      <c r="BV556" s="133"/>
      <c r="BW556" s="133"/>
      <c r="BX556" s="954"/>
      <c r="BY556" s="133"/>
      <c r="BZ556" s="133"/>
      <c r="CA556" s="133"/>
      <c r="CB556" s="133"/>
      <c r="CC556" s="954"/>
      <c r="CD556" s="954"/>
      <c r="CE556" s="954"/>
      <c r="CF556" s="954"/>
      <c r="CG556" s="587"/>
    </row>
    <row r="557" spans="1:85" s="461" customFormat="1" ht="14.4" hidden="1" outlineLevel="1" x14ac:dyDescent="0.3">
      <c r="A557" s="166" t="s">
        <v>1303</v>
      </c>
      <c r="B557" s="583"/>
      <c r="C557" s="957"/>
      <c r="D557" s="957"/>
      <c r="E557" s="957"/>
      <c r="F557" s="957"/>
      <c r="G557" s="120"/>
      <c r="H557" s="120"/>
      <c r="I557" s="120"/>
      <c r="J557" s="120"/>
      <c r="K557" s="957"/>
      <c r="L557" s="120"/>
      <c r="M557" s="120"/>
      <c r="N557" s="120"/>
      <c r="O557" s="120"/>
      <c r="P557" s="957"/>
      <c r="Q557" s="120"/>
      <c r="R557" s="120"/>
      <c r="S557" s="120"/>
      <c r="T557" s="120"/>
      <c r="U557" s="957"/>
      <c r="V557" s="120"/>
      <c r="W557" s="120"/>
      <c r="X557" s="120"/>
      <c r="Y557" s="120"/>
      <c r="Z557" s="957"/>
      <c r="AA557" s="120"/>
      <c r="AB557" s="120"/>
      <c r="AC557" s="120"/>
      <c r="AD557" s="120"/>
      <c r="AE557" s="957"/>
      <c r="AF557" s="120"/>
      <c r="AG557" s="120"/>
      <c r="AH557" s="120"/>
      <c r="AI557" s="120"/>
      <c r="AJ557" s="957"/>
      <c r="AK557" s="120"/>
      <c r="AL557" s="120"/>
      <c r="AM557" s="120"/>
      <c r="AN557" s="120"/>
      <c r="AO557" s="957">
        <f>SUM(AO550:AO556)</f>
        <v>0</v>
      </c>
      <c r="AP557" s="120"/>
      <c r="AQ557" s="120"/>
      <c r="AR557" s="120"/>
      <c r="AS557" s="120"/>
      <c r="AT557" s="957">
        <f>SUM(AT550:AT556)</f>
        <v>0</v>
      </c>
      <c r="AU557" s="120"/>
      <c r="AV557" s="120"/>
      <c r="AW557" s="120"/>
      <c r="AX557" s="120"/>
      <c r="AY557" s="957">
        <f>SUM(AY550:AY556)</f>
        <v>0</v>
      </c>
      <c r="AZ557" s="120"/>
      <c r="BA557" s="120"/>
      <c r="BB557" s="120"/>
      <c r="BC557" s="120"/>
      <c r="BD557" s="957">
        <f>SUM(BD550:BD556)</f>
        <v>0</v>
      </c>
      <c r="BE557" s="120"/>
      <c r="BF557" s="120"/>
      <c r="BG557" s="120"/>
      <c r="BH557" s="120"/>
      <c r="BI557" s="957">
        <f>SUM(BI550:BI556)</f>
        <v>0</v>
      </c>
      <c r="BJ557" s="120"/>
      <c r="BK557" s="120"/>
      <c r="BL557" s="120"/>
      <c r="BM557" s="120"/>
      <c r="BN557" s="957">
        <f>SUM(BN550:BN556)</f>
        <v>0</v>
      </c>
      <c r="BO557" s="120"/>
      <c r="BP557" s="120"/>
      <c r="BQ557" s="120"/>
      <c r="BR557" s="120"/>
      <c r="BS557" s="957">
        <f>SUM(BS550:BS556)</f>
        <v>0</v>
      </c>
      <c r="BT557" s="694"/>
      <c r="BU557" s="120"/>
      <c r="BV557" s="120"/>
      <c r="BW557" s="120"/>
      <c r="BX557" s="957"/>
      <c r="BY557" s="120"/>
      <c r="BZ557" s="120"/>
      <c r="CA557" s="120"/>
      <c r="CB557" s="120"/>
      <c r="CC557" s="957"/>
      <c r="CD557" s="957"/>
      <c r="CE557" s="957"/>
      <c r="CF557" s="957"/>
      <c r="CG557" s="615"/>
    </row>
    <row r="558" spans="1:85" s="461" customFormat="1" ht="14.4" hidden="1" outlineLevel="1" x14ac:dyDescent="0.3">
      <c r="A558" s="166" t="s">
        <v>1320</v>
      </c>
      <c r="B558" s="583"/>
      <c r="C558" s="957"/>
      <c r="D558" s="957"/>
      <c r="E558" s="957"/>
      <c r="F558" s="957"/>
      <c r="G558" s="120"/>
      <c r="H558" s="120"/>
      <c r="I558" s="120"/>
      <c r="J558" s="120"/>
      <c r="K558" s="957"/>
      <c r="L558" s="120"/>
      <c r="M558" s="120"/>
      <c r="N558" s="120"/>
      <c r="O558" s="120"/>
      <c r="P558" s="957"/>
      <c r="Q558" s="120"/>
      <c r="R558" s="120"/>
      <c r="S558" s="120"/>
      <c r="T558" s="120"/>
      <c r="U558" s="957"/>
      <c r="V558" s="120"/>
      <c r="W558" s="120"/>
      <c r="X558" s="120"/>
      <c r="Y558" s="120"/>
      <c r="Z558" s="957"/>
      <c r="AA558" s="120"/>
      <c r="AB558" s="120"/>
      <c r="AC558" s="120"/>
      <c r="AD558" s="120"/>
      <c r="AE558" s="957"/>
      <c r="AF558" s="120"/>
      <c r="AG558" s="120"/>
      <c r="AH558" s="120"/>
      <c r="AI558" s="120"/>
      <c r="AJ558" s="957"/>
      <c r="AK558" s="120"/>
      <c r="AL558" s="120"/>
      <c r="AM558" s="120"/>
      <c r="AN558" s="120"/>
      <c r="AO558" s="983">
        <v>67</v>
      </c>
      <c r="AP558" s="120"/>
      <c r="AQ558" s="120"/>
      <c r="AR558" s="120"/>
      <c r="AS558" s="120"/>
      <c r="AT558" s="983">
        <v>159</v>
      </c>
      <c r="AU558" s="120"/>
      <c r="AV558" s="120"/>
      <c r="AW558" s="120"/>
      <c r="AX558" s="120"/>
      <c r="AY558" s="983">
        <v>3</v>
      </c>
      <c r="AZ558" s="120"/>
      <c r="BA558" s="120"/>
      <c r="BB558" s="120"/>
      <c r="BC558" s="120"/>
      <c r="BD558" s="983">
        <v>4</v>
      </c>
      <c r="BE558" s="120"/>
      <c r="BF558" s="120"/>
      <c r="BG558" s="120"/>
      <c r="BH558" s="120"/>
      <c r="BI558" s="983">
        <v>3</v>
      </c>
      <c r="BJ558" s="120"/>
      <c r="BK558" s="120"/>
      <c r="BL558" s="120"/>
      <c r="BM558" s="120"/>
      <c r="BN558" s="983">
        <v>3</v>
      </c>
      <c r="BO558" s="120"/>
      <c r="BP558" s="120"/>
      <c r="BQ558" s="120"/>
      <c r="BR558" s="120"/>
      <c r="BS558" s="983">
        <v>2</v>
      </c>
      <c r="BT558" s="694"/>
      <c r="BU558" s="120"/>
      <c r="BV558" s="120"/>
      <c r="BW558" s="120"/>
      <c r="BX558" s="957"/>
      <c r="BY558" s="120"/>
      <c r="BZ558" s="120"/>
      <c r="CA558" s="120"/>
      <c r="CB558" s="120"/>
      <c r="CC558" s="957"/>
      <c r="CD558" s="957"/>
      <c r="CE558" s="957"/>
      <c r="CF558" s="957"/>
      <c r="CG558" s="615"/>
    </row>
    <row r="559" spans="1:85" s="460" customFormat="1" ht="14.4" hidden="1" outlineLevel="1" x14ac:dyDescent="0.3">
      <c r="A559" s="159" t="s">
        <v>1321</v>
      </c>
      <c r="B559" s="586"/>
      <c r="C559" s="150"/>
      <c r="D559" s="150"/>
      <c r="E559" s="150"/>
      <c r="F559" s="150"/>
      <c r="G559" s="117"/>
      <c r="H559" s="117"/>
      <c r="I559" s="117"/>
      <c r="J559" s="117"/>
      <c r="K559" s="150"/>
      <c r="L559" s="117"/>
      <c r="M559" s="117"/>
      <c r="N559" s="117"/>
      <c r="O559" s="117"/>
      <c r="P559" s="150"/>
      <c r="Q559" s="117"/>
      <c r="R559" s="117"/>
      <c r="S559" s="117"/>
      <c r="T559" s="117"/>
      <c r="U559" s="150"/>
      <c r="V559" s="117"/>
      <c r="W559" s="117"/>
      <c r="X559" s="117"/>
      <c r="Y559" s="117"/>
      <c r="Z559" s="150"/>
      <c r="AA559" s="117"/>
      <c r="AB559" s="117"/>
      <c r="AC559" s="117"/>
      <c r="AD559" s="117"/>
      <c r="AE559" s="150"/>
      <c r="AF559" s="117"/>
      <c r="AG559" s="117"/>
      <c r="AH559" s="117"/>
      <c r="AI559" s="117"/>
      <c r="AJ559" s="150"/>
      <c r="AK559" s="117"/>
      <c r="AL559" s="117"/>
      <c r="AM559" s="117"/>
      <c r="AN559" s="117"/>
      <c r="AO559" s="975">
        <v>105</v>
      </c>
      <c r="AP559" s="117"/>
      <c r="AQ559" s="117"/>
      <c r="AR559" s="117"/>
      <c r="AS559" s="117"/>
      <c r="AT559" s="975">
        <v>-149</v>
      </c>
      <c r="AU559" s="117"/>
      <c r="AV559" s="117"/>
      <c r="AW559" s="117"/>
      <c r="AX559" s="117"/>
      <c r="AY559" s="975">
        <v>2</v>
      </c>
      <c r="AZ559" s="117"/>
      <c r="BA559" s="117"/>
      <c r="BB559" s="117"/>
      <c r="BC559" s="117"/>
      <c r="BD559" s="975">
        <v>0</v>
      </c>
      <c r="BE559" s="117"/>
      <c r="BF559" s="117"/>
      <c r="BG559" s="117"/>
      <c r="BH559" s="117"/>
      <c r="BI559" s="975">
        <v>1</v>
      </c>
      <c r="BJ559" s="117"/>
      <c r="BK559" s="117"/>
      <c r="BL559" s="117"/>
      <c r="BM559" s="117"/>
      <c r="BN559" s="975">
        <v>0</v>
      </c>
      <c r="BO559" s="117"/>
      <c r="BP559" s="117"/>
      <c r="BQ559" s="117"/>
      <c r="BR559" s="117"/>
      <c r="BS559" s="975">
        <v>1</v>
      </c>
      <c r="BT559" s="691"/>
      <c r="BU559" s="117"/>
      <c r="BV559" s="117"/>
      <c r="BW559" s="117"/>
      <c r="BX559" s="150"/>
      <c r="BY559" s="117"/>
      <c r="BZ559" s="117"/>
      <c r="CA559" s="117"/>
      <c r="CB559" s="117"/>
      <c r="CC559" s="150"/>
      <c r="CD559" s="150"/>
      <c r="CE559" s="150"/>
      <c r="CF559" s="150"/>
      <c r="CG559" s="587"/>
    </row>
    <row r="560" spans="1:85" s="460" customFormat="1" ht="14.4" hidden="1" outlineLevel="1" x14ac:dyDescent="0.3">
      <c r="A560" s="159" t="s">
        <v>1322</v>
      </c>
      <c r="B560" s="586"/>
      <c r="C560" s="150"/>
      <c r="D560" s="150"/>
      <c r="E560" s="150"/>
      <c r="F560" s="150"/>
      <c r="G560" s="117"/>
      <c r="H560" s="117"/>
      <c r="I560" s="117"/>
      <c r="J560" s="117"/>
      <c r="K560" s="150"/>
      <c r="L560" s="117"/>
      <c r="M560" s="117"/>
      <c r="N560" s="117"/>
      <c r="O560" s="117"/>
      <c r="P560" s="150"/>
      <c r="Q560" s="117"/>
      <c r="R560" s="117"/>
      <c r="S560" s="117"/>
      <c r="T560" s="117"/>
      <c r="U560" s="150"/>
      <c r="V560" s="117"/>
      <c r="W560" s="117"/>
      <c r="X560" s="117"/>
      <c r="Y560" s="117"/>
      <c r="Z560" s="150"/>
      <c r="AA560" s="117"/>
      <c r="AB560" s="117"/>
      <c r="AC560" s="117"/>
      <c r="AD560" s="117"/>
      <c r="AE560" s="150"/>
      <c r="AF560" s="117"/>
      <c r="AG560" s="117"/>
      <c r="AH560" s="117"/>
      <c r="AI560" s="117"/>
      <c r="AJ560" s="150"/>
      <c r="AK560" s="117"/>
      <c r="AL560" s="117"/>
      <c r="AM560" s="117"/>
      <c r="AN560" s="117"/>
      <c r="AO560" s="975">
        <v>0</v>
      </c>
      <c r="AP560" s="117"/>
      <c r="AQ560" s="117"/>
      <c r="AR560" s="117"/>
      <c r="AS560" s="117"/>
      <c r="AT560" s="975">
        <v>0</v>
      </c>
      <c r="AU560" s="117"/>
      <c r="AV560" s="117"/>
      <c r="AW560" s="117"/>
      <c r="AX560" s="117"/>
      <c r="AY560" s="975">
        <v>0</v>
      </c>
      <c r="AZ560" s="117"/>
      <c r="BA560" s="117"/>
      <c r="BB560" s="117"/>
      <c r="BC560" s="117"/>
      <c r="BD560" s="975">
        <v>0</v>
      </c>
      <c r="BE560" s="117"/>
      <c r="BF560" s="117"/>
      <c r="BG560" s="117"/>
      <c r="BH560" s="117"/>
      <c r="BI560" s="975">
        <v>0</v>
      </c>
      <c r="BJ560" s="117"/>
      <c r="BK560" s="117"/>
      <c r="BL560" s="117"/>
      <c r="BM560" s="117"/>
      <c r="BN560" s="975">
        <v>0</v>
      </c>
      <c r="BO560" s="117"/>
      <c r="BP560" s="117"/>
      <c r="BQ560" s="117"/>
      <c r="BR560" s="117"/>
      <c r="BS560" s="975">
        <v>0</v>
      </c>
      <c r="BT560" s="691"/>
      <c r="BU560" s="117"/>
      <c r="BV560" s="117"/>
      <c r="BW560" s="117"/>
      <c r="BX560" s="150"/>
      <c r="BY560" s="117"/>
      <c r="BZ560" s="117"/>
      <c r="CA560" s="117"/>
      <c r="CB560" s="117"/>
      <c r="CC560" s="150"/>
      <c r="CD560" s="150"/>
      <c r="CE560" s="150"/>
      <c r="CF560" s="150"/>
      <c r="CG560" s="587"/>
    </row>
    <row r="561" spans="1:85" s="460" customFormat="1" ht="14.4" hidden="1" outlineLevel="1" x14ac:dyDescent="0.3">
      <c r="A561" s="159" t="s">
        <v>1323</v>
      </c>
      <c r="B561" s="586"/>
      <c r="C561" s="150"/>
      <c r="D561" s="150"/>
      <c r="E561" s="150"/>
      <c r="F561" s="150"/>
      <c r="G561" s="117"/>
      <c r="H561" s="117"/>
      <c r="I561" s="117"/>
      <c r="J561" s="117"/>
      <c r="K561" s="150"/>
      <c r="L561" s="117"/>
      <c r="M561" s="117"/>
      <c r="N561" s="117"/>
      <c r="O561" s="117"/>
      <c r="P561" s="150"/>
      <c r="Q561" s="117"/>
      <c r="R561" s="117"/>
      <c r="S561" s="117"/>
      <c r="T561" s="117"/>
      <c r="U561" s="150"/>
      <c r="V561" s="117"/>
      <c r="W561" s="117"/>
      <c r="X561" s="117"/>
      <c r="Y561" s="117"/>
      <c r="Z561" s="150"/>
      <c r="AA561" s="117"/>
      <c r="AB561" s="117"/>
      <c r="AC561" s="117"/>
      <c r="AD561" s="117"/>
      <c r="AE561" s="150"/>
      <c r="AF561" s="117"/>
      <c r="AG561" s="117"/>
      <c r="AH561" s="117"/>
      <c r="AI561" s="117"/>
      <c r="AJ561" s="150"/>
      <c r="AK561" s="117"/>
      <c r="AL561" s="117"/>
      <c r="AM561" s="117"/>
      <c r="AN561" s="117"/>
      <c r="AO561" s="975">
        <v>0</v>
      </c>
      <c r="AP561" s="117"/>
      <c r="AQ561" s="117"/>
      <c r="AR561" s="117"/>
      <c r="AS561" s="117"/>
      <c r="AT561" s="975">
        <v>0</v>
      </c>
      <c r="AU561" s="117"/>
      <c r="AV561" s="117"/>
      <c r="AW561" s="117"/>
      <c r="AX561" s="117"/>
      <c r="AY561" s="975">
        <v>0</v>
      </c>
      <c r="AZ561" s="117"/>
      <c r="BA561" s="117"/>
      <c r="BB561" s="117"/>
      <c r="BC561" s="117"/>
      <c r="BD561" s="975">
        <v>0</v>
      </c>
      <c r="BE561" s="117"/>
      <c r="BF561" s="117"/>
      <c r="BG561" s="117"/>
      <c r="BH561" s="117"/>
      <c r="BI561" s="975">
        <v>0</v>
      </c>
      <c r="BJ561" s="117"/>
      <c r="BK561" s="117"/>
      <c r="BL561" s="117"/>
      <c r="BM561" s="117"/>
      <c r="BN561" s="975">
        <v>0</v>
      </c>
      <c r="BO561" s="117"/>
      <c r="BP561" s="117"/>
      <c r="BQ561" s="117"/>
      <c r="BR561" s="117"/>
      <c r="BS561" s="975">
        <v>0</v>
      </c>
      <c r="BT561" s="691"/>
      <c r="BU561" s="117"/>
      <c r="BV561" s="117"/>
      <c r="BW561" s="117"/>
      <c r="BX561" s="150"/>
      <c r="BY561" s="117"/>
      <c r="BZ561" s="117"/>
      <c r="CA561" s="117"/>
      <c r="CB561" s="117"/>
      <c r="CC561" s="150"/>
      <c r="CD561" s="150"/>
      <c r="CE561" s="150"/>
      <c r="CF561" s="150"/>
      <c r="CG561" s="587"/>
    </row>
    <row r="562" spans="1:85" s="460" customFormat="1" ht="14.4" hidden="1" outlineLevel="1" x14ac:dyDescent="0.3">
      <c r="A562" s="159" t="s">
        <v>1324</v>
      </c>
      <c r="B562" s="586"/>
      <c r="C562" s="150"/>
      <c r="D562" s="150"/>
      <c r="E562" s="150"/>
      <c r="F562" s="150"/>
      <c r="G562" s="117"/>
      <c r="H562" s="117"/>
      <c r="I562" s="117"/>
      <c r="J562" s="117"/>
      <c r="K562" s="150"/>
      <c r="L562" s="117"/>
      <c r="M562" s="117"/>
      <c r="N562" s="117"/>
      <c r="O562" s="117"/>
      <c r="P562" s="150"/>
      <c r="Q562" s="117"/>
      <c r="R562" s="117"/>
      <c r="S562" s="117"/>
      <c r="T562" s="117"/>
      <c r="U562" s="150"/>
      <c r="V562" s="117"/>
      <c r="W562" s="117"/>
      <c r="X562" s="117"/>
      <c r="Y562" s="117"/>
      <c r="Z562" s="150"/>
      <c r="AA562" s="117"/>
      <c r="AB562" s="117"/>
      <c r="AC562" s="117"/>
      <c r="AD562" s="117"/>
      <c r="AE562" s="150"/>
      <c r="AF562" s="117"/>
      <c r="AG562" s="117"/>
      <c r="AH562" s="117"/>
      <c r="AI562" s="117"/>
      <c r="AJ562" s="150"/>
      <c r="AK562" s="117"/>
      <c r="AL562" s="117"/>
      <c r="AM562" s="117"/>
      <c r="AN562" s="117"/>
      <c r="AO562" s="975">
        <v>0</v>
      </c>
      <c r="AP562" s="117"/>
      <c r="AQ562" s="117"/>
      <c r="AR562" s="117"/>
      <c r="AS562" s="117"/>
      <c r="AT562" s="975">
        <v>0</v>
      </c>
      <c r="AU562" s="117"/>
      <c r="AV562" s="117"/>
      <c r="AW562" s="117"/>
      <c r="AX562" s="117"/>
      <c r="AY562" s="975">
        <v>0</v>
      </c>
      <c r="AZ562" s="117"/>
      <c r="BA562" s="117"/>
      <c r="BB562" s="117"/>
      <c r="BC562" s="117"/>
      <c r="BD562" s="975">
        <v>0</v>
      </c>
      <c r="BE562" s="117"/>
      <c r="BF562" s="117"/>
      <c r="BG562" s="117"/>
      <c r="BH562" s="117"/>
      <c r="BI562" s="975">
        <v>0</v>
      </c>
      <c r="BJ562" s="117"/>
      <c r="BK562" s="117"/>
      <c r="BL562" s="117"/>
      <c r="BM562" s="117"/>
      <c r="BN562" s="975">
        <v>0</v>
      </c>
      <c r="BO562" s="117"/>
      <c r="BP562" s="117"/>
      <c r="BQ562" s="117"/>
      <c r="BR562" s="117"/>
      <c r="BS562" s="975">
        <v>0</v>
      </c>
      <c r="BT562" s="691"/>
      <c r="BU562" s="117"/>
      <c r="BV562" s="117"/>
      <c r="BW562" s="117"/>
      <c r="BX562" s="150"/>
      <c r="BY562" s="117"/>
      <c r="BZ562" s="117"/>
      <c r="CA562" s="117"/>
      <c r="CB562" s="117"/>
      <c r="CC562" s="150"/>
      <c r="CD562" s="150"/>
      <c r="CE562" s="150"/>
      <c r="CF562" s="150"/>
      <c r="CG562" s="587"/>
    </row>
    <row r="563" spans="1:85" s="460" customFormat="1" ht="14.4" hidden="1" outlineLevel="1" x14ac:dyDescent="0.3">
      <c r="A563" s="159" t="s">
        <v>1325</v>
      </c>
      <c r="B563" s="586"/>
      <c r="C563" s="150"/>
      <c r="D563" s="150"/>
      <c r="E563" s="150"/>
      <c r="F563" s="150"/>
      <c r="G563" s="117"/>
      <c r="H563" s="117"/>
      <c r="I563" s="117"/>
      <c r="J563" s="117"/>
      <c r="K563" s="150"/>
      <c r="L563" s="117"/>
      <c r="M563" s="117"/>
      <c r="N563" s="117"/>
      <c r="O563" s="117"/>
      <c r="P563" s="150"/>
      <c r="Q563" s="117"/>
      <c r="R563" s="117"/>
      <c r="S563" s="117"/>
      <c r="T563" s="117"/>
      <c r="U563" s="150"/>
      <c r="V563" s="117"/>
      <c r="W563" s="117"/>
      <c r="X563" s="117"/>
      <c r="Y563" s="117"/>
      <c r="Z563" s="150"/>
      <c r="AA563" s="117"/>
      <c r="AB563" s="117"/>
      <c r="AC563" s="117"/>
      <c r="AD563" s="117"/>
      <c r="AE563" s="150"/>
      <c r="AF563" s="117"/>
      <c r="AG563" s="117"/>
      <c r="AH563" s="117"/>
      <c r="AI563" s="117"/>
      <c r="AJ563" s="150"/>
      <c r="AK563" s="117"/>
      <c r="AL563" s="117"/>
      <c r="AM563" s="117"/>
      <c r="AN563" s="117"/>
      <c r="AO563" s="975">
        <v>0</v>
      </c>
      <c r="AP563" s="117"/>
      <c r="AQ563" s="117"/>
      <c r="AR563" s="117"/>
      <c r="AS563" s="117"/>
      <c r="AT563" s="975">
        <v>0</v>
      </c>
      <c r="AU563" s="117"/>
      <c r="AV563" s="117"/>
      <c r="AW563" s="117"/>
      <c r="AX563" s="117"/>
      <c r="AY563" s="975">
        <v>0</v>
      </c>
      <c r="AZ563" s="117"/>
      <c r="BA563" s="117"/>
      <c r="BB563" s="117"/>
      <c r="BC563" s="117"/>
      <c r="BD563" s="975">
        <v>0</v>
      </c>
      <c r="BE563" s="117"/>
      <c r="BF563" s="117"/>
      <c r="BG563" s="117"/>
      <c r="BH563" s="117"/>
      <c r="BI563" s="975">
        <v>0</v>
      </c>
      <c r="BJ563" s="117"/>
      <c r="BK563" s="117"/>
      <c r="BL563" s="117"/>
      <c r="BM563" s="117"/>
      <c r="BN563" s="975">
        <v>0</v>
      </c>
      <c r="BO563" s="117"/>
      <c r="BP563" s="117"/>
      <c r="BQ563" s="117"/>
      <c r="BR563" s="117"/>
      <c r="BS563" s="975">
        <v>0</v>
      </c>
      <c r="BT563" s="691"/>
      <c r="BU563" s="117"/>
      <c r="BV563" s="117"/>
      <c r="BW563" s="117"/>
      <c r="BX563" s="150"/>
      <c r="BY563" s="117"/>
      <c r="BZ563" s="117"/>
      <c r="CA563" s="117"/>
      <c r="CB563" s="117"/>
      <c r="CC563" s="150"/>
      <c r="CD563" s="150"/>
      <c r="CE563" s="150"/>
      <c r="CF563" s="150"/>
      <c r="CG563" s="587"/>
    </row>
    <row r="564" spans="1:85" s="460" customFormat="1" ht="14.4" hidden="1" outlineLevel="1" x14ac:dyDescent="0.3">
      <c r="A564" s="262" t="s">
        <v>1326</v>
      </c>
      <c r="B564" s="588"/>
      <c r="C564" s="954"/>
      <c r="D564" s="954"/>
      <c r="E564" s="954"/>
      <c r="F564" s="954"/>
      <c r="G564" s="133"/>
      <c r="H564" s="133"/>
      <c r="I564" s="133"/>
      <c r="J564" s="133"/>
      <c r="K564" s="954"/>
      <c r="L564" s="133"/>
      <c r="M564" s="133"/>
      <c r="N564" s="133"/>
      <c r="O564" s="133"/>
      <c r="P564" s="954"/>
      <c r="Q564" s="133"/>
      <c r="R564" s="133"/>
      <c r="S564" s="133"/>
      <c r="T564" s="133"/>
      <c r="U564" s="954"/>
      <c r="V564" s="133"/>
      <c r="W564" s="133"/>
      <c r="X564" s="133"/>
      <c r="Y564" s="133"/>
      <c r="Z564" s="954"/>
      <c r="AA564" s="133"/>
      <c r="AB564" s="133"/>
      <c r="AC564" s="133"/>
      <c r="AD564" s="133"/>
      <c r="AE564" s="954"/>
      <c r="AF564" s="133"/>
      <c r="AG564" s="133"/>
      <c r="AH564" s="133"/>
      <c r="AI564" s="133"/>
      <c r="AJ564" s="954"/>
      <c r="AK564" s="133"/>
      <c r="AL564" s="133"/>
      <c r="AM564" s="133"/>
      <c r="AN564" s="133"/>
      <c r="AO564" s="976">
        <v>-13</v>
      </c>
      <c r="AP564" s="133"/>
      <c r="AQ564" s="133"/>
      <c r="AR564" s="133"/>
      <c r="AS564" s="133"/>
      <c r="AT564" s="976">
        <v>-7</v>
      </c>
      <c r="AU564" s="133"/>
      <c r="AV564" s="133"/>
      <c r="AW564" s="133"/>
      <c r="AX564" s="133"/>
      <c r="AY564" s="976">
        <v>-1</v>
      </c>
      <c r="AZ564" s="133"/>
      <c r="BA564" s="133"/>
      <c r="BB564" s="133"/>
      <c r="BC564" s="133"/>
      <c r="BD564" s="976">
        <v>-1</v>
      </c>
      <c r="BE564" s="133"/>
      <c r="BF564" s="133"/>
      <c r="BG564" s="133"/>
      <c r="BH564" s="133"/>
      <c r="BI564" s="976">
        <v>-1</v>
      </c>
      <c r="BJ564" s="133"/>
      <c r="BK564" s="133"/>
      <c r="BL564" s="133"/>
      <c r="BM564" s="133"/>
      <c r="BN564" s="976">
        <v>-1</v>
      </c>
      <c r="BO564" s="133"/>
      <c r="BP564" s="133"/>
      <c r="BQ564" s="133"/>
      <c r="BR564" s="133"/>
      <c r="BS564" s="976">
        <v>-1</v>
      </c>
      <c r="BT564" s="692"/>
      <c r="BU564" s="133"/>
      <c r="BV564" s="133"/>
      <c r="BW564" s="133"/>
      <c r="BX564" s="954"/>
      <c r="BY564" s="133"/>
      <c r="BZ564" s="133"/>
      <c r="CA564" s="133"/>
      <c r="CB564" s="133"/>
      <c r="CC564" s="954"/>
      <c r="CD564" s="954"/>
      <c r="CE564" s="954"/>
      <c r="CF564" s="954"/>
      <c r="CG564" s="587"/>
    </row>
    <row r="565" spans="1:85" s="461" customFormat="1" ht="14.4" hidden="1" outlineLevel="1" x14ac:dyDescent="0.3">
      <c r="A565" s="166" t="s">
        <v>1327</v>
      </c>
      <c r="B565" s="583"/>
      <c r="C565" s="957"/>
      <c r="D565" s="957"/>
      <c r="E565" s="957"/>
      <c r="F565" s="957"/>
      <c r="G565" s="120"/>
      <c r="H565" s="120"/>
      <c r="I565" s="120"/>
      <c r="J565" s="120"/>
      <c r="K565" s="957"/>
      <c r="L565" s="120"/>
      <c r="M565" s="120"/>
      <c r="N565" s="120"/>
      <c r="O565" s="120"/>
      <c r="P565" s="957"/>
      <c r="Q565" s="120"/>
      <c r="R565" s="120"/>
      <c r="S565" s="120"/>
      <c r="T565" s="120"/>
      <c r="U565" s="957"/>
      <c r="V565" s="120"/>
      <c r="W565" s="120"/>
      <c r="X565" s="120"/>
      <c r="Y565" s="120"/>
      <c r="Z565" s="957"/>
      <c r="AA565" s="120"/>
      <c r="AB565" s="120"/>
      <c r="AC565" s="120"/>
      <c r="AD565" s="120"/>
      <c r="AE565" s="957"/>
      <c r="AF565" s="120"/>
      <c r="AG565" s="120"/>
      <c r="AH565" s="120"/>
      <c r="AI565" s="120"/>
      <c r="AJ565" s="957"/>
      <c r="AK565" s="120"/>
      <c r="AL565" s="120"/>
      <c r="AM565" s="120"/>
      <c r="AN565" s="120"/>
      <c r="AO565" s="957">
        <f>SUM(AO558:AO564)</f>
        <v>159</v>
      </c>
      <c r="AP565" s="120"/>
      <c r="AQ565" s="120"/>
      <c r="AR565" s="120"/>
      <c r="AS565" s="120"/>
      <c r="AT565" s="957">
        <f>SUM(AT558:AT564)</f>
        <v>3</v>
      </c>
      <c r="AU565" s="120"/>
      <c r="AV565" s="120"/>
      <c r="AW565" s="120"/>
      <c r="AX565" s="120"/>
      <c r="AY565" s="957">
        <f>SUM(AY558:AY564)</f>
        <v>4</v>
      </c>
      <c r="AZ565" s="120"/>
      <c r="BA565" s="120"/>
      <c r="BB565" s="120"/>
      <c r="BC565" s="120"/>
      <c r="BD565" s="957">
        <f>SUM(BD558:BD564)</f>
        <v>3</v>
      </c>
      <c r="BE565" s="120"/>
      <c r="BF565" s="120"/>
      <c r="BG565" s="120"/>
      <c r="BH565" s="120"/>
      <c r="BI565" s="957">
        <f>SUM(BI558:BI564)</f>
        <v>3</v>
      </c>
      <c r="BJ565" s="120"/>
      <c r="BK565" s="120"/>
      <c r="BL565" s="120"/>
      <c r="BM565" s="120"/>
      <c r="BN565" s="957">
        <f>SUM(BN558:BN564)</f>
        <v>2</v>
      </c>
      <c r="BO565" s="120"/>
      <c r="BP565" s="120"/>
      <c r="BQ565" s="120"/>
      <c r="BR565" s="120"/>
      <c r="BS565" s="957">
        <f>SUM(BS558:BS564)</f>
        <v>2</v>
      </c>
      <c r="BT565" s="694"/>
      <c r="BU565" s="120"/>
      <c r="BV565" s="120"/>
      <c r="BW565" s="120"/>
      <c r="BX565" s="957"/>
      <c r="BY565" s="120"/>
      <c r="BZ565" s="120"/>
      <c r="CA565" s="120"/>
      <c r="CB565" s="120"/>
      <c r="CC565" s="957"/>
      <c r="CD565" s="957"/>
      <c r="CE565" s="957"/>
      <c r="CF565" s="957"/>
      <c r="CG565" s="615"/>
    </row>
    <row r="566" spans="1:85" s="461" customFormat="1" ht="14.4" hidden="1" outlineLevel="1" x14ac:dyDescent="0.3">
      <c r="A566" s="166"/>
      <c r="B566" s="583"/>
      <c r="C566" s="957"/>
      <c r="D566" s="957"/>
      <c r="E566" s="957"/>
      <c r="F566" s="957"/>
      <c r="G566" s="120"/>
      <c r="H566" s="120"/>
      <c r="I566" s="120"/>
      <c r="J566" s="120"/>
      <c r="K566" s="957"/>
      <c r="L566" s="120"/>
      <c r="M566" s="120"/>
      <c r="N566" s="120"/>
      <c r="O566" s="120"/>
      <c r="P566" s="957"/>
      <c r="Q566" s="120"/>
      <c r="R566" s="120"/>
      <c r="S566" s="120"/>
      <c r="T566" s="120"/>
      <c r="U566" s="957"/>
      <c r="V566" s="120"/>
      <c r="W566" s="120"/>
      <c r="X566" s="120"/>
      <c r="Y566" s="120"/>
      <c r="Z566" s="957"/>
      <c r="AA566" s="120"/>
      <c r="AB566" s="120"/>
      <c r="AC566" s="120"/>
      <c r="AD566" s="120"/>
      <c r="AE566" s="957"/>
      <c r="AF566" s="120"/>
      <c r="AG566" s="120"/>
      <c r="AH566" s="120"/>
      <c r="AI566" s="120"/>
      <c r="AJ566" s="957"/>
      <c r="AK566" s="120"/>
      <c r="AL566" s="120"/>
      <c r="AM566" s="120"/>
      <c r="AN566" s="120"/>
      <c r="AO566" s="957"/>
      <c r="AP566" s="120"/>
      <c r="AQ566" s="120"/>
      <c r="AR566" s="120"/>
      <c r="AS566" s="120"/>
      <c r="AT566" s="957"/>
      <c r="AU566" s="120"/>
      <c r="AV566" s="120"/>
      <c r="AW566" s="120"/>
      <c r="AX566" s="120"/>
      <c r="AY566" s="957"/>
      <c r="AZ566" s="120"/>
      <c r="BA566" s="120"/>
      <c r="BB566" s="120"/>
      <c r="BC566" s="120"/>
      <c r="BD566" s="957"/>
      <c r="BE566" s="120"/>
      <c r="BF566" s="120"/>
      <c r="BG566" s="120"/>
      <c r="BH566" s="120"/>
      <c r="BI566" s="957"/>
      <c r="BJ566" s="120"/>
      <c r="BK566" s="120"/>
      <c r="BL566" s="120"/>
      <c r="BM566" s="120"/>
      <c r="BN566" s="957"/>
      <c r="BO566" s="120"/>
      <c r="BP566" s="120"/>
      <c r="BQ566" s="120"/>
      <c r="BR566" s="120"/>
      <c r="BS566" s="957"/>
      <c r="BT566" s="694"/>
      <c r="BU566" s="120"/>
      <c r="BV566" s="120"/>
      <c r="BW566" s="120"/>
      <c r="BX566" s="957"/>
      <c r="BY566" s="120"/>
      <c r="BZ566" s="120"/>
      <c r="CA566" s="120"/>
      <c r="CB566" s="120"/>
      <c r="CC566" s="957"/>
      <c r="CD566" s="957"/>
      <c r="CE566" s="957"/>
      <c r="CF566" s="957"/>
      <c r="CG566" s="615"/>
    </row>
    <row r="567" spans="1:85" s="461" customFormat="1" ht="14.4" hidden="1" outlineLevel="1" x14ac:dyDescent="0.3">
      <c r="A567" s="166" t="s">
        <v>1328</v>
      </c>
      <c r="B567" s="583"/>
      <c r="C567" s="957"/>
      <c r="D567" s="957"/>
      <c r="E567" s="957"/>
      <c r="F567" s="957"/>
      <c r="G567" s="120"/>
      <c r="H567" s="120"/>
      <c r="I567" s="120"/>
      <c r="J567" s="120"/>
      <c r="K567" s="957"/>
      <c r="L567" s="120"/>
      <c r="M567" s="120"/>
      <c r="N567" s="120"/>
      <c r="O567" s="120"/>
      <c r="P567" s="957"/>
      <c r="Q567" s="120"/>
      <c r="R567" s="120"/>
      <c r="S567" s="120"/>
      <c r="T567" s="120"/>
      <c r="U567" s="957"/>
      <c r="V567" s="120"/>
      <c r="W567" s="120"/>
      <c r="X567" s="120"/>
      <c r="Y567" s="120"/>
      <c r="Z567" s="957"/>
      <c r="AA567" s="120"/>
      <c r="AB567" s="120"/>
      <c r="AC567" s="120"/>
      <c r="AD567" s="120"/>
      <c r="AE567" s="957"/>
      <c r="AF567" s="120"/>
      <c r="AG567" s="120"/>
      <c r="AH567" s="120"/>
      <c r="AI567" s="120"/>
      <c r="AJ567" s="957"/>
      <c r="AK567" s="120"/>
      <c r="AL567" s="120"/>
      <c r="AM567" s="120"/>
      <c r="AN567" s="120"/>
      <c r="AO567" s="957">
        <f>AO533+AO542+AO550+AO558</f>
        <v>6017</v>
      </c>
      <c r="AP567" s="120"/>
      <c r="AQ567" s="120"/>
      <c r="AR567" s="120"/>
      <c r="AS567" s="120"/>
      <c r="AT567" s="957">
        <f>AT533+AT542+AT550+AT558</f>
        <v>5781</v>
      </c>
      <c r="AU567" s="120"/>
      <c r="AV567" s="120"/>
      <c r="AW567" s="120"/>
      <c r="AX567" s="120"/>
      <c r="AY567" s="957">
        <f>AY533+AY542+AY550+AY558</f>
        <v>5319</v>
      </c>
      <c r="AZ567" s="120"/>
      <c r="BA567" s="120"/>
      <c r="BB567" s="120"/>
      <c r="BC567" s="120"/>
      <c r="BD567" s="957">
        <f>BD533+BD542+BD550+BD558</f>
        <v>5075</v>
      </c>
      <c r="BE567" s="120"/>
      <c r="BF567" s="120"/>
      <c r="BG567" s="120"/>
      <c r="BH567" s="120"/>
      <c r="BI567" s="957">
        <f>BI533+BI542+BI550+BI558</f>
        <v>4997</v>
      </c>
      <c r="BJ567" s="120"/>
      <c r="BK567" s="120"/>
      <c r="BL567" s="120"/>
      <c r="BM567" s="120"/>
      <c r="BN567" s="957">
        <f>BN533+BN542+BN550+BN558</f>
        <v>4777</v>
      </c>
      <c r="BO567" s="120"/>
      <c r="BP567" s="120"/>
      <c r="BQ567" s="120"/>
      <c r="BR567" s="120"/>
      <c r="BS567" s="957">
        <f>BS533+BS542+BS550+BS558</f>
        <v>3916</v>
      </c>
      <c r="BT567" s="694"/>
      <c r="BU567" s="120"/>
      <c r="BV567" s="120"/>
      <c r="BW567" s="120"/>
      <c r="BX567" s="957"/>
      <c r="BY567" s="120"/>
      <c r="BZ567" s="120"/>
      <c r="CA567" s="120"/>
      <c r="CB567" s="120"/>
      <c r="CC567" s="957"/>
      <c r="CD567" s="957"/>
      <c r="CE567" s="957"/>
      <c r="CF567" s="957"/>
      <c r="CG567" s="615"/>
    </row>
    <row r="568" spans="1:85" s="460" customFormat="1" ht="14.4" hidden="1" outlineLevel="1" x14ac:dyDescent="0.3">
      <c r="A568" s="159" t="s">
        <v>1329</v>
      </c>
      <c r="B568" s="586"/>
      <c r="C568" s="150"/>
      <c r="D568" s="150"/>
      <c r="E568" s="150"/>
      <c r="F568" s="150"/>
      <c r="G568" s="117"/>
      <c r="H568" s="117"/>
      <c r="I568" s="117"/>
      <c r="J568" s="117"/>
      <c r="K568" s="150"/>
      <c r="L568" s="117"/>
      <c r="M568" s="117"/>
      <c r="N568" s="117"/>
      <c r="O568" s="117"/>
      <c r="P568" s="150"/>
      <c r="Q568" s="117"/>
      <c r="R568" s="117"/>
      <c r="S568" s="117"/>
      <c r="T568" s="117"/>
      <c r="U568" s="150"/>
      <c r="V568" s="117"/>
      <c r="W568" s="117"/>
      <c r="X568" s="117"/>
      <c r="Y568" s="117"/>
      <c r="Z568" s="150"/>
      <c r="AA568" s="117"/>
      <c r="AB568" s="117"/>
      <c r="AC568" s="117"/>
      <c r="AD568" s="117"/>
      <c r="AE568" s="150"/>
      <c r="AF568" s="117"/>
      <c r="AG568" s="117"/>
      <c r="AH568" s="117"/>
      <c r="AI568" s="117"/>
      <c r="AJ568" s="150"/>
      <c r="AK568" s="117"/>
      <c r="AL568" s="117"/>
      <c r="AM568" s="117"/>
      <c r="AN568" s="117"/>
      <c r="AO568" s="150">
        <f t="shared" ref="AO568:AO573" si="35">AO534+AO543+AO551+AO559</f>
        <v>-18</v>
      </c>
      <c r="AP568" s="117"/>
      <c r="AQ568" s="117"/>
      <c r="AR568" s="117"/>
      <c r="AS568" s="117"/>
      <c r="AT568" s="150">
        <f t="shared" ref="AT568:AT573" si="36">AT534+AT543+AT551+AT559</f>
        <v>-126</v>
      </c>
      <c r="AU568" s="117"/>
      <c r="AV568" s="117"/>
      <c r="AW568" s="117"/>
      <c r="AX568" s="117"/>
      <c r="AY568" s="150">
        <f t="shared" ref="AY568:AY573" si="37">AY534+AY543+AY551+AY559</f>
        <v>-49</v>
      </c>
      <c r="AZ568" s="117"/>
      <c r="BA568" s="117"/>
      <c r="BB568" s="117"/>
      <c r="BC568" s="117"/>
      <c r="BD568" s="150">
        <f t="shared" ref="BD568:BD573" si="38">BD534+BD543+BD551+BD559</f>
        <v>-104</v>
      </c>
      <c r="BE568" s="117"/>
      <c r="BF568" s="117"/>
      <c r="BG568" s="117"/>
      <c r="BH568" s="117"/>
      <c r="BI568" s="150">
        <f t="shared" ref="BI568:BI573" si="39">BI534+BI543+BI551+BI559</f>
        <v>-140</v>
      </c>
      <c r="BJ568" s="117"/>
      <c r="BK568" s="117"/>
      <c r="BL568" s="117"/>
      <c r="BM568" s="117"/>
      <c r="BN568" s="150">
        <f t="shared" ref="BN568:BN573" si="40">BN534+BN543+BN551+BN559</f>
        <v>36</v>
      </c>
      <c r="BO568" s="117"/>
      <c r="BP568" s="117"/>
      <c r="BQ568" s="117"/>
      <c r="BR568" s="117"/>
      <c r="BS568" s="150">
        <f t="shared" ref="BS568:BS573" si="41">BS534+BS543+BS551+BS559</f>
        <v>35</v>
      </c>
      <c r="BT568" s="691"/>
      <c r="BU568" s="117"/>
      <c r="BV568" s="117"/>
      <c r="BW568" s="117"/>
      <c r="BX568" s="150"/>
      <c r="BY568" s="117"/>
      <c r="BZ568" s="117"/>
      <c r="CA568" s="117"/>
      <c r="CB568" s="117"/>
      <c r="CC568" s="150"/>
      <c r="CD568" s="150"/>
      <c r="CE568" s="150"/>
      <c r="CF568" s="150"/>
      <c r="CG568" s="587"/>
    </row>
    <row r="569" spans="1:85" s="460" customFormat="1" ht="14.4" hidden="1" outlineLevel="1" x14ac:dyDescent="0.3">
      <c r="A569" s="159" t="s">
        <v>1330</v>
      </c>
      <c r="B569" s="586"/>
      <c r="C569" s="150"/>
      <c r="D569" s="150"/>
      <c r="E569" s="150"/>
      <c r="F569" s="150"/>
      <c r="G569" s="117"/>
      <c r="H569" s="117"/>
      <c r="I569" s="117"/>
      <c r="J569" s="117"/>
      <c r="K569" s="150"/>
      <c r="L569" s="117"/>
      <c r="M569" s="117"/>
      <c r="N569" s="117"/>
      <c r="O569" s="117"/>
      <c r="P569" s="150"/>
      <c r="Q569" s="117"/>
      <c r="R569" s="117"/>
      <c r="S569" s="117"/>
      <c r="T569" s="117"/>
      <c r="U569" s="150"/>
      <c r="V569" s="117"/>
      <c r="W569" s="117"/>
      <c r="X569" s="117"/>
      <c r="Y569" s="117"/>
      <c r="Z569" s="150"/>
      <c r="AA569" s="117"/>
      <c r="AB569" s="117"/>
      <c r="AC569" s="117"/>
      <c r="AD569" s="117"/>
      <c r="AE569" s="150"/>
      <c r="AF569" s="117"/>
      <c r="AG569" s="117"/>
      <c r="AH569" s="117"/>
      <c r="AI569" s="117"/>
      <c r="AJ569" s="150"/>
      <c r="AK569" s="117"/>
      <c r="AL569" s="117"/>
      <c r="AM569" s="117"/>
      <c r="AN569" s="117"/>
      <c r="AO569" s="150">
        <f t="shared" si="35"/>
        <v>7</v>
      </c>
      <c r="AP569" s="117"/>
      <c r="AQ569" s="117"/>
      <c r="AR569" s="117"/>
      <c r="AS569" s="117"/>
      <c r="AT569" s="150">
        <f t="shared" si="36"/>
        <v>2</v>
      </c>
      <c r="AU569" s="117"/>
      <c r="AV569" s="117"/>
      <c r="AW569" s="117"/>
      <c r="AX569" s="117"/>
      <c r="AY569" s="150">
        <f t="shared" si="37"/>
        <v>9</v>
      </c>
      <c r="AZ569" s="117"/>
      <c r="BA569" s="117"/>
      <c r="BB569" s="117"/>
      <c r="BC569" s="117"/>
      <c r="BD569" s="150">
        <f t="shared" si="38"/>
        <v>26</v>
      </c>
      <c r="BE569" s="117"/>
      <c r="BF569" s="117"/>
      <c r="BG569" s="117"/>
      <c r="BH569" s="117"/>
      <c r="BI569" s="150">
        <f t="shared" si="39"/>
        <v>11</v>
      </c>
      <c r="BJ569" s="117"/>
      <c r="BK569" s="117"/>
      <c r="BL569" s="117"/>
      <c r="BM569" s="117"/>
      <c r="BN569" s="150">
        <f t="shared" si="40"/>
        <v>11</v>
      </c>
      <c r="BO569" s="117"/>
      <c r="BP569" s="117"/>
      <c r="BQ569" s="117"/>
      <c r="BR569" s="117"/>
      <c r="BS569" s="150">
        <f t="shared" si="41"/>
        <v>4</v>
      </c>
      <c r="BT569" s="691"/>
      <c r="BU569" s="117"/>
      <c r="BV569" s="117"/>
      <c r="BW569" s="117"/>
      <c r="BX569" s="150"/>
      <c r="BY569" s="117"/>
      <c r="BZ569" s="117"/>
      <c r="CA569" s="117"/>
      <c r="CB569" s="117"/>
      <c r="CC569" s="150"/>
      <c r="CD569" s="150"/>
      <c r="CE569" s="150"/>
      <c r="CF569" s="150"/>
      <c r="CG569" s="587"/>
    </row>
    <row r="570" spans="1:85" s="460" customFormat="1" ht="14.4" hidden="1" outlineLevel="1" x14ac:dyDescent="0.3">
      <c r="A570" s="159" t="s">
        <v>1331</v>
      </c>
      <c r="B570" s="586"/>
      <c r="C570" s="150"/>
      <c r="D570" s="150"/>
      <c r="E570" s="150"/>
      <c r="F570" s="150"/>
      <c r="G570" s="117"/>
      <c r="H570" s="117"/>
      <c r="I570" s="117"/>
      <c r="J570" s="117"/>
      <c r="K570" s="150"/>
      <c r="L570" s="117"/>
      <c r="M570" s="117"/>
      <c r="N570" s="117"/>
      <c r="O570" s="117"/>
      <c r="P570" s="150"/>
      <c r="Q570" s="117"/>
      <c r="R570" s="117"/>
      <c r="S570" s="117"/>
      <c r="T570" s="117"/>
      <c r="U570" s="150"/>
      <c r="V570" s="117"/>
      <c r="W570" s="117"/>
      <c r="X570" s="117"/>
      <c r="Y570" s="117"/>
      <c r="Z570" s="150"/>
      <c r="AA570" s="117"/>
      <c r="AB570" s="117"/>
      <c r="AC570" s="117"/>
      <c r="AD570" s="117"/>
      <c r="AE570" s="150"/>
      <c r="AF570" s="117"/>
      <c r="AG570" s="117"/>
      <c r="AH570" s="117"/>
      <c r="AI570" s="117"/>
      <c r="AJ570" s="150"/>
      <c r="AK570" s="117"/>
      <c r="AL570" s="117"/>
      <c r="AM570" s="117"/>
      <c r="AN570" s="117"/>
      <c r="AO570" s="150">
        <f t="shared" si="35"/>
        <v>438</v>
      </c>
      <c r="AP570" s="117"/>
      <c r="AQ570" s="117"/>
      <c r="AR570" s="117"/>
      <c r="AS570" s="117"/>
      <c r="AT570" s="150">
        <f t="shared" si="36"/>
        <v>110</v>
      </c>
      <c r="AU570" s="117"/>
      <c r="AV570" s="117"/>
      <c r="AW570" s="117"/>
      <c r="AX570" s="117"/>
      <c r="AY570" s="150">
        <f t="shared" si="37"/>
        <v>365</v>
      </c>
      <c r="AZ570" s="117"/>
      <c r="BA570" s="117"/>
      <c r="BB570" s="117"/>
      <c r="BC570" s="117"/>
      <c r="BD570" s="150">
        <f t="shared" si="38"/>
        <v>312</v>
      </c>
      <c r="BE570" s="117"/>
      <c r="BF570" s="117"/>
      <c r="BG570" s="117"/>
      <c r="BH570" s="117"/>
      <c r="BI570" s="150">
        <f t="shared" si="39"/>
        <v>225</v>
      </c>
      <c r="BJ570" s="117"/>
      <c r="BK570" s="117"/>
      <c r="BL570" s="117"/>
      <c r="BM570" s="117"/>
      <c r="BN570" s="150">
        <f t="shared" si="40"/>
        <v>241</v>
      </c>
      <c r="BO570" s="117"/>
      <c r="BP570" s="117"/>
      <c r="BQ570" s="117"/>
      <c r="BR570" s="117"/>
      <c r="BS570" s="150">
        <f t="shared" si="41"/>
        <v>247</v>
      </c>
      <c r="BT570" s="691"/>
      <c r="BU570" s="117"/>
      <c r="BV570" s="117"/>
      <c r="BW570" s="117"/>
      <c r="BX570" s="150"/>
      <c r="BY570" s="117"/>
      <c r="BZ570" s="117"/>
      <c r="CA570" s="117"/>
      <c r="CB570" s="117"/>
      <c r="CC570" s="150"/>
      <c r="CD570" s="150"/>
      <c r="CE570" s="150"/>
      <c r="CF570" s="150"/>
      <c r="CG570" s="587"/>
    </row>
    <row r="571" spans="1:85" s="460" customFormat="1" ht="14.4" hidden="1" outlineLevel="1" x14ac:dyDescent="0.3">
      <c r="A571" s="159" t="s">
        <v>1332</v>
      </c>
      <c r="B571" s="586"/>
      <c r="C571" s="150"/>
      <c r="D571" s="150"/>
      <c r="E571" s="150"/>
      <c r="F571" s="150"/>
      <c r="G571" s="117"/>
      <c r="H571" s="117"/>
      <c r="I571" s="117"/>
      <c r="J571" s="117"/>
      <c r="K571" s="150"/>
      <c r="L571" s="117"/>
      <c r="M571" s="117"/>
      <c r="N571" s="117"/>
      <c r="O571" s="117"/>
      <c r="P571" s="150"/>
      <c r="Q571" s="117"/>
      <c r="R571" s="117"/>
      <c r="S571" s="117"/>
      <c r="T571" s="117"/>
      <c r="U571" s="150"/>
      <c r="V571" s="117"/>
      <c r="W571" s="117"/>
      <c r="X571" s="117"/>
      <c r="Y571" s="117"/>
      <c r="Z571" s="150"/>
      <c r="AA571" s="117"/>
      <c r="AB571" s="117"/>
      <c r="AC571" s="117"/>
      <c r="AD571" s="117"/>
      <c r="AE571" s="150"/>
      <c r="AF571" s="117"/>
      <c r="AG571" s="117"/>
      <c r="AH571" s="117"/>
      <c r="AI571" s="117"/>
      <c r="AJ571" s="150"/>
      <c r="AK571" s="117"/>
      <c r="AL571" s="117"/>
      <c r="AM571" s="117"/>
      <c r="AN571" s="117"/>
      <c r="AO571" s="150">
        <f t="shared" si="35"/>
        <v>21</v>
      </c>
      <c r="AP571" s="117"/>
      <c r="AQ571" s="117"/>
      <c r="AR571" s="117"/>
      <c r="AS571" s="117"/>
      <c r="AT571" s="150">
        <f t="shared" si="36"/>
        <v>258</v>
      </c>
      <c r="AU571" s="117"/>
      <c r="AV571" s="117"/>
      <c r="AW571" s="117"/>
      <c r="AX571" s="117"/>
      <c r="AY571" s="150">
        <f t="shared" si="37"/>
        <v>28</v>
      </c>
      <c r="AZ571" s="117"/>
      <c r="BA571" s="117"/>
      <c r="BB571" s="117"/>
      <c r="BC571" s="117"/>
      <c r="BD571" s="150">
        <f t="shared" si="38"/>
        <v>231</v>
      </c>
      <c r="BE571" s="117"/>
      <c r="BF571" s="117"/>
      <c r="BG571" s="117"/>
      <c r="BH571" s="117"/>
      <c r="BI571" s="150">
        <f t="shared" si="39"/>
        <v>231</v>
      </c>
      <c r="BJ571" s="117"/>
      <c r="BK571" s="117"/>
      <c r="BL571" s="117"/>
      <c r="BM571" s="117"/>
      <c r="BN571" s="150">
        <f t="shared" si="40"/>
        <v>88</v>
      </c>
      <c r="BO571" s="117"/>
      <c r="BP571" s="117"/>
      <c r="BQ571" s="117"/>
      <c r="BR571" s="117"/>
      <c r="BS571" s="150">
        <f t="shared" si="41"/>
        <v>871</v>
      </c>
      <c r="BT571" s="691"/>
      <c r="BU571" s="117"/>
      <c r="BV571" s="117"/>
      <c r="BW571" s="117"/>
      <c r="BX571" s="150"/>
      <c r="BY571" s="117"/>
      <c r="BZ571" s="117"/>
      <c r="CA571" s="117"/>
      <c r="CB571" s="117"/>
      <c r="CC571" s="150"/>
      <c r="CD571" s="150"/>
      <c r="CE571" s="150"/>
      <c r="CF571" s="150"/>
      <c r="CG571" s="587"/>
    </row>
    <row r="572" spans="1:85" s="460" customFormat="1" ht="14.4" hidden="1" outlineLevel="1" x14ac:dyDescent="0.3">
      <c r="A572" s="159" t="s">
        <v>1333</v>
      </c>
      <c r="B572" s="586"/>
      <c r="C572" s="150"/>
      <c r="D572" s="150"/>
      <c r="E572" s="150"/>
      <c r="F572" s="150"/>
      <c r="G572" s="117"/>
      <c r="H572" s="117"/>
      <c r="I572" s="117"/>
      <c r="J572" s="117"/>
      <c r="K572" s="150"/>
      <c r="L572" s="117"/>
      <c r="M572" s="117"/>
      <c r="N572" s="117"/>
      <c r="O572" s="117"/>
      <c r="P572" s="150"/>
      <c r="Q572" s="117"/>
      <c r="R572" s="117"/>
      <c r="S572" s="117"/>
      <c r="T572" s="117"/>
      <c r="U572" s="150"/>
      <c r="V572" s="117"/>
      <c r="W572" s="117"/>
      <c r="X572" s="117"/>
      <c r="Y572" s="117"/>
      <c r="Z572" s="150"/>
      <c r="AA572" s="117"/>
      <c r="AB572" s="117"/>
      <c r="AC572" s="117"/>
      <c r="AD572" s="117"/>
      <c r="AE572" s="150"/>
      <c r="AF572" s="117"/>
      <c r="AG572" s="117"/>
      <c r="AH572" s="117"/>
      <c r="AI572" s="117"/>
      <c r="AJ572" s="150"/>
      <c r="AK572" s="117"/>
      <c r="AL572" s="117"/>
      <c r="AM572" s="117"/>
      <c r="AN572" s="117"/>
      <c r="AO572" s="150">
        <f t="shared" si="35"/>
        <v>-73</v>
      </c>
      <c r="AP572" s="117"/>
      <c r="AQ572" s="117"/>
      <c r="AR572" s="117"/>
      <c r="AS572" s="117"/>
      <c r="AT572" s="150">
        <f t="shared" si="36"/>
        <v>-110</v>
      </c>
      <c r="AU572" s="117"/>
      <c r="AV572" s="117"/>
      <c r="AW572" s="117"/>
      <c r="AX572" s="117"/>
      <c r="AY572" s="150">
        <f t="shared" si="37"/>
        <v>-33</v>
      </c>
      <c r="AZ572" s="117"/>
      <c r="BA572" s="117"/>
      <c r="BB572" s="117"/>
      <c r="BC572" s="117"/>
      <c r="BD572" s="150">
        <f t="shared" si="38"/>
        <v>-19</v>
      </c>
      <c r="BE572" s="117"/>
      <c r="BF572" s="117"/>
      <c r="BG572" s="117"/>
      <c r="BH572" s="117"/>
      <c r="BI572" s="150">
        <f t="shared" si="39"/>
        <v>-1</v>
      </c>
      <c r="BJ572" s="117"/>
      <c r="BK572" s="117"/>
      <c r="BL572" s="117"/>
      <c r="BM572" s="117"/>
      <c r="BN572" s="150">
        <f t="shared" si="40"/>
        <v>-666</v>
      </c>
      <c r="BO572" s="117"/>
      <c r="BP572" s="117"/>
      <c r="BQ572" s="117"/>
      <c r="BR572" s="117"/>
      <c r="BS572" s="150">
        <f t="shared" si="41"/>
        <v>-37</v>
      </c>
      <c r="BT572" s="691"/>
      <c r="BU572" s="117"/>
      <c r="BV572" s="117"/>
      <c r="BW572" s="117"/>
      <c r="BX572" s="150"/>
      <c r="BY572" s="117"/>
      <c r="BZ572" s="117"/>
      <c r="CA572" s="117"/>
      <c r="CB572" s="117"/>
      <c r="CC572" s="150"/>
      <c r="CD572" s="150"/>
      <c r="CE572" s="150"/>
      <c r="CF572" s="150"/>
      <c r="CG572" s="587"/>
    </row>
    <row r="573" spans="1:85" s="460" customFormat="1" ht="14.4" hidden="1" outlineLevel="1" x14ac:dyDescent="0.3">
      <c r="A573" s="262" t="s">
        <v>1334</v>
      </c>
      <c r="B573" s="588"/>
      <c r="C573" s="954"/>
      <c r="D573" s="954"/>
      <c r="E573" s="954"/>
      <c r="F573" s="954"/>
      <c r="G573" s="133"/>
      <c r="H573" s="133"/>
      <c r="I573" s="133"/>
      <c r="J573" s="133"/>
      <c r="K573" s="954"/>
      <c r="L573" s="133"/>
      <c r="M573" s="133"/>
      <c r="N573" s="133"/>
      <c r="O573" s="133"/>
      <c r="P573" s="954"/>
      <c r="Q573" s="133"/>
      <c r="R573" s="133"/>
      <c r="S573" s="133"/>
      <c r="T573" s="133"/>
      <c r="U573" s="954"/>
      <c r="V573" s="133"/>
      <c r="W573" s="133"/>
      <c r="X573" s="133"/>
      <c r="Y573" s="133"/>
      <c r="Z573" s="954"/>
      <c r="AA573" s="133"/>
      <c r="AB573" s="133"/>
      <c r="AC573" s="133"/>
      <c r="AD573" s="133"/>
      <c r="AE573" s="954"/>
      <c r="AF573" s="133"/>
      <c r="AG573" s="133"/>
      <c r="AH573" s="133"/>
      <c r="AI573" s="133"/>
      <c r="AJ573" s="954"/>
      <c r="AK573" s="133"/>
      <c r="AL573" s="133"/>
      <c r="AM573" s="133"/>
      <c r="AN573" s="133"/>
      <c r="AO573" s="954">
        <f t="shared" si="35"/>
        <v>-611</v>
      </c>
      <c r="AP573" s="133"/>
      <c r="AQ573" s="133"/>
      <c r="AR573" s="133"/>
      <c r="AS573" s="133"/>
      <c r="AT573" s="954">
        <f t="shared" si="36"/>
        <v>-596</v>
      </c>
      <c r="AU573" s="133"/>
      <c r="AV573" s="133"/>
      <c r="AW573" s="133"/>
      <c r="AX573" s="133"/>
      <c r="AY573" s="954">
        <f t="shared" si="37"/>
        <v>-564</v>
      </c>
      <c r="AZ573" s="133"/>
      <c r="BA573" s="133"/>
      <c r="BB573" s="133"/>
      <c r="BC573" s="133"/>
      <c r="BD573" s="954">
        <f t="shared" si="38"/>
        <v>-524</v>
      </c>
      <c r="BE573" s="133"/>
      <c r="BF573" s="133"/>
      <c r="BG573" s="133"/>
      <c r="BH573" s="133"/>
      <c r="BI573" s="954">
        <f t="shared" si="39"/>
        <v>-546</v>
      </c>
      <c r="BJ573" s="133"/>
      <c r="BK573" s="133"/>
      <c r="BL573" s="133"/>
      <c r="BM573" s="133"/>
      <c r="BN573" s="954">
        <f t="shared" si="40"/>
        <v>-571</v>
      </c>
      <c r="BO573" s="133"/>
      <c r="BP573" s="133"/>
      <c r="BQ573" s="133"/>
      <c r="BR573" s="133"/>
      <c r="BS573" s="954">
        <f t="shared" si="41"/>
        <v>-667</v>
      </c>
      <c r="BT573" s="692"/>
      <c r="BU573" s="133"/>
      <c r="BV573" s="133"/>
      <c r="BW573" s="133"/>
      <c r="BX573" s="954"/>
      <c r="BY573" s="133"/>
      <c r="BZ573" s="133"/>
      <c r="CA573" s="133"/>
      <c r="CB573" s="133"/>
      <c r="CC573" s="954"/>
      <c r="CD573" s="954"/>
      <c r="CE573" s="954"/>
      <c r="CF573" s="954"/>
      <c r="CG573" s="587"/>
    </row>
    <row r="574" spans="1:85" s="461" customFormat="1" ht="14.4" hidden="1" outlineLevel="1" x14ac:dyDescent="0.3">
      <c r="A574" s="166" t="s">
        <v>1335</v>
      </c>
      <c r="B574" s="583"/>
      <c r="C574" s="957"/>
      <c r="D574" s="957"/>
      <c r="E574" s="957"/>
      <c r="F574" s="957"/>
      <c r="G574" s="120"/>
      <c r="H574" s="120"/>
      <c r="I574" s="120"/>
      <c r="J574" s="120"/>
      <c r="K574" s="957"/>
      <c r="L574" s="120"/>
      <c r="M574" s="120"/>
      <c r="N574" s="120"/>
      <c r="O574" s="120"/>
      <c r="P574" s="957"/>
      <c r="Q574" s="120"/>
      <c r="R574" s="120"/>
      <c r="S574" s="120"/>
      <c r="T574" s="120"/>
      <c r="U574" s="957"/>
      <c r="V574" s="120"/>
      <c r="W574" s="120"/>
      <c r="X574" s="120"/>
      <c r="Y574" s="120"/>
      <c r="Z574" s="957"/>
      <c r="AA574" s="120"/>
      <c r="AB574" s="120"/>
      <c r="AC574" s="120"/>
      <c r="AD574" s="120"/>
      <c r="AE574" s="957"/>
      <c r="AF574" s="120"/>
      <c r="AG574" s="120"/>
      <c r="AH574" s="120"/>
      <c r="AI574" s="120"/>
      <c r="AJ574" s="957"/>
      <c r="AK574" s="120"/>
      <c r="AL574" s="120"/>
      <c r="AM574" s="120"/>
      <c r="AN574" s="120"/>
      <c r="AO574" s="957">
        <f>SUM(AO567:AO573)</f>
        <v>5781</v>
      </c>
      <c r="AP574" s="120"/>
      <c r="AQ574" s="120"/>
      <c r="AR574" s="120"/>
      <c r="AS574" s="120"/>
      <c r="AT574" s="957">
        <f>SUM(AT567:AT573)</f>
        <v>5319</v>
      </c>
      <c r="AU574" s="120"/>
      <c r="AV574" s="120"/>
      <c r="AW574" s="120"/>
      <c r="AX574" s="120"/>
      <c r="AY574" s="957">
        <f>SUM(AY567:AY573)</f>
        <v>5075</v>
      </c>
      <c r="AZ574" s="120"/>
      <c r="BA574" s="120"/>
      <c r="BB574" s="120"/>
      <c r="BC574" s="120"/>
      <c r="BD574" s="957">
        <f>SUM(BD567:BD573)</f>
        <v>4997</v>
      </c>
      <c r="BE574" s="120"/>
      <c r="BF574" s="120"/>
      <c r="BG574" s="120"/>
      <c r="BH574" s="120"/>
      <c r="BI574" s="957">
        <f>SUM(BI567:BI573)</f>
        <v>4777</v>
      </c>
      <c r="BJ574" s="120"/>
      <c r="BK574" s="120"/>
      <c r="BL574" s="120"/>
      <c r="BM574" s="120"/>
      <c r="BN574" s="957">
        <f>SUM(BN567:BN573)</f>
        <v>3916</v>
      </c>
      <c r="BO574" s="120"/>
      <c r="BP574" s="120"/>
      <c r="BQ574" s="120"/>
      <c r="BR574" s="120"/>
      <c r="BS574" s="957">
        <f>SUM(BS567:BS573)</f>
        <v>4369</v>
      </c>
      <c r="BT574" s="694"/>
      <c r="BU574" s="120"/>
      <c r="BV574" s="120"/>
      <c r="BW574" s="120"/>
      <c r="BX574" s="957"/>
      <c r="BY574" s="120"/>
      <c r="BZ574" s="120"/>
      <c r="CA574" s="120"/>
      <c r="CB574" s="120"/>
      <c r="CC574" s="957"/>
      <c r="CD574" s="957"/>
      <c r="CE574" s="957"/>
      <c r="CF574" s="957"/>
      <c r="CG574" s="615"/>
    </row>
    <row r="575" spans="1:85" s="461" customFormat="1" ht="14.4" collapsed="1" x14ac:dyDescent="0.3">
      <c r="A575" s="166"/>
      <c r="B575" s="583"/>
      <c r="C575" s="957"/>
      <c r="D575" s="957"/>
      <c r="E575" s="957"/>
      <c r="F575" s="957"/>
      <c r="G575" s="120"/>
      <c r="H575" s="120"/>
      <c r="I575" s="120"/>
      <c r="J575" s="120"/>
      <c r="K575" s="957"/>
      <c r="L575" s="120"/>
      <c r="M575" s="120"/>
      <c r="N575" s="120"/>
      <c r="O575" s="120"/>
      <c r="P575" s="957"/>
      <c r="Q575" s="120"/>
      <c r="R575" s="120"/>
      <c r="S575" s="120"/>
      <c r="T575" s="120"/>
      <c r="U575" s="957"/>
      <c r="V575" s="120"/>
      <c r="W575" s="120"/>
      <c r="X575" s="120"/>
      <c r="Y575" s="120"/>
      <c r="Z575" s="957"/>
      <c r="AA575" s="120"/>
      <c r="AB575" s="120"/>
      <c r="AC575" s="120"/>
      <c r="AD575" s="120"/>
      <c r="AE575" s="957"/>
      <c r="AF575" s="120"/>
      <c r="AG575" s="120"/>
      <c r="AH575" s="120"/>
      <c r="AI575" s="120"/>
      <c r="AJ575" s="957"/>
      <c r="AK575" s="120"/>
      <c r="AL575" s="120"/>
      <c r="AM575" s="120"/>
      <c r="AN575" s="120"/>
      <c r="AO575" s="957"/>
      <c r="AP575" s="120"/>
      <c r="AQ575" s="120"/>
      <c r="AR575" s="120"/>
      <c r="AS575" s="120"/>
      <c r="AT575" s="957"/>
      <c r="AU575" s="120"/>
      <c r="AV575" s="120"/>
      <c r="AW575" s="120"/>
      <c r="AX575" s="120"/>
      <c r="AY575" s="957"/>
      <c r="AZ575" s="120"/>
      <c r="BA575" s="120"/>
      <c r="BB575" s="120"/>
      <c r="BC575" s="120"/>
      <c r="BD575" s="957"/>
      <c r="BE575" s="120"/>
      <c r="BF575" s="120"/>
      <c r="BG575" s="120"/>
      <c r="BH575" s="120"/>
      <c r="BI575" s="957"/>
      <c r="BJ575" s="120"/>
      <c r="BK575" s="120"/>
      <c r="BL575" s="120"/>
      <c r="BM575" s="120"/>
      <c r="BN575" s="957"/>
      <c r="BO575" s="120"/>
      <c r="BP575" s="120"/>
      <c r="BQ575" s="120"/>
      <c r="BR575" s="120"/>
      <c r="BS575" s="957"/>
      <c r="BT575" s="694"/>
      <c r="BU575" s="120"/>
      <c r="BV575" s="120"/>
      <c r="BW575" s="120"/>
      <c r="BX575" s="957"/>
      <c r="BY575" s="120"/>
      <c r="BZ575" s="120"/>
      <c r="CA575" s="120"/>
      <c r="CB575" s="120"/>
      <c r="CC575" s="957"/>
      <c r="CD575" s="957"/>
      <c r="CE575" s="957"/>
      <c r="CF575" s="957"/>
      <c r="CG575" s="615"/>
    </row>
    <row r="576" spans="1:85" s="462" customFormat="1" ht="14.4" x14ac:dyDescent="0.3">
      <c r="A576" s="732" t="s">
        <v>1336</v>
      </c>
      <c r="B576" s="732"/>
      <c r="C576" s="732"/>
      <c r="D576" s="732"/>
      <c r="E576" s="732"/>
      <c r="F576" s="732"/>
      <c r="G576" s="732"/>
      <c r="H576" s="732"/>
      <c r="I576" s="732"/>
      <c r="J576" s="732"/>
      <c r="K576" s="732"/>
      <c r="L576" s="732"/>
      <c r="M576" s="732"/>
      <c r="N576" s="732"/>
      <c r="O576" s="732"/>
      <c r="P576" s="732"/>
      <c r="Q576" s="732"/>
      <c r="R576" s="732"/>
      <c r="S576" s="732"/>
      <c r="T576" s="732"/>
      <c r="U576" s="732"/>
      <c r="V576" s="732"/>
      <c r="W576" s="732"/>
      <c r="X576" s="732"/>
      <c r="Y576" s="732"/>
      <c r="Z576" s="732"/>
      <c r="AA576" s="732"/>
      <c r="AB576" s="732"/>
      <c r="AC576" s="732"/>
      <c r="AD576" s="732"/>
      <c r="AE576" s="732"/>
      <c r="AF576" s="732"/>
      <c r="AG576" s="732"/>
      <c r="AH576" s="732"/>
      <c r="AI576" s="732"/>
      <c r="AJ576" s="732"/>
      <c r="AK576" s="732"/>
      <c r="AL576" s="732"/>
      <c r="AM576" s="732"/>
      <c r="AN576" s="732"/>
      <c r="AO576" s="732"/>
      <c r="AP576" s="732"/>
      <c r="AQ576" s="732"/>
      <c r="AR576" s="732"/>
      <c r="AS576" s="732"/>
      <c r="AT576" s="732"/>
      <c r="AU576" s="732"/>
      <c r="AV576" s="732"/>
      <c r="AW576" s="732"/>
      <c r="AX576" s="732"/>
      <c r="AY576" s="732"/>
      <c r="AZ576" s="732"/>
      <c r="BA576" s="732"/>
      <c r="BB576" s="732"/>
      <c r="BC576" s="732"/>
      <c r="BD576" s="732"/>
      <c r="BE576" s="732"/>
      <c r="BF576" s="732"/>
      <c r="BG576" s="732"/>
      <c r="BH576" s="732"/>
      <c r="BI576" s="732"/>
      <c r="BJ576" s="732"/>
      <c r="BK576" s="732"/>
      <c r="BL576" s="732"/>
      <c r="BM576" s="732"/>
      <c r="BN576" s="732"/>
      <c r="BO576" s="732"/>
      <c r="BP576" s="732"/>
      <c r="BQ576" s="732"/>
      <c r="BR576" s="732"/>
      <c r="BS576" s="732"/>
      <c r="BT576" s="733"/>
      <c r="BU576" s="732"/>
      <c r="BV576" s="732"/>
      <c r="BW576" s="732"/>
      <c r="BX576" s="732"/>
      <c r="BY576" s="732"/>
      <c r="BZ576" s="732"/>
      <c r="CA576" s="732"/>
      <c r="CB576" s="732"/>
      <c r="CC576" s="732"/>
      <c r="CD576" s="732"/>
      <c r="CE576" s="732"/>
      <c r="CF576" s="732"/>
      <c r="CG576" s="614"/>
    </row>
    <row r="577" spans="1:85" s="461" customFormat="1" ht="14.4" hidden="1" outlineLevel="1" x14ac:dyDescent="0.3">
      <c r="A577" s="166" t="s">
        <v>1337</v>
      </c>
      <c r="B577" s="583"/>
      <c r="C577" s="957"/>
      <c r="D577" s="957"/>
      <c r="E577" s="957"/>
      <c r="F577" s="957"/>
      <c r="G577" s="120"/>
      <c r="H577" s="120"/>
      <c r="I577" s="120"/>
      <c r="J577" s="120"/>
      <c r="K577" s="957"/>
      <c r="L577" s="120"/>
      <c r="M577" s="120"/>
      <c r="N577" s="120"/>
      <c r="O577" s="120"/>
      <c r="P577" s="957"/>
      <c r="Q577" s="120"/>
      <c r="R577" s="120"/>
      <c r="S577" s="120"/>
      <c r="T577" s="120"/>
      <c r="U577" s="957"/>
      <c r="V577" s="120"/>
      <c r="W577" s="120"/>
      <c r="X577" s="120"/>
      <c r="Y577" s="120"/>
      <c r="Z577" s="957"/>
      <c r="AA577" s="120"/>
      <c r="AB577" s="120"/>
      <c r="AC577" s="120"/>
      <c r="AD577" s="120"/>
      <c r="AE577" s="957"/>
      <c r="AF577" s="120"/>
      <c r="AG577" s="120"/>
      <c r="AH577" s="120"/>
      <c r="AI577" s="120"/>
      <c r="AJ577" s="957"/>
      <c r="AK577" s="120"/>
      <c r="AL577" s="120"/>
      <c r="AM577" s="120"/>
      <c r="AN577" s="120"/>
      <c r="AO577" s="983">
        <v>528</v>
      </c>
      <c r="AP577" s="120"/>
      <c r="AQ577" s="120"/>
      <c r="AR577" s="120"/>
      <c r="AS577" s="120"/>
      <c r="AT577" s="983">
        <v>502</v>
      </c>
      <c r="AU577" s="120"/>
      <c r="AV577" s="120"/>
      <c r="AW577" s="120"/>
      <c r="AX577" s="120"/>
      <c r="AY577" s="983">
        <v>593</v>
      </c>
      <c r="AZ577" s="120"/>
      <c r="BA577" s="120"/>
      <c r="BB577" s="120"/>
      <c r="BC577" s="120"/>
      <c r="BD577" s="983">
        <v>812</v>
      </c>
      <c r="BE577" s="120"/>
      <c r="BF577" s="120"/>
      <c r="BG577" s="120"/>
      <c r="BH577" s="120"/>
      <c r="BI577" s="983">
        <v>885</v>
      </c>
      <c r="BJ577" s="120"/>
      <c r="BK577" s="120"/>
      <c r="BL577" s="120"/>
      <c r="BM577" s="120"/>
      <c r="BN577" s="983">
        <v>1024</v>
      </c>
      <c r="BO577" s="120"/>
      <c r="BP577" s="120"/>
      <c r="BQ577" s="120"/>
      <c r="BR577" s="120"/>
      <c r="BS577" s="983">
        <v>988</v>
      </c>
      <c r="BT577" s="694"/>
      <c r="BU577" s="120"/>
      <c r="BV577" s="120"/>
      <c r="BW577" s="120"/>
      <c r="BX577" s="957"/>
      <c r="BY577" s="120"/>
      <c r="BZ577" s="120"/>
      <c r="CA577" s="120"/>
      <c r="CB577" s="120"/>
      <c r="CC577" s="957"/>
      <c r="CD577" s="957"/>
      <c r="CE577" s="957"/>
      <c r="CF577" s="957"/>
      <c r="CG577" s="615"/>
    </row>
    <row r="578" spans="1:85" s="460" customFormat="1" ht="14.4" hidden="1" outlineLevel="1" x14ac:dyDescent="0.3">
      <c r="A578" s="159" t="s">
        <v>1338</v>
      </c>
      <c r="B578" s="586"/>
      <c r="C578" s="150"/>
      <c r="D578" s="150"/>
      <c r="E578" s="150"/>
      <c r="F578" s="150"/>
      <c r="G578" s="117"/>
      <c r="H578" s="117"/>
      <c r="I578" s="117"/>
      <c r="J578" s="117"/>
      <c r="K578" s="150"/>
      <c r="L578" s="117"/>
      <c r="M578" s="117"/>
      <c r="N578" s="117"/>
      <c r="O578" s="117"/>
      <c r="P578" s="150"/>
      <c r="Q578" s="117"/>
      <c r="R578" s="117"/>
      <c r="S578" s="117"/>
      <c r="T578" s="117"/>
      <c r="U578" s="150"/>
      <c r="V578" s="117"/>
      <c r="W578" s="117"/>
      <c r="X578" s="117"/>
      <c r="Y578" s="117"/>
      <c r="Z578" s="150"/>
      <c r="AA578" s="117"/>
      <c r="AB578" s="117"/>
      <c r="AC578" s="117"/>
      <c r="AD578" s="117"/>
      <c r="AE578" s="150"/>
      <c r="AF578" s="117"/>
      <c r="AG578" s="117"/>
      <c r="AH578" s="117"/>
      <c r="AI578" s="117"/>
      <c r="AJ578" s="150"/>
      <c r="AK578" s="117"/>
      <c r="AL578" s="117"/>
      <c r="AM578" s="117"/>
      <c r="AN578" s="117"/>
      <c r="AO578" s="975">
        <v>-120</v>
      </c>
      <c r="AP578" s="117"/>
      <c r="AQ578" s="117"/>
      <c r="AR578" s="117"/>
      <c r="AS578" s="117"/>
      <c r="AT578" s="975">
        <v>-71</v>
      </c>
      <c r="AU578" s="117"/>
      <c r="AV578" s="117"/>
      <c r="AW578" s="117"/>
      <c r="AX578" s="117"/>
      <c r="AY578" s="975">
        <v>107</v>
      </c>
      <c r="AZ578" s="117"/>
      <c r="BA578" s="117"/>
      <c r="BB578" s="117"/>
      <c r="BC578" s="117"/>
      <c r="BD578" s="975">
        <v>18</v>
      </c>
      <c r="BE578" s="117"/>
      <c r="BF578" s="117"/>
      <c r="BG578" s="117"/>
      <c r="BH578" s="117"/>
      <c r="BI578" s="975">
        <v>-110</v>
      </c>
      <c r="BJ578" s="117"/>
      <c r="BK578" s="117"/>
      <c r="BL578" s="117"/>
      <c r="BM578" s="117"/>
      <c r="BN578" s="975">
        <v>-41</v>
      </c>
      <c r="BO578" s="117"/>
      <c r="BP578" s="117"/>
      <c r="BQ578" s="117"/>
      <c r="BR578" s="117"/>
      <c r="BS578" s="975">
        <v>3</v>
      </c>
      <c r="BT578" s="691"/>
      <c r="BU578" s="117"/>
      <c r="BV578" s="117"/>
      <c r="BW578" s="117"/>
      <c r="BX578" s="150"/>
      <c r="BY578" s="117"/>
      <c r="BZ578" s="117"/>
      <c r="CA578" s="117"/>
      <c r="CB578" s="117"/>
      <c r="CC578" s="150"/>
      <c r="CD578" s="150"/>
      <c r="CE578" s="150"/>
      <c r="CF578" s="150"/>
      <c r="CG578" s="587"/>
    </row>
    <row r="579" spans="1:85" s="460" customFormat="1" ht="14.4" hidden="1" outlineLevel="1" x14ac:dyDescent="0.3">
      <c r="A579" s="159" t="s">
        <v>1339</v>
      </c>
      <c r="B579" s="586"/>
      <c r="C579" s="150"/>
      <c r="D579" s="150"/>
      <c r="E579" s="150"/>
      <c r="F579" s="150"/>
      <c r="G579" s="117"/>
      <c r="H579" s="117"/>
      <c r="I579" s="117"/>
      <c r="J579" s="117"/>
      <c r="K579" s="150"/>
      <c r="L579" s="117"/>
      <c r="M579" s="117"/>
      <c r="N579" s="117"/>
      <c r="O579" s="117"/>
      <c r="P579" s="150"/>
      <c r="Q579" s="117"/>
      <c r="R579" s="117"/>
      <c r="S579" s="117"/>
      <c r="T579" s="117"/>
      <c r="U579" s="150"/>
      <c r="V579" s="117"/>
      <c r="W579" s="117"/>
      <c r="X579" s="117"/>
      <c r="Y579" s="117"/>
      <c r="Z579" s="150"/>
      <c r="AA579" s="117"/>
      <c r="AB579" s="117"/>
      <c r="AC579" s="117"/>
      <c r="AD579" s="117"/>
      <c r="AE579" s="150"/>
      <c r="AF579" s="117"/>
      <c r="AG579" s="117"/>
      <c r="AH579" s="117"/>
      <c r="AI579" s="117"/>
      <c r="AJ579" s="150"/>
      <c r="AK579" s="117"/>
      <c r="AL579" s="117"/>
      <c r="AM579" s="117"/>
      <c r="AN579" s="117"/>
      <c r="AO579" s="975">
        <v>0</v>
      </c>
      <c r="AP579" s="117"/>
      <c r="AQ579" s="117"/>
      <c r="AR579" s="117"/>
      <c r="AS579" s="117"/>
      <c r="AT579" s="975">
        <v>0</v>
      </c>
      <c r="AU579" s="117"/>
      <c r="AV579" s="117"/>
      <c r="AW579" s="117"/>
      <c r="AX579" s="117"/>
      <c r="AY579" s="975">
        <v>0</v>
      </c>
      <c r="AZ579" s="117"/>
      <c r="BA579" s="117"/>
      <c r="BB579" s="117"/>
      <c r="BC579" s="117"/>
      <c r="BD579" s="975">
        <v>0</v>
      </c>
      <c r="BE579" s="117"/>
      <c r="BF579" s="117"/>
      <c r="BG579" s="117"/>
      <c r="BH579" s="117"/>
      <c r="BI579" s="975">
        <v>0</v>
      </c>
      <c r="BJ579" s="117"/>
      <c r="BK579" s="117"/>
      <c r="BL579" s="117"/>
      <c r="BM579" s="117"/>
      <c r="BN579" s="975">
        <v>0</v>
      </c>
      <c r="BO579" s="117"/>
      <c r="BP579" s="117"/>
      <c r="BQ579" s="117"/>
      <c r="BR579" s="117"/>
      <c r="BS579" s="150"/>
      <c r="BT579" s="691"/>
      <c r="BU579" s="117"/>
      <c r="BV579" s="117"/>
      <c r="BW579" s="117"/>
      <c r="BX579" s="150"/>
      <c r="BY579" s="117"/>
      <c r="BZ579" s="117"/>
      <c r="CA579" s="117"/>
      <c r="CB579" s="117"/>
      <c r="CC579" s="150"/>
      <c r="CD579" s="150"/>
      <c r="CE579" s="150"/>
      <c r="CF579" s="150"/>
      <c r="CG579" s="587"/>
    </row>
    <row r="580" spans="1:85" s="460" customFormat="1" ht="14.4" hidden="1" outlineLevel="1" x14ac:dyDescent="0.3">
      <c r="A580" s="159" t="s">
        <v>1340</v>
      </c>
      <c r="B580" s="586"/>
      <c r="C580" s="150"/>
      <c r="D580" s="150"/>
      <c r="E580" s="150"/>
      <c r="F580" s="150"/>
      <c r="G580" s="117"/>
      <c r="H580" s="117"/>
      <c r="I580" s="117"/>
      <c r="J580" s="117"/>
      <c r="K580" s="150"/>
      <c r="L580" s="117"/>
      <c r="M580" s="117"/>
      <c r="N580" s="117"/>
      <c r="O580" s="117"/>
      <c r="P580" s="150"/>
      <c r="Q580" s="117"/>
      <c r="R580" s="117"/>
      <c r="S580" s="117"/>
      <c r="T580" s="117"/>
      <c r="U580" s="150"/>
      <c r="V580" s="117"/>
      <c r="W580" s="117"/>
      <c r="X580" s="117"/>
      <c r="Y580" s="117"/>
      <c r="Z580" s="150"/>
      <c r="AA580" s="117"/>
      <c r="AB580" s="117"/>
      <c r="AC580" s="117"/>
      <c r="AD580" s="117"/>
      <c r="AE580" s="150"/>
      <c r="AF580" s="117"/>
      <c r="AG580" s="117"/>
      <c r="AH580" s="117"/>
      <c r="AI580" s="117"/>
      <c r="AJ580" s="150"/>
      <c r="AK580" s="117"/>
      <c r="AL580" s="117"/>
      <c r="AM580" s="117"/>
      <c r="AN580" s="117"/>
      <c r="AO580" s="975">
        <v>140</v>
      </c>
      <c r="AP580" s="117"/>
      <c r="AQ580" s="117"/>
      <c r="AR580" s="117"/>
      <c r="AS580" s="117"/>
      <c r="AT580" s="975">
        <v>60</v>
      </c>
      <c r="AU580" s="117"/>
      <c r="AV580" s="117"/>
      <c r="AW580" s="117"/>
      <c r="AX580" s="117"/>
      <c r="AY580" s="975">
        <v>190</v>
      </c>
      <c r="AZ580" s="117"/>
      <c r="BA580" s="117"/>
      <c r="BB580" s="117"/>
      <c r="BC580" s="117"/>
      <c r="BD580" s="975">
        <v>163</v>
      </c>
      <c r="BE580" s="117"/>
      <c r="BF580" s="117"/>
      <c r="BG580" s="117"/>
      <c r="BH580" s="117"/>
      <c r="BI580" s="975">
        <v>92</v>
      </c>
      <c r="BJ580" s="117"/>
      <c r="BK580" s="117"/>
      <c r="BL580" s="117"/>
      <c r="BM580" s="117"/>
      <c r="BN580" s="975">
        <v>124</v>
      </c>
      <c r="BO580" s="117"/>
      <c r="BP580" s="117"/>
      <c r="BQ580" s="117"/>
      <c r="BR580" s="117"/>
      <c r="BS580" s="975">
        <v>103</v>
      </c>
      <c r="BT580" s="691"/>
      <c r="BU580" s="117"/>
      <c r="BV580" s="117"/>
      <c r="BW580" s="117"/>
      <c r="BX580" s="150"/>
      <c r="BY580" s="117"/>
      <c r="BZ580" s="117"/>
      <c r="CA580" s="117"/>
      <c r="CB580" s="117"/>
      <c r="CC580" s="150"/>
      <c r="CD580" s="150"/>
      <c r="CE580" s="150"/>
      <c r="CF580" s="150"/>
      <c r="CG580" s="587"/>
    </row>
    <row r="581" spans="1:85" s="460" customFormat="1" ht="14.4" hidden="1" outlineLevel="1" x14ac:dyDescent="0.3">
      <c r="A581" s="159" t="s">
        <v>1341</v>
      </c>
      <c r="B581" s="586"/>
      <c r="C581" s="150"/>
      <c r="D581" s="150"/>
      <c r="E581" s="150"/>
      <c r="F581" s="150"/>
      <c r="G581" s="117"/>
      <c r="H581" s="117"/>
      <c r="I581" s="117"/>
      <c r="J581" s="117"/>
      <c r="K581" s="150"/>
      <c r="L581" s="117"/>
      <c r="M581" s="117"/>
      <c r="N581" s="117"/>
      <c r="O581" s="117"/>
      <c r="P581" s="150"/>
      <c r="Q581" s="117"/>
      <c r="R581" s="117"/>
      <c r="S581" s="117"/>
      <c r="T581" s="117"/>
      <c r="U581" s="150"/>
      <c r="V581" s="117"/>
      <c r="W581" s="117"/>
      <c r="X581" s="117"/>
      <c r="Y581" s="117"/>
      <c r="Z581" s="150"/>
      <c r="AA581" s="117"/>
      <c r="AB581" s="117"/>
      <c r="AC581" s="117"/>
      <c r="AD581" s="117"/>
      <c r="AE581" s="150"/>
      <c r="AF581" s="117"/>
      <c r="AG581" s="117"/>
      <c r="AH581" s="117"/>
      <c r="AI581" s="117"/>
      <c r="AJ581" s="150"/>
      <c r="AK581" s="117"/>
      <c r="AL581" s="117"/>
      <c r="AM581" s="117"/>
      <c r="AN581" s="117"/>
      <c r="AO581" s="975">
        <v>5</v>
      </c>
      <c r="AP581" s="117"/>
      <c r="AQ581" s="117"/>
      <c r="AR581" s="117"/>
      <c r="AS581" s="117"/>
      <c r="AT581" s="975">
        <v>198</v>
      </c>
      <c r="AU581" s="117"/>
      <c r="AV581" s="117"/>
      <c r="AW581" s="117"/>
      <c r="AX581" s="117"/>
      <c r="AY581" s="975">
        <v>8</v>
      </c>
      <c r="AZ581" s="117"/>
      <c r="BA581" s="117"/>
      <c r="BB581" s="117"/>
      <c r="BC581" s="117"/>
      <c r="BD581" s="975">
        <v>14</v>
      </c>
      <c r="BE581" s="117"/>
      <c r="BF581" s="117"/>
      <c r="BG581" s="117"/>
      <c r="BH581" s="117"/>
      <c r="BI581" s="975">
        <v>262</v>
      </c>
      <c r="BJ581" s="117"/>
      <c r="BK581" s="117"/>
      <c r="BL581" s="117"/>
      <c r="BM581" s="117"/>
      <c r="BN581" s="975">
        <v>20</v>
      </c>
      <c r="BO581" s="117"/>
      <c r="BP581" s="117"/>
      <c r="BQ581" s="117"/>
      <c r="BR581" s="117"/>
      <c r="BS581" s="975">
        <v>273</v>
      </c>
      <c r="BT581" s="691"/>
      <c r="BU581" s="117"/>
      <c r="BV581" s="117"/>
      <c r="BW581" s="117"/>
      <c r="BX581" s="150"/>
      <c r="BY581" s="117"/>
      <c r="BZ581" s="117"/>
      <c r="CA581" s="117"/>
      <c r="CB581" s="117"/>
      <c r="CC581" s="150"/>
      <c r="CD581" s="150"/>
      <c r="CE581" s="150"/>
      <c r="CF581" s="150"/>
      <c r="CG581" s="587"/>
    </row>
    <row r="582" spans="1:85" s="460" customFormat="1" ht="14.4" hidden="1" outlineLevel="1" x14ac:dyDescent="0.3">
      <c r="A582" s="159" t="s">
        <v>1342</v>
      </c>
      <c r="B582" s="586"/>
      <c r="C582" s="150"/>
      <c r="D582" s="150"/>
      <c r="E582" s="150"/>
      <c r="F582" s="150"/>
      <c r="G582" s="117"/>
      <c r="H582" s="117"/>
      <c r="I582" s="117"/>
      <c r="J582" s="117"/>
      <c r="K582" s="150"/>
      <c r="L582" s="117"/>
      <c r="M582" s="117"/>
      <c r="N582" s="117"/>
      <c r="O582" s="117"/>
      <c r="P582" s="150"/>
      <c r="Q582" s="117"/>
      <c r="R582" s="117"/>
      <c r="S582" s="117"/>
      <c r="T582" s="117"/>
      <c r="U582" s="150"/>
      <c r="V582" s="117"/>
      <c r="W582" s="117"/>
      <c r="X582" s="117"/>
      <c r="Y582" s="117"/>
      <c r="Z582" s="150"/>
      <c r="AA582" s="117"/>
      <c r="AB582" s="117"/>
      <c r="AC582" s="117"/>
      <c r="AD582" s="117"/>
      <c r="AE582" s="150"/>
      <c r="AF582" s="117"/>
      <c r="AG582" s="117"/>
      <c r="AH582" s="117"/>
      <c r="AI582" s="117"/>
      <c r="AJ582" s="150"/>
      <c r="AK582" s="117"/>
      <c r="AL582" s="117"/>
      <c r="AM582" s="117"/>
      <c r="AN582" s="117"/>
      <c r="AO582" s="975">
        <v>0</v>
      </c>
      <c r="AP582" s="117"/>
      <c r="AQ582" s="117"/>
      <c r="AR582" s="117"/>
      <c r="AS582" s="117"/>
      <c r="AT582" s="975">
        <v>-27</v>
      </c>
      <c r="AU582" s="117"/>
      <c r="AV582" s="117"/>
      <c r="AW582" s="117"/>
      <c r="AX582" s="117"/>
      <c r="AY582" s="975">
        <v>-8</v>
      </c>
      <c r="AZ582" s="117"/>
      <c r="BA582" s="117"/>
      <c r="BB582" s="117"/>
      <c r="BC582" s="117"/>
      <c r="BD582" s="975">
        <v>-35</v>
      </c>
      <c r="BE582" s="117"/>
      <c r="BF582" s="117"/>
      <c r="BG582" s="117"/>
      <c r="BH582" s="117"/>
      <c r="BI582" s="975">
        <v>0</v>
      </c>
      <c r="BJ582" s="117"/>
      <c r="BK582" s="117"/>
      <c r="BL582" s="117"/>
      <c r="BM582" s="117"/>
      <c r="BN582" s="975">
        <v>-3</v>
      </c>
      <c r="BO582" s="117"/>
      <c r="BP582" s="117"/>
      <c r="BQ582" s="117"/>
      <c r="BR582" s="117"/>
      <c r="BS582" s="975">
        <v>-3</v>
      </c>
      <c r="BT582" s="691"/>
      <c r="BU582" s="117"/>
      <c r="BV582" s="117"/>
      <c r="BW582" s="117"/>
      <c r="BX582" s="150"/>
      <c r="BY582" s="117"/>
      <c r="BZ582" s="117"/>
      <c r="CA582" s="117"/>
      <c r="CB582" s="117"/>
      <c r="CC582" s="150"/>
      <c r="CD582" s="150"/>
      <c r="CE582" s="150"/>
      <c r="CF582" s="150"/>
      <c r="CG582" s="587"/>
    </row>
    <row r="583" spans="1:85" s="460" customFormat="1" ht="14.4" hidden="1" outlineLevel="1" x14ac:dyDescent="0.3">
      <c r="A583" s="262" t="s">
        <v>1343</v>
      </c>
      <c r="B583" s="588"/>
      <c r="C583" s="954"/>
      <c r="D583" s="954"/>
      <c r="E583" s="954"/>
      <c r="F583" s="954"/>
      <c r="G583" s="133"/>
      <c r="H583" s="133"/>
      <c r="I583" s="133"/>
      <c r="J583" s="133"/>
      <c r="K583" s="954"/>
      <c r="L583" s="133"/>
      <c r="M583" s="133"/>
      <c r="N583" s="133"/>
      <c r="O583" s="133"/>
      <c r="P583" s="954"/>
      <c r="Q583" s="133"/>
      <c r="R583" s="133"/>
      <c r="S583" s="133"/>
      <c r="T583" s="133"/>
      <c r="U583" s="954"/>
      <c r="V583" s="133"/>
      <c r="W583" s="133"/>
      <c r="X583" s="133"/>
      <c r="Y583" s="133"/>
      <c r="Z583" s="954"/>
      <c r="AA583" s="133"/>
      <c r="AB583" s="133"/>
      <c r="AC583" s="133"/>
      <c r="AD583" s="133"/>
      <c r="AE583" s="954"/>
      <c r="AF583" s="133"/>
      <c r="AG583" s="133"/>
      <c r="AH583" s="133"/>
      <c r="AI583" s="133"/>
      <c r="AJ583" s="954"/>
      <c r="AK583" s="133"/>
      <c r="AL583" s="133"/>
      <c r="AM583" s="133"/>
      <c r="AN583" s="133"/>
      <c r="AO583" s="976">
        <v>-51</v>
      </c>
      <c r="AP583" s="133"/>
      <c r="AQ583" s="133"/>
      <c r="AR583" s="133"/>
      <c r="AS583" s="133"/>
      <c r="AT583" s="976">
        <v>-69</v>
      </c>
      <c r="AU583" s="133"/>
      <c r="AV583" s="133"/>
      <c r="AW583" s="133"/>
      <c r="AX583" s="133"/>
      <c r="AY583" s="976">
        <v>-78</v>
      </c>
      <c r="AZ583" s="133"/>
      <c r="BA583" s="133"/>
      <c r="BB583" s="133"/>
      <c r="BC583" s="133"/>
      <c r="BD583" s="976">
        <v>-87</v>
      </c>
      <c r="BE583" s="133"/>
      <c r="BF583" s="133"/>
      <c r="BG583" s="133"/>
      <c r="BH583" s="133"/>
      <c r="BI583" s="976">
        <v>-105</v>
      </c>
      <c r="BJ583" s="133"/>
      <c r="BK583" s="133"/>
      <c r="BL583" s="133"/>
      <c r="BM583" s="133"/>
      <c r="BN583" s="976">
        <v>-136</v>
      </c>
      <c r="BO583" s="133"/>
      <c r="BP583" s="133"/>
      <c r="BQ583" s="133"/>
      <c r="BR583" s="133"/>
      <c r="BS583" s="976">
        <v>-159</v>
      </c>
      <c r="BT583" s="692"/>
      <c r="BU583" s="133"/>
      <c r="BV583" s="133"/>
      <c r="BW583" s="133"/>
      <c r="BX583" s="954"/>
      <c r="BY583" s="133"/>
      <c r="BZ583" s="133"/>
      <c r="CA583" s="133"/>
      <c r="CB583" s="133"/>
      <c r="CC583" s="954"/>
      <c r="CD583" s="954"/>
      <c r="CE583" s="954"/>
      <c r="CF583" s="954"/>
      <c r="CG583" s="587"/>
    </row>
    <row r="584" spans="1:85" s="461" customFormat="1" ht="14.4" hidden="1" outlineLevel="1" x14ac:dyDescent="0.3">
      <c r="A584" s="166" t="s">
        <v>1344</v>
      </c>
      <c r="B584" s="583"/>
      <c r="C584" s="957"/>
      <c r="D584" s="957"/>
      <c r="E584" s="957"/>
      <c r="F584" s="957"/>
      <c r="G584" s="120"/>
      <c r="H584" s="120"/>
      <c r="I584" s="120"/>
      <c r="J584" s="120"/>
      <c r="K584" s="957"/>
      <c r="L584" s="120"/>
      <c r="M584" s="120"/>
      <c r="N584" s="120"/>
      <c r="O584" s="120"/>
      <c r="P584" s="957"/>
      <c r="Q584" s="120"/>
      <c r="R584" s="120"/>
      <c r="S584" s="120"/>
      <c r="T584" s="120"/>
      <c r="U584" s="957"/>
      <c r="V584" s="120"/>
      <c r="W584" s="120"/>
      <c r="X584" s="120"/>
      <c r="Y584" s="120"/>
      <c r="Z584" s="957"/>
      <c r="AA584" s="120"/>
      <c r="AB584" s="120"/>
      <c r="AC584" s="120"/>
      <c r="AD584" s="120"/>
      <c r="AE584" s="957"/>
      <c r="AF584" s="120"/>
      <c r="AG584" s="120"/>
      <c r="AH584" s="120"/>
      <c r="AI584" s="120"/>
      <c r="AJ584" s="957"/>
      <c r="AK584" s="120"/>
      <c r="AL584" s="120"/>
      <c r="AM584" s="120"/>
      <c r="AN584" s="120"/>
      <c r="AO584" s="957">
        <f>SUM(AO577:AO583)</f>
        <v>502</v>
      </c>
      <c r="AP584" s="120"/>
      <c r="AQ584" s="120"/>
      <c r="AR584" s="120"/>
      <c r="AS584" s="120"/>
      <c r="AT584" s="957">
        <f>SUM(AT577:AT583)</f>
        <v>593</v>
      </c>
      <c r="AU584" s="120"/>
      <c r="AV584" s="120"/>
      <c r="AW584" s="120"/>
      <c r="AX584" s="120"/>
      <c r="AY584" s="957">
        <f>SUM(AY577:AY583)</f>
        <v>812</v>
      </c>
      <c r="AZ584" s="120"/>
      <c r="BA584" s="120"/>
      <c r="BB584" s="120"/>
      <c r="BC584" s="120"/>
      <c r="BD584" s="957">
        <f>SUM(BD577:BD583)</f>
        <v>885</v>
      </c>
      <c r="BE584" s="120"/>
      <c r="BF584" s="120"/>
      <c r="BG584" s="120"/>
      <c r="BH584" s="120"/>
      <c r="BI584" s="957">
        <f>SUM(BI577:BI583)</f>
        <v>1024</v>
      </c>
      <c r="BJ584" s="120"/>
      <c r="BK584" s="120"/>
      <c r="BL584" s="120"/>
      <c r="BM584" s="120"/>
      <c r="BN584" s="957">
        <f>SUM(BN577:BN583)</f>
        <v>988</v>
      </c>
      <c r="BO584" s="120"/>
      <c r="BP584" s="120"/>
      <c r="BQ584" s="120"/>
      <c r="BR584" s="120"/>
      <c r="BS584" s="957">
        <f>SUM(BS577:BS583)</f>
        <v>1205</v>
      </c>
      <c r="BT584" s="694"/>
      <c r="BU584" s="120"/>
      <c r="BV584" s="120"/>
      <c r="BW584" s="120"/>
      <c r="BX584" s="957"/>
      <c r="BY584" s="120"/>
      <c r="BZ584" s="120"/>
      <c r="CA584" s="120"/>
      <c r="CB584" s="120"/>
      <c r="CC584" s="957"/>
      <c r="CD584" s="957"/>
      <c r="CE584" s="957"/>
      <c r="CF584" s="957"/>
      <c r="CG584" s="615"/>
    </row>
    <row r="585" spans="1:85" s="461" customFormat="1" ht="14.4" hidden="1" outlineLevel="1" x14ac:dyDescent="0.3">
      <c r="A585" s="166" t="s">
        <v>1345</v>
      </c>
      <c r="B585" s="583"/>
      <c r="C585" s="957"/>
      <c r="D585" s="957"/>
      <c r="E585" s="957"/>
      <c r="F585" s="957"/>
      <c r="G585" s="120"/>
      <c r="H585" s="120"/>
      <c r="I585" s="120"/>
      <c r="J585" s="120"/>
      <c r="K585" s="957"/>
      <c r="L585" s="120"/>
      <c r="M585" s="120"/>
      <c r="N585" s="120"/>
      <c r="O585" s="120"/>
      <c r="P585" s="957"/>
      <c r="Q585" s="120"/>
      <c r="R585" s="120"/>
      <c r="S585" s="120"/>
      <c r="T585" s="120"/>
      <c r="U585" s="957"/>
      <c r="V585" s="120"/>
      <c r="W585" s="120"/>
      <c r="X585" s="120"/>
      <c r="Y585" s="120"/>
      <c r="Z585" s="957"/>
      <c r="AA585" s="120"/>
      <c r="AB585" s="120"/>
      <c r="AC585" s="120"/>
      <c r="AD585" s="120"/>
      <c r="AE585" s="957"/>
      <c r="AF585" s="120"/>
      <c r="AG585" s="120"/>
      <c r="AH585" s="120"/>
      <c r="AI585" s="120"/>
      <c r="AJ585" s="957"/>
      <c r="AK585" s="120"/>
      <c r="AL585" s="120"/>
      <c r="AM585" s="120"/>
      <c r="AN585" s="120"/>
      <c r="AO585" s="983">
        <v>22</v>
      </c>
      <c r="AP585" s="120"/>
      <c r="AQ585" s="120"/>
      <c r="AR585" s="120"/>
      <c r="AS585" s="120"/>
      <c r="AT585" s="983">
        <v>16</v>
      </c>
      <c r="AU585" s="120"/>
      <c r="AV585" s="120"/>
      <c r="AW585" s="120"/>
      <c r="AX585" s="120"/>
      <c r="AY585" s="983">
        <v>8</v>
      </c>
      <c r="AZ585" s="120"/>
      <c r="BA585" s="120"/>
      <c r="BB585" s="120"/>
      <c r="BC585" s="120"/>
      <c r="BD585" s="983">
        <v>15</v>
      </c>
      <c r="BE585" s="120"/>
      <c r="BF585" s="120"/>
      <c r="BG585" s="120"/>
      <c r="BH585" s="120"/>
      <c r="BI585" s="983">
        <v>17</v>
      </c>
      <c r="BJ585" s="120"/>
      <c r="BK585" s="120"/>
      <c r="BL585" s="120"/>
      <c r="BM585" s="120"/>
      <c r="BN585" s="983">
        <v>15</v>
      </c>
      <c r="BO585" s="120"/>
      <c r="BP585" s="120"/>
      <c r="BQ585" s="120"/>
      <c r="BR585" s="120"/>
      <c r="BS585" s="983">
        <v>0</v>
      </c>
      <c r="BT585" s="694"/>
      <c r="BU585" s="120"/>
      <c r="BV585" s="120"/>
      <c r="BW585" s="120"/>
      <c r="BX585" s="957"/>
      <c r="BY585" s="120"/>
      <c r="BZ585" s="120"/>
      <c r="CA585" s="120"/>
      <c r="CB585" s="120"/>
      <c r="CC585" s="957"/>
      <c r="CD585" s="957"/>
      <c r="CE585" s="957"/>
      <c r="CF585" s="957"/>
      <c r="CG585" s="615"/>
    </row>
    <row r="586" spans="1:85" s="460" customFormat="1" ht="14.4" hidden="1" outlineLevel="1" x14ac:dyDescent="0.3">
      <c r="A586" s="159" t="s">
        <v>1346</v>
      </c>
      <c r="B586" s="586"/>
      <c r="C586" s="150"/>
      <c r="D586" s="150"/>
      <c r="E586" s="150"/>
      <c r="F586" s="150"/>
      <c r="G586" s="117"/>
      <c r="H586" s="117"/>
      <c r="I586" s="117"/>
      <c r="J586" s="117"/>
      <c r="K586" s="150"/>
      <c r="L586" s="117"/>
      <c r="M586" s="117"/>
      <c r="N586" s="117"/>
      <c r="O586" s="117"/>
      <c r="P586" s="150"/>
      <c r="Q586" s="117"/>
      <c r="R586" s="117"/>
      <c r="S586" s="117"/>
      <c r="T586" s="117"/>
      <c r="U586" s="150"/>
      <c r="V586" s="117"/>
      <c r="W586" s="117"/>
      <c r="X586" s="117"/>
      <c r="Y586" s="117"/>
      <c r="Z586" s="150"/>
      <c r="AA586" s="117"/>
      <c r="AB586" s="117"/>
      <c r="AC586" s="117"/>
      <c r="AD586" s="117"/>
      <c r="AE586" s="150"/>
      <c r="AF586" s="117"/>
      <c r="AG586" s="117"/>
      <c r="AH586" s="117"/>
      <c r="AI586" s="117"/>
      <c r="AJ586" s="150"/>
      <c r="AK586" s="117"/>
      <c r="AL586" s="117"/>
      <c r="AM586" s="117"/>
      <c r="AN586" s="117"/>
      <c r="AO586" s="975">
        <v>-4</v>
      </c>
      <c r="AP586" s="117"/>
      <c r="AQ586" s="117"/>
      <c r="AR586" s="117"/>
      <c r="AS586" s="117"/>
      <c r="AT586" s="975">
        <v>-7</v>
      </c>
      <c r="AU586" s="117"/>
      <c r="AV586" s="117"/>
      <c r="AW586" s="117"/>
      <c r="AX586" s="117"/>
      <c r="AY586" s="975">
        <v>5</v>
      </c>
      <c r="AZ586" s="117"/>
      <c r="BA586" s="117"/>
      <c r="BB586" s="117"/>
      <c r="BC586" s="117"/>
      <c r="BD586" s="975">
        <v>0</v>
      </c>
      <c r="BE586" s="117"/>
      <c r="BF586" s="117"/>
      <c r="BG586" s="117"/>
      <c r="BH586" s="117"/>
      <c r="BI586" s="975">
        <v>0</v>
      </c>
      <c r="BJ586" s="117"/>
      <c r="BK586" s="117"/>
      <c r="BL586" s="117"/>
      <c r="BM586" s="117"/>
      <c r="BN586" s="975">
        <v>0</v>
      </c>
      <c r="BO586" s="117"/>
      <c r="BP586" s="117"/>
      <c r="BQ586" s="117"/>
      <c r="BR586" s="117"/>
      <c r="BS586" s="975">
        <v>0</v>
      </c>
      <c r="BT586" s="691"/>
      <c r="BU586" s="117"/>
      <c r="BV586" s="117"/>
      <c r="BW586" s="117"/>
      <c r="BX586" s="150"/>
      <c r="BY586" s="117"/>
      <c r="BZ586" s="117"/>
      <c r="CA586" s="117"/>
      <c r="CB586" s="117"/>
      <c r="CC586" s="150"/>
      <c r="CD586" s="150"/>
      <c r="CE586" s="150"/>
      <c r="CF586" s="150"/>
      <c r="CG586" s="587"/>
    </row>
    <row r="587" spans="1:85" s="460" customFormat="1" ht="14.4" hidden="1" outlineLevel="1" x14ac:dyDescent="0.3">
      <c r="A587" s="159" t="s">
        <v>1347</v>
      </c>
      <c r="B587" s="586"/>
      <c r="C587" s="150"/>
      <c r="D587" s="150"/>
      <c r="E587" s="150"/>
      <c r="F587" s="150"/>
      <c r="G587" s="117"/>
      <c r="H587" s="117"/>
      <c r="I587" s="117"/>
      <c r="J587" s="117"/>
      <c r="K587" s="150"/>
      <c r="L587" s="117"/>
      <c r="M587" s="117"/>
      <c r="N587" s="117"/>
      <c r="O587" s="117"/>
      <c r="P587" s="150"/>
      <c r="Q587" s="117"/>
      <c r="R587" s="117"/>
      <c r="S587" s="117"/>
      <c r="T587" s="117"/>
      <c r="U587" s="150"/>
      <c r="V587" s="117"/>
      <c r="W587" s="117"/>
      <c r="X587" s="117"/>
      <c r="Y587" s="117"/>
      <c r="Z587" s="150"/>
      <c r="AA587" s="117"/>
      <c r="AB587" s="117"/>
      <c r="AC587" s="117"/>
      <c r="AD587" s="117"/>
      <c r="AE587" s="150"/>
      <c r="AF587" s="117"/>
      <c r="AG587" s="117"/>
      <c r="AH587" s="117"/>
      <c r="AI587" s="117"/>
      <c r="AJ587" s="150"/>
      <c r="AK587" s="117"/>
      <c r="AL587" s="117"/>
      <c r="AM587" s="117"/>
      <c r="AN587" s="117"/>
      <c r="AO587" s="975">
        <v>0</v>
      </c>
      <c r="AP587" s="117"/>
      <c r="AQ587" s="117"/>
      <c r="AR587" s="117"/>
      <c r="AS587" s="117"/>
      <c r="AT587" s="975">
        <v>0</v>
      </c>
      <c r="AU587" s="117"/>
      <c r="AV587" s="117"/>
      <c r="AW587" s="117"/>
      <c r="AX587" s="117"/>
      <c r="AY587" s="975">
        <v>0</v>
      </c>
      <c r="AZ587" s="117"/>
      <c r="BA587" s="117"/>
      <c r="BB587" s="117"/>
      <c r="BC587" s="117"/>
      <c r="BD587" s="975">
        <v>0</v>
      </c>
      <c r="BE587" s="117"/>
      <c r="BF587" s="117"/>
      <c r="BG587" s="117"/>
      <c r="BH587" s="117"/>
      <c r="BI587" s="975">
        <v>0</v>
      </c>
      <c r="BJ587" s="117"/>
      <c r="BK587" s="117"/>
      <c r="BL587" s="117"/>
      <c r="BM587" s="117"/>
      <c r="BN587" s="975">
        <v>0</v>
      </c>
      <c r="BO587" s="117"/>
      <c r="BP587" s="117"/>
      <c r="BQ587" s="117"/>
      <c r="BR587" s="117"/>
      <c r="BS587" s="975">
        <v>0</v>
      </c>
      <c r="BT587" s="691"/>
      <c r="BU587" s="117"/>
      <c r="BV587" s="117"/>
      <c r="BW587" s="117"/>
      <c r="BX587" s="150"/>
      <c r="BY587" s="117"/>
      <c r="BZ587" s="117"/>
      <c r="CA587" s="117"/>
      <c r="CB587" s="117"/>
      <c r="CC587" s="150"/>
      <c r="CD587" s="150"/>
      <c r="CE587" s="150"/>
      <c r="CF587" s="150"/>
      <c r="CG587" s="587"/>
    </row>
    <row r="588" spans="1:85" s="460" customFormat="1" ht="14.4" hidden="1" outlineLevel="1" x14ac:dyDescent="0.3">
      <c r="A588" s="159" t="s">
        <v>1348</v>
      </c>
      <c r="B588" s="586"/>
      <c r="C588" s="150"/>
      <c r="D588" s="150"/>
      <c r="E588" s="150"/>
      <c r="F588" s="150"/>
      <c r="G588" s="117"/>
      <c r="H588" s="117"/>
      <c r="I588" s="117"/>
      <c r="J588" s="117"/>
      <c r="K588" s="150"/>
      <c r="L588" s="117"/>
      <c r="M588" s="117"/>
      <c r="N588" s="117"/>
      <c r="O588" s="117"/>
      <c r="P588" s="150"/>
      <c r="Q588" s="117"/>
      <c r="R588" s="117"/>
      <c r="S588" s="117"/>
      <c r="T588" s="117"/>
      <c r="U588" s="150"/>
      <c r="V588" s="117"/>
      <c r="W588" s="117"/>
      <c r="X588" s="117"/>
      <c r="Y588" s="117"/>
      <c r="Z588" s="150"/>
      <c r="AA588" s="117"/>
      <c r="AB588" s="117"/>
      <c r="AC588" s="117"/>
      <c r="AD588" s="117"/>
      <c r="AE588" s="150"/>
      <c r="AF588" s="117"/>
      <c r="AG588" s="117"/>
      <c r="AH588" s="117"/>
      <c r="AI588" s="117"/>
      <c r="AJ588" s="150"/>
      <c r="AK588" s="117"/>
      <c r="AL588" s="117"/>
      <c r="AM588" s="117"/>
      <c r="AN588" s="117"/>
      <c r="AO588" s="975">
        <v>0</v>
      </c>
      <c r="AP588" s="117"/>
      <c r="AQ588" s="117"/>
      <c r="AR588" s="117"/>
      <c r="AS588" s="117"/>
      <c r="AT588" s="975">
        <v>1</v>
      </c>
      <c r="AU588" s="117"/>
      <c r="AV588" s="117"/>
      <c r="AW588" s="117"/>
      <c r="AX588" s="117"/>
      <c r="AY588" s="975">
        <v>4</v>
      </c>
      <c r="AZ588" s="117"/>
      <c r="BA588" s="117"/>
      <c r="BB588" s="117"/>
      <c r="BC588" s="117"/>
      <c r="BD588" s="975">
        <v>2</v>
      </c>
      <c r="BE588" s="117"/>
      <c r="BF588" s="117"/>
      <c r="BG588" s="117"/>
      <c r="BH588" s="117"/>
      <c r="BI588" s="975">
        <v>0</v>
      </c>
      <c r="BJ588" s="117"/>
      <c r="BK588" s="117"/>
      <c r="BL588" s="117"/>
      <c r="BM588" s="117"/>
      <c r="BN588" s="975">
        <v>0</v>
      </c>
      <c r="BO588" s="117"/>
      <c r="BP588" s="117"/>
      <c r="BQ588" s="117"/>
      <c r="BR588" s="117"/>
      <c r="BS588" s="975">
        <v>0</v>
      </c>
      <c r="BT588" s="691"/>
      <c r="BU588" s="117"/>
      <c r="BV588" s="117"/>
      <c r="BW588" s="117"/>
      <c r="BX588" s="150"/>
      <c r="BY588" s="117"/>
      <c r="BZ588" s="117"/>
      <c r="CA588" s="117"/>
      <c r="CB588" s="117"/>
      <c r="CC588" s="150"/>
      <c r="CD588" s="150"/>
      <c r="CE588" s="150"/>
      <c r="CF588" s="150"/>
      <c r="CG588" s="587"/>
    </row>
    <row r="589" spans="1:85" s="460" customFormat="1" ht="14.4" hidden="1" outlineLevel="1" x14ac:dyDescent="0.3">
      <c r="A589" s="159" t="s">
        <v>1349</v>
      </c>
      <c r="B589" s="586"/>
      <c r="C589" s="150"/>
      <c r="D589" s="150"/>
      <c r="E589" s="150"/>
      <c r="F589" s="150"/>
      <c r="G589" s="117"/>
      <c r="H589" s="117"/>
      <c r="I589" s="117"/>
      <c r="J589" s="117"/>
      <c r="K589" s="150"/>
      <c r="L589" s="117"/>
      <c r="M589" s="117"/>
      <c r="N589" s="117"/>
      <c r="O589" s="117"/>
      <c r="P589" s="150"/>
      <c r="Q589" s="117"/>
      <c r="R589" s="117"/>
      <c r="S589" s="117"/>
      <c r="T589" s="117"/>
      <c r="U589" s="150"/>
      <c r="V589" s="117"/>
      <c r="W589" s="117"/>
      <c r="X589" s="117"/>
      <c r="Y589" s="117"/>
      <c r="Z589" s="150"/>
      <c r="AA589" s="117"/>
      <c r="AB589" s="117"/>
      <c r="AC589" s="117"/>
      <c r="AD589" s="117"/>
      <c r="AE589" s="150"/>
      <c r="AF589" s="117"/>
      <c r="AG589" s="117"/>
      <c r="AH589" s="117"/>
      <c r="AI589" s="117"/>
      <c r="AJ589" s="150"/>
      <c r="AK589" s="117"/>
      <c r="AL589" s="117"/>
      <c r="AM589" s="117"/>
      <c r="AN589" s="117"/>
      <c r="AO589" s="975">
        <v>0</v>
      </c>
      <c r="AP589" s="117"/>
      <c r="AQ589" s="117"/>
      <c r="AR589" s="117"/>
      <c r="AS589" s="117"/>
      <c r="AT589" s="975">
        <v>0</v>
      </c>
      <c r="AU589" s="117"/>
      <c r="AV589" s="117"/>
      <c r="AW589" s="117"/>
      <c r="AX589" s="117"/>
      <c r="AY589" s="975">
        <v>0</v>
      </c>
      <c r="AZ589" s="117"/>
      <c r="BA589" s="117"/>
      <c r="BB589" s="117"/>
      <c r="BC589" s="117"/>
      <c r="BD589" s="975">
        <v>2</v>
      </c>
      <c r="BE589" s="117"/>
      <c r="BF589" s="117"/>
      <c r="BG589" s="117"/>
      <c r="BH589" s="117"/>
      <c r="BI589" s="975">
        <v>0</v>
      </c>
      <c r="BJ589" s="117"/>
      <c r="BK589" s="117"/>
      <c r="BL589" s="117"/>
      <c r="BM589" s="117"/>
      <c r="BN589" s="975">
        <v>0</v>
      </c>
      <c r="BO589" s="117"/>
      <c r="BP589" s="117"/>
      <c r="BQ589" s="117"/>
      <c r="BR589" s="117"/>
      <c r="BS589" s="975">
        <v>0</v>
      </c>
      <c r="BT589" s="691"/>
      <c r="BU589" s="117"/>
      <c r="BV589" s="117"/>
      <c r="BW589" s="117"/>
      <c r="BX589" s="150"/>
      <c r="BY589" s="117"/>
      <c r="BZ589" s="117"/>
      <c r="CA589" s="117"/>
      <c r="CB589" s="117"/>
      <c r="CC589" s="150"/>
      <c r="CD589" s="150"/>
      <c r="CE589" s="150"/>
      <c r="CF589" s="150"/>
      <c r="CG589" s="587"/>
    </row>
    <row r="590" spans="1:85" s="460" customFormat="1" ht="14.4" hidden="1" outlineLevel="1" x14ac:dyDescent="0.3">
      <c r="A590" s="159" t="s">
        <v>1350</v>
      </c>
      <c r="B590" s="586"/>
      <c r="C590" s="150"/>
      <c r="D590" s="150"/>
      <c r="E590" s="150"/>
      <c r="F590" s="150"/>
      <c r="G590" s="117"/>
      <c r="H590" s="117"/>
      <c r="I590" s="117"/>
      <c r="J590" s="117"/>
      <c r="K590" s="150"/>
      <c r="L590" s="117"/>
      <c r="M590" s="117"/>
      <c r="N590" s="117"/>
      <c r="O590" s="117"/>
      <c r="P590" s="150"/>
      <c r="Q590" s="117"/>
      <c r="R590" s="117"/>
      <c r="S590" s="117"/>
      <c r="T590" s="117"/>
      <c r="U590" s="150"/>
      <c r="V590" s="117"/>
      <c r="W590" s="117"/>
      <c r="X590" s="117"/>
      <c r="Y590" s="117"/>
      <c r="Z590" s="150"/>
      <c r="AA590" s="117"/>
      <c r="AB590" s="117"/>
      <c r="AC590" s="117"/>
      <c r="AD590" s="117"/>
      <c r="AE590" s="150"/>
      <c r="AF590" s="117"/>
      <c r="AG590" s="117"/>
      <c r="AH590" s="117"/>
      <c r="AI590" s="117"/>
      <c r="AJ590" s="150"/>
      <c r="AK590" s="117"/>
      <c r="AL590" s="117"/>
      <c r="AM590" s="117"/>
      <c r="AN590" s="117"/>
      <c r="AO590" s="975">
        <v>0</v>
      </c>
      <c r="AP590" s="117"/>
      <c r="AQ590" s="117"/>
      <c r="AR590" s="117"/>
      <c r="AS590" s="117"/>
      <c r="AT590" s="975">
        <v>0</v>
      </c>
      <c r="AU590" s="117"/>
      <c r="AV590" s="117"/>
      <c r="AW590" s="117"/>
      <c r="AX590" s="117"/>
      <c r="AY590" s="975">
        <v>0</v>
      </c>
      <c r="AZ590" s="117"/>
      <c r="BA590" s="117"/>
      <c r="BB590" s="117"/>
      <c r="BC590" s="117"/>
      <c r="BD590" s="975">
        <v>0</v>
      </c>
      <c r="BE590" s="117"/>
      <c r="BF590" s="117"/>
      <c r="BG590" s="117"/>
      <c r="BH590" s="117"/>
      <c r="BI590" s="975">
        <v>0</v>
      </c>
      <c r="BJ590" s="117"/>
      <c r="BK590" s="117"/>
      <c r="BL590" s="117"/>
      <c r="BM590" s="117"/>
      <c r="BN590" s="975">
        <v>-13</v>
      </c>
      <c r="BO590" s="117"/>
      <c r="BP590" s="117"/>
      <c r="BQ590" s="117"/>
      <c r="BR590" s="117"/>
      <c r="BS590" s="975">
        <v>0</v>
      </c>
      <c r="BT590" s="691"/>
      <c r="BU590" s="117"/>
      <c r="BV590" s="117"/>
      <c r="BW590" s="117"/>
      <c r="BX590" s="150"/>
      <c r="BY590" s="117"/>
      <c r="BZ590" s="117"/>
      <c r="CA590" s="117"/>
      <c r="CB590" s="117"/>
      <c r="CC590" s="150"/>
      <c r="CD590" s="150"/>
      <c r="CE590" s="150"/>
      <c r="CF590" s="150"/>
      <c r="CG590" s="587"/>
    </row>
    <row r="591" spans="1:85" s="460" customFormat="1" ht="14.4" hidden="1" outlineLevel="1" x14ac:dyDescent="0.3">
      <c r="A591" s="262" t="s">
        <v>1351</v>
      </c>
      <c r="B591" s="588"/>
      <c r="C591" s="954"/>
      <c r="D591" s="954"/>
      <c r="E591" s="954"/>
      <c r="F591" s="954"/>
      <c r="G591" s="133"/>
      <c r="H591" s="133"/>
      <c r="I591" s="133"/>
      <c r="J591" s="133"/>
      <c r="K591" s="954"/>
      <c r="L591" s="133"/>
      <c r="M591" s="133"/>
      <c r="N591" s="133"/>
      <c r="O591" s="133"/>
      <c r="P591" s="954"/>
      <c r="Q591" s="133"/>
      <c r="R591" s="133"/>
      <c r="S591" s="133"/>
      <c r="T591" s="133"/>
      <c r="U591" s="954"/>
      <c r="V591" s="133"/>
      <c r="W591" s="133"/>
      <c r="X591" s="133"/>
      <c r="Y591" s="133"/>
      <c r="Z591" s="954"/>
      <c r="AA591" s="133"/>
      <c r="AB591" s="133"/>
      <c r="AC591" s="133"/>
      <c r="AD591" s="133"/>
      <c r="AE591" s="954"/>
      <c r="AF591" s="133"/>
      <c r="AG591" s="133"/>
      <c r="AH591" s="133"/>
      <c r="AI591" s="133"/>
      <c r="AJ591" s="954"/>
      <c r="AK591" s="133"/>
      <c r="AL591" s="133"/>
      <c r="AM591" s="133"/>
      <c r="AN591" s="133"/>
      <c r="AO591" s="976">
        <v>-2</v>
      </c>
      <c r="AP591" s="133"/>
      <c r="AQ591" s="133"/>
      <c r="AR591" s="133"/>
      <c r="AS591" s="133"/>
      <c r="AT591" s="976">
        <v>-2</v>
      </c>
      <c r="AU591" s="133"/>
      <c r="AV591" s="133"/>
      <c r="AW591" s="133"/>
      <c r="AX591" s="133"/>
      <c r="AY591" s="976">
        <v>-2</v>
      </c>
      <c r="AZ591" s="133"/>
      <c r="BA591" s="133"/>
      <c r="BB591" s="133"/>
      <c r="BC591" s="133"/>
      <c r="BD591" s="976">
        <v>-2</v>
      </c>
      <c r="BE591" s="133"/>
      <c r="BF591" s="133"/>
      <c r="BG591" s="133"/>
      <c r="BH591" s="133"/>
      <c r="BI591" s="976">
        <v>-2</v>
      </c>
      <c r="BJ591" s="133"/>
      <c r="BK591" s="133"/>
      <c r="BL591" s="133"/>
      <c r="BM591" s="133"/>
      <c r="BN591" s="976">
        <v>-2</v>
      </c>
      <c r="BO591" s="133"/>
      <c r="BP591" s="133"/>
      <c r="BQ591" s="133"/>
      <c r="BR591" s="133"/>
      <c r="BS591" s="976">
        <v>0</v>
      </c>
      <c r="BT591" s="692"/>
      <c r="BU591" s="133"/>
      <c r="BV591" s="133"/>
      <c r="BW591" s="133"/>
      <c r="BX591" s="954"/>
      <c r="BY591" s="133"/>
      <c r="BZ591" s="133"/>
      <c r="CA591" s="133"/>
      <c r="CB591" s="133"/>
      <c r="CC591" s="954"/>
      <c r="CD591" s="954"/>
      <c r="CE591" s="954"/>
      <c r="CF591" s="954"/>
      <c r="CG591" s="587"/>
    </row>
    <row r="592" spans="1:85" s="461" customFormat="1" ht="14.4" hidden="1" outlineLevel="1" x14ac:dyDescent="0.3">
      <c r="A592" s="166" t="s">
        <v>1352</v>
      </c>
      <c r="B592" s="583"/>
      <c r="C592" s="957"/>
      <c r="D592" s="957"/>
      <c r="E592" s="957"/>
      <c r="F592" s="957"/>
      <c r="G592" s="120"/>
      <c r="H592" s="120"/>
      <c r="I592" s="120"/>
      <c r="J592" s="120"/>
      <c r="K592" s="957"/>
      <c r="L592" s="120"/>
      <c r="M592" s="120"/>
      <c r="N592" s="120"/>
      <c r="O592" s="120"/>
      <c r="P592" s="957"/>
      <c r="Q592" s="120"/>
      <c r="R592" s="120"/>
      <c r="S592" s="120"/>
      <c r="T592" s="120"/>
      <c r="U592" s="957"/>
      <c r="V592" s="120"/>
      <c r="W592" s="120"/>
      <c r="X592" s="120"/>
      <c r="Y592" s="120"/>
      <c r="Z592" s="957"/>
      <c r="AA592" s="120"/>
      <c r="AB592" s="120"/>
      <c r="AC592" s="120"/>
      <c r="AD592" s="120"/>
      <c r="AE592" s="957"/>
      <c r="AF592" s="120"/>
      <c r="AG592" s="120"/>
      <c r="AH592" s="120"/>
      <c r="AI592" s="120"/>
      <c r="AJ592" s="957"/>
      <c r="AK592" s="120"/>
      <c r="AL592" s="120"/>
      <c r="AM592" s="120"/>
      <c r="AN592" s="120"/>
      <c r="AO592" s="957">
        <f>SUM(AO585:AO591)</f>
        <v>16</v>
      </c>
      <c r="AP592" s="120"/>
      <c r="AQ592" s="120"/>
      <c r="AR592" s="120"/>
      <c r="AS592" s="120"/>
      <c r="AT592" s="957">
        <f>SUM(AT585:AT591)</f>
        <v>8</v>
      </c>
      <c r="AU592" s="120"/>
      <c r="AV592" s="120"/>
      <c r="AW592" s="120"/>
      <c r="AX592" s="120"/>
      <c r="AY592" s="957">
        <f>SUM(AY585:AY591)</f>
        <v>15</v>
      </c>
      <c r="AZ592" s="120"/>
      <c r="BA592" s="120"/>
      <c r="BB592" s="120"/>
      <c r="BC592" s="120"/>
      <c r="BD592" s="957">
        <f>SUM(BD585:BD591)</f>
        <v>17</v>
      </c>
      <c r="BE592" s="120"/>
      <c r="BF592" s="120"/>
      <c r="BG592" s="120"/>
      <c r="BH592" s="120"/>
      <c r="BI592" s="957">
        <f>SUM(BI585:BI591)</f>
        <v>15</v>
      </c>
      <c r="BJ592" s="120"/>
      <c r="BK592" s="120"/>
      <c r="BL592" s="120"/>
      <c r="BM592" s="120"/>
      <c r="BN592" s="957">
        <f>SUM(BN585:BN591)</f>
        <v>0</v>
      </c>
      <c r="BO592" s="120"/>
      <c r="BP592" s="120"/>
      <c r="BQ592" s="120"/>
      <c r="BR592" s="120"/>
      <c r="BS592" s="957">
        <f>SUM(BS585:BS591)</f>
        <v>0</v>
      </c>
      <c r="BT592" s="694"/>
      <c r="BU592" s="120"/>
      <c r="BV592" s="120"/>
      <c r="BW592" s="120"/>
      <c r="BX592" s="957"/>
      <c r="BY592" s="120"/>
      <c r="BZ592" s="120"/>
      <c r="CA592" s="120"/>
      <c r="CB592" s="120"/>
      <c r="CC592" s="957"/>
      <c r="CD592" s="957"/>
      <c r="CE592" s="957"/>
      <c r="CF592" s="957"/>
      <c r="CG592" s="615"/>
    </row>
    <row r="593" spans="1:85" s="461" customFormat="1" ht="14.4" hidden="1" outlineLevel="1" x14ac:dyDescent="0.3">
      <c r="A593" s="166" t="s">
        <v>1345</v>
      </c>
      <c r="B593" s="583"/>
      <c r="C593" s="957"/>
      <c r="D593" s="957"/>
      <c r="E593" s="957"/>
      <c r="F593" s="957"/>
      <c r="G593" s="120"/>
      <c r="H593" s="120"/>
      <c r="I593" s="120"/>
      <c r="J593" s="120"/>
      <c r="K593" s="957"/>
      <c r="L593" s="120"/>
      <c r="M593" s="120"/>
      <c r="N593" s="120"/>
      <c r="O593" s="120"/>
      <c r="P593" s="957"/>
      <c r="Q593" s="120"/>
      <c r="R593" s="120"/>
      <c r="S593" s="120"/>
      <c r="T593" s="120"/>
      <c r="U593" s="957"/>
      <c r="V593" s="120"/>
      <c r="W593" s="120"/>
      <c r="X593" s="120"/>
      <c r="Y593" s="120"/>
      <c r="Z593" s="957"/>
      <c r="AA593" s="120"/>
      <c r="AB593" s="120"/>
      <c r="AC593" s="120"/>
      <c r="AD593" s="120"/>
      <c r="AE593" s="957"/>
      <c r="AF593" s="120"/>
      <c r="AG593" s="120"/>
      <c r="AH593" s="120"/>
      <c r="AI593" s="120"/>
      <c r="AJ593" s="957"/>
      <c r="AK593" s="120"/>
      <c r="AL593" s="120"/>
      <c r="AM593" s="120"/>
      <c r="AN593" s="120"/>
      <c r="AO593" s="983">
        <v>98</v>
      </c>
      <c r="AP593" s="120"/>
      <c r="AQ593" s="120"/>
      <c r="AR593" s="120"/>
      <c r="AS593" s="120"/>
      <c r="AT593" s="983">
        <v>100</v>
      </c>
      <c r="AU593" s="120"/>
      <c r="AV593" s="120"/>
      <c r="AW593" s="120"/>
      <c r="AX593" s="120"/>
      <c r="AY593" s="983">
        <v>104</v>
      </c>
      <c r="AZ593" s="120"/>
      <c r="BA593" s="120"/>
      <c r="BB593" s="120"/>
      <c r="BC593" s="120"/>
      <c r="BD593" s="983">
        <v>106</v>
      </c>
      <c r="BE593" s="120"/>
      <c r="BF593" s="120"/>
      <c r="BG593" s="120"/>
      <c r="BH593" s="120"/>
      <c r="BI593" s="983">
        <v>97</v>
      </c>
      <c r="BJ593" s="120"/>
      <c r="BK593" s="120"/>
      <c r="BL593" s="120"/>
      <c r="BM593" s="120"/>
      <c r="BN593" s="983">
        <v>97</v>
      </c>
      <c r="BO593" s="120"/>
      <c r="BP593" s="120"/>
      <c r="BQ593" s="120"/>
      <c r="BR593" s="120"/>
      <c r="BS593" s="983">
        <v>86</v>
      </c>
      <c r="BT593" s="694"/>
      <c r="BU593" s="120"/>
      <c r="BV593" s="120"/>
      <c r="BW593" s="120"/>
      <c r="BX593" s="957"/>
      <c r="BY593" s="120"/>
      <c r="BZ593" s="120"/>
      <c r="CA593" s="120"/>
      <c r="CB593" s="120"/>
      <c r="CC593" s="957"/>
      <c r="CD593" s="957"/>
      <c r="CE593" s="957"/>
      <c r="CF593" s="957"/>
      <c r="CG593" s="615"/>
    </row>
    <row r="594" spans="1:85" s="460" customFormat="1" ht="14.4" hidden="1" outlineLevel="1" x14ac:dyDescent="0.3">
      <c r="A594" s="159" t="s">
        <v>1346</v>
      </c>
      <c r="B594" s="586"/>
      <c r="C594" s="150"/>
      <c r="D594" s="150"/>
      <c r="E594" s="150"/>
      <c r="F594" s="150"/>
      <c r="G594" s="117"/>
      <c r="H594" s="117"/>
      <c r="I594" s="117"/>
      <c r="J594" s="117"/>
      <c r="K594" s="150"/>
      <c r="L594" s="117"/>
      <c r="M594" s="117"/>
      <c r="N594" s="117"/>
      <c r="O594" s="117"/>
      <c r="P594" s="150"/>
      <c r="Q594" s="117"/>
      <c r="R594" s="117"/>
      <c r="S594" s="117"/>
      <c r="T594" s="117"/>
      <c r="U594" s="150"/>
      <c r="V594" s="117"/>
      <c r="W594" s="117"/>
      <c r="X594" s="117"/>
      <c r="Y594" s="117"/>
      <c r="Z594" s="150"/>
      <c r="AA594" s="117"/>
      <c r="AB594" s="117"/>
      <c r="AC594" s="117"/>
      <c r="AD594" s="117"/>
      <c r="AE594" s="150"/>
      <c r="AF594" s="117"/>
      <c r="AG594" s="117"/>
      <c r="AH594" s="117"/>
      <c r="AI594" s="117"/>
      <c r="AJ594" s="150"/>
      <c r="AK594" s="117"/>
      <c r="AL594" s="117"/>
      <c r="AM594" s="117"/>
      <c r="AN594" s="117"/>
      <c r="AO594" s="975">
        <v>6</v>
      </c>
      <c r="AP594" s="117"/>
      <c r="AQ594" s="117"/>
      <c r="AR594" s="117"/>
      <c r="AS594" s="117"/>
      <c r="AT594" s="975">
        <v>-3</v>
      </c>
      <c r="AU594" s="117"/>
      <c r="AV594" s="117"/>
      <c r="AW594" s="117"/>
      <c r="AX594" s="117"/>
      <c r="AY594" s="975">
        <v>8</v>
      </c>
      <c r="AZ594" s="117"/>
      <c r="BA594" s="117"/>
      <c r="BB594" s="117"/>
      <c r="BC594" s="117"/>
      <c r="BD594" s="975">
        <v>-3</v>
      </c>
      <c r="BE594" s="117"/>
      <c r="BF594" s="117"/>
      <c r="BG594" s="117"/>
      <c r="BH594" s="117"/>
      <c r="BI594" s="975">
        <v>-6</v>
      </c>
      <c r="BJ594" s="117"/>
      <c r="BK594" s="117"/>
      <c r="BL594" s="117"/>
      <c r="BM594" s="117"/>
      <c r="BN594" s="975">
        <v>-7</v>
      </c>
      <c r="BO594" s="117"/>
      <c r="BP594" s="117"/>
      <c r="BQ594" s="117"/>
      <c r="BR594" s="117"/>
      <c r="BS594" s="975">
        <v>-15</v>
      </c>
      <c r="BT594" s="691"/>
      <c r="BU594" s="117"/>
      <c r="BV594" s="117"/>
      <c r="BW594" s="117"/>
      <c r="BX594" s="150"/>
      <c r="BY594" s="117"/>
      <c r="BZ594" s="117"/>
      <c r="CA594" s="117"/>
      <c r="CB594" s="117"/>
      <c r="CC594" s="150"/>
      <c r="CD594" s="150"/>
      <c r="CE594" s="150"/>
      <c r="CF594" s="150"/>
      <c r="CG594" s="587"/>
    </row>
    <row r="595" spans="1:85" s="460" customFormat="1" ht="14.4" hidden="1" outlineLevel="1" x14ac:dyDescent="0.3">
      <c r="A595" s="159" t="s">
        <v>1347</v>
      </c>
      <c r="B595" s="586"/>
      <c r="C595" s="150"/>
      <c r="D595" s="150"/>
      <c r="E595" s="150"/>
      <c r="F595" s="150"/>
      <c r="G595" s="117"/>
      <c r="H595" s="117"/>
      <c r="I595" s="117"/>
      <c r="J595" s="117"/>
      <c r="K595" s="150"/>
      <c r="L595" s="117"/>
      <c r="M595" s="117"/>
      <c r="N595" s="117"/>
      <c r="O595" s="117"/>
      <c r="P595" s="150"/>
      <c r="Q595" s="117"/>
      <c r="R595" s="117"/>
      <c r="S595" s="117"/>
      <c r="T595" s="117"/>
      <c r="U595" s="150"/>
      <c r="V595" s="117"/>
      <c r="W595" s="117"/>
      <c r="X595" s="117"/>
      <c r="Y595" s="117"/>
      <c r="Z595" s="150"/>
      <c r="AA595" s="117"/>
      <c r="AB595" s="117"/>
      <c r="AC595" s="117"/>
      <c r="AD595" s="117"/>
      <c r="AE595" s="150"/>
      <c r="AF595" s="117"/>
      <c r="AG595" s="117"/>
      <c r="AH595" s="117"/>
      <c r="AI595" s="117"/>
      <c r="AJ595" s="150"/>
      <c r="AK595" s="117"/>
      <c r="AL595" s="117"/>
      <c r="AM595" s="117"/>
      <c r="AN595" s="117"/>
      <c r="AO595" s="975">
        <v>0</v>
      </c>
      <c r="AP595" s="117"/>
      <c r="AQ595" s="117"/>
      <c r="AR595" s="117"/>
      <c r="AS595" s="117"/>
      <c r="AT595" s="975">
        <v>0</v>
      </c>
      <c r="AU595" s="117"/>
      <c r="AV595" s="117"/>
      <c r="AW595" s="117"/>
      <c r="AX595" s="117"/>
      <c r="AY595" s="975">
        <v>0</v>
      </c>
      <c r="AZ595" s="117"/>
      <c r="BA595" s="117"/>
      <c r="BB595" s="117"/>
      <c r="BC595" s="117"/>
      <c r="BD595" s="975">
        <v>0</v>
      </c>
      <c r="BE595" s="117"/>
      <c r="BF595" s="117"/>
      <c r="BG595" s="117"/>
      <c r="BH595" s="117"/>
      <c r="BI595" s="975">
        <v>0</v>
      </c>
      <c r="BJ595" s="117"/>
      <c r="BK595" s="117"/>
      <c r="BL595" s="117"/>
      <c r="BM595" s="117"/>
      <c r="BN595" s="975">
        <v>0</v>
      </c>
      <c r="BO595" s="117"/>
      <c r="BP595" s="117"/>
      <c r="BQ595" s="117"/>
      <c r="BR595" s="117"/>
      <c r="BS595" s="150"/>
      <c r="BT595" s="691"/>
      <c r="BU595" s="117"/>
      <c r="BV595" s="117"/>
      <c r="BW595" s="117"/>
      <c r="BX595" s="150"/>
      <c r="BY595" s="117"/>
      <c r="BZ595" s="117"/>
      <c r="CA595" s="117"/>
      <c r="CB595" s="117"/>
      <c r="CC595" s="150"/>
      <c r="CD595" s="150"/>
      <c r="CE595" s="150"/>
      <c r="CF595" s="150"/>
      <c r="CG595" s="587"/>
    </row>
    <row r="596" spans="1:85" s="460" customFormat="1" ht="14.4" hidden="1" outlineLevel="1" x14ac:dyDescent="0.3">
      <c r="A596" s="159" t="s">
        <v>1348</v>
      </c>
      <c r="B596" s="586"/>
      <c r="C596" s="150"/>
      <c r="D596" s="150"/>
      <c r="E596" s="150"/>
      <c r="F596" s="150"/>
      <c r="G596" s="117"/>
      <c r="H596" s="117"/>
      <c r="I596" s="117"/>
      <c r="J596" s="117"/>
      <c r="K596" s="150"/>
      <c r="L596" s="117"/>
      <c r="M596" s="117"/>
      <c r="N596" s="117"/>
      <c r="O596" s="117"/>
      <c r="P596" s="150"/>
      <c r="Q596" s="117"/>
      <c r="R596" s="117"/>
      <c r="S596" s="117"/>
      <c r="T596" s="117"/>
      <c r="U596" s="150"/>
      <c r="V596" s="117"/>
      <c r="W596" s="117"/>
      <c r="X596" s="117"/>
      <c r="Y596" s="117"/>
      <c r="Z596" s="150"/>
      <c r="AA596" s="117"/>
      <c r="AB596" s="117"/>
      <c r="AC596" s="117"/>
      <c r="AD596" s="117"/>
      <c r="AE596" s="150"/>
      <c r="AF596" s="117"/>
      <c r="AG596" s="117"/>
      <c r="AH596" s="117"/>
      <c r="AI596" s="117"/>
      <c r="AJ596" s="150"/>
      <c r="AK596" s="117"/>
      <c r="AL596" s="117"/>
      <c r="AM596" s="117"/>
      <c r="AN596" s="117"/>
      <c r="AO596" s="975">
        <v>0</v>
      </c>
      <c r="AP596" s="117"/>
      <c r="AQ596" s="117"/>
      <c r="AR596" s="117"/>
      <c r="AS596" s="117"/>
      <c r="AT596" s="975">
        <v>0</v>
      </c>
      <c r="AU596" s="117"/>
      <c r="AV596" s="117"/>
      <c r="AW596" s="117"/>
      <c r="AX596" s="117"/>
      <c r="AY596" s="975">
        <v>0</v>
      </c>
      <c r="AZ596" s="117"/>
      <c r="BA596" s="117"/>
      <c r="BB596" s="117"/>
      <c r="BC596" s="117"/>
      <c r="BD596" s="975">
        <v>1</v>
      </c>
      <c r="BE596" s="117"/>
      <c r="BF596" s="117"/>
      <c r="BG596" s="117"/>
      <c r="BH596" s="117"/>
      <c r="BI596" s="975">
        <v>0</v>
      </c>
      <c r="BJ596" s="117"/>
      <c r="BK596" s="117"/>
      <c r="BL596" s="117"/>
      <c r="BM596" s="117"/>
      <c r="BN596" s="975">
        <v>0</v>
      </c>
      <c r="BO596" s="117"/>
      <c r="BP596" s="117"/>
      <c r="BQ596" s="117"/>
      <c r="BR596" s="117"/>
      <c r="BS596" s="975">
        <v>0</v>
      </c>
      <c r="BT596" s="691"/>
      <c r="BU596" s="117"/>
      <c r="BV596" s="117"/>
      <c r="BW596" s="117"/>
      <c r="BX596" s="150"/>
      <c r="BY596" s="117"/>
      <c r="BZ596" s="117"/>
      <c r="CA596" s="117"/>
      <c r="CB596" s="117"/>
      <c r="CC596" s="150"/>
      <c r="CD596" s="150"/>
      <c r="CE596" s="150"/>
      <c r="CF596" s="150"/>
      <c r="CG596" s="587"/>
    </row>
    <row r="597" spans="1:85" s="460" customFormat="1" ht="14.4" hidden="1" outlineLevel="1" x14ac:dyDescent="0.3">
      <c r="A597" s="159" t="s">
        <v>1349</v>
      </c>
      <c r="B597" s="586"/>
      <c r="C597" s="150"/>
      <c r="D597" s="150"/>
      <c r="E597" s="150"/>
      <c r="F597" s="150"/>
      <c r="G597" s="117"/>
      <c r="H597" s="117"/>
      <c r="I597" s="117"/>
      <c r="J597" s="117"/>
      <c r="K597" s="150"/>
      <c r="L597" s="117"/>
      <c r="M597" s="117"/>
      <c r="N597" s="117"/>
      <c r="O597" s="117"/>
      <c r="P597" s="150"/>
      <c r="Q597" s="117"/>
      <c r="R597" s="117"/>
      <c r="S597" s="117"/>
      <c r="T597" s="117"/>
      <c r="U597" s="150"/>
      <c r="V597" s="117"/>
      <c r="W597" s="117"/>
      <c r="X597" s="117"/>
      <c r="Y597" s="117"/>
      <c r="Z597" s="150"/>
      <c r="AA597" s="117"/>
      <c r="AB597" s="117"/>
      <c r="AC597" s="117"/>
      <c r="AD597" s="117"/>
      <c r="AE597" s="150"/>
      <c r="AF597" s="117"/>
      <c r="AG597" s="117"/>
      <c r="AH597" s="117"/>
      <c r="AI597" s="117"/>
      <c r="AJ597" s="150"/>
      <c r="AK597" s="117"/>
      <c r="AL597" s="117"/>
      <c r="AM597" s="117"/>
      <c r="AN597" s="117"/>
      <c r="AO597" s="975">
        <v>0</v>
      </c>
      <c r="AP597" s="117"/>
      <c r="AQ597" s="117"/>
      <c r="AR597" s="117"/>
      <c r="AS597" s="117"/>
      <c r="AT597" s="975">
        <v>12</v>
      </c>
      <c r="AU597" s="117"/>
      <c r="AV597" s="117"/>
      <c r="AW597" s="117"/>
      <c r="AX597" s="117"/>
      <c r="AY597" s="975">
        <v>0</v>
      </c>
      <c r="AZ597" s="117"/>
      <c r="BA597" s="117"/>
      <c r="BB597" s="117"/>
      <c r="BC597" s="117"/>
      <c r="BD597" s="975">
        <v>0</v>
      </c>
      <c r="BE597" s="117"/>
      <c r="BF597" s="117"/>
      <c r="BG597" s="117"/>
      <c r="BH597" s="117"/>
      <c r="BI597" s="975">
        <v>11</v>
      </c>
      <c r="BJ597" s="117"/>
      <c r="BK597" s="117"/>
      <c r="BL597" s="117"/>
      <c r="BM597" s="117"/>
      <c r="BN597" s="975">
        <v>0</v>
      </c>
      <c r="BO597" s="117"/>
      <c r="BP597" s="117"/>
      <c r="BQ597" s="117"/>
      <c r="BR597" s="117"/>
      <c r="BS597" s="975">
        <v>0</v>
      </c>
      <c r="BT597" s="691"/>
      <c r="BU597" s="117"/>
      <c r="BV597" s="117"/>
      <c r="BW597" s="117"/>
      <c r="BX597" s="150"/>
      <c r="BY597" s="117"/>
      <c r="BZ597" s="117"/>
      <c r="CA597" s="117"/>
      <c r="CB597" s="117"/>
      <c r="CC597" s="150"/>
      <c r="CD597" s="150"/>
      <c r="CE597" s="150"/>
      <c r="CF597" s="150"/>
      <c r="CG597" s="587"/>
    </row>
    <row r="598" spans="1:85" s="460" customFormat="1" ht="14.4" hidden="1" outlineLevel="1" x14ac:dyDescent="0.3">
      <c r="A598" s="159" t="s">
        <v>1350</v>
      </c>
      <c r="B598" s="586"/>
      <c r="C598" s="150"/>
      <c r="D598" s="150"/>
      <c r="E598" s="150"/>
      <c r="F598" s="150"/>
      <c r="G598" s="117"/>
      <c r="H598" s="117"/>
      <c r="I598" s="117"/>
      <c r="J598" s="117"/>
      <c r="K598" s="150"/>
      <c r="L598" s="117"/>
      <c r="M598" s="117"/>
      <c r="N598" s="117"/>
      <c r="O598" s="117"/>
      <c r="P598" s="150"/>
      <c r="Q598" s="117"/>
      <c r="R598" s="117"/>
      <c r="S598" s="117"/>
      <c r="T598" s="117"/>
      <c r="U598" s="150"/>
      <c r="V598" s="117"/>
      <c r="W598" s="117"/>
      <c r="X598" s="117"/>
      <c r="Y598" s="117"/>
      <c r="Z598" s="150"/>
      <c r="AA598" s="117"/>
      <c r="AB598" s="117"/>
      <c r="AC598" s="117"/>
      <c r="AD598" s="117"/>
      <c r="AE598" s="150"/>
      <c r="AF598" s="117"/>
      <c r="AG598" s="117"/>
      <c r="AH598" s="117"/>
      <c r="AI598" s="117"/>
      <c r="AJ598" s="150"/>
      <c r="AK598" s="117"/>
      <c r="AL598" s="117"/>
      <c r="AM598" s="117"/>
      <c r="AN598" s="117"/>
      <c r="AO598" s="975">
        <v>0</v>
      </c>
      <c r="AP598" s="117"/>
      <c r="AQ598" s="117"/>
      <c r="AR598" s="117"/>
      <c r="AS598" s="117"/>
      <c r="AT598" s="150"/>
      <c r="AU598" s="117"/>
      <c r="AV598" s="117"/>
      <c r="AW598" s="117"/>
      <c r="AX598" s="117"/>
      <c r="AY598" s="975">
        <v>0</v>
      </c>
      <c r="AZ598" s="117"/>
      <c r="BA598" s="117"/>
      <c r="BB598" s="117"/>
      <c r="BC598" s="117"/>
      <c r="BD598" s="975">
        <v>0</v>
      </c>
      <c r="BE598" s="117"/>
      <c r="BF598" s="117"/>
      <c r="BG598" s="117"/>
      <c r="BH598" s="117"/>
      <c r="BI598" s="975">
        <v>0</v>
      </c>
      <c r="BJ598" s="117"/>
      <c r="BK598" s="117"/>
      <c r="BL598" s="117"/>
      <c r="BM598" s="117"/>
      <c r="BN598" s="975">
        <v>0</v>
      </c>
      <c r="BO598" s="117"/>
      <c r="BP598" s="117"/>
      <c r="BQ598" s="117"/>
      <c r="BR598" s="117"/>
      <c r="BS598" s="975">
        <v>-1</v>
      </c>
      <c r="BT598" s="691"/>
      <c r="BU598" s="117"/>
      <c r="BV598" s="117"/>
      <c r="BW598" s="117"/>
      <c r="BX598" s="150"/>
      <c r="BY598" s="117"/>
      <c r="BZ598" s="117"/>
      <c r="CA598" s="117"/>
      <c r="CB598" s="117"/>
      <c r="CC598" s="150"/>
      <c r="CD598" s="150"/>
      <c r="CE598" s="150"/>
      <c r="CF598" s="150"/>
      <c r="CG598" s="587"/>
    </row>
    <row r="599" spans="1:85" s="460" customFormat="1" ht="14.4" hidden="1" outlineLevel="1" x14ac:dyDescent="0.3">
      <c r="A599" s="262" t="s">
        <v>1351</v>
      </c>
      <c r="B599" s="588"/>
      <c r="C599" s="954"/>
      <c r="D599" s="954"/>
      <c r="E599" s="954"/>
      <c r="F599" s="954"/>
      <c r="G599" s="133"/>
      <c r="H599" s="133"/>
      <c r="I599" s="133"/>
      <c r="J599" s="133"/>
      <c r="K599" s="954"/>
      <c r="L599" s="133"/>
      <c r="M599" s="133"/>
      <c r="N599" s="133"/>
      <c r="O599" s="133"/>
      <c r="P599" s="954"/>
      <c r="Q599" s="133"/>
      <c r="R599" s="133"/>
      <c r="S599" s="133"/>
      <c r="T599" s="133"/>
      <c r="U599" s="954"/>
      <c r="V599" s="133"/>
      <c r="W599" s="133"/>
      <c r="X599" s="133"/>
      <c r="Y599" s="133"/>
      <c r="Z599" s="954"/>
      <c r="AA599" s="133"/>
      <c r="AB599" s="133"/>
      <c r="AC599" s="133"/>
      <c r="AD599" s="133"/>
      <c r="AE599" s="954"/>
      <c r="AF599" s="133"/>
      <c r="AG599" s="133"/>
      <c r="AH599" s="133"/>
      <c r="AI599" s="133"/>
      <c r="AJ599" s="954"/>
      <c r="AK599" s="133"/>
      <c r="AL599" s="133"/>
      <c r="AM599" s="133"/>
      <c r="AN599" s="133"/>
      <c r="AO599" s="976">
        <v>-4</v>
      </c>
      <c r="AP599" s="133"/>
      <c r="AQ599" s="133"/>
      <c r="AR599" s="133"/>
      <c r="AS599" s="133"/>
      <c r="AT599" s="976">
        <v>-5</v>
      </c>
      <c r="AU599" s="133"/>
      <c r="AV599" s="133"/>
      <c r="AW599" s="133"/>
      <c r="AX599" s="133"/>
      <c r="AY599" s="976">
        <v>-6</v>
      </c>
      <c r="AZ599" s="133"/>
      <c r="BA599" s="133"/>
      <c r="BB599" s="133"/>
      <c r="BC599" s="133"/>
      <c r="BD599" s="976">
        <v>-7</v>
      </c>
      <c r="BE599" s="133"/>
      <c r="BF599" s="133"/>
      <c r="BG599" s="133"/>
      <c r="BH599" s="133"/>
      <c r="BI599" s="976">
        <v>-5</v>
      </c>
      <c r="BJ599" s="133"/>
      <c r="BK599" s="133"/>
      <c r="BL599" s="133"/>
      <c r="BM599" s="133"/>
      <c r="BN599" s="976">
        <v>-4</v>
      </c>
      <c r="BO599" s="133"/>
      <c r="BP599" s="133"/>
      <c r="BQ599" s="133"/>
      <c r="BR599" s="133"/>
      <c r="BS599" s="976">
        <v>-5</v>
      </c>
      <c r="BT599" s="692"/>
      <c r="BU599" s="133"/>
      <c r="BV599" s="133"/>
      <c r="BW599" s="133"/>
      <c r="BX599" s="954"/>
      <c r="BY599" s="133"/>
      <c r="BZ599" s="133"/>
      <c r="CA599" s="133"/>
      <c r="CB599" s="133"/>
      <c r="CC599" s="954"/>
      <c r="CD599" s="954"/>
      <c r="CE599" s="954"/>
      <c r="CF599" s="954"/>
      <c r="CG599" s="587"/>
    </row>
    <row r="600" spans="1:85" s="461" customFormat="1" ht="14.4" hidden="1" outlineLevel="1" x14ac:dyDescent="0.3">
      <c r="A600" s="166" t="s">
        <v>1352</v>
      </c>
      <c r="B600" s="583"/>
      <c r="C600" s="957"/>
      <c r="D600" s="957"/>
      <c r="E600" s="957"/>
      <c r="F600" s="957"/>
      <c r="G600" s="120"/>
      <c r="H600" s="120"/>
      <c r="I600" s="120"/>
      <c r="J600" s="120"/>
      <c r="K600" s="957"/>
      <c r="L600" s="120"/>
      <c r="M600" s="120"/>
      <c r="N600" s="120"/>
      <c r="O600" s="120"/>
      <c r="P600" s="957"/>
      <c r="Q600" s="120"/>
      <c r="R600" s="120"/>
      <c r="S600" s="120"/>
      <c r="T600" s="120"/>
      <c r="U600" s="957"/>
      <c r="V600" s="120"/>
      <c r="W600" s="120"/>
      <c r="X600" s="120"/>
      <c r="Y600" s="120"/>
      <c r="Z600" s="957"/>
      <c r="AA600" s="120"/>
      <c r="AB600" s="120"/>
      <c r="AC600" s="120"/>
      <c r="AD600" s="120"/>
      <c r="AE600" s="957"/>
      <c r="AF600" s="120"/>
      <c r="AG600" s="120"/>
      <c r="AH600" s="120"/>
      <c r="AI600" s="120"/>
      <c r="AJ600" s="957"/>
      <c r="AK600" s="120"/>
      <c r="AL600" s="120"/>
      <c r="AM600" s="120"/>
      <c r="AN600" s="120"/>
      <c r="AO600" s="957">
        <f>SUM(AO593:AO599)</f>
        <v>100</v>
      </c>
      <c r="AP600" s="120"/>
      <c r="AQ600" s="120"/>
      <c r="AR600" s="120"/>
      <c r="AS600" s="120"/>
      <c r="AT600" s="957">
        <f>SUM(AT593:AT599)</f>
        <v>104</v>
      </c>
      <c r="AU600" s="120"/>
      <c r="AV600" s="120"/>
      <c r="AW600" s="120"/>
      <c r="AX600" s="120"/>
      <c r="AY600" s="957">
        <f>SUM(AY593:AY599)</f>
        <v>106</v>
      </c>
      <c r="AZ600" s="120"/>
      <c r="BA600" s="120"/>
      <c r="BB600" s="120"/>
      <c r="BC600" s="120"/>
      <c r="BD600" s="957">
        <f>SUM(BD593:BD599)</f>
        <v>97</v>
      </c>
      <c r="BE600" s="120"/>
      <c r="BF600" s="120"/>
      <c r="BG600" s="120"/>
      <c r="BH600" s="120"/>
      <c r="BI600" s="957">
        <f>SUM(BI593:BI599)</f>
        <v>97</v>
      </c>
      <c r="BJ600" s="120"/>
      <c r="BK600" s="120"/>
      <c r="BL600" s="120"/>
      <c r="BM600" s="120"/>
      <c r="BN600" s="957">
        <f>SUM(BN593:BN599)</f>
        <v>86</v>
      </c>
      <c r="BO600" s="120"/>
      <c r="BP600" s="120"/>
      <c r="BQ600" s="120"/>
      <c r="BR600" s="120"/>
      <c r="BS600" s="957">
        <f>SUM(BS593:BS599)</f>
        <v>65</v>
      </c>
      <c r="BT600" s="694"/>
      <c r="BU600" s="120"/>
      <c r="BV600" s="120"/>
      <c r="BW600" s="120"/>
      <c r="BX600" s="957"/>
      <c r="BY600" s="120"/>
      <c r="BZ600" s="120"/>
      <c r="CA600" s="120"/>
      <c r="CB600" s="120"/>
      <c r="CC600" s="957"/>
      <c r="CD600" s="957"/>
      <c r="CE600" s="957"/>
      <c r="CF600" s="957"/>
      <c r="CG600" s="615"/>
    </row>
    <row r="601" spans="1:85" s="461" customFormat="1" ht="14.4" hidden="1" outlineLevel="1" x14ac:dyDescent="0.3">
      <c r="A601" s="166" t="s">
        <v>1353</v>
      </c>
      <c r="B601" s="583"/>
      <c r="C601" s="957"/>
      <c r="D601" s="957"/>
      <c r="E601" s="957"/>
      <c r="F601" s="957"/>
      <c r="G601" s="120"/>
      <c r="H601" s="120"/>
      <c r="I601" s="120"/>
      <c r="J601" s="120"/>
      <c r="K601" s="957"/>
      <c r="L601" s="120"/>
      <c r="M601" s="120"/>
      <c r="N601" s="120"/>
      <c r="O601" s="120"/>
      <c r="P601" s="957"/>
      <c r="Q601" s="120"/>
      <c r="R601" s="120"/>
      <c r="S601" s="120"/>
      <c r="T601" s="120"/>
      <c r="U601" s="957"/>
      <c r="V601" s="120"/>
      <c r="W601" s="120"/>
      <c r="X601" s="120"/>
      <c r="Y601" s="120"/>
      <c r="Z601" s="957"/>
      <c r="AA601" s="120"/>
      <c r="AB601" s="120"/>
      <c r="AC601" s="120"/>
      <c r="AD601" s="120"/>
      <c r="AE601" s="957"/>
      <c r="AF601" s="120"/>
      <c r="AG601" s="120"/>
      <c r="AH601" s="120"/>
      <c r="AI601" s="120"/>
      <c r="AJ601" s="957"/>
      <c r="AK601" s="120"/>
      <c r="AL601" s="120"/>
      <c r="AM601" s="120"/>
      <c r="AN601" s="120"/>
      <c r="AO601" s="983">
        <v>0</v>
      </c>
      <c r="AP601" s="120"/>
      <c r="AQ601" s="120"/>
      <c r="AR601" s="120"/>
      <c r="AS601" s="120"/>
      <c r="AT601" s="983">
        <v>0</v>
      </c>
      <c r="AU601" s="120"/>
      <c r="AV601" s="120"/>
      <c r="AW601" s="120"/>
      <c r="AX601" s="120"/>
      <c r="AY601" s="983">
        <v>0</v>
      </c>
      <c r="AZ601" s="120"/>
      <c r="BA601" s="120"/>
      <c r="BB601" s="120"/>
      <c r="BC601" s="120"/>
      <c r="BD601" s="983">
        <v>0</v>
      </c>
      <c r="BE601" s="120"/>
      <c r="BF601" s="120"/>
      <c r="BG601" s="120"/>
      <c r="BH601" s="120"/>
      <c r="BI601" s="983">
        <v>0</v>
      </c>
      <c r="BJ601" s="120"/>
      <c r="BK601" s="120"/>
      <c r="BL601" s="120"/>
      <c r="BM601" s="120"/>
      <c r="BN601" s="983">
        <v>0</v>
      </c>
      <c r="BO601" s="120"/>
      <c r="BP601" s="120"/>
      <c r="BQ601" s="120"/>
      <c r="BR601" s="120"/>
      <c r="BS601" s="983">
        <v>0</v>
      </c>
      <c r="BT601" s="694"/>
      <c r="BU601" s="120"/>
      <c r="BV601" s="120"/>
      <c r="BW601" s="120"/>
      <c r="BX601" s="957"/>
      <c r="BY601" s="120"/>
      <c r="BZ601" s="120"/>
      <c r="CA601" s="120"/>
      <c r="CB601" s="120"/>
      <c r="CC601" s="957"/>
      <c r="CD601" s="957"/>
      <c r="CE601" s="957"/>
      <c r="CF601" s="957"/>
      <c r="CG601" s="615"/>
    </row>
    <row r="602" spans="1:85" s="460" customFormat="1" ht="14.4" hidden="1" outlineLevel="1" x14ac:dyDescent="0.3">
      <c r="A602" s="159" t="s">
        <v>1354</v>
      </c>
      <c r="B602" s="586"/>
      <c r="C602" s="150"/>
      <c r="D602" s="150"/>
      <c r="E602" s="150"/>
      <c r="F602" s="150"/>
      <c r="G602" s="117"/>
      <c r="H602" s="117"/>
      <c r="I602" s="117"/>
      <c r="J602" s="117"/>
      <c r="K602" s="150"/>
      <c r="L602" s="117"/>
      <c r="M602" s="117"/>
      <c r="N602" s="117"/>
      <c r="O602" s="117"/>
      <c r="P602" s="150"/>
      <c r="Q602" s="117"/>
      <c r="R602" s="117"/>
      <c r="S602" s="117"/>
      <c r="T602" s="117"/>
      <c r="U602" s="150"/>
      <c r="V602" s="117"/>
      <c r="W602" s="117"/>
      <c r="X602" s="117"/>
      <c r="Y602" s="117"/>
      <c r="Z602" s="150"/>
      <c r="AA602" s="117"/>
      <c r="AB602" s="117"/>
      <c r="AC602" s="117"/>
      <c r="AD602" s="117"/>
      <c r="AE602" s="150"/>
      <c r="AF602" s="117"/>
      <c r="AG602" s="117"/>
      <c r="AH602" s="117"/>
      <c r="AI602" s="117"/>
      <c r="AJ602" s="150"/>
      <c r="AK602" s="117"/>
      <c r="AL602" s="117"/>
      <c r="AM602" s="117"/>
      <c r="AN602" s="117"/>
      <c r="AO602" s="975">
        <v>0</v>
      </c>
      <c r="AP602" s="117"/>
      <c r="AQ602" s="117"/>
      <c r="AR602" s="117"/>
      <c r="AS602" s="117"/>
      <c r="AT602" s="975">
        <v>0</v>
      </c>
      <c r="AU602" s="117"/>
      <c r="AV602" s="117"/>
      <c r="AW602" s="117"/>
      <c r="AX602" s="117"/>
      <c r="AY602" s="975">
        <v>0</v>
      </c>
      <c r="AZ602" s="117"/>
      <c r="BA602" s="117"/>
      <c r="BB602" s="117"/>
      <c r="BC602" s="117"/>
      <c r="BD602" s="975">
        <v>0</v>
      </c>
      <c r="BE602" s="117"/>
      <c r="BF602" s="117"/>
      <c r="BG602" s="117"/>
      <c r="BH602" s="117"/>
      <c r="BI602" s="975">
        <v>0</v>
      </c>
      <c r="BJ602" s="117"/>
      <c r="BK602" s="117"/>
      <c r="BL602" s="117"/>
      <c r="BM602" s="117"/>
      <c r="BN602" s="975">
        <v>0</v>
      </c>
      <c r="BO602" s="117"/>
      <c r="BP602" s="117"/>
      <c r="BQ602" s="117"/>
      <c r="BR602" s="117"/>
      <c r="BS602" s="975">
        <v>0</v>
      </c>
      <c r="BT602" s="691"/>
      <c r="BU602" s="117"/>
      <c r="BV602" s="117"/>
      <c r="BW602" s="117"/>
      <c r="BX602" s="150"/>
      <c r="BY602" s="117"/>
      <c r="BZ602" s="117"/>
      <c r="CA602" s="117"/>
      <c r="CB602" s="117"/>
      <c r="CC602" s="150"/>
      <c r="CD602" s="150"/>
      <c r="CE602" s="150"/>
      <c r="CF602" s="150"/>
      <c r="CG602" s="587"/>
    </row>
    <row r="603" spans="1:85" s="460" customFormat="1" ht="14.4" hidden="1" outlineLevel="1" x14ac:dyDescent="0.3">
      <c r="A603" s="159" t="s">
        <v>1355</v>
      </c>
      <c r="B603" s="586"/>
      <c r="C603" s="150"/>
      <c r="D603" s="150"/>
      <c r="E603" s="150"/>
      <c r="F603" s="150"/>
      <c r="G603" s="117"/>
      <c r="H603" s="117"/>
      <c r="I603" s="117"/>
      <c r="J603" s="117"/>
      <c r="K603" s="150"/>
      <c r="L603" s="117"/>
      <c r="M603" s="117"/>
      <c r="N603" s="117"/>
      <c r="O603" s="117"/>
      <c r="P603" s="150"/>
      <c r="Q603" s="117"/>
      <c r="R603" s="117"/>
      <c r="S603" s="117"/>
      <c r="T603" s="117"/>
      <c r="U603" s="150"/>
      <c r="V603" s="117"/>
      <c r="W603" s="117"/>
      <c r="X603" s="117"/>
      <c r="Y603" s="117"/>
      <c r="Z603" s="150"/>
      <c r="AA603" s="117"/>
      <c r="AB603" s="117"/>
      <c r="AC603" s="117"/>
      <c r="AD603" s="117"/>
      <c r="AE603" s="150"/>
      <c r="AF603" s="117"/>
      <c r="AG603" s="117"/>
      <c r="AH603" s="117"/>
      <c r="AI603" s="117"/>
      <c r="AJ603" s="150"/>
      <c r="AK603" s="117"/>
      <c r="AL603" s="117"/>
      <c r="AM603" s="117"/>
      <c r="AN603" s="117"/>
      <c r="AO603" s="975">
        <v>0</v>
      </c>
      <c r="AP603" s="117"/>
      <c r="AQ603" s="117"/>
      <c r="AR603" s="117"/>
      <c r="AS603" s="117"/>
      <c r="AT603" s="975">
        <v>0</v>
      </c>
      <c r="AU603" s="117"/>
      <c r="AV603" s="117"/>
      <c r="AW603" s="117"/>
      <c r="AX603" s="117"/>
      <c r="AY603" s="975">
        <v>0</v>
      </c>
      <c r="AZ603" s="117"/>
      <c r="BA603" s="117"/>
      <c r="BB603" s="117"/>
      <c r="BC603" s="117"/>
      <c r="BD603" s="975">
        <v>0</v>
      </c>
      <c r="BE603" s="117"/>
      <c r="BF603" s="117"/>
      <c r="BG603" s="117"/>
      <c r="BH603" s="117"/>
      <c r="BI603" s="975">
        <v>0</v>
      </c>
      <c r="BJ603" s="117"/>
      <c r="BK603" s="117"/>
      <c r="BL603" s="117"/>
      <c r="BM603" s="117"/>
      <c r="BN603" s="975">
        <v>0</v>
      </c>
      <c r="BO603" s="117"/>
      <c r="BP603" s="117"/>
      <c r="BQ603" s="117"/>
      <c r="BR603" s="117"/>
      <c r="BS603" s="975">
        <v>0</v>
      </c>
      <c r="BT603" s="691"/>
      <c r="BU603" s="117"/>
      <c r="BV603" s="117"/>
      <c r="BW603" s="117"/>
      <c r="BX603" s="150"/>
      <c r="BY603" s="117"/>
      <c r="BZ603" s="117"/>
      <c r="CA603" s="117"/>
      <c r="CB603" s="117"/>
      <c r="CC603" s="150"/>
      <c r="CD603" s="150"/>
      <c r="CE603" s="150"/>
      <c r="CF603" s="150"/>
      <c r="CG603" s="587"/>
    </row>
    <row r="604" spans="1:85" s="460" customFormat="1" ht="14.4" hidden="1" outlineLevel="1" x14ac:dyDescent="0.3">
      <c r="A604" s="159" t="s">
        <v>1356</v>
      </c>
      <c r="B604" s="586"/>
      <c r="C604" s="150"/>
      <c r="D604" s="150"/>
      <c r="E604" s="150"/>
      <c r="F604" s="150"/>
      <c r="G604" s="117"/>
      <c r="H604" s="117"/>
      <c r="I604" s="117"/>
      <c r="J604" s="117"/>
      <c r="K604" s="150"/>
      <c r="L604" s="117"/>
      <c r="M604" s="117"/>
      <c r="N604" s="117"/>
      <c r="O604" s="117"/>
      <c r="P604" s="150"/>
      <c r="Q604" s="117"/>
      <c r="R604" s="117"/>
      <c r="S604" s="117"/>
      <c r="T604" s="117"/>
      <c r="U604" s="150"/>
      <c r="V604" s="117"/>
      <c r="W604" s="117"/>
      <c r="X604" s="117"/>
      <c r="Y604" s="117"/>
      <c r="Z604" s="150"/>
      <c r="AA604" s="117"/>
      <c r="AB604" s="117"/>
      <c r="AC604" s="117"/>
      <c r="AD604" s="117"/>
      <c r="AE604" s="150"/>
      <c r="AF604" s="117"/>
      <c r="AG604" s="117"/>
      <c r="AH604" s="117"/>
      <c r="AI604" s="117"/>
      <c r="AJ604" s="150"/>
      <c r="AK604" s="117"/>
      <c r="AL604" s="117"/>
      <c r="AM604" s="117"/>
      <c r="AN604" s="117"/>
      <c r="AO604" s="975">
        <v>0</v>
      </c>
      <c r="AP604" s="117"/>
      <c r="AQ604" s="117"/>
      <c r="AR604" s="117"/>
      <c r="AS604" s="117"/>
      <c r="AT604" s="975">
        <v>0</v>
      </c>
      <c r="AU604" s="117"/>
      <c r="AV604" s="117"/>
      <c r="AW604" s="117"/>
      <c r="AX604" s="117"/>
      <c r="AY604" s="975">
        <v>0</v>
      </c>
      <c r="AZ604" s="117"/>
      <c r="BA604" s="117"/>
      <c r="BB604" s="117"/>
      <c r="BC604" s="117"/>
      <c r="BD604" s="975">
        <v>0</v>
      </c>
      <c r="BE604" s="117"/>
      <c r="BF604" s="117"/>
      <c r="BG604" s="117"/>
      <c r="BH604" s="117"/>
      <c r="BI604" s="975">
        <v>0</v>
      </c>
      <c r="BJ604" s="117"/>
      <c r="BK604" s="117"/>
      <c r="BL604" s="117"/>
      <c r="BM604" s="117"/>
      <c r="BN604" s="975">
        <v>0</v>
      </c>
      <c r="BO604" s="117"/>
      <c r="BP604" s="117"/>
      <c r="BQ604" s="117"/>
      <c r="BR604" s="117"/>
      <c r="BS604" s="975">
        <v>0</v>
      </c>
      <c r="BT604" s="691"/>
      <c r="BU604" s="117"/>
      <c r="BV604" s="117"/>
      <c r="BW604" s="117"/>
      <c r="BX604" s="150"/>
      <c r="BY604" s="117"/>
      <c r="BZ604" s="117"/>
      <c r="CA604" s="117"/>
      <c r="CB604" s="117"/>
      <c r="CC604" s="150"/>
      <c r="CD604" s="150"/>
      <c r="CE604" s="150"/>
      <c r="CF604" s="150"/>
      <c r="CG604" s="587"/>
    </row>
    <row r="605" spans="1:85" s="460" customFormat="1" ht="14.4" hidden="1" outlineLevel="1" x14ac:dyDescent="0.3">
      <c r="A605" s="159" t="s">
        <v>1357</v>
      </c>
      <c r="B605" s="586"/>
      <c r="C605" s="150"/>
      <c r="D605" s="150"/>
      <c r="E605" s="150"/>
      <c r="F605" s="150"/>
      <c r="G605" s="117"/>
      <c r="H605" s="117"/>
      <c r="I605" s="117"/>
      <c r="J605" s="117"/>
      <c r="K605" s="150"/>
      <c r="L605" s="117"/>
      <c r="M605" s="117"/>
      <c r="N605" s="117"/>
      <c r="O605" s="117"/>
      <c r="P605" s="150"/>
      <c r="Q605" s="117"/>
      <c r="R605" s="117"/>
      <c r="S605" s="117"/>
      <c r="T605" s="117"/>
      <c r="U605" s="150"/>
      <c r="V605" s="117"/>
      <c r="W605" s="117"/>
      <c r="X605" s="117"/>
      <c r="Y605" s="117"/>
      <c r="Z605" s="150"/>
      <c r="AA605" s="117"/>
      <c r="AB605" s="117"/>
      <c r="AC605" s="117"/>
      <c r="AD605" s="117"/>
      <c r="AE605" s="150"/>
      <c r="AF605" s="117"/>
      <c r="AG605" s="117"/>
      <c r="AH605" s="117"/>
      <c r="AI605" s="117"/>
      <c r="AJ605" s="150"/>
      <c r="AK605" s="117"/>
      <c r="AL605" s="117"/>
      <c r="AM605" s="117"/>
      <c r="AN605" s="117"/>
      <c r="AO605" s="975">
        <v>0</v>
      </c>
      <c r="AP605" s="117"/>
      <c r="AQ605" s="117"/>
      <c r="AR605" s="117"/>
      <c r="AS605" s="117"/>
      <c r="AT605" s="975">
        <v>0</v>
      </c>
      <c r="AU605" s="117"/>
      <c r="AV605" s="117"/>
      <c r="AW605" s="117"/>
      <c r="AX605" s="117"/>
      <c r="AY605" s="975">
        <v>0</v>
      </c>
      <c r="AZ605" s="117"/>
      <c r="BA605" s="117"/>
      <c r="BB605" s="117"/>
      <c r="BC605" s="117"/>
      <c r="BD605" s="975">
        <v>0</v>
      </c>
      <c r="BE605" s="117"/>
      <c r="BF605" s="117"/>
      <c r="BG605" s="117"/>
      <c r="BH605" s="117"/>
      <c r="BI605" s="975">
        <v>0</v>
      </c>
      <c r="BJ605" s="117"/>
      <c r="BK605" s="117"/>
      <c r="BL605" s="117"/>
      <c r="BM605" s="117"/>
      <c r="BN605" s="975">
        <v>0</v>
      </c>
      <c r="BO605" s="117"/>
      <c r="BP605" s="117"/>
      <c r="BQ605" s="117"/>
      <c r="BR605" s="117"/>
      <c r="BS605" s="975">
        <v>0</v>
      </c>
      <c r="BT605" s="691"/>
      <c r="BU605" s="117"/>
      <c r="BV605" s="117"/>
      <c r="BW605" s="117"/>
      <c r="BX605" s="150"/>
      <c r="BY605" s="117"/>
      <c r="BZ605" s="117"/>
      <c r="CA605" s="117"/>
      <c r="CB605" s="117"/>
      <c r="CC605" s="150"/>
      <c r="CD605" s="150"/>
      <c r="CE605" s="150"/>
      <c r="CF605" s="150"/>
      <c r="CG605" s="587"/>
    </row>
    <row r="606" spans="1:85" s="460" customFormat="1" ht="14.4" hidden="1" outlineLevel="1" x14ac:dyDescent="0.3">
      <c r="A606" s="159" t="s">
        <v>1358</v>
      </c>
      <c r="B606" s="586"/>
      <c r="C606" s="150"/>
      <c r="D606" s="150"/>
      <c r="E606" s="150"/>
      <c r="F606" s="150"/>
      <c r="G606" s="117"/>
      <c r="H606" s="117"/>
      <c r="I606" s="117"/>
      <c r="J606" s="117"/>
      <c r="K606" s="150"/>
      <c r="L606" s="117"/>
      <c r="M606" s="117"/>
      <c r="N606" s="117"/>
      <c r="O606" s="117"/>
      <c r="P606" s="150"/>
      <c r="Q606" s="117"/>
      <c r="R606" s="117"/>
      <c r="S606" s="117"/>
      <c r="T606" s="117"/>
      <c r="U606" s="150"/>
      <c r="V606" s="117"/>
      <c r="W606" s="117"/>
      <c r="X606" s="117"/>
      <c r="Y606" s="117"/>
      <c r="Z606" s="150"/>
      <c r="AA606" s="117"/>
      <c r="AB606" s="117"/>
      <c r="AC606" s="117"/>
      <c r="AD606" s="117"/>
      <c r="AE606" s="150"/>
      <c r="AF606" s="117"/>
      <c r="AG606" s="117"/>
      <c r="AH606" s="117"/>
      <c r="AI606" s="117"/>
      <c r="AJ606" s="150"/>
      <c r="AK606" s="117"/>
      <c r="AL606" s="117"/>
      <c r="AM606" s="117"/>
      <c r="AN606" s="117"/>
      <c r="AO606" s="975">
        <v>0</v>
      </c>
      <c r="AP606" s="117"/>
      <c r="AQ606" s="117"/>
      <c r="AR606" s="117"/>
      <c r="AS606" s="117"/>
      <c r="AT606" s="975">
        <v>0</v>
      </c>
      <c r="AU606" s="117"/>
      <c r="AV606" s="117"/>
      <c r="AW606" s="117"/>
      <c r="AX606" s="117"/>
      <c r="AY606" s="975">
        <v>0</v>
      </c>
      <c r="AZ606" s="117"/>
      <c r="BA606" s="117"/>
      <c r="BB606" s="117"/>
      <c r="BC606" s="117"/>
      <c r="BD606" s="975">
        <v>0</v>
      </c>
      <c r="BE606" s="117"/>
      <c r="BF606" s="117"/>
      <c r="BG606" s="117"/>
      <c r="BH606" s="117"/>
      <c r="BI606" s="975">
        <v>0</v>
      </c>
      <c r="BJ606" s="117"/>
      <c r="BK606" s="117"/>
      <c r="BL606" s="117"/>
      <c r="BM606" s="117"/>
      <c r="BN606" s="975">
        <v>0</v>
      </c>
      <c r="BO606" s="117"/>
      <c r="BP606" s="117"/>
      <c r="BQ606" s="117"/>
      <c r="BR606" s="117"/>
      <c r="BS606" s="975">
        <v>0</v>
      </c>
      <c r="BT606" s="691"/>
      <c r="BU606" s="117"/>
      <c r="BV606" s="117"/>
      <c r="BW606" s="117"/>
      <c r="BX606" s="150"/>
      <c r="BY606" s="117"/>
      <c r="BZ606" s="117"/>
      <c r="CA606" s="117"/>
      <c r="CB606" s="117"/>
      <c r="CC606" s="150"/>
      <c r="CD606" s="150"/>
      <c r="CE606" s="150"/>
      <c r="CF606" s="150"/>
      <c r="CG606" s="587"/>
    </row>
    <row r="607" spans="1:85" s="460" customFormat="1" ht="14.4" hidden="1" outlineLevel="1" x14ac:dyDescent="0.3">
      <c r="A607" s="262" t="s">
        <v>1359</v>
      </c>
      <c r="B607" s="588"/>
      <c r="C607" s="954"/>
      <c r="D607" s="954"/>
      <c r="E607" s="954"/>
      <c r="F607" s="954"/>
      <c r="G607" s="133"/>
      <c r="H607" s="133"/>
      <c r="I607" s="133"/>
      <c r="J607" s="133"/>
      <c r="K607" s="954"/>
      <c r="L607" s="133"/>
      <c r="M607" s="133"/>
      <c r="N607" s="133"/>
      <c r="O607" s="133"/>
      <c r="P607" s="954"/>
      <c r="Q607" s="133"/>
      <c r="R607" s="133"/>
      <c r="S607" s="133"/>
      <c r="T607" s="133"/>
      <c r="U607" s="954"/>
      <c r="V607" s="133"/>
      <c r="W607" s="133"/>
      <c r="X607" s="133"/>
      <c r="Y607" s="133"/>
      <c r="Z607" s="954"/>
      <c r="AA607" s="133"/>
      <c r="AB607" s="133"/>
      <c r="AC607" s="133"/>
      <c r="AD607" s="133"/>
      <c r="AE607" s="954"/>
      <c r="AF607" s="133"/>
      <c r="AG607" s="133"/>
      <c r="AH607" s="133"/>
      <c r="AI607" s="133"/>
      <c r="AJ607" s="954"/>
      <c r="AK607" s="133"/>
      <c r="AL607" s="133"/>
      <c r="AM607" s="133"/>
      <c r="AN607" s="133"/>
      <c r="AO607" s="976">
        <v>0</v>
      </c>
      <c r="AP607" s="133"/>
      <c r="AQ607" s="133"/>
      <c r="AR607" s="133"/>
      <c r="AS607" s="133"/>
      <c r="AT607" s="976">
        <v>0</v>
      </c>
      <c r="AU607" s="133"/>
      <c r="AV607" s="133"/>
      <c r="AW607" s="133"/>
      <c r="AX607" s="133"/>
      <c r="AY607" s="976">
        <v>0</v>
      </c>
      <c r="AZ607" s="133"/>
      <c r="BA607" s="133"/>
      <c r="BB607" s="133"/>
      <c r="BC607" s="133"/>
      <c r="BD607" s="976">
        <v>0</v>
      </c>
      <c r="BE607" s="133"/>
      <c r="BF607" s="133"/>
      <c r="BG607" s="133"/>
      <c r="BH607" s="133"/>
      <c r="BI607" s="976">
        <v>0</v>
      </c>
      <c r="BJ607" s="133"/>
      <c r="BK607" s="133"/>
      <c r="BL607" s="133"/>
      <c r="BM607" s="133"/>
      <c r="BN607" s="976">
        <v>0</v>
      </c>
      <c r="BO607" s="133"/>
      <c r="BP607" s="133"/>
      <c r="BQ607" s="133"/>
      <c r="BR607" s="133"/>
      <c r="BS607" s="976">
        <v>0</v>
      </c>
      <c r="BT607" s="692"/>
      <c r="BU607" s="133"/>
      <c r="BV607" s="133"/>
      <c r="BW607" s="133"/>
      <c r="BX607" s="954"/>
      <c r="BY607" s="133"/>
      <c r="BZ607" s="133"/>
      <c r="CA607" s="133"/>
      <c r="CB607" s="133"/>
      <c r="CC607" s="954"/>
      <c r="CD607" s="954"/>
      <c r="CE607" s="954"/>
      <c r="CF607" s="954"/>
      <c r="CG607" s="587"/>
    </row>
    <row r="608" spans="1:85" s="461" customFormat="1" ht="14.4" hidden="1" outlineLevel="1" x14ac:dyDescent="0.3">
      <c r="A608" s="166" t="s">
        <v>1360</v>
      </c>
      <c r="B608" s="583"/>
      <c r="C608" s="957"/>
      <c r="D608" s="957"/>
      <c r="E608" s="957"/>
      <c r="F608" s="957"/>
      <c r="G608" s="120"/>
      <c r="H608" s="120"/>
      <c r="I608" s="120"/>
      <c r="J608" s="120"/>
      <c r="K608" s="957"/>
      <c r="L608" s="120"/>
      <c r="M608" s="120"/>
      <c r="N608" s="120"/>
      <c r="O608" s="120"/>
      <c r="P608" s="957"/>
      <c r="Q608" s="120"/>
      <c r="R608" s="120"/>
      <c r="S608" s="120"/>
      <c r="T608" s="120"/>
      <c r="U608" s="957"/>
      <c r="V608" s="120"/>
      <c r="W608" s="120"/>
      <c r="X608" s="120"/>
      <c r="Y608" s="120"/>
      <c r="Z608" s="957"/>
      <c r="AA608" s="120"/>
      <c r="AB608" s="120"/>
      <c r="AC608" s="120"/>
      <c r="AD608" s="120"/>
      <c r="AE608" s="957"/>
      <c r="AF608" s="120"/>
      <c r="AG608" s="120"/>
      <c r="AH608" s="120"/>
      <c r="AI608" s="120"/>
      <c r="AJ608" s="957"/>
      <c r="AK608" s="120"/>
      <c r="AL608" s="120"/>
      <c r="AM608" s="120"/>
      <c r="AN608" s="120"/>
      <c r="AO608" s="957">
        <f>SUM(AO601:AO607)</f>
        <v>0</v>
      </c>
      <c r="AP608" s="120"/>
      <c r="AQ608" s="120"/>
      <c r="AR608" s="120"/>
      <c r="AS608" s="120"/>
      <c r="AT608" s="957">
        <f>SUM(AT601:AT607)</f>
        <v>0</v>
      </c>
      <c r="AU608" s="120"/>
      <c r="AV608" s="120"/>
      <c r="AW608" s="120"/>
      <c r="AX608" s="120"/>
      <c r="AY608" s="957">
        <f>SUM(AY601:AY607)</f>
        <v>0</v>
      </c>
      <c r="AZ608" s="120"/>
      <c r="BA608" s="120"/>
      <c r="BB608" s="120"/>
      <c r="BC608" s="120"/>
      <c r="BD608" s="957">
        <f>SUM(BD601:BD607)</f>
        <v>0</v>
      </c>
      <c r="BE608" s="120"/>
      <c r="BF608" s="120"/>
      <c r="BG608" s="120"/>
      <c r="BH608" s="120"/>
      <c r="BI608" s="957">
        <f>SUM(BI601:BI607)</f>
        <v>0</v>
      </c>
      <c r="BJ608" s="120"/>
      <c r="BK608" s="120"/>
      <c r="BL608" s="120"/>
      <c r="BM608" s="120"/>
      <c r="BN608" s="957">
        <f>SUM(BN601:BN607)</f>
        <v>0</v>
      </c>
      <c r="BO608" s="120"/>
      <c r="BP608" s="120"/>
      <c r="BQ608" s="120"/>
      <c r="BR608" s="120"/>
      <c r="BS608" s="957">
        <f>SUM(BS601:BS607)</f>
        <v>0</v>
      </c>
      <c r="BT608" s="694"/>
      <c r="BU608" s="120"/>
      <c r="BV608" s="120"/>
      <c r="BW608" s="120"/>
      <c r="BX608" s="957"/>
      <c r="BY608" s="120"/>
      <c r="BZ608" s="120"/>
      <c r="CA608" s="120"/>
      <c r="CB608" s="120"/>
      <c r="CC608" s="957"/>
      <c r="CD608" s="957"/>
      <c r="CE608" s="957"/>
      <c r="CF608" s="957"/>
      <c r="CG608" s="615"/>
    </row>
    <row r="609" spans="1:85" s="461" customFormat="1" ht="14.4" hidden="1" outlineLevel="1" x14ac:dyDescent="0.3">
      <c r="A609" s="166" t="s">
        <v>1361</v>
      </c>
      <c r="B609" s="583"/>
      <c r="C609" s="957"/>
      <c r="D609" s="957"/>
      <c r="E609" s="957"/>
      <c r="F609" s="957"/>
      <c r="G609" s="120"/>
      <c r="H609" s="120"/>
      <c r="I609" s="120"/>
      <c r="J609" s="120"/>
      <c r="K609" s="957"/>
      <c r="L609" s="120"/>
      <c r="M609" s="120"/>
      <c r="N609" s="120"/>
      <c r="O609" s="120"/>
      <c r="P609" s="957"/>
      <c r="Q609" s="120"/>
      <c r="R609" s="120"/>
      <c r="S609" s="120"/>
      <c r="T609" s="120"/>
      <c r="U609" s="957"/>
      <c r="V609" s="120"/>
      <c r="W609" s="120"/>
      <c r="X609" s="120"/>
      <c r="Y609" s="120"/>
      <c r="Z609" s="957"/>
      <c r="AA609" s="120"/>
      <c r="AB609" s="120"/>
      <c r="AC609" s="120"/>
      <c r="AD609" s="120"/>
      <c r="AE609" s="957"/>
      <c r="AF609" s="120"/>
      <c r="AG609" s="120"/>
      <c r="AH609" s="120"/>
      <c r="AI609" s="120"/>
      <c r="AJ609" s="957"/>
      <c r="AK609" s="120"/>
      <c r="AL609" s="120"/>
      <c r="AM609" s="120"/>
      <c r="AN609" s="120"/>
      <c r="AO609" s="983">
        <v>5</v>
      </c>
      <c r="AP609" s="120"/>
      <c r="AQ609" s="120"/>
      <c r="AR609" s="120"/>
      <c r="AS609" s="120"/>
      <c r="AT609" s="983">
        <v>4</v>
      </c>
      <c r="AU609" s="120"/>
      <c r="AV609" s="120"/>
      <c r="AW609" s="120"/>
      <c r="AX609" s="120"/>
      <c r="AY609" s="983">
        <v>4</v>
      </c>
      <c r="AZ609" s="120"/>
      <c r="BA609" s="120"/>
      <c r="BB609" s="120"/>
      <c r="BC609" s="120"/>
      <c r="BD609" s="983">
        <v>3</v>
      </c>
      <c r="BE609" s="120"/>
      <c r="BF609" s="120"/>
      <c r="BG609" s="120"/>
      <c r="BH609" s="120"/>
      <c r="BI609" s="983">
        <v>3</v>
      </c>
      <c r="BJ609" s="120"/>
      <c r="BK609" s="120"/>
      <c r="BL609" s="120"/>
      <c r="BM609" s="120"/>
      <c r="BN609" s="983">
        <v>2</v>
      </c>
      <c r="BO609" s="120"/>
      <c r="BP609" s="120"/>
      <c r="BQ609" s="120"/>
      <c r="BR609" s="120"/>
      <c r="BS609" s="983">
        <v>1</v>
      </c>
      <c r="BT609" s="694"/>
      <c r="BU609" s="120"/>
      <c r="BV609" s="120"/>
      <c r="BW609" s="120"/>
      <c r="BX609" s="957"/>
      <c r="BY609" s="120"/>
      <c r="BZ609" s="120"/>
      <c r="CA609" s="120"/>
      <c r="CB609" s="120"/>
      <c r="CC609" s="957"/>
      <c r="CD609" s="957"/>
      <c r="CE609" s="957"/>
      <c r="CF609" s="957"/>
      <c r="CG609" s="615"/>
    </row>
    <row r="610" spans="1:85" s="460" customFormat="1" ht="14.4" hidden="1" outlineLevel="1" x14ac:dyDescent="0.3">
      <c r="A610" s="159" t="s">
        <v>1362</v>
      </c>
      <c r="B610" s="586"/>
      <c r="C610" s="150"/>
      <c r="D610" s="150"/>
      <c r="E610" s="150"/>
      <c r="F610" s="150"/>
      <c r="G610" s="117"/>
      <c r="H610" s="117"/>
      <c r="I610" s="117"/>
      <c r="J610" s="117"/>
      <c r="K610" s="150"/>
      <c r="L610" s="117"/>
      <c r="M610" s="117"/>
      <c r="N610" s="117"/>
      <c r="O610" s="117"/>
      <c r="P610" s="150"/>
      <c r="Q610" s="117"/>
      <c r="R610" s="117"/>
      <c r="S610" s="117"/>
      <c r="T610" s="117"/>
      <c r="U610" s="150"/>
      <c r="V610" s="117"/>
      <c r="W610" s="117"/>
      <c r="X610" s="117"/>
      <c r="Y610" s="117"/>
      <c r="Z610" s="150"/>
      <c r="AA610" s="117"/>
      <c r="AB610" s="117"/>
      <c r="AC610" s="117"/>
      <c r="AD610" s="117"/>
      <c r="AE610" s="150"/>
      <c r="AF610" s="117"/>
      <c r="AG610" s="117"/>
      <c r="AH610" s="117"/>
      <c r="AI610" s="117"/>
      <c r="AJ610" s="150"/>
      <c r="AK610" s="117"/>
      <c r="AL610" s="117"/>
      <c r="AM610" s="117"/>
      <c r="AN610" s="117"/>
      <c r="AO610" s="975">
        <v>0</v>
      </c>
      <c r="AP610" s="117"/>
      <c r="AQ610" s="117"/>
      <c r="AR610" s="117"/>
      <c r="AS610" s="117"/>
      <c r="AT610" s="975">
        <v>0</v>
      </c>
      <c r="AU610" s="117"/>
      <c r="AV610" s="117"/>
      <c r="AW610" s="117"/>
      <c r="AX610" s="117"/>
      <c r="AY610" s="975">
        <v>0</v>
      </c>
      <c r="AZ610" s="117"/>
      <c r="BA610" s="117"/>
      <c r="BB610" s="117"/>
      <c r="BC610" s="117"/>
      <c r="BD610" s="975">
        <v>0</v>
      </c>
      <c r="BE610" s="117"/>
      <c r="BF610" s="117"/>
      <c r="BG610" s="117"/>
      <c r="BH610" s="117"/>
      <c r="BI610" s="975">
        <v>0</v>
      </c>
      <c r="BJ610" s="117"/>
      <c r="BK610" s="117"/>
      <c r="BL610" s="117"/>
      <c r="BM610" s="117"/>
      <c r="BN610" s="975">
        <v>0</v>
      </c>
      <c r="BO610" s="117"/>
      <c r="BP610" s="117"/>
      <c r="BQ610" s="117"/>
      <c r="BR610" s="117"/>
      <c r="BS610" s="975">
        <v>0</v>
      </c>
      <c r="BT610" s="691"/>
      <c r="BU610" s="117"/>
      <c r="BV610" s="117"/>
      <c r="BW610" s="117"/>
      <c r="BX610" s="150"/>
      <c r="BY610" s="117"/>
      <c r="BZ610" s="117"/>
      <c r="CA610" s="117"/>
      <c r="CB610" s="117"/>
      <c r="CC610" s="150"/>
      <c r="CD610" s="150"/>
      <c r="CE610" s="150"/>
      <c r="CF610" s="150"/>
      <c r="CG610" s="587"/>
    </row>
    <row r="611" spans="1:85" s="460" customFormat="1" ht="14.4" hidden="1" outlineLevel="1" x14ac:dyDescent="0.3">
      <c r="A611" s="159" t="s">
        <v>1363</v>
      </c>
      <c r="B611" s="586"/>
      <c r="C611" s="150"/>
      <c r="D611" s="150"/>
      <c r="E611" s="150"/>
      <c r="F611" s="150"/>
      <c r="G611" s="117"/>
      <c r="H611" s="117"/>
      <c r="I611" s="117"/>
      <c r="J611" s="117"/>
      <c r="K611" s="150"/>
      <c r="L611" s="117"/>
      <c r="M611" s="117"/>
      <c r="N611" s="117"/>
      <c r="O611" s="117"/>
      <c r="P611" s="150"/>
      <c r="Q611" s="117"/>
      <c r="R611" s="117"/>
      <c r="S611" s="117"/>
      <c r="T611" s="117"/>
      <c r="U611" s="150"/>
      <c r="V611" s="117"/>
      <c r="W611" s="117"/>
      <c r="X611" s="117"/>
      <c r="Y611" s="117"/>
      <c r="Z611" s="150"/>
      <c r="AA611" s="117"/>
      <c r="AB611" s="117"/>
      <c r="AC611" s="117"/>
      <c r="AD611" s="117"/>
      <c r="AE611" s="150"/>
      <c r="AF611" s="117"/>
      <c r="AG611" s="117"/>
      <c r="AH611" s="117"/>
      <c r="AI611" s="117"/>
      <c r="AJ611" s="150"/>
      <c r="AK611" s="117"/>
      <c r="AL611" s="117"/>
      <c r="AM611" s="117"/>
      <c r="AN611" s="117"/>
      <c r="AO611" s="975">
        <v>0</v>
      </c>
      <c r="AP611" s="117"/>
      <c r="AQ611" s="117"/>
      <c r="AR611" s="117"/>
      <c r="AS611" s="117"/>
      <c r="AT611" s="975">
        <v>0</v>
      </c>
      <c r="AU611" s="117"/>
      <c r="AV611" s="117"/>
      <c r="AW611" s="117"/>
      <c r="AX611" s="117"/>
      <c r="AY611" s="975">
        <v>0</v>
      </c>
      <c r="AZ611" s="117"/>
      <c r="BA611" s="117"/>
      <c r="BB611" s="117"/>
      <c r="BC611" s="117"/>
      <c r="BD611" s="975">
        <v>0</v>
      </c>
      <c r="BE611" s="117"/>
      <c r="BF611" s="117"/>
      <c r="BG611" s="117"/>
      <c r="BH611" s="117"/>
      <c r="BI611" s="975">
        <v>0</v>
      </c>
      <c r="BJ611" s="117"/>
      <c r="BK611" s="117"/>
      <c r="BL611" s="117"/>
      <c r="BM611" s="117"/>
      <c r="BN611" s="975">
        <v>0</v>
      </c>
      <c r="BO611" s="117"/>
      <c r="BP611" s="117"/>
      <c r="BQ611" s="117"/>
      <c r="BR611" s="117"/>
      <c r="BS611" s="975">
        <v>0</v>
      </c>
      <c r="BT611" s="691"/>
      <c r="BU611" s="117"/>
      <c r="BV611" s="117"/>
      <c r="BW611" s="117"/>
      <c r="BX611" s="150"/>
      <c r="BY611" s="117"/>
      <c r="BZ611" s="117"/>
      <c r="CA611" s="117"/>
      <c r="CB611" s="117"/>
      <c r="CC611" s="150"/>
      <c r="CD611" s="150"/>
      <c r="CE611" s="150"/>
      <c r="CF611" s="150"/>
      <c r="CG611" s="587"/>
    </row>
    <row r="612" spans="1:85" s="460" customFormat="1" ht="14.4" hidden="1" outlineLevel="1" x14ac:dyDescent="0.3">
      <c r="A612" s="159" t="s">
        <v>1364</v>
      </c>
      <c r="B612" s="586"/>
      <c r="C612" s="150"/>
      <c r="D612" s="150"/>
      <c r="E612" s="150"/>
      <c r="F612" s="150"/>
      <c r="G612" s="117"/>
      <c r="H612" s="117"/>
      <c r="I612" s="117"/>
      <c r="J612" s="117"/>
      <c r="K612" s="150"/>
      <c r="L612" s="117"/>
      <c r="M612" s="117"/>
      <c r="N612" s="117"/>
      <c r="O612" s="117"/>
      <c r="P612" s="150"/>
      <c r="Q612" s="117"/>
      <c r="R612" s="117"/>
      <c r="S612" s="117"/>
      <c r="T612" s="117"/>
      <c r="U612" s="150"/>
      <c r="V612" s="117"/>
      <c r="W612" s="117"/>
      <c r="X612" s="117"/>
      <c r="Y612" s="117"/>
      <c r="Z612" s="150"/>
      <c r="AA612" s="117"/>
      <c r="AB612" s="117"/>
      <c r="AC612" s="117"/>
      <c r="AD612" s="117"/>
      <c r="AE612" s="150"/>
      <c r="AF612" s="117"/>
      <c r="AG612" s="117"/>
      <c r="AH612" s="117"/>
      <c r="AI612" s="117"/>
      <c r="AJ612" s="150"/>
      <c r="AK612" s="117"/>
      <c r="AL612" s="117"/>
      <c r="AM612" s="117"/>
      <c r="AN612" s="117"/>
      <c r="AO612" s="975">
        <v>0</v>
      </c>
      <c r="AP612" s="117"/>
      <c r="AQ612" s="117"/>
      <c r="AR612" s="117"/>
      <c r="AS612" s="117"/>
      <c r="AT612" s="975">
        <v>0</v>
      </c>
      <c r="AU612" s="117"/>
      <c r="AV612" s="117"/>
      <c r="AW612" s="117"/>
      <c r="AX612" s="117"/>
      <c r="AY612" s="975">
        <v>0</v>
      </c>
      <c r="AZ612" s="117"/>
      <c r="BA612" s="117"/>
      <c r="BB612" s="117"/>
      <c r="BC612" s="117"/>
      <c r="BD612" s="975">
        <v>0</v>
      </c>
      <c r="BE612" s="117"/>
      <c r="BF612" s="117"/>
      <c r="BG612" s="117"/>
      <c r="BH612" s="117"/>
      <c r="BI612" s="975">
        <v>0</v>
      </c>
      <c r="BJ612" s="117"/>
      <c r="BK612" s="117"/>
      <c r="BL612" s="117"/>
      <c r="BM612" s="117"/>
      <c r="BN612" s="975">
        <v>0</v>
      </c>
      <c r="BO612" s="117"/>
      <c r="BP612" s="117"/>
      <c r="BQ612" s="117"/>
      <c r="BR612" s="117"/>
      <c r="BS612" s="975">
        <v>0</v>
      </c>
      <c r="BT612" s="691"/>
      <c r="BU612" s="117"/>
      <c r="BV612" s="117"/>
      <c r="BW612" s="117"/>
      <c r="BX612" s="150"/>
      <c r="BY612" s="117"/>
      <c r="BZ612" s="117"/>
      <c r="CA612" s="117"/>
      <c r="CB612" s="117"/>
      <c r="CC612" s="150"/>
      <c r="CD612" s="150"/>
      <c r="CE612" s="150"/>
      <c r="CF612" s="150"/>
      <c r="CG612" s="587"/>
    </row>
    <row r="613" spans="1:85" s="460" customFormat="1" ht="14.4" hidden="1" outlineLevel="1" x14ac:dyDescent="0.3">
      <c r="A613" s="159" t="s">
        <v>1365</v>
      </c>
      <c r="B613" s="586"/>
      <c r="C613" s="150"/>
      <c r="D613" s="150"/>
      <c r="E613" s="150"/>
      <c r="F613" s="150"/>
      <c r="G613" s="117"/>
      <c r="H613" s="117"/>
      <c r="I613" s="117"/>
      <c r="J613" s="117"/>
      <c r="K613" s="150"/>
      <c r="L613" s="117"/>
      <c r="M613" s="117"/>
      <c r="N613" s="117"/>
      <c r="O613" s="117"/>
      <c r="P613" s="150"/>
      <c r="Q613" s="117"/>
      <c r="R613" s="117"/>
      <c r="S613" s="117"/>
      <c r="T613" s="117"/>
      <c r="U613" s="150"/>
      <c r="V613" s="117"/>
      <c r="W613" s="117"/>
      <c r="X613" s="117"/>
      <c r="Y613" s="117"/>
      <c r="Z613" s="150"/>
      <c r="AA613" s="117"/>
      <c r="AB613" s="117"/>
      <c r="AC613" s="117"/>
      <c r="AD613" s="117"/>
      <c r="AE613" s="150"/>
      <c r="AF613" s="117"/>
      <c r="AG613" s="117"/>
      <c r="AH613" s="117"/>
      <c r="AI613" s="117"/>
      <c r="AJ613" s="150"/>
      <c r="AK613" s="117"/>
      <c r="AL613" s="117"/>
      <c r="AM613" s="117"/>
      <c r="AN613" s="117"/>
      <c r="AO613" s="975">
        <v>0</v>
      </c>
      <c r="AP613" s="117"/>
      <c r="AQ613" s="117"/>
      <c r="AR613" s="117"/>
      <c r="AS613" s="117"/>
      <c r="AT613" s="975">
        <v>0</v>
      </c>
      <c r="AU613" s="117"/>
      <c r="AV613" s="117"/>
      <c r="AW613" s="117"/>
      <c r="AX613" s="117"/>
      <c r="AY613" s="975">
        <v>0</v>
      </c>
      <c r="AZ613" s="117"/>
      <c r="BA613" s="117"/>
      <c r="BB613" s="117"/>
      <c r="BC613" s="117"/>
      <c r="BD613" s="975">
        <v>0</v>
      </c>
      <c r="BE613" s="117"/>
      <c r="BF613" s="117"/>
      <c r="BG613" s="117"/>
      <c r="BH613" s="117"/>
      <c r="BI613" s="975">
        <v>0</v>
      </c>
      <c r="BJ613" s="117"/>
      <c r="BK613" s="117"/>
      <c r="BL613" s="117"/>
      <c r="BM613" s="117"/>
      <c r="BN613" s="975">
        <v>0</v>
      </c>
      <c r="BO613" s="117"/>
      <c r="BP613" s="117"/>
      <c r="BQ613" s="117"/>
      <c r="BR613" s="117"/>
      <c r="BS613" s="975">
        <v>0</v>
      </c>
      <c r="BT613" s="691"/>
      <c r="BU613" s="117"/>
      <c r="BV613" s="117"/>
      <c r="BW613" s="117"/>
      <c r="BX613" s="150"/>
      <c r="BY613" s="117"/>
      <c r="BZ613" s="117"/>
      <c r="CA613" s="117"/>
      <c r="CB613" s="117"/>
      <c r="CC613" s="150"/>
      <c r="CD613" s="150"/>
      <c r="CE613" s="150"/>
      <c r="CF613" s="150"/>
      <c r="CG613" s="587"/>
    </row>
    <row r="614" spans="1:85" s="460" customFormat="1" ht="14.4" hidden="1" outlineLevel="1" x14ac:dyDescent="0.3">
      <c r="A614" s="159" t="s">
        <v>1366</v>
      </c>
      <c r="B614" s="586"/>
      <c r="C614" s="150"/>
      <c r="D614" s="150"/>
      <c r="E614" s="150"/>
      <c r="F614" s="150"/>
      <c r="G614" s="117"/>
      <c r="H614" s="117"/>
      <c r="I614" s="117"/>
      <c r="J614" s="117"/>
      <c r="K614" s="150"/>
      <c r="L614" s="117"/>
      <c r="M614" s="117"/>
      <c r="N614" s="117"/>
      <c r="O614" s="117"/>
      <c r="P614" s="150"/>
      <c r="Q614" s="117"/>
      <c r="R614" s="117"/>
      <c r="S614" s="117"/>
      <c r="T614" s="117"/>
      <c r="U614" s="150"/>
      <c r="V614" s="117"/>
      <c r="W614" s="117"/>
      <c r="X614" s="117"/>
      <c r="Y614" s="117"/>
      <c r="Z614" s="150"/>
      <c r="AA614" s="117"/>
      <c r="AB614" s="117"/>
      <c r="AC614" s="117"/>
      <c r="AD614" s="117"/>
      <c r="AE614" s="150"/>
      <c r="AF614" s="117"/>
      <c r="AG614" s="117"/>
      <c r="AH614" s="117"/>
      <c r="AI614" s="117"/>
      <c r="AJ614" s="150"/>
      <c r="AK614" s="117"/>
      <c r="AL614" s="117"/>
      <c r="AM614" s="117"/>
      <c r="AN614" s="117"/>
      <c r="AO614" s="975">
        <v>0</v>
      </c>
      <c r="AP614" s="117"/>
      <c r="AQ614" s="117"/>
      <c r="AR614" s="117"/>
      <c r="AS614" s="117"/>
      <c r="AT614" s="975">
        <v>0</v>
      </c>
      <c r="AU614" s="117"/>
      <c r="AV614" s="117"/>
      <c r="AW614" s="117"/>
      <c r="AX614" s="117"/>
      <c r="AY614" s="975">
        <v>0</v>
      </c>
      <c r="AZ614" s="117"/>
      <c r="BA614" s="117"/>
      <c r="BB614" s="117"/>
      <c r="BC614" s="117"/>
      <c r="BD614" s="975">
        <v>0</v>
      </c>
      <c r="BE614" s="117"/>
      <c r="BF614" s="117"/>
      <c r="BG614" s="117"/>
      <c r="BH614" s="117"/>
      <c r="BI614" s="975">
        <v>0</v>
      </c>
      <c r="BJ614" s="117"/>
      <c r="BK614" s="117"/>
      <c r="BL614" s="117"/>
      <c r="BM614" s="117"/>
      <c r="BN614" s="975">
        <v>0</v>
      </c>
      <c r="BO614" s="117"/>
      <c r="BP614" s="117"/>
      <c r="BQ614" s="117"/>
      <c r="BR614" s="117"/>
      <c r="BS614" s="975">
        <v>0</v>
      </c>
      <c r="BT614" s="691"/>
      <c r="BU614" s="117"/>
      <c r="BV614" s="117"/>
      <c r="BW614" s="117"/>
      <c r="BX614" s="150"/>
      <c r="BY614" s="117"/>
      <c r="BZ614" s="117"/>
      <c r="CA614" s="117"/>
      <c r="CB614" s="117"/>
      <c r="CC614" s="150"/>
      <c r="CD614" s="150"/>
      <c r="CE614" s="150"/>
      <c r="CF614" s="150"/>
      <c r="CG614" s="587"/>
    </row>
    <row r="615" spans="1:85" s="460" customFormat="1" ht="14.4" hidden="1" outlineLevel="1" x14ac:dyDescent="0.3">
      <c r="A615" s="262" t="s">
        <v>1367</v>
      </c>
      <c r="B615" s="588"/>
      <c r="C615" s="954"/>
      <c r="D615" s="954"/>
      <c r="E615" s="954"/>
      <c r="F615" s="954"/>
      <c r="G615" s="133"/>
      <c r="H615" s="133"/>
      <c r="I615" s="133"/>
      <c r="J615" s="133"/>
      <c r="K615" s="954"/>
      <c r="L615" s="133"/>
      <c r="M615" s="133"/>
      <c r="N615" s="133"/>
      <c r="O615" s="133"/>
      <c r="P615" s="954"/>
      <c r="Q615" s="133"/>
      <c r="R615" s="133"/>
      <c r="S615" s="133"/>
      <c r="T615" s="133"/>
      <c r="U615" s="954"/>
      <c r="V615" s="133"/>
      <c r="W615" s="133"/>
      <c r="X615" s="133"/>
      <c r="Y615" s="133"/>
      <c r="Z615" s="954"/>
      <c r="AA615" s="133"/>
      <c r="AB615" s="133"/>
      <c r="AC615" s="133"/>
      <c r="AD615" s="133"/>
      <c r="AE615" s="954"/>
      <c r="AF615" s="133"/>
      <c r="AG615" s="133"/>
      <c r="AH615" s="133"/>
      <c r="AI615" s="133"/>
      <c r="AJ615" s="954"/>
      <c r="AK615" s="133"/>
      <c r="AL615" s="133"/>
      <c r="AM615" s="133"/>
      <c r="AN615" s="133"/>
      <c r="AO615" s="976">
        <v>-1</v>
      </c>
      <c r="AP615" s="133"/>
      <c r="AQ615" s="133"/>
      <c r="AR615" s="133"/>
      <c r="AS615" s="133"/>
      <c r="AT615" s="976">
        <v>0</v>
      </c>
      <c r="AU615" s="133"/>
      <c r="AV615" s="133"/>
      <c r="AW615" s="133"/>
      <c r="AX615" s="133"/>
      <c r="AY615" s="976">
        <v>-1</v>
      </c>
      <c r="AZ615" s="133"/>
      <c r="BA615" s="133"/>
      <c r="BB615" s="133"/>
      <c r="BC615" s="133"/>
      <c r="BD615" s="976">
        <v>0</v>
      </c>
      <c r="BE615" s="133"/>
      <c r="BF615" s="133"/>
      <c r="BG615" s="133"/>
      <c r="BH615" s="133"/>
      <c r="BI615" s="976">
        <v>-1</v>
      </c>
      <c r="BJ615" s="133"/>
      <c r="BK615" s="133"/>
      <c r="BL615" s="133"/>
      <c r="BM615" s="133"/>
      <c r="BN615" s="976">
        <v>-1</v>
      </c>
      <c r="BO615" s="133"/>
      <c r="BP615" s="133"/>
      <c r="BQ615" s="133"/>
      <c r="BR615" s="133"/>
      <c r="BS615" s="976">
        <v>0</v>
      </c>
      <c r="BT615" s="692"/>
      <c r="BU615" s="133"/>
      <c r="BV615" s="133"/>
      <c r="BW615" s="133"/>
      <c r="BX615" s="954"/>
      <c r="BY615" s="133"/>
      <c r="BZ615" s="133"/>
      <c r="CA615" s="133"/>
      <c r="CB615" s="133"/>
      <c r="CC615" s="954"/>
      <c r="CD615" s="954"/>
      <c r="CE615" s="954"/>
      <c r="CF615" s="954"/>
      <c r="CG615" s="587"/>
    </row>
    <row r="616" spans="1:85" s="461" customFormat="1" ht="14.4" hidden="1" outlineLevel="1" x14ac:dyDescent="0.3">
      <c r="A616" s="166" t="s">
        <v>1368</v>
      </c>
      <c r="B616" s="583"/>
      <c r="C616" s="957"/>
      <c r="D616" s="957"/>
      <c r="E616" s="957"/>
      <c r="F616" s="957"/>
      <c r="G616" s="120"/>
      <c r="H616" s="120"/>
      <c r="I616" s="120"/>
      <c r="J616" s="120"/>
      <c r="K616" s="957"/>
      <c r="L616" s="120"/>
      <c r="M616" s="120"/>
      <c r="N616" s="120"/>
      <c r="O616" s="120"/>
      <c r="P616" s="957"/>
      <c r="Q616" s="120"/>
      <c r="R616" s="120"/>
      <c r="S616" s="120"/>
      <c r="T616" s="120"/>
      <c r="U616" s="957"/>
      <c r="V616" s="120"/>
      <c r="W616" s="120"/>
      <c r="X616" s="120"/>
      <c r="Y616" s="120"/>
      <c r="Z616" s="957"/>
      <c r="AA616" s="120"/>
      <c r="AB616" s="120"/>
      <c r="AC616" s="120"/>
      <c r="AD616" s="120"/>
      <c r="AE616" s="957"/>
      <c r="AF616" s="120"/>
      <c r="AG616" s="120"/>
      <c r="AH616" s="120"/>
      <c r="AI616" s="120"/>
      <c r="AJ616" s="957"/>
      <c r="AK616" s="120"/>
      <c r="AL616" s="120"/>
      <c r="AM616" s="120"/>
      <c r="AN616" s="120"/>
      <c r="AO616" s="957">
        <f>SUM(AO609:AO615)</f>
        <v>4</v>
      </c>
      <c r="AP616" s="120"/>
      <c r="AQ616" s="120"/>
      <c r="AR616" s="120"/>
      <c r="AS616" s="120"/>
      <c r="AT616" s="957">
        <f>SUM(AT609:AT615)</f>
        <v>4</v>
      </c>
      <c r="AU616" s="120"/>
      <c r="AV616" s="120"/>
      <c r="AW616" s="120"/>
      <c r="AX616" s="120"/>
      <c r="AY616" s="957">
        <f>SUM(AY609:AY615)</f>
        <v>3</v>
      </c>
      <c r="AZ616" s="120"/>
      <c r="BA616" s="120"/>
      <c r="BB616" s="120"/>
      <c r="BC616" s="120"/>
      <c r="BD616" s="957">
        <f>SUM(BD609:BD615)</f>
        <v>3</v>
      </c>
      <c r="BE616" s="120"/>
      <c r="BF616" s="120"/>
      <c r="BG616" s="120"/>
      <c r="BH616" s="120"/>
      <c r="BI616" s="957">
        <f>SUM(BI609:BI615)</f>
        <v>2</v>
      </c>
      <c r="BJ616" s="120"/>
      <c r="BK616" s="120"/>
      <c r="BL616" s="120"/>
      <c r="BM616" s="120"/>
      <c r="BN616" s="957">
        <f>SUM(BN609:BN615)</f>
        <v>1</v>
      </c>
      <c r="BO616" s="120"/>
      <c r="BP616" s="120"/>
      <c r="BQ616" s="120"/>
      <c r="BR616" s="120"/>
      <c r="BS616" s="957">
        <f>SUM(BS609:BS615)</f>
        <v>1</v>
      </c>
      <c r="BT616" s="694"/>
      <c r="BU616" s="120"/>
      <c r="BV616" s="120"/>
      <c r="BW616" s="120"/>
      <c r="BX616" s="957"/>
      <c r="BY616" s="120"/>
      <c r="BZ616" s="120"/>
      <c r="CA616" s="120"/>
      <c r="CB616" s="120"/>
      <c r="CC616" s="957"/>
      <c r="CD616" s="957"/>
      <c r="CE616" s="957"/>
      <c r="CF616" s="957"/>
      <c r="CG616" s="615"/>
    </row>
    <row r="617" spans="1:85" s="461" customFormat="1" ht="14.4" hidden="1" outlineLevel="1" x14ac:dyDescent="0.3">
      <c r="A617" s="166" t="s">
        <v>1369</v>
      </c>
      <c r="B617" s="583"/>
      <c r="C617" s="957"/>
      <c r="D617" s="957"/>
      <c r="E617" s="957"/>
      <c r="F617" s="957"/>
      <c r="G617" s="120"/>
      <c r="H617" s="120"/>
      <c r="I617" s="120"/>
      <c r="J617" s="120"/>
      <c r="K617" s="957"/>
      <c r="L617" s="120"/>
      <c r="M617" s="120"/>
      <c r="N617" s="120"/>
      <c r="O617" s="120"/>
      <c r="P617" s="957"/>
      <c r="Q617" s="120"/>
      <c r="R617" s="120"/>
      <c r="S617" s="120"/>
      <c r="T617" s="120"/>
      <c r="U617" s="957"/>
      <c r="V617" s="120"/>
      <c r="W617" s="120"/>
      <c r="X617" s="120"/>
      <c r="Y617" s="120"/>
      <c r="Z617" s="957"/>
      <c r="AA617" s="120"/>
      <c r="AB617" s="120"/>
      <c r="AC617" s="120"/>
      <c r="AD617" s="120"/>
      <c r="AE617" s="957"/>
      <c r="AF617" s="120"/>
      <c r="AG617" s="120"/>
      <c r="AH617" s="120"/>
      <c r="AI617" s="120"/>
      <c r="AJ617" s="957"/>
      <c r="AK617" s="120"/>
      <c r="AL617" s="120"/>
      <c r="AM617" s="120"/>
      <c r="AN617" s="120"/>
      <c r="AO617" s="983">
        <v>3</v>
      </c>
      <c r="AP617" s="120"/>
      <c r="AQ617" s="120"/>
      <c r="AR617" s="120"/>
      <c r="AS617" s="120"/>
      <c r="AT617" s="983">
        <v>0</v>
      </c>
      <c r="AU617" s="120"/>
      <c r="AV617" s="120"/>
      <c r="AW617" s="120"/>
      <c r="AX617" s="120"/>
      <c r="AY617" s="983">
        <v>0</v>
      </c>
      <c r="AZ617" s="120"/>
      <c r="BA617" s="120"/>
      <c r="BB617" s="120"/>
      <c r="BC617" s="120"/>
      <c r="BD617" s="983">
        <v>0</v>
      </c>
      <c r="BE617" s="120"/>
      <c r="BF617" s="120"/>
      <c r="BG617" s="120"/>
      <c r="BH617" s="120"/>
      <c r="BI617" s="983">
        <v>0</v>
      </c>
      <c r="BJ617" s="120"/>
      <c r="BK617" s="120"/>
      <c r="BL617" s="120"/>
      <c r="BM617" s="120"/>
      <c r="BN617" s="983">
        <v>0</v>
      </c>
      <c r="BO617" s="120"/>
      <c r="BP617" s="120"/>
      <c r="BQ617" s="120"/>
      <c r="BR617" s="120"/>
      <c r="BS617" s="983">
        <v>0</v>
      </c>
      <c r="BT617" s="694"/>
      <c r="BU617" s="120"/>
      <c r="BV617" s="120"/>
      <c r="BW617" s="120"/>
      <c r="BX617" s="957"/>
      <c r="BY617" s="120"/>
      <c r="BZ617" s="120"/>
      <c r="CA617" s="120"/>
      <c r="CB617" s="120"/>
      <c r="CC617" s="957"/>
      <c r="CD617" s="957"/>
      <c r="CE617" s="957"/>
      <c r="CF617" s="957"/>
      <c r="CG617" s="615"/>
    </row>
    <row r="618" spans="1:85" s="460" customFormat="1" ht="14.4" hidden="1" outlineLevel="1" x14ac:dyDescent="0.3">
      <c r="A618" s="159" t="s">
        <v>1370</v>
      </c>
      <c r="B618" s="586"/>
      <c r="C618" s="150"/>
      <c r="D618" s="150"/>
      <c r="E618" s="150"/>
      <c r="F618" s="150"/>
      <c r="G618" s="117"/>
      <c r="H618" s="117"/>
      <c r="I618" s="117"/>
      <c r="J618" s="117"/>
      <c r="K618" s="150"/>
      <c r="L618" s="117"/>
      <c r="M618" s="117"/>
      <c r="N618" s="117"/>
      <c r="O618" s="117"/>
      <c r="P618" s="150"/>
      <c r="Q618" s="117"/>
      <c r="R618" s="117"/>
      <c r="S618" s="117"/>
      <c r="T618" s="117"/>
      <c r="U618" s="150"/>
      <c r="V618" s="117"/>
      <c r="W618" s="117"/>
      <c r="X618" s="117"/>
      <c r="Y618" s="117"/>
      <c r="Z618" s="150"/>
      <c r="AA618" s="117"/>
      <c r="AB618" s="117"/>
      <c r="AC618" s="117"/>
      <c r="AD618" s="117"/>
      <c r="AE618" s="150"/>
      <c r="AF618" s="117"/>
      <c r="AG618" s="117"/>
      <c r="AH618" s="117"/>
      <c r="AI618" s="117"/>
      <c r="AJ618" s="150"/>
      <c r="AK618" s="117"/>
      <c r="AL618" s="117"/>
      <c r="AM618" s="117"/>
      <c r="AN618" s="117"/>
      <c r="AO618" s="975">
        <v>0</v>
      </c>
      <c r="AP618" s="117"/>
      <c r="AQ618" s="117"/>
      <c r="AR618" s="117"/>
      <c r="AS618" s="117"/>
      <c r="AT618" s="975">
        <v>0</v>
      </c>
      <c r="AU618" s="117"/>
      <c r="AV618" s="117"/>
      <c r="AW618" s="117"/>
      <c r="AX618" s="117"/>
      <c r="AY618" s="975">
        <v>0</v>
      </c>
      <c r="AZ618" s="117"/>
      <c r="BA618" s="117"/>
      <c r="BB618" s="117"/>
      <c r="BC618" s="117"/>
      <c r="BD618" s="975">
        <v>0</v>
      </c>
      <c r="BE618" s="117"/>
      <c r="BF618" s="117"/>
      <c r="BG618" s="117"/>
      <c r="BH618" s="117"/>
      <c r="BI618" s="975">
        <v>0</v>
      </c>
      <c r="BJ618" s="117"/>
      <c r="BK618" s="117"/>
      <c r="BL618" s="117"/>
      <c r="BM618" s="117"/>
      <c r="BN618" s="975">
        <v>0</v>
      </c>
      <c r="BO618" s="117"/>
      <c r="BP618" s="117"/>
      <c r="BQ618" s="117"/>
      <c r="BR618" s="117"/>
      <c r="BS618" s="975">
        <v>0</v>
      </c>
      <c r="BT618" s="691"/>
      <c r="BU618" s="117"/>
      <c r="BV618" s="117"/>
      <c r="BW618" s="117"/>
      <c r="BX618" s="150"/>
      <c r="BY618" s="117"/>
      <c r="BZ618" s="117"/>
      <c r="CA618" s="117"/>
      <c r="CB618" s="117"/>
      <c r="CC618" s="150"/>
      <c r="CD618" s="150"/>
      <c r="CE618" s="150"/>
      <c r="CF618" s="150"/>
      <c r="CG618" s="587"/>
    </row>
    <row r="619" spans="1:85" s="460" customFormat="1" ht="14.4" hidden="1" outlineLevel="1" x14ac:dyDescent="0.3">
      <c r="A619" s="159" t="s">
        <v>1371</v>
      </c>
      <c r="B619" s="586"/>
      <c r="C619" s="150"/>
      <c r="D619" s="150"/>
      <c r="E619" s="150"/>
      <c r="F619" s="150"/>
      <c r="G619" s="117"/>
      <c r="H619" s="117"/>
      <c r="I619" s="117"/>
      <c r="J619" s="117"/>
      <c r="K619" s="150"/>
      <c r="L619" s="117"/>
      <c r="M619" s="117"/>
      <c r="N619" s="117"/>
      <c r="O619" s="117"/>
      <c r="P619" s="150"/>
      <c r="Q619" s="117"/>
      <c r="R619" s="117"/>
      <c r="S619" s="117"/>
      <c r="T619" s="117"/>
      <c r="U619" s="150"/>
      <c r="V619" s="117"/>
      <c r="W619" s="117"/>
      <c r="X619" s="117"/>
      <c r="Y619" s="117"/>
      <c r="Z619" s="150"/>
      <c r="AA619" s="117"/>
      <c r="AB619" s="117"/>
      <c r="AC619" s="117"/>
      <c r="AD619" s="117"/>
      <c r="AE619" s="150"/>
      <c r="AF619" s="117"/>
      <c r="AG619" s="117"/>
      <c r="AH619" s="117"/>
      <c r="AI619" s="117"/>
      <c r="AJ619" s="150"/>
      <c r="AK619" s="117"/>
      <c r="AL619" s="117"/>
      <c r="AM619" s="117"/>
      <c r="AN619" s="117"/>
      <c r="AO619" s="975">
        <v>0</v>
      </c>
      <c r="AP619" s="117"/>
      <c r="AQ619" s="117"/>
      <c r="AR619" s="117"/>
      <c r="AS619" s="117"/>
      <c r="AT619" s="975">
        <v>0</v>
      </c>
      <c r="AU619" s="117"/>
      <c r="AV619" s="117"/>
      <c r="AW619" s="117"/>
      <c r="AX619" s="117"/>
      <c r="AY619" s="975">
        <v>0</v>
      </c>
      <c r="AZ619" s="117"/>
      <c r="BA619" s="117"/>
      <c r="BB619" s="117"/>
      <c r="BC619" s="117"/>
      <c r="BD619" s="975">
        <v>0</v>
      </c>
      <c r="BE619" s="117"/>
      <c r="BF619" s="117"/>
      <c r="BG619" s="117"/>
      <c r="BH619" s="117"/>
      <c r="BI619" s="975">
        <v>0</v>
      </c>
      <c r="BJ619" s="117"/>
      <c r="BK619" s="117"/>
      <c r="BL619" s="117"/>
      <c r="BM619" s="117"/>
      <c r="BN619" s="975">
        <v>0</v>
      </c>
      <c r="BO619" s="117"/>
      <c r="BP619" s="117"/>
      <c r="BQ619" s="117"/>
      <c r="BR619" s="117"/>
      <c r="BS619" s="975">
        <v>0</v>
      </c>
      <c r="BT619" s="691"/>
      <c r="BU619" s="117"/>
      <c r="BV619" s="117"/>
      <c r="BW619" s="117"/>
      <c r="BX619" s="150"/>
      <c r="BY619" s="117"/>
      <c r="BZ619" s="117"/>
      <c r="CA619" s="117"/>
      <c r="CB619" s="117"/>
      <c r="CC619" s="150"/>
      <c r="CD619" s="150"/>
      <c r="CE619" s="150"/>
      <c r="CF619" s="150"/>
      <c r="CG619" s="587"/>
    </row>
    <row r="620" spans="1:85" s="460" customFormat="1" ht="14.4" hidden="1" outlineLevel="1" x14ac:dyDescent="0.3">
      <c r="A620" s="159" t="s">
        <v>1372</v>
      </c>
      <c r="B620" s="586"/>
      <c r="C620" s="150"/>
      <c r="D620" s="150"/>
      <c r="E620" s="150"/>
      <c r="F620" s="150"/>
      <c r="G620" s="117"/>
      <c r="H620" s="117"/>
      <c r="I620" s="117"/>
      <c r="J620" s="117"/>
      <c r="K620" s="150"/>
      <c r="L620" s="117"/>
      <c r="M620" s="117"/>
      <c r="N620" s="117"/>
      <c r="O620" s="117"/>
      <c r="P620" s="150"/>
      <c r="Q620" s="117"/>
      <c r="R620" s="117"/>
      <c r="S620" s="117"/>
      <c r="T620" s="117"/>
      <c r="U620" s="150"/>
      <c r="V620" s="117"/>
      <c r="W620" s="117"/>
      <c r="X620" s="117"/>
      <c r="Y620" s="117"/>
      <c r="Z620" s="150"/>
      <c r="AA620" s="117"/>
      <c r="AB620" s="117"/>
      <c r="AC620" s="117"/>
      <c r="AD620" s="117"/>
      <c r="AE620" s="150"/>
      <c r="AF620" s="117"/>
      <c r="AG620" s="117"/>
      <c r="AH620" s="117"/>
      <c r="AI620" s="117"/>
      <c r="AJ620" s="150"/>
      <c r="AK620" s="117"/>
      <c r="AL620" s="117"/>
      <c r="AM620" s="117"/>
      <c r="AN620" s="117"/>
      <c r="AO620" s="975">
        <v>0</v>
      </c>
      <c r="AP620" s="117"/>
      <c r="AQ620" s="117"/>
      <c r="AR620" s="117"/>
      <c r="AS620" s="117"/>
      <c r="AT620" s="975">
        <v>0</v>
      </c>
      <c r="AU620" s="117"/>
      <c r="AV620" s="117"/>
      <c r="AW620" s="117"/>
      <c r="AX620" s="117"/>
      <c r="AY620" s="975">
        <v>0</v>
      </c>
      <c r="AZ620" s="117"/>
      <c r="BA620" s="117"/>
      <c r="BB620" s="117"/>
      <c r="BC620" s="117"/>
      <c r="BD620" s="975">
        <v>0</v>
      </c>
      <c r="BE620" s="117"/>
      <c r="BF620" s="117"/>
      <c r="BG620" s="117"/>
      <c r="BH620" s="117"/>
      <c r="BI620" s="975">
        <v>0</v>
      </c>
      <c r="BJ620" s="117"/>
      <c r="BK620" s="117"/>
      <c r="BL620" s="117"/>
      <c r="BM620" s="117"/>
      <c r="BN620" s="975">
        <v>0</v>
      </c>
      <c r="BO620" s="117"/>
      <c r="BP620" s="117"/>
      <c r="BQ620" s="117"/>
      <c r="BR620" s="117"/>
      <c r="BS620" s="975">
        <v>0</v>
      </c>
      <c r="BT620" s="691"/>
      <c r="BU620" s="117"/>
      <c r="BV620" s="117"/>
      <c r="BW620" s="117"/>
      <c r="BX620" s="150"/>
      <c r="BY620" s="117"/>
      <c r="BZ620" s="117"/>
      <c r="CA620" s="117"/>
      <c r="CB620" s="117"/>
      <c r="CC620" s="150"/>
      <c r="CD620" s="150"/>
      <c r="CE620" s="150"/>
      <c r="CF620" s="150"/>
      <c r="CG620" s="587"/>
    </row>
    <row r="621" spans="1:85" s="460" customFormat="1" ht="14.4" hidden="1" outlineLevel="1" x14ac:dyDescent="0.3">
      <c r="A621" s="159" t="s">
        <v>1373</v>
      </c>
      <c r="B621" s="586"/>
      <c r="C621" s="150"/>
      <c r="D621" s="150"/>
      <c r="E621" s="150"/>
      <c r="F621" s="150"/>
      <c r="G621" s="117"/>
      <c r="H621" s="117"/>
      <c r="I621" s="117"/>
      <c r="J621" s="117"/>
      <c r="K621" s="150"/>
      <c r="L621" s="117"/>
      <c r="M621" s="117"/>
      <c r="N621" s="117"/>
      <c r="O621" s="117"/>
      <c r="P621" s="150"/>
      <c r="Q621" s="117"/>
      <c r="R621" s="117"/>
      <c r="S621" s="117"/>
      <c r="T621" s="117"/>
      <c r="U621" s="150"/>
      <c r="V621" s="117"/>
      <c r="W621" s="117"/>
      <c r="X621" s="117"/>
      <c r="Y621" s="117"/>
      <c r="Z621" s="150"/>
      <c r="AA621" s="117"/>
      <c r="AB621" s="117"/>
      <c r="AC621" s="117"/>
      <c r="AD621" s="117"/>
      <c r="AE621" s="150"/>
      <c r="AF621" s="117"/>
      <c r="AG621" s="117"/>
      <c r="AH621" s="117"/>
      <c r="AI621" s="117"/>
      <c r="AJ621" s="150"/>
      <c r="AK621" s="117"/>
      <c r="AL621" s="117"/>
      <c r="AM621" s="117"/>
      <c r="AN621" s="117"/>
      <c r="AO621" s="975">
        <v>0</v>
      </c>
      <c r="AP621" s="117"/>
      <c r="AQ621" s="117"/>
      <c r="AR621" s="117"/>
      <c r="AS621" s="117"/>
      <c r="AT621" s="975">
        <v>0</v>
      </c>
      <c r="AU621" s="117"/>
      <c r="AV621" s="117"/>
      <c r="AW621" s="117"/>
      <c r="AX621" s="117"/>
      <c r="AY621" s="975">
        <v>0</v>
      </c>
      <c r="AZ621" s="117"/>
      <c r="BA621" s="117"/>
      <c r="BB621" s="117"/>
      <c r="BC621" s="117"/>
      <c r="BD621" s="975">
        <v>0</v>
      </c>
      <c r="BE621" s="117"/>
      <c r="BF621" s="117"/>
      <c r="BG621" s="117"/>
      <c r="BH621" s="117"/>
      <c r="BI621" s="975">
        <v>0</v>
      </c>
      <c r="BJ621" s="117"/>
      <c r="BK621" s="117"/>
      <c r="BL621" s="117"/>
      <c r="BM621" s="117"/>
      <c r="BN621" s="975">
        <v>0</v>
      </c>
      <c r="BO621" s="117"/>
      <c r="BP621" s="117"/>
      <c r="BQ621" s="117"/>
      <c r="BR621" s="117"/>
      <c r="BS621" s="975">
        <v>0</v>
      </c>
      <c r="BT621" s="691"/>
      <c r="BU621" s="117"/>
      <c r="BV621" s="117"/>
      <c r="BW621" s="117"/>
      <c r="BX621" s="150"/>
      <c r="BY621" s="117"/>
      <c r="BZ621" s="117"/>
      <c r="CA621" s="117"/>
      <c r="CB621" s="117"/>
      <c r="CC621" s="150"/>
      <c r="CD621" s="150"/>
      <c r="CE621" s="150"/>
      <c r="CF621" s="150"/>
      <c r="CG621" s="587"/>
    </row>
    <row r="622" spans="1:85" s="460" customFormat="1" ht="14.4" hidden="1" outlineLevel="1" x14ac:dyDescent="0.3">
      <c r="A622" s="159" t="s">
        <v>1374</v>
      </c>
      <c r="B622" s="586"/>
      <c r="C622" s="150"/>
      <c r="D622" s="150"/>
      <c r="E622" s="150"/>
      <c r="F622" s="150"/>
      <c r="G622" s="117"/>
      <c r="H622" s="117"/>
      <c r="I622" s="117"/>
      <c r="J622" s="117"/>
      <c r="K622" s="150"/>
      <c r="L622" s="117"/>
      <c r="M622" s="117"/>
      <c r="N622" s="117"/>
      <c r="O622" s="117"/>
      <c r="P622" s="150"/>
      <c r="Q622" s="117"/>
      <c r="R622" s="117"/>
      <c r="S622" s="117"/>
      <c r="T622" s="117"/>
      <c r="U622" s="150"/>
      <c r="V622" s="117"/>
      <c r="W622" s="117"/>
      <c r="X622" s="117"/>
      <c r="Y622" s="117"/>
      <c r="Z622" s="150"/>
      <c r="AA622" s="117"/>
      <c r="AB622" s="117"/>
      <c r="AC622" s="117"/>
      <c r="AD622" s="117"/>
      <c r="AE622" s="150"/>
      <c r="AF622" s="117"/>
      <c r="AG622" s="117"/>
      <c r="AH622" s="117"/>
      <c r="AI622" s="117"/>
      <c r="AJ622" s="150"/>
      <c r="AK622" s="117"/>
      <c r="AL622" s="117"/>
      <c r="AM622" s="117"/>
      <c r="AN622" s="117"/>
      <c r="AO622" s="975">
        <v>-2</v>
      </c>
      <c r="AP622" s="117"/>
      <c r="AQ622" s="117"/>
      <c r="AR622" s="117"/>
      <c r="AS622" s="117"/>
      <c r="AT622" s="975">
        <v>0</v>
      </c>
      <c r="AU622" s="117"/>
      <c r="AV622" s="117"/>
      <c r="AW622" s="117"/>
      <c r="AX622" s="117"/>
      <c r="AY622" s="975">
        <v>0</v>
      </c>
      <c r="AZ622" s="117"/>
      <c r="BA622" s="117"/>
      <c r="BB622" s="117"/>
      <c r="BC622" s="117"/>
      <c r="BD622" s="975">
        <v>0</v>
      </c>
      <c r="BE622" s="117"/>
      <c r="BF622" s="117"/>
      <c r="BG622" s="117"/>
      <c r="BH622" s="117"/>
      <c r="BI622" s="975">
        <v>0</v>
      </c>
      <c r="BJ622" s="117"/>
      <c r="BK622" s="117"/>
      <c r="BL622" s="117"/>
      <c r="BM622" s="117"/>
      <c r="BN622" s="975">
        <v>0</v>
      </c>
      <c r="BO622" s="117"/>
      <c r="BP622" s="117"/>
      <c r="BQ622" s="117"/>
      <c r="BR622" s="117"/>
      <c r="BS622" s="975">
        <v>0</v>
      </c>
      <c r="BT622" s="691"/>
      <c r="BU622" s="117"/>
      <c r="BV622" s="117"/>
      <c r="BW622" s="117"/>
      <c r="BX622" s="150"/>
      <c r="BY622" s="117"/>
      <c r="BZ622" s="117"/>
      <c r="CA622" s="117"/>
      <c r="CB622" s="117"/>
      <c r="CC622" s="150"/>
      <c r="CD622" s="150"/>
      <c r="CE622" s="150"/>
      <c r="CF622" s="150"/>
      <c r="CG622" s="587"/>
    </row>
    <row r="623" spans="1:85" s="460" customFormat="1" ht="14.4" hidden="1" outlineLevel="1" x14ac:dyDescent="0.3">
      <c r="A623" s="262" t="s">
        <v>1375</v>
      </c>
      <c r="B623" s="588"/>
      <c r="C623" s="954"/>
      <c r="D623" s="954"/>
      <c r="E623" s="954"/>
      <c r="F623" s="954"/>
      <c r="G623" s="133"/>
      <c r="H623" s="133"/>
      <c r="I623" s="133"/>
      <c r="J623" s="133"/>
      <c r="K623" s="954"/>
      <c r="L623" s="133"/>
      <c r="M623" s="133"/>
      <c r="N623" s="133"/>
      <c r="O623" s="133"/>
      <c r="P623" s="954"/>
      <c r="Q623" s="133"/>
      <c r="R623" s="133"/>
      <c r="S623" s="133"/>
      <c r="T623" s="133"/>
      <c r="U623" s="954"/>
      <c r="V623" s="133"/>
      <c r="W623" s="133"/>
      <c r="X623" s="133"/>
      <c r="Y623" s="133"/>
      <c r="Z623" s="954"/>
      <c r="AA623" s="133"/>
      <c r="AB623" s="133"/>
      <c r="AC623" s="133"/>
      <c r="AD623" s="133"/>
      <c r="AE623" s="954"/>
      <c r="AF623" s="133"/>
      <c r="AG623" s="133"/>
      <c r="AH623" s="133"/>
      <c r="AI623" s="133"/>
      <c r="AJ623" s="954"/>
      <c r="AK623" s="133"/>
      <c r="AL623" s="133"/>
      <c r="AM623" s="133"/>
      <c r="AN623" s="133"/>
      <c r="AO623" s="976">
        <v>-1</v>
      </c>
      <c r="AP623" s="133"/>
      <c r="AQ623" s="133"/>
      <c r="AR623" s="133"/>
      <c r="AS623" s="133"/>
      <c r="AT623" s="976">
        <v>0</v>
      </c>
      <c r="AU623" s="133"/>
      <c r="AV623" s="133"/>
      <c r="AW623" s="133"/>
      <c r="AX623" s="133"/>
      <c r="AY623" s="976">
        <v>0</v>
      </c>
      <c r="AZ623" s="133"/>
      <c r="BA623" s="133"/>
      <c r="BB623" s="133"/>
      <c r="BC623" s="133"/>
      <c r="BD623" s="976">
        <v>0</v>
      </c>
      <c r="BE623" s="133"/>
      <c r="BF623" s="133"/>
      <c r="BG623" s="133"/>
      <c r="BH623" s="133"/>
      <c r="BI623" s="976">
        <v>0</v>
      </c>
      <c r="BJ623" s="133"/>
      <c r="BK623" s="133"/>
      <c r="BL623" s="133"/>
      <c r="BM623" s="133"/>
      <c r="BN623" s="976">
        <v>0</v>
      </c>
      <c r="BO623" s="133"/>
      <c r="BP623" s="133"/>
      <c r="BQ623" s="133"/>
      <c r="BR623" s="133"/>
      <c r="BS623" s="976">
        <v>0</v>
      </c>
      <c r="BT623" s="692"/>
      <c r="BU623" s="133"/>
      <c r="BV623" s="133"/>
      <c r="BW623" s="133"/>
      <c r="BX623" s="954"/>
      <c r="BY623" s="133"/>
      <c r="BZ623" s="133"/>
      <c r="CA623" s="133"/>
      <c r="CB623" s="133"/>
      <c r="CC623" s="954"/>
      <c r="CD623" s="954"/>
      <c r="CE623" s="954"/>
      <c r="CF623" s="954"/>
      <c r="CG623" s="587"/>
    </row>
    <row r="624" spans="1:85" s="461" customFormat="1" ht="14.4" hidden="1" outlineLevel="1" x14ac:dyDescent="0.3">
      <c r="A624" s="166" t="s">
        <v>1376</v>
      </c>
      <c r="B624" s="583"/>
      <c r="C624" s="957"/>
      <c r="D624" s="957"/>
      <c r="E624" s="957"/>
      <c r="F624" s="957"/>
      <c r="G624" s="120"/>
      <c r="H624" s="120"/>
      <c r="I624" s="120"/>
      <c r="J624" s="120"/>
      <c r="K624" s="957"/>
      <c r="L624" s="120"/>
      <c r="M624" s="120"/>
      <c r="N624" s="120"/>
      <c r="O624" s="120"/>
      <c r="P624" s="957"/>
      <c r="Q624" s="120"/>
      <c r="R624" s="120"/>
      <c r="S624" s="120"/>
      <c r="T624" s="120"/>
      <c r="U624" s="957"/>
      <c r="V624" s="120"/>
      <c r="W624" s="120"/>
      <c r="X624" s="120"/>
      <c r="Y624" s="120"/>
      <c r="Z624" s="957"/>
      <c r="AA624" s="120"/>
      <c r="AB624" s="120"/>
      <c r="AC624" s="120"/>
      <c r="AD624" s="120"/>
      <c r="AE624" s="957"/>
      <c r="AF624" s="120"/>
      <c r="AG624" s="120"/>
      <c r="AH624" s="120"/>
      <c r="AI624" s="120"/>
      <c r="AJ624" s="957"/>
      <c r="AK624" s="120"/>
      <c r="AL624" s="120"/>
      <c r="AM624" s="120"/>
      <c r="AN624" s="120"/>
      <c r="AO624" s="957">
        <f>SUM(AO617:AO623)</f>
        <v>0</v>
      </c>
      <c r="AP624" s="120"/>
      <c r="AQ624" s="120"/>
      <c r="AR624" s="120"/>
      <c r="AS624" s="120"/>
      <c r="AT624" s="957">
        <f>SUM(AT617:AT623)</f>
        <v>0</v>
      </c>
      <c r="AU624" s="120"/>
      <c r="AV624" s="120"/>
      <c r="AW624" s="120"/>
      <c r="AX624" s="120"/>
      <c r="AY624" s="957">
        <f>SUM(AY617:AY623)</f>
        <v>0</v>
      </c>
      <c r="AZ624" s="120"/>
      <c r="BA624" s="120"/>
      <c r="BB624" s="120"/>
      <c r="BC624" s="120"/>
      <c r="BD624" s="957">
        <f>SUM(BD617:BD623)</f>
        <v>0</v>
      </c>
      <c r="BE624" s="120"/>
      <c r="BF624" s="120"/>
      <c r="BG624" s="120"/>
      <c r="BH624" s="120"/>
      <c r="BI624" s="957">
        <f>SUM(BI617:BI623)</f>
        <v>0</v>
      </c>
      <c r="BJ624" s="120"/>
      <c r="BK624" s="120"/>
      <c r="BL624" s="120"/>
      <c r="BM624" s="120"/>
      <c r="BN624" s="957">
        <f>SUM(BN617:BN623)</f>
        <v>0</v>
      </c>
      <c r="BO624" s="120"/>
      <c r="BP624" s="120"/>
      <c r="BQ624" s="120"/>
      <c r="BR624" s="120"/>
      <c r="BS624" s="957">
        <f>SUM(BS617:BS623)</f>
        <v>0</v>
      </c>
      <c r="BT624" s="694"/>
      <c r="BU624" s="120"/>
      <c r="BV624" s="120"/>
      <c r="BW624" s="120"/>
      <c r="BX624" s="957"/>
      <c r="BY624" s="120"/>
      <c r="BZ624" s="120"/>
      <c r="CA624" s="120"/>
      <c r="CB624" s="120"/>
      <c r="CC624" s="957"/>
      <c r="CD624" s="957"/>
      <c r="CE624" s="957"/>
      <c r="CF624" s="957"/>
      <c r="CG624" s="615"/>
    </row>
    <row r="625" spans="1:85" s="461" customFormat="1" ht="14.4" hidden="1" outlineLevel="1" x14ac:dyDescent="0.3">
      <c r="A625" s="166" t="s">
        <v>1377</v>
      </c>
      <c r="B625" s="583"/>
      <c r="C625" s="957"/>
      <c r="D625" s="957"/>
      <c r="E625" s="957"/>
      <c r="F625" s="957"/>
      <c r="G625" s="120"/>
      <c r="H625" s="120"/>
      <c r="I625" s="120"/>
      <c r="J625" s="120"/>
      <c r="K625" s="957"/>
      <c r="L625" s="120"/>
      <c r="M625" s="120"/>
      <c r="N625" s="120"/>
      <c r="O625" s="120"/>
      <c r="P625" s="957"/>
      <c r="Q625" s="120"/>
      <c r="R625" s="120"/>
      <c r="S625" s="120"/>
      <c r="T625" s="120"/>
      <c r="U625" s="957"/>
      <c r="V625" s="120"/>
      <c r="W625" s="120"/>
      <c r="X625" s="120"/>
      <c r="Y625" s="120"/>
      <c r="Z625" s="957"/>
      <c r="AA625" s="120"/>
      <c r="AB625" s="120"/>
      <c r="AC625" s="120"/>
      <c r="AD625" s="120"/>
      <c r="AE625" s="957"/>
      <c r="AF625" s="120"/>
      <c r="AG625" s="120"/>
      <c r="AH625" s="120"/>
      <c r="AI625" s="120"/>
      <c r="AJ625" s="957"/>
      <c r="AK625" s="120"/>
      <c r="AL625" s="120"/>
      <c r="AM625" s="120"/>
      <c r="AN625" s="120"/>
      <c r="AO625" s="957">
        <f>AO577+AO585+AO593+AO601+AO609+AO617</f>
        <v>656</v>
      </c>
      <c r="AP625" s="120"/>
      <c r="AQ625" s="120"/>
      <c r="AR625" s="120"/>
      <c r="AS625" s="120"/>
      <c r="AT625" s="957">
        <f>AT577+AT585+AT593+AT601+AT609+AT617</f>
        <v>622</v>
      </c>
      <c r="AU625" s="120"/>
      <c r="AV625" s="120"/>
      <c r="AW625" s="120"/>
      <c r="AX625" s="120"/>
      <c r="AY625" s="957">
        <f>AY577+AY585+AY593+AY601+AY609+AY617</f>
        <v>709</v>
      </c>
      <c r="AZ625" s="120"/>
      <c r="BA625" s="120"/>
      <c r="BB625" s="120"/>
      <c r="BC625" s="120"/>
      <c r="BD625" s="957">
        <f>BD577+BD585+BD593+BD601+BD609+BD617</f>
        <v>936</v>
      </c>
      <c r="BE625" s="120"/>
      <c r="BF625" s="120"/>
      <c r="BG625" s="120"/>
      <c r="BH625" s="120"/>
      <c r="BI625" s="957">
        <f>BI577+BI585+BI593+BI601+BI609+BI617</f>
        <v>1002</v>
      </c>
      <c r="BJ625" s="120"/>
      <c r="BK625" s="120"/>
      <c r="BL625" s="120"/>
      <c r="BM625" s="120"/>
      <c r="BN625" s="957">
        <f>BN577+BN585+BN593+BN601+BN609+BN617</f>
        <v>1138</v>
      </c>
      <c r="BO625" s="120"/>
      <c r="BP625" s="120"/>
      <c r="BQ625" s="120"/>
      <c r="BR625" s="120"/>
      <c r="BS625" s="983">
        <v>1075</v>
      </c>
      <c r="BT625" s="694"/>
      <c r="BU625" s="120"/>
      <c r="BV625" s="120"/>
      <c r="BW625" s="120"/>
      <c r="BX625" s="957"/>
      <c r="BY625" s="120"/>
      <c r="BZ625" s="120"/>
      <c r="CA625" s="120"/>
      <c r="CB625" s="120"/>
      <c r="CC625" s="957"/>
      <c r="CD625" s="957"/>
      <c r="CE625" s="957"/>
      <c r="CF625" s="957"/>
      <c r="CG625" s="615"/>
    </row>
    <row r="626" spans="1:85" s="460" customFormat="1" ht="14.4" hidden="1" outlineLevel="1" x14ac:dyDescent="0.3">
      <c r="A626" s="159" t="s">
        <v>1378</v>
      </c>
      <c r="B626" s="586"/>
      <c r="C626" s="150"/>
      <c r="D626" s="150"/>
      <c r="E626" s="150"/>
      <c r="F626" s="150"/>
      <c r="G626" s="117"/>
      <c r="H626" s="117"/>
      <c r="I626" s="117"/>
      <c r="J626" s="117"/>
      <c r="K626" s="150"/>
      <c r="L626" s="117"/>
      <c r="M626" s="117"/>
      <c r="N626" s="117"/>
      <c r="O626" s="117"/>
      <c r="P626" s="150"/>
      <c r="Q626" s="117"/>
      <c r="R626" s="117"/>
      <c r="S626" s="117"/>
      <c r="T626" s="117"/>
      <c r="U626" s="150"/>
      <c r="V626" s="117"/>
      <c r="W626" s="117"/>
      <c r="X626" s="117"/>
      <c r="Y626" s="117"/>
      <c r="Z626" s="150"/>
      <c r="AA626" s="117"/>
      <c r="AB626" s="117"/>
      <c r="AC626" s="117"/>
      <c r="AD626" s="117"/>
      <c r="AE626" s="150"/>
      <c r="AF626" s="117"/>
      <c r="AG626" s="117"/>
      <c r="AH626" s="117"/>
      <c r="AI626" s="117"/>
      <c r="AJ626" s="150"/>
      <c r="AK626" s="117"/>
      <c r="AL626" s="117"/>
      <c r="AM626" s="117"/>
      <c r="AN626" s="117"/>
      <c r="AO626" s="150">
        <f t="shared" ref="AO626:AO631" si="42">AO578+AO586+AO594+AO602+AO610+AO618</f>
        <v>-118</v>
      </c>
      <c r="AP626" s="117"/>
      <c r="AQ626" s="117"/>
      <c r="AR626" s="117"/>
      <c r="AS626" s="117"/>
      <c r="AT626" s="150">
        <f t="shared" ref="AT626:AT631" si="43">AT578+AT586+AT594+AT602+AT610+AT618</f>
        <v>-81</v>
      </c>
      <c r="AU626" s="117"/>
      <c r="AV626" s="117"/>
      <c r="AW626" s="117"/>
      <c r="AX626" s="117"/>
      <c r="AY626" s="150">
        <f t="shared" ref="AY626:AY631" si="44">AY578+AY586+AY594+AY602+AY610+AY618</f>
        <v>120</v>
      </c>
      <c r="AZ626" s="117"/>
      <c r="BA626" s="117"/>
      <c r="BB626" s="117"/>
      <c r="BC626" s="117"/>
      <c r="BD626" s="150">
        <f t="shared" ref="BD626:BD631" si="45">BD578+BD586+BD594+BD602+BD610+BD618</f>
        <v>15</v>
      </c>
      <c r="BE626" s="117"/>
      <c r="BF626" s="117"/>
      <c r="BG626" s="117"/>
      <c r="BH626" s="117"/>
      <c r="BI626" s="150">
        <f t="shared" ref="BI626:BI631" si="46">BI578+BI586+BI594+BI602+BI610+BI618</f>
        <v>-116</v>
      </c>
      <c r="BJ626" s="117"/>
      <c r="BK626" s="117"/>
      <c r="BL626" s="117"/>
      <c r="BM626" s="117"/>
      <c r="BN626" s="150">
        <f t="shared" ref="BN626:BN631" si="47">BN578+BN586+BN594+BN602+BN610+BN618</f>
        <v>-48</v>
      </c>
      <c r="BO626" s="117"/>
      <c r="BP626" s="117"/>
      <c r="BQ626" s="117"/>
      <c r="BR626" s="117"/>
      <c r="BS626" s="975">
        <v>-12</v>
      </c>
      <c r="BT626" s="691"/>
      <c r="BU626" s="117"/>
      <c r="BV626" s="117"/>
      <c r="BW626" s="117"/>
      <c r="BX626" s="150"/>
      <c r="BY626" s="117"/>
      <c r="BZ626" s="117"/>
      <c r="CA626" s="117"/>
      <c r="CB626" s="117"/>
      <c r="CC626" s="150"/>
      <c r="CD626" s="150"/>
      <c r="CE626" s="150"/>
      <c r="CF626" s="150"/>
      <c r="CG626" s="587"/>
    </row>
    <row r="627" spans="1:85" s="460" customFormat="1" ht="14.4" hidden="1" outlineLevel="1" x14ac:dyDescent="0.3">
      <c r="A627" s="159" t="s">
        <v>1379</v>
      </c>
      <c r="B627" s="586"/>
      <c r="C627" s="150"/>
      <c r="D627" s="150"/>
      <c r="E627" s="150"/>
      <c r="F627" s="150"/>
      <c r="G627" s="117"/>
      <c r="H627" s="117"/>
      <c r="I627" s="117"/>
      <c r="J627" s="117"/>
      <c r="K627" s="150"/>
      <c r="L627" s="117"/>
      <c r="M627" s="117"/>
      <c r="N627" s="117"/>
      <c r="O627" s="117"/>
      <c r="P627" s="150"/>
      <c r="Q627" s="117"/>
      <c r="R627" s="117"/>
      <c r="S627" s="117"/>
      <c r="T627" s="117"/>
      <c r="U627" s="150"/>
      <c r="V627" s="117"/>
      <c r="W627" s="117"/>
      <c r="X627" s="117"/>
      <c r="Y627" s="117"/>
      <c r="Z627" s="150"/>
      <c r="AA627" s="117"/>
      <c r="AB627" s="117"/>
      <c r="AC627" s="117"/>
      <c r="AD627" s="117"/>
      <c r="AE627" s="150"/>
      <c r="AF627" s="117"/>
      <c r="AG627" s="117"/>
      <c r="AH627" s="117"/>
      <c r="AI627" s="117"/>
      <c r="AJ627" s="150"/>
      <c r="AK627" s="117"/>
      <c r="AL627" s="117"/>
      <c r="AM627" s="117"/>
      <c r="AN627" s="117"/>
      <c r="AO627" s="150">
        <f t="shared" si="42"/>
        <v>0</v>
      </c>
      <c r="AP627" s="117"/>
      <c r="AQ627" s="117"/>
      <c r="AR627" s="117"/>
      <c r="AS627" s="117"/>
      <c r="AT627" s="150">
        <f t="shared" si="43"/>
        <v>0</v>
      </c>
      <c r="AU627" s="117"/>
      <c r="AV627" s="117"/>
      <c r="AW627" s="117"/>
      <c r="AX627" s="117"/>
      <c r="AY627" s="150">
        <f t="shared" si="44"/>
        <v>0</v>
      </c>
      <c r="AZ627" s="117"/>
      <c r="BA627" s="117"/>
      <c r="BB627" s="117"/>
      <c r="BC627" s="117"/>
      <c r="BD627" s="150">
        <f t="shared" si="45"/>
        <v>0</v>
      </c>
      <c r="BE627" s="117"/>
      <c r="BF627" s="117"/>
      <c r="BG627" s="117"/>
      <c r="BH627" s="117"/>
      <c r="BI627" s="150">
        <f t="shared" si="46"/>
        <v>0</v>
      </c>
      <c r="BJ627" s="117"/>
      <c r="BK627" s="117"/>
      <c r="BL627" s="117"/>
      <c r="BM627" s="117"/>
      <c r="BN627" s="150">
        <f t="shared" si="47"/>
        <v>0</v>
      </c>
      <c r="BO627" s="117"/>
      <c r="BP627" s="117"/>
      <c r="BQ627" s="117"/>
      <c r="BR627" s="117"/>
      <c r="BS627" s="150"/>
      <c r="BT627" s="691"/>
      <c r="BU627" s="117"/>
      <c r="BV627" s="117"/>
      <c r="BW627" s="117"/>
      <c r="BX627" s="150"/>
      <c r="BY627" s="117"/>
      <c r="BZ627" s="117"/>
      <c r="CA627" s="117"/>
      <c r="CB627" s="117"/>
      <c r="CC627" s="150"/>
      <c r="CD627" s="150"/>
      <c r="CE627" s="150"/>
      <c r="CF627" s="150"/>
      <c r="CG627" s="587"/>
    </row>
    <row r="628" spans="1:85" s="460" customFormat="1" ht="14.4" hidden="1" outlineLevel="1" x14ac:dyDescent="0.3">
      <c r="A628" s="159" t="s">
        <v>1380</v>
      </c>
      <c r="B628" s="586"/>
      <c r="C628" s="150"/>
      <c r="D628" s="150"/>
      <c r="E628" s="150"/>
      <c r="F628" s="150"/>
      <c r="G628" s="117"/>
      <c r="H628" s="117"/>
      <c r="I628" s="117"/>
      <c r="J628" s="117"/>
      <c r="K628" s="150"/>
      <c r="L628" s="117"/>
      <c r="M628" s="117"/>
      <c r="N628" s="117"/>
      <c r="O628" s="117"/>
      <c r="P628" s="150"/>
      <c r="Q628" s="117"/>
      <c r="R628" s="117"/>
      <c r="S628" s="117"/>
      <c r="T628" s="117"/>
      <c r="U628" s="150"/>
      <c r="V628" s="117"/>
      <c r="W628" s="117"/>
      <c r="X628" s="117"/>
      <c r="Y628" s="117"/>
      <c r="Z628" s="150"/>
      <c r="AA628" s="117"/>
      <c r="AB628" s="117"/>
      <c r="AC628" s="117"/>
      <c r="AD628" s="117"/>
      <c r="AE628" s="150"/>
      <c r="AF628" s="117"/>
      <c r="AG628" s="117"/>
      <c r="AH628" s="117"/>
      <c r="AI628" s="117"/>
      <c r="AJ628" s="150"/>
      <c r="AK628" s="117"/>
      <c r="AL628" s="117"/>
      <c r="AM628" s="117"/>
      <c r="AN628" s="117"/>
      <c r="AO628" s="150">
        <f t="shared" si="42"/>
        <v>140</v>
      </c>
      <c r="AP628" s="117"/>
      <c r="AQ628" s="117"/>
      <c r="AR628" s="117"/>
      <c r="AS628" s="117"/>
      <c r="AT628" s="150">
        <f t="shared" si="43"/>
        <v>61</v>
      </c>
      <c r="AU628" s="117"/>
      <c r="AV628" s="117"/>
      <c r="AW628" s="117"/>
      <c r="AX628" s="117"/>
      <c r="AY628" s="150">
        <f t="shared" si="44"/>
        <v>194</v>
      </c>
      <c r="AZ628" s="117"/>
      <c r="BA628" s="117"/>
      <c r="BB628" s="117"/>
      <c r="BC628" s="117"/>
      <c r="BD628" s="150">
        <f t="shared" si="45"/>
        <v>166</v>
      </c>
      <c r="BE628" s="117"/>
      <c r="BF628" s="117"/>
      <c r="BG628" s="117"/>
      <c r="BH628" s="117"/>
      <c r="BI628" s="150">
        <f t="shared" si="46"/>
        <v>92</v>
      </c>
      <c r="BJ628" s="117"/>
      <c r="BK628" s="117"/>
      <c r="BL628" s="117"/>
      <c r="BM628" s="117"/>
      <c r="BN628" s="150">
        <f t="shared" si="47"/>
        <v>124</v>
      </c>
      <c r="BO628" s="117"/>
      <c r="BP628" s="117"/>
      <c r="BQ628" s="117"/>
      <c r="BR628" s="117"/>
      <c r="BS628" s="975">
        <v>103</v>
      </c>
      <c r="BT628" s="691"/>
      <c r="BU628" s="117"/>
      <c r="BV628" s="117"/>
      <c r="BW628" s="117"/>
      <c r="BX628" s="150"/>
      <c r="BY628" s="117"/>
      <c r="BZ628" s="117"/>
      <c r="CA628" s="117"/>
      <c r="CB628" s="117"/>
      <c r="CC628" s="150"/>
      <c r="CD628" s="150"/>
      <c r="CE628" s="150"/>
      <c r="CF628" s="150"/>
      <c r="CG628" s="587"/>
    </row>
    <row r="629" spans="1:85" s="460" customFormat="1" ht="14.4" hidden="1" outlineLevel="1" x14ac:dyDescent="0.3">
      <c r="A629" s="159" t="s">
        <v>1381</v>
      </c>
      <c r="B629" s="586"/>
      <c r="C629" s="150"/>
      <c r="D629" s="150"/>
      <c r="E629" s="150"/>
      <c r="F629" s="150"/>
      <c r="G629" s="117"/>
      <c r="H629" s="117"/>
      <c r="I629" s="117"/>
      <c r="J629" s="117"/>
      <c r="K629" s="150"/>
      <c r="L629" s="117"/>
      <c r="M629" s="117"/>
      <c r="N629" s="117"/>
      <c r="O629" s="117"/>
      <c r="P629" s="150"/>
      <c r="Q629" s="117"/>
      <c r="R629" s="117"/>
      <c r="S629" s="117"/>
      <c r="T629" s="117"/>
      <c r="U629" s="150"/>
      <c r="V629" s="117"/>
      <c r="W629" s="117"/>
      <c r="X629" s="117"/>
      <c r="Y629" s="117"/>
      <c r="Z629" s="150"/>
      <c r="AA629" s="117"/>
      <c r="AB629" s="117"/>
      <c r="AC629" s="117"/>
      <c r="AD629" s="117"/>
      <c r="AE629" s="150"/>
      <c r="AF629" s="117"/>
      <c r="AG629" s="117"/>
      <c r="AH629" s="117"/>
      <c r="AI629" s="117"/>
      <c r="AJ629" s="150"/>
      <c r="AK629" s="117"/>
      <c r="AL629" s="117"/>
      <c r="AM629" s="117"/>
      <c r="AN629" s="117"/>
      <c r="AO629" s="150">
        <f t="shared" si="42"/>
        <v>5</v>
      </c>
      <c r="AP629" s="117"/>
      <c r="AQ629" s="117"/>
      <c r="AR629" s="117"/>
      <c r="AS629" s="117"/>
      <c r="AT629" s="150">
        <f t="shared" si="43"/>
        <v>210</v>
      </c>
      <c r="AU629" s="117"/>
      <c r="AV629" s="117"/>
      <c r="AW629" s="117"/>
      <c r="AX629" s="117"/>
      <c r="AY629" s="150">
        <f t="shared" si="44"/>
        <v>8</v>
      </c>
      <c r="AZ629" s="117"/>
      <c r="BA629" s="117"/>
      <c r="BB629" s="117"/>
      <c r="BC629" s="117"/>
      <c r="BD629" s="150">
        <f t="shared" si="45"/>
        <v>16</v>
      </c>
      <c r="BE629" s="117"/>
      <c r="BF629" s="117"/>
      <c r="BG629" s="117"/>
      <c r="BH629" s="117"/>
      <c r="BI629" s="150">
        <f t="shared" si="46"/>
        <v>273</v>
      </c>
      <c r="BJ629" s="117"/>
      <c r="BK629" s="117"/>
      <c r="BL629" s="117"/>
      <c r="BM629" s="117"/>
      <c r="BN629" s="150">
        <f t="shared" si="47"/>
        <v>20</v>
      </c>
      <c r="BO629" s="117"/>
      <c r="BP629" s="117"/>
      <c r="BQ629" s="117"/>
      <c r="BR629" s="117"/>
      <c r="BS629" s="975">
        <v>273</v>
      </c>
      <c r="BT629" s="691"/>
      <c r="BU629" s="117"/>
      <c r="BV629" s="117"/>
      <c r="BW629" s="117"/>
      <c r="BX629" s="150"/>
      <c r="BY629" s="117"/>
      <c r="BZ629" s="117"/>
      <c r="CA629" s="117"/>
      <c r="CB629" s="117"/>
      <c r="CC629" s="150"/>
      <c r="CD629" s="150"/>
      <c r="CE629" s="150"/>
      <c r="CF629" s="150"/>
      <c r="CG629" s="587"/>
    </row>
    <row r="630" spans="1:85" s="460" customFormat="1" ht="14.4" hidden="1" outlineLevel="1" x14ac:dyDescent="0.3">
      <c r="A630" s="159" t="s">
        <v>1382</v>
      </c>
      <c r="B630" s="586"/>
      <c r="C630" s="150"/>
      <c r="D630" s="150"/>
      <c r="E630" s="150"/>
      <c r="F630" s="150"/>
      <c r="G630" s="117"/>
      <c r="H630" s="117"/>
      <c r="I630" s="117"/>
      <c r="J630" s="117"/>
      <c r="K630" s="150"/>
      <c r="L630" s="117"/>
      <c r="M630" s="117"/>
      <c r="N630" s="117"/>
      <c r="O630" s="117"/>
      <c r="P630" s="150"/>
      <c r="Q630" s="117"/>
      <c r="R630" s="117"/>
      <c r="S630" s="117"/>
      <c r="T630" s="117"/>
      <c r="U630" s="150"/>
      <c r="V630" s="117"/>
      <c r="W630" s="117"/>
      <c r="X630" s="117"/>
      <c r="Y630" s="117"/>
      <c r="Z630" s="150"/>
      <c r="AA630" s="117"/>
      <c r="AB630" s="117"/>
      <c r="AC630" s="117"/>
      <c r="AD630" s="117"/>
      <c r="AE630" s="150"/>
      <c r="AF630" s="117"/>
      <c r="AG630" s="117"/>
      <c r="AH630" s="117"/>
      <c r="AI630" s="117"/>
      <c r="AJ630" s="150"/>
      <c r="AK630" s="117"/>
      <c r="AL630" s="117"/>
      <c r="AM630" s="117"/>
      <c r="AN630" s="117"/>
      <c r="AO630" s="150">
        <f t="shared" si="42"/>
        <v>-2</v>
      </c>
      <c r="AP630" s="117"/>
      <c r="AQ630" s="117"/>
      <c r="AR630" s="117"/>
      <c r="AS630" s="117"/>
      <c r="AT630" s="150">
        <f t="shared" si="43"/>
        <v>-27</v>
      </c>
      <c r="AU630" s="117"/>
      <c r="AV630" s="117"/>
      <c r="AW630" s="117"/>
      <c r="AX630" s="117"/>
      <c r="AY630" s="150">
        <f t="shared" si="44"/>
        <v>-8</v>
      </c>
      <c r="AZ630" s="117"/>
      <c r="BA630" s="117"/>
      <c r="BB630" s="117"/>
      <c r="BC630" s="117"/>
      <c r="BD630" s="150">
        <f t="shared" si="45"/>
        <v>-35</v>
      </c>
      <c r="BE630" s="117"/>
      <c r="BF630" s="117"/>
      <c r="BG630" s="117"/>
      <c r="BH630" s="117"/>
      <c r="BI630" s="150">
        <f t="shared" si="46"/>
        <v>0</v>
      </c>
      <c r="BJ630" s="117"/>
      <c r="BK630" s="117"/>
      <c r="BL630" s="117"/>
      <c r="BM630" s="117"/>
      <c r="BN630" s="150">
        <f t="shared" si="47"/>
        <v>-16</v>
      </c>
      <c r="BO630" s="117"/>
      <c r="BP630" s="117"/>
      <c r="BQ630" s="117"/>
      <c r="BR630" s="117"/>
      <c r="BS630" s="975">
        <v>-4</v>
      </c>
      <c r="BT630" s="691"/>
      <c r="BU630" s="117"/>
      <c r="BV630" s="117"/>
      <c r="BW630" s="117"/>
      <c r="BX630" s="150"/>
      <c r="BY630" s="117"/>
      <c r="BZ630" s="117"/>
      <c r="CA630" s="117"/>
      <c r="CB630" s="117"/>
      <c r="CC630" s="150"/>
      <c r="CD630" s="150"/>
      <c r="CE630" s="150"/>
      <c r="CF630" s="150"/>
      <c r="CG630" s="587"/>
    </row>
    <row r="631" spans="1:85" s="460" customFormat="1" ht="14.4" hidden="1" outlineLevel="1" x14ac:dyDescent="0.3">
      <c r="A631" s="262" t="s">
        <v>1383</v>
      </c>
      <c r="B631" s="588"/>
      <c r="C631" s="954"/>
      <c r="D631" s="954"/>
      <c r="E631" s="954"/>
      <c r="F631" s="954"/>
      <c r="G631" s="133"/>
      <c r="H631" s="133"/>
      <c r="I631" s="133"/>
      <c r="J631" s="133"/>
      <c r="K631" s="954"/>
      <c r="L631" s="133"/>
      <c r="M631" s="133"/>
      <c r="N631" s="133"/>
      <c r="O631" s="133"/>
      <c r="P631" s="954"/>
      <c r="Q631" s="133"/>
      <c r="R631" s="133"/>
      <c r="S631" s="133"/>
      <c r="T631" s="133"/>
      <c r="U631" s="954"/>
      <c r="V631" s="133"/>
      <c r="W631" s="133"/>
      <c r="X631" s="133"/>
      <c r="Y631" s="133"/>
      <c r="Z631" s="954"/>
      <c r="AA631" s="133"/>
      <c r="AB631" s="133"/>
      <c r="AC631" s="133"/>
      <c r="AD631" s="133"/>
      <c r="AE631" s="954"/>
      <c r="AF631" s="133"/>
      <c r="AG631" s="133"/>
      <c r="AH631" s="133"/>
      <c r="AI631" s="133"/>
      <c r="AJ631" s="954"/>
      <c r="AK631" s="133"/>
      <c r="AL631" s="133"/>
      <c r="AM631" s="133"/>
      <c r="AN631" s="133"/>
      <c r="AO631" s="954">
        <f t="shared" si="42"/>
        <v>-59</v>
      </c>
      <c r="AP631" s="133"/>
      <c r="AQ631" s="133"/>
      <c r="AR631" s="133"/>
      <c r="AS631" s="133"/>
      <c r="AT631" s="954">
        <f t="shared" si="43"/>
        <v>-76</v>
      </c>
      <c r="AU631" s="133"/>
      <c r="AV631" s="133"/>
      <c r="AW631" s="133"/>
      <c r="AX631" s="133"/>
      <c r="AY631" s="954">
        <f t="shared" si="44"/>
        <v>-87</v>
      </c>
      <c r="AZ631" s="133"/>
      <c r="BA631" s="133"/>
      <c r="BB631" s="133"/>
      <c r="BC631" s="133"/>
      <c r="BD631" s="954">
        <f t="shared" si="45"/>
        <v>-96</v>
      </c>
      <c r="BE631" s="133"/>
      <c r="BF631" s="133"/>
      <c r="BG631" s="133"/>
      <c r="BH631" s="133"/>
      <c r="BI631" s="954">
        <f t="shared" si="46"/>
        <v>-113</v>
      </c>
      <c r="BJ631" s="133"/>
      <c r="BK631" s="133"/>
      <c r="BL631" s="133"/>
      <c r="BM631" s="133"/>
      <c r="BN631" s="954">
        <f t="shared" si="47"/>
        <v>-143</v>
      </c>
      <c r="BO631" s="133"/>
      <c r="BP631" s="133"/>
      <c r="BQ631" s="133"/>
      <c r="BR631" s="133"/>
      <c r="BS631" s="976">
        <v>-164</v>
      </c>
      <c r="BT631" s="692"/>
      <c r="BU631" s="133"/>
      <c r="BV631" s="133"/>
      <c r="BW631" s="133"/>
      <c r="BX631" s="954"/>
      <c r="BY631" s="133"/>
      <c r="BZ631" s="133"/>
      <c r="CA631" s="133"/>
      <c r="CB631" s="133"/>
      <c r="CC631" s="954"/>
      <c r="CD631" s="954"/>
      <c r="CE631" s="954"/>
      <c r="CF631" s="954"/>
      <c r="CG631" s="587"/>
    </row>
    <row r="632" spans="1:85" s="461" customFormat="1" ht="14.4" hidden="1" outlineLevel="1" x14ac:dyDescent="0.3">
      <c r="A632" s="166" t="s">
        <v>1384</v>
      </c>
      <c r="B632" s="583"/>
      <c r="C632" s="957"/>
      <c r="D632" s="957"/>
      <c r="E632" s="957"/>
      <c r="F632" s="957"/>
      <c r="G632" s="120"/>
      <c r="H632" s="120"/>
      <c r="I632" s="120"/>
      <c r="J632" s="120"/>
      <c r="K632" s="957"/>
      <c r="L632" s="120"/>
      <c r="M632" s="120"/>
      <c r="N632" s="120"/>
      <c r="O632" s="120"/>
      <c r="P632" s="957"/>
      <c r="Q632" s="120"/>
      <c r="R632" s="120"/>
      <c r="S632" s="120"/>
      <c r="T632" s="120"/>
      <c r="U632" s="957"/>
      <c r="V632" s="120"/>
      <c r="W632" s="120"/>
      <c r="X632" s="120"/>
      <c r="Y632" s="120"/>
      <c r="Z632" s="957"/>
      <c r="AA632" s="120"/>
      <c r="AB632" s="120"/>
      <c r="AC632" s="120"/>
      <c r="AD632" s="120"/>
      <c r="AE632" s="957"/>
      <c r="AF632" s="120"/>
      <c r="AG632" s="120"/>
      <c r="AH632" s="120"/>
      <c r="AI632" s="120"/>
      <c r="AJ632" s="957"/>
      <c r="AK632" s="120"/>
      <c r="AL632" s="120"/>
      <c r="AM632" s="120"/>
      <c r="AN632" s="120"/>
      <c r="AO632" s="957">
        <f>SUM(AO625:AO631)</f>
        <v>622</v>
      </c>
      <c r="AP632" s="120"/>
      <c r="AQ632" s="120"/>
      <c r="AR632" s="120"/>
      <c r="AS632" s="120"/>
      <c r="AT632" s="957">
        <f>SUM(AT625:AT631)</f>
        <v>709</v>
      </c>
      <c r="AU632" s="120"/>
      <c r="AV632" s="120"/>
      <c r="AW632" s="120"/>
      <c r="AX632" s="120"/>
      <c r="AY632" s="957">
        <f>SUM(AY625:AY631)</f>
        <v>936</v>
      </c>
      <c r="AZ632" s="120"/>
      <c r="BA632" s="120"/>
      <c r="BB632" s="120"/>
      <c r="BC632" s="120"/>
      <c r="BD632" s="957">
        <f>SUM(BD625:BD631)</f>
        <v>1002</v>
      </c>
      <c r="BE632" s="120"/>
      <c r="BF632" s="120"/>
      <c r="BG632" s="120"/>
      <c r="BH632" s="120"/>
      <c r="BI632" s="957">
        <f>SUM(BI625:BI631)</f>
        <v>1138</v>
      </c>
      <c r="BJ632" s="120"/>
      <c r="BK632" s="120"/>
      <c r="BL632" s="120"/>
      <c r="BM632" s="120"/>
      <c r="BN632" s="957">
        <f>SUM(BN625:BN631)</f>
        <v>1075</v>
      </c>
      <c r="BO632" s="120"/>
      <c r="BP632" s="120"/>
      <c r="BQ632" s="120"/>
      <c r="BR632" s="120"/>
      <c r="BS632" s="957">
        <f>SUM(BS625:BS631)</f>
        <v>1271</v>
      </c>
      <c r="BT632" s="694"/>
      <c r="BU632" s="120"/>
      <c r="BV632" s="120"/>
      <c r="BW632" s="120"/>
      <c r="BX632" s="957"/>
      <c r="BY632" s="120"/>
      <c r="BZ632" s="120"/>
      <c r="CA632" s="120"/>
      <c r="CB632" s="120"/>
      <c r="CC632" s="957"/>
      <c r="CD632" s="957"/>
      <c r="CE632" s="957"/>
      <c r="CF632" s="957"/>
      <c r="CG632" s="615"/>
    </row>
    <row r="633" spans="1:85" s="461" customFormat="1" ht="14.4" hidden="1" outlineLevel="1" x14ac:dyDescent="0.3">
      <c r="A633" s="166"/>
      <c r="B633" s="583"/>
      <c r="C633" s="957"/>
      <c r="D633" s="957"/>
      <c r="E633" s="957"/>
      <c r="F633" s="957"/>
      <c r="G633" s="120"/>
      <c r="H633" s="120"/>
      <c r="I633" s="120"/>
      <c r="J633" s="120"/>
      <c r="K633" s="957"/>
      <c r="L633" s="120"/>
      <c r="M633" s="120"/>
      <c r="N633" s="120"/>
      <c r="O633" s="120"/>
      <c r="P633" s="957"/>
      <c r="Q633" s="120"/>
      <c r="R633" s="120"/>
      <c r="S633" s="120"/>
      <c r="T633" s="120"/>
      <c r="U633" s="957"/>
      <c r="V633" s="120"/>
      <c r="W633" s="120"/>
      <c r="X633" s="120"/>
      <c r="Y633" s="120"/>
      <c r="Z633" s="957"/>
      <c r="AA633" s="120"/>
      <c r="AB633" s="120"/>
      <c r="AC633" s="120"/>
      <c r="AD633" s="120"/>
      <c r="AE633" s="957"/>
      <c r="AF633" s="120"/>
      <c r="AG633" s="120"/>
      <c r="AH633" s="120"/>
      <c r="AI633" s="120"/>
      <c r="AJ633" s="957"/>
      <c r="AK633" s="120"/>
      <c r="AL633" s="120"/>
      <c r="AM633" s="120"/>
      <c r="AN633" s="120"/>
      <c r="AO633" s="957"/>
      <c r="AP633" s="120"/>
      <c r="AQ633" s="120"/>
      <c r="AR633" s="120"/>
      <c r="AS633" s="120"/>
      <c r="AT633" s="957"/>
      <c r="AU633" s="120"/>
      <c r="AV633" s="120"/>
      <c r="AW633" s="120"/>
      <c r="AX633" s="120"/>
      <c r="AY633" s="957"/>
      <c r="AZ633" s="120"/>
      <c r="BA633" s="120"/>
      <c r="BB633" s="120"/>
      <c r="BC633" s="120"/>
      <c r="BD633" s="957"/>
      <c r="BE633" s="120"/>
      <c r="BF633" s="120"/>
      <c r="BG633" s="120"/>
      <c r="BH633" s="120"/>
      <c r="BI633" s="957"/>
      <c r="BJ633" s="120"/>
      <c r="BK633" s="120"/>
      <c r="BL633" s="120"/>
      <c r="BM633" s="120"/>
      <c r="BN633" s="957"/>
      <c r="BO633" s="120"/>
      <c r="BP633" s="120"/>
      <c r="BQ633" s="120"/>
      <c r="BR633" s="120"/>
      <c r="BS633" s="957"/>
      <c r="BT633" s="694"/>
      <c r="BU633" s="120"/>
      <c r="BV633" s="120"/>
      <c r="BW633" s="120"/>
      <c r="BX633" s="957"/>
      <c r="BY633" s="120"/>
      <c r="BZ633" s="120"/>
      <c r="CA633" s="120"/>
      <c r="CB633" s="120"/>
      <c r="CC633" s="957"/>
      <c r="CD633" s="957"/>
      <c r="CE633" s="957"/>
      <c r="CF633" s="957"/>
      <c r="CG633" s="615"/>
    </row>
    <row r="634" spans="1:85" s="461" customFormat="1" ht="14.4" hidden="1" outlineLevel="1" x14ac:dyDescent="0.3">
      <c r="A634" s="166" t="s">
        <v>1385</v>
      </c>
      <c r="B634" s="583"/>
      <c r="C634" s="957"/>
      <c r="D634" s="957"/>
      <c r="E634" s="957"/>
      <c r="F634" s="957"/>
      <c r="G634" s="120"/>
      <c r="H634" s="120"/>
      <c r="I634" s="120"/>
      <c r="J634" s="120"/>
      <c r="K634" s="957"/>
      <c r="L634" s="120"/>
      <c r="M634" s="120"/>
      <c r="N634" s="120"/>
      <c r="O634" s="120"/>
      <c r="P634" s="957"/>
      <c r="Q634" s="120"/>
      <c r="R634" s="120"/>
      <c r="S634" s="120"/>
      <c r="T634" s="120"/>
      <c r="U634" s="957"/>
      <c r="V634" s="120"/>
      <c r="W634" s="120"/>
      <c r="X634" s="120"/>
      <c r="Y634" s="120"/>
      <c r="Z634" s="957"/>
      <c r="AA634" s="120"/>
      <c r="AB634" s="120"/>
      <c r="AC634" s="120"/>
      <c r="AD634" s="120"/>
      <c r="AE634" s="957"/>
      <c r="AF634" s="120"/>
      <c r="AG634" s="120"/>
      <c r="AH634" s="120"/>
      <c r="AI634" s="120"/>
      <c r="AJ634" s="957"/>
      <c r="AK634" s="120"/>
      <c r="AL634" s="120"/>
      <c r="AM634" s="120"/>
      <c r="AN634" s="120"/>
      <c r="AO634" s="983">
        <v>101</v>
      </c>
      <c r="AP634" s="120"/>
      <c r="AQ634" s="120"/>
      <c r="AR634" s="120"/>
      <c r="AS634" s="120"/>
      <c r="AT634" s="983">
        <v>103</v>
      </c>
      <c r="AU634" s="120"/>
      <c r="AV634" s="120"/>
      <c r="AW634" s="120"/>
      <c r="AX634" s="120"/>
      <c r="AY634" s="983">
        <v>102</v>
      </c>
      <c r="AZ634" s="120"/>
      <c r="BA634" s="120"/>
      <c r="BB634" s="120"/>
      <c r="BC634" s="120"/>
      <c r="BD634" s="983">
        <v>84</v>
      </c>
      <c r="BE634" s="120"/>
      <c r="BF634" s="120"/>
      <c r="BG634" s="120"/>
      <c r="BH634" s="120"/>
      <c r="BI634" s="983">
        <v>73</v>
      </c>
      <c r="BJ634" s="120"/>
      <c r="BK634" s="120"/>
      <c r="BL634" s="120"/>
      <c r="BM634" s="120"/>
      <c r="BN634" s="983">
        <v>78</v>
      </c>
      <c r="BO634" s="120"/>
      <c r="BP634" s="120"/>
      <c r="BQ634" s="120"/>
      <c r="BR634" s="120"/>
      <c r="BS634" s="983">
        <v>72</v>
      </c>
      <c r="BT634" s="694"/>
      <c r="BU634" s="120"/>
      <c r="BV634" s="120"/>
      <c r="BW634" s="120"/>
      <c r="BX634" s="957"/>
      <c r="BY634" s="120"/>
      <c r="BZ634" s="120"/>
      <c r="CA634" s="120"/>
      <c r="CB634" s="120"/>
      <c r="CC634" s="957"/>
      <c r="CD634" s="957"/>
      <c r="CE634" s="957"/>
      <c r="CF634" s="957"/>
      <c r="CG634" s="615"/>
    </row>
    <row r="635" spans="1:85" s="460" customFormat="1" ht="14.4" hidden="1" outlineLevel="1" x14ac:dyDescent="0.3">
      <c r="A635" s="159" t="s">
        <v>1386</v>
      </c>
      <c r="B635" s="586"/>
      <c r="C635" s="150"/>
      <c r="D635" s="150"/>
      <c r="E635" s="150"/>
      <c r="F635" s="150"/>
      <c r="G635" s="117"/>
      <c r="H635" s="117"/>
      <c r="I635" s="117"/>
      <c r="J635" s="117"/>
      <c r="K635" s="150"/>
      <c r="L635" s="117"/>
      <c r="M635" s="117"/>
      <c r="N635" s="117"/>
      <c r="O635" s="117"/>
      <c r="P635" s="150"/>
      <c r="Q635" s="117"/>
      <c r="R635" s="117"/>
      <c r="S635" s="117"/>
      <c r="T635" s="117"/>
      <c r="U635" s="150"/>
      <c r="V635" s="117"/>
      <c r="W635" s="117"/>
      <c r="X635" s="117"/>
      <c r="Y635" s="117"/>
      <c r="Z635" s="150"/>
      <c r="AA635" s="117"/>
      <c r="AB635" s="117"/>
      <c r="AC635" s="117"/>
      <c r="AD635" s="117"/>
      <c r="AE635" s="150"/>
      <c r="AF635" s="117"/>
      <c r="AG635" s="117"/>
      <c r="AH635" s="117"/>
      <c r="AI635" s="117"/>
      <c r="AJ635" s="150"/>
      <c r="AK635" s="117"/>
      <c r="AL635" s="117"/>
      <c r="AM635" s="117"/>
      <c r="AN635" s="117"/>
      <c r="AO635" s="975">
        <v>10</v>
      </c>
      <c r="AP635" s="117"/>
      <c r="AQ635" s="117"/>
      <c r="AR635" s="117"/>
      <c r="AS635" s="117"/>
      <c r="AT635" s="975">
        <v>8</v>
      </c>
      <c r="AU635" s="117"/>
      <c r="AV635" s="117"/>
      <c r="AW635" s="117"/>
      <c r="AX635" s="117"/>
      <c r="AY635" s="975">
        <v>-10</v>
      </c>
      <c r="AZ635" s="117"/>
      <c r="BA635" s="117"/>
      <c r="BB635" s="117"/>
      <c r="BC635" s="117"/>
      <c r="BD635" s="975">
        <v>-5</v>
      </c>
      <c r="BE635" s="117"/>
      <c r="BF635" s="117"/>
      <c r="BG635" s="117"/>
      <c r="BH635" s="117"/>
      <c r="BI635" s="975">
        <v>12</v>
      </c>
      <c r="BJ635" s="117"/>
      <c r="BK635" s="117"/>
      <c r="BL635" s="117"/>
      <c r="BM635" s="117"/>
      <c r="BN635" s="975">
        <v>1</v>
      </c>
      <c r="BO635" s="117"/>
      <c r="BP635" s="117"/>
      <c r="BQ635" s="117"/>
      <c r="BR635" s="117"/>
      <c r="BS635" s="975">
        <v>-1</v>
      </c>
      <c r="BT635" s="691"/>
      <c r="BU635" s="117"/>
      <c r="BV635" s="117"/>
      <c r="BW635" s="117"/>
      <c r="BX635" s="150"/>
      <c r="BY635" s="117"/>
      <c r="BZ635" s="117"/>
      <c r="CA635" s="117"/>
      <c r="CB635" s="117"/>
      <c r="CC635" s="150"/>
      <c r="CD635" s="150"/>
      <c r="CE635" s="150"/>
      <c r="CF635" s="150"/>
      <c r="CG635" s="587"/>
    </row>
    <row r="636" spans="1:85" s="460" customFormat="1" ht="14.4" hidden="1" outlineLevel="1" x14ac:dyDescent="0.3">
      <c r="A636" s="159" t="s">
        <v>1387</v>
      </c>
      <c r="B636" s="586"/>
      <c r="C636" s="150"/>
      <c r="D636" s="150"/>
      <c r="E636" s="150"/>
      <c r="F636" s="150"/>
      <c r="G636" s="117"/>
      <c r="H636" s="117"/>
      <c r="I636" s="117"/>
      <c r="J636" s="117"/>
      <c r="K636" s="150"/>
      <c r="L636" s="117"/>
      <c r="M636" s="117"/>
      <c r="N636" s="117"/>
      <c r="O636" s="117"/>
      <c r="P636" s="150"/>
      <c r="Q636" s="117"/>
      <c r="R636" s="117"/>
      <c r="S636" s="117"/>
      <c r="T636" s="117"/>
      <c r="U636" s="150"/>
      <c r="V636" s="117"/>
      <c r="W636" s="117"/>
      <c r="X636" s="117"/>
      <c r="Y636" s="117"/>
      <c r="Z636" s="150"/>
      <c r="AA636" s="117"/>
      <c r="AB636" s="117"/>
      <c r="AC636" s="117"/>
      <c r="AD636" s="117"/>
      <c r="AE636" s="150"/>
      <c r="AF636" s="117"/>
      <c r="AG636" s="117"/>
      <c r="AH636" s="117"/>
      <c r="AI636" s="117"/>
      <c r="AJ636" s="150"/>
      <c r="AK636" s="117"/>
      <c r="AL636" s="117"/>
      <c r="AM636" s="117"/>
      <c r="AN636" s="117"/>
      <c r="AO636" s="975">
        <v>0</v>
      </c>
      <c r="AP636" s="117"/>
      <c r="AQ636" s="117"/>
      <c r="AR636" s="117"/>
      <c r="AS636" s="117"/>
      <c r="AT636" s="975">
        <v>0</v>
      </c>
      <c r="AU636" s="117"/>
      <c r="AV636" s="117"/>
      <c r="AW636" s="117"/>
      <c r="AX636" s="117"/>
      <c r="AY636" s="975">
        <v>0</v>
      </c>
      <c r="AZ636" s="117"/>
      <c r="BA636" s="117"/>
      <c r="BB636" s="117"/>
      <c r="BC636" s="117"/>
      <c r="BD636" s="975">
        <v>0</v>
      </c>
      <c r="BE636" s="117"/>
      <c r="BF636" s="117"/>
      <c r="BG636" s="117"/>
      <c r="BH636" s="117"/>
      <c r="BI636" s="975">
        <v>0</v>
      </c>
      <c r="BJ636" s="117"/>
      <c r="BK636" s="117"/>
      <c r="BL636" s="117"/>
      <c r="BM636" s="117"/>
      <c r="BN636" s="975">
        <v>0</v>
      </c>
      <c r="BO636" s="117"/>
      <c r="BP636" s="117"/>
      <c r="BQ636" s="117"/>
      <c r="BR636" s="117"/>
      <c r="BS636" s="150"/>
      <c r="BT636" s="691"/>
      <c r="BU636" s="117"/>
      <c r="BV636" s="117"/>
      <c r="BW636" s="117"/>
      <c r="BX636" s="150"/>
      <c r="BY636" s="117"/>
      <c r="BZ636" s="117"/>
      <c r="CA636" s="117"/>
      <c r="CB636" s="117"/>
      <c r="CC636" s="150"/>
      <c r="CD636" s="150"/>
      <c r="CE636" s="150"/>
      <c r="CF636" s="150"/>
      <c r="CG636" s="587"/>
    </row>
    <row r="637" spans="1:85" s="460" customFormat="1" ht="14.4" hidden="1" outlineLevel="1" x14ac:dyDescent="0.3">
      <c r="A637" s="159" t="s">
        <v>1388</v>
      </c>
      <c r="B637" s="586"/>
      <c r="C637" s="150"/>
      <c r="D637" s="150"/>
      <c r="E637" s="150"/>
      <c r="F637" s="150"/>
      <c r="G637" s="117"/>
      <c r="H637" s="117"/>
      <c r="I637" s="117"/>
      <c r="J637" s="117"/>
      <c r="K637" s="150"/>
      <c r="L637" s="117"/>
      <c r="M637" s="117"/>
      <c r="N637" s="117"/>
      <c r="O637" s="117"/>
      <c r="P637" s="150"/>
      <c r="Q637" s="117"/>
      <c r="R637" s="117"/>
      <c r="S637" s="117"/>
      <c r="T637" s="117"/>
      <c r="U637" s="150"/>
      <c r="V637" s="117"/>
      <c r="W637" s="117"/>
      <c r="X637" s="117"/>
      <c r="Y637" s="117"/>
      <c r="Z637" s="150"/>
      <c r="AA637" s="117"/>
      <c r="AB637" s="117"/>
      <c r="AC637" s="117"/>
      <c r="AD637" s="117"/>
      <c r="AE637" s="150"/>
      <c r="AF637" s="117"/>
      <c r="AG637" s="117"/>
      <c r="AH637" s="117"/>
      <c r="AI637" s="117"/>
      <c r="AJ637" s="150"/>
      <c r="AK637" s="117"/>
      <c r="AL637" s="117"/>
      <c r="AM637" s="117"/>
      <c r="AN637" s="117"/>
      <c r="AO637" s="975">
        <v>0</v>
      </c>
      <c r="AP637" s="117"/>
      <c r="AQ637" s="117"/>
      <c r="AR637" s="117"/>
      <c r="AS637" s="117"/>
      <c r="AT637" s="975">
        <v>0</v>
      </c>
      <c r="AU637" s="117"/>
      <c r="AV637" s="117"/>
      <c r="AW637" s="117"/>
      <c r="AX637" s="117"/>
      <c r="AY637" s="975">
        <v>0</v>
      </c>
      <c r="AZ637" s="117"/>
      <c r="BA637" s="117"/>
      <c r="BB637" s="117"/>
      <c r="BC637" s="117"/>
      <c r="BD637" s="975">
        <v>0</v>
      </c>
      <c r="BE637" s="117"/>
      <c r="BF637" s="117"/>
      <c r="BG637" s="117"/>
      <c r="BH637" s="117"/>
      <c r="BI637" s="975">
        <v>0</v>
      </c>
      <c r="BJ637" s="117"/>
      <c r="BK637" s="117"/>
      <c r="BL637" s="117"/>
      <c r="BM637" s="117"/>
      <c r="BN637" s="975">
        <v>0</v>
      </c>
      <c r="BO637" s="117"/>
      <c r="BP637" s="117"/>
      <c r="BQ637" s="117"/>
      <c r="BR637" s="117"/>
      <c r="BS637" s="975">
        <v>0</v>
      </c>
      <c r="BT637" s="691"/>
      <c r="BU637" s="117"/>
      <c r="BV637" s="117"/>
      <c r="BW637" s="117"/>
      <c r="BX637" s="150"/>
      <c r="BY637" s="117"/>
      <c r="BZ637" s="117"/>
      <c r="CA637" s="117"/>
      <c r="CB637" s="117"/>
      <c r="CC637" s="150"/>
      <c r="CD637" s="150"/>
      <c r="CE637" s="150"/>
      <c r="CF637" s="150"/>
      <c r="CG637" s="587"/>
    </row>
    <row r="638" spans="1:85" s="460" customFormat="1" ht="14.4" hidden="1" outlineLevel="1" x14ac:dyDescent="0.3">
      <c r="A638" s="159" t="s">
        <v>1389</v>
      </c>
      <c r="B638" s="586"/>
      <c r="C638" s="150"/>
      <c r="D638" s="150"/>
      <c r="E638" s="150"/>
      <c r="F638" s="150"/>
      <c r="G638" s="117"/>
      <c r="H638" s="117"/>
      <c r="I638" s="117"/>
      <c r="J638" s="117"/>
      <c r="K638" s="150"/>
      <c r="L638" s="117"/>
      <c r="M638" s="117"/>
      <c r="N638" s="117"/>
      <c r="O638" s="117"/>
      <c r="P638" s="150"/>
      <c r="Q638" s="117"/>
      <c r="R638" s="117"/>
      <c r="S638" s="117"/>
      <c r="T638" s="117"/>
      <c r="U638" s="150"/>
      <c r="V638" s="117"/>
      <c r="W638" s="117"/>
      <c r="X638" s="117"/>
      <c r="Y638" s="117"/>
      <c r="Z638" s="150"/>
      <c r="AA638" s="117"/>
      <c r="AB638" s="117"/>
      <c r="AC638" s="117"/>
      <c r="AD638" s="117"/>
      <c r="AE638" s="150"/>
      <c r="AF638" s="117"/>
      <c r="AG638" s="117"/>
      <c r="AH638" s="117"/>
      <c r="AI638" s="117"/>
      <c r="AJ638" s="150"/>
      <c r="AK638" s="117"/>
      <c r="AL638" s="117"/>
      <c r="AM638" s="117"/>
      <c r="AN638" s="117"/>
      <c r="AO638" s="975">
        <v>0</v>
      </c>
      <c r="AP638" s="117"/>
      <c r="AQ638" s="117"/>
      <c r="AR638" s="117"/>
      <c r="AS638" s="117"/>
      <c r="AT638" s="975">
        <v>0</v>
      </c>
      <c r="AU638" s="117"/>
      <c r="AV638" s="117"/>
      <c r="AW638" s="117"/>
      <c r="AX638" s="117"/>
      <c r="AY638" s="975">
        <v>0</v>
      </c>
      <c r="AZ638" s="117"/>
      <c r="BA638" s="117"/>
      <c r="BB638" s="117"/>
      <c r="BC638" s="117"/>
      <c r="BD638" s="975">
        <v>0</v>
      </c>
      <c r="BE638" s="117"/>
      <c r="BF638" s="117"/>
      <c r="BG638" s="117"/>
      <c r="BH638" s="117"/>
      <c r="BI638" s="975">
        <v>0</v>
      </c>
      <c r="BJ638" s="117"/>
      <c r="BK638" s="117"/>
      <c r="BL638" s="117"/>
      <c r="BM638" s="117"/>
      <c r="BN638" s="975">
        <v>0</v>
      </c>
      <c r="BO638" s="117"/>
      <c r="BP638" s="117"/>
      <c r="BQ638" s="117"/>
      <c r="BR638" s="117"/>
      <c r="BS638" s="975">
        <v>0</v>
      </c>
      <c r="BT638" s="691"/>
      <c r="BU638" s="117"/>
      <c r="BV638" s="117"/>
      <c r="BW638" s="117"/>
      <c r="BX638" s="150"/>
      <c r="BY638" s="117"/>
      <c r="BZ638" s="117"/>
      <c r="CA638" s="117"/>
      <c r="CB638" s="117"/>
      <c r="CC638" s="150"/>
      <c r="CD638" s="150"/>
      <c r="CE638" s="150"/>
      <c r="CF638" s="150"/>
      <c r="CG638" s="587"/>
    </row>
    <row r="639" spans="1:85" s="460" customFormat="1" ht="14.4" hidden="1" outlineLevel="1" x14ac:dyDescent="0.3">
      <c r="A639" s="159" t="s">
        <v>1390</v>
      </c>
      <c r="B639" s="586"/>
      <c r="C639" s="150"/>
      <c r="D639" s="150"/>
      <c r="E639" s="150"/>
      <c r="F639" s="150"/>
      <c r="G639" s="117"/>
      <c r="H639" s="117"/>
      <c r="I639" s="117"/>
      <c r="J639" s="117"/>
      <c r="K639" s="150"/>
      <c r="L639" s="117"/>
      <c r="M639" s="117"/>
      <c r="N639" s="117"/>
      <c r="O639" s="117"/>
      <c r="P639" s="150"/>
      <c r="Q639" s="117"/>
      <c r="R639" s="117"/>
      <c r="S639" s="117"/>
      <c r="T639" s="117"/>
      <c r="U639" s="150"/>
      <c r="V639" s="117"/>
      <c r="W639" s="117"/>
      <c r="X639" s="117"/>
      <c r="Y639" s="117"/>
      <c r="Z639" s="150"/>
      <c r="AA639" s="117"/>
      <c r="AB639" s="117"/>
      <c r="AC639" s="117"/>
      <c r="AD639" s="117"/>
      <c r="AE639" s="150"/>
      <c r="AF639" s="117"/>
      <c r="AG639" s="117"/>
      <c r="AH639" s="117"/>
      <c r="AI639" s="117"/>
      <c r="AJ639" s="150"/>
      <c r="AK639" s="117"/>
      <c r="AL639" s="117"/>
      <c r="AM639" s="117"/>
      <c r="AN639" s="117"/>
      <c r="AO639" s="975">
        <v>0</v>
      </c>
      <c r="AP639" s="117"/>
      <c r="AQ639" s="117"/>
      <c r="AR639" s="117"/>
      <c r="AS639" s="117"/>
      <c r="AT639" s="975">
        <v>0</v>
      </c>
      <c r="AU639" s="117"/>
      <c r="AV639" s="117"/>
      <c r="AW639" s="117"/>
      <c r="AX639" s="117"/>
      <c r="AY639" s="975">
        <v>0</v>
      </c>
      <c r="AZ639" s="117"/>
      <c r="BA639" s="117"/>
      <c r="BB639" s="117"/>
      <c r="BC639" s="117"/>
      <c r="BD639" s="975">
        <v>0</v>
      </c>
      <c r="BE639" s="117"/>
      <c r="BF639" s="117"/>
      <c r="BG639" s="117"/>
      <c r="BH639" s="117"/>
      <c r="BI639" s="975">
        <v>0</v>
      </c>
      <c r="BJ639" s="117"/>
      <c r="BK639" s="117"/>
      <c r="BL639" s="117"/>
      <c r="BM639" s="117"/>
      <c r="BN639" s="975">
        <v>0</v>
      </c>
      <c r="BO639" s="117"/>
      <c r="BP639" s="117"/>
      <c r="BQ639" s="117"/>
      <c r="BR639" s="117"/>
      <c r="BS639" s="975">
        <v>0</v>
      </c>
      <c r="BT639" s="691"/>
      <c r="BU639" s="117"/>
      <c r="BV639" s="117"/>
      <c r="BW639" s="117"/>
      <c r="BX639" s="150"/>
      <c r="BY639" s="117"/>
      <c r="BZ639" s="117"/>
      <c r="CA639" s="117"/>
      <c r="CB639" s="117"/>
      <c r="CC639" s="150"/>
      <c r="CD639" s="150"/>
      <c r="CE639" s="150"/>
      <c r="CF639" s="150"/>
      <c r="CG639" s="587"/>
    </row>
    <row r="640" spans="1:85" s="460" customFormat="1" ht="14.4" hidden="1" outlineLevel="1" x14ac:dyDescent="0.3">
      <c r="A640" s="262" t="s">
        <v>1391</v>
      </c>
      <c r="B640" s="588"/>
      <c r="C640" s="954"/>
      <c r="D640" s="954"/>
      <c r="E640" s="954"/>
      <c r="F640" s="954"/>
      <c r="G640" s="133"/>
      <c r="H640" s="133"/>
      <c r="I640" s="133"/>
      <c r="J640" s="133"/>
      <c r="K640" s="954"/>
      <c r="L640" s="133"/>
      <c r="M640" s="133"/>
      <c r="N640" s="133"/>
      <c r="O640" s="133"/>
      <c r="P640" s="954"/>
      <c r="Q640" s="133"/>
      <c r="R640" s="133"/>
      <c r="S640" s="133"/>
      <c r="T640" s="133"/>
      <c r="U640" s="954"/>
      <c r="V640" s="133"/>
      <c r="W640" s="133"/>
      <c r="X640" s="133"/>
      <c r="Y640" s="133"/>
      <c r="Z640" s="954"/>
      <c r="AA640" s="133"/>
      <c r="AB640" s="133"/>
      <c r="AC640" s="133"/>
      <c r="AD640" s="133"/>
      <c r="AE640" s="954"/>
      <c r="AF640" s="133"/>
      <c r="AG640" s="133"/>
      <c r="AH640" s="133"/>
      <c r="AI640" s="133"/>
      <c r="AJ640" s="954"/>
      <c r="AK640" s="133"/>
      <c r="AL640" s="133"/>
      <c r="AM640" s="133"/>
      <c r="AN640" s="133"/>
      <c r="AO640" s="976">
        <v>-8</v>
      </c>
      <c r="AP640" s="133"/>
      <c r="AQ640" s="133"/>
      <c r="AR640" s="133"/>
      <c r="AS640" s="133"/>
      <c r="AT640" s="976">
        <v>-9</v>
      </c>
      <c r="AU640" s="133"/>
      <c r="AV640" s="133"/>
      <c r="AW640" s="133"/>
      <c r="AX640" s="133"/>
      <c r="AY640" s="976">
        <v>-8</v>
      </c>
      <c r="AZ640" s="133"/>
      <c r="BA640" s="133"/>
      <c r="BB640" s="133"/>
      <c r="BC640" s="133"/>
      <c r="BD640" s="976">
        <v>-6</v>
      </c>
      <c r="BE640" s="133"/>
      <c r="BF640" s="133"/>
      <c r="BG640" s="133"/>
      <c r="BH640" s="133"/>
      <c r="BI640" s="976">
        <v>-7</v>
      </c>
      <c r="BJ640" s="133"/>
      <c r="BK640" s="133"/>
      <c r="BL640" s="133"/>
      <c r="BM640" s="133"/>
      <c r="BN640" s="976">
        <v>-7</v>
      </c>
      <c r="BO640" s="133"/>
      <c r="BP640" s="133"/>
      <c r="BQ640" s="133"/>
      <c r="BR640" s="133"/>
      <c r="BS640" s="976">
        <v>-8</v>
      </c>
      <c r="BT640" s="692"/>
      <c r="BU640" s="133"/>
      <c r="BV640" s="133"/>
      <c r="BW640" s="133"/>
      <c r="BX640" s="954"/>
      <c r="BY640" s="133"/>
      <c r="BZ640" s="133"/>
      <c r="CA640" s="133"/>
      <c r="CB640" s="133"/>
      <c r="CC640" s="954"/>
      <c r="CD640" s="954"/>
      <c r="CE640" s="954"/>
      <c r="CF640" s="954"/>
      <c r="CG640" s="587"/>
    </row>
    <row r="641" spans="1:85" s="461" customFormat="1" ht="14.4" hidden="1" outlineLevel="1" x14ac:dyDescent="0.3">
      <c r="A641" s="166" t="s">
        <v>1392</v>
      </c>
      <c r="B641" s="583"/>
      <c r="C641" s="957"/>
      <c r="D641" s="957"/>
      <c r="E641" s="957"/>
      <c r="F641" s="957"/>
      <c r="G641" s="120"/>
      <c r="H641" s="120"/>
      <c r="I641" s="120"/>
      <c r="J641" s="120"/>
      <c r="K641" s="957"/>
      <c r="L641" s="120"/>
      <c r="M641" s="120"/>
      <c r="N641" s="120"/>
      <c r="O641" s="120"/>
      <c r="P641" s="957"/>
      <c r="Q641" s="120"/>
      <c r="R641" s="120"/>
      <c r="S641" s="120"/>
      <c r="T641" s="120"/>
      <c r="U641" s="957"/>
      <c r="V641" s="120"/>
      <c r="W641" s="120"/>
      <c r="X641" s="120"/>
      <c r="Y641" s="120"/>
      <c r="Z641" s="957"/>
      <c r="AA641" s="120"/>
      <c r="AB641" s="120"/>
      <c r="AC641" s="120"/>
      <c r="AD641" s="120"/>
      <c r="AE641" s="957"/>
      <c r="AF641" s="120"/>
      <c r="AG641" s="120"/>
      <c r="AH641" s="120"/>
      <c r="AI641" s="120"/>
      <c r="AJ641" s="957"/>
      <c r="AK641" s="120"/>
      <c r="AL641" s="120"/>
      <c r="AM641" s="120"/>
      <c r="AN641" s="120"/>
      <c r="AO641" s="957">
        <f>SUM(AO634:AO640)</f>
        <v>103</v>
      </c>
      <c r="AP641" s="120"/>
      <c r="AQ641" s="120"/>
      <c r="AR641" s="120"/>
      <c r="AS641" s="120"/>
      <c r="AT641" s="957">
        <f>SUM(AT634:AT640)</f>
        <v>102</v>
      </c>
      <c r="AU641" s="120"/>
      <c r="AV641" s="120"/>
      <c r="AW641" s="120"/>
      <c r="AX641" s="120"/>
      <c r="AY641" s="957">
        <f>SUM(AY634:AY640)</f>
        <v>84</v>
      </c>
      <c r="AZ641" s="120"/>
      <c r="BA641" s="120"/>
      <c r="BB641" s="120"/>
      <c r="BC641" s="120"/>
      <c r="BD641" s="957">
        <f>SUM(BD634:BD640)</f>
        <v>73</v>
      </c>
      <c r="BE641" s="120"/>
      <c r="BF641" s="120"/>
      <c r="BG641" s="120"/>
      <c r="BH641" s="120"/>
      <c r="BI641" s="957">
        <f>SUM(BI634:BI640)</f>
        <v>78</v>
      </c>
      <c r="BJ641" s="120"/>
      <c r="BK641" s="120"/>
      <c r="BL641" s="120"/>
      <c r="BM641" s="120"/>
      <c r="BN641" s="957">
        <f>SUM(BN634:BN640)</f>
        <v>72</v>
      </c>
      <c r="BO641" s="120"/>
      <c r="BP641" s="120"/>
      <c r="BQ641" s="120"/>
      <c r="BR641" s="120"/>
      <c r="BS641" s="957">
        <f>SUM(BS634:BS640)</f>
        <v>63</v>
      </c>
      <c r="BT641" s="694"/>
      <c r="BU641" s="120"/>
      <c r="BV641" s="120"/>
      <c r="BW641" s="120"/>
      <c r="BX641" s="957"/>
      <c r="BY641" s="120"/>
      <c r="BZ641" s="120"/>
      <c r="CA641" s="120"/>
      <c r="CB641" s="120"/>
      <c r="CC641" s="957"/>
      <c r="CD641" s="957"/>
      <c r="CE641" s="957"/>
      <c r="CF641" s="957"/>
      <c r="CG641" s="615"/>
    </row>
    <row r="642" spans="1:85" s="461" customFormat="1" ht="14.4" hidden="1" outlineLevel="1" x14ac:dyDescent="0.3">
      <c r="A642" s="166" t="s">
        <v>1393</v>
      </c>
      <c r="B642" s="583"/>
      <c r="C642" s="957"/>
      <c r="D642" s="957"/>
      <c r="E642" s="957"/>
      <c r="F642" s="957"/>
      <c r="G642" s="120"/>
      <c r="H642" s="120"/>
      <c r="I642" s="120"/>
      <c r="J642" s="120"/>
      <c r="K642" s="957"/>
      <c r="L642" s="120"/>
      <c r="M642" s="120"/>
      <c r="N642" s="120"/>
      <c r="O642" s="120"/>
      <c r="P642" s="957"/>
      <c r="Q642" s="120"/>
      <c r="R642" s="120"/>
      <c r="S642" s="120"/>
      <c r="T642" s="120"/>
      <c r="U642" s="957"/>
      <c r="V642" s="120"/>
      <c r="W642" s="120"/>
      <c r="X642" s="120"/>
      <c r="Y642" s="120"/>
      <c r="Z642" s="957"/>
      <c r="AA642" s="120"/>
      <c r="AB642" s="120"/>
      <c r="AC642" s="120"/>
      <c r="AD642" s="120"/>
      <c r="AE642" s="957"/>
      <c r="AF642" s="120"/>
      <c r="AG642" s="120"/>
      <c r="AH642" s="120"/>
      <c r="AI642" s="120"/>
      <c r="AJ642" s="957"/>
      <c r="AK642" s="120"/>
      <c r="AL642" s="120"/>
      <c r="AM642" s="120"/>
      <c r="AN642" s="120"/>
      <c r="AO642" s="983">
        <v>16</v>
      </c>
      <c r="AP642" s="120"/>
      <c r="AQ642" s="120"/>
      <c r="AR642" s="120"/>
      <c r="AS642" s="120"/>
      <c r="AT642" s="983">
        <v>15</v>
      </c>
      <c r="AU642" s="120"/>
      <c r="AV642" s="120"/>
      <c r="AW642" s="120"/>
      <c r="AX642" s="120"/>
      <c r="AY642" s="983">
        <v>17</v>
      </c>
      <c r="AZ642" s="120"/>
      <c r="BA642" s="120"/>
      <c r="BB642" s="120"/>
      <c r="BC642" s="120"/>
      <c r="BD642" s="983">
        <v>18</v>
      </c>
      <c r="BE642" s="120"/>
      <c r="BF642" s="120"/>
      <c r="BG642" s="120"/>
      <c r="BH642" s="120"/>
      <c r="BI642" s="983">
        <v>13</v>
      </c>
      <c r="BJ642" s="120"/>
      <c r="BK642" s="120"/>
      <c r="BL642" s="120"/>
      <c r="BM642" s="120"/>
      <c r="BN642" s="983">
        <v>13</v>
      </c>
      <c r="BO642" s="120"/>
      <c r="BP642" s="120"/>
      <c r="BQ642" s="120"/>
      <c r="BR642" s="120"/>
      <c r="BS642" s="983">
        <v>12</v>
      </c>
      <c r="BT642" s="694"/>
      <c r="BU642" s="120"/>
      <c r="BV642" s="120"/>
      <c r="BW642" s="120"/>
      <c r="BX642" s="957"/>
      <c r="BY642" s="120"/>
      <c r="BZ642" s="120"/>
      <c r="CA642" s="120"/>
      <c r="CB642" s="120"/>
      <c r="CC642" s="957"/>
      <c r="CD642" s="957"/>
      <c r="CE642" s="957"/>
      <c r="CF642" s="957"/>
      <c r="CG642" s="615"/>
    </row>
    <row r="643" spans="1:85" s="460" customFormat="1" ht="14.4" hidden="1" outlineLevel="1" x14ac:dyDescent="0.3">
      <c r="A643" s="159" t="s">
        <v>1394</v>
      </c>
      <c r="B643" s="586"/>
      <c r="C643" s="150"/>
      <c r="D643" s="150"/>
      <c r="E643" s="150"/>
      <c r="F643" s="150"/>
      <c r="G643" s="117"/>
      <c r="H643" s="117"/>
      <c r="I643" s="117"/>
      <c r="J643" s="117"/>
      <c r="K643" s="150"/>
      <c r="L643" s="117"/>
      <c r="M643" s="117"/>
      <c r="N643" s="117"/>
      <c r="O643" s="117"/>
      <c r="P643" s="150"/>
      <c r="Q643" s="117"/>
      <c r="R643" s="117"/>
      <c r="S643" s="117"/>
      <c r="T643" s="117"/>
      <c r="U643" s="150"/>
      <c r="V643" s="117"/>
      <c r="W643" s="117"/>
      <c r="X643" s="117"/>
      <c r="Y643" s="117"/>
      <c r="Z643" s="150"/>
      <c r="AA643" s="117"/>
      <c r="AB643" s="117"/>
      <c r="AC643" s="117"/>
      <c r="AD643" s="117"/>
      <c r="AE643" s="150"/>
      <c r="AF643" s="117"/>
      <c r="AG643" s="117"/>
      <c r="AH643" s="117"/>
      <c r="AI643" s="117"/>
      <c r="AJ643" s="150"/>
      <c r="AK643" s="117"/>
      <c r="AL643" s="117"/>
      <c r="AM643" s="117"/>
      <c r="AN643" s="117"/>
      <c r="AO643" s="975">
        <v>2</v>
      </c>
      <c r="AP643" s="117"/>
      <c r="AQ643" s="117"/>
      <c r="AR643" s="117"/>
      <c r="AS643" s="117"/>
      <c r="AT643" s="975">
        <v>5</v>
      </c>
      <c r="AU643" s="117"/>
      <c r="AV643" s="117"/>
      <c r="AW643" s="117"/>
      <c r="AX643" s="117"/>
      <c r="AY643" s="975">
        <v>4</v>
      </c>
      <c r="AZ643" s="117"/>
      <c r="BA643" s="117"/>
      <c r="BB643" s="117"/>
      <c r="BC643" s="117"/>
      <c r="BD643" s="975">
        <v>-3</v>
      </c>
      <c r="BE643" s="117"/>
      <c r="BF643" s="117"/>
      <c r="BG643" s="117"/>
      <c r="BH643" s="117"/>
      <c r="BI643" s="975">
        <v>2</v>
      </c>
      <c r="BJ643" s="117"/>
      <c r="BK643" s="117"/>
      <c r="BL643" s="117"/>
      <c r="BM643" s="117"/>
      <c r="BN643" s="975">
        <v>1</v>
      </c>
      <c r="BO643" s="117"/>
      <c r="BP643" s="117"/>
      <c r="BQ643" s="117"/>
      <c r="BR643" s="117"/>
      <c r="BS643" s="975">
        <v>4</v>
      </c>
      <c r="BT643" s="691"/>
      <c r="BU643" s="117"/>
      <c r="BV643" s="117"/>
      <c r="BW643" s="117"/>
      <c r="BX643" s="150"/>
      <c r="BY643" s="117"/>
      <c r="BZ643" s="117"/>
      <c r="CA643" s="117"/>
      <c r="CB643" s="117"/>
      <c r="CC643" s="150"/>
      <c r="CD643" s="150"/>
      <c r="CE643" s="150"/>
      <c r="CF643" s="150"/>
      <c r="CG643" s="587"/>
    </row>
    <row r="644" spans="1:85" s="460" customFormat="1" ht="14.4" hidden="1" outlineLevel="1" x14ac:dyDescent="0.3">
      <c r="A644" s="159" t="s">
        <v>1395</v>
      </c>
      <c r="B644" s="586"/>
      <c r="C644" s="150"/>
      <c r="D644" s="150"/>
      <c r="E644" s="150"/>
      <c r="F644" s="150"/>
      <c r="G644" s="117"/>
      <c r="H644" s="117"/>
      <c r="I644" s="117"/>
      <c r="J644" s="117"/>
      <c r="K644" s="150"/>
      <c r="L644" s="117"/>
      <c r="M644" s="117"/>
      <c r="N644" s="117"/>
      <c r="O644" s="117"/>
      <c r="P644" s="150"/>
      <c r="Q644" s="117"/>
      <c r="R644" s="117"/>
      <c r="S644" s="117"/>
      <c r="T644" s="117"/>
      <c r="U644" s="150"/>
      <c r="V644" s="117"/>
      <c r="W644" s="117"/>
      <c r="X644" s="117"/>
      <c r="Y644" s="117"/>
      <c r="Z644" s="150"/>
      <c r="AA644" s="117"/>
      <c r="AB644" s="117"/>
      <c r="AC644" s="117"/>
      <c r="AD644" s="117"/>
      <c r="AE644" s="150"/>
      <c r="AF644" s="117"/>
      <c r="AG644" s="117"/>
      <c r="AH644" s="117"/>
      <c r="AI644" s="117"/>
      <c r="AJ644" s="150"/>
      <c r="AK644" s="117"/>
      <c r="AL644" s="117"/>
      <c r="AM644" s="117"/>
      <c r="AN644" s="117"/>
      <c r="AO644" s="975">
        <v>0</v>
      </c>
      <c r="AP644" s="117"/>
      <c r="AQ644" s="117"/>
      <c r="AR644" s="117"/>
      <c r="AS644" s="117"/>
      <c r="AT644" s="975">
        <v>0</v>
      </c>
      <c r="AU644" s="117"/>
      <c r="AV644" s="117"/>
      <c r="AW644" s="117"/>
      <c r="AX644" s="117"/>
      <c r="AY644" s="975">
        <v>0</v>
      </c>
      <c r="AZ644" s="117"/>
      <c r="BA644" s="117"/>
      <c r="BB644" s="117"/>
      <c r="BC644" s="117"/>
      <c r="BD644" s="975">
        <v>0</v>
      </c>
      <c r="BE644" s="117"/>
      <c r="BF644" s="117"/>
      <c r="BG644" s="117"/>
      <c r="BH644" s="117"/>
      <c r="BI644" s="975">
        <v>0</v>
      </c>
      <c r="BJ644" s="117"/>
      <c r="BK644" s="117"/>
      <c r="BL644" s="117"/>
      <c r="BM644" s="117"/>
      <c r="BN644" s="975">
        <v>0</v>
      </c>
      <c r="BO644" s="117"/>
      <c r="BP644" s="117"/>
      <c r="BQ644" s="117"/>
      <c r="BR644" s="117"/>
      <c r="BS644" s="150"/>
      <c r="BT644" s="691"/>
      <c r="BU644" s="117"/>
      <c r="BV644" s="117"/>
      <c r="BW644" s="117"/>
      <c r="BX644" s="150"/>
      <c r="BY644" s="117"/>
      <c r="BZ644" s="117"/>
      <c r="CA644" s="117"/>
      <c r="CB644" s="117"/>
      <c r="CC644" s="150"/>
      <c r="CD644" s="150"/>
      <c r="CE644" s="150"/>
      <c r="CF644" s="150"/>
      <c r="CG644" s="587"/>
    </row>
    <row r="645" spans="1:85" s="460" customFormat="1" ht="14.4" hidden="1" outlineLevel="1" x14ac:dyDescent="0.3">
      <c r="A645" s="159" t="s">
        <v>1396</v>
      </c>
      <c r="B645" s="586"/>
      <c r="C645" s="150"/>
      <c r="D645" s="150"/>
      <c r="E645" s="150"/>
      <c r="F645" s="150"/>
      <c r="G645" s="117"/>
      <c r="H645" s="117"/>
      <c r="I645" s="117"/>
      <c r="J645" s="117"/>
      <c r="K645" s="150"/>
      <c r="L645" s="117"/>
      <c r="M645" s="117"/>
      <c r="N645" s="117"/>
      <c r="O645" s="117"/>
      <c r="P645" s="150"/>
      <c r="Q645" s="117"/>
      <c r="R645" s="117"/>
      <c r="S645" s="117"/>
      <c r="T645" s="117"/>
      <c r="U645" s="150"/>
      <c r="V645" s="117"/>
      <c r="W645" s="117"/>
      <c r="X645" s="117"/>
      <c r="Y645" s="117"/>
      <c r="Z645" s="150"/>
      <c r="AA645" s="117"/>
      <c r="AB645" s="117"/>
      <c r="AC645" s="117"/>
      <c r="AD645" s="117"/>
      <c r="AE645" s="150"/>
      <c r="AF645" s="117"/>
      <c r="AG645" s="117"/>
      <c r="AH645" s="117"/>
      <c r="AI645" s="117"/>
      <c r="AJ645" s="150"/>
      <c r="AK645" s="117"/>
      <c r="AL645" s="117"/>
      <c r="AM645" s="117"/>
      <c r="AN645" s="117"/>
      <c r="AO645" s="975">
        <v>0</v>
      </c>
      <c r="AP645" s="117"/>
      <c r="AQ645" s="117"/>
      <c r="AR645" s="117"/>
      <c r="AS645" s="117"/>
      <c r="AT645" s="975">
        <v>0</v>
      </c>
      <c r="AU645" s="117"/>
      <c r="AV645" s="117"/>
      <c r="AW645" s="117"/>
      <c r="AX645" s="117"/>
      <c r="AY645" s="975">
        <v>0</v>
      </c>
      <c r="AZ645" s="117"/>
      <c r="BA645" s="117"/>
      <c r="BB645" s="117"/>
      <c r="BC645" s="117"/>
      <c r="BD645" s="975">
        <v>0</v>
      </c>
      <c r="BE645" s="117"/>
      <c r="BF645" s="117"/>
      <c r="BG645" s="117"/>
      <c r="BH645" s="117"/>
      <c r="BI645" s="975">
        <v>0</v>
      </c>
      <c r="BJ645" s="117"/>
      <c r="BK645" s="117"/>
      <c r="BL645" s="117"/>
      <c r="BM645" s="117"/>
      <c r="BN645" s="975">
        <v>0</v>
      </c>
      <c r="BO645" s="117"/>
      <c r="BP645" s="117"/>
      <c r="BQ645" s="117"/>
      <c r="BR645" s="117"/>
      <c r="BS645" s="975">
        <v>0</v>
      </c>
      <c r="BT645" s="691"/>
      <c r="BU645" s="117"/>
      <c r="BV645" s="117"/>
      <c r="BW645" s="117"/>
      <c r="BX645" s="150"/>
      <c r="BY645" s="117"/>
      <c r="BZ645" s="117"/>
      <c r="CA645" s="117"/>
      <c r="CB645" s="117"/>
      <c r="CC645" s="150"/>
      <c r="CD645" s="150"/>
      <c r="CE645" s="150"/>
      <c r="CF645" s="150"/>
      <c r="CG645" s="587"/>
    </row>
    <row r="646" spans="1:85" s="460" customFormat="1" ht="14.4" hidden="1" outlineLevel="1" x14ac:dyDescent="0.3">
      <c r="A646" s="159" t="s">
        <v>1397</v>
      </c>
      <c r="B646" s="586"/>
      <c r="C646" s="150"/>
      <c r="D646" s="150"/>
      <c r="E646" s="150"/>
      <c r="F646" s="150"/>
      <c r="G646" s="117"/>
      <c r="H646" s="117"/>
      <c r="I646" s="117"/>
      <c r="J646" s="117"/>
      <c r="K646" s="150"/>
      <c r="L646" s="117"/>
      <c r="M646" s="117"/>
      <c r="N646" s="117"/>
      <c r="O646" s="117"/>
      <c r="P646" s="150"/>
      <c r="Q646" s="117"/>
      <c r="R646" s="117"/>
      <c r="S646" s="117"/>
      <c r="T646" s="117"/>
      <c r="U646" s="150"/>
      <c r="V646" s="117"/>
      <c r="W646" s="117"/>
      <c r="X646" s="117"/>
      <c r="Y646" s="117"/>
      <c r="Z646" s="150"/>
      <c r="AA646" s="117"/>
      <c r="AB646" s="117"/>
      <c r="AC646" s="117"/>
      <c r="AD646" s="117"/>
      <c r="AE646" s="150"/>
      <c r="AF646" s="117"/>
      <c r="AG646" s="117"/>
      <c r="AH646" s="117"/>
      <c r="AI646" s="117"/>
      <c r="AJ646" s="150"/>
      <c r="AK646" s="117"/>
      <c r="AL646" s="117"/>
      <c r="AM646" s="117"/>
      <c r="AN646" s="117"/>
      <c r="AO646" s="975">
        <v>0</v>
      </c>
      <c r="AP646" s="117"/>
      <c r="AQ646" s="117"/>
      <c r="AR646" s="117"/>
      <c r="AS646" s="117"/>
      <c r="AT646" s="975">
        <v>0</v>
      </c>
      <c r="AU646" s="117"/>
      <c r="AV646" s="117"/>
      <c r="AW646" s="117"/>
      <c r="AX646" s="117"/>
      <c r="AY646" s="975">
        <v>0</v>
      </c>
      <c r="AZ646" s="117"/>
      <c r="BA646" s="117"/>
      <c r="BB646" s="117"/>
      <c r="BC646" s="117"/>
      <c r="BD646" s="975">
        <v>0</v>
      </c>
      <c r="BE646" s="117"/>
      <c r="BF646" s="117"/>
      <c r="BG646" s="117"/>
      <c r="BH646" s="117"/>
      <c r="BI646" s="975">
        <v>0</v>
      </c>
      <c r="BJ646" s="117"/>
      <c r="BK646" s="117"/>
      <c r="BL646" s="117"/>
      <c r="BM646" s="117"/>
      <c r="BN646" s="975">
        <v>0</v>
      </c>
      <c r="BO646" s="117"/>
      <c r="BP646" s="117"/>
      <c r="BQ646" s="117"/>
      <c r="BR646" s="117"/>
      <c r="BS646" s="975">
        <v>0</v>
      </c>
      <c r="BT646" s="691"/>
      <c r="BU646" s="117"/>
      <c r="BV646" s="117"/>
      <c r="BW646" s="117"/>
      <c r="BX646" s="150"/>
      <c r="BY646" s="117"/>
      <c r="BZ646" s="117"/>
      <c r="CA646" s="117"/>
      <c r="CB646" s="117"/>
      <c r="CC646" s="150"/>
      <c r="CD646" s="150"/>
      <c r="CE646" s="150"/>
      <c r="CF646" s="150"/>
      <c r="CG646" s="587"/>
    </row>
    <row r="647" spans="1:85" s="460" customFormat="1" ht="14.4" hidden="1" outlineLevel="1" x14ac:dyDescent="0.3">
      <c r="A647" s="159" t="s">
        <v>1398</v>
      </c>
      <c r="B647" s="586"/>
      <c r="C647" s="150"/>
      <c r="D647" s="150"/>
      <c r="E647" s="150"/>
      <c r="F647" s="150"/>
      <c r="G647" s="117"/>
      <c r="H647" s="117"/>
      <c r="I647" s="117"/>
      <c r="J647" s="117"/>
      <c r="K647" s="150"/>
      <c r="L647" s="117"/>
      <c r="M647" s="117"/>
      <c r="N647" s="117"/>
      <c r="O647" s="117"/>
      <c r="P647" s="150"/>
      <c r="Q647" s="117"/>
      <c r="R647" s="117"/>
      <c r="S647" s="117"/>
      <c r="T647" s="117"/>
      <c r="U647" s="150"/>
      <c r="V647" s="117"/>
      <c r="W647" s="117"/>
      <c r="X647" s="117"/>
      <c r="Y647" s="117"/>
      <c r="Z647" s="150"/>
      <c r="AA647" s="117"/>
      <c r="AB647" s="117"/>
      <c r="AC647" s="117"/>
      <c r="AD647" s="117"/>
      <c r="AE647" s="150"/>
      <c r="AF647" s="117"/>
      <c r="AG647" s="117"/>
      <c r="AH647" s="117"/>
      <c r="AI647" s="117"/>
      <c r="AJ647" s="150"/>
      <c r="AK647" s="117"/>
      <c r="AL647" s="117"/>
      <c r="AM647" s="117"/>
      <c r="AN647" s="117"/>
      <c r="AO647" s="975">
        <v>0</v>
      </c>
      <c r="AP647" s="117"/>
      <c r="AQ647" s="117"/>
      <c r="AR647" s="117"/>
      <c r="AS647" s="117"/>
      <c r="AT647" s="975">
        <v>0</v>
      </c>
      <c r="AU647" s="117"/>
      <c r="AV647" s="117"/>
      <c r="AW647" s="117"/>
      <c r="AX647" s="117"/>
      <c r="AY647" s="975">
        <v>0</v>
      </c>
      <c r="AZ647" s="117"/>
      <c r="BA647" s="117"/>
      <c r="BB647" s="117"/>
      <c r="BC647" s="117"/>
      <c r="BD647" s="975">
        <v>0</v>
      </c>
      <c r="BE647" s="117"/>
      <c r="BF647" s="117"/>
      <c r="BG647" s="117"/>
      <c r="BH647" s="117"/>
      <c r="BI647" s="975">
        <v>0</v>
      </c>
      <c r="BJ647" s="117"/>
      <c r="BK647" s="117"/>
      <c r="BL647" s="117"/>
      <c r="BM647" s="117"/>
      <c r="BN647" s="975">
        <v>0</v>
      </c>
      <c r="BO647" s="117"/>
      <c r="BP647" s="117"/>
      <c r="BQ647" s="117"/>
      <c r="BR647" s="117"/>
      <c r="BS647" s="975">
        <v>0</v>
      </c>
      <c r="BT647" s="691"/>
      <c r="BU647" s="117"/>
      <c r="BV647" s="117"/>
      <c r="BW647" s="117"/>
      <c r="BX647" s="150"/>
      <c r="BY647" s="117"/>
      <c r="BZ647" s="117"/>
      <c r="CA647" s="117"/>
      <c r="CB647" s="117"/>
      <c r="CC647" s="150"/>
      <c r="CD647" s="150"/>
      <c r="CE647" s="150"/>
      <c r="CF647" s="150"/>
      <c r="CG647" s="587"/>
    </row>
    <row r="648" spans="1:85" s="460" customFormat="1" ht="14.4" hidden="1" outlineLevel="1" x14ac:dyDescent="0.3">
      <c r="A648" s="262" t="s">
        <v>1399</v>
      </c>
      <c r="B648" s="588"/>
      <c r="C648" s="954"/>
      <c r="D648" s="954"/>
      <c r="E648" s="954"/>
      <c r="F648" s="954"/>
      <c r="G648" s="133"/>
      <c r="H648" s="133"/>
      <c r="I648" s="133"/>
      <c r="J648" s="133"/>
      <c r="K648" s="954"/>
      <c r="L648" s="133"/>
      <c r="M648" s="133"/>
      <c r="N648" s="133"/>
      <c r="O648" s="133"/>
      <c r="P648" s="954"/>
      <c r="Q648" s="133"/>
      <c r="R648" s="133"/>
      <c r="S648" s="133"/>
      <c r="T648" s="133"/>
      <c r="U648" s="954"/>
      <c r="V648" s="133"/>
      <c r="W648" s="133"/>
      <c r="X648" s="133"/>
      <c r="Y648" s="133"/>
      <c r="Z648" s="954"/>
      <c r="AA648" s="133"/>
      <c r="AB648" s="133"/>
      <c r="AC648" s="133"/>
      <c r="AD648" s="133"/>
      <c r="AE648" s="954"/>
      <c r="AF648" s="133"/>
      <c r="AG648" s="133"/>
      <c r="AH648" s="133"/>
      <c r="AI648" s="133"/>
      <c r="AJ648" s="954"/>
      <c r="AK648" s="133"/>
      <c r="AL648" s="133"/>
      <c r="AM648" s="133"/>
      <c r="AN648" s="133"/>
      <c r="AO648" s="976">
        <v>-3</v>
      </c>
      <c r="AP648" s="133"/>
      <c r="AQ648" s="133"/>
      <c r="AR648" s="133"/>
      <c r="AS648" s="133"/>
      <c r="AT648" s="976">
        <v>-3</v>
      </c>
      <c r="AU648" s="133"/>
      <c r="AV648" s="133"/>
      <c r="AW648" s="133"/>
      <c r="AX648" s="133"/>
      <c r="AY648" s="976">
        <v>-3</v>
      </c>
      <c r="AZ648" s="133"/>
      <c r="BA648" s="133"/>
      <c r="BB648" s="133"/>
      <c r="BC648" s="133"/>
      <c r="BD648" s="976">
        <v>-2</v>
      </c>
      <c r="BE648" s="133"/>
      <c r="BF648" s="133"/>
      <c r="BG648" s="133"/>
      <c r="BH648" s="133"/>
      <c r="BI648" s="976">
        <v>-2</v>
      </c>
      <c r="BJ648" s="133"/>
      <c r="BK648" s="133"/>
      <c r="BL648" s="133"/>
      <c r="BM648" s="133"/>
      <c r="BN648" s="976">
        <v>-2</v>
      </c>
      <c r="BO648" s="133"/>
      <c r="BP648" s="133"/>
      <c r="BQ648" s="133"/>
      <c r="BR648" s="133"/>
      <c r="BS648" s="976">
        <v>-2</v>
      </c>
      <c r="BT648" s="692"/>
      <c r="BU648" s="133"/>
      <c r="BV648" s="133"/>
      <c r="BW648" s="133"/>
      <c r="BX648" s="954"/>
      <c r="BY648" s="133"/>
      <c r="BZ648" s="133"/>
      <c r="CA648" s="133"/>
      <c r="CB648" s="133"/>
      <c r="CC648" s="954"/>
      <c r="CD648" s="954"/>
      <c r="CE648" s="954"/>
      <c r="CF648" s="954"/>
      <c r="CG648" s="587"/>
    </row>
    <row r="649" spans="1:85" s="461" customFormat="1" ht="14.4" hidden="1" outlineLevel="1" x14ac:dyDescent="0.3">
      <c r="A649" s="166" t="s">
        <v>1400</v>
      </c>
      <c r="B649" s="583"/>
      <c r="C649" s="957"/>
      <c r="D649" s="957"/>
      <c r="E649" s="957"/>
      <c r="F649" s="957"/>
      <c r="G649" s="120"/>
      <c r="H649" s="120"/>
      <c r="I649" s="120"/>
      <c r="J649" s="120"/>
      <c r="K649" s="957"/>
      <c r="L649" s="120"/>
      <c r="M649" s="120"/>
      <c r="N649" s="120"/>
      <c r="O649" s="120"/>
      <c r="P649" s="957"/>
      <c r="Q649" s="120"/>
      <c r="R649" s="120"/>
      <c r="S649" s="120"/>
      <c r="T649" s="120"/>
      <c r="U649" s="957"/>
      <c r="V649" s="120"/>
      <c r="W649" s="120"/>
      <c r="X649" s="120"/>
      <c r="Y649" s="120"/>
      <c r="Z649" s="957"/>
      <c r="AA649" s="120"/>
      <c r="AB649" s="120"/>
      <c r="AC649" s="120"/>
      <c r="AD649" s="120"/>
      <c r="AE649" s="957"/>
      <c r="AF649" s="120"/>
      <c r="AG649" s="120"/>
      <c r="AH649" s="120"/>
      <c r="AI649" s="120"/>
      <c r="AJ649" s="957"/>
      <c r="AK649" s="120"/>
      <c r="AL649" s="120"/>
      <c r="AM649" s="120"/>
      <c r="AN649" s="120"/>
      <c r="AO649" s="957">
        <f>SUM(AO642:AO648)</f>
        <v>15</v>
      </c>
      <c r="AP649" s="120"/>
      <c r="AQ649" s="120"/>
      <c r="AR649" s="120"/>
      <c r="AS649" s="120"/>
      <c r="AT649" s="957">
        <f>SUM(AT642:AT648)</f>
        <v>17</v>
      </c>
      <c r="AU649" s="120"/>
      <c r="AV649" s="120"/>
      <c r="AW649" s="120"/>
      <c r="AX649" s="120"/>
      <c r="AY649" s="957">
        <f>SUM(AY642:AY648)</f>
        <v>18</v>
      </c>
      <c r="AZ649" s="120"/>
      <c r="BA649" s="120"/>
      <c r="BB649" s="120"/>
      <c r="BC649" s="120"/>
      <c r="BD649" s="957">
        <f>SUM(BD642:BD648)</f>
        <v>13</v>
      </c>
      <c r="BE649" s="120"/>
      <c r="BF649" s="120"/>
      <c r="BG649" s="120"/>
      <c r="BH649" s="120"/>
      <c r="BI649" s="957">
        <f>SUM(BI642:BI648)</f>
        <v>13</v>
      </c>
      <c r="BJ649" s="120"/>
      <c r="BK649" s="120"/>
      <c r="BL649" s="120"/>
      <c r="BM649" s="120"/>
      <c r="BN649" s="957">
        <f>SUM(BN642:BN648)</f>
        <v>12</v>
      </c>
      <c r="BO649" s="120"/>
      <c r="BP649" s="120"/>
      <c r="BQ649" s="120"/>
      <c r="BR649" s="120"/>
      <c r="BS649" s="957">
        <f>SUM(BS642:BS648)</f>
        <v>14</v>
      </c>
      <c r="BT649" s="694"/>
      <c r="BU649" s="120"/>
      <c r="BV649" s="120"/>
      <c r="BW649" s="120"/>
      <c r="BX649" s="957"/>
      <c r="BY649" s="120"/>
      <c r="BZ649" s="120"/>
      <c r="CA649" s="120"/>
      <c r="CB649" s="120"/>
      <c r="CC649" s="957"/>
      <c r="CD649" s="957"/>
      <c r="CE649" s="957"/>
      <c r="CF649" s="957"/>
      <c r="CG649" s="615"/>
    </row>
    <row r="650" spans="1:85" s="461" customFormat="1" ht="14.4" hidden="1" outlineLevel="1" x14ac:dyDescent="0.3">
      <c r="A650" s="166"/>
      <c r="B650" s="583"/>
      <c r="C650" s="957"/>
      <c r="D650" s="957"/>
      <c r="E650" s="957"/>
      <c r="F650" s="957"/>
      <c r="G650" s="120"/>
      <c r="H650" s="120"/>
      <c r="I650" s="120"/>
      <c r="J650" s="120"/>
      <c r="K650" s="957"/>
      <c r="L650" s="120"/>
      <c r="M650" s="120"/>
      <c r="N650" s="120"/>
      <c r="O650" s="120"/>
      <c r="P650" s="957"/>
      <c r="Q650" s="120"/>
      <c r="R650" s="120"/>
      <c r="S650" s="120"/>
      <c r="T650" s="120"/>
      <c r="U650" s="957"/>
      <c r="V650" s="120"/>
      <c r="W650" s="120"/>
      <c r="X650" s="120"/>
      <c r="Y650" s="120"/>
      <c r="Z650" s="957"/>
      <c r="AA650" s="120"/>
      <c r="AB650" s="120"/>
      <c r="AC650" s="120"/>
      <c r="AD650" s="120"/>
      <c r="AE650" s="957"/>
      <c r="AF650" s="120"/>
      <c r="AG650" s="120"/>
      <c r="AH650" s="120"/>
      <c r="AI650" s="120"/>
      <c r="AJ650" s="957"/>
      <c r="AK650" s="120"/>
      <c r="AL650" s="120"/>
      <c r="AM650" s="120"/>
      <c r="AN650" s="120"/>
      <c r="AO650" s="957"/>
      <c r="AP650" s="120"/>
      <c r="AQ650" s="120"/>
      <c r="AR650" s="120"/>
      <c r="AS650" s="120"/>
      <c r="AT650" s="957"/>
      <c r="AU650" s="120"/>
      <c r="AV650" s="120"/>
      <c r="AW650" s="120"/>
      <c r="AX650" s="120"/>
      <c r="AY650" s="957"/>
      <c r="AZ650" s="120"/>
      <c r="BA650" s="120"/>
      <c r="BB650" s="120"/>
      <c r="BC650" s="120"/>
      <c r="BD650" s="957"/>
      <c r="BE650" s="120"/>
      <c r="BF650" s="120"/>
      <c r="BG650" s="120"/>
      <c r="BH650" s="120"/>
      <c r="BI650" s="957"/>
      <c r="BJ650" s="120"/>
      <c r="BK650" s="120"/>
      <c r="BL650" s="120"/>
      <c r="BM650" s="120"/>
      <c r="BN650" s="957"/>
      <c r="BO650" s="120"/>
      <c r="BP650" s="120"/>
      <c r="BQ650" s="120"/>
      <c r="BR650" s="120"/>
      <c r="BS650" s="957"/>
      <c r="BT650" s="694"/>
      <c r="BU650" s="120"/>
      <c r="BV650" s="120"/>
      <c r="BW650" s="120"/>
      <c r="BX650" s="957"/>
      <c r="BY650" s="120"/>
      <c r="BZ650" s="120"/>
      <c r="CA650" s="120"/>
      <c r="CB650" s="120"/>
      <c r="CC650" s="957"/>
      <c r="CD650" s="957"/>
      <c r="CE650" s="957"/>
      <c r="CF650" s="957"/>
      <c r="CG650" s="615"/>
    </row>
    <row r="651" spans="1:85" s="461" customFormat="1" ht="14.4" hidden="1" outlineLevel="1" x14ac:dyDescent="0.3">
      <c r="A651" s="166" t="s">
        <v>1401</v>
      </c>
      <c r="B651" s="583"/>
      <c r="C651" s="957"/>
      <c r="D651" s="957"/>
      <c r="E651" s="957"/>
      <c r="F651" s="957"/>
      <c r="G651" s="120"/>
      <c r="H651" s="120"/>
      <c r="I651" s="120"/>
      <c r="J651" s="120"/>
      <c r="K651" s="957"/>
      <c r="L651" s="120"/>
      <c r="M651" s="120"/>
      <c r="N651" s="120"/>
      <c r="O651" s="120"/>
      <c r="P651" s="957"/>
      <c r="Q651" s="120"/>
      <c r="R651" s="120"/>
      <c r="S651" s="120"/>
      <c r="T651" s="120"/>
      <c r="U651" s="957"/>
      <c r="V651" s="120"/>
      <c r="W651" s="120"/>
      <c r="X651" s="120"/>
      <c r="Y651" s="120"/>
      <c r="Z651" s="957"/>
      <c r="AA651" s="120"/>
      <c r="AB651" s="120"/>
      <c r="AC651" s="120"/>
      <c r="AD651" s="120"/>
      <c r="AE651" s="957"/>
      <c r="AF651" s="120"/>
      <c r="AG651" s="120"/>
      <c r="AH651" s="120"/>
      <c r="AI651" s="120"/>
      <c r="AJ651" s="957"/>
      <c r="AK651" s="120"/>
      <c r="AL651" s="120"/>
      <c r="AM651" s="120"/>
      <c r="AN651" s="120"/>
      <c r="AO651" s="957">
        <f>AO625+AO634+AO642</f>
        <v>773</v>
      </c>
      <c r="AP651" s="120"/>
      <c r="AQ651" s="120"/>
      <c r="AR651" s="120"/>
      <c r="AS651" s="120"/>
      <c r="AT651" s="957">
        <f>AT625+AT634+AT642</f>
        <v>740</v>
      </c>
      <c r="AU651" s="120"/>
      <c r="AV651" s="120"/>
      <c r="AW651" s="120"/>
      <c r="AX651" s="120"/>
      <c r="AY651" s="957">
        <f>AY625+AY634+AY642</f>
        <v>828</v>
      </c>
      <c r="AZ651" s="120"/>
      <c r="BA651" s="120"/>
      <c r="BB651" s="120"/>
      <c r="BC651" s="120"/>
      <c r="BD651" s="957">
        <f>BD625+BD634+BD642</f>
        <v>1038</v>
      </c>
      <c r="BE651" s="120"/>
      <c r="BF651" s="120"/>
      <c r="BG651" s="120"/>
      <c r="BH651" s="120"/>
      <c r="BI651" s="957">
        <f>BI625+BI634+BI642</f>
        <v>1088</v>
      </c>
      <c r="BJ651" s="120"/>
      <c r="BK651" s="120"/>
      <c r="BL651" s="120"/>
      <c r="BM651" s="120"/>
      <c r="BN651" s="957">
        <f>BN625+BN634+BN642</f>
        <v>1229</v>
      </c>
      <c r="BO651" s="120"/>
      <c r="BP651" s="120"/>
      <c r="BQ651" s="120"/>
      <c r="BR651" s="120"/>
      <c r="BS651" s="957">
        <f>BS625+BS634+BS642</f>
        <v>1159</v>
      </c>
      <c r="BT651" s="694"/>
      <c r="BU651" s="120"/>
      <c r="BV651" s="120"/>
      <c r="BW651" s="120"/>
      <c r="BX651" s="957"/>
      <c r="BY651" s="120"/>
      <c r="BZ651" s="120"/>
      <c r="CA651" s="120"/>
      <c r="CB651" s="120"/>
      <c r="CC651" s="957"/>
      <c r="CD651" s="957"/>
      <c r="CE651" s="957"/>
      <c r="CF651" s="957"/>
      <c r="CG651" s="615"/>
    </row>
    <row r="652" spans="1:85" s="460" customFormat="1" ht="14.4" hidden="1" outlineLevel="1" x14ac:dyDescent="0.3">
      <c r="A652" s="159" t="s">
        <v>1402</v>
      </c>
      <c r="B652" s="586"/>
      <c r="C652" s="150"/>
      <c r="D652" s="150"/>
      <c r="E652" s="150"/>
      <c r="F652" s="150"/>
      <c r="G652" s="117"/>
      <c r="H652" s="117"/>
      <c r="I652" s="117"/>
      <c r="J652" s="117"/>
      <c r="K652" s="150"/>
      <c r="L652" s="117"/>
      <c r="M652" s="117"/>
      <c r="N652" s="117"/>
      <c r="O652" s="117"/>
      <c r="P652" s="150"/>
      <c r="Q652" s="117"/>
      <c r="R652" s="117"/>
      <c r="S652" s="117"/>
      <c r="T652" s="117"/>
      <c r="U652" s="150"/>
      <c r="V652" s="117"/>
      <c r="W652" s="117"/>
      <c r="X652" s="117"/>
      <c r="Y652" s="117"/>
      <c r="Z652" s="150"/>
      <c r="AA652" s="117"/>
      <c r="AB652" s="117"/>
      <c r="AC652" s="117"/>
      <c r="AD652" s="117"/>
      <c r="AE652" s="150"/>
      <c r="AF652" s="117"/>
      <c r="AG652" s="117"/>
      <c r="AH652" s="117"/>
      <c r="AI652" s="117"/>
      <c r="AJ652" s="150"/>
      <c r="AK652" s="117"/>
      <c r="AL652" s="117"/>
      <c r="AM652" s="117"/>
      <c r="AN652" s="117"/>
      <c r="AO652" s="150">
        <f t="shared" ref="AO652:AO657" si="48">AO626+AO635+AO643</f>
        <v>-106</v>
      </c>
      <c r="AP652" s="117"/>
      <c r="AQ652" s="117"/>
      <c r="AR652" s="117"/>
      <c r="AS652" s="117"/>
      <c r="AT652" s="150">
        <f t="shared" ref="AT652:AT657" si="49">AT626+AT635+AT643</f>
        <v>-68</v>
      </c>
      <c r="AU652" s="117"/>
      <c r="AV652" s="117"/>
      <c r="AW652" s="117"/>
      <c r="AX652" s="117"/>
      <c r="AY652" s="150">
        <f t="shared" ref="AY652:AY657" si="50">AY626+AY635+AY643</f>
        <v>114</v>
      </c>
      <c r="AZ652" s="117"/>
      <c r="BA652" s="117"/>
      <c r="BB652" s="117"/>
      <c r="BC652" s="117"/>
      <c r="BD652" s="150">
        <f t="shared" ref="BD652:BD657" si="51">BD626+BD635+BD643</f>
        <v>7</v>
      </c>
      <c r="BE652" s="117"/>
      <c r="BF652" s="117"/>
      <c r="BG652" s="117"/>
      <c r="BH652" s="117"/>
      <c r="BI652" s="150">
        <f t="shared" ref="BI652:BI657" si="52">BI626+BI635+BI643</f>
        <v>-102</v>
      </c>
      <c r="BJ652" s="117"/>
      <c r="BK652" s="117"/>
      <c r="BL652" s="117"/>
      <c r="BM652" s="117"/>
      <c r="BN652" s="150">
        <f t="shared" ref="BN652:BN657" si="53">BN626+BN635+BN643</f>
        <v>-46</v>
      </c>
      <c r="BO652" s="117"/>
      <c r="BP652" s="117"/>
      <c r="BQ652" s="117"/>
      <c r="BR652" s="117"/>
      <c r="BS652" s="150">
        <f t="shared" ref="BS652:BS657" si="54">BS626+BS635+BS643</f>
        <v>-9</v>
      </c>
      <c r="BT652" s="691"/>
      <c r="BU652" s="117"/>
      <c r="BV652" s="117"/>
      <c r="BW652" s="117"/>
      <c r="BX652" s="150"/>
      <c r="BY652" s="117"/>
      <c r="BZ652" s="117"/>
      <c r="CA652" s="117"/>
      <c r="CB652" s="117"/>
      <c r="CC652" s="150"/>
      <c r="CD652" s="150"/>
      <c r="CE652" s="150"/>
      <c r="CF652" s="150"/>
      <c r="CG652" s="587"/>
    </row>
    <row r="653" spans="1:85" s="460" customFormat="1" ht="14.4" hidden="1" outlineLevel="1" x14ac:dyDescent="0.3">
      <c r="A653" s="159" t="s">
        <v>1403</v>
      </c>
      <c r="B653" s="586"/>
      <c r="C653" s="150"/>
      <c r="D653" s="150"/>
      <c r="E653" s="150"/>
      <c r="F653" s="150"/>
      <c r="G653" s="117"/>
      <c r="H653" s="117"/>
      <c r="I653" s="117"/>
      <c r="J653" s="117"/>
      <c r="K653" s="150"/>
      <c r="L653" s="117"/>
      <c r="M653" s="117"/>
      <c r="N653" s="117"/>
      <c r="O653" s="117"/>
      <c r="P653" s="150"/>
      <c r="Q653" s="117"/>
      <c r="R653" s="117"/>
      <c r="S653" s="117"/>
      <c r="T653" s="117"/>
      <c r="U653" s="150"/>
      <c r="V653" s="117"/>
      <c r="W653" s="117"/>
      <c r="X653" s="117"/>
      <c r="Y653" s="117"/>
      <c r="Z653" s="150"/>
      <c r="AA653" s="117"/>
      <c r="AB653" s="117"/>
      <c r="AC653" s="117"/>
      <c r="AD653" s="117"/>
      <c r="AE653" s="150"/>
      <c r="AF653" s="117"/>
      <c r="AG653" s="117"/>
      <c r="AH653" s="117"/>
      <c r="AI653" s="117"/>
      <c r="AJ653" s="150"/>
      <c r="AK653" s="117"/>
      <c r="AL653" s="117"/>
      <c r="AM653" s="117"/>
      <c r="AN653" s="117"/>
      <c r="AO653" s="150">
        <f t="shared" si="48"/>
        <v>0</v>
      </c>
      <c r="AP653" s="117"/>
      <c r="AQ653" s="117"/>
      <c r="AR653" s="117"/>
      <c r="AS653" s="117"/>
      <c r="AT653" s="150">
        <f t="shared" si="49"/>
        <v>0</v>
      </c>
      <c r="AU653" s="117"/>
      <c r="AV653" s="117"/>
      <c r="AW653" s="117"/>
      <c r="AX653" s="117"/>
      <c r="AY653" s="150">
        <f t="shared" si="50"/>
        <v>0</v>
      </c>
      <c r="AZ653" s="117"/>
      <c r="BA653" s="117"/>
      <c r="BB653" s="117"/>
      <c r="BC653" s="117"/>
      <c r="BD653" s="150">
        <f t="shared" si="51"/>
        <v>0</v>
      </c>
      <c r="BE653" s="117"/>
      <c r="BF653" s="117"/>
      <c r="BG653" s="117"/>
      <c r="BH653" s="117"/>
      <c r="BI653" s="150">
        <f t="shared" si="52"/>
        <v>0</v>
      </c>
      <c r="BJ653" s="117"/>
      <c r="BK653" s="117"/>
      <c r="BL653" s="117"/>
      <c r="BM653" s="117"/>
      <c r="BN653" s="150">
        <f t="shared" si="53"/>
        <v>0</v>
      </c>
      <c r="BO653" s="117"/>
      <c r="BP653" s="117"/>
      <c r="BQ653" s="117"/>
      <c r="BR653" s="117"/>
      <c r="BS653" s="150">
        <f t="shared" si="54"/>
        <v>0</v>
      </c>
      <c r="BT653" s="691"/>
      <c r="BU653" s="117"/>
      <c r="BV653" s="117"/>
      <c r="BW653" s="117"/>
      <c r="BX653" s="150"/>
      <c r="BY653" s="117"/>
      <c r="BZ653" s="117"/>
      <c r="CA653" s="117"/>
      <c r="CB653" s="117"/>
      <c r="CC653" s="150"/>
      <c r="CD653" s="150"/>
      <c r="CE653" s="150"/>
      <c r="CF653" s="150"/>
      <c r="CG653" s="587"/>
    </row>
    <row r="654" spans="1:85" s="460" customFormat="1" ht="14.4" hidden="1" outlineLevel="1" x14ac:dyDescent="0.3">
      <c r="A654" s="159" t="s">
        <v>1404</v>
      </c>
      <c r="B654" s="586"/>
      <c r="C654" s="150"/>
      <c r="D654" s="150"/>
      <c r="E654" s="150"/>
      <c r="F654" s="150"/>
      <c r="G654" s="117"/>
      <c r="H654" s="117"/>
      <c r="I654" s="117"/>
      <c r="J654" s="117"/>
      <c r="K654" s="150"/>
      <c r="L654" s="117"/>
      <c r="M654" s="117"/>
      <c r="N654" s="117"/>
      <c r="O654" s="117"/>
      <c r="P654" s="150"/>
      <c r="Q654" s="117"/>
      <c r="R654" s="117"/>
      <c r="S654" s="117"/>
      <c r="T654" s="117"/>
      <c r="U654" s="150"/>
      <c r="V654" s="117"/>
      <c r="W654" s="117"/>
      <c r="X654" s="117"/>
      <c r="Y654" s="117"/>
      <c r="Z654" s="150"/>
      <c r="AA654" s="117"/>
      <c r="AB654" s="117"/>
      <c r="AC654" s="117"/>
      <c r="AD654" s="117"/>
      <c r="AE654" s="150"/>
      <c r="AF654" s="117"/>
      <c r="AG654" s="117"/>
      <c r="AH654" s="117"/>
      <c r="AI654" s="117"/>
      <c r="AJ654" s="150"/>
      <c r="AK654" s="117"/>
      <c r="AL654" s="117"/>
      <c r="AM654" s="117"/>
      <c r="AN654" s="117"/>
      <c r="AO654" s="150">
        <f t="shared" si="48"/>
        <v>140</v>
      </c>
      <c r="AP654" s="117"/>
      <c r="AQ654" s="117"/>
      <c r="AR654" s="117"/>
      <c r="AS654" s="117"/>
      <c r="AT654" s="150">
        <f t="shared" si="49"/>
        <v>61</v>
      </c>
      <c r="AU654" s="117"/>
      <c r="AV654" s="117"/>
      <c r="AW654" s="117"/>
      <c r="AX654" s="117"/>
      <c r="AY654" s="150">
        <f t="shared" si="50"/>
        <v>194</v>
      </c>
      <c r="AZ654" s="117"/>
      <c r="BA654" s="117"/>
      <c r="BB654" s="117"/>
      <c r="BC654" s="117"/>
      <c r="BD654" s="150">
        <f t="shared" si="51"/>
        <v>166</v>
      </c>
      <c r="BE654" s="117"/>
      <c r="BF654" s="117"/>
      <c r="BG654" s="117"/>
      <c r="BH654" s="117"/>
      <c r="BI654" s="150">
        <f t="shared" si="52"/>
        <v>92</v>
      </c>
      <c r="BJ654" s="117"/>
      <c r="BK654" s="117"/>
      <c r="BL654" s="117"/>
      <c r="BM654" s="117"/>
      <c r="BN654" s="150">
        <f t="shared" si="53"/>
        <v>124</v>
      </c>
      <c r="BO654" s="117"/>
      <c r="BP654" s="117"/>
      <c r="BQ654" s="117"/>
      <c r="BR654" s="117"/>
      <c r="BS654" s="150">
        <f t="shared" si="54"/>
        <v>103</v>
      </c>
      <c r="BT654" s="691"/>
      <c r="BU654" s="117"/>
      <c r="BV654" s="117"/>
      <c r="BW654" s="117"/>
      <c r="BX654" s="150"/>
      <c r="BY654" s="117"/>
      <c r="BZ654" s="117"/>
      <c r="CA654" s="117"/>
      <c r="CB654" s="117"/>
      <c r="CC654" s="150"/>
      <c r="CD654" s="150"/>
      <c r="CE654" s="150"/>
      <c r="CF654" s="150"/>
      <c r="CG654" s="587"/>
    </row>
    <row r="655" spans="1:85" s="460" customFormat="1" ht="14.4" hidden="1" outlineLevel="1" x14ac:dyDescent="0.3">
      <c r="A655" s="159" t="s">
        <v>1405</v>
      </c>
      <c r="B655" s="586"/>
      <c r="C655" s="150"/>
      <c r="D655" s="150"/>
      <c r="E655" s="150"/>
      <c r="F655" s="150"/>
      <c r="G655" s="117"/>
      <c r="H655" s="117"/>
      <c r="I655" s="117"/>
      <c r="J655" s="117"/>
      <c r="K655" s="150"/>
      <c r="L655" s="117"/>
      <c r="M655" s="117"/>
      <c r="N655" s="117"/>
      <c r="O655" s="117"/>
      <c r="P655" s="150"/>
      <c r="Q655" s="117"/>
      <c r="R655" s="117"/>
      <c r="S655" s="117"/>
      <c r="T655" s="117"/>
      <c r="U655" s="150"/>
      <c r="V655" s="117"/>
      <c r="W655" s="117"/>
      <c r="X655" s="117"/>
      <c r="Y655" s="117"/>
      <c r="Z655" s="150"/>
      <c r="AA655" s="117"/>
      <c r="AB655" s="117"/>
      <c r="AC655" s="117"/>
      <c r="AD655" s="117"/>
      <c r="AE655" s="150"/>
      <c r="AF655" s="117"/>
      <c r="AG655" s="117"/>
      <c r="AH655" s="117"/>
      <c r="AI655" s="117"/>
      <c r="AJ655" s="150"/>
      <c r="AK655" s="117"/>
      <c r="AL655" s="117"/>
      <c r="AM655" s="117"/>
      <c r="AN655" s="117"/>
      <c r="AO655" s="150">
        <f t="shared" si="48"/>
        <v>5</v>
      </c>
      <c r="AP655" s="117"/>
      <c r="AQ655" s="117"/>
      <c r="AR655" s="117"/>
      <c r="AS655" s="117"/>
      <c r="AT655" s="150">
        <f t="shared" si="49"/>
        <v>210</v>
      </c>
      <c r="AU655" s="117"/>
      <c r="AV655" s="117"/>
      <c r="AW655" s="117"/>
      <c r="AX655" s="117"/>
      <c r="AY655" s="150">
        <f t="shared" si="50"/>
        <v>8</v>
      </c>
      <c r="AZ655" s="117"/>
      <c r="BA655" s="117"/>
      <c r="BB655" s="117"/>
      <c r="BC655" s="117"/>
      <c r="BD655" s="150">
        <f t="shared" si="51"/>
        <v>16</v>
      </c>
      <c r="BE655" s="117"/>
      <c r="BF655" s="117"/>
      <c r="BG655" s="117"/>
      <c r="BH655" s="117"/>
      <c r="BI655" s="150">
        <f t="shared" si="52"/>
        <v>273</v>
      </c>
      <c r="BJ655" s="117"/>
      <c r="BK655" s="117"/>
      <c r="BL655" s="117"/>
      <c r="BM655" s="117"/>
      <c r="BN655" s="150">
        <f t="shared" si="53"/>
        <v>20</v>
      </c>
      <c r="BO655" s="117"/>
      <c r="BP655" s="117"/>
      <c r="BQ655" s="117"/>
      <c r="BR655" s="117"/>
      <c r="BS655" s="150">
        <f t="shared" si="54"/>
        <v>273</v>
      </c>
      <c r="BT655" s="691"/>
      <c r="BU655" s="117"/>
      <c r="BV655" s="117"/>
      <c r="BW655" s="117"/>
      <c r="BX655" s="150"/>
      <c r="BY655" s="117"/>
      <c r="BZ655" s="117"/>
      <c r="CA655" s="117"/>
      <c r="CB655" s="117"/>
      <c r="CC655" s="150"/>
      <c r="CD655" s="150"/>
      <c r="CE655" s="150"/>
      <c r="CF655" s="150"/>
      <c r="CG655" s="587"/>
    </row>
    <row r="656" spans="1:85" s="460" customFormat="1" ht="14.4" hidden="1" outlineLevel="1" x14ac:dyDescent="0.3">
      <c r="A656" s="159" t="s">
        <v>1406</v>
      </c>
      <c r="B656" s="586"/>
      <c r="C656" s="150"/>
      <c r="D656" s="150"/>
      <c r="E656" s="150"/>
      <c r="F656" s="150"/>
      <c r="G656" s="117"/>
      <c r="H656" s="117"/>
      <c r="I656" s="117"/>
      <c r="J656" s="117"/>
      <c r="K656" s="150"/>
      <c r="L656" s="117"/>
      <c r="M656" s="117"/>
      <c r="N656" s="117"/>
      <c r="O656" s="117"/>
      <c r="P656" s="150"/>
      <c r="Q656" s="117"/>
      <c r="R656" s="117"/>
      <c r="S656" s="117"/>
      <c r="T656" s="117"/>
      <c r="U656" s="150"/>
      <c r="V656" s="117"/>
      <c r="W656" s="117"/>
      <c r="X656" s="117"/>
      <c r="Y656" s="117"/>
      <c r="Z656" s="150"/>
      <c r="AA656" s="117"/>
      <c r="AB656" s="117"/>
      <c r="AC656" s="117"/>
      <c r="AD656" s="117"/>
      <c r="AE656" s="150"/>
      <c r="AF656" s="117"/>
      <c r="AG656" s="117"/>
      <c r="AH656" s="117"/>
      <c r="AI656" s="117"/>
      <c r="AJ656" s="150"/>
      <c r="AK656" s="117"/>
      <c r="AL656" s="117"/>
      <c r="AM656" s="117"/>
      <c r="AN656" s="117"/>
      <c r="AO656" s="150">
        <f t="shared" si="48"/>
        <v>-2</v>
      </c>
      <c r="AP656" s="117"/>
      <c r="AQ656" s="117"/>
      <c r="AR656" s="117"/>
      <c r="AS656" s="117"/>
      <c r="AT656" s="150">
        <f t="shared" si="49"/>
        <v>-27</v>
      </c>
      <c r="AU656" s="117"/>
      <c r="AV656" s="117"/>
      <c r="AW656" s="117"/>
      <c r="AX656" s="117"/>
      <c r="AY656" s="150">
        <f t="shared" si="50"/>
        <v>-8</v>
      </c>
      <c r="AZ656" s="117"/>
      <c r="BA656" s="117"/>
      <c r="BB656" s="117"/>
      <c r="BC656" s="117"/>
      <c r="BD656" s="150">
        <f t="shared" si="51"/>
        <v>-35</v>
      </c>
      <c r="BE656" s="117"/>
      <c r="BF656" s="117"/>
      <c r="BG656" s="117"/>
      <c r="BH656" s="117"/>
      <c r="BI656" s="150">
        <f t="shared" si="52"/>
        <v>0</v>
      </c>
      <c r="BJ656" s="117"/>
      <c r="BK656" s="117"/>
      <c r="BL656" s="117"/>
      <c r="BM656" s="117"/>
      <c r="BN656" s="150">
        <f t="shared" si="53"/>
        <v>-16</v>
      </c>
      <c r="BO656" s="117"/>
      <c r="BP656" s="117"/>
      <c r="BQ656" s="117"/>
      <c r="BR656" s="117"/>
      <c r="BS656" s="150">
        <f t="shared" si="54"/>
        <v>-4</v>
      </c>
      <c r="BT656" s="691"/>
      <c r="BU656" s="117"/>
      <c r="BV656" s="117"/>
      <c r="BW656" s="117"/>
      <c r="BX656" s="150"/>
      <c r="BY656" s="117"/>
      <c r="BZ656" s="117"/>
      <c r="CA656" s="117"/>
      <c r="CB656" s="117"/>
      <c r="CC656" s="150"/>
      <c r="CD656" s="150"/>
      <c r="CE656" s="150"/>
      <c r="CF656" s="150"/>
      <c r="CG656" s="587"/>
    </row>
    <row r="657" spans="1:85" s="460" customFormat="1" ht="14.4" hidden="1" outlineLevel="1" x14ac:dyDescent="0.3">
      <c r="A657" s="262" t="s">
        <v>1407</v>
      </c>
      <c r="B657" s="588"/>
      <c r="C657" s="954"/>
      <c r="D657" s="954"/>
      <c r="E657" s="954"/>
      <c r="F657" s="954"/>
      <c r="G657" s="133"/>
      <c r="H657" s="133"/>
      <c r="I657" s="133"/>
      <c r="J657" s="133"/>
      <c r="K657" s="954"/>
      <c r="L657" s="133"/>
      <c r="M657" s="133"/>
      <c r="N657" s="133"/>
      <c r="O657" s="133"/>
      <c r="P657" s="954"/>
      <c r="Q657" s="133"/>
      <c r="R657" s="133"/>
      <c r="S657" s="133"/>
      <c r="T657" s="133"/>
      <c r="U657" s="954"/>
      <c r="V657" s="133"/>
      <c r="W657" s="133"/>
      <c r="X657" s="133"/>
      <c r="Y657" s="133"/>
      <c r="Z657" s="954"/>
      <c r="AA657" s="133"/>
      <c r="AB657" s="133"/>
      <c r="AC657" s="133"/>
      <c r="AD657" s="133"/>
      <c r="AE657" s="954"/>
      <c r="AF657" s="133"/>
      <c r="AG657" s="133"/>
      <c r="AH657" s="133"/>
      <c r="AI657" s="133"/>
      <c r="AJ657" s="954"/>
      <c r="AK657" s="133"/>
      <c r="AL657" s="133"/>
      <c r="AM657" s="133"/>
      <c r="AN657" s="133"/>
      <c r="AO657" s="954">
        <f t="shared" si="48"/>
        <v>-70</v>
      </c>
      <c r="AP657" s="133"/>
      <c r="AQ657" s="133"/>
      <c r="AR657" s="133"/>
      <c r="AS657" s="133"/>
      <c r="AT657" s="954">
        <f t="shared" si="49"/>
        <v>-88</v>
      </c>
      <c r="AU657" s="133"/>
      <c r="AV657" s="133"/>
      <c r="AW657" s="133"/>
      <c r="AX657" s="133"/>
      <c r="AY657" s="954">
        <f t="shared" si="50"/>
        <v>-98</v>
      </c>
      <c r="AZ657" s="133"/>
      <c r="BA657" s="133"/>
      <c r="BB657" s="133"/>
      <c r="BC657" s="133"/>
      <c r="BD657" s="954">
        <f t="shared" si="51"/>
        <v>-104</v>
      </c>
      <c r="BE657" s="133"/>
      <c r="BF657" s="133"/>
      <c r="BG657" s="133"/>
      <c r="BH657" s="133"/>
      <c r="BI657" s="954">
        <f t="shared" si="52"/>
        <v>-122</v>
      </c>
      <c r="BJ657" s="133"/>
      <c r="BK657" s="133"/>
      <c r="BL657" s="133"/>
      <c r="BM657" s="133"/>
      <c r="BN657" s="954">
        <f t="shared" si="53"/>
        <v>-152</v>
      </c>
      <c r="BO657" s="133"/>
      <c r="BP657" s="133"/>
      <c r="BQ657" s="133"/>
      <c r="BR657" s="133"/>
      <c r="BS657" s="954">
        <f t="shared" si="54"/>
        <v>-174</v>
      </c>
      <c r="BT657" s="692"/>
      <c r="BU657" s="133"/>
      <c r="BV657" s="133"/>
      <c r="BW657" s="133"/>
      <c r="BX657" s="954"/>
      <c r="BY657" s="133"/>
      <c r="BZ657" s="133"/>
      <c r="CA657" s="133"/>
      <c r="CB657" s="133"/>
      <c r="CC657" s="954"/>
      <c r="CD657" s="954"/>
      <c r="CE657" s="954"/>
      <c r="CF657" s="954"/>
      <c r="CG657" s="587"/>
    </row>
    <row r="658" spans="1:85" s="461" customFormat="1" ht="14.4" hidden="1" outlineLevel="1" x14ac:dyDescent="0.3">
      <c r="A658" s="166" t="s">
        <v>1408</v>
      </c>
      <c r="B658" s="583"/>
      <c r="C658" s="957"/>
      <c r="D658" s="957"/>
      <c r="E658" s="957"/>
      <c r="F658" s="957"/>
      <c r="G658" s="120"/>
      <c r="H658" s="120"/>
      <c r="I658" s="120"/>
      <c r="J658" s="120"/>
      <c r="K658" s="957"/>
      <c r="L658" s="120"/>
      <c r="M658" s="120"/>
      <c r="N658" s="120"/>
      <c r="O658" s="120"/>
      <c r="P658" s="957"/>
      <c r="Q658" s="120"/>
      <c r="R658" s="120"/>
      <c r="S658" s="120"/>
      <c r="T658" s="120"/>
      <c r="U658" s="957"/>
      <c r="V658" s="120"/>
      <c r="W658" s="120"/>
      <c r="X658" s="120"/>
      <c r="Y658" s="120"/>
      <c r="Z658" s="957"/>
      <c r="AA658" s="120"/>
      <c r="AB658" s="120"/>
      <c r="AC658" s="120"/>
      <c r="AD658" s="120"/>
      <c r="AE658" s="957"/>
      <c r="AF658" s="120"/>
      <c r="AG658" s="120"/>
      <c r="AH658" s="120"/>
      <c r="AI658" s="120"/>
      <c r="AJ658" s="957"/>
      <c r="AK658" s="120"/>
      <c r="AL658" s="120"/>
      <c r="AM658" s="120"/>
      <c r="AN658" s="120"/>
      <c r="AO658" s="957">
        <f>SUM(AO651:AO657)</f>
        <v>740</v>
      </c>
      <c r="AP658" s="120"/>
      <c r="AQ658" s="120"/>
      <c r="AR658" s="120"/>
      <c r="AS658" s="120"/>
      <c r="AT658" s="957">
        <f>SUM(AT651:AT657)</f>
        <v>828</v>
      </c>
      <c r="AU658" s="120"/>
      <c r="AV658" s="120"/>
      <c r="AW658" s="120"/>
      <c r="AX658" s="120"/>
      <c r="AY658" s="957">
        <f>SUM(AY651:AY657)</f>
        <v>1038</v>
      </c>
      <c r="AZ658" s="120"/>
      <c r="BA658" s="120"/>
      <c r="BB658" s="120"/>
      <c r="BC658" s="120"/>
      <c r="BD658" s="957">
        <f>SUM(BD651:BD657)</f>
        <v>1088</v>
      </c>
      <c r="BE658" s="120"/>
      <c r="BF658" s="120"/>
      <c r="BG658" s="120"/>
      <c r="BH658" s="120"/>
      <c r="BI658" s="957">
        <f>SUM(BI651:BI657)</f>
        <v>1229</v>
      </c>
      <c r="BJ658" s="120"/>
      <c r="BK658" s="120"/>
      <c r="BL658" s="120"/>
      <c r="BM658" s="120"/>
      <c r="BN658" s="957">
        <f>SUM(BN651:BN657)</f>
        <v>1159</v>
      </c>
      <c r="BO658" s="120"/>
      <c r="BP658" s="120"/>
      <c r="BQ658" s="120"/>
      <c r="BR658" s="120"/>
      <c r="BS658" s="957">
        <f>SUM(BS651:BS657)</f>
        <v>1348</v>
      </c>
      <c r="BT658" s="694"/>
      <c r="BU658" s="120"/>
      <c r="BV658" s="120"/>
      <c r="BW658" s="120"/>
      <c r="BX658" s="957"/>
      <c r="BY658" s="120"/>
      <c r="BZ658" s="120"/>
      <c r="CA658" s="120"/>
      <c r="CB658" s="120"/>
      <c r="CC658" s="957"/>
      <c r="CD658" s="957"/>
      <c r="CE658" s="957"/>
      <c r="CF658" s="957"/>
      <c r="CG658" s="615"/>
    </row>
    <row r="659" spans="1:85" s="461" customFormat="1" ht="14.4" collapsed="1" x14ac:dyDescent="0.3">
      <c r="A659" s="166"/>
      <c r="B659" s="583"/>
      <c r="C659" s="957"/>
      <c r="D659" s="957"/>
      <c r="E659" s="957"/>
      <c r="F659" s="957"/>
      <c r="G659" s="120"/>
      <c r="H659" s="120"/>
      <c r="I659" s="120"/>
      <c r="J659" s="120"/>
      <c r="K659" s="957"/>
      <c r="L659" s="120"/>
      <c r="M659" s="120"/>
      <c r="N659" s="120"/>
      <c r="O659" s="120"/>
      <c r="P659" s="957"/>
      <c r="Q659" s="120"/>
      <c r="R659" s="120"/>
      <c r="S659" s="120"/>
      <c r="T659" s="120"/>
      <c r="U659" s="957"/>
      <c r="V659" s="120"/>
      <c r="W659" s="120"/>
      <c r="X659" s="120"/>
      <c r="Y659" s="120"/>
      <c r="Z659" s="957"/>
      <c r="AA659" s="120"/>
      <c r="AB659" s="120"/>
      <c r="AC659" s="120"/>
      <c r="AD659" s="120"/>
      <c r="AE659" s="957"/>
      <c r="AF659" s="120"/>
      <c r="AG659" s="120"/>
      <c r="AH659" s="120"/>
      <c r="AI659" s="120"/>
      <c r="AJ659" s="957"/>
      <c r="AK659" s="120"/>
      <c r="AL659" s="120"/>
      <c r="AM659" s="120"/>
      <c r="AN659" s="120"/>
      <c r="AO659" s="957"/>
      <c r="AP659" s="120"/>
      <c r="AQ659" s="120"/>
      <c r="AR659" s="120"/>
      <c r="AS659" s="120"/>
      <c r="AT659" s="957"/>
      <c r="AU659" s="120"/>
      <c r="AV659" s="120"/>
      <c r="AW659" s="120"/>
      <c r="AX659" s="120"/>
      <c r="AY659" s="957"/>
      <c r="AZ659" s="120"/>
      <c r="BA659" s="120"/>
      <c r="BB659" s="120"/>
      <c r="BC659" s="120"/>
      <c r="BD659" s="957"/>
      <c r="BE659" s="120"/>
      <c r="BF659" s="120"/>
      <c r="BG659" s="120"/>
      <c r="BH659" s="120"/>
      <c r="BI659" s="957"/>
      <c r="BJ659" s="120"/>
      <c r="BK659" s="120"/>
      <c r="BL659" s="120"/>
      <c r="BM659" s="120"/>
      <c r="BN659" s="957"/>
      <c r="BO659" s="120"/>
      <c r="BP659" s="120"/>
      <c r="BQ659" s="120"/>
      <c r="BR659" s="120"/>
      <c r="BS659" s="957"/>
      <c r="BT659" s="694"/>
      <c r="BU659" s="120"/>
      <c r="BV659" s="120"/>
      <c r="BW659" s="120"/>
      <c r="BX659" s="957"/>
      <c r="BY659" s="120"/>
      <c r="BZ659" s="120"/>
      <c r="CA659" s="120"/>
      <c r="CB659" s="120"/>
      <c r="CC659" s="957"/>
      <c r="CD659" s="957"/>
      <c r="CE659" s="957"/>
      <c r="CF659" s="957"/>
      <c r="CG659" s="615"/>
    </row>
    <row r="660" spans="1:85" s="462" customFormat="1" ht="14.4" x14ac:dyDescent="0.3">
      <c r="A660" s="732" t="s">
        <v>1409</v>
      </c>
      <c r="B660" s="732"/>
      <c r="C660" s="732"/>
      <c r="D660" s="732"/>
      <c r="E660" s="732"/>
      <c r="F660" s="732"/>
      <c r="G660" s="732"/>
      <c r="H660" s="732"/>
      <c r="I660" s="732"/>
      <c r="J660" s="732"/>
      <c r="K660" s="732"/>
      <c r="L660" s="732"/>
      <c r="M660" s="732"/>
      <c r="N660" s="732"/>
      <c r="O660" s="732"/>
      <c r="P660" s="732"/>
      <c r="Q660" s="732"/>
      <c r="R660" s="732"/>
      <c r="S660" s="732"/>
      <c r="T660" s="732"/>
      <c r="U660" s="732"/>
      <c r="V660" s="732"/>
      <c r="W660" s="732"/>
      <c r="X660" s="732"/>
      <c r="Y660" s="732"/>
      <c r="Z660" s="732"/>
      <c r="AA660" s="732"/>
      <c r="AB660" s="732"/>
      <c r="AC660" s="732"/>
      <c r="AD660" s="732"/>
      <c r="AE660" s="732"/>
      <c r="AF660" s="732"/>
      <c r="AG660" s="732"/>
      <c r="AH660" s="732"/>
      <c r="AI660" s="732"/>
      <c r="AJ660" s="732"/>
      <c r="AK660" s="732"/>
      <c r="AL660" s="732"/>
      <c r="AM660" s="732"/>
      <c r="AN660" s="732"/>
      <c r="AO660" s="732"/>
      <c r="AP660" s="732"/>
      <c r="AQ660" s="732"/>
      <c r="AR660" s="732"/>
      <c r="AS660" s="732"/>
      <c r="AT660" s="732"/>
      <c r="AU660" s="732"/>
      <c r="AV660" s="732"/>
      <c r="AW660" s="732"/>
      <c r="AX660" s="732"/>
      <c r="AY660" s="732"/>
      <c r="AZ660" s="732"/>
      <c r="BA660" s="732"/>
      <c r="BB660" s="732"/>
      <c r="BC660" s="732"/>
      <c r="BD660" s="732"/>
      <c r="BE660" s="732"/>
      <c r="BF660" s="732"/>
      <c r="BG660" s="732"/>
      <c r="BH660" s="732"/>
      <c r="BI660" s="732"/>
      <c r="BJ660" s="732"/>
      <c r="BK660" s="732"/>
      <c r="BL660" s="732"/>
      <c r="BM660" s="732"/>
      <c r="BN660" s="732"/>
      <c r="BO660" s="732"/>
      <c r="BP660" s="732"/>
      <c r="BQ660" s="732"/>
      <c r="BR660" s="732"/>
      <c r="BS660" s="732"/>
      <c r="BT660" s="733"/>
      <c r="BU660" s="732"/>
      <c r="BV660" s="732"/>
      <c r="BW660" s="732"/>
      <c r="BX660" s="732"/>
      <c r="BY660" s="732"/>
      <c r="BZ660" s="732"/>
      <c r="CA660" s="732"/>
      <c r="CB660" s="732"/>
      <c r="CC660" s="732"/>
      <c r="CD660" s="732"/>
      <c r="CE660" s="732"/>
      <c r="CF660" s="732"/>
      <c r="CG660" s="614"/>
    </row>
    <row r="661" spans="1:85" s="461" customFormat="1" ht="14.4" hidden="1" outlineLevel="1" x14ac:dyDescent="0.3">
      <c r="A661" s="166" t="s">
        <v>1410</v>
      </c>
      <c r="B661" s="583"/>
      <c r="C661" s="957"/>
      <c r="D661" s="957"/>
      <c r="E661" s="957"/>
      <c r="F661" s="957"/>
      <c r="G661" s="120"/>
      <c r="H661" s="120"/>
      <c r="I661" s="120"/>
      <c r="J661" s="120"/>
      <c r="K661" s="957"/>
      <c r="L661" s="120"/>
      <c r="M661" s="120"/>
      <c r="N661" s="120"/>
      <c r="O661" s="120"/>
      <c r="P661" s="957"/>
      <c r="Q661" s="120"/>
      <c r="R661" s="120"/>
      <c r="S661" s="120"/>
      <c r="T661" s="120"/>
      <c r="U661" s="957"/>
      <c r="V661" s="120"/>
      <c r="W661" s="120"/>
      <c r="X661" s="120"/>
      <c r="Y661" s="120"/>
      <c r="Z661" s="957"/>
      <c r="AA661" s="120"/>
      <c r="AB661" s="120"/>
      <c r="AC661" s="120"/>
      <c r="AD661" s="120"/>
      <c r="AE661" s="957"/>
      <c r="AF661" s="120"/>
      <c r="AG661" s="120"/>
      <c r="AH661" s="120"/>
      <c r="AI661" s="120"/>
      <c r="AJ661" s="957"/>
      <c r="AK661" s="120"/>
      <c r="AL661" s="120"/>
      <c r="AM661" s="120"/>
      <c r="AN661" s="120"/>
      <c r="AO661" s="983">
        <v>6709</v>
      </c>
      <c r="AP661" s="120"/>
      <c r="AQ661" s="120"/>
      <c r="AR661" s="120"/>
      <c r="AS661" s="120"/>
      <c r="AT661" s="983">
        <v>4728</v>
      </c>
      <c r="AU661" s="120"/>
      <c r="AV661" s="120"/>
      <c r="AW661" s="120"/>
      <c r="AX661" s="120"/>
      <c r="AY661" s="983">
        <v>4250</v>
      </c>
      <c r="AZ661" s="120"/>
      <c r="BA661" s="120"/>
      <c r="BB661" s="120"/>
      <c r="BC661" s="120"/>
      <c r="BD661" s="983">
        <v>5885</v>
      </c>
      <c r="BE661" s="120"/>
      <c r="BF661" s="120"/>
      <c r="BG661" s="120"/>
      <c r="BH661" s="120"/>
      <c r="BI661" s="983">
        <v>6831</v>
      </c>
      <c r="BJ661" s="120"/>
      <c r="BK661" s="120"/>
      <c r="BL661" s="120"/>
      <c r="BM661" s="120"/>
      <c r="BN661" s="983">
        <v>7682</v>
      </c>
      <c r="BO661" s="120"/>
      <c r="BP661" s="120"/>
      <c r="BQ661" s="120"/>
      <c r="BR661" s="120"/>
      <c r="BS661" s="983">
        <v>7150</v>
      </c>
      <c r="BT661" s="694"/>
      <c r="BU661" s="120"/>
      <c r="BV661" s="120"/>
      <c r="BW661" s="120"/>
      <c r="BX661" s="957"/>
      <c r="BY661" s="120"/>
      <c r="BZ661" s="120"/>
      <c r="CA661" s="120"/>
      <c r="CB661" s="120"/>
      <c r="CC661" s="957"/>
      <c r="CD661" s="957"/>
      <c r="CE661" s="957"/>
      <c r="CF661" s="957"/>
      <c r="CG661" s="615"/>
    </row>
    <row r="662" spans="1:85" s="460" customFormat="1" ht="14.4" hidden="1" outlineLevel="1" x14ac:dyDescent="0.3">
      <c r="A662" s="159" t="s">
        <v>1411</v>
      </c>
      <c r="B662" s="586"/>
      <c r="C662" s="150"/>
      <c r="D662" s="150"/>
      <c r="E662" s="150"/>
      <c r="F662" s="150"/>
      <c r="G662" s="117"/>
      <c r="H662" s="117"/>
      <c r="I662" s="117"/>
      <c r="J662" s="117"/>
      <c r="K662" s="150"/>
      <c r="L662" s="117"/>
      <c r="M662" s="117"/>
      <c r="N662" s="117"/>
      <c r="O662" s="117"/>
      <c r="P662" s="150"/>
      <c r="Q662" s="117"/>
      <c r="R662" s="117"/>
      <c r="S662" s="117"/>
      <c r="T662" s="117"/>
      <c r="U662" s="150"/>
      <c r="V662" s="117"/>
      <c r="W662" s="117"/>
      <c r="X662" s="117"/>
      <c r="Y662" s="117"/>
      <c r="Z662" s="150"/>
      <c r="AA662" s="117"/>
      <c r="AB662" s="117"/>
      <c r="AC662" s="117"/>
      <c r="AD662" s="117"/>
      <c r="AE662" s="150"/>
      <c r="AF662" s="117"/>
      <c r="AG662" s="117"/>
      <c r="AH662" s="117"/>
      <c r="AI662" s="117"/>
      <c r="AJ662" s="150"/>
      <c r="AK662" s="117"/>
      <c r="AL662" s="117"/>
      <c r="AM662" s="117"/>
      <c r="AN662" s="117"/>
      <c r="AO662" s="975">
        <v>-2565</v>
      </c>
      <c r="AP662" s="117"/>
      <c r="AQ662" s="117"/>
      <c r="AR662" s="117"/>
      <c r="AS662" s="117"/>
      <c r="AT662" s="975">
        <v>-509</v>
      </c>
      <c r="AU662" s="117"/>
      <c r="AV662" s="117"/>
      <c r="AW662" s="117"/>
      <c r="AX662" s="117"/>
      <c r="AY662" s="975">
        <v>829</v>
      </c>
      <c r="AZ662" s="117"/>
      <c r="BA662" s="117"/>
      <c r="BB662" s="117"/>
      <c r="BC662" s="117"/>
      <c r="BD662" s="975">
        <v>171</v>
      </c>
      <c r="BE662" s="117"/>
      <c r="BF662" s="117"/>
      <c r="BG662" s="117"/>
      <c r="BH662" s="117"/>
      <c r="BI662" s="975">
        <v>-1198</v>
      </c>
      <c r="BJ662" s="117"/>
      <c r="BK662" s="117"/>
      <c r="BL662" s="117"/>
      <c r="BM662" s="117"/>
      <c r="BN662" s="975">
        <v>-572</v>
      </c>
      <c r="BO662" s="117"/>
      <c r="BP662" s="117"/>
      <c r="BQ662" s="117"/>
      <c r="BR662" s="117"/>
      <c r="BS662" s="975">
        <v>227</v>
      </c>
      <c r="BT662" s="691"/>
      <c r="BU662" s="117"/>
      <c r="BV662" s="117"/>
      <c r="BW662" s="117"/>
      <c r="BX662" s="150"/>
      <c r="BY662" s="117"/>
      <c r="BZ662" s="117"/>
      <c r="CA662" s="117"/>
      <c r="CB662" s="117"/>
      <c r="CC662" s="150"/>
      <c r="CD662" s="150"/>
      <c r="CE662" s="150"/>
      <c r="CF662" s="150"/>
      <c r="CG662" s="587"/>
    </row>
    <row r="663" spans="1:85" s="460" customFormat="1" ht="14.4" hidden="1" outlineLevel="1" x14ac:dyDescent="0.3">
      <c r="A663" s="159" t="s">
        <v>1412</v>
      </c>
      <c r="B663" s="586"/>
      <c r="C663" s="150"/>
      <c r="D663" s="150"/>
      <c r="E663" s="150"/>
      <c r="F663" s="150"/>
      <c r="G663" s="117"/>
      <c r="H663" s="117"/>
      <c r="I663" s="117"/>
      <c r="J663" s="117"/>
      <c r="K663" s="150"/>
      <c r="L663" s="117"/>
      <c r="M663" s="117"/>
      <c r="N663" s="117"/>
      <c r="O663" s="117"/>
      <c r="P663" s="150"/>
      <c r="Q663" s="117"/>
      <c r="R663" s="117"/>
      <c r="S663" s="117"/>
      <c r="T663" s="117"/>
      <c r="U663" s="150"/>
      <c r="V663" s="117"/>
      <c r="W663" s="117"/>
      <c r="X663" s="117"/>
      <c r="Y663" s="117"/>
      <c r="Z663" s="150"/>
      <c r="AA663" s="117"/>
      <c r="AB663" s="117"/>
      <c r="AC663" s="117"/>
      <c r="AD663" s="117"/>
      <c r="AE663" s="150"/>
      <c r="AF663" s="117"/>
      <c r="AG663" s="117"/>
      <c r="AH663" s="117"/>
      <c r="AI663" s="117"/>
      <c r="AJ663" s="150"/>
      <c r="AK663" s="117"/>
      <c r="AL663" s="117"/>
      <c r="AM663" s="117"/>
      <c r="AN663" s="117"/>
      <c r="AO663" s="975">
        <v>0</v>
      </c>
      <c r="AP663" s="117"/>
      <c r="AQ663" s="117"/>
      <c r="AR663" s="117"/>
      <c r="AS663" s="117"/>
      <c r="AT663" s="975">
        <v>0</v>
      </c>
      <c r="AU663" s="117"/>
      <c r="AV663" s="117"/>
      <c r="AW663" s="117"/>
      <c r="AX663" s="117"/>
      <c r="AY663" s="975">
        <v>0</v>
      </c>
      <c r="AZ663" s="117"/>
      <c r="BA663" s="117"/>
      <c r="BB663" s="117"/>
      <c r="BC663" s="117"/>
      <c r="BD663" s="975">
        <v>1</v>
      </c>
      <c r="BE663" s="117"/>
      <c r="BF663" s="117"/>
      <c r="BG663" s="117"/>
      <c r="BH663" s="117"/>
      <c r="BI663" s="975">
        <v>2</v>
      </c>
      <c r="BJ663" s="117"/>
      <c r="BK663" s="117"/>
      <c r="BL663" s="117"/>
      <c r="BM663" s="117"/>
      <c r="BN663" s="975">
        <v>2</v>
      </c>
      <c r="BO663" s="117"/>
      <c r="BP663" s="117"/>
      <c r="BQ663" s="117"/>
      <c r="BR663" s="117"/>
      <c r="BS663" s="975">
        <v>0</v>
      </c>
      <c r="BT663" s="691"/>
      <c r="BU663" s="117"/>
      <c r="BV663" s="117"/>
      <c r="BW663" s="117"/>
      <c r="BX663" s="150"/>
      <c r="BY663" s="117"/>
      <c r="BZ663" s="117"/>
      <c r="CA663" s="117"/>
      <c r="CB663" s="117"/>
      <c r="CC663" s="150"/>
      <c r="CD663" s="150"/>
      <c r="CE663" s="150"/>
      <c r="CF663" s="150"/>
      <c r="CG663" s="587"/>
    </row>
    <row r="664" spans="1:85" s="460" customFormat="1" ht="14.4" hidden="1" outlineLevel="1" x14ac:dyDescent="0.3">
      <c r="A664" s="159" t="s">
        <v>1413</v>
      </c>
      <c r="B664" s="586"/>
      <c r="C664" s="150"/>
      <c r="D664" s="150"/>
      <c r="E664" s="150"/>
      <c r="F664" s="150"/>
      <c r="G664" s="117"/>
      <c r="H664" s="117"/>
      <c r="I664" s="117"/>
      <c r="J664" s="117"/>
      <c r="K664" s="150"/>
      <c r="L664" s="117"/>
      <c r="M664" s="117"/>
      <c r="N664" s="117"/>
      <c r="O664" s="117"/>
      <c r="P664" s="150"/>
      <c r="Q664" s="117"/>
      <c r="R664" s="117"/>
      <c r="S664" s="117"/>
      <c r="T664" s="117"/>
      <c r="U664" s="150"/>
      <c r="V664" s="117"/>
      <c r="W664" s="117"/>
      <c r="X664" s="117"/>
      <c r="Y664" s="117"/>
      <c r="Z664" s="150"/>
      <c r="AA664" s="117"/>
      <c r="AB664" s="117"/>
      <c r="AC664" s="117"/>
      <c r="AD664" s="117"/>
      <c r="AE664" s="150"/>
      <c r="AF664" s="117"/>
      <c r="AG664" s="117"/>
      <c r="AH664" s="117"/>
      <c r="AI664" s="117"/>
      <c r="AJ664" s="150"/>
      <c r="AK664" s="117"/>
      <c r="AL664" s="117"/>
      <c r="AM664" s="117"/>
      <c r="AN664" s="117"/>
      <c r="AO664" s="975">
        <v>1008</v>
      </c>
      <c r="AP664" s="117"/>
      <c r="AQ664" s="117"/>
      <c r="AR664" s="117"/>
      <c r="AS664" s="117"/>
      <c r="AT664" s="975">
        <v>385</v>
      </c>
      <c r="AU664" s="117"/>
      <c r="AV664" s="117"/>
      <c r="AW664" s="117"/>
      <c r="AX664" s="117"/>
      <c r="AY664" s="975">
        <v>1408</v>
      </c>
      <c r="AZ664" s="117"/>
      <c r="BA664" s="117"/>
      <c r="BB664" s="117"/>
      <c r="BC664" s="117"/>
      <c r="BD664" s="975">
        <v>1573</v>
      </c>
      <c r="BE664" s="117"/>
      <c r="BF664" s="117"/>
      <c r="BG664" s="117"/>
      <c r="BH664" s="117"/>
      <c r="BI664" s="975">
        <v>660</v>
      </c>
      <c r="BJ664" s="117"/>
      <c r="BK664" s="117"/>
      <c r="BL664" s="117"/>
      <c r="BM664" s="117"/>
      <c r="BN664" s="975">
        <v>912</v>
      </c>
      <c r="BO664" s="117"/>
      <c r="BP664" s="117"/>
      <c r="BQ664" s="117"/>
      <c r="BR664" s="117"/>
      <c r="BS664" s="975">
        <v>734</v>
      </c>
      <c r="BT664" s="691"/>
      <c r="BU664" s="117"/>
      <c r="BV664" s="117"/>
      <c r="BW664" s="117"/>
      <c r="BX664" s="150"/>
      <c r="BY664" s="117"/>
      <c r="BZ664" s="117"/>
      <c r="CA664" s="117"/>
      <c r="CB664" s="117"/>
      <c r="CC664" s="150"/>
      <c r="CD664" s="150"/>
      <c r="CE664" s="150"/>
      <c r="CF664" s="150"/>
      <c r="CG664" s="587"/>
    </row>
    <row r="665" spans="1:85" s="460" customFormat="1" ht="14.4" hidden="1" outlineLevel="1" x14ac:dyDescent="0.3">
      <c r="A665" s="159" t="s">
        <v>1414</v>
      </c>
      <c r="B665" s="586"/>
      <c r="C665" s="150"/>
      <c r="D665" s="150"/>
      <c r="E665" s="150"/>
      <c r="F665" s="150"/>
      <c r="G665" s="117"/>
      <c r="H665" s="117"/>
      <c r="I665" s="117"/>
      <c r="J665" s="117"/>
      <c r="K665" s="150"/>
      <c r="L665" s="117"/>
      <c r="M665" s="117"/>
      <c r="N665" s="117"/>
      <c r="O665" s="117"/>
      <c r="P665" s="150"/>
      <c r="Q665" s="117"/>
      <c r="R665" s="117"/>
      <c r="S665" s="117"/>
      <c r="T665" s="117"/>
      <c r="U665" s="150"/>
      <c r="V665" s="117"/>
      <c r="W665" s="117"/>
      <c r="X665" s="117"/>
      <c r="Y665" s="117"/>
      <c r="Z665" s="150"/>
      <c r="AA665" s="117"/>
      <c r="AB665" s="117"/>
      <c r="AC665" s="117"/>
      <c r="AD665" s="117"/>
      <c r="AE665" s="150"/>
      <c r="AF665" s="117"/>
      <c r="AG665" s="117"/>
      <c r="AH665" s="117"/>
      <c r="AI665" s="117"/>
      <c r="AJ665" s="150"/>
      <c r="AK665" s="117"/>
      <c r="AL665" s="117"/>
      <c r="AM665" s="117"/>
      <c r="AN665" s="117"/>
      <c r="AO665" s="975">
        <v>24</v>
      </c>
      <c r="AP665" s="117"/>
      <c r="AQ665" s="117"/>
      <c r="AR665" s="117"/>
      <c r="AS665" s="117"/>
      <c r="AT665" s="975">
        <v>1548</v>
      </c>
      <c r="AU665" s="117"/>
      <c r="AV665" s="117"/>
      <c r="AW665" s="117"/>
      <c r="AX665" s="117"/>
      <c r="AY665" s="975">
        <v>44</v>
      </c>
      <c r="AZ665" s="117"/>
      <c r="BA665" s="117"/>
      <c r="BB665" s="117"/>
      <c r="BC665" s="117"/>
      <c r="BD665" s="975">
        <v>85</v>
      </c>
      <c r="BE665" s="117"/>
      <c r="BF665" s="117"/>
      <c r="BG665" s="117"/>
      <c r="BH665" s="117"/>
      <c r="BI665" s="975">
        <v>2161</v>
      </c>
      <c r="BJ665" s="117"/>
      <c r="BK665" s="117"/>
      <c r="BL665" s="117"/>
      <c r="BM665" s="117"/>
      <c r="BN665" s="975">
        <v>177</v>
      </c>
      <c r="BO665" s="117"/>
      <c r="BP665" s="117"/>
      <c r="BQ665" s="117"/>
      <c r="BR665" s="117"/>
      <c r="BS665" s="975">
        <v>1119</v>
      </c>
      <c r="BT665" s="691"/>
      <c r="BU665" s="117"/>
      <c r="BV665" s="117"/>
      <c r="BW665" s="117"/>
      <c r="BX665" s="150"/>
      <c r="BY665" s="117"/>
      <c r="BZ665" s="117"/>
      <c r="CA665" s="117"/>
      <c r="CB665" s="117"/>
      <c r="CC665" s="150"/>
      <c r="CD665" s="150"/>
      <c r="CE665" s="150"/>
      <c r="CF665" s="150"/>
      <c r="CG665" s="587"/>
    </row>
    <row r="666" spans="1:85" s="460" customFormat="1" ht="14.4" hidden="1" outlineLevel="1" x14ac:dyDescent="0.3">
      <c r="A666" s="159" t="s">
        <v>1415</v>
      </c>
      <c r="B666" s="586"/>
      <c r="C666" s="150"/>
      <c r="D666" s="150"/>
      <c r="E666" s="150"/>
      <c r="F666" s="150"/>
      <c r="G666" s="117"/>
      <c r="H666" s="117"/>
      <c r="I666" s="117"/>
      <c r="J666" s="117"/>
      <c r="K666" s="150"/>
      <c r="L666" s="117"/>
      <c r="M666" s="117"/>
      <c r="N666" s="117"/>
      <c r="O666" s="117"/>
      <c r="P666" s="150"/>
      <c r="Q666" s="117"/>
      <c r="R666" s="117"/>
      <c r="S666" s="117"/>
      <c r="T666" s="117"/>
      <c r="U666" s="150"/>
      <c r="V666" s="117"/>
      <c r="W666" s="117"/>
      <c r="X666" s="117"/>
      <c r="Y666" s="117"/>
      <c r="Z666" s="150"/>
      <c r="AA666" s="117"/>
      <c r="AB666" s="117"/>
      <c r="AC666" s="117"/>
      <c r="AD666" s="117"/>
      <c r="AE666" s="150"/>
      <c r="AF666" s="117"/>
      <c r="AG666" s="117"/>
      <c r="AH666" s="117"/>
      <c r="AI666" s="117"/>
      <c r="AJ666" s="150"/>
      <c r="AK666" s="117"/>
      <c r="AL666" s="117"/>
      <c r="AM666" s="117"/>
      <c r="AN666" s="117"/>
      <c r="AO666" s="975">
        <v>-1</v>
      </c>
      <c r="AP666" s="117"/>
      <c r="AQ666" s="117"/>
      <c r="AR666" s="117"/>
      <c r="AS666" s="117"/>
      <c r="AT666" s="975">
        <v>-1314</v>
      </c>
      <c r="AU666" s="117"/>
      <c r="AV666" s="117"/>
      <c r="AW666" s="117"/>
      <c r="AX666" s="117"/>
      <c r="AY666" s="975">
        <v>-29</v>
      </c>
      <c r="AZ666" s="117"/>
      <c r="BA666" s="117"/>
      <c r="BB666" s="117"/>
      <c r="BC666" s="117"/>
      <c r="BD666" s="975">
        <v>-243</v>
      </c>
      <c r="BE666" s="117"/>
      <c r="BF666" s="117"/>
      <c r="BG666" s="117"/>
      <c r="BH666" s="117"/>
      <c r="BI666" s="975">
        <v>-3</v>
      </c>
      <c r="BJ666" s="117"/>
      <c r="BK666" s="117"/>
      <c r="BL666" s="117"/>
      <c r="BM666" s="117"/>
      <c r="BN666" s="975">
        <v>-70</v>
      </c>
      <c r="BO666" s="117"/>
      <c r="BP666" s="117"/>
      <c r="BQ666" s="117"/>
      <c r="BR666" s="117"/>
      <c r="BS666" s="975">
        <v>-59</v>
      </c>
      <c r="BT666" s="691"/>
      <c r="BU666" s="117"/>
      <c r="BV666" s="117"/>
      <c r="BW666" s="117"/>
      <c r="BX666" s="150"/>
      <c r="BY666" s="117"/>
      <c r="BZ666" s="117"/>
      <c r="CA666" s="117"/>
      <c r="CB666" s="117"/>
      <c r="CC666" s="150"/>
      <c r="CD666" s="150"/>
      <c r="CE666" s="150"/>
      <c r="CF666" s="150"/>
      <c r="CG666" s="587"/>
    </row>
    <row r="667" spans="1:85" s="460" customFormat="1" ht="14.4" hidden="1" outlineLevel="1" x14ac:dyDescent="0.3">
      <c r="A667" s="262" t="s">
        <v>1416</v>
      </c>
      <c r="B667" s="588"/>
      <c r="C667" s="954"/>
      <c r="D667" s="954"/>
      <c r="E667" s="954"/>
      <c r="F667" s="954"/>
      <c r="G667" s="133"/>
      <c r="H667" s="133"/>
      <c r="I667" s="133"/>
      <c r="J667" s="133"/>
      <c r="K667" s="954"/>
      <c r="L667" s="133"/>
      <c r="M667" s="133"/>
      <c r="N667" s="133"/>
      <c r="O667" s="133"/>
      <c r="P667" s="954"/>
      <c r="Q667" s="133"/>
      <c r="R667" s="133"/>
      <c r="S667" s="133"/>
      <c r="T667" s="133"/>
      <c r="U667" s="954"/>
      <c r="V667" s="133"/>
      <c r="W667" s="133"/>
      <c r="X667" s="133"/>
      <c r="Y667" s="133"/>
      <c r="Z667" s="954"/>
      <c r="AA667" s="133"/>
      <c r="AB667" s="133"/>
      <c r="AC667" s="133"/>
      <c r="AD667" s="133"/>
      <c r="AE667" s="954"/>
      <c r="AF667" s="133"/>
      <c r="AG667" s="133"/>
      <c r="AH667" s="133"/>
      <c r="AI667" s="133"/>
      <c r="AJ667" s="954"/>
      <c r="AK667" s="133"/>
      <c r="AL667" s="133"/>
      <c r="AM667" s="133"/>
      <c r="AN667" s="133"/>
      <c r="AO667" s="976">
        <v>-447</v>
      </c>
      <c r="AP667" s="133"/>
      <c r="AQ667" s="133"/>
      <c r="AR667" s="133"/>
      <c r="AS667" s="133"/>
      <c r="AT667" s="976">
        <v>-588</v>
      </c>
      <c r="AU667" s="133"/>
      <c r="AV667" s="133"/>
      <c r="AW667" s="133"/>
      <c r="AX667" s="133"/>
      <c r="AY667" s="976">
        <v>-617</v>
      </c>
      <c r="AZ667" s="133"/>
      <c r="BA667" s="133"/>
      <c r="BB667" s="133"/>
      <c r="BC667" s="133"/>
      <c r="BD667" s="976">
        <v>-641</v>
      </c>
      <c r="BE667" s="133"/>
      <c r="BF667" s="133"/>
      <c r="BG667" s="133"/>
      <c r="BH667" s="133"/>
      <c r="BI667" s="976">
        <v>-771</v>
      </c>
      <c r="BJ667" s="133"/>
      <c r="BK667" s="133"/>
      <c r="BL667" s="133"/>
      <c r="BM667" s="133"/>
      <c r="BN667" s="976">
        <v>-981</v>
      </c>
      <c r="BO667" s="133"/>
      <c r="BP667" s="133"/>
      <c r="BQ667" s="133"/>
      <c r="BR667" s="133"/>
      <c r="BS667" s="976">
        <v>-1130</v>
      </c>
      <c r="BT667" s="692"/>
      <c r="BU667" s="133"/>
      <c r="BV667" s="133"/>
      <c r="BW667" s="133"/>
      <c r="BX667" s="954"/>
      <c r="BY667" s="133"/>
      <c r="BZ667" s="133"/>
      <c r="CA667" s="133"/>
      <c r="CB667" s="133"/>
      <c r="CC667" s="954"/>
      <c r="CD667" s="954"/>
      <c r="CE667" s="954"/>
      <c r="CF667" s="954"/>
      <c r="CG667" s="587"/>
    </row>
    <row r="668" spans="1:85" s="461" customFormat="1" ht="14.4" hidden="1" outlineLevel="1" x14ac:dyDescent="0.3">
      <c r="A668" s="166" t="s">
        <v>1417</v>
      </c>
      <c r="B668" s="583"/>
      <c r="C668" s="957"/>
      <c r="D668" s="957"/>
      <c r="E668" s="957"/>
      <c r="F668" s="957"/>
      <c r="G668" s="120"/>
      <c r="H668" s="120"/>
      <c r="I668" s="120"/>
      <c r="J668" s="120"/>
      <c r="K668" s="957"/>
      <c r="L668" s="120"/>
      <c r="M668" s="120"/>
      <c r="N668" s="120"/>
      <c r="O668" s="120"/>
      <c r="P668" s="957"/>
      <c r="Q668" s="120"/>
      <c r="R668" s="120"/>
      <c r="S668" s="120"/>
      <c r="T668" s="120"/>
      <c r="U668" s="957"/>
      <c r="V668" s="120"/>
      <c r="W668" s="120"/>
      <c r="X668" s="120"/>
      <c r="Y668" s="120"/>
      <c r="Z668" s="957"/>
      <c r="AA668" s="120"/>
      <c r="AB668" s="120"/>
      <c r="AC668" s="120"/>
      <c r="AD668" s="120"/>
      <c r="AE668" s="957"/>
      <c r="AF668" s="120"/>
      <c r="AG668" s="120"/>
      <c r="AH668" s="120"/>
      <c r="AI668" s="120"/>
      <c r="AJ668" s="957"/>
      <c r="AK668" s="120"/>
      <c r="AL668" s="120"/>
      <c r="AM668" s="120"/>
      <c r="AN668" s="120"/>
      <c r="AO668" s="957">
        <f>SUM(AO661:AO667)</f>
        <v>4728</v>
      </c>
      <c r="AP668" s="120"/>
      <c r="AQ668" s="120"/>
      <c r="AR668" s="120"/>
      <c r="AS668" s="120"/>
      <c r="AT668" s="957">
        <f>SUM(AT661:AT667)</f>
        <v>4250</v>
      </c>
      <c r="AU668" s="120"/>
      <c r="AV668" s="120"/>
      <c r="AW668" s="120"/>
      <c r="AX668" s="120"/>
      <c r="AY668" s="957">
        <f>SUM(AY661:AY667)</f>
        <v>5885</v>
      </c>
      <c r="AZ668" s="120"/>
      <c r="BA668" s="120"/>
      <c r="BB668" s="120"/>
      <c r="BC668" s="120"/>
      <c r="BD668" s="957">
        <f>SUM(BD661:BD667)</f>
        <v>6831</v>
      </c>
      <c r="BE668" s="120"/>
      <c r="BF668" s="120"/>
      <c r="BG668" s="120"/>
      <c r="BH668" s="120"/>
      <c r="BI668" s="957">
        <f>SUM(BI661:BI667)</f>
        <v>7682</v>
      </c>
      <c r="BJ668" s="120"/>
      <c r="BK668" s="120"/>
      <c r="BL668" s="120"/>
      <c r="BM668" s="120"/>
      <c r="BN668" s="957">
        <f>SUM(BN661:BN667)</f>
        <v>7150</v>
      </c>
      <c r="BO668" s="120"/>
      <c r="BP668" s="120"/>
      <c r="BQ668" s="120"/>
      <c r="BR668" s="120"/>
      <c r="BS668" s="957">
        <f>SUM(BS661:BS667)</f>
        <v>8041</v>
      </c>
      <c r="BT668" s="694"/>
      <c r="BU668" s="120"/>
      <c r="BV668" s="120"/>
      <c r="BW668" s="120"/>
      <c r="BX668" s="957"/>
      <c r="BY668" s="120"/>
      <c r="BZ668" s="120"/>
      <c r="CA668" s="120"/>
      <c r="CB668" s="120"/>
      <c r="CC668" s="957"/>
      <c r="CD668" s="957"/>
      <c r="CE668" s="957"/>
      <c r="CF668" s="957"/>
      <c r="CG668" s="615"/>
    </row>
    <row r="669" spans="1:85" s="461" customFormat="1" ht="14.4" hidden="1" outlineLevel="1" x14ac:dyDescent="0.3">
      <c r="A669" s="166" t="s">
        <v>1418</v>
      </c>
      <c r="B669" s="583"/>
      <c r="C669" s="957"/>
      <c r="D669" s="957"/>
      <c r="E669" s="957"/>
      <c r="F669" s="957"/>
      <c r="G669" s="120"/>
      <c r="H669" s="120"/>
      <c r="I669" s="120"/>
      <c r="J669" s="120"/>
      <c r="K669" s="957"/>
      <c r="L669" s="120"/>
      <c r="M669" s="120"/>
      <c r="N669" s="120"/>
      <c r="O669" s="120"/>
      <c r="P669" s="957"/>
      <c r="Q669" s="120"/>
      <c r="R669" s="120"/>
      <c r="S669" s="120"/>
      <c r="T669" s="120"/>
      <c r="U669" s="957"/>
      <c r="V669" s="120"/>
      <c r="W669" s="120"/>
      <c r="X669" s="120"/>
      <c r="Y669" s="120"/>
      <c r="Z669" s="957"/>
      <c r="AA669" s="120"/>
      <c r="AB669" s="120"/>
      <c r="AC669" s="120"/>
      <c r="AD669" s="120"/>
      <c r="AE669" s="957"/>
      <c r="AF669" s="120"/>
      <c r="AG669" s="120"/>
      <c r="AH669" s="120"/>
      <c r="AI669" s="120"/>
      <c r="AJ669" s="957"/>
      <c r="AK669" s="120"/>
      <c r="AL669" s="120"/>
      <c r="AM669" s="120"/>
      <c r="AN669" s="120"/>
      <c r="AO669" s="983">
        <v>863</v>
      </c>
      <c r="AP669" s="120"/>
      <c r="AQ669" s="120"/>
      <c r="AR669" s="120"/>
      <c r="AS669" s="120"/>
      <c r="AT669" s="983">
        <v>736</v>
      </c>
      <c r="AU669" s="120"/>
      <c r="AV669" s="120"/>
      <c r="AW669" s="120"/>
      <c r="AX669" s="120"/>
      <c r="AY669" s="983">
        <v>329</v>
      </c>
      <c r="AZ669" s="120"/>
      <c r="BA669" s="120"/>
      <c r="BB669" s="120"/>
      <c r="BC669" s="120"/>
      <c r="BD669" s="983">
        <v>455</v>
      </c>
      <c r="BE669" s="120"/>
      <c r="BF669" s="120"/>
      <c r="BG669" s="120"/>
      <c r="BH669" s="120"/>
      <c r="BI669" s="983">
        <v>545</v>
      </c>
      <c r="BJ669" s="120"/>
      <c r="BK669" s="120"/>
      <c r="BL669" s="120"/>
      <c r="BM669" s="120"/>
      <c r="BN669" s="983">
        <v>574</v>
      </c>
      <c r="BO669" s="120"/>
      <c r="BP669" s="120"/>
      <c r="BQ669" s="120"/>
      <c r="BR669" s="120"/>
      <c r="BS669" s="983">
        <v>314</v>
      </c>
      <c r="BT669" s="694"/>
      <c r="BU669" s="120"/>
      <c r="BV669" s="120"/>
      <c r="BW669" s="120"/>
      <c r="BX669" s="957"/>
      <c r="BY669" s="120"/>
      <c r="BZ669" s="120"/>
      <c r="CA669" s="120"/>
      <c r="CB669" s="120"/>
      <c r="CC669" s="957"/>
      <c r="CD669" s="957"/>
      <c r="CE669" s="957"/>
      <c r="CF669" s="957"/>
      <c r="CG669" s="615"/>
    </row>
    <row r="670" spans="1:85" s="460" customFormat="1" ht="14.4" hidden="1" outlineLevel="1" x14ac:dyDescent="0.3">
      <c r="A670" s="159" t="s">
        <v>1419</v>
      </c>
      <c r="B670" s="586"/>
      <c r="C670" s="150"/>
      <c r="D670" s="150"/>
      <c r="E670" s="150"/>
      <c r="F670" s="150"/>
      <c r="G670" s="117"/>
      <c r="H670" s="117"/>
      <c r="I670" s="117"/>
      <c r="J670" s="117"/>
      <c r="K670" s="150"/>
      <c r="L670" s="117"/>
      <c r="M670" s="117"/>
      <c r="N670" s="117"/>
      <c r="O670" s="117"/>
      <c r="P670" s="150"/>
      <c r="Q670" s="117"/>
      <c r="R670" s="117"/>
      <c r="S670" s="117"/>
      <c r="T670" s="117"/>
      <c r="U670" s="150"/>
      <c r="V670" s="117"/>
      <c r="W670" s="117"/>
      <c r="X670" s="117"/>
      <c r="Y670" s="117"/>
      <c r="Z670" s="150"/>
      <c r="AA670" s="117"/>
      <c r="AB670" s="117"/>
      <c r="AC670" s="117"/>
      <c r="AD670" s="117"/>
      <c r="AE670" s="150"/>
      <c r="AF670" s="117"/>
      <c r="AG670" s="117"/>
      <c r="AH670" s="117"/>
      <c r="AI670" s="117"/>
      <c r="AJ670" s="150"/>
      <c r="AK670" s="117"/>
      <c r="AL670" s="117"/>
      <c r="AM670" s="117"/>
      <c r="AN670" s="117"/>
      <c r="AO670" s="975">
        <v>-107</v>
      </c>
      <c r="AP670" s="117"/>
      <c r="AQ670" s="117"/>
      <c r="AR670" s="117"/>
      <c r="AS670" s="117"/>
      <c r="AT670" s="975">
        <v>-178</v>
      </c>
      <c r="AU670" s="117"/>
      <c r="AV670" s="117"/>
      <c r="AW670" s="117"/>
      <c r="AX670" s="117"/>
      <c r="AY670" s="975">
        <v>129</v>
      </c>
      <c r="AZ670" s="117"/>
      <c r="BA670" s="117"/>
      <c r="BB670" s="117"/>
      <c r="BC670" s="117"/>
      <c r="BD670" s="975">
        <v>62</v>
      </c>
      <c r="BE670" s="117"/>
      <c r="BF670" s="117"/>
      <c r="BG670" s="117"/>
      <c r="BH670" s="117"/>
      <c r="BI670" s="975">
        <v>-1</v>
      </c>
      <c r="BJ670" s="117"/>
      <c r="BK670" s="117"/>
      <c r="BL670" s="117"/>
      <c r="BM670" s="117"/>
      <c r="BN670" s="975">
        <v>-54</v>
      </c>
      <c r="BO670" s="117"/>
      <c r="BP670" s="117"/>
      <c r="BQ670" s="117"/>
      <c r="BR670" s="117"/>
      <c r="BS670" s="975">
        <v>-56</v>
      </c>
      <c r="BT670" s="691"/>
      <c r="BU670" s="117"/>
      <c r="BV670" s="117"/>
      <c r="BW670" s="117"/>
      <c r="BX670" s="150"/>
      <c r="BY670" s="117"/>
      <c r="BZ670" s="117"/>
      <c r="CA670" s="117"/>
      <c r="CB670" s="117"/>
      <c r="CC670" s="150"/>
      <c r="CD670" s="150"/>
      <c r="CE670" s="150"/>
      <c r="CF670" s="150"/>
      <c r="CG670" s="587"/>
    </row>
    <row r="671" spans="1:85" s="460" customFormat="1" ht="14.4" hidden="1" outlineLevel="1" x14ac:dyDescent="0.3">
      <c r="A671" s="159" t="s">
        <v>1420</v>
      </c>
      <c r="B671" s="586"/>
      <c r="C671" s="150"/>
      <c r="D671" s="150"/>
      <c r="E671" s="150"/>
      <c r="F671" s="150"/>
      <c r="G671" s="117"/>
      <c r="H671" s="117"/>
      <c r="I671" s="117"/>
      <c r="J671" s="117"/>
      <c r="K671" s="150"/>
      <c r="L671" s="117"/>
      <c r="M671" s="117"/>
      <c r="N671" s="117"/>
      <c r="O671" s="117"/>
      <c r="P671" s="150"/>
      <c r="Q671" s="117"/>
      <c r="R671" s="117"/>
      <c r="S671" s="117"/>
      <c r="T671" s="117"/>
      <c r="U671" s="150"/>
      <c r="V671" s="117"/>
      <c r="W671" s="117"/>
      <c r="X671" s="117"/>
      <c r="Y671" s="117"/>
      <c r="Z671" s="150"/>
      <c r="AA671" s="117"/>
      <c r="AB671" s="117"/>
      <c r="AC671" s="117"/>
      <c r="AD671" s="117"/>
      <c r="AE671" s="150"/>
      <c r="AF671" s="117"/>
      <c r="AG671" s="117"/>
      <c r="AH671" s="117"/>
      <c r="AI671" s="117"/>
      <c r="AJ671" s="150"/>
      <c r="AK671" s="117"/>
      <c r="AL671" s="117"/>
      <c r="AM671" s="117"/>
      <c r="AN671" s="117"/>
      <c r="AO671" s="975">
        <v>0</v>
      </c>
      <c r="AP671" s="117"/>
      <c r="AQ671" s="117"/>
      <c r="AR671" s="117"/>
      <c r="AS671" s="117"/>
      <c r="AT671" s="975">
        <v>0</v>
      </c>
      <c r="AU671" s="117"/>
      <c r="AV671" s="117"/>
      <c r="AW671" s="117"/>
      <c r="AX671" s="117"/>
      <c r="AY671" s="975">
        <v>0</v>
      </c>
      <c r="AZ671" s="117"/>
      <c r="BA671" s="117"/>
      <c r="BB671" s="117"/>
      <c r="BC671" s="117"/>
      <c r="BD671" s="975">
        <v>0</v>
      </c>
      <c r="BE671" s="117"/>
      <c r="BF671" s="117"/>
      <c r="BG671" s="117"/>
      <c r="BH671" s="117"/>
      <c r="BI671" s="975">
        <v>0</v>
      </c>
      <c r="BJ671" s="117"/>
      <c r="BK671" s="117"/>
      <c r="BL671" s="117"/>
      <c r="BM671" s="117"/>
      <c r="BN671" s="975">
        <v>0</v>
      </c>
      <c r="BO671" s="117"/>
      <c r="BP671" s="117"/>
      <c r="BQ671" s="117"/>
      <c r="BR671" s="117"/>
      <c r="BS671" s="975">
        <v>0</v>
      </c>
      <c r="BT671" s="691"/>
      <c r="BU671" s="117"/>
      <c r="BV671" s="117"/>
      <c r="BW671" s="117"/>
      <c r="BX671" s="150"/>
      <c r="BY671" s="117"/>
      <c r="BZ671" s="117"/>
      <c r="CA671" s="117"/>
      <c r="CB671" s="117"/>
      <c r="CC671" s="150"/>
      <c r="CD671" s="150"/>
      <c r="CE671" s="150"/>
      <c r="CF671" s="150"/>
      <c r="CG671" s="587"/>
    </row>
    <row r="672" spans="1:85" s="460" customFormat="1" ht="14.4" hidden="1" outlineLevel="1" x14ac:dyDescent="0.3">
      <c r="A672" s="159" t="s">
        <v>1421</v>
      </c>
      <c r="B672" s="586"/>
      <c r="C672" s="150"/>
      <c r="D672" s="150"/>
      <c r="E672" s="150"/>
      <c r="F672" s="150"/>
      <c r="G672" s="117"/>
      <c r="H672" s="117"/>
      <c r="I672" s="117"/>
      <c r="J672" s="117"/>
      <c r="K672" s="150"/>
      <c r="L672" s="117"/>
      <c r="M672" s="117"/>
      <c r="N672" s="117"/>
      <c r="O672" s="117"/>
      <c r="P672" s="150"/>
      <c r="Q672" s="117"/>
      <c r="R672" s="117"/>
      <c r="S672" s="117"/>
      <c r="T672" s="117"/>
      <c r="U672" s="150"/>
      <c r="V672" s="117"/>
      <c r="W672" s="117"/>
      <c r="X672" s="117"/>
      <c r="Y672" s="117"/>
      <c r="Z672" s="150"/>
      <c r="AA672" s="117"/>
      <c r="AB672" s="117"/>
      <c r="AC672" s="117"/>
      <c r="AD672" s="117"/>
      <c r="AE672" s="150"/>
      <c r="AF672" s="117"/>
      <c r="AG672" s="117"/>
      <c r="AH672" s="117"/>
      <c r="AI672" s="117"/>
      <c r="AJ672" s="150"/>
      <c r="AK672" s="117"/>
      <c r="AL672" s="117"/>
      <c r="AM672" s="117"/>
      <c r="AN672" s="117"/>
      <c r="AO672" s="975">
        <v>49</v>
      </c>
      <c r="AP672" s="117"/>
      <c r="AQ672" s="117"/>
      <c r="AR672" s="117"/>
      <c r="AS672" s="117"/>
      <c r="AT672" s="975">
        <v>8</v>
      </c>
      <c r="AU672" s="117"/>
      <c r="AV672" s="117"/>
      <c r="AW672" s="117"/>
      <c r="AX672" s="117"/>
      <c r="AY672" s="975">
        <v>63</v>
      </c>
      <c r="AZ672" s="117"/>
      <c r="BA672" s="117"/>
      <c r="BB672" s="117"/>
      <c r="BC672" s="117"/>
      <c r="BD672" s="975">
        <v>64</v>
      </c>
      <c r="BE672" s="117"/>
      <c r="BF672" s="117"/>
      <c r="BG672" s="117"/>
      <c r="BH672" s="117"/>
      <c r="BI672" s="975">
        <v>83</v>
      </c>
      <c r="BJ672" s="117"/>
      <c r="BK672" s="117"/>
      <c r="BL672" s="117"/>
      <c r="BM672" s="117"/>
      <c r="BN672" s="975">
        <v>119</v>
      </c>
      <c r="BO672" s="117"/>
      <c r="BP672" s="117"/>
      <c r="BQ672" s="117"/>
      <c r="BR672" s="117"/>
      <c r="BS672" s="975">
        <v>90</v>
      </c>
      <c r="BT672" s="691"/>
      <c r="BU672" s="117"/>
      <c r="BV672" s="117"/>
      <c r="BW672" s="117"/>
      <c r="BX672" s="150"/>
      <c r="BY672" s="117"/>
      <c r="BZ672" s="117"/>
      <c r="CA672" s="117"/>
      <c r="CB672" s="117"/>
      <c r="CC672" s="150"/>
      <c r="CD672" s="150"/>
      <c r="CE672" s="150"/>
      <c r="CF672" s="150"/>
      <c r="CG672" s="587"/>
    </row>
    <row r="673" spans="1:85" s="460" customFormat="1" ht="14.4" hidden="1" outlineLevel="1" x14ac:dyDescent="0.3">
      <c r="A673" s="159" t="s">
        <v>1422</v>
      </c>
      <c r="B673" s="586"/>
      <c r="C673" s="150"/>
      <c r="D673" s="150"/>
      <c r="E673" s="150"/>
      <c r="F673" s="150"/>
      <c r="G673" s="117"/>
      <c r="H673" s="117"/>
      <c r="I673" s="117"/>
      <c r="J673" s="117"/>
      <c r="K673" s="150"/>
      <c r="L673" s="117"/>
      <c r="M673" s="117"/>
      <c r="N673" s="117"/>
      <c r="O673" s="117"/>
      <c r="P673" s="150"/>
      <c r="Q673" s="117"/>
      <c r="R673" s="117"/>
      <c r="S673" s="117"/>
      <c r="T673" s="117"/>
      <c r="U673" s="150"/>
      <c r="V673" s="117"/>
      <c r="W673" s="117"/>
      <c r="X673" s="117"/>
      <c r="Y673" s="117"/>
      <c r="Z673" s="150"/>
      <c r="AA673" s="117"/>
      <c r="AB673" s="117"/>
      <c r="AC673" s="117"/>
      <c r="AD673" s="117"/>
      <c r="AE673" s="150"/>
      <c r="AF673" s="117"/>
      <c r="AG673" s="117"/>
      <c r="AH673" s="117"/>
      <c r="AI673" s="117"/>
      <c r="AJ673" s="150"/>
      <c r="AK673" s="117"/>
      <c r="AL673" s="117"/>
      <c r="AM673" s="117"/>
      <c r="AN673" s="117"/>
      <c r="AO673" s="975">
        <v>0</v>
      </c>
      <c r="AP673" s="117"/>
      <c r="AQ673" s="117"/>
      <c r="AR673" s="117"/>
      <c r="AS673" s="117"/>
      <c r="AT673" s="975">
        <v>0</v>
      </c>
      <c r="AU673" s="117"/>
      <c r="AV673" s="117"/>
      <c r="AW673" s="117"/>
      <c r="AX673" s="117"/>
      <c r="AY673" s="975">
        <v>0</v>
      </c>
      <c r="AZ673" s="117"/>
      <c r="BA673" s="117"/>
      <c r="BB673" s="117"/>
      <c r="BC673" s="117"/>
      <c r="BD673" s="975">
        <v>25</v>
      </c>
      <c r="BE673" s="117"/>
      <c r="BF673" s="117"/>
      <c r="BG673" s="117"/>
      <c r="BH673" s="117"/>
      <c r="BI673" s="975">
        <v>0</v>
      </c>
      <c r="BJ673" s="117"/>
      <c r="BK673" s="117"/>
      <c r="BL673" s="117"/>
      <c r="BM673" s="117"/>
      <c r="BN673" s="975">
        <v>0</v>
      </c>
      <c r="BO673" s="117"/>
      <c r="BP673" s="117"/>
      <c r="BQ673" s="117"/>
      <c r="BR673" s="117"/>
      <c r="BS673" s="975">
        <v>213</v>
      </c>
      <c r="BT673" s="691"/>
      <c r="BU673" s="117"/>
      <c r="BV673" s="117"/>
      <c r="BW673" s="117"/>
      <c r="BX673" s="150"/>
      <c r="BY673" s="117"/>
      <c r="BZ673" s="117"/>
      <c r="CA673" s="117"/>
      <c r="CB673" s="117"/>
      <c r="CC673" s="150"/>
      <c r="CD673" s="150"/>
      <c r="CE673" s="150"/>
      <c r="CF673" s="150"/>
      <c r="CG673" s="587"/>
    </row>
    <row r="674" spans="1:85" s="460" customFormat="1" ht="14.4" hidden="1" outlineLevel="1" x14ac:dyDescent="0.3">
      <c r="A674" s="159" t="s">
        <v>1423</v>
      </c>
      <c r="B674" s="586"/>
      <c r="C674" s="150"/>
      <c r="D674" s="150"/>
      <c r="E674" s="150"/>
      <c r="F674" s="150"/>
      <c r="G674" s="117"/>
      <c r="H674" s="117"/>
      <c r="I674" s="117"/>
      <c r="J674" s="117"/>
      <c r="K674" s="150"/>
      <c r="L674" s="117"/>
      <c r="M674" s="117"/>
      <c r="N674" s="117"/>
      <c r="O674" s="117"/>
      <c r="P674" s="150"/>
      <c r="Q674" s="117"/>
      <c r="R674" s="117"/>
      <c r="S674" s="117"/>
      <c r="T674" s="117"/>
      <c r="U674" s="150"/>
      <c r="V674" s="117"/>
      <c r="W674" s="117"/>
      <c r="X674" s="117"/>
      <c r="Y674" s="117"/>
      <c r="Z674" s="150"/>
      <c r="AA674" s="117"/>
      <c r="AB674" s="117"/>
      <c r="AC674" s="117"/>
      <c r="AD674" s="117"/>
      <c r="AE674" s="150"/>
      <c r="AF674" s="117"/>
      <c r="AG674" s="117"/>
      <c r="AH674" s="117"/>
      <c r="AI674" s="117"/>
      <c r="AJ674" s="150"/>
      <c r="AK674" s="117"/>
      <c r="AL674" s="117"/>
      <c r="AM674" s="117"/>
      <c r="AN674" s="117"/>
      <c r="AO674" s="975">
        <v>-2</v>
      </c>
      <c r="AP674" s="117"/>
      <c r="AQ674" s="117"/>
      <c r="AR674" s="117"/>
      <c r="AS674" s="117"/>
      <c r="AT674" s="975">
        <v>-177</v>
      </c>
      <c r="AU674" s="117"/>
      <c r="AV674" s="117"/>
      <c r="AW674" s="117"/>
      <c r="AX674" s="117"/>
      <c r="AY674" s="975">
        <v>0</v>
      </c>
      <c r="AZ674" s="117"/>
      <c r="BA674" s="117"/>
      <c r="BB674" s="117"/>
      <c r="BC674" s="117"/>
      <c r="BD674" s="975">
        <v>0</v>
      </c>
      <c r="BE674" s="117"/>
      <c r="BF674" s="117"/>
      <c r="BG674" s="117"/>
      <c r="BH674" s="117"/>
      <c r="BI674" s="975">
        <v>0</v>
      </c>
      <c r="BJ674" s="117"/>
      <c r="BK674" s="117"/>
      <c r="BL674" s="117"/>
      <c r="BM674" s="117"/>
      <c r="BN674" s="975">
        <v>-260</v>
      </c>
      <c r="BO674" s="117"/>
      <c r="BP674" s="117"/>
      <c r="BQ674" s="117"/>
      <c r="BR674" s="117"/>
      <c r="BS674" s="975">
        <v>0</v>
      </c>
      <c r="BT674" s="691"/>
      <c r="BU674" s="117"/>
      <c r="BV674" s="117"/>
      <c r="BW674" s="117"/>
      <c r="BX674" s="150"/>
      <c r="BY674" s="117"/>
      <c r="BZ674" s="117"/>
      <c r="CA674" s="117"/>
      <c r="CB674" s="117"/>
      <c r="CC674" s="150"/>
      <c r="CD674" s="150"/>
      <c r="CE674" s="150"/>
      <c r="CF674" s="150"/>
      <c r="CG674" s="587"/>
    </row>
    <row r="675" spans="1:85" s="460" customFormat="1" ht="14.4" hidden="1" outlineLevel="1" x14ac:dyDescent="0.3">
      <c r="A675" s="262" t="s">
        <v>1424</v>
      </c>
      <c r="B675" s="588"/>
      <c r="C675" s="954"/>
      <c r="D675" s="954"/>
      <c r="E675" s="954"/>
      <c r="F675" s="954"/>
      <c r="G675" s="133"/>
      <c r="H675" s="133"/>
      <c r="I675" s="133"/>
      <c r="J675" s="133"/>
      <c r="K675" s="954"/>
      <c r="L675" s="133"/>
      <c r="M675" s="133"/>
      <c r="N675" s="133"/>
      <c r="O675" s="133"/>
      <c r="P675" s="954"/>
      <c r="Q675" s="133"/>
      <c r="R675" s="133"/>
      <c r="S675" s="133"/>
      <c r="T675" s="133"/>
      <c r="U675" s="954"/>
      <c r="V675" s="133"/>
      <c r="W675" s="133"/>
      <c r="X675" s="133"/>
      <c r="Y675" s="133"/>
      <c r="Z675" s="954"/>
      <c r="AA675" s="133"/>
      <c r="AB675" s="133"/>
      <c r="AC675" s="133"/>
      <c r="AD675" s="133"/>
      <c r="AE675" s="954"/>
      <c r="AF675" s="133"/>
      <c r="AG675" s="133"/>
      <c r="AH675" s="133"/>
      <c r="AI675" s="133"/>
      <c r="AJ675" s="954"/>
      <c r="AK675" s="133"/>
      <c r="AL675" s="133"/>
      <c r="AM675" s="133"/>
      <c r="AN675" s="133"/>
      <c r="AO675" s="976">
        <v>-67</v>
      </c>
      <c r="AP675" s="133"/>
      <c r="AQ675" s="133"/>
      <c r="AR675" s="133"/>
      <c r="AS675" s="133"/>
      <c r="AT675" s="976">
        <v>-60</v>
      </c>
      <c r="AU675" s="133"/>
      <c r="AV675" s="133"/>
      <c r="AW675" s="133"/>
      <c r="AX675" s="133"/>
      <c r="AY675" s="976">
        <v>-66</v>
      </c>
      <c r="AZ675" s="133"/>
      <c r="BA675" s="133"/>
      <c r="BB675" s="133"/>
      <c r="BC675" s="133"/>
      <c r="BD675" s="976">
        <v>-61</v>
      </c>
      <c r="BE675" s="133"/>
      <c r="BF675" s="133"/>
      <c r="BG675" s="133"/>
      <c r="BH675" s="133"/>
      <c r="BI675" s="976">
        <v>-53</v>
      </c>
      <c r="BJ675" s="133"/>
      <c r="BK675" s="133"/>
      <c r="BL675" s="133"/>
      <c r="BM675" s="133"/>
      <c r="BN675" s="976">
        <v>-65</v>
      </c>
      <c r="BO675" s="133"/>
      <c r="BP675" s="133"/>
      <c r="BQ675" s="133"/>
      <c r="BR675" s="133"/>
      <c r="BS675" s="976">
        <v>-34</v>
      </c>
      <c r="BT675" s="692"/>
      <c r="BU675" s="133"/>
      <c r="BV675" s="133"/>
      <c r="BW675" s="133"/>
      <c r="BX675" s="954"/>
      <c r="BY675" s="133"/>
      <c r="BZ675" s="133"/>
      <c r="CA675" s="133"/>
      <c r="CB675" s="133"/>
      <c r="CC675" s="954"/>
      <c r="CD675" s="954"/>
      <c r="CE675" s="954"/>
      <c r="CF675" s="954"/>
      <c r="CG675" s="587"/>
    </row>
    <row r="676" spans="1:85" s="461" customFormat="1" ht="14.4" hidden="1" outlineLevel="1" x14ac:dyDescent="0.3">
      <c r="A676" s="166" t="s">
        <v>1425</v>
      </c>
      <c r="B676" s="583"/>
      <c r="C676" s="957"/>
      <c r="D676" s="957"/>
      <c r="E676" s="957"/>
      <c r="F676" s="957"/>
      <c r="G676" s="120"/>
      <c r="H676" s="120"/>
      <c r="I676" s="120"/>
      <c r="J676" s="120"/>
      <c r="K676" s="957"/>
      <c r="L676" s="120"/>
      <c r="M676" s="120"/>
      <c r="N676" s="120"/>
      <c r="O676" s="120"/>
      <c r="P676" s="957"/>
      <c r="Q676" s="120"/>
      <c r="R676" s="120"/>
      <c r="S676" s="120"/>
      <c r="T676" s="120"/>
      <c r="U676" s="957"/>
      <c r="V676" s="120"/>
      <c r="W676" s="120"/>
      <c r="X676" s="120"/>
      <c r="Y676" s="120"/>
      <c r="Z676" s="957"/>
      <c r="AA676" s="120"/>
      <c r="AB676" s="120"/>
      <c r="AC676" s="120"/>
      <c r="AD676" s="120"/>
      <c r="AE676" s="957"/>
      <c r="AF676" s="120"/>
      <c r="AG676" s="120"/>
      <c r="AH676" s="120"/>
      <c r="AI676" s="120"/>
      <c r="AJ676" s="957"/>
      <c r="AK676" s="120"/>
      <c r="AL676" s="120"/>
      <c r="AM676" s="120"/>
      <c r="AN676" s="120"/>
      <c r="AO676" s="957">
        <f>SUM(AO669:AO675)</f>
        <v>736</v>
      </c>
      <c r="AP676" s="120"/>
      <c r="AQ676" s="120"/>
      <c r="AR676" s="120"/>
      <c r="AS676" s="120"/>
      <c r="AT676" s="957">
        <f>SUM(AT669:AT675)</f>
        <v>329</v>
      </c>
      <c r="AU676" s="120"/>
      <c r="AV676" s="120"/>
      <c r="AW676" s="120"/>
      <c r="AX676" s="120"/>
      <c r="AY676" s="957">
        <f>SUM(AY669:AY675)</f>
        <v>455</v>
      </c>
      <c r="AZ676" s="120"/>
      <c r="BA676" s="120"/>
      <c r="BB676" s="120"/>
      <c r="BC676" s="120"/>
      <c r="BD676" s="957">
        <f>SUM(BD669:BD675)</f>
        <v>545</v>
      </c>
      <c r="BE676" s="120"/>
      <c r="BF676" s="120"/>
      <c r="BG676" s="120"/>
      <c r="BH676" s="120"/>
      <c r="BI676" s="957">
        <f>SUM(BI669:BI675)</f>
        <v>574</v>
      </c>
      <c r="BJ676" s="120"/>
      <c r="BK676" s="120"/>
      <c r="BL676" s="120"/>
      <c r="BM676" s="120"/>
      <c r="BN676" s="957">
        <f>SUM(BN669:BN675)</f>
        <v>314</v>
      </c>
      <c r="BO676" s="120"/>
      <c r="BP676" s="120"/>
      <c r="BQ676" s="120"/>
      <c r="BR676" s="120"/>
      <c r="BS676" s="957">
        <f>SUM(BS669:BS675)</f>
        <v>527</v>
      </c>
      <c r="BT676" s="694"/>
      <c r="BU676" s="120"/>
      <c r="BV676" s="120"/>
      <c r="BW676" s="120"/>
      <c r="BX676" s="957"/>
      <c r="BY676" s="120"/>
      <c r="BZ676" s="120"/>
      <c r="CA676" s="120"/>
      <c r="CB676" s="120"/>
      <c r="CC676" s="957"/>
      <c r="CD676" s="957"/>
      <c r="CE676" s="957"/>
      <c r="CF676" s="957"/>
      <c r="CG676" s="615"/>
    </row>
    <row r="677" spans="1:85" s="461" customFormat="1" ht="14.4" hidden="1" outlineLevel="1" x14ac:dyDescent="0.3">
      <c r="A677" s="166" t="s">
        <v>1426</v>
      </c>
      <c r="B677" s="583"/>
      <c r="C677" s="957"/>
      <c r="D677" s="957"/>
      <c r="E677" s="957"/>
      <c r="F677" s="957"/>
      <c r="G677" s="120"/>
      <c r="H677" s="120"/>
      <c r="I677" s="120"/>
      <c r="J677" s="120"/>
      <c r="K677" s="957"/>
      <c r="L677" s="120"/>
      <c r="M677" s="120"/>
      <c r="N677" s="120"/>
      <c r="O677" s="120"/>
      <c r="P677" s="957"/>
      <c r="Q677" s="120"/>
      <c r="R677" s="120"/>
      <c r="S677" s="120"/>
      <c r="T677" s="120"/>
      <c r="U677" s="957"/>
      <c r="V677" s="120"/>
      <c r="W677" s="120"/>
      <c r="X677" s="120"/>
      <c r="Y677" s="120"/>
      <c r="Z677" s="957"/>
      <c r="AA677" s="120"/>
      <c r="AB677" s="120"/>
      <c r="AC677" s="120"/>
      <c r="AD677" s="120"/>
      <c r="AE677" s="957"/>
      <c r="AF677" s="120"/>
      <c r="AG677" s="120"/>
      <c r="AH677" s="120"/>
      <c r="AI677" s="120"/>
      <c r="AJ677" s="957"/>
      <c r="AK677" s="120"/>
      <c r="AL677" s="120"/>
      <c r="AM677" s="120"/>
      <c r="AN677" s="120"/>
      <c r="AO677" s="983">
        <v>2815</v>
      </c>
      <c r="AP677" s="120"/>
      <c r="AQ677" s="120"/>
      <c r="AR677" s="120"/>
      <c r="AS677" s="120"/>
      <c r="AT677" s="983">
        <v>2758</v>
      </c>
      <c r="AU677" s="120"/>
      <c r="AV677" s="120"/>
      <c r="AW677" s="120"/>
      <c r="AX677" s="120"/>
      <c r="AY677" s="983">
        <v>2837</v>
      </c>
      <c r="AZ677" s="120"/>
      <c r="BA677" s="120"/>
      <c r="BB677" s="120"/>
      <c r="BC677" s="120"/>
      <c r="BD677" s="983">
        <v>2796</v>
      </c>
      <c r="BE677" s="120"/>
      <c r="BF677" s="120"/>
      <c r="BG677" s="120"/>
      <c r="BH677" s="120"/>
      <c r="BI677" s="983">
        <v>2490</v>
      </c>
      <c r="BJ677" s="120"/>
      <c r="BK677" s="120"/>
      <c r="BL677" s="120"/>
      <c r="BM677" s="120"/>
      <c r="BN677" s="983">
        <v>2257</v>
      </c>
      <c r="BO677" s="120"/>
      <c r="BP677" s="120"/>
      <c r="BQ677" s="120"/>
      <c r="BR677" s="120"/>
      <c r="BS677" s="983">
        <v>2194</v>
      </c>
      <c r="BT677" s="694"/>
      <c r="BU677" s="120"/>
      <c r="BV677" s="120"/>
      <c r="BW677" s="120"/>
      <c r="BX677" s="957"/>
      <c r="BY677" s="120"/>
      <c r="BZ677" s="120"/>
      <c r="CA677" s="120"/>
      <c r="CB677" s="120"/>
      <c r="CC677" s="957"/>
      <c r="CD677" s="957"/>
      <c r="CE677" s="957"/>
      <c r="CF677" s="957"/>
      <c r="CG677" s="615"/>
    </row>
    <row r="678" spans="1:85" s="460" customFormat="1" ht="14.4" hidden="1" outlineLevel="1" x14ac:dyDescent="0.3">
      <c r="A678" s="159" t="s">
        <v>1427</v>
      </c>
      <c r="B678" s="586"/>
      <c r="C678" s="150"/>
      <c r="D678" s="150"/>
      <c r="E678" s="150"/>
      <c r="F678" s="150"/>
      <c r="G678" s="117"/>
      <c r="H678" s="117"/>
      <c r="I678" s="117"/>
      <c r="J678" s="117"/>
      <c r="K678" s="150"/>
      <c r="L678" s="117"/>
      <c r="M678" s="117"/>
      <c r="N678" s="117"/>
      <c r="O678" s="117"/>
      <c r="P678" s="150"/>
      <c r="Q678" s="117"/>
      <c r="R678" s="117"/>
      <c r="S678" s="117"/>
      <c r="T678" s="117"/>
      <c r="U678" s="150"/>
      <c r="V678" s="117"/>
      <c r="W678" s="117"/>
      <c r="X678" s="117"/>
      <c r="Y678" s="117"/>
      <c r="Z678" s="150"/>
      <c r="AA678" s="117"/>
      <c r="AB678" s="117"/>
      <c r="AC678" s="117"/>
      <c r="AD678" s="117"/>
      <c r="AE678" s="150"/>
      <c r="AF678" s="117"/>
      <c r="AG678" s="117"/>
      <c r="AH678" s="117"/>
      <c r="AI678" s="117"/>
      <c r="AJ678" s="150"/>
      <c r="AK678" s="117"/>
      <c r="AL678" s="117"/>
      <c r="AM678" s="117"/>
      <c r="AN678" s="117"/>
      <c r="AO678" s="975">
        <v>46</v>
      </c>
      <c r="AP678" s="117"/>
      <c r="AQ678" s="117"/>
      <c r="AR678" s="117"/>
      <c r="AS678" s="117"/>
      <c r="AT678" s="975">
        <v>-229</v>
      </c>
      <c r="AU678" s="117"/>
      <c r="AV678" s="117"/>
      <c r="AW678" s="117"/>
      <c r="AX678" s="117"/>
      <c r="AY678" s="975">
        <v>147</v>
      </c>
      <c r="AZ678" s="117"/>
      <c r="BA678" s="117"/>
      <c r="BB678" s="117"/>
      <c r="BC678" s="117"/>
      <c r="BD678" s="975">
        <v>-118</v>
      </c>
      <c r="BE678" s="117"/>
      <c r="BF678" s="117"/>
      <c r="BG678" s="117"/>
      <c r="BH678" s="117"/>
      <c r="BI678" s="975">
        <v>-154</v>
      </c>
      <c r="BJ678" s="117"/>
      <c r="BK678" s="117"/>
      <c r="BL678" s="117"/>
      <c r="BM678" s="117"/>
      <c r="BN678" s="975">
        <v>-19</v>
      </c>
      <c r="BO678" s="117"/>
      <c r="BP678" s="117"/>
      <c r="BQ678" s="117"/>
      <c r="BR678" s="117"/>
      <c r="BS678" s="975">
        <v>-83</v>
      </c>
      <c r="BT678" s="691"/>
      <c r="BU678" s="117"/>
      <c r="BV678" s="117"/>
      <c r="BW678" s="117"/>
      <c r="BX678" s="150"/>
      <c r="BY678" s="117"/>
      <c r="BZ678" s="117"/>
      <c r="CA678" s="117"/>
      <c r="CB678" s="117"/>
      <c r="CC678" s="150"/>
      <c r="CD678" s="150"/>
      <c r="CE678" s="150"/>
      <c r="CF678" s="150"/>
      <c r="CG678" s="587"/>
    </row>
    <row r="679" spans="1:85" s="460" customFormat="1" ht="14.4" hidden="1" outlineLevel="1" x14ac:dyDescent="0.3">
      <c r="A679" s="159" t="s">
        <v>1428</v>
      </c>
      <c r="B679" s="586"/>
      <c r="C679" s="150"/>
      <c r="D679" s="150"/>
      <c r="E679" s="150"/>
      <c r="F679" s="150"/>
      <c r="G679" s="117"/>
      <c r="H679" s="117"/>
      <c r="I679" s="117"/>
      <c r="J679" s="117"/>
      <c r="K679" s="150"/>
      <c r="L679" s="117"/>
      <c r="M679" s="117"/>
      <c r="N679" s="117"/>
      <c r="O679" s="117"/>
      <c r="P679" s="150"/>
      <c r="Q679" s="117"/>
      <c r="R679" s="117"/>
      <c r="S679" s="117"/>
      <c r="T679" s="117"/>
      <c r="U679" s="150"/>
      <c r="V679" s="117"/>
      <c r="W679" s="117"/>
      <c r="X679" s="117"/>
      <c r="Y679" s="117"/>
      <c r="Z679" s="150"/>
      <c r="AA679" s="117"/>
      <c r="AB679" s="117"/>
      <c r="AC679" s="117"/>
      <c r="AD679" s="117"/>
      <c r="AE679" s="150"/>
      <c r="AF679" s="117"/>
      <c r="AG679" s="117"/>
      <c r="AH679" s="117"/>
      <c r="AI679" s="117"/>
      <c r="AJ679" s="150"/>
      <c r="AK679" s="117"/>
      <c r="AL679" s="117"/>
      <c r="AM679" s="117"/>
      <c r="AN679" s="117"/>
      <c r="AO679" s="975">
        <v>0</v>
      </c>
      <c r="AP679" s="117"/>
      <c r="AQ679" s="117"/>
      <c r="AR679" s="117"/>
      <c r="AS679" s="117"/>
      <c r="AT679" s="975">
        <v>0</v>
      </c>
      <c r="AU679" s="117"/>
      <c r="AV679" s="117"/>
      <c r="AW679" s="117"/>
      <c r="AX679" s="117"/>
      <c r="AY679" s="975">
        <v>0</v>
      </c>
      <c r="AZ679" s="117"/>
      <c r="BA679" s="117"/>
      <c r="BB679" s="117"/>
      <c r="BC679" s="117"/>
      <c r="BD679" s="975">
        <v>0</v>
      </c>
      <c r="BE679" s="117"/>
      <c r="BF679" s="117"/>
      <c r="BG679" s="117"/>
      <c r="BH679" s="117"/>
      <c r="BI679" s="975">
        <v>0</v>
      </c>
      <c r="BJ679" s="117"/>
      <c r="BK679" s="117"/>
      <c r="BL679" s="117"/>
      <c r="BM679" s="117"/>
      <c r="BN679" s="975">
        <v>0</v>
      </c>
      <c r="BO679" s="117"/>
      <c r="BP679" s="117"/>
      <c r="BQ679" s="117"/>
      <c r="BR679" s="117"/>
      <c r="BS679" s="975">
        <v>0</v>
      </c>
      <c r="BT679" s="691"/>
      <c r="BU679" s="117"/>
      <c r="BV679" s="117"/>
      <c r="BW679" s="117"/>
      <c r="BX679" s="150"/>
      <c r="BY679" s="117"/>
      <c r="BZ679" s="117"/>
      <c r="CA679" s="117"/>
      <c r="CB679" s="117"/>
      <c r="CC679" s="150"/>
      <c r="CD679" s="150"/>
      <c r="CE679" s="150"/>
      <c r="CF679" s="150"/>
      <c r="CG679" s="587"/>
    </row>
    <row r="680" spans="1:85" s="460" customFormat="1" ht="14.4" hidden="1" outlineLevel="1" x14ac:dyDescent="0.3">
      <c r="A680" s="159" t="s">
        <v>1429</v>
      </c>
      <c r="B680" s="586"/>
      <c r="C680" s="150"/>
      <c r="D680" s="150"/>
      <c r="E680" s="150"/>
      <c r="F680" s="150"/>
      <c r="G680" s="117"/>
      <c r="H680" s="117"/>
      <c r="I680" s="117"/>
      <c r="J680" s="117"/>
      <c r="K680" s="150"/>
      <c r="L680" s="117"/>
      <c r="M680" s="117"/>
      <c r="N680" s="117"/>
      <c r="O680" s="117"/>
      <c r="P680" s="150"/>
      <c r="Q680" s="117"/>
      <c r="R680" s="117"/>
      <c r="S680" s="117"/>
      <c r="T680" s="117"/>
      <c r="U680" s="150"/>
      <c r="V680" s="117"/>
      <c r="W680" s="117"/>
      <c r="X680" s="117"/>
      <c r="Y680" s="117"/>
      <c r="Z680" s="150"/>
      <c r="AA680" s="117"/>
      <c r="AB680" s="117"/>
      <c r="AC680" s="117"/>
      <c r="AD680" s="117"/>
      <c r="AE680" s="150"/>
      <c r="AF680" s="117"/>
      <c r="AG680" s="117"/>
      <c r="AH680" s="117"/>
      <c r="AI680" s="117"/>
      <c r="AJ680" s="150"/>
      <c r="AK680" s="117"/>
      <c r="AL680" s="117"/>
      <c r="AM680" s="117"/>
      <c r="AN680" s="117"/>
      <c r="AO680" s="975">
        <v>0</v>
      </c>
      <c r="AP680" s="117"/>
      <c r="AQ680" s="117"/>
      <c r="AR680" s="117"/>
      <c r="AS680" s="117"/>
      <c r="AT680" s="975">
        <v>2</v>
      </c>
      <c r="AU680" s="117"/>
      <c r="AV680" s="117"/>
      <c r="AW680" s="117"/>
      <c r="AX680" s="117"/>
      <c r="AY680" s="975">
        <v>0</v>
      </c>
      <c r="AZ680" s="117"/>
      <c r="BA680" s="117"/>
      <c r="BB680" s="117"/>
      <c r="BC680" s="117"/>
      <c r="BD680" s="975">
        <v>0</v>
      </c>
      <c r="BE680" s="117"/>
      <c r="BF680" s="117"/>
      <c r="BG680" s="117"/>
      <c r="BH680" s="117"/>
      <c r="BI680" s="975">
        <v>0</v>
      </c>
      <c r="BJ680" s="117"/>
      <c r="BK680" s="117"/>
      <c r="BL680" s="117"/>
      <c r="BM680" s="117"/>
      <c r="BN680" s="975">
        <v>83</v>
      </c>
      <c r="BO680" s="117"/>
      <c r="BP680" s="117"/>
      <c r="BQ680" s="117"/>
      <c r="BR680" s="117"/>
      <c r="BS680" s="975">
        <v>5</v>
      </c>
      <c r="BT680" s="691"/>
      <c r="BU680" s="117"/>
      <c r="BV680" s="117"/>
      <c r="BW680" s="117"/>
      <c r="BX680" s="150"/>
      <c r="BY680" s="117"/>
      <c r="BZ680" s="117"/>
      <c r="CA680" s="117"/>
      <c r="CB680" s="117"/>
      <c r="CC680" s="150"/>
      <c r="CD680" s="150"/>
      <c r="CE680" s="150"/>
      <c r="CF680" s="150"/>
      <c r="CG680" s="587"/>
    </row>
    <row r="681" spans="1:85" s="460" customFormat="1" ht="14.4" hidden="1" outlineLevel="1" x14ac:dyDescent="0.3">
      <c r="A681" s="159" t="s">
        <v>1430</v>
      </c>
      <c r="B681" s="586"/>
      <c r="C681" s="150"/>
      <c r="D681" s="150"/>
      <c r="E681" s="150"/>
      <c r="F681" s="150"/>
      <c r="G681" s="117"/>
      <c r="H681" s="117"/>
      <c r="I681" s="117"/>
      <c r="J681" s="117"/>
      <c r="K681" s="150"/>
      <c r="L681" s="117"/>
      <c r="M681" s="117"/>
      <c r="N681" s="117"/>
      <c r="O681" s="117"/>
      <c r="P681" s="150"/>
      <c r="Q681" s="117"/>
      <c r="R681" s="117"/>
      <c r="S681" s="117"/>
      <c r="T681" s="117"/>
      <c r="U681" s="150"/>
      <c r="V681" s="117"/>
      <c r="W681" s="117"/>
      <c r="X681" s="117"/>
      <c r="Y681" s="117"/>
      <c r="Z681" s="150"/>
      <c r="AA681" s="117"/>
      <c r="AB681" s="117"/>
      <c r="AC681" s="117"/>
      <c r="AD681" s="117"/>
      <c r="AE681" s="150"/>
      <c r="AF681" s="117"/>
      <c r="AG681" s="117"/>
      <c r="AH681" s="117"/>
      <c r="AI681" s="117"/>
      <c r="AJ681" s="150"/>
      <c r="AK681" s="117"/>
      <c r="AL681" s="117"/>
      <c r="AM681" s="117"/>
      <c r="AN681" s="117"/>
      <c r="AO681" s="975">
        <v>0</v>
      </c>
      <c r="AP681" s="117"/>
      <c r="AQ681" s="117"/>
      <c r="AR681" s="117"/>
      <c r="AS681" s="117"/>
      <c r="AT681" s="975">
        <v>441</v>
      </c>
      <c r="AU681" s="117"/>
      <c r="AV681" s="117"/>
      <c r="AW681" s="117"/>
      <c r="AX681" s="117"/>
      <c r="AY681" s="975">
        <v>0</v>
      </c>
      <c r="AZ681" s="117"/>
      <c r="BA681" s="117"/>
      <c r="BB681" s="117"/>
      <c r="BC681" s="117"/>
      <c r="BD681" s="975">
        <v>30</v>
      </c>
      <c r="BE681" s="117"/>
      <c r="BF681" s="117"/>
      <c r="BG681" s="117"/>
      <c r="BH681" s="117"/>
      <c r="BI681" s="975">
        <v>97</v>
      </c>
      <c r="BJ681" s="117"/>
      <c r="BK681" s="117"/>
      <c r="BL681" s="117"/>
      <c r="BM681" s="117"/>
      <c r="BN681" s="975">
        <v>32</v>
      </c>
      <c r="BO681" s="117"/>
      <c r="BP681" s="117"/>
      <c r="BQ681" s="117"/>
      <c r="BR681" s="117"/>
      <c r="BS681" s="975">
        <v>0</v>
      </c>
      <c r="BT681" s="691"/>
      <c r="BU681" s="117"/>
      <c r="BV681" s="117"/>
      <c r="BW681" s="117"/>
      <c r="BX681" s="150"/>
      <c r="BY681" s="117"/>
      <c r="BZ681" s="117"/>
      <c r="CA681" s="117"/>
      <c r="CB681" s="117"/>
      <c r="CC681" s="150"/>
      <c r="CD681" s="150"/>
      <c r="CE681" s="150"/>
      <c r="CF681" s="150"/>
      <c r="CG681" s="587"/>
    </row>
    <row r="682" spans="1:85" s="460" customFormat="1" ht="14.4" hidden="1" outlineLevel="1" x14ac:dyDescent="0.3">
      <c r="A682" s="159" t="s">
        <v>1431</v>
      </c>
      <c r="B682" s="586"/>
      <c r="C682" s="150"/>
      <c r="D682" s="150"/>
      <c r="E682" s="150"/>
      <c r="F682" s="150"/>
      <c r="G682" s="117"/>
      <c r="H682" s="117"/>
      <c r="I682" s="117"/>
      <c r="J682" s="117"/>
      <c r="K682" s="150"/>
      <c r="L682" s="117"/>
      <c r="M682" s="117"/>
      <c r="N682" s="117"/>
      <c r="O682" s="117"/>
      <c r="P682" s="150"/>
      <c r="Q682" s="117"/>
      <c r="R682" s="117"/>
      <c r="S682" s="117"/>
      <c r="T682" s="117"/>
      <c r="U682" s="150"/>
      <c r="V682" s="117"/>
      <c r="W682" s="117"/>
      <c r="X682" s="117"/>
      <c r="Y682" s="117"/>
      <c r="Z682" s="150"/>
      <c r="AA682" s="117"/>
      <c r="AB682" s="117"/>
      <c r="AC682" s="117"/>
      <c r="AD682" s="117"/>
      <c r="AE682" s="150"/>
      <c r="AF682" s="117"/>
      <c r="AG682" s="117"/>
      <c r="AH682" s="117"/>
      <c r="AI682" s="117"/>
      <c r="AJ682" s="150"/>
      <c r="AK682" s="117"/>
      <c r="AL682" s="117"/>
      <c r="AM682" s="117"/>
      <c r="AN682" s="117"/>
      <c r="AO682" s="975">
        <v>0</v>
      </c>
      <c r="AP682" s="117"/>
      <c r="AQ682" s="117"/>
      <c r="AR682" s="117"/>
      <c r="AS682" s="117"/>
      <c r="AT682" s="975">
        <v>0</v>
      </c>
      <c r="AU682" s="117"/>
      <c r="AV682" s="117"/>
      <c r="AW682" s="117"/>
      <c r="AX682" s="117"/>
      <c r="AY682" s="975">
        <v>0</v>
      </c>
      <c r="AZ682" s="117"/>
      <c r="BA682" s="117"/>
      <c r="BB682" s="117"/>
      <c r="BC682" s="117"/>
      <c r="BD682" s="975">
        <v>-11</v>
      </c>
      <c r="BE682" s="117"/>
      <c r="BF682" s="117"/>
      <c r="BG682" s="117"/>
      <c r="BH682" s="117"/>
      <c r="BI682" s="975">
        <v>0</v>
      </c>
      <c r="BJ682" s="117"/>
      <c r="BK682" s="117"/>
      <c r="BL682" s="117"/>
      <c r="BM682" s="117"/>
      <c r="BN682" s="975">
        <v>0</v>
      </c>
      <c r="BO682" s="117"/>
      <c r="BP682" s="117"/>
      <c r="BQ682" s="117"/>
      <c r="BR682" s="117"/>
      <c r="BS682" s="975">
        <v>-24</v>
      </c>
      <c r="BT682" s="691"/>
      <c r="BU682" s="117"/>
      <c r="BV682" s="117"/>
      <c r="BW682" s="117"/>
      <c r="BX682" s="150"/>
      <c r="BY682" s="117"/>
      <c r="BZ682" s="117"/>
      <c r="CA682" s="117"/>
      <c r="CB682" s="117"/>
      <c r="CC682" s="150"/>
      <c r="CD682" s="150"/>
      <c r="CE682" s="150"/>
      <c r="CF682" s="150"/>
      <c r="CG682" s="587"/>
    </row>
    <row r="683" spans="1:85" s="460" customFormat="1" ht="14.4" hidden="1" outlineLevel="1" x14ac:dyDescent="0.3">
      <c r="A683" s="262" t="s">
        <v>1432</v>
      </c>
      <c r="B683" s="588"/>
      <c r="C683" s="954"/>
      <c r="D683" s="954"/>
      <c r="E683" s="954"/>
      <c r="F683" s="954"/>
      <c r="G683" s="133"/>
      <c r="H683" s="133"/>
      <c r="I683" s="133"/>
      <c r="J683" s="133"/>
      <c r="K683" s="954"/>
      <c r="L683" s="133"/>
      <c r="M683" s="133"/>
      <c r="N683" s="133"/>
      <c r="O683" s="133"/>
      <c r="P683" s="954"/>
      <c r="Q683" s="133"/>
      <c r="R683" s="133"/>
      <c r="S683" s="133"/>
      <c r="T683" s="133"/>
      <c r="U683" s="954"/>
      <c r="V683" s="133"/>
      <c r="W683" s="133"/>
      <c r="X683" s="133"/>
      <c r="Y683" s="133"/>
      <c r="Z683" s="954"/>
      <c r="AA683" s="133"/>
      <c r="AB683" s="133"/>
      <c r="AC683" s="133"/>
      <c r="AD683" s="133"/>
      <c r="AE683" s="954"/>
      <c r="AF683" s="133"/>
      <c r="AG683" s="133"/>
      <c r="AH683" s="133"/>
      <c r="AI683" s="133"/>
      <c r="AJ683" s="954"/>
      <c r="AK683" s="133"/>
      <c r="AL683" s="133"/>
      <c r="AM683" s="133"/>
      <c r="AN683" s="133"/>
      <c r="AO683" s="976">
        <v>-103</v>
      </c>
      <c r="AP683" s="133"/>
      <c r="AQ683" s="133"/>
      <c r="AR683" s="133"/>
      <c r="AS683" s="133"/>
      <c r="AT683" s="976">
        <v>-135</v>
      </c>
      <c r="AU683" s="133"/>
      <c r="AV683" s="133"/>
      <c r="AW683" s="133"/>
      <c r="AX683" s="133"/>
      <c r="AY683" s="976">
        <v>-188</v>
      </c>
      <c r="AZ683" s="133"/>
      <c r="BA683" s="133"/>
      <c r="BB683" s="133"/>
      <c r="BC683" s="133"/>
      <c r="BD683" s="976">
        <v>-207</v>
      </c>
      <c r="BE683" s="133"/>
      <c r="BF683" s="133"/>
      <c r="BG683" s="133"/>
      <c r="BH683" s="133"/>
      <c r="BI683" s="976">
        <v>-176</v>
      </c>
      <c r="BJ683" s="133"/>
      <c r="BK683" s="133"/>
      <c r="BL683" s="133"/>
      <c r="BM683" s="133"/>
      <c r="BN683" s="976">
        <v>-159</v>
      </c>
      <c r="BO683" s="133"/>
      <c r="BP683" s="133"/>
      <c r="BQ683" s="133"/>
      <c r="BR683" s="133"/>
      <c r="BS683" s="976">
        <v>-154</v>
      </c>
      <c r="BT683" s="692"/>
      <c r="BU683" s="133"/>
      <c r="BV683" s="133"/>
      <c r="BW683" s="133"/>
      <c r="BX683" s="954"/>
      <c r="BY683" s="133"/>
      <c r="BZ683" s="133"/>
      <c r="CA683" s="133"/>
      <c r="CB683" s="133"/>
      <c r="CC683" s="954"/>
      <c r="CD683" s="954"/>
      <c r="CE683" s="954"/>
      <c r="CF683" s="954"/>
      <c r="CG683" s="587"/>
    </row>
    <row r="684" spans="1:85" s="461" customFormat="1" ht="14.4" hidden="1" outlineLevel="1" x14ac:dyDescent="0.3">
      <c r="A684" s="166" t="s">
        <v>1433</v>
      </c>
      <c r="B684" s="583"/>
      <c r="C684" s="957"/>
      <c r="D684" s="957"/>
      <c r="E684" s="957"/>
      <c r="F684" s="957"/>
      <c r="G684" s="120"/>
      <c r="H684" s="120"/>
      <c r="I684" s="120"/>
      <c r="J684" s="120"/>
      <c r="K684" s="957"/>
      <c r="L684" s="120"/>
      <c r="M684" s="120"/>
      <c r="N684" s="120"/>
      <c r="O684" s="120"/>
      <c r="P684" s="957"/>
      <c r="Q684" s="120"/>
      <c r="R684" s="120"/>
      <c r="S684" s="120"/>
      <c r="T684" s="120"/>
      <c r="U684" s="957"/>
      <c r="V684" s="120"/>
      <c r="W684" s="120"/>
      <c r="X684" s="120"/>
      <c r="Y684" s="120"/>
      <c r="Z684" s="957"/>
      <c r="AA684" s="120"/>
      <c r="AB684" s="120"/>
      <c r="AC684" s="120"/>
      <c r="AD684" s="120"/>
      <c r="AE684" s="957"/>
      <c r="AF684" s="120"/>
      <c r="AG684" s="120"/>
      <c r="AH684" s="120"/>
      <c r="AI684" s="120"/>
      <c r="AJ684" s="957"/>
      <c r="AK684" s="120"/>
      <c r="AL684" s="120"/>
      <c r="AM684" s="120"/>
      <c r="AN684" s="120"/>
      <c r="AO684" s="957">
        <f>SUM(AO677:AO683)</f>
        <v>2758</v>
      </c>
      <c r="AP684" s="120"/>
      <c r="AQ684" s="120"/>
      <c r="AR684" s="120"/>
      <c r="AS684" s="120"/>
      <c r="AT684" s="957">
        <f>SUM(AT677:AT683)</f>
        <v>2837</v>
      </c>
      <c r="AU684" s="120"/>
      <c r="AV684" s="120"/>
      <c r="AW684" s="120"/>
      <c r="AX684" s="120"/>
      <c r="AY684" s="957">
        <f>SUM(AY677:AY683)</f>
        <v>2796</v>
      </c>
      <c r="AZ684" s="120"/>
      <c r="BA684" s="120"/>
      <c r="BB684" s="120"/>
      <c r="BC684" s="120"/>
      <c r="BD684" s="957">
        <f>SUM(BD677:BD683)</f>
        <v>2490</v>
      </c>
      <c r="BE684" s="120"/>
      <c r="BF684" s="120"/>
      <c r="BG684" s="120"/>
      <c r="BH684" s="120"/>
      <c r="BI684" s="957">
        <f>SUM(BI677:BI683)</f>
        <v>2257</v>
      </c>
      <c r="BJ684" s="120"/>
      <c r="BK684" s="120"/>
      <c r="BL684" s="120"/>
      <c r="BM684" s="120"/>
      <c r="BN684" s="957">
        <f>SUM(BN677:BN683)</f>
        <v>2194</v>
      </c>
      <c r="BO684" s="120"/>
      <c r="BP684" s="120"/>
      <c r="BQ684" s="120"/>
      <c r="BR684" s="120"/>
      <c r="BS684" s="957">
        <f>SUM(BS677:BS683)</f>
        <v>1938</v>
      </c>
      <c r="BT684" s="694"/>
      <c r="BU684" s="120"/>
      <c r="BV684" s="120"/>
      <c r="BW684" s="120"/>
      <c r="BX684" s="957"/>
      <c r="BY684" s="120"/>
      <c r="BZ684" s="120"/>
      <c r="CA684" s="120"/>
      <c r="CB684" s="120"/>
      <c r="CC684" s="957"/>
      <c r="CD684" s="957"/>
      <c r="CE684" s="957"/>
      <c r="CF684" s="957"/>
      <c r="CG684" s="615"/>
    </row>
    <row r="685" spans="1:85" s="461" customFormat="1" ht="14.4" hidden="1" outlineLevel="1" x14ac:dyDescent="0.3">
      <c r="A685" s="166" t="s">
        <v>1434</v>
      </c>
      <c r="B685" s="583"/>
      <c r="C685" s="957"/>
      <c r="D685" s="957"/>
      <c r="E685" s="957"/>
      <c r="F685" s="957"/>
      <c r="G685" s="120"/>
      <c r="H685" s="120"/>
      <c r="I685" s="120"/>
      <c r="J685" s="120"/>
      <c r="K685" s="957"/>
      <c r="L685" s="120"/>
      <c r="M685" s="120"/>
      <c r="N685" s="120"/>
      <c r="O685" s="120"/>
      <c r="P685" s="957"/>
      <c r="Q685" s="120"/>
      <c r="R685" s="120"/>
      <c r="S685" s="120"/>
      <c r="T685" s="120"/>
      <c r="U685" s="957"/>
      <c r="V685" s="120"/>
      <c r="W685" s="120"/>
      <c r="X685" s="120"/>
      <c r="Y685" s="120"/>
      <c r="Z685" s="957"/>
      <c r="AA685" s="120"/>
      <c r="AB685" s="120"/>
      <c r="AC685" s="120"/>
      <c r="AD685" s="120"/>
      <c r="AE685" s="957"/>
      <c r="AF685" s="120"/>
      <c r="AG685" s="120"/>
      <c r="AH685" s="120"/>
      <c r="AI685" s="120"/>
      <c r="AJ685" s="957"/>
      <c r="AK685" s="120"/>
      <c r="AL685" s="120"/>
      <c r="AM685" s="120"/>
      <c r="AN685" s="120"/>
      <c r="AO685" s="983">
        <v>4310</v>
      </c>
      <c r="AP685" s="120"/>
      <c r="AQ685" s="120"/>
      <c r="AR685" s="120"/>
      <c r="AS685" s="120"/>
      <c r="AT685" s="983">
        <v>3681</v>
      </c>
      <c r="AU685" s="120"/>
      <c r="AV685" s="120"/>
      <c r="AW685" s="120"/>
      <c r="AX685" s="120"/>
      <c r="AY685" s="983">
        <v>8183</v>
      </c>
      <c r="AZ685" s="120"/>
      <c r="BA685" s="120"/>
      <c r="BB685" s="120"/>
      <c r="BC685" s="120"/>
      <c r="BD685" s="983">
        <v>7473</v>
      </c>
      <c r="BE685" s="120"/>
      <c r="BF685" s="120"/>
      <c r="BG685" s="120"/>
      <c r="BH685" s="120"/>
      <c r="BI685" s="983">
        <v>8537</v>
      </c>
      <c r="BJ685" s="120"/>
      <c r="BK685" s="120"/>
      <c r="BL685" s="120"/>
      <c r="BM685" s="120"/>
      <c r="BN685" s="983">
        <v>8393</v>
      </c>
      <c r="BO685" s="120"/>
      <c r="BP685" s="120"/>
      <c r="BQ685" s="120"/>
      <c r="BR685" s="120"/>
      <c r="BS685" s="983">
        <v>7911</v>
      </c>
      <c r="BT685" s="694"/>
      <c r="BU685" s="120"/>
      <c r="BV685" s="120"/>
      <c r="BW685" s="120"/>
      <c r="BX685" s="957"/>
      <c r="BY685" s="120"/>
      <c r="BZ685" s="120"/>
      <c r="CA685" s="120"/>
      <c r="CB685" s="120"/>
      <c r="CC685" s="957"/>
      <c r="CD685" s="957"/>
      <c r="CE685" s="957"/>
      <c r="CF685" s="957"/>
      <c r="CG685" s="615"/>
    </row>
    <row r="686" spans="1:85" s="460" customFormat="1" ht="14.4" hidden="1" outlineLevel="1" x14ac:dyDescent="0.3">
      <c r="A686" s="159" t="s">
        <v>1435</v>
      </c>
      <c r="B686" s="586"/>
      <c r="C686" s="150"/>
      <c r="D686" s="150"/>
      <c r="E686" s="150"/>
      <c r="F686" s="150"/>
      <c r="G686" s="117"/>
      <c r="H686" s="117"/>
      <c r="I686" s="117"/>
      <c r="J686" s="117"/>
      <c r="K686" s="150"/>
      <c r="L686" s="117"/>
      <c r="M686" s="117"/>
      <c r="N686" s="117"/>
      <c r="O686" s="117"/>
      <c r="P686" s="150"/>
      <c r="Q686" s="117"/>
      <c r="R686" s="117"/>
      <c r="S686" s="117"/>
      <c r="T686" s="117"/>
      <c r="U686" s="150"/>
      <c r="V686" s="117"/>
      <c r="W686" s="117"/>
      <c r="X686" s="117"/>
      <c r="Y686" s="117"/>
      <c r="Z686" s="150"/>
      <c r="AA686" s="117"/>
      <c r="AB686" s="117"/>
      <c r="AC686" s="117"/>
      <c r="AD686" s="117"/>
      <c r="AE686" s="150"/>
      <c r="AF686" s="117"/>
      <c r="AG686" s="117"/>
      <c r="AH686" s="117"/>
      <c r="AI686" s="117"/>
      <c r="AJ686" s="150"/>
      <c r="AK686" s="117"/>
      <c r="AL686" s="117"/>
      <c r="AM686" s="117"/>
      <c r="AN686" s="117"/>
      <c r="AO686" s="975">
        <v>165</v>
      </c>
      <c r="AP686" s="117"/>
      <c r="AQ686" s="117"/>
      <c r="AR686" s="117"/>
      <c r="AS686" s="117"/>
      <c r="AT686" s="975">
        <v>169</v>
      </c>
      <c r="AU686" s="117"/>
      <c r="AV686" s="117"/>
      <c r="AW686" s="117"/>
      <c r="AX686" s="117"/>
      <c r="AY686" s="975">
        <v>119</v>
      </c>
      <c r="AZ686" s="117"/>
      <c r="BA686" s="117"/>
      <c r="BB686" s="117"/>
      <c r="BC686" s="117"/>
      <c r="BD686" s="975">
        <v>1765</v>
      </c>
      <c r="BE686" s="117"/>
      <c r="BF686" s="117"/>
      <c r="BG686" s="117"/>
      <c r="BH686" s="117"/>
      <c r="BI686" s="975">
        <v>481</v>
      </c>
      <c r="BJ686" s="117"/>
      <c r="BK686" s="117"/>
      <c r="BL686" s="117"/>
      <c r="BM686" s="117"/>
      <c r="BN686" s="975">
        <v>118</v>
      </c>
      <c r="BO686" s="117"/>
      <c r="BP686" s="117"/>
      <c r="BQ686" s="117"/>
      <c r="BR686" s="117"/>
      <c r="BS686" s="975">
        <v>479</v>
      </c>
      <c r="BT686" s="691"/>
      <c r="BU686" s="117"/>
      <c r="BV686" s="117"/>
      <c r="BW686" s="117"/>
      <c r="BX686" s="150"/>
      <c r="BY686" s="117"/>
      <c r="BZ686" s="117"/>
      <c r="CA686" s="117"/>
      <c r="CB686" s="117"/>
      <c r="CC686" s="150"/>
      <c r="CD686" s="150"/>
      <c r="CE686" s="150"/>
      <c r="CF686" s="150"/>
      <c r="CG686" s="587"/>
    </row>
    <row r="687" spans="1:85" s="460" customFormat="1" ht="14.4" hidden="1" outlineLevel="1" x14ac:dyDescent="0.3">
      <c r="A687" s="159" t="s">
        <v>1436</v>
      </c>
      <c r="B687" s="586"/>
      <c r="C687" s="150"/>
      <c r="D687" s="150"/>
      <c r="E687" s="150"/>
      <c r="F687" s="150"/>
      <c r="G687" s="117"/>
      <c r="H687" s="117"/>
      <c r="I687" s="117"/>
      <c r="J687" s="117"/>
      <c r="K687" s="150"/>
      <c r="L687" s="117"/>
      <c r="M687" s="117"/>
      <c r="N687" s="117"/>
      <c r="O687" s="117"/>
      <c r="P687" s="150"/>
      <c r="Q687" s="117"/>
      <c r="R687" s="117"/>
      <c r="S687" s="117"/>
      <c r="T687" s="117"/>
      <c r="U687" s="150"/>
      <c r="V687" s="117"/>
      <c r="W687" s="117"/>
      <c r="X687" s="117"/>
      <c r="Y687" s="117"/>
      <c r="Z687" s="150"/>
      <c r="AA687" s="117"/>
      <c r="AB687" s="117"/>
      <c r="AC687" s="117"/>
      <c r="AD687" s="117"/>
      <c r="AE687" s="150"/>
      <c r="AF687" s="117"/>
      <c r="AG687" s="117"/>
      <c r="AH687" s="117"/>
      <c r="AI687" s="117"/>
      <c r="AJ687" s="150"/>
      <c r="AK687" s="117"/>
      <c r="AL687" s="117"/>
      <c r="AM687" s="117"/>
      <c r="AN687" s="117"/>
      <c r="AO687" s="975">
        <v>0</v>
      </c>
      <c r="AP687" s="117"/>
      <c r="AQ687" s="117"/>
      <c r="AR687" s="117"/>
      <c r="AS687" s="117"/>
      <c r="AT687" s="975">
        <v>0</v>
      </c>
      <c r="AU687" s="117"/>
      <c r="AV687" s="117"/>
      <c r="AW687" s="117"/>
      <c r="AX687" s="117"/>
      <c r="AY687" s="975">
        <v>0</v>
      </c>
      <c r="AZ687" s="117"/>
      <c r="BA687" s="117"/>
      <c r="BB687" s="117"/>
      <c r="BC687" s="117"/>
      <c r="BD687" s="975">
        <v>0</v>
      </c>
      <c r="BE687" s="117"/>
      <c r="BF687" s="117"/>
      <c r="BG687" s="117"/>
      <c r="BH687" s="117"/>
      <c r="BI687" s="975">
        <v>0</v>
      </c>
      <c r="BJ687" s="117"/>
      <c r="BK687" s="117"/>
      <c r="BL687" s="117"/>
      <c r="BM687" s="117"/>
      <c r="BN687" s="975">
        <v>0</v>
      </c>
      <c r="BO687" s="117"/>
      <c r="BP687" s="117"/>
      <c r="BQ687" s="117"/>
      <c r="BR687" s="117"/>
      <c r="BS687" s="975">
        <v>0</v>
      </c>
      <c r="BT687" s="691"/>
      <c r="BU687" s="117"/>
      <c r="BV687" s="117"/>
      <c r="BW687" s="117"/>
      <c r="BX687" s="150"/>
      <c r="BY687" s="117"/>
      <c r="BZ687" s="117"/>
      <c r="CA687" s="117"/>
      <c r="CB687" s="117"/>
      <c r="CC687" s="150"/>
      <c r="CD687" s="150"/>
      <c r="CE687" s="150"/>
      <c r="CF687" s="150"/>
      <c r="CG687" s="587"/>
    </row>
    <row r="688" spans="1:85" s="460" customFormat="1" ht="14.4" hidden="1" outlineLevel="1" x14ac:dyDescent="0.3">
      <c r="A688" s="159" t="s">
        <v>1437</v>
      </c>
      <c r="B688" s="586"/>
      <c r="C688" s="150"/>
      <c r="D688" s="150"/>
      <c r="E688" s="150"/>
      <c r="F688" s="150"/>
      <c r="G688" s="117"/>
      <c r="H688" s="117"/>
      <c r="I688" s="117"/>
      <c r="J688" s="117"/>
      <c r="K688" s="150"/>
      <c r="L688" s="117"/>
      <c r="M688" s="117"/>
      <c r="N688" s="117"/>
      <c r="O688" s="117"/>
      <c r="P688" s="150"/>
      <c r="Q688" s="117"/>
      <c r="R688" s="117"/>
      <c r="S688" s="117"/>
      <c r="T688" s="117"/>
      <c r="U688" s="150"/>
      <c r="V688" s="117"/>
      <c r="W688" s="117"/>
      <c r="X688" s="117"/>
      <c r="Y688" s="117"/>
      <c r="Z688" s="150"/>
      <c r="AA688" s="117"/>
      <c r="AB688" s="117"/>
      <c r="AC688" s="117"/>
      <c r="AD688" s="117"/>
      <c r="AE688" s="150"/>
      <c r="AF688" s="117"/>
      <c r="AG688" s="117"/>
      <c r="AH688" s="117"/>
      <c r="AI688" s="117"/>
      <c r="AJ688" s="150"/>
      <c r="AK688" s="117"/>
      <c r="AL688" s="117"/>
      <c r="AM688" s="117"/>
      <c r="AN688" s="117"/>
      <c r="AO688" s="975">
        <v>5</v>
      </c>
      <c r="AP688" s="117"/>
      <c r="AQ688" s="117"/>
      <c r="AR688" s="117"/>
      <c r="AS688" s="117"/>
      <c r="AT688" s="975">
        <v>0</v>
      </c>
      <c r="AU688" s="117"/>
      <c r="AV688" s="117"/>
      <c r="AW688" s="117"/>
      <c r="AX688" s="117"/>
      <c r="AY688" s="975">
        <v>0</v>
      </c>
      <c r="AZ688" s="117"/>
      <c r="BA688" s="117"/>
      <c r="BB688" s="117"/>
      <c r="BC688" s="117"/>
      <c r="BD688" s="975">
        <v>0</v>
      </c>
      <c r="BE688" s="117"/>
      <c r="BF688" s="117"/>
      <c r="BG688" s="117"/>
      <c r="BH688" s="117"/>
      <c r="BI688" s="975">
        <v>0</v>
      </c>
      <c r="BJ688" s="117"/>
      <c r="BK688" s="117"/>
      <c r="BL688" s="117"/>
      <c r="BM688" s="117"/>
      <c r="BN688" s="975">
        <v>0</v>
      </c>
      <c r="BO688" s="117"/>
      <c r="BP688" s="117"/>
      <c r="BQ688" s="117"/>
      <c r="BR688" s="117"/>
      <c r="BS688" s="975">
        <v>0</v>
      </c>
      <c r="BT688" s="691"/>
      <c r="BU688" s="117"/>
      <c r="BV688" s="117"/>
      <c r="BW688" s="117"/>
      <c r="BX688" s="150"/>
      <c r="BY688" s="117"/>
      <c r="BZ688" s="117"/>
      <c r="CA688" s="117"/>
      <c r="CB688" s="117"/>
      <c r="CC688" s="150"/>
      <c r="CD688" s="150"/>
      <c r="CE688" s="150"/>
      <c r="CF688" s="150"/>
      <c r="CG688" s="587"/>
    </row>
    <row r="689" spans="1:85" s="460" customFormat="1" ht="14.4" hidden="1" outlineLevel="1" x14ac:dyDescent="0.3">
      <c r="A689" s="159" t="s">
        <v>1438</v>
      </c>
      <c r="B689" s="586"/>
      <c r="C689" s="150"/>
      <c r="D689" s="150"/>
      <c r="E689" s="150"/>
      <c r="F689" s="150"/>
      <c r="G689" s="117"/>
      <c r="H689" s="117"/>
      <c r="I689" s="117"/>
      <c r="J689" s="117"/>
      <c r="K689" s="150"/>
      <c r="L689" s="117"/>
      <c r="M689" s="117"/>
      <c r="N689" s="117"/>
      <c r="O689" s="117"/>
      <c r="P689" s="150"/>
      <c r="Q689" s="117"/>
      <c r="R689" s="117"/>
      <c r="S689" s="117"/>
      <c r="T689" s="117"/>
      <c r="U689" s="150"/>
      <c r="V689" s="117"/>
      <c r="W689" s="117"/>
      <c r="X689" s="117"/>
      <c r="Y689" s="117"/>
      <c r="Z689" s="150"/>
      <c r="AA689" s="117"/>
      <c r="AB689" s="117"/>
      <c r="AC689" s="117"/>
      <c r="AD689" s="117"/>
      <c r="AE689" s="150"/>
      <c r="AF689" s="117"/>
      <c r="AG689" s="117"/>
      <c r="AH689" s="117"/>
      <c r="AI689" s="117"/>
      <c r="AJ689" s="150"/>
      <c r="AK689" s="117"/>
      <c r="AL689" s="117"/>
      <c r="AM689" s="117"/>
      <c r="AN689" s="117"/>
      <c r="AO689" s="975">
        <v>0</v>
      </c>
      <c r="AP689" s="117"/>
      <c r="AQ689" s="117"/>
      <c r="AR689" s="117"/>
      <c r="AS689" s="117"/>
      <c r="AT689" s="975">
        <v>5350</v>
      </c>
      <c r="AU689" s="117"/>
      <c r="AV689" s="117"/>
      <c r="AW689" s="117"/>
      <c r="AX689" s="117"/>
      <c r="AY689" s="975">
        <v>0</v>
      </c>
      <c r="AZ689" s="117"/>
      <c r="BA689" s="117"/>
      <c r="BB689" s="117"/>
      <c r="BC689" s="117"/>
      <c r="BD689" s="975">
        <v>0</v>
      </c>
      <c r="BE689" s="117"/>
      <c r="BF689" s="117"/>
      <c r="BG689" s="117"/>
      <c r="BH689" s="117"/>
      <c r="BI689" s="975">
        <v>0</v>
      </c>
      <c r="BJ689" s="117"/>
      <c r="BK689" s="117"/>
      <c r="BL689" s="117"/>
      <c r="BM689" s="117"/>
      <c r="BN689" s="975">
        <v>0</v>
      </c>
      <c r="BO689" s="117"/>
      <c r="BP689" s="117"/>
      <c r="BQ689" s="117"/>
      <c r="BR689" s="117"/>
      <c r="BS689" s="975">
        <v>210</v>
      </c>
      <c r="BT689" s="691"/>
      <c r="BU689" s="117"/>
      <c r="BV689" s="117"/>
      <c r="BW689" s="117"/>
      <c r="BX689" s="150"/>
      <c r="BY689" s="117"/>
      <c r="BZ689" s="117"/>
      <c r="CA689" s="117"/>
      <c r="CB689" s="117"/>
      <c r="CC689" s="150"/>
      <c r="CD689" s="150"/>
      <c r="CE689" s="150"/>
      <c r="CF689" s="150"/>
      <c r="CG689" s="587"/>
    </row>
    <row r="690" spans="1:85" s="460" customFormat="1" ht="14.4" hidden="1" outlineLevel="1" x14ac:dyDescent="0.3">
      <c r="A690" s="159" t="s">
        <v>1439</v>
      </c>
      <c r="B690" s="586"/>
      <c r="C690" s="150"/>
      <c r="D690" s="150"/>
      <c r="E690" s="150"/>
      <c r="F690" s="150"/>
      <c r="G690" s="117"/>
      <c r="H690" s="117"/>
      <c r="I690" s="117"/>
      <c r="J690" s="117"/>
      <c r="K690" s="150"/>
      <c r="L690" s="117"/>
      <c r="M690" s="117"/>
      <c r="N690" s="117"/>
      <c r="O690" s="117"/>
      <c r="P690" s="150"/>
      <c r="Q690" s="117"/>
      <c r="R690" s="117"/>
      <c r="S690" s="117"/>
      <c r="T690" s="117"/>
      <c r="U690" s="150"/>
      <c r="V690" s="117"/>
      <c r="W690" s="117"/>
      <c r="X690" s="117"/>
      <c r="Y690" s="117"/>
      <c r="Z690" s="150"/>
      <c r="AA690" s="117"/>
      <c r="AB690" s="117"/>
      <c r="AC690" s="117"/>
      <c r="AD690" s="117"/>
      <c r="AE690" s="150"/>
      <c r="AF690" s="117"/>
      <c r="AG690" s="117"/>
      <c r="AH690" s="117"/>
      <c r="AI690" s="117"/>
      <c r="AJ690" s="150"/>
      <c r="AK690" s="117"/>
      <c r="AL690" s="117"/>
      <c r="AM690" s="117"/>
      <c r="AN690" s="117"/>
      <c r="AO690" s="975">
        <v>0</v>
      </c>
      <c r="AP690" s="117"/>
      <c r="AQ690" s="117"/>
      <c r="AR690" s="117"/>
      <c r="AS690" s="117"/>
      <c r="AT690" s="975">
        <v>-264</v>
      </c>
      <c r="AU690" s="117"/>
      <c r="AV690" s="117"/>
      <c r="AW690" s="117"/>
      <c r="AX690" s="117"/>
      <c r="AY690" s="975">
        <v>0</v>
      </c>
      <c r="AZ690" s="117"/>
      <c r="BA690" s="117"/>
      <c r="BB690" s="117"/>
      <c r="BC690" s="117"/>
      <c r="BD690" s="975">
        <v>0</v>
      </c>
      <c r="BE690" s="117"/>
      <c r="BF690" s="117"/>
      <c r="BG690" s="117"/>
      <c r="BH690" s="117"/>
      <c r="BI690" s="975">
        <v>0</v>
      </c>
      <c r="BJ690" s="117"/>
      <c r="BK690" s="117"/>
      <c r="BL690" s="117"/>
      <c r="BM690" s="117"/>
      <c r="BN690" s="975">
        <v>0</v>
      </c>
      <c r="BO690" s="117"/>
      <c r="BP690" s="117"/>
      <c r="BQ690" s="117"/>
      <c r="BR690" s="117"/>
      <c r="BS690" s="975">
        <v>-87</v>
      </c>
      <c r="BT690" s="691"/>
      <c r="BU690" s="117"/>
      <c r="BV690" s="117"/>
      <c r="BW690" s="117"/>
      <c r="BX690" s="150"/>
      <c r="BY690" s="117"/>
      <c r="BZ690" s="117"/>
      <c r="CA690" s="117"/>
      <c r="CB690" s="117"/>
      <c r="CC690" s="150"/>
      <c r="CD690" s="150"/>
      <c r="CE690" s="150"/>
      <c r="CF690" s="150"/>
      <c r="CG690" s="587"/>
    </row>
    <row r="691" spans="1:85" s="460" customFormat="1" ht="14.4" hidden="1" outlineLevel="1" x14ac:dyDescent="0.3">
      <c r="A691" s="262" t="s">
        <v>1440</v>
      </c>
      <c r="B691" s="588"/>
      <c r="C691" s="954"/>
      <c r="D691" s="954"/>
      <c r="E691" s="954"/>
      <c r="F691" s="954"/>
      <c r="G691" s="133"/>
      <c r="H691" s="133"/>
      <c r="I691" s="133"/>
      <c r="J691" s="133"/>
      <c r="K691" s="954"/>
      <c r="L691" s="133"/>
      <c r="M691" s="133"/>
      <c r="N691" s="133"/>
      <c r="O691" s="133"/>
      <c r="P691" s="954"/>
      <c r="Q691" s="133"/>
      <c r="R691" s="133"/>
      <c r="S691" s="133"/>
      <c r="T691" s="133"/>
      <c r="U691" s="954"/>
      <c r="V691" s="133"/>
      <c r="W691" s="133"/>
      <c r="X691" s="133"/>
      <c r="Y691" s="133"/>
      <c r="Z691" s="954"/>
      <c r="AA691" s="133"/>
      <c r="AB691" s="133"/>
      <c r="AC691" s="133"/>
      <c r="AD691" s="133"/>
      <c r="AE691" s="954"/>
      <c r="AF691" s="133"/>
      <c r="AG691" s="133"/>
      <c r="AH691" s="133"/>
      <c r="AI691" s="133"/>
      <c r="AJ691" s="954"/>
      <c r="AK691" s="133"/>
      <c r="AL691" s="133"/>
      <c r="AM691" s="133"/>
      <c r="AN691" s="133"/>
      <c r="AO691" s="976">
        <v>-799</v>
      </c>
      <c r="AP691" s="133"/>
      <c r="AQ691" s="133"/>
      <c r="AR691" s="133"/>
      <c r="AS691" s="133"/>
      <c r="AT691" s="976">
        <v>-753</v>
      </c>
      <c r="AU691" s="133"/>
      <c r="AV691" s="133"/>
      <c r="AW691" s="133"/>
      <c r="AX691" s="133"/>
      <c r="AY691" s="976">
        <v>-829</v>
      </c>
      <c r="AZ691" s="133"/>
      <c r="BA691" s="133"/>
      <c r="BB691" s="133"/>
      <c r="BC691" s="133"/>
      <c r="BD691" s="976">
        <v>-701</v>
      </c>
      <c r="BE691" s="133"/>
      <c r="BF691" s="133"/>
      <c r="BG691" s="133"/>
      <c r="BH691" s="133"/>
      <c r="BI691" s="976">
        <v>-625</v>
      </c>
      <c r="BJ691" s="133"/>
      <c r="BK691" s="133"/>
      <c r="BL691" s="133"/>
      <c r="BM691" s="133"/>
      <c r="BN691" s="976">
        <v>-600</v>
      </c>
      <c r="BO691" s="133"/>
      <c r="BP691" s="133"/>
      <c r="BQ691" s="133"/>
      <c r="BR691" s="133"/>
      <c r="BS691" s="976">
        <v>-589</v>
      </c>
      <c r="BT691" s="692"/>
      <c r="BU691" s="133"/>
      <c r="BV691" s="133"/>
      <c r="BW691" s="133"/>
      <c r="BX691" s="954"/>
      <c r="BY691" s="133"/>
      <c r="BZ691" s="133"/>
      <c r="CA691" s="133"/>
      <c r="CB691" s="133"/>
      <c r="CC691" s="954"/>
      <c r="CD691" s="954"/>
      <c r="CE691" s="954"/>
      <c r="CF691" s="954"/>
      <c r="CG691" s="587"/>
    </row>
    <row r="692" spans="1:85" s="461" customFormat="1" ht="14.4" hidden="1" outlineLevel="1" x14ac:dyDescent="0.3">
      <c r="A692" s="166" t="s">
        <v>1441</v>
      </c>
      <c r="B692" s="583"/>
      <c r="C692" s="957"/>
      <c r="D692" s="957"/>
      <c r="E692" s="957"/>
      <c r="F692" s="957"/>
      <c r="G692" s="120"/>
      <c r="H692" s="120"/>
      <c r="I692" s="120"/>
      <c r="J692" s="120"/>
      <c r="K692" s="957"/>
      <c r="L692" s="120"/>
      <c r="M692" s="120"/>
      <c r="N692" s="120"/>
      <c r="O692" s="120"/>
      <c r="P692" s="957"/>
      <c r="Q692" s="120"/>
      <c r="R692" s="120"/>
      <c r="S692" s="120"/>
      <c r="T692" s="120"/>
      <c r="U692" s="957"/>
      <c r="V692" s="120"/>
      <c r="W692" s="120"/>
      <c r="X692" s="120"/>
      <c r="Y692" s="120"/>
      <c r="Z692" s="957"/>
      <c r="AA692" s="120"/>
      <c r="AB692" s="120"/>
      <c r="AC692" s="120"/>
      <c r="AD692" s="120"/>
      <c r="AE692" s="957"/>
      <c r="AF692" s="120"/>
      <c r="AG692" s="120"/>
      <c r="AH692" s="120"/>
      <c r="AI692" s="120"/>
      <c r="AJ692" s="957"/>
      <c r="AK692" s="120"/>
      <c r="AL692" s="120"/>
      <c r="AM692" s="120"/>
      <c r="AN692" s="120"/>
      <c r="AO692" s="957">
        <f>SUM(AO685:AO691)</f>
        <v>3681</v>
      </c>
      <c r="AP692" s="120"/>
      <c r="AQ692" s="120"/>
      <c r="AR692" s="120"/>
      <c r="AS692" s="120"/>
      <c r="AT692" s="957">
        <f>SUM(AT685:AT691)</f>
        <v>8183</v>
      </c>
      <c r="AU692" s="120"/>
      <c r="AV692" s="120"/>
      <c r="AW692" s="120"/>
      <c r="AX692" s="120"/>
      <c r="AY692" s="957">
        <f>SUM(AY685:AY691)</f>
        <v>7473</v>
      </c>
      <c r="AZ692" s="120"/>
      <c r="BA692" s="120"/>
      <c r="BB692" s="120"/>
      <c r="BC692" s="120"/>
      <c r="BD692" s="957">
        <f>SUM(BD685:BD691)</f>
        <v>8537</v>
      </c>
      <c r="BE692" s="120"/>
      <c r="BF692" s="120"/>
      <c r="BG692" s="120"/>
      <c r="BH692" s="120"/>
      <c r="BI692" s="957">
        <f>SUM(BI685:BI691)</f>
        <v>8393</v>
      </c>
      <c r="BJ692" s="120"/>
      <c r="BK692" s="120"/>
      <c r="BL692" s="120"/>
      <c r="BM692" s="120"/>
      <c r="BN692" s="957">
        <f>SUM(BN685:BN691)</f>
        <v>7911</v>
      </c>
      <c r="BO692" s="120"/>
      <c r="BP692" s="120"/>
      <c r="BQ692" s="120"/>
      <c r="BR692" s="120"/>
      <c r="BS692" s="957">
        <f>SUM(BS685:BS691)</f>
        <v>7924</v>
      </c>
      <c r="BT692" s="694"/>
      <c r="BU692" s="120"/>
      <c r="BV692" s="120"/>
      <c r="BW692" s="120"/>
      <c r="BX692" s="957"/>
      <c r="BY692" s="120"/>
      <c r="BZ692" s="120"/>
      <c r="CA692" s="120"/>
      <c r="CB692" s="120"/>
      <c r="CC692" s="957"/>
      <c r="CD692" s="957"/>
      <c r="CE692" s="957"/>
      <c r="CF692" s="957"/>
      <c r="CG692" s="615"/>
    </row>
    <row r="693" spans="1:85" s="461" customFormat="1" ht="14.4" hidden="1" outlineLevel="1" x14ac:dyDescent="0.3">
      <c r="A693" s="166" t="s">
        <v>1442</v>
      </c>
      <c r="B693" s="583"/>
      <c r="C693" s="957"/>
      <c r="D693" s="957"/>
      <c r="E693" s="957"/>
      <c r="F693" s="957"/>
      <c r="G693" s="120"/>
      <c r="H693" s="120"/>
      <c r="I693" s="120"/>
      <c r="J693" s="120"/>
      <c r="K693" s="957"/>
      <c r="L693" s="120"/>
      <c r="M693" s="120"/>
      <c r="N693" s="120"/>
      <c r="O693" s="120"/>
      <c r="P693" s="957"/>
      <c r="Q693" s="120"/>
      <c r="R693" s="120"/>
      <c r="S693" s="120"/>
      <c r="T693" s="120"/>
      <c r="U693" s="957"/>
      <c r="V693" s="120"/>
      <c r="W693" s="120"/>
      <c r="X693" s="120"/>
      <c r="Y693" s="120"/>
      <c r="Z693" s="957"/>
      <c r="AA693" s="120"/>
      <c r="AB693" s="120"/>
      <c r="AC693" s="120"/>
      <c r="AD693" s="120"/>
      <c r="AE693" s="957"/>
      <c r="AF693" s="120"/>
      <c r="AG693" s="120"/>
      <c r="AH693" s="120"/>
      <c r="AI693" s="120"/>
      <c r="AJ693" s="957"/>
      <c r="AK693" s="120"/>
      <c r="AL693" s="120"/>
      <c r="AM693" s="120"/>
      <c r="AN693" s="120"/>
      <c r="AO693" s="983">
        <v>13731</v>
      </c>
      <c r="AP693" s="120"/>
      <c r="AQ693" s="120"/>
      <c r="AR693" s="120"/>
      <c r="AS693" s="120"/>
      <c r="AT693" s="983">
        <v>14658</v>
      </c>
      <c r="AU693" s="120"/>
      <c r="AV693" s="120"/>
      <c r="AW693" s="120"/>
      <c r="AX693" s="120"/>
      <c r="AY693" s="983">
        <v>11385</v>
      </c>
      <c r="AZ693" s="120"/>
      <c r="BA693" s="120"/>
      <c r="BB693" s="120"/>
      <c r="BC693" s="120"/>
      <c r="BD693" s="983">
        <v>11684</v>
      </c>
      <c r="BE693" s="120"/>
      <c r="BF693" s="120"/>
      <c r="BG693" s="120"/>
      <c r="BH693" s="120"/>
      <c r="BI693" s="983">
        <v>10342</v>
      </c>
      <c r="BJ693" s="120"/>
      <c r="BK693" s="120"/>
      <c r="BL693" s="120"/>
      <c r="BM693" s="120"/>
      <c r="BN693" s="983">
        <v>9395</v>
      </c>
      <c r="BO693" s="120"/>
      <c r="BP693" s="120"/>
      <c r="BQ693" s="120"/>
      <c r="BR693" s="120"/>
      <c r="BS693" s="983">
        <v>8939</v>
      </c>
      <c r="BT693" s="694"/>
      <c r="BU693" s="120"/>
      <c r="BV693" s="120"/>
      <c r="BW693" s="120"/>
      <c r="BX693" s="957"/>
      <c r="BY693" s="120"/>
      <c r="BZ693" s="120"/>
      <c r="CA693" s="120"/>
      <c r="CB693" s="120"/>
      <c r="CC693" s="957"/>
      <c r="CD693" s="957"/>
      <c r="CE693" s="957"/>
      <c r="CF693" s="957"/>
      <c r="CG693" s="615"/>
    </row>
    <row r="694" spans="1:85" s="460" customFormat="1" ht="14.4" hidden="1" outlineLevel="1" x14ac:dyDescent="0.3">
      <c r="A694" s="159" t="s">
        <v>1443</v>
      </c>
      <c r="B694" s="586"/>
      <c r="C694" s="150"/>
      <c r="D694" s="150"/>
      <c r="E694" s="150"/>
      <c r="F694" s="150"/>
      <c r="G694" s="117"/>
      <c r="H694" s="117"/>
      <c r="I694" s="117"/>
      <c r="J694" s="117"/>
      <c r="K694" s="150"/>
      <c r="L694" s="117"/>
      <c r="M694" s="117"/>
      <c r="N694" s="117"/>
      <c r="O694" s="117"/>
      <c r="P694" s="150"/>
      <c r="Q694" s="117"/>
      <c r="R694" s="117"/>
      <c r="S694" s="117"/>
      <c r="T694" s="117"/>
      <c r="U694" s="150"/>
      <c r="V694" s="117"/>
      <c r="W694" s="117"/>
      <c r="X694" s="117"/>
      <c r="Y694" s="117"/>
      <c r="Z694" s="150"/>
      <c r="AA694" s="117"/>
      <c r="AB694" s="117"/>
      <c r="AC694" s="117"/>
      <c r="AD694" s="117"/>
      <c r="AE694" s="150"/>
      <c r="AF694" s="117"/>
      <c r="AG694" s="117"/>
      <c r="AH694" s="117"/>
      <c r="AI694" s="117"/>
      <c r="AJ694" s="150"/>
      <c r="AK694" s="117"/>
      <c r="AL694" s="117"/>
      <c r="AM694" s="117"/>
      <c r="AN694" s="117"/>
      <c r="AO694" s="975">
        <v>1732</v>
      </c>
      <c r="AP694" s="117"/>
      <c r="AQ694" s="117"/>
      <c r="AR694" s="117"/>
      <c r="AS694" s="117"/>
      <c r="AT694" s="975">
        <v>-2455</v>
      </c>
      <c r="AU694" s="117"/>
      <c r="AV694" s="117"/>
      <c r="AW694" s="117"/>
      <c r="AX694" s="117"/>
      <c r="AY694" s="975">
        <v>1181</v>
      </c>
      <c r="AZ694" s="117"/>
      <c r="BA694" s="117"/>
      <c r="BB694" s="117"/>
      <c r="BC694" s="117"/>
      <c r="BD694" s="975">
        <v>-377</v>
      </c>
      <c r="BE694" s="117"/>
      <c r="BF694" s="117"/>
      <c r="BG694" s="117"/>
      <c r="BH694" s="117"/>
      <c r="BI694" s="975">
        <v>31</v>
      </c>
      <c r="BJ694" s="117"/>
      <c r="BK694" s="117"/>
      <c r="BL694" s="117"/>
      <c r="BM694" s="117"/>
      <c r="BN694" s="975">
        <v>504</v>
      </c>
      <c r="BO694" s="117"/>
      <c r="BP694" s="117"/>
      <c r="BQ694" s="117"/>
      <c r="BR694" s="117"/>
      <c r="BS694" s="975">
        <v>497</v>
      </c>
      <c r="BT694" s="691"/>
      <c r="BU694" s="117"/>
      <c r="BV694" s="117"/>
      <c r="BW694" s="117"/>
      <c r="BX694" s="150"/>
      <c r="BY694" s="117"/>
      <c r="BZ694" s="117"/>
      <c r="CA694" s="117"/>
      <c r="CB694" s="117"/>
      <c r="CC694" s="150"/>
      <c r="CD694" s="150"/>
      <c r="CE694" s="150"/>
      <c r="CF694" s="150"/>
      <c r="CG694" s="587"/>
    </row>
    <row r="695" spans="1:85" s="460" customFormat="1" ht="14.4" hidden="1" outlineLevel="1" x14ac:dyDescent="0.3">
      <c r="A695" s="159" t="s">
        <v>1444</v>
      </c>
      <c r="B695" s="586"/>
      <c r="C695" s="150"/>
      <c r="D695" s="150"/>
      <c r="E695" s="150"/>
      <c r="F695" s="150"/>
      <c r="G695" s="117"/>
      <c r="H695" s="117"/>
      <c r="I695" s="117"/>
      <c r="J695" s="117"/>
      <c r="K695" s="150"/>
      <c r="L695" s="117"/>
      <c r="M695" s="117"/>
      <c r="N695" s="117"/>
      <c r="O695" s="117"/>
      <c r="P695" s="150"/>
      <c r="Q695" s="117"/>
      <c r="R695" s="117"/>
      <c r="S695" s="117"/>
      <c r="T695" s="117"/>
      <c r="U695" s="150"/>
      <c r="V695" s="117"/>
      <c r="W695" s="117"/>
      <c r="X695" s="117"/>
      <c r="Y695" s="117"/>
      <c r="Z695" s="150"/>
      <c r="AA695" s="117"/>
      <c r="AB695" s="117"/>
      <c r="AC695" s="117"/>
      <c r="AD695" s="117"/>
      <c r="AE695" s="150"/>
      <c r="AF695" s="117"/>
      <c r="AG695" s="117"/>
      <c r="AH695" s="117"/>
      <c r="AI695" s="117"/>
      <c r="AJ695" s="150"/>
      <c r="AK695" s="117"/>
      <c r="AL695" s="117"/>
      <c r="AM695" s="117"/>
      <c r="AN695" s="117"/>
      <c r="AO695" s="975">
        <v>0</v>
      </c>
      <c r="AP695" s="117"/>
      <c r="AQ695" s="117"/>
      <c r="AR695" s="117"/>
      <c r="AS695" s="117"/>
      <c r="AT695" s="975">
        <v>0</v>
      </c>
      <c r="AU695" s="117"/>
      <c r="AV695" s="117"/>
      <c r="AW695" s="117"/>
      <c r="AX695" s="117"/>
      <c r="AY695" s="975">
        <v>0</v>
      </c>
      <c r="AZ695" s="117"/>
      <c r="BA695" s="117"/>
      <c r="BB695" s="117"/>
      <c r="BC695" s="117"/>
      <c r="BD695" s="975">
        <v>0</v>
      </c>
      <c r="BE695" s="117"/>
      <c r="BF695" s="117"/>
      <c r="BG695" s="117"/>
      <c r="BH695" s="117"/>
      <c r="BI695" s="975">
        <v>0</v>
      </c>
      <c r="BJ695" s="117"/>
      <c r="BK695" s="117"/>
      <c r="BL695" s="117"/>
      <c r="BM695" s="117"/>
      <c r="BN695" s="975">
        <v>0</v>
      </c>
      <c r="BO695" s="117"/>
      <c r="BP695" s="117"/>
      <c r="BQ695" s="117"/>
      <c r="BR695" s="117"/>
      <c r="BS695" s="975">
        <v>0</v>
      </c>
      <c r="BT695" s="691"/>
      <c r="BU695" s="117"/>
      <c r="BV695" s="117"/>
      <c r="BW695" s="117"/>
      <c r="BX695" s="150"/>
      <c r="BY695" s="117"/>
      <c r="BZ695" s="117"/>
      <c r="CA695" s="117"/>
      <c r="CB695" s="117"/>
      <c r="CC695" s="150"/>
      <c r="CD695" s="150"/>
      <c r="CE695" s="150"/>
      <c r="CF695" s="150"/>
      <c r="CG695" s="587"/>
    </row>
    <row r="696" spans="1:85" s="460" customFormat="1" ht="14.4" hidden="1" outlineLevel="1" x14ac:dyDescent="0.3">
      <c r="A696" s="159" t="s">
        <v>1445</v>
      </c>
      <c r="B696" s="586"/>
      <c r="C696" s="150"/>
      <c r="D696" s="150"/>
      <c r="E696" s="150"/>
      <c r="F696" s="150"/>
      <c r="G696" s="117"/>
      <c r="H696" s="117"/>
      <c r="I696" s="117"/>
      <c r="J696" s="117"/>
      <c r="K696" s="150"/>
      <c r="L696" s="117"/>
      <c r="M696" s="117"/>
      <c r="N696" s="117"/>
      <c r="O696" s="117"/>
      <c r="P696" s="150"/>
      <c r="Q696" s="117"/>
      <c r="R696" s="117"/>
      <c r="S696" s="117"/>
      <c r="T696" s="117"/>
      <c r="U696" s="150"/>
      <c r="V696" s="117"/>
      <c r="W696" s="117"/>
      <c r="X696" s="117"/>
      <c r="Y696" s="117"/>
      <c r="Z696" s="150"/>
      <c r="AA696" s="117"/>
      <c r="AB696" s="117"/>
      <c r="AC696" s="117"/>
      <c r="AD696" s="117"/>
      <c r="AE696" s="150"/>
      <c r="AF696" s="117"/>
      <c r="AG696" s="117"/>
      <c r="AH696" s="117"/>
      <c r="AI696" s="117"/>
      <c r="AJ696" s="150"/>
      <c r="AK696" s="117"/>
      <c r="AL696" s="117"/>
      <c r="AM696" s="117"/>
      <c r="AN696" s="117"/>
      <c r="AO696" s="975">
        <v>93</v>
      </c>
      <c r="AP696" s="117"/>
      <c r="AQ696" s="117"/>
      <c r="AR696" s="117"/>
      <c r="AS696" s="117"/>
      <c r="AT696" s="975">
        <v>58</v>
      </c>
      <c r="AU696" s="117"/>
      <c r="AV696" s="117"/>
      <c r="AW696" s="117"/>
      <c r="AX696" s="117"/>
      <c r="AY696" s="975">
        <v>19</v>
      </c>
      <c r="AZ696" s="117"/>
      <c r="BA696" s="117"/>
      <c r="BB696" s="117"/>
      <c r="BC696" s="117"/>
      <c r="BD696" s="975">
        <v>0</v>
      </c>
      <c r="BE696" s="117"/>
      <c r="BF696" s="117"/>
      <c r="BG696" s="117"/>
      <c r="BH696" s="117"/>
      <c r="BI696" s="975">
        <v>0</v>
      </c>
      <c r="BJ696" s="117"/>
      <c r="BK696" s="117"/>
      <c r="BL696" s="117"/>
      <c r="BM696" s="117"/>
      <c r="BN696" s="975">
        <v>0</v>
      </c>
      <c r="BO696" s="117"/>
      <c r="BP696" s="117"/>
      <c r="BQ696" s="117"/>
      <c r="BR696" s="117"/>
      <c r="BS696" s="975">
        <v>715</v>
      </c>
      <c r="BT696" s="691"/>
      <c r="BU696" s="117"/>
      <c r="BV696" s="117"/>
      <c r="BW696" s="117"/>
      <c r="BX696" s="150"/>
      <c r="BY696" s="117"/>
      <c r="BZ696" s="117"/>
      <c r="CA696" s="117"/>
      <c r="CB696" s="117"/>
      <c r="CC696" s="150"/>
      <c r="CD696" s="150"/>
      <c r="CE696" s="150"/>
      <c r="CF696" s="150"/>
      <c r="CG696" s="587"/>
    </row>
    <row r="697" spans="1:85" s="460" customFormat="1" ht="14.4" hidden="1" outlineLevel="1" x14ac:dyDescent="0.3">
      <c r="A697" s="159" t="s">
        <v>1446</v>
      </c>
      <c r="B697" s="586"/>
      <c r="C697" s="150"/>
      <c r="D697" s="150"/>
      <c r="E697" s="150"/>
      <c r="F697" s="150"/>
      <c r="G697" s="117"/>
      <c r="H697" s="117"/>
      <c r="I697" s="117"/>
      <c r="J697" s="117"/>
      <c r="K697" s="150"/>
      <c r="L697" s="117"/>
      <c r="M697" s="117"/>
      <c r="N697" s="117"/>
      <c r="O697" s="117"/>
      <c r="P697" s="150"/>
      <c r="Q697" s="117"/>
      <c r="R697" s="117"/>
      <c r="S697" s="117"/>
      <c r="T697" s="117"/>
      <c r="U697" s="150"/>
      <c r="V697" s="117"/>
      <c r="W697" s="117"/>
      <c r="X697" s="117"/>
      <c r="Y697" s="117"/>
      <c r="Z697" s="150"/>
      <c r="AA697" s="117"/>
      <c r="AB697" s="117"/>
      <c r="AC697" s="117"/>
      <c r="AD697" s="117"/>
      <c r="AE697" s="150"/>
      <c r="AF697" s="117"/>
      <c r="AG697" s="117"/>
      <c r="AH697" s="117"/>
      <c r="AI697" s="117"/>
      <c r="AJ697" s="150"/>
      <c r="AK697" s="117"/>
      <c r="AL697" s="117"/>
      <c r="AM697" s="117"/>
      <c r="AN697" s="117"/>
      <c r="AO697" s="975">
        <v>0</v>
      </c>
      <c r="AP697" s="117"/>
      <c r="AQ697" s="117"/>
      <c r="AR697" s="117"/>
      <c r="AS697" s="117"/>
      <c r="AT697" s="975">
        <v>0</v>
      </c>
      <c r="AU697" s="117"/>
      <c r="AV697" s="117"/>
      <c r="AW697" s="117"/>
      <c r="AX697" s="117"/>
      <c r="AY697" s="975">
        <v>0</v>
      </c>
      <c r="AZ697" s="117"/>
      <c r="BA697" s="117"/>
      <c r="BB697" s="117"/>
      <c r="BC697" s="117"/>
      <c r="BD697" s="975">
        <v>0</v>
      </c>
      <c r="BE697" s="117"/>
      <c r="BF697" s="117"/>
      <c r="BG697" s="117"/>
      <c r="BH697" s="117"/>
      <c r="BI697" s="975">
        <v>0</v>
      </c>
      <c r="BJ697" s="117"/>
      <c r="BK697" s="117"/>
      <c r="BL697" s="117"/>
      <c r="BM697" s="117"/>
      <c r="BN697" s="975">
        <v>0</v>
      </c>
      <c r="BO697" s="117"/>
      <c r="BP697" s="117"/>
      <c r="BQ697" s="117"/>
      <c r="BR697" s="117"/>
      <c r="BS697" s="975">
        <v>0</v>
      </c>
      <c r="BT697" s="691"/>
      <c r="BU697" s="117"/>
      <c r="BV697" s="117"/>
      <c r="BW697" s="117"/>
      <c r="BX697" s="150"/>
      <c r="BY697" s="117"/>
      <c r="BZ697" s="117"/>
      <c r="CA697" s="117"/>
      <c r="CB697" s="117"/>
      <c r="CC697" s="150"/>
      <c r="CD697" s="150"/>
      <c r="CE697" s="150"/>
      <c r="CF697" s="150"/>
      <c r="CG697" s="587"/>
    </row>
    <row r="698" spans="1:85" s="460" customFormat="1" ht="14.4" hidden="1" outlineLevel="1" x14ac:dyDescent="0.3">
      <c r="A698" s="159" t="s">
        <v>1447</v>
      </c>
      <c r="B698" s="586"/>
      <c r="C698" s="150"/>
      <c r="D698" s="150"/>
      <c r="E698" s="150"/>
      <c r="F698" s="150"/>
      <c r="G698" s="117"/>
      <c r="H698" s="117"/>
      <c r="I698" s="117"/>
      <c r="J698" s="117"/>
      <c r="K698" s="150"/>
      <c r="L698" s="117"/>
      <c r="M698" s="117"/>
      <c r="N698" s="117"/>
      <c r="O698" s="117"/>
      <c r="P698" s="150"/>
      <c r="Q698" s="117"/>
      <c r="R698" s="117"/>
      <c r="S698" s="117"/>
      <c r="T698" s="117"/>
      <c r="U698" s="150"/>
      <c r="V698" s="117"/>
      <c r="W698" s="117"/>
      <c r="X698" s="117"/>
      <c r="Y698" s="117"/>
      <c r="Z698" s="150"/>
      <c r="AA698" s="117"/>
      <c r="AB698" s="117"/>
      <c r="AC698" s="117"/>
      <c r="AD698" s="117"/>
      <c r="AE698" s="150"/>
      <c r="AF698" s="117"/>
      <c r="AG698" s="117"/>
      <c r="AH698" s="117"/>
      <c r="AI698" s="117"/>
      <c r="AJ698" s="150"/>
      <c r="AK698" s="117"/>
      <c r="AL698" s="117"/>
      <c r="AM698" s="117"/>
      <c r="AN698" s="117"/>
      <c r="AO698" s="975">
        <v>0</v>
      </c>
      <c r="AP698" s="117"/>
      <c r="AQ698" s="117"/>
      <c r="AR698" s="117"/>
      <c r="AS698" s="117"/>
      <c r="AT698" s="975">
        <v>0</v>
      </c>
      <c r="AU698" s="117"/>
      <c r="AV698" s="117"/>
      <c r="AW698" s="117"/>
      <c r="AX698" s="117"/>
      <c r="AY698" s="975">
        <v>-13</v>
      </c>
      <c r="AZ698" s="117"/>
      <c r="BA698" s="117"/>
      <c r="BB698" s="117"/>
      <c r="BC698" s="117"/>
      <c r="BD698" s="975">
        <v>0</v>
      </c>
      <c r="BE698" s="117"/>
      <c r="BF698" s="117"/>
      <c r="BG698" s="117"/>
      <c r="BH698" s="117"/>
      <c r="BI698" s="975">
        <v>0</v>
      </c>
      <c r="BJ698" s="117"/>
      <c r="BK698" s="117"/>
      <c r="BL698" s="117"/>
      <c r="BM698" s="117"/>
      <c r="BN698" s="975">
        <v>0</v>
      </c>
      <c r="BO698" s="117"/>
      <c r="BP698" s="117"/>
      <c r="BQ698" s="117"/>
      <c r="BR698" s="117"/>
      <c r="BS698" s="975">
        <v>0</v>
      </c>
      <c r="BT698" s="691"/>
      <c r="BU698" s="117"/>
      <c r="BV698" s="117"/>
      <c r="BW698" s="117"/>
      <c r="BX698" s="150"/>
      <c r="BY698" s="117"/>
      <c r="BZ698" s="117"/>
      <c r="CA698" s="117"/>
      <c r="CB698" s="117"/>
      <c r="CC698" s="150"/>
      <c r="CD698" s="150"/>
      <c r="CE698" s="150"/>
      <c r="CF698" s="150"/>
      <c r="CG698" s="587"/>
    </row>
    <row r="699" spans="1:85" s="460" customFormat="1" ht="14.4" hidden="1" outlineLevel="1" x14ac:dyDescent="0.3">
      <c r="A699" s="262" t="s">
        <v>1448</v>
      </c>
      <c r="B699" s="588"/>
      <c r="C699" s="954"/>
      <c r="D699" s="954"/>
      <c r="E699" s="954"/>
      <c r="F699" s="954"/>
      <c r="G699" s="133"/>
      <c r="H699" s="133"/>
      <c r="I699" s="133"/>
      <c r="J699" s="133"/>
      <c r="K699" s="954"/>
      <c r="L699" s="133"/>
      <c r="M699" s="133"/>
      <c r="N699" s="133"/>
      <c r="O699" s="133"/>
      <c r="P699" s="954"/>
      <c r="Q699" s="133"/>
      <c r="R699" s="133"/>
      <c r="S699" s="133"/>
      <c r="T699" s="133"/>
      <c r="U699" s="954"/>
      <c r="V699" s="133"/>
      <c r="W699" s="133"/>
      <c r="X699" s="133"/>
      <c r="Y699" s="133"/>
      <c r="Z699" s="954"/>
      <c r="AA699" s="133"/>
      <c r="AB699" s="133"/>
      <c r="AC699" s="133"/>
      <c r="AD699" s="133"/>
      <c r="AE699" s="954"/>
      <c r="AF699" s="133"/>
      <c r="AG699" s="133"/>
      <c r="AH699" s="133"/>
      <c r="AI699" s="133"/>
      <c r="AJ699" s="954"/>
      <c r="AK699" s="133"/>
      <c r="AL699" s="133"/>
      <c r="AM699" s="133"/>
      <c r="AN699" s="133"/>
      <c r="AO699" s="976">
        <v>-898</v>
      </c>
      <c r="AP699" s="133"/>
      <c r="AQ699" s="133"/>
      <c r="AR699" s="133"/>
      <c r="AS699" s="133"/>
      <c r="AT699" s="976">
        <v>-876</v>
      </c>
      <c r="AU699" s="133"/>
      <c r="AV699" s="133"/>
      <c r="AW699" s="133"/>
      <c r="AX699" s="133"/>
      <c r="AY699" s="976">
        <v>-888</v>
      </c>
      <c r="AZ699" s="133"/>
      <c r="BA699" s="133"/>
      <c r="BB699" s="133"/>
      <c r="BC699" s="133"/>
      <c r="BD699" s="976">
        <v>-965</v>
      </c>
      <c r="BE699" s="133"/>
      <c r="BF699" s="133"/>
      <c r="BG699" s="133"/>
      <c r="BH699" s="133"/>
      <c r="BI699" s="976">
        <v>-978</v>
      </c>
      <c r="BJ699" s="133"/>
      <c r="BK699" s="133"/>
      <c r="BL699" s="133"/>
      <c r="BM699" s="133"/>
      <c r="BN699" s="976">
        <v>-960</v>
      </c>
      <c r="BO699" s="133"/>
      <c r="BP699" s="133"/>
      <c r="BQ699" s="133"/>
      <c r="BR699" s="133"/>
      <c r="BS699" s="976">
        <v>-951</v>
      </c>
      <c r="BT699" s="692"/>
      <c r="BU699" s="133"/>
      <c r="BV699" s="133"/>
      <c r="BW699" s="133"/>
      <c r="BX699" s="954"/>
      <c r="BY699" s="133"/>
      <c r="BZ699" s="133"/>
      <c r="CA699" s="133"/>
      <c r="CB699" s="133"/>
      <c r="CC699" s="954"/>
      <c r="CD699" s="954"/>
      <c r="CE699" s="954"/>
      <c r="CF699" s="954"/>
      <c r="CG699" s="587"/>
    </row>
    <row r="700" spans="1:85" s="461" customFormat="1" ht="14.4" hidden="1" outlineLevel="1" x14ac:dyDescent="0.3">
      <c r="A700" s="166" t="s">
        <v>1449</v>
      </c>
      <c r="B700" s="583"/>
      <c r="C700" s="957"/>
      <c r="D700" s="957"/>
      <c r="E700" s="957"/>
      <c r="F700" s="957"/>
      <c r="G700" s="120"/>
      <c r="H700" s="120"/>
      <c r="I700" s="120"/>
      <c r="J700" s="120"/>
      <c r="K700" s="957"/>
      <c r="L700" s="120"/>
      <c r="M700" s="120"/>
      <c r="N700" s="120"/>
      <c r="O700" s="120"/>
      <c r="P700" s="957"/>
      <c r="Q700" s="120"/>
      <c r="R700" s="120"/>
      <c r="S700" s="120"/>
      <c r="T700" s="120"/>
      <c r="U700" s="957"/>
      <c r="V700" s="120"/>
      <c r="W700" s="120"/>
      <c r="X700" s="120"/>
      <c r="Y700" s="120"/>
      <c r="Z700" s="957"/>
      <c r="AA700" s="120"/>
      <c r="AB700" s="120"/>
      <c r="AC700" s="120"/>
      <c r="AD700" s="120"/>
      <c r="AE700" s="957"/>
      <c r="AF700" s="120"/>
      <c r="AG700" s="120"/>
      <c r="AH700" s="120"/>
      <c r="AI700" s="120"/>
      <c r="AJ700" s="957"/>
      <c r="AK700" s="120"/>
      <c r="AL700" s="120"/>
      <c r="AM700" s="120"/>
      <c r="AN700" s="120"/>
      <c r="AO700" s="957">
        <f>SUM(AO693:AO699)</f>
        <v>14658</v>
      </c>
      <c r="AP700" s="120"/>
      <c r="AQ700" s="120"/>
      <c r="AR700" s="120"/>
      <c r="AS700" s="120"/>
      <c r="AT700" s="957">
        <f>SUM(AT693:AT699)</f>
        <v>11385</v>
      </c>
      <c r="AU700" s="120"/>
      <c r="AV700" s="120"/>
      <c r="AW700" s="120"/>
      <c r="AX700" s="120"/>
      <c r="AY700" s="957">
        <f>SUM(AY693:AY699)</f>
        <v>11684</v>
      </c>
      <c r="AZ700" s="120"/>
      <c r="BA700" s="120"/>
      <c r="BB700" s="120"/>
      <c r="BC700" s="120"/>
      <c r="BD700" s="957">
        <f>SUM(BD693:BD699)</f>
        <v>10342</v>
      </c>
      <c r="BE700" s="120"/>
      <c r="BF700" s="120"/>
      <c r="BG700" s="120"/>
      <c r="BH700" s="120"/>
      <c r="BI700" s="957">
        <f>SUM(BI693:BI699)</f>
        <v>9395</v>
      </c>
      <c r="BJ700" s="120"/>
      <c r="BK700" s="120"/>
      <c r="BL700" s="120"/>
      <c r="BM700" s="120"/>
      <c r="BN700" s="957">
        <f>SUM(BN693:BN699)</f>
        <v>8939</v>
      </c>
      <c r="BO700" s="120"/>
      <c r="BP700" s="120"/>
      <c r="BQ700" s="120"/>
      <c r="BR700" s="120"/>
      <c r="BS700" s="957">
        <f>SUM(BS693:BS699)</f>
        <v>9200</v>
      </c>
      <c r="BT700" s="694"/>
      <c r="BU700" s="120"/>
      <c r="BV700" s="120"/>
      <c r="BW700" s="120"/>
      <c r="BX700" s="957"/>
      <c r="BY700" s="120"/>
      <c r="BZ700" s="120"/>
      <c r="CA700" s="120"/>
      <c r="CB700" s="120"/>
      <c r="CC700" s="957"/>
      <c r="CD700" s="957"/>
      <c r="CE700" s="957"/>
      <c r="CF700" s="957"/>
      <c r="CG700" s="615"/>
    </row>
    <row r="701" spans="1:85" s="461" customFormat="1" ht="14.4" hidden="1" outlineLevel="1" x14ac:dyDescent="0.3">
      <c r="A701" s="166" t="s">
        <v>1450</v>
      </c>
      <c r="B701" s="583"/>
      <c r="C701" s="957"/>
      <c r="D701" s="957"/>
      <c r="E701" s="957"/>
      <c r="F701" s="957"/>
      <c r="G701" s="120"/>
      <c r="H701" s="120"/>
      <c r="I701" s="120"/>
      <c r="J701" s="120"/>
      <c r="K701" s="957"/>
      <c r="L701" s="120"/>
      <c r="M701" s="120"/>
      <c r="N701" s="120"/>
      <c r="O701" s="120"/>
      <c r="P701" s="957"/>
      <c r="Q701" s="120"/>
      <c r="R701" s="120"/>
      <c r="S701" s="120"/>
      <c r="T701" s="120"/>
      <c r="U701" s="957"/>
      <c r="V701" s="120"/>
      <c r="W701" s="120"/>
      <c r="X701" s="120"/>
      <c r="Y701" s="120"/>
      <c r="Z701" s="957"/>
      <c r="AA701" s="120"/>
      <c r="AB701" s="120"/>
      <c r="AC701" s="120"/>
      <c r="AD701" s="120"/>
      <c r="AE701" s="957"/>
      <c r="AF701" s="120"/>
      <c r="AG701" s="120"/>
      <c r="AH701" s="120"/>
      <c r="AI701" s="120"/>
      <c r="AJ701" s="957"/>
      <c r="AK701" s="120"/>
      <c r="AL701" s="120"/>
      <c r="AM701" s="120"/>
      <c r="AN701" s="120"/>
      <c r="AO701" s="983">
        <v>305</v>
      </c>
      <c r="AP701" s="120"/>
      <c r="AQ701" s="120"/>
      <c r="AR701" s="120"/>
      <c r="AS701" s="120"/>
      <c r="AT701" s="983">
        <v>26</v>
      </c>
      <c r="AU701" s="120"/>
      <c r="AV701" s="120"/>
      <c r="AW701" s="120"/>
      <c r="AX701" s="120"/>
      <c r="AY701" s="983">
        <v>22</v>
      </c>
      <c r="AZ701" s="120"/>
      <c r="BA701" s="120"/>
      <c r="BB701" s="120"/>
      <c r="BC701" s="120"/>
      <c r="BD701" s="983">
        <v>21</v>
      </c>
      <c r="BE701" s="120"/>
      <c r="BF701" s="120"/>
      <c r="BG701" s="120"/>
      <c r="BH701" s="120"/>
      <c r="BI701" s="983">
        <v>20</v>
      </c>
      <c r="BJ701" s="120"/>
      <c r="BK701" s="120"/>
      <c r="BL701" s="120"/>
      <c r="BM701" s="120"/>
      <c r="BN701" s="983">
        <v>17</v>
      </c>
      <c r="BO701" s="120"/>
      <c r="BP701" s="120"/>
      <c r="BQ701" s="120"/>
      <c r="BR701" s="120"/>
      <c r="BS701" s="983">
        <v>18</v>
      </c>
      <c r="BT701" s="694"/>
      <c r="BU701" s="120"/>
      <c r="BV701" s="120"/>
      <c r="BW701" s="120"/>
      <c r="BX701" s="957"/>
      <c r="BY701" s="120"/>
      <c r="BZ701" s="120"/>
      <c r="CA701" s="120"/>
      <c r="CB701" s="120"/>
      <c r="CC701" s="957"/>
      <c r="CD701" s="957"/>
      <c r="CE701" s="957"/>
      <c r="CF701" s="957"/>
      <c r="CG701" s="615"/>
    </row>
    <row r="702" spans="1:85" s="460" customFormat="1" ht="14.4" hidden="1" outlineLevel="1" x14ac:dyDescent="0.3">
      <c r="A702" s="159" t="s">
        <v>1451</v>
      </c>
      <c r="B702" s="586"/>
      <c r="C702" s="150"/>
      <c r="D702" s="150"/>
      <c r="E702" s="150"/>
      <c r="F702" s="150"/>
      <c r="G702" s="117"/>
      <c r="H702" s="117"/>
      <c r="I702" s="117"/>
      <c r="J702" s="117"/>
      <c r="K702" s="150"/>
      <c r="L702" s="117"/>
      <c r="M702" s="117"/>
      <c r="N702" s="117"/>
      <c r="O702" s="117"/>
      <c r="P702" s="150"/>
      <c r="Q702" s="117"/>
      <c r="R702" s="117"/>
      <c r="S702" s="117"/>
      <c r="T702" s="117"/>
      <c r="U702" s="150"/>
      <c r="V702" s="117"/>
      <c r="W702" s="117"/>
      <c r="X702" s="117"/>
      <c r="Y702" s="117"/>
      <c r="Z702" s="150"/>
      <c r="AA702" s="117"/>
      <c r="AB702" s="117"/>
      <c r="AC702" s="117"/>
      <c r="AD702" s="117"/>
      <c r="AE702" s="150"/>
      <c r="AF702" s="117"/>
      <c r="AG702" s="117"/>
      <c r="AH702" s="117"/>
      <c r="AI702" s="117"/>
      <c r="AJ702" s="150"/>
      <c r="AK702" s="117"/>
      <c r="AL702" s="117"/>
      <c r="AM702" s="117"/>
      <c r="AN702" s="117"/>
      <c r="AO702" s="975">
        <v>3</v>
      </c>
      <c r="AP702" s="117"/>
      <c r="AQ702" s="117"/>
      <c r="AR702" s="117"/>
      <c r="AS702" s="117"/>
      <c r="AT702" s="975">
        <v>-2</v>
      </c>
      <c r="AU702" s="117"/>
      <c r="AV702" s="117"/>
      <c r="AW702" s="117"/>
      <c r="AX702" s="117"/>
      <c r="AY702" s="975">
        <v>1</v>
      </c>
      <c r="AZ702" s="117"/>
      <c r="BA702" s="117"/>
      <c r="BB702" s="117"/>
      <c r="BC702" s="117"/>
      <c r="BD702" s="975">
        <v>2</v>
      </c>
      <c r="BE702" s="117"/>
      <c r="BF702" s="117"/>
      <c r="BG702" s="117"/>
      <c r="BH702" s="117"/>
      <c r="BI702" s="975">
        <v>1</v>
      </c>
      <c r="BJ702" s="117"/>
      <c r="BK702" s="117"/>
      <c r="BL702" s="117"/>
      <c r="BM702" s="117"/>
      <c r="BN702" s="975">
        <v>3</v>
      </c>
      <c r="BO702" s="117"/>
      <c r="BP702" s="117"/>
      <c r="BQ702" s="117"/>
      <c r="BR702" s="117"/>
      <c r="BS702" s="975">
        <v>-3</v>
      </c>
      <c r="BT702" s="691"/>
      <c r="BU702" s="117"/>
      <c r="BV702" s="117"/>
      <c r="BW702" s="117"/>
      <c r="BX702" s="150"/>
      <c r="BY702" s="117"/>
      <c r="BZ702" s="117"/>
      <c r="CA702" s="117"/>
      <c r="CB702" s="117"/>
      <c r="CC702" s="150"/>
      <c r="CD702" s="150"/>
      <c r="CE702" s="150"/>
      <c r="CF702" s="150"/>
      <c r="CG702" s="587"/>
    </row>
    <row r="703" spans="1:85" s="460" customFormat="1" ht="14.4" hidden="1" outlineLevel="1" x14ac:dyDescent="0.3">
      <c r="A703" s="159" t="s">
        <v>1452</v>
      </c>
      <c r="B703" s="586"/>
      <c r="C703" s="150"/>
      <c r="D703" s="150"/>
      <c r="E703" s="150"/>
      <c r="F703" s="150"/>
      <c r="G703" s="117"/>
      <c r="H703" s="117"/>
      <c r="I703" s="117"/>
      <c r="J703" s="117"/>
      <c r="K703" s="150"/>
      <c r="L703" s="117"/>
      <c r="M703" s="117"/>
      <c r="N703" s="117"/>
      <c r="O703" s="117"/>
      <c r="P703" s="150"/>
      <c r="Q703" s="117"/>
      <c r="R703" s="117"/>
      <c r="S703" s="117"/>
      <c r="T703" s="117"/>
      <c r="U703" s="150"/>
      <c r="V703" s="117"/>
      <c r="W703" s="117"/>
      <c r="X703" s="117"/>
      <c r="Y703" s="117"/>
      <c r="Z703" s="150"/>
      <c r="AA703" s="117"/>
      <c r="AB703" s="117"/>
      <c r="AC703" s="117"/>
      <c r="AD703" s="117"/>
      <c r="AE703" s="150"/>
      <c r="AF703" s="117"/>
      <c r="AG703" s="117"/>
      <c r="AH703" s="117"/>
      <c r="AI703" s="117"/>
      <c r="AJ703" s="150"/>
      <c r="AK703" s="117"/>
      <c r="AL703" s="117"/>
      <c r="AM703" s="117"/>
      <c r="AN703" s="117"/>
      <c r="AO703" s="975">
        <v>0</v>
      </c>
      <c r="AP703" s="117"/>
      <c r="AQ703" s="117"/>
      <c r="AR703" s="117"/>
      <c r="AS703" s="117"/>
      <c r="AT703" s="975">
        <v>0</v>
      </c>
      <c r="AU703" s="117"/>
      <c r="AV703" s="117"/>
      <c r="AW703" s="117"/>
      <c r="AX703" s="117"/>
      <c r="AY703" s="975">
        <v>0</v>
      </c>
      <c r="AZ703" s="117"/>
      <c r="BA703" s="117"/>
      <c r="BB703" s="117"/>
      <c r="BC703" s="117"/>
      <c r="BD703" s="975">
        <v>0</v>
      </c>
      <c r="BE703" s="117"/>
      <c r="BF703" s="117"/>
      <c r="BG703" s="117"/>
      <c r="BH703" s="117"/>
      <c r="BI703" s="975">
        <v>0</v>
      </c>
      <c r="BJ703" s="117"/>
      <c r="BK703" s="117"/>
      <c r="BL703" s="117"/>
      <c r="BM703" s="117"/>
      <c r="BN703" s="975">
        <v>0</v>
      </c>
      <c r="BO703" s="117"/>
      <c r="BP703" s="117"/>
      <c r="BQ703" s="117"/>
      <c r="BR703" s="117"/>
      <c r="BS703" s="975">
        <v>0</v>
      </c>
      <c r="BT703" s="691"/>
      <c r="BU703" s="117"/>
      <c r="BV703" s="117"/>
      <c r="BW703" s="117"/>
      <c r="BX703" s="150"/>
      <c r="BY703" s="117"/>
      <c r="BZ703" s="117"/>
      <c r="CA703" s="117"/>
      <c r="CB703" s="117"/>
      <c r="CC703" s="150"/>
      <c r="CD703" s="150"/>
      <c r="CE703" s="150"/>
      <c r="CF703" s="150"/>
      <c r="CG703" s="587"/>
    </row>
    <row r="704" spans="1:85" s="460" customFormat="1" ht="14.4" hidden="1" outlineLevel="1" x14ac:dyDescent="0.3">
      <c r="A704" s="159" t="s">
        <v>1453</v>
      </c>
      <c r="B704" s="586"/>
      <c r="C704" s="150"/>
      <c r="D704" s="150"/>
      <c r="E704" s="150"/>
      <c r="F704" s="150"/>
      <c r="G704" s="117"/>
      <c r="H704" s="117"/>
      <c r="I704" s="117"/>
      <c r="J704" s="117"/>
      <c r="K704" s="150"/>
      <c r="L704" s="117"/>
      <c r="M704" s="117"/>
      <c r="N704" s="117"/>
      <c r="O704" s="117"/>
      <c r="P704" s="150"/>
      <c r="Q704" s="117"/>
      <c r="R704" s="117"/>
      <c r="S704" s="117"/>
      <c r="T704" s="117"/>
      <c r="U704" s="150"/>
      <c r="V704" s="117"/>
      <c r="W704" s="117"/>
      <c r="X704" s="117"/>
      <c r="Y704" s="117"/>
      <c r="Z704" s="150"/>
      <c r="AA704" s="117"/>
      <c r="AB704" s="117"/>
      <c r="AC704" s="117"/>
      <c r="AD704" s="117"/>
      <c r="AE704" s="150"/>
      <c r="AF704" s="117"/>
      <c r="AG704" s="117"/>
      <c r="AH704" s="117"/>
      <c r="AI704" s="117"/>
      <c r="AJ704" s="150"/>
      <c r="AK704" s="117"/>
      <c r="AL704" s="117"/>
      <c r="AM704" s="117"/>
      <c r="AN704" s="117"/>
      <c r="AO704" s="975">
        <v>1</v>
      </c>
      <c r="AP704" s="117"/>
      <c r="AQ704" s="117"/>
      <c r="AR704" s="117"/>
      <c r="AS704" s="117"/>
      <c r="AT704" s="975">
        <v>0</v>
      </c>
      <c r="AU704" s="117"/>
      <c r="AV704" s="117"/>
      <c r="AW704" s="117"/>
      <c r="AX704" s="117"/>
      <c r="AY704" s="975">
        <v>0</v>
      </c>
      <c r="AZ704" s="117"/>
      <c r="BA704" s="117"/>
      <c r="BB704" s="117"/>
      <c r="BC704" s="117"/>
      <c r="BD704" s="975">
        <v>0</v>
      </c>
      <c r="BE704" s="117"/>
      <c r="BF704" s="117"/>
      <c r="BG704" s="117"/>
      <c r="BH704" s="117"/>
      <c r="BI704" s="975">
        <v>0</v>
      </c>
      <c r="BJ704" s="117"/>
      <c r="BK704" s="117"/>
      <c r="BL704" s="117"/>
      <c r="BM704" s="117"/>
      <c r="BN704" s="975">
        <v>0</v>
      </c>
      <c r="BO704" s="117"/>
      <c r="BP704" s="117"/>
      <c r="BQ704" s="117"/>
      <c r="BR704" s="117"/>
      <c r="BS704" s="975">
        <v>0</v>
      </c>
      <c r="BT704" s="691"/>
      <c r="BU704" s="117"/>
      <c r="BV704" s="117"/>
      <c r="BW704" s="117"/>
      <c r="BX704" s="150"/>
      <c r="BY704" s="117"/>
      <c r="BZ704" s="117"/>
      <c r="CA704" s="117"/>
      <c r="CB704" s="117"/>
      <c r="CC704" s="150"/>
      <c r="CD704" s="150"/>
      <c r="CE704" s="150"/>
      <c r="CF704" s="150"/>
      <c r="CG704" s="587"/>
    </row>
    <row r="705" spans="1:85" s="460" customFormat="1" ht="14.4" hidden="1" outlineLevel="1" x14ac:dyDescent="0.3">
      <c r="A705" s="159" t="s">
        <v>1454</v>
      </c>
      <c r="B705" s="586"/>
      <c r="C705" s="150"/>
      <c r="D705" s="150"/>
      <c r="E705" s="150"/>
      <c r="F705" s="150"/>
      <c r="G705" s="117"/>
      <c r="H705" s="117"/>
      <c r="I705" s="117"/>
      <c r="J705" s="117"/>
      <c r="K705" s="150"/>
      <c r="L705" s="117"/>
      <c r="M705" s="117"/>
      <c r="N705" s="117"/>
      <c r="O705" s="117"/>
      <c r="P705" s="150"/>
      <c r="Q705" s="117"/>
      <c r="R705" s="117"/>
      <c r="S705" s="117"/>
      <c r="T705" s="117"/>
      <c r="U705" s="150"/>
      <c r="V705" s="117"/>
      <c r="W705" s="117"/>
      <c r="X705" s="117"/>
      <c r="Y705" s="117"/>
      <c r="Z705" s="150"/>
      <c r="AA705" s="117"/>
      <c r="AB705" s="117"/>
      <c r="AC705" s="117"/>
      <c r="AD705" s="117"/>
      <c r="AE705" s="150"/>
      <c r="AF705" s="117"/>
      <c r="AG705" s="117"/>
      <c r="AH705" s="117"/>
      <c r="AI705" s="117"/>
      <c r="AJ705" s="150"/>
      <c r="AK705" s="117"/>
      <c r="AL705" s="117"/>
      <c r="AM705" s="117"/>
      <c r="AN705" s="117"/>
      <c r="AO705" s="975">
        <v>0</v>
      </c>
      <c r="AP705" s="117"/>
      <c r="AQ705" s="117"/>
      <c r="AR705" s="117"/>
      <c r="AS705" s="117"/>
      <c r="AT705" s="975">
        <v>0</v>
      </c>
      <c r="AU705" s="117"/>
      <c r="AV705" s="117"/>
      <c r="AW705" s="117"/>
      <c r="AX705" s="117"/>
      <c r="AY705" s="975">
        <v>0</v>
      </c>
      <c r="AZ705" s="117"/>
      <c r="BA705" s="117"/>
      <c r="BB705" s="117"/>
      <c r="BC705" s="117"/>
      <c r="BD705" s="975">
        <v>0</v>
      </c>
      <c r="BE705" s="117"/>
      <c r="BF705" s="117"/>
      <c r="BG705" s="117"/>
      <c r="BH705" s="117"/>
      <c r="BI705" s="975">
        <v>0</v>
      </c>
      <c r="BJ705" s="117"/>
      <c r="BK705" s="117"/>
      <c r="BL705" s="117"/>
      <c r="BM705" s="117"/>
      <c r="BN705" s="975">
        <v>0</v>
      </c>
      <c r="BO705" s="117"/>
      <c r="BP705" s="117"/>
      <c r="BQ705" s="117"/>
      <c r="BR705" s="117"/>
      <c r="BS705" s="975">
        <v>0</v>
      </c>
      <c r="BT705" s="691"/>
      <c r="BU705" s="117"/>
      <c r="BV705" s="117"/>
      <c r="BW705" s="117"/>
      <c r="BX705" s="150"/>
      <c r="BY705" s="117"/>
      <c r="BZ705" s="117"/>
      <c r="CA705" s="117"/>
      <c r="CB705" s="117"/>
      <c r="CC705" s="150"/>
      <c r="CD705" s="150"/>
      <c r="CE705" s="150"/>
      <c r="CF705" s="150"/>
      <c r="CG705" s="587"/>
    </row>
    <row r="706" spans="1:85" s="460" customFormat="1" ht="14.4" hidden="1" outlineLevel="1" x14ac:dyDescent="0.3">
      <c r="A706" s="159" t="s">
        <v>1455</v>
      </c>
      <c r="B706" s="586"/>
      <c r="C706" s="150"/>
      <c r="D706" s="150"/>
      <c r="E706" s="150"/>
      <c r="F706" s="150"/>
      <c r="G706" s="117"/>
      <c r="H706" s="117"/>
      <c r="I706" s="117"/>
      <c r="J706" s="117"/>
      <c r="K706" s="150"/>
      <c r="L706" s="117"/>
      <c r="M706" s="117"/>
      <c r="N706" s="117"/>
      <c r="O706" s="117"/>
      <c r="P706" s="150"/>
      <c r="Q706" s="117"/>
      <c r="R706" s="117"/>
      <c r="S706" s="117"/>
      <c r="T706" s="117"/>
      <c r="U706" s="150"/>
      <c r="V706" s="117"/>
      <c r="W706" s="117"/>
      <c r="X706" s="117"/>
      <c r="Y706" s="117"/>
      <c r="Z706" s="150"/>
      <c r="AA706" s="117"/>
      <c r="AB706" s="117"/>
      <c r="AC706" s="117"/>
      <c r="AD706" s="117"/>
      <c r="AE706" s="150"/>
      <c r="AF706" s="117"/>
      <c r="AG706" s="117"/>
      <c r="AH706" s="117"/>
      <c r="AI706" s="117"/>
      <c r="AJ706" s="150"/>
      <c r="AK706" s="117"/>
      <c r="AL706" s="117"/>
      <c r="AM706" s="117"/>
      <c r="AN706" s="117"/>
      <c r="AO706" s="975">
        <v>-240</v>
      </c>
      <c r="AP706" s="117"/>
      <c r="AQ706" s="117"/>
      <c r="AR706" s="117"/>
      <c r="AS706" s="117"/>
      <c r="AT706" s="975">
        <v>0</v>
      </c>
      <c r="AU706" s="117"/>
      <c r="AV706" s="117"/>
      <c r="AW706" s="117"/>
      <c r="AX706" s="117"/>
      <c r="AY706" s="975">
        <v>0</v>
      </c>
      <c r="AZ706" s="117"/>
      <c r="BA706" s="117"/>
      <c r="BB706" s="117"/>
      <c r="BC706" s="117"/>
      <c r="BD706" s="975">
        <v>0</v>
      </c>
      <c r="BE706" s="117"/>
      <c r="BF706" s="117"/>
      <c r="BG706" s="117"/>
      <c r="BH706" s="117"/>
      <c r="BI706" s="975">
        <v>0</v>
      </c>
      <c r="BJ706" s="117"/>
      <c r="BK706" s="117"/>
      <c r="BL706" s="117"/>
      <c r="BM706" s="117"/>
      <c r="BN706" s="975">
        <v>0</v>
      </c>
      <c r="BO706" s="117"/>
      <c r="BP706" s="117"/>
      <c r="BQ706" s="117"/>
      <c r="BR706" s="117"/>
      <c r="BS706" s="975">
        <v>0</v>
      </c>
      <c r="BT706" s="691"/>
      <c r="BU706" s="117"/>
      <c r="BV706" s="117"/>
      <c r="BW706" s="117"/>
      <c r="BX706" s="150"/>
      <c r="BY706" s="117"/>
      <c r="BZ706" s="117"/>
      <c r="CA706" s="117"/>
      <c r="CB706" s="117"/>
      <c r="CC706" s="150"/>
      <c r="CD706" s="150"/>
      <c r="CE706" s="150"/>
      <c r="CF706" s="150"/>
      <c r="CG706" s="587"/>
    </row>
    <row r="707" spans="1:85" s="460" customFormat="1" ht="14.4" hidden="1" outlineLevel="1" x14ac:dyDescent="0.3">
      <c r="A707" s="262" t="s">
        <v>1456</v>
      </c>
      <c r="B707" s="588"/>
      <c r="C707" s="954"/>
      <c r="D707" s="954"/>
      <c r="E707" s="954"/>
      <c r="F707" s="954"/>
      <c r="G707" s="133"/>
      <c r="H707" s="133"/>
      <c r="I707" s="133"/>
      <c r="J707" s="133"/>
      <c r="K707" s="954"/>
      <c r="L707" s="133"/>
      <c r="M707" s="133"/>
      <c r="N707" s="133"/>
      <c r="O707" s="133"/>
      <c r="P707" s="954"/>
      <c r="Q707" s="133"/>
      <c r="R707" s="133"/>
      <c r="S707" s="133"/>
      <c r="T707" s="133"/>
      <c r="U707" s="954"/>
      <c r="V707" s="133"/>
      <c r="W707" s="133"/>
      <c r="X707" s="133"/>
      <c r="Y707" s="133"/>
      <c r="Z707" s="954"/>
      <c r="AA707" s="133"/>
      <c r="AB707" s="133"/>
      <c r="AC707" s="133"/>
      <c r="AD707" s="133"/>
      <c r="AE707" s="954"/>
      <c r="AF707" s="133"/>
      <c r="AG707" s="133"/>
      <c r="AH707" s="133"/>
      <c r="AI707" s="133"/>
      <c r="AJ707" s="954"/>
      <c r="AK707" s="133"/>
      <c r="AL707" s="133"/>
      <c r="AM707" s="133"/>
      <c r="AN707" s="133"/>
      <c r="AO707" s="976">
        <v>-43</v>
      </c>
      <c r="AP707" s="133"/>
      <c r="AQ707" s="133"/>
      <c r="AR707" s="133"/>
      <c r="AS707" s="133"/>
      <c r="AT707" s="976">
        <v>-2</v>
      </c>
      <c r="AU707" s="133"/>
      <c r="AV707" s="133"/>
      <c r="AW707" s="133"/>
      <c r="AX707" s="133"/>
      <c r="AY707" s="976">
        <v>-2</v>
      </c>
      <c r="AZ707" s="133"/>
      <c r="BA707" s="133"/>
      <c r="BB707" s="133"/>
      <c r="BC707" s="133"/>
      <c r="BD707" s="976">
        <v>-3</v>
      </c>
      <c r="BE707" s="133"/>
      <c r="BF707" s="133"/>
      <c r="BG707" s="133"/>
      <c r="BH707" s="133"/>
      <c r="BI707" s="976">
        <v>-4</v>
      </c>
      <c r="BJ707" s="133"/>
      <c r="BK707" s="133"/>
      <c r="BL707" s="133"/>
      <c r="BM707" s="133"/>
      <c r="BN707" s="976">
        <v>-2</v>
      </c>
      <c r="BO707" s="133"/>
      <c r="BP707" s="133"/>
      <c r="BQ707" s="133"/>
      <c r="BR707" s="133"/>
      <c r="BS707" s="976">
        <v>-3</v>
      </c>
      <c r="BT707" s="692"/>
      <c r="BU707" s="133"/>
      <c r="BV707" s="133"/>
      <c r="BW707" s="133"/>
      <c r="BX707" s="954"/>
      <c r="BY707" s="133"/>
      <c r="BZ707" s="133"/>
      <c r="CA707" s="133"/>
      <c r="CB707" s="133"/>
      <c r="CC707" s="954"/>
      <c r="CD707" s="954"/>
      <c r="CE707" s="954"/>
      <c r="CF707" s="954"/>
      <c r="CG707" s="587"/>
    </row>
    <row r="708" spans="1:85" s="461" customFormat="1" ht="14.4" hidden="1" outlineLevel="1" x14ac:dyDescent="0.3">
      <c r="A708" s="166" t="s">
        <v>1457</v>
      </c>
      <c r="B708" s="583"/>
      <c r="C708" s="957"/>
      <c r="D708" s="957"/>
      <c r="E708" s="957"/>
      <c r="F708" s="957"/>
      <c r="G708" s="120"/>
      <c r="H708" s="120"/>
      <c r="I708" s="120"/>
      <c r="J708" s="120"/>
      <c r="K708" s="957"/>
      <c r="L708" s="120"/>
      <c r="M708" s="120"/>
      <c r="N708" s="120"/>
      <c r="O708" s="120"/>
      <c r="P708" s="957"/>
      <c r="Q708" s="120"/>
      <c r="R708" s="120"/>
      <c r="S708" s="120"/>
      <c r="T708" s="120"/>
      <c r="U708" s="957"/>
      <c r="V708" s="120"/>
      <c r="W708" s="120"/>
      <c r="X708" s="120"/>
      <c r="Y708" s="120"/>
      <c r="Z708" s="957"/>
      <c r="AA708" s="120"/>
      <c r="AB708" s="120"/>
      <c r="AC708" s="120"/>
      <c r="AD708" s="120"/>
      <c r="AE708" s="957"/>
      <c r="AF708" s="120"/>
      <c r="AG708" s="120"/>
      <c r="AH708" s="120"/>
      <c r="AI708" s="120"/>
      <c r="AJ708" s="957"/>
      <c r="AK708" s="120"/>
      <c r="AL708" s="120"/>
      <c r="AM708" s="120"/>
      <c r="AN708" s="120"/>
      <c r="AO708" s="957">
        <f>SUM(AO701:AO707)</f>
        <v>26</v>
      </c>
      <c r="AP708" s="120"/>
      <c r="AQ708" s="120"/>
      <c r="AR708" s="120"/>
      <c r="AS708" s="120"/>
      <c r="AT708" s="957">
        <f>SUM(AT701:AT707)</f>
        <v>22</v>
      </c>
      <c r="AU708" s="120"/>
      <c r="AV708" s="120"/>
      <c r="AW708" s="120"/>
      <c r="AX708" s="120"/>
      <c r="AY708" s="957">
        <f>SUM(AY701:AY707)</f>
        <v>21</v>
      </c>
      <c r="AZ708" s="120"/>
      <c r="BA708" s="120"/>
      <c r="BB708" s="120"/>
      <c r="BC708" s="120"/>
      <c r="BD708" s="957">
        <f>SUM(BD701:BD707)</f>
        <v>20</v>
      </c>
      <c r="BE708" s="120"/>
      <c r="BF708" s="120"/>
      <c r="BG708" s="120"/>
      <c r="BH708" s="120"/>
      <c r="BI708" s="957">
        <f>SUM(BI701:BI707)</f>
        <v>17</v>
      </c>
      <c r="BJ708" s="120"/>
      <c r="BK708" s="120"/>
      <c r="BL708" s="120"/>
      <c r="BM708" s="120"/>
      <c r="BN708" s="957">
        <f>SUM(BN701:BN707)</f>
        <v>18</v>
      </c>
      <c r="BO708" s="120"/>
      <c r="BP708" s="120"/>
      <c r="BQ708" s="120"/>
      <c r="BR708" s="120"/>
      <c r="BS708" s="957">
        <f>SUM(BS701:BS707)</f>
        <v>12</v>
      </c>
      <c r="BT708" s="694"/>
      <c r="BU708" s="120"/>
      <c r="BV708" s="120"/>
      <c r="BW708" s="120"/>
      <c r="BX708" s="957"/>
      <c r="BY708" s="120"/>
      <c r="BZ708" s="120"/>
      <c r="CA708" s="120"/>
      <c r="CB708" s="120"/>
      <c r="CC708" s="957"/>
      <c r="CD708" s="957"/>
      <c r="CE708" s="957"/>
      <c r="CF708" s="957"/>
      <c r="CG708" s="615"/>
    </row>
    <row r="709" spans="1:85" s="461" customFormat="1" ht="14.4" hidden="1" outlineLevel="1" x14ac:dyDescent="0.3">
      <c r="A709" s="166" t="s">
        <v>1458</v>
      </c>
      <c r="B709" s="583"/>
      <c r="C709" s="957"/>
      <c r="D709" s="957"/>
      <c r="E709" s="957"/>
      <c r="F709" s="957"/>
      <c r="G709" s="120"/>
      <c r="H709" s="120"/>
      <c r="I709" s="120"/>
      <c r="J709" s="120"/>
      <c r="K709" s="957"/>
      <c r="L709" s="120"/>
      <c r="M709" s="120"/>
      <c r="N709" s="120"/>
      <c r="O709" s="120"/>
      <c r="P709" s="957"/>
      <c r="Q709" s="120"/>
      <c r="R709" s="120"/>
      <c r="S709" s="120"/>
      <c r="T709" s="120"/>
      <c r="U709" s="957"/>
      <c r="V709" s="120"/>
      <c r="W709" s="120"/>
      <c r="X709" s="120"/>
      <c r="Y709" s="120"/>
      <c r="Z709" s="957"/>
      <c r="AA709" s="120"/>
      <c r="AB709" s="120"/>
      <c r="AC709" s="120"/>
      <c r="AD709" s="120"/>
      <c r="AE709" s="957"/>
      <c r="AF709" s="120"/>
      <c r="AG709" s="120"/>
      <c r="AH709" s="120"/>
      <c r="AI709" s="120"/>
      <c r="AJ709" s="957"/>
      <c r="AK709" s="120"/>
      <c r="AL709" s="120"/>
      <c r="AM709" s="120"/>
      <c r="AN709" s="120"/>
      <c r="AO709" s="957">
        <f>AO661+AO669+AO677+AO685+AO693+AO701</f>
        <v>28733</v>
      </c>
      <c r="AP709" s="120"/>
      <c r="AQ709" s="120"/>
      <c r="AR709" s="120"/>
      <c r="AS709" s="120"/>
      <c r="AT709" s="957">
        <f>AT661+AT669+AT677+AT685+AT693+AT701</f>
        <v>26587</v>
      </c>
      <c r="AU709" s="120"/>
      <c r="AV709" s="120"/>
      <c r="AW709" s="120"/>
      <c r="AX709" s="120"/>
      <c r="AY709" s="957">
        <f>AY661+AY669+AY677+AY685+AY693+AY701</f>
        <v>27006</v>
      </c>
      <c r="AZ709" s="120"/>
      <c r="BA709" s="120"/>
      <c r="BB709" s="120"/>
      <c r="BC709" s="120"/>
      <c r="BD709" s="957">
        <f>BD661+BD669+BD677+BD685+BD693+BD701</f>
        <v>28314</v>
      </c>
      <c r="BE709" s="120"/>
      <c r="BF709" s="120"/>
      <c r="BG709" s="120"/>
      <c r="BH709" s="120"/>
      <c r="BI709" s="957">
        <f>BI661+BI669+BI677+BI685+BI693+BI701</f>
        <v>28765</v>
      </c>
      <c r="BJ709" s="120"/>
      <c r="BK709" s="120"/>
      <c r="BL709" s="120"/>
      <c r="BM709" s="120"/>
      <c r="BN709" s="957">
        <f>BN661+BN669+BN677+BN685+BN693+BN701</f>
        <v>28318</v>
      </c>
      <c r="BO709" s="120"/>
      <c r="BP709" s="120"/>
      <c r="BQ709" s="120"/>
      <c r="BR709" s="120"/>
      <c r="BS709" s="983">
        <v>26526</v>
      </c>
      <c r="BT709" s="694"/>
      <c r="BU709" s="120"/>
      <c r="BV709" s="120"/>
      <c r="BW709" s="120"/>
      <c r="BX709" s="957"/>
      <c r="BY709" s="120"/>
      <c r="BZ709" s="120"/>
      <c r="CA709" s="120"/>
      <c r="CB709" s="120"/>
      <c r="CC709" s="957"/>
      <c r="CD709" s="957"/>
      <c r="CE709" s="957"/>
      <c r="CF709" s="957"/>
      <c r="CG709" s="615"/>
    </row>
    <row r="710" spans="1:85" s="460" customFormat="1" ht="14.4" hidden="1" outlineLevel="1" x14ac:dyDescent="0.3">
      <c r="A710" s="159" t="s">
        <v>1459</v>
      </c>
      <c r="B710" s="586"/>
      <c r="C710" s="150"/>
      <c r="D710" s="150"/>
      <c r="E710" s="150"/>
      <c r="F710" s="150"/>
      <c r="G710" s="117"/>
      <c r="H710" s="117"/>
      <c r="I710" s="117"/>
      <c r="J710" s="117"/>
      <c r="K710" s="150"/>
      <c r="L710" s="117"/>
      <c r="M710" s="117"/>
      <c r="N710" s="117"/>
      <c r="O710" s="117"/>
      <c r="P710" s="150"/>
      <c r="Q710" s="117"/>
      <c r="R710" s="117"/>
      <c r="S710" s="117"/>
      <c r="T710" s="117"/>
      <c r="U710" s="150"/>
      <c r="V710" s="117"/>
      <c r="W710" s="117"/>
      <c r="X710" s="117"/>
      <c r="Y710" s="117"/>
      <c r="Z710" s="150"/>
      <c r="AA710" s="117"/>
      <c r="AB710" s="117"/>
      <c r="AC710" s="117"/>
      <c r="AD710" s="117"/>
      <c r="AE710" s="150"/>
      <c r="AF710" s="117"/>
      <c r="AG710" s="117"/>
      <c r="AH710" s="117"/>
      <c r="AI710" s="117"/>
      <c r="AJ710" s="150"/>
      <c r="AK710" s="117"/>
      <c r="AL710" s="117"/>
      <c r="AM710" s="117"/>
      <c r="AN710" s="117"/>
      <c r="AO710" s="150">
        <f t="shared" ref="AO710:AO715" si="55">AO662+AO670+AO678+AO686+AO694+AO702</f>
        <v>-726</v>
      </c>
      <c r="AP710" s="117"/>
      <c r="AQ710" s="117"/>
      <c r="AR710" s="117"/>
      <c r="AS710" s="117"/>
      <c r="AT710" s="150">
        <f t="shared" ref="AT710:AT715" si="56">AT662+AT670+AT678+AT686+AT694+AT702</f>
        <v>-3204</v>
      </c>
      <c r="AU710" s="117"/>
      <c r="AV710" s="117"/>
      <c r="AW710" s="117"/>
      <c r="AX710" s="117"/>
      <c r="AY710" s="150">
        <f t="shared" ref="AY710:AY715" si="57">AY662+AY670+AY678+AY686+AY694+AY702</f>
        <v>2406</v>
      </c>
      <c r="AZ710" s="117"/>
      <c r="BA710" s="117"/>
      <c r="BB710" s="117"/>
      <c r="BC710" s="117"/>
      <c r="BD710" s="150">
        <f t="shared" ref="BD710:BD715" si="58">BD662+BD670+BD678+BD686+BD694+BD702</f>
        <v>1505</v>
      </c>
      <c r="BE710" s="117"/>
      <c r="BF710" s="117"/>
      <c r="BG710" s="117"/>
      <c r="BH710" s="117"/>
      <c r="BI710" s="150">
        <f t="shared" ref="BI710:BI715" si="59">BI662+BI670+BI678+BI686+BI694+BI702</f>
        <v>-840</v>
      </c>
      <c r="BJ710" s="117"/>
      <c r="BK710" s="117"/>
      <c r="BL710" s="117"/>
      <c r="BM710" s="117"/>
      <c r="BN710" s="150">
        <f t="shared" ref="BN710:BN715" si="60">BN662+BN670+BN678+BN686+BN694+BN702</f>
        <v>-20</v>
      </c>
      <c r="BO710" s="117"/>
      <c r="BP710" s="117"/>
      <c r="BQ710" s="117"/>
      <c r="BR710" s="117"/>
      <c r="BS710" s="975">
        <v>1061</v>
      </c>
      <c r="BT710" s="691"/>
      <c r="BU710" s="117"/>
      <c r="BV710" s="117"/>
      <c r="BW710" s="117"/>
      <c r="BX710" s="150"/>
      <c r="BY710" s="117"/>
      <c r="BZ710" s="117"/>
      <c r="CA710" s="117"/>
      <c r="CB710" s="117"/>
      <c r="CC710" s="150"/>
      <c r="CD710" s="150"/>
      <c r="CE710" s="150"/>
      <c r="CF710" s="150"/>
      <c r="CG710" s="587"/>
    </row>
    <row r="711" spans="1:85" s="460" customFormat="1" ht="14.4" hidden="1" outlineLevel="1" x14ac:dyDescent="0.3">
      <c r="A711" s="159" t="s">
        <v>1460</v>
      </c>
      <c r="B711" s="586"/>
      <c r="C711" s="150"/>
      <c r="D711" s="150"/>
      <c r="E711" s="150"/>
      <c r="F711" s="150"/>
      <c r="G711" s="117"/>
      <c r="H711" s="117"/>
      <c r="I711" s="117"/>
      <c r="J711" s="117"/>
      <c r="K711" s="150"/>
      <c r="L711" s="117"/>
      <c r="M711" s="117"/>
      <c r="N711" s="117"/>
      <c r="O711" s="117"/>
      <c r="P711" s="150"/>
      <c r="Q711" s="117"/>
      <c r="R711" s="117"/>
      <c r="S711" s="117"/>
      <c r="T711" s="117"/>
      <c r="U711" s="150"/>
      <c r="V711" s="117"/>
      <c r="W711" s="117"/>
      <c r="X711" s="117"/>
      <c r="Y711" s="117"/>
      <c r="Z711" s="150"/>
      <c r="AA711" s="117"/>
      <c r="AB711" s="117"/>
      <c r="AC711" s="117"/>
      <c r="AD711" s="117"/>
      <c r="AE711" s="150"/>
      <c r="AF711" s="117"/>
      <c r="AG711" s="117"/>
      <c r="AH711" s="117"/>
      <c r="AI711" s="117"/>
      <c r="AJ711" s="150"/>
      <c r="AK711" s="117"/>
      <c r="AL711" s="117"/>
      <c r="AM711" s="117"/>
      <c r="AN711" s="117"/>
      <c r="AO711" s="150">
        <f t="shared" si="55"/>
        <v>0</v>
      </c>
      <c r="AP711" s="117"/>
      <c r="AQ711" s="117"/>
      <c r="AR711" s="117"/>
      <c r="AS711" s="117"/>
      <c r="AT711" s="150">
        <f t="shared" si="56"/>
        <v>0</v>
      </c>
      <c r="AU711" s="117"/>
      <c r="AV711" s="117"/>
      <c r="AW711" s="117"/>
      <c r="AX711" s="117"/>
      <c r="AY711" s="150">
        <f t="shared" si="57"/>
        <v>0</v>
      </c>
      <c r="AZ711" s="117"/>
      <c r="BA711" s="117"/>
      <c r="BB711" s="117"/>
      <c r="BC711" s="117"/>
      <c r="BD711" s="150">
        <f t="shared" si="58"/>
        <v>1</v>
      </c>
      <c r="BE711" s="117"/>
      <c r="BF711" s="117"/>
      <c r="BG711" s="117"/>
      <c r="BH711" s="117"/>
      <c r="BI711" s="150">
        <f t="shared" si="59"/>
        <v>2</v>
      </c>
      <c r="BJ711" s="117"/>
      <c r="BK711" s="117"/>
      <c r="BL711" s="117"/>
      <c r="BM711" s="117"/>
      <c r="BN711" s="150">
        <f t="shared" si="60"/>
        <v>2</v>
      </c>
      <c r="BO711" s="117"/>
      <c r="BP711" s="117"/>
      <c r="BQ711" s="117"/>
      <c r="BR711" s="117"/>
      <c r="BS711" s="975">
        <v>0</v>
      </c>
      <c r="BT711" s="691"/>
      <c r="BU711" s="117"/>
      <c r="BV711" s="117"/>
      <c r="BW711" s="117"/>
      <c r="BX711" s="150"/>
      <c r="BY711" s="117"/>
      <c r="BZ711" s="117"/>
      <c r="CA711" s="117"/>
      <c r="CB711" s="117"/>
      <c r="CC711" s="150"/>
      <c r="CD711" s="150"/>
      <c r="CE711" s="150"/>
      <c r="CF711" s="150"/>
      <c r="CG711" s="587"/>
    </row>
    <row r="712" spans="1:85" s="460" customFormat="1" ht="14.4" hidden="1" outlineLevel="1" x14ac:dyDescent="0.3">
      <c r="A712" s="159" t="s">
        <v>1461</v>
      </c>
      <c r="B712" s="586"/>
      <c r="C712" s="150"/>
      <c r="D712" s="150"/>
      <c r="E712" s="150"/>
      <c r="F712" s="150"/>
      <c r="G712" s="117"/>
      <c r="H712" s="117"/>
      <c r="I712" s="117"/>
      <c r="J712" s="117"/>
      <c r="K712" s="150"/>
      <c r="L712" s="117"/>
      <c r="M712" s="117"/>
      <c r="N712" s="117"/>
      <c r="O712" s="117"/>
      <c r="P712" s="150"/>
      <c r="Q712" s="117"/>
      <c r="R712" s="117"/>
      <c r="S712" s="117"/>
      <c r="T712" s="117"/>
      <c r="U712" s="150"/>
      <c r="V712" s="117"/>
      <c r="W712" s="117"/>
      <c r="X712" s="117"/>
      <c r="Y712" s="117"/>
      <c r="Z712" s="150"/>
      <c r="AA712" s="117"/>
      <c r="AB712" s="117"/>
      <c r="AC712" s="117"/>
      <c r="AD712" s="117"/>
      <c r="AE712" s="150"/>
      <c r="AF712" s="117"/>
      <c r="AG712" s="117"/>
      <c r="AH712" s="117"/>
      <c r="AI712" s="117"/>
      <c r="AJ712" s="150"/>
      <c r="AK712" s="117"/>
      <c r="AL712" s="117"/>
      <c r="AM712" s="117"/>
      <c r="AN712" s="117"/>
      <c r="AO712" s="150">
        <f t="shared" si="55"/>
        <v>1156</v>
      </c>
      <c r="AP712" s="117"/>
      <c r="AQ712" s="117"/>
      <c r="AR712" s="117"/>
      <c r="AS712" s="117"/>
      <c r="AT712" s="150">
        <f t="shared" si="56"/>
        <v>453</v>
      </c>
      <c r="AU712" s="117"/>
      <c r="AV712" s="117"/>
      <c r="AW712" s="117"/>
      <c r="AX712" s="117"/>
      <c r="AY712" s="150">
        <f t="shared" si="57"/>
        <v>1490</v>
      </c>
      <c r="AZ712" s="117"/>
      <c r="BA712" s="117"/>
      <c r="BB712" s="117"/>
      <c r="BC712" s="117"/>
      <c r="BD712" s="150">
        <f t="shared" si="58"/>
        <v>1637</v>
      </c>
      <c r="BE712" s="117"/>
      <c r="BF712" s="117"/>
      <c r="BG712" s="117"/>
      <c r="BH712" s="117"/>
      <c r="BI712" s="150">
        <f t="shared" si="59"/>
        <v>743</v>
      </c>
      <c r="BJ712" s="117"/>
      <c r="BK712" s="117"/>
      <c r="BL712" s="117"/>
      <c r="BM712" s="117"/>
      <c r="BN712" s="150">
        <f t="shared" si="60"/>
        <v>1114</v>
      </c>
      <c r="BO712" s="117"/>
      <c r="BP712" s="117"/>
      <c r="BQ712" s="117"/>
      <c r="BR712" s="117"/>
      <c r="BS712" s="975">
        <v>1544</v>
      </c>
      <c r="BT712" s="691"/>
      <c r="BU712" s="117"/>
      <c r="BV712" s="117"/>
      <c r="BW712" s="117"/>
      <c r="BX712" s="150"/>
      <c r="BY712" s="117"/>
      <c r="BZ712" s="117"/>
      <c r="CA712" s="117"/>
      <c r="CB712" s="117"/>
      <c r="CC712" s="150"/>
      <c r="CD712" s="150"/>
      <c r="CE712" s="150"/>
      <c r="CF712" s="150"/>
      <c r="CG712" s="587"/>
    </row>
    <row r="713" spans="1:85" s="460" customFormat="1" ht="14.4" hidden="1" outlineLevel="1" x14ac:dyDescent="0.3">
      <c r="A713" s="159" t="s">
        <v>1462</v>
      </c>
      <c r="B713" s="586"/>
      <c r="C713" s="150"/>
      <c r="D713" s="150"/>
      <c r="E713" s="150"/>
      <c r="F713" s="150"/>
      <c r="G713" s="117"/>
      <c r="H713" s="117"/>
      <c r="I713" s="117"/>
      <c r="J713" s="117"/>
      <c r="K713" s="150"/>
      <c r="L713" s="117"/>
      <c r="M713" s="117"/>
      <c r="N713" s="117"/>
      <c r="O713" s="117"/>
      <c r="P713" s="150"/>
      <c r="Q713" s="117"/>
      <c r="R713" s="117"/>
      <c r="S713" s="117"/>
      <c r="T713" s="117"/>
      <c r="U713" s="150"/>
      <c r="V713" s="117"/>
      <c r="W713" s="117"/>
      <c r="X713" s="117"/>
      <c r="Y713" s="117"/>
      <c r="Z713" s="150"/>
      <c r="AA713" s="117"/>
      <c r="AB713" s="117"/>
      <c r="AC713" s="117"/>
      <c r="AD713" s="117"/>
      <c r="AE713" s="150"/>
      <c r="AF713" s="117"/>
      <c r="AG713" s="117"/>
      <c r="AH713" s="117"/>
      <c r="AI713" s="117"/>
      <c r="AJ713" s="150"/>
      <c r="AK713" s="117"/>
      <c r="AL713" s="117"/>
      <c r="AM713" s="117"/>
      <c r="AN713" s="117"/>
      <c r="AO713" s="150">
        <f t="shared" si="55"/>
        <v>24</v>
      </c>
      <c r="AP713" s="117"/>
      <c r="AQ713" s="117"/>
      <c r="AR713" s="117"/>
      <c r="AS713" s="117"/>
      <c r="AT713" s="150">
        <f t="shared" si="56"/>
        <v>7339</v>
      </c>
      <c r="AU713" s="117"/>
      <c r="AV713" s="117"/>
      <c r="AW713" s="117"/>
      <c r="AX713" s="117"/>
      <c r="AY713" s="150">
        <f t="shared" si="57"/>
        <v>44</v>
      </c>
      <c r="AZ713" s="117"/>
      <c r="BA713" s="117"/>
      <c r="BB713" s="117"/>
      <c r="BC713" s="117"/>
      <c r="BD713" s="150">
        <f t="shared" si="58"/>
        <v>140</v>
      </c>
      <c r="BE713" s="117"/>
      <c r="BF713" s="117"/>
      <c r="BG713" s="117"/>
      <c r="BH713" s="117"/>
      <c r="BI713" s="150">
        <f t="shared" si="59"/>
        <v>2258</v>
      </c>
      <c r="BJ713" s="117"/>
      <c r="BK713" s="117"/>
      <c r="BL713" s="117"/>
      <c r="BM713" s="117"/>
      <c r="BN713" s="150">
        <f t="shared" si="60"/>
        <v>209</v>
      </c>
      <c r="BO713" s="117"/>
      <c r="BP713" s="117"/>
      <c r="BQ713" s="117"/>
      <c r="BR713" s="117"/>
      <c r="BS713" s="975">
        <v>1542</v>
      </c>
      <c r="BT713" s="691"/>
      <c r="BU713" s="117"/>
      <c r="BV713" s="117"/>
      <c r="BW713" s="117"/>
      <c r="BX713" s="150"/>
      <c r="BY713" s="117"/>
      <c r="BZ713" s="117"/>
      <c r="CA713" s="117"/>
      <c r="CB713" s="117"/>
      <c r="CC713" s="150"/>
      <c r="CD713" s="150"/>
      <c r="CE713" s="150"/>
      <c r="CF713" s="150"/>
      <c r="CG713" s="587"/>
    </row>
    <row r="714" spans="1:85" s="460" customFormat="1" ht="14.4" hidden="1" outlineLevel="1" x14ac:dyDescent="0.3">
      <c r="A714" s="159" t="s">
        <v>1463</v>
      </c>
      <c r="B714" s="586"/>
      <c r="C714" s="150"/>
      <c r="D714" s="150"/>
      <c r="E714" s="150"/>
      <c r="F714" s="150"/>
      <c r="G714" s="117"/>
      <c r="H714" s="117"/>
      <c r="I714" s="117"/>
      <c r="J714" s="117"/>
      <c r="K714" s="150"/>
      <c r="L714" s="117"/>
      <c r="M714" s="117"/>
      <c r="N714" s="117"/>
      <c r="O714" s="117"/>
      <c r="P714" s="150"/>
      <c r="Q714" s="117"/>
      <c r="R714" s="117"/>
      <c r="S714" s="117"/>
      <c r="T714" s="117"/>
      <c r="U714" s="150"/>
      <c r="V714" s="117"/>
      <c r="W714" s="117"/>
      <c r="X714" s="117"/>
      <c r="Y714" s="117"/>
      <c r="Z714" s="150"/>
      <c r="AA714" s="117"/>
      <c r="AB714" s="117"/>
      <c r="AC714" s="117"/>
      <c r="AD714" s="117"/>
      <c r="AE714" s="150"/>
      <c r="AF714" s="117"/>
      <c r="AG714" s="117"/>
      <c r="AH714" s="117"/>
      <c r="AI714" s="117"/>
      <c r="AJ714" s="150"/>
      <c r="AK714" s="117"/>
      <c r="AL714" s="117"/>
      <c r="AM714" s="117"/>
      <c r="AN714" s="117"/>
      <c r="AO714" s="150">
        <f t="shared" si="55"/>
        <v>-243</v>
      </c>
      <c r="AP714" s="117"/>
      <c r="AQ714" s="117"/>
      <c r="AR714" s="117"/>
      <c r="AS714" s="117"/>
      <c r="AT714" s="150">
        <f t="shared" si="56"/>
        <v>-1755</v>
      </c>
      <c r="AU714" s="117"/>
      <c r="AV714" s="117"/>
      <c r="AW714" s="117"/>
      <c r="AX714" s="117"/>
      <c r="AY714" s="150">
        <f t="shared" si="57"/>
        <v>-42</v>
      </c>
      <c r="AZ714" s="117"/>
      <c r="BA714" s="117"/>
      <c r="BB714" s="117"/>
      <c r="BC714" s="117"/>
      <c r="BD714" s="150">
        <f t="shared" si="58"/>
        <v>-254</v>
      </c>
      <c r="BE714" s="117"/>
      <c r="BF714" s="117"/>
      <c r="BG714" s="117"/>
      <c r="BH714" s="117"/>
      <c r="BI714" s="150">
        <f t="shared" si="59"/>
        <v>-3</v>
      </c>
      <c r="BJ714" s="117"/>
      <c r="BK714" s="117"/>
      <c r="BL714" s="117"/>
      <c r="BM714" s="117"/>
      <c r="BN714" s="150">
        <f t="shared" si="60"/>
        <v>-330</v>
      </c>
      <c r="BO714" s="117"/>
      <c r="BP714" s="117"/>
      <c r="BQ714" s="117"/>
      <c r="BR714" s="117"/>
      <c r="BS714" s="975">
        <v>-170</v>
      </c>
      <c r="BT714" s="691"/>
      <c r="BU714" s="117"/>
      <c r="BV714" s="117"/>
      <c r="BW714" s="117"/>
      <c r="BX714" s="150"/>
      <c r="BY714" s="117"/>
      <c r="BZ714" s="117"/>
      <c r="CA714" s="117"/>
      <c r="CB714" s="117"/>
      <c r="CC714" s="150"/>
      <c r="CD714" s="150"/>
      <c r="CE714" s="150"/>
      <c r="CF714" s="150"/>
      <c r="CG714" s="587"/>
    </row>
    <row r="715" spans="1:85" s="460" customFormat="1" ht="14.4" hidden="1" outlineLevel="1" x14ac:dyDescent="0.3">
      <c r="A715" s="262" t="s">
        <v>1464</v>
      </c>
      <c r="B715" s="588"/>
      <c r="C715" s="954"/>
      <c r="D715" s="954"/>
      <c r="E715" s="954"/>
      <c r="F715" s="954"/>
      <c r="G715" s="133"/>
      <c r="H715" s="133"/>
      <c r="I715" s="133"/>
      <c r="J715" s="133"/>
      <c r="K715" s="954"/>
      <c r="L715" s="133"/>
      <c r="M715" s="133"/>
      <c r="N715" s="133"/>
      <c r="O715" s="133"/>
      <c r="P715" s="954"/>
      <c r="Q715" s="133"/>
      <c r="R715" s="133"/>
      <c r="S715" s="133"/>
      <c r="T715" s="133"/>
      <c r="U715" s="954"/>
      <c r="V715" s="133"/>
      <c r="W715" s="133"/>
      <c r="X715" s="133"/>
      <c r="Y715" s="133"/>
      <c r="Z715" s="954"/>
      <c r="AA715" s="133"/>
      <c r="AB715" s="133"/>
      <c r="AC715" s="133"/>
      <c r="AD715" s="133"/>
      <c r="AE715" s="954"/>
      <c r="AF715" s="133"/>
      <c r="AG715" s="133"/>
      <c r="AH715" s="133"/>
      <c r="AI715" s="133"/>
      <c r="AJ715" s="954"/>
      <c r="AK715" s="133"/>
      <c r="AL715" s="133"/>
      <c r="AM715" s="133"/>
      <c r="AN715" s="133"/>
      <c r="AO715" s="954">
        <f t="shared" si="55"/>
        <v>-2357</v>
      </c>
      <c r="AP715" s="133"/>
      <c r="AQ715" s="133"/>
      <c r="AR715" s="133"/>
      <c r="AS715" s="133"/>
      <c r="AT715" s="954">
        <f t="shared" si="56"/>
        <v>-2414</v>
      </c>
      <c r="AU715" s="133"/>
      <c r="AV715" s="133"/>
      <c r="AW715" s="133"/>
      <c r="AX715" s="133"/>
      <c r="AY715" s="954">
        <f t="shared" si="57"/>
        <v>-2590</v>
      </c>
      <c r="AZ715" s="133"/>
      <c r="BA715" s="133"/>
      <c r="BB715" s="133"/>
      <c r="BC715" s="133"/>
      <c r="BD715" s="954">
        <f t="shared" si="58"/>
        <v>-2578</v>
      </c>
      <c r="BE715" s="133"/>
      <c r="BF715" s="133"/>
      <c r="BG715" s="133"/>
      <c r="BH715" s="133"/>
      <c r="BI715" s="954">
        <f t="shared" si="59"/>
        <v>-2607</v>
      </c>
      <c r="BJ715" s="133"/>
      <c r="BK715" s="133"/>
      <c r="BL715" s="133"/>
      <c r="BM715" s="133"/>
      <c r="BN715" s="954">
        <f t="shared" si="60"/>
        <v>-2767</v>
      </c>
      <c r="BO715" s="133"/>
      <c r="BP715" s="133"/>
      <c r="BQ715" s="133"/>
      <c r="BR715" s="133"/>
      <c r="BS715" s="976">
        <v>-2861</v>
      </c>
      <c r="BT715" s="692"/>
      <c r="BU715" s="133"/>
      <c r="BV715" s="133"/>
      <c r="BW715" s="133"/>
      <c r="BX715" s="954"/>
      <c r="BY715" s="133"/>
      <c r="BZ715" s="133"/>
      <c r="CA715" s="133"/>
      <c r="CB715" s="133"/>
      <c r="CC715" s="954"/>
      <c r="CD715" s="954"/>
      <c r="CE715" s="954"/>
      <c r="CF715" s="954"/>
      <c r="CG715" s="587"/>
    </row>
    <row r="716" spans="1:85" s="461" customFormat="1" ht="14.4" hidden="1" outlineLevel="1" x14ac:dyDescent="0.3">
      <c r="A716" s="166" t="s">
        <v>1465</v>
      </c>
      <c r="B716" s="583"/>
      <c r="C716" s="957"/>
      <c r="D716" s="957"/>
      <c r="E716" s="957"/>
      <c r="F716" s="957"/>
      <c r="G716" s="120"/>
      <c r="H716" s="120"/>
      <c r="I716" s="120"/>
      <c r="J716" s="120"/>
      <c r="K716" s="957"/>
      <c r="L716" s="120"/>
      <c r="M716" s="120"/>
      <c r="N716" s="120"/>
      <c r="O716" s="120"/>
      <c r="P716" s="957"/>
      <c r="Q716" s="120"/>
      <c r="R716" s="120"/>
      <c r="S716" s="120"/>
      <c r="T716" s="120"/>
      <c r="U716" s="957"/>
      <c r="V716" s="120"/>
      <c r="W716" s="120"/>
      <c r="X716" s="120"/>
      <c r="Y716" s="120"/>
      <c r="Z716" s="957"/>
      <c r="AA716" s="120"/>
      <c r="AB716" s="120"/>
      <c r="AC716" s="120"/>
      <c r="AD716" s="120"/>
      <c r="AE716" s="957"/>
      <c r="AF716" s="120"/>
      <c r="AG716" s="120"/>
      <c r="AH716" s="120"/>
      <c r="AI716" s="120"/>
      <c r="AJ716" s="957"/>
      <c r="AK716" s="120"/>
      <c r="AL716" s="120"/>
      <c r="AM716" s="120"/>
      <c r="AN716" s="120"/>
      <c r="AO716" s="957">
        <f>SUM(AO709:AO715)</f>
        <v>26587</v>
      </c>
      <c r="AP716" s="120"/>
      <c r="AQ716" s="120"/>
      <c r="AR716" s="120"/>
      <c r="AS716" s="120"/>
      <c r="AT716" s="957">
        <f>SUM(AT709:AT715)</f>
        <v>27006</v>
      </c>
      <c r="AU716" s="120"/>
      <c r="AV716" s="120"/>
      <c r="AW716" s="120"/>
      <c r="AX716" s="120"/>
      <c r="AY716" s="957">
        <f>SUM(AY709:AY715)</f>
        <v>28314</v>
      </c>
      <c r="AZ716" s="120"/>
      <c r="BA716" s="120"/>
      <c r="BB716" s="120"/>
      <c r="BC716" s="120"/>
      <c r="BD716" s="957">
        <f>SUM(BD709:BD715)</f>
        <v>28765</v>
      </c>
      <c r="BE716" s="120"/>
      <c r="BF716" s="120"/>
      <c r="BG716" s="120"/>
      <c r="BH716" s="120"/>
      <c r="BI716" s="957">
        <f>SUM(BI709:BI715)</f>
        <v>28318</v>
      </c>
      <c r="BJ716" s="120"/>
      <c r="BK716" s="120"/>
      <c r="BL716" s="120"/>
      <c r="BM716" s="120"/>
      <c r="BN716" s="957">
        <f>SUM(BN709:BN715)</f>
        <v>26526</v>
      </c>
      <c r="BO716" s="120"/>
      <c r="BP716" s="120"/>
      <c r="BQ716" s="120"/>
      <c r="BR716" s="120"/>
      <c r="BS716" s="957">
        <f>SUM(BS709:BS715)</f>
        <v>27642</v>
      </c>
      <c r="BT716" s="694"/>
      <c r="BU716" s="120"/>
      <c r="BV716" s="120"/>
      <c r="BW716" s="120"/>
      <c r="BX716" s="957"/>
      <c r="BY716" s="120"/>
      <c r="BZ716" s="120"/>
      <c r="CA716" s="120"/>
      <c r="CB716" s="120"/>
      <c r="CC716" s="957"/>
      <c r="CD716" s="957"/>
      <c r="CE716" s="957"/>
      <c r="CF716" s="957"/>
      <c r="CG716" s="615"/>
    </row>
    <row r="717" spans="1:85" s="461" customFormat="1" ht="14.4" hidden="1" outlineLevel="1" x14ac:dyDescent="0.3">
      <c r="A717" s="159"/>
      <c r="B717" s="583"/>
      <c r="C717" s="957"/>
      <c r="D717" s="957"/>
      <c r="E717" s="957"/>
      <c r="F717" s="957"/>
      <c r="G717" s="120"/>
      <c r="H717" s="120"/>
      <c r="I717" s="120"/>
      <c r="J717" s="120"/>
      <c r="K717" s="957"/>
      <c r="L717" s="120"/>
      <c r="M717" s="120"/>
      <c r="N717" s="120"/>
      <c r="O717" s="120"/>
      <c r="P717" s="957"/>
      <c r="Q717" s="120"/>
      <c r="R717" s="120"/>
      <c r="S717" s="120"/>
      <c r="T717" s="120"/>
      <c r="U717" s="957"/>
      <c r="V717" s="120"/>
      <c r="W717" s="120"/>
      <c r="X717" s="120"/>
      <c r="Y717" s="120"/>
      <c r="Z717" s="957"/>
      <c r="AA717" s="120"/>
      <c r="AB717" s="120"/>
      <c r="AC717" s="120"/>
      <c r="AD717" s="120"/>
      <c r="AE717" s="957"/>
      <c r="AF717" s="120"/>
      <c r="AG717" s="120"/>
      <c r="AH717" s="120"/>
      <c r="AI717" s="120"/>
      <c r="AJ717" s="957"/>
      <c r="AK717" s="120"/>
      <c r="AL717" s="120"/>
      <c r="AM717" s="120"/>
      <c r="AN717" s="120"/>
      <c r="AO717" s="957"/>
      <c r="AP717" s="120"/>
      <c r="AQ717" s="120"/>
      <c r="AR717" s="120"/>
      <c r="AS717" s="120"/>
      <c r="AT717" s="957"/>
      <c r="AU717" s="120"/>
      <c r="AV717" s="120"/>
      <c r="AW717" s="120"/>
      <c r="AX717" s="120"/>
      <c r="AY717" s="957"/>
      <c r="AZ717" s="120"/>
      <c r="BA717" s="120"/>
      <c r="BB717" s="120"/>
      <c r="BC717" s="120"/>
      <c r="BD717" s="957"/>
      <c r="BE717" s="120"/>
      <c r="BF717" s="120"/>
      <c r="BG717" s="120"/>
      <c r="BH717" s="120"/>
      <c r="BI717" s="957"/>
      <c r="BJ717" s="120"/>
      <c r="BK717" s="120"/>
      <c r="BL717" s="120"/>
      <c r="BM717" s="120"/>
      <c r="BN717" s="957"/>
      <c r="BO717" s="120"/>
      <c r="BP717" s="120"/>
      <c r="BQ717" s="120"/>
      <c r="BR717" s="120"/>
      <c r="BS717" s="957"/>
      <c r="BT717" s="694"/>
      <c r="BU717" s="120"/>
      <c r="BV717" s="120"/>
      <c r="BW717" s="120"/>
      <c r="BX717" s="957"/>
      <c r="BY717" s="120"/>
      <c r="BZ717" s="120"/>
      <c r="CA717" s="120"/>
      <c r="CB717" s="120"/>
      <c r="CC717" s="957"/>
      <c r="CD717" s="957"/>
      <c r="CE717" s="957"/>
      <c r="CF717" s="957"/>
      <c r="CG717" s="615"/>
    </row>
    <row r="718" spans="1:85" s="461" customFormat="1" ht="14.4" hidden="1" outlineLevel="1" x14ac:dyDescent="0.3">
      <c r="A718" s="166" t="s">
        <v>1466</v>
      </c>
      <c r="B718" s="583"/>
      <c r="C718" s="957"/>
      <c r="D718" s="957"/>
      <c r="E718" s="957"/>
      <c r="F718" s="957"/>
      <c r="G718" s="120"/>
      <c r="H718" s="120"/>
      <c r="I718" s="120"/>
      <c r="J718" s="120"/>
      <c r="K718" s="957"/>
      <c r="L718" s="120"/>
      <c r="M718" s="120"/>
      <c r="N718" s="120"/>
      <c r="O718" s="120"/>
      <c r="P718" s="957"/>
      <c r="Q718" s="120"/>
      <c r="R718" s="120"/>
      <c r="S718" s="120"/>
      <c r="T718" s="120"/>
      <c r="U718" s="957"/>
      <c r="V718" s="120"/>
      <c r="W718" s="120"/>
      <c r="X718" s="120"/>
      <c r="Y718" s="120"/>
      <c r="Z718" s="957"/>
      <c r="AA718" s="120"/>
      <c r="AB718" s="120"/>
      <c r="AC718" s="120"/>
      <c r="AD718" s="120"/>
      <c r="AE718" s="957"/>
      <c r="AF718" s="120"/>
      <c r="AG718" s="120"/>
      <c r="AH718" s="120"/>
      <c r="AI718" s="120"/>
      <c r="AJ718" s="957"/>
      <c r="AK718" s="120"/>
      <c r="AL718" s="120"/>
      <c r="AM718" s="120"/>
      <c r="AN718" s="120"/>
      <c r="AO718" s="983">
        <v>1934</v>
      </c>
      <c r="AP718" s="120"/>
      <c r="AQ718" s="120"/>
      <c r="AR718" s="120"/>
      <c r="AS718" s="120"/>
      <c r="AT718" s="983">
        <v>2004</v>
      </c>
      <c r="AU718" s="120"/>
      <c r="AV718" s="120"/>
      <c r="AW718" s="120"/>
      <c r="AX718" s="120"/>
      <c r="AY718" s="983">
        <v>2018</v>
      </c>
      <c r="AZ718" s="120"/>
      <c r="BA718" s="120"/>
      <c r="BB718" s="120"/>
      <c r="BC718" s="120"/>
      <c r="BD718" s="983">
        <v>1701</v>
      </c>
      <c r="BE718" s="120"/>
      <c r="BF718" s="120"/>
      <c r="BG718" s="120"/>
      <c r="BH718" s="120"/>
      <c r="BI718" s="983">
        <v>1263</v>
      </c>
      <c r="BJ718" s="120"/>
      <c r="BK718" s="120"/>
      <c r="BL718" s="120"/>
      <c r="BM718" s="120"/>
      <c r="BN718" s="983">
        <v>1295</v>
      </c>
      <c r="BO718" s="120"/>
      <c r="BP718" s="120"/>
      <c r="BQ718" s="120"/>
      <c r="BR718" s="120"/>
      <c r="BS718" s="983">
        <v>1138</v>
      </c>
      <c r="BT718" s="694"/>
      <c r="BU718" s="120"/>
      <c r="BV718" s="120"/>
      <c r="BW718" s="120"/>
      <c r="BX718" s="957"/>
      <c r="BY718" s="120"/>
      <c r="BZ718" s="120"/>
      <c r="CA718" s="120"/>
      <c r="CB718" s="120"/>
      <c r="CC718" s="957"/>
      <c r="CD718" s="957"/>
      <c r="CE718" s="957"/>
      <c r="CF718" s="957"/>
      <c r="CG718" s="615"/>
    </row>
    <row r="719" spans="1:85" s="460" customFormat="1" ht="14.4" hidden="1" outlineLevel="1" x14ac:dyDescent="0.3">
      <c r="A719" s="159" t="s">
        <v>1467</v>
      </c>
      <c r="B719" s="586"/>
      <c r="C719" s="150"/>
      <c r="D719" s="150"/>
      <c r="E719" s="150"/>
      <c r="F719" s="150"/>
      <c r="G719" s="117"/>
      <c r="H719" s="117"/>
      <c r="I719" s="117"/>
      <c r="J719" s="117"/>
      <c r="K719" s="150"/>
      <c r="L719" s="117"/>
      <c r="M719" s="117"/>
      <c r="N719" s="117"/>
      <c r="O719" s="117"/>
      <c r="P719" s="150"/>
      <c r="Q719" s="117"/>
      <c r="R719" s="117"/>
      <c r="S719" s="117"/>
      <c r="T719" s="117"/>
      <c r="U719" s="150"/>
      <c r="V719" s="117"/>
      <c r="W719" s="117"/>
      <c r="X719" s="117"/>
      <c r="Y719" s="117"/>
      <c r="Z719" s="150"/>
      <c r="AA719" s="117"/>
      <c r="AB719" s="117"/>
      <c r="AC719" s="117"/>
      <c r="AD719" s="117"/>
      <c r="AE719" s="150"/>
      <c r="AF719" s="117"/>
      <c r="AG719" s="117"/>
      <c r="AH719" s="117"/>
      <c r="AI719" s="117"/>
      <c r="AJ719" s="150"/>
      <c r="AK719" s="117"/>
      <c r="AL719" s="117"/>
      <c r="AM719" s="117"/>
      <c r="AN719" s="117"/>
      <c r="AO719" s="975">
        <v>223</v>
      </c>
      <c r="AP719" s="117"/>
      <c r="AQ719" s="117"/>
      <c r="AR719" s="117"/>
      <c r="AS719" s="117"/>
      <c r="AT719" s="975">
        <v>162</v>
      </c>
      <c r="AU719" s="117"/>
      <c r="AV719" s="117"/>
      <c r="AW719" s="117"/>
      <c r="AX719" s="117"/>
      <c r="AY719" s="975">
        <v>-179</v>
      </c>
      <c r="AZ719" s="117"/>
      <c r="BA719" s="117"/>
      <c r="BB719" s="117"/>
      <c r="BC719" s="117"/>
      <c r="BD719" s="975">
        <v>-285</v>
      </c>
      <c r="BE719" s="117"/>
      <c r="BF719" s="117"/>
      <c r="BG719" s="117"/>
      <c r="BH719" s="117"/>
      <c r="BI719" s="975">
        <v>166</v>
      </c>
      <c r="BJ719" s="117"/>
      <c r="BK719" s="117"/>
      <c r="BL719" s="117"/>
      <c r="BM719" s="117"/>
      <c r="BN719" s="975">
        <v>-21</v>
      </c>
      <c r="BO719" s="117"/>
      <c r="BP719" s="117"/>
      <c r="BQ719" s="117"/>
      <c r="BR719" s="117"/>
      <c r="BS719" s="975">
        <v>-108</v>
      </c>
      <c r="BT719" s="691"/>
      <c r="BU719" s="117"/>
      <c r="BV719" s="117"/>
      <c r="BW719" s="117"/>
      <c r="BX719" s="150"/>
      <c r="BY719" s="117"/>
      <c r="BZ719" s="117"/>
      <c r="CA719" s="117"/>
      <c r="CB719" s="117"/>
      <c r="CC719" s="150"/>
      <c r="CD719" s="150"/>
      <c r="CE719" s="150"/>
      <c r="CF719" s="150"/>
      <c r="CG719" s="587"/>
    </row>
    <row r="720" spans="1:85" s="460" customFormat="1" ht="14.4" hidden="1" outlineLevel="1" x14ac:dyDescent="0.3">
      <c r="A720" s="159" t="s">
        <v>1468</v>
      </c>
      <c r="B720" s="586"/>
      <c r="C720" s="150"/>
      <c r="D720" s="150"/>
      <c r="E720" s="150"/>
      <c r="F720" s="150"/>
      <c r="G720" s="117"/>
      <c r="H720" s="117"/>
      <c r="I720" s="117"/>
      <c r="J720" s="117"/>
      <c r="K720" s="150"/>
      <c r="L720" s="117"/>
      <c r="M720" s="117"/>
      <c r="N720" s="117"/>
      <c r="O720" s="117"/>
      <c r="P720" s="150"/>
      <c r="Q720" s="117"/>
      <c r="R720" s="117"/>
      <c r="S720" s="117"/>
      <c r="T720" s="117"/>
      <c r="U720" s="150"/>
      <c r="V720" s="117"/>
      <c r="W720" s="117"/>
      <c r="X720" s="117"/>
      <c r="Y720" s="117"/>
      <c r="Z720" s="150"/>
      <c r="AA720" s="117"/>
      <c r="AB720" s="117"/>
      <c r="AC720" s="117"/>
      <c r="AD720" s="117"/>
      <c r="AE720" s="150"/>
      <c r="AF720" s="117"/>
      <c r="AG720" s="117"/>
      <c r="AH720" s="117"/>
      <c r="AI720" s="117"/>
      <c r="AJ720" s="150"/>
      <c r="AK720" s="117"/>
      <c r="AL720" s="117"/>
      <c r="AM720" s="117"/>
      <c r="AN720" s="117"/>
      <c r="AO720" s="975">
        <v>0</v>
      </c>
      <c r="AP720" s="117"/>
      <c r="AQ720" s="117"/>
      <c r="AR720" s="117"/>
      <c r="AS720" s="117"/>
      <c r="AT720" s="975">
        <v>0</v>
      </c>
      <c r="AU720" s="117"/>
      <c r="AV720" s="117"/>
      <c r="AW720" s="117"/>
      <c r="AX720" s="117"/>
      <c r="AY720" s="975">
        <v>0</v>
      </c>
      <c r="AZ720" s="117"/>
      <c r="BA720" s="117"/>
      <c r="BB720" s="117"/>
      <c r="BC720" s="117"/>
      <c r="BD720" s="975">
        <v>0</v>
      </c>
      <c r="BE720" s="117"/>
      <c r="BF720" s="117"/>
      <c r="BG720" s="117"/>
      <c r="BH720" s="117"/>
      <c r="BI720" s="975">
        <v>0</v>
      </c>
      <c r="BJ720" s="117"/>
      <c r="BK720" s="117"/>
      <c r="BL720" s="117"/>
      <c r="BM720" s="117"/>
      <c r="BN720" s="975">
        <v>0</v>
      </c>
      <c r="BO720" s="117"/>
      <c r="BP720" s="117"/>
      <c r="BQ720" s="117"/>
      <c r="BR720" s="117"/>
      <c r="BS720" s="975">
        <v>0</v>
      </c>
      <c r="BT720" s="691"/>
      <c r="BU720" s="117"/>
      <c r="BV720" s="117"/>
      <c r="BW720" s="117"/>
      <c r="BX720" s="150"/>
      <c r="BY720" s="117"/>
      <c r="BZ720" s="117"/>
      <c r="CA720" s="117"/>
      <c r="CB720" s="117"/>
      <c r="CC720" s="150"/>
      <c r="CD720" s="150"/>
      <c r="CE720" s="150"/>
      <c r="CF720" s="150"/>
      <c r="CG720" s="587"/>
    </row>
    <row r="721" spans="1:85" s="460" customFormat="1" ht="14.4" hidden="1" outlineLevel="1" x14ac:dyDescent="0.3">
      <c r="A721" s="159" t="s">
        <v>1469</v>
      </c>
      <c r="B721" s="586"/>
      <c r="C721" s="150"/>
      <c r="D721" s="150"/>
      <c r="E721" s="150"/>
      <c r="F721" s="150"/>
      <c r="G721" s="117"/>
      <c r="H721" s="117"/>
      <c r="I721" s="117"/>
      <c r="J721" s="117"/>
      <c r="K721" s="150"/>
      <c r="L721" s="117"/>
      <c r="M721" s="117"/>
      <c r="N721" s="117"/>
      <c r="O721" s="117"/>
      <c r="P721" s="150"/>
      <c r="Q721" s="117"/>
      <c r="R721" s="117"/>
      <c r="S721" s="117"/>
      <c r="T721" s="117"/>
      <c r="U721" s="150"/>
      <c r="V721" s="117"/>
      <c r="W721" s="117"/>
      <c r="X721" s="117"/>
      <c r="Y721" s="117"/>
      <c r="Z721" s="150"/>
      <c r="AA721" s="117"/>
      <c r="AB721" s="117"/>
      <c r="AC721" s="117"/>
      <c r="AD721" s="117"/>
      <c r="AE721" s="150"/>
      <c r="AF721" s="117"/>
      <c r="AG721" s="117"/>
      <c r="AH721" s="117"/>
      <c r="AI721" s="117"/>
      <c r="AJ721" s="150"/>
      <c r="AK721" s="117"/>
      <c r="AL721" s="117"/>
      <c r="AM721" s="117"/>
      <c r="AN721" s="117"/>
      <c r="AO721" s="975">
        <v>0</v>
      </c>
      <c r="AP721" s="117"/>
      <c r="AQ721" s="117"/>
      <c r="AR721" s="117"/>
      <c r="AS721" s="117"/>
      <c r="AT721" s="975">
        <v>0</v>
      </c>
      <c r="AU721" s="117"/>
      <c r="AV721" s="117"/>
      <c r="AW721" s="117"/>
      <c r="AX721" s="117"/>
      <c r="AY721" s="975">
        <v>0</v>
      </c>
      <c r="AZ721" s="117"/>
      <c r="BA721" s="117"/>
      <c r="BB721" s="117"/>
      <c r="BC721" s="117"/>
      <c r="BD721" s="975">
        <v>0</v>
      </c>
      <c r="BE721" s="117"/>
      <c r="BF721" s="117"/>
      <c r="BG721" s="117"/>
      <c r="BH721" s="117"/>
      <c r="BI721" s="975">
        <v>0</v>
      </c>
      <c r="BJ721" s="117"/>
      <c r="BK721" s="117"/>
      <c r="BL721" s="117"/>
      <c r="BM721" s="117"/>
      <c r="BN721" s="975">
        <v>0</v>
      </c>
      <c r="BO721" s="117"/>
      <c r="BP721" s="117"/>
      <c r="BQ721" s="117"/>
      <c r="BR721" s="117"/>
      <c r="BS721" s="975">
        <v>0</v>
      </c>
      <c r="BT721" s="691"/>
      <c r="BU721" s="117"/>
      <c r="BV721" s="117"/>
      <c r="BW721" s="117"/>
      <c r="BX721" s="150"/>
      <c r="BY721" s="117"/>
      <c r="BZ721" s="117"/>
      <c r="CA721" s="117"/>
      <c r="CB721" s="117"/>
      <c r="CC721" s="150"/>
      <c r="CD721" s="150"/>
      <c r="CE721" s="150"/>
      <c r="CF721" s="150"/>
      <c r="CG721" s="587"/>
    </row>
    <row r="722" spans="1:85" s="460" customFormat="1" ht="14.4" hidden="1" outlineLevel="1" x14ac:dyDescent="0.3">
      <c r="A722" s="159" t="s">
        <v>1470</v>
      </c>
      <c r="B722" s="586"/>
      <c r="C722" s="150"/>
      <c r="D722" s="150"/>
      <c r="E722" s="150"/>
      <c r="F722" s="150"/>
      <c r="G722" s="117"/>
      <c r="H722" s="117"/>
      <c r="I722" s="117"/>
      <c r="J722" s="117"/>
      <c r="K722" s="150"/>
      <c r="L722" s="117"/>
      <c r="M722" s="117"/>
      <c r="N722" s="117"/>
      <c r="O722" s="117"/>
      <c r="P722" s="150"/>
      <c r="Q722" s="117"/>
      <c r="R722" s="117"/>
      <c r="S722" s="117"/>
      <c r="T722" s="117"/>
      <c r="U722" s="150"/>
      <c r="V722" s="117"/>
      <c r="W722" s="117"/>
      <c r="X722" s="117"/>
      <c r="Y722" s="117"/>
      <c r="Z722" s="150"/>
      <c r="AA722" s="117"/>
      <c r="AB722" s="117"/>
      <c r="AC722" s="117"/>
      <c r="AD722" s="117"/>
      <c r="AE722" s="150"/>
      <c r="AF722" s="117"/>
      <c r="AG722" s="117"/>
      <c r="AH722" s="117"/>
      <c r="AI722" s="117"/>
      <c r="AJ722" s="150"/>
      <c r="AK722" s="117"/>
      <c r="AL722" s="117"/>
      <c r="AM722" s="117"/>
      <c r="AN722" s="117"/>
      <c r="AO722" s="975">
        <v>0</v>
      </c>
      <c r="AP722" s="117"/>
      <c r="AQ722" s="117"/>
      <c r="AR722" s="117"/>
      <c r="AS722" s="117"/>
      <c r="AT722" s="975">
        <v>0</v>
      </c>
      <c r="AU722" s="117"/>
      <c r="AV722" s="117"/>
      <c r="AW722" s="117"/>
      <c r="AX722" s="117"/>
      <c r="AY722" s="975">
        <v>0</v>
      </c>
      <c r="AZ722" s="117"/>
      <c r="BA722" s="117"/>
      <c r="BB722" s="117"/>
      <c r="BC722" s="117"/>
      <c r="BD722" s="975">
        <v>0</v>
      </c>
      <c r="BE722" s="117"/>
      <c r="BF722" s="117"/>
      <c r="BG722" s="117"/>
      <c r="BH722" s="117"/>
      <c r="BI722" s="975">
        <v>0</v>
      </c>
      <c r="BJ722" s="117"/>
      <c r="BK722" s="117"/>
      <c r="BL722" s="117"/>
      <c r="BM722" s="117"/>
      <c r="BN722" s="975">
        <v>0</v>
      </c>
      <c r="BO722" s="117"/>
      <c r="BP722" s="117"/>
      <c r="BQ722" s="117"/>
      <c r="BR722" s="117"/>
      <c r="BS722" s="975">
        <v>0</v>
      </c>
      <c r="BT722" s="691"/>
      <c r="BU722" s="117"/>
      <c r="BV722" s="117"/>
      <c r="BW722" s="117"/>
      <c r="BX722" s="150"/>
      <c r="BY722" s="117"/>
      <c r="BZ722" s="117"/>
      <c r="CA722" s="117"/>
      <c r="CB722" s="117"/>
      <c r="CC722" s="150"/>
      <c r="CD722" s="150"/>
      <c r="CE722" s="150"/>
      <c r="CF722" s="150"/>
      <c r="CG722" s="587"/>
    </row>
    <row r="723" spans="1:85" s="460" customFormat="1" ht="14.4" hidden="1" outlineLevel="1" x14ac:dyDescent="0.3">
      <c r="A723" s="159" t="s">
        <v>1471</v>
      </c>
      <c r="B723" s="586"/>
      <c r="C723" s="150"/>
      <c r="D723" s="150"/>
      <c r="E723" s="150"/>
      <c r="F723" s="150"/>
      <c r="G723" s="117"/>
      <c r="H723" s="117"/>
      <c r="I723" s="117"/>
      <c r="J723" s="117"/>
      <c r="K723" s="150"/>
      <c r="L723" s="117"/>
      <c r="M723" s="117"/>
      <c r="N723" s="117"/>
      <c r="O723" s="117"/>
      <c r="P723" s="150"/>
      <c r="Q723" s="117"/>
      <c r="R723" s="117"/>
      <c r="S723" s="117"/>
      <c r="T723" s="117"/>
      <c r="U723" s="150"/>
      <c r="V723" s="117"/>
      <c r="W723" s="117"/>
      <c r="X723" s="117"/>
      <c r="Y723" s="117"/>
      <c r="Z723" s="150"/>
      <c r="AA723" s="117"/>
      <c r="AB723" s="117"/>
      <c r="AC723" s="117"/>
      <c r="AD723" s="117"/>
      <c r="AE723" s="150"/>
      <c r="AF723" s="117"/>
      <c r="AG723" s="117"/>
      <c r="AH723" s="117"/>
      <c r="AI723" s="117"/>
      <c r="AJ723" s="150"/>
      <c r="AK723" s="117"/>
      <c r="AL723" s="117"/>
      <c r="AM723" s="117"/>
      <c r="AN723" s="117"/>
      <c r="AO723" s="975">
        <v>0</v>
      </c>
      <c r="AP723" s="117"/>
      <c r="AQ723" s="117"/>
      <c r="AR723" s="117"/>
      <c r="AS723" s="117"/>
      <c r="AT723" s="975">
        <v>0</v>
      </c>
      <c r="AU723" s="117"/>
      <c r="AV723" s="117"/>
      <c r="AW723" s="117"/>
      <c r="AX723" s="117"/>
      <c r="AY723" s="975">
        <v>0</v>
      </c>
      <c r="AZ723" s="117"/>
      <c r="BA723" s="117"/>
      <c r="BB723" s="117"/>
      <c r="BC723" s="117"/>
      <c r="BD723" s="975">
        <v>0</v>
      </c>
      <c r="BE723" s="117"/>
      <c r="BF723" s="117"/>
      <c r="BG723" s="117"/>
      <c r="BH723" s="117"/>
      <c r="BI723" s="975">
        <v>0</v>
      </c>
      <c r="BJ723" s="117"/>
      <c r="BK723" s="117"/>
      <c r="BL723" s="117"/>
      <c r="BM723" s="117"/>
      <c r="BN723" s="975">
        <v>0</v>
      </c>
      <c r="BO723" s="117"/>
      <c r="BP723" s="117"/>
      <c r="BQ723" s="117"/>
      <c r="BR723" s="117"/>
      <c r="BS723" s="975">
        <v>0</v>
      </c>
      <c r="BT723" s="691"/>
      <c r="BU723" s="117"/>
      <c r="BV723" s="117"/>
      <c r="BW723" s="117"/>
      <c r="BX723" s="150"/>
      <c r="BY723" s="117"/>
      <c r="BZ723" s="117"/>
      <c r="CA723" s="117"/>
      <c r="CB723" s="117"/>
      <c r="CC723" s="150"/>
      <c r="CD723" s="150"/>
      <c r="CE723" s="150"/>
      <c r="CF723" s="150"/>
      <c r="CG723" s="587"/>
    </row>
    <row r="724" spans="1:85" s="460" customFormat="1" ht="14.4" hidden="1" outlineLevel="1" x14ac:dyDescent="0.3">
      <c r="A724" s="262" t="s">
        <v>1472</v>
      </c>
      <c r="B724" s="588"/>
      <c r="C724" s="954"/>
      <c r="D724" s="954"/>
      <c r="E724" s="954"/>
      <c r="F724" s="954"/>
      <c r="G724" s="133"/>
      <c r="H724" s="133"/>
      <c r="I724" s="133"/>
      <c r="J724" s="133"/>
      <c r="K724" s="954"/>
      <c r="L724" s="133"/>
      <c r="M724" s="133"/>
      <c r="N724" s="133"/>
      <c r="O724" s="133"/>
      <c r="P724" s="954"/>
      <c r="Q724" s="133"/>
      <c r="R724" s="133"/>
      <c r="S724" s="133"/>
      <c r="T724" s="133"/>
      <c r="U724" s="954"/>
      <c r="V724" s="133"/>
      <c r="W724" s="133"/>
      <c r="X724" s="133"/>
      <c r="Y724" s="133"/>
      <c r="Z724" s="954"/>
      <c r="AA724" s="133"/>
      <c r="AB724" s="133"/>
      <c r="AC724" s="133"/>
      <c r="AD724" s="133"/>
      <c r="AE724" s="954"/>
      <c r="AF724" s="133"/>
      <c r="AG724" s="133"/>
      <c r="AH724" s="133"/>
      <c r="AI724" s="133"/>
      <c r="AJ724" s="954"/>
      <c r="AK724" s="133"/>
      <c r="AL724" s="133"/>
      <c r="AM724" s="133"/>
      <c r="AN724" s="133"/>
      <c r="AO724" s="976">
        <v>-153</v>
      </c>
      <c r="AP724" s="133"/>
      <c r="AQ724" s="133"/>
      <c r="AR724" s="133"/>
      <c r="AS724" s="133"/>
      <c r="AT724" s="976">
        <v>-148</v>
      </c>
      <c r="AU724" s="133"/>
      <c r="AV724" s="133"/>
      <c r="AW724" s="133"/>
      <c r="AX724" s="133"/>
      <c r="AY724" s="976">
        <v>-138</v>
      </c>
      <c r="AZ724" s="133"/>
      <c r="BA724" s="133"/>
      <c r="BB724" s="133"/>
      <c r="BC724" s="133"/>
      <c r="BD724" s="976">
        <v>-153</v>
      </c>
      <c r="BE724" s="133"/>
      <c r="BF724" s="133"/>
      <c r="BG724" s="133"/>
      <c r="BH724" s="133"/>
      <c r="BI724" s="976">
        <v>-134</v>
      </c>
      <c r="BJ724" s="133"/>
      <c r="BK724" s="133"/>
      <c r="BL724" s="133"/>
      <c r="BM724" s="133"/>
      <c r="BN724" s="976">
        <v>-136</v>
      </c>
      <c r="BO724" s="133"/>
      <c r="BP724" s="133"/>
      <c r="BQ724" s="133"/>
      <c r="BR724" s="133"/>
      <c r="BS724" s="976">
        <v>-135</v>
      </c>
      <c r="BT724" s="692"/>
      <c r="BU724" s="133"/>
      <c r="BV724" s="133"/>
      <c r="BW724" s="133"/>
      <c r="BX724" s="954"/>
      <c r="BY724" s="133"/>
      <c r="BZ724" s="133"/>
      <c r="CA724" s="133"/>
      <c r="CB724" s="133"/>
      <c r="CC724" s="954"/>
      <c r="CD724" s="954"/>
      <c r="CE724" s="954"/>
      <c r="CF724" s="954"/>
      <c r="CG724" s="587"/>
    </row>
    <row r="725" spans="1:85" s="461" customFormat="1" ht="14.4" hidden="1" outlineLevel="1" x14ac:dyDescent="0.3">
      <c r="A725" s="166" t="s">
        <v>1473</v>
      </c>
      <c r="B725" s="583"/>
      <c r="C725" s="957"/>
      <c r="D725" s="957"/>
      <c r="E725" s="957"/>
      <c r="F725" s="957"/>
      <c r="G725" s="120"/>
      <c r="H725" s="120"/>
      <c r="I725" s="120"/>
      <c r="J725" s="120"/>
      <c r="K725" s="957"/>
      <c r="L725" s="120"/>
      <c r="M725" s="120"/>
      <c r="N725" s="120"/>
      <c r="O725" s="120"/>
      <c r="P725" s="957"/>
      <c r="Q725" s="120"/>
      <c r="R725" s="120"/>
      <c r="S725" s="120"/>
      <c r="T725" s="120"/>
      <c r="U725" s="957"/>
      <c r="V725" s="120"/>
      <c r="W725" s="120"/>
      <c r="X725" s="120"/>
      <c r="Y725" s="120"/>
      <c r="Z725" s="957"/>
      <c r="AA725" s="120"/>
      <c r="AB725" s="120"/>
      <c r="AC725" s="120"/>
      <c r="AD725" s="120"/>
      <c r="AE725" s="957"/>
      <c r="AF725" s="120"/>
      <c r="AG725" s="120"/>
      <c r="AH725" s="120"/>
      <c r="AI725" s="120"/>
      <c r="AJ725" s="957"/>
      <c r="AK725" s="120"/>
      <c r="AL725" s="120"/>
      <c r="AM725" s="120"/>
      <c r="AN725" s="120"/>
      <c r="AO725" s="957">
        <f>SUM(AO718:AO724)</f>
        <v>2004</v>
      </c>
      <c r="AP725" s="120"/>
      <c r="AQ725" s="120"/>
      <c r="AR725" s="120"/>
      <c r="AS725" s="120"/>
      <c r="AT725" s="957">
        <f>SUM(AT718:AT724)</f>
        <v>2018</v>
      </c>
      <c r="AU725" s="120"/>
      <c r="AV725" s="120"/>
      <c r="AW725" s="120"/>
      <c r="AX725" s="120"/>
      <c r="AY725" s="957">
        <f>SUM(AY718:AY724)</f>
        <v>1701</v>
      </c>
      <c r="AZ725" s="120"/>
      <c r="BA725" s="120"/>
      <c r="BB725" s="120"/>
      <c r="BC725" s="120"/>
      <c r="BD725" s="957">
        <f>SUM(BD718:BD724)</f>
        <v>1263</v>
      </c>
      <c r="BE725" s="120"/>
      <c r="BF725" s="120"/>
      <c r="BG725" s="120"/>
      <c r="BH725" s="120"/>
      <c r="BI725" s="957">
        <f>SUM(BI718:BI724)</f>
        <v>1295</v>
      </c>
      <c r="BJ725" s="120"/>
      <c r="BK725" s="120"/>
      <c r="BL725" s="120"/>
      <c r="BM725" s="120"/>
      <c r="BN725" s="957">
        <f>SUM(BN718:BN724)</f>
        <v>1138</v>
      </c>
      <c r="BO725" s="120"/>
      <c r="BP725" s="120"/>
      <c r="BQ725" s="120"/>
      <c r="BR725" s="120"/>
      <c r="BS725" s="957">
        <f>SUM(BS718:BS724)</f>
        <v>895</v>
      </c>
      <c r="BT725" s="694"/>
      <c r="BU725" s="120"/>
      <c r="BV725" s="120"/>
      <c r="BW725" s="120"/>
      <c r="BX725" s="957"/>
      <c r="BY725" s="120"/>
      <c r="BZ725" s="120"/>
      <c r="CA725" s="120"/>
      <c r="CB725" s="120"/>
      <c r="CC725" s="957"/>
      <c r="CD725" s="957"/>
      <c r="CE725" s="957"/>
      <c r="CF725" s="957"/>
      <c r="CG725" s="615"/>
    </row>
    <row r="726" spans="1:85" s="461" customFormat="1" ht="14.4" hidden="1" outlineLevel="1" x14ac:dyDescent="0.3">
      <c r="A726" s="159"/>
      <c r="B726" s="583"/>
      <c r="C726" s="957"/>
      <c r="D726" s="957"/>
      <c r="E726" s="957"/>
      <c r="F726" s="957"/>
      <c r="G726" s="120"/>
      <c r="H726" s="120"/>
      <c r="I726" s="120"/>
      <c r="J726" s="120"/>
      <c r="K726" s="957"/>
      <c r="L726" s="120"/>
      <c r="M726" s="120"/>
      <c r="N726" s="120"/>
      <c r="O726" s="120"/>
      <c r="P726" s="957"/>
      <c r="Q726" s="120"/>
      <c r="R726" s="120"/>
      <c r="S726" s="120"/>
      <c r="T726" s="120"/>
      <c r="U726" s="957"/>
      <c r="V726" s="120"/>
      <c r="W726" s="120"/>
      <c r="X726" s="120"/>
      <c r="Y726" s="120"/>
      <c r="Z726" s="957"/>
      <c r="AA726" s="120"/>
      <c r="AB726" s="120"/>
      <c r="AC726" s="120"/>
      <c r="AD726" s="120"/>
      <c r="AE726" s="957"/>
      <c r="AF726" s="120"/>
      <c r="AG726" s="120"/>
      <c r="AH726" s="120"/>
      <c r="AI726" s="120"/>
      <c r="AJ726" s="957"/>
      <c r="AK726" s="120"/>
      <c r="AL726" s="120"/>
      <c r="AM726" s="120"/>
      <c r="AN726" s="120"/>
      <c r="AO726" s="957"/>
      <c r="AP726" s="120"/>
      <c r="AQ726" s="120"/>
      <c r="AR726" s="120"/>
      <c r="AS726" s="120"/>
      <c r="AT726" s="957"/>
      <c r="AU726" s="120"/>
      <c r="AV726" s="120"/>
      <c r="AW726" s="120"/>
      <c r="AX726" s="120"/>
      <c r="AY726" s="957"/>
      <c r="AZ726" s="120"/>
      <c r="BA726" s="120"/>
      <c r="BB726" s="120"/>
      <c r="BC726" s="120"/>
      <c r="BD726" s="957"/>
      <c r="BE726" s="120"/>
      <c r="BF726" s="120"/>
      <c r="BG726" s="120"/>
      <c r="BH726" s="120"/>
      <c r="BI726" s="957"/>
      <c r="BJ726" s="120"/>
      <c r="BK726" s="120"/>
      <c r="BL726" s="120"/>
      <c r="BM726" s="120"/>
      <c r="BN726" s="957"/>
      <c r="BO726" s="120"/>
      <c r="BP726" s="120"/>
      <c r="BQ726" s="120"/>
      <c r="BR726" s="120"/>
      <c r="BS726" s="957"/>
      <c r="BT726" s="694"/>
      <c r="BU726" s="120"/>
      <c r="BV726" s="120"/>
      <c r="BW726" s="120"/>
      <c r="BX726" s="957"/>
      <c r="BY726" s="120"/>
      <c r="BZ726" s="120"/>
      <c r="CA726" s="120"/>
      <c r="CB726" s="120"/>
      <c r="CC726" s="957"/>
      <c r="CD726" s="957"/>
      <c r="CE726" s="957"/>
      <c r="CF726" s="957"/>
      <c r="CG726" s="615"/>
    </row>
    <row r="727" spans="1:85" s="461" customFormat="1" ht="14.4" hidden="1" outlineLevel="1" x14ac:dyDescent="0.3">
      <c r="A727" s="166" t="s">
        <v>1474</v>
      </c>
      <c r="B727" s="583"/>
      <c r="C727" s="957"/>
      <c r="D727" s="957"/>
      <c r="E727" s="957"/>
      <c r="F727" s="957"/>
      <c r="G727" s="120"/>
      <c r="H727" s="120"/>
      <c r="I727" s="120"/>
      <c r="J727" s="120"/>
      <c r="K727" s="957"/>
      <c r="L727" s="120"/>
      <c r="M727" s="120"/>
      <c r="N727" s="120"/>
      <c r="O727" s="120"/>
      <c r="P727" s="957"/>
      <c r="Q727" s="120"/>
      <c r="R727" s="120"/>
      <c r="S727" s="120"/>
      <c r="T727" s="120"/>
      <c r="U727" s="957"/>
      <c r="V727" s="120"/>
      <c r="W727" s="120"/>
      <c r="X727" s="120"/>
      <c r="Y727" s="120"/>
      <c r="Z727" s="957"/>
      <c r="AA727" s="120"/>
      <c r="AB727" s="120"/>
      <c r="AC727" s="120"/>
      <c r="AD727" s="120"/>
      <c r="AE727" s="957"/>
      <c r="AF727" s="120"/>
      <c r="AG727" s="120"/>
      <c r="AH727" s="120"/>
      <c r="AI727" s="120"/>
      <c r="AJ727" s="957"/>
      <c r="AK727" s="120"/>
      <c r="AL727" s="120"/>
      <c r="AM727" s="120"/>
      <c r="AN727" s="120"/>
      <c r="AO727" s="983">
        <v>909</v>
      </c>
      <c r="AP727" s="120"/>
      <c r="AQ727" s="120"/>
      <c r="AR727" s="120"/>
      <c r="AS727" s="120"/>
      <c r="AT727" s="983">
        <v>866</v>
      </c>
      <c r="AU727" s="120"/>
      <c r="AV727" s="120"/>
      <c r="AW727" s="120"/>
      <c r="AX727" s="120"/>
      <c r="AY727" s="983">
        <v>898</v>
      </c>
      <c r="AZ727" s="120"/>
      <c r="BA727" s="120"/>
      <c r="BB727" s="120"/>
      <c r="BC727" s="120"/>
      <c r="BD727" s="983">
        <v>893</v>
      </c>
      <c r="BE727" s="120"/>
      <c r="BF727" s="120"/>
      <c r="BG727" s="120"/>
      <c r="BH727" s="120"/>
      <c r="BI727" s="983">
        <v>836</v>
      </c>
      <c r="BJ727" s="120"/>
      <c r="BK727" s="120"/>
      <c r="BL727" s="120"/>
      <c r="BM727" s="120"/>
      <c r="BN727" s="983">
        <v>768</v>
      </c>
      <c r="BO727" s="120"/>
      <c r="BP727" s="120"/>
      <c r="BQ727" s="120"/>
      <c r="BR727" s="120"/>
      <c r="BS727" s="983">
        <v>711</v>
      </c>
      <c r="BT727" s="694"/>
      <c r="BU727" s="120"/>
      <c r="BV727" s="120"/>
      <c r="BW727" s="120"/>
      <c r="BX727" s="957"/>
      <c r="BY727" s="120"/>
      <c r="BZ727" s="120"/>
      <c r="CA727" s="120"/>
      <c r="CB727" s="120"/>
      <c r="CC727" s="957"/>
      <c r="CD727" s="957"/>
      <c r="CE727" s="957"/>
      <c r="CF727" s="957"/>
      <c r="CG727" s="615"/>
    </row>
    <row r="728" spans="1:85" s="460" customFormat="1" ht="14.4" hidden="1" outlineLevel="1" x14ac:dyDescent="0.3">
      <c r="A728" s="159" t="s">
        <v>1475</v>
      </c>
      <c r="B728" s="586"/>
      <c r="C728" s="150"/>
      <c r="D728" s="150"/>
      <c r="E728" s="150"/>
      <c r="F728" s="150"/>
      <c r="G728" s="117"/>
      <c r="H728" s="117"/>
      <c r="I728" s="117"/>
      <c r="J728" s="117"/>
      <c r="K728" s="150"/>
      <c r="L728" s="117"/>
      <c r="M728" s="117"/>
      <c r="N728" s="117"/>
      <c r="O728" s="117"/>
      <c r="P728" s="150"/>
      <c r="Q728" s="117"/>
      <c r="R728" s="117"/>
      <c r="S728" s="117"/>
      <c r="T728" s="117"/>
      <c r="U728" s="150"/>
      <c r="V728" s="117"/>
      <c r="W728" s="117"/>
      <c r="X728" s="117"/>
      <c r="Y728" s="117"/>
      <c r="Z728" s="150"/>
      <c r="AA728" s="117"/>
      <c r="AB728" s="117"/>
      <c r="AC728" s="117"/>
      <c r="AD728" s="117"/>
      <c r="AE728" s="150"/>
      <c r="AF728" s="117"/>
      <c r="AG728" s="117"/>
      <c r="AH728" s="117"/>
      <c r="AI728" s="117"/>
      <c r="AJ728" s="150"/>
      <c r="AK728" s="117"/>
      <c r="AL728" s="117"/>
      <c r="AM728" s="117"/>
      <c r="AN728" s="117"/>
      <c r="AO728" s="975">
        <v>39</v>
      </c>
      <c r="AP728" s="117"/>
      <c r="AQ728" s="117"/>
      <c r="AR728" s="117"/>
      <c r="AS728" s="117"/>
      <c r="AT728" s="975">
        <v>138</v>
      </c>
      <c r="AU728" s="117"/>
      <c r="AV728" s="117"/>
      <c r="AW728" s="117"/>
      <c r="AX728" s="117"/>
      <c r="AY728" s="975">
        <v>82</v>
      </c>
      <c r="AZ728" s="117"/>
      <c r="BA728" s="117"/>
      <c r="BB728" s="117"/>
      <c r="BC728" s="117"/>
      <c r="BD728" s="975">
        <v>3</v>
      </c>
      <c r="BE728" s="117"/>
      <c r="BF728" s="117"/>
      <c r="BG728" s="117"/>
      <c r="BH728" s="117"/>
      <c r="BI728" s="975">
        <v>18</v>
      </c>
      <c r="BJ728" s="117"/>
      <c r="BK728" s="117"/>
      <c r="BL728" s="117"/>
      <c r="BM728" s="117"/>
      <c r="BN728" s="975">
        <v>30</v>
      </c>
      <c r="BO728" s="117"/>
      <c r="BP728" s="117"/>
      <c r="BQ728" s="117"/>
      <c r="BR728" s="117"/>
      <c r="BS728" s="975">
        <v>109</v>
      </c>
      <c r="BT728" s="691"/>
      <c r="BU728" s="117"/>
      <c r="BV728" s="117"/>
      <c r="BW728" s="117"/>
      <c r="BX728" s="150"/>
      <c r="BY728" s="117"/>
      <c r="BZ728" s="117"/>
      <c r="CA728" s="117"/>
      <c r="CB728" s="117"/>
      <c r="CC728" s="150"/>
      <c r="CD728" s="150"/>
      <c r="CE728" s="150"/>
      <c r="CF728" s="150"/>
      <c r="CG728" s="587"/>
    </row>
    <row r="729" spans="1:85" s="460" customFormat="1" ht="14.4" hidden="1" outlineLevel="1" x14ac:dyDescent="0.3">
      <c r="A729" s="159" t="s">
        <v>1476</v>
      </c>
      <c r="B729" s="586"/>
      <c r="C729" s="150"/>
      <c r="D729" s="150"/>
      <c r="E729" s="150"/>
      <c r="F729" s="150"/>
      <c r="G729" s="117"/>
      <c r="H729" s="117"/>
      <c r="I729" s="117"/>
      <c r="J729" s="117"/>
      <c r="K729" s="150"/>
      <c r="L729" s="117"/>
      <c r="M729" s="117"/>
      <c r="N729" s="117"/>
      <c r="O729" s="117"/>
      <c r="P729" s="150"/>
      <c r="Q729" s="117"/>
      <c r="R729" s="117"/>
      <c r="S729" s="117"/>
      <c r="T729" s="117"/>
      <c r="U729" s="150"/>
      <c r="V729" s="117"/>
      <c r="W729" s="117"/>
      <c r="X729" s="117"/>
      <c r="Y729" s="117"/>
      <c r="Z729" s="150"/>
      <c r="AA729" s="117"/>
      <c r="AB729" s="117"/>
      <c r="AC729" s="117"/>
      <c r="AD729" s="117"/>
      <c r="AE729" s="150"/>
      <c r="AF729" s="117"/>
      <c r="AG729" s="117"/>
      <c r="AH729" s="117"/>
      <c r="AI729" s="117"/>
      <c r="AJ729" s="150"/>
      <c r="AK729" s="117"/>
      <c r="AL729" s="117"/>
      <c r="AM729" s="117"/>
      <c r="AN729" s="117"/>
      <c r="AO729" s="975">
        <v>0</v>
      </c>
      <c r="AP729" s="117"/>
      <c r="AQ729" s="117"/>
      <c r="AR729" s="117"/>
      <c r="AS729" s="117"/>
      <c r="AT729" s="975">
        <v>0</v>
      </c>
      <c r="AU729" s="117"/>
      <c r="AV729" s="117"/>
      <c r="AW729" s="117"/>
      <c r="AX729" s="117"/>
      <c r="AY729" s="975">
        <v>0</v>
      </c>
      <c r="AZ729" s="117"/>
      <c r="BA729" s="117"/>
      <c r="BB729" s="117"/>
      <c r="BC729" s="117"/>
      <c r="BD729" s="975">
        <v>0</v>
      </c>
      <c r="BE729" s="117"/>
      <c r="BF729" s="117"/>
      <c r="BG729" s="117"/>
      <c r="BH729" s="117"/>
      <c r="BI729" s="975">
        <v>0</v>
      </c>
      <c r="BJ729" s="117"/>
      <c r="BK729" s="117"/>
      <c r="BL729" s="117"/>
      <c r="BM729" s="117"/>
      <c r="BN729" s="975">
        <v>0</v>
      </c>
      <c r="BO729" s="117"/>
      <c r="BP729" s="117"/>
      <c r="BQ729" s="117"/>
      <c r="BR729" s="117"/>
      <c r="BS729" s="975">
        <v>0</v>
      </c>
      <c r="BT729" s="691"/>
      <c r="BU729" s="117"/>
      <c r="BV729" s="117"/>
      <c r="BW729" s="117"/>
      <c r="BX729" s="150"/>
      <c r="BY729" s="117"/>
      <c r="BZ729" s="117"/>
      <c r="CA729" s="117"/>
      <c r="CB729" s="117"/>
      <c r="CC729" s="150"/>
      <c r="CD729" s="150"/>
      <c r="CE729" s="150"/>
      <c r="CF729" s="150"/>
      <c r="CG729" s="587"/>
    </row>
    <row r="730" spans="1:85" s="460" customFormat="1" ht="14.4" hidden="1" outlineLevel="1" x14ac:dyDescent="0.3">
      <c r="A730" s="159" t="s">
        <v>1477</v>
      </c>
      <c r="B730" s="586"/>
      <c r="C730" s="150"/>
      <c r="D730" s="150"/>
      <c r="E730" s="150"/>
      <c r="F730" s="150"/>
      <c r="G730" s="117"/>
      <c r="H730" s="117"/>
      <c r="I730" s="117"/>
      <c r="J730" s="117"/>
      <c r="K730" s="150"/>
      <c r="L730" s="117"/>
      <c r="M730" s="117"/>
      <c r="N730" s="117"/>
      <c r="O730" s="117"/>
      <c r="P730" s="150"/>
      <c r="Q730" s="117"/>
      <c r="R730" s="117"/>
      <c r="S730" s="117"/>
      <c r="T730" s="117"/>
      <c r="U730" s="150"/>
      <c r="V730" s="117"/>
      <c r="W730" s="117"/>
      <c r="X730" s="117"/>
      <c r="Y730" s="117"/>
      <c r="Z730" s="150"/>
      <c r="AA730" s="117"/>
      <c r="AB730" s="117"/>
      <c r="AC730" s="117"/>
      <c r="AD730" s="117"/>
      <c r="AE730" s="150"/>
      <c r="AF730" s="117"/>
      <c r="AG730" s="117"/>
      <c r="AH730" s="117"/>
      <c r="AI730" s="117"/>
      <c r="AJ730" s="150"/>
      <c r="AK730" s="117"/>
      <c r="AL730" s="117"/>
      <c r="AM730" s="117"/>
      <c r="AN730" s="117"/>
      <c r="AO730" s="975">
        <v>20</v>
      </c>
      <c r="AP730" s="117"/>
      <c r="AQ730" s="117"/>
      <c r="AR730" s="117"/>
      <c r="AS730" s="117"/>
      <c r="AT730" s="975">
        <v>0</v>
      </c>
      <c r="AU730" s="117"/>
      <c r="AV730" s="117"/>
      <c r="AW730" s="117"/>
      <c r="AX730" s="117"/>
      <c r="AY730" s="975">
        <v>0</v>
      </c>
      <c r="AZ730" s="117"/>
      <c r="BA730" s="117"/>
      <c r="BB730" s="117"/>
      <c r="BC730" s="117"/>
      <c r="BD730" s="975">
        <v>17</v>
      </c>
      <c r="BE730" s="117"/>
      <c r="BF730" s="117"/>
      <c r="BG730" s="117"/>
      <c r="BH730" s="117"/>
      <c r="BI730" s="975">
        <v>0</v>
      </c>
      <c r="BJ730" s="117"/>
      <c r="BK730" s="117"/>
      <c r="BL730" s="117"/>
      <c r="BM730" s="117"/>
      <c r="BN730" s="975">
        <v>0</v>
      </c>
      <c r="BO730" s="117"/>
      <c r="BP730" s="117"/>
      <c r="BQ730" s="117"/>
      <c r="BR730" s="117"/>
      <c r="BS730" s="975">
        <v>0</v>
      </c>
      <c r="BT730" s="691"/>
      <c r="BU730" s="117"/>
      <c r="BV730" s="117"/>
      <c r="BW730" s="117"/>
      <c r="BX730" s="150"/>
      <c r="BY730" s="117"/>
      <c r="BZ730" s="117"/>
      <c r="CA730" s="117"/>
      <c r="CB730" s="117"/>
      <c r="CC730" s="150"/>
      <c r="CD730" s="150"/>
      <c r="CE730" s="150"/>
      <c r="CF730" s="150"/>
      <c r="CG730" s="587"/>
    </row>
    <row r="731" spans="1:85" s="460" customFormat="1" ht="14.4" hidden="1" outlineLevel="1" x14ac:dyDescent="0.3">
      <c r="A731" s="159" t="s">
        <v>1478</v>
      </c>
      <c r="B731" s="586"/>
      <c r="C731" s="150"/>
      <c r="D731" s="150"/>
      <c r="E731" s="150"/>
      <c r="F731" s="150"/>
      <c r="G731" s="117"/>
      <c r="H731" s="117"/>
      <c r="I731" s="117"/>
      <c r="J731" s="117"/>
      <c r="K731" s="150"/>
      <c r="L731" s="117"/>
      <c r="M731" s="117"/>
      <c r="N731" s="117"/>
      <c r="O731" s="117"/>
      <c r="P731" s="150"/>
      <c r="Q731" s="117"/>
      <c r="R731" s="117"/>
      <c r="S731" s="117"/>
      <c r="T731" s="117"/>
      <c r="U731" s="150"/>
      <c r="V731" s="117"/>
      <c r="W731" s="117"/>
      <c r="X731" s="117"/>
      <c r="Y731" s="117"/>
      <c r="Z731" s="150"/>
      <c r="AA731" s="117"/>
      <c r="AB731" s="117"/>
      <c r="AC731" s="117"/>
      <c r="AD731" s="117"/>
      <c r="AE731" s="150"/>
      <c r="AF731" s="117"/>
      <c r="AG731" s="117"/>
      <c r="AH731" s="117"/>
      <c r="AI731" s="117"/>
      <c r="AJ731" s="150"/>
      <c r="AK731" s="117"/>
      <c r="AL731" s="117"/>
      <c r="AM731" s="117"/>
      <c r="AN731" s="117"/>
      <c r="AO731" s="975">
        <v>0</v>
      </c>
      <c r="AP731" s="117"/>
      <c r="AQ731" s="117"/>
      <c r="AR731" s="117"/>
      <c r="AS731" s="117"/>
      <c r="AT731" s="975">
        <v>0</v>
      </c>
      <c r="AU731" s="117"/>
      <c r="AV731" s="117"/>
      <c r="AW731" s="117"/>
      <c r="AX731" s="117"/>
      <c r="AY731" s="975">
        <v>0</v>
      </c>
      <c r="AZ731" s="117"/>
      <c r="BA731" s="117"/>
      <c r="BB731" s="117"/>
      <c r="BC731" s="117"/>
      <c r="BD731" s="975">
        <v>0</v>
      </c>
      <c r="BE731" s="117"/>
      <c r="BF731" s="117"/>
      <c r="BG731" s="117"/>
      <c r="BH731" s="117"/>
      <c r="BI731" s="975">
        <v>0</v>
      </c>
      <c r="BJ731" s="117"/>
      <c r="BK731" s="117"/>
      <c r="BL731" s="117"/>
      <c r="BM731" s="117"/>
      <c r="BN731" s="975">
        <v>0</v>
      </c>
      <c r="BO731" s="117"/>
      <c r="BP731" s="117"/>
      <c r="BQ731" s="117"/>
      <c r="BR731" s="117"/>
      <c r="BS731" s="975">
        <v>0</v>
      </c>
      <c r="BT731" s="691"/>
      <c r="BU731" s="117"/>
      <c r="BV731" s="117"/>
      <c r="BW731" s="117"/>
      <c r="BX731" s="150"/>
      <c r="BY731" s="117"/>
      <c r="BZ731" s="117"/>
      <c r="CA731" s="117"/>
      <c r="CB731" s="117"/>
      <c r="CC731" s="150"/>
      <c r="CD731" s="150"/>
      <c r="CE731" s="150"/>
      <c r="CF731" s="150"/>
      <c r="CG731" s="587"/>
    </row>
    <row r="732" spans="1:85" s="460" customFormat="1" ht="14.4" hidden="1" outlineLevel="1" x14ac:dyDescent="0.3">
      <c r="A732" s="159" t="s">
        <v>1479</v>
      </c>
      <c r="B732" s="586"/>
      <c r="C732" s="150"/>
      <c r="D732" s="150"/>
      <c r="E732" s="150"/>
      <c r="F732" s="150"/>
      <c r="G732" s="117"/>
      <c r="H732" s="117"/>
      <c r="I732" s="117"/>
      <c r="J732" s="117"/>
      <c r="K732" s="150"/>
      <c r="L732" s="117"/>
      <c r="M732" s="117"/>
      <c r="N732" s="117"/>
      <c r="O732" s="117"/>
      <c r="P732" s="150"/>
      <c r="Q732" s="117"/>
      <c r="R732" s="117"/>
      <c r="S732" s="117"/>
      <c r="T732" s="117"/>
      <c r="U732" s="150"/>
      <c r="V732" s="117"/>
      <c r="W732" s="117"/>
      <c r="X732" s="117"/>
      <c r="Y732" s="117"/>
      <c r="Z732" s="150"/>
      <c r="AA732" s="117"/>
      <c r="AB732" s="117"/>
      <c r="AC732" s="117"/>
      <c r="AD732" s="117"/>
      <c r="AE732" s="150"/>
      <c r="AF732" s="117"/>
      <c r="AG732" s="117"/>
      <c r="AH732" s="117"/>
      <c r="AI732" s="117"/>
      <c r="AJ732" s="150"/>
      <c r="AK732" s="117"/>
      <c r="AL732" s="117"/>
      <c r="AM732" s="117"/>
      <c r="AN732" s="117"/>
      <c r="AO732" s="975">
        <v>0</v>
      </c>
      <c r="AP732" s="117"/>
      <c r="AQ732" s="117"/>
      <c r="AR732" s="117"/>
      <c r="AS732" s="117"/>
      <c r="AT732" s="975">
        <v>0</v>
      </c>
      <c r="AU732" s="117"/>
      <c r="AV732" s="117"/>
      <c r="AW732" s="117"/>
      <c r="AX732" s="117"/>
      <c r="AY732" s="975">
        <v>0</v>
      </c>
      <c r="AZ732" s="117"/>
      <c r="BA732" s="117"/>
      <c r="BB732" s="117"/>
      <c r="BC732" s="117"/>
      <c r="BD732" s="975">
        <v>0</v>
      </c>
      <c r="BE732" s="117"/>
      <c r="BF732" s="117"/>
      <c r="BG732" s="117"/>
      <c r="BH732" s="117"/>
      <c r="BI732" s="975">
        <v>0</v>
      </c>
      <c r="BJ732" s="117"/>
      <c r="BK732" s="117"/>
      <c r="BL732" s="117"/>
      <c r="BM732" s="117"/>
      <c r="BN732" s="975">
        <v>0</v>
      </c>
      <c r="BO732" s="117"/>
      <c r="BP732" s="117"/>
      <c r="BQ732" s="117"/>
      <c r="BR732" s="117"/>
      <c r="BS732" s="975">
        <v>0</v>
      </c>
      <c r="BT732" s="691"/>
      <c r="BU732" s="117"/>
      <c r="BV732" s="117"/>
      <c r="BW732" s="117"/>
      <c r="BX732" s="150"/>
      <c r="BY732" s="117"/>
      <c r="BZ732" s="117"/>
      <c r="CA732" s="117"/>
      <c r="CB732" s="117"/>
      <c r="CC732" s="150"/>
      <c r="CD732" s="150"/>
      <c r="CE732" s="150"/>
      <c r="CF732" s="150"/>
      <c r="CG732" s="587"/>
    </row>
    <row r="733" spans="1:85" s="460" customFormat="1" ht="14.4" hidden="1" outlineLevel="1" x14ac:dyDescent="0.3">
      <c r="A733" s="262" t="s">
        <v>1480</v>
      </c>
      <c r="B733" s="588"/>
      <c r="C733" s="954"/>
      <c r="D733" s="954"/>
      <c r="E733" s="954"/>
      <c r="F733" s="954"/>
      <c r="G733" s="133"/>
      <c r="H733" s="133"/>
      <c r="I733" s="133"/>
      <c r="J733" s="133"/>
      <c r="K733" s="954"/>
      <c r="L733" s="133"/>
      <c r="M733" s="133"/>
      <c r="N733" s="133"/>
      <c r="O733" s="133"/>
      <c r="P733" s="954"/>
      <c r="Q733" s="133"/>
      <c r="R733" s="133"/>
      <c r="S733" s="133"/>
      <c r="T733" s="133"/>
      <c r="U733" s="954"/>
      <c r="V733" s="133"/>
      <c r="W733" s="133"/>
      <c r="X733" s="133"/>
      <c r="Y733" s="133"/>
      <c r="Z733" s="954"/>
      <c r="AA733" s="133"/>
      <c r="AB733" s="133"/>
      <c r="AC733" s="133"/>
      <c r="AD733" s="133"/>
      <c r="AE733" s="954"/>
      <c r="AF733" s="133"/>
      <c r="AG733" s="133"/>
      <c r="AH733" s="133"/>
      <c r="AI733" s="133"/>
      <c r="AJ733" s="954"/>
      <c r="AK733" s="133"/>
      <c r="AL733" s="133"/>
      <c r="AM733" s="133"/>
      <c r="AN733" s="133"/>
      <c r="AO733" s="976">
        <v>-102</v>
      </c>
      <c r="AP733" s="133"/>
      <c r="AQ733" s="133"/>
      <c r="AR733" s="133"/>
      <c r="AS733" s="133"/>
      <c r="AT733" s="976">
        <v>-106</v>
      </c>
      <c r="AU733" s="133"/>
      <c r="AV733" s="133"/>
      <c r="AW733" s="133"/>
      <c r="AX733" s="133"/>
      <c r="AY733" s="976">
        <v>-87</v>
      </c>
      <c r="AZ733" s="133"/>
      <c r="BA733" s="133"/>
      <c r="BB733" s="133"/>
      <c r="BC733" s="133"/>
      <c r="BD733" s="976">
        <v>-77</v>
      </c>
      <c r="BE733" s="133"/>
      <c r="BF733" s="133"/>
      <c r="BG733" s="133"/>
      <c r="BH733" s="133"/>
      <c r="BI733" s="976">
        <v>-86</v>
      </c>
      <c r="BJ733" s="133"/>
      <c r="BK733" s="133"/>
      <c r="BL733" s="133"/>
      <c r="BM733" s="133"/>
      <c r="BN733" s="976">
        <v>-87</v>
      </c>
      <c r="BO733" s="133"/>
      <c r="BP733" s="133"/>
      <c r="BQ733" s="133"/>
      <c r="BR733" s="133"/>
      <c r="BS733" s="976">
        <v>-112</v>
      </c>
      <c r="BT733" s="692"/>
      <c r="BU733" s="133"/>
      <c r="BV733" s="133"/>
      <c r="BW733" s="133"/>
      <c r="BX733" s="954"/>
      <c r="BY733" s="133"/>
      <c r="BZ733" s="133"/>
      <c r="CA733" s="133"/>
      <c r="CB733" s="133"/>
      <c r="CC733" s="954"/>
      <c r="CD733" s="954"/>
      <c r="CE733" s="954"/>
      <c r="CF733" s="954"/>
      <c r="CG733" s="587"/>
    </row>
    <row r="734" spans="1:85" s="461" customFormat="1" ht="14.4" hidden="1" outlineLevel="1" x14ac:dyDescent="0.3">
      <c r="A734" s="166" t="s">
        <v>1481</v>
      </c>
      <c r="B734" s="583"/>
      <c r="C734" s="957"/>
      <c r="D734" s="957"/>
      <c r="E734" s="957"/>
      <c r="F734" s="957"/>
      <c r="G734" s="120"/>
      <c r="H734" s="120"/>
      <c r="I734" s="120"/>
      <c r="J734" s="120"/>
      <c r="K734" s="957"/>
      <c r="L734" s="120"/>
      <c r="M734" s="120"/>
      <c r="N734" s="120"/>
      <c r="O734" s="120"/>
      <c r="P734" s="957"/>
      <c r="Q734" s="120"/>
      <c r="R734" s="120"/>
      <c r="S734" s="120"/>
      <c r="T734" s="120"/>
      <c r="U734" s="957"/>
      <c r="V734" s="120"/>
      <c r="W734" s="120"/>
      <c r="X734" s="120"/>
      <c r="Y734" s="120"/>
      <c r="Z734" s="957"/>
      <c r="AA734" s="120"/>
      <c r="AB734" s="120"/>
      <c r="AC734" s="120"/>
      <c r="AD734" s="120"/>
      <c r="AE734" s="957"/>
      <c r="AF734" s="120"/>
      <c r="AG734" s="120"/>
      <c r="AH734" s="120"/>
      <c r="AI734" s="120"/>
      <c r="AJ734" s="957"/>
      <c r="AK734" s="120"/>
      <c r="AL734" s="120"/>
      <c r="AM734" s="120"/>
      <c r="AN734" s="120"/>
      <c r="AO734" s="957">
        <f>SUM(AO727:AO733)</f>
        <v>866</v>
      </c>
      <c r="AP734" s="120"/>
      <c r="AQ734" s="120"/>
      <c r="AR734" s="120"/>
      <c r="AS734" s="120"/>
      <c r="AT734" s="957">
        <f>SUM(AT727:AT733)</f>
        <v>898</v>
      </c>
      <c r="AU734" s="120"/>
      <c r="AV734" s="120"/>
      <c r="AW734" s="120"/>
      <c r="AX734" s="120"/>
      <c r="AY734" s="957">
        <f>SUM(AY727:AY733)</f>
        <v>893</v>
      </c>
      <c r="AZ734" s="120"/>
      <c r="BA734" s="120"/>
      <c r="BB734" s="120"/>
      <c r="BC734" s="120"/>
      <c r="BD734" s="957">
        <f>SUM(BD727:BD733)</f>
        <v>836</v>
      </c>
      <c r="BE734" s="120"/>
      <c r="BF734" s="120"/>
      <c r="BG734" s="120"/>
      <c r="BH734" s="120"/>
      <c r="BI734" s="957">
        <f>SUM(BI727:BI733)</f>
        <v>768</v>
      </c>
      <c r="BJ734" s="120"/>
      <c r="BK734" s="120"/>
      <c r="BL734" s="120"/>
      <c r="BM734" s="120"/>
      <c r="BN734" s="957">
        <f>SUM(BN727:BN733)</f>
        <v>711</v>
      </c>
      <c r="BO734" s="120"/>
      <c r="BP734" s="120"/>
      <c r="BQ734" s="120"/>
      <c r="BR734" s="120"/>
      <c r="BS734" s="957">
        <f>SUM(BS727:BS733)</f>
        <v>708</v>
      </c>
      <c r="BT734" s="694"/>
      <c r="BU734" s="120"/>
      <c r="BV734" s="120"/>
      <c r="BW734" s="120"/>
      <c r="BX734" s="957"/>
      <c r="BY734" s="120"/>
      <c r="BZ734" s="120"/>
      <c r="CA734" s="120"/>
      <c r="CB734" s="120"/>
      <c r="CC734" s="957"/>
      <c r="CD734" s="957"/>
      <c r="CE734" s="957"/>
      <c r="CF734" s="957"/>
      <c r="CG734" s="615"/>
    </row>
    <row r="735" spans="1:85" s="461" customFormat="1" ht="14.4" hidden="1" outlineLevel="1" x14ac:dyDescent="0.3">
      <c r="A735" s="159"/>
      <c r="B735" s="583"/>
      <c r="C735" s="957"/>
      <c r="D735" s="957"/>
      <c r="E735" s="957"/>
      <c r="F735" s="957"/>
      <c r="G735" s="120"/>
      <c r="H735" s="120"/>
      <c r="I735" s="120"/>
      <c r="J735" s="120"/>
      <c r="K735" s="957"/>
      <c r="L735" s="120"/>
      <c r="M735" s="120"/>
      <c r="N735" s="120"/>
      <c r="O735" s="120"/>
      <c r="P735" s="957"/>
      <c r="Q735" s="120"/>
      <c r="R735" s="120"/>
      <c r="S735" s="120"/>
      <c r="T735" s="120"/>
      <c r="U735" s="957"/>
      <c r="V735" s="120"/>
      <c r="W735" s="120"/>
      <c r="X735" s="120"/>
      <c r="Y735" s="120"/>
      <c r="Z735" s="957"/>
      <c r="AA735" s="120"/>
      <c r="AB735" s="120"/>
      <c r="AC735" s="120"/>
      <c r="AD735" s="120"/>
      <c r="AE735" s="957"/>
      <c r="AF735" s="120"/>
      <c r="AG735" s="120"/>
      <c r="AH735" s="120"/>
      <c r="AI735" s="120"/>
      <c r="AJ735" s="957"/>
      <c r="AK735" s="120"/>
      <c r="AL735" s="120"/>
      <c r="AM735" s="120"/>
      <c r="AN735" s="120"/>
      <c r="AO735" s="957"/>
      <c r="AP735" s="120"/>
      <c r="AQ735" s="120"/>
      <c r="AR735" s="120"/>
      <c r="AS735" s="120"/>
      <c r="AT735" s="957"/>
      <c r="AU735" s="120"/>
      <c r="AV735" s="120"/>
      <c r="AW735" s="120"/>
      <c r="AX735" s="120"/>
      <c r="AY735" s="957"/>
      <c r="AZ735" s="120"/>
      <c r="BA735" s="120"/>
      <c r="BB735" s="120"/>
      <c r="BC735" s="120"/>
      <c r="BD735" s="957"/>
      <c r="BE735" s="120"/>
      <c r="BF735" s="120"/>
      <c r="BG735" s="120"/>
      <c r="BH735" s="120"/>
      <c r="BI735" s="957"/>
      <c r="BJ735" s="120"/>
      <c r="BK735" s="120"/>
      <c r="BL735" s="120"/>
      <c r="BM735" s="120"/>
      <c r="BN735" s="957"/>
      <c r="BO735" s="120"/>
      <c r="BP735" s="120"/>
      <c r="BQ735" s="120"/>
      <c r="BR735" s="120"/>
      <c r="BS735" s="957"/>
      <c r="BT735" s="694"/>
      <c r="BU735" s="120"/>
      <c r="BV735" s="120"/>
      <c r="BW735" s="120"/>
      <c r="BX735" s="957"/>
      <c r="BY735" s="120"/>
      <c r="BZ735" s="120"/>
      <c r="CA735" s="120"/>
      <c r="CB735" s="120"/>
      <c r="CC735" s="957"/>
      <c r="CD735" s="957"/>
      <c r="CE735" s="957"/>
      <c r="CF735" s="957"/>
      <c r="CG735" s="615"/>
    </row>
    <row r="736" spans="1:85" s="461" customFormat="1" ht="14.4" hidden="1" outlineLevel="1" x14ac:dyDescent="0.3">
      <c r="A736" s="166" t="s">
        <v>1482</v>
      </c>
      <c r="B736" s="583"/>
      <c r="C736" s="957"/>
      <c r="D736" s="957"/>
      <c r="E736" s="957"/>
      <c r="F736" s="957"/>
      <c r="G736" s="120"/>
      <c r="H736" s="120"/>
      <c r="I736" s="120"/>
      <c r="J736" s="120"/>
      <c r="K736" s="957"/>
      <c r="L736" s="120"/>
      <c r="M736" s="120"/>
      <c r="N736" s="120"/>
      <c r="O736" s="120"/>
      <c r="P736" s="957"/>
      <c r="Q736" s="120"/>
      <c r="R736" s="120"/>
      <c r="S736" s="120"/>
      <c r="T736" s="120"/>
      <c r="U736" s="957"/>
      <c r="V736" s="120"/>
      <c r="W736" s="120"/>
      <c r="X736" s="120"/>
      <c r="Y736" s="120"/>
      <c r="Z736" s="957"/>
      <c r="AA736" s="120"/>
      <c r="AB736" s="120"/>
      <c r="AC736" s="120"/>
      <c r="AD736" s="120"/>
      <c r="AE736" s="957"/>
      <c r="AF736" s="120"/>
      <c r="AG736" s="120"/>
      <c r="AH736" s="120"/>
      <c r="AI736" s="120"/>
      <c r="AJ736" s="957"/>
      <c r="AK736" s="120"/>
      <c r="AL736" s="120"/>
      <c r="AM736" s="120"/>
      <c r="AN736" s="120"/>
      <c r="AO736" s="957">
        <f>AO709+AO718+AO727</f>
        <v>31576</v>
      </c>
      <c r="AP736" s="120"/>
      <c r="AQ736" s="120"/>
      <c r="AR736" s="120"/>
      <c r="AS736" s="120"/>
      <c r="AT736" s="957">
        <f>AT709+AT718+AT727</f>
        <v>29457</v>
      </c>
      <c r="AU736" s="120"/>
      <c r="AV736" s="120"/>
      <c r="AW736" s="120"/>
      <c r="AX736" s="120"/>
      <c r="AY736" s="957">
        <f>AY709+AY718+AY727</f>
        <v>29922</v>
      </c>
      <c r="AZ736" s="120"/>
      <c r="BA736" s="120"/>
      <c r="BB736" s="120"/>
      <c r="BC736" s="120"/>
      <c r="BD736" s="957">
        <f>BD709+BD718+BD727</f>
        <v>30908</v>
      </c>
      <c r="BE736" s="120"/>
      <c r="BF736" s="120"/>
      <c r="BG736" s="120"/>
      <c r="BH736" s="120"/>
      <c r="BI736" s="957">
        <f>BI709+BI718+BI727</f>
        <v>30864</v>
      </c>
      <c r="BJ736" s="120"/>
      <c r="BK736" s="120"/>
      <c r="BL736" s="120"/>
      <c r="BM736" s="120"/>
      <c r="BN736" s="957">
        <f>BN709+BN718+BN727</f>
        <v>30381</v>
      </c>
      <c r="BO736" s="120"/>
      <c r="BP736" s="120"/>
      <c r="BQ736" s="120"/>
      <c r="BR736" s="120"/>
      <c r="BS736" s="957">
        <f>BS709+BS718+BS727</f>
        <v>28375</v>
      </c>
      <c r="BT736" s="694"/>
      <c r="BU736" s="120"/>
      <c r="BV736" s="120"/>
      <c r="BW736" s="120"/>
      <c r="BX736" s="957"/>
      <c r="BY736" s="120"/>
      <c r="BZ736" s="120"/>
      <c r="CA736" s="120"/>
      <c r="CB736" s="120"/>
      <c r="CC736" s="957"/>
      <c r="CD736" s="957"/>
      <c r="CE736" s="957"/>
      <c r="CF736" s="957"/>
      <c r="CG736" s="615"/>
    </row>
    <row r="737" spans="1:85" s="460" customFormat="1" ht="14.4" hidden="1" outlineLevel="1" x14ac:dyDescent="0.3">
      <c r="A737" s="159" t="s">
        <v>1483</v>
      </c>
      <c r="B737" s="586"/>
      <c r="C737" s="150"/>
      <c r="D737" s="150"/>
      <c r="E737" s="150"/>
      <c r="F737" s="150"/>
      <c r="G737" s="117"/>
      <c r="H737" s="117"/>
      <c r="I737" s="117"/>
      <c r="J737" s="117"/>
      <c r="K737" s="150"/>
      <c r="L737" s="117"/>
      <c r="M737" s="117"/>
      <c r="N737" s="117"/>
      <c r="O737" s="117"/>
      <c r="P737" s="150"/>
      <c r="Q737" s="117"/>
      <c r="R737" s="117"/>
      <c r="S737" s="117"/>
      <c r="T737" s="117"/>
      <c r="U737" s="150"/>
      <c r="V737" s="117"/>
      <c r="W737" s="117"/>
      <c r="X737" s="117"/>
      <c r="Y737" s="117"/>
      <c r="Z737" s="150"/>
      <c r="AA737" s="117"/>
      <c r="AB737" s="117"/>
      <c r="AC737" s="117"/>
      <c r="AD737" s="117"/>
      <c r="AE737" s="150"/>
      <c r="AF737" s="117"/>
      <c r="AG737" s="117"/>
      <c r="AH737" s="117"/>
      <c r="AI737" s="117"/>
      <c r="AJ737" s="150"/>
      <c r="AK737" s="117"/>
      <c r="AL737" s="117"/>
      <c r="AM737" s="117"/>
      <c r="AN737" s="117"/>
      <c r="AO737" s="150">
        <f t="shared" ref="AO737:AO742" si="61">AO710+AO719+AO728</f>
        <v>-464</v>
      </c>
      <c r="AP737" s="117"/>
      <c r="AQ737" s="117"/>
      <c r="AR737" s="117"/>
      <c r="AS737" s="117"/>
      <c r="AT737" s="150">
        <f t="shared" ref="AT737:AT742" si="62">AT710+AT719+AT728</f>
        <v>-2904</v>
      </c>
      <c r="AU737" s="117"/>
      <c r="AV737" s="117"/>
      <c r="AW737" s="117"/>
      <c r="AX737" s="117"/>
      <c r="AY737" s="150">
        <f t="shared" ref="AY737:AY742" si="63">AY710+AY719+AY728</f>
        <v>2309</v>
      </c>
      <c r="AZ737" s="117"/>
      <c r="BA737" s="117"/>
      <c r="BB737" s="117"/>
      <c r="BC737" s="117"/>
      <c r="BD737" s="150">
        <f t="shared" ref="BD737:BD742" si="64">BD710+BD719+BD728</f>
        <v>1223</v>
      </c>
      <c r="BE737" s="117"/>
      <c r="BF737" s="117"/>
      <c r="BG737" s="117"/>
      <c r="BH737" s="117"/>
      <c r="BI737" s="150">
        <f t="shared" ref="BI737:BI742" si="65">BI710+BI719+BI728</f>
        <v>-656</v>
      </c>
      <c r="BJ737" s="117"/>
      <c r="BK737" s="117"/>
      <c r="BL737" s="117"/>
      <c r="BM737" s="117"/>
      <c r="BN737" s="150">
        <f t="shared" ref="BN737:BN742" si="66">BN710+BN719+BN728</f>
        <v>-11</v>
      </c>
      <c r="BO737" s="117"/>
      <c r="BP737" s="117"/>
      <c r="BQ737" s="117"/>
      <c r="BR737" s="117"/>
      <c r="BS737" s="150">
        <f t="shared" ref="BS737:BS742" si="67">BS710+BS719+BS728</f>
        <v>1062</v>
      </c>
      <c r="BT737" s="691"/>
      <c r="BU737" s="117"/>
      <c r="BV737" s="117"/>
      <c r="BW737" s="117"/>
      <c r="BX737" s="150"/>
      <c r="BY737" s="117"/>
      <c r="BZ737" s="117"/>
      <c r="CA737" s="117"/>
      <c r="CB737" s="117"/>
      <c r="CC737" s="150"/>
      <c r="CD737" s="150"/>
      <c r="CE737" s="150"/>
      <c r="CF737" s="150"/>
      <c r="CG737" s="587"/>
    </row>
    <row r="738" spans="1:85" s="460" customFormat="1" ht="14.4" hidden="1" outlineLevel="1" x14ac:dyDescent="0.3">
      <c r="A738" s="159" t="s">
        <v>1484</v>
      </c>
      <c r="B738" s="586"/>
      <c r="C738" s="150"/>
      <c r="D738" s="150"/>
      <c r="E738" s="150"/>
      <c r="F738" s="150"/>
      <c r="G738" s="117"/>
      <c r="H738" s="117"/>
      <c r="I738" s="117"/>
      <c r="J738" s="117"/>
      <c r="K738" s="150"/>
      <c r="L738" s="117"/>
      <c r="M738" s="117"/>
      <c r="N738" s="117"/>
      <c r="O738" s="117"/>
      <c r="P738" s="150"/>
      <c r="Q738" s="117"/>
      <c r="R738" s="117"/>
      <c r="S738" s="117"/>
      <c r="T738" s="117"/>
      <c r="U738" s="150"/>
      <c r="V738" s="117"/>
      <c r="W738" s="117"/>
      <c r="X738" s="117"/>
      <c r="Y738" s="117"/>
      <c r="Z738" s="150"/>
      <c r="AA738" s="117"/>
      <c r="AB738" s="117"/>
      <c r="AC738" s="117"/>
      <c r="AD738" s="117"/>
      <c r="AE738" s="150"/>
      <c r="AF738" s="117"/>
      <c r="AG738" s="117"/>
      <c r="AH738" s="117"/>
      <c r="AI738" s="117"/>
      <c r="AJ738" s="150"/>
      <c r="AK738" s="117"/>
      <c r="AL738" s="117"/>
      <c r="AM738" s="117"/>
      <c r="AN738" s="117"/>
      <c r="AO738" s="150">
        <f t="shared" si="61"/>
        <v>0</v>
      </c>
      <c r="AP738" s="117"/>
      <c r="AQ738" s="117"/>
      <c r="AR738" s="117"/>
      <c r="AS738" s="117"/>
      <c r="AT738" s="150">
        <f t="shared" si="62"/>
        <v>0</v>
      </c>
      <c r="AU738" s="117"/>
      <c r="AV738" s="117"/>
      <c r="AW738" s="117"/>
      <c r="AX738" s="117"/>
      <c r="AY738" s="150">
        <f t="shared" si="63"/>
        <v>0</v>
      </c>
      <c r="AZ738" s="117"/>
      <c r="BA738" s="117"/>
      <c r="BB738" s="117"/>
      <c r="BC738" s="117"/>
      <c r="BD738" s="150">
        <f t="shared" si="64"/>
        <v>1</v>
      </c>
      <c r="BE738" s="117"/>
      <c r="BF738" s="117"/>
      <c r="BG738" s="117"/>
      <c r="BH738" s="117"/>
      <c r="BI738" s="150">
        <f t="shared" si="65"/>
        <v>2</v>
      </c>
      <c r="BJ738" s="117"/>
      <c r="BK738" s="117"/>
      <c r="BL738" s="117"/>
      <c r="BM738" s="117"/>
      <c r="BN738" s="150">
        <f t="shared" si="66"/>
        <v>2</v>
      </c>
      <c r="BO738" s="117"/>
      <c r="BP738" s="117"/>
      <c r="BQ738" s="117"/>
      <c r="BR738" s="117"/>
      <c r="BS738" s="150">
        <f t="shared" si="67"/>
        <v>0</v>
      </c>
      <c r="BT738" s="691"/>
      <c r="BU738" s="117"/>
      <c r="BV738" s="117"/>
      <c r="BW738" s="117"/>
      <c r="BX738" s="150"/>
      <c r="BY738" s="117"/>
      <c r="BZ738" s="117"/>
      <c r="CA738" s="117"/>
      <c r="CB738" s="117"/>
      <c r="CC738" s="150"/>
      <c r="CD738" s="150"/>
      <c r="CE738" s="150"/>
      <c r="CF738" s="150"/>
      <c r="CG738" s="587"/>
    </row>
    <row r="739" spans="1:85" s="460" customFormat="1" ht="14.4" hidden="1" outlineLevel="1" x14ac:dyDescent="0.3">
      <c r="A739" s="159" t="s">
        <v>1485</v>
      </c>
      <c r="B739" s="586"/>
      <c r="C739" s="150"/>
      <c r="D739" s="150"/>
      <c r="E739" s="150"/>
      <c r="F739" s="150"/>
      <c r="G739" s="117"/>
      <c r="H739" s="117"/>
      <c r="I739" s="117"/>
      <c r="J739" s="117"/>
      <c r="K739" s="150"/>
      <c r="L739" s="117"/>
      <c r="M739" s="117"/>
      <c r="N739" s="117"/>
      <c r="O739" s="117"/>
      <c r="P739" s="150"/>
      <c r="Q739" s="117"/>
      <c r="R739" s="117"/>
      <c r="S739" s="117"/>
      <c r="T739" s="117"/>
      <c r="U739" s="150"/>
      <c r="V739" s="117"/>
      <c r="W739" s="117"/>
      <c r="X739" s="117"/>
      <c r="Y739" s="117"/>
      <c r="Z739" s="150"/>
      <c r="AA739" s="117"/>
      <c r="AB739" s="117"/>
      <c r="AC739" s="117"/>
      <c r="AD739" s="117"/>
      <c r="AE739" s="150"/>
      <c r="AF739" s="117"/>
      <c r="AG739" s="117"/>
      <c r="AH739" s="117"/>
      <c r="AI739" s="117"/>
      <c r="AJ739" s="150"/>
      <c r="AK739" s="117"/>
      <c r="AL739" s="117"/>
      <c r="AM739" s="117"/>
      <c r="AN739" s="117"/>
      <c r="AO739" s="150">
        <f t="shared" si="61"/>
        <v>1176</v>
      </c>
      <c r="AP739" s="117"/>
      <c r="AQ739" s="117"/>
      <c r="AR739" s="117"/>
      <c r="AS739" s="117"/>
      <c r="AT739" s="150">
        <f t="shared" si="62"/>
        <v>453</v>
      </c>
      <c r="AU739" s="117"/>
      <c r="AV739" s="117"/>
      <c r="AW739" s="117"/>
      <c r="AX739" s="117"/>
      <c r="AY739" s="150">
        <f t="shared" si="63"/>
        <v>1490</v>
      </c>
      <c r="AZ739" s="117"/>
      <c r="BA739" s="117"/>
      <c r="BB739" s="117"/>
      <c r="BC739" s="117"/>
      <c r="BD739" s="150">
        <f t="shared" si="64"/>
        <v>1654</v>
      </c>
      <c r="BE739" s="117"/>
      <c r="BF739" s="117"/>
      <c r="BG739" s="117"/>
      <c r="BH739" s="117"/>
      <c r="BI739" s="150">
        <f t="shared" si="65"/>
        <v>743</v>
      </c>
      <c r="BJ739" s="117"/>
      <c r="BK739" s="117"/>
      <c r="BL739" s="117"/>
      <c r="BM739" s="117"/>
      <c r="BN739" s="150">
        <f t="shared" si="66"/>
        <v>1114</v>
      </c>
      <c r="BO739" s="117"/>
      <c r="BP739" s="117"/>
      <c r="BQ739" s="117"/>
      <c r="BR739" s="117"/>
      <c r="BS739" s="150">
        <f t="shared" si="67"/>
        <v>1544</v>
      </c>
      <c r="BT739" s="691"/>
      <c r="BU739" s="117"/>
      <c r="BV739" s="117"/>
      <c r="BW739" s="117"/>
      <c r="BX739" s="150"/>
      <c r="BY739" s="117"/>
      <c r="BZ739" s="117"/>
      <c r="CA739" s="117"/>
      <c r="CB739" s="117"/>
      <c r="CC739" s="150"/>
      <c r="CD739" s="150"/>
      <c r="CE739" s="150"/>
      <c r="CF739" s="150"/>
      <c r="CG739" s="587"/>
    </row>
    <row r="740" spans="1:85" s="460" customFormat="1" ht="14.4" hidden="1" outlineLevel="1" x14ac:dyDescent="0.3">
      <c r="A740" s="159" t="s">
        <v>1486</v>
      </c>
      <c r="B740" s="586"/>
      <c r="C740" s="150"/>
      <c r="D740" s="150"/>
      <c r="E740" s="150"/>
      <c r="F740" s="150"/>
      <c r="G740" s="117"/>
      <c r="H740" s="117"/>
      <c r="I740" s="117"/>
      <c r="J740" s="117"/>
      <c r="K740" s="150"/>
      <c r="L740" s="117"/>
      <c r="M740" s="117"/>
      <c r="N740" s="117"/>
      <c r="O740" s="117"/>
      <c r="P740" s="150"/>
      <c r="Q740" s="117"/>
      <c r="R740" s="117"/>
      <c r="S740" s="117"/>
      <c r="T740" s="117"/>
      <c r="U740" s="150"/>
      <c r="V740" s="117"/>
      <c r="W740" s="117"/>
      <c r="X740" s="117"/>
      <c r="Y740" s="117"/>
      <c r="Z740" s="150"/>
      <c r="AA740" s="117"/>
      <c r="AB740" s="117"/>
      <c r="AC740" s="117"/>
      <c r="AD740" s="117"/>
      <c r="AE740" s="150"/>
      <c r="AF740" s="117"/>
      <c r="AG740" s="117"/>
      <c r="AH740" s="117"/>
      <c r="AI740" s="117"/>
      <c r="AJ740" s="150"/>
      <c r="AK740" s="117"/>
      <c r="AL740" s="117"/>
      <c r="AM740" s="117"/>
      <c r="AN740" s="117"/>
      <c r="AO740" s="150">
        <f t="shared" si="61"/>
        <v>24</v>
      </c>
      <c r="AP740" s="117"/>
      <c r="AQ740" s="117"/>
      <c r="AR740" s="117"/>
      <c r="AS740" s="117"/>
      <c r="AT740" s="150">
        <f t="shared" si="62"/>
        <v>7339</v>
      </c>
      <c r="AU740" s="117"/>
      <c r="AV740" s="117"/>
      <c r="AW740" s="117"/>
      <c r="AX740" s="117"/>
      <c r="AY740" s="150">
        <f t="shared" si="63"/>
        <v>44</v>
      </c>
      <c r="AZ740" s="117"/>
      <c r="BA740" s="117"/>
      <c r="BB740" s="117"/>
      <c r="BC740" s="117"/>
      <c r="BD740" s="150">
        <f t="shared" si="64"/>
        <v>140</v>
      </c>
      <c r="BE740" s="117"/>
      <c r="BF740" s="117"/>
      <c r="BG740" s="117"/>
      <c r="BH740" s="117"/>
      <c r="BI740" s="150">
        <f t="shared" si="65"/>
        <v>2258</v>
      </c>
      <c r="BJ740" s="117"/>
      <c r="BK740" s="117"/>
      <c r="BL740" s="117"/>
      <c r="BM740" s="117"/>
      <c r="BN740" s="150">
        <f t="shared" si="66"/>
        <v>209</v>
      </c>
      <c r="BO740" s="117"/>
      <c r="BP740" s="117"/>
      <c r="BQ740" s="117"/>
      <c r="BR740" s="117"/>
      <c r="BS740" s="150">
        <f t="shared" si="67"/>
        <v>1542</v>
      </c>
      <c r="BT740" s="691"/>
      <c r="BU740" s="117"/>
      <c r="BV740" s="117"/>
      <c r="BW740" s="117"/>
      <c r="BX740" s="150"/>
      <c r="BY740" s="117"/>
      <c r="BZ740" s="117"/>
      <c r="CA740" s="117"/>
      <c r="CB740" s="117"/>
      <c r="CC740" s="150"/>
      <c r="CD740" s="150"/>
      <c r="CE740" s="150"/>
      <c r="CF740" s="150"/>
      <c r="CG740" s="587"/>
    </row>
    <row r="741" spans="1:85" s="460" customFormat="1" ht="14.4" hidden="1" outlineLevel="1" x14ac:dyDescent="0.3">
      <c r="A741" s="159" t="s">
        <v>1487</v>
      </c>
      <c r="B741" s="586"/>
      <c r="C741" s="150"/>
      <c r="D741" s="150"/>
      <c r="E741" s="150"/>
      <c r="F741" s="150"/>
      <c r="G741" s="117"/>
      <c r="H741" s="117"/>
      <c r="I741" s="117"/>
      <c r="J741" s="117"/>
      <c r="K741" s="150"/>
      <c r="L741" s="117"/>
      <c r="M741" s="117"/>
      <c r="N741" s="117"/>
      <c r="O741" s="117"/>
      <c r="P741" s="150"/>
      <c r="Q741" s="117"/>
      <c r="R741" s="117"/>
      <c r="S741" s="117"/>
      <c r="T741" s="117"/>
      <c r="U741" s="150"/>
      <c r="V741" s="117"/>
      <c r="W741" s="117"/>
      <c r="X741" s="117"/>
      <c r="Y741" s="117"/>
      <c r="Z741" s="150"/>
      <c r="AA741" s="117"/>
      <c r="AB741" s="117"/>
      <c r="AC741" s="117"/>
      <c r="AD741" s="117"/>
      <c r="AE741" s="150"/>
      <c r="AF741" s="117"/>
      <c r="AG741" s="117"/>
      <c r="AH741" s="117"/>
      <c r="AI741" s="117"/>
      <c r="AJ741" s="150"/>
      <c r="AK741" s="117"/>
      <c r="AL741" s="117"/>
      <c r="AM741" s="117"/>
      <c r="AN741" s="117"/>
      <c r="AO741" s="150">
        <f t="shared" si="61"/>
        <v>-243</v>
      </c>
      <c r="AP741" s="117"/>
      <c r="AQ741" s="117"/>
      <c r="AR741" s="117"/>
      <c r="AS741" s="117"/>
      <c r="AT741" s="150">
        <f t="shared" si="62"/>
        <v>-1755</v>
      </c>
      <c r="AU741" s="117"/>
      <c r="AV741" s="117"/>
      <c r="AW741" s="117"/>
      <c r="AX741" s="117"/>
      <c r="AY741" s="150">
        <f t="shared" si="63"/>
        <v>-42</v>
      </c>
      <c r="AZ741" s="117"/>
      <c r="BA741" s="117"/>
      <c r="BB741" s="117"/>
      <c r="BC741" s="117"/>
      <c r="BD741" s="150">
        <f t="shared" si="64"/>
        <v>-254</v>
      </c>
      <c r="BE741" s="117"/>
      <c r="BF741" s="117"/>
      <c r="BG741" s="117"/>
      <c r="BH741" s="117"/>
      <c r="BI741" s="150">
        <f t="shared" si="65"/>
        <v>-3</v>
      </c>
      <c r="BJ741" s="117"/>
      <c r="BK741" s="117"/>
      <c r="BL741" s="117"/>
      <c r="BM741" s="117"/>
      <c r="BN741" s="150">
        <f t="shared" si="66"/>
        <v>-330</v>
      </c>
      <c r="BO741" s="117"/>
      <c r="BP741" s="117"/>
      <c r="BQ741" s="117"/>
      <c r="BR741" s="117"/>
      <c r="BS741" s="150">
        <f t="shared" si="67"/>
        <v>-170</v>
      </c>
      <c r="BT741" s="691"/>
      <c r="BU741" s="117"/>
      <c r="BV741" s="117"/>
      <c r="BW741" s="117"/>
      <c r="BX741" s="150"/>
      <c r="BY741" s="117"/>
      <c r="BZ741" s="117"/>
      <c r="CA741" s="117"/>
      <c r="CB741" s="117"/>
      <c r="CC741" s="150"/>
      <c r="CD741" s="150"/>
      <c r="CE741" s="150"/>
      <c r="CF741" s="150"/>
      <c r="CG741" s="587"/>
    </row>
    <row r="742" spans="1:85" s="460" customFormat="1" ht="14.4" hidden="1" outlineLevel="1" x14ac:dyDescent="0.3">
      <c r="A742" s="262" t="s">
        <v>1488</v>
      </c>
      <c r="B742" s="588"/>
      <c r="C742" s="954"/>
      <c r="D742" s="954"/>
      <c r="E742" s="954"/>
      <c r="F742" s="954"/>
      <c r="G742" s="133"/>
      <c r="H742" s="133"/>
      <c r="I742" s="133"/>
      <c r="J742" s="133"/>
      <c r="K742" s="954"/>
      <c r="L742" s="133"/>
      <c r="M742" s="133"/>
      <c r="N742" s="133"/>
      <c r="O742" s="133"/>
      <c r="P742" s="954"/>
      <c r="Q742" s="133"/>
      <c r="R742" s="133"/>
      <c r="S742" s="133"/>
      <c r="T742" s="133"/>
      <c r="U742" s="954"/>
      <c r="V742" s="133"/>
      <c r="W742" s="133"/>
      <c r="X742" s="133"/>
      <c r="Y742" s="133"/>
      <c r="Z742" s="954"/>
      <c r="AA742" s="133"/>
      <c r="AB742" s="133"/>
      <c r="AC742" s="133"/>
      <c r="AD742" s="133"/>
      <c r="AE742" s="954"/>
      <c r="AF742" s="133"/>
      <c r="AG742" s="133"/>
      <c r="AH742" s="133"/>
      <c r="AI742" s="133"/>
      <c r="AJ742" s="954"/>
      <c r="AK742" s="133"/>
      <c r="AL742" s="133"/>
      <c r="AM742" s="133"/>
      <c r="AN742" s="133"/>
      <c r="AO742" s="954">
        <f t="shared" si="61"/>
        <v>-2612</v>
      </c>
      <c r="AP742" s="133"/>
      <c r="AQ742" s="133"/>
      <c r="AR742" s="133"/>
      <c r="AS742" s="133"/>
      <c r="AT742" s="954">
        <f t="shared" si="62"/>
        <v>-2668</v>
      </c>
      <c r="AU742" s="133"/>
      <c r="AV742" s="133"/>
      <c r="AW742" s="133"/>
      <c r="AX742" s="133"/>
      <c r="AY742" s="954">
        <f t="shared" si="63"/>
        <v>-2815</v>
      </c>
      <c r="AZ742" s="133"/>
      <c r="BA742" s="133"/>
      <c r="BB742" s="133"/>
      <c r="BC742" s="133"/>
      <c r="BD742" s="954">
        <f t="shared" si="64"/>
        <v>-2808</v>
      </c>
      <c r="BE742" s="133"/>
      <c r="BF742" s="133"/>
      <c r="BG742" s="133"/>
      <c r="BH742" s="133"/>
      <c r="BI742" s="954">
        <f t="shared" si="65"/>
        <v>-2827</v>
      </c>
      <c r="BJ742" s="133"/>
      <c r="BK742" s="133"/>
      <c r="BL742" s="133"/>
      <c r="BM742" s="133"/>
      <c r="BN742" s="954">
        <f t="shared" si="66"/>
        <v>-2990</v>
      </c>
      <c r="BO742" s="133"/>
      <c r="BP742" s="133"/>
      <c r="BQ742" s="133"/>
      <c r="BR742" s="133"/>
      <c r="BS742" s="954">
        <f t="shared" si="67"/>
        <v>-3108</v>
      </c>
      <c r="BT742" s="692"/>
      <c r="BU742" s="133"/>
      <c r="BV742" s="133"/>
      <c r="BW742" s="133"/>
      <c r="BX742" s="954"/>
      <c r="BY742" s="133"/>
      <c r="BZ742" s="133"/>
      <c r="CA742" s="133"/>
      <c r="CB742" s="133"/>
      <c r="CC742" s="954"/>
      <c r="CD742" s="954"/>
      <c r="CE742" s="954"/>
      <c r="CF742" s="954"/>
      <c r="CG742" s="587"/>
    </row>
    <row r="743" spans="1:85" s="461" customFormat="1" ht="14.4" hidden="1" outlineLevel="1" x14ac:dyDescent="0.3">
      <c r="A743" s="166" t="s">
        <v>1489</v>
      </c>
      <c r="B743" s="583"/>
      <c r="C743" s="957"/>
      <c r="D743" s="957"/>
      <c r="E743" s="957"/>
      <c r="F743" s="957"/>
      <c r="G743" s="120"/>
      <c r="H743" s="120"/>
      <c r="I743" s="120"/>
      <c r="J743" s="120"/>
      <c r="K743" s="957"/>
      <c r="L743" s="120"/>
      <c r="M743" s="120"/>
      <c r="N743" s="120"/>
      <c r="O743" s="120"/>
      <c r="P743" s="957"/>
      <c r="Q743" s="120"/>
      <c r="R743" s="120"/>
      <c r="S743" s="120"/>
      <c r="T743" s="120"/>
      <c r="U743" s="957"/>
      <c r="V743" s="120"/>
      <c r="W743" s="120"/>
      <c r="X743" s="120"/>
      <c r="Y743" s="120"/>
      <c r="Z743" s="957"/>
      <c r="AA743" s="120"/>
      <c r="AB743" s="120"/>
      <c r="AC743" s="120"/>
      <c r="AD743" s="120"/>
      <c r="AE743" s="957"/>
      <c r="AF743" s="120"/>
      <c r="AG743" s="120"/>
      <c r="AH743" s="120"/>
      <c r="AI743" s="120"/>
      <c r="AJ743" s="957"/>
      <c r="AK743" s="120"/>
      <c r="AL743" s="120"/>
      <c r="AM743" s="120"/>
      <c r="AN743" s="120"/>
      <c r="AO743" s="957">
        <f>SUM(AO736:AO742)</f>
        <v>29457</v>
      </c>
      <c r="AP743" s="120"/>
      <c r="AQ743" s="120"/>
      <c r="AR743" s="120"/>
      <c r="AS743" s="120"/>
      <c r="AT743" s="957">
        <f>SUM(AT736:AT742)</f>
        <v>29922</v>
      </c>
      <c r="AU743" s="120"/>
      <c r="AV743" s="120"/>
      <c r="AW743" s="120"/>
      <c r="AX743" s="120"/>
      <c r="AY743" s="957">
        <f>SUM(AY736:AY742)</f>
        <v>30908</v>
      </c>
      <c r="AZ743" s="120"/>
      <c r="BA743" s="120"/>
      <c r="BB743" s="120"/>
      <c r="BC743" s="120"/>
      <c r="BD743" s="957">
        <f>SUM(BD736:BD742)</f>
        <v>30864</v>
      </c>
      <c r="BE743" s="120"/>
      <c r="BF743" s="120"/>
      <c r="BG743" s="120"/>
      <c r="BH743" s="120"/>
      <c r="BI743" s="957">
        <f>SUM(BI736:BI742)</f>
        <v>30381</v>
      </c>
      <c r="BJ743" s="120"/>
      <c r="BK743" s="120"/>
      <c r="BL743" s="120"/>
      <c r="BM743" s="120"/>
      <c r="BN743" s="957">
        <f>SUM(BN736:BN742)</f>
        <v>28375</v>
      </c>
      <c r="BO743" s="120"/>
      <c r="BP743" s="120"/>
      <c r="BQ743" s="120"/>
      <c r="BR743" s="120"/>
      <c r="BS743" s="957">
        <f>SUM(BS736:BS742)</f>
        <v>29245</v>
      </c>
      <c r="BT743" s="694"/>
      <c r="BU743" s="120"/>
      <c r="BV743" s="120"/>
      <c r="BW743" s="120"/>
      <c r="BX743" s="957"/>
      <c r="BY743" s="120"/>
      <c r="BZ743" s="120"/>
      <c r="CA743" s="120"/>
      <c r="CB743" s="120"/>
      <c r="CC743" s="957"/>
      <c r="CD743" s="957"/>
      <c r="CE743" s="957"/>
      <c r="CF743" s="957"/>
      <c r="CG743" s="615"/>
    </row>
    <row r="744" spans="1:85" s="461" customFormat="1" ht="14.4" collapsed="1" x14ac:dyDescent="0.3">
      <c r="A744" s="159"/>
      <c r="B744" s="583"/>
      <c r="C744" s="957"/>
      <c r="D744" s="957"/>
      <c r="E744" s="957"/>
      <c r="F744" s="957"/>
      <c r="G744" s="120"/>
      <c r="H744" s="120"/>
      <c r="I744" s="120"/>
      <c r="J744" s="120"/>
      <c r="K744" s="957"/>
      <c r="L744" s="120"/>
      <c r="M744" s="120"/>
      <c r="N744" s="120"/>
      <c r="O744" s="120"/>
      <c r="P744" s="957"/>
      <c r="Q744" s="120"/>
      <c r="R744" s="120"/>
      <c r="S744" s="120"/>
      <c r="T744" s="120"/>
      <c r="U744" s="957"/>
      <c r="V744" s="120"/>
      <c r="W744" s="120"/>
      <c r="X744" s="120"/>
      <c r="Y744" s="120"/>
      <c r="Z744" s="957"/>
      <c r="AA744" s="120"/>
      <c r="AB744" s="120"/>
      <c r="AC744" s="120"/>
      <c r="AD744" s="120"/>
      <c r="AE744" s="957"/>
      <c r="AF744" s="120"/>
      <c r="AG744" s="120"/>
      <c r="AH744" s="120"/>
      <c r="AI744" s="120"/>
      <c r="AJ744" s="957"/>
      <c r="AK744" s="120"/>
      <c r="AL744" s="120"/>
      <c r="AM744" s="120"/>
      <c r="AN744" s="120"/>
      <c r="AO744" s="957"/>
      <c r="AP744" s="120"/>
      <c r="AQ744" s="120"/>
      <c r="AR744" s="120"/>
      <c r="AS744" s="120"/>
      <c r="AT744" s="957"/>
      <c r="AU744" s="120"/>
      <c r="AV744" s="120"/>
      <c r="AW744" s="120"/>
      <c r="AX744" s="120"/>
      <c r="AY744" s="957"/>
      <c r="AZ744" s="120"/>
      <c r="BA744" s="120"/>
      <c r="BB744" s="120"/>
      <c r="BC744" s="120"/>
      <c r="BD744" s="957"/>
      <c r="BE744" s="120"/>
      <c r="BF744" s="120"/>
      <c r="BG744" s="120"/>
      <c r="BH744" s="120"/>
      <c r="BI744" s="957"/>
      <c r="BJ744" s="120"/>
      <c r="BK744" s="120"/>
      <c r="BL744" s="120"/>
      <c r="BM744" s="120"/>
      <c r="BN744" s="957"/>
      <c r="BO744" s="120"/>
      <c r="BP744" s="120"/>
      <c r="BQ744" s="120"/>
      <c r="BR744" s="120"/>
      <c r="BS744" s="957"/>
      <c r="BT744" s="694"/>
      <c r="BU744" s="120"/>
      <c r="BV744" s="120"/>
      <c r="BW744" s="120"/>
      <c r="BX744" s="957"/>
      <c r="BY744" s="120"/>
      <c r="BZ744" s="120"/>
      <c r="CA744" s="120"/>
      <c r="CB744" s="120"/>
      <c r="CC744" s="957"/>
      <c r="CD744" s="957"/>
      <c r="CE744" s="957"/>
      <c r="CF744" s="957"/>
      <c r="CG744" s="615"/>
    </row>
    <row r="745" spans="1:85" s="462" customFormat="1" ht="14.4" x14ac:dyDescent="0.3">
      <c r="A745" s="732" t="s">
        <v>1596</v>
      </c>
      <c r="B745" s="732"/>
      <c r="C745" s="732"/>
      <c r="D745" s="732"/>
      <c r="E745" s="732"/>
      <c r="F745" s="732"/>
      <c r="G745" s="732"/>
      <c r="H745" s="732"/>
      <c r="I745" s="732"/>
      <c r="J745" s="732"/>
      <c r="K745" s="732"/>
      <c r="L745" s="732"/>
      <c r="M745" s="732"/>
      <c r="N745" s="732"/>
      <c r="O745" s="732"/>
      <c r="P745" s="732"/>
      <c r="Q745" s="732"/>
      <c r="R745" s="732"/>
      <c r="S745" s="732"/>
      <c r="T745" s="732"/>
      <c r="U745" s="732"/>
      <c r="V745" s="732"/>
      <c r="W745" s="732"/>
      <c r="X745" s="732"/>
      <c r="Y745" s="732"/>
      <c r="Z745" s="732"/>
      <c r="AA745" s="732"/>
      <c r="AB745" s="732"/>
      <c r="AC745" s="732"/>
      <c r="AD745" s="732"/>
      <c r="AE745" s="732"/>
      <c r="AF745" s="732"/>
      <c r="AG745" s="732"/>
      <c r="AH745" s="732"/>
      <c r="AI745" s="732"/>
      <c r="AJ745" s="732"/>
      <c r="AK745" s="732"/>
      <c r="AL745" s="732"/>
      <c r="AM745" s="732"/>
      <c r="AN745" s="732"/>
      <c r="AO745" s="732"/>
      <c r="AP745" s="732"/>
      <c r="AQ745" s="732"/>
      <c r="AR745" s="732"/>
      <c r="AS745" s="732"/>
      <c r="AT745" s="732"/>
      <c r="AU745" s="732"/>
      <c r="AV745" s="732"/>
      <c r="AW745" s="732"/>
      <c r="AX745" s="732"/>
      <c r="AY745" s="732"/>
      <c r="AZ745" s="732"/>
      <c r="BA745" s="732"/>
      <c r="BB745" s="732"/>
      <c r="BC745" s="732"/>
      <c r="BD745" s="732"/>
      <c r="BE745" s="732"/>
      <c r="BF745" s="732"/>
      <c r="BG745" s="732"/>
      <c r="BH745" s="732"/>
      <c r="BI745" s="732"/>
      <c r="BJ745" s="732"/>
      <c r="BK745" s="732"/>
      <c r="BL745" s="732"/>
      <c r="BM745" s="732"/>
      <c r="BN745" s="732"/>
      <c r="BO745" s="732"/>
      <c r="BP745" s="732"/>
      <c r="BQ745" s="732"/>
      <c r="BR745" s="732"/>
      <c r="BS745" s="732"/>
      <c r="BT745" s="733"/>
      <c r="BU745" s="732"/>
      <c r="BV745" s="732"/>
      <c r="BW745" s="732"/>
      <c r="BX745" s="732"/>
      <c r="BY745" s="732"/>
      <c r="BZ745" s="732"/>
      <c r="CA745" s="732"/>
      <c r="CB745" s="732"/>
      <c r="CC745" s="732"/>
      <c r="CD745" s="732"/>
      <c r="CE745" s="732"/>
      <c r="CF745" s="732"/>
      <c r="CG745" s="614"/>
    </row>
    <row r="746" spans="1:85" s="460" customFormat="1" ht="14.4" hidden="1" outlineLevel="1" x14ac:dyDescent="0.3">
      <c r="A746" s="159" t="s">
        <v>1490</v>
      </c>
      <c r="B746" s="586"/>
      <c r="C746" s="150"/>
      <c r="D746" s="150"/>
      <c r="E746" s="150"/>
      <c r="F746" s="150"/>
      <c r="G746" s="117"/>
      <c r="H746" s="117"/>
      <c r="I746" s="117"/>
      <c r="J746" s="117"/>
      <c r="K746" s="150"/>
      <c r="L746" s="117"/>
      <c r="M746" s="117"/>
      <c r="N746" s="117"/>
      <c r="O746" s="117"/>
      <c r="P746" s="150"/>
      <c r="Q746" s="117"/>
      <c r="R746" s="117"/>
      <c r="S746" s="117"/>
      <c r="T746" s="117"/>
      <c r="U746" s="150"/>
      <c r="V746" s="117"/>
      <c r="W746" s="117"/>
      <c r="X746" s="117"/>
      <c r="Y746" s="117"/>
      <c r="Z746" s="150"/>
      <c r="AA746" s="117"/>
      <c r="AB746" s="117"/>
      <c r="AC746" s="117"/>
      <c r="AD746" s="117"/>
      <c r="AE746" s="150"/>
      <c r="AF746" s="117"/>
      <c r="AG746" s="117"/>
      <c r="AH746" s="117"/>
      <c r="AI746" s="117"/>
      <c r="AJ746" s="150"/>
      <c r="AK746" s="117"/>
      <c r="AL746" s="117"/>
      <c r="AM746" s="117"/>
      <c r="AN746" s="117"/>
      <c r="AO746" s="975">
        <v>122012</v>
      </c>
      <c r="AP746" s="117"/>
      <c r="AQ746" s="117"/>
      <c r="AR746" s="117"/>
      <c r="AS746" s="117"/>
      <c r="AT746" s="975">
        <v>74671</v>
      </c>
      <c r="AU746" s="117"/>
      <c r="AV746" s="117"/>
      <c r="AW746" s="117"/>
      <c r="AX746" s="117"/>
      <c r="AY746" s="975">
        <v>174976</v>
      </c>
      <c r="AZ746" s="117"/>
      <c r="BA746" s="117"/>
      <c r="BB746" s="117"/>
      <c r="BC746" s="117"/>
      <c r="BD746" s="975">
        <v>257478</v>
      </c>
      <c r="BE746" s="117"/>
      <c r="BF746" s="117"/>
      <c r="BG746" s="117"/>
      <c r="BH746" s="117"/>
      <c r="BI746" s="975">
        <v>181152</v>
      </c>
      <c r="BJ746" s="117"/>
      <c r="BK746" s="117"/>
      <c r="BL746" s="117"/>
      <c r="BM746" s="117"/>
      <c r="BN746" s="975">
        <v>163846</v>
      </c>
      <c r="BO746" s="117"/>
      <c r="BP746" s="117"/>
      <c r="BQ746" s="117"/>
      <c r="BR746" s="117"/>
      <c r="BS746" s="975">
        <v>169215</v>
      </c>
      <c r="BT746" s="691"/>
      <c r="BU746" s="117"/>
      <c r="BV746" s="117"/>
      <c r="BW746" s="117"/>
      <c r="BX746" s="150"/>
      <c r="BY746" s="117"/>
      <c r="BZ746" s="117"/>
      <c r="CA746" s="117"/>
      <c r="CB746" s="117"/>
      <c r="CC746" s="150"/>
      <c r="CD746" s="150"/>
      <c r="CE746" s="150"/>
      <c r="CF746" s="150"/>
      <c r="CG746" s="587"/>
    </row>
    <row r="747" spans="1:85" s="460" customFormat="1" ht="14.4" hidden="1" outlineLevel="1" x14ac:dyDescent="0.3">
      <c r="A747" s="159" t="s">
        <v>1491</v>
      </c>
      <c r="B747" s="586"/>
      <c r="C747" s="150"/>
      <c r="D747" s="150"/>
      <c r="E747" s="150"/>
      <c r="F747" s="150"/>
      <c r="G747" s="117"/>
      <c r="H747" s="117"/>
      <c r="I747" s="117"/>
      <c r="J747" s="117"/>
      <c r="K747" s="150"/>
      <c r="L747" s="117"/>
      <c r="M747" s="117"/>
      <c r="N747" s="117"/>
      <c r="O747" s="117"/>
      <c r="P747" s="150"/>
      <c r="Q747" s="117"/>
      <c r="R747" s="117"/>
      <c r="S747" s="117"/>
      <c r="T747" s="117"/>
      <c r="U747" s="150"/>
      <c r="V747" s="117"/>
      <c r="W747" s="117"/>
      <c r="X747" s="117"/>
      <c r="Y747" s="117"/>
      <c r="Z747" s="150"/>
      <c r="AA747" s="117"/>
      <c r="AB747" s="117"/>
      <c r="AC747" s="117"/>
      <c r="AD747" s="117"/>
      <c r="AE747" s="150"/>
      <c r="AF747" s="117"/>
      <c r="AG747" s="117"/>
      <c r="AH747" s="117"/>
      <c r="AI747" s="117"/>
      <c r="AJ747" s="150"/>
      <c r="AK747" s="117"/>
      <c r="AL747" s="117"/>
      <c r="AM747" s="117"/>
      <c r="AN747" s="117"/>
      <c r="AO747" s="975">
        <v>-32349</v>
      </c>
      <c r="AP747" s="117"/>
      <c r="AQ747" s="117"/>
      <c r="AR747" s="117"/>
      <c r="AS747" s="117"/>
      <c r="AT747" s="975">
        <v>-30359</v>
      </c>
      <c r="AU747" s="117"/>
      <c r="AV747" s="117"/>
      <c r="AW747" s="117"/>
      <c r="AX747" s="117"/>
      <c r="AY747" s="975">
        <v>-40009</v>
      </c>
      <c r="AZ747" s="117"/>
      <c r="BA747" s="117"/>
      <c r="BB747" s="117"/>
      <c r="BC747" s="117"/>
      <c r="BD747" s="975">
        <v>-51022</v>
      </c>
      <c r="BE747" s="117"/>
      <c r="BF747" s="117"/>
      <c r="BG747" s="117"/>
      <c r="BH747" s="117"/>
      <c r="BI747" s="975">
        <v>-48784</v>
      </c>
      <c r="BJ747" s="117"/>
      <c r="BK747" s="117"/>
      <c r="BL747" s="117"/>
      <c r="BM747" s="117"/>
      <c r="BN747" s="975">
        <v>-52680</v>
      </c>
      <c r="BO747" s="117"/>
      <c r="BP747" s="117"/>
      <c r="BQ747" s="117"/>
      <c r="BR747" s="117"/>
      <c r="BS747" s="975">
        <v>-76479</v>
      </c>
      <c r="BT747" s="691"/>
      <c r="BU747" s="117"/>
      <c r="BV747" s="117"/>
      <c r="BW747" s="117"/>
      <c r="BX747" s="150"/>
      <c r="BY747" s="117"/>
      <c r="BZ747" s="117"/>
      <c r="CA747" s="117"/>
      <c r="CB747" s="117"/>
      <c r="CC747" s="150"/>
      <c r="CD747" s="150"/>
      <c r="CE747" s="150"/>
      <c r="CF747" s="150"/>
      <c r="CG747" s="587"/>
    </row>
    <row r="748" spans="1:85" s="460" customFormat="1" ht="14.4" hidden="1" outlineLevel="1" x14ac:dyDescent="0.3">
      <c r="A748" s="159" t="s">
        <v>1492</v>
      </c>
      <c r="B748" s="586"/>
      <c r="C748" s="150"/>
      <c r="D748" s="150"/>
      <c r="E748" s="150"/>
      <c r="F748" s="150"/>
      <c r="G748" s="117"/>
      <c r="H748" s="117"/>
      <c r="I748" s="117"/>
      <c r="J748" s="117"/>
      <c r="K748" s="150"/>
      <c r="L748" s="117"/>
      <c r="M748" s="117"/>
      <c r="N748" s="117"/>
      <c r="O748" s="117"/>
      <c r="P748" s="150"/>
      <c r="Q748" s="117"/>
      <c r="R748" s="117"/>
      <c r="S748" s="117"/>
      <c r="T748" s="117"/>
      <c r="U748" s="150"/>
      <c r="V748" s="117"/>
      <c r="W748" s="117"/>
      <c r="X748" s="117"/>
      <c r="Y748" s="117"/>
      <c r="Z748" s="150"/>
      <c r="AA748" s="117"/>
      <c r="AB748" s="117"/>
      <c r="AC748" s="117"/>
      <c r="AD748" s="117"/>
      <c r="AE748" s="150"/>
      <c r="AF748" s="117"/>
      <c r="AG748" s="117"/>
      <c r="AH748" s="117"/>
      <c r="AI748" s="117"/>
      <c r="AJ748" s="150"/>
      <c r="AK748" s="117"/>
      <c r="AL748" s="117"/>
      <c r="AM748" s="117"/>
      <c r="AN748" s="117"/>
      <c r="AO748" s="975">
        <v>-15987</v>
      </c>
      <c r="AP748" s="117"/>
      <c r="AQ748" s="117"/>
      <c r="AR748" s="117"/>
      <c r="AS748" s="117"/>
      <c r="AT748" s="975">
        <v>-10492</v>
      </c>
      <c r="AU748" s="117"/>
      <c r="AV748" s="117"/>
      <c r="AW748" s="117"/>
      <c r="AX748" s="117"/>
      <c r="AY748" s="975">
        <v>-16709</v>
      </c>
      <c r="AZ748" s="117"/>
      <c r="BA748" s="117"/>
      <c r="BB748" s="117"/>
      <c r="BC748" s="117"/>
      <c r="BD748" s="975">
        <v>-20907</v>
      </c>
      <c r="BE748" s="117"/>
      <c r="BF748" s="117"/>
      <c r="BG748" s="117"/>
      <c r="BH748" s="117"/>
      <c r="BI748" s="975">
        <v>-16938</v>
      </c>
      <c r="BJ748" s="117"/>
      <c r="BK748" s="117"/>
      <c r="BL748" s="117"/>
      <c r="BM748" s="117"/>
      <c r="BN748" s="975">
        <v>-15377</v>
      </c>
      <c r="BO748" s="117"/>
      <c r="BP748" s="117"/>
      <c r="BQ748" s="117"/>
      <c r="BR748" s="117"/>
      <c r="BS748" s="975">
        <v>-14702</v>
      </c>
      <c r="BT748" s="691"/>
      <c r="BU748" s="117"/>
      <c r="BV748" s="117"/>
      <c r="BW748" s="117"/>
      <c r="BX748" s="150"/>
      <c r="BY748" s="117"/>
      <c r="BZ748" s="117"/>
      <c r="CA748" s="117"/>
      <c r="CB748" s="117"/>
      <c r="CC748" s="150"/>
      <c r="CD748" s="150"/>
      <c r="CE748" s="150"/>
      <c r="CF748" s="150"/>
      <c r="CG748" s="587"/>
    </row>
    <row r="749" spans="1:85" s="460" customFormat="1" ht="14.4" hidden="1" outlineLevel="1" x14ac:dyDescent="0.3">
      <c r="A749" s="262" t="s">
        <v>1493</v>
      </c>
      <c r="B749" s="588"/>
      <c r="C749" s="954"/>
      <c r="D749" s="954"/>
      <c r="E749" s="954"/>
      <c r="F749" s="954"/>
      <c r="G749" s="133"/>
      <c r="H749" s="133"/>
      <c r="I749" s="133"/>
      <c r="J749" s="133"/>
      <c r="K749" s="954"/>
      <c r="L749" s="133"/>
      <c r="M749" s="133"/>
      <c r="N749" s="133"/>
      <c r="O749" s="133"/>
      <c r="P749" s="954"/>
      <c r="Q749" s="133"/>
      <c r="R749" s="133"/>
      <c r="S749" s="133"/>
      <c r="T749" s="133"/>
      <c r="U749" s="954"/>
      <c r="V749" s="133"/>
      <c r="W749" s="133"/>
      <c r="X749" s="133"/>
      <c r="Y749" s="133"/>
      <c r="Z749" s="954"/>
      <c r="AA749" s="133"/>
      <c r="AB749" s="133"/>
      <c r="AC749" s="133"/>
      <c r="AD749" s="133"/>
      <c r="AE749" s="954"/>
      <c r="AF749" s="133"/>
      <c r="AG749" s="133"/>
      <c r="AH749" s="133"/>
      <c r="AI749" s="133"/>
      <c r="AJ749" s="954"/>
      <c r="AK749" s="133"/>
      <c r="AL749" s="133"/>
      <c r="AM749" s="133"/>
      <c r="AN749" s="133"/>
      <c r="AO749" s="976">
        <v>-15780</v>
      </c>
      <c r="AP749" s="133"/>
      <c r="AQ749" s="133"/>
      <c r="AR749" s="133"/>
      <c r="AS749" s="133"/>
      <c r="AT749" s="976">
        <v>-5874</v>
      </c>
      <c r="AU749" s="133"/>
      <c r="AV749" s="133"/>
      <c r="AW749" s="133"/>
      <c r="AX749" s="133"/>
      <c r="AY749" s="976">
        <v>-24182</v>
      </c>
      <c r="AZ749" s="133"/>
      <c r="BA749" s="133"/>
      <c r="BB749" s="133"/>
      <c r="BC749" s="133"/>
      <c r="BD749" s="976">
        <v>-40096</v>
      </c>
      <c r="BE749" s="133"/>
      <c r="BF749" s="133"/>
      <c r="BG749" s="133"/>
      <c r="BH749" s="133"/>
      <c r="BI749" s="976">
        <v>-21089</v>
      </c>
      <c r="BJ749" s="133"/>
      <c r="BK749" s="133"/>
      <c r="BL749" s="133"/>
      <c r="BM749" s="133"/>
      <c r="BN749" s="976">
        <v>-18919</v>
      </c>
      <c r="BO749" s="133"/>
      <c r="BP749" s="133"/>
      <c r="BQ749" s="133"/>
      <c r="BR749" s="133"/>
      <c r="BS749" s="976">
        <v>-14732</v>
      </c>
      <c r="BT749" s="692"/>
      <c r="BU749" s="133"/>
      <c r="BV749" s="133"/>
      <c r="BW749" s="133"/>
      <c r="BX749" s="954"/>
      <c r="BY749" s="133"/>
      <c r="BZ749" s="133"/>
      <c r="CA749" s="133"/>
      <c r="CB749" s="133"/>
      <c r="CC749" s="954"/>
      <c r="CD749" s="954"/>
      <c r="CE749" s="954"/>
      <c r="CF749" s="954"/>
      <c r="CG749" s="587"/>
    </row>
    <row r="750" spans="1:85" s="461" customFormat="1" ht="14.4" hidden="1" outlineLevel="1" x14ac:dyDescent="0.3">
      <c r="A750" s="166" t="s">
        <v>1494</v>
      </c>
      <c r="B750" s="583"/>
      <c r="C750" s="957"/>
      <c r="D750" s="957"/>
      <c r="E750" s="957"/>
      <c r="F750" s="957"/>
      <c r="G750" s="120"/>
      <c r="H750" s="120"/>
      <c r="I750" s="120"/>
      <c r="J750" s="120"/>
      <c r="K750" s="957"/>
      <c r="L750" s="120"/>
      <c r="M750" s="120"/>
      <c r="N750" s="120"/>
      <c r="O750" s="120"/>
      <c r="P750" s="957"/>
      <c r="Q750" s="120"/>
      <c r="R750" s="120"/>
      <c r="S750" s="120"/>
      <c r="T750" s="120"/>
      <c r="U750" s="957"/>
      <c r="V750" s="120"/>
      <c r="W750" s="120"/>
      <c r="X750" s="120"/>
      <c r="Y750" s="120"/>
      <c r="Z750" s="957"/>
      <c r="AA750" s="120"/>
      <c r="AB750" s="120"/>
      <c r="AC750" s="120"/>
      <c r="AD750" s="120"/>
      <c r="AE750" s="957"/>
      <c r="AF750" s="120"/>
      <c r="AG750" s="120"/>
      <c r="AH750" s="120"/>
      <c r="AI750" s="120"/>
      <c r="AJ750" s="957"/>
      <c r="AK750" s="120"/>
      <c r="AL750" s="120"/>
      <c r="AM750" s="120"/>
      <c r="AN750" s="120"/>
      <c r="AO750" s="957">
        <f>SUM(AO746:AO749)</f>
        <v>57896</v>
      </c>
      <c r="AP750" s="120"/>
      <c r="AQ750" s="120"/>
      <c r="AR750" s="120"/>
      <c r="AS750" s="120"/>
      <c r="AT750" s="957">
        <f>SUM(AT746:AT749)</f>
        <v>27946</v>
      </c>
      <c r="AU750" s="120"/>
      <c r="AV750" s="120"/>
      <c r="AW750" s="120"/>
      <c r="AX750" s="120"/>
      <c r="AY750" s="957">
        <f>SUM(AY746:AY749)</f>
        <v>94076</v>
      </c>
      <c r="AZ750" s="120"/>
      <c r="BA750" s="120"/>
      <c r="BB750" s="120"/>
      <c r="BC750" s="120"/>
      <c r="BD750" s="957">
        <f>SUM(BD746:BD749)</f>
        <v>145453</v>
      </c>
      <c r="BE750" s="120"/>
      <c r="BF750" s="120"/>
      <c r="BG750" s="120"/>
      <c r="BH750" s="120"/>
      <c r="BI750" s="957">
        <f>SUM(BI746:BI749)</f>
        <v>94341</v>
      </c>
      <c r="BJ750" s="120"/>
      <c r="BK750" s="120"/>
      <c r="BL750" s="120"/>
      <c r="BM750" s="120"/>
      <c r="BN750" s="957">
        <f>SUM(BN746:BN749)</f>
        <v>76870</v>
      </c>
      <c r="BO750" s="120"/>
      <c r="BP750" s="120"/>
      <c r="BQ750" s="120"/>
      <c r="BR750" s="120"/>
      <c r="BS750" s="957">
        <f>SUM(BS746:BS749)</f>
        <v>63302</v>
      </c>
      <c r="BT750" s="694"/>
      <c r="BU750" s="120"/>
      <c r="BV750" s="120"/>
      <c r="BW750" s="120"/>
      <c r="BX750" s="957"/>
      <c r="BY750" s="120"/>
      <c r="BZ750" s="120"/>
      <c r="CA750" s="120"/>
      <c r="CB750" s="120"/>
      <c r="CC750" s="957"/>
      <c r="CD750" s="957"/>
      <c r="CE750" s="957"/>
      <c r="CF750" s="957"/>
      <c r="CG750" s="615"/>
    </row>
    <row r="751" spans="1:85" s="460" customFormat="1" ht="14.4" hidden="1" outlineLevel="1" x14ac:dyDescent="0.3">
      <c r="A751" s="262" t="s">
        <v>1495</v>
      </c>
      <c r="B751" s="588"/>
      <c r="C751" s="954"/>
      <c r="D751" s="954"/>
      <c r="E751" s="954"/>
      <c r="F751" s="954"/>
      <c r="G751" s="133"/>
      <c r="H751" s="133"/>
      <c r="I751" s="133"/>
      <c r="J751" s="133"/>
      <c r="K751" s="954"/>
      <c r="L751" s="133"/>
      <c r="M751" s="133"/>
      <c r="N751" s="133"/>
      <c r="O751" s="133"/>
      <c r="P751" s="954"/>
      <c r="Q751" s="133"/>
      <c r="R751" s="133"/>
      <c r="S751" s="133"/>
      <c r="T751" s="133"/>
      <c r="U751" s="954"/>
      <c r="V751" s="133"/>
      <c r="W751" s="133"/>
      <c r="X751" s="133"/>
      <c r="Y751" s="133"/>
      <c r="Z751" s="954"/>
      <c r="AA751" s="133"/>
      <c r="AB751" s="133"/>
      <c r="AC751" s="133"/>
      <c r="AD751" s="133"/>
      <c r="AE751" s="954"/>
      <c r="AF751" s="133"/>
      <c r="AG751" s="133"/>
      <c r="AH751" s="133"/>
      <c r="AI751" s="133"/>
      <c r="AJ751" s="954"/>
      <c r="AK751" s="133"/>
      <c r="AL751" s="133"/>
      <c r="AM751" s="133"/>
      <c r="AN751" s="133"/>
      <c r="AO751" s="976">
        <v>-26422</v>
      </c>
      <c r="AP751" s="133"/>
      <c r="AQ751" s="133"/>
      <c r="AR751" s="133"/>
      <c r="AS751" s="133"/>
      <c r="AT751" s="976">
        <v>-10456</v>
      </c>
      <c r="AU751" s="133"/>
      <c r="AV751" s="133"/>
      <c r="AW751" s="133"/>
      <c r="AX751" s="133"/>
      <c r="AY751" s="976">
        <v>-41357</v>
      </c>
      <c r="AZ751" s="133"/>
      <c r="BA751" s="133"/>
      <c r="BB751" s="133"/>
      <c r="BC751" s="133"/>
      <c r="BD751" s="976">
        <v>-62918</v>
      </c>
      <c r="BE751" s="133"/>
      <c r="BF751" s="133"/>
      <c r="BG751" s="133"/>
      <c r="BH751" s="133"/>
      <c r="BI751" s="976">
        <v>-39553</v>
      </c>
      <c r="BJ751" s="133"/>
      <c r="BK751" s="133"/>
      <c r="BL751" s="133"/>
      <c r="BM751" s="133"/>
      <c r="BN751" s="976">
        <v>-28615</v>
      </c>
      <c r="BO751" s="133"/>
      <c r="BP751" s="133"/>
      <c r="BQ751" s="133"/>
      <c r="BR751" s="133"/>
      <c r="BS751" s="976">
        <v>-21371</v>
      </c>
      <c r="BT751" s="692"/>
      <c r="BU751" s="133"/>
      <c r="BV751" s="133"/>
      <c r="BW751" s="133"/>
      <c r="BX751" s="954"/>
      <c r="BY751" s="133"/>
      <c r="BZ751" s="133"/>
      <c r="CA751" s="133"/>
      <c r="CB751" s="133"/>
      <c r="CC751" s="954"/>
      <c r="CD751" s="954"/>
      <c r="CE751" s="954"/>
      <c r="CF751" s="954"/>
      <c r="CG751" s="587"/>
    </row>
    <row r="752" spans="1:85" s="461" customFormat="1" ht="14.4" hidden="1" outlineLevel="1" x14ac:dyDescent="0.3">
      <c r="A752" s="166" t="s">
        <v>1496</v>
      </c>
      <c r="B752" s="583"/>
      <c r="C752" s="957"/>
      <c r="D752" s="957"/>
      <c r="E752" s="957"/>
      <c r="F752" s="957"/>
      <c r="G752" s="120"/>
      <c r="H752" s="120"/>
      <c r="I752" s="120"/>
      <c r="J752" s="120"/>
      <c r="K752" s="957"/>
      <c r="L752" s="120"/>
      <c r="M752" s="120"/>
      <c r="N752" s="120"/>
      <c r="O752" s="120"/>
      <c r="P752" s="957"/>
      <c r="Q752" s="120"/>
      <c r="R752" s="120"/>
      <c r="S752" s="120"/>
      <c r="T752" s="120"/>
      <c r="U752" s="957"/>
      <c r="V752" s="120"/>
      <c r="W752" s="120"/>
      <c r="X752" s="120"/>
      <c r="Y752" s="120"/>
      <c r="Z752" s="957"/>
      <c r="AA752" s="120"/>
      <c r="AB752" s="120"/>
      <c r="AC752" s="120"/>
      <c r="AD752" s="120"/>
      <c r="AE752" s="957"/>
      <c r="AF752" s="120"/>
      <c r="AG752" s="120"/>
      <c r="AH752" s="120"/>
      <c r="AI752" s="120"/>
      <c r="AJ752" s="957"/>
      <c r="AK752" s="120"/>
      <c r="AL752" s="120"/>
      <c r="AM752" s="120"/>
      <c r="AN752" s="120"/>
      <c r="AO752" s="957">
        <f>SUM(AO750:AO751)</f>
        <v>31474</v>
      </c>
      <c r="AP752" s="120"/>
      <c r="AQ752" s="120"/>
      <c r="AR752" s="120"/>
      <c r="AS752" s="120"/>
      <c r="AT752" s="957">
        <f>SUM(AT750:AT751)</f>
        <v>17490</v>
      </c>
      <c r="AU752" s="120"/>
      <c r="AV752" s="120"/>
      <c r="AW752" s="120"/>
      <c r="AX752" s="120"/>
      <c r="AY752" s="957">
        <f>SUM(AY750:AY751)</f>
        <v>52719</v>
      </c>
      <c r="AZ752" s="120"/>
      <c r="BA752" s="120"/>
      <c r="BB752" s="120"/>
      <c r="BC752" s="120"/>
      <c r="BD752" s="957">
        <f>SUM(BD750:BD751)</f>
        <v>82535</v>
      </c>
      <c r="BE752" s="120"/>
      <c r="BF752" s="120"/>
      <c r="BG752" s="120"/>
      <c r="BH752" s="120"/>
      <c r="BI752" s="957">
        <f>SUM(BI750:BI751)</f>
        <v>54788</v>
      </c>
      <c r="BJ752" s="120"/>
      <c r="BK752" s="120"/>
      <c r="BL752" s="120"/>
      <c r="BM752" s="120"/>
      <c r="BN752" s="957">
        <f>SUM(BN750:BN751)</f>
        <v>48255</v>
      </c>
      <c r="BO752" s="120"/>
      <c r="BP752" s="120"/>
      <c r="BQ752" s="120"/>
      <c r="BR752" s="120"/>
      <c r="BS752" s="957">
        <f>SUM(BS750:BS751)</f>
        <v>41931</v>
      </c>
      <c r="BT752" s="694"/>
      <c r="BU752" s="120"/>
      <c r="BV752" s="120"/>
      <c r="BW752" s="120"/>
      <c r="BX752" s="957"/>
      <c r="BY752" s="120"/>
      <c r="BZ752" s="120"/>
      <c r="CA752" s="120"/>
      <c r="CB752" s="120"/>
      <c r="CC752" s="957"/>
      <c r="CD752" s="957"/>
      <c r="CE752" s="957"/>
      <c r="CF752" s="957"/>
      <c r="CG752" s="615"/>
    </row>
    <row r="753" spans="1:85" s="460" customFormat="1" ht="14.4" hidden="1" outlineLevel="1" x14ac:dyDescent="0.3">
      <c r="A753" s="159" t="s">
        <v>1497</v>
      </c>
      <c r="B753" s="586"/>
      <c r="C753" s="150"/>
      <c r="D753" s="150"/>
      <c r="E753" s="150"/>
      <c r="F753" s="150"/>
      <c r="G753" s="117"/>
      <c r="H753" s="117"/>
      <c r="I753" s="117"/>
      <c r="J753" s="117"/>
      <c r="K753" s="150"/>
      <c r="L753" s="117"/>
      <c r="M753" s="117"/>
      <c r="N753" s="117"/>
      <c r="O753" s="117"/>
      <c r="P753" s="150"/>
      <c r="Q753" s="117"/>
      <c r="R753" s="117"/>
      <c r="S753" s="117"/>
      <c r="T753" s="117"/>
      <c r="U753" s="150"/>
      <c r="V753" s="117"/>
      <c r="W753" s="117"/>
      <c r="X753" s="117"/>
      <c r="Y753" s="117"/>
      <c r="Z753" s="150"/>
      <c r="AA753" s="117"/>
      <c r="AB753" s="117"/>
      <c r="AC753" s="117"/>
      <c r="AD753" s="117"/>
      <c r="AE753" s="150"/>
      <c r="AF753" s="117"/>
      <c r="AG753" s="117"/>
      <c r="AH753" s="117"/>
      <c r="AI753" s="117"/>
      <c r="AJ753" s="150"/>
      <c r="AK753" s="117"/>
      <c r="AL753" s="117"/>
      <c r="AM753" s="117"/>
      <c r="AN753" s="117"/>
      <c r="AO753" s="975">
        <v>45701</v>
      </c>
      <c r="AP753" s="117"/>
      <c r="AQ753" s="117"/>
      <c r="AR753" s="117"/>
      <c r="AS753" s="117"/>
      <c r="AT753" s="975">
        <v>29605</v>
      </c>
      <c r="AU753" s="117"/>
      <c r="AV753" s="117"/>
      <c r="AW753" s="117"/>
      <c r="AX753" s="117"/>
      <c r="AY753" s="975">
        <v>48328</v>
      </c>
      <c r="AZ753" s="117"/>
      <c r="BA753" s="117"/>
      <c r="BB753" s="117"/>
      <c r="BC753" s="117"/>
      <c r="BD753" s="975">
        <v>76940</v>
      </c>
      <c r="BE753" s="117"/>
      <c r="BF753" s="117"/>
      <c r="BG753" s="117"/>
      <c r="BH753" s="117"/>
      <c r="BI753" s="975">
        <v>65265</v>
      </c>
      <c r="BJ753" s="117"/>
      <c r="BK753" s="117"/>
      <c r="BL753" s="117"/>
      <c r="BM753" s="117"/>
      <c r="BN753" s="975">
        <v>21827</v>
      </c>
      <c r="BO753" s="117"/>
      <c r="BP753" s="117"/>
      <c r="BQ753" s="117"/>
      <c r="BR753" s="117"/>
      <c r="BS753" s="975">
        <v>51576</v>
      </c>
      <c r="BT753" s="691"/>
      <c r="BU753" s="117"/>
      <c r="BV753" s="117"/>
      <c r="BW753" s="117"/>
      <c r="BX753" s="150"/>
      <c r="BY753" s="117"/>
      <c r="BZ753" s="117"/>
      <c r="CA753" s="117"/>
      <c r="CB753" s="117"/>
      <c r="CC753" s="150"/>
      <c r="CD753" s="150"/>
      <c r="CE753" s="150"/>
      <c r="CF753" s="150"/>
      <c r="CG753" s="587"/>
    </row>
    <row r="754" spans="1:85" s="460" customFormat="1" ht="14.4" hidden="1" outlineLevel="1" x14ac:dyDescent="0.3">
      <c r="A754" s="159" t="s">
        <v>1498</v>
      </c>
      <c r="B754" s="586"/>
      <c r="C754" s="150"/>
      <c r="D754" s="150"/>
      <c r="E754" s="150"/>
      <c r="F754" s="150"/>
      <c r="G754" s="117"/>
      <c r="H754" s="117"/>
      <c r="I754" s="117"/>
      <c r="J754" s="117"/>
      <c r="K754" s="150"/>
      <c r="L754" s="117"/>
      <c r="M754" s="117"/>
      <c r="N754" s="117"/>
      <c r="O754" s="117"/>
      <c r="P754" s="150"/>
      <c r="Q754" s="117"/>
      <c r="R754" s="117"/>
      <c r="S754" s="117"/>
      <c r="T754" s="117"/>
      <c r="U754" s="150"/>
      <c r="V754" s="117"/>
      <c r="W754" s="117"/>
      <c r="X754" s="117"/>
      <c r="Y754" s="117"/>
      <c r="Z754" s="150"/>
      <c r="AA754" s="117"/>
      <c r="AB754" s="117"/>
      <c r="AC754" s="117"/>
      <c r="AD754" s="117"/>
      <c r="AE754" s="150"/>
      <c r="AF754" s="117"/>
      <c r="AG754" s="117"/>
      <c r="AH754" s="117"/>
      <c r="AI754" s="117"/>
      <c r="AJ754" s="150"/>
      <c r="AK754" s="117"/>
      <c r="AL754" s="117"/>
      <c r="AM754" s="117"/>
      <c r="AN754" s="117"/>
      <c r="AO754" s="975">
        <v>-18324</v>
      </c>
      <c r="AP754" s="117"/>
      <c r="AQ754" s="117"/>
      <c r="AR754" s="117"/>
      <c r="AS754" s="117"/>
      <c r="AT754" s="975">
        <v>-15410</v>
      </c>
      <c r="AU754" s="117"/>
      <c r="AV754" s="117"/>
      <c r="AW754" s="117"/>
      <c r="AX754" s="117"/>
      <c r="AY754" s="975">
        <v>-16204</v>
      </c>
      <c r="AZ754" s="117"/>
      <c r="BA754" s="117"/>
      <c r="BB754" s="117"/>
      <c r="BC754" s="117"/>
      <c r="BD754" s="975">
        <v>-22744</v>
      </c>
      <c r="BE754" s="117"/>
      <c r="BF754" s="117"/>
      <c r="BG754" s="117"/>
      <c r="BH754" s="117"/>
      <c r="BI754" s="975">
        <v>-22549</v>
      </c>
      <c r="BJ754" s="117"/>
      <c r="BK754" s="117"/>
      <c r="BL754" s="117"/>
      <c r="BM754" s="117"/>
      <c r="BN754" s="975">
        <v>-5896</v>
      </c>
      <c r="BO754" s="117"/>
      <c r="BP754" s="117"/>
      <c r="BQ754" s="117"/>
      <c r="BR754" s="117"/>
      <c r="BS754" s="975">
        <v>-14341</v>
      </c>
      <c r="BT754" s="691"/>
      <c r="BU754" s="117"/>
      <c r="BV754" s="117"/>
      <c r="BW754" s="117"/>
      <c r="BX754" s="150"/>
      <c r="BY754" s="117"/>
      <c r="BZ754" s="117"/>
      <c r="CA754" s="117"/>
      <c r="CB754" s="117"/>
      <c r="CC754" s="150"/>
      <c r="CD754" s="150"/>
      <c r="CE754" s="150"/>
      <c r="CF754" s="150"/>
      <c r="CG754" s="587"/>
    </row>
    <row r="755" spans="1:85" s="460" customFormat="1" ht="14.4" hidden="1" outlineLevel="1" x14ac:dyDescent="0.3">
      <c r="A755" s="159" t="s">
        <v>1499</v>
      </c>
      <c r="B755" s="586"/>
      <c r="C755" s="150"/>
      <c r="D755" s="150"/>
      <c r="E755" s="150"/>
      <c r="F755" s="150"/>
      <c r="G755" s="117"/>
      <c r="H755" s="117"/>
      <c r="I755" s="117"/>
      <c r="J755" s="117"/>
      <c r="K755" s="150"/>
      <c r="L755" s="117"/>
      <c r="M755" s="117"/>
      <c r="N755" s="117"/>
      <c r="O755" s="117"/>
      <c r="P755" s="150"/>
      <c r="Q755" s="117"/>
      <c r="R755" s="117"/>
      <c r="S755" s="117"/>
      <c r="T755" s="117"/>
      <c r="U755" s="150"/>
      <c r="V755" s="117"/>
      <c r="W755" s="117"/>
      <c r="X755" s="117"/>
      <c r="Y755" s="117"/>
      <c r="Z755" s="150"/>
      <c r="AA755" s="117"/>
      <c r="AB755" s="117"/>
      <c r="AC755" s="117"/>
      <c r="AD755" s="117"/>
      <c r="AE755" s="150"/>
      <c r="AF755" s="117"/>
      <c r="AG755" s="117"/>
      <c r="AH755" s="117"/>
      <c r="AI755" s="117"/>
      <c r="AJ755" s="150"/>
      <c r="AK755" s="117"/>
      <c r="AL755" s="117"/>
      <c r="AM755" s="117"/>
      <c r="AN755" s="117"/>
      <c r="AO755" s="975">
        <v>-4219</v>
      </c>
      <c r="AP755" s="117"/>
      <c r="AQ755" s="117"/>
      <c r="AR755" s="117"/>
      <c r="AS755" s="117"/>
      <c r="AT755" s="975">
        <v>-2366</v>
      </c>
      <c r="AU755" s="117"/>
      <c r="AV755" s="117"/>
      <c r="AW755" s="117"/>
      <c r="AX755" s="117"/>
      <c r="AY755" s="975">
        <v>-2707</v>
      </c>
      <c r="AZ755" s="117"/>
      <c r="BA755" s="117"/>
      <c r="BB755" s="117"/>
      <c r="BC755" s="117"/>
      <c r="BD755" s="975">
        <v>-3233</v>
      </c>
      <c r="BE755" s="117"/>
      <c r="BF755" s="117"/>
      <c r="BG755" s="117"/>
      <c r="BH755" s="117"/>
      <c r="BI755" s="975">
        <v>-3538</v>
      </c>
      <c r="BJ755" s="117"/>
      <c r="BK755" s="117"/>
      <c r="BL755" s="117"/>
      <c r="BM755" s="117"/>
      <c r="BN755" s="975">
        <v>-2131</v>
      </c>
      <c r="BO755" s="117"/>
      <c r="BP755" s="117"/>
      <c r="BQ755" s="117"/>
      <c r="BR755" s="117"/>
      <c r="BS755" s="975">
        <v>-8301</v>
      </c>
      <c r="BT755" s="691"/>
      <c r="BU755" s="117"/>
      <c r="BV755" s="117"/>
      <c r="BW755" s="117"/>
      <c r="BX755" s="150"/>
      <c r="BY755" s="117"/>
      <c r="BZ755" s="117"/>
      <c r="CA755" s="117"/>
      <c r="CB755" s="117"/>
      <c r="CC755" s="150"/>
      <c r="CD755" s="150"/>
      <c r="CE755" s="150"/>
      <c r="CF755" s="150"/>
      <c r="CG755" s="587"/>
    </row>
    <row r="756" spans="1:85" s="460" customFormat="1" ht="14.4" hidden="1" outlineLevel="1" x14ac:dyDescent="0.3">
      <c r="A756" s="262" t="s">
        <v>1500</v>
      </c>
      <c r="B756" s="588"/>
      <c r="C756" s="954"/>
      <c r="D756" s="954"/>
      <c r="E756" s="954"/>
      <c r="F756" s="954"/>
      <c r="G756" s="133"/>
      <c r="H756" s="133"/>
      <c r="I756" s="133"/>
      <c r="J756" s="133"/>
      <c r="K756" s="954"/>
      <c r="L756" s="133"/>
      <c r="M756" s="133"/>
      <c r="N756" s="133"/>
      <c r="O756" s="133"/>
      <c r="P756" s="954"/>
      <c r="Q756" s="133"/>
      <c r="R756" s="133"/>
      <c r="S756" s="133"/>
      <c r="T756" s="133"/>
      <c r="U756" s="954"/>
      <c r="V756" s="133"/>
      <c r="W756" s="133"/>
      <c r="X756" s="133"/>
      <c r="Y756" s="133"/>
      <c r="Z756" s="954"/>
      <c r="AA756" s="133"/>
      <c r="AB756" s="133"/>
      <c r="AC756" s="133"/>
      <c r="AD756" s="133"/>
      <c r="AE756" s="954"/>
      <c r="AF756" s="133"/>
      <c r="AG756" s="133"/>
      <c r="AH756" s="133"/>
      <c r="AI756" s="133"/>
      <c r="AJ756" s="954"/>
      <c r="AK756" s="133"/>
      <c r="AL756" s="133"/>
      <c r="AM756" s="133"/>
      <c r="AN756" s="133"/>
      <c r="AO756" s="976">
        <v>-6491</v>
      </c>
      <c r="AP756" s="133"/>
      <c r="AQ756" s="133"/>
      <c r="AR756" s="133"/>
      <c r="AS756" s="133"/>
      <c r="AT756" s="976">
        <v>-3131</v>
      </c>
      <c r="AU756" s="133"/>
      <c r="AV756" s="133"/>
      <c r="AW756" s="133"/>
      <c r="AX756" s="133"/>
      <c r="AY756" s="976">
        <v>-7723</v>
      </c>
      <c r="AZ756" s="133"/>
      <c r="BA756" s="133"/>
      <c r="BB756" s="133"/>
      <c r="BC756" s="133"/>
      <c r="BD756" s="976">
        <v>-13207</v>
      </c>
      <c r="BE756" s="133"/>
      <c r="BF756" s="133"/>
      <c r="BG756" s="133"/>
      <c r="BH756" s="133"/>
      <c r="BI756" s="976">
        <v>-10337</v>
      </c>
      <c r="BJ756" s="133"/>
      <c r="BK756" s="133"/>
      <c r="BL756" s="133"/>
      <c r="BM756" s="133"/>
      <c r="BN756" s="976">
        <v>-4443</v>
      </c>
      <c r="BO756" s="133"/>
      <c r="BP756" s="133"/>
      <c r="BQ756" s="133"/>
      <c r="BR756" s="133"/>
      <c r="BS756" s="976">
        <v>-7983</v>
      </c>
      <c r="BT756" s="692"/>
      <c r="BU756" s="133"/>
      <c r="BV756" s="133"/>
      <c r="BW756" s="133"/>
      <c r="BX756" s="954"/>
      <c r="BY756" s="133"/>
      <c r="BZ756" s="133"/>
      <c r="CA756" s="133"/>
      <c r="CB756" s="133"/>
      <c r="CC756" s="954"/>
      <c r="CD756" s="954"/>
      <c r="CE756" s="954"/>
      <c r="CF756" s="954"/>
      <c r="CG756" s="587"/>
    </row>
    <row r="757" spans="1:85" s="461" customFormat="1" ht="14.4" hidden="1" outlineLevel="1" x14ac:dyDescent="0.3">
      <c r="A757" s="166" t="s">
        <v>1501</v>
      </c>
      <c r="B757" s="583"/>
      <c r="C757" s="957"/>
      <c r="D757" s="957"/>
      <c r="E757" s="957"/>
      <c r="F757" s="957"/>
      <c r="G757" s="120"/>
      <c r="H757" s="120"/>
      <c r="I757" s="120"/>
      <c r="J757" s="120"/>
      <c r="K757" s="957"/>
      <c r="L757" s="120"/>
      <c r="M757" s="120"/>
      <c r="N757" s="120"/>
      <c r="O757" s="120"/>
      <c r="P757" s="957"/>
      <c r="Q757" s="120"/>
      <c r="R757" s="120"/>
      <c r="S757" s="120"/>
      <c r="T757" s="120"/>
      <c r="U757" s="957"/>
      <c r="V757" s="120"/>
      <c r="W757" s="120"/>
      <c r="X757" s="120"/>
      <c r="Y757" s="120"/>
      <c r="Z757" s="957"/>
      <c r="AA757" s="120"/>
      <c r="AB757" s="120"/>
      <c r="AC757" s="120"/>
      <c r="AD757" s="120"/>
      <c r="AE757" s="957"/>
      <c r="AF757" s="120"/>
      <c r="AG757" s="120"/>
      <c r="AH757" s="120"/>
      <c r="AI757" s="120"/>
      <c r="AJ757" s="957"/>
      <c r="AK757" s="120"/>
      <c r="AL757" s="120"/>
      <c r="AM757" s="120"/>
      <c r="AN757" s="120"/>
      <c r="AO757" s="957">
        <f>SUM(AO753:AO756)</f>
        <v>16667</v>
      </c>
      <c r="AP757" s="120"/>
      <c r="AQ757" s="120"/>
      <c r="AR757" s="120"/>
      <c r="AS757" s="120"/>
      <c r="AT757" s="957">
        <f>SUM(AT753:AT756)</f>
        <v>8698</v>
      </c>
      <c r="AU757" s="120"/>
      <c r="AV757" s="120"/>
      <c r="AW757" s="120"/>
      <c r="AX757" s="120"/>
      <c r="AY757" s="957">
        <f>SUM(AY753:AY756)</f>
        <v>21694</v>
      </c>
      <c r="AZ757" s="120"/>
      <c r="BA757" s="120"/>
      <c r="BB757" s="120"/>
      <c r="BC757" s="120"/>
      <c r="BD757" s="957">
        <f>SUM(BD753:BD756)</f>
        <v>37756</v>
      </c>
      <c r="BE757" s="120"/>
      <c r="BF757" s="120"/>
      <c r="BG757" s="120"/>
      <c r="BH757" s="120"/>
      <c r="BI757" s="957">
        <f>SUM(BI753:BI756)</f>
        <v>28841</v>
      </c>
      <c r="BJ757" s="120"/>
      <c r="BK757" s="120"/>
      <c r="BL757" s="120"/>
      <c r="BM757" s="120"/>
      <c r="BN757" s="957">
        <f>SUM(BN753:BN756)</f>
        <v>9357</v>
      </c>
      <c r="BO757" s="120"/>
      <c r="BP757" s="120"/>
      <c r="BQ757" s="120"/>
      <c r="BR757" s="120"/>
      <c r="BS757" s="957">
        <f>SUM(BS753:BS756)</f>
        <v>20951</v>
      </c>
      <c r="BT757" s="694"/>
      <c r="BU757" s="120"/>
      <c r="BV757" s="120"/>
      <c r="BW757" s="120"/>
      <c r="BX757" s="957"/>
      <c r="BY757" s="120"/>
      <c r="BZ757" s="120"/>
      <c r="CA757" s="120"/>
      <c r="CB757" s="120"/>
      <c r="CC757" s="957"/>
      <c r="CD757" s="957"/>
      <c r="CE757" s="957"/>
      <c r="CF757" s="957"/>
      <c r="CG757" s="615"/>
    </row>
    <row r="758" spans="1:85" s="460" customFormat="1" ht="14.4" hidden="1" outlineLevel="1" x14ac:dyDescent="0.3">
      <c r="A758" s="262" t="s">
        <v>1502</v>
      </c>
      <c r="B758" s="588"/>
      <c r="C758" s="954"/>
      <c r="D758" s="954"/>
      <c r="E758" s="954"/>
      <c r="F758" s="954"/>
      <c r="G758" s="133"/>
      <c r="H758" s="133"/>
      <c r="I758" s="133"/>
      <c r="J758" s="133"/>
      <c r="K758" s="954"/>
      <c r="L758" s="133"/>
      <c r="M758" s="133"/>
      <c r="N758" s="133"/>
      <c r="O758" s="133"/>
      <c r="P758" s="954"/>
      <c r="Q758" s="133"/>
      <c r="R758" s="133"/>
      <c r="S758" s="133"/>
      <c r="T758" s="133"/>
      <c r="U758" s="954"/>
      <c r="V758" s="133"/>
      <c r="W758" s="133"/>
      <c r="X758" s="133"/>
      <c r="Y758" s="133"/>
      <c r="Z758" s="954"/>
      <c r="AA758" s="133"/>
      <c r="AB758" s="133"/>
      <c r="AC758" s="133"/>
      <c r="AD758" s="133"/>
      <c r="AE758" s="954"/>
      <c r="AF758" s="133"/>
      <c r="AG758" s="133"/>
      <c r="AH758" s="133"/>
      <c r="AI758" s="133"/>
      <c r="AJ758" s="954"/>
      <c r="AK758" s="133"/>
      <c r="AL758" s="133"/>
      <c r="AM758" s="133"/>
      <c r="AN758" s="133"/>
      <c r="AO758" s="976">
        <v>-9312</v>
      </c>
      <c r="AP758" s="133"/>
      <c r="AQ758" s="133"/>
      <c r="AR758" s="133"/>
      <c r="AS758" s="133"/>
      <c r="AT758" s="976">
        <v>-4652</v>
      </c>
      <c r="AU758" s="133"/>
      <c r="AV758" s="133"/>
      <c r="AW758" s="133"/>
      <c r="AX758" s="133"/>
      <c r="AY758" s="976">
        <v>-11370</v>
      </c>
      <c r="AZ758" s="133"/>
      <c r="BA758" s="133"/>
      <c r="BB758" s="133"/>
      <c r="BC758" s="133"/>
      <c r="BD758" s="976">
        <v>-22165</v>
      </c>
      <c r="BE758" s="133"/>
      <c r="BF758" s="133"/>
      <c r="BG758" s="133"/>
      <c r="BH758" s="133"/>
      <c r="BI758" s="976">
        <v>-16623</v>
      </c>
      <c r="BJ758" s="133"/>
      <c r="BK758" s="133"/>
      <c r="BL758" s="133"/>
      <c r="BM758" s="133"/>
      <c r="BN758" s="976">
        <v>-3492</v>
      </c>
      <c r="BO758" s="133"/>
      <c r="BP758" s="133"/>
      <c r="BQ758" s="133"/>
      <c r="BR758" s="133"/>
      <c r="BS758" s="976">
        <v>-6722</v>
      </c>
      <c r="BT758" s="692"/>
      <c r="BU758" s="133"/>
      <c r="BV758" s="133"/>
      <c r="BW758" s="133"/>
      <c r="BX758" s="954"/>
      <c r="BY758" s="133"/>
      <c r="BZ758" s="133"/>
      <c r="CA758" s="133"/>
      <c r="CB758" s="133"/>
      <c r="CC758" s="954"/>
      <c r="CD758" s="954"/>
      <c r="CE758" s="954"/>
      <c r="CF758" s="954"/>
      <c r="CG758" s="587"/>
    </row>
    <row r="759" spans="1:85" s="461" customFormat="1" ht="14.4" hidden="1" outlineLevel="1" x14ac:dyDescent="0.3">
      <c r="A759" s="166" t="s">
        <v>1503</v>
      </c>
      <c r="B759" s="583"/>
      <c r="C759" s="957"/>
      <c r="D759" s="957"/>
      <c r="E759" s="957"/>
      <c r="F759" s="957"/>
      <c r="G759" s="120"/>
      <c r="H759" s="120"/>
      <c r="I759" s="120"/>
      <c r="J759" s="120"/>
      <c r="K759" s="957"/>
      <c r="L759" s="120"/>
      <c r="M759" s="120"/>
      <c r="N759" s="120"/>
      <c r="O759" s="120"/>
      <c r="P759" s="957"/>
      <c r="Q759" s="120"/>
      <c r="R759" s="120"/>
      <c r="S759" s="120"/>
      <c r="T759" s="120"/>
      <c r="U759" s="957"/>
      <c r="V759" s="120"/>
      <c r="W759" s="120"/>
      <c r="X759" s="120"/>
      <c r="Y759" s="120"/>
      <c r="Z759" s="957"/>
      <c r="AA759" s="120"/>
      <c r="AB759" s="120"/>
      <c r="AC759" s="120"/>
      <c r="AD759" s="120"/>
      <c r="AE759" s="957"/>
      <c r="AF759" s="120"/>
      <c r="AG759" s="120"/>
      <c r="AH759" s="120"/>
      <c r="AI759" s="120"/>
      <c r="AJ759" s="957"/>
      <c r="AK759" s="120"/>
      <c r="AL759" s="120"/>
      <c r="AM759" s="120"/>
      <c r="AN759" s="120"/>
      <c r="AO759" s="957">
        <f>SUM(AO757:AO758)</f>
        <v>7355</v>
      </c>
      <c r="AP759" s="120"/>
      <c r="AQ759" s="120"/>
      <c r="AR759" s="120"/>
      <c r="AS759" s="120"/>
      <c r="AT759" s="957">
        <f>SUM(AT757:AT758)</f>
        <v>4046</v>
      </c>
      <c r="AU759" s="120"/>
      <c r="AV759" s="120"/>
      <c r="AW759" s="120"/>
      <c r="AX759" s="120"/>
      <c r="AY759" s="957">
        <f>SUM(AY757:AY758)</f>
        <v>10324</v>
      </c>
      <c r="AZ759" s="120"/>
      <c r="BA759" s="120"/>
      <c r="BB759" s="120"/>
      <c r="BC759" s="120"/>
      <c r="BD759" s="957">
        <f>SUM(BD757:BD758)</f>
        <v>15591</v>
      </c>
      <c r="BE759" s="120"/>
      <c r="BF759" s="120"/>
      <c r="BG759" s="120"/>
      <c r="BH759" s="120"/>
      <c r="BI759" s="957">
        <f>SUM(BI757:BI758)</f>
        <v>12218</v>
      </c>
      <c r="BJ759" s="120"/>
      <c r="BK759" s="120"/>
      <c r="BL759" s="120"/>
      <c r="BM759" s="120"/>
      <c r="BN759" s="957">
        <f>SUM(BN757:BN758)</f>
        <v>5865</v>
      </c>
      <c r="BO759" s="120"/>
      <c r="BP759" s="120"/>
      <c r="BQ759" s="120"/>
      <c r="BR759" s="120"/>
      <c r="BS759" s="957">
        <f>SUM(BS757:BS758)</f>
        <v>14229</v>
      </c>
      <c r="BT759" s="694"/>
      <c r="BU759" s="120"/>
      <c r="BV759" s="120"/>
      <c r="BW759" s="120"/>
      <c r="BX759" s="957"/>
      <c r="BY759" s="120"/>
      <c r="BZ759" s="120"/>
      <c r="CA759" s="120"/>
      <c r="CB759" s="120"/>
      <c r="CC759" s="957"/>
      <c r="CD759" s="957"/>
      <c r="CE759" s="957"/>
      <c r="CF759" s="957"/>
      <c r="CG759" s="615"/>
    </row>
    <row r="760" spans="1:85" s="460" customFormat="1" ht="14.4" hidden="1" outlineLevel="1" x14ac:dyDescent="0.3">
      <c r="A760" s="159" t="s">
        <v>1511</v>
      </c>
      <c r="B760" s="586"/>
      <c r="C760" s="150"/>
      <c r="D760" s="150"/>
      <c r="E760" s="150"/>
      <c r="F760" s="150"/>
      <c r="G760" s="117"/>
      <c r="H760" s="117"/>
      <c r="I760" s="117"/>
      <c r="J760" s="117"/>
      <c r="K760" s="150"/>
      <c r="L760" s="117"/>
      <c r="M760" s="117"/>
      <c r="N760" s="117"/>
      <c r="O760" s="117"/>
      <c r="P760" s="150"/>
      <c r="Q760" s="117"/>
      <c r="R760" s="117"/>
      <c r="S760" s="117"/>
      <c r="T760" s="117"/>
      <c r="U760" s="150"/>
      <c r="V760" s="117"/>
      <c r="W760" s="117"/>
      <c r="X760" s="117"/>
      <c r="Y760" s="117"/>
      <c r="Z760" s="150"/>
      <c r="AA760" s="117"/>
      <c r="AB760" s="117"/>
      <c r="AC760" s="117"/>
      <c r="AD760" s="117"/>
      <c r="AE760" s="150"/>
      <c r="AF760" s="117"/>
      <c r="AG760" s="117"/>
      <c r="AH760" s="117"/>
      <c r="AI760" s="117"/>
      <c r="AJ760" s="150"/>
      <c r="AK760" s="117"/>
      <c r="AL760" s="117"/>
      <c r="AM760" s="117"/>
      <c r="AN760" s="117"/>
      <c r="AO760" s="975">
        <v>45706</v>
      </c>
      <c r="AP760" s="117"/>
      <c r="AQ760" s="117"/>
      <c r="AR760" s="117"/>
      <c r="AS760" s="117"/>
      <c r="AT760" s="975">
        <v>27521</v>
      </c>
      <c r="AU760" s="117"/>
      <c r="AV760" s="117"/>
      <c r="AW760" s="117"/>
      <c r="AX760" s="117"/>
      <c r="AY760" s="975">
        <v>41698</v>
      </c>
      <c r="AZ760" s="117"/>
      <c r="BA760" s="117"/>
      <c r="BB760" s="117"/>
      <c r="BC760" s="117"/>
      <c r="BD760" s="975">
        <v>55865</v>
      </c>
      <c r="BE760" s="117"/>
      <c r="BF760" s="117"/>
      <c r="BG760" s="117"/>
      <c r="BH760" s="117"/>
      <c r="BI760" s="975">
        <v>42786</v>
      </c>
      <c r="BJ760" s="117"/>
      <c r="BK760" s="117"/>
      <c r="BL760" s="117"/>
      <c r="BM760" s="117"/>
      <c r="BN760" s="975">
        <v>43539</v>
      </c>
      <c r="BO760" s="117"/>
      <c r="BP760" s="117"/>
      <c r="BQ760" s="117"/>
      <c r="BR760" s="117"/>
      <c r="BS760" s="975">
        <v>31211</v>
      </c>
      <c r="BT760" s="691"/>
      <c r="BU760" s="117"/>
      <c r="BV760" s="117"/>
      <c r="BW760" s="117"/>
      <c r="BX760" s="150"/>
      <c r="BY760" s="117"/>
      <c r="BZ760" s="117"/>
      <c r="CA760" s="117"/>
      <c r="CB760" s="117"/>
      <c r="CC760" s="150"/>
      <c r="CD760" s="150"/>
      <c r="CE760" s="150"/>
      <c r="CF760" s="150"/>
      <c r="CG760" s="587"/>
    </row>
    <row r="761" spans="1:85" s="460" customFormat="1" ht="14.4" hidden="1" outlineLevel="1" x14ac:dyDescent="0.3">
      <c r="A761" s="159" t="s">
        <v>1512</v>
      </c>
      <c r="B761" s="586"/>
      <c r="C761" s="150"/>
      <c r="D761" s="150"/>
      <c r="E761" s="150"/>
      <c r="F761" s="150"/>
      <c r="G761" s="117"/>
      <c r="H761" s="117"/>
      <c r="I761" s="117"/>
      <c r="J761" s="117"/>
      <c r="K761" s="150"/>
      <c r="L761" s="117"/>
      <c r="M761" s="117"/>
      <c r="N761" s="117"/>
      <c r="O761" s="117"/>
      <c r="P761" s="150"/>
      <c r="Q761" s="117"/>
      <c r="R761" s="117"/>
      <c r="S761" s="117"/>
      <c r="T761" s="117"/>
      <c r="U761" s="150"/>
      <c r="V761" s="117"/>
      <c r="W761" s="117"/>
      <c r="X761" s="117"/>
      <c r="Y761" s="117"/>
      <c r="Z761" s="150"/>
      <c r="AA761" s="117"/>
      <c r="AB761" s="117"/>
      <c r="AC761" s="117"/>
      <c r="AD761" s="117"/>
      <c r="AE761" s="150"/>
      <c r="AF761" s="117"/>
      <c r="AG761" s="117"/>
      <c r="AH761" s="117"/>
      <c r="AI761" s="117"/>
      <c r="AJ761" s="150"/>
      <c r="AK761" s="117"/>
      <c r="AL761" s="117"/>
      <c r="AM761" s="117"/>
      <c r="AN761" s="117"/>
      <c r="AO761" s="975">
        <v>-17982</v>
      </c>
      <c r="AP761" s="117"/>
      <c r="AQ761" s="117"/>
      <c r="AR761" s="117"/>
      <c r="AS761" s="117"/>
      <c r="AT761" s="975">
        <v>-15364</v>
      </c>
      <c r="AU761" s="117"/>
      <c r="AV761" s="117"/>
      <c r="AW761" s="117"/>
      <c r="AX761" s="117"/>
      <c r="AY761" s="975">
        <v>-15204</v>
      </c>
      <c r="AZ761" s="117"/>
      <c r="BA761" s="117"/>
      <c r="BB761" s="117"/>
      <c r="BC761" s="117"/>
      <c r="BD761" s="975">
        <v>-16373</v>
      </c>
      <c r="BE761" s="117"/>
      <c r="BF761" s="117"/>
      <c r="BG761" s="117"/>
      <c r="BH761" s="117"/>
      <c r="BI761" s="975">
        <v>-16502</v>
      </c>
      <c r="BJ761" s="117"/>
      <c r="BK761" s="117"/>
      <c r="BL761" s="117"/>
      <c r="BM761" s="117"/>
      <c r="BN761" s="975">
        <v>-17996</v>
      </c>
      <c r="BO761" s="117"/>
      <c r="BP761" s="117"/>
      <c r="BQ761" s="117"/>
      <c r="BR761" s="117"/>
      <c r="BS761" s="975">
        <v>-18366</v>
      </c>
      <c r="BT761" s="691"/>
      <c r="BU761" s="117"/>
      <c r="BV761" s="117"/>
      <c r="BW761" s="117"/>
      <c r="BX761" s="150"/>
      <c r="BY761" s="117"/>
      <c r="BZ761" s="117"/>
      <c r="CA761" s="117"/>
      <c r="CB761" s="117"/>
      <c r="CC761" s="150"/>
      <c r="CD761" s="150"/>
      <c r="CE761" s="150"/>
      <c r="CF761" s="150"/>
      <c r="CG761" s="587"/>
    </row>
    <row r="762" spans="1:85" s="460" customFormat="1" ht="14.4" hidden="1" outlineLevel="1" x14ac:dyDescent="0.3">
      <c r="A762" s="159" t="s">
        <v>1513</v>
      </c>
      <c r="B762" s="586"/>
      <c r="C762" s="150"/>
      <c r="D762" s="150"/>
      <c r="E762" s="150"/>
      <c r="F762" s="150"/>
      <c r="G762" s="117"/>
      <c r="H762" s="117"/>
      <c r="I762" s="117"/>
      <c r="J762" s="117"/>
      <c r="K762" s="150"/>
      <c r="L762" s="117"/>
      <c r="M762" s="117"/>
      <c r="N762" s="117"/>
      <c r="O762" s="117"/>
      <c r="P762" s="150"/>
      <c r="Q762" s="117"/>
      <c r="R762" s="117"/>
      <c r="S762" s="117"/>
      <c r="T762" s="117"/>
      <c r="U762" s="150"/>
      <c r="V762" s="117"/>
      <c r="W762" s="117"/>
      <c r="X762" s="117"/>
      <c r="Y762" s="117"/>
      <c r="Z762" s="150"/>
      <c r="AA762" s="117"/>
      <c r="AB762" s="117"/>
      <c r="AC762" s="117"/>
      <c r="AD762" s="117"/>
      <c r="AE762" s="150"/>
      <c r="AF762" s="117"/>
      <c r="AG762" s="117"/>
      <c r="AH762" s="117"/>
      <c r="AI762" s="117"/>
      <c r="AJ762" s="150"/>
      <c r="AK762" s="117"/>
      <c r="AL762" s="117"/>
      <c r="AM762" s="117"/>
      <c r="AN762" s="117"/>
      <c r="AO762" s="975">
        <v>-3643</v>
      </c>
      <c r="AP762" s="117"/>
      <c r="AQ762" s="117"/>
      <c r="AR762" s="117"/>
      <c r="AS762" s="117"/>
      <c r="AT762" s="975">
        <v>-3017</v>
      </c>
      <c r="AU762" s="117"/>
      <c r="AV762" s="117"/>
      <c r="AW762" s="117"/>
      <c r="AX762" s="117"/>
      <c r="AY762" s="975">
        <v>-2245</v>
      </c>
      <c r="AZ762" s="117"/>
      <c r="BA762" s="117"/>
      <c r="BB762" s="117"/>
      <c r="BC762" s="117"/>
      <c r="BD762" s="975">
        <v>-2657</v>
      </c>
      <c r="BE762" s="117"/>
      <c r="BF762" s="117"/>
      <c r="BG762" s="117"/>
      <c r="BH762" s="117"/>
      <c r="BI762" s="975">
        <v>-4474</v>
      </c>
      <c r="BJ762" s="117"/>
      <c r="BK762" s="117"/>
      <c r="BL762" s="117"/>
      <c r="BM762" s="117"/>
      <c r="BN762" s="975">
        <v>-3554</v>
      </c>
      <c r="BO762" s="117"/>
      <c r="BP762" s="117"/>
      <c r="BQ762" s="117"/>
      <c r="BR762" s="117"/>
      <c r="BS762" s="975">
        <v>-3303</v>
      </c>
      <c r="BT762" s="691"/>
      <c r="BU762" s="117"/>
      <c r="BV762" s="117"/>
      <c r="BW762" s="117"/>
      <c r="BX762" s="150"/>
      <c r="BY762" s="117"/>
      <c r="BZ762" s="117"/>
      <c r="CA762" s="117"/>
      <c r="CB762" s="117"/>
      <c r="CC762" s="150"/>
      <c r="CD762" s="150"/>
      <c r="CE762" s="150"/>
      <c r="CF762" s="150"/>
      <c r="CG762" s="587"/>
    </row>
    <row r="763" spans="1:85" s="460" customFormat="1" ht="14.4" hidden="1" outlineLevel="1" x14ac:dyDescent="0.3">
      <c r="A763" s="262" t="s">
        <v>1514</v>
      </c>
      <c r="B763" s="588"/>
      <c r="C763" s="954"/>
      <c r="D763" s="954"/>
      <c r="E763" s="954"/>
      <c r="F763" s="954"/>
      <c r="G763" s="133"/>
      <c r="H763" s="133"/>
      <c r="I763" s="133"/>
      <c r="J763" s="133"/>
      <c r="K763" s="954"/>
      <c r="L763" s="133"/>
      <c r="M763" s="133"/>
      <c r="N763" s="133"/>
      <c r="O763" s="133"/>
      <c r="P763" s="954"/>
      <c r="Q763" s="133"/>
      <c r="R763" s="133"/>
      <c r="S763" s="133"/>
      <c r="T763" s="133"/>
      <c r="U763" s="954"/>
      <c r="V763" s="133"/>
      <c r="W763" s="133"/>
      <c r="X763" s="133"/>
      <c r="Y763" s="133"/>
      <c r="Z763" s="954"/>
      <c r="AA763" s="133"/>
      <c r="AB763" s="133"/>
      <c r="AC763" s="133"/>
      <c r="AD763" s="133"/>
      <c r="AE763" s="954"/>
      <c r="AF763" s="133"/>
      <c r="AG763" s="133"/>
      <c r="AH763" s="133"/>
      <c r="AI763" s="133"/>
      <c r="AJ763" s="954"/>
      <c r="AK763" s="133"/>
      <c r="AL763" s="133"/>
      <c r="AM763" s="133"/>
      <c r="AN763" s="133"/>
      <c r="AO763" s="976">
        <v>-17562</v>
      </c>
      <c r="AP763" s="133"/>
      <c r="AQ763" s="133"/>
      <c r="AR763" s="133"/>
      <c r="AS763" s="133"/>
      <c r="AT763" s="976">
        <v>-6197</v>
      </c>
      <c r="AU763" s="133"/>
      <c r="AV763" s="133"/>
      <c r="AW763" s="133"/>
      <c r="AX763" s="133"/>
      <c r="AY763" s="976">
        <v>-17228</v>
      </c>
      <c r="AZ763" s="133"/>
      <c r="BA763" s="133"/>
      <c r="BB763" s="133"/>
      <c r="BC763" s="133"/>
      <c r="BD763" s="976">
        <v>-26160</v>
      </c>
      <c r="BE763" s="133"/>
      <c r="BF763" s="133"/>
      <c r="BG763" s="133"/>
      <c r="BH763" s="133"/>
      <c r="BI763" s="976">
        <v>-12446</v>
      </c>
      <c r="BJ763" s="133"/>
      <c r="BK763" s="133"/>
      <c r="BL763" s="133"/>
      <c r="BM763" s="133"/>
      <c r="BN763" s="976">
        <v>-12345</v>
      </c>
      <c r="BO763" s="133"/>
      <c r="BP763" s="133"/>
      <c r="BQ763" s="133"/>
      <c r="BR763" s="133"/>
      <c r="BS763" s="976">
        <v>-5187</v>
      </c>
      <c r="BT763" s="692"/>
      <c r="BU763" s="133"/>
      <c r="BV763" s="133"/>
      <c r="BW763" s="133"/>
      <c r="BX763" s="954"/>
      <c r="BY763" s="133"/>
      <c r="BZ763" s="133"/>
      <c r="CA763" s="133"/>
      <c r="CB763" s="133"/>
      <c r="CC763" s="954"/>
      <c r="CD763" s="954"/>
      <c r="CE763" s="954"/>
      <c r="CF763" s="954"/>
      <c r="CG763" s="587"/>
    </row>
    <row r="764" spans="1:85" s="461" customFormat="1" ht="14.4" hidden="1" outlineLevel="1" x14ac:dyDescent="0.3">
      <c r="A764" s="166" t="s">
        <v>1515</v>
      </c>
      <c r="B764" s="583"/>
      <c r="C764" s="957"/>
      <c r="D764" s="957"/>
      <c r="E764" s="957"/>
      <c r="F764" s="957"/>
      <c r="G764" s="120"/>
      <c r="H764" s="120"/>
      <c r="I764" s="120"/>
      <c r="J764" s="120"/>
      <c r="K764" s="957"/>
      <c r="L764" s="120"/>
      <c r="M764" s="120"/>
      <c r="N764" s="120"/>
      <c r="O764" s="120"/>
      <c r="P764" s="957"/>
      <c r="Q764" s="120"/>
      <c r="R764" s="120"/>
      <c r="S764" s="120"/>
      <c r="T764" s="120"/>
      <c r="U764" s="957"/>
      <c r="V764" s="120"/>
      <c r="W764" s="120"/>
      <c r="X764" s="120"/>
      <c r="Y764" s="120"/>
      <c r="Z764" s="957"/>
      <c r="AA764" s="120"/>
      <c r="AB764" s="120"/>
      <c r="AC764" s="120"/>
      <c r="AD764" s="120"/>
      <c r="AE764" s="957"/>
      <c r="AF764" s="120"/>
      <c r="AG764" s="120"/>
      <c r="AH764" s="120"/>
      <c r="AI764" s="120"/>
      <c r="AJ764" s="957"/>
      <c r="AK764" s="120"/>
      <c r="AL764" s="120"/>
      <c r="AM764" s="120"/>
      <c r="AN764" s="120"/>
      <c r="AO764" s="957">
        <f>SUM(AO760:AO763)</f>
        <v>6519</v>
      </c>
      <c r="AP764" s="120"/>
      <c r="AQ764" s="120"/>
      <c r="AR764" s="120"/>
      <c r="AS764" s="120"/>
      <c r="AT764" s="957">
        <f>SUM(AT760:AT763)</f>
        <v>2943</v>
      </c>
      <c r="AU764" s="120"/>
      <c r="AV764" s="120"/>
      <c r="AW764" s="120"/>
      <c r="AX764" s="120"/>
      <c r="AY764" s="957">
        <f>SUM(AY760:AY763)</f>
        <v>7021</v>
      </c>
      <c r="AZ764" s="120"/>
      <c r="BA764" s="120"/>
      <c r="BB764" s="120"/>
      <c r="BC764" s="120"/>
      <c r="BD764" s="957">
        <f>SUM(BD760:BD763)</f>
        <v>10675</v>
      </c>
      <c r="BE764" s="120"/>
      <c r="BF764" s="120"/>
      <c r="BG764" s="120"/>
      <c r="BH764" s="120"/>
      <c r="BI764" s="957">
        <f>SUM(BI760:BI763)</f>
        <v>9364</v>
      </c>
      <c r="BJ764" s="120"/>
      <c r="BK764" s="120"/>
      <c r="BL764" s="120"/>
      <c r="BM764" s="120"/>
      <c r="BN764" s="957">
        <f>SUM(BN760:BN763)</f>
        <v>9644</v>
      </c>
      <c r="BO764" s="120"/>
      <c r="BP764" s="120"/>
      <c r="BQ764" s="120"/>
      <c r="BR764" s="120"/>
      <c r="BS764" s="957">
        <f>SUM(BS760:BS763)</f>
        <v>4355</v>
      </c>
      <c r="BT764" s="694"/>
      <c r="BU764" s="120"/>
      <c r="BV764" s="120"/>
      <c r="BW764" s="120"/>
      <c r="BX764" s="957"/>
      <c r="BY764" s="120"/>
      <c r="BZ764" s="120"/>
      <c r="CA764" s="120"/>
      <c r="CB764" s="120"/>
      <c r="CC764" s="957"/>
      <c r="CD764" s="957"/>
      <c r="CE764" s="957"/>
      <c r="CF764" s="957"/>
      <c r="CG764" s="615"/>
    </row>
    <row r="765" spans="1:85" s="460" customFormat="1" ht="14.4" hidden="1" outlineLevel="1" x14ac:dyDescent="0.3">
      <c r="A765" s="262" t="s">
        <v>1516</v>
      </c>
      <c r="B765" s="588"/>
      <c r="C765" s="954"/>
      <c r="D765" s="954"/>
      <c r="E765" s="954"/>
      <c r="F765" s="954"/>
      <c r="G765" s="133"/>
      <c r="H765" s="133"/>
      <c r="I765" s="133"/>
      <c r="J765" s="133"/>
      <c r="K765" s="954"/>
      <c r="L765" s="133"/>
      <c r="M765" s="133"/>
      <c r="N765" s="133"/>
      <c r="O765" s="133"/>
      <c r="P765" s="954"/>
      <c r="Q765" s="133"/>
      <c r="R765" s="133"/>
      <c r="S765" s="133"/>
      <c r="T765" s="133"/>
      <c r="U765" s="954"/>
      <c r="V765" s="133"/>
      <c r="W765" s="133"/>
      <c r="X765" s="133"/>
      <c r="Y765" s="133"/>
      <c r="Z765" s="954"/>
      <c r="AA765" s="133"/>
      <c r="AB765" s="133"/>
      <c r="AC765" s="133"/>
      <c r="AD765" s="133"/>
      <c r="AE765" s="954"/>
      <c r="AF765" s="133"/>
      <c r="AG765" s="133"/>
      <c r="AH765" s="133"/>
      <c r="AI765" s="133"/>
      <c r="AJ765" s="954"/>
      <c r="AK765" s="133"/>
      <c r="AL765" s="133"/>
      <c r="AM765" s="133"/>
      <c r="AN765" s="133"/>
      <c r="AO765" s="976">
        <v>-1629</v>
      </c>
      <c r="AP765" s="133"/>
      <c r="AQ765" s="133"/>
      <c r="AR765" s="133"/>
      <c r="AS765" s="133"/>
      <c r="AT765" s="976">
        <v>-582</v>
      </c>
      <c r="AU765" s="133"/>
      <c r="AV765" s="133"/>
      <c r="AW765" s="133"/>
      <c r="AX765" s="133"/>
      <c r="AY765" s="976">
        <v>-1899</v>
      </c>
      <c r="AZ765" s="133"/>
      <c r="BA765" s="133"/>
      <c r="BB765" s="133"/>
      <c r="BC765" s="133"/>
      <c r="BD765" s="976">
        <v>-3001</v>
      </c>
      <c r="BE765" s="133"/>
      <c r="BF765" s="133"/>
      <c r="BG765" s="133"/>
      <c r="BH765" s="133"/>
      <c r="BI765" s="976">
        <v>-3262</v>
      </c>
      <c r="BJ765" s="133"/>
      <c r="BK765" s="133"/>
      <c r="BL765" s="133"/>
      <c r="BM765" s="133"/>
      <c r="BN765" s="976">
        <v>-3573</v>
      </c>
      <c r="BO765" s="133"/>
      <c r="BP765" s="133"/>
      <c r="BQ765" s="133"/>
      <c r="BR765" s="133"/>
      <c r="BS765" s="976">
        <v>-973</v>
      </c>
      <c r="BT765" s="692"/>
      <c r="BU765" s="133"/>
      <c r="BV765" s="133"/>
      <c r="BW765" s="133"/>
      <c r="BX765" s="954"/>
      <c r="BY765" s="133"/>
      <c r="BZ765" s="133"/>
      <c r="CA765" s="133"/>
      <c r="CB765" s="133"/>
      <c r="CC765" s="954"/>
      <c r="CD765" s="954"/>
      <c r="CE765" s="954"/>
      <c r="CF765" s="954"/>
      <c r="CG765" s="587"/>
    </row>
    <row r="766" spans="1:85" s="461" customFormat="1" ht="14.4" hidden="1" outlineLevel="1" x14ac:dyDescent="0.3">
      <c r="A766" s="166" t="s">
        <v>1517</v>
      </c>
      <c r="B766" s="583"/>
      <c r="C766" s="957"/>
      <c r="D766" s="957"/>
      <c r="E766" s="957"/>
      <c r="F766" s="957"/>
      <c r="G766" s="120"/>
      <c r="H766" s="120"/>
      <c r="I766" s="120"/>
      <c r="J766" s="120"/>
      <c r="K766" s="957"/>
      <c r="L766" s="120"/>
      <c r="M766" s="120"/>
      <c r="N766" s="120"/>
      <c r="O766" s="120"/>
      <c r="P766" s="957"/>
      <c r="Q766" s="120"/>
      <c r="R766" s="120"/>
      <c r="S766" s="120"/>
      <c r="T766" s="120"/>
      <c r="U766" s="957"/>
      <c r="V766" s="120"/>
      <c r="W766" s="120"/>
      <c r="X766" s="120"/>
      <c r="Y766" s="120"/>
      <c r="Z766" s="957"/>
      <c r="AA766" s="120"/>
      <c r="AB766" s="120"/>
      <c r="AC766" s="120"/>
      <c r="AD766" s="120"/>
      <c r="AE766" s="957"/>
      <c r="AF766" s="120"/>
      <c r="AG766" s="120"/>
      <c r="AH766" s="120"/>
      <c r="AI766" s="120"/>
      <c r="AJ766" s="957"/>
      <c r="AK766" s="120"/>
      <c r="AL766" s="120"/>
      <c r="AM766" s="120"/>
      <c r="AN766" s="120"/>
      <c r="AO766" s="957">
        <f>SUM(AO764:AO765)</f>
        <v>4890</v>
      </c>
      <c r="AP766" s="120"/>
      <c r="AQ766" s="120"/>
      <c r="AR766" s="120"/>
      <c r="AS766" s="120"/>
      <c r="AT766" s="957">
        <f>SUM(AT764:AT765)</f>
        <v>2361</v>
      </c>
      <c r="AU766" s="120"/>
      <c r="AV766" s="120"/>
      <c r="AW766" s="120"/>
      <c r="AX766" s="120"/>
      <c r="AY766" s="957">
        <f>SUM(AY764:AY765)</f>
        <v>5122</v>
      </c>
      <c r="AZ766" s="120"/>
      <c r="BA766" s="120"/>
      <c r="BB766" s="120"/>
      <c r="BC766" s="120"/>
      <c r="BD766" s="957">
        <f>SUM(BD764:BD765)</f>
        <v>7674</v>
      </c>
      <c r="BE766" s="120"/>
      <c r="BF766" s="120"/>
      <c r="BG766" s="120"/>
      <c r="BH766" s="120"/>
      <c r="BI766" s="957">
        <f>SUM(BI764:BI765)</f>
        <v>6102</v>
      </c>
      <c r="BJ766" s="120"/>
      <c r="BK766" s="120"/>
      <c r="BL766" s="120"/>
      <c r="BM766" s="120"/>
      <c r="BN766" s="957">
        <f>SUM(BN764:BN765)</f>
        <v>6071</v>
      </c>
      <c r="BO766" s="120"/>
      <c r="BP766" s="120"/>
      <c r="BQ766" s="120"/>
      <c r="BR766" s="120"/>
      <c r="BS766" s="957">
        <f>SUM(BS764:BS765)</f>
        <v>3382</v>
      </c>
      <c r="BT766" s="694"/>
      <c r="BU766" s="120"/>
      <c r="BV766" s="120"/>
      <c r="BW766" s="120"/>
      <c r="BX766" s="957"/>
      <c r="BY766" s="120"/>
      <c r="BZ766" s="120"/>
      <c r="CA766" s="120"/>
      <c r="CB766" s="120"/>
      <c r="CC766" s="957"/>
      <c r="CD766" s="957"/>
      <c r="CE766" s="957"/>
      <c r="CF766" s="957"/>
      <c r="CG766" s="615"/>
    </row>
    <row r="767" spans="1:85" s="460" customFormat="1" ht="14.4" hidden="1" outlineLevel="1" x14ac:dyDescent="0.3">
      <c r="A767" s="159" t="s">
        <v>1504</v>
      </c>
      <c r="B767" s="586"/>
      <c r="C767" s="150"/>
      <c r="D767" s="150"/>
      <c r="E767" s="150"/>
      <c r="F767" s="150"/>
      <c r="G767" s="117"/>
      <c r="H767" s="117"/>
      <c r="I767" s="117"/>
      <c r="J767" s="117"/>
      <c r="K767" s="150"/>
      <c r="L767" s="117"/>
      <c r="M767" s="117"/>
      <c r="N767" s="117"/>
      <c r="O767" s="117"/>
      <c r="P767" s="150"/>
      <c r="Q767" s="117"/>
      <c r="R767" s="117"/>
      <c r="S767" s="117"/>
      <c r="T767" s="117"/>
      <c r="U767" s="150"/>
      <c r="V767" s="117"/>
      <c r="W767" s="117"/>
      <c r="X767" s="117"/>
      <c r="Y767" s="117"/>
      <c r="Z767" s="150"/>
      <c r="AA767" s="117"/>
      <c r="AB767" s="117"/>
      <c r="AC767" s="117"/>
      <c r="AD767" s="117"/>
      <c r="AE767" s="150"/>
      <c r="AF767" s="117"/>
      <c r="AG767" s="117"/>
      <c r="AH767" s="117"/>
      <c r="AI767" s="117"/>
      <c r="AJ767" s="150"/>
      <c r="AK767" s="117"/>
      <c r="AL767" s="117"/>
      <c r="AM767" s="117"/>
      <c r="AN767" s="117"/>
      <c r="AO767" s="975">
        <v>43386</v>
      </c>
      <c r="AP767" s="117"/>
      <c r="AQ767" s="117"/>
      <c r="AR767" s="117"/>
      <c r="AS767" s="117"/>
      <c r="AT767" s="975">
        <v>49265</v>
      </c>
      <c r="AU767" s="117"/>
      <c r="AV767" s="117"/>
      <c r="AW767" s="117"/>
      <c r="AX767" s="117"/>
      <c r="AY767" s="975">
        <v>52881</v>
      </c>
      <c r="AZ767" s="117"/>
      <c r="BA767" s="117"/>
      <c r="BB767" s="117"/>
      <c r="BC767" s="117"/>
      <c r="BD767" s="975">
        <v>67188</v>
      </c>
      <c r="BE767" s="117"/>
      <c r="BF767" s="117"/>
      <c r="BG767" s="117"/>
      <c r="BH767" s="117"/>
      <c r="BI767" s="975">
        <v>62094</v>
      </c>
      <c r="BJ767" s="117"/>
      <c r="BK767" s="117"/>
      <c r="BL767" s="117"/>
      <c r="BM767" s="117"/>
      <c r="BN767" s="975">
        <v>58245</v>
      </c>
      <c r="BO767" s="117"/>
      <c r="BP767" s="117"/>
      <c r="BQ767" s="117"/>
      <c r="BR767" s="117"/>
      <c r="BS767" s="975">
        <v>55752</v>
      </c>
      <c r="BT767" s="691"/>
      <c r="BU767" s="117"/>
      <c r="BV767" s="117"/>
      <c r="BW767" s="117"/>
      <c r="BX767" s="150"/>
      <c r="BY767" s="117"/>
      <c r="BZ767" s="117"/>
      <c r="CA767" s="117"/>
      <c r="CB767" s="117"/>
      <c r="CC767" s="150"/>
      <c r="CD767" s="150"/>
      <c r="CE767" s="150"/>
      <c r="CF767" s="150"/>
      <c r="CG767" s="587"/>
    </row>
    <row r="768" spans="1:85" s="460" customFormat="1" ht="14.4" hidden="1" outlineLevel="1" x14ac:dyDescent="0.3">
      <c r="A768" s="159" t="s">
        <v>1505</v>
      </c>
      <c r="B768" s="586"/>
      <c r="C768" s="150"/>
      <c r="D768" s="150"/>
      <c r="E768" s="150"/>
      <c r="F768" s="150"/>
      <c r="G768" s="117"/>
      <c r="H768" s="117"/>
      <c r="I768" s="117"/>
      <c r="J768" s="117"/>
      <c r="K768" s="150"/>
      <c r="L768" s="117"/>
      <c r="M768" s="117"/>
      <c r="N768" s="117"/>
      <c r="O768" s="117"/>
      <c r="P768" s="150"/>
      <c r="Q768" s="117"/>
      <c r="R768" s="117"/>
      <c r="S768" s="117"/>
      <c r="T768" s="117"/>
      <c r="U768" s="150"/>
      <c r="V768" s="117"/>
      <c r="W768" s="117"/>
      <c r="X768" s="117"/>
      <c r="Y768" s="117"/>
      <c r="Z768" s="150"/>
      <c r="AA768" s="117"/>
      <c r="AB768" s="117"/>
      <c r="AC768" s="117"/>
      <c r="AD768" s="117"/>
      <c r="AE768" s="150"/>
      <c r="AF768" s="117"/>
      <c r="AG768" s="117"/>
      <c r="AH768" s="117"/>
      <c r="AI768" s="117"/>
      <c r="AJ768" s="150"/>
      <c r="AK768" s="117"/>
      <c r="AL768" s="117"/>
      <c r="AM768" s="117"/>
      <c r="AN768" s="117"/>
      <c r="AO768" s="975">
        <v>-14646</v>
      </c>
      <c r="AP768" s="117"/>
      <c r="AQ768" s="117"/>
      <c r="AR768" s="117"/>
      <c r="AS768" s="117"/>
      <c r="AT768" s="975">
        <v>-12784</v>
      </c>
      <c r="AU768" s="117"/>
      <c r="AV768" s="117"/>
      <c r="AW768" s="117"/>
      <c r="AX768" s="117"/>
      <c r="AY768" s="975">
        <v>-13871</v>
      </c>
      <c r="AZ768" s="117"/>
      <c r="BA768" s="117"/>
      <c r="BB768" s="117"/>
      <c r="BC768" s="117"/>
      <c r="BD768" s="975">
        <v>-12261</v>
      </c>
      <c r="BE768" s="117"/>
      <c r="BF768" s="117"/>
      <c r="BG768" s="117"/>
      <c r="BH768" s="117"/>
      <c r="BI768" s="975">
        <v>-13000</v>
      </c>
      <c r="BJ768" s="117"/>
      <c r="BK768" s="117"/>
      <c r="BL768" s="117"/>
      <c r="BM768" s="117"/>
      <c r="BN768" s="975">
        <v>-13355</v>
      </c>
      <c r="BO768" s="117"/>
      <c r="BP768" s="117"/>
      <c r="BQ768" s="117"/>
      <c r="BR768" s="117"/>
      <c r="BS768" s="975">
        <v>-13968</v>
      </c>
      <c r="BT768" s="691"/>
      <c r="BU768" s="117"/>
      <c r="BV768" s="117"/>
      <c r="BW768" s="117"/>
      <c r="BX768" s="150"/>
      <c r="BY768" s="117"/>
      <c r="BZ768" s="117"/>
      <c r="CA768" s="117"/>
      <c r="CB768" s="117"/>
      <c r="CC768" s="150"/>
      <c r="CD768" s="150"/>
      <c r="CE768" s="150"/>
      <c r="CF768" s="150"/>
      <c r="CG768" s="587"/>
    </row>
    <row r="769" spans="1:85" s="460" customFormat="1" ht="14.4" hidden="1" outlineLevel="1" x14ac:dyDescent="0.3">
      <c r="A769" s="159" t="s">
        <v>1506</v>
      </c>
      <c r="B769" s="586"/>
      <c r="C769" s="150"/>
      <c r="D769" s="150"/>
      <c r="E769" s="150"/>
      <c r="F769" s="150"/>
      <c r="G769" s="117"/>
      <c r="H769" s="117"/>
      <c r="I769" s="117"/>
      <c r="J769" s="117"/>
      <c r="K769" s="150"/>
      <c r="L769" s="117"/>
      <c r="M769" s="117"/>
      <c r="N769" s="117"/>
      <c r="O769" s="117"/>
      <c r="P769" s="150"/>
      <c r="Q769" s="117"/>
      <c r="R769" s="117"/>
      <c r="S769" s="117"/>
      <c r="T769" s="117"/>
      <c r="U769" s="150"/>
      <c r="V769" s="117"/>
      <c r="W769" s="117"/>
      <c r="X769" s="117"/>
      <c r="Y769" s="117"/>
      <c r="Z769" s="150"/>
      <c r="AA769" s="117"/>
      <c r="AB769" s="117"/>
      <c r="AC769" s="117"/>
      <c r="AD769" s="117"/>
      <c r="AE769" s="150"/>
      <c r="AF769" s="117"/>
      <c r="AG769" s="117"/>
      <c r="AH769" s="117"/>
      <c r="AI769" s="117"/>
      <c r="AJ769" s="150"/>
      <c r="AK769" s="117"/>
      <c r="AL769" s="117"/>
      <c r="AM769" s="117"/>
      <c r="AN769" s="117"/>
      <c r="AO769" s="975">
        <v>-5070</v>
      </c>
      <c r="AP769" s="117"/>
      <c r="AQ769" s="117"/>
      <c r="AR769" s="117"/>
      <c r="AS769" s="117"/>
      <c r="AT769" s="975">
        <v>-2274</v>
      </c>
      <c r="AU769" s="117"/>
      <c r="AV769" s="117"/>
      <c r="AW769" s="117"/>
      <c r="AX769" s="117"/>
      <c r="AY769" s="975">
        <v>-2774</v>
      </c>
      <c r="AZ769" s="117"/>
      <c r="BA769" s="117"/>
      <c r="BB769" s="117"/>
      <c r="BC769" s="117"/>
      <c r="BD769" s="975">
        <v>-2879</v>
      </c>
      <c r="BE769" s="117"/>
      <c r="BF769" s="117"/>
      <c r="BG769" s="117"/>
      <c r="BH769" s="117"/>
      <c r="BI769" s="975">
        <v>-2845</v>
      </c>
      <c r="BJ769" s="117"/>
      <c r="BK769" s="117"/>
      <c r="BL769" s="117"/>
      <c r="BM769" s="117"/>
      <c r="BN769" s="975">
        <v>-2290</v>
      </c>
      <c r="BO769" s="117"/>
      <c r="BP769" s="117"/>
      <c r="BQ769" s="117"/>
      <c r="BR769" s="117"/>
      <c r="BS769" s="975">
        <v>-2278</v>
      </c>
      <c r="BT769" s="691"/>
      <c r="BU769" s="117"/>
      <c r="BV769" s="117"/>
      <c r="BW769" s="117"/>
      <c r="BX769" s="150"/>
      <c r="BY769" s="117"/>
      <c r="BZ769" s="117"/>
      <c r="CA769" s="117"/>
      <c r="CB769" s="117"/>
      <c r="CC769" s="150"/>
      <c r="CD769" s="150"/>
      <c r="CE769" s="150"/>
      <c r="CF769" s="150"/>
      <c r="CG769" s="587"/>
    </row>
    <row r="770" spans="1:85" s="460" customFormat="1" ht="14.4" hidden="1" outlineLevel="1" x14ac:dyDescent="0.3">
      <c r="A770" s="262" t="s">
        <v>1507</v>
      </c>
      <c r="B770" s="588"/>
      <c r="C770" s="954"/>
      <c r="D770" s="954"/>
      <c r="E770" s="954"/>
      <c r="F770" s="954"/>
      <c r="G770" s="133"/>
      <c r="H770" s="133"/>
      <c r="I770" s="133"/>
      <c r="J770" s="133"/>
      <c r="K770" s="954"/>
      <c r="L770" s="133"/>
      <c r="M770" s="133"/>
      <c r="N770" s="133"/>
      <c r="O770" s="133"/>
      <c r="P770" s="954"/>
      <c r="Q770" s="133"/>
      <c r="R770" s="133"/>
      <c r="S770" s="133"/>
      <c r="T770" s="133"/>
      <c r="U770" s="954"/>
      <c r="V770" s="133"/>
      <c r="W770" s="133"/>
      <c r="X770" s="133"/>
      <c r="Y770" s="133"/>
      <c r="Z770" s="954"/>
      <c r="AA770" s="133"/>
      <c r="AB770" s="133"/>
      <c r="AC770" s="133"/>
      <c r="AD770" s="133"/>
      <c r="AE770" s="954"/>
      <c r="AF770" s="133"/>
      <c r="AG770" s="133"/>
      <c r="AH770" s="133"/>
      <c r="AI770" s="133"/>
      <c r="AJ770" s="954"/>
      <c r="AK770" s="133"/>
      <c r="AL770" s="133"/>
      <c r="AM770" s="133"/>
      <c r="AN770" s="133"/>
      <c r="AO770" s="976">
        <v>-11147</v>
      </c>
      <c r="AP770" s="133"/>
      <c r="AQ770" s="133"/>
      <c r="AR770" s="133"/>
      <c r="AS770" s="133"/>
      <c r="AT770" s="976">
        <v>-17543</v>
      </c>
      <c r="AU770" s="133"/>
      <c r="AV770" s="133"/>
      <c r="AW770" s="133"/>
      <c r="AX770" s="133"/>
      <c r="AY770" s="976">
        <v>-21064</v>
      </c>
      <c r="AZ770" s="133"/>
      <c r="BA770" s="133"/>
      <c r="BB770" s="133"/>
      <c r="BC770" s="133"/>
      <c r="BD770" s="976">
        <v>-30674</v>
      </c>
      <c r="BE770" s="133"/>
      <c r="BF770" s="133"/>
      <c r="BG770" s="133"/>
      <c r="BH770" s="133"/>
      <c r="BI770" s="976">
        <v>-27415</v>
      </c>
      <c r="BJ770" s="133"/>
      <c r="BK770" s="133"/>
      <c r="BL770" s="133"/>
      <c r="BM770" s="133"/>
      <c r="BN770" s="976">
        <v>-25354</v>
      </c>
      <c r="BO770" s="133"/>
      <c r="BP770" s="133"/>
      <c r="BQ770" s="133"/>
      <c r="BR770" s="133"/>
      <c r="BS770" s="976">
        <v>-23444</v>
      </c>
      <c r="BT770" s="692"/>
      <c r="BU770" s="133"/>
      <c r="BV770" s="133"/>
      <c r="BW770" s="133"/>
      <c r="BX770" s="954"/>
      <c r="BY770" s="133"/>
      <c r="BZ770" s="133"/>
      <c r="CA770" s="133"/>
      <c r="CB770" s="133"/>
      <c r="CC770" s="954"/>
      <c r="CD770" s="954"/>
      <c r="CE770" s="954"/>
      <c r="CF770" s="954"/>
      <c r="CG770" s="587"/>
    </row>
    <row r="771" spans="1:85" s="461" customFormat="1" ht="14.4" hidden="1" outlineLevel="1" x14ac:dyDescent="0.3">
      <c r="A771" s="166" t="s">
        <v>1508</v>
      </c>
      <c r="B771" s="583"/>
      <c r="C771" s="957"/>
      <c r="D771" s="957"/>
      <c r="E771" s="957"/>
      <c r="F771" s="957"/>
      <c r="G771" s="120"/>
      <c r="H771" s="120"/>
      <c r="I771" s="120"/>
      <c r="J771" s="120"/>
      <c r="K771" s="957"/>
      <c r="L771" s="120"/>
      <c r="M771" s="120"/>
      <c r="N771" s="120"/>
      <c r="O771" s="120"/>
      <c r="P771" s="957"/>
      <c r="Q771" s="120"/>
      <c r="R771" s="120"/>
      <c r="S771" s="120"/>
      <c r="T771" s="120"/>
      <c r="U771" s="957"/>
      <c r="V771" s="120"/>
      <c r="W771" s="120"/>
      <c r="X771" s="120"/>
      <c r="Y771" s="120"/>
      <c r="Z771" s="957"/>
      <c r="AA771" s="120"/>
      <c r="AB771" s="120"/>
      <c r="AC771" s="120"/>
      <c r="AD771" s="120"/>
      <c r="AE771" s="957"/>
      <c r="AF771" s="120"/>
      <c r="AG771" s="120"/>
      <c r="AH771" s="120"/>
      <c r="AI771" s="120"/>
      <c r="AJ771" s="957"/>
      <c r="AK771" s="120"/>
      <c r="AL771" s="120"/>
      <c r="AM771" s="120"/>
      <c r="AN771" s="120"/>
      <c r="AO771" s="957">
        <f>SUM(AO767:AO770)</f>
        <v>12523</v>
      </c>
      <c r="AP771" s="120"/>
      <c r="AQ771" s="120"/>
      <c r="AR771" s="120"/>
      <c r="AS771" s="120"/>
      <c r="AT771" s="957">
        <f>SUM(AT767:AT770)</f>
        <v>16664</v>
      </c>
      <c r="AU771" s="120"/>
      <c r="AV771" s="120"/>
      <c r="AW771" s="120"/>
      <c r="AX771" s="120"/>
      <c r="AY771" s="957">
        <f>SUM(AY767:AY770)</f>
        <v>15172</v>
      </c>
      <c r="AZ771" s="120"/>
      <c r="BA771" s="120"/>
      <c r="BB771" s="120"/>
      <c r="BC771" s="120"/>
      <c r="BD771" s="957">
        <f>SUM(BD767:BD770)</f>
        <v>21374</v>
      </c>
      <c r="BE771" s="120"/>
      <c r="BF771" s="120"/>
      <c r="BG771" s="120"/>
      <c r="BH771" s="120"/>
      <c r="BI771" s="957">
        <f>SUM(BI767:BI770)</f>
        <v>18834</v>
      </c>
      <c r="BJ771" s="120"/>
      <c r="BK771" s="120"/>
      <c r="BL771" s="120"/>
      <c r="BM771" s="120"/>
      <c r="BN771" s="957">
        <f>SUM(BN767:BN770)</f>
        <v>17246</v>
      </c>
      <c r="BO771" s="120"/>
      <c r="BP771" s="120"/>
      <c r="BQ771" s="120"/>
      <c r="BR771" s="120"/>
      <c r="BS771" s="957">
        <f>SUM(BS767:BS770)</f>
        <v>16062</v>
      </c>
      <c r="BT771" s="694"/>
      <c r="BU771" s="120"/>
      <c r="BV771" s="120"/>
      <c r="BW771" s="120"/>
      <c r="BX771" s="957"/>
      <c r="BY771" s="120"/>
      <c r="BZ771" s="120"/>
      <c r="CA771" s="120"/>
      <c r="CB771" s="120"/>
      <c r="CC771" s="957"/>
      <c r="CD771" s="957"/>
      <c r="CE771" s="957"/>
      <c r="CF771" s="957"/>
      <c r="CG771" s="615"/>
    </row>
    <row r="772" spans="1:85" s="460" customFormat="1" ht="14.4" hidden="1" outlineLevel="1" x14ac:dyDescent="0.3">
      <c r="A772" s="262" t="s">
        <v>1509</v>
      </c>
      <c r="B772" s="588"/>
      <c r="C772" s="954"/>
      <c r="D772" s="954"/>
      <c r="E772" s="954"/>
      <c r="F772" s="954"/>
      <c r="G772" s="133"/>
      <c r="H772" s="133"/>
      <c r="I772" s="133"/>
      <c r="J772" s="133"/>
      <c r="K772" s="954"/>
      <c r="L772" s="133"/>
      <c r="M772" s="133"/>
      <c r="N772" s="133"/>
      <c r="O772" s="133"/>
      <c r="P772" s="954"/>
      <c r="Q772" s="133"/>
      <c r="R772" s="133"/>
      <c r="S772" s="133"/>
      <c r="T772" s="133"/>
      <c r="U772" s="954"/>
      <c r="V772" s="133"/>
      <c r="W772" s="133"/>
      <c r="X772" s="133"/>
      <c r="Y772" s="133"/>
      <c r="Z772" s="954"/>
      <c r="AA772" s="133"/>
      <c r="AB772" s="133"/>
      <c r="AC772" s="133"/>
      <c r="AD772" s="133"/>
      <c r="AE772" s="954"/>
      <c r="AF772" s="133"/>
      <c r="AG772" s="133"/>
      <c r="AH772" s="133"/>
      <c r="AI772" s="133"/>
      <c r="AJ772" s="954"/>
      <c r="AK772" s="133"/>
      <c r="AL772" s="133"/>
      <c r="AM772" s="133"/>
      <c r="AN772" s="133"/>
      <c r="AO772" s="976">
        <v>-3652</v>
      </c>
      <c r="AP772" s="133"/>
      <c r="AQ772" s="133"/>
      <c r="AR772" s="133"/>
      <c r="AS772" s="133"/>
      <c r="AT772" s="976">
        <v>-7856</v>
      </c>
      <c r="AU772" s="133"/>
      <c r="AV772" s="133"/>
      <c r="AW772" s="133"/>
      <c r="AX772" s="133"/>
      <c r="AY772" s="976">
        <v>-7277</v>
      </c>
      <c r="AZ772" s="133"/>
      <c r="BA772" s="133"/>
      <c r="BB772" s="133"/>
      <c r="BC772" s="133"/>
      <c r="BD772" s="976">
        <v>-10769</v>
      </c>
      <c r="BE772" s="133"/>
      <c r="BF772" s="133"/>
      <c r="BG772" s="133"/>
      <c r="BH772" s="133"/>
      <c r="BI772" s="976">
        <v>-9343</v>
      </c>
      <c r="BJ772" s="133"/>
      <c r="BK772" s="133"/>
      <c r="BL772" s="133"/>
      <c r="BM772" s="133"/>
      <c r="BN772" s="976">
        <v>-8157</v>
      </c>
      <c r="BO772" s="133"/>
      <c r="BP772" s="133"/>
      <c r="BQ772" s="133"/>
      <c r="BR772" s="133"/>
      <c r="BS772" s="976">
        <v>-7374</v>
      </c>
      <c r="BT772" s="692"/>
      <c r="BU772" s="133"/>
      <c r="BV772" s="133"/>
      <c r="BW772" s="133"/>
      <c r="BX772" s="954"/>
      <c r="BY772" s="133"/>
      <c r="BZ772" s="133"/>
      <c r="CA772" s="133"/>
      <c r="CB772" s="133"/>
      <c r="CC772" s="954"/>
      <c r="CD772" s="954"/>
      <c r="CE772" s="954"/>
      <c r="CF772" s="954"/>
      <c r="CG772" s="587"/>
    </row>
    <row r="773" spans="1:85" s="461" customFormat="1" ht="14.4" hidden="1" outlineLevel="1" x14ac:dyDescent="0.3">
      <c r="A773" s="166" t="s">
        <v>1510</v>
      </c>
      <c r="B773" s="583"/>
      <c r="C773" s="957"/>
      <c r="D773" s="957"/>
      <c r="E773" s="957"/>
      <c r="F773" s="957"/>
      <c r="G773" s="120"/>
      <c r="H773" s="120"/>
      <c r="I773" s="120"/>
      <c r="J773" s="120"/>
      <c r="K773" s="957"/>
      <c r="L773" s="120"/>
      <c r="M773" s="120"/>
      <c r="N773" s="120"/>
      <c r="O773" s="120"/>
      <c r="P773" s="957"/>
      <c r="Q773" s="120"/>
      <c r="R773" s="120"/>
      <c r="S773" s="120"/>
      <c r="T773" s="120"/>
      <c r="U773" s="957"/>
      <c r="V773" s="120"/>
      <c r="W773" s="120"/>
      <c r="X773" s="120"/>
      <c r="Y773" s="120"/>
      <c r="Z773" s="957"/>
      <c r="AA773" s="120"/>
      <c r="AB773" s="120"/>
      <c r="AC773" s="120"/>
      <c r="AD773" s="120"/>
      <c r="AE773" s="957"/>
      <c r="AF773" s="120"/>
      <c r="AG773" s="120"/>
      <c r="AH773" s="120"/>
      <c r="AI773" s="120"/>
      <c r="AJ773" s="957"/>
      <c r="AK773" s="120"/>
      <c r="AL773" s="120"/>
      <c r="AM773" s="120"/>
      <c r="AN773" s="120"/>
      <c r="AO773" s="957">
        <f>SUM(AO771:AO772)</f>
        <v>8871</v>
      </c>
      <c r="AP773" s="120"/>
      <c r="AQ773" s="120"/>
      <c r="AR773" s="120"/>
      <c r="AS773" s="120"/>
      <c r="AT773" s="957">
        <f>SUM(AT771:AT772)</f>
        <v>8808</v>
      </c>
      <c r="AU773" s="120"/>
      <c r="AV773" s="120"/>
      <c r="AW773" s="120"/>
      <c r="AX773" s="120"/>
      <c r="AY773" s="957">
        <f>SUM(AY771:AY772)</f>
        <v>7895</v>
      </c>
      <c r="AZ773" s="120"/>
      <c r="BA773" s="120"/>
      <c r="BB773" s="120"/>
      <c r="BC773" s="120"/>
      <c r="BD773" s="957">
        <f>SUM(BD771:BD772)</f>
        <v>10605</v>
      </c>
      <c r="BE773" s="120"/>
      <c r="BF773" s="120"/>
      <c r="BG773" s="120"/>
      <c r="BH773" s="120"/>
      <c r="BI773" s="957">
        <f>SUM(BI771:BI772)</f>
        <v>9491</v>
      </c>
      <c r="BJ773" s="120"/>
      <c r="BK773" s="120"/>
      <c r="BL773" s="120"/>
      <c r="BM773" s="120"/>
      <c r="BN773" s="957">
        <f>SUM(BN771:BN772)</f>
        <v>9089</v>
      </c>
      <c r="BO773" s="120"/>
      <c r="BP773" s="120"/>
      <c r="BQ773" s="120"/>
      <c r="BR773" s="120"/>
      <c r="BS773" s="957">
        <f>SUM(BS771:BS772)</f>
        <v>8688</v>
      </c>
      <c r="BT773" s="694"/>
      <c r="BU773" s="120"/>
      <c r="BV773" s="120"/>
      <c r="BW773" s="120"/>
      <c r="BX773" s="957"/>
      <c r="BY773" s="120"/>
      <c r="BZ773" s="120"/>
      <c r="CA773" s="120"/>
      <c r="CB773" s="120"/>
      <c r="CC773" s="957"/>
      <c r="CD773" s="957"/>
      <c r="CE773" s="957"/>
      <c r="CF773" s="957"/>
      <c r="CG773" s="615"/>
    </row>
    <row r="774" spans="1:85" s="460" customFormat="1" ht="14.4" hidden="1" outlineLevel="1" x14ac:dyDescent="0.3">
      <c r="A774" s="159" t="s">
        <v>1518</v>
      </c>
      <c r="B774" s="586"/>
      <c r="C774" s="150"/>
      <c r="D774" s="150"/>
      <c r="E774" s="150"/>
      <c r="F774" s="150"/>
      <c r="G774" s="117"/>
      <c r="H774" s="117"/>
      <c r="I774" s="117"/>
      <c r="J774" s="117"/>
      <c r="K774" s="150"/>
      <c r="L774" s="117"/>
      <c r="M774" s="117"/>
      <c r="N774" s="117"/>
      <c r="O774" s="117"/>
      <c r="P774" s="150"/>
      <c r="Q774" s="117"/>
      <c r="R774" s="117"/>
      <c r="S774" s="117"/>
      <c r="T774" s="117"/>
      <c r="U774" s="150"/>
      <c r="V774" s="117"/>
      <c r="W774" s="117"/>
      <c r="X774" s="117"/>
      <c r="Y774" s="117"/>
      <c r="Z774" s="150"/>
      <c r="AA774" s="117"/>
      <c r="AB774" s="117"/>
      <c r="AC774" s="117"/>
      <c r="AD774" s="117"/>
      <c r="AE774" s="150"/>
      <c r="AF774" s="117"/>
      <c r="AG774" s="117"/>
      <c r="AH774" s="117"/>
      <c r="AI774" s="117"/>
      <c r="AJ774" s="150"/>
      <c r="AK774" s="117"/>
      <c r="AL774" s="117"/>
      <c r="AM774" s="117"/>
      <c r="AN774" s="117"/>
      <c r="AO774" s="975">
        <v>95845</v>
      </c>
      <c r="AP774" s="117"/>
      <c r="AQ774" s="117"/>
      <c r="AR774" s="117"/>
      <c r="AS774" s="117"/>
      <c r="AT774" s="975">
        <v>53241</v>
      </c>
      <c r="AU774" s="117"/>
      <c r="AV774" s="117"/>
      <c r="AW774" s="117"/>
      <c r="AX774" s="117"/>
      <c r="AY774" s="975">
        <v>87676</v>
      </c>
      <c r="AZ774" s="117"/>
      <c r="BA774" s="117"/>
      <c r="BB774" s="117"/>
      <c r="BC774" s="117"/>
      <c r="BD774" s="975">
        <v>147839</v>
      </c>
      <c r="BE774" s="117"/>
      <c r="BF774" s="117"/>
      <c r="BG774" s="117"/>
      <c r="BH774" s="117"/>
      <c r="BI774" s="975">
        <v>99003</v>
      </c>
      <c r="BJ774" s="117"/>
      <c r="BK774" s="117"/>
      <c r="BL774" s="117"/>
      <c r="BM774" s="117"/>
      <c r="BN774" s="975">
        <v>84026</v>
      </c>
      <c r="BO774" s="117"/>
      <c r="BP774" s="117"/>
      <c r="BQ774" s="117"/>
      <c r="BR774" s="117"/>
      <c r="BS774" s="975">
        <v>81208</v>
      </c>
      <c r="BT774" s="691"/>
      <c r="BU774" s="117"/>
      <c r="BV774" s="117"/>
      <c r="BW774" s="117"/>
      <c r="BX774" s="150"/>
      <c r="BY774" s="117"/>
      <c r="BZ774" s="117"/>
      <c r="CA774" s="117"/>
      <c r="CB774" s="117"/>
      <c r="CC774" s="150"/>
      <c r="CD774" s="150"/>
      <c r="CE774" s="150"/>
      <c r="CF774" s="150"/>
      <c r="CG774" s="587"/>
    </row>
    <row r="775" spans="1:85" s="460" customFormat="1" ht="14.4" hidden="1" outlineLevel="1" x14ac:dyDescent="0.3">
      <c r="A775" s="159" t="s">
        <v>1519</v>
      </c>
      <c r="B775" s="586"/>
      <c r="C775" s="150"/>
      <c r="D775" s="150"/>
      <c r="E775" s="150"/>
      <c r="F775" s="150"/>
      <c r="G775" s="117"/>
      <c r="H775" s="117"/>
      <c r="I775" s="117"/>
      <c r="J775" s="117"/>
      <c r="K775" s="150"/>
      <c r="L775" s="117"/>
      <c r="M775" s="117"/>
      <c r="N775" s="117"/>
      <c r="O775" s="117"/>
      <c r="P775" s="150"/>
      <c r="Q775" s="117"/>
      <c r="R775" s="117"/>
      <c r="S775" s="117"/>
      <c r="T775" s="117"/>
      <c r="U775" s="150"/>
      <c r="V775" s="117"/>
      <c r="W775" s="117"/>
      <c r="X775" s="117"/>
      <c r="Y775" s="117"/>
      <c r="Z775" s="150"/>
      <c r="AA775" s="117"/>
      <c r="AB775" s="117"/>
      <c r="AC775" s="117"/>
      <c r="AD775" s="117"/>
      <c r="AE775" s="150"/>
      <c r="AF775" s="117"/>
      <c r="AG775" s="117"/>
      <c r="AH775" s="117"/>
      <c r="AI775" s="117"/>
      <c r="AJ775" s="150"/>
      <c r="AK775" s="117"/>
      <c r="AL775" s="117"/>
      <c r="AM775" s="117"/>
      <c r="AN775" s="117"/>
      <c r="AO775" s="975">
        <v>-14141</v>
      </c>
      <c r="AP775" s="117"/>
      <c r="AQ775" s="117"/>
      <c r="AR775" s="117"/>
      <c r="AS775" s="117"/>
      <c r="AT775" s="975">
        <v>-11036</v>
      </c>
      <c r="AU775" s="117"/>
      <c r="AV775" s="117"/>
      <c r="AW775" s="117"/>
      <c r="AX775" s="117"/>
      <c r="AY775" s="975">
        <v>-13726</v>
      </c>
      <c r="AZ775" s="117"/>
      <c r="BA775" s="117"/>
      <c r="BB775" s="117"/>
      <c r="BC775" s="117"/>
      <c r="BD775" s="975">
        <v>-13313</v>
      </c>
      <c r="BE775" s="117"/>
      <c r="BF775" s="117"/>
      <c r="BG775" s="117"/>
      <c r="BH775" s="117"/>
      <c r="BI775" s="975">
        <v>-11534</v>
      </c>
      <c r="BJ775" s="117"/>
      <c r="BK775" s="117"/>
      <c r="BL775" s="117"/>
      <c r="BM775" s="117"/>
      <c r="BN775" s="975">
        <v>-10964</v>
      </c>
      <c r="BO775" s="117"/>
      <c r="BP775" s="117"/>
      <c r="BQ775" s="117"/>
      <c r="BR775" s="117"/>
      <c r="BS775" s="975">
        <v>-11588</v>
      </c>
      <c r="BT775" s="691"/>
      <c r="BU775" s="117"/>
      <c r="BV775" s="117"/>
      <c r="BW775" s="117"/>
      <c r="BX775" s="150"/>
      <c r="BY775" s="117"/>
      <c r="BZ775" s="117"/>
      <c r="CA775" s="117"/>
      <c r="CB775" s="117"/>
      <c r="CC775" s="150"/>
      <c r="CD775" s="150"/>
      <c r="CE775" s="150"/>
      <c r="CF775" s="150"/>
      <c r="CG775" s="587"/>
    </row>
    <row r="776" spans="1:85" s="460" customFormat="1" ht="14.4" hidden="1" outlineLevel="1" x14ac:dyDescent="0.3">
      <c r="A776" s="159" t="s">
        <v>1520</v>
      </c>
      <c r="B776" s="586"/>
      <c r="C776" s="150"/>
      <c r="D776" s="150"/>
      <c r="E776" s="150"/>
      <c r="F776" s="150"/>
      <c r="G776" s="117"/>
      <c r="H776" s="117"/>
      <c r="I776" s="117"/>
      <c r="J776" s="117"/>
      <c r="K776" s="150"/>
      <c r="L776" s="117"/>
      <c r="M776" s="117"/>
      <c r="N776" s="117"/>
      <c r="O776" s="117"/>
      <c r="P776" s="150"/>
      <c r="Q776" s="117"/>
      <c r="R776" s="117"/>
      <c r="S776" s="117"/>
      <c r="T776" s="117"/>
      <c r="U776" s="150"/>
      <c r="V776" s="117"/>
      <c r="W776" s="117"/>
      <c r="X776" s="117"/>
      <c r="Y776" s="117"/>
      <c r="Z776" s="150"/>
      <c r="AA776" s="117"/>
      <c r="AB776" s="117"/>
      <c r="AC776" s="117"/>
      <c r="AD776" s="117"/>
      <c r="AE776" s="150"/>
      <c r="AF776" s="117"/>
      <c r="AG776" s="117"/>
      <c r="AH776" s="117"/>
      <c r="AI776" s="117"/>
      <c r="AJ776" s="150"/>
      <c r="AK776" s="117"/>
      <c r="AL776" s="117"/>
      <c r="AM776" s="117"/>
      <c r="AN776" s="117"/>
      <c r="AO776" s="975">
        <v>-5458</v>
      </c>
      <c r="AP776" s="117"/>
      <c r="AQ776" s="117"/>
      <c r="AR776" s="117"/>
      <c r="AS776" s="117"/>
      <c r="AT776" s="975">
        <v>-3205</v>
      </c>
      <c r="AU776" s="117"/>
      <c r="AV776" s="117"/>
      <c r="AW776" s="117"/>
      <c r="AX776" s="117"/>
      <c r="AY776" s="975">
        <v>-5283</v>
      </c>
      <c r="AZ776" s="117"/>
      <c r="BA776" s="117"/>
      <c r="BB776" s="117"/>
      <c r="BC776" s="117"/>
      <c r="BD776" s="975">
        <v>-5030</v>
      </c>
      <c r="BE776" s="117"/>
      <c r="BF776" s="117"/>
      <c r="BG776" s="117"/>
      <c r="BH776" s="117"/>
      <c r="BI776" s="975">
        <v>-5804</v>
      </c>
      <c r="BJ776" s="117"/>
      <c r="BK776" s="117"/>
      <c r="BL776" s="117"/>
      <c r="BM776" s="117"/>
      <c r="BN776" s="975">
        <v>-6333</v>
      </c>
      <c r="BO776" s="117"/>
      <c r="BP776" s="117"/>
      <c r="BQ776" s="117"/>
      <c r="BR776" s="117"/>
      <c r="BS776" s="975">
        <v>-6639</v>
      </c>
      <c r="BT776" s="691"/>
      <c r="BU776" s="117"/>
      <c r="BV776" s="117"/>
      <c r="BW776" s="117"/>
      <c r="BX776" s="150"/>
      <c r="BY776" s="117"/>
      <c r="BZ776" s="117"/>
      <c r="CA776" s="117"/>
      <c r="CB776" s="117"/>
      <c r="CC776" s="150"/>
      <c r="CD776" s="150"/>
      <c r="CE776" s="150"/>
      <c r="CF776" s="150"/>
      <c r="CG776" s="587"/>
    </row>
    <row r="777" spans="1:85" s="460" customFormat="1" ht="14.4" hidden="1" outlineLevel="1" x14ac:dyDescent="0.3">
      <c r="A777" s="262" t="s">
        <v>1521</v>
      </c>
      <c r="B777" s="588"/>
      <c r="C777" s="954"/>
      <c r="D777" s="954"/>
      <c r="E777" s="954"/>
      <c r="F777" s="954"/>
      <c r="G777" s="133"/>
      <c r="H777" s="133"/>
      <c r="I777" s="133"/>
      <c r="J777" s="133"/>
      <c r="K777" s="954"/>
      <c r="L777" s="133"/>
      <c r="M777" s="133"/>
      <c r="N777" s="133"/>
      <c r="O777" s="133"/>
      <c r="P777" s="954"/>
      <c r="Q777" s="133"/>
      <c r="R777" s="133"/>
      <c r="S777" s="133"/>
      <c r="T777" s="133"/>
      <c r="U777" s="954"/>
      <c r="V777" s="133"/>
      <c r="W777" s="133"/>
      <c r="X777" s="133"/>
      <c r="Y777" s="133"/>
      <c r="Z777" s="954"/>
      <c r="AA777" s="133"/>
      <c r="AB777" s="133"/>
      <c r="AC777" s="133"/>
      <c r="AD777" s="133"/>
      <c r="AE777" s="954"/>
      <c r="AF777" s="133"/>
      <c r="AG777" s="133"/>
      <c r="AH777" s="133"/>
      <c r="AI777" s="133"/>
      <c r="AJ777" s="954"/>
      <c r="AK777" s="133"/>
      <c r="AL777" s="133"/>
      <c r="AM777" s="133"/>
      <c r="AN777" s="133"/>
      <c r="AO777" s="976">
        <v>-22874</v>
      </c>
      <c r="AP777" s="133"/>
      <c r="AQ777" s="133"/>
      <c r="AR777" s="133"/>
      <c r="AS777" s="133"/>
      <c r="AT777" s="976">
        <v>-11700</v>
      </c>
      <c r="AU777" s="133"/>
      <c r="AV777" s="133"/>
      <c r="AW777" s="133"/>
      <c r="AX777" s="133"/>
      <c r="AY777" s="976">
        <v>-20600</v>
      </c>
      <c r="AZ777" s="133"/>
      <c r="BA777" s="133"/>
      <c r="BB777" s="133"/>
      <c r="BC777" s="133"/>
      <c r="BD777" s="976">
        <v>-38861</v>
      </c>
      <c r="BE777" s="133"/>
      <c r="BF777" s="133"/>
      <c r="BG777" s="133"/>
      <c r="BH777" s="133"/>
      <c r="BI777" s="976">
        <v>-24499</v>
      </c>
      <c r="BJ777" s="133"/>
      <c r="BK777" s="133"/>
      <c r="BL777" s="133"/>
      <c r="BM777" s="133"/>
      <c r="BN777" s="976">
        <v>-25891</v>
      </c>
      <c r="BO777" s="133"/>
      <c r="BP777" s="133"/>
      <c r="BQ777" s="133"/>
      <c r="BR777" s="133"/>
      <c r="BS777" s="976">
        <v>-24437</v>
      </c>
      <c r="BT777" s="692"/>
      <c r="BU777" s="133"/>
      <c r="BV777" s="133"/>
      <c r="BW777" s="133"/>
      <c r="BX777" s="954"/>
      <c r="BY777" s="133"/>
      <c r="BZ777" s="133"/>
      <c r="CA777" s="133"/>
      <c r="CB777" s="133"/>
      <c r="CC777" s="954"/>
      <c r="CD777" s="954"/>
      <c r="CE777" s="954"/>
      <c r="CF777" s="954"/>
      <c r="CG777" s="587"/>
    </row>
    <row r="778" spans="1:85" s="461" customFormat="1" ht="14.4" hidden="1" outlineLevel="1" x14ac:dyDescent="0.3">
      <c r="A778" s="166" t="s">
        <v>1522</v>
      </c>
      <c r="B778" s="583"/>
      <c r="C778" s="957"/>
      <c r="D778" s="957"/>
      <c r="E778" s="957"/>
      <c r="F778" s="957"/>
      <c r="G778" s="120"/>
      <c r="H778" s="120"/>
      <c r="I778" s="120"/>
      <c r="J778" s="120"/>
      <c r="K778" s="957"/>
      <c r="L778" s="120"/>
      <c r="M778" s="120"/>
      <c r="N778" s="120"/>
      <c r="O778" s="120"/>
      <c r="P778" s="957"/>
      <c r="Q778" s="120"/>
      <c r="R778" s="120"/>
      <c r="S778" s="120"/>
      <c r="T778" s="120"/>
      <c r="U778" s="957"/>
      <c r="V778" s="120"/>
      <c r="W778" s="120"/>
      <c r="X778" s="120"/>
      <c r="Y778" s="120"/>
      <c r="Z778" s="957"/>
      <c r="AA778" s="120"/>
      <c r="AB778" s="120"/>
      <c r="AC778" s="120"/>
      <c r="AD778" s="120"/>
      <c r="AE778" s="957"/>
      <c r="AF778" s="120"/>
      <c r="AG778" s="120"/>
      <c r="AH778" s="120"/>
      <c r="AI778" s="120"/>
      <c r="AJ778" s="957"/>
      <c r="AK778" s="120"/>
      <c r="AL778" s="120"/>
      <c r="AM778" s="120"/>
      <c r="AN778" s="120"/>
      <c r="AO778" s="957">
        <f>SUM(AO774:AO777)</f>
        <v>53372</v>
      </c>
      <c r="AP778" s="120"/>
      <c r="AQ778" s="120"/>
      <c r="AR778" s="120"/>
      <c r="AS778" s="120"/>
      <c r="AT778" s="957">
        <f>SUM(AT774:AT777)</f>
        <v>27300</v>
      </c>
      <c r="AU778" s="120"/>
      <c r="AV778" s="120"/>
      <c r="AW778" s="120"/>
      <c r="AX778" s="120"/>
      <c r="AY778" s="957">
        <f>SUM(AY774:AY777)</f>
        <v>48067</v>
      </c>
      <c r="AZ778" s="120"/>
      <c r="BA778" s="120"/>
      <c r="BB778" s="120"/>
      <c r="BC778" s="120"/>
      <c r="BD778" s="957">
        <f>SUM(BD774:BD777)</f>
        <v>90635</v>
      </c>
      <c r="BE778" s="120"/>
      <c r="BF778" s="120"/>
      <c r="BG778" s="120"/>
      <c r="BH778" s="120"/>
      <c r="BI778" s="957">
        <f>SUM(BI774:BI777)</f>
        <v>57166</v>
      </c>
      <c r="BJ778" s="120"/>
      <c r="BK778" s="120"/>
      <c r="BL778" s="120"/>
      <c r="BM778" s="120"/>
      <c r="BN778" s="957">
        <f>SUM(BN774:BN777)</f>
        <v>40838</v>
      </c>
      <c r="BO778" s="120"/>
      <c r="BP778" s="120"/>
      <c r="BQ778" s="120"/>
      <c r="BR778" s="120"/>
      <c r="BS778" s="957">
        <f>SUM(BS774:BS777)</f>
        <v>38544</v>
      </c>
      <c r="BT778" s="694"/>
      <c r="BU778" s="120"/>
      <c r="BV778" s="120"/>
      <c r="BW778" s="120"/>
      <c r="BX778" s="957"/>
      <c r="BY778" s="120"/>
      <c r="BZ778" s="120"/>
      <c r="CA778" s="120"/>
      <c r="CB778" s="120"/>
      <c r="CC778" s="957"/>
      <c r="CD778" s="957"/>
      <c r="CE778" s="957"/>
      <c r="CF778" s="957"/>
      <c r="CG778" s="615"/>
    </row>
    <row r="779" spans="1:85" s="460" customFormat="1" ht="14.4" hidden="1" outlineLevel="1" x14ac:dyDescent="0.3">
      <c r="A779" s="262" t="s">
        <v>1523</v>
      </c>
      <c r="B779" s="588"/>
      <c r="C779" s="954"/>
      <c r="D779" s="954"/>
      <c r="E779" s="954"/>
      <c r="F779" s="954"/>
      <c r="G779" s="133"/>
      <c r="H779" s="133"/>
      <c r="I779" s="133"/>
      <c r="J779" s="133"/>
      <c r="K779" s="954"/>
      <c r="L779" s="133"/>
      <c r="M779" s="133"/>
      <c r="N779" s="133"/>
      <c r="O779" s="133"/>
      <c r="P779" s="954"/>
      <c r="Q779" s="133"/>
      <c r="R779" s="133"/>
      <c r="S779" s="133"/>
      <c r="T779" s="133"/>
      <c r="U779" s="954"/>
      <c r="V779" s="133"/>
      <c r="W779" s="133"/>
      <c r="X779" s="133"/>
      <c r="Y779" s="133"/>
      <c r="Z779" s="954"/>
      <c r="AA779" s="133"/>
      <c r="AB779" s="133"/>
      <c r="AC779" s="133"/>
      <c r="AD779" s="133"/>
      <c r="AE779" s="954"/>
      <c r="AF779" s="133"/>
      <c r="AG779" s="133"/>
      <c r="AH779" s="133"/>
      <c r="AI779" s="133"/>
      <c r="AJ779" s="954"/>
      <c r="AK779" s="133"/>
      <c r="AL779" s="133"/>
      <c r="AM779" s="133"/>
      <c r="AN779" s="133"/>
      <c r="AO779" s="976">
        <v>-26536</v>
      </c>
      <c r="AP779" s="133"/>
      <c r="AQ779" s="133"/>
      <c r="AR779" s="133"/>
      <c r="AS779" s="133"/>
      <c r="AT779" s="976">
        <v>-11774</v>
      </c>
      <c r="AU779" s="133"/>
      <c r="AV779" s="133"/>
      <c r="AW779" s="133"/>
      <c r="AX779" s="133"/>
      <c r="AY779" s="976">
        <v>-21141</v>
      </c>
      <c r="AZ779" s="133"/>
      <c r="BA779" s="133"/>
      <c r="BB779" s="133"/>
      <c r="BC779" s="133"/>
      <c r="BD779" s="976">
        <v>-37519</v>
      </c>
      <c r="BE779" s="133"/>
      <c r="BF779" s="133"/>
      <c r="BG779" s="133"/>
      <c r="BH779" s="133"/>
      <c r="BI779" s="976">
        <v>-22011</v>
      </c>
      <c r="BJ779" s="133"/>
      <c r="BK779" s="133"/>
      <c r="BL779" s="133"/>
      <c r="BM779" s="133"/>
      <c r="BN779" s="976">
        <v>-15114</v>
      </c>
      <c r="BO779" s="133"/>
      <c r="BP779" s="133"/>
      <c r="BQ779" s="133"/>
      <c r="BR779" s="133"/>
      <c r="BS779" s="976">
        <v>-14357</v>
      </c>
      <c r="BT779" s="692"/>
      <c r="BU779" s="133"/>
      <c r="BV779" s="133"/>
      <c r="BW779" s="133"/>
      <c r="BX779" s="954"/>
      <c r="BY779" s="133"/>
      <c r="BZ779" s="133"/>
      <c r="CA779" s="133"/>
      <c r="CB779" s="133"/>
      <c r="CC779" s="954"/>
      <c r="CD779" s="954"/>
      <c r="CE779" s="954"/>
      <c r="CF779" s="954"/>
      <c r="CG779" s="587"/>
    </row>
    <row r="780" spans="1:85" s="461" customFormat="1" ht="14.4" hidden="1" outlineLevel="1" x14ac:dyDescent="0.3">
      <c r="A780" s="166" t="s">
        <v>1524</v>
      </c>
      <c r="B780" s="583"/>
      <c r="C780" s="957"/>
      <c r="D780" s="957"/>
      <c r="E780" s="957"/>
      <c r="F780" s="957"/>
      <c r="G780" s="120"/>
      <c r="H780" s="120"/>
      <c r="I780" s="120"/>
      <c r="J780" s="120"/>
      <c r="K780" s="957"/>
      <c r="L780" s="120"/>
      <c r="M780" s="120"/>
      <c r="N780" s="120"/>
      <c r="O780" s="120"/>
      <c r="P780" s="957"/>
      <c r="Q780" s="120"/>
      <c r="R780" s="120"/>
      <c r="S780" s="120"/>
      <c r="T780" s="120"/>
      <c r="U780" s="957"/>
      <c r="V780" s="120"/>
      <c r="W780" s="120"/>
      <c r="X780" s="120"/>
      <c r="Y780" s="120"/>
      <c r="Z780" s="957"/>
      <c r="AA780" s="120"/>
      <c r="AB780" s="120"/>
      <c r="AC780" s="120"/>
      <c r="AD780" s="120"/>
      <c r="AE780" s="957"/>
      <c r="AF780" s="120"/>
      <c r="AG780" s="120"/>
      <c r="AH780" s="120"/>
      <c r="AI780" s="120"/>
      <c r="AJ780" s="957"/>
      <c r="AK780" s="120"/>
      <c r="AL780" s="120"/>
      <c r="AM780" s="120"/>
      <c r="AN780" s="120"/>
      <c r="AO780" s="957">
        <f>SUM(AO778:AO779)</f>
        <v>26836</v>
      </c>
      <c r="AP780" s="120"/>
      <c r="AQ780" s="120"/>
      <c r="AR780" s="120"/>
      <c r="AS780" s="120"/>
      <c r="AT780" s="957">
        <f>SUM(AT778:AT779)</f>
        <v>15526</v>
      </c>
      <c r="AU780" s="120"/>
      <c r="AV780" s="120"/>
      <c r="AW780" s="120"/>
      <c r="AX780" s="120"/>
      <c r="AY780" s="957">
        <f>SUM(AY778:AY779)</f>
        <v>26926</v>
      </c>
      <c r="AZ780" s="120"/>
      <c r="BA780" s="120"/>
      <c r="BB780" s="120"/>
      <c r="BC780" s="120"/>
      <c r="BD780" s="957">
        <f>SUM(BD778:BD779)</f>
        <v>53116</v>
      </c>
      <c r="BE780" s="120"/>
      <c r="BF780" s="120"/>
      <c r="BG780" s="120"/>
      <c r="BH780" s="120"/>
      <c r="BI780" s="957">
        <f>SUM(BI778:BI779)</f>
        <v>35155</v>
      </c>
      <c r="BJ780" s="120"/>
      <c r="BK780" s="120"/>
      <c r="BL780" s="120"/>
      <c r="BM780" s="120"/>
      <c r="BN780" s="957">
        <f>SUM(BN778:BN779)</f>
        <v>25724</v>
      </c>
      <c r="BO780" s="120"/>
      <c r="BP780" s="120"/>
      <c r="BQ780" s="120"/>
      <c r="BR780" s="120"/>
      <c r="BS780" s="957">
        <f>SUM(BS778:BS779)</f>
        <v>24187</v>
      </c>
      <c r="BT780" s="694"/>
      <c r="BU780" s="120"/>
      <c r="BV780" s="120"/>
      <c r="BW780" s="120"/>
      <c r="BX780" s="957"/>
      <c r="BY780" s="120"/>
      <c r="BZ780" s="120"/>
      <c r="CA780" s="120"/>
      <c r="CB780" s="120"/>
      <c r="CC780" s="957"/>
      <c r="CD780" s="957"/>
      <c r="CE780" s="957"/>
      <c r="CF780" s="957"/>
      <c r="CG780" s="615"/>
    </row>
    <row r="781" spans="1:85" s="460" customFormat="1" ht="14.4" hidden="1" outlineLevel="1" x14ac:dyDescent="0.3">
      <c r="A781" s="159" t="s">
        <v>1525</v>
      </c>
      <c r="B781" s="586"/>
      <c r="C781" s="150"/>
      <c r="D781" s="150"/>
      <c r="E781" s="150"/>
      <c r="F781" s="150"/>
      <c r="G781" s="117"/>
      <c r="H781" s="117"/>
      <c r="I781" s="117"/>
      <c r="J781" s="117"/>
      <c r="K781" s="150"/>
      <c r="L781" s="117"/>
      <c r="M781" s="117"/>
      <c r="N781" s="117"/>
      <c r="O781" s="117"/>
      <c r="P781" s="150"/>
      <c r="Q781" s="117"/>
      <c r="R781" s="117"/>
      <c r="S781" s="117"/>
      <c r="T781" s="117"/>
      <c r="U781" s="150"/>
      <c r="V781" s="117"/>
      <c r="W781" s="117"/>
      <c r="X781" s="117"/>
      <c r="Y781" s="117"/>
      <c r="Z781" s="150"/>
      <c r="AA781" s="117"/>
      <c r="AB781" s="117"/>
      <c r="AC781" s="117"/>
      <c r="AD781" s="117"/>
      <c r="AE781" s="150"/>
      <c r="AF781" s="117"/>
      <c r="AG781" s="117"/>
      <c r="AH781" s="117"/>
      <c r="AI781" s="117"/>
      <c r="AJ781" s="150"/>
      <c r="AK781" s="117"/>
      <c r="AL781" s="117"/>
      <c r="AM781" s="117"/>
      <c r="AN781" s="117"/>
      <c r="AO781" s="975">
        <v>4466</v>
      </c>
      <c r="AP781" s="117"/>
      <c r="AQ781" s="117"/>
      <c r="AR781" s="117"/>
      <c r="AS781" s="117"/>
      <c r="AT781" s="975">
        <v>2304</v>
      </c>
      <c r="AU781" s="117"/>
      <c r="AV781" s="117"/>
      <c r="AW781" s="117"/>
      <c r="AX781" s="117"/>
      <c r="AY781" s="975">
        <v>4366</v>
      </c>
      <c r="AZ781" s="117"/>
      <c r="BA781" s="117"/>
      <c r="BB781" s="117"/>
      <c r="BC781" s="117"/>
      <c r="BD781" s="975">
        <v>5920</v>
      </c>
      <c r="BE781" s="117"/>
      <c r="BF781" s="117"/>
      <c r="BG781" s="117"/>
      <c r="BH781" s="117"/>
      <c r="BI781" s="975">
        <v>4395</v>
      </c>
      <c r="BJ781" s="117"/>
      <c r="BK781" s="117"/>
      <c r="BL781" s="117"/>
      <c r="BM781" s="117"/>
      <c r="BN781" s="975">
        <v>3999</v>
      </c>
      <c r="BO781" s="117"/>
      <c r="BP781" s="117"/>
      <c r="BQ781" s="117"/>
      <c r="BR781" s="117"/>
      <c r="BS781" s="975">
        <v>2430</v>
      </c>
      <c r="BT781" s="691"/>
      <c r="BU781" s="117"/>
      <c r="BV781" s="117"/>
      <c r="BW781" s="117"/>
      <c r="BX781" s="150"/>
      <c r="BY781" s="117"/>
      <c r="BZ781" s="117"/>
      <c r="CA781" s="117"/>
      <c r="CB781" s="117"/>
      <c r="CC781" s="150"/>
      <c r="CD781" s="150"/>
      <c r="CE781" s="150"/>
      <c r="CF781" s="150"/>
      <c r="CG781" s="587"/>
    </row>
    <row r="782" spans="1:85" s="460" customFormat="1" ht="14.4" hidden="1" outlineLevel="1" x14ac:dyDescent="0.3">
      <c r="A782" s="159" t="s">
        <v>1526</v>
      </c>
      <c r="B782" s="586"/>
      <c r="C782" s="150"/>
      <c r="D782" s="150"/>
      <c r="E782" s="150"/>
      <c r="F782" s="150"/>
      <c r="G782" s="117"/>
      <c r="H782" s="117"/>
      <c r="I782" s="117"/>
      <c r="J782" s="117"/>
      <c r="K782" s="150"/>
      <c r="L782" s="117"/>
      <c r="M782" s="117"/>
      <c r="N782" s="117"/>
      <c r="O782" s="117"/>
      <c r="P782" s="150"/>
      <c r="Q782" s="117"/>
      <c r="R782" s="117"/>
      <c r="S782" s="117"/>
      <c r="T782" s="117"/>
      <c r="U782" s="150"/>
      <c r="V782" s="117"/>
      <c r="W782" s="117"/>
      <c r="X782" s="117"/>
      <c r="Y782" s="117"/>
      <c r="Z782" s="150"/>
      <c r="AA782" s="117"/>
      <c r="AB782" s="117"/>
      <c r="AC782" s="117"/>
      <c r="AD782" s="117"/>
      <c r="AE782" s="150"/>
      <c r="AF782" s="117"/>
      <c r="AG782" s="117"/>
      <c r="AH782" s="117"/>
      <c r="AI782" s="117"/>
      <c r="AJ782" s="150"/>
      <c r="AK782" s="117"/>
      <c r="AL782" s="117"/>
      <c r="AM782" s="117"/>
      <c r="AN782" s="117"/>
      <c r="AO782" s="975">
        <v>-1428</v>
      </c>
      <c r="AP782" s="117"/>
      <c r="AQ782" s="117"/>
      <c r="AR782" s="117"/>
      <c r="AS782" s="117"/>
      <c r="AT782" s="975">
        <v>-1336</v>
      </c>
      <c r="AU782" s="117"/>
      <c r="AV782" s="117"/>
      <c r="AW782" s="117"/>
      <c r="AX782" s="117"/>
      <c r="AY782" s="975">
        <v>-1400</v>
      </c>
      <c r="AZ782" s="117"/>
      <c r="BA782" s="117"/>
      <c r="BB782" s="117"/>
      <c r="BC782" s="117"/>
      <c r="BD782" s="975">
        <v>-1069</v>
      </c>
      <c r="BE782" s="117"/>
      <c r="BF782" s="117"/>
      <c r="BG782" s="117"/>
      <c r="BH782" s="117"/>
      <c r="BI782" s="975">
        <v>-1194</v>
      </c>
      <c r="BJ782" s="117"/>
      <c r="BK782" s="117"/>
      <c r="BL782" s="117"/>
      <c r="BM782" s="117"/>
      <c r="BN782" s="975">
        <v>-1188</v>
      </c>
      <c r="BO782" s="117"/>
      <c r="BP782" s="117"/>
      <c r="BQ782" s="117"/>
      <c r="BR782" s="117"/>
      <c r="BS782" s="975">
        <v>-1121</v>
      </c>
      <c r="BT782" s="691"/>
      <c r="BU782" s="117"/>
      <c r="BV782" s="117"/>
      <c r="BW782" s="117"/>
      <c r="BX782" s="150"/>
      <c r="BY782" s="117"/>
      <c r="BZ782" s="117"/>
      <c r="CA782" s="117"/>
      <c r="CB782" s="117"/>
      <c r="CC782" s="150"/>
      <c r="CD782" s="150"/>
      <c r="CE782" s="150"/>
      <c r="CF782" s="150"/>
      <c r="CG782" s="587"/>
    </row>
    <row r="783" spans="1:85" s="460" customFormat="1" ht="14.4" hidden="1" outlineLevel="1" x14ac:dyDescent="0.3">
      <c r="A783" s="159" t="s">
        <v>1527</v>
      </c>
      <c r="B783" s="586"/>
      <c r="C783" s="150"/>
      <c r="D783" s="150"/>
      <c r="E783" s="150"/>
      <c r="F783" s="150"/>
      <c r="G783" s="117"/>
      <c r="H783" s="117"/>
      <c r="I783" s="117"/>
      <c r="J783" s="117"/>
      <c r="K783" s="150"/>
      <c r="L783" s="117"/>
      <c r="M783" s="117"/>
      <c r="N783" s="117"/>
      <c r="O783" s="117"/>
      <c r="P783" s="150"/>
      <c r="Q783" s="117"/>
      <c r="R783" s="117"/>
      <c r="S783" s="117"/>
      <c r="T783" s="117"/>
      <c r="U783" s="150"/>
      <c r="V783" s="117"/>
      <c r="W783" s="117"/>
      <c r="X783" s="117"/>
      <c r="Y783" s="117"/>
      <c r="Z783" s="150"/>
      <c r="AA783" s="117"/>
      <c r="AB783" s="117"/>
      <c r="AC783" s="117"/>
      <c r="AD783" s="117"/>
      <c r="AE783" s="150"/>
      <c r="AF783" s="117"/>
      <c r="AG783" s="117"/>
      <c r="AH783" s="117"/>
      <c r="AI783" s="117"/>
      <c r="AJ783" s="150"/>
      <c r="AK783" s="117"/>
      <c r="AL783" s="117"/>
      <c r="AM783" s="117"/>
      <c r="AN783" s="117"/>
      <c r="AO783" s="975">
        <v>-341</v>
      </c>
      <c r="AP783" s="117"/>
      <c r="AQ783" s="117"/>
      <c r="AR783" s="117"/>
      <c r="AS783" s="117"/>
      <c r="AT783" s="975">
        <v>-522</v>
      </c>
      <c r="AU783" s="117"/>
      <c r="AV783" s="117"/>
      <c r="AW783" s="117"/>
      <c r="AX783" s="117"/>
      <c r="AY783" s="975">
        <v>-661</v>
      </c>
      <c r="AZ783" s="117"/>
      <c r="BA783" s="117"/>
      <c r="BB783" s="117"/>
      <c r="BC783" s="117"/>
      <c r="BD783" s="975">
        <v>-502</v>
      </c>
      <c r="BE783" s="117"/>
      <c r="BF783" s="117"/>
      <c r="BG783" s="117"/>
      <c r="BH783" s="117"/>
      <c r="BI783" s="975">
        <v>-438</v>
      </c>
      <c r="BJ783" s="117"/>
      <c r="BK783" s="117"/>
      <c r="BL783" s="117"/>
      <c r="BM783" s="117"/>
      <c r="BN783" s="975">
        <v>-420</v>
      </c>
      <c r="BO783" s="117"/>
      <c r="BP783" s="117"/>
      <c r="BQ783" s="117"/>
      <c r="BR783" s="117"/>
      <c r="BS783" s="975">
        <v>-502</v>
      </c>
      <c r="BT783" s="691"/>
      <c r="BU783" s="117"/>
      <c r="BV783" s="117"/>
      <c r="BW783" s="117"/>
      <c r="BX783" s="150"/>
      <c r="BY783" s="117"/>
      <c r="BZ783" s="117"/>
      <c r="CA783" s="117"/>
      <c r="CB783" s="117"/>
      <c r="CC783" s="150"/>
      <c r="CD783" s="150"/>
      <c r="CE783" s="150"/>
      <c r="CF783" s="150"/>
      <c r="CG783" s="587"/>
    </row>
    <row r="784" spans="1:85" s="460" customFormat="1" ht="14.4" hidden="1" outlineLevel="1" x14ac:dyDescent="0.3">
      <c r="A784" s="262" t="s">
        <v>1528</v>
      </c>
      <c r="B784" s="588"/>
      <c r="C784" s="954"/>
      <c r="D784" s="954"/>
      <c r="E784" s="954"/>
      <c r="F784" s="954"/>
      <c r="G784" s="133"/>
      <c r="H784" s="133"/>
      <c r="I784" s="133"/>
      <c r="J784" s="133"/>
      <c r="K784" s="954"/>
      <c r="L784" s="133"/>
      <c r="M784" s="133"/>
      <c r="N784" s="133"/>
      <c r="O784" s="133"/>
      <c r="P784" s="954"/>
      <c r="Q784" s="133"/>
      <c r="R784" s="133"/>
      <c r="S784" s="133"/>
      <c r="T784" s="133"/>
      <c r="U784" s="954"/>
      <c r="V784" s="133"/>
      <c r="W784" s="133"/>
      <c r="X784" s="133"/>
      <c r="Y784" s="133"/>
      <c r="Z784" s="954"/>
      <c r="AA784" s="133"/>
      <c r="AB784" s="133"/>
      <c r="AC784" s="133"/>
      <c r="AD784" s="133"/>
      <c r="AE784" s="954"/>
      <c r="AF784" s="133"/>
      <c r="AG784" s="133"/>
      <c r="AH784" s="133"/>
      <c r="AI784" s="133"/>
      <c r="AJ784" s="954"/>
      <c r="AK784" s="133"/>
      <c r="AL784" s="133"/>
      <c r="AM784" s="133"/>
      <c r="AN784" s="133"/>
      <c r="AO784" s="976">
        <v>-1078</v>
      </c>
      <c r="AP784" s="133"/>
      <c r="AQ784" s="133"/>
      <c r="AR784" s="133"/>
      <c r="AS784" s="133"/>
      <c r="AT784" s="976">
        <v>-178</v>
      </c>
      <c r="AU784" s="133"/>
      <c r="AV784" s="133"/>
      <c r="AW784" s="133"/>
      <c r="AX784" s="133"/>
      <c r="AY784" s="976">
        <v>-922</v>
      </c>
      <c r="AZ784" s="133"/>
      <c r="BA784" s="133"/>
      <c r="BB784" s="133"/>
      <c r="BC784" s="133"/>
      <c r="BD784" s="976">
        <v>-2827</v>
      </c>
      <c r="BE784" s="133"/>
      <c r="BF784" s="133"/>
      <c r="BG784" s="133"/>
      <c r="BH784" s="133"/>
      <c r="BI784" s="976">
        <v>-1160</v>
      </c>
      <c r="BJ784" s="133"/>
      <c r="BK784" s="133"/>
      <c r="BL784" s="133"/>
      <c r="BM784" s="133"/>
      <c r="BN784" s="976">
        <v>-1004</v>
      </c>
      <c r="BO784" s="133"/>
      <c r="BP784" s="133"/>
      <c r="BQ784" s="133"/>
      <c r="BR784" s="133"/>
      <c r="BS784" s="976">
        <v>-339</v>
      </c>
      <c r="BT784" s="692"/>
      <c r="BU784" s="133"/>
      <c r="BV784" s="133"/>
      <c r="BW784" s="133"/>
      <c r="BX784" s="954"/>
      <c r="BY784" s="133"/>
      <c r="BZ784" s="133"/>
      <c r="CA784" s="133"/>
      <c r="CB784" s="133"/>
      <c r="CC784" s="954"/>
      <c r="CD784" s="954"/>
      <c r="CE784" s="954"/>
      <c r="CF784" s="954"/>
      <c r="CG784" s="587"/>
    </row>
    <row r="785" spans="1:85" s="461" customFormat="1" ht="14.4" hidden="1" outlineLevel="1" x14ac:dyDescent="0.3">
      <c r="A785" s="166" t="s">
        <v>1529</v>
      </c>
      <c r="B785" s="583"/>
      <c r="C785" s="957"/>
      <c r="D785" s="957"/>
      <c r="E785" s="957"/>
      <c r="F785" s="957"/>
      <c r="G785" s="120"/>
      <c r="H785" s="120"/>
      <c r="I785" s="120"/>
      <c r="J785" s="120"/>
      <c r="K785" s="957"/>
      <c r="L785" s="120"/>
      <c r="M785" s="120"/>
      <c r="N785" s="120"/>
      <c r="O785" s="120"/>
      <c r="P785" s="957"/>
      <c r="Q785" s="120"/>
      <c r="R785" s="120"/>
      <c r="S785" s="120"/>
      <c r="T785" s="120"/>
      <c r="U785" s="957"/>
      <c r="V785" s="120"/>
      <c r="W785" s="120"/>
      <c r="X785" s="120"/>
      <c r="Y785" s="120"/>
      <c r="Z785" s="957"/>
      <c r="AA785" s="120"/>
      <c r="AB785" s="120"/>
      <c r="AC785" s="120"/>
      <c r="AD785" s="120"/>
      <c r="AE785" s="957"/>
      <c r="AF785" s="120"/>
      <c r="AG785" s="120"/>
      <c r="AH785" s="120"/>
      <c r="AI785" s="120"/>
      <c r="AJ785" s="957"/>
      <c r="AK785" s="120"/>
      <c r="AL785" s="120"/>
      <c r="AM785" s="120"/>
      <c r="AN785" s="120"/>
      <c r="AO785" s="957">
        <f>SUM(AO781:AO784)</f>
        <v>1619</v>
      </c>
      <c r="AP785" s="120"/>
      <c r="AQ785" s="120"/>
      <c r="AR785" s="120"/>
      <c r="AS785" s="120"/>
      <c r="AT785" s="957">
        <f>SUM(AT781:AT784)</f>
        <v>268</v>
      </c>
      <c r="AU785" s="120"/>
      <c r="AV785" s="120"/>
      <c r="AW785" s="120"/>
      <c r="AX785" s="120"/>
      <c r="AY785" s="957">
        <f>SUM(AY781:AY784)</f>
        <v>1383</v>
      </c>
      <c r="AZ785" s="120"/>
      <c r="BA785" s="120"/>
      <c r="BB785" s="120"/>
      <c r="BC785" s="120"/>
      <c r="BD785" s="957">
        <f>SUM(BD781:BD784)</f>
        <v>1522</v>
      </c>
      <c r="BE785" s="120"/>
      <c r="BF785" s="120"/>
      <c r="BG785" s="120"/>
      <c r="BH785" s="120"/>
      <c r="BI785" s="957">
        <f>SUM(BI781:BI784)</f>
        <v>1603</v>
      </c>
      <c r="BJ785" s="120"/>
      <c r="BK785" s="120"/>
      <c r="BL785" s="120"/>
      <c r="BM785" s="120"/>
      <c r="BN785" s="957">
        <f>SUM(BN781:BN784)</f>
        <v>1387</v>
      </c>
      <c r="BO785" s="120"/>
      <c r="BP785" s="120"/>
      <c r="BQ785" s="120"/>
      <c r="BR785" s="120"/>
      <c r="BS785" s="957">
        <f>SUM(BS781:BS784)</f>
        <v>468</v>
      </c>
      <c r="BT785" s="694"/>
      <c r="BU785" s="120"/>
      <c r="BV785" s="120"/>
      <c r="BW785" s="120"/>
      <c r="BX785" s="957"/>
      <c r="BY785" s="120"/>
      <c r="BZ785" s="120"/>
      <c r="CA785" s="120"/>
      <c r="CB785" s="120"/>
      <c r="CC785" s="957"/>
      <c r="CD785" s="957"/>
      <c r="CE785" s="957"/>
      <c r="CF785" s="957"/>
      <c r="CG785" s="615"/>
    </row>
    <row r="786" spans="1:85" s="460" customFormat="1" ht="14.4" hidden="1" outlineLevel="1" x14ac:dyDescent="0.3">
      <c r="A786" s="262" t="s">
        <v>1530</v>
      </c>
      <c r="B786" s="588"/>
      <c r="C786" s="954"/>
      <c r="D786" s="954"/>
      <c r="E786" s="954"/>
      <c r="F786" s="954"/>
      <c r="G786" s="133"/>
      <c r="H786" s="133"/>
      <c r="I786" s="133"/>
      <c r="J786" s="133"/>
      <c r="K786" s="954"/>
      <c r="L786" s="133"/>
      <c r="M786" s="133"/>
      <c r="N786" s="133"/>
      <c r="O786" s="133"/>
      <c r="P786" s="954"/>
      <c r="Q786" s="133"/>
      <c r="R786" s="133"/>
      <c r="S786" s="133"/>
      <c r="T786" s="133"/>
      <c r="U786" s="954"/>
      <c r="V786" s="133"/>
      <c r="W786" s="133"/>
      <c r="X786" s="133"/>
      <c r="Y786" s="133"/>
      <c r="Z786" s="954"/>
      <c r="AA786" s="133"/>
      <c r="AB786" s="133"/>
      <c r="AC786" s="133"/>
      <c r="AD786" s="133"/>
      <c r="AE786" s="954"/>
      <c r="AF786" s="133"/>
      <c r="AG786" s="133"/>
      <c r="AH786" s="133"/>
      <c r="AI786" s="133"/>
      <c r="AJ786" s="954"/>
      <c r="AK786" s="133"/>
      <c r="AL786" s="133"/>
      <c r="AM786" s="133"/>
      <c r="AN786" s="133"/>
      <c r="AO786" s="976">
        <v>-650</v>
      </c>
      <c r="AP786" s="133"/>
      <c r="AQ786" s="133"/>
      <c r="AR786" s="133"/>
      <c r="AS786" s="133"/>
      <c r="AT786" s="976">
        <v>-56</v>
      </c>
      <c r="AU786" s="133"/>
      <c r="AV786" s="133"/>
      <c r="AW786" s="133"/>
      <c r="AX786" s="133"/>
      <c r="AY786" s="976">
        <v>-485</v>
      </c>
      <c r="AZ786" s="133"/>
      <c r="BA786" s="133"/>
      <c r="BB786" s="133"/>
      <c r="BC786" s="133"/>
      <c r="BD786" s="976">
        <v>-571</v>
      </c>
      <c r="BE786" s="133"/>
      <c r="BF786" s="133"/>
      <c r="BG786" s="133"/>
      <c r="BH786" s="133"/>
      <c r="BI786" s="976">
        <v>-600</v>
      </c>
      <c r="BJ786" s="133"/>
      <c r="BK786" s="133"/>
      <c r="BL786" s="133"/>
      <c r="BM786" s="133"/>
      <c r="BN786" s="976">
        <v>-503</v>
      </c>
      <c r="BO786" s="133"/>
      <c r="BP786" s="133"/>
      <c r="BQ786" s="133"/>
      <c r="BR786" s="133"/>
      <c r="BS786" s="976">
        <v>-141</v>
      </c>
      <c r="BT786" s="692"/>
      <c r="BU786" s="133"/>
      <c r="BV786" s="133"/>
      <c r="BW786" s="133"/>
      <c r="BX786" s="954"/>
      <c r="BY786" s="133"/>
      <c r="BZ786" s="133"/>
      <c r="CA786" s="133"/>
      <c r="CB786" s="133"/>
      <c r="CC786" s="954"/>
      <c r="CD786" s="954"/>
      <c r="CE786" s="954"/>
      <c r="CF786" s="954"/>
      <c r="CG786" s="587"/>
    </row>
    <row r="787" spans="1:85" s="461" customFormat="1" ht="14.4" hidden="1" outlineLevel="1" x14ac:dyDescent="0.3">
      <c r="A787" s="166" t="s">
        <v>1531</v>
      </c>
      <c r="B787" s="583"/>
      <c r="C787" s="957"/>
      <c r="D787" s="957"/>
      <c r="E787" s="957"/>
      <c r="F787" s="957"/>
      <c r="G787" s="120"/>
      <c r="H787" s="120"/>
      <c r="I787" s="120"/>
      <c r="J787" s="120"/>
      <c r="K787" s="957"/>
      <c r="L787" s="120"/>
      <c r="M787" s="120"/>
      <c r="N787" s="120"/>
      <c r="O787" s="120"/>
      <c r="P787" s="957"/>
      <c r="Q787" s="120"/>
      <c r="R787" s="120"/>
      <c r="S787" s="120"/>
      <c r="T787" s="120"/>
      <c r="U787" s="957"/>
      <c r="V787" s="120"/>
      <c r="W787" s="120"/>
      <c r="X787" s="120"/>
      <c r="Y787" s="120"/>
      <c r="Z787" s="957"/>
      <c r="AA787" s="120"/>
      <c r="AB787" s="120"/>
      <c r="AC787" s="120"/>
      <c r="AD787" s="120"/>
      <c r="AE787" s="957"/>
      <c r="AF787" s="120"/>
      <c r="AG787" s="120"/>
      <c r="AH787" s="120"/>
      <c r="AI787" s="120"/>
      <c r="AJ787" s="957"/>
      <c r="AK787" s="120"/>
      <c r="AL787" s="120"/>
      <c r="AM787" s="120"/>
      <c r="AN787" s="120"/>
      <c r="AO787" s="957">
        <f>SUM(AO785:AO786)</f>
        <v>969</v>
      </c>
      <c r="AP787" s="120"/>
      <c r="AQ787" s="120"/>
      <c r="AR787" s="120"/>
      <c r="AS787" s="120"/>
      <c r="AT787" s="957">
        <f>SUM(AT785:AT786)</f>
        <v>212</v>
      </c>
      <c r="AU787" s="120"/>
      <c r="AV787" s="120"/>
      <c r="AW787" s="120"/>
      <c r="AX787" s="120"/>
      <c r="AY787" s="957">
        <f>SUM(AY785:AY786)</f>
        <v>898</v>
      </c>
      <c r="AZ787" s="120"/>
      <c r="BA787" s="120"/>
      <c r="BB787" s="120"/>
      <c r="BC787" s="120"/>
      <c r="BD787" s="957">
        <f>SUM(BD785:BD786)</f>
        <v>951</v>
      </c>
      <c r="BE787" s="120"/>
      <c r="BF787" s="120"/>
      <c r="BG787" s="120"/>
      <c r="BH787" s="120"/>
      <c r="BI787" s="957">
        <f>SUM(BI785:BI786)</f>
        <v>1003</v>
      </c>
      <c r="BJ787" s="120"/>
      <c r="BK787" s="120"/>
      <c r="BL787" s="120"/>
      <c r="BM787" s="120"/>
      <c r="BN787" s="957">
        <f>SUM(BN785:BN786)</f>
        <v>884</v>
      </c>
      <c r="BO787" s="120"/>
      <c r="BP787" s="120"/>
      <c r="BQ787" s="120"/>
      <c r="BR787" s="120"/>
      <c r="BS787" s="957">
        <f>SUM(BS785:BS786)</f>
        <v>327</v>
      </c>
      <c r="BT787" s="694"/>
      <c r="BU787" s="120"/>
      <c r="BV787" s="120"/>
      <c r="BW787" s="120"/>
      <c r="BX787" s="957"/>
      <c r="BY787" s="120"/>
      <c r="BZ787" s="120"/>
      <c r="CA787" s="120"/>
      <c r="CB787" s="120"/>
      <c r="CC787" s="957"/>
      <c r="CD787" s="957"/>
      <c r="CE787" s="957"/>
      <c r="CF787" s="957"/>
      <c r="CG787" s="615"/>
    </row>
    <row r="788" spans="1:85" s="460" customFormat="1" ht="14.4" hidden="1" outlineLevel="1" x14ac:dyDescent="0.3">
      <c r="A788" s="159" t="s">
        <v>1532</v>
      </c>
      <c r="B788" s="586"/>
      <c r="C788" s="150"/>
      <c r="D788" s="150"/>
      <c r="E788" s="150"/>
      <c r="F788" s="150"/>
      <c r="G788" s="117"/>
      <c r="H788" s="117"/>
      <c r="I788" s="117"/>
      <c r="J788" s="117"/>
      <c r="K788" s="150"/>
      <c r="L788" s="117"/>
      <c r="M788" s="117"/>
      <c r="N788" s="117"/>
      <c r="O788" s="117"/>
      <c r="P788" s="150"/>
      <c r="Q788" s="117"/>
      <c r="R788" s="117"/>
      <c r="S788" s="117"/>
      <c r="T788" s="117"/>
      <c r="U788" s="150"/>
      <c r="V788" s="117"/>
      <c r="W788" s="117"/>
      <c r="X788" s="117"/>
      <c r="Y788" s="117"/>
      <c r="Z788" s="150"/>
      <c r="AA788" s="117"/>
      <c r="AB788" s="117"/>
      <c r="AC788" s="117"/>
      <c r="AD788" s="117"/>
      <c r="AE788" s="150"/>
      <c r="AF788" s="117"/>
      <c r="AG788" s="117"/>
      <c r="AH788" s="117"/>
      <c r="AI788" s="117"/>
      <c r="AJ788" s="150"/>
      <c r="AK788" s="117"/>
      <c r="AL788" s="117"/>
      <c r="AM788" s="117"/>
      <c r="AN788" s="117"/>
      <c r="AO788" s="150">
        <f>AO746+AO753+AO760+AO767+AO774+AO781</f>
        <v>357116</v>
      </c>
      <c r="AP788" s="117"/>
      <c r="AQ788" s="117"/>
      <c r="AR788" s="117"/>
      <c r="AS788" s="117"/>
      <c r="AT788" s="150">
        <f>AT746+AT753+AT760+AT767+AT774+AT781</f>
        <v>236607</v>
      </c>
      <c r="AU788" s="117"/>
      <c r="AV788" s="117"/>
      <c r="AW788" s="117"/>
      <c r="AX788" s="117"/>
      <c r="AY788" s="150">
        <f>AY746+AY753+AY760+AY767+AY774+AY781</f>
        <v>409925</v>
      </c>
      <c r="AZ788" s="117"/>
      <c r="BA788" s="117"/>
      <c r="BB788" s="117"/>
      <c r="BC788" s="117"/>
      <c r="BD788" s="150">
        <f>BD746+BD753+BD760+BD767+BD774+BD781</f>
        <v>611230</v>
      </c>
      <c r="BE788" s="117"/>
      <c r="BF788" s="117"/>
      <c r="BG788" s="117"/>
      <c r="BH788" s="117"/>
      <c r="BI788" s="150">
        <f>BI746+BI753+BI760+BI767+BI774+BI781</f>
        <v>454695</v>
      </c>
      <c r="BJ788" s="117"/>
      <c r="BK788" s="117"/>
      <c r="BL788" s="117"/>
      <c r="BM788" s="117"/>
      <c r="BN788" s="150">
        <f>BN746+BN753+BN760+BN767+BN774+BN781</f>
        <v>375482</v>
      </c>
      <c r="BO788" s="117"/>
      <c r="BP788" s="117"/>
      <c r="BQ788" s="117"/>
      <c r="BR788" s="117"/>
      <c r="BS788" s="150">
        <f>BS746+BS753+BS760+BS767+BS774+BS781</f>
        <v>391392</v>
      </c>
      <c r="BT788" s="691"/>
      <c r="BU788" s="117"/>
      <c r="BV788" s="117"/>
      <c r="BW788" s="117"/>
      <c r="BX788" s="150"/>
      <c r="BY788" s="117"/>
      <c r="BZ788" s="117"/>
      <c r="CA788" s="117"/>
      <c r="CB788" s="117"/>
      <c r="CC788" s="150"/>
      <c r="CD788" s="150"/>
      <c r="CE788" s="150"/>
      <c r="CF788" s="150"/>
      <c r="CG788" s="587"/>
    </row>
    <row r="789" spans="1:85" s="460" customFormat="1" ht="14.4" hidden="1" outlineLevel="1" x14ac:dyDescent="0.3">
      <c r="A789" s="159" t="s">
        <v>1533</v>
      </c>
      <c r="B789" s="586"/>
      <c r="C789" s="150"/>
      <c r="D789" s="150"/>
      <c r="E789" s="150"/>
      <c r="F789" s="150"/>
      <c r="G789" s="117"/>
      <c r="H789" s="117"/>
      <c r="I789" s="117"/>
      <c r="J789" s="117"/>
      <c r="K789" s="150"/>
      <c r="L789" s="117"/>
      <c r="M789" s="117"/>
      <c r="N789" s="117"/>
      <c r="O789" s="117"/>
      <c r="P789" s="150"/>
      <c r="Q789" s="117"/>
      <c r="R789" s="117"/>
      <c r="S789" s="117"/>
      <c r="T789" s="117"/>
      <c r="U789" s="150"/>
      <c r="V789" s="117"/>
      <c r="W789" s="117"/>
      <c r="X789" s="117"/>
      <c r="Y789" s="117"/>
      <c r="Z789" s="150"/>
      <c r="AA789" s="117"/>
      <c r="AB789" s="117"/>
      <c r="AC789" s="117"/>
      <c r="AD789" s="117"/>
      <c r="AE789" s="150"/>
      <c r="AF789" s="117"/>
      <c r="AG789" s="117"/>
      <c r="AH789" s="117"/>
      <c r="AI789" s="117"/>
      <c r="AJ789" s="150"/>
      <c r="AK789" s="117"/>
      <c r="AL789" s="117"/>
      <c r="AM789" s="117"/>
      <c r="AN789" s="117"/>
      <c r="AO789" s="150">
        <f t="shared" ref="AO789:AO791" si="68">AO747+AO754+AO761+AO768+AO775+AO782</f>
        <v>-98870</v>
      </c>
      <c r="AP789" s="117"/>
      <c r="AQ789" s="117"/>
      <c r="AR789" s="117"/>
      <c r="AS789" s="117"/>
      <c r="AT789" s="150">
        <f t="shared" ref="AT789:AT791" si="69">AT747+AT754+AT761+AT768+AT775+AT782</f>
        <v>-86289</v>
      </c>
      <c r="AU789" s="117"/>
      <c r="AV789" s="117"/>
      <c r="AW789" s="117"/>
      <c r="AX789" s="117"/>
      <c r="AY789" s="150">
        <f t="shared" ref="AY789:AY791" si="70">AY747+AY754+AY761+AY768+AY775+AY782</f>
        <v>-100414</v>
      </c>
      <c r="AZ789" s="117"/>
      <c r="BA789" s="117"/>
      <c r="BB789" s="117"/>
      <c r="BC789" s="117"/>
      <c r="BD789" s="150">
        <f t="shared" ref="BD789:BD791" si="71">BD747+BD754+BD761+BD768+BD775+BD782</f>
        <v>-116782</v>
      </c>
      <c r="BE789" s="117"/>
      <c r="BF789" s="117"/>
      <c r="BG789" s="117"/>
      <c r="BH789" s="117"/>
      <c r="BI789" s="150">
        <f t="shared" ref="BI789:BI791" si="72">BI747+BI754+BI761+BI768+BI775+BI782</f>
        <v>-113563</v>
      </c>
      <c r="BJ789" s="117"/>
      <c r="BK789" s="117"/>
      <c r="BL789" s="117"/>
      <c r="BM789" s="117"/>
      <c r="BN789" s="150">
        <f t="shared" ref="BN789:BN791" si="73">BN747+BN754+BN761+BN768+BN775+BN782</f>
        <v>-102079</v>
      </c>
      <c r="BO789" s="117"/>
      <c r="BP789" s="117"/>
      <c r="BQ789" s="117"/>
      <c r="BR789" s="117"/>
      <c r="BS789" s="150">
        <f t="shared" ref="BS789:BS791" si="74">BS747+BS754+BS761+BS768+BS775+BS782</f>
        <v>-135863</v>
      </c>
      <c r="BT789" s="691"/>
      <c r="BU789" s="117"/>
      <c r="BV789" s="117"/>
      <c r="BW789" s="117"/>
      <c r="BX789" s="150"/>
      <c r="BY789" s="117"/>
      <c r="BZ789" s="117"/>
      <c r="CA789" s="117"/>
      <c r="CB789" s="117"/>
      <c r="CC789" s="150"/>
      <c r="CD789" s="150"/>
      <c r="CE789" s="150"/>
      <c r="CF789" s="150"/>
      <c r="CG789" s="587"/>
    </row>
    <row r="790" spans="1:85" s="460" customFormat="1" ht="14.4" hidden="1" outlineLevel="1" x14ac:dyDescent="0.3">
      <c r="A790" s="159" t="s">
        <v>1534</v>
      </c>
      <c r="B790" s="586"/>
      <c r="C790" s="150"/>
      <c r="D790" s="150"/>
      <c r="E790" s="150"/>
      <c r="F790" s="150"/>
      <c r="G790" s="117"/>
      <c r="H790" s="117"/>
      <c r="I790" s="117"/>
      <c r="J790" s="117"/>
      <c r="K790" s="150"/>
      <c r="L790" s="117"/>
      <c r="M790" s="117"/>
      <c r="N790" s="117"/>
      <c r="O790" s="117"/>
      <c r="P790" s="150"/>
      <c r="Q790" s="117"/>
      <c r="R790" s="117"/>
      <c r="S790" s="117"/>
      <c r="T790" s="117"/>
      <c r="U790" s="150"/>
      <c r="V790" s="117"/>
      <c r="W790" s="117"/>
      <c r="X790" s="117"/>
      <c r="Y790" s="117"/>
      <c r="Z790" s="150"/>
      <c r="AA790" s="117"/>
      <c r="AB790" s="117"/>
      <c r="AC790" s="117"/>
      <c r="AD790" s="117"/>
      <c r="AE790" s="150"/>
      <c r="AF790" s="117"/>
      <c r="AG790" s="117"/>
      <c r="AH790" s="117"/>
      <c r="AI790" s="117"/>
      <c r="AJ790" s="150"/>
      <c r="AK790" s="117"/>
      <c r="AL790" s="117"/>
      <c r="AM790" s="117"/>
      <c r="AN790" s="117"/>
      <c r="AO790" s="150">
        <f t="shared" si="68"/>
        <v>-34718</v>
      </c>
      <c r="AP790" s="117"/>
      <c r="AQ790" s="117"/>
      <c r="AR790" s="117"/>
      <c r="AS790" s="117"/>
      <c r="AT790" s="150">
        <f t="shared" si="69"/>
        <v>-21876</v>
      </c>
      <c r="AU790" s="117"/>
      <c r="AV790" s="117"/>
      <c r="AW790" s="117"/>
      <c r="AX790" s="117"/>
      <c r="AY790" s="150">
        <f t="shared" si="70"/>
        <v>-30379</v>
      </c>
      <c r="AZ790" s="117"/>
      <c r="BA790" s="117"/>
      <c r="BB790" s="117"/>
      <c r="BC790" s="117"/>
      <c r="BD790" s="150">
        <f t="shared" si="71"/>
        <v>-35208</v>
      </c>
      <c r="BE790" s="117"/>
      <c r="BF790" s="117"/>
      <c r="BG790" s="117"/>
      <c r="BH790" s="117"/>
      <c r="BI790" s="150">
        <f t="shared" si="72"/>
        <v>-34037</v>
      </c>
      <c r="BJ790" s="117"/>
      <c r="BK790" s="117"/>
      <c r="BL790" s="117"/>
      <c r="BM790" s="117"/>
      <c r="BN790" s="150">
        <f t="shared" si="73"/>
        <v>-30105</v>
      </c>
      <c r="BO790" s="117"/>
      <c r="BP790" s="117"/>
      <c r="BQ790" s="117"/>
      <c r="BR790" s="117"/>
      <c r="BS790" s="150">
        <f t="shared" si="74"/>
        <v>-35725</v>
      </c>
      <c r="BT790" s="691"/>
      <c r="BU790" s="117"/>
      <c r="BV790" s="117"/>
      <c r="BW790" s="117"/>
      <c r="BX790" s="150"/>
      <c r="BY790" s="117"/>
      <c r="BZ790" s="117"/>
      <c r="CA790" s="117"/>
      <c r="CB790" s="117"/>
      <c r="CC790" s="150"/>
      <c r="CD790" s="150"/>
      <c r="CE790" s="150"/>
      <c r="CF790" s="150"/>
      <c r="CG790" s="587"/>
    </row>
    <row r="791" spans="1:85" s="460" customFormat="1" ht="14.4" hidden="1" outlineLevel="1" x14ac:dyDescent="0.3">
      <c r="A791" s="262" t="s">
        <v>1535</v>
      </c>
      <c r="B791" s="588"/>
      <c r="C791" s="954"/>
      <c r="D791" s="954"/>
      <c r="E791" s="954"/>
      <c r="F791" s="954"/>
      <c r="G791" s="133"/>
      <c r="H791" s="133"/>
      <c r="I791" s="133"/>
      <c r="J791" s="133"/>
      <c r="K791" s="954"/>
      <c r="L791" s="133"/>
      <c r="M791" s="133"/>
      <c r="N791" s="133"/>
      <c r="O791" s="133"/>
      <c r="P791" s="954"/>
      <c r="Q791" s="133"/>
      <c r="R791" s="133"/>
      <c r="S791" s="133"/>
      <c r="T791" s="133"/>
      <c r="U791" s="954"/>
      <c r="V791" s="133"/>
      <c r="W791" s="133"/>
      <c r="X791" s="133"/>
      <c r="Y791" s="133"/>
      <c r="Z791" s="954"/>
      <c r="AA791" s="133"/>
      <c r="AB791" s="133"/>
      <c r="AC791" s="133"/>
      <c r="AD791" s="133"/>
      <c r="AE791" s="954"/>
      <c r="AF791" s="133"/>
      <c r="AG791" s="133"/>
      <c r="AH791" s="133"/>
      <c r="AI791" s="133"/>
      <c r="AJ791" s="954"/>
      <c r="AK791" s="133"/>
      <c r="AL791" s="133"/>
      <c r="AM791" s="133"/>
      <c r="AN791" s="133"/>
      <c r="AO791" s="954">
        <f t="shared" si="68"/>
        <v>-74932</v>
      </c>
      <c r="AP791" s="133"/>
      <c r="AQ791" s="133"/>
      <c r="AR791" s="133"/>
      <c r="AS791" s="133"/>
      <c r="AT791" s="954">
        <f t="shared" si="69"/>
        <v>-44623</v>
      </c>
      <c r="AU791" s="133"/>
      <c r="AV791" s="133"/>
      <c r="AW791" s="133"/>
      <c r="AX791" s="133"/>
      <c r="AY791" s="954">
        <f t="shared" si="70"/>
        <v>-91719</v>
      </c>
      <c r="AZ791" s="133"/>
      <c r="BA791" s="133"/>
      <c r="BB791" s="133"/>
      <c r="BC791" s="133"/>
      <c r="BD791" s="954">
        <f t="shared" si="71"/>
        <v>-151825</v>
      </c>
      <c r="BE791" s="133"/>
      <c r="BF791" s="133"/>
      <c r="BG791" s="133"/>
      <c r="BH791" s="133"/>
      <c r="BI791" s="954">
        <f t="shared" si="72"/>
        <v>-96946</v>
      </c>
      <c r="BJ791" s="133"/>
      <c r="BK791" s="133"/>
      <c r="BL791" s="133"/>
      <c r="BM791" s="133"/>
      <c r="BN791" s="954">
        <f t="shared" si="73"/>
        <v>-87956</v>
      </c>
      <c r="BO791" s="133"/>
      <c r="BP791" s="133"/>
      <c r="BQ791" s="133"/>
      <c r="BR791" s="133"/>
      <c r="BS791" s="954">
        <f t="shared" si="74"/>
        <v>-76122</v>
      </c>
      <c r="BT791" s="692"/>
      <c r="BU791" s="133"/>
      <c r="BV791" s="133"/>
      <c r="BW791" s="133"/>
      <c r="BX791" s="954"/>
      <c r="BY791" s="133"/>
      <c r="BZ791" s="133"/>
      <c r="CA791" s="133"/>
      <c r="CB791" s="133"/>
      <c r="CC791" s="954"/>
      <c r="CD791" s="954"/>
      <c r="CE791" s="954"/>
      <c r="CF791" s="954"/>
      <c r="CG791" s="587"/>
    </row>
    <row r="792" spans="1:85" s="461" customFormat="1" ht="14.4" hidden="1" outlineLevel="1" x14ac:dyDescent="0.3">
      <c r="A792" s="166" t="s">
        <v>1536</v>
      </c>
      <c r="B792" s="583"/>
      <c r="C792" s="957"/>
      <c r="D792" s="957"/>
      <c r="E792" s="957"/>
      <c r="F792" s="957"/>
      <c r="G792" s="120"/>
      <c r="H792" s="120"/>
      <c r="I792" s="120"/>
      <c r="J792" s="120"/>
      <c r="K792" s="957"/>
      <c r="L792" s="120"/>
      <c r="M792" s="120"/>
      <c r="N792" s="120"/>
      <c r="O792" s="120"/>
      <c r="P792" s="957"/>
      <c r="Q792" s="120"/>
      <c r="R792" s="120"/>
      <c r="S792" s="120"/>
      <c r="T792" s="120"/>
      <c r="U792" s="957"/>
      <c r="V792" s="120"/>
      <c r="W792" s="120"/>
      <c r="X792" s="120"/>
      <c r="Y792" s="120"/>
      <c r="Z792" s="957"/>
      <c r="AA792" s="120"/>
      <c r="AB792" s="120"/>
      <c r="AC792" s="120"/>
      <c r="AD792" s="120"/>
      <c r="AE792" s="957"/>
      <c r="AF792" s="120"/>
      <c r="AG792" s="120"/>
      <c r="AH792" s="120"/>
      <c r="AI792" s="120"/>
      <c r="AJ792" s="957"/>
      <c r="AK792" s="120"/>
      <c r="AL792" s="120"/>
      <c r="AM792" s="120"/>
      <c r="AN792" s="120"/>
      <c r="AO792" s="957">
        <f>SUM(AO788:AO791)</f>
        <v>148596</v>
      </c>
      <c r="AP792" s="120"/>
      <c r="AQ792" s="120"/>
      <c r="AR792" s="120"/>
      <c r="AS792" s="120"/>
      <c r="AT792" s="957">
        <f>SUM(AT788:AT791)</f>
        <v>83819</v>
      </c>
      <c r="AU792" s="120"/>
      <c r="AV792" s="120"/>
      <c r="AW792" s="120"/>
      <c r="AX792" s="120"/>
      <c r="AY792" s="957">
        <f>SUM(AY788:AY791)</f>
        <v>187413</v>
      </c>
      <c r="AZ792" s="120"/>
      <c r="BA792" s="120"/>
      <c r="BB792" s="120"/>
      <c r="BC792" s="120"/>
      <c r="BD792" s="957">
        <f>SUM(BD788:BD791)</f>
        <v>307415</v>
      </c>
      <c r="BE792" s="120"/>
      <c r="BF792" s="120"/>
      <c r="BG792" s="120"/>
      <c r="BH792" s="120"/>
      <c r="BI792" s="957">
        <f>SUM(BI788:BI791)</f>
        <v>210149</v>
      </c>
      <c r="BJ792" s="120"/>
      <c r="BK792" s="120"/>
      <c r="BL792" s="120"/>
      <c r="BM792" s="120"/>
      <c r="BN792" s="957">
        <f>SUM(BN788:BN791)</f>
        <v>155342</v>
      </c>
      <c r="BO792" s="120"/>
      <c r="BP792" s="120"/>
      <c r="BQ792" s="120"/>
      <c r="BR792" s="120"/>
      <c r="BS792" s="957">
        <f>SUM(BS788:BS791)</f>
        <v>143682</v>
      </c>
      <c r="BT792" s="694"/>
      <c r="BU792" s="120"/>
      <c r="BV792" s="120"/>
      <c r="BW792" s="120"/>
      <c r="BX792" s="957"/>
      <c r="BY792" s="120"/>
      <c r="BZ792" s="120"/>
      <c r="CA792" s="120"/>
      <c r="CB792" s="120"/>
      <c r="CC792" s="957"/>
      <c r="CD792" s="957"/>
      <c r="CE792" s="957"/>
      <c r="CF792" s="957"/>
      <c r="CG792" s="615"/>
    </row>
    <row r="793" spans="1:85" s="460" customFormat="1" ht="14.4" hidden="1" outlineLevel="1" x14ac:dyDescent="0.3">
      <c r="A793" s="262" t="s">
        <v>1537</v>
      </c>
      <c r="B793" s="588"/>
      <c r="C793" s="954"/>
      <c r="D793" s="954"/>
      <c r="E793" s="954"/>
      <c r="F793" s="954"/>
      <c r="G793" s="133"/>
      <c r="H793" s="133"/>
      <c r="I793" s="133"/>
      <c r="J793" s="133"/>
      <c r="K793" s="954"/>
      <c r="L793" s="133"/>
      <c r="M793" s="133"/>
      <c r="N793" s="133"/>
      <c r="O793" s="133"/>
      <c r="P793" s="954"/>
      <c r="Q793" s="133"/>
      <c r="R793" s="133"/>
      <c r="S793" s="133"/>
      <c r="T793" s="133"/>
      <c r="U793" s="954"/>
      <c r="V793" s="133"/>
      <c r="W793" s="133"/>
      <c r="X793" s="133"/>
      <c r="Y793" s="133"/>
      <c r="Z793" s="954"/>
      <c r="AA793" s="133"/>
      <c r="AB793" s="133"/>
      <c r="AC793" s="133"/>
      <c r="AD793" s="133"/>
      <c r="AE793" s="954"/>
      <c r="AF793" s="133"/>
      <c r="AG793" s="133"/>
      <c r="AH793" s="133"/>
      <c r="AI793" s="133"/>
      <c r="AJ793" s="954"/>
      <c r="AK793" s="133"/>
      <c r="AL793" s="133"/>
      <c r="AM793" s="133"/>
      <c r="AN793" s="133"/>
      <c r="AO793" s="954">
        <f>AO751+AO758+AO765+AO772+AO779+AO786</f>
        <v>-68201</v>
      </c>
      <c r="AP793" s="133"/>
      <c r="AQ793" s="133"/>
      <c r="AR793" s="133"/>
      <c r="AS793" s="133"/>
      <c r="AT793" s="954">
        <f>AT751+AT758+AT765+AT772+AT779+AT786</f>
        <v>-35376</v>
      </c>
      <c r="AU793" s="133"/>
      <c r="AV793" s="133"/>
      <c r="AW793" s="133"/>
      <c r="AX793" s="133"/>
      <c r="AY793" s="954">
        <f>AY751+AY758+AY765+AY772+AY779+AY786</f>
        <v>-83529</v>
      </c>
      <c r="AZ793" s="133"/>
      <c r="BA793" s="133"/>
      <c r="BB793" s="133"/>
      <c r="BC793" s="133"/>
      <c r="BD793" s="954">
        <f>BD751+BD758+BD765+BD772+BD779+BD786</f>
        <v>-136943</v>
      </c>
      <c r="BE793" s="133"/>
      <c r="BF793" s="133"/>
      <c r="BG793" s="133"/>
      <c r="BH793" s="133"/>
      <c r="BI793" s="954">
        <f>BI751+BI758+BI765+BI772+BI779+BI786</f>
        <v>-91392</v>
      </c>
      <c r="BJ793" s="133"/>
      <c r="BK793" s="133"/>
      <c r="BL793" s="133"/>
      <c r="BM793" s="133"/>
      <c r="BN793" s="954">
        <f>BN751+BN758+BN765+BN772+BN779+BN786</f>
        <v>-59454</v>
      </c>
      <c r="BO793" s="133"/>
      <c r="BP793" s="133"/>
      <c r="BQ793" s="133"/>
      <c r="BR793" s="133"/>
      <c r="BS793" s="954">
        <f>BS751+BS758+BS765+BS772+BS779+BS786</f>
        <v>-50938</v>
      </c>
      <c r="BT793" s="692"/>
      <c r="BU793" s="133"/>
      <c r="BV793" s="133"/>
      <c r="BW793" s="133"/>
      <c r="BX793" s="954"/>
      <c r="BY793" s="133"/>
      <c r="BZ793" s="133"/>
      <c r="CA793" s="133"/>
      <c r="CB793" s="133"/>
      <c r="CC793" s="954"/>
      <c r="CD793" s="954"/>
      <c r="CE793" s="954"/>
      <c r="CF793" s="954"/>
      <c r="CG793" s="587"/>
    </row>
    <row r="794" spans="1:85" s="461" customFormat="1" ht="14.4" hidden="1" outlineLevel="1" x14ac:dyDescent="0.3">
      <c r="A794" s="166" t="s">
        <v>1538</v>
      </c>
      <c r="B794" s="583"/>
      <c r="C794" s="957"/>
      <c r="D794" s="957"/>
      <c r="E794" s="957"/>
      <c r="F794" s="957"/>
      <c r="G794" s="120"/>
      <c r="H794" s="120"/>
      <c r="I794" s="120"/>
      <c r="J794" s="120"/>
      <c r="K794" s="957"/>
      <c r="L794" s="120"/>
      <c r="M794" s="120"/>
      <c r="N794" s="120"/>
      <c r="O794" s="120"/>
      <c r="P794" s="957"/>
      <c r="Q794" s="120"/>
      <c r="R794" s="120"/>
      <c r="S794" s="120"/>
      <c r="T794" s="120"/>
      <c r="U794" s="957"/>
      <c r="V794" s="120"/>
      <c r="W794" s="120"/>
      <c r="X794" s="120"/>
      <c r="Y794" s="120"/>
      <c r="Z794" s="957"/>
      <c r="AA794" s="120"/>
      <c r="AB794" s="120"/>
      <c r="AC794" s="120"/>
      <c r="AD794" s="120"/>
      <c r="AE794" s="957"/>
      <c r="AF794" s="120"/>
      <c r="AG794" s="120"/>
      <c r="AH794" s="120"/>
      <c r="AI794" s="120"/>
      <c r="AJ794" s="957"/>
      <c r="AK794" s="120"/>
      <c r="AL794" s="120"/>
      <c r="AM794" s="120"/>
      <c r="AN794" s="120"/>
      <c r="AO794" s="957">
        <f>SUM(AO792:AO793)</f>
        <v>80395</v>
      </c>
      <c r="AP794" s="120"/>
      <c r="AQ794" s="120"/>
      <c r="AR794" s="120"/>
      <c r="AS794" s="120"/>
      <c r="AT794" s="957">
        <f>SUM(AT792:AT793)</f>
        <v>48443</v>
      </c>
      <c r="AU794" s="120"/>
      <c r="AV794" s="120"/>
      <c r="AW794" s="120"/>
      <c r="AX794" s="120"/>
      <c r="AY794" s="957">
        <f>SUM(AY792:AY793)</f>
        <v>103884</v>
      </c>
      <c r="AZ794" s="120"/>
      <c r="BA794" s="120"/>
      <c r="BB794" s="120"/>
      <c r="BC794" s="120"/>
      <c r="BD794" s="957">
        <f>SUM(BD792:BD793)</f>
        <v>170472</v>
      </c>
      <c r="BE794" s="120"/>
      <c r="BF794" s="120"/>
      <c r="BG794" s="120"/>
      <c r="BH794" s="120"/>
      <c r="BI794" s="957">
        <f>SUM(BI792:BI793)</f>
        <v>118757</v>
      </c>
      <c r="BJ794" s="120"/>
      <c r="BK794" s="120"/>
      <c r="BL794" s="120"/>
      <c r="BM794" s="120"/>
      <c r="BN794" s="957">
        <f>SUM(BN792:BN793)</f>
        <v>95888</v>
      </c>
      <c r="BO794" s="120"/>
      <c r="BP794" s="120"/>
      <c r="BQ794" s="120"/>
      <c r="BR794" s="120"/>
      <c r="BS794" s="957">
        <f>SUM(BS792:BS793)</f>
        <v>92744</v>
      </c>
      <c r="BT794" s="694"/>
      <c r="BU794" s="120"/>
      <c r="BV794" s="120"/>
      <c r="BW794" s="120"/>
      <c r="BX794" s="957"/>
      <c r="BY794" s="120"/>
      <c r="BZ794" s="120"/>
      <c r="CA794" s="120"/>
      <c r="CB794" s="120"/>
      <c r="CC794" s="957"/>
      <c r="CD794" s="957"/>
      <c r="CE794" s="957"/>
      <c r="CF794" s="957"/>
      <c r="CG794" s="615"/>
    </row>
    <row r="795" spans="1:85" s="461" customFormat="1" ht="14.4" hidden="1" outlineLevel="1" x14ac:dyDescent="0.3">
      <c r="A795" s="159"/>
      <c r="B795" s="583"/>
      <c r="C795" s="957"/>
      <c r="D795" s="957"/>
      <c r="E795" s="957"/>
      <c r="F795" s="957"/>
      <c r="G795" s="120"/>
      <c r="H795" s="120"/>
      <c r="I795" s="120"/>
      <c r="J795" s="120"/>
      <c r="K795" s="957"/>
      <c r="L795" s="120"/>
      <c r="M795" s="120"/>
      <c r="N795" s="120"/>
      <c r="O795" s="120"/>
      <c r="P795" s="957"/>
      <c r="Q795" s="120"/>
      <c r="R795" s="120"/>
      <c r="S795" s="120"/>
      <c r="T795" s="120"/>
      <c r="U795" s="957"/>
      <c r="V795" s="120"/>
      <c r="W795" s="120"/>
      <c r="X795" s="120"/>
      <c r="Y795" s="120"/>
      <c r="Z795" s="957"/>
      <c r="AA795" s="120"/>
      <c r="AB795" s="120"/>
      <c r="AC795" s="120"/>
      <c r="AD795" s="120"/>
      <c r="AE795" s="957"/>
      <c r="AF795" s="120"/>
      <c r="AG795" s="120"/>
      <c r="AH795" s="120"/>
      <c r="AI795" s="120"/>
      <c r="AJ795" s="957"/>
      <c r="AK795" s="120"/>
      <c r="AL795" s="120"/>
      <c r="AM795" s="120"/>
      <c r="AN795" s="120"/>
      <c r="AO795" s="957"/>
      <c r="AP795" s="120"/>
      <c r="AQ795" s="120"/>
      <c r="AR795" s="120"/>
      <c r="AS795" s="120"/>
      <c r="AT795" s="957"/>
      <c r="AU795" s="120"/>
      <c r="AV795" s="120"/>
      <c r="AW795" s="120"/>
      <c r="AX795" s="120"/>
      <c r="AY795" s="957"/>
      <c r="AZ795" s="120"/>
      <c r="BA795" s="120"/>
      <c r="BB795" s="120"/>
      <c r="BC795" s="120"/>
      <c r="BD795" s="957"/>
      <c r="BE795" s="120"/>
      <c r="BF795" s="120"/>
      <c r="BG795" s="120"/>
      <c r="BH795" s="120"/>
      <c r="BI795" s="957"/>
      <c r="BJ795" s="120"/>
      <c r="BK795" s="120"/>
      <c r="BL795" s="120"/>
      <c r="BM795" s="120"/>
      <c r="BN795" s="957"/>
      <c r="BO795" s="120"/>
      <c r="BP795" s="120"/>
      <c r="BQ795" s="120"/>
      <c r="BR795" s="120"/>
      <c r="BS795" s="957"/>
      <c r="BT795" s="694"/>
      <c r="BU795" s="120"/>
      <c r="BV795" s="120"/>
      <c r="BW795" s="120"/>
      <c r="BX795" s="957"/>
      <c r="BY795" s="120"/>
      <c r="BZ795" s="120"/>
      <c r="CA795" s="120"/>
      <c r="CB795" s="120"/>
      <c r="CC795" s="957"/>
      <c r="CD795" s="957"/>
      <c r="CE795" s="957"/>
      <c r="CF795" s="957"/>
      <c r="CG795" s="615"/>
    </row>
    <row r="796" spans="1:85" s="460" customFormat="1" ht="14.4" hidden="1" outlineLevel="1" x14ac:dyDescent="0.3">
      <c r="A796" s="159" t="s">
        <v>1539</v>
      </c>
      <c r="B796" s="586"/>
      <c r="C796" s="150"/>
      <c r="D796" s="150"/>
      <c r="E796" s="150"/>
      <c r="F796" s="150"/>
      <c r="G796" s="117"/>
      <c r="H796" s="117"/>
      <c r="I796" s="117"/>
      <c r="J796" s="117"/>
      <c r="K796" s="150"/>
      <c r="L796" s="117"/>
      <c r="M796" s="117"/>
      <c r="N796" s="117"/>
      <c r="O796" s="117"/>
      <c r="P796" s="150"/>
      <c r="Q796" s="117"/>
      <c r="R796" s="117"/>
      <c r="S796" s="117"/>
      <c r="T796" s="117"/>
      <c r="U796" s="150"/>
      <c r="V796" s="117"/>
      <c r="W796" s="117"/>
      <c r="X796" s="117"/>
      <c r="Y796" s="117"/>
      <c r="Z796" s="150"/>
      <c r="AA796" s="117"/>
      <c r="AB796" s="117"/>
      <c r="AC796" s="117"/>
      <c r="AD796" s="117"/>
      <c r="AE796" s="150"/>
      <c r="AF796" s="117"/>
      <c r="AG796" s="117"/>
      <c r="AH796" s="117"/>
      <c r="AI796" s="117"/>
      <c r="AJ796" s="150"/>
      <c r="AK796" s="117"/>
      <c r="AL796" s="117"/>
      <c r="AM796" s="117"/>
      <c r="AN796" s="117"/>
      <c r="AO796" s="975">
        <v>85179</v>
      </c>
      <c r="AP796" s="117"/>
      <c r="AQ796" s="117"/>
      <c r="AR796" s="117"/>
      <c r="AS796" s="117"/>
      <c r="AT796" s="975">
        <v>53309</v>
      </c>
      <c r="AU796" s="117"/>
      <c r="AV796" s="117"/>
      <c r="AW796" s="117"/>
      <c r="AX796" s="117"/>
      <c r="AY796" s="975">
        <v>80297</v>
      </c>
      <c r="AZ796" s="117"/>
      <c r="BA796" s="117"/>
      <c r="BB796" s="117"/>
      <c r="BC796" s="117"/>
      <c r="BD796" s="975">
        <v>106114</v>
      </c>
      <c r="BE796" s="117"/>
      <c r="BF796" s="117"/>
      <c r="BG796" s="117"/>
      <c r="BH796" s="117"/>
      <c r="BI796" s="975">
        <v>74758</v>
      </c>
      <c r="BJ796" s="117"/>
      <c r="BK796" s="117"/>
      <c r="BL796" s="117"/>
      <c r="BM796" s="117"/>
      <c r="BN796" s="975">
        <v>65221</v>
      </c>
      <c r="BO796" s="117"/>
      <c r="BP796" s="117"/>
      <c r="BQ796" s="117"/>
      <c r="BR796" s="117"/>
      <c r="BS796" s="975">
        <v>47004</v>
      </c>
      <c r="BT796" s="691"/>
      <c r="BU796" s="117"/>
      <c r="BV796" s="117"/>
      <c r="BW796" s="117"/>
      <c r="BX796" s="150"/>
      <c r="BY796" s="117"/>
      <c r="BZ796" s="117"/>
      <c r="CA796" s="117"/>
      <c r="CB796" s="117"/>
      <c r="CC796" s="150"/>
      <c r="CD796" s="150"/>
      <c r="CE796" s="150"/>
      <c r="CF796" s="150"/>
      <c r="CG796" s="587"/>
    </row>
    <row r="797" spans="1:85" s="460" customFormat="1" ht="14.4" hidden="1" outlineLevel="1" x14ac:dyDescent="0.3">
      <c r="A797" s="159" t="s">
        <v>1540</v>
      </c>
      <c r="B797" s="586"/>
      <c r="C797" s="150"/>
      <c r="D797" s="150"/>
      <c r="E797" s="150"/>
      <c r="F797" s="150"/>
      <c r="G797" s="117"/>
      <c r="H797" s="117"/>
      <c r="I797" s="117"/>
      <c r="J797" s="117"/>
      <c r="K797" s="150"/>
      <c r="L797" s="117"/>
      <c r="M797" s="117"/>
      <c r="N797" s="117"/>
      <c r="O797" s="117"/>
      <c r="P797" s="150"/>
      <c r="Q797" s="117"/>
      <c r="R797" s="117"/>
      <c r="S797" s="117"/>
      <c r="T797" s="117"/>
      <c r="U797" s="150"/>
      <c r="V797" s="117"/>
      <c r="W797" s="117"/>
      <c r="X797" s="117"/>
      <c r="Y797" s="117"/>
      <c r="Z797" s="150"/>
      <c r="AA797" s="117"/>
      <c r="AB797" s="117"/>
      <c r="AC797" s="117"/>
      <c r="AD797" s="117"/>
      <c r="AE797" s="150"/>
      <c r="AF797" s="117"/>
      <c r="AG797" s="117"/>
      <c r="AH797" s="117"/>
      <c r="AI797" s="117"/>
      <c r="AJ797" s="150"/>
      <c r="AK797" s="117"/>
      <c r="AL797" s="117"/>
      <c r="AM797" s="117"/>
      <c r="AN797" s="117"/>
      <c r="AO797" s="975">
        <v>-22302</v>
      </c>
      <c r="AP797" s="117"/>
      <c r="AQ797" s="117"/>
      <c r="AR797" s="117"/>
      <c r="AS797" s="117"/>
      <c r="AT797" s="975">
        <v>-19525</v>
      </c>
      <c r="AU797" s="117"/>
      <c r="AV797" s="117"/>
      <c r="AW797" s="117"/>
      <c r="AX797" s="117"/>
      <c r="AY797" s="975">
        <v>-23354</v>
      </c>
      <c r="AZ797" s="117"/>
      <c r="BA797" s="117"/>
      <c r="BB797" s="117"/>
      <c r="BC797" s="117"/>
      <c r="BD797" s="975">
        <v>-28046</v>
      </c>
      <c r="BE797" s="117"/>
      <c r="BF797" s="117"/>
      <c r="BG797" s="117"/>
      <c r="BH797" s="117"/>
      <c r="BI797" s="975">
        <v>-21467</v>
      </c>
      <c r="BJ797" s="117"/>
      <c r="BK797" s="117"/>
      <c r="BL797" s="117"/>
      <c r="BM797" s="117"/>
      <c r="BN797" s="975">
        <v>-19945</v>
      </c>
      <c r="BO797" s="117"/>
      <c r="BP797" s="117"/>
      <c r="BQ797" s="117"/>
      <c r="BR797" s="117"/>
      <c r="BS797" s="975">
        <v>-13942</v>
      </c>
      <c r="BT797" s="691"/>
      <c r="BU797" s="117"/>
      <c r="BV797" s="117"/>
      <c r="BW797" s="117"/>
      <c r="BX797" s="150"/>
      <c r="BY797" s="117"/>
      <c r="BZ797" s="117"/>
      <c r="CA797" s="117"/>
      <c r="CB797" s="117"/>
      <c r="CC797" s="150"/>
      <c r="CD797" s="150"/>
      <c r="CE797" s="150"/>
      <c r="CF797" s="150"/>
      <c r="CG797" s="587"/>
    </row>
    <row r="798" spans="1:85" s="460" customFormat="1" ht="14.4" hidden="1" outlineLevel="1" x14ac:dyDescent="0.3">
      <c r="A798" s="159" t="s">
        <v>1541</v>
      </c>
      <c r="B798" s="586"/>
      <c r="C798" s="150"/>
      <c r="D798" s="150"/>
      <c r="E798" s="150"/>
      <c r="F798" s="150"/>
      <c r="G798" s="117"/>
      <c r="H798" s="117"/>
      <c r="I798" s="117"/>
      <c r="J798" s="117"/>
      <c r="K798" s="150"/>
      <c r="L798" s="117"/>
      <c r="M798" s="117"/>
      <c r="N798" s="117"/>
      <c r="O798" s="117"/>
      <c r="P798" s="150"/>
      <c r="Q798" s="117"/>
      <c r="R798" s="117"/>
      <c r="S798" s="117"/>
      <c r="T798" s="117"/>
      <c r="U798" s="150"/>
      <c r="V798" s="117"/>
      <c r="W798" s="117"/>
      <c r="X798" s="117"/>
      <c r="Y798" s="117"/>
      <c r="Z798" s="150"/>
      <c r="AA798" s="117"/>
      <c r="AB798" s="117"/>
      <c r="AC798" s="117"/>
      <c r="AD798" s="117"/>
      <c r="AE798" s="150"/>
      <c r="AF798" s="117"/>
      <c r="AG798" s="117"/>
      <c r="AH798" s="117"/>
      <c r="AI798" s="117"/>
      <c r="AJ798" s="150"/>
      <c r="AK798" s="117"/>
      <c r="AL798" s="117"/>
      <c r="AM798" s="117"/>
      <c r="AN798" s="117"/>
      <c r="AO798" s="975">
        <v>-14340</v>
      </c>
      <c r="AP798" s="117"/>
      <c r="AQ798" s="117"/>
      <c r="AR798" s="117"/>
      <c r="AS798" s="117"/>
      <c r="AT798" s="975">
        <v>-7138</v>
      </c>
      <c r="AU798" s="117"/>
      <c r="AV798" s="117"/>
      <c r="AW798" s="117"/>
      <c r="AX798" s="117"/>
      <c r="AY798" s="975">
        <v>-5066</v>
      </c>
      <c r="AZ798" s="117"/>
      <c r="BA798" s="117"/>
      <c r="BB798" s="117"/>
      <c r="BC798" s="117"/>
      <c r="BD798" s="975">
        <v>-4127</v>
      </c>
      <c r="BE798" s="117"/>
      <c r="BF798" s="117"/>
      <c r="BG798" s="117"/>
      <c r="BH798" s="117"/>
      <c r="BI798" s="975">
        <v>-3617</v>
      </c>
      <c r="BJ798" s="117"/>
      <c r="BK798" s="117"/>
      <c r="BL798" s="117"/>
      <c r="BM798" s="117"/>
      <c r="BN798" s="975">
        <v>-1560</v>
      </c>
      <c r="BO798" s="117"/>
      <c r="BP798" s="117"/>
      <c r="BQ798" s="117"/>
      <c r="BR798" s="117"/>
      <c r="BS798" s="975">
        <v>-995</v>
      </c>
      <c r="BT798" s="691"/>
      <c r="BU798" s="117"/>
      <c r="BV798" s="117"/>
      <c r="BW798" s="117"/>
      <c r="BX798" s="150"/>
      <c r="BY798" s="117"/>
      <c r="BZ798" s="117"/>
      <c r="CA798" s="117"/>
      <c r="CB798" s="117"/>
      <c r="CC798" s="150"/>
      <c r="CD798" s="150"/>
      <c r="CE798" s="150"/>
      <c r="CF798" s="150"/>
      <c r="CG798" s="587"/>
    </row>
    <row r="799" spans="1:85" s="460" customFormat="1" ht="14.4" hidden="1" outlineLevel="1" x14ac:dyDescent="0.3">
      <c r="A799" s="262" t="s">
        <v>1542</v>
      </c>
      <c r="B799" s="588"/>
      <c r="C799" s="954"/>
      <c r="D799" s="954"/>
      <c r="E799" s="954"/>
      <c r="F799" s="954"/>
      <c r="G799" s="133"/>
      <c r="H799" s="133"/>
      <c r="I799" s="133"/>
      <c r="J799" s="133"/>
      <c r="K799" s="954"/>
      <c r="L799" s="133"/>
      <c r="M799" s="133"/>
      <c r="N799" s="133"/>
      <c r="O799" s="133"/>
      <c r="P799" s="954"/>
      <c r="Q799" s="133"/>
      <c r="R799" s="133"/>
      <c r="S799" s="133"/>
      <c r="T799" s="133"/>
      <c r="U799" s="954"/>
      <c r="V799" s="133"/>
      <c r="W799" s="133"/>
      <c r="X799" s="133"/>
      <c r="Y799" s="133"/>
      <c r="Z799" s="954"/>
      <c r="AA799" s="133"/>
      <c r="AB799" s="133"/>
      <c r="AC799" s="133"/>
      <c r="AD799" s="133"/>
      <c r="AE799" s="954"/>
      <c r="AF799" s="133"/>
      <c r="AG799" s="133"/>
      <c r="AH799" s="133"/>
      <c r="AI799" s="133"/>
      <c r="AJ799" s="954"/>
      <c r="AK799" s="133"/>
      <c r="AL799" s="133"/>
      <c r="AM799" s="133"/>
      <c r="AN799" s="133"/>
      <c r="AO799" s="976">
        <v>-14561</v>
      </c>
      <c r="AP799" s="133"/>
      <c r="AQ799" s="133"/>
      <c r="AR799" s="133"/>
      <c r="AS799" s="133"/>
      <c r="AT799" s="976">
        <v>-7994</v>
      </c>
      <c r="AU799" s="133"/>
      <c r="AV799" s="133"/>
      <c r="AW799" s="133"/>
      <c r="AX799" s="133"/>
      <c r="AY799" s="976">
        <v>-15563</v>
      </c>
      <c r="AZ799" s="133"/>
      <c r="BA799" s="133"/>
      <c r="BB799" s="133"/>
      <c r="BC799" s="133"/>
      <c r="BD799" s="976">
        <v>-22182</v>
      </c>
      <c r="BE799" s="133"/>
      <c r="BF799" s="133"/>
      <c r="BG799" s="133"/>
      <c r="BH799" s="133"/>
      <c r="BI799" s="976">
        <v>-14902</v>
      </c>
      <c r="BJ799" s="133"/>
      <c r="BK799" s="133"/>
      <c r="BL799" s="133"/>
      <c r="BM799" s="133"/>
      <c r="BN799" s="976">
        <v>-13115</v>
      </c>
      <c r="BO799" s="133"/>
      <c r="BP799" s="133"/>
      <c r="BQ799" s="133"/>
      <c r="BR799" s="133"/>
      <c r="BS799" s="976">
        <v>-9620</v>
      </c>
      <c r="BT799" s="692"/>
      <c r="BU799" s="133"/>
      <c r="BV799" s="133"/>
      <c r="BW799" s="133"/>
      <c r="BX799" s="954"/>
      <c r="BY799" s="133"/>
      <c r="BZ799" s="133"/>
      <c r="CA799" s="133"/>
      <c r="CB799" s="133"/>
      <c r="CC799" s="954"/>
      <c r="CD799" s="954"/>
      <c r="CE799" s="954"/>
      <c r="CF799" s="954"/>
      <c r="CG799" s="587"/>
    </row>
    <row r="800" spans="1:85" s="461" customFormat="1" ht="14.4" hidden="1" outlineLevel="1" x14ac:dyDescent="0.3">
      <c r="A800" s="166" t="s">
        <v>1543</v>
      </c>
      <c r="B800" s="583"/>
      <c r="C800" s="957"/>
      <c r="D800" s="957"/>
      <c r="E800" s="957"/>
      <c r="F800" s="957"/>
      <c r="G800" s="120"/>
      <c r="H800" s="120"/>
      <c r="I800" s="120"/>
      <c r="J800" s="120"/>
      <c r="K800" s="957"/>
      <c r="L800" s="120"/>
      <c r="M800" s="120"/>
      <c r="N800" s="120"/>
      <c r="O800" s="120"/>
      <c r="P800" s="957"/>
      <c r="Q800" s="120"/>
      <c r="R800" s="120"/>
      <c r="S800" s="120"/>
      <c r="T800" s="120"/>
      <c r="U800" s="957"/>
      <c r="V800" s="120"/>
      <c r="W800" s="120"/>
      <c r="X800" s="120"/>
      <c r="Y800" s="120"/>
      <c r="Z800" s="957"/>
      <c r="AA800" s="120"/>
      <c r="AB800" s="120"/>
      <c r="AC800" s="120"/>
      <c r="AD800" s="120"/>
      <c r="AE800" s="957"/>
      <c r="AF800" s="120"/>
      <c r="AG800" s="120"/>
      <c r="AH800" s="120"/>
      <c r="AI800" s="120"/>
      <c r="AJ800" s="957"/>
      <c r="AK800" s="120"/>
      <c r="AL800" s="120"/>
      <c r="AM800" s="120"/>
      <c r="AN800" s="120"/>
      <c r="AO800" s="957">
        <f>SUM(AO796:AO799)</f>
        <v>33976</v>
      </c>
      <c r="AP800" s="120"/>
      <c r="AQ800" s="120"/>
      <c r="AR800" s="120"/>
      <c r="AS800" s="120"/>
      <c r="AT800" s="957">
        <f>SUM(AT796:AT799)</f>
        <v>18652</v>
      </c>
      <c r="AU800" s="120"/>
      <c r="AV800" s="120"/>
      <c r="AW800" s="120"/>
      <c r="AX800" s="120"/>
      <c r="AY800" s="957">
        <f>SUM(AY796:AY799)</f>
        <v>36314</v>
      </c>
      <c r="AZ800" s="120"/>
      <c r="BA800" s="120"/>
      <c r="BB800" s="120"/>
      <c r="BC800" s="120"/>
      <c r="BD800" s="957">
        <f>SUM(BD796:BD799)</f>
        <v>51759</v>
      </c>
      <c r="BE800" s="120"/>
      <c r="BF800" s="120"/>
      <c r="BG800" s="120"/>
      <c r="BH800" s="120"/>
      <c r="BI800" s="957">
        <f>SUM(BI796:BI799)</f>
        <v>34772</v>
      </c>
      <c r="BJ800" s="120"/>
      <c r="BK800" s="120"/>
      <c r="BL800" s="120"/>
      <c r="BM800" s="120"/>
      <c r="BN800" s="957">
        <f>SUM(BN796:BN799)</f>
        <v>30601</v>
      </c>
      <c r="BO800" s="120"/>
      <c r="BP800" s="120"/>
      <c r="BQ800" s="120"/>
      <c r="BR800" s="120"/>
      <c r="BS800" s="957">
        <f>SUM(BS796:BS799)</f>
        <v>22447</v>
      </c>
      <c r="BT800" s="694"/>
      <c r="BU800" s="120"/>
      <c r="BV800" s="120"/>
      <c r="BW800" s="120"/>
      <c r="BX800" s="957"/>
      <c r="BY800" s="120"/>
      <c r="BZ800" s="120"/>
      <c r="CA800" s="120"/>
      <c r="CB800" s="120"/>
      <c r="CC800" s="957"/>
      <c r="CD800" s="957"/>
      <c r="CE800" s="957"/>
      <c r="CF800" s="957"/>
      <c r="CG800" s="615"/>
    </row>
    <row r="801" spans="1:85" s="460" customFormat="1" ht="14.4" hidden="1" outlineLevel="1" x14ac:dyDescent="0.3">
      <c r="A801" s="262" t="s">
        <v>1544</v>
      </c>
      <c r="B801" s="588"/>
      <c r="C801" s="954"/>
      <c r="D801" s="954"/>
      <c r="E801" s="954"/>
      <c r="F801" s="954"/>
      <c r="G801" s="133"/>
      <c r="H801" s="133"/>
      <c r="I801" s="133"/>
      <c r="J801" s="133"/>
      <c r="K801" s="954"/>
      <c r="L801" s="133"/>
      <c r="M801" s="133"/>
      <c r="N801" s="133"/>
      <c r="O801" s="133"/>
      <c r="P801" s="954"/>
      <c r="Q801" s="133"/>
      <c r="R801" s="133"/>
      <c r="S801" s="133"/>
      <c r="T801" s="133"/>
      <c r="U801" s="954"/>
      <c r="V801" s="133"/>
      <c r="W801" s="133"/>
      <c r="X801" s="133"/>
      <c r="Y801" s="133"/>
      <c r="Z801" s="954"/>
      <c r="AA801" s="133"/>
      <c r="AB801" s="133"/>
      <c r="AC801" s="133"/>
      <c r="AD801" s="133"/>
      <c r="AE801" s="954"/>
      <c r="AF801" s="133"/>
      <c r="AG801" s="133"/>
      <c r="AH801" s="133"/>
      <c r="AI801" s="133"/>
      <c r="AJ801" s="954"/>
      <c r="AK801" s="133"/>
      <c r="AL801" s="133"/>
      <c r="AM801" s="133"/>
      <c r="AN801" s="133"/>
      <c r="AO801" s="976">
        <v>-16990</v>
      </c>
      <c r="AP801" s="133"/>
      <c r="AQ801" s="133"/>
      <c r="AR801" s="133"/>
      <c r="AS801" s="133"/>
      <c r="AT801" s="976">
        <v>-8803</v>
      </c>
      <c r="AU801" s="133"/>
      <c r="AV801" s="133"/>
      <c r="AW801" s="133"/>
      <c r="AX801" s="133"/>
      <c r="AY801" s="976">
        <v>-14372</v>
      </c>
      <c r="AZ801" s="133"/>
      <c r="BA801" s="133"/>
      <c r="BB801" s="133"/>
      <c r="BC801" s="133"/>
      <c r="BD801" s="976">
        <v>-18810</v>
      </c>
      <c r="BE801" s="133"/>
      <c r="BF801" s="133"/>
      <c r="BG801" s="133"/>
      <c r="BH801" s="133"/>
      <c r="BI801" s="976">
        <v>-11283</v>
      </c>
      <c r="BJ801" s="133"/>
      <c r="BK801" s="133"/>
      <c r="BL801" s="133"/>
      <c r="BM801" s="133"/>
      <c r="BN801" s="976">
        <v>-8722</v>
      </c>
      <c r="BO801" s="133"/>
      <c r="BP801" s="133"/>
      <c r="BQ801" s="133"/>
      <c r="BR801" s="133"/>
      <c r="BS801" s="976">
        <v>-5596</v>
      </c>
      <c r="BT801" s="692"/>
      <c r="BU801" s="133"/>
      <c r="BV801" s="133"/>
      <c r="BW801" s="133"/>
      <c r="BX801" s="954"/>
      <c r="BY801" s="133"/>
      <c r="BZ801" s="133"/>
      <c r="CA801" s="133"/>
      <c r="CB801" s="133"/>
      <c r="CC801" s="954"/>
      <c r="CD801" s="954"/>
      <c r="CE801" s="954"/>
      <c r="CF801" s="954"/>
      <c r="CG801" s="587"/>
    </row>
    <row r="802" spans="1:85" s="461" customFormat="1" ht="14.4" hidden="1" outlineLevel="1" x14ac:dyDescent="0.3">
      <c r="A802" s="166" t="s">
        <v>1545</v>
      </c>
      <c r="B802" s="583"/>
      <c r="C802" s="957"/>
      <c r="D802" s="957"/>
      <c r="E802" s="957"/>
      <c r="F802" s="957"/>
      <c r="G802" s="120"/>
      <c r="H802" s="120"/>
      <c r="I802" s="120"/>
      <c r="J802" s="120"/>
      <c r="K802" s="957"/>
      <c r="L802" s="120"/>
      <c r="M802" s="120"/>
      <c r="N802" s="120"/>
      <c r="O802" s="120"/>
      <c r="P802" s="957"/>
      <c r="Q802" s="120"/>
      <c r="R802" s="120"/>
      <c r="S802" s="120"/>
      <c r="T802" s="120"/>
      <c r="U802" s="957"/>
      <c r="V802" s="120"/>
      <c r="W802" s="120"/>
      <c r="X802" s="120"/>
      <c r="Y802" s="120"/>
      <c r="Z802" s="957"/>
      <c r="AA802" s="120"/>
      <c r="AB802" s="120"/>
      <c r="AC802" s="120"/>
      <c r="AD802" s="120"/>
      <c r="AE802" s="957"/>
      <c r="AF802" s="120"/>
      <c r="AG802" s="120"/>
      <c r="AH802" s="120"/>
      <c r="AI802" s="120"/>
      <c r="AJ802" s="957"/>
      <c r="AK802" s="120"/>
      <c r="AL802" s="120"/>
      <c r="AM802" s="120"/>
      <c r="AN802" s="120"/>
      <c r="AO802" s="957">
        <f>SUM(AO800:AO801)</f>
        <v>16986</v>
      </c>
      <c r="AP802" s="120"/>
      <c r="AQ802" s="120"/>
      <c r="AR802" s="120"/>
      <c r="AS802" s="120"/>
      <c r="AT802" s="957">
        <f>SUM(AT800:AT801)</f>
        <v>9849</v>
      </c>
      <c r="AU802" s="120"/>
      <c r="AV802" s="120"/>
      <c r="AW802" s="120"/>
      <c r="AX802" s="120"/>
      <c r="AY802" s="957">
        <f>SUM(AY800:AY801)</f>
        <v>21942</v>
      </c>
      <c r="AZ802" s="120"/>
      <c r="BA802" s="120"/>
      <c r="BB802" s="120"/>
      <c r="BC802" s="120"/>
      <c r="BD802" s="957">
        <f>SUM(BD800:BD801)</f>
        <v>32949</v>
      </c>
      <c r="BE802" s="120"/>
      <c r="BF802" s="120"/>
      <c r="BG802" s="120"/>
      <c r="BH802" s="120"/>
      <c r="BI802" s="957">
        <f>SUM(BI800:BI801)</f>
        <v>23489</v>
      </c>
      <c r="BJ802" s="120"/>
      <c r="BK802" s="120"/>
      <c r="BL802" s="120"/>
      <c r="BM802" s="120"/>
      <c r="BN802" s="957">
        <f>SUM(BN800:BN801)</f>
        <v>21879</v>
      </c>
      <c r="BO802" s="120"/>
      <c r="BP802" s="120"/>
      <c r="BQ802" s="120"/>
      <c r="BR802" s="120"/>
      <c r="BS802" s="957">
        <f>SUM(BS800:BS801)</f>
        <v>16851</v>
      </c>
      <c r="BT802" s="694"/>
      <c r="BU802" s="120"/>
      <c r="BV802" s="120"/>
      <c r="BW802" s="120"/>
      <c r="BX802" s="957"/>
      <c r="BY802" s="120"/>
      <c r="BZ802" s="120"/>
      <c r="CA802" s="120"/>
      <c r="CB802" s="120"/>
      <c r="CC802" s="957"/>
      <c r="CD802" s="957"/>
      <c r="CE802" s="957"/>
      <c r="CF802" s="957"/>
      <c r="CG802" s="615"/>
    </row>
    <row r="803" spans="1:85" s="461" customFormat="1" ht="14.4" hidden="1" outlineLevel="1" x14ac:dyDescent="0.3">
      <c r="A803" s="166"/>
      <c r="B803" s="583"/>
      <c r="C803" s="957"/>
      <c r="D803" s="957"/>
      <c r="E803" s="957"/>
      <c r="F803" s="957"/>
      <c r="G803" s="120"/>
      <c r="H803" s="120"/>
      <c r="I803" s="120"/>
      <c r="J803" s="120"/>
      <c r="K803" s="957"/>
      <c r="L803" s="120"/>
      <c r="M803" s="120"/>
      <c r="N803" s="120"/>
      <c r="O803" s="120"/>
      <c r="P803" s="957"/>
      <c r="Q803" s="120"/>
      <c r="R803" s="120"/>
      <c r="S803" s="120"/>
      <c r="T803" s="120"/>
      <c r="U803" s="957"/>
      <c r="V803" s="120"/>
      <c r="W803" s="120"/>
      <c r="X803" s="120"/>
      <c r="Y803" s="120"/>
      <c r="Z803" s="957"/>
      <c r="AA803" s="120"/>
      <c r="AB803" s="120"/>
      <c r="AC803" s="120"/>
      <c r="AD803" s="120"/>
      <c r="AE803" s="957"/>
      <c r="AF803" s="120"/>
      <c r="AG803" s="120"/>
      <c r="AH803" s="120"/>
      <c r="AI803" s="120"/>
      <c r="AJ803" s="957"/>
      <c r="AK803" s="120"/>
      <c r="AL803" s="120"/>
      <c r="AM803" s="120"/>
      <c r="AN803" s="120"/>
      <c r="AO803" s="957"/>
      <c r="AP803" s="120"/>
      <c r="AQ803" s="120"/>
      <c r="AR803" s="120"/>
      <c r="AS803" s="120"/>
      <c r="AT803" s="957"/>
      <c r="AU803" s="120"/>
      <c r="AV803" s="120"/>
      <c r="AW803" s="120"/>
      <c r="AX803" s="120"/>
      <c r="AY803" s="957"/>
      <c r="AZ803" s="120"/>
      <c r="BA803" s="120"/>
      <c r="BB803" s="120"/>
      <c r="BC803" s="120"/>
      <c r="BD803" s="957"/>
      <c r="BE803" s="120"/>
      <c r="BF803" s="120"/>
      <c r="BG803" s="120"/>
      <c r="BH803" s="120"/>
      <c r="BI803" s="957"/>
      <c r="BJ803" s="120"/>
      <c r="BK803" s="120"/>
      <c r="BL803" s="120"/>
      <c r="BM803" s="120"/>
      <c r="BN803" s="957"/>
      <c r="BO803" s="120"/>
      <c r="BP803" s="120"/>
      <c r="BQ803" s="120"/>
      <c r="BR803" s="120"/>
      <c r="BS803" s="957"/>
      <c r="BT803" s="694"/>
      <c r="BU803" s="120"/>
      <c r="BV803" s="120"/>
      <c r="BW803" s="120"/>
      <c r="BX803" s="957"/>
      <c r="BY803" s="120"/>
      <c r="BZ803" s="120"/>
      <c r="CA803" s="120"/>
      <c r="CB803" s="120"/>
      <c r="CC803" s="957"/>
      <c r="CD803" s="957"/>
      <c r="CE803" s="957"/>
      <c r="CF803" s="957"/>
      <c r="CG803" s="615"/>
    </row>
    <row r="804" spans="1:85" s="460" customFormat="1" ht="14.4" hidden="1" outlineLevel="1" x14ac:dyDescent="0.3">
      <c r="A804" s="159" t="s">
        <v>1546</v>
      </c>
      <c r="B804" s="586"/>
      <c r="C804" s="150"/>
      <c r="D804" s="150"/>
      <c r="E804" s="150"/>
      <c r="F804" s="150"/>
      <c r="G804" s="117"/>
      <c r="H804" s="117"/>
      <c r="I804" s="117"/>
      <c r="J804" s="117"/>
      <c r="K804" s="150"/>
      <c r="L804" s="117"/>
      <c r="M804" s="117"/>
      <c r="N804" s="117"/>
      <c r="O804" s="117"/>
      <c r="P804" s="150"/>
      <c r="Q804" s="117"/>
      <c r="R804" s="117"/>
      <c r="S804" s="117"/>
      <c r="T804" s="117"/>
      <c r="U804" s="150"/>
      <c r="V804" s="117"/>
      <c r="W804" s="117"/>
      <c r="X804" s="117"/>
      <c r="Y804" s="117"/>
      <c r="Z804" s="150"/>
      <c r="AA804" s="117"/>
      <c r="AB804" s="117"/>
      <c r="AC804" s="117"/>
      <c r="AD804" s="117"/>
      <c r="AE804" s="150"/>
      <c r="AF804" s="117"/>
      <c r="AG804" s="117"/>
      <c r="AH804" s="117"/>
      <c r="AI804" s="117"/>
      <c r="AJ804" s="150"/>
      <c r="AK804" s="117"/>
      <c r="AL804" s="117"/>
      <c r="AM804" s="117"/>
      <c r="AN804" s="117"/>
      <c r="AO804" s="975">
        <v>12309</v>
      </c>
      <c r="AP804" s="117"/>
      <c r="AQ804" s="117"/>
      <c r="AR804" s="117"/>
      <c r="AS804" s="117"/>
      <c r="AT804" s="975">
        <v>1070</v>
      </c>
      <c r="AU804" s="117"/>
      <c r="AV804" s="117"/>
      <c r="AW804" s="117"/>
      <c r="AX804" s="117"/>
      <c r="AY804" s="975">
        <v>8446</v>
      </c>
      <c r="AZ804" s="117"/>
      <c r="BA804" s="117"/>
      <c r="BB804" s="117"/>
      <c r="BC804" s="117"/>
      <c r="BD804" s="975">
        <v>22630</v>
      </c>
      <c r="BE804" s="117"/>
      <c r="BF804" s="117"/>
      <c r="BG804" s="117"/>
      <c r="BH804" s="117"/>
      <c r="BI804" s="975">
        <v>7324</v>
      </c>
      <c r="BJ804" s="117"/>
      <c r="BK804" s="117"/>
      <c r="BL804" s="117"/>
      <c r="BM804" s="117"/>
      <c r="BN804" s="975">
        <v>5308</v>
      </c>
      <c r="BO804" s="117"/>
      <c r="BP804" s="117"/>
      <c r="BQ804" s="117"/>
      <c r="BR804" s="117"/>
      <c r="BS804" s="975">
        <v>5814</v>
      </c>
      <c r="BT804" s="691"/>
      <c r="BU804" s="117"/>
      <c r="BV804" s="117"/>
      <c r="BW804" s="117"/>
      <c r="BX804" s="150"/>
      <c r="BY804" s="117"/>
      <c r="BZ804" s="117"/>
      <c r="CA804" s="117"/>
      <c r="CB804" s="117"/>
      <c r="CC804" s="150"/>
      <c r="CD804" s="150"/>
      <c r="CE804" s="150"/>
      <c r="CF804" s="150"/>
      <c r="CG804" s="587"/>
    </row>
    <row r="805" spans="1:85" s="460" customFormat="1" ht="14.4" hidden="1" outlineLevel="1" x14ac:dyDescent="0.3">
      <c r="A805" s="159" t="s">
        <v>1547</v>
      </c>
      <c r="B805" s="586"/>
      <c r="C805" s="150"/>
      <c r="D805" s="150"/>
      <c r="E805" s="150"/>
      <c r="F805" s="150"/>
      <c r="G805" s="117"/>
      <c r="H805" s="117"/>
      <c r="I805" s="117"/>
      <c r="J805" s="117"/>
      <c r="K805" s="150"/>
      <c r="L805" s="117"/>
      <c r="M805" s="117"/>
      <c r="N805" s="117"/>
      <c r="O805" s="117"/>
      <c r="P805" s="150"/>
      <c r="Q805" s="117"/>
      <c r="R805" s="117"/>
      <c r="S805" s="117"/>
      <c r="T805" s="117"/>
      <c r="U805" s="150"/>
      <c r="V805" s="117"/>
      <c r="W805" s="117"/>
      <c r="X805" s="117"/>
      <c r="Y805" s="117"/>
      <c r="Z805" s="150"/>
      <c r="AA805" s="117"/>
      <c r="AB805" s="117"/>
      <c r="AC805" s="117"/>
      <c r="AD805" s="117"/>
      <c r="AE805" s="150"/>
      <c r="AF805" s="117"/>
      <c r="AG805" s="117"/>
      <c r="AH805" s="117"/>
      <c r="AI805" s="117"/>
      <c r="AJ805" s="150"/>
      <c r="AK805" s="117"/>
      <c r="AL805" s="117"/>
      <c r="AM805" s="117"/>
      <c r="AN805" s="117"/>
      <c r="AO805" s="975">
        <v>-2487</v>
      </c>
      <c r="AP805" s="117"/>
      <c r="AQ805" s="117"/>
      <c r="AR805" s="117"/>
      <c r="AS805" s="117"/>
      <c r="AT805" s="975">
        <v>-426</v>
      </c>
      <c r="AU805" s="117"/>
      <c r="AV805" s="117"/>
      <c r="AW805" s="117"/>
      <c r="AX805" s="117"/>
      <c r="AY805" s="975">
        <v>-285</v>
      </c>
      <c r="AZ805" s="117"/>
      <c r="BA805" s="117"/>
      <c r="BB805" s="117"/>
      <c r="BC805" s="117"/>
      <c r="BD805" s="975">
        <v>-574</v>
      </c>
      <c r="BE805" s="117"/>
      <c r="BF805" s="117"/>
      <c r="BG805" s="117"/>
      <c r="BH805" s="117"/>
      <c r="BI805" s="975">
        <v>-484</v>
      </c>
      <c r="BJ805" s="117"/>
      <c r="BK805" s="117"/>
      <c r="BL805" s="117"/>
      <c r="BM805" s="117"/>
      <c r="BN805" s="975">
        <v>-392</v>
      </c>
      <c r="BO805" s="117"/>
      <c r="BP805" s="117"/>
      <c r="BQ805" s="117"/>
      <c r="BR805" s="117"/>
      <c r="BS805" s="975">
        <v>-584</v>
      </c>
      <c r="BT805" s="691"/>
      <c r="BU805" s="117"/>
      <c r="BV805" s="117"/>
      <c r="BW805" s="117"/>
      <c r="BX805" s="150"/>
      <c r="BY805" s="117"/>
      <c r="BZ805" s="117"/>
      <c r="CA805" s="117"/>
      <c r="CB805" s="117"/>
      <c r="CC805" s="150"/>
      <c r="CD805" s="150"/>
      <c r="CE805" s="150"/>
      <c r="CF805" s="150"/>
      <c r="CG805" s="587"/>
    </row>
    <row r="806" spans="1:85" s="460" customFormat="1" ht="14.4" hidden="1" outlineLevel="1" x14ac:dyDescent="0.3">
      <c r="A806" s="159" t="s">
        <v>1548</v>
      </c>
      <c r="B806" s="586"/>
      <c r="C806" s="150"/>
      <c r="D806" s="150"/>
      <c r="E806" s="150"/>
      <c r="F806" s="150"/>
      <c r="G806" s="117"/>
      <c r="H806" s="117"/>
      <c r="I806" s="117"/>
      <c r="J806" s="117"/>
      <c r="K806" s="150"/>
      <c r="L806" s="117"/>
      <c r="M806" s="117"/>
      <c r="N806" s="117"/>
      <c r="O806" s="117"/>
      <c r="P806" s="150"/>
      <c r="Q806" s="117"/>
      <c r="R806" s="117"/>
      <c r="S806" s="117"/>
      <c r="T806" s="117"/>
      <c r="U806" s="150"/>
      <c r="V806" s="117"/>
      <c r="W806" s="117"/>
      <c r="X806" s="117"/>
      <c r="Y806" s="117"/>
      <c r="Z806" s="150"/>
      <c r="AA806" s="117"/>
      <c r="AB806" s="117"/>
      <c r="AC806" s="117"/>
      <c r="AD806" s="117"/>
      <c r="AE806" s="150"/>
      <c r="AF806" s="117"/>
      <c r="AG806" s="117"/>
      <c r="AH806" s="117"/>
      <c r="AI806" s="117"/>
      <c r="AJ806" s="150"/>
      <c r="AK806" s="117"/>
      <c r="AL806" s="117"/>
      <c r="AM806" s="117"/>
      <c r="AN806" s="117"/>
      <c r="AO806" s="975">
        <v>-705</v>
      </c>
      <c r="AP806" s="117"/>
      <c r="AQ806" s="117"/>
      <c r="AR806" s="117"/>
      <c r="AS806" s="117"/>
      <c r="AT806" s="975">
        <v>-38</v>
      </c>
      <c r="AU806" s="117"/>
      <c r="AV806" s="117"/>
      <c r="AW806" s="117"/>
      <c r="AX806" s="117"/>
      <c r="AY806" s="975">
        <v>-18</v>
      </c>
      <c r="AZ806" s="117"/>
      <c r="BA806" s="117"/>
      <c r="BB806" s="117"/>
      <c r="BC806" s="117"/>
      <c r="BD806" s="975">
        <v>-8</v>
      </c>
      <c r="BE806" s="117"/>
      <c r="BF806" s="117"/>
      <c r="BG806" s="117"/>
      <c r="BH806" s="117"/>
      <c r="BI806" s="975">
        <v>-67</v>
      </c>
      <c r="BJ806" s="117"/>
      <c r="BK806" s="117"/>
      <c r="BL806" s="117"/>
      <c r="BM806" s="117"/>
      <c r="BN806" s="975">
        <v>-30</v>
      </c>
      <c r="BO806" s="117"/>
      <c r="BP806" s="117"/>
      <c r="BQ806" s="117"/>
      <c r="BR806" s="117"/>
      <c r="BS806" s="975">
        <v>-81</v>
      </c>
      <c r="BT806" s="691"/>
      <c r="BU806" s="117"/>
      <c r="BV806" s="117"/>
      <c r="BW806" s="117"/>
      <c r="BX806" s="150"/>
      <c r="BY806" s="117"/>
      <c r="BZ806" s="117"/>
      <c r="CA806" s="117"/>
      <c r="CB806" s="117"/>
      <c r="CC806" s="150"/>
      <c r="CD806" s="150"/>
      <c r="CE806" s="150"/>
      <c r="CF806" s="150"/>
      <c r="CG806" s="587"/>
    </row>
    <row r="807" spans="1:85" s="460" customFormat="1" ht="14.4" hidden="1" outlineLevel="1" x14ac:dyDescent="0.3">
      <c r="A807" s="262" t="s">
        <v>1549</v>
      </c>
      <c r="B807" s="588"/>
      <c r="C807" s="954"/>
      <c r="D807" s="954"/>
      <c r="E807" s="954"/>
      <c r="F807" s="954"/>
      <c r="G807" s="133"/>
      <c r="H807" s="133"/>
      <c r="I807" s="133"/>
      <c r="J807" s="133"/>
      <c r="K807" s="954"/>
      <c r="L807" s="133"/>
      <c r="M807" s="133"/>
      <c r="N807" s="133"/>
      <c r="O807" s="133"/>
      <c r="P807" s="954"/>
      <c r="Q807" s="133"/>
      <c r="R807" s="133"/>
      <c r="S807" s="133"/>
      <c r="T807" s="133"/>
      <c r="U807" s="954"/>
      <c r="V807" s="133"/>
      <c r="W807" s="133"/>
      <c r="X807" s="133"/>
      <c r="Y807" s="133"/>
      <c r="Z807" s="954"/>
      <c r="AA807" s="133"/>
      <c r="AB807" s="133"/>
      <c r="AC807" s="133"/>
      <c r="AD807" s="133"/>
      <c r="AE807" s="954"/>
      <c r="AF807" s="133"/>
      <c r="AG807" s="133"/>
      <c r="AH807" s="133"/>
      <c r="AI807" s="133"/>
      <c r="AJ807" s="954"/>
      <c r="AK807" s="133"/>
      <c r="AL807" s="133"/>
      <c r="AM807" s="133"/>
      <c r="AN807" s="133"/>
      <c r="AO807" s="976">
        <v>-3855</v>
      </c>
      <c r="AP807" s="133"/>
      <c r="AQ807" s="133"/>
      <c r="AR807" s="133"/>
      <c r="AS807" s="133"/>
      <c r="AT807" s="976">
        <v>-212</v>
      </c>
      <c r="AU807" s="133"/>
      <c r="AV807" s="133"/>
      <c r="AW807" s="133"/>
      <c r="AX807" s="133"/>
      <c r="AY807" s="976">
        <v>-2850</v>
      </c>
      <c r="AZ807" s="133"/>
      <c r="BA807" s="133"/>
      <c r="BB807" s="133"/>
      <c r="BC807" s="133"/>
      <c r="BD807" s="976">
        <v>-7707</v>
      </c>
      <c r="BE807" s="133"/>
      <c r="BF807" s="133"/>
      <c r="BG807" s="133"/>
      <c r="BH807" s="133"/>
      <c r="BI807" s="976">
        <v>-2371</v>
      </c>
      <c r="BJ807" s="133"/>
      <c r="BK807" s="133"/>
      <c r="BL807" s="133"/>
      <c r="BM807" s="133"/>
      <c r="BN807" s="976">
        <v>-1710</v>
      </c>
      <c r="BO807" s="133"/>
      <c r="BP807" s="133"/>
      <c r="BQ807" s="133"/>
      <c r="BR807" s="133"/>
      <c r="BS807" s="976">
        <v>-1802</v>
      </c>
      <c r="BT807" s="692"/>
      <c r="BU807" s="133"/>
      <c r="BV807" s="133"/>
      <c r="BW807" s="133"/>
      <c r="BX807" s="954"/>
      <c r="BY807" s="133"/>
      <c r="BZ807" s="133"/>
      <c r="CA807" s="133"/>
      <c r="CB807" s="133"/>
      <c r="CC807" s="954"/>
      <c r="CD807" s="954"/>
      <c r="CE807" s="954"/>
      <c r="CF807" s="954"/>
      <c r="CG807" s="587"/>
    </row>
    <row r="808" spans="1:85" s="461" customFormat="1" ht="14.4" hidden="1" outlineLevel="1" x14ac:dyDescent="0.3">
      <c r="A808" s="166" t="s">
        <v>1550</v>
      </c>
      <c r="B808" s="583"/>
      <c r="C808" s="957"/>
      <c r="D808" s="957"/>
      <c r="E808" s="957"/>
      <c r="F808" s="957"/>
      <c r="G808" s="120"/>
      <c r="H808" s="120"/>
      <c r="I808" s="120"/>
      <c r="J808" s="120"/>
      <c r="K808" s="957"/>
      <c r="L808" s="120"/>
      <c r="M808" s="120"/>
      <c r="N808" s="120"/>
      <c r="O808" s="120"/>
      <c r="P808" s="957"/>
      <c r="Q808" s="120"/>
      <c r="R808" s="120"/>
      <c r="S808" s="120"/>
      <c r="T808" s="120"/>
      <c r="U808" s="957"/>
      <c r="V808" s="120"/>
      <c r="W808" s="120"/>
      <c r="X808" s="120"/>
      <c r="Y808" s="120"/>
      <c r="Z808" s="957"/>
      <c r="AA808" s="120"/>
      <c r="AB808" s="120"/>
      <c r="AC808" s="120"/>
      <c r="AD808" s="120"/>
      <c r="AE808" s="957"/>
      <c r="AF808" s="120"/>
      <c r="AG808" s="120"/>
      <c r="AH808" s="120"/>
      <c r="AI808" s="120"/>
      <c r="AJ808" s="957"/>
      <c r="AK808" s="120"/>
      <c r="AL808" s="120"/>
      <c r="AM808" s="120"/>
      <c r="AN808" s="120"/>
      <c r="AO808" s="957">
        <f>SUM(AO804:AO807)</f>
        <v>5262</v>
      </c>
      <c r="AP808" s="120"/>
      <c r="AQ808" s="120"/>
      <c r="AR808" s="120"/>
      <c r="AS808" s="120"/>
      <c r="AT808" s="957">
        <f>SUM(AT804:AT807)</f>
        <v>394</v>
      </c>
      <c r="AU808" s="120"/>
      <c r="AV808" s="120"/>
      <c r="AW808" s="120"/>
      <c r="AX808" s="120"/>
      <c r="AY808" s="957">
        <f>SUM(AY804:AY807)</f>
        <v>5293</v>
      </c>
      <c r="AZ808" s="120"/>
      <c r="BA808" s="120"/>
      <c r="BB808" s="120"/>
      <c r="BC808" s="120"/>
      <c r="BD808" s="957">
        <f>SUM(BD804:BD807)</f>
        <v>14341</v>
      </c>
      <c r="BE808" s="120"/>
      <c r="BF808" s="120"/>
      <c r="BG808" s="120"/>
      <c r="BH808" s="120"/>
      <c r="BI808" s="957">
        <f>SUM(BI804:BI807)</f>
        <v>4402</v>
      </c>
      <c r="BJ808" s="120"/>
      <c r="BK808" s="120"/>
      <c r="BL808" s="120"/>
      <c r="BM808" s="120"/>
      <c r="BN808" s="957">
        <f>SUM(BN804:BN807)</f>
        <v>3176</v>
      </c>
      <c r="BO808" s="120"/>
      <c r="BP808" s="120"/>
      <c r="BQ808" s="120"/>
      <c r="BR808" s="120"/>
      <c r="BS808" s="957">
        <f>SUM(BS804:BS807)</f>
        <v>3347</v>
      </c>
      <c r="BT808" s="694"/>
      <c r="BU808" s="120"/>
      <c r="BV808" s="120"/>
      <c r="BW808" s="120"/>
      <c r="BX808" s="957"/>
      <c r="BY808" s="120"/>
      <c r="BZ808" s="120"/>
      <c r="CA808" s="120"/>
      <c r="CB808" s="120"/>
      <c r="CC808" s="957"/>
      <c r="CD808" s="957"/>
      <c r="CE808" s="957"/>
      <c r="CF808" s="957"/>
      <c r="CG808" s="615"/>
    </row>
    <row r="809" spans="1:85" s="460" customFormat="1" ht="14.4" hidden="1" outlineLevel="1" x14ac:dyDescent="0.3">
      <c r="A809" s="262" t="s">
        <v>1551</v>
      </c>
      <c r="B809" s="588"/>
      <c r="C809" s="954"/>
      <c r="D809" s="954"/>
      <c r="E809" s="954"/>
      <c r="F809" s="954"/>
      <c r="G809" s="133"/>
      <c r="H809" s="133"/>
      <c r="I809" s="133"/>
      <c r="J809" s="133"/>
      <c r="K809" s="954"/>
      <c r="L809" s="133"/>
      <c r="M809" s="133"/>
      <c r="N809" s="133"/>
      <c r="O809" s="133"/>
      <c r="P809" s="954"/>
      <c r="Q809" s="133"/>
      <c r="R809" s="133"/>
      <c r="S809" s="133"/>
      <c r="T809" s="133"/>
      <c r="U809" s="954"/>
      <c r="V809" s="133"/>
      <c r="W809" s="133"/>
      <c r="X809" s="133"/>
      <c r="Y809" s="133"/>
      <c r="Z809" s="954"/>
      <c r="AA809" s="133"/>
      <c r="AB809" s="133"/>
      <c r="AC809" s="133"/>
      <c r="AD809" s="133"/>
      <c r="AE809" s="954"/>
      <c r="AF809" s="133"/>
      <c r="AG809" s="133"/>
      <c r="AH809" s="133"/>
      <c r="AI809" s="133"/>
      <c r="AJ809" s="954"/>
      <c r="AK809" s="133"/>
      <c r="AL809" s="133"/>
      <c r="AM809" s="133"/>
      <c r="AN809" s="133"/>
      <c r="AO809" s="976">
        <v>-2096</v>
      </c>
      <c r="AP809" s="133"/>
      <c r="AQ809" s="133"/>
      <c r="AR809" s="133"/>
      <c r="AS809" s="133"/>
      <c r="AT809" s="976">
        <v>-149</v>
      </c>
      <c r="AU809" s="133"/>
      <c r="AV809" s="133"/>
      <c r="AW809" s="133"/>
      <c r="AX809" s="133"/>
      <c r="AY809" s="976">
        <v>-2244</v>
      </c>
      <c r="AZ809" s="133"/>
      <c r="BA809" s="133"/>
      <c r="BB809" s="133"/>
      <c r="BC809" s="133"/>
      <c r="BD809" s="976">
        <v>-5824</v>
      </c>
      <c r="BE809" s="133"/>
      <c r="BF809" s="133"/>
      <c r="BG809" s="133"/>
      <c r="BH809" s="133"/>
      <c r="BI809" s="976">
        <v>-1640</v>
      </c>
      <c r="BJ809" s="133"/>
      <c r="BK809" s="133"/>
      <c r="BL809" s="133"/>
      <c r="BM809" s="133"/>
      <c r="BN809" s="976">
        <v>-1003</v>
      </c>
      <c r="BO809" s="133"/>
      <c r="BP809" s="133"/>
      <c r="BQ809" s="133"/>
      <c r="BR809" s="133"/>
      <c r="BS809" s="976">
        <v>-1120</v>
      </c>
      <c r="BT809" s="692"/>
      <c r="BU809" s="133"/>
      <c r="BV809" s="133"/>
      <c r="BW809" s="133"/>
      <c r="BX809" s="954"/>
      <c r="BY809" s="133"/>
      <c r="BZ809" s="133"/>
      <c r="CA809" s="133"/>
      <c r="CB809" s="133"/>
      <c r="CC809" s="954"/>
      <c r="CD809" s="954"/>
      <c r="CE809" s="954"/>
      <c r="CF809" s="954"/>
      <c r="CG809" s="587"/>
    </row>
    <row r="810" spans="1:85" s="461" customFormat="1" ht="14.4" hidden="1" outlineLevel="1" x14ac:dyDescent="0.3">
      <c r="A810" s="166" t="s">
        <v>1552</v>
      </c>
      <c r="B810" s="583"/>
      <c r="C810" s="957"/>
      <c r="D810" s="957"/>
      <c r="E810" s="957"/>
      <c r="F810" s="957"/>
      <c r="G810" s="120"/>
      <c r="H810" s="120"/>
      <c r="I810" s="120"/>
      <c r="J810" s="120"/>
      <c r="K810" s="957"/>
      <c r="L810" s="120"/>
      <c r="M810" s="120"/>
      <c r="N810" s="120"/>
      <c r="O810" s="120"/>
      <c r="P810" s="957"/>
      <c r="Q810" s="120"/>
      <c r="R810" s="120"/>
      <c r="S810" s="120"/>
      <c r="T810" s="120"/>
      <c r="U810" s="957"/>
      <c r="V810" s="120"/>
      <c r="W810" s="120"/>
      <c r="X810" s="120"/>
      <c r="Y810" s="120"/>
      <c r="Z810" s="957"/>
      <c r="AA810" s="120"/>
      <c r="AB810" s="120"/>
      <c r="AC810" s="120"/>
      <c r="AD810" s="120"/>
      <c r="AE810" s="957"/>
      <c r="AF810" s="120"/>
      <c r="AG810" s="120"/>
      <c r="AH810" s="120"/>
      <c r="AI810" s="120"/>
      <c r="AJ810" s="957"/>
      <c r="AK810" s="120"/>
      <c r="AL810" s="120"/>
      <c r="AM810" s="120"/>
      <c r="AN810" s="120"/>
      <c r="AO810" s="957">
        <f>SUM(AO808:AO809)</f>
        <v>3166</v>
      </c>
      <c r="AP810" s="120"/>
      <c r="AQ810" s="120"/>
      <c r="AR810" s="120"/>
      <c r="AS810" s="120"/>
      <c r="AT810" s="957">
        <f>SUM(AT808:AT809)</f>
        <v>245</v>
      </c>
      <c r="AU810" s="120"/>
      <c r="AV810" s="120"/>
      <c r="AW810" s="120"/>
      <c r="AX810" s="120"/>
      <c r="AY810" s="957">
        <f>SUM(AY808:AY809)</f>
        <v>3049</v>
      </c>
      <c r="AZ810" s="120"/>
      <c r="BA810" s="120"/>
      <c r="BB810" s="120"/>
      <c r="BC810" s="120"/>
      <c r="BD810" s="957">
        <f>SUM(BD808:BD809)</f>
        <v>8517</v>
      </c>
      <c r="BE810" s="120"/>
      <c r="BF810" s="120"/>
      <c r="BG810" s="120"/>
      <c r="BH810" s="120"/>
      <c r="BI810" s="957">
        <f>SUM(BI808:BI809)</f>
        <v>2762</v>
      </c>
      <c r="BJ810" s="120"/>
      <c r="BK810" s="120"/>
      <c r="BL810" s="120"/>
      <c r="BM810" s="120"/>
      <c r="BN810" s="957">
        <f>SUM(BN808:BN809)</f>
        <v>2173</v>
      </c>
      <c r="BO810" s="120"/>
      <c r="BP810" s="120"/>
      <c r="BQ810" s="120"/>
      <c r="BR810" s="120"/>
      <c r="BS810" s="957">
        <f>SUM(BS808:BS809)</f>
        <v>2227</v>
      </c>
      <c r="BT810" s="694"/>
      <c r="BU810" s="120"/>
      <c r="BV810" s="120"/>
      <c r="BW810" s="120"/>
      <c r="BX810" s="957"/>
      <c r="BY810" s="120"/>
      <c r="BZ810" s="120"/>
      <c r="CA810" s="120"/>
      <c r="CB810" s="120"/>
      <c r="CC810" s="957"/>
      <c r="CD810" s="957"/>
      <c r="CE810" s="957"/>
      <c r="CF810" s="957"/>
      <c r="CG810" s="615"/>
    </row>
    <row r="811" spans="1:85" s="461" customFormat="1" ht="14.4" hidden="1" outlineLevel="1" x14ac:dyDescent="0.3">
      <c r="A811" s="166"/>
      <c r="B811" s="583"/>
      <c r="C811" s="957"/>
      <c r="D811" s="957"/>
      <c r="E811" s="957"/>
      <c r="F811" s="957"/>
      <c r="G811" s="120"/>
      <c r="H811" s="120"/>
      <c r="I811" s="120"/>
      <c r="J811" s="120"/>
      <c r="K811" s="957"/>
      <c r="L811" s="120"/>
      <c r="M811" s="120"/>
      <c r="N811" s="120"/>
      <c r="O811" s="120"/>
      <c r="P811" s="957"/>
      <c r="Q811" s="120"/>
      <c r="R811" s="120"/>
      <c r="S811" s="120"/>
      <c r="T811" s="120"/>
      <c r="U811" s="957"/>
      <c r="V811" s="120"/>
      <c r="W811" s="120"/>
      <c r="X811" s="120"/>
      <c r="Y811" s="120"/>
      <c r="Z811" s="957"/>
      <c r="AA811" s="120"/>
      <c r="AB811" s="120"/>
      <c r="AC811" s="120"/>
      <c r="AD811" s="120"/>
      <c r="AE811" s="957"/>
      <c r="AF811" s="120"/>
      <c r="AG811" s="120"/>
      <c r="AH811" s="120"/>
      <c r="AI811" s="120"/>
      <c r="AJ811" s="957"/>
      <c r="AK811" s="120"/>
      <c r="AL811" s="120"/>
      <c r="AM811" s="120"/>
      <c r="AN811" s="120"/>
      <c r="AO811" s="957"/>
      <c r="AP811" s="120"/>
      <c r="AQ811" s="120"/>
      <c r="AR811" s="120"/>
      <c r="AS811" s="120"/>
      <c r="AT811" s="957"/>
      <c r="AU811" s="120"/>
      <c r="AV811" s="120"/>
      <c r="AW811" s="120"/>
      <c r="AX811" s="120"/>
      <c r="AY811" s="957"/>
      <c r="AZ811" s="120"/>
      <c r="BA811" s="120"/>
      <c r="BB811" s="120"/>
      <c r="BC811" s="120"/>
      <c r="BD811" s="957"/>
      <c r="BE811" s="120"/>
      <c r="BF811" s="120"/>
      <c r="BG811" s="120"/>
      <c r="BH811" s="120"/>
      <c r="BI811" s="957"/>
      <c r="BJ811" s="120"/>
      <c r="BK811" s="120"/>
      <c r="BL811" s="120"/>
      <c r="BM811" s="120"/>
      <c r="BN811" s="957"/>
      <c r="BO811" s="120"/>
      <c r="BP811" s="120"/>
      <c r="BQ811" s="120"/>
      <c r="BR811" s="120"/>
      <c r="BS811" s="957"/>
      <c r="BT811" s="694"/>
      <c r="BU811" s="120"/>
      <c r="BV811" s="120"/>
      <c r="BW811" s="120"/>
      <c r="BX811" s="957"/>
      <c r="BY811" s="120"/>
      <c r="BZ811" s="120"/>
      <c r="CA811" s="120"/>
      <c r="CB811" s="120"/>
      <c r="CC811" s="957"/>
      <c r="CD811" s="957"/>
      <c r="CE811" s="957"/>
      <c r="CF811" s="957"/>
      <c r="CG811" s="615"/>
    </row>
    <row r="812" spans="1:85" s="460" customFormat="1" ht="14.4" hidden="1" outlineLevel="1" x14ac:dyDescent="0.3">
      <c r="A812" s="159" t="s">
        <v>1553</v>
      </c>
      <c r="B812" s="586"/>
      <c r="C812" s="150"/>
      <c r="D812" s="150"/>
      <c r="E812" s="150"/>
      <c r="F812" s="150"/>
      <c r="G812" s="117"/>
      <c r="H812" s="117"/>
      <c r="I812" s="117"/>
      <c r="J812" s="117"/>
      <c r="K812" s="150"/>
      <c r="L812" s="117"/>
      <c r="M812" s="117"/>
      <c r="N812" s="117"/>
      <c r="O812" s="117"/>
      <c r="P812" s="150"/>
      <c r="Q812" s="117"/>
      <c r="R812" s="117"/>
      <c r="S812" s="117"/>
      <c r="T812" s="117"/>
      <c r="U812" s="150"/>
      <c r="V812" s="117"/>
      <c r="W812" s="117"/>
      <c r="X812" s="117"/>
      <c r="Y812" s="117"/>
      <c r="Z812" s="150"/>
      <c r="AA812" s="117"/>
      <c r="AB812" s="117"/>
      <c r="AC812" s="117"/>
      <c r="AD812" s="117"/>
      <c r="AE812" s="150"/>
      <c r="AF812" s="117"/>
      <c r="AG812" s="117"/>
      <c r="AH812" s="117"/>
      <c r="AI812" s="117"/>
      <c r="AJ812" s="150"/>
      <c r="AK812" s="117"/>
      <c r="AL812" s="117"/>
      <c r="AM812" s="117"/>
      <c r="AN812" s="117"/>
      <c r="AO812" s="150">
        <f>AO788+AO796+AO804</f>
        <v>454604</v>
      </c>
      <c r="AP812" s="117"/>
      <c r="AQ812" s="117"/>
      <c r="AR812" s="117"/>
      <c r="AS812" s="117"/>
      <c r="AT812" s="150">
        <f>AT788+AT796+AT804</f>
        <v>290986</v>
      </c>
      <c r="AU812" s="117"/>
      <c r="AV812" s="117"/>
      <c r="AW812" s="117"/>
      <c r="AX812" s="117"/>
      <c r="AY812" s="150">
        <f>AY788+AY796+AY804</f>
        <v>498668</v>
      </c>
      <c r="AZ812" s="117"/>
      <c r="BA812" s="117"/>
      <c r="BB812" s="117"/>
      <c r="BC812" s="117"/>
      <c r="BD812" s="150">
        <f>BD788+BD796+BD804</f>
        <v>739974</v>
      </c>
      <c r="BE812" s="117"/>
      <c r="BF812" s="117"/>
      <c r="BG812" s="117"/>
      <c r="BH812" s="117"/>
      <c r="BI812" s="150">
        <f>BI788+BI796+BI804</f>
        <v>536777</v>
      </c>
      <c r="BJ812" s="117"/>
      <c r="BK812" s="117"/>
      <c r="BL812" s="117"/>
      <c r="BM812" s="117"/>
      <c r="BN812" s="150">
        <f>BN788+BN796+BN804</f>
        <v>446011</v>
      </c>
      <c r="BO812" s="117"/>
      <c r="BP812" s="117"/>
      <c r="BQ812" s="117"/>
      <c r="BR812" s="117"/>
      <c r="BS812" s="150">
        <f>BS788+BS796+BS804</f>
        <v>444210</v>
      </c>
      <c r="BT812" s="691"/>
      <c r="BU812" s="117"/>
      <c r="BV812" s="117"/>
      <c r="BW812" s="117"/>
      <c r="BX812" s="150"/>
      <c r="BY812" s="117"/>
      <c r="BZ812" s="117"/>
      <c r="CA812" s="117"/>
      <c r="CB812" s="117"/>
      <c r="CC812" s="150"/>
      <c r="CD812" s="150"/>
      <c r="CE812" s="150"/>
      <c r="CF812" s="150"/>
      <c r="CG812" s="587"/>
    </row>
    <row r="813" spans="1:85" s="460" customFormat="1" ht="14.4" hidden="1" outlineLevel="1" x14ac:dyDescent="0.3">
      <c r="A813" s="159" t="s">
        <v>1554</v>
      </c>
      <c r="B813" s="586"/>
      <c r="C813" s="150"/>
      <c r="D813" s="150"/>
      <c r="E813" s="150"/>
      <c r="F813" s="150"/>
      <c r="G813" s="117"/>
      <c r="H813" s="117"/>
      <c r="I813" s="117"/>
      <c r="J813" s="117"/>
      <c r="K813" s="150"/>
      <c r="L813" s="117"/>
      <c r="M813" s="117"/>
      <c r="N813" s="117"/>
      <c r="O813" s="117"/>
      <c r="P813" s="150"/>
      <c r="Q813" s="117"/>
      <c r="R813" s="117"/>
      <c r="S813" s="117"/>
      <c r="T813" s="117"/>
      <c r="U813" s="150"/>
      <c r="V813" s="117"/>
      <c r="W813" s="117"/>
      <c r="X813" s="117"/>
      <c r="Y813" s="117"/>
      <c r="Z813" s="150"/>
      <c r="AA813" s="117"/>
      <c r="AB813" s="117"/>
      <c r="AC813" s="117"/>
      <c r="AD813" s="117"/>
      <c r="AE813" s="150"/>
      <c r="AF813" s="117"/>
      <c r="AG813" s="117"/>
      <c r="AH813" s="117"/>
      <c r="AI813" s="117"/>
      <c r="AJ813" s="150"/>
      <c r="AK813" s="117"/>
      <c r="AL813" s="117"/>
      <c r="AM813" s="117"/>
      <c r="AN813" s="117"/>
      <c r="AO813" s="150">
        <f>AO789+AO797+AO805</f>
        <v>-123659</v>
      </c>
      <c r="AP813" s="117"/>
      <c r="AQ813" s="117"/>
      <c r="AR813" s="117"/>
      <c r="AS813" s="117"/>
      <c r="AT813" s="150">
        <f>AT789+AT797+AT805</f>
        <v>-106240</v>
      </c>
      <c r="AU813" s="117"/>
      <c r="AV813" s="117"/>
      <c r="AW813" s="117"/>
      <c r="AX813" s="117"/>
      <c r="AY813" s="150">
        <f>AY789+AY797+AY805</f>
        <v>-124053</v>
      </c>
      <c r="AZ813" s="117"/>
      <c r="BA813" s="117"/>
      <c r="BB813" s="117"/>
      <c r="BC813" s="117"/>
      <c r="BD813" s="150">
        <f>BD789+BD797+BD805</f>
        <v>-145402</v>
      </c>
      <c r="BE813" s="117"/>
      <c r="BF813" s="117"/>
      <c r="BG813" s="117"/>
      <c r="BH813" s="117"/>
      <c r="BI813" s="150">
        <f>BI789+BI797+BI805</f>
        <v>-135514</v>
      </c>
      <c r="BJ813" s="117"/>
      <c r="BK813" s="117"/>
      <c r="BL813" s="117"/>
      <c r="BM813" s="117"/>
      <c r="BN813" s="150">
        <f>BN789+BN797+BN805</f>
        <v>-122416</v>
      </c>
      <c r="BO813" s="117"/>
      <c r="BP813" s="117"/>
      <c r="BQ813" s="117"/>
      <c r="BR813" s="117"/>
      <c r="BS813" s="150">
        <f>BS789+BS797+BS805</f>
        <v>-150389</v>
      </c>
      <c r="BT813" s="691"/>
      <c r="BU813" s="117"/>
      <c r="BV813" s="117"/>
      <c r="BW813" s="117"/>
      <c r="BX813" s="150"/>
      <c r="BY813" s="117"/>
      <c r="BZ813" s="117"/>
      <c r="CA813" s="117"/>
      <c r="CB813" s="117"/>
      <c r="CC813" s="150"/>
      <c r="CD813" s="150"/>
      <c r="CE813" s="150"/>
      <c r="CF813" s="150"/>
      <c r="CG813" s="587"/>
    </row>
    <row r="814" spans="1:85" s="460" customFormat="1" ht="14.4" hidden="1" outlineLevel="1" x14ac:dyDescent="0.3">
      <c r="A814" s="159" t="s">
        <v>1555</v>
      </c>
      <c r="B814" s="586"/>
      <c r="C814" s="150"/>
      <c r="D814" s="150"/>
      <c r="E814" s="150"/>
      <c r="F814" s="150"/>
      <c r="G814" s="117"/>
      <c r="H814" s="117"/>
      <c r="I814" s="117"/>
      <c r="J814" s="117"/>
      <c r="K814" s="150"/>
      <c r="L814" s="117"/>
      <c r="M814" s="117"/>
      <c r="N814" s="117"/>
      <c r="O814" s="117"/>
      <c r="P814" s="150"/>
      <c r="Q814" s="117"/>
      <c r="R814" s="117"/>
      <c r="S814" s="117"/>
      <c r="T814" s="117"/>
      <c r="U814" s="150"/>
      <c r="V814" s="117"/>
      <c r="W814" s="117"/>
      <c r="X814" s="117"/>
      <c r="Y814" s="117"/>
      <c r="Z814" s="150"/>
      <c r="AA814" s="117"/>
      <c r="AB814" s="117"/>
      <c r="AC814" s="117"/>
      <c r="AD814" s="117"/>
      <c r="AE814" s="150"/>
      <c r="AF814" s="117"/>
      <c r="AG814" s="117"/>
      <c r="AH814" s="117"/>
      <c r="AI814" s="117"/>
      <c r="AJ814" s="150"/>
      <c r="AK814" s="117"/>
      <c r="AL814" s="117"/>
      <c r="AM814" s="117"/>
      <c r="AN814" s="117"/>
      <c r="AO814" s="150">
        <f>AO790+AO798+AO806</f>
        <v>-49763</v>
      </c>
      <c r="AP814" s="117"/>
      <c r="AQ814" s="117"/>
      <c r="AR814" s="117"/>
      <c r="AS814" s="117"/>
      <c r="AT814" s="150">
        <f>AT790+AT798+AT806</f>
        <v>-29052</v>
      </c>
      <c r="AU814" s="117"/>
      <c r="AV814" s="117"/>
      <c r="AW814" s="117"/>
      <c r="AX814" s="117"/>
      <c r="AY814" s="150">
        <f>AY790+AY798+AY806</f>
        <v>-35463</v>
      </c>
      <c r="AZ814" s="117"/>
      <c r="BA814" s="117"/>
      <c r="BB814" s="117"/>
      <c r="BC814" s="117"/>
      <c r="BD814" s="150">
        <f>BD790+BD798+BD806</f>
        <v>-39343</v>
      </c>
      <c r="BE814" s="117"/>
      <c r="BF814" s="117"/>
      <c r="BG814" s="117"/>
      <c r="BH814" s="117"/>
      <c r="BI814" s="150">
        <f>BI790+BI798+BI806</f>
        <v>-37721</v>
      </c>
      <c r="BJ814" s="117"/>
      <c r="BK814" s="117"/>
      <c r="BL814" s="117"/>
      <c r="BM814" s="117"/>
      <c r="BN814" s="150">
        <f>BN790+BN798+BN806</f>
        <v>-31695</v>
      </c>
      <c r="BO814" s="117"/>
      <c r="BP814" s="117"/>
      <c r="BQ814" s="117"/>
      <c r="BR814" s="117"/>
      <c r="BS814" s="150">
        <f>BS790+BS798+BS806</f>
        <v>-36801</v>
      </c>
      <c r="BT814" s="691"/>
      <c r="BU814" s="117"/>
      <c r="BV814" s="117"/>
      <c r="BW814" s="117"/>
      <c r="BX814" s="150"/>
      <c r="BY814" s="117"/>
      <c r="BZ814" s="117"/>
      <c r="CA814" s="117"/>
      <c r="CB814" s="117"/>
      <c r="CC814" s="150"/>
      <c r="CD814" s="150"/>
      <c r="CE814" s="150"/>
      <c r="CF814" s="150"/>
      <c r="CG814" s="587"/>
    </row>
    <row r="815" spans="1:85" s="460" customFormat="1" ht="14.4" hidden="1" outlineLevel="1" x14ac:dyDescent="0.3">
      <c r="A815" s="262" t="s">
        <v>1556</v>
      </c>
      <c r="B815" s="588"/>
      <c r="C815" s="954"/>
      <c r="D815" s="954"/>
      <c r="E815" s="954"/>
      <c r="F815" s="954"/>
      <c r="G815" s="133"/>
      <c r="H815" s="133"/>
      <c r="I815" s="133"/>
      <c r="J815" s="133"/>
      <c r="K815" s="954"/>
      <c r="L815" s="133"/>
      <c r="M815" s="133"/>
      <c r="N815" s="133"/>
      <c r="O815" s="133"/>
      <c r="P815" s="954"/>
      <c r="Q815" s="133"/>
      <c r="R815" s="133"/>
      <c r="S815" s="133"/>
      <c r="T815" s="133"/>
      <c r="U815" s="954"/>
      <c r="V815" s="133"/>
      <c r="W815" s="133"/>
      <c r="X815" s="133"/>
      <c r="Y815" s="133"/>
      <c r="Z815" s="954"/>
      <c r="AA815" s="133"/>
      <c r="AB815" s="133"/>
      <c r="AC815" s="133"/>
      <c r="AD815" s="133"/>
      <c r="AE815" s="954"/>
      <c r="AF815" s="133"/>
      <c r="AG815" s="133"/>
      <c r="AH815" s="133"/>
      <c r="AI815" s="133"/>
      <c r="AJ815" s="954"/>
      <c r="AK815" s="133"/>
      <c r="AL815" s="133"/>
      <c r="AM815" s="133"/>
      <c r="AN815" s="133"/>
      <c r="AO815" s="954">
        <f>AO791+AO799+AO807</f>
        <v>-93348</v>
      </c>
      <c r="AP815" s="133"/>
      <c r="AQ815" s="133"/>
      <c r="AR815" s="133"/>
      <c r="AS815" s="133"/>
      <c r="AT815" s="954">
        <f>AT791+AT799+AT807</f>
        <v>-52829</v>
      </c>
      <c r="AU815" s="133"/>
      <c r="AV815" s="133"/>
      <c r="AW815" s="133"/>
      <c r="AX815" s="133"/>
      <c r="AY815" s="954">
        <f>AY791+AY799+AY807</f>
        <v>-110132</v>
      </c>
      <c r="AZ815" s="133"/>
      <c r="BA815" s="133"/>
      <c r="BB815" s="133"/>
      <c r="BC815" s="133"/>
      <c r="BD815" s="954">
        <f>BD791+BD799+BD807</f>
        <v>-181714</v>
      </c>
      <c r="BE815" s="133"/>
      <c r="BF815" s="133"/>
      <c r="BG815" s="133"/>
      <c r="BH815" s="133"/>
      <c r="BI815" s="954">
        <f>BI791+BI799+BI807</f>
        <v>-114219</v>
      </c>
      <c r="BJ815" s="133"/>
      <c r="BK815" s="133"/>
      <c r="BL815" s="133"/>
      <c r="BM815" s="133"/>
      <c r="BN815" s="954">
        <f>BN791+BN799+BN807</f>
        <v>-102781</v>
      </c>
      <c r="BO815" s="133"/>
      <c r="BP815" s="133"/>
      <c r="BQ815" s="133"/>
      <c r="BR815" s="133"/>
      <c r="BS815" s="954">
        <f>BS791+BS799+BS807</f>
        <v>-87544</v>
      </c>
      <c r="BT815" s="692"/>
      <c r="BU815" s="133"/>
      <c r="BV815" s="133"/>
      <c r="BW815" s="133"/>
      <c r="BX815" s="954"/>
      <c r="BY815" s="133"/>
      <c r="BZ815" s="133"/>
      <c r="CA815" s="133"/>
      <c r="CB815" s="133"/>
      <c r="CC815" s="954"/>
      <c r="CD815" s="954"/>
      <c r="CE815" s="954"/>
      <c r="CF815" s="954"/>
      <c r="CG815" s="587"/>
    </row>
    <row r="816" spans="1:85" s="461" customFormat="1" ht="14.4" hidden="1" outlineLevel="1" x14ac:dyDescent="0.3">
      <c r="A816" s="166" t="s">
        <v>1557</v>
      </c>
      <c r="B816" s="583"/>
      <c r="C816" s="957"/>
      <c r="D816" s="957"/>
      <c r="E816" s="957"/>
      <c r="F816" s="957"/>
      <c r="G816" s="120"/>
      <c r="H816" s="120"/>
      <c r="I816" s="120"/>
      <c r="J816" s="120"/>
      <c r="K816" s="957"/>
      <c r="L816" s="120"/>
      <c r="M816" s="120"/>
      <c r="N816" s="120"/>
      <c r="O816" s="120"/>
      <c r="P816" s="957"/>
      <c r="Q816" s="120"/>
      <c r="R816" s="120"/>
      <c r="S816" s="120"/>
      <c r="T816" s="120"/>
      <c r="U816" s="957"/>
      <c r="V816" s="120"/>
      <c r="W816" s="120"/>
      <c r="X816" s="120"/>
      <c r="Y816" s="120"/>
      <c r="Z816" s="957"/>
      <c r="AA816" s="120"/>
      <c r="AB816" s="120"/>
      <c r="AC816" s="120"/>
      <c r="AD816" s="120"/>
      <c r="AE816" s="957"/>
      <c r="AF816" s="120"/>
      <c r="AG816" s="120"/>
      <c r="AH816" s="120"/>
      <c r="AI816" s="120"/>
      <c r="AJ816" s="957"/>
      <c r="AK816" s="120"/>
      <c r="AL816" s="120"/>
      <c r="AM816" s="120"/>
      <c r="AN816" s="120"/>
      <c r="AO816" s="957">
        <f>SUM(AO812:AO815)</f>
        <v>187834</v>
      </c>
      <c r="AP816" s="120"/>
      <c r="AQ816" s="120"/>
      <c r="AR816" s="120"/>
      <c r="AS816" s="120"/>
      <c r="AT816" s="957">
        <f>SUM(AT812:AT815)</f>
        <v>102865</v>
      </c>
      <c r="AU816" s="120"/>
      <c r="AV816" s="120"/>
      <c r="AW816" s="120"/>
      <c r="AX816" s="120"/>
      <c r="AY816" s="957">
        <f>SUM(AY812:AY815)</f>
        <v>229020</v>
      </c>
      <c r="AZ816" s="120"/>
      <c r="BA816" s="120"/>
      <c r="BB816" s="120"/>
      <c r="BC816" s="120"/>
      <c r="BD816" s="957">
        <f>SUM(BD812:BD815)</f>
        <v>373515</v>
      </c>
      <c r="BE816" s="120"/>
      <c r="BF816" s="120"/>
      <c r="BG816" s="120"/>
      <c r="BH816" s="120"/>
      <c r="BI816" s="957">
        <f>SUM(BI812:BI815)</f>
        <v>249323</v>
      </c>
      <c r="BJ816" s="120"/>
      <c r="BK816" s="120"/>
      <c r="BL816" s="120"/>
      <c r="BM816" s="120"/>
      <c r="BN816" s="957">
        <f>SUM(BN812:BN815)</f>
        <v>189119</v>
      </c>
      <c r="BO816" s="120"/>
      <c r="BP816" s="120"/>
      <c r="BQ816" s="120"/>
      <c r="BR816" s="120"/>
      <c r="BS816" s="957">
        <f>SUM(BS812:BS815)</f>
        <v>169476</v>
      </c>
      <c r="BT816" s="694"/>
      <c r="BU816" s="120"/>
      <c r="BV816" s="120"/>
      <c r="BW816" s="120"/>
      <c r="BX816" s="957"/>
      <c r="BY816" s="120"/>
      <c r="BZ816" s="120"/>
      <c r="CA816" s="120"/>
      <c r="CB816" s="120"/>
      <c r="CC816" s="957"/>
      <c r="CD816" s="957"/>
      <c r="CE816" s="957"/>
      <c r="CF816" s="957"/>
      <c r="CG816" s="615"/>
    </row>
    <row r="817" spans="1:85" s="460" customFormat="1" ht="14.4" hidden="1" outlineLevel="1" x14ac:dyDescent="0.3">
      <c r="A817" s="262" t="s">
        <v>1558</v>
      </c>
      <c r="B817" s="588"/>
      <c r="C817" s="954"/>
      <c r="D817" s="954"/>
      <c r="E817" s="954"/>
      <c r="F817" s="954"/>
      <c r="G817" s="133"/>
      <c r="H817" s="133"/>
      <c r="I817" s="133"/>
      <c r="J817" s="133"/>
      <c r="K817" s="954"/>
      <c r="L817" s="133"/>
      <c r="M817" s="133"/>
      <c r="N817" s="133"/>
      <c r="O817" s="133"/>
      <c r="P817" s="954"/>
      <c r="Q817" s="133"/>
      <c r="R817" s="133"/>
      <c r="S817" s="133"/>
      <c r="T817" s="133"/>
      <c r="U817" s="954"/>
      <c r="V817" s="133"/>
      <c r="W817" s="133"/>
      <c r="X817" s="133"/>
      <c r="Y817" s="133"/>
      <c r="Z817" s="954"/>
      <c r="AA817" s="133"/>
      <c r="AB817" s="133"/>
      <c r="AC817" s="133"/>
      <c r="AD817" s="133"/>
      <c r="AE817" s="954"/>
      <c r="AF817" s="133"/>
      <c r="AG817" s="133"/>
      <c r="AH817" s="133"/>
      <c r="AI817" s="133"/>
      <c r="AJ817" s="954"/>
      <c r="AK817" s="133"/>
      <c r="AL817" s="133"/>
      <c r="AM817" s="133"/>
      <c r="AN817" s="133"/>
      <c r="AO817" s="954">
        <f>AO793+AO801+AO809</f>
        <v>-87287</v>
      </c>
      <c r="AP817" s="133"/>
      <c r="AQ817" s="133"/>
      <c r="AR817" s="133"/>
      <c r="AS817" s="133"/>
      <c r="AT817" s="954">
        <f>AT793+AT801+AT809</f>
        <v>-44328</v>
      </c>
      <c r="AU817" s="133"/>
      <c r="AV817" s="133"/>
      <c r="AW817" s="133"/>
      <c r="AX817" s="133"/>
      <c r="AY817" s="954">
        <f>AY793+AY801+AY809</f>
        <v>-100145</v>
      </c>
      <c r="AZ817" s="133"/>
      <c r="BA817" s="133"/>
      <c r="BB817" s="133"/>
      <c r="BC817" s="133"/>
      <c r="BD817" s="954">
        <f>BD793+BD801+BD809</f>
        <v>-161577</v>
      </c>
      <c r="BE817" s="133"/>
      <c r="BF817" s="133"/>
      <c r="BG817" s="133"/>
      <c r="BH817" s="133"/>
      <c r="BI817" s="954">
        <f>BI793+BI801+BI809</f>
        <v>-104315</v>
      </c>
      <c r="BJ817" s="133"/>
      <c r="BK817" s="133"/>
      <c r="BL817" s="133"/>
      <c r="BM817" s="133"/>
      <c r="BN817" s="954">
        <f>BN793+BN801+BN809</f>
        <v>-69179</v>
      </c>
      <c r="BO817" s="133"/>
      <c r="BP817" s="133"/>
      <c r="BQ817" s="133"/>
      <c r="BR817" s="133"/>
      <c r="BS817" s="954">
        <f>BS793+BS801+BS809</f>
        <v>-57654</v>
      </c>
      <c r="BT817" s="692"/>
      <c r="BU817" s="133"/>
      <c r="BV817" s="133"/>
      <c r="BW817" s="133"/>
      <c r="BX817" s="954"/>
      <c r="BY817" s="133"/>
      <c r="BZ817" s="133"/>
      <c r="CA817" s="133"/>
      <c r="CB817" s="133"/>
      <c r="CC817" s="954"/>
      <c r="CD817" s="954"/>
      <c r="CE817" s="954"/>
      <c r="CF817" s="954"/>
      <c r="CG817" s="587"/>
    </row>
    <row r="818" spans="1:85" s="461" customFormat="1" ht="14.4" hidden="1" outlineLevel="1" x14ac:dyDescent="0.3">
      <c r="A818" s="166" t="s">
        <v>1559</v>
      </c>
      <c r="B818" s="583"/>
      <c r="C818" s="957"/>
      <c r="D818" s="957"/>
      <c r="E818" s="957"/>
      <c r="F818" s="957"/>
      <c r="G818" s="120"/>
      <c r="H818" s="120"/>
      <c r="I818" s="120"/>
      <c r="J818" s="120"/>
      <c r="K818" s="957"/>
      <c r="L818" s="120"/>
      <c r="M818" s="120"/>
      <c r="N818" s="120"/>
      <c r="O818" s="120"/>
      <c r="P818" s="957"/>
      <c r="Q818" s="120"/>
      <c r="R818" s="120"/>
      <c r="S818" s="120"/>
      <c r="T818" s="120"/>
      <c r="U818" s="957"/>
      <c r="V818" s="120"/>
      <c r="W818" s="120"/>
      <c r="X818" s="120"/>
      <c r="Y818" s="120"/>
      <c r="Z818" s="957"/>
      <c r="AA818" s="120"/>
      <c r="AB818" s="120"/>
      <c r="AC818" s="120"/>
      <c r="AD818" s="120"/>
      <c r="AE818" s="957"/>
      <c r="AF818" s="120"/>
      <c r="AG818" s="120"/>
      <c r="AH818" s="120"/>
      <c r="AI818" s="120"/>
      <c r="AJ818" s="957"/>
      <c r="AK818" s="120"/>
      <c r="AL818" s="120"/>
      <c r="AM818" s="120"/>
      <c r="AN818" s="120"/>
      <c r="AO818" s="957">
        <f>SUM(AO816:AO817)</f>
        <v>100547</v>
      </c>
      <c r="AP818" s="120"/>
      <c r="AQ818" s="120"/>
      <c r="AR818" s="120"/>
      <c r="AS818" s="120"/>
      <c r="AT818" s="957">
        <f>SUM(AT816:AT817)</f>
        <v>58537</v>
      </c>
      <c r="AU818" s="120"/>
      <c r="AV818" s="120"/>
      <c r="AW818" s="120"/>
      <c r="AX818" s="120"/>
      <c r="AY818" s="957">
        <f>SUM(AY816:AY817)</f>
        <v>128875</v>
      </c>
      <c r="AZ818" s="120"/>
      <c r="BA818" s="120"/>
      <c r="BB818" s="120"/>
      <c r="BC818" s="120"/>
      <c r="BD818" s="957">
        <f>SUM(BD816:BD817)</f>
        <v>211938</v>
      </c>
      <c r="BE818" s="120"/>
      <c r="BF818" s="120"/>
      <c r="BG818" s="120"/>
      <c r="BH818" s="120"/>
      <c r="BI818" s="957">
        <f>SUM(BI816:BI817)</f>
        <v>145008</v>
      </c>
      <c r="BJ818" s="120"/>
      <c r="BK818" s="120"/>
      <c r="BL818" s="120"/>
      <c r="BM818" s="120"/>
      <c r="BN818" s="957">
        <f>SUM(BN816:BN817)</f>
        <v>119940</v>
      </c>
      <c r="BO818" s="120"/>
      <c r="BP818" s="120"/>
      <c r="BQ818" s="120"/>
      <c r="BR818" s="120"/>
      <c r="BS818" s="957">
        <f>SUM(BS816:BS817)</f>
        <v>111822</v>
      </c>
      <c r="BT818" s="694"/>
      <c r="BU818" s="120"/>
      <c r="BV818" s="120"/>
      <c r="BW818" s="120"/>
      <c r="BX818" s="957"/>
      <c r="BY818" s="120"/>
      <c r="BZ818" s="120"/>
      <c r="CA818" s="120"/>
      <c r="CB818" s="120"/>
      <c r="CC818" s="957"/>
      <c r="CD818" s="957"/>
      <c r="CE818" s="957"/>
      <c r="CF818" s="957"/>
      <c r="CG818" s="615"/>
    </row>
    <row r="819" spans="1:85" s="461" customFormat="1" ht="14.4" collapsed="1" x14ac:dyDescent="0.3">
      <c r="A819" s="159"/>
      <c r="B819" s="583"/>
      <c r="C819" s="957"/>
      <c r="D819" s="957"/>
      <c r="E819" s="957"/>
      <c r="F819" s="957"/>
      <c r="G819" s="120"/>
      <c r="H819" s="120"/>
      <c r="I819" s="120"/>
      <c r="J819" s="120"/>
      <c r="K819" s="957"/>
      <c r="L819" s="120"/>
      <c r="M819" s="120"/>
      <c r="N819" s="120"/>
      <c r="O819" s="120"/>
      <c r="P819" s="957"/>
      <c r="Q819" s="120"/>
      <c r="R819" s="120"/>
      <c r="S819" s="120"/>
      <c r="T819" s="120"/>
      <c r="U819" s="957"/>
      <c r="V819" s="120"/>
      <c r="W819" s="120"/>
      <c r="X819" s="120"/>
      <c r="Y819" s="120"/>
      <c r="Z819" s="957"/>
      <c r="AA819" s="120"/>
      <c r="AB819" s="120"/>
      <c r="AC819" s="120"/>
      <c r="AD819" s="120"/>
      <c r="AE819" s="957"/>
      <c r="AF819" s="120"/>
      <c r="AG819" s="120"/>
      <c r="AH819" s="120"/>
      <c r="AI819" s="120"/>
      <c r="AJ819" s="957"/>
      <c r="AK819" s="120"/>
      <c r="AL819" s="120"/>
      <c r="AM819" s="120"/>
      <c r="AN819" s="120"/>
      <c r="AO819" s="957"/>
      <c r="AP819" s="120"/>
      <c r="AQ819" s="120"/>
      <c r="AR819" s="120"/>
      <c r="AS819" s="120"/>
      <c r="AT819" s="957"/>
      <c r="AU819" s="120"/>
      <c r="AV819" s="120"/>
      <c r="AW819" s="120"/>
      <c r="AX819" s="120"/>
      <c r="AY819" s="957"/>
      <c r="AZ819" s="120"/>
      <c r="BA819" s="120"/>
      <c r="BB819" s="120"/>
      <c r="BC819" s="120"/>
      <c r="BD819" s="957"/>
      <c r="BE819" s="120"/>
      <c r="BF819" s="120"/>
      <c r="BG819" s="120"/>
      <c r="BH819" s="120"/>
      <c r="BI819" s="957"/>
      <c r="BJ819" s="120"/>
      <c r="BK819" s="120"/>
      <c r="BL819" s="120"/>
      <c r="BM819" s="120"/>
      <c r="BN819" s="957"/>
      <c r="BO819" s="120"/>
      <c r="BP819" s="120"/>
      <c r="BQ819" s="120"/>
      <c r="BR819" s="120"/>
      <c r="BS819" s="957"/>
      <c r="BT819" s="694"/>
      <c r="BU819" s="120"/>
      <c r="BV819" s="120"/>
      <c r="BW819" s="120"/>
      <c r="BX819" s="957"/>
      <c r="BY819" s="120"/>
      <c r="BZ819" s="120"/>
      <c r="CA819" s="120"/>
      <c r="CB819" s="120"/>
      <c r="CC819" s="957"/>
      <c r="CD819" s="957"/>
      <c r="CE819" s="957"/>
      <c r="CF819" s="957"/>
      <c r="CG819" s="615"/>
    </row>
    <row r="820" spans="1:85" s="462" customFormat="1" ht="14.4" x14ac:dyDescent="0.3">
      <c r="A820" s="732" t="s">
        <v>1560</v>
      </c>
      <c r="B820" s="732"/>
      <c r="C820" s="732"/>
      <c r="D820" s="732"/>
      <c r="E820" s="732"/>
      <c r="F820" s="732"/>
      <c r="G820" s="732"/>
      <c r="H820" s="732"/>
      <c r="I820" s="732"/>
      <c r="J820" s="732"/>
      <c r="K820" s="732"/>
      <c r="L820" s="732"/>
      <c r="M820" s="732"/>
      <c r="N820" s="732"/>
      <c r="O820" s="732"/>
      <c r="P820" s="732"/>
      <c r="Q820" s="732"/>
      <c r="R820" s="732"/>
      <c r="S820" s="732"/>
      <c r="T820" s="732"/>
      <c r="U820" s="732"/>
      <c r="V820" s="732"/>
      <c r="W820" s="732"/>
      <c r="X820" s="732"/>
      <c r="Y820" s="732"/>
      <c r="Z820" s="732"/>
      <c r="AA820" s="732"/>
      <c r="AB820" s="732"/>
      <c r="AC820" s="732"/>
      <c r="AD820" s="732"/>
      <c r="AE820" s="732"/>
      <c r="AF820" s="732"/>
      <c r="AG820" s="732"/>
      <c r="AH820" s="732"/>
      <c r="AI820" s="732"/>
      <c r="AJ820" s="732"/>
      <c r="AK820" s="732"/>
      <c r="AL820" s="732"/>
      <c r="AM820" s="732"/>
      <c r="AN820" s="732"/>
      <c r="AO820" s="732"/>
      <c r="AP820" s="732"/>
      <c r="AQ820" s="732"/>
      <c r="AR820" s="732"/>
      <c r="AS820" s="732"/>
      <c r="AT820" s="732"/>
      <c r="AU820" s="732"/>
      <c r="AV820" s="732"/>
      <c r="AW820" s="732"/>
      <c r="AX820" s="732"/>
      <c r="AY820" s="732"/>
      <c r="AZ820" s="732"/>
      <c r="BA820" s="732"/>
      <c r="BB820" s="732"/>
      <c r="BC820" s="732"/>
      <c r="BD820" s="732"/>
      <c r="BE820" s="732"/>
      <c r="BF820" s="732"/>
      <c r="BG820" s="732"/>
      <c r="BH820" s="732"/>
      <c r="BI820" s="732"/>
      <c r="BJ820" s="732"/>
      <c r="BK820" s="732"/>
      <c r="BL820" s="732"/>
      <c r="BM820" s="732"/>
      <c r="BN820" s="732"/>
      <c r="BO820" s="732"/>
      <c r="BP820" s="732"/>
      <c r="BQ820" s="732"/>
      <c r="BR820" s="732"/>
      <c r="BS820" s="732"/>
      <c r="BT820" s="733"/>
      <c r="BU820" s="732"/>
      <c r="BV820" s="732"/>
      <c r="BW820" s="732"/>
      <c r="BX820" s="732"/>
      <c r="BY820" s="732"/>
      <c r="BZ820" s="732"/>
      <c r="CA820" s="732"/>
      <c r="CB820" s="732"/>
      <c r="CC820" s="732"/>
      <c r="CD820" s="732"/>
      <c r="CE820" s="732"/>
      <c r="CF820" s="732"/>
      <c r="CG820" s="614"/>
    </row>
    <row r="821" spans="1:85" s="461" customFormat="1" ht="14.4" hidden="1" outlineLevel="1" x14ac:dyDescent="0.3">
      <c r="A821" s="166" t="s">
        <v>1571</v>
      </c>
      <c r="B821" s="583"/>
      <c r="C821" s="957"/>
      <c r="D821" s="957"/>
      <c r="E821" s="957"/>
      <c r="F821" s="957"/>
      <c r="G821" s="120"/>
      <c r="H821" s="120"/>
      <c r="I821" s="120"/>
      <c r="J821" s="120"/>
      <c r="K821" s="957"/>
      <c r="L821" s="120"/>
      <c r="M821" s="120"/>
      <c r="N821" s="120"/>
      <c r="O821" s="120"/>
      <c r="P821" s="957"/>
      <c r="Q821" s="120"/>
      <c r="R821" s="120"/>
      <c r="S821" s="120"/>
      <c r="T821" s="120"/>
      <c r="U821" s="957"/>
      <c r="V821" s="120"/>
      <c r="W821" s="120"/>
      <c r="X821" s="120"/>
      <c r="Y821" s="120"/>
      <c r="Z821" s="957"/>
      <c r="AA821" s="120"/>
      <c r="AB821" s="120"/>
      <c r="AC821" s="120"/>
      <c r="AD821" s="120"/>
      <c r="AE821" s="957"/>
      <c r="AF821" s="120"/>
      <c r="AG821" s="120"/>
      <c r="AH821" s="120"/>
      <c r="AI821" s="120"/>
      <c r="AJ821" s="957"/>
      <c r="AK821" s="120"/>
      <c r="AL821" s="120"/>
      <c r="AM821" s="120"/>
      <c r="AN821" s="120"/>
      <c r="AO821" s="983">
        <v>94631</v>
      </c>
      <c r="AP821" s="120"/>
      <c r="AQ821" s="120"/>
      <c r="AR821" s="120"/>
      <c r="AS821" s="120"/>
      <c r="AT821" s="983">
        <v>80396</v>
      </c>
      <c r="AU821" s="120"/>
      <c r="AV821" s="120"/>
      <c r="AW821" s="120"/>
      <c r="AX821" s="120"/>
      <c r="AY821" s="983">
        <v>48443</v>
      </c>
      <c r="AZ821" s="120"/>
      <c r="BA821" s="120"/>
      <c r="BB821" s="120"/>
      <c r="BC821" s="120"/>
      <c r="BD821" s="983">
        <v>103884</v>
      </c>
      <c r="BE821" s="120"/>
      <c r="BF821" s="120"/>
      <c r="BG821" s="120"/>
      <c r="BH821" s="120"/>
      <c r="BI821" s="983">
        <v>170472</v>
      </c>
      <c r="BJ821" s="120"/>
      <c r="BK821" s="120"/>
      <c r="BL821" s="120"/>
      <c r="BM821" s="120"/>
      <c r="BN821" s="983">
        <v>118757</v>
      </c>
      <c r="BO821" s="120"/>
      <c r="BP821" s="120"/>
      <c r="BQ821" s="120"/>
      <c r="BR821" s="120"/>
      <c r="BS821" s="983">
        <v>95888</v>
      </c>
      <c r="BT821" s="694"/>
      <c r="BU821" s="120"/>
      <c r="BV821" s="120"/>
      <c r="BW821" s="120"/>
      <c r="BX821" s="957"/>
      <c r="BY821" s="120"/>
      <c r="BZ821" s="120"/>
      <c r="CA821" s="120"/>
      <c r="CB821" s="120"/>
      <c r="CC821" s="957"/>
      <c r="CD821" s="957"/>
      <c r="CE821" s="957"/>
      <c r="CF821" s="957"/>
      <c r="CG821" s="615"/>
    </row>
    <row r="822" spans="1:85" s="460" customFormat="1" ht="14.4" hidden="1" outlineLevel="1" x14ac:dyDescent="0.3">
      <c r="A822" s="591" t="s">
        <v>1561</v>
      </c>
      <c r="B822" s="586"/>
      <c r="C822" s="150"/>
      <c r="D822" s="150"/>
      <c r="E822" s="150"/>
      <c r="F822" s="150"/>
      <c r="G822" s="117"/>
      <c r="H822" s="117"/>
      <c r="I822" s="117"/>
      <c r="J822" s="117"/>
      <c r="K822" s="150"/>
      <c r="L822" s="117"/>
      <c r="M822" s="117"/>
      <c r="N822" s="117"/>
      <c r="O822" s="117"/>
      <c r="P822" s="150"/>
      <c r="Q822" s="117"/>
      <c r="R822" s="117"/>
      <c r="S822" s="117"/>
      <c r="T822" s="117"/>
      <c r="U822" s="150"/>
      <c r="V822" s="117"/>
      <c r="W822" s="117"/>
      <c r="X822" s="117"/>
      <c r="Y822" s="117"/>
      <c r="Z822" s="150"/>
      <c r="AA822" s="117"/>
      <c r="AB822" s="117"/>
      <c r="AC822" s="117"/>
      <c r="AD822" s="117"/>
      <c r="AE822" s="150"/>
      <c r="AF822" s="117"/>
      <c r="AG822" s="117"/>
      <c r="AH822" s="117"/>
      <c r="AI822" s="117"/>
      <c r="AJ822" s="150"/>
      <c r="AK822" s="117"/>
      <c r="AL822" s="117"/>
      <c r="AM822" s="117"/>
      <c r="AN822" s="117"/>
      <c r="AO822" s="975">
        <v>-29436</v>
      </c>
      <c r="AP822" s="117"/>
      <c r="AQ822" s="117"/>
      <c r="AR822" s="117"/>
      <c r="AS822" s="117"/>
      <c r="AT822" s="975">
        <v>-16621</v>
      </c>
      <c r="AU822" s="117"/>
      <c r="AV822" s="117"/>
      <c r="AW822" s="117"/>
      <c r="AX822" s="117"/>
      <c r="AY822" s="975">
        <v>-34668</v>
      </c>
      <c r="AZ822" s="117"/>
      <c r="BA822" s="117"/>
      <c r="BB822" s="117"/>
      <c r="BC822" s="117"/>
      <c r="BD822" s="975">
        <v>-53356</v>
      </c>
      <c r="BE822" s="117"/>
      <c r="BF822" s="117"/>
      <c r="BG822" s="117"/>
      <c r="BH822" s="117"/>
      <c r="BI822" s="975">
        <v>-38638</v>
      </c>
      <c r="BJ822" s="117"/>
      <c r="BK822" s="117"/>
      <c r="BL822" s="117"/>
      <c r="BM822" s="117"/>
      <c r="BN822" s="975">
        <v>-38457</v>
      </c>
      <c r="BO822" s="117"/>
      <c r="BP822" s="117"/>
      <c r="BQ822" s="117"/>
      <c r="BR822" s="117"/>
      <c r="BS822" s="975">
        <v>-38786</v>
      </c>
      <c r="BT822" s="691"/>
      <c r="BU822" s="117"/>
      <c r="BV822" s="117"/>
      <c r="BW822" s="117"/>
      <c r="BX822" s="150"/>
      <c r="BY822" s="117"/>
      <c r="BZ822" s="117"/>
      <c r="CA822" s="117"/>
      <c r="CB822" s="117"/>
      <c r="CC822" s="150"/>
      <c r="CD822" s="150"/>
      <c r="CE822" s="150"/>
      <c r="CF822" s="150"/>
      <c r="CG822" s="587"/>
    </row>
    <row r="823" spans="1:85" s="460" customFormat="1" ht="14.4" hidden="1" outlineLevel="1" x14ac:dyDescent="0.3">
      <c r="A823" s="591" t="s">
        <v>1562</v>
      </c>
      <c r="B823" s="586"/>
      <c r="C823" s="150"/>
      <c r="D823" s="150"/>
      <c r="E823" s="150"/>
      <c r="F823" s="150"/>
      <c r="G823" s="117"/>
      <c r="H823" s="117"/>
      <c r="I823" s="117"/>
      <c r="J823" s="117"/>
      <c r="K823" s="150"/>
      <c r="L823" s="117"/>
      <c r="M823" s="117"/>
      <c r="N823" s="117"/>
      <c r="O823" s="117"/>
      <c r="P823" s="150"/>
      <c r="Q823" s="117"/>
      <c r="R823" s="117"/>
      <c r="S823" s="117"/>
      <c r="T823" s="117"/>
      <c r="U823" s="150"/>
      <c r="V823" s="117"/>
      <c r="W823" s="117"/>
      <c r="X823" s="117"/>
      <c r="Y823" s="117"/>
      <c r="Z823" s="150"/>
      <c r="AA823" s="117"/>
      <c r="AB823" s="117"/>
      <c r="AC823" s="117"/>
      <c r="AD823" s="117"/>
      <c r="AE823" s="150"/>
      <c r="AF823" s="117"/>
      <c r="AG823" s="117"/>
      <c r="AH823" s="117"/>
      <c r="AI823" s="117"/>
      <c r="AJ823" s="150"/>
      <c r="AK823" s="117"/>
      <c r="AL823" s="117"/>
      <c r="AM823" s="117"/>
      <c r="AN823" s="117"/>
      <c r="AO823" s="975">
        <v>10497</v>
      </c>
      <c r="AP823" s="117"/>
      <c r="AQ823" s="117"/>
      <c r="AR823" s="117"/>
      <c r="AS823" s="117"/>
      <c r="AT823" s="975">
        <v>6301</v>
      </c>
      <c r="AU823" s="117"/>
      <c r="AV823" s="117"/>
      <c r="AW823" s="117"/>
      <c r="AX823" s="117"/>
      <c r="AY823" s="975">
        <v>5770</v>
      </c>
      <c r="AZ823" s="117"/>
      <c r="BA823" s="117"/>
      <c r="BB823" s="117"/>
      <c r="BC823" s="117"/>
      <c r="BD823" s="975">
        <v>7962</v>
      </c>
      <c r="BE823" s="117"/>
      <c r="BF823" s="117"/>
      <c r="BG823" s="117"/>
      <c r="BH823" s="117"/>
      <c r="BI823" s="975">
        <v>11381</v>
      </c>
      <c r="BJ823" s="117"/>
      <c r="BK823" s="117"/>
      <c r="BL823" s="117"/>
      <c r="BM823" s="117"/>
      <c r="BN823" s="975">
        <v>12809</v>
      </c>
      <c r="BO823" s="117"/>
      <c r="BP823" s="117"/>
      <c r="BQ823" s="117"/>
      <c r="BR823" s="117"/>
      <c r="BS823" s="975">
        <v>13035</v>
      </c>
      <c r="BT823" s="691"/>
      <c r="BU823" s="117"/>
      <c r="BV823" s="117"/>
      <c r="BW823" s="117"/>
      <c r="BX823" s="150"/>
      <c r="BY823" s="117"/>
      <c r="BZ823" s="117"/>
      <c r="CA823" s="117"/>
      <c r="CB823" s="117"/>
      <c r="CC823" s="150"/>
      <c r="CD823" s="150"/>
      <c r="CE823" s="150"/>
      <c r="CF823" s="150"/>
      <c r="CG823" s="587"/>
    </row>
    <row r="824" spans="1:85" s="460" customFormat="1" ht="14.4" hidden="1" outlineLevel="1" x14ac:dyDescent="0.3">
      <c r="A824" s="591" t="s">
        <v>1563</v>
      </c>
      <c r="B824" s="586"/>
      <c r="C824" s="150"/>
      <c r="D824" s="150"/>
      <c r="E824" s="150"/>
      <c r="F824" s="150"/>
      <c r="G824" s="117"/>
      <c r="H824" s="117"/>
      <c r="I824" s="117"/>
      <c r="J824" s="117"/>
      <c r="K824" s="150"/>
      <c r="L824" s="117"/>
      <c r="M824" s="117"/>
      <c r="N824" s="117"/>
      <c r="O824" s="117"/>
      <c r="P824" s="150"/>
      <c r="Q824" s="117"/>
      <c r="R824" s="117"/>
      <c r="S824" s="117"/>
      <c r="T824" s="117"/>
      <c r="U824" s="150"/>
      <c r="V824" s="117"/>
      <c r="W824" s="117"/>
      <c r="X824" s="117"/>
      <c r="Y824" s="117"/>
      <c r="Z824" s="150"/>
      <c r="AA824" s="117"/>
      <c r="AB824" s="117"/>
      <c r="AC824" s="117"/>
      <c r="AD824" s="117"/>
      <c r="AE824" s="150"/>
      <c r="AF824" s="117"/>
      <c r="AG824" s="117"/>
      <c r="AH824" s="117"/>
      <c r="AI824" s="117"/>
      <c r="AJ824" s="150"/>
      <c r="AK824" s="117"/>
      <c r="AL824" s="117"/>
      <c r="AM824" s="117"/>
      <c r="AN824" s="117"/>
      <c r="AO824" s="975">
        <v>406</v>
      </c>
      <c r="AP824" s="117"/>
      <c r="AQ824" s="117"/>
      <c r="AR824" s="117"/>
      <c r="AS824" s="117"/>
      <c r="AT824" s="975">
        <v>10295</v>
      </c>
      <c r="AU824" s="117"/>
      <c r="AV824" s="117"/>
      <c r="AW824" s="117"/>
      <c r="AX824" s="117"/>
      <c r="AY824" s="975">
        <v>772</v>
      </c>
      <c r="AZ824" s="117"/>
      <c r="BA824" s="117"/>
      <c r="BB824" s="117"/>
      <c r="BC824" s="117"/>
      <c r="BD824" s="975">
        <v>2248</v>
      </c>
      <c r="BE824" s="117"/>
      <c r="BF824" s="117"/>
      <c r="BG824" s="117"/>
      <c r="BH824" s="117"/>
      <c r="BI824" s="975">
        <v>9628</v>
      </c>
      <c r="BJ824" s="117"/>
      <c r="BK824" s="117"/>
      <c r="BL824" s="117"/>
      <c r="BM824" s="117"/>
      <c r="BN824" s="975">
        <v>1607</v>
      </c>
      <c r="BO824" s="117"/>
      <c r="BP824" s="117"/>
      <c r="BQ824" s="117"/>
      <c r="BR824" s="117"/>
      <c r="BS824" s="975">
        <v>18711</v>
      </c>
      <c r="BT824" s="691"/>
      <c r="BU824" s="117"/>
      <c r="BV824" s="117"/>
      <c r="BW824" s="117"/>
      <c r="BX824" s="150"/>
      <c r="BY824" s="117"/>
      <c r="BZ824" s="117"/>
      <c r="CA824" s="117"/>
      <c r="CB824" s="117"/>
      <c r="CC824" s="150"/>
      <c r="CD824" s="150"/>
      <c r="CE824" s="150"/>
      <c r="CF824" s="150"/>
      <c r="CG824" s="587"/>
    </row>
    <row r="825" spans="1:85" s="460" customFormat="1" ht="14.4" hidden="1" outlineLevel="1" x14ac:dyDescent="0.3">
      <c r="A825" s="591" t="s">
        <v>1564</v>
      </c>
      <c r="B825" s="586"/>
      <c r="C825" s="150"/>
      <c r="D825" s="150"/>
      <c r="E825" s="150"/>
      <c r="F825" s="150"/>
      <c r="G825" s="117"/>
      <c r="H825" s="117"/>
      <c r="I825" s="117"/>
      <c r="J825" s="117"/>
      <c r="K825" s="150"/>
      <c r="L825" s="117"/>
      <c r="M825" s="117"/>
      <c r="N825" s="117"/>
      <c r="O825" s="117"/>
      <c r="P825" s="150"/>
      <c r="Q825" s="117"/>
      <c r="R825" s="117"/>
      <c r="S825" s="117"/>
      <c r="T825" s="117"/>
      <c r="U825" s="150"/>
      <c r="V825" s="117"/>
      <c r="W825" s="117"/>
      <c r="X825" s="117"/>
      <c r="Y825" s="117"/>
      <c r="Z825" s="150"/>
      <c r="AA825" s="117"/>
      <c r="AB825" s="117"/>
      <c r="AC825" s="117"/>
      <c r="AD825" s="117"/>
      <c r="AE825" s="150"/>
      <c r="AF825" s="117"/>
      <c r="AG825" s="117"/>
      <c r="AH825" s="117"/>
      <c r="AI825" s="117"/>
      <c r="AJ825" s="150"/>
      <c r="AK825" s="117"/>
      <c r="AL825" s="117"/>
      <c r="AM825" s="117"/>
      <c r="AN825" s="117"/>
      <c r="AO825" s="975">
        <v>-579</v>
      </c>
      <c r="AP825" s="117"/>
      <c r="AQ825" s="117"/>
      <c r="AR825" s="117"/>
      <c r="AS825" s="117"/>
      <c r="AT825" s="975">
        <v>-803</v>
      </c>
      <c r="AU825" s="117"/>
      <c r="AV825" s="117"/>
      <c r="AW825" s="117"/>
      <c r="AX825" s="117"/>
      <c r="AY825" s="975">
        <v>-889</v>
      </c>
      <c r="AZ825" s="117"/>
      <c r="BA825" s="117"/>
      <c r="BB825" s="117"/>
      <c r="BC825" s="117"/>
      <c r="BD825" s="975">
        <v>-1807</v>
      </c>
      <c r="BE825" s="117"/>
      <c r="BF825" s="117"/>
      <c r="BG825" s="117"/>
      <c r="BH825" s="117"/>
      <c r="BI825" s="975">
        <v>-51</v>
      </c>
      <c r="BJ825" s="117"/>
      <c r="BK825" s="117"/>
      <c r="BL825" s="117"/>
      <c r="BM825" s="117"/>
      <c r="BN825" s="975">
        <v>-8904</v>
      </c>
      <c r="BO825" s="117"/>
      <c r="BP825" s="117"/>
      <c r="BQ825" s="117"/>
      <c r="BR825" s="117"/>
      <c r="BS825" s="975">
        <v>-1181</v>
      </c>
      <c r="BT825" s="691"/>
      <c r="BU825" s="117"/>
      <c r="BV825" s="117"/>
      <c r="BW825" s="117"/>
      <c r="BX825" s="150"/>
      <c r="BY825" s="117"/>
      <c r="BZ825" s="117"/>
      <c r="CA825" s="117"/>
      <c r="CB825" s="117"/>
      <c r="CC825" s="150"/>
      <c r="CD825" s="150"/>
      <c r="CE825" s="150"/>
      <c r="CF825" s="150"/>
      <c r="CG825" s="587"/>
    </row>
    <row r="826" spans="1:85" s="460" customFormat="1" ht="14.4" hidden="1" outlineLevel="1" x14ac:dyDescent="0.3">
      <c r="A826" s="591" t="s">
        <v>1565</v>
      </c>
      <c r="B826" s="586"/>
      <c r="C826" s="150"/>
      <c r="D826" s="150"/>
      <c r="E826" s="150"/>
      <c r="F826" s="150"/>
      <c r="G826" s="117"/>
      <c r="H826" s="117"/>
      <c r="I826" s="117"/>
      <c r="J826" s="117"/>
      <c r="K826" s="150"/>
      <c r="L826" s="117"/>
      <c r="M826" s="117"/>
      <c r="N826" s="117"/>
      <c r="O826" s="117"/>
      <c r="P826" s="150"/>
      <c r="Q826" s="117"/>
      <c r="R826" s="117"/>
      <c r="S826" s="117"/>
      <c r="T826" s="117"/>
      <c r="U826" s="150"/>
      <c r="V826" s="117"/>
      <c r="W826" s="117"/>
      <c r="X826" s="117"/>
      <c r="Y826" s="117"/>
      <c r="Z826" s="150"/>
      <c r="AA826" s="117"/>
      <c r="AB826" s="117"/>
      <c r="AC826" s="117"/>
      <c r="AD826" s="117"/>
      <c r="AE826" s="150"/>
      <c r="AF826" s="117"/>
      <c r="AG826" s="117"/>
      <c r="AH826" s="117"/>
      <c r="AI826" s="117"/>
      <c r="AJ826" s="150"/>
      <c r="AK826" s="117"/>
      <c r="AL826" s="117"/>
      <c r="AM826" s="117"/>
      <c r="AN826" s="117"/>
      <c r="AO826" s="975">
        <v>5697</v>
      </c>
      <c r="AP826" s="117"/>
      <c r="AQ826" s="117"/>
      <c r="AR826" s="117"/>
      <c r="AS826" s="117"/>
      <c r="AT826" s="975">
        <v>2066</v>
      </c>
      <c r="AU826" s="117"/>
      <c r="AV826" s="117"/>
      <c r="AW826" s="117"/>
      <c r="AX826" s="117"/>
      <c r="AY826" s="975">
        <v>12091</v>
      </c>
      <c r="AZ826" s="117"/>
      <c r="BA826" s="117"/>
      <c r="BB826" s="117"/>
      <c r="BC826" s="117"/>
      <c r="BD826" s="975">
        <v>16054</v>
      </c>
      <c r="BE826" s="117"/>
      <c r="BF826" s="117"/>
      <c r="BG826" s="117"/>
      <c r="BH826" s="117"/>
      <c r="BI826" s="975">
        <v>7262</v>
      </c>
      <c r="BJ826" s="117"/>
      <c r="BK826" s="117"/>
      <c r="BL826" s="117"/>
      <c r="BM826" s="117"/>
      <c r="BN826" s="975">
        <v>7328</v>
      </c>
      <c r="BO826" s="117"/>
      <c r="BP826" s="117"/>
      <c r="BQ826" s="117"/>
      <c r="BR826" s="117"/>
      <c r="BS826" s="975">
        <v>8368</v>
      </c>
      <c r="BT826" s="691"/>
      <c r="BU826" s="117"/>
      <c r="BV826" s="117"/>
      <c r="BW826" s="117"/>
      <c r="BX826" s="150"/>
      <c r="BY826" s="117"/>
      <c r="BZ826" s="117"/>
      <c r="CA826" s="117"/>
      <c r="CB826" s="117"/>
      <c r="CC826" s="150"/>
      <c r="CD826" s="150"/>
      <c r="CE826" s="150"/>
      <c r="CF826" s="150"/>
      <c r="CG826" s="587"/>
    </row>
    <row r="827" spans="1:85" s="460" customFormat="1" ht="14.4" hidden="1" outlineLevel="1" x14ac:dyDescent="0.3">
      <c r="A827" s="591" t="s">
        <v>1566</v>
      </c>
      <c r="B827" s="586"/>
      <c r="C827" s="150"/>
      <c r="D827" s="150"/>
      <c r="E827" s="150"/>
      <c r="F827" s="150"/>
      <c r="G827" s="117"/>
      <c r="H827" s="117"/>
      <c r="I827" s="117"/>
      <c r="J827" s="117"/>
      <c r="K827" s="150"/>
      <c r="L827" s="117"/>
      <c r="M827" s="117"/>
      <c r="N827" s="117"/>
      <c r="O827" s="117"/>
      <c r="P827" s="150"/>
      <c r="Q827" s="117"/>
      <c r="R827" s="117"/>
      <c r="S827" s="117"/>
      <c r="T827" s="117"/>
      <c r="U827" s="150"/>
      <c r="V827" s="117"/>
      <c r="W827" s="117"/>
      <c r="X827" s="117"/>
      <c r="Y827" s="117"/>
      <c r="Z827" s="150"/>
      <c r="AA827" s="117"/>
      <c r="AB827" s="117"/>
      <c r="AC827" s="117"/>
      <c r="AD827" s="117"/>
      <c r="AE827" s="150"/>
      <c r="AF827" s="117"/>
      <c r="AG827" s="117"/>
      <c r="AH827" s="117"/>
      <c r="AI827" s="117"/>
      <c r="AJ827" s="150"/>
      <c r="AK827" s="117"/>
      <c r="AL827" s="117"/>
      <c r="AM827" s="117"/>
      <c r="AN827" s="117"/>
      <c r="AO827" s="975">
        <v>621</v>
      </c>
      <c r="AP827" s="117"/>
      <c r="AQ827" s="117"/>
      <c r="AR827" s="117"/>
      <c r="AS827" s="117"/>
      <c r="AT827" s="975">
        <v>-1293</v>
      </c>
      <c r="AU827" s="117"/>
      <c r="AV827" s="117"/>
      <c r="AW827" s="117"/>
      <c r="AX827" s="117"/>
      <c r="AY827" s="975">
        <v>2269</v>
      </c>
      <c r="AZ827" s="117"/>
      <c r="BA827" s="117"/>
      <c r="BB827" s="117"/>
      <c r="BC827" s="117"/>
      <c r="BD827" s="975">
        <v>5281</v>
      </c>
      <c r="BE827" s="117"/>
      <c r="BF827" s="117"/>
      <c r="BG827" s="117"/>
      <c r="BH827" s="117"/>
      <c r="BI827" s="975">
        <v>-14389</v>
      </c>
      <c r="BJ827" s="117"/>
      <c r="BK827" s="117"/>
      <c r="BL827" s="117"/>
      <c r="BM827" s="117"/>
      <c r="BN827" s="975">
        <v>2897</v>
      </c>
      <c r="BO827" s="117"/>
      <c r="BP827" s="117"/>
      <c r="BQ827" s="117"/>
      <c r="BR827" s="117"/>
      <c r="BS827" s="975">
        <v>6688</v>
      </c>
      <c r="BT827" s="691"/>
      <c r="BU827" s="117"/>
      <c r="BV827" s="117"/>
      <c r="BW827" s="117"/>
      <c r="BX827" s="150"/>
      <c r="BY827" s="117"/>
      <c r="BZ827" s="117"/>
      <c r="CA827" s="117"/>
      <c r="CB827" s="117"/>
      <c r="CC827" s="150"/>
      <c r="CD827" s="150"/>
      <c r="CE827" s="150"/>
      <c r="CF827" s="150"/>
      <c r="CG827" s="587"/>
    </row>
    <row r="828" spans="1:85" s="460" customFormat="1" ht="14.4" hidden="1" outlineLevel="1" x14ac:dyDescent="0.3">
      <c r="A828" s="591" t="s">
        <v>1567</v>
      </c>
      <c r="B828" s="586"/>
      <c r="C828" s="150"/>
      <c r="D828" s="150"/>
      <c r="E828" s="150"/>
      <c r="F828" s="150"/>
      <c r="G828" s="117"/>
      <c r="H828" s="117"/>
      <c r="I828" s="117"/>
      <c r="J828" s="117"/>
      <c r="K828" s="150"/>
      <c r="L828" s="117"/>
      <c r="M828" s="117"/>
      <c r="N828" s="117"/>
      <c r="O828" s="117"/>
      <c r="P828" s="150"/>
      <c r="Q828" s="117"/>
      <c r="R828" s="117"/>
      <c r="S828" s="117"/>
      <c r="T828" s="117"/>
      <c r="U828" s="150"/>
      <c r="V828" s="117"/>
      <c r="W828" s="117"/>
      <c r="X828" s="117"/>
      <c r="Y828" s="117"/>
      <c r="Z828" s="150"/>
      <c r="AA828" s="117"/>
      <c r="AB828" s="117"/>
      <c r="AC828" s="117"/>
      <c r="AD828" s="117"/>
      <c r="AE828" s="150"/>
      <c r="AF828" s="117"/>
      <c r="AG828" s="117"/>
      <c r="AH828" s="117"/>
      <c r="AI828" s="117"/>
      <c r="AJ828" s="150"/>
      <c r="AK828" s="117"/>
      <c r="AL828" s="117"/>
      <c r="AM828" s="117"/>
      <c r="AN828" s="117"/>
      <c r="AO828" s="975">
        <v>-25056</v>
      </c>
      <c r="AP828" s="117"/>
      <c r="AQ828" s="117"/>
      <c r="AR828" s="117"/>
      <c r="AS828" s="117"/>
      <c r="AT828" s="975">
        <v>-62788</v>
      </c>
      <c r="AU828" s="117"/>
      <c r="AV828" s="117"/>
      <c r="AW828" s="117"/>
      <c r="AX828" s="117"/>
      <c r="AY828" s="975">
        <v>89031</v>
      </c>
      <c r="AZ828" s="117"/>
      <c r="BA828" s="117"/>
      <c r="BB828" s="117"/>
      <c r="BC828" s="117"/>
      <c r="BD828" s="975">
        <v>110467</v>
      </c>
      <c r="BE828" s="117"/>
      <c r="BF828" s="117"/>
      <c r="BG828" s="117"/>
      <c r="BH828" s="117"/>
      <c r="BI828" s="975">
        <v>-80284</v>
      </c>
      <c r="BJ828" s="117"/>
      <c r="BK828" s="117"/>
      <c r="BL828" s="117"/>
      <c r="BM828" s="117"/>
      <c r="BN828" s="975">
        <v>-17755</v>
      </c>
      <c r="BO828" s="117"/>
      <c r="BP828" s="117"/>
      <c r="BQ828" s="117"/>
      <c r="BR828" s="117"/>
      <c r="BS828" s="975">
        <v>-28416</v>
      </c>
      <c r="BT828" s="691"/>
      <c r="BU828" s="117"/>
      <c r="BV828" s="117"/>
      <c r="BW828" s="117"/>
      <c r="BX828" s="150"/>
      <c r="BY828" s="117"/>
      <c r="BZ828" s="117"/>
      <c r="CA828" s="117"/>
      <c r="CB828" s="117"/>
      <c r="CC828" s="150"/>
      <c r="CD828" s="150"/>
      <c r="CE828" s="150"/>
      <c r="CF828" s="150"/>
      <c r="CG828" s="587"/>
    </row>
    <row r="829" spans="1:85" s="460" customFormat="1" ht="14.4" hidden="1" outlineLevel="1" x14ac:dyDescent="0.3">
      <c r="A829" s="591" t="s">
        <v>1568</v>
      </c>
      <c r="B829" s="586"/>
      <c r="C829" s="150"/>
      <c r="D829" s="150"/>
      <c r="E829" s="150"/>
      <c r="F829" s="150"/>
      <c r="G829" s="117"/>
      <c r="H829" s="117"/>
      <c r="I829" s="117"/>
      <c r="J829" s="117"/>
      <c r="K829" s="150"/>
      <c r="L829" s="117"/>
      <c r="M829" s="117"/>
      <c r="N829" s="117"/>
      <c r="O829" s="117"/>
      <c r="P829" s="150"/>
      <c r="Q829" s="117"/>
      <c r="R829" s="117"/>
      <c r="S829" s="117"/>
      <c r="T829" s="117"/>
      <c r="U829" s="150"/>
      <c r="V829" s="117"/>
      <c r="W829" s="117"/>
      <c r="X829" s="117"/>
      <c r="Y829" s="117"/>
      <c r="Z829" s="150"/>
      <c r="AA829" s="117"/>
      <c r="AB829" s="117"/>
      <c r="AC829" s="117"/>
      <c r="AD829" s="117"/>
      <c r="AE829" s="150"/>
      <c r="AF829" s="117"/>
      <c r="AG829" s="117"/>
      <c r="AH829" s="117"/>
      <c r="AI829" s="117"/>
      <c r="AJ829" s="150"/>
      <c r="AK829" s="117"/>
      <c r="AL829" s="117"/>
      <c r="AM829" s="117"/>
      <c r="AN829" s="117"/>
      <c r="AO829" s="975">
        <v>13538</v>
      </c>
      <c r="AP829" s="117"/>
      <c r="AQ829" s="117"/>
      <c r="AR829" s="117"/>
      <c r="AS829" s="117"/>
      <c r="AT829" s="975">
        <v>11274</v>
      </c>
      <c r="AU829" s="117"/>
      <c r="AV829" s="117"/>
      <c r="AW829" s="117"/>
      <c r="AX829" s="117"/>
      <c r="AY829" s="975">
        <v>6657</v>
      </c>
      <c r="AZ829" s="117"/>
      <c r="BA829" s="117"/>
      <c r="BB829" s="117"/>
      <c r="BC829" s="117"/>
      <c r="BD829" s="975">
        <v>14075</v>
      </c>
      <c r="BE829" s="117"/>
      <c r="BF829" s="117"/>
      <c r="BG829" s="117"/>
      <c r="BH829" s="117"/>
      <c r="BI829" s="975">
        <v>23306</v>
      </c>
      <c r="BJ829" s="117"/>
      <c r="BK829" s="117"/>
      <c r="BL829" s="117"/>
      <c r="BM829" s="117"/>
      <c r="BN829" s="975">
        <v>15867</v>
      </c>
      <c r="BO829" s="117"/>
      <c r="BP829" s="117"/>
      <c r="BQ829" s="117"/>
      <c r="BR829" s="117"/>
      <c r="BS829" s="975">
        <v>13511</v>
      </c>
      <c r="BT829" s="691"/>
      <c r="BU829" s="117"/>
      <c r="BV829" s="117"/>
      <c r="BW829" s="117"/>
      <c r="BX829" s="150"/>
      <c r="BY829" s="117"/>
      <c r="BZ829" s="117"/>
      <c r="CA829" s="117"/>
      <c r="CB829" s="117"/>
      <c r="CC829" s="150"/>
      <c r="CD829" s="150"/>
      <c r="CE829" s="150"/>
      <c r="CF829" s="150"/>
      <c r="CG829" s="587"/>
    </row>
    <row r="830" spans="1:85" s="460" customFormat="1" ht="14.4" hidden="1" outlineLevel="1" x14ac:dyDescent="0.3">
      <c r="A830" s="592" t="s">
        <v>1569</v>
      </c>
      <c r="B830" s="588"/>
      <c r="C830" s="954"/>
      <c r="D830" s="954"/>
      <c r="E830" s="954"/>
      <c r="F830" s="954"/>
      <c r="G830" s="133"/>
      <c r="H830" s="133"/>
      <c r="I830" s="133"/>
      <c r="J830" s="133"/>
      <c r="K830" s="954"/>
      <c r="L830" s="133"/>
      <c r="M830" s="133"/>
      <c r="N830" s="133"/>
      <c r="O830" s="133"/>
      <c r="P830" s="954"/>
      <c r="Q830" s="133"/>
      <c r="R830" s="133"/>
      <c r="S830" s="133"/>
      <c r="T830" s="133"/>
      <c r="U830" s="954"/>
      <c r="V830" s="133"/>
      <c r="W830" s="133"/>
      <c r="X830" s="133"/>
      <c r="Y830" s="133"/>
      <c r="Z830" s="954"/>
      <c r="AA830" s="133"/>
      <c r="AB830" s="133"/>
      <c r="AC830" s="133"/>
      <c r="AD830" s="133"/>
      <c r="AE830" s="954"/>
      <c r="AF830" s="133"/>
      <c r="AG830" s="133"/>
      <c r="AH830" s="133"/>
      <c r="AI830" s="133"/>
      <c r="AJ830" s="954"/>
      <c r="AK830" s="133"/>
      <c r="AL830" s="133"/>
      <c r="AM830" s="133"/>
      <c r="AN830" s="133"/>
      <c r="AO830" s="976">
        <v>10077</v>
      </c>
      <c r="AP830" s="133"/>
      <c r="AQ830" s="133"/>
      <c r="AR830" s="133"/>
      <c r="AS830" s="133"/>
      <c r="AT830" s="976">
        <v>19616</v>
      </c>
      <c r="AU830" s="133"/>
      <c r="AV830" s="133"/>
      <c r="AW830" s="133"/>
      <c r="AX830" s="133"/>
      <c r="AY830" s="976">
        <v>-25592</v>
      </c>
      <c r="AZ830" s="133"/>
      <c r="BA830" s="133"/>
      <c r="BB830" s="133"/>
      <c r="BC830" s="133"/>
      <c r="BD830" s="976">
        <v>-34336</v>
      </c>
      <c r="BE830" s="133"/>
      <c r="BF830" s="133"/>
      <c r="BG830" s="133"/>
      <c r="BH830" s="133"/>
      <c r="BI830" s="976">
        <v>30070</v>
      </c>
      <c r="BJ830" s="133"/>
      <c r="BK830" s="133"/>
      <c r="BL830" s="133"/>
      <c r="BM830" s="133"/>
      <c r="BN830" s="976">
        <v>1739</v>
      </c>
      <c r="BO830" s="133"/>
      <c r="BP830" s="133"/>
      <c r="BQ830" s="133"/>
      <c r="BR830" s="133"/>
      <c r="BS830" s="976">
        <v>4926</v>
      </c>
      <c r="BT830" s="692"/>
      <c r="BU830" s="133"/>
      <c r="BV830" s="133"/>
      <c r="BW830" s="133"/>
      <c r="BX830" s="954"/>
      <c r="BY830" s="133"/>
      <c r="BZ830" s="133"/>
      <c r="CA830" s="133"/>
      <c r="CB830" s="133"/>
      <c r="CC830" s="954"/>
      <c r="CD830" s="954"/>
      <c r="CE830" s="954"/>
      <c r="CF830" s="954"/>
      <c r="CG830" s="587"/>
    </row>
    <row r="831" spans="1:85" s="460" customFormat="1" ht="14.4" hidden="1" outlineLevel="1" x14ac:dyDescent="0.3">
      <c r="A831" s="262" t="s">
        <v>1570</v>
      </c>
      <c r="B831" s="588"/>
      <c r="C831" s="954"/>
      <c r="D831" s="954"/>
      <c r="E831" s="954"/>
      <c r="F831" s="954"/>
      <c r="G831" s="133"/>
      <c r="H831" s="133"/>
      <c r="I831" s="133"/>
      <c r="J831" s="133"/>
      <c r="K831" s="954"/>
      <c r="L831" s="133"/>
      <c r="M831" s="133"/>
      <c r="N831" s="133"/>
      <c r="O831" s="133"/>
      <c r="P831" s="954"/>
      <c r="Q831" s="133"/>
      <c r="R831" s="133"/>
      <c r="S831" s="133"/>
      <c r="T831" s="133"/>
      <c r="U831" s="954"/>
      <c r="V831" s="133"/>
      <c r="W831" s="133"/>
      <c r="X831" s="133"/>
      <c r="Y831" s="133"/>
      <c r="Z831" s="954"/>
      <c r="AA831" s="133"/>
      <c r="AB831" s="133"/>
      <c r="AC831" s="133"/>
      <c r="AD831" s="133"/>
      <c r="AE831" s="954"/>
      <c r="AF831" s="133"/>
      <c r="AG831" s="133"/>
      <c r="AH831" s="133"/>
      <c r="AI831" s="133"/>
      <c r="AJ831" s="954"/>
      <c r="AK831" s="133"/>
      <c r="AL831" s="133"/>
      <c r="AM831" s="133"/>
      <c r="AN831" s="133"/>
      <c r="AO831" s="954">
        <f>SUM(AO822:AO830)</f>
        <v>-14235</v>
      </c>
      <c r="AP831" s="133"/>
      <c r="AQ831" s="133"/>
      <c r="AR831" s="133"/>
      <c r="AS831" s="133"/>
      <c r="AT831" s="954">
        <f>SUM(AT822:AT830)</f>
        <v>-31953</v>
      </c>
      <c r="AU831" s="133"/>
      <c r="AV831" s="133"/>
      <c r="AW831" s="133"/>
      <c r="AX831" s="133"/>
      <c r="AY831" s="954">
        <f>SUM(AY822:AY830)</f>
        <v>55441</v>
      </c>
      <c r="AZ831" s="133"/>
      <c r="BA831" s="133"/>
      <c r="BB831" s="133"/>
      <c r="BC831" s="133"/>
      <c r="BD831" s="954">
        <f>SUM(BD822:BD830)</f>
        <v>66588</v>
      </c>
      <c r="BE831" s="133"/>
      <c r="BF831" s="133"/>
      <c r="BG831" s="133"/>
      <c r="BH831" s="133"/>
      <c r="BI831" s="954">
        <f>SUM(BI822:BI830)</f>
        <v>-51715</v>
      </c>
      <c r="BJ831" s="133"/>
      <c r="BK831" s="133"/>
      <c r="BL831" s="133"/>
      <c r="BM831" s="133"/>
      <c r="BN831" s="954">
        <f>SUM(BN822:BN830)</f>
        <v>-22869</v>
      </c>
      <c r="BO831" s="133"/>
      <c r="BP831" s="133"/>
      <c r="BQ831" s="133"/>
      <c r="BR831" s="133"/>
      <c r="BS831" s="954">
        <f>SUM(BS822:BS830)</f>
        <v>-3144</v>
      </c>
      <c r="BT831" s="692"/>
      <c r="BU831" s="133"/>
      <c r="BV831" s="133"/>
      <c r="BW831" s="133"/>
      <c r="BX831" s="954"/>
      <c r="BY831" s="133"/>
      <c r="BZ831" s="133"/>
      <c r="CA831" s="133"/>
      <c r="CB831" s="133"/>
      <c r="CC831" s="954"/>
      <c r="CD831" s="954"/>
      <c r="CE831" s="954"/>
      <c r="CF831" s="954"/>
      <c r="CG831" s="587"/>
    </row>
    <row r="832" spans="1:85" s="461" customFormat="1" ht="14.4" hidden="1" outlineLevel="1" x14ac:dyDescent="0.3">
      <c r="A832" s="166" t="s">
        <v>1572</v>
      </c>
      <c r="B832" s="583"/>
      <c r="C832" s="957"/>
      <c r="D832" s="957"/>
      <c r="E832" s="957"/>
      <c r="F832" s="957"/>
      <c r="G832" s="120"/>
      <c r="H832" s="120"/>
      <c r="I832" s="120"/>
      <c r="J832" s="120"/>
      <c r="K832" s="957"/>
      <c r="L832" s="120"/>
      <c r="M832" s="120"/>
      <c r="N832" s="120"/>
      <c r="O832" s="120"/>
      <c r="P832" s="957"/>
      <c r="Q832" s="120"/>
      <c r="R832" s="120"/>
      <c r="S832" s="120"/>
      <c r="T832" s="120"/>
      <c r="U832" s="957"/>
      <c r="V832" s="120"/>
      <c r="W832" s="120"/>
      <c r="X832" s="120"/>
      <c r="Y832" s="120"/>
      <c r="Z832" s="957"/>
      <c r="AA832" s="120"/>
      <c r="AB832" s="120"/>
      <c r="AC832" s="120"/>
      <c r="AD832" s="120"/>
      <c r="AE832" s="957"/>
      <c r="AF832" s="120"/>
      <c r="AG832" s="120"/>
      <c r="AH832" s="120"/>
      <c r="AI832" s="120"/>
      <c r="AJ832" s="957"/>
      <c r="AK832" s="120"/>
      <c r="AL832" s="120"/>
      <c r="AM832" s="120"/>
      <c r="AN832" s="120"/>
      <c r="AO832" s="957">
        <f>AO821+AO831</f>
        <v>80396</v>
      </c>
      <c r="AP832" s="120"/>
      <c r="AQ832" s="120"/>
      <c r="AR832" s="120"/>
      <c r="AS832" s="120"/>
      <c r="AT832" s="957">
        <f>AT821+AT831</f>
        <v>48443</v>
      </c>
      <c r="AU832" s="120"/>
      <c r="AV832" s="120"/>
      <c r="AW832" s="120"/>
      <c r="AX832" s="120"/>
      <c r="AY832" s="957">
        <f>AY821+AY831</f>
        <v>103884</v>
      </c>
      <c r="AZ832" s="120"/>
      <c r="BA832" s="120"/>
      <c r="BB832" s="120"/>
      <c r="BC832" s="120"/>
      <c r="BD832" s="957">
        <f>BD821+BD831</f>
        <v>170472</v>
      </c>
      <c r="BE832" s="120"/>
      <c r="BF832" s="120"/>
      <c r="BG832" s="120"/>
      <c r="BH832" s="120"/>
      <c r="BI832" s="957">
        <f>BI821+BI831</f>
        <v>118757</v>
      </c>
      <c r="BJ832" s="120"/>
      <c r="BK832" s="120"/>
      <c r="BL832" s="120"/>
      <c r="BM832" s="120"/>
      <c r="BN832" s="957">
        <f>BN821+BN831</f>
        <v>95888</v>
      </c>
      <c r="BO832" s="120"/>
      <c r="BP832" s="120"/>
      <c r="BQ832" s="120"/>
      <c r="BR832" s="120"/>
      <c r="BS832" s="957">
        <f>BS821+BS831</f>
        <v>92744</v>
      </c>
      <c r="BT832" s="694"/>
      <c r="BU832" s="120"/>
      <c r="BV832" s="120"/>
      <c r="BW832" s="120"/>
      <c r="BX832" s="957"/>
      <c r="BY832" s="120"/>
      <c r="BZ832" s="120"/>
      <c r="CA832" s="120"/>
      <c r="CB832" s="120"/>
      <c r="CC832" s="957"/>
      <c r="CD832" s="957"/>
      <c r="CE832" s="957"/>
      <c r="CF832" s="957"/>
      <c r="CG832" s="615"/>
    </row>
    <row r="833" spans="1:85" s="461" customFormat="1" ht="14.4" hidden="1" outlineLevel="1" x14ac:dyDescent="0.3">
      <c r="A833" s="166"/>
      <c r="B833" s="583"/>
      <c r="C833" s="957"/>
      <c r="D833" s="957"/>
      <c r="E833" s="957"/>
      <c r="F833" s="957"/>
      <c r="G833" s="120"/>
      <c r="H833" s="120"/>
      <c r="I833" s="120"/>
      <c r="J833" s="120"/>
      <c r="K833" s="957"/>
      <c r="L833" s="120"/>
      <c r="M833" s="120"/>
      <c r="N833" s="120"/>
      <c r="O833" s="120"/>
      <c r="P833" s="957"/>
      <c r="Q833" s="120"/>
      <c r="R833" s="120"/>
      <c r="S833" s="120"/>
      <c r="T833" s="120"/>
      <c r="U833" s="957"/>
      <c r="V833" s="120"/>
      <c r="W833" s="120"/>
      <c r="X833" s="120"/>
      <c r="Y833" s="120"/>
      <c r="Z833" s="957"/>
      <c r="AA833" s="120"/>
      <c r="AB833" s="120"/>
      <c r="AC833" s="120"/>
      <c r="AD833" s="120"/>
      <c r="AE833" s="957"/>
      <c r="AF833" s="120"/>
      <c r="AG833" s="120"/>
      <c r="AH833" s="120"/>
      <c r="AI833" s="120"/>
      <c r="AJ833" s="957"/>
      <c r="AK833" s="120"/>
      <c r="AL833" s="120"/>
      <c r="AM833" s="120"/>
      <c r="AN833" s="120"/>
      <c r="AO833" s="957"/>
      <c r="AP833" s="120"/>
      <c r="AQ833" s="120"/>
      <c r="AR833" s="120"/>
      <c r="AS833" s="120"/>
      <c r="AT833" s="957"/>
      <c r="AU833" s="120"/>
      <c r="AV833" s="120"/>
      <c r="AW833" s="120"/>
      <c r="AX833" s="120"/>
      <c r="AY833" s="957"/>
      <c r="AZ833" s="120"/>
      <c r="BA833" s="120"/>
      <c r="BB833" s="120"/>
      <c r="BC833" s="120"/>
      <c r="BD833" s="957"/>
      <c r="BE833" s="120"/>
      <c r="BF833" s="120"/>
      <c r="BG833" s="120"/>
      <c r="BH833" s="120"/>
      <c r="BI833" s="957"/>
      <c r="BJ833" s="120"/>
      <c r="BK833" s="120"/>
      <c r="BL833" s="120"/>
      <c r="BM833" s="120"/>
      <c r="BN833" s="957"/>
      <c r="BO833" s="120"/>
      <c r="BP833" s="120"/>
      <c r="BQ833" s="120"/>
      <c r="BR833" s="120"/>
      <c r="BS833" s="957"/>
      <c r="BT833" s="694"/>
      <c r="BU833" s="120"/>
      <c r="BV833" s="120"/>
      <c r="BW833" s="120"/>
      <c r="BX833" s="957"/>
      <c r="BY833" s="120"/>
      <c r="BZ833" s="120"/>
      <c r="CA833" s="120"/>
      <c r="CB833" s="120"/>
      <c r="CC833" s="957"/>
      <c r="CD833" s="957"/>
      <c r="CE833" s="957"/>
      <c r="CF833" s="957"/>
      <c r="CG833" s="615"/>
    </row>
    <row r="834" spans="1:85" s="461" customFormat="1" ht="14.4" hidden="1" outlineLevel="1" x14ac:dyDescent="0.3">
      <c r="A834" s="166" t="s">
        <v>1583</v>
      </c>
      <c r="B834" s="583"/>
      <c r="C834" s="957"/>
      <c r="D834" s="957"/>
      <c r="E834" s="957"/>
      <c r="F834" s="957"/>
      <c r="G834" s="120"/>
      <c r="H834" s="120"/>
      <c r="I834" s="120"/>
      <c r="J834" s="120"/>
      <c r="K834" s="957"/>
      <c r="L834" s="120"/>
      <c r="M834" s="120"/>
      <c r="N834" s="120"/>
      <c r="O834" s="120"/>
      <c r="P834" s="957"/>
      <c r="Q834" s="120"/>
      <c r="R834" s="120"/>
      <c r="S834" s="120"/>
      <c r="T834" s="120"/>
      <c r="U834" s="957"/>
      <c r="V834" s="120"/>
      <c r="W834" s="120"/>
      <c r="X834" s="120"/>
      <c r="Y834" s="120"/>
      <c r="Z834" s="957"/>
      <c r="AA834" s="120"/>
      <c r="AB834" s="120"/>
      <c r="AC834" s="120"/>
      <c r="AD834" s="120"/>
      <c r="AE834" s="957"/>
      <c r="AF834" s="120"/>
      <c r="AG834" s="120"/>
      <c r="AH834" s="120"/>
      <c r="AI834" s="120"/>
      <c r="AJ834" s="957"/>
      <c r="AK834" s="120"/>
      <c r="AL834" s="120"/>
      <c r="AM834" s="120"/>
      <c r="AN834" s="120"/>
      <c r="AO834" s="983">
        <v>24696</v>
      </c>
      <c r="AP834" s="120"/>
      <c r="AQ834" s="120"/>
      <c r="AR834" s="120"/>
      <c r="AS834" s="120"/>
      <c r="AT834" s="983">
        <v>20151</v>
      </c>
      <c r="AU834" s="120"/>
      <c r="AV834" s="120"/>
      <c r="AW834" s="120"/>
      <c r="AX834" s="120"/>
      <c r="AY834" s="983">
        <v>10094</v>
      </c>
      <c r="AZ834" s="120"/>
      <c r="BA834" s="120"/>
      <c r="BB834" s="120"/>
      <c r="BC834" s="120"/>
      <c r="BD834" s="983">
        <v>24991</v>
      </c>
      <c r="BE834" s="120"/>
      <c r="BF834" s="120"/>
      <c r="BG834" s="120"/>
      <c r="BH834" s="120"/>
      <c r="BI834" s="983">
        <v>41466</v>
      </c>
      <c r="BJ834" s="120"/>
      <c r="BK834" s="120"/>
      <c r="BL834" s="120"/>
      <c r="BM834" s="120"/>
      <c r="BN834" s="983">
        <v>26251</v>
      </c>
      <c r="BO834" s="120"/>
      <c r="BP834" s="120"/>
      <c r="BQ834" s="120"/>
      <c r="BR834" s="120"/>
      <c r="BS834" s="983">
        <v>24052</v>
      </c>
      <c r="BT834" s="694"/>
      <c r="BU834" s="120"/>
      <c r="BV834" s="120"/>
      <c r="BW834" s="120"/>
      <c r="BX834" s="957"/>
      <c r="BY834" s="120"/>
      <c r="BZ834" s="120"/>
      <c r="CA834" s="120"/>
      <c r="CB834" s="120"/>
      <c r="CC834" s="957"/>
      <c r="CD834" s="957"/>
      <c r="CE834" s="957"/>
      <c r="CF834" s="957"/>
      <c r="CG834" s="615"/>
    </row>
    <row r="835" spans="1:85" s="460" customFormat="1" ht="14.4" hidden="1" outlineLevel="1" x14ac:dyDescent="0.3">
      <c r="A835" s="591" t="s">
        <v>1573</v>
      </c>
      <c r="B835" s="586"/>
      <c r="C835" s="150"/>
      <c r="D835" s="150"/>
      <c r="E835" s="150"/>
      <c r="F835" s="150"/>
      <c r="G835" s="117"/>
      <c r="H835" s="117"/>
      <c r="I835" s="117"/>
      <c r="J835" s="117"/>
      <c r="K835" s="150"/>
      <c r="L835" s="117"/>
      <c r="M835" s="117"/>
      <c r="N835" s="117"/>
      <c r="O835" s="117"/>
      <c r="P835" s="150"/>
      <c r="Q835" s="117"/>
      <c r="R835" s="117"/>
      <c r="S835" s="117"/>
      <c r="T835" s="117"/>
      <c r="U835" s="150"/>
      <c r="V835" s="117"/>
      <c r="W835" s="117"/>
      <c r="X835" s="117"/>
      <c r="Y835" s="117"/>
      <c r="Z835" s="150"/>
      <c r="AA835" s="117"/>
      <c r="AB835" s="117"/>
      <c r="AC835" s="117"/>
      <c r="AD835" s="117"/>
      <c r="AE835" s="150"/>
      <c r="AF835" s="117"/>
      <c r="AG835" s="117"/>
      <c r="AH835" s="117"/>
      <c r="AI835" s="117"/>
      <c r="AJ835" s="150"/>
      <c r="AK835" s="117"/>
      <c r="AL835" s="117"/>
      <c r="AM835" s="117"/>
      <c r="AN835" s="117"/>
      <c r="AO835" s="975">
        <v>-5823</v>
      </c>
      <c r="AP835" s="117"/>
      <c r="AQ835" s="117"/>
      <c r="AR835" s="117"/>
      <c r="AS835" s="117"/>
      <c r="AT835" s="975">
        <v>-2322</v>
      </c>
      <c r="AU835" s="117"/>
      <c r="AV835" s="117"/>
      <c r="AW835" s="117"/>
      <c r="AX835" s="117"/>
      <c r="AY835" s="975">
        <v>-5760</v>
      </c>
      <c r="AZ835" s="117"/>
      <c r="BA835" s="117"/>
      <c r="BB835" s="117"/>
      <c r="BC835" s="117"/>
      <c r="BD835" s="975">
        <v>-9127</v>
      </c>
      <c r="BE835" s="117"/>
      <c r="BF835" s="117"/>
      <c r="BG835" s="117"/>
      <c r="BH835" s="117"/>
      <c r="BI835" s="975">
        <v>-6350</v>
      </c>
      <c r="BJ835" s="117"/>
      <c r="BK835" s="117"/>
      <c r="BL835" s="117"/>
      <c r="BM835" s="117"/>
      <c r="BN835" s="975">
        <v>-6242</v>
      </c>
      <c r="BO835" s="117"/>
      <c r="BP835" s="117"/>
      <c r="BQ835" s="117"/>
      <c r="BR835" s="117"/>
      <c r="BS835" s="975">
        <v>-7310</v>
      </c>
      <c r="BT835" s="691"/>
      <c r="BU835" s="117"/>
      <c r="BV835" s="117"/>
      <c r="BW835" s="117"/>
      <c r="BX835" s="150"/>
      <c r="BY835" s="117"/>
      <c r="BZ835" s="117"/>
      <c r="CA835" s="117"/>
      <c r="CB835" s="117"/>
      <c r="CC835" s="150"/>
      <c r="CD835" s="150"/>
      <c r="CE835" s="150"/>
      <c r="CF835" s="150"/>
      <c r="CG835" s="587"/>
    </row>
    <row r="836" spans="1:85" s="460" customFormat="1" ht="14.4" hidden="1" outlineLevel="1" x14ac:dyDescent="0.3">
      <c r="A836" s="591" t="s">
        <v>1574</v>
      </c>
      <c r="B836" s="586"/>
      <c r="C836" s="150"/>
      <c r="D836" s="150"/>
      <c r="E836" s="150"/>
      <c r="F836" s="150"/>
      <c r="G836" s="117"/>
      <c r="H836" s="117"/>
      <c r="I836" s="117"/>
      <c r="J836" s="117"/>
      <c r="K836" s="150"/>
      <c r="L836" s="117"/>
      <c r="M836" s="117"/>
      <c r="N836" s="117"/>
      <c r="O836" s="117"/>
      <c r="P836" s="150"/>
      <c r="Q836" s="117"/>
      <c r="R836" s="117"/>
      <c r="S836" s="117"/>
      <c r="T836" s="117"/>
      <c r="U836" s="150"/>
      <c r="V836" s="117"/>
      <c r="W836" s="117"/>
      <c r="X836" s="117"/>
      <c r="Y836" s="117"/>
      <c r="Z836" s="150"/>
      <c r="AA836" s="117"/>
      <c r="AB836" s="117"/>
      <c r="AC836" s="117"/>
      <c r="AD836" s="117"/>
      <c r="AE836" s="150"/>
      <c r="AF836" s="117"/>
      <c r="AG836" s="117"/>
      <c r="AH836" s="117"/>
      <c r="AI836" s="117"/>
      <c r="AJ836" s="150"/>
      <c r="AK836" s="117"/>
      <c r="AL836" s="117"/>
      <c r="AM836" s="117"/>
      <c r="AN836" s="117"/>
      <c r="AO836" s="975">
        <v>5120</v>
      </c>
      <c r="AP836" s="117"/>
      <c r="AQ836" s="117"/>
      <c r="AR836" s="117"/>
      <c r="AS836" s="117"/>
      <c r="AT836" s="975">
        <v>2892</v>
      </c>
      <c r="AU836" s="117"/>
      <c r="AV836" s="117"/>
      <c r="AW836" s="117"/>
      <c r="AX836" s="117"/>
      <c r="AY836" s="975">
        <v>2445</v>
      </c>
      <c r="AZ836" s="117"/>
      <c r="BA836" s="117"/>
      <c r="BB836" s="117"/>
      <c r="BC836" s="117"/>
      <c r="BD836" s="975">
        <v>2430</v>
      </c>
      <c r="BE836" s="117"/>
      <c r="BF836" s="117"/>
      <c r="BG836" s="117"/>
      <c r="BH836" s="117"/>
      <c r="BI836" s="975">
        <v>2281</v>
      </c>
      <c r="BJ836" s="117"/>
      <c r="BK836" s="117"/>
      <c r="BL836" s="117"/>
      <c r="BM836" s="117"/>
      <c r="BN836" s="975">
        <v>1487</v>
      </c>
      <c r="BO836" s="117"/>
      <c r="BP836" s="117"/>
      <c r="BQ836" s="117"/>
      <c r="BR836" s="117"/>
      <c r="BS836" s="975">
        <v>597</v>
      </c>
      <c r="BT836" s="691"/>
      <c r="BU836" s="117"/>
      <c r="BV836" s="117"/>
      <c r="BW836" s="117"/>
      <c r="BX836" s="150"/>
      <c r="BY836" s="117"/>
      <c r="BZ836" s="117"/>
      <c r="CA836" s="117"/>
      <c r="CB836" s="117"/>
      <c r="CC836" s="150"/>
      <c r="CD836" s="150"/>
      <c r="CE836" s="150"/>
      <c r="CF836" s="150"/>
      <c r="CG836" s="587"/>
    </row>
    <row r="837" spans="1:85" s="460" customFormat="1" ht="14.4" hidden="1" outlineLevel="1" x14ac:dyDescent="0.3">
      <c r="A837" s="591" t="s">
        <v>1575</v>
      </c>
      <c r="B837" s="586"/>
      <c r="C837" s="150"/>
      <c r="D837" s="150"/>
      <c r="E837" s="150"/>
      <c r="F837" s="150"/>
      <c r="G837" s="117"/>
      <c r="H837" s="117"/>
      <c r="I837" s="117"/>
      <c r="J837" s="117"/>
      <c r="K837" s="150"/>
      <c r="L837" s="117"/>
      <c r="M837" s="117"/>
      <c r="N837" s="117"/>
      <c r="O837" s="117"/>
      <c r="P837" s="150"/>
      <c r="Q837" s="117"/>
      <c r="R837" s="117"/>
      <c r="S837" s="117"/>
      <c r="T837" s="117"/>
      <c r="U837" s="150"/>
      <c r="V837" s="117"/>
      <c r="W837" s="117"/>
      <c r="X837" s="117"/>
      <c r="Y837" s="117"/>
      <c r="Z837" s="150"/>
      <c r="AA837" s="117"/>
      <c r="AB837" s="117"/>
      <c r="AC837" s="117"/>
      <c r="AD837" s="117"/>
      <c r="AE837" s="150"/>
      <c r="AF837" s="117"/>
      <c r="AG837" s="117"/>
      <c r="AH837" s="117"/>
      <c r="AI837" s="117"/>
      <c r="AJ837" s="150"/>
      <c r="AK837" s="117"/>
      <c r="AL837" s="117"/>
      <c r="AM837" s="117"/>
      <c r="AN837" s="117"/>
      <c r="AO837" s="975">
        <v>0</v>
      </c>
      <c r="AP837" s="117"/>
      <c r="AQ837" s="117"/>
      <c r="AR837" s="117"/>
      <c r="AS837" s="117"/>
      <c r="AT837" s="975">
        <v>0</v>
      </c>
      <c r="AU837" s="117"/>
      <c r="AV837" s="117"/>
      <c r="AW837" s="117"/>
      <c r="AX837" s="117"/>
      <c r="AY837" s="975">
        <v>0</v>
      </c>
      <c r="AZ837" s="117"/>
      <c r="BA837" s="117"/>
      <c r="BB837" s="117"/>
      <c r="BC837" s="117"/>
      <c r="BD837" s="975">
        <v>0</v>
      </c>
      <c r="BE837" s="117"/>
      <c r="BF837" s="117"/>
      <c r="BG837" s="117"/>
      <c r="BH837" s="117"/>
      <c r="BI837" s="975">
        <v>0</v>
      </c>
      <c r="BJ837" s="117"/>
      <c r="BK837" s="117"/>
      <c r="BL837" s="117"/>
      <c r="BM837" s="117"/>
      <c r="BN837" s="975">
        <v>0</v>
      </c>
      <c r="BO837" s="117"/>
      <c r="BP837" s="117"/>
      <c r="BQ837" s="117"/>
      <c r="BR837" s="117"/>
      <c r="BS837" s="975">
        <v>0</v>
      </c>
      <c r="BT837" s="691"/>
      <c r="BU837" s="117"/>
      <c r="BV837" s="117"/>
      <c r="BW837" s="117"/>
      <c r="BX837" s="150"/>
      <c r="BY837" s="117"/>
      <c r="BZ837" s="117"/>
      <c r="CA837" s="117"/>
      <c r="CB837" s="117"/>
      <c r="CC837" s="150"/>
      <c r="CD837" s="150"/>
      <c r="CE837" s="150"/>
      <c r="CF837" s="150"/>
      <c r="CG837" s="587"/>
    </row>
    <row r="838" spans="1:85" s="460" customFormat="1" ht="14.4" hidden="1" outlineLevel="1" x14ac:dyDescent="0.3">
      <c r="A838" s="591" t="s">
        <v>1576</v>
      </c>
      <c r="B838" s="586"/>
      <c r="C838" s="150"/>
      <c r="D838" s="150"/>
      <c r="E838" s="150"/>
      <c r="F838" s="150"/>
      <c r="G838" s="117"/>
      <c r="H838" s="117"/>
      <c r="I838" s="117"/>
      <c r="J838" s="117"/>
      <c r="K838" s="150"/>
      <c r="L838" s="117"/>
      <c r="M838" s="117"/>
      <c r="N838" s="117"/>
      <c r="O838" s="117"/>
      <c r="P838" s="150"/>
      <c r="Q838" s="117"/>
      <c r="R838" s="117"/>
      <c r="S838" s="117"/>
      <c r="T838" s="117"/>
      <c r="U838" s="150"/>
      <c r="V838" s="117"/>
      <c r="W838" s="117"/>
      <c r="X838" s="117"/>
      <c r="Y838" s="117"/>
      <c r="Z838" s="150"/>
      <c r="AA838" s="117"/>
      <c r="AB838" s="117"/>
      <c r="AC838" s="117"/>
      <c r="AD838" s="117"/>
      <c r="AE838" s="150"/>
      <c r="AF838" s="117"/>
      <c r="AG838" s="117"/>
      <c r="AH838" s="117"/>
      <c r="AI838" s="117"/>
      <c r="AJ838" s="150"/>
      <c r="AK838" s="117"/>
      <c r="AL838" s="117"/>
      <c r="AM838" s="117"/>
      <c r="AN838" s="117"/>
      <c r="AO838" s="975">
        <v>0</v>
      </c>
      <c r="AP838" s="117"/>
      <c r="AQ838" s="117"/>
      <c r="AR838" s="117"/>
      <c r="AS838" s="117"/>
      <c r="AT838" s="975">
        <v>0</v>
      </c>
      <c r="AU838" s="117"/>
      <c r="AV838" s="117"/>
      <c r="AW838" s="117"/>
      <c r="AX838" s="117"/>
      <c r="AY838" s="975">
        <v>0</v>
      </c>
      <c r="AZ838" s="117"/>
      <c r="BA838" s="117"/>
      <c r="BB838" s="117"/>
      <c r="BC838" s="117"/>
      <c r="BD838" s="975">
        <v>0</v>
      </c>
      <c r="BE838" s="117"/>
      <c r="BF838" s="117"/>
      <c r="BG838" s="117"/>
      <c r="BH838" s="117"/>
      <c r="BI838" s="975">
        <v>0</v>
      </c>
      <c r="BJ838" s="117"/>
      <c r="BK838" s="117"/>
      <c r="BL838" s="117"/>
      <c r="BM838" s="117"/>
      <c r="BN838" s="975">
        <v>0</v>
      </c>
      <c r="BO838" s="117"/>
      <c r="BP838" s="117"/>
      <c r="BQ838" s="117"/>
      <c r="BR838" s="117"/>
      <c r="BS838" s="975">
        <v>0</v>
      </c>
      <c r="BT838" s="691"/>
      <c r="BU838" s="117"/>
      <c r="BV838" s="117"/>
      <c r="BW838" s="117"/>
      <c r="BX838" s="150"/>
      <c r="BY838" s="117"/>
      <c r="BZ838" s="117"/>
      <c r="CA838" s="117"/>
      <c r="CB838" s="117"/>
      <c r="CC838" s="150"/>
      <c r="CD838" s="150"/>
      <c r="CE838" s="150"/>
      <c r="CF838" s="150"/>
      <c r="CG838" s="587"/>
    </row>
    <row r="839" spans="1:85" s="460" customFormat="1" ht="14.4" hidden="1" outlineLevel="1" x14ac:dyDescent="0.3">
      <c r="A839" s="591" t="s">
        <v>1577</v>
      </c>
      <c r="B839" s="586"/>
      <c r="C839" s="150"/>
      <c r="D839" s="150"/>
      <c r="E839" s="150"/>
      <c r="F839" s="150"/>
      <c r="G839" s="117"/>
      <c r="H839" s="117"/>
      <c r="I839" s="117"/>
      <c r="J839" s="117"/>
      <c r="K839" s="150"/>
      <c r="L839" s="117"/>
      <c r="M839" s="117"/>
      <c r="N839" s="117"/>
      <c r="O839" s="117"/>
      <c r="P839" s="150"/>
      <c r="Q839" s="117"/>
      <c r="R839" s="117"/>
      <c r="S839" s="117"/>
      <c r="T839" s="117"/>
      <c r="U839" s="150"/>
      <c r="V839" s="117"/>
      <c r="W839" s="117"/>
      <c r="X839" s="117"/>
      <c r="Y839" s="117"/>
      <c r="Z839" s="150"/>
      <c r="AA839" s="117"/>
      <c r="AB839" s="117"/>
      <c r="AC839" s="117"/>
      <c r="AD839" s="117"/>
      <c r="AE839" s="150"/>
      <c r="AF839" s="117"/>
      <c r="AG839" s="117"/>
      <c r="AH839" s="117"/>
      <c r="AI839" s="117"/>
      <c r="AJ839" s="150"/>
      <c r="AK839" s="117"/>
      <c r="AL839" s="117"/>
      <c r="AM839" s="117"/>
      <c r="AN839" s="117"/>
      <c r="AO839" s="975">
        <v>43</v>
      </c>
      <c r="AP839" s="117"/>
      <c r="AQ839" s="117"/>
      <c r="AR839" s="117"/>
      <c r="AS839" s="117"/>
      <c r="AT839" s="975">
        <v>0</v>
      </c>
      <c r="AU839" s="117"/>
      <c r="AV839" s="117"/>
      <c r="AW839" s="117"/>
      <c r="AX839" s="117"/>
      <c r="AY839" s="975">
        <v>0</v>
      </c>
      <c r="AZ839" s="117"/>
      <c r="BA839" s="117"/>
      <c r="BB839" s="117"/>
      <c r="BC839" s="117"/>
      <c r="BD839" s="975">
        <v>823</v>
      </c>
      <c r="BE839" s="117"/>
      <c r="BF839" s="117"/>
      <c r="BG839" s="117"/>
      <c r="BH839" s="117"/>
      <c r="BI839" s="975">
        <v>0</v>
      </c>
      <c r="BJ839" s="117"/>
      <c r="BK839" s="117"/>
      <c r="BL839" s="117"/>
      <c r="BM839" s="117"/>
      <c r="BN839" s="975">
        <v>0</v>
      </c>
      <c r="BO839" s="117"/>
      <c r="BP839" s="117"/>
      <c r="BQ839" s="117"/>
      <c r="BR839" s="117"/>
      <c r="BS839" s="975">
        <v>0</v>
      </c>
      <c r="BT839" s="691"/>
      <c r="BU839" s="117"/>
      <c r="BV839" s="117"/>
      <c r="BW839" s="117"/>
      <c r="BX839" s="150"/>
      <c r="BY839" s="117"/>
      <c r="BZ839" s="117"/>
      <c r="CA839" s="117"/>
      <c r="CB839" s="117"/>
      <c r="CC839" s="150"/>
      <c r="CD839" s="150"/>
      <c r="CE839" s="150"/>
      <c r="CF839" s="150"/>
      <c r="CG839" s="587"/>
    </row>
    <row r="840" spans="1:85" s="460" customFormat="1" ht="14.4" hidden="1" outlineLevel="1" x14ac:dyDescent="0.3">
      <c r="A840" s="591" t="s">
        <v>1578</v>
      </c>
      <c r="B840" s="586"/>
      <c r="C840" s="150"/>
      <c r="D840" s="150"/>
      <c r="E840" s="150"/>
      <c r="F840" s="150"/>
      <c r="G840" s="117"/>
      <c r="H840" s="117"/>
      <c r="I840" s="117"/>
      <c r="J840" s="117"/>
      <c r="K840" s="150"/>
      <c r="L840" s="117"/>
      <c r="M840" s="117"/>
      <c r="N840" s="117"/>
      <c r="O840" s="117"/>
      <c r="P840" s="150"/>
      <c r="Q840" s="117"/>
      <c r="R840" s="117"/>
      <c r="S840" s="117"/>
      <c r="T840" s="117"/>
      <c r="U840" s="150"/>
      <c r="V840" s="117"/>
      <c r="W840" s="117"/>
      <c r="X840" s="117"/>
      <c r="Y840" s="117"/>
      <c r="Z840" s="150"/>
      <c r="AA840" s="117"/>
      <c r="AB840" s="117"/>
      <c r="AC840" s="117"/>
      <c r="AD840" s="117"/>
      <c r="AE840" s="150"/>
      <c r="AF840" s="117"/>
      <c r="AG840" s="117"/>
      <c r="AH840" s="117"/>
      <c r="AI840" s="117"/>
      <c r="AJ840" s="150"/>
      <c r="AK840" s="117"/>
      <c r="AL840" s="117"/>
      <c r="AM840" s="117"/>
      <c r="AN840" s="117"/>
      <c r="AO840" s="975">
        <v>2122</v>
      </c>
      <c r="AP840" s="117"/>
      <c r="AQ840" s="117"/>
      <c r="AR840" s="117"/>
      <c r="AS840" s="117"/>
      <c r="AT840" s="975">
        <v>4033</v>
      </c>
      <c r="AU840" s="117"/>
      <c r="AV840" s="117"/>
      <c r="AW840" s="117"/>
      <c r="AX840" s="117"/>
      <c r="AY840" s="975">
        <v>-6675</v>
      </c>
      <c r="AZ840" s="117"/>
      <c r="BA840" s="117"/>
      <c r="BB840" s="117"/>
      <c r="BC840" s="117"/>
      <c r="BD840" s="975">
        <v>-1481</v>
      </c>
      <c r="BE840" s="117"/>
      <c r="BF840" s="117"/>
      <c r="BG840" s="117"/>
      <c r="BH840" s="117"/>
      <c r="BI840" s="975">
        <v>-493</v>
      </c>
      <c r="BJ840" s="117"/>
      <c r="BK840" s="117"/>
      <c r="BL840" s="117"/>
      <c r="BM840" s="117"/>
      <c r="BN840" s="975">
        <v>-154</v>
      </c>
      <c r="BO840" s="117"/>
      <c r="BP840" s="117"/>
      <c r="BQ840" s="117"/>
      <c r="BR840" s="117"/>
      <c r="BS840" s="975">
        <v>1466</v>
      </c>
      <c r="BT840" s="691"/>
      <c r="BU840" s="117"/>
      <c r="BV840" s="117"/>
      <c r="BW840" s="117"/>
      <c r="BX840" s="150"/>
      <c r="BY840" s="117"/>
      <c r="BZ840" s="117"/>
      <c r="CA840" s="117"/>
      <c r="CB840" s="117"/>
      <c r="CC840" s="150"/>
      <c r="CD840" s="150"/>
      <c r="CE840" s="150"/>
      <c r="CF840" s="150"/>
      <c r="CG840" s="587"/>
    </row>
    <row r="841" spans="1:85" s="460" customFormat="1" ht="14.4" hidden="1" outlineLevel="1" x14ac:dyDescent="0.3">
      <c r="A841" s="591" t="s">
        <v>1579</v>
      </c>
      <c r="B841" s="586"/>
      <c r="C841" s="150"/>
      <c r="D841" s="150"/>
      <c r="E841" s="150"/>
      <c r="F841" s="150"/>
      <c r="G841" s="117"/>
      <c r="H841" s="117"/>
      <c r="I841" s="117"/>
      <c r="J841" s="117"/>
      <c r="K841" s="150"/>
      <c r="L841" s="117"/>
      <c r="M841" s="117"/>
      <c r="N841" s="117"/>
      <c r="O841" s="117"/>
      <c r="P841" s="150"/>
      <c r="Q841" s="117"/>
      <c r="R841" s="117"/>
      <c r="S841" s="117"/>
      <c r="T841" s="117"/>
      <c r="U841" s="150"/>
      <c r="V841" s="117"/>
      <c r="W841" s="117"/>
      <c r="X841" s="117"/>
      <c r="Y841" s="117"/>
      <c r="Z841" s="150"/>
      <c r="AA841" s="117"/>
      <c r="AB841" s="117"/>
      <c r="AC841" s="117"/>
      <c r="AD841" s="117"/>
      <c r="AE841" s="150"/>
      <c r="AF841" s="117"/>
      <c r="AG841" s="117"/>
      <c r="AH841" s="117"/>
      <c r="AI841" s="117"/>
      <c r="AJ841" s="150"/>
      <c r="AK841" s="117"/>
      <c r="AL841" s="117"/>
      <c r="AM841" s="117"/>
      <c r="AN841" s="117"/>
      <c r="AO841" s="975">
        <v>-11637</v>
      </c>
      <c r="AP841" s="117"/>
      <c r="AQ841" s="117"/>
      <c r="AR841" s="117"/>
      <c r="AS841" s="117"/>
      <c r="AT841" s="975">
        <v>-22925</v>
      </c>
      <c r="AU841" s="117"/>
      <c r="AV841" s="117"/>
      <c r="AW841" s="117"/>
      <c r="AX841" s="117"/>
      <c r="AY841" s="975">
        <v>30076</v>
      </c>
      <c r="AZ841" s="117"/>
      <c r="BA841" s="117"/>
      <c r="BB841" s="117"/>
      <c r="BC841" s="117"/>
      <c r="BD841" s="975">
        <v>28052</v>
      </c>
      <c r="BE841" s="117"/>
      <c r="BF841" s="117"/>
      <c r="BG841" s="117"/>
      <c r="BH841" s="117"/>
      <c r="BI841" s="975">
        <v>-23517</v>
      </c>
      <c r="BJ841" s="117"/>
      <c r="BK841" s="117"/>
      <c r="BL841" s="117"/>
      <c r="BM841" s="117"/>
      <c r="BN841" s="975">
        <v>-1898</v>
      </c>
      <c r="BO841" s="117"/>
      <c r="BP841" s="117"/>
      <c r="BQ841" s="117"/>
      <c r="BR841" s="117"/>
      <c r="BS841" s="975">
        <v>-5040</v>
      </c>
      <c r="BT841" s="691"/>
      <c r="BU841" s="117"/>
      <c r="BV841" s="117"/>
      <c r="BW841" s="117"/>
      <c r="BX841" s="150"/>
      <c r="BY841" s="117"/>
      <c r="BZ841" s="117"/>
      <c r="CA841" s="117"/>
      <c r="CB841" s="117"/>
      <c r="CC841" s="150"/>
      <c r="CD841" s="150"/>
      <c r="CE841" s="150"/>
      <c r="CF841" s="150"/>
      <c r="CG841" s="587"/>
    </row>
    <row r="842" spans="1:85" s="460" customFormat="1" ht="14.4" hidden="1" outlineLevel="1" x14ac:dyDescent="0.3">
      <c r="A842" s="591" t="s">
        <v>1580</v>
      </c>
      <c r="B842" s="586"/>
      <c r="C842" s="150"/>
      <c r="D842" s="150"/>
      <c r="E842" s="150"/>
      <c r="F842" s="150"/>
      <c r="G842" s="117"/>
      <c r="H842" s="117"/>
      <c r="I842" s="117"/>
      <c r="J842" s="117"/>
      <c r="K842" s="150"/>
      <c r="L842" s="117"/>
      <c r="M842" s="117"/>
      <c r="N842" s="117"/>
      <c r="O842" s="117"/>
      <c r="P842" s="150"/>
      <c r="Q842" s="117"/>
      <c r="R842" s="117"/>
      <c r="S842" s="117"/>
      <c r="T842" s="117"/>
      <c r="U842" s="150"/>
      <c r="V842" s="117"/>
      <c r="W842" s="117"/>
      <c r="X842" s="117"/>
      <c r="Y842" s="117"/>
      <c r="Z842" s="150"/>
      <c r="AA842" s="117"/>
      <c r="AB842" s="117"/>
      <c r="AC842" s="117"/>
      <c r="AD842" s="117"/>
      <c r="AE842" s="150"/>
      <c r="AF842" s="117"/>
      <c r="AG842" s="117"/>
      <c r="AH842" s="117"/>
      <c r="AI842" s="117"/>
      <c r="AJ842" s="150"/>
      <c r="AK842" s="117"/>
      <c r="AL842" s="117"/>
      <c r="AM842" s="117"/>
      <c r="AN842" s="117"/>
      <c r="AO842" s="975">
        <v>3584</v>
      </c>
      <c r="AP842" s="117"/>
      <c r="AQ842" s="117"/>
      <c r="AR842" s="117"/>
      <c r="AS842" s="117"/>
      <c r="AT842" s="975">
        <v>2948</v>
      </c>
      <c r="AU842" s="117"/>
      <c r="AV842" s="117"/>
      <c r="AW842" s="117"/>
      <c r="AX842" s="117"/>
      <c r="AY842" s="975">
        <v>1503</v>
      </c>
      <c r="AZ842" s="117"/>
      <c r="BA842" s="117"/>
      <c r="BB842" s="117"/>
      <c r="BC842" s="117"/>
      <c r="BD842" s="975">
        <v>3429</v>
      </c>
      <c r="BE842" s="117"/>
      <c r="BF842" s="117"/>
      <c r="BG842" s="117"/>
      <c r="BH842" s="117"/>
      <c r="BI842" s="975">
        <v>5722</v>
      </c>
      <c r="BJ842" s="117"/>
      <c r="BK842" s="117"/>
      <c r="BL842" s="117"/>
      <c r="BM842" s="117"/>
      <c r="BN842" s="975">
        <v>3601</v>
      </c>
      <c r="BO842" s="117"/>
      <c r="BP842" s="117"/>
      <c r="BQ842" s="117"/>
      <c r="BR842" s="117"/>
      <c r="BS842" s="975">
        <v>3187</v>
      </c>
      <c r="BT842" s="691"/>
      <c r="BU842" s="117"/>
      <c r="BV842" s="117"/>
      <c r="BW842" s="117"/>
      <c r="BX842" s="150"/>
      <c r="BY842" s="117"/>
      <c r="BZ842" s="117"/>
      <c r="CA842" s="117"/>
      <c r="CB842" s="117"/>
      <c r="CC842" s="150"/>
      <c r="CD842" s="150"/>
      <c r="CE842" s="150"/>
      <c r="CF842" s="150"/>
      <c r="CG842" s="587"/>
    </row>
    <row r="843" spans="1:85" s="460" customFormat="1" ht="14.4" hidden="1" outlineLevel="1" x14ac:dyDescent="0.3">
      <c r="A843" s="592" t="s">
        <v>1581</v>
      </c>
      <c r="B843" s="588"/>
      <c r="C843" s="954"/>
      <c r="D843" s="954"/>
      <c r="E843" s="954"/>
      <c r="F843" s="954"/>
      <c r="G843" s="133"/>
      <c r="H843" s="133"/>
      <c r="I843" s="133"/>
      <c r="J843" s="133"/>
      <c r="K843" s="954"/>
      <c r="L843" s="133"/>
      <c r="M843" s="133"/>
      <c r="N843" s="133"/>
      <c r="O843" s="133"/>
      <c r="P843" s="954"/>
      <c r="Q843" s="133"/>
      <c r="R843" s="133"/>
      <c r="S843" s="133"/>
      <c r="T843" s="133"/>
      <c r="U843" s="954"/>
      <c r="V843" s="133"/>
      <c r="W843" s="133"/>
      <c r="X843" s="133"/>
      <c r="Y843" s="133"/>
      <c r="Z843" s="954"/>
      <c r="AA843" s="133"/>
      <c r="AB843" s="133"/>
      <c r="AC843" s="133"/>
      <c r="AD843" s="133"/>
      <c r="AE843" s="954"/>
      <c r="AF843" s="133"/>
      <c r="AG843" s="133"/>
      <c r="AH843" s="133"/>
      <c r="AI843" s="133"/>
      <c r="AJ843" s="954"/>
      <c r="AK843" s="133"/>
      <c r="AL843" s="133"/>
      <c r="AM843" s="133"/>
      <c r="AN843" s="133"/>
      <c r="AO843" s="976">
        <v>2046</v>
      </c>
      <c r="AP843" s="133"/>
      <c r="AQ843" s="133"/>
      <c r="AR843" s="133"/>
      <c r="AS843" s="133"/>
      <c r="AT843" s="976">
        <v>5317</v>
      </c>
      <c r="AU843" s="133"/>
      <c r="AV843" s="133"/>
      <c r="AW843" s="133"/>
      <c r="AX843" s="133"/>
      <c r="AY843" s="976">
        <v>-6692</v>
      </c>
      <c r="AZ843" s="133"/>
      <c r="BA843" s="133"/>
      <c r="BB843" s="133"/>
      <c r="BC843" s="133"/>
      <c r="BD843" s="976">
        <v>-7651</v>
      </c>
      <c r="BE843" s="133"/>
      <c r="BF843" s="133"/>
      <c r="BG843" s="133"/>
      <c r="BH843" s="133"/>
      <c r="BI843" s="976">
        <v>7142</v>
      </c>
      <c r="BJ843" s="133"/>
      <c r="BK843" s="133"/>
      <c r="BL843" s="133"/>
      <c r="BM843" s="133"/>
      <c r="BN843" s="976">
        <v>1007</v>
      </c>
      <c r="BO843" s="133"/>
      <c r="BP843" s="133"/>
      <c r="BQ843" s="133"/>
      <c r="BR843" s="133"/>
      <c r="BS843" s="976">
        <v>2126</v>
      </c>
      <c r="BT843" s="692"/>
      <c r="BU843" s="133"/>
      <c r="BV843" s="133"/>
      <c r="BW843" s="133"/>
      <c r="BX843" s="954"/>
      <c r="BY843" s="133"/>
      <c r="BZ843" s="133"/>
      <c r="CA843" s="133"/>
      <c r="CB843" s="133"/>
      <c r="CC843" s="954"/>
      <c r="CD843" s="954"/>
      <c r="CE843" s="954"/>
      <c r="CF843" s="954"/>
      <c r="CG843" s="587"/>
    </row>
    <row r="844" spans="1:85" s="460" customFormat="1" ht="14.4" hidden="1" outlineLevel="1" x14ac:dyDescent="0.3">
      <c r="A844" s="262" t="s">
        <v>1582</v>
      </c>
      <c r="B844" s="588"/>
      <c r="C844" s="954"/>
      <c r="D844" s="954"/>
      <c r="E844" s="954"/>
      <c r="F844" s="954"/>
      <c r="G844" s="133"/>
      <c r="H844" s="133"/>
      <c r="I844" s="133"/>
      <c r="J844" s="133"/>
      <c r="K844" s="954"/>
      <c r="L844" s="133"/>
      <c r="M844" s="133"/>
      <c r="N844" s="133"/>
      <c r="O844" s="133"/>
      <c r="P844" s="954"/>
      <c r="Q844" s="133"/>
      <c r="R844" s="133"/>
      <c r="S844" s="133"/>
      <c r="T844" s="133"/>
      <c r="U844" s="954"/>
      <c r="V844" s="133"/>
      <c r="W844" s="133"/>
      <c r="X844" s="133"/>
      <c r="Y844" s="133"/>
      <c r="Z844" s="954"/>
      <c r="AA844" s="133"/>
      <c r="AB844" s="133"/>
      <c r="AC844" s="133"/>
      <c r="AD844" s="133"/>
      <c r="AE844" s="954"/>
      <c r="AF844" s="133"/>
      <c r="AG844" s="133"/>
      <c r="AH844" s="133"/>
      <c r="AI844" s="133"/>
      <c r="AJ844" s="954"/>
      <c r="AK844" s="133"/>
      <c r="AL844" s="133"/>
      <c r="AM844" s="133"/>
      <c r="AN844" s="133"/>
      <c r="AO844" s="954">
        <f>SUM(AO835:AO843)</f>
        <v>-4545</v>
      </c>
      <c r="AP844" s="133"/>
      <c r="AQ844" s="133"/>
      <c r="AR844" s="133"/>
      <c r="AS844" s="133"/>
      <c r="AT844" s="954">
        <f>SUM(AT835:AT843)</f>
        <v>-10057</v>
      </c>
      <c r="AU844" s="133"/>
      <c r="AV844" s="133"/>
      <c r="AW844" s="133"/>
      <c r="AX844" s="133"/>
      <c r="AY844" s="954">
        <f>SUM(AY835:AY843)</f>
        <v>14897</v>
      </c>
      <c r="AZ844" s="133"/>
      <c r="BA844" s="133"/>
      <c r="BB844" s="133"/>
      <c r="BC844" s="133"/>
      <c r="BD844" s="954">
        <f>SUM(BD835:BD843)</f>
        <v>16475</v>
      </c>
      <c r="BE844" s="133"/>
      <c r="BF844" s="133"/>
      <c r="BG844" s="133"/>
      <c r="BH844" s="133"/>
      <c r="BI844" s="954">
        <f>SUM(BI835:BI843)</f>
        <v>-15215</v>
      </c>
      <c r="BJ844" s="133"/>
      <c r="BK844" s="133"/>
      <c r="BL844" s="133"/>
      <c r="BM844" s="133"/>
      <c r="BN844" s="954">
        <f>SUM(BN835:BN843)</f>
        <v>-2199</v>
      </c>
      <c r="BO844" s="133"/>
      <c r="BP844" s="133"/>
      <c r="BQ844" s="133"/>
      <c r="BR844" s="133"/>
      <c r="BS844" s="954">
        <f>SUM(BS835:BS843)</f>
        <v>-4974</v>
      </c>
      <c r="BT844" s="692"/>
      <c r="BU844" s="133"/>
      <c r="BV844" s="133"/>
      <c r="BW844" s="133"/>
      <c r="BX844" s="954"/>
      <c r="BY844" s="133"/>
      <c r="BZ844" s="133"/>
      <c r="CA844" s="133"/>
      <c r="CB844" s="133"/>
      <c r="CC844" s="954"/>
      <c r="CD844" s="954"/>
      <c r="CE844" s="954"/>
      <c r="CF844" s="954"/>
      <c r="CG844" s="587"/>
    </row>
    <row r="845" spans="1:85" s="461" customFormat="1" ht="14.4" hidden="1" outlineLevel="1" x14ac:dyDescent="0.3">
      <c r="A845" s="166" t="s">
        <v>1572</v>
      </c>
      <c r="B845" s="583"/>
      <c r="C845" s="957"/>
      <c r="D845" s="957"/>
      <c r="E845" s="957"/>
      <c r="F845" s="957"/>
      <c r="G845" s="120"/>
      <c r="H845" s="120"/>
      <c r="I845" s="120"/>
      <c r="J845" s="120"/>
      <c r="K845" s="957"/>
      <c r="L845" s="120"/>
      <c r="M845" s="120"/>
      <c r="N845" s="120"/>
      <c r="O845" s="120"/>
      <c r="P845" s="957"/>
      <c r="Q845" s="120"/>
      <c r="R845" s="120"/>
      <c r="S845" s="120"/>
      <c r="T845" s="120"/>
      <c r="U845" s="957"/>
      <c r="V845" s="120"/>
      <c r="W845" s="120"/>
      <c r="X845" s="120"/>
      <c r="Y845" s="120"/>
      <c r="Z845" s="957"/>
      <c r="AA845" s="120"/>
      <c r="AB845" s="120"/>
      <c r="AC845" s="120"/>
      <c r="AD845" s="120"/>
      <c r="AE845" s="957"/>
      <c r="AF845" s="120"/>
      <c r="AG845" s="120"/>
      <c r="AH845" s="120"/>
      <c r="AI845" s="120"/>
      <c r="AJ845" s="957"/>
      <c r="AK845" s="120"/>
      <c r="AL845" s="120"/>
      <c r="AM845" s="120"/>
      <c r="AN845" s="120"/>
      <c r="AO845" s="957">
        <f>AO834+AO844</f>
        <v>20151</v>
      </c>
      <c r="AP845" s="120"/>
      <c r="AQ845" s="120"/>
      <c r="AR845" s="120"/>
      <c r="AS845" s="120"/>
      <c r="AT845" s="957">
        <f>AT834+AT844</f>
        <v>10094</v>
      </c>
      <c r="AU845" s="120"/>
      <c r="AV845" s="120"/>
      <c r="AW845" s="120"/>
      <c r="AX845" s="120"/>
      <c r="AY845" s="957">
        <f>AY834+AY844</f>
        <v>24991</v>
      </c>
      <c r="AZ845" s="120"/>
      <c r="BA845" s="120"/>
      <c r="BB845" s="120"/>
      <c r="BC845" s="120"/>
      <c r="BD845" s="957">
        <f>BD834+BD844</f>
        <v>41466</v>
      </c>
      <c r="BE845" s="120"/>
      <c r="BF845" s="120"/>
      <c r="BG845" s="120"/>
      <c r="BH845" s="120"/>
      <c r="BI845" s="957">
        <f>BI834+BI844</f>
        <v>26251</v>
      </c>
      <c r="BJ845" s="120"/>
      <c r="BK845" s="120"/>
      <c r="BL845" s="120"/>
      <c r="BM845" s="120"/>
      <c r="BN845" s="957">
        <f>BN834+BN844</f>
        <v>24052</v>
      </c>
      <c r="BO845" s="120"/>
      <c r="BP845" s="120"/>
      <c r="BQ845" s="120"/>
      <c r="BR845" s="120"/>
      <c r="BS845" s="957">
        <f>BS834+BS844</f>
        <v>19078</v>
      </c>
      <c r="BT845" s="694"/>
      <c r="BU845" s="120"/>
      <c r="BV845" s="120"/>
      <c r="BW845" s="120"/>
      <c r="BX845" s="957"/>
      <c r="BY845" s="120"/>
      <c r="BZ845" s="120"/>
      <c r="CA845" s="120"/>
      <c r="CB845" s="120"/>
      <c r="CC845" s="957"/>
      <c r="CD845" s="957"/>
      <c r="CE845" s="957"/>
      <c r="CF845" s="957"/>
      <c r="CG845" s="615"/>
    </row>
    <row r="846" spans="1:85" s="461" customFormat="1" ht="14.4" hidden="1" outlineLevel="1" x14ac:dyDescent="0.3">
      <c r="A846" s="159"/>
      <c r="B846" s="583"/>
      <c r="C846" s="957"/>
      <c r="D846" s="957"/>
      <c r="E846" s="957"/>
      <c r="F846" s="957"/>
      <c r="G846" s="120"/>
      <c r="H846" s="120"/>
      <c r="I846" s="120"/>
      <c r="J846" s="120"/>
      <c r="K846" s="957"/>
      <c r="L846" s="120"/>
      <c r="M846" s="120"/>
      <c r="N846" s="120"/>
      <c r="O846" s="120"/>
      <c r="P846" s="957"/>
      <c r="Q846" s="120"/>
      <c r="R846" s="120"/>
      <c r="S846" s="120"/>
      <c r="T846" s="120"/>
      <c r="U846" s="957"/>
      <c r="V846" s="120"/>
      <c r="W846" s="120"/>
      <c r="X846" s="120"/>
      <c r="Y846" s="120"/>
      <c r="Z846" s="957"/>
      <c r="AA846" s="120"/>
      <c r="AB846" s="120"/>
      <c r="AC846" s="120"/>
      <c r="AD846" s="120"/>
      <c r="AE846" s="957"/>
      <c r="AF846" s="120"/>
      <c r="AG846" s="120"/>
      <c r="AH846" s="120"/>
      <c r="AI846" s="120"/>
      <c r="AJ846" s="957"/>
      <c r="AK846" s="120"/>
      <c r="AL846" s="120"/>
      <c r="AM846" s="120"/>
      <c r="AN846" s="120"/>
      <c r="AO846" s="957"/>
      <c r="AP846" s="120"/>
      <c r="AQ846" s="120"/>
      <c r="AR846" s="120"/>
      <c r="AS846" s="120"/>
      <c r="AT846" s="957"/>
      <c r="AU846" s="120"/>
      <c r="AV846" s="120"/>
      <c r="AW846" s="120"/>
      <c r="AX846" s="120"/>
      <c r="AY846" s="957"/>
      <c r="AZ846" s="120"/>
      <c r="BA846" s="120"/>
      <c r="BB846" s="120"/>
      <c r="BC846" s="120"/>
      <c r="BD846" s="957"/>
      <c r="BE846" s="120"/>
      <c r="BF846" s="120"/>
      <c r="BG846" s="120"/>
      <c r="BH846" s="120"/>
      <c r="BI846" s="957"/>
      <c r="BJ846" s="120"/>
      <c r="BK846" s="120"/>
      <c r="BL846" s="120"/>
      <c r="BM846" s="120"/>
      <c r="BN846" s="957"/>
      <c r="BO846" s="120"/>
      <c r="BP846" s="120"/>
      <c r="BQ846" s="120"/>
      <c r="BR846" s="120"/>
      <c r="BS846" s="957"/>
      <c r="BT846" s="694"/>
      <c r="BU846" s="120"/>
      <c r="BV846" s="120"/>
      <c r="BW846" s="120"/>
      <c r="BX846" s="957"/>
      <c r="BY846" s="120"/>
      <c r="BZ846" s="120"/>
      <c r="CA846" s="120"/>
      <c r="CB846" s="120"/>
      <c r="CC846" s="957"/>
      <c r="CD846" s="957"/>
      <c r="CE846" s="957"/>
      <c r="CF846" s="957"/>
      <c r="CG846" s="615"/>
    </row>
    <row r="847" spans="1:85" s="461" customFormat="1" ht="14.4" hidden="1" outlineLevel="1" x14ac:dyDescent="0.3">
      <c r="A847" s="166" t="s">
        <v>1584</v>
      </c>
      <c r="B847" s="583"/>
      <c r="C847" s="957"/>
      <c r="D847" s="957"/>
      <c r="E847" s="957"/>
      <c r="F847" s="957"/>
      <c r="G847" s="120"/>
      <c r="H847" s="120"/>
      <c r="I847" s="120"/>
      <c r="J847" s="120"/>
      <c r="K847" s="957"/>
      <c r="L847" s="120"/>
      <c r="M847" s="120"/>
      <c r="N847" s="120"/>
      <c r="O847" s="120"/>
      <c r="P847" s="957"/>
      <c r="Q847" s="120"/>
      <c r="R847" s="120"/>
      <c r="S847" s="120"/>
      <c r="T847" s="120"/>
      <c r="U847" s="957"/>
      <c r="V847" s="120"/>
      <c r="W847" s="120"/>
      <c r="X847" s="120"/>
      <c r="Y847" s="120"/>
      <c r="Z847" s="957"/>
      <c r="AA847" s="120"/>
      <c r="AB847" s="120"/>
      <c r="AC847" s="120"/>
      <c r="AD847" s="120"/>
      <c r="AE847" s="957"/>
      <c r="AF847" s="120"/>
      <c r="AG847" s="120"/>
      <c r="AH847" s="120"/>
      <c r="AI847" s="120"/>
      <c r="AJ847" s="957"/>
      <c r="AK847" s="120"/>
      <c r="AL847" s="120"/>
      <c r="AM847" s="120"/>
      <c r="AN847" s="120"/>
      <c r="AO847" s="957">
        <f>AO821+AO834</f>
        <v>119327</v>
      </c>
      <c r="AP847" s="120"/>
      <c r="AQ847" s="120"/>
      <c r="AR847" s="120"/>
      <c r="AS847" s="120"/>
      <c r="AT847" s="957">
        <f>AT821+AT834</f>
        <v>100547</v>
      </c>
      <c r="AU847" s="120"/>
      <c r="AV847" s="120"/>
      <c r="AW847" s="120"/>
      <c r="AX847" s="120"/>
      <c r="AY847" s="957">
        <f>AY821+AY834</f>
        <v>58537</v>
      </c>
      <c r="AZ847" s="120"/>
      <c r="BA847" s="120"/>
      <c r="BB847" s="120"/>
      <c r="BC847" s="120"/>
      <c r="BD847" s="957">
        <f>BD821+BD834</f>
        <v>128875</v>
      </c>
      <c r="BE847" s="120"/>
      <c r="BF847" s="120"/>
      <c r="BG847" s="120"/>
      <c r="BH847" s="120"/>
      <c r="BI847" s="957">
        <f>BI821+BI834</f>
        <v>211938</v>
      </c>
      <c r="BJ847" s="120"/>
      <c r="BK847" s="120"/>
      <c r="BL847" s="120"/>
      <c r="BM847" s="120"/>
      <c r="BN847" s="957">
        <f>BN821+BN834</f>
        <v>145008</v>
      </c>
      <c r="BO847" s="120"/>
      <c r="BP847" s="120"/>
      <c r="BQ847" s="120"/>
      <c r="BR847" s="120"/>
      <c r="BS847" s="957">
        <f>BS821+BS834</f>
        <v>119940</v>
      </c>
      <c r="BT847" s="694"/>
      <c r="BU847" s="120"/>
      <c r="BV847" s="120"/>
      <c r="BW847" s="120"/>
      <c r="BX847" s="957"/>
      <c r="BY847" s="120"/>
      <c r="BZ847" s="120"/>
      <c r="CA847" s="120"/>
      <c r="CB847" s="120"/>
      <c r="CC847" s="957"/>
      <c r="CD847" s="957"/>
      <c r="CE847" s="957"/>
      <c r="CF847" s="957"/>
      <c r="CG847" s="615"/>
    </row>
    <row r="848" spans="1:85" s="460" customFormat="1" ht="14.4" hidden="1" outlineLevel="1" x14ac:dyDescent="0.3">
      <c r="A848" s="591" t="s">
        <v>1586</v>
      </c>
      <c r="B848" s="586"/>
      <c r="C848" s="150"/>
      <c r="D848" s="150"/>
      <c r="E848" s="150"/>
      <c r="F848" s="150"/>
      <c r="G848" s="117"/>
      <c r="H848" s="117"/>
      <c r="I848" s="117"/>
      <c r="J848" s="117"/>
      <c r="K848" s="150"/>
      <c r="L848" s="117"/>
      <c r="M848" s="117"/>
      <c r="N848" s="117"/>
      <c r="O848" s="117"/>
      <c r="P848" s="150"/>
      <c r="Q848" s="117"/>
      <c r="R848" s="117"/>
      <c r="S848" s="117"/>
      <c r="T848" s="117"/>
      <c r="U848" s="150"/>
      <c r="V848" s="117"/>
      <c r="W848" s="117"/>
      <c r="X848" s="117"/>
      <c r="Y848" s="117"/>
      <c r="Z848" s="150"/>
      <c r="AA848" s="117"/>
      <c r="AB848" s="117"/>
      <c r="AC848" s="117"/>
      <c r="AD848" s="117"/>
      <c r="AE848" s="150"/>
      <c r="AF848" s="117"/>
      <c r="AG848" s="117"/>
      <c r="AH848" s="117"/>
      <c r="AI848" s="117"/>
      <c r="AJ848" s="150"/>
      <c r="AK848" s="117"/>
      <c r="AL848" s="117"/>
      <c r="AM848" s="117"/>
      <c r="AN848" s="117"/>
      <c r="AO848" s="150">
        <f t="shared" ref="AO848:AO856" si="75">AO822+AO835</f>
        <v>-35259</v>
      </c>
      <c r="AP848" s="117"/>
      <c r="AQ848" s="117"/>
      <c r="AR848" s="117"/>
      <c r="AS848" s="117"/>
      <c r="AT848" s="150">
        <f t="shared" ref="AT848:AT856" si="76">AT822+AT835</f>
        <v>-18943</v>
      </c>
      <c r="AU848" s="117"/>
      <c r="AV848" s="117"/>
      <c r="AW848" s="117"/>
      <c r="AX848" s="117"/>
      <c r="AY848" s="150">
        <f t="shared" ref="AY848:AY856" si="77">AY822+AY835</f>
        <v>-40428</v>
      </c>
      <c r="AZ848" s="117"/>
      <c r="BA848" s="117"/>
      <c r="BB848" s="117"/>
      <c r="BC848" s="117"/>
      <c r="BD848" s="150">
        <f t="shared" ref="BD848:BD856" si="78">BD822+BD835</f>
        <v>-62483</v>
      </c>
      <c r="BE848" s="117"/>
      <c r="BF848" s="117"/>
      <c r="BG848" s="117"/>
      <c r="BH848" s="117"/>
      <c r="BI848" s="150">
        <f t="shared" ref="BI848:BI856" si="79">BI822+BI835</f>
        <v>-44988</v>
      </c>
      <c r="BJ848" s="117"/>
      <c r="BK848" s="117"/>
      <c r="BL848" s="117"/>
      <c r="BM848" s="117"/>
      <c r="BN848" s="150">
        <f t="shared" ref="BN848:BN856" si="80">BN822+BN835</f>
        <v>-44699</v>
      </c>
      <c r="BO848" s="117"/>
      <c r="BP848" s="117"/>
      <c r="BQ848" s="117"/>
      <c r="BR848" s="117"/>
      <c r="BS848" s="150">
        <f t="shared" ref="BS848:BS856" si="81">BS822+BS835</f>
        <v>-46096</v>
      </c>
      <c r="BT848" s="691"/>
      <c r="BU848" s="117"/>
      <c r="BV848" s="117"/>
      <c r="BW848" s="117"/>
      <c r="BX848" s="150"/>
      <c r="BY848" s="117"/>
      <c r="BZ848" s="117"/>
      <c r="CA848" s="117"/>
      <c r="CB848" s="117"/>
      <c r="CC848" s="150"/>
      <c r="CD848" s="150"/>
      <c r="CE848" s="150"/>
      <c r="CF848" s="150"/>
      <c r="CG848" s="587"/>
    </row>
    <row r="849" spans="1:85" s="460" customFormat="1" ht="14.4" hidden="1" outlineLevel="1" x14ac:dyDescent="0.3">
      <c r="A849" s="591" t="s">
        <v>1587</v>
      </c>
      <c r="B849" s="586"/>
      <c r="C849" s="150"/>
      <c r="D849" s="150"/>
      <c r="E849" s="150"/>
      <c r="F849" s="150"/>
      <c r="G849" s="117"/>
      <c r="H849" s="117"/>
      <c r="I849" s="117"/>
      <c r="J849" s="117"/>
      <c r="K849" s="150"/>
      <c r="L849" s="117"/>
      <c r="M849" s="117"/>
      <c r="N849" s="117"/>
      <c r="O849" s="117"/>
      <c r="P849" s="150"/>
      <c r="Q849" s="117"/>
      <c r="R849" s="117"/>
      <c r="S849" s="117"/>
      <c r="T849" s="117"/>
      <c r="U849" s="150"/>
      <c r="V849" s="117"/>
      <c r="W849" s="117"/>
      <c r="X849" s="117"/>
      <c r="Y849" s="117"/>
      <c r="Z849" s="150"/>
      <c r="AA849" s="117"/>
      <c r="AB849" s="117"/>
      <c r="AC849" s="117"/>
      <c r="AD849" s="117"/>
      <c r="AE849" s="150"/>
      <c r="AF849" s="117"/>
      <c r="AG849" s="117"/>
      <c r="AH849" s="117"/>
      <c r="AI849" s="117"/>
      <c r="AJ849" s="150"/>
      <c r="AK849" s="117"/>
      <c r="AL849" s="117"/>
      <c r="AM849" s="117"/>
      <c r="AN849" s="117"/>
      <c r="AO849" s="150">
        <f t="shared" si="75"/>
        <v>15617</v>
      </c>
      <c r="AP849" s="117"/>
      <c r="AQ849" s="117"/>
      <c r="AR849" s="117"/>
      <c r="AS849" s="117"/>
      <c r="AT849" s="150">
        <f t="shared" si="76"/>
        <v>9193</v>
      </c>
      <c r="AU849" s="117"/>
      <c r="AV849" s="117"/>
      <c r="AW849" s="117"/>
      <c r="AX849" s="117"/>
      <c r="AY849" s="150">
        <f t="shared" si="77"/>
        <v>8215</v>
      </c>
      <c r="AZ849" s="117"/>
      <c r="BA849" s="117"/>
      <c r="BB849" s="117"/>
      <c r="BC849" s="117"/>
      <c r="BD849" s="150">
        <f t="shared" si="78"/>
        <v>10392</v>
      </c>
      <c r="BE849" s="117"/>
      <c r="BF849" s="117"/>
      <c r="BG849" s="117"/>
      <c r="BH849" s="117"/>
      <c r="BI849" s="150">
        <f t="shared" si="79"/>
        <v>13662</v>
      </c>
      <c r="BJ849" s="117"/>
      <c r="BK849" s="117"/>
      <c r="BL849" s="117"/>
      <c r="BM849" s="117"/>
      <c r="BN849" s="150">
        <f t="shared" si="80"/>
        <v>14296</v>
      </c>
      <c r="BO849" s="117"/>
      <c r="BP849" s="117"/>
      <c r="BQ849" s="117"/>
      <c r="BR849" s="117"/>
      <c r="BS849" s="150">
        <f t="shared" si="81"/>
        <v>13632</v>
      </c>
      <c r="BT849" s="691"/>
      <c r="BU849" s="117"/>
      <c r="BV849" s="117"/>
      <c r="BW849" s="117"/>
      <c r="BX849" s="150"/>
      <c r="BY849" s="117"/>
      <c r="BZ849" s="117"/>
      <c r="CA849" s="117"/>
      <c r="CB849" s="117"/>
      <c r="CC849" s="150"/>
      <c r="CD849" s="150"/>
      <c r="CE849" s="150"/>
      <c r="CF849" s="150"/>
      <c r="CG849" s="587"/>
    </row>
    <row r="850" spans="1:85" s="460" customFormat="1" ht="14.4" hidden="1" outlineLevel="1" x14ac:dyDescent="0.3">
      <c r="A850" s="591" t="s">
        <v>1588</v>
      </c>
      <c r="B850" s="586"/>
      <c r="C850" s="150"/>
      <c r="D850" s="150"/>
      <c r="E850" s="150"/>
      <c r="F850" s="150"/>
      <c r="G850" s="117"/>
      <c r="H850" s="117"/>
      <c r="I850" s="117"/>
      <c r="J850" s="117"/>
      <c r="K850" s="150"/>
      <c r="L850" s="117"/>
      <c r="M850" s="117"/>
      <c r="N850" s="117"/>
      <c r="O850" s="117"/>
      <c r="P850" s="150"/>
      <c r="Q850" s="117"/>
      <c r="R850" s="117"/>
      <c r="S850" s="117"/>
      <c r="T850" s="117"/>
      <c r="U850" s="150"/>
      <c r="V850" s="117"/>
      <c r="W850" s="117"/>
      <c r="X850" s="117"/>
      <c r="Y850" s="117"/>
      <c r="Z850" s="150"/>
      <c r="AA850" s="117"/>
      <c r="AB850" s="117"/>
      <c r="AC850" s="117"/>
      <c r="AD850" s="117"/>
      <c r="AE850" s="150"/>
      <c r="AF850" s="117"/>
      <c r="AG850" s="117"/>
      <c r="AH850" s="117"/>
      <c r="AI850" s="117"/>
      <c r="AJ850" s="150"/>
      <c r="AK850" s="117"/>
      <c r="AL850" s="117"/>
      <c r="AM850" s="117"/>
      <c r="AN850" s="117"/>
      <c r="AO850" s="150">
        <f t="shared" si="75"/>
        <v>406</v>
      </c>
      <c r="AP850" s="117"/>
      <c r="AQ850" s="117"/>
      <c r="AR850" s="117"/>
      <c r="AS850" s="117"/>
      <c r="AT850" s="150">
        <f t="shared" si="76"/>
        <v>10295</v>
      </c>
      <c r="AU850" s="117"/>
      <c r="AV850" s="117"/>
      <c r="AW850" s="117"/>
      <c r="AX850" s="117"/>
      <c r="AY850" s="150">
        <f t="shared" si="77"/>
        <v>772</v>
      </c>
      <c r="AZ850" s="117"/>
      <c r="BA850" s="117"/>
      <c r="BB850" s="117"/>
      <c r="BC850" s="117"/>
      <c r="BD850" s="150">
        <f t="shared" si="78"/>
        <v>2248</v>
      </c>
      <c r="BE850" s="117"/>
      <c r="BF850" s="117"/>
      <c r="BG850" s="117"/>
      <c r="BH850" s="117"/>
      <c r="BI850" s="150">
        <f t="shared" si="79"/>
        <v>9628</v>
      </c>
      <c r="BJ850" s="117"/>
      <c r="BK850" s="117"/>
      <c r="BL850" s="117"/>
      <c r="BM850" s="117"/>
      <c r="BN850" s="150">
        <f t="shared" si="80"/>
        <v>1607</v>
      </c>
      <c r="BO850" s="117"/>
      <c r="BP850" s="117"/>
      <c r="BQ850" s="117"/>
      <c r="BR850" s="117"/>
      <c r="BS850" s="150">
        <f t="shared" si="81"/>
        <v>18711</v>
      </c>
      <c r="BT850" s="691"/>
      <c r="BU850" s="117"/>
      <c r="BV850" s="117"/>
      <c r="BW850" s="117"/>
      <c r="BX850" s="150"/>
      <c r="BY850" s="117"/>
      <c r="BZ850" s="117"/>
      <c r="CA850" s="117"/>
      <c r="CB850" s="117"/>
      <c r="CC850" s="150"/>
      <c r="CD850" s="150"/>
      <c r="CE850" s="150"/>
      <c r="CF850" s="150"/>
      <c r="CG850" s="587"/>
    </row>
    <row r="851" spans="1:85" s="460" customFormat="1" ht="14.4" hidden="1" outlineLevel="1" x14ac:dyDescent="0.3">
      <c r="A851" s="591" t="s">
        <v>1589</v>
      </c>
      <c r="B851" s="586"/>
      <c r="C851" s="150"/>
      <c r="D851" s="150"/>
      <c r="E851" s="150"/>
      <c r="F851" s="150"/>
      <c r="G851" s="117"/>
      <c r="H851" s="117"/>
      <c r="I851" s="117"/>
      <c r="J851" s="117"/>
      <c r="K851" s="150"/>
      <c r="L851" s="117"/>
      <c r="M851" s="117"/>
      <c r="N851" s="117"/>
      <c r="O851" s="117"/>
      <c r="P851" s="150"/>
      <c r="Q851" s="117"/>
      <c r="R851" s="117"/>
      <c r="S851" s="117"/>
      <c r="T851" s="117"/>
      <c r="U851" s="150"/>
      <c r="V851" s="117"/>
      <c r="W851" s="117"/>
      <c r="X851" s="117"/>
      <c r="Y851" s="117"/>
      <c r="Z851" s="150"/>
      <c r="AA851" s="117"/>
      <c r="AB851" s="117"/>
      <c r="AC851" s="117"/>
      <c r="AD851" s="117"/>
      <c r="AE851" s="150"/>
      <c r="AF851" s="117"/>
      <c r="AG851" s="117"/>
      <c r="AH851" s="117"/>
      <c r="AI851" s="117"/>
      <c r="AJ851" s="150"/>
      <c r="AK851" s="117"/>
      <c r="AL851" s="117"/>
      <c r="AM851" s="117"/>
      <c r="AN851" s="117"/>
      <c r="AO851" s="150">
        <f t="shared" si="75"/>
        <v>-579</v>
      </c>
      <c r="AP851" s="117"/>
      <c r="AQ851" s="117"/>
      <c r="AR851" s="117"/>
      <c r="AS851" s="117"/>
      <c r="AT851" s="150">
        <f t="shared" si="76"/>
        <v>-803</v>
      </c>
      <c r="AU851" s="117"/>
      <c r="AV851" s="117"/>
      <c r="AW851" s="117"/>
      <c r="AX851" s="117"/>
      <c r="AY851" s="150">
        <f t="shared" si="77"/>
        <v>-889</v>
      </c>
      <c r="AZ851" s="117"/>
      <c r="BA851" s="117"/>
      <c r="BB851" s="117"/>
      <c r="BC851" s="117"/>
      <c r="BD851" s="150">
        <f t="shared" si="78"/>
        <v>-1807</v>
      </c>
      <c r="BE851" s="117"/>
      <c r="BF851" s="117"/>
      <c r="BG851" s="117"/>
      <c r="BH851" s="117"/>
      <c r="BI851" s="150">
        <f t="shared" si="79"/>
        <v>-51</v>
      </c>
      <c r="BJ851" s="117"/>
      <c r="BK851" s="117"/>
      <c r="BL851" s="117"/>
      <c r="BM851" s="117"/>
      <c r="BN851" s="150">
        <f t="shared" si="80"/>
        <v>-8904</v>
      </c>
      <c r="BO851" s="117"/>
      <c r="BP851" s="117"/>
      <c r="BQ851" s="117"/>
      <c r="BR851" s="117"/>
      <c r="BS851" s="150">
        <f t="shared" si="81"/>
        <v>-1181</v>
      </c>
      <c r="BT851" s="691"/>
      <c r="BU851" s="117"/>
      <c r="BV851" s="117"/>
      <c r="BW851" s="117"/>
      <c r="BX851" s="150"/>
      <c r="BY851" s="117"/>
      <c r="BZ851" s="117"/>
      <c r="CA851" s="117"/>
      <c r="CB851" s="117"/>
      <c r="CC851" s="150"/>
      <c r="CD851" s="150"/>
      <c r="CE851" s="150"/>
      <c r="CF851" s="150"/>
      <c r="CG851" s="587"/>
    </row>
    <row r="852" spans="1:85" s="460" customFormat="1" ht="14.4" hidden="1" outlineLevel="1" x14ac:dyDescent="0.3">
      <c r="A852" s="591" t="s">
        <v>1590</v>
      </c>
      <c r="B852" s="586"/>
      <c r="C852" s="150"/>
      <c r="D852" s="150"/>
      <c r="E852" s="150"/>
      <c r="F852" s="150"/>
      <c r="G852" s="117"/>
      <c r="H852" s="117"/>
      <c r="I852" s="117"/>
      <c r="J852" s="117"/>
      <c r="K852" s="150"/>
      <c r="L852" s="117"/>
      <c r="M852" s="117"/>
      <c r="N852" s="117"/>
      <c r="O852" s="117"/>
      <c r="P852" s="150"/>
      <c r="Q852" s="117"/>
      <c r="R852" s="117"/>
      <c r="S852" s="117"/>
      <c r="T852" s="117"/>
      <c r="U852" s="150"/>
      <c r="V852" s="117"/>
      <c r="W852" s="117"/>
      <c r="X852" s="117"/>
      <c r="Y852" s="117"/>
      <c r="Z852" s="150"/>
      <c r="AA852" s="117"/>
      <c r="AB852" s="117"/>
      <c r="AC852" s="117"/>
      <c r="AD852" s="117"/>
      <c r="AE852" s="150"/>
      <c r="AF852" s="117"/>
      <c r="AG852" s="117"/>
      <c r="AH852" s="117"/>
      <c r="AI852" s="117"/>
      <c r="AJ852" s="150"/>
      <c r="AK852" s="117"/>
      <c r="AL852" s="117"/>
      <c r="AM852" s="117"/>
      <c r="AN852" s="117"/>
      <c r="AO852" s="150">
        <f t="shared" si="75"/>
        <v>5740</v>
      </c>
      <c r="AP852" s="117"/>
      <c r="AQ852" s="117"/>
      <c r="AR852" s="117"/>
      <c r="AS852" s="117"/>
      <c r="AT852" s="150">
        <f t="shared" si="76"/>
        <v>2066</v>
      </c>
      <c r="AU852" s="117"/>
      <c r="AV852" s="117"/>
      <c r="AW852" s="117"/>
      <c r="AX852" s="117"/>
      <c r="AY852" s="150">
        <f t="shared" si="77"/>
        <v>12091</v>
      </c>
      <c r="AZ852" s="117"/>
      <c r="BA852" s="117"/>
      <c r="BB852" s="117"/>
      <c r="BC852" s="117"/>
      <c r="BD852" s="150">
        <f t="shared" si="78"/>
        <v>16877</v>
      </c>
      <c r="BE852" s="117"/>
      <c r="BF852" s="117"/>
      <c r="BG852" s="117"/>
      <c r="BH852" s="117"/>
      <c r="BI852" s="150">
        <f t="shared" si="79"/>
        <v>7262</v>
      </c>
      <c r="BJ852" s="117"/>
      <c r="BK852" s="117"/>
      <c r="BL852" s="117"/>
      <c r="BM852" s="117"/>
      <c r="BN852" s="150">
        <f t="shared" si="80"/>
        <v>7328</v>
      </c>
      <c r="BO852" s="117"/>
      <c r="BP852" s="117"/>
      <c r="BQ852" s="117"/>
      <c r="BR852" s="117"/>
      <c r="BS852" s="150">
        <f t="shared" si="81"/>
        <v>8368</v>
      </c>
      <c r="BT852" s="691"/>
      <c r="BU852" s="117"/>
      <c r="BV852" s="117"/>
      <c r="BW852" s="117"/>
      <c r="BX852" s="150"/>
      <c r="BY852" s="117"/>
      <c r="BZ852" s="117"/>
      <c r="CA852" s="117"/>
      <c r="CB852" s="117"/>
      <c r="CC852" s="150"/>
      <c r="CD852" s="150"/>
      <c r="CE852" s="150"/>
      <c r="CF852" s="150"/>
      <c r="CG852" s="587"/>
    </row>
    <row r="853" spans="1:85" s="460" customFormat="1" ht="14.4" hidden="1" outlineLevel="1" x14ac:dyDescent="0.3">
      <c r="A853" s="591" t="s">
        <v>1591</v>
      </c>
      <c r="B853" s="586"/>
      <c r="C853" s="150"/>
      <c r="D853" s="150"/>
      <c r="E853" s="150"/>
      <c r="F853" s="150"/>
      <c r="G853" s="117"/>
      <c r="H853" s="117"/>
      <c r="I853" s="117"/>
      <c r="J853" s="117"/>
      <c r="K853" s="150"/>
      <c r="L853" s="117"/>
      <c r="M853" s="117"/>
      <c r="N853" s="117"/>
      <c r="O853" s="117"/>
      <c r="P853" s="150"/>
      <c r="Q853" s="117"/>
      <c r="R853" s="117"/>
      <c r="S853" s="117"/>
      <c r="T853" s="117"/>
      <c r="U853" s="150"/>
      <c r="V853" s="117"/>
      <c r="W853" s="117"/>
      <c r="X853" s="117"/>
      <c r="Y853" s="117"/>
      <c r="Z853" s="150"/>
      <c r="AA853" s="117"/>
      <c r="AB853" s="117"/>
      <c r="AC853" s="117"/>
      <c r="AD853" s="117"/>
      <c r="AE853" s="150"/>
      <c r="AF853" s="117"/>
      <c r="AG853" s="117"/>
      <c r="AH853" s="117"/>
      <c r="AI853" s="117"/>
      <c r="AJ853" s="150"/>
      <c r="AK853" s="117"/>
      <c r="AL853" s="117"/>
      <c r="AM853" s="117"/>
      <c r="AN853" s="117"/>
      <c r="AO853" s="150">
        <f t="shared" si="75"/>
        <v>2743</v>
      </c>
      <c r="AP853" s="117"/>
      <c r="AQ853" s="117"/>
      <c r="AR853" s="117"/>
      <c r="AS853" s="117"/>
      <c r="AT853" s="150">
        <f t="shared" si="76"/>
        <v>2740</v>
      </c>
      <c r="AU853" s="117"/>
      <c r="AV853" s="117"/>
      <c r="AW853" s="117"/>
      <c r="AX853" s="117"/>
      <c r="AY853" s="150">
        <f t="shared" si="77"/>
        <v>-4406</v>
      </c>
      <c r="AZ853" s="117"/>
      <c r="BA853" s="117"/>
      <c r="BB853" s="117"/>
      <c r="BC853" s="117"/>
      <c r="BD853" s="150">
        <f t="shared" si="78"/>
        <v>3800</v>
      </c>
      <c r="BE853" s="117"/>
      <c r="BF853" s="117"/>
      <c r="BG853" s="117"/>
      <c r="BH853" s="117"/>
      <c r="BI853" s="150">
        <f t="shared" si="79"/>
        <v>-14882</v>
      </c>
      <c r="BJ853" s="117"/>
      <c r="BK853" s="117"/>
      <c r="BL853" s="117"/>
      <c r="BM853" s="117"/>
      <c r="BN853" s="150">
        <f t="shared" si="80"/>
        <v>2743</v>
      </c>
      <c r="BO853" s="117"/>
      <c r="BP853" s="117"/>
      <c r="BQ853" s="117"/>
      <c r="BR853" s="117"/>
      <c r="BS853" s="150">
        <f t="shared" si="81"/>
        <v>8154</v>
      </c>
      <c r="BT853" s="691"/>
      <c r="BU853" s="117"/>
      <c r="BV853" s="117"/>
      <c r="BW853" s="117"/>
      <c r="BX853" s="150"/>
      <c r="BY853" s="117"/>
      <c r="BZ853" s="117"/>
      <c r="CA853" s="117"/>
      <c r="CB853" s="117"/>
      <c r="CC853" s="150"/>
      <c r="CD853" s="150"/>
      <c r="CE853" s="150"/>
      <c r="CF853" s="150"/>
      <c r="CG853" s="587"/>
    </row>
    <row r="854" spans="1:85" s="460" customFormat="1" ht="14.4" hidden="1" outlineLevel="1" x14ac:dyDescent="0.3">
      <c r="A854" s="591" t="s">
        <v>1592</v>
      </c>
      <c r="B854" s="586"/>
      <c r="C854" s="150"/>
      <c r="D854" s="150"/>
      <c r="E854" s="150"/>
      <c r="F854" s="150"/>
      <c r="G854" s="117"/>
      <c r="H854" s="117"/>
      <c r="I854" s="117"/>
      <c r="J854" s="117"/>
      <c r="K854" s="150"/>
      <c r="L854" s="117"/>
      <c r="M854" s="117"/>
      <c r="N854" s="117"/>
      <c r="O854" s="117"/>
      <c r="P854" s="150"/>
      <c r="Q854" s="117"/>
      <c r="R854" s="117"/>
      <c r="S854" s="117"/>
      <c r="T854" s="117"/>
      <c r="U854" s="150"/>
      <c r="V854" s="117"/>
      <c r="W854" s="117"/>
      <c r="X854" s="117"/>
      <c r="Y854" s="117"/>
      <c r="Z854" s="150"/>
      <c r="AA854" s="117"/>
      <c r="AB854" s="117"/>
      <c r="AC854" s="117"/>
      <c r="AD854" s="117"/>
      <c r="AE854" s="150"/>
      <c r="AF854" s="117"/>
      <c r="AG854" s="117"/>
      <c r="AH854" s="117"/>
      <c r="AI854" s="117"/>
      <c r="AJ854" s="150"/>
      <c r="AK854" s="117"/>
      <c r="AL854" s="117"/>
      <c r="AM854" s="117"/>
      <c r="AN854" s="117"/>
      <c r="AO854" s="150">
        <f t="shared" si="75"/>
        <v>-36693</v>
      </c>
      <c r="AP854" s="117"/>
      <c r="AQ854" s="117"/>
      <c r="AR854" s="117"/>
      <c r="AS854" s="117"/>
      <c r="AT854" s="150">
        <f t="shared" si="76"/>
        <v>-85713</v>
      </c>
      <c r="AU854" s="117"/>
      <c r="AV854" s="117"/>
      <c r="AW854" s="117"/>
      <c r="AX854" s="117"/>
      <c r="AY854" s="150">
        <f t="shared" si="77"/>
        <v>119107</v>
      </c>
      <c r="AZ854" s="117"/>
      <c r="BA854" s="117"/>
      <c r="BB854" s="117"/>
      <c r="BC854" s="117"/>
      <c r="BD854" s="150">
        <f t="shared" si="78"/>
        <v>138519</v>
      </c>
      <c r="BE854" s="117"/>
      <c r="BF854" s="117"/>
      <c r="BG854" s="117"/>
      <c r="BH854" s="117"/>
      <c r="BI854" s="150">
        <f t="shared" si="79"/>
        <v>-103801</v>
      </c>
      <c r="BJ854" s="117"/>
      <c r="BK854" s="117"/>
      <c r="BL854" s="117"/>
      <c r="BM854" s="117"/>
      <c r="BN854" s="150">
        <f t="shared" si="80"/>
        <v>-19653</v>
      </c>
      <c r="BO854" s="117"/>
      <c r="BP854" s="117"/>
      <c r="BQ854" s="117"/>
      <c r="BR854" s="117"/>
      <c r="BS854" s="150">
        <f t="shared" si="81"/>
        <v>-33456</v>
      </c>
      <c r="BT854" s="691"/>
      <c r="BU854" s="117"/>
      <c r="BV854" s="117"/>
      <c r="BW854" s="117"/>
      <c r="BX854" s="150"/>
      <c r="BY854" s="117"/>
      <c r="BZ854" s="117"/>
      <c r="CA854" s="117"/>
      <c r="CB854" s="117"/>
      <c r="CC854" s="150"/>
      <c r="CD854" s="150"/>
      <c r="CE854" s="150"/>
      <c r="CF854" s="150"/>
      <c r="CG854" s="587"/>
    </row>
    <row r="855" spans="1:85" s="460" customFormat="1" ht="14.4" hidden="1" outlineLevel="1" x14ac:dyDescent="0.3">
      <c r="A855" s="591" t="s">
        <v>1593</v>
      </c>
      <c r="B855" s="586"/>
      <c r="C855" s="150"/>
      <c r="D855" s="150"/>
      <c r="E855" s="150"/>
      <c r="F855" s="150"/>
      <c r="G855" s="117"/>
      <c r="H855" s="117"/>
      <c r="I855" s="117"/>
      <c r="J855" s="117"/>
      <c r="K855" s="150"/>
      <c r="L855" s="117"/>
      <c r="M855" s="117"/>
      <c r="N855" s="117"/>
      <c r="O855" s="117"/>
      <c r="P855" s="150"/>
      <c r="Q855" s="117"/>
      <c r="R855" s="117"/>
      <c r="S855" s="117"/>
      <c r="T855" s="117"/>
      <c r="U855" s="150"/>
      <c r="V855" s="117"/>
      <c r="W855" s="117"/>
      <c r="X855" s="117"/>
      <c r="Y855" s="117"/>
      <c r="Z855" s="150"/>
      <c r="AA855" s="117"/>
      <c r="AB855" s="117"/>
      <c r="AC855" s="117"/>
      <c r="AD855" s="117"/>
      <c r="AE855" s="150"/>
      <c r="AF855" s="117"/>
      <c r="AG855" s="117"/>
      <c r="AH855" s="117"/>
      <c r="AI855" s="117"/>
      <c r="AJ855" s="150"/>
      <c r="AK855" s="117"/>
      <c r="AL855" s="117"/>
      <c r="AM855" s="117"/>
      <c r="AN855" s="117"/>
      <c r="AO855" s="150">
        <f t="shared" si="75"/>
        <v>17122</v>
      </c>
      <c r="AP855" s="117"/>
      <c r="AQ855" s="117"/>
      <c r="AR855" s="117"/>
      <c r="AS855" s="117"/>
      <c r="AT855" s="150">
        <f t="shared" si="76"/>
        <v>14222</v>
      </c>
      <c r="AU855" s="117"/>
      <c r="AV855" s="117"/>
      <c r="AW855" s="117"/>
      <c r="AX855" s="117"/>
      <c r="AY855" s="150">
        <f t="shared" si="77"/>
        <v>8160</v>
      </c>
      <c r="AZ855" s="117"/>
      <c r="BA855" s="117"/>
      <c r="BB855" s="117"/>
      <c r="BC855" s="117"/>
      <c r="BD855" s="150">
        <f t="shared" si="78"/>
        <v>17504</v>
      </c>
      <c r="BE855" s="117"/>
      <c r="BF855" s="117"/>
      <c r="BG855" s="117"/>
      <c r="BH855" s="117"/>
      <c r="BI855" s="150">
        <f t="shared" si="79"/>
        <v>29028</v>
      </c>
      <c r="BJ855" s="117"/>
      <c r="BK855" s="117"/>
      <c r="BL855" s="117"/>
      <c r="BM855" s="117"/>
      <c r="BN855" s="150">
        <f t="shared" si="80"/>
        <v>19468</v>
      </c>
      <c r="BO855" s="117"/>
      <c r="BP855" s="117"/>
      <c r="BQ855" s="117"/>
      <c r="BR855" s="117"/>
      <c r="BS855" s="150">
        <f t="shared" si="81"/>
        <v>16698</v>
      </c>
      <c r="BT855" s="691"/>
      <c r="BU855" s="117"/>
      <c r="BV855" s="117"/>
      <c r="BW855" s="117"/>
      <c r="BX855" s="150"/>
      <c r="BY855" s="117"/>
      <c r="BZ855" s="117"/>
      <c r="CA855" s="117"/>
      <c r="CB855" s="117"/>
      <c r="CC855" s="150"/>
      <c r="CD855" s="150"/>
      <c r="CE855" s="150"/>
      <c r="CF855" s="150"/>
      <c r="CG855" s="587"/>
    </row>
    <row r="856" spans="1:85" s="460" customFormat="1" ht="14.4" hidden="1" outlineLevel="1" x14ac:dyDescent="0.3">
      <c r="A856" s="592" t="s">
        <v>1594</v>
      </c>
      <c r="B856" s="588"/>
      <c r="C856" s="954"/>
      <c r="D856" s="954"/>
      <c r="E856" s="954"/>
      <c r="F856" s="954"/>
      <c r="G856" s="133"/>
      <c r="H856" s="133"/>
      <c r="I856" s="133"/>
      <c r="J856" s="133"/>
      <c r="K856" s="954"/>
      <c r="L856" s="133"/>
      <c r="M856" s="133"/>
      <c r="N856" s="133"/>
      <c r="O856" s="133"/>
      <c r="P856" s="954"/>
      <c r="Q856" s="133"/>
      <c r="R856" s="133"/>
      <c r="S856" s="133"/>
      <c r="T856" s="133"/>
      <c r="U856" s="954"/>
      <c r="V856" s="133"/>
      <c r="W856" s="133"/>
      <c r="X856" s="133"/>
      <c r="Y856" s="133"/>
      <c r="Z856" s="954"/>
      <c r="AA856" s="133"/>
      <c r="AB856" s="133"/>
      <c r="AC856" s="133"/>
      <c r="AD856" s="133"/>
      <c r="AE856" s="954"/>
      <c r="AF856" s="133"/>
      <c r="AG856" s="133"/>
      <c r="AH856" s="133"/>
      <c r="AI856" s="133"/>
      <c r="AJ856" s="954"/>
      <c r="AK856" s="133"/>
      <c r="AL856" s="133"/>
      <c r="AM856" s="133"/>
      <c r="AN856" s="133"/>
      <c r="AO856" s="954">
        <f t="shared" si="75"/>
        <v>12123</v>
      </c>
      <c r="AP856" s="133"/>
      <c r="AQ856" s="133"/>
      <c r="AR856" s="133"/>
      <c r="AS856" s="133"/>
      <c r="AT856" s="954">
        <f t="shared" si="76"/>
        <v>24933</v>
      </c>
      <c r="AU856" s="133"/>
      <c r="AV856" s="133"/>
      <c r="AW856" s="133"/>
      <c r="AX856" s="133"/>
      <c r="AY856" s="954">
        <f t="shared" si="77"/>
        <v>-32284</v>
      </c>
      <c r="AZ856" s="133"/>
      <c r="BA856" s="133"/>
      <c r="BB856" s="133"/>
      <c r="BC856" s="133"/>
      <c r="BD856" s="954">
        <f t="shared" si="78"/>
        <v>-41987</v>
      </c>
      <c r="BE856" s="133"/>
      <c r="BF856" s="133"/>
      <c r="BG856" s="133"/>
      <c r="BH856" s="133"/>
      <c r="BI856" s="954">
        <f t="shared" si="79"/>
        <v>37212</v>
      </c>
      <c r="BJ856" s="133"/>
      <c r="BK856" s="133"/>
      <c r="BL856" s="133"/>
      <c r="BM856" s="133"/>
      <c r="BN856" s="954">
        <f t="shared" si="80"/>
        <v>2746</v>
      </c>
      <c r="BO856" s="133"/>
      <c r="BP856" s="133"/>
      <c r="BQ856" s="133"/>
      <c r="BR856" s="133"/>
      <c r="BS856" s="954">
        <f t="shared" si="81"/>
        <v>7052</v>
      </c>
      <c r="BT856" s="692"/>
      <c r="BU856" s="133"/>
      <c r="BV856" s="133"/>
      <c r="BW856" s="133"/>
      <c r="BX856" s="954"/>
      <c r="BY856" s="133"/>
      <c r="BZ856" s="133"/>
      <c r="CA856" s="133"/>
      <c r="CB856" s="133"/>
      <c r="CC856" s="954"/>
      <c r="CD856" s="954"/>
      <c r="CE856" s="954"/>
      <c r="CF856" s="954"/>
      <c r="CG856" s="587"/>
    </row>
    <row r="857" spans="1:85" s="460" customFormat="1" ht="14.4" hidden="1" outlineLevel="1" x14ac:dyDescent="0.3">
      <c r="A857" s="262" t="s">
        <v>1595</v>
      </c>
      <c r="B857" s="588"/>
      <c r="C857" s="954"/>
      <c r="D857" s="954"/>
      <c r="E857" s="954"/>
      <c r="F857" s="954"/>
      <c r="G857" s="133"/>
      <c r="H857" s="133"/>
      <c r="I857" s="133"/>
      <c r="J857" s="133"/>
      <c r="K857" s="954"/>
      <c r="L857" s="133"/>
      <c r="M857" s="133"/>
      <c r="N857" s="133"/>
      <c r="O857" s="133"/>
      <c r="P857" s="954"/>
      <c r="Q857" s="133"/>
      <c r="R857" s="133"/>
      <c r="S857" s="133"/>
      <c r="T857" s="133"/>
      <c r="U857" s="954"/>
      <c r="V857" s="133"/>
      <c r="W857" s="133"/>
      <c r="X857" s="133"/>
      <c r="Y857" s="133"/>
      <c r="Z857" s="954"/>
      <c r="AA857" s="133"/>
      <c r="AB857" s="133"/>
      <c r="AC857" s="133"/>
      <c r="AD857" s="133"/>
      <c r="AE857" s="954"/>
      <c r="AF857" s="133"/>
      <c r="AG857" s="133"/>
      <c r="AH857" s="133"/>
      <c r="AI857" s="133"/>
      <c r="AJ857" s="954"/>
      <c r="AK857" s="133"/>
      <c r="AL857" s="133"/>
      <c r="AM857" s="133"/>
      <c r="AN857" s="133"/>
      <c r="AO857" s="954">
        <f>SUM(AO848:AO856)</f>
        <v>-18780</v>
      </c>
      <c r="AP857" s="133"/>
      <c r="AQ857" s="133"/>
      <c r="AR857" s="133"/>
      <c r="AS857" s="133"/>
      <c r="AT857" s="954">
        <f>SUM(AT848:AT856)</f>
        <v>-42010</v>
      </c>
      <c r="AU857" s="133"/>
      <c r="AV857" s="133"/>
      <c r="AW857" s="133"/>
      <c r="AX857" s="133"/>
      <c r="AY857" s="954">
        <f>SUM(AY848:AY856)</f>
        <v>70338</v>
      </c>
      <c r="AZ857" s="133"/>
      <c r="BA857" s="133"/>
      <c r="BB857" s="133"/>
      <c r="BC857" s="133"/>
      <c r="BD857" s="954">
        <f>SUM(BD848:BD856)</f>
        <v>83063</v>
      </c>
      <c r="BE857" s="133"/>
      <c r="BF857" s="133"/>
      <c r="BG857" s="133"/>
      <c r="BH857" s="133"/>
      <c r="BI857" s="954">
        <f>SUM(BI848:BI856)</f>
        <v>-66930</v>
      </c>
      <c r="BJ857" s="133"/>
      <c r="BK857" s="133"/>
      <c r="BL857" s="133"/>
      <c r="BM857" s="133"/>
      <c r="BN857" s="954">
        <f>SUM(BN848:BN856)</f>
        <v>-25068</v>
      </c>
      <c r="BO857" s="133"/>
      <c r="BP857" s="133"/>
      <c r="BQ857" s="133"/>
      <c r="BR857" s="133"/>
      <c r="BS857" s="954">
        <f>SUM(BS848:BS856)</f>
        <v>-8118</v>
      </c>
      <c r="BT857" s="692"/>
      <c r="BU857" s="133"/>
      <c r="BV857" s="133"/>
      <c r="BW857" s="133"/>
      <c r="BX857" s="954"/>
      <c r="BY857" s="133"/>
      <c r="BZ857" s="133"/>
      <c r="CA857" s="133"/>
      <c r="CB857" s="133"/>
      <c r="CC857" s="954"/>
      <c r="CD857" s="954"/>
      <c r="CE857" s="954"/>
      <c r="CF857" s="954"/>
      <c r="CG857" s="587"/>
    </row>
    <row r="858" spans="1:85" s="461" customFormat="1" ht="14.4" hidden="1" outlineLevel="1" x14ac:dyDescent="0.3">
      <c r="A858" s="166" t="s">
        <v>1585</v>
      </c>
      <c r="B858" s="583"/>
      <c r="C858" s="957"/>
      <c r="D858" s="957"/>
      <c r="E858" s="957"/>
      <c r="F858" s="957"/>
      <c r="G858" s="120"/>
      <c r="H858" s="120"/>
      <c r="I858" s="120"/>
      <c r="J858" s="120"/>
      <c r="K858" s="957"/>
      <c r="L858" s="120"/>
      <c r="M858" s="120"/>
      <c r="N858" s="120"/>
      <c r="O858" s="120"/>
      <c r="P858" s="957"/>
      <c r="Q858" s="120"/>
      <c r="R858" s="120"/>
      <c r="S858" s="120"/>
      <c r="T858" s="120"/>
      <c r="U858" s="957"/>
      <c r="V858" s="120"/>
      <c r="W858" s="120"/>
      <c r="X858" s="120"/>
      <c r="Y858" s="120"/>
      <c r="Z858" s="957"/>
      <c r="AA858" s="120"/>
      <c r="AB858" s="120"/>
      <c r="AC858" s="120"/>
      <c r="AD858" s="120"/>
      <c r="AE858" s="957"/>
      <c r="AF858" s="120"/>
      <c r="AG858" s="120"/>
      <c r="AH858" s="120"/>
      <c r="AI858" s="120"/>
      <c r="AJ858" s="957"/>
      <c r="AK858" s="120"/>
      <c r="AL858" s="120"/>
      <c r="AM858" s="120"/>
      <c r="AN858" s="120"/>
      <c r="AO858" s="957">
        <f>AO847+AO857</f>
        <v>100547</v>
      </c>
      <c r="AP858" s="120"/>
      <c r="AQ858" s="120"/>
      <c r="AR858" s="120"/>
      <c r="AS858" s="120"/>
      <c r="AT858" s="957">
        <f>AT847+AT857</f>
        <v>58537</v>
      </c>
      <c r="AU858" s="120"/>
      <c r="AV858" s="120"/>
      <c r="AW858" s="120"/>
      <c r="AX858" s="120"/>
      <c r="AY858" s="957">
        <f>AY847+AY857</f>
        <v>128875</v>
      </c>
      <c r="AZ858" s="120"/>
      <c r="BA858" s="120"/>
      <c r="BB858" s="120"/>
      <c r="BC858" s="120"/>
      <c r="BD858" s="957">
        <f>BD847+BD857</f>
        <v>211938</v>
      </c>
      <c r="BE858" s="120"/>
      <c r="BF858" s="120"/>
      <c r="BG858" s="120"/>
      <c r="BH858" s="120"/>
      <c r="BI858" s="957">
        <f>BI847+BI857</f>
        <v>145008</v>
      </c>
      <c r="BJ858" s="120"/>
      <c r="BK858" s="120"/>
      <c r="BL858" s="120"/>
      <c r="BM858" s="120"/>
      <c r="BN858" s="957">
        <f>BN847+BN857</f>
        <v>119940</v>
      </c>
      <c r="BO858" s="120"/>
      <c r="BP858" s="120"/>
      <c r="BQ858" s="120"/>
      <c r="BR858" s="120"/>
      <c r="BS858" s="957">
        <f>BS847+BS857</f>
        <v>111822</v>
      </c>
      <c r="BT858" s="694"/>
      <c r="BU858" s="120"/>
      <c r="BV858" s="120"/>
      <c r="BW858" s="120"/>
      <c r="BX858" s="957"/>
      <c r="BY858" s="120"/>
      <c r="BZ858" s="120"/>
      <c r="CA858" s="120"/>
      <c r="CB858" s="120"/>
      <c r="CC858" s="957"/>
      <c r="CD858" s="957"/>
      <c r="CE858" s="957"/>
      <c r="CF858" s="957"/>
      <c r="CG858" s="615"/>
    </row>
    <row r="859" spans="1:85" s="461" customFormat="1" ht="14.4" collapsed="1" x14ac:dyDescent="0.3">
      <c r="A859" s="159"/>
      <c r="B859" s="583"/>
      <c r="C859" s="957"/>
      <c r="D859" s="957"/>
      <c r="E859" s="957"/>
      <c r="F859" s="957"/>
      <c r="G859" s="120"/>
      <c r="H859" s="120"/>
      <c r="I859" s="120"/>
      <c r="J859" s="120"/>
      <c r="K859" s="957"/>
      <c r="L859" s="120"/>
      <c r="M859" s="120"/>
      <c r="N859" s="120"/>
      <c r="O859" s="120"/>
      <c r="P859" s="957"/>
      <c r="Q859" s="120"/>
      <c r="R859" s="120"/>
      <c r="S859" s="120"/>
      <c r="T859" s="120"/>
      <c r="U859" s="957"/>
      <c r="V859" s="120"/>
      <c r="W859" s="120"/>
      <c r="X859" s="120"/>
      <c r="Y859" s="120"/>
      <c r="Z859" s="957"/>
      <c r="AA859" s="120"/>
      <c r="AB859" s="120"/>
      <c r="AC859" s="120"/>
      <c r="AD859" s="120"/>
      <c r="AE859" s="957"/>
      <c r="AF859" s="120"/>
      <c r="AG859" s="120"/>
      <c r="AH859" s="120"/>
      <c r="AI859" s="120"/>
      <c r="AJ859" s="957"/>
      <c r="AK859" s="120"/>
      <c r="AL859" s="120"/>
      <c r="AM859" s="120"/>
      <c r="AN859" s="120"/>
      <c r="AO859" s="957"/>
      <c r="AP859" s="120"/>
      <c r="AQ859" s="120"/>
      <c r="AR859" s="120"/>
      <c r="AS859" s="120"/>
      <c r="AT859" s="957"/>
      <c r="AU859" s="120"/>
      <c r="AV859" s="120"/>
      <c r="AW859" s="120"/>
      <c r="AX859" s="120"/>
      <c r="AY859" s="957"/>
      <c r="AZ859" s="120"/>
      <c r="BA859" s="120"/>
      <c r="BB859" s="120"/>
      <c r="BC859" s="120"/>
      <c r="BD859" s="957"/>
      <c r="BE859" s="120"/>
      <c r="BF859" s="120"/>
      <c r="BG859" s="120"/>
      <c r="BH859" s="120"/>
      <c r="BI859" s="957"/>
      <c r="BJ859" s="120"/>
      <c r="BK859" s="120"/>
      <c r="BL859" s="120"/>
      <c r="BM859" s="120"/>
      <c r="BN859" s="957"/>
      <c r="BO859" s="120"/>
      <c r="BP859" s="120"/>
      <c r="BQ859" s="120"/>
      <c r="BR859" s="120"/>
      <c r="BS859" s="957"/>
      <c r="BT859" s="694"/>
      <c r="BU859" s="120"/>
      <c r="BV859" s="120"/>
      <c r="BW859" s="120"/>
      <c r="BX859" s="957"/>
      <c r="BY859" s="120"/>
      <c r="BZ859" s="120"/>
      <c r="CA859" s="120"/>
      <c r="CB859" s="120"/>
      <c r="CC859" s="957"/>
      <c r="CD859" s="957"/>
      <c r="CE859" s="957"/>
      <c r="CF859" s="957"/>
      <c r="CG859" s="615"/>
    </row>
    <row r="860" spans="1:85" ht="14.4" x14ac:dyDescent="0.3">
      <c r="A860" s="732" t="s">
        <v>816</v>
      </c>
      <c r="B860" s="584"/>
      <c r="C860" s="584"/>
      <c r="D860" s="584"/>
      <c r="E860" s="584"/>
      <c r="F860" s="584"/>
      <c r="G860" s="584"/>
      <c r="H860" s="584"/>
      <c r="I860" s="584"/>
      <c r="J860" s="584"/>
      <c r="K860" s="584"/>
      <c r="L860" s="584"/>
      <c r="M860" s="584"/>
      <c r="N860" s="584"/>
      <c r="O860" s="584"/>
      <c r="P860" s="584"/>
      <c r="Q860" s="584"/>
      <c r="R860" s="584"/>
      <c r="S860" s="584"/>
      <c r="T860" s="584"/>
      <c r="U860" s="584"/>
      <c r="V860" s="584"/>
      <c r="W860" s="584"/>
      <c r="X860" s="584"/>
      <c r="Y860" s="584"/>
      <c r="Z860" s="584"/>
      <c r="AA860" s="584"/>
      <c r="AB860" s="584"/>
      <c r="AC860" s="584"/>
      <c r="AD860" s="584"/>
      <c r="AE860" s="584"/>
      <c r="AF860" s="584"/>
      <c r="AG860" s="584"/>
      <c r="AH860" s="584"/>
      <c r="AI860" s="584"/>
      <c r="AJ860" s="584"/>
      <c r="AK860" s="584"/>
      <c r="AL860" s="584"/>
      <c r="AM860" s="584"/>
      <c r="AN860" s="584"/>
      <c r="AO860" s="584"/>
      <c r="AP860" s="584"/>
      <c r="AQ860" s="584"/>
      <c r="AR860" s="584"/>
      <c r="AS860" s="584"/>
      <c r="AT860" s="584"/>
      <c r="AU860" s="584"/>
      <c r="AV860" s="584"/>
      <c r="AW860" s="584"/>
      <c r="AX860" s="584"/>
      <c r="AY860" s="584"/>
      <c r="AZ860" s="584"/>
      <c r="BA860" s="584"/>
      <c r="BB860" s="584"/>
      <c r="BC860" s="584"/>
      <c r="BD860" s="584"/>
      <c r="BE860" s="584"/>
      <c r="BF860" s="584"/>
      <c r="BG860" s="584"/>
      <c r="BH860" s="584"/>
      <c r="BI860" s="584"/>
      <c r="BJ860" s="584"/>
      <c r="BK860" s="584"/>
      <c r="BL860" s="584"/>
      <c r="BM860" s="584"/>
      <c r="BN860" s="584"/>
      <c r="BO860" s="584"/>
      <c r="BP860" s="584"/>
      <c r="BQ860" s="584"/>
      <c r="BR860" s="584"/>
      <c r="BS860" s="584"/>
      <c r="BT860" s="584"/>
      <c r="BU860" s="584"/>
      <c r="BV860" s="584"/>
      <c r="BW860" s="584"/>
      <c r="BX860" s="584"/>
      <c r="BY860" s="584"/>
      <c r="BZ860" s="584"/>
      <c r="CA860" s="584"/>
      <c r="CB860" s="584"/>
      <c r="CC860" s="584"/>
      <c r="CD860" s="584"/>
      <c r="CE860" s="584"/>
      <c r="CF860" s="584"/>
      <c r="CG860" s="582"/>
    </row>
    <row r="861" spans="1:85" ht="14.4" x14ac:dyDescent="0.3">
      <c r="A861" s="582"/>
      <c r="B861" s="582"/>
      <c r="C861" s="582"/>
      <c r="D861" s="582"/>
      <c r="E861" s="582"/>
      <c r="F861" s="582"/>
      <c r="G861" s="30"/>
      <c r="H861" s="30"/>
      <c r="I861" s="30"/>
      <c r="J861" s="30"/>
      <c r="K861" s="582"/>
      <c r="L861" s="30"/>
      <c r="M861" s="30"/>
      <c r="N861" s="30"/>
      <c r="O861" s="30"/>
      <c r="P861" s="582"/>
      <c r="Q861" s="30"/>
      <c r="R861" s="30"/>
      <c r="S861" s="30"/>
      <c r="T861" s="30"/>
      <c r="U861" s="582"/>
      <c r="V861" s="30"/>
      <c r="W861" s="30"/>
      <c r="X861" s="30"/>
      <c r="Y861" s="30"/>
      <c r="Z861" s="582"/>
      <c r="AA861" s="30"/>
      <c r="AB861" s="30"/>
      <c r="AC861" s="30"/>
      <c r="AD861" s="30"/>
      <c r="AE861" s="582"/>
      <c r="AF861" s="30"/>
      <c r="AG861" s="30"/>
      <c r="AH861" s="30"/>
      <c r="AI861" s="30"/>
      <c r="AJ861" s="582"/>
      <c r="AK861" s="30"/>
      <c r="AL861" s="30"/>
      <c r="AM861" s="30"/>
      <c r="AN861" s="30"/>
      <c r="AO861" s="582"/>
      <c r="AP861" s="30"/>
      <c r="AQ861" s="30"/>
      <c r="AR861" s="30"/>
      <c r="AS861" s="30"/>
      <c r="AT861" s="582"/>
      <c r="AU861" s="30"/>
      <c r="AV861" s="30"/>
      <c r="AW861" s="30"/>
      <c r="AX861" s="30"/>
      <c r="AY861" s="582"/>
      <c r="AZ861" s="30"/>
      <c r="BA861" s="30"/>
      <c r="BB861" s="30"/>
      <c r="BC861" s="30"/>
      <c r="BD861" s="582"/>
      <c r="BE861" s="30"/>
      <c r="BF861" s="30"/>
      <c r="BG861" s="30"/>
      <c r="BH861" s="30"/>
      <c r="BI861" s="582"/>
      <c r="BJ861" s="30"/>
      <c r="BK861" s="30"/>
      <c r="BL861" s="30"/>
      <c r="BM861" s="30"/>
      <c r="BN861" s="582"/>
      <c r="BO861" s="30"/>
      <c r="BP861" s="30"/>
      <c r="BQ861" s="30"/>
      <c r="BR861" s="30"/>
      <c r="BS861" s="582"/>
      <c r="BT861" s="30"/>
      <c r="BU861" s="30"/>
      <c r="BV861" s="30"/>
      <c r="BW861" s="30"/>
      <c r="BX861" s="582"/>
      <c r="BY861" s="30"/>
      <c r="BZ861" s="30"/>
      <c r="CA861" s="30"/>
      <c r="CB861" s="30"/>
      <c r="CC861" s="582"/>
      <c r="CD861" s="582"/>
      <c r="CE861" s="582"/>
      <c r="CF861" s="582"/>
      <c r="CG861" s="582"/>
    </row>
  </sheetData>
  <pageMargins left="0.7" right="0.7" top="0.75" bottom="0.75" header="0.3" footer="0.3"/>
  <pageSetup orientation="portrait" r:id="rId1"/>
  <customProperties>
    <customPr name="CarouselSheetID" r:id="rId2"/>
  </customProperties>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40AD0-B371-4547-8D9A-33D8A10002FF}">
  <sheetPr codeName="Sheet1">
    <pageSetUpPr fitToPage="1"/>
  </sheetPr>
  <dimension ref="A1:CG129"/>
  <sheetViews>
    <sheetView workbookViewId="0">
      <pane xSplit="2" ySplit="2" topLeftCell="C3" activePane="bottomRight" state="frozenSplit"/>
      <selection pane="topRight" activeCell="C1" sqref="C1"/>
      <selection pane="bottomLeft" activeCell="A3" sqref="A3"/>
      <selection pane="bottomRight"/>
    </sheetView>
  </sheetViews>
  <sheetFormatPr defaultColWidth="9.44140625" defaultRowHeight="14.4" outlineLevelRow="1" outlineLevelCol="1" x14ac:dyDescent="0.3"/>
  <cols>
    <col min="1" max="1" width="41.44140625" style="450" customWidth="1"/>
    <col min="2" max="6" width="9.5546875" style="450" customWidth="1"/>
    <col min="7" max="10" width="9.5546875" style="450" hidden="1" customWidth="1" outlineLevel="1"/>
    <col min="11" max="11" width="9.5546875" style="450" customWidth="1" collapsed="1"/>
    <col min="12" max="15" width="9.5546875" style="450" hidden="1" customWidth="1" outlineLevel="1"/>
    <col min="16" max="16" width="9.5546875" style="450" customWidth="1" collapsed="1"/>
    <col min="17" max="20" width="9.5546875" style="450" hidden="1" customWidth="1" outlineLevel="1"/>
    <col min="21" max="21" width="9.5546875" style="450" customWidth="1" collapsed="1"/>
    <col min="22" max="25" width="9.5546875" style="450" hidden="1" customWidth="1" outlineLevel="1"/>
    <col min="26" max="26" width="9.5546875" style="450" customWidth="1" collapsed="1"/>
    <col min="27" max="30" width="9.5546875" style="450" hidden="1" customWidth="1" outlineLevel="1"/>
    <col min="31" max="31" width="9.5546875" style="450" customWidth="1" collapsed="1"/>
    <col min="32" max="35" width="9.5546875" style="450" hidden="1" customWidth="1" outlineLevel="1"/>
    <col min="36" max="36" width="9.5546875" style="450" customWidth="1" collapsed="1"/>
    <col min="37" max="40" width="9.5546875" style="450" hidden="1" customWidth="1" outlineLevel="1"/>
    <col min="41" max="41" width="9.5546875" style="450" customWidth="1" collapsed="1"/>
    <col min="42" max="45" width="9.5546875" style="450" hidden="1" customWidth="1" outlineLevel="1"/>
    <col min="46" max="46" width="9.5546875" style="450" customWidth="1" collapsed="1"/>
    <col min="47" max="50" width="9.5546875" style="450" hidden="1" customWidth="1" outlineLevel="1"/>
    <col min="51" max="51" width="9.5546875" style="450" customWidth="1" collapsed="1"/>
    <col min="52" max="55" width="9.5546875" style="450" hidden="1" customWidth="1" outlineLevel="1"/>
    <col min="56" max="56" width="9.5546875" style="450" customWidth="1" collapsed="1"/>
    <col min="57" max="59" width="9.5546875" style="450" hidden="1" customWidth="1" outlineLevel="1" collapsed="1"/>
    <col min="60" max="60" width="9.5546875" style="450" hidden="1" customWidth="1" outlineLevel="1"/>
    <col min="61" max="61" width="9.5546875" style="450" customWidth="1" collapsed="1"/>
    <col min="62" max="64" width="9.5546875" style="450" hidden="1" customWidth="1" outlineLevel="1" collapsed="1"/>
    <col min="65" max="65" width="9.5546875" style="450" hidden="1" customWidth="1" outlineLevel="1"/>
    <col min="66" max="66" width="9.5546875" style="450" customWidth="1" collapsed="1"/>
    <col min="67" max="69" width="9.5546875" style="450" hidden="1" customWidth="1" outlineLevel="1" collapsed="1"/>
    <col min="70" max="70" width="9.5546875" style="450" hidden="1" customWidth="1" outlineLevel="1"/>
    <col min="71" max="71" width="9.5546875" style="450" customWidth="1" collapsed="1"/>
    <col min="72" max="74" width="9.5546875" style="450" customWidth="1" outlineLevel="1" collapsed="1"/>
    <col min="75" max="75" width="9.5546875" style="450" customWidth="1" outlineLevel="1"/>
    <col min="76" max="76" width="9.5546875" style="450" customWidth="1"/>
    <col min="77" max="79" width="9.5546875" style="450" hidden="1" customWidth="1" outlineLevel="1" collapsed="1"/>
    <col min="80" max="80" width="9.5546875" style="450" hidden="1" customWidth="1" outlineLevel="1"/>
    <col min="81" max="81" width="9.5546875" style="450" customWidth="1" collapsed="1"/>
    <col min="82" max="84" width="9.5546875" style="450" customWidth="1"/>
    <col min="85" max="85" width="9.44140625" style="450" customWidth="1"/>
    <col min="86" max="16384" width="9.44140625" style="450"/>
  </cols>
  <sheetData>
    <row r="1" spans="1:85" ht="28.8" x14ac:dyDescent="0.55000000000000004">
      <c r="A1" s="136" t="str">
        <f>MO.CompanyName</f>
        <v>Company0670 Company0697</v>
      </c>
      <c r="B1" s="730"/>
      <c r="C1" s="945">
        <f t="shared" ref="C1:AH1" si="0">INDEX(MO_Common_QEndDate,0,COLUMN())</f>
        <v>40178</v>
      </c>
      <c r="D1" s="946">
        <f t="shared" si="0"/>
        <v>40543</v>
      </c>
      <c r="E1" s="946">
        <f t="shared" si="0"/>
        <v>40908</v>
      </c>
      <c r="F1" s="946">
        <f t="shared" si="0"/>
        <v>41274</v>
      </c>
      <c r="G1" s="132">
        <f t="shared" si="0"/>
        <v>41364</v>
      </c>
      <c r="H1" s="132">
        <f t="shared" si="0"/>
        <v>41455</v>
      </c>
      <c r="I1" s="132">
        <f t="shared" si="0"/>
        <v>41547</v>
      </c>
      <c r="J1" s="132">
        <f t="shared" si="0"/>
        <v>41639</v>
      </c>
      <c r="K1" s="946">
        <f t="shared" si="0"/>
        <v>41639</v>
      </c>
      <c r="L1" s="132">
        <f t="shared" si="0"/>
        <v>41729</v>
      </c>
      <c r="M1" s="132">
        <f t="shared" si="0"/>
        <v>41820</v>
      </c>
      <c r="N1" s="132">
        <f t="shared" si="0"/>
        <v>41912</v>
      </c>
      <c r="O1" s="132">
        <f t="shared" si="0"/>
        <v>42004</v>
      </c>
      <c r="P1" s="946">
        <f t="shared" si="0"/>
        <v>42004</v>
      </c>
      <c r="Q1" s="132">
        <f t="shared" si="0"/>
        <v>42094</v>
      </c>
      <c r="R1" s="132">
        <f t="shared" si="0"/>
        <v>42185</v>
      </c>
      <c r="S1" s="132">
        <f t="shared" si="0"/>
        <v>42277</v>
      </c>
      <c r="T1" s="132">
        <f t="shared" si="0"/>
        <v>42369</v>
      </c>
      <c r="U1" s="946">
        <f t="shared" si="0"/>
        <v>42369</v>
      </c>
      <c r="V1" s="132">
        <f t="shared" si="0"/>
        <v>42460</v>
      </c>
      <c r="W1" s="132">
        <f t="shared" si="0"/>
        <v>42551</v>
      </c>
      <c r="X1" s="132">
        <f t="shared" si="0"/>
        <v>42643</v>
      </c>
      <c r="Y1" s="132">
        <f t="shared" si="0"/>
        <v>42735</v>
      </c>
      <c r="Z1" s="946">
        <f t="shared" si="0"/>
        <v>42735</v>
      </c>
      <c r="AA1" s="132">
        <f t="shared" si="0"/>
        <v>42825</v>
      </c>
      <c r="AB1" s="132">
        <f t="shared" si="0"/>
        <v>42916</v>
      </c>
      <c r="AC1" s="132">
        <f t="shared" si="0"/>
        <v>43008</v>
      </c>
      <c r="AD1" s="132">
        <f t="shared" si="0"/>
        <v>43100</v>
      </c>
      <c r="AE1" s="946">
        <f t="shared" si="0"/>
        <v>43100</v>
      </c>
      <c r="AF1" s="132">
        <f t="shared" si="0"/>
        <v>43190</v>
      </c>
      <c r="AG1" s="132">
        <f t="shared" si="0"/>
        <v>43281</v>
      </c>
      <c r="AH1" s="132">
        <f t="shared" si="0"/>
        <v>43373</v>
      </c>
      <c r="AI1" s="132">
        <f t="shared" ref="AI1:BI1" si="1">INDEX(MO_Common_QEndDate,0,COLUMN())</f>
        <v>43465</v>
      </c>
      <c r="AJ1" s="946">
        <f t="shared" si="1"/>
        <v>43465</v>
      </c>
      <c r="AK1" s="132">
        <f t="shared" si="1"/>
        <v>43555</v>
      </c>
      <c r="AL1" s="132">
        <f t="shared" si="1"/>
        <v>43646</v>
      </c>
      <c r="AM1" s="132">
        <f t="shared" si="1"/>
        <v>43738</v>
      </c>
      <c r="AN1" s="132">
        <f t="shared" si="1"/>
        <v>43830</v>
      </c>
      <c r="AO1" s="946">
        <f t="shared" si="1"/>
        <v>43830</v>
      </c>
      <c r="AP1" s="132">
        <f t="shared" si="1"/>
        <v>43921</v>
      </c>
      <c r="AQ1" s="132">
        <f t="shared" si="1"/>
        <v>44012</v>
      </c>
      <c r="AR1" s="132">
        <f t="shared" si="1"/>
        <v>44104</v>
      </c>
      <c r="AS1" s="132">
        <f t="shared" si="1"/>
        <v>44196</v>
      </c>
      <c r="AT1" s="946">
        <f t="shared" si="1"/>
        <v>44196</v>
      </c>
      <c r="AU1" s="132">
        <f t="shared" si="1"/>
        <v>44286</v>
      </c>
      <c r="AV1" s="132">
        <f t="shared" si="1"/>
        <v>44377</v>
      </c>
      <c r="AW1" s="132">
        <f t="shared" si="1"/>
        <v>44469</v>
      </c>
      <c r="AX1" s="132">
        <f t="shared" si="1"/>
        <v>44561</v>
      </c>
      <c r="AY1" s="946">
        <f t="shared" si="1"/>
        <v>44561</v>
      </c>
      <c r="AZ1" s="132">
        <f t="shared" si="1"/>
        <v>44651</v>
      </c>
      <c r="BA1" s="132">
        <f t="shared" si="1"/>
        <v>44742</v>
      </c>
      <c r="BB1" s="132">
        <f t="shared" si="1"/>
        <v>44834</v>
      </c>
      <c r="BC1" s="132">
        <f t="shared" si="1"/>
        <v>44926</v>
      </c>
      <c r="BD1" s="946">
        <f t="shared" si="1"/>
        <v>44926</v>
      </c>
      <c r="BE1" s="132">
        <f t="shared" si="1"/>
        <v>45016</v>
      </c>
      <c r="BF1" s="132">
        <f t="shared" si="1"/>
        <v>45107</v>
      </c>
      <c r="BG1" s="132">
        <f t="shared" si="1"/>
        <v>45199</v>
      </c>
      <c r="BH1" s="132">
        <f t="shared" si="1"/>
        <v>45291</v>
      </c>
      <c r="BI1" s="946">
        <f t="shared" si="1"/>
        <v>45291</v>
      </c>
      <c r="BJ1" s="132">
        <f t="shared" ref="BJ1:BN1" si="2">INDEX(MO_Common_QEndDate,0,COLUMN())</f>
        <v>45382</v>
      </c>
      <c r="BK1" s="132">
        <f t="shared" si="2"/>
        <v>45473</v>
      </c>
      <c r="BL1" s="132">
        <f t="shared" si="2"/>
        <v>45565</v>
      </c>
      <c r="BM1" s="132">
        <f t="shared" si="2"/>
        <v>45657</v>
      </c>
      <c r="BN1" s="946">
        <f t="shared" si="2"/>
        <v>45657</v>
      </c>
      <c r="BO1" s="132">
        <f t="shared" ref="BO1:BS1" si="3">INDEX(MO_Common_QEndDate,0,COLUMN())</f>
        <v>45747</v>
      </c>
      <c r="BP1" s="132">
        <f t="shared" si="3"/>
        <v>45838</v>
      </c>
      <c r="BQ1" s="132">
        <f t="shared" si="3"/>
        <v>45930</v>
      </c>
      <c r="BR1" s="132">
        <f t="shared" si="3"/>
        <v>46022</v>
      </c>
      <c r="BS1" s="946">
        <f t="shared" si="3"/>
        <v>46022</v>
      </c>
      <c r="BT1" s="687">
        <f t="shared" ref="BT1:BX1" si="4">INDEX(MO_Common_QEndDate,0,COLUMN())</f>
        <v>46112</v>
      </c>
      <c r="BU1" s="132">
        <f t="shared" si="4"/>
        <v>46203</v>
      </c>
      <c r="BV1" s="132">
        <f t="shared" si="4"/>
        <v>46295</v>
      </c>
      <c r="BW1" s="132">
        <f t="shared" si="4"/>
        <v>46387</v>
      </c>
      <c r="BX1" s="946">
        <f t="shared" si="4"/>
        <v>46387</v>
      </c>
      <c r="BY1" s="132">
        <f t="shared" ref="BY1:CF1" si="5">INDEX(MO_Common_QEndDate,0,COLUMN())</f>
        <v>46477</v>
      </c>
      <c r="BZ1" s="132">
        <f t="shared" si="5"/>
        <v>46568</v>
      </c>
      <c r="CA1" s="132">
        <f t="shared" si="5"/>
        <v>46660</v>
      </c>
      <c r="CB1" s="132">
        <f t="shared" si="5"/>
        <v>46752</v>
      </c>
      <c r="CC1" s="946">
        <f t="shared" si="5"/>
        <v>46752</v>
      </c>
      <c r="CD1" s="946">
        <f t="shared" si="5"/>
        <v>47118</v>
      </c>
      <c r="CE1" s="946">
        <f t="shared" si="5"/>
        <v>47483</v>
      </c>
      <c r="CF1" s="946">
        <f t="shared" si="5"/>
        <v>47848</v>
      </c>
      <c r="CG1" s="137"/>
    </row>
    <row r="2" spans="1:85" s="458" customFormat="1" x14ac:dyDescent="0.3">
      <c r="A2" s="156" t="s">
        <v>411</v>
      </c>
      <c r="B2" s="157" t="str">
        <f>MO.ReportFX</f>
        <v>USD</v>
      </c>
      <c r="C2" s="947" t="str">
        <f t="shared" ref="C2:AH2" si="6">INDEX(MO_Common_ColumnHeader,0,COLUMN())</f>
        <v>FY2009</v>
      </c>
      <c r="D2" s="948" t="str">
        <f t="shared" si="6"/>
        <v>FY2010</v>
      </c>
      <c r="E2" s="948" t="str">
        <f t="shared" si="6"/>
        <v>FY2011</v>
      </c>
      <c r="F2" s="948" t="str">
        <f t="shared" si="6"/>
        <v>FY2012</v>
      </c>
      <c r="G2" s="116" t="str">
        <f t="shared" si="6"/>
        <v>Q1-2013</v>
      </c>
      <c r="H2" s="116" t="str">
        <f t="shared" si="6"/>
        <v>Q2-2013</v>
      </c>
      <c r="I2" s="116" t="str">
        <f t="shared" si="6"/>
        <v>Q3-2013</v>
      </c>
      <c r="J2" s="116" t="str">
        <f t="shared" si="6"/>
        <v>Q4-2013</v>
      </c>
      <c r="K2" s="948" t="str">
        <f t="shared" si="6"/>
        <v>FY2013</v>
      </c>
      <c r="L2" s="116" t="str">
        <f t="shared" si="6"/>
        <v>Q1-2014</v>
      </c>
      <c r="M2" s="116" t="str">
        <f t="shared" si="6"/>
        <v>Q2-2014</v>
      </c>
      <c r="N2" s="116" t="str">
        <f t="shared" si="6"/>
        <v>Q3-2014</v>
      </c>
      <c r="O2" s="116" t="str">
        <f t="shared" si="6"/>
        <v>Q4-2014</v>
      </c>
      <c r="P2" s="948" t="str">
        <f t="shared" si="6"/>
        <v>FY2014</v>
      </c>
      <c r="Q2" s="116" t="str">
        <f t="shared" si="6"/>
        <v>Q1-2015</v>
      </c>
      <c r="R2" s="116" t="str">
        <f t="shared" si="6"/>
        <v>Q2-2015</v>
      </c>
      <c r="S2" s="116" t="str">
        <f t="shared" si="6"/>
        <v>Q3-2015</v>
      </c>
      <c r="T2" s="116" t="str">
        <f t="shared" si="6"/>
        <v>Q4-2015</v>
      </c>
      <c r="U2" s="948" t="str">
        <f t="shared" si="6"/>
        <v>FY2015</v>
      </c>
      <c r="V2" s="116" t="str">
        <f t="shared" si="6"/>
        <v>Q1-2016</v>
      </c>
      <c r="W2" s="116" t="str">
        <f t="shared" si="6"/>
        <v>Q2-2016</v>
      </c>
      <c r="X2" s="116" t="str">
        <f t="shared" si="6"/>
        <v>Q3-2016</v>
      </c>
      <c r="Y2" s="116" t="str">
        <f t="shared" si="6"/>
        <v>Q4-2016</v>
      </c>
      <c r="Z2" s="948" t="str">
        <f t="shared" si="6"/>
        <v>FY2016</v>
      </c>
      <c r="AA2" s="116" t="str">
        <f t="shared" si="6"/>
        <v>Q1-2017</v>
      </c>
      <c r="AB2" s="116" t="str">
        <f t="shared" si="6"/>
        <v>Q2-2017</v>
      </c>
      <c r="AC2" s="116" t="str">
        <f t="shared" si="6"/>
        <v>Q3-2017</v>
      </c>
      <c r="AD2" s="116" t="str">
        <f t="shared" si="6"/>
        <v>Q4-2017</v>
      </c>
      <c r="AE2" s="948" t="str">
        <f t="shared" si="6"/>
        <v>FY2017</v>
      </c>
      <c r="AF2" s="116" t="str">
        <f t="shared" si="6"/>
        <v>Q1-2018</v>
      </c>
      <c r="AG2" s="116" t="str">
        <f t="shared" si="6"/>
        <v>Q2-2018</v>
      </c>
      <c r="AH2" s="116" t="str">
        <f t="shared" si="6"/>
        <v>Q3-2018</v>
      </c>
      <c r="AI2" s="116" t="str">
        <f t="shared" ref="AI2:BI2" si="7">INDEX(MO_Common_ColumnHeader,0,COLUMN())</f>
        <v>Q4-2018</v>
      </c>
      <c r="AJ2" s="948" t="str">
        <f t="shared" si="7"/>
        <v>FY2018</v>
      </c>
      <c r="AK2" s="116" t="str">
        <f t="shared" si="7"/>
        <v>Q1-2019</v>
      </c>
      <c r="AL2" s="116" t="str">
        <f t="shared" si="7"/>
        <v>Q2-2019</v>
      </c>
      <c r="AM2" s="116" t="str">
        <f t="shared" si="7"/>
        <v>Q3-2019</v>
      </c>
      <c r="AN2" s="116" t="str">
        <f t="shared" si="7"/>
        <v>Q4-2019</v>
      </c>
      <c r="AO2" s="948" t="str">
        <f t="shared" si="7"/>
        <v>FY2019</v>
      </c>
      <c r="AP2" s="116" t="str">
        <f t="shared" si="7"/>
        <v>Q1-2020</v>
      </c>
      <c r="AQ2" s="116" t="str">
        <f t="shared" si="7"/>
        <v>Q2-2020</v>
      </c>
      <c r="AR2" s="116" t="str">
        <f t="shared" si="7"/>
        <v>Q3-2020</v>
      </c>
      <c r="AS2" s="116" t="str">
        <f t="shared" si="7"/>
        <v>Q4-2020</v>
      </c>
      <c r="AT2" s="948" t="str">
        <f t="shared" si="7"/>
        <v>FY2020</v>
      </c>
      <c r="AU2" s="116" t="str">
        <f t="shared" si="7"/>
        <v>Q1-2021</v>
      </c>
      <c r="AV2" s="116" t="str">
        <f t="shared" si="7"/>
        <v>Q2-2021</v>
      </c>
      <c r="AW2" s="116" t="str">
        <f t="shared" si="7"/>
        <v>Q3-2021</v>
      </c>
      <c r="AX2" s="116" t="str">
        <f t="shared" si="7"/>
        <v>Q4-2021</v>
      </c>
      <c r="AY2" s="948" t="str">
        <f t="shared" si="7"/>
        <v>FY2021</v>
      </c>
      <c r="AZ2" s="116" t="str">
        <f t="shared" si="7"/>
        <v>Q1-2022</v>
      </c>
      <c r="BA2" s="116" t="str">
        <f t="shared" si="7"/>
        <v>Q2-2022</v>
      </c>
      <c r="BB2" s="116" t="str">
        <f t="shared" si="7"/>
        <v>Q3-2022</v>
      </c>
      <c r="BC2" s="116" t="str">
        <f t="shared" si="7"/>
        <v>Q4-2022</v>
      </c>
      <c r="BD2" s="948" t="str">
        <f t="shared" si="7"/>
        <v>FY2022</v>
      </c>
      <c r="BE2" s="116" t="str">
        <f t="shared" si="7"/>
        <v>Q1-2023</v>
      </c>
      <c r="BF2" s="116" t="str">
        <f t="shared" si="7"/>
        <v>Q2-2023</v>
      </c>
      <c r="BG2" s="116" t="str">
        <f t="shared" si="7"/>
        <v>Q3-2023</v>
      </c>
      <c r="BH2" s="116" t="str">
        <f t="shared" si="7"/>
        <v>Q4-2023</v>
      </c>
      <c r="BI2" s="948" t="str">
        <f t="shared" si="7"/>
        <v>FY2023</v>
      </c>
      <c r="BJ2" s="116" t="str">
        <f t="shared" ref="BJ2:BN2" si="8">INDEX(MO_Common_ColumnHeader,0,COLUMN())</f>
        <v>Q1-2024</v>
      </c>
      <c r="BK2" s="116" t="str">
        <f t="shared" si="8"/>
        <v>Q2-2024</v>
      </c>
      <c r="BL2" s="116" t="str">
        <f t="shared" si="8"/>
        <v>Q3-2024</v>
      </c>
      <c r="BM2" s="116" t="str">
        <f t="shared" si="8"/>
        <v>Q4-2024</v>
      </c>
      <c r="BN2" s="948" t="str">
        <f t="shared" si="8"/>
        <v>FY2024</v>
      </c>
      <c r="BO2" s="116" t="str">
        <f t="shared" ref="BO2:BS2" si="9">INDEX(MO_Common_ColumnHeader,0,COLUMN())</f>
        <v>Q1-2025</v>
      </c>
      <c r="BP2" s="116" t="str">
        <f t="shared" si="9"/>
        <v>Q2-2025</v>
      </c>
      <c r="BQ2" s="116" t="str">
        <f t="shared" si="9"/>
        <v>Q3-2025</v>
      </c>
      <c r="BR2" s="116" t="str">
        <f t="shared" si="9"/>
        <v>Q4-2025</v>
      </c>
      <c r="BS2" s="948" t="str">
        <f t="shared" si="9"/>
        <v>FY2025</v>
      </c>
      <c r="BT2" s="688" t="str">
        <f t="shared" ref="BT2:BX2" si="10">INDEX(MO_Common_ColumnHeader,0,COLUMN())</f>
        <v>Q1-2026</v>
      </c>
      <c r="BU2" s="116" t="str">
        <f t="shared" si="10"/>
        <v>Q2-2026</v>
      </c>
      <c r="BV2" s="116" t="str">
        <f t="shared" si="10"/>
        <v>Q3-2026</v>
      </c>
      <c r="BW2" s="116" t="str">
        <f t="shared" si="10"/>
        <v>Q4-2026</v>
      </c>
      <c r="BX2" s="948" t="str">
        <f t="shared" si="10"/>
        <v>FY2026</v>
      </c>
      <c r="BY2" s="116" t="str">
        <f t="shared" ref="BY2:CF2" si="11">INDEX(MO_Common_ColumnHeader,0,COLUMN())</f>
        <v>Q1-2027</v>
      </c>
      <c r="BZ2" s="116" t="str">
        <f t="shared" si="11"/>
        <v>Q2-2027</v>
      </c>
      <c r="CA2" s="116" t="str">
        <f t="shared" si="11"/>
        <v>Q3-2027</v>
      </c>
      <c r="CB2" s="116" t="str">
        <f t="shared" si="11"/>
        <v>Q4-2027</v>
      </c>
      <c r="CC2" s="948" t="str">
        <f t="shared" si="11"/>
        <v>FY2027</v>
      </c>
      <c r="CD2" s="948" t="str">
        <f t="shared" si="11"/>
        <v>FY2028</v>
      </c>
      <c r="CE2" s="948" t="str">
        <f t="shared" si="11"/>
        <v>FY2029</v>
      </c>
      <c r="CF2" s="948" t="str">
        <f t="shared" si="11"/>
        <v>FY2030</v>
      </c>
      <c r="CG2" s="730"/>
    </row>
    <row r="3" spans="1:85" x14ac:dyDescent="0.3">
      <c r="A3" s="114" t="s">
        <v>412</v>
      </c>
      <c r="B3" s="114"/>
      <c r="C3" s="114"/>
      <c r="D3" s="114"/>
      <c r="E3" s="114"/>
      <c r="F3" s="114"/>
      <c r="G3" s="114"/>
      <c r="H3" s="114"/>
      <c r="I3" s="114"/>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c r="AP3" s="114"/>
      <c r="AQ3" s="114"/>
      <c r="AR3" s="114"/>
      <c r="AS3" s="114"/>
      <c r="AT3" s="114"/>
      <c r="AU3" s="114"/>
      <c r="AV3" s="114"/>
      <c r="AW3" s="114"/>
      <c r="AX3" s="114"/>
      <c r="AY3" s="114"/>
      <c r="AZ3" s="114"/>
      <c r="BA3" s="114"/>
      <c r="BB3" s="114"/>
      <c r="BC3" s="114"/>
      <c r="BD3" s="114"/>
      <c r="BE3" s="114"/>
      <c r="BF3" s="114"/>
      <c r="BG3" s="114"/>
      <c r="BH3" s="114"/>
      <c r="BI3" s="114"/>
      <c r="BJ3" s="114"/>
      <c r="BK3" s="114"/>
      <c r="BL3" s="114"/>
      <c r="BM3" s="114"/>
      <c r="BN3" s="114"/>
      <c r="BO3" s="114"/>
      <c r="BP3" s="114"/>
      <c r="BQ3" s="114"/>
      <c r="BR3" s="114"/>
      <c r="BS3" s="114"/>
      <c r="BT3" s="389"/>
      <c r="BU3" s="114"/>
      <c r="BV3" s="114"/>
      <c r="BW3" s="114"/>
      <c r="BX3" s="114"/>
      <c r="BY3" s="114"/>
      <c r="BZ3" s="114"/>
      <c r="CA3" s="114"/>
      <c r="CB3" s="114"/>
      <c r="CC3" s="114"/>
      <c r="CD3" s="114"/>
      <c r="CE3" s="114"/>
      <c r="CF3" s="114"/>
      <c r="CG3" s="137"/>
    </row>
    <row r="4" spans="1:85" s="459" customFormat="1" x14ac:dyDescent="0.3">
      <c r="A4" s="303" t="str">
        <f>"Stock Price - "&amp;SP.ValuationToggle</f>
        <v>Stock Price - EoP</v>
      </c>
      <c r="B4" s="762" t="s">
        <v>742</v>
      </c>
      <c r="C4" s="949">
        <f t="shared" ref="C4:AH4" si="12">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77.650000000000006</v>
      </c>
      <c r="D4" s="949">
        <f t="shared" si="12"/>
        <v>91.6</v>
      </c>
      <c r="E4" s="949">
        <f t="shared" si="12"/>
        <v>106.4</v>
      </c>
      <c r="F4" s="949">
        <f t="shared" si="12"/>
        <v>106.45</v>
      </c>
      <c r="G4" s="304">
        <f t="shared" si="12"/>
        <v>118.82</v>
      </c>
      <c r="H4" s="304">
        <f t="shared" si="12"/>
        <v>118.34</v>
      </c>
      <c r="I4" s="304">
        <f t="shared" si="12"/>
        <v>122.64</v>
      </c>
      <c r="J4" s="304">
        <f t="shared" si="12"/>
        <v>124.23</v>
      </c>
      <c r="K4" s="949">
        <f t="shared" si="12"/>
        <v>124.23</v>
      </c>
      <c r="L4" s="304">
        <f t="shared" si="12"/>
        <v>118.5</v>
      </c>
      <c r="M4" s="304">
        <f t="shared" si="12"/>
        <v>130.36000000000001</v>
      </c>
      <c r="N4" s="304">
        <f t="shared" si="12"/>
        <v>120.55</v>
      </c>
      <c r="O4" s="304">
        <f t="shared" si="12"/>
        <v>113.11</v>
      </c>
      <c r="P4" s="949">
        <f t="shared" si="12"/>
        <v>113.11</v>
      </c>
      <c r="Q4" s="304">
        <f t="shared" si="12"/>
        <v>106.9</v>
      </c>
      <c r="R4" s="304">
        <f t="shared" si="12"/>
        <v>96.69</v>
      </c>
      <c r="S4" s="304">
        <f t="shared" si="12"/>
        <v>76.25</v>
      </c>
      <c r="T4" s="304">
        <f t="shared" si="12"/>
        <v>90.09</v>
      </c>
      <c r="U4" s="949">
        <f t="shared" si="12"/>
        <v>90.09</v>
      </c>
      <c r="V4" s="304">
        <f t="shared" si="12"/>
        <v>95.25</v>
      </c>
      <c r="W4" s="304">
        <f t="shared" si="12"/>
        <v>103.42</v>
      </c>
      <c r="X4" s="304">
        <f t="shared" si="12"/>
        <v>101.27</v>
      </c>
      <c r="Y4" s="304">
        <f t="shared" si="12"/>
        <v>117.7</v>
      </c>
      <c r="Z4" s="950">
        <f t="shared" si="12"/>
        <v>117.7</v>
      </c>
      <c r="AA4" s="304">
        <f t="shared" si="12"/>
        <v>107.78</v>
      </c>
      <c r="AB4" s="304">
        <f t="shared" si="12"/>
        <v>104.12</v>
      </c>
      <c r="AC4" s="304">
        <f t="shared" si="12"/>
        <v>117.5</v>
      </c>
      <c r="AD4" s="304">
        <f t="shared" si="12"/>
        <v>125.19</v>
      </c>
      <c r="AE4" s="950">
        <f t="shared" si="12"/>
        <v>125.19</v>
      </c>
      <c r="AF4" s="304">
        <f t="shared" si="12"/>
        <v>114.04</v>
      </c>
      <c r="AG4" s="304">
        <f t="shared" si="12"/>
        <v>126.43</v>
      </c>
      <c r="AH4" s="304">
        <f t="shared" si="12"/>
        <v>122.28</v>
      </c>
      <c r="AI4" s="304">
        <f t="shared" ref="AI4:BN4" si="13">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108.65</v>
      </c>
      <c r="AJ4" s="950">
        <f t="shared" si="13"/>
        <v>108.65</v>
      </c>
      <c r="AK4" s="304">
        <f t="shared" si="13"/>
        <v>123.18</v>
      </c>
      <c r="AL4" s="304">
        <f t="shared" si="13"/>
        <v>124.44</v>
      </c>
      <c r="AM4" s="304">
        <f t="shared" si="13"/>
        <v>118.6</v>
      </c>
      <c r="AN4" s="304">
        <f t="shared" si="13"/>
        <v>119.85</v>
      </c>
      <c r="AO4" s="950">
        <f t="shared" si="13"/>
        <v>119.85</v>
      </c>
      <c r="AP4" s="304">
        <f t="shared" si="13"/>
        <v>71.95</v>
      </c>
      <c r="AQ4" s="304">
        <f t="shared" si="13"/>
        <v>87.67</v>
      </c>
      <c r="AR4" s="304">
        <f t="shared" si="13"/>
        <v>71.900000000000006</v>
      </c>
      <c r="AS4" s="304">
        <f t="shared" si="13"/>
        <v>85.33</v>
      </c>
      <c r="AT4" s="950">
        <f t="shared" si="13"/>
        <v>85.33</v>
      </c>
      <c r="AU4" s="304">
        <f t="shared" si="13"/>
        <v>105.93</v>
      </c>
      <c r="AV4" s="304">
        <f t="shared" si="13"/>
        <v>103.76</v>
      </c>
      <c r="AW4" s="304">
        <f t="shared" si="13"/>
        <v>103.33</v>
      </c>
      <c r="AX4" s="304">
        <f t="shared" si="13"/>
        <v>117.43</v>
      </c>
      <c r="AY4" s="950">
        <f t="shared" si="13"/>
        <v>117.43</v>
      </c>
      <c r="AZ4" s="304">
        <f t="shared" si="13"/>
        <v>165.48</v>
      </c>
      <c r="BA4" s="304">
        <f t="shared" si="13"/>
        <v>146.97999999999999</v>
      </c>
      <c r="BB4" s="304">
        <f t="shared" si="13"/>
        <v>144.77000000000001</v>
      </c>
      <c r="BC4" s="304">
        <f t="shared" si="13"/>
        <v>179.49</v>
      </c>
      <c r="BD4" s="950">
        <f t="shared" si="13"/>
        <v>179.49</v>
      </c>
      <c r="BE4" s="304">
        <f t="shared" si="13"/>
        <v>162.38999999999999</v>
      </c>
      <c r="BF4" s="304">
        <f t="shared" si="13"/>
        <v>156.24</v>
      </c>
      <c r="BG4" s="304">
        <f t="shared" si="13"/>
        <v>168.62</v>
      </c>
      <c r="BH4" s="304">
        <f t="shared" si="13"/>
        <v>149.16</v>
      </c>
      <c r="BI4" s="950">
        <f t="shared" si="13"/>
        <v>149.16</v>
      </c>
      <c r="BJ4" s="304">
        <f t="shared" si="13"/>
        <v>157.74</v>
      </c>
      <c r="BK4" s="304">
        <f t="shared" si="13"/>
        <v>156.41999999999999</v>
      </c>
      <c r="BL4" s="304">
        <f t="shared" si="13"/>
        <v>145.49</v>
      </c>
      <c r="BM4" s="304">
        <f t="shared" si="13"/>
        <v>143.07</v>
      </c>
      <c r="BN4" s="950">
        <f t="shared" si="13"/>
        <v>143.07</v>
      </c>
      <c r="BO4" s="304">
        <f t="shared" ref="BO4:BS4" si="14">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166.09</v>
      </c>
      <c r="BP4" s="304">
        <f t="shared" si="14"/>
        <v>143.79</v>
      </c>
      <c r="BQ4" s="304">
        <f t="shared" si="14"/>
        <v>156.1</v>
      </c>
      <c r="BR4" s="304">
        <f t="shared" si="14"/>
        <v>152.31</v>
      </c>
      <c r="BS4" s="950">
        <f t="shared" si="14"/>
        <v>152.31</v>
      </c>
      <c r="BT4" s="689">
        <f t="shared" ref="BT4:BX4" si="15">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210.71</v>
      </c>
      <c r="BU4" s="304">
        <f t="shared" ca="1" si="15"/>
        <v>185.16</v>
      </c>
      <c r="BV4" s="304">
        <f t="shared" ca="1" si="15"/>
        <v>185.16</v>
      </c>
      <c r="BW4" s="304">
        <f t="shared" ca="1" si="15"/>
        <v>185.16</v>
      </c>
      <c r="BX4" s="950">
        <f t="shared" ca="1" si="15"/>
        <v>185.16</v>
      </c>
      <c r="BY4" s="304">
        <f t="shared" ref="BY4:CF4" ca="1" si="16">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185.16</v>
      </c>
      <c r="BZ4" s="304">
        <f t="shared" ca="1" si="16"/>
        <v>185.16</v>
      </c>
      <c r="CA4" s="304">
        <f t="shared" ca="1" si="16"/>
        <v>185.16</v>
      </c>
      <c r="CB4" s="304">
        <f t="shared" ca="1" si="16"/>
        <v>185.16</v>
      </c>
      <c r="CC4" s="950">
        <f t="shared" ca="1" si="16"/>
        <v>185.16</v>
      </c>
      <c r="CD4" s="950">
        <f t="shared" ca="1" si="16"/>
        <v>185.16</v>
      </c>
      <c r="CE4" s="950">
        <f t="shared" ca="1" si="16"/>
        <v>185.16</v>
      </c>
      <c r="CF4" s="950">
        <f t="shared" ca="1" si="16"/>
        <v>185.16</v>
      </c>
      <c r="CG4" s="121"/>
    </row>
    <row r="5" spans="1:85" s="459" customFormat="1" x14ac:dyDescent="0.3">
      <c r="A5" s="490" t="str">
        <f>INDEX(MO_SCA_ShareCount_EoP_Diluted,0,COLUMN())</f>
        <v>Total diluted common stock outstanding - EoP, mm shares</v>
      </c>
      <c r="B5" s="491"/>
      <c r="C5" s="951">
        <f t="shared" ref="C5:AH5" si="17">INDEX(MO_SCA_ShareCount_EoP_Diluted,0,COLUMN())</f>
        <v>2016.7218059999998</v>
      </c>
      <c r="D5" s="951">
        <f t="shared" si="17"/>
        <v>2017.2357809999996</v>
      </c>
      <c r="E5" s="951">
        <f t="shared" si="17"/>
        <v>1995.469924</v>
      </c>
      <c r="F5" s="951">
        <f t="shared" si="17"/>
        <v>1960.9728889999999</v>
      </c>
      <c r="G5" s="758">
        <f t="shared" si="17"/>
        <v>1953.894775</v>
      </c>
      <c r="H5" s="758">
        <f t="shared" si="17"/>
        <v>1947.4157229999996</v>
      </c>
      <c r="I5" s="758">
        <f t="shared" si="17"/>
        <v>1938.9570129999997</v>
      </c>
      <c r="J5" s="758">
        <f t="shared" si="17"/>
        <v>1928.9970679999999</v>
      </c>
      <c r="K5" s="951">
        <f t="shared" si="17"/>
        <v>1928.9970679999999</v>
      </c>
      <c r="L5" s="758">
        <f t="shared" si="17"/>
        <v>1918.042099</v>
      </c>
      <c r="M5" s="758">
        <f t="shared" si="17"/>
        <v>1913.7098249999997</v>
      </c>
      <c r="N5" s="758">
        <f t="shared" si="17"/>
        <v>1906.0013849999998</v>
      </c>
      <c r="O5" s="758">
        <f t="shared" si="17"/>
        <v>1891.9668079999999</v>
      </c>
      <c r="P5" s="951">
        <f t="shared" si="17"/>
        <v>1891.9668079999999</v>
      </c>
      <c r="Q5" s="758">
        <f t="shared" si="17"/>
        <v>1890.3207110000001</v>
      </c>
      <c r="R5" s="758">
        <f t="shared" si="17"/>
        <v>1890.8786229999998</v>
      </c>
      <c r="S5" s="758">
        <f t="shared" si="17"/>
        <v>1886.012704</v>
      </c>
      <c r="T5" s="758">
        <f t="shared" si="17"/>
        <v>1886.79</v>
      </c>
      <c r="U5" s="951">
        <f t="shared" si="17"/>
        <v>1886.79</v>
      </c>
      <c r="V5" s="758">
        <f t="shared" si="17"/>
        <v>1888.6783869999999</v>
      </c>
      <c r="W5" s="758">
        <f t="shared" si="17"/>
        <v>1890.4964479999999</v>
      </c>
      <c r="X5" s="758">
        <f t="shared" si="17"/>
        <v>1897.4623200000001</v>
      </c>
      <c r="Y5" s="758">
        <f t="shared" si="17"/>
        <v>1905.8564220000001</v>
      </c>
      <c r="Z5" s="952">
        <f t="shared" si="17"/>
        <v>1905.8564220000001</v>
      </c>
      <c r="AA5" s="758">
        <f t="shared" si="17"/>
        <v>1910.5778059999998</v>
      </c>
      <c r="AB5" s="758">
        <f t="shared" si="17"/>
        <v>1906.9976889999998</v>
      </c>
      <c r="AC5" s="758">
        <f t="shared" si="17"/>
        <v>1912.6029279999998</v>
      </c>
      <c r="AD5" s="758">
        <f t="shared" si="17"/>
        <v>1922.6488849999998</v>
      </c>
      <c r="AE5" s="952">
        <f t="shared" si="17"/>
        <v>1922.6488849999998</v>
      </c>
      <c r="AF5" s="758">
        <f t="shared" si="17"/>
        <v>1928.1847339999999</v>
      </c>
      <c r="AG5" s="758">
        <f t="shared" si="17"/>
        <v>1934.7210999999998</v>
      </c>
      <c r="AH5" s="758">
        <f t="shared" si="17"/>
        <v>1927.5313689999996</v>
      </c>
      <c r="AI5" s="758">
        <f t="shared" ref="AI5:BN5" si="18">INDEX(MO_SCA_ShareCount_EoP_Diluted,0,COLUMN())</f>
        <v>1916.25569</v>
      </c>
      <c r="AJ5" s="952">
        <f t="shared" si="18"/>
        <v>1916.25569</v>
      </c>
      <c r="AK5" s="758">
        <f t="shared" si="18"/>
        <v>1917.4720000000002</v>
      </c>
      <c r="AL5" s="758">
        <f t="shared" si="18"/>
        <v>1912.1304709999999</v>
      </c>
      <c r="AM5" s="758">
        <f t="shared" si="18"/>
        <v>1904.1931880000002</v>
      </c>
      <c r="AN5" s="758">
        <f t="shared" si="18"/>
        <v>1895.4891010000001</v>
      </c>
      <c r="AO5" s="952">
        <f t="shared" si="18"/>
        <v>1895.4891010000001</v>
      </c>
      <c r="AP5" s="758">
        <f t="shared" si="18"/>
        <v>1870.35465</v>
      </c>
      <c r="AQ5" s="758">
        <f t="shared" si="18"/>
        <v>1870.643832</v>
      </c>
      <c r="AR5" s="758">
        <f t="shared" si="18"/>
        <v>1870.6994480000001</v>
      </c>
      <c r="AS5" s="758">
        <f t="shared" si="18"/>
        <v>1928.5623169999999</v>
      </c>
      <c r="AT5" s="952">
        <f t="shared" si="18"/>
        <v>1928.5623169999999</v>
      </c>
      <c r="AU5" s="758">
        <f t="shared" si="18"/>
        <v>1931.016179</v>
      </c>
      <c r="AV5" s="758">
        <f t="shared" si="18"/>
        <v>1938.333944</v>
      </c>
      <c r="AW5" s="758">
        <f t="shared" si="18"/>
        <v>1930.774919</v>
      </c>
      <c r="AX5" s="758">
        <f t="shared" si="18"/>
        <v>1936.4480570000001</v>
      </c>
      <c r="AY5" s="952">
        <f t="shared" si="18"/>
        <v>1936.4480570000001</v>
      </c>
      <c r="AZ5" s="758">
        <f t="shared" si="18"/>
        <v>1973.6874560000001</v>
      </c>
      <c r="BA5" s="758">
        <f t="shared" si="18"/>
        <v>1966.8408139999999</v>
      </c>
      <c r="BB5" s="758">
        <f t="shared" si="18"/>
        <v>1941.4025459999998</v>
      </c>
      <c r="BC5" s="758">
        <f t="shared" si="18"/>
        <v>1924.345343</v>
      </c>
      <c r="BD5" s="952">
        <f t="shared" si="18"/>
        <v>1924.345343</v>
      </c>
      <c r="BE5" s="758">
        <f t="shared" si="18"/>
        <v>1903.3052640000001</v>
      </c>
      <c r="BF5" s="758">
        <f t="shared" si="18"/>
        <v>1875.5882180000001</v>
      </c>
      <c r="BG5" s="758">
        <f t="shared" si="18"/>
        <v>1893.8896650000002</v>
      </c>
      <c r="BH5" s="758">
        <f t="shared" si="18"/>
        <v>1872.2748040000001</v>
      </c>
      <c r="BI5" s="952">
        <f t="shared" si="18"/>
        <v>1872.2748040000001</v>
      </c>
      <c r="BJ5" s="758">
        <f t="shared" si="18"/>
        <v>1853.7480330000001</v>
      </c>
      <c r="BK5" s="758">
        <f t="shared" si="18"/>
        <v>1836.5061129999999</v>
      </c>
      <c r="BL5" s="758">
        <f t="shared" si="18"/>
        <v>1803.7853250000001</v>
      </c>
      <c r="BM5" s="758">
        <f t="shared" si="18"/>
        <v>1776.068274</v>
      </c>
      <c r="BN5" s="952">
        <f t="shared" si="18"/>
        <v>1776.068274</v>
      </c>
      <c r="BO5" s="758">
        <f t="shared" ref="BO5:BS5" si="19">INDEX(MO_SCA_ShareCount_EoP_Diluted,0,COLUMN())</f>
        <v>1753.206905</v>
      </c>
      <c r="BP5" s="758">
        <f t="shared" si="19"/>
        <v>1733.2033759999999</v>
      </c>
      <c r="BQ5" s="758">
        <f t="shared" si="19"/>
        <v>2020.634597</v>
      </c>
      <c r="BR5" s="758">
        <f t="shared" si="19"/>
        <v>2000.9521219999999</v>
      </c>
      <c r="BS5" s="952">
        <f t="shared" si="19"/>
        <v>2000.9521219999999</v>
      </c>
      <c r="BT5" s="759">
        <f t="shared" ref="BT5:BX5" si="20">INDEX(MO_SCA_ShareCount_EoP_Diluted,0,COLUMN())</f>
        <v>1997.3517320000001</v>
      </c>
      <c r="BU5" s="758">
        <f t="shared" ca="1" si="20"/>
        <v>1984.1731366427969</v>
      </c>
      <c r="BV5" s="758">
        <f t="shared" ca="1" si="20"/>
        <v>1984.1731366427969</v>
      </c>
      <c r="BW5" s="758">
        <f t="shared" ca="1" si="20"/>
        <v>1984.1731366427969</v>
      </c>
      <c r="BX5" s="952">
        <f t="shared" ca="1" si="20"/>
        <v>1984.1731366427969</v>
      </c>
      <c r="BY5" s="758">
        <f t="shared" ref="BY5:CF5" ca="1" si="21">INDEX(MO_SCA_ShareCount_EoP_Diluted,0,COLUMN())</f>
        <v>1984.1731366427969</v>
      </c>
      <c r="BZ5" s="758">
        <f t="shared" ca="1" si="21"/>
        <v>1984.1731366427969</v>
      </c>
      <c r="CA5" s="758">
        <f t="shared" ca="1" si="21"/>
        <v>1984.1731366427969</v>
      </c>
      <c r="CB5" s="758">
        <f t="shared" ca="1" si="21"/>
        <v>1984.1731366427969</v>
      </c>
      <c r="CC5" s="952">
        <f t="shared" ca="1" si="21"/>
        <v>1984.1731366427969</v>
      </c>
      <c r="CD5" s="952">
        <f t="shared" ca="1" si="21"/>
        <v>1984.1731366427969</v>
      </c>
      <c r="CE5" s="952">
        <f t="shared" ca="1" si="21"/>
        <v>1984.1731366427969</v>
      </c>
      <c r="CF5" s="952">
        <f t="shared" ca="1" si="21"/>
        <v>1984.1731366427969</v>
      </c>
      <c r="CG5" s="121"/>
    </row>
    <row r="6" spans="1:85" s="461" customFormat="1" x14ac:dyDescent="0.3">
      <c r="A6" s="161" t="str">
        <f>"Market Cap - "&amp;SP.ValuationToggle</f>
        <v>Market Cap - EoP</v>
      </c>
      <c r="B6" s="162"/>
      <c r="C6" s="953">
        <f t="shared" ref="C6:AH6" si="22">INDEX(SP_CS_StockPrice,0,COLUMN())*INDEX(SP_CS_ShareCount_EoP_Diluted,0,COLUMN())</f>
        <v>156598.4482359</v>
      </c>
      <c r="D6" s="953">
        <f t="shared" si="22"/>
        <v>184778.79753959997</v>
      </c>
      <c r="E6" s="953">
        <f t="shared" si="22"/>
        <v>212317.99991360001</v>
      </c>
      <c r="F6" s="953">
        <f t="shared" si="22"/>
        <v>208745.56403404998</v>
      </c>
      <c r="G6" s="118">
        <f t="shared" si="22"/>
        <v>232161.77716549998</v>
      </c>
      <c r="H6" s="118">
        <f t="shared" si="22"/>
        <v>230457.17665981996</v>
      </c>
      <c r="I6" s="118">
        <f t="shared" si="22"/>
        <v>237793.68807431997</v>
      </c>
      <c r="J6" s="118">
        <f t="shared" si="22"/>
        <v>239639.30575763999</v>
      </c>
      <c r="K6" s="953">
        <f t="shared" si="22"/>
        <v>239639.30575763999</v>
      </c>
      <c r="L6" s="118">
        <f t="shared" si="22"/>
        <v>227287.98873149999</v>
      </c>
      <c r="M6" s="118">
        <f t="shared" si="22"/>
        <v>249471.212787</v>
      </c>
      <c r="N6" s="118">
        <f t="shared" si="22"/>
        <v>229768.46696174997</v>
      </c>
      <c r="O6" s="118">
        <f t="shared" si="22"/>
        <v>214000.36565287999</v>
      </c>
      <c r="P6" s="953">
        <f t="shared" si="22"/>
        <v>214000.36565287999</v>
      </c>
      <c r="Q6" s="118">
        <f t="shared" si="22"/>
        <v>202075.28400590003</v>
      </c>
      <c r="R6" s="118">
        <f t="shared" si="22"/>
        <v>182829.05405786997</v>
      </c>
      <c r="S6" s="118">
        <f t="shared" si="22"/>
        <v>143808.46867999999</v>
      </c>
      <c r="T6" s="118">
        <f t="shared" si="22"/>
        <v>169980.9111</v>
      </c>
      <c r="U6" s="953">
        <f t="shared" si="22"/>
        <v>169980.9111</v>
      </c>
      <c r="V6" s="118">
        <f t="shared" si="22"/>
        <v>179896.61636175</v>
      </c>
      <c r="W6" s="118">
        <f t="shared" si="22"/>
        <v>195515.14265215999</v>
      </c>
      <c r="X6" s="118">
        <f t="shared" si="22"/>
        <v>192156.0091464</v>
      </c>
      <c r="Y6" s="118">
        <f t="shared" si="22"/>
        <v>224319.3008694</v>
      </c>
      <c r="Z6" s="953">
        <f t="shared" si="22"/>
        <v>224319.3008694</v>
      </c>
      <c r="AA6" s="118">
        <f t="shared" si="22"/>
        <v>205922.07593067997</v>
      </c>
      <c r="AB6" s="118">
        <f t="shared" si="22"/>
        <v>198556.59937868</v>
      </c>
      <c r="AC6" s="118">
        <f t="shared" si="22"/>
        <v>224730.84403999997</v>
      </c>
      <c r="AD6" s="118">
        <f t="shared" si="22"/>
        <v>240696.41391314997</v>
      </c>
      <c r="AE6" s="953">
        <f t="shared" si="22"/>
        <v>240696.41391314997</v>
      </c>
      <c r="AF6" s="118">
        <f t="shared" si="22"/>
        <v>219890.18706535999</v>
      </c>
      <c r="AG6" s="118">
        <f t="shared" si="22"/>
        <v>244606.78867299997</v>
      </c>
      <c r="AH6" s="118">
        <f t="shared" si="22"/>
        <v>235698.53580131996</v>
      </c>
      <c r="AI6" s="118">
        <f t="shared" ref="AI6:BN6" si="23">INDEX(SP_CS_StockPrice,0,COLUMN())*INDEX(SP_CS_ShareCount_EoP_Diluted,0,COLUMN())</f>
        <v>208201.18071849999</v>
      </c>
      <c r="AJ6" s="953">
        <f t="shared" si="23"/>
        <v>208201.18071849999</v>
      </c>
      <c r="AK6" s="118">
        <f t="shared" si="23"/>
        <v>236194.20096000005</v>
      </c>
      <c r="AL6" s="118">
        <f t="shared" si="23"/>
        <v>237945.51581123998</v>
      </c>
      <c r="AM6" s="118">
        <f t="shared" si="23"/>
        <v>225837.31209680001</v>
      </c>
      <c r="AN6" s="118">
        <f t="shared" si="23"/>
        <v>227174.36875485</v>
      </c>
      <c r="AO6" s="953">
        <f t="shared" si="23"/>
        <v>227174.36875485</v>
      </c>
      <c r="AP6" s="118">
        <f t="shared" si="23"/>
        <v>134572.01706750001</v>
      </c>
      <c r="AQ6" s="118">
        <f t="shared" si="23"/>
        <v>163999.34475143999</v>
      </c>
      <c r="AR6" s="118">
        <f t="shared" si="23"/>
        <v>134503.29031120002</v>
      </c>
      <c r="AS6" s="118">
        <f t="shared" si="23"/>
        <v>164564.22250961</v>
      </c>
      <c r="AT6" s="953">
        <f t="shared" si="23"/>
        <v>164564.22250961</v>
      </c>
      <c r="AU6" s="118">
        <f t="shared" si="23"/>
        <v>204552.54384147</v>
      </c>
      <c r="AV6" s="118">
        <f t="shared" si="23"/>
        <v>201121.53002944001</v>
      </c>
      <c r="AW6" s="118">
        <f t="shared" si="23"/>
        <v>199506.97238026999</v>
      </c>
      <c r="AX6" s="118">
        <f t="shared" si="23"/>
        <v>227397.09533351002</v>
      </c>
      <c r="AY6" s="953">
        <f t="shared" si="23"/>
        <v>227397.09533351002</v>
      </c>
      <c r="AZ6" s="118">
        <f t="shared" si="23"/>
        <v>326605.80021888</v>
      </c>
      <c r="BA6" s="118">
        <f t="shared" si="23"/>
        <v>289086.26284171996</v>
      </c>
      <c r="BB6" s="118">
        <f t="shared" si="23"/>
        <v>281056.84658442001</v>
      </c>
      <c r="BC6" s="118">
        <f t="shared" si="23"/>
        <v>345400.74561506999</v>
      </c>
      <c r="BD6" s="953">
        <f t="shared" si="23"/>
        <v>345400.74561506999</v>
      </c>
      <c r="BE6" s="118">
        <f t="shared" si="23"/>
        <v>309077.74182096001</v>
      </c>
      <c r="BF6" s="118">
        <f t="shared" si="23"/>
        <v>293041.90318032005</v>
      </c>
      <c r="BG6" s="118">
        <f t="shared" si="23"/>
        <v>319347.67531230004</v>
      </c>
      <c r="BH6" s="118">
        <f t="shared" si="23"/>
        <v>279268.50976464001</v>
      </c>
      <c r="BI6" s="953">
        <f t="shared" si="23"/>
        <v>279268.50976464001</v>
      </c>
      <c r="BJ6" s="118">
        <f t="shared" si="23"/>
        <v>292410.21472542005</v>
      </c>
      <c r="BK6" s="118">
        <f t="shared" si="23"/>
        <v>287266.28619545995</v>
      </c>
      <c r="BL6" s="118">
        <f t="shared" si="23"/>
        <v>262432.72693425004</v>
      </c>
      <c r="BM6" s="118">
        <f t="shared" si="23"/>
        <v>254102.08796117999</v>
      </c>
      <c r="BN6" s="953">
        <f t="shared" si="23"/>
        <v>254102.08796117999</v>
      </c>
      <c r="BO6" s="118">
        <f t="shared" ref="BO6:BS6" si="24">INDEX(SP_CS_StockPrice,0,COLUMN())*INDEX(SP_CS_ShareCount_EoP_Diluted,0,COLUMN())</f>
        <v>291190.13485144998</v>
      </c>
      <c r="BP6" s="118">
        <f t="shared" si="24"/>
        <v>249217.31343503998</v>
      </c>
      <c r="BQ6" s="118">
        <f t="shared" si="24"/>
        <v>315421.06059169996</v>
      </c>
      <c r="BR6" s="118">
        <f t="shared" si="24"/>
        <v>304765.01770182</v>
      </c>
      <c r="BS6" s="953">
        <f t="shared" si="24"/>
        <v>304765.01770182</v>
      </c>
      <c r="BT6" s="690">
        <f t="shared" ref="BT6:BX6" si="25">INDEX(SP_CS_StockPrice,0,COLUMN())*INDEX(SP_CS_ShareCount_EoP_Diluted,0,COLUMN())</f>
        <v>420861.98344972002</v>
      </c>
      <c r="BU6" s="118">
        <f t="shared" ca="1" si="25"/>
        <v>367389.49798078026</v>
      </c>
      <c r="BV6" s="118">
        <f t="shared" ca="1" si="25"/>
        <v>367389.49798078026</v>
      </c>
      <c r="BW6" s="118">
        <f t="shared" ca="1" si="25"/>
        <v>367389.49798078026</v>
      </c>
      <c r="BX6" s="953">
        <f t="shared" ca="1" si="25"/>
        <v>367389.49798078026</v>
      </c>
      <c r="BY6" s="118">
        <f t="shared" ref="BY6:CF6" ca="1" si="26">INDEX(SP_CS_StockPrice,0,COLUMN())*INDEX(SP_CS_ShareCount_EoP_Diluted,0,COLUMN())</f>
        <v>367389.49798078026</v>
      </c>
      <c r="BZ6" s="118">
        <f t="shared" ca="1" si="26"/>
        <v>367389.49798078026</v>
      </c>
      <c r="CA6" s="118">
        <f t="shared" ca="1" si="26"/>
        <v>367389.49798078026</v>
      </c>
      <c r="CB6" s="118">
        <f t="shared" ca="1" si="26"/>
        <v>367389.49798078026</v>
      </c>
      <c r="CC6" s="953">
        <f t="shared" ca="1" si="26"/>
        <v>367389.49798078026</v>
      </c>
      <c r="CD6" s="953">
        <f t="shared" ca="1" si="26"/>
        <v>367389.49798078026</v>
      </c>
      <c r="CE6" s="953">
        <f t="shared" ca="1" si="26"/>
        <v>367389.49798078026</v>
      </c>
      <c r="CF6" s="953">
        <f t="shared" ca="1" si="26"/>
        <v>367389.49798078026</v>
      </c>
      <c r="CG6" s="120"/>
    </row>
    <row r="7" spans="1:85" s="460" customFormat="1" x14ac:dyDescent="0.3">
      <c r="A7" s="159" t="str">
        <f>+INDEX(MO_BSS_WC,0,COLUMN())</f>
        <v>WC Sur/Def, ex Cash &amp; STD</v>
      </c>
      <c r="B7" s="160"/>
      <c r="C7" s="150">
        <f t="shared" ref="C7:AH7" si="27">+INDEX(MO_BSS_WC,0,COLUMN())</f>
        <v>2567</v>
      </c>
      <c r="D7" s="150">
        <f t="shared" si="27"/>
        <v>2946</v>
      </c>
      <c r="E7" s="150">
        <f t="shared" si="27"/>
        <v>-97</v>
      </c>
      <c r="F7" s="150">
        <f t="shared" si="27"/>
        <v>-278</v>
      </c>
      <c r="G7" s="117">
        <f t="shared" si="27"/>
        <v>3053</v>
      </c>
      <c r="H7" s="117">
        <f t="shared" si="27"/>
        <v>2308</v>
      </c>
      <c r="I7" s="117">
        <f t="shared" si="27"/>
        <v>1980</v>
      </c>
      <c r="J7" s="117">
        <f t="shared" si="27"/>
        <v>1090</v>
      </c>
      <c r="K7" s="150">
        <f t="shared" si="27"/>
        <v>1090</v>
      </c>
      <c r="L7" s="117">
        <f t="shared" si="27"/>
        <v>922</v>
      </c>
      <c r="M7" s="117">
        <f t="shared" si="27"/>
        <v>1855</v>
      </c>
      <c r="N7" s="117">
        <f t="shared" si="27"/>
        <v>1170</v>
      </c>
      <c r="O7" s="117">
        <f t="shared" si="27"/>
        <v>881</v>
      </c>
      <c r="P7" s="150">
        <f t="shared" si="27"/>
        <v>881</v>
      </c>
      <c r="Q7" s="117">
        <f t="shared" si="27"/>
        <v>2626</v>
      </c>
      <c r="R7" s="117">
        <f t="shared" si="27"/>
        <v>2570</v>
      </c>
      <c r="S7" s="117">
        <f t="shared" si="27"/>
        <v>3016</v>
      </c>
      <c r="T7" s="117">
        <f t="shared" si="27"/>
        <v>2558</v>
      </c>
      <c r="U7" s="150">
        <f t="shared" si="27"/>
        <v>2558</v>
      </c>
      <c r="V7" s="117">
        <f t="shared" si="27"/>
        <v>3302</v>
      </c>
      <c r="W7" s="117">
        <f t="shared" si="27"/>
        <v>3990</v>
      </c>
      <c r="X7" s="117">
        <f t="shared" si="27"/>
        <v>2514</v>
      </c>
      <c r="Y7" s="117">
        <f t="shared" si="27"/>
        <v>1673</v>
      </c>
      <c r="Z7" s="150">
        <f t="shared" si="27"/>
        <v>1673</v>
      </c>
      <c r="AA7" s="117">
        <f t="shared" si="27"/>
        <v>2445</v>
      </c>
      <c r="AB7" s="117">
        <f t="shared" si="27"/>
        <v>2677</v>
      </c>
      <c r="AC7" s="117">
        <f t="shared" si="27"/>
        <v>2418</v>
      </c>
      <c r="AD7" s="117">
        <f t="shared" si="27"/>
        <v>1193</v>
      </c>
      <c r="AE7" s="150">
        <f t="shared" si="27"/>
        <v>1193</v>
      </c>
      <c r="AF7" s="117">
        <f t="shared" si="27"/>
        <v>2142</v>
      </c>
      <c r="AG7" s="117">
        <f t="shared" si="27"/>
        <v>2236</v>
      </c>
      <c r="AH7" s="117">
        <f t="shared" si="27"/>
        <v>1720</v>
      </c>
      <c r="AI7" s="117">
        <f t="shared" ref="AI7:BI7" si="28">+INDEX(MO_BSS_WC,0,COLUMN())</f>
        <v>1092</v>
      </c>
      <c r="AJ7" s="150">
        <f t="shared" si="28"/>
        <v>1092</v>
      </c>
      <c r="AK7" s="117">
        <f t="shared" si="28"/>
        <v>992</v>
      </c>
      <c r="AL7" s="117">
        <f t="shared" si="28"/>
        <v>97</v>
      </c>
      <c r="AM7" s="117">
        <f t="shared" si="28"/>
        <v>-1328</v>
      </c>
      <c r="AN7" s="117">
        <f t="shared" si="28"/>
        <v>-1893</v>
      </c>
      <c r="AO7" s="150">
        <f t="shared" si="28"/>
        <v>-1893</v>
      </c>
      <c r="AP7" s="117">
        <f t="shared" si="28"/>
        <v>-725</v>
      </c>
      <c r="AQ7" s="117">
        <f t="shared" si="28"/>
        <v>-1180</v>
      </c>
      <c r="AR7" s="117">
        <f t="shared" si="28"/>
        <v>-2150</v>
      </c>
      <c r="AS7" s="117">
        <f t="shared" si="28"/>
        <v>-1325</v>
      </c>
      <c r="AT7" s="150">
        <f t="shared" si="28"/>
        <v>-1325</v>
      </c>
      <c r="AU7" s="117">
        <f t="shared" si="28"/>
        <v>-502</v>
      </c>
      <c r="AV7" s="117">
        <f t="shared" si="28"/>
        <v>-399</v>
      </c>
      <c r="AW7" s="117">
        <f t="shared" si="28"/>
        <v>181</v>
      </c>
      <c r="AX7" s="117">
        <f t="shared" si="28"/>
        <v>373</v>
      </c>
      <c r="AY7" s="150">
        <f t="shared" si="28"/>
        <v>373</v>
      </c>
      <c r="AZ7" s="117">
        <f t="shared" si="28"/>
        <v>981</v>
      </c>
      <c r="BA7" s="117">
        <f t="shared" si="28"/>
        <v>1600</v>
      </c>
      <c r="BB7" s="117">
        <f t="shared" si="28"/>
        <v>-123</v>
      </c>
      <c r="BC7" s="117">
        <f t="shared" si="28"/>
        <v>-1245</v>
      </c>
      <c r="BD7" s="150">
        <f t="shared" si="28"/>
        <v>-1245</v>
      </c>
      <c r="BE7" s="117">
        <f t="shared" si="28"/>
        <v>518</v>
      </c>
      <c r="BF7" s="117">
        <f t="shared" si="28"/>
        <v>3494</v>
      </c>
      <c r="BG7" s="117">
        <f t="shared" si="28"/>
        <v>1762</v>
      </c>
      <c r="BH7" s="117">
        <f t="shared" si="28"/>
        <v>79</v>
      </c>
      <c r="BI7" s="150">
        <f t="shared" si="28"/>
        <v>79</v>
      </c>
      <c r="BJ7" s="117">
        <f t="shared" ref="BJ7:BN7" si="29">+INDEX(MO_BSS_WC,0,COLUMN())</f>
        <v>638</v>
      </c>
      <c r="BK7" s="117">
        <f t="shared" si="29"/>
        <v>2112</v>
      </c>
      <c r="BL7" s="117">
        <f t="shared" si="29"/>
        <v>1845</v>
      </c>
      <c r="BM7" s="117">
        <f t="shared" si="29"/>
        <v>-1507</v>
      </c>
      <c r="BN7" s="150">
        <f t="shared" si="29"/>
        <v>-1507</v>
      </c>
      <c r="BO7" s="117">
        <f t="shared" ref="BO7:BS7" si="30">+INDEX(MO_BSS_WC,0,COLUMN())</f>
        <v>777</v>
      </c>
      <c r="BP7" s="117">
        <f t="shared" si="30"/>
        <v>675</v>
      </c>
      <c r="BQ7" s="117">
        <f t="shared" si="30"/>
        <v>200</v>
      </c>
      <c r="BR7" s="117">
        <f t="shared" si="30"/>
        <v>-1147</v>
      </c>
      <c r="BS7" s="150">
        <f t="shared" si="30"/>
        <v>-1147</v>
      </c>
      <c r="BT7" s="691">
        <f t="shared" ref="BT7:BX7" si="31">+INDEX(MO_BSS_WC,0,COLUMN())</f>
        <v>3492</v>
      </c>
      <c r="BU7" s="117">
        <f t="shared" ca="1" si="31"/>
        <v>3492</v>
      </c>
      <c r="BV7" s="117">
        <f t="shared" ca="1" si="31"/>
        <v>3492</v>
      </c>
      <c r="BW7" s="117">
        <f t="shared" ca="1" si="31"/>
        <v>3492</v>
      </c>
      <c r="BX7" s="150">
        <f t="shared" ca="1" si="31"/>
        <v>3492</v>
      </c>
      <c r="BY7" s="117">
        <f t="shared" ref="BY7:CF7" ca="1" si="32">+INDEX(MO_BSS_WC,0,COLUMN())</f>
        <v>3492</v>
      </c>
      <c r="BZ7" s="117">
        <f t="shared" ca="1" si="32"/>
        <v>3492</v>
      </c>
      <c r="CA7" s="117">
        <f t="shared" ca="1" si="32"/>
        <v>3492</v>
      </c>
      <c r="CB7" s="117">
        <f t="shared" ca="1" si="32"/>
        <v>3491.9999999999927</v>
      </c>
      <c r="CC7" s="150">
        <f t="shared" ca="1" si="32"/>
        <v>3491.9999999999927</v>
      </c>
      <c r="CD7" s="150">
        <f t="shared" ca="1" si="32"/>
        <v>3491.9999999999927</v>
      </c>
      <c r="CE7" s="150">
        <f t="shared" ca="1" si="32"/>
        <v>3492</v>
      </c>
      <c r="CF7" s="150">
        <f t="shared" ca="1" si="32"/>
        <v>3492</v>
      </c>
      <c r="CG7" s="117"/>
    </row>
    <row r="8" spans="1:85" s="460" customFormat="1" x14ac:dyDescent="0.3">
      <c r="A8" s="159" t="str">
        <f>INDEX(MO_BSS_Cash,0,COLUMN())</f>
        <v>Cash</v>
      </c>
      <c r="B8" s="160"/>
      <c r="C8" s="150">
        <f t="shared" ref="C8:AH8" si="33">INDEX(MO_BSS_Cash,0,COLUMN())</f>
        <v>8822</v>
      </c>
      <c r="D8" s="150">
        <f t="shared" si="33"/>
        <v>17070</v>
      </c>
      <c r="E8" s="150">
        <f t="shared" si="33"/>
        <v>20071</v>
      </c>
      <c r="F8" s="150">
        <f t="shared" si="33"/>
        <v>21913</v>
      </c>
      <c r="G8" s="117">
        <f t="shared" si="33"/>
        <v>19048</v>
      </c>
      <c r="H8" s="117">
        <f t="shared" si="33"/>
        <v>22296</v>
      </c>
      <c r="I8" s="117">
        <f t="shared" si="33"/>
        <v>18580</v>
      </c>
      <c r="J8" s="117">
        <f t="shared" si="33"/>
        <v>16516</v>
      </c>
      <c r="K8" s="150">
        <f t="shared" si="33"/>
        <v>16516</v>
      </c>
      <c r="L8" s="117">
        <f t="shared" si="33"/>
        <v>16183</v>
      </c>
      <c r="M8" s="117">
        <f t="shared" si="33"/>
        <v>14235</v>
      </c>
      <c r="N8" s="117">
        <f t="shared" si="33"/>
        <v>14490</v>
      </c>
      <c r="O8" s="117">
        <f t="shared" si="33"/>
        <v>13215</v>
      </c>
      <c r="P8" s="150">
        <f t="shared" si="33"/>
        <v>13215</v>
      </c>
      <c r="Q8" s="117">
        <f t="shared" si="33"/>
        <v>13107</v>
      </c>
      <c r="R8" s="117">
        <f t="shared" si="33"/>
        <v>12521</v>
      </c>
      <c r="S8" s="117">
        <f t="shared" si="33"/>
        <v>13239</v>
      </c>
      <c r="T8" s="117">
        <f t="shared" si="33"/>
        <v>11332</v>
      </c>
      <c r="U8" s="150">
        <f t="shared" si="33"/>
        <v>11332</v>
      </c>
      <c r="V8" s="117">
        <f t="shared" si="33"/>
        <v>8879</v>
      </c>
      <c r="W8" s="117">
        <f t="shared" si="33"/>
        <v>9084</v>
      </c>
      <c r="X8" s="117">
        <f t="shared" si="33"/>
        <v>7672</v>
      </c>
      <c r="Y8" s="117">
        <f t="shared" si="33"/>
        <v>7001</v>
      </c>
      <c r="Z8" s="150">
        <f t="shared" si="33"/>
        <v>7001</v>
      </c>
      <c r="AA8" s="117">
        <f t="shared" si="33"/>
        <v>6994</v>
      </c>
      <c r="AB8" s="117">
        <f t="shared" si="33"/>
        <v>4775</v>
      </c>
      <c r="AC8" s="117">
        <f t="shared" si="33"/>
        <v>6654</v>
      </c>
      <c r="AD8" s="117">
        <f t="shared" si="33"/>
        <v>4822</v>
      </c>
      <c r="AE8" s="150">
        <f t="shared" si="33"/>
        <v>4822</v>
      </c>
      <c r="AF8" s="117">
        <f t="shared" si="33"/>
        <v>7555</v>
      </c>
      <c r="AG8" s="117">
        <f t="shared" si="33"/>
        <v>8756</v>
      </c>
      <c r="AH8" s="117">
        <f t="shared" si="33"/>
        <v>10801</v>
      </c>
      <c r="AI8" s="117">
        <f t="shared" ref="AI8:BI8" si="34">INDEX(MO_BSS_Cash,0,COLUMN())</f>
        <v>11484</v>
      </c>
      <c r="AJ8" s="150">
        <f t="shared" si="34"/>
        <v>11484</v>
      </c>
      <c r="AK8" s="117">
        <f t="shared" si="34"/>
        <v>9751</v>
      </c>
      <c r="AL8" s="117">
        <f t="shared" si="34"/>
        <v>9749</v>
      </c>
      <c r="AM8" s="117">
        <f t="shared" si="34"/>
        <v>12878</v>
      </c>
      <c r="AN8" s="117">
        <f t="shared" si="34"/>
        <v>6974</v>
      </c>
      <c r="AO8" s="150">
        <f t="shared" si="34"/>
        <v>6974</v>
      </c>
      <c r="AP8" s="117">
        <f t="shared" si="34"/>
        <v>9740</v>
      </c>
      <c r="AQ8" s="117">
        <f t="shared" si="34"/>
        <v>7838</v>
      </c>
      <c r="AR8" s="117">
        <f t="shared" si="34"/>
        <v>7819</v>
      </c>
      <c r="AS8" s="117">
        <f t="shared" si="34"/>
        <v>6768</v>
      </c>
      <c r="AT8" s="150">
        <f t="shared" si="34"/>
        <v>6768</v>
      </c>
      <c r="AU8" s="117">
        <f t="shared" si="34"/>
        <v>8296</v>
      </c>
      <c r="AV8" s="117">
        <f t="shared" si="34"/>
        <v>8722</v>
      </c>
      <c r="AW8" s="117">
        <f t="shared" si="34"/>
        <v>7059</v>
      </c>
      <c r="AX8" s="117">
        <f t="shared" si="34"/>
        <v>6830</v>
      </c>
      <c r="AY8" s="150">
        <f t="shared" si="34"/>
        <v>6830</v>
      </c>
      <c r="AZ8" s="117">
        <f t="shared" si="34"/>
        <v>12839</v>
      </c>
      <c r="BA8" s="117">
        <f t="shared" si="34"/>
        <v>13697</v>
      </c>
      <c r="BB8" s="117">
        <f t="shared" si="34"/>
        <v>16964</v>
      </c>
      <c r="BC8" s="117">
        <f t="shared" si="34"/>
        <v>19344</v>
      </c>
      <c r="BD8" s="150">
        <f t="shared" si="34"/>
        <v>19344</v>
      </c>
      <c r="BE8" s="117">
        <f t="shared" si="34"/>
        <v>17029</v>
      </c>
      <c r="BF8" s="117">
        <f t="shared" si="34"/>
        <v>10718</v>
      </c>
      <c r="BG8" s="117">
        <f t="shared" si="34"/>
        <v>7147</v>
      </c>
      <c r="BH8" s="117">
        <f t="shared" si="34"/>
        <v>9320</v>
      </c>
      <c r="BI8" s="150">
        <f t="shared" si="34"/>
        <v>9320</v>
      </c>
      <c r="BJ8" s="117">
        <f t="shared" ref="BJ8:BN8" si="35">INDEX(MO_BSS_Cash,0,COLUMN())</f>
        <v>7212</v>
      </c>
      <c r="BK8" s="117">
        <f t="shared" si="35"/>
        <v>4965</v>
      </c>
      <c r="BL8" s="117">
        <f t="shared" si="35"/>
        <v>5768</v>
      </c>
      <c r="BM8" s="117">
        <f t="shared" si="35"/>
        <v>8266</v>
      </c>
      <c r="BN8" s="150">
        <f t="shared" si="35"/>
        <v>8266</v>
      </c>
      <c r="BO8" s="117">
        <f t="shared" ref="BO8:BS8" si="36">INDEX(MO_BSS_Cash,0,COLUMN())</f>
        <v>6171</v>
      </c>
      <c r="BP8" s="117">
        <f t="shared" si="36"/>
        <v>5380</v>
      </c>
      <c r="BQ8" s="117">
        <f t="shared" si="36"/>
        <v>8785</v>
      </c>
      <c r="BR8" s="117">
        <f t="shared" si="36"/>
        <v>7289</v>
      </c>
      <c r="BS8" s="150">
        <f t="shared" si="36"/>
        <v>7289</v>
      </c>
      <c r="BT8" s="691">
        <f t="shared" ref="BT8:BX8" si="37">INDEX(MO_BSS_Cash,0,COLUMN())</f>
        <v>6320</v>
      </c>
      <c r="BU8" s="117">
        <f t="shared" ca="1" si="37"/>
        <v>11175.281075008896</v>
      </c>
      <c r="BV8" s="117">
        <f t="shared" ca="1" si="37"/>
        <v>14795.803073493544</v>
      </c>
      <c r="BW8" s="117">
        <f t="shared" ca="1" si="37"/>
        <v>18110.066601978193</v>
      </c>
      <c r="BX8" s="150">
        <f t="shared" ca="1" si="37"/>
        <v>18110.066601978193</v>
      </c>
      <c r="BY8" s="117">
        <f t="shared" ref="BY8:CF8" ca="1" si="38">INDEX(MO_BSS_Cash,0,COLUMN())</f>
        <v>22288.823448873802</v>
      </c>
      <c r="BZ8" s="117">
        <f t="shared" ca="1" si="38"/>
        <v>26984.828858367357</v>
      </c>
      <c r="CA8" s="117">
        <f t="shared" ca="1" si="38"/>
        <v>31850.66429455885</v>
      </c>
      <c r="CB8" s="117">
        <f t="shared" ca="1" si="38"/>
        <v>36623.444825950348</v>
      </c>
      <c r="CC8" s="150">
        <f t="shared" ca="1" si="38"/>
        <v>36623.444825950348</v>
      </c>
      <c r="CD8" s="150">
        <f t="shared" ca="1" si="38"/>
        <v>52478.852293772514</v>
      </c>
      <c r="CE8" s="150">
        <f t="shared" ca="1" si="38"/>
        <v>67049.389631844679</v>
      </c>
      <c r="CF8" s="150">
        <f t="shared" ca="1" si="38"/>
        <v>75752.978757166828</v>
      </c>
      <c r="CG8" s="117"/>
    </row>
    <row r="9" spans="1:85" s="460" customFormat="1" x14ac:dyDescent="0.3">
      <c r="A9" s="159" t="str">
        <f>INDEX(MO_BSS_Debt,0,COLUMN())</f>
        <v>Debt</v>
      </c>
      <c r="B9" s="160"/>
      <c r="C9" s="150">
        <f t="shared" ref="C9:AH9" si="39">INDEX(MO_BSS_Debt,0,COLUMN())</f>
        <v>10514</v>
      </c>
      <c r="D9" s="150">
        <f t="shared" si="39"/>
        <v>11476</v>
      </c>
      <c r="E9" s="150">
        <f t="shared" si="39"/>
        <v>10152</v>
      </c>
      <c r="F9" s="150">
        <f t="shared" si="39"/>
        <v>12192</v>
      </c>
      <c r="G9" s="117">
        <f t="shared" si="39"/>
        <v>14143</v>
      </c>
      <c r="H9" s="117">
        <f t="shared" si="39"/>
        <v>19964</v>
      </c>
      <c r="I9" s="117">
        <f t="shared" si="39"/>
        <v>18581</v>
      </c>
      <c r="J9" s="117">
        <f t="shared" si="39"/>
        <v>20431</v>
      </c>
      <c r="K9" s="150">
        <f t="shared" si="39"/>
        <v>20431</v>
      </c>
      <c r="L9" s="117">
        <f t="shared" si="39"/>
        <v>23054</v>
      </c>
      <c r="M9" s="117">
        <f t="shared" si="39"/>
        <v>23548</v>
      </c>
      <c r="N9" s="117">
        <f t="shared" si="39"/>
        <v>25709</v>
      </c>
      <c r="O9" s="117">
        <f t="shared" si="39"/>
        <v>27818</v>
      </c>
      <c r="P9" s="150">
        <f t="shared" si="39"/>
        <v>27818</v>
      </c>
      <c r="Q9" s="117">
        <f t="shared" si="39"/>
        <v>33933</v>
      </c>
      <c r="R9" s="117">
        <f t="shared" si="39"/>
        <v>31910</v>
      </c>
      <c r="S9" s="117">
        <f t="shared" si="39"/>
        <v>35876</v>
      </c>
      <c r="T9" s="117">
        <f t="shared" si="39"/>
        <v>38549</v>
      </c>
      <c r="U9" s="150">
        <f t="shared" si="39"/>
        <v>38549</v>
      </c>
      <c r="V9" s="117">
        <f t="shared" si="39"/>
        <v>42339</v>
      </c>
      <c r="W9" s="117">
        <f t="shared" si="39"/>
        <v>45085</v>
      </c>
      <c r="X9" s="117">
        <f t="shared" si="39"/>
        <v>45585</v>
      </c>
      <c r="Y9" s="117">
        <f t="shared" si="39"/>
        <v>46126</v>
      </c>
      <c r="Z9" s="150">
        <f t="shared" si="39"/>
        <v>46126</v>
      </c>
      <c r="AA9" s="117">
        <f t="shared" si="39"/>
        <v>45256</v>
      </c>
      <c r="AB9" s="117">
        <f t="shared" si="39"/>
        <v>42864</v>
      </c>
      <c r="AC9" s="117">
        <f t="shared" si="39"/>
        <v>41972</v>
      </c>
      <c r="AD9" s="117">
        <f t="shared" si="39"/>
        <v>38763</v>
      </c>
      <c r="AE9" s="150">
        <f t="shared" si="39"/>
        <v>38763</v>
      </c>
      <c r="AF9" s="117">
        <f t="shared" si="39"/>
        <v>39745</v>
      </c>
      <c r="AG9" s="117">
        <f t="shared" si="39"/>
        <v>38517</v>
      </c>
      <c r="AH9" s="117">
        <f t="shared" si="39"/>
        <v>36110</v>
      </c>
      <c r="AI9" s="117">
        <f t="shared" ref="AI9:BI9" si="40">INDEX(MO_BSS_Debt,0,COLUMN())</f>
        <v>34459</v>
      </c>
      <c r="AJ9" s="150">
        <f t="shared" si="40"/>
        <v>34459</v>
      </c>
      <c r="AK9" s="117">
        <f t="shared" si="40"/>
        <v>33087</v>
      </c>
      <c r="AL9" s="117">
        <f t="shared" si="40"/>
        <v>30649</v>
      </c>
      <c r="AM9" s="117">
        <f t="shared" si="40"/>
        <v>32851</v>
      </c>
      <c r="AN9" s="117">
        <f t="shared" si="40"/>
        <v>26973</v>
      </c>
      <c r="AO9" s="150">
        <f t="shared" si="40"/>
        <v>26973</v>
      </c>
      <c r="AP9" s="117">
        <f t="shared" si="40"/>
        <v>32351</v>
      </c>
      <c r="AQ9" s="117">
        <f t="shared" si="40"/>
        <v>34053</v>
      </c>
      <c r="AR9" s="117">
        <f t="shared" si="40"/>
        <v>34810</v>
      </c>
      <c r="AS9" s="117">
        <f t="shared" si="40"/>
        <v>44315</v>
      </c>
      <c r="AT9" s="150">
        <f t="shared" si="40"/>
        <v>44315</v>
      </c>
      <c r="AU9" s="117">
        <f t="shared" si="40"/>
        <v>45440</v>
      </c>
      <c r="AV9" s="117">
        <f t="shared" si="40"/>
        <v>43018</v>
      </c>
      <c r="AW9" s="117">
        <f t="shared" si="40"/>
        <v>37347</v>
      </c>
      <c r="AX9" s="117">
        <f t="shared" si="40"/>
        <v>31369</v>
      </c>
      <c r="AY9" s="150">
        <f t="shared" si="40"/>
        <v>31369</v>
      </c>
      <c r="AZ9" s="117">
        <f t="shared" si="40"/>
        <v>29333</v>
      </c>
      <c r="BA9" s="117">
        <f t="shared" si="40"/>
        <v>26235</v>
      </c>
      <c r="BB9" s="117">
        <f t="shared" si="40"/>
        <v>23641</v>
      </c>
      <c r="BC9" s="117">
        <f t="shared" si="40"/>
        <v>23339</v>
      </c>
      <c r="BD9" s="150">
        <f t="shared" si="40"/>
        <v>23339</v>
      </c>
      <c r="BE9" s="117">
        <f t="shared" si="40"/>
        <v>23206</v>
      </c>
      <c r="BF9" s="117">
        <f t="shared" si="40"/>
        <v>21514</v>
      </c>
      <c r="BG9" s="117">
        <f t="shared" si="40"/>
        <v>20559</v>
      </c>
      <c r="BH9" s="117">
        <f t="shared" si="40"/>
        <v>20836</v>
      </c>
      <c r="BI9" s="150">
        <f t="shared" si="40"/>
        <v>20836</v>
      </c>
      <c r="BJ9" s="117">
        <f t="shared" ref="BJ9:BN9" si="41">INDEX(MO_BSS_Debt,0,COLUMN())</f>
        <v>21835</v>
      </c>
      <c r="BK9" s="117">
        <f t="shared" si="41"/>
        <v>23184</v>
      </c>
      <c r="BL9" s="117">
        <f t="shared" si="41"/>
        <v>25841</v>
      </c>
      <c r="BM9" s="117">
        <f t="shared" si="41"/>
        <v>24541</v>
      </c>
      <c r="BN9" s="150">
        <f t="shared" si="41"/>
        <v>24541</v>
      </c>
      <c r="BO9" s="117">
        <f t="shared" ref="BO9:BS9" si="42">INDEX(MO_BSS_Debt,0,COLUMN())</f>
        <v>29681</v>
      </c>
      <c r="BP9" s="117">
        <f t="shared" si="42"/>
        <v>29467</v>
      </c>
      <c r="BQ9" s="117">
        <f t="shared" si="42"/>
        <v>41544</v>
      </c>
      <c r="BR9" s="117">
        <f t="shared" si="42"/>
        <v>40758</v>
      </c>
      <c r="BS9" s="150">
        <f t="shared" si="42"/>
        <v>40758</v>
      </c>
      <c r="BT9" s="691">
        <f t="shared" ref="BT9:BX9" si="43">INDEX(MO_BSS_Debt,0,COLUMN())</f>
        <v>45428</v>
      </c>
      <c r="BU9" s="117">
        <f t="shared" si="43"/>
        <v>45428</v>
      </c>
      <c r="BV9" s="117">
        <f t="shared" si="43"/>
        <v>45428</v>
      </c>
      <c r="BW9" s="117">
        <f t="shared" si="43"/>
        <v>45428</v>
      </c>
      <c r="BX9" s="150">
        <f t="shared" si="43"/>
        <v>45428</v>
      </c>
      <c r="BY9" s="117">
        <f t="shared" ref="BY9:CF9" si="44">INDEX(MO_BSS_Debt,0,COLUMN())</f>
        <v>45428</v>
      </c>
      <c r="BZ9" s="117">
        <f t="shared" si="44"/>
        <v>45428</v>
      </c>
      <c r="CA9" s="117">
        <f t="shared" si="44"/>
        <v>45428</v>
      </c>
      <c r="CB9" s="117">
        <f t="shared" si="44"/>
        <v>45428</v>
      </c>
      <c r="CC9" s="150">
        <f t="shared" si="44"/>
        <v>45428</v>
      </c>
      <c r="CD9" s="150">
        <f t="shared" si="44"/>
        <v>45428</v>
      </c>
      <c r="CE9" s="150">
        <f t="shared" si="44"/>
        <v>45428</v>
      </c>
      <c r="CF9" s="150">
        <f t="shared" si="44"/>
        <v>45428</v>
      </c>
      <c r="CG9" s="117"/>
    </row>
    <row r="10" spans="1:85" s="460" customFormat="1" x14ac:dyDescent="0.3">
      <c r="A10" s="262" t="s">
        <v>247</v>
      </c>
      <c r="B10" s="263"/>
      <c r="C10" s="954">
        <f t="shared" ref="C10:AH10" si="45">INDEX(MO_VA_EVCalc_NCI,0,COLUMN())+INDEX(MO_VA_EVCalc_Prefs,0,COLUMN())+INDEX(MO_VA_EVCalc_Other,0,COLUMN())</f>
        <v>7106</v>
      </c>
      <c r="D10" s="954">
        <f t="shared" si="45"/>
        <v>7115</v>
      </c>
      <c r="E10" s="954">
        <f t="shared" si="45"/>
        <v>9657</v>
      </c>
      <c r="F10" s="954">
        <f t="shared" si="45"/>
        <v>10725</v>
      </c>
      <c r="G10" s="133">
        <f t="shared" si="45"/>
        <v>10607</v>
      </c>
      <c r="H10" s="133">
        <f t="shared" si="45"/>
        <v>10343</v>
      </c>
      <c r="I10" s="133">
        <f t="shared" si="45"/>
        <v>10125</v>
      </c>
      <c r="J10" s="133">
        <f t="shared" si="45"/>
        <v>7042</v>
      </c>
      <c r="K10" s="954">
        <f t="shared" si="45"/>
        <v>7042</v>
      </c>
      <c r="L10" s="133">
        <f t="shared" si="45"/>
        <v>6899</v>
      </c>
      <c r="M10" s="133">
        <f t="shared" si="45"/>
        <v>6941</v>
      </c>
      <c r="N10" s="133">
        <f t="shared" si="45"/>
        <v>6945</v>
      </c>
      <c r="O10" s="133">
        <f t="shared" si="45"/>
        <v>9335</v>
      </c>
      <c r="P10" s="954">
        <f t="shared" si="45"/>
        <v>9335</v>
      </c>
      <c r="Q10" s="133">
        <f t="shared" si="45"/>
        <v>9408</v>
      </c>
      <c r="R10" s="133">
        <f t="shared" si="45"/>
        <v>9282</v>
      </c>
      <c r="S10" s="133">
        <f t="shared" si="45"/>
        <v>8859</v>
      </c>
      <c r="T10" s="133">
        <f t="shared" si="45"/>
        <v>8865</v>
      </c>
      <c r="U10" s="954">
        <f t="shared" si="45"/>
        <v>8865</v>
      </c>
      <c r="V10" s="133">
        <f t="shared" si="45"/>
        <v>8502</v>
      </c>
      <c r="W10" s="133">
        <f t="shared" si="45"/>
        <v>8539</v>
      </c>
      <c r="X10" s="133">
        <f t="shared" si="45"/>
        <v>8446</v>
      </c>
      <c r="Y10" s="133">
        <f t="shared" si="45"/>
        <v>8142</v>
      </c>
      <c r="Z10" s="954">
        <f t="shared" si="45"/>
        <v>8142</v>
      </c>
      <c r="AA10" s="133">
        <f t="shared" si="45"/>
        <v>8103</v>
      </c>
      <c r="AB10" s="133">
        <f t="shared" si="45"/>
        <v>8153</v>
      </c>
      <c r="AC10" s="133">
        <f t="shared" si="45"/>
        <v>7641</v>
      </c>
      <c r="AD10" s="133">
        <f t="shared" si="45"/>
        <v>8376</v>
      </c>
      <c r="AE10" s="954">
        <f t="shared" si="45"/>
        <v>8376</v>
      </c>
      <c r="AF10" s="133">
        <f t="shared" si="45"/>
        <v>8316</v>
      </c>
      <c r="AG10" s="133">
        <f t="shared" si="45"/>
        <v>7993</v>
      </c>
      <c r="AH10" s="133">
        <f t="shared" si="45"/>
        <v>7581</v>
      </c>
      <c r="AI10" s="133">
        <f t="shared" ref="AI10:BI10" si="46">INDEX(MO_VA_EVCalc_NCI,0,COLUMN())+INDEX(MO_VA_EVCalc_Prefs,0,COLUMN())+INDEX(MO_VA_EVCalc_Other,0,COLUMN())</f>
        <v>7502</v>
      </c>
      <c r="AJ10" s="954">
        <f t="shared" si="46"/>
        <v>7502</v>
      </c>
      <c r="AK10" s="133">
        <f t="shared" si="46"/>
        <v>7213</v>
      </c>
      <c r="AL10" s="133">
        <f t="shared" si="46"/>
        <v>6911</v>
      </c>
      <c r="AM10" s="133">
        <f t="shared" si="46"/>
        <v>6512</v>
      </c>
      <c r="AN10" s="133">
        <f t="shared" si="46"/>
        <v>8621</v>
      </c>
      <c r="AO10" s="954">
        <f t="shared" si="46"/>
        <v>8621</v>
      </c>
      <c r="AP10" s="133">
        <f t="shared" si="46"/>
        <v>8475</v>
      </c>
      <c r="AQ10" s="133">
        <f t="shared" si="46"/>
        <v>7517</v>
      </c>
      <c r="AR10" s="133">
        <f t="shared" si="46"/>
        <v>7213</v>
      </c>
      <c r="AS10" s="133">
        <f t="shared" si="46"/>
        <v>10015</v>
      </c>
      <c r="AT10" s="954">
        <f t="shared" si="46"/>
        <v>10015</v>
      </c>
      <c r="AU10" s="133">
        <f t="shared" si="46"/>
        <v>8825</v>
      </c>
      <c r="AV10" s="133">
        <f t="shared" si="46"/>
        <v>8139</v>
      </c>
      <c r="AW10" s="133">
        <f t="shared" si="46"/>
        <v>7758</v>
      </c>
      <c r="AX10" s="133">
        <f t="shared" si="46"/>
        <v>6881</v>
      </c>
      <c r="AY10" s="954">
        <f t="shared" si="46"/>
        <v>6881</v>
      </c>
      <c r="AZ10" s="133">
        <f t="shared" si="46"/>
        <v>6568</v>
      </c>
      <c r="BA10" s="133">
        <f t="shared" si="46"/>
        <v>6352</v>
      </c>
      <c r="BB10" s="133">
        <f t="shared" si="46"/>
        <v>5891</v>
      </c>
      <c r="BC10" s="133">
        <f t="shared" si="46"/>
        <v>5077</v>
      </c>
      <c r="BD10" s="954">
        <f t="shared" si="46"/>
        <v>5077</v>
      </c>
      <c r="BE10" s="133">
        <f t="shared" si="46"/>
        <v>4845</v>
      </c>
      <c r="BF10" s="133">
        <f t="shared" si="46"/>
        <v>4691</v>
      </c>
      <c r="BG10" s="133">
        <f t="shared" si="46"/>
        <v>4519</v>
      </c>
      <c r="BH10" s="133">
        <f t="shared" si="46"/>
        <v>4814</v>
      </c>
      <c r="BI10" s="954">
        <f t="shared" si="46"/>
        <v>4814</v>
      </c>
      <c r="BJ10" s="133">
        <f t="shared" ref="BJ10:BN10" si="47">INDEX(MO_VA_EVCalc_NCI,0,COLUMN())+INDEX(MO_VA_EVCalc_Prefs,0,COLUMN())+INDEX(MO_VA_EVCalc_Other,0,COLUMN())</f>
        <v>4739</v>
      </c>
      <c r="BK10" s="133">
        <f t="shared" si="47"/>
        <v>4732</v>
      </c>
      <c r="BL10" s="133">
        <f t="shared" si="47"/>
        <v>4521</v>
      </c>
      <c r="BM10" s="133">
        <f t="shared" si="47"/>
        <v>4456</v>
      </c>
      <c r="BN10" s="954">
        <f t="shared" si="47"/>
        <v>4456</v>
      </c>
      <c r="BO10" s="133">
        <f t="shared" ref="BO10:BS10" si="48">INDEX(MO_VA_EVCalc_NCI,0,COLUMN())+INDEX(MO_VA_EVCalc_Prefs,0,COLUMN())+INDEX(MO_VA_EVCalc_Other,0,COLUMN())</f>
        <v>4402</v>
      </c>
      <c r="BP10" s="133">
        <f t="shared" si="48"/>
        <v>4459</v>
      </c>
      <c r="BQ10" s="133">
        <f t="shared" si="48"/>
        <v>9605</v>
      </c>
      <c r="BR10" s="133">
        <f t="shared" si="48"/>
        <v>9597</v>
      </c>
      <c r="BS10" s="954">
        <f t="shared" si="48"/>
        <v>9597</v>
      </c>
      <c r="BT10" s="692">
        <f t="shared" ref="BT10:BX10" si="49">INDEX(MO_VA_EVCalc_NCI,0,COLUMN())+INDEX(MO_VA_EVCalc_Prefs,0,COLUMN())+INDEX(MO_VA_EVCalc_Other,0,COLUMN())</f>
        <v>9339</v>
      </c>
      <c r="BU10" s="133">
        <f t="shared" si="49"/>
        <v>9349</v>
      </c>
      <c r="BV10" s="133">
        <f t="shared" si="49"/>
        <v>9359</v>
      </c>
      <c r="BW10" s="133">
        <f t="shared" si="49"/>
        <v>9369</v>
      </c>
      <c r="BX10" s="954">
        <f t="shared" si="49"/>
        <v>9369</v>
      </c>
      <c r="BY10" s="133">
        <f t="shared" ref="BY10:CF10" si="50">INDEX(MO_VA_EVCalc_NCI,0,COLUMN())+INDEX(MO_VA_EVCalc_Prefs,0,COLUMN())+INDEX(MO_VA_EVCalc_Other,0,COLUMN())</f>
        <v>9379</v>
      </c>
      <c r="BZ10" s="133">
        <f t="shared" si="50"/>
        <v>9389</v>
      </c>
      <c r="CA10" s="133">
        <f t="shared" si="50"/>
        <v>9399</v>
      </c>
      <c r="CB10" s="133">
        <f t="shared" si="50"/>
        <v>9409</v>
      </c>
      <c r="CC10" s="954">
        <f t="shared" si="50"/>
        <v>9409</v>
      </c>
      <c r="CD10" s="954">
        <f t="shared" si="50"/>
        <v>9449</v>
      </c>
      <c r="CE10" s="954">
        <f t="shared" si="50"/>
        <v>9489</v>
      </c>
      <c r="CF10" s="954">
        <f t="shared" si="50"/>
        <v>9529</v>
      </c>
      <c r="CG10" s="117"/>
    </row>
    <row r="11" spans="1:85" s="461" customFormat="1" x14ac:dyDescent="0.3">
      <c r="A11" s="161" t="str">
        <f>"Enterprise Value - "&amp;SP.ValuationToggle</f>
        <v>Enterprise Value - EoP</v>
      </c>
      <c r="B11" s="162"/>
      <c r="C11" s="953">
        <f t="shared" ref="C11:AH11" si="51">INDEX(SP_CS_MarketCap,0,COLUMN())-INDEX(SP_CS_Cash,0,COLUMN())+INDEX(SP_CS_Debt,0,COLUMN())+INDEX(SP_CS_EVCalc_Other,0,COLUMN())-INDEX(SP_CS_WC,0,COLUMN())</f>
        <v>162829.4482359</v>
      </c>
      <c r="D11" s="953">
        <f t="shared" si="51"/>
        <v>183353.79753959997</v>
      </c>
      <c r="E11" s="953">
        <f t="shared" si="51"/>
        <v>212152.99991360001</v>
      </c>
      <c r="F11" s="953">
        <f t="shared" si="51"/>
        <v>210027.56403404998</v>
      </c>
      <c r="G11" s="118">
        <f t="shared" si="51"/>
        <v>234810.77716549998</v>
      </c>
      <c r="H11" s="118">
        <f t="shared" si="51"/>
        <v>236160.17665981996</v>
      </c>
      <c r="I11" s="118">
        <f t="shared" si="51"/>
        <v>245939.68807431997</v>
      </c>
      <c r="J11" s="118">
        <f t="shared" si="51"/>
        <v>249506.30575763999</v>
      </c>
      <c r="K11" s="953">
        <f t="shared" si="51"/>
        <v>249506.30575763999</v>
      </c>
      <c r="L11" s="118">
        <f t="shared" si="51"/>
        <v>240135.98873149999</v>
      </c>
      <c r="M11" s="118">
        <f t="shared" si="51"/>
        <v>263870.212787</v>
      </c>
      <c r="N11" s="118">
        <f t="shared" si="51"/>
        <v>246762.46696174997</v>
      </c>
      <c r="O11" s="118">
        <f t="shared" si="51"/>
        <v>237057.36565287999</v>
      </c>
      <c r="P11" s="953">
        <f t="shared" si="51"/>
        <v>237057.36565287999</v>
      </c>
      <c r="Q11" s="118">
        <f t="shared" si="51"/>
        <v>229683.28400590003</v>
      </c>
      <c r="R11" s="118">
        <f t="shared" si="51"/>
        <v>208930.05405786997</v>
      </c>
      <c r="S11" s="118">
        <f t="shared" si="51"/>
        <v>172288.46867999999</v>
      </c>
      <c r="T11" s="118">
        <f t="shared" si="51"/>
        <v>203504.9111</v>
      </c>
      <c r="U11" s="953">
        <f t="shared" si="51"/>
        <v>203504.9111</v>
      </c>
      <c r="V11" s="118">
        <f t="shared" si="51"/>
        <v>218556.61636175</v>
      </c>
      <c r="W11" s="118">
        <f t="shared" si="51"/>
        <v>236065.14265215999</v>
      </c>
      <c r="X11" s="118">
        <f t="shared" si="51"/>
        <v>236001.0091464</v>
      </c>
      <c r="Y11" s="118">
        <f t="shared" si="51"/>
        <v>269913.30086940003</v>
      </c>
      <c r="Z11" s="953">
        <f t="shared" si="51"/>
        <v>269913.30086940003</v>
      </c>
      <c r="AA11" s="118">
        <f t="shared" si="51"/>
        <v>249842.07593067997</v>
      </c>
      <c r="AB11" s="118">
        <f t="shared" si="51"/>
        <v>242121.59937868</v>
      </c>
      <c r="AC11" s="118">
        <f t="shared" si="51"/>
        <v>265271.84404</v>
      </c>
      <c r="AD11" s="118">
        <f t="shared" si="51"/>
        <v>281820.41391314997</v>
      </c>
      <c r="AE11" s="953">
        <f t="shared" si="51"/>
        <v>281820.41391314997</v>
      </c>
      <c r="AF11" s="118">
        <f t="shared" si="51"/>
        <v>258254.18706535999</v>
      </c>
      <c r="AG11" s="118">
        <f t="shared" si="51"/>
        <v>280124.78867299994</v>
      </c>
      <c r="AH11" s="118">
        <f t="shared" si="51"/>
        <v>266868.53580131999</v>
      </c>
      <c r="AI11" s="118">
        <f t="shared" ref="AI11:BI11" si="52">INDEX(SP_CS_MarketCap,0,COLUMN())-INDEX(SP_CS_Cash,0,COLUMN())+INDEX(SP_CS_Debt,0,COLUMN())+INDEX(SP_CS_EVCalc_Other,0,COLUMN())-INDEX(SP_CS_WC,0,COLUMN())</f>
        <v>237586.18071849999</v>
      </c>
      <c r="AJ11" s="953">
        <f t="shared" si="52"/>
        <v>237586.18071849999</v>
      </c>
      <c r="AK11" s="118">
        <f t="shared" si="52"/>
        <v>265751.20096000005</v>
      </c>
      <c r="AL11" s="118">
        <f t="shared" si="52"/>
        <v>265659.51581123995</v>
      </c>
      <c r="AM11" s="118">
        <f t="shared" si="52"/>
        <v>253650.31209680001</v>
      </c>
      <c r="AN11" s="118">
        <f t="shared" si="52"/>
        <v>257687.36875485</v>
      </c>
      <c r="AO11" s="953">
        <f t="shared" si="52"/>
        <v>257687.36875485</v>
      </c>
      <c r="AP11" s="118">
        <f t="shared" si="52"/>
        <v>166383.01706750001</v>
      </c>
      <c r="AQ11" s="118">
        <f t="shared" si="52"/>
        <v>198911.34475143999</v>
      </c>
      <c r="AR11" s="118">
        <f t="shared" si="52"/>
        <v>170857.29031120002</v>
      </c>
      <c r="AS11" s="118">
        <f t="shared" si="52"/>
        <v>213451.22250961</v>
      </c>
      <c r="AT11" s="953">
        <f t="shared" si="52"/>
        <v>213451.22250961</v>
      </c>
      <c r="AU11" s="118">
        <f t="shared" si="52"/>
        <v>251023.54384147</v>
      </c>
      <c r="AV11" s="118">
        <f t="shared" si="52"/>
        <v>243955.53002944001</v>
      </c>
      <c r="AW11" s="118">
        <f t="shared" si="52"/>
        <v>237371.97238026999</v>
      </c>
      <c r="AX11" s="118">
        <f t="shared" si="52"/>
        <v>258444.09533351002</v>
      </c>
      <c r="AY11" s="953">
        <f t="shared" si="52"/>
        <v>258444.09533351002</v>
      </c>
      <c r="AZ11" s="118">
        <f t="shared" si="52"/>
        <v>348686.80021888</v>
      </c>
      <c r="BA11" s="118">
        <f t="shared" si="52"/>
        <v>306376.26284171996</v>
      </c>
      <c r="BB11" s="118">
        <f t="shared" si="52"/>
        <v>293747.84658442001</v>
      </c>
      <c r="BC11" s="118">
        <f t="shared" si="52"/>
        <v>355717.74561506999</v>
      </c>
      <c r="BD11" s="953">
        <f t="shared" si="52"/>
        <v>355717.74561506999</v>
      </c>
      <c r="BE11" s="118">
        <f t="shared" si="52"/>
        <v>319581.74182096001</v>
      </c>
      <c r="BF11" s="118">
        <f t="shared" si="52"/>
        <v>305034.90318032005</v>
      </c>
      <c r="BG11" s="118">
        <f t="shared" si="52"/>
        <v>335516.67531230004</v>
      </c>
      <c r="BH11" s="118">
        <f t="shared" si="52"/>
        <v>295519.50976464001</v>
      </c>
      <c r="BI11" s="953">
        <f t="shared" si="52"/>
        <v>295519.50976464001</v>
      </c>
      <c r="BJ11" s="118">
        <f t="shared" ref="BJ11:BN11" si="53">INDEX(SP_CS_MarketCap,0,COLUMN())-INDEX(SP_CS_Cash,0,COLUMN())+INDEX(SP_CS_Debt,0,COLUMN())+INDEX(SP_CS_EVCalc_Other,0,COLUMN())-INDEX(SP_CS_WC,0,COLUMN())</f>
        <v>311134.21472542005</v>
      </c>
      <c r="BK11" s="118">
        <f t="shared" si="53"/>
        <v>308105.28619545995</v>
      </c>
      <c r="BL11" s="118">
        <f t="shared" si="53"/>
        <v>285181.72693425004</v>
      </c>
      <c r="BM11" s="118">
        <f t="shared" si="53"/>
        <v>276340.08796118002</v>
      </c>
      <c r="BN11" s="953">
        <f t="shared" si="53"/>
        <v>276340.08796118002</v>
      </c>
      <c r="BO11" s="118">
        <f t="shared" ref="BO11:BS11" si="54">INDEX(SP_CS_MarketCap,0,COLUMN())-INDEX(SP_CS_Cash,0,COLUMN())+INDEX(SP_CS_Debt,0,COLUMN())+INDEX(SP_CS_EVCalc_Other,0,COLUMN())-INDEX(SP_CS_WC,0,COLUMN())</f>
        <v>318325.13485144998</v>
      </c>
      <c r="BP11" s="118">
        <f t="shared" si="54"/>
        <v>277088.31343503995</v>
      </c>
      <c r="BQ11" s="118">
        <f t="shared" si="54"/>
        <v>357585.06059169996</v>
      </c>
      <c r="BR11" s="118">
        <f t="shared" si="54"/>
        <v>348978.01770182</v>
      </c>
      <c r="BS11" s="953">
        <f t="shared" si="54"/>
        <v>348978.01770182</v>
      </c>
      <c r="BT11" s="690">
        <f t="shared" ref="BT11:BX11" si="55">INDEX(SP_CS_MarketCap,0,COLUMN())-INDEX(SP_CS_Cash,0,COLUMN())+INDEX(SP_CS_Debt,0,COLUMN())+INDEX(SP_CS_EVCalc_Other,0,COLUMN())-INDEX(SP_CS_WC,0,COLUMN())</f>
        <v>465816.98344972002</v>
      </c>
      <c r="BU11" s="118">
        <f t="shared" ca="1" si="55"/>
        <v>407499.21690577135</v>
      </c>
      <c r="BV11" s="118">
        <f t="shared" ca="1" si="55"/>
        <v>403888.69490728673</v>
      </c>
      <c r="BW11" s="118">
        <f t="shared" ca="1" si="55"/>
        <v>400584.43137880205</v>
      </c>
      <c r="BX11" s="953">
        <f t="shared" ca="1" si="55"/>
        <v>400584.43137880205</v>
      </c>
      <c r="BY11" s="118">
        <f t="shared" ref="BY11:CF11" ca="1" si="56">INDEX(SP_CS_MarketCap,0,COLUMN())-INDEX(SP_CS_Cash,0,COLUMN())+INDEX(SP_CS_Debt,0,COLUMN())+INDEX(SP_CS_EVCalc_Other,0,COLUMN())-INDEX(SP_CS_WC,0,COLUMN())</f>
        <v>396415.67453190644</v>
      </c>
      <c r="BZ11" s="118">
        <f t="shared" ca="1" si="56"/>
        <v>391729.66912241292</v>
      </c>
      <c r="CA11" s="118">
        <f t="shared" ca="1" si="56"/>
        <v>386873.83368622139</v>
      </c>
      <c r="CB11" s="118">
        <f t="shared" ca="1" si="56"/>
        <v>382111.05315482989</v>
      </c>
      <c r="CC11" s="953">
        <f t="shared" ca="1" si="56"/>
        <v>382111.05315482989</v>
      </c>
      <c r="CD11" s="953">
        <f t="shared" ca="1" si="56"/>
        <v>366295.64568700775</v>
      </c>
      <c r="CE11" s="953">
        <f t="shared" ca="1" si="56"/>
        <v>351765.10834893561</v>
      </c>
      <c r="CF11" s="953">
        <f t="shared" ca="1" si="56"/>
        <v>343101.51922361343</v>
      </c>
      <c r="CG11" s="120"/>
    </row>
    <row r="12" spans="1:85" s="462" customFormat="1" x14ac:dyDescent="0.3">
      <c r="A12" s="158"/>
      <c r="B12" s="163"/>
      <c r="C12" s="955"/>
      <c r="D12" s="955"/>
      <c r="E12" s="955"/>
      <c r="F12" s="955"/>
      <c r="G12" s="728"/>
      <c r="H12" s="728"/>
      <c r="I12" s="728"/>
      <c r="J12" s="728"/>
      <c r="K12" s="955"/>
      <c r="L12" s="728"/>
      <c r="M12" s="728"/>
      <c r="N12" s="728"/>
      <c r="O12" s="728"/>
      <c r="P12" s="955"/>
      <c r="Q12" s="728"/>
      <c r="R12" s="728"/>
      <c r="S12" s="728"/>
      <c r="T12" s="728"/>
      <c r="U12" s="955"/>
      <c r="V12" s="728"/>
      <c r="W12" s="728"/>
      <c r="X12" s="728"/>
      <c r="Y12" s="728"/>
      <c r="Z12" s="955"/>
      <c r="AA12" s="728"/>
      <c r="AB12" s="728"/>
      <c r="AC12" s="728"/>
      <c r="AD12" s="728"/>
      <c r="AE12" s="955"/>
      <c r="AF12" s="728"/>
      <c r="AG12" s="728"/>
      <c r="AH12" s="728"/>
      <c r="AI12" s="728"/>
      <c r="AJ12" s="955"/>
      <c r="AK12" s="728"/>
      <c r="AL12" s="728"/>
      <c r="AM12" s="728"/>
      <c r="AN12" s="728"/>
      <c r="AO12" s="955"/>
      <c r="AP12" s="728"/>
      <c r="AQ12" s="728"/>
      <c r="AR12" s="728"/>
      <c r="AS12" s="728"/>
      <c r="AT12" s="955"/>
      <c r="AU12" s="728"/>
      <c r="AV12" s="728"/>
      <c r="AW12" s="728"/>
      <c r="AX12" s="728"/>
      <c r="AY12" s="955"/>
      <c r="AZ12" s="728"/>
      <c r="BA12" s="728"/>
      <c r="BB12" s="728"/>
      <c r="BC12" s="728"/>
      <c r="BD12" s="955"/>
      <c r="BE12" s="728"/>
      <c r="BF12" s="728"/>
      <c r="BG12" s="728"/>
      <c r="BH12" s="728"/>
      <c r="BI12" s="955"/>
      <c r="BJ12" s="728"/>
      <c r="BK12" s="728"/>
      <c r="BL12" s="728"/>
      <c r="BM12" s="728"/>
      <c r="BN12" s="955"/>
      <c r="BO12" s="728"/>
      <c r="BP12" s="728"/>
      <c r="BQ12" s="728"/>
      <c r="BR12" s="728"/>
      <c r="BS12" s="955"/>
      <c r="BT12" s="760"/>
      <c r="BU12" s="728"/>
      <c r="BV12" s="728"/>
      <c r="BW12" s="728"/>
      <c r="BX12" s="955"/>
      <c r="BY12" s="728"/>
      <c r="BZ12" s="728"/>
      <c r="CA12" s="728"/>
      <c r="CB12" s="728"/>
      <c r="CC12" s="955"/>
      <c r="CD12" s="955"/>
      <c r="CE12" s="955"/>
      <c r="CF12" s="955"/>
      <c r="CG12" s="728"/>
    </row>
    <row r="13" spans="1:85" x14ac:dyDescent="0.3">
      <c r="A13" s="114" t="s">
        <v>413</v>
      </c>
      <c r="B13" s="729"/>
      <c r="C13" s="729"/>
      <c r="D13" s="729"/>
      <c r="E13" s="729"/>
      <c r="F13" s="729"/>
      <c r="G13" s="729"/>
      <c r="H13" s="729"/>
      <c r="I13" s="729"/>
      <c r="J13" s="729"/>
      <c r="K13" s="729"/>
      <c r="L13" s="729"/>
      <c r="M13" s="729"/>
      <c r="N13" s="729"/>
      <c r="O13" s="729"/>
      <c r="P13" s="729"/>
      <c r="Q13" s="729"/>
      <c r="R13" s="729"/>
      <c r="S13" s="729"/>
      <c r="T13" s="729"/>
      <c r="U13" s="729"/>
      <c r="V13" s="729"/>
      <c r="W13" s="729"/>
      <c r="X13" s="729"/>
      <c r="Y13" s="729"/>
      <c r="Z13" s="729"/>
      <c r="AA13" s="729"/>
      <c r="AB13" s="729"/>
      <c r="AC13" s="729"/>
      <c r="AD13" s="729"/>
      <c r="AE13" s="729"/>
      <c r="AF13" s="729"/>
      <c r="AG13" s="729"/>
      <c r="AH13" s="729"/>
      <c r="AI13" s="729"/>
      <c r="AJ13" s="729"/>
      <c r="AK13" s="729"/>
      <c r="AL13" s="729"/>
      <c r="AM13" s="729"/>
      <c r="AN13" s="729"/>
      <c r="AO13" s="729"/>
      <c r="AP13" s="729"/>
      <c r="AQ13" s="729"/>
      <c r="AR13" s="729"/>
      <c r="AS13" s="729"/>
      <c r="AT13" s="729"/>
      <c r="AU13" s="729"/>
      <c r="AV13" s="729"/>
      <c r="AW13" s="729"/>
      <c r="AX13" s="729"/>
      <c r="AY13" s="729"/>
      <c r="AZ13" s="729"/>
      <c r="BA13" s="729"/>
      <c r="BB13" s="729"/>
      <c r="BC13" s="729"/>
      <c r="BD13" s="729"/>
      <c r="BE13" s="729"/>
      <c r="BF13" s="729"/>
      <c r="BG13" s="729"/>
      <c r="BH13" s="729"/>
      <c r="BI13" s="729"/>
      <c r="BJ13" s="729"/>
      <c r="BK13" s="729"/>
      <c r="BL13" s="729"/>
      <c r="BM13" s="729"/>
      <c r="BN13" s="729"/>
      <c r="BO13" s="729"/>
      <c r="BP13" s="729"/>
      <c r="BQ13" s="729"/>
      <c r="BR13" s="729"/>
      <c r="BS13" s="729"/>
      <c r="BT13" s="761"/>
      <c r="BU13" s="729"/>
      <c r="BV13" s="729"/>
      <c r="BW13" s="729"/>
      <c r="BX13" s="729"/>
      <c r="BY13" s="729"/>
      <c r="BZ13" s="729"/>
      <c r="CA13" s="729"/>
      <c r="CB13" s="729"/>
      <c r="CC13" s="729"/>
      <c r="CD13" s="729"/>
      <c r="CE13" s="729"/>
      <c r="CF13" s="729"/>
      <c r="CG13" s="137"/>
    </row>
    <row r="14" spans="1:85" s="428" customFormat="1" x14ac:dyDescent="0.3">
      <c r="A14" s="43" t="str">
        <f>+Model!A97</f>
        <v>Upstream US Earnings, mm</v>
      </c>
      <c r="B14" s="64"/>
      <c r="C14" s="821">
        <f>+Model!C97</f>
        <v>2262</v>
      </c>
      <c r="D14" s="821">
        <f>+Model!D97</f>
        <v>4122</v>
      </c>
      <c r="E14" s="821">
        <f>+Model!E97</f>
        <v>6512</v>
      </c>
      <c r="F14" s="821">
        <f>+Model!F97</f>
        <v>5332</v>
      </c>
      <c r="G14" s="37">
        <f>+Model!G97</f>
        <v>1132</v>
      </c>
      <c r="H14" s="37">
        <f>+Model!H97</f>
        <v>1083</v>
      </c>
      <c r="I14" s="37">
        <f>+Model!I97</f>
        <v>1026</v>
      </c>
      <c r="J14" s="37">
        <f>+Model!J97</f>
        <v>803</v>
      </c>
      <c r="K14" s="821">
        <f>+Model!K97</f>
        <v>4044</v>
      </c>
      <c r="L14" s="37">
        <f>+Model!L97</f>
        <v>912</v>
      </c>
      <c r="M14" s="37">
        <f>+Model!M97</f>
        <v>1054</v>
      </c>
      <c r="N14" s="37">
        <f>+Model!N97</f>
        <v>929</v>
      </c>
      <c r="O14" s="37">
        <f>+Model!O97</f>
        <v>432</v>
      </c>
      <c r="P14" s="821">
        <f>+Model!P97</f>
        <v>3327</v>
      </c>
      <c r="Q14" s="37">
        <f>+Model!Q97</f>
        <v>-460</v>
      </c>
      <c r="R14" s="37">
        <f>+Model!R97</f>
        <v>-1038</v>
      </c>
      <c r="S14" s="37">
        <f>+Model!S97</f>
        <v>-603</v>
      </c>
      <c r="T14" s="37">
        <f>+Model!T97</f>
        <v>-1954</v>
      </c>
      <c r="U14" s="821">
        <f>+Model!U97</f>
        <v>-4055</v>
      </c>
      <c r="V14" s="37">
        <f>+Model!V97</f>
        <v>-850</v>
      </c>
      <c r="W14" s="37">
        <f>+Model!W97</f>
        <v>-1113</v>
      </c>
      <c r="X14" s="37">
        <f>+Model!X97</f>
        <v>-212</v>
      </c>
      <c r="Y14" s="37">
        <f>+Model!Y97</f>
        <v>121</v>
      </c>
      <c r="Z14" s="821">
        <f>+Model!Z97</f>
        <v>-2054</v>
      </c>
      <c r="AA14" s="37">
        <f>+Model!AA97</f>
        <v>80</v>
      </c>
      <c r="AB14" s="37">
        <f>+Model!AB97</f>
        <v>-102</v>
      </c>
      <c r="AC14" s="37">
        <f>+Model!AC97</f>
        <v>-26</v>
      </c>
      <c r="AD14" s="37">
        <f>+Model!AD97</f>
        <v>3688</v>
      </c>
      <c r="AE14" s="821">
        <f>+Model!AE97</f>
        <v>3640</v>
      </c>
      <c r="AF14" s="37">
        <f>+Model!AF97</f>
        <v>648</v>
      </c>
      <c r="AG14" s="37">
        <f>+Model!AG97</f>
        <v>838</v>
      </c>
      <c r="AH14" s="37">
        <f>+Model!AH97</f>
        <v>828</v>
      </c>
      <c r="AI14" s="37">
        <f>+Model!AI97</f>
        <v>964</v>
      </c>
      <c r="AJ14" s="821">
        <f>+Model!AJ97</f>
        <v>3278</v>
      </c>
      <c r="AK14" s="37">
        <f>+Model!AK97</f>
        <v>748</v>
      </c>
      <c r="AL14" s="37">
        <f>+Model!AL97</f>
        <v>896</v>
      </c>
      <c r="AM14" s="37">
        <f>+Model!AM97</f>
        <v>727</v>
      </c>
      <c r="AN14" s="37">
        <f>+Model!AN97</f>
        <v>-7465</v>
      </c>
      <c r="AO14" s="821">
        <f>+Model!AO97</f>
        <v>-5094</v>
      </c>
      <c r="AP14" s="37">
        <f>+Model!AP97</f>
        <v>241</v>
      </c>
      <c r="AQ14" s="37">
        <f>+Model!AQ97</f>
        <v>-2066</v>
      </c>
      <c r="AR14" s="37">
        <f>+Model!AR97</f>
        <v>116</v>
      </c>
      <c r="AS14" s="37">
        <f>+Model!AS97</f>
        <v>101</v>
      </c>
      <c r="AT14" s="821">
        <f>+Model!AT97</f>
        <v>-1608</v>
      </c>
      <c r="AU14" s="37">
        <f>+Model!AU97</f>
        <v>941</v>
      </c>
      <c r="AV14" s="37">
        <f>+Model!AV97</f>
        <v>1446</v>
      </c>
      <c r="AW14" s="37">
        <f>+Model!AW97</f>
        <v>1962</v>
      </c>
      <c r="AX14" s="37">
        <f>+Model!AX97</f>
        <v>2970</v>
      </c>
      <c r="AY14" s="821">
        <f>+Model!AY97</f>
        <v>7319</v>
      </c>
      <c r="AZ14" s="37">
        <f>+Model!AZ97</f>
        <v>3238</v>
      </c>
      <c r="BA14" s="37">
        <f>+Model!BA97</f>
        <v>3367</v>
      </c>
      <c r="BB14" s="37">
        <f>+Model!BB97</f>
        <v>3398</v>
      </c>
      <c r="BC14" s="37">
        <f>+Model!BC97</f>
        <v>2618</v>
      </c>
      <c r="BD14" s="821">
        <f>+Model!BD97</f>
        <v>12621</v>
      </c>
      <c r="BE14" s="37">
        <f>+Model!BE97</f>
        <v>1781</v>
      </c>
      <c r="BF14" s="37">
        <f>+Model!BF97</f>
        <v>1640</v>
      </c>
      <c r="BG14" s="37">
        <f>+Model!BG97</f>
        <v>2074</v>
      </c>
      <c r="BH14" s="37">
        <f>+Model!BH97</f>
        <v>-1347</v>
      </c>
      <c r="BI14" s="821">
        <f>+Model!BI97</f>
        <v>4148</v>
      </c>
      <c r="BJ14" s="37">
        <f>+Model!BJ97</f>
        <v>2075</v>
      </c>
      <c r="BK14" s="37">
        <f>+Model!BK97</f>
        <v>2161</v>
      </c>
      <c r="BL14" s="37">
        <f>+Model!BL97</f>
        <v>1946</v>
      </c>
      <c r="BM14" s="37">
        <f>+Model!BM97</f>
        <v>1420</v>
      </c>
      <c r="BN14" s="821">
        <f>+Model!BN97</f>
        <v>7602</v>
      </c>
      <c r="BO14" s="37">
        <f>+Model!BO97</f>
        <v>1858</v>
      </c>
      <c r="BP14" s="37">
        <f>+Model!BP97</f>
        <v>1418</v>
      </c>
      <c r="BQ14" s="37">
        <f>+Model!BQ97</f>
        <v>1282</v>
      </c>
      <c r="BR14" s="37">
        <f>+Model!BR97</f>
        <v>1258</v>
      </c>
      <c r="BS14" s="821">
        <f>+Model!BS97</f>
        <v>5815</v>
      </c>
      <c r="BT14" s="480">
        <f>+Model!BT97</f>
        <v>2112</v>
      </c>
      <c r="BU14" s="37">
        <f>+Model!BU97</f>
        <v>0</v>
      </c>
      <c r="BV14" s="37">
        <f>+Model!BV97</f>
        <v>0</v>
      </c>
      <c r="BW14" s="37">
        <f>+Model!BW97</f>
        <v>0</v>
      </c>
      <c r="BX14" s="821">
        <f>+Model!BX97</f>
        <v>0</v>
      </c>
      <c r="BY14" s="37">
        <f>+Model!BY97</f>
        <v>0</v>
      </c>
      <c r="BZ14" s="37">
        <f>+Model!BZ97</f>
        <v>0</v>
      </c>
      <c r="CA14" s="37">
        <f>+Model!CA97</f>
        <v>0</v>
      </c>
      <c r="CB14" s="37">
        <f>+Model!CB97</f>
        <v>0</v>
      </c>
      <c r="CC14" s="821">
        <f>+Model!CC97</f>
        <v>0</v>
      </c>
      <c r="CD14" s="821">
        <f>+Model!CD97</f>
        <v>0</v>
      </c>
      <c r="CE14" s="821">
        <f>+Model!CE97</f>
        <v>0</v>
      </c>
      <c r="CF14" s="821">
        <f>+Model!CF97</f>
        <v>0</v>
      </c>
      <c r="CG14" s="37"/>
    </row>
    <row r="15" spans="1:85" s="428" customFormat="1" x14ac:dyDescent="0.3">
      <c r="A15" s="242" t="str">
        <f>+Model!A98</f>
        <v>Upstream International Earnings, mm</v>
      </c>
      <c r="B15" s="243"/>
      <c r="C15" s="822">
        <f>+Model!C98</f>
        <v>8670</v>
      </c>
      <c r="D15" s="822">
        <f>+Model!D98</f>
        <v>13555</v>
      </c>
      <c r="E15" s="822">
        <f>+Model!E98</f>
        <v>18274</v>
      </c>
      <c r="F15" s="822">
        <f>+Model!F98</f>
        <v>18456</v>
      </c>
      <c r="G15" s="56">
        <f>+Model!G98</f>
        <v>4784</v>
      </c>
      <c r="H15" s="56">
        <f>+Model!H98</f>
        <v>3866</v>
      </c>
      <c r="I15" s="56">
        <f>+Model!I98</f>
        <v>4066</v>
      </c>
      <c r="J15" s="56">
        <f>+Model!J98</f>
        <v>4049</v>
      </c>
      <c r="K15" s="822">
        <f>+Model!K98</f>
        <v>16765</v>
      </c>
      <c r="L15" s="56">
        <f>+Model!L98</f>
        <v>3395</v>
      </c>
      <c r="M15" s="56">
        <f>+Model!M98</f>
        <v>4210</v>
      </c>
      <c r="N15" s="56">
        <f>+Model!N98</f>
        <v>3720</v>
      </c>
      <c r="O15" s="56">
        <f>+Model!O98</f>
        <v>2241</v>
      </c>
      <c r="P15" s="822">
        <f>+Model!P98</f>
        <v>13566</v>
      </c>
      <c r="Q15" s="56">
        <f>+Model!Q98</f>
        <v>2020</v>
      </c>
      <c r="R15" s="56">
        <f>+Model!R98</f>
        <v>-1181</v>
      </c>
      <c r="S15" s="56">
        <f>+Model!S98</f>
        <v>662</v>
      </c>
      <c r="T15" s="56">
        <f>+Model!T98</f>
        <v>593</v>
      </c>
      <c r="U15" s="822">
        <f>+Model!U98</f>
        <v>2094</v>
      </c>
      <c r="V15" s="56">
        <f>+Model!V98</f>
        <v>-609</v>
      </c>
      <c r="W15" s="56">
        <f>+Model!W98</f>
        <v>-1349</v>
      </c>
      <c r="X15" s="56">
        <f>+Model!X98</f>
        <v>666</v>
      </c>
      <c r="Y15" s="56">
        <f>+Model!Y98</f>
        <v>809</v>
      </c>
      <c r="Z15" s="822">
        <f>+Model!Z98</f>
        <v>-483</v>
      </c>
      <c r="AA15" s="56">
        <f>+Model!AA98</f>
        <v>1437</v>
      </c>
      <c r="AB15" s="56">
        <f>+Model!AB98</f>
        <v>955</v>
      </c>
      <c r="AC15" s="56">
        <f>+Model!AC98</f>
        <v>515</v>
      </c>
      <c r="AD15" s="56">
        <f>+Model!AD98</f>
        <v>1603</v>
      </c>
      <c r="AE15" s="822">
        <f>+Model!AE98</f>
        <v>4510</v>
      </c>
      <c r="AF15" s="56">
        <f>+Model!AF98</f>
        <v>2704</v>
      </c>
      <c r="AG15" s="56">
        <f>+Model!AG98</f>
        <v>2457</v>
      </c>
      <c r="AH15" s="56">
        <f>+Model!AH98</f>
        <v>2551</v>
      </c>
      <c r="AI15" s="56">
        <f>+Model!AI98</f>
        <v>2326</v>
      </c>
      <c r="AJ15" s="822">
        <f>+Model!AJ98</f>
        <v>10038</v>
      </c>
      <c r="AK15" s="56">
        <f>+Model!AK98</f>
        <v>2375</v>
      </c>
      <c r="AL15" s="56">
        <f>+Model!AL98</f>
        <v>2587</v>
      </c>
      <c r="AM15" s="56">
        <f>+Model!AM98</f>
        <v>1977</v>
      </c>
      <c r="AN15" s="56">
        <f>+Model!AN98</f>
        <v>731</v>
      </c>
      <c r="AO15" s="822">
        <f>+Model!AO98</f>
        <v>7670</v>
      </c>
      <c r="AP15" s="56">
        <f>+Model!AP98</f>
        <v>2679</v>
      </c>
      <c r="AQ15" s="56">
        <f>+Model!AQ98</f>
        <v>-4023</v>
      </c>
      <c r="AR15" s="56">
        <f>+Model!AR98</f>
        <v>119</v>
      </c>
      <c r="AS15" s="56">
        <f>+Model!AS98</f>
        <v>400</v>
      </c>
      <c r="AT15" s="822">
        <f>+Model!AT98</f>
        <v>-825</v>
      </c>
      <c r="AU15" s="56">
        <f>+Model!AU98</f>
        <v>1409</v>
      </c>
      <c r="AV15" s="56">
        <f>+Model!AV98</f>
        <v>1732</v>
      </c>
      <c r="AW15" s="56">
        <f>+Model!AW98</f>
        <v>3173</v>
      </c>
      <c r="AX15" s="56">
        <f>+Model!AX98</f>
        <v>2185</v>
      </c>
      <c r="AY15" s="822">
        <f>+Model!AY98</f>
        <v>8499</v>
      </c>
      <c r="AZ15" s="56">
        <f>+Model!AZ98</f>
        <v>3696</v>
      </c>
      <c r="BA15" s="56">
        <f>+Model!BA98</f>
        <v>5191</v>
      </c>
      <c r="BB15" s="56">
        <f>+Model!BB98</f>
        <v>5909</v>
      </c>
      <c r="BC15" s="56">
        <f>+Model!BC98</f>
        <v>2867</v>
      </c>
      <c r="BD15" s="822">
        <f>+Model!BD98</f>
        <v>17663</v>
      </c>
      <c r="BE15" s="56">
        <f>+Model!BE98</f>
        <v>3380</v>
      </c>
      <c r="BF15" s="56">
        <f>+Model!BF98</f>
        <v>3296</v>
      </c>
      <c r="BG15" s="56">
        <f>+Model!BG98</f>
        <v>3681</v>
      </c>
      <c r="BH15" s="56">
        <f>+Model!BH98</f>
        <v>2933</v>
      </c>
      <c r="BI15" s="822">
        <f>+Model!BI98</f>
        <v>13290</v>
      </c>
      <c r="BJ15" s="56">
        <f>+Model!BJ98</f>
        <v>3164</v>
      </c>
      <c r="BK15" s="56">
        <f>+Model!BK98</f>
        <v>2309</v>
      </c>
      <c r="BL15" s="56">
        <f>+Model!BL98</f>
        <v>2643</v>
      </c>
      <c r="BM15" s="56">
        <f>+Model!BM98</f>
        <v>2884</v>
      </c>
      <c r="BN15" s="822">
        <f>+Model!BN98</f>
        <v>11000</v>
      </c>
      <c r="BO15" s="56">
        <f>+Model!BO98</f>
        <v>1900</v>
      </c>
      <c r="BP15" s="56">
        <f>+Model!BP98</f>
        <v>1309</v>
      </c>
      <c r="BQ15" s="56">
        <f>+Model!BQ98</f>
        <v>2020</v>
      </c>
      <c r="BR15" s="56">
        <f>+Model!BR98</f>
        <v>1777</v>
      </c>
      <c r="BS15" s="822">
        <f>+Model!BS98</f>
        <v>7007</v>
      </c>
      <c r="BT15" s="478">
        <f>+Model!BT98</f>
        <v>1797</v>
      </c>
      <c r="BU15" s="56">
        <f>+Model!BU98</f>
        <v>0</v>
      </c>
      <c r="BV15" s="56">
        <f>+Model!BV98</f>
        <v>0</v>
      </c>
      <c r="BW15" s="56">
        <f>+Model!BW98</f>
        <v>0</v>
      </c>
      <c r="BX15" s="822">
        <f>+Model!BX98</f>
        <v>0</v>
      </c>
      <c r="BY15" s="56">
        <f>+Model!BY98</f>
        <v>0</v>
      </c>
      <c r="BZ15" s="56">
        <f>+Model!BZ98</f>
        <v>0</v>
      </c>
      <c r="CA15" s="56">
        <f>+Model!CA98</f>
        <v>0</v>
      </c>
      <c r="CB15" s="56">
        <f>+Model!CB98</f>
        <v>0</v>
      </c>
      <c r="CC15" s="822">
        <f>+Model!CC98</f>
        <v>0</v>
      </c>
      <c r="CD15" s="822">
        <f>+Model!CD98</f>
        <v>0</v>
      </c>
      <c r="CE15" s="822">
        <f>+Model!CE98</f>
        <v>0</v>
      </c>
      <c r="CF15" s="822">
        <f>+Model!CF98</f>
        <v>0</v>
      </c>
      <c r="CG15" s="37"/>
    </row>
    <row r="16" spans="1:85" s="429" customFormat="1" x14ac:dyDescent="0.3">
      <c r="A16" s="42" t="str">
        <f>+Model!A99</f>
        <v>Upstream Earnings, mm</v>
      </c>
      <c r="B16" s="90"/>
      <c r="C16" s="823">
        <f>+Model!C99</f>
        <v>10932</v>
      </c>
      <c r="D16" s="823">
        <f>+Model!D99</f>
        <v>17677</v>
      </c>
      <c r="E16" s="823">
        <f>+Model!E99</f>
        <v>24786</v>
      </c>
      <c r="F16" s="823">
        <f>+Model!F99</f>
        <v>23788</v>
      </c>
      <c r="G16" s="393">
        <f>+Model!G99</f>
        <v>5916</v>
      </c>
      <c r="H16" s="393">
        <f>+Model!H99</f>
        <v>4949</v>
      </c>
      <c r="I16" s="393">
        <f>+Model!I99</f>
        <v>5092</v>
      </c>
      <c r="J16" s="393">
        <f>+Model!J99</f>
        <v>4852</v>
      </c>
      <c r="K16" s="823">
        <f>+Model!K99</f>
        <v>20809</v>
      </c>
      <c r="L16" s="393">
        <f>+Model!L99</f>
        <v>4307</v>
      </c>
      <c r="M16" s="393">
        <f>+Model!M99</f>
        <v>5264</v>
      </c>
      <c r="N16" s="393">
        <f>+Model!N99</f>
        <v>4649</v>
      </c>
      <c r="O16" s="393">
        <f>+Model!O99</f>
        <v>2673</v>
      </c>
      <c r="P16" s="823">
        <f>+Model!P99</f>
        <v>16893</v>
      </c>
      <c r="Q16" s="393">
        <f>+Model!Q99</f>
        <v>1560</v>
      </c>
      <c r="R16" s="393">
        <f>+Model!R99</f>
        <v>-2219</v>
      </c>
      <c r="S16" s="393">
        <f>+Model!S99</f>
        <v>59</v>
      </c>
      <c r="T16" s="393">
        <f>+Model!T99</f>
        <v>-1361</v>
      </c>
      <c r="U16" s="823">
        <f>+Model!U99</f>
        <v>-1961</v>
      </c>
      <c r="V16" s="393">
        <f>+Model!V99</f>
        <v>-1459</v>
      </c>
      <c r="W16" s="393">
        <f>+Model!W99</f>
        <v>-2462</v>
      </c>
      <c r="X16" s="393">
        <f>+Model!X99</f>
        <v>454</v>
      </c>
      <c r="Y16" s="393">
        <f>+Model!Y99</f>
        <v>930</v>
      </c>
      <c r="Z16" s="823">
        <f>+Model!Z99</f>
        <v>-2537</v>
      </c>
      <c r="AA16" s="393">
        <f>+Model!AA99</f>
        <v>1517</v>
      </c>
      <c r="AB16" s="393">
        <f>+Model!AB99</f>
        <v>853</v>
      </c>
      <c r="AC16" s="393">
        <f>+Model!AC99</f>
        <v>489</v>
      </c>
      <c r="AD16" s="393">
        <f>+Model!AD99</f>
        <v>5291</v>
      </c>
      <c r="AE16" s="823">
        <f>+Model!AE99</f>
        <v>8150</v>
      </c>
      <c r="AF16" s="393">
        <f>+Model!AF99</f>
        <v>3352</v>
      </c>
      <c r="AG16" s="393">
        <f>+Model!AG99</f>
        <v>3295</v>
      </c>
      <c r="AH16" s="393">
        <f>+Model!AH99</f>
        <v>3379</v>
      </c>
      <c r="AI16" s="393">
        <f>+Model!AI99</f>
        <v>3290</v>
      </c>
      <c r="AJ16" s="823">
        <f>+Model!AJ99</f>
        <v>13316</v>
      </c>
      <c r="AK16" s="393">
        <f>+Model!AK99</f>
        <v>3123</v>
      </c>
      <c r="AL16" s="393">
        <f>+Model!AL99</f>
        <v>3483</v>
      </c>
      <c r="AM16" s="393">
        <f>+Model!AM99</f>
        <v>2704</v>
      </c>
      <c r="AN16" s="393">
        <f>+Model!AN99</f>
        <v>-6734</v>
      </c>
      <c r="AO16" s="823">
        <f>+Model!AO99</f>
        <v>2576</v>
      </c>
      <c r="AP16" s="393">
        <f>+Model!AP99</f>
        <v>2920</v>
      </c>
      <c r="AQ16" s="393">
        <f>+Model!AQ99</f>
        <v>-6089</v>
      </c>
      <c r="AR16" s="393">
        <f>+Model!AR99</f>
        <v>235</v>
      </c>
      <c r="AS16" s="393">
        <f>+Model!AS99</f>
        <v>501</v>
      </c>
      <c r="AT16" s="823">
        <f>+Model!AT99</f>
        <v>-2433</v>
      </c>
      <c r="AU16" s="393">
        <f>+Model!AU99</f>
        <v>2350</v>
      </c>
      <c r="AV16" s="393">
        <f>+Model!AV99</f>
        <v>3178</v>
      </c>
      <c r="AW16" s="393">
        <f>+Model!AW99</f>
        <v>5135</v>
      </c>
      <c r="AX16" s="393">
        <f>+Model!AX99</f>
        <v>5155</v>
      </c>
      <c r="AY16" s="823">
        <f>+Model!AY99</f>
        <v>15818</v>
      </c>
      <c r="AZ16" s="393">
        <f>+Model!AZ99</f>
        <v>6934</v>
      </c>
      <c r="BA16" s="393">
        <f>+Model!BA99</f>
        <v>8558</v>
      </c>
      <c r="BB16" s="393">
        <f>+Model!BB99</f>
        <v>9307</v>
      </c>
      <c r="BC16" s="393">
        <f>+Model!BC99</f>
        <v>5485</v>
      </c>
      <c r="BD16" s="823">
        <f>+Model!BD99</f>
        <v>30284</v>
      </c>
      <c r="BE16" s="393">
        <f>+Model!BE99</f>
        <v>5161</v>
      </c>
      <c r="BF16" s="393">
        <f>+Model!BF99</f>
        <v>4936</v>
      </c>
      <c r="BG16" s="393">
        <f>+Model!BG99</f>
        <v>5755</v>
      </c>
      <c r="BH16" s="393">
        <f>+Model!BH99</f>
        <v>1586</v>
      </c>
      <c r="BI16" s="823">
        <f>+Model!BI99</f>
        <v>17438</v>
      </c>
      <c r="BJ16" s="393">
        <f>+Model!BJ99</f>
        <v>5239</v>
      </c>
      <c r="BK16" s="393">
        <f>+Model!BK99</f>
        <v>4470</v>
      </c>
      <c r="BL16" s="393">
        <f>+Model!BL99</f>
        <v>4589</v>
      </c>
      <c r="BM16" s="393">
        <f>+Model!BM99</f>
        <v>4304</v>
      </c>
      <c r="BN16" s="823">
        <f>+Model!BN99</f>
        <v>18602</v>
      </c>
      <c r="BO16" s="393">
        <f>+Model!BO99</f>
        <v>3758</v>
      </c>
      <c r="BP16" s="393">
        <f>+Model!BP99</f>
        <v>2727</v>
      </c>
      <c r="BQ16" s="393">
        <f>+Model!BQ99</f>
        <v>3302</v>
      </c>
      <c r="BR16" s="393">
        <f>+Model!BR99</f>
        <v>3035</v>
      </c>
      <c r="BS16" s="823">
        <f>+Model!BS99</f>
        <v>12822</v>
      </c>
      <c r="BT16" s="641">
        <f>+Model!BT99</f>
        <v>3909</v>
      </c>
      <c r="BU16" s="393">
        <f>+Model!BU99</f>
        <v>0</v>
      </c>
      <c r="BV16" s="393">
        <f>+Model!BV99</f>
        <v>0</v>
      </c>
      <c r="BW16" s="393">
        <f>+Model!BW99</f>
        <v>0</v>
      </c>
      <c r="BX16" s="823">
        <f>+Model!BX99</f>
        <v>0</v>
      </c>
      <c r="BY16" s="393">
        <f>+Model!BY99</f>
        <v>0</v>
      </c>
      <c r="BZ16" s="393">
        <f>+Model!BZ99</f>
        <v>0</v>
      </c>
      <c r="CA16" s="393">
        <f>+Model!CA99</f>
        <v>0</v>
      </c>
      <c r="CB16" s="393">
        <f>+Model!CB99</f>
        <v>0</v>
      </c>
      <c r="CC16" s="823">
        <f>+Model!CC99</f>
        <v>0</v>
      </c>
      <c r="CD16" s="823">
        <f>+Model!CD99</f>
        <v>0</v>
      </c>
      <c r="CE16" s="823">
        <f>+Model!CE99</f>
        <v>0</v>
      </c>
      <c r="CF16" s="823">
        <f>+Model!CF99</f>
        <v>0</v>
      </c>
      <c r="CG16" s="31"/>
    </row>
    <row r="17" spans="1:85" s="453" customFormat="1" x14ac:dyDescent="0.3">
      <c r="A17" s="164"/>
      <c r="B17" s="165"/>
      <c r="C17" s="956"/>
      <c r="D17" s="956"/>
      <c r="E17" s="956"/>
      <c r="F17" s="956"/>
      <c r="G17" s="119"/>
      <c r="H17" s="119"/>
      <c r="I17" s="119"/>
      <c r="J17" s="119"/>
      <c r="K17" s="956"/>
      <c r="L17" s="119"/>
      <c r="M17" s="119"/>
      <c r="N17" s="119"/>
      <c r="O17" s="119"/>
      <c r="P17" s="956"/>
      <c r="Q17" s="119"/>
      <c r="R17" s="119"/>
      <c r="S17" s="119"/>
      <c r="T17" s="119"/>
      <c r="U17" s="956"/>
      <c r="V17" s="119"/>
      <c r="W17" s="119"/>
      <c r="X17" s="119"/>
      <c r="Y17" s="119"/>
      <c r="Z17" s="956"/>
      <c r="AA17" s="119"/>
      <c r="AB17" s="119"/>
      <c r="AC17" s="119"/>
      <c r="AD17" s="119"/>
      <c r="AE17" s="956"/>
      <c r="AF17" s="119"/>
      <c r="AG17" s="119"/>
      <c r="AH17" s="119"/>
      <c r="AI17" s="119"/>
      <c r="AJ17" s="956"/>
      <c r="AK17" s="119"/>
      <c r="AL17" s="119"/>
      <c r="AM17" s="119"/>
      <c r="AN17" s="119"/>
      <c r="AO17" s="956"/>
      <c r="AP17" s="119"/>
      <c r="AQ17" s="119"/>
      <c r="AR17" s="119"/>
      <c r="AS17" s="119"/>
      <c r="AT17" s="956"/>
      <c r="AU17" s="119"/>
      <c r="AV17" s="119"/>
      <c r="AW17" s="119"/>
      <c r="AX17" s="119"/>
      <c r="AY17" s="956"/>
      <c r="AZ17" s="119"/>
      <c r="BA17" s="119"/>
      <c r="BB17" s="119"/>
      <c r="BC17" s="119"/>
      <c r="BD17" s="956"/>
      <c r="BE17" s="119"/>
      <c r="BF17" s="119"/>
      <c r="BG17" s="119"/>
      <c r="BH17" s="119"/>
      <c r="BI17" s="956"/>
      <c r="BJ17" s="119"/>
      <c r="BK17" s="119"/>
      <c r="BL17" s="119"/>
      <c r="BM17" s="119"/>
      <c r="BN17" s="956"/>
      <c r="BO17" s="119"/>
      <c r="BP17" s="119"/>
      <c r="BQ17" s="119"/>
      <c r="BR17" s="119"/>
      <c r="BS17" s="956"/>
      <c r="BT17" s="693"/>
      <c r="BU17" s="119"/>
      <c r="BV17" s="119"/>
      <c r="BW17" s="119"/>
      <c r="BX17" s="956"/>
      <c r="BY17" s="119"/>
      <c r="BZ17" s="119"/>
      <c r="CA17" s="119"/>
      <c r="CB17" s="119"/>
      <c r="CC17" s="956"/>
      <c r="CD17" s="956"/>
      <c r="CE17" s="956"/>
      <c r="CF17" s="956"/>
      <c r="CG17" s="140"/>
    </row>
    <row r="18" spans="1:85" s="428" customFormat="1" x14ac:dyDescent="0.3">
      <c r="A18" s="43" t="str">
        <f>+Model!A241</f>
        <v>US Downstream Earnings, mm</v>
      </c>
      <c r="B18" s="64"/>
      <c r="C18" s="821">
        <f>+Model!C241</f>
        <v>-121</v>
      </c>
      <c r="D18" s="821">
        <f>+Model!D241</f>
        <v>1339</v>
      </c>
      <c r="E18" s="821">
        <f>+Model!E241</f>
        <v>1506</v>
      </c>
      <c r="F18" s="821">
        <f>+Model!F241</f>
        <v>2048</v>
      </c>
      <c r="G18" s="37">
        <f>+Model!G241</f>
        <v>135</v>
      </c>
      <c r="H18" s="37">
        <f>+Model!H241</f>
        <v>138</v>
      </c>
      <c r="I18" s="37">
        <f>+Model!I241</f>
        <v>249</v>
      </c>
      <c r="J18" s="37">
        <f>+Model!J241</f>
        <v>265</v>
      </c>
      <c r="K18" s="821">
        <f>+Model!K241</f>
        <v>787</v>
      </c>
      <c r="L18" s="37">
        <f>+Model!L241</f>
        <v>422</v>
      </c>
      <c r="M18" s="37">
        <f>+Model!M241</f>
        <v>517</v>
      </c>
      <c r="N18" s="37">
        <f>+Model!N241</f>
        <v>809</v>
      </c>
      <c r="O18" s="37">
        <f>+Model!O241</f>
        <v>889</v>
      </c>
      <c r="P18" s="821">
        <f>+Model!P241</f>
        <v>2637</v>
      </c>
      <c r="Q18" s="37">
        <f>+Model!Q241</f>
        <v>706</v>
      </c>
      <c r="R18" s="37">
        <f>+Model!R241</f>
        <v>731</v>
      </c>
      <c r="S18" s="37">
        <f>+Model!S241</f>
        <v>1249</v>
      </c>
      <c r="T18" s="37">
        <f>+Model!T241</f>
        <v>496</v>
      </c>
      <c r="U18" s="821">
        <f>+Model!U241</f>
        <v>3182</v>
      </c>
      <c r="V18" s="37">
        <f>+Model!V241</f>
        <v>247</v>
      </c>
      <c r="W18" s="37">
        <f>+Model!W241</f>
        <v>537</v>
      </c>
      <c r="X18" s="37">
        <f>+Model!X241</f>
        <v>523</v>
      </c>
      <c r="Y18" s="37">
        <f>+Model!Y241</f>
        <v>0</v>
      </c>
      <c r="Z18" s="821">
        <f>+Model!Z241</f>
        <v>1307</v>
      </c>
      <c r="AA18" s="37">
        <f>+Model!AA241</f>
        <v>469</v>
      </c>
      <c r="AB18" s="37">
        <f>+Model!AB241</f>
        <v>634</v>
      </c>
      <c r="AC18" s="37">
        <f>+Model!AC241</f>
        <v>640</v>
      </c>
      <c r="AD18" s="37">
        <f>+Model!AD241</f>
        <v>1195</v>
      </c>
      <c r="AE18" s="821">
        <f>+Model!AE241</f>
        <v>2938</v>
      </c>
      <c r="AF18" s="37">
        <f>+Model!AF241</f>
        <v>442</v>
      </c>
      <c r="AG18" s="37">
        <f>+Model!AG241</f>
        <v>657</v>
      </c>
      <c r="AH18" s="37">
        <f>+Model!AH241</f>
        <v>748</v>
      </c>
      <c r="AI18" s="37">
        <f>+Model!AI241</f>
        <v>256</v>
      </c>
      <c r="AJ18" s="821">
        <f>+Model!AJ241</f>
        <v>2103</v>
      </c>
      <c r="AK18" s="37">
        <f>+Model!AK241</f>
        <v>217</v>
      </c>
      <c r="AL18" s="37">
        <f>+Model!AL241</f>
        <v>465</v>
      </c>
      <c r="AM18" s="37">
        <f>+Model!AM241</f>
        <v>389</v>
      </c>
      <c r="AN18" s="37">
        <f>+Model!AN241</f>
        <v>488</v>
      </c>
      <c r="AO18" s="821">
        <f>+Model!AO241</f>
        <v>1559</v>
      </c>
      <c r="AP18" s="37">
        <f>+Model!AP241</f>
        <v>450</v>
      </c>
      <c r="AQ18" s="37">
        <f>+Model!AQ241</f>
        <v>-988</v>
      </c>
      <c r="AR18" s="37">
        <f>+Model!AR241</f>
        <v>141</v>
      </c>
      <c r="AS18" s="37">
        <f>+Model!AS241</f>
        <v>-174</v>
      </c>
      <c r="AT18" s="821">
        <f>+Model!AT241</f>
        <v>-571</v>
      </c>
      <c r="AU18" s="37">
        <f>+Model!AU241</f>
        <v>-130</v>
      </c>
      <c r="AV18" s="37">
        <f>+Model!AV241</f>
        <v>776</v>
      </c>
      <c r="AW18" s="37">
        <f>+Model!AW241</f>
        <v>1083</v>
      </c>
      <c r="AX18" s="37">
        <f>+Model!AX241</f>
        <v>660</v>
      </c>
      <c r="AY18" s="821">
        <f>+Model!AY241</f>
        <v>2389</v>
      </c>
      <c r="AZ18" s="37">
        <f>+Model!AZ241</f>
        <v>486</v>
      </c>
      <c r="BA18" s="37">
        <f>+Model!BA241</f>
        <v>2440</v>
      </c>
      <c r="BB18" s="37">
        <f>+Model!BB241</f>
        <v>1288</v>
      </c>
      <c r="BC18" s="37">
        <f>+Model!BC241</f>
        <v>1180</v>
      </c>
      <c r="BD18" s="821">
        <f>+Model!BD241</f>
        <v>5394</v>
      </c>
      <c r="BE18" s="37">
        <f>+Model!BE241</f>
        <v>977</v>
      </c>
      <c r="BF18" s="37">
        <f>+Model!BF241</f>
        <v>1081</v>
      </c>
      <c r="BG18" s="37">
        <f>+Model!BG241</f>
        <v>1376</v>
      </c>
      <c r="BH18" s="37">
        <f>+Model!BH241</f>
        <v>470</v>
      </c>
      <c r="BI18" s="821">
        <f>+Model!BI241</f>
        <v>3904</v>
      </c>
      <c r="BJ18" s="37">
        <f>+Model!BJ241</f>
        <v>453</v>
      </c>
      <c r="BK18" s="37">
        <f>+Model!BK241</f>
        <v>280</v>
      </c>
      <c r="BL18" s="37">
        <f>+Model!BL241</f>
        <v>146</v>
      </c>
      <c r="BM18" s="37">
        <f>+Model!BM241</f>
        <v>-348</v>
      </c>
      <c r="BN18" s="821">
        <f>+Model!BN241</f>
        <v>531</v>
      </c>
      <c r="BO18" s="37">
        <f>+Model!BO241</f>
        <v>103</v>
      </c>
      <c r="BP18" s="37">
        <f>+Model!BP241</f>
        <v>404</v>
      </c>
      <c r="BQ18" s="37">
        <f>+Model!BQ241</f>
        <v>638</v>
      </c>
      <c r="BR18" s="37">
        <f>+Model!BR241</f>
        <v>230</v>
      </c>
      <c r="BS18" s="821">
        <f>+Model!BS241</f>
        <v>1375</v>
      </c>
      <c r="BT18" s="480">
        <f>+Model!BT241</f>
        <v>196</v>
      </c>
      <c r="BU18" s="37">
        <f>+Model!BU241</f>
        <v>0</v>
      </c>
      <c r="BV18" s="37">
        <f>+Model!BV241</f>
        <v>0</v>
      </c>
      <c r="BW18" s="37">
        <f>+Model!BW241</f>
        <v>0</v>
      </c>
      <c r="BX18" s="821">
        <f>+Model!BX241</f>
        <v>0</v>
      </c>
      <c r="BY18" s="37">
        <f>+Model!BY241</f>
        <v>0</v>
      </c>
      <c r="BZ18" s="37">
        <f>+Model!BZ241</f>
        <v>0</v>
      </c>
      <c r="CA18" s="37">
        <f>+Model!CA241</f>
        <v>0</v>
      </c>
      <c r="CB18" s="37">
        <f>+Model!CB241</f>
        <v>0</v>
      </c>
      <c r="CC18" s="821">
        <f>+Model!CC241</f>
        <v>0</v>
      </c>
      <c r="CD18" s="821">
        <f>+Model!CD241</f>
        <v>0</v>
      </c>
      <c r="CE18" s="821">
        <f>+Model!CE241</f>
        <v>0</v>
      </c>
      <c r="CF18" s="821">
        <f>+Model!CF241</f>
        <v>0</v>
      </c>
      <c r="CG18" s="37"/>
    </row>
    <row r="19" spans="1:85" s="428" customFormat="1" x14ac:dyDescent="0.3">
      <c r="A19" s="242" t="str">
        <f>+Model!A242</f>
        <v>International Downstream Earnings, mm</v>
      </c>
      <c r="B19" s="243"/>
      <c r="C19" s="822">
        <f>+Model!C242</f>
        <v>594</v>
      </c>
      <c r="D19" s="822">
        <f>+Model!D242</f>
        <v>1139</v>
      </c>
      <c r="E19" s="822">
        <f>+Model!E242</f>
        <v>2085</v>
      </c>
      <c r="F19" s="822">
        <f>+Model!F242</f>
        <v>2251</v>
      </c>
      <c r="G19" s="56">
        <f>+Model!G242</f>
        <v>566</v>
      </c>
      <c r="H19" s="56">
        <f>+Model!H242</f>
        <v>628</v>
      </c>
      <c r="I19" s="56">
        <f>+Model!I242</f>
        <v>131</v>
      </c>
      <c r="J19" s="56">
        <f>+Model!J242</f>
        <v>125</v>
      </c>
      <c r="K19" s="822">
        <f>+Model!K242</f>
        <v>1450</v>
      </c>
      <c r="L19" s="56">
        <f>+Model!L242</f>
        <v>288</v>
      </c>
      <c r="M19" s="56">
        <f>+Model!M242</f>
        <v>204</v>
      </c>
      <c r="N19" s="56">
        <f>+Model!N242</f>
        <v>578</v>
      </c>
      <c r="O19" s="56">
        <f>+Model!O242</f>
        <v>629</v>
      </c>
      <c r="P19" s="822">
        <f>+Model!P242</f>
        <v>1699</v>
      </c>
      <c r="Q19" s="56">
        <f>+Model!Q242</f>
        <v>717</v>
      </c>
      <c r="R19" s="56">
        <f>+Model!R242</f>
        <v>2225</v>
      </c>
      <c r="S19" s="56">
        <f>+Model!S242</f>
        <v>962</v>
      </c>
      <c r="T19" s="56">
        <f>+Model!T242</f>
        <v>515</v>
      </c>
      <c r="U19" s="822">
        <f>+Model!U242</f>
        <v>4419</v>
      </c>
      <c r="V19" s="56">
        <f>+Model!V242</f>
        <v>488</v>
      </c>
      <c r="W19" s="56">
        <f>+Model!W242</f>
        <v>741</v>
      </c>
      <c r="X19" s="56">
        <f>+Model!X242</f>
        <v>542</v>
      </c>
      <c r="Y19" s="56">
        <f>+Model!Y242</f>
        <v>357</v>
      </c>
      <c r="Z19" s="822">
        <f>+Model!Z242</f>
        <v>2128</v>
      </c>
      <c r="AA19" s="56">
        <f>+Model!AA242</f>
        <v>457</v>
      </c>
      <c r="AB19" s="56">
        <f>+Model!AB242</f>
        <v>561</v>
      </c>
      <c r="AC19" s="56">
        <f>+Model!AC242</f>
        <v>1174</v>
      </c>
      <c r="AD19" s="56">
        <f>+Model!AD242</f>
        <v>84</v>
      </c>
      <c r="AE19" s="822">
        <f>+Model!AE242</f>
        <v>2276</v>
      </c>
      <c r="AF19" s="56">
        <f>+Model!AF242</f>
        <v>286</v>
      </c>
      <c r="AG19" s="56">
        <f>+Model!AG242</f>
        <v>181</v>
      </c>
      <c r="AH19" s="56">
        <f>+Model!AH242</f>
        <v>625</v>
      </c>
      <c r="AI19" s="56">
        <f>+Model!AI242</f>
        <v>603</v>
      </c>
      <c r="AJ19" s="822">
        <f>+Model!AJ242</f>
        <v>1695</v>
      </c>
      <c r="AK19" s="56">
        <f>+Model!AK242</f>
        <v>35</v>
      </c>
      <c r="AL19" s="56">
        <f>+Model!AL242</f>
        <v>264</v>
      </c>
      <c r="AM19" s="56">
        <f>+Model!AM242</f>
        <v>439</v>
      </c>
      <c r="AN19" s="56">
        <f>+Model!AN242</f>
        <v>184</v>
      </c>
      <c r="AO19" s="822">
        <f>+Model!AO242</f>
        <v>922</v>
      </c>
      <c r="AP19" s="56">
        <f>+Model!AP242</f>
        <v>653</v>
      </c>
      <c r="AQ19" s="56">
        <f>+Model!AQ242</f>
        <v>-22</v>
      </c>
      <c r="AR19" s="56">
        <f>+Model!AR242</f>
        <v>151</v>
      </c>
      <c r="AS19" s="56">
        <f>+Model!AS242</f>
        <v>-164</v>
      </c>
      <c r="AT19" s="822">
        <f>+Model!AT242</f>
        <v>618</v>
      </c>
      <c r="AU19" s="56">
        <f>+Model!AU242</f>
        <v>135</v>
      </c>
      <c r="AV19" s="56">
        <f>+Model!AV242</f>
        <v>63</v>
      </c>
      <c r="AW19" s="56">
        <f>+Model!AW242</f>
        <v>227</v>
      </c>
      <c r="AX19" s="56">
        <f>+Model!AX242</f>
        <v>100</v>
      </c>
      <c r="AY19" s="822">
        <f>+Model!AY242</f>
        <v>525</v>
      </c>
      <c r="AZ19" s="56">
        <f>+Model!AZ242</f>
        <v>-155</v>
      </c>
      <c r="BA19" s="56">
        <f>+Model!BA242</f>
        <v>1083</v>
      </c>
      <c r="BB19" s="56">
        <f>+Model!BB242</f>
        <v>1242</v>
      </c>
      <c r="BC19" s="56">
        <f>+Model!BC242</f>
        <v>591</v>
      </c>
      <c r="BD19" s="822">
        <f>+Model!BD242</f>
        <v>2761</v>
      </c>
      <c r="BE19" s="56">
        <f>+Model!BE242</f>
        <v>823</v>
      </c>
      <c r="BF19" s="56">
        <f>+Model!BF242</f>
        <v>426</v>
      </c>
      <c r="BG19" s="56">
        <f>+Model!BG242</f>
        <v>307</v>
      </c>
      <c r="BH19" s="56">
        <f>+Model!BH242</f>
        <v>677</v>
      </c>
      <c r="BI19" s="822">
        <f>+Model!BI242</f>
        <v>2233</v>
      </c>
      <c r="BJ19" s="56">
        <f>+Model!BJ242</f>
        <v>330</v>
      </c>
      <c r="BK19" s="56">
        <f>+Model!BK242</f>
        <v>317</v>
      </c>
      <c r="BL19" s="56">
        <f>+Model!BL242</f>
        <v>449</v>
      </c>
      <c r="BM19" s="56">
        <f>+Model!BM242</f>
        <v>100</v>
      </c>
      <c r="BN19" s="822">
        <f>+Model!BN242</f>
        <v>1196</v>
      </c>
      <c r="BO19" s="56">
        <f>+Model!BO242</f>
        <v>222</v>
      </c>
      <c r="BP19" s="56">
        <f>+Model!BP242</f>
        <v>333</v>
      </c>
      <c r="BQ19" s="56">
        <f>+Model!BQ242</f>
        <v>499</v>
      </c>
      <c r="BR19" s="56">
        <f>+Model!BR242</f>
        <v>593</v>
      </c>
      <c r="BS19" s="822">
        <f>+Model!BS242</f>
        <v>1647</v>
      </c>
      <c r="BT19" s="478">
        <f>+Model!BT242</f>
        <v>-1013</v>
      </c>
      <c r="BU19" s="56">
        <f>+Model!BU242</f>
        <v>0</v>
      </c>
      <c r="BV19" s="56">
        <f>+Model!BV242</f>
        <v>0</v>
      </c>
      <c r="BW19" s="56">
        <f>+Model!BW242</f>
        <v>0</v>
      </c>
      <c r="BX19" s="822">
        <f>+Model!BX242</f>
        <v>0</v>
      </c>
      <c r="BY19" s="56">
        <f>+Model!BY242</f>
        <v>0</v>
      </c>
      <c r="BZ19" s="56">
        <f>+Model!BZ242</f>
        <v>0</v>
      </c>
      <c r="CA19" s="56">
        <f>+Model!CA242</f>
        <v>0</v>
      </c>
      <c r="CB19" s="56">
        <f>+Model!CB242</f>
        <v>0</v>
      </c>
      <c r="CC19" s="822">
        <f>+Model!CC242</f>
        <v>0</v>
      </c>
      <c r="CD19" s="822">
        <f>+Model!CD242</f>
        <v>0</v>
      </c>
      <c r="CE19" s="822">
        <f>+Model!CE242</f>
        <v>0</v>
      </c>
      <c r="CF19" s="822">
        <f>+Model!CF242</f>
        <v>0</v>
      </c>
      <c r="CG19" s="37"/>
    </row>
    <row r="20" spans="1:85" s="429" customFormat="1" x14ac:dyDescent="0.3">
      <c r="A20" s="42" t="str">
        <f>+Model!A243</f>
        <v>Total Downstream Earnings, mm</v>
      </c>
      <c r="B20" s="90"/>
      <c r="C20" s="823">
        <f>+Model!C243</f>
        <v>473</v>
      </c>
      <c r="D20" s="823">
        <f>+Model!D243</f>
        <v>2478</v>
      </c>
      <c r="E20" s="823">
        <f>+Model!E243</f>
        <v>3591</v>
      </c>
      <c r="F20" s="823">
        <f>+Model!F243</f>
        <v>4299</v>
      </c>
      <c r="G20" s="393">
        <f>+Model!G243</f>
        <v>701</v>
      </c>
      <c r="H20" s="393">
        <f>+Model!H243</f>
        <v>766</v>
      </c>
      <c r="I20" s="393">
        <f>+Model!I243</f>
        <v>380</v>
      </c>
      <c r="J20" s="393">
        <f>+Model!J243</f>
        <v>390</v>
      </c>
      <c r="K20" s="823">
        <f>+Model!K243</f>
        <v>2237</v>
      </c>
      <c r="L20" s="393">
        <f>+Model!L243</f>
        <v>710</v>
      </c>
      <c r="M20" s="393">
        <f>+Model!M243</f>
        <v>721</v>
      </c>
      <c r="N20" s="393">
        <f>+Model!N243</f>
        <v>1387</v>
      </c>
      <c r="O20" s="393">
        <f>+Model!O243</f>
        <v>1518</v>
      </c>
      <c r="P20" s="823">
        <f>+Model!P243</f>
        <v>4336</v>
      </c>
      <c r="Q20" s="393">
        <f>+Model!Q243</f>
        <v>1423</v>
      </c>
      <c r="R20" s="393">
        <f>+Model!R243</f>
        <v>2956</v>
      </c>
      <c r="S20" s="393">
        <f>+Model!S243</f>
        <v>2211</v>
      </c>
      <c r="T20" s="393">
        <f>+Model!T243</f>
        <v>1011</v>
      </c>
      <c r="U20" s="823">
        <f>+Model!U243</f>
        <v>7601</v>
      </c>
      <c r="V20" s="393">
        <f>+Model!V243</f>
        <v>735</v>
      </c>
      <c r="W20" s="393">
        <f>+Model!W243</f>
        <v>1278</v>
      </c>
      <c r="X20" s="393">
        <f>+Model!X243</f>
        <v>1065</v>
      </c>
      <c r="Y20" s="393">
        <f>+Model!Y243</f>
        <v>357</v>
      </c>
      <c r="Z20" s="823">
        <f>+Model!Z243</f>
        <v>3435</v>
      </c>
      <c r="AA20" s="393">
        <f>+Model!AA243</f>
        <v>926</v>
      </c>
      <c r="AB20" s="393">
        <f>+Model!AB243</f>
        <v>1195</v>
      </c>
      <c r="AC20" s="393">
        <f>+Model!AC243</f>
        <v>1814</v>
      </c>
      <c r="AD20" s="393">
        <f>+Model!AD243</f>
        <v>1279</v>
      </c>
      <c r="AE20" s="823">
        <f>+Model!AE243</f>
        <v>5214</v>
      </c>
      <c r="AF20" s="393">
        <f>+Model!AF243</f>
        <v>728</v>
      </c>
      <c r="AG20" s="393">
        <f>+Model!AG243</f>
        <v>838</v>
      </c>
      <c r="AH20" s="393">
        <f>+Model!AH243</f>
        <v>1373</v>
      </c>
      <c r="AI20" s="393">
        <f>+Model!AI243</f>
        <v>859</v>
      </c>
      <c r="AJ20" s="823">
        <f>+Model!AJ243</f>
        <v>3798</v>
      </c>
      <c r="AK20" s="393">
        <f>+Model!AK243</f>
        <v>252</v>
      </c>
      <c r="AL20" s="393">
        <f>+Model!AL243</f>
        <v>729</v>
      </c>
      <c r="AM20" s="393">
        <f>+Model!AM243</f>
        <v>828</v>
      </c>
      <c r="AN20" s="393">
        <f>+Model!AN243</f>
        <v>672</v>
      </c>
      <c r="AO20" s="823">
        <f>+Model!AO243</f>
        <v>2481</v>
      </c>
      <c r="AP20" s="393">
        <f>+Model!AP243</f>
        <v>1103</v>
      </c>
      <c r="AQ20" s="393">
        <f>+Model!AQ243</f>
        <v>-1010</v>
      </c>
      <c r="AR20" s="393">
        <f>+Model!AR243</f>
        <v>292</v>
      </c>
      <c r="AS20" s="393">
        <f>+Model!AS243</f>
        <v>-338</v>
      </c>
      <c r="AT20" s="823">
        <f>+Model!AT243</f>
        <v>47</v>
      </c>
      <c r="AU20" s="393">
        <f>+Model!AU243</f>
        <v>5</v>
      </c>
      <c r="AV20" s="393">
        <f>+Model!AV243</f>
        <v>839</v>
      </c>
      <c r="AW20" s="393">
        <f>+Model!AW243</f>
        <v>1310</v>
      </c>
      <c r="AX20" s="393">
        <f>+Model!AX243</f>
        <v>760</v>
      </c>
      <c r="AY20" s="823">
        <f>+Model!AY243</f>
        <v>2914</v>
      </c>
      <c r="AZ20" s="393">
        <f>+Model!AZ243</f>
        <v>331</v>
      </c>
      <c r="BA20" s="393">
        <f>+Model!BA243</f>
        <v>3523</v>
      </c>
      <c r="BB20" s="393">
        <f>+Model!BB243</f>
        <v>2530</v>
      </c>
      <c r="BC20" s="393">
        <f>+Model!BC243</f>
        <v>1771</v>
      </c>
      <c r="BD20" s="823">
        <f>+Model!BD243</f>
        <v>8155</v>
      </c>
      <c r="BE20" s="393">
        <f>+Model!BE243</f>
        <v>1800</v>
      </c>
      <c r="BF20" s="393">
        <f>+Model!BF243</f>
        <v>1507</v>
      </c>
      <c r="BG20" s="393">
        <f>+Model!BG243</f>
        <v>1683</v>
      </c>
      <c r="BH20" s="393">
        <f>+Model!BH243</f>
        <v>1147</v>
      </c>
      <c r="BI20" s="823">
        <f>+Model!BI243</f>
        <v>6137</v>
      </c>
      <c r="BJ20" s="393">
        <f>+Model!BJ243</f>
        <v>783</v>
      </c>
      <c r="BK20" s="393">
        <f>+Model!BK243</f>
        <v>597</v>
      </c>
      <c r="BL20" s="393">
        <f>+Model!BL243</f>
        <v>595</v>
      </c>
      <c r="BM20" s="393">
        <f>+Model!BM243</f>
        <v>-248</v>
      </c>
      <c r="BN20" s="823">
        <f>+Model!BN243</f>
        <v>1727</v>
      </c>
      <c r="BO20" s="393">
        <f>+Model!BO243</f>
        <v>325</v>
      </c>
      <c r="BP20" s="393">
        <f>+Model!BP243</f>
        <v>737</v>
      </c>
      <c r="BQ20" s="393">
        <f>+Model!BQ243</f>
        <v>1137</v>
      </c>
      <c r="BR20" s="393">
        <f>+Model!BR243</f>
        <v>823</v>
      </c>
      <c r="BS20" s="823">
        <f>+Model!BS243</f>
        <v>3022</v>
      </c>
      <c r="BT20" s="641">
        <f>+Model!BT243</f>
        <v>-817</v>
      </c>
      <c r="BU20" s="393">
        <f>+Model!BU243</f>
        <v>0</v>
      </c>
      <c r="BV20" s="393">
        <f>+Model!BV243</f>
        <v>0</v>
      </c>
      <c r="BW20" s="393">
        <f>+Model!BW243</f>
        <v>0</v>
      </c>
      <c r="BX20" s="823">
        <f>+Model!BX243</f>
        <v>0</v>
      </c>
      <c r="BY20" s="393">
        <f>+Model!BY243</f>
        <v>0</v>
      </c>
      <c r="BZ20" s="393">
        <f>+Model!BZ243</f>
        <v>0</v>
      </c>
      <c r="CA20" s="393">
        <f>+Model!CA243</f>
        <v>0</v>
      </c>
      <c r="CB20" s="393">
        <f>+Model!CB243</f>
        <v>0</v>
      </c>
      <c r="CC20" s="823">
        <f>+Model!CC243</f>
        <v>0</v>
      </c>
      <c r="CD20" s="823">
        <f>+Model!CD243</f>
        <v>0</v>
      </c>
      <c r="CE20" s="823">
        <f>+Model!CE243</f>
        <v>0</v>
      </c>
      <c r="CF20" s="823">
        <f>+Model!CF243</f>
        <v>0</v>
      </c>
      <c r="CG20" s="31"/>
    </row>
    <row r="21" spans="1:85" s="453" customFormat="1" x14ac:dyDescent="0.3">
      <c r="A21" s="164"/>
      <c r="B21" s="165"/>
      <c r="C21" s="956"/>
      <c r="D21" s="956"/>
      <c r="E21" s="956"/>
      <c r="F21" s="956"/>
      <c r="G21" s="119"/>
      <c r="H21" s="119"/>
      <c r="I21" s="119"/>
      <c r="J21" s="119"/>
      <c r="K21" s="956"/>
      <c r="L21" s="119"/>
      <c r="M21" s="119"/>
      <c r="N21" s="119"/>
      <c r="O21" s="119"/>
      <c r="P21" s="956"/>
      <c r="Q21" s="119"/>
      <c r="R21" s="119"/>
      <c r="S21" s="119"/>
      <c r="T21" s="119"/>
      <c r="U21" s="956"/>
      <c r="V21" s="119"/>
      <c r="W21" s="119"/>
      <c r="X21" s="119"/>
      <c r="Y21" s="119"/>
      <c r="Z21" s="956"/>
      <c r="AA21" s="119"/>
      <c r="AB21" s="119"/>
      <c r="AC21" s="119"/>
      <c r="AD21" s="119"/>
      <c r="AE21" s="956"/>
      <c r="AF21" s="119"/>
      <c r="AG21" s="119"/>
      <c r="AH21" s="119"/>
      <c r="AI21" s="119"/>
      <c r="AJ21" s="956"/>
      <c r="AK21" s="119"/>
      <c r="AL21" s="119"/>
      <c r="AM21" s="119"/>
      <c r="AN21" s="119"/>
      <c r="AO21" s="956"/>
      <c r="AP21" s="119"/>
      <c r="AQ21" s="119"/>
      <c r="AR21" s="119"/>
      <c r="AS21" s="119"/>
      <c r="AT21" s="956"/>
      <c r="AU21" s="119"/>
      <c r="AV21" s="119"/>
      <c r="AW21" s="119"/>
      <c r="AX21" s="119"/>
      <c r="AY21" s="956"/>
      <c r="AZ21" s="119"/>
      <c r="BA21" s="119"/>
      <c r="BB21" s="119"/>
      <c r="BC21" s="119"/>
      <c r="BD21" s="956"/>
      <c r="BE21" s="119"/>
      <c r="BF21" s="119"/>
      <c r="BG21" s="119"/>
      <c r="BH21" s="119"/>
      <c r="BI21" s="956"/>
      <c r="BJ21" s="119"/>
      <c r="BK21" s="119"/>
      <c r="BL21" s="119"/>
      <c r="BM21" s="119"/>
      <c r="BN21" s="956"/>
      <c r="BO21" s="119"/>
      <c r="BP21" s="119"/>
      <c r="BQ21" s="119"/>
      <c r="BR21" s="119"/>
      <c r="BS21" s="956"/>
      <c r="BT21" s="693"/>
      <c r="BU21" s="119"/>
      <c r="BV21" s="119"/>
      <c r="BW21" s="119"/>
      <c r="BX21" s="956"/>
      <c r="BY21" s="119"/>
      <c r="BZ21" s="119"/>
      <c r="CA21" s="119"/>
      <c r="CB21" s="119"/>
      <c r="CC21" s="956"/>
      <c r="CD21" s="956"/>
      <c r="CE21" s="956"/>
      <c r="CF21" s="956"/>
      <c r="CG21" s="140"/>
    </row>
    <row r="22" spans="1:85" s="429" customFormat="1" x14ac:dyDescent="0.3">
      <c r="A22" s="48" t="str">
        <f>+Model!A260</f>
        <v>All other earnings, mm</v>
      </c>
      <c r="B22" s="63"/>
      <c r="C22" s="825">
        <f>+Model!C260</f>
        <v>-922</v>
      </c>
      <c r="D22" s="825">
        <f>+Model!D260</f>
        <v>-1131</v>
      </c>
      <c r="E22" s="825">
        <f>+Model!E260</f>
        <v>-1482</v>
      </c>
      <c r="F22" s="825">
        <f>+Model!F260</f>
        <v>-1908</v>
      </c>
      <c r="G22" s="31">
        <f>+Model!G260</f>
        <v>-439</v>
      </c>
      <c r="H22" s="31">
        <f>+Model!H260</f>
        <v>-350</v>
      </c>
      <c r="I22" s="31">
        <f>+Model!I260</f>
        <v>-522</v>
      </c>
      <c r="J22" s="31">
        <f>+Model!J260</f>
        <v>-312</v>
      </c>
      <c r="K22" s="825">
        <f>+Model!K260</f>
        <v>-1623</v>
      </c>
      <c r="L22" s="31">
        <f>+Model!L260</f>
        <v>-505</v>
      </c>
      <c r="M22" s="31">
        <f>+Model!M260</f>
        <v>-320</v>
      </c>
      <c r="N22" s="31">
        <f>+Model!N260</f>
        <v>-443</v>
      </c>
      <c r="O22" s="31">
        <f>+Model!O260</f>
        <v>-720</v>
      </c>
      <c r="P22" s="825">
        <f>+Model!P260</f>
        <v>-1988</v>
      </c>
      <c r="Q22" s="31">
        <f>+Model!Q260</f>
        <v>-416</v>
      </c>
      <c r="R22" s="31">
        <f>+Model!R260</f>
        <v>-166</v>
      </c>
      <c r="S22" s="31">
        <f>+Model!S260</f>
        <v>-233</v>
      </c>
      <c r="T22" s="31">
        <f>+Model!T260</f>
        <v>-238</v>
      </c>
      <c r="U22" s="825">
        <f>+Model!U260</f>
        <v>-1053</v>
      </c>
      <c r="V22" s="31">
        <f>+Model!V260</f>
        <v>-1</v>
      </c>
      <c r="W22" s="31">
        <f>+Model!W260</f>
        <v>-286</v>
      </c>
      <c r="X22" s="31">
        <f>+Model!X260</f>
        <v>-236</v>
      </c>
      <c r="Y22" s="31">
        <f>+Model!Y260</f>
        <v>-872</v>
      </c>
      <c r="Z22" s="825">
        <f>+Model!Z260</f>
        <v>-1395</v>
      </c>
      <c r="AA22" s="31">
        <f>+Model!AA260</f>
        <v>239</v>
      </c>
      <c r="AB22" s="31">
        <f>+Model!AB260</f>
        <v>-598</v>
      </c>
      <c r="AC22" s="31">
        <f>+Model!AC260</f>
        <v>-351</v>
      </c>
      <c r="AD22" s="31">
        <f>+Model!AD260</f>
        <v>-3459</v>
      </c>
      <c r="AE22" s="825">
        <f>+Model!AE260</f>
        <v>-4169</v>
      </c>
      <c r="AF22" s="31">
        <f>+Model!AF260</f>
        <v>-442</v>
      </c>
      <c r="AG22" s="31">
        <f>+Model!AG260</f>
        <v>-724</v>
      </c>
      <c r="AH22" s="31">
        <f>+Model!AH260</f>
        <v>-705</v>
      </c>
      <c r="AI22" s="31">
        <f>+Model!AI260</f>
        <v>-419</v>
      </c>
      <c r="AJ22" s="825">
        <f>+Model!AJ260</f>
        <v>-2290</v>
      </c>
      <c r="AK22" s="31">
        <f>+Model!AK260</f>
        <v>-726</v>
      </c>
      <c r="AL22" s="31">
        <f>+Model!AL260</f>
        <v>93</v>
      </c>
      <c r="AM22" s="31">
        <f>+Model!AM260</f>
        <v>-952</v>
      </c>
      <c r="AN22" s="31">
        <f>+Model!AN260</f>
        <v>-548</v>
      </c>
      <c r="AO22" s="825">
        <f>+Model!AO260</f>
        <v>-2133</v>
      </c>
      <c r="AP22" s="31">
        <f>+Model!AP260</f>
        <v>-424</v>
      </c>
      <c r="AQ22" s="31">
        <f>+Model!AQ260</f>
        <v>-1171</v>
      </c>
      <c r="AR22" s="31">
        <f>+Model!AR260</f>
        <v>-734</v>
      </c>
      <c r="AS22" s="31">
        <f>+Model!AS260</f>
        <v>-828</v>
      </c>
      <c r="AT22" s="825">
        <f>+Model!AT260</f>
        <v>-3157</v>
      </c>
      <c r="AU22" s="31">
        <f>+Model!AU260</f>
        <v>-978</v>
      </c>
      <c r="AV22" s="31">
        <f>+Model!AV260</f>
        <v>-935</v>
      </c>
      <c r="AW22" s="31">
        <f>+Model!AW260</f>
        <v>-334</v>
      </c>
      <c r="AX22" s="31">
        <f>+Model!AX260</f>
        <v>-860</v>
      </c>
      <c r="AY22" s="825">
        <f>+Model!AY260</f>
        <v>-3107</v>
      </c>
      <c r="AZ22" s="31">
        <f>+Model!AZ260</f>
        <v>-1006</v>
      </c>
      <c r="BA22" s="31">
        <f>+Model!BA260</f>
        <v>-459</v>
      </c>
      <c r="BB22" s="31">
        <f>+Model!BB260</f>
        <v>-606</v>
      </c>
      <c r="BC22" s="31">
        <f>+Model!BC260</f>
        <v>-903</v>
      </c>
      <c r="BD22" s="825">
        <f>+Model!BD260</f>
        <v>-2974</v>
      </c>
      <c r="BE22" s="31">
        <f>+Model!BE260</f>
        <v>-387</v>
      </c>
      <c r="BF22" s="31">
        <f>+Model!BF260</f>
        <v>-433</v>
      </c>
      <c r="BG22" s="31">
        <f>+Model!BG260</f>
        <v>-912</v>
      </c>
      <c r="BH22" s="31">
        <f>+Model!BH260</f>
        <v>-474</v>
      </c>
      <c r="BI22" s="825">
        <f>+Model!BI260</f>
        <v>-2206</v>
      </c>
      <c r="BJ22" s="31">
        <f>+Model!BJ260</f>
        <v>-521</v>
      </c>
      <c r="BK22" s="31">
        <f>+Model!BK260</f>
        <v>-633</v>
      </c>
      <c r="BL22" s="31">
        <f>+Model!BL260</f>
        <v>-697</v>
      </c>
      <c r="BM22" s="31">
        <f>+Model!BM260</f>
        <v>-817</v>
      </c>
      <c r="BN22" s="825">
        <f>+Model!BN260</f>
        <v>-2668</v>
      </c>
      <c r="BO22" s="31">
        <f>+Model!BO260</f>
        <v>-583</v>
      </c>
      <c r="BP22" s="31">
        <f>+Model!BP260</f>
        <v>-974</v>
      </c>
      <c r="BQ22" s="31">
        <f>+Model!BQ260</f>
        <v>-900</v>
      </c>
      <c r="BR22" s="31">
        <f>+Model!BR260</f>
        <v>-1088</v>
      </c>
      <c r="BS22" s="825">
        <f>+Model!BS260</f>
        <v>-3545</v>
      </c>
      <c r="BT22" s="379">
        <f>+Model!BT260</f>
        <v>-882</v>
      </c>
      <c r="BU22" s="31">
        <f>+Model!BU260</f>
        <v>0</v>
      </c>
      <c r="BV22" s="31">
        <f>+Model!BV260</f>
        <v>0</v>
      </c>
      <c r="BW22" s="31">
        <f>+Model!BW260</f>
        <v>0</v>
      </c>
      <c r="BX22" s="825">
        <f>+Model!BX260</f>
        <v>0</v>
      </c>
      <c r="BY22" s="31">
        <f>+Model!BY260</f>
        <v>0</v>
      </c>
      <c r="BZ22" s="31">
        <f>+Model!BZ260</f>
        <v>0</v>
      </c>
      <c r="CA22" s="31">
        <f>+Model!CA260</f>
        <v>0</v>
      </c>
      <c r="CB22" s="31">
        <f>+Model!CB260</f>
        <v>0</v>
      </c>
      <c r="CC22" s="825">
        <f>+Model!CC260</f>
        <v>0</v>
      </c>
      <c r="CD22" s="825">
        <f>+Model!CD260</f>
        <v>0</v>
      </c>
      <c r="CE22" s="825">
        <f>+Model!CE260</f>
        <v>0</v>
      </c>
      <c r="CF22" s="825">
        <f>+Model!CF260</f>
        <v>0</v>
      </c>
      <c r="CG22" s="31"/>
    </row>
    <row r="23" spans="1:85" s="453" customFormat="1" x14ac:dyDescent="0.3">
      <c r="A23" s="164"/>
      <c r="B23" s="165"/>
      <c r="C23" s="956"/>
      <c r="D23" s="956"/>
      <c r="E23" s="956"/>
      <c r="F23" s="956"/>
      <c r="G23" s="119"/>
      <c r="H23" s="119"/>
      <c r="I23" s="119"/>
      <c r="J23" s="119"/>
      <c r="K23" s="956"/>
      <c r="L23" s="119"/>
      <c r="M23" s="119"/>
      <c r="N23" s="119"/>
      <c r="O23" s="119"/>
      <c r="P23" s="956"/>
      <c r="Q23" s="119"/>
      <c r="R23" s="119"/>
      <c r="S23" s="119"/>
      <c r="T23" s="119"/>
      <c r="U23" s="956"/>
      <c r="V23" s="119"/>
      <c r="W23" s="119"/>
      <c r="X23" s="119"/>
      <c r="Y23" s="119"/>
      <c r="Z23" s="956"/>
      <c r="AA23" s="119"/>
      <c r="AB23" s="119"/>
      <c r="AC23" s="119"/>
      <c r="AD23" s="119"/>
      <c r="AE23" s="956"/>
      <c r="AF23" s="119"/>
      <c r="AG23" s="119"/>
      <c r="AH23" s="119"/>
      <c r="AI23" s="119"/>
      <c r="AJ23" s="956"/>
      <c r="AK23" s="119"/>
      <c r="AL23" s="119"/>
      <c r="AM23" s="119"/>
      <c r="AN23" s="119"/>
      <c r="AO23" s="956"/>
      <c r="AP23" s="119"/>
      <c r="AQ23" s="119"/>
      <c r="AR23" s="119"/>
      <c r="AS23" s="119"/>
      <c r="AT23" s="956"/>
      <c r="AU23" s="119"/>
      <c r="AV23" s="119"/>
      <c r="AW23" s="119"/>
      <c r="AX23" s="119"/>
      <c r="AY23" s="956"/>
      <c r="AZ23" s="119"/>
      <c r="BA23" s="119"/>
      <c r="BB23" s="119"/>
      <c r="BC23" s="119"/>
      <c r="BD23" s="956"/>
      <c r="BE23" s="119"/>
      <c r="BF23" s="119"/>
      <c r="BG23" s="119"/>
      <c r="BH23" s="119"/>
      <c r="BI23" s="956"/>
      <c r="BJ23" s="119"/>
      <c r="BK23" s="119"/>
      <c r="BL23" s="119"/>
      <c r="BM23" s="119"/>
      <c r="BN23" s="956"/>
      <c r="BO23" s="119"/>
      <c r="BP23" s="119"/>
      <c r="BQ23" s="119"/>
      <c r="BR23" s="119"/>
      <c r="BS23" s="956"/>
      <c r="BT23" s="693"/>
      <c r="BU23" s="119"/>
      <c r="BV23" s="119"/>
      <c r="BW23" s="119"/>
      <c r="BX23" s="956"/>
      <c r="BY23" s="119"/>
      <c r="BZ23" s="119"/>
      <c r="CA23" s="119"/>
      <c r="CB23" s="119"/>
      <c r="CC23" s="956"/>
      <c r="CD23" s="956"/>
      <c r="CE23" s="956"/>
      <c r="CF23" s="956"/>
      <c r="CG23" s="140"/>
    </row>
    <row r="24" spans="1:85" x14ac:dyDescent="0.3">
      <c r="A24" s="114" t="s">
        <v>414</v>
      </c>
      <c r="B24" s="729"/>
      <c r="C24" s="729"/>
      <c r="D24" s="729"/>
      <c r="E24" s="729"/>
      <c r="F24" s="729"/>
      <c r="G24" s="729"/>
      <c r="H24" s="729"/>
      <c r="I24" s="729"/>
      <c r="J24" s="729"/>
      <c r="K24" s="729"/>
      <c r="L24" s="729"/>
      <c r="M24" s="729"/>
      <c r="N24" s="729"/>
      <c r="O24" s="729"/>
      <c r="P24" s="729"/>
      <c r="Q24" s="729"/>
      <c r="R24" s="729"/>
      <c r="S24" s="729"/>
      <c r="T24" s="729"/>
      <c r="U24" s="729"/>
      <c r="V24" s="729"/>
      <c r="W24" s="729"/>
      <c r="X24" s="729"/>
      <c r="Y24" s="729"/>
      <c r="Z24" s="729"/>
      <c r="AA24" s="729"/>
      <c r="AB24" s="729"/>
      <c r="AC24" s="729"/>
      <c r="AD24" s="729"/>
      <c r="AE24" s="729"/>
      <c r="AF24" s="729"/>
      <c r="AG24" s="729"/>
      <c r="AH24" s="729"/>
      <c r="AI24" s="729"/>
      <c r="AJ24" s="729"/>
      <c r="AK24" s="729"/>
      <c r="AL24" s="729"/>
      <c r="AM24" s="729"/>
      <c r="AN24" s="729"/>
      <c r="AO24" s="729"/>
      <c r="AP24" s="729"/>
      <c r="AQ24" s="729"/>
      <c r="AR24" s="729"/>
      <c r="AS24" s="729"/>
      <c r="AT24" s="729"/>
      <c r="AU24" s="729"/>
      <c r="AV24" s="729"/>
      <c r="AW24" s="729"/>
      <c r="AX24" s="729"/>
      <c r="AY24" s="729"/>
      <c r="AZ24" s="729"/>
      <c r="BA24" s="729"/>
      <c r="BB24" s="729"/>
      <c r="BC24" s="729"/>
      <c r="BD24" s="729"/>
      <c r="BE24" s="729"/>
      <c r="BF24" s="729"/>
      <c r="BG24" s="729"/>
      <c r="BH24" s="729"/>
      <c r="BI24" s="729"/>
      <c r="BJ24" s="729"/>
      <c r="BK24" s="729"/>
      <c r="BL24" s="729"/>
      <c r="BM24" s="729"/>
      <c r="BN24" s="729"/>
      <c r="BO24" s="729"/>
      <c r="BP24" s="729"/>
      <c r="BQ24" s="729"/>
      <c r="BR24" s="729"/>
      <c r="BS24" s="729"/>
      <c r="BT24" s="761"/>
      <c r="BU24" s="729"/>
      <c r="BV24" s="729"/>
      <c r="BW24" s="729"/>
      <c r="BX24" s="729"/>
      <c r="BY24" s="729"/>
      <c r="BZ24" s="729"/>
      <c r="CA24" s="729"/>
      <c r="CB24" s="729"/>
      <c r="CC24" s="729"/>
      <c r="CD24" s="729"/>
      <c r="CE24" s="729"/>
      <c r="CF24" s="729"/>
      <c r="CG24" s="137"/>
    </row>
    <row r="25" spans="1:85" s="461" customFormat="1" x14ac:dyDescent="0.3">
      <c r="A25" s="166" t="str">
        <f>INDEX(MO_RIS_REV,0,COLUMN())</f>
        <v>Net Revenue</v>
      </c>
      <c r="B25" s="167"/>
      <c r="C25" s="957">
        <f t="shared" ref="C25:AH25" si="57">INDEX(MO_RIS_REV,0,COLUMN())</f>
        <v>171636</v>
      </c>
      <c r="D25" s="957">
        <f t="shared" si="57"/>
        <v>204928</v>
      </c>
      <c r="E25" s="957">
        <f t="shared" si="57"/>
        <v>253706</v>
      </c>
      <c r="F25" s="957">
        <f t="shared" si="57"/>
        <v>241909</v>
      </c>
      <c r="G25" s="120">
        <f t="shared" si="57"/>
        <v>56818</v>
      </c>
      <c r="H25" s="120">
        <f t="shared" si="57"/>
        <v>57369</v>
      </c>
      <c r="I25" s="120">
        <f t="shared" si="57"/>
        <v>58503</v>
      </c>
      <c r="J25" s="120">
        <f t="shared" si="57"/>
        <v>56158</v>
      </c>
      <c r="K25" s="957">
        <f t="shared" si="57"/>
        <v>228848</v>
      </c>
      <c r="L25" s="120">
        <f t="shared" si="57"/>
        <v>53265</v>
      </c>
      <c r="M25" s="120">
        <f t="shared" si="57"/>
        <v>57938</v>
      </c>
      <c r="N25" s="120">
        <f t="shared" si="57"/>
        <v>54679</v>
      </c>
      <c r="O25" s="120">
        <f t="shared" si="57"/>
        <v>46088</v>
      </c>
      <c r="P25" s="957">
        <f t="shared" si="57"/>
        <v>211970</v>
      </c>
      <c r="Q25" s="120">
        <f t="shared" si="57"/>
        <v>34558</v>
      </c>
      <c r="R25" s="120">
        <f t="shared" si="57"/>
        <v>40357</v>
      </c>
      <c r="S25" s="120">
        <f t="shared" si="57"/>
        <v>34315</v>
      </c>
      <c r="T25" s="120">
        <f t="shared" si="57"/>
        <v>29247</v>
      </c>
      <c r="U25" s="957">
        <f t="shared" si="57"/>
        <v>138477</v>
      </c>
      <c r="V25" s="120">
        <f t="shared" si="57"/>
        <v>23553</v>
      </c>
      <c r="W25" s="120">
        <f t="shared" si="57"/>
        <v>29282</v>
      </c>
      <c r="X25" s="120">
        <f t="shared" si="57"/>
        <v>30140</v>
      </c>
      <c r="Y25" s="120">
        <f t="shared" si="57"/>
        <v>31497</v>
      </c>
      <c r="Z25" s="957">
        <f t="shared" si="57"/>
        <v>114472</v>
      </c>
      <c r="AA25" s="120">
        <f t="shared" si="57"/>
        <v>33421</v>
      </c>
      <c r="AB25" s="120">
        <f t="shared" si="57"/>
        <v>34480</v>
      </c>
      <c r="AC25" s="120">
        <f t="shared" si="57"/>
        <v>36205</v>
      </c>
      <c r="AD25" s="120">
        <f t="shared" si="57"/>
        <v>37616</v>
      </c>
      <c r="AE25" s="957">
        <f t="shared" si="57"/>
        <v>141722</v>
      </c>
      <c r="AF25" s="120">
        <f t="shared" si="57"/>
        <v>37764</v>
      </c>
      <c r="AG25" s="120">
        <f t="shared" si="57"/>
        <v>42236</v>
      </c>
      <c r="AH25" s="120">
        <f t="shared" si="57"/>
        <v>43987</v>
      </c>
      <c r="AI25" s="120">
        <f t="shared" ref="AI25:BI25" si="58">INDEX(MO_RIS_REV,0,COLUMN())</f>
        <v>42352</v>
      </c>
      <c r="AJ25" s="957">
        <f t="shared" si="58"/>
        <v>166339</v>
      </c>
      <c r="AK25" s="120">
        <f t="shared" si="58"/>
        <v>35200</v>
      </c>
      <c r="AL25" s="120">
        <f t="shared" si="58"/>
        <v>38850</v>
      </c>
      <c r="AM25" s="120">
        <f t="shared" si="58"/>
        <v>36116</v>
      </c>
      <c r="AN25" s="120">
        <f t="shared" si="58"/>
        <v>36350</v>
      </c>
      <c r="AO25" s="957">
        <f t="shared" si="58"/>
        <v>146516</v>
      </c>
      <c r="AP25" s="120">
        <f t="shared" si="58"/>
        <v>31501</v>
      </c>
      <c r="AQ25" s="120">
        <f t="shared" si="58"/>
        <v>13494</v>
      </c>
      <c r="AR25" s="120">
        <f t="shared" si="58"/>
        <v>24451</v>
      </c>
      <c r="AS25" s="120">
        <f t="shared" si="58"/>
        <v>25246</v>
      </c>
      <c r="AT25" s="957">
        <f t="shared" si="58"/>
        <v>94692</v>
      </c>
      <c r="AU25" s="120">
        <f t="shared" si="58"/>
        <v>32029</v>
      </c>
      <c r="AV25" s="120">
        <f t="shared" si="58"/>
        <v>37597</v>
      </c>
      <c r="AW25" s="120">
        <f t="shared" si="58"/>
        <v>44710</v>
      </c>
      <c r="AX25" s="120">
        <f t="shared" si="58"/>
        <v>48129</v>
      </c>
      <c r="AY25" s="957">
        <f t="shared" si="58"/>
        <v>162465</v>
      </c>
      <c r="AZ25" s="120">
        <f t="shared" si="58"/>
        <v>54373</v>
      </c>
      <c r="BA25" s="120">
        <f t="shared" si="58"/>
        <v>68762</v>
      </c>
      <c r="BB25" s="120">
        <f t="shared" si="58"/>
        <v>66644</v>
      </c>
      <c r="BC25" s="120">
        <f t="shared" si="58"/>
        <v>56473</v>
      </c>
      <c r="BD25" s="957">
        <f t="shared" si="58"/>
        <v>246252</v>
      </c>
      <c r="BE25" s="120">
        <f t="shared" si="58"/>
        <v>50793</v>
      </c>
      <c r="BF25" s="120">
        <f t="shared" si="58"/>
        <v>48896</v>
      </c>
      <c r="BG25" s="120">
        <f t="shared" si="58"/>
        <v>54080</v>
      </c>
      <c r="BH25" s="120">
        <f t="shared" si="58"/>
        <v>47180</v>
      </c>
      <c r="BI25" s="957">
        <f t="shared" si="58"/>
        <v>200949</v>
      </c>
      <c r="BJ25" s="120">
        <f t="shared" ref="BJ25:BN25" si="59">INDEX(MO_RIS_REV,0,COLUMN())</f>
        <v>48716</v>
      </c>
      <c r="BK25" s="120">
        <f t="shared" si="59"/>
        <v>51181</v>
      </c>
      <c r="BL25" s="120">
        <f t="shared" si="59"/>
        <v>50669</v>
      </c>
      <c r="BM25" s="120">
        <f t="shared" si="59"/>
        <v>52226</v>
      </c>
      <c r="BN25" s="957">
        <f t="shared" si="59"/>
        <v>202792</v>
      </c>
      <c r="BO25" s="120">
        <f t="shared" ref="BO25:BS25" si="60">INDEX(MO_RIS_REV,0,COLUMN())</f>
        <v>47610</v>
      </c>
      <c r="BP25" s="120">
        <f t="shared" si="60"/>
        <v>44822</v>
      </c>
      <c r="BQ25" s="120">
        <f t="shared" si="60"/>
        <v>49726</v>
      </c>
      <c r="BR25" s="120">
        <f t="shared" si="60"/>
        <v>46873</v>
      </c>
      <c r="BS25" s="957">
        <f t="shared" si="60"/>
        <v>189031</v>
      </c>
      <c r="BT25" s="694">
        <f t="shared" ref="BT25:BX25" si="61">INDEX(MO_RIS_REV,0,COLUMN())</f>
        <v>48607</v>
      </c>
      <c r="BU25" s="120">
        <f t="shared" si="61"/>
        <v>59489.442499999997</v>
      </c>
      <c r="BV25" s="120">
        <f t="shared" si="61"/>
        <v>57294.09</v>
      </c>
      <c r="BW25" s="120">
        <f t="shared" si="61"/>
        <v>54602.44</v>
      </c>
      <c r="BX25" s="957">
        <f t="shared" si="61"/>
        <v>219992.9725</v>
      </c>
      <c r="BY25" s="120">
        <f t="shared" ref="BY25:CF25" si="62">INDEX(MO_RIS_REV,0,COLUMN())</f>
        <v>53992.324999999997</v>
      </c>
      <c r="BZ25" s="120">
        <f t="shared" si="62"/>
        <v>53959.6005</v>
      </c>
      <c r="CA25" s="120">
        <f t="shared" si="62"/>
        <v>54801.601999999992</v>
      </c>
      <c r="CB25" s="120">
        <f t="shared" si="62"/>
        <v>54345.673999999999</v>
      </c>
      <c r="CC25" s="957">
        <f t="shared" si="62"/>
        <v>217099.2015</v>
      </c>
      <c r="CD25" s="957">
        <f t="shared" si="62"/>
        <v>201053.73499999999</v>
      </c>
      <c r="CE25" s="957">
        <f t="shared" si="62"/>
        <v>199469.7775</v>
      </c>
      <c r="CF25" s="957">
        <f t="shared" si="62"/>
        <v>197660.48249999998</v>
      </c>
      <c r="CG25" s="120"/>
    </row>
    <row r="26" spans="1:85" s="460" customFormat="1" x14ac:dyDescent="0.3">
      <c r="A26" s="159" t="str">
        <f>INDEX(MO_RIS_ExciseTax_AdValorem,0,COLUMN())</f>
        <v>Taxes other than on income</v>
      </c>
      <c r="B26" s="160"/>
      <c r="C26" s="150">
        <f t="shared" ref="C26:AH26" si="63">INDEX(MO_RIS_ExciseTax_AdValorem,0,COLUMN())</f>
        <v>17591</v>
      </c>
      <c r="D26" s="150">
        <f t="shared" si="63"/>
        <v>18191</v>
      </c>
      <c r="E26" s="150">
        <f t="shared" si="63"/>
        <v>15628</v>
      </c>
      <c r="F26" s="150">
        <f t="shared" si="63"/>
        <v>12376</v>
      </c>
      <c r="G26" s="117">
        <f t="shared" si="63"/>
        <v>3137</v>
      </c>
      <c r="H26" s="117">
        <f t="shared" si="63"/>
        <v>3349</v>
      </c>
      <c r="I26" s="117">
        <f t="shared" si="63"/>
        <v>3366</v>
      </c>
      <c r="J26" s="117">
        <f t="shared" si="63"/>
        <v>3211</v>
      </c>
      <c r="K26" s="150">
        <f t="shared" si="63"/>
        <v>13063</v>
      </c>
      <c r="L26" s="117">
        <f t="shared" si="63"/>
        <v>3019</v>
      </c>
      <c r="M26" s="117">
        <f t="shared" si="63"/>
        <v>3167</v>
      </c>
      <c r="N26" s="117">
        <f t="shared" si="63"/>
        <v>3236</v>
      </c>
      <c r="O26" s="117">
        <f t="shared" si="63"/>
        <v>3118</v>
      </c>
      <c r="P26" s="150">
        <f t="shared" si="63"/>
        <v>12540</v>
      </c>
      <c r="Q26" s="117">
        <f t="shared" si="63"/>
        <v>3118</v>
      </c>
      <c r="R26" s="117">
        <f t="shared" si="63"/>
        <v>3173</v>
      </c>
      <c r="S26" s="117">
        <f t="shared" si="63"/>
        <v>2883</v>
      </c>
      <c r="T26" s="117">
        <f t="shared" si="63"/>
        <v>2856</v>
      </c>
      <c r="U26" s="150">
        <f t="shared" si="63"/>
        <v>12030</v>
      </c>
      <c r="V26" s="117">
        <f t="shared" si="63"/>
        <v>2864</v>
      </c>
      <c r="W26" s="117">
        <f t="shared" si="63"/>
        <v>2973</v>
      </c>
      <c r="X26" s="117">
        <f t="shared" si="63"/>
        <v>2962</v>
      </c>
      <c r="Y26" s="117">
        <f t="shared" si="63"/>
        <v>2869</v>
      </c>
      <c r="Z26" s="150">
        <f t="shared" si="63"/>
        <v>11668</v>
      </c>
      <c r="AA26" s="117">
        <f t="shared" si="63"/>
        <v>2871</v>
      </c>
      <c r="AB26" s="117">
        <f t="shared" si="63"/>
        <v>3065</v>
      </c>
      <c r="AC26" s="117">
        <f t="shared" si="63"/>
        <v>3213</v>
      </c>
      <c r="AD26" s="117">
        <f t="shared" si="63"/>
        <v>3182</v>
      </c>
      <c r="AE26" s="150">
        <f t="shared" si="63"/>
        <v>12331</v>
      </c>
      <c r="AF26" s="117">
        <f t="shared" si="63"/>
        <v>1344</v>
      </c>
      <c r="AG26" s="117">
        <f t="shared" si="63"/>
        <v>1363</v>
      </c>
      <c r="AH26" s="117">
        <f t="shared" si="63"/>
        <v>1259</v>
      </c>
      <c r="AI26" s="117">
        <f t="shared" ref="AI26:BI26" si="64">INDEX(MO_RIS_ExciseTax_AdValorem,0,COLUMN())</f>
        <v>901</v>
      </c>
      <c r="AJ26" s="150">
        <f t="shared" si="64"/>
        <v>4867</v>
      </c>
      <c r="AK26" s="117">
        <f t="shared" si="64"/>
        <v>1061</v>
      </c>
      <c r="AL26" s="117">
        <f t="shared" si="64"/>
        <v>1047</v>
      </c>
      <c r="AM26" s="117">
        <f t="shared" si="64"/>
        <v>1059</v>
      </c>
      <c r="AN26" s="117">
        <f t="shared" si="64"/>
        <v>969</v>
      </c>
      <c r="AO26" s="150">
        <f t="shared" si="64"/>
        <v>4136</v>
      </c>
      <c r="AP26" s="117">
        <f t="shared" si="64"/>
        <v>1167</v>
      </c>
      <c r="AQ26" s="117">
        <f t="shared" si="64"/>
        <v>965</v>
      </c>
      <c r="AR26" s="117">
        <f t="shared" si="64"/>
        <v>1091</v>
      </c>
      <c r="AS26" s="117">
        <f t="shared" si="64"/>
        <v>1276</v>
      </c>
      <c r="AT26" s="150">
        <f t="shared" si="64"/>
        <v>4499</v>
      </c>
      <c r="AU26" s="117">
        <f t="shared" si="64"/>
        <v>1420</v>
      </c>
      <c r="AV26" s="117">
        <f t="shared" si="64"/>
        <v>1566</v>
      </c>
      <c r="AW26" s="117">
        <f t="shared" si="64"/>
        <v>2075</v>
      </c>
      <c r="AX26" s="117">
        <f t="shared" si="64"/>
        <v>1779</v>
      </c>
      <c r="AY26" s="150">
        <f t="shared" si="64"/>
        <v>6840</v>
      </c>
      <c r="AZ26" s="117">
        <f t="shared" si="64"/>
        <v>2002</v>
      </c>
      <c r="BA26" s="117">
        <f t="shared" si="64"/>
        <v>1563</v>
      </c>
      <c r="BB26" s="117">
        <f t="shared" si="64"/>
        <v>1707</v>
      </c>
      <c r="BC26" s="117">
        <f t="shared" si="64"/>
        <v>-1240</v>
      </c>
      <c r="BD26" s="150">
        <f t="shared" si="64"/>
        <v>4032</v>
      </c>
      <c r="BE26" s="117">
        <f t="shared" si="64"/>
        <v>1096</v>
      </c>
      <c r="BF26" s="117">
        <f t="shared" si="64"/>
        <v>1041</v>
      </c>
      <c r="BG26" s="117">
        <f t="shared" si="64"/>
        <v>1021</v>
      </c>
      <c r="BH26" s="117">
        <f t="shared" si="64"/>
        <v>1062</v>
      </c>
      <c r="BI26" s="150">
        <f t="shared" si="64"/>
        <v>4220</v>
      </c>
      <c r="BJ26" s="117">
        <f t="shared" ref="BJ26:BN26" si="65">INDEX(MO_RIS_ExciseTax_AdValorem,0,COLUMN())</f>
        <v>1124</v>
      </c>
      <c r="BK26" s="117">
        <f t="shared" si="65"/>
        <v>1188</v>
      </c>
      <c r="BL26" s="117">
        <f t="shared" si="65"/>
        <v>1263</v>
      </c>
      <c r="BM26" s="117">
        <f t="shared" si="65"/>
        <v>1141</v>
      </c>
      <c r="BN26" s="150">
        <f t="shared" si="65"/>
        <v>4716</v>
      </c>
      <c r="BO26" s="117">
        <f t="shared" ref="BO26:BS26" si="66">INDEX(MO_RIS_ExciseTax_AdValorem,0,COLUMN())</f>
        <v>1255</v>
      </c>
      <c r="BP26" s="117">
        <f t="shared" si="66"/>
        <v>1301</v>
      </c>
      <c r="BQ26" s="117">
        <f t="shared" si="66"/>
        <v>1347</v>
      </c>
      <c r="BR26" s="117">
        <f t="shared" si="66"/>
        <v>1327</v>
      </c>
      <c r="BS26" s="150">
        <f t="shared" si="66"/>
        <v>5230</v>
      </c>
      <c r="BT26" s="691">
        <f t="shared" ref="BT26:BX26" si="67">INDEX(MO_RIS_ExciseTax_AdValorem,0,COLUMN())</f>
        <v>1314</v>
      </c>
      <c r="BU26" s="117">
        <f t="shared" si="67"/>
        <v>1546.7255049999999</v>
      </c>
      <c r="BV26" s="117">
        <f t="shared" si="67"/>
        <v>1489.6463399999998</v>
      </c>
      <c r="BW26" s="117">
        <f t="shared" si="67"/>
        <v>1419.66344</v>
      </c>
      <c r="BX26" s="150">
        <f t="shared" si="67"/>
        <v>5770.0352849999999</v>
      </c>
      <c r="BY26" s="117">
        <f t="shared" ref="BY26:CF26" si="68">INDEX(MO_RIS_ExciseTax_AdValorem,0,COLUMN())</f>
        <v>1403.80045</v>
      </c>
      <c r="BZ26" s="117">
        <f t="shared" si="68"/>
        <v>1402.949613</v>
      </c>
      <c r="CA26" s="117">
        <f t="shared" si="68"/>
        <v>1424.8416519999996</v>
      </c>
      <c r="CB26" s="117">
        <f t="shared" si="68"/>
        <v>1412.9875239999999</v>
      </c>
      <c r="CC26" s="150">
        <f t="shared" si="68"/>
        <v>5644.5792389999997</v>
      </c>
      <c r="CD26" s="150">
        <f t="shared" si="68"/>
        <v>4021.0746999999997</v>
      </c>
      <c r="CE26" s="150">
        <f t="shared" si="68"/>
        <v>3989.3955500000002</v>
      </c>
      <c r="CF26" s="150">
        <f t="shared" si="68"/>
        <v>3953.2096499999998</v>
      </c>
      <c r="CG26" s="117"/>
    </row>
    <row r="27" spans="1:85" s="460" customFormat="1" x14ac:dyDescent="0.3">
      <c r="A27" s="159" t="str">
        <f>INDEX(MO_RIS_SGA,0,COLUMN())</f>
        <v>SG&amp;A</v>
      </c>
      <c r="B27" s="160"/>
      <c r="C27" s="150">
        <f t="shared" ref="C27:AH27" si="69">INDEX(MO_RIS_SGA,0,COLUMN())</f>
        <v>4527</v>
      </c>
      <c r="D27" s="150">
        <f t="shared" si="69"/>
        <v>4767</v>
      </c>
      <c r="E27" s="150">
        <f t="shared" si="69"/>
        <v>4745</v>
      </c>
      <c r="F27" s="150">
        <f t="shared" si="69"/>
        <v>4724</v>
      </c>
      <c r="G27" s="117">
        <f t="shared" si="69"/>
        <v>998</v>
      </c>
      <c r="H27" s="117">
        <f t="shared" si="69"/>
        <v>1139</v>
      </c>
      <c r="I27" s="117">
        <f t="shared" si="69"/>
        <v>1197</v>
      </c>
      <c r="J27" s="117">
        <f t="shared" si="69"/>
        <v>1176</v>
      </c>
      <c r="K27" s="150">
        <f t="shared" si="69"/>
        <v>4510</v>
      </c>
      <c r="L27" s="117">
        <f t="shared" si="69"/>
        <v>927</v>
      </c>
      <c r="M27" s="117">
        <f t="shared" si="69"/>
        <v>1077</v>
      </c>
      <c r="N27" s="117">
        <f t="shared" si="69"/>
        <v>1122</v>
      </c>
      <c r="O27" s="117">
        <f t="shared" si="69"/>
        <v>1368</v>
      </c>
      <c r="P27" s="150">
        <f t="shared" si="69"/>
        <v>4494</v>
      </c>
      <c r="Q27" s="117">
        <f t="shared" si="69"/>
        <v>944</v>
      </c>
      <c r="R27" s="117">
        <f t="shared" si="69"/>
        <v>1170</v>
      </c>
      <c r="S27" s="117">
        <f t="shared" si="69"/>
        <v>1026</v>
      </c>
      <c r="T27" s="117">
        <f t="shared" si="69"/>
        <v>1303</v>
      </c>
      <c r="U27" s="150">
        <f t="shared" si="69"/>
        <v>4443</v>
      </c>
      <c r="V27" s="117">
        <f t="shared" si="69"/>
        <v>998</v>
      </c>
      <c r="W27" s="117">
        <f t="shared" si="69"/>
        <v>1033</v>
      </c>
      <c r="X27" s="117">
        <f t="shared" si="69"/>
        <v>1109</v>
      </c>
      <c r="Y27" s="117">
        <f t="shared" si="69"/>
        <v>1544</v>
      </c>
      <c r="Z27" s="150">
        <f t="shared" si="69"/>
        <v>4684</v>
      </c>
      <c r="AA27" s="117">
        <f t="shared" si="69"/>
        <v>870</v>
      </c>
      <c r="AB27" s="117">
        <f t="shared" si="69"/>
        <v>991</v>
      </c>
      <c r="AC27" s="117">
        <f t="shared" si="69"/>
        <v>1238</v>
      </c>
      <c r="AD27" s="117">
        <f t="shared" si="69"/>
        <v>1349</v>
      </c>
      <c r="AE27" s="150">
        <f t="shared" si="69"/>
        <v>4448</v>
      </c>
      <c r="AF27" s="117">
        <f t="shared" si="69"/>
        <v>807</v>
      </c>
      <c r="AG27" s="117">
        <f t="shared" si="69"/>
        <v>1119</v>
      </c>
      <c r="AH27" s="117">
        <f t="shared" si="69"/>
        <v>1176</v>
      </c>
      <c r="AI27" s="117">
        <f t="shared" ref="AI27:BI27" si="70">INDEX(MO_RIS_SGA,0,COLUMN())</f>
        <v>1296</v>
      </c>
      <c r="AJ27" s="150">
        <f t="shared" si="70"/>
        <v>4398</v>
      </c>
      <c r="AK27" s="117">
        <f t="shared" si="70"/>
        <v>1085</v>
      </c>
      <c r="AL27" s="117">
        <f t="shared" si="70"/>
        <v>1173</v>
      </c>
      <c r="AM27" s="117">
        <f t="shared" si="70"/>
        <v>1075</v>
      </c>
      <c r="AN27" s="117">
        <f t="shared" si="70"/>
        <v>1227</v>
      </c>
      <c r="AO27" s="150">
        <f t="shared" si="70"/>
        <v>4560</v>
      </c>
      <c r="AP27" s="117">
        <f t="shared" si="70"/>
        <v>781</v>
      </c>
      <c r="AQ27" s="117">
        <f t="shared" si="70"/>
        <v>1668</v>
      </c>
      <c r="AR27" s="117">
        <f t="shared" si="70"/>
        <v>1054</v>
      </c>
      <c r="AS27" s="117">
        <f t="shared" si="70"/>
        <v>1590</v>
      </c>
      <c r="AT27" s="150">
        <f t="shared" si="70"/>
        <v>5093</v>
      </c>
      <c r="AU27" s="117">
        <f t="shared" si="70"/>
        <v>1327</v>
      </c>
      <c r="AV27" s="117">
        <f t="shared" si="70"/>
        <v>1261</v>
      </c>
      <c r="AW27" s="117">
        <f t="shared" si="70"/>
        <v>757</v>
      </c>
      <c r="AX27" s="117">
        <f t="shared" si="70"/>
        <v>1357</v>
      </c>
      <c r="AY27" s="150">
        <f t="shared" si="70"/>
        <v>4702</v>
      </c>
      <c r="AZ27" s="117">
        <f t="shared" si="70"/>
        <v>1031</v>
      </c>
      <c r="BA27" s="117">
        <f t="shared" si="70"/>
        <v>850</v>
      </c>
      <c r="BB27" s="117">
        <f t="shared" si="70"/>
        <v>1236</v>
      </c>
      <c r="BC27" s="117">
        <f t="shared" si="70"/>
        <v>1490</v>
      </c>
      <c r="BD27" s="150">
        <f t="shared" si="70"/>
        <v>4607</v>
      </c>
      <c r="BE27" s="117">
        <f t="shared" si="70"/>
        <v>919</v>
      </c>
      <c r="BF27" s="117">
        <f t="shared" si="70"/>
        <v>1167</v>
      </c>
      <c r="BG27" s="117">
        <f t="shared" si="70"/>
        <v>1254</v>
      </c>
      <c r="BH27" s="117">
        <f t="shared" si="70"/>
        <v>1013</v>
      </c>
      <c r="BI27" s="150">
        <f t="shared" si="70"/>
        <v>4353</v>
      </c>
      <c r="BJ27" s="117">
        <f t="shared" ref="BJ27:BN27" si="71">INDEX(MO_RIS_SGA,0,COLUMN())</f>
        <v>1058</v>
      </c>
      <c r="BK27" s="117">
        <f t="shared" si="71"/>
        <v>1096</v>
      </c>
      <c r="BL27" s="117">
        <f t="shared" si="71"/>
        <v>1240</v>
      </c>
      <c r="BM27" s="117">
        <f t="shared" si="71"/>
        <v>1635</v>
      </c>
      <c r="BN27" s="150">
        <f t="shared" si="71"/>
        <v>5029</v>
      </c>
      <c r="BO27" s="117">
        <f t="shared" ref="BO27:BS27" si="72">INDEX(MO_RIS_SGA,0,COLUMN())</f>
        <v>1232</v>
      </c>
      <c r="BP27" s="117">
        <f t="shared" si="72"/>
        <v>972</v>
      </c>
      <c r="BQ27" s="117">
        <f t="shared" si="72"/>
        <v>1594</v>
      </c>
      <c r="BR27" s="117">
        <f t="shared" si="72"/>
        <v>1641</v>
      </c>
      <c r="BS27" s="150">
        <f t="shared" si="72"/>
        <v>5439</v>
      </c>
      <c r="BT27" s="691">
        <f t="shared" ref="BT27:BX27" si="73">INDEX(MO_RIS_SGA,0,COLUMN())</f>
        <v>1048</v>
      </c>
      <c r="BU27" s="117">
        <f t="shared" si="73"/>
        <v>594.89442499999996</v>
      </c>
      <c r="BV27" s="117">
        <f t="shared" si="73"/>
        <v>572.94089999999994</v>
      </c>
      <c r="BW27" s="117">
        <f t="shared" si="73"/>
        <v>546.02440000000001</v>
      </c>
      <c r="BX27" s="150">
        <f t="shared" si="73"/>
        <v>2761.8597250000003</v>
      </c>
      <c r="BY27" s="117">
        <f t="shared" ref="BY27:CF27" si="74">INDEX(MO_RIS_SGA,0,COLUMN())</f>
        <v>539.92324999999994</v>
      </c>
      <c r="BZ27" s="117">
        <f t="shared" si="74"/>
        <v>539.59600499999999</v>
      </c>
      <c r="CA27" s="117">
        <f t="shared" si="74"/>
        <v>548.01601999999991</v>
      </c>
      <c r="CB27" s="117">
        <f t="shared" si="74"/>
        <v>543.45673999999997</v>
      </c>
      <c r="CC27" s="150">
        <f t="shared" si="74"/>
        <v>2170.9920149999998</v>
      </c>
      <c r="CD27" s="150">
        <f t="shared" si="74"/>
        <v>2010.5373499999998</v>
      </c>
      <c r="CE27" s="150">
        <f t="shared" si="74"/>
        <v>1994.6977750000001</v>
      </c>
      <c r="CF27" s="150">
        <f t="shared" si="74"/>
        <v>3953.2096499999998</v>
      </c>
      <c r="CG27" s="117"/>
    </row>
    <row r="28" spans="1:85" s="460" customFormat="1" x14ac:dyDescent="0.3">
      <c r="A28" s="159" t="str">
        <f>INDEX(MO_RIS_OPEX,0,COLUMN())</f>
        <v>Operating expenses</v>
      </c>
      <c r="B28" s="160"/>
      <c r="C28" s="150">
        <f t="shared" ref="C28:AH28" si="75">INDEX(MO_RIS_OPEX,0,COLUMN())</f>
        <v>17857</v>
      </c>
      <c r="D28" s="150">
        <f t="shared" si="75"/>
        <v>19188</v>
      </c>
      <c r="E28" s="150">
        <f t="shared" si="75"/>
        <v>21649</v>
      </c>
      <c r="F28" s="150">
        <f t="shared" si="75"/>
        <v>22570</v>
      </c>
      <c r="G28" s="117">
        <f t="shared" si="75"/>
        <v>5762</v>
      </c>
      <c r="H28" s="117">
        <f t="shared" si="75"/>
        <v>6278</v>
      </c>
      <c r="I28" s="117">
        <f t="shared" si="75"/>
        <v>6066</v>
      </c>
      <c r="J28" s="117">
        <f t="shared" si="75"/>
        <v>6521</v>
      </c>
      <c r="K28" s="150">
        <f t="shared" si="75"/>
        <v>24627</v>
      </c>
      <c r="L28" s="117">
        <f t="shared" si="75"/>
        <v>6023</v>
      </c>
      <c r="M28" s="117">
        <f t="shared" si="75"/>
        <v>6287</v>
      </c>
      <c r="N28" s="117">
        <f t="shared" si="75"/>
        <v>6403</v>
      </c>
      <c r="O28" s="117">
        <f t="shared" si="75"/>
        <v>6572</v>
      </c>
      <c r="P28" s="150">
        <f t="shared" si="75"/>
        <v>25285</v>
      </c>
      <c r="Q28" s="117">
        <f t="shared" si="75"/>
        <v>5395</v>
      </c>
      <c r="R28" s="117">
        <f t="shared" si="75"/>
        <v>6077</v>
      </c>
      <c r="S28" s="117">
        <f t="shared" si="75"/>
        <v>5592</v>
      </c>
      <c r="T28" s="117">
        <f t="shared" si="75"/>
        <v>5970</v>
      </c>
      <c r="U28" s="150">
        <f t="shared" si="75"/>
        <v>23034</v>
      </c>
      <c r="V28" s="117">
        <f t="shared" si="75"/>
        <v>5404</v>
      </c>
      <c r="W28" s="117">
        <f t="shared" si="75"/>
        <v>5054</v>
      </c>
      <c r="X28" s="117">
        <f t="shared" si="75"/>
        <v>4666</v>
      </c>
      <c r="Y28" s="117">
        <f t="shared" si="75"/>
        <v>5144</v>
      </c>
      <c r="Z28" s="150">
        <f t="shared" si="75"/>
        <v>20268</v>
      </c>
      <c r="AA28" s="117">
        <f t="shared" si="75"/>
        <v>4656</v>
      </c>
      <c r="AB28" s="117">
        <f t="shared" si="75"/>
        <v>4662</v>
      </c>
      <c r="AC28" s="117">
        <f t="shared" si="75"/>
        <v>4937</v>
      </c>
      <c r="AD28" s="117">
        <f t="shared" si="75"/>
        <v>5182</v>
      </c>
      <c r="AE28" s="150">
        <f t="shared" si="75"/>
        <v>19437</v>
      </c>
      <c r="AF28" s="117">
        <f t="shared" si="75"/>
        <v>4701</v>
      </c>
      <c r="AG28" s="117">
        <f t="shared" si="75"/>
        <v>5213</v>
      </c>
      <c r="AH28" s="117">
        <f t="shared" si="75"/>
        <v>4985</v>
      </c>
      <c r="AI28" s="117">
        <f t="shared" ref="AI28:BI28" si="76">INDEX(MO_RIS_OPEX,0,COLUMN())</f>
        <v>5645</v>
      </c>
      <c r="AJ28" s="150">
        <f t="shared" si="76"/>
        <v>20544</v>
      </c>
      <c r="AK28" s="117">
        <f t="shared" si="76"/>
        <v>4886</v>
      </c>
      <c r="AL28" s="117">
        <f t="shared" si="76"/>
        <v>5187</v>
      </c>
      <c r="AM28" s="117">
        <f t="shared" si="76"/>
        <v>5325</v>
      </c>
      <c r="AN28" s="117">
        <f t="shared" si="76"/>
        <v>5987</v>
      </c>
      <c r="AO28" s="150">
        <f t="shared" si="76"/>
        <v>21385</v>
      </c>
      <c r="AP28" s="117">
        <f t="shared" si="76"/>
        <v>5291</v>
      </c>
      <c r="AQ28" s="117">
        <f t="shared" si="76"/>
        <v>5530</v>
      </c>
      <c r="AR28" s="117">
        <f t="shared" si="76"/>
        <v>4604</v>
      </c>
      <c r="AS28" s="117">
        <f t="shared" si="76"/>
        <v>4898</v>
      </c>
      <c r="AT28" s="150">
        <f t="shared" si="76"/>
        <v>20323</v>
      </c>
      <c r="AU28" s="117">
        <f t="shared" si="76"/>
        <v>4967</v>
      </c>
      <c r="AV28" s="117">
        <f t="shared" si="76"/>
        <v>4899</v>
      </c>
      <c r="AW28" s="117">
        <f t="shared" si="76"/>
        <v>5353</v>
      </c>
      <c r="AX28" s="117">
        <f t="shared" si="76"/>
        <v>5507</v>
      </c>
      <c r="AY28" s="150">
        <f t="shared" si="76"/>
        <v>20726</v>
      </c>
      <c r="AZ28" s="117">
        <f t="shared" si="76"/>
        <v>5638</v>
      </c>
      <c r="BA28" s="117">
        <f t="shared" si="76"/>
        <v>6318</v>
      </c>
      <c r="BB28" s="117">
        <f t="shared" si="76"/>
        <v>6357</v>
      </c>
      <c r="BC28" s="117">
        <f t="shared" si="76"/>
        <v>6401</v>
      </c>
      <c r="BD28" s="150">
        <f t="shared" si="76"/>
        <v>24714</v>
      </c>
      <c r="BE28" s="117">
        <f t="shared" si="76"/>
        <v>6021</v>
      </c>
      <c r="BF28" s="117">
        <f t="shared" si="76"/>
        <v>6057</v>
      </c>
      <c r="BG28" s="117">
        <f t="shared" si="76"/>
        <v>6299</v>
      </c>
      <c r="BH28" s="117">
        <f t="shared" si="76"/>
        <v>6510</v>
      </c>
      <c r="BI28" s="150">
        <f t="shared" si="76"/>
        <v>24887</v>
      </c>
      <c r="BJ28" s="117">
        <f t="shared" ref="BJ28:BN28" si="77">INDEX(MO_RIS_OPEX,0,COLUMN())</f>
        <v>6533</v>
      </c>
      <c r="BK28" s="117">
        <f t="shared" si="77"/>
        <v>6614</v>
      </c>
      <c r="BL28" s="117">
        <f t="shared" si="77"/>
        <v>6695</v>
      </c>
      <c r="BM28" s="117">
        <f t="shared" si="77"/>
        <v>7622</v>
      </c>
      <c r="BN28" s="150">
        <f t="shared" si="77"/>
        <v>27464</v>
      </c>
      <c r="BO28" s="117">
        <f t="shared" ref="BO28:BS28" si="78">INDEX(MO_RIS_OPEX,0,COLUMN())</f>
        <v>6408</v>
      </c>
      <c r="BP28" s="117">
        <f t="shared" si="78"/>
        <v>6674</v>
      </c>
      <c r="BQ28" s="117">
        <f t="shared" si="78"/>
        <v>7534</v>
      </c>
      <c r="BR28" s="117">
        <f t="shared" si="78"/>
        <v>7389</v>
      </c>
      <c r="BS28" s="150">
        <f t="shared" si="78"/>
        <v>28005</v>
      </c>
      <c r="BT28" s="691">
        <f t="shared" ref="BT28:BX28" si="79">INDEX(MO_RIS_OPEX,0,COLUMN())</f>
        <v>7676</v>
      </c>
      <c r="BU28" s="117">
        <f t="shared" si="79"/>
        <v>4759.1553999999996</v>
      </c>
      <c r="BV28" s="117">
        <f t="shared" si="79"/>
        <v>8594.1134999999995</v>
      </c>
      <c r="BW28" s="117">
        <f t="shared" si="79"/>
        <v>8190.366</v>
      </c>
      <c r="BX28" s="150">
        <f t="shared" si="79"/>
        <v>29219.634899999997</v>
      </c>
      <c r="BY28" s="117">
        <f t="shared" ref="BY28:CF28" si="80">INDEX(MO_RIS_OPEX,0,COLUMN())</f>
        <v>6479.0789999999997</v>
      </c>
      <c r="BZ28" s="117">
        <f t="shared" si="80"/>
        <v>5935.556055</v>
      </c>
      <c r="CA28" s="117">
        <f t="shared" si="80"/>
        <v>6028.1762199999994</v>
      </c>
      <c r="CB28" s="117">
        <f t="shared" si="80"/>
        <v>5978.0241399999995</v>
      </c>
      <c r="CC28" s="150">
        <f t="shared" si="80"/>
        <v>24420.835415000001</v>
      </c>
      <c r="CD28" s="150">
        <f t="shared" si="80"/>
        <v>22115.91085</v>
      </c>
      <c r="CE28" s="150">
        <f t="shared" si="80"/>
        <v>21941.675524999999</v>
      </c>
      <c r="CF28" s="150">
        <f t="shared" si="80"/>
        <v>25695.862724999999</v>
      </c>
      <c r="CG28" s="117"/>
    </row>
    <row r="29" spans="1:85" s="460" customFormat="1" x14ac:dyDescent="0.3">
      <c r="A29" s="262" t="str">
        <f>INDEX(MO_RIS_COGS,0,COLUMN())</f>
        <v>COGS</v>
      </c>
      <c r="B29" s="263"/>
      <c r="C29" s="954">
        <f t="shared" ref="C29:AH29" si="81">INDEX(MO_RIS_COGS,0,COLUMN())</f>
        <v>99653</v>
      </c>
      <c r="D29" s="954">
        <f t="shared" si="81"/>
        <v>116467</v>
      </c>
      <c r="E29" s="954">
        <f t="shared" si="81"/>
        <v>149923</v>
      </c>
      <c r="F29" s="954">
        <f t="shared" si="81"/>
        <v>140766</v>
      </c>
      <c r="G29" s="133">
        <f t="shared" si="81"/>
        <v>32910</v>
      </c>
      <c r="H29" s="133">
        <f t="shared" si="81"/>
        <v>34273</v>
      </c>
      <c r="I29" s="133">
        <f t="shared" si="81"/>
        <v>34822</v>
      </c>
      <c r="J29" s="133">
        <f t="shared" si="81"/>
        <v>32691</v>
      </c>
      <c r="K29" s="954">
        <f t="shared" si="81"/>
        <v>134696</v>
      </c>
      <c r="L29" s="133">
        <f t="shared" si="81"/>
        <v>30823</v>
      </c>
      <c r="M29" s="133">
        <f t="shared" si="81"/>
        <v>33844</v>
      </c>
      <c r="N29" s="133">
        <f t="shared" si="81"/>
        <v>30741</v>
      </c>
      <c r="O29" s="133">
        <f t="shared" si="81"/>
        <v>24263</v>
      </c>
      <c r="P29" s="954">
        <f t="shared" si="81"/>
        <v>119671</v>
      </c>
      <c r="Q29" s="133">
        <f t="shared" si="81"/>
        <v>17193</v>
      </c>
      <c r="R29" s="133">
        <f t="shared" si="81"/>
        <v>20541</v>
      </c>
      <c r="S29" s="133">
        <f t="shared" si="81"/>
        <v>17447</v>
      </c>
      <c r="T29" s="133">
        <f t="shared" si="81"/>
        <v>14570</v>
      </c>
      <c r="U29" s="954">
        <f t="shared" si="81"/>
        <v>69751</v>
      </c>
      <c r="V29" s="133">
        <f t="shared" si="81"/>
        <v>11225</v>
      </c>
      <c r="W29" s="133">
        <f t="shared" si="81"/>
        <v>15278</v>
      </c>
      <c r="X29" s="133">
        <f t="shared" si="81"/>
        <v>15842</v>
      </c>
      <c r="Y29" s="133">
        <f t="shared" si="81"/>
        <v>16976</v>
      </c>
      <c r="Z29" s="954">
        <f t="shared" si="81"/>
        <v>59321</v>
      </c>
      <c r="AA29" s="133">
        <f t="shared" si="81"/>
        <v>17506</v>
      </c>
      <c r="AB29" s="133">
        <f t="shared" si="81"/>
        <v>18325</v>
      </c>
      <c r="AC29" s="133">
        <f t="shared" si="81"/>
        <v>18776</v>
      </c>
      <c r="AD29" s="133">
        <f t="shared" si="81"/>
        <v>21158</v>
      </c>
      <c r="AE29" s="954">
        <f t="shared" si="81"/>
        <v>75765</v>
      </c>
      <c r="AF29" s="133">
        <f t="shared" si="81"/>
        <v>21233</v>
      </c>
      <c r="AG29" s="133">
        <f t="shared" si="81"/>
        <v>24744</v>
      </c>
      <c r="AH29" s="133">
        <f t="shared" si="81"/>
        <v>24681</v>
      </c>
      <c r="AI29" s="133">
        <f t="shared" ref="AI29:BI29" si="82">INDEX(MO_RIS_COGS,0,COLUMN())</f>
        <v>23920</v>
      </c>
      <c r="AJ29" s="954">
        <f t="shared" si="82"/>
        <v>94578</v>
      </c>
      <c r="AK29" s="133">
        <f t="shared" si="82"/>
        <v>19703</v>
      </c>
      <c r="AL29" s="133">
        <f t="shared" si="82"/>
        <v>20835</v>
      </c>
      <c r="AM29" s="133">
        <f t="shared" si="82"/>
        <v>19882</v>
      </c>
      <c r="AN29" s="133">
        <f t="shared" si="82"/>
        <v>19693</v>
      </c>
      <c r="AO29" s="954">
        <f t="shared" si="82"/>
        <v>80113</v>
      </c>
      <c r="AP29" s="133">
        <f t="shared" si="82"/>
        <v>15509</v>
      </c>
      <c r="AQ29" s="133">
        <f t="shared" si="82"/>
        <v>8144</v>
      </c>
      <c r="AR29" s="133">
        <f t="shared" si="82"/>
        <v>13448</v>
      </c>
      <c r="AS29" s="133">
        <f t="shared" si="82"/>
        <v>13387</v>
      </c>
      <c r="AT29" s="954">
        <f t="shared" si="82"/>
        <v>50488</v>
      </c>
      <c r="AU29" s="133">
        <f t="shared" si="82"/>
        <v>17568</v>
      </c>
      <c r="AV29" s="133">
        <f t="shared" si="82"/>
        <v>20629</v>
      </c>
      <c r="AW29" s="133">
        <f t="shared" si="82"/>
        <v>23834</v>
      </c>
      <c r="AX29" s="133">
        <f t="shared" si="82"/>
        <v>27341</v>
      </c>
      <c r="AY29" s="954">
        <f t="shared" si="82"/>
        <v>89372</v>
      </c>
      <c r="AZ29" s="133">
        <f t="shared" si="82"/>
        <v>32649</v>
      </c>
      <c r="BA29" s="133">
        <f t="shared" si="82"/>
        <v>40003</v>
      </c>
      <c r="BB29" s="133">
        <f t="shared" si="82"/>
        <v>38090</v>
      </c>
      <c r="BC29" s="133">
        <f t="shared" si="82"/>
        <v>34674</v>
      </c>
      <c r="BD29" s="954">
        <f t="shared" si="82"/>
        <v>145416</v>
      </c>
      <c r="BE29" s="133">
        <f t="shared" si="82"/>
        <v>29407</v>
      </c>
      <c r="BF29" s="133">
        <f t="shared" si="82"/>
        <v>28984</v>
      </c>
      <c r="BG29" s="133">
        <f t="shared" si="82"/>
        <v>32328</v>
      </c>
      <c r="BH29" s="133">
        <f t="shared" si="82"/>
        <v>28477</v>
      </c>
      <c r="BI29" s="954">
        <f t="shared" si="82"/>
        <v>119196</v>
      </c>
      <c r="BJ29" s="133">
        <f t="shared" ref="BJ29:BN29" si="83">INDEX(MO_RIS_COGS,0,COLUMN())</f>
        <v>27741</v>
      </c>
      <c r="BK29" s="133">
        <f t="shared" si="83"/>
        <v>30867</v>
      </c>
      <c r="BL29" s="133">
        <f t="shared" si="83"/>
        <v>30450</v>
      </c>
      <c r="BM29" s="133">
        <f t="shared" si="83"/>
        <v>30148</v>
      </c>
      <c r="BN29" s="954">
        <f t="shared" si="83"/>
        <v>119206</v>
      </c>
      <c r="BO29" s="133">
        <f t="shared" ref="BO29:BS29" si="84">INDEX(MO_RIS_COGS,0,COLUMN())</f>
        <v>28610</v>
      </c>
      <c r="BP29" s="133">
        <f t="shared" si="84"/>
        <v>26858</v>
      </c>
      <c r="BQ29" s="133">
        <f t="shared" si="84"/>
        <v>27398</v>
      </c>
      <c r="BR29" s="133">
        <f t="shared" si="84"/>
        <v>25348</v>
      </c>
      <c r="BS29" s="954">
        <f t="shared" si="84"/>
        <v>108214</v>
      </c>
      <c r="BT29" s="692">
        <f t="shared" ref="BT29:BX29" si="85">INDEX(MO_RIS_COGS,0,COLUMN())</f>
        <v>28265</v>
      </c>
      <c r="BU29" s="133">
        <f t="shared" si="85"/>
        <v>32124.29895</v>
      </c>
      <c r="BV29" s="133">
        <f t="shared" si="85"/>
        <v>30938.8086</v>
      </c>
      <c r="BW29" s="133">
        <f t="shared" si="85"/>
        <v>29485.317600000002</v>
      </c>
      <c r="BX29" s="954">
        <f t="shared" si="85"/>
        <v>120813.42515</v>
      </c>
      <c r="BY29" s="133">
        <f t="shared" ref="BY29:CF29" si="86">INDEX(MO_RIS_COGS,0,COLUMN())</f>
        <v>29155.855500000001</v>
      </c>
      <c r="BZ29" s="133">
        <f t="shared" si="86"/>
        <v>29138.184270000002</v>
      </c>
      <c r="CA29" s="133">
        <f t="shared" si="86"/>
        <v>29592.865079999996</v>
      </c>
      <c r="CB29" s="133">
        <f t="shared" si="86"/>
        <v>29346.663960000002</v>
      </c>
      <c r="CC29" s="954">
        <f t="shared" si="86"/>
        <v>117233.56881</v>
      </c>
      <c r="CD29" s="954">
        <f t="shared" si="86"/>
        <v>106558.47955</v>
      </c>
      <c r="CE29" s="954">
        <f t="shared" si="86"/>
        <v>109708.37762500001</v>
      </c>
      <c r="CF29" s="954">
        <f t="shared" si="86"/>
        <v>108713.265375</v>
      </c>
      <c r="CG29" s="117"/>
    </row>
    <row r="30" spans="1:85" s="461" customFormat="1" x14ac:dyDescent="0.3">
      <c r="A30" s="161" t="str">
        <f>INDEX(MO_RIS_EBITDAX,0,COLUMN())</f>
        <v>EBITDAX</v>
      </c>
      <c r="B30" s="162"/>
      <c r="C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32008</v>
      </c>
      <c r="D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46315</v>
      </c>
      <c r="E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61761</v>
      </c>
      <c r="F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61473</v>
      </c>
      <c r="G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14011</v>
      </c>
      <c r="H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12330</v>
      </c>
      <c r="I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13052</v>
      </c>
      <c r="J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12559</v>
      </c>
      <c r="K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51952</v>
      </c>
      <c r="L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12473</v>
      </c>
      <c r="M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13563</v>
      </c>
      <c r="N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13177</v>
      </c>
      <c r="O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10767</v>
      </c>
      <c r="P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49980</v>
      </c>
      <c r="Q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7908</v>
      </c>
      <c r="R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9396</v>
      </c>
      <c r="S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7367</v>
      </c>
      <c r="T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4548</v>
      </c>
      <c r="U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29219</v>
      </c>
      <c r="V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3062</v>
      </c>
      <c r="W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4944</v>
      </c>
      <c r="X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5561</v>
      </c>
      <c r="Y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4964</v>
      </c>
      <c r="Z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18531</v>
      </c>
      <c r="AA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7518</v>
      </c>
      <c r="AB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7437</v>
      </c>
      <c r="AC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8041</v>
      </c>
      <c r="AD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6745</v>
      </c>
      <c r="AE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29741</v>
      </c>
      <c r="AF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9679</v>
      </c>
      <c r="AG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9797</v>
      </c>
      <c r="AH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11886</v>
      </c>
      <c r="AI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10590</v>
      </c>
      <c r="AJ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41952</v>
      </c>
      <c r="AK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8465</v>
      </c>
      <c r="AL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10608</v>
      </c>
      <c r="AM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8775</v>
      </c>
      <c r="AN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8474</v>
      </c>
      <c r="AO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36322</v>
      </c>
      <c r="AP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8753</v>
      </c>
      <c r="AQ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-2813</v>
      </c>
      <c r="AR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4254</v>
      </c>
      <c r="AS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4095</v>
      </c>
      <c r="AT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14289</v>
      </c>
      <c r="AU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6747</v>
      </c>
      <c r="AV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9242</v>
      </c>
      <c r="AW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12691</v>
      </c>
      <c r="AX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12145</v>
      </c>
      <c r="AY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40825</v>
      </c>
      <c r="AZ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13053</v>
      </c>
      <c r="BA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20028</v>
      </c>
      <c r="BB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19254</v>
      </c>
      <c r="BC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15148</v>
      </c>
      <c r="BD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67483</v>
      </c>
      <c r="BE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13350</v>
      </c>
      <c r="BF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11647</v>
      </c>
      <c r="BG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13178</v>
      </c>
      <c r="BH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10118</v>
      </c>
      <c r="BI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48293</v>
      </c>
      <c r="BJ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12260</v>
      </c>
      <c r="BK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11416</v>
      </c>
      <c r="BL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11021</v>
      </c>
      <c r="BM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11680</v>
      </c>
      <c r="BN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46377</v>
      </c>
      <c r="BO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10105</v>
      </c>
      <c r="BP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9017</v>
      </c>
      <c r="BQ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11853</v>
      </c>
      <c r="BR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11168</v>
      </c>
      <c r="BS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42143</v>
      </c>
      <c r="BT30" s="690">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10304</v>
      </c>
      <c r="BU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20464.36822</v>
      </c>
      <c r="BV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15698.580659999996</v>
      </c>
      <c r="BW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14961.068560000002</v>
      </c>
      <c r="BX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61428.017440000018</v>
      </c>
      <c r="BY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16413.666799999995</v>
      </c>
      <c r="BZ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16943.314556999998</v>
      </c>
      <c r="CA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17207.703028</v>
      </c>
      <c r="CB30" s="118">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17064.541635999998</v>
      </c>
      <c r="CC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67629.226020999995</v>
      </c>
      <c r="CD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66347.732549999986</v>
      </c>
      <c r="CE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61835.631024999995</v>
      </c>
      <c r="CF30" s="953">
        <f>IFERROR(INDEX(SP_GF_Rev,0,COLUMN()),0)-IFERROR(INDEX(SP_GF_COGS,0,COLUMN()),0)-IFERROR(INDEX(SP_GF_SGA,0,COLUMN()),0)-IFERROR(INDEX(SP_GF_SM,0,COLUMN()),0)-IFERROR(INDEX(SP_GF_GA,0,COLUMN()),0)-IFERROR(INDEX(SP_GF_OPEX,0,COLUMN()),0)-IFERROR(INDEX(SP_GF_RD,0,COLUMN()),0)-IFERROR(INDEX(SP_GF_ExciseTax,0,COLUMN()),0)-IFERROR(INDEX(SP_GF_ProductionCost,0,COLUMN()),0)</f>
        <v>55344.935099999981</v>
      </c>
      <c r="CG30" s="120"/>
    </row>
    <row r="31" spans="1:85" s="460" customFormat="1" x14ac:dyDescent="0.3">
      <c r="A31" s="159" t="str">
        <f>INDEX(MO_RIS_EE,0,COLUMN())</f>
        <v>Exploration Expense</v>
      </c>
      <c r="B31" s="160"/>
      <c r="C31" s="150">
        <f t="shared" ref="C31:AH31" si="87">INDEX(MO_RIS_EE,0,COLUMN())</f>
        <v>1342</v>
      </c>
      <c r="D31" s="150">
        <f t="shared" si="87"/>
        <v>1147</v>
      </c>
      <c r="E31" s="150">
        <f t="shared" si="87"/>
        <v>1216</v>
      </c>
      <c r="F31" s="150">
        <f t="shared" si="87"/>
        <v>1728</v>
      </c>
      <c r="G31" s="117">
        <f t="shared" si="87"/>
        <v>247</v>
      </c>
      <c r="H31" s="117">
        <f t="shared" si="87"/>
        <v>329</v>
      </c>
      <c r="I31" s="117">
        <f t="shared" si="87"/>
        <v>559</v>
      </c>
      <c r="J31" s="117">
        <f t="shared" si="87"/>
        <v>726</v>
      </c>
      <c r="K31" s="150">
        <f t="shared" si="87"/>
        <v>1861</v>
      </c>
      <c r="L31" s="117">
        <f t="shared" si="87"/>
        <v>415</v>
      </c>
      <c r="M31" s="117">
        <f t="shared" si="87"/>
        <v>694</v>
      </c>
      <c r="N31" s="117">
        <f t="shared" si="87"/>
        <v>366</v>
      </c>
      <c r="O31" s="117">
        <f t="shared" si="87"/>
        <v>510</v>
      </c>
      <c r="P31" s="150">
        <f t="shared" si="87"/>
        <v>1985</v>
      </c>
      <c r="Q31" s="117">
        <f t="shared" si="87"/>
        <v>592</v>
      </c>
      <c r="R31" s="117">
        <f t="shared" si="87"/>
        <v>1075</v>
      </c>
      <c r="S31" s="117">
        <f t="shared" si="87"/>
        <v>315</v>
      </c>
      <c r="T31" s="117">
        <f t="shared" si="87"/>
        <v>1358</v>
      </c>
      <c r="U31" s="150">
        <f t="shared" si="87"/>
        <v>3340</v>
      </c>
      <c r="V31" s="117">
        <f t="shared" si="87"/>
        <v>370</v>
      </c>
      <c r="W31" s="117">
        <f t="shared" si="87"/>
        <v>214</v>
      </c>
      <c r="X31" s="117">
        <f t="shared" si="87"/>
        <v>258</v>
      </c>
      <c r="Y31" s="117">
        <f t="shared" si="87"/>
        <v>191</v>
      </c>
      <c r="Z31" s="150">
        <f t="shared" si="87"/>
        <v>1033</v>
      </c>
      <c r="AA31" s="117">
        <f t="shared" si="87"/>
        <v>144</v>
      </c>
      <c r="AB31" s="117">
        <f t="shared" si="87"/>
        <v>125</v>
      </c>
      <c r="AC31" s="117">
        <f t="shared" si="87"/>
        <v>239</v>
      </c>
      <c r="AD31" s="117">
        <f t="shared" si="87"/>
        <v>356</v>
      </c>
      <c r="AE31" s="150">
        <f t="shared" si="87"/>
        <v>864</v>
      </c>
      <c r="AF31" s="117">
        <f t="shared" si="87"/>
        <v>158</v>
      </c>
      <c r="AG31" s="117">
        <f t="shared" si="87"/>
        <v>177</v>
      </c>
      <c r="AH31" s="117">
        <f t="shared" si="87"/>
        <v>625</v>
      </c>
      <c r="AI31" s="117">
        <f t="shared" ref="AI31:BI31" si="88">INDEX(MO_RIS_EE,0,COLUMN())</f>
        <v>250</v>
      </c>
      <c r="AJ31" s="150">
        <f t="shared" si="88"/>
        <v>1210</v>
      </c>
      <c r="AK31" s="117">
        <f t="shared" si="88"/>
        <v>189</v>
      </c>
      <c r="AL31" s="117">
        <f t="shared" si="88"/>
        <v>141</v>
      </c>
      <c r="AM31" s="117">
        <f t="shared" si="88"/>
        <v>168</v>
      </c>
      <c r="AN31" s="117">
        <f t="shared" si="88"/>
        <v>272</v>
      </c>
      <c r="AO31" s="150">
        <f t="shared" si="88"/>
        <v>770</v>
      </c>
      <c r="AP31" s="117">
        <f t="shared" si="88"/>
        <v>158</v>
      </c>
      <c r="AQ31" s="117">
        <f t="shared" si="88"/>
        <v>895</v>
      </c>
      <c r="AR31" s="117">
        <f t="shared" si="88"/>
        <v>117</v>
      </c>
      <c r="AS31" s="117">
        <f t="shared" si="88"/>
        <v>367</v>
      </c>
      <c r="AT31" s="150">
        <f t="shared" si="88"/>
        <v>1537</v>
      </c>
      <c r="AU31" s="117">
        <f t="shared" si="88"/>
        <v>86</v>
      </c>
      <c r="AV31" s="117">
        <f t="shared" si="88"/>
        <v>113</v>
      </c>
      <c r="AW31" s="117">
        <f t="shared" si="88"/>
        <v>158</v>
      </c>
      <c r="AX31" s="117">
        <f t="shared" si="88"/>
        <v>192</v>
      </c>
      <c r="AY31" s="150">
        <f t="shared" si="88"/>
        <v>549</v>
      </c>
      <c r="AZ31" s="117">
        <f t="shared" si="88"/>
        <v>209</v>
      </c>
      <c r="BA31" s="117">
        <f t="shared" si="88"/>
        <v>196</v>
      </c>
      <c r="BB31" s="117">
        <f t="shared" si="88"/>
        <v>116</v>
      </c>
      <c r="BC31" s="117">
        <f t="shared" si="88"/>
        <v>453</v>
      </c>
      <c r="BD31" s="150">
        <f t="shared" si="88"/>
        <v>974</v>
      </c>
      <c r="BE31" s="117">
        <f t="shared" si="88"/>
        <v>190</v>
      </c>
      <c r="BF31" s="117">
        <f t="shared" si="88"/>
        <v>169</v>
      </c>
      <c r="BG31" s="117">
        <f t="shared" si="88"/>
        <v>301</v>
      </c>
      <c r="BH31" s="117">
        <f t="shared" si="88"/>
        <v>254</v>
      </c>
      <c r="BI31" s="150">
        <f t="shared" si="88"/>
        <v>914</v>
      </c>
      <c r="BJ31" s="117">
        <f t="shared" ref="BJ31:BN31" si="89">INDEX(MO_RIS_EE,0,COLUMN())</f>
        <v>129</v>
      </c>
      <c r="BK31" s="117">
        <f t="shared" si="89"/>
        <v>263</v>
      </c>
      <c r="BL31" s="117">
        <f t="shared" si="89"/>
        <v>154</v>
      </c>
      <c r="BM31" s="117">
        <f t="shared" si="89"/>
        <v>449</v>
      </c>
      <c r="BN31" s="150">
        <f t="shared" si="89"/>
        <v>995</v>
      </c>
      <c r="BO31" s="117">
        <f t="shared" ref="BO31:BS31" si="90">INDEX(MO_RIS_EE,0,COLUMN())</f>
        <v>187</v>
      </c>
      <c r="BP31" s="117">
        <f t="shared" si="90"/>
        <v>252</v>
      </c>
      <c r="BQ31" s="117">
        <f t="shared" si="90"/>
        <v>288</v>
      </c>
      <c r="BR31" s="117">
        <f t="shared" si="90"/>
        <v>324</v>
      </c>
      <c r="BS31" s="150">
        <f t="shared" si="90"/>
        <v>1051</v>
      </c>
      <c r="BT31" s="691">
        <f t="shared" ref="BT31:BX31" si="91">INDEX(MO_RIS_EE,0,COLUMN())</f>
        <v>205</v>
      </c>
      <c r="BU31" s="117">
        <f t="shared" si="91"/>
        <v>200</v>
      </c>
      <c r="BV31" s="117">
        <f t="shared" si="91"/>
        <v>200</v>
      </c>
      <c r="BW31" s="117">
        <f t="shared" si="91"/>
        <v>200</v>
      </c>
      <c r="BX31" s="150">
        <f t="shared" si="91"/>
        <v>805</v>
      </c>
      <c r="BY31" s="117">
        <f t="shared" ref="BY31:CF31" si="92">INDEX(MO_RIS_EE,0,COLUMN())</f>
        <v>600</v>
      </c>
      <c r="BZ31" s="117">
        <f t="shared" si="92"/>
        <v>600</v>
      </c>
      <c r="CA31" s="117">
        <f t="shared" si="92"/>
        <v>600</v>
      </c>
      <c r="CB31" s="117">
        <f t="shared" si="92"/>
        <v>600</v>
      </c>
      <c r="CC31" s="150">
        <f t="shared" si="92"/>
        <v>2400</v>
      </c>
      <c r="CD31" s="150">
        <f t="shared" si="92"/>
        <v>2400</v>
      </c>
      <c r="CE31" s="150">
        <f t="shared" si="92"/>
        <v>2400</v>
      </c>
      <c r="CF31" s="150">
        <f t="shared" si="92"/>
        <v>2400</v>
      </c>
      <c r="CG31" s="117"/>
    </row>
    <row r="32" spans="1:85" s="460" customFormat="1" x14ac:dyDescent="0.3">
      <c r="A32" s="159" t="str">
        <f>INDEX(MO_RIS_DA,0,COLUMN())</f>
        <v>DD&amp;A</v>
      </c>
      <c r="B32" s="160"/>
      <c r="C32" s="150">
        <f>IFERROR(INDEX(MO_RIS_DA,0,COLUMN()),0)+IFERROR(INDEX(MO_RIS_DAintangible,0,COLUMN()),0)+IFERROR(INDEX(MO_RIS_DAintangibles,0,COLUMN()),0)</f>
        <v>12110</v>
      </c>
      <c r="D32" s="150">
        <f>IFERROR(INDEX(MO_RIS_DA,0,COLUMN()),0)+IFERROR(INDEX(MO_RIS_DAintangible,0,COLUMN()),0)+IFERROR(INDEX(MO_RIS_DAintangibles,0,COLUMN()),0)</f>
        <v>13063</v>
      </c>
      <c r="E32" s="150">
        <f>IFERROR(INDEX(MO_RIS_DA,0,COLUMN()),0)+IFERROR(INDEX(MO_RIS_DAintangible,0,COLUMN()),0)+IFERROR(INDEX(MO_RIS_DAintangibles,0,COLUMN()),0)</f>
        <v>12911</v>
      </c>
      <c r="F32" s="150">
        <f>IFERROR(INDEX(MO_RIS_DA,0,COLUMN()),0)+IFERROR(INDEX(MO_RIS_DAintangible,0,COLUMN()),0)+IFERROR(INDEX(MO_RIS_DAintangibles,0,COLUMN()),0)</f>
        <v>13413</v>
      </c>
      <c r="G32" s="117">
        <f>IFERROR(INDEX(MO_RIS_DA,0,COLUMN()),0)+IFERROR(INDEX(MO_RIS_DAintangible,0,COLUMN()),0)+IFERROR(INDEX(MO_RIS_DAintangibles,0,COLUMN()),0)</f>
        <v>3481</v>
      </c>
      <c r="H32" s="117">
        <f>IFERROR(INDEX(MO_RIS_DA,0,COLUMN()),0)+IFERROR(INDEX(MO_RIS_DAintangible,0,COLUMN()),0)+IFERROR(INDEX(MO_RIS_DAintangibles,0,COLUMN()),0)</f>
        <v>3412</v>
      </c>
      <c r="I32" s="117">
        <f>IFERROR(INDEX(MO_RIS_DA,0,COLUMN()),0)+IFERROR(INDEX(MO_RIS_DAintangible,0,COLUMN()),0)+IFERROR(INDEX(MO_RIS_DAintangibles,0,COLUMN()),0)</f>
        <v>3658</v>
      </c>
      <c r="J32" s="117">
        <f>IFERROR(INDEX(MO_RIS_DA,0,COLUMN()),0)+IFERROR(INDEX(MO_RIS_DAintangible,0,COLUMN()),0)+IFERROR(INDEX(MO_RIS_DAintangibles,0,COLUMN()),0)</f>
        <v>3635</v>
      </c>
      <c r="K32" s="150">
        <f>IFERROR(INDEX(MO_RIS_DA,0,COLUMN()),0)+IFERROR(INDEX(MO_RIS_DAintangible,0,COLUMN()),0)+IFERROR(INDEX(MO_RIS_DAintangibles,0,COLUMN()),0)</f>
        <v>14186</v>
      </c>
      <c r="L32" s="117">
        <f>IFERROR(INDEX(MO_RIS_DA,0,COLUMN()),0)+IFERROR(INDEX(MO_RIS_DAintangible,0,COLUMN()),0)+IFERROR(INDEX(MO_RIS_DAintangibles,0,COLUMN()),0)</f>
        <v>4130</v>
      </c>
      <c r="M32" s="117">
        <f>IFERROR(INDEX(MO_RIS_DA,0,COLUMN()),0)+IFERROR(INDEX(MO_RIS_DAintangible,0,COLUMN()),0)+IFERROR(INDEX(MO_RIS_DAintangibles,0,COLUMN()),0)</f>
        <v>3842</v>
      </c>
      <c r="N32" s="117">
        <f>IFERROR(INDEX(MO_RIS_DA,0,COLUMN()),0)+IFERROR(INDEX(MO_RIS_DAintangible,0,COLUMN()),0)+IFERROR(INDEX(MO_RIS_DAintangibles,0,COLUMN()),0)</f>
        <v>3948</v>
      </c>
      <c r="O32" s="117">
        <f>IFERROR(INDEX(MO_RIS_DA,0,COLUMN()),0)+IFERROR(INDEX(MO_RIS_DAintangible,0,COLUMN()),0)+IFERROR(INDEX(MO_RIS_DAintangibles,0,COLUMN()),0)</f>
        <v>4873</v>
      </c>
      <c r="P32" s="150">
        <f>IFERROR(INDEX(MO_RIS_DA,0,COLUMN()),0)+IFERROR(INDEX(MO_RIS_DAintangible,0,COLUMN()),0)+IFERROR(INDEX(MO_RIS_DAintangibles,0,COLUMN()),0)</f>
        <v>16793</v>
      </c>
      <c r="Q32" s="117">
        <f>IFERROR(INDEX(MO_RIS_DA,0,COLUMN()),0)+IFERROR(INDEX(MO_RIS_DAintangible,0,COLUMN()),0)+IFERROR(INDEX(MO_RIS_DAintangibles,0,COLUMN()),0)</f>
        <v>4411</v>
      </c>
      <c r="R32" s="117">
        <f>IFERROR(INDEX(MO_RIS_DA,0,COLUMN()),0)+IFERROR(INDEX(MO_RIS_DAintangible,0,COLUMN()),0)+IFERROR(INDEX(MO_RIS_DAintangibles,0,COLUMN()),0)</f>
        <v>6958</v>
      </c>
      <c r="S32" s="117">
        <f>IFERROR(INDEX(MO_RIS_DA,0,COLUMN()),0)+IFERROR(INDEX(MO_RIS_DAintangible,0,COLUMN()),0)+IFERROR(INDEX(MO_RIS_DAintangibles,0,COLUMN()),0)</f>
        <v>4268</v>
      </c>
      <c r="T32" s="117">
        <f>IFERROR(INDEX(MO_RIS_DA,0,COLUMN()),0)+IFERROR(INDEX(MO_RIS_DAintangible,0,COLUMN()),0)+IFERROR(INDEX(MO_RIS_DAintangibles,0,COLUMN()),0)</f>
        <v>5400</v>
      </c>
      <c r="U32" s="150">
        <f>IFERROR(INDEX(MO_RIS_DA,0,COLUMN()),0)+IFERROR(INDEX(MO_RIS_DAintangible,0,COLUMN()),0)+IFERROR(INDEX(MO_RIS_DAintangibles,0,COLUMN()),0)</f>
        <v>21037</v>
      </c>
      <c r="V32" s="117">
        <f>IFERROR(INDEX(MO_RIS_DA,0,COLUMN()),0)+IFERROR(INDEX(MO_RIS_DAintangible,0,COLUMN()),0)+IFERROR(INDEX(MO_RIS_DAintangibles,0,COLUMN()),0)</f>
        <v>4403</v>
      </c>
      <c r="W32" s="117">
        <f>IFERROR(INDEX(MO_RIS_DA,0,COLUMN()),0)+IFERROR(INDEX(MO_RIS_DAintangible,0,COLUMN()),0)+IFERROR(INDEX(MO_RIS_DAintangibles,0,COLUMN()),0)</f>
        <v>6721</v>
      </c>
      <c r="X32" s="117">
        <f>IFERROR(INDEX(MO_RIS_DA,0,COLUMN()),0)+IFERROR(INDEX(MO_RIS_DAintangible,0,COLUMN()),0)+IFERROR(INDEX(MO_RIS_DAintangibles,0,COLUMN()),0)</f>
        <v>4130</v>
      </c>
      <c r="Y32" s="117">
        <f>IFERROR(INDEX(MO_RIS_DA,0,COLUMN()),0)+IFERROR(INDEX(MO_RIS_DAintangible,0,COLUMN()),0)+IFERROR(INDEX(MO_RIS_DAintangibles,0,COLUMN()),0)</f>
        <v>4203</v>
      </c>
      <c r="Z32" s="150">
        <f>IFERROR(INDEX(MO_RIS_DA,0,COLUMN()),0)+IFERROR(INDEX(MO_RIS_DAintangible,0,COLUMN()),0)+IFERROR(INDEX(MO_RIS_DAintangibles,0,COLUMN()),0)</f>
        <v>19457</v>
      </c>
      <c r="AA32" s="117">
        <f>IFERROR(INDEX(MO_RIS_DA,0,COLUMN()),0)+IFERROR(INDEX(MO_RIS_DAintangible,0,COLUMN()),0)+IFERROR(INDEX(MO_RIS_DAintangibles,0,COLUMN()),0)</f>
        <v>4194</v>
      </c>
      <c r="AB32" s="117">
        <f>IFERROR(INDEX(MO_RIS_DA,0,COLUMN()),0)+IFERROR(INDEX(MO_RIS_DAintangible,0,COLUMN()),0)+IFERROR(INDEX(MO_RIS_DAintangibles,0,COLUMN()),0)</f>
        <v>5311</v>
      </c>
      <c r="AC32" s="117">
        <f>IFERROR(INDEX(MO_RIS_DA,0,COLUMN()),0)+IFERROR(INDEX(MO_RIS_DAintangible,0,COLUMN()),0)+IFERROR(INDEX(MO_RIS_DAintangibles,0,COLUMN()),0)</f>
        <v>5109</v>
      </c>
      <c r="AD32" s="117">
        <f>IFERROR(INDEX(MO_RIS_DA,0,COLUMN()),0)+IFERROR(INDEX(MO_RIS_DAintangible,0,COLUMN()),0)+IFERROR(INDEX(MO_RIS_DAintangibles,0,COLUMN()),0)</f>
        <v>4735</v>
      </c>
      <c r="AE32" s="150">
        <f>IFERROR(INDEX(MO_RIS_DA,0,COLUMN()),0)+IFERROR(INDEX(MO_RIS_DAintangible,0,COLUMN()),0)+IFERROR(INDEX(MO_RIS_DAintangibles,0,COLUMN()),0)</f>
        <v>19349</v>
      </c>
      <c r="AF32" s="117">
        <f>IFERROR(INDEX(MO_RIS_DA,0,COLUMN()),0)+IFERROR(INDEX(MO_RIS_DAintangible,0,COLUMN()),0)+IFERROR(INDEX(MO_RIS_DAintangibles,0,COLUMN()),0)</f>
        <v>4289</v>
      </c>
      <c r="AG32" s="117">
        <f>IFERROR(INDEX(MO_RIS_DA,0,COLUMN()),0)+IFERROR(INDEX(MO_RIS_DAintangible,0,COLUMN()),0)+IFERROR(INDEX(MO_RIS_DAintangibles,0,COLUMN()),0)</f>
        <v>4498</v>
      </c>
      <c r="AH32" s="117">
        <f>IFERROR(INDEX(MO_RIS_DA,0,COLUMN()),0)+IFERROR(INDEX(MO_RIS_DAintangible,0,COLUMN()),0)+IFERROR(INDEX(MO_RIS_DAintangibles,0,COLUMN()),0)</f>
        <v>5380</v>
      </c>
      <c r="AI32" s="117">
        <f>IFERROR(INDEX(MO_RIS_DA,0,COLUMN()),0)+IFERROR(INDEX(MO_RIS_DAintangible,0,COLUMN()),0)+IFERROR(INDEX(MO_RIS_DAintangibles,0,COLUMN()),0)</f>
        <v>5252</v>
      </c>
      <c r="AJ32" s="150">
        <f>IFERROR(INDEX(MO_RIS_DA,0,COLUMN()),0)+IFERROR(INDEX(MO_RIS_DAintangible,0,COLUMN()),0)+IFERROR(INDEX(MO_RIS_DAintangibles,0,COLUMN()),0)</f>
        <v>19419</v>
      </c>
      <c r="AK32" s="117">
        <f>IFERROR(INDEX(MO_RIS_DA,0,COLUMN()),0)+IFERROR(INDEX(MO_RIS_DAintangible,0,COLUMN()),0)+IFERROR(INDEX(MO_RIS_DAintangibles,0,COLUMN()),0)</f>
        <v>4094</v>
      </c>
      <c r="AL32" s="117">
        <f>IFERROR(INDEX(MO_RIS_DA,0,COLUMN()),0)+IFERROR(INDEX(MO_RIS_DAintangible,0,COLUMN()),0)+IFERROR(INDEX(MO_RIS_DAintangibles,0,COLUMN()),0)</f>
        <v>4334</v>
      </c>
      <c r="AM32" s="117">
        <f>IFERROR(INDEX(MO_RIS_DA,0,COLUMN()),0)+IFERROR(INDEX(MO_RIS_DAintangible,0,COLUMN()),0)+IFERROR(INDEX(MO_RIS_DAintangibles,0,COLUMN()),0)</f>
        <v>4361</v>
      </c>
      <c r="AN32" s="117">
        <f>IFERROR(INDEX(MO_RIS_DA,0,COLUMN()),0)+IFERROR(INDEX(MO_RIS_DAintangible,0,COLUMN()),0)+IFERROR(INDEX(MO_RIS_DAintangibles,0,COLUMN()),0)</f>
        <v>16429</v>
      </c>
      <c r="AO32" s="150">
        <f>IFERROR(INDEX(MO_RIS_DA,0,COLUMN()),0)+IFERROR(INDEX(MO_RIS_DAintangible,0,COLUMN()),0)+IFERROR(INDEX(MO_RIS_DAintangibles,0,COLUMN()),0)</f>
        <v>29218</v>
      </c>
      <c r="AP32" s="117">
        <f>IFERROR(INDEX(MO_RIS_DA,0,COLUMN()),0)+IFERROR(INDEX(MO_RIS_DAintangible,0,COLUMN()),0)+IFERROR(INDEX(MO_RIS_DAintangibles,0,COLUMN()),0)</f>
        <v>4288</v>
      </c>
      <c r="AQ32" s="117">
        <f>IFERROR(INDEX(MO_RIS_DA,0,COLUMN()),0)+IFERROR(INDEX(MO_RIS_DAintangible,0,COLUMN()),0)+IFERROR(INDEX(MO_RIS_DAintangibles,0,COLUMN()),0)</f>
        <v>6717</v>
      </c>
      <c r="AR32" s="117">
        <f>IFERROR(INDEX(MO_RIS_DA,0,COLUMN()),0)+IFERROR(INDEX(MO_RIS_DAintangible,0,COLUMN()),0)+IFERROR(INDEX(MO_RIS_DAintangibles,0,COLUMN()),0)</f>
        <v>4017</v>
      </c>
      <c r="AS32" s="117">
        <f>IFERROR(INDEX(MO_RIS_DA,0,COLUMN()),0)+IFERROR(INDEX(MO_RIS_DAintangible,0,COLUMN()),0)+IFERROR(INDEX(MO_RIS_DAintangibles,0,COLUMN()),0)</f>
        <v>4486</v>
      </c>
      <c r="AT32" s="150">
        <f>IFERROR(INDEX(MO_RIS_DA,0,COLUMN()),0)+IFERROR(INDEX(MO_RIS_DAintangible,0,COLUMN()),0)+IFERROR(INDEX(MO_RIS_DAintangibles,0,COLUMN()),0)</f>
        <v>19508</v>
      </c>
      <c r="AU32" s="117">
        <f>IFERROR(INDEX(MO_RIS_DA,0,COLUMN()),0)+IFERROR(INDEX(MO_RIS_DAintangible,0,COLUMN()),0)+IFERROR(INDEX(MO_RIS_DAintangibles,0,COLUMN()),0)</f>
        <v>4286</v>
      </c>
      <c r="AV32" s="117">
        <f>IFERROR(INDEX(MO_RIS_DA,0,COLUMN()),0)+IFERROR(INDEX(MO_RIS_DAintangible,0,COLUMN()),0)+IFERROR(INDEX(MO_RIS_DAintangibles,0,COLUMN()),0)</f>
        <v>4522</v>
      </c>
      <c r="AW32" s="117">
        <f>IFERROR(INDEX(MO_RIS_DA,0,COLUMN()),0)+IFERROR(INDEX(MO_RIS_DAintangible,0,COLUMN()),0)+IFERROR(INDEX(MO_RIS_DAintangibles,0,COLUMN()),0)</f>
        <v>4304</v>
      </c>
      <c r="AX32" s="117">
        <f>IFERROR(INDEX(MO_RIS_DA,0,COLUMN()),0)+IFERROR(INDEX(MO_RIS_DAintangible,0,COLUMN()),0)+IFERROR(INDEX(MO_RIS_DAintangibles,0,COLUMN()),0)</f>
        <v>4813</v>
      </c>
      <c r="AY32" s="150">
        <f>IFERROR(INDEX(MO_RIS_DA,0,COLUMN()),0)+IFERROR(INDEX(MO_RIS_DAintangible,0,COLUMN()),0)+IFERROR(INDEX(MO_RIS_DAintangibles,0,COLUMN()),0)</f>
        <v>17925</v>
      </c>
      <c r="AZ32" s="117">
        <f>IFERROR(INDEX(MO_RIS_DA,0,COLUMN()),0)+IFERROR(INDEX(MO_RIS_DAintangible,0,COLUMN()),0)+IFERROR(INDEX(MO_RIS_DAintangibles,0,COLUMN()),0)</f>
        <v>3654</v>
      </c>
      <c r="BA32" s="117">
        <f>IFERROR(INDEX(MO_RIS_DA,0,COLUMN()),0)+IFERROR(INDEX(MO_RIS_DAintangible,0,COLUMN()),0)+IFERROR(INDEX(MO_RIS_DAintangibles,0,COLUMN()),0)</f>
        <v>3700</v>
      </c>
      <c r="BB32" s="117">
        <f>IFERROR(INDEX(MO_RIS_DA,0,COLUMN()),0)+IFERROR(INDEX(MO_RIS_DAintangible,0,COLUMN()),0)+IFERROR(INDEX(MO_RIS_DAintangibles,0,COLUMN()),0)</f>
        <v>4201</v>
      </c>
      <c r="BC32" s="117">
        <f>IFERROR(INDEX(MO_RIS_DA,0,COLUMN()),0)+IFERROR(INDEX(MO_RIS_DAintangible,0,COLUMN()),0)+IFERROR(INDEX(MO_RIS_DAintangibles,0,COLUMN()),0)</f>
        <v>4764</v>
      </c>
      <c r="BD32" s="150">
        <f>IFERROR(INDEX(MO_RIS_DA,0,COLUMN()),0)+IFERROR(INDEX(MO_RIS_DAintangible,0,COLUMN()),0)+IFERROR(INDEX(MO_RIS_DAintangibles,0,COLUMN()),0)</f>
        <v>16319</v>
      </c>
      <c r="BE32" s="117">
        <f>IFERROR(INDEX(MO_RIS_DA,0,COLUMN()),0)+IFERROR(INDEX(MO_RIS_DAintangible,0,COLUMN()),0)+IFERROR(INDEX(MO_RIS_DAintangibles,0,COLUMN()),0)</f>
        <v>3526</v>
      </c>
      <c r="BF32" s="117">
        <f>IFERROR(INDEX(MO_RIS_DA,0,COLUMN()),0)+IFERROR(INDEX(MO_RIS_DAintangible,0,COLUMN()),0)+IFERROR(INDEX(MO_RIS_DAintangibles,0,COLUMN()),0)</f>
        <v>3521</v>
      </c>
      <c r="BG32" s="117">
        <f>IFERROR(INDEX(MO_RIS_DA,0,COLUMN()),0)+IFERROR(INDEX(MO_RIS_DAintangible,0,COLUMN()),0)+IFERROR(INDEX(MO_RIS_DAintangibles,0,COLUMN()),0)</f>
        <v>4025</v>
      </c>
      <c r="BH32" s="117">
        <f>IFERROR(INDEX(MO_RIS_DA,0,COLUMN()),0)+IFERROR(INDEX(MO_RIS_DAintangible,0,COLUMN()),0)+IFERROR(INDEX(MO_RIS_DAintangibles,0,COLUMN()),0)</f>
        <v>6254</v>
      </c>
      <c r="BI32" s="150">
        <f>IFERROR(INDEX(MO_RIS_DA,0,COLUMN()),0)+IFERROR(INDEX(MO_RIS_DAintangible,0,COLUMN()),0)+IFERROR(INDEX(MO_RIS_DAintangibles,0,COLUMN()),0)</f>
        <v>17326</v>
      </c>
      <c r="BJ32" s="117">
        <f>IFERROR(INDEX(MO_RIS_DA,0,COLUMN()),0)+IFERROR(INDEX(MO_RIS_DAintangible,0,COLUMN()),0)+IFERROR(INDEX(MO_RIS_DAintangibles,0,COLUMN()),0)</f>
        <v>4091</v>
      </c>
      <c r="BK32" s="117">
        <f>IFERROR(INDEX(MO_RIS_DA,0,COLUMN()),0)+IFERROR(INDEX(MO_RIS_DAintangible,0,COLUMN()),0)+IFERROR(INDEX(MO_RIS_DAintangibles,0,COLUMN()),0)</f>
        <v>4004</v>
      </c>
      <c r="BL32" s="117">
        <f>IFERROR(INDEX(MO_RIS_DA,0,COLUMN()),0)+IFERROR(INDEX(MO_RIS_DAintangible,0,COLUMN()),0)+IFERROR(INDEX(MO_RIS_DAintangibles,0,COLUMN()),0)</f>
        <v>4214</v>
      </c>
      <c r="BM32" s="117">
        <f>IFERROR(INDEX(MO_RIS_DA,0,COLUMN()),0)+IFERROR(INDEX(MO_RIS_DAintangible,0,COLUMN()),0)+IFERROR(INDEX(MO_RIS_DAintangibles,0,COLUMN()),0)</f>
        <v>4973</v>
      </c>
      <c r="BN32" s="150">
        <f>IFERROR(INDEX(MO_RIS_DA,0,COLUMN()),0)+IFERROR(INDEX(MO_RIS_DAintangible,0,COLUMN()),0)+IFERROR(INDEX(MO_RIS_DAintangibles,0,COLUMN()),0)</f>
        <v>17282</v>
      </c>
      <c r="BO32" s="117">
        <f>IFERROR(INDEX(MO_RIS_DA,0,COLUMN()),0)+IFERROR(INDEX(MO_RIS_DAintangible,0,COLUMN()),0)+IFERROR(INDEX(MO_RIS_DAintangibles,0,COLUMN()),0)</f>
        <v>4123</v>
      </c>
      <c r="BP32" s="117">
        <f>IFERROR(INDEX(MO_RIS_DA,0,COLUMN()),0)+IFERROR(INDEX(MO_RIS_DAintangible,0,COLUMN()),0)+IFERROR(INDEX(MO_RIS_DAintangibles,0,COLUMN()),0)</f>
        <v>4344</v>
      </c>
      <c r="BQ32" s="117">
        <f>IFERROR(INDEX(MO_RIS_DA,0,COLUMN()),0)+IFERROR(INDEX(MO_RIS_DAintangible,0,COLUMN()),0)+IFERROR(INDEX(MO_RIS_DAintangibles,0,COLUMN()),0)</f>
        <v>5781</v>
      </c>
      <c r="BR32" s="117">
        <f>IFERROR(INDEX(MO_RIS_DA,0,COLUMN()),0)+IFERROR(INDEX(MO_RIS_DAintangible,0,COLUMN()),0)+IFERROR(INDEX(MO_RIS_DAintangibles,0,COLUMN()),0)</f>
        <v>5884</v>
      </c>
      <c r="BS32" s="150">
        <f>IFERROR(INDEX(MO_RIS_DA,0,COLUMN()),0)+IFERROR(INDEX(MO_RIS_DAintangible,0,COLUMN()),0)+IFERROR(INDEX(MO_RIS_DAintangibles,0,COLUMN()),0)</f>
        <v>20132</v>
      </c>
      <c r="BT32" s="691">
        <f>IFERROR(INDEX(MO_RIS_DA,0,COLUMN()),0)+IFERROR(INDEX(MO_RIS_DAintangible,0,COLUMN()),0)+IFERROR(INDEX(MO_RIS_DAintangibles,0,COLUMN()),0)</f>
        <v>5808</v>
      </c>
      <c r="BU32" s="117">
        <f>IFERROR(INDEX(MO_RIS_DA,0,COLUMN()),0)+IFERROR(INDEX(MO_RIS_DAintangible,0,COLUMN()),0)+IFERROR(INDEX(MO_RIS_DAintangibles,0,COLUMN()),0)</f>
        <v>4000</v>
      </c>
      <c r="BV32" s="117">
        <f>IFERROR(INDEX(MO_RIS_DA,0,COLUMN()),0)+IFERROR(INDEX(MO_RIS_DAintangible,0,COLUMN()),0)+IFERROR(INDEX(MO_RIS_DAintangibles,0,COLUMN()),0)</f>
        <v>3300</v>
      </c>
      <c r="BW32" s="117">
        <f>IFERROR(INDEX(MO_RIS_DA,0,COLUMN()),0)+IFERROR(INDEX(MO_RIS_DAintangible,0,COLUMN()),0)+IFERROR(INDEX(MO_RIS_DAintangibles,0,COLUMN()),0)</f>
        <v>4000</v>
      </c>
      <c r="BX32" s="150">
        <f>IFERROR(INDEX(MO_RIS_DA,0,COLUMN()),0)+IFERROR(INDEX(MO_RIS_DAintangible,0,COLUMN()),0)+IFERROR(INDEX(MO_RIS_DAintangibles,0,COLUMN()),0)</f>
        <v>17108</v>
      </c>
      <c r="BY32" s="117">
        <f>IFERROR(INDEX(MO_RIS_DA,0,COLUMN()),0)+IFERROR(INDEX(MO_RIS_DAintangible,0,COLUMN()),0)+IFERROR(INDEX(MO_RIS_DAintangibles,0,COLUMN()),0)</f>
        <v>6000</v>
      </c>
      <c r="BZ32" s="117">
        <f>IFERROR(INDEX(MO_RIS_DA,0,COLUMN()),0)+IFERROR(INDEX(MO_RIS_DAintangible,0,COLUMN()),0)+IFERROR(INDEX(MO_RIS_DAintangibles,0,COLUMN()),0)</f>
        <v>6500</v>
      </c>
      <c r="CA32" s="117">
        <f>IFERROR(INDEX(MO_RIS_DA,0,COLUMN()),0)+IFERROR(INDEX(MO_RIS_DAintangible,0,COLUMN()),0)+IFERROR(INDEX(MO_RIS_DAintangibles,0,COLUMN()),0)</f>
        <v>6500</v>
      </c>
      <c r="CB32" s="117">
        <f>IFERROR(INDEX(MO_RIS_DA,0,COLUMN()),0)+IFERROR(INDEX(MO_RIS_DAintangible,0,COLUMN()),0)+IFERROR(INDEX(MO_RIS_DAintangibles,0,COLUMN()),0)</f>
        <v>6500</v>
      </c>
      <c r="CC32" s="150">
        <f>IFERROR(INDEX(MO_RIS_DA,0,COLUMN()),0)+IFERROR(INDEX(MO_RIS_DAintangible,0,COLUMN()),0)+IFERROR(INDEX(MO_RIS_DAintangibles,0,COLUMN()),0)</f>
        <v>25500</v>
      </c>
      <c r="CD32" s="150">
        <f>IFERROR(INDEX(MO_RIS_DA,0,COLUMN()),0)+IFERROR(INDEX(MO_RIS_DAintangible,0,COLUMN()),0)+IFERROR(INDEX(MO_RIS_DAintangibles,0,COLUMN()),0)</f>
        <v>26000</v>
      </c>
      <c r="CE32" s="150">
        <f>IFERROR(INDEX(MO_RIS_DA,0,COLUMN()),0)+IFERROR(INDEX(MO_RIS_DAintangible,0,COLUMN()),0)+IFERROR(INDEX(MO_RIS_DAintangibles,0,COLUMN()),0)</f>
        <v>25000</v>
      </c>
      <c r="CF32" s="150">
        <f>IFERROR(INDEX(MO_RIS_DA,0,COLUMN()),0)+IFERROR(INDEX(MO_RIS_DAintangible,0,COLUMN()),0)+IFERROR(INDEX(MO_RIS_DAintangibles,0,COLUMN()),0)</f>
        <v>26000</v>
      </c>
      <c r="CG32" s="117"/>
    </row>
    <row r="33" spans="1:85" s="460" customFormat="1" x14ac:dyDescent="0.3">
      <c r="A33" s="159" t="str">
        <f>INDEX(MO_RIS_IE,0,COLUMN())</f>
        <v>Interest expense</v>
      </c>
      <c r="B33" s="160"/>
      <c r="C33" s="150">
        <f>IFERROR(INDEX(MO_RIS_IE_Net,0,COLUMN()),INDEX(MO_RIS_IE,0,COLUMN())+INDEX(MO_RIS_II,0,COLUMN()))</f>
        <v>28</v>
      </c>
      <c r="D33" s="150">
        <f>IFERROR(INDEX(MO_RIS_IE_Net,0,COLUMN()),INDEX(MO_RIS_IE,0,COLUMN())+INDEX(MO_RIS_II,0,COLUMN()))</f>
        <v>50</v>
      </c>
      <c r="E33" s="150">
        <f>IFERROR(INDEX(MO_RIS_IE_Net,0,COLUMN()),INDEX(MO_RIS_IE,0,COLUMN())+INDEX(MO_RIS_II,0,COLUMN()))</f>
        <v>0</v>
      </c>
      <c r="F33" s="150">
        <f>IFERROR(INDEX(MO_RIS_IE_Net,0,COLUMN()),INDEX(MO_RIS_IE,0,COLUMN())+INDEX(MO_RIS_II,0,COLUMN()))</f>
        <v>0</v>
      </c>
      <c r="G33" s="117">
        <f>IFERROR(INDEX(MO_RIS_IE_Net,0,COLUMN()),INDEX(MO_RIS_IE,0,COLUMN())+INDEX(MO_RIS_II,0,COLUMN()))</f>
        <v>0</v>
      </c>
      <c r="H33" s="117">
        <f>IFERROR(INDEX(MO_RIS_IE_Net,0,COLUMN()),INDEX(MO_RIS_IE,0,COLUMN())+INDEX(MO_RIS_II,0,COLUMN()))</f>
        <v>0</v>
      </c>
      <c r="I33" s="117">
        <f>IFERROR(INDEX(MO_RIS_IE_Net,0,COLUMN()),INDEX(MO_RIS_IE,0,COLUMN())+INDEX(MO_RIS_II,0,COLUMN()))</f>
        <v>0</v>
      </c>
      <c r="J33" s="117">
        <f>IFERROR(INDEX(MO_RIS_IE_Net,0,COLUMN()),INDEX(MO_RIS_IE,0,COLUMN())+INDEX(MO_RIS_II,0,COLUMN()))</f>
        <v>0</v>
      </c>
      <c r="K33" s="150">
        <f>IFERROR(INDEX(MO_RIS_IE_Net,0,COLUMN()),INDEX(MO_RIS_IE,0,COLUMN())+INDEX(MO_RIS_II,0,COLUMN()))</f>
        <v>0</v>
      </c>
      <c r="L33" s="117">
        <f>IFERROR(INDEX(MO_RIS_IE_Net,0,COLUMN()),INDEX(MO_RIS_IE,0,COLUMN())+INDEX(MO_RIS_II,0,COLUMN()))</f>
        <v>0</v>
      </c>
      <c r="M33" s="117">
        <f>IFERROR(INDEX(MO_RIS_IE_Net,0,COLUMN()),INDEX(MO_RIS_IE,0,COLUMN())+INDEX(MO_RIS_II,0,COLUMN()))</f>
        <v>0</v>
      </c>
      <c r="N33" s="117">
        <f>IFERROR(INDEX(MO_RIS_IE_Net,0,COLUMN()),INDEX(MO_RIS_IE,0,COLUMN())+INDEX(MO_RIS_II,0,COLUMN()))</f>
        <v>0</v>
      </c>
      <c r="O33" s="117">
        <f>IFERROR(INDEX(MO_RIS_IE_Net,0,COLUMN()),INDEX(MO_RIS_IE,0,COLUMN())+INDEX(MO_RIS_II,0,COLUMN()))</f>
        <v>0</v>
      </c>
      <c r="P33" s="150">
        <f>IFERROR(INDEX(MO_RIS_IE_Net,0,COLUMN()),INDEX(MO_RIS_IE,0,COLUMN())+INDEX(MO_RIS_II,0,COLUMN()))</f>
        <v>0</v>
      </c>
      <c r="Q33" s="117">
        <f>IFERROR(INDEX(MO_RIS_IE_Net,0,COLUMN()),INDEX(MO_RIS_IE,0,COLUMN())+INDEX(MO_RIS_II,0,COLUMN()))</f>
        <v>0</v>
      </c>
      <c r="R33" s="117">
        <f>IFERROR(INDEX(MO_RIS_IE_Net,0,COLUMN()),INDEX(MO_RIS_IE,0,COLUMN())+INDEX(MO_RIS_II,0,COLUMN()))</f>
        <v>0</v>
      </c>
      <c r="S33" s="117">
        <f>IFERROR(INDEX(MO_RIS_IE_Net,0,COLUMN()),INDEX(MO_RIS_IE,0,COLUMN())+INDEX(MO_RIS_II,0,COLUMN()))</f>
        <v>0</v>
      </c>
      <c r="T33" s="117">
        <f>IFERROR(INDEX(MO_RIS_IE_Net,0,COLUMN()),INDEX(MO_RIS_IE,0,COLUMN())+INDEX(MO_RIS_II,0,COLUMN()))</f>
        <v>0</v>
      </c>
      <c r="U33" s="150">
        <f>IFERROR(INDEX(MO_RIS_IE_Net,0,COLUMN()),INDEX(MO_RIS_IE,0,COLUMN())+INDEX(MO_RIS_II,0,COLUMN()))</f>
        <v>0</v>
      </c>
      <c r="V33" s="117">
        <f>IFERROR(INDEX(MO_RIS_IE_Net,0,COLUMN()),INDEX(MO_RIS_IE,0,COLUMN())+INDEX(MO_RIS_II,0,COLUMN()))</f>
        <v>0</v>
      </c>
      <c r="W33" s="117">
        <f>IFERROR(INDEX(MO_RIS_IE_Net,0,COLUMN()),INDEX(MO_RIS_IE,0,COLUMN())+INDEX(MO_RIS_II,0,COLUMN()))</f>
        <v>79</v>
      </c>
      <c r="X33" s="117">
        <f>IFERROR(INDEX(MO_RIS_IE_Net,0,COLUMN()),INDEX(MO_RIS_IE,0,COLUMN())+INDEX(MO_RIS_II,0,COLUMN()))</f>
        <v>64</v>
      </c>
      <c r="Y33" s="117">
        <f>IFERROR(INDEX(MO_RIS_IE_Net,0,COLUMN()),INDEX(MO_RIS_IE,0,COLUMN())+INDEX(MO_RIS_II,0,COLUMN()))</f>
        <v>58</v>
      </c>
      <c r="Z33" s="150">
        <f>IFERROR(INDEX(MO_RIS_IE_Net,0,COLUMN()),INDEX(MO_RIS_IE,0,COLUMN())+INDEX(MO_RIS_II,0,COLUMN()))</f>
        <v>201</v>
      </c>
      <c r="AA33" s="117">
        <f>IFERROR(INDEX(MO_RIS_IE_Net,0,COLUMN()),INDEX(MO_RIS_IE,0,COLUMN())+INDEX(MO_RIS_II,0,COLUMN()))</f>
        <v>51</v>
      </c>
      <c r="AB33" s="117">
        <f>IFERROR(INDEX(MO_RIS_IE_Net,0,COLUMN()),INDEX(MO_RIS_IE,0,COLUMN())+INDEX(MO_RIS_II,0,COLUMN()))</f>
        <v>48</v>
      </c>
      <c r="AC33" s="117">
        <f>IFERROR(INDEX(MO_RIS_IE_Net,0,COLUMN()),INDEX(MO_RIS_IE,0,COLUMN())+INDEX(MO_RIS_II,0,COLUMN()))</f>
        <v>35</v>
      </c>
      <c r="AD33" s="117">
        <f>IFERROR(INDEX(MO_RIS_IE_Net,0,COLUMN()),INDEX(MO_RIS_IE,0,COLUMN())+INDEX(MO_RIS_II,0,COLUMN()))</f>
        <v>173</v>
      </c>
      <c r="AE33" s="150">
        <f>IFERROR(INDEX(MO_RIS_IE_Net,0,COLUMN()),INDEX(MO_RIS_IE,0,COLUMN())+INDEX(MO_RIS_II,0,COLUMN()))</f>
        <v>307</v>
      </c>
      <c r="AF33" s="117">
        <f>IFERROR(INDEX(MO_RIS_IE_Net,0,COLUMN()),INDEX(MO_RIS_IE,0,COLUMN())+INDEX(MO_RIS_II,0,COLUMN()))</f>
        <v>159</v>
      </c>
      <c r="AG33" s="117">
        <f>IFERROR(INDEX(MO_RIS_IE_Net,0,COLUMN()),INDEX(MO_RIS_IE,0,COLUMN())+INDEX(MO_RIS_II,0,COLUMN()))</f>
        <v>217</v>
      </c>
      <c r="AH33" s="117">
        <f>IFERROR(INDEX(MO_RIS_IE_Net,0,COLUMN()),INDEX(MO_RIS_IE,0,COLUMN())+INDEX(MO_RIS_II,0,COLUMN()))</f>
        <v>182</v>
      </c>
      <c r="AI33" s="117">
        <f>IFERROR(INDEX(MO_RIS_IE_Net,0,COLUMN()),INDEX(MO_RIS_IE,0,COLUMN())+INDEX(MO_RIS_II,0,COLUMN()))</f>
        <v>190</v>
      </c>
      <c r="AJ33" s="150">
        <f>IFERROR(INDEX(MO_RIS_IE_Net,0,COLUMN()),INDEX(MO_RIS_IE,0,COLUMN())+INDEX(MO_RIS_II,0,COLUMN()))</f>
        <v>748</v>
      </c>
      <c r="AK33" s="117">
        <f>IFERROR(INDEX(MO_RIS_IE_Net,0,COLUMN()),INDEX(MO_RIS_IE,0,COLUMN())+INDEX(MO_RIS_II,0,COLUMN()))</f>
        <v>225</v>
      </c>
      <c r="AL33" s="117">
        <f>IFERROR(INDEX(MO_RIS_IE_Net,0,COLUMN()),INDEX(MO_RIS_IE,0,COLUMN())+INDEX(MO_RIS_II,0,COLUMN()))</f>
        <v>198</v>
      </c>
      <c r="AM33" s="117">
        <f>IFERROR(INDEX(MO_RIS_IE_Net,0,COLUMN()),INDEX(MO_RIS_IE,0,COLUMN())+INDEX(MO_RIS_II,0,COLUMN()))</f>
        <v>197</v>
      </c>
      <c r="AN33" s="117">
        <f>IFERROR(INDEX(MO_RIS_IE_Net,0,COLUMN()),INDEX(MO_RIS_IE,0,COLUMN())+INDEX(MO_RIS_II,0,COLUMN()))</f>
        <v>178</v>
      </c>
      <c r="AO33" s="150">
        <f>IFERROR(INDEX(MO_RIS_IE_Net,0,COLUMN()),INDEX(MO_RIS_IE,0,COLUMN())+INDEX(MO_RIS_II,0,COLUMN()))</f>
        <v>798</v>
      </c>
      <c r="AP33" s="117">
        <f>IFERROR(INDEX(MO_RIS_IE_Net,0,COLUMN()),INDEX(MO_RIS_IE,0,COLUMN())+INDEX(MO_RIS_II,0,COLUMN()))</f>
        <v>162</v>
      </c>
      <c r="AQ33" s="117">
        <f>IFERROR(INDEX(MO_RIS_IE_Net,0,COLUMN()),INDEX(MO_RIS_IE,0,COLUMN())+INDEX(MO_RIS_II,0,COLUMN()))</f>
        <v>172</v>
      </c>
      <c r="AR33" s="117">
        <f>IFERROR(INDEX(MO_RIS_IE_Net,0,COLUMN()),INDEX(MO_RIS_IE,0,COLUMN())+INDEX(MO_RIS_II,0,COLUMN()))</f>
        <v>164</v>
      </c>
      <c r="AS33" s="117">
        <f>IFERROR(INDEX(MO_RIS_IE_Net,0,COLUMN()),INDEX(MO_RIS_IE,0,COLUMN())+INDEX(MO_RIS_II,0,COLUMN()))</f>
        <v>199</v>
      </c>
      <c r="AT33" s="150">
        <f>IFERROR(INDEX(MO_RIS_IE_Net,0,COLUMN()),INDEX(MO_RIS_IE,0,COLUMN())+INDEX(MO_RIS_II,0,COLUMN()))</f>
        <v>697</v>
      </c>
      <c r="AU33" s="117">
        <f>IFERROR(INDEX(MO_RIS_IE_Net,0,COLUMN()),INDEX(MO_RIS_IE,0,COLUMN())+INDEX(MO_RIS_II,0,COLUMN()))</f>
        <v>198</v>
      </c>
      <c r="AV33" s="117">
        <f>IFERROR(INDEX(MO_RIS_IE_Net,0,COLUMN()),INDEX(MO_RIS_IE,0,COLUMN())+INDEX(MO_RIS_II,0,COLUMN()))</f>
        <v>185</v>
      </c>
      <c r="AW33" s="117">
        <f>IFERROR(INDEX(MO_RIS_IE_Net,0,COLUMN()),INDEX(MO_RIS_IE,0,COLUMN())+INDEX(MO_RIS_II,0,COLUMN()))</f>
        <v>174</v>
      </c>
      <c r="AX33" s="117">
        <f>IFERROR(INDEX(MO_RIS_IE_Net,0,COLUMN()),INDEX(MO_RIS_IE,0,COLUMN())+INDEX(MO_RIS_II,0,COLUMN()))</f>
        <v>155</v>
      </c>
      <c r="AY33" s="150">
        <f>IFERROR(INDEX(MO_RIS_IE_Net,0,COLUMN()),INDEX(MO_RIS_IE,0,COLUMN())+INDEX(MO_RIS_II,0,COLUMN()))</f>
        <v>712</v>
      </c>
      <c r="AZ33" s="117">
        <f>IFERROR(INDEX(MO_RIS_IE_Net,0,COLUMN()),INDEX(MO_RIS_IE,0,COLUMN())+INDEX(MO_RIS_II,0,COLUMN()))</f>
        <v>136</v>
      </c>
      <c r="BA33" s="117">
        <f>IFERROR(INDEX(MO_RIS_IE_Net,0,COLUMN()),INDEX(MO_RIS_IE,0,COLUMN())+INDEX(MO_RIS_II,0,COLUMN()))</f>
        <v>129</v>
      </c>
      <c r="BB33" s="117">
        <f>IFERROR(INDEX(MO_RIS_IE_Net,0,COLUMN()),INDEX(MO_RIS_IE,0,COLUMN())+INDEX(MO_RIS_II,0,COLUMN()))</f>
        <v>128</v>
      </c>
      <c r="BC33" s="117">
        <f>IFERROR(INDEX(MO_RIS_IE_Net,0,COLUMN()),INDEX(MO_RIS_IE,0,COLUMN())+INDEX(MO_RIS_II,0,COLUMN()))</f>
        <v>123</v>
      </c>
      <c r="BD33" s="150">
        <f>IFERROR(INDEX(MO_RIS_IE_Net,0,COLUMN()),INDEX(MO_RIS_IE,0,COLUMN())+INDEX(MO_RIS_II,0,COLUMN()))</f>
        <v>516</v>
      </c>
      <c r="BE33" s="117">
        <f>IFERROR(INDEX(MO_RIS_IE_Net,0,COLUMN()),INDEX(MO_RIS_IE,0,COLUMN())+INDEX(MO_RIS_II,0,COLUMN()))</f>
        <v>115</v>
      </c>
      <c r="BF33" s="117">
        <f>IFERROR(INDEX(MO_RIS_IE_Net,0,COLUMN()),INDEX(MO_RIS_IE,0,COLUMN())+INDEX(MO_RIS_II,0,COLUMN()))</f>
        <v>120</v>
      </c>
      <c r="BG33" s="117">
        <f>IFERROR(INDEX(MO_RIS_IE_Net,0,COLUMN()),INDEX(MO_RIS_IE,0,COLUMN())+INDEX(MO_RIS_II,0,COLUMN()))</f>
        <v>114</v>
      </c>
      <c r="BH33" s="117">
        <f>IFERROR(INDEX(MO_RIS_IE_Net,0,COLUMN()),INDEX(MO_RIS_IE,0,COLUMN())+INDEX(MO_RIS_II,0,COLUMN()))</f>
        <v>120</v>
      </c>
      <c r="BI33" s="150">
        <f>IFERROR(INDEX(MO_RIS_IE_Net,0,COLUMN()),INDEX(MO_RIS_IE,0,COLUMN())+INDEX(MO_RIS_II,0,COLUMN()))</f>
        <v>469</v>
      </c>
      <c r="BJ33" s="117">
        <f>IFERROR(INDEX(MO_RIS_IE_Net,0,COLUMN()),INDEX(MO_RIS_IE,0,COLUMN())+INDEX(MO_RIS_II,0,COLUMN()))</f>
        <v>118</v>
      </c>
      <c r="BK33" s="117">
        <f>IFERROR(INDEX(MO_RIS_IE_Net,0,COLUMN()),INDEX(MO_RIS_IE,0,COLUMN())+INDEX(MO_RIS_II,0,COLUMN()))</f>
        <v>113</v>
      </c>
      <c r="BL33" s="117">
        <f>IFERROR(INDEX(MO_RIS_IE_Net,0,COLUMN()),INDEX(MO_RIS_IE,0,COLUMN())+INDEX(MO_RIS_II,0,COLUMN()))</f>
        <v>164</v>
      </c>
      <c r="BM33" s="117">
        <f>IFERROR(INDEX(MO_RIS_IE_Net,0,COLUMN()),INDEX(MO_RIS_IE,0,COLUMN())+INDEX(MO_RIS_II,0,COLUMN()))</f>
        <v>199</v>
      </c>
      <c r="BN33" s="150">
        <f>IFERROR(INDEX(MO_RIS_IE_Net,0,COLUMN()),INDEX(MO_RIS_IE,0,COLUMN())+INDEX(MO_RIS_II,0,COLUMN()))</f>
        <v>594</v>
      </c>
      <c r="BO33" s="117">
        <f>IFERROR(INDEX(MO_RIS_IE_Net,0,COLUMN()),INDEX(MO_RIS_IE,0,COLUMN())+INDEX(MO_RIS_II,0,COLUMN()))</f>
        <v>212</v>
      </c>
      <c r="BP33" s="117">
        <f>IFERROR(INDEX(MO_RIS_IE_Net,0,COLUMN()),INDEX(MO_RIS_IE,0,COLUMN())+INDEX(MO_RIS_II,0,COLUMN()))</f>
        <v>274</v>
      </c>
      <c r="BQ33" s="117">
        <f>IFERROR(INDEX(MO_RIS_IE_Net,0,COLUMN()),INDEX(MO_RIS_IE,0,COLUMN())+INDEX(MO_RIS_II,0,COLUMN()))</f>
        <v>370</v>
      </c>
      <c r="BR33" s="117">
        <f>IFERROR(INDEX(MO_RIS_IE_Net,0,COLUMN()),INDEX(MO_RIS_IE,0,COLUMN())+INDEX(MO_RIS_II,0,COLUMN()))</f>
        <v>361</v>
      </c>
      <c r="BS33" s="150">
        <f>IFERROR(INDEX(MO_RIS_IE_Net,0,COLUMN()),INDEX(MO_RIS_IE,0,COLUMN())+INDEX(MO_RIS_II,0,COLUMN()))</f>
        <v>1217</v>
      </c>
      <c r="BT33" s="691">
        <f>IFERROR(INDEX(MO_RIS_IE_Net,0,COLUMN()),INDEX(MO_RIS_IE,0,COLUMN())+INDEX(MO_RIS_II,0,COLUMN()))</f>
        <v>345</v>
      </c>
      <c r="BU33" s="117">
        <f>IFERROR(INDEX(MO_RIS_IE_Net,0,COLUMN()),INDEX(MO_RIS_IE,0,COLUMN())+INDEX(MO_RIS_II,0,COLUMN()))</f>
        <v>283.14712328767121</v>
      </c>
      <c r="BV33" s="117">
        <f ca="1">IFERROR(INDEX(MO_RIS_IE_Net,0,COLUMN()),INDEX(MO_RIS_IE,0,COLUMN())+INDEX(MO_RIS_II,0,COLUMN()))</f>
        <v>286.25863013698631</v>
      </c>
      <c r="BW33" s="117">
        <f ca="1">IFERROR(INDEX(MO_RIS_IE_Net,0,COLUMN()),INDEX(MO_RIS_IE,0,COLUMN())+INDEX(MO_RIS_II,0,COLUMN()))</f>
        <v>286.25863013698631</v>
      </c>
      <c r="BX33" s="150">
        <f ca="1">IFERROR(INDEX(MO_RIS_IE_Net,0,COLUMN()),INDEX(MO_RIS_IE,0,COLUMN())+INDEX(MO_RIS_II,0,COLUMN()))</f>
        <v>1200.6643835616437</v>
      </c>
      <c r="BY33" s="117">
        <f ca="1">IFERROR(INDEX(MO_RIS_IE_Net,0,COLUMN()),INDEX(MO_RIS_IE,0,COLUMN())+INDEX(MO_RIS_II,0,COLUMN()))</f>
        <v>280.03561643835616</v>
      </c>
      <c r="BZ33" s="117">
        <f ca="1">IFERROR(INDEX(MO_RIS_IE_Net,0,COLUMN()),INDEX(MO_RIS_IE,0,COLUMN())+INDEX(MO_RIS_II,0,COLUMN()))</f>
        <v>283.14712328767121</v>
      </c>
      <c r="CA33" s="117">
        <f ca="1">IFERROR(INDEX(MO_RIS_IE_Net,0,COLUMN()),INDEX(MO_RIS_IE,0,COLUMN())+INDEX(MO_RIS_II,0,COLUMN()))</f>
        <v>286.25863013698631</v>
      </c>
      <c r="CB33" s="117">
        <f ca="1">IFERROR(INDEX(MO_RIS_IE_Net,0,COLUMN()),INDEX(MO_RIS_IE,0,COLUMN())+INDEX(MO_RIS_II,0,COLUMN()))</f>
        <v>286.25863013698631</v>
      </c>
      <c r="CC33" s="150">
        <f ca="1">IFERROR(INDEX(MO_RIS_IE_Net,0,COLUMN()),INDEX(MO_RIS_IE,0,COLUMN())+INDEX(MO_RIS_II,0,COLUMN()))</f>
        <v>1135.7</v>
      </c>
      <c r="CD33" s="150">
        <f ca="1">IFERROR(INDEX(MO_RIS_IE_Net,0,COLUMN()),INDEX(MO_RIS_IE,0,COLUMN())+INDEX(MO_RIS_II,0,COLUMN()))</f>
        <v>1135.7</v>
      </c>
      <c r="CE33" s="150">
        <f ca="1">IFERROR(INDEX(MO_RIS_IE_Net,0,COLUMN()),INDEX(MO_RIS_IE,0,COLUMN())+INDEX(MO_RIS_II,0,COLUMN()))</f>
        <v>1135.7</v>
      </c>
      <c r="CF33" s="150">
        <f ca="1">IFERROR(INDEX(MO_RIS_IE_Net,0,COLUMN()),INDEX(MO_RIS_IE,0,COLUMN())+INDEX(MO_RIS_II,0,COLUMN()))</f>
        <v>1135.7</v>
      </c>
      <c r="CG33" s="117"/>
    </row>
    <row r="34" spans="1:85" s="460" customFormat="1" x14ac:dyDescent="0.3">
      <c r="A34" s="159" t="str">
        <f>INDEX(MO_RIS_Impairment,0,COLUMN())</f>
        <v>Impairment</v>
      </c>
      <c r="B34" s="160"/>
      <c r="C34" s="150">
        <f t="shared" ref="C34:AH34" si="93">INDEX(MO_RIS_Impairment,0,COLUMN())</f>
        <v>0</v>
      </c>
      <c r="D34" s="150">
        <f t="shared" si="93"/>
        <v>0</v>
      </c>
      <c r="E34" s="150">
        <f t="shared" si="93"/>
        <v>0</v>
      </c>
      <c r="F34" s="150">
        <f t="shared" si="93"/>
        <v>0</v>
      </c>
      <c r="G34" s="117">
        <f t="shared" si="93"/>
        <v>0</v>
      </c>
      <c r="H34" s="117">
        <f t="shared" si="93"/>
        <v>0</v>
      </c>
      <c r="I34" s="117">
        <f t="shared" si="93"/>
        <v>0</v>
      </c>
      <c r="J34" s="117">
        <f t="shared" si="93"/>
        <v>0</v>
      </c>
      <c r="K34" s="150">
        <f t="shared" si="93"/>
        <v>0</v>
      </c>
      <c r="L34" s="117">
        <f t="shared" si="93"/>
        <v>0</v>
      </c>
      <c r="M34" s="117">
        <f t="shared" si="93"/>
        <v>0</v>
      </c>
      <c r="N34" s="117">
        <f t="shared" si="93"/>
        <v>0</v>
      </c>
      <c r="O34" s="117">
        <f t="shared" si="93"/>
        <v>0</v>
      </c>
      <c r="P34" s="150">
        <f t="shared" si="93"/>
        <v>0</v>
      </c>
      <c r="Q34" s="117">
        <f t="shared" si="93"/>
        <v>0</v>
      </c>
      <c r="R34" s="117">
        <f t="shared" si="93"/>
        <v>0</v>
      </c>
      <c r="S34" s="117">
        <f t="shared" si="93"/>
        <v>0</v>
      </c>
      <c r="T34" s="117">
        <f t="shared" si="93"/>
        <v>0</v>
      </c>
      <c r="U34" s="150">
        <f t="shared" si="93"/>
        <v>0</v>
      </c>
      <c r="V34" s="117">
        <f t="shared" si="93"/>
        <v>0</v>
      </c>
      <c r="W34" s="117">
        <f t="shared" si="93"/>
        <v>0</v>
      </c>
      <c r="X34" s="117">
        <f t="shared" si="93"/>
        <v>0</v>
      </c>
      <c r="Y34" s="117">
        <f t="shared" si="93"/>
        <v>0</v>
      </c>
      <c r="Z34" s="150">
        <f t="shared" si="93"/>
        <v>0</v>
      </c>
      <c r="AA34" s="117">
        <f t="shared" si="93"/>
        <v>0</v>
      </c>
      <c r="AB34" s="117">
        <f t="shared" si="93"/>
        <v>0</v>
      </c>
      <c r="AC34" s="117">
        <f t="shared" si="93"/>
        <v>0</v>
      </c>
      <c r="AD34" s="117">
        <f t="shared" si="93"/>
        <v>0</v>
      </c>
      <c r="AE34" s="150">
        <f t="shared" si="93"/>
        <v>0</v>
      </c>
      <c r="AF34" s="117">
        <f t="shared" si="93"/>
        <v>0</v>
      </c>
      <c r="AG34" s="117">
        <f t="shared" si="93"/>
        <v>0</v>
      </c>
      <c r="AH34" s="117">
        <f t="shared" si="93"/>
        <v>0</v>
      </c>
      <c r="AI34" s="117">
        <f t="shared" ref="AI34:BI34" si="94">INDEX(MO_RIS_Impairment,0,COLUMN())</f>
        <v>0</v>
      </c>
      <c r="AJ34" s="150">
        <f t="shared" si="94"/>
        <v>0</v>
      </c>
      <c r="AK34" s="117">
        <f t="shared" si="94"/>
        <v>0</v>
      </c>
      <c r="AL34" s="117">
        <f t="shared" si="94"/>
        <v>0</v>
      </c>
      <c r="AM34" s="117">
        <f t="shared" si="94"/>
        <v>0</v>
      </c>
      <c r="AN34" s="117">
        <f t="shared" si="94"/>
        <v>0</v>
      </c>
      <c r="AO34" s="150">
        <f t="shared" si="94"/>
        <v>0</v>
      </c>
      <c r="AP34" s="117">
        <f t="shared" si="94"/>
        <v>0</v>
      </c>
      <c r="AQ34" s="117">
        <f t="shared" si="94"/>
        <v>0</v>
      </c>
      <c r="AR34" s="117">
        <f t="shared" si="94"/>
        <v>0</v>
      </c>
      <c r="AS34" s="117">
        <f t="shared" si="94"/>
        <v>0</v>
      </c>
      <c r="AT34" s="150">
        <f t="shared" si="94"/>
        <v>0</v>
      </c>
      <c r="AU34" s="117">
        <f t="shared" si="94"/>
        <v>0</v>
      </c>
      <c r="AV34" s="117">
        <f t="shared" si="94"/>
        <v>0</v>
      </c>
      <c r="AW34" s="117">
        <f t="shared" si="94"/>
        <v>0</v>
      </c>
      <c r="AX34" s="117">
        <f t="shared" si="94"/>
        <v>0</v>
      </c>
      <c r="AY34" s="150">
        <f t="shared" si="94"/>
        <v>0</v>
      </c>
      <c r="AZ34" s="117">
        <f t="shared" si="94"/>
        <v>0</v>
      </c>
      <c r="BA34" s="117">
        <f t="shared" si="94"/>
        <v>0</v>
      </c>
      <c r="BB34" s="117">
        <f t="shared" si="94"/>
        <v>0</v>
      </c>
      <c r="BC34" s="117">
        <f t="shared" si="94"/>
        <v>0</v>
      </c>
      <c r="BD34" s="150">
        <f t="shared" si="94"/>
        <v>0</v>
      </c>
      <c r="BE34" s="117">
        <f t="shared" si="94"/>
        <v>0</v>
      </c>
      <c r="BF34" s="117">
        <f t="shared" si="94"/>
        <v>0</v>
      </c>
      <c r="BG34" s="117">
        <f t="shared" si="94"/>
        <v>0</v>
      </c>
      <c r="BH34" s="117">
        <f t="shared" si="94"/>
        <v>0</v>
      </c>
      <c r="BI34" s="150">
        <f t="shared" si="94"/>
        <v>0</v>
      </c>
      <c r="BJ34" s="117">
        <f t="shared" ref="BJ34:BN34" si="95">INDEX(MO_RIS_Impairment,0,COLUMN())</f>
        <v>0</v>
      </c>
      <c r="BK34" s="117">
        <f t="shared" si="95"/>
        <v>0</v>
      </c>
      <c r="BL34" s="117">
        <f t="shared" si="95"/>
        <v>0</v>
      </c>
      <c r="BM34" s="117">
        <f t="shared" si="95"/>
        <v>0</v>
      </c>
      <c r="BN34" s="150">
        <f t="shared" si="95"/>
        <v>0</v>
      </c>
      <c r="BO34" s="117">
        <f t="shared" ref="BO34:BS34" si="96">INDEX(MO_RIS_Impairment,0,COLUMN())</f>
        <v>0</v>
      </c>
      <c r="BP34" s="117">
        <f t="shared" si="96"/>
        <v>0</v>
      </c>
      <c r="BQ34" s="117">
        <f t="shared" si="96"/>
        <v>0</v>
      </c>
      <c r="BR34" s="117">
        <f t="shared" si="96"/>
        <v>0</v>
      </c>
      <c r="BS34" s="150">
        <f t="shared" si="96"/>
        <v>0</v>
      </c>
      <c r="BT34" s="691">
        <f t="shared" ref="BT34:BX34" si="97">INDEX(MO_RIS_Impairment,0,COLUMN())</f>
        <v>0</v>
      </c>
      <c r="BU34" s="117">
        <f t="shared" si="97"/>
        <v>0</v>
      </c>
      <c r="BV34" s="117">
        <f t="shared" si="97"/>
        <v>0</v>
      </c>
      <c r="BW34" s="117">
        <f t="shared" si="97"/>
        <v>0</v>
      </c>
      <c r="BX34" s="150">
        <f t="shared" si="97"/>
        <v>0</v>
      </c>
      <c r="BY34" s="117">
        <f t="shared" ref="BY34:CF34" si="98">INDEX(MO_RIS_Impairment,0,COLUMN())</f>
        <v>0</v>
      </c>
      <c r="BZ34" s="117">
        <f t="shared" si="98"/>
        <v>0</v>
      </c>
      <c r="CA34" s="117">
        <f t="shared" si="98"/>
        <v>0</v>
      </c>
      <c r="CB34" s="117">
        <f t="shared" si="98"/>
        <v>0</v>
      </c>
      <c r="CC34" s="150">
        <f t="shared" si="98"/>
        <v>0</v>
      </c>
      <c r="CD34" s="150">
        <f t="shared" si="98"/>
        <v>0</v>
      </c>
      <c r="CE34" s="150">
        <f t="shared" si="98"/>
        <v>0</v>
      </c>
      <c r="CF34" s="150">
        <f t="shared" si="98"/>
        <v>0</v>
      </c>
      <c r="CG34" s="117"/>
    </row>
    <row r="35" spans="1:85" s="461" customFormat="1" x14ac:dyDescent="0.3">
      <c r="A35" s="161" t="str">
        <f>INDEX(MO_RIS_EBT,0,COLUMN())</f>
        <v>EBT</v>
      </c>
      <c r="B35" s="162"/>
      <c r="C35" s="953">
        <f t="shared" ref="C35:AH35" si="99">INDEX(SP_GF_EBITDAX,0,COLUMN())-INDEX(SP_GF_DA,0,COLUMN())-INDEX(SP_GF_IE,0,COLUMN())-INDEX(SP_GF_ExplorationExpense,0,COLUMN())-INDEX(SP_GF_Impairment,0,COLUMN())</f>
        <v>18528</v>
      </c>
      <c r="D35" s="953">
        <f t="shared" si="99"/>
        <v>32055</v>
      </c>
      <c r="E35" s="953">
        <f t="shared" si="99"/>
        <v>47634</v>
      </c>
      <c r="F35" s="953">
        <f t="shared" si="99"/>
        <v>46332</v>
      </c>
      <c r="G35" s="118">
        <f t="shared" si="99"/>
        <v>10283</v>
      </c>
      <c r="H35" s="118">
        <f t="shared" si="99"/>
        <v>8589</v>
      </c>
      <c r="I35" s="118">
        <f t="shared" si="99"/>
        <v>8835</v>
      </c>
      <c r="J35" s="118">
        <f t="shared" si="99"/>
        <v>8198</v>
      </c>
      <c r="K35" s="953">
        <f t="shared" si="99"/>
        <v>35905</v>
      </c>
      <c r="L35" s="118">
        <f t="shared" si="99"/>
        <v>7928</v>
      </c>
      <c r="M35" s="118">
        <f t="shared" si="99"/>
        <v>9027</v>
      </c>
      <c r="N35" s="118">
        <f t="shared" si="99"/>
        <v>8863</v>
      </c>
      <c r="O35" s="118">
        <f t="shared" si="99"/>
        <v>5384</v>
      </c>
      <c r="P35" s="953">
        <f t="shared" si="99"/>
        <v>31202</v>
      </c>
      <c r="Q35" s="118">
        <f t="shared" si="99"/>
        <v>2905</v>
      </c>
      <c r="R35" s="118">
        <f t="shared" si="99"/>
        <v>1363</v>
      </c>
      <c r="S35" s="118">
        <f t="shared" si="99"/>
        <v>2784</v>
      </c>
      <c r="T35" s="118">
        <f t="shared" si="99"/>
        <v>-2210</v>
      </c>
      <c r="U35" s="953">
        <f t="shared" si="99"/>
        <v>4842</v>
      </c>
      <c r="V35" s="118">
        <f t="shared" si="99"/>
        <v>-1711</v>
      </c>
      <c r="W35" s="118">
        <f t="shared" si="99"/>
        <v>-2070</v>
      </c>
      <c r="X35" s="118">
        <f t="shared" si="99"/>
        <v>1109</v>
      </c>
      <c r="Y35" s="118">
        <f t="shared" si="99"/>
        <v>512</v>
      </c>
      <c r="Z35" s="953">
        <f t="shared" si="99"/>
        <v>-2160</v>
      </c>
      <c r="AA35" s="118">
        <f t="shared" si="99"/>
        <v>3129</v>
      </c>
      <c r="AB35" s="118">
        <f t="shared" si="99"/>
        <v>1953</v>
      </c>
      <c r="AC35" s="118">
        <f t="shared" si="99"/>
        <v>2658</v>
      </c>
      <c r="AD35" s="118">
        <f t="shared" si="99"/>
        <v>1481</v>
      </c>
      <c r="AE35" s="953">
        <f t="shared" si="99"/>
        <v>9221</v>
      </c>
      <c r="AF35" s="118">
        <f t="shared" si="99"/>
        <v>5073</v>
      </c>
      <c r="AG35" s="118">
        <f t="shared" si="99"/>
        <v>4905</v>
      </c>
      <c r="AH35" s="118">
        <f t="shared" si="99"/>
        <v>5699</v>
      </c>
      <c r="AI35" s="118">
        <f t="shared" ref="AI35:BI35" si="100">INDEX(SP_GF_EBITDAX,0,COLUMN())-INDEX(SP_GF_DA,0,COLUMN())-INDEX(SP_GF_IE,0,COLUMN())-INDEX(SP_GF_ExplorationExpense,0,COLUMN())-INDEX(SP_GF_Impairment,0,COLUMN())</f>
        <v>4898</v>
      </c>
      <c r="AJ35" s="953">
        <f t="shared" si="100"/>
        <v>20575</v>
      </c>
      <c r="AK35" s="118">
        <f t="shared" si="100"/>
        <v>3957</v>
      </c>
      <c r="AL35" s="118">
        <f t="shared" si="100"/>
        <v>5935</v>
      </c>
      <c r="AM35" s="118">
        <f t="shared" si="100"/>
        <v>4049</v>
      </c>
      <c r="AN35" s="118">
        <f t="shared" si="100"/>
        <v>-8405</v>
      </c>
      <c r="AO35" s="953">
        <f t="shared" si="100"/>
        <v>5536</v>
      </c>
      <c r="AP35" s="118">
        <f t="shared" si="100"/>
        <v>4145</v>
      </c>
      <c r="AQ35" s="118">
        <f t="shared" si="100"/>
        <v>-10597</v>
      </c>
      <c r="AR35" s="118">
        <f t="shared" si="100"/>
        <v>-44</v>
      </c>
      <c r="AS35" s="118">
        <f t="shared" si="100"/>
        <v>-957</v>
      </c>
      <c r="AT35" s="953">
        <f t="shared" si="100"/>
        <v>-7453</v>
      </c>
      <c r="AU35" s="118">
        <f t="shared" si="100"/>
        <v>2177</v>
      </c>
      <c r="AV35" s="118">
        <f t="shared" si="100"/>
        <v>4422</v>
      </c>
      <c r="AW35" s="118">
        <f t="shared" si="100"/>
        <v>8055</v>
      </c>
      <c r="AX35" s="118">
        <f t="shared" si="100"/>
        <v>6985</v>
      </c>
      <c r="AY35" s="953">
        <f t="shared" si="100"/>
        <v>21639</v>
      </c>
      <c r="AZ35" s="118">
        <f t="shared" si="100"/>
        <v>9054</v>
      </c>
      <c r="BA35" s="118">
        <f t="shared" si="100"/>
        <v>16003</v>
      </c>
      <c r="BB35" s="118">
        <f t="shared" si="100"/>
        <v>14809</v>
      </c>
      <c r="BC35" s="118">
        <f t="shared" si="100"/>
        <v>9808</v>
      </c>
      <c r="BD35" s="953">
        <f t="shared" si="100"/>
        <v>49674</v>
      </c>
      <c r="BE35" s="118">
        <f t="shared" si="100"/>
        <v>9519</v>
      </c>
      <c r="BF35" s="118">
        <f t="shared" si="100"/>
        <v>7837</v>
      </c>
      <c r="BG35" s="118">
        <f t="shared" si="100"/>
        <v>8738</v>
      </c>
      <c r="BH35" s="118">
        <f t="shared" si="100"/>
        <v>3490</v>
      </c>
      <c r="BI35" s="953">
        <f t="shared" si="100"/>
        <v>29584</v>
      </c>
      <c r="BJ35" s="118">
        <f t="shared" ref="BJ35:BN35" si="101">INDEX(SP_GF_EBITDAX,0,COLUMN())-INDEX(SP_GF_DA,0,COLUMN())-INDEX(SP_GF_IE,0,COLUMN())-INDEX(SP_GF_ExplorationExpense,0,COLUMN())-INDEX(SP_GF_Impairment,0,COLUMN())</f>
        <v>7922</v>
      </c>
      <c r="BK35" s="118">
        <f t="shared" si="101"/>
        <v>7036</v>
      </c>
      <c r="BL35" s="118">
        <f t="shared" si="101"/>
        <v>6489</v>
      </c>
      <c r="BM35" s="118">
        <f t="shared" si="101"/>
        <v>6059</v>
      </c>
      <c r="BN35" s="953">
        <f t="shared" si="101"/>
        <v>27506</v>
      </c>
      <c r="BO35" s="118">
        <f t="shared" ref="BO35:BS35" si="102">INDEX(SP_GF_EBITDAX,0,COLUMN())-INDEX(SP_GF_DA,0,COLUMN())-INDEX(SP_GF_IE,0,COLUMN())-INDEX(SP_GF_ExplorationExpense,0,COLUMN())-INDEX(SP_GF_Impairment,0,COLUMN())</f>
        <v>5583</v>
      </c>
      <c r="BP35" s="118">
        <f t="shared" si="102"/>
        <v>4147</v>
      </c>
      <c r="BQ35" s="118">
        <f t="shared" si="102"/>
        <v>5414</v>
      </c>
      <c r="BR35" s="118">
        <f t="shared" si="102"/>
        <v>4599</v>
      </c>
      <c r="BS35" s="953">
        <f t="shared" si="102"/>
        <v>19743</v>
      </c>
      <c r="BT35" s="690">
        <f t="shared" ref="BT35:BX35" si="103">INDEX(SP_GF_EBITDAX,0,COLUMN())-INDEX(SP_GF_DA,0,COLUMN())-INDEX(SP_GF_IE,0,COLUMN())-INDEX(SP_GF_ExplorationExpense,0,COLUMN())-INDEX(SP_GF_Impairment,0,COLUMN())</f>
        <v>3946</v>
      </c>
      <c r="BU35" s="118">
        <f t="shared" si="103"/>
        <v>15981.221096712328</v>
      </c>
      <c r="BV35" s="118">
        <f t="shared" ca="1" si="103"/>
        <v>11912.322029863009</v>
      </c>
      <c r="BW35" s="118">
        <f t="shared" ca="1" si="103"/>
        <v>10474.809929863015</v>
      </c>
      <c r="BX35" s="953">
        <f t="shared" ca="1" si="103"/>
        <v>42314.353056438376</v>
      </c>
      <c r="BY35" s="118">
        <f t="shared" ref="BY35:CF35" ca="1" si="104">INDEX(SP_GF_EBITDAX,0,COLUMN())-INDEX(SP_GF_DA,0,COLUMN())-INDEX(SP_GF_IE,0,COLUMN())-INDEX(SP_GF_ExplorationExpense,0,COLUMN())-INDEX(SP_GF_Impairment,0,COLUMN())</f>
        <v>9533.6311835616398</v>
      </c>
      <c r="BZ35" s="118">
        <f t="shared" ca="1" si="104"/>
        <v>9560.1674337123259</v>
      </c>
      <c r="CA35" s="118">
        <f t="shared" ca="1" si="104"/>
        <v>9821.4443978630134</v>
      </c>
      <c r="CB35" s="118">
        <f t="shared" ca="1" si="104"/>
        <v>9678.2830058630116</v>
      </c>
      <c r="CC35" s="953">
        <f t="shared" ca="1" si="104"/>
        <v>38593.526020999998</v>
      </c>
      <c r="CD35" s="953">
        <f t="shared" ca="1" si="104"/>
        <v>36812.032549999989</v>
      </c>
      <c r="CE35" s="953">
        <f t="shared" ca="1" si="104"/>
        <v>33299.931024999998</v>
      </c>
      <c r="CF35" s="953">
        <f t="shared" ca="1" si="104"/>
        <v>25809.23509999998</v>
      </c>
      <c r="CG35" s="120"/>
    </row>
    <row r="36" spans="1:85" s="460" customFormat="1" x14ac:dyDescent="0.3">
      <c r="A36" s="159" t="s">
        <v>415</v>
      </c>
      <c r="B36" s="160"/>
      <c r="C36" s="150">
        <f t="shared" ref="C36:AH36" si="105">INDEX(MO_RIS_Tax_Current,0,COLUMN())+INDEX(MO_RIS_Tax_Deferred,0,COLUMN())</f>
        <v>7965</v>
      </c>
      <c r="D36" s="150">
        <f t="shared" si="105"/>
        <v>12919</v>
      </c>
      <c r="E36" s="150">
        <f t="shared" si="105"/>
        <v>20626</v>
      </c>
      <c r="F36" s="150">
        <f t="shared" si="105"/>
        <v>19996</v>
      </c>
      <c r="G36" s="117">
        <f t="shared" si="105"/>
        <v>4044</v>
      </c>
      <c r="H36" s="117">
        <f t="shared" si="105"/>
        <v>3185</v>
      </c>
      <c r="I36" s="117">
        <f t="shared" si="105"/>
        <v>3839</v>
      </c>
      <c r="J36" s="117">
        <f t="shared" si="105"/>
        <v>3240</v>
      </c>
      <c r="K36" s="150">
        <f t="shared" si="105"/>
        <v>14308</v>
      </c>
      <c r="L36" s="117">
        <f t="shared" si="105"/>
        <v>3407</v>
      </c>
      <c r="M36" s="117">
        <f t="shared" si="105"/>
        <v>3337</v>
      </c>
      <c r="N36" s="117">
        <f t="shared" si="105"/>
        <v>3236</v>
      </c>
      <c r="O36" s="117">
        <f t="shared" si="105"/>
        <v>1912</v>
      </c>
      <c r="P36" s="150">
        <f t="shared" si="105"/>
        <v>11892</v>
      </c>
      <c r="Q36" s="117">
        <f t="shared" si="105"/>
        <v>305</v>
      </c>
      <c r="R36" s="117">
        <f t="shared" si="105"/>
        <v>755</v>
      </c>
      <c r="S36" s="117">
        <f t="shared" si="105"/>
        <v>727</v>
      </c>
      <c r="T36" s="117">
        <f t="shared" si="105"/>
        <v>-1655</v>
      </c>
      <c r="U36" s="150">
        <f t="shared" si="105"/>
        <v>132</v>
      </c>
      <c r="V36" s="117">
        <f t="shared" si="105"/>
        <v>-1004</v>
      </c>
      <c r="W36" s="117">
        <f t="shared" si="105"/>
        <v>-607</v>
      </c>
      <c r="X36" s="117">
        <f t="shared" si="105"/>
        <v>-192</v>
      </c>
      <c r="Y36" s="117">
        <f t="shared" si="105"/>
        <v>74</v>
      </c>
      <c r="Z36" s="150">
        <f t="shared" si="105"/>
        <v>-1729</v>
      </c>
      <c r="AA36" s="117">
        <f t="shared" si="105"/>
        <v>430</v>
      </c>
      <c r="AB36" s="117">
        <f t="shared" si="105"/>
        <v>487</v>
      </c>
      <c r="AC36" s="117">
        <f t="shared" si="105"/>
        <v>672</v>
      </c>
      <c r="AD36" s="117">
        <f t="shared" si="105"/>
        <v>-1637</v>
      </c>
      <c r="AE36" s="150">
        <f t="shared" si="105"/>
        <v>-48</v>
      </c>
      <c r="AF36" s="117">
        <f t="shared" si="105"/>
        <v>1414</v>
      </c>
      <c r="AG36" s="117">
        <f t="shared" si="105"/>
        <v>1483</v>
      </c>
      <c r="AH36" s="117">
        <f t="shared" si="105"/>
        <v>1643</v>
      </c>
      <c r="AI36" s="117">
        <f t="shared" ref="AI36:BI36" si="106">INDEX(MO_RIS_Tax_Current,0,COLUMN())+INDEX(MO_RIS_Tax_Deferred,0,COLUMN())</f>
        <v>1175</v>
      </c>
      <c r="AJ36" s="150">
        <f t="shared" si="106"/>
        <v>5715</v>
      </c>
      <c r="AK36" s="117">
        <f t="shared" si="106"/>
        <v>1315</v>
      </c>
      <c r="AL36" s="117">
        <f t="shared" si="106"/>
        <v>1645</v>
      </c>
      <c r="AM36" s="117">
        <f t="shared" si="106"/>
        <v>1469</v>
      </c>
      <c r="AN36" s="117">
        <f t="shared" si="106"/>
        <v>-1738</v>
      </c>
      <c r="AO36" s="150">
        <f t="shared" si="106"/>
        <v>2691</v>
      </c>
      <c r="AP36" s="117">
        <f t="shared" si="106"/>
        <v>564</v>
      </c>
      <c r="AQ36" s="117">
        <f t="shared" si="106"/>
        <v>-2320</v>
      </c>
      <c r="AR36" s="117">
        <f t="shared" si="106"/>
        <v>165</v>
      </c>
      <c r="AS36" s="117">
        <f t="shared" si="106"/>
        <v>-301</v>
      </c>
      <c r="AT36" s="150">
        <f t="shared" si="106"/>
        <v>-1892</v>
      </c>
      <c r="AU36" s="117">
        <f t="shared" si="106"/>
        <v>779</v>
      </c>
      <c r="AV36" s="117">
        <f t="shared" si="106"/>
        <v>1328</v>
      </c>
      <c r="AW36" s="117">
        <f t="shared" si="106"/>
        <v>1940</v>
      </c>
      <c r="AX36" s="117">
        <f t="shared" si="106"/>
        <v>1903</v>
      </c>
      <c r="AY36" s="150">
        <f t="shared" si="106"/>
        <v>5950</v>
      </c>
      <c r="AZ36" s="117">
        <f t="shared" si="106"/>
        <v>2777</v>
      </c>
      <c r="BA36" s="117">
        <f t="shared" si="106"/>
        <v>4288</v>
      </c>
      <c r="BB36" s="117">
        <f t="shared" si="106"/>
        <v>3571</v>
      </c>
      <c r="BC36" s="117">
        <f t="shared" si="106"/>
        <v>3430</v>
      </c>
      <c r="BD36" s="150">
        <f t="shared" si="106"/>
        <v>14066</v>
      </c>
      <c r="BE36" s="117">
        <f t="shared" si="106"/>
        <v>2914</v>
      </c>
      <c r="BF36" s="117">
        <f t="shared" si="106"/>
        <v>1829</v>
      </c>
      <c r="BG36" s="117">
        <f t="shared" si="106"/>
        <v>2183</v>
      </c>
      <c r="BH36" s="117">
        <f t="shared" si="106"/>
        <v>1247</v>
      </c>
      <c r="BI36" s="150">
        <f t="shared" si="106"/>
        <v>8173</v>
      </c>
      <c r="BJ36" s="117">
        <f t="shared" ref="BJ36:BN36" si="107">INDEX(MO_RIS_Tax_Current,0,COLUMN())+INDEX(MO_RIS_Tax_Deferred,0,COLUMN())</f>
        <v>2371</v>
      </c>
      <c r="BK36" s="117">
        <f t="shared" si="107"/>
        <v>2593</v>
      </c>
      <c r="BL36" s="117">
        <f t="shared" si="107"/>
        <v>1993</v>
      </c>
      <c r="BM36" s="117">
        <f t="shared" si="107"/>
        <v>2800</v>
      </c>
      <c r="BN36" s="150">
        <f t="shared" si="107"/>
        <v>9757</v>
      </c>
      <c r="BO36" s="117">
        <f t="shared" ref="BO36:BS36" si="108">INDEX(MO_RIS_Tax_Current,0,COLUMN())+INDEX(MO_RIS_Tax_Deferred,0,COLUMN())</f>
        <v>2071</v>
      </c>
      <c r="BP36" s="117">
        <f t="shared" si="108"/>
        <v>1632</v>
      </c>
      <c r="BQ36" s="117">
        <f t="shared" si="108"/>
        <v>1801</v>
      </c>
      <c r="BR36" s="117">
        <f t="shared" si="108"/>
        <v>1754</v>
      </c>
      <c r="BS36" s="150">
        <f t="shared" si="108"/>
        <v>7258</v>
      </c>
      <c r="BT36" s="691">
        <f t="shared" ref="BT36:BX36" si="109">INDEX(MO_RIS_Tax_Current,0,COLUMN())+INDEX(MO_RIS_Tax_Deferred,0,COLUMN())</f>
        <v>1653</v>
      </c>
      <c r="BU36" s="117">
        <f t="shared" si="109"/>
        <v>6072.8640167506819</v>
      </c>
      <c r="BV36" s="117">
        <f t="shared" ca="1" si="109"/>
        <v>4526.6823713479444</v>
      </c>
      <c r="BW36" s="117">
        <f t="shared" ca="1" si="109"/>
        <v>3875.6796740493155</v>
      </c>
      <c r="BX36" s="150">
        <f t="shared" ca="1" si="109"/>
        <v>16128.226062147942</v>
      </c>
      <c r="BY36" s="117">
        <f t="shared" ref="BY36:CF36" ca="1" si="110">INDEX(MO_RIS_Tax_Current,0,COLUMN())+INDEX(MO_RIS_Tax_Deferred,0,COLUMN())</f>
        <v>3527.4435379178067</v>
      </c>
      <c r="BZ36" s="117">
        <f t="shared" ca="1" si="110"/>
        <v>3537.2619504735617</v>
      </c>
      <c r="CA36" s="117">
        <f t="shared" ca="1" si="110"/>
        <v>3633.9344272093122</v>
      </c>
      <c r="CB36" s="117">
        <f t="shared" ca="1" si="110"/>
        <v>3580.9647121693142</v>
      </c>
      <c r="CC36" s="150">
        <f t="shared" ca="1" si="110"/>
        <v>14279.604627769995</v>
      </c>
      <c r="CD36" s="150">
        <f t="shared" ca="1" si="110"/>
        <v>13620.452043500001</v>
      </c>
      <c r="CE36" s="150">
        <f t="shared" ca="1" si="110"/>
        <v>9989.979307499998</v>
      </c>
      <c r="CF36" s="150">
        <f t="shared" ca="1" si="110"/>
        <v>9549.4169869999987</v>
      </c>
      <c r="CG36" s="117"/>
    </row>
    <row r="37" spans="1:85" s="460" customFormat="1" x14ac:dyDescent="0.3">
      <c r="A37" s="159" t="str">
        <f>INDEX(MO_RIS_DisCont,0,COLUMN())</f>
        <v>Discontinued Operations</v>
      </c>
      <c r="B37" s="160"/>
      <c r="C37" s="150">
        <f t="shared" ref="C37:AH37" si="111">INDEX(MO_RIS_DisCont,0,COLUMN())</f>
        <v>0</v>
      </c>
      <c r="D37" s="150">
        <f t="shared" si="111"/>
        <v>0</v>
      </c>
      <c r="E37" s="150">
        <f t="shared" si="111"/>
        <v>0</v>
      </c>
      <c r="F37" s="150">
        <f t="shared" si="111"/>
        <v>0</v>
      </c>
      <c r="G37" s="117">
        <f t="shared" si="111"/>
        <v>0</v>
      </c>
      <c r="H37" s="117">
        <f t="shared" si="111"/>
        <v>0</v>
      </c>
      <c r="I37" s="117">
        <f t="shared" si="111"/>
        <v>0</v>
      </c>
      <c r="J37" s="117">
        <f t="shared" si="111"/>
        <v>0</v>
      </c>
      <c r="K37" s="150">
        <f t="shared" si="111"/>
        <v>0</v>
      </c>
      <c r="L37" s="117">
        <f t="shared" si="111"/>
        <v>0</v>
      </c>
      <c r="M37" s="117">
        <f t="shared" si="111"/>
        <v>0</v>
      </c>
      <c r="N37" s="117">
        <f t="shared" si="111"/>
        <v>0</v>
      </c>
      <c r="O37" s="117">
        <f t="shared" si="111"/>
        <v>0</v>
      </c>
      <c r="P37" s="150">
        <f t="shared" si="111"/>
        <v>0</v>
      </c>
      <c r="Q37" s="117">
        <f t="shared" si="111"/>
        <v>0</v>
      </c>
      <c r="R37" s="117">
        <f t="shared" si="111"/>
        <v>0</v>
      </c>
      <c r="S37" s="117">
        <f t="shared" si="111"/>
        <v>0</v>
      </c>
      <c r="T37" s="117">
        <f t="shared" si="111"/>
        <v>0</v>
      </c>
      <c r="U37" s="150">
        <f t="shared" si="111"/>
        <v>0</v>
      </c>
      <c r="V37" s="117">
        <f t="shared" si="111"/>
        <v>0</v>
      </c>
      <c r="W37" s="117">
        <f t="shared" si="111"/>
        <v>0</v>
      </c>
      <c r="X37" s="117">
        <f t="shared" si="111"/>
        <v>0</v>
      </c>
      <c r="Y37" s="117">
        <f t="shared" si="111"/>
        <v>0</v>
      </c>
      <c r="Z37" s="150">
        <f t="shared" si="111"/>
        <v>0</v>
      </c>
      <c r="AA37" s="117">
        <f t="shared" si="111"/>
        <v>0</v>
      </c>
      <c r="AB37" s="117">
        <f t="shared" si="111"/>
        <v>0</v>
      </c>
      <c r="AC37" s="117">
        <f t="shared" si="111"/>
        <v>0</v>
      </c>
      <c r="AD37" s="117">
        <f t="shared" si="111"/>
        <v>0</v>
      </c>
      <c r="AE37" s="150">
        <f t="shared" si="111"/>
        <v>0</v>
      </c>
      <c r="AF37" s="117">
        <f t="shared" si="111"/>
        <v>0</v>
      </c>
      <c r="AG37" s="117">
        <f t="shared" si="111"/>
        <v>0</v>
      </c>
      <c r="AH37" s="117">
        <f t="shared" si="111"/>
        <v>0</v>
      </c>
      <c r="AI37" s="117">
        <f t="shared" ref="AI37:BI37" si="112">INDEX(MO_RIS_DisCont,0,COLUMN())</f>
        <v>0</v>
      </c>
      <c r="AJ37" s="150">
        <f t="shared" si="112"/>
        <v>0</v>
      </c>
      <c r="AK37" s="117">
        <f t="shared" si="112"/>
        <v>0</v>
      </c>
      <c r="AL37" s="117">
        <f t="shared" si="112"/>
        <v>0</v>
      </c>
      <c r="AM37" s="117">
        <f t="shared" si="112"/>
        <v>0</v>
      </c>
      <c r="AN37" s="117">
        <f t="shared" si="112"/>
        <v>0</v>
      </c>
      <c r="AO37" s="150">
        <f t="shared" si="112"/>
        <v>0</v>
      </c>
      <c r="AP37" s="117">
        <f t="shared" si="112"/>
        <v>0</v>
      </c>
      <c r="AQ37" s="117">
        <f t="shared" si="112"/>
        <v>0</v>
      </c>
      <c r="AR37" s="117">
        <f t="shared" si="112"/>
        <v>0</v>
      </c>
      <c r="AS37" s="117">
        <f t="shared" si="112"/>
        <v>0</v>
      </c>
      <c r="AT37" s="150">
        <f t="shared" si="112"/>
        <v>0</v>
      </c>
      <c r="AU37" s="117">
        <f t="shared" si="112"/>
        <v>0</v>
      </c>
      <c r="AV37" s="117">
        <f t="shared" si="112"/>
        <v>0</v>
      </c>
      <c r="AW37" s="117">
        <f t="shared" si="112"/>
        <v>0</v>
      </c>
      <c r="AX37" s="117">
        <f t="shared" si="112"/>
        <v>0</v>
      </c>
      <c r="AY37" s="150">
        <f t="shared" si="112"/>
        <v>0</v>
      </c>
      <c r="AZ37" s="117">
        <f t="shared" si="112"/>
        <v>0</v>
      </c>
      <c r="BA37" s="117">
        <f t="shared" si="112"/>
        <v>0</v>
      </c>
      <c r="BB37" s="117">
        <f t="shared" si="112"/>
        <v>0</v>
      </c>
      <c r="BC37" s="117">
        <f t="shared" si="112"/>
        <v>0</v>
      </c>
      <c r="BD37" s="150">
        <f t="shared" si="112"/>
        <v>0</v>
      </c>
      <c r="BE37" s="117">
        <f t="shared" si="112"/>
        <v>0</v>
      </c>
      <c r="BF37" s="117">
        <f t="shared" si="112"/>
        <v>0</v>
      </c>
      <c r="BG37" s="117">
        <f t="shared" si="112"/>
        <v>0</v>
      </c>
      <c r="BH37" s="117">
        <f t="shared" si="112"/>
        <v>0</v>
      </c>
      <c r="BI37" s="150">
        <f t="shared" si="112"/>
        <v>0</v>
      </c>
      <c r="BJ37" s="117">
        <f t="shared" ref="BJ37:BN37" si="113">INDEX(MO_RIS_DisCont,0,COLUMN())</f>
        <v>0</v>
      </c>
      <c r="BK37" s="117">
        <f t="shared" si="113"/>
        <v>0</v>
      </c>
      <c r="BL37" s="117">
        <f t="shared" si="113"/>
        <v>0</v>
      </c>
      <c r="BM37" s="117">
        <f t="shared" si="113"/>
        <v>0</v>
      </c>
      <c r="BN37" s="150">
        <f t="shared" si="113"/>
        <v>0</v>
      </c>
      <c r="BO37" s="117">
        <f t="shared" ref="BO37:BS37" si="114">INDEX(MO_RIS_DisCont,0,COLUMN())</f>
        <v>0</v>
      </c>
      <c r="BP37" s="117">
        <f t="shared" si="114"/>
        <v>0</v>
      </c>
      <c r="BQ37" s="117">
        <f t="shared" si="114"/>
        <v>0</v>
      </c>
      <c r="BR37" s="117">
        <f t="shared" si="114"/>
        <v>0</v>
      </c>
      <c r="BS37" s="150">
        <f t="shared" si="114"/>
        <v>0</v>
      </c>
      <c r="BT37" s="691">
        <f t="shared" ref="BT37:BX37" si="115">INDEX(MO_RIS_DisCont,0,COLUMN())</f>
        <v>0</v>
      </c>
      <c r="BU37" s="117">
        <f t="shared" si="115"/>
        <v>0</v>
      </c>
      <c r="BV37" s="117">
        <f t="shared" si="115"/>
        <v>0</v>
      </c>
      <c r="BW37" s="117">
        <f t="shared" si="115"/>
        <v>0</v>
      </c>
      <c r="BX37" s="150">
        <f t="shared" si="115"/>
        <v>0</v>
      </c>
      <c r="BY37" s="117">
        <f t="shared" ref="BY37:CF37" si="116">INDEX(MO_RIS_DisCont,0,COLUMN())</f>
        <v>0</v>
      </c>
      <c r="BZ37" s="117">
        <f t="shared" si="116"/>
        <v>0</v>
      </c>
      <c r="CA37" s="117">
        <f t="shared" si="116"/>
        <v>0</v>
      </c>
      <c r="CB37" s="117">
        <f t="shared" si="116"/>
        <v>0</v>
      </c>
      <c r="CC37" s="150">
        <f t="shared" si="116"/>
        <v>0</v>
      </c>
      <c r="CD37" s="150">
        <f t="shared" si="116"/>
        <v>0</v>
      </c>
      <c r="CE37" s="150">
        <f t="shared" si="116"/>
        <v>0</v>
      </c>
      <c r="CF37" s="150">
        <f t="shared" si="116"/>
        <v>0</v>
      </c>
      <c r="CG37" s="117"/>
    </row>
    <row r="38" spans="1:85" s="460" customFormat="1" x14ac:dyDescent="0.3">
      <c r="A38" s="159" t="str">
        <f>INDEX(MO_RIS_NCI,0,COLUMN())</f>
        <v>Net Income to NCI</v>
      </c>
      <c r="B38" s="160"/>
      <c r="C38" s="150">
        <f t="shared" ref="C38:AH38" si="117">INDEX(MO_RIS_NCI,0,COLUMN())</f>
        <v>80</v>
      </c>
      <c r="D38" s="150">
        <f t="shared" si="117"/>
        <v>112</v>
      </c>
      <c r="E38" s="150">
        <f t="shared" si="117"/>
        <v>113</v>
      </c>
      <c r="F38" s="150">
        <f t="shared" si="117"/>
        <v>157</v>
      </c>
      <c r="G38" s="117">
        <f t="shared" si="117"/>
        <v>61</v>
      </c>
      <c r="H38" s="117">
        <f t="shared" si="117"/>
        <v>39</v>
      </c>
      <c r="I38" s="117">
        <f t="shared" si="117"/>
        <v>46</v>
      </c>
      <c r="J38" s="117">
        <f t="shared" si="117"/>
        <v>28</v>
      </c>
      <c r="K38" s="150">
        <f t="shared" si="117"/>
        <v>174</v>
      </c>
      <c r="L38" s="117">
        <f t="shared" si="117"/>
        <v>9</v>
      </c>
      <c r="M38" s="117">
        <f t="shared" si="117"/>
        <v>25</v>
      </c>
      <c r="N38" s="117">
        <f t="shared" si="117"/>
        <v>34</v>
      </c>
      <c r="O38" s="117">
        <f t="shared" si="117"/>
        <v>1</v>
      </c>
      <c r="P38" s="150">
        <f t="shared" si="117"/>
        <v>69</v>
      </c>
      <c r="Q38" s="117">
        <f t="shared" si="117"/>
        <v>33</v>
      </c>
      <c r="R38" s="117">
        <f t="shared" si="117"/>
        <v>37</v>
      </c>
      <c r="S38" s="117">
        <f t="shared" si="117"/>
        <v>20</v>
      </c>
      <c r="T38" s="117">
        <f t="shared" si="117"/>
        <v>33</v>
      </c>
      <c r="U38" s="150">
        <f t="shared" si="117"/>
        <v>123</v>
      </c>
      <c r="V38" s="117">
        <f t="shared" si="117"/>
        <v>18</v>
      </c>
      <c r="W38" s="117">
        <f t="shared" si="117"/>
        <v>7</v>
      </c>
      <c r="X38" s="117">
        <f t="shared" si="117"/>
        <v>18</v>
      </c>
      <c r="Y38" s="117">
        <f t="shared" si="117"/>
        <v>23</v>
      </c>
      <c r="Z38" s="150">
        <f t="shared" si="117"/>
        <v>66</v>
      </c>
      <c r="AA38" s="117">
        <f t="shared" si="117"/>
        <v>17</v>
      </c>
      <c r="AB38" s="117">
        <f t="shared" si="117"/>
        <v>16</v>
      </c>
      <c r="AC38" s="117">
        <f t="shared" si="117"/>
        <v>34</v>
      </c>
      <c r="AD38" s="117">
        <f t="shared" si="117"/>
        <v>7</v>
      </c>
      <c r="AE38" s="150">
        <f t="shared" si="117"/>
        <v>74</v>
      </c>
      <c r="AF38" s="117">
        <f t="shared" si="117"/>
        <v>21</v>
      </c>
      <c r="AG38" s="117">
        <f t="shared" si="117"/>
        <v>13</v>
      </c>
      <c r="AH38" s="117">
        <f t="shared" si="117"/>
        <v>9</v>
      </c>
      <c r="AI38" s="117">
        <f t="shared" ref="AI38:BI38" si="118">INDEX(MO_RIS_NCI,0,COLUMN())</f>
        <v>-7</v>
      </c>
      <c r="AJ38" s="150">
        <f t="shared" si="118"/>
        <v>36</v>
      </c>
      <c r="AK38" s="117">
        <f t="shared" si="118"/>
        <v>-7</v>
      </c>
      <c r="AL38" s="117">
        <f t="shared" si="118"/>
        <v>-15</v>
      </c>
      <c r="AM38" s="117">
        <f t="shared" si="118"/>
        <v>0</v>
      </c>
      <c r="AN38" s="117">
        <f t="shared" si="118"/>
        <v>-57</v>
      </c>
      <c r="AO38" s="150">
        <f t="shared" si="118"/>
        <v>-79</v>
      </c>
      <c r="AP38" s="117">
        <f t="shared" si="118"/>
        <v>-18</v>
      </c>
      <c r="AQ38" s="117">
        <f t="shared" si="118"/>
        <v>-7</v>
      </c>
      <c r="AR38" s="117">
        <f t="shared" si="118"/>
        <v>-2</v>
      </c>
      <c r="AS38" s="117">
        <f t="shared" si="118"/>
        <v>9</v>
      </c>
      <c r="AT38" s="150">
        <f t="shared" si="118"/>
        <v>-18</v>
      </c>
      <c r="AU38" s="117">
        <f t="shared" si="118"/>
        <v>21</v>
      </c>
      <c r="AV38" s="117">
        <f t="shared" si="118"/>
        <v>12</v>
      </c>
      <c r="AW38" s="117">
        <f t="shared" si="118"/>
        <v>4</v>
      </c>
      <c r="AX38" s="117">
        <f t="shared" si="118"/>
        <v>27</v>
      </c>
      <c r="AY38" s="150">
        <f t="shared" si="118"/>
        <v>64</v>
      </c>
      <c r="AZ38" s="117">
        <f t="shared" si="118"/>
        <v>18</v>
      </c>
      <c r="BA38" s="117">
        <f t="shared" si="118"/>
        <v>93</v>
      </c>
      <c r="BB38" s="117">
        <f t="shared" si="118"/>
        <v>7</v>
      </c>
      <c r="BC38" s="117">
        <f t="shared" si="118"/>
        <v>25</v>
      </c>
      <c r="BD38" s="150">
        <f t="shared" si="118"/>
        <v>143</v>
      </c>
      <c r="BE38" s="117">
        <f t="shared" si="118"/>
        <v>31</v>
      </c>
      <c r="BF38" s="117">
        <f t="shared" si="118"/>
        <v>-2</v>
      </c>
      <c r="BG38" s="117">
        <f t="shared" si="118"/>
        <v>29</v>
      </c>
      <c r="BH38" s="117">
        <f t="shared" si="118"/>
        <v>-16</v>
      </c>
      <c r="BI38" s="150">
        <f t="shared" si="118"/>
        <v>42</v>
      </c>
      <c r="BJ38" s="117">
        <f t="shared" ref="BJ38:BN38" si="119">INDEX(MO_RIS_NCI,0,COLUMN())</f>
        <v>50</v>
      </c>
      <c r="BK38" s="117">
        <f t="shared" si="119"/>
        <v>9</v>
      </c>
      <c r="BL38" s="117">
        <f t="shared" si="119"/>
        <v>9</v>
      </c>
      <c r="BM38" s="117">
        <f t="shared" si="119"/>
        <v>20</v>
      </c>
      <c r="BN38" s="150">
        <f t="shared" si="119"/>
        <v>88</v>
      </c>
      <c r="BO38" s="117">
        <f t="shared" ref="BO38:BS38" si="120">INDEX(MO_RIS_NCI,0,COLUMN())</f>
        <v>12</v>
      </c>
      <c r="BP38" s="117">
        <f t="shared" si="120"/>
        <v>25</v>
      </c>
      <c r="BQ38" s="117">
        <f t="shared" si="120"/>
        <v>74</v>
      </c>
      <c r="BR38" s="117">
        <f t="shared" si="120"/>
        <v>75</v>
      </c>
      <c r="BS38" s="150">
        <f t="shared" si="120"/>
        <v>186</v>
      </c>
      <c r="BT38" s="691">
        <f t="shared" ref="BT38:BX38" si="121">INDEX(MO_RIS_NCI,0,COLUMN())</f>
        <v>83</v>
      </c>
      <c r="BU38" s="117">
        <f t="shared" si="121"/>
        <v>10</v>
      </c>
      <c r="BV38" s="117">
        <f t="shared" si="121"/>
        <v>10</v>
      </c>
      <c r="BW38" s="117">
        <f t="shared" si="121"/>
        <v>10</v>
      </c>
      <c r="BX38" s="150">
        <f t="shared" si="121"/>
        <v>113</v>
      </c>
      <c r="BY38" s="117">
        <f t="shared" ref="BY38:CF38" si="122">INDEX(MO_RIS_NCI,0,COLUMN())</f>
        <v>10</v>
      </c>
      <c r="BZ38" s="117">
        <f t="shared" si="122"/>
        <v>10</v>
      </c>
      <c r="CA38" s="117">
        <f t="shared" si="122"/>
        <v>10</v>
      </c>
      <c r="CB38" s="117">
        <f t="shared" si="122"/>
        <v>10</v>
      </c>
      <c r="CC38" s="150">
        <f t="shared" si="122"/>
        <v>40</v>
      </c>
      <c r="CD38" s="150">
        <f t="shared" si="122"/>
        <v>40</v>
      </c>
      <c r="CE38" s="150">
        <f t="shared" si="122"/>
        <v>40</v>
      </c>
      <c r="CF38" s="150">
        <f t="shared" si="122"/>
        <v>40</v>
      </c>
      <c r="CG38" s="117"/>
    </row>
    <row r="39" spans="1:85" s="460" customFormat="1" x14ac:dyDescent="0.3">
      <c r="A39" s="262" t="str">
        <f>INDEX(MO_RIS_Dividend_Prefs,0,COLUMN())</f>
        <v>Earnings to Preferred and Other Securities</v>
      </c>
      <c r="B39" s="263"/>
      <c r="C39" s="954">
        <f t="shared" ref="C39:AH39" si="123">INDEX(MO_RIS_Dividend_Prefs,0,COLUMN())</f>
        <v>0</v>
      </c>
      <c r="D39" s="954">
        <f t="shared" si="123"/>
        <v>0</v>
      </c>
      <c r="E39" s="954">
        <f t="shared" si="123"/>
        <v>0</v>
      </c>
      <c r="F39" s="954">
        <f t="shared" si="123"/>
        <v>0</v>
      </c>
      <c r="G39" s="133">
        <f t="shared" si="123"/>
        <v>0</v>
      </c>
      <c r="H39" s="133">
        <f t="shared" si="123"/>
        <v>0</v>
      </c>
      <c r="I39" s="133">
        <f t="shared" si="123"/>
        <v>0</v>
      </c>
      <c r="J39" s="133">
        <f t="shared" si="123"/>
        <v>0</v>
      </c>
      <c r="K39" s="954">
        <f t="shared" si="123"/>
        <v>0</v>
      </c>
      <c r="L39" s="133">
        <f t="shared" si="123"/>
        <v>0</v>
      </c>
      <c r="M39" s="133">
        <f t="shared" si="123"/>
        <v>0</v>
      </c>
      <c r="N39" s="133">
        <f t="shared" si="123"/>
        <v>0</v>
      </c>
      <c r="O39" s="133">
        <f t="shared" si="123"/>
        <v>0</v>
      </c>
      <c r="P39" s="954">
        <f t="shared" si="123"/>
        <v>0</v>
      </c>
      <c r="Q39" s="133">
        <f t="shared" si="123"/>
        <v>0</v>
      </c>
      <c r="R39" s="133">
        <f t="shared" si="123"/>
        <v>0</v>
      </c>
      <c r="S39" s="133">
        <f t="shared" si="123"/>
        <v>0</v>
      </c>
      <c r="T39" s="133">
        <f t="shared" si="123"/>
        <v>0</v>
      </c>
      <c r="U39" s="954">
        <f t="shared" si="123"/>
        <v>0</v>
      </c>
      <c r="V39" s="133">
        <f t="shared" si="123"/>
        <v>0</v>
      </c>
      <c r="W39" s="133">
        <f t="shared" si="123"/>
        <v>0</v>
      </c>
      <c r="X39" s="133">
        <f t="shared" si="123"/>
        <v>0</v>
      </c>
      <c r="Y39" s="133">
        <f t="shared" si="123"/>
        <v>0</v>
      </c>
      <c r="Z39" s="954">
        <f t="shared" si="123"/>
        <v>0</v>
      </c>
      <c r="AA39" s="133">
        <f t="shared" si="123"/>
        <v>0</v>
      </c>
      <c r="AB39" s="133">
        <f t="shared" si="123"/>
        <v>0</v>
      </c>
      <c r="AC39" s="133">
        <f t="shared" si="123"/>
        <v>0</v>
      </c>
      <c r="AD39" s="133">
        <f t="shared" si="123"/>
        <v>0</v>
      </c>
      <c r="AE39" s="954">
        <f t="shared" si="123"/>
        <v>0</v>
      </c>
      <c r="AF39" s="133">
        <f t="shared" si="123"/>
        <v>0</v>
      </c>
      <c r="AG39" s="133">
        <f t="shared" si="123"/>
        <v>0</v>
      </c>
      <c r="AH39" s="133">
        <f t="shared" si="123"/>
        <v>0</v>
      </c>
      <c r="AI39" s="133">
        <f t="shared" ref="AI39:BI39" si="124">INDEX(MO_RIS_Dividend_Prefs,0,COLUMN())</f>
        <v>0</v>
      </c>
      <c r="AJ39" s="954">
        <f t="shared" si="124"/>
        <v>0</v>
      </c>
      <c r="AK39" s="133">
        <f t="shared" si="124"/>
        <v>0</v>
      </c>
      <c r="AL39" s="133">
        <f t="shared" si="124"/>
        <v>0</v>
      </c>
      <c r="AM39" s="133">
        <f t="shared" si="124"/>
        <v>0</v>
      </c>
      <c r="AN39" s="133">
        <f t="shared" si="124"/>
        <v>0</v>
      </c>
      <c r="AO39" s="954">
        <f t="shared" si="124"/>
        <v>0</v>
      </c>
      <c r="AP39" s="133">
        <f t="shared" si="124"/>
        <v>0</v>
      </c>
      <c r="AQ39" s="133">
        <f t="shared" si="124"/>
        <v>0</v>
      </c>
      <c r="AR39" s="133">
        <f t="shared" si="124"/>
        <v>0</v>
      </c>
      <c r="AS39" s="133">
        <f t="shared" si="124"/>
        <v>0</v>
      </c>
      <c r="AT39" s="954">
        <f t="shared" si="124"/>
        <v>0</v>
      </c>
      <c r="AU39" s="133">
        <f t="shared" si="124"/>
        <v>0</v>
      </c>
      <c r="AV39" s="133">
        <f t="shared" si="124"/>
        <v>0</v>
      </c>
      <c r="AW39" s="133">
        <f t="shared" si="124"/>
        <v>0</v>
      </c>
      <c r="AX39" s="133">
        <f t="shared" si="124"/>
        <v>0</v>
      </c>
      <c r="AY39" s="954">
        <f t="shared" si="124"/>
        <v>0</v>
      </c>
      <c r="AZ39" s="133">
        <f t="shared" si="124"/>
        <v>0</v>
      </c>
      <c r="BA39" s="133">
        <f t="shared" si="124"/>
        <v>0</v>
      </c>
      <c r="BB39" s="133">
        <f t="shared" si="124"/>
        <v>0</v>
      </c>
      <c r="BC39" s="133">
        <f t="shared" si="124"/>
        <v>0</v>
      </c>
      <c r="BD39" s="954">
        <f t="shared" si="124"/>
        <v>0</v>
      </c>
      <c r="BE39" s="133">
        <f t="shared" si="124"/>
        <v>0</v>
      </c>
      <c r="BF39" s="133">
        <f t="shared" si="124"/>
        <v>0</v>
      </c>
      <c r="BG39" s="133">
        <f t="shared" si="124"/>
        <v>0</v>
      </c>
      <c r="BH39" s="133">
        <f t="shared" si="124"/>
        <v>0</v>
      </c>
      <c r="BI39" s="954">
        <f t="shared" si="124"/>
        <v>0</v>
      </c>
      <c r="BJ39" s="133">
        <f t="shared" ref="BJ39:BN39" si="125">INDEX(MO_RIS_Dividend_Prefs,0,COLUMN())</f>
        <v>0</v>
      </c>
      <c r="BK39" s="133">
        <f t="shared" si="125"/>
        <v>0</v>
      </c>
      <c r="BL39" s="133">
        <f t="shared" si="125"/>
        <v>0</v>
      </c>
      <c r="BM39" s="133">
        <f t="shared" si="125"/>
        <v>0</v>
      </c>
      <c r="BN39" s="954">
        <f t="shared" si="125"/>
        <v>0</v>
      </c>
      <c r="BO39" s="133">
        <f t="shared" ref="BO39:BS39" si="126">INDEX(MO_RIS_Dividend_Prefs,0,COLUMN())</f>
        <v>0</v>
      </c>
      <c r="BP39" s="133">
        <f t="shared" si="126"/>
        <v>0</v>
      </c>
      <c r="BQ39" s="133">
        <f t="shared" si="126"/>
        <v>0</v>
      </c>
      <c r="BR39" s="133">
        <f t="shared" si="126"/>
        <v>0</v>
      </c>
      <c r="BS39" s="954">
        <f t="shared" si="126"/>
        <v>0</v>
      </c>
      <c r="BT39" s="692">
        <f t="shared" ref="BT39:BX39" si="127">INDEX(MO_RIS_Dividend_Prefs,0,COLUMN())</f>
        <v>0</v>
      </c>
      <c r="BU39" s="133">
        <f t="shared" si="127"/>
        <v>0</v>
      </c>
      <c r="BV39" s="133">
        <f t="shared" si="127"/>
        <v>0</v>
      </c>
      <c r="BW39" s="133">
        <f t="shared" si="127"/>
        <v>0</v>
      </c>
      <c r="BX39" s="954">
        <f t="shared" si="127"/>
        <v>0</v>
      </c>
      <c r="BY39" s="133">
        <f t="shared" ref="BY39:CF39" si="128">INDEX(MO_RIS_Dividend_Prefs,0,COLUMN())</f>
        <v>0</v>
      </c>
      <c r="BZ39" s="133">
        <f t="shared" si="128"/>
        <v>0</v>
      </c>
      <c r="CA39" s="133">
        <f t="shared" si="128"/>
        <v>0</v>
      </c>
      <c r="CB39" s="133">
        <f t="shared" si="128"/>
        <v>0</v>
      </c>
      <c r="CC39" s="954">
        <f t="shared" si="128"/>
        <v>0</v>
      </c>
      <c r="CD39" s="954">
        <f t="shared" si="128"/>
        <v>0</v>
      </c>
      <c r="CE39" s="954">
        <f t="shared" si="128"/>
        <v>0</v>
      </c>
      <c r="CF39" s="954">
        <f t="shared" si="128"/>
        <v>0</v>
      </c>
      <c r="CG39" s="117"/>
    </row>
    <row r="40" spans="1:85" s="461" customFormat="1" x14ac:dyDescent="0.3">
      <c r="A40" s="161" t="str">
        <f>INDEX(MO_RIS_NI_GAAP_Basic,0,COLUMN())</f>
        <v>Net Income to Common Shareholders</v>
      </c>
      <c r="B40" s="162"/>
      <c r="C40" s="953">
        <f t="shared" ref="C40:AH40" si="129">INDEX(SP_GF_EBT,0,COLUMN())-INDEX(SP_GF_Tax,0,COLUMN())-INDEX(SP_GF_DisCont,0,COLUMN())-INDEX(SP_GF_NCI,0,COLUMN())-INDEX(SP_GF_Div_Prefs,0,COLUMN())</f>
        <v>10483</v>
      </c>
      <c r="D40" s="953">
        <f t="shared" si="129"/>
        <v>19024</v>
      </c>
      <c r="E40" s="953">
        <f t="shared" si="129"/>
        <v>26895</v>
      </c>
      <c r="F40" s="953">
        <f t="shared" si="129"/>
        <v>26179</v>
      </c>
      <c r="G40" s="118">
        <f t="shared" si="129"/>
        <v>6178</v>
      </c>
      <c r="H40" s="118">
        <f t="shared" si="129"/>
        <v>5365</v>
      </c>
      <c r="I40" s="118">
        <f t="shared" si="129"/>
        <v>4950</v>
      </c>
      <c r="J40" s="118">
        <f t="shared" si="129"/>
        <v>4930</v>
      </c>
      <c r="K40" s="953">
        <f t="shared" si="129"/>
        <v>21423</v>
      </c>
      <c r="L40" s="118">
        <f t="shared" si="129"/>
        <v>4512</v>
      </c>
      <c r="M40" s="118">
        <f t="shared" si="129"/>
        <v>5665</v>
      </c>
      <c r="N40" s="118">
        <f t="shared" si="129"/>
        <v>5593</v>
      </c>
      <c r="O40" s="118">
        <f t="shared" si="129"/>
        <v>3471</v>
      </c>
      <c r="P40" s="953">
        <f t="shared" si="129"/>
        <v>19241</v>
      </c>
      <c r="Q40" s="118">
        <f t="shared" si="129"/>
        <v>2567</v>
      </c>
      <c r="R40" s="118">
        <f t="shared" si="129"/>
        <v>571</v>
      </c>
      <c r="S40" s="118">
        <f t="shared" si="129"/>
        <v>2037</v>
      </c>
      <c r="T40" s="118">
        <f t="shared" si="129"/>
        <v>-588</v>
      </c>
      <c r="U40" s="953">
        <f t="shared" si="129"/>
        <v>4587</v>
      </c>
      <c r="V40" s="118">
        <f t="shared" si="129"/>
        <v>-725</v>
      </c>
      <c r="W40" s="118">
        <f t="shared" si="129"/>
        <v>-1470</v>
      </c>
      <c r="X40" s="118">
        <f t="shared" si="129"/>
        <v>1283</v>
      </c>
      <c r="Y40" s="118">
        <f t="shared" si="129"/>
        <v>415</v>
      </c>
      <c r="Z40" s="953">
        <f t="shared" si="129"/>
        <v>-497</v>
      </c>
      <c r="AA40" s="118">
        <f t="shared" si="129"/>
        <v>2682</v>
      </c>
      <c r="AB40" s="118">
        <f t="shared" si="129"/>
        <v>1450</v>
      </c>
      <c r="AC40" s="118">
        <f t="shared" si="129"/>
        <v>1952</v>
      </c>
      <c r="AD40" s="118">
        <f t="shared" si="129"/>
        <v>3111</v>
      </c>
      <c r="AE40" s="953">
        <f t="shared" si="129"/>
        <v>9195</v>
      </c>
      <c r="AF40" s="118">
        <f t="shared" si="129"/>
        <v>3638</v>
      </c>
      <c r="AG40" s="118">
        <f t="shared" si="129"/>
        <v>3409</v>
      </c>
      <c r="AH40" s="118">
        <f t="shared" si="129"/>
        <v>4047</v>
      </c>
      <c r="AI40" s="118">
        <f t="shared" ref="AI40:BI40" si="130">INDEX(SP_GF_EBT,0,COLUMN())-INDEX(SP_GF_Tax,0,COLUMN())-INDEX(SP_GF_DisCont,0,COLUMN())-INDEX(SP_GF_NCI,0,COLUMN())-INDEX(SP_GF_Div_Prefs,0,COLUMN())</f>
        <v>3730</v>
      </c>
      <c r="AJ40" s="953">
        <f t="shared" si="130"/>
        <v>14824</v>
      </c>
      <c r="AK40" s="118">
        <f t="shared" si="130"/>
        <v>2649</v>
      </c>
      <c r="AL40" s="118">
        <f t="shared" si="130"/>
        <v>4305</v>
      </c>
      <c r="AM40" s="118">
        <f t="shared" si="130"/>
        <v>2580</v>
      </c>
      <c r="AN40" s="118">
        <f t="shared" si="130"/>
        <v>-6610</v>
      </c>
      <c r="AO40" s="953">
        <f t="shared" si="130"/>
        <v>2924</v>
      </c>
      <c r="AP40" s="118">
        <f t="shared" si="130"/>
        <v>3599</v>
      </c>
      <c r="AQ40" s="118">
        <f t="shared" si="130"/>
        <v>-8270</v>
      </c>
      <c r="AR40" s="118">
        <f t="shared" si="130"/>
        <v>-207</v>
      </c>
      <c r="AS40" s="118">
        <f t="shared" si="130"/>
        <v>-665</v>
      </c>
      <c r="AT40" s="953">
        <f t="shared" si="130"/>
        <v>-5543</v>
      </c>
      <c r="AU40" s="118">
        <f t="shared" si="130"/>
        <v>1377</v>
      </c>
      <c r="AV40" s="118">
        <f t="shared" si="130"/>
        <v>3082</v>
      </c>
      <c r="AW40" s="118">
        <f t="shared" si="130"/>
        <v>6111</v>
      </c>
      <c r="AX40" s="118">
        <f t="shared" si="130"/>
        <v>5055</v>
      </c>
      <c r="AY40" s="953">
        <f t="shared" si="130"/>
        <v>15625</v>
      </c>
      <c r="AZ40" s="118">
        <f t="shared" si="130"/>
        <v>6259</v>
      </c>
      <c r="BA40" s="118">
        <f t="shared" si="130"/>
        <v>11622</v>
      </c>
      <c r="BB40" s="118">
        <f t="shared" si="130"/>
        <v>11231</v>
      </c>
      <c r="BC40" s="118">
        <f t="shared" si="130"/>
        <v>6353</v>
      </c>
      <c r="BD40" s="953">
        <f t="shared" si="130"/>
        <v>35465</v>
      </c>
      <c r="BE40" s="118">
        <f t="shared" si="130"/>
        <v>6574</v>
      </c>
      <c r="BF40" s="118">
        <f t="shared" si="130"/>
        <v>6010</v>
      </c>
      <c r="BG40" s="118">
        <f t="shared" si="130"/>
        <v>6526</v>
      </c>
      <c r="BH40" s="118">
        <f t="shared" si="130"/>
        <v>2259</v>
      </c>
      <c r="BI40" s="953">
        <f t="shared" si="130"/>
        <v>21369</v>
      </c>
      <c r="BJ40" s="118">
        <f t="shared" ref="BJ40:BN40" si="131">INDEX(SP_GF_EBT,0,COLUMN())-INDEX(SP_GF_Tax,0,COLUMN())-INDEX(SP_GF_DisCont,0,COLUMN())-INDEX(SP_GF_NCI,0,COLUMN())-INDEX(SP_GF_Div_Prefs,0,COLUMN())</f>
        <v>5501</v>
      </c>
      <c r="BK40" s="118">
        <f t="shared" si="131"/>
        <v>4434</v>
      </c>
      <c r="BL40" s="118">
        <f t="shared" si="131"/>
        <v>4487</v>
      </c>
      <c r="BM40" s="118">
        <f t="shared" si="131"/>
        <v>3239</v>
      </c>
      <c r="BN40" s="953">
        <f t="shared" si="131"/>
        <v>17661</v>
      </c>
      <c r="BO40" s="118">
        <f t="shared" ref="BO40:BS40" si="132">INDEX(SP_GF_EBT,0,COLUMN())-INDEX(SP_GF_Tax,0,COLUMN())-INDEX(SP_GF_DisCont,0,COLUMN())-INDEX(SP_GF_NCI,0,COLUMN())-INDEX(SP_GF_Div_Prefs,0,COLUMN())</f>
        <v>3500</v>
      </c>
      <c r="BP40" s="118">
        <f t="shared" si="132"/>
        <v>2490</v>
      </c>
      <c r="BQ40" s="118">
        <f t="shared" si="132"/>
        <v>3539</v>
      </c>
      <c r="BR40" s="118">
        <f t="shared" si="132"/>
        <v>2770</v>
      </c>
      <c r="BS40" s="953">
        <f t="shared" si="132"/>
        <v>12299</v>
      </c>
      <c r="BT40" s="690">
        <f t="shared" ref="BT40:BX40" si="133">INDEX(SP_GF_EBT,0,COLUMN())-INDEX(SP_GF_Tax,0,COLUMN())-INDEX(SP_GF_DisCont,0,COLUMN())-INDEX(SP_GF_NCI,0,COLUMN())-INDEX(SP_GF_Div_Prefs,0,COLUMN())</f>
        <v>2210</v>
      </c>
      <c r="BU40" s="118">
        <f t="shared" si="133"/>
        <v>9898.3570799616464</v>
      </c>
      <c r="BV40" s="118">
        <f t="shared" ca="1" si="133"/>
        <v>7375.6396585150651</v>
      </c>
      <c r="BW40" s="118">
        <f t="shared" ca="1" si="133"/>
        <v>6589.1302558136995</v>
      </c>
      <c r="BX40" s="953">
        <f t="shared" ca="1" si="133"/>
        <v>26073.126994290433</v>
      </c>
      <c r="BY40" s="118">
        <f t="shared" ref="BY40:CF40" ca="1" si="134">INDEX(SP_GF_EBT,0,COLUMN())-INDEX(SP_GF_Tax,0,COLUMN())-INDEX(SP_GF_DisCont,0,COLUMN())-INDEX(SP_GF_NCI,0,COLUMN())-INDEX(SP_GF_Div_Prefs,0,COLUMN())</f>
        <v>5996.1876456438331</v>
      </c>
      <c r="BZ40" s="118">
        <f t="shared" ca="1" si="134"/>
        <v>6012.9054832387646</v>
      </c>
      <c r="CA40" s="118">
        <f t="shared" ca="1" si="134"/>
        <v>6177.5099706537012</v>
      </c>
      <c r="CB40" s="118">
        <f t="shared" ca="1" si="134"/>
        <v>6087.3182936936973</v>
      </c>
      <c r="CC40" s="953">
        <f t="shared" ca="1" si="134"/>
        <v>24273.921393230004</v>
      </c>
      <c r="CD40" s="953">
        <f t="shared" ca="1" si="134"/>
        <v>23151.580506499988</v>
      </c>
      <c r="CE40" s="953">
        <f t="shared" ca="1" si="134"/>
        <v>23269.9517175</v>
      </c>
      <c r="CF40" s="953">
        <f t="shared" ca="1" si="134"/>
        <v>16219.818112999981</v>
      </c>
      <c r="CG40" s="120"/>
    </row>
    <row r="41" spans="1:85" s="459" customFormat="1" x14ac:dyDescent="0.3">
      <c r="A41" s="168" t="str">
        <f>INDEX(MO_RIS_EPS_WAD,0,COLUMN())</f>
        <v>Earnings Per Share - WAD</v>
      </c>
      <c r="B41" s="169"/>
      <c r="C41" s="958">
        <f t="shared" ref="C41:AH41" si="135">INDEX(MO_RIS_EPS_WAD,0,COLUMN())</f>
        <v>5.2388805597201396</v>
      </c>
      <c r="D41" s="958">
        <f t="shared" si="135"/>
        <v>9.4809924143090019</v>
      </c>
      <c r="E41" s="958">
        <f t="shared" si="135"/>
        <v>13.442223927108609</v>
      </c>
      <c r="F41" s="958">
        <f t="shared" si="135"/>
        <v>13.324307610872602</v>
      </c>
      <c r="G41" s="121">
        <f t="shared" si="135"/>
        <v>3.178096341896909</v>
      </c>
      <c r="H41" s="121">
        <f t="shared" si="135"/>
        <v>2.7700573580003542</v>
      </c>
      <c r="I41" s="121">
        <f t="shared" si="135"/>
        <v>2.5649914422558244</v>
      </c>
      <c r="J41" s="121">
        <f t="shared" si="135"/>
        <v>2.5686126990544587</v>
      </c>
      <c r="K41" s="958">
        <f t="shared" si="135"/>
        <v>11.086254193634524</v>
      </c>
      <c r="L41" s="121">
        <f t="shared" si="135"/>
        <v>2.3630162813497684</v>
      </c>
      <c r="M41" s="121">
        <f t="shared" si="135"/>
        <v>2.9779411571443517</v>
      </c>
      <c r="N41" s="121">
        <f t="shared" si="135"/>
        <v>2.9491292343969815</v>
      </c>
      <c r="O41" s="121">
        <f t="shared" si="135"/>
        <v>1.8426990152098319</v>
      </c>
      <c r="P41" s="958">
        <f t="shared" si="135"/>
        <v>10.138063340634398</v>
      </c>
      <c r="Q41" s="121">
        <f t="shared" si="135"/>
        <v>1.3679737468411903</v>
      </c>
      <c r="R41" s="121">
        <f t="shared" si="135"/>
        <v>0.304256662608135</v>
      </c>
      <c r="S41" s="121">
        <f t="shared" si="135"/>
        <v>1.0878969461979684</v>
      </c>
      <c r="T41" s="121">
        <f t="shared" si="135"/>
        <v>-0.31371494515590509</v>
      </c>
      <c r="U41" s="958">
        <f t="shared" si="135"/>
        <v>2.4464378382385648</v>
      </c>
      <c r="V41" s="121">
        <f t="shared" si="135"/>
        <v>-0.38774718883288095</v>
      </c>
      <c r="W41" s="121">
        <f t="shared" si="135"/>
        <v>-0.7852585076349029</v>
      </c>
      <c r="X41" s="121">
        <f t="shared" si="135"/>
        <v>0.68123580316267562</v>
      </c>
      <c r="Y41" s="121">
        <f t="shared" si="135"/>
        <v>0.21957160785674829</v>
      </c>
      <c r="Z41" s="958">
        <f t="shared" si="135"/>
        <v>-0.2653796022936914</v>
      </c>
      <c r="AA41" s="121">
        <f t="shared" si="135"/>
        <v>1.4150099741847733</v>
      </c>
      <c r="AB41" s="121">
        <f t="shared" si="135"/>
        <v>0.7659742611517929</v>
      </c>
      <c r="AC41" s="121">
        <f t="shared" si="135"/>
        <v>1.0296015726742056</v>
      </c>
      <c r="AD41" s="121">
        <f t="shared" si="135"/>
        <v>1.6320890424972694</v>
      </c>
      <c r="AE41" s="958">
        <f t="shared" si="135"/>
        <v>4.845510169774661</v>
      </c>
      <c r="AF41" s="121">
        <f t="shared" si="135"/>
        <v>1.9015083487610924</v>
      </c>
      <c r="AG41" s="121">
        <f t="shared" si="135"/>
        <v>1.7764932783518477</v>
      </c>
      <c r="AH41" s="121">
        <f t="shared" si="135"/>
        <v>2.1105892439741036</v>
      </c>
      <c r="AI41" s="121">
        <f t="shared" ref="AI41:BI41" si="136">INDEX(MO_RIS_EPS_WAD,0,COLUMN())</f>
        <v>1.9561333170409627</v>
      </c>
      <c r="AJ41" s="958">
        <f t="shared" si="136"/>
        <v>7.7446036193378953</v>
      </c>
      <c r="AK41" s="121">
        <f t="shared" si="136"/>
        <v>1.3936618636452596</v>
      </c>
      <c r="AL41" s="121">
        <f t="shared" si="136"/>
        <v>2.2622448931332326</v>
      </c>
      <c r="AM41" s="121">
        <f t="shared" si="136"/>
        <v>1.3622481952851428</v>
      </c>
      <c r="AN41" s="121">
        <f t="shared" si="136"/>
        <v>-3.5303850790224089</v>
      </c>
      <c r="AO41" s="958">
        <f t="shared" si="136"/>
        <v>1.5429053266115287</v>
      </c>
      <c r="AP41" s="121">
        <f t="shared" si="136"/>
        <v>1.9290874114048249</v>
      </c>
      <c r="AQ41" s="121">
        <f t="shared" si="136"/>
        <v>-4.4622791724873236</v>
      </c>
      <c r="AR41" s="121">
        <f t="shared" si="136"/>
        <v>-0.11167861591889651</v>
      </c>
      <c r="AS41" s="121">
        <f t="shared" si="136"/>
        <v>-0.34803561372547792</v>
      </c>
      <c r="AT41" s="958">
        <f t="shared" si="136"/>
        <v>-2.9641283254199005</v>
      </c>
      <c r="AU41" s="121">
        <f t="shared" si="136"/>
        <v>0.71872639803245386</v>
      </c>
      <c r="AV41" s="121">
        <f t="shared" si="136"/>
        <v>1.6035730229276601</v>
      </c>
      <c r="AW41" s="121">
        <f t="shared" si="136"/>
        <v>3.1809983368859949</v>
      </c>
      <c r="AX41" s="121">
        <f t="shared" si="136"/>
        <v>2.6299606364348658</v>
      </c>
      <c r="AY41" s="958">
        <f t="shared" si="136"/>
        <v>8.1368553983153458</v>
      </c>
      <c r="AZ41" s="121">
        <f t="shared" si="136"/>
        <v>3.2187527962882778</v>
      </c>
      <c r="BA41" s="121">
        <f t="shared" si="136"/>
        <v>5.9383509043185638</v>
      </c>
      <c r="BB41" s="121">
        <f t="shared" si="136"/>
        <v>5.7891692895161961</v>
      </c>
      <c r="BC41" s="121">
        <f t="shared" si="136"/>
        <v>3.3093178158814958</v>
      </c>
      <c r="BD41" s="958">
        <f t="shared" si="136"/>
        <v>18.278317992740213</v>
      </c>
      <c r="BE41" s="121">
        <f t="shared" si="136"/>
        <v>3.4585710640603748</v>
      </c>
      <c r="BF41" s="121">
        <f t="shared" si="136"/>
        <v>3.2044651369122392</v>
      </c>
      <c r="BG41" s="121">
        <f t="shared" si="136"/>
        <v>3.4766320885790023</v>
      </c>
      <c r="BH41" s="121">
        <f t="shared" si="136"/>
        <v>1.2092493928326145</v>
      </c>
      <c r="BI41" s="958">
        <f t="shared" si="136"/>
        <v>11.364633541224917</v>
      </c>
      <c r="BJ41" s="121">
        <f t="shared" ref="BJ41:BN41" si="137">INDEX(MO_RIS_EPS_WAD,0,COLUMN())</f>
        <v>2.9749350500455352</v>
      </c>
      <c r="BK41" s="121">
        <f t="shared" si="137"/>
        <v>2.4184166188964844</v>
      </c>
      <c r="BL41" s="121">
        <f t="shared" si="137"/>
        <v>2.4830799710021418</v>
      </c>
      <c r="BM41" s="121">
        <f t="shared" si="137"/>
        <v>1.8223596040432866</v>
      </c>
      <c r="BN41" s="958">
        <f t="shared" si="137"/>
        <v>9.7219974435787258</v>
      </c>
      <c r="BO41" s="121">
        <f t="shared" ref="BO41:BS41" si="138">INDEX(MO_RIS_EPS_WAD,0,COLUMN())</f>
        <v>1.9983544978106598</v>
      </c>
      <c r="BP41" s="121">
        <f t="shared" si="138"/>
        <v>1.4439830271103464</v>
      </c>
      <c r="BQ41" s="121">
        <f t="shared" si="138"/>
        <v>1.8185695529628192</v>
      </c>
      <c r="BR41" s="121">
        <f t="shared" si="138"/>
        <v>1.3870917343353779</v>
      </c>
      <c r="BS41" s="958">
        <f t="shared" si="138"/>
        <v>6.6279126790422911</v>
      </c>
      <c r="BT41" s="695">
        <f t="shared" ref="BT41:BX41" si="139">INDEX(MO_RIS_EPS_WAD,0,COLUMN())</f>
        <v>1.1128455612065058</v>
      </c>
      <c r="BU41" s="121">
        <f t="shared" ca="1" si="139"/>
        <v>4.9721437924037097</v>
      </c>
      <c r="BV41" s="121">
        <f t="shared" ca="1" si="139"/>
        <v>3.7172359217576059</v>
      </c>
      <c r="BW41" s="121">
        <f t="shared" ca="1" si="139"/>
        <v>3.3208444032068938</v>
      </c>
      <c r="BX41" s="958">
        <f t="shared" ca="1" si="139"/>
        <v>13.105305093333403</v>
      </c>
      <c r="BY41" s="121">
        <f t="shared" ref="BY41:CF41" ca="1" si="140">INDEX(MO_RIS_EPS_WAD,0,COLUMN())</f>
        <v>3.0220082788689142</v>
      </c>
      <c r="BZ41" s="121">
        <f t="shared" ca="1" si="140"/>
        <v>3.0304338730301281</v>
      </c>
      <c r="CA41" s="121">
        <f t="shared" ca="1" si="140"/>
        <v>3.1133926049951395</v>
      </c>
      <c r="CB41" s="121">
        <f t="shared" ca="1" si="140"/>
        <v>3.0679370571427982</v>
      </c>
      <c r="CC41" s="958">
        <f t="shared" ca="1" si="140"/>
        <v>12.233771814036976</v>
      </c>
      <c r="CD41" s="958">
        <f t="shared" ca="1" si="140"/>
        <v>11.668125164557095</v>
      </c>
      <c r="CE41" s="958">
        <f t="shared" ca="1" si="140"/>
        <v>11.72778286721115</v>
      </c>
      <c r="CF41" s="958">
        <f t="shared" ca="1" si="140"/>
        <v>8.1745981807030113</v>
      </c>
      <c r="CG41" s="121"/>
    </row>
    <row r="42" spans="1:85" s="460" customFormat="1" x14ac:dyDescent="0.3">
      <c r="A42" s="489" t="str">
        <f>INDEX(MO_RIS_ShareCount_WAD_Adj,0,COLUMN())</f>
        <v>Adjusted Shares Outstanding - WAD</v>
      </c>
      <c r="B42" s="160"/>
      <c r="C42" s="150">
        <f t="shared" ref="C42:AH42" si="141">INDEX(MO_RIS_ShareCount_WAD_Adj,0,COLUMN())</f>
        <v>2001</v>
      </c>
      <c r="D42" s="150">
        <f t="shared" si="141"/>
        <v>2006.5409999999999</v>
      </c>
      <c r="E42" s="150">
        <f t="shared" si="141"/>
        <v>2000.7850000000001</v>
      </c>
      <c r="F42" s="150">
        <f t="shared" si="141"/>
        <v>1964.7550000000001</v>
      </c>
      <c r="G42" s="117">
        <f t="shared" si="141"/>
        <v>1943.931</v>
      </c>
      <c r="H42" s="117">
        <f t="shared" si="141"/>
        <v>1936.7829999999999</v>
      </c>
      <c r="I42" s="117">
        <f t="shared" si="141"/>
        <v>1929.8309999999999</v>
      </c>
      <c r="J42" s="117">
        <f t="shared" si="141"/>
        <v>1919.3240000000001</v>
      </c>
      <c r="K42" s="150">
        <f t="shared" si="141"/>
        <v>1932.393</v>
      </c>
      <c r="L42" s="117">
        <f t="shared" si="141"/>
        <v>1909.424</v>
      </c>
      <c r="M42" s="117">
        <f t="shared" si="141"/>
        <v>1902.3209999999999</v>
      </c>
      <c r="N42" s="117">
        <f t="shared" si="141"/>
        <v>1896.492</v>
      </c>
      <c r="O42" s="117">
        <f t="shared" si="141"/>
        <v>1883.65</v>
      </c>
      <c r="P42" s="150">
        <f t="shared" si="141"/>
        <v>1897.8969999999999</v>
      </c>
      <c r="Q42" s="117">
        <f t="shared" si="141"/>
        <v>1876.498</v>
      </c>
      <c r="R42" s="117">
        <f t="shared" si="141"/>
        <v>1876.7049999999999</v>
      </c>
      <c r="S42" s="117">
        <f t="shared" si="141"/>
        <v>1872.42</v>
      </c>
      <c r="T42" s="117">
        <f t="shared" si="141"/>
        <v>1874.3130000000001</v>
      </c>
      <c r="U42" s="150">
        <f t="shared" si="141"/>
        <v>1874.971</v>
      </c>
      <c r="V42" s="117">
        <f t="shared" si="141"/>
        <v>1869.7750000000001</v>
      </c>
      <c r="W42" s="117">
        <f t="shared" si="141"/>
        <v>1871.9949999999999</v>
      </c>
      <c r="X42" s="117">
        <f t="shared" si="141"/>
        <v>1883.3420000000001</v>
      </c>
      <c r="Y42" s="117">
        <f t="shared" si="141"/>
        <v>1890.0440000000001</v>
      </c>
      <c r="Z42" s="150">
        <f t="shared" si="141"/>
        <v>1872.789</v>
      </c>
      <c r="AA42" s="117">
        <f t="shared" si="141"/>
        <v>1895.393</v>
      </c>
      <c r="AB42" s="117">
        <f t="shared" si="141"/>
        <v>1893.0139999999999</v>
      </c>
      <c r="AC42" s="117">
        <f t="shared" si="141"/>
        <v>1895.8789999999999</v>
      </c>
      <c r="AD42" s="117">
        <f t="shared" si="141"/>
        <v>1906.146</v>
      </c>
      <c r="AE42" s="150">
        <f t="shared" si="141"/>
        <v>1897.633</v>
      </c>
      <c r="AF42" s="117">
        <f t="shared" si="141"/>
        <v>1913.2180000000001</v>
      </c>
      <c r="AG42" s="117">
        <f t="shared" si="141"/>
        <v>1918.9490000000001</v>
      </c>
      <c r="AH42" s="117">
        <f t="shared" si="141"/>
        <v>1917.4739999999999</v>
      </c>
      <c r="AI42" s="117">
        <f t="shared" ref="AI42:BN42" si="142">INDEX(MO_RIS_ShareCount_WAD_Adj,0,COLUMN())</f>
        <v>1906.8230000000001</v>
      </c>
      <c r="AJ42" s="150">
        <f t="shared" si="142"/>
        <v>1914.107</v>
      </c>
      <c r="AK42" s="117">
        <f t="shared" si="142"/>
        <v>1900.748</v>
      </c>
      <c r="AL42" s="117">
        <f t="shared" si="142"/>
        <v>1902.9770000000001</v>
      </c>
      <c r="AM42" s="117">
        <f t="shared" si="142"/>
        <v>1893.9280000000001</v>
      </c>
      <c r="AN42" s="117">
        <f t="shared" si="142"/>
        <v>1872.317</v>
      </c>
      <c r="AO42" s="150">
        <f t="shared" si="142"/>
        <v>1895.126</v>
      </c>
      <c r="AP42" s="117">
        <f t="shared" si="142"/>
        <v>1865.6489999999999</v>
      </c>
      <c r="AQ42" s="117">
        <f t="shared" si="142"/>
        <v>1853.3130000000001</v>
      </c>
      <c r="AR42" s="117">
        <f t="shared" si="142"/>
        <v>1853.5329999999999</v>
      </c>
      <c r="AS42" s="117">
        <f t="shared" si="142"/>
        <v>1910.7239999999999</v>
      </c>
      <c r="AT42" s="150">
        <f t="shared" si="142"/>
        <v>1870.027</v>
      </c>
      <c r="AU42" s="117">
        <f t="shared" si="142"/>
        <v>1915.8889999999999</v>
      </c>
      <c r="AV42" s="117">
        <f t="shared" si="142"/>
        <v>1921.9580000000001</v>
      </c>
      <c r="AW42" s="117">
        <f t="shared" si="142"/>
        <v>1921.095</v>
      </c>
      <c r="AX42" s="117">
        <f t="shared" si="142"/>
        <v>1922.0820000000001</v>
      </c>
      <c r="AY42" s="150">
        <f t="shared" si="142"/>
        <v>1920.2750000000001</v>
      </c>
      <c r="AZ42" s="117">
        <f t="shared" si="142"/>
        <v>1944.5419999999999</v>
      </c>
      <c r="BA42" s="117">
        <f t="shared" si="142"/>
        <v>1957.1089999999999</v>
      </c>
      <c r="BB42" s="117">
        <f t="shared" si="142"/>
        <v>1940.002</v>
      </c>
      <c r="BC42" s="117">
        <f t="shared" si="142"/>
        <v>1919.731</v>
      </c>
      <c r="BD42" s="150">
        <f t="shared" si="142"/>
        <v>1940.277</v>
      </c>
      <c r="BE42" s="117">
        <f t="shared" si="142"/>
        <v>1900.7850000000001</v>
      </c>
      <c r="BF42" s="117">
        <f t="shared" si="142"/>
        <v>1875.508</v>
      </c>
      <c r="BG42" s="117">
        <f t="shared" si="142"/>
        <v>1877.104</v>
      </c>
      <c r="BH42" s="117">
        <f t="shared" si="142"/>
        <v>1868.1010000000001</v>
      </c>
      <c r="BI42" s="150">
        <f t="shared" si="142"/>
        <v>1880.307</v>
      </c>
      <c r="BJ42" s="117">
        <f t="shared" si="142"/>
        <v>1849.116</v>
      </c>
      <c r="BK42" s="117">
        <f t="shared" si="142"/>
        <v>1833.431</v>
      </c>
      <c r="BL42" s="117">
        <f t="shared" si="142"/>
        <v>1807.03</v>
      </c>
      <c r="BM42" s="117">
        <f t="shared" si="142"/>
        <v>1777.366</v>
      </c>
      <c r="BN42" s="150">
        <f t="shared" si="142"/>
        <v>1816.6020000000001</v>
      </c>
      <c r="BO42" s="117">
        <f t="shared" ref="BO42:BS42" si="143">INDEX(MO_RIS_ShareCount_WAD_Adj,0,COLUMN())</f>
        <v>1751.441</v>
      </c>
      <c r="BP42" s="117">
        <f t="shared" si="143"/>
        <v>1724.3969999999999</v>
      </c>
      <c r="BQ42" s="117">
        <f t="shared" si="143"/>
        <v>1946.0350000000001</v>
      </c>
      <c r="BR42" s="117">
        <f t="shared" si="143"/>
        <v>1996.9839999999999</v>
      </c>
      <c r="BS42" s="150">
        <f t="shared" si="143"/>
        <v>1855.6369999999999</v>
      </c>
      <c r="BT42" s="691">
        <f t="shared" ref="BT42:BX42" si="144">INDEX(MO_RIS_ShareCount_WAD_Adj,0,COLUMN())</f>
        <v>1985.9</v>
      </c>
      <c r="BU42" s="117">
        <f t="shared" ca="1" si="144"/>
        <v>1990.7624343213984</v>
      </c>
      <c r="BV42" s="117">
        <f t="shared" ca="1" si="144"/>
        <v>1984.1731366427969</v>
      </c>
      <c r="BW42" s="117">
        <f t="shared" ca="1" si="144"/>
        <v>1984.1731366427969</v>
      </c>
      <c r="BX42" s="150">
        <f t="shared" ca="1" si="144"/>
        <v>1989.5093482069092</v>
      </c>
      <c r="BY42" s="117">
        <f t="shared" ref="BY42:CF42" ca="1" si="145">INDEX(MO_RIS_ShareCount_WAD_Adj,0,COLUMN())</f>
        <v>1984.1731366427969</v>
      </c>
      <c r="BZ42" s="117">
        <f t="shared" ca="1" si="145"/>
        <v>1984.1731366427969</v>
      </c>
      <c r="CA42" s="117">
        <f t="shared" ca="1" si="145"/>
        <v>1984.1731366427969</v>
      </c>
      <c r="CB42" s="117">
        <f t="shared" ca="1" si="145"/>
        <v>1984.1731366427969</v>
      </c>
      <c r="CC42" s="150">
        <f t="shared" ca="1" si="145"/>
        <v>1984.1731366427973</v>
      </c>
      <c r="CD42" s="150">
        <f t="shared" ca="1" si="145"/>
        <v>1984.1731366427969</v>
      </c>
      <c r="CE42" s="150">
        <f t="shared" ca="1" si="145"/>
        <v>1984.1731366427969</v>
      </c>
      <c r="CF42" s="150">
        <f t="shared" ca="1" si="145"/>
        <v>1984.1731366427969</v>
      </c>
      <c r="CG42" s="117"/>
    </row>
    <row r="43" spans="1:85" s="458" customFormat="1" x14ac:dyDescent="0.3">
      <c r="A43" s="170"/>
      <c r="B43" s="171"/>
      <c r="C43" s="959"/>
      <c r="D43" s="959"/>
      <c r="E43" s="959"/>
      <c r="F43" s="959"/>
      <c r="G43" s="730"/>
      <c r="H43" s="730"/>
      <c r="I43" s="730"/>
      <c r="J43" s="730"/>
      <c r="K43" s="959"/>
      <c r="L43" s="730"/>
      <c r="M43" s="730"/>
      <c r="N43" s="730"/>
      <c r="O43" s="730"/>
      <c r="P43" s="959"/>
      <c r="Q43" s="730"/>
      <c r="R43" s="730"/>
      <c r="S43" s="730"/>
      <c r="T43" s="730"/>
      <c r="U43" s="959"/>
      <c r="V43" s="730"/>
      <c r="W43" s="730"/>
      <c r="X43" s="730"/>
      <c r="Y43" s="730"/>
      <c r="Z43" s="959"/>
      <c r="AA43" s="730"/>
      <c r="AB43" s="730"/>
      <c r="AC43" s="730"/>
      <c r="AD43" s="730"/>
      <c r="AE43" s="959"/>
      <c r="AF43" s="730"/>
      <c r="AG43" s="730"/>
      <c r="AH43" s="730"/>
      <c r="AI43" s="730"/>
      <c r="AJ43" s="959"/>
      <c r="AK43" s="730"/>
      <c r="AL43" s="730"/>
      <c r="AM43" s="730"/>
      <c r="AN43" s="730"/>
      <c r="AO43" s="959"/>
      <c r="AP43" s="730"/>
      <c r="AQ43" s="730"/>
      <c r="AR43" s="730"/>
      <c r="AS43" s="730"/>
      <c r="AT43" s="959"/>
      <c r="AU43" s="730"/>
      <c r="AV43" s="730"/>
      <c r="AW43" s="730"/>
      <c r="AX43" s="730"/>
      <c r="AY43" s="959"/>
      <c r="AZ43" s="730"/>
      <c r="BA43" s="730"/>
      <c r="BB43" s="730"/>
      <c r="BC43" s="730"/>
      <c r="BD43" s="959"/>
      <c r="BE43" s="730"/>
      <c r="BF43" s="730"/>
      <c r="BG43" s="730"/>
      <c r="BH43" s="730"/>
      <c r="BI43" s="959"/>
      <c r="BJ43" s="730"/>
      <c r="BK43" s="730"/>
      <c r="BL43" s="730"/>
      <c r="BM43" s="730"/>
      <c r="BN43" s="959"/>
      <c r="BO43" s="730"/>
      <c r="BP43" s="730"/>
      <c r="BQ43" s="730"/>
      <c r="BR43" s="730"/>
      <c r="BS43" s="959"/>
      <c r="BT43" s="731"/>
      <c r="BU43" s="730"/>
      <c r="BV43" s="730"/>
      <c r="BW43" s="730"/>
      <c r="BX43" s="959"/>
      <c r="BY43" s="730"/>
      <c r="BZ43" s="730"/>
      <c r="CA43" s="730"/>
      <c r="CB43" s="730"/>
      <c r="CC43" s="959"/>
      <c r="CD43" s="959"/>
      <c r="CE43" s="959"/>
      <c r="CF43" s="959"/>
      <c r="CG43" s="730"/>
    </row>
    <row r="44" spans="1:85" x14ac:dyDescent="0.3">
      <c r="A44" s="128" t="s">
        <v>417</v>
      </c>
      <c r="B44" s="115"/>
      <c r="C44" s="115"/>
      <c r="D44" s="115"/>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5"/>
      <c r="BS44" s="115"/>
      <c r="BT44" s="390"/>
      <c r="BU44" s="115"/>
      <c r="BV44" s="115"/>
      <c r="BW44" s="115"/>
      <c r="BX44" s="115"/>
      <c r="BY44" s="115"/>
      <c r="BZ44" s="115"/>
      <c r="CA44" s="115"/>
      <c r="CB44" s="115"/>
      <c r="CC44" s="115"/>
      <c r="CD44" s="115"/>
      <c r="CE44" s="115"/>
      <c r="CF44" s="115"/>
      <c r="CG44" s="137"/>
    </row>
    <row r="45" spans="1:85" s="461" customFormat="1" x14ac:dyDescent="0.3">
      <c r="A45" s="166" t="str">
        <f>INDEX(MO_RIS_EBITDAX_Adj,0,COLUMN())</f>
        <v>Adjusted EBITDAX (No Adjustments)</v>
      </c>
      <c r="B45" s="167"/>
      <c r="C45" s="957">
        <f t="shared" ref="C45:AH45" si="146">INDEX(MO_RIS_EBITDAX_Adj,0,COLUMN())</f>
        <v>32008</v>
      </c>
      <c r="D45" s="957">
        <f t="shared" si="146"/>
        <v>46315</v>
      </c>
      <c r="E45" s="957">
        <f t="shared" si="146"/>
        <v>61761</v>
      </c>
      <c r="F45" s="957">
        <f t="shared" si="146"/>
        <v>61473</v>
      </c>
      <c r="G45" s="120">
        <f t="shared" si="146"/>
        <v>14011</v>
      </c>
      <c r="H45" s="120">
        <f t="shared" si="146"/>
        <v>12330</v>
      </c>
      <c r="I45" s="120">
        <f t="shared" si="146"/>
        <v>13052</v>
      </c>
      <c r="J45" s="120">
        <f t="shared" si="146"/>
        <v>12559</v>
      </c>
      <c r="K45" s="957">
        <f t="shared" si="146"/>
        <v>51952</v>
      </c>
      <c r="L45" s="120">
        <f t="shared" si="146"/>
        <v>12473</v>
      </c>
      <c r="M45" s="120">
        <f t="shared" si="146"/>
        <v>13563</v>
      </c>
      <c r="N45" s="120">
        <f t="shared" si="146"/>
        <v>13177</v>
      </c>
      <c r="O45" s="120">
        <f t="shared" si="146"/>
        <v>10767</v>
      </c>
      <c r="P45" s="957">
        <f t="shared" si="146"/>
        <v>49980</v>
      </c>
      <c r="Q45" s="120">
        <f t="shared" si="146"/>
        <v>7908</v>
      </c>
      <c r="R45" s="120">
        <f t="shared" si="146"/>
        <v>9396</v>
      </c>
      <c r="S45" s="120">
        <f t="shared" si="146"/>
        <v>7367</v>
      </c>
      <c r="T45" s="120">
        <f t="shared" si="146"/>
        <v>4548</v>
      </c>
      <c r="U45" s="957">
        <f t="shared" si="146"/>
        <v>29219</v>
      </c>
      <c r="V45" s="120">
        <f t="shared" si="146"/>
        <v>3062</v>
      </c>
      <c r="W45" s="120">
        <f t="shared" si="146"/>
        <v>4944</v>
      </c>
      <c r="X45" s="120">
        <f t="shared" si="146"/>
        <v>5561</v>
      </c>
      <c r="Y45" s="120">
        <f t="shared" si="146"/>
        <v>4964</v>
      </c>
      <c r="Z45" s="957">
        <f t="shared" si="146"/>
        <v>18531</v>
      </c>
      <c r="AA45" s="120">
        <f t="shared" si="146"/>
        <v>7518</v>
      </c>
      <c r="AB45" s="120">
        <f t="shared" si="146"/>
        <v>7437</v>
      </c>
      <c r="AC45" s="120">
        <f t="shared" si="146"/>
        <v>8041</v>
      </c>
      <c r="AD45" s="120">
        <f t="shared" si="146"/>
        <v>6745</v>
      </c>
      <c r="AE45" s="957">
        <f t="shared" si="146"/>
        <v>29741</v>
      </c>
      <c r="AF45" s="120">
        <f t="shared" si="146"/>
        <v>9679</v>
      </c>
      <c r="AG45" s="120">
        <f t="shared" si="146"/>
        <v>9797</v>
      </c>
      <c r="AH45" s="120">
        <f t="shared" si="146"/>
        <v>11886</v>
      </c>
      <c r="AI45" s="120">
        <f t="shared" ref="AI45:BI45" si="147">INDEX(MO_RIS_EBITDAX_Adj,0,COLUMN())</f>
        <v>10590</v>
      </c>
      <c r="AJ45" s="957">
        <f t="shared" si="147"/>
        <v>41952</v>
      </c>
      <c r="AK45" s="120">
        <f t="shared" si="147"/>
        <v>8465</v>
      </c>
      <c r="AL45" s="120">
        <f t="shared" si="147"/>
        <v>10608</v>
      </c>
      <c r="AM45" s="120">
        <f t="shared" si="147"/>
        <v>8775</v>
      </c>
      <c r="AN45" s="120">
        <f t="shared" si="147"/>
        <v>8474</v>
      </c>
      <c r="AO45" s="957">
        <f t="shared" si="147"/>
        <v>36322</v>
      </c>
      <c r="AP45" s="120">
        <f t="shared" si="147"/>
        <v>8753</v>
      </c>
      <c r="AQ45" s="120">
        <f t="shared" si="147"/>
        <v>-2813</v>
      </c>
      <c r="AR45" s="120">
        <f t="shared" si="147"/>
        <v>4254</v>
      </c>
      <c r="AS45" s="120">
        <f t="shared" si="147"/>
        <v>4095</v>
      </c>
      <c r="AT45" s="957">
        <f t="shared" si="147"/>
        <v>14289</v>
      </c>
      <c r="AU45" s="120">
        <f t="shared" si="147"/>
        <v>6747</v>
      </c>
      <c r="AV45" s="120">
        <f t="shared" si="147"/>
        <v>9242</v>
      </c>
      <c r="AW45" s="120">
        <f t="shared" si="147"/>
        <v>12691</v>
      </c>
      <c r="AX45" s="120">
        <f t="shared" si="147"/>
        <v>12145</v>
      </c>
      <c r="AY45" s="957">
        <f t="shared" si="147"/>
        <v>40825</v>
      </c>
      <c r="AZ45" s="120">
        <f t="shared" si="147"/>
        <v>13053</v>
      </c>
      <c r="BA45" s="120">
        <f t="shared" si="147"/>
        <v>20028</v>
      </c>
      <c r="BB45" s="120">
        <f t="shared" si="147"/>
        <v>19254</v>
      </c>
      <c r="BC45" s="120">
        <f t="shared" si="147"/>
        <v>15148</v>
      </c>
      <c r="BD45" s="957">
        <f t="shared" si="147"/>
        <v>67483</v>
      </c>
      <c r="BE45" s="120">
        <f t="shared" si="147"/>
        <v>13350</v>
      </c>
      <c r="BF45" s="120">
        <f t="shared" si="147"/>
        <v>11647</v>
      </c>
      <c r="BG45" s="120">
        <f t="shared" si="147"/>
        <v>13178</v>
      </c>
      <c r="BH45" s="120">
        <f t="shared" si="147"/>
        <v>10118</v>
      </c>
      <c r="BI45" s="957">
        <f t="shared" si="147"/>
        <v>48293</v>
      </c>
      <c r="BJ45" s="120">
        <f t="shared" ref="BJ45:BN45" si="148">INDEX(MO_RIS_EBITDAX_Adj,0,COLUMN())</f>
        <v>12260</v>
      </c>
      <c r="BK45" s="120">
        <f t="shared" si="148"/>
        <v>11416</v>
      </c>
      <c r="BL45" s="120">
        <f t="shared" si="148"/>
        <v>11021</v>
      </c>
      <c r="BM45" s="120">
        <f t="shared" si="148"/>
        <v>11680</v>
      </c>
      <c r="BN45" s="957">
        <f t="shared" si="148"/>
        <v>46377</v>
      </c>
      <c r="BO45" s="120">
        <f t="shared" ref="BO45:BS45" si="149">INDEX(MO_RIS_EBITDAX_Adj,0,COLUMN())</f>
        <v>10105</v>
      </c>
      <c r="BP45" s="120">
        <f t="shared" si="149"/>
        <v>9017</v>
      </c>
      <c r="BQ45" s="120">
        <f t="shared" si="149"/>
        <v>11853</v>
      </c>
      <c r="BR45" s="120">
        <f t="shared" si="149"/>
        <v>11168</v>
      </c>
      <c r="BS45" s="957">
        <f t="shared" si="149"/>
        <v>42143</v>
      </c>
      <c r="BT45" s="694">
        <f t="shared" ref="BT45:BX45" si="150">INDEX(MO_RIS_EBITDAX_Adj,0,COLUMN())</f>
        <v>10304</v>
      </c>
      <c r="BU45" s="120">
        <f t="shared" si="150"/>
        <v>20464.368219999993</v>
      </c>
      <c r="BV45" s="120">
        <f t="shared" si="150"/>
        <v>15698.580659999998</v>
      </c>
      <c r="BW45" s="120">
        <f t="shared" si="150"/>
        <v>14961.068560000002</v>
      </c>
      <c r="BX45" s="957">
        <f t="shared" si="150"/>
        <v>61428.017440000011</v>
      </c>
      <c r="BY45" s="120">
        <f t="shared" ref="BY45:CF45" si="151">INDEX(MO_RIS_EBITDAX_Adj,0,COLUMN())</f>
        <v>16413.666799999995</v>
      </c>
      <c r="BZ45" s="120">
        <f t="shared" si="151"/>
        <v>16943.314557000002</v>
      </c>
      <c r="CA45" s="120">
        <f t="shared" si="151"/>
        <v>17207.703027999993</v>
      </c>
      <c r="CB45" s="120">
        <f t="shared" si="151"/>
        <v>17064.541635999998</v>
      </c>
      <c r="CC45" s="957">
        <f t="shared" si="151"/>
        <v>67629.22602099998</v>
      </c>
      <c r="CD45" s="957">
        <f t="shared" si="151"/>
        <v>66347.732550000001</v>
      </c>
      <c r="CE45" s="957">
        <f t="shared" si="151"/>
        <v>61835.631025000002</v>
      </c>
      <c r="CF45" s="957">
        <f t="shared" si="151"/>
        <v>55344.935099999995</v>
      </c>
      <c r="CG45" s="120"/>
    </row>
    <row r="46" spans="1:85" s="461" customFormat="1" x14ac:dyDescent="0.3">
      <c r="A46" s="166" t="str">
        <f>INDEX(MO_RIS_NI_NONGAAP_Diluted,0,COLUMN())</f>
        <v>Adjusted Net Income</v>
      </c>
      <c r="B46" s="167"/>
      <c r="C46" s="957">
        <f t="shared" ref="C46:AH46" si="152">INDEX(MO_RIS_NI_NONGAAP_Diluted,0,COLUMN())</f>
        <v>10483</v>
      </c>
      <c r="D46" s="957">
        <f t="shared" si="152"/>
        <v>19024</v>
      </c>
      <c r="E46" s="957">
        <f t="shared" si="152"/>
        <v>26895</v>
      </c>
      <c r="F46" s="957">
        <f t="shared" si="152"/>
        <v>26179</v>
      </c>
      <c r="G46" s="120">
        <f t="shared" si="152"/>
        <v>6178</v>
      </c>
      <c r="H46" s="120">
        <f t="shared" si="152"/>
        <v>5365</v>
      </c>
      <c r="I46" s="120">
        <f t="shared" si="152"/>
        <v>4950</v>
      </c>
      <c r="J46" s="120">
        <f t="shared" si="152"/>
        <v>4930</v>
      </c>
      <c r="K46" s="957">
        <f t="shared" si="152"/>
        <v>21423</v>
      </c>
      <c r="L46" s="120">
        <f t="shared" si="152"/>
        <v>4512</v>
      </c>
      <c r="M46" s="120">
        <f t="shared" si="152"/>
        <v>5665</v>
      </c>
      <c r="N46" s="120">
        <f t="shared" si="152"/>
        <v>5593</v>
      </c>
      <c r="O46" s="120">
        <f t="shared" si="152"/>
        <v>3471</v>
      </c>
      <c r="P46" s="957">
        <f t="shared" si="152"/>
        <v>19241</v>
      </c>
      <c r="Q46" s="120">
        <f t="shared" si="152"/>
        <v>2567</v>
      </c>
      <c r="R46" s="120">
        <f t="shared" si="152"/>
        <v>571</v>
      </c>
      <c r="S46" s="120">
        <f t="shared" si="152"/>
        <v>2037</v>
      </c>
      <c r="T46" s="120">
        <f t="shared" si="152"/>
        <v>-588</v>
      </c>
      <c r="U46" s="957">
        <f t="shared" si="152"/>
        <v>4587</v>
      </c>
      <c r="V46" s="120">
        <f t="shared" si="152"/>
        <v>-725</v>
      </c>
      <c r="W46" s="120">
        <f t="shared" si="152"/>
        <v>-1470</v>
      </c>
      <c r="X46" s="120">
        <f t="shared" si="152"/>
        <v>1283</v>
      </c>
      <c r="Y46" s="120">
        <f t="shared" si="152"/>
        <v>415</v>
      </c>
      <c r="Z46" s="957">
        <f t="shared" si="152"/>
        <v>-497</v>
      </c>
      <c r="AA46" s="120">
        <f t="shared" si="152"/>
        <v>2682</v>
      </c>
      <c r="AB46" s="120">
        <f t="shared" si="152"/>
        <v>1450</v>
      </c>
      <c r="AC46" s="120">
        <f t="shared" si="152"/>
        <v>1952</v>
      </c>
      <c r="AD46" s="120">
        <f t="shared" si="152"/>
        <v>3111</v>
      </c>
      <c r="AE46" s="957">
        <f t="shared" si="152"/>
        <v>9195</v>
      </c>
      <c r="AF46" s="120">
        <f t="shared" si="152"/>
        <v>3638</v>
      </c>
      <c r="AG46" s="120">
        <f t="shared" si="152"/>
        <v>3409</v>
      </c>
      <c r="AH46" s="120">
        <f t="shared" si="152"/>
        <v>4047</v>
      </c>
      <c r="AI46" s="120">
        <f t="shared" ref="AI46:BI46" si="153">INDEX(MO_RIS_NI_NONGAAP_Diluted,0,COLUMN())</f>
        <v>3730</v>
      </c>
      <c r="AJ46" s="957">
        <f t="shared" si="153"/>
        <v>14824</v>
      </c>
      <c r="AK46" s="120">
        <f t="shared" si="153"/>
        <v>2786</v>
      </c>
      <c r="AL46" s="120">
        <f t="shared" si="153"/>
        <v>3370</v>
      </c>
      <c r="AM46" s="120">
        <f t="shared" si="153"/>
        <v>2936</v>
      </c>
      <c r="AN46" s="120">
        <f t="shared" si="153"/>
        <v>2796</v>
      </c>
      <c r="AO46" s="957">
        <f t="shared" si="153"/>
        <v>11888</v>
      </c>
      <c r="AP46" s="120">
        <f t="shared" si="153"/>
        <v>2405</v>
      </c>
      <c r="AQ46" s="120">
        <f t="shared" si="153"/>
        <v>-2963</v>
      </c>
      <c r="AR46" s="120">
        <f t="shared" si="153"/>
        <v>201</v>
      </c>
      <c r="AS46" s="120">
        <f t="shared" si="153"/>
        <v>-11</v>
      </c>
      <c r="AT46" s="957">
        <f t="shared" si="153"/>
        <v>-368</v>
      </c>
      <c r="AU46" s="120">
        <f t="shared" si="153"/>
        <v>1730</v>
      </c>
      <c r="AV46" s="120">
        <f t="shared" si="153"/>
        <v>3274</v>
      </c>
      <c r="AW46" s="120">
        <f t="shared" si="153"/>
        <v>5687</v>
      </c>
      <c r="AX46" s="120">
        <f t="shared" si="153"/>
        <v>4917</v>
      </c>
      <c r="AY46" s="957">
        <f t="shared" si="153"/>
        <v>15608</v>
      </c>
      <c r="AZ46" s="120">
        <f t="shared" si="153"/>
        <v>6543</v>
      </c>
      <c r="BA46" s="120">
        <f t="shared" si="153"/>
        <v>11365</v>
      </c>
      <c r="BB46" s="120">
        <f t="shared" si="153"/>
        <v>10784</v>
      </c>
      <c r="BC46" s="120">
        <f t="shared" si="153"/>
        <v>7850</v>
      </c>
      <c r="BD46" s="957">
        <f t="shared" si="153"/>
        <v>36542</v>
      </c>
      <c r="BE46" s="120">
        <f t="shared" si="153"/>
        <v>6744</v>
      </c>
      <c r="BF46" s="120">
        <f t="shared" si="153"/>
        <v>5775</v>
      </c>
      <c r="BG46" s="120">
        <f t="shared" si="153"/>
        <v>5721</v>
      </c>
      <c r="BH46" s="120">
        <f t="shared" si="153"/>
        <v>6453</v>
      </c>
      <c r="BI46" s="957">
        <f t="shared" si="153"/>
        <v>24693</v>
      </c>
      <c r="BJ46" s="120">
        <f t="shared" ref="BJ46:BN46" si="154">INDEX(MO_RIS_NI_NONGAAP_Diluted,0,COLUMN())</f>
        <v>5416</v>
      </c>
      <c r="BK46" s="120">
        <f t="shared" si="154"/>
        <v>4677</v>
      </c>
      <c r="BL46" s="120">
        <f t="shared" si="154"/>
        <v>4531</v>
      </c>
      <c r="BM46" s="120">
        <f t="shared" si="154"/>
        <v>3632</v>
      </c>
      <c r="BN46" s="957">
        <f t="shared" si="154"/>
        <v>18256</v>
      </c>
      <c r="BO46" s="120">
        <f t="shared" ref="BO46:BS46" si="155">INDEX(MO_RIS_NI_NONGAAP_Diluted,0,COLUMN())</f>
        <v>3813</v>
      </c>
      <c r="BP46" s="120">
        <f t="shared" si="155"/>
        <v>3053</v>
      </c>
      <c r="BQ46" s="120">
        <f t="shared" si="155"/>
        <v>3627</v>
      </c>
      <c r="BR46" s="120">
        <f t="shared" si="155"/>
        <v>3028</v>
      </c>
      <c r="BS46" s="957">
        <f t="shared" si="155"/>
        <v>13521</v>
      </c>
      <c r="BT46" s="694">
        <f t="shared" ref="BT46:BX46" si="156">INDEX(MO_RIS_NI_NONGAAP_Diluted,0,COLUMN())</f>
        <v>2793</v>
      </c>
      <c r="BU46" s="120">
        <f t="shared" si="156"/>
        <v>9898.3570799616391</v>
      </c>
      <c r="BV46" s="120">
        <f t="shared" ca="1" si="156"/>
        <v>7375.6396585150669</v>
      </c>
      <c r="BW46" s="120">
        <f t="shared" ca="1" si="156"/>
        <v>6589.1302558136995</v>
      </c>
      <c r="BX46" s="957">
        <f t="shared" ca="1" si="156"/>
        <v>26656.126994290426</v>
      </c>
      <c r="BY46" s="120">
        <f t="shared" ref="BY46:CF46" ca="1" si="157">INDEX(MO_RIS_NI_NONGAAP_Diluted,0,COLUMN())</f>
        <v>5996.1876456438331</v>
      </c>
      <c r="BZ46" s="120">
        <f t="shared" ca="1" si="157"/>
        <v>6012.9054832387683</v>
      </c>
      <c r="CA46" s="120">
        <f t="shared" ca="1" si="157"/>
        <v>6177.5099706536939</v>
      </c>
      <c r="CB46" s="120">
        <f t="shared" ca="1" si="157"/>
        <v>6087.3182936936973</v>
      </c>
      <c r="CC46" s="957">
        <f t="shared" ca="1" si="157"/>
        <v>24273.92139322999</v>
      </c>
      <c r="CD46" s="957">
        <f t="shared" ca="1" si="157"/>
        <v>23151.580506500002</v>
      </c>
      <c r="CE46" s="957">
        <f t="shared" ca="1" si="157"/>
        <v>23269.9517175</v>
      </c>
      <c r="CF46" s="957">
        <f t="shared" ca="1" si="157"/>
        <v>16219.818112999996</v>
      </c>
      <c r="CG46" s="120"/>
    </row>
    <row r="47" spans="1:85" s="459" customFormat="1" x14ac:dyDescent="0.3">
      <c r="A47" s="168" t="str">
        <f>INDEX(MO_RIS_EPS_WAD_Adj,0,COLUMN())</f>
        <v>Adjusted Earnings Per Share - WAD</v>
      </c>
      <c r="B47" s="169"/>
      <c r="C47" s="958">
        <f t="shared" ref="C47:AH47" si="158">INDEX(MO_RIS_EPS_WAD_Adj,0,COLUMN())</f>
        <v>5.2388805597201396</v>
      </c>
      <c r="D47" s="958">
        <f t="shared" si="158"/>
        <v>9.4809924143090019</v>
      </c>
      <c r="E47" s="958">
        <f t="shared" si="158"/>
        <v>13.442223927108609</v>
      </c>
      <c r="F47" s="958">
        <f t="shared" si="158"/>
        <v>13.324307610872602</v>
      </c>
      <c r="G47" s="121">
        <f t="shared" si="158"/>
        <v>3.178096341896909</v>
      </c>
      <c r="H47" s="121">
        <f t="shared" si="158"/>
        <v>2.7700573580003542</v>
      </c>
      <c r="I47" s="121">
        <f t="shared" si="158"/>
        <v>2.5649914422558244</v>
      </c>
      <c r="J47" s="121">
        <f t="shared" si="158"/>
        <v>2.5686126990544587</v>
      </c>
      <c r="K47" s="958">
        <f t="shared" si="158"/>
        <v>11.086254193634524</v>
      </c>
      <c r="L47" s="121">
        <f t="shared" si="158"/>
        <v>2.3630162813497684</v>
      </c>
      <c r="M47" s="121">
        <f t="shared" si="158"/>
        <v>2.9779411571443517</v>
      </c>
      <c r="N47" s="121">
        <f t="shared" si="158"/>
        <v>2.9491292343969815</v>
      </c>
      <c r="O47" s="121">
        <f t="shared" si="158"/>
        <v>1.8426990152098319</v>
      </c>
      <c r="P47" s="958">
        <f t="shared" si="158"/>
        <v>10.138063340634398</v>
      </c>
      <c r="Q47" s="121">
        <f t="shared" si="158"/>
        <v>1.3679737468411903</v>
      </c>
      <c r="R47" s="121">
        <f t="shared" si="158"/>
        <v>0.304256662608135</v>
      </c>
      <c r="S47" s="121">
        <f t="shared" si="158"/>
        <v>1.0878969461979684</v>
      </c>
      <c r="T47" s="121">
        <f t="shared" si="158"/>
        <v>-0.31371494515590509</v>
      </c>
      <c r="U47" s="958">
        <f t="shared" si="158"/>
        <v>2.4464378382385648</v>
      </c>
      <c r="V47" s="121">
        <f t="shared" si="158"/>
        <v>-0.38774718883288095</v>
      </c>
      <c r="W47" s="121">
        <f t="shared" si="158"/>
        <v>-0.7852585076349029</v>
      </c>
      <c r="X47" s="121">
        <f t="shared" si="158"/>
        <v>0.68123580316267562</v>
      </c>
      <c r="Y47" s="121">
        <f t="shared" si="158"/>
        <v>0.21957160785674829</v>
      </c>
      <c r="Z47" s="958">
        <f t="shared" si="158"/>
        <v>-0.2653796022936914</v>
      </c>
      <c r="AA47" s="121">
        <f t="shared" si="158"/>
        <v>1.4150099741847733</v>
      </c>
      <c r="AB47" s="121">
        <f t="shared" si="158"/>
        <v>0.7659742611517929</v>
      </c>
      <c r="AC47" s="121">
        <f t="shared" si="158"/>
        <v>1.0296015726742056</v>
      </c>
      <c r="AD47" s="121">
        <f t="shared" si="158"/>
        <v>1.6320890424972694</v>
      </c>
      <c r="AE47" s="958">
        <f t="shared" si="158"/>
        <v>4.845510169774661</v>
      </c>
      <c r="AF47" s="121">
        <f t="shared" si="158"/>
        <v>1.9015083487610924</v>
      </c>
      <c r="AG47" s="121">
        <f t="shared" si="158"/>
        <v>1.7764932783518477</v>
      </c>
      <c r="AH47" s="121">
        <f t="shared" si="158"/>
        <v>2.1105892439741036</v>
      </c>
      <c r="AI47" s="121">
        <f t="shared" ref="AI47:BI47" si="159">INDEX(MO_RIS_EPS_WAD_Adj,0,COLUMN())</f>
        <v>1.9561333170409627</v>
      </c>
      <c r="AJ47" s="958">
        <f t="shared" si="159"/>
        <v>7.7446036193378953</v>
      </c>
      <c r="AK47" s="121">
        <f t="shared" si="159"/>
        <v>1.4657387512705524</v>
      </c>
      <c r="AL47" s="121">
        <f t="shared" si="159"/>
        <v>1.7709094749962822</v>
      </c>
      <c r="AM47" s="121">
        <f t="shared" si="159"/>
        <v>1.5502173261074337</v>
      </c>
      <c r="AN47" s="121">
        <f t="shared" si="159"/>
        <v>1.4933368654987376</v>
      </c>
      <c r="AO47" s="958">
        <f t="shared" si="159"/>
        <v>6.2729338313125353</v>
      </c>
      <c r="AP47" s="121">
        <f t="shared" si="159"/>
        <v>1.2890956444647412</v>
      </c>
      <c r="AQ47" s="121">
        <f t="shared" si="159"/>
        <v>-1.5987585475308272</v>
      </c>
      <c r="AR47" s="121">
        <f t="shared" si="159"/>
        <v>0.108441554587914</v>
      </c>
      <c r="AS47" s="121">
        <f t="shared" si="159"/>
        <v>-5.7569800766620405E-3</v>
      </c>
      <c r="AT47" s="958">
        <f t="shared" si="159"/>
        <v>-0.19678860251750374</v>
      </c>
      <c r="AU47" s="121">
        <f t="shared" si="159"/>
        <v>0.90297506797105687</v>
      </c>
      <c r="AV47" s="121">
        <f t="shared" si="159"/>
        <v>1.7034711476525501</v>
      </c>
      <c r="AW47" s="121">
        <f t="shared" si="159"/>
        <v>2.9602908757765753</v>
      </c>
      <c r="AX47" s="121">
        <f t="shared" si="159"/>
        <v>2.5581634914639437</v>
      </c>
      <c r="AY47" s="958">
        <f t="shared" si="159"/>
        <v>8.128002499641978</v>
      </c>
      <c r="AZ47" s="121">
        <f t="shared" si="159"/>
        <v>3.3648026116175429</v>
      </c>
      <c r="BA47" s="121">
        <f t="shared" si="159"/>
        <v>5.8070347640320499</v>
      </c>
      <c r="BB47" s="121">
        <f t="shared" si="159"/>
        <v>5.5587571559204578</v>
      </c>
      <c r="BC47" s="121">
        <f t="shared" si="159"/>
        <v>4.0891145686557131</v>
      </c>
      <c r="BD47" s="958">
        <f t="shared" si="159"/>
        <v>18.833393376306578</v>
      </c>
      <c r="BE47" s="121">
        <f t="shared" si="159"/>
        <v>3.5480077967786992</v>
      </c>
      <c r="BF47" s="121">
        <f t="shared" si="159"/>
        <v>3.0791657513590982</v>
      </c>
      <c r="BG47" s="121">
        <f t="shared" si="159"/>
        <v>3.0477799844867413</v>
      </c>
      <c r="BH47" s="121">
        <f t="shared" si="159"/>
        <v>3.4543100185696596</v>
      </c>
      <c r="BI47" s="958">
        <f t="shared" si="159"/>
        <v>13.132429970212311</v>
      </c>
      <c r="BJ47" s="121">
        <f t="shared" ref="BJ47:BN47" si="160">INDEX(MO_RIS_EPS_WAD_Adj,0,COLUMN())</f>
        <v>2.9289671388923142</v>
      </c>
      <c r="BK47" s="121">
        <f t="shared" si="160"/>
        <v>2.5509550127602294</v>
      </c>
      <c r="BL47" s="121">
        <f t="shared" si="160"/>
        <v>2.5074293177202369</v>
      </c>
      <c r="BM47" s="121">
        <f t="shared" si="160"/>
        <v>2.0434733195076311</v>
      </c>
      <c r="BN47" s="958">
        <f t="shared" si="160"/>
        <v>10.049532038388154</v>
      </c>
      <c r="BO47" s="121">
        <f t="shared" ref="BO47:BS47" si="161">INDEX(MO_RIS_EPS_WAD_Adj,0,COLUMN())</f>
        <v>2.1770644857577275</v>
      </c>
      <c r="BP47" s="121">
        <f t="shared" si="161"/>
        <v>1.770473968581481</v>
      </c>
      <c r="BQ47" s="121">
        <f t="shared" si="161"/>
        <v>1.8637897057349944</v>
      </c>
      <c r="BR47" s="121">
        <f t="shared" si="161"/>
        <v>1.51628656013268</v>
      </c>
      <c r="BS47" s="958">
        <f t="shared" si="161"/>
        <v>7.2864466487788295</v>
      </c>
      <c r="BT47" s="695">
        <f t="shared" ref="BT47:BX47" si="162">INDEX(MO_RIS_EPS_WAD_Adj,0,COLUMN())</f>
        <v>1.4064152273528374</v>
      </c>
      <c r="BU47" s="121">
        <f t="shared" ca="1" si="162"/>
        <v>4.9721437924037097</v>
      </c>
      <c r="BV47" s="121">
        <f t="shared" ca="1" si="162"/>
        <v>3.7172359217576059</v>
      </c>
      <c r="BW47" s="121">
        <f t="shared" ca="1" si="162"/>
        <v>3.3208444032068938</v>
      </c>
      <c r="BX47" s="958">
        <f t="shared" ca="1" si="162"/>
        <v>13.398342168291327</v>
      </c>
      <c r="BY47" s="121">
        <f t="shared" ref="BY47:CF47" ca="1" si="163">INDEX(MO_RIS_EPS_WAD_Adj,0,COLUMN())</f>
        <v>3.0220082788689142</v>
      </c>
      <c r="BZ47" s="121">
        <f t="shared" ca="1" si="163"/>
        <v>3.0304338730301281</v>
      </c>
      <c r="CA47" s="121">
        <f t="shared" ca="1" si="163"/>
        <v>3.1133926049951395</v>
      </c>
      <c r="CB47" s="121">
        <f t="shared" ca="1" si="163"/>
        <v>3.0679370571427982</v>
      </c>
      <c r="CC47" s="958">
        <f t="shared" ca="1" si="163"/>
        <v>12.233771814036976</v>
      </c>
      <c r="CD47" s="958">
        <f t="shared" ca="1" si="163"/>
        <v>11.668125164557095</v>
      </c>
      <c r="CE47" s="958">
        <f t="shared" ca="1" si="163"/>
        <v>11.72778286721115</v>
      </c>
      <c r="CF47" s="958">
        <f t="shared" ca="1" si="163"/>
        <v>8.1745981807030113</v>
      </c>
      <c r="CG47" s="121"/>
    </row>
    <row r="48" spans="1:85" x14ac:dyDescent="0.3">
      <c r="A48" s="140"/>
      <c r="B48" s="165"/>
      <c r="C48" s="154"/>
      <c r="D48" s="154"/>
      <c r="E48" s="154"/>
      <c r="F48" s="154"/>
      <c r="G48" s="122"/>
      <c r="H48" s="122"/>
      <c r="I48" s="122"/>
      <c r="J48" s="122"/>
      <c r="K48" s="154"/>
      <c r="L48" s="122"/>
      <c r="M48" s="122"/>
      <c r="N48" s="122"/>
      <c r="O48" s="122"/>
      <c r="P48" s="154"/>
      <c r="Q48" s="122"/>
      <c r="R48" s="122"/>
      <c r="S48" s="122"/>
      <c r="T48" s="122"/>
      <c r="U48" s="154"/>
      <c r="V48" s="122"/>
      <c r="W48" s="122"/>
      <c r="X48" s="122"/>
      <c r="Y48" s="238"/>
      <c r="Z48" s="218"/>
      <c r="AA48" s="122"/>
      <c r="AB48" s="122"/>
      <c r="AC48" s="122"/>
      <c r="AD48" s="238"/>
      <c r="AE48" s="218"/>
      <c r="AF48" s="122"/>
      <c r="AG48" s="122"/>
      <c r="AH48" s="122"/>
      <c r="AI48" s="238"/>
      <c r="AJ48" s="218"/>
      <c r="AK48" s="122"/>
      <c r="AL48" s="122"/>
      <c r="AM48" s="122"/>
      <c r="AN48" s="238"/>
      <c r="AO48" s="218"/>
      <c r="AP48" s="122"/>
      <c r="AQ48" s="122"/>
      <c r="AR48" s="122"/>
      <c r="AS48" s="238"/>
      <c r="AT48" s="218"/>
      <c r="AU48" s="122"/>
      <c r="AV48" s="122"/>
      <c r="AW48" s="122"/>
      <c r="AX48" s="238"/>
      <c r="AY48" s="218"/>
      <c r="AZ48" s="122"/>
      <c r="BA48" s="122"/>
      <c r="BB48" s="122"/>
      <c r="BC48" s="238"/>
      <c r="BD48" s="218"/>
      <c r="BE48" s="122"/>
      <c r="BF48" s="122"/>
      <c r="BG48" s="122"/>
      <c r="BH48" s="238"/>
      <c r="BI48" s="218"/>
      <c r="BJ48" s="122"/>
      <c r="BK48" s="122"/>
      <c r="BL48" s="122"/>
      <c r="BM48" s="238"/>
      <c r="BN48" s="218"/>
      <c r="BO48" s="122"/>
      <c r="BP48" s="122"/>
      <c r="BQ48" s="122"/>
      <c r="BR48" s="238"/>
      <c r="BS48" s="218"/>
      <c r="BT48" s="696"/>
      <c r="BU48" s="122"/>
      <c r="BV48" s="122"/>
      <c r="BW48" s="238"/>
      <c r="BX48" s="218"/>
      <c r="BY48" s="122"/>
      <c r="BZ48" s="122"/>
      <c r="CA48" s="122"/>
      <c r="CB48" s="238"/>
      <c r="CC48" s="218"/>
      <c r="CD48" s="218"/>
      <c r="CE48" s="218"/>
      <c r="CF48" s="218"/>
      <c r="CG48" s="137"/>
    </row>
    <row r="49" spans="1:85" x14ac:dyDescent="0.3">
      <c r="A49" s="732" t="s">
        <v>170</v>
      </c>
      <c r="B49" s="729"/>
      <c r="C49" s="729"/>
      <c r="D49" s="729"/>
      <c r="E49" s="729"/>
      <c r="F49" s="729"/>
      <c r="G49" s="729"/>
      <c r="H49" s="729"/>
      <c r="I49" s="729"/>
      <c r="J49" s="729"/>
      <c r="K49" s="729"/>
      <c r="L49" s="729"/>
      <c r="M49" s="729"/>
      <c r="N49" s="729"/>
      <c r="O49" s="729"/>
      <c r="P49" s="729"/>
      <c r="Q49" s="729"/>
      <c r="R49" s="729"/>
      <c r="S49" s="729"/>
      <c r="T49" s="729"/>
      <c r="U49" s="729"/>
      <c r="V49" s="729"/>
      <c r="W49" s="729"/>
      <c r="X49" s="729"/>
      <c r="Y49" s="729"/>
      <c r="Z49" s="729"/>
      <c r="AA49" s="729"/>
      <c r="AB49" s="729"/>
      <c r="AC49" s="729"/>
      <c r="AD49" s="729"/>
      <c r="AE49" s="729"/>
      <c r="AF49" s="729"/>
      <c r="AG49" s="729"/>
      <c r="AH49" s="729"/>
      <c r="AI49" s="729"/>
      <c r="AJ49" s="729"/>
      <c r="AK49" s="729"/>
      <c r="AL49" s="729"/>
      <c r="AM49" s="729"/>
      <c r="AN49" s="729"/>
      <c r="AO49" s="729"/>
      <c r="AP49" s="729"/>
      <c r="AQ49" s="729"/>
      <c r="AR49" s="729"/>
      <c r="AS49" s="729"/>
      <c r="AT49" s="729"/>
      <c r="AU49" s="729"/>
      <c r="AV49" s="729"/>
      <c r="AW49" s="729"/>
      <c r="AX49" s="729"/>
      <c r="AY49" s="729"/>
      <c r="AZ49" s="729"/>
      <c r="BA49" s="729"/>
      <c r="BB49" s="729"/>
      <c r="BC49" s="729"/>
      <c r="BD49" s="729"/>
      <c r="BE49" s="729"/>
      <c r="BF49" s="729"/>
      <c r="BG49" s="729"/>
      <c r="BH49" s="729"/>
      <c r="BI49" s="729"/>
      <c r="BJ49" s="729"/>
      <c r="BK49" s="729"/>
      <c r="BL49" s="729"/>
      <c r="BM49" s="729"/>
      <c r="BN49" s="729"/>
      <c r="BO49" s="729"/>
      <c r="BP49" s="729"/>
      <c r="BQ49" s="729"/>
      <c r="BR49" s="729"/>
      <c r="BS49" s="729"/>
      <c r="BT49" s="761"/>
      <c r="BU49" s="729"/>
      <c r="BV49" s="729"/>
      <c r="BW49" s="729"/>
      <c r="BX49" s="729"/>
      <c r="BY49" s="729"/>
      <c r="BZ49" s="729"/>
      <c r="CA49" s="729"/>
      <c r="CB49" s="729"/>
      <c r="CC49" s="729"/>
      <c r="CD49" s="729"/>
      <c r="CE49" s="729"/>
      <c r="CF49" s="729"/>
      <c r="CG49" s="137"/>
    </row>
    <row r="50" spans="1:85" s="453" customFormat="1" x14ac:dyDescent="0.3">
      <c r="A50" s="172" t="str">
        <f>INDEX(MO_MA_COGS,0,COLUMN())</f>
        <v>COGS Margin, %</v>
      </c>
      <c r="B50" s="165"/>
      <c r="C50" s="956">
        <f t="shared" ref="C50:AH50" si="164">INDEX(SP_GF_COGS,0,COLUMN())/INDEX(SP_GF_Rev,0,COLUMN())</f>
        <v>0.58060663264117085</v>
      </c>
      <c r="D50" s="956">
        <f t="shared" si="164"/>
        <v>0.56833131636477197</v>
      </c>
      <c r="E50" s="956">
        <f t="shared" si="164"/>
        <v>0.59093202368095354</v>
      </c>
      <c r="F50" s="956">
        <f t="shared" si="164"/>
        <v>0.58189649827001066</v>
      </c>
      <c r="G50" s="119">
        <f t="shared" si="164"/>
        <v>0.57921785349713117</v>
      </c>
      <c r="H50" s="119">
        <f t="shared" si="164"/>
        <v>0.59741323711412087</v>
      </c>
      <c r="I50" s="119">
        <f t="shared" si="164"/>
        <v>0.59521733928174625</v>
      </c>
      <c r="J50" s="119">
        <f t="shared" si="164"/>
        <v>0.58212543181737242</v>
      </c>
      <c r="K50" s="956">
        <f t="shared" si="164"/>
        <v>0.58858281479409913</v>
      </c>
      <c r="L50" s="119">
        <f t="shared" si="164"/>
        <v>0.57867267436402892</v>
      </c>
      <c r="M50" s="119">
        <f t="shared" si="164"/>
        <v>0.58414166868031348</v>
      </c>
      <c r="N50" s="119">
        <f t="shared" si="164"/>
        <v>0.56220852612520344</v>
      </c>
      <c r="O50" s="119">
        <f t="shared" si="164"/>
        <v>0.52644940114563443</v>
      </c>
      <c r="P50" s="956">
        <f t="shared" si="164"/>
        <v>0.56456574043496721</v>
      </c>
      <c r="Q50" s="119">
        <f t="shared" si="164"/>
        <v>0.4975114300596099</v>
      </c>
      <c r="R50" s="119">
        <f t="shared" si="164"/>
        <v>0.5089823326808236</v>
      </c>
      <c r="S50" s="119">
        <f t="shared" si="164"/>
        <v>0.5084365437855165</v>
      </c>
      <c r="T50" s="119">
        <f t="shared" si="164"/>
        <v>0.49817075255581766</v>
      </c>
      <c r="U50" s="956">
        <f t="shared" si="164"/>
        <v>0.50370097561327876</v>
      </c>
      <c r="V50" s="119">
        <f t="shared" si="164"/>
        <v>0.47658472381437611</v>
      </c>
      <c r="W50" s="119">
        <f t="shared" si="164"/>
        <v>0.52175397855337746</v>
      </c>
      <c r="X50" s="119">
        <f t="shared" si="164"/>
        <v>0.52561380225613807</v>
      </c>
      <c r="Y50" s="119">
        <f t="shared" si="164"/>
        <v>0.53897196558402383</v>
      </c>
      <c r="Z50" s="956">
        <f t="shared" si="164"/>
        <v>0.51821406108043888</v>
      </c>
      <c r="AA50" s="119">
        <f t="shared" si="164"/>
        <v>0.52380239968881837</v>
      </c>
      <c r="AB50" s="119">
        <f t="shared" si="164"/>
        <v>0.53146751740139209</v>
      </c>
      <c r="AC50" s="119">
        <f t="shared" si="164"/>
        <v>0.51860240298301341</v>
      </c>
      <c r="AD50" s="119">
        <f t="shared" si="164"/>
        <v>0.56247341556784347</v>
      </c>
      <c r="AE50" s="956">
        <f t="shared" si="164"/>
        <v>0.53460295508107425</v>
      </c>
      <c r="AF50" s="119">
        <f t="shared" si="164"/>
        <v>0.56225505772693574</v>
      </c>
      <c r="AG50" s="119">
        <f t="shared" si="164"/>
        <v>0.58585093285348988</v>
      </c>
      <c r="AH50" s="119">
        <f t="shared" si="164"/>
        <v>0.56109759701730055</v>
      </c>
      <c r="AI50" s="119">
        <f t="shared" ref="AI50:BI50" si="165">INDEX(SP_GF_COGS,0,COLUMN())/INDEX(SP_GF_Rev,0,COLUMN())</f>
        <v>0.5647903286739705</v>
      </c>
      <c r="AJ50" s="956">
        <f t="shared" si="165"/>
        <v>0.5685858397609701</v>
      </c>
      <c r="AK50" s="119">
        <f t="shared" si="165"/>
        <v>0.55974431818181813</v>
      </c>
      <c r="AL50" s="119">
        <f t="shared" si="165"/>
        <v>0.53629343629343629</v>
      </c>
      <c r="AM50" s="119">
        <f t="shared" si="165"/>
        <v>0.55050393177539036</v>
      </c>
      <c r="AN50" s="119">
        <f t="shared" si="165"/>
        <v>0.54176066024759284</v>
      </c>
      <c r="AO50" s="218">
        <f t="shared" si="165"/>
        <v>0.54678669906358346</v>
      </c>
      <c r="AP50" s="119">
        <f t="shared" si="165"/>
        <v>0.49233357671185041</v>
      </c>
      <c r="AQ50" s="119">
        <f t="shared" si="165"/>
        <v>0.60352749370090408</v>
      </c>
      <c r="AR50" s="119">
        <f t="shared" si="165"/>
        <v>0.54999795509386118</v>
      </c>
      <c r="AS50" s="119">
        <f t="shared" si="165"/>
        <v>0.53026221975758536</v>
      </c>
      <c r="AT50" s="218">
        <f t="shared" si="165"/>
        <v>0.5331812613525958</v>
      </c>
      <c r="AU50" s="119">
        <f t="shared" si="165"/>
        <v>0.54850291922944827</v>
      </c>
      <c r="AV50" s="119">
        <f t="shared" si="165"/>
        <v>0.54868739527089927</v>
      </c>
      <c r="AW50" s="119">
        <f t="shared" si="165"/>
        <v>0.5330798479087453</v>
      </c>
      <c r="AX50" s="119">
        <f t="shared" si="165"/>
        <v>0.56807745849695612</v>
      </c>
      <c r="AY50" s="218">
        <f t="shared" si="165"/>
        <v>0.55010002154310156</v>
      </c>
      <c r="AZ50" s="119">
        <f t="shared" si="165"/>
        <v>0.60046346532286243</v>
      </c>
      <c r="BA50" s="119">
        <f t="shared" si="165"/>
        <v>0.58176027457025681</v>
      </c>
      <c r="BB50" s="119">
        <f t="shared" si="165"/>
        <v>0.571544325070524</v>
      </c>
      <c r="BC50" s="119">
        <f t="shared" si="165"/>
        <v>0.61399252740247556</v>
      </c>
      <c r="BD50" s="218">
        <f t="shared" si="165"/>
        <v>0.59051703133375566</v>
      </c>
      <c r="BE50" s="119">
        <f t="shared" si="165"/>
        <v>0.57895773039592069</v>
      </c>
      <c r="BF50" s="119">
        <f t="shared" si="165"/>
        <v>0.59276832460732987</v>
      </c>
      <c r="BG50" s="119">
        <f t="shared" si="165"/>
        <v>0.59778106508875739</v>
      </c>
      <c r="BH50" s="119">
        <f t="shared" si="165"/>
        <v>0.60358202628232305</v>
      </c>
      <c r="BI50" s="218">
        <f t="shared" si="165"/>
        <v>0.59316543003448641</v>
      </c>
      <c r="BJ50" s="119">
        <f t="shared" ref="BJ50:BN50" si="166">INDEX(SP_GF_COGS,0,COLUMN())/INDEX(SP_GF_Rev,0,COLUMN())</f>
        <v>0.5694433040479514</v>
      </c>
      <c r="BK50" s="119">
        <f t="shared" si="166"/>
        <v>0.60309489849748932</v>
      </c>
      <c r="BL50" s="119">
        <f t="shared" si="166"/>
        <v>0.60095916635418101</v>
      </c>
      <c r="BM50" s="119">
        <f t="shared" si="166"/>
        <v>0.57726036839888173</v>
      </c>
      <c r="BN50" s="218">
        <f t="shared" si="166"/>
        <v>0.58782397727721014</v>
      </c>
      <c r="BO50" s="119">
        <f t="shared" ref="BO50:BS50" si="167">INDEX(SP_GF_COGS,0,COLUMN())/INDEX(SP_GF_Rev,0,COLUMN())</f>
        <v>0.60092417559336275</v>
      </c>
      <c r="BP50" s="119">
        <f t="shared" si="167"/>
        <v>0.59921467136673956</v>
      </c>
      <c r="BQ50" s="119">
        <f t="shared" si="167"/>
        <v>0.55097936693078065</v>
      </c>
      <c r="BR50" s="119">
        <f t="shared" si="167"/>
        <v>0.54078040663068294</v>
      </c>
      <c r="BS50" s="218">
        <f t="shared" si="167"/>
        <v>0.57246694986536595</v>
      </c>
      <c r="BT50" s="693">
        <f t="shared" ref="BT50:BX50" si="168">INDEX(SP_GF_COGS,0,COLUMN())/INDEX(SP_GF_Rev,0,COLUMN())</f>
        <v>0.58150060690846994</v>
      </c>
      <c r="BU50" s="119">
        <f t="shared" si="168"/>
        <v>0.54</v>
      </c>
      <c r="BV50" s="119">
        <f t="shared" si="168"/>
        <v>0.54</v>
      </c>
      <c r="BW50" s="119">
        <f t="shared" si="168"/>
        <v>0.54</v>
      </c>
      <c r="BX50" s="218">
        <f t="shared" si="168"/>
        <v>0.54916947472037991</v>
      </c>
      <c r="BY50" s="119">
        <f t="shared" ref="BY50:CF50" si="169">INDEX(SP_GF_COGS,0,COLUMN())/INDEX(SP_GF_Rev,0,COLUMN())</f>
        <v>0.54</v>
      </c>
      <c r="BZ50" s="119">
        <f t="shared" si="169"/>
        <v>0.54</v>
      </c>
      <c r="CA50" s="119">
        <f t="shared" si="169"/>
        <v>0.54</v>
      </c>
      <c r="CB50" s="119">
        <f t="shared" si="169"/>
        <v>0.54</v>
      </c>
      <c r="CC50" s="218">
        <f t="shared" si="169"/>
        <v>0.54</v>
      </c>
      <c r="CD50" s="218">
        <f t="shared" si="169"/>
        <v>0.53</v>
      </c>
      <c r="CE50" s="218">
        <f t="shared" si="169"/>
        <v>0.55000000000000004</v>
      </c>
      <c r="CF50" s="218">
        <f t="shared" si="169"/>
        <v>0.55000000000000004</v>
      </c>
      <c r="CG50" s="140"/>
    </row>
    <row r="51" spans="1:85" s="453" customFormat="1" x14ac:dyDescent="0.3">
      <c r="A51" s="172" t="str">
        <f>INDEX(MO_MA_SGA,0,COLUMN())</f>
        <v>SG&amp;A Margin, %</v>
      </c>
      <c r="B51" s="165"/>
      <c r="C51" s="956">
        <f t="shared" ref="C51:AH51" si="170">INDEX(SP_GF_SGA,0,COLUMN())/INDEX(SP_GF_Rev,0,COLUMN())</f>
        <v>2.637558554149479E-2</v>
      </c>
      <c r="D51" s="956">
        <f t="shared" si="170"/>
        <v>2.3261828544659587E-2</v>
      </c>
      <c r="E51" s="956">
        <f t="shared" si="170"/>
        <v>1.8702750427660363E-2</v>
      </c>
      <c r="F51" s="956">
        <f t="shared" si="170"/>
        <v>1.9528004332207565E-2</v>
      </c>
      <c r="G51" s="119">
        <f t="shared" si="170"/>
        <v>1.7564856207539864E-2</v>
      </c>
      <c r="H51" s="119">
        <f t="shared" si="170"/>
        <v>1.9853928079624883E-2</v>
      </c>
      <c r="I51" s="119">
        <f t="shared" si="170"/>
        <v>2.0460489205681758E-2</v>
      </c>
      <c r="J51" s="119">
        <f t="shared" si="170"/>
        <v>2.0940916699312653E-2</v>
      </c>
      <c r="K51" s="956">
        <f t="shared" si="170"/>
        <v>1.9707404041110255E-2</v>
      </c>
      <c r="L51" s="119">
        <f t="shared" si="170"/>
        <v>1.7403548296254578E-2</v>
      </c>
      <c r="M51" s="119">
        <f t="shared" si="170"/>
        <v>1.8588836342296938E-2</v>
      </c>
      <c r="N51" s="119">
        <f t="shared" si="170"/>
        <v>2.0519760785676404E-2</v>
      </c>
      <c r="O51" s="119">
        <f t="shared" si="170"/>
        <v>2.9682346814789099E-2</v>
      </c>
      <c r="P51" s="956">
        <f t="shared" si="170"/>
        <v>2.1201113365098834E-2</v>
      </c>
      <c r="Q51" s="119">
        <f t="shared" si="170"/>
        <v>2.7316395624746803E-2</v>
      </c>
      <c r="R51" s="119">
        <f t="shared" si="170"/>
        <v>2.8991253066382536E-2</v>
      </c>
      <c r="S51" s="119">
        <f t="shared" si="170"/>
        <v>2.9899460877167418E-2</v>
      </c>
      <c r="T51" s="119">
        <f t="shared" si="170"/>
        <v>4.455157793961774E-2</v>
      </c>
      <c r="U51" s="956">
        <f t="shared" si="170"/>
        <v>3.2084750536190122E-2</v>
      </c>
      <c r="V51" s="119">
        <f t="shared" si="170"/>
        <v>4.2372521547148982E-2</v>
      </c>
      <c r="W51" s="119">
        <f t="shared" si="170"/>
        <v>3.5277644969605899E-2</v>
      </c>
      <c r="X51" s="119">
        <f t="shared" si="170"/>
        <v>3.679495686794957E-2</v>
      </c>
      <c r="Y51" s="119">
        <f t="shared" si="170"/>
        <v>4.9020541638886243E-2</v>
      </c>
      <c r="Z51" s="956">
        <f t="shared" si="170"/>
        <v>4.0918303165839678E-2</v>
      </c>
      <c r="AA51" s="119">
        <f t="shared" si="170"/>
        <v>2.6031537057538672E-2</v>
      </c>
      <c r="AB51" s="119">
        <f t="shared" si="170"/>
        <v>2.8741299303944316E-2</v>
      </c>
      <c r="AC51" s="119">
        <f t="shared" si="170"/>
        <v>3.4194172075680151E-2</v>
      </c>
      <c r="AD51" s="119">
        <f t="shared" si="170"/>
        <v>3.5862398979157807E-2</v>
      </c>
      <c r="AE51" s="956">
        <f t="shared" si="170"/>
        <v>3.1385388295395208E-2</v>
      </c>
      <c r="AF51" s="119">
        <f t="shared" si="170"/>
        <v>2.1369558309501113E-2</v>
      </c>
      <c r="AG51" s="119">
        <f t="shared" si="170"/>
        <v>2.6493986172933044E-2</v>
      </c>
      <c r="AH51" s="119">
        <f t="shared" si="170"/>
        <v>2.6735171755291335E-2</v>
      </c>
      <c r="AI51" s="119">
        <f t="shared" ref="AI51:BI51" si="171">INDEX(SP_GF_SGA,0,COLUMN())/INDEX(SP_GF_Rev,0,COLUMN())</f>
        <v>3.0600680015111448E-2</v>
      </c>
      <c r="AJ51" s="956">
        <f t="shared" si="171"/>
        <v>2.6439981002651214E-2</v>
      </c>
      <c r="AK51" s="119">
        <f t="shared" si="171"/>
        <v>3.0823863636363635E-2</v>
      </c>
      <c r="AL51" s="119">
        <f t="shared" si="171"/>
        <v>3.0193050193050193E-2</v>
      </c>
      <c r="AM51" s="119">
        <f t="shared" si="171"/>
        <v>2.9765201018938973E-2</v>
      </c>
      <c r="AN51" s="119">
        <f t="shared" si="171"/>
        <v>3.3755158184319123E-2</v>
      </c>
      <c r="AO51" s="218">
        <f t="shared" si="171"/>
        <v>3.1122880777526004E-2</v>
      </c>
      <c r="AP51" s="119">
        <f t="shared" si="171"/>
        <v>2.4792863718612109E-2</v>
      </c>
      <c r="AQ51" s="119">
        <f t="shared" si="171"/>
        <v>0.12361049355269009</v>
      </c>
      <c r="AR51" s="119">
        <f t="shared" si="171"/>
        <v>4.3106621406077461E-2</v>
      </c>
      <c r="AS51" s="119">
        <f t="shared" si="171"/>
        <v>6.2980274102828165E-2</v>
      </c>
      <c r="AT51" s="218">
        <f t="shared" si="171"/>
        <v>5.3784902631690112E-2</v>
      </c>
      <c r="AU51" s="119">
        <f t="shared" si="171"/>
        <v>4.1431202972306347E-2</v>
      </c>
      <c r="AV51" s="119">
        <f t="shared" si="171"/>
        <v>3.3539910099210042E-2</v>
      </c>
      <c r="AW51" s="119">
        <f t="shared" si="171"/>
        <v>1.6931335271751287E-2</v>
      </c>
      <c r="AX51" s="119">
        <f t="shared" si="171"/>
        <v>2.8195059111969914E-2</v>
      </c>
      <c r="AY51" s="218">
        <f t="shared" si="171"/>
        <v>2.8941618194688087E-2</v>
      </c>
      <c r="AZ51" s="119">
        <f t="shared" si="171"/>
        <v>1.8961616979015321E-2</v>
      </c>
      <c r="BA51" s="119">
        <f t="shared" si="171"/>
        <v>1.236147872371368E-2</v>
      </c>
      <c r="BB51" s="119">
        <f t="shared" si="171"/>
        <v>1.8546305743952943E-2</v>
      </c>
      <c r="BC51" s="119">
        <f t="shared" si="171"/>
        <v>2.6384289837621519E-2</v>
      </c>
      <c r="BD51" s="218">
        <f t="shared" si="171"/>
        <v>1.870847749459903E-2</v>
      </c>
      <c r="BE51" s="119">
        <f t="shared" si="171"/>
        <v>1.8093044317130314E-2</v>
      </c>
      <c r="BF51" s="119">
        <f t="shared" si="171"/>
        <v>2.3866982984293194E-2</v>
      </c>
      <c r="BG51" s="119">
        <f t="shared" si="171"/>
        <v>2.3187869822485208E-2</v>
      </c>
      <c r="BH51" s="119">
        <f t="shared" si="171"/>
        <v>2.1470962272149216E-2</v>
      </c>
      <c r="BI51" s="218">
        <f t="shared" si="171"/>
        <v>2.1662212800262752E-2</v>
      </c>
      <c r="BJ51" s="119">
        <f t="shared" ref="BJ51:BN51" si="172">INDEX(SP_GF_SGA,0,COLUMN())/INDEX(SP_GF_Rev,0,COLUMN())</f>
        <v>2.1717710813695706E-2</v>
      </c>
      <c r="BK51" s="119">
        <f t="shared" si="172"/>
        <v>2.1414196674547196E-2</v>
      </c>
      <c r="BL51" s="119">
        <f t="shared" si="172"/>
        <v>2.4472557184866486E-2</v>
      </c>
      <c r="BM51" s="119">
        <f t="shared" si="172"/>
        <v>3.1306245931145407E-2</v>
      </c>
      <c r="BN51" s="218">
        <f t="shared" si="172"/>
        <v>2.4798808631504202E-2</v>
      </c>
      <c r="BO51" s="119">
        <f t="shared" ref="BO51:BS51" si="173">INDEX(SP_GF_SGA,0,COLUMN())/INDEX(SP_GF_Rev,0,COLUMN())</f>
        <v>2.5876916614156691E-2</v>
      </c>
      <c r="BP51" s="119">
        <f t="shared" si="173"/>
        <v>2.1685779304805676E-2</v>
      </c>
      <c r="BQ51" s="119">
        <f t="shared" si="173"/>
        <v>3.205566504444355E-2</v>
      </c>
      <c r="BR51" s="119">
        <f t="shared" si="173"/>
        <v>3.5009493738399504E-2</v>
      </c>
      <c r="BS51" s="218">
        <f t="shared" si="173"/>
        <v>2.8773058387248654E-2</v>
      </c>
      <c r="BT51" s="693">
        <f t="shared" ref="BT51:BX51" si="174">INDEX(SP_GF_SGA,0,COLUMN())/INDEX(SP_GF_Rev,0,COLUMN())</f>
        <v>2.156068056041311E-2</v>
      </c>
      <c r="BU51" s="119">
        <f t="shared" si="174"/>
        <v>0.01</v>
      </c>
      <c r="BV51" s="119">
        <f t="shared" si="174"/>
        <v>0.01</v>
      </c>
      <c r="BW51" s="119">
        <f t="shared" si="174"/>
        <v>0.01</v>
      </c>
      <c r="BX51" s="218">
        <f t="shared" si="174"/>
        <v>1.2554308865479783E-2</v>
      </c>
      <c r="BY51" s="119">
        <f t="shared" ref="BY51:CF51" si="175">INDEX(SP_GF_SGA,0,COLUMN())/INDEX(SP_GF_Rev,0,COLUMN())</f>
        <v>0.01</v>
      </c>
      <c r="BZ51" s="119">
        <f t="shared" si="175"/>
        <v>0.01</v>
      </c>
      <c r="CA51" s="119">
        <f t="shared" si="175"/>
        <v>0.01</v>
      </c>
      <c r="CB51" s="119">
        <f t="shared" si="175"/>
        <v>0.01</v>
      </c>
      <c r="CC51" s="218">
        <f t="shared" si="175"/>
        <v>9.9999999999999985E-3</v>
      </c>
      <c r="CD51" s="218">
        <f t="shared" si="175"/>
        <v>0.01</v>
      </c>
      <c r="CE51" s="218">
        <f t="shared" si="175"/>
        <v>0.01</v>
      </c>
      <c r="CF51" s="218">
        <f t="shared" si="175"/>
        <v>0.02</v>
      </c>
      <c r="CG51" s="140"/>
    </row>
    <row r="52" spans="1:85" s="453" customFormat="1" x14ac:dyDescent="0.3">
      <c r="A52" s="172" t="str">
        <f>INDEX(MO_MA_ExciseTax,0,COLUMN())</f>
        <v>Other Taxes Margin, %</v>
      </c>
      <c r="B52" s="165"/>
      <c r="C52" s="956">
        <f t="shared" ref="C52:AH52" si="176">INDEX(SP_GF_ExciseTax,0,COLUMN())/INDEX(SP_GF_Rev,0,COLUMN())</f>
        <v>0.10249015358083385</v>
      </c>
      <c r="D52" s="956">
        <f t="shared" si="176"/>
        <v>8.8767762336039974E-2</v>
      </c>
      <c r="E52" s="956">
        <f t="shared" si="176"/>
        <v>6.1598858521280539E-2</v>
      </c>
      <c r="F52" s="956">
        <f t="shared" si="176"/>
        <v>5.1159733618840145E-2</v>
      </c>
      <c r="G52" s="119">
        <f t="shared" si="176"/>
        <v>5.5211376676405362E-2</v>
      </c>
      <c r="H52" s="119">
        <f t="shared" si="176"/>
        <v>5.8376475099792574E-2</v>
      </c>
      <c r="I52" s="119">
        <f t="shared" si="176"/>
        <v>5.7535510999435928E-2</v>
      </c>
      <c r="J52" s="119">
        <f t="shared" si="176"/>
        <v>5.7177962178140244E-2</v>
      </c>
      <c r="K52" s="956">
        <f t="shared" si="176"/>
        <v>5.7081556316856602E-2</v>
      </c>
      <c r="L52" s="119">
        <f t="shared" si="176"/>
        <v>5.6678869801933728E-2</v>
      </c>
      <c r="M52" s="119">
        <f t="shared" si="176"/>
        <v>5.4661879940626185E-2</v>
      </c>
      <c r="N52" s="119">
        <f t="shared" si="176"/>
        <v>5.918176996653194E-2</v>
      </c>
      <c r="O52" s="119">
        <f t="shared" si="176"/>
        <v>6.7653185210900885E-2</v>
      </c>
      <c r="P52" s="956">
        <f t="shared" si="176"/>
        <v>5.9159314997405295E-2</v>
      </c>
      <c r="Q52" s="119">
        <f t="shared" si="176"/>
        <v>9.0225128769025983E-2</v>
      </c>
      <c r="R52" s="119">
        <f t="shared" si="176"/>
        <v>7.8623287162078448E-2</v>
      </c>
      <c r="S52" s="119">
        <f t="shared" si="176"/>
        <v>8.401573655835641E-2</v>
      </c>
      <c r="T52" s="119">
        <f t="shared" si="176"/>
        <v>9.7651041132423844E-2</v>
      </c>
      <c r="U52" s="956">
        <f t="shared" si="176"/>
        <v>8.6873632444377041E-2</v>
      </c>
      <c r="V52" s="119">
        <f t="shared" si="176"/>
        <v>0.12159809790684839</v>
      </c>
      <c r="W52" s="119">
        <f t="shared" si="176"/>
        <v>0.10152995014001776</v>
      </c>
      <c r="X52" s="119">
        <f t="shared" si="176"/>
        <v>9.8274717982747187E-2</v>
      </c>
      <c r="Y52" s="119">
        <f t="shared" si="176"/>
        <v>9.1088040130806111E-2</v>
      </c>
      <c r="Z52" s="956">
        <f t="shared" si="176"/>
        <v>0.10192885596477741</v>
      </c>
      <c r="AA52" s="119">
        <f t="shared" si="176"/>
        <v>8.590407228987762E-2</v>
      </c>
      <c r="AB52" s="119">
        <f t="shared" si="176"/>
        <v>8.889211136890951E-2</v>
      </c>
      <c r="AC52" s="119">
        <f t="shared" si="176"/>
        <v>8.8744648529208672E-2</v>
      </c>
      <c r="AD52" s="119">
        <f t="shared" si="176"/>
        <v>8.4591663122075708E-2</v>
      </c>
      <c r="AE52" s="956">
        <f t="shared" si="176"/>
        <v>8.7008368496069771E-2</v>
      </c>
      <c r="AF52" s="119">
        <f t="shared" si="176"/>
        <v>3.5589450270098508E-2</v>
      </c>
      <c r="AG52" s="119">
        <f t="shared" si="176"/>
        <v>3.2271048394734353E-2</v>
      </c>
      <c r="AH52" s="119">
        <f t="shared" si="176"/>
        <v>2.8622092891081457E-2</v>
      </c>
      <c r="AI52" s="119">
        <f t="shared" ref="AI52:BI52" si="177">INDEX(SP_GF_ExciseTax,0,COLUMN())/INDEX(SP_GF_Rev,0,COLUMN())</f>
        <v>2.1274083868530413E-2</v>
      </c>
      <c r="AJ52" s="956">
        <f t="shared" si="177"/>
        <v>2.9259524224625615E-2</v>
      </c>
      <c r="AK52" s="119">
        <f t="shared" si="177"/>
        <v>3.0142045454545456E-2</v>
      </c>
      <c r="AL52" s="119">
        <f t="shared" si="177"/>
        <v>2.6949806949806948E-2</v>
      </c>
      <c r="AM52" s="119">
        <f t="shared" si="177"/>
        <v>2.9322184073540813E-2</v>
      </c>
      <c r="AN52" s="119">
        <f t="shared" si="177"/>
        <v>2.6657496561210452E-2</v>
      </c>
      <c r="AO52" s="218">
        <f t="shared" si="177"/>
        <v>2.8228998880668321E-2</v>
      </c>
      <c r="AP52" s="119">
        <f t="shared" si="177"/>
        <v>3.7046442970064444E-2</v>
      </c>
      <c r="AQ52" s="119">
        <f t="shared" si="177"/>
        <v>7.1513265154883654E-2</v>
      </c>
      <c r="AR52" s="119">
        <f t="shared" si="177"/>
        <v>4.4619851948795551E-2</v>
      </c>
      <c r="AS52" s="119">
        <f t="shared" si="177"/>
        <v>5.0542660223401724E-2</v>
      </c>
      <c r="AT52" s="218">
        <f t="shared" si="177"/>
        <v>4.7511933426266209E-2</v>
      </c>
      <c r="AU52" s="119">
        <f t="shared" si="177"/>
        <v>4.4334821567954041E-2</v>
      </c>
      <c r="AV52" s="119">
        <f t="shared" si="177"/>
        <v>4.1652259488788999E-2</v>
      </c>
      <c r="AW52" s="119">
        <f t="shared" si="177"/>
        <v>4.641019906061284E-2</v>
      </c>
      <c r="AX52" s="119">
        <f t="shared" si="177"/>
        <v>3.6963161503459456E-2</v>
      </c>
      <c r="AY52" s="218">
        <f t="shared" si="177"/>
        <v>4.210137568091589E-2</v>
      </c>
      <c r="AZ52" s="119">
        <f t="shared" si="177"/>
        <v>3.6819745094072424E-2</v>
      </c>
      <c r="BA52" s="119">
        <f t="shared" si="177"/>
        <v>2.2730577935487623E-2</v>
      </c>
      <c r="BB52" s="119">
        <f t="shared" si="177"/>
        <v>2.5613708660944721E-2</v>
      </c>
      <c r="BC52" s="119">
        <f t="shared" si="177"/>
        <v>-2.1957395569564216E-2</v>
      </c>
      <c r="BD52" s="218">
        <f t="shared" si="177"/>
        <v>1.6373471078407486E-2</v>
      </c>
      <c r="BE52" s="119">
        <f t="shared" si="177"/>
        <v>2.1577776465260962E-2</v>
      </c>
      <c r="BF52" s="119">
        <f t="shared" si="177"/>
        <v>2.129008507853403E-2</v>
      </c>
      <c r="BG52" s="119">
        <f t="shared" si="177"/>
        <v>1.8879437869822484E-2</v>
      </c>
      <c r="BH52" s="119">
        <f t="shared" si="177"/>
        <v>2.2509537939805001E-2</v>
      </c>
      <c r="BI52" s="218">
        <f t="shared" si="177"/>
        <v>2.1000353323480086E-2</v>
      </c>
      <c r="BJ52" s="119">
        <f t="shared" ref="BJ52:BN52" si="178">INDEX(SP_GF_ExciseTax,0,COLUMN())/INDEX(SP_GF_Rev,0,COLUMN())</f>
        <v>2.307250184744232E-2</v>
      </c>
      <c r="BK52" s="119">
        <f t="shared" si="178"/>
        <v>2.321173873116977E-2</v>
      </c>
      <c r="BL52" s="119">
        <f t="shared" si="178"/>
        <v>2.4926483648779332E-2</v>
      </c>
      <c r="BM52" s="119">
        <f t="shared" si="178"/>
        <v>2.1847355723203003E-2</v>
      </c>
      <c r="BN52" s="218">
        <f t="shared" si="178"/>
        <v>2.3255355240837904E-2</v>
      </c>
      <c r="BO52" s="119">
        <f t="shared" ref="BO52:BS52" si="179">INDEX(SP_GF_ExciseTax,0,COLUMN())/INDEX(SP_GF_Rev,0,COLUMN())</f>
        <v>2.6360008401596302E-2</v>
      </c>
      <c r="BP52" s="119">
        <f t="shared" si="179"/>
        <v>2.9025924769086608E-2</v>
      </c>
      <c r="BQ52" s="119">
        <f t="shared" si="179"/>
        <v>2.7088444676829023E-2</v>
      </c>
      <c r="BR52" s="119">
        <f t="shared" si="179"/>
        <v>2.8310541249759989E-2</v>
      </c>
      <c r="BS52" s="218">
        <f t="shared" si="179"/>
        <v>2.7667419629584567E-2</v>
      </c>
      <c r="BT52" s="693">
        <f t="shared" ref="BT52:BX52" si="180">INDEX(SP_GF_ExciseTax,0,COLUMN())/INDEX(SP_GF_Rev,0,COLUMN())</f>
        <v>2.7033143374411091E-2</v>
      </c>
      <c r="BU52" s="119">
        <f t="shared" si="180"/>
        <v>2.5999999999999999E-2</v>
      </c>
      <c r="BV52" s="119">
        <f t="shared" si="180"/>
        <v>2.5999999999999999E-2</v>
      </c>
      <c r="BW52" s="119">
        <f t="shared" si="180"/>
        <v>2.5999999999999999E-2</v>
      </c>
      <c r="BX52" s="218">
        <f t="shared" si="180"/>
        <v>2.6228270928063395E-2</v>
      </c>
      <c r="BY52" s="119">
        <f t="shared" ref="BY52:CF52" si="181">INDEX(SP_GF_ExciseTax,0,COLUMN())/INDEX(SP_GF_Rev,0,COLUMN())</f>
        <v>2.6000000000000002E-2</v>
      </c>
      <c r="BZ52" s="119">
        <f t="shared" si="181"/>
        <v>2.5999999999999999E-2</v>
      </c>
      <c r="CA52" s="119">
        <f t="shared" si="181"/>
        <v>2.5999999999999995E-2</v>
      </c>
      <c r="CB52" s="119">
        <f t="shared" si="181"/>
        <v>2.5999999999999999E-2</v>
      </c>
      <c r="CC52" s="218">
        <f t="shared" si="181"/>
        <v>2.5999999999999999E-2</v>
      </c>
      <c r="CD52" s="218">
        <f t="shared" si="181"/>
        <v>0.02</v>
      </c>
      <c r="CE52" s="218">
        <f t="shared" si="181"/>
        <v>0.02</v>
      </c>
      <c r="CF52" s="218">
        <f t="shared" si="181"/>
        <v>0.02</v>
      </c>
      <c r="CG52" s="140"/>
    </row>
    <row r="53" spans="1:85" s="453" customFormat="1" x14ac:dyDescent="0.3">
      <c r="A53" s="264" t="str">
        <f>INDEX(MO_MA_OPEX,0,COLUMN())</f>
        <v>OPEX Margin, %</v>
      </c>
      <c r="B53" s="265"/>
      <c r="C53" s="960">
        <f t="shared" ref="C53:AH53" si="182">INDEX(SP_GF_OPEX,0,COLUMN())/INDEX(SP_GF_Rev,0,COLUMN())</f>
        <v>0.10403994499988348</v>
      </c>
      <c r="D53" s="960">
        <f t="shared" si="182"/>
        <v>9.3632885696439724E-2</v>
      </c>
      <c r="E53" s="960">
        <f t="shared" si="182"/>
        <v>8.5331052478065161E-2</v>
      </c>
      <c r="F53" s="960">
        <f t="shared" si="182"/>
        <v>9.3299546523692795E-2</v>
      </c>
      <c r="G53" s="266">
        <f t="shared" si="182"/>
        <v>0.10141152451687846</v>
      </c>
      <c r="H53" s="266">
        <f t="shared" si="182"/>
        <v>0.10943192316407815</v>
      </c>
      <c r="I53" s="266">
        <f t="shared" si="182"/>
        <v>0.10368699041074816</v>
      </c>
      <c r="J53" s="266">
        <f t="shared" si="182"/>
        <v>0.11611880764984508</v>
      </c>
      <c r="K53" s="960">
        <f t="shared" si="182"/>
        <v>0.10761291337481647</v>
      </c>
      <c r="L53" s="266">
        <f t="shared" si="182"/>
        <v>0.11307612879001221</v>
      </c>
      <c r="M53" s="266">
        <f t="shared" si="182"/>
        <v>0.10851254789602678</v>
      </c>
      <c r="N53" s="266">
        <f t="shared" si="182"/>
        <v>0.11710162951041533</v>
      </c>
      <c r="O53" s="266">
        <f t="shared" si="182"/>
        <v>0.14259677139385524</v>
      </c>
      <c r="P53" s="960">
        <f t="shared" si="182"/>
        <v>0.11928574798320517</v>
      </c>
      <c r="Q53" s="266">
        <f t="shared" si="182"/>
        <v>0.15611435846981886</v>
      </c>
      <c r="R53" s="266">
        <f t="shared" si="182"/>
        <v>0.15058106400376639</v>
      </c>
      <c r="S53" s="266">
        <f t="shared" si="182"/>
        <v>0.16296080431298265</v>
      </c>
      <c r="T53" s="266">
        <f t="shared" si="182"/>
        <v>0.20412349984613806</v>
      </c>
      <c r="U53" s="960">
        <f t="shared" si="182"/>
        <v>0.16633809224636581</v>
      </c>
      <c r="V53" s="266">
        <f t="shared" si="182"/>
        <v>0.22943998641362034</v>
      </c>
      <c r="W53" s="266">
        <f t="shared" si="182"/>
        <v>0.17259750017075337</v>
      </c>
      <c r="X53" s="266">
        <f t="shared" si="182"/>
        <v>0.15481088254810882</v>
      </c>
      <c r="Y53" s="266">
        <f t="shared" si="182"/>
        <v>0.16331714131504588</v>
      </c>
      <c r="Z53" s="960">
        <f t="shared" si="182"/>
        <v>0.17705639807114404</v>
      </c>
      <c r="AA53" s="266">
        <f t="shared" si="182"/>
        <v>0.13931360521827593</v>
      </c>
      <c r="AB53" s="266">
        <f t="shared" si="182"/>
        <v>0.13520881670533644</v>
      </c>
      <c r="AC53" s="266">
        <f t="shared" si="182"/>
        <v>0.13636238088661787</v>
      </c>
      <c r="AD53" s="266">
        <f t="shared" si="182"/>
        <v>0.13776052743513398</v>
      </c>
      <c r="AE53" s="960">
        <f t="shared" si="182"/>
        <v>0.13714878423956761</v>
      </c>
      <c r="AF53" s="266">
        <f t="shared" si="182"/>
        <v>0.12448363520813473</v>
      </c>
      <c r="AG53" s="266">
        <f t="shared" si="182"/>
        <v>0.12342551377971399</v>
      </c>
      <c r="AH53" s="266">
        <f t="shared" si="182"/>
        <v>0.11332893809534635</v>
      </c>
      <c r="AI53" s="266">
        <f t="shared" ref="AI53:BI53" si="183">INDEX(SP_GF_OPEX,0,COLUMN())/INDEX(SP_GF_Rev,0,COLUMN())</f>
        <v>0.13328768417075934</v>
      </c>
      <c r="AJ53" s="960">
        <f t="shared" si="183"/>
        <v>0.1235068143971047</v>
      </c>
      <c r="AK53" s="266">
        <f t="shared" si="183"/>
        <v>0.13880681818181817</v>
      </c>
      <c r="AL53" s="266">
        <f t="shared" si="183"/>
        <v>0.13351351351351351</v>
      </c>
      <c r="AM53" s="266">
        <f t="shared" si="183"/>
        <v>0.14744157714032563</v>
      </c>
      <c r="AN53" s="266">
        <f t="shared" si="183"/>
        <v>0.16470426409903713</v>
      </c>
      <c r="AO53" s="961">
        <f t="shared" si="183"/>
        <v>0.14595675557618282</v>
      </c>
      <c r="AP53" s="266">
        <f t="shared" si="183"/>
        <v>0.16796292181200598</v>
      </c>
      <c r="AQ53" s="266">
        <f t="shared" si="183"/>
        <v>0.40981176819327109</v>
      </c>
      <c r="AR53" s="266">
        <f t="shared" si="183"/>
        <v>0.1882949572614617</v>
      </c>
      <c r="AS53" s="266">
        <f t="shared" si="183"/>
        <v>0.19401093242493861</v>
      </c>
      <c r="AT53" s="961">
        <f t="shared" si="183"/>
        <v>0.21462214337008406</v>
      </c>
      <c r="AU53" s="266">
        <f t="shared" si="183"/>
        <v>0.15507821037185052</v>
      </c>
      <c r="AV53" s="266">
        <f t="shared" si="183"/>
        <v>0.13030294970343378</v>
      </c>
      <c r="AW53" s="266">
        <f t="shared" si="183"/>
        <v>0.11972713039588459</v>
      </c>
      <c r="AX53" s="266">
        <f t="shared" si="183"/>
        <v>0.11442165845955661</v>
      </c>
      <c r="AY53" s="961">
        <f t="shared" si="183"/>
        <v>0.12757209245068168</v>
      </c>
      <c r="AZ53" s="266">
        <f t="shared" si="183"/>
        <v>0.10369117024994023</v>
      </c>
      <c r="BA53" s="266">
        <f t="shared" si="183"/>
        <v>9.1882144207556499E-2</v>
      </c>
      <c r="BB53" s="266">
        <f t="shared" si="183"/>
        <v>9.5387431726787111E-2</v>
      </c>
      <c r="BC53" s="266">
        <f t="shared" si="183"/>
        <v>0.11334620083933915</v>
      </c>
      <c r="BD53" s="961">
        <f t="shared" si="183"/>
        <v>0.10036060620827444</v>
      </c>
      <c r="BE53" s="266">
        <f t="shared" si="183"/>
        <v>0.11853995629319</v>
      </c>
      <c r="BF53" s="266">
        <f t="shared" si="183"/>
        <v>0.12387516361256544</v>
      </c>
      <c r="BG53" s="266">
        <f t="shared" si="183"/>
        <v>0.11647559171597634</v>
      </c>
      <c r="BH53" s="266">
        <f t="shared" si="183"/>
        <v>0.13798219584569732</v>
      </c>
      <c r="BI53" s="961">
        <f t="shared" si="183"/>
        <v>0.12384734435105425</v>
      </c>
      <c r="BJ53" s="266">
        <f t="shared" ref="BJ53:BN53" si="184">INDEX(SP_GF_OPEX,0,COLUMN())/INDEX(SP_GF_Rev,0,COLUMN())</f>
        <v>0.13410378520403973</v>
      </c>
      <c r="BK53" s="266">
        <f t="shared" si="184"/>
        <v>0.12922764307067075</v>
      </c>
      <c r="BL53" s="266">
        <f t="shared" si="184"/>
        <v>0.13213207286506543</v>
      </c>
      <c r="BM53" s="266">
        <f t="shared" si="184"/>
        <v>0.14594263393711945</v>
      </c>
      <c r="BN53" s="961">
        <f t="shared" si="184"/>
        <v>0.13542940549923074</v>
      </c>
      <c r="BO53" s="266">
        <f t="shared" ref="BO53:BS53" si="185">INDEX(SP_GF_OPEX,0,COLUMN())/INDEX(SP_GF_Rev,0,COLUMN())</f>
        <v>0.13459357277882797</v>
      </c>
      <c r="BP53" s="266">
        <f t="shared" si="185"/>
        <v>0.14890009370398466</v>
      </c>
      <c r="BQ53" s="266">
        <f t="shared" si="185"/>
        <v>0.15151027631420183</v>
      </c>
      <c r="BR53" s="266">
        <f t="shared" si="185"/>
        <v>0.15763872591897254</v>
      </c>
      <c r="BS53" s="961">
        <f t="shared" si="185"/>
        <v>0.14815030338939117</v>
      </c>
      <c r="BT53" s="697">
        <f t="shared" ref="BT53:BX53" si="186">INDEX(SP_GF_OPEX,0,COLUMN())/INDEX(SP_GF_Rev,0,COLUMN())</f>
        <v>0.15791964120394181</v>
      </c>
      <c r="BU53" s="266">
        <f t="shared" si="186"/>
        <v>0.08</v>
      </c>
      <c r="BV53" s="266">
        <f t="shared" si="186"/>
        <v>0.15</v>
      </c>
      <c r="BW53" s="266">
        <f t="shared" si="186"/>
        <v>0.15</v>
      </c>
      <c r="BX53" s="961">
        <f t="shared" si="186"/>
        <v>0.13282076499057258</v>
      </c>
      <c r="BY53" s="266">
        <f t="shared" ref="BY53:CF53" si="187">INDEX(SP_GF_OPEX,0,COLUMN())/INDEX(SP_GF_Rev,0,COLUMN())</f>
        <v>0.12</v>
      </c>
      <c r="BZ53" s="266">
        <f t="shared" si="187"/>
        <v>0.11</v>
      </c>
      <c r="CA53" s="266">
        <f t="shared" si="187"/>
        <v>0.11</v>
      </c>
      <c r="CB53" s="266">
        <f t="shared" si="187"/>
        <v>0.10999999999999999</v>
      </c>
      <c r="CC53" s="961">
        <f t="shared" si="187"/>
        <v>0.11248698864974868</v>
      </c>
      <c r="CD53" s="961">
        <f t="shared" si="187"/>
        <v>0.11000000000000001</v>
      </c>
      <c r="CE53" s="961">
        <f t="shared" si="187"/>
        <v>0.11</v>
      </c>
      <c r="CF53" s="961">
        <f t="shared" si="187"/>
        <v>0.13</v>
      </c>
      <c r="CG53" s="140"/>
    </row>
    <row r="54" spans="1:85" s="463" customFormat="1" x14ac:dyDescent="0.3">
      <c r="A54" s="173" t="str">
        <f>INDEX(MO_MA_EBITDAX,0,COLUMN())</f>
        <v>EBITDAX Margin, %</v>
      </c>
      <c r="B54" s="174"/>
      <c r="C54" s="962">
        <f t="shared" ref="C54:AH54" si="188">INDEX(SP_GF_EBITDAX,0,COLUMN())/INDEX(SP_GF_Rev,0,COLUMN())</f>
        <v>0.18648768323661702</v>
      </c>
      <c r="D54" s="962">
        <f t="shared" si="188"/>
        <v>0.22600620705808869</v>
      </c>
      <c r="E54" s="962">
        <f t="shared" si="188"/>
        <v>0.2434353148920404</v>
      </c>
      <c r="F54" s="962">
        <f t="shared" si="188"/>
        <v>0.25411621725524886</v>
      </c>
      <c r="G54" s="123">
        <f t="shared" si="188"/>
        <v>0.24659438910204512</v>
      </c>
      <c r="H54" s="123">
        <f t="shared" si="188"/>
        <v>0.21492443654238352</v>
      </c>
      <c r="I54" s="123">
        <f t="shared" si="188"/>
        <v>0.2230996701023879</v>
      </c>
      <c r="J54" s="123">
        <f t="shared" si="188"/>
        <v>0.22363688165532961</v>
      </c>
      <c r="K54" s="962">
        <f t="shared" si="188"/>
        <v>0.22701531147311751</v>
      </c>
      <c r="L54" s="123">
        <f t="shared" si="188"/>
        <v>0.23416877874777059</v>
      </c>
      <c r="M54" s="123">
        <f t="shared" si="188"/>
        <v>0.23409506714073666</v>
      </c>
      <c r="N54" s="123">
        <f t="shared" si="188"/>
        <v>0.24098831361217285</v>
      </c>
      <c r="O54" s="123">
        <f t="shared" si="188"/>
        <v>0.23361829543482035</v>
      </c>
      <c r="P54" s="962">
        <f t="shared" si="188"/>
        <v>0.23578808321932349</v>
      </c>
      <c r="Q54" s="123">
        <f t="shared" si="188"/>
        <v>0.22883268707679844</v>
      </c>
      <c r="R54" s="123">
        <f t="shared" si="188"/>
        <v>0.23282206308694897</v>
      </c>
      <c r="S54" s="123">
        <f t="shared" si="188"/>
        <v>0.21468745446597698</v>
      </c>
      <c r="T54" s="123">
        <f t="shared" si="188"/>
        <v>0.15550312852600268</v>
      </c>
      <c r="U54" s="962">
        <f t="shared" si="188"/>
        <v>0.21100254915978828</v>
      </c>
      <c r="V54" s="123">
        <f t="shared" si="188"/>
        <v>0.13000467031800619</v>
      </c>
      <c r="W54" s="123">
        <f t="shared" si="188"/>
        <v>0.16884092616624546</v>
      </c>
      <c r="X54" s="123">
        <f t="shared" si="188"/>
        <v>0.1845056403450564</v>
      </c>
      <c r="Y54" s="123">
        <f t="shared" si="188"/>
        <v>0.15760231133123789</v>
      </c>
      <c r="Z54" s="962">
        <f t="shared" si="188"/>
        <v>0.16188238171779998</v>
      </c>
      <c r="AA54" s="123">
        <f t="shared" si="188"/>
        <v>0.22494838574548937</v>
      </c>
      <c r="AB54" s="123">
        <f t="shared" si="188"/>
        <v>0.21569025522041763</v>
      </c>
      <c r="AC54" s="123">
        <f t="shared" si="188"/>
        <v>0.22209639552547991</v>
      </c>
      <c r="AD54" s="123">
        <f t="shared" si="188"/>
        <v>0.17931199489578903</v>
      </c>
      <c r="AE54" s="962">
        <f t="shared" si="188"/>
        <v>0.2098545038878932</v>
      </c>
      <c r="AF54" s="123">
        <f t="shared" si="188"/>
        <v>0.25630229848532993</v>
      </c>
      <c r="AG54" s="123">
        <f t="shared" si="188"/>
        <v>0.23195851879912871</v>
      </c>
      <c r="AH54" s="123">
        <f t="shared" si="188"/>
        <v>0.27021620024098031</v>
      </c>
      <c r="AI54" s="123">
        <f t="shared" ref="AI54:BI54" si="189">INDEX(SP_GF_EBITDAX,0,COLUMN())/INDEX(SP_GF_Rev,0,COLUMN())</f>
        <v>0.25004722327162826</v>
      </c>
      <c r="AJ54" s="962">
        <f t="shared" si="189"/>
        <v>0.2522078406146484</v>
      </c>
      <c r="AK54" s="123">
        <f t="shared" si="189"/>
        <v>0.24048295454545454</v>
      </c>
      <c r="AL54" s="123">
        <f t="shared" si="189"/>
        <v>0.27305019305019307</v>
      </c>
      <c r="AM54" s="123">
        <f t="shared" si="189"/>
        <v>0.24296710599180418</v>
      </c>
      <c r="AN54" s="123">
        <f t="shared" si="189"/>
        <v>0.23312242090784044</v>
      </c>
      <c r="AO54" s="962">
        <f t="shared" si="189"/>
        <v>0.24790466570203937</v>
      </c>
      <c r="AP54" s="123">
        <f t="shared" si="189"/>
        <v>0.27786419478746704</v>
      </c>
      <c r="AQ54" s="123">
        <f t="shared" si="189"/>
        <v>-0.20846302060174893</v>
      </c>
      <c r="AR54" s="123">
        <f t="shared" si="189"/>
        <v>0.1739806142898041</v>
      </c>
      <c r="AS54" s="123">
        <f t="shared" si="189"/>
        <v>0.16220391349124613</v>
      </c>
      <c r="AT54" s="962">
        <f t="shared" si="189"/>
        <v>0.15089975921936383</v>
      </c>
      <c r="AU54" s="123">
        <f t="shared" si="189"/>
        <v>0.2106528458584408</v>
      </c>
      <c r="AV54" s="123">
        <f t="shared" si="189"/>
        <v>0.2458174854376679</v>
      </c>
      <c r="AW54" s="123">
        <f t="shared" si="189"/>
        <v>0.28385148736300603</v>
      </c>
      <c r="AX54" s="123">
        <f t="shared" si="189"/>
        <v>0.25234266242805792</v>
      </c>
      <c r="AY54" s="962">
        <f t="shared" si="189"/>
        <v>0.25128489213061272</v>
      </c>
      <c r="AZ54" s="123">
        <f t="shared" si="189"/>
        <v>0.24006400235410957</v>
      </c>
      <c r="BA54" s="123">
        <f t="shared" si="189"/>
        <v>0.29126552456298538</v>
      </c>
      <c r="BB54" s="123">
        <f t="shared" si="189"/>
        <v>0.28890822879779127</v>
      </c>
      <c r="BC54" s="123">
        <f t="shared" si="189"/>
        <v>0.26823437749012802</v>
      </c>
      <c r="BD54" s="962">
        <f t="shared" si="189"/>
        <v>0.27404041388496336</v>
      </c>
      <c r="BE54" s="123">
        <f t="shared" si="189"/>
        <v>0.26283149252849802</v>
      </c>
      <c r="BF54" s="123">
        <f t="shared" si="189"/>
        <v>0.2381994437172775</v>
      </c>
      <c r="BG54" s="123">
        <f t="shared" si="189"/>
        <v>0.24367603550295858</v>
      </c>
      <c r="BH54" s="123">
        <f t="shared" si="189"/>
        <v>0.21445527766002542</v>
      </c>
      <c r="BI54" s="962">
        <f t="shared" si="189"/>
        <v>0.24032465949071655</v>
      </c>
      <c r="BJ54" s="123">
        <f t="shared" ref="BJ54:BN54" si="190">INDEX(SP_GF_EBITDAX,0,COLUMN())/INDEX(SP_GF_Rev,0,COLUMN())</f>
        <v>0.25166269808687086</v>
      </c>
      <c r="BK54" s="123">
        <f t="shared" si="190"/>
        <v>0.22305152302612297</v>
      </c>
      <c r="BL54" s="123">
        <f t="shared" si="190"/>
        <v>0.21750971994710769</v>
      </c>
      <c r="BM54" s="123">
        <f t="shared" si="190"/>
        <v>0.22364339600965036</v>
      </c>
      <c r="BN54" s="962">
        <f t="shared" si="190"/>
        <v>0.22869245335121702</v>
      </c>
      <c r="BO54" s="123">
        <f t="shared" ref="BO54:BS54" si="191">INDEX(SP_GF_EBITDAX,0,COLUMN())/INDEX(SP_GF_Rev,0,COLUMN())</f>
        <v>0.21224532661205628</v>
      </c>
      <c r="BP54" s="123">
        <f t="shared" si="191"/>
        <v>0.2011735308553835</v>
      </c>
      <c r="BQ54" s="123">
        <f t="shared" si="191"/>
        <v>0.23836624703374493</v>
      </c>
      <c r="BR54" s="123">
        <f t="shared" si="191"/>
        <v>0.23826083246218505</v>
      </c>
      <c r="BS54" s="962">
        <f t="shared" si="191"/>
        <v>0.22294226872840964</v>
      </c>
      <c r="BT54" s="698">
        <f t="shared" ref="BT54:BX54" si="192">INDEX(SP_GF_EBITDAX,0,COLUMN())/INDEX(SP_GF_Rev,0,COLUMN())</f>
        <v>0.211985927952764</v>
      </c>
      <c r="BU54" s="123">
        <f t="shared" si="192"/>
        <v>0.34400000000000003</v>
      </c>
      <c r="BV54" s="123">
        <f t="shared" si="192"/>
        <v>0.27399999999999997</v>
      </c>
      <c r="BW54" s="123">
        <f t="shared" si="192"/>
        <v>0.27400000000000002</v>
      </c>
      <c r="BX54" s="962">
        <f t="shared" si="192"/>
        <v>0.27922718049550432</v>
      </c>
      <c r="BY54" s="123">
        <f t="shared" ref="BY54:CF54" si="193">INDEX(SP_GF_EBITDAX,0,COLUMN())/INDEX(SP_GF_Rev,0,COLUMN())</f>
        <v>0.30399999999999994</v>
      </c>
      <c r="BZ54" s="123">
        <f t="shared" si="193"/>
        <v>0.31399999999999995</v>
      </c>
      <c r="CA54" s="123">
        <f t="shared" si="193"/>
        <v>0.31400000000000006</v>
      </c>
      <c r="CB54" s="123">
        <f t="shared" si="193"/>
        <v>0.31399999999999995</v>
      </c>
      <c r="CC54" s="962">
        <f t="shared" si="193"/>
        <v>0.31151301135025133</v>
      </c>
      <c r="CD54" s="962">
        <f t="shared" si="193"/>
        <v>0.32999999999999996</v>
      </c>
      <c r="CE54" s="962">
        <f t="shared" si="193"/>
        <v>0.31</v>
      </c>
      <c r="CF54" s="962">
        <f t="shared" si="193"/>
        <v>0.27999999999999992</v>
      </c>
      <c r="CG54" s="197"/>
    </row>
    <row r="55" spans="1:85" s="463" customFormat="1" x14ac:dyDescent="0.3">
      <c r="A55" s="175" t="str">
        <f>INDEX(MO_MA_EBITDAX_Adj,0,COLUMN())</f>
        <v>Adjusted EBITDAX Margin, %</v>
      </c>
      <c r="B55" s="176"/>
      <c r="C55" s="963">
        <f t="shared" ref="C55:AH55" si="194">INDEX(SP_Company1876_EBITDAX,0,COLUMN())/INDEX(SP_GF_Rev,0,COLUMN())</f>
        <v>0.18648768323661702</v>
      </c>
      <c r="D55" s="963">
        <f t="shared" si="194"/>
        <v>0.22600620705808869</v>
      </c>
      <c r="E55" s="963">
        <f t="shared" si="194"/>
        <v>0.2434353148920404</v>
      </c>
      <c r="F55" s="963">
        <f t="shared" si="194"/>
        <v>0.25411621725524886</v>
      </c>
      <c r="G55" s="124">
        <f t="shared" si="194"/>
        <v>0.24659438910204512</v>
      </c>
      <c r="H55" s="124">
        <f t="shared" si="194"/>
        <v>0.21492443654238352</v>
      </c>
      <c r="I55" s="124">
        <f t="shared" si="194"/>
        <v>0.2230996701023879</v>
      </c>
      <c r="J55" s="124">
        <f t="shared" si="194"/>
        <v>0.22363688165532961</v>
      </c>
      <c r="K55" s="963">
        <f t="shared" si="194"/>
        <v>0.22701531147311751</v>
      </c>
      <c r="L55" s="124">
        <f t="shared" si="194"/>
        <v>0.23416877874777059</v>
      </c>
      <c r="M55" s="124">
        <f t="shared" si="194"/>
        <v>0.23409506714073666</v>
      </c>
      <c r="N55" s="124">
        <f t="shared" si="194"/>
        <v>0.24098831361217285</v>
      </c>
      <c r="O55" s="124">
        <f t="shared" si="194"/>
        <v>0.23361829543482035</v>
      </c>
      <c r="P55" s="963">
        <f t="shared" si="194"/>
        <v>0.23578808321932349</v>
      </c>
      <c r="Q55" s="124">
        <f t="shared" si="194"/>
        <v>0.22883268707679844</v>
      </c>
      <c r="R55" s="124">
        <f t="shared" si="194"/>
        <v>0.23282206308694897</v>
      </c>
      <c r="S55" s="124">
        <f t="shared" si="194"/>
        <v>0.21468745446597698</v>
      </c>
      <c r="T55" s="124">
        <f t="shared" si="194"/>
        <v>0.15550312852600268</v>
      </c>
      <c r="U55" s="963">
        <f t="shared" si="194"/>
        <v>0.21100254915978828</v>
      </c>
      <c r="V55" s="124">
        <f t="shared" si="194"/>
        <v>0.13000467031800619</v>
      </c>
      <c r="W55" s="124">
        <f t="shared" si="194"/>
        <v>0.16884092616624546</v>
      </c>
      <c r="X55" s="124">
        <f t="shared" si="194"/>
        <v>0.1845056403450564</v>
      </c>
      <c r="Y55" s="124">
        <f t="shared" si="194"/>
        <v>0.15760231133123789</v>
      </c>
      <c r="Z55" s="963">
        <f t="shared" si="194"/>
        <v>0.16188238171779998</v>
      </c>
      <c r="AA55" s="124">
        <f t="shared" si="194"/>
        <v>0.22494838574548937</v>
      </c>
      <c r="AB55" s="124">
        <f t="shared" si="194"/>
        <v>0.21569025522041763</v>
      </c>
      <c r="AC55" s="124">
        <f t="shared" si="194"/>
        <v>0.22209639552547991</v>
      </c>
      <c r="AD55" s="124">
        <f t="shared" si="194"/>
        <v>0.17931199489578903</v>
      </c>
      <c r="AE55" s="963">
        <f t="shared" si="194"/>
        <v>0.2098545038878932</v>
      </c>
      <c r="AF55" s="124">
        <f t="shared" si="194"/>
        <v>0.25630229848532993</v>
      </c>
      <c r="AG55" s="124">
        <f t="shared" si="194"/>
        <v>0.23195851879912871</v>
      </c>
      <c r="AH55" s="124">
        <f t="shared" si="194"/>
        <v>0.27021620024098031</v>
      </c>
      <c r="AI55" s="124">
        <f t="shared" ref="AI55:BI55" si="195">INDEX(SP_Company1876_EBITDAX,0,COLUMN())/INDEX(SP_GF_Rev,0,COLUMN())</f>
        <v>0.25004722327162826</v>
      </c>
      <c r="AJ55" s="963">
        <f t="shared" si="195"/>
        <v>0.2522078406146484</v>
      </c>
      <c r="AK55" s="124">
        <f t="shared" si="195"/>
        <v>0.24048295454545454</v>
      </c>
      <c r="AL55" s="124">
        <f t="shared" si="195"/>
        <v>0.27305019305019307</v>
      </c>
      <c r="AM55" s="124">
        <f t="shared" si="195"/>
        <v>0.24296710599180418</v>
      </c>
      <c r="AN55" s="124">
        <f t="shared" si="195"/>
        <v>0.23312242090784044</v>
      </c>
      <c r="AO55" s="963">
        <f t="shared" si="195"/>
        <v>0.24790466570203937</v>
      </c>
      <c r="AP55" s="124">
        <f t="shared" si="195"/>
        <v>0.27786419478746704</v>
      </c>
      <c r="AQ55" s="124">
        <f t="shared" si="195"/>
        <v>-0.20846302060174893</v>
      </c>
      <c r="AR55" s="124">
        <f t="shared" si="195"/>
        <v>0.1739806142898041</v>
      </c>
      <c r="AS55" s="124">
        <f t="shared" si="195"/>
        <v>0.16220391349124613</v>
      </c>
      <c r="AT55" s="963">
        <f t="shared" si="195"/>
        <v>0.15089975921936383</v>
      </c>
      <c r="AU55" s="124">
        <f t="shared" si="195"/>
        <v>0.2106528458584408</v>
      </c>
      <c r="AV55" s="124">
        <f t="shared" si="195"/>
        <v>0.2458174854376679</v>
      </c>
      <c r="AW55" s="124">
        <f t="shared" si="195"/>
        <v>0.28385148736300603</v>
      </c>
      <c r="AX55" s="124">
        <f t="shared" si="195"/>
        <v>0.25234266242805792</v>
      </c>
      <c r="AY55" s="963">
        <f t="shared" si="195"/>
        <v>0.25128489213061272</v>
      </c>
      <c r="AZ55" s="124">
        <f t="shared" si="195"/>
        <v>0.24006400235410957</v>
      </c>
      <c r="BA55" s="124">
        <f t="shared" si="195"/>
        <v>0.29126552456298538</v>
      </c>
      <c r="BB55" s="124">
        <f t="shared" si="195"/>
        <v>0.28890822879779127</v>
      </c>
      <c r="BC55" s="124">
        <f t="shared" si="195"/>
        <v>0.26823437749012802</v>
      </c>
      <c r="BD55" s="963">
        <f t="shared" si="195"/>
        <v>0.27404041388496336</v>
      </c>
      <c r="BE55" s="124">
        <f t="shared" si="195"/>
        <v>0.26283149252849802</v>
      </c>
      <c r="BF55" s="124">
        <f t="shared" si="195"/>
        <v>0.2381994437172775</v>
      </c>
      <c r="BG55" s="124">
        <f t="shared" si="195"/>
        <v>0.24367603550295858</v>
      </c>
      <c r="BH55" s="124">
        <f t="shared" si="195"/>
        <v>0.21445527766002542</v>
      </c>
      <c r="BI55" s="963">
        <f t="shared" si="195"/>
        <v>0.24032465949071655</v>
      </c>
      <c r="BJ55" s="124">
        <f t="shared" ref="BJ55:BN55" si="196">INDEX(SP_Company1876_EBITDAX,0,COLUMN())/INDEX(SP_GF_Rev,0,COLUMN())</f>
        <v>0.25166269808687086</v>
      </c>
      <c r="BK55" s="124">
        <f t="shared" si="196"/>
        <v>0.22305152302612297</v>
      </c>
      <c r="BL55" s="124">
        <f t="shared" si="196"/>
        <v>0.21750971994710769</v>
      </c>
      <c r="BM55" s="124">
        <f t="shared" si="196"/>
        <v>0.22364339600965036</v>
      </c>
      <c r="BN55" s="963">
        <f t="shared" si="196"/>
        <v>0.22869245335121702</v>
      </c>
      <c r="BO55" s="124">
        <f t="shared" ref="BO55:BS55" si="197">INDEX(SP_Company1876_EBITDAX,0,COLUMN())/INDEX(SP_GF_Rev,0,COLUMN())</f>
        <v>0.21224532661205628</v>
      </c>
      <c r="BP55" s="124">
        <f t="shared" si="197"/>
        <v>0.2011735308553835</v>
      </c>
      <c r="BQ55" s="124">
        <f t="shared" si="197"/>
        <v>0.23836624703374493</v>
      </c>
      <c r="BR55" s="124">
        <f t="shared" si="197"/>
        <v>0.23826083246218505</v>
      </c>
      <c r="BS55" s="963">
        <f t="shared" si="197"/>
        <v>0.22294226872840964</v>
      </c>
      <c r="BT55" s="699">
        <f t="shared" ref="BT55:BX55" si="198">INDEX(SP_Company1876_EBITDAX,0,COLUMN())/INDEX(SP_GF_Rev,0,COLUMN())</f>
        <v>0.211985927952764</v>
      </c>
      <c r="BU55" s="124">
        <f t="shared" si="198"/>
        <v>0.34399999999999992</v>
      </c>
      <c r="BV55" s="124">
        <f t="shared" si="198"/>
        <v>0.27399999999999997</v>
      </c>
      <c r="BW55" s="124">
        <f t="shared" si="198"/>
        <v>0.27400000000000002</v>
      </c>
      <c r="BX55" s="963">
        <f t="shared" si="198"/>
        <v>0.27922718049550427</v>
      </c>
      <c r="BY55" s="124">
        <f t="shared" ref="BY55:CF55" si="199">INDEX(SP_Company1876_EBITDAX,0,COLUMN())/INDEX(SP_GF_Rev,0,COLUMN())</f>
        <v>0.30399999999999994</v>
      </c>
      <c r="BZ55" s="124">
        <f t="shared" si="199"/>
        <v>0.314</v>
      </c>
      <c r="CA55" s="124">
        <f t="shared" si="199"/>
        <v>0.31399999999999989</v>
      </c>
      <c r="CB55" s="124">
        <f t="shared" si="199"/>
        <v>0.31399999999999995</v>
      </c>
      <c r="CC55" s="963">
        <f t="shared" si="199"/>
        <v>0.31151301135025122</v>
      </c>
      <c r="CD55" s="963">
        <f t="shared" si="199"/>
        <v>0.33</v>
      </c>
      <c r="CE55" s="963">
        <f t="shared" si="199"/>
        <v>0.31</v>
      </c>
      <c r="CF55" s="963">
        <f t="shared" si="199"/>
        <v>0.27999999999999997</v>
      </c>
      <c r="CG55" s="197"/>
    </row>
    <row r="56" spans="1:85" x14ac:dyDescent="0.3">
      <c r="A56" s="168"/>
      <c r="B56" s="163"/>
      <c r="C56" s="955"/>
      <c r="D56" s="955"/>
      <c r="E56" s="955"/>
      <c r="F56" s="955"/>
      <c r="G56" s="728"/>
      <c r="H56" s="728"/>
      <c r="I56" s="728"/>
      <c r="J56" s="728"/>
      <c r="K56" s="955"/>
      <c r="L56" s="728"/>
      <c r="M56" s="728"/>
      <c r="N56" s="728"/>
      <c r="O56" s="728"/>
      <c r="P56" s="955"/>
      <c r="Q56" s="728"/>
      <c r="R56" s="728"/>
      <c r="S56" s="728"/>
      <c r="T56" s="728"/>
      <c r="U56" s="955"/>
      <c r="V56" s="728"/>
      <c r="W56" s="728"/>
      <c r="X56" s="728"/>
      <c r="Y56" s="728"/>
      <c r="Z56" s="955"/>
      <c r="AA56" s="728"/>
      <c r="AB56" s="728"/>
      <c r="AC56" s="728"/>
      <c r="AD56" s="728"/>
      <c r="AE56" s="955"/>
      <c r="AF56" s="728"/>
      <c r="AG56" s="728"/>
      <c r="AH56" s="728"/>
      <c r="AI56" s="728"/>
      <c r="AJ56" s="955"/>
      <c r="AK56" s="728"/>
      <c r="AL56" s="728"/>
      <c r="AM56" s="728"/>
      <c r="AN56" s="728"/>
      <c r="AO56" s="955"/>
      <c r="AP56" s="728"/>
      <c r="AQ56" s="728"/>
      <c r="AR56" s="728"/>
      <c r="AS56" s="728"/>
      <c r="AT56" s="955"/>
      <c r="AU56" s="728"/>
      <c r="AV56" s="728"/>
      <c r="AW56" s="728"/>
      <c r="AX56" s="728"/>
      <c r="AY56" s="955"/>
      <c r="AZ56" s="728"/>
      <c r="BA56" s="728"/>
      <c r="BB56" s="728"/>
      <c r="BC56" s="728"/>
      <c r="BD56" s="955"/>
      <c r="BE56" s="728"/>
      <c r="BF56" s="728"/>
      <c r="BG56" s="728"/>
      <c r="BH56" s="728"/>
      <c r="BI56" s="955"/>
      <c r="BJ56" s="728"/>
      <c r="BK56" s="728"/>
      <c r="BL56" s="728"/>
      <c r="BM56" s="728"/>
      <c r="BN56" s="955"/>
      <c r="BO56" s="728"/>
      <c r="BP56" s="728"/>
      <c r="BQ56" s="728"/>
      <c r="BR56" s="728"/>
      <c r="BS56" s="955"/>
      <c r="BT56" s="760"/>
      <c r="BU56" s="728"/>
      <c r="BV56" s="728"/>
      <c r="BW56" s="728"/>
      <c r="BX56" s="955"/>
      <c r="BY56" s="728"/>
      <c r="BZ56" s="728"/>
      <c r="CA56" s="728"/>
      <c r="CB56" s="728"/>
      <c r="CC56" s="955"/>
      <c r="CD56" s="955"/>
      <c r="CE56" s="955"/>
      <c r="CF56" s="955"/>
      <c r="CG56" s="137"/>
    </row>
    <row r="57" spans="1:85" x14ac:dyDescent="0.3">
      <c r="A57" s="732" t="s">
        <v>418</v>
      </c>
      <c r="B57" s="729"/>
      <c r="C57" s="729"/>
      <c r="D57" s="729"/>
      <c r="E57" s="729"/>
      <c r="F57" s="729"/>
      <c r="G57" s="729"/>
      <c r="H57" s="729"/>
      <c r="I57" s="729"/>
      <c r="J57" s="729"/>
      <c r="K57" s="729"/>
      <c r="L57" s="729"/>
      <c r="M57" s="729"/>
      <c r="N57" s="729"/>
      <c r="O57" s="729"/>
      <c r="P57" s="729"/>
      <c r="Q57" s="729"/>
      <c r="R57" s="729"/>
      <c r="S57" s="729"/>
      <c r="T57" s="729"/>
      <c r="U57" s="729"/>
      <c r="V57" s="729"/>
      <c r="W57" s="729"/>
      <c r="X57" s="729"/>
      <c r="Y57" s="729"/>
      <c r="Z57" s="729"/>
      <c r="AA57" s="729"/>
      <c r="AB57" s="729"/>
      <c r="AC57" s="729"/>
      <c r="AD57" s="729"/>
      <c r="AE57" s="729"/>
      <c r="AF57" s="729"/>
      <c r="AG57" s="729"/>
      <c r="AH57" s="729"/>
      <c r="AI57" s="729"/>
      <c r="AJ57" s="729"/>
      <c r="AK57" s="729"/>
      <c r="AL57" s="729"/>
      <c r="AM57" s="729"/>
      <c r="AN57" s="729"/>
      <c r="AO57" s="729"/>
      <c r="AP57" s="729"/>
      <c r="AQ57" s="729"/>
      <c r="AR57" s="729"/>
      <c r="AS57" s="729"/>
      <c r="AT57" s="729"/>
      <c r="AU57" s="729"/>
      <c r="AV57" s="729"/>
      <c r="AW57" s="729"/>
      <c r="AX57" s="729"/>
      <c r="AY57" s="729"/>
      <c r="AZ57" s="729"/>
      <c r="BA57" s="729"/>
      <c r="BB57" s="729"/>
      <c r="BC57" s="729"/>
      <c r="BD57" s="729"/>
      <c r="BE57" s="729"/>
      <c r="BF57" s="729"/>
      <c r="BG57" s="729"/>
      <c r="BH57" s="729"/>
      <c r="BI57" s="729"/>
      <c r="BJ57" s="729"/>
      <c r="BK57" s="729"/>
      <c r="BL57" s="729"/>
      <c r="BM57" s="729"/>
      <c r="BN57" s="729"/>
      <c r="BO57" s="729"/>
      <c r="BP57" s="729"/>
      <c r="BQ57" s="729"/>
      <c r="BR57" s="729"/>
      <c r="BS57" s="729"/>
      <c r="BT57" s="761"/>
      <c r="BU57" s="729"/>
      <c r="BV57" s="729"/>
      <c r="BW57" s="729"/>
      <c r="BX57" s="729"/>
      <c r="BY57" s="729"/>
      <c r="BZ57" s="729"/>
      <c r="CA57" s="729"/>
      <c r="CB57" s="729"/>
      <c r="CC57" s="729"/>
      <c r="CD57" s="729"/>
      <c r="CE57" s="729"/>
      <c r="CF57" s="729"/>
      <c r="CG57" s="137"/>
    </row>
    <row r="58" spans="1:85" s="461" customFormat="1" hidden="1" outlineLevel="1" x14ac:dyDescent="0.3">
      <c r="A58" s="166" t="str">
        <f>INDEX(MO_CFSum_CFO_BeforeWC,0,COLUMN())</f>
        <v>Operating Cash Flow before WC</v>
      </c>
      <c r="B58" s="167"/>
      <c r="C58" s="957">
        <f t="shared" ref="C58:AH58" si="200">INDEX(MO_CFSum_CFO_BeforeWC,0,COLUMN())</f>
        <v>21674</v>
      </c>
      <c r="D58" s="957">
        <f t="shared" si="200"/>
        <v>31278</v>
      </c>
      <c r="E58" s="957">
        <f t="shared" si="200"/>
        <v>38777</v>
      </c>
      <c r="F58" s="957">
        <f t="shared" si="200"/>
        <v>38449</v>
      </c>
      <c r="G58" s="120">
        <f t="shared" si="200"/>
        <v>9074</v>
      </c>
      <c r="H58" s="120">
        <f t="shared" si="200"/>
        <v>7675</v>
      </c>
      <c r="I58" s="120">
        <f t="shared" si="200"/>
        <v>9889</v>
      </c>
      <c r="J58" s="120">
        <f t="shared" si="200"/>
        <v>9695</v>
      </c>
      <c r="K58" s="957">
        <f t="shared" si="200"/>
        <v>36333</v>
      </c>
      <c r="L58" s="120">
        <f t="shared" si="200"/>
        <v>8035</v>
      </c>
      <c r="M58" s="120">
        <f t="shared" si="200"/>
        <v>9004</v>
      </c>
      <c r="N58" s="120">
        <f t="shared" si="200"/>
        <v>8315</v>
      </c>
      <c r="O58" s="120">
        <f t="shared" si="200"/>
        <v>6661</v>
      </c>
      <c r="P58" s="957">
        <f t="shared" si="200"/>
        <v>32015</v>
      </c>
      <c r="Q58" s="120">
        <f t="shared" si="200"/>
        <v>4304</v>
      </c>
      <c r="R58" s="120">
        <f t="shared" si="200"/>
        <v>7260</v>
      </c>
      <c r="S58" s="120">
        <f t="shared" si="200"/>
        <v>5656</v>
      </c>
      <c r="T58" s="120">
        <f t="shared" si="200"/>
        <v>4215</v>
      </c>
      <c r="U58" s="957">
        <f t="shared" si="200"/>
        <v>21435</v>
      </c>
      <c r="V58" s="120">
        <f t="shared" si="200"/>
        <v>2134</v>
      </c>
      <c r="W58" s="120">
        <f t="shared" si="200"/>
        <v>3629</v>
      </c>
      <c r="X58" s="120">
        <f t="shared" si="200"/>
        <v>4486</v>
      </c>
      <c r="Y58" s="120">
        <f t="shared" si="200"/>
        <v>3147</v>
      </c>
      <c r="Z58" s="957">
        <f t="shared" si="200"/>
        <v>13396</v>
      </c>
      <c r="AA58" s="120">
        <f t="shared" si="200"/>
        <v>4836</v>
      </c>
      <c r="AB58" s="120">
        <f t="shared" si="200"/>
        <v>5277</v>
      </c>
      <c r="AC58" s="120">
        <f t="shared" si="200"/>
        <v>4867</v>
      </c>
      <c r="AD58" s="120">
        <f t="shared" si="200"/>
        <v>5059</v>
      </c>
      <c r="AE58" s="957">
        <f t="shared" si="200"/>
        <v>20039</v>
      </c>
      <c r="AF58" s="120">
        <f t="shared" si="200"/>
        <v>7147</v>
      </c>
      <c r="AG58" s="120">
        <f t="shared" si="200"/>
        <v>7038</v>
      </c>
      <c r="AH58" s="120">
        <f t="shared" si="200"/>
        <v>9164</v>
      </c>
      <c r="AI58" s="120">
        <f t="shared" ref="AI58:BI58" si="201">INDEX(MO_CFSum_CFO_BeforeWC,0,COLUMN())</f>
        <v>7987</v>
      </c>
      <c r="AJ58" s="957">
        <f t="shared" si="201"/>
        <v>31336</v>
      </c>
      <c r="AK58" s="120">
        <f t="shared" si="201"/>
        <v>6267</v>
      </c>
      <c r="AL58" s="120">
        <f t="shared" si="201"/>
        <v>7852</v>
      </c>
      <c r="AM58" s="120">
        <f t="shared" si="201"/>
        <v>6412</v>
      </c>
      <c r="AN58" s="120">
        <f t="shared" si="201"/>
        <v>5289</v>
      </c>
      <c r="AO58" s="957">
        <f t="shared" si="201"/>
        <v>25820</v>
      </c>
      <c r="AP58" s="120">
        <f t="shared" si="201"/>
        <v>5818</v>
      </c>
      <c r="AQ58" s="120">
        <f t="shared" si="201"/>
        <v>-643</v>
      </c>
      <c r="AR58" s="120">
        <f t="shared" si="201"/>
        <v>3185</v>
      </c>
      <c r="AS58" s="120">
        <f t="shared" si="201"/>
        <v>3869</v>
      </c>
      <c r="AT58" s="957">
        <f t="shared" si="201"/>
        <v>12229</v>
      </c>
      <c r="AU58" s="120">
        <f t="shared" si="201"/>
        <v>5098</v>
      </c>
      <c r="AV58" s="120">
        <f t="shared" si="201"/>
        <v>7084</v>
      </c>
      <c r="AW58" s="120">
        <f t="shared" si="201"/>
        <v>9006</v>
      </c>
      <c r="AX58" s="120">
        <f t="shared" si="201"/>
        <v>9360</v>
      </c>
      <c r="AY58" s="957">
        <f t="shared" si="201"/>
        <v>30548</v>
      </c>
      <c r="AZ58" s="120">
        <f t="shared" si="201"/>
        <v>8992</v>
      </c>
      <c r="BA58" s="120">
        <f t="shared" si="201"/>
        <v>13250</v>
      </c>
      <c r="BB58" s="120">
        <f t="shared" si="201"/>
        <v>13690</v>
      </c>
      <c r="BC58" s="120">
        <f t="shared" si="201"/>
        <v>11545</v>
      </c>
      <c r="BD58" s="957">
        <f t="shared" si="201"/>
        <v>47477</v>
      </c>
      <c r="BE58" s="120">
        <f t="shared" si="201"/>
        <v>9020</v>
      </c>
      <c r="BF58" s="120">
        <f t="shared" si="201"/>
        <v>9430</v>
      </c>
      <c r="BG58" s="120">
        <f t="shared" si="201"/>
        <v>8906</v>
      </c>
      <c r="BH58" s="120">
        <f t="shared" si="201"/>
        <v>11438</v>
      </c>
      <c r="BI58" s="957">
        <f t="shared" si="201"/>
        <v>38794</v>
      </c>
      <c r="BJ58" s="120">
        <f t="shared" ref="BJ58:BN58" si="202">INDEX(MO_CFSum_CFO_BeforeWC,0,COLUMN())</f>
        <v>7972</v>
      </c>
      <c r="BK58" s="120">
        <f t="shared" si="202"/>
        <v>8726</v>
      </c>
      <c r="BL58" s="120">
        <f t="shared" si="202"/>
        <v>8271</v>
      </c>
      <c r="BM58" s="120">
        <f t="shared" si="202"/>
        <v>5312</v>
      </c>
      <c r="BN58" s="957">
        <f t="shared" si="202"/>
        <v>30281</v>
      </c>
      <c r="BO58" s="120">
        <f t="shared" ref="BO58:BS58" si="203">INDEX(MO_CFSum_CFO_BeforeWC,0,COLUMN())</f>
        <v>7597</v>
      </c>
      <c r="BP58" s="120">
        <f t="shared" si="203"/>
        <v>8298</v>
      </c>
      <c r="BQ58" s="120">
        <f t="shared" si="203"/>
        <v>9940</v>
      </c>
      <c r="BR58" s="120">
        <f t="shared" si="203"/>
        <v>9112</v>
      </c>
      <c r="BS58" s="957">
        <f t="shared" si="203"/>
        <v>34947</v>
      </c>
      <c r="BT58" s="694">
        <f t="shared" ref="BT58:BX58" si="204">INDEX(MO_CFSum_CFO_BeforeWC,0,COLUMN())</f>
        <v>7139</v>
      </c>
      <c r="BU58" s="120">
        <f t="shared" si="204"/>
        <v>15186.854767698625</v>
      </c>
      <c r="BV58" s="120">
        <f t="shared" ca="1" si="204"/>
        <v>11638.625420904107</v>
      </c>
      <c r="BW58" s="120">
        <f t="shared" ca="1" si="204"/>
        <v>11332.36695090411</v>
      </c>
      <c r="BX58" s="957">
        <f t="shared" ca="1" si="204"/>
        <v>45296.847139506841</v>
      </c>
      <c r="BY58" s="120">
        <f t="shared" ref="BY58:CF58" ca="1" si="205">INDEX(MO_CFSum_CFO_BeforeWC,0,COLUMN())</f>
        <v>12196.860269315066</v>
      </c>
      <c r="BZ58" s="120">
        <f t="shared" ca="1" si="205"/>
        <v>12714.108831913014</v>
      </c>
      <c r="CA58" s="120">
        <f t="shared" ca="1" si="205"/>
        <v>12883.938858610953</v>
      </c>
      <c r="CB58" s="120">
        <f t="shared" ca="1" si="205"/>
        <v>12790.883953810957</v>
      </c>
      <c r="CC58" s="957">
        <f t="shared" ca="1" si="205"/>
        <v>50585.791913649991</v>
      </c>
      <c r="CD58" s="957">
        <f t="shared" ca="1" si="205"/>
        <v>49927.821157500002</v>
      </c>
      <c r="CE58" s="957">
        <f t="shared" ca="1" si="205"/>
        <v>48642.951027750001</v>
      </c>
      <c r="CF58" s="957">
        <f t="shared" ca="1" si="205"/>
        <v>42776.002814999993</v>
      </c>
      <c r="CG58" s="120"/>
    </row>
    <row r="59" spans="1:85" s="461" customFormat="1" hidden="1" outlineLevel="1" x14ac:dyDescent="0.3">
      <c r="A59" s="262" t="s">
        <v>421</v>
      </c>
      <c r="B59" s="263"/>
      <c r="C59" s="954">
        <f t="shared" ref="C59:AH59" ca="1" si="206">SUM(OFFSET(INDEX(MO_CFS_CFO_BeforeWC,0,COLUMN()),1,0,ROW(INDEX(MO_CFS_CFO,0,COLUMN()))-ROW(INDEX(MO_CFS_CFO_BeforeWC,0,COLUMN()))-1,1))</f>
        <v>-2301</v>
      </c>
      <c r="D59" s="954">
        <f t="shared" ca="1" si="206"/>
        <v>76</v>
      </c>
      <c r="E59" s="954">
        <f t="shared" ca="1" si="206"/>
        <v>2318</v>
      </c>
      <c r="F59" s="954">
        <f t="shared" ca="1" si="206"/>
        <v>363</v>
      </c>
      <c r="G59" s="133">
        <f t="shared" ca="1" si="206"/>
        <v>-3360</v>
      </c>
      <c r="H59" s="133">
        <f t="shared" ca="1" si="206"/>
        <v>845</v>
      </c>
      <c r="I59" s="133">
        <f t="shared" ca="1" si="206"/>
        <v>427</v>
      </c>
      <c r="J59" s="133">
        <f t="shared" ca="1" si="206"/>
        <v>757</v>
      </c>
      <c r="K59" s="954">
        <f t="shared" ca="1" si="206"/>
        <v>-1331</v>
      </c>
      <c r="L59" s="133">
        <f t="shared" ca="1" si="206"/>
        <v>382</v>
      </c>
      <c r="M59" s="133">
        <f t="shared" ca="1" si="206"/>
        <v>-1123</v>
      </c>
      <c r="N59" s="133">
        <f t="shared" ca="1" si="206"/>
        <v>365</v>
      </c>
      <c r="O59" s="133">
        <f t="shared" ca="1" si="206"/>
        <v>-164</v>
      </c>
      <c r="P59" s="954">
        <f t="shared" ca="1" si="206"/>
        <v>-540</v>
      </c>
      <c r="Q59" s="133">
        <f t="shared" ca="1" si="206"/>
        <v>-1985</v>
      </c>
      <c r="R59" s="133">
        <f t="shared" ca="1" si="206"/>
        <v>-40</v>
      </c>
      <c r="S59" s="133">
        <f t="shared" ca="1" si="206"/>
        <v>-296</v>
      </c>
      <c r="T59" s="133">
        <f t="shared" ca="1" si="206"/>
        <v>342</v>
      </c>
      <c r="U59" s="954">
        <f t="shared" ca="1" si="206"/>
        <v>-1979</v>
      </c>
      <c r="V59" s="133">
        <f t="shared" ca="1" si="206"/>
        <v>-993</v>
      </c>
      <c r="W59" s="133">
        <f t="shared" ca="1" si="206"/>
        <v>-1098</v>
      </c>
      <c r="X59" s="133">
        <f t="shared" ca="1" si="206"/>
        <v>825</v>
      </c>
      <c r="Y59" s="133">
        <f t="shared" ca="1" si="206"/>
        <v>716</v>
      </c>
      <c r="Z59" s="954">
        <f t="shared" ca="1" si="206"/>
        <v>-550</v>
      </c>
      <c r="AA59" s="133">
        <f t="shared" ca="1" si="206"/>
        <v>-957</v>
      </c>
      <c r="AB59" s="133">
        <f t="shared" ca="1" si="206"/>
        <v>-241</v>
      </c>
      <c r="AC59" s="133">
        <f t="shared" ca="1" si="206"/>
        <v>503</v>
      </c>
      <c r="AD59" s="133">
        <f t="shared" ca="1" si="206"/>
        <v>1171</v>
      </c>
      <c r="AE59" s="954">
        <f t="shared" ca="1" si="206"/>
        <v>476</v>
      </c>
      <c r="AF59" s="133">
        <f t="shared" ca="1" si="206"/>
        <v>-2104</v>
      </c>
      <c r="AG59" s="133">
        <f t="shared" ca="1" si="206"/>
        <v>-183</v>
      </c>
      <c r="AH59" s="133">
        <f t="shared" ca="1" si="206"/>
        <v>405</v>
      </c>
      <c r="AI59" s="133">
        <f t="shared" ref="AI59:BI59" ca="1" si="207">SUM(OFFSET(INDEX(MO_CFS_CFO_BeforeWC,0,COLUMN()),1,0,ROW(INDEX(MO_CFS_CFO,0,COLUMN()))-ROW(INDEX(MO_CFS_CFO_BeforeWC,0,COLUMN()))-1,1))</f>
        <v>1164</v>
      </c>
      <c r="AJ59" s="954">
        <f t="shared" ca="1" si="207"/>
        <v>-718</v>
      </c>
      <c r="AK59" s="133">
        <f t="shared" ca="1" si="207"/>
        <v>-1210</v>
      </c>
      <c r="AL59" s="133">
        <f t="shared" ca="1" si="207"/>
        <v>931</v>
      </c>
      <c r="AM59" s="133">
        <f t="shared" ca="1" si="207"/>
        <v>1405</v>
      </c>
      <c r="AN59" s="133">
        <f t="shared" ca="1" si="207"/>
        <v>368</v>
      </c>
      <c r="AO59" s="954">
        <f t="shared" ca="1" si="207"/>
        <v>1494</v>
      </c>
      <c r="AP59" s="133">
        <f t="shared" ca="1" si="207"/>
        <v>-1096</v>
      </c>
      <c r="AQ59" s="133">
        <f t="shared" ca="1" si="207"/>
        <v>723</v>
      </c>
      <c r="AR59" s="133">
        <f t="shared" ca="1" si="207"/>
        <v>352</v>
      </c>
      <c r="AS59" s="133">
        <f t="shared" ca="1" si="207"/>
        <v>-1631</v>
      </c>
      <c r="AT59" s="954">
        <f t="shared" ca="1" si="207"/>
        <v>-1652</v>
      </c>
      <c r="AU59" s="133">
        <f t="shared" ca="1" si="207"/>
        <v>-902</v>
      </c>
      <c r="AV59" s="133">
        <f t="shared" ca="1" si="207"/>
        <v>-130</v>
      </c>
      <c r="AW59" s="133">
        <f t="shared" ca="1" si="207"/>
        <v>-427</v>
      </c>
      <c r="AX59" s="133">
        <f t="shared" ca="1" si="207"/>
        <v>98</v>
      </c>
      <c r="AY59" s="954">
        <f t="shared" ca="1" si="207"/>
        <v>-1361</v>
      </c>
      <c r="AZ59" s="133">
        <f t="shared" ca="1" si="207"/>
        <v>-937</v>
      </c>
      <c r="BA59" s="133">
        <f t="shared" ca="1" si="207"/>
        <v>532</v>
      </c>
      <c r="BB59" s="133">
        <f t="shared" ca="1" si="207"/>
        <v>1577</v>
      </c>
      <c r="BC59" s="133">
        <f t="shared" ca="1" si="207"/>
        <v>953</v>
      </c>
      <c r="BD59" s="954">
        <f t="shared" ca="1" si="207"/>
        <v>2125</v>
      </c>
      <c r="BE59" s="133">
        <f t="shared" ca="1" si="207"/>
        <v>-1815</v>
      </c>
      <c r="BF59" s="133">
        <f t="shared" ca="1" si="207"/>
        <v>-3133</v>
      </c>
      <c r="BG59" s="133">
        <f t="shared" ca="1" si="207"/>
        <v>767</v>
      </c>
      <c r="BH59" s="133">
        <f t="shared" ca="1" si="207"/>
        <v>996</v>
      </c>
      <c r="BI59" s="954">
        <f t="shared" ca="1" si="207"/>
        <v>-3185</v>
      </c>
      <c r="BJ59" s="133">
        <f t="shared" ref="BJ59:BN59" ca="1" si="208">SUM(OFFSET(INDEX(MO_CFS_CFO_BeforeWC,0,COLUMN()),1,0,ROW(INDEX(MO_CFS_CFO,0,COLUMN()))-ROW(INDEX(MO_CFS_CFO_BeforeWC,0,COLUMN()))-1,1))</f>
        <v>-1144</v>
      </c>
      <c r="BK59" s="133">
        <f t="shared" ca="1" si="208"/>
        <v>-2431</v>
      </c>
      <c r="BL59" s="133">
        <f t="shared" ca="1" si="208"/>
        <v>1403</v>
      </c>
      <c r="BM59" s="133">
        <f t="shared" ca="1" si="208"/>
        <v>3383</v>
      </c>
      <c r="BN59" s="954">
        <f t="shared" ca="1" si="208"/>
        <v>1211</v>
      </c>
      <c r="BO59" s="133">
        <f t="shared" ref="BO59:BS59" ca="1" si="209">SUM(OFFSET(INDEX(MO_CFS_CFO_BeforeWC,0,COLUMN()),1,0,ROW(INDEX(MO_CFS_CFO,0,COLUMN()))-ROW(INDEX(MO_CFS_CFO_BeforeWC,0,COLUMN()))-1,1))</f>
        <v>-2408</v>
      </c>
      <c r="BP59" s="133">
        <f t="shared" ca="1" si="209"/>
        <v>278</v>
      </c>
      <c r="BQ59" s="133">
        <f t="shared" ca="1" si="209"/>
        <v>-555</v>
      </c>
      <c r="BR59" s="133">
        <f t="shared" ca="1" si="209"/>
        <v>1677</v>
      </c>
      <c r="BS59" s="954">
        <f t="shared" ca="1" si="209"/>
        <v>-1008</v>
      </c>
      <c r="BT59" s="692">
        <f t="shared" ref="BT59:BX59" ca="1" si="210">SUM(OFFSET(INDEX(MO_CFS_CFO_BeforeWC,0,COLUMN()),1,0,ROW(INDEX(MO_CFS_CFO,0,COLUMN()))-ROW(INDEX(MO_CFS_CFO_BeforeWC,0,COLUMN()))-1,1))</f>
        <v>-4625</v>
      </c>
      <c r="BU59" s="133">
        <f t="shared" ca="1" si="210"/>
        <v>0</v>
      </c>
      <c r="BV59" s="133">
        <f t="shared" ca="1" si="210"/>
        <v>0</v>
      </c>
      <c r="BW59" s="133">
        <f t="shared" ca="1" si="210"/>
        <v>0</v>
      </c>
      <c r="BX59" s="954">
        <f t="shared" ca="1" si="210"/>
        <v>-4625</v>
      </c>
      <c r="BY59" s="133">
        <f t="shared" ref="BY59:CF59" ca="1" si="211">SUM(OFFSET(INDEX(MO_CFS_CFO_BeforeWC,0,COLUMN()),1,0,ROW(INDEX(MO_CFS_CFO,0,COLUMN()))-ROW(INDEX(MO_CFS_CFO_BeforeWC,0,COLUMN()))-1,1))</f>
        <v>0</v>
      </c>
      <c r="BZ59" s="133">
        <f t="shared" ca="1" si="211"/>
        <v>0</v>
      </c>
      <c r="CA59" s="133">
        <f t="shared" ca="1" si="211"/>
        <v>0</v>
      </c>
      <c r="CB59" s="133">
        <f t="shared" ca="1" si="211"/>
        <v>0</v>
      </c>
      <c r="CC59" s="954">
        <f t="shared" ca="1" si="211"/>
        <v>0</v>
      </c>
      <c r="CD59" s="954">
        <f t="shared" ca="1" si="211"/>
        <v>0</v>
      </c>
      <c r="CE59" s="954">
        <f t="shared" ca="1" si="211"/>
        <v>0</v>
      </c>
      <c r="CF59" s="954">
        <f t="shared" ca="1" si="211"/>
        <v>0</v>
      </c>
      <c r="CG59" s="117"/>
    </row>
    <row r="60" spans="1:85" s="461" customFormat="1" collapsed="1" x14ac:dyDescent="0.3">
      <c r="A60" s="166" t="s">
        <v>709</v>
      </c>
      <c r="B60" s="167"/>
      <c r="C60" s="957">
        <f t="shared" ref="C60:AH60" ca="1" si="212">SUM(C58:C59)</f>
        <v>19373</v>
      </c>
      <c r="D60" s="957">
        <f t="shared" ca="1" si="212"/>
        <v>31354</v>
      </c>
      <c r="E60" s="957">
        <f t="shared" ca="1" si="212"/>
        <v>41095</v>
      </c>
      <c r="F60" s="957">
        <f t="shared" ca="1" si="212"/>
        <v>38812</v>
      </c>
      <c r="G60" s="120">
        <f t="shared" ca="1" si="212"/>
        <v>5714</v>
      </c>
      <c r="H60" s="120">
        <f t="shared" ca="1" si="212"/>
        <v>8520</v>
      </c>
      <c r="I60" s="120">
        <f t="shared" ca="1" si="212"/>
        <v>10316</v>
      </c>
      <c r="J60" s="120">
        <f t="shared" ca="1" si="212"/>
        <v>10452</v>
      </c>
      <c r="K60" s="957">
        <f t="shared" ca="1" si="212"/>
        <v>35002</v>
      </c>
      <c r="L60" s="120">
        <f t="shared" ca="1" si="212"/>
        <v>8417</v>
      </c>
      <c r="M60" s="120">
        <f t="shared" ca="1" si="212"/>
        <v>7881</v>
      </c>
      <c r="N60" s="120">
        <f t="shared" ca="1" si="212"/>
        <v>8680</v>
      </c>
      <c r="O60" s="120">
        <f t="shared" ca="1" si="212"/>
        <v>6497</v>
      </c>
      <c r="P60" s="957">
        <f t="shared" ca="1" si="212"/>
        <v>31475</v>
      </c>
      <c r="Q60" s="120">
        <f t="shared" ca="1" si="212"/>
        <v>2319</v>
      </c>
      <c r="R60" s="120">
        <f t="shared" ca="1" si="212"/>
        <v>7220</v>
      </c>
      <c r="S60" s="120">
        <f t="shared" ca="1" si="212"/>
        <v>5360</v>
      </c>
      <c r="T60" s="120">
        <f t="shared" ca="1" si="212"/>
        <v>4557</v>
      </c>
      <c r="U60" s="957">
        <f t="shared" ca="1" si="212"/>
        <v>19456</v>
      </c>
      <c r="V60" s="120">
        <f t="shared" ca="1" si="212"/>
        <v>1141</v>
      </c>
      <c r="W60" s="120">
        <f t="shared" ca="1" si="212"/>
        <v>2531</v>
      </c>
      <c r="X60" s="120">
        <f t="shared" ca="1" si="212"/>
        <v>5311</v>
      </c>
      <c r="Y60" s="120">
        <f t="shared" ca="1" si="212"/>
        <v>3863</v>
      </c>
      <c r="Z60" s="957">
        <f t="shared" ca="1" si="212"/>
        <v>12846</v>
      </c>
      <c r="AA60" s="120">
        <f t="shared" ca="1" si="212"/>
        <v>3879</v>
      </c>
      <c r="AB60" s="120">
        <f t="shared" ca="1" si="212"/>
        <v>5036</v>
      </c>
      <c r="AC60" s="120">
        <f t="shared" ca="1" si="212"/>
        <v>5370</v>
      </c>
      <c r="AD60" s="120">
        <f t="shared" ca="1" si="212"/>
        <v>6230</v>
      </c>
      <c r="AE60" s="957">
        <f t="shared" ca="1" si="212"/>
        <v>20515</v>
      </c>
      <c r="AF60" s="120">
        <f t="shared" ca="1" si="212"/>
        <v>5043</v>
      </c>
      <c r="AG60" s="120">
        <f t="shared" ca="1" si="212"/>
        <v>6855</v>
      </c>
      <c r="AH60" s="120">
        <f t="shared" ca="1" si="212"/>
        <v>9569</v>
      </c>
      <c r="AI60" s="120">
        <f t="shared" ref="AI60:BI60" ca="1" si="213">SUM(AI58:AI59)</f>
        <v>9151</v>
      </c>
      <c r="AJ60" s="957">
        <f t="shared" ca="1" si="213"/>
        <v>30618</v>
      </c>
      <c r="AK60" s="120">
        <f t="shared" ca="1" si="213"/>
        <v>5057</v>
      </c>
      <c r="AL60" s="120">
        <f t="shared" ca="1" si="213"/>
        <v>8783</v>
      </c>
      <c r="AM60" s="120">
        <f t="shared" ca="1" si="213"/>
        <v>7817</v>
      </c>
      <c r="AN60" s="120">
        <f t="shared" ca="1" si="213"/>
        <v>5657</v>
      </c>
      <c r="AO60" s="957">
        <f t="shared" ca="1" si="213"/>
        <v>27314</v>
      </c>
      <c r="AP60" s="120">
        <f t="shared" ca="1" si="213"/>
        <v>4722</v>
      </c>
      <c r="AQ60" s="120">
        <f t="shared" ca="1" si="213"/>
        <v>80</v>
      </c>
      <c r="AR60" s="120">
        <f t="shared" ca="1" si="213"/>
        <v>3537</v>
      </c>
      <c r="AS60" s="120">
        <f t="shared" ca="1" si="213"/>
        <v>2238</v>
      </c>
      <c r="AT60" s="957">
        <f t="shared" ca="1" si="213"/>
        <v>10577</v>
      </c>
      <c r="AU60" s="120">
        <f t="shared" ca="1" si="213"/>
        <v>4196</v>
      </c>
      <c r="AV60" s="120">
        <f t="shared" ca="1" si="213"/>
        <v>6954</v>
      </c>
      <c r="AW60" s="120">
        <f t="shared" ca="1" si="213"/>
        <v>8579</v>
      </c>
      <c r="AX60" s="120">
        <f t="shared" ca="1" si="213"/>
        <v>9458</v>
      </c>
      <c r="AY60" s="957">
        <f t="shared" ca="1" si="213"/>
        <v>29187</v>
      </c>
      <c r="AZ60" s="120">
        <f t="shared" ca="1" si="213"/>
        <v>8055</v>
      </c>
      <c r="BA60" s="120">
        <f t="shared" ca="1" si="213"/>
        <v>13782</v>
      </c>
      <c r="BB60" s="120">
        <f t="shared" ca="1" si="213"/>
        <v>15267</v>
      </c>
      <c r="BC60" s="120">
        <f t="shared" ca="1" si="213"/>
        <v>12498</v>
      </c>
      <c r="BD60" s="957">
        <f t="shared" ca="1" si="213"/>
        <v>49602</v>
      </c>
      <c r="BE60" s="120">
        <f t="shared" ca="1" si="213"/>
        <v>7205</v>
      </c>
      <c r="BF60" s="120">
        <f t="shared" ca="1" si="213"/>
        <v>6297</v>
      </c>
      <c r="BG60" s="120">
        <f t="shared" ca="1" si="213"/>
        <v>9673</v>
      </c>
      <c r="BH60" s="120">
        <f t="shared" ca="1" si="213"/>
        <v>12434</v>
      </c>
      <c r="BI60" s="957">
        <f t="shared" ca="1" si="213"/>
        <v>35609</v>
      </c>
      <c r="BJ60" s="120">
        <f t="shared" ref="BJ60:BN60" ca="1" si="214">SUM(BJ58:BJ59)</f>
        <v>6828</v>
      </c>
      <c r="BK60" s="120">
        <f t="shared" ca="1" si="214"/>
        <v>6295</v>
      </c>
      <c r="BL60" s="120">
        <f t="shared" ca="1" si="214"/>
        <v>9674</v>
      </c>
      <c r="BM60" s="120">
        <f t="shared" ca="1" si="214"/>
        <v>8695</v>
      </c>
      <c r="BN60" s="957">
        <f t="shared" ca="1" si="214"/>
        <v>31492</v>
      </c>
      <c r="BO60" s="120">
        <f t="shared" ref="BO60:BS60" ca="1" si="215">SUM(BO58:BO59)</f>
        <v>5189</v>
      </c>
      <c r="BP60" s="120">
        <f t="shared" ca="1" si="215"/>
        <v>8576</v>
      </c>
      <c r="BQ60" s="120">
        <f t="shared" ca="1" si="215"/>
        <v>9385</v>
      </c>
      <c r="BR60" s="120">
        <f t="shared" ca="1" si="215"/>
        <v>10789</v>
      </c>
      <c r="BS60" s="957">
        <f t="shared" ca="1" si="215"/>
        <v>33939</v>
      </c>
      <c r="BT60" s="694">
        <f t="shared" ref="BT60:BX60" ca="1" si="216">SUM(BT58:BT59)</f>
        <v>2514</v>
      </c>
      <c r="BU60" s="120">
        <f t="shared" ca="1" si="216"/>
        <v>15186.854767698625</v>
      </c>
      <c r="BV60" s="120">
        <f t="shared" ca="1" si="216"/>
        <v>11638.625420904107</v>
      </c>
      <c r="BW60" s="120">
        <f t="shared" ca="1" si="216"/>
        <v>11332.36695090411</v>
      </c>
      <c r="BX60" s="957">
        <f t="shared" ca="1" si="216"/>
        <v>40671.847139506841</v>
      </c>
      <c r="BY60" s="120">
        <f t="shared" ref="BY60:CF60" ca="1" si="217">SUM(BY58:BY59)</f>
        <v>12196.860269315066</v>
      </c>
      <c r="BZ60" s="120">
        <f t="shared" ca="1" si="217"/>
        <v>12714.108831913014</v>
      </c>
      <c r="CA60" s="120">
        <f t="shared" ca="1" si="217"/>
        <v>12883.938858610953</v>
      </c>
      <c r="CB60" s="120">
        <f t="shared" ca="1" si="217"/>
        <v>12790.883953810957</v>
      </c>
      <c r="CC60" s="957">
        <f t="shared" ca="1" si="217"/>
        <v>50585.791913649991</v>
      </c>
      <c r="CD60" s="957">
        <f t="shared" ca="1" si="217"/>
        <v>49927.821157500002</v>
      </c>
      <c r="CE60" s="957">
        <f t="shared" ca="1" si="217"/>
        <v>48642.951027750001</v>
      </c>
      <c r="CF60" s="957">
        <f t="shared" ca="1" si="217"/>
        <v>42776.002814999993</v>
      </c>
      <c r="CG60" s="117"/>
    </row>
    <row r="61" spans="1:85" s="460" customFormat="1" x14ac:dyDescent="0.3">
      <c r="A61" s="262" t="str">
        <f>INDEX(MO_CFSum_Capex,0,COLUMN())</f>
        <v>Capex</v>
      </c>
      <c r="B61" s="263"/>
      <c r="C61" s="954">
        <f t="shared" ref="C61:AH61" si="218">INDEX(MO_CFSum_Capex,0,COLUMN())</f>
        <v>-19843</v>
      </c>
      <c r="D61" s="954">
        <f t="shared" si="218"/>
        <v>-19612</v>
      </c>
      <c r="E61" s="954">
        <f t="shared" si="218"/>
        <v>-26500</v>
      </c>
      <c r="F61" s="954">
        <f t="shared" si="218"/>
        <v>-30938</v>
      </c>
      <c r="G61" s="133">
        <f t="shared" si="218"/>
        <v>-8192</v>
      </c>
      <c r="H61" s="133">
        <f t="shared" si="218"/>
        <v>-8573</v>
      </c>
      <c r="I61" s="133">
        <f t="shared" si="218"/>
        <v>-9607</v>
      </c>
      <c r="J61" s="133">
        <f t="shared" si="218"/>
        <v>-11613</v>
      </c>
      <c r="K61" s="954">
        <f t="shared" si="218"/>
        <v>-37985</v>
      </c>
      <c r="L61" s="133">
        <f t="shared" si="218"/>
        <v>-8544</v>
      </c>
      <c r="M61" s="133">
        <f t="shared" si="218"/>
        <v>-8931</v>
      </c>
      <c r="N61" s="133">
        <f t="shared" si="218"/>
        <v>-8264</v>
      </c>
      <c r="O61" s="133">
        <f t="shared" si="218"/>
        <v>-9668</v>
      </c>
      <c r="P61" s="954">
        <f t="shared" si="218"/>
        <v>-35407</v>
      </c>
      <c r="Q61" s="133">
        <f t="shared" si="218"/>
        <v>-7602</v>
      </c>
      <c r="R61" s="133">
        <f t="shared" si="218"/>
        <v>-7643</v>
      </c>
      <c r="S61" s="133">
        <f t="shared" si="218"/>
        <v>-6810</v>
      </c>
      <c r="T61" s="133">
        <f t="shared" si="218"/>
        <v>-7449</v>
      </c>
      <c r="U61" s="954">
        <f t="shared" si="218"/>
        <v>-29504</v>
      </c>
      <c r="V61" s="133">
        <f t="shared" si="218"/>
        <v>-5566</v>
      </c>
      <c r="W61" s="133">
        <f t="shared" si="218"/>
        <v>-4469</v>
      </c>
      <c r="X61" s="133">
        <f t="shared" si="218"/>
        <v>-4065</v>
      </c>
      <c r="Y61" s="133">
        <f t="shared" si="218"/>
        <v>-4009</v>
      </c>
      <c r="Z61" s="954">
        <f t="shared" si="218"/>
        <v>-18109</v>
      </c>
      <c r="AA61" s="133">
        <f t="shared" si="218"/>
        <v>-3315</v>
      </c>
      <c r="AB61" s="133">
        <f t="shared" si="218"/>
        <v>-3224</v>
      </c>
      <c r="AC61" s="133">
        <f t="shared" si="218"/>
        <v>-3224</v>
      </c>
      <c r="AD61" s="133">
        <f t="shared" si="218"/>
        <v>-3641</v>
      </c>
      <c r="AE61" s="954">
        <f t="shared" si="218"/>
        <v>-13404</v>
      </c>
      <c r="AF61" s="133">
        <f t="shared" si="218"/>
        <v>-2997</v>
      </c>
      <c r="AG61" s="133">
        <f t="shared" si="218"/>
        <v>-3226</v>
      </c>
      <c r="AH61" s="133">
        <f t="shared" si="218"/>
        <v>-3578</v>
      </c>
      <c r="AI61" s="133">
        <f t="shared" ref="AI61:BI61" si="219">INDEX(MO_CFSum_Capex,0,COLUMN())</f>
        <v>-3991</v>
      </c>
      <c r="AJ61" s="954">
        <f t="shared" si="219"/>
        <v>-13792</v>
      </c>
      <c r="AK61" s="133">
        <f t="shared" si="219"/>
        <v>-2953</v>
      </c>
      <c r="AL61" s="133">
        <f t="shared" si="219"/>
        <v>-3584</v>
      </c>
      <c r="AM61" s="133">
        <f t="shared" si="219"/>
        <v>-3369</v>
      </c>
      <c r="AN61" s="133">
        <f t="shared" si="219"/>
        <v>-4210</v>
      </c>
      <c r="AO61" s="954">
        <f t="shared" si="219"/>
        <v>-14116</v>
      </c>
      <c r="AP61" s="133">
        <f t="shared" si="219"/>
        <v>-3133</v>
      </c>
      <c r="AQ61" s="133">
        <f t="shared" si="219"/>
        <v>-2092</v>
      </c>
      <c r="AR61" s="133">
        <f t="shared" si="219"/>
        <v>-1630</v>
      </c>
      <c r="AS61" s="133">
        <f t="shared" si="219"/>
        <v>-2067</v>
      </c>
      <c r="AT61" s="954">
        <f t="shared" si="219"/>
        <v>-8922</v>
      </c>
      <c r="AU61" s="133">
        <f t="shared" si="219"/>
        <v>-1746</v>
      </c>
      <c r="AV61" s="133">
        <f t="shared" si="219"/>
        <v>-1797</v>
      </c>
      <c r="AW61" s="133">
        <f t="shared" si="219"/>
        <v>-1907</v>
      </c>
      <c r="AX61" s="133">
        <f t="shared" si="219"/>
        <v>-2606</v>
      </c>
      <c r="AY61" s="954">
        <f t="shared" si="219"/>
        <v>-8056</v>
      </c>
      <c r="AZ61" s="133">
        <f t="shared" si="219"/>
        <v>-1960</v>
      </c>
      <c r="BA61" s="133">
        <f t="shared" si="219"/>
        <v>-3184</v>
      </c>
      <c r="BB61" s="133">
        <f t="shared" si="219"/>
        <v>-2995</v>
      </c>
      <c r="BC61" s="133">
        <f t="shared" si="219"/>
        <v>-3835</v>
      </c>
      <c r="BD61" s="954">
        <f t="shared" si="219"/>
        <v>-11974</v>
      </c>
      <c r="BE61" s="133">
        <f t="shared" si="219"/>
        <v>-3038</v>
      </c>
      <c r="BF61" s="133">
        <f t="shared" si="219"/>
        <v>-3757</v>
      </c>
      <c r="BG61" s="133">
        <f t="shared" si="219"/>
        <v>-4673</v>
      </c>
      <c r="BH61" s="133">
        <f t="shared" si="219"/>
        <v>-4361</v>
      </c>
      <c r="BI61" s="954">
        <f t="shared" si="219"/>
        <v>-15829</v>
      </c>
      <c r="BJ61" s="133">
        <f t="shared" ref="BJ61:BN61" si="220">INDEX(MO_CFSum_Capex,0,COLUMN())</f>
        <v>-4089</v>
      </c>
      <c r="BK61" s="133">
        <f t="shared" si="220"/>
        <v>-3966</v>
      </c>
      <c r="BL61" s="133">
        <f t="shared" si="220"/>
        <v>-4055</v>
      </c>
      <c r="BM61" s="133">
        <f t="shared" si="220"/>
        <v>-4338</v>
      </c>
      <c r="BN61" s="954">
        <f t="shared" si="220"/>
        <v>-16448</v>
      </c>
      <c r="BO61" s="133">
        <f t="shared" ref="BO61:BS61" si="221">INDEX(MO_CFSum_Capex,0,COLUMN())</f>
        <v>-3927</v>
      </c>
      <c r="BP61" s="133">
        <f t="shared" si="221"/>
        <v>-3712</v>
      </c>
      <c r="BQ61" s="133">
        <f t="shared" si="221"/>
        <v>-4444</v>
      </c>
      <c r="BR61" s="133">
        <f t="shared" si="221"/>
        <v>-5264</v>
      </c>
      <c r="BS61" s="954">
        <f t="shared" si="221"/>
        <v>-17347</v>
      </c>
      <c r="BT61" s="692">
        <f t="shared" ref="BT61:BX61" si="222">INDEX(MO_CFSum_Capex,0,COLUMN())</f>
        <v>-4063</v>
      </c>
      <c r="BU61" s="133">
        <f t="shared" si="222"/>
        <v>-4500</v>
      </c>
      <c r="BV61" s="133">
        <f t="shared" si="222"/>
        <v>-5000</v>
      </c>
      <c r="BW61" s="133">
        <f t="shared" si="222"/>
        <v>-5000</v>
      </c>
      <c r="BX61" s="954">
        <f t="shared" si="222"/>
        <v>-18563</v>
      </c>
      <c r="BY61" s="133">
        <f t="shared" ref="BY61:CF61" si="223">INDEX(MO_CFSum_Capex,0,COLUMN())</f>
        <v>-5000</v>
      </c>
      <c r="BZ61" s="133">
        <f t="shared" si="223"/>
        <v>-5000</v>
      </c>
      <c r="CA61" s="133">
        <f t="shared" si="223"/>
        <v>-5000</v>
      </c>
      <c r="CB61" s="133">
        <f t="shared" si="223"/>
        <v>-5000</v>
      </c>
      <c r="CC61" s="954">
        <f t="shared" si="223"/>
        <v>-20000</v>
      </c>
      <c r="CD61" s="954">
        <f t="shared" si="223"/>
        <v>-20000</v>
      </c>
      <c r="CE61" s="954">
        <f t="shared" si="223"/>
        <v>-20000</v>
      </c>
      <c r="CF61" s="954">
        <f t="shared" si="223"/>
        <v>-20000</v>
      </c>
      <c r="CG61" s="117"/>
    </row>
    <row r="62" spans="1:85" s="461" customFormat="1" x14ac:dyDescent="0.3">
      <c r="A62" s="161" t="s">
        <v>419</v>
      </c>
      <c r="B62" s="162"/>
      <c r="C62" s="953">
        <f t="shared" ref="C62:AH62" ca="1" si="224">SUM(C60:C61)</f>
        <v>-470</v>
      </c>
      <c r="D62" s="953">
        <f t="shared" ca="1" si="224"/>
        <v>11742</v>
      </c>
      <c r="E62" s="953">
        <f t="shared" ca="1" si="224"/>
        <v>14595</v>
      </c>
      <c r="F62" s="953">
        <f t="shared" ca="1" si="224"/>
        <v>7874</v>
      </c>
      <c r="G62" s="118">
        <f t="shared" ca="1" si="224"/>
        <v>-2478</v>
      </c>
      <c r="H62" s="118">
        <f t="shared" ca="1" si="224"/>
        <v>-53</v>
      </c>
      <c r="I62" s="118">
        <f t="shared" ca="1" si="224"/>
        <v>709</v>
      </c>
      <c r="J62" s="118">
        <f t="shared" ca="1" si="224"/>
        <v>-1161</v>
      </c>
      <c r="K62" s="953">
        <f t="shared" ca="1" si="224"/>
        <v>-2983</v>
      </c>
      <c r="L62" s="118">
        <f t="shared" ca="1" si="224"/>
        <v>-127</v>
      </c>
      <c r="M62" s="118">
        <f t="shared" ca="1" si="224"/>
        <v>-1050</v>
      </c>
      <c r="N62" s="118">
        <f t="shared" ca="1" si="224"/>
        <v>416</v>
      </c>
      <c r="O62" s="118">
        <f t="shared" ca="1" si="224"/>
        <v>-3171</v>
      </c>
      <c r="P62" s="953">
        <f t="shared" ca="1" si="224"/>
        <v>-3932</v>
      </c>
      <c r="Q62" s="118">
        <f t="shared" ca="1" si="224"/>
        <v>-5283</v>
      </c>
      <c r="R62" s="118">
        <f t="shared" ca="1" si="224"/>
        <v>-423</v>
      </c>
      <c r="S62" s="118">
        <f t="shared" ca="1" si="224"/>
        <v>-1450</v>
      </c>
      <c r="T62" s="118">
        <f t="shared" ca="1" si="224"/>
        <v>-2892</v>
      </c>
      <c r="U62" s="953">
        <f t="shared" ca="1" si="224"/>
        <v>-10048</v>
      </c>
      <c r="V62" s="118">
        <f t="shared" ca="1" si="224"/>
        <v>-4425</v>
      </c>
      <c r="W62" s="118">
        <f t="shared" ca="1" si="224"/>
        <v>-1938</v>
      </c>
      <c r="X62" s="118">
        <f t="shared" ca="1" si="224"/>
        <v>1246</v>
      </c>
      <c r="Y62" s="118">
        <f t="shared" ca="1" si="224"/>
        <v>-146</v>
      </c>
      <c r="Z62" s="953">
        <f t="shared" ca="1" si="224"/>
        <v>-5263</v>
      </c>
      <c r="AA62" s="118">
        <f t="shared" ca="1" si="224"/>
        <v>564</v>
      </c>
      <c r="AB62" s="118">
        <f t="shared" ca="1" si="224"/>
        <v>1812</v>
      </c>
      <c r="AC62" s="118">
        <f t="shared" ca="1" si="224"/>
        <v>2146</v>
      </c>
      <c r="AD62" s="118">
        <f t="shared" ca="1" si="224"/>
        <v>2589</v>
      </c>
      <c r="AE62" s="953">
        <f t="shared" ca="1" si="224"/>
        <v>7111</v>
      </c>
      <c r="AF62" s="118">
        <f t="shared" ca="1" si="224"/>
        <v>2046</v>
      </c>
      <c r="AG62" s="118">
        <f t="shared" ca="1" si="224"/>
        <v>3629</v>
      </c>
      <c r="AH62" s="118">
        <f t="shared" ca="1" si="224"/>
        <v>5991</v>
      </c>
      <c r="AI62" s="118">
        <f t="shared" ref="AI62:BI62" ca="1" si="225">SUM(AI60:AI61)</f>
        <v>5160</v>
      </c>
      <c r="AJ62" s="953">
        <f t="shared" ca="1" si="225"/>
        <v>16826</v>
      </c>
      <c r="AK62" s="118">
        <f t="shared" ca="1" si="225"/>
        <v>2104</v>
      </c>
      <c r="AL62" s="118">
        <f t="shared" ca="1" si="225"/>
        <v>5199</v>
      </c>
      <c r="AM62" s="118">
        <f t="shared" ca="1" si="225"/>
        <v>4448</v>
      </c>
      <c r="AN62" s="118">
        <f t="shared" ca="1" si="225"/>
        <v>1447</v>
      </c>
      <c r="AO62" s="953">
        <f t="shared" ca="1" si="225"/>
        <v>13198</v>
      </c>
      <c r="AP62" s="118">
        <f t="shared" ca="1" si="225"/>
        <v>1589</v>
      </c>
      <c r="AQ62" s="118">
        <f t="shared" ca="1" si="225"/>
        <v>-2012</v>
      </c>
      <c r="AR62" s="118">
        <f t="shared" ca="1" si="225"/>
        <v>1907</v>
      </c>
      <c r="AS62" s="118">
        <f t="shared" ca="1" si="225"/>
        <v>171</v>
      </c>
      <c r="AT62" s="953">
        <f t="shared" ca="1" si="225"/>
        <v>1655</v>
      </c>
      <c r="AU62" s="118">
        <f t="shared" ca="1" si="225"/>
        <v>2450</v>
      </c>
      <c r="AV62" s="118">
        <f t="shared" ca="1" si="225"/>
        <v>5157</v>
      </c>
      <c r="AW62" s="118">
        <f t="shared" ca="1" si="225"/>
        <v>6672</v>
      </c>
      <c r="AX62" s="118">
        <f t="shared" ca="1" si="225"/>
        <v>6852</v>
      </c>
      <c r="AY62" s="953">
        <f t="shared" ca="1" si="225"/>
        <v>21131</v>
      </c>
      <c r="AZ62" s="118">
        <f t="shared" ca="1" si="225"/>
        <v>6095</v>
      </c>
      <c r="BA62" s="118">
        <f t="shared" ca="1" si="225"/>
        <v>10598</v>
      </c>
      <c r="BB62" s="118">
        <f t="shared" ca="1" si="225"/>
        <v>12272</v>
      </c>
      <c r="BC62" s="118">
        <f t="shared" ca="1" si="225"/>
        <v>8663</v>
      </c>
      <c r="BD62" s="953">
        <f t="shared" ca="1" si="225"/>
        <v>37628</v>
      </c>
      <c r="BE62" s="118">
        <f t="shared" ca="1" si="225"/>
        <v>4167</v>
      </c>
      <c r="BF62" s="118">
        <f t="shared" ca="1" si="225"/>
        <v>2540</v>
      </c>
      <c r="BG62" s="118">
        <f t="shared" ca="1" si="225"/>
        <v>5000</v>
      </c>
      <c r="BH62" s="118">
        <f t="shared" ca="1" si="225"/>
        <v>8073</v>
      </c>
      <c r="BI62" s="953">
        <f t="shared" ca="1" si="225"/>
        <v>19780</v>
      </c>
      <c r="BJ62" s="118">
        <f t="shared" ref="BJ62:BN62" ca="1" si="226">SUM(BJ60:BJ61)</f>
        <v>2739</v>
      </c>
      <c r="BK62" s="118">
        <f t="shared" ca="1" si="226"/>
        <v>2329</v>
      </c>
      <c r="BL62" s="118">
        <f t="shared" ca="1" si="226"/>
        <v>5619</v>
      </c>
      <c r="BM62" s="118">
        <f t="shared" ca="1" si="226"/>
        <v>4357</v>
      </c>
      <c r="BN62" s="953">
        <f t="shared" ca="1" si="226"/>
        <v>15044</v>
      </c>
      <c r="BO62" s="118">
        <f t="shared" ref="BO62:BS62" ca="1" si="227">SUM(BO60:BO61)</f>
        <v>1262</v>
      </c>
      <c r="BP62" s="118">
        <f t="shared" ca="1" si="227"/>
        <v>4864</v>
      </c>
      <c r="BQ62" s="118">
        <f t="shared" ca="1" si="227"/>
        <v>4941</v>
      </c>
      <c r="BR62" s="118">
        <f t="shared" ca="1" si="227"/>
        <v>5525</v>
      </c>
      <c r="BS62" s="953">
        <f t="shared" ca="1" si="227"/>
        <v>16592</v>
      </c>
      <c r="BT62" s="690">
        <f t="shared" ref="BT62:BX62" ca="1" si="228">SUM(BT60:BT61)</f>
        <v>-1549</v>
      </c>
      <c r="BU62" s="118">
        <f t="shared" ca="1" si="228"/>
        <v>10686.854767698625</v>
      </c>
      <c r="BV62" s="118">
        <f t="shared" ca="1" si="228"/>
        <v>6638.6254209041072</v>
      </c>
      <c r="BW62" s="118">
        <f t="shared" ca="1" si="228"/>
        <v>6332.3669509041101</v>
      </c>
      <c r="BX62" s="953">
        <f t="shared" ca="1" si="228"/>
        <v>22108.847139506841</v>
      </c>
      <c r="BY62" s="118">
        <f t="shared" ref="BY62:CF62" ca="1" si="229">SUM(BY60:BY61)</f>
        <v>7196.860269315066</v>
      </c>
      <c r="BZ62" s="118">
        <f t="shared" ca="1" si="229"/>
        <v>7714.108831913014</v>
      </c>
      <c r="CA62" s="118">
        <f t="shared" ca="1" si="229"/>
        <v>7883.9388586109526</v>
      </c>
      <c r="CB62" s="118">
        <f t="shared" ca="1" si="229"/>
        <v>7790.8839538109569</v>
      </c>
      <c r="CC62" s="953">
        <f t="shared" ca="1" si="229"/>
        <v>30585.791913649991</v>
      </c>
      <c r="CD62" s="953">
        <f t="shared" ca="1" si="229"/>
        <v>29927.821157500002</v>
      </c>
      <c r="CE62" s="953">
        <f t="shared" ca="1" si="229"/>
        <v>28642.951027750001</v>
      </c>
      <c r="CF62" s="953">
        <f t="shared" ca="1" si="229"/>
        <v>22776.002814999993</v>
      </c>
      <c r="CG62" s="120"/>
    </row>
    <row r="63" spans="1:85" s="460" customFormat="1" x14ac:dyDescent="0.3">
      <c r="A63" s="262" t="str">
        <f>INDEX(MO_CFSum_Dividend,0,COLUMN())</f>
        <v>Dividend Paid</v>
      </c>
      <c r="B63" s="263"/>
      <c r="C63" s="954">
        <f t="shared" ref="C63:AH63" si="230">INDEX(MO_CFSum_Dividend,0,COLUMN())</f>
        <v>-5302</v>
      </c>
      <c r="D63" s="954">
        <f t="shared" si="230"/>
        <v>-5669</v>
      </c>
      <c r="E63" s="954">
        <f t="shared" si="230"/>
        <v>-6136</v>
      </c>
      <c r="F63" s="954">
        <f t="shared" si="230"/>
        <v>-6844</v>
      </c>
      <c r="G63" s="133">
        <f t="shared" si="230"/>
        <v>-1735</v>
      </c>
      <c r="H63" s="133">
        <f t="shared" si="230"/>
        <v>-1921</v>
      </c>
      <c r="I63" s="133">
        <f t="shared" si="230"/>
        <v>-1915</v>
      </c>
      <c r="J63" s="133">
        <f t="shared" si="230"/>
        <v>-1903</v>
      </c>
      <c r="K63" s="954">
        <f t="shared" si="230"/>
        <v>-7474</v>
      </c>
      <c r="L63" s="133">
        <f t="shared" si="230"/>
        <v>-1895</v>
      </c>
      <c r="M63" s="133">
        <f t="shared" si="230"/>
        <v>-2019</v>
      </c>
      <c r="N63" s="133">
        <f t="shared" si="230"/>
        <v>-2012</v>
      </c>
      <c r="O63" s="133">
        <f t="shared" si="230"/>
        <v>-2002</v>
      </c>
      <c r="P63" s="954">
        <f t="shared" si="230"/>
        <v>-7928</v>
      </c>
      <c r="Q63" s="133">
        <f t="shared" si="230"/>
        <v>-1997</v>
      </c>
      <c r="R63" s="133">
        <f t="shared" si="230"/>
        <v>-1997</v>
      </c>
      <c r="S63" s="133">
        <f t="shared" si="230"/>
        <v>-1999</v>
      </c>
      <c r="T63" s="133">
        <f t="shared" si="230"/>
        <v>-1999</v>
      </c>
      <c r="U63" s="954">
        <f t="shared" si="230"/>
        <v>-7992</v>
      </c>
      <c r="V63" s="133">
        <f t="shared" si="230"/>
        <v>-2000</v>
      </c>
      <c r="W63" s="133">
        <f t="shared" si="230"/>
        <v>-2002</v>
      </c>
      <c r="X63" s="133">
        <f t="shared" si="230"/>
        <v>-2005</v>
      </c>
      <c r="Y63" s="133">
        <f t="shared" si="230"/>
        <v>-2025</v>
      </c>
      <c r="Z63" s="954">
        <f t="shared" si="230"/>
        <v>-8032</v>
      </c>
      <c r="AA63" s="133">
        <f t="shared" si="230"/>
        <v>-2029</v>
      </c>
      <c r="AB63" s="133">
        <f t="shared" si="230"/>
        <v>-2032</v>
      </c>
      <c r="AC63" s="133">
        <f t="shared" si="230"/>
        <v>-2032</v>
      </c>
      <c r="AD63" s="133">
        <f t="shared" si="230"/>
        <v>-2039</v>
      </c>
      <c r="AE63" s="954">
        <f t="shared" si="230"/>
        <v>-8132</v>
      </c>
      <c r="AF63" s="133">
        <f t="shared" si="230"/>
        <v>-2124</v>
      </c>
      <c r="AG63" s="133">
        <f t="shared" si="230"/>
        <v>-2129</v>
      </c>
      <c r="AH63" s="133">
        <f t="shared" si="230"/>
        <v>-2129</v>
      </c>
      <c r="AI63" s="133">
        <f t="shared" ref="AI63:BI63" si="231">INDEX(MO_CFSum_Dividend,0,COLUMN())</f>
        <v>-2120</v>
      </c>
      <c r="AJ63" s="954">
        <f t="shared" si="231"/>
        <v>-8502</v>
      </c>
      <c r="AK63" s="133">
        <f t="shared" si="231"/>
        <v>-2244</v>
      </c>
      <c r="AL63" s="133">
        <f t="shared" si="231"/>
        <v>-2250</v>
      </c>
      <c r="AM63" s="133">
        <f t="shared" si="231"/>
        <v>-2237</v>
      </c>
      <c r="AN63" s="133">
        <f t="shared" si="231"/>
        <v>-2228</v>
      </c>
      <c r="AO63" s="954">
        <f t="shared" si="231"/>
        <v>-8959</v>
      </c>
      <c r="AP63" s="133">
        <f t="shared" si="231"/>
        <v>-2402</v>
      </c>
      <c r="AQ63" s="133">
        <f t="shared" si="231"/>
        <v>-2394</v>
      </c>
      <c r="AR63" s="133">
        <f t="shared" si="231"/>
        <v>-2390</v>
      </c>
      <c r="AS63" s="133">
        <f t="shared" si="231"/>
        <v>-2465</v>
      </c>
      <c r="AT63" s="954">
        <f t="shared" si="231"/>
        <v>-9651</v>
      </c>
      <c r="AU63" s="133">
        <f t="shared" si="231"/>
        <v>-2468</v>
      </c>
      <c r="AV63" s="133">
        <f t="shared" si="231"/>
        <v>-2573</v>
      </c>
      <c r="AW63" s="133">
        <f t="shared" si="231"/>
        <v>-2571</v>
      </c>
      <c r="AX63" s="133">
        <f t="shared" si="231"/>
        <v>-2567</v>
      </c>
      <c r="AY63" s="954">
        <f t="shared" si="231"/>
        <v>-10179</v>
      </c>
      <c r="AZ63" s="133">
        <f t="shared" si="231"/>
        <v>-2746</v>
      </c>
      <c r="BA63" s="133">
        <f t="shared" si="231"/>
        <v>-2766</v>
      </c>
      <c r="BB63" s="133">
        <f t="shared" si="231"/>
        <v>-2743</v>
      </c>
      <c r="BC63" s="133">
        <f t="shared" si="231"/>
        <v>-2713</v>
      </c>
      <c r="BD63" s="954">
        <f t="shared" si="231"/>
        <v>-10968</v>
      </c>
      <c r="BE63" s="133">
        <f t="shared" si="231"/>
        <v>-2857</v>
      </c>
      <c r="BF63" s="133">
        <f t="shared" si="231"/>
        <v>-2818</v>
      </c>
      <c r="BG63" s="133">
        <f t="shared" si="231"/>
        <v>-2852</v>
      </c>
      <c r="BH63" s="133">
        <f t="shared" si="231"/>
        <v>-2809</v>
      </c>
      <c r="BI63" s="954">
        <f t="shared" si="231"/>
        <v>-11336</v>
      </c>
      <c r="BJ63" s="133">
        <f t="shared" ref="BJ63:BN63" si="232">INDEX(MO_CFSum_Dividend,0,COLUMN())</f>
        <v>-3003</v>
      </c>
      <c r="BK63" s="133">
        <f t="shared" si="232"/>
        <v>-2978</v>
      </c>
      <c r="BL63" s="133">
        <f t="shared" si="232"/>
        <v>-2933</v>
      </c>
      <c r="BM63" s="133">
        <f t="shared" si="232"/>
        <v>-2887</v>
      </c>
      <c r="BN63" s="954">
        <f t="shared" si="232"/>
        <v>-11801</v>
      </c>
      <c r="BO63" s="133">
        <f t="shared" ref="BO63:BS63" si="233">INDEX(MO_CFSum_Dividend,0,COLUMN())</f>
        <v>-2984</v>
      </c>
      <c r="BP63" s="133">
        <f t="shared" si="233"/>
        <v>-2934</v>
      </c>
      <c r="BQ63" s="133">
        <f t="shared" si="233"/>
        <v>-3429</v>
      </c>
      <c r="BR63" s="133">
        <f t="shared" si="233"/>
        <v>-3404</v>
      </c>
      <c r="BS63" s="954">
        <f t="shared" si="233"/>
        <v>-12751</v>
      </c>
      <c r="BT63" s="692">
        <f t="shared" ref="BT63:BX63" si="234">INDEX(MO_CFSum_Dividend,0,COLUMN())</f>
        <v>-3526</v>
      </c>
      <c r="BU63" s="133">
        <f t="shared" ca="1" si="234"/>
        <v>-3531.5736926897293</v>
      </c>
      <c r="BV63" s="133">
        <f t="shared" ca="1" si="234"/>
        <v>-3518.1034224194591</v>
      </c>
      <c r="BW63" s="133">
        <f t="shared" ca="1" si="234"/>
        <v>-3518.1034224194591</v>
      </c>
      <c r="BX63" s="954">
        <f t="shared" ca="1" si="234"/>
        <v>-14093.780537528648</v>
      </c>
      <c r="BY63" s="133">
        <f t="shared" ref="BY63:CF63" ca="1" si="235">INDEX(MO_CFSum_Dividend,0,COLUMN())</f>
        <v>-3518.1034224194591</v>
      </c>
      <c r="BZ63" s="133">
        <f t="shared" ca="1" si="235"/>
        <v>-3518.1034224194591</v>
      </c>
      <c r="CA63" s="133">
        <f t="shared" ca="1" si="235"/>
        <v>-3518.1034224194591</v>
      </c>
      <c r="CB63" s="133">
        <f t="shared" ca="1" si="235"/>
        <v>-3518.1034224194591</v>
      </c>
      <c r="CC63" s="954">
        <f t="shared" ca="1" si="235"/>
        <v>-14072.413689677836</v>
      </c>
      <c r="CD63" s="954">
        <f t="shared" ca="1" si="235"/>
        <v>-14072.413689677836</v>
      </c>
      <c r="CE63" s="954">
        <f t="shared" ca="1" si="235"/>
        <v>-14072.413689677836</v>
      </c>
      <c r="CF63" s="954">
        <f t="shared" ca="1" si="235"/>
        <v>-14072.413689677836</v>
      </c>
      <c r="CG63" s="117"/>
    </row>
    <row r="64" spans="1:85" s="461" customFormat="1" x14ac:dyDescent="0.3">
      <c r="A64" s="161" t="s">
        <v>420</v>
      </c>
      <c r="B64" s="162"/>
      <c r="C64" s="953">
        <f t="shared" ref="C64:AH64" ca="1" si="236">SUM(C62:C63)</f>
        <v>-5772</v>
      </c>
      <c r="D64" s="953">
        <f t="shared" ca="1" si="236"/>
        <v>6073</v>
      </c>
      <c r="E64" s="953">
        <f t="shared" ca="1" si="236"/>
        <v>8459</v>
      </c>
      <c r="F64" s="953">
        <f t="shared" ca="1" si="236"/>
        <v>1030</v>
      </c>
      <c r="G64" s="118">
        <f t="shared" ca="1" si="236"/>
        <v>-4213</v>
      </c>
      <c r="H64" s="118">
        <f t="shared" ca="1" si="236"/>
        <v>-1974</v>
      </c>
      <c r="I64" s="118">
        <f t="shared" ca="1" si="236"/>
        <v>-1206</v>
      </c>
      <c r="J64" s="118">
        <f t="shared" ca="1" si="236"/>
        <v>-3064</v>
      </c>
      <c r="K64" s="953">
        <f t="shared" ca="1" si="236"/>
        <v>-10457</v>
      </c>
      <c r="L64" s="118">
        <f t="shared" ca="1" si="236"/>
        <v>-2022</v>
      </c>
      <c r="M64" s="118">
        <f t="shared" ca="1" si="236"/>
        <v>-3069</v>
      </c>
      <c r="N64" s="118">
        <f t="shared" ca="1" si="236"/>
        <v>-1596</v>
      </c>
      <c r="O64" s="118">
        <f t="shared" ca="1" si="236"/>
        <v>-5173</v>
      </c>
      <c r="P64" s="953">
        <f t="shared" ca="1" si="236"/>
        <v>-11860</v>
      </c>
      <c r="Q64" s="118">
        <f t="shared" ca="1" si="236"/>
        <v>-7280</v>
      </c>
      <c r="R64" s="118">
        <f t="shared" ca="1" si="236"/>
        <v>-2420</v>
      </c>
      <c r="S64" s="118">
        <f t="shared" ca="1" si="236"/>
        <v>-3449</v>
      </c>
      <c r="T64" s="118">
        <f t="shared" ca="1" si="236"/>
        <v>-4891</v>
      </c>
      <c r="U64" s="953">
        <f t="shared" ca="1" si="236"/>
        <v>-18040</v>
      </c>
      <c r="V64" s="118">
        <f t="shared" ca="1" si="236"/>
        <v>-6425</v>
      </c>
      <c r="W64" s="118">
        <f t="shared" ca="1" si="236"/>
        <v>-3940</v>
      </c>
      <c r="X64" s="118">
        <f t="shared" ca="1" si="236"/>
        <v>-759</v>
      </c>
      <c r="Y64" s="118">
        <f t="shared" ca="1" si="236"/>
        <v>-2171</v>
      </c>
      <c r="Z64" s="953">
        <f t="shared" ca="1" si="236"/>
        <v>-13295</v>
      </c>
      <c r="AA64" s="118">
        <f t="shared" ca="1" si="236"/>
        <v>-1465</v>
      </c>
      <c r="AB64" s="118">
        <f t="shared" ca="1" si="236"/>
        <v>-220</v>
      </c>
      <c r="AC64" s="118">
        <f t="shared" ca="1" si="236"/>
        <v>114</v>
      </c>
      <c r="AD64" s="118">
        <f t="shared" ca="1" si="236"/>
        <v>550</v>
      </c>
      <c r="AE64" s="953">
        <f t="shared" ca="1" si="236"/>
        <v>-1021</v>
      </c>
      <c r="AF64" s="118">
        <f t="shared" ca="1" si="236"/>
        <v>-78</v>
      </c>
      <c r="AG64" s="118">
        <f t="shared" ca="1" si="236"/>
        <v>1500</v>
      </c>
      <c r="AH64" s="118">
        <f t="shared" ca="1" si="236"/>
        <v>3862</v>
      </c>
      <c r="AI64" s="118">
        <f t="shared" ref="AI64:BI64" ca="1" si="237">SUM(AI62:AI63)</f>
        <v>3040</v>
      </c>
      <c r="AJ64" s="953">
        <f t="shared" ca="1" si="237"/>
        <v>8324</v>
      </c>
      <c r="AK64" s="118">
        <f t="shared" ca="1" si="237"/>
        <v>-140</v>
      </c>
      <c r="AL64" s="118">
        <f t="shared" ca="1" si="237"/>
        <v>2949</v>
      </c>
      <c r="AM64" s="118">
        <f t="shared" ca="1" si="237"/>
        <v>2211</v>
      </c>
      <c r="AN64" s="118">
        <f t="shared" ca="1" si="237"/>
        <v>-781</v>
      </c>
      <c r="AO64" s="953">
        <f t="shared" ca="1" si="237"/>
        <v>4239</v>
      </c>
      <c r="AP64" s="118">
        <f t="shared" ca="1" si="237"/>
        <v>-813</v>
      </c>
      <c r="AQ64" s="118">
        <f t="shared" ca="1" si="237"/>
        <v>-4406</v>
      </c>
      <c r="AR64" s="118">
        <f t="shared" ca="1" si="237"/>
        <v>-483</v>
      </c>
      <c r="AS64" s="118">
        <f t="shared" ca="1" si="237"/>
        <v>-2294</v>
      </c>
      <c r="AT64" s="953">
        <f t="shared" ca="1" si="237"/>
        <v>-7996</v>
      </c>
      <c r="AU64" s="118">
        <f t="shared" ca="1" si="237"/>
        <v>-18</v>
      </c>
      <c r="AV64" s="118">
        <f t="shared" ca="1" si="237"/>
        <v>2584</v>
      </c>
      <c r="AW64" s="118">
        <f t="shared" ca="1" si="237"/>
        <v>4101</v>
      </c>
      <c r="AX64" s="118">
        <f t="shared" ca="1" si="237"/>
        <v>4285</v>
      </c>
      <c r="AY64" s="953">
        <f t="shared" ca="1" si="237"/>
        <v>10952</v>
      </c>
      <c r="AZ64" s="118">
        <f t="shared" ca="1" si="237"/>
        <v>3349</v>
      </c>
      <c r="BA64" s="118">
        <f t="shared" ca="1" si="237"/>
        <v>7832</v>
      </c>
      <c r="BB64" s="118">
        <f t="shared" ca="1" si="237"/>
        <v>9529</v>
      </c>
      <c r="BC64" s="118">
        <f t="shared" ca="1" si="237"/>
        <v>5950</v>
      </c>
      <c r="BD64" s="953">
        <f t="shared" ca="1" si="237"/>
        <v>26660</v>
      </c>
      <c r="BE64" s="118">
        <f t="shared" ca="1" si="237"/>
        <v>1310</v>
      </c>
      <c r="BF64" s="118">
        <f t="shared" ca="1" si="237"/>
        <v>-278</v>
      </c>
      <c r="BG64" s="118">
        <f t="shared" ca="1" si="237"/>
        <v>2148</v>
      </c>
      <c r="BH64" s="118">
        <f t="shared" ca="1" si="237"/>
        <v>5264</v>
      </c>
      <c r="BI64" s="953">
        <f t="shared" ca="1" si="237"/>
        <v>8444</v>
      </c>
      <c r="BJ64" s="118">
        <f t="shared" ref="BJ64:BN64" ca="1" si="238">SUM(BJ62:BJ63)</f>
        <v>-264</v>
      </c>
      <c r="BK64" s="118">
        <f t="shared" ca="1" si="238"/>
        <v>-649</v>
      </c>
      <c r="BL64" s="118">
        <f t="shared" ca="1" si="238"/>
        <v>2686</v>
      </c>
      <c r="BM64" s="118">
        <f t="shared" ca="1" si="238"/>
        <v>1470</v>
      </c>
      <c r="BN64" s="953">
        <f t="shared" ca="1" si="238"/>
        <v>3243</v>
      </c>
      <c r="BO64" s="118">
        <f t="shared" ref="BO64:BS64" ca="1" si="239">SUM(BO62:BO63)</f>
        <v>-1722</v>
      </c>
      <c r="BP64" s="118">
        <f t="shared" ca="1" si="239"/>
        <v>1930</v>
      </c>
      <c r="BQ64" s="118">
        <f t="shared" ca="1" si="239"/>
        <v>1512</v>
      </c>
      <c r="BR64" s="118">
        <f t="shared" ca="1" si="239"/>
        <v>2121</v>
      </c>
      <c r="BS64" s="953">
        <f t="shared" ca="1" si="239"/>
        <v>3841</v>
      </c>
      <c r="BT64" s="690">
        <f t="shared" ref="BT64:BX64" ca="1" si="240">SUM(BT62:BT63)</f>
        <v>-5075</v>
      </c>
      <c r="BU64" s="118">
        <f t="shared" ca="1" si="240"/>
        <v>7155.2810750088956</v>
      </c>
      <c r="BV64" s="118">
        <f t="shared" ca="1" si="240"/>
        <v>3120.5219984846481</v>
      </c>
      <c r="BW64" s="118">
        <f t="shared" ca="1" si="240"/>
        <v>2814.263528484651</v>
      </c>
      <c r="BX64" s="953">
        <f t="shared" ca="1" si="240"/>
        <v>8015.0666019781929</v>
      </c>
      <c r="BY64" s="118">
        <f t="shared" ref="BY64:CF64" ca="1" si="241">SUM(BY62:BY63)</f>
        <v>3678.7568468956069</v>
      </c>
      <c r="BZ64" s="118">
        <f t="shared" ca="1" si="241"/>
        <v>4196.0054094935549</v>
      </c>
      <c r="CA64" s="118">
        <f t="shared" ca="1" si="241"/>
        <v>4365.8354361914935</v>
      </c>
      <c r="CB64" s="118">
        <f t="shared" ca="1" si="241"/>
        <v>4272.7805313914978</v>
      </c>
      <c r="CC64" s="953">
        <f t="shared" ca="1" si="241"/>
        <v>16513.378223972155</v>
      </c>
      <c r="CD64" s="953">
        <f t="shared" ca="1" si="241"/>
        <v>15855.407467822166</v>
      </c>
      <c r="CE64" s="953">
        <f t="shared" ca="1" si="241"/>
        <v>14570.537338072165</v>
      </c>
      <c r="CF64" s="953">
        <f t="shared" ca="1" si="241"/>
        <v>8703.5891253221562</v>
      </c>
      <c r="CG64" s="120"/>
    </row>
    <row r="65" spans="1:85" s="460" customFormat="1" x14ac:dyDescent="0.3">
      <c r="A65" s="159" t="str">
        <f>INDEX(MO_CFSum_Acquisition,0,COLUMN())</f>
        <v>Acquisitions</v>
      </c>
      <c r="B65" s="160"/>
      <c r="C65" s="150">
        <f t="shared" ref="C65:AH65" si="242">INDEX(MO_CFSum_Acquisition,0,COLUMN())</f>
        <v>0</v>
      </c>
      <c r="D65" s="150">
        <f t="shared" si="242"/>
        <v>0</v>
      </c>
      <c r="E65" s="150">
        <f t="shared" si="242"/>
        <v>-3009</v>
      </c>
      <c r="F65" s="150">
        <f t="shared" si="242"/>
        <v>0</v>
      </c>
      <c r="G65" s="117">
        <f t="shared" si="242"/>
        <v>0</v>
      </c>
      <c r="H65" s="117">
        <f t="shared" si="242"/>
        <v>0</v>
      </c>
      <c r="I65" s="117">
        <f t="shared" si="242"/>
        <v>0</v>
      </c>
      <c r="J65" s="117">
        <f t="shared" si="242"/>
        <v>0</v>
      </c>
      <c r="K65" s="150">
        <f t="shared" si="242"/>
        <v>0</v>
      </c>
      <c r="L65" s="117">
        <f t="shared" si="242"/>
        <v>0</v>
      </c>
      <c r="M65" s="117">
        <f t="shared" si="242"/>
        <v>0</v>
      </c>
      <c r="N65" s="117">
        <f t="shared" si="242"/>
        <v>0</v>
      </c>
      <c r="O65" s="117">
        <f t="shared" si="242"/>
        <v>0</v>
      </c>
      <c r="P65" s="150">
        <f t="shared" si="242"/>
        <v>0</v>
      </c>
      <c r="Q65" s="117">
        <f t="shared" si="242"/>
        <v>0</v>
      </c>
      <c r="R65" s="117">
        <f t="shared" si="242"/>
        <v>0</v>
      </c>
      <c r="S65" s="117">
        <f t="shared" si="242"/>
        <v>0</v>
      </c>
      <c r="T65" s="117">
        <f t="shared" si="242"/>
        <v>0</v>
      </c>
      <c r="U65" s="150">
        <f t="shared" si="242"/>
        <v>0</v>
      </c>
      <c r="V65" s="117">
        <f t="shared" si="242"/>
        <v>0</v>
      </c>
      <c r="W65" s="117">
        <f t="shared" si="242"/>
        <v>0</v>
      </c>
      <c r="X65" s="117">
        <f t="shared" si="242"/>
        <v>0</v>
      </c>
      <c r="Y65" s="117">
        <f t="shared" si="242"/>
        <v>0</v>
      </c>
      <c r="Z65" s="150">
        <f t="shared" si="242"/>
        <v>0</v>
      </c>
      <c r="AA65" s="117">
        <f t="shared" si="242"/>
        <v>0</v>
      </c>
      <c r="AB65" s="117">
        <f t="shared" si="242"/>
        <v>0</v>
      </c>
      <c r="AC65" s="117">
        <f t="shared" si="242"/>
        <v>0</v>
      </c>
      <c r="AD65" s="117">
        <f t="shared" si="242"/>
        <v>0</v>
      </c>
      <c r="AE65" s="150">
        <f t="shared" si="242"/>
        <v>0</v>
      </c>
      <c r="AF65" s="117">
        <f t="shared" si="242"/>
        <v>0</v>
      </c>
      <c r="AG65" s="117">
        <f t="shared" si="242"/>
        <v>0</v>
      </c>
      <c r="AH65" s="117">
        <f t="shared" si="242"/>
        <v>0</v>
      </c>
      <c r="AI65" s="117">
        <f t="shared" ref="AI65:BI65" si="243">INDEX(MO_CFSum_Acquisition,0,COLUMN())</f>
        <v>0</v>
      </c>
      <c r="AJ65" s="150">
        <f t="shared" si="243"/>
        <v>0</v>
      </c>
      <c r="AK65" s="117">
        <f t="shared" si="243"/>
        <v>0</v>
      </c>
      <c r="AL65" s="117">
        <f t="shared" si="243"/>
        <v>0</v>
      </c>
      <c r="AM65" s="117">
        <f t="shared" si="243"/>
        <v>0</v>
      </c>
      <c r="AN65" s="117">
        <f t="shared" si="243"/>
        <v>0</v>
      </c>
      <c r="AO65" s="150">
        <f t="shared" si="243"/>
        <v>0</v>
      </c>
      <c r="AP65" s="117">
        <f t="shared" si="243"/>
        <v>0</v>
      </c>
      <c r="AQ65" s="117">
        <f t="shared" si="243"/>
        <v>0</v>
      </c>
      <c r="AR65" s="117">
        <f t="shared" si="243"/>
        <v>0</v>
      </c>
      <c r="AS65" s="117">
        <f t="shared" si="243"/>
        <v>373</v>
      </c>
      <c r="AT65" s="150">
        <f t="shared" si="243"/>
        <v>373</v>
      </c>
      <c r="AU65" s="117">
        <f t="shared" si="243"/>
        <v>0</v>
      </c>
      <c r="AV65" s="117">
        <f t="shared" si="243"/>
        <v>0</v>
      </c>
      <c r="AW65" s="117">
        <f t="shared" si="243"/>
        <v>0</v>
      </c>
      <c r="AX65" s="117">
        <f t="shared" si="243"/>
        <v>0</v>
      </c>
      <c r="AY65" s="150">
        <f t="shared" si="243"/>
        <v>0</v>
      </c>
      <c r="AZ65" s="117">
        <f t="shared" si="243"/>
        <v>0</v>
      </c>
      <c r="BA65" s="117">
        <f t="shared" si="243"/>
        <v>-2862</v>
      </c>
      <c r="BB65" s="117">
        <f t="shared" si="243"/>
        <v>0</v>
      </c>
      <c r="BC65" s="117">
        <f t="shared" si="243"/>
        <v>0</v>
      </c>
      <c r="BD65" s="150">
        <f t="shared" si="243"/>
        <v>-2862</v>
      </c>
      <c r="BE65" s="117">
        <f t="shared" si="243"/>
        <v>0</v>
      </c>
      <c r="BF65" s="117">
        <f t="shared" si="243"/>
        <v>0</v>
      </c>
      <c r="BG65" s="117">
        <f t="shared" si="243"/>
        <v>55</v>
      </c>
      <c r="BH65" s="117">
        <f t="shared" si="243"/>
        <v>0</v>
      </c>
      <c r="BI65" s="150">
        <f t="shared" si="243"/>
        <v>55</v>
      </c>
      <c r="BJ65" s="117">
        <f t="shared" ref="BJ65:BN65" si="244">INDEX(MO_CFSum_Acquisition,0,COLUMN())</f>
        <v>0</v>
      </c>
      <c r="BK65" s="117">
        <f t="shared" si="244"/>
        <v>0</v>
      </c>
      <c r="BL65" s="117">
        <f t="shared" si="244"/>
        <v>0</v>
      </c>
      <c r="BM65" s="117">
        <f t="shared" si="244"/>
        <v>0</v>
      </c>
      <c r="BN65" s="150">
        <f t="shared" si="244"/>
        <v>0</v>
      </c>
      <c r="BO65" s="117">
        <f t="shared" ref="BO65:BS65" si="245">INDEX(MO_CFSum_Acquisition,0,COLUMN())</f>
        <v>-2225</v>
      </c>
      <c r="BP65" s="117">
        <f t="shared" si="245"/>
        <v>0</v>
      </c>
      <c r="BQ65" s="117">
        <f t="shared" si="245"/>
        <v>1056</v>
      </c>
      <c r="BR65" s="117">
        <f t="shared" si="245"/>
        <v>0</v>
      </c>
      <c r="BS65" s="150">
        <f t="shared" si="245"/>
        <v>-1169</v>
      </c>
      <c r="BT65" s="691">
        <f t="shared" ref="BT65:BX65" si="246">INDEX(MO_CFSum_Acquisition,0,COLUMN())</f>
        <v>0</v>
      </c>
      <c r="BU65" s="117">
        <f t="shared" si="246"/>
        <v>0</v>
      </c>
      <c r="BV65" s="117">
        <f t="shared" si="246"/>
        <v>0</v>
      </c>
      <c r="BW65" s="117">
        <f t="shared" si="246"/>
        <v>0</v>
      </c>
      <c r="BX65" s="150">
        <f t="shared" si="246"/>
        <v>0</v>
      </c>
      <c r="BY65" s="117">
        <f t="shared" ref="BY65:CF65" si="247">INDEX(MO_CFSum_Acquisition,0,COLUMN())</f>
        <v>0</v>
      </c>
      <c r="BZ65" s="117">
        <f t="shared" si="247"/>
        <v>0</v>
      </c>
      <c r="CA65" s="117">
        <f t="shared" si="247"/>
        <v>0</v>
      </c>
      <c r="CB65" s="117">
        <f t="shared" si="247"/>
        <v>0</v>
      </c>
      <c r="CC65" s="150">
        <f t="shared" si="247"/>
        <v>0</v>
      </c>
      <c r="CD65" s="150">
        <f t="shared" si="247"/>
        <v>0</v>
      </c>
      <c r="CE65" s="150">
        <f t="shared" si="247"/>
        <v>0</v>
      </c>
      <c r="CF65" s="150">
        <f t="shared" si="247"/>
        <v>0</v>
      </c>
      <c r="CG65" s="117"/>
    </row>
    <row r="66" spans="1:85" s="460" customFormat="1" x14ac:dyDescent="0.3">
      <c r="A66" s="159" t="str">
        <f>INDEX(MO_CFSum_Divestiture,0,COLUMN())</f>
        <v>Divestiture</v>
      </c>
      <c r="B66" s="160"/>
      <c r="C66" s="150">
        <f t="shared" ref="C66:AH66" si="248">INDEX(MO_CFSum_Divestiture,0,COLUMN())</f>
        <v>2564</v>
      </c>
      <c r="D66" s="150">
        <f t="shared" si="248"/>
        <v>1995</v>
      </c>
      <c r="E66" s="150">
        <f t="shared" si="248"/>
        <v>3517</v>
      </c>
      <c r="F66" s="150">
        <f t="shared" si="248"/>
        <v>2777</v>
      </c>
      <c r="G66" s="117">
        <f t="shared" si="248"/>
        <v>76</v>
      </c>
      <c r="H66" s="117">
        <f t="shared" si="248"/>
        <v>565</v>
      </c>
      <c r="I66" s="117">
        <f t="shared" si="248"/>
        <v>216</v>
      </c>
      <c r="J66" s="117">
        <f t="shared" si="248"/>
        <v>286</v>
      </c>
      <c r="K66" s="150">
        <f t="shared" si="248"/>
        <v>1143</v>
      </c>
      <c r="L66" s="117">
        <f t="shared" si="248"/>
        <v>316</v>
      </c>
      <c r="M66" s="117">
        <f t="shared" si="248"/>
        <v>1307</v>
      </c>
      <c r="N66" s="117">
        <f t="shared" si="248"/>
        <v>965</v>
      </c>
      <c r="O66" s="117">
        <f t="shared" si="248"/>
        <v>3141</v>
      </c>
      <c r="P66" s="150">
        <f t="shared" si="248"/>
        <v>5729</v>
      </c>
      <c r="Q66" s="117">
        <f t="shared" si="248"/>
        <v>948</v>
      </c>
      <c r="R66" s="117">
        <f t="shared" si="248"/>
        <v>3929</v>
      </c>
      <c r="S66" s="117">
        <f t="shared" si="248"/>
        <v>531</v>
      </c>
      <c r="T66" s="117">
        <f t="shared" si="248"/>
        <v>331</v>
      </c>
      <c r="U66" s="150">
        <f t="shared" si="248"/>
        <v>5739</v>
      </c>
      <c r="V66" s="117">
        <f t="shared" si="248"/>
        <v>82</v>
      </c>
      <c r="W66" s="117">
        <f t="shared" si="248"/>
        <v>1288</v>
      </c>
      <c r="X66" s="117">
        <f t="shared" si="248"/>
        <v>839</v>
      </c>
      <c r="Y66" s="117">
        <f t="shared" si="248"/>
        <v>568</v>
      </c>
      <c r="Z66" s="150">
        <f t="shared" si="248"/>
        <v>2777</v>
      </c>
      <c r="AA66" s="117">
        <f t="shared" si="248"/>
        <v>2087</v>
      </c>
      <c r="AB66" s="117">
        <f t="shared" si="248"/>
        <v>436</v>
      </c>
      <c r="AC66" s="117">
        <f t="shared" si="248"/>
        <v>2333</v>
      </c>
      <c r="AD66" s="117">
        <f t="shared" si="248"/>
        <v>391</v>
      </c>
      <c r="AE66" s="150">
        <f t="shared" si="248"/>
        <v>5247</v>
      </c>
      <c r="AF66" s="117">
        <f t="shared" si="248"/>
        <v>111</v>
      </c>
      <c r="AG66" s="117">
        <f t="shared" si="248"/>
        <v>678</v>
      </c>
      <c r="AH66" s="117">
        <f t="shared" si="248"/>
        <v>1327</v>
      </c>
      <c r="AI66" s="117">
        <f t="shared" ref="AI66:BI66" si="249">INDEX(MO_CFSum_Divestiture,0,COLUMN())</f>
        <v>276</v>
      </c>
      <c r="AJ66" s="150">
        <f t="shared" si="249"/>
        <v>2392</v>
      </c>
      <c r="AK66" s="117">
        <f t="shared" si="249"/>
        <v>294</v>
      </c>
      <c r="AL66" s="117">
        <f t="shared" si="249"/>
        <v>643</v>
      </c>
      <c r="AM66" s="117">
        <f t="shared" si="249"/>
        <v>151</v>
      </c>
      <c r="AN66" s="117">
        <f t="shared" si="249"/>
        <v>1863</v>
      </c>
      <c r="AO66" s="150">
        <f t="shared" si="249"/>
        <v>2951</v>
      </c>
      <c r="AP66" s="117">
        <f t="shared" si="249"/>
        <v>374</v>
      </c>
      <c r="AQ66" s="117">
        <f t="shared" si="249"/>
        <v>1478</v>
      </c>
      <c r="AR66" s="117">
        <f t="shared" si="249"/>
        <v>127</v>
      </c>
      <c r="AS66" s="117">
        <f t="shared" si="249"/>
        <v>989</v>
      </c>
      <c r="AT66" s="150">
        <f t="shared" si="249"/>
        <v>2968</v>
      </c>
      <c r="AU66" s="117">
        <f t="shared" si="249"/>
        <v>158</v>
      </c>
      <c r="AV66" s="117">
        <f t="shared" si="249"/>
        <v>211</v>
      </c>
      <c r="AW66" s="117">
        <f t="shared" si="249"/>
        <v>217</v>
      </c>
      <c r="AX66" s="117">
        <f t="shared" si="249"/>
        <v>1205</v>
      </c>
      <c r="AY66" s="150">
        <f t="shared" si="249"/>
        <v>1791</v>
      </c>
      <c r="AZ66" s="117">
        <f t="shared" si="249"/>
        <v>1283</v>
      </c>
      <c r="BA66" s="117">
        <f t="shared" si="249"/>
        <v>1066</v>
      </c>
      <c r="BB66" s="117">
        <f t="shared" si="249"/>
        <v>136</v>
      </c>
      <c r="BC66" s="117">
        <f t="shared" si="249"/>
        <v>150</v>
      </c>
      <c r="BD66" s="150">
        <f t="shared" si="249"/>
        <v>2635</v>
      </c>
      <c r="BE66" s="117">
        <f t="shared" si="249"/>
        <v>219</v>
      </c>
      <c r="BF66" s="117">
        <f t="shared" si="249"/>
        <v>105</v>
      </c>
      <c r="BG66" s="117">
        <f t="shared" si="249"/>
        <v>86</v>
      </c>
      <c r="BH66" s="117">
        <f t="shared" si="249"/>
        <v>259</v>
      </c>
      <c r="BI66" s="150">
        <f t="shared" si="249"/>
        <v>669</v>
      </c>
      <c r="BJ66" s="117">
        <f t="shared" ref="BJ66:BN66" si="250">INDEX(MO_CFSum_Divestiture,0,COLUMN())</f>
        <v>104</v>
      </c>
      <c r="BK66" s="117">
        <f t="shared" si="250"/>
        <v>114</v>
      </c>
      <c r="BL66" s="117">
        <f t="shared" si="250"/>
        <v>402</v>
      </c>
      <c r="BM66" s="117">
        <f t="shared" si="250"/>
        <v>7084</v>
      </c>
      <c r="BN66" s="150">
        <f t="shared" si="250"/>
        <v>7704</v>
      </c>
      <c r="BO66" s="117">
        <f t="shared" ref="BO66:BS66" si="251">INDEX(MO_CFSum_Divestiture,0,COLUMN())</f>
        <v>600</v>
      </c>
      <c r="BP66" s="117">
        <f t="shared" si="251"/>
        <v>390</v>
      </c>
      <c r="BQ66" s="117">
        <f t="shared" si="251"/>
        <v>483</v>
      </c>
      <c r="BR66" s="117">
        <f t="shared" si="251"/>
        <v>353</v>
      </c>
      <c r="BS66" s="150">
        <f t="shared" si="251"/>
        <v>1826</v>
      </c>
      <c r="BT66" s="691">
        <f t="shared" ref="BT66:BX66" si="252">INDEX(MO_CFSum_Divestiture,0,COLUMN())</f>
        <v>72</v>
      </c>
      <c r="BU66" s="117">
        <f t="shared" si="252"/>
        <v>500</v>
      </c>
      <c r="BV66" s="117">
        <f t="shared" si="252"/>
        <v>500</v>
      </c>
      <c r="BW66" s="117">
        <f t="shared" si="252"/>
        <v>500</v>
      </c>
      <c r="BX66" s="150">
        <f t="shared" si="252"/>
        <v>1572</v>
      </c>
      <c r="BY66" s="117">
        <f t="shared" ref="BY66:CF66" si="253">INDEX(MO_CFSum_Divestiture,0,COLUMN())</f>
        <v>500</v>
      </c>
      <c r="BZ66" s="117">
        <f t="shared" si="253"/>
        <v>500</v>
      </c>
      <c r="CA66" s="117">
        <f t="shared" si="253"/>
        <v>500</v>
      </c>
      <c r="CB66" s="117">
        <f t="shared" si="253"/>
        <v>500</v>
      </c>
      <c r="CC66" s="150">
        <f t="shared" si="253"/>
        <v>2000</v>
      </c>
      <c r="CD66" s="150">
        <f t="shared" si="253"/>
        <v>0</v>
      </c>
      <c r="CE66" s="150">
        <f t="shared" si="253"/>
        <v>0</v>
      </c>
      <c r="CF66" s="150">
        <f t="shared" si="253"/>
        <v>0</v>
      </c>
      <c r="CG66" s="117"/>
    </row>
    <row r="67" spans="1:85" s="460" customFormat="1" x14ac:dyDescent="0.3">
      <c r="A67" s="159" t="s">
        <v>422</v>
      </c>
      <c r="B67" s="160"/>
      <c r="C67" s="150">
        <f t="shared" ref="C67:AH67" si="254">INDEX(MO_CFSum_NetShares,0,COLUMN())</f>
        <v>168</v>
      </c>
      <c r="D67" s="150">
        <f t="shared" si="254"/>
        <v>-306</v>
      </c>
      <c r="E67" s="150">
        <f t="shared" si="254"/>
        <v>-3193</v>
      </c>
      <c r="F67" s="150">
        <f t="shared" si="254"/>
        <v>-4142</v>
      </c>
      <c r="G67" s="117">
        <f t="shared" si="254"/>
        <v>-1027</v>
      </c>
      <c r="H67" s="117">
        <f t="shared" si="254"/>
        <v>-1001</v>
      </c>
      <c r="I67" s="117">
        <f t="shared" si="254"/>
        <v>-1278</v>
      </c>
      <c r="J67" s="117">
        <f t="shared" si="254"/>
        <v>-1188</v>
      </c>
      <c r="K67" s="150">
        <f t="shared" si="254"/>
        <v>-4494</v>
      </c>
      <c r="L67" s="117">
        <f t="shared" si="254"/>
        <v>-1190</v>
      </c>
      <c r="M67" s="117">
        <f t="shared" si="254"/>
        <v>-829</v>
      </c>
      <c r="N67" s="117">
        <f t="shared" si="254"/>
        <v>-1155</v>
      </c>
      <c r="O67" s="117">
        <f t="shared" si="254"/>
        <v>-1238</v>
      </c>
      <c r="P67" s="150">
        <f t="shared" si="254"/>
        <v>-4412</v>
      </c>
      <c r="Q67" s="117">
        <f t="shared" si="254"/>
        <v>55</v>
      </c>
      <c r="R67" s="117">
        <f t="shared" si="254"/>
        <v>83</v>
      </c>
      <c r="S67" s="117">
        <f t="shared" si="254"/>
        <v>20</v>
      </c>
      <c r="T67" s="117">
        <f t="shared" si="254"/>
        <v>53</v>
      </c>
      <c r="U67" s="150">
        <f t="shared" si="254"/>
        <v>211</v>
      </c>
      <c r="V67" s="117">
        <f t="shared" si="254"/>
        <v>123</v>
      </c>
      <c r="W67" s="117">
        <f t="shared" si="254"/>
        <v>139</v>
      </c>
      <c r="X67" s="117">
        <f t="shared" si="254"/>
        <v>97</v>
      </c>
      <c r="Y67" s="117">
        <f t="shared" si="254"/>
        <v>291</v>
      </c>
      <c r="Z67" s="150">
        <f t="shared" si="254"/>
        <v>650</v>
      </c>
      <c r="AA67" s="117">
        <f t="shared" si="254"/>
        <v>245</v>
      </c>
      <c r="AB67" s="117">
        <f t="shared" si="254"/>
        <v>34</v>
      </c>
      <c r="AC67" s="117">
        <f t="shared" si="254"/>
        <v>370</v>
      </c>
      <c r="AD67" s="117">
        <f t="shared" si="254"/>
        <v>468</v>
      </c>
      <c r="AE67" s="150">
        <f t="shared" si="254"/>
        <v>1117</v>
      </c>
      <c r="AF67" s="117">
        <f t="shared" si="254"/>
        <v>566</v>
      </c>
      <c r="AG67" s="117">
        <f t="shared" si="254"/>
        <v>442</v>
      </c>
      <c r="AH67" s="117">
        <f t="shared" si="254"/>
        <v>-671</v>
      </c>
      <c r="AI67" s="117">
        <f t="shared" ref="AI67:BI67" si="255">INDEX(MO_CFSum_NetShares,0,COLUMN())</f>
        <v>-941</v>
      </c>
      <c r="AJ67" s="150">
        <f t="shared" si="255"/>
        <v>-604</v>
      </c>
      <c r="AK67" s="117">
        <f t="shared" si="255"/>
        <v>-15</v>
      </c>
      <c r="AL67" s="117">
        <f t="shared" si="255"/>
        <v>-825</v>
      </c>
      <c r="AM67" s="117">
        <f t="shared" si="255"/>
        <v>-1005</v>
      </c>
      <c r="AN67" s="117">
        <f t="shared" si="255"/>
        <v>-1090</v>
      </c>
      <c r="AO67" s="150">
        <f t="shared" si="255"/>
        <v>-2935</v>
      </c>
      <c r="AP67" s="117">
        <f t="shared" si="255"/>
        <v>-1573</v>
      </c>
      <c r="AQ67" s="117">
        <f t="shared" si="255"/>
        <v>23</v>
      </c>
      <c r="AR67" s="117">
        <f t="shared" si="255"/>
        <v>5</v>
      </c>
      <c r="AS67" s="117">
        <f t="shared" si="255"/>
        <v>14</v>
      </c>
      <c r="AT67" s="150">
        <f t="shared" si="255"/>
        <v>-1531</v>
      </c>
      <c r="AU67" s="117">
        <f t="shared" si="255"/>
        <v>267</v>
      </c>
      <c r="AV67" s="117">
        <f t="shared" si="255"/>
        <v>106</v>
      </c>
      <c r="AW67" s="117">
        <f t="shared" si="255"/>
        <v>-618</v>
      </c>
      <c r="AX67" s="117">
        <f t="shared" si="255"/>
        <v>283</v>
      </c>
      <c r="AY67" s="150">
        <f t="shared" si="255"/>
        <v>38</v>
      </c>
      <c r="AZ67" s="117">
        <f t="shared" si="255"/>
        <v>3386</v>
      </c>
      <c r="BA67" s="117">
        <f t="shared" si="255"/>
        <v>-1689</v>
      </c>
      <c r="BB67" s="117">
        <f t="shared" si="255"/>
        <v>-3697</v>
      </c>
      <c r="BC67" s="117">
        <f t="shared" si="255"/>
        <v>-3417</v>
      </c>
      <c r="BD67" s="150">
        <f t="shared" si="255"/>
        <v>-5417</v>
      </c>
      <c r="BE67" s="117">
        <f t="shared" si="255"/>
        <v>-3607</v>
      </c>
      <c r="BF67" s="117">
        <f t="shared" si="255"/>
        <v>-4340</v>
      </c>
      <c r="BG67" s="117">
        <f t="shared" si="255"/>
        <v>-3334</v>
      </c>
      <c r="BH67" s="117">
        <f t="shared" si="255"/>
        <v>-3397</v>
      </c>
      <c r="BI67" s="150">
        <f t="shared" si="255"/>
        <v>-14678</v>
      </c>
      <c r="BJ67" s="117">
        <f t="shared" ref="BJ67:BN67" si="256">INDEX(MO_CFSum_NetShares,0,COLUMN())</f>
        <v>-2891</v>
      </c>
      <c r="BK67" s="117">
        <f t="shared" si="256"/>
        <v>-2930</v>
      </c>
      <c r="BL67" s="117">
        <f t="shared" si="256"/>
        <v>-4714</v>
      </c>
      <c r="BM67" s="117">
        <f t="shared" si="256"/>
        <v>-4509</v>
      </c>
      <c r="BN67" s="150">
        <f t="shared" si="256"/>
        <v>-15044</v>
      </c>
      <c r="BO67" s="117">
        <f t="shared" ref="BO67:BS67" si="257">INDEX(MO_CFSum_NetShares,0,COLUMN())</f>
        <v>-3699</v>
      </c>
      <c r="BP67" s="117">
        <f t="shared" si="257"/>
        <v>-2733</v>
      </c>
      <c r="BQ67" s="117">
        <f t="shared" si="257"/>
        <v>-2482</v>
      </c>
      <c r="BR67" s="117">
        <f t="shared" si="257"/>
        <v>-2941</v>
      </c>
      <c r="BS67" s="150">
        <f t="shared" si="257"/>
        <v>-11855</v>
      </c>
      <c r="BT67" s="691">
        <f t="shared" ref="BT67:BX67" si="258">INDEX(MO_CFSum_NetShares,0,COLUMN())</f>
        <v>-1412</v>
      </c>
      <c r="BU67" s="117">
        <f t="shared" si="258"/>
        <v>-2800</v>
      </c>
      <c r="BV67" s="117">
        <f t="shared" si="258"/>
        <v>0</v>
      </c>
      <c r="BW67" s="117">
        <f t="shared" si="258"/>
        <v>0</v>
      </c>
      <c r="BX67" s="150">
        <f t="shared" si="258"/>
        <v>-4212</v>
      </c>
      <c r="BY67" s="117">
        <f t="shared" ref="BY67:CF67" si="259">INDEX(MO_CFSum_NetShares,0,COLUMN())</f>
        <v>0</v>
      </c>
      <c r="BZ67" s="117">
        <f t="shared" si="259"/>
        <v>0</v>
      </c>
      <c r="CA67" s="117">
        <f t="shared" si="259"/>
        <v>0</v>
      </c>
      <c r="CB67" s="117">
        <f t="shared" si="259"/>
        <v>0</v>
      </c>
      <c r="CC67" s="150">
        <f t="shared" si="259"/>
        <v>0</v>
      </c>
      <c r="CD67" s="150">
        <f t="shared" si="259"/>
        <v>0</v>
      </c>
      <c r="CE67" s="150">
        <f t="shared" si="259"/>
        <v>0</v>
      </c>
      <c r="CF67" s="150">
        <f t="shared" si="259"/>
        <v>0</v>
      </c>
      <c r="CG67" s="117"/>
    </row>
    <row r="68" spans="1:85" s="460" customFormat="1" x14ac:dyDescent="0.3">
      <c r="A68" s="159" t="s">
        <v>423</v>
      </c>
      <c r="B68" s="160"/>
      <c r="C68" s="150">
        <f t="shared" ref="C68:AH68" si="260">INDEX(MO_CFSum_NetDebtIssuance,0,COLUMN())</f>
        <v>1659</v>
      </c>
      <c r="D68" s="150">
        <f t="shared" si="260"/>
        <v>882</v>
      </c>
      <c r="E68" s="150">
        <f t="shared" si="260"/>
        <v>-2369</v>
      </c>
      <c r="F68" s="150">
        <f t="shared" si="260"/>
        <v>2047</v>
      </c>
      <c r="G68" s="117">
        <f t="shared" si="260"/>
        <v>1967</v>
      </c>
      <c r="H68" s="117">
        <f t="shared" si="260"/>
        <v>5826</v>
      </c>
      <c r="I68" s="117">
        <f t="shared" si="260"/>
        <v>-1381</v>
      </c>
      <c r="J68" s="117">
        <f t="shared" si="260"/>
        <v>1834</v>
      </c>
      <c r="K68" s="150">
        <f t="shared" si="260"/>
        <v>8246</v>
      </c>
      <c r="L68" s="117">
        <f t="shared" si="260"/>
        <v>2624</v>
      </c>
      <c r="M68" s="117">
        <f t="shared" si="260"/>
        <v>479</v>
      </c>
      <c r="N68" s="117">
        <f t="shared" si="260"/>
        <v>2164</v>
      </c>
      <c r="O68" s="117">
        <f t="shared" si="260"/>
        <v>2121</v>
      </c>
      <c r="P68" s="150">
        <f t="shared" si="260"/>
        <v>7388</v>
      </c>
      <c r="Q68" s="117">
        <f t="shared" si="260"/>
        <v>6102</v>
      </c>
      <c r="R68" s="117">
        <f t="shared" si="260"/>
        <v>-2048</v>
      </c>
      <c r="S68" s="117">
        <f t="shared" si="260"/>
        <v>3962</v>
      </c>
      <c r="T68" s="117">
        <f t="shared" si="260"/>
        <v>2708</v>
      </c>
      <c r="U68" s="150">
        <f t="shared" si="260"/>
        <v>10724</v>
      </c>
      <c r="V68" s="117">
        <f t="shared" si="260"/>
        <v>3788</v>
      </c>
      <c r="W68" s="117">
        <f t="shared" si="260"/>
        <v>2717</v>
      </c>
      <c r="X68" s="117">
        <f t="shared" si="260"/>
        <v>476</v>
      </c>
      <c r="Y68" s="117">
        <f t="shared" si="260"/>
        <v>489</v>
      </c>
      <c r="Z68" s="150">
        <f t="shared" si="260"/>
        <v>7470</v>
      </c>
      <c r="AA68" s="117">
        <f t="shared" si="260"/>
        <v>-900</v>
      </c>
      <c r="AB68" s="117">
        <f t="shared" si="260"/>
        <v>-2412</v>
      </c>
      <c r="AC68" s="117">
        <f t="shared" si="260"/>
        <v>-910</v>
      </c>
      <c r="AD68" s="117">
        <f t="shared" si="260"/>
        <v>-3239</v>
      </c>
      <c r="AE68" s="150">
        <f t="shared" si="260"/>
        <v>-7461</v>
      </c>
      <c r="AF68" s="117">
        <f t="shared" si="260"/>
        <v>956</v>
      </c>
      <c r="AG68" s="117">
        <f t="shared" si="260"/>
        <v>-1323</v>
      </c>
      <c r="AH68" s="117">
        <f t="shared" si="260"/>
        <v>-2444</v>
      </c>
      <c r="AI68" s="117">
        <f t="shared" ref="AI68:BI68" si="261">INDEX(MO_CFSum_NetDebtIssuance,0,COLUMN())</f>
        <v>-1691</v>
      </c>
      <c r="AJ68" s="150">
        <f t="shared" si="261"/>
        <v>-4502</v>
      </c>
      <c r="AK68" s="117">
        <f t="shared" si="261"/>
        <v>-1570</v>
      </c>
      <c r="AL68" s="117">
        <f t="shared" si="261"/>
        <v>-2482</v>
      </c>
      <c r="AM68" s="117">
        <f t="shared" si="261"/>
        <v>2157</v>
      </c>
      <c r="AN68" s="117">
        <f t="shared" si="261"/>
        <v>-5951</v>
      </c>
      <c r="AO68" s="150">
        <f t="shared" si="261"/>
        <v>-7846</v>
      </c>
      <c r="AP68" s="117">
        <f t="shared" si="261"/>
        <v>5358</v>
      </c>
      <c r="AQ68" s="117">
        <f t="shared" si="261"/>
        <v>1643</v>
      </c>
      <c r="AR68" s="117">
        <f t="shared" si="261"/>
        <v>689</v>
      </c>
      <c r="AS68" s="117">
        <f t="shared" si="261"/>
        <v>-220</v>
      </c>
      <c r="AT68" s="150">
        <f t="shared" si="261"/>
        <v>7470</v>
      </c>
      <c r="AU68" s="117">
        <f t="shared" si="261"/>
        <v>1159</v>
      </c>
      <c r="AV68" s="117">
        <f t="shared" si="261"/>
        <v>-2463</v>
      </c>
      <c r="AW68" s="117">
        <f t="shared" si="261"/>
        <v>-5628</v>
      </c>
      <c r="AX68" s="117">
        <f t="shared" si="261"/>
        <v>-6004</v>
      </c>
      <c r="AY68" s="150">
        <f t="shared" si="261"/>
        <v>-12936</v>
      </c>
      <c r="AZ68" s="117">
        <f t="shared" si="261"/>
        <v>-2001</v>
      </c>
      <c r="BA68" s="117">
        <f t="shared" si="261"/>
        <v>-3652</v>
      </c>
      <c r="BB68" s="117">
        <f t="shared" si="261"/>
        <v>-2518</v>
      </c>
      <c r="BC68" s="117">
        <f t="shared" si="261"/>
        <v>-308</v>
      </c>
      <c r="BD68" s="150">
        <f t="shared" si="261"/>
        <v>-8479</v>
      </c>
      <c r="BE68" s="117">
        <f t="shared" si="261"/>
        <v>-100</v>
      </c>
      <c r="BF68" s="117">
        <f t="shared" si="261"/>
        <v>-1596</v>
      </c>
      <c r="BG68" s="117">
        <f t="shared" si="261"/>
        <v>-2394</v>
      </c>
      <c r="BH68" s="117">
        <f t="shared" si="261"/>
        <v>35</v>
      </c>
      <c r="BI68" s="150">
        <f t="shared" si="261"/>
        <v>-4055</v>
      </c>
      <c r="BJ68" s="117">
        <f t="shared" ref="BJ68:BN68" si="262">INDEX(MO_CFSum_NetDebtIssuance,0,COLUMN())</f>
        <v>1027</v>
      </c>
      <c r="BK68" s="117">
        <f t="shared" si="262"/>
        <v>1345</v>
      </c>
      <c r="BL68" s="117">
        <f t="shared" si="262"/>
        <v>2584</v>
      </c>
      <c r="BM68" s="117">
        <f t="shared" si="262"/>
        <v>-1388</v>
      </c>
      <c r="BN68" s="150">
        <f t="shared" si="262"/>
        <v>3568</v>
      </c>
      <c r="BO68" s="117">
        <f t="shared" ref="BO68:BS68" si="263">INDEX(MO_CFSum_NetDebtIssuance,0,COLUMN())</f>
        <v>5030</v>
      </c>
      <c r="BP68" s="117">
        <f t="shared" si="263"/>
        <v>-299</v>
      </c>
      <c r="BQ68" s="117">
        <f t="shared" si="263"/>
        <v>2059</v>
      </c>
      <c r="BR68" s="117">
        <f t="shared" si="263"/>
        <v>-924</v>
      </c>
      <c r="BS68" s="150">
        <f t="shared" si="263"/>
        <v>5866</v>
      </c>
      <c r="BT68" s="691">
        <f t="shared" ref="BT68:BX68" si="264">INDEX(MO_CFSum_NetDebtIssuance,0,COLUMN())</f>
        <v>4642</v>
      </c>
      <c r="BU68" s="117">
        <f t="shared" si="264"/>
        <v>0</v>
      </c>
      <c r="BV68" s="117">
        <f t="shared" si="264"/>
        <v>0</v>
      </c>
      <c r="BW68" s="117">
        <f t="shared" si="264"/>
        <v>0</v>
      </c>
      <c r="BX68" s="150">
        <f t="shared" si="264"/>
        <v>4642</v>
      </c>
      <c r="BY68" s="117">
        <f t="shared" ref="BY68:CF68" si="265">INDEX(MO_CFSum_NetDebtIssuance,0,COLUMN())</f>
        <v>0</v>
      </c>
      <c r="BZ68" s="117">
        <f t="shared" si="265"/>
        <v>0</v>
      </c>
      <c r="CA68" s="117">
        <f t="shared" si="265"/>
        <v>0</v>
      </c>
      <c r="CB68" s="117">
        <f t="shared" si="265"/>
        <v>0</v>
      </c>
      <c r="CC68" s="150">
        <f t="shared" si="265"/>
        <v>0</v>
      </c>
      <c r="CD68" s="150">
        <f t="shared" si="265"/>
        <v>0</v>
      </c>
      <c r="CE68" s="150">
        <f t="shared" si="265"/>
        <v>0</v>
      </c>
      <c r="CF68" s="150">
        <f t="shared" si="265"/>
        <v>0</v>
      </c>
      <c r="CG68" s="117"/>
    </row>
    <row r="69" spans="1:85" s="460" customFormat="1" x14ac:dyDescent="0.3">
      <c r="A69" s="262" t="s">
        <v>424</v>
      </c>
      <c r="B69" s="263"/>
      <c r="C69" s="954">
        <f>+Model!C701+Model!C705+Model!C706+Model!C707+Model!C708+Model!C716+Model!C722+Model!C704</f>
        <v>750</v>
      </c>
      <c r="D69" s="954">
        <f>+Model!D701+Model!D705+Model!D706+Model!D707+Model!D708+Model!D716+Model!D722+Model!D704</f>
        <v>-3300</v>
      </c>
      <c r="E69" s="954">
        <f>+Model!E701+Model!E705+Model!E706+Model!E707+Model!E708+Model!E716+Model!E722+Model!E704</f>
        <v>-1601</v>
      </c>
      <c r="F69" s="954">
        <f>+Model!F701+Model!F705+Model!F706+Model!F707+Model!F708+Model!F716+Model!F722+Model!F704</f>
        <v>3363</v>
      </c>
      <c r="G69" s="133">
        <f>+Model!G701+Model!G705+Model!G706+Model!G707+Model!G708+Model!G716+Model!G722+Model!G704</f>
        <v>-368</v>
      </c>
      <c r="H69" s="133">
        <f>+Model!H701+Model!H705+Model!H706+Model!H707+Model!H708+Model!H716+Model!H722+Model!H704</f>
        <v>-160</v>
      </c>
      <c r="I69" s="133">
        <f>+Model!I701+Model!I705+Model!I706+Model!I707+Model!I708+Model!I716+Model!I722+Model!I704</f>
        <v>33</v>
      </c>
      <c r="J69" s="133">
        <f>+Model!J701+Model!J705+Model!J706+Model!J707+Model!J708+Model!J716+Model!J722+Model!J704</f>
        <v>1363</v>
      </c>
      <c r="K69" s="954">
        <f>+Model!K701+Model!K705+Model!K706+Model!K707+Model!K708+Model!K716+Model!K722+Model!K704</f>
        <v>868</v>
      </c>
      <c r="L69" s="133">
        <f>+Model!L701+Model!L705+Model!L706+Model!L707+Model!L708+Model!L716+Model!L722+Model!L704</f>
        <v>-361</v>
      </c>
      <c r="M69" s="133">
        <f>+Model!M701+Model!M705+Model!M706+Model!M707+Model!M708+Model!M716+Model!M722+Model!M704</f>
        <v>459</v>
      </c>
      <c r="N69" s="133">
        <f>+Model!N701+Model!N705+Model!N706+Model!N707+Model!N708+Model!N716+Model!N722+Model!N704</f>
        <v>-122</v>
      </c>
      <c r="O69" s="133">
        <f>+Model!O701+Model!O705+Model!O706+Model!O707+Model!O708+Model!O716+Model!O722+Model!O704</f>
        <v>-281</v>
      </c>
      <c r="P69" s="954">
        <f>+Model!P701+Model!P705+Model!P706+Model!P707+Model!P708+Model!P716+Model!P722+Model!P704</f>
        <v>-305</v>
      </c>
      <c r="Q69" s="133">
        <f>+Model!Q701+Model!Q705+Model!Q706+Model!Q707+Model!Q708+Model!Q716+Model!Q722+Model!Q704</f>
        <v>65</v>
      </c>
      <c r="R69" s="133">
        <f>+Model!R701+Model!R705+Model!R706+Model!R707+Model!R708+Model!R716+Model!R722+Model!R704</f>
        <v>-63</v>
      </c>
      <c r="S69" s="133">
        <f>+Model!S701+Model!S705+Model!S706+Model!S707+Model!S708+Model!S716+Model!S722+Model!S704</f>
        <v>-287</v>
      </c>
      <c r="T69" s="133">
        <f>+Model!T701+Model!T705+Model!T706+Model!T707+Model!T708+Model!T716+Model!T722+Model!T704</f>
        <v>-112</v>
      </c>
      <c r="U69" s="954">
        <f>+Model!U701+Model!U705+Model!U706+Model!U707+Model!U708+Model!U716+Model!U722+Model!U704</f>
        <v>-397</v>
      </c>
      <c r="V69" s="133">
        <f>+Model!V701+Model!V705+Model!V706+Model!V707+Model!V708+Model!V716+Model!V722+Model!V704</f>
        <v>-28</v>
      </c>
      <c r="W69" s="133">
        <f>+Model!W701+Model!W705+Model!W706+Model!W707+Model!W708+Model!W716+Model!W722+Model!W704</f>
        <v>-2</v>
      </c>
      <c r="X69" s="133">
        <f>+Model!X701+Model!X705+Model!X706+Model!X707+Model!X708+Model!X716+Model!X722+Model!X704</f>
        <v>-2066</v>
      </c>
      <c r="Y69" s="133">
        <f>+Model!Y701+Model!Y705+Model!Y706+Model!Y707+Model!Y708+Model!Y716+Model!Y722+Model!Y704</f>
        <v>460</v>
      </c>
      <c r="Z69" s="954">
        <f>+Model!Z701+Model!Z705+Model!Z706+Model!Z707+Model!Z708+Model!Z716+Model!Z722+Model!Z704</f>
        <v>-1636</v>
      </c>
      <c r="AA69" s="133">
        <f>+Model!AA701+Model!AA705+Model!AA706+Model!AA707+Model!AA708+Model!AA716+Model!AA722+Model!AA704</f>
        <v>28</v>
      </c>
      <c r="AB69" s="133">
        <f>+Model!AB701+Model!AB705+Model!AB706+Model!AB707+Model!AB708+Model!AB716+Model!AB722+Model!AB704</f>
        <v>-59</v>
      </c>
      <c r="AC69" s="133">
        <f>+Model!AC701+Model!AC705+Model!AC706+Model!AC707+Model!AC708+Model!AC716+Model!AC722+Model!AC704</f>
        <v>-28</v>
      </c>
      <c r="AD69" s="133">
        <f>+Model!AD701+Model!AD705+Model!AD706+Model!AD707+Model!AD708+Model!AD716+Model!AD722+Model!AD704</f>
        <v>2</v>
      </c>
      <c r="AE69" s="954">
        <f>+Model!AE701+Model!AE705+Model!AE706+Model!AE707+Model!AE708+Model!AE716+Model!AE722+Model!AE704</f>
        <v>-57</v>
      </c>
      <c r="AF69" s="133">
        <f>+Model!AF701+Model!AF705+Model!AF706+Model!AF707+Model!AF708+Model!AF716+Model!AF722+Model!AF704</f>
        <v>19</v>
      </c>
      <c r="AG69" s="133">
        <f>+Model!AG701+Model!AG705+Model!AG706+Model!AG707+Model!AG708+Model!AG716+Model!AG722+Model!AG704</f>
        <v>-116</v>
      </c>
      <c r="AH69" s="133">
        <f>+Model!AH701+Model!AH705+Model!AH706+Model!AH707+Model!AH708+Model!AH716+Model!AH722+Model!AH704</f>
        <v>-31</v>
      </c>
      <c r="AI69" s="133">
        <f>+Model!AI701+Model!AI705+Model!AI706+Model!AI707+Model!AI708+Model!AI716+Model!AI722+Model!AI704</f>
        <v>-944</v>
      </c>
      <c r="AJ69" s="954">
        <f>+Model!AJ701+Model!AJ705+Model!AJ706+Model!AJ707+Model!AJ708+Model!AJ716+Model!AJ722+Model!AJ704</f>
        <v>-1072</v>
      </c>
      <c r="AK69" s="133">
        <f>+Model!AK701+Model!AK705+Model!AK706+Model!AK707+Model!AK708+Model!AK716+Model!AK722+Model!AK704</f>
        <v>645</v>
      </c>
      <c r="AL69" s="133">
        <f>+Model!AL701+Model!AL705+Model!AL706+Model!AL707+Model!AL708+Model!AL716+Model!AL722+Model!AL704</f>
        <v>-289</v>
      </c>
      <c r="AM69" s="133">
        <f>+Model!AM701+Model!AM705+Model!AM706+Model!AM707+Model!AM708+Model!AM716+Model!AM722+Model!AM704</f>
        <v>-385</v>
      </c>
      <c r="AN69" s="133">
        <f>+Model!AN701+Model!AN705+Model!AN706+Model!AN707+Model!AN708+Model!AN716+Model!AN722+Model!AN704</f>
        <v>50</v>
      </c>
      <c r="AO69" s="954">
        <f>+Model!AO701+Model!AO705+Model!AO706+Model!AO707+Model!AO708+Model!AO716+Model!AO722+Model!AO704</f>
        <v>21</v>
      </c>
      <c r="AP69" s="133">
        <f>+Model!AP701+Model!AP705+Model!AP706+Model!AP707+Model!AP708+Model!AP716+Model!AP722+Model!AP704</f>
        <v>-567</v>
      </c>
      <c r="AQ69" s="133">
        <f>+Model!AQ701+Model!AQ705+Model!AQ706+Model!AQ707+Model!AQ708+Model!AQ716+Model!AQ722+Model!AQ704</f>
        <v>-649</v>
      </c>
      <c r="AR69" s="133">
        <f>+Model!AR701+Model!AR705+Model!AR706+Model!AR707+Model!AR708+Model!AR716+Model!AR722+Model!AR704</f>
        <v>-326</v>
      </c>
      <c r="AS69" s="133">
        <f>+Model!AS701+Model!AS705+Model!AS706+Model!AS707+Model!AS708+Model!AS716+Model!AS722+Model!AS704</f>
        <v>84</v>
      </c>
      <c r="AT69" s="954">
        <f>+Model!AT701+Model!AT705+Model!AT706+Model!AT707+Model!AT708+Model!AT716+Model!AT722+Model!AT704</f>
        <v>-1458</v>
      </c>
      <c r="AU69" s="133">
        <f>+Model!AU701+Model!AU705+Model!AU706+Model!AU707+Model!AU708+Model!AU716+Model!AU722+Model!AU704</f>
        <v>-39</v>
      </c>
      <c r="AV69" s="133">
        <f>+Model!AV701+Model!AV705+Model!AV706+Model!AV707+Model!AV708+Model!AV716+Model!AV722+Model!AV704</f>
        <v>-14</v>
      </c>
      <c r="AW69" s="133">
        <f>+Model!AW701+Model!AW705+Model!AW706+Model!AW707+Model!AW708+Model!AW716+Model!AW722+Model!AW704</f>
        <v>265</v>
      </c>
      <c r="AX69" s="133">
        <f>+Model!AX701+Model!AX705+Model!AX706+Model!AX707+Model!AX708+Model!AX716+Model!AX722+Model!AX704</f>
        <v>1</v>
      </c>
      <c r="AY69" s="954">
        <f>+Model!AY701+Model!AY705+Model!AY706+Model!AY707+Model!AY708+Model!AY716+Model!AY722+Model!AY704</f>
        <v>213</v>
      </c>
      <c r="AZ69" s="133">
        <f>+Model!AZ701+Model!AZ705+Model!AZ706+Model!AZ707+Model!AZ708+Model!AZ716+Model!AZ722+Model!AZ704</f>
        <v>-6</v>
      </c>
      <c r="BA69" s="133">
        <f>+Model!BA701+Model!BA705+Model!BA706+Model!BA707+Model!BA708+Model!BA716+Model!BA722+Model!BA704</f>
        <v>-145</v>
      </c>
      <c r="BB69" s="133">
        <f>+Model!BB701+Model!BB705+Model!BB706+Model!BB707+Model!BB708+Model!BB716+Model!BB722+Model!BB704</f>
        <v>-109</v>
      </c>
      <c r="BC69" s="133">
        <f>+Model!BC701+Model!BC705+Model!BC706+Model!BC707+Model!BC708+Model!BC716+Model!BC722+Model!BC704</f>
        <v>49</v>
      </c>
      <c r="BD69" s="954">
        <f>+Model!BD701+Model!BD705+Model!BD706+Model!BD707+Model!BD708+Model!BD716+Model!BD722+Model!BD704</f>
        <v>-211</v>
      </c>
      <c r="BE69" s="133">
        <f>+Model!BE701+Model!BE705+Model!BE706+Model!BE707+Model!BE708+Model!BE716+Model!BE722+Model!BE704</f>
        <v>-44</v>
      </c>
      <c r="BF69" s="133">
        <f>+Model!BF701+Model!BF705+Model!BF706+Model!BF707+Model!BF708+Model!BF716+Model!BF722+Model!BF704</f>
        <v>-390</v>
      </c>
      <c r="BG69" s="133">
        <f>+Model!BG701+Model!BG705+Model!BG706+Model!BG707+Model!BG708+Model!BG716+Model!BG722+Model!BG704</f>
        <v>45</v>
      </c>
      <c r="BH69" s="133">
        <f>+Model!BH701+Model!BH705+Model!BH706+Model!BH707+Model!BH708+Model!BH716+Model!BH722+Model!BH704</f>
        <v>108</v>
      </c>
      <c r="BI69" s="954">
        <f>+Model!BI701+Model!BI705+Model!BI706+Model!BI707+Model!BI708+Model!BI716+Model!BI722+Model!BI704</f>
        <v>-281</v>
      </c>
      <c r="BJ69" s="133">
        <f>+Model!BJ701+Model!BJ705+Model!BJ706+Model!BJ707+Model!BJ708+Model!BJ716+Model!BJ722+Model!BJ704</f>
        <v>-39</v>
      </c>
      <c r="BK69" s="133">
        <f>+Model!BK701+Model!BK705+Model!BK706+Model!BK707+Model!BK708+Model!BK716+Model!BK722+Model!BK704</f>
        <v>-127</v>
      </c>
      <c r="BL69" s="133">
        <f>+Model!BL701+Model!BL705+Model!BL706+Model!BL707+Model!BL708+Model!BL716+Model!BL722+Model!BL704</f>
        <v>-159</v>
      </c>
      <c r="BM69" s="133">
        <f>+Model!BM701+Model!BM705+Model!BM706+Model!BM707+Model!BM708+Model!BM716+Model!BM722+Model!BM704</f>
        <v>-159</v>
      </c>
      <c r="BN69" s="954">
        <f>+Model!BN701+Model!BN705+Model!BN706+Model!BN707+Model!BN708+Model!BN716+Model!BN722+Model!BN704</f>
        <v>-484</v>
      </c>
      <c r="BO69" s="133">
        <f>+Model!BO701+Model!BO705+Model!BO706+Model!BO707+Model!BO708+Model!BO716+Model!BO722+Model!BO704</f>
        <v>-80</v>
      </c>
      <c r="BP69" s="133">
        <f>+Model!BP701+Model!BP705+Model!BP706+Model!BP707+Model!BP708+Model!BP716+Model!BP722+Model!BP704</f>
        <v>-79</v>
      </c>
      <c r="BQ69" s="133">
        <f>+Model!BQ701+Model!BQ705+Model!BQ706+Model!BQ707+Model!BQ708+Model!BQ716+Model!BQ722+Model!BQ704</f>
        <v>780</v>
      </c>
      <c r="BR69" s="133">
        <f>+Model!BR701+Model!BR705+Model!BR706+Model!BR707+Model!BR708+Model!BR716+Model!BR722+Model!BR704</f>
        <v>-107</v>
      </c>
      <c r="BS69" s="954">
        <f>+Model!BS701+Model!BS705+Model!BS706+Model!BS707+Model!BS708+Model!BS716+Model!BS722+Model!BS704</f>
        <v>514</v>
      </c>
      <c r="BT69" s="692">
        <f>+Model!BT701+Model!BT705+Model!BT706+Model!BT707+Model!BT708+Model!BT716+Model!BT722+Model!BT704</f>
        <v>804</v>
      </c>
      <c r="BU69" s="133">
        <f>+Model!BU701+Model!BU705+Model!BU706+Model!BU707+Model!BU708+Model!BU716+Model!BU722+Model!BU704</f>
        <v>0</v>
      </c>
      <c r="BV69" s="133">
        <f>+Model!BV701+Model!BV705+Model!BV706+Model!BV707+Model!BV708+Model!BV716+Model!BV722+Model!BV704</f>
        <v>0</v>
      </c>
      <c r="BW69" s="133">
        <f>+Model!BW701+Model!BW705+Model!BW706+Model!BW707+Model!BW708+Model!BW716+Model!BW722+Model!BW704</f>
        <v>0</v>
      </c>
      <c r="BX69" s="954">
        <f>+Model!BX701+Model!BX705+Model!BX706+Model!BX707+Model!BX708+Model!BX716+Model!BX722+Model!BX704</f>
        <v>804</v>
      </c>
      <c r="BY69" s="133">
        <f>+Model!BY701+Model!BY705+Model!BY706+Model!BY707+Model!BY708+Model!BY716+Model!BY722+Model!BY704</f>
        <v>0</v>
      </c>
      <c r="BZ69" s="133">
        <f>+Model!BZ701+Model!BZ705+Model!BZ706+Model!BZ707+Model!BZ708+Model!BZ716+Model!BZ722+Model!BZ704</f>
        <v>0</v>
      </c>
      <c r="CA69" s="133">
        <f>+Model!CA701+Model!CA705+Model!CA706+Model!CA707+Model!CA708+Model!CA716+Model!CA722+Model!CA704</f>
        <v>0</v>
      </c>
      <c r="CB69" s="133">
        <f>+Model!CB701+Model!CB705+Model!CB706+Model!CB707+Model!CB708+Model!CB716+Model!CB722+Model!CB704</f>
        <v>0</v>
      </c>
      <c r="CC69" s="954">
        <f>+Model!CC701+Model!CC705+Model!CC706+Model!CC707+Model!CC708+Model!CC716+Model!CC722+Model!CC704</f>
        <v>0</v>
      </c>
      <c r="CD69" s="954">
        <f>+Model!CD701+Model!CD705+Model!CD706+Model!CD707+Model!CD708+Model!CD716+Model!CD722+Model!CD704</f>
        <v>0</v>
      </c>
      <c r="CE69" s="954">
        <f>+Model!CE701+Model!CE705+Model!CE706+Model!CE707+Model!CE708+Model!CE716+Model!CE722+Model!CE704</f>
        <v>0</v>
      </c>
      <c r="CF69" s="954">
        <f>+Model!CF701+Model!CF705+Model!CF706+Model!CF707+Model!CF708+Model!CF716+Model!CF722+Model!CF704</f>
        <v>0</v>
      </c>
      <c r="CG69" s="117"/>
    </row>
    <row r="70" spans="1:85" s="461" customFormat="1" x14ac:dyDescent="0.3">
      <c r="A70" s="161" t="s">
        <v>425</v>
      </c>
      <c r="B70" s="162"/>
      <c r="C70" s="953">
        <f t="shared" ref="C70:AH70" ca="1" si="266">SUM(C64:C69)</f>
        <v>-631</v>
      </c>
      <c r="D70" s="953">
        <f t="shared" ca="1" si="266"/>
        <v>5344</v>
      </c>
      <c r="E70" s="953">
        <f t="shared" ca="1" si="266"/>
        <v>1804</v>
      </c>
      <c r="F70" s="953">
        <f t="shared" ca="1" si="266"/>
        <v>5075</v>
      </c>
      <c r="G70" s="118">
        <f t="shared" ca="1" si="266"/>
        <v>-3565</v>
      </c>
      <c r="H70" s="118">
        <f t="shared" ca="1" si="266"/>
        <v>3256</v>
      </c>
      <c r="I70" s="118">
        <f t="shared" ca="1" si="266"/>
        <v>-3616</v>
      </c>
      <c r="J70" s="118">
        <f t="shared" ca="1" si="266"/>
        <v>-769</v>
      </c>
      <c r="K70" s="953">
        <f t="shared" ca="1" si="266"/>
        <v>-4694</v>
      </c>
      <c r="L70" s="118">
        <f t="shared" ca="1" si="266"/>
        <v>-633</v>
      </c>
      <c r="M70" s="118">
        <f t="shared" ca="1" si="266"/>
        <v>-1653</v>
      </c>
      <c r="N70" s="118">
        <f t="shared" ca="1" si="266"/>
        <v>256</v>
      </c>
      <c r="O70" s="118">
        <f t="shared" ca="1" si="266"/>
        <v>-1430</v>
      </c>
      <c r="P70" s="953">
        <f t="shared" ca="1" si="266"/>
        <v>-3460</v>
      </c>
      <c r="Q70" s="118">
        <f t="shared" ca="1" si="266"/>
        <v>-110</v>
      </c>
      <c r="R70" s="118">
        <f t="shared" ca="1" si="266"/>
        <v>-519</v>
      </c>
      <c r="S70" s="118">
        <f t="shared" ca="1" si="266"/>
        <v>777</v>
      </c>
      <c r="T70" s="118">
        <f t="shared" ca="1" si="266"/>
        <v>-1911</v>
      </c>
      <c r="U70" s="953">
        <f t="shared" ca="1" si="266"/>
        <v>-1763</v>
      </c>
      <c r="V70" s="118">
        <f t="shared" ca="1" si="266"/>
        <v>-2460</v>
      </c>
      <c r="W70" s="118">
        <f t="shared" ca="1" si="266"/>
        <v>202</v>
      </c>
      <c r="X70" s="118">
        <f t="shared" ca="1" si="266"/>
        <v>-1413</v>
      </c>
      <c r="Y70" s="118">
        <f t="shared" ca="1" si="266"/>
        <v>-363</v>
      </c>
      <c r="Z70" s="953">
        <f t="shared" ca="1" si="266"/>
        <v>-4034</v>
      </c>
      <c r="AA70" s="118">
        <f t="shared" ca="1" si="266"/>
        <v>-5</v>
      </c>
      <c r="AB70" s="118">
        <f t="shared" ca="1" si="266"/>
        <v>-2221</v>
      </c>
      <c r="AC70" s="118">
        <f t="shared" ca="1" si="266"/>
        <v>1879</v>
      </c>
      <c r="AD70" s="118">
        <f t="shared" ca="1" si="266"/>
        <v>-1828</v>
      </c>
      <c r="AE70" s="953">
        <f t="shared" ca="1" si="266"/>
        <v>-2175</v>
      </c>
      <c r="AF70" s="118">
        <f t="shared" ca="1" si="266"/>
        <v>1574</v>
      </c>
      <c r="AG70" s="118">
        <f t="shared" ca="1" si="266"/>
        <v>1181</v>
      </c>
      <c r="AH70" s="118">
        <f t="shared" ca="1" si="266"/>
        <v>2043</v>
      </c>
      <c r="AI70" s="118">
        <f t="shared" ref="AI70:BA70" ca="1" si="267">SUM(AI64:AI69)</f>
        <v>-260</v>
      </c>
      <c r="AJ70" s="953">
        <f t="shared" ca="1" si="267"/>
        <v>4538</v>
      </c>
      <c r="AK70" s="118">
        <f t="shared" ca="1" si="267"/>
        <v>-786</v>
      </c>
      <c r="AL70" s="118">
        <f t="shared" ca="1" si="267"/>
        <v>-4</v>
      </c>
      <c r="AM70" s="118">
        <f t="shared" ca="1" si="267"/>
        <v>3129</v>
      </c>
      <c r="AN70" s="118">
        <f t="shared" ca="1" si="267"/>
        <v>-5909</v>
      </c>
      <c r="AO70" s="953">
        <f t="shared" ca="1" si="267"/>
        <v>-3570</v>
      </c>
      <c r="AP70" s="118">
        <f t="shared" ca="1" si="267"/>
        <v>2779</v>
      </c>
      <c r="AQ70" s="118">
        <f t="shared" ca="1" si="267"/>
        <v>-1911</v>
      </c>
      <c r="AR70" s="118">
        <f t="shared" ca="1" si="267"/>
        <v>12</v>
      </c>
      <c r="AS70" s="118">
        <f t="shared" ca="1" si="267"/>
        <v>-1054</v>
      </c>
      <c r="AT70" s="953">
        <f t="shared" ca="1" si="267"/>
        <v>-174</v>
      </c>
      <c r="AU70" s="118">
        <f t="shared" ca="1" si="267"/>
        <v>1527</v>
      </c>
      <c r="AV70" s="118">
        <f t="shared" ca="1" si="267"/>
        <v>424</v>
      </c>
      <c r="AW70" s="118">
        <f t="shared" ca="1" si="267"/>
        <v>-1663</v>
      </c>
      <c r="AX70" s="118">
        <f t="shared" ca="1" si="267"/>
        <v>-230</v>
      </c>
      <c r="AY70" s="953">
        <f t="shared" ca="1" si="267"/>
        <v>58</v>
      </c>
      <c r="AZ70" s="118">
        <f t="shared" ca="1" si="267"/>
        <v>6011</v>
      </c>
      <c r="BA70" s="118">
        <f t="shared" ca="1" si="267"/>
        <v>550</v>
      </c>
      <c r="BB70" s="118">
        <f t="shared" ref="BB70:BG70" ca="1" si="268">SUM(BB64:BB69)</f>
        <v>3341</v>
      </c>
      <c r="BC70" s="118">
        <f t="shared" ca="1" si="268"/>
        <v>2424</v>
      </c>
      <c r="BD70" s="953">
        <f t="shared" ca="1" si="268"/>
        <v>12326</v>
      </c>
      <c r="BE70" s="118">
        <f t="shared" ca="1" si="268"/>
        <v>-2222</v>
      </c>
      <c r="BF70" s="118">
        <f t="shared" ca="1" si="268"/>
        <v>-6499</v>
      </c>
      <c r="BG70" s="118">
        <f t="shared" ca="1" si="268"/>
        <v>-3394</v>
      </c>
      <c r="BH70" s="118">
        <f t="shared" ref="BH70:BK70" ca="1" si="269">SUM(BH64:BH69)</f>
        <v>2269</v>
      </c>
      <c r="BI70" s="953">
        <f t="shared" ca="1" si="269"/>
        <v>-9846</v>
      </c>
      <c r="BJ70" s="118">
        <f t="shared" ca="1" si="269"/>
        <v>-2063</v>
      </c>
      <c r="BK70" s="118">
        <f t="shared" ca="1" si="269"/>
        <v>-2247</v>
      </c>
      <c r="BL70" s="118">
        <f t="shared" ref="BL70:BP70" ca="1" si="270">SUM(BL64:BL69)</f>
        <v>799</v>
      </c>
      <c r="BM70" s="118">
        <f t="shared" ca="1" si="270"/>
        <v>2498</v>
      </c>
      <c r="BN70" s="953">
        <f t="shared" ca="1" si="270"/>
        <v>-1013</v>
      </c>
      <c r="BO70" s="118">
        <f t="shared" ca="1" si="270"/>
        <v>-2096</v>
      </c>
      <c r="BP70" s="118">
        <f t="shared" ca="1" si="270"/>
        <v>-791</v>
      </c>
      <c r="BQ70" s="118">
        <f ca="1">SUM(BQ64:BQ69)</f>
        <v>3408</v>
      </c>
      <c r="BR70" s="118">
        <f ca="1">SUM(BR64:BR69)</f>
        <v>-1498</v>
      </c>
      <c r="BS70" s="953">
        <f ca="1">SUM(BS64:BS69)</f>
        <v>-977</v>
      </c>
      <c r="BT70" s="690">
        <f ca="1">SUM(BT64:BT69)</f>
        <v>-969</v>
      </c>
      <c r="BU70" s="118">
        <f t="shared" ref="BU70:BW70" ca="1" si="271">SUM(BU64:BU69)</f>
        <v>4855.2810750088956</v>
      </c>
      <c r="BV70" s="118">
        <f t="shared" ca="1" si="271"/>
        <v>3620.5219984846481</v>
      </c>
      <c r="BW70" s="118">
        <f t="shared" ca="1" si="271"/>
        <v>3314.263528484651</v>
      </c>
      <c r="BX70" s="953">
        <f ca="1">SUM(BX64:BX69)</f>
        <v>10821.066601978193</v>
      </c>
      <c r="BY70" s="118">
        <f t="shared" ref="BY70:CF70" ca="1" si="272">SUM(BY64:BY69)</f>
        <v>4178.7568468956069</v>
      </c>
      <c r="BZ70" s="118">
        <f t="shared" ca="1" si="272"/>
        <v>4696.0054094935549</v>
      </c>
      <c r="CA70" s="118">
        <f t="shared" ca="1" si="272"/>
        <v>4865.8354361914935</v>
      </c>
      <c r="CB70" s="118">
        <f t="shared" ca="1" si="272"/>
        <v>4772.7805313914978</v>
      </c>
      <c r="CC70" s="953">
        <f t="shared" ca="1" si="272"/>
        <v>18513.378223972155</v>
      </c>
      <c r="CD70" s="953">
        <f t="shared" ca="1" si="272"/>
        <v>15855.407467822166</v>
      </c>
      <c r="CE70" s="953">
        <f t="shared" ca="1" si="272"/>
        <v>14570.537338072165</v>
      </c>
      <c r="CF70" s="953">
        <f t="shared" ca="1" si="272"/>
        <v>8703.5891253221562</v>
      </c>
      <c r="CG70" s="120"/>
    </row>
    <row r="71" spans="1:85" s="462" customFormat="1" x14ac:dyDescent="0.3">
      <c r="A71" s="158"/>
      <c r="B71" s="163"/>
      <c r="C71" s="955"/>
      <c r="D71" s="955"/>
      <c r="E71" s="955"/>
      <c r="F71" s="955"/>
      <c r="G71" s="728"/>
      <c r="H71" s="728"/>
      <c r="I71" s="728"/>
      <c r="J71" s="728"/>
      <c r="K71" s="955"/>
      <c r="L71" s="728"/>
      <c r="M71" s="728"/>
      <c r="N71" s="728"/>
      <c r="O71" s="728"/>
      <c r="P71" s="955"/>
      <c r="Q71" s="728"/>
      <c r="R71" s="728"/>
      <c r="S71" s="728"/>
      <c r="T71" s="728"/>
      <c r="U71" s="955"/>
      <c r="V71" s="728"/>
      <c r="W71" s="728"/>
      <c r="X71" s="728"/>
      <c r="Y71" s="728"/>
      <c r="Z71" s="955"/>
      <c r="AA71" s="728"/>
      <c r="AB71" s="728"/>
      <c r="AC71" s="728"/>
      <c r="AD71" s="728"/>
      <c r="AE71" s="955"/>
      <c r="AF71" s="728"/>
      <c r="AG71" s="728"/>
      <c r="AH71" s="728"/>
      <c r="AI71" s="728"/>
      <c r="AJ71" s="955"/>
      <c r="AK71" s="728"/>
      <c r="AL71" s="728"/>
      <c r="AM71" s="728"/>
      <c r="AN71" s="728"/>
      <c r="AO71" s="955"/>
      <c r="AP71" s="728"/>
      <c r="AQ71" s="728"/>
      <c r="AR71" s="728"/>
      <c r="AS71" s="728"/>
      <c r="AT71" s="955"/>
      <c r="AU71" s="728"/>
      <c r="AV71" s="728"/>
      <c r="AW71" s="728"/>
      <c r="AX71" s="728"/>
      <c r="AY71" s="955"/>
      <c r="AZ71" s="728"/>
      <c r="BA71" s="728"/>
      <c r="BB71" s="728"/>
      <c r="BC71" s="728"/>
      <c r="BD71" s="955"/>
      <c r="BE71" s="728"/>
      <c r="BF71" s="728"/>
      <c r="BG71" s="728"/>
      <c r="BH71" s="728"/>
      <c r="BI71" s="955"/>
      <c r="BJ71" s="728"/>
      <c r="BK71" s="728"/>
      <c r="BL71" s="728"/>
      <c r="BM71" s="728"/>
      <c r="BN71" s="955"/>
      <c r="BO71" s="728"/>
      <c r="BP71" s="728"/>
      <c r="BQ71" s="728"/>
      <c r="BR71" s="728"/>
      <c r="BS71" s="955"/>
      <c r="BT71" s="760"/>
      <c r="BU71" s="728"/>
      <c r="BV71" s="728"/>
      <c r="BW71" s="728"/>
      <c r="BX71" s="955"/>
      <c r="BY71" s="728"/>
      <c r="BZ71" s="728"/>
      <c r="CA71" s="728"/>
      <c r="CB71" s="728"/>
      <c r="CC71" s="955"/>
      <c r="CD71" s="955"/>
      <c r="CE71" s="955"/>
      <c r="CF71" s="955"/>
      <c r="CG71" s="728"/>
    </row>
    <row r="72" spans="1:85" s="459" customFormat="1" x14ac:dyDescent="0.3">
      <c r="A72" s="168" t="s">
        <v>426</v>
      </c>
      <c r="B72" s="169"/>
      <c r="C72" s="958">
        <f t="shared" ref="C72:AH72" ca="1" si="273">INDEX(SP_CFA_CFO,0,COLUMN())/INDEX(SP_GF_ShareCount,0,COLUMN())</f>
        <v>9.6816591704147932</v>
      </c>
      <c r="D72" s="958">
        <f t="shared" ca="1" si="273"/>
        <v>15.625895508738671</v>
      </c>
      <c r="E72" s="958">
        <f t="shared" ca="1" si="273"/>
        <v>20.539438270478836</v>
      </c>
      <c r="F72" s="958">
        <f t="shared" ca="1" si="273"/>
        <v>19.754116925519973</v>
      </c>
      <c r="G72" s="121">
        <f t="shared" ca="1" si="273"/>
        <v>2.9394047422465097</v>
      </c>
      <c r="H72" s="121">
        <f t="shared" ca="1" si="273"/>
        <v>4.3990472861440857</v>
      </c>
      <c r="I72" s="121">
        <f t="shared" ca="1" si="273"/>
        <v>5.3455458016790072</v>
      </c>
      <c r="J72" s="121">
        <f t="shared" ca="1" si="273"/>
        <v>5.4456673287053148</v>
      </c>
      <c r="K72" s="958">
        <f t="shared" ca="1" si="273"/>
        <v>18.113292689427048</v>
      </c>
      <c r="L72" s="121">
        <f t="shared" ca="1" si="273"/>
        <v>4.4081356471899378</v>
      </c>
      <c r="M72" s="121">
        <f t="shared" ca="1" si="273"/>
        <v>4.1428339381208534</v>
      </c>
      <c r="N72" s="121">
        <f t="shared" ca="1" si="273"/>
        <v>4.576871402568532</v>
      </c>
      <c r="O72" s="121">
        <f t="shared" ca="1" si="273"/>
        <v>3.4491545669312238</v>
      </c>
      <c r="P72" s="958">
        <f t="shared" ca="1" si="273"/>
        <v>16.584145504208081</v>
      </c>
      <c r="Q72" s="121">
        <f t="shared" ca="1" si="273"/>
        <v>1.2358126680657266</v>
      </c>
      <c r="R72" s="121">
        <f t="shared" ca="1" si="273"/>
        <v>3.8471683082849997</v>
      </c>
      <c r="S72" s="121">
        <f t="shared" ca="1" si="273"/>
        <v>2.8626056119887631</v>
      </c>
      <c r="T72" s="121">
        <f t="shared" ca="1" si="273"/>
        <v>2.4312908249582645</v>
      </c>
      <c r="U72" s="958">
        <f t="shared" ca="1" si="273"/>
        <v>10.376693826197846</v>
      </c>
      <c r="V72" s="121">
        <f t="shared" ca="1" si="273"/>
        <v>0.61023385166664434</v>
      </c>
      <c r="W72" s="121">
        <f t="shared" ca="1" si="273"/>
        <v>1.3520335257305709</v>
      </c>
      <c r="X72" s="121">
        <f t="shared" ca="1" si="273"/>
        <v>2.8199870230685664</v>
      </c>
      <c r="Y72" s="121">
        <f t="shared" ca="1" si="273"/>
        <v>2.0438677618087198</v>
      </c>
      <c r="Z72" s="958">
        <f t="shared" ca="1" si="273"/>
        <v>6.8592884729673234</v>
      </c>
      <c r="AA72" s="121">
        <f t="shared" ca="1" si="273"/>
        <v>2.0465412713880444</v>
      </c>
      <c r="AB72" s="121">
        <f t="shared" ca="1" si="273"/>
        <v>2.6603078476968478</v>
      </c>
      <c r="AC72" s="121">
        <f t="shared" ca="1" si="273"/>
        <v>2.8324592444981986</v>
      </c>
      <c r="AD72" s="121">
        <f t="shared" ca="1" si="273"/>
        <v>3.2683750352806133</v>
      </c>
      <c r="AE72" s="958">
        <f t="shared" ca="1" si="273"/>
        <v>10.810836447300399</v>
      </c>
      <c r="AF72" s="121">
        <f t="shared" ca="1" si="273"/>
        <v>2.6358731728428229</v>
      </c>
      <c r="AG72" s="121">
        <f t="shared" ca="1" si="273"/>
        <v>3.5722679445884178</v>
      </c>
      <c r="AH72" s="121">
        <f t="shared" ca="1" si="273"/>
        <v>4.9904196875681235</v>
      </c>
      <c r="AI72" s="121">
        <f t="shared" ref="AI72:BN72" ca="1" si="274">INDEX(SP_CFA_CFO,0,COLUMN())/INDEX(SP_GF_ShareCount,0,COLUMN())</f>
        <v>4.7990820333088076</v>
      </c>
      <c r="AJ72" s="958">
        <f t="shared" ca="1" si="274"/>
        <v>15.995970967140291</v>
      </c>
      <c r="AK72" s="121">
        <f t="shared" ca="1" si="274"/>
        <v>2.6605315381102597</v>
      </c>
      <c r="AL72" s="121">
        <f t="shared" ca="1" si="274"/>
        <v>4.6153999759324469</v>
      </c>
      <c r="AM72" s="121">
        <f t="shared" ca="1" si="274"/>
        <v>4.1274008304433956</v>
      </c>
      <c r="AN72" s="121">
        <f t="shared" ca="1" si="274"/>
        <v>3.0213900744371811</v>
      </c>
      <c r="AO72" s="958">
        <f t="shared" ca="1" si="274"/>
        <v>14.412762001049007</v>
      </c>
      <c r="AP72" s="121">
        <f t="shared" ca="1" si="274"/>
        <v>2.5310227164916874</v>
      </c>
      <c r="AQ72" s="121">
        <f t="shared" ca="1" si="274"/>
        <v>4.3165941209067221E-2</v>
      </c>
      <c r="AR72" s="121">
        <f t="shared" ca="1" si="274"/>
        <v>1.9082476546141882</v>
      </c>
      <c r="AS72" s="121">
        <f t="shared" ca="1" si="274"/>
        <v>1.1712837646881498</v>
      </c>
      <c r="AT72" s="958">
        <f t="shared" ca="1" si="274"/>
        <v>5.6560680674664052</v>
      </c>
      <c r="AU72" s="121">
        <f t="shared" ca="1" si="274"/>
        <v>2.1901060030095691</v>
      </c>
      <c r="AV72" s="121">
        <f t="shared" ca="1" si="274"/>
        <v>3.618185204879607</v>
      </c>
      <c r="AW72" s="121">
        <f t="shared" ca="1" si="274"/>
        <v>4.4656823322115775</v>
      </c>
      <c r="AX72" s="121">
        <f t="shared" ca="1" si="274"/>
        <v>4.9207057763404469</v>
      </c>
      <c r="AY72" s="958">
        <f t="shared" ca="1" si="274"/>
        <v>15.199385504680318</v>
      </c>
      <c r="AZ72" s="121">
        <f t="shared" ca="1" si="274"/>
        <v>4.1423636002719411</v>
      </c>
      <c r="BA72" s="121">
        <f t="shared" ca="1" si="274"/>
        <v>7.0420196320184516</v>
      </c>
      <c r="BB72" s="121">
        <f t="shared" ca="1" si="274"/>
        <v>7.8695795158974065</v>
      </c>
      <c r="BC72" s="121">
        <f t="shared" ca="1" si="274"/>
        <v>6.510287118351477</v>
      </c>
      <c r="BD72" s="958">
        <f t="shared" ca="1" si="274"/>
        <v>25.564391063750175</v>
      </c>
      <c r="BE72" s="121">
        <f t="shared" ca="1" si="274"/>
        <v>3.7905391719736845</v>
      </c>
      <c r="BF72" s="121">
        <f t="shared" ca="1" si="274"/>
        <v>3.3574903439494794</v>
      </c>
      <c r="BG72" s="121">
        <f t="shared" ca="1" si="274"/>
        <v>5.1531508110365758</v>
      </c>
      <c r="BH72" s="121">
        <f t="shared" ca="1" si="274"/>
        <v>6.6559570387254219</v>
      </c>
      <c r="BI72" s="958">
        <f t="shared" ca="1" si="274"/>
        <v>18.937864933758156</v>
      </c>
      <c r="BJ72" s="121">
        <f t="shared" ca="1" si="274"/>
        <v>3.6925752629905317</v>
      </c>
      <c r="BK72" s="121">
        <f t="shared" ca="1" si="274"/>
        <v>3.433453454206894</v>
      </c>
      <c r="BL72" s="121">
        <f t="shared" ca="1" si="274"/>
        <v>5.3535359125194377</v>
      </c>
      <c r="BM72" s="121">
        <f t="shared" ca="1" si="274"/>
        <v>4.8920706258587145</v>
      </c>
      <c r="BN72" s="958">
        <f t="shared" ca="1" si="274"/>
        <v>17.335662957543811</v>
      </c>
      <c r="BO72" s="121">
        <f t="shared" ref="BO72:BS72" ca="1" si="275">INDEX(SP_CFA_CFO,0,COLUMN())/INDEX(SP_GF_ShareCount,0,COLUMN())</f>
        <v>2.9627032826112898</v>
      </c>
      <c r="BP72" s="121">
        <f t="shared" ca="1" si="275"/>
        <v>4.973332707027442</v>
      </c>
      <c r="BQ72" s="121">
        <f t="shared" ca="1" si="275"/>
        <v>4.8226265200780043</v>
      </c>
      <c r="BR72" s="121">
        <f t="shared" ca="1" si="275"/>
        <v>5.4026471919654844</v>
      </c>
      <c r="BS72" s="958">
        <f t="shared" ca="1" si="275"/>
        <v>18.289676267502749</v>
      </c>
      <c r="BT72" s="695">
        <f t="shared" ref="BT72:BX72" ca="1" si="276">INDEX(SP_CFA_CFO,0,COLUMN())/INDEX(SP_GF_ShareCount,0,COLUMN())</f>
        <v>1.2659247696258622</v>
      </c>
      <c r="BU72" s="121">
        <f t="shared" ca="1" si="276"/>
        <v>7.6286625193806454</v>
      </c>
      <c r="BV72" s="121">
        <f t="shared" ca="1" si="276"/>
        <v>5.8657307701466799</v>
      </c>
      <c r="BW72" s="121">
        <f t="shared" ca="1" si="276"/>
        <v>5.7113800915974364</v>
      </c>
      <c r="BX72" s="958">
        <f t="shared" ca="1" si="276"/>
        <v>20.443154577867791</v>
      </c>
      <c r="BY72" s="121">
        <f t="shared" ref="BY72:CF72" ca="1" si="277">INDEX(SP_CFA_CFO,0,COLUMN())/INDEX(SP_GF_ShareCount,0,COLUMN())</f>
        <v>6.1470745894443688</v>
      </c>
      <c r="BZ72" s="121">
        <f t="shared" ca="1" si="277"/>
        <v>6.4077618011829207</v>
      </c>
      <c r="CA72" s="121">
        <f t="shared" ca="1" si="277"/>
        <v>6.4933541436865037</v>
      </c>
      <c r="CB72" s="121">
        <f t="shared" ca="1" si="277"/>
        <v>6.4464555625690094</v>
      </c>
      <c r="CC72" s="958">
        <f t="shared" ca="1" si="277"/>
        <v>25.494646096882796</v>
      </c>
      <c r="CD72" s="958">
        <f t="shared" ca="1" si="277"/>
        <v>25.163036549309112</v>
      </c>
      <c r="CE72" s="958">
        <f t="shared" ca="1" si="277"/>
        <v>24.515477066710741</v>
      </c>
      <c r="CF72" s="958">
        <f t="shared" ca="1" si="277"/>
        <v>21.558603946919977</v>
      </c>
      <c r="CG72" s="121"/>
    </row>
    <row r="73" spans="1:85" s="459" customFormat="1" x14ac:dyDescent="0.3">
      <c r="A73" s="168" t="s">
        <v>427</v>
      </c>
      <c r="B73" s="169"/>
      <c r="C73" s="958">
        <f t="shared" ref="C73:AH73" ca="1" si="278">INDEX(SP_CFA_FCF_PreDiv,0,COLUMN())/INDEX(SP_GF_ShareCount,0,COLUMN())</f>
        <v>-0.23488255872063968</v>
      </c>
      <c r="D73" s="958">
        <f t="shared" ca="1" si="278"/>
        <v>5.8518614870067447</v>
      </c>
      <c r="E73" s="958">
        <f t="shared" ca="1" si="278"/>
        <v>7.2946368550343985</v>
      </c>
      <c r="F73" s="958">
        <f t="shared" ca="1" si="278"/>
        <v>4.0076243602891966</v>
      </c>
      <c r="G73" s="121">
        <f t="shared" ca="1" si="278"/>
        <v>-1.2747366033053642</v>
      </c>
      <c r="H73" s="121">
        <f t="shared" ca="1" si="278"/>
        <v>-2.7364965512398653E-2</v>
      </c>
      <c r="I73" s="121">
        <f t="shared" ca="1" si="278"/>
        <v>0.36738968334532923</v>
      </c>
      <c r="J73" s="121">
        <f t="shared" ca="1" si="278"/>
        <v>-0.60490047537570513</v>
      </c>
      <c r="K73" s="958">
        <f t="shared" ca="1" si="278"/>
        <v>-1.5436818493960598</v>
      </c>
      <c r="L73" s="121">
        <f t="shared" ca="1" si="278"/>
        <v>-6.6512204727708468E-2</v>
      </c>
      <c r="M73" s="121">
        <f t="shared" ca="1" si="278"/>
        <v>-0.55195731950601401</v>
      </c>
      <c r="N73" s="121">
        <f t="shared" ca="1" si="278"/>
        <v>0.21935236215074991</v>
      </c>
      <c r="O73" s="121">
        <f t="shared" ca="1" si="278"/>
        <v>-1.6834337589254904</v>
      </c>
      <c r="P73" s="958">
        <f t="shared" ca="1" si="278"/>
        <v>-2.0717668029403074</v>
      </c>
      <c r="Q73" s="121">
        <f t="shared" ca="1" si="278"/>
        <v>-2.8153507224628003</v>
      </c>
      <c r="R73" s="121">
        <f t="shared" ca="1" si="278"/>
        <v>-0.22539504077625414</v>
      </c>
      <c r="S73" s="121">
        <f t="shared" ca="1" si="278"/>
        <v>-0.77439890622830343</v>
      </c>
      <c r="T73" s="121">
        <f t="shared" ca="1" si="278"/>
        <v>-1.5429653425014924</v>
      </c>
      <c r="U73" s="958">
        <f t="shared" ca="1" si="278"/>
        <v>-5.3590162194508606</v>
      </c>
      <c r="V73" s="121">
        <f t="shared" ca="1" si="278"/>
        <v>-2.3665949111524114</v>
      </c>
      <c r="W73" s="121">
        <f t="shared" ca="1" si="278"/>
        <v>-1.0352591753717291</v>
      </c>
      <c r="X73" s="121">
        <f t="shared" ca="1" si="278"/>
        <v>0.66158987586959772</v>
      </c>
      <c r="Y73" s="121">
        <f t="shared" ca="1" si="278"/>
        <v>-7.7246878908639155E-2</v>
      </c>
      <c r="Z73" s="958">
        <f t="shared" ca="1" si="278"/>
        <v>-2.810247176804221</v>
      </c>
      <c r="AA73" s="121">
        <f t="shared" ca="1" si="278"/>
        <v>0.29756361873236842</v>
      </c>
      <c r="AB73" s="121">
        <f t="shared" ca="1" si="278"/>
        <v>0.95720369738417155</v>
      </c>
      <c r="AC73" s="121">
        <f t="shared" ca="1" si="278"/>
        <v>1.1319287781551461</v>
      </c>
      <c r="AD73" s="121">
        <f t="shared" ca="1" si="278"/>
        <v>1.3582380363309001</v>
      </c>
      <c r="AE73" s="958">
        <f t="shared" ca="1" si="278"/>
        <v>3.7472999257496049</v>
      </c>
      <c r="AF73" s="121">
        <f t="shared" ca="1" si="278"/>
        <v>1.0694024413318293</v>
      </c>
      <c r="AG73" s="121">
        <f t="shared" ca="1" si="278"/>
        <v>1.8911393684772237</v>
      </c>
      <c r="AH73" s="121">
        <f t="shared" ca="1" si="278"/>
        <v>3.1244230691002852</v>
      </c>
      <c r="AI73" s="121">
        <f t="shared" ref="AI73:BN73" ca="1" si="279">INDEX(SP_CFA_FCF_PreDiv,0,COLUMN())/INDEX(SP_GF_ShareCount,0,COLUMN())</f>
        <v>2.7060718273274444</v>
      </c>
      <c r="AJ73" s="958">
        <f t="shared" ca="1" si="279"/>
        <v>8.790522159941947</v>
      </c>
      <c r="AK73" s="121">
        <f t="shared" ca="1" si="279"/>
        <v>1.1069326391504817</v>
      </c>
      <c r="AL73" s="121">
        <f t="shared" ca="1" si="279"/>
        <v>2.7320351218117715</v>
      </c>
      <c r="AM73" s="121">
        <f t="shared" ca="1" si="279"/>
        <v>2.3485581289257036</v>
      </c>
      <c r="AN73" s="121">
        <f t="shared" ca="1" si="279"/>
        <v>0.77283921472699335</v>
      </c>
      <c r="AO73" s="958">
        <f t="shared" ca="1" si="279"/>
        <v>6.9641807457657166</v>
      </c>
      <c r="AP73" s="121">
        <f t="shared" ca="1" si="279"/>
        <v>0.85171433640518668</v>
      </c>
      <c r="AQ73" s="121">
        <f t="shared" ca="1" si="279"/>
        <v>-1.0856234214080405</v>
      </c>
      <c r="AR73" s="121">
        <f t="shared" ca="1" si="279"/>
        <v>1.0288459930306071</v>
      </c>
      <c r="AS73" s="121">
        <f t="shared" ca="1" si="279"/>
        <v>8.9494872100837175E-2</v>
      </c>
      <c r="AT73" s="958">
        <f t="shared" ca="1" si="279"/>
        <v>0.8850139596914911</v>
      </c>
      <c r="AU73" s="121">
        <f t="shared" ca="1" si="279"/>
        <v>1.2787797205370457</v>
      </c>
      <c r="AV73" s="121">
        <f t="shared" ca="1" si="279"/>
        <v>2.6832011937825904</v>
      </c>
      <c r="AW73" s="121">
        <f t="shared" ca="1" si="279"/>
        <v>3.4730192936840707</v>
      </c>
      <c r="AX73" s="121">
        <f t="shared" ca="1" si="279"/>
        <v>3.5648843285562215</v>
      </c>
      <c r="AY73" s="958">
        <f t="shared" ca="1" si="279"/>
        <v>11.004153050995299</v>
      </c>
      <c r="AZ73" s="121">
        <f t="shared" ca="1" si="279"/>
        <v>3.1344141705347583</v>
      </c>
      <c r="BA73" s="121">
        <f t="shared" ca="1" si="279"/>
        <v>5.415130174149728</v>
      </c>
      <c r="BB73" s="121">
        <f t="shared" ca="1" si="279"/>
        <v>6.3257666744673458</v>
      </c>
      <c r="BC73" s="121">
        <f t="shared" ca="1" si="279"/>
        <v>4.5126114023266801</v>
      </c>
      <c r="BD73" s="958">
        <f t="shared" ca="1" si="279"/>
        <v>19.393107272827539</v>
      </c>
      <c r="BE73" s="121">
        <f t="shared" ca="1" si="279"/>
        <v>2.1922521484544544</v>
      </c>
      <c r="BF73" s="121">
        <f t="shared" ca="1" si="279"/>
        <v>1.3542997417233091</v>
      </c>
      <c r="BG73" s="121">
        <f t="shared" ca="1" si="279"/>
        <v>2.6636776651693248</v>
      </c>
      <c r="BH73" s="121">
        <f t="shared" ca="1" si="279"/>
        <v>4.3215008182105779</v>
      </c>
      <c r="BI73" s="958">
        <f t="shared" ca="1" si="279"/>
        <v>10.519558774178897</v>
      </c>
      <c r="BJ73" s="121">
        <f t="shared" ca="1" si="279"/>
        <v>1.4812483370432141</v>
      </c>
      <c r="BK73" s="121">
        <f t="shared" ca="1" si="279"/>
        <v>1.2702959642331781</v>
      </c>
      <c r="BL73" s="121">
        <f t="shared" ca="1" si="279"/>
        <v>3.1095222547495061</v>
      </c>
      <c r="BM73" s="121">
        <f t="shared" ca="1" si="279"/>
        <v>2.4513803009622106</v>
      </c>
      <c r="BN73" s="958">
        <f t="shared" ca="1" si="279"/>
        <v>8.2813957047278368</v>
      </c>
      <c r="BO73" s="121">
        <f t="shared" ref="BO73:BS73" ca="1" si="280">INDEX(SP_CFA_FCF_PreDiv,0,COLUMN())/INDEX(SP_GF_ShareCount,0,COLUMN())</f>
        <v>0.72054953606772931</v>
      </c>
      <c r="BP73" s="121">
        <f t="shared" ca="1" si="280"/>
        <v>2.8206961621946687</v>
      </c>
      <c r="BQ73" s="121">
        <f t="shared" ca="1" si="280"/>
        <v>2.5390088050831561</v>
      </c>
      <c r="BR73" s="121">
        <f t="shared" ca="1" si="280"/>
        <v>2.7666721415895172</v>
      </c>
      <c r="BS73" s="958">
        <f t="shared" ca="1" si="280"/>
        <v>8.9414039491560047</v>
      </c>
      <c r="BT73" s="695">
        <f t="shared" ref="BT73:BX73" ca="1" si="281">INDEX(SP_CFA_FCF_PreDiv,0,COLUMN())/INDEX(SP_GF_ShareCount,0,COLUMN())</f>
        <v>-0.77999899289994457</v>
      </c>
      <c r="BU73" s="121">
        <f t="shared" ca="1" si="281"/>
        <v>5.3682220356652</v>
      </c>
      <c r="BV73" s="121">
        <f t="shared" ca="1" si="281"/>
        <v>3.3457893861705044</v>
      </c>
      <c r="BW73" s="121">
        <f t="shared" ca="1" si="281"/>
        <v>3.1914387076212605</v>
      </c>
      <c r="BX73" s="958">
        <f t="shared" ca="1" si="281"/>
        <v>11.112713372989649</v>
      </c>
      <c r="BY73" s="121">
        <f t="shared" ref="BY73:CF73" ca="1" si="282">INDEX(SP_CFA_FCF_PreDiv,0,COLUMN())/INDEX(SP_GF_ShareCount,0,COLUMN())</f>
        <v>3.6271332054681928</v>
      </c>
      <c r="BZ73" s="121">
        <f t="shared" ca="1" si="282"/>
        <v>3.8878204172067448</v>
      </c>
      <c r="CA73" s="121">
        <f t="shared" ca="1" si="282"/>
        <v>3.9734127597103277</v>
      </c>
      <c r="CB73" s="121">
        <f t="shared" ca="1" si="282"/>
        <v>3.926514178592833</v>
      </c>
      <c r="CC73" s="958">
        <f t="shared" ca="1" si="282"/>
        <v>15.414880560978096</v>
      </c>
      <c r="CD73" s="958">
        <f t="shared" ca="1" si="282"/>
        <v>15.083271013404408</v>
      </c>
      <c r="CE73" s="958">
        <f t="shared" ca="1" si="282"/>
        <v>14.435711530806035</v>
      </c>
      <c r="CF73" s="958">
        <f t="shared" ca="1" si="282"/>
        <v>11.478838411015273</v>
      </c>
      <c r="CG73" s="121"/>
    </row>
    <row r="74" spans="1:85" s="459" customFormat="1" x14ac:dyDescent="0.3">
      <c r="A74" s="168" t="s">
        <v>231</v>
      </c>
      <c r="B74" s="169"/>
      <c r="C74" s="958">
        <f t="shared" ref="C74:AH74" si="283">INDEX(MO_CFSum_DPS,0,COLUMN())</f>
        <v>2.66</v>
      </c>
      <c r="D74" s="958">
        <f t="shared" si="283"/>
        <v>2.84</v>
      </c>
      <c r="E74" s="958">
        <f t="shared" si="283"/>
        <v>3.09</v>
      </c>
      <c r="F74" s="958">
        <f t="shared" si="283"/>
        <v>3.51</v>
      </c>
      <c r="G74" s="121">
        <f t="shared" si="283"/>
        <v>0.9</v>
      </c>
      <c r="H74" s="121">
        <f t="shared" si="283"/>
        <v>1</v>
      </c>
      <c r="I74" s="121">
        <f t="shared" si="283"/>
        <v>1</v>
      </c>
      <c r="J74" s="121">
        <f t="shared" si="283"/>
        <v>1</v>
      </c>
      <c r="K74" s="958">
        <f t="shared" si="283"/>
        <v>3.9</v>
      </c>
      <c r="L74" s="121">
        <f t="shared" si="283"/>
        <v>1</v>
      </c>
      <c r="M74" s="121">
        <f t="shared" si="283"/>
        <v>1.07</v>
      </c>
      <c r="N74" s="121">
        <f t="shared" si="283"/>
        <v>1.07</v>
      </c>
      <c r="O74" s="121">
        <f t="shared" si="283"/>
        <v>1.07</v>
      </c>
      <c r="P74" s="958">
        <f t="shared" si="283"/>
        <v>4.21</v>
      </c>
      <c r="Q74" s="121">
        <f t="shared" si="283"/>
        <v>1.07</v>
      </c>
      <c r="R74" s="121">
        <f t="shared" si="283"/>
        <v>1.07</v>
      </c>
      <c r="S74" s="121">
        <f t="shared" si="283"/>
        <v>1.07</v>
      </c>
      <c r="T74" s="121">
        <f t="shared" si="283"/>
        <v>1.07</v>
      </c>
      <c r="U74" s="958">
        <f t="shared" si="283"/>
        <v>4.28</v>
      </c>
      <c r="V74" s="121">
        <f t="shared" si="283"/>
        <v>1.07</v>
      </c>
      <c r="W74" s="121">
        <f t="shared" si="283"/>
        <v>1.07</v>
      </c>
      <c r="X74" s="121">
        <f t="shared" si="283"/>
        <v>1.07</v>
      </c>
      <c r="Y74" s="121">
        <f t="shared" si="283"/>
        <v>1.08</v>
      </c>
      <c r="Z74" s="958">
        <f t="shared" si="283"/>
        <v>4.29</v>
      </c>
      <c r="AA74" s="121">
        <f t="shared" si="283"/>
        <v>1.08</v>
      </c>
      <c r="AB74" s="121">
        <f t="shared" si="283"/>
        <v>1.08</v>
      </c>
      <c r="AC74" s="121">
        <f t="shared" si="283"/>
        <v>1.08</v>
      </c>
      <c r="AD74" s="121">
        <f t="shared" si="283"/>
        <v>1.08</v>
      </c>
      <c r="AE74" s="958">
        <f t="shared" si="283"/>
        <v>4.32</v>
      </c>
      <c r="AF74" s="121">
        <f t="shared" si="283"/>
        <v>1.1200000000000001</v>
      </c>
      <c r="AG74" s="121">
        <f t="shared" si="283"/>
        <v>1.1200000000000001</v>
      </c>
      <c r="AH74" s="121">
        <f t="shared" si="283"/>
        <v>1.1200000000000001</v>
      </c>
      <c r="AI74" s="121">
        <f t="shared" ref="AI74:BI74" si="284">INDEX(MO_CFSum_DPS,0,COLUMN())</f>
        <v>1.1200000000000001</v>
      </c>
      <c r="AJ74" s="958">
        <f t="shared" si="284"/>
        <v>4.4800000000000004</v>
      </c>
      <c r="AK74" s="121">
        <f t="shared" si="284"/>
        <v>1.19</v>
      </c>
      <c r="AL74" s="121">
        <f t="shared" si="284"/>
        <v>1.19</v>
      </c>
      <c r="AM74" s="121">
        <f t="shared" si="284"/>
        <v>1.19</v>
      </c>
      <c r="AN74" s="121">
        <f t="shared" si="284"/>
        <v>1.19</v>
      </c>
      <c r="AO74" s="958">
        <f t="shared" si="284"/>
        <v>4.76</v>
      </c>
      <c r="AP74" s="121">
        <f t="shared" si="284"/>
        <v>1.29</v>
      </c>
      <c r="AQ74" s="121">
        <f t="shared" si="284"/>
        <v>1.29</v>
      </c>
      <c r="AR74" s="121">
        <f t="shared" si="284"/>
        <v>1.29</v>
      </c>
      <c r="AS74" s="121">
        <f t="shared" si="284"/>
        <v>1.29</v>
      </c>
      <c r="AT74" s="958">
        <f t="shared" si="284"/>
        <v>5.16</v>
      </c>
      <c r="AU74" s="121">
        <f t="shared" si="284"/>
        <v>1.29</v>
      </c>
      <c r="AV74" s="121">
        <f t="shared" si="284"/>
        <v>1.34</v>
      </c>
      <c r="AW74" s="121">
        <f t="shared" si="284"/>
        <v>1.34</v>
      </c>
      <c r="AX74" s="121">
        <f t="shared" si="284"/>
        <v>1.34</v>
      </c>
      <c r="AY74" s="958">
        <f t="shared" si="284"/>
        <v>5.31</v>
      </c>
      <c r="AZ74" s="121">
        <f t="shared" si="284"/>
        <v>1.42</v>
      </c>
      <c r="BA74" s="121">
        <f t="shared" si="284"/>
        <v>1.42</v>
      </c>
      <c r="BB74" s="121">
        <f t="shared" si="284"/>
        <v>1.42</v>
      </c>
      <c r="BC74" s="121">
        <f t="shared" si="284"/>
        <v>1.42</v>
      </c>
      <c r="BD74" s="958">
        <f t="shared" si="284"/>
        <v>5.68</v>
      </c>
      <c r="BE74" s="121">
        <f t="shared" si="284"/>
        <v>1.51</v>
      </c>
      <c r="BF74" s="121">
        <f t="shared" si="284"/>
        <v>1.51</v>
      </c>
      <c r="BG74" s="121">
        <f t="shared" si="284"/>
        <v>1.51</v>
      </c>
      <c r="BH74" s="121">
        <f t="shared" si="284"/>
        <v>1.51</v>
      </c>
      <c r="BI74" s="958">
        <f t="shared" si="284"/>
        <v>6.04</v>
      </c>
      <c r="BJ74" s="121">
        <f t="shared" ref="BJ74:BN74" si="285">INDEX(MO_CFSum_DPS,0,COLUMN())</f>
        <v>1.63</v>
      </c>
      <c r="BK74" s="121">
        <f t="shared" si="285"/>
        <v>1.63</v>
      </c>
      <c r="BL74" s="121">
        <f t="shared" si="285"/>
        <v>1.63</v>
      </c>
      <c r="BM74" s="121">
        <f t="shared" si="285"/>
        <v>1.63</v>
      </c>
      <c r="BN74" s="958">
        <f t="shared" si="285"/>
        <v>6.52</v>
      </c>
      <c r="BO74" s="121">
        <f t="shared" ref="BO74:BS74" si="286">INDEX(MO_CFSum_DPS,0,COLUMN())</f>
        <v>1.71</v>
      </c>
      <c r="BP74" s="121">
        <f t="shared" si="286"/>
        <v>1.71</v>
      </c>
      <c r="BQ74" s="121">
        <f t="shared" si="286"/>
        <v>1.71</v>
      </c>
      <c r="BR74" s="121">
        <f t="shared" si="286"/>
        <v>1.71</v>
      </c>
      <c r="BS74" s="958">
        <f t="shared" si="286"/>
        <v>6.84</v>
      </c>
      <c r="BT74" s="695">
        <f t="shared" ref="BT74:BX74" si="287">INDEX(MO_CFSum_DPS,0,COLUMN())</f>
        <v>1.78</v>
      </c>
      <c r="BU74" s="121">
        <f t="shared" si="287"/>
        <v>1.78</v>
      </c>
      <c r="BV74" s="121">
        <f t="shared" si="287"/>
        <v>1.78</v>
      </c>
      <c r="BW74" s="121">
        <f t="shared" si="287"/>
        <v>1.78</v>
      </c>
      <c r="BX74" s="958">
        <f t="shared" si="287"/>
        <v>7.12</v>
      </c>
      <c r="BY74" s="121">
        <f t="shared" ref="BY74:CF74" si="288">INDEX(MO_CFSum_DPS,0,COLUMN())</f>
        <v>1.78</v>
      </c>
      <c r="BZ74" s="121">
        <f t="shared" si="288"/>
        <v>1.78</v>
      </c>
      <c r="CA74" s="121">
        <f t="shared" si="288"/>
        <v>1.78</v>
      </c>
      <c r="CB74" s="121">
        <f t="shared" si="288"/>
        <v>1.78</v>
      </c>
      <c r="CC74" s="958">
        <f t="shared" si="288"/>
        <v>7.12</v>
      </c>
      <c r="CD74" s="958">
        <f t="shared" si="288"/>
        <v>7.12</v>
      </c>
      <c r="CE74" s="958">
        <f t="shared" si="288"/>
        <v>7.12</v>
      </c>
      <c r="CF74" s="958">
        <f t="shared" si="288"/>
        <v>7.12</v>
      </c>
      <c r="CG74" s="121"/>
    </row>
    <row r="75" spans="1:85" s="464" customFormat="1" x14ac:dyDescent="0.3">
      <c r="A75" s="177" t="s">
        <v>428</v>
      </c>
      <c r="B75" s="178"/>
      <c r="C75" s="964">
        <f t="shared" ref="C75:AH75" ca="1" si="289">C74/C73</f>
        <v>-11.324808510638299</v>
      </c>
      <c r="D75" s="964">
        <f t="shared" ca="1" si="289"/>
        <v>0.48531565661727127</v>
      </c>
      <c r="E75" s="964">
        <f t="shared" ca="1" si="289"/>
        <v>0.42359887975334021</v>
      </c>
      <c r="F75" s="964">
        <f t="shared" ca="1" si="289"/>
        <v>0.87583058801117597</v>
      </c>
      <c r="G75" s="125">
        <f t="shared" ca="1" si="289"/>
        <v>-0.70602820823244561</v>
      </c>
      <c r="H75" s="125">
        <f t="shared" ca="1" si="289"/>
        <v>-36.54307547169811</v>
      </c>
      <c r="I75" s="125">
        <f t="shared" ca="1" si="289"/>
        <v>2.7219055007052182</v>
      </c>
      <c r="J75" s="125">
        <f t="shared" ca="1" si="289"/>
        <v>-1.6531645133505601</v>
      </c>
      <c r="K75" s="964">
        <f t="shared" ca="1" si="289"/>
        <v>-2.5264273214884341</v>
      </c>
      <c r="L75" s="125">
        <f t="shared" ca="1" si="289"/>
        <v>-15.034834645669291</v>
      </c>
      <c r="M75" s="125">
        <f t="shared" ca="1" si="289"/>
        <v>-1.9385556857142856</v>
      </c>
      <c r="N75" s="125">
        <f t="shared" ca="1" si="289"/>
        <v>4.8779962500000007</v>
      </c>
      <c r="O75" s="125">
        <f t="shared" ca="1" si="289"/>
        <v>-0.63560564490696947</v>
      </c>
      <c r="P75" s="964">
        <f t="shared" ca="1" si="289"/>
        <v>-2.0320819862665309</v>
      </c>
      <c r="Q75" s="125">
        <f t="shared" ca="1" si="289"/>
        <v>-0.38005922014007198</v>
      </c>
      <c r="R75" s="125">
        <f t="shared" ca="1" si="289"/>
        <v>-4.7472206855791965</v>
      </c>
      <c r="S75" s="125">
        <f t="shared" ca="1" si="289"/>
        <v>-1.3817168275862071</v>
      </c>
      <c r="T75" s="125">
        <f t="shared" ca="1" si="289"/>
        <v>-0.69346988589211633</v>
      </c>
      <c r="U75" s="964">
        <f t="shared" ca="1" si="289"/>
        <v>-0.79865404856687905</v>
      </c>
      <c r="V75" s="125">
        <f t="shared" ca="1" si="289"/>
        <v>-0.45212638418079099</v>
      </c>
      <c r="W75" s="125">
        <f t="shared" ca="1" si="289"/>
        <v>-1.0335576109391125</v>
      </c>
      <c r="X75" s="125">
        <f t="shared" ca="1" si="289"/>
        <v>1.6173161637239168</v>
      </c>
      <c r="Y75" s="125">
        <f t="shared" ca="1" si="289"/>
        <v>-13.981147397260276</v>
      </c>
      <c r="Z75" s="964">
        <f t="shared" ca="1" si="289"/>
        <v>-1.5265561105833174</v>
      </c>
      <c r="AA75" s="125">
        <f t="shared" ca="1" si="289"/>
        <v>3.6294759574468087</v>
      </c>
      <c r="AB75" s="125">
        <f t="shared" ca="1" si="289"/>
        <v>1.1282864900662251</v>
      </c>
      <c r="AC75" s="125">
        <f t="shared" ca="1" si="289"/>
        <v>0.95412363466915184</v>
      </c>
      <c r="AD75" s="125">
        <f t="shared" ca="1" si="289"/>
        <v>0.7951478099652376</v>
      </c>
      <c r="AE75" s="964">
        <f t="shared" ca="1" si="289"/>
        <v>1.1528300604696948</v>
      </c>
      <c r="AF75" s="125">
        <f t="shared" ca="1" si="289"/>
        <v>1.0473138611925712</v>
      </c>
      <c r="AG75" s="125">
        <f t="shared" ca="1" si="289"/>
        <v>0.59223556902728025</v>
      </c>
      <c r="AH75" s="125">
        <f t="shared" ca="1" si="289"/>
        <v>0.3584661792689034</v>
      </c>
      <c r="AI75" s="125">
        <f t="shared" ref="AI75:BI75" ca="1" si="290">AI74/AI73</f>
        <v>0.41388406201550393</v>
      </c>
      <c r="AJ75" s="964">
        <f t="shared" ca="1" si="290"/>
        <v>0.50963980506359208</v>
      </c>
      <c r="AK75" s="125">
        <f t="shared" ca="1" si="290"/>
        <v>1.0750428326996198</v>
      </c>
      <c r="AL75" s="125">
        <f t="shared" ca="1" si="290"/>
        <v>0.43557273129447971</v>
      </c>
      <c r="AM75" s="125">
        <f t="shared" ca="1" si="290"/>
        <v>0.50669386690647478</v>
      </c>
      <c r="AN75" s="125">
        <f t="shared" ca="1" si="290"/>
        <v>1.5397769384934346</v>
      </c>
      <c r="AO75" s="964">
        <f t="shared" ca="1" si="290"/>
        <v>0.68349748143658129</v>
      </c>
      <c r="AP75" s="125">
        <f t="shared" ca="1" si="290"/>
        <v>1.5145923285084959</v>
      </c>
      <c r="AQ75" s="125">
        <f t="shared" ca="1" si="290"/>
        <v>-1.1882573409542745</v>
      </c>
      <c r="AR75" s="125">
        <f t="shared" ca="1" si="290"/>
        <v>1.253831971683272</v>
      </c>
      <c r="AS75" s="125">
        <f t="shared" ca="1" si="290"/>
        <v>14.414233684210526</v>
      </c>
      <c r="AT75" s="964">
        <f t="shared" ca="1" si="290"/>
        <v>5.8304165075528704</v>
      </c>
      <c r="AU75" s="125">
        <f t="shared" ca="1" si="290"/>
        <v>1.0087742081632654</v>
      </c>
      <c r="AV75" s="125">
        <f t="shared" ca="1" si="290"/>
        <v>0.49940347488850112</v>
      </c>
      <c r="AW75" s="125">
        <f t="shared" ca="1" si="290"/>
        <v>0.38583142985611513</v>
      </c>
      <c r="AX75" s="125">
        <f t="shared" ca="1" si="290"/>
        <v>0.37588877408056048</v>
      </c>
      <c r="AY75" s="964">
        <f t="shared" ca="1" si="290"/>
        <v>0.4825450877857177</v>
      </c>
      <c r="AZ75" s="125">
        <f t="shared" ca="1" si="290"/>
        <v>0.45303521575061523</v>
      </c>
      <c r="BA75" s="125">
        <f t="shared" ca="1" si="290"/>
        <v>0.26222822985468958</v>
      </c>
      <c r="BB75" s="125">
        <f t="shared" ca="1" si="290"/>
        <v>0.22447871903520208</v>
      </c>
      <c r="BC75" s="125">
        <f t="shared" ca="1" si="290"/>
        <v>0.31467367193812767</v>
      </c>
      <c r="BD75" s="964">
        <f t="shared" ca="1" si="290"/>
        <v>0.29288756670564475</v>
      </c>
      <c r="BE75" s="125">
        <f t="shared" ca="1" si="290"/>
        <v>0.68878938084953201</v>
      </c>
      <c r="BF75" s="125">
        <f t="shared" ca="1" si="290"/>
        <v>1.1149673543307086</v>
      </c>
      <c r="BG75" s="125">
        <f t="shared" ca="1" si="290"/>
        <v>0.56688540799999998</v>
      </c>
      <c r="BH75" s="125">
        <f t="shared" ca="1" si="290"/>
        <v>0.34941564598042862</v>
      </c>
      <c r="BI75" s="964">
        <f t="shared" ca="1" si="290"/>
        <v>0.57416856825075835</v>
      </c>
      <c r="BJ75" s="125">
        <f t="shared" ref="BJ75:BN75" ca="1" si="291">BJ74/BJ73</f>
        <v>1.1004231763417305</v>
      </c>
      <c r="BK75" s="125">
        <f t="shared" ca="1" si="291"/>
        <v>1.2831655345641906</v>
      </c>
      <c r="BL75" s="125">
        <f t="shared" ca="1" si="291"/>
        <v>0.52419628047695321</v>
      </c>
      <c r="BM75" s="125">
        <f t="shared" ca="1" si="291"/>
        <v>0.66493150791829225</v>
      </c>
      <c r="BN75" s="964">
        <f t="shared" ca="1" si="291"/>
        <v>0.78730690241956935</v>
      </c>
      <c r="BO75" s="125">
        <f t="shared" ref="BO75:BS75" ca="1" si="292">BO74/BO73</f>
        <v>2.373188676703645</v>
      </c>
      <c r="BP75" s="125">
        <f t="shared" ca="1" si="292"/>
        <v>0.60623332031249999</v>
      </c>
      <c r="BQ75" s="125">
        <f t="shared" ca="1" si="292"/>
        <v>0.67349116575591994</v>
      </c>
      <c r="BR75" s="125">
        <f t="shared" ca="1" si="292"/>
        <v>0.61807106606334838</v>
      </c>
      <c r="BS75" s="964">
        <f t="shared" ca="1" si="292"/>
        <v>0.76498053760848594</v>
      </c>
      <c r="BT75" s="700">
        <f t="shared" ref="BT75:BX75" ca="1" si="293">BT74/BT73</f>
        <v>-2.2820542285345384</v>
      </c>
      <c r="BU75" s="125">
        <f t="shared" ca="1" si="293"/>
        <v>0.33158091974849407</v>
      </c>
      <c r="BV75" s="125">
        <f t="shared" ca="1" si="293"/>
        <v>0.53201196924034044</v>
      </c>
      <c r="BW75" s="125">
        <f t="shared" ca="1" si="293"/>
        <v>0.55774218560090205</v>
      </c>
      <c r="BX75" s="964">
        <f t="shared" ca="1" si="293"/>
        <v>0.6407076076762438</v>
      </c>
      <c r="BY75" s="125">
        <f t="shared" ref="BY75:CF75" ca="1" si="294">BY74/BY73</f>
        <v>0.49074569340781526</v>
      </c>
      <c r="BZ75" s="125">
        <f t="shared" ca="1" si="294"/>
        <v>0.45784007721191616</v>
      </c>
      <c r="CA75" s="125">
        <f t="shared" ca="1" si="294"/>
        <v>0.44797762217126585</v>
      </c>
      <c r="CB75" s="125">
        <f t="shared" ca="1" si="294"/>
        <v>0.45332830063481616</v>
      </c>
      <c r="CC75" s="964">
        <f t="shared" ca="1" si="294"/>
        <v>0.46189135049309948</v>
      </c>
      <c r="CD75" s="964">
        <f t="shared" ca="1" si="294"/>
        <v>0.47204614925187655</v>
      </c>
      <c r="CE75" s="964">
        <f t="shared" ca="1" si="294"/>
        <v>0.4932212717610634</v>
      </c>
      <c r="CF75" s="964">
        <f t="shared" ca="1" si="294"/>
        <v>0.62027182063714192</v>
      </c>
      <c r="CG75" s="198"/>
    </row>
    <row r="76" spans="1:85" s="464" customFormat="1" x14ac:dyDescent="0.3">
      <c r="A76" s="177" t="s">
        <v>429</v>
      </c>
      <c r="B76" s="178"/>
      <c r="C76" s="964">
        <f t="shared" ref="C76:AH76" si="295">C74/C47</f>
        <v>0.50774205857101984</v>
      </c>
      <c r="D76" s="964">
        <f t="shared" si="295"/>
        <v>0.29954670100925146</v>
      </c>
      <c r="E76" s="964">
        <f t="shared" si="295"/>
        <v>0.22987267707752371</v>
      </c>
      <c r="F76" s="964">
        <f t="shared" si="295"/>
        <v>0.26342832231941632</v>
      </c>
      <c r="G76" s="125">
        <f t="shared" si="295"/>
        <v>0.2831883943023632</v>
      </c>
      <c r="H76" s="125">
        <f t="shared" si="295"/>
        <v>0.36100335507921716</v>
      </c>
      <c r="I76" s="125">
        <f t="shared" si="295"/>
        <v>0.38986484848484848</v>
      </c>
      <c r="J76" s="125">
        <f t="shared" si="295"/>
        <v>0.38931521298174443</v>
      </c>
      <c r="K76" s="964">
        <f t="shared" si="295"/>
        <v>0.35178699061756058</v>
      </c>
      <c r="L76" s="125">
        <f t="shared" si="295"/>
        <v>0.42318794326241133</v>
      </c>
      <c r="M76" s="125">
        <f t="shared" si="295"/>
        <v>0.35930864430714915</v>
      </c>
      <c r="N76" s="125">
        <f t="shared" si="295"/>
        <v>0.36281895941355269</v>
      </c>
      <c r="O76" s="125">
        <f t="shared" si="295"/>
        <v>0.58066997983290125</v>
      </c>
      <c r="P76" s="964">
        <f t="shared" si="295"/>
        <v>0.41526668936125977</v>
      </c>
      <c r="Q76" s="125">
        <f t="shared" si="295"/>
        <v>0.78217875340864829</v>
      </c>
      <c r="R76" s="125">
        <f t="shared" si="295"/>
        <v>3.5167676882661998</v>
      </c>
      <c r="S76" s="125">
        <f t="shared" si="295"/>
        <v>0.98354904270986754</v>
      </c>
      <c r="T76" s="125">
        <f t="shared" si="295"/>
        <v>-3.4107396428571435</v>
      </c>
      <c r="U76" s="964">
        <f t="shared" si="295"/>
        <v>1.7494824242424243</v>
      </c>
      <c r="V76" s="125">
        <f t="shared" si="295"/>
        <v>-2.7595300000000003</v>
      </c>
      <c r="W76" s="125">
        <f t="shared" si="295"/>
        <v>-1.3626086054421769</v>
      </c>
      <c r="X76" s="125">
        <f t="shared" si="295"/>
        <v>1.570674933749026</v>
      </c>
      <c r="Y76" s="125">
        <f t="shared" si="295"/>
        <v>4.9186687228915673</v>
      </c>
      <c r="Z76" s="964">
        <f t="shared" si="295"/>
        <v>-16.165522756539236</v>
      </c>
      <c r="AA76" s="125">
        <f t="shared" si="295"/>
        <v>0.76324550335570474</v>
      </c>
      <c r="AB76" s="125">
        <f t="shared" si="295"/>
        <v>1.409969048275862</v>
      </c>
      <c r="AC76" s="125">
        <f t="shared" si="295"/>
        <v>1.0489494467213114</v>
      </c>
      <c r="AD76" s="125">
        <f t="shared" si="295"/>
        <v>0.6617286017357763</v>
      </c>
      <c r="AE76" s="964">
        <f t="shared" si="295"/>
        <v>0.89154698858075054</v>
      </c>
      <c r="AF76" s="125">
        <f t="shared" si="295"/>
        <v>0.58900609125893355</v>
      </c>
      <c r="AG76" s="125">
        <f t="shared" si="295"/>
        <v>0.63045552361396318</v>
      </c>
      <c r="AH76" s="125">
        <f t="shared" si="295"/>
        <v>0.53065749444032617</v>
      </c>
      <c r="AI76" s="125">
        <f t="shared" ref="AI76:BI76" si="296">AI74/AI47</f>
        <v>0.57255811260053635</v>
      </c>
      <c r="AJ76" s="964">
        <f t="shared" si="296"/>
        <v>0.57846730706961691</v>
      </c>
      <c r="AK76" s="125">
        <f t="shared" si="296"/>
        <v>0.81187728643216073</v>
      </c>
      <c r="AL76" s="125">
        <f t="shared" si="296"/>
        <v>0.67197110682492578</v>
      </c>
      <c r="AM76" s="125">
        <f t="shared" si="296"/>
        <v>0.76763430517711173</v>
      </c>
      <c r="AN76" s="125">
        <f t="shared" si="296"/>
        <v>0.79687311516452075</v>
      </c>
      <c r="AO76" s="964">
        <f t="shared" si="296"/>
        <v>0.7588155921938089</v>
      </c>
      <c r="AP76" s="125">
        <f t="shared" si="296"/>
        <v>1.0007015426195427</v>
      </c>
      <c r="AQ76" s="125">
        <f t="shared" si="296"/>
        <v>-0.80687606142423218</v>
      </c>
      <c r="AR76" s="125">
        <f t="shared" si="296"/>
        <v>11.89580880597015</v>
      </c>
      <c r="AS76" s="125">
        <f t="shared" si="296"/>
        <v>-224.07581454545453</v>
      </c>
      <c r="AT76" s="964">
        <f t="shared" si="296"/>
        <v>-26.221030760869567</v>
      </c>
      <c r="AU76" s="125">
        <f t="shared" si="296"/>
        <v>1.4286108728323699</v>
      </c>
      <c r="AV76" s="125">
        <f t="shared" si="296"/>
        <v>0.7866291142333538</v>
      </c>
      <c r="AW76" s="125">
        <f t="shared" si="296"/>
        <v>0.45265822050290139</v>
      </c>
      <c r="AX76" s="125">
        <f t="shared" si="296"/>
        <v>0.52381327638804154</v>
      </c>
      <c r="AY76" s="964">
        <f t="shared" si="296"/>
        <v>0.65329704318298309</v>
      </c>
      <c r="AZ76" s="125">
        <f t="shared" si="296"/>
        <v>0.42201583982882468</v>
      </c>
      <c r="BA76" s="125">
        <f t="shared" si="296"/>
        <v>0.24453099692036953</v>
      </c>
      <c r="BB76" s="125">
        <f t="shared" si="296"/>
        <v>0.25545278560830859</v>
      </c>
      <c r="BC76" s="125">
        <f t="shared" si="296"/>
        <v>0.34726344203821652</v>
      </c>
      <c r="BD76" s="964">
        <f t="shared" si="296"/>
        <v>0.30159195884188056</v>
      </c>
      <c r="BE76" s="125">
        <f t="shared" si="296"/>
        <v>0.42559094750889681</v>
      </c>
      <c r="BF76" s="125">
        <f t="shared" si="296"/>
        <v>0.49039256796536801</v>
      </c>
      <c r="BG76" s="125">
        <f t="shared" si="296"/>
        <v>0.49544258696032162</v>
      </c>
      <c r="BH76" s="125">
        <f t="shared" si="296"/>
        <v>0.43713505501317218</v>
      </c>
      <c r="BI76" s="964">
        <f t="shared" si="296"/>
        <v>0.45993011298748637</v>
      </c>
      <c r="BJ76" s="125">
        <f t="shared" ref="BJ76:BN76" si="297">BJ74/BJ47</f>
        <v>0.55651016986706048</v>
      </c>
      <c r="BK76" s="125">
        <f t="shared" si="297"/>
        <v>0.638976380158221</v>
      </c>
      <c r="BL76" s="125">
        <f t="shared" si="297"/>
        <v>0.65006817479585077</v>
      </c>
      <c r="BM76" s="125">
        <f t="shared" si="297"/>
        <v>0.79766150330396468</v>
      </c>
      <c r="BN76" s="964">
        <f t="shared" si="297"/>
        <v>0.64878642857142865</v>
      </c>
      <c r="BO76" s="125">
        <f t="shared" ref="BO76:BS76" si="298">BO74/BO47</f>
        <v>0.78546134539732493</v>
      </c>
      <c r="BP76" s="125">
        <f t="shared" si="298"/>
        <v>0.96584306256141494</v>
      </c>
      <c r="BQ76" s="125">
        <f t="shared" si="298"/>
        <v>0.91748548387096773</v>
      </c>
      <c r="BR76" s="125">
        <f t="shared" si="298"/>
        <v>1.1277551651254953</v>
      </c>
      <c r="BS76" s="964">
        <f t="shared" si="298"/>
        <v>0.93872916796094952</v>
      </c>
      <c r="BT76" s="700">
        <f t="shared" ref="BT76:BX76" si="299">BT74/BT47</f>
        <v>1.2656290726817043</v>
      </c>
      <c r="BU76" s="125">
        <f t="shared" ca="1" si="299"/>
        <v>0.35799447367540538</v>
      </c>
      <c r="BV76" s="125">
        <f t="shared" ca="1" si="299"/>
        <v>0.47885042474204048</v>
      </c>
      <c r="BW76" s="125">
        <f t="shared" ca="1" si="299"/>
        <v>0.53600825087772208</v>
      </c>
      <c r="BX76" s="964">
        <f t="shared" ca="1" si="299"/>
        <v>0.53140902886106878</v>
      </c>
      <c r="BY76" s="125">
        <f t="shared" ref="BY76:CF76" ca="1" si="300">BY74/BY47</f>
        <v>0.58901228446211384</v>
      </c>
      <c r="BZ76" s="125">
        <f t="shared" ca="1" si="300"/>
        <v>0.58737463827916481</v>
      </c>
      <c r="CA76" s="125">
        <f t="shared" ca="1" si="300"/>
        <v>0.57172359089700442</v>
      </c>
      <c r="CB76" s="125">
        <f t="shared" ca="1" si="300"/>
        <v>0.58019443256040348</v>
      </c>
      <c r="CC76" s="964">
        <f t="shared" ca="1" si="300"/>
        <v>0.58199548824595071</v>
      </c>
      <c r="CD76" s="964">
        <f t="shared" ca="1" si="300"/>
        <v>0.61020942950008761</v>
      </c>
      <c r="CE76" s="964">
        <f t="shared" ca="1" si="300"/>
        <v>0.60710537367691952</v>
      </c>
      <c r="CF76" s="964">
        <f t="shared" ca="1" si="300"/>
        <v>0.87099082335416811</v>
      </c>
      <c r="CG76" s="198"/>
    </row>
    <row r="77" spans="1:85" s="459" customFormat="1" x14ac:dyDescent="0.3">
      <c r="A77" s="168"/>
      <c r="B77" s="169"/>
      <c r="C77" s="958"/>
      <c r="D77" s="958"/>
      <c r="E77" s="958"/>
      <c r="F77" s="958"/>
      <c r="G77" s="121"/>
      <c r="H77" s="121"/>
      <c r="I77" s="121"/>
      <c r="J77" s="121"/>
      <c r="K77" s="958"/>
      <c r="L77" s="121"/>
      <c r="M77" s="121"/>
      <c r="N77" s="121"/>
      <c r="O77" s="121"/>
      <c r="P77" s="958"/>
      <c r="Q77" s="121"/>
      <c r="R77" s="121"/>
      <c r="S77" s="121"/>
      <c r="T77" s="121"/>
      <c r="U77" s="958"/>
      <c r="V77" s="121"/>
      <c r="W77" s="121"/>
      <c r="X77" s="121"/>
      <c r="Y77" s="121"/>
      <c r="Z77" s="958"/>
      <c r="AA77" s="121"/>
      <c r="AB77" s="121"/>
      <c r="AC77" s="121"/>
      <c r="AD77" s="121"/>
      <c r="AE77" s="958"/>
      <c r="AF77" s="121"/>
      <c r="AG77" s="121"/>
      <c r="AH77" s="121"/>
      <c r="AI77" s="121"/>
      <c r="AJ77" s="958"/>
      <c r="AK77" s="121"/>
      <c r="AL77" s="121"/>
      <c r="AM77" s="121"/>
      <c r="AN77" s="121"/>
      <c r="AO77" s="958"/>
      <c r="AP77" s="121"/>
      <c r="AQ77" s="121"/>
      <c r="AR77" s="121"/>
      <c r="AS77" s="121"/>
      <c r="AT77" s="958"/>
      <c r="AU77" s="121"/>
      <c r="AV77" s="121"/>
      <c r="AW77" s="121"/>
      <c r="AX77" s="121"/>
      <c r="AY77" s="958"/>
      <c r="AZ77" s="121"/>
      <c r="BA77" s="121"/>
      <c r="BB77" s="121"/>
      <c r="BC77" s="121"/>
      <c r="BD77" s="958"/>
      <c r="BE77" s="121"/>
      <c r="BF77" s="121"/>
      <c r="BG77" s="121"/>
      <c r="BH77" s="121"/>
      <c r="BI77" s="958"/>
      <c r="BJ77" s="121"/>
      <c r="BK77" s="121"/>
      <c r="BL77" s="121"/>
      <c r="BM77" s="121"/>
      <c r="BN77" s="958"/>
      <c r="BO77" s="121"/>
      <c r="BP77" s="121"/>
      <c r="BQ77" s="121"/>
      <c r="BR77" s="121"/>
      <c r="BS77" s="958"/>
      <c r="BT77" s="695"/>
      <c r="BU77" s="121"/>
      <c r="BV77" s="121"/>
      <c r="BW77" s="121"/>
      <c r="BX77" s="958"/>
      <c r="BY77" s="121"/>
      <c r="BZ77" s="121"/>
      <c r="CA77" s="121"/>
      <c r="CB77" s="121"/>
      <c r="CC77" s="958"/>
      <c r="CD77" s="958"/>
      <c r="CE77" s="958"/>
      <c r="CF77" s="958"/>
      <c r="CG77" s="121"/>
    </row>
    <row r="78" spans="1:85" x14ac:dyDescent="0.3">
      <c r="A78" s="732" t="s">
        <v>430</v>
      </c>
      <c r="B78" s="729"/>
      <c r="C78" s="729"/>
      <c r="D78" s="729"/>
      <c r="E78" s="729"/>
      <c r="F78" s="729"/>
      <c r="G78" s="729"/>
      <c r="H78" s="729"/>
      <c r="I78" s="729"/>
      <c r="J78" s="729"/>
      <c r="K78" s="729"/>
      <c r="L78" s="729"/>
      <c r="M78" s="729"/>
      <c r="N78" s="729"/>
      <c r="O78" s="729"/>
      <c r="P78" s="729"/>
      <c r="Q78" s="729"/>
      <c r="R78" s="729"/>
      <c r="S78" s="729"/>
      <c r="T78" s="729"/>
      <c r="U78" s="729"/>
      <c r="V78" s="729"/>
      <c r="W78" s="729"/>
      <c r="X78" s="729"/>
      <c r="Y78" s="729"/>
      <c r="Z78" s="729"/>
      <c r="AA78" s="729"/>
      <c r="AB78" s="729"/>
      <c r="AC78" s="729"/>
      <c r="AD78" s="729"/>
      <c r="AE78" s="729"/>
      <c r="AF78" s="729"/>
      <c r="AG78" s="729"/>
      <c r="AH78" s="729"/>
      <c r="AI78" s="729"/>
      <c r="AJ78" s="729"/>
      <c r="AK78" s="729"/>
      <c r="AL78" s="729"/>
      <c r="AM78" s="729"/>
      <c r="AN78" s="729"/>
      <c r="AO78" s="729"/>
      <c r="AP78" s="729"/>
      <c r="AQ78" s="729"/>
      <c r="AR78" s="729"/>
      <c r="AS78" s="729"/>
      <c r="AT78" s="729"/>
      <c r="AU78" s="729"/>
      <c r="AV78" s="729"/>
      <c r="AW78" s="729"/>
      <c r="AX78" s="729"/>
      <c r="AY78" s="729"/>
      <c r="AZ78" s="729"/>
      <c r="BA78" s="729"/>
      <c r="BB78" s="729"/>
      <c r="BC78" s="729"/>
      <c r="BD78" s="729"/>
      <c r="BE78" s="729"/>
      <c r="BF78" s="729"/>
      <c r="BG78" s="729"/>
      <c r="BH78" s="729"/>
      <c r="BI78" s="729"/>
      <c r="BJ78" s="729"/>
      <c r="BK78" s="729"/>
      <c r="BL78" s="729"/>
      <c r="BM78" s="729"/>
      <c r="BN78" s="729"/>
      <c r="BO78" s="729"/>
      <c r="BP78" s="729"/>
      <c r="BQ78" s="729"/>
      <c r="BR78" s="729"/>
      <c r="BS78" s="729"/>
      <c r="BT78" s="761"/>
      <c r="BU78" s="729"/>
      <c r="BV78" s="729"/>
      <c r="BW78" s="729"/>
      <c r="BX78" s="729"/>
      <c r="BY78" s="729"/>
      <c r="BZ78" s="729"/>
      <c r="CA78" s="729"/>
      <c r="CB78" s="729"/>
      <c r="CC78" s="729"/>
      <c r="CD78" s="729"/>
      <c r="CE78" s="729"/>
      <c r="CF78" s="729"/>
      <c r="CG78" s="137"/>
    </row>
    <row r="79" spans="1:85" s="465" customFormat="1" x14ac:dyDescent="0.3">
      <c r="A79" s="179" t="s">
        <v>431</v>
      </c>
      <c r="B79" s="180"/>
      <c r="C79" s="965">
        <f>INDEX(MO_BSS_Debt_Net,0,COLUMN())/INDEX(SP_BSR_EBITDA_LTM,0,COLUMN())</f>
        <v>-2.7336915771057235E-2</v>
      </c>
      <c r="D79" s="965">
        <f>INDEX(MO_BSS_Debt_Net,0,COLUMN())/INDEX(SP_BSR_EBITDA_LTM,0,COLUMN())</f>
        <v>-0.18438950663931772</v>
      </c>
      <c r="E79" s="965">
        <f>INDEX(MO_BSS_Debt_Net,0,COLUMN())/INDEX(SP_BSR_EBITDA_LTM,0,COLUMN())</f>
        <v>-0.15903239908680236</v>
      </c>
      <c r="F79" s="965">
        <f>INDEX(MO_BSS_Debt_Net,0,COLUMN())/INDEX(SP_BSR_EBITDA_LTM,0,COLUMN())</f>
        <v>-0.15361215492980659</v>
      </c>
      <c r="G79" s="239"/>
      <c r="H79" s="239"/>
      <c r="I79" s="239"/>
      <c r="J79" s="239">
        <f t="shared" ref="J79:AO79" si="301">INDEX(MO_BSS_Debt_Net,0,COLUMN())/INDEX(SP_BSR_EBITDA_LTM,0,COLUMN())</f>
        <v>5.437711733908223E-2</v>
      </c>
      <c r="K79" s="965">
        <f t="shared" si="301"/>
        <v>5.437711733908223E-2</v>
      </c>
      <c r="L79" s="239">
        <f t="shared" si="301"/>
        <v>0.11800293569246638</v>
      </c>
      <c r="M79" s="239">
        <f t="shared" si="301"/>
        <v>0.14440335353457123</v>
      </c>
      <c r="N79" s="239">
        <f t="shared" si="301"/>
        <v>0.19410105848721315</v>
      </c>
      <c r="O79" s="239">
        <f t="shared" si="301"/>
        <v>0.27454981992797117</v>
      </c>
      <c r="P79" s="965">
        <f t="shared" si="301"/>
        <v>0.27454981992797117</v>
      </c>
      <c r="Q79" s="239">
        <f t="shared" si="301"/>
        <v>0.40074865132665421</v>
      </c>
      <c r="R79" s="239">
        <f t="shared" si="301"/>
        <v>0.4077531031807603</v>
      </c>
      <c r="S79" s="239">
        <f t="shared" si="301"/>
        <v>0.55367120040634343</v>
      </c>
      <c r="T79" s="239">
        <f t="shared" si="301"/>
        <v>0.84393716417399633</v>
      </c>
      <c r="U79" s="965">
        <f t="shared" si="301"/>
        <v>0.84393716417399633</v>
      </c>
      <c r="V79" s="239">
        <f t="shared" si="301"/>
        <v>1.2373528084355638</v>
      </c>
      <c r="W79" s="126">
        <f t="shared" si="301"/>
        <v>1.6068972441142513</v>
      </c>
      <c r="X79" s="126">
        <f t="shared" si="301"/>
        <v>1.9541264145735577</v>
      </c>
      <c r="Y79" s="126">
        <f t="shared" si="301"/>
        <v>2.0210458151206088</v>
      </c>
      <c r="Z79" s="965">
        <f t="shared" si="301"/>
        <v>2.0210458151206088</v>
      </c>
      <c r="AA79" s="126">
        <f t="shared" si="301"/>
        <v>1.5581415582720668</v>
      </c>
      <c r="AB79" s="126">
        <f t="shared" si="301"/>
        <v>1.3897959183673469</v>
      </c>
      <c r="AC79" s="126">
        <f t="shared" si="301"/>
        <v>1.1766809728183119</v>
      </c>
      <c r="AD79" s="126">
        <f t="shared" si="301"/>
        <v>1.1011062170068255</v>
      </c>
      <c r="AE79" s="965">
        <f t="shared" si="301"/>
        <v>1.1011062170068255</v>
      </c>
      <c r="AF79" s="126">
        <f t="shared" si="301"/>
        <v>0.94188452134662404</v>
      </c>
      <c r="AG79" s="126">
        <f t="shared" si="301"/>
        <v>0.80336816297939406</v>
      </c>
      <c r="AH79" s="126">
        <f t="shared" si="301"/>
        <v>0.61902012753562341</v>
      </c>
      <c r="AI79" s="126">
        <f t="shared" si="301"/>
        <v>0.52161994660564459</v>
      </c>
      <c r="AJ79" s="965">
        <f t="shared" si="301"/>
        <v>0.52161994660564459</v>
      </c>
      <c r="AK79" s="126">
        <f t="shared" si="301"/>
        <v>0.54848053414502429</v>
      </c>
      <c r="AL79" s="126">
        <f t="shared" si="301"/>
        <v>0.5006859370863318</v>
      </c>
      <c r="AM79" s="126">
        <f t="shared" si="301"/>
        <v>0.5541651490712316</v>
      </c>
      <c r="AN79" s="126">
        <f t="shared" si="301"/>
        <v>0.60272011453113816</v>
      </c>
      <c r="AO79" s="965">
        <f t="shared" si="301"/>
        <v>0.60272011453113816</v>
      </c>
      <c r="AP79" s="126">
        <f t="shared" ref="AP79:BI79" si="302">INDEX(MO_BSS_Debt_Net,0,COLUMN())/INDEX(SP_BSR_EBITDA_LTM,0,COLUMN())</f>
        <v>0.63742146954384049</v>
      </c>
      <c r="AQ79" s="126">
        <f t="shared" si="302"/>
        <v>1.1813791021605071</v>
      </c>
      <c r="AR79" s="126">
        <f t="shared" si="302"/>
        <v>1.5610134990357831</v>
      </c>
      <c r="AS79" s="126">
        <f t="shared" si="302"/>
        <v>2.7204143047099167</v>
      </c>
      <c r="AT79" s="965">
        <f t="shared" si="302"/>
        <v>2.7204143047099167</v>
      </c>
      <c r="AU79" s="126">
        <f t="shared" si="302"/>
        <v>3.0648864283969712</v>
      </c>
      <c r="AV79" s="126">
        <f t="shared" si="302"/>
        <v>1.4255485249404223</v>
      </c>
      <c r="AW79" s="126">
        <f t="shared" si="302"/>
        <v>0.91859649122807019</v>
      </c>
      <c r="AX79" s="126">
        <f t="shared" si="302"/>
        <v>0.59194121249234533</v>
      </c>
      <c r="AY79" s="965">
        <f t="shared" si="302"/>
        <v>0.59194121249234533</v>
      </c>
      <c r="AZ79" s="126">
        <f t="shared" si="302"/>
        <v>0.32914642167575481</v>
      </c>
      <c r="BA79" s="126">
        <f t="shared" si="302"/>
        <v>0.18885646701313949</v>
      </c>
      <c r="BB79" s="126">
        <f t="shared" si="302"/>
        <v>0.10545905707196029</v>
      </c>
      <c r="BC79" s="126">
        <f t="shared" si="302"/>
        <v>7.764918572084821E-2</v>
      </c>
      <c r="BD79" s="965">
        <f t="shared" si="302"/>
        <v>7.764918572084821E-2</v>
      </c>
      <c r="BE79" s="126">
        <f t="shared" si="302"/>
        <v>8.3490705222779585E-2</v>
      </c>
      <c r="BF79" s="126">
        <f t="shared" si="302"/>
        <v>0.12293136248084985</v>
      </c>
      <c r="BG79" s="126">
        <f t="shared" si="302"/>
        <v>0.21847983046715302</v>
      </c>
      <c r="BH79" s="126">
        <f t="shared" si="302"/>
        <v>0.23682521276375459</v>
      </c>
      <c r="BI79" s="965">
        <f t="shared" si="302"/>
        <v>0.23682521276375459</v>
      </c>
      <c r="BJ79" s="126">
        <f t="shared" ref="BJ79:BN79" si="303">INDEX(MO_BSS_Debt_Net,0,COLUMN())/INDEX(SP_BSR_EBITDA_LTM,0,COLUMN())</f>
        <v>0.29627354193589389</v>
      </c>
      <c r="BK79" s="126">
        <f t="shared" si="303"/>
        <v>0.34290641233075025</v>
      </c>
      <c r="BL79" s="126">
        <f t="shared" si="303"/>
        <v>0.40673881512886312</v>
      </c>
      <c r="BM79" s="126">
        <f t="shared" si="303"/>
        <v>0.38342281734480455</v>
      </c>
      <c r="BN79" s="965">
        <f t="shared" si="303"/>
        <v>0.38342281734480455</v>
      </c>
      <c r="BO79" s="126">
        <f t="shared" ref="BO79:BS79" si="304">INDEX(MO_BSS_Debt_Net,0,COLUMN())/INDEX(SP_BSR_EBITDA_LTM,0,COLUMN())</f>
        <v>0.51406539731355438</v>
      </c>
      <c r="BP79" s="126">
        <f t="shared" si="304"/>
        <v>0.55978767663725704</v>
      </c>
      <c r="BQ79" s="126">
        <f t="shared" si="304"/>
        <v>0.76331028015472979</v>
      </c>
      <c r="BR79" s="126">
        <f t="shared" si="304"/>
        <v>0.8213938257836414</v>
      </c>
      <c r="BS79" s="965">
        <f t="shared" si="304"/>
        <v>0.8213938257836414</v>
      </c>
      <c r="BT79" s="701">
        <f t="shared" ref="BT79:BX79" si="305">INDEX(MO_BSS_Debt_Net,0,COLUMN())/INDEX(SP_BSR_EBITDA_LTM,0,COLUMN())</f>
        <v>0.84115063057956641</v>
      </c>
      <c r="BU79" s="126">
        <f t="shared" ca="1" si="305"/>
        <v>0.57187358660133203</v>
      </c>
      <c r="BV79" s="126">
        <f t="shared" ca="1" si="305"/>
        <v>0.47089825624751142</v>
      </c>
      <c r="BW79" s="126">
        <f t="shared" ca="1" si="305"/>
        <v>0.38786753001256896</v>
      </c>
      <c r="BX79" s="965">
        <f t="shared" ca="1" si="305"/>
        <v>0.38786753001256885</v>
      </c>
      <c r="BY79" s="126">
        <f t="shared" ref="BY79:CF79" ca="1" si="306">INDEX(MO_BSS_Debt_Net,0,COLUMN())/INDEX(SP_BSR_EBITDA_LTM,0,COLUMN())</f>
        <v>0.29090687328438081</v>
      </c>
      <c r="BZ79" s="126">
        <f t="shared" ca="1" si="306"/>
        <v>0.23355136012116709</v>
      </c>
      <c r="CA79" s="126">
        <f t="shared" ca="1" si="306"/>
        <v>0.15391407579713623</v>
      </c>
      <c r="CB79" s="126">
        <f t="shared" ca="1" si="306"/>
        <v>7.8554132386492559E-2</v>
      </c>
      <c r="CC79" s="965">
        <f t="shared" ca="1" si="306"/>
        <v>7.8554132386492559E-2</v>
      </c>
      <c r="CD79" s="965">
        <f t="shared" ca="1" si="306"/>
        <v>-0.15890297812102858</v>
      </c>
      <c r="CE79" s="965">
        <f t="shared" ca="1" si="306"/>
        <v>-0.4061313714368241</v>
      </c>
      <c r="CF79" s="965">
        <f t="shared" ca="1" si="306"/>
        <v>-0.61102210520374844</v>
      </c>
      <c r="CG79" s="126"/>
    </row>
    <row r="80" spans="1:85" s="465" customFormat="1" x14ac:dyDescent="0.3">
      <c r="A80" s="179" t="s">
        <v>241</v>
      </c>
      <c r="B80" s="180"/>
      <c r="C80" s="965">
        <f ca="1">INDEX(MO_BSS_Debt_Net,0,COLUMN())/INDEX(SP_BSR_CashFlow_LTM,0,COLUMN())</f>
        <v>-4.5165952614463427E-2</v>
      </c>
      <c r="D80" s="965">
        <f ca="1">INDEX(MO_BSS_Debt_Net,0,COLUMN())/INDEX(SP_BSR_CashFlow_LTM,0,COLUMN())</f>
        <v>-0.2723735408560311</v>
      </c>
      <c r="E80" s="965">
        <f ca="1">INDEX(MO_BSS_Debt_Net,0,COLUMN())/INDEX(SP_BSR_CashFlow_LTM,0,COLUMN())</f>
        <v>-0.23900717848886727</v>
      </c>
      <c r="F80" s="965">
        <f ca="1">INDEX(MO_BSS_Debt_Net,0,COLUMN())/INDEX(SP_BSR_CashFlow_LTM,0,COLUMN())</f>
        <v>-0.24330104091518087</v>
      </c>
      <c r="G80" s="239"/>
      <c r="H80" s="239"/>
      <c r="I80" s="239"/>
      <c r="J80" s="239">
        <f t="shared" ref="J80:AO80" ca="1" si="307">INDEX(MO_BSS_Debt_Net,0,COLUMN())/INDEX(SP_BSR_CashFlow_LTM,0,COLUMN())</f>
        <v>8.0709673732929546E-2</v>
      </c>
      <c r="K80" s="965">
        <f t="shared" ca="1" si="307"/>
        <v>8.0709673732929546E-2</v>
      </c>
      <c r="L80" s="239">
        <f t="shared" ca="1" si="307"/>
        <v>0.15777748309242806</v>
      </c>
      <c r="M80" s="239">
        <f t="shared" ca="1" si="307"/>
        <v>0.20120865483192144</v>
      </c>
      <c r="N80" s="239">
        <f t="shared" ca="1" si="307"/>
        <v>0.28362969235111485</v>
      </c>
      <c r="O80" s="239">
        <f t="shared" ca="1" si="307"/>
        <v>0.43596505162827642</v>
      </c>
      <c r="P80" s="965">
        <f t="shared" ca="1" si="307"/>
        <v>0.43596505162827642</v>
      </c>
      <c r="Q80" s="239">
        <f t="shared" ca="1" si="307"/>
        <v>0.71718485242542462</v>
      </c>
      <c r="R80" s="239">
        <f t="shared" ca="1" si="307"/>
        <v>0.68049037061013107</v>
      </c>
      <c r="S80" s="239">
        <f t="shared" ca="1" si="307"/>
        <v>0.91704056833052905</v>
      </c>
      <c r="T80" s="239">
        <f t="shared" ca="1" si="307"/>
        <v>1.2674239309210527</v>
      </c>
      <c r="U80" s="965">
        <f t="shared" ca="1" si="307"/>
        <v>1.2674239309210527</v>
      </c>
      <c r="V80" s="239">
        <f t="shared" ca="1" si="307"/>
        <v>1.6499617025932816</v>
      </c>
      <c r="W80" s="126">
        <f t="shared" ca="1" si="307"/>
        <v>2.3556553094414601</v>
      </c>
      <c r="X80" s="126">
        <f t="shared" ca="1" si="307"/>
        <v>2.6144017725258495</v>
      </c>
      <c r="Y80" s="126">
        <f t="shared" ca="1" si="307"/>
        <v>2.9154600653900045</v>
      </c>
      <c r="Z80" s="965">
        <f t="shared" ca="1" si="307"/>
        <v>2.9154600653900045</v>
      </c>
      <c r="AA80" s="126">
        <f t="shared" ca="1" si="307"/>
        <v>2.2983187885010268</v>
      </c>
      <c r="AB80" s="126">
        <f t="shared" ca="1" si="307"/>
        <v>1.9576538227652165</v>
      </c>
      <c r="AC80" s="126">
        <f t="shared" ca="1" si="307"/>
        <v>1.8128719418117698</v>
      </c>
      <c r="AD80" s="126">
        <f t="shared" ca="1" si="307"/>
        <v>1.5962953936144284</v>
      </c>
      <c r="AE80" s="965">
        <f t="shared" ca="1" si="307"/>
        <v>1.5962953936144284</v>
      </c>
      <c r="AF80" s="126">
        <f t="shared" ca="1" si="307"/>
        <v>1.3860417915955534</v>
      </c>
      <c r="AG80" s="126">
        <f t="shared" ca="1" si="307"/>
        <v>1.1713762873436038</v>
      </c>
      <c r="AH80" s="126">
        <f t="shared" ca="1" si="307"/>
        <v>0.85168068743907277</v>
      </c>
      <c r="AI80" s="126">
        <f t="shared" ca="1" si="307"/>
        <v>0.71471030113005418</v>
      </c>
      <c r="AJ80" s="965">
        <f t="shared" ca="1" si="307"/>
        <v>0.71471030113005418</v>
      </c>
      <c r="AK80" s="126">
        <f t="shared" ca="1" si="307"/>
        <v>0.7294332723948812</v>
      </c>
      <c r="AL80" s="126">
        <f t="shared" ca="1" si="307"/>
        <v>0.63891277641277644</v>
      </c>
      <c r="AM80" s="126">
        <f t="shared" ca="1" si="307"/>
        <v>0.69141132173461439</v>
      </c>
      <c r="AN80" s="126">
        <f t="shared" ca="1" si="307"/>
        <v>0.80149373947426228</v>
      </c>
      <c r="AO80" s="965">
        <f t="shared" ca="1" si="307"/>
        <v>0.80149373947426228</v>
      </c>
      <c r="AP80" s="126">
        <f t="shared" ref="AP80:BI80" ca="1" si="308">INDEX(MO_BSS_Debt_Net,0,COLUMN())/INDEX(SP_BSR_CashFlow_LTM,0,COLUMN())</f>
        <v>0.86496905000185331</v>
      </c>
      <c r="AQ80" s="126">
        <f t="shared" ca="1" si="308"/>
        <v>1.49896038520464</v>
      </c>
      <c r="AR80" s="126">
        <f t="shared" ca="1" si="308"/>
        <v>2.0820948842526437</v>
      </c>
      <c r="AS80" s="126">
        <f t="shared" ca="1" si="308"/>
        <v>3.6751441807695944</v>
      </c>
      <c r="AT80" s="965">
        <f t="shared" ca="1" si="308"/>
        <v>3.6751441807695944</v>
      </c>
      <c r="AU80" s="126">
        <f t="shared" ca="1" si="308"/>
        <v>3.7454979604019503</v>
      </c>
      <c r="AV80" s="126">
        <f t="shared" ca="1" si="308"/>
        <v>2.0499261447562778</v>
      </c>
      <c r="AW80" s="126">
        <f t="shared" ca="1" si="308"/>
        <v>1.3705558337506258</v>
      </c>
      <c r="AX80" s="126">
        <f t="shared" ca="1" si="308"/>
        <v>0.82797135711104264</v>
      </c>
      <c r="AY80" s="965">
        <f t="shared" ca="1" si="308"/>
        <v>0.82797135711104264</v>
      </c>
      <c r="AZ80" s="126">
        <f t="shared" ca="1" si="308"/>
        <v>0.46943654300066573</v>
      </c>
      <c r="BA80" s="126">
        <f t="shared" ca="1" si="308"/>
        <v>0.27431408938155188</v>
      </c>
      <c r="BB80" s="126">
        <f t="shared" ca="1" si="308"/>
        <v>0.14604183669086379</v>
      </c>
      <c r="BC80" s="126">
        <f t="shared" ca="1" si="308"/>
        <v>0.10564090157654933</v>
      </c>
      <c r="BD80" s="965">
        <f t="shared" ca="1" si="308"/>
        <v>0.10564090157654933</v>
      </c>
      <c r="BE80" s="126">
        <f t="shared" ca="1" si="308"/>
        <v>0.11607728913685593</v>
      </c>
      <c r="BF80" s="126">
        <f t="shared" ca="1" si="308"/>
        <v>0.17694525892359511</v>
      </c>
      <c r="BG80" s="126">
        <f t="shared" ca="1" si="308"/>
        <v>0.32657752361730158</v>
      </c>
      <c r="BH80" s="126">
        <f t="shared" ca="1" si="308"/>
        <v>0.32118284703305344</v>
      </c>
      <c r="BI80" s="965">
        <f t="shared" ca="1" si="308"/>
        <v>0.32118284703305344</v>
      </c>
      <c r="BJ80" s="126">
        <f t="shared" ref="BJ80:BN80" ca="1" si="309">INDEX(MO_BSS_Debt_Net,0,COLUMN())/INDEX(SP_BSR_CashFlow_LTM,0,COLUMN())</f>
        <v>0.39694028156221617</v>
      </c>
      <c r="BK80" s="126">
        <f t="shared" ca="1" si="309"/>
        <v>0.45719557195571958</v>
      </c>
      <c r="BL80" s="126">
        <f t="shared" ca="1" si="309"/>
        <v>0.51738525730180807</v>
      </c>
      <c r="BM80" s="126">
        <f t="shared" ca="1" si="309"/>
        <v>0.56465134002286299</v>
      </c>
      <c r="BN80" s="965">
        <f t="shared" ca="1" si="309"/>
        <v>0.56465134002286299</v>
      </c>
      <c r="BO80" s="126">
        <f t="shared" ref="BO80:BS80" ca="1" si="310">INDEX(MO_BSS_Debt_Net,0,COLUMN())/INDEX(SP_BSR_CashFlow_LTM,0,COLUMN())</f>
        <v>0.76149800690047897</v>
      </c>
      <c r="BP80" s="126">
        <f t="shared" ca="1" si="310"/>
        <v>0.72857409597311262</v>
      </c>
      <c r="BQ80" s="126">
        <f t="shared" ca="1" si="310"/>
        <v>1.0224211022138483</v>
      </c>
      <c r="BR80" s="126">
        <f t="shared" ca="1" si="310"/>
        <v>1.0199475529626683</v>
      </c>
      <c r="BS80" s="965">
        <f t="shared" ca="1" si="310"/>
        <v>1.0199475529626683</v>
      </c>
      <c r="BT80" s="701">
        <f t="shared" ref="BT80:BX80" ca="1" si="311">INDEX(MO_BSS_Debt_Net,0,COLUMN())/INDEX(SP_BSR_CashFlow_LTM,0,COLUMN())</f>
        <v>1.1392016376663254</v>
      </c>
      <c r="BU80" s="126">
        <f t="shared" ca="1" si="311"/>
        <v>0.81216731030808387</v>
      </c>
      <c r="BV80" s="126">
        <f t="shared" ca="1" si="311"/>
        <v>0.67633253985569075</v>
      </c>
      <c r="BW80" s="126">
        <f t="shared" ca="1" si="311"/>
        <v>0.58580898271714699</v>
      </c>
      <c r="BX80" s="965">
        <f t="shared" ca="1" si="311"/>
        <v>0.58580898271714699</v>
      </c>
      <c r="BY80" s="126">
        <f t="shared" ref="BY80:CF80" ca="1" si="312">INDEX(MO_BSS_Debt_Net,0,COLUMN())/INDEX(SP_BSR_CashFlow_LTM,0,COLUMN())</f>
        <v>0.39017556773021989</v>
      </c>
      <c r="BZ80" s="126">
        <f t="shared" ca="1" si="312"/>
        <v>0.31225059879913392</v>
      </c>
      <c r="CA80" s="126">
        <f t="shared" ca="1" si="312"/>
        <v>0.20528994787039756</v>
      </c>
      <c r="CB80" s="126">
        <f t="shared" ca="1" si="312"/>
        <v>0.10502069796827927</v>
      </c>
      <c r="CC80" s="965">
        <f t="shared" ca="1" si="312"/>
        <v>0.10502069796827927</v>
      </c>
      <c r="CD80" s="965">
        <f t="shared" ca="1" si="312"/>
        <v>-0.21116187426874711</v>
      </c>
      <c r="CE80" s="965">
        <f t="shared" ca="1" si="312"/>
        <v>-0.51628014134088829</v>
      </c>
      <c r="CF80" s="965">
        <f t="shared" ca="1" si="312"/>
        <v>-0.79055957854267855</v>
      </c>
      <c r="CG80" s="126"/>
    </row>
    <row r="81" spans="1:85" s="466" customFormat="1" x14ac:dyDescent="0.3">
      <c r="A81" s="181" t="s">
        <v>432</v>
      </c>
      <c r="B81" s="182"/>
      <c r="C81" s="966">
        <f>INDEX(MO_BSS_Debt_Net,0,COLUMN())/SUM(INDEX(MO_BS_SE,0,COLUMN()),INDEX(MO_BSS_Debt,0,COLUMN()),IFERROR(INDEX(MO_BSS_OL,0,COLUMN()),0))</f>
        <v>-8.5425860116374423E-3</v>
      </c>
      <c r="D81" s="966">
        <f>INDEX(MO_BSS_Debt_Net,0,COLUMN())/SUM(INDEX(MO_BS_SE,0,COLUMN()),INDEX(MO_BSS_Debt,0,COLUMN()),IFERROR(INDEX(MO_BSS_OL,0,COLUMN()),0))</f>
        <v>-7.3268872740375954E-2</v>
      </c>
      <c r="E81" s="966">
        <f>INDEX(MO_BSS_Debt_Net,0,COLUMN())/SUM(INDEX(MO_BS_SE,0,COLUMN()),INDEX(MO_BSS_Debt,0,COLUMN()),IFERROR(INDEX(MO_BSS_OL,0,COLUMN()),0))</f>
        <v>-7.467270819712013E-2</v>
      </c>
      <c r="F81" s="966">
        <f>INDEX(MO_BSS_Debt_Net,0,COLUMN())/SUM(INDEX(MO_BS_SE,0,COLUMN()),INDEX(MO_BSS_Debt,0,COLUMN()),IFERROR(INDEX(MO_BSS_OL,0,COLUMN()),0))</f>
        <v>-6.3496866510664621E-2</v>
      </c>
      <c r="G81" s="240"/>
      <c r="H81" s="240"/>
      <c r="I81" s="240"/>
      <c r="J81" s="240">
        <f>INDEX(MO_BSS_Debt_Net,0,COLUMN())/SUM(INDEX(MO_BS_SE,0,COLUMN()),INDEX(MO_BSS_Debt,0,COLUMN()),IFERROR(INDEX(MO_BSS_OL,0,COLUMN()),0))</f>
        <v>1.6662341339121409E-2</v>
      </c>
      <c r="K81" s="966">
        <f>INDEX(MO_BSS_Debt_Net,0,COLUMN())/SUM(INDEX(MO_BS_SE,0,COLUMN()),INDEX(MO_BSS_Debt,0,COLUMN()),IFERROR(INDEX(MO_BSS_OL,0,COLUMN()),0))</f>
        <v>1.6662341339121409E-2</v>
      </c>
      <c r="L81" s="240">
        <f>INDEX(MO_BSS_Debt_Net,0,COLUMN())/SUM(INDEX(MO_BS_SE,0,COLUMN()),INDEX(MO_BSS_Debt,0,COLUMN()),IFERROR(INDEX(MO_BSS_OL,0,COLUMN()),0))</f>
        <v>3.4245747344788878E-2</v>
      </c>
      <c r="M81" s="240">
        <f>INDEX(MO_BSS_Debt_Net,0,COLUMN())/SUM(INDEX(MO_BS_SE,0,COLUMN()),INDEX(MO_BSS_Debt,0,COLUMN()),IFERROR(INDEX(MO_BSS_OL,0,COLUMN()),0))</f>
        <v>4.210490659349965E-2</v>
      </c>
      <c r="N81" s="240">
        <f>INDEX(MO_BSS_Debt_Net,0,COLUMN())/SUM(INDEX(MO_BS_SE,0,COLUMN()),INDEX(MO_BSS_Debt,0,COLUMN()),IFERROR(INDEX(MO_BSS_OL,0,COLUMN()),0))</f>
        <v>5.5260133407387446E-2</v>
      </c>
      <c r="O81" s="240">
        <f>INDEX(MO_BSS_Debt_Net,0,COLUMN())/SUM(INDEX(MO_BS_SE,0,COLUMN()),INDEX(MO_BSS_Debt,0,COLUMN()),IFERROR(INDEX(MO_BSS_OL,0,COLUMN()),0))</f>
        <v>7.5046760661977838E-2</v>
      </c>
      <c r="P81" s="966">
        <f>INDEX(MO_BSS_Debt_Net,0,COLUMN())/SUM(INDEX(MO_BS_SE,0,COLUMN()),INDEX(MO_BSS_Debt,0,COLUMN()),IFERROR(INDEX(MO_BSS_OL,0,COLUMN()),0))</f>
        <v>7.5046760661977838E-2</v>
      </c>
      <c r="Q81" s="240">
        <f>INDEX(MO_BSS_Debt_Net,0,COLUMN())/SUM(INDEX(MO_BS_SE,0,COLUMN()),INDEX(MO_BSS_Debt,0,COLUMN()),IFERROR(INDEX(MO_BSS_OL,0,COLUMN()),0))</f>
        <v>9.5922755829152079E-2</v>
      </c>
      <c r="R81" s="240">
        <f>INDEX(MO_BSS_Debt_Net,0,COLUMN())/SUM(INDEX(MO_BS_SE,0,COLUMN()),INDEX(MO_BSS_Debt,0,COLUMN()),IFERROR(INDEX(MO_BSS_OL,0,COLUMN()),0))</f>
        <v>9.0144121256947457E-2</v>
      </c>
      <c r="S81" s="240">
        <f>INDEX(MO_BSS_Debt_Net,0,COLUMN())/SUM(INDEX(MO_BS_SE,0,COLUMN()),INDEX(MO_BSS_Debt,0,COLUMN()),IFERROR(INDEX(MO_BSS_OL,0,COLUMN()),0))</f>
        <v>0.10284189781327967</v>
      </c>
      <c r="T81" s="240">
        <f>INDEX(MO_BSS_Debt_Net,0,COLUMN())/SUM(INDEX(MO_BS_SE,0,COLUMN()),INDEX(MO_BSS_Debt,0,COLUMN()),IFERROR(INDEX(MO_BSS_OL,0,COLUMN()),0))</f>
        <v>0.12892583588215303</v>
      </c>
      <c r="U81" s="966">
        <f>INDEX(MO_BSS_Debt_Net,0,COLUMN())/SUM(INDEX(MO_BS_SE,0,COLUMN()),INDEX(MO_BSS_Debt,0,COLUMN()),IFERROR(INDEX(MO_BSS_OL,0,COLUMN()),0))</f>
        <v>0.12892583588215303</v>
      </c>
      <c r="V81" s="240">
        <f>INDEX(MO_BSS_Debt_Net,0,COLUMN())/SUM(INDEX(MO_BS_SE,0,COLUMN()),INDEX(MO_BSS_Debt,0,COLUMN()),IFERROR(INDEX(MO_BSS_OL,0,COLUMN()),0))</f>
        <v>0.15654620391806734</v>
      </c>
      <c r="W81" s="240">
        <f>INDEX(MO_BSS_Debt_Net,0,COLUMN())/SUM(INDEX(MO_BS_SE,0,COLUMN()),INDEX(MO_BSS_Debt,0,COLUMN()),IFERROR(INDEX(MO_BSS_OL,0,COLUMN()),0))</f>
        <v>0.16650888435770464</v>
      </c>
      <c r="X81" s="240">
        <f>INDEX(MO_BSS_Debt_Net,0,COLUMN())/SUM(INDEX(MO_BS_SE,0,COLUMN()),INDEX(MO_BSS_Debt,0,COLUMN()),IFERROR(INDEX(MO_BSS_OL,0,COLUMN()),0))</f>
        <v>0.18400083166567041</v>
      </c>
      <c r="Y81" s="240">
        <f>INDEX(MO_BSS_Debt_Net,0,COLUMN())/SUM(INDEX(MO_BS_SE,0,COLUMN()),INDEX(MO_BSS_Debt,0,COLUMN()),IFERROR(INDEX(MO_BSS_OL,0,COLUMN()),0))</f>
        <v>0.19538610824177544</v>
      </c>
      <c r="Z81" s="966">
        <f>INDEX(MO_BSS_Debt_Net,0,COLUMN())/SUM(INDEX(MO_BS_SE,0,COLUMN()),INDEX(MO_BSS_Debt,0,COLUMN()),IFERROR(INDEX(MO_BSS_OL,0,COLUMN()),0))</f>
        <v>0.19538610824177544</v>
      </c>
      <c r="AA81" s="240">
        <f>INDEX(MO_BSS_Debt_Net,0,COLUMN())/SUM(INDEX(MO_BS_SE,0,COLUMN()),INDEX(MO_BSS_Debt,0,COLUMN()),IFERROR(INDEX(MO_BSS_OL,0,COLUMN()),0))</f>
        <v>0.18669467495100286</v>
      </c>
      <c r="AB81" s="240">
        <f>INDEX(MO_BSS_Debt_Net,0,COLUMN())/SUM(INDEX(MO_BS_SE,0,COLUMN()),INDEX(MO_BSS_Debt,0,COLUMN()),IFERROR(INDEX(MO_BSS_OL,0,COLUMN()),0))</f>
        <v>0.1872986824776402</v>
      </c>
      <c r="AC81" s="240">
        <f>INDEX(MO_BSS_Debt_Net,0,COLUMN())/SUM(INDEX(MO_BS_SE,0,COLUMN()),INDEX(MO_BSS_Debt,0,COLUMN()),IFERROR(INDEX(MO_BSS_OL,0,COLUMN()),0))</f>
        <v>0.17436468187720275</v>
      </c>
      <c r="AD81" s="240">
        <f>INDEX(MO_BSS_Debt_Net,0,COLUMN())/SUM(INDEX(MO_BS_SE,0,COLUMN()),INDEX(MO_BSS_Debt,0,COLUMN()),IFERROR(INDEX(MO_BSS_OL,0,COLUMN()),0))</f>
        <v>0.17522888162365494</v>
      </c>
      <c r="AE81" s="966">
        <f>INDEX(MO_BSS_Debt_Net,0,COLUMN())/SUM(INDEX(MO_BS_SE,0,COLUMN()),INDEX(MO_BSS_Debt,0,COLUMN()),IFERROR(INDEX(MO_BSS_OL,0,COLUMN()),0))</f>
        <v>0.17522888162365494</v>
      </c>
      <c r="AF81" s="240">
        <f>INDEX(MO_BSS_Debt_Net,0,COLUMN())/SUM(INDEX(MO_BS_SE,0,COLUMN()),INDEX(MO_BSS_Debt,0,COLUMN()),IFERROR(INDEX(MO_BSS_OL,0,COLUMN()),0))</f>
        <v>0.15806334527435417</v>
      </c>
      <c r="AG81" s="240">
        <f>INDEX(MO_BSS_Debt_Net,0,COLUMN())/SUM(INDEX(MO_BS_SE,0,COLUMN()),INDEX(MO_BSS_Debt,0,COLUMN()),IFERROR(INDEX(MO_BSS_OL,0,COLUMN()),0))</f>
        <v>0.14432530215242639</v>
      </c>
      <c r="AH81" s="240">
        <f>INDEX(MO_BSS_Debt_Net,0,COLUMN())/SUM(INDEX(MO_BS_SE,0,COLUMN()),INDEX(MO_BSS_Debt,0,COLUMN()),IFERROR(INDEX(MO_BSS_OL,0,COLUMN()),0))</f>
        <v>0.12435880538787991</v>
      </c>
      <c r="AI81" s="240">
        <f>INDEX(MO_BSS_Debt_Net,0,COLUMN())/SUM(INDEX(MO_BS_SE,0,COLUMN()),INDEX(MO_BSS_Debt,0,COLUMN()),IFERROR(INDEX(MO_BSS_OL,0,COLUMN()),0))</f>
        <v>0.11577510541602959</v>
      </c>
      <c r="AJ81" s="966">
        <f>INDEX(MO_BSS_Debt_Net,0,COLUMN())/SUM(INDEX(MO_BS_SE,0,COLUMN()),INDEX(MO_BSS_Debt,0,COLUMN()),IFERROR(INDEX(MO_BSS_OL,0,COLUMN()),0))</f>
        <v>0.11577510541602959</v>
      </c>
      <c r="AK81" s="240">
        <f>INDEX(MO_BSS_Debt_Net,0,COLUMN())/SUM(INDEX(MO_BS_SE,0,COLUMN()),INDEX(MO_BSS_Debt,0,COLUMN()),IFERROR(INDEX(MO_BSS_OL,0,COLUMN()),0))</f>
        <v>0.11876767376097634</v>
      </c>
      <c r="AL81" s="240">
        <f>INDEX(MO_BSS_Debt_Net,0,COLUMN())/SUM(INDEX(MO_BS_SE,0,COLUMN()),INDEX(MO_BSS_Debt,0,COLUMN()),IFERROR(INDEX(MO_BSS_OL,0,COLUMN()),0))</f>
        <v>0.11121981993541627</v>
      </c>
      <c r="AM81" s="240">
        <f>INDEX(MO_BSS_Debt_Net,0,COLUMN())/SUM(INDEX(MO_BS_SE,0,COLUMN()),INDEX(MO_BSS_Debt,0,COLUMN()),IFERROR(INDEX(MO_BSS_OL,0,COLUMN()),0))</f>
        <v>0.11288766879358955</v>
      </c>
      <c r="AN81" s="240">
        <f>INDEX(MO_BSS_Debt_Net,0,COLUMN())/SUM(INDEX(MO_BS_SE,0,COLUMN()),INDEX(MO_BSS_Debt,0,COLUMN()),IFERROR(INDEX(MO_BSS_OL,0,COLUMN()),0))</f>
        <v>0.12788428960312176</v>
      </c>
      <c r="AO81" s="966">
        <f>INDEX(MO_BSS_Debt_Net,0,COLUMN())/SUM(INDEX(MO_BS_SE,0,COLUMN()),INDEX(MO_BSS_Debt,0,COLUMN()),IFERROR(INDEX(MO_BSS_OL,0,COLUMN()),0))</f>
        <v>0.12788428960312176</v>
      </c>
      <c r="AP81" s="240">
        <f>INDEX(MO_BSS_Debt_Net,0,COLUMN())/SUM(INDEX(MO_BS_SE,0,COLUMN()),INDEX(MO_BSS_Debt,0,COLUMN()),IFERROR(INDEX(MO_BSS_OL,0,COLUMN()),0))</f>
        <v>0.13237955309988031</v>
      </c>
      <c r="AQ81" s="240">
        <f>INDEX(MO_BSS_Debt_Net,0,COLUMN())/SUM(INDEX(MO_BS_SE,0,COLUMN()),INDEX(MO_BSS_Debt,0,COLUMN()),IFERROR(INDEX(MO_BSS_OL,0,COLUMN()),0))</f>
        <v>0.16289966760024024</v>
      </c>
      <c r="AR81" s="240">
        <f>INDEX(MO_BSS_Debt_Net,0,COLUMN())/SUM(INDEX(MO_BS_SE,0,COLUMN()),INDEX(MO_BSS_Debt,0,COLUMN()),IFERROR(INDEX(MO_BSS_OL,0,COLUMN()),0))</f>
        <v>0.17493276665225951</v>
      </c>
      <c r="AS81" s="240">
        <f>INDEX(MO_BSS_Debt_Net,0,COLUMN())/SUM(INDEX(MO_BS_SE,0,COLUMN()),INDEX(MO_BSS_Debt,0,COLUMN()),IFERROR(INDEX(MO_BSS_OL,0,COLUMN()),0))</f>
        <v>0.22085987170673227</v>
      </c>
      <c r="AT81" s="966">
        <f>INDEX(MO_BSS_Debt_Net,0,COLUMN())/SUM(INDEX(MO_BS_SE,0,COLUMN()),INDEX(MO_BSS_Debt,0,COLUMN()),IFERROR(INDEX(MO_BSS_OL,0,COLUMN()),0))</f>
        <v>0.22085987170673227</v>
      </c>
      <c r="AU81" s="240">
        <f>INDEX(MO_BSS_Debt_Net,0,COLUMN())/SUM(INDEX(MO_BS_SE,0,COLUMN()),INDEX(MO_BSS_Debt,0,COLUMN()),IFERROR(INDEX(MO_BSS_OL,0,COLUMN()),0))</f>
        <v>0.21229585852206082</v>
      </c>
      <c r="AV81" s="240">
        <f>INDEX(MO_BSS_Debt_Net,0,COLUMN())/SUM(INDEX(MO_BS_SE,0,COLUMN()),INDEX(MO_BSS_Debt,0,COLUMN()),IFERROR(INDEX(MO_BSS_OL,0,COLUMN()),0))</f>
        <v>0.19690692395005677</v>
      </c>
      <c r="AW81" s="240">
        <f>INDEX(MO_BSS_Debt_Net,0,COLUMN())/SUM(INDEX(MO_BS_SE,0,COLUMN()),INDEX(MO_BSS_Debt,0,COLUMN()),IFERROR(INDEX(MO_BSS_OL,0,COLUMN()),0))</f>
        <v>0.17381891241217257</v>
      </c>
      <c r="AX81" s="240">
        <f>INDEX(MO_BSS_Debt_Net,0,COLUMN())/SUM(INDEX(MO_BS_SE,0,COLUMN()),INDEX(MO_BSS_Debt,0,COLUMN()),IFERROR(INDEX(MO_BSS_OL,0,COLUMN()),0))</f>
        <v>0.14178929334178225</v>
      </c>
      <c r="AY81" s="966">
        <f>INDEX(MO_BSS_Debt_Net,0,COLUMN())/SUM(INDEX(MO_BS_SE,0,COLUMN()),INDEX(MO_BSS_Debt,0,COLUMN()),IFERROR(INDEX(MO_BSS_OL,0,COLUMN()),0))</f>
        <v>0.14178929334178225</v>
      </c>
      <c r="AZ81" s="240">
        <f>INDEX(MO_BSS_Debt_Net,0,COLUMN())/SUM(INDEX(MO_BS_SE,0,COLUMN()),INDEX(MO_BSS_Debt,0,COLUMN()),IFERROR(INDEX(MO_BSS_OL,0,COLUMN()),0))</f>
        <v>8.836697958439664E-2</v>
      </c>
      <c r="BA81" s="240">
        <f>INDEX(MO_BSS_Debt_Net,0,COLUMN())/SUM(INDEX(MO_BS_SE,0,COLUMN()),INDEX(MO_BSS_Debt,0,COLUMN()),IFERROR(INDEX(MO_BSS_OL,0,COLUMN()),0))</f>
        <v>6.0837982301475621E-2</v>
      </c>
      <c r="BB81" s="240">
        <f>INDEX(MO_BSS_Debt_Net,0,COLUMN())/SUM(INDEX(MO_BS_SE,0,COLUMN()),INDEX(MO_BSS_Debt,0,COLUMN()),IFERROR(INDEX(MO_BSS_OL,0,COLUMN()),0))</f>
        <v>3.7296855545987571E-2</v>
      </c>
      <c r="BC81" s="240">
        <f>INDEX(MO_BSS_Debt_Net,0,COLUMN())/SUM(INDEX(MO_BS_SE,0,COLUMN()),INDEX(MO_BSS_Debt,0,COLUMN()),IFERROR(INDEX(MO_BSS_OL,0,COLUMN()),0))</f>
        <v>2.8693304713039575E-2</v>
      </c>
      <c r="BD81" s="966">
        <f>INDEX(MO_BSS_Debt_Net,0,COLUMN())/SUM(INDEX(MO_BS_SE,0,COLUMN()),INDEX(MO_BSS_Debt,0,COLUMN()),IFERROR(INDEX(MO_BSS_OL,0,COLUMN()),0))</f>
        <v>2.8693304713039575E-2</v>
      </c>
      <c r="BE81" s="240">
        <f>INDEX(MO_BSS_Debt_Net,0,COLUMN())/SUM(INDEX(MO_BS_SE,0,COLUMN()),INDEX(MO_BSS_Debt,0,COLUMN()),IFERROR(INDEX(MO_BSS_OL,0,COLUMN()),0))</f>
        <v>3.0981905778653746E-2</v>
      </c>
      <c r="BF81" s="240">
        <f>INDEX(MO_BSS_Debt_Net,0,COLUMN())/SUM(INDEX(MO_BS_SE,0,COLUMN()),INDEX(MO_BSS_Debt,0,COLUMN()),IFERROR(INDEX(MO_BSS_OL,0,COLUMN()),0))</f>
        <v>4.06029837799365E-2</v>
      </c>
      <c r="BG81" s="240">
        <f>INDEX(MO_BSS_Debt_Net,0,COLUMN())/SUM(INDEX(MO_BS_SE,0,COLUMN()),INDEX(MO_BSS_Debt,0,COLUMN()),IFERROR(INDEX(MO_BSS_OL,0,COLUMN()),0))</f>
        <v>6.2693731703116928E-2</v>
      </c>
      <c r="BH81" s="240">
        <f>INDEX(MO_BSS_Debt_Net,0,COLUMN())/SUM(INDEX(MO_BS_SE,0,COLUMN()),INDEX(MO_BSS_Debt,0,COLUMN()),IFERROR(INDEX(MO_BSS_OL,0,COLUMN()),0))</f>
        <v>6.2912213341547799E-2</v>
      </c>
      <c r="BI81" s="966">
        <f>INDEX(MO_BSS_Debt_Net,0,COLUMN())/SUM(INDEX(MO_BS_SE,0,COLUMN()),INDEX(MO_BSS_Debt,0,COLUMN()),IFERROR(INDEX(MO_BSS_OL,0,COLUMN()),0))</f>
        <v>6.2912213341547799E-2</v>
      </c>
      <c r="BJ81" s="240">
        <f>INDEX(MO_BSS_Debt_Net,0,COLUMN())/SUM(INDEX(MO_BS_SE,0,COLUMN()),INDEX(MO_BSS_Debt,0,COLUMN()),IFERROR(INDEX(MO_BSS_OL,0,COLUMN()),0))</f>
        <v>7.664693631480872E-2</v>
      </c>
      <c r="BK81" s="240">
        <f>INDEX(MO_BSS_Debt_Net,0,COLUMN())/SUM(INDEX(MO_BS_SE,0,COLUMN()),INDEX(MO_BSS_Debt,0,COLUMN()),IFERROR(INDEX(MO_BSS_OL,0,COLUMN()),0))</f>
        <v>8.8297691552870622E-2</v>
      </c>
      <c r="BL81" s="240">
        <f>INDEX(MO_BSS_Debt_Net,0,COLUMN())/SUM(INDEX(MO_BS_SE,0,COLUMN()),INDEX(MO_BSS_Debt,0,COLUMN()),IFERROR(INDEX(MO_BSS_OL,0,COLUMN()),0))</f>
        <v>0.1001301890212752</v>
      </c>
      <c r="BM81" s="240">
        <f>INDEX(MO_BSS_Debt_Net,0,COLUMN())/SUM(INDEX(MO_BS_SE,0,COLUMN()),INDEX(MO_BSS_Debt,0,COLUMN()),IFERROR(INDEX(MO_BSS_OL,0,COLUMN()),0))</f>
        <v>0.10054337070773893</v>
      </c>
      <c r="BN81" s="966">
        <f>INDEX(MO_BSS_Debt_Net,0,COLUMN())/SUM(INDEX(MO_BS_SE,0,COLUMN()),INDEX(MO_BSS_Debt,0,COLUMN()),IFERROR(INDEX(MO_BSS_OL,0,COLUMN()),0))</f>
        <v>0.10054337070773893</v>
      </c>
      <c r="BO81" s="240">
        <f>INDEX(MO_BSS_Debt_Net,0,COLUMN())/SUM(INDEX(MO_BS_SE,0,COLUMN()),INDEX(MO_BSS_Debt,0,COLUMN()),IFERROR(INDEX(MO_BSS_OL,0,COLUMN()),0))</f>
        <v>0.12705323459550091</v>
      </c>
      <c r="BP81" s="240">
        <f>INDEX(MO_BSS_Debt_Net,0,COLUMN())/SUM(INDEX(MO_BS_SE,0,COLUMN()),INDEX(MO_BSS_Debt,0,COLUMN()),IFERROR(INDEX(MO_BSS_OL,0,COLUMN()),0))</f>
        <v>0.13311045916626868</v>
      </c>
      <c r="BQ81" s="240">
        <f>INDEX(MO_BSS_Debt_Net,0,COLUMN())/SUM(INDEX(MO_BS_SE,0,COLUMN()),INDEX(MO_BSS_Debt,0,COLUMN()),IFERROR(INDEX(MO_BSS_OL,0,COLUMN()),0))</f>
        <v>0.1407123131377303</v>
      </c>
      <c r="BR81" s="240">
        <f>INDEX(MO_BSS_Debt_Net,0,COLUMN())/SUM(INDEX(MO_BS_SE,0,COLUMN()),INDEX(MO_BSS_Debt,0,COLUMN()),IFERROR(INDEX(MO_BSS_OL,0,COLUMN()),0))</f>
        <v>0.1523537903594944</v>
      </c>
      <c r="BS81" s="966">
        <f>INDEX(MO_BSS_Debt_Net,0,COLUMN())/SUM(INDEX(MO_BS_SE,0,COLUMN()),INDEX(MO_BSS_Debt,0,COLUMN()),IFERROR(INDEX(MO_BSS_OL,0,COLUMN()),0))</f>
        <v>0.1523537903594944</v>
      </c>
      <c r="BT81" s="702">
        <f>INDEX(MO_BSS_Debt_Net,0,COLUMN())/SUM(INDEX(MO_BS_SE,0,COLUMN()),INDEX(MO_BSS_Debt,0,COLUMN()),IFERROR(INDEX(MO_BSS_OL,0,COLUMN()),0))</f>
        <v>0.155431324544062</v>
      </c>
      <c r="BU81" s="240">
        <f ca="1">INDEX(MO_BSS_Debt_Net,0,COLUMN())/SUM(INDEX(MO_BS_SE,0,COLUMN()),INDEX(MO_BSS_Debt,0,COLUMN()),IFERROR(INDEX(MO_BSS_OL,0,COLUMN()),0))</f>
        <v>0.13218489776082859</v>
      </c>
      <c r="BV81" s="240">
        <f ca="1">INDEX(MO_BSS_Debt_Net,0,COLUMN())/SUM(INDEX(MO_BS_SE,0,COLUMN()),INDEX(MO_BSS_Debt,0,COLUMN()),IFERROR(INDEX(MO_BSS_OL,0,COLUMN()),0))</f>
        <v>0.11472504727075419</v>
      </c>
      <c r="BW81" s="240">
        <f ca="1">INDEX(MO_BSS_Debt_Net,0,COLUMN())/SUM(INDEX(MO_BS_SE,0,COLUMN()),INDEX(MO_BSS_Debt,0,COLUMN()),IFERROR(INDEX(MO_BSS_OL,0,COLUMN()),0))</f>
        <v>9.9424544319833011E-2</v>
      </c>
      <c r="BX81" s="966">
        <f ca="1">INDEX(MO_BSS_Debt_Net,0,COLUMN())/SUM(INDEX(MO_BS_SE,0,COLUMN()),INDEX(MO_BSS_Debt,0,COLUMN()),IFERROR(INDEX(MO_BSS_OL,0,COLUMN()),0))</f>
        <v>9.9424544319833011E-2</v>
      </c>
      <c r="BY81" s="240">
        <f ca="1">INDEX(MO_BSS_Debt_Net,0,COLUMN())/SUM(INDEX(MO_BS_SE,0,COLUMN()),INDEX(MO_BSS_Debt,0,COLUMN()),IFERROR(INDEX(MO_BSS_OL,0,COLUMN()),0))</f>
        <v>8.1147638332297101E-2</v>
      </c>
      <c r="BZ81" s="240">
        <f ca="1">INDEX(MO_BSS_Debt_Net,0,COLUMN())/SUM(INDEX(MO_BS_SE,0,COLUMN()),INDEX(MO_BSS_Debt,0,COLUMN()),IFERROR(INDEX(MO_BSS_OL,0,COLUMN()),0))</f>
        <v>6.1122177318304834E-2</v>
      </c>
      <c r="CA81" s="240">
        <f ca="1">INDEX(MO_BSS_Debt_Net,0,COLUMN())/SUM(INDEX(MO_BS_SE,0,COLUMN()),INDEX(MO_BSS_Debt,0,COLUMN()),IFERROR(INDEX(MO_BSS_OL,0,COLUMN()),0))</f>
        <v>4.0786628507285878E-2</v>
      </c>
      <c r="CB81" s="240">
        <f ca="1">INDEX(MO_BSS_Debt_Net,0,COLUMN())/SUM(INDEX(MO_BS_SE,0,COLUMN()),INDEX(MO_BSS_Debt,0,COLUMN()),IFERROR(INDEX(MO_BSS_OL,0,COLUMN()),0))</f>
        <v>2.1263841959500859E-2</v>
      </c>
      <c r="CC81" s="966">
        <f ca="1">INDEX(MO_BSS_Debt_Net,0,COLUMN())/SUM(INDEX(MO_BS_SE,0,COLUMN()),INDEX(MO_BSS_Debt,0,COLUMN()),IFERROR(INDEX(MO_BSS_OL,0,COLUMN()),0))</f>
        <v>2.1263841959500859E-2</v>
      </c>
      <c r="CD81" s="966">
        <f ca="1">INDEX(MO_BSS_Debt_Net,0,COLUMN())/SUM(INDEX(MO_BS_SE,0,COLUMN()),INDEX(MO_BSS_Debt,0,COLUMN()),IFERROR(INDEX(MO_BSS_OL,0,COLUMN()),0))</f>
        <v>-4.0718724541691724E-2</v>
      </c>
      <c r="CE81" s="966">
        <f ca="1">INDEX(MO_BSS_Debt_Net,0,COLUMN())/SUM(INDEX(MO_BS_SE,0,COLUMN()),INDEX(MO_BSS_Debt,0,COLUMN()),IFERROR(INDEX(MO_BSS_OL,0,COLUMN()),0))</f>
        <v>-9.3665940384458912E-2</v>
      </c>
      <c r="CF81" s="966">
        <f ca="1">INDEX(MO_BSS_Debt_Net,0,COLUMN())/SUM(INDEX(MO_BS_SE,0,COLUMN()),INDEX(MO_BSS_Debt,0,COLUMN()),IFERROR(INDEX(MO_BSS_OL,0,COLUMN()),0))</f>
        <v>-0.12512574125014927</v>
      </c>
      <c r="CG81" s="199"/>
    </row>
    <row r="82" spans="1:85" s="461" customFormat="1" hidden="1" outlineLevel="1" x14ac:dyDescent="0.3">
      <c r="A82" s="166" t="s">
        <v>433</v>
      </c>
      <c r="B82" s="183"/>
      <c r="C82" s="150">
        <f>C45</f>
        <v>32008</v>
      </c>
      <c r="D82" s="150">
        <f>D45</f>
        <v>46315</v>
      </c>
      <c r="E82" s="150">
        <f>E45</f>
        <v>61761</v>
      </c>
      <c r="F82" s="150">
        <f>F45</f>
        <v>61473</v>
      </c>
      <c r="G82" s="117"/>
      <c r="H82" s="117"/>
      <c r="I82" s="117"/>
      <c r="J82" s="117">
        <f>SUM(J45,I45,H45,G45)</f>
        <v>51952</v>
      </c>
      <c r="K82" s="150">
        <f>K45</f>
        <v>51952</v>
      </c>
      <c r="L82" s="117">
        <f>SUM(L45,J45,I45,H45)</f>
        <v>50414</v>
      </c>
      <c r="M82" s="117">
        <f>SUM(M45,L45,J45,I45)</f>
        <v>51647</v>
      </c>
      <c r="N82" s="117">
        <f>SUM(N45,M45,L45,J45)</f>
        <v>51772</v>
      </c>
      <c r="O82" s="117">
        <f>SUM(O45,N45,M45,L45)</f>
        <v>49980</v>
      </c>
      <c r="P82" s="150">
        <f>P45</f>
        <v>49980</v>
      </c>
      <c r="Q82" s="117">
        <f>SUM(Q45,O45,N45,M45)</f>
        <v>45415</v>
      </c>
      <c r="R82" s="117">
        <f>SUM(R45,Q45,O45,N45)</f>
        <v>41248</v>
      </c>
      <c r="S82" s="117">
        <f>SUM(S45,R45,Q45,O45)</f>
        <v>35438</v>
      </c>
      <c r="T82" s="117">
        <f>SUM(T45,S45,R45,Q45)</f>
        <v>29219</v>
      </c>
      <c r="U82" s="150">
        <f>U45</f>
        <v>29219</v>
      </c>
      <c r="V82" s="117">
        <f>SUM(V45,T45,S45,R45)</f>
        <v>24373</v>
      </c>
      <c r="W82" s="117">
        <f>SUM(W45,V45,T45,S45)</f>
        <v>19921</v>
      </c>
      <c r="X82" s="117">
        <f>SUM(X45,W45,V45,T45)</f>
        <v>18115</v>
      </c>
      <c r="Y82" s="117">
        <f>SUM(Y45,X45,W45,V45)</f>
        <v>18531</v>
      </c>
      <c r="Z82" s="150">
        <f>Z45</f>
        <v>18531</v>
      </c>
      <c r="AA82" s="117">
        <f>SUM(AA45,Y45,X45,W45)</f>
        <v>22987</v>
      </c>
      <c r="AB82" s="117">
        <f>SUM(AB45,AA45,Y45,X45)</f>
        <v>25480</v>
      </c>
      <c r="AC82" s="117">
        <f>SUM(AC45,AB45,AA45,Y45)</f>
        <v>27960</v>
      </c>
      <c r="AD82" s="117">
        <f>SUM(AD45,AC45,AB45,AA45)</f>
        <v>29741</v>
      </c>
      <c r="AE82" s="150">
        <f>AE45</f>
        <v>29741</v>
      </c>
      <c r="AF82" s="117">
        <f>SUM(AF45,AD45,AC45,AB45)</f>
        <v>31902</v>
      </c>
      <c r="AG82" s="117">
        <f>SUM(AG45,AF45,AD45,AC45)</f>
        <v>34262</v>
      </c>
      <c r="AH82" s="117">
        <f>SUM(AH45,AG45,AF45,AD45)</f>
        <v>38107</v>
      </c>
      <c r="AI82" s="117">
        <f>SUM(AI45,AH45,AG45,AF45)</f>
        <v>41952</v>
      </c>
      <c r="AJ82" s="150">
        <f>AJ45</f>
        <v>41952</v>
      </c>
      <c r="AK82" s="117">
        <f>SUM(AK45,AI45,AH45,AG45)</f>
        <v>40738</v>
      </c>
      <c r="AL82" s="117">
        <f>SUM(AL45,AK45,AI45,AH45)</f>
        <v>41549</v>
      </c>
      <c r="AM82" s="117">
        <f>SUM(AM45,AL45,AK45,AI45)</f>
        <v>38438</v>
      </c>
      <c r="AN82" s="117">
        <f>SUM(AN45,AM45,AL45,AK45)</f>
        <v>36322</v>
      </c>
      <c r="AO82" s="150">
        <f>AO45</f>
        <v>36322</v>
      </c>
      <c r="AP82" s="117">
        <f>SUM(AP45,AN45,AM45,AL45)</f>
        <v>36610</v>
      </c>
      <c r="AQ82" s="117">
        <f>SUM(AQ45,AP45,AN45,AM45)</f>
        <v>23189</v>
      </c>
      <c r="AR82" s="117">
        <f>SUM(AR45,AQ45,AP45,AN45)</f>
        <v>18668</v>
      </c>
      <c r="AS82" s="117">
        <f>SUM(AS45,AR45,AQ45,AP45)</f>
        <v>14289</v>
      </c>
      <c r="AT82" s="150">
        <f>AT45</f>
        <v>14289</v>
      </c>
      <c r="AU82" s="117">
        <f>SUM(AU45,AS45,AR45,AQ45)</f>
        <v>12283</v>
      </c>
      <c r="AV82" s="117">
        <f>SUM(AV45,AU45,AS45,AR45)</f>
        <v>24338</v>
      </c>
      <c r="AW82" s="117">
        <f>SUM(AW45,AV45,AU45,AS45)</f>
        <v>32775</v>
      </c>
      <c r="AX82" s="117">
        <f>SUM(AX45,AW45,AV45,AU45)</f>
        <v>40825</v>
      </c>
      <c r="AY82" s="150">
        <f>AY45</f>
        <v>40825</v>
      </c>
      <c r="AZ82" s="117">
        <f>SUM(AZ45,AX45,AW45,AV45)</f>
        <v>47131</v>
      </c>
      <c r="BA82" s="117">
        <f>SUM(BA45,AZ45,AX45,AW45)</f>
        <v>57917</v>
      </c>
      <c r="BB82" s="117">
        <f>SUM(BB45,BA45,AZ45,AX45)</f>
        <v>64480</v>
      </c>
      <c r="BC82" s="117">
        <f>SUM(BC45,BB45,BA45,AZ45)</f>
        <v>67483</v>
      </c>
      <c r="BD82" s="150">
        <f>BD45</f>
        <v>67483</v>
      </c>
      <c r="BE82" s="117">
        <f>SUM(BE45,BC45,BB45,BA45)</f>
        <v>67780</v>
      </c>
      <c r="BF82" s="117">
        <f>SUM(BF45,BE45,BC45,BB45)</f>
        <v>59399</v>
      </c>
      <c r="BG82" s="117">
        <f>SUM(BG45,BF45,BE45,BC45)</f>
        <v>53323</v>
      </c>
      <c r="BH82" s="117">
        <f>SUM(BH45,BG45,BF45,BE45)</f>
        <v>48293</v>
      </c>
      <c r="BI82" s="150">
        <f>BI45</f>
        <v>48293</v>
      </c>
      <c r="BJ82" s="117">
        <f>SUM(BJ45,BH45,BG45,BF45)</f>
        <v>47203</v>
      </c>
      <c r="BK82" s="117">
        <f>SUM(BK45,BJ45,BH45,BG45)</f>
        <v>46972</v>
      </c>
      <c r="BL82" s="117">
        <f>SUM(BL45,BK45,BJ45,BH45)</f>
        <v>44815</v>
      </c>
      <c r="BM82" s="117">
        <f>SUM(BM45,BL45,BK45,BJ45)</f>
        <v>46377</v>
      </c>
      <c r="BN82" s="150">
        <f>BN45</f>
        <v>46377</v>
      </c>
      <c r="BO82" s="117">
        <f>SUM(BO45,BM45,BL45,BK45)</f>
        <v>44222</v>
      </c>
      <c r="BP82" s="117">
        <f>SUM(BP45,BO45,BM45,BL45)</f>
        <v>41823</v>
      </c>
      <c r="BQ82" s="117">
        <f>SUM(BQ45,BP45,BO45,BM45)</f>
        <v>42655</v>
      </c>
      <c r="BR82" s="117">
        <f>SUM(BR45,BQ45,BP45,BO45)</f>
        <v>42143</v>
      </c>
      <c r="BS82" s="150">
        <f>BS45</f>
        <v>42143</v>
      </c>
      <c r="BT82" s="691">
        <f>SUM(BT45,BR45,BQ45,BP45)</f>
        <v>42342</v>
      </c>
      <c r="BU82" s="117">
        <f>SUM(BU45,BT45,BR45,BQ45)</f>
        <v>53789.368219999989</v>
      </c>
      <c r="BV82" s="117">
        <f>SUM(BV45,BU45,BT45,BR45)</f>
        <v>57634.948879999989</v>
      </c>
      <c r="BW82" s="117">
        <f>SUM(BW45,BV45,BU45,BT45)</f>
        <v>61428.017439999996</v>
      </c>
      <c r="BX82" s="150">
        <f>BX45</f>
        <v>61428.017440000011</v>
      </c>
      <c r="BY82" s="117">
        <f>SUM(BY45,BW45,BV45,BU45)</f>
        <v>67537.684239999988</v>
      </c>
      <c r="BZ82" s="117">
        <f>SUM(BZ45,BY45,BW45,BV45)</f>
        <v>64016.630576999996</v>
      </c>
      <c r="CA82" s="117">
        <f>SUM(CA45,BZ45,BY45,BW45)</f>
        <v>65525.752944999986</v>
      </c>
      <c r="CB82" s="117">
        <f>SUM(CB45,CA45,BZ45,BY45)</f>
        <v>67629.22602099998</v>
      </c>
      <c r="CC82" s="150">
        <f>CC45</f>
        <v>67629.22602099998</v>
      </c>
      <c r="CD82" s="150">
        <f>CD45</f>
        <v>66347.732550000001</v>
      </c>
      <c r="CE82" s="150">
        <f>CE45</f>
        <v>61835.631025000002</v>
      </c>
      <c r="CF82" s="150">
        <f>CF45</f>
        <v>55344.935099999995</v>
      </c>
      <c r="CG82" s="120"/>
    </row>
    <row r="83" spans="1:85" s="461" customFormat="1" hidden="1" outlineLevel="1" x14ac:dyDescent="0.3">
      <c r="A83" s="166" t="s">
        <v>434</v>
      </c>
      <c r="B83" s="183"/>
      <c r="C83" s="150">
        <f ca="1">C60</f>
        <v>19373</v>
      </c>
      <c r="D83" s="150">
        <f ca="1">D60</f>
        <v>31354</v>
      </c>
      <c r="E83" s="150">
        <f ca="1">E60</f>
        <v>41095</v>
      </c>
      <c r="F83" s="150">
        <f ca="1">F60</f>
        <v>38812</v>
      </c>
      <c r="G83" s="117"/>
      <c r="H83" s="117"/>
      <c r="I83" s="117"/>
      <c r="J83" s="117">
        <f ca="1">SUM(J60,I60,H60,G60)</f>
        <v>35002</v>
      </c>
      <c r="K83" s="150">
        <f ca="1">K60</f>
        <v>35002</v>
      </c>
      <c r="L83" s="117">
        <f ca="1">SUM(L60,J60,I60,H60)</f>
        <v>37705</v>
      </c>
      <c r="M83" s="117">
        <f ca="1">SUM(M60,L60,J60,I60)</f>
        <v>37066</v>
      </c>
      <c r="N83" s="117">
        <f ca="1">SUM(N60,M60,L60,J60)</f>
        <v>35430</v>
      </c>
      <c r="O83" s="117">
        <f ca="1">SUM(O60,N60,M60,L60)</f>
        <v>31475</v>
      </c>
      <c r="P83" s="150">
        <f ca="1">P60</f>
        <v>31475</v>
      </c>
      <c r="Q83" s="117">
        <f ca="1">SUM(Q60,O60,N60,M60)</f>
        <v>25377</v>
      </c>
      <c r="R83" s="117">
        <f ca="1">SUM(R60,Q60,O60,N60)</f>
        <v>24716</v>
      </c>
      <c r="S83" s="117">
        <f ca="1">SUM(S60,R60,Q60,O60)</f>
        <v>21396</v>
      </c>
      <c r="T83" s="117">
        <f ca="1">SUM(T60,S60,R60,Q60)</f>
        <v>19456</v>
      </c>
      <c r="U83" s="150">
        <f ca="1">U60</f>
        <v>19456</v>
      </c>
      <c r="V83" s="117">
        <f ca="1">SUM(V60,T60,S60,R60)</f>
        <v>18278</v>
      </c>
      <c r="W83" s="117">
        <f ca="1">SUM(W60,V60,T60,S60)</f>
        <v>13589</v>
      </c>
      <c r="X83" s="117">
        <f ca="1">SUM(X60,W60,V60,T60)</f>
        <v>13540</v>
      </c>
      <c r="Y83" s="117">
        <f ca="1">SUM(Y60,X60,W60,V60)</f>
        <v>12846</v>
      </c>
      <c r="Z83" s="150">
        <f ca="1">Z60</f>
        <v>12846</v>
      </c>
      <c r="AA83" s="117">
        <f ca="1">SUM(AA60,Y60,X60,W60)</f>
        <v>15584</v>
      </c>
      <c r="AB83" s="117">
        <f ca="1">SUM(AB60,AA60,Y60,X60)</f>
        <v>18089</v>
      </c>
      <c r="AC83" s="117">
        <f ca="1">SUM(AC60,AB60,AA60,Y60)</f>
        <v>18148</v>
      </c>
      <c r="AD83" s="117">
        <f ca="1">SUM(AD60,AC60,AB60,AA60)</f>
        <v>20515</v>
      </c>
      <c r="AE83" s="150">
        <f ca="1">AE60</f>
        <v>20515</v>
      </c>
      <c r="AF83" s="117">
        <f ca="1">SUM(AF60,AD60,AC60,AB60)</f>
        <v>21679</v>
      </c>
      <c r="AG83" s="117">
        <f ca="1">SUM(AG60,AF60,AD60,AC60)</f>
        <v>23498</v>
      </c>
      <c r="AH83" s="117">
        <f ca="1">SUM(AH60,AG60,AF60,AD60)</f>
        <v>27697</v>
      </c>
      <c r="AI83" s="117">
        <f ca="1">SUM(AI60,AH60,AG60,AF60)</f>
        <v>30618</v>
      </c>
      <c r="AJ83" s="150">
        <f ca="1">AJ60</f>
        <v>30618</v>
      </c>
      <c r="AK83" s="117">
        <f ca="1">SUM(AK60,AI60,AH60,AG60)</f>
        <v>30632</v>
      </c>
      <c r="AL83" s="117">
        <f ca="1">SUM(AL60,AK60,AI60,AH60)</f>
        <v>32560</v>
      </c>
      <c r="AM83" s="117">
        <f ca="1">SUM(AM60,AL60,AK60,AI60)</f>
        <v>30808</v>
      </c>
      <c r="AN83" s="117">
        <f ca="1">SUM(AN60,AM60,AL60,AK60)</f>
        <v>27314</v>
      </c>
      <c r="AO83" s="150">
        <f ca="1">AO60</f>
        <v>27314</v>
      </c>
      <c r="AP83" s="117">
        <f ca="1">SUM(AP60,AN60,AM60,AL60)</f>
        <v>26979</v>
      </c>
      <c r="AQ83" s="117">
        <f ca="1">SUM(AQ60,AP60,AN60,AM60)</f>
        <v>18276</v>
      </c>
      <c r="AR83" s="117">
        <f ca="1">SUM(AR60,AQ60,AP60,AN60)</f>
        <v>13996</v>
      </c>
      <c r="AS83" s="117">
        <f ca="1">SUM(AS60,AR60,AQ60,AP60)</f>
        <v>10577</v>
      </c>
      <c r="AT83" s="150">
        <f ca="1">AT60</f>
        <v>10577</v>
      </c>
      <c r="AU83" s="117">
        <f ca="1">SUM(AU60,AS60,AR60,AQ60)</f>
        <v>10051</v>
      </c>
      <c r="AV83" s="117">
        <f ca="1">SUM(AV60,AU60,AS60,AR60)</f>
        <v>16925</v>
      </c>
      <c r="AW83" s="117">
        <f ca="1">SUM(AW60,AV60,AU60,AS60)</f>
        <v>21967</v>
      </c>
      <c r="AX83" s="117">
        <f ca="1">SUM(AX60,AW60,AV60,AU60)</f>
        <v>29187</v>
      </c>
      <c r="AY83" s="150">
        <f ca="1">AY60</f>
        <v>29187</v>
      </c>
      <c r="AZ83" s="117">
        <f ca="1">SUM(AZ60,AX60,AW60,AV60)</f>
        <v>33046</v>
      </c>
      <c r="BA83" s="117">
        <f ca="1">SUM(BA60,AZ60,AX60,AW60)</f>
        <v>39874</v>
      </c>
      <c r="BB83" s="117">
        <f ca="1">SUM(BB60,BA60,AZ60,AX60)</f>
        <v>46562</v>
      </c>
      <c r="BC83" s="117">
        <f ca="1">SUM(BC60,BB60,BA60,AZ60)</f>
        <v>49602</v>
      </c>
      <c r="BD83" s="150">
        <f ca="1">BD60</f>
        <v>49602</v>
      </c>
      <c r="BE83" s="117">
        <f ca="1">SUM(BE60,BC60,BB60,BA60)</f>
        <v>48752</v>
      </c>
      <c r="BF83" s="117">
        <f ca="1">SUM(BF60,BE60,BC60,BB60)</f>
        <v>41267</v>
      </c>
      <c r="BG83" s="117">
        <f ca="1">SUM(BG60,BF60,BE60,BC60)</f>
        <v>35673</v>
      </c>
      <c r="BH83" s="117">
        <f ca="1">SUM(BH60,BG60,BF60,BE60)</f>
        <v>35609</v>
      </c>
      <c r="BI83" s="150">
        <f ca="1">BI60</f>
        <v>35609</v>
      </c>
      <c r="BJ83" s="117">
        <f ca="1">SUM(BJ60,BH60,BG60,BF60)</f>
        <v>35232</v>
      </c>
      <c r="BK83" s="117">
        <f ca="1">SUM(BK60,BJ60,BH60,BG60)</f>
        <v>35230</v>
      </c>
      <c r="BL83" s="117">
        <f ca="1">SUM(BL60,BK60,BJ60,BH60)</f>
        <v>35231</v>
      </c>
      <c r="BM83" s="117">
        <f ca="1">SUM(BM60,BL60,BK60,BJ60)</f>
        <v>31492</v>
      </c>
      <c r="BN83" s="150">
        <f ca="1">BN60</f>
        <v>31492</v>
      </c>
      <c r="BO83" s="117">
        <f ca="1">SUM(BO60,BM60,BL60,BK60)</f>
        <v>29853</v>
      </c>
      <c r="BP83" s="117">
        <f ca="1">SUM(BP60,BO60,BM60,BL60)</f>
        <v>32134</v>
      </c>
      <c r="BQ83" s="117">
        <f ca="1">SUM(BQ60,BP60,BO60,BM60)</f>
        <v>31845</v>
      </c>
      <c r="BR83" s="117">
        <f ca="1">SUM(BR60,BQ60,BP60,BO60)</f>
        <v>33939</v>
      </c>
      <c r="BS83" s="150">
        <f ca="1">BS60</f>
        <v>33939</v>
      </c>
      <c r="BT83" s="691">
        <f ca="1">SUM(BT60,BR60,BQ60,BP60)</f>
        <v>31264</v>
      </c>
      <c r="BU83" s="117">
        <f ca="1">SUM(BU60,BT60,BR60,BQ60)</f>
        <v>37874.854767698627</v>
      </c>
      <c r="BV83" s="117">
        <f ca="1">SUM(BV60,BU60,BT60,BR60)</f>
        <v>40128.480188602734</v>
      </c>
      <c r="BW83" s="117">
        <f ca="1">SUM(BW60,BV60,BU60,BT60)</f>
        <v>40671.847139506841</v>
      </c>
      <c r="BX83" s="150">
        <f ca="1">BX60</f>
        <v>40671.847139506841</v>
      </c>
      <c r="BY83" s="117">
        <f ca="1">SUM(BY60,BW60,BV60,BU60)</f>
        <v>50354.707408821909</v>
      </c>
      <c r="BZ83" s="117">
        <f ca="1">SUM(BZ60,BY60,BW60,BV60)</f>
        <v>47881.961473036296</v>
      </c>
      <c r="CA83" s="117">
        <f ca="1">SUM(CA60,BZ60,BY60,BW60)</f>
        <v>49127.274910743145</v>
      </c>
      <c r="CB83" s="117">
        <f ca="1">SUM(CB60,CA60,BZ60,BY60)</f>
        <v>50585.791913649991</v>
      </c>
      <c r="CC83" s="150">
        <f ca="1">CC60</f>
        <v>50585.791913649991</v>
      </c>
      <c r="CD83" s="150">
        <f ca="1">CD60</f>
        <v>49927.821157500002</v>
      </c>
      <c r="CE83" s="150">
        <f ca="1">CE60</f>
        <v>48642.951027750001</v>
      </c>
      <c r="CF83" s="150">
        <f ca="1">CF60</f>
        <v>42776.002814999993</v>
      </c>
      <c r="CG83" s="120"/>
    </row>
    <row r="84" spans="1:85" collapsed="1" x14ac:dyDescent="0.3">
      <c r="A84" s="158"/>
      <c r="B84" s="163"/>
      <c r="C84" s="955"/>
      <c r="D84" s="955"/>
      <c r="E84" s="955"/>
      <c r="F84" s="955"/>
      <c r="G84" s="728"/>
      <c r="H84" s="728"/>
      <c r="I84" s="728"/>
      <c r="J84" s="728"/>
      <c r="K84" s="955"/>
      <c r="L84" s="728"/>
      <c r="M84" s="728"/>
      <c r="N84" s="728"/>
      <c r="O84" s="728"/>
      <c r="P84" s="955"/>
      <c r="Q84" s="728"/>
      <c r="R84" s="728"/>
      <c r="S84" s="728"/>
      <c r="T84" s="728"/>
      <c r="U84" s="955"/>
      <c r="V84" s="728"/>
      <c r="W84" s="728"/>
      <c r="X84" s="728"/>
      <c r="Y84" s="728"/>
      <c r="Z84" s="955"/>
      <c r="AA84" s="728"/>
      <c r="AB84" s="728"/>
      <c r="AC84" s="728"/>
      <c r="AD84" s="728"/>
      <c r="AE84" s="955"/>
      <c r="AF84" s="728"/>
      <c r="AG84" s="728"/>
      <c r="AH84" s="728"/>
      <c r="AI84" s="728"/>
      <c r="AJ84" s="955"/>
      <c r="AK84" s="728"/>
      <c r="AL84" s="728"/>
      <c r="AM84" s="728"/>
      <c r="AN84" s="728"/>
      <c r="AO84" s="955"/>
      <c r="AP84" s="728"/>
      <c r="AQ84" s="728"/>
      <c r="AR84" s="728"/>
      <c r="AS84" s="728"/>
      <c r="AT84" s="955"/>
      <c r="AU84" s="728"/>
      <c r="AV84" s="728"/>
      <c r="AW84" s="728"/>
      <c r="AX84" s="728"/>
      <c r="AY84" s="955"/>
      <c r="AZ84" s="728"/>
      <c r="BA84" s="728"/>
      <c r="BB84" s="728"/>
      <c r="BC84" s="728"/>
      <c r="BD84" s="955"/>
      <c r="BE84" s="728"/>
      <c r="BF84" s="728"/>
      <c r="BG84" s="728"/>
      <c r="BH84" s="728"/>
      <c r="BI84" s="955"/>
      <c r="BJ84" s="728"/>
      <c r="BK84" s="728"/>
      <c r="BL84" s="728"/>
      <c r="BM84" s="728"/>
      <c r="BN84" s="955"/>
      <c r="BO84" s="728"/>
      <c r="BP84" s="728"/>
      <c r="BQ84" s="728"/>
      <c r="BR84" s="728"/>
      <c r="BS84" s="955"/>
      <c r="BT84" s="760"/>
      <c r="BU84" s="728"/>
      <c r="BV84" s="728"/>
      <c r="BW84" s="728"/>
      <c r="BX84" s="955"/>
      <c r="BY84" s="728"/>
      <c r="BZ84" s="728"/>
      <c r="CA84" s="728"/>
      <c r="CB84" s="728"/>
      <c r="CC84" s="955"/>
      <c r="CD84" s="955"/>
      <c r="CE84" s="955"/>
      <c r="CF84" s="955"/>
      <c r="CG84" s="137"/>
    </row>
    <row r="85" spans="1:85" x14ac:dyDescent="0.3">
      <c r="A85" s="732" t="s">
        <v>435</v>
      </c>
      <c r="B85" s="729"/>
      <c r="C85" s="729"/>
      <c r="D85" s="729"/>
      <c r="E85" s="729"/>
      <c r="F85" s="729"/>
      <c r="G85" s="729"/>
      <c r="H85" s="729"/>
      <c r="I85" s="729"/>
      <c r="J85" s="729"/>
      <c r="K85" s="729"/>
      <c r="L85" s="729"/>
      <c r="M85" s="729"/>
      <c r="N85" s="729"/>
      <c r="O85" s="729"/>
      <c r="P85" s="729"/>
      <c r="Q85" s="729"/>
      <c r="R85" s="729"/>
      <c r="S85" s="729"/>
      <c r="T85" s="729"/>
      <c r="U85" s="729"/>
      <c r="V85" s="729"/>
      <c r="W85" s="729"/>
      <c r="X85" s="729"/>
      <c r="Y85" s="729"/>
      <c r="Z85" s="729"/>
      <c r="AA85" s="729"/>
      <c r="AB85" s="729"/>
      <c r="AC85" s="729"/>
      <c r="AD85" s="729"/>
      <c r="AE85" s="729"/>
      <c r="AF85" s="729"/>
      <c r="AG85" s="729"/>
      <c r="AH85" s="729"/>
      <c r="AI85" s="729"/>
      <c r="AJ85" s="729"/>
      <c r="AK85" s="729"/>
      <c r="AL85" s="729"/>
      <c r="AM85" s="729"/>
      <c r="AN85" s="729"/>
      <c r="AO85" s="729"/>
      <c r="AP85" s="729"/>
      <c r="AQ85" s="729"/>
      <c r="AR85" s="729"/>
      <c r="AS85" s="729"/>
      <c r="AT85" s="729"/>
      <c r="AU85" s="729"/>
      <c r="AV85" s="729"/>
      <c r="AW85" s="729"/>
      <c r="AX85" s="729"/>
      <c r="AY85" s="729"/>
      <c r="AZ85" s="729"/>
      <c r="BA85" s="729"/>
      <c r="BB85" s="729"/>
      <c r="BC85" s="729"/>
      <c r="BD85" s="729"/>
      <c r="BE85" s="729"/>
      <c r="BF85" s="729"/>
      <c r="BG85" s="729"/>
      <c r="BH85" s="729"/>
      <c r="BI85" s="729"/>
      <c r="BJ85" s="729"/>
      <c r="BK85" s="729"/>
      <c r="BL85" s="729"/>
      <c r="BM85" s="729"/>
      <c r="BN85" s="729"/>
      <c r="BO85" s="729"/>
      <c r="BP85" s="729"/>
      <c r="BQ85" s="729"/>
      <c r="BR85" s="729"/>
      <c r="BS85" s="729"/>
      <c r="BT85" s="761"/>
      <c r="BU85" s="729"/>
      <c r="BV85" s="729"/>
      <c r="BW85" s="729"/>
      <c r="BX85" s="729"/>
      <c r="BY85" s="729"/>
      <c r="BZ85" s="729"/>
      <c r="CA85" s="729"/>
      <c r="CB85" s="729"/>
      <c r="CC85" s="729"/>
      <c r="CD85" s="729"/>
      <c r="CE85" s="729"/>
      <c r="CF85" s="729"/>
      <c r="CG85" s="137"/>
    </row>
    <row r="86" spans="1:85" s="460" customFormat="1" hidden="1" outlineLevel="1" x14ac:dyDescent="0.3">
      <c r="A86" s="159" t="s">
        <v>436</v>
      </c>
      <c r="B86" s="160"/>
      <c r="C86" s="150">
        <f t="shared" ref="C86:AH86" si="313">INDEX(SP_Company1876_NI,0,COLUMN())</f>
        <v>10483</v>
      </c>
      <c r="D86" s="150">
        <f t="shared" si="313"/>
        <v>19024</v>
      </c>
      <c r="E86" s="150">
        <f t="shared" si="313"/>
        <v>26895</v>
      </c>
      <c r="F86" s="150">
        <f t="shared" si="313"/>
        <v>26179</v>
      </c>
      <c r="G86" s="117">
        <f t="shared" si="313"/>
        <v>6178</v>
      </c>
      <c r="H86" s="117">
        <f t="shared" si="313"/>
        <v>5365</v>
      </c>
      <c r="I86" s="117">
        <f t="shared" si="313"/>
        <v>4950</v>
      </c>
      <c r="J86" s="117">
        <f t="shared" si="313"/>
        <v>4930</v>
      </c>
      <c r="K86" s="150">
        <f t="shared" si="313"/>
        <v>21423</v>
      </c>
      <c r="L86" s="117">
        <f t="shared" si="313"/>
        <v>4512</v>
      </c>
      <c r="M86" s="117">
        <f t="shared" si="313"/>
        <v>5665</v>
      </c>
      <c r="N86" s="117">
        <f t="shared" si="313"/>
        <v>5593</v>
      </c>
      <c r="O86" s="117">
        <f t="shared" si="313"/>
        <v>3471</v>
      </c>
      <c r="P86" s="150">
        <f t="shared" si="313"/>
        <v>19241</v>
      </c>
      <c r="Q86" s="117">
        <f t="shared" si="313"/>
        <v>2567</v>
      </c>
      <c r="R86" s="117">
        <f t="shared" si="313"/>
        <v>571</v>
      </c>
      <c r="S86" s="117">
        <f t="shared" si="313"/>
        <v>2037</v>
      </c>
      <c r="T86" s="117">
        <f t="shared" si="313"/>
        <v>-588</v>
      </c>
      <c r="U86" s="150">
        <f t="shared" si="313"/>
        <v>4587</v>
      </c>
      <c r="V86" s="117">
        <f t="shared" si="313"/>
        <v>-725</v>
      </c>
      <c r="W86" s="117">
        <f t="shared" si="313"/>
        <v>-1470</v>
      </c>
      <c r="X86" s="117">
        <f t="shared" si="313"/>
        <v>1283</v>
      </c>
      <c r="Y86" s="117">
        <f t="shared" si="313"/>
        <v>415</v>
      </c>
      <c r="Z86" s="150">
        <f t="shared" si="313"/>
        <v>-497</v>
      </c>
      <c r="AA86" s="117">
        <f t="shared" si="313"/>
        <v>2682</v>
      </c>
      <c r="AB86" s="117">
        <f t="shared" si="313"/>
        <v>1450</v>
      </c>
      <c r="AC86" s="117">
        <f t="shared" si="313"/>
        <v>1952</v>
      </c>
      <c r="AD86" s="117">
        <f t="shared" si="313"/>
        <v>3111</v>
      </c>
      <c r="AE86" s="150">
        <f t="shared" si="313"/>
        <v>9195</v>
      </c>
      <c r="AF86" s="117">
        <f t="shared" si="313"/>
        <v>3638</v>
      </c>
      <c r="AG86" s="117">
        <f t="shared" si="313"/>
        <v>3409</v>
      </c>
      <c r="AH86" s="117">
        <f t="shared" si="313"/>
        <v>4047</v>
      </c>
      <c r="AI86" s="117">
        <f t="shared" ref="AI86:BI86" si="314">INDEX(SP_Company1876_NI,0,COLUMN())</f>
        <v>3730</v>
      </c>
      <c r="AJ86" s="150">
        <f t="shared" si="314"/>
        <v>14824</v>
      </c>
      <c r="AK86" s="117">
        <f t="shared" si="314"/>
        <v>2786</v>
      </c>
      <c r="AL86" s="117">
        <f t="shared" si="314"/>
        <v>3370</v>
      </c>
      <c r="AM86" s="117">
        <f t="shared" si="314"/>
        <v>2936</v>
      </c>
      <c r="AN86" s="117">
        <f t="shared" si="314"/>
        <v>2796</v>
      </c>
      <c r="AO86" s="150">
        <f t="shared" si="314"/>
        <v>11888</v>
      </c>
      <c r="AP86" s="117">
        <f t="shared" si="314"/>
        <v>2405</v>
      </c>
      <c r="AQ86" s="117">
        <f t="shared" si="314"/>
        <v>-2963</v>
      </c>
      <c r="AR86" s="117">
        <f t="shared" si="314"/>
        <v>201</v>
      </c>
      <c r="AS86" s="117">
        <f t="shared" si="314"/>
        <v>-11</v>
      </c>
      <c r="AT86" s="150">
        <f t="shared" si="314"/>
        <v>-368</v>
      </c>
      <c r="AU86" s="117">
        <f t="shared" si="314"/>
        <v>1730</v>
      </c>
      <c r="AV86" s="117">
        <f t="shared" si="314"/>
        <v>3274</v>
      </c>
      <c r="AW86" s="117">
        <f t="shared" si="314"/>
        <v>5687</v>
      </c>
      <c r="AX86" s="117">
        <f t="shared" si="314"/>
        <v>4917</v>
      </c>
      <c r="AY86" s="150">
        <f t="shared" si="314"/>
        <v>15608</v>
      </c>
      <c r="AZ86" s="117">
        <f t="shared" si="314"/>
        <v>6543</v>
      </c>
      <c r="BA86" s="117">
        <f t="shared" si="314"/>
        <v>11365</v>
      </c>
      <c r="BB86" s="117">
        <f t="shared" si="314"/>
        <v>10784</v>
      </c>
      <c r="BC86" s="117">
        <f t="shared" si="314"/>
        <v>7850</v>
      </c>
      <c r="BD86" s="150">
        <f t="shared" si="314"/>
        <v>36542</v>
      </c>
      <c r="BE86" s="117">
        <f t="shared" si="314"/>
        <v>6744</v>
      </c>
      <c r="BF86" s="117">
        <f t="shared" si="314"/>
        <v>5775</v>
      </c>
      <c r="BG86" s="117">
        <f t="shared" si="314"/>
        <v>5721</v>
      </c>
      <c r="BH86" s="117">
        <f t="shared" si="314"/>
        <v>6453</v>
      </c>
      <c r="BI86" s="150">
        <f t="shared" si="314"/>
        <v>24693</v>
      </c>
      <c r="BJ86" s="117">
        <f t="shared" ref="BJ86:BN86" si="315">INDEX(SP_Company1876_NI,0,COLUMN())</f>
        <v>5416</v>
      </c>
      <c r="BK86" s="117">
        <f t="shared" si="315"/>
        <v>4677</v>
      </c>
      <c r="BL86" s="117">
        <f t="shared" si="315"/>
        <v>4531</v>
      </c>
      <c r="BM86" s="117">
        <f t="shared" si="315"/>
        <v>3632</v>
      </c>
      <c r="BN86" s="150">
        <f t="shared" si="315"/>
        <v>18256</v>
      </c>
      <c r="BO86" s="117">
        <f t="shared" ref="BO86:BS86" si="316">INDEX(SP_Company1876_NI,0,COLUMN())</f>
        <v>3813</v>
      </c>
      <c r="BP86" s="117">
        <f t="shared" si="316"/>
        <v>3053</v>
      </c>
      <c r="BQ86" s="117">
        <f t="shared" si="316"/>
        <v>3627</v>
      </c>
      <c r="BR86" s="117">
        <f t="shared" si="316"/>
        <v>3028</v>
      </c>
      <c r="BS86" s="150">
        <f t="shared" si="316"/>
        <v>13521</v>
      </c>
      <c r="BT86" s="691">
        <f t="shared" ref="BT86:BX86" si="317">INDEX(SP_Company1876_NI,0,COLUMN())</f>
        <v>2793</v>
      </c>
      <c r="BU86" s="117">
        <f t="shared" si="317"/>
        <v>9898.3570799616391</v>
      </c>
      <c r="BV86" s="117">
        <f t="shared" ca="1" si="317"/>
        <v>7375.6396585150669</v>
      </c>
      <c r="BW86" s="117">
        <f t="shared" ca="1" si="317"/>
        <v>6589.1302558136995</v>
      </c>
      <c r="BX86" s="150">
        <f t="shared" ca="1" si="317"/>
        <v>26656.126994290426</v>
      </c>
      <c r="BY86" s="117">
        <f t="shared" ref="BY86:CF86" ca="1" si="318">INDEX(SP_Company1876_NI,0,COLUMN())</f>
        <v>5996.1876456438331</v>
      </c>
      <c r="BZ86" s="117">
        <f t="shared" ca="1" si="318"/>
        <v>6012.9054832387683</v>
      </c>
      <c r="CA86" s="117">
        <f t="shared" ca="1" si="318"/>
        <v>6177.5099706536939</v>
      </c>
      <c r="CB86" s="117">
        <f t="shared" ca="1" si="318"/>
        <v>6087.3182936936973</v>
      </c>
      <c r="CC86" s="150">
        <f t="shared" ca="1" si="318"/>
        <v>24273.92139322999</v>
      </c>
      <c r="CD86" s="150">
        <f t="shared" ca="1" si="318"/>
        <v>23151.580506500002</v>
      </c>
      <c r="CE86" s="150">
        <f t="shared" ca="1" si="318"/>
        <v>23269.9517175</v>
      </c>
      <c r="CF86" s="150">
        <f t="shared" ca="1" si="318"/>
        <v>16219.818112999996</v>
      </c>
      <c r="CG86" s="117"/>
    </row>
    <row r="87" spans="1:85" s="460" customFormat="1" hidden="1" outlineLevel="1" x14ac:dyDescent="0.3">
      <c r="A87" s="159" t="s">
        <v>437</v>
      </c>
      <c r="B87" s="160"/>
      <c r="C87" s="150">
        <f>C86</f>
        <v>10483</v>
      </c>
      <c r="D87" s="150">
        <f>D86</f>
        <v>19024</v>
      </c>
      <c r="E87" s="150">
        <f>E86</f>
        <v>26895</v>
      </c>
      <c r="F87" s="150">
        <f>F86</f>
        <v>26179</v>
      </c>
      <c r="G87" s="117"/>
      <c r="H87" s="117"/>
      <c r="I87" s="117"/>
      <c r="J87" s="117">
        <f>SUM(J86,I86,H86,G86)</f>
        <v>21423</v>
      </c>
      <c r="K87" s="150">
        <f>K86</f>
        <v>21423</v>
      </c>
      <c r="L87" s="117">
        <f>SUM(L86,J86,I86,H86)</f>
        <v>19757</v>
      </c>
      <c r="M87" s="117">
        <f>SUM(M86,L86,J86,I86)</f>
        <v>20057</v>
      </c>
      <c r="N87" s="117">
        <f>SUM(N86,M86,L86,J86)</f>
        <v>20700</v>
      </c>
      <c r="O87" s="117">
        <f>SUM(O86,N86,M86,L86)</f>
        <v>19241</v>
      </c>
      <c r="P87" s="150">
        <f>P86</f>
        <v>19241</v>
      </c>
      <c r="Q87" s="117">
        <f>SUM(Q86,O86,N86,M86)</f>
        <v>17296</v>
      </c>
      <c r="R87" s="117">
        <f>SUM(R86,Q86,O86,N86)</f>
        <v>12202</v>
      </c>
      <c r="S87" s="117">
        <f>SUM(S86,R86,Q86,O86)</f>
        <v>8646</v>
      </c>
      <c r="T87" s="117">
        <f>SUM(T86,S86,R86,Q86)</f>
        <v>4587</v>
      </c>
      <c r="U87" s="150">
        <f>U86</f>
        <v>4587</v>
      </c>
      <c r="V87" s="117">
        <f>SUM(V86,T86,S86,R86)</f>
        <v>1295</v>
      </c>
      <c r="W87" s="117">
        <f>SUM(W86,V86,T86,S86)</f>
        <v>-746</v>
      </c>
      <c r="X87" s="117">
        <f>SUM(X86,W86,V86,T86)</f>
        <v>-1500</v>
      </c>
      <c r="Y87" s="117">
        <f>SUM(Y86,X86,W86,V86)</f>
        <v>-497</v>
      </c>
      <c r="Z87" s="150">
        <f>Z86</f>
        <v>-497</v>
      </c>
      <c r="AA87" s="117">
        <f>SUM(AA86,Y86,X86,W86)</f>
        <v>2910</v>
      </c>
      <c r="AB87" s="117">
        <f>SUM(AB86,AA86,Y86,X86)</f>
        <v>5830</v>
      </c>
      <c r="AC87" s="117">
        <f>SUM(AC86,AB86,AA86,Y86)</f>
        <v>6499</v>
      </c>
      <c r="AD87" s="117">
        <f>SUM(AD86,AC86,AB86,AA86)</f>
        <v>9195</v>
      </c>
      <c r="AE87" s="150">
        <f>AE86</f>
        <v>9195</v>
      </c>
      <c r="AF87" s="117">
        <f>SUM(AF86,AD86,AC86,AB86)</f>
        <v>10151</v>
      </c>
      <c r="AG87" s="117">
        <f>SUM(AG86,AF86,AD86,AC86)</f>
        <v>12110</v>
      </c>
      <c r="AH87" s="117">
        <f>SUM(AH86,AG86,AF86,AD86)</f>
        <v>14205</v>
      </c>
      <c r="AI87" s="117">
        <f>SUM(AI86,AH86,AG86,AF86)</f>
        <v>14824</v>
      </c>
      <c r="AJ87" s="150">
        <f>AJ86</f>
        <v>14824</v>
      </c>
      <c r="AK87" s="117">
        <f>SUM(AK86,AI86,AH86,AG86)</f>
        <v>13972</v>
      </c>
      <c r="AL87" s="117">
        <f>SUM(AL86,AK86,AI86,AH86)</f>
        <v>13933</v>
      </c>
      <c r="AM87" s="117">
        <f>SUM(AM86,AL86,AK86,AI86)</f>
        <v>12822</v>
      </c>
      <c r="AN87" s="117">
        <f>SUM(AN86,AM86,AL86,AK86)</f>
        <v>11888</v>
      </c>
      <c r="AO87" s="150">
        <f>AO86</f>
        <v>11888</v>
      </c>
      <c r="AP87" s="117">
        <f>SUM(AP86,AN86,AM86,AL86)</f>
        <v>11507</v>
      </c>
      <c r="AQ87" s="117">
        <f>SUM(AQ86,AP86,AN86,AM86)</f>
        <v>5174</v>
      </c>
      <c r="AR87" s="117">
        <f>SUM(AR86,AQ86,AP86,AN86)</f>
        <v>2439</v>
      </c>
      <c r="AS87" s="117">
        <f>SUM(AS86,AR86,AQ86,AP86)</f>
        <v>-368</v>
      </c>
      <c r="AT87" s="150">
        <f>AT86</f>
        <v>-368</v>
      </c>
      <c r="AU87" s="117">
        <f>SUM(AU86,AS86,AR86,AQ86)</f>
        <v>-1043</v>
      </c>
      <c r="AV87" s="117">
        <f>SUM(AV86,AU86,AS86,AR86)</f>
        <v>5194</v>
      </c>
      <c r="AW87" s="117">
        <f>SUM(AW86,AV86,AU86,AS86)</f>
        <v>10680</v>
      </c>
      <c r="AX87" s="117">
        <f>SUM(AX86,AW86,AV86,AU86)</f>
        <v>15608</v>
      </c>
      <c r="AY87" s="150">
        <f>AY86</f>
        <v>15608</v>
      </c>
      <c r="AZ87" s="117">
        <f>SUM(AZ86,AX86,AW86,AV86)</f>
        <v>20421</v>
      </c>
      <c r="BA87" s="117">
        <f>SUM(BA86,AZ86,AX86,AW86)</f>
        <v>28512</v>
      </c>
      <c r="BB87" s="117">
        <f>SUM(BB86,BA86,AZ86,AX86)</f>
        <v>33609</v>
      </c>
      <c r="BC87" s="117">
        <f>SUM(BC86,BB86,BA86,AZ86)</f>
        <v>36542</v>
      </c>
      <c r="BD87" s="150">
        <f>BD86</f>
        <v>36542</v>
      </c>
      <c r="BE87" s="117">
        <f>SUM(BE86,BC86,BB86,BA86)</f>
        <v>36743</v>
      </c>
      <c r="BF87" s="117">
        <f>SUM(BF86,BE86,BC86,BB86)</f>
        <v>31153</v>
      </c>
      <c r="BG87" s="117">
        <f>SUM(BG86,BF86,BE86,BC86)</f>
        <v>26090</v>
      </c>
      <c r="BH87" s="117">
        <f>SUM(BH86,BG86,BF86,BE86)</f>
        <v>24693</v>
      </c>
      <c r="BI87" s="150">
        <f>BI86</f>
        <v>24693</v>
      </c>
      <c r="BJ87" s="117">
        <f>SUM(BJ86,BH86,BG86,BF86)</f>
        <v>23365</v>
      </c>
      <c r="BK87" s="117">
        <f>SUM(BK86,BJ86,BH86,BG86)</f>
        <v>22267</v>
      </c>
      <c r="BL87" s="117">
        <f>SUM(BL86,BK86,BJ86,BH86)</f>
        <v>21077</v>
      </c>
      <c r="BM87" s="117">
        <f>SUM(BM86,BL86,BK86,BJ86)</f>
        <v>18256</v>
      </c>
      <c r="BN87" s="150">
        <f>BN86</f>
        <v>18256</v>
      </c>
      <c r="BO87" s="117">
        <f>SUM(BO86,BM86,BL86,BK86)</f>
        <v>16653</v>
      </c>
      <c r="BP87" s="117">
        <f>SUM(BP86,BO86,BM86,BL86)</f>
        <v>15029</v>
      </c>
      <c r="BQ87" s="117">
        <f>SUM(BQ86,BP86,BO86,BM86)</f>
        <v>14125</v>
      </c>
      <c r="BR87" s="117">
        <f>SUM(BR86,BQ86,BP86,BO86)</f>
        <v>13521</v>
      </c>
      <c r="BS87" s="150">
        <f>BS86</f>
        <v>13521</v>
      </c>
      <c r="BT87" s="691">
        <f>SUM(BT86,BR86,BQ86,BP86)</f>
        <v>12501</v>
      </c>
      <c r="BU87" s="117">
        <f>SUM(BU86,BT86,BR86,BQ86)</f>
        <v>19346.357079961639</v>
      </c>
      <c r="BV87" s="117">
        <f ca="1">SUM(BV86,BU86,BT86,BR86)</f>
        <v>23094.996738476708</v>
      </c>
      <c r="BW87" s="117">
        <f ca="1">SUM(BW86,BV86,BU86,BT86)</f>
        <v>26656.126994290404</v>
      </c>
      <c r="BX87" s="150">
        <f ca="1">BX86</f>
        <v>26656.126994290426</v>
      </c>
      <c r="BY87" s="117">
        <f ca="1">SUM(BY86,BW86,BV86,BU86)</f>
        <v>29859.31463993424</v>
      </c>
      <c r="BZ87" s="117">
        <f ca="1">SUM(BZ86,BY86,BW86,BV86)</f>
        <v>25973.863043211364</v>
      </c>
      <c r="CA87" s="117">
        <f ca="1">SUM(CA86,BZ86,BY86,BW86)</f>
        <v>24775.733355349996</v>
      </c>
      <c r="CB87" s="117">
        <f ca="1">SUM(CB86,CA86,BZ86,BY86)</f>
        <v>24273.92139322999</v>
      </c>
      <c r="CC87" s="150">
        <f ca="1">CC86</f>
        <v>24273.92139322999</v>
      </c>
      <c r="CD87" s="150">
        <f ca="1">CD86</f>
        <v>23151.580506500002</v>
      </c>
      <c r="CE87" s="150">
        <f ca="1">CE86</f>
        <v>23269.9517175</v>
      </c>
      <c r="CF87" s="150">
        <f ca="1">CF86</f>
        <v>16219.818112999996</v>
      </c>
      <c r="CG87" s="117"/>
    </row>
    <row r="88" spans="1:85" s="460" customFormat="1" hidden="1" outlineLevel="1" x14ac:dyDescent="0.3">
      <c r="A88" s="159" t="s">
        <v>438</v>
      </c>
      <c r="B88" s="160"/>
      <c r="C88" s="150">
        <f t="shared" ref="C88:AH88" si="319">INDEX(MO_BS_SE,0,COLUMN())</f>
        <v>91914</v>
      </c>
      <c r="D88" s="150">
        <f t="shared" si="319"/>
        <v>105081</v>
      </c>
      <c r="E88" s="150">
        <f t="shared" si="319"/>
        <v>121382</v>
      </c>
      <c r="F88" s="150">
        <f t="shared" si="319"/>
        <v>136524</v>
      </c>
      <c r="G88" s="117">
        <f t="shared" si="319"/>
        <v>140134</v>
      </c>
      <c r="H88" s="117">
        <f t="shared" si="319"/>
        <v>142841</v>
      </c>
      <c r="I88" s="117">
        <f t="shared" si="319"/>
        <v>144779</v>
      </c>
      <c r="J88" s="117">
        <f t="shared" si="319"/>
        <v>149113</v>
      </c>
      <c r="K88" s="150">
        <f t="shared" si="319"/>
        <v>149113</v>
      </c>
      <c r="L88" s="117">
        <f t="shared" si="319"/>
        <v>150661</v>
      </c>
      <c r="M88" s="117">
        <f t="shared" si="319"/>
        <v>153581</v>
      </c>
      <c r="N88" s="117">
        <f t="shared" si="319"/>
        <v>156140</v>
      </c>
      <c r="O88" s="117">
        <f t="shared" si="319"/>
        <v>155028</v>
      </c>
      <c r="P88" s="150">
        <f t="shared" si="319"/>
        <v>155028</v>
      </c>
      <c r="Q88" s="117">
        <f t="shared" si="319"/>
        <v>155803</v>
      </c>
      <c r="R88" s="117">
        <f t="shared" si="319"/>
        <v>154669</v>
      </c>
      <c r="S88" s="117">
        <f t="shared" si="319"/>
        <v>154912</v>
      </c>
      <c r="T88" s="117">
        <f t="shared" si="319"/>
        <v>152716</v>
      </c>
      <c r="U88" s="150">
        <f t="shared" si="319"/>
        <v>152716</v>
      </c>
      <c r="V88" s="117">
        <f t="shared" si="319"/>
        <v>150307</v>
      </c>
      <c r="W88" s="117">
        <f t="shared" si="319"/>
        <v>147163</v>
      </c>
      <c r="X88" s="117">
        <f t="shared" si="319"/>
        <v>146800</v>
      </c>
      <c r="Y88" s="117">
        <f t="shared" si="319"/>
        <v>145556</v>
      </c>
      <c r="Z88" s="150">
        <f t="shared" si="319"/>
        <v>145556</v>
      </c>
      <c r="AA88" s="117">
        <f t="shared" si="319"/>
        <v>146592</v>
      </c>
      <c r="AB88" s="117">
        <f t="shared" si="319"/>
        <v>146203</v>
      </c>
      <c r="AC88" s="117">
        <f t="shared" si="319"/>
        <v>146713</v>
      </c>
      <c r="AD88" s="117">
        <f t="shared" si="319"/>
        <v>148124</v>
      </c>
      <c r="AE88" s="150">
        <f t="shared" si="319"/>
        <v>148124</v>
      </c>
      <c r="AF88" s="117">
        <f t="shared" si="319"/>
        <v>150356</v>
      </c>
      <c r="AG88" s="117">
        <f t="shared" si="319"/>
        <v>152198</v>
      </c>
      <c r="AH88" s="117">
        <f t="shared" si="319"/>
        <v>153575</v>
      </c>
      <c r="AI88" s="117">
        <f t="shared" ref="AI88:BI88" si="320">INDEX(MO_BS_SE,0,COLUMN())</f>
        <v>154554</v>
      </c>
      <c r="AJ88" s="150">
        <f t="shared" si="320"/>
        <v>154554</v>
      </c>
      <c r="AK88" s="117">
        <f t="shared" si="320"/>
        <v>155045</v>
      </c>
      <c r="AL88" s="117">
        <f t="shared" si="320"/>
        <v>156395</v>
      </c>
      <c r="AM88" s="117">
        <f t="shared" si="320"/>
        <v>155841</v>
      </c>
      <c r="AN88" s="117">
        <f t="shared" si="320"/>
        <v>144213</v>
      </c>
      <c r="AO88" s="150">
        <f t="shared" si="320"/>
        <v>144213</v>
      </c>
      <c r="AP88" s="117">
        <f t="shared" si="320"/>
        <v>143930</v>
      </c>
      <c r="AQ88" s="117">
        <f t="shared" si="320"/>
        <v>134118</v>
      </c>
      <c r="AR88" s="117">
        <f t="shared" si="320"/>
        <v>131774</v>
      </c>
      <c r="AS88" s="117">
        <f t="shared" si="320"/>
        <v>131688</v>
      </c>
      <c r="AT88" s="150">
        <f t="shared" si="320"/>
        <v>131688</v>
      </c>
      <c r="AU88" s="117">
        <f t="shared" si="320"/>
        <v>131888</v>
      </c>
      <c r="AV88" s="117">
        <f t="shared" si="320"/>
        <v>133182</v>
      </c>
      <c r="AW88" s="117">
        <f t="shared" si="320"/>
        <v>135862</v>
      </c>
      <c r="AX88" s="117">
        <f t="shared" si="320"/>
        <v>139067</v>
      </c>
      <c r="AY88" s="150">
        <f t="shared" si="320"/>
        <v>139067</v>
      </c>
      <c r="AZ88" s="117">
        <f t="shared" si="320"/>
        <v>146219</v>
      </c>
      <c r="BA88" s="117">
        <f t="shared" si="320"/>
        <v>153554</v>
      </c>
      <c r="BB88" s="117">
        <f t="shared" si="320"/>
        <v>158680</v>
      </c>
      <c r="BC88" s="117">
        <f t="shared" si="320"/>
        <v>159282</v>
      </c>
      <c r="BD88" s="150">
        <f t="shared" si="320"/>
        <v>159282</v>
      </c>
      <c r="BE88" s="117">
        <f t="shared" si="320"/>
        <v>159449</v>
      </c>
      <c r="BF88" s="117">
        <f t="shared" si="320"/>
        <v>158325</v>
      </c>
      <c r="BG88" s="117">
        <f t="shared" si="320"/>
        <v>165265</v>
      </c>
      <c r="BH88" s="117">
        <f t="shared" si="320"/>
        <v>160957</v>
      </c>
      <c r="BI88" s="150">
        <f t="shared" si="320"/>
        <v>160957</v>
      </c>
      <c r="BJ88" s="117">
        <f t="shared" ref="BJ88:BN88" si="321">INDEX(MO_BS_SE,0,COLUMN())</f>
        <v>160625</v>
      </c>
      <c r="BK88" s="117">
        <f t="shared" si="321"/>
        <v>159233</v>
      </c>
      <c r="BL88" s="117">
        <f t="shared" si="321"/>
        <v>156202</v>
      </c>
      <c r="BM88" s="117">
        <f t="shared" si="321"/>
        <v>152318</v>
      </c>
      <c r="BN88" s="150">
        <f t="shared" si="321"/>
        <v>152318</v>
      </c>
      <c r="BO88" s="117">
        <f t="shared" ref="BO88:BS88" si="322">INDEX(MO_BS_SE,0,COLUMN())</f>
        <v>149244</v>
      </c>
      <c r="BP88" s="117">
        <f t="shared" si="322"/>
        <v>146417</v>
      </c>
      <c r="BQ88" s="117">
        <f t="shared" si="322"/>
        <v>189843</v>
      </c>
      <c r="BR88" s="117">
        <f t="shared" si="322"/>
        <v>186450</v>
      </c>
      <c r="BS88" s="150">
        <f t="shared" si="322"/>
        <v>186450</v>
      </c>
      <c r="BT88" s="691">
        <f t="shared" ref="BT88:BX88" si="323">INDEX(MO_BS_SE,0,COLUMN())</f>
        <v>183715</v>
      </c>
      <c r="BU88" s="117">
        <f t="shared" ca="1" si="323"/>
        <v>187281.78338727189</v>
      </c>
      <c r="BV88" s="117">
        <f t="shared" ca="1" si="323"/>
        <v>191139.31962336751</v>
      </c>
      <c r="BW88" s="117">
        <f t="shared" ca="1" si="323"/>
        <v>194210.34645676176</v>
      </c>
      <c r="BX88" s="150">
        <f t="shared" ca="1" si="323"/>
        <v>194210.34645676176</v>
      </c>
      <c r="BY88" s="117">
        <f t="shared" ref="BY88:CF88" ca="1" si="324">INDEX(MO_BS_SE,0,COLUMN())</f>
        <v>196688.43067998614</v>
      </c>
      <c r="BZ88" s="117">
        <f t="shared" ca="1" si="324"/>
        <v>199183.23274080546</v>
      </c>
      <c r="CA88" s="117">
        <f t="shared" ca="1" si="324"/>
        <v>201842.63928903968</v>
      </c>
      <c r="CB88" s="117">
        <f t="shared" ca="1" si="324"/>
        <v>204411.85416031396</v>
      </c>
      <c r="CC88" s="150">
        <f t="shared" ca="1" si="324"/>
        <v>204411.85416031396</v>
      </c>
      <c r="CD88" s="150">
        <f t="shared" ca="1" si="324"/>
        <v>213491.0209771361</v>
      </c>
      <c r="CE88" s="150">
        <f t="shared" ca="1" si="324"/>
        <v>222688.55900495825</v>
      </c>
      <c r="CF88" s="150">
        <f t="shared" ca="1" si="324"/>
        <v>224835.96342828043</v>
      </c>
      <c r="CG88" s="117"/>
    </row>
    <row r="89" spans="1:85" s="460" customFormat="1" hidden="1" outlineLevel="1" x14ac:dyDescent="0.3">
      <c r="A89" s="159" t="s">
        <v>439</v>
      </c>
      <c r="B89" s="160"/>
      <c r="C89" s="150">
        <f>C88</f>
        <v>91914</v>
      </c>
      <c r="D89" s="150">
        <f>AVERAGE(D88,C88)</f>
        <v>98497.5</v>
      </c>
      <c r="E89" s="150">
        <f>AVERAGE(E88,D88)</f>
        <v>113231.5</v>
      </c>
      <c r="F89" s="150">
        <f>AVERAGE(F88,E88)</f>
        <v>128953</v>
      </c>
      <c r="G89" s="117"/>
      <c r="H89" s="117"/>
      <c r="I89" s="117"/>
      <c r="J89" s="117">
        <f>AVERAGE(J88,I88,H88,G88)</f>
        <v>144216.75</v>
      </c>
      <c r="K89" s="150">
        <f>AVERAGE(K88,F88)</f>
        <v>142818.5</v>
      </c>
      <c r="L89" s="117">
        <f>AVERAGE(L88,J88,I88,H88)</f>
        <v>146848.5</v>
      </c>
      <c r="M89" s="117">
        <f>AVERAGE(M88,L88,J88,I88)</f>
        <v>149533.5</v>
      </c>
      <c r="N89" s="117">
        <f>AVERAGE(N88,M88,L88,J88)</f>
        <v>152373.75</v>
      </c>
      <c r="O89" s="117">
        <f>AVERAGE(O88,N88,M88,L88)</f>
        <v>153852.5</v>
      </c>
      <c r="P89" s="150">
        <f>AVERAGE(P88,K88)</f>
        <v>152070.5</v>
      </c>
      <c r="Q89" s="117">
        <f>AVERAGE(Q88,O88,N88,M88)</f>
        <v>155138</v>
      </c>
      <c r="R89" s="117">
        <f>AVERAGE(R88,Q88,O88,N88)</f>
        <v>155410</v>
      </c>
      <c r="S89" s="117">
        <f>AVERAGE(S88,R88,Q88,O88)</f>
        <v>155103</v>
      </c>
      <c r="T89" s="117">
        <f>AVERAGE(T88,S88,R88,Q88)</f>
        <v>154525</v>
      </c>
      <c r="U89" s="150">
        <f>AVERAGE(U88,P88)</f>
        <v>153872</v>
      </c>
      <c r="V89" s="117">
        <f>AVERAGE(V88,T88,S88,R88)</f>
        <v>153151</v>
      </c>
      <c r="W89" s="117">
        <f>AVERAGE(W88,V88,T88,S88)</f>
        <v>151274.5</v>
      </c>
      <c r="X89" s="117">
        <f>AVERAGE(X88,W88,V88,T88)</f>
        <v>149246.5</v>
      </c>
      <c r="Y89" s="117">
        <f>AVERAGE(Y88,X88,W88,V88)</f>
        <v>147456.5</v>
      </c>
      <c r="Z89" s="150">
        <f>AVERAGE(Z88,U88)</f>
        <v>149136</v>
      </c>
      <c r="AA89" s="117">
        <f>AVERAGE(AA88,Y88,X88,W88)</f>
        <v>146527.75</v>
      </c>
      <c r="AB89" s="117">
        <f>AVERAGE(AB88,AA88,Y88,X88)</f>
        <v>146287.75</v>
      </c>
      <c r="AC89" s="117">
        <f>AVERAGE(AC88,AB88,AA88,Y88)</f>
        <v>146266</v>
      </c>
      <c r="AD89" s="117">
        <f>AVERAGE(AD88,AC88,AB88,AA88)</f>
        <v>146908</v>
      </c>
      <c r="AE89" s="150">
        <f>AVERAGE(AE88,Z88)</f>
        <v>146840</v>
      </c>
      <c r="AF89" s="117">
        <f>AVERAGE(AF88,AD88,AC88,AB88)</f>
        <v>147849</v>
      </c>
      <c r="AG89" s="117">
        <f>AVERAGE(AG88,AF88,AD88,AC88)</f>
        <v>149347.75</v>
      </c>
      <c r="AH89" s="117">
        <f>AVERAGE(AH88,AG88,AF88,AD88)</f>
        <v>151063.25</v>
      </c>
      <c r="AI89" s="117">
        <f>AVERAGE(AI88,AH88,AG88,AF88)</f>
        <v>152670.75</v>
      </c>
      <c r="AJ89" s="150">
        <f>AVERAGE(AJ88,AE88)</f>
        <v>151339</v>
      </c>
      <c r="AK89" s="117">
        <f>AVERAGE(AK88,AI88,AH88,AG88)</f>
        <v>153843</v>
      </c>
      <c r="AL89" s="117">
        <f>AVERAGE(AL88,AK88,AI88,AH88)</f>
        <v>154892.25</v>
      </c>
      <c r="AM89" s="117">
        <f>AVERAGE(AM88,AL88,AK88,AI88)</f>
        <v>155458.75</v>
      </c>
      <c r="AN89" s="117">
        <f>AVERAGE(AN88,AM88,AL88,AK88)</f>
        <v>152873.5</v>
      </c>
      <c r="AO89" s="150">
        <f>AVERAGE(AO88,AJ88)</f>
        <v>149383.5</v>
      </c>
      <c r="AP89" s="117">
        <f>AVERAGE(AP88,AN88,AM88,AL88)</f>
        <v>150094.75</v>
      </c>
      <c r="AQ89" s="117">
        <f>AVERAGE(AQ88,AP88,AN88,AM88)</f>
        <v>144525.5</v>
      </c>
      <c r="AR89" s="117">
        <f>AVERAGE(AR88,AQ88,AP88,AN88)</f>
        <v>138508.75</v>
      </c>
      <c r="AS89" s="117">
        <f>AVERAGE(AS88,AR88,AQ88,AP88)</f>
        <v>135377.5</v>
      </c>
      <c r="AT89" s="150">
        <f>AVERAGE(AT88,AO88)</f>
        <v>137950.5</v>
      </c>
      <c r="AU89" s="117">
        <f>AVERAGE(AU88,AS88,AR88,AQ88)</f>
        <v>132367</v>
      </c>
      <c r="AV89" s="117">
        <f>AVERAGE(AV88,AU88,AS88,AR88)</f>
        <v>132133</v>
      </c>
      <c r="AW89" s="117">
        <f>AVERAGE(AW88,AV88,AU88,AS88)</f>
        <v>133155</v>
      </c>
      <c r="AX89" s="117">
        <f>AVERAGE(AX88,AW88,AV88,AU88)</f>
        <v>134999.75</v>
      </c>
      <c r="AY89" s="150">
        <f>AVERAGE(AY88,AT88)</f>
        <v>135377.5</v>
      </c>
      <c r="AZ89" s="117">
        <f>AVERAGE(AZ88,AX88,AW88,AV88)</f>
        <v>138582.5</v>
      </c>
      <c r="BA89" s="117">
        <f>AVERAGE(BA88,AZ88,AX88,AW88)</f>
        <v>143675.5</v>
      </c>
      <c r="BB89" s="117">
        <f>AVERAGE(BB88,BA88,AZ88,AX88)</f>
        <v>149380</v>
      </c>
      <c r="BC89" s="117">
        <f>AVERAGE(BC88,BB88,BA88,AZ88)</f>
        <v>154433.75</v>
      </c>
      <c r="BD89" s="150">
        <f>AVERAGE(BD88,AY88)</f>
        <v>149174.5</v>
      </c>
      <c r="BE89" s="117">
        <f>AVERAGE(BE88,BC88,BB88,BA88)</f>
        <v>157741.25</v>
      </c>
      <c r="BF89" s="117">
        <f>AVERAGE(BF88,BE88,BC88,BB88)</f>
        <v>158934</v>
      </c>
      <c r="BG89" s="117">
        <f>AVERAGE(BG88,BF88,BE88,BC88)</f>
        <v>160580.25</v>
      </c>
      <c r="BH89" s="117">
        <f>AVERAGE(BH88,BG88,BF88,BE88)</f>
        <v>160999</v>
      </c>
      <c r="BI89" s="150">
        <f>AVERAGE(BI88,BD88)</f>
        <v>160119.5</v>
      </c>
      <c r="BJ89" s="117">
        <f>AVERAGE(BJ88,BH88,BG88,BF88)</f>
        <v>161293</v>
      </c>
      <c r="BK89" s="117">
        <f>AVERAGE(BK88,BJ88,BH88,BG88)</f>
        <v>161520</v>
      </c>
      <c r="BL89" s="117">
        <f>AVERAGE(BL88,BK88,BJ88,BH88)</f>
        <v>159254.25</v>
      </c>
      <c r="BM89" s="117">
        <f>AVERAGE(BM88,BL88,BK88,BJ88)</f>
        <v>157094.5</v>
      </c>
      <c r="BN89" s="150">
        <f>AVERAGE(BN88,BI88)</f>
        <v>156637.5</v>
      </c>
      <c r="BO89" s="117">
        <f>AVERAGE(BO88,BM88,BL88,BK88)</f>
        <v>154249.25</v>
      </c>
      <c r="BP89" s="117">
        <f>AVERAGE(BP88,BO88,BM88,BL88)</f>
        <v>151045.25</v>
      </c>
      <c r="BQ89" s="117">
        <f>AVERAGE(BQ88,BP88,BO88,BM88)</f>
        <v>159455.5</v>
      </c>
      <c r="BR89" s="117">
        <f>AVERAGE(BR88,BQ88,BP88,BO88)</f>
        <v>167988.5</v>
      </c>
      <c r="BS89" s="150">
        <f>AVERAGE(BS88,BN88)</f>
        <v>169384</v>
      </c>
      <c r="BT89" s="691">
        <f>AVERAGE(BT88,BR88,BQ88,BP88)</f>
        <v>176606.25</v>
      </c>
      <c r="BU89" s="117">
        <f ca="1">AVERAGE(BU88,BT88,BR88,BQ88)</f>
        <v>186822.44584681798</v>
      </c>
      <c r="BV89" s="117">
        <f ca="1">AVERAGE(BV88,BU88,BT88,BR88)</f>
        <v>187146.52575265986</v>
      </c>
      <c r="BW89" s="117">
        <f ca="1">AVERAGE(BW88,BV88,BU88,BT88)</f>
        <v>189086.61236685028</v>
      </c>
      <c r="BX89" s="150">
        <f ca="1">AVERAGE(BX88,BS88)</f>
        <v>190330.17322838088</v>
      </c>
      <c r="BY89" s="117">
        <f ca="1">AVERAGE(BY88,BW88,BV88,BU88)</f>
        <v>192329.97003684682</v>
      </c>
      <c r="BZ89" s="117">
        <f ca="1">AVERAGE(BZ88,BY88,BW88,BV88)</f>
        <v>195305.33237523024</v>
      </c>
      <c r="CA89" s="117">
        <f ca="1">AVERAGE(CA88,BZ88,BY88,BW88)</f>
        <v>197981.16229164827</v>
      </c>
      <c r="CB89" s="117">
        <f ca="1">AVERAGE(CB88,CA88,BZ88,BY88)</f>
        <v>200531.53921753631</v>
      </c>
      <c r="CC89" s="150">
        <f ca="1">AVERAGE(CC88,BX88)</f>
        <v>199311.10030853786</v>
      </c>
      <c r="CD89" s="150">
        <f ca="1">AVERAGE(CD88,CC88)</f>
        <v>208951.43756872503</v>
      </c>
      <c r="CE89" s="150">
        <f ca="1">AVERAGE(CE88,CD88)</f>
        <v>218089.78999104718</v>
      </c>
      <c r="CF89" s="150">
        <f ca="1">AVERAGE(CF88,CE88)</f>
        <v>223762.26121661934</v>
      </c>
      <c r="CG89" s="117"/>
    </row>
    <row r="90" spans="1:85" s="463" customFormat="1" collapsed="1" x14ac:dyDescent="0.3">
      <c r="A90" s="175" t="s">
        <v>440</v>
      </c>
      <c r="B90" s="176"/>
      <c r="C90" s="963">
        <f>IF(C89&lt;0,"NMF",IF(ABS(C87/C89)&gt;1,"NMF",C87/C89))</f>
        <v>0.11405226624888483</v>
      </c>
      <c r="D90" s="963">
        <f>IF(D89&lt;0,"NMF",IF(ABS(D87/D89)&gt;1,"NMF",D87/D89))</f>
        <v>0.19314195791771366</v>
      </c>
      <c r="E90" s="963">
        <f>IF(E89&lt;0,"NMF",IF(ABS(E87/E89)&gt;1,"NMF",E87/E89))</f>
        <v>0.23752224425182039</v>
      </c>
      <c r="F90" s="963">
        <f>IF(F89&lt;0,"NMF",IF(ABS(F87/F89)&gt;1,"NMF",F87/F89))</f>
        <v>0.20301195009034298</v>
      </c>
      <c r="G90" s="124"/>
      <c r="H90" s="124"/>
      <c r="I90" s="124"/>
      <c r="J90" s="124"/>
      <c r="K90" s="963">
        <f t="shared" ref="K90:AP90" si="325">IF(K89&lt;0,"NMF",IF(ABS(K87/K89)&gt;1,"NMF",K87/K89))</f>
        <v>0.15000157542615278</v>
      </c>
      <c r="L90" s="124">
        <f t="shared" si="325"/>
        <v>0.13454001913536739</v>
      </c>
      <c r="M90" s="124">
        <f t="shared" si="325"/>
        <v>0.13413047912340714</v>
      </c>
      <c r="N90" s="124">
        <f t="shared" si="325"/>
        <v>0.13585017104324071</v>
      </c>
      <c r="O90" s="124">
        <f t="shared" si="325"/>
        <v>0.12506134121967469</v>
      </c>
      <c r="P90" s="963">
        <f t="shared" si="325"/>
        <v>0.12652684116906304</v>
      </c>
      <c r="Q90" s="124">
        <f t="shared" si="325"/>
        <v>0.11148783663576944</v>
      </c>
      <c r="R90" s="124">
        <f t="shared" si="325"/>
        <v>7.8514896081333246E-2</v>
      </c>
      <c r="S90" s="124">
        <f t="shared" si="325"/>
        <v>5.5743602638246841E-2</v>
      </c>
      <c r="T90" s="124">
        <f t="shared" si="325"/>
        <v>2.9684517068435529E-2</v>
      </c>
      <c r="U90" s="963">
        <f t="shared" si="325"/>
        <v>2.9810491837371323E-2</v>
      </c>
      <c r="V90" s="124">
        <f t="shared" si="325"/>
        <v>8.4557071125882302E-3</v>
      </c>
      <c r="W90" s="124">
        <f t="shared" si="325"/>
        <v>-4.9314325943896689E-3</v>
      </c>
      <c r="X90" s="124">
        <f t="shared" si="325"/>
        <v>-1.0050486946092538E-2</v>
      </c>
      <c r="Y90" s="124">
        <f t="shared" si="325"/>
        <v>-3.3704855330216029E-3</v>
      </c>
      <c r="Z90" s="963">
        <f t="shared" si="325"/>
        <v>-3.3325286986374851E-3</v>
      </c>
      <c r="AA90" s="124">
        <f t="shared" si="325"/>
        <v>1.9859719404686144E-2</v>
      </c>
      <c r="AB90" s="124">
        <f t="shared" si="325"/>
        <v>3.9852961030571593E-2</v>
      </c>
      <c r="AC90" s="124">
        <f t="shared" si="325"/>
        <v>4.4432745819260801E-2</v>
      </c>
      <c r="AD90" s="124">
        <f t="shared" si="325"/>
        <v>6.259019250142947E-2</v>
      </c>
      <c r="AE90" s="963">
        <f t="shared" si="325"/>
        <v>6.2619177335875784E-2</v>
      </c>
      <c r="AF90" s="124">
        <f t="shared" si="325"/>
        <v>6.8657887439211626E-2</v>
      </c>
      <c r="AG90" s="124">
        <f t="shared" si="325"/>
        <v>8.1085921950615258E-2</v>
      </c>
      <c r="AH90" s="124">
        <f t="shared" si="325"/>
        <v>9.4033459494615668E-2</v>
      </c>
      <c r="AI90" s="124">
        <f t="shared" si="325"/>
        <v>9.7097839632018582E-2</v>
      </c>
      <c r="AJ90" s="963">
        <f t="shared" si="325"/>
        <v>9.7952279319937358E-2</v>
      </c>
      <c r="AK90" s="124">
        <f t="shared" si="325"/>
        <v>9.0819861807167043E-2</v>
      </c>
      <c r="AL90" s="124">
        <f t="shared" si="325"/>
        <v>8.9952854322924491E-2</v>
      </c>
      <c r="AM90" s="124">
        <f t="shared" si="325"/>
        <v>8.2478470977027665E-2</v>
      </c>
      <c r="AN90" s="124">
        <f t="shared" si="325"/>
        <v>7.7763641180453119E-2</v>
      </c>
      <c r="AO90" s="963">
        <f t="shared" si="325"/>
        <v>7.9580408813557046E-2</v>
      </c>
      <c r="AP90" s="124">
        <f t="shared" si="325"/>
        <v>7.6664906667288493E-2</v>
      </c>
      <c r="AQ90" s="124">
        <f t="shared" ref="AQ90:BI90" si="326">IF(AQ89&lt;0,"NMF",IF(ABS(AQ87/AQ89)&gt;1,"NMF",AQ87/AQ89))</f>
        <v>3.5799910742394941E-2</v>
      </c>
      <c r="AR90" s="124">
        <f t="shared" si="326"/>
        <v>1.7608995821563618E-2</v>
      </c>
      <c r="AS90" s="124">
        <f t="shared" si="326"/>
        <v>-2.7183246846780298E-3</v>
      </c>
      <c r="AT90" s="963">
        <f t="shared" si="326"/>
        <v>-2.6676235316290989E-3</v>
      </c>
      <c r="AU90" s="124">
        <f t="shared" si="326"/>
        <v>-7.8796074550303331E-3</v>
      </c>
      <c r="AV90" s="124">
        <f t="shared" si="326"/>
        <v>3.930887817577744E-2</v>
      </c>
      <c r="AW90" s="124">
        <f t="shared" si="326"/>
        <v>8.020727723329954E-2</v>
      </c>
      <c r="AX90" s="124">
        <f t="shared" si="326"/>
        <v>0.11561502891672022</v>
      </c>
      <c r="AY90" s="963">
        <f t="shared" si="326"/>
        <v>0.11529242303927906</v>
      </c>
      <c r="AZ90" s="124">
        <f t="shared" si="326"/>
        <v>0.14735626792704706</v>
      </c>
      <c r="BA90" s="124">
        <f t="shared" si="326"/>
        <v>0.1984471952420559</v>
      </c>
      <c r="BB90" s="124">
        <f t="shared" si="326"/>
        <v>0.22498995849511313</v>
      </c>
      <c r="BC90" s="124">
        <f t="shared" si="326"/>
        <v>0.23661926230503372</v>
      </c>
      <c r="BD90" s="963">
        <f t="shared" si="326"/>
        <v>0.24496143777924512</v>
      </c>
      <c r="BE90" s="124">
        <f t="shared" si="326"/>
        <v>0.23293209607505963</v>
      </c>
      <c r="BF90" s="124">
        <f t="shared" si="326"/>
        <v>0.19601218115695823</v>
      </c>
      <c r="BG90" s="124">
        <f t="shared" si="326"/>
        <v>0.16247328049370954</v>
      </c>
      <c r="BH90" s="124">
        <f t="shared" si="326"/>
        <v>0.1533736234386549</v>
      </c>
      <c r="BI90" s="963">
        <f t="shared" si="326"/>
        <v>0.15421606987281375</v>
      </c>
      <c r="BJ90" s="124">
        <f t="shared" ref="BJ90:BN90" si="327">IF(BJ89&lt;0,"NMF",IF(ABS(BJ87/BJ89)&gt;1,"NMF",BJ87/BJ89))</f>
        <v>0.1448605953141178</v>
      </c>
      <c r="BK90" s="124">
        <f t="shared" si="327"/>
        <v>0.13785908865775137</v>
      </c>
      <c r="BL90" s="124">
        <f t="shared" si="327"/>
        <v>0.13234811629830914</v>
      </c>
      <c r="BM90" s="124">
        <f t="shared" si="327"/>
        <v>0.11621030653523834</v>
      </c>
      <c r="BN90" s="963">
        <f t="shared" si="327"/>
        <v>0.11654935759316894</v>
      </c>
      <c r="BO90" s="124">
        <f t="shared" ref="BO90:BS90" si="328">IF(BO89&lt;0,"NMF",IF(ABS(BO87/BO89)&gt;1,"NMF",BO87/BO89))</f>
        <v>0.10796162704194671</v>
      </c>
      <c r="BP90" s="124">
        <f t="shared" si="328"/>
        <v>9.9499984276235104E-2</v>
      </c>
      <c r="BQ90" s="124">
        <f t="shared" si="328"/>
        <v>8.8582708028258669E-2</v>
      </c>
      <c r="BR90" s="124">
        <f t="shared" si="328"/>
        <v>8.0487652428588866E-2</v>
      </c>
      <c r="BS90" s="963">
        <f t="shared" si="328"/>
        <v>7.9824540688612861E-2</v>
      </c>
      <c r="BT90" s="699">
        <f t="shared" ref="BT90:BX90" si="329">IF(BT89&lt;0,"NMF",IF(ABS(BT87/BT89)&gt;1,"NMF",BT87/BT89))</f>
        <v>7.0784584350780333E-2</v>
      </c>
      <c r="BU90" s="124">
        <f t="shared" ca="1" si="329"/>
        <v>0.10355477893606194</v>
      </c>
      <c r="BV90" s="124">
        <f t="shared" ca="1" si="329"/>
        <v>0.12340596035963797</v>
      </c>
      <c r="BW90" s="124">
        <f t="shared" ca="1" si="329"/>
        <v>0.14097310571398031</v>
      </c>
      <c r="BX90" s="963">
        <f t="shared" ca="1" si="329"/>
        <v>0.14005202928232099</v>
      </c>
      <c r="BY90" s="124">
        <f t="shared" ref="BY90:CF90" ca="1" si="330">IF(BY89&lt;0,"NMF",IF(ABS(BY87/BY89)&gt;1,"NMF",BY87/BY89))</f>
        <v>0.15525045126463521</v>
      </c>
      <c r="BZ90" s="124">
        <f t="shared" ca="1" si="330"/>
        <v>0.13299105931889815</v>
      </c>
      <c r="CA90" s="124">
        <f t="shared" ca="1" si="330"/>
        <v>0.12514187243154268</v>
      </c>
      <c r="CB90" s="124">
        <f t="shared" ca="1" si="330"/>
        <v>0.12104789844004377</v>
      </c>
      <c r="CC90" s="963">
        <f t="shared" ca="1" si="330"/>
        <v>0.12178910936547657</v>
      </c>
      <c r="CD90" s="963">
        <f t="shared" ca="1" si="330"/>
        <v>0.11079885726503005</v>
      </c>
      <c r="CE90" s="963">
        <f t="shared" ca="1" si="330"/>
        <v>0.10669895054901588</v>
      </c>
      <c r="CF90" s="963">
        <f t="shared" ca="1" si="330"/>
        <v>7.2486835022184309E-2</v>
      </c>
      <c r="CG90" s="197"/>
    </row>
    <row r="91" spans="1:85" s="460" customFormat="1" hidden="1" outlineLevel="1" x14ac:dyDescent="0.3">
      <c r="A91" s="159" t="s">
        <v>524</v>
      </c>
      <c r="B91" s="160"/>
      <c r="C91" s="150">
        <f t="shared" ref="C91:AH91" si="331">INDEX(SP_GF_NI,0,COLUMN())+INDEX(SP_GF_IE,0,COLUMN())*(1-INDEX(SP_GF_Tax,0,COLUMN())/INDEX(SP_GF_EBT,0,COLUMN()))+INDEX(SP_GF_NCI,0,COLUMN())</f>
        <v>10578.963082901555</v>
      </c>
      <c r="D91" s="150">
        <f t="shared" si="331"/>
        <v>19165.848697551082</v>
      </c>
      <c r="E91" s="150">
        <f t="shared" si="331"/>
        <v>27008</v>
      </c>
      <c r="F91" s="150">
        <f t="shared" si="331"/>
        <v>26336</v>
      </c>
      <c r="G91" s="117">
        <f t="shared" si="331"/>
        <v>6239</v>
      </c>
      <c r="H91" s="117">
        <f t="shared" si="331"/>
        <v>5404</v>
      </c>
      <c r="I91" s="117">
        <f t="shared" si="331"/>
        <v>4996</v>
      </c>
      <c r="J91" s="117">
        <f t="shared" si="331"/>
        <v>4958</v>
      </c>
      <c r="K91" s="150">
        <f t="shared" si="331"/>
        <v>21597</v>
      </c>
      <c r="L91" s="117">
        <f t="shared" si="331"/>
        <v>4521</v>
      </c>
      <c r="M91" s="117">
        <f t="shared" si="331"/>
        <v>5690</v>
      </c>
      <c r="N91" s="117">
        <f t="shared" si="331"/>
        <v>5627</v>
      </c>
      <c r="O91" s="117">
        <f t="shared" si="331"/>
        <v>3472</v>
      </c>
      <c r="P91" s="150">
        <f t="shared" si="331"/>
        <v>19310</v>
      </c>
      <c r="Q91" s="117">
        <f t="shared" si="331"/>
        <v>2600</v>
      </c>
      <c r="R91" s="117">
        <f t="shared" si="331"/>
        <v>608</v>
      </c>
      <c r="S91" s="117">
        <f t="shared" si="331"/>
        <v>2057</v>
      </c>
      <c r="T91" s="117">
        <f t="shared" si="331"/>
        <v>-555</v>
      </c>
      <c r="U91" s="150">
        <f t="shared" si="331"/>
        <v>4710</v>
      </c>
      <c r="V91" s="117">
        <f t="shared" si="331"/>
        <v>-707</v>
      </c>
      <c r="W91" s="117">
        <f t="shared" si="331"/>
        <v>-1407.1657004830918</v>
      </c>
      <c r="X91" s="117">
        <f t="shared" si="331"/>
        <v>1376.0802524797114</v>
      </c>
      <c r="Y91" s="117">
        <f t="shared" si="331"/>
        <v>487.6171875</v>
      </c>
      <c r="Z91" s="150">
        <f t="shared" si="331"/>
        <v>-390.89305555555552</v>
      </c>
      <c r="AA91" s="117">
        <f t="shared" si="331"/>
        <v>2742.9913710450624</v>
      </c>
      <c r="AB91" s="117">
        <f t="shared" si="331"/>
        <v>1502.0307219662059</v>
      </c>
      <c r="AC91" s="117">
        <f t="shared" si="331"/>
        <v>2012.1512415349887</v>
      </c>
      <c r="AD91" s="117">
        <f t="shared" si="331"/>
        <v>3482.2228224172854</v>
      </c>
      <c r="AE91" s="150">
        <f t="shared" si="331"/>
        <v>9577.5980913133062</v>
      </c>
      <c r="AF91" s="117">
        <f t="shared" si="331"/>
        <v>3773.6818450620935</v>
      </c>
      <c r="AG91" s="117">
        <f t="shared" si="331"/>
        <v>3573.3912334352699</v>
      </c>
      <c r="AH91" s="117">
        <f t="shared" si="331"/>
        <v>4185.5300929987716</v>
      </c>
      <c r="AI91" s="117">
        <f t="shared" ref="AI91:BI91" si="332">INDEX(SP_GF_NI,0,COLUMN())+INDEX(SP_GF_IE,0,COLUMN())*(1-INDEX(SP_GF_Tax,0,COLUMN())/INDEX(SP_GF_EBT,0,COLUMN()))+INDEX(SP_GF_NCI,0,COLUMN())</f>
        <v>3867.4201714985707</v>
      </c>
      <c r="AJ91" s="150">
        <f t="shared" si="332"/>
        <v>15400.232320777643</v>
      </c>
      <c r="AK91" s="117">
        <f t="shared" si="332"/>
        <v>2792.227445034117</v>
      </c>
      <c r="AL91" s="117">
        <f t="shared" si="332"/>
        <v>4433.1204717775909</v>
      </c>
      <c r="AM91" s="117">
        <f t="shared" si="332"/>
        <v>2705.5272906890591</v>
      </c>
      <c r="AN91" s="117">
        <f t="shared" si="332"/>
        <v>-6525.8071386079719</v>
      </c>
      <c r="AO91" s="150">
        <f t="shared" si="332"/>
        <v>3255.0993497109826</v>
      </c>
      <c r="AP91" s="117">
        <f t="shared" si="332"/>
        <v>3720.9570566948132</v>
      </c>
      <c r="AQ91" s="117">
        <f t="shared" si="332"/>
        <v>-8142.6559403604797</v>
      </c>
      <c r="AR91" s="117">
        <f t="shared" si="332"/>
        <v>570</v>
      </c>
      <c r="AS91" s="117">
        <f t="shared" si="332"/>
        <v>-519.59038662486932</v>
      </c>
      <c r="AT91" s="150">
        <f t="shared" si="332"/>
        <v>-5040.9386824097683</v>
      </c>
      <c r="AU91" s="117">
        <f t="shared" si="332"/>
        <v>1525.1492880110243</v>
      </c>
      <c r="AV91" s="117">
        <f t="shared" si="332"/>
        <v>3223.4414292175488</v>
      </c>
      <c r="AW91" s="117">
        <f t="shared" si="332"/>
        <v>6247.0931098696465</v>
      </c>
      <c r="AX91" s="117">
        <f t="shared" si="332"/>
        <v>5194.7716535433074</v>
      </c>
      <c r="AY91" s="150">
        <f t="shared" si="332"/>
        <v>16205.223855076481</v>
      </c>
      <c r="AZ91" s="117">
        <f t="shared" si="332"/>
        <v>6371.2867240998457</v>
      </c>
      <c r="BA91" s="117">
        <f t="shared" si="332"/>
        <v>11809.434481034807</v>
      </c>
      <c r="BB91" s="117">
        <f t="shared" si="332"/>
        <v>11335.134445269769</v>
      </c>
      <c r="BC91" s="117">
        <f t="shared" si="332"/>
        <v>6457.9851141924955</v>
      </c>
      <c r="BD91" s="150">
        <f t="shared" si="332"/>
        <v>35977.886218142288</v>
      </c>
      <c r="BE91" s="117">
        <f t="shared" si="332"/>
        <v>6684.7956718142659</v>
      </c>
      <c r="BF91" s="117">
        <f t="shared" si="332"/>
        <v>6099.9943856067375</v>
      </c>
      <c r="BG91" s="117">
        <f t="shared" si="332"/>
        <v>6640.5195696955825</v>
      </c>
      <c r="BH91" s="117">
        <f t="shared" si="332"/>
        <v>2320.1232091690545</v>
      </c>
      <c r="BI91" s="150">
        <f t="shared" si="332"/>
        <v>21750.432091671173</v>
      </c>
      <c r="BJ91" s="117">
        <f t="shared" ref="BJ91:BN91" si="333">INDEX(SP_GF_NI,0,COLUMN())+INDEX(SP_GF_IE,0,COLUMN())*(1-INDEX(SP_GF_Tax,0,COLUMN())/INDEX(SP_GF_EBT,0,COLUMN()))+INDEX(SP_GF_NCI,0,COLUMN())</f>
        <v>5633.6834132794747</v>
      </c>
      <c r="BK91" s="117">
        <f t="shared" si="333"/>
        <v>4514.3557418988057</v>
      </c>
      <c r="BL91" s="117">
        <f t="shared" si="333"/>
        <v>4609.629835105563</v>
      </c>
      <c r="BM91" s="117">
        <f t="shared" si="333"/>
        <v>3366.0376299719424</v>
      </c>
      <c r="BN91" s="150">
        <f t="shared" si="333"/>
        <v>18132.294772049736</v>
      </c>
      <c r="BO91" s="117">
        <f t="shared" ref="BO91:BS91" si="334">INDEX(SP_GF_NI,0,COLUMN())+INDEX(SP_GF_IE,0,COLUMN())*(1-INDEX(SP_GF_Tax,0,COLUMN())/INDEX(SP_GF_EBT,0,COLUMN()))+INDEX(SP_GF_NCI,0,COLUMN())</f>
        <v>3645.3591259179652</v>
      </c>
      <c r="BP91" s="117">
        <f t="shared" si="334"/>
        <v>2681.1707258258984</v>
      </c>
      <c r="BQ91" s="117">
        <f t="shared" si="334"/>
        <v>3859.9172515700038</v>
      </c>
      <c r="BR91" s="117">
        <f t="shared" si="334"/>
        <v>3068.319199826049</v>
      </c>
      <c r="BS91" s="150">
        <f t="shared" si="334"/>
        <v>13254.601630957808</v>
      </c>
      <c r="BT91" s="691">
        <f t="shared" ref="BT91:BX91" si="335">INDEX(SP_GF_NI,0,COLUMN())+INDEX(SP_GF_IE,0,COLUMN())*(1-INDEX(SP_GF_Tax,0,COLUMN())/INDEX(SP_GF_EBT,0,COLUMN()))+INDEX(SP_GF_NCI,0,COLUMN())</f>
        <v>2493.477698935631</v>
      </c>
      <c r="BU91" s="117">
        <f t="shared" si="335"/>
        <v>10083.908296400003</v>
      </c>
      <c r="BV91" s="117">
        <f t="shared" ca="1" si="335"/>
        <v>7563.1200091999963</v>
      </c>
      <c r="BW91" s="117">
        <f t="shared" ca="1" si="335"/>
        <v>6779.473192800001</v>
      </c>
      <c r="BX91" s="150">
        <f t="shared" ca="1" si="335"/>
        <v>26929.155015622375</v>
      </c>
      <c r="BY91" s="117">
        <f t="shared" ref="BY91:CF91" ca="1" si="336">INDEX(SP_GF_NI,0,COLUMN())+INDEX(SP_GF_IE,0,COLUMN())*(1-INDEX(SP_GF_Tax,0,COLUMN())/INDEX(SP_GF_EBT,0,COLUMN()))+INDEX(SP_GF_NCI,0,COLUMN())</f>
        <v>6182.6100839999972</v>
      </c>
      <c r="BZ91" s="117">
        <f t="shared" ca="1" si="336"/>
        <v>6201.2881709099975</v>
      </c>
      <c r="CA91" s="117">
        <f t="shared" ca="1" si="336"/>
        <v>6367.8529076400027</v>
      </c>
      <c r="CB91" s="117">
        <f t="shared" ca="1" si="336"/>
        <v>6277.6612306799989</v>
      </c>
      <c r="CC91" s="150">
        <f t="shared" ca="1" si="336"/>
        <v>25029.412393230006</v>
      </c>
      <c r="CD91" s="150">
        <f t="shared" ca="1" si="336"/>
        <v>23907.071506499986</v>
      </c>
      <c r="CE91" s="150">
        <f t="shared" ca="1" si="336"/>
        <v>24104.941717500002</v>
      </c>
      <c r="CF91" s="150">
        <f t="shared" ca="1" si="336"/>
        <v>16975.309112999981</v>
      </c>
      <c r="CG91" s="117"/>
    </row>
    <row r="92" spans="1:85" s="460" customFormat="1" hidden="1" outlineLevel="1" x14ac:dyDescent="0.3">
      <c r="A92" s="159" t="s">
        <v>441</v>
      </c>
      <c r="B92" s="160"/>
      <c r="C92" s="150">
        <f>C91</f>
        <v>10578.963082901555</v>
      </c>
      <c r="D92" s="150">
        <f>D91</f>
        <v>19165.848697551082</v>
      </c>
      <c r="E92" s="150">
        <f>E91</f>
        <v>27008</v>
      </c>
      <c r="F92" s="150">
        <f>F91</f>
        <v>26336</v>
      </c>
      <c r="G92" s="117"/>
      <c r="H92" s="117"/>
      <c r="I92" s="117"/>
      <c r="J92" s="117">
        <f>SUM(J91,I91,H91,G91)</f>
        <v>21597</v>
      </c>
      <c r="K92" s="150">
        <f>K91</f>
        <v>21597</v>
      </c>
      <c r="L92" s="117">
        <f>SUM(L91,J91,I91,H91)</f>
        <v>19879</v>
      </c>
      <c r="M92" s="117">
        <f>SUM(M91,L91,J91,I91)</f>
        <v>20165</v>
      </c>
      <c r="N92" s="117">
        <f>SUM(N91,M91,L91,J91)</f>
        <v>20796</v>
      </c>
      <c r="O92" s="117">
        <f>SUM(O91,N91,M91,L91)</f>
        <v>19310</v>
      </c>
      <c r="P92" s="150">
        <f>P91</f>
        <v>19310</v>
      </c>
      <c r="Q92" s="117">
        <f>SUM(Q91,O91,N91,M91)</f>
        <v>17389</v>
      </c>
      <c r="R92" s="117">
        <f>SUM(R91,Q91,O91,N91)</f>
        <v>12307</v>
      </c>
      <c r="S92" s="117">
        <f>SUM(S91,R91,Q91,O91)</f>
        <v>8737</v>
      </c>
      <c r="T92" s="117">
        <f>SUM(T91,S91,R91,Q91)</f>
        <v>4710</v>
      </c>
      <c r="U92" s="150">
        <f>U91</f>
        <v>4710</v>
      </c>
      <c r="V92" s="117">
        <f>SUM(V91,T91,S91,R91)</f>
        <v>1403</v>
      </c>
      <c r="W92" s="117">
        <f>SUM(W91,V91,T91,S91)</f>
        <v>-612.16570048309177</v>
      </c>
      <c r="X92" s="117">
        <f>SUM(X91,W91,V91,T91)</f>
        <v>-1293.0854480033804</v>
      </c>
      <c r="Y92" s="117">
        <f>SUM(Y91,X91,W91,V91)</f>
        <v>-250.46826050338041</v>
      </c>
      <c r="Z92" s="150">
        <f>Z91</f>
        <v>-390.89305555555552</v>
      </c>
      <c r="AA92" s="117">
        <f>SUM(AA91,Y91,X91,W91)</f>
        <v>3199.5231105416819</v>
      </c>
      <c r="AB92" s="117">
        <f>SUM(AB91,AA91,Y91,X91)</f>
        <v>6108.7195329909791</v>
      </c>
      <c r="AC92" s="117">
        <f>SUM(AC91,AB91,AA91,Y91)</f>
        <v>6744.7905220462562</v>
      </c>
      <c r="AD92" s="117">
        <f>SUM(AD91,AC91,AB91,AA91)</f>
        <v>9739.3961569635412</v>
      </c>
      <c r="AE92" s="150">
        <f>AE91</f>
        <v>9577.5980913133062</v>
      </c>
      <c r="AF92" s="117">
        <f>SUM(AF91,AD91,AC91,AB91)</f>
        <v>10770.086630980573</v>
      </c>
      <c r="AG92" s="117">
        <f>SUM(AG91,AF91,AD91,AC91)</f>
        <v>12841.447142449637</v>
      </c>
      <c r="AH92" s="117">
        <f>SUM(AH91,AG91,AF91,AD91)</f>
        <v>15014.82599391342</v>
      </c>
      <c r="AI92" s="117">
        <f>SUM(AI91,AH91,AG91,AF91)</f>
        <v>15400.023342994706</v>
      </c>
      <c r="AJ92" s="150">
        <f>AJ91</f>
        <v>15400.232320777643</v>
      </c>
      <c r="AK92" s="117">
        <f>SUM(AK91,AI91,AH91,AG91)</f>
        <v>14418.568942966729</v>
      </c>
      <c r="AL92" s="117">
        <f>SUM(AL91,AK91,AI91,AH91)</f>
        <v>15278.29818130905</v>
      </c>
      <c r="AM92" s="117">
        <f>SUM(AM91,AL91,AK91,AI91)</f>
        <v>13798.295378999337</v>
      </c>
      <c r="AN92" s="117">
        <f>SUM(AN91,AM91,AL91,AK91)</f>
        <v>3405.0680688927951</v>
      </c>
      <c r="AO92" s="150">
        <f>AO91</f>
        <v>3255.0993497109826</v>
      </c>
      <c r="AP92" s="117">
        <f>SUM(AP91,AN91,AM91,AL91)</f>
        <v>4333.7976805534909</v>
      </c>
      <c r="AQ92" s="117">
        <f>SUM(AQ91,AP91,AN91,AM91)</f>
        <v>-8241.9787315845806</v>
      </c>
      <c r="AR92" s="117">
        <f>SUM(AR91,AQ91,AP91,AN91)</f>
        <v>-10377.506022273639</v>
      </c>
      <c r="AS92" s="117">
        <f>SUM(AS91,AR91,AQ91,AP91)</f>
        <v>-4371.2892702905356</v>
      </c>
      <c r="AT92" s="150">
        <f>AT91</f>
        <v>-5040.9386824097683</v>
      </c>
      <c r="AU92" s="117">
        <f>SUM(AU91,AS91,AR91,AQ91)</f>
        <v>-6567.0970389743252</v>
      </c>
      <c r="AV92" s="117">
        <f>SUM(AV91,AU91,AS91,AR91)</f>
        <v>4799.0003306037042</v>
      </c>
      <c r="AW92" s="117">
        <f>SUM(AW91,AV91,AU91,AS91)</f>
        <v>10476.093440473349</v>
      </c>
      <c r="AX92" s="117">
        <f>SUM(AX91,AW91,AV91,AU91)</f>
        <v>16190.455480641525</v>
      </c>
      <c r="AY92" s="150">
        <f>AY91</f>
        <v>16205.223855076481</v>
      </c>
      <c r="AZ92" s="117">
        <f>SUM(AZ91,AX91,AW91,AV91)</f>
        <v>21036.592916730347</v>
      </c>
      <c r="BA92" s="117">
        <f>SUM(BA91,AZ91,AX91,AW91)</f>
        <v>29622.585968547603</v>
      </c>
      <c r="BB92" s="117">
        <f>SUM(BB91,BA91,AZ91,AX91)</f>
        <v>34710.627303947731</v>
      </c>
      <c r="BC92" s="117">
        <f>SUM(BC91,BB91,BA91,AZ91)</f>
        <v>35973.840764596913</v>
      </c>
      <c r="BD92" s="150">
        <f>BD91</f>
        <v>35977.886218142288</v>
      </c>
      <c r="BE92" s="117">
        <f>SUM(BE91,BC91,BB91,BA91)</f>
        <v>36287.349712311334</v>
      </c>
      <c r="BF92" s="117">
        <f>SUM(BF91,BE91,BC91,BB91)</f>
        <v>30577.909616883269</v>
      </c>
      <c r="BG92" s="117">
        <f>SUM(BG91,BF91,BE91,BC91)</f>
        <v>25883.294741309081</v>
      </c>
      <c r="BH92" s="117">
        <f>SUM(BH91,BG91,BF91,BE91)</f>
        <v>21745.432836285639</v>
      </c>
      <c r="BI92" s="150">
        <f>BI91</f>
        <v>21750.432091671173</v>
      </c>
      <c r="BJ92" s="117">
        <f>SUM(BJ91,BH91,BG91,BF91)</f>
        <v>20694.320577750848</v>
      </c>
      <c r="BK92" s="117">
        <f>SUM(BK91,BJ91,BH91,BG91)</f>
        <v>19108.681934042917</v>
      </c>
      <c r="BL92" s="117">
        <f>SUM(BL91,BK91,BJ91,BH91)</f>
        <v>17077.792199452899</v>
      </c>
      <c r="BM92" s="117">
        <f>SUM(BM91,BL91,BK91,BJ91)</f>
        <v>18123.706620255787</v>
      </c>
      <c r="BN92" s="150">
        <f>BN91</f>
        <v>18132.294772049736</v>
      </c>
      <c r="BO92" s="117">
        <f>SUM(BO91,BM91,BL91,BK91)</f>
        <v>16135.382332894276</v>
      </c>
      <c r="BP92" s="117">
        <f>SUM(BP91,BO91,BM91,BL91)</f>
        <v>14302.19731682137</v>
      </c>
      <c r="BQ92" s="117">
        <f>SUM(BQ91,BP91,BO91,BM91)</f>
        <v>13552.48473328581</v>
      </c>
      <c r="BR92" s="117">
        <f>SUM(BR91,BQ91,BP91,BO91)</f>
        <v>13254.766303139915</v>
      </c>
      <c r="BS92" s="150">
        <f>BS91</f>
        <v>13254.601630957808</v>
      </c>
      <c r="BT92" s="691">
        <f>SUM(BT91,BR91,BQ91,BP91)</f>
        <v>12102.884876157583</v>
      </c>
      <c r="BU92" s="117">
        <f>SUM(BU91,BT91,BR91,BQ91)</f>
        <v>19505.622446731686</v>
      </c>
      <c r="BV92" s="117">
        <f ca="1">SUM(BV91,BU91,BT91,BR91)</f>
        <v>23208.825204361678</v>
      </c>
      <c r="BW92" s="117">
        <f ca="1">SUM(BW91,BV91,BU91,BT91)</f>
        <v>26919.979197335633</v>
      </c>
      <c r="BX92" s="150">
        <f ca="1">BX91</f>
        <v>26929.155015622375</v>
      </c>
      <c r="BY92" s="117">
        <f ca="1">SUM(BY91,BW91,BV91,BU91)</f>
        <v>30609.111582400001</v>
      </c>
      <c r="BZ92" s="117">
        <f ca="1">SUM(BZ91,BY91,BW91,BV91)</f>
        <v>26726.491456909993</v>
      </c>
      <c r="CA92" s="117">
        <f ca="1">SUM(CA91,BZ91,BY91,BW91)</f>
        <v>25531.224355349997</v>
      </c>
      <c r="CB92" s="117">
        <f ca="1">SUM(CB91,CA91,BZ91,BY91)</f>
        <v>25029.412393229995</v>
      </c>
      <c r="CC92" s="150">
        <f ca="1">CC91</f>
        <v>25029.412393230006</v>
      </c>
      <c r="CD92" s="150">
        <f ca="1">CD91</f>
        <v>23907.071506499986</v>
      </c>
      <c r="CE92" s="150">
        <f ca="1">CE91</f>
        <v>24104.941717500002</v>
      </c>
      <c r="CF92" s="150">
        <f ca="1">CF91</f>
        <v>16975.309112999981</v>
      </c>
      <c r="CG92" s="117"/>
    </row>
    <row r="93" spans="1:85" s="460" customFormat="1" hidden="1" outlineLevel="1" x14ac:dyDescent="0.3">
      <c r="A93" s="159" t="s">
        <v>314</v>
      </c>
      <c r="B93" s="160"/>
      <c r="C93" s="150">
        <f t="shared" ref="C93:AH93" si="337">INDEX(MO_BS_TA,0,COLUMN())</f>
        <v>164621</v>
      </c>
      <c r="D93" s="150">
        <f t="shared" si="337"/>
        <v>184769</v>
      </c>
      <c r="E93" s="150">
        <f t="shared" si="337"/>
        <v>209474</v>
      </c>
      <c r="F93" s="150">
        <f t="shared" si="337"/>
        <v>232982</v>
      </c>
      <c r="G93" s="117">
        <f t="shared" si="337"/>
        <v>237410</v>
      </c>
      <c r="H93" s="117">
        <f t="shared" si="337"/>
        <v>244048</v>
      </c>
      <c r="I93" s="117">
        <f t="shared" si="337"/>
        <v>247838</v>
      </c>
      <c r="J93" s="117">
        <f t="shared" si="337"/>
        <v>253753</v>
      </c>
      <c r="K93" s="150">
        <f t="shared" si="337"/>
        <v>253753</v>
      </c>
      <c r="L93" s="117">
        <f t="shared" si="337"/>
        <v>258238</v>
      </c>
      <c r="M93" s="117">
        <f t="shared" si="337"/>
        <v>262045</v>
      </c>
      <c r="N93" s="117">
        <f t="shared" si="337"/>
        <v>265431</v>
      </c>
      <c r="O93" s="117">
        <f t="shared" si="337"/>
        <v>266026</v>
      </c>
      <c r="P93" s="150">
        <f t="shared" si="337"/>
        <v>266026</v>
      </c>
      <c r="Q93" s="117">
        <f t="shared" si="337"/>
        <v>269604</v>
      </c>
      <c r="R93" s="117">
        <f t="shared" si="337"/>
        <v>266455</v>
      </c>
      <c r="S93" s="117">
        <f t="shared" si="337"/>
        <v>268449</v>
      </c>
      <c r="T93" s="117">
        <f t="shared" si="337"/>
        <v>264540</v>
      </c>
      <c r="U93" s="150">
        <f t="shared" si="337"/>
        <v>264540</v>
      </c>
      <c r="V93" s="117">
        <f t="shared" si="337"/>
        <v>263842</v>
      </c>
      <c r="W93" s="117">
        <f t="shared" si="337"/>
        <v>261478</v>
      </c>
      <c r="X93" s="117">
        <f t="shared" si="337"/>
        <v>259863</v>
      </c>
      <c r="Y93" s="117">
        <f t="shared" si="337"/>
        <v>260078</v>
      </c>
      <c r="Z93" s="150">
        <f t="shared" si="337"/>
        <v>260078</v>
      </c>
      <c r="AA93" s="117">
        <f t="shared" si="337"/>
        <v>259111</v>
      </c>
      <c r="AB93" s="117">
        <f t="shared" si="337"/>
        <v>254599</v>
      </c>
      <c r="AC93" s="117">
        <f t="shared" si="337"/>
        <v>255160</v>
      </c>
      <c r="AD93" s="117">
        <f t="shared" si="337"/>
        <v>253806</v>
      </c>
      <c r="AE93" s="150">
        <f t="shared" si="337"/>
        <v>253806</v>
      </c>
      <c r="AF93" s="117">
        <f t="shared" si="337"/>
        <v>256442</v>
      </c>
      <c r="AG93" s="117">
        <f t="shared" si="337"/>
        <v>257929</v>
      </c>
      <c r="AH93" s="117">
        <f t="shared" si="337"/>
        <v>256606</v>
      </c>
      <c r="AI93" s="117">
        <f t="shared" ref="AI93:BI93" si="338">INDEX(MO_BS_TA,0,COLUMN())</f>
        <v>253863</v>
      </c>
      <c r="AJ93" s="150">
        <f t="shared" si="338"/>
        <v>253863</v>
      </c>
      <c r="AK93" s="117">
        <f t="shared" si="338"/>
        <v>256809</v>
      </c>
      <c r="AL93" s="117">
        <f t="shared" si="338"/>
        <v>255878</v>
      </c>
      <c r="AM93" s="117">
        <f t="shared" si="338"/>
        <v>256537</v>
      </c>
      <c r="AN93" s="117">
        <f t="shared" si="338"/>
        <v>237428</v>
      </c>
      <c r="AO93" s="150">
        <f t="shared" si="338"/>
        <v>237428</v>
      </c>
      <c r="AP93" s="117">
        <f t="shared" si="338"/>
        <v>236677</v>
      </c>
      <c r="AQ93" s="117">
        <f t="shared" si="338"/>
        <v>223403</v>
      </c>
      <c r="AR93" s="117">
        <f t="shared" si="338"/>
        <v>223063</v>
      </c>
      <c r="AS93" s="117">
        <f t="shared" si="338"/>
        <v>239790</v>
      </c>
      <c r="AT93" s="150">
        <f t="shared" si="338"/>
        <v>239790</v>
      </c>
      <c r="AU93" s="117">
        <f t="shared" si="338"/>
        <v>241645</v>
      </c>
      <c r="AV93" s="117">
        <f t="shared" si="338"/>
        <v>242806</v>
      </c>
      <c r="AW93" s="117">
        <f t="shared" si="338"/>
        <v>239948</v>
      </c>
      <c r="AX93" s="117">
        <f t="shared" si="338"/>
        <v>239535</v>
      </c>
      <c r="AY93" s="150">
        <f t="shared" si="338"/>
        <v>239535</v>
      </c>
      <c r="AZ93" s="117">
        <f t="shared" si="338"/>
        <v>249048</v>
      </c>
      <c r="BA93" s="117">
        <f t="shared" si="338"/>
        <v>257936</v>
      </c>
      <c r="BB93" s="117">
        <f t="shared" si="338"/>
        <v>259735</v>
      </c>
      <c r="BC93" s="117">
        <f t="shared" si="338"/>
        <v>257709</v>
      </c>
      <c r="BD93" s="150">
        <f t="shared" si="338"/>
        <v>257709</v>
      </c>
      <c r="BE93" s="117">
        <f t="shared" si="338"/>
        <v>255886</v>
      </c>
      <c r="BF93" s="117">
        <f t="shared" si="338"/>
        <v>251779</v>
      </c>
      <c r="BG93" s="117">
        <f t="shared" si="338"/>
        <v>263927</v>
      </c>
      <c r="BH93" s="117">
        <f t="shared" si="338"/>
        <v>261632</v>
      </c>
      <c r="BI93" s="150">
        <f t="shared" si="338"/>
        <v>261632</v>
      </c>
      <c r="BJ93" s="117">
        <f t="shared" ref="BJ93:BN93" si="339">INDEX(MO_BS_TA,0,COLUMN())</f>
        <v>261651</v>
      </c>
      <c r="BK93" s="117">
        <f t="shared" si="339"/>
        <v>260644</v>
      </c>
      <c r="BL93" s="117">
        <f t="shared" si="339"/>
        <v>259232</v>
      </c>
      <c r="BM93" s="117">
        <f t="shared" si="339"/>
        <v>256938</v>
      </c>
      <c r="BN93" s="150">
        <f t="shared" si="339"/>
        <v>256938</v>
      </c>
      <c r="BO93" s="117">
        <f t="shared" ref="BO93:BS93" si="340">INDEX(MO_BS_TA,0,COLUMN())</f>
        <v>256397</v>
      </c>
      <c r="BP93" s="117">
        <f t="shared" si="340"/>
        <v>250820</v>
      </c>
      <c r="BQ93" s="117">
        <f t="shared" si="340"/>
        <v>326501</v>
      </c>
      <c r="BR93" s="117">
        <f t="shared" si="340"/>
        <v>324012</v>
      </c>
      <c r="BS93" s="150">
        <f t="shared" si="340"/>
        <v>324012</v>
      </c>
      <c r="BT93" s="691">
        <f t="shared" ref="BT93:BX93" si="341">INDEX(MO_BS_TA,0,COLUMN())</f>
        <v>329551</v>
      </c>
      <c r="BU93" s="117">
        <f t="shared" ca="1" si="341"/>
        <v>334406.28107500891</v>
      </c>
      <c r="BV93" s="117">
        <f t="shared" ca="1" si="341"/>
        <v>339226.80307349353</v>
      </c>
      <c r="BW93" s="117">
        <f t="shared" ca="1" si="341"/>
        <v>343041.06660197821</v>
      </c>
      <c r="BX93" s="150">
        <f t="shared" ca="1" si="341"/>
        <v>343041.06660197821</v>
      </c>
      <c r="BY93" s="117">
        <f t="shared" ref="BY93:CF93" ca="1" si="342">INDEX(MO_BS_TA,0,COLUMN())</f>
        <v>345719.82344887382</v>
      </c>
      <c r="BZ93" s="117">
        <f t="shared" ca="1" si="342"/>
        <v>348415.82885836734</v>
      </c>
      <c r="CA93" s="117">
        <f t="shared" ca="1" si="342"/>
        <v>351281.66429455887</v>
      </c>
      <c r="CB93" s="117">
        <f t="shared" ca="1" si="342"/>
        <v>354054.44482595031</v>
      </c>
      <c r="CC93" s="150">
        <f t="shared" ca="1" si="342"/>
        <v>354054.44482595031</v>
      </c>
      <c r="CD93" s="150">
        <f t="shared" ca="1" si="342"/>
        <v>363909.85229377251</v>
      </c>
      <c r="CE93" s="150">
        <f t="shared" ca="1" si="342"/>
        <v>373480.38963184471</v>
      </c>
      <c r="CF93" s="150">
        <f t="shared" ca="1" si="342"/>
        <v>376183.97875716683</v>
      </c>
      <c r="CG93" s="117"/>
    </row>
    <row r="94" spans="1:85" s="460" customFormat="1" hidden="1" outlineLevel="1" x14ac:dyDescent="0.3">
      <c r="A94" s="159" t="s">
        <v>442</v>
      </c>
      <c r="B94" s="160"/>
      <c r="C94" s="150">
        <f>C93</f>
        <v>164621</v>
      </c>
      <c r="D94" s="150">
        <f>AVERAGE(D93,C93)</f>
        <v>174695</v>
      </c>
      <c r="E94" s="150">
        <f>AVERAGE(E93,D93)</f>
        <v>197121.5</v>
      </c>
      <c r="F94" s="150">
        <f>AVERAGE(F93,E93)</f>
        <v>221228</v>
      </c>
      <c r="G94" s="117"/>
      <c r="H94" s="117"/>
      <c r="I94" s="117"/>
      <c r="J94" s="117">
        <f>AVERAGE(J93,I93,H93,G93)</f>
        <v>245762.25</v>
      </c>
      <c r="K94" s="150">
        <f>AVERAGE(K93,F93)</f>
        <v>243367.5</v>
      </c>
      <c r="L94" s="117">
        <f>AVERAGE(L93,J93,I93,H93)</f>
        <v>250969.25</v>
      </c>
      <c r="M94" s="117">
        <f>AVERAGE(M93,L93,J93,I93)</f>
        <v>255468.5</v>
      </c>
      <c r="N94" s="117">
        <f>AVERAGE(N93,M93,L93,J93)</f>
        <v>259866.75</v>
      </c>
      <c r="O94" s="117">
        <f>AVERAGE(O93,N93,M93,L93)</f>
        <v>262935</v>
      </c>
      <c r="P94" s="150">
        <f>AVERAGE(P93,K93)</f>
        <v>259889.5</v>
      </c>
      <c r="Q94" s="117">
        <f>AVERAGE(Q93,O93,N93,M93)</f>
        <v>265776.5</v>
      </c>
      <c r="R94" s="117">
        <f>AVERAGE(R93,Q93,O93,N93)</f>
        <v>266879</v>
      </c>
      <c r="S94" s="117">
        <f>AVERAGE(S93,R93,Q93,O93)</f>
        <v>267633.5</v>
      </c>
      <c r="T94" s="117">
        <f>AVERAGE(T93,S93,R93,Q93)</f>
        <v>267262</v>
      </c>
      <c r="U94" s="150">
        <f>AVERAGE(U93,P93)</f>
        <v>265283</v>
      </c>
      <c r="V94" s="117">
        <f>AVERAGE(V93,T93,S93,R93)</f>
        <v>265821.5</v>
      </c>
      <c r="W94" s="117">
        <f>AVERAGE(W93,V93,T93,S93)</f>
        <v>264577.25</v>
      </c>
      <c r="X94" s="117">
        <f>AVERAGE(X93,W93,V93,T93)</f>
        <v>262430.75</v>
      </c>
      <c r="Y94" s="117">
        <f>AVERAGE(Y93,X93,W93,V93)</f>
        <v>261315.25</v>
      </c>
      <c r="Z94" s="150">
        <f>AVERAGE(Z93,U93)</f>
        <v>262309</v>
      </c>
      <c r="AA94" s="117">
        <f>AVERAGE(AA93,Y93,X93,W93)</f>
        <v>260132.5</v>
      </c>
      <c r="AB94" s="117">
        <f>AVERAGE(AB93,AA93,Y93,X93)</f>
        <v>258412.75</v>
      </c>
      <c r="AC94" s="117">
        <f>AVERAGE(AC93,AB93,AA93,Y93)</f>
        <v>257237</v>
      </c>
      <c r="AD94" s="117">
        <f>AVERAGE(AD93,AC93,AB93,AA93)</f>
        <v>255669</v>
      </c>
      <c r="AE94" s="150">
        <f>AVERAGE(AE93,Z93)</f>
        <v>256942</v>
      </c>
      <c r="AF94" s="117">
        <f>AVERAGE(AF93,AD93,AC93,AB93)</f>
        <v>255001.75</v>
      </c>
      <c r="AG94" s="117">
        <f>AVERAGE(AG93,AF93,AD93,AC93)</f>
        <v>255834.25</v>
      </c>
      <c r="AH94" s="117">
        <f>AVERAGE(AH93,AG93,AF93,AD93)</f>
        <v>256195.75</v>
      </c>
      <c r="AI94" s="117">
        <f>AVERAGE(AI93,AH93,AG93,AF93)</f>
        <v>256210</v>
      </c>
      <c r="AJ94" s="150">
        <f>AVERAGE(AJ93,AE93)</f>
        <v>253834.5</v>
      </c>
      <c r="AK94" s="117">
        <f>AVERAGE(AK93,AI93,AH93,AG93)</f>
        <v>256301.75</v>
      </c>
      <c r="AL94" s="117">
        <f>AVERAGE(AL93,AK93,AI93,AH93)</f>
        <v>255789</v>
      </c>
      <c r="AM94" s="117">
        <f>AVERAGE(AM93,AL93,AK93,AI93)</f>
        <v>255771.75</v>
      </c>
      <c r="AN94" s="117">
        <f>AVERAGE(AN93,AM93,AL93,AK93)</f>
        <v>251663</v>
      </c>
      <c r="AO94" s="150">
        <f>AVERAGE(AO93,AJ93)</f>
        <v>245645.5</v>
      </c>
      <c r="AP94" s="117">
        <f>AVERAGE(AP93,AN93,AM93,AL93)</f>
        <v>246630</v>
      </c>
      <c r="AQ94" s="117">
        <f>AVERAGE(AQ93,AP93,AN93,AM93)</f>
        <v>238511.25</v>
      </c>
      <c r="AR94" s="117">
        <f>AVERAGE(AR93,AQ93,AP93,AN93)</f>
        <v>230142.75</v>
      </c>
      <c r="AS94" s="117">
        <f>AVERAGE(AS93,AR93,AQ93,AP93)</f>
        <v>230733.25</v>
      </c>
      <c r="AT94" s="150">
        <f>AVERAGE(AT93,AO93)</f>
        <v>238609</v>
      </c>
      <c r="AU94" s="117">
        <f>AVERAGE(AU93,AS93,AR93,AQ93)</f>
        <v>231975.25</v>
      </c>
      <c r="AV94" s="117">
        <f>AVERAGE(AV93,AU93,AS93,AR93)</f>
        <v>236826</v>
      </c>
      <c r="AW94" s="117">
        <f>AVERAGE(AW93,AV93,AU93,AS93)</f>
        <v>241047.25</v>
      </c>
      <c r="AX94" s="117">
        <f>AVERAGE(AX93,AW93,AV93,AU93)</f>
        <v>240983.5</v>
      </c>
      <c r="AY94" s="150">
        <f>AVERAGE(AY93,AT93)</f>
        <v>239662.5</v>
      </c>
      <c r="AZ94" s="117">
        <f>AVERAGE(AZ93,AX93,AW93,AV93)</f>
        <v>242834.25</v>
      </c>
      <c r="BA94" s="117">
        <f>AVERAGE(BA93,AZ93,AX93,AW93)</f>
        <v>246616.75</v>
      </c>
      <c r="BB94" s="117">
        <f>AVERAGE(BB93,BA93,AZ93,AX93)</f>
        <v>251563.5</v>
      </c>
      <c r="BC94" s="117">
        <f>AVERAGE(BC93,BB93,BA93,AZ93)</f>
        <v>256107</v>
      </c>
      <c r="BD94" s="150">
        <f>AVERAGE(BD93,AY93)</f>
        <v>248622</v>
      </c>
      <c r="BE94" s="117">
        <f>AVERAGE(BE93,BC93,BB93,BA93)</f>
        <v>257816.5</v>
      </c>
      <c r="BF94" s="117">
        <f>AVERAGE(BF93,BE93,BC93,BB93)</f>
        <v>256277.25</v>
      </c>
      <c r="BG94" s="117">
        <f>AVERAGE(BG93,BF93,BE93,BC93)</f>
        <v>257325.25</v>
      </c>
      <c r="BH94" s="117">
        <f>AVERAGE(BH93,BG93,BF93,BE93)</f>
        <v>258306</v>
      </c>
      <c r="BI94" s="150">
        <f>AVERAGE(BI93,BD93)</f>
        <v>259670.5</v>
      </c>
      <c r="BJ94" s="117">
        <f>AVERAGE(BJ93,BH93,BG93,BF93)</f>
        <v>259747.25</v>
      </c>
      <c r="BK94" s="117">
        <f>AVERAGE(BK93,BJ93,BH93,BG93)</f>
        <v>261963.5</v>
      </c>
      <c r="BL94" s="117">
        <f>AVERAGE(BL93,BK93,BJ93,BH93)</f>
        <v>260789.75</v>
      </c>
      <c r="BM94" s="117">
        <f>AVERAGE(BM93,BL93,BK93,BJ93)</f>
        <v>259616.25</v>
      </c>
      <c r="BN94" s="150">
        <f>AVERAGE(BN93,BI93)</f>
        <v>259285</v>
      </c>
      <c r="BO94" s="117">
        <f>AVERAGE(BO93,BM93,BL93,BK93)</f>
        <v>258302.75</v>
      </c>
      <c r="BP94" s="117">
        <f>AVERAGE(BP93,BO93,BM93,BL93)</f>
        <v>255846.75</v>
      </c>
      <c r="BQ94" s="117">
        <f>AVERAGE(BQ93,BP93,BO93,BM93)</f>
        <v>272664</v>
      </c>
      <c r="BR94" s="117">
        <f>AVERAGE(BR93,BQ93,BP93,BO93)</f>
        <v>289432.5</v>
      </c>
      <c r="BS94" s="150">
        <f>AVERAGE(BS93,BN93)</f>
        <v>290475</v>
      </c>
      <c r="BT94" s="691">
        <f>AVERAGE(BT93,BR93,BQ93,BP93)</f>
        <v>307721</v>
      </c>
      <c r="BU94" s="117">
        <f ca="1">AVERAGE(BU93,BT93,BR93,BQ93)</f>
        <v>328617.57026875223</v>
      </c>
      <c r="BV94" s="117">
        <f ca="1">AVERAGE(BV93,BU93,BT93,BR93)</f>
        <v>331799.02103712561</v>
      </c>
      <c r="BW94" s="117">
        <f ca="1">AVERAGE(BW93,BV93,BU93,BT93)</f>
        <v>336556.28768762015</v>
      </c>
      <c r="BX94" s="150">
        <f ca="1">AVERAGE(BX93,BS93)</f>
        <v>333526.53330098907</v>
      </c>
      <c r="BY94" s="117">
        <f ca="1">AVERAGE(BY93,BW93,BV93,BU93)</f>
        <v>340598.4935498386</v>
      </c>
      <c r="BZ94" s="117">
        <f ca="1">AVERAGE(BZ93,BY93,BW93,BV93)</f>
        <v>344100.88049567823</v>
      </c>
      <c r="CA94" s="117">
        <f ca="1">AVERAGE(CA93,BZ93,BY93,BW93)</f>
        <v>347114.59580094455</v>
      </c>
      <c r="CB94" s="117">
        <f ca="1">AVERAGE(CB93,CA93,BZ93,BY93)</f>
        <v>349867.94035693759</v>
      </c>
      <c r="CC94" s="150">
        <f ca="1">AVERAGE(CC93,BX93)</f>
        <v>348547.75571396423</v>
      </c>
      <c r="CD94" s="150">
        <f ca="1">AVERAGE(CD93,CC93)</f>
        <v>358982.14855986141</v>
      </c>
      <c r="CE94" s="150">
        <f ca="1">AVERAGE(CE93,CD93)</f>
        <v>368695.12096280861</v>
      </c>
      <c r="CF94" s="150">
        <f ca="1">AVERAGE(CF93,CE93)</f>
        <v>374832.1841945058</v>
      </c>
      <c r="CG94" s="117"/>
    </row>
    <row r="95" spans="1:85" s="463" customFormat="1" collapsed="1" x14ac:dyDescent="0.3">
      <c r="A95" s="175" t="s">
        <v>525</v>
      </c>
      <c r="B95" s="176"/>
      <c r="C95" s="963">
        <f>IF(C94&lt;0,"NMF",IF(ABS(C92/C94)&gt;1,"NMF",C92/C94))</f>
        <v>6.4262536875013238E-2</v>
      </c>
      <c r="D95" s="963">
        <f>IF(D94&lt;0,"NMF",IF(ABS(D92/D94)&gt;1,"NMF",D92/D94))</f>
        <v>0.10971034487278447</v>
      </c>
      <c r="E95" s="963">
        <f>IF(E94&lt;0,"NMF",IF(ABS(E92/E94)&gt;1,"NMF",E92/E94))</f>
        <v>0.13701194440991976</v>
      </c>
      <c r="F95" s="963">
        <f>IF(F94&lt;0,"NMF",IF(ABS(F92/F94)&gt;1,"NMF",F92/F94))</f>
        <v>0.11904460556529915</v>
      </c>
      <c r="G95" s="124"/>
      <c r="H95" s="124"/>
      <c r="I95" s="124"/>
      <c r="J95" s="124"/>
      <c r="K95" s="963">
        <f t="shared" ref="K95:AP95" si="343">IF(K94&lt;0,"NMF",IF(ABS(K92/K94)&gt;1,"NMF",K92/K94))</f>
        <v>8.8742334124318159E-2</v>
      </c>
      <c r="L95" s="124">
        <f t="shared" si="343"/>
        <v>7.9208907067300077E-2</v>
      </c>
      <c r="M95" s="124">
        <f t="shared" si="343"/>
        <v>7.8933410577037871E-2</v>
      </c>
      <c r="N95" s="124">
        <f t="shared" si="343"/>
        <v>8.0025628519231493E-2</v>
      </c>
      <c r="O95" s="124">
        <f t="shared" si="343"/>
        <v>7.34402038526632E-2</v>
      </c>
      <c r="P95" s="963">
        <f t="shared" si="343"/>
        <v>7.4300808612891248E-2</v>
      </c>
      <c r="Q95" s="124">
        <f t="shared" si="343"/>
        <v>6.542715401850803E-2</v>
      </c>
      <c r="R95" s="124">
        <f t="shared" si="343"/>
        <v>4.6114531304448834E-2</v>
      </c>
      <c r="S95" s="124">
        <f t="shared" si="343"/>
        <v>3.2645390057672155E-2</v>
      </c>
      <c r="T95" s="124">
        <f t="shared" si="343"/>
        <v>1.762315630355232E-2</v>
      </c>
      <c r="U95" s="963">
        <f t="shared" si="343"/>
        <v>1.7754624306872285E-2</v>
      </c>
      <c r="V95" s="124">
        <f t="shared" si="343"/>
        <v>5.2779778911788552E-3</v>
      </c>
      <c r="W95" s="124">
        <f t="shared" si="343"/>
        <v>-2.3137503337232954E-3</v>
      </c>
      <c r="X95" s="124">
        <f t="shared" si="343"/>
        <v>-4.9273396810525462E-3</v>
      </c>
      <c r="Y95" s="124">
        <f t="shared" si="343"/>
        <v>-9.5849079035142579E-4</v>
      </c>
      <c r="Z95" s="963">
        <f t="shared" si="343"/>
        <v>-1.4902007005308834E-3</v>
      </c>
      <c r="AA95" s="124">
        <f t="shared" si="343"/>
        <v>1.2299590057150421E-2</v>
      </c>
      <c r="AB95" s="124">
        <f t="shared" si="343"/>
        <v>2.363938905100843E-2</v>
      </c>
      <c r="AC95" s="124">
        <f t="shared" si="343"/>
        <v>2.6220141433954899E-2</v>
      </c>
      <c r="AD95" s="124">
        <f t="shared" si="343"/>
        <v>3.809377029269697E-2</v>
      </c>
      <c r="AE95" s="963">
        <f t="shared" si="343"/>
        <v>3.7275330974746466E-2</v>
      </c>
      <c r="AF95" s="124">
        <f t="shared" si="343"/>
        <v>4.2235343996582665E-2</v>
      </c>
      <c r="AG95" s="124">
        <f t="shared" si="343"/>
        <v>5.0194401814650062E-2</v>
      </c>
      <c r="AH95" s="124">
        <f t="shared" si="343"/>
        <v>5.8606850402137506E-2</v>
      </c>
      <c r="AI95" s="124">
        <f t="shared" si="343"/>
        <v>6.010703463172673E-2</v>
      </c>
      <c r="AJ95" s="963">
        <f t="shared" si="343"/>
        <v>6.0670367191132973E-2</v>
      </c>
      <c r="AK95" s="124">
        <f t="shared" si="343"/>
        <v>5.6256225105629318E-2</v>
      </c>
      <c r="AL95" s="124">
        <f t="shared" si="343"/>
        <v>5.9730082925024339E-2</v>
      </c>
      <c r="AM95" s="124">
        <f t="shared" si="343"/>
        <v>5.3947691169956562E-2</v>
      </c>
      <c r="AN95" s="124">
        <f t="shared" si="343"/>
        <v>1.3530268926670965E-2</v>
      </c>
      <c r="AO95" s="963">
        <f t="shared" si="343"/>
        <v>1.32512069209938E-2</v>
      </c>
      <c r="AP95" s="124">
        <f t="shared" si="343"/>
        <v>1.7572062119585983E-2</v>
      </c>
      <c r="AQ95" s="124">
        <f t="shared" ref="AQ95:BI95" si="344">IF(AQ94&lt;0,"NMF",IF(ABS(AQ92/AQ94)&gt;1,"NMF",AQ92/AQ94))</f>
        <v>-3.4555932819037176E-2</v>
      </c>
      <c r="AR95" s="124">
        <f t="shared" si="344"/>
        <v>-4.5091605198398124E-2</v>
      </c>
      <c r="AS95" s="124">
        <f t="shared" si="344"/>
        <v>-1.8945207378176034E-2</v>
      </c>
      <c r="AT95" s="963">
        <f t="shared" si="344"/>
        <v>-2.1126356015111619E-2</v>
      </c>
      <c r="AU95" s="124">
        <f t="shared" si="344"/>
        <v>-2.8309472838047703E-2</v>
      </c>
      <c r="AV95" s="124">
        <f t="shared" si="344"/>
        <v>2.0263823780343814E-2</v>
      </c>
      <c r="AW95" s="124">
        <f t="shared" si="344"/>
        <v>4.3460746556840409E-2</v>
      </c>
      <c r="AX95" s="124">
        <f t="shared" si="344"/>
        <v>6.7184912994630447E-2</v>
      </c>
      <c r="AY95" s="963">
        <f t="shared" si="344"/>
        <v>6.7616852261311144E-2</v>
      </c>
      <c r="AZ95" s="124">
        <f t="shared" si="344"/>
        <v>8.6629431049081204E-2</v>
      </c>
      <c r="BA95" s="124">
        <f t="shared" si="344"/>
        <v>0.12011587196955439</v>
      </c>
      <c r="BB95" s="124">
        <f t="shared" si="344"/>
        <v>0.13797958489187712</v>
      </c>
      <c r="BC95" s="124">
        <f t="shared" si="344"/>
        <v>0.14046410587995217</v>
      </c>
      <c r="BD95" s="963">
        <f t="shared" si="344"/>
        <v>0.14470918188310886</v>
      </c>
      <c r="BE95" s="124">
        <f t="shared" si="344"/>
        <v>0.14074874847929181</v>
      </c>
      <c r="BF95" s="124">
        <f t="shared" si="344"/>
        <v>0.11931573956284949</v>
      </c>
      <c r="BG95" s="124">
        <f t="shared" si="344"/>
        <v>0.10058591118170129</v>
      </c>
      <c r="BH95" s="124">
        <f t="shared" si="344"/>
        <v>8.4184776336150305E-2</v>
      </c>
      <c r="BI95" s="963">
        <f t="shared" si="344"/>
        <v>8.3761659840725741E-2</v>
      </c>
      <c r="BJ95" s="124">
        <f t="shared" ref="BJ95:BN95" si="345">IF(BJ94&lt;0,"NMF",IF(ABS(BJ92/BJ94)&gt;1,"NMF",BJ92/BJ94))</f>
        <v>7.9670990078820267E-2</v>
      </c>
      <c r="BK95" s="124">
        <f t="shared" si="345"/>
        <v>7.2944062566131992E-2</v>
      </c>
      <c r="BL95" s="124">
        <f t="shared" si="345"/>
        <v>6.5484905750524694E-2</v>
      </c>
      <c r="BM95" s="124">
        <f t="shared" si="345"/>
        <v>6.9809600208984551E-2</v>
      </c>
      <c r="BN95" s="963">
        <f t="shared" si="345"/>
        <v>6.9931908024180867E-2</v>
      </c>
      <c r="BO95" s="124">
        <f t="shared" ref="BO95:BS95" si="346">IF(BO94&lt;0,"NMF",IF(ABS(BO92/BO94)&gt;1,"NMF",BO92/BO94))</f>
        <v>6.2466939794076047E-2</v>
      </c>
      <c r="BP95" s="124">
        <f t="shared" si="346"/>
        <v>5.5901422694723972E-2</v>
      </c>
      <c r="BQ95" s="124">
        <f t="shared" si="346"/>
        <v>4.9703975344327855E-2</v>
      </c>
      <c r="BR95" s="124">
        <f t="shared" si="346"/>
        <v>4.5795708163872115E-2</v>
      </c>
      <c r="BS95" s="963">
        <f t="shared" si="346"/>
        <v>4.5630782790112089E-2</v>
      </c>
      <c r="BT95" s="699">
        <f t="shared" ref="BT95:BX95" si="347">IF(BT94&lt;0,"NMF",IF(ABS(BT92/BT94)&gt;1,"NMF",BT92/BT94))</f>
        <v>3.9330708258966993E-2</v>
      </c>
      <c r="BU95" s="124">
        <f t="shared" ca="1" si="347"/>
        <v>5.9356602359330532E-2</v>
      </c>
      <c r="BV95" s="124">
        <f t="shared" ca="1" si="347"/>
        <v>6.9948443885748529E-2</v>
      </c>
      <c r="BW95" s="124">
        <f t="shared" ca="1" si="347"/>
        <v>7.9986558510895575E-2</v>
      </c>
      <c r="BX95" s="963">
        <f t="shared" ca="1" si="347"/>
        <v>8.0740667763665799E-2</v>
      </c>
      <c r="BY95" s="124">
        <f t="shared" ref="BY95:CF95" ca="1" si="348">IF(BY94&lt;0,"NMF",IF(ABS(BY92/BY94)&gt;1,"NMF",BY92/BY94))</f>
        <v>8.9868605299397997E-2</v>
      </c>
      <c r="BZ95" s="124">
        <f t="shared" ca="1" si="348"/>
        <v>7.7670511677884732E-2</v>
      </c>
      <c r="CA95" s="124">
        <f t="shared" ca="1" si="348"/>
        <v>7.3552724847073467E-2</v>
      </c>
      <c r="CB95" s="124">
        <f t="shared" ca="1" si="348"/>
        <v>7.1539599677795065E-2</v>
      </c>
      <c r="CC95" s="963">
        <f t="shared" ca="1" si="348"/>
        <v>7.1810568230341432E-2</v>
      </c>
      <c r="CD95" s="963">
        <f t="shared" ca="1" si="348"/>
        <v>6.6596825503464852E-2</v>
      </c>
      <c r="CE95" s="963">
        <f t="shared" ca="1" si="348"/>
        <v>6.5379063478118393E-2</v>
      </c>
      <c r="CF95" s="963">
        <f t="shared" ca="1" si="348"/>
        <v>4.5287757638739073E-2</v>
      </c>
      <c r="CG95" s="197"/>
    </row>
    <row r="96" spans="1:85" s="460" customFormat="1" hidden="1" outlineLevel="1" x14ac:dyDescent="0.3">
      <c r="A96" s="159" t="s">
        <v>443</v>
      </c>
      <c r="B96" s="160"/>
      <c r="C96" s="150">
        <f t="shared" ref="C96:AH96" si="349">INDEX(MO_BSS_Debt_Net,0,COLUMN())+INDEX(MO_BSS_Cash,0,COLUMN())</f>
        <v>7947</v>
      </c>
      <c r="D96" s="150">
        <f t="shared" si="349"/>
        <v>8530</v>
      </c>
      <c r="E96" s="150">
        <f t="shared" si="349"/>
        <v>10249</v>
      </c>
      <c r="F96" s="150">
        <f t="shared" si="349"/>
        <v>12470</v>
      </c>
      <c r="G96" s="117">
        <f t="shared" si="349"/>
        <v>11090</v>
      </c>
      <c r="H96" s="117">
        <f t="shared" si="349"/>
        <v>17656</v>
      </c>
      <c r="I96" s="117">
        <f t="shared" si="349"/>
        <v>16601</v>
      </c>
      <c r="J96" s="117">
        <f t="shared" si="349"/>
        <v>19341</v>
      </c>
      <c r="K96" s="150">
        <f t="shared" si="349"/>
        <v>19341</v>
      </c>
      <c r="L96" s="117">
        <f t="shared" si="349"/>
        <v>22132</v>
      </c>
      <c r="M96" s="117">
        <f t="shared" si="349"/>
        <v>21693</v>
      </c>
      <c r="N96" s="117">
        <f t="shared" si="349"/>
        <v>24539</v>
      </c>
      <c r="O96" s="117">
        <f t="shared" si="349"/>
        <v>26937</v>
      </c>
      <c r="P96" s="150">
        <f t="shared" si="349"/>
        <v>26937</v>
      </c>
      <c r="Q96" s="117">
        <f t="shared" si="349"/>
        <v>31307</v>
      </c>
      <c r="R96" s="117">
        <f t="shared" si="349"/>
        <v>29340</v>
      </c>
      <c r="S96" s="117">
        <f t="shared" si="349"/>
        <v>32860</v>
      </c>
      <c r="T96" s="117">
        <f t="shared" si="349"/>
        <v>35991</v>
      </c>
      <c r="U96" s="150">
        <f t="shared" si="349"/>
        <v>35991</v>
      </c>
      <c r="V96" s="117">
        <f t="shared" si="349"/>
        <v>39037</v>
      </c>
      <c r="W96" s="117">
        <f t="shared" si="349"/>
        <v>41095</v>
      </c>
      <c r="X96" s="117">
        <f t="shared" si="349"/>
        <v>43071</v>
      </c>
      <c r="Y96" s="117">
        <f t="shared" si="349"/>
        <v>44453</v>
      </c>
      <c r="Z96" s="150">
        <f t="shared" si="349"/>
        <v>44453</v>
      </c>
      <c r="AA96" s="117">
        <f t="shared" si="349"/>
        <v>42811</v>
      </c>
      <c r="AB96" s="117">
        <f t="shared" si="349"/>
        <v>40187</v>
      </c>
      <c r="AC96" s="117">
        <f t="shared" si="349"/>
        <v>39554</v>
      </c>
      <c r="AD96" s="117">
        <f t="shared" si="349"/>
        <v>37570</v>
      </c>
      <c r="AE96" s="150">
        <f t="shared" si="349"/>
        <v>37570</v>
      </c>
      <c r="AF96" s="117">
        <f t="shared" si="349"/>
        <v>37603</v>
      </c>
      <c r="AG96" s="117">
        <f t="shared" si="349"/>
        <v>36281</v>
      </c>
      <c r="AH96" s="117">
        <f t="shared" si="349"/>
        <v>34390</v>
      </c>
      <c r="AI96" s="117">
        <f t="shared" ref="AI96:BI96" si="350">INDEX(MO_BSS_Debt_Net,0,COLUMN())+INDEX(MO_BSS_Cash,0,COLUMN())</f>
        <v>33367</v>
      </c>
      <c r="AJ96" s="150">
        <f t="shared" si="350"/>
        <v>33367</v>
      </c>
      <c r="AK96" s="117">
        <f t="shared" si="350"/>
        <v>32095</v>
      </c>
      <c r="AL96" s="117">
        <f t="shared" si="350"/>
        <v>30552</v>
      </c>
      <c r="AM96" s="117">
        <f t="shared" si="350"/>
        <v>34179</v>
      </c>
      <c r="AN96" s="117">
        <f t="shared" si="350"/>
        <v>28866</v>
      </c>
      <c r="AO96" s="150">
        <f t="shared" si="350"/>
        <v>28866</v>
      </c>
      <c r="AP96" s="117">
        <f t="shared" si="350"/>
        <v>33076</v>
      </c>
      <c r="AQ96" s="117">
        <f t="shared" si="350"/>
        <v>35233</v>
      </c>
      <c r="AR96" s="117">
        <f t="shared" si="350"/>
        <v>36960</v>
      </c>
      <c r="AS96" s="117">
        <f t="shared" si="350"/>
        <v>45640</v>
      </c>
      <c r="AT96" s="150">
        <f t="shared" si="350"/>
        <v>45640</v>
      </c>
      <c r="AU96" s="117">
        <f t="shared" si="350"/>
        <v>45942</v>
      </c>
      <c r="AV96" s="117">
        <f t="shared" si="350"/>
        <v>43417</v>
      </c>
      <c r="AW96" s="117">
        <f t="shared" si="350"/>
        <v>37166</v>
      </c>
      <c r="AX96" s="117">
        <f t="shared" si="350"/>
        <v>30996</v>
      </c>
      <c r="AY96" s="150">
        <f t="shared" si="350"/>
        <v>30996</v>
      </c>
      <c r="AZ96" s="117">
        <f t="shared" si="350"/>
        <v>28352</v>
      </c>
      <c r="BA96" s="117">
        <f t="shared" si="350"/>
        <v>24635</v>
      </c>
      <c r="BB96" s="117">
        <f t="shared" si="350"/>
        <v>23764</v>
      </c>
      <c r="BC96" s="117">
        <f t="shared" si="350"/>
        <v>24584</v>
      </c>
      <c r="BD96" s="150">
        <f t="shared" si="350"/>
        <v>24584</v>
      </c>
      <c r="BE96" s="117">
        <f t="shared" si="350"/>
        <v>22688</v>
      </c>
      <c r="BF96" s="117">
        <f t="shared" si="350"/>
        <v>18020</v>
      </c>
      <c r="BG96" s="117">
        <f t="shared" si="350"/>
        <v>18797</v>
      </c>
      <c r="BH96" s="117">
        <f t="shared" si="350"/>
        <v>20757</v>
      </c>
      <c r="BI96" s="150">
        <f t="shared" si="350"/>
        <v>20757</v>
      </c>
      <c r="BJ96" s="117">
        <f t="shared" ref="BJ96:BN96" si="351">INDEX(MO_BSS_Debt_Net,0,COLUMN())+INDEX(MO_BSS_Cash,0,COLUMN())</f>
        <v>21197</v>
      </c>
      <c r="BK96" s="117">
        <f t="shared" si="351"/>
        <v>21072</v>
      </c>
      <c r="BL96" s="117">
        <f t="shared" si="351"/>
        <v>23996</v>
      </c>
      <c r="BM96" s="117">
        <f t="shared" si="351"/>
        <v>26048</v>
      </c>
      <c r="BN96" s="150">
        <f t="shared" si="351"/>
        <v>26048</v>
      </c>
      <c r="BO96" s="117">
        <f t="shared" ref="BO96:BS96" si="352">INDEX(MO_BSS_Debt_Net,0,COLUMN())+INDEX(MO_BSS_Cash,0,COLUMN())</f>
        <v>28904</v>
      </c>
      <c r="BP96" s="117">
        <f t="shared" si="352"/>
        <v>28792</v>
      </c>
      <c r="BQ96" s="117">
        <f t="shared" si="352"/>
        <v>41344</v>
      </c>
      <c r="BR96" s="117">
        <f t="shared" si="352"/>
        <v>41905</v>
      </c>
      <c r="BS96" s="150">
        <f t="shared" si="352"/>
        <v>41905</v>
      </c>
      <c r="BT96" s="691">
        <f t="shared" ref="BT96:BX96" si="353">INDEX(MO_BSS_Debt_Net,0,COLUMN())+INDEX(MO_BSS_Cash,0,COLUMN())</f>
        <v>41936</v>
      </c>
      <c r="BU96" s="117">
        <f t="shared" ca="1" si="353"/>
        <v>41936</v>
      </c>
      <c r="BV96" s="117">
        <f t="shared" ca="1" si="353"/>
        <v>41936</v>
      </c>
      <c r="BW96" s="117">
        <f t="shared" ca="1" si="353"/>
        <v>41936</v>
      </c>
      <c r="BX96" s="150">
        <f t="shared" ca="1" si="353"/>
        <v>41936</v>
      </c>
      <c r="BY96" s="117">
        <f t="shared" ref="BY96:CF96" ca="1" si="354">INDEX(MO_BSS_Debt_Net,0,COLUMN())+INDEX(MO_BSS_Cash,0,COLUMN())</f>
        <v>41936</v>
      </c>
      <c r="BZ96" s="117">
        <f t="shared" ca="1" si="354"/>
        <v>41936</v>
      </c>
      <c r="CA96" s="117">
        <f t="shared" ca="1" si="354"/>
        <v>41936</v>
      </c>
      <c r="CB96" s="117">
        <f t="shared" ca="1" si="354"/>
        <v>41936.000000000007</v>
      </c>
      <c r="CC96" s="150">
        <f t="shared" ca="1" si="354"/>
        <v>41936.000000000007</v>
      </c>
      <c r="CD96" s="150">
        <f t="shared" ca="1" si="354"/>
        <v>41936.000000000007</v>
      </c>
      <c r="CE96" s="150">
        <f t="shared" ca="1" si="354"/>
        <v>41936</v>
      </c>
      <c r="CF96" s="150">
        <f t="shared" ca="1" si="354"/>
        <v>41936</v>
      </c>
      <c r="CG96" s="117"/>
    </row>
    <row r="97" spans="1:85" s="460" customFormat="1" hidden="1" outlineLevel="1" x14ac:dyDescent="0.3">
      <c r="A97" s="159" t="s">
        <v>444</v>
      </c>
      <c r="B97" s="160"/>
      <c r="C97" s="150">
        <f>C96</f>
        <v>7947</v>
      </c>
      <c r="D97" s="150">
        <f>AVERAGE(D96,C96)</f>
        <v>8238.5</v>
      </c>
      <c r="E97" s="150">
        <f>AVERAGE(E96,D96)</f>
        <v>9389.5</v>
      </c>
      <c r="F97" s="150">
        <f>AVERAGE(F96,E96)</f>
        <v>11359.5</v>
      </c>
      <c r="G97" s="117"/>
      <c r="H97" s="117"/>
      <c r="I97" s="117"/>
      <c r="J97" s="117">
        <f>AVERAGE(J96,I96,H96,G96)</f>
        <v>16172</v>
      </c>
      <c r="K97" s="150">
        <f>AVERAGE(K96,F96)</f>
        <v>15905.5</v>
      </c>
      <c r="L97" s="117">
        <f>AVERAGE(L96,J96,I96,H96)</f>
        <v>18932.5</v>
      </c>
      <c r="M97" s="117">
        <f>AVERAGE(M96,L96,J96,I96)</f>
        <v>19941.75</v>
      </c>
      <c r="N97" s="117">
        <f>AVERAGE(N96,M96,L96,J96)</f>
        <v>21926.25</v>
      </c>
      <c r="O97" s="117">
        <f>AVERAGE(O96,N96,M96,L96)</f>
        <v>23825.25</v>
      </c>
      <c r="P97" s="150">
        <f>AVERAGE(P96,K96)</f>
        <v>23139</v>
      </c>
      <c r="Q97" s="117">
        <f>AVERAGE(Q96,O96,N96,M96)</f>
        <v>26119</v>
      </c>
      <c r="R97" s="117">
        <f>AVERAGE(R96,Q96,O96,N96)</f>
        <v>28030.75</v>
      </c>
      <c r="S97" s="117">
        <f>AVERAGE(S96,R96,Q96,O96)</f>
        <v>30111</v>
      </c>
      <c r="T97" s="117">
        <f>AVERAGE(T96,S96,R96,Q96)</f>
        <v>32374.5</v>
      </c>
      <c r="U97" s="150">
        <f>AVERAGE(U96,P96)</f>
        <v>31464</v>
      </c>
      <c r="V97" s="117">
        <f>AVERAGE(V96,T96,S96,R96)</f>
        <v>34307</v>
      </c>
      <c r="W97" s="117">
        <f>AVERAGE(W96,V96,T96,S96)</f>
        <v>37245.75</v>
      </c>
      <c r="X97" s="117">
        <f>AVERAGE(X96,W96,V96,T96)</f>
        <v>39798.5</v>
      </c>
      <c r="Y97" s="117">
        <f>AVERAGE(Y96,X96,W96,V96)</f>
        <v>41914</v>
      </c>
      <c r="Z97" s="150">
        <f>AVERAGE(Z96,U96)</f>
        <v>40222</v>
      </c>
      <c r="AA97" s="117">
        <f>AVERAGE(AA96,Y96,X96,W96)</f>
        <v>42857.5</v>
      </c>
      <c r="AB97" s="117">
        <f>AVERAGE(AB96,AA96,Y96,X96)</f>
        <v>42630.5</v>
      </c>
      <c r="AC97" s="117">
        <f>AVERAGE(AC96,AB96,AA96,Y96)</f>
        <v>41751.25</v>
      </c>
      <c r="AD97" s="117">
        <f>AVERAGE(AD96,AC96,AB96,AA96)</f>
        <v>40030.5</v>
      </c>
      <c r="AE97" s="150">
        <f>AVERAGE(AE96,Z96)</f>
        <v>41011.5</v>
      </c>
      <c r="AF97" s="117">
        <f>AVERAGE(AF96,AD96,AC96,AB96)</f>
        <v>38728.5</v>
      </c>
      <c r="AG97" s="117">
        <f>AVERAGE(AG96,AF96,AD96,AC96)</f>
        <v>37752</v>
      </c>
      <c r="AH97" s="117">
        <f>AVERAGE(AH96,AG96,AF96,AD96)</f>
        <v>36461</v>
      </c>
      <c r="AI97" s="117">
        <f>AVERAGE(AI96,AH96,AG96,AF96)</f>
        <v>35410.25</v>
      </c>
      <c r="AJ97" s="150">
        <f>AVERAGE(AJ96,AE96)</f>
        <v>35468.5</v>
      </c>
      <c r="AK97" s="117">
        <f>AVERAGE(AK96,AI96,AH96,AG96)</f>
        <v>34033.25</v>
      </c>
      <c r="AL97" s="117">
        <f>AVERAGE(AL96,AK96,AI96,AH96)</f>
        <v>32601</v>
      </c>
      <c r="AM97" s="117">
        <f>AVERAGE(AM96,AL96,AK96,AI96)</f>
        <v>32548.25</v>
      </c>
      <c r="AN97" s="117">
        <f>AVERAGE(AN96,AM96,AL96,AK96)</f>
        <v>31423</v>
      </c>
      <c r="AO97" s="150">
        <f>AVERAGE(AO96,AJ96)</f>
        <v>31116.5</v>
      </c>
      <c r="AP97" s="117">
        <f>AVERAGE(AP96,AN96,AM96,AL96)</f>
        <v>31668.25</v>
      </c>
      <c r="AQ97" s="117">
        <f>AVERAGE(AQ96,AP96,AN96,AM96)</f>
        <v>32838.5</v>
      </c>
      <c r="AR97" s="117">
        <f>AVERAGE(AR96,AQ96,AP96,AN96)</f>
        <v>33533.75</v>
      </c>
      <c r="AS97" s="117">
        <f>AVERAGE(AS96,AR96,AQ96,AP96)</f>
        <v>37727.25</v>
      </c>
      <c r="AT97" s="150">
        <f>AVERAGE(AT96,AO96)</f>
        <v>37253</v>
      </c>
      <c r="AU97" s="117">
        <f>AVERAGE(AU96,AS96,AR96,AQ96)</f>
        <v>40943.75</v>
      </c>
      <c r="AV97" s="117">
        <f>AVERAGE(AV96,AU96,AS96,AR96)</f>
        <v>42989.75</v>
      </c>
      <c r="AW97" s="117">
        <f>AVERAGE(AW96,AV96,AU96,AS96)</f>
        <v>43041.25</v>
      </c>
      <c r="AX97" s="117">
        <f>AVERAGE(AX96,AW96,AV96,AU96)</f>
        <v>39380.25</v>
      </c>
      <c r="AY97" s="150">
        <f>AVERAGE(AY96,AT96)</f>
        <v>38318</v>
      </c>
      <c r="AZ97" s="117">
        <f>AVERAGE(AZ96,AX96,AW96,AV96)</f>
        <v>34982.75</v>
      </c>
      <c r="BA97" s="117">
        <f>AVERAGE(BA96,AZ96,AX96,AW96)</f>
        <v>30287.25</v>
      </c>
      <c r="BB97" s="117">
        <f>AVERAGE(BB96,BA96,AZ96,AX96)</f>
        <v>26936.75</v>
      </c>
      <c r="BC97" s="117">
        <f>AVERAGE(BC96,BB96,BA96,AZ96)</f>
        <v>25333.75</v>
      </c>
      <c r="BD97" s="150">
        <f>AVERAGE(BD96,AY96)</f>
        <v>27790</v>
      </c>
      <c r="BE97" s="117">
        <f>AVERAGE(BE96,BC96,BB96,BA96)</f>
        <v>23917.75</v>
      </c>
      <c r="BF97" s="117">
        <f>AVERAGE(BF96,BE96,BC96,BB96)</f>
        <v>22264</v>
      </c>
      <c r="BG97" s="117">
        <f>AVERAGE(BG96,BF96,BE96,BC96)</f>
        <v>21022.25</v>
      </c>
      <c r="BH97" s="117">
        <f>AVERAGE(BH96,BG96,BF96,BE96)</f>
        <v>20065.5</v>
      </c>
      <c r="BI97" s="150">
        <f>AVERAGE(BI96,BD96)</f>
        <v>22670.5</v>
      </c>
      <c r="BJ97" s="117">
        <f>AVERAGE(BJ96,BH96,BG96,BF96)</f>
        <v>19692.75</v>
      </c>
      <c r="BK97" s="117">
        <f>AVERAGE(BK96,BJ96,BH96,BG96)</f>
        <v>20455.75</v>
      </c>
      <c r="BL97" s="117">
        <f>AVERAGE(BL96,BK96,BJ96,BH96)</f>
        <v>21755.5</v>
      </c>
      <c r="BM97" s="117">
        <f>AVERAGE(BM96,BL96,BK96,BJ96)</f>
        <v>23078.25</v>
      </c>
      <c r="BN97" s="150">
        <f>AVERAGE(BN96,BI96)</f>
        <v>23402.5</v>
      </c>
      <c r="BO97" s="117">
        <f>AVERAGE(BO96,BM96,BL96,BK96)</f>
        <v>25005</v>
      </c>
      <c r="BP97" s="117">
        <f>AVERAGE(BP96,BO96,BM96,BL96)</f>
        <v>26935</v>
      </c>
      <c r="BQ97" s="117">
        <f>AVERAGE(BQ96,BP96,BO96,BM96)</f>
        <v>31272</v>
      </c>
      <c r="BR97" s="117">
        <f>AVERAGE(BR96,BQ96,BP96,BO96)</f>
        <v>35236.25</v>
      </c>
      <c r="BS97" s="150">
        <f>AVERAGE(BS96,BN96)</f>
        <v>33976.5</v>
      </c>
      <c r="BT97" s="691">
        <f>AVERAGE(BT96,BR96,BQ96,BP96)</f>
        <v>38494.25</v>
      </c>
      <c r="BU97" s="117">
        <f ca="1">AVERAGE(BU96,BT96,BR96,BQ96)</f>
        <v>41780.25</v>
      </c>
      <c r="BV97" s="117">
        <f ca="1">AVERAGE(BV96,BU96,BT96,BR96)</f>
        <v>41928.25</v>
      </c>
      <c r="BW97" s="117">
        <f ca="1">AVERAGE(BW96,BV96,BU96,BT96)</f>
        <v>41936</v>
      </c>
      <c r="BX97" s="150">
        <f ca="1">AVERAGE(BX96,BS96)</f>
        <v>41920.5</v>
      </c>
      <c r="BY97" s="117">
        <f ca="1">AVERAGE(BY96,BW96,BV96,BU96)</f>
        <v>41936</v>
      </c>
      <c r="BZ97" s="117">
        <f ca="1">AVERAGE(BZ96,BY96,BW96,BV96)</f>
        <v>41936</v>
      </c>
      <c r="CA97" s="117">
        <f ca="1">AVERAGE(CA96,BZ96,BY96,BW96)</f>
        <v>41936</v>
      </c>
      <c r="CB97" s="117">
        <f ca="1">AVERAGE(CB96,CA96,BZ96,BY96)</f>
        <v>41936</v>
      </c>
      <c r="CC97" s="150">
        <f ca="1">AVERAGE(CC96,BX96)</f>
        <v>41936</v>
      </c>
      <c r="CD97" s="150">
        <f ca="1">AVERAGE(CD96,CC96)</f>
        <v>41936.000000000007</v>
      </c>
      <c r="CE97" s="150">
        <f ca="1">AVERAGE(CE96,CD96)</f>
        <v>41936</v>
      </c>
      <c r="CF97" s="150">
        <f ca="1">AVERAGE(CF96,CE96)</f>
        <v>41936</v>
      </c>
      <c r="CG97" s="117"/>
    </row>
    <row r="98" spans="1:85" s="460" customFormat="1" hidden="1" outlineLevel="1" x14ac:dyDescent="0.3">
      <c r="A98" s="159" t="s">
        <v>445</v>
      </c>
      <c r="B98" s="160"/>
      <c r="C98" s="150">
        <f t="shared" ref="C98:AH98" si="355">SUM(INDEX(SP_BSR_Debt_Avg,0,COLUMN()),INDEX(SP_BSR_SE_Avg,0,COLUMN()))</f>
        <v>99861</v>
      </c>
      <c r="D98" s="150">
        <f t="shared" si="355"/>
        <v>106736</v>
      </c>
      <c r="E98" s="150">
        <f t="shared" si="355"/>
        <v>122621</v>
      </c>
      <c r="F98" s="150">
        <f t="shared" si="355"/>
        <v>140312.5</v>
      </c>
      <c r="G98" s="117">
        <f t="shared" si="355"/>
        <v>0</v>
      </c>
      <c r="H98" s="117">
        <f t="shared" si="355"/>
        <v>0</v>
      </c>
      <c r="I98" s="117">
        <f t="shared" si="355"/>
        <v>0</v>
      </c>
      <c r="J98" s="117">
        <f t="shared" si="355"/>
        <v>160388.75</v>
      </c>
      <c r="K98" s="150">
        <f t="shared" si="355"/>
        <v>158724</v>
      </c>
      <c r="L98" s="117">
        <f t="shared" si="355"/>
        <v>165781</v>
      </c>
      <c r="M98" s="117">
        <f t="shared" si="355"/>
        <v>169475.25</v>
      </c>
      <c r="N98" s="117">
        <f t="shared" si="355"/>
        <v>174300</v>
      </c>
      <c r="O98" s="117">
        <f t="shared" si="355"/>
        <v>177677.75</v>
      </c>
      <c r="P98" s="150">
        <f t="shared" si="355"/>
        <v>175209.5</v>
      </c>
      <c r="Q98" s="117">
        <f t="shared" si="355"/>
        <v>181257</v>
      </c>
      <c r="R98" s="117">
        <f t="shared" si="355"/>
        <v>183440.75</v>
      </c>
      <c r="S98" s="117">
        <f t="shared" si="355"/>
        <v>185214</v>
      </c>
      <c r="T98" s="117">
        <f t="shared" si="355"/>
        <v>186899.5</v>
      </c>
      <c r="U98" s="150">
        <f t="shared" si="355"/>
        <v>185336</v>
      </c>
      <c r="V98" s="117">
        <f t="shared" si="355"/>
        <v>187458</v>
      </c>
      <c r="W98" s="117">
        <f t="shared" si="355"/>
        <v>188520.25</v>
      </c>
      <c r="X98" s="117">
        <f t="shared" si="355"/>
        <v>189045</v>
      </c>
      <c r="Y98" s="117">
        <f t="shared" si="355"/>
        <v>189370.5</v>
      </c>
      <c r="Z98" s="150">
        <f t="shared" si="355"/>
        <v>189358</v>
      </c>
      <c r="AA98" s="117">
        <f t="shared" si="355"/>
        <v>189385.25</v>
      </c>
      <c r="AB98" s="117">
        <f t="shared" si="355"/>
        <v>188918.25</v>
      </c>
      <c r="AC98" s="117">
        <f t="shared" si="355"/>
        <v>188017.25</v>
      </c>
      <c r="AD98" s="117">
        <f t="shared" si="355"/>
        <v>186938.5</v>
      </c>
      <c r="AE98" s="150">
        <f t="shared" si="355"/>
        <v>187851.5</v>
      </c>
      <c r="AF98" s="117">
        <f t="shared" si="355"/>
        <v>186577.5</v>
      </c>
      <c r="AG98" s="117">
        <f t="shared" si="355"/>
        <v>187099.75</v>
      </c>
      <c r="AH98" s="117">
        <f t="shared" si="355"/>
        <v>187524.25</v>
      </c>
      <c r="AI98" s="117">
        <f t="shared" ref="AI98:BI98" si="356">SUM(INDEX(SP_BSR_Debt_Avg,0,COLUMN()),INDEX(SP_BSR_SE_Avg,0,COLUMN()))</f>
        <v>188081</v>
      </c>
      <c r="AJ98" s="150">
        <f t="shared" si="356"/>
        <v>186807.5</v>
      </c>
      <c r="AK98" s="117">
        <f t="shared" si="356"/>
        <v>187876.25</v>
      </c>
      <c r="AL98" s="117">
        <f t="shared" si="356"/>
        <v>187493.25</v>
      </c>
      <c r="AM98" s="117">
        <f t="shared" si="356"/>
        <v>188007</v>
      </c>
      <c r="AN98" s="117">
        <f t="shared" si="356"/>
        <v>184296.5</v>
      </c>
      <c r="AO98" s="150">
        <f t="shared" si="356"/>
        <v>180500</v>
      </c>
      <c r="AP98" s="117">
        <f t="shared" si="356"/>
        <v>181763</v>
      </c>
      <c r="AQ98" s="117">
        <f t="shared" si="356"/>
        <v>177364</v>
      </c>
      <c r="AR98" s="117">
        <f t="shared" si="356"/>
        <v>172042.5</v>
      </c>
      <c r="AS98" s="117">
        <f t="shared" si="356"/>
        <v>173104.75</v>
      </c>
      <c r="AT98" s="150">
        <f t="shared" si="356"/>
        <v>175203.5</v>
      </c>
      <c r="AU98" s="117">
        <f t="shared" si="356"/>
        <v>173310.75</v>
      </c>
      <c r="AV98" s="117">
        <f t="shared" si="356"/>
        <v>175122.75</v>
      </c>
      <c r="AW98" s="117">
        <f t="shared" si="356"/>
        <v>176196.25</v>
      </c>
      <c r="AX98" s="117">
        <f t="shared" si="356"/>
        <v>174380</v>
      </c>
      <c r="AY98" s="150">
        <f t="shared" si="356"/>
        <v>173695.5</v>
      </c>
      <c r="AZ98" s="117">
        <f t="shared" si="356"/>
        <v>173565.25</v>
      </c>
      <c r="BA98" s="117">
        <f t="shared" si="356"/>
        <v>173962.75</v>
      </c>
      <c r="BB98" s="117">
        <f t="shared" si="356"/>
        <v>176316.75</v>
      </c>
      <c r="BC98" s="117">
        <f t="shared" si="356"/>
        <v>179767.5</v>
      </c>
      <c r="BD98" s="150">
        <f t="shared" si="356"/>
        <v>176964.5</v>
      </c>
      <c r="BE98" s="117">
        <f t="shared" si="356"/>
        <v>181659</v>
      </c>
      <c r="BF98" s="117">
        <f t="shared" si="356"/>
        <v>181198</v>
      </c>
      <c r="BG98" s="117">
        <f t="shared" si="356"/>
        <v>181602.5</v>
      </c>
      <c r="BH98" s="117">
        <f t="shared" si="356"/>
        <v>181064.5</v>
      </c>
      <c r="BI98" s="150">
        <f t="shared" si="356"/>
        <v>182790</v>
      </c>
      <c r="BJ98" s="117">
        <f t="shared" ref="BJ98:BN98" si="357">SUM(INDEX(SP_BSR_Debt_Avg,0,COLUMN()),INDEX(SP_BSR_SE_Avg,0,COLUMN()))</f>
        <v>180985.75</v>
      </c>
      <c r="BK98" s="117">
        <f t="shared" si="357"/>
        <v>181975.75</v>
      </c>
      <c r="BL98" s="117">
        <f t="shared" si="357"/>
        <v>181009.75</v>
      </c>
      <c r="BM98" s="117">
        <f t="shared" si="357"/>
        <v>180172.75</v>
      </c>
      <c r="BN98" s="150">
        <f t="shared" si="357"/>
        <v>180040</v>
      </c>
      <c r="BO98" s="117">
        <f t="shared" ref="BO98:BS98" si="358">SUM(INDEX(SP_BSR_Debt_Avg,0,COLUMN()),INDEX(SP_BSR_SE_Avg,0,COLUMN()))</f>
        <v>179254.25</v>
      </c>
      <c r="BP98" s="117">
        <f t="shared" si="358"/>
        <v>177980.25</v>
      </c>
      <c r="BQ98" s="117">
        <f t="shared" si="358"/>
        <v>190727.5</v>
      </c>
      <c r="BR98" s="117">
        <f t="shared" si="358"/>
        <v>203224.75</v>
      </c>
      <c r="BS98" s="150">
        <f t="shared" si="358"/>
        <v>203360.5</v>
      </c>
      <c r="BT98" s="691">
        <f t="shared" ref="BT98:BX98" si="359">SUM(INDEX(SP_BSR_Debt_Avg,0,COLUMN()),INDEX(SP_BSR_SE_Avg,0,COLUMN()))</f>
        <v>215100.5</v>
      </c>
      <c r="BU98" s="117">
        <f t="shared" ca="1" si="359"/>
        <v>228602.69584681798</v>
      </c>
      <c r="BV98" s="117">
        <f t="shared" ca="1" si="359"/>
        <v>229074.77575265986</v>
      </c>
      <c r="BW98" s="117">
        <f t="shared" ca="1" si="359"/>
        <v>231022.61236685028</v>
      </c>
      <c r="BX98" s="150">
        <f t="shared" ca="1" si="359"/>
        <v>232250.67322838088</v>
      </c>
      <c r="BY98" s="117">
        <f t="shared" ref="BY98:CF98" ca="1" si="360">SUM(INDEX(SP_BSR_Debt_Avg,0,COLUMN()),INDEX(SP_BSR_SE_Avg,0,COLUMN()))</f>
        <v>234265.97003684682</v>
      </c>
      <c r="BZ98" s="117">
        <f t="shared" ca="1" si="360"/>
        <v>237241.33237523024</v>
      </c>
      <c r="CA98" s="117">
        <f t="shared" ca="1" si="360"/>
        <v>239917.16229164827</v>
      </c>
      <c r="CB98" s="117">
        <f t="shared" ca="1" si="360"/>
        <v>242467.53921753631</v>
      </c>
      <c r="CC98" s="150">
        <f t="shared" ca="1" si="360"/>
        <v>241247.10030853786</v>
      </c>
      <c r="CD98" s="150">
        <f t="shared" ca="1" si="360"/>
        <v>250887.43756872503</v>
      </c>
      <c r="CE98" s="150">
        <f t="shared" ca="1" si="360"/>
        <v>260025.78999104718</v>
      </c>
      <c r="CF98" s="150">
        <f t="shared" ca="1" si="360"/>
        <v>265698.26121661934</v>
      </c>
      <c r="CG98" s="117"/>
    </row>
    <row r="99" spans="1:85" s="463" customFormat="1" collapsed="1" x14ac:dyDescent="0.3">
      <c r="A99" s="175" t="s">
        <v>446</v>
      </c>
      <c r="B99" s="176"/>
      <c r="C99" s="963">
        <f>IF(C98&lt;0,"NMF",IF(ABS(C92/C98)&gt;1,"NMF",C92/C98))</f>
        <v>0.10593688309651972</v>
      </c>
      <c r="D99" s="963">
        <f>IF(D98&lt;0,"NMF",IF(ABS(D92/D98)&gt;1,"NMF",D92/D98))</f>
        <v>0.179563115514457</v>
      </c>
      <c r="E99" s="963">
        <f>IF(E98&lt;0,"NMF",IF(ABS(E92/E98)&gt;1,"NMF",E92/E98))</f>
        <v>0.22025591048841553</v>
      </c>
      <c r="F99" s="963">
        <f>IF(F98&lt;0,"NMF",IF(ABS(F92/F98)&gt;1,"NMF",F92/F98))</f>
        <v>0.18769532293986638</v>
      </c>
      <c r="G99" s="124"/>
      <c r="H99" s="124"/>
      <c r="I99" s="124"/>
      <c r="J99" s="124">
        <f t="shared" ref="J99:AO99" si="361">IF(J98&lt;0,"NMF",IF(ABS(J92/J98)&gt;1,"NMF",J92/J98))</f>
        <v>0.13465408265854056</v>
      </c>
      <c r="K99" s="963">
        <f t="shared" si="361"/>
        <v>0.13606637937551977</v>
      </c>
      <c r="L99" s="124">
        <f t="shared" si="361"/>
        <v>0.11991120816016311</v>
      </c>
      <c r="M99" s="124">
        <f t="shared" si="361"/>
        <v>0.11898492552747378</v>
      </c>
      <c r="N99" s="124">
        <f t="shared" si="361"/>
        <v>0.11931153184165233</v>
      </c>
      <c r="O99" s="124">
        <f t="shared" si="361"/>
        <v>0.10867989942466065</v>
      </c>
      <c r="P99" s="963">
        <f t="shared" si="361"/>
        <v>0.11021091892848275</v>
      </c>
      <c r="Q99" s="124">
        <f t="shared" si="361"/>
        <v>9.5935605245590513E-2</v>
      </c>
      <c r="R99" s="124">
        <f t="shared" si="361"/>
        <v>6.7089782395678171E-2</v>
      </c>
      <c r="S99" s="124">
        <f t="shared" si="361"/>
        <v>4.717245996522941E-2</v>
      </c>
      <c r="T99" s="124">
        <f t="shared" si="361"/>
        <v>2.5200709472202976E-2</v>
      </c>
      <c r="U99" s="963">
        <f t="shared" si="361"/>
        <v>2.5413303405706394E-2</v>
      </c>
      <c r="V99" s="124">
        <f t="shared" si="361"/>
        <v>7.4843431595344023E-3</v>
      </c>
      <c r="W99" s="124">
        <f t="shared" si="361"/>
        <v>-3.2472145590889665E-3</v>
      </c>
      <c r="X99" s="124">
        <f t="shared" si="361"/>
        <v>-6.8400933534522486E-3</v>
      </c>
      <c r="Y99" s="124">
        <f t="shared" si="361"/>
        <v>-1.3226361049021912E-3</v>
      </c>
      <c r="Z99" s="963">
        <f t="shared" si="361"/>
        <v>-2.0643070562403254E-3</v>
      </c>
      <c r="AA99" s="124">
        <f t="shared" si="361"/>
        <v>1.6894257132177307E-2</v>
      </c>
      <c r="AB99" s="124">
        <f t="shared" si="361"/>
        <v>3.2335253650671546E-2</v>
      </c>
      <c r="AC99" s="124">
        <f t="shared" si="361"/>
        <v>3.5873253768184871E-2</v>
      </c>
      <c r="AD99" s="124">
        <f t="shared" si="361"/>
        <v>5.2099466706770091E-2</v>
      </c>
      <c r="AE99" s="963">
        <f t="shared" si="361"/>
        <v>5.0984943379814941E-2</v>
      </c>
      <c r="AF99" s="124">
        <f t="shared" si="361"/>
        <v>5.7724466406616944E-2</v>
      </c>
      <c r="AG99" s="124">
        <f t="shared" si="361"/>
        <v>6.8634229294532126E-2</v>
      </c>
      <c r="AH99" s="124">
        <f t="shared" si="361"/>
        <v>8.0068716413548763E-2</v>
      </c>
      <c r="AI99" s="124">
        <f t="shared" si="361"/>
        <v>8.1879739808883967E-2</v>
      </c>
      <c r="AJ99" s="963">
        <f t="shared" si="361"/>
        <v>8.2439047258689516E-2</v>
      </c>
      <c r="AK99" s="124">
        <f t="shared" si="361"/>
        <v>7.6745032663610907E-2</v>
      </c>
      <c r="AL99" s="124">
        <f t="shared" si="361"/>
        <v>8.1487190505839815E-2</v>
      </c>
      <c r="AM99" s="124">
        <f t="shared" si="361"/>
        <v>7.3392455488355948E-2</v>
      </c>
      <c r="AN99" s="124">
        <f t="shared" si="361"/>
        <v>1.8476032202959878E-2</v>
      </c>
      <c r="AO99" s="963">
        <f t="shared" si="361"/>
        <v>1.8033791411141177E-2</v>
      </c>
      <c r="AP99" s="124">
        <f t="shared" ref="AP99:BI99" si="362">IF(AP98&lt;0,"NMF",IF(ABS(AP92/AP98)&gt;1,"NMF",AP92/AP98))</f>
        <v>2.3843123631066228E-2</v>
      </c>
      <c r="AQ99" s="124">
        <f t="shared" si="362"/>
        <v>-4.6469287632127043E-2</v>
      </c>
      <c r="AR99" s="124">
        <f t="shared" si="362"/>
        <v>-6.0319432827781738E-2</v>
      </c>
      <c r="AS99" s="124">
        <f t="shared" si="362"/>
        <v>-2.5252278000982269E-2</v>
      </c>
      <c r="AT99" s="963">
        <f t="shared" si="362"/>
        <v>-2.8771906282749879E-2</v>
      </c>
      <c r="AU99" s="124">
        <f t="shared" si="362"/>
        <v>-3.7892035196745298E-2</v>
      </c>
      <c r="AV99" s="124">
        <f t="shared" si="362"/>
        <v>2.7403637337831344E-2</v>
      </c>
      <c r="AW99" s="124">
        <f t="shared" si="362"/>
        <v>5.9456960295541754E-2</v>
      </c>
      <c r="AX99" s="124">
        <f t="shared" si="362"/>
        <v>9.2845827965601133E-2</v>
      </c>
      <c r="AY99" s="963">
        <f t="shared" si="362"/>
        <v>9.3296739725994518E-2</v>
      </c>
      <c r="AZ99" s="124">
        <f t="shared" si="362"/>
        <v>0.12120279212993584</v>
      </c>
      <c r="BA99" s="124">
        <f t="shared" si="362"/>
        <v>0.17028120082343837</v>
      </c>
      <c r="BB99" s="124">
        <f t="shared" si="362"/>
        <v>0.1968651719360057</v>
      </c>
      <c r="BC99" s="124">
        <f t="shared" si="362"/>
        <v>0.2001131504003611</v>
      </c>
      <c r="BD99" s="963">
        <f t="shared" si="362"/>
        <v>0.20330566988374668</v>
      </c>
      <c r="BE99" s="124">
        <f t="shared" si="362"/>
        <v>0.19975530919090898</v>
      </c>
      <c r="BF99" s="124">
        <f t="shared" si="362"/>
        <v>0.16875412320711747</v>
      </c>
      <c r="BG99" s="124">
        <f t="shared" si="362"/>
        <v>0.14252719396103622</v>
      </c>
      <c r="BH99" s="124">
        <f t="shared" si="362"/>
        <v>0.12009771565539153</v>
      </c>
      <c r="BI99" s="963">
        <f t="shared" si="362"/>
        <v>0.11899136764413355</v>
      </c>
      <c r="BJ99" s="124">
        <f t="shared" ref="BJ99:BN99" si="363">IF(BJ98&lt;0,"NMF",IF(ABS(BJ92/BJ98)&gt;1,"NMF",BJ92/BJ98))</f>
        <v>0.11434226494489676</v>
      </c>
      <c r="BK99" s="124">
        <f t="shared" si="363"/>
        <v>0.10500674916324246</v>
      </c>
      <c r="BL99" s="124">
        <f t="shared" si="363"/>
        <v>9.4347360843561739E-2</v>
      </c>
      <c r="BM99" s="124">
        <f t="shared" si="363"/>
        <v>0.10059071985222952</v>
      </c>
      <c r="BN99" s="963">
        <f t="shared" si="363"/>
        <v>0.10071259038019183</v>
      </c>
      <c r="BO99" s="124">
        <f t="shared" ref="BO99:BS99" si="364">IF(BO98&lt;0,"NMF",IF(ABS(BO92/BO98)&gt;1,"NMF",BO92/BO98))</f>
        <v>9.0013945738493098E-2</v>
      </c>
      <c r="BP99" s="124">
        <f t="shared" si="364"/>
        <v>8.0358339292260633E-2</v>
      </c>
      <c r="BQ99" s="124">
        <f t="shared" si="364"/>
        <v>7.1056794291781786E-2</v>
      </c>
      <c r="BR99" s="124">
        <f t="shared" si="364"/>
        <v>6.5222204988023919E-2</v>
      </c>
      <c r="BS99" s="963">
        <f t="shared" si="364"/>
        <v>6.517785720903424E-2</v>
      </c>
      <c r="BT99" s="699">
        <f t="shared" ref="BT99:BX99" si="365">IF(BT98&lt;0,"NMF",IF(ABS(BT92/BT98)&gt;1,"NMF",BT92/BT98))</f>
        <v>5.6266186625124455E-2</v>
      </c>
      <c r="BU99" s="124">
        <f t="shared" ca="1" si="365"/>
        <v>8.5325426169960861E-2</v>
      </c>
      <c r="BV99" s="124">
        <f t="shared" ca="1" si="365"/>
        <v>0.10131549895926152</v>
      </c>
      <c r="BW99" s="124">
        <f t="shared" ca="1" si="365"/>
        <v>0.11652529993292732</v>
      </c>
      <c r="BX99" s="963">
        <f t="shared" ca="1" si="365"/>
        <v>0.11594866288780105</v>
      </c>
      <c r="BY99" s="124">
        <f t="shared" ref="BY99:CF99" ca="1" si="366">IF(BY98&lt;0,"NMF",IF(ABS(BY92/BY98)&gt;1,"NMF",BY92/BY98))</f>
        <v>0.13065965824052725</v>
      </c>
      <c r="BZ99" s="124">
        <f t="shared" ca="1" si="366"/>
        <v>0.1126552915098214</v>
      </c>
      <c r="CA99" s="124">
        <f t="shared" ca="1" si="366"/>
        <v>0.10641683200768152</v>
      </c>
      <c r="CB99" s="124">
        <f t="shared" ca="1" si="366"/>
        <v>0.10322788969608909</v>
      </c>
      <c r="CC99" s="963">
        <f t="shared" ca="1" si="366"/>
        <v>0.10375010667991105</v>
      </c>
      <c r="CD99" s="963">
        <f t="shared" ca="1" si="366"/>
        <v>9.5290030215048838E-2</v>
      </c>
      <c r="CE99" s="963">
        <f t="shared" ca="1" si="366"/>
        <v>9.2702118964161001E-2</v>
      </c>
      <c r="CF99" s="963">
        <f t="shared" ca="1" si="366"/>
        <v>6.3889424926120597E-2</v>
      </c>
      <c r="CG99" s="197"/>
    </row>
    <row r="100" spans="1:85" s="460" customFormat="1" hidden="1" outlineLevel="1" x14ac:dyDescent="0.3">
      <c r="A100" s="159" t="s">
        <v>447</v>
      </c>
      <c r="B100" s="160"/>
      <c r="C100" s="150">
        <f t="shared" ref="C100:AH100" si="367">INDEX(MO_RIS_EBT,0,COLUMN())+INDEX(MO_RIS_IE,0,COLUMN())</f>
        <v>18556</v>
      </c>
      <c r="D100" s="150">
        <f t="shared" si="367"/>
        <v>32105</v>
      </c>
      <c r="E100" s="150">
        <f t="shared" si="367"/>
        <v>47634</v>
      </c>
      <c r="F100" s="150">
        <f t="shared" si="367"/>
        <v>46332</v>
      </c>
      <c r="G100" s="117">
        <f t="shared" si="367"/>
        <v>10283</v>
      </c>
      <c r="H100" s="117">
        <f t="shared" si="367"/>
        <v>8589</v>
      </c>
      <c r="I100" s="117">
        <f t="shared" si="367"/>
        <v>8835</v>
      </c>
      <c r="J100" s="117">
        <f t="shared" si="367"/>
        <v>8198</v>
      </c>
      <c r="K100" s="150">
        <f t="shared" si="367"/>
        <v>35905</v>
      </c>
      <c r="L100" s="117">
        <f t="shared" si="367"/>
        <v>7928</v>
      </c>
      <c r="M100" s="117">
        <f t="shared" si="367"/>
        <v>9027</v>
      </c>
      <c r="N100" s="117">
        <f t="shared" si="367"/>
        <v>8863</v>
      </c>
      <c r="O100" s="117">
        <f t="shared" si="367"/>
        <v>5384</v>
      </c>
      <c r="P100" s="150">
        <f t="shared" si="367"/>
        <v>31202</v>
      </c>
      <c r="Q100" s="117">
        <f t="shared" si="367"/>
        <v>2905</v>
      </c>
      <c r="R100" s="117">
        <f t="shared" si="367"/>
        <v>1363</v>
      </c>
      <c r="S100" s="117">
        <f t="shared" si="367"/>
        <v>2784</v>
      </c>
      <c r="T100" s="117">
        <f t="shared" si="367"/>
        <v>-2210</v>
      </c>
      <c r="U100" s="150">
        <f t="shared" si="367"/>
        <v>4842</v>
      </c>
      <c r="V100" s="117">
        <f t="shared" si="367"/>
        <v>-1711</v>
      </c>
      <c r="W100" s="117">
        <f t="shared" si="367"/>
        <v>-1991</v>
      </c>
      <c r="X100" s="117">
        <f t="shared" si="367"/>
        <v>1173</v>
      </c>
      <c r="Y100" s="117">
        <f t="shared" si="367"/>
        <v>570</v>
      </c>
      <c r="Z100" s="150">
        <f t="shared" si="367"/>
        <v>-1959</v>
      </c>
      <c r="AA100" s="117">
        <f t="shared" si="367"/>
        <v>3180</v>
      </c>
      <c r="AB100" s="117">
        <f t="shared" si="367"/>
        <v>2001</v>
      </c>
      <c r="AC100" s="117">
        <f t="shared" si="367"/>
        <v>2693</v>
      </c>
      <c r="AD100" s="117">
        <f t="shared" si="367"/>
        <v>1654</v>
      </c>
      <c r="AE100" s="150">
        <f t="shared" si="367"/>
        <v>9528</v>
      </c>
      <c r="AF100" s="117">
        <f t="shared" si="367"/>
        <v>5232</v>
      </c>
      <c r="AG100" s="117">
        <f t="shared" si="367"/>
        <v>5122</v>
      </c>
      <c r="AH100" s="117">
        <f t="shared" si="367"/>
        <v>5881</v>
      </c>
      <c r="AI100" s="117">
        <f t="shared" ref="AI100:BI100" si="368">INDEX(MO_RIS_EBT,0,COLUMN())+INDEX(MO_RIS_IE,0,COLUMN())</f>
        <v>5088</v>
      </c>
      <c r="AJ100" s="150">
        <f t="shared" si="368"/>
        <v>21323</v>
      </c>
      <c r="AK100" s="117">
        <f t="shared" si="368"/>
        <v>4182</v>
      </c>
      <c r="AL100" s="117">
        <f t="shared" si="368"/>
        <v>6133</v>
      </c>
      <c r="AM100" s="117">
        <f t="shared" si="368"/>
        <v>4246</v>
      </c>
      <c r="AN100" s="117">
        <f t="shared" si="368"/>
        <v>-8227</v>
      </c>
      <c r="AO100" s="150">
        <f t="shared" si="368"/>
        <v>6334</v>
      </c>
      <c r="AP100" s="117">
        <f t="shared" si="368"/>
        <v>4307</v>
      </c>
      <c r="AQ100" s="117">
        <f t="shared" si="368"/>
        <v>-10425</v>
      </c>
      <c r="AR100" s="117">
        <f t="shared" si="368"/>
        <v>120</v>
      </c>
      <c r="AS100" s="117">
        <f t="shared" si="368"/>
        <v>-758</v>
      </c>
      <c r="AT100" s="150">
        <f t="shared" si="368"/>
        <v>-6756</v>
      </c>
      <c r="AU100" s="117">
        <f t="shared" si="368"/>
        <v>2375</v>
      </c>
      <c r="AV100" s="117">
        <f t="shared" si="368"/>
        <v>4607</v>
      </c>
      <c r="AW100" s="117">
        <f t="shared" si="368"/>
        <v>8229</v>
      </c>
      <c r="AX100" s="117">
        <f t="shared" si="368"/>
        <v>7140</v>
      </c>
      <c r="AY100" s="150">
        <f t="shared" si="368"/>
        <v>22351</v>
      </c>
      <c r="AZ100" s="117">
        <f t="shared" si="368"/>
        <v>9190</v>
      </c>
      <c r="BA100" s="117">
        <f t="shared" si="368"/>
        <v>16132</v>
      </c>
      <c r="BB100" s="117">
        <f t="shared" si="368"/>
        <v>14937</v>
      </c>
      <c r="BC100" s="117">
        <f t="shared" si="368"/>
        <v>9931</v>
      </c>
      <c r="BD100" s="150">
        <f t="shared" si="368"/>
        <v>50190</v>
      </c>
      <c r="BE100" s="117">
        <f t="shared" si="368"/>
        <v>9634</v>
      </c>
      <c r="BF100" s="117">
        <f t="shared" si="368"/>
        <v>7957</v>
      </c>
      <c r="BG100" s="117">
        <f t="shared" si="368"/>
        <v>8852</v>
      </c>
      <c r="BH100" s="117">
        <f t="shared" si="368"/>
        <v>3610</v>
      </c>
      <c r="BI100" s="150">
        <f t="shared" si="368"/>
        <v>30053</v>
      </c>
      <c r="BJ100" s="117">
        <f t="shared" ref="BJ100:BN100" si="369">INDEX(MO_RIS_EBT,0,COLUMN())+INDEX(MO_RIS_IE,0,COLUMN())</f>
        <v>8040</v>
      </c>
      <c r="BK100" s="117">
        <f t="shared" si="369"/>
        <v>7149</v>
      </c>
      <c r="BL100" s="117">
        <f t="shared" si="369"/>
        <v>6653</v>
      </c>
      <c r="BM100" s="117">
        <f t="shared" si="369"/>
        <v>6258</v>
      </c>
      <c r="BN100" s="150">
        <f t="shared" si="369"/>
        <v>28100</v>
      </c>
      <c r="BO100" s="117">
        <f t="shared" ref="BO100:BS100" si="370">INDEX(MO_RIS_EBT,0,COLUMN())+INDEX(MO_RIS_IE,0,COLUMN())</f>
        <v>5795</v>
      </c>
      <c r="BP100" s="117">
        <f t="shared" si="370"/>
        <v>4421</v>
      </c>
      <c r="BQ100" s="117">
        <f t="shared" si="370"/>
        <v>5784</v>
      </c>
      <c r="BR100" s="117">
        <f t="shared" si="370"/>
        <v>4960</v>
      </c>
      <c r="BS100" s="150">
        <f t="shared" si="370"/>
        <v>20960</v>
      </c>
      <c r="BT100" s="691">
        <f t="shared" ref="BT100:BX100" si="371">INDEX(MO_RIS_EBT,0,COLUMN())+INDEX(MO_RIS_IE,0,COLUMN())</f>
        <v>4291</v>
      </c>
      <c r="BU100" s="117">
        <f t="shared" si="371"/>
        <v>16264.368219999993</v>
      </c>
      <c r="BV100" s="117">
        <f t="shared" ca="1" si="371"/>
        <v>12198.580659999998</v>
      </c>
      <c r="BW100" s="117">
        <f t="shared" ca="1" si="371"/>
        <v>10761.068560000002</v>
      </c>
      <c r="BX100" s="150">
        <f t="shared" ca="1" si="371"/>
        <v>43515.017440000011</v>
      </c>
      <c r="BY100" s="117">
        <f t="shared" ref="BY100:CF100" ca="1" si="372">INDEX(MO_RIS_EBT,0,COLUMN())+INDEX(MO_RIS_IE,0,COLUMN())</f>
        <v>9813.6667999999954</v>
      </c>
      <c r="BZ100" s="117">
        <f t="shared" ca="1" si="372"/>
        <v>9843.3145570000015</v>
      </c>
      <c r="CA100" s="117">
        <f t="shared" ca="1" si="372"/>
        <v>10107.703027999993</v>
      </c>
      <c r="CB100" s="117">
        <f t="shared" ca="1" si="372"/>
        <v>9964.5416359999981</v>
      </c>
      <c r="CC100" s="150">
        <f t="shared" ca="1" si="372"/>
        <v>39729.22602099998</v>
      </c>
      <c r="CD100" s="150">
        <f t="shared" ca="1" si="372"/>
        <v>37947.732550000001</v>
      </c>
      <c r="CE100" s="150">
        <f t="shared" ca="1" si="372"/>
        <v>34435.631024999995</v>
      </c>
      <c r="CF100" s="150">
        <f t="shared" ca="1" si="372"/>
        <v>26944.935099999995</v>
      </c>
      <c r="CG100" s="117"/>
    </row>
    <row r="101" spans="1:85" s="460" customFormat="1" hidden="1" outlineLevel="1" x14ac:dyDescent="0.3">
      <c r="A101" s="159" t="s">
        <v>448</v>
      </c>
      <c r="B101" s="160"/>
      <c r="C101" s="150">
        <f>C100</f>
        <v>18556</v>
      </c>
      <c r="D101" s="150">
        <f>D100</f>
        <v>32105</v>
      </c>
      <c r="E101" s="150">
        <f>E100</f>
        <v>47634</v>
      </c>
      <c r="F101" s="150">
        <f>F100</f>
        <v>46332</v>
      </c>
      <c r="G101" s="117"/>
      <c r="H101" s="117"/>
      <c r="I101" s="117"/>
      <c r="J101" s="117">
        <f>SUM(J100,I100,H100,G100)</f>
        <v>35905</v>
      </c>
      <c r="K101" s="150">
        <f>K100</f>
        <v>35905</v>
      </c>
      <c r="L101" s="117">
        <f>SUM(L100,J100,I100,H100)</f>
        <v>33550</v>
      </c>
      <c r="M101" s="117">
        <f>SUM(M100,L100,J100,I100)</f>
        <v>33988</v>
      </c>
      <c r="N101" s="117">
        <f>SUM(N100,M100,L100,J100)</f>
        <v>34016</v>
      </c>
      <c r="O101" s="117">
        <f>SUM(O100,N100,M100,L100)</f>
        <v>31202</v>
      </c>
      <c r="P101" s="150">
        <f>P100</f>
        <v>31202</v>
      </c>
      <c r="Q101" s="117">
        <f>SUM(Q100,O100,N100,M100)</f>
        <v>26179</v>
      </c>
      <c r="R101" s="117">
        <f>SUM(R100,Q100,O100,N100)</f>
        <v>18515</v>
      </c>
      <c r="S101" s="117">
        <f>SUM(S100,R100,Q100,O100)</f>
        <v>12436</v>
      </c>
      <c r="T101" s="117">
        <f>SUM(T100,S100,R100,Q100)</f>
        <v>4842</v>
      </c>
      <c r="U101" s="150">
        <f>U100</f>
        <v>4842</v>
      </c>
      <c r="V101" s="117">
        <f>SUM(V100,T100,S100,R100)</f>
        <v>226</v>
      </c>
      <c r="W101" s="117">
        <f>SUM(W100,V100,T100,S100)</f>
        <v>-3128</v>
      </c>
      <c r="X101" s="117">
        <f>SUM(X100,W100,V100,T100)</f>
        <v>-4739</v>
      </c>
      <c r="Y101" s="117">
        <f>SUM(Y100,X100,W100,V100)</f>
        <v>-1959</v>
      </c>
      <c r="Z101" s="150">
        <f>Z100</f>
        <v>-1959</v>
      </c>
      <c r="AA101" s="117">
        <f>SUM(AA100,Y100,X100,W100)</f>
        <v>2932</v>
      </c>
      <c r="AB101" s="117">
        <f>SUM(AB100,AA100,Y100,X100)</f>
        <v>6924</v>
      </c>
      <c r="AC101" s="117">
        <f>SUM(AC100,AB100,AA100,Y100)</f>
        <v>8444</v>
      </c>
      <c r="AD101" s="117">
        <f>SUM(AD100,AC100,AB100,AA100)</f>
        <v>9528</v>
      </c>
      <c r="AE101" s="150">
        <f>AE100</f>
        <v>9528</v>
      </c>
      <c r="AF101" s="117">
        <f>SUM(AF100,AD100,AC100,AB100)</f>
        <v>11580</v>
      </c>
      <c r="AG101" s="117">
        <f>SUM(AG100,AF100,AD100,AC100)</f>
        <v>14701</v>
      </c>
      <c r="AH101" s="117">
        <f>SUM(AH100,AG100,AF100,AD100)</f>
        <v>17889</v>
      </c>
      <c r="AI101" s="117">
        <f>SUM(AI100,AH100,AG100,AF100)</f>
        <v>21323</v>
      </c>
      <c r="AJ101" s="150">
        <f>AJ100</f>
        <v>21323</v>
      </c>
      <c r="AK101" s="117">
        <f>SUM(AK100,AI100,AH100,AG100)</f>
        <v>20273</v>
      </c>
      <c r="AL101" s="117">
        <f>SUM(AL100,AK100,AI100,AH100)</f>
        <v>21284</v>
      </c>
      <c r="AM101" s="117">
        <f>SUM(AM100,AL100,AK100,AI100)</f>
        <v>19649</v>
      </c>
      <c r="AN101" s="117">
        <f>SUM(AN100,AM100,AL100,AK100)</f>
        <v>6334</v>
      </c>
      <c r="AO101" s="150">
        <f>AO100</f>
        <v>6334</v>
      </c>
      <c r="AP101" s="117">
        <f>SUM(AP100,AN100,AM100,AL100)</f>
        <v>6459</v>
      </c>
      <c r="AQ101" s="117">
        <f>SUM(AQ100,AP100,AN100,AM100)</f>
        <v>-10099</v>
      </c>
      <c r="AR101" s="117">
        <f>SUM(AR100,AQ100,AP100,AN100)</f>
        <v>-14225</v>
      </c>
      <c r="AS101" s="117">
        <f>SUM(AS100,AR100,AQ100,AP100)</f>
        <v>-6756</v>
      </c>
      <c r="AT101" s="150">
        <f>AT100</f>
        <v>-6756</v>
      </c>
      <c r="AU101" s="117">
        <f>SUM(AU100,AS100,AR100,AQ100)</f>
        <v>-8688</v>
      </c>
      <c r="AV101" s="117">
        <f>SUM(AV100,AU100,AS100,AR100)</f>
        <v>6344</v>
      </c>
      <c r="AW101" s="117">
        <f>SUM(AW100,AV100,AU100,AS100)</f>
        <v>14453</v>
      </c>
      <c r="AX101" s="117">
        <f>SUM(AX100,AW100,AV100,AU100)</f>
        <v>22351</v>
      </c>
      <c r="AY101" s="150">
        <f>AY100</f>
        <v>22351</v>
      </c>
      <c r="AZ101" s="117">
        <f>SUM(AZ100,AX100,AW100,AV100)</f>
        <v>29166</v>
      </c>
      <c r="BA101" s="117">
        <f>SUM(BA100,AZ100,AX100,AW100)</f>
        <v>40691</v>
      </c>
      <c r="BB101" s="117">
        <f>SUM(BB100,BA100,AZ100,AX100)</f>
        <v>47399</v>
      </c>
      <c r="BC101" s="117">
        <f>SUM(BC100,BB100,BA100,AZ100)</f>
        <v>50190</v>
      </c>
      <c r="BD101" s="150">
        <f>BD100</f>
        <v>50190</v>
      </c>
      <c r="BE101" s="117">
        <f>SUM(BE100,BC100,BB100,BA100)</f>
        <v>50634</v>
      </c>
      <c r="BF101" s="117">
        <f>SUM(BF100,BE100,BC100,BB100)</f>
        <v>42459</v>
      </c>
      <c r="BG101" s="117">
        <f>SUM(BG100,BF100,BE100,BC100)</f>
        <v>36374</v>
      </c>
      <c r="BH101" s="117">
        <f>SUM(BH100,BG100,BF100,BE100)</f>
        <v>30053</v>
      </c>
      <c r="BI101" s="150">
        <f>BI100</f>
        <v>30053</v>
      </c>
      <c r="BJ101" s="117">
        <f>SUM(BJ100,BH100,BG100,BF100)</f>
        <v>28459</v>
      </c>
      <c r="BK101" s="117">
        <f>SUM(BK100,BJ100,BH100,BG100)</f>
        <v>27651</v>
      </c>
      <c r="BL101" s="117">
        <f>SUM(BL100,BK100,BJ100,BH100)</f>
        <v>25452</v>
      </c>
      <c r="BM101" s="117">
        <f>SUM(BM100,BL100,BK100,BJ100)</f>
        <v>28100</v>
      </c>
      <c r="BN101" s="150">
        <f>BN100</f>
        <v>28100</v>
      </c>
      <c r="BO101" s="117">
        <f>SUM(BO100,BM100,BL100,BK100)</f>
        <v>25855</v>
      </c>
      <c r="BP101" s="117">
        <f>SUM(BP100,BO100,BM100,BL100)</f>
        <v>23127</v>
      </c>
      <c r="BQ101" s="117">
        <f>SUM(BQ100,BP100,BO100,BM100)</f>
        <v>22258</v>
      </c>
      <c r="BR101" s="117">
        <f>SUM(BR100,BQ100,BP100,BO100)</f>
        <v>20960</v>
      </c>
      <c r="BS101" s="150">
        <f>BS100</f>
        <v>20960</v>
      </c>
      <c r="BT101" s="691">
        <f>SUM(BT100,BR100,BQ100,BP100)</f>
        <v>19456</v>
      </c>
      <c r="BU101" s="117">
        <f>SUM(BU100,BT100,BR100,BQ100)</f>
        <v>31299.368219999993</v>
      </c>
      <c r="BV101" s="117">
        <f ca="1">SUM(BV100,BU100,BT100,BR100)</f>
        <v>37713.948879999989</v>
      </c>
      <c r="BW101" s="117">
        <f ca="1">SUM(BW100,BV100,BU100,BT100)</f>
        <v>43515.017439999996</v>
      </c>
      <c r="BX101" s="150">
        <f ca="1">BX100</f>
        <v>43515.017440000011</v>
      </c>
      <c r="BY101" s="117">
        <f ca="1">SUM(BY100,BW100,BV100,BU100)</f>
        <v>49037.684239999988</v>
      </c>
      <c r="BZ101" s="117">
        <f ca="1">SUM(BZ100,BY100,BW100,BV100)</f>
        <v>42616.630576999996</v>
      </c>
      <c r="CA101" s="117">
        <f ca="1">SUM(CA100,BZ100,BY100,BW100)</f>
        <v>40525.752944999993</v>
      </c>
      <c r="CB101" s="117">
        <f ca="1">SUM(CB100,CA100,BZ100,BY100)</f>
        <v>39729.226020999988</v>
      </c>
      <c r="CC101" s="150">
        <f ca="1">CC100</f>
        <v>39729.22602099998</v>
      </c>
      <c r="CD101" s="150">
        <f ca="1">CD100</f>
        <v>37947.732550000001</v>
      </c>
      <c r="CE101" s="150">
        <f ca="1">CE100</f>
        <v>34435.631024999995</v>
      </c>
      <c r="CF101" s="150">
        <f ca="1">CF100</f>
        <v>26944.935099999995</v>
      </c>
      <c r="CG101" s="117"/>
    </row>
    <row r="102" spans="1:85" s="460" customFormat="1" hidden="1" outlineLevel="1" x14ac:dyDescent="0.3">
      <c r="A102" s="159" t="s">
        <v>315</v>
      </c>
      <c r="B102" s="160"/>
      <c r="C102" s="150">
        <f t="shared" ref="C102:AH102" si="373">INDEX(MO_BS_CL,0,COLUMN())</f>
        <v>26211</v>
      </c>
      <c r="D102" s="150">
        <f t="shared" si="373"/>
        <v>29012</v>
      </c>
      <c r="E102" s="150">
        <f t="shared" si="373"/>
        <v>33600</v>
      </c>
      <c r="F102" s="150">
        <f t="shared" si="373"/>
        <v>34212</v>
      </c>
      <c r="G102" s="117">
        <f t="shared" si="373"/>
        <v>34685</v>
      </c>
      <c r="H102" s="117">
        <f t="shared" si="373"/>
        <v>33413</v>
      </c>
      <c r="I102" s="117">
        <f t="shared" si="373"/>
        <v>33470</v>
      </c>
      <c r="J102" s="117">
        <f t="shared" si="373"/>
        <v>33018</v>
      </c>
      <c r="K102" s="150">
        <f t="shared" si="373"/>
        <v>33018</v>
      </c>
      <c r="L102" s="117">
        <f t="shared" si="373"/>
        <v>35652</v>
      </c>
      <c r="M102" s="117">
        <f t="shared" si="373"/>
        <v>36328</v>
      </c>
      <c r="N102" s="117">
        <f t="shared" si="373"/>
        <v>37088</v>
      </c>
      <c r="O102" s="117">
        <f t="shared" si="373"/>
        <v>31926</v>
      </c>
      <c r="P102" s="150">
        <f t="shared" si="373"/>
        <v>31926</v>
      </c>
      <c r="Q102" s="117">
        <f t="shared" si="373"/>
        <v>29445</v>
      </c>
      <c r="R102" s="117">
        <f t="shared" si="373"/>
        <v>28268</v>
      </c>
      <c r="S102" s="117">
        <f t="shared" si="373"/>
        <v>30144</v>
      </c>
      <c r="T102" s="117">
        <f t="shared" si="373"/>
        <v>25467</v>
      </c>
      <c r="U102" s="150">
        <f t="shared" si="373"/>
        <v>25467</v>
      </c>
      <c r="V102" s="117">
        <f t="shared" si="373"/>
        <v>29162</v>
      </c>
      <c r="W102" s="117">
        <f t="shared" si="373"/>
        <v>24927</v>
      </c>
      <c r="X102" s="117">
        <f t="shared" si="373"/>
        <v>24744</v>
      </c>
      <c r="Y102" s="117">
        <f t="shared" si="373"/>
        <v>31785</v>
      </c>
      <c r="Z102" s="150">
        <f t="shared" si="373"/>
        <v>31785</v>
      </c>
      <c r="AA102" s="117">
        <f t="shared" si="373"/>
        <v>28426</v>
      </c>
      <c r="AB102" s="117">
        <f t="shared" si="373"/>
        <v>27956</v>
      </c>
      <c r="AC102" s="117">
        <f t="shared" si="373"/>
        <v>28223</v>
      </c>
      <c r="AD102" s="117">
        <f t="shared" si="373"/>
        <v>27737</v>
      </c>
      <c r="AE102" s="150">
        <f t="shared" si="373"/>
        <v>27737</v>
      </c>
      <c r="AF102" s="117">
        <f t="shared" si="373"/>
        <v>30630</v>
      </c>
      <c r="AG102" s="117">
        <f t="shared" si="373"/>
        <v>31862</v>
      </c>
      <c r="AH102" s="117">
        <f t="shared" si="373"/>
        <v>29183</v>
      </c>
      <c r="AI102" s="117">
        <f t="shared" ref="AI102:BI102" si="374">INDEX(MO_BS_CL,0,COLUMN())</f>
        <v>27171</v>
      </c>
      <c r="AJ102" s="150">
        <f t="shared" si="374"/>
        <v>27171</v>
      </c>
      <c r="AK102" s="117">
        <f t="shared" si="374"/>
        <v>29951</v>
      </c>
      <c r="AL102" s="117">
        <f t="shared" si="374"/>
        <v>28829</v>
      </c>
      <c r="AM102" s="117">
        <f t="shared" si="374"/>
        <v>30233</v>
      </c>
      <c r="AN102" s="117">
        <f t="shared" si="374"/>
        <v>26530</v>
      </c>
      <c r="AO102" s="150">
        <f t="shared" si="374"/>
        <v>26530</v>
      </c>
      <c r="AP102" s="117">
        <f t="shared" si="374"/>
        <v>28235</v>
      </c>
      <c r="AQ102" s="117">
        <f t="shared" si="374"/>
        <v>20825</v>
      </c>
      <c r="AR102" s="117">
        <f t="shared" si="374"/>
        <v>19664</v>
      </c>
      <c r="AS102" s="117">
        <f t="shared" si="374"/>
        <v>22183</v>
      </c>
      <c r="AT102" s="150">
        <f t="shared" si="374"/>
        <v>22183</v>
      </c>
      <c r="AU102" s="117">
        <f t="shared" si="374"/>
        <v>27480</v>
      </c>
      <c r="AV102" s="117">
        <f t="shared" si="374"/>
        <v>28147</v>
      </c>
      <c r="AW102" s="117">
        <f t="shared" si="374"/>
        <v>25188</v>
      </c>
      <c r="AX102" s="117">
        <f t="shared" si="374"/>
        <v>26791</v>
      </c>
      <c r="AY102" s="150">
        <f t="shared" si="374"/>
        <v>26791</v>
      </c>
      <c r="AZ102" s="117">
        <f t="shared" si="374"/>
        <v>31203</v>
      </c>
      <c r="BA102" s="117">
        <f t="shared" si="374"/>
        <v>39121</v>
      </c>
      <c r="BB102" s="117">
        <f t="shared" si="374"/>
        <v>36883</v>
      </c>
      <c r="BC102" s="117">
        <f t="shared" si="374"/>
        <v>34208</v>
      </c>
      <c r="BD102" s="150">
        <f t="shared" si="374"/>
        <v>34208</v>
      </c>
      <c r="BE102" s="117">
        <f t="shared" si="374"/>
        <v>33735</v>
      </c>
      <c r="BF102" s="117">
        <f t="shared" si="374"/>
        <v>29847</v>
      </c>
      <c r="BG102" s="117">
        <f t="shared" si="374"/>
        <v>33263</v>
      </c>
      <c r="BH102" s="117">
        <f t="shared" si="374"/>
        <v>32258</v>
      </c>
      <c r="BI102" s="150">
        <f t="shared" si="374"/>
        <v>32258</v>
      </c>
      <c r="BJ102" s="117">
        <f t="shared" ref="BJ102:BN102" si="375">INDEX(MO_BS_CL,0,COLUMN())</f>
        <v>32940</v>
      </c>
      <c r="BK102" s="117">
        <f t="shared" si="375"/>
        <v>34027</v>
      </c>
      <c r="BL102" s="117">
        <f t="shared" si="375"/>
        <v>35718</v>
      </c>
      <c r="BM102" s="117">
        <f t="shared" si="375"/>
        <v>38558</v>
      </c>
      <c r="BN102" s="150">
        <f t="shared" si="375"/>
        <v>38558</v>
      </c>
      <c r="BO102" s="117">
        <f t="shared" ref="BO102:BS102" si="376">INDEX(MO_BS_CL,0,COLUMN())</f>
        <v>35702</v>
      </c>
      <c r="BP102" s="117">
        <f t="shared" si="376"/>
        <v>34827</v>
      </c>
      <c r="BQ102" s="117">
        <f t="shared" si="376"/>
        <v>35472</v>
      </c>
      <c r="BR102" s="117">
        <f t="shared" si="376"/>
        <v>33387</v>
      </c>
      <c r="BS102" s="150">
        <f t="shared" si="376"/>
        <v>33387</v>
      </c>
      <c r="BT102" s="691">
        <f t="shared" ref="BT102:BX102" si="377">INDEX(MO_BS_CL,0,COLUMN())</f>
        <v>42176</v>
      </c>
      <c r="BU102" s="117">
        <f t="shared" si="377"/>
        <v>42176</v>
      </c>
      <c r="BV102" s="117">
        <f t="shared" si="377"/>
        <v>42176</v>
      </c>
      <c r="BW102" s="117">
        <f t="shared" si="377"/>
        <v>42176</v>
      </c>
      <c r="BX102" s="150">
        <f t="shared" si="377"/>
        <v>42176</v>
      </c>
      <c r="BY102" s="117">
        <f t="shared" ref="BY102:CF102" si="378">INDEX(MO_BS_CL,0,COLUMN())</f>
        <v>42176</v>
      </c>
      <c r="BZ102" s="117">
        <f t="shared" si="378"/>
        <v>42176</v>
      </c>
      <c r="CA102" s="117">
        <f t="shared" si="378"/>
        <v>42176</v>
      </c>
      <c r="CB102" s="117">
        <f t="shared" si="378"/>
        <v>42176</v>
      </c>
      <c r="CC102" s="150">
        <f t="shared" si="378"/>
        <v>42176</v>
      </c>
      <c r="CD102" s="150">
        <f t="shared" si="378"/>
        <v>42176</v>
      </c>
      <c r="CE102" s="150">
        <f t="shared" si="378"/>
        <v>42176</v>
      </c>
      <c r="CF102" s="150">
        <f t="shared" si="378"/>
        <v>42176</v>
      </c>
      <c r="CG102" s="117"/>
    </row>
    <row r="103" spans="1:85" s="460" customFormat="1" hidden="1" outlineLevel="1" x14ac:dyDescent="0.3">
      <c r="A103" s="159" t="s">
        <v>449</v>
      </c>
      <c r="B103" s="160"/>
      <c r="C103" s="150">
        <f>C102</f>
        <v>26211</v>
      </c>
      <c r="D103" s="150">
        <f>AVERAGE(D102,C102)</f>
        <v>27611.5</v>
      </c>
      <c r="E103" s="150">
        <f>AVERAGE(E102,D102)</f>
        <v>31306</v>
      </c>
      <c r="F103" s="150">
        <f>AVERAGE(F102,E102)</f>
        <v>33906</v>
      </c>
      <c r="G103" s="117"/>
      <c r="H103" s="117"/>
      <c r="I103" s="117"/>
      <c r="J103" s="117">
        <f>AVERAGE(J102,I102,H102,G102)</f>
        <v>33646.5</v>
      </c>
      <c r="K103" s="150">
        <f>AVERAGE(K102,F102)</f>
        <v>33615</v>
      </c>
      <c r="L103" s="117">
        <f>AVERAGE(L102,J102,I102,H102)</f>
        <v>33888.25</v>
      </c>
      <c r="M103" s="117">
        <f>AVERAGE(M102,L102,J102,I102)</f>
        <v>34617</v>
      </c>
      <c r="N103" s="117">
        <f>AVERAGE(N102,M102,L102,J102)</f>
        <v>35521.5</v>
      </c>
      <c r="O103" s="117">
        <f>AVERAGE(O102,N102,M102,L102)</f>
        <v>35248.5</v>
      </c>
      <c r="P103" s="150">
        <f>AVERAGE(P102,K102)</f>
        <v>32472</v>
      </c>
      <c r="Q103" s="117">
        <f>AVERAGE(Q102,O102,N102,M102)</f>
        <v>33696.75</v>
      </c>
      <c r="R103" s="117">
        <f>AVERAGE(R102,Q102,O102,N102)</f>
        <v>31681.75</v>
      </c>
      <c r="S103" s="117">
        <f>AVERAGE(S102,R102,Q102,O102)</f>
        <v>29945.75</v>
      </c>
      <c r="T103" s="117">
        <f>AVERAGE(T102,S102,R102,Q102)</f>
        <v>28331</v>
      </c>
      <c r="U103" s="150">
        <f>AVERAGE(U102,P102)</f>
        <v>28696.5</v>
      </c>
      <c r="V103" s="117">
        <f>AVERAGE(V102,T102,S102,R102)</f>
        <v>28260.25</v>
      </c>
      <c r="W103" s="117">
        <f>AVERAGE(W102,V102,T102,S102)</f>
        <v>27425</v>
      </c>
      <c r="X103" s="117">
        <f>AVERAGE(X102,W102,V102,T102)</f>
        <v>26075</v>
      </c>
      <c r="Y103" s="117">
        <f>AVERAGE(Y102,X102,W102,V102)</f>
        <v>27654.5</v>
      </c>
      <c r="Z103" s="150">
        <f>AVERAGE(Z102,U102)</f>
        <v>28626</v>
      </c>
      <c r="AA103" s="117">
        <f>AVERAGE(AA102,Y102,X102,W102)</f>
        <v>27470.5</v>
      </c>
      <c r="AB103" s="117">
        <f>AVERAGE(AB102,AA102,Y102,X102)</f>
        <v>28227.75</v>
      </c>
      <c r="AC103" s="117">
        <f>AVERAGE(AC102,AB102,AA102,Y102)</f>
        <v>29097.5</v>
      </c>
      <c r="AD103" s="117">
        <f>AVERAGE(AD102,AC102,AB102,AA102)</f>
        <v>28085.5</v>
      </c>
      <c r="AE103" s="150">
        <f>AVERAGE(AE102,Z102)</f>
        <v>29761</v>
      </c>
      <c r="AF103" s="117">
        <f>AVERAGE(AF102,AD102,AC102,AB102)</f>
        <v>28636.5</v>
      </c>
      <c r="AG103" s="117">
        <f>AVERAGE(AG102,AF102,AD102,AC102)</f>
        <v>29613</v>
      </c>
      <c r="AH103" s="117">
        <f>AVERAGE(AH102,AG102,AF102,AD102)</f>
        <v>29853</v>
      </c>
      <c r="AI103" s="117">
        <f>AVERAGE(AI102,AH102,AG102,AF102)</f>
        <v>29711.5</v>
      </c>
      <c r="AJ103" s="150">
        <f>AVERAGE(AJ102,AE102)</f>
        <v>27454</v>
      </c>
      <c r="AK103" s="117">
        <f>AVERAGE(AK102,AI102,AH102,AG102)</f>
        <v>29541.75</v>
      </c>
      <c r="AL103" s="117">
        <f>AVERAGE(AL102,AK102,AI102,AH102)</f>
        <v>28783.5</v>
      </c>
      <c r="AM103" s="117">
        <f>AVERAGE(AM102,AL102,AK102,AI102)</f>
        <v>29046</v>
      </c>
      <c r="AN103" s="117">
        <f>AVERAGE(AN102,AM102,AL102,AK102)</f>
        <v>28885.75</v>
      </c>
      <c r="AO103" s="150">
        <f>AVERAGE(AO102,AJ102)</f>
        <v>26850.5</v>
      </c>
      <c r="AP103" s="117">
        <f>AVERAGE(AP102,AN102,AM102,AL102)</f>
        <v>28456.75</v>
      </c>
      <c r="AQ103" s="117">
        <f>AVERAGE(AQ102,AP102,AN102,AM102)</f>
        <v>26455.75</v>
      </c>
      <c r="AR103" s="117">
        <f>AVERAGE(AR102,AQ102,AP102,AN102)</f>
        <v>23813.5</v>
      </c>
      <c r="AS103" s="117">
        <f>AVERAGE(AS102,AR102,AQ102,AP102)</f>
        <v>22726.75</v>
      </c>
      <c r="AT103" s="150">
        <f>AVERAGE(AT102,AO102)</f>
        <v>24356.5</v>
      </c>
      <c r="AU103" s="117">
        <f>AVERAGE(AU102,AS102,AR102,AQ102)</f>
        <v>22538</v>
      </c>
      <c r="AV103" s="117">
        <f>AVERAGE(AV102,AU102,AS102,AR102)</f>
        <v>24368.5</v>
      </c>
      <c r="AW103" s="117">
        <f>AVERAGE(AW102,AV102,AU102,AS102)</f>
        <v>25749.5</v>
      </c>
      <c r="AX103" s="117">
        <f>AVERAGE(AX102,AW102,AV102,AU102)</f>
        <v>26901.5</v>
      </c>
      <c r="AY103" s="150">
        <f>AVERAGE(AY102,AT102)</f>
        <v>24487</v>
      </c>
      <c r="AZ103" s="117">
        <f>AVERAGE(AZ102,AX102,AW102,AV102)</f>
        <v>27832.25</v>
      </c>
      <c r="BA103" s="117">
        <f>AVERAGE(BA102,AZ102,AX102,AW102)</f>
        <v>30575.75</v>
      </c>
      <c r="BB103" s="117">
        <f>AVERAGE(BB102,BA102,AZ102,AX102)</f>
        <v>33499.5</v>
      </c>
      <c r="BC103" s="117">
        <f>AVERAGE(BC102,BB102,BA102,AZ102)</f>
        <v>35353.75</v>
      </c>
      <c r="BD103" s="150">
        <f>AVERAGE(BD102,AY102)</f>
        <v>30499.5</v>
      </c>
      <c r="BE103" s="117">
        <f>AVERAGE(BE102,BC102,BB102,BA102)</f>
        <v>35986.75</v>
      </c>
      <c r="BF103" s="117">
        <f>AVERAGE(BF102,BE102,BC102,BB102)</f>
        <v>33668.25</v>
      </c>
      <c r="BG103" s="117">
        <f>AVERAGE(BG102,BF102,BE102,BC102)</f>
        <v>32763.25</v>
      </c>
      <c r="BH103" s="117">
        <f>AVERAGE(BH102,BG102,BF102,BE102)</f>
        <v>32275.75</v>
      </c>
      <c r="BI103" s="150">
        <f>AVERAGE(BI102,BD102)</f>
        <v>33233</v>
      </c>
      <c r="BJ103" s="117">
        <f>AVERAGE(BJ102,BH102,BG102,BF102)</f>
        <v>32077</v>
      </c>
      <c r="BK103" s="117">
        <f>AVERAGE(BK102,BJ102,BH102,BG102)</f>
        <v>33122</v>
      </c>
      <c r="BL103" s="117">
        <f>AVERAGE(BL102,BK102,BJ102,BH102)</f>
        <v>33735.75</v>
      </c>
      <c r="BM103" s="117">
        <f>AVERAGE(BM102,BL102,BK102,BJ102)</f>
        <v>35310.75</v>
      </c>
      <c r="BN103" s="150">
        <f>AVERAGE(BN102,BI102)</f>
        <v>35408</v>
      </c>
      <c r="BO103" s="117">
        <f>AVERAGE(BO102,BM102,BL102,BK102)</f>
        <v>36001.25</v>
      </c>
      <c r="BP103" s="117">
        <f>AVERAGE(BP102,BO102,BM102,BL102)</f>
        <v>36201.25</v>
      </c>
      <c r="BQ103" s="117">
        <f>AVERAGE(BQ102,BP102,BO102,BM102)</f>
        <v>36139.75</v>
      </c>
      <c r="BR103" s="117">
        <f>AVERAGE(BR102,BQ102,BP102,BO102)</f>
        <v>34847</v>
      </c>
      <c r="BS103" s="150">
        <f>AVERAGE(BS102,BN102)</f>
        <v>35972.5</v>
      </c>
      <c r="BT103" s="691">
        <f>AVERAGE(BT102,BR102,BQ102,BP102)</f>
        <v>36465.5</v>
      </c>
      <c r="BU103" s="117">
        <f>AVERAGE(BU102,BT102,BR102,BQ102)</f>
        <v>38302.75</v>
      </c>
      <c r="BV103" s="117">
        <f>AVERAGE(BV102,BU102,BT102,BR102)</f>
        <v>39978.75</v>
      </c>
      <c r="BW103" s="117">
        <f>AVERAGE(BW102,BV102,BU102,BT102)</f>
        <v>42176</v>
      </c>
      <c r="BX103" s="150">
        <f>AVERAGE(BX102,BS102)</f>
        <v>37781.5</v>
      </c>
      <c r="BY103" s="117">
        <f>AVERAGE(BY102,BW102,BV102,BU102)</f>
        <v>42176</v>
      </c>
      <c r="BZ103" s="117">
        <f>AVERAGE(BZ102,BY102,BW102,BV102)</f>
        <v>42176</v>
      </c>
      <c r="CA103" s="117">
        <f>AVERAGE(CA102,BZ102,BY102,BW102)</f>
        <v>42176</v>
      </c>
      <c r="CB103" s="117">
        <f>AVERAGE(CB102,CA102,BZ102,BY102)</f>
        <v>42176</v>
      </c>
      <c r="CC103" s="150">
        <f>AVERAGE(CC102,BX102)</f>
        <v>42176</v>
      </c>
      <c r="CD103" s="150">
        <f>AVERAGE(CD102,CC102)</f>
        <v>42176</v>
      </c>
      <c r="CE103" s="150">
        <f>AVERAGE(CE102,CD102)</f>
        <v>42176</v>
      </c>
      <c r="CF103" s="150">
        <f>AVERAGE(CF102,CE102)</f>
        <v>42176</v>
      </c>
      <c r="CG103" s="117"/>
    </row>
    <row r="104" spans="1:85" s="460" customFormat="1" hidden="1" outlineLevel="1" x14ac:dyDescent="0.3">
      <c r="A104" s="159" t="s">
        <v>450</v>
      </c>
      <c r="B104" s="160"/>
      <c r="C104" s="150">
        <f t="shared" ref="C104:AH104" si="379">INDEX(SP_BSR_TA_Avg,0,COLUMN())-INDEX(SP_BSR_CL_Avg,0,COLUMN())</f>
        <v>138410</v>
      </c>
      <c r="D104" s="150">
        <f t="shared" si="379"/>
        <v>147083.5</v>
      </c>
      <c r="E104" s="150">
        <f t="shared" si="379"/>
        <v>165815.5</v>
      </c>
      <c r="F104" s="150">
        <f t="shared" si="379"/>
        <v>187322</v>
      </c>
      <c r="G104" s="117">
        <f t="shared" si="379"/>
        <v>0</v>
      </c>
      <c r="H104" s="117">
        <f t="shared" si="379"/>
        <v>0</v>
      </c>
      <c r="I104" s="117">
        <f t="shared" si="379"/>
        <v>0</v>
      </c>
      <c r="J104" s="117">
        <f t="shared" si="379"/>
        <v>212115.75</v>
      </c>
      <c r="K104" s="150">
        <f t="shared" si="379"/>
        <v>209752.5</v>
      </c>
      <c r="L104" s="117">
        <f t="shared" si="379"/>
        <v>217081</v>
      </c>
      <c r="M104" s="117">
        <f t="shared" si="379"/>
        <v>220851.5</v>
      </c>
      <c r="N104" s="117">
        <f t="shared" si="379"/>
        <v>224345.25</v>
      </c>
      <c r="O104" s="117">
        <f t="shared" si="379"/>
        <v>227686.5</v>
      </c>
      <c r="P104" s="150">
        <f t="shared" si="379"/>
        <v>227417.5</v>
      </c>
      <c r="Q104" s="117">
        <f t="shared" si="379"/>
        <v>232079.75</v>
      </c>
      <c r="R104" s="117">
        <f t="shared" si="379"/>
        <v>235197.25</v>
      </c>
      <c r="S104" s="117">
        <f t="shared" si="379"/>
        <v>237687.75</v>
      </c>
      <c r="T104" s="117">
        <f t="shared" si="379"/>
        <v>238931</v>
      </c>
      <c r="U104" s="150">
        <f t="shared" si="379"/>
        <v>236586.5</v>
      </c>
      <c r="V104" s="117">
        <f t="shared" si="379"/>
        <v>237561.25</v>
      </c>
      <c r="W104" s="117">
        <f t="shared" si="379"/>
        <v>237152.25</v>
      </c>
      <c r="X104" s="117">
        <f t="shared" si="379"/>
        <v>236355.75</v>
      </c>
      <c r="Y104" s="117">
        <f t="shared" si="379"/>
        <v>233660.75</v>
      </c>
      <c r="Z104" s="150">
        <f t="shared" si="379"/>
        <v>233683</v>
      </c>
      <c r="AA104" s="117">
        <f t="shared" si="379"/>
        <v>232662</v>
      </c>
      <c r="AB104" s="117">
        <f t="shared" si="379"/>
        <v>230185</v>
      </c>
      <c r="AC104" s="117">
        <f t="shared" si="379"/>
        <v>228139.5</v>
      </c>
      <c r="AD104" s="117">
        <f t="shared" si="379"/>
        <v>227583.5</v>
      </c>
      <c r="AE104" s="150">
        <f t="shared" si="379"/>
        <v>227181</v>
      </c>
      <c r="AF104" s="117">
        <f t="shared" si="379"/>
        <v>226365.25</v>
      </c>
      <c r="AG104" s="117">
        <f t="shared" si="379"/>
        <v>226221.25</v>
      </c>
      <c r="AH104" s="117">
        <f t="shared" si="379"/>
        <v>226342.75</v>
      </c>
      <c r="AI104" s="117">
        <f t="shared" ref="AI104:BI104" si="380">INDEX(SP_BSR_TA_Avg,0,COLUMN())-INDEX(SP_BSR_CL_Avg,0,COLUMN())</f>
        <v>226498.5</v>
      </c>
      <c r="AJ104" s="150">
        <f t="shared" si="380"/>
        <v>226380.5</v>
      </c>
      <c r="AK104" s="117">
        <f t="shared" si="380"/>
        <v>226760</v>
      </c>
      <c r="AL104" s="117">
        <f t="shared" si="380"/>
        <v>227005.5</v>
      </c>
      <c r="AM104" s="117">
        <f t="shared" si="380"/>
        <v>226725.75</v>
      </c>
      <c r="AN104" s="117">
        <f t="shared" si="380"/>
        <v>222777.25</v>
      </c>
      <c r="AO104" s="150">
        <f t="shared" si="380"/>
        <v>218795</v>
      </c>
      <c r="AP104" s="117">
        <f t="shared" si="380"/>
        <v>218173.25</v>
      </c>
      <c r="AQ104" s="117">
        <f t="shared" si="380"/>
        <v>212055.5</v>
      </c>
      <c r="AR104" s="117">
        <f t="shared" si="380"/>
        <v>206329.25</v>
      </c>
      <c r="AS104" s="117">
        <f t="shared" si="380"/>
        <v>208006.5</v>
      </c>
      <c r="AT104" s="150">
        <f t="shared" si="380"/>
        <v>214252.5</v>
      </c>
      <c r="AU104" s="117">
        <f t="shared" si="380"/>
        <v>209437.25</v>
      </c>
      <c r="AV104" s="117">
        <f t="shared" si="380"/>
        <v>212457.5</v>
      </c>
      <c r="AW104" s="117">
        <f t="shared" si="380"/>
        <v>215297.75</v>
      </c>
      <c r="AX104" s="117">
        <f t="shared" si="380"/>
        <v>214082</v>
      </c>
      <c r="AY104" s="150">
        <f t="shared" si="380"/>
        <v>215175.5</v>
      </c>
      <c r="AZ104" s="117">
        <f t="shared" si="380"/>
        <v>215002</v>
      </c>
      <c r="BA104" s="117">
        <f t="shared" si="380"/>
        <v>216041</v>
      </c>
      <c r="BB104" s="117">
        <f t="shared" si="380"/>
        <v>218064</v>
      </c>
      <c r="BC104" s="117">
        <f t="shared" si="380"/>
        <v>220753.25</v>
      </c>
      <c r="BD104" s="150">
        <f t="shared" si="380"/>
        <v>218122.5</v>
      </c>
      <c r="BE104" s="117">
        <f t="shared" si="380"/>
        <v>221829.75</v>
      </c>
      <c r="BF104" s="117">
        <f t="shared" si="380"/>
        <v>222609</v>
      </c>
      <c r="BG104" s="117">
        <f t="shared" si="380"/>
        <v>224562</v>
      </c>
      <c r="BH104" s="117">
        <f t="shared" si="380"/>
        <v>226030.25</v>
      </c>
      <c r="BI104" s="150">
        <f t="shared" si="380"/>
        <v>226437.5</v>
      </c>
      <c r="BJ104" s="117">
        <f t="shared" ref="BJ104:BN104" si="381">INDEX(SP_BSR_TA_Avg,0,COLUMN())-INDEX(SP_BSR_CL_Avg,0,COLUMN())</f>
        <v>227670.25</v>
      </c>
      <c r="BK104" s="117">
        <f t="shared" si="381"/>
        <v>228841.5</v>
      </c>
      <c r="BL104" s="117">
        <f t="shared" si="381"/>
        <v>227054</v>
      </c>
      <c r="BM104" s="117">
        <f t="shared" si="381"/>
        <v>224305.5</v>
      </c>
      <c r="BN104" s="150">
        <f t="shared" si="381"/>
        <v>223877</v>
      </c>
      <c r="BO104" s="117">
        <f t="shared" ref="BO104:BS104" si="382">INDEX(SP_BSR_TA_Avg,0,COLUMN())-INDEX(SP_BSR_CL_Avg,0,COLUMN())</f>
        <v>222301.5</v>
      </c>
      <c r="BP104" s="117">
        <f t="shared" si="382"/>
        <v>219645.5</v>
      </c>
      <c r="BQ104" s="117">
        <f t="shared" si="382"/>
        <v>236524.25</v>
      </c>
      <c r="BR104" s="117">
        <f t="shared" si="382"/>
        <v>254585.5</v>
      </c>
      <c r="BS104" s="150">
        <f t="shared" si="382"/>
        <v>254502.5</v>
      </c>
      <c r="BT104" s="691">
        <f t="shared" ref="BT104:BX104" si="383">INDEX(SP_BSR_TA_Avg,0,COLUMN())-INDEX(SP_BSR_CL_Avg,0,COLUMN())</f>
        <v>271255.5</v>
      </c>
      <c r="BU104" s="117">
        <f t="shared" ca="1" si="383"/>
        <v>290314.82026875223</v>
      </c>
      <c r="BV104" s="117">
        <f t="shared" ca="1" si="383"/>
        <v>291820.27103712561</v>
      </c>
      <c r="BW104" s="117">
        <f t="shared" ca="1" si="383"/>
        <v>294380.28768762015</v>
      </c>
      <c r="BX104" s="150">
        <f t="shared" ca="1" si="383"/>
        <v>295745.03330098907</v>
      </c>
      <c r="BY104" s="117">
        <f t="shared" ref="BY104:CF104" ca="1" si="384">INDEX(SP_BSR_TA_Avg,0,COLUMN())-INDEX(SP_BSR_CL_Avg,0,COLUMN())</f>
        <v>298422.4935498386</v>
      </c>
      <c r="BZ104" s="117">
        <f t="shared" ca="1" si="384"/>
        <v>301924.88049567823</v>
      </c>
      <c r="CA104" s="117">
        <f t="shared" ca="1" si="384"/>
        <v>304938.59580094455</v>
      </c>
      <c r="CB104" s="117">
        <f t="shared" ca="1" si="384"/>
        <v>307691.94035693759</v>
      </c>
      <c r="CC104" s="150">
        <f t="shared" ca="1" si="384"/>
        <v>306371.75571396423</v>
      </c>
      <c r="CD104" s="150">
        <f t="shared" ca="1" si="384"/>
        <v>316806.14855986141</v>
      </c>
      <c r="CE104" s="150">
        <f t="shared" ca="1" si="384"/>
        <v>326519.12096280861</v>
      </c>
      <c r="CF104" s="150">
        <f t="shared" ca="1" si="384"/>
        <v>332656.1841945058</v>
      </c>
      <c r="CG104" s="117"/>
    </row>
    <row r="105" spans="1:85" s="463" customFormat="1" collapsed="1" x14ac:dyDescent="0.3">
      <c r="A105" s="175" t="s">
        <v>451</v>
      </c>
      <c r="B105" s="176"/>
      <c r="C105" s="963">
        <f>IF(C104&lt;0,"NMF",IF(ABS(C101/C104)&gt;1,"NMF",C101/C104))</f>
        <v>0.13406545769814321</v>
      </c>
      <c r="D105" s="963">
        <f>IF(D104&lt;0,"NMF",IF(ABS(D101/D104)&gt;1,"NMF",D101/D104))</f>
        <v>0.21827737305680106</v>
      </c>
      <c r="E105" s="963">
        <f>IF(E104&lt;0,"NMF",IF(ABS(E101/E104)&gt;1,"NMF",E101/E104))</f>
        <v>0.28727109347437363</v>
      </c>
      <c r="F105" s="963">
        <f>IF(F104&lt;0,"NMF",IF(ABS(F101/F104)&gt;1,"NMF",F101/F104))</f>
        <v>0.24733880697408739</v>
      </c>
      <c r="G105" s="124"/>
      <c r="H105" s="124"/>
      <c r="I105" s="124"/>
      <c r="J105" s="124">
        <f t="shared" ref="J105:AO105" si="385">IF(J104&lt;0,"NMF",IF(ABS(J101/J104)&gt;1,"NMF",J101/J104))</f>
        <v>0.16927078729420139</v>
      </c>
      <c r="K105" s="963">
        <f t="shared" si="385"/>
        <v>0.17117793590064481</v>
      </c>
      <c r="L105" s="124">
        <f t="shared" si="385"/>
        <v>0.15455060553433972</v>
      </c>
      <c r="M105" s="124">
        <f t="shared" si="385"/>
        <v>0.15389526446503646</v>
      </c>
      <c r="N105" s="124">
        <f t="shared" si="385"/>
        <v>0.15162344645139578</v>
      </c>
      <c r="O105" s="124">
        <f t="shared" si="385"/>
        <v>0.13703930623906116</v>
      </c>
      <c r="P105" s="963">
        <f t="shared" si="385"/>
        <v>0.13720140270647596</v>
      </c>
      <c r="Q105" s="124">
        <f t="shared" si="385"/>
        <v>0.11280174164268963</v>
      </c>
      <c r="R105" s="124">
        <f t="shared" si="385"/>
        <v>7.8721158516946943E-2</v>
      </c>
      <c r="S105" s="124">
        <f t="shared" si="385"/>
        <v>5.2320744337897095E-2</v>
      </c>
      <c r="T105" s="124">
        <f t="shared" si="385"/>
        <v>2.0265264867262933E-2</v>
      </c>
      <c r="U105" s="963">
        <f t="shared" si="385"/>
        <v>2.0466087456384875E-2</v>
      </c>
      <c r="V105" s="124">
        <f t="shared" si="385"/>
        <v>9.5133360343911308E-4</v>
      </c>
      <c r="W105" s="124">
        <f t="shared" si="385"/>
        <v>-1.3189839016918456E-2</v>
      </c>
      <c r="X105" s="124">
        <f t="shared" si="385"/>
        <v>-2.0050284370065039E-2</v>
      </c>
      <c r="Y105" s="124">
        <f t="shared" si="385"/>
        <v>-8.3839498075735878E-3</v>
      </c>
      <c r="Z105" s="963">
        <f t="shared" si="385"/>
        <v>-8.3831515343435331E-3</v>
      </c>
      <c r="AA105" s="124">
        <f t="shared" si="385"/>
        <v>1.2601971959322967E-2</v>
      </c>
      <c r="AB105" s="124">
        <f t="shared" si="385"/>
        <v>3.0080152920477006E-2</v>
      </c>
      <c r="AC105" s="124">
        <f t="shared" si="385"/>
        <v>3.7012441948895303E-2</v>
      </c>
      <c r="AD105" s="124">
        <f t="shared" si="385"/>
        <v>4.1865952496556211E-2</v>
      </c>
      <c r="AE105" s="963">
        <f t="shared" si="385"/>
        <v>4.1940127035271432E-2</v>
      </c>
      <c r="AF105" s="124">
        <f t="shared" si="385"/>
        <v>5.1156261837892521E-2</v>
      </c>
      <c r="AG105" s="124">
        <f t="shared" si="385"/>
        <v>6.4985053349320629E-2</v>
      </c>
      <c r="AH105" s="124">
        <f t="shared" si="385"/>
        <v>7.9035003330126544E-2</v>
      </c>
      <c r="AI105" s="124">
        <f t="shared" si="385"/>
        <v>9.4141903809517508E-2</v>
      </c>
      <c r="AJ105" s="963">
        <f t="shared" si="385"/>
        <v>9.4190974929377752E-2</v>
      </c>
      <c r="AK105" s="124">
        <f t="shared" si="385"/>
        <v>8.940289292644206E-2</v>
      </c>
      <c r="AL105" s="124">
        <f t="shared" si="385"/>
        <v>9.3759842823191511E-2</v>
      </c>
      <c r="AM105" s="124">
        <f t="shared" si="385"/>
        <v>8.6664174669176308E-2</v>
      </c>
      <c r="AN105" s="124">
        <f t="shared" si="385"/>
        <v>2.8431987557077754E-2</v>
      </c>
      <c r="AO105" s="963">
        <f t="shared" si="385"/>
        <v>2.8949473251216891E-2</v>
      </c>
      <c r="AP105" s="124">
        <f t="shared" ref="AP105:BI105" si="386">IF(AP104&lt;0,"NMF",IF(ABS(AP101/AP104)&gt;1,"NMF",AP101/AP104))</f>
        <v>2.9604912609588939E-2</v>
      </c>
      <c r="AQ105" s="124">
        <f t="shared" si="386"/>
        <v>-4.762432476403583E-2</v>
      </c>
      <c r="AR105" s="124">
        <f t="shared" si="386"/>
        <v>-6.8943206065063489E-2</v>
      </c>
      <c r="AS105" s="124">
        <f t="shared" si="386"/>
        <v>-3.2479754238449281E-2</v>
      </c>
      <c r="AT105" s="963">
        <f t="shared" si="386"/>
        <v>-3.1532887597577622E-2</v>
      </c>
      <c r="AU105" s="124">
        <f t="shared" si="386"/>
        <v>-4.1482592041291601E-2</v>
      </c>
      <c r="AV105" s="124">
        <f t="shared" si="386"/>
        <v>2.9860089664991821E-2</v>
      </c>
      <c r="AW105" s="124">
        <f t="shared" si="386"/>
        <v>6.7130288170684546E-2</v>
      </c>
      <c r="AX105" s="124">
        <f t="shared" si="386"/>
        <v>0.1044039199932736</v>
      </c>
      <c r="AY105" s="963">
        <f t="shared" si="386"/>
        <v>0.10387334989345906</v>
      </c>
      <c r="AZ105" s="124">
        <f t="shared" si="386"/>
        <v>0.13565455205067861</v>
      </c>
      <c r="BA105" s="124">
        <f t="shared" si="386"/>
        <v>0.18834850792210739</v>
      </c>
      <c r="BB105" s="124">
        <f t="shared" si="386"/>
        <v>0.21736279257465699</v>
      </c>
      <c r="BC105" s="124">
        <f t="shared" si="386"/>
        <v>0.22735792111780914</v>
      </c>
      <c r="BD105" s="963">
        <f t="shared" si="386"/>
        <v>0.23010005845339201</v>
      </c>
      <c r="BE105" s="124">
        <f t="shared" si="386"/>
        <v>0.22825612885557506</v>
      </c>
      <c r="BF105" s="124">
        <f t="shared" si="386"/>
        <v>0.19073352829400428</v>
      </c>
      <c r="BG105" s="124">
        <f t="shared" si="386"/>
        <v>0.16197753849716337</v>
      </c>
      <c r="BH105" s="124">
        <f t="shared" si="386"/>
        <v>0.13296007945839108</v>
      </c>
      <c r="BI105" s="963">
        <f t="shared" si="386"/>
        <v>0.13272094948937344</v>
      </c>
      <c r="BJ105" s="124">
        <f t="shared" ref="BJ105:BN105" si="387">IF(BJ104&lt;0,"NMF",IF(ABS(BJ101/BJ104)&gt;1,"NMF",BJ101/BJ104))</f>
        <v>0.12500096081943074</v>
      </c>
      <c r="BK105" s="124">
        <f t="shared" si="387"/>
        <v>0.12083035638203735</v>
      </c>
      <c r="BL105" s="124">
        <f t="shared" si="387"/>
        <v>0.11209668184660918</v>
      </c>
      <c r="BM105" s="124">
        <f t="shared" si="387"/>
        <v>0.1252755728236713</v>
      </c>
      <c r="BN105" s="963">
        <f t="shared" si="387"/>
        <v>0.12551534994662247</v>
      </c>
      <c r="BO105" s="124">
        <f t="shared" ref="BO105:BS105" si="388">IF(BO104&lt;0,"NMF",IF(ABS(BO101/BO104)&gt;1,"NMF",BO101/BO104))</f>
        <v>0.11630600783170604</v>
      </c>
      <c r="BP105" s="124">
        <f t="shared" si="388"/>
        <v>0.1052923916037433</v>
      </c>
      <c r="BQ105" s="124">
        <f t="shared" si="388"/>
        <v>9.4104515710334138E-2</v>
      </c>
      <c r="BR105" s="124">
        <f t="shared" si="388"/>
        <v>8.232990488460655E-2</v>
      </c>
      <c r="BS105" s="963">
        <f t="shared" si="388"/>
        <v>8.2356754845237273E-2</v>
      </c>
      <c r="BT105" s="699">
        <f t="shared" ref="BT105:BX105" si="389">IF(BT104&lt;0,"NMF",IF(ABS(BT101/BT104)&gt;1,"NMF",BT101/BT104))</f>
        <v>7.1725734593399953E-2</v>
      </c>
      <c r="BU105" s="124">
        <f t="shared" ca="1" si="389"/>
        <v>0.10781181680985258</v>
      </c>
      <c r="BV105" s="124">
        <f t="shared" ca="1" si="389"/>
        <v>0.12923690580495004</v>
      </c>
      <c r="BW105" s="124">
        <f t="shared" ca="1" si="389"/>
        <v>0.14781906010695828</v>
      </c>
      <c r="BX105" s="963">
        <f t="shared" ca="1" si="389"/>
        <v>0.14713693398094499</v>
      </c>
      <c r="BY105" s="124">
        <f t="shared" ref="BY105:CF105" ca="1" si="390">IF(BY104&lt;0,"NMF",IF(ABS(BY101/BY104)&gt;1,"NMF",BY101/BY104))</f>
        <v>0.16432301619318238</v>
      </c>
      <c r="BZ105" s="124">
        <f t="shared" ca="1" si="390"/>
        <v>0.14114978039251064</v>
      </c>
      <c r="CA105" s="124">
        <f t="shared" ca="1" si="390"/>
        <v>0.13289807686874142</v>
      </c>
      <c r="CB105" s="124">
        <f t="shared" ca="1" si="390"/>
        <v>0.12912013871703026</v>
      </c>
      <c r="CC105" s="963">
        <f t="shared" ca="1" si="390"/>
        <v>0.12967652951041644</v>
      </c>
      <c r="CD105" s="963">
        <f t="shared" ca="1" si="390"/>
        <v>0.11978218453935616</v>
      </c>
      <c r="CE105" s="963">
        <f t="shared" ca="1" si="390"/>
        <v>0.10546283146744813</v>
      </c>
      <c r="CF105" s="963">
        <f t="shared" ca="1" si="390"/>
        <v>8.0999351222778265E-2</v>
      </c>
      <c r="CG105" s="197"/>
    </row>
    <row r="106" spans="1:85" x14ac:dyDescent="0.3">
      <c r="A106" s="158"/>
      <c r="B106" s="163"/>
      <c r="C106" s="955"/>
      <c r="D106" s="955"/>
      <c r="E106" s="955"/>
      <c r="F106" s="955"/>
      <c r="G106" s="728"/>
      <c r="H106" s="728"/>
      <c r="I106" s="728"/>
      <c r="J106" s="728"/>
      <c r="K106" s="955"/>
      <c r="L106" s="728"/>
      <c r="M106" s="728"/>
      <c r="N106" s="728"/>
      <c r="O106" s="728"/>
      <c r="P106" s="955"/>
      <c r="Q106" s="728"/>
      <c r="R106" s="728"/>
      <c r="S106" s="728"/>
      <c r="T106" s="728"/>
      <c r="U106" s="955"/>
      <c r="V106" s="728"/>
      <c r="W106" s="728"/>
      <c r="X106" s="728"/>
      <c r="Y106" s="728"/>
      <c r="Z106" s="955"/>
      <c r="AA106" s="728"/>
      <c r="AB106" s="728"/>
      <c r="AC106" s="728"/>
      <c r="AD106" s="728"/>
      <c r="AE106" s="955"/>
      <c r="AF106" s="728"/>
      <c r="AG106" s="728"/>
      <c r="AH106" s="728"/>
      <c r="AI106" s="728"/>
      <c r="AJ106" s="955"/>
      <c r="AK106" s="728"/>
      <c r="AL106" s="728"/>
      <c r="AM106" s="728"/>
      <c r="AN106" s="728"/>
      <c r="AO106" s="955"/>
      <c r="AP106" s="728"/>
      <c r="AQ106" s="728"/>
      <c r="AR106" s="728"/>
      <c r="AS106" s="728"/>
      <c r="AT106" s="955"/>
      <c r="AU106" s="728"/>
      <c r="AV106" s="728"/>
      <c r="AW106" s="728"/>
      <c r="AX106" s="728"/>
      <c r="AY106" s="955"/>
      <c r="AZ106" s="728"/>
      <c r="BA106" s="728"/>
      <c r="BB106" s="728"/>
      <c r="BC106" s="728"/>
      <c r="BD106" s="955"/>
      <c r="BE106" s="728"/>
      <c r="BF106" s="728"/>
      <c r="BG106" s="728"/>
      <c r="BH106" s="728"/>
      <c r="BI106" s="955"/>
      <c r="BJ106" s="728"/>
      <c r="BK106" s="728"/>
      <c r="BL106" s="728"/>
      <c r="BM106" s="728"/>
      <c r="BN106" s="955"/>
      <c r="BO106" s="728"/>
      <c r="BP106" s="728"/>
      <c r="BQ106" s="728"/>
      <c r="BR106" s="728"/>
      <c r="BS106" s="955"/>
      <c r="BT106" s="760"/>
      <c r="BU106" s="728"/>
      <c r="BV106" s="728"/>
      <c r="BW106" s="728"/>
      <c r="BX106" s="955"/>
      <c r="BY106" s="728"/>
      <c r="BZ106" s="728"/>
      <c r="CA106" s="728"/>
      <c r="CB106" s="728"/>
      <c r="CC106" s="955"/>
      <c r="CD106" s="955"/>
      <c r="CE106" s="955"/>
      <c r="CF106" s="955"/>
      <c r="CG106" s="137"/>
    </row>
    <row r="107" spans="1:85" x14ac:dyDescent="0.3">
      <c r="A107" s="114" t="s">
        <v>452</v>
      </c>
      <c r="B107" s="729"/>
      <c r="C107" s="729"/>
      <c r="D107" s="729"/>
      <c r="E107" s="729"/>
      <c r="F107" s="729"/>
      <c r="G107" s="729"/>
      <c r="H107" s="729"/>
      <c r="I107" s="729"/>
      <c r="J107" s="729"/>
      <c r="K107" s="729"/>
      <c r="L107" s="729"/>
      <c r="M107" s="729"/>
      <c r="N107" s="729"/>
      <c r="O107" s="729"/>
      <c r="P107" s="729"/>
      <c r="Q107" s="729"/>
      <c r="R107" s="729"/>
      <c r="S107" s="729"/>
      <c r="T107" s="729"/>
      <c r="U107" s="729"/>
      <c r="V107" s="729"/>
      <c r="W107" s="729"/>
      <c r="X107" s="729"/>
      <c r="Y107" s="729"/>
      <c r="Z107" s="729"/>
      <c r="AA107" s="729"/>
      <c r="AB107" s="729"/>
      <c r="AC107" s="729"/>
      <c r="AD107" s="729"/>
      <c r="AE107" s="729"/>
      <c r="AF107" s="729"/>
      <c r="AG107" s="729"/>
      <c r="AH107" s="729"/>
      <c r="AI107" s="729"/>
      <c r="AJ107" s="729"/>
      <c r="AK107" s="729"/>
      <c r="AL107" s="729"/>
      <c r="AM107" s="729"/>
      <c r="AN107" s="729"/>
      <c r="AO107" s="729"/>
      <c r="AP107" s="729"/>
      <c r="AQ107" s="729"/>
      <c r="AR107" s="729"/>
      <c r="AS107" s="729"/>
      <c r="AT107" s="729"/>
      <c r="AU107" s="729"/>
      <c r="AV107" s="729"/>
      <c r="AW107" s="729"/>
      <c r="AX107" s="729"/>
      <c r="AY107" s="729"/>
      <c r="AZ107" s="729"/>
      <c r="BA107" s="729"/>
      <c r="BB107" s="729"/>
      <c r="BC107" s="729"/>
      <c r="BD107" s="729"/>
      <c r="BE107" s="729"/>
      <c r="BF107" s="729"/>
      <c r="BG107" s="729"/>
      <c r="BH107" s="729"/>
      <c r="BI107" s="729"/>
      <c r="BJ107" s="729"/>
      <c r="BK107" s="729"/>
      <c r="BL107" s="729"/>
      <c r="BM107" s="729"/>
      <c r="BN107" s="729"/>
      <c r="BO107" s="729"/>
      <c r="BP107" s="729"/>
      <c r="BQ107" s="729"/>
      <c r="BR107" s="729"/>
      <c r="BS107" s="729"/>
      <c r="BT107" s="761"/>
      <c r="BU107" s="729"/>
      <c r="BV107" s="729"/>
      <c r="BW107" s="729"/>
      <c r="BX107" s="729"/>
      <c r="BY107" s="729"/>
      <c r="BZ107" s="729"/>
      <c r="CA107" s="729"/>
      <c r="CB107" s="729"/>
      <c r="CC107" s="729"/>
      <c r="CD107" s="729"/>
      <c r="CE107" s="729"/>
      <c r="CF107" s="729"/>
      <c r="CG107" s="137"/>
    </row>
    <row r="108" spans="1:85" s="453" customFormat="1" x14ac:dyDescent="0.3">
      <c r="A108" s="164" t="s">
        <v>453</v>
      </c>
      <c r="B108" s="165"/>
      <c r="C108" s="956"/>
      <c r="D108" s="956">
        <f>IF(OR(INDEX(SP_GF_Rev,0,COLUMN())&lt;=0,C25&lt;=0),"NMF",IF(ABS((INDEX(SP_GF_Rev,0,COLUMN())/INDEX(SP_GF_ShareCount,0,COLUMN()))/(C25/C42)-1)&gt;10,"NMF",(INDEX(SP_GF_Rev,0,COLUMN())/INDEX(SP_GF_ShareCount,0,COLUMN()))/(C25/C42)-1))</f>
        <v>0.19067152438461776</v>
      </c>
      <c r="E108" s="956">
        <f>IF(OR(INDEX(SP_GF_Rev,0,COLUMN())&lt;=0,D25&lt;=0),"NMF",IF(ABS((INDEX(SP_GF_Rev,0,COLUMN())/INDEX(SP_GF_ShareCount,0,COLUMN()))/(D25/D42)-1)&gt;10,"NMF",(INDEX(SP_GF_Rev,0,COLUMN())/INDEX(SP_GF_ShareCount,0,COLUMN()))/(D25/D42)-1))</f>
        <v>0.24158670064773613</v>
      </c>
      <c r="F108" s="956">
        <f>IF(OR(INDEX(SP_GF_Rev,0,COLUMN())&lt;=0,E25&lt;=0),"NMF",IF(ABS((INDEX(SP_GF_Rev,0,COLUMN())/INDEX(SP_GF_ShareCount,0,COLUMN()))/(E25/E42)-1)&gt;10,"NMF",(INDEX(SP_GF_Rev,0,COLUMN())/INDEX(SP_GF_ShareCount,0,COLUMN()))/(E25/E42)-1))</f>
        <v>-2.9013239782498257E-2</v>
      </c>
      <c r="G108" s="119"/>
      <c r="H108" s="119"/>
      <c r="I108" s="119"/>
      <c r="J108" s="119"/>
      <c r="K108" s="956">
        <f t="shared" ref="K108:AP108" si="391">IF(OR(INDEX(SP_GF_Rev,0,COLUMN())&lt;=0,F25&lt;=0),"NMF",IF(ABS((INDEX(SP_GF_Rev,0,COLUMN())/INDEX(SP_GF_ShareCount,0,COLUMN()))/(F25/F42)-1)&gt;10,"NMF",(INDEX(SP_GF_Rev,0,COLUMN())/INDEX(SP_GF_ShareCount,0,COLUMN()))/(F25/F42)-1))</f>
        <v>-3.8148465537710452E-2</v>
      </c>
      <c r="L108" s="119">
        <f t="shared" si="391"/>
        <v>-4.5591150749273002E-2</v>
      </c>
      <c r="M108" s="119">
        <f t="shared" si="391"/>
        <v>2.8213690089875509E-2</v>
      </c>
      <c r="N108" s="119">
        <f t="shared" si="391"/>
        <v>-4.8933926596016475E-2</v>
      </c>
      <c r="O108" s="119">
        <f t="shared" si="391"/>
        <v>-0.16377275389948209</v>
      </c>
      <c r="P108" s="956">
        <f t="shared" si="391"/>
        <v>-5.6916612435227387E-2</v>
      </c>
      <c r="Q108" s="119">
        <f t="shared" si="391"/>
        <v>-0.33982216352646566</v>
      </c>
      <c r="R108" s="119">
        <f t="shared" si="391"/>
        <v>-0.29393746684647426</v>
      </c>
      <c r="S108" s="119">
        <f t="shared" si="391"/>
        <v>-0.3643600517994614</v>
      </c>
      <c r="T108" s="119">
        <f t="shared" si="391"/>
        <v>-0.36224840210718967</v>
      </c>
      <c r="U108" s="956">
        <f t="shared" si="391"/>
        <v>-0.33872617746498035</v>
      </c>
      <c r="V108" s="119">
        <f t="shared" si="391"/>
        <v>-0.31599954762995619</v>
      </c>
      <c r="W108" s="119">
        <f t="shared" si="391"/>
        <v>-0.27260018188664703</v>
      </c>
      <c r="X108" s="119">
        <f t="shared" si="391"/>
        <v>-0.12676059617089308</v>
      </c>
      <c r="Y108" s="119">
        <f t="shared" si="391"/>
        <v>6.7967577513027733E-2</v>
      </c>
      <c r="Z108" s="956">
        <f t="shared" si="391"/>
        <v>-0.17238695122960479</v>
      </c>
      <c r="AA108" s="119">
        <f t="shared" si="391"/>
        <v>0.39979128296970634</v>
      </c>
      <c r="AB108" s="119">
        <f t="shared" si="391"/>
        <v>0.16444070741180861</v>
      </c>
      <c r="AC108" s="119">
        <f t="shared" si="391"/>
        <v>0.19328417010650978</v>
      </c>
      <c r="AD108" s="119">
        <f t="shared" si="391"/>
        <v>0.18418395916858854</v>
      </c>
      <c r="AE108" s="956">
        <f t="shared" si="391"/>
        <v>0.22184081241204212</v>
      </c>
      <c r="AF108" s="119">
        <f t="shared" si="391"/>
        <v>0.11942077543704954</v>
      </c>
      <c r="AG108" s="119">
        <f t="shared" si="391"/>
        <v>0.20838664623380398</v>
      </c>
      <c r="AH108" s="119">
        <f t="shared" si="391"/>
        <v>0.20125974453146167</v>
      </c>
      <c r="AI108" s="119">
        <f t="shared" si="391"/>
        <v>0.12550412886072415</v>
      </c>
      <c r="AJ108" s="956">
        <f t="shared" si="391"/>
        <v>0.163597625667385</v>
      </c>
      <c r="AK108" s="119">
        <f t="shared" si="391"/>
        <v>-6.1780207512001861E-2</v>
      </c>
      <c r="AL108" s="119">
        <f t="shared" si="391"/>
        <v>-7.2448279637613466E-2</v>
      </c>
      <c r="AM108" s="119">
        <f t="shared" si="391"/>
        <v>-0.16873150670344883</v>
      </c>
      <c r="AN108" s="119">
        <f t="shared" si="391"/>
        <v>-0.12589925095403587</v>
      </c>
      <c r="AO108" s="956">
        <f t="shared" si="391"/>
        <v>-0.11035019292424952</v>
      </c>
      <c r="AP108" s="119">
        <f t="shared" si="391"/>
        <v>-8.8248934053609007E-2</v>
      </c>
      <c r="AQ108" s="119">
        <f t="shared" ref="AQ108:BN108" si="392">IF(OR(INDEX(SP_GF_Rev,0,COLUMN())&lt;=0,AL25&lt;=0),"NMF",IF(ABS((INDEX(SP_GF_Rev,0,COLUMN())/INDEX(SP_GF_ShareCount,0,COLUMN()))/(AL25/AL42)-1)&gt;10,"NMF",(INDEX(SP_GF_Rev,0,COLUMN())/INDEX(SP_GF_ShareCount,0,COLUMN()))/(AL25/AL42)-1))</f>
        <v>-0.64335638775837489</v>
      </c>
      <c r="AR108" s="119">
        <f t="shared" si="392"/>
        <v>-0.30823254941548217</v>
      </c>
      <c r="AS108" s="119">
        <f t="shared" si="392"/>
        <v>-0.31943504062829775</v>
      </c>
      <c r="AT108" s="956">
        <f t="shared" si="392"/>
        <v>-0.34503446323661102</v>
      </c>
      <c r="AU108" s="119">
        <f t="shared" si="392"/>
        <v>-9.9009712294799712E-3</v>
      </c>
      <c r="AV108" s="119">
        <f t="shared" si="392"/>
        <v>1.6866888053266296</v>
      </c>
      <c r="AW108" s="119">
        <f t="shared" si="392"/>
        <v>0.76424755845296799</v>
      </c>
      <c r="AX108" s="119">
        <f t="shared" si="392"/>
        <v>0.8951356763739613</v>
      </c>
      <c r="AY108" s="956">
        <f t="shared" si="392"/>
        <v>0.67082503763172396</v>
      </c>
      <c r="AZ108" s="119">
        <f t="shared" si="392"/>
        <v>0.67260323425593205</v>
      </c>
      <c r="BA108" s="119">
        <f t="shared" si="392"/>
        <v>0.79607383619899941</v>
      </c>
      <c r="BB108" s="119">
        <f t="shared" si="392"/>
        <v>0.47605673205568766</v>
      </c>
      <c r="BC108" s="119">
        <f t="shared" si="392"/>
        <v>0.17480437369447777</v>
      </c>
      <c r="BD108" s="956">
        <f t="shared" si="392"/>
        <v>0.50009804072119746</v>
      </c>
      <c r="BE108" s="119">
        <f t="shared" si="392"/>
        <v>-4.4336716884046612E-2</v>
      </c>
      <c r="BF108" s="119">
        <f t="shared" si="392"/>
        <v>-0.25797091979124576</v>
      </c>
      <c r="BG108" s="119">
        <f t="shared" si="392"/>
        <v>-0.16133316403532505</v>
      </c>
      <c r="BH108" s="119">
        <f t="shared" si="392"/>
        <v>-0.14146678400347734</v>
      </c>
      <c r="BI108" s="956">
        <f t="shared" si="392"/>
        <v>-0.15794384311062315</v>
      </c>
      <c r="BJ108" s="119">
        <f t="shared" si="392"/>
        <v>-1.4091531574401017E-2</v>
      </c>
      <c r="BK108" s="119">
        <f t="shared" si="392"/>
        <v>7.0754196863165975E-2</v>
      </c>
      <c r="BL108" s="119">
        <f t="shared" si="392"/>
        <v>-2.674056471819608E-2</v>
      </c>
      <c r="BM108" s="119">
        <f t="shared" si="392"/>
        <v>0.16346229300756021</v>
      </c>
      <c r="BN108" s="956">
        <f t="shared" si="392"/>
        <v>4.4561329629986268E-2</v>
      </c>
      <c r="BO108" s="119">
        <f t="shared" ref="BO108:BX108" si="393">IF(OR(INDEX(SP_GF_Rev,0,COLUMN())&lt;=0,BJ25&lt;=0),"NMF",IF(ABS((INDEX(SP_GF_Rev,0,COLUMN())/INDEX(SP_GF_ShareCount,0,COLUMN()))/(BJ25/BJ42)-1)&gt;10,"NMF",(INDEX(SP_GF_Rev,0,COLUMN())/INDEX(SP_GF_ShareCount,0,COLUMN()))/(BJ25/BJ42)-1))</f>
        <v>3.1799241141436507E-2</v>
      </c>
      <c r="BP108" s="119">
        <f t="shared" si="393"/>
        <v>-6.8871165525465572E-2</v>
      </c>
      <c r="BQ108" s="119">
        <f t="shared" si="393"/>
        <v>-8.8711461130689728E-2</v>
      </c>
      <c r="BR108" s="119">
        <f t="shared" si="393"/>
        <v>-0.20119960885314059</v>
      </c>
      <c r="BS108" s="956">
        <f t="shared" si="393"/>
        <v>-8.7466161320924662E-2</v>
      </c>
      <c r="BT108" s="693">
        <f t="shared" si="393"/>
        <v>-9.9593187559354979E-2</v>
      </c>
      <c r="BU108" s="119">
        <f t="shared" ca="1" si="393"/>
        <v>0.14965223867297972</v>
      </c>
      <c r="BV108" s="119">
        <f t="shared" ca="1" si="393"/>
        <v>0.1300492768431043</v>
      </c>
      <c r="BW108" s="119">
        <f t="shared" ca="1" si="393"/>
        <v>0.17242297305619214</v>
      </c>
      <c r="BX108" s="956">
        <f t="shared" ca="1" si="393"/>
        <v>8.5482472837307366E-2</v>
      </c>
      <c r="BY108" s="119">
        <f ca="1">IF(OR(INDEX(SP_GF_Rev,0,COLUMN())&lt;=0,BT25&lt;=0),"NMF",IF(ABS((INDEX(SP_GF_Rev,0,COLUMN())/INDEX(SP_GF_ShareCount,0,COLUMN()))/(BT25/BT42)-1)&gt;10,"NMF",(INDEX(SP_GF_Rev,0,COLUMN())/INDEX(SP_GF_ShareCount,0,COLUMN()))/(BT25/BT42)-1))</f>
        <v>0.11175994281144797</v>
      </c>
      <c r="BZ108" s="119">
        <f ca="1">IF(OR(INDEX(SP_GF_Rev,0,COLUMN())&lt;=0,BU25&lt;=0),"NMF",IF(ABS((INDEX(SP_GF_Rev,0,COLUMN())/INDEX(SP_GF_ShareCount,0,COLUMN()))/(BU25/BU42)-1)&gt;10,"NMF",(INDEX(SP_GF_Rev,0,COLUMN())/INDEX(SP_GF_ShareCount,0,COLUMN()))/(BU25/BU42)-1))</f>
        <v>-8.9942782866330617E-2</v>
      </c>
      <c r="CA108" s="119">
        <f ca="1">IF(OR(INDEX(SP_GF_Rev,0,COLUMN())&lt;=0,BV25&lt;=0),"NMF",IF(ABS((INDEX(SP_GF_Rev,0,COLUMN())/INDEX(SP_GF_ShareCount,0,COLUMN()))/(BV25/BV42)-1)&gt;10,"NMF",(INDEX(SP_GF_Rev,0,COLUMN())/INDEX(SP_GF_ShareCount,0,COLUMN()))/(BV25/BV42)-1))</f>
        <v>-4.3503404975975823E-2</v>
      </c>
      <c r="CB108" s="119">
        <f ca="1">IF(OR(INDEX(SP_GF_Rev,0,COLUMN())&lt;=0,BW25&lt;=0),"NMF",IF(ABS((INDEX(SP_GF_Rev,0,COLUMN())/INDEX(SP_GF_ShareCount,0,COLUMN()))/(BW25/BW42)-1)&gt;10,"NMF",(INDEX(SP_GF_Rev,0,COLUMN())/INDEX(SP_GF_ShareCount,0,COLUMN()))/(BW25/BW42)-1))</f>
        <v>-4.7024638459380874E-3</v>
      </c>
      <c r="CC108" s="956">
        <f ca="1">IF(OR(INDEX(SP_GF_Rev,0,COLUMN())&lt;=0,BX25&lt;=0),"NMF",IF(ABS((INDEX(SP_GF_Rev,0,COLUMN())/INDEX(SP_GF_ShareCount,0,COLUMN()))/(BX25/BX42)-1)&gt;10,"NMF",(INDEX(SP_GF_Rev,0,COLUMN())/INDEX(SP_GF_ShareCount,0,COLUMN()))/(BX25/BX42)-1))</f>
        <v>-1.0499912661088295E-2</v>
      </c>
      <c r="CD108" s="956">
        <f ca="1">IF(OR(INDEX(SP_GF_Rev,0,COLUMN())&lt;=0,CC25&lt;=0),"NMF",IF(ABS((INDEX(SP_GF_Rev,0,COLUMN())/INDEX(SP_GF_ShareCount,0,COLUMN()))/(CC25/CC42)-1)&gt;10,"NMF",(INDEX(SP_GF_Rev,0,COLUMN())/INDEX(SP_GF_ShareCount,0,COLUMN()))/(CC25/CC42)-1))</f>
        <v>-7.3908454702446003E-2</v>
      </c>
      <c r="CE108" s="956">
        <f ca="1">IF(OR(INDEX(SP_GF_Rev,0,COLUMN())&lt;=0,CD25&lt;=0),"NMF",IF(ABS((INDEX(SP_GF_Rev,0,COLUMN())/INDEX(SP_GF_ShareCount,0,COLUMN()))/(CD25/CD42)-1)&gt;10,"NMF",(INDEX(SP_GF_Rev,0,COLUMN())/INDEX(SP_GF_ShareCount,0,COLUMN()))/(CD25/CD42)-1))</f>
        <v>-7.878279406249189E-3</v>
      </c>
      <c r="CF108" s="956">
        <f ca="1">IF(OR(INDEX(SP_GF_Rev,0,COLUMN())&lt;=0,CE25&lt;=0),"NMF",IF(ABS((INDEX(SP_GF_Rev,0,COLUMN())/INDEX(SP_GF_ShareCount,0,COLUMN()))/(CE25/CE42)-1)&gt;10,"NMF",(INDEX(SP_GF_Rev,0,COLUMN())/INDEX(SP_GF_ShareCount,0,COLUMN()))/(CE25/CE42)-1))</f>
        <v>-9.070521974187451E-3</v>
      </c>
      <c r="CG108" s="140"/>
    </row>
    <row r="109" spans="1:85" s="453" customFormat="1" x14ac:dyDescent="0.3">
      <c r="A109" s="164" t="s">
        <v>568</v>
      </c>
      <c r="B109" s="165"/>
      <c r="C109" s="956"/>
      <c r="D109" s="956">
        <f>IF(OR(INDEX(SP_Company1876_EBITDAX,0,COLUMN())&lt;=0,C45&lt;=0),"NMF",IF(ABS((INDEX(SP_Company1876_EBITDAX,0,COLUMN())/INDEX(SP_GF_ShareCount,0,COLUMN()))/(C45/C42)-1)&gt;10,"NMF",(INDEX(SP_Company1876_EBITDAX,0,COLUMN())/INDEX(SP_GF_ShareCount,0,COLUMN()))/(C45/C42)-1))</f>
        <v>0.44298620910424935</v>
      </c>
      <c r="E109" s="956">
        <f>IF(OR(INDEX(SP_Company1876_EBITDAX,0,COLUMN())&lt;=0,D45&lt;=0),"NMF",IF(ABS((INDEX(SP_Company1876_EBITDAX,0,COLUMN())/INDEX(SP_GF_ShareCount,0,COLUMN()))/(D45/D42)-1)&gt;10,"NMF",(INDEX(SP_Company1876_EBITDAX,0,COLUMN())/INDEX(SP_GF_ShareCount,0,COLUMN()))/(D45/D42)-1))</f>
        <v>0.33733517044630146</v>
      </c>
      <c r="F109" s="956">
        <f>IF(OR(INDEX(SP_Company1876_EBITDAX,0,COLUMN())&lt;=0,E45&lt;=0),"NMF",IF(ABS((INDEX(SP_Company1876_EBITDAX,0,COLUMN())/INDEX(SP_GF_ShareCount,0,COLUMN()))/(E45/E42)-1)&gt;10,"NMF",(INDEX(SP_Company1876_EBITDAX,0,COLUMN())/INDEX(SP_GF_ShareCount,0,COLUMN()))/(E45/E42)-1))</f>
        <v>1.3589513998113256E-2</v>
      </c>
      <c r="G109" s="119"/>
      <c r="H109" s="119"/>
      <c r="I109" s="119"/>
      <c r="J109" s="119"/>
      <c r="K109" s="956">
        <f t="shared" ref="K109:AP109" si="394">IF(OR(INDEX(SP_Company1876_EBITDAX,0,COLUMN())&lt;=0,F45&lt;=0),"NMF",IF(ABS((INDEX(SP_Company1876_EBITDAX,0,COLUMN())/INDEX(SP_GF_ShareCount,0,COLUMN()))/(F45/F42)-1)&gt;10,"NMF",(INDEX(SP_Company1876_EBITDAX,0,COLUMN())/INDEX(SP_GF_ShareCount,0,COLUMN()))/(F45/F42)-1))</f>
        <v>-0.14072770307483196</v>
      </c>
      <c r="L109" s="119">
        <f t="shared" si="394"/>
        <v>-9.3682725430453528E-2</v>
      </c>
      <c r="M109" s="119">
        <f t="shared" si="394"/>
        <v>0.11992734138980743</v>
      </c>
      <c r="N109" s="119">
        <f t="shared" si="394"/>
        <v>2.732473364120791E-2</v>
      </c>
      <c r="O109" s="119">
        <f t="shared" si="394"/>
        <v>-0.1264500632268527</v>
      </c>
      <c r="P109" s="956">
        <f t="shared" si="394"/>
        <v>-2.0472131034138474E-2</v>
      </c>
      <c r="Q109" s="119">
        <f t="shared" si="394"/>
        <v>-0.35486588316067569</v>
      </c>
      <c r="R109" s="119">
        <f t="shared" si="394"/>
        <v>-0.29777702005838225</v>
      </c>
      <c r="S109" s="119">
        <f t="shared" si="394"/>
        <v>-0.43373219891619674</v>
      </c>
      <c r="T109" s="119">
        <f t="shared" si="394"/>
        <v>-0.57549399754755759</v>
      </c>
      <c r="U109" s="956">
        <f t="shared" si="394"/>
        <v>-0.40823785348923147</v>
      </c>
      <c r="V109" s="119">
        <f t="shared" si="394"/>
        <v>-0.61140493325636147</v>
      </c>
      <c r="W109" s="119">
        <f t="shared" si="394"/>
        <v>-0.4724947569185014</v>
      </c>
      <c r="X109" s="119">
        <f t="shared" si="394"/>
        <v>-0.24952486963527665</v>
      </c>
      <c r="Y109" s="119">
        <f t="shared" si="394"/>
        <v>8.2384388264775454E-2</v>
      </c>
      <c r="Z109" s="956">
        <f t="shared" si="394"/>
        <v>-0.36505046024717058</v>
      </c>
      <c r="AA109" s="119">
        <f t="shared" si="394"/>
        <v>1.422072904876484</v>
      </c>
      <c r="AB109" s="119">
        <f t="shared" si="394"/>
        <v>0.48754522421536017</v>
      </c>
      <c r="AC109" s="119">
        <f t="shared" si="394"/>
        <v>0.43640114482478687</v>
      </c>
      <c r="AD109" s="119">
        <f t="shared" si="394"/>
        <v>0.34730503790540679</v>
      </c>
      <c r="AE109" s="956">
        <f t="shared" si="394"/>
        <v>0.58392034264538939</v>
      </c>
      <c r="AF109" s="119">
        <f t="shared" si="394"/>
        <v>0.27544866243833144</v>
      </c>
      <c r="AG109" s="119">
        <f t="shared" si="394"/>
        <v>0.2995282346464887</v>
      </c>
      <c r="AH109" s="119">
        <f t="shared" si="394"/>
        <v>0.46152684244037046</v>
      </c>
      <c r="AI109" s="119">
        <f t="shared" si="394"/>
        <v>0.56949445777977936</v>
      </c>
      <c r="AJ109" s="956">
        <f t="shared" si="394"/>
        <v>0.398437675041168</v>
      </c>
      <c r="AK109" s="119">
        <f t="shared" si="394"/>
        <v>-0.11968847316657483</v>
      </c>
      <c r="AL109" s="119">
        <f t="shared" si="394"/>
        <v>9.1868397936759161E-2</v>
      </c>
      <c r="AM109" s="119">
        <f t="shared" si="394"/>
        <v>-0.25255813700913654</v>
      </c>
      <c r="AN109" s="119">
        <f t="shared" si="394"/>
        <v>-0.18506400483562979</v>
      </c>
      <c r="AO109" s="956">
        <f t="shared" si="394"/>
        <v>-0.12552941463871303</v>
      </c>
      <c r="AP109" s="119">
        <f t="shared" si="394"/>
        <v>5.3475811891372294E-2</v>
      </c>
      <c r="AQ109" s="119" t="str">
        <f t="shared" ref="AQ109:BN109" si="395">IF(OR(INDEX(SP_Company1876_EBITDAX,0,COLUMN())&lt;=0,AL45&lt;=0),"NMF",IF(ABS((INDEX(SP_Company1876_EBITDAX,0,COLUMN())/INDEX(SP_GF_ShareCount,0,COLUMN()))/(AL45/AL42)-1)&gt;10,"NMF",(INDEX(SP_Company1876_EBITDAX,0,COLUMN())/INDEX(SP_GF_ShareCount,0,COLUMN()))/(AL45/AL42)-1))</f>
        <v>NMF</v>
      </c>
      <c r="AR109" s="119">
        <f t="shared" si="395"/>
        <v>-0.50464847697348003</v>
      </c>
      <c r="AS109" s="119">
        <f t="shared" si="395"/>
        <v>-0.52647068709559552</v>
      </c>
      <c r="AT109" s="956">
        <f t="shared" si="395"/>
        <v>-0.60132197788739017</v>
      </c>
      <c r="AU109" s="119">
        <f t="shared" si="395"/>
        <v>-0.24939167404523899</v>
      </c>
      <c r="AV109" s="119" t="str">
        <f t="shared" si="395"/>
        <v>NMF</v>
      </c>
      <c r="AW109" s="119">
        <f t="shared" si="395"/>
        <v>1.8783913402516057</v>
      </c>
      <c r="AX109" s="119">
        <f t="shared" si="395"/>
        <v>1.948286338753551</v>
      </c>
      <c r="AY109" s="956">
        <f t="shared" si="395"/>
        <v>1.7823310754265149</v>
      </c>
      <c r="AZ109" s="119">
        <f t="shared" si="395"/>
        <v>0.90613055869056547</v>
      </c>
      <c r="BA109" s="119">
        <f t="shared" si="395"/>
        <v>1.1281414831940686</v>
      </c>
      <c r="BB109" s="119">
        <f t="shared" si="395"/>
        <v>0.50235230410437048</v>
      </c>
      <c r="BC109" s="119">
        <f t="shared" si="395"/>
        <v>0.24878970848006521</v>
      </c>
      <c r="BD109" s="956">
        <f t="shared" si="395"/>
        <v>0.63594191621191754</v>
      </c>
      <c r="BE109" s="119">
        <f t="shared" si="395"/>
        <v>4.6297673091139302E-2</v>
      </c>
      <c r="BF109" s="119">
        <f t="shared" si="395"/>
        <v>-0.39316225498034718</v>
      </c>
      <c r="BG109" s="119">
        <f t="shared" si="395"/>
        <v>-0.29263693683603231</v>
      </c>
      <c r="BH109" s="119">
        <f t="shared" si="395"/>
        <v>-0.31359663537659332</v>
      </c>
      <c r="BI109" s="956">
        <f t="shared" si="395"/>
        <v>-0.26154373981696577</v>
      </c>
      <c r="BJ109" s="119">
        <f t="shared" si="395"/>
        <v>-5.5986849811088479E-2</v>
      </c>
      <c r="BK109" s="119">
        <f t="shared" si="395"/>
        <v>2.6612601178750417E-3</v>
      </c>
      <c r="BL109" s="119">
        <f t="shared" si="395"/>
        <v>-0.13125069206300721</v>
      </c>
      <c r="BM109" s="119">
        <f t="shared" si="395"/>
        <v>0.21330965214052733</v>
      </c>
      <c r="BN109" s="956">
        <f t="shared" si="395"/>
        <v>-5.9975798774881683E-3</v>
      </c>
      <c r="BO109" s="119">
        <f t="shared" ref="BO109:BX109" si="396">IF(OR(INDEX(SP_Company1876_EBITDAX,0,COLUMN())&lt;=0,BJ45&lt;=0),"NMF",IF(ABS((INDEX(SP_Company1876_EBITDAX,0,COLUMN())/INDEX(SP_GF_ShareCount,0,COLUMN()))/(BJ45/BJ42)-1)&gt;10,"NMF",(INDEX(SP_Company1876_EBITDAX,0,COLUMN())/INDEX(SP_GF_ShareCount,0,COLUMN()))/(BJ45/BJ42)-1))</f>
        <v>-0.12980919063920315</v>
      </c>
      <c r="BP109" s="119">
        <f t="shared" si="396"/>
        <v>-0.16020086852057946</v>
      </c>
      <c r="BQ109" s="119">
        <f t="shared" si="396"/>
        <v>-1.3300139967793445E-3</v>
      </c>
      <c r="BR109" s="119">
        <f t="shared" si="396"/>
        <v>-0.1489896435056941</v>
      </c>
      <c r="BS109" s="956">
        <f t="shared" si="396"/>
        <v>-0.11041067903487523</v>
      </c>
      <c r="BT109" s="693">
        <f t="shared" si="396"/>
        <v>-0.10069363261363717</v>
      </c>
      <c r="BU109" s="119">
        <f t="shared" ca="1" si="396"/>
        <v>0.96586682364193166</v>
      </c>
      <c r="BV109" s="119">
        <f t="shared" ca="1" si="396"/>
        <v>0.29898215753330448</v>
      </c>
      <c r="BW109" s="119">
        <f t="shared" ca="1" si="396"/>
        <v>0.34828662897575491</v>
      </c>
      <c r="BX109" s="956">
        <f t="shared" ca="1" si="396"/>
        <v>0.35952779208900854</v>
      </c>
      <c r="BY109" s="119">
        <f ca="1">IF(OR(INDEX(SP_Company1876_EBITDAX,0,COLUMN())&lt;=0,BT45&lt;=0),"NMF",IF(ABS((INDEX(SP_Company1876_EBITDAX,0,COLUMN())/INDEX(SP_GF_ShareCount,0,COLUMN()))/(BT45/BT42)-1)&gt;10,"NMF",(INDEX(SP_Company1876_EBITDAX,0,COLUMN())/INDEX(SP_GF_ShareCount,0,COLUMN()))/(BT45/BT42)-1))</f>
        <v>0.59432763239826802</v>
      </c>
      <c r="BZ109" s="119">
        <f ca="1">IF(OR(INDEX(SP_Company1876_EBITDAX,0,COLUMN())&lt;=0,BU45&lt;=0),"NMF",IF(ABS((INDEX(SP_Company1876_EBITDAX,0,COLUMN())/INDEX(SP_GF_ShareCount,0,COLUMN()))/(BU45/BU42)-1)&gt;10,"NMF",(INDEX(SP_Company1876_EBITDAX,0,COLUMN())/INDEX(SP_GF_ShareCount,0,COLUMN()))/(BU45/BU42)-1))</f>
        <v>-0.16930823784891791</v>
      </c>
      <c r="CA109" s="119">
        <f ca="1">IF(OR(INDEX(SP_Company1876_EBITDAX,0,COLUMN())&lt;=0,BV45&lt;=0),"NMF",IF(ABS((INDEX(SP_Company1876_EBITDAX,0,COLUMN())/INDEX(SP_GF_ShareCount,0,COLUMN()))/(BV45/BV42)-1)&gt;10,"NMF",(INDEX(SP_Company1876_EBITDAX,0,COLUMN())/INDEX(SP_GF_ShareCount,0,COLUMN()))/(BV45/BV42)-1))</f>
        <v>9.6131134443589561E-2</v>
      </c>
      <c r="CB109" s="119">
        <f ca="1">IF(OR(INDEX(SP_Company1876_EBITDAX,0,COLUMN())&lt;=0,BW45&lt;=0),"NMF",IF(ABS((INDEX(SP_Company1876_EBITDAX,0,COLUMN())/INDEX(SP_GF_ShareCount,0,COLUMN()))/(BW45/BW42)-1)&gt;10,"NMF",(INDEX(SP_Company1876_EBITDAX,0,COLUMN())/INDEX(SP_GF_ShareCount,0,COLUMN()))/(BW45/BW42)-1))</f>
        <v>0.14059644654151615</v>
      </c>
      <c r="CC109" s="956">
        <f ca="1">IF(OR(INDEX(SP_Company1876_EBITDAX,0,COLUMN())&lt;=0,BX45&lt;=0),"NMF",IF(ABS((INDEX(SP_Company1876_EBITDAX,0,COLUMN())/INDEX(SP_GF_ShareCount,0,COLUMN()))/(BX45/BX42)-1)&gt;10,"NMF",(INDEX(SP_Company1876_EBITDAX,0,COLUMN())/INDEX(SP_GF_ShareCount,0,COLUMN()))/(BX45/BX42)-1))</f>
        <v>0.10391170154455609</v>
      </c>
      <c r="CD109" s="956">
        <f ca="1">IF(OR(INDEX(SP_Company1876_EBITDAX,0,COLUMN())&lt;=0,CC45&lt;=0),"NMF",IF(ABS((INDEX(SP_Company1876_EBITDAX,0,COLUMN())/INDEX(SP_GF_ShareCount,0,COLUMN()))/(CC45/CC42)-1)&gt;10,"NMF",(INDEX(SP_Company1876_EBITDAX,0,COLUMN())/INDEX(SP_GF_ShareCount,0,COLUMN()))/(CC45/CC42)-1))</f>
        <v>-1.8948811725303938E-2</v>
      </c>
      <c r="CE109" s="956">
        <f ca="1">IF(OR(INDEX(SP_Company1876_EBITDAX,0,COLUMN())&lt;=0,CD45&lt;=0),"NMF",IF(ABS((INDEX(SP_Company1876_EBITDAX,0,COLUMN())/INDEX(SP_GF_ShareCount,0,COLUMN()))/(CD45/CD42)-1)&gt;10,"NMF",(INDEX(SP_Company1876_EBITDAX,0,COLUMN())/INDEX(SP_GF_ShareCount,0,COLUMN()))/(CD45/CD42)-1))</f>
        <v>-6.8006868533143305E-2</v>
      </c>
      <c r="CF109" s="956">
        <f ca="1">IF(OR(INDEX(SP_Company1876_EBITDAX,0,COLUMN())&lt;=0,CE45&lt;=0),"NMF",IF(ABS((INDEX(SP_Company1876_EBITDAX,0,COLUMN())/INDEX(SP_GF_ShareCount,0,COLUMN()))/(CE45/CE42)-1)&gt;10,"NMF",(INDEX(SP_Company1876_EBITDAX,0,COLUMN())/INDEX(SP_GF_ShareCount,0,COLUMN()))/(CE45/CE42)-1))</f>
        <v>-0.10496692307345956</v>
      </c>
      <c r="CG109" s="140"/>
    </row>
    <row r="110" spans="1:85" s="453" customFormat="1" x14ac:dyDescent="0.3">
      <c r="A110" s="164" t="s">
        <v>454</v>
      </c>
      <c r="B110" s="165"/>
      <c r="C110" s="956"/>
      <c r="D110" s="956">
        <f>IF(OR(INDEX(SP_Company1876_NI,0,COLUMN())&lt;=0,C46&lt;=0),"NMF",IF(ABS((INDEX(SP_Company1876_NI,0,COLUMN())/INDEX(SP_GF_ShareCount,0,COLUMN()))/(C46/C42)-1)&gt;10,"NMF",(INDEX(SP_Company1876_NI,0,COLUMN())/INDEX(SP_GF_ShareCount,0,COLUMN()))/(C46/C42)-1))</f>
        <v>0.80973631794641943</v>
      </c>
      <c r="E110" s="956">
        <f>IF(OR(INDEX(SP_Company1876_NI,0,COLUMN())&lt;=0,D46&lt;=0),"NMF",IF(ABS((INDEX(SP_Company1876_NI,0,COLUMN())/INDEX(SP_GF_ShareCount,0,COLUMN()))/(D46/D42)-1)&gt;10,"NMF",(INDEX(SP_Company1876_NI,0,COLUMN())/INDEX(SP_GF_ShareCount,0,COLUMN()))/(D46/D42)-1))</f>
        <v>0.41780768718063688</v>
      </c>
      <c r="F110" s="956">
        <f>IF(OR(INDEX(SP_Company1876_NI,0,COLUMN())&lt;=0,E46&lt;=0),"NMF",IF(ABS((INDEX(SP_Company1876_NI,0,COLUMN())/INDEX(SP_GF_ShareCount,0,COLUMN()))/(E46/E42)-1)&gt;10,"NMF",(INDEX(SP_Company1876_NI,0,COLUMN())/INDEX(SP_GF_ShareCount,0,COLUMN()))/(E46/E42)-1))</f>
        <v>-8.7720839107737758E-3</v>
      </c>
      <c r="G110" s="119"/>
      <c r="H110" s="119"/>
      <c r="I110" s="119"/>
      <c r="J110" s="119"/>
      <c r="K110" s="956">
        <f t="shared" ref="K110:AP110" si="397">IF(OR(INDEX(SP_Company1876_NI,0,COLUMN())&lt;=0,F46&lt;=0),"NMF",IF(ABS((INDEX(SP_Company1876_NI,0,COLUMN())/INDEX(SP_GF_ShareCount,0,COLUMN()))/(F46/F42)-1)&gt;10,"NMF",(INDEX(SP_Company1876_NI,0,COLUMN())/INDEX(SP_GF_ShareCount,0,COLUMN()))/(F46/F42)-1))</f>
        <v>-0.16796770853682719</v>
      </c>
      <c r="L110" s="119">
        <f t="shared" si="397"/>
        <v>-0.2564680150824642</v>
      </c>
      <c r="M110" s="119">
        <f t="shared" si="397"/>
        <v>7.504674895759722E-2</v>
      </c>
      <c r="N110" s="119">
        <f t="shared" si="397"/>
        <v>0.14976182213041644</v>
      </c>
      <c r="O110" s="119">
        <f t="shared" si="397"/>
        <v>-0.2826092404323336</v>
      </c>
      <c r="P110" s="956">
        <f t="shared" si="397"/>
        <v>-8.552851454051591E-2</v>
      </c>
      <c r="Q110" s="119">
        <f t="shared" si="397"/>
        <v>-0.42109000363730209</v>
      </c>
      <c r="R110" s="119">
        <f t="shared" si="397"/>
        <v>-0.89782986078210592</v>
      </c>
      <c r="S110" s="119">
        <f t="shared" si="397"/>
        <v>-0.63111248787969298</v>
      </c>
      <c r="T110" s="119" t="str">
        <f t="shared" si="397"/>
        <v>NMF</v>
      </c>
      <c r="U110" s="956">
        <f t="shared" si="397"/>
        <v>-0.75868785230084423</v>
      </c>
      <c r="V110" s="119" t="str">
        <f t="shared" si="397"/>
        <v>NMF</v>
      </c>
      <c r="W110" s="119" t="str">
        <f t="shared" si="397"/>
        <v>NMF</v>
      </c>
      <c r="X110" s="119">
        <f t="shared" si="397"/>
        <v>-0.37380483919594643</v>
      </c>
      <c r="Y110" s="119" t="str">
        <f t="shared" si="397"/>
        <v>NMF</v>
      </c>
      <c r="Z110" s="956" t="str">
        <f t="shared" si="397"/>
        <v>NMF</v>
      </c>
      <c r="AA110" s="119" t="str">
        <f t="shared" si="397"/>
        <v>NMF</v>
      </c>
      <c r="AB110" s="119" t="str">
        <f t="shared" si="397"/>
        <v>NMF</v>
      </c>
      <c r="AC110" s="119">
        <f t="shared" si="397"/>
        <v>0.51137325415696333</v>
      </c>
      <c r="AD110" s="119">
        <f t="shared" si="397"/>
        <v>6.4330604873197812</v>
      </c>
      <c r="AE110" s="956" t="str">
        <f t="shared" si="397"/>
        <v>NMF</v>
      </c>
      <c r="AF110" s="119">
        <f t="shared" si="397"/>
        <v>0.34381268220855077</v>
      </c>
      <c r="AG110" s="119">
        <f t="shared" si="397"/>
        <v>1.3192597564316859</v>
      </c>
      <c r="AH110" s="119">
        <f t="shared" si="397"/>
        <v>1.049908721965358</v>
      </c>
      <c r="AI110" s="119">
        <f t="shared" si="397"/>
        <v>0.19854570805026128</v>
      </c>
      <c r="AJ110" s="956">
        <f t="shared" si="397"/>
        <v>0.5983051005954354</v>
      </c>
      <c r="AK110" s="119">
        <f t="shared" si="397"/>
        <v>-0.22917048866730516</v>
      </c>
      <c r="AL110" s="119">
        <f t="shared" si="397"/>
        <v>-3.1431604181164641E-3</v>
      </c>
      <c r="AM110" s="119">
        <f t="shared" si="397"/>
        <v>-0.26550496240164934</v>
      </c>
      <c r="AN110" s="119">
        <f t="shared" si="397"/>
        <v>-0.23658737751182324</v>
      </c>
      <c r="AO110" s="956">
        <f t="shared" si="397"/>
        <v>-0.19002519178007671</v>
      </c>
      <c r="AP110" s="119">
        <f t="shared" si="397"/>
        <v>-0.1205147279163431</v>
      </c>
      <c r="AQ110" s="119" t="str">
        <f t="shared" ref="AQ110:BN110" si="398">IF(OR(INDEX(SP_Company1876_NI,0,COLUMN())&lt;=0,AL46&lt;=0),"NMF",IF(ABS((INDEX(SP_Company1876_NI,0,COLUMN())/INDEX(SP_GF_ShareCount,0,COLUMN()))/(AL46/AL42)-1)&gt;10,"NMF",(INDEX(SP_Company1876_NI,0,COLUMN())/INDEX(SP_GF_ShareCount,0,COLUMN()))/(AL46/AL42)-1))</f>
        <v>NMF</v>
      </c>
      <c r="AR110" s="119">
        <f t="shared" si="398"/>
        <v>-0.93004751478284098</v>
      </c>
      <c r="AS110" s="119" t="str">
        <f t="shared" si="398"/>
        <v>NMF</v>
      </c>
      <c r="AT110" s="956" t="str">
        <f t="shared" si="398"/>
        <v>NMF</v>
      </c>
      <c r="AU110" s="119">
        <f t="shared" si="398"/>
        <v>-0.29952826087936202</v>
      </c>
      <c r="AV110" s="119" t="str">
        <f t="shared" si="398"/>
        <v>NMF</v>
      </c>
      <c r="AW110" s="119" t="str">
        <f t="shared" si="398"/>
        <v>NMF</v>
      </c>
      <c r="AX110" s="119" t="str">
        <f t="shared" si="398"/>
        <v>NMF</v>
      </c>
      <c r="AY110" s="956" t="str">
        <f t="shared" si="398"/>
        <v>NMF</v>
      </c>
      <c r="AZ110" s="119">
        <f t="shared" si="398"/>
        <v>2.7263516247221515</v>
      </c>
      <c r="BA110" s="119">
        <f t="shared" si="398"/>
        <v>2.4089422483230027</v>
      </c>
      <c r="BB110" s="119">
        <f t="shared" si="398"/>
        <v>0.87777397194531592</v>
      </c>
      <c r="BC110" s="119">
        <f t="shared" si="398"/>
        <v>0.59845708935344932</v>
      </c>
      <c r="BD110" s="956">
        <f t="shared" si="398"/>
        <v>1.3170998504412554</v>
      </c>
      <c r="BE110" s="119">
        <f t="shared" si="398"/>
        <v>5.4447528223084962E-2</v>
      </c>
      <c r="BF110" s="119">
        <f t="shared" si="398"/>
        <v>-0.46975248530781766</v>
      </c>
      <c r="BG110" s="119">
        <f t="shared" si="398"/>
        <v>-0.45171557256451711</v>
      </c>
      <c r="BH110" s="119">
        <f t="shared" si="398"/>
        <v>-0.1552425444256369</v>
      </c>
      <c r="BI110" s="956">
        <f t="shared" si="398"/>
        <v>-0.30270505650173407</v>
      </c>
      <c r="BJ110" s="119">
        <f t="shared" si="398"/>
        <v>-0.17447556300423672</v>
      </c>
      <c r="BK110" s="119">
        <f t="shared" si="398"/>
        <v>-0.17154345730356491</v>
      </c>
      <c r="BL110" s="119">
        <f t="shared" si="398"/>
        <v>-0.17729320013810035</v>
      </c>
      <c r="BM110" s="119">
        <f t="shared" si="398"/>
        <v>-0.4084279324894583</v>
      </c>
      <c r="BN110" s="956">
        <f t="shared" si="398"/>
        <v>-0.23475456856171728</v>
      </c>
      <c r="BO110" s="119">
        <f t="shared" ref="BO110:BX110" si="399">IF(OR(INDEX(SP_Company1876_NI,0,COLUMN())&lt;=0,BJ46&lt;=0),"NMF",IF(ABS((INDEX(SP_Company1876_NI,0,COLUMN())/INDEX(SP_GF_ShareCount,0,COLUMN()))/(BJ46/BJ42)-1)&gt;10,"NMF",(INDEX(SP_Company1876_NI,0,COLUMN())/INDEX(SP_GF_ShareCount,0,COLUMN()))/(BJ46/BJ42)-1))</f>
        <v>-0.25671256025731426</v>
      </c>
      <c r="BP110" s="119">
        <f t="shared" si="399"/>
        <v>-0.30595641251008909</v>
      </c>
      <c r="BQ110" s="119">
        <f t="shared" si="399"/>
        <v>-0.25669302318377685</v>
      </c>
      <c r="BR110" s="119">
        <f t="shared" si="399"/>
        <v>-0.25798563374537975</v>
      </c>
      <c r="BS110" s="956">
        <f t="shared" si="399"/>
        <v>-0.27494667204946754</v>
      </c>
      <c r="BT110" s="693">
        <f t="shared" si="399"/>
        <v>-0.35398549902699161</v>
      </c>
      <c r="BU110" s="119">
        <f t="shared" ca="1" si="399"/>
        <v>1.8083687648835833</v>
      </c>
      <c r="BV110" s="119">
        <f t="shared" ca="1" si="399"/>
        <v>0.99445029142474861</v>
      </c>
      <c r="BW110" s="119">
        <f t="shared" ca="1" si="399"/>
        <v>1.190116624733724</v>
      </c>
      <c r="BX110" s="956">
        <f t="shared" ca="1" si="399"/>
        <v>0.83880330346436005</v>
      </c>
      <c r="BY110" s="119">
        <f ca="1">IF(OR(INDEX(SP_Company1876_NI,0,COLUMN())&lt;=0,BT46&lt;=0),"NMF",IF(ABS((INDEX(SP_Company1876_NI,0,COLUMN())/INDEX(SP_GF_ShareCount,0,COLUMN()))/(BT46/BT42)-1)&gt;10,"NMF",(INDEX(SP_Company1876_NI,0,COLUMN())/INDEX(SP_GF_ShareCount,0,COLUMN()))/(BT46/BT42)-1))</f>
        <v>1.1487311997872456</v>
      </c>
      <c r="BZ110" s="119">
        <f ca="1">IF(OR(INDEX(SP_Company1876_NI,0,COLUMN())&lt;=0,BU46&lt;=0),"NMF",IF(ABS((INDEX(SP_Company1876_NI,0,COLUMN())/INDEX(SP_GF_ShareCount,0,COLUMN()))/(BU46/BU42)-1)&gt;10,"NMF",(INDEX(SP_Company1876_NI,0,COLUMN())/INDEX(SP_GF_ShareCount,0,COLUMN()))/(BU46/BU42)-1))</f>
        <v>-0.39051765203171862</v>
      </c>
      <c r="CA110" s="119">
        <f ca="1">IF(OR(INDEX(SP_Company1876_NI,0,COLUMN())&lt;=0,BV46&lt;=0),"NMF",IF(ABS((INDEX(SP_Company1876_NI,0,COLUMN())/INDEX(SP_GF_ShareCount,0,COLUMN()))/(BV46/BV42)-1)&gt;10,"NMF",(INDEX(SP_Company1876_NI,0,COLUMN())/INDEX(SP_GF_ShareCount,0,COLUMN()))/(BV46/BV42)-1))</f>
        <v>-0.16244417343221884</v>
      </c>
      <c r="CB110" s="119">
        <f ca="1">IF(OR(INDEX(SP_Company1876_NI,0,COLUMN())&lt;=0,BW46&lt;=0),"NMF",IF(ABS((INDEX(SP_Company1876_NI,0,COLUMN())/INDEX(SP_GF_ShareCount,0,COLUMN()))/(BW46/BW42)-1)&gt;10,"NMF",(INDEX(SP_Company1876_NI,0,COLUMN())/INDEX(SP_GF_ShareCount,0,COLUMN()))/(BW46/BW42)-1))</f>
        <v>-7.6157541684237384E-2</v>
      </c>
      <c r="CC110" s="956">
        <f ca="1">IF(OR(INDEX(SP_Company1876_NI,0,COLUMN())&lt;=0,BX46&lt;=0),"NMF",IF(ABS((INDEX(SP_Company1876_NI,0,COLUMN())/INDEX(SP_GF_ShareCount,0,COLUMN()))/(BX46/BX42)-1)&gt;10,"NMF",(INDEX(SP_Company1876_NI,0,COLUMN())/INDEX(SP_GF_ShareCount,0,COLUMN()))/(BX46/BX42)-1))</f>
        <v>-8.6918988903749383E-2</v>
      </c>
      <c r="CD110" s="956">
        <f ca="1">IF(OR(INDEX(SP_Company1876_NI,0,COLUMN())&lt;=0,CC46&lt;=0),"NMF",IF(ABS((INDEX(SP_Company1876_NI,0,COLUMN())/INDEX(SP_GF_ShareCount,0,COLUMN()))/(CC46/CC42)-1)&gt;10,"NMF",(INDEX(SP_Company1876_NI,0,COLUMN())/INDEX(SP_GF_ShareCount,0,COLUMN()))/(CC46/CC42)-1))</f>
        <v>-4.6236488474540649E-2</v>
      </c>
      <c r="CE110" s="956">
        <f ca="1">IF(OR(INDEX(SP_Company1876_NI,0,COLUMN())&lt;=0,CD46&lt;=0),"NMF",IF(ABS((INDEX(SP_Company1876_NI,0,COLUMN())/INDEX(SP_GF_ShareCount,0,COLUMN()))/(CD46/CD42)-1)&gt;10,"NMF",(INDEX(SP_Company1876_NI,0,COLUMN())/INDEX(SP_GF_ShareCount,0,COLUMN()))/(CD46/CD42)-1))</f>
        <v>5.1128781884575147E-3</v>
      </c>
      <c r="CF110" s="956">
        <f ca="1">IF(OR(INDEX(SP_Company1876_NI,0,COLUMN())&lt;=0,CE46&lt;=0),"NMF",IF(ABS((INDEX(SP_Company1876_NI,0,COLUMN())/INDEX(SP_GF_ShareCount,0,COLUMN()))/(CE46/CE42)-1)&gt;10,"NMF",(INDEX(SP_Company1876_NI,0,COLUMN())/INDEX(SP_GF_ShareCount,0,COLUMN()))/(CE46/CE42)-1))</f>
        <v>-0.30297156135472358</v>
      </c>
      <c r="CG110" s="140"/>
    </row>
    <row r="111" spans="1:85" s="453" customFormat="1" x14ac:dyDescent="0.3">
      <c r="A111" s="164" t="s">
        <v>455</v>
      </c>
      <c r="B111" s="165"/>
      <c r="C111" s="956"/>
      <c r="D111" s="956">
        <f ca="1">IF(OR(INDEX(SP_CFA_CFO,0,COLUMN())&lt;=0,C60&lt;=0),"NMF",IF(ABS((INDEX(SP_CFA_CFO,0,COLUMN())/INDEX(SP_GF_ShareCount,0,COLUMN()))/(C60/C42)-1)&gt;10,"NMF",(INDEX(SP_CFA_CFO,0,COLUMN())/INDEX(SP_GF_ShareCount,0,COLUMN()))/(C60/C42)-1))</f>
        <v>0.61396876647840171</v>
      </c>
      <c r="E111" s="956">
        <f ca="1">IF(OR(INDEX(SP_CFA_CFO,0,COLUMN())&lt;=0,D60&lt;=0),"NMF",IF(ABS((INDEX(SP_CFA_CFO,0,COLUMN())/INDEX(SP_GF_ShareCount,0,COLUMN()))/(D60/D42)-1)&gt;10,"NMF",(INDEX(SP_CFA_CFO,0,COLUMN())/INDEX(SP_GF_ShareCount,0,COLUMN()))/(D60/D42)-1))</f>
        <v>0.31444871489075954</v>
      </c>
      <c r="F111" s="956">
        <f ca="1">IF(OR(INDEX(SP_CFA_CFO,0,COLUMN())&lt;=0,E60&lt;=0),"NMF",IF(ABS((INDEX(SP_CFA_CFO,0,COLUMN())/INDEX(SP_GF_ShareCount,0,COLUMN()))/(E60/E42)-1)&gt;10,"NMF",(INDEX(SP_CFA_CFO,0,COLUMN())/INDEX(SP_GF_ShareCount,0,COLUMN()))/(E60/E42)-1))</f>
        <v>-3.8234801488587822E-2</v>
      </c>
      <c r="G111" s="119"/>
      <c r="H111" s="119"/>
      <c r="I111" s="119"/>
      <c r="J111" s="119"/>
      <c r="K111" s="956">
        <f t="shared" ref="K111:AP111" ca="1" si="400">IF(OR(INDEX(SP_CFA_CFO,0,COLUMN())&lt;=0,F60&lt;=0),"NMF",IF(ABS((INDEX(SP_CFA_CFO,0,COLUMN())/INDEX(SP_GF_ShareCount,0,COLUMN()))/(F60/F42)-1)&gt;10,"NMF",(INDEX(SP_CFA_CFO,0,COLUMN())/INDEX(SP_GF_ShareCount,0,COLUMN()))/(F60/F42)-1))</f>
        <v>-8.3062393640749188E-2</v>
      </c>
      <c r="L111" s="119">
        <f t="shared" ca="1" si="400"/>
        <v>0.49966950241119767</v>
      </c>
      <c r="M111" s="119">
        <f t="shared" ca="1" si="400"/>
        <v>-5.824291746766197E-2</v>
      </c>
      <c r="N111" s="119">
        <f t="shared" ca="1" si="400"/>
        <v>-0.1437971776182404</v>
      </c>
      <c r="O111" s="119">
        <f t="shared" ca="1" si="400"/>
        <v>-0.36662407768649974</v>
      </c>
      <c r="P111" s="956">
        <f t="shared" ca="1" si="400"/>
        <v>-8.4421270689870154E-2</v>
      </c>
      <c r="Q111" s="119">
        <f t="shared" ca="1" si="400"/>
        <v>-0.71965185126425901</v>
      </c>
      <c r="R111" s="119">
        <f t="shared" ca="1" si="400"/>
        <v>-7.136796556464553E-2</v>
      </c>
      <c r="S111" s="119">
        <f t="shared" ca="1" si="400"/>
        <v>-0.37454969558850315</v>
      </c>
      <c r="T111" s="119">
        <f t="shared" ca="1" si="400"/>
        <v>-0.29510528514196777</v>
      </c>
      <c r="U111" s="956">
        <f t="shared" ca="1" si="400"/>
        <v>-0.37430036274314826</v>
      </c>
      <c r="V111" s="119">
        <f t="shared" ca="1" si="400"/>
        <v>-0.50620845097681988</v>
      </c>
      <c r="W111" s="119">
        <f t="shared" ca="1" si="400"/>
        <v>-0.64856397812933642</v>
      </c>
      <c r="X111" s="119">
        <f t="shared" ca="1" si="400"/>
        <v>-1.4888040721260154E-2</v>
      </c>
      <c r="Y111" s="119">
        <f t="shared" ca="1" si="400"/>
        <v>-0.15934871269717199</v>
      </c>
      <c r="Z111" s="956">
        <f t="shared" ca="1" si="400"/>
        <v>-0.33897168136060785</v>
      </c>
      <c r="AA111" s="119">
        <f t="shared" ca="1" si="400"/>
        <v>2.3537000050040149</v>
      </c>
      <c r="AB111" s="119">
        <f t="shared" ca="1" si="400"/>
        <v>0.96763452759749535</v>
      </c>
      <c r="AC111" s="119">
        <f t="shared" ca="1" si="400"/>
        <v>4.4227939091934232E-3</v>
      </c>
      <c r="AD111" s="119">
        <f t="shared" ca="1" si="400"/>
        <v>0.59911276862073826</v>
      </c>
      <c r="AE111" s="956">
        <f t="shared" ca="1" si="400"/>
        <v>0.5760871539236545</v>
      </c>
      <c r="AF111" s="119">
        <f t="shared" ca="1" si="400"/>
        <v>0.28796482616501073</v>
      </c>
      <c r="AG111" s="119">
        <f t="shared" ca="1" si="400"/>
        <v>0.34280246839894724</v>
      </c>
      <c r="AH111" s="119">
        <f t="shared" ca="1" si="400"/>
        <v>0.76186813535325237</v>
      </c>
      <c r="AI111" s="119">
        <f t="shared" ca="1" si="400"/>
        <v>0.46833884774694234</v>
      </c>
      <c r="AJ111" s="956">
        <f t="shared" ca="1" si="400"/>
        <v>0.47962380571715002</v>
      </c>
      <c r="AK111" s="119">
        <f t="shared" ca="1" si="400"/>
        <v>9.3549134008001911E-3</v>
      </c>
      <c r="AL111" s="119">
        <f t="shared" ca="1" si="400"/>
        <v>0.29200833966675321</v>
      </c>
      <c r="AM111" s="119">
        <f t="shared" ca="1" si="400"/>
        <v>-0.17293512593232108</v>
      </c>
      <c r="AN111" s="119">
        <f t="shared" ca="1" si="400"/>
        <v>-0.37042333232340419</v>
      </c>
      <c r="AO111" s="956">
        <f t="shared" ca="1" si="400"/>
        <v>-9.8975483848000811E-2</v>
      </c>
      <c r="AP111" s="119">
        <f t="shared" ca="1" si="400"/>
        <v>-4.867779981685938E-2</v>
      </c>
      <c r="AQ111" s="119">
        <f t="shared" ref="AQ111:BN111" ca="1" si="401">IF(OR(INDEX(SP_CFA_CFO,0,COLUMN())&lt;=0,AL60&lt;=0),"NMF",IF(ABS((INDEX(SP_CFA_CFO,0,COLUMN())/INDEX(SP_GF_ShareCount,0,COLUMN()))/(AL60/AL42)-1)&gt;10,"NMF",(INDEX(SP_CFA_CFO,0,COLUMN())/INDEX(SP_GF_ShareCount,0,COLUMN()))/(AL60/AL42)-1))</f>
        <v>-0.99064741053122995</v>
      </c>
      <c r="AR111" s="119">
        <f t="shared" ca="1" si="401"/>
        <v>-0.53766359677521547</v>
      </c>
      <c r="AS111" s="119">
        <f t="shared" ca="1" si="401"/>
        <v>-0.6123361314389919</v>
      </c>
      <c r="AT111" s="956">
        <f t="shared" ca="1" si="401"/>
        <v>-0.60756529060462261</v>
      </c>
      <c r="AU111" s="119">
        <f t="shared" ca="1" si="401"/>
        <v>-0.13469524048945369</v>
      </c>
      <c r="AV111" s="119" t="str">
        <f t="shared" ca="1" si="401"/>
        <v>NMF</v>
      </c>
      <c r="AW111" s="119">
        <f t="shared" ca="1" si="401"/>
        <v>1.3402006135909308</v>
      </c>
      <c r="AX111" s="119">
        <f t="shared" ca="1" si="401"/>
        <v>3.2011218158142638</v>
      </c>
      <c r="AY111" s="956">
        <f t="shared" ca="1" si="401"/>
        <v>1.687270613327108</v>
      </c>
      <c r="AZ111" s="119">
        <f t="shared" ca="1" si="401"/>
        <v>0.89139867868479694</v>
      </c>
      <c r="BA111" s="119">
        <f t="shared" ca="1" si="401"/>
        <v>0.94628501120433128</v>
      </c>
      <c r="BB111" s="119">
        <f t="shared" ca="1" si="401"/>
        <v>0.76223450986046482</v>
      </c>
      <c r="BC111" s="119">
        <f t="shared" ca="1" si="401"/>
        <v>0.3230392984790913</v>
      </c>
      <c r="BD111" s="956">
        <f t="shared" ca="1" si="401"/>
        <v>0.68193582930561103</v>
      </c>
      <c r="BE111" s="119">
        <f t="shared" ca="1" si="401"/>
        <v>-8.4933256046176075E-2</v>
      </c>
      <c r="BF111" s="119">
        <f t="shared" ca="1" si="401"/>
        <v>-0.52322053623881715</v>
      </c>
      <c r="BG111" s="119">
        <f t="shared" ca="1" si="401"/>
        <v>-0.3451809209594171</v>
      </c>
      <c r="BH111" s="119">
        <f t="shared" ca="1" si="401"/>
        <v>2.2375345007952685E-2</v>
      </c>
      <c r="BI111" s="956">
        <f t="shared" ca="1" si="401"/>
        <v>-0.25920923027141096</v>
      </c>
      <c r="BJ111" s="119">
        <f t="shared" ca="1" si="401"/>
        <v>-2.5844320435328583E-2</v>
      </c>
      <c r="BK111" s="119">
        <f t="shared" ca="1" si="401"/>
        <v>2.2624967602455692E-2</v>
      </c>
      <c r="BL111" s="119">
        <f t="shared" ca="1" si="401"/>
        <v>3.8885937716725438E-2</v>
      </c>
      <c r="BM111" s="119">
        <f t="shared" ca="1" si="401"/>
        <v>-0.26500868359037388</v>
      </c>
      <c r="BN111" s="956">
        <f t="shared" ca="1" si="401"/>
        <v>-8.4603094478633678E-2</v>
      </c>
      <c r="BO111" s="119">
        <f t="shared" ref="BO111:BX111" ca="1" si="402">IF(OR(INDEX(SP_CFA_CFO,0,COLUMN())&lt;=0,BJ60&lt;=0),"NMF",IF(ABS((INDEX(SP_CFA_CFO,0,COLUMN())/INDEX(SP_GF_ShareCount,0,COLUMN()))/(BJ60/BJ42)-1)&gt;10,"NMF",(INDEX(SP_CFA_CFO,0,COLUMN())/INDEX(SP_GF_ShareCount,0,COLUMN()))/(BJ60/BJ42)-1))</f>
        <v>-0.19765933756164944</v>
      </c>
      <c r="BP111" s="119">
        <f t="shared" ca="1" si="402"/>
        <v>0.44849282897188725</v>
      </c>
      <c r="BQ111" s="119">
        <f t="shared" ca="1" si="402"/>
        <v>-9.9169857289998276E-2</v>
      </c>
      <c r="BR111" s="119">
        <f t="shared" ca="1" si="402"/>
        <v>0.10436819194881264</v>
      </c>
      <c r="BS111" s="956">
        <f t="shared" ca="1" si="402"/>
        <v>5.5031833065477764E-2</v>
      </c>
      <c r="BT111" s="693">
        <f t="shared" ca="1" si="402"/>
        <v>-0.57271294190821165</v>
      </c>
      <c r="BU111" s="119">
        <f t="shared" ca="1" si="402"/>
        <v>0.53391356838064685</v>
      </c>
      <c r="BV111" s="119">
        <f t="shared" ca="1" si="402"/>
        <v>0.21629380706258883</v>
      </c>
      <c r="BW111" s="119">
        <f t="shared" ca="1" si="402"/>
        <v>5.7144745651924511E-2</v>
      </c>
      <c r="BX111" s="956">
        <f t="shared" ca="1" si="402"/>
        <v>0.11774283365481764</v>
      </c>
      <c r="BY111" s="119">
        <f ca="1">IF(OR(INDEX(SP_CFA_CFO,0,COLUMN())&lt;=0,BT60&lt;=0),"NMF",IF(ABS((INDEX(SP_CFA_CFO,0,COLUMN())/INDEX(SP_GF_ShareCount,0,COLUMN()))/(BT60/BT42)-1)&gt;10,"NMF",(INDEX(SP_CFA_CFO,0,COLUMN())/INDEX(SP_GF_ShareCount,0,COLUMN()))/(BT60/BT42)-1))</f>
        <v>3.8557977037301407</v>
      </c>
      <c r="BZ111" s="119">
        <f ca="1">IF(OR(INDEX(SP_CFA_CFO,0,COLUMN())&lt;=0,BU60&lt;=0),"NMF",IF(ABS((INDEX(SP_CFA_CFO,0,COLUMN())/INDEX(SP_GF_ShareCount,0,COLUMN()))/(BU60/BU42)-1)&gt;10,"NMF",(INDEX(SP_CFA_CFO,0,COLUMN())/INDEX(SP_GF_ShareCount,0,COLUMN()))/(BU60/BU42)-1))</f>
        <v>-0.16004125429536586</v>
      </c>
      <c r="CA111" s="119">
        <f ca="1">IF(OR(INDEX(SP_CFA_CFO,0,COLUMN())&lt;=0,BV60&lt;=0),"NMF",IF(ABS((INDEX(SP_CFA_CFO,0,COLUMN())/INDEX(SP_GF_ShareCount,0,COLUMN()))/(BV60/BV42)-1)&gt;10,"NMF",(INDEX(SP_CFA_CFO,0,COLUMN())/INDEX(SP_GF_ShareCount,0,COLUMN()))/(BV60/BV42)-1))</f>
        <v>0.10699832606264148</v>
      </c>
      <c r="CB111" s="119">
        <f ca="1">IF(OR(INDEX(SP_CFA_CFO,0,COLUMN())&lt;=0,BW60&lt;=0),"NMF",IF(ABS((INDEX(SP_CFA_CFO,0,COLUMN())/INDEX(SP_GF_ShareCount,0,COLUMN()))/(BW60/BW42)-1)&gt;10,"NMF",(INDEX(SP_CFA_CFO,0,COLUMN())/INDEX(SP_GF_ShareCount,0,COLUMN()))/(BW60/BW42)-1))</f>
        <v>0.12870365116358018</v>
      </c>
      <c r="CC111" s="956">
        <f ca="1">IF(OR(INDEX(SP_CFA_CFO,0,COLUMN())&lt;=0,BX60&lt;=0),"NMF",IF(ABS((INDEX(SP_CFA_CFO,0,COLUMN())/INDEX(SP_GF_ShareCount,0,COLUMN()))/(BX60/BX42)-1)&gt;10,"NMF",(INDEX(SP_CFA_CFO,0,COLUMN())/INDEX(SP_GF_ShareCount,0,COLUMN()))/(BX60/BX42)-1))</f>
        <v>0.24709941412289971</v>
      </c>
      <c r="CD111" s="956">
        <f ca="1">IF(OR(INDEX(SP_CFA_CFO,0,COLUMN())&lt;=0,CC60&lt;=0),"NMF",IF(ABS((INDEX(SP_CFA_CFO,0,COLUMN())/INDEX(SP_GF_ShareCount,0,COLUMN()))/(CC60/CC42)-1)&gt;10,"NMF",(INDEX(SP_CFA_CFO,0,COLUMN())/INDEX(SP_GF_ShareCount,0,COLUMN()))/(CC60/CC42)-1))</f>
        <v>-1.3007026899433227E-2</v>
      </c>
      <c r="CE111" s="956">
        <f ca="1">IF(OR(INDEX(SP_CFA_CFO,0,COLUMN())&lt;=0,CD60&lt;=0),"NMF",IF(ABS((INDEX(SP_CFA_CFO,0,COLUMN())/INDEX(SP_GF_ShareCount,0,COLUMN()))/(CD60/CD42)-1)&gt;10,"NMF",(INDEX(SP_CFA_CFO,0,COLUMN())/INDEX(SP_GF_ShareCount,0,COLUMN()))/(CD60/CD42)-1))</f>
        <v>-2.5734552399088395E-2</v>
      </c>
      <c r="CF111" s="956">
        <f ca="1">IF(OR(INDEX(SP_CFA_CFO,0,COLUMN())&lt;=0,CE60&lt;=0),"NMF",IF(ABS((INDEX(SP_CFA_CFO,0,COLUMN())/INDEX(SP_GF_ShareCount,0,COLUMN()))/(CE60/CE42)-1)&gt;10,"NMF",(INDEX(SP_CFA_CFO,0,COLUMN())/INDEX(SP_GF_ShareCount,0,COLUMN()))/(CE60/CE42)-1))</f>
        <v>-0.12061250579560878</v>
      </c>
      <c r="CG111" s="140"/>
    </row>
    <row r="112" spans="1:85" s="453" customFormat="1" x14ac:dyDescent="0.3">
      <c r="A112" s="164" t="s">
        <v>456</v>
      </c>
      <c r="B112" s="165"/>
      <c r="C112" s="956"/>
      <c r="D112" s="956" t="str">
        <f ca="1">IF(OR(INDEX(SP_CFA_FCF_PreDiv,0,COLUMN())&lt;=0,C62&lt;=0),"NMF",IF(ABS((INDEX(SP_CFA_FCF_PreDiv,0,COLUMN())/INDEX(SP_GF_ShareCount,0,COLUMN()))/(C62/C42)-1)&gt;10,"NMF",(INDEX(SP_CFA_FCF_PreDiv,0,COLUMN())/INDEX(SP_GF_ShareCount,0,COLUMN()))/(C62/C42)-1))</f>
        <v>NMF</v>
      </c>
      <c r="E112" s="956">
        <f ca="1">IF(OR(INDEX(SP_CFA_FCF_PreDiv,0,COLUMN())&lt;=0,D62&lt;=0),"NMF",IF(ABS((INDEX(SP_CFA_FCF_PreDiv,0,COLUMN())/INDEX(SP_GF_ShareCount,0,COLUMN()))/(D62/D42)-1)&gt;10,"NMF",(INDEX(SP_CFA_FCF_PreDiv,0,COLUMN())/INDEX(SP_GF_ShareCount,0,COLUMN()))/(D62/D42)-1))</f>
        <v>0.24654981517097396</v>
      </c>
      <c r="F112" s="956">
        <f ca="1">IF(OR(INDEX(SP_CFA_FCF_PreDiv,0,COLUMN())&lt;=0,E62&lt;=0),"NMF",IF(ABS((INDEX(SP_CFA_FCF_PreDiv,0,COLUMN())/INDEX(SP_GF_ShareCount,0,COLUMN()))/(E62/E42)-1)&gt;10,"NMF",(INDEX(SP_CFA_FCF_PreDiv,0,COLUMN())/INDEX(SP_GF_ShareCount,0,COLUMN()))/(E62/E42)-1))</f>
        <v>-0.45060673479265356</v>
      </c>
      <c r="G112" s="119"/>
      <c r="H112" s="119"/>
      <c r="I112" s="119"/>
      <c r="J112" s="119"/>
      <c r="K112" s="956" t="str">
        <f t="shared" ref="K112:AP112" ca="1" si="403">IF(OR(INDEX(SP_CFA_FCF_PreDiv,0,COLUMN())&lt;=0,F62&lt;=0),"NMF",IF(ABS((INDEX(SP_CFA_FCF_PreDiv,0,COLUMN())/INDEX(SP_GF_ShareCount,0,COLUMN()))/(F62/F42)-1)&gt;10,"NMF",(INDEX(SP_CFA_FCF_PreDiv,0,COLUMN())/INDEX(SP_GF_ShareCount,0,COLUMN()))/(F62/F42)-1))</f>
        <v>NMF</v>
      </c>
      <c r="L112" s="119" t="str">
        <f t="shared" ca="1" si="403"/>
        <v>NMF</v>
      </c>
      <c r="M112" s="119" t="str">
        <f t="shared" ca="1" si="403"/>
        <v>NMF</v>
      </c>
      <c r="N112" s="119">
        <f t="shared" ca="1" si="403"/>
        <v>-0.40294359886919062</v>
      </c>
      <c r="O112" s="119" t="str">
        <f t="shared" ca="1" si="403"/>
        <v>NMF</v>
      </c>
      <c r="P112" s="956" t="str">
        <f t="shared" ca="1" si="403"/>
        <v>NMF</v>
      </c>
      <c r="Q112" s="119" t="str">
        <f t="shared" ca="1" si="403"/>
        <v>NMF</v>
      </c>
      <c r="R112" s="119" t="str">
        <f t="shared" ca="1" si="403"/>
        <v>NMF</v>
      </c>
      <c r="S112" s="119" t="str">
        <f t="shared" ca="1" si="403"/>
        <v>NMF</v>
      </c>
      <c r="T112" s="119" t="str">
        <f t="shared" ca="1" si="403"/>
        <v>NMF</v>
      </c>
      <c r="U112" s="956" t="str">
        <f t="shared" ca="1" si="403"/>
        <v>NMF</v>
      </c>
      <c r="V112" s="119" t="str">
        <f t="shared" ca="1" si="403"/>
        <v>NMF</v>
      </c>
      <c r="W112" s="119" t="str">
        <f t="shared" ca="1" si="403"/>
        <v>NMF</v>
      </c>
      <c r="X112" s="119" t="str">
        <f t="shared" ca="1" si="403"/>
        <v>NMF</v>
      </c>
      <c r="Y112" s="119" t="str">
        <f t="shared" ca="1" si="403"/>
        <v>NMF</v>
      </c>
      <c r="Z112" s="956" t="str">
        <f t="shared" ca="1" si="403"/>
        <v>NMF</v>
      </c>
      <c r="AA112" s="119" t="str">
        <f t="shared" ca="1" si="403"/>
        <v>NMF</v>
      </c>
      <c r="AB112" s="119" t="str">
        <f t="shared" ca="1" si="403"/>
        <v>NMF</v>
      </c>
      <c r="AC112" s="119">
        <f t="shared" ca="1" si="403"/>
        <v>0.71092215803231884</v>
      </c>
      <c r="AD112" s="119" t="str">
        <f t="shared" ca="1" si="403"/>
        <v>NMF</v>
      </c>
      <c r="AE112" s="956" t="str">
        <f t="shared" ca="1" si="403"/>
        <v>NMF</v>
      </c>
      <c r="AF112" s="119">
        <f t="shared" ca="1" si="403"/>
        <v>2.5938615274525887</v>
      </c>
      <c r="AG112" s="119">
        <f t="shared" ca="1" si="403"/>
        <v>0.97569166693076315</v>
      </c>
      <c r="AH112" s="119">
        <f t="shared" ca="1" si="403"/>
        <v>1.7602647175315838</v>
      </c>
      <c r="AI112" s="119">
        <f t="shared" ca="1" si="403"/>
        <v>0.99233989547041301</v>
      </c>
      <c r="AJ112" s="956">
        <f t="shared" ca="1" si="403"/>
        <v>1.3458282854643673</v>
      </c>
      <c r="AK112" s="119">
        <f t="shared" ca="1" si="403"/>
        <v>3.5094550347119613E-2</v>
      </c>
      <c r="AL112" s="119">
        <f t="shared" ca="1" si="403"/>
        <v>0.44465033479349048</v>
      </c>
      <c r="AM112" s="119">
        <f t="shared" ca="1" si="403"/>
        <v>-0.24832262565453445</v>
      </c>
      <c r="AN112" s="119">
        <f t="shared" ca="1" si="403"/>
        <v>-0.71440550582492834</v>
      </c>
      <c r="AO112" s="956">
        <f t="shared" ca="1" si="403"/>
        <v>-0.20776256301346852</v>
      </c>
      <c r="AP112" s="119">
        <f t="shared" ca="1" si="403"/>
        <v>-0.23056353541184127</v>
      </c>
      <c r="AQ112" s="119" t="str">
        <f t="shared" ref="AQ112:BN112" ca="1" si="404">IF(OR(INDEX(SP_CFA_FCF_PreDiv,0,COLUMN())&lt;=0,AL62&lt;=0),"NMF",IF(ABS((INDEX(SP_CFA_FCF_PreDiv,0,COLUMN())/INDEX(SP_GF_ShareCount,0,COLUMN()))/(AL62/AL42)-1)&gt;10,"NMF",(INDEX(SP_CFA_FCF_PreDiv,0,COLUMN())/INDEX(SP_GF_ShareCount,0,COLUMN()))/(AL62/AL42)-1))</f>
        <v>NMF</v>
      </c>
      <c r="AR112" s="119">
        <f t="shared" ca="1" si="404"/>
        <v>-0.56192440784881481</v>
      </c>
      <c r="AS112" s="119">
        <f t="shared" ca="1" si="404"/>
        <v>-0.88419988220648016</v>
      </c>
      <c r="AT112" s="956">
        <f t="shared" ca="1" si="404"/>
        <v>-0.87291915704089273</v>
      </c>
      <c r="AU112" s="119">
        <f t="shared" ca="1" si="404"/>
        <v>0.50141856944003682</v>
      </c>
      <c r="AV112" s="119" t="str">
        <f t="shared" ca="1" si="404"/>
        <v>NMF</v>
      </c>
      <c r="AW112" s="119">
        <f t="shared" ca="1" si="404"/>
        <v>2.3756454485999559</v>
      </c>
      <c r="AX112" s="119" t="str">
        <f t="shared" ca="1" si="404"/>
        <v>NMF</v>
      </c>
      <c r="AY112" s="956" t="str">
        <f t="shared" ca="1" si="404"/>
        <v>NMF</v>
      </c>
      <c r="AZ112" s="119">
        <f t="shared" ca="1" si="404"/>
        <v>1.4510978084782318</v>
      </c>
      <c r="BA112" s="119">
        <f t="shared" ca="1" si="404"/>
        <v>1.018160317868618</v>
      </c>
      <c r="BB112" s="119">
        <f t="shared" ca="1" si="404"/>
        <v>0.82140268727305843</v>
      </c>
      <c r="BC112" s="119">
        <f t="shared" ca="1" si="404"/>
        <v>0.26585072233024976</v>
      </c>
      <c r="BD112" s="956">
        <f t="shared" ca="1" si="404"/>
        <v>0.76234437879555661</v>
      </c>
      <c r="BE112" s="119">
        <f t="shared" ca="1" si="404"/>
        <v>-0.30058632038393407</v>
      </c>
      <c r="BF112" s="119">
        <f t="shared" ca="1" si="404"/>
        <v>-0.7499044901656573</v>
      </c>
      <c r="BG112" s="119">
        <f t="shared" ca="1" si="404"/>
        <v>-0.5789162322536</v>
      </c>
      <c r="BH112" s="119">
        <f t="shared" ca="1" si="404"/>
        <v>-4.2350330457784691E-2</v>
      </c>
      <c r="BI112" s="956">
        <f t="shared" ca="1" si="404"/>
        <v>-0.45756197672776899</v>
      </c>
      <c r="BJ112" s="119">
        <f t="shared" ca="1" si="404"/>
        <v>-0.32432574506199052</v>
      </c>
      <c r="BK112" s="119">
        <f t="shared" ca="1" si="404"/>
        <v>-6.2027463272819161E-2</v>
      </c>
      <c r="BL112" s="119">
        <f t="shared" ca="1" si="404"/>
        <v>0.16737933249586323</v>
      </c>
      <c r="BM112" s="119">
        <f t="shared" ca="1" si="404"/>
        <v>-0.43274792622224612</v>
      </c>
      <c r="BN112" s="956">
        <f t="shared" ca="1" si="404"/>
        <v>-0.2127620670692778</v>
      </c>
      <c r="BO112" s="119">
        <f t="shared" ref="BO112:BX112" ca="1" si="405">IF(OR(INDEX(SP_CFA_FCF_PreDiv,0,COLUMN())&lt;=0,BJ62&lt;=0),"NMF",IF(ABS((INDEX(SP_CFA_FCF_PreDiv,0,COLUMN())/INDEX(SP_GF_ShareCount,0,COLUMN()))/(BJ62/BJ42)-1)&gt;10,"NMF",(INDEX(SP_CFA_FCF_PreDiv,0,COLUMN())/INDEX(SP_GF_ShareCount,0,COLUMN()))/(BJ62/BJ42)-1))</f>
        <v>-0.51355250969864352</v>
      </c>
      <c r="BP112" s="119">
        <f t="shared" ca="1" si="405"/>
        <v>1.2205031281016461</v>
      </c>
      <c r="BQ112" s="119">
        <f t="shared" ca="1" si="405"/>
        <v>-0.18347302348293015</v>
      </c>
      <c r="BR112" s="119">
        <f t="shared" ca="1" si="405"/>
        <v>0.12861808528996876</v>
      </c>
      <c r="BS112" s="956">
        <f t="shared" ca="1" si="405"/>
        <v>7.969770651719621E-2</v>
      </c>
      <c r="BT112" s="693" t="str">
        <f t="shared" ca="1" si="405"/>
        <v>NMF</v>
      </c>
      <c r="BU112" s="119">
        <f t="shared" ca="1" si="405"/>
        <v>0.90315501102692508</v>
      </c>
      <c r="BV112" s="119">
        <f t="shared" ca="1" si="405"/>
        <v>0.31775414857646589</v>
      </c>
      <c r="BW112" s="119">
        <f t="shared" ca="1" si="405"/>
        <v>0.15352978028965336</v>
      </c>
      <c r="BX112" s="956">
        <f t="shared" ca="1" si="405"/>
        <v>0.24283763894132071</v>
      </c>
      <c r="BY112" s="119" t="str">
        <f ca="1">IF(OR(INDEX(SP_CFA_FCF_PreDiv,0,COLUMN())&lt;=0,BT62&lt;=0),"NMF",IF(ABS((INDEX(SP_CFA_FCF_PreDiv,0,COLUMN())/INDEX(SP_GF_ShareCount,0,COLUMN()))/(BT62/BT42)-1)&gt;10,"NMF",(INDEX(SP_CFA_FCF_PreDiv,0,COLUMN())/INDEX(SP_GF_ShareCount,0,COLUMN()))/(BT62/BT42)-1))</f>
        <v>NMF</v>
      </c>
      <c r="BZ112" s="119">
        <f ca="1">IF(OR(INDEX(SP_CFA_FCF_PreDiv,0,COLUMN())&lt;=0,BU62&lt;=0),"NMF",IF(ABS((INDEX(SP_CFA_FCF_PreDiv,0,COLUMN())/INDEX(SP_GF_ShareCount,0,COLUMN()))/(BU62/BU42)-1)&gt;10,"NMF",(INDEX(SP_CFA_FCF_PreDiv,0,COLUMN())/INDEX(SP_GF_ShareCount,0,COLUMN()))/(BU62/BU42)-1))</f>
        <v>-0.2757713091267493</v>
      </c>
      <c r="CA112" s="119">
        <f ca="1">IF(OR(INDEX(SP_CFA_FCF_PreDiv,0,COLUMN())&lt;=0,BV62&lt;=0),"NMF",IF(ABS((INDEX(SP_CFA_FCF_PreDiv,0,COLUMN())/INDEX(SP_GF_ShareCount,0,COLUMN()))/(BV62/BV42)-1)&gt;10,"NMF",(INDEX(SP_CFA_FCF_PreDiv,0,COLUMN())/INDEX(SP_GF_ShareCount,0,COLUMN()))/(BV62/BV42)-1))</f>
        <v>0.18758603758325121</v>
      </c>
      <c r="CB112" s="119">
        <f ca="1">IF(OR(INDEX(SP_CFA_FCF_PreDiv,0,COLUMN())&lt;=0,BW62&lt;=0),"NMF",IF(ABS((INDEX(SP_CFA_FCF_PreDiv,0,COLUMN())/INDEX(SP_GF_ShareCount,0,COLUMN()))/(BW62/BW42)-1)&gt;10,"NMF",(INDEX(SP_CFA_FCF_PreDiv,0,COLUMN())/INDEX(SP_GF_ShareCount,0,COLUMN()))/(BW62/BW42)-1))</f>
        <v>0.23032730323668393</v>
      </c>
      <c r="CC112" s="956">
        <f ca="1">IF(OR(INDEX(SP_CFA_FCF_PreDiv,0,COLUMN())&lt;=0,BX62&lt;=0),"NMF",IF(ABS((INDEX(SP_CFA_FCF_PreDiv,0,COLUMN())/INDEX(SP_GF_ShareCount,0,COLUMN()))/(BX62/BX42)-1)&gt;10,"NMF",(INDEX(SP_CFA_FCF_PreDiv,0,COLUMN())/INDEX(SP_GF_ShareCount,0,COLUMN()))/(BX62/BX42)-1))</f>
        <v>0.38713922006170098</v>
      </c>
      <c r="CD112" s="956">
        <f ca="1">IF(OR(INDEX(SP_CFA_FCF_PreDiv,0,COLUMN())&lt;=0,CC62&lt;=0),"NMF",IF(ABS((INDEX(SP_CFA_FCF_PreDiv,0,COLUMN())/INDEX(SP_GF_ShareCount,0,COLUMN()))/(CC62/CC42)-1)&gt;10,"NMF",(INDEX(SP_CFA_FCF_PreDiv,0,COLUMN())/INDEX(SP_GF_ShareCount,0,COLUMN()))/(CC62/CC42)-1))</f>
        <v>-2.1512300809721441E-2</v>
      </c>
      <c r="CE112" s="956">
        <f ca="1">IF(OR(INDEX(SP_CFA_FCF_PreDiv,0,COLUMN())&lt;=0,CD62&lt;=0),"NMF",IF(ABS((INDEX(SP_CFA_FCF_PreDiv,0,COLUMN())/INDEX(SP_GF_ShareCount,0,COLUMN()))/(CD62/CD42)-1)&gt;10,"NMF",(INDEX(SP_CFA_FCF_PreDiv,0,COLUMN())/INDEX(SP_GF_ShareCount,0,COLUMN()))/(CD62/CD42)-1))</f>
        <v>-4.2932297776980266E-2</v>
      </c>
      <c r="CF112" s="956">
        <f ca="1">IF(OR(INDEX(SP_CFA_FCF_PreDiv,0,COLUMN())&lt;=0,CE62&lt;=0),"NMF",IF(ABS((INDEX(SP_CFA_FCF_PreDiv,0,COLUMN())/INDEX(SP_GF_ShareCount,0,COLUMN()))/(CE62/CE42)-1)&gt;10,"NMF",(INDEX(SP_CFA_FCF_PreDiv,0,COLUMN())/INDEX(SP_GF_ShareCount,0,COLUMN()))/(CE62/CE42)-1))</f>
        <v>-0.20483043828360992</v>
      </c>
      <c r="CG112" s="140"/>
    </row>
    <row r="113" spans="1:85" x14ac:dyDescent="0.3">
      <c r="A113" s="158"/>
      <c r="B113" s="163"/>
      <c r="C113" s="955"/>
      <c r="D113" s="955"/>
      <c r="E113" s="955"/>
      <c r="F113" s="955"/>
      <c r="G113" s="728"/>
      <c r="H113" s="728"/>
      <c r="I113" s="728"/>
      <c r="J113" s="728"/>
      <c r="K113" s="955"/>
      <c r="L113" s="728"/>
      <c r="M113" s="728"/>
      <c r="N113" s="728"/>
      <c r="O113" s="728"/>
      <c r="P113" s="955"/>
      <c r="Q113" s="728"/>
      <c r="R113" s="728"/>
      <c r="S113" s="728"/>
      <c r="T113" s="728"/>
      <c r="U113" s="955"/>
      <c r="V113" s="728"/>
      <c r="W113" s="728"/>
      <c r="X113" s="728"/>
      <c r="Y113" s="728"/>
      <c r="Z113" s="955"/>
      <c r="AA113" s="728"/>
      <c r="AB113" s="728"/>
      <c r="AC113" s="728"/>
      <c r="AD113" s="728"/>
      <c r="AE113" s="955"/>
      <c r="AF113" s="728"/>
      <c r="AG113" s="728"/>
      <c r="AH113" s="728"/>
      <c r="AI113" s="728"/>
      <c r="AJ113" s="955"/>
      <c r="AK113" s="728"/>
      <c r="AL113" s="728"/>
      <c r="AM113" s="728"/>
      <c r="AN113" s="728"/>
      <c r="AO113" s="955"/>
      <c r="AP113" s="728"/>
      <c r="AQ113" s="728"/>
      <c r="AR113" s="728"/>
      <c r="AS113" s="728"/>
      <c r="AT113" s="955"/>
      <c r="AU113" s="728"/>
      <c r="AV113" s="728"/>
      <c r="AW113" s="728"/>
      <c r="AX113" s="728"/>
      <c r="AY113" s="955"/>
      <c r="AZ113" s="728"/>
      <c r="BA113" s="728"/>
      <c r="BB113" s="728"/>
      <c r="BC113" s="728"/>
      <c r="BD113" s="955"/>
      <c r="BE113" s="728"/>
      <c r="BF113" s="728"/>
      <c r="BG113" s="728"/>
      <c r="BH113" s="728"/>
      <c r="BI113" s="955"/>
      <c r="BJ113" s="728"/>
      <c r="BK113" s="728"/>
      <c r="BL113" s="728"/>
      <c r="BM113" s="728"/>
      <c r="BN113" s="955"/>
      <c r="BO113" s="728"/>
      <c r="BP113" s="728"/>
      <c r="BQ113" s="728"/>
      <c r="BR113" s="728"/>
      <c r="BS113" s="955"/>
      <c r="BT113" s="760"/>
      <c r="BU113" s="728"/>
      <c r="BV113" s="728"/>
      <c r="BW113" s="728"/>
      <c r="BX113" s="955"/>
      <c r="BY113" s="728"/>
      <c r="BZ113" s="728"/>
      <c r="CA113" s="728"/>
      <c r="CB113" s="728"/>
      <c r="CC113" s="955"/>
      <c r="CD113" s="955"/>
      <c r="CE113" s="955"/>
      <c r="CF113" s="955"/>
      <c r="CG113" s="137"/>
    </row>
    <row r="114" spans="1:85" x14ac:dyDescent="0.3">
      <c r="A114" s="114" t="s">
        <v>457</v>
      </c>
      <c r="B114" s="729"/>
      <c r="C114" s="729"/>
      <c r="D114" s="729"/>
      <c r="E114" s="729"/>
      <c r="F114" s="729"/>
      <c r="G114" s="729"/>
      <c r="H114" s="729"/>
      <c r="I114" s="729"/>
      <c r="J114" s="729"/>
      <c r="K114" s="729"/>
      <c r="L114" s="729"/>
      <c r="M114" s="729"/>
      <c r="N114" s="729"/>
      <c r="O114" s="729"/>
      <c r="P114" s="729"/>
      <c r="Q114" s="729"/>
      <c r="R114" s="729"/>
      <c r="S114" s="729"/>
      <c r="T114" s="729"/>
      <c r="U114" s="729"/>
      <c r="V114" s="729"/>
      <c r="W114" s="729"/>
      <c r="X114" s="729"/>
      <c r="Y114" s="729"/>
      <c r="Z114" s="729"/>
      <c r="AA114" s="729"/>
      <c r="AB114" s="729"/>
      <c r="AC114" s="729"/>
      <c r="AD114" s="729"/>
      <c r="AE114" s="729"/>
      <c r="AF114" s="729"/>
      <c r="AG114" s="729"/>
      <c r="AH114" s="729"/>
      <c r="AI114" s="729"/>
      <c r="AJ114" s="729"/>
      <c r="AK114" s="729"/>
      <c r="AL114" s="729"/>
      <c r="AM114" s="729"/>
      <c r="AN114" s="729"/>
      <c r="AO114" s="729"/>
      <c r="AP114" s="729"/>
      <c r="AQ114" s="729"/>
      <c r="AR114" s="729"/>
      <c r="AS114" s="729"/>
      <c r="AT114" s="729"/>
      <c r="AU114" s="729"/>
      <c r="AV114" s="729"/>
      <c r="AW114" s="729"/>
      <c r="AX114" s="729"/>
      <c r="AY114" s="729"/>
      <c r="AZ114" s="729"/>
      <c r="BA114" s="729"/>
      <c r="BB114" s="729"/>
      <c r="BC114" s="729"/>
      <c r="BD114" s="729"/>
      <c r="BE114" s="729"/>
      <c r="BF114" s="729"/>
      <c r="BG114" s="729"/>
      <c r="BH114" s="729"/>
      <c r="BI114" s="729"/>
      <c r="BJ114" s="729"/>
      <c r="BK114" s="729"/>
      <c r="BL114" s="729"/>
      <c r="BM114" s="729"/>
      <c r="BN114" s="729"/>
      <c r="BO114" s="729"/>
      <c r="BP114" s="729"/>
      <c r="BQ114" s="729"/>
      <c r="BR114" s="729"/>
      <c r="BS114" s="729"/>
      <c r="BT114" s="761"/>
      <c r="BU114" s="729"/>
      <c r="BV114" s="729"/>
      <c r="BW114" s="729"/>
      <c r="BX114" s="729"/>
      <c r="BY114" s="729"/>
      <c r="BZ114" s="729"/>
      <c r="CA114" s="729"/>
      <c r="CB114" s="729"/>
      <c r="CC114" s="729"/>
      <c r="CD114" s="729"/>
      <c r="CE114" s="729"/>
      <c r="CF114" s="729"/>
      <c r="CG114" s="137"/>
    </row>
    <row r="115" spans="1:85" s="467" customFormat="1" x14ac:dyDescent="0.3">
      <c r="A115" s="184" t="str">
        <f>"P/E - "&amp;SP.ValuationToggle</f>
        <v>P/E - EoP</v>
      </c>
      <c r="B115" s="185"/>
      <c r="C115" s="967">
        <f>INDEX(SP_CS_StockPrice,0,COLUMN())/INDEX(SP_Company1876_EPS,0,COLUMN())</f>
        <v>14.821868739864545</v>
      </c>
      <c r="D115" s="967">
        <f>INDEX(SP_CS_StockPrice,0,COLUMN())/INDEX(SP_Company1876_EPS,0,COLUMN())</f>
        <v>9.6614358494533228</v>
      </c>
      <c r="E115" s="967">
        <f>INDEX(SP_CS_StockPrice,0,COLUMN())/INDEX(SP_Company1876_EPS,0,COLUMN())</f>
        <v>7.9153569064881957</v>
      </c>
      <c r="F115" s="967">
        <f>INDEX(SP_CS_StockPrice,0,COLUMN())/INDEX(SP_Company1876_EPS,0,COLUMN())</f>
        <v>7.9891580942740372</v>
      </c>
      <c r="G115" s="241"/>
      <c r="H115" s="241"/>
      <c r="I115" s="241"/>
      <c r="J115" s="241"/>
      <c r="K115" s="967">
        <f>INDEX(SP_CS_StockPrice,0,COLUMN())/INDEX(SP_Company1876_EPS,0,COLUMN())</f>
        <v>11.205768678056296</v>
      </c>
      <c r="L115" s="241"/>
      <c r="M115" s="241"/>
      <c r="N115" s="241"/>
      <c r="O115" s="241"/>
      <c r="P115" s="967">
        <f>INDEX(SP_CS_StockPrice,0,COLUMN())/INDEX(SP_Company1876_EPS,0,COLUMN())</f>
        <v>11.156963238397172</v>
      </c>
      <c r="Q115" s="241"/>
      <c r="R115" s="241"/>
      <c r="S115" s="241"/>
      <c r="T115" s="241"/>
      <c r="U115" s="967">
        <f>INDEX(SP_CS_StockPrice,0,COLUMN())/INDEX(SP_Company1876_EPS,0,COLUMN())</f>
        <v>36.82497</v>
      </c>
      <c r="V115" s="241"/>
      <c r="W115" s="127"/>
      <c r="X115" s="127"/>
      <c r="Y115" s="127"/>
      <c r="Z115" s="967">
        <f>INDEX(SP_CS_StockPrice,0,COLUMN())/INDEX(SP_Company1876_EPS,0,COLUMN())</f>
        <v>-443.51562434607644</v>
      </c>
      <c r="AA115" s="127"/>
      <c r="AB115" s="127"/>
      <c r="AC115" s="127"/>
      <c r="AD115" s="127"/>
      <c r="AE115" s="967">
        <f>INDEX(SP_CS_StockPrice,0,COLUMN())/INDEX(SP_Company1876_EPS,0,COLUMN())</f>
        <v>25.836288773246331</v>
      </c>
      <c r="AF115" s="127"/>
      <c r="AG115" s="127"/>
      <c r="AH115" s="127"/>
      <c r="AI115" s="127"/>
      <c r="AJ115" s="967">
        <f>INDEX(SP_CS_StockPrice,0,COLUMN())/INDEX(SP_Company1876_EPS,0,COLUMN())</f>
        <v>14.029123418105774</v>
      </c>
      <c r="AK115" s="127"/>
      <c r="AL115" s="127"/>
      <c r="AM115" s="127"/>
      <c r="AN115" s="127"/>
      <c r="AO115" s="967">
        <f>INDEX(SP_CS_StockPrice,0,COLUMN())/INDEX(SP_Company1876_EPS,0,COLUMN())</f>
        <v>19.105892589165546</v>
      </c>
      <c r="AP115" s="127"/>
      <c r="AQ115" s="127"/>
      <c r="AR115" s="127"/>
      <c r="AS115" s="127"/>
      <c r="AT115" s="967">
        <f>INDEX(SP_CS_StockPrice,0,COLUMN())/INDEX(SP_Company1876_EPS,0,COLUMN())</f>
        <v>-433.61251062500003</v>
      </c>
      <c r="AU115" s="127"/>
      <c r="AV115" s="127"/>
      <c r="AW115" s="127"/>
      <c r="AX115" s="127"/>
      <c r="AY115" s="967">
        <f>INDEX(SP_CS_StockPrice,0,COLUMN())/INDEX(SP_Company1876_EPS,0,COLUMN())</f>
        <v>14.447584139543824</v>
      </c>
      <c r="AZ115" s="127"/>
      <c r="BA115" s="127"/>
      <c r="BB115" s="127"/>
      <c r="BC115" s="127"/>
      <c r="BD115" s="967">
        <f>INDEX(SP_CS_StockPrice,0,COLUMN())/INDEX(SP_Company1876_EPS,0,COLUMN())</f>
        <v>9.5304120937551318</v>
      </c>
      <c r="BE115" s="127"/>
      <c r="BF115" s="127"/>
      <c r="BG115" s="127"/>
      <c r="BH115" s="127"/>
      <c r="BI115" s="967">
        <f>INDEX(SP_CS_StockPrice,0,COLUMN())/INDEX(SP_Company1876_EPS,0,COLUMN())</f>
        <v>11.358141664439314</v>
      </c>
      <c r="BJ115" s="127"/>
      <c r="BK115" s="127"/>
      <c r="BL115" s="127"/>
      <c r="BM115" s="127"/>
      <c r="BN115" s="967">
        <f>INDEX(SP_CS_StockPrice,0,COLUMN())/INDEX(SP_Company1876_EPS,0,COLUMN())</f>
        <v>14.236483793821211</v>
      </c>
      <c r="BO115" s="127"/>
      <c r="BP115" s="127"/>
      <c r="BQ115" s="127"/>
      <c r="BR115" s="127"/>
      <c r="BS115" s="967">
        <f>INDEX(SP_CS_StockPrice,0,COLUMN())/INDEX(SP_Company1876_EPS,0,COLUMN())</f>
        <v>20.903192919902374</v>
      </c>
      <c r="BT115" s="703"/>
      <c r="BU115" s="127"/>
      <c r="BV115" s="127"/>
      <c r="BW115" s="127"/>
      <c r="BX115" s="967">
        <f ca="1">INDEX(SP_CS_StockPrice,0,COLUMN())/INDEX(SP_Company1876_EPS,0,COLUMN())</f>
        <v>13.819620194370152</v>
      </c>
      <c r="BY115" s="127"/>
      <c r="BZ115" s="127"/>
      <c r="CA115" s="127"/>
      <c r="CB115" s="127"/>
      <c r="CC115" s="967">
        <f ca="1">INDEX(SP_CS_StockPrice,0,COLUMN())/INDEX(SP_Company1876_EPS,0,COLUMN())</f>
        <v>15.135152331969135</v>
      </c>
      <c r="CD115" s="967">
        <f ca="1">INDEX(SP_CS_StockPrice,0,COLUMN())/INDEX(SP_Company1876_EPS,0,COLUMN())</f>
        <v>15.868873309864636</v>
      </c>
      <c r="CE115" s="967">
        <f ca="1">INDEX(SP_CS_StockPrice,0,COLUMN())/INDEX(SP_Company1876_EPS,0,COLUMN())</f>
        <v>15.788150419946406</v>
      </c>
      <c r="CF115" s="967">
        <f ca="1">INDEX(SP_CS_StockPrice,0,COLUMN())/INDEX(SP_Company1876_EPS,0,COLUMN())</f>
        <v>22.650654614081144</v>
      </c>
      <c r="CG115" s="127"/>
    </row>
    <row r="116" spans="1:85" s="467" customFormat="1" x14ac:dyDescent="0.3">
      <c r="A116" s="184" t="str">
        <f>"EV/EBITDA - "&amp;SP.ValuationToggle</f>
        <v>EV/EBITDA - EoP</v>
      </c>
      <c r="B116" s="185"/>
      <c r="C116" s="967">
        <f>INDEX(SP_CS_EV,0,COLUMN())/INDEX(SP_Company1876_EBITDAX,0,COLUMN())</f>
        <v>5.0871484702543111</v>
      </c>
      <c r="D116" s="967">
        <f>INDEX(SP_CS_EV,0,COLUMN())/INDEX(SP_Company1876_EBITDAX,0,COLUMN())</f>
        <v>3.9588426544229725</v>
      </c>
      <c r="E116" s="967">
        <f>INDEX(SP_CS_EV,0,COLUMN())/INDEX(SP_Company1876_EBITDAX,0,COLUMN())</f>
        <v>3.4350641976910996</v>
      </c>
      <c r="F116" s="967">
        <f>INDEX(SP_CS_EV,0,COLUMN())/INDEX(SP_Company1876_EBITDAX,0,COLUMN())</f>
        <v>3.4165823049802349</v>
      </c>
      <c r="G116" s="241"/>
      <c r="H116" s="241"/>
      <c r="I116" s="241"/>
      <c r="J116" s="241"/>
      <c r="K116" s="967">
        <f>INDEX(SP_CS_EV,0,COLUMN())/INDEX(SP_Company1876_EBITDAX,0,COLUMN())</f>
        <v>4.8026313858492449</v>
      </c>
      <c r="L116" s="241"/>
      <c r="M116" s="241"/>
      <c r="N116" s="241"/>
      <c r="O116" s="241"/>
      <c r="P116" s="967">
        <f>INDEX(SP_CS_EV,0,COLUMN())/INDEX(SP_Company1876_EBITDAX,0,COLUMN())</f>
        <v>4.7430445308699474</v>
      </c>
      <c r="Q116" s="241"/>
      <c r="R116" s="241"/>
      <c r="S116" s="241"/>
      <c r="T116" s="241"/>
      <c r="U116" s="967">
        <f>INDEX(SP_CS_EV,0,COLUMN())/INDEX(SP_Company1876_EBITDAX,0,COLUMN())</f>
        <v>6.9648143707861321</v>
      </c>
      <c r="V116" s="241"/>
      <c r="W116" s="127"/>
      <c r="X116" s="127"/>
      <c r="Y116" s="127"/>
      <c r="Z116" s="967">
        <f>INDEX(SP_CS_EV,0,COLUMN())/INDEX(SP_Company1876_EBITDAX,0,COLUMN())</f>
        <v>14.565501099206736</v>
      </c>
      <c r="AA116" s="127"/>
      <c r="AB116" s="127"/>
      <c r="AC116" s="127"/>
      <c r="AD116" s="127"/>
      <c r="AE116" s="967">
        <f>INDEX(SP_CS_EV,0,COLUMN())/INDEX(SP_Company1876_EBITDAX,0,COLUMN())</f>
        <v>9.4758217246612411</v>
      </c>
      <c r="AF116" s="127"/>
      <c r="AG116" s="127"/>
      <c r="AH116" s="127"/>
      <c r="AI116" s="127"/>
      <c r="AJ116" s="967">
        <f>INDEX(SP_CS_EV,0,COLUMN())/INDEX(SP_Company1876_EBITDAX,0,COLUMN())</f>
        <v>5.6632861536637105</v>
      </c>
      <c r="AK116" s="127"/>
      <c r="AL116" s="127"/>
      <c r="AM116" s="127"/>
      <c r="AN116" s="127"/>
      <c r="AO116" s="967">
        <f>INDEX(SP_CS_EV,0,COLUMN())/INDEX(SP_Company1876_EBITDAX,0,COLUMN())</f>
        <v>7.0945258728828255</v>
      </c>
      <c r="AP116" s="127"/>
      <c r="AQ116" s="127"/>
      <c r="AR116" s="127"/>
      <c r="AS116" s="127"/>
      <c r="AT116" s="967">
        <f>INDEX(SP_CS_EV,0,COLUMN())/INDEX(SP_Company1876_EBITDAX,0,COLUMN())</f>
        <v>14.938149801218421</v>
      </c>
      <c r="AU116" s="127"/>
      <c r="AV116" s="127"/>
      <c r="AW116" s="127"/>
      <c r="AX116" s="127"/>
      <c r="AY116" s="967">
        <f>INDEX(SP_CS_EV,0,COLUMN())/INDEX(SP_Company1876_EBITDAX,0,COLUMN())</f>
        <v>6.3305350969628913</v>
      </c>
      <c r="AZ116" s="127"/>
      <c r="BA116" s="127"/>
      <c r="BB116" s="127"/>
      <c r="BC116" s="127"/>
      <c r="BD116" s="967">
        <f>INDEX(SP_CS_EV,0,COLUMN())/INDEX(SP_Company1876_EBITDAX,0,COLUMN())</f>
        <v>5.2712200941729028</v>
      </c>
      <c r="BE116" s="127"/>
      <c r="BF116" s="127"/>
      <c r="BG116" s="127"/>
      <c r="BH116" s="127"/>
      <c r="BI116" s="967">
        <f>INDEX(SP_CS_EV,0,COLUMN())/INDEX(SP_Company1876_EBITDAX,0,COLUMN())</f>
        <v>6.1193032067719964</v>
      </c>
      <c r="BJ116" s="127"/>
      <c r="BK116" s="127"/>
      <c r="BL116" s="127"/>
      <c r="BM116" s="127"/>
      <c r="BN116" s="967">
        <f>INDEX(SP_CS_EV,0,COLUMN())/INDEX(SP_Company1876_EBITDAX,0,COLUMN())</f>
        <v>5.9585589400172507</v>
      </c>
      <c r="BO116" s="127"/>
      <c r="BP116" s="127"/>
      <c r="BQ116" s="127"/>
      <c r="BR116" s="127"/>
      <c r="BS116" s="967">
        <f>INDEX(SP_CS_EV,0,COLUMN())/INDEX(SP_Company1876_EBITDAX,0,COLUMN())</f>
        <v>8.2808062478186173</v>
      </c>
      <c r="BT116" s="703"/>
      <c r="BU116" s="127"/>
      <c r="BV116" s="127"/>
      <c r="BW116" s="127"/>
      <c r="BX116" s="967">
        <f ca="1">INDEX(SP_CS_EV,0,COLUMN())/INDEX(SP_Company1876_EBITDAX,0,COLUMN())</f>
        <v>6.5212007170844153</v>
      </c>
      <c r="BY116" s="127"/>
      <c r="BZ116" s="127"/>
      <c r="CA116" s="127"/>
      <c r="CB116" s="127"/>
      <c r="CC116" s="967">
        <f ca="1">INDEX(SP_CS_EV,0,COLUMN())/INDEX(SP_Company1876_EBITDAX,0,COLUMN())</f>
        <v>5.6500876268520086</v>
      </c>
      <c r="CD116" s="967">
        <f ca="1">INDEX(SP_CS_EV,0,COLUMN())/INDEX(SP_Company1876_EBITDAX,0,COLUMN())</f>
        <v>5.5208464797341108</v>
      </c>
      <c r="CE116" s="967">
        <f ca="1">INDEX(SP_CS_EV,0,COLUMN())/INDEX(SP_Company1876_EBITDAX,0,COLUMN())</f>
        <v>5.6887121958328164</v>
      </c>
      <c r="CF116" s="967">
        <f ca="1">INDEX(SP_CS_EV,0,COLUMN())/INDEX(SP_Company1876_EBITDAX,0,COLUMN())</f>
        <v>6.1993300489679939</v>
      </c>
      <c r="CG116" s="127"/>
    </row>
    <row r="117" spans="1:85" s="467" customFormat="1" x14ac:dyDescent="0.3">
      <c r="A117" s="184" t="str">
        <f>"P/CF - "&amp;SP.ValuationToggle</f>
        <v>P/CF - EoP</v>
      </c>
      <c r="B117" s="185"/>
      <c r="C117" s="967">
        <f ca="1">INDEX(SP_CS_StockPrice,0,COLUMN())/INDEX(SP_CFA_CFO_PerShare,0,COLUMN())</f>
        <v>8.0203195168533519</v>
      </c>
      <c r="D117" s="967">
        <f ca="1">INDEX(SP_CS_StockPrice,0,COLUMN())/INDEX(SP_CFA_CFO_PerShare,0,COLUMN())</f>
        <v>5.8620640301078009</v>
      </c>
      <c r="E117" s="967">
        <f ca="1">INDEX(SP_CS_StockPrice,0,COLUMN())/INDEX(SP_CFA_CFO_PerShare,0,COLUMN())</f>
        <v>5.180277990023118</v>
      </c>
      <c r="F117" s="967">
        <f ca="1">INDEX(SP_CS_StockPrice,0,COLUMN())/INDEX(SP_CFA_CFO_PerShare,0,COLUMN())</f>
        <v>5.3887501223848302</v>
      </c>
      <c r="G117" s="241"/>
      <c r="H117" s="241"/>
      <c r="I117" s="241"/>
      <c r="J117" s="241"/>
      <c r="K117" s="967">
        <f ca="1">INDEX(SP_CS_StockPrice,0,COLUMN())/INDEX(SP_CFA_CFO_PerShare,0,COLUMN())</f>
        <v>6.8584990111993598</v>
      </c>
      <c r="L117" s="241"/>
      <c r="M117" s="241"/>
      <c r="N117" s="241"/>
      <c r="O117" s="241"/>
      <c r="P117" s="967">
        <f ca="1">INDEX(SP_CS_StockPrice,0,COLUMN())/INDEX(SP_CFA_CFO_PerShare,0,COLUMN())</f>
        <v>6.8203694891183471</v>
      </c>
      <c r="Q117" s="241"/>
      <c r="R117" s="241"/>
      <c r="S117" s="241"/>
      <c r="T117" s="241"/>
      <c r="U117" s="967">
        <f ca="1">INDEX(SP_CS_StockPrice,0,COLUMN())/INDEX(SP_CFA_CFO_PerShare,0,COLUMN())</f>
        <v>8.6819560747327298</v>
      </c>
      <c r="V117" s="241"/>
      <c r="W117" s="127"/>
      <c r="X117" s="127"/>
      <c r="Y117" s="127"/>
      <c r="Z117" s="967">
        <f ca="1">INDEX(SP_CS_StockPrice,0,COLUMN())/INDEX(SP_CFA_CFO_PerShare,0,COLUMN())</f>
        <v>17.159214175618871</v>
      </c>
      <c r="AA117" s="127"/>
      <c r="AB117" s="127"/>
      <c r="AC117" s="127"/>
      <c r="AD117" s="127"/>
      <c r="AE117" s="967">
        <f ca="1">INDEX(SP_CS_StockPrice,0,COLUMN())/INDEX(SP_CFA_CFO_PerShare,0,COLUMN())</f>
        <v>11.580047539361443</v>
      </c>
      <c r="AF117" s="127"/>
      <c r="AG117" s="127"/>
      <c r="AH117" s="127"/>
      <c r="AI117" s="127"/>
      <c r="AJ117" s="967">
        <f ca="1">INDEX(SP_CS_StockPrice,0,COLUMN())/INDEX(SP_CFA_CFO_PerShare,0,COLUMN())</f>
        <v>6.7923354089097918</v>
      </c>
      <c r="AK117" s="127"/>
      <c r="AL117" s="127"/>
      <c r="AM117" s="127"/>
      <c r="AN117" s="127"/>
      <c r="AO117" s="967">
        <f ca="1">INDEX(SP_CS_StockPrice,0,COLUMN())/INDEX(SP_CFA_CFO_PerShare,0,COLUMN())</f>
        <v>8.3155470125210513</v>
      </c>
      <c r="AP117" s="127"/>
      <c r="AQ117" s="127"/>
      <c r="AR117" s="127"/>
      <c r="AS117" s="127"/>
      <c r="AT117" s="967">
        <f ca="1">INDEX(SP_CS_StockPrice,0,COLUMN())/INDEX(SP_CFA_CFO_PerShare,0,COLUMN())</f>
        <v>15.086452104566513</v>
      </c>
      <c r="AU117" s="127"/>
      <c r="AV117" s="127"/>
      <c r="AW117" s="127"/>
      <c r="AX117" s="127"/>
      <c r="AY117" s="967">
        <f ca="1">INDEX(SP_CS_StockPrice,0,COLUMN())/INDEX(SP_CFA_CFO_PerShare,0,COLUMN())</f>
        <v>7.7259702350361472</v>
      </c>
      <c r="AZ117" s="127"/>
      <c r="BA117" s="127"/>
      <c r="BB117" s="127"/>
      <c r="BC117" s="127"/>
      <c r="BD117" s="967">
        <f ca="1">INDEX(SP_CS_StockPrice,0,COLUMN())/INDEX(SP_CFA_CFO_PerShare,0,COLUMN())</f>
        <v>7.0210942851094718</v>
      </c>
      <c r="BE117" s="127"/>
      <c r="BF117" s="127"/>
      <c r="BG117" s="127"/>
      <c r="BH117" s="127"/>
      <c r="BI117" s="967">
        <f ca="1">INDEX(SP_CS_StockPrice,0,COLUMN())/INDEX(SP_CFA_CFO_PerShare,0,COLUMN())</f>
        <v>7.8762838641916373</v>
      </c>
      <c r="BJ117" s="127"/>
      <c r="BK117" s="127"/>
      <c r="BL117" s="127"/>
      <c r="BM117" s="127"/>
      <c r="BN117" s="967">
        <f ca="1">INDEX(SP_CS_StockPrice,0,COLUMN())/INDEX(SP_CFA_CFO_PerShare,0,COLUMN())</f>
        <v>8.2529292563190637</v>
      </c>
      <c r="BO117" s="127"/>
      <c r="BP117" s="127"/>
      <c r="BQ117" s="127"/>
      <c r="BR117" s="127"/>
      <c r="BS117" s="967">
        <f ca="1">INDEX(SP_CS_StockPrice,0,COLUMN())/INDEX(SP_CFA_CFO_PerShare,0,COLUMN())</f>
        <v>8.327648766021392</v>
      </c>
      <c r="BT117" s="703"/>
      <c r="BU117" s="127"/>
      <c r="BV117" s="127"/>
      <c r="BW117" s="127"/>
      <c r="BX117" s="967">
        <f ca="1">INDEX(SP_CS_StockPrice,0,COLUMN())/INDEX(SP_CFA_CFO_PerShare,0,COLUMN())</f>
        <v>9.0573105679325199</v>
      </c>
      <c r="BY117" s="127"/>
      <c r="BZ117" s="127"/>
      <c r="CA117" s="127"/>
      <c r="CB117" s="127"/>
      <c r="CC117" s="967">
        <f ca="1">INDEX(SP_CS_StockPrice,0,COLUMN())/INDEX(SP_CFA_CFO_PerShare,0,COLUMN())</f>
        <v>7.2627013254613999</v>
      </c>
      <c r="CD117" s="967">
        <f ca="1">INDEX(SP_CS_StockPrice,0,COLUMN())/INDEX(SP_CFA_CFO_PerShare,0,COLUMN())</f>
        <v>7.3584123933994698</v>
      </c>
      <c r="CE117" s="967">
        <f ca="1">INDEX(SP_CS_StockPrice,0,COLUMN())/INDEX(SP_CFA_CFO_PerShare,0,COLUMN())</f>
        <v>7.5527798009456824</v>
      </c>
      <c r="CF117" s="967">
        <f ca="1">INDEX(SP_CS_StockPrice,0,COLUMN())/INDEX(SP_CFA_CFO_PerShare,0,COLUMN())</f>
        <v>8.5886822938946992</v>
      </c>
      <c r="CG117" s="127"/>
    </row>
    <row r="118" spans="1:85" s="453" customFormat="1" x14ac:dyDescent="0.3">
      <c r="A118" s="164" t="str">
        <f>"FCF Yield % to "&amp;SP.ValuationToggle&amp;" Market Cap"</f>
        <v>FCF Yield % to EoP Market Cap</v>
      </c>
      <c r="B118" s="165"/>
      <c r="C118" s="956">
        <f ca="1">INDEX(SP_CFA_FCF_PreDiv,0,COLUMN())/INDEX(SP_CS_MarketCap,0,COLUMN())</f>
        <v>-3.0013068794397741E-3</v>
      </c>
      <c r="D118" s="956">
        <f ca="1">INDEX(SP_CFA_FCF_PreDiv,0,COLUMN())/INDEX(SP_CS_MarketCap,0,COLUMN())</f>
        <v>6.3546251822986191E-2</v>
      </c>
      <c r="E118" s="956">
        <f ca="1">INDEX(SP_CFA_FCF_PreDiv,0,COLUMN())/INDEX(SP_CS_MarketCap,0,COLUMN())</f>
        <v>6.8741227808943386E-2</v>
      </c>
      <c r="F118" s="956">
        <f ca="1">INDEX(SP_CFA_FCF_PreDiv,0,COLUMN())/INDEX(SP_CS_MarketCap,0,COLUMN())</f>
        <v>3.7720562046126241E-2</v>
      </c>
      <c r="G118" s="119"/>
      <c r="H118" s="119"/>
      <c r="I118" s="119"/>
      <c r="J118" s="119"/>
      <c r="K118" s="956">
        <f ca="1">INDEX(SP_CFA_FCF_PreDiv,0,COLUMN())/INDEX(SP_CS_MarketCap,0,COLUMN())</f>
        <v>-1.2447874486069772E-2</v>
      </c>
      <c r="L118" s="119"/>
      <c r="M118" s="119"/>
      <c r="N118" s="119"/>
      <c r="O118" s="119"/>
      <c r="P118" s="956">
        <f ca="1">INDEX(SP_CFA_FCF_PreDiv,0,COLUMN())/INDEX(SP_CS_MarketCap,0,COLUMN())</f>
        <v>-1.8373800381154087E-2</v>
      </c>
      <c r="Q118" s="119"/>
      <c r="R118" s="119"/>
      <c r="S118" s="119"/>
      <c r="T118" s="119"/>
      <c r="U118" s="956">
        <f ca="1">INDEX(SP_CFA_FCF_PreDiv,0,COLUMN())/INDEX(SP_CS_MarketCap,0,COLUMN())</f>
        <v>-5.9112519958719058E-2</v>
      </c>
      <c r="V118" s="119"/>
      <c r="W118" s="119"/>
      <c r="X118" s="119"/>
      <c r="Y118" s="119"/>
      <c r="Z118" s="956">
        <f ca="1">INDEX(SP_CFA_FCF_PreDiv,0,COLUMN())/INDEX(SP_CS_MarketCap,0,COLUMN())</f>
        <v>-2.3462091668447867E-2</v>
      </c>
      <c r="AA118" s="119"/>
      <c r="AB118" s="119"/>
      <c r="AC118" s="119"/>
      <c r="AD118" s="119"/>
      <c r="AE118" s="956">
        <f ca="1">INDEX(SP_CFA_FCF_PreDiv,0,COLUMN())/INDEX(SP_CS_MarketCap,0,COLUMN())</f>
        <v>2.9543439739679083E-2</v>
      </c>
      <c r="AF118" s="119"/>
      <c r="AG118" s="119"/>
      <c r="AH118" s="119"/>
      <c r="AI118" s="119"/>
      <c r="AJ118" s="956">
        <f ca="1">INDEX(SP_CFA_FCF_PreDiv,0,COLUMN())/INDEX(SP_CS_MarketCap,0,COLUMN())</f>
        <v>8.081606426022013E-2</v>
      </c>
      <c r="AK118" s="119"/>
      <c r="AL118" s="119"/>
      <c r="AM118" s="119"/>
      <c r="AN118" s="119"/>
      <c r="AO118" s="956">
        <f ca="1">INDEX(SP_CFA_FCF_PreDiv,0,COLUMN())/INDEX(SP_CS_MarketCap,0,COLUMN())</f>
        <v>5.8096342788751483E-2</v>
      </c>
      <c r="AP118" s="119"/>
      <c r="AQ118" s="119"/>
      <c r="AR118" s="119"/>
      <c r="AS118" s="119"/>
      <c r="AT118" s="956">
        <f ca="1">INDEX(SP_CFA_FCF_PreDiv,0,COLUMN())/INDEX(SP_CS_MarketCap,0,COLUMN())</f>
        <v>1.0056863969343965E-2</v>
      </c>
      <c r="AU118" s="119"/>
      <c r="AV118" s="119"/>
      <c r="AW118" s="119"/>
      <c r="AX118" s="119"/>
      <c r="AY118" s="956">
        <f ca="1">INDEX(SP_CFA_FCF_PreDiv,0,COLUMN())/INDEX(SP_CS_MarketCap,0,COLUMN())</f>
        <v>9.2925549330383481E-2</v>
      </c>
      <c r="AZ118" s="119"/>
      <c r="BA118" s="119"/>
      <c r="BB118" s="119"/>
      <c r="BC118" s="119"/>
      <c r="BD118" s="956">
        <f ca="1">INDEX(SP_CFA_FCF_PreDiv,0,COLUMN())/INDEX(SP_CS_MarketCap,0,COLUMN())</f>
        <v>0.10894012383497957</v>
      </c>
      <c r="BE118" s="119"/>
      <c r="BF118" s="119"/>
      <c r="BG118" s="119"/>
      <c r="BH118" s="119"/>
      <c r="BI118" s="956">
        <f ca="1">INDEX(SP_CFA_FCF_PreDiv,0,COLUMN())/INDEX(SP_CS_MarketCap,0,COLUMN())</f>
        <v>7.0827892542091667E-2</v>
      </c>
      <c r="BJ118" s="119"/>
      <c r="BK118" s="119"/>
      <c r="BL118" s="119"/>
      <c r="BM118" s="119"/>
      <c r="BN118" s="956">
        <f ca="1">INDEX(SP_CFA_FCF_PreDiv,0,COLUMN())/INDEX(SP_CS_MarketCap,0,COLUMN())</f>
        <v>5.9204550898056062E-2</v>
      </c>
      <c r="BO118" s="119"/>
      <c r="BP118" s="119"/>
      <c r="BQ118" s="119"/>
      <c r="BR118" s="119"/>
      <c r="BS118" s="956">
        <f ca="1">INDEX(SP_CFA_FCF_PreDiv,0,COLUMN())/INDEX(SP_CS_MarketCap,0,COLUMN())</f>
        <v>5.4441943911795999E-2</v>
      </c>
      <c r="BT118" s="693"/>
      <c r="BU118" s="119"/>
      <c r="BV118" s="119"/>
      <c r="BW118" s="119"/>
      <c r="BX118" s="956">
        <f ca="1">INDEX(SP_CFA_FCF_PreDiv,0,COLUMN())/INDEX(SP_CS_MarketCap,0,COLUMN())</f>
        <v>6.0178223005883123E-2</v>
      </c>
      <c r="BY118" s="119"/>
      <c r="BZ118" s="119"/>
      <c r="CA118" s="119"/>
      <c r="CB118" s="119"/>
      <c r="CC118" s="956">
        <f ca="1">INDEX(SP_CFA_FCF_PreDiv,0,COLUMN())/INDEX(SP_CS_MarketCap,0,COLUMN())</f>
        <v>8.3251677257388745E-2</v>
      </c>
      <c r="CD118" s="956">
        <f ca="1">INDEX(SP_CFA_FCF_PreDiv,0,COLUMN())/INDEX(SP_CS_MarketCap,0,COLUMN())</f>
        <v>8.1460742133313932E-2</v>
      </c>
      <c r="CE118" s="956">
        <f ca="1">INDEX(SP_CFA_FCF_PreDiv,0,COLUMN())/INDEX(SP_CS_MarketCap,0,COLUMN())</f>
        <v>7.7963445294912698E-2</v>
      </c>
      <c r="CF118" s="956">
        <f ca="1">INDEX(SP_CFA_FCF_PreDiv,0,COLUMN())/INDEX(SP_CS_MarketCap,0,COLUMN())</f>
        <v>6.199415862505548E-2</v>
      </c>
      <c r="CG118" s="140"/>
    </row>
    <row r="119" spans="1:85" s="453" customFormat="1" x14ac:dyDescent="0.3">
      <c r="A119" s="164" t="str">
        <f>"FCF Yield % to "&amp;SP.ValuationToggle&amp;" Enterprise Value"</f>
        <v>FCF Yield % to EoP Enterprise Value</v>
      </c>
      <c r="B119" s="165"/>
      <c r="C119" s="956">
        <f ca="1">INDEX(SP_CFA_FCF_PreDiv,0,COLUMN())/INDEX(SP_CS_EV,0,COLUMN())</f>
        <v>-2.8864557676267816E-3</v>
      </c>
      <c r="D119" s="956">
        <f ca="1">INDEX(SP_CFA_FCF_PreDiv,0,COLUMN())/INDEX(SP_CS_EV,0,COLUMN())</f>
        <v>6.4040124380101884E-2</v>
      </c>
      <c r="E119" s="956">
        <f ca="1">INDEX(SP_CFA_FCF_PreDiv,0,COLUMN())/INDEX(SP_CS_EV,0,COLUMN())</f>
        <v>6.8794690652236173E-2</v>
      </c>
      <c r="F119" s="956">
        <f ca="1">INDEX(SP_CFA_FCF_PreDiv,0,COLUMN())/INDEX(SP_CS_EV,0,COLUMN())</f>
        <v>3.7490317217236571E-2</v>
      </c>
      <c r="G119" s="119"/>
      <c r="H119" s="119"/>
      <c r="I119" s="119"/>
      <c r="J119" s="119"/>
      <c r="K119" s="956">
        <f ca="1">INDEX(SP_CFA_FCF_PreDiv,0,COLUMN())/INDEX(SP_CS_EV,0,COLUMN())</f>
        <v>-1.1955609662617352E-2</v>
      </c>
      <c r="L119" s="119"/>
      <c r="M119" s="119"/>
      <c r="N119" s="119"/>
      <c r="O119" s="119"/>
      <c r="P119" s="956">
        <f ca="1">INDEX(SP_CFA_FCF_PreDiv,0,COLUMN())/INDEX(SP_CS_EV,0,COLUMN())</f>
        <v>-1.6586702502033101E-2</v>
      </c>
      <c r="Q119" s="119"/>
      <c r="R119" s="119"/>
      <c r="S119" s="119"/>
      <c r="T119" s="119"/>
      <c r="U119" s="956">
        <f ca="1">INDEX(SP_CFA_FCF_PreDiv,0,COLUMN())/INDEX(SP_CS_EV,0,COLUMN())</f>
        <v>-4.9374729807196288E-2</v>
      </c>
      <c r="V119" s="119"/>
      <c r="W119" s="119"/>
      <c r="X119" s="119"/>
      <c r="Y119" s="119"/>
      <c r="Z119" s="956">
        <f ca="1">INDEX(SP_CFA_FCF_PreDiv,0,COLUMN())/INDEX(SP_CS_EV,0,COLUMN())</f>
        <v>-1.949885382842452E-2</v>
      </c>
      <c r="AA119" s="119"/>
      <c r="AB119" s="119"/>
      <c r="AC119" s="119"/>
      <c r="AD119" s="119"/>
      <c r="AE119" s="956">
        <f ca="1">INDEX(SP_CFA_FCF_PreDiv,0,COLUMN())/INDEX(SP_CS_EV,0,COLUMN())</f>
        <v>2.5232380796202481E-2</v>
      </c>
      <c r="AF119" s="119"/>
      <c r="AG119" s="119"/>
      <c r="AH119" s="119"/>
      <c r="AI119" s="119"/>
      <c r="AJ119" s="956">
        <f ca="1">INDEX(SP_CFA_FCF_PreDiv,0,COLUMN())/INDEX(SP_CS_EV,0,COLUMN())</f>
        <v>7.0820617382355261E-2</v>
      </c>
      <c r="AK119" s="119"/>
      <c r="AL119" s="119"/>
      <c r="AM119" s="119"/>
      <c r="AN119" s="119"/>
      <c r="AO119" s="956">
        <f ca="1">INDEX(SP_CFA_FCF_PreDiv,0,COLUMN())/INDEX(SP_CS_EV,0,COLUMN())</f>
        <v>5.1217101031272791E-2</v>
      </c>
      <c r="AP119" s="119"/>
      <c r="AQ119" s="119"/>
      <c r="AR119" s="119"/>
      <c r="AS119" s="119"/>
      <c r="AT119" s="956">
        <f ca="1">INDEX(SP_CFA_FCF_PreDiv,0,COLUMN())/INDEX(SP_CS_EV,0,COLUMN())</f>
        <v>7.753527857754427E-3</v>
      </c>
      <c r="AU119" s="119"/>
      <c r="AV119" s="119"/>
      <c r="AW119" s="119"/>
      <c r="AX119" s="119"/>
      <c r="AY119" s="956">
        <f ca="1">INDEX(SP_CFA_FCF_PreDiv,0,COLUMN())/INDEX(SP_CS_EV,0,COLUMN())</f>
        <v>8.17623632404193E-2</v>
      </c>
      <c r="AZ119" s="119"/>
      <c r="BA119" s="119"/>
      <c r="BB119" s="119"/>
      <c r="BC119" s="119"/>
      <c r="BD119" s="956">
        <f ca="1">INDEX(SP_CFA_FCF_PreDiv,0,COLUMN())/INDEX(SP_CS_EV,0,COLUMN())</f>
        <v>0.1057804972167964</v>
      </c>
      <c r="BE119" s="119"/>
      <c r="BF119" s="119"/>
      <c r="BG119" s="119"/>
      <c r="BH119" s="119"/>
      <c r="BI119" s="956">
        <f ca="1">INDEX(SP_CFA_FCF_PreDiv,0,COLUMN())/INDEX(SP_CS_EV,0,COLUMN())</f>
        <v>6.6932975138437878E-2</v>
      </c>
      <c r="BJ119" s="119"/>
      <c r="BK119" s="119"/>
      <c r="BL119" s="119"/>
      <c r="BM119" s="119"/>
      <c r="BN119" s="956">
        <f ca="1">INDEX(SP_CFA_FCF_PreDiv,0,COLUMN())/INDEX(SP_CS_EV,0,COLUMN())</f>
        <v>5.4440165055290007E-2</v>
      </c>
      <c r="BO119" s="119"/>
      <c r="BP119" s="119"/>
      <c r="BQ119" s="119"/>
      <c r="BR119" s="119"/>
      <c r="BS119" s="956">
        <f ca="1">INDEX(SP_CFA_FCF_PreDiv,0,COLUMN())/INDEX(SP_CS_EV,0,COLUMN())</f>
        <v>4.7544541943546806E-2</v>
      </c>
      <c r="BT119" s="693"/>
      <c r="BU119" s="119"/>
      <c r="BV119" s="119"/>
      <c r="BW119" s="119"/>
      <c r="BX119" s="956">
        <f ca="1">INDEX(SP_CFA_FCF_PreDiv,0,COLUMN())/INDEX(SP_CS_EV,0,COLUMN())</f>
        <v>5.5191478768679844E-2</v>
      </c>
      <c r="BY119" s="119"/>
      <c r="BZ119" s="119"/>
      <c r="CA119" s="119"/>
      <c r="CB119" s="119"/>
      <c r="CC119" s="956">
        <f ca="1">INDEX(SP_CFA_FCF_PreDiv,0,COLUMN())/INDEX(SP_CS_EV,0,COLUMN())</f>
        <v>8.0044248029791348E-2</v>
      </c>
      <c r="CD119" s="956">
        <f ca="1">INDEX(SP_CFA_FCF_PreDiv,0,COLUMN())/INDEX(SP_CS_EV,0,COLUMN())</f>
        <v>8.1704004701908806E-2</v>
      </c>
      <c r="CE119" s="956">
        <f ca="1">INDEX(SP_CFA_FCF_PreDiv,0,COLUMN())/INDEX(SP_CS_EV,0,COLUMN())</f>
        <v>8.1426356247184833E-2</v>
      </c>
      <c r="CF119" s="956">
        <f ca="1">INDEX(SP_CFA_FCF_PreDiv,0,COLUMN())/INDEX(SP_CS_EV,0,COLUMN())</f>
        <v>6.6382692989930867E-2</v>
      </c>
      <c r="CG119" s="140"/>
    </row>
    <row r="120" spans="1:85" s="453" customFormat="1" x14ac:dyDescent="0.3">
      <c r="A120" s="164"/>
      <c r="B120" s="165"/>
      <c r="C120" s="956"/>
      <c r="D120" s="956"/>
      <c r="E120" s="956"/>
      <c r="F120" s="956"/>
      <c r="G120" s="119"/>
      <c r="H120" s="119"/>
      <c r="I120" s="119"/>
      <c r="J120" s="119"/>
      <c r="K120" s="956"/>
      <c r="L120" s="119"/>
      <c r="M120" s="119"/>
      <c r="N120" s="119"/>
      <c r="O120" s="119"/>
      <c r="P120" s="956"/>
      <c r="Q120" s="119"/>
      <c r="R120" s="119"/>
      <c r="S120" s="119"/>
      <c r="T120" s="119"/>
      <c r="U120" s="956"/>
      <c r="V120" s="119"/>
      <c r="W120" s="119"/>
      <c r="X120" s="119"/>
      <c r="Y120" s="119"/>
      <c r="Z120" s="956"/>
      <c r="AA120" s="119"/>
      <c r="AB120" s="119"/>
      <c r="AC120" s="119"/>
      <c r="AD120" s="119"/>
      <c r="AE120" s="956"/>
      <c r="AF120" s="119"/>
      <c r="AG120" s="119"/>
      <c r="AH120" s="119"/>
      <c r="AI120" s="119"/>
      <c r="AJ120" s="956"/>
      <c r="AK120" s="119"/>
      <c r="AL120" s="119"/>
      <c r="AM120" s="119"/>
      <c r="AN120" s="119"/>
      <c r="AO120" s="956"/>
      <c r="AP120" s="119"/>
      <c r="AQ120" s="119"/>
      <c r="AR120" s="119"/>
      <c r="AS120" s="119"/>
      <c r="AT120" s="956"/>
      <c r="AU120" s="119"/>
      <c r="AV120" s="119"/>
      <c r="AW120" s="119"/>
      <c r="AX120" s="119"/>
      <c r="AY120" s="956"/>
      <c r="AZ120" s="119"/>
      <c r="BA120" s="119"/>
      <c r="BB120" s="119"/>
      <c r="BC120" s="119"/>
      <c r="BD120" s="956"/>
      <c r="BE120" s="119"/>
      <c r="BF120" s="119"/>
      <c r="BG120" s="119"/>
      <c r="BH120" s="119"/>
      <c r="BI120" s="956"/>
      <c r="BJ120" s="119"/>
      <c r="BK120" s="119"/>
      <c r="BL120" s="119"/>
      <c r="BM120" s="119"/>
      <c r="BN120" s="956"/>
      <c r="BO120" s="119"/>
      <c r="BP120" s="119"/>
      <c r="BQ120" s="119"/>
      <c r="BR120" s="119"/>
      <c r="BS120" s="956"/>
      <c r="BT120" s="693"/>
      <c r="BU120" s="119"/>
      <c r="BV120" s="119"/>
      <c r="BW120" s="119"/>
      <c r="BX120" s="956"/>
      <c r="BY120" s="119"/>
      <c r="BZ120" s="119"/>
      <c r="CA120" s="119"/>
      <c r="CB120" s="119"/>
      <c r="CC120" s="956"/>
      <c r="CD120" s="956"/>
      <c r="CE120" s="956"/>
      <c r="CF120" s="956"/>
      <c r="CG120" s="140"/>
    </row>
    <row r="121" spans="1:85" x14ac:dyDescent="0.3">
      <c r="A121" s="114" t="s">
        <v>458</v>
      </c>
      <c r="B121" s="729"/>
      <c r="C121" s="729"/>
      <c r="D121" s="729"/>
      <c r="E121" s="729"/>
      <c r="F121" s="729"/>
      <c r="G121" s="729"/>
      <c r="H121" s="729"/>
      <c r="I121" s="729"/>
      <c r="J121" s="729"/>
      <c r="K121" s="729"/>
      <c r="L121" s="729"/>
      <c r="M121" s="729"/>
      <c r="N121" s="729"/>
      <c r="O121" s="729"/>
      <c r="P121" s="729"/>
      <c r="Q121" s="729"/>
      <c r="R121" s="729"/>
      <c r="S121" s="729"/>
      <c r="T121" s="729"/>
      <c r="U121" s="729"/>
      <c r="V121" s="729"/>
      <c r="W121" s="729"/>
      <c r="X121" s="729"/>
      <c r="Y121" s="729"/>
      <c r="Z121" s="729"/>
      <c r="AA121" s="729"/>
      <c r="AB121" s="729"/>
      <c r="AC121" s="729"/>
      <c r="AD121" s="729"/>
      <c r="AE121" s="729"/>
      <c r="AF121" s="729"/>
      <c r="AG121" s="729"/>
      <c r="AH121" s="729"/>
      <c r="AI121" s="729"/>
      <c r="AJ121" s="729"/>
      <c r="AK121" s="729"/>
      <c r="AL121" s="729"/>
      <c r="AM121" s="729"/>
      <c r="AN121" s="729"/>
      <c r="AO121" s="729"/>
      <c r="AP121" s="729"/>
      <c r="AQ121" s="729"/>
      <c r="AR121" s="729"/>
      <c r="AS121" s="729"/>
      <c r="AT121" s="729"/>
      <c r="AU121" s="729"/>
      <c r="AV121" s="729"/>
      <c r="AW121" s="729"/>
      <c r="AX121" s="729"/>
      <c r="AY121" s="729"/>
      <c r="AZ121" s="729"/>
      <c r="BA121" s="729"/>
      <c r="BB121" s="729"/>
      <c r="BC121" s="729"/>
      <c r="BD121" s="729"/>
      <c r="BE121" s="729"/>
      <c r="BF121" s="729"/>
      <c r="BG121" s="729"/>
      <c r="BH121" s="729"/>
      <c r="BI121" s="729"/>
      <c r="BJ121" s="729"/>
      <c r="BK121" s="729"/>
      <c r="BL121" s="729"/>
      <c r="BM121" s="729"/>
      <c r="BN121" s="729"/>
      <c r="BO121" s="729"/>
      <c r="BP121" s="729"/>
      <c r="BQ121" s="729"/>
      <c r="BR121" s="729"/>
      <c r="BS121" s="729"/>
      <c r="BT121" s="761"/>
      <c r="BU121" s="729"/>
      <c r="BV121" s="729"/>
      <c r="BW121" s="729"/>
      <c r="BX121" s="729"/>
      <c r="BY121" s="729"/>
      <c r="BZ121" s="729"/>
      <c r="CA121" s="729"/>
      <c r="CB121" s="729"/>
      <c r="CC121" s="729"/>
      <c r="CD121" s="729"/>
      <c r="CE121" s="729"/>
      <c r="CF121" s="729"/>
      <c r="CG121" s="137"/>
    </row>
    <row r="122" spans="1:85" hidden="1" outlineLevel="1" x14ac:dyDescent="0.3">
      <c r="A122" s="730" t="s">
        <v>199</v>
      </c>
      <c r="B122" s="137"/>
      <c r="C122" s="756">
        <f t="shared" ref="C122:AH122" si="406">ROUND(INDEX(SP_GF_EBITDAX,0,COLUMN())-INDEX(MO_RIS_EBITDAX,0,COLUMN()),6)</f>
        <v>0</v>
      </c>
      <c r="D122" s="756">
        <f t="shared" si="406"/>
        <v>0</v>
      </c>
      <c r="E122" s="756">
        <f t="shared" si="406"/>
        <v>0</v>
      </c>
      <c r="F122" s="756">
        <f t="shared" si="406"/>
        <v>0</v>
      </c>
      <c r="G122" s="756">
        <f t="shared" si="406"/>
        <v>0</v>
      </c>
      <c r="H122" s="756">
        <f t="shared" si="406"/>
        <v>0</v>
      </c>
      <c r="I122" s="756">
        <f t="shared" si="406"/>
        <v>0</v>
      </c>
      <c r="J122" s="756">
        <f t="shared" si="406"/>
        <v>0</v>
      </c>
      <c r="K122" s="756">
        <f t="shared" si="406"/>
        <v>0</v>
      </c>
      <c r="L122" s="756">
        <f t="shared" si="406"/>
        <v>0</v>
      </c>
      <c r="M122" s="756">
        <f t="shared" si="406"/>
        <v>0</v>
      </c>
      <c r="N122" s="756">
        <f t="shared" si="406"/>
        <v>0</v>
      </c>
      <c r="O122" s="756">
        <f t="shared" si="406"/>
        <v>0</v>
      </c>
      <c r="P122" s="756">
        <f t="shared" si="406"/>
        <v>0</v>
      </c>
      <c r="Q122" s="756">
        <f t="shared" si="406"/>
        <v>0</v>
      </c>
      <c r="R122" s="756">
        <f t="shared" si="406"/>
        <v>0</v>
      </c>
      <c r="S122" s="756">
        <f t="shared" si="406"/>
        <v>0</v>
      </c>
      <c r="T122" s="756">
        <f t="shared" si="406"/>
        <v>0</v>
      </c>
      <c r="U122" s="756">
        <f t="shared" si="406"/>
        <v>0</v>
      </c>
      <c r="V122" s="756">
        <f t="shared" si="406"/>
        <v>0</v>
      </c>
      <c r="W122" s="756">
        <f t="shared" si="406"/>
        <v>0</v>
      </c>
      <c r="X122" s="756">
        <f t="shared" si="406"/>
        <v>0</v>
      </c>
      <c r="Y122" s="756">
        <f t="shared" si="406"/>
        <v>0</v>
      </c>
      <c r="Z122" s="756">
        <f t="shared" si="406"/>
        <v>0</v>
      </c>
      <c r="AA122" s="756">
        <f t="shared" si="406"/>
        <v>0</v>
      </c>
      <c r="AB122" s="756">
        <f t="shared" si="406"/>
        <v>0</v>
      </c>
      <c r="AC122" s="756">
        <f t="shared" si="406"/>
        <v>0</v>
      </c>
      <c r="AD122" s="756">
        <f t="shared" si="406"/>
        <v>0</v>
      </c>
      <c r="AE122" s="756">
        <f t="shared" si="406"/>
        <v>0</v>
      </c>
      <c r="AF122" s="756">
        <f t="shared" si="406"/>
        <v>0</v>
      </c>
      <c r="AG122" s="756">
        <f t="shared" si="406"/>
        <v>0</v>
      </c>
      <c r="AH122" s="756">
        <f t="shared" si="406"/>
        <v>0</v>
      </c>
      <c r="AI122" s="756">
        <f t="shared" ref="AI122:BI122" si="407">ROUND(INDEX(SP_GF_EBITDAX,0,COLUMN())-INDEX(MO_RIS_EBITDAX,0,COLUMN()),6)</f>
        <v>0</v>
      </c>
      <c r="AJ122" s="756">
        <f t="shared" si="407"/>
        <v>0</v>
      </c>
      <c r="AK122" s="756">
        <f t="shared" si="407"/>
        <v>0</v>
      </c>
      <c r="AL122" s="756">
        <f t="shared" si="407"/>
        <v>0</v>
      </c>
      <c r="AM122" s="756">
        <f t="shared" si="407"/>
        <v>0</v>
      </c>
      <c r="AN122" s="756">
        <f t="shared" si="407"/>
        <v>0</v>
      </c>
      <c r="AO122" s="756">
        <f t="shared" si="407"/>
        <v>0</v>
      </c>
      <c r="AP122" s="756">
        <f t="shared" si="407"/>
        <v>0</v>
      </c>
      <c r="AQ122" s="756">
        <f t="shared" si="407"/>
        <v>0</v>
      </c>
      <c r="AR122" s="756">
        <f t="shared" si="407"/>
        <v>0</v>
      </c>
      <c r="AS122" s="756">
        <f t="shared" si="407"/>
        <v>0</v>
      </c>
      <c r="AT122" s="756">
        <f t="shared" si="407"/>
        <v>0</v>
      </c>
      <c r="AU122" s="756">
        <f t="shared" si="407"/>
        <v>0</v>
      </c>
      <c r="AV122" s="756">
        <f t="shared" si="407"/>
        <v>0</v>
      </c>
      <c r="AW122" s="756">
        <f t="shared" si="407"/>
        <v>0</v>
      </c>
      <c r="AX122" s="756">
        <f t="shared" si="407"/>
        <v>0</v>
      </c>
      <c r="AY122" s="756">
        <f t="shared" si="407"/>
        <v>0</v>
      </c>
      <c r="AZ122" s="756">
        <f t="shared" si="407"/>
        <v>0</v>
      </c>
      <c r="BA122" s="756">
        <f t="shared" si="407"/>
        <v>0</v>
      </c>
      <c r="BB122" s="756">
        <f t="shared" si="407"/>
        <v>0</v>
      </c>
      <c r="BC122" s="756">
        <f t="shared" si="407"/>
        <v>0</v>
      </c>
      <c r="BD122" s="756">
        <f t="shared" si="407"/>
        <v>0</v>
      </c>
      <c r="BE122" s="756">
        <f t="shared" si="407"/>
        <v>0</v>
      </c>
      <c r="BF122" s="756">
        <f t="shared" si="407"/>
        <v>0</v>
      </c>
      <c r="BG122" s="756">
        <f t="shared" si="407"/>
        <v>0</v>
      </c>
      <c r="BH122" s="756">
        <f t="shared" si="407"/>
        <v>0</v>
      </c>
      <c r="BI122" s="756">
        <f t="shared" si="407"/>
        <v>0</v>
      </c>
      <c r="BJ122" s="756">
        <f t="shared" ref="BJ122:BN122" si="408">ROUND(INDEX(SP_GF_EBITDAX,0,COLUMN())-INDEX(MO_RIS_EBITDAX,0,COLUMN()),6)</f>
        <v>0</v>
      </c>
      <c r="BK122" s="756">
        <f t="shared" si="408"/>
        <v>0</v>
      </c>
      <c r="BL122" s="756">
        <f t="shared" si="408"/>
        <v>0</v>
      </c>
      <c r="BM122" s="756">
        <f t="shared" si="408"/>
        <v>0</v>
      </c>
      <c r="BN122" s="756">
        <f t="shared" si="408"/>
        <v>0</v>
      </c>
      <c r="BO122" s="756">
        <f t="shared" ref="BO122:BS122" si="409">ROUND(INDEX(SP_GF_EBITDAX,0,COLUMN())-INDEX(MO_RIS_EBITDAX,0,COLUMN()),6)</f>
        <v>0</v>
      </c>
      <c r="BP122" s="756">
        <f t="shared" si="409"/>
        <v>0</v>
      </c>
      <c r="BQ122" s="756">
        <f t="shared" si="409"/>
        <v>0</v>
      </c>
      <c r="BR122" s="756">
        <f t="shared" si="409"/>
        <v>0</v>
      </c>
      <c r="BS122" s="756">
        <f t="shared" si="409"/>
        <v>0</v>
      </c>
      <c r="BT122" s="757">
        <f t="shared" ref="BT122:BX122" si="410">ROUND(INDEX(SP_GF_EBITDAX,0,COLUMN())-INDEX(MO_RIS_EBITDAX,0,COLUMN()),6)</f>
        <v>0</v>
      </c>
      <c r="BU122" s="756">
        <f t="shared" si="410"/>
        <v>0</v>
      </c>
      <c r="BV122" s="756">
        <f t="shared" si="410"/>
        <v>0</v>
      </c>
      <c r="BW122" s="756">
        <f t="shared" si="410"/>
        <v>0</v>
      </c>
      <c r="BX122" s="756">
        <f t="shared" si="410"/>
        <v>0</v>
      </c>
      <c r="BY122" s="756">
        <f t="shared" ref="BY122:CF122" si="411">ROUND(INDEX(SP_GF_EBITDAX,0,COLUMN())-INDEX(MO_RIS_EBITDAX,0,COLUMN()),6)</f>
        <v>0</v>
      </c>
      <c r="BZ122" s="756">
        <f t="shared" si="411"/>
        <v>0</v>
      </c>
      <c r="CA122" s="756">
        <f t="shared" si="411"/>
        <v>0</v>
      </c>
      <c r="CB122" s="756">
        <f t="shared" si="411"/>
        <v>0</v>
      </c>
      <c r="CC122" s="756">
        <f t="shared" si="411"/>
        <v>0</v>
      </c>
      <c r="CD122" s="756">
        <f t="shared" si="411"/>
        <v>0</v>
      </c>
      <c r="CE122" s="756">
        <f t="shared" si="411"/>
        <v>0</v>
      </c>
      <c r="CF122" s="756">
        <f t="shared" si="411"/>
        <v>0</v>
      </c>
      <c r="CG122" s="137"/>
    </row>
    <row r="123" spans="1:85" hidden="1" outlineLevel="1" x14ac:dyDescent="0.3">
      <c r="A123" s="730" t="s">
        <v>459</v>
      </c>
      <c r="B123" s="137"/>
      <c r="C123" s="756">
        <f t="shared" ref="C123:AH123" si="412">ROUND(INDEX(SP_Company1876_EBITDAX,0,COLUMN())-INDEX(MO_RIS_EBITDAX_Adj,0,COLUMN()),6)</f>
        <v>0</v>
      </c>
      <c r="D123" s="756">
        <f t="shared" si="412"/>
        <v>0</v>
      </c>
      <c r="E123" s="756">
        <f t="shared" si="412"/>
        <v>0</v>
      </c>
      <c r="F123" s="756">
        <f t="shared" si="412"/>
        <v>0</v>
      </c>
      <c r="G123" s="756">
        <f t="shared" si="412"/>
        <v>0</v>
      </c>
      <c r="H123" s="756">
        <f t="shared" si="412"/>
        <v>0</v>
      </c>
      <c r="I123" s="756">
        <f t="shared" si="412"/>
        <v>0</v>
      </c>
      <c r="J123" s="756">
        <f t="shared" si="412"/>
        <v>0</v>
      </c>
      <c r="K123" s="756">
        <f t="shared" si="412"/>
        <v>0</v>
      </c>
      <c r="L123" s="756">
        <f t="shared" si="412"/>
        <v>0</v>
      </c>
      <c r="M123" s="756">
        <f t="shared" si="412"/>
        <v>0</v>
      </c>
      <c r="N123" s="756">
        <f t="shared" si="412"/>
        <v>0</v>
      </c>
      <c r="O123" s="756">
        <f t="shared" si="412"/>
        <v>0</v>
      </c>
      <c r="P123" s="756">
        <f t="shared" si="412"/>
        <v>0</v>
      </c>
      <c r="Q123" s="756">
        <f t="shared" si="412"/>
        <v>0</v>
      </c>
      <c r="R123" s="756">
        <f t="shared" si="412"/>
        <v>0</v>
      </c>
      <c r="S123" s="756">
        <f t="shared" si="412"/>
        <v>0</v>
      </c>
      <c r="T123" s="756">
        <f t="shared" si="412"/>
        <v>0</v>
      </c>
      <c r="U123" s="756">
        <f t="shared" si="412"/>
        <v>0</v>
      </c>
      <c r="V123" s="756">
        <f t="shared" si="412"/>
        <v>0</v>
      </c>
      <c r="W123" s="756">
        <f t="shared" si="412"/>
        <v>0</v>
      </c>
      <c r="X123" s="756">
        <f t="shared" si="412"/>
        <v>0</v>
      </c>
      <c r="Y123" s="756">
        <f t="shared" si="412"/>
        <v>0</v>
      </c>
      <c r="Z123" s="756">
        <f t="shared" si="412"/>
        <v>0</v>
      </c>
      <c r="AA123" s="756">
        <f t="shared" si="412"/>
        <v>0</v>
      </c>
      <c r="AB123" s="756">
        <f t="shared" si="412"/>
        <v>0</v>
      </c>
      <c r="AC123" s="756">
        <f t="shared" si="412"/>
        <v>0</v>
      </c>
      <c r="AD123" s="756">
        <f t="shared" si="412"/>
        <v>0</v>
      </c>
      <c r="AE123" s="756">
        <f t="shared" si="412"/>
        <v>0</v>
      </c>
      <c r="AF123" s="756">
        <f t="shared" si="412"/>
        <v>0</v>
      </c>
      <c r="AG123" s="756">
        <f t="shared" si="412"/>
        <v>0</v>
      </c>
      <c r="AH123" s="756">
        <f t="shared" si="412"/>
        <v>0</v>
      </c>
      <c r="AI123" s="756">
        <f t="shared" ref="AI123:BI123" si="413">ROUND(INDEX(SP_Company1876_EBITDAX,0,COLUMN())-INDEX(MO_RIS_EBITDAX_Adj,0,COLUMN()),6)</f>
        <v>0</v>
      </c>
      <c r="AJ123" s="756">
        <f t="shared" si="413"/>
        <v>0</v>
      </c>
      <c r="AK123" s="756">
        <f t="shared" si="413"/>
        <v>0</v>
      </c>
      <c r="AL123" s="756">
        <f t="shared" si="413"/>
        <v>0</v>
      </c>
      <c r="AM123" s="756">
        <f t="shared" si="413"/>
        <v>0</v>
      </c>
      <c r="AN123" s="756">
        <f t="shared" si="413"/>
        <v>0</v>
      </c>
      <c r="AO123" s="756">
        <f t="shared" si="413"/>
        <v>0</v>
      </c>
      <c r="AP123" s="756">
        <f t="shared" si="413"/>
        <v>0</v>
      </c>
      <c r="AQ123" s="756">
        <f t="shared" si="413"/>
        <v>0</v>
      </c>
      <c r="AR123" s="756">
        <f t="shared" si="413"/>
        <v>0</v>
      </c>
      <c r="AS123" s="756">
        <f t="shared" si="413"/>
        <v>0</v>
      </c>
      <c r="AT123" s="756">
        <f t="shared" si="413"/>
        <v>0</v>
      </c>
      <c r="AU123" s="756">
        <f t="shared" si="413"/>
        <v>0</v>
      </c>
      <c r="AV123" s="756">
        <f t="shared" si="413"/>
        <v>0</v>
      </c>
      <c r="AW123" s="756">
        <f t="shared" si="413"/>
        <v>0</v>
      </c>
      <c r="AX123" s="756">
        <f t="shared" si="413"/>
        <v>0</v>
      </c>
      <c r="AY123" s="756">
        <f t="shared" si="413"/>
        <v>0</v>
      </c>
      <c r="AZ123" s="756">
        <f t="shared" si="413"/>
        <v>0</v>
      </c>
      <c r="BA123" s="756">
        <f t="shared" si="413"/>
        <v>0</v>
      </c>
      <c r="BB123" s="756">
        <f t="shared" si="413"/>
        <v>0</v>
      </c>
      <c r="BC123" s="756">
        <f t="shared" si="413"/>
        <v>0</v>
      </c>
      <c r="BD123" s="756">
        <f t="shared" si="413"/>
        <v>0</v>
      </c>
      <c r="BE123" s="756">
        <f t="shared" si="413"/>
        <v>0</v>
      </c>
      <c r="BF123" s="756">
        <f t="shared" si="413"/>
        <v>0</v>
      </c>
      <c r="BG123" s="756">
        <f t="shared" si="413"/>
        <v>0</v>
      </c>
      <c r="BH123" s="756">
        <f t="shared" si="413"/>
        <v>0</v>
      </c>
      <c r="BI123" s="756">
        <f t="shared" si="413"/>
        <v>0</v>
      </c>
      <c r="BJ123" s="756">
        <f t="shared" ref="BJ123:BN123" si="414">ROUND(INDEX(SP_Company1876_EBITDAX,0,COLUMN())-INDEX(MO_RIS_EBITDAX_Adj,0,COLUMN()),6)</f>
        <v>0</v>
      </c>
      <c r="BK123" s="756">
        <f t="shared" si="414"/>
        <v>0</v>
      </c>
      <c r="BL123" s="756">
        <f t="shared" si="414"/>
        <v>0</v>
      </c>
      <c r="BM123" s="756">
        <f t="shared" si="414"/>
        <v>0</v>
      </c>
      <c r="BN123" s="756">
        <f t="shared" si="414"/>
        <v>0</v>
      </c>
      <c r="BO123" s="756">
        <f t="shared" ref="BO123:BS123" si="415">ROUND(INDEX(SP_Company1876_EBITDAX,0,COLUMN())-INDEX(MO_RIS_EBITDAX_Adj,0,COLUMN()),6)</f>
        <v>0</v>
      </c>
      <c r="BP123" s="756">
        <f t="shared" si="415"/>
        <v>0</v>
      </c>
      <c r="BQ123" s="756">
        <f t="shared" si="415"/>
        <v>0</v>
      </c>
      <c r="BR123" s="756">
        <f t="shared" si="415"/>
        <v>0</v>
      </c>
      <c r="BS123" s="756">
        <f t="shared" si="415"/>
        <v>0</v>
      </c>
      <c r="BT123" s="757">
        <f t="shared" ref="BT123:BX123" si="416">ROUND(INDEX(SP_Company1876_EBITDAX,0,COLUMN())-INDEX(MO_RIS_EBITDAX_Adj,0,COLUMN()),6)</f>
        <v>0</v>
      </c>
      <c r="BU123" s="756">
        <f t="shared" si="416"/>
        <v>0</v>
      </c>
      <c r="BV123" s="756">
        <f t="shared" si="416"/>
        <v>0</v>
      </c>
      <c r="BW123" s="756">
        <f t="shared" si="416"/>
        <v>0</v>
      </c>
      <c r="BX123" s="756">
        <f t="shared" si="416"/>
        <v>0</v>
      </c>
      <c r="BY123" s="756">
        <f t="shared" ref="BY123:CF123" si="417">ROUND(INDEX(SP_Company1876_EBITDAX,0,COLUMN())-INDEX(MO_RIS_EBITDAX_Adj,0,COLUMN()),6)</f>
        <v>0</v>
      </c>
      <c r="BZ123" s="756">
        <f t="shared" si="417"/>
        <v>0</v>
      </c>
      <c r="CA123" s="756">
        <f t="shared" si="417"/>
        <v>0</v>
      </c>
      <c r="CB123" s="756">
        <f t="shared" si="417"/>
        <v>0</v>
      </c>
      <c r="CC123" s="756">
        <f t="shared" si="417"/>
        <v>0</v>
      </c>
      <c r="CD123" s="756">
        <f t="shared" si="417"/>
        <v>0</v>
      </c>
      <c r="CE123" s="756">
        <f t="shared" si="417"/>
        <v>0</v>
      </c>
      <c r="CF123" s="756">
        <f t="shared" si="417"/>
        <v>0</v>
      </c>
      <c r="CG123" s="137"/>
    </row>
    <row r="124" spans="1:85" hidden="1" outlineLevel="1" x14ac:dyDescent="0.3">
      <c r="A124" s="730" t="s">
        <v>460</v>
      </c>
      <c r="B124" s="137"/>
      <c r="C124" s="756">
        <f t="shared" ref="C124:AH124" si="418">ROUND(INDEX(SP_Company1876_NI,0,COLUMN())-INDEX(MO_RIS_NI_NONGAAP_Diluted,0,COLUMN()),6)</f>
        <v>0</v>
      </c>
      <c r="D124" s="756">
        <f t="shared" si="418"/>
        <v>0</v>
      </c>
      <c r="E124" s="756">
        <f t="shared" si="418"/>
        <v>0</v>
      </c>
      <c r="F124" s="756">
        <f t="shared" si="418"/>
        <v>0</v>
      </c>
      <c r="G124" s="756">
        <f t="shared" si="418"/>
        <v>0</v>
      </c>
      <c r="H124" s="756">
        <f t="shared" si="418"/>
        <v>0</v>
      </c>
      <c r="I124" s="756">
        <f t="shared" si="418"/>
        <v>0</v>
      </c>
      <c r="J124" s="756">
        <f t="shared" si="418"/>
        <v>0</v>
      </c>
      <c r="K124" s="756">
        <f t="shared" si="418"/>
        <v>0</v>
      </c>
      <c r="L124" s="756">
        <f t="shared" si="418"/>
        <v>0</v>
      </c>
      <c r="M124" s="756">
        <f t="shared" si="418"/>
        <v>0</v>
      </c>
      <c r="N124" s="756">
        <f t="shared" si="418"/>
        <v>0</v>
      </c>
      <c r="O124" s="756">
        <f t="shared" si="418"/>
        <v>0</v>
      </c>
      <c r="P124" s="756">
        <f t="shared" si="418"/>
        <v>0</v>
      </c>
      <c r="Q124" s="756">
        <f t="shared" si="418"/>
        <v>0</v>
      </c>
      <c r="R124" s="756">
        <f t="shared" si="418"/>
        <v>0</v>
      </c>
      <c r="S124" s="756">
        <f t="shared" si="418"/>
        <v>0</v>
      </c>
      <c r="T124" s="756">
        <f t="shared" si="418"/>
        <v>0</v>
      </c>
      <c r="U124" s="756">
        <f t="shared" si="418"/>
        <v>0</v>
      </c>
      <c r="V124" s="756">
        <f t="shared" si="418"/>
        <v>0</v>
      </c>
      <c r="W124" s="756">
        <f t="shared" si="418"/>
        <v>0</v>
      </c>
      <c r="X124" s="756">
        <f t="shared" si="418"/>
        <v>0</v>
      </c>
      <c r="Y124" s="756">
        <f t="shared" si="418"/>
        <v>0</v>
      </c>
      <c r="Z124" s="756">
        <f t="shared" si="418"/>
        <v>0</v>
      </c>
      <c r="AA124" s="756">
        <f t="shared" si="418"/>
        <v>0</v>
      </c>
      <c r="AB124" s="756">
        <f t="shared" si="418"/>
        <v>0</v>
      </c>
      <c r="AC124" s="756">
        <f t="shared" si="418"/>
        <v>0</v>
      </c>
      <c r="AD124" s="756">
        <f t="shared" si="418"/>
        <v>0</v>
      </c>
      <c r="AE124" s="756">
        <f t="shared" si="418"/>
        <v>0</v>
      </c>
      <c r="AF124" s="756">
        <f t="shared" si="418"/>
        <v>0</v>
      </c>
      <c r="AG124" s="756">
        <f t="shared" si="418"/>
        <v>0</v>
      </c>
      <c r="AH124" s="756">
        <f t="shared" si="418"/>
        <v>0</v>
      </c>
      <c r="AI124" s="756">
        <f t="shared" ref="AI124:BI124" si="419">ROUND(INDEX(SP_Company1876_NI,0,COLUMN())-INDEX(MO_RIS_NI_NONGAAP_Diluted,0,COLUMN()),6)</f>
        <v>0</v>
      </c>
      <c r="AJ124" s="756">
        <f t="shared" si="419"/>
        <v>0</v>
      </c>
      <c r="AK124" s="756">
        <f t="shared" si="419"/>
        <v>0</v>
      </c>
      <c r="AL124" s="756">
        <f t="shared" si="419"/>
        <v>0</v>
      </c>
      <c r="AM124" s="756">
        <f t="shared" si="419"/>
        <v>0</v>
      </c>
      <c r="AN124" s="756">
        <f t="shared" si="419"/>
        <v>0</v>
      </c>
      <c r="AO124" s="756">
        <f t="shared" si="419"/>
        <v>0</v>
      </c>
      <c r="AP124" s="756">
        <f t="shared" si="419"/>
        <v>0</v>
      </c>
      <c r="AQ124" s="756">
        <f t="shared" si="419"/>
        <v>0</v>
      </c>
      <c r="AR124" s="756">
        <f t="shared" si="419"/>
        <v>0</v>
      </c>
      <c r="AS124" s="756">
        <f t="shared" si="419"/>
        <v>0</v>
      </c>
      <c r="AT124" s="756">
        <f t="shared" si="419"/>
        <v>0</v>
      </c>
      <c r="AU124" s="756">
        <f t="shared" si="419"/>
        <v>0</v>
      </c>
      <c r="AV124" s="756">
        <f t="shared" si="419"/>
        <v>0</v>
      </c>
      <c r="AW124" s="756">
        <f t="shared" si="419"/>
        <v>0</v>
      </c>
      <c r="AX124" s="756">
        <f t="shared" si="419"/>
        <v>0</v>
      </c>
      <c r="AY124" s="756">
        <f t="shared" si="419"/>
        <v>0</v>
      </c>
      <c r="AZ124" s="756">
        <f t="shared" si="419"/>
        <v>0</v>
      </c>
      <c r="BA124" s="756">
        <f t="shared" si="419"/>
        <v>0</v>
      </c>
      <c r="BB124" s="756">
        <f t="shared" si="419"/>
        <v>0</v>
      </c>
      <c r="BC124" s="756">
        <f t="shared" si="419"/>
        <v>0</v>
      </c>
      <c r="BD124" s="756">
        <f t="shared" si="419"/>
        <v>0</v>
      </c>
      <c r="BE124" s="756">
        <f t="shared" si="419"/>
        <v>0</v>
      </c>
      <c r="BF124" s="756">
        <f t="shared" si="419"/>
        <v>0</v>
      </c>
      <c r="BG124" s="756">
        <f t="shared" si="419"/>
        <v>0</v>
      </c>
      <c r="BH124" s="756">
        <f t="shared" si="419"/>
        <v>0</v>
      </c>
      <c r="BI124" s="756">
        <f t="shared" si="419"/>
        <v>0</v>
      </c>
      <c r="BJ124" s="756">
        <f t="shared" ref="BJ124:BN124" si="420">ROUND(INDEX(SP_Company1876_NI,0,COLUMN())-INDEX(MO_RIS_NI_NONGAAP_Diluted,0,COLUMN()),6)</f>
        <v>0</v>
      </c>
      <c r="BK124" s="756">
        <f t="shared" si="420"/>
        <v>0</v>
      </c>
      <c r="BL124" s="756">
        <f t="shared" si="420"/>
        <v>0</v>
      </c>
      <c r="BM124" s="756">
        <f t="shared" si="420"/>
        <v>0</v>
      </c>
      <c r="BN124" s="756">
        <f t="shared" si="420"/>
        <v>0</v>
      </c>
      <c r="BO124" s="756">
        <f t="shared" ref="BO124:BS124" si="421">ROUND(INDEX(SP_Company1876_NI,0,COLUMN())-INDEX(MO_RIS_NI_NONGAAP_Diluted,0,COLUMN()),6)</f>
        <v>0</v>
      </c>
      <c r="BP124" s="756">
        <f t="shared" si="421"/>
        <v>0</v>
      </c>
      <c r="BQ124" s="756">
        <f t="shared" si="421"/>
        <v>0</v>
      </c>
      <c r="BR124" s="756">
        <f t="shared" si="421"/>
        <v>0</v>
      </c>
      <c r="BS124" s="756">
        <f t="shared" si="421"/>
        <v>0</v>
      </c>
      <c r="BT124" s="757">
        <f t="shared" ref="BT124:BX124" si="422">ROUND(INDEX(SP_Company1876_NI,0,COLUMN())-INDEX(MO_RIS_NI_NONGAAP_Diluted,0,COLUMN()),6)</f>
        <v>0</v>
      </c>
      <c r="BU124" s="756">
        <f t="shared" si="422"/>
        <v>0</v>
      </c>
      <c r="BV124" s="756">
        <f t="shared" ca="1" si="422"/>
        <v>0</v>
      </c>
      <c r="BW124" s="756">
        <f t="shared" ca="1" si="422"/>
        <v>0</v>
      </c>
      <c r="BX124" s="756">
        <f t="shared" ca="1" si="422"/>
        <v>0</v>
      </c>
      <c r="BY124" s="756">
        <f t="shared" ref="BY124:CF124" ca="1" si="423">ROUND(INDEX(SP_Company1876_NI,0,COLUMN())-INDEX(MO_RIS_NI_NONGAAP_Diluted,0,COLUMN()),6)</f>
        <v>0</v>
      </c>
      <c r="BZ124" s="756">
        <f t="shared" ca="1" si="423"/>
        <v>0</v>
      </c>
      <c r="CA124" s="756">
        <f t="shared" ca="1" si="423"/>
        <v>0</v>
      </c>
      <c r="CB124" s="756">
        <f t="shared" ca="1" si="423"/>
        <v>0</v>
      </c>
      <c r="CC124" s="756">
        <f t="shared" ca="1" si="423"/>
        <v>0</v>
      </c>
      <c r="CD124" s="756">
        <f t="shared" ca="1" si="423"/>
        <v>0</v>
      </c>
      <c r="CE124" s="756">
        <f t="shared" ca="1" si="423"/>
        <v>0</v>
      </c>
      <c r="CF124" s="756">
        <f t="shared" ca="1" si="423"/>
        <v>0</v>
      </c>
      <c r="CG124" s="137"/>
    </row>
    <row r="125" spans="1:85" hidden="1" outlineLevel="1" x14ac:dyDescent="0.3">
      <c r="A125" s="730" t="s">
        <v>461</v>
      </c>
      <c r="B125" s="137"/>
      <c r="C125" s="756">
        <f t="shared" ref="C125:AH125" si="424">ROUND(INDEX(SP_GF_NI,0,COLUMN())-INDEX(MO_RIS_NI_GAAP_Basic,0,COLUMN()),6)</f>
        <v>0</v>
      </c>
      <c r="D125" s="756">
        <f t="shared" si="424"/>
        <v>0</v>
      </c>
      <c r="E125" s="756">
        <f t="shared" si="424"/>
        <v>0</v>
      </c>
      <c r="F125" s="756">
        <f t="shared" si="424"/>
        <v>0</v>
      </c>
      <c r="G125" s="756">
        <f t="shared" si="424"/>
        <v>0</v>
      </c>
      <c r="H125" s="756">
        <f t="shared" si="424"/>
        <v>0</v>
      </c>
      <c r="I125" s="756">
        <f t="shared" si="424"/>
        <v>0</v>
      </c>
      <c r="J125" s="756">
        <f t="shared" si="424"/>
        <v>0</v>
      </c>
      <c r="K125" s="756">
        <f t="shared" si="424"/>
        <v>0</v>
      </c>
      <c r="L125" s="756">
        <f t="shared" si="424"/>
        <v>0</v>
      </c>
      <c r="M125" s="756">
        <f t="shared" si="424"/>
        <v>0</v>
      </c>
      <c r="N125" s="756">
        <f t="shared" si="424"/>
        <v>0</v>
      </c>
      <c r="O125" s="756">
        <f t="shared" si="424"/>
        <v>0</v>
      </c>
      <c r="P125" s="756">
        <f t="shared" si="424"/>
        <v>0</v>
      </c>
      <c r="Q125" s="756">
        <f t="shared" si="424"/>
        <v>0</v>
      </c>
      <c r="R125" s="756">
        <f t="shared" si="424"/>
        <v>0</v>
      </c>
      <c r="S125" s="756">
        <f t="shared" si="424"/>
        <v>0</v>
      </c>
      <c r="T125" s="756">
        <f t="shared" si="424"/>
        <v>0</v>
      </c>
      <c r="U125" s="756">
        <f t="shared" si="424"/>
        <v>0</v>
      </c>
      <c r="V125" s="756">
        <f t="shared" si="424"/>
        <v>0</v>
      </c>
      <c r="W125" s="756">
        <f t="shared" si="424"/>
        <v>0</v>
      </c>
      <c r="X125" s="756">
        <f t="shared" si="424"/>
        <v>0</v>
      </c>
      <c r="Y125" s="756">
        <f t="shared" si="424"/>
        <v>0</v>
      </c>
      <c r="Z125" s="756">
        <f t="shared" si="424"/>
        <v>0</v>
      </c>
      <c r="AA125" s="756">
        <f t="shared" si="424"/>
        <v>0</v>
      </c>
      <c r="AB125" s="756">
        <f t="shared" si="424"/>
        <v>0</v>
      </c>
      <c r="AC125" s="756">
        <f t="shared" si="424"/>
        <v>0</v>
      </c>
      <c r="AD125" s="756">
        <f t="shared" si="424"/>
        <v>0</v>
      </c>
      <c r="AE125" s="756">
        <f t="shared" si="424"/>
        <v>0</v>
      </c>
      <c r="AF125" s="756">
        <f t="shared" si="424"/>
        <v>0</v>
      </c>
      <c r="AG125" s="756">
        <f t="shared" si="424"/>
        <v>0</v>
      </c>
      <c r="AH125" s="756">
        <f t="shared" si="424"/>
        <v>0</v>
      </c>
      <c r="AI125" s="756">
        <f t="shared" ref="AI125:BI125" si="425">ROUND(INDEX(SP_GF_NI,0,COLUMN())-INDEX(MO_RIS_NI_GAAP_Basic,0,COLUMN()),6)</f>
        <v>0</v>
      </c>
      <c r="AJ125" s="756">
        <f t="shared" si="425"/>
        <v>0</v>
      </c>
      <c r="AK125" s="756">
        <f t="shared" si="425"/>
        <v>0</v>
      </c>
      <c r="AL125" s="756">
        <f t="shared" si="425"/>
        <v>0</v>
      </c>
      <c r="AM125" s="756">
        <f t="shared" si="425"/>
        <v>0</v>
      </c>
      <c r="AN125" s="756">
        <f t="shared" si="425"/>
        <v>0</v>
      </c>
      <c r="AO125" s="756">
        <f t="shared" si="425"/>
        <v>0</v>
      </c>
      <c r="AP125" s="756">
        <f t="shared" si="425"/>
        <v>0</v>
      </c>
      <c r="AQ125" s="756">
        <f t="shared" si="425"/>
        <v>0</v>
      </c>
      <c r="AR125" s="756">
        <f t="shared" si="425"/>
        <v>0</v>
      </c>
      <c r="AS125" s="756">
        <f t="shared" si="425"/>
        <v>0</v>
      </c>
      <c r="AT125" s="756">
        <f t="shared" si="425"/>
        <v>0</v>
      </c>
      <c r="AU125" s="756">
        <f t="shared" si="425"/>
        <v>0</v>
      </c>
      <c r="AV125" s="756">
        <f t="shared" si="425"/>
        <v>0</v>
      </c>
      <c r="AW125" s="756">
        <f t="shared" si="425"/>
        <v>0</v>
      </c>
      <c r="AX125" s="756">
        <f t="shared" si="425"/>
        <v>0</v>
      </c>
      <c r="AY125" s="756">
        <f t="shared" si="425"/>
        <v>0</v>
      </c>
      <c r="AZ125" s="756">
        <f t="shared" si="425"/>
        <v>0</v>
      </c>
      <c r="BA125" s="756">
        <f t="shared" si="425"/>
        <v>0</v>
      </c>
      <c r="BB125" s="756">
        <f t="shared" si="425"/>
        <v>0</v>
      </c>
      <c r="BC125" s="756">
        <f t="shared" si="425"/>
        <v>0</v>
      </c>
      <c r="BD125" s="756">
        <f t="shared" si="425"/>
        <v>0</v>
      </c>
      <c r="BE125" s="756">
        <f t="shared" si="425"/>
        <v>0</v>
      </c>
      <c r="BF125" s="756">
        <f t="shared" si="425"/>
        <v>0</v>
      </c>
      <c r="BG125" s="756">
        <f t="shared" si="425"/>
        <v>0</v>
      </c>
      <c r="BH125" s="756">
        <f t="shared" si="425"/>
        <v>0</v>
      </c>
      <c r="BI125" s="756">
        <f t="shared" si="425"/>
        <v>0</v>
      </c>
      <c r="BJ125" s="756">
        <f t="shared" ref="BJ125:BN125" si="426">ROUND(INDEX(SP_GF_NI,0,COLUMN())-INDEX(MO_RIS_NI_GAAP_Basic,0,COLUMN()),6)</f>
        <v>0</v>
      </c>
      <c r="BK125" s="756">
        <f t="shared" si="426"/>
        <v>0</v>
      </c>
      <c r="BL125" s="756">
        <f t="shared" si="426"/>
        <v>0</v>
      </c>
      <c r="BM125" s="756">
        <f t="shared" si="426"/>
        <v>0</v>
      </c>
      <c r="BN125" s="756">
        <f t="shared" si="426"/>
        <v>0</v>
      </c>
      <c r="BO125" s="756">
        <f t="shared" ref="BO125:BS125" si="427">ROUND(INDEX(SP_GF_NI,0,COLUMN())-INDEX(MO_RIS_NI_GAAP_Basic,0,COLUMN()),6)</f>
        <v>0</v>
      </c>
      <c r="BP125" s="756">
        <f t="shared" si="427"/>
        <v>0</v>
      </c>
      <c r="BQ125" s="756">
        <f t="shared" si="427"/>
        <v>0</v>
      </c>
      <c r="BR125" s="756">
        <f t="shared" si="427"/>
        <v>0</v>
      </c>
      <c r="BS125" s="756">
        <f t="shared" si="427"/>
        <v>0</v>
      </c>
      <c r="BT125" s="757">
        <f t="shared" ref="BT125:BX125" si="428">ROUND(INDEX(SP_GF_NI,0,COLUMN())-INDEX(MO_RIS_NI_GAAP_Basic,0,COLUMN()),6)</f>
        <v>0</v>
      </c>
      <c r="BU125" s="756">
        <f t="shared" si="428"/>
        <v>0</v>
      </c>
      <c r="BV125" s="756">
        <f t="shared" ca="1" si="428"/>
        <v>0</v>
      </c>
      <c r="BW125" s="756">
        <f t="shared" ca="1" si="428"/>
        <v>0</v>
      </c>
      <c r="BX125" s="756">
        <f t="shared" ca="1" si="428"/>
        <v>0</v>
      </c>
      <c r="BY125" s="756">
        <f t="shared" ref="BY125:CF125" ca="1" si="429">ROUND(INDEX(SP_GF_NI,0,COLUMN())-INDEX(MO_RIS_NI_GAAP_Basic,0,COLUMN()),6)</f>
        <v>0</v>
      </c>
      <c r="BZ125" s="756">
        <f t="shared" ca="1" si="429"/>
        <v>0</v>
      </c>
      <c r="CA125" s="756">
        <f t="shared" ca="1" si="429"/>
        <v>0</v>
      </c>
      <c r="CB125" s="756">
        <f t="shared" ca="1" si="429"/>
        <v>0</v>
      </c>
      <c r="CC125" s="756">
        <f t="shared" ca="1" si="429"/>
        <v>0</v>
      </c>
      <c r="CD125" s="756">
        <f t="shared" ca="1" si="429"/>
        <v>0</v>
      </c>
      <c r="CE125" s="756">
        <f t="shared" ca="1" si="429"/>
        <v>0</v>
      </c>
      <c r="CF125" s="756">
        <f t="shared" ca="1" si="429"/>
        <v>0</v>
      </c>
      <c r="CG125" s="137"/>
    </row>
    <row r="126" spans="1:85" hidden="1" outlineLevel="1" x14ac:dyDescent="0.3">
      <c r="A126" s="730" t="s">
        <v>462</v>
      </c>
      <c r="B126" s="137"/>
      <c r="C126" s="756">
        <f t="shared" ref="C126:AH126" ca="1" si="430">ROUND(INDEX(SP_CFA_NetChange,0,COLUMN())-INDEX(MO_CFS_NetChange,0,COLUMN()),6)</f>
        <v>0</v>
      </c>
      <c r="D126" s="756">
        <f t="shared" ca="1" si="430"/>
        <v>0</v>
      </c>
      <c r="E126" s="756">
        <f t="shared" ca="1" si="430"/>
        <v>0</v>
      </c>
      <c r="F126" s="756">
        <f t="shared" ca="1" si="430"/>
        <v>0</v>
      </c>
      <c r="G126" s="756">
        <f t="shared" ca="1" si="430"/>
        <v>0</v>
      </c>
      <c r="H126" s="756">
        <f t="shared" ca="1" si="430"/>
        <v>0</v>
      </c>
      <c r="I126" s="756">
        <f t="shared" ca="1" si="430"/>
        <v>0</v>
      </c>
      <c r="J126" s="756">
        <f t="shared" ca="1" si="430"/>
        <v>0</v>
      </c>
      <c r="K126" s="756">
        <f t="shared" ca="1" si="430"/>
        <v>0</v>
      </c>
      <c r="L126" s="756">
        <f t="shared" ca="1" si="430"/>
        <v>0</v>
      </c>
      <c r="M126" s="756">
        <f t="shared" ca="1" si="430"/>
        <v>0</v>
      </c>
      <c r="N126" s="756">
        <f t="shared" ca="1" si="430"/>
        <v>0</v>
      </c>
      <c r="O126" s="756">
        <f t="shared" ca="1" si="430"/>
        <v>0</v>
      </c>
      <c r="P126" s="756">
        <f t="shared" ca="1" si="430"/>
        <v>0</v>
      </c>
      <c r="Q126" s="756">
        <f t="shared" ca="1" si="430"/>
        <v>0</v>
      </c>
      <c r="R126" s="756">
        <f t="shared" ca="1" si="430"/>
        <v>0</v>
      </c>
      <c r="S126" s="756">
        <f t="shared" ca="1" si="430"/>
        <v>0</v>
      </c>
      <c r="T126" s="756">
        <f t="shared" ca="1" si="430"/>
        <v>0</v>
      </c>
      <c r="U126" s="756">
        <f t="shared" ca="1" si="430"/>
        <v>0</v>
      </c>
      <c r="V126" s="756">
        <f t="shared" ca="1" si="430"/>
        <v>0</v>
      </c>
      <c r="W126" s="756">
        <f t="shared" ca="1" si="430"/>
        <v>0</v>
      </c>
      <c r="X126" s="756">
        <f t="shared" ca="1" si="430"/>
        <v>0</v>
      </c>
      <c r="Y126" s="756">
        <f t="shared" ca="1" si="430"/>
        <v>0</v>
      </c>
      <c r="Z126" s="756">
        <f t="shared" ca="1" si="430"/>
        <v>0</v>
      </c>
      <c r="AA126" s="756">
        <f t="shared" ca="1" si="430"/>
        <v>0</v>
      </c>
      <c r="AB126" s="756">
        <f t="shared" ca="1" si="430"/>
        <v>0</v>
      </c>
      <c r="AC126" s="756">
        <f t="shared" ca="1" si="430"/>
        <v>0</v>
      </c>
      <c r="AD126" s="756">
        <f t="shared" ca="1" si="430"/>
        <v>0</v>
      </c>
      <c r="AE126" s="756">
        <f t="shared" ca="1" si="430"/>
        <v>0</v>
      </c>
      <c r="AF126" s="756">
        <f t="shared" ca="1" si="430"/>
        <v>0</v>
      </c>
      <c r="AG126" s="756">
        <f t="shared" ca="1" si="430"/>
        <v>0</v>
      </c>
      <c r="AH126" s="756">
        <f t="shared" ca="1" si="430"/>
        <v>0</v>
      </c>
      <c r="AI126" s="756">
        <f t="shared" ref="AI126:BI126" ca="1" si="431">ROUND(INDEX(SP_CFA_NetChange,0,COLUMN())-INDEX(MO_CFS_NetChange,0,COLUMN()),6)</f>
        <v>0</v>
      </c>
      <c r="AJ126" s="756">
        <f t="shared" ca="1" si="431"/>
        <v>0</v>
      </c>
      <c r="AK126" s="756">
        <f t="shared" ca="1" si="431"/>
        <v>0</v>
      </c>
      <c r="AL126" s="756">
        <f t="shared" ca="1" si="431"/>
        <v>0</v>
      </c>
      <c r="AM126" s="756">
        <f t="shared" ca="1" si="431"/>
        <v>0</v>
      </c>
      <c r="AN126" s="756">
        <f t="shared" ca="1" si="431"/>
        <v>0</v>
      </c>
      <c r="AO126" s="756">
        <f t="shared" ca="1" si="431"/>
        <v>0</v>
      </c>
      <c r="AP126" s="756">
        <f t="shared" ca="1" si="431"/>
        <v>0</v>
      </c>
      <c r="AQ126" s="756">
        <f t="shared" ca="1" si="431"/>
        <v>0</v>
      </c>
      <c r="AR126" s="756">
        <f t="shared" ca="1" si="431"/>
        <v>0</v>
      </c>
      <c r="AS126" s="756">
        <f t="shared" ca="1" si="431"/>
        <v>0</v>
      </c>
      <c r="AT126" s="756">
        <f t="shared" ca="1" si="431"/>
        <v>0</v>
      </c>
      <c r="AU126" s="756">
        <f t="shared" ca="1" si="431"/>
        <v>0</v>
      </c>
      <c r="AV126" s="756">
        <f t="shared" ca="1" si="431"/>
        <v>0</v>
      </c>
      <c r="AW126" s="756">
        <f t="shared" ca="1" si="431"/>
        <v>0</v>
      </c>
      <c r="AX126" s="756">
        <f t="shared" ca="1" si="431"/>
        <v>0</v>
      </c>
      <c r="AY126" s="756">
        <f t="shared" ca="1" si="431"/>
        <v>0</v>
      </c>
      <c r="AZ126" s="756">
        <f t="shared" ca="1" si="431"/>
        <v>0</v>
      </c>
      <c r="BA126" s="756">
        <f t="shared" ca="1" si="431"/>
        <v>0</v>
      </c>
      <c r="BB126" s="756">
        <f t="shared" ca="1" si="431"/>
        <v>0</v>
      </c>
      <c r="BC126" s="756">
        <f t="shared" ca="1" si="431"/>
        <v>0</v>
      </c>
      <c r="BD126" s="756">
        <f t="shared" ca="1" si="431"/>
        <v>0</v>
      </c>
      <c r="BE126" s="756">
        <f t="shared" ca="1" si="431"/>
        <v>0</v>
      </c>
      <c r="BF126" s="756">
        <f t="shared" ca="1" si="431"/>
        <v>0</v>
      </c>
      <c r="BG126" s="756">
        <f t="shared" ca="1" si="431"/>
        <v>0</v>
      </c>
      <c r="BH126" s="756">
        <f t="shared" ca="1" si="431"/>
        <v>0</v>
      </c>
      <c r="BI126" s="756">
        <f t="shared" ca="1" si="431"/>
        <v>0</v>
      </c>
      <c r="BJ126" s="756">
        <f t="shared" ref="BJ126:BN126" ca="1" si="432">ROUND(INDEX(SP_CFA_NetChange,0,COLUMN())-INDEX(MO_CFS_NetChange,0,COLUMN()),6)</f>
        <v>0</v>
      </c>
      <c r="BK126" s="756">
        <f t="shared" ca="1" si="432"/>
        <v>0</v>
      </c>
      <c r="BL126" s="756">
        <f t="shared" ca="1" si="432"/>
        <v>0</v>
      </c>
      <c r="BM126" s="756">
        <f t="shared" ca="1" si="432"/>
        <v>0</v>
      </c>
      <c r="BN126" s="756">
        <f t="shared" ca="1" si="432"/>
        <v>0</v>
      </c>
      <c r="BO126" s="756">
        <f t="shared" ref="BO126:BS126" ca="1" si="433">ROUND(INDEX(SP_CFA_NetChange,0,COLUMN())-INDEX(MO_CFS_NetChange,0,COLUMN()),6)</f>
        <v>0</v>
      </c>
      <c r="BP126" s="756">
        <f t="shared" ca="1" si="433"/>
        <v>0</v>
      </c>
      <c r="BQ126" s="756">
        <f t="shared" ca="1" si="433"/>
        <v>0</v>
      </c>
      <c r="BR126" s="756">
        <f t="shared" ca="1" si="433"/>
        <v>0</v>
      </c>
      <c r="BS126" s="756">
        <f t="shared" ca="1" si="433"/>
        <v>0</v>
      </c>
      <c r="BT126" s="757">
        <f t="shared" ref="BT126:BX126" ca="1" si="434">ROUND(INDEX(SP_CFA_NetChange,0,COLUMN())-INDEX(MO_CFS_NetChange,0,COLUMN()),6)</f>
        <v>0</v>
      </c>
      <c r="BU126" s="756">
        <f t="shared" ca="1" si="434"/>
        <v>0</v>
      </c>
      <c r="BV126" s="756">
        <f t="shared" ca="1" si="434"/>
        <v>0</v>
      </c>
      <c r="BW126" s="756">
        <f t="shared" ca="1" si="434"/>
        <v>0</v>
      </c>
      <c r="BX126" s="756">
        <f t="shared" ca="1" si="434"/>
        <v>0</v>
      </c>
      <c r="BY126" s="756">
        <f t="shared" ref="BY126:CF126" ca="1" si="435">ROUND(INDEX(SP_CFA_NetChange,0,COLUMN())-INDEX(MO_CFS_NetChange,0,COLUMN()),6)</f>
        <v>0</v>
      </c>
      <c r="BZ126" s="756">
        <f t="shared" ca="1" si="435"/>
        <v>0</v>
      </c>
      <c r="CA126" s="756">
        <f t="shared" ca="1" si="435"/>
        <v>0</v>
      </c>
      <c r="CB126" s="756">
        <f t="shared" ca="1" si="435"/>
        <v>0</v>
      </c>
      <c r="CC126" s="756">
        <f t="shared" ca="1" si="435"/>
        <v>0</v>
      </c>
      <c r="CD126" s="756">
        <f t="shared" ca="1" si="435"/>
        <v>0</v>
      </c>
      <c r="CE126" s="756">
        <f t="shared" ca="1" si="435"/>
        <v>0</v>
      </c>
      <c r="CF126" s="756">
        <f t="shared" ca="1" si="435"/>
        <v>0</v>
      </c>
      <c r="CG126" s="137"/>
    </row>
    <row r="127" spans="1:85" collapsed="1" x14ac:dyDescent="0.3">
      <c r="A127" s="140"/>
      <c r="B127" s="140"/>
      <c r="C127" s="218"/>
      <c r="D127" s="218"/>
      <c r="E127" s="218"/>
      <c r="F127" s="218"/>
      <c r="G127" s="140"/>
      <c r="H127" s="140"/>
      <c r="I127" s="140"/>
      <c r="J127" s="140"/>
      <c r="K127" s="218"/>
      <c r="L127" s="140"/>
      <c r="M127" s="140"/>
      <c r="N127" s="140"/>
      <c r="O127" s="140"/>
      <c r="P127" s="218"/>
      <c r="Q127" s="140"/>
      <c r="R127" s="140"/>
      <c r="S127" s="140"/>
      <c r="T127" s="140"/>
      <c r="U127" s="218"/>
      <c r="V127" s="140"/>
      <c r="W127" s="140"/>
      <c r="X127" s="140"/>
      <c r="Y127" s="140"/>
      <c r="Z127" s="218"/>
      <c r="AA127" s="140"/>
      <c r="AB127" s="140"/>
      <c r="AC127" s="140"/>
      <c r="AD127" s="140"/>
      <c r="AE127" s="218"/>
      <c r="AF127" s="140"/>
      <c r="AG127" s="140"/>
      <c r="AH127" s="140"/>
      <c r="AI127" s="140"/>
      <c r="AJ127" s="218"/>
      <c r="AK127" s="140"/>
      <c r="AL127" s="140"/>
      <c r="AM127" s="140"/>
      <c r="AN127" s="140"/>
      <c r="AO127" s="218"/>
      <c r="AP127" s="140"/>
      <c r="AQ127" s="140"/>
      <c r="AR127" s="140"/>
      <c r="AS127" s="140"/>
      <c r="AT127" s="218"/>
      <c r="AU127" s="140"/>
      <c r="AV127" s="140"/>
      <c r="AW127" s="140"/>
      <c r="AX127" s="140"/>
      <c r="AY127" s="218"/>
      <c r="AZ127" s="140"/>
      <c r="BA127" s="140"/>
      <c r="BB127" s="140"/>
      <c r="BC127" s="140"/>
      <c r="BD127" s="218"/>
      <c r="BE127" s="140"/>
      <c r="BF127" s="140"/>
      <c r="BG127" s="140"/>
      <c r="BH127" s="140"/>
      <c r="BI127" s="218"/>
      <c r="BJ127" s="140"/>
      <c r="BK127" s="140"/>
      <c r="BL127" s="140"/>
      <c r="BM127" s="140"/>
      <c r="BN127" s="218"/>
      <c r="BO127" s="140"/>
      <c r="BP127" s="140"/>
      <c r="BQ127" s="140"/>
      <c r="BR127" s="140"/>
      <c r="BS127" s="218"/>
      <c r="BT127" s="704"/>
      <c r="BU127" s="140"/>
      <c r="BV127" s="140"/>
      <c r="BW127" s="140"/>
      <c r="BX127" s="218"/>
      <c r="BY127" s="140"/>
      <c r="BZ127" s="140"/>
      <c r="CA127" s="140"/>
      <c r="CB127" s="140"/>
      <c r="CC127" s="218"/>
      <c r="CD127" s="218"/>
      <c r="CE127" s="218"/>
      <c r="CF127" s="218"/>
      <c r="CG127" s="137"/>
    </row>
    <row r="128" spans="1:85" x14ac:dyDescent="0.3">
      <c r="A128" s="305" t="s">
        <v>816</v>
      </c>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c r="Z128" s="115"/>
      <c r="AA128" s="115"/>
      <c r="AB128" s="115"/>
      <c r="AC128" s="115"/>
      <c r="AD128" s="115"/>
      <c r="AE128" s="115"/>
      <c r="AF128" s="115"/>
      <c r="AG128" s="115"/>
      <c r="AH128" s="115"/>
      <c r="AI128" s="115"/>
      <c r="AJ128" s="115"/>
      <c r="AK128" s="115"/>
      <c r="AL128" s="115"/>
      <c r="AM128" s="115"/>
      <c r="AN128" s="115"/>
      <c r="AO128" s="115"/>
      <c r="AP128" s="115"/>
      <c r="AQ128" s="115"/>
      <c r="AR128" s="115"/>
      <c r="AS128" s="115"/>
      <c r="AT128" s="115"/>
      <c r="AU128" s="115"/>
      <c r="AV128" s="115"/>
      <c r="AW128" s="115"/>
      <c r="AX128" s="115"/>
      <c r="AY128" s="115"/>
      <c r="AZ128" s="115"/>
      <c r="BA128" s="115"/>
      <c r="BB128" s="115"/>
      <c r="BC128" s="115"/>
      <c r="BD128" s="115"/>
      <c r="BE128" s="115"/>
      <c r="BF128" s="115"/>
      <c r="BG128" s="115"/>
      <c r="BH128" s="115"/>
      <c r="BI128" s="115"/>
      <c r="BJ128" s="115"/>
      <c r="BK128" s="115"/>
      <c r="BL128" s="115"/>
      <c r="BM128" s="115"/>
      <c r="BN128" s="115"/>
      <c r="BO128" s="115"/>
      <c r="BP128" s="115"/>
      <c r="BQ128" s="115"/>
      <c r="BR128" s="115"/>
      <c r="BS128" s="115"/>
      <c r="BT128" s="115"/>
      <c r="BU128" s="115"/>
      <c r="BV128" s="115"/>
      <c r="BW128" s="115"/>
      <c r="BX128" s="115"/>
      <c r="BY128" s="115"/>
      <c r="BZ128" s="115"/>
      <c r="CA128" s="115"/>
      <c r="CB128" s="115"/>
      <c r="CC128" s="115"/>
      <c r="CD128" s="115"/>
      <c r="CE128" s="115"/>
      <c r="CF128" s="115"/>
      <c r="CG128" s="137"/>
    </row>
    <row r="129" spans="1:85" collapsed="1" x14ac:dyDescent="0.3">
      <c r="A129" s="120"/>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c r="AA129" s="140"/>
      <c r="AB129" s="140"/>
      <c r="AC129" s="140"/>
      <c r="AD129" s="140"/>
      <c r="AE129" s="140"/>
      <c r="AF129" s="140"/>
      <c r="AG129" s="140"/>
      <c r="AH129" s="140"/>
      <c r="AI129" s="140"/>
      <c r="AJ129" s="140"/>
      <c r="AK129" s="140"/>
      <c r="AL129" s="140"/>
      <c r="AM129" s="140"/>
      <c r="AN129" s="140"/>
      <c r="AO129" s="140"/>
      <c r="AP129" s="140"/>
      <c r="AQ129" s="140"/>
      <c r="AR129" s="140"/>
      <c r="AS129" s="140"/>
      <c r="AT129" s="140"/>
      <c r="AU129" s="140"/>
      <c r="AV129" s="140"/>
      <c r="AW129" s="140"/>
      <c r="AX129" s="140"/>
      <c r="AY129" s="140"/>
      <c r="AZ129" s="140"/>
      <c r="BA129" s="140"/>
      <c r="BB129" s="140"/>
      <c r="BC129" s="140"/>
      <c r="BD129" s="140"/>
      <c r="BE129" s="140"/>
      <c r="BF129" s="140"/>
      <c r="BG129" s="140"/>
      <c r="BH129" s="140"/>
      <c r="BI129" s="140"/>
      <c r="BJ129" s="140"/>
      <c r="BK129" s="140"/>
      <c r="BL129" s="140"/>
      <c r="BM129" s="140"/>
      <c r="BN129" s="140"/>
      <c r="BO129" s="140"/>
      <c r="BP129" s="140"/>
      <c r="BQ129" s="140"/>
      <c r="BR129" s="140"/>
      <c r="BS129" s="140"/>
      <c r="BT129" s="140"/>
      <c r="BU129" s="140"/>
      <c r="BV129" s="140"/>
      <c r="BW129" s="140"/>
      <c r="BX129" s="140"/>
      <c r="BY129" s="140"/>
      <c r="BZ129" s="140"/>
      <c r="CA129" s="140"/>
      <c r="CB129" s="140"/>
      <c r="CC129" s="140"/>
      <c r="CD129" s="140"/>
      <c r="CE129" s="140"/>
      <c r="CF129" s="140"/>
      <c r="CG129" s="137"/>
    </row>
  </sheetData>
  <conditionalFormatting sqref="C122:CF126">
    <cfRule type="cellIs" dxfId="1" priority="326" operator="notEqual">
      <formula>0</formula>
    </cfRule>
    <cfRule type="cellIs" dxfId="0" priority="327" operator="equal">
      <formula>0</formula>
    </cfRule>
  </conditionalFormatting>
  <dataValidations count="1">
    <dataValidation type="list" allowBlank="1" showInputMessage="1" showErrorMessage="1" sqref="B4" xr:uid="{00000000-0002-0000-0400-000000000000}">
      <formula1>OFFSET(tb_ValuationToggle,1,0,4,1)</formula1>
    </dataValidation>
  </dataValidations>
  <pageMargins left="0.7" right="0.7" top="0.75" bottom="0.75" header="0.3" footer="0.3"/>
  <pageSetup scale="39" orientation="portrait"/>
  <customProperties>
    <customPr name="CarouselSheetID" r:id="rId1"/>
  </customPropertie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3C8E7-363A-4D86-BA65-127F7CEF4F35}">
  <sheetPr codeName="Sheet41"/>
  <dimension ref="A1:J98"/>
  <sheetViews>
    <sheetView showGridLines="0" workbookViewId="0"/>
  </sheetViews>
  <sheetFormatPr defaultColWidth="8.5546875" defaultRowHeight="14.4" x14ac:dyDescent="0.3"/>
  <cols>
    <col min="1" max="1" width="4.44140625" style="16" customWidth="1"/>
    <col min="2" max="2" width="9.5546875" style="16" customWidth="1"/>
    <col min="3" max="3" width="15.5546875" style="16" customWidth="1"/>
    <col min="4" max="4" width="20.5546875" style="16" customWidth="1"/>
    <col min="5" max="5" width="30.5546875" style="16" customWidth="1"/>
    <col min="6" max="6" width="20.5546875" style="16"/>
    <col min="7" max="7" width="23.5546875" style="16" customWidth="1"/>
    <col min="8" max="8" width="45.5546875" style="16" customWidth="1"/>
    <col min="9" max="9" width="7.5546875" style="16" customWidth="1"/>
    <col min="10" max="10" width="8.5546875" style="16" customWidth="1"/>
    <col min="11" max="16384" width="8.5546875" style="16"/>
  </cols>
  <sheetData>
    <row r="1" spans="1:10" x14ac:dyDescent="0.3">
      <c r="A1" s="17"/>
      <c r="B1" s="17"/>
      <c r="C1" s="17"/>
      <c r="D1" s="17"/>
      <c r="E1" s="17"/>
      <c r="F1" s="17"/>
      <c r="G1" s="17"/>
      <c r="H1" s="17"/>
      <c r="I1" s="17"/>
      <c r="J1" s="17"/>
    </row>
    <row r="2" spans="1:10" x14ac:dyDescent="0.3">
      <c r="A2" s="17"/>
      <c r="B2" s="17"/>
      <c r="C2" s="17"/>
      <c r="D2" s="17"/>
      <c r="E2" s="17"/>
      <c r="F2" s="17"/>
      <c r="G2" s="17"/>
      <c r="H2" s="17"/>
      <c r="I2" s="17"/>
      <c r="J2" s="17"/>
    </row>
    <row r="3" spans="1:10" x14ac:dyDescent="0.3">
      <c r="A3" s="17"/>
      <c r="B3" s="17"/>
      <c r="C3" s="17"/>
      <c r="D3" s="17"/>
      <c r="E3" s="17"/>
      <c r="F3" s="17"/>
      <c r="G3" s="17"/>
      <c r="H3" s="17"/>
      <c r="I3" s="17"/>
      <c r="J3" s="17"/>
    </row>
    <row r="4" spans="1:10" x14ac:dyDescent="0.3">
      <c r="A4" s="17"/>
      <c r="B4" s="17"/>
      <c r="C4" s="17"/>
      <c r="D4" s="17"/>
      <c r="E4" s="17"/>
      <c r="F4" s="17"/>
      <c r="G4" s="17"/>
      <c r="H4" s="17"/>
      <c r="I4" s="17"/>
      <c r="J4" s="17"/>
    </row>
    <row r="5" spans="1:10" x14ac:dyDescent="0.3">
      <c r="A5" s="17"/>
      <c r="B5" s="17"/>
      <c r="C5" s="17"/>
      <c r="D5" s="17"/>
      <c r="E5" s="17"/>
      <c r="F5" s="17"/>
      <c r="G5" s="17"/>
      <c r="H5" s="17"/>
      <c r="I5" s="17"/>
      <c r="J5" s="17"/>
    </row>
    <row r="6" spans="1:10" x14ac:dyDescent="0.3">
      <c r="A6" s="17"/>
      <c r="B6" s="17"/>
      <c r="C6" s="17"/>
      <c r="D6" s="17"/>
      <c r="E6" s="17"/>
      <c r="F6" s="17"/>
      <c r="G6" s="17"/>
      <c r="H6" s="17"/>
      <c r="I6" s="17"/>
      <c r="J6" s="17"/>
    </row>
    <row r="7" spans="1:10" ht="18" x14ac:dyDescent="0.3">
      <c r="A7" s="17"/>
      <c r="B7" s="17"/>
      <c r="C7" s="17"/>
      <c r="D7" s="17"/>
      <c r="E7" s="521">
        <f>MO.MRFPColumnNumber</f>
        <v>72</v>
      </c>
      <c r="F7" s="513" t="str">
        <f>MO.MRFP</f>
        <v>Q1-2026</v>
      </c>
      <c r="G7" s="513"/>
      <c r="H7" s="522" t="str">
        <f>AA.CSIN</f>
        <v>Z99BO00122</v>
      </c>
      <c r="I7" s="509"/>
      <c r="J7" s="508"/>
    </row>
    <row r="8" spans="1:10" x14ac:dyDescent="0.3">
      <c r="A8" s="17"/>
      <c r="B8" s="17"/>
      <c r="C8" s="17"/>
      <c r="D8" s="17"/>
      <c r="E8" s="17"/>
      <c r="F8" s="17"/>
      <c r="G8" s="17"/>
      <c r="H8" s="523" t="str">
        <f>+AA.ModelVersion</f>
        <v>Q1-2026.23</v>
      </c>
      <c r="I8" s="17"/>
      <c r="J8" s="17"/>
    </row>
    <row r="9" spans="1:10" x14ac:dyDescent="0.3">
      <c r="A9" s="17"/>
      <c r="B9" s="17"/>
      <c r="C9" s="17"/>
      <c r="D9" s="17"/>
      <c r="E9" s="17"/>
      <c r="F9" s="17"/>
      <c r="G9" s="17"/>
      <c r="H9" s="17"/>
      <c r="I9" s="17"/>
      <c r="J9" s="17"/>
    </row>
    <row r="10" spans="1:10" x14ac:dyDescent="0.3">
      <c r="A10" s="17"/>
      <c r="B10" s="17"/>
      <c r="C10" s="546" t="s">
        <v>463</v>
      </c>
      <c r="D10" s="546" t="s">
        <v>464</v>
      </c>
      <c r="E10" s="546" t="s">
        <v>465</v>
      </c>
      <c r="F10" s="546" t="s">
        <v>554</v>
      </c>
      <c r="G10" s="546" t="s">
        <v>466</v>
      </c>
      <c r="H10" s="547" t="s">
        <v>467</v>
      </c>
      <c r="I10" s="17"/>
      <c r="J10" s="17"/>
    </row>
    <row r="11" spans="1:10" x14ac:dyDescent="0.3">
      <c r="A11" s="17"/>
      <c r="B11" s="17"/>
      <c r="C11" s="524">
        <v>46149</v>
      </c>
      <c r="D11" s="525" t="s">
        <v>1669</v>
      </c>
      <c r="E11" s="526" t="s">
        <v>555</v>
      </c>
      <c r="F11" s="526" t="s">
        <v>1667</v>
      </c>
      <c r="G11" s="527"/>
      <c r="H11" s="377" t="s">
        <v>470</v>
      </c>
      <c r="I11" s="17"/>
      <c r="J11" s="17"/>
    </row>
    <row r="12" spans="1:10" x14ac:dyDescent="0.3">
      <c r="A12" s="17"/>
      <c r="B12" s="17"/>
      <c r="C12" s="524">
        <v>46143</v>
      </c>
      <c r="D12" s="525" t="s">
        <v>1669</v>
      </c>
      <c r="E12" s="526" t="s">
        <v>488</v>
      </c>
      <c r="F12" s="526" t="s">
        <v>1667</v>
      </c>
      <c r="G12" s="527"/>
      <c r="H12" s="293" t="s">
        <v>470</v>
      </c>
      <c r="I12" s="17"/>
      <c r="J12" s="17"/>
    </row>
    <row r="13" spans="1:10" x14ac:dyDescent="0.3">
      <c r="A13" s="17"/>
      <c r="B13" s="17"/>
      <c r="C13" s="524">
        <v>46086</v>
      </c>
      <c r="D13" s="525" t="s">
        <v>591</v>
      </c>
      <c r="E13" s="526" t="s">
        <v>556</v>
      </c>
      <c r="F13" s="526" t="s">
        <v>824</v>
      </c>
      <c r="G13" s="527"/>
      <c r="H13" s="293" t="s">
        <v>470</v>
      </c>
      <c r="I13" s="17"/>
      <c r="J13" s="17"/>
    </row>
    <row r="14" spans="1:10" x14ac:dyDescent="0.3">
      <c r="A14" s="17"/>
      <c r="B14" s="17"/>
      <c r="C14" s="524">
        <v>46052</v>
      </c>
      <c r="D14" s="525" t="s">
        <v>1666</v>
      </c>
      <c r="E14" s="526" t="s">
        <v>488</v>
      </c>
      <c r="F14" s="526" t="s">
        <v>824</v>
      </c>
      <c r="G14" s="527"/>
      <c r="H14" s="535" t="s">
        <v>470</v>
      </c>
      <c r="I14" s="17"/>
      <c r="J14" s="17"/>
    </row>
    <row r="15" spans="1:10" x14ac:dyDescent="0.3">
      <c r="A15" s="17"/>
      <c r="B15" s="17"/>
      <c r="C15" s="524">
        <v>45972</v>
      </c>
      <c r="D15" s="525" t="s">
        <v>820</v>
      </c>
      <c r="E15" s="526" t="s">
        <v>555</v>
      </c>
      <c r="F15" s="526" t="s">
        <v>1657</v>
      </c>
      <c r="G15" s="527"/>
      <c r="H15" s="293" t="s">
        <v>470</v>
      </c>
      <c r="I15" s="17"/>
      <c r="J15" s="17"/>
    </row>
    <row r="16" spans="1:10" x14ac:dyDescent="0.3">
      <c r="A16" s="17"/>
      <c r="B16" s="17"/>
      <c r="C16" s="524">
        <v>45961</v>
      </c>
      <c r="D16" s="525" t="s">
        <v>745</v>
      </c>
      <c r="E16" s="526" t="s">
        <v>488</v>
      </c>
      <c r="F16" s="526" t="s">
        <v>1657</v>
      </c>
      <c r="G16" s="527"/>
      <c r="H16" s="293" t="s">
        <v>470</v>
      </c>
      <c r="I16" s="17"/>
      <c r="J16" s="17"/>
    </row>
    <row r="17" spans="1:10" x14ac:dyDescent="0.3">
      <c r="A17" s="17"/>
      <c r="B17" s="17"/>
      <c r="C17" s="524">
        <v>45880</v>
      </c>
      <c r="D17" s="525" t="s">
        <v>1597</v>
      </c>
      <c r="E17" s="526" t="s">
        <v>555</v>
      </c>
      <c r="F17" s="526" t="s">
        <v>1598</v>
      </c>
      <c r="G17" s="527"/>
      <c r="H17" s="293" t="s">
        <v>470</v>
      </c>
      <c r="I17" s="17"/>
      <c r="J17" s="17"/>
    </row>
    <row r="18" spans="1:10" x14ac:dyDescent="0.3">
      <c r="A18" s="17"/>
      <c r="B18" s="17"/>
      <c r="C18" s="524">
        <v>45870</v>
      </c>
      <c r="D18" s="525" t="s">
        <v>1597</v>
      </c>
      <c r="E18" s="526" t="s">
        <v>488</v>
      </c>
      <c r="F18" s="526" t="s">
        <v>1598</v>
      </c>
      <c r="G18" s="527"/>
      <c r="H18" s="293" t="s">
        <v>470</v>
      </c>
      <c r="I18" s="17"/>
      <c r="J18" s="17"/>
    </row>
    <row r="19" spans="1:10" x14ac:dyDescent="0.3">
      <c r="A19" s="17"/>
      <c r="B19" s="17"/>
      <c r="C19" s="524">
        <v>45786</v>
      </c>
      <c r="D19" s="525" t="s">
        <v>745</v>
      </c>
      <c r="E19" s="526" t="s">
        <v>555</v>
      </c>
      <c r="F19" s="526" t="s">
        <v>821</v>
      </c>
      <c r="G19" s="527"/>
      <c r="H19" s="293" t="s">
        <v>470</v>
      </c>
      <c r="I19" s="17"/>
      <c r="J19" s="17"/>
    </row>
    <row r="20" spans="1:10" x14ac:dyDescent="0.3">
      <c r="A20" s="17"/>
      <c r="B20" s="17"/>
      <c r="C20" s="524">
        <v>45779</v>
      </c>
      <c r="D20" s="525" t="s">
        <v>1597</v>
      </c>
      <c r="E20" s="526" t="s">
        <v>488</v>
      </c>
      <c r="F20" s="526" t="s">
        <v>821</v>
      </c>
      <c r="G20" s="527"/>
      <c r="H20" s="293" t="s">
        <v>470</v>
      </c>
      <c r="I20" s="17"/>
      <c r="J20" s="17"/>
    </row>
    <row r="21" spans="1:10" x14ac:dyDescent="0.3">
      <c r="A21" s="17"/>
      <c r="B21" s="17"/>
      <c r="C21" s="524">
        <v>45714</v>
      </c>
      <c r="D21" s="525" t="s">
        <v>591</v>
      </c>
      <c r="E21" s="526" t="s">
        <v>556</v>
      </c>
      <c r="F21" s="526" t="s">
        <v>810</v>
      </c>
      <c r="G21" s="527"/>
      <c r="H21" s="293" t="s">
        <v>470</v>
      </c>
      <c r="I21" s="17"/>
      <c r="J21" s="17"/>
    </row>
    <row r="22" spans="1:10" x14ac:dyDescent="0.3">
      <c r="A22" s="17"/>
      <c r="B22" s="17"/>
      <c r="C22" s="524">
        <v>45688</v>
      </c>
      <c r="D22" s="525" t="s">
        <v>745</v>
      </c>
      <c r="E22" s="526" t="s">
        <v>488</v>
      </c>
      <c r="F22" s="526" t="s">
        <v>810</v>
      </c>
      <c r="G22" s="527"/>
      <c r="H22" s="293" t="s">
        <v>470</v>
      </c>
      <c r="I22" s="17"/>
      <c r="J22" s="17"/>
    </row>
    <row r="23" spans="1:10" x14ac:dyDescent="0.3">
      <c r="A23" s="17"/>
      <c r="B23" s="17"/>
      <c r="C23" s="524">
        <v>45616</v>
      </c>
      <c r="D23" s="525" t="s">
        <v>820</v>
      </c>
      <c r="E23" s="526" t="s">
        <v>555</v>
      </c>
      <c r="F23" s="526" t="s">
        <v>818</v>
      </c>
      <c r="G23" s="527"/>
      <c r="H23" s="293" t="s">
        <v>470</v>
      </c>
      <c r="I23" s="17"/>
      <c r="J23" s="17"/>
    </row>
    <row r="24" spans="1:10" x14ac:dyDescent="0.3">
      <c r="A24" s="17"/>
      <c r="B24" s="17"/>
      <c r="C24" s="524">
        <v>45597</v>
      </c>
      <c r="D24" s="525" t="s">
        <v>731</v>
      </c>
      <c r="E24" s="526" t="s">
        <v>488</v>
      </c>
      <c r="F24" s="526" t="s">
        <v>818</v>
      </c>
      <c r="G24" s="527"/>
      <c r="H24" s="293" t="s">
        <v>470</v>
      </c>
      <c r="I24" s="17"/>
      <c r="J24" s="17"/>
    </row>
    <row r="25" spans="1:10" x14ac:dyDescent="0.3">
      <c r="A25" s="17"/>
      <c r="B25" s="17"/>
      <c r="C25" s="524">
        <v>45513</v>
      </c>
      <c r="D25" s="525" t="s">
        <v>591</v>
      </c>
      <c r="E25" s="526" t="s">
        <v>555</v>
      </c>
      <c r="F25" s="526" t="s">
        <v>814</v>
      </c>
      <c r="G25" s="527"/>
      <c r="H25" s="293" t="s">
        <v>470</v>
      </c>
      <c r="I25" s="17"/>
      <c r="J25" s="17"/>
    </row>
    <row r="26" spans="1:10" x14ac:dyDescent="0.3">
      <c r="A26" s="17"/>
      <c r="B26" s="17"/>
      <c r="C26" s="524">
        <v>45506</v>
      </c>
      <c r="D26" s="525" t="s">
        <v>745</v>
      </c>
      <c r="E26" s="526" t="s">
        <v>488</v>
      </c>
      <c r="F26" s="526" t="s">
        <v>814</v>
      </c>
      <c r="G26" s="527"/>
      <c r="H26" s="293" t="s">
        <v>470</v>
      </c>
      <c r="I26" s="17"/>
      <c r="J26" s="17"/>
    </row>
    <row r="27" spans="1:10" x14ac:dyDescent="0.3">
      <c r="A27" s="17"/>
      <c r="B27" s="17"/>
      <c r="C27" s="524">
        <v>45418</v>
      </c>
      <c r="D27" s="525" t="s">
        <v>591</v>
      </c>
      <c r="E27" s="526" t="s">
        <v>555</v>
      </c>
      <c r="F27" s="526" t="s">
        <v>809</v>
      </c>
      <c r="G27" s="527"/>
      <c r="H27" s="293" t="s">
        <v>470</v>
      </c>
      <c r="I27" s="17"/>
      <c r="J27" s="17"/>
    </row>
    <row r="28" spans="1:10" x14ac:dyDescent="0.3">
      <c r="A28" s="17"/>
      <c r="B28" s="17"/>
      <c r="C28" s="524">
        <v>45408</v>
      </c>
      <c r="D28" s="525" t="s">
        <v>745</v>
      </c>
      <c r="E28" s="526" t="s">
        <v>488</v>
      </c>
      <c r="F28" s="526" t="s">
        <v>809</v>
      </c>
      <c r="G28" s="527"/>
      <c r="H28" s="293" t="s">
        <v>470</v>
      </c>
      <c r="I28" s="17"/>
      <c r="J28" s="17"/>
    </row>
    <row r="29" spans="1:10" x14ac:dyDescent="0.3">
      <c r="A29" s="17"/>
      <c r="B29" s="17"/>
      <c r="C29" s="524">
        <v>45348</v>
      </c>
      <c r="D29" s="525" t="s">
        <v>595</v>
      </c>
      <c r="E29" s="526" t="s">
        <v>556</v>
      </c>
      <c r="F29" s="526" t="s">
        <v>553</v>
      </c>
      <c r="G29" s="527"/>
      <c r="H29" s="293" t="s">
        <v>470</v>
      </c>
      <c r="I29" s="17"/>
      <c r="J29" s="17"/>
    </row>
    <row r="30" spans="1:10" x14ac:dyDescent="0.3">
      <c r="A30" s="17"/>
      <c r="B30" s="17"/>
      <c r="C30" s="524">
        <v>45324</v>
      </c>
      <c r="D30" s="525" t="s">
        <v>808</v>
      </c>
      <c r="E30" s="526" t="s">
        <v>488</v>
      </c>
      <c r="F30" s="526" t="s">
        <v>553</v>
      </c>
      <c r="G30" s="527"/>
      <c r="H30" s="293" t="s">
        <v>470</v>
      </c>
      <c r="I30" s="17"/>
      <c r="J30" s="17"/>
    </row>
    <row r="31" spans="1:10" x14ac:dyDescent="0.3">
      <c r="A31" s="17"/>
      <c r="B31" s="17"/>
      <c r="C31" s="524">
        <v>45233</v>
      </c>
      <c r="D31" s="525" t="s">
        <v>731</v>
      </c>
      <c r="E31" s="526" t="s">
        <v>555</v>
      </c>
      <c r="F31" s="526" t="s">
        <v>732</v>
      </c>
      <c r="G31" s="527"/>
      <c r="H31" s="377" t="s">
        <v>470</v>
      </c>
      <c r="I31" s="17"/>
      <c r="J31" s="17"/>
    </row>
    <row r="32" spans="1:10" x14ac:dyDescent="0.3">
      <c r="A32" s="17"/>
      <c r="B32" s="17"/>
      <c r="C32" s="524">
        <v>45226</v>
      </c>
      <c r="D32" s="525" t="s">
        <v>745</v>
      </c>
      <c r="E32" s="526" t="s">
        <v>488</v>
      </c>
      <c r="F32" s="526" t="s">
        <v>732</v>
      </c>
      <c r="G32" s="527"/>
      <c r="H32" s="293" t="s">
        <v>470</v>
      </c>
      <c r="I32" s="17"/>
      <c r="J32" s="17"/>
    </row>
    <row r="33" spans="1:10" x14ac:dyDescent="0.3">
      <c r="A33" s="17"/>
      <c r="B33" s="17"/>
      <c r="C33" s="524">
        <v>45141</v>
      </c>
      <c r="D33" s="525" t="s">
        <v>731</v>
      </c>
      <c r="E33" s="526" t="s">
        <v>555</v>
      </c>
      <c r="F33" s="526" t="s">
        <v>730</v>
      </c>
      <c r="G33" s="527"/>
      <c r="H33" s="293" t="s">
        <v>470</v>
      </c>
      <c r="I33" s="17"/>
      <c r="J33" s="17"/>
    </row>
    <row r="34" spans="1:10" x14ac:dyDescent="0.3">
      <c r="A34" s="17"/>
      <c r="B34" s="17"/>
      <c r="C34" s="524">
        <v>45135</v>
      </c>
      <c r="D34" s="525" t="s">
        <v>731</v>
      </c>
      <c r="E34" s="526" t="s">
        <v>488</v>
      </c>
      <c r="F34" s="526" t="s">
        <v>730</v>
      </c>
      <c r="G34" s="527"/>
      <c r="H34" s="293" t="s">
        <v>470</v>
      </c>
      <c r="I34" s="17"/>
      <c r="J34" s="17"/>
    </row>
    <row r="35" spans="1:10" x14ac:dyDescent="0.3">
      <c r="A35" s="17"/>
      <c r="B35" s="17"/>
      <c r="C35" s="524">
        <v>45051</v>
      </c>
      <c r="D35" s="525" t="s">
        <v>573</v>
      </c>
      <c r="E35" s="526" t="s">
        <v>555</v>
      </c>
      <c r="F35" s="526" t="s">
        <v>719</v>
      </c>
      <c r="G35" s="527"/>
      <c r="H35" s="293" t="s">
        <v>470</v>
      </c>
      <c r="I35" s="17"/>
      <c r="J35" s="17"/>
    </row>
    <row r="36" spans="1:10" x14ac:dyDescent="0.3">
      <c r="A36" s="17"/>
      <c r="B36" s="17"/>
      <c r="C36" s="524">
        <v>45044</v>
      </c>
      <c r="D36" s="525" t="s">
        <v>573</v>
      </c>
      <c r="E36" s="526" t="s">
        <v>488</v>
      </c>
      <c r="F36" s="526" t="s">
        <v>719</v>
      </c>
      <c r="G36" s="527"/>
      <c r="H36" s="293" t="s">
        <v>470</v>
      </c>
      <c r="I36" s="17"/>
      <c r="J36" s="17"/>
    </row>
    <row r="37" spans="1:10" x14ac:dyDescent="0.3">
      <c r="A37" s="17"/>
      <c r="B37" s="17"/>
      <c r="C37" s="524">
        <v>44995</v>
      </c>
      <c r="D37" s="525" t="s">
        <v>573</v>
      </c>
      <c r="E37" s="526" t="s">
        <v>556</v>
      </c>
      <c r="F37" s="526" t="s">
        <v>552</v>
      </c>
      <c r="G37" s="527"/>
      <c r="H37" s="293" t="s">
        <v>470</v>
      </c>
      <c r="I37" s="17"/>
      <c r="J37" s="17"/>
    </row>
    <row r="38" spans="1:10" x14ac:dyDescent="0.3">
      <c r="A38" s="17"/>
      <c r="B38" s="17"/>
      <c r="C38" s="524">
        <v>44953</v>
      </c>
      <c r="D38" s="525" t="s">
        <v>718</v>
      </c>
      <c r="E38" s="526" t="s">
        <v>488</v>
      </c>
      <c r="F38" s="526" t="s">
        <v>552</v>
      </c>
      <c r="G38" s="527"/>
      <c r="H38" s="528" t="s">
        <v>470</v>
      </c>
      <c r="I38" s="17"/>
      <c r="J38" s="17"/>
    </row>
    <row r="39" spans="1:10" x14ac:dyDescent="0.3">
      <c r="A39" s="17"/>
      <c r="B39" s="17"/>
      <c r="C39" s="524">
        <v>44869</v>
      </c>
      <c r="D39" s="525" t="s">
        <v>716</v>
      </c>
      <c r="E39" s="526" t="s">
        <v>555</v>
      </c>
      <c r="F39" s="526" t="s">
        <v>700</v>
      </c>
      <c r="G39" s="527"/>
      <c r="H39" s="377" t="s">
        <v>470</v>
      </c>
      <c r="I39" s="17"/>
      <c r="J39" s="17"/>
    </row>
    <row r="40" spans="1:10" x14ac:dyDescent="0.3">
      <c r="A40" s="17"/>
      <c r="B40" s="17"/>
      <c r="C40" s="524">
        <v>44862</v>
      </c>
      <c r="D40" s="525" t="s">
        <v>716</v>
      </c>
      <c r="E40" s="526" t="s">
        <v>488</v>
      </c>
      <c r="F40" s="526" t="s">
        <v>700</v>
      </c>
      <c r="G40" s="527"/>
      <c r="H40" s="293" t="s">
        <v>470</v>
      </c>
      <c r="I40" s="17"/>
      <c r="J40" s="17"/>
    </row>
    <row r="41" spans="1:10" x14ac:dyDescent="0.3">
      <c r="A41" s="17"/>
      <c r="B41" s="17"/>
      <c r="C41" s="524">
        <v>44781</v>
      </c>
      <c r="D41" s="525" t="s">
        <v>573</v>
      </c>
      <c r="E41" s="526" t="s">
        <v>555</v>
      </c>
      <c r="F41" s="526" t="s">
        <v>690</v>
      </c>
      <c r="G41" s="527"/>
      <c r="H41" s="293" t="s">
        <v>470</v>
      </c>
      <c r="I41" s="17"/>
      <c r="J41" s="17"/>
    </row>
    <row r="42" spans="1:10" x14ac:dyDescent="0.3">
      <c r="A42" s="17"/>
      <c r="B42" s="17"/>
      <c r="C42" s="524">
        <v>44771</v>
      </c>
      <c r="D42" s="525" t="s">
        <v>657</v>
      </c>
      <c r="E42" s="526" t="s">
        <v>488</v>
      </c>
      <c r="F42" s="526" t="s">
        <v>690</v>
      </c>
      <c r="G42" s="527"/>
      <c r="H42" s="293" t="s">
        <v>470</v>
      </c>
      <c r="I42" s="17"/>
      <c r="J42" s="17"/>
    </row>
    <row r="43" spans="1:10" x14ac:dyDescent="0.3">
      <c r="A43" s="17"/>
      <c r="B43" s="17"/>
      <c r="C43" s="524">
        <v>44685</v>
      </c>
      <c r="D43" s="525" t="s">
        <v>561</v>
      </c>
      <c r="E43" s="526" t="s">
        <v>555</v>
      </c>
      <c r="F43" s="526" t="s">
        <v>654</v>
      </c>
      <c r="G43" s="527"/>
      <c r="H43" s="293" t="s">
        <v>470</v>
      </c>
      <c r="I43" s="17"/>
      <c r="J43" s="17"/>
    </row>
    <row r="44" spans="1:10" x14ac:dyDescent="0.3">
      <c r="A44" s="17"/>
      <c r="B44" s="17"/>
      <c r="C44" s="524">
        <v>44680</v>
      </c>
      <c r="D44" s="525" t="s">
        <v>688</v>
      </c>
      <c r="E44" s="526" t="s">
        <v>488</v>
      </c>
      <c r="F44" s="526" t="s">
        <v>654</v>
      </c>
      <c r="G44" s="527"/>
      <c r="H44" s="293" t="s">
        <v>470</v>
      </c>
      <c r="I44" s="17"/>
      <c r="J44" s="17"/>
    </row>
    <row r="45" spans="1:10" x14ac:dyDescent="0.3">
      <c r="A45" s="17"/>
      <c r="B45" s="17"/>
      <c r="C45" s="524">
        <v>44616</v>
      </c>
      <c r="D45" s="525" t="s">
        <v>657</v>
      </c>
      <c r="E45" s="526" t="s">
        <v>556</v>
      </c>
      <c r="F45" s="526" t="s">
        <v>551</v>
      </c>
      <c r="G45" s="527"/>
      <c r="H45" s="293" t="s">
        <v>470</v>
      </c>
      <c r="I45" s="17"/>
      <c r="J45" s="17"/>
    </row>
    <row r="46" spans="1:10" x14ac:dyDescent="0.3">
      <c r="A46" s="17"/>
      <c r="B46" s="17"/>
      <c r="C46" s="524">
        <v>44589</v>
      </c>
      <c r="D46" s="525" t="s">
        <v>573</v>
      </c>
      <c r="E46" s="526" t="s">
        <v>488</v>
      </c>
      <c r="F46" s="526" t="s">
        <v>551</v>
      </c>
      <c r="G46" s="527"/>
      <c r="H46" s="293" t="s">
        <v>470</v>
      </c>
      <c r="I46" s="17"/>
      <c r="J46" s="17"/>
    </row>
    <row r="47" spans="1:10" x14ac:dyDescent="0.3">
      <c r="A47" s="17"/>
      <c r="B47" s="17"/>
      <c r="C47" s="524">
        <v>44504</v>
      </c>
      <c r="D47" s="525" t="s">
        <v>591</v>
      </c>
      <c r="E47" s="526" t="s">
        <v>555</v>
      </c>
      <c r="F47" s="526" t="s">
        <v>610</v>
      </c>
      <c r="G47" s="527"/>
      <c r="H47" s="293" t="s">
        <v>470</v>
      </c>
      <c r="I47" s="17"/>
      <c r="J47" s="17"/>
    </row>
    <row r="48" spans="1:10" x14ac:dyDescent="0.3">
      <c r="A48" s="17"/>
      <c r="B48" s="17"/>
      <c r="C48" s="524">
        <v>44498</v>
      </c>
      <c r="D48" s="525" t="s">
        <v>573</v>
      </c>
      <c r="E48" s="526" t="s">
        <v>488</v>
      </c>
      <c r="F48" s="526" t="s">
        <v>610</v>
      </c>
      <c r="G48" s="527"/>
      <c r="H48" s="293" t="s">
        <v>470</v>
      </c>
      <c r="I48" s="17"/>
      <c r="J48" s="17"/>
    </row>
    <row r="49" spans="1:10" x14ac:dyDescent="0.3">
      <c r="A49" s="17"/>
      <c r="B49" s="17"/>
      <c r="C49" s="524">
        <v>44414</v>
      </c>
      <c r="D49" s="525" t="s">
        <v>595</v>
      </c>
      <c r="E49" s="526" t="s">
        <v>555</v>
      </c>
      <c r="F49" s="526" t="s">
        <v>608</v>
      </c>
      <c r="G49" s="527"/>
      <c r="H49" s="293" t="s">
        <v>470</v>
      </c>
      <c r="I49" s="17"/>
      <c r="J49" s="17"/>
    </row>
    <row r="50" spans="1:10" x14ac:dyDescent="0.3">
      <c r="A50" s="17"/>
      <c r="B50" s="17"/>
      <c r="C50" s="524">
        <v>44407</v>
      </c>
      <c r="D50" s="525" t="s">
        <v>609</v>
      </c>
      <c r="E50" s="526" t="s">
        <v>488</v>
      </c>
      <c r="F50" s="526" t="s">
        <v>608</v>
      </c>
      <c r="G50" s="527"/>
      <c r="H50" s="293" t="s">
        <v>470</v>
      </c>
      <c r="I50" s="17"/>
      <c r="J50" s="17"/>
    </row>
    <row r="51" spans="1:10" x14ac:dyDescent="0.3">
      <c r="A51" s="17"/>
      <c r="B51" s="17"/>
      <c r="C51" s="524">
        <v>44322</v>
      </c>
      <c r="D51" s="525" t="s">
        <v>593</v>
      </c>
      <c r="E51" s="526" t="s">
        <v>555</v>
      </c>
      <c r="F51" s="526" t="s">
        <v>604</v>
      </c>
      <c r="G51" s="527"/>
      <c r="H51" s="293" t="s">
        <v>470</v>
      </c>
      <c r="I51" s="17"/>
      <c r="J51" s="17"/>
    </row>
    <row r="52" spans="1:10" x14ac:dyDescent="0.3">
      <c r="A52" s="17"/>
      <c r="B52" s="17"/>
      <c r="C52" s="524">
        <v>44316</v>
      </c>
      <c r="D52" s="525" t="s">
        <v>573</v>
      </c>
      <c r="E52" s="526" t="s">
        <v>488</v>
      </c>
      <c r="F52" s="526" t="s">
        <v>604</v>
      </c>
      <c r="G52" s="527"/>
      <c r="H52" s="293" t="s">
        <v>470</v>
      </c>
      <c r="I52" s="17"/>
      <c r="J52" s="17"/>
    </row>
    <row r="53" spans="1:10" x14ac:dyDescent="0.3">
      <c r="A53" s="17"/>
      <c r="B53" s="17"/>
      <c r="C53" s="524">
        <v>44252</v>
      </c>
      <c r="D53" s="525" t="s">
        <v>561</v>
      </c>
      <c r="E53" s="526" t="s">
        <v>556</v>
      </c>
      <c r="F53" s="526" t="s">
        <v>538</v>
      </c>
      <c r="G53" s="527"/>
      <c r="H53" s="293" t="s">
        <v>470</v>
      </c>
      <c r="I53" s="17"/>
      <c r="J53" s="17"/>
    </row>
    <row r="54" spans="1:10" x14ac:dyDescent="0.3">
      <c r="A54" s="17"/>
      <c r="B54" s="17"/>
      <c r="C54" s="524">
        <v>44225</v>
      </c>
      <c r="D54" s="525" t="s">
        <v>595</v>
      </c>
      <c r="E54" s="526" t="s">
        <v>488</v>
      </c>
      <c r="F54" s="526" t="s">
        <v>538</v>
      </c>
      <c r="G54" s="527"/>
      <c r="H54" s="293" t="s">
        <v>470</v>
      </c>
      <c r="I54" s="17"/>
      <c r="J54" s="17"/>
    </row>
    <row r="55" spans="1:10" x14ac:dyDescent="0.3">
      <c r="A55" s="17"/>
      <c r="B55" s="17"/>
      <c r="C55" s="524">
        <v>44140</v>
      </c>
      <c r="D55" s="525" t="s">
        <v>573</v>
      </c>
      <c r="E55" s="526" t="s">
        <v>555</v>
      </c>
      <c r="F55" s="526" t="s">
        <v>592</v>
      </c>
      <c r="G55" s="527"/>
      <c r="H55" s="293" t="s">
        <v>470</v>
      </c>
      <c r="I55" s="17"/>
      <c r="J55" s="17"/>
    </row>
    <row r="56" spans="1:10" x14ac:dyDescent="0.3">
      <c r="A56" s="17"/>
      <c r="B56" s="17"/>
      <c r="C56" s="524">
        <v>44134</v>
      </c>
      <c r="D56" s="525" t="s">
        <v>593</v>
      </c>
      <c r="E56" s="526" t="s">
        <v>488</v>
      </c>
      <c r="F56" s="526" t="s">
        <v>592</v>
      </c>
      <c r="G56" s="527"/>
      <c r="H56" s="293" t="s">
        <v>470</v>
      </c>
      <c r="I56" s="17"/>
      <c r="J56" s="17"/>
    </row>
    <row r="57" spans="1:10" x14ac:dyDescent="0.3">
      <c r="A57" s="17"/>
      <c r="B57" s="17"/>
      <c r="C57" s="524">
        <v>44048</v>
      </c>
      <c r="D57" s="525" t="s">
        <v>591</v>
      </c>
      <c r="E57" s="526" t="s">
        <v>555</v>
      </c>
      <c r="F57" s="526" t="s">
        <v>590</v>
      </c>
      <c r="G57" s="527"/>
      <c r="H57" s="293" t="s">
        <v>470</v>
      </c>
      <c r="I57" s="17"/>
      <c r="J57" s="17"/>
    </row>
    <row r="58" spans="1:10" x14ac:dyDescent="0.3">
      <c r="A58" s="17"/>
      <c r="B58" s="17"/>
      <c r="C58" s="524">
        <v>44043</v>
      </c>
      <c r="D58" s="525" t="s">
        <v>573</v>
      </c>
      <c r="E58" s="526" t="s">
        <v>488</v>
      </c>
      <c r="F58" s="526" t="s">
        <v>590</v>
      </c>
      <c r="G58" s="527"/>
      <c r="H58" s="293" t="s">
        <v>470</v>
      </c>
      <c r="I58" s="17"/>
      <c r="J58" s="17"/>
    </row>
    <row r="59" spans="1:10" x14ac:dyDescent="0.3">
      <c r="A59" s="17"/>
      <c r="B59" s="17"/>
      <c r="C59" s="524">
        <v>43957</v>
      </c>
      <c r="D59" s="525" t="s">
        <v>573</v>
      </c>
      <c r="E59" s="526" t="s">
        <v>555</v>
      </c>
      <c r="F59" s="526" t="s">
        <v>572</v>
      </c>
      <c r="G59" s="527"/>
      <c r="H59" s="293" t="s">
        <v>470</v>
      </c>
      <c r="I59" s="17"/>
      <c r="J59" s="17"/>
    </row>
    <row r="60" spans="1:10" x14ac:dyDescent="0.3">
      <c r="A60" s="17"/>
      <c r="B60" s="17"/>
      <c r="C60" s="524">
        <v>43952</v>
      </c>
      <c r="D60" s="525" t="s">
        <v>561</v>
      </c>
      <c r="E60" s="526" t="s">
        <v>488</v>
      </c>
      <c r="F60" s="526" t="s">
        <v>572</v>
      </c>
      <c r="G60" s="527"/>
      <c r="H60" s="293" t="s">
        <v>470</v>
      </c>
      <c r="I60" s="17"/>
      <c r="J60" s="17"/>
    </row>
    <row r="61" spans="1:10" x14ac:dyDescent="0.3">
      <c r="A61" s="17"/>
      <c r="B61" s="17"/>
      <c r="C61" s="524">
        <v>43902</v>
      </c>
      <c r="D61" s="525" t="s">
        <v>561</v>
      </c>
      <c r="E61" s="526" t="s">
        <v>556</v>
      </c>
      <c r="F61" s="526" t="s">
        <v>406</v>
      </c>
      <c r="G61" s="527"/>
      <c r="H61" s="293" t="s">
        <v>470</v>
      </c>
      <c r="I61" s="17"/>
      <c r="J61" s="17"/>
    </row>
    <row r="62" spans="1:10" x14ac:dyDescent="0.3">
      <c r="A62" s="17"/>
      <c r="B62" s="17"/>
      <c r="C62" s="524">
        <v>43861</v>
      </c>
      <c r="D62" s="525" t="s">
        <v>529</v>
      </c>
      <c r="E62" s="526" t="s">
        <v>488</v>
      </c>
      <c r="F62" s="526" t="s">
        <v>406</v>
      </c>
      <c r="G62" s="527"/>
      <c r="H62" s="529" t="s">
        <v>470</v>
      </c>
      <c r="I62" s="17"/>
      <c r="J62" s="17"/>
    </row>
    <row r="63" spans="1:10" x14ac:dyDescent="0.3">
      <c r="A63" s="17"/>
      <c r="B63" s="17"/>
      <c r="C63" s="524">
        <v>43770</v>
      </c>
      <c r="D63" s="525" t="s">
        <v>529</v>
      </c>
      <c r="E63" s="526" t="s">
        <v>555</v>
      </c>
      <c r="F63" s="526" t="s">
        <v>528</v>
      </c>
      <c r="G63" s="527"/>
      <c r="H63" s="529" t="s">
        <v>470</v>
      </c>
      <c r="I63" s="17"/>
      <c r="J63" s="17"/>
    </row>
    <row r="64" spans="1:10" x14ac:dyDescent="0.3">
      <c r="A64" s="17"/>
      <c r="B64" s="17"/>
      <c r="C64" s="524">
        <v>43679</v>
      </c>
      <c r="D64" s="525" t="s">
        <v>522</v>
      </c>
      <c r="E64" s="526" t="s">
        <v>555</v>
      </c>
      <c r="F64" s="526" t="s">
        <v>523</v>
      </c>
      <c r="G64" s="527"/>
      <c r="H64" s="529" t="s">
        <v>470</v>
      </c>
      <c r="I64" s="17"/>
      <c r="J64" s="17"/>
    </row>
    <row r="65" spans="1:10" x14ac:dyDescent="0.3">
      <c r="A65" s="17"/>
      <c r="B65" s="17"/>
      <c r="C65" s="530">
        <v>43587</v>
      </c>
      <c r="D65" s="531" t="s">
        <v>489</v>
      </c>
      <c r="E65" s="532" t="s">
        <v>555</v>
      </c>
      <c r="F65" s="532" t="s">
        <v>490</v>
      </c>
      <c r="G65" s="533"/>
      <c r="H65" s="534" t="s">
        <v>470</v>
      </c>
      <c r="I65" s="17"/>
      <c r="J65" s="17"/>
    </row>
    <row r="66" spans="1:10" x14ac:dyDescent="0.3">
      <c r="A66" s="17"/>
      <c r="B66" s="17"/>
      <c r="C66" s="530">
        <v>43581</v>
      </c>
      <c r="D66" s="531" t="s">
        <v>487</v>
      </c>
      <c r="E66" s="532" t="s">
        <v>488</v>
      </c>
      <c r="F66" s="532" t="s">
        <v>490</v>
      </c>
      <c r="G66" s="533"/>
      <c r="H66" s="534" t="s">
        <v>470</v>
      </c>
      <c r="I66" s="17"/>
      <c r="J66" s="17"/>
    </row>
    <row r="67" spans="1:10" x14ac:dyDescent="0.3">
      <c r="A67" s="17"/>
      <c r="B67" s="17"/>
      <c r="C67" s="530">
        <v>43497</v>
      </c>
      <c r="D67" s="531" t="s">
        <v>468</v>
      </c>
      <c r="E67" s="532" t="s">
        <v>556</v>
      </c>
      <c r="F67" s="532" t="s">
        <v>409</v>
      </c>
      <c r="G67" s="533" t="s">
        <v>469</v>
      </c>
      <c r="H67" s="535" t="s">
        <v>470</v>
      </c>
      <c r="I67" s="17"/>
      <c r="J67" s="17"/>
    </row>
    <row r="68" spans="1:10" x14ac:dyDescent="0.3">
      <c r="A68" s="17"/>
      <c r="B68" s="17"/>
      <c r="C68" s="530">
        <v>43406</v>
      </c>
      <c r="D68" s="531" t="s">
        <v>471</v>
      </c>
      <c r="E68" s="532" t="s">
        <v>555</v>
      </c>
      <c r="F68" s="532" t="s">
        <v>472</v>
      </c>
      <c r="G68" s="533"/>
      <c r="H68" s="535" t="s">
        <v>470</v>
      </c>
      <c r="I68" s="17"/>
      <c r="J68" s="17"/>
    </row>
    <row r="69" spans="1:10" x14ac:dyDescent="0.3">
      <c r="A69" s="17"/>
      <c r="B69" s="17"/>
      <c r="C69" s="530">
        <v>43314</v>
      </c>
      <c r="D69" s="531" t="s">
        <v>473</v>
      </c>
      <c r="E69" s="532" t="s">
        <v>555</v>
      </c>
      <c r="F69" s="532" t="s">
        <v>474</v>
      </c>
      <c r="G69" s="533"/>
      <c r="H69" s="535" t="s">
        <v>470</v>
      </c>
      <c r="I69" s="17"/>
      <c r="J69" s="17"/>
    </row>
    <row r="70" spans="1:10" x14ac:dyDescent="0.3">
      <c r="A70" s="17"/>
      <c r="B70" s="17"/>
      <c r="C70" s="536">
        <v>43226</v>
      </c>
      <c r="D70" s="537" t="s">
        <v>475</v>
      </c>
      <c r="E70" s="538" t="s">
        <v>555</v>
      </c>
      <c r="F70" s="538" t="s">
        <v>476</v>
      </c>
      <c r="G70" s="539"/>
      <c r="H70" s="540" t="s">
        <v>470</v>
      </c>
      <c r="I70" s="17"/>
      <c r="J70" s="17"/>
    </row>
    <row r="71" spans="1:10" x14ac:dyDescent="0.3">
      <c r="A71" s="17"/>
      <c r="B71" s="17"/>
      <c r="C71" s="524">
        <v>43158</v>
      </c>
      <c r="D71" s="525" t="s">
        <v>477</v>
      </c>
      <c r="E71" s="526" t="s">
        <v>556</v>
      </c>
      <c r="F71" s="526" t="s">
        <v>478</v>
      </c>
      <c r="G71" s="527"/>
      <c r="H71" s="529" t="s">
        <v>470</v>
      </c>
      <c r="I71" s="17"/>
      <c r="J71" s="17"/>
    </row>
    <row r="72" spans="1:10" x14ac:dyDescent="0.3">
      <c r="A72" s="17"/>
      <c r="B72" s="17"/>
      <c r="C72" s="524">
        <v>43042</v>
      </c>
      <c r="D72" s="525" t="s">
        <v>479</v>
      </c>
      <c r="E72" s="526" t="s">
        <v>555</v>
      </c>
      <c r="F72" s="526" t="s">
        <v>480</v>
      </c>
      <c r="G72" s="527"/>
      <c r="H72" s="529" t="s">
        <v>470</v>
      </c>
      <c r="I72" s="17"/>
      <c r="J72" s="17"/>
    </row>
    <row r="73" spans="1:10" x14ac:dyDescent="0.3">
      <c r="A73" s="17"/>
      <c r="B73" s="17"/>
      <c r="C73" s="524">
        <v>42951</v>
      </c>
      <c r="D73" s="525" t="s">
        <v>481</v>
      </c>
      <c r="E73" s="526" t="s">
        <v>555</v>
      </c>
      <c r="F73" s="526" t="s">
        <v>482</v>
      </c>
      <c r="G73" s="527"/>
      <c r="H73" s="529" t="s">
        <v>470</v>
      </c>
      <c r="I73" s="17"/>
      <c r="J73" s="17"/>
    </row>
    <row r="74" spans="1:10" x14ac:dyDescent="0.3">
      <c r="A74" s="17"/>
      <c r="B74" s="17"/>
      <c r="C74" s="524">
        <v>42878</v>
      </c>
      <c r="D74" s="525" t="s">
        <v>483</v>
      </c>
      <c r="E74" s="526" t="s">
        <v>555</v>
      </c>
      <c r="F74" s="526" t="s">
        <v>484</v>
      </c>
      <c r="G74" s="527"/>
      <c r="H74" s="529" t="s">
        <v>470</v>
      </c>
      <c r="I74" s="17"/>
      <c r="J74" s="17"/>
    </row>
    <row r="75" spans="1:10" x14ac:dyDescent="0.3">
      <c r="A75" s="17"/>
      <c r="B75" s="17"/>
      <c r="C75" s="524">
        <v>42779</v>
      </c>
      <c r="D75" s="525" t="s">
        <v>471</v>
      </c>
      <c r="E75" s="526" t="s">
        <v>485</v>
      </c>
      <c r="F75" s="526" t="s">
        <v>557</v>
      </c>
      <c r="G75" s="527"/>
      <c r="H75" s="541"/>
      <c r="I75" s="17"/>
      <c r="J75" s="17"/>
    </row>
    <row r="76" spans="1:10" x14ac:dyDescent="0.3">
      <c r="A76" s="17"/>
      <c r="B76" s="17"/>
      <c r="C76" s="17"/>
      <c r="D76" s="17"/>
      <c r="E76" s="17"/>
      <c r="F76" s="17"/>
      <c r="G76" s="17"/>
      <c r="H76" s="17"/>
      <c r="I76" s="17"/>
      <c r="J76" s="17"/>
    </row>
    <row r="77" spans="1:10" x14ac:dyDescent="0.3">
      <c r="A77" s="17"/>
      <c r="B77" s="17"/>
      <c r="C77" s="17"/>
      <c r="D77" s="17"/>
      <c r="E77" s="17"/>
      <c r="F77" s="17"/>
      <c r="G77" s="17"/>
      <c r="H77" s="17"/>
      <c r="I77" s="17"/>
      <c r="J77" s="17"/>
    </row>
    <row r="78" spans="1:10" x14ac:dyDescent="0.3">
      <c r="A78" s="17"/>
      <c r="B78" s="17"/>
      <c r="C78" s="17"/>
      <c r="D78" s="17"/>
      <c r="E78" s="17"/>
      <c r="F78" s="17"/>
      <c r="G78" s="17"/>
      <c r="H78" s="17"/>
      <c r="I78" s="17"/>
      <c r="J78" s="17"/>
    </row>
    <row r="79" spans="1:10" x14ac:dyDescent="0.3">
      <c r="A79" s="17"/>
      <c r="B79" s="17"/>
      <c r="C79" s="17"/>
      <c r="D79" s="17"/>
      <c r="E79" s="17"/>
      <c r="F79" s="17"/>
      <c r="G79" s="17"/>
      <c r="H79" s="17"/>
      <c r="I79" s="17"/>
      <c r="J79" s="17"/>
    </row>
    <row r="80" spans="1:10" x14ac:dyDescent="0.3">
      <c r="A80" s="17"/>
      <c r="B80" s="17"/>
      <c r="C80" s="17"/>
      <c r="D80" s="17"/>
      <c r="E80" s="17"/>
      <c r="F80" s="17"/>
      <c r="G80" s="17"/>
      <c r="H80" s="17"/>
      <c r="I80" s="17"/>
      <c r="J80" s="17"/>
    </row>
    <row r="81" spans="1:10" x14ac:dyDescent="0.3">
      <c r="A81" s="17"/>
      <c r="B81" s="17"/>
      <c r="C81" s="17"/>
      <c r="D81" s="17"/>
      <c r="E81" s="17"/>
      <c r="F81" s="17"/>
      <c r="G81" s="17"/>
      <c r="H81" s="17"/>
      <c r="I81" s="17"/>
      <c r="J81" s="17"/>
    </row>
    <row r="82" spans="1:10" x14ac:dyDescent="0.3">
      <c r="A82" s="17"/>
      <c r="B82" s="17"/>
      <c r="C82" s="17"/>
      <c r="D82" s="17"/>
      <c r="E82" s="17"/>
      <c r="F82" s="17"/>
      <c r="G82" s="17"/>
      <c r="H82" s="17"/>
      <c r="I82" s="17"/>
      <c r="J82" s="17"/>
    </row>
    <row r="83" spans="1:10" x14ac:dyDescent="0.3">
      <c r="A83" s="17"/>
      <c r="B83" s="17"/>
      <c r="C83" s="17"/>
      <c r="D83" s="17"/>
      <c r="E83" s="17"/>
      <c r="F83" s="17"/>
      <c r="G83" s="17"/>
      <c r="H83" s="17"/>
      <c r="I83" s="17"/>
      <c r="J83" s="17"/>
    </row>
    <row r="84" spans="1:10" x14ac:dyDescent="0.3">
      <c r="A84" s="17"/>
      <c r="B84" s="17"/>
      <c r="C84" s="17"/>
      <c r="D84" s="17"/>
      <c r="E84" s="17"/>
      <c r="F84" s="17"/>
      <c r="G84" s="17"/>
      <c r="H84" s="17"/>
      <c r="I84" s="17"/>
      <c r="J84" s="17"/>
    </row>
    <row r="85" spans="1:10" x14ac:dyDescent="0.3">
      <c r="A85" s="17"/>
      <c r="B85" s="17"/>
      <c r="C85" s="17"/>
      <c r="D85" s="17"/>
      <c r="E85" s="17"/>
      <c r="F85" s="17"/>
      <c r="G85" s="17"/>
      <c r="H85" s="17"/>
      <c r="I85" s="17"/>
      <c r="J85" s="17"/>
    </row>
    <row r="86" spans="1:10" x14ac:dyDescent="0.3">
      <c r="A86" s="17"/>
      <c r="B86" s="17"/>
      <c r="C86" s="17"/>
      <c r="D86" s="17"/>
      <c r="E86" s="17"/>
      <c r="F86" s="17"/>
      <c r="G86" s="17"/>
      <c r="H86" s="17"/>
      <c r="I86" s="17"/>
      <c r="J86" s="17"/>
    </row>
    <row r="87" spans="1:10" x14ac:dyDescent="0.3">
      <c r="A87" s="17"/>
      <c r="B87" s="17"/>
      <c r="C87" s="17"/>
      <c r="D87" s="17"/>
      <c r="E87" s="17"/>
      <c r="F87" s="17"/>
      <c r="G87" s="17"/>
      <c r="H87" s="17"/>
      <c r="I87" s="17"/>
      <c r="J87" s="17"/>
    </row>
    <row r="88" spans="1:10" x14ac:dyDescent="0.3">
      <c r="A88" s="17"/>
      <c r="B88" s="17"/>
      <c r="C88" s="17"/>
      <c r="D88" s="17"/>
      <c r="E88" s="17"/>
      <c r="F88" s="17"/>
      <c r="G88" s="17"/>
      <c r="H88" s="17"/>
      <c r="I88" s="17"/>
      <c r="J88" s="17"/>
    </row>
    <row r="89" spans="1:10" x14ac:dyDescent="0.3">
      <c r="A89" s="17"/>
      <c r="B89" s="17"/>
      <c r="C89" s="17"/>
      <c r="D89" s="17"/>
      <c r="E89" s="17"/>
      <c r="F89" s="17"/>
      <c r="G89" s="17"/>
      <c r="H89" s="17"/>
      <c r="I89" s="17"/>
      <c r="J89" s="17"/>
    </row>
    <row r="90" spans="1:10" x14ac:dyDescent="0.3">
      <c r="A90" s="17"/>
      <c r="B90" s="17"/>
      <c r="C90" s="17"/>
      <c r="D90" s="17"/>
      <c r="E90" s="17"/>
      <c r="F90" s="17"/>
      <c r="G90" s="17"/>
      <c r="H90" s="17"/>
      <c r="I90" s="17"/>
      <c r="J90" s="17"/>
    </row>
    <row r="91" spans="1:10" x14ac:dyDescent="0.3">
      <c r="A91" s="17"/>
      <c r="B91" s="17"/>
      <c r="C91" s="17"/>
      <c r="D91" s="17"/>
      <c r="E91" s="17"/>
      <c r="F91" s="17"/>
      <c r="G91" s="17"/>
      <c r="H91" s="17"/>
      <c r="I91" s="17"/>
      <c r="J91" s="17"/>
    </row>
    <row r="92" spans="1:10" x14ac:dyDescent="0.3">
      <c r="A92" s="17"/>
      <c r="B92" s="17"/>
      <c r="C92" s="17"/>
      <c r="D92" s="17"/>
      <c r="E92" s="17"/>
      <c r="F92" s="17"/>
      <c r="G92" s="17"/>
      <c r="H92" s="17"/>
      <c r="I92" s="17"/>
      <c r="J92" s="17"/>
    </row>
    <row r="93" spans="1:10" x14ac:dyDescent="0.3">
      <c r="A93" s="17"/>
      <c r="B93" s="17"/>
      <c r="C93" s="17"/>
      <c r="D93" s="17"/>
      <c r="E93" s="17"/>
      <c r="F93" s="17"/>
      <c r="G93" s="17"/>
      <c r="H93" s="17"/>
      <c r="I93" s="17"/>
      <c r="J93" s="17"/>
    </row>
    <row r="94" spans="1:10" x14ac:dyDescent="0.3">
      <c r="A94" s="17"/>
      <c r="B94" s="17"/>
      <c r="C94" s="17"/>
      <c r="D94" s="17"/>
      <c r="E94" s="17"/>
      <c r="F94" s="17"/>
      <c r="G94" s="17"/>
      <c r="H94" s="17"/>
      <c r="I94" s="17"/>
      <c r="J94" s="17"/>
    </row>
    <row r="95" spans="1:10" x14ac:dyDescent="0.3">
      <c r="A95" s="17"/>
      <c r="B95" s="17"/>
      <c r="C95" s="17"/>
      <c r="D95" s="17"/>
      <c r="E95" s="17"/>
      <c r="F95" s="17"/>
      <c r="G95" s="17"/>
      <c r="H95" s="17"/>
      <c r="I95" s="17"/>
      <c r="J95" s="17"/>
    </row>
    <row r="96" spans="1:10" x14ac:dyDescent="0.3">
      <c r="A96" s="17"/>
      <c r="B96" s="17"/>
      <c r="C96" s="17"/>
      <c r="D96" s="17"/>
      <c r="E96" s="17"/>
      <c r="F96" s="17"/>
      <c r="G96" s="17"/>
      <c r="H96" s="17"/>
      <c r="I96" s="17"/>
      <c r="J96" s="17"/>
    </row>
    <row r="97" spans="1:10" x14ac:dyDescent="0.3">
      <c r="A97" s="17"/>
      <c r="B97" s="17"/>
      <c r="C97" s="17"/>
      <c r="D97" s="17"/>
      <c r="E97" s="17"/>
      <c r="F97" s="17"/>
      <c r="G97" s="17"/>
      <c r="H97" s="17"/>
      <c r="I97" s="17"/>
      <c r="J97" s="17"/>
    </row>
    <row r="98" spans="1:10" x14ac:dyDescent="0.3">
      <c r="A98" s="17"/>
      <c r="B98" s="17"/>
      <c r="C98" s="17"/>
      <c r="D98" s="17"/>
      <c r="E98" s="17"/>
      <c r="F98" s="17"/>
      <c r="G98" s="17"/>
      <c r="H98" s="17"/>
      <c r="I98" s="17"/>
      <c r="J98" s="17"/>
    </row>
  </sheetData>
  <hyperlinks>
    <hyperlink ref="H67" r:id="rId1" xr:uid="{00000000-0004-0000-0500-000000000000}"/>
    <hyperlink ref="H68" r:id="rId2" xr:uid="{00000000-0004-0000-0500-000001000000}"/>
    <hyperlink ref="H69" r:id="rId3" tooltip="Website Link" xr:uid="{00000000-0004-0000-0500-000002000000}"/>
    <hyperlink ref="H70" r:id="rId4" tooltip="Website Link" xr:uid="{00000000-0004-0000-0500-000003000000}"/>
    <hyperlink ref="H71" r:id="rId5" tooltip="Website Link" xr:uid="{00000000-0004-0000-0500-000004000000}"/>
    <hyperlink ref="H72" r:id="rId6" tooltip="Website Link" xr:uid="{00000000-0004-0000-0500-000005000000}"/>
    <hyperlink ref="H73" r:id="rId7" tooltip="Website Link" xr:uid="{00000000-0004-0000-0500-000006000000}"/>
    <hyperlink ref="H74" r:id="rId8" tooltip="Website Link" xr:uid="{00000000-0004-0000-0500-000007000000}"/>
    <hyperlink ref="H66" r:id="rId9" tooltip="Website Link" xr:uid="{00000000-0004-0000-0500-000008000000}"/>
    <hyperlink ref="H65" r:id="rId10" tooltip="Website Link" xr:uid="{00000000-0004-0000-0500-000009000000}"/>
    <hyperlink ref="H64" r:id="rId11" tooltip="Website Link" xr:uid="{00000000-0004-0000-0500-00000A000000}"/>
    <hyperlink ref="H63" r:id="rId12" tooltip="Website Link" xr:uid="{00000000-0004-0000-0500-00000B000000}"/>
    <hyperlink ref="H62" r:id="rId13" tooltip="Website Link" xr:uid="{00000000-0004-0000-0500-00000C000000}"/>
    <hyperlink ref="H61" r:id="rId14" tooltip="Website Link" xr:uid="{00000000-0004-0000-0500-00000D000000}"/>
    <hyperlink ref="H60" r:id="rId15" tooltip="Website Link" xr:uid="{00000000-0004-0000-0500-00000E000000}"/>
    <hyperlink ref="H59" r:id="rId16" tooltip="Website Link" xr:uid="{00000000-0004-0000-0500-00000F000000}"/>
    <hyperlink ref="H58" r:id="rId17" tooltip="Website Link" xr:uid="{00000000-0004-0000-0500-000010000000}"/>
    <hyperlink ref="H57" r:id="rId18" tooltip="Website Link" xr:uid="{00000000-0004-0000-0500-000011000000}"/>
    <hyperlink ref="H56" r:id="rId19" tooltip="Website Link" xr:uid="{00000000-0004-0000-0500-000012000000}"/>
    <hyperlink ref="H55" r:id="rId20" tooltip="Website Link" xr:uid="{00000000-0004-0000-0500-000013000000}"/>
    <hyperlink ref="H54" r:id="rId21" tooltip="Website Link" xr:uid="{00000000-0004-0000-0500-000014000000}"/>
    <hyperlink ref="H53" r:id="rId22" tooltip="Website Link" xr:uid="{00000000-0004-0000-0500-000015000000}"/>
    <hyperlink ref="H52" r:id="rId23" tooltip="Website Link" xr:uid="{00000000-0004-0000-0500-000016000000}"/>
    <hyperlink ref="H51" r:id="rId24" tooltip="Website Link" xr:uid="{00000000-0004-0000-0500-000017000000}"/>
    <hyperlink ref="H50" r:id="rId25" tooltip="Website Link" xr:uid="{00000000-0004-0000-0500-000018000000}"/>
    <hyperlink ref="H49" r:id="rId26" tooltip="Website Link" xr:uid="{00000000-0004-0000-0500-000019000000}"/>
    <hyperlink ref="H48" r:id="rId27" tooltip="Website Link" xr:uid="{00000000-0004-0000-0500-00001A000000}"/>
    <hyperlink ref="H47" r:id="rId28" tooltip="Website Link" xr:uid="{00000000-0004-0000-0500-00001B000000}"/>
    <hyperlink ref="H46" r:id="rId29" tooltip="Website Link" xr:uid="{00000000-0004-0000-0500-00001C000000}"/>
    <hyperlink ref="H45" r:id="rId30" tooltip="Website Link" xr:uid="{00000000-0004-0000-0500-00001D000000}"/>
    <hyperlink ref="H44" r:id="rId31" tooltip="Website Link" xr:uid="{00000000-0004-0000-0500-00001E000000}"/>
    <hyperlink ref="H43" r:id="rId32" tooltip="Website Link" xr:uid="{00000000-0004-0000-0500-00001F000000}"/>
    <hyperlink ref="H42" r:id="rId33" tooltip="Website Link" xr:uid="{00000000-0004-0000-0500-000020000000}"/>
    <hyperlink ref="H41" r:id="rId34" tooltip="Website Link" xr:uid="{00000000-0004-0000-0500-000021000000}"/>
    <hyperlink ref="H40" r:id="rId35" tooltip="Website Link" xr:uid="{00000000-0004-0000-0500-000022000000}"/>
    <hyperlink ref="H39" r:id="rId36" tooltip="Website Link" xr:uid="{00000000-0004-0000-0500-000023000000}"/>
    <hyperlink ref="H38" r:id="rId37" tooltip="Website Link" xr:uid="{00000000-0004-0000-0500-000024000000}"/>
    <hyperlink ref="H37" r:id="rId38" tooltip="Website Link" xr:uid="{00000000-0004-0000-0500-000025000000}"/>
    <hyperlink ref="H36" r:id="rId39" tooltip="Website Link" xr:uid="{00000000-0004-0000-0500-000026000000}"/>
    <hyperlink ref="H35" r:id="rId40" tooltip="Website Link" xr:uid="{00000000-0004-0000-0500-000027000000}"/>
    <hyperlink ref="H34" r:id="rId41" tooltip="Website Link" xr:uid="{00000000-0004-0000-0500-000028000000}"/>
    <hyperlink ref="H33" r:id="rId42" tooltip="Website Link" xr:uid="{00000000-0004-0000-0500-000029000000}"/>
    <hyperlink ref="H32" r:id="rId43" tooltip="Website Link" xr:uid="{00000000-0004-0000-0500-00002A000000}"/>
    <hyperlink ref="H31" r:id="rId44" tooltip="Website Link" xr:uid="{00000000-0004-0000-0500-00002B000000}"/>
    <hyperlink ref="H30" r:id="rId45" xr:uid="{00000000-0004-0000-0500-00002C000000}"/>
    <hyperlink ref="H29" r:id="rId46" tooltip="Website Link" xr:uid="{00000000-0004-0000-0500-00002D000000}"/>
    <hyperlink ref="H28" r:id="rId47" tooltip="Website Link" xr:uid="{00000000-0004-0000-0500-00002E000000}"/>
    <hyperlink ref="H27" r:id="rId48" tooltip="Website Link" xr:uid="{00000000-0004-0000-0500-00002F000000}"/>
    <hyperlink ref="H26" r:id="rId49" tooltip="Website Link" xr:uid="{00000000-0004-0000-0500-000030000000}"/>
    <hyperlink ref="H25" r:id="rId50" tooltip="Website Link" xr:uid="{00000000-0004-0000-0500-000031000000}"/>
    <hyperlink ref="H24" r:id="rId51" tooltip="Website Link" xr:uid="{00000000-0004-0000-0500-000032000000}"/>
    <hyperlink ref="H23" r:id="rId52" tooltip="Website Link" xr:uid="{00000000-0004-0000-0500-000033000000}"/>
    <hyperlink ref="H22" r:id="rId53" tooltip="Website Link" xr:uid="{00000000-0004-0000-0500-000034000000}"/>
    <hyperlink ref="H21" r:id="rId54" tooltip="Website Link" xr:uid="{00000000-0004-0000-0500-000035000000}"/>
    <hyperlink ref="H20" r:id="rId55" tooltip="Website Link" xr:uid="{00000000-0004-0000-0500-000036000000}"/>
    <hyperlink ref="H19" r:id="rId56" tooltip="Website Link" xr:uid="{00000000-0004-0000-0500-000037000000}"/>
    <hyperlink ref="H18" r:id="rId57" tooltip="Website Link" xr:uid="{00000000-0004-0000-0500-000038000000}"/>
    <hyperlink ref="H17" r:id="rId58" tooltip="Website Link" xr:uid="{00000000-0004-0000-0500-000039000000}"/>
    <hyperlink ref="H16" r:id="rId59" tooltip="Website Link" xr:uid="{00000000-0004-0000-0500-00003A000000}"/>
    <hyperlink ref="H15" r:id="rId60" tooltip="Website Link" xr:uid="{00000000-0004-0000-0500-00003B000000}"/>
    <hyperlink ref="H14" r:id="rId61" tooltip="Website Link" xr:uid="{00000000-0004-0000-0500-00003C000000}"/>
    <hyperlink ref="H13" r:id="rId62" tooltip="Website Link" xr:uid="{00000000-0004-0000-0500-00003D000000}"/>
    <hyperlink ref="H12" r:id="rId63" tooltip="Website Link" xr:uid="{00000000-0004-0000-0500-00003E000000}"/>
    <hyperlink ref="H11" r:id="rId64" tooltip="Website Link" xr:uid="{00000000-0004-0000-0500-00003F000000}"/>
  </hyperlinks>
  <pageMargins left="0.7" right="0.7" top="0.75" bottom="0.75" header="0.3" footer="0.3"/>
  <pageSetup orientation="portrait"/>
  <customProperties>
    <customPr name="CarouselSheetID" r:id="rId65"/>
  </customProperties>
  <drawing r:id="rId66"/>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2373</vt:i4>
      </vt:variant>
    </vt:vector>
  </HeadingPairs>
  <TitlesOfParts>
    <vt:vector size="2379" baseType="lpstr">
      <vt:lpstr>Front Page</vt:lpstr>
      <vt:lpstr>Model</vt:lpstr>
      <vt:lpstr>Guidance</vt:lpstr>
      <vt:lpstr>Supplemental</vt:lpstr>
      <vt:lpstr>Summary Page</vt:lpstr>
      <vt:lpstr>Update Log</vt:lpstr>
      <vt:lpstr>FP.DataSource</vt:lpstr>
      <vt:lpstr>FP.DataSourceName</vt:lpstr>
      <vt:lpstr>FP.Disclaimer</vt:lpstr>
      <vt:lpstr>FP.LastPrice</vt:lpstr>
      <vt:lpstr>FP.LastPriceDate</vt:lpstr>
      <vt:lpstr>FP.RealTimeToggle</vt:lpstr>
      <vt:lpstr>FP.UpdateDate</vt:lpstr>
      <vt:lpstr>FP.UpdateEvent</vt:lpstr>
      <vt:lpstr>FP_Comment</vt:lpstr>
      <vt:lpstr>FP_StockPriceOverride</vt:lpstr>
      <vt:lpstr>GD.CompanyName</vt:lpstr>
      <vt:lpstr>GD.MRQ</vt:lpstr>
      <vt:lpstr>GD_Difference_Mid_Absolute</vt:lpstr>
      <vt:lpstr>GD_Difference_Mid_Relative</vt:lpstr>
      <vt:lpstr>GD_Guidance_High</vt:lpstr>
      <vt:lpstr>GD_Guidance_Low</vt:lpstr>
      <vt:lpstr>GD_Guidance_Mid</vt:lpstr>
      <vt:lpstr>GD_Header_Column</vt:lpstr>
      <vt:lpstr>GD_Header_Section</vt:lpstr>
      <vt:lpstr>GD_Index</vt:lpstr>
      <vt:lpstr>GD_Item</vt:lpstr>
      <vt:lpstr>GD_Item_BasePeriod</vt:lpstr>
      <vt:lpstr>GD_Item_FiscalPeriod</vt:lpstr>
      <vt:lpstr>GD_Item_Name</vt:lpstr>
      <vt:lpstr>GD_Model_Output</vt:lpstr>
      <vt:lpstr>GD_Model_Type</vt:lpstr>
      <vt:lpstr>GD_Type</vt:lpstr>
      <vt:lpstr>GD_Update_Date</vt:lpstr>
      <vt:lpstr>GD_Update_Link</vt:lpstr>
      <vt:lpstr>HP.MRFX</vt:lpstr>
      <vt:lpstr>HP.ReportCurrency</vt:lpstr>
      <vt:lpstr>HP.Ticker</vt:lpstr>
      <vt:lpstr>HP.TradeCurrency</vt:lpstr>
      <vt:lpstr>HP.TradeCurrency.HardCoded</vt:lpstr>
      <vt:lpstr>MO.ApplyTradeCurrencyScaling</vt:lpstr>
      <vt:lpstr>MO.CFY</vt:lpstr>
      <vt:lpstr>MO.CompanyName</vt:lpstr>
      <vt:lpstr>MO.DataSourceIndex</vt:lpstr>
      <vt:lpstr>MO.DataSourceName</vt:lpstr>
      <vt:lpstr>MO.FirstForecastedFiscalYear</vt:lpstr>
      <vt:lpstr>MO.KPI.1</vt:lpstr>
      <vt:lpstr>MO.KPI.10</vt:lpstr>
      <vt:lpstr>MO.KPI.2</vt:lpstr>
      <vt:lpstr>MO.KPI.3</vt:lpstr>
      <vt:lpstr>MO.KPI.4</vt:lpstr>
      <vt:lpstr>MO.KPI.5</vt:lpstr>
      <vt:lpstr>MO.KPI.6</vt:lpstr>
      <vt:lpstr>MO.KPI.7</vt:lpstr>
      <vt:lpstr>MO.KPI.8</vt:lpstr>
      <vt:lpstr>MO.KPI.9</vt:lpstr>
      <vt:lpstr>MO.KPI.Count</vt:lpstr>
      <vt:lpstr>MO.LastPrice</vt:lpstr>
      <vt:lpstr>MO.LastPriceDate</vt:lpstr>
      <vt:lpstr>MO.LastPriceFormula</vt:lpstr>
      <vt:lpstr>MO.LastPriceHardcoded</vt:lpstr>
      <vt:lpstr>MO.MRFP</vt:lpstr>
      <vt:lpstr>MO.MRFPColumnNumber</vt:lpstr>
      <vt:lpstr>MO.MRFX.Hardcoded</vt:lpstr>
      <vt:lpstr>MO.RealTime</vt:lpstr>
      <vt:lpstr>MO.RealTimeStockPriceToggle</vt:lpstr>
      <vt:lpstr>MO.ReportCurrency</vt:lpstr>
      <vt:lpstr>MO.ReportFX</vt:lpstr>
      <vt:lpstr>MO.Ticker</vt:lpstr>
      <vt:lpstr>MO.Ticker.Bloomberg</vt:lpstr>
      <vt:lpstr>MO.Ticker.Source</vt:lpstr>
      <vt:lpstr>MO.Ticker.CapIQ</vt:lpstr>
      <vt:lpstr>MO.Ticker.FactSet</vt:lpstr>
      <vt:lpstr>MO.Ticker.Thomson</vt:lpstr>
      <vt:lpstr>MO.TradingCurrency</vt:lpstr>
      <vt:lpstr>MO.ValuationToggle</vt:lpstr>
      <vt:lpstr>MO_AN_NI_NONGAAP_Diluted</vt:lpstr>
      <vt:lpstr>MO_BS_AE</vt:lpstr>
      <vt:lpstr>MO_BS_AP</vt:lpstr>
      <vt:lpstr>MO_BS_AR</vt:lpstr>
      <vt:lpstr>MO_BS_ARandNR</vt:lpstr>
      <vt:lpstr>MO_BS_CA</vt:lpstr>
      <vt:lpstr>MO_BS_Cash</vt:lpstr>
      <vt:lpstr>MO_BS_CL</vt:lpstr>
      <vt:lpstr>MO_BS_CommonStock</vt:lpstr>
      <vt:lpstr>MO_BS_ContributedSurplus</vt:lpstr>
      <vt:lpstr>MO_BS_FL_NonCurrent</vt:lpstr>
      <vt:lpstr>MO_BS_Goodwill</vt:lpstr>
      <vt:lpstr>MO_BS_INV</vt:lpstr>
      <vt:lpstr>MO_BS_NCA</vt:lpstr>
      <vt:lpstr>MO_BS_NCI</vt:lpstr>
      <vt:lpstr>MO_BS_NCL</vt:lpstr>
      <vt:lpstr>MO_BS_OCI</vt:lpstr>
      <vt:lpstr>MO_BS_PPE</vt:lpstr>
      <vt:lpstr>MO_BS_PPE_Gross</vt:lpstr>
      <vt:lpstr>MO_BS_PreferredStock</vt:lpstr>
      <vt:lpstr>MO_BS_PrepaidExpensesAndOther</vt:lpstr>
      <vt:lpstr>MO_BS_RestrictedCash_Current</vt:lpstr>
      <vt:lpstr>MO_BS_RestrictedCash_NonCurrent</vt:lpstr>
      <vt:lpstr>MO_BS_RetainedEarnings</vt:lpstr>
      <vt:lpstr>MO_BS_SE</vt:lpstr>
      <vt:lpstr>MO_BS_STInvestments</vt:lpstr>
      <vt:lpstr>MO_BS_TA</vt:lpstr>
      <vt:lpstr>MO_BS_TaxLiabilities_Deferred_NonCurrent</vt:lpstr>
      <vt:lpstr>MO_BS_TL</vt:lpstr>
      <vt:lpstr>MO_BS_TLSE</vt:lpstr>
      <vt:lpstr>MO_BS_TreasuryStock</vt:lpstr>
      <vt:lpstr>MO_BSS_Cash</vt:lpstr>
      <vt:lpstr>MO_BSS_Debt</vt:lpstr>
      <vt:lpstr>MO_BSS_Debt_LT</vt:lpstr>
      <vt:lpstr>MO_BSS_Debt_Net</vt:lpstr>
      <vt:lpstr>MO_BSS_Debt_ST</vt:lpstr>
      <vt:lpstr>MO_BSS_Debt_ToCF</vt:lpstr>
      <vt:lpstr>MO_BSS_Debt_ToEBITDA</vt:lpstr>
      <vt:lpstr>MO_BSS_IE</vt:lpstr>
      <vt:lpstr>MO_BSS_IE_Net</vt:lpstr>
      <vt:lpstr>MO_BSS_II</vt:lpstr>
      <vt:lpstr>MO_BSS_InterestRate_Cash</vt:lpstr>
      <vt:lpstr>MO_BSS_InterestRate_Debt</vt:lpstr>
      <vt:lpstr>MO_BSS_NetInterestRate_Debt</vt:lpstr>
      <vt:lpstr>MO_BSS_WC</vt:lpstr>
      <vt:lpstr>MO_CCFS_Balance_Begin</vt:lpstr>
      <vt:lpstr>MO_CCFS_Balance_End</vt:lpstr>
      <vt:lpstr>MO_CCFS_CFF</vt:lpstr>
      <vt:lpstr>MO_CCFS_CFI</vt:lpstr>
      <vt:lpstr>MO_CCFS_CFO</vt:lpstr>
      <vt:lpstr>MO_CCFS_CFO_BeforeWC</vt:lpstr>
      <vt:lpstr>MO_CCFS_FX</vt:lpstr>
      <vt:lpstr>MO_CCFS_NetChange</vt:lpstr>
      <vt:lpstr>MO_CCFS_Sup_CashInterest</vt:lpstr>
      <vt:lpstr>MO_CCFS_Sup_CashTax</vt:lpstr>
      <vt:lpstr>MO_CFS_Balance_Begin</vt:lpstr>
      <vt:lpstr>MO_CFS_Balance_End</vt:lpstr>
      <vt:lpstr>MO_CFS_Buyback</vt:lpstr>
      <vt:lpstr>MO_CFS_Capex</vt:lpstr>
      <vt:lpstr>MO_CFS_CFF</vt:lpstr>
      <vt:lpstr>MO_CFS_CFI</vt:lpstr>
      <vt:lpstr>MO_CFS_CFO</vt:lpstr>
      <vt:lpstr>MO_CFS_CFO_BeforeWC</vt:lpstr>
      <vt:lpstr>MO_CFS_DA</vt:lpstr>
      <vt:lpstr>MO_CFS_Dividend_Common</vt:lpstr>
      <vt:lpstr>MO_CFS_Dividend_NCI</vt:lpstr>
      <vt:lpstr>MO_CFS_FX</vt:lpstr>
      <vt:lpstr>MO_CFS_Impairment</vt:lpstr>
      <vt:lpstr>MO_CFS_NetChange</vt:lpstr>
      <vt:lpstr>MO_CFS_NI</vt:lpstr>
      <vt:lpstr>MO_CFS_SBC</vt:lpstr>
      <vt:lpstr>MO_CFS_Sup_CashInterest</vt:lpstr>
      <vt:lpstr>MO_CFS_Sup_CashTax</vt:lpstr>
      <vt:lpstr>MO_CFS_WC</vt:lpstr>
      <vt:lpstr>MO_CFSum_Acquisition</vt:lpstr>
      <vt:lpstr>MO_CFSum_Capex</vt:lpstr>
      <vt:lpstr>MO_CFSum_CFO</vt:lpstr>
      <vt:lpstr>MO_CFSum_CFO_BeforeWC</vt:lpstr>
      <vt:lpstr>MO_CFSum_CFOPS</vt:lpstr>
      <vt:lpstr>MO_CFSum_CFOPS_BeforeWC</vt:lpstr>
      <vt:lpstr>MO_CFSum_CFPS</vt:lpstr>
      <vt:lpstr>MO_CFSum_ChangeInWC</vt:lpstr>
      <vt:lpstr>MO_CFSum_DACF</vt:lpstr>
      <vt:lpstr>MO_CFSum_Divestiture</vt:lpstr>
      <vt:lpstr>MO_CFSum_Dividend</vt:lpstr>
      <vt:lpstr>MO_CFSum_DPS</vt:lpstr>
      <vt:lpstr>MO_CFSum_FCF_PostDivPostAD</vt:lpstr>
      <vt:lpstr>MO_CFSum_FCF_PostDivPostADPostDebtPostBuyback</vt:lpstr>
      <vt:lpstr>MO_CFSum_FCF_PostDivPreAD</vt:lpstr>
      <vt:lpstr>MO_CFSum_FCF_PostWCPostDivPostAD</vt:lpstr>
      <vt:lpstr>MO_CFSum_FCF_PostWCPostDivPostADPostDebtPostBuyback</vt:lpstr>
      <vt:lpstr>MO_CFSum_FCF_PostWCPostDivPreAD</vt:lpstr>
      <vt:lpstr>MO_CFSum_FCF_PostWCPreDiv</vt:lpstr>
      <vt:lpstr>MO_CFSum_FCF_PreDiv</vt:lpstr>
      <vt:lpstr>MO_CFSum_NetDebtIssuance</vt:lpstr>
      <vt:lpstr>MO_CFSum_NetShares</vt:lpstr>
      <vt:lpstr>MO_CFSum_NetShares_Price</vt:lpstr>
      <vt:lpstr>MO_Checks_Bottom</vt:lpstr>
      <vt:lpstr>MO_Checks_BS</vt:lpstr>
      <vt:lpstr>MO_Checks_CF</vt:lpstr>
      <vt:lpstr>MO_Checks_IS</vt:lpstr>
      <vt:lpstr>MO_Common_Column_A</vt:lpstr>
      <vt:lpstr>MO_Common_Column_B</vt:lpstr>
      <vt:lpstr>MO_Common_ColumnHeader</vt:lpstr>
      <vt:lpstr>MO_Common_CompanySubtitle</vt:lpstr>
      <vt:lpstr>MO_Common_CompanyTitle</vt:lpstr>
      <vt:lpstr>MO_Common_FPDays</vt:lpstr>
      <vt:lpstr>MO_Common_QEndDate</vt:lpstr>
      <vt:lpstr>MO_Common_QEndDate_LWD</vt:lpstr>
      <vt:lpstr>MO_IS_DA</vt:lpstr>
      <vt:lpstr>MO_IS_EBT</vt:lpstr>
      <vt:lpstr>MO_IS_FirstRow</vt:lpstr>
      <vt:lpstr>MO_IS_NCI</vt:lpstr>
      <vt:lpstr>MO_IS_NI_ContinOp</vt:lpstr>
      <vt:lpstr>MO_IS_REV</vt:lpstr>
      <vt:lpstr>MO_IS_SGA</vt:lpstr>
      <vt:lpstr>MO_IS_Tax</vt:lpstr>
      <vt:lpstr>MO_KPI_EmployeeCount</vt:lpstr>
      <vt:lpstr>MO_KPI_Energy_AverageDailyProduction_NG</vt:lpstr>
      <vt:lpstr>MO_KPI_Energy_AverageDailyProduction_NGL</vt:lpstr>
      <vt:lpstr>MO_KPI_Energy_AverageDailyProduction_Oil</vt:lpstr>
      <vt:lpstr>MO_KPI_Energy_AverageDailyProduction_Total</vt:lpstr>
      <vt:lpstr>MO_KPI_Energy_EquivalentPrice</vt:lpstr>
      <vt:lpstr>MO_KPI_Energy_LiquidsPercentage</vt:lpstr>
      <vt:lpstr>MO_KPI_Energy_PriceDifferentials_Oil</vt:lpstr>
      <vt:lpstr>MO_KPI_Energy_ProductionGrowth</vt:lpstr>
      <vt:lpstr>MO_KPI_Energy_ProductionGrowthPerShare</vt:lpstr>
      <vt:lpstr>MO_KPI_Energy_ProductionVolume_NG</vt:lpstr>
      <vt:lpstr>MO_KPI_Energy_ProductionVolume_Total</vt:lpstr>
      <vt:lpstr>MO_KPI_Energy_RealizedPrice_Oil</vt:lpstr>
      <vt:lpstr>MO_KPI_ProductiveWells_CrudeOil_Gross</vt:lpstr>
      <vt:lpstr>MO_KPI_ProductiveWells_CrudeOil_Net</vt:lpstr>
      <vt:lpstr>MO_KPI_ProductiveWells_Gross</vt:lpstr>
      <vt:lpstr>MO_KPI_ProductiveWells_NaturalGas_Gross</vt:lpstr>
      <vt:lpstr>MO_KPI_ProductiveWells_NaturalGas_Net</vt:lpstr>
      <vt:lpstr>MO_KPI_ProductiveWells_Net</vt:lpstr>
      <vt:lpstr>MO_KPI_Refiner_Capacity</vt:lpstr>
      <vt:lpstr>MO_KPI_Refiner_DailySaleOfRefinedProducts</vt:lpstr>
      <vt:lpstr>MO_KPI_Refiner_ProductionOfFuelOil</vt:lpstr>
      <vt:lpstr>MO_KPI_Refiner_ProductionOfFuelOil_Daily</vt:lpstr>
      <vt:lpstr>MO_KPI_Refiner_ProductionOfGasOil</vt:lpstr>
      <vt:lpstr>MO_KPI_Refiner_ProductionOfGasOil_Daily</vt:lpstr>
      <vt:lpstr>MO_KPI_Refiner_ProductionOfGasoline</vt:lpstr>
      <vt:lpstr>MO_KPI_Refiner_ProductionOfGasoline_Daily</vt:lpstr>
      <vt:lpstr>MO_KPI_Refiner_ProductionOfJetFuel</vt:lpstr>
      <vt:lpstr>MO_KPI_Refiner_ProductionOfJetFuel_Daily</vt:lpstr>
      <vt:lpstr>MO_KPI_Refiner_ProductionOfOthers_Daily</vt:lpstr>
      <vt:lpstr>MO_KPI_Refiner_ProductionOfRefinedProducts</vt:lpstr>
      <vt:lpstr>MO_KPI_Refiner_ProductionOfRefinedProducts_Total</vt:lpstr>
      <vt:lpstr>MO_KPI_Refiner_SaleOfFuelOil</vt:lpstr>
      <vt:lpstr>MO_KPI_Refiner_SaleOfFuelOil_Daily</vt:lpstr>
      <vt:lpstr>MO_KPI_Refiner_SaleOfGasOil</vt:lpstr>
      <vt:lpstr>MO_KPI_Refiner_SaleOfGasOil_Daily</vt:lpstr>
      <vt:lpstr>MO_KPI_Refiner_SaleOfGasoline</vt:lpstr>
      <vt:lpstr>MO_KPI_Refiner_SaleOfGasoline_Daily</vt:lpstr>
      <vt:lpstr>MO_KPI_Refiner_SaleOfJetFuel</vt:lpstr>
      <vt:lpstr>MO_KPI_Refiner_SaleOfJetFuel_Daily</vt:lpstr>
      <vt:lpstr>MO_KPI_Refiner_SaleOfOthers_Daily</vt:lpstr>
      <vt:lpstr>MO_KPI_Refiner_SaleOfRefinedProducts</vt:lpstr>
      <vt:lpstr>MO_KPI_Refiner_Throughput</vt:lpstr>
      <vt:lpstr>MO_KPI_Refiner_Utilization</vt:lpstr>
      <vt:lpstr>MO_KPI_REV_RM</vt:lpstr>
      <vt:lpstr>MO_KPI_REV_Seg1</vt:lpstr>
      <vt:lpstr>MO_KPI_REV_Seg2</vt:lpstr>
      <vt:lpstr>MO_KPI_REV_Upstream</vt:lpstr>
      <vt:lpstr>MO_KPI_Stores_EoP</vt:lpstr>
      <vt:lpstr>MO_MA_COGS</vt:lpstr>
      <vt:lpstr>MO_MA_EBITDAX</vt:lpstr>
      <vt:lpstr>MO_MA_EBITDAX_Adj</vt:lpstr>
      <vt:lpstr>MO_MA_ExciseTax</vt:lpstr>
      <vt:lpstr>MO_MA_OPEX</vt:lpstr>
      <vt:lpstr>MO_MA_SGA</vt:lpstr>
      <vt:lpstr>MO_OS_EmployeeCount</vt:lpstr>
      <vt:lpstr>MO_OS_Energy_AverageDailyProduction_Liquids</vt:lpstr>
      <vt:lpstr>MO_OS_Energy_AverageDailyProduction_NG</vt:lpstr>
      <vt:lpstr>MO_OS_Energy_AverageDailyProduction_NGL</vt:lpstr>
      <vt:lpstr>MO_OS_Energy_AverageDailyProduction_Oil</vt:lpstr>
      <vt:lpstr>MO_OS_Energy_AverageDailyProduction_Total</vt:lpstr>
      <vt:lpstr>MO_OS_Energy_BenchmarkPrice_HenryHub</vt:lpstr>
      <vt:lpstr>MO_OS_Energy_BenchmarkPrice_WTI</vt:lpstr>
      <vt:lpstr>MO_OS_Energy_EquivalentPrice</vt:lpstr>
      <vt:lpstr>MO_OS_Energy_LiquidsPercentage</vt:lpstr>
      <vt:lpstr>MO_OS_Energy_PriceDifferentials_Oil</vt:lpstr>
      <vt:lpstr>MO_OS_Energy_ProductionGrowth</vt:lpstr>
      <vt:lpstr>MO_OS_Energy_ProductionGrowthPerShare</vt:lpstr>
      <vt:lpstr>MO_OS_Energy_ProductionVolume_NG</vt:lpstr>
      <vt:lpstr>MO_OS_Energy_ProductionVolume_Oil</vt:lpstr>
      <vt:lpstr>MO_OS_Energy_ProductionVolume_Total</vt:lpstr>
      <vt:lpstr>MO_OS_Energy_RealizedPrice_Oil</vt:lpstr>
      <vt:lpstr>MO_OS_ProductiveWells_CrudeOil_Gross</vt:lpstr>
      <vt:lpstr>MO_OS_ProductiveWells_CrudeOil_Net</vt:lpstr>
      <vt:lpstr>MO_OS_ProductiveWells_Gross</vt:lpstr>
      <vt:lpstr>MO_OS_ProductiveWells_NaturalGas_Gross</vt:lpstr>
      <vt:lpstr>MO_OS_ProductiveWells_NaturalGas_Net</vt:lpstr>
      <vt:lpstr>MO_OS_ProductiveWells_Net</vt:lpstr>
      <vt:lpstr>MO_OS_Refiner_Capacity</vt:lpstr>
      <vt:lpstr>MO_OS_Refiner_DailySaleOfRefinedProducts</vt:lpstr>
      <vt:lpstr>MO_OS_Refiner_ProductionOfFuelOil</vt:lpstr>
      <vt:lpstr>MO_OS_Refiner_ProductionOfFuelOil_Daily</vt:lpstr>
      <vt:lpstr>MO_OS_Refiner_ProductionOfGasOil</vt:lpstr>
      <vt:lpstr>MO_OS_Refiner_ProductionOfGasOil_Daily</vt:lpstr>
      <vt:lpstr>MO_OS_Refiner_ProductionOfGasoline</vt:lpstr>
      <vt:lpstr>MO_OS_Refiner_ProductionOfGasoline_Daily</vt:lpstr>
      <vt:lpstr>MO_OS_Refiner_ProductionOfJetFuel</vt:lpstr>
      <vt:lpstr>MO_OS_Refiner_ProductionOfJetFuel_Daily</vt:lpstr>
      <vt:lpstr>MO_OS_Refiner_ProductionOfOthers_Daily</vt:lpstr>
      <vt:lpstr>MO_OS_Refiner_ProductionOfRefinedProducts</vt:lpstr>
      <vt:lpstr>MO_OS_Refiner_ProductionOfRefinedProducts_Total</vt:lpstr>
      <vt:lpstr>MO_OS_Refiner_SaleOfFuelOil</vt:lpstr>
      <vt:lpstr>MO_OS_Refiner_SaleOfFuelOil_Daily</vt:lpstr>
      <vt:lpstr>MO_OS_Refiner_SaleOfGasOil</vt:lpstr>
      <vt:lpstr>MO_OS_Refiner_SaleOfGasOil_Daily</vt:lpstr>
      <vt:lpstr>MO_OS_Refiner_SaleOfGasoline</vt:lpstr>
      <vt:lpstr>MO_OS_Refiner_SaleOfGasoline_Daily</vt:lpstr>
      <vt:lpstr>MO_OS_Refiner_SaleOfJetFuel</vt:lpstr>
      <vt:lpstr>MO_OS_Refiner_SaleOfJetFuel_Daily</vt:lpstr>
      <vt:lpstr>MO_OS_Refiner_SaleOfOthers_Daily</vt:lpstr>
      <vt:lpstr>MO_OS_Refiner_SaleOfRefinedProducts</vt:lpstr>
      <vt:lpstr>MO_OS_Refiner_Throughput</vt:lpstr>
      <vt:lpstr>MO_OS_Refiner_Utilization</vt:lpstr>
      <vt:lpstr>MO_OS_REV_RM</vt:lpstr>
      <vt:lpstr>MO_OS_REV_Seg1</vt:lpstr>
      <vt:lpstr>MO_OS_REV_Seg2</vt:lpstr>
      <vt:lpstr>MO_OS_REV_Upstream</vt:lpstr>
      <vt:lpstr>MO_OS_Stores_EoP</vt:lpstr>
      <vt:lpstr>MO_OS_UnitEconomics_AdValorem</vt:lpstr>
      <vt:lpstr>MO_OS_UnitEconomics_DDA</vt:lpstr>
      <vt:lpstr>MO_OS_UnitEconomics_LOE</vt:lpstr>
      <vt:lpstr>MO_RIS_Adjustments_Dilution_GAAP</vt:lpstr>
      <vt:lpstr>MO_RIS_Adjustments_Dilution_NONGAAP</vt:lpstr>
      <vt:lpstr>MO_RIS_Adjustments_NONGAAP</vt:lpstr>
      <vt:lpstr>MO_RIS_COGS</vt:lpstr>
      <vt:lpstr>MO_RIS_DA</vt:lpstr>
      <vt:lpstr>MO_RIS_DisCont</vt:lpstr>
      <vt:lpstr>MO_RIS_Dividend_Prefs</vt:lpstr>
      <vt:lpstr>MO_RIS_EBIT</vt:lpstr>
      <vt:lpstr>MO_RIS_EBITDA_Adj</vt:lpstr>
      <vt:lpstr>MO_RIS_EBITDAX</vt:lpstr>
      <vt:lpstr>MO_RIS_EBITDAX_Adj</vt:lpstr>
      <vt:lpstr>MO_RIS_EBT</vt:lpstr>
      <vt:lpstr>MO_RIS_EE</vt:lpstr>
      <vt:lpstr>MO_RIS_EI</vt:lpstr>
      <vt:lpstr>MO_RIS_EPS_Company2917</vt:lpstr>
      <vt:lpstr>MO_RIS_EPS_WAD</vt:lpstr>
      <vt:lpstr>MO_RIS_EPS_WAD_Adj</vt:lpstr>
      <vt:lpstr>MO_RIS_ExciseTax_AdValorem</vt:lpstr>
      <vt:lpstr>MO_RIS_IE</vt:lpstr>
      <vt:lpstr>MO_RIS_II</vt:lpstr>
      <vt:lpstr>MO_RIS_Impairment</vt:lpstr>
      <vt:lpstr>MO_RIS_NCI</vt:lpstr>
      <vt:lpstr>MO_RIS_NI_ContinOp</vt:lpstr>
      <vt:lpstr>MO_RIS_NI_GAAP_Basic</vt:lpstr>
      <vt:lpstr>MO_RIS_NI_GAAP_Diluted</vt:lpstr>
      <vt:lpstr>MO_RIS_NI_NONGAAP_Diluted</vt:lpstr>
      <vt:lpstr>MO_RIS_OPEX</vt:lpstr>
      <vt:lpstr>MO_RIS_REV</vt:lpstr>
      <vt:lpstr>MO_RIS_Revenue_Operating</vt:lpstr>
      <vt:lpstr>MO_RIS_Revenue_Other</vt:lpstr>
      <vt:lpstr>MO_RIS_SGA</vt:lpstr>
      <vt:lpstr>MO_RIS_ShareCount_Company2917</vt:lpstr>
      <vt:lpstr>MO_RIS_ShareCount_WAD</vt:lpstr>
      <vt:lpstr>MO_RIS_ShareCount_WAD_Adj</vt:lpstr>
      <vt:lpstr>MO_RIS_Tax_Current</vt:lpstr>
      <vt:lpstr>MO_RIS_Tax_Deferred</vt:lpstr>
      <vt:lpstr>MO_RIS_TaxRate_Current</vt:lpstr>
      <vt:lpstr>MO_RIS_TaxRate_Deferred</vt:lpstr>
      <vt:lpstr>MO_SCA_Date_CoverPage</vt:lpstr>
      <vt:lpstr>MO_SCA_Ratio_DilutedOverBasic</vt:lpstr>
      <vt:lpstr>MO_SCA_ShareCount_CoverPage</vt:lpstr>
      <vt:lpstr>MO_SCA_ShareCount_CoverPage_Class1</vt:lpstr>
      <vt:lpstr>MO_SCA_ShareCount_CoverPage_Ticker1</vt:lpstr>
      <vt:lpstr>MO_SCA_ShareCount_DilutiveShares</vt:lpstr>
      <vt:lpstr>MO_SCA_ShareCount_EoP</vt:lpstr>
      <vt:lpstr>MO_SCA_ShareCount_EoP_Class1</vt:lpstr>
      <vt:lpstr>MO_SCA_ShareCount_EoP_Diluted</vt:lpstr>
      <vt:lpstr>MO_SCA_ShareCount_EoP_Growth_Dilutive_QoQ</vt:lpstr>
      <vt:lpstr>MO_SCA_ShareCount_EoP_Growth_Dilutive_YoY</vt:lpstr>
      <vt:lpstr>MO_SCA_ShareCount_EoP_Growth_NetIssuance_QoQ</vt:lpstr>
      <vt:lpstr>MO_SCA_ShareCount_EoP_Growth_NetIssuance_YoY</vt:lpstr>
      <vt:lpstr>MO_SCA_ShareCount_EoP_Growth_QoQ</vt:lpstr>
      <vt:lpstr>MO_SCA_ShareCount_EoP_Growth_YoY</vt:lpstr>
      <vt:lpstr>MO_SCA_ShareCount_EoP_SharesIssued</vt:lpstr>
      <vt:lpstr>MO_SCA_ShareCount_EoP_Ticker1</vt:lpstr>
      <vt:lpstr>MO_SCA_ShareCount_EoP_Treasury</vt:lpstr>
      <vt:lpstr>MO_Section_AdjustedNumbers</vt:lpstr>
      <vt:lpstr>MO_Section_AllOtherFinancialResultsMDA</vt:lpstr>
      <vt:lpstr>MO_Section_BalanceSheet</vt:lpstr>
      <vt:lpstr>MO_Section_BalanceSheetSummary</vt:lpstr>
      <vt:lpstr>MO_Section_BenchmarkPricing</vt:lpstr>
      <vt:lpstr>MO_Section_CapitalizedCostsRelatedtoOilandGasProducingActivities</vt:lpstr>
      <vt:lpstr>MO_Section_CashFlowStatement</vt:lpstr>
      <vt:lpstr>MO_Section_CashFlowSummary</vt:lpstr>
      <vt:lpstr>MO_Section_ChangesintheStandardizedMeasureofDiscountedFutureNetCashFlowsFromProvedReserves</vt:lpstr>
      <vt:lpstr>MO_Section_CostsIncurredinExplorationPropertyAcquisitionsandDevelopment</vt:lpstr>
      <vt:lpstr>MO_Section_CumulativeCashFlowStatement</vt:lpstr>
      <vt:lpstr>MO_Section_DownstreamOperatingStatsRefiningVolumesMDASupplemental</vt:lpstr>
      <vt:lpstr>MO_Section_IncomeStatement</vt:lpstr>
      <vt:lpstr>MO_Section_KeyMetricsDashboardMetricsFS</vt:lpstr>
      <vt:lpstr>MO_Section_KeyMetricsDownstreamAnnuallyreportedonly10kSupplemental</vt:lpstr>
      <vt:lpstr>MO_Section_KeyMetricsEmployeesFS</vt:lpstr>
      <vt:lpstr>MO_Section_KeyMetricsProductiveWellsFS</vt:lpstr>
      <vt:lpstr>MO_Section_LastRow</vt:lpstr>
      <vt:lpstr>MO_Section_MarginAnalysis</vt:lpstr>
      <vt:lpstr>MO_Section_ModelChecks</vt:lpstr>
      <vt:lpstr>MO_Section_NetProvedReservesofCrudeOilCondensateandSyntheticOil</vt:lpstr>
      <vt:lpstr>MO_Section_NetProvedReservesofNaturalGas_1</vt:lpstr>
      <vt:lpstr>MO_Section_NetProvedReservesofNaturalGasLiquids</vt:lpstr>
      <vt:lpstr>MO_Section_OperatingStatsDifferentialstoBenchmarkPricing</vt:lpstr>
      <vt:lpstr>MO_Section_OperatingStatsRealizedPricingExcludingEffectsofHedging</vt:lpstr>
      <vt:lpstr>MO_Section_OperatingStatsRealizedPricingExcludingEffectsofHedgingMDA</vt:lpstr>
      <vt:lpstr>MO_Section_ResultsofOperationsforOilandGasProducingActivities</vt:lpstr>
      <vt:lpstr>MO_Section_ResultsofOperationsforOilandGasProducingActivitiesUnitPricesandCosts</vt:lpstr>
      <vt:lpstr>MO_Section_RevenueandVolumeSummary</vt:lpstr>
      <vt:lpstr>MO_Section_RevisedIncomeStatement</vt:lpstr>
      <vt:lpstr>MO_Section_SegmentedResultsDownstreamFinancialsMDA</vt:lpstr>
      <vt:lpstr>MO_Section_SegmentedResultsUpstreamFinancialsFS</vt:lpstr>
      <vt:lpstr>MO_Section_ShareCountAnalysis</vt:lpstr>
      <vt:lpstr>MO_Section_StandardizedMeasureofDiscountedFutureNetCashFlowsRelatedtoProvedOilandGasReserves</vt:lpstr>
      <vt:lpstr>MO_Section_SummaryofNetOilandGasReserves</vt:lpstr>
      <vt:lpstr>MO_Section_Tables</vt:lpstr>
      <vt:lpstr>MO_Section_Company2747</vt:lpstr>
      <vt:lpstr>MO_Section_UpstreamOperatingStatsNaturalGasSalesVolumesMDA</vt:lpstr>
      <vt:lpstr>MO_Section_UpstreamOperatingStatsProductionVolumesMDA</vt:lpstr>
      <vt:lpstr>MO_Section_Valuation</vt:lpstr>
      <vt:lpstr>MO_SNA_ConsensusEstimatePeriodNumber</vt:lpstr>
      <vt:lpstr>MO_SNA_ConsensusEstimatePeriodType</vt:lpstr>
      <vt:lpstr>MO_SNA_FPStartDate</vt:lpstr>
      <vt:lpstr>MO_SNA_Guidance_ApplicablePeriod_FY</vt:lpstr>
      <vt:lpstr>MO_SNA_Guidance_ApplicablePeriod_Q</vt:lpstr>
      <vt:lpstr>MO_SNA_Guidance_IsLatest_FY</vt:lpstr>
      <vt:lpstr>MO_SNA_Guidance_ReportDate_FY</vt:lpstr>
      <vt:lpstr>MO_SNA_Guidance_ReportDate_Q</vt:lpstr>
      <vt:lpstr>MO_SNA_IsHistoricalPeriod</vt:lpstr>
      <vt:lpstr>MO_SNA_LastDataRow</vt:lpstr>
      <vt:lpstr>MO_SPT_FXAverage</vt:lpstr>
      <vt:lpstr>MO_SPT_FXAverage_Sources</vt:lpstr>
      <vt:lpstr>MO_SPT_FXAverage_Sources_Bloomberg</vt:lpstr>
      <vt:lpstr>MO_SPT_FXAverage_Sources_CapIQ</vt:lpstr>
      <vt:lpstr>MO_SPT_FXAverage_Sources_FactSet</vt:lpstr>
      <vt:lpstr>MO_SPT_FXAverage_Sources_RealTimeOff</vt:lpstr>
      <vt:lpstr>MO_SPT_FXAverage_Sources_Thomson</vt:lpstr>
      <vt:lpstr>MO_SPT_FXEoP</vt:lpstr>
      <vt:lpstr>MO_SPT_StockAverage</vt:lpstr>
      <vt:lpstr>MO_SPT_StockAverage_Sources</vt:lpstr>
      <vt:lpstr>MO_SPT_StockAverage_Sources_Bloomberg</vt:lpstr>
      <vt:lpstr>MO_SPT_StockAverage_Sources_CapIQ</vt:lpstr>
      <vt:lpstr>MO_SPT_StockAverage_Sources_FactSet</vt:lpstr>
      <vt:lpstr>MO_SPT_StockAverage_Sources_RealTimeOff</vt:lpstr>
      <vt:lpstr>MO_SPT_StockAverage_Sources_Thomson</vt:lpstr>
      <vt:lpstr>MO_SPT_StockEoP</vt:lpstr>
      <vt:lpstr>MO_SPT_StockHigh</vt:lpstr>
      <vt:lpstr>MO_SPT_StockHigh_Sources</vt:lpstr>
      <vt:lpstr>MO_SPT_StockHigh_Sources_Bloomberg</vt:lpstr>
      <vt:lpstr>MO_SPT_StockHigh_Sources_CapIQ</vt:lpstr>
      <vt:lpstr>MO_SPT_StockHigh_Sources_FactSet</vt:lpstr>
      <vt:lpstr>MO_SPT_StockHigh_Sources_RealTimeOff</vt:lpstr>
      <vt:lpstr>MO_SPT_StockHigh_Sources_Thomson</vt:lpstr>
      <vt:lpstr>MO_SPT_StockLow</vt:lpstr>
      <vt:lpstr>MO_SPT_StockLow_Sources</vt:lpstr>
      <vt:lpstr>MO_SPT_StockLow_Sources_Bloomberg</vt:lpstr>
      <vt:lpstr>MO_SPT_StockLow_Sources_CapIQ</vt:lpstr>
      <vt:lpstr>MO_SPT_StockLow_Sources_FactSet</vt:lpstr>
      <vt:lpstr>MO_SPT_StockLow_Sources_RealTimeOff</vt:lpstr>
      <vt:lpstr>MO_SPT_StockLow_Sources_Thomson</vt:lpstr>
      <vt:lpstr>MO_SubSection_BS_CA</vt:lpstr>
      <vt:lpstr>MO_SubSection_BS_CL</vt:lpstr>
      <vt:lpstr>MO_SubSection_BS_NCA</vt:lpstr>
      <vt:lpstr>MO_SubSection_BS_NCL</vt:lpstr>
      <vt:lpstr>MO_SubSection_BS_SE</vt:lpstr>
      <vt:lpstr>MO_SubSection_CCFS_CFF</vt:lpstr>
      <vt:lpstr>MO_SubSection_CCFS_CFI</vt:lpstr>
      <vt:lpstr>MO_SubSection_CCFS_CFO</vt:lpstr>
      <vt:lpstr>MO_SubSection_CFS_CFF</vt:lpstr>
      <vt:lpstr>MO_SubSection_CFS_CFI</vt:lpstr>
      <vt:lpstr>MO_SubSection_CFS_CFO</vt:lpstr>
      <vt:lpstr>MO_VA_EV</vt:lpstr>
      <vt:lpstr>MO_VA_EV_ToEBITDAX</vt:lpstr>
      <vt:lpstr>MO_VA_EV_ToFlowing</vt:lpstr>
      <vt:lpstr>MO_VA_EVCalc_NCI</vt:lpstr>
      <vt:lpstr>MO_VA_EVCalc_Other</vt:lpstr>
      <vt:lpstr>MO_VA_EVCalc_Prefs</vt:lpstr>
      <vt:lpstr>MO_VA_FCFYield_ToEV</vt:lpstr>
      <vt:lpstr>MO_VA_FCFYield_ToMktCap</vt:lpstr>
      <vt:lpstr>MO_VA_FX_Average</vt:lpstr>
      <vt:lpstr>MO_VA_FX_EoP</vt:lpstr>
      <vt:lpstr>MO_VA_MarketCap</vt:lpstr>
      <vt:lpstr>MO_VA_P_ToCF</vt:lpstr>
      <vt:lpstr>MO_VA_StockPrice</vt:lpstr>
      <vt:lpstr>MO_VA_StockPrice_Avg</vt:lpstr>
      <vt:lpstr>MO_VA_StockPrice_EoP</vt:lpstr>
      <vt:lpstr>MO_VA_StockPrice_High</vt:lpstr>
      <vt:lpstr>MO_VA_StockPrice_Low</vt:lpstr>
      <vt:lpstr>MO_VA_StockPrice_TradingCurrency</vt:lpstr>
      <vt:lpstr>Model!Print_Area</vt:lpstr>
      <vt:lpstr>'Summary Page'!Print_Area</vt:lpstr>
      <vt:lpstr>Model!Print_Titles</vt:lpstr>
      <vt:lpstr>SP.CompanyName</vt:lpstr>
      <vt:lpstr>SP.ReportFX</vt:lpstr>
      <vt:lpstr>SP.ValuationToggle</vt:lpstr>
      <vt:lpstr>SP_BSR_Capital</vt:lpstr>
      <vt:lpstr>SP_BSR_CashFlow</vt:lpstr>
      <vt:lpstr>SP_BSR_CashFlow_LTM</vt:lpstr>
      <vt:lpstr>SP_BSR_CL</vt:lpstr>
      <vt:lpstr>SP_BSR_CL_Avg</vt:lpstr>
      <vt:lpstr>SP_BSR_Debt</vt:lpstr>
      <vt:lpstr>SP_BSR_Debt_Avg</vt:lpstr>
      <vt:lpstr>SP_BSR_EBITDA</vt:lpstr>
      <vt:lpstr>SP_BSR_EBITDA_LTM</vt:lpstr>
      <vt:lpstr>SP_BSR_SE</vt:lpstr>
      <vt:lpstr>SP_BSR_SE_Avg</vt:lpstr>
      <vt:lpstr>SP_BSR_TA</vt:lpstr>
      <vt:lpstr>SP_BSR_TA_Avg</vt:lpstr>
      <vt:lpstr>SP_CFA_Acquisition</vt:lpstr>
      <vt:lpstr>SP_CFA_Capex</vt:lpstr>
      <vt:lpstr>SP_CFA_CFO</vt:lpstr>
      <vt:lpstr>SP_CFA_CFO_BeforeWC</vt:lpstr>
      <vt:lpstr>SP_CFA_CFO_PerShare</vt:lpstr>
      <vt:lpstr>SP_CFA_Debt</vt:lpstr>
      <vt:lpstr>SP_CFA_Div</vt:lpstr>
      <vt:lpstr>SP_CFA_Div_PerShare</vt:lpstr>
      <vt:lpstr>SP_CFA_Divestiture</vt:lpstr>
      <vt:lpstr>SP_CFA_Equity</vt:lpstr>
      <vt:lpstr>SP_CFA_FCF_PerShare</vt:lpstr>
      <vt:lpstr>SP_CFA_FCF_PostDiv</vt:lpstr>
      <vt:lpstr>SP_CFA_FCF_PreDiv</vt:lpstr>
      <vt:lpstr>SP_CFA_NetChange</vt:lpstr>
      <vt:lpstr>SP_CFA_Other</vt:lpstr>
      <vt:lpstr>SP_CFA_Payout_vsEPS</vt:lpstr>
      <vt:lpstr>SP_CFA_Payout_vsFCF</vt:lpstr>
      <vt:lpstr>SP_CFA_WC</vt:lpstr>
      <vt:lpstr>SP_Checks_SummaryPage</vt:lpstr>
      <vt:lpstr>SP_Common_Column_A</vt:lpstr>
      <vt:lpstr>SP_Common_Column_B</vt:lpstr>
      <vt:lpstr>SP_Common_ColumnHeader</vt:lpstr>
      <vt:lpstr>SP_Common_QEndDate</vt:lpstr>
      <vt:lpstr>SP_CS_Cash</vt:lpstr>
      <vt:lpstr>SP_CS_Debt</vt:lpstr>
      <vt:lpstr>SP_CS_EV</vt:lpstr>
      <vt:lpstr>SP_CS_EVCalc_Other</vt:lpstr>
      <vt:lpstr>SP_CS_MarketCap</vt:lpstr>
      <vt:lpstr>SP_CS_ShareCount_EoP_Diluted</vt:lpstr>
      <vt:lpstr>SP_CS_StockPrice</vt:lpstr>
      <vt:lpstr>SP_CS_WC</vt:lpstr>
      <vt:lpstr>SP_GF_COGS</vt:lpstr>
      <vt:lpstr>SP_GF_DA</vt:lpstr>
      <vt:lpstr>SP_GF_DisCont</vt:lpstr>
      <vt:lpstr>SP_GF_Div_Prefs</vt:lpstr>
      <vt:lpstr>SP_GF_EBITDAX</vt:lpstr>
      <vt:lpstr>SP_GF_EBT</vt:lpstr>
      <vt:lpstr>SP_GF_EPS_WAD</vt:lpstr>
      <vt:lpstr>SP_GF_ExciseTax</vt:lpstr>
      <vt:lpstr>SP_GF_ExplorationExpense</vt:lpstr>
      <vt:lpstr>SP_GF_IE</vt:lpstr>
      <vt:lpstr>SP_GF_IE_Net</vt:lpstr>
      <vt:lpstr>SP_GF_Impairment</vt:lpstr>
      <vt:lpstr>SP_GF_NCI</vt:lpstr>
      <vt:lpstr>SP_GF_NI</vt:lpstr>
      <vt:lpstr>SP_GF_OPEX</vt:lpstr>
      <vt:lpstr>SP_GF_Rev</vt:lpstr>
      <vt:lpstr>SP_GF_SGA</vt:lpstr>
      <vt:lpstr>SP_GF_ShareCount</vt:lpstr>
      <vt:lpstr>SP_GF_Tax</vt:lpstr>
      <vt:lpstr>SP_MA_COGS</vt:lpstr>
      <vt:lpstr>SP_MA_EBITDA</vt:lpstr>
      <vt:lpstr>SP_MA_EBITDA_Adj</vt:lpstr>
      <vt:lpstr>SP_MA_OPEX</vt:lpstr>
      <vt:lpstr>SP_MA_SGA</vt:lpstr>
      <vt:lpstr>SP_Company1876_EBITDA</vt:lpstr>
      <vt:lpstr>SP_Company1876_EBITDAX</vt:lpstr>
      <vt:lpstr>SP_Company1876_EPS</vt:lpstr>
      <vt:lpstr>SP_Company1876_NI</vt:lpstr>
      <vt:lpstr>SP_PR_ROA</vt:lpstr>
      <vt:lpstr>SP_PR_ROCE</vt:lpstr>
      <vt:lpstr>SP_PR_ROE</vt:lpstr>
      <vt:lpstr>SP_PR_ROIC</vt:lpstr>
      <vt:lpstr>SP_Company2123_CFO</vt:lpstr>
      <vt:lpstr>SP_Company2123_FCF</vt:lpstr>
      <vt:lpstr>SP_Company2123_NI_Adj</vt:lpstr>
      <vt:lpstr>SP_Company2123_Revenue</vt:lpstr>
      <vt:lpstr>SP_Section_BalanceSheetRatios</vt:lpstr>
      <vt:lpstr>SP_Section_CapitalizationSummary</vt:lpstr>
      <vt:lpstr>SP_Section_CashFlowAnalysis</vt:lpstr>
      <vt:lpstr>SP_Section_Checks</vt:lpstr>
      <vt:lpstr>SP_Section_CompanySpecificOperationalData</vt:lpstr>
      <vt:lpstr>SP_Section_GAAPFinancials</vt:lpstr>
      <vt:lpstr>SP_Section_LastRow</vt:lpstr>
      <vt:lpstr>SP_Section_MarginAnalysis</vt:lpstr>
      <vt:lpstr>SP_Section_NonGAAPFinancials</vt:lpstr>
      <vt:lpstr>SP_Section_PerShareGrowthMetrics</vt:lpstr>
      <vt:lpstr>SP_Section_ProfitabilityRatios</vt:lpstr>
      <vt:lpstr>SP_Section_ValuationMetrics</vt:lpstr>
      <vt:lpstr>SP_VM_EV_ToEBITDA</vt:lpstr>
      <vt:lpstr>SP_VM_FCFYield_ToEV</vt:lpstr>
      <vt:lpstr>SP_VM_FCFYield_ToMktCap</vt:lpstr>
      <vt:lpstr>SP_VM_P_ToCF</vt:lpstr>
      <vt:lpstr>SP_VM_P_ToE</vt:lpstr>
      <vt:lpstr>tb_ConsensusEstimate</vt:lpstr>
      <vt:lpstr>tb_EntireModel</vt:lpstr>
      <vt:lpstr>tb_Guidance_FY</vt:lpstr>
      <vt:lpstr>tb_Guidance_Q</vt:lpstr>
      <vt:lpstr>tb_KeyOutputs</vt:lpstr>
      <vt:lpstr>tb_KPIs</vt:lpstr>
      <vt:lpstr>tb_StockPrice</vt:lpstr>
      <vt:lpstr>tb_Tickers</vt:lpstr>
      <vt:lpstr>tb_UpdateLog</vt:lpstr>
      <vt:lpstr>tb_ValuationToggle</vt:lpstr>
      <vt:lpstr>UL.CSIN</vt:lpstr>
      <vt:lpstr>UL.ModelVersion</vt:lpstr>
      <vt:lpstr>UL.MRQ</vt:lpstr>
      <vt:lpstr>UL.MRQColNum</vt:lpstr>
      <vt:lpstr>Supplemental!WS_ColumnHeader</vt:lpstr>
      <vt:lpstr>Supplemental!WS_LastRow</vt:lpstr>
      <vt:lpstr>Supplemental!WS_PeriodMetadata_FPDays</vt:lpstr>
      <vt:lpstr>Supplemental!WS_PeriodMetadata_PAnnotation</vt:lpstr>
      <vt:lpstr>Supplemental!WS_PeriodMetadata_PEndDate</vt:lpstr>
      <vt:lpstr>Supplemental!WS_RowTitle</vt:lpstr>
      <vt:lpstr>Supplemental!WS_WorkingRange_FirstColumn</vt:lpstr>
      <vt:lpstr>Supplemental!WS_WorkingRange_FirstRow</vt:lpstr>
      <vt:lpstr>Supplemental!WS_WorkingRange_LastColumn</vt:lpstr>
      <vt:lpstr>Supplemental!WS_WorkingRange_LastRow</vt:lpstr>
      <vt:lpstr>z_Z99BO00122_MO_AN_Acquisitioncosts</vt:lpstr>
      <vt:lpstr>z_Z99BO00122_MO_AN_Company0233</vt:lpstr>
      <vt:lpstr>z_Z99BO00122_MO_AN_Company0233_1</vt:lpstr>
      <vt:lpstr>z_Z99BO00122_MO_AN_Assetsalegains</vt:lpstr>
      <vt:lpstr>z_Z99BO00122_MO_AN_Assetsalegains_1</vt:lpstr>
      <vt:lpstr>z_Z99BO00122_MO_AN_AssumedTaxRateonfinancing</vt:lpstr>
      <vt:lpstr>z_Z99BO00122_MO_AN_ChevronGAAPearnings</vt:lpstr>
      <vt:lpstr>z_Z99BO00122_MO_AN_ChevronnonGAAPearnings</vt:lpstr>
      <vt:lpstr>z_Z99BO00122_MO_AN_DACFCalculated</vt:lpstr>
      <vt:lpstr>z_Z99BO00122_MO_AN_Decomissioningobligations</vt:lpstr>
      <vt:lpstr>z_Z99BO00122_MO_AN_Decommissioningobligations</vt:lpstr>
      <vt:lpstr>z_Z99BO00122_MO_AN_Earlycontracttermination</vt:lpstr>
      <vt:lpstr>z_Z99BO00122_MO_AN_Earlycontracttermination_1</vt:lpstr>
      <vt:lpstr>z_Z99BO00122_MO_AN_FXeffect_3</vt:lpstr>
      <vt:lpstr>z_Z99BO00122_MO_AN_FXeffects</vt:lpstr>
      <vt:lpstr>z_Z99BO00122_MO_AN_FXeffects_1</vt:lpstr>
      <vt:lpstr>z_Z99BO00122_MO_AN_FXeffects_2</vt:lpstr>
      <vt:lpstr>z_Z99BO00122_MO_AN_Impairmentandwriteoffs</vt:lpstr>
      <vt:lpstr>z_Z99BO00122_MO_AN_Impairmentandwriteoffs_1</vt:lpstr>
      <vt:lpstr>z_Z99BO00122_MO_AN_Impairmentandwriteoffs_2</vt:lpstr>
      <vt:lpstr>z_Z99BO00122_MO_AN_Impairmentandwriteoffs_3</vt:lpstr>
      <vt:lpstr>z_Z99BO00122_MO_AN_Impairmentandwriteoffs_4</vt:lpstr>
      <vt:lpstr>z_Z99BO00122_MO_AN_Interestincome</vt:lpstr>
      <vt:lpstr>z_Z99BO00122_MO_AN_InternationalDownstreamadjustedearnings</vt:lpstr>
      <vt:lpstr>z_Z99BO00122_MO_AN_InternationalDownstreamearnings</vt:lpstr>
      <vt:lpstr>z_Z99BO00122_MO_AN_InternationalUpstreamadjustedearnings</vt:lpstr>
      <vt:lpstr>z_Z99BO00122_MO_AN_InternationalUpstreamearnings</vt:lpstr>
      <vt:lpstr>z_Z99BO00122_MO_AN_Legalreserves</vt:lpstr>
      <vt:lpstr>z_Z99BO00122_MO_AN_Legalreserves_1</vt:lpstr>
      <vt:lpstr>z_Z99BO00122_MO_AN_Lossonearlyretirementofdebt</vt:lpstr>
      <vt:lpstr>z_Z99BO00122_MO_AN_Lossonearlyretirementofdebt_1</vt:lpstr>
      <vt:lpstr>z_Z99BO00122_MO_AN_Company1945</vt:lpstr>
      <vt:lpstr>z_Z99BO00122_MO_AN_Company1945_1</vt:lpstr>
      <vt:lpstr>z_Z99BO00122_MO_AN_Other</vt:lpstr>
      <vt:lpstr>z_Z99BO00122_MO_AN_Other_4</vt:lpstr>
      <vt:lpstr>z_Z99BO00122_MO_AN_Other_5</vt:lpstr>
      <vt:lpstr>z_Z99BO00122_MO_AN_Otheradjustedearnings</vt:lpstr>
      <vt:lpstr>z_Z99BO00122_MO_AN_Otherearnings</vt:lpstr>
      <vt:lpstr>z_Z99BO00122_MO_AN_Otherincome</vt:lpstr>
      <vt:lpstr>z_Z99BO00122_MO_AN_Pensionsettlementcharge</vt:lpstr>
      <vt:lpstr>z_Z99BO00122_MO_AN_Pensionsettlementcharge_1</vt:lpstr>
      <vt:lpstr>z_Z99BO00122_MO_AN_Remediationcharge</vt:lpstr>
      <vt:lpstr>z_Z99BO00122_MO_AN_Remediationcharge_1</vt:lpstr>
      <vt:lpstr>z_Z99BO00122_MO_AN_Remediationcharge_2</vt:lpstr>
      <vt:lpstr>z_Z99BO00122_MO_AN_Severanceaccruals</vt:lpstr>
      <vt:lpstr>z_Z99BO00122_MO_AN_Severanceaccruals_1</vt:lpstr>
      <vt:lpstr>z_Z99BO00122_MO_AN_Severanceaccruals_2</vt:lpstr>
      <vt:lpstr>z_Z99BO00122_MO_AN_Severanceaccruals_3</vt:lpstr>
      <vt:lpstr>z_Z99BO00122_MO_AN_Severanceaccruals_4</vt:lpstr>
      <vt:lpstr>z_Z99BO00122_MO_AN_Severanceaccruals_5</vt:lpstr>
      <vt:lpstr>z_Z99BO00122_MO_AN_Specialitems</vt:lpstr>
      <vt:lpstr>z_Z99BO00122_MO_AN_Taxitems</vt:lpstr>
      <vt:lpstr>z_Z99BO00122_MO_AN_Taxitems_1</vt:lpstr>
      <vt:lpstr>z_Z99BO00122_MO_AN_Taxitems_2</vt:lpstr>
      <vt:lpstr>z_Z99BO00122_MO_AN_Transactioncosts</vt:lpstr>
      <vt:lpstr>z_Z99BO00122_MO_AN_USDownstreamadjustedearnings</vt:lpstr>
      <vt:lpstr>z_Z99BO00122_MO_AN_USDownstreamearnings</vt:lpstr>
      <vt:lpstr>z_Z99BO00122_MO_AN_USUpstreamadjustedearnings</vt:lpstr>
      <vt:lpstr>z_Z99BO00122_MO_AN_USUpstreamearnings</vt:lpstr>
      <vt:lpstr>z_Z99BO00122_MO_BlankRow_AN</vt:lpstr>
      <vt:lpstr>z_Z99BO00122_MO_BlankRow_AN_1</vt:lpstr>
      <vt:lpstr>z_Z99BO00122_MO_BlankRow_AN_2</vt:lpstr>
      <vt:lpstr>z_Z99BO00122_MO_BlankRow_AN_3</vt:lpstr>
      <vt:lpstr>z_Z99BO00122_MO_BlankRow_AN_4</vt:lpstr>
      <vt:lpstr>z_Z99BO00122_MO_BlankRow_AN_5</vt:lpstr>
      <vt:lpstr>z_Z99BO00122_MO_BlankRow_AN_6</vt:lpstr>
      <vt:lpstr>z_Z99BO00122_MO_BlankRow_AN_7</vt:lpstr>
      <vt:lpstr>z_Z99BO00122_MO_BlankRow_BS_1</vt:lpstr>
      <vt:lpstr>z_Z99BO00122_MO_BlankRow_BS_2</vt:lpstr>
      <vt:lpstr>z_Z99BO00122_MO_BlankRow_BS_3</vt:lpstr>
      <vt:lpstr>z_Z99BO00122_MO_BlankRow_BS_4</vt:lpstr>
      <vt:lpstr>z_Z99BO00122_MO_BlankRow_BS_5</vt:lpstr>
      <vt:lpstr>z_Z99BO00122_MO_BlankRow_BS_6</vt:lpstr>
      <vt:lpstr>z_Z99BO00122_MO_BlankRow_BSS</vt:lpstr>
      <vt:lpstr>z_Z99BO00122_MO_BlankRow_BSS_1</vt:lpstr>
      <vt:lpstr>z_Z99BO00122_MO_BlankRow_BSS_2</vt:lpstr>
      <vt:lpstr>z_Z99BO00122_MO_BlankRow_CCFS</vt:lpstr>
      <vt:lpstr>z_Z99BO00122_MO_BlankRow_CCFS_1</vt:lpstr>
      <vt:lpstr>z_Z99BO00122_MO_BlankRow_CCFS_2</vt:lpstr>
      <vt:lpstr>z_Z99BO00122_MO_BlankRow_CCFS_3</vt:lpstr>
      <vt:lpstr>z_Z99BO00122_MO_BlankRow_CCFS_4</vt:lpstr>
      <vt:lpstr>z_Z99BO00122_MO_BlankRow_CCFS_5</vt:lpstr>
      <vt:lpstr>z_Z99BO00122_MO_BlankRow_CFS_2</vt:lpstr>
      <vt:lpstr>z_Z99BO00122_MO_BlankRow_CFS_3</vt:lpstr>
      <vt:lpstr>z_Z99BO00122_MO_BlankRow_CFS_4</vt:lpstr>
      <vt:lpstr>z_Z99BO00122_MO_BlankRow_CFS_5</vt:lpstr>
      <vt:lpstr>z_Z99BO00122_MO_BlankRow_CFS_6</vt:lpstr>
      <vt:lpstr>z_Z99BO00122_MO_BlankRow_CFS_8</vt:lpstr>
      <vt:lpstr>z_Z99BO00122_MO_BlankRow_CFSum</vt:lpstr>
      <vt:lpstr>z_Z99BO00122_MO_BlankRow_CFSum_1</vt:lpstr>
      <vt:lpstr>z_Z99BO00122_MO_BlankRow_CFSum_2</vt:lpstr>
      <vt:lpstr>z_Z99BO00122_MO_BlankRow_IS</vt:lpstr>
      <vt:lpstr>z_Z99BO00122_MO_BlankRow_IS_1</vt:lpstr>
      <vt:lpstr>z_Z99BO00122_MO_BlankRow_MA</vt:lpstr>
      <vt:lpstr>z_Z99BO00122_MO_BlankRow_MA_1</vt:lpstr>
      <vt:lpstr>z_Z99BO00122_MO_BlankRow_MA_2</vt:lpstr>
      <vt:lpstr>z_Z99BO00122_MO_BlankRow_MA_3</vt:lpstr>
      <vt:lpstr>z_Z99BO00122_MO_BlankRow_MA_4</vt:lpstr>
      <vt:lpstr>z_Z99BO00122_MO_BlankRow_OS</vt:lpstr>
      <vt:lpstr>z_Z99BO00122_MO_BlankRow_OS_1</vt:lpstr>
      <vt:lpstr>z_Z99BO00122_MO_BlankRow_OS_10</vt:lpstr>
      <vt:lpstr>z_Z99BO00122_MO_BlankRow_OS_100</vt:lpstr>
      <vt:lpstr>z_Z99BO00122_MO_BlankRow_OS_101</vt:lpstr>
      <vt:lpstr>z_Z99BO00122_MO_BlankRow_OS_102</vt:lpstr>
      <vt:lpstr>z_Z99BO00122_MO_BlankRow_OS_103</vt:lpstr>
      <vt:lpstr>z_Z99BO00122_MO_BlankRow_OS_104</vt:lpstr>
      <vt:lpstr>z_Z99BO00122_MO_BlankRow_OS_105</vt:lpstr>
      <vt:lpstr>z_Z99BO00122_MO_BlankRow_OS_106</vt:lpstr>
      <vt:lpstr>z_Z99BO00122_MO_BlankRow_OS_107</vt:lpstr>
      <vt:lpstr>z_Z99BO00122_MO_BlankRow_OS_108</vt:lpstr>
      <vt:lpstr>z_Z99BO00122_MO_BlankRow_OS_109</vt:lpstr>
      <vt:lpstr>z_Z99BO00122_MO_BlankRow_OS_11</vt:lpstr>
      <vt:lpstr>z_Z99BO00122_MO_BlankRow_OS_110</vt:lpstr>
      <vt:lpstr>z_Z99BO00122_MO_BlankRow_OS_111</vt:lpstr>
      <vt:lpstr>z_Z99BO00122_MO_BlankRow_OS_112</vt:lpstr>
      <vt:lpstr>z_Z99BO00122_MO_BlankRow_OS_113</vt:lpstr>
      <vt:lpstr>z_Z99BO00122_MO_BlankRow_OS_114</vt:lpstr>
      <vt:lpstr>z_Z99BO00122_MO_BlankRow_OS_115</vt:lpstr>
      <vt:lpstr>z_Z99BO00122_MO_BlankRow_OS_116</vt:lpstr>
      <vt:lpstr>z_Z99BO00122_MO_BlankRow_OS_117</vt:lpstr>
      <vt:lpstr>z_Z99BO00122_MO_BlankRow_OS_118</vt:lpstr>
      <vt:lpstr>z_Z99BO00122_MO_BlankRow_OS_119</vt:lpstr>
      <vt:lpstr>z_Z99BO00122_MO_BlankRow_OS_12</vt:lpstr>
      <vt:lpstr>z_Z99BO00122_MO_BlankRow_OS_13</vt:lpstr>
      <vt:lpstr>z_Z99BO00122_MO_BlankRow_OS_14</vt:lpstr>
      <vt:lpstr>z_Z99BO00122_MO_BlankRow_OS_15</vt:lpstr>
      <vt:lpstr>z_Z99BO00122_MO_BlankRow_OS_16</vt:lpstr>
      <vt:lpstr>z_Z99BO00122_MO_BlankRow_OS_17</vt:lpstr>
      <vt:lpstr>z_Z99BO00122_MO_BlankRow_OS_18</vt:lpstr>
      <vt:lpstr>z_Z99BO00122_MO_BlankRow_OS_19</vt:lpstr>
      <vt:lpstr>z_Z99BO00122_MO_BlankRow_OS_2</vt:lpstr>
      <vt:lpstr>z_Z99BO00122_MO_BlankRow_OS_20</vt:lpstr>
      <vt:lpstr>z_Z99BO00122_MO_BlankRow_OS_21</vt:lpstr>
      <vt:lpstr>z_Z99BO00122_MO_BlankRow_OS_22</vt:lpstr>
      <vt:lpstr>z_Z99BO00122_MO_BlankRow_OS_23</vt:lpstr>
      <vt:lpstr>z_Z99BO00122_MO_BlankRow_OS_24</vt:lpstr>
      <vt:lpstr>z_Z99BO00122_MO_BlankRow_OS_25</vt:lpstr>
      <vt:lpstr>z_Z99BO00122_MO_BlankRow_OS_26</vt:lpstr>
      <vt:lpstr>z_Z99BO00122_MO_BlankRow_OS_27</vt:lpstr>
      <vt:lpstr>z_Z99BO00122_MO_BlankRow_OS_28</vt:lpstr>
      <vt:lpstr>z_Z99BO00122_MO_BlankRow_OS_29</vt:lpstr>
      <vt:lpstr>z_Z99BO00122_MO_BlankRow_OS_3</vt:lpstr>
      <vt:lpstr>z_Z99BO00122_MO_BlankRow_OS_30</vt:lpstr>
      <vt:lpstr>z_Z99BO00122_MO_BlankRow_OS_31</vt:lpstr>
      <vt:lpstr>z_Z99BO00122_MO_BlankRow_OS_32</vt:lpstr>
      <vt:lpstr>z_Z99BO00122_MO_BlankRow_OS_33</vt:lpstr>
      <vt:lpstr>z_Z99BO00122_MO_BlankRow_OS_34</vt:lpstr>
      <vt:lpstr>z_Z99BO00122_MO_BlankRow_OS_35</vt:lpstr>
      <vt:lpstr>z_Z99BO00122_MO_BlankRow_OS_36</vt:lpstr>
      <vt:lpstr>z_Z99BO00122_MO_BlankRow_OS_37</vt:lpstr>
      <vt:lpstr>z_Z99BO00122_MO_BlankRow_OS_38</vt:lpstr>
      <vt:lpstr>z_Z99BO00122_MO_BlankRow_OS_39</vt:lpstr>
      <vt:lpstr>z_Z99BO00122_MO_BlankRow_OS_4</vt:lpstr>
      <vt:lpstr>z_Z99BO00122_MO_BlankRow_OS_41</vt:lpstr>
      <vt:lpstr>z_Z99BO00122_MO_BlankRow_OS_42</vt:lpstr>
      <vt:lpstr>z_Z99BO00122_MO_BlankRow_OS_44</vt:lpstr>
      <vt:lpstr>z_Z99BO00122_MO_BlankRow_OS_45</vt:lpstr>
      <vt:lpstr>z_Z99BO00122_MO_BlankRow_OS_46</vt:lpstr>
      <vt:lpstr>z_Z99BO00122_MO_BlankRow_OS_48</vt:lpstr>
      <vt:lpstr>z_Z99BO00122_MO_BlankRow_OS_49</vt:lpstr>
      <vt:lpstr>z_Z99BO00122_MO_BlankRow_OS_5</vt:lpstr>
      <vt:lpstr>z_Z99BO00122_MO_BlankRow_OS_50</vt:lpstr>
      <vt:lpstr>z_Z99BO00122_MO_BlankRow_OS_51</vt:lpstr>
      <vt:lpstr>z_Z99BO00122_MO_BlankRow_OS_52</vt:lpstr>
      <vt:lpstr>z_Z99BO00122_MO_BlankRow_OS_57</vt:lpstr>
      <vt:lpstr>z_Z99BO00122_MO_BlankRow_OS_58</vt:lpstr>
      <vt:lpstr>z_Z99BO00122_MO_BlankRow_OS_59</vt:lpstr>
      <vt:lpstr>z_Z99BO00122_MO_BlankRow_OS_6</vt:lpstr>
      <vt:lpstr>z_Z99BO00122_MO_BlankRow_OS_60</vt:lpstr>
      <vt:lpstr>z_Z99BO00122_MO_BlankRow_OS_62</vt:lpstr>
      <vt:lpstr>z_Z99BO00122_MO_BlankRow_OS_63</vt:lpstr>
      <vt:lpstr>z_Z99BO00122_MO_BlankRow_OS_64</vt:lpstr>
      <vt:lpstr>z_Z99BO00122_MO_BlankRow_OS_65</vt:lpstr>
      <vt:lpstr>z_Z99BO00122_MO_BlankRow_OS_66</vt:lpstr>
      <vt:lpstr>z_Z99BO00122_MO_BlankRow_OS_67</vt:lpstr>
      <vt:lpstr>z_Z99BO00122_MO_BlankRow_OS_68</vt:lpstr>
      <vt:lpstr>z_Z99BO00122_MO_BlankRow_OS_69</vt:lpstr>
      <vt:lpstr>z_Z99BO00122_MO_BlankRow_OS_7</vt:lpstr>
      <vt:lpstr>z_Z99BO00122_MO_BlankRow_OS_70</vt:lpstr>
      <vt:lpstr>z_Z99BO00122_MO_BlankRow_OS_71</vt:lpstr>
      <vt:lpstr>z_Z99BO00122_MO_BlankRow_OS_72</vt:lpstr>
      <vt:lpstr>z_Z99BO00122_MO_BlankRow_OS_73</vt:lpstr>
      <vt:lpstr>z_Z99BO00122_MO_BlankRow_OS_74</vt:lpstr>
      <vt:lpstr>z_Z99BO00122_MO_BlankRow_OS_75</vt:lpstr>
      <vt:lpstr>z_Z99BO00122_MO_BlankRow_OS_76</vt:lpstr>
      <vt:lpstr>z_Z99BO00122_MO_BlankRow_OS_77</vt:lpstr>
      <vt:lpstr>z_Z99BO00122_MO_BlankRow_OS_78</vt:lpstr>
      <vt:lpstr>z_Z99BO00122_MO_BlankRow_OS_79</vt:lpstr>
      <vt:lpstr>z_Z99BO00122_MO_BlankRow_OS_8</vt:lpstr>
      <vt:lpstr>z_Z99BO00122_MO_BlankRow_OS_80</vt:lpstr>
      <vt:lpstr>z_Z99BO00122_MO_BlankRow_OS_81</vt:lpstr>
      <vt:lpstr>z_Z99BO00122_MO_BlankRow_OS_82</vt:lpstr>
      <vt:lpstr>z_Z99BO00122_MO_BlankRow_OS_83</vt:lpstr>
      <vt:lpstr>z_Z99BO00122_MO_BlankRow_OS_84</vt:lpstr>
      <vt:lpstr>z_Z99BO00122_MO_BlankRow_OS_85</vt:lpstr>
      <vt:lpstr>z_Z99BO00122_MO_BlankRow_OS_86</vt:lpstr>
      <vt:lpstr>z_Z99BO00122_MO_BlankRow_OS_87</vt:lpstr>
      <vt:lpstr>z_Z99BO00122_MO_BlankRow_OS_88</vt:lpstr>
      <vt:lpstr>z_Z99BO00122_MO_BlankRow_OS_89</vt:lpstr>
      <vt:lpstr>z_Z99BO00122_MO_BlankRow_OS_9</vt:lpstr>
      <vt:lpstr>z_Z99BO00122_MO_BlankRow_OS_90</vt:lpstr>
      <vt:lpstr>z_Z99BO00122_MO_BlankRow_OS_91</vt:lpstr>
      <vt:lpstr>z_Z99BO00122_MO_BlankRow_OS_92</vt:lpstr>
      <vt:lpstr>z_Z99BO00122_MO_BlankRow_OS_93</vt:lpstr>
      <vt:lpstr>z_Z99BO00122_MO_BlankRow_OS_94</vt:lpstr>
      <vt:lpstr>z_Z99BO00122_MO_BlankRow_OS_95</vt:lpstr>
      <vt:lpstr>z_Z99BO00122_MO_BlankRow_OS_96</vt:lpstr>
      <vt:lpstr>z_Z99BO00122_MO_BlankRow_OS_97</vt:lpstr>
      <vt:lpstr>z_Z99BO00122_MO_BlankRow_OS_98</vt:lpstr>
      <vt:lpstr>z_Z99BO00122_MO_BlankRow_OS_99</vt:lpstr>
      <vt:lpstr>z_Z99BO00122_MO_BlankRow_RIS</vt:lpstr>
      <vt:lpstr>z_Z99BO00122_MO_BlankRow_RIS_1</vt:lpstr>
      <vt:lpstr>z_Z99BO00122_MO_BlankRow_RIS_2</vt:lpstr>
      <vt:lpstr>z_Z99BO00122_MO_BlankRow_RIS_3</vt:lpstr>
      <vt:lpstr>z_Z99BO00122_MO_BlankRow_RIS_4</vt:lpstr>
      <vt:lpstr>z_Z99BO00122_MO_BlankRow_RIS_5</vt:lpstr>
      <vt:lpstr>z_Z99BO00122_MO_BlankRow_SNA</vt:lpstr>
      <vt:lpstr>z_Z99BO00122_MO_BlankRow_SNA_1</vt:lpstr>
      <vt:lpstr>z_Z99BO00122_MO_BlankRow_SNA_10</vt:lpstr>
      <vt:lpstr>z_Z99BO00122_MO_BlankRow_SNA_11</vt:lpstr>
      <vt:lpstr>z_Z99BO00122_MO_BlankRow_SNA_12</vt:lpstr>
      <vt:lpstr>z_Z99BO00122_MO_BlankRow_SNA_13</vt:lpstr>
      <vt:lpstr>z_Z99BO00122_MO_BlankRow_SNA_14</vt:lpstr>
      <vt:lpstr>z_Z99BO00122_MO_BlankRow_SNA_15</vt:lpstr>
      <vt:lpstr>z_Z99BO00122_MO_BlankRow_SNA_16</vt:lpstr>
      <vt:lpstr>z_Z99BO00122_MO_BlankRow_SNA_17</vt:lpstr>
      <vt:lpstr>z_Z99BO00122_MO_BlankRow_SNA_18</vt:lpstr>
      <vt:lpstr>z_Z99BO00122_MO_BlankRow_SNA_19</vt:lpstr>
      <vt:lpstr>z_Z99BO00122_MO_BlankRow_SNA_2</vt:lpstr>
      <vt:lpstr>z_Z99BO00122_MO_BlankRow_SNA_20</vt:lpstr>
      <vt:lpstr>z_Z99BO00122_MO_BlankRow_SNA_3</vt:lpstr>
      <vt:lpstr>z_Z99BO00122_MO_BlankRow_SNA_4</vt:lpstr>
      <vt:lpstr>z_Z99BO00122_MO_BlankRow_SNA_5</vt:lpstr>
      <vt:lpstr>z_Z99BO00122_MO_BlankRow_SNA_6</vt:lpstr>
      <vt:lpstr>z_Z99BO00122_MO_BlankRow_SNA_7</vt:lpstr>
      <vt:lpstr>z_Z99BO00122_MO_BlankRow_SNA_8</vt:lpstr>
      <vt:lpstr>z_Z99BO00122_MO_BlankRow_SNA_9</vt:lpstr>
      <vt:lpstr>z_Z99BO00122_MO_BS_accountsandnotesreceivable</vt:lpstr>
      <vt:lpstr>z_Z99BO00122_MO_BS_accountspayable</vt:lpstr>
      <vt:lpstr>z_Z99BO00122_MO_BS_accruedliabilities</vt:lpstr>
      <vt:lpstr>z_Z99BO00122_MO_BS_Accumulatedothercomprehensiveloss</vt:lpstr>
      <vt:lpstr>z_Z99BO00122_MO_BS_assetsheldforsale</vt:lpstr>
      <vt:lpstr>z_Z99BO00122_MO_BS_BSCheck</vt:lpstr>
      <vt:lpstr>z_Z99BO00122_MO_BS_capitalinexcessofparvalue</vt:lpstr>
      <vt:lpstr>z_Z99BO00122_MO_BS_capitalleaseobligations</vt:lpstr>
      <vt:lpstr>z_Z99BO00122_MO_BS_cashandcashequivalents</vt:lpstr>
      <vt:lpstr>z_Z99BO00122_MO_BS_chemicals</vt:lpstr>
      <vt:lpstr>z_Z99BO00122_MO_BS_commonstock</vt:lpstr>
      <vt:lpstr>z_Z99BO00122_MO_BS_crudeoilandpetroleumproducts</vt:lpstr>
      <vt:lpstr>z_Z99BO00122_MO_BS_CurrentAssets</vt:lpstr>
      <vt:lpstr>z_Z99BO00122_MO_BS_CurrentLiabilities</vt:lpstr>
      <vt:lpstr>z_Z99BO00122_MO_BS_Deferredchargesandotherassets</vt:lpstr>
      <vt:lpstr>z_Z99BO00122_MO_BS_Deferredchargesandotherassetsexcludingrestrictedcash</vt:lpstr>
      <vt:lpstr>z_Z99BO00122_MO_BS_deferredcompensationandbenefitplantrust</vt:lpstr>
      <vt:lpstr>z_Z99BO00122_MO_BS_Deferredcreditsandothernoncurrentobligations</vt:lpstr>
      <vt:lpstr>z_Z99BO00122_MO_BS_Federalandothertaxesonincome</vt:lpstr>
      <vt:lpstr>z_Z99BO00122_MO_BS_Goodwill</vt:lpstr>
      <vt:lpstr>z_Z99BO00122_MO_BS_investmentsandadvances</vt:lpstr>
      <vt:lpstr>z_Z99BO00122_MO_BS_lessaccumulateddepreciation</vt:lpstr>
      <vt:lpstr>z_Z99BO00122_MO_BS_Longtermdebt</vt:lpstr>
      <vt:lpstr>z_Z99BO00122_MO_BS_longtermreceivables</vt:lpstr>
      <vt:lpstr>z_Z99BO00122_MO_BS_marketablesecurities</vt:lpstr>
      <vt:lpstr>z_Z99BO00122_MO_BS_materials</vt:lpstr>
      <vt:lpstr>z_Z99BO00122_MO_BS_NCI</vt:lpstr>
      <vt:lpstr>z_Z99BO00122_MO_BS_NetIncomeonReportedISNIonRevised</vt:lpstr>
      <vt:lpstr>z_Z99BO00122_MO_BS_NetIncomeonRevisedISNIonCFstatement</vt:lpstr>
      <vt:lpstr>z_Z99BO00122_MO_BS_NonCurrentAssets</vt:lpstr>
      <vt:lpstr>z_Z99BO00122_MO_BS_noncurrentdeferredincometaxes</vt:lpstr>
      <vt:lpstr>z_Z99BO00122_MO_BS_noncurrentemployeebenefitplans</vt:lpstr>
      <vt:lpstr>z_Z99BO00122_MO_BS_NonCurrentLiabilities</vt:lpstr>
      <vt:lpstr>z_Z99BO00122_MO_BS_Othertaxespayable</vt:lpstr>
      <vt:lpstr>z_Z99BO00122_MO_BS_preferredstock</vt:lpstr>
      <vt:lpstr>z_Z99BO00122_MO_BS_Prepaidexpensesandothercurrentassets</vt:lpstr>
      <vt:lpstr>z_Z99BO00122_MO_BS_Prepaidexpensesandothercurrentassetsexcludingrestrictedcash</vt:lpstr>
      <vt:lpstr>z_Z99BO00122_MO_BS_Propertiesplantandequipment</vt:lpstr>
      <vt:lpstr>z_Z99BO00122_MO_BS_Propertiesplantandequipment_1</vt:lpstr>
      <vt:lpstr>z_Z99BO00122_MO_BS_Restrictedcash</vt:lpstr>
      <vt:lpstr>z_Z99BO00122_MO_BS_Restrictedcash_1</vt:lpstr>
      <vt:lpstr>z_Z99BO00122_MO_BS_retainedearnings</vt:lpstr>
      <vt:lpstr>z_Z99BO00122_MO_BS_ShareholdersEquity</vt:lpstr>
      <vt:lpstr>z_Z99BO00122_MO_BS_Shorttermdebt</vt:lpstr>
      <vt:lpstr>z_Z99BO00122_MO_BS_timedeposits</vt:lpstr>
      <vt:lpstr>z_Z99BO00122_MO_BS_TotalAssets</vt:lpstr>
      <vt:lpstr>z_Z99BO00122_MO_BS_TotalCurrentAssets</vt:lpstr>
      <vt:lpstr>z_Z99BO00122_MO_BS_TotalCurrentLiabilities</vt:lpstr>
      <vt:lpstr>z_Z99BO00122_MO_BS_totalinventories</vt:lpstr>
      <vt:lpstr>z_Z99BO00122_MO_BS_TotalLiabilities</vt:lpstr>
      <vt:lpstr>z_Z99BO00122_MO_BS_TotalLiabilitiesSE</vt:lpstr>
      <vt:lpstr>z_Z99BO00122_MO_BS_TotalNonCurrentAssets</vt:lpstr>
      <vt:lpstr>z_Z99BO00122_MO_BS_TotalNonCurrentliabilities</vt:lpstr>
      <vt:lpstr>z_Z99BO00122_MO_BS_TotalSE</vt:lpstr>
      <vt:lpstr>z_Z99BO00122_MO_BS_treasurycost</vt:lpstr>
      <vt:lpstr>z_Z99BO00122_MO_BSS_Cash</vt:lpstr>
      <vt:lpstr>z_Z99BO00122_MO_BSS_Debt</vt:lpstr>
      <vt:lpstr>z_Z99BO00122_MO_BSS_DebtCashFlow</vt:lpstr>
      <vt:lpstr>z_Z99BO00122_MO_BSS_DebtEBITDAX</vt:lpstr>
      <vt:lpstr>z_Z99BO00122_MO_BSS_EffectiveInterestRateonCash</vt:lpstr>
      <vt:lpstr>z_Z99BO00122_MO_BSS_EffectiveInterestRateonDebt</vt:lpstr>
      <vt:lpstr>z_Z99BO00122_MO_BSS_EffectiveNetInterestRateonDebt</vt:lpstr>
      <vt:lpstr>z_Z99BO00122_MO_BSS_InterestExpense</vt:lpstr>
      <vt:lpstr>z_Z99BO00122_MO_BSS_InterestIncome</vt:lpstr>
      <vt:lpstr>z_Z99BO00122_MO_BSS_LTDebt</vt:lpstr>
      <vt:lpstr>z_Z99BO00122_MO_BSS_NetDebt</vt:lpstr>
      <vt:lpstr>z_Z99BO00122_MO_BSS_NetInterestExpenseIncome</vt:lpstr>
      <vt:lpstr>z_Z99BO00122_MO_BSS_STDebt</vt:lpstr>
      <vt:lpstr>z_Z99BO00122_MO_BSS_WCSurDef</vt:lpstr>
      <vt:lpstr>z_Z99BO00122_MO_CCFS_Company0192</vt:lpstr>
      <vt:lpstr>z_Z99BO00122_MO_CCFS_advancetoatlasenergy</vt:lpstr>
      <vt:lpstr>z_Z99BO00122_MO_CCFS_BeginningCashBalance</vt:lpstr>
      <vt:lpstr>z_Z99BO00122_MO_CCFS_capitalexpenditures</vt:lpstr>
      <vt:lpstr>z_Z99BO00122_MO_CCFS_cashcontributionstoemployeepensionplans</vt:lpstr>
      <vt:lpstr>z_Z99BO00122_MO_CCFS_Cashdividendscommonstock</vt:lpstr>
      <vt:lpstr>z_Z99BO00122_MO_CCFS_Cashpaidforincometaxes</vt:lpstr>
      <vt:lpstr>z_Z99BO00122_MO_CCFS_Cashpaidforinterest</vt:lpstr>
      <vt:lpstr>z_Z99BO00122_MO_CCFS_CFF</vt:lpstr>
      <vt:lpstr>z_Z99BO00122_MO_CCFS_CFI</vt:lpstr>
      <vt:lpstr>z_Z99BO00122_MO_CCFS_CFO</vt:lpstr>
      <vt:lpstr>z_Z99BO00122_MO_CCFS_CFObeforeWC</vt:lpstr>
      <vt:lpstr>z_Z99BO00122_MO_CCFS_deferredincometaxprovision</vt:lpstr>
      <vt:lpstr>z_Z99BO00122_MO_CCFS_depreciation</vt:lpstr>
      <vt:lpstr>z_Z99BO00122_MO_CCFS_Distributionslessthanincomefromequityaffiliates</vt:lpstr>
      <vt:lpstr>z_Z99BO00122_MO_CCFS_distributionstononcontrollinginterests</vt:lpstr>
      <vt:lpstr>z_Z99BO00122_MO_CCFS_dryholeexpense</vt:lpstr>
      <vt:lpstr>z_Z99BO00122_MO_CCFS_EndingCashBalance</vt:lpstr>
      <vt:lpstr>z_Z99BO00122_MO_CCFS_FX</vt:lpstr>
      <vt:lpstr>z_Z99BO00122_MO_CCFS_increaseinlongtermreceivables</vt:lpstr>
      <vt:lpstr>z_Z99BO00122_MO_CCFS_netbeforetaxgainsonassetretirementsandsales</vt:lpstr>
      <vt:lpstr>z_Z99BO00122_MO_CCFS_Netborrowingofloansbyequityaffiliates</vt:lpstr>
      <vt:lpstr>z_Z99BO00122_MO_CCFS_netborrowingsofshorttermobligations</vt:lpstr>
      <vt:lpstr>z_Z99BO00122_MO_CCFS_NetCFF</vt:lpstr>
      <vt:lpstr>z_Z99BO00122_MO_CCFS_NetCFI</vt:lpstr>
      <vt:lpstr>z_Z99BO00122_MO_CCFS_NetCFO</vt:lpstr>
      <vt:lpstr>z_Z99BO00122_MO_CCFS_NetChangeinCashBalance</vt:lpstr>
      <vt:lpstr>z_Z99BO00122_MO_CCFS_Netdecreaseinotherdeferredcharges</vt:lpstr>
      <vt:lpstr>z_Z99BO00122_MO_CCFS_netforeigncurrencyeffects</vt:lpstr>
      <vt:lpstr>z_Z99BO00122_MO_CCFS_netincomeattributabletononcontrollinginterests</vt:lpstr>
      <vt:lpstr>z_Z99BO00122_MO_CCFS_netincomeloss</vt:lpstr>
      <vt:lpstr>z_Z99BO00122_MO_CCFS_netincreaseinoperatingworkingcapital</vt:lpstr>
      <vt:lpstr>z_Z99BO00122_MO_CCFS_netmaturitiesoftimedeposits</vt:lpstr>
      <vt:lpstr>z_Z99BO00122_MO_CCFS_netsalesofmarketablesecurities</vt:lpstr>
      <vt:lpstr>z_Z99BO00122_MO_CCFS_Netsalesofothershortterminvestments</vt:lpstr>
      <vt:lpstr>z_Z99BO00122_MO_CCFS_netsalesoftreasuryshares</vt:lpstr>
      <vt:lpstr>z_Z99BO00122_MO_CCFS_Other</vt:lpstr>
      <vt:lpstr>z_Z99BO00122_MO_CCFS_Otherfinancingactivity</vt:lpstr>
      <vt:lpstr>z_Z99BO00122_MO_CCFS_Otherinvestingactivities</vt:lpstr>
      <vt:lpstr>z_Z99BO00122_MO_CCFS_proceedsanddepositsrelatedtoassetsales</vt:lpstr>
      <vt:lpstr>z_Z99BO00122_MO_CCFS_Proceedsfromissuanceoflongtermdebt</vt:lpstr>
      <vt:lpstr>z_Z99BO00122_MO_CCFS_Repaymentsoflongtermdebtandotherfinancingobligations</vt:lpstr>
      <vt:lpstr>z_Z99BO00122_MO_CCFS_Sharesrepurchased</vt:lpstr>
      <vt:lpstr>z_Z99BO00122_MO_CCFS_stockbasedcompensation</vt:lpstr>
      <vt:lpstr>z_Z99BO00122_MO_CFS_Company0192</vt:lpstr>
      <vt:lpstr>z_Z99BO00122_MO_CFS_advancetoatlasenergy</vt:lpstr>
      <vt:lpstr>z_Z99BO00122_MO_CFS_BeginningCashBalance</vt:lpstr>
      <vt:lpstr>z_Z99BO00122_MO_CFS_capitalexpenditures</vt:lpstr>
      <vt:lpstr>z_Z99BO00122_MO_CFS_cashcontributionstoemployeepensionplans</vt:lpstr>
      <vt:lpstr>z_Z99BO00122_MO_CFS_Cashdividendscommonstock</vt:lpstr>
      <vt:lpstr>z_Z99BO00122_MO_CFS_Cashpaidforincometaxes</vt:lpstr>
      <vt:lpstr>z_Z99BO00122_MO_CFS_Cashpaidforinterest</vt:lpstr>
      <vt:lpstr>z_Z99BO00122_MO_CFS_CFCheck</vt:lpstr>
      <vt:lpstr>z_Z99BO00122_MO_CFS_CFF</vt:lpstr>
      <vt:lpstr>z_Z99BO00122_MO_CFS_CFI</vt:lpstr>
      <vt:lpstr>z_Z99BO00122_MO_CFS_CFO</vt:lpstr>
      <vt:lpstr>z_Z99BO00122_MO_CFS_CFObeforeWC</vt:lpstr>
      <vt:lpstr>z_Z99BO00122_MO_CFS_deferredincometaxprovision</vt:lpstr>
      <vt:lpstr>z_Z99BO00122_MO_CFS_depreciation</vt:lpstr>
      <vt:lpstr>z_Z99BO00122_MO_CFS_Distributionslessthanincomefromequityaffiliates</vt:lpstr>
      <vt:lpstr>z_Z99BO00122_MO_CFS_distributionstononcontrollinginterests</vt:lpstr>
      <vt:lpstr>z_Z99BO00122_MO_CFS_dryholeexpense</vt:lpstr>
      <vt:lpstr>z_Z99BO00122_MO_CFS_EndingCashBalance</vt:lpstr>
      <vt:lpstr>z_Z99BO00122_MO_CFS_FX</vt:lpstr>
      <vt:lpstr>z_Z99BO00122_MO_CFS_Impairmentofassets</vt:lpstr>
      <vt:lpstr>z_Z99BO00122_MO_CFS_increaseinlongtermreceivables</vt:lpstr>
      <vt:lpstr>z_Z99BO00122_MO_CFS_netbeforetaxgainsonassetretirementsandsales</vt:lpstr>
      <vt:lpstr>z_Z99BO00122_MO_CFS_Netborrowingofloansbyequityaffiliates</vt:lpstr>
      <vt:lpstr>z_Z99BO00122_MO_CFS_netborrowingsofshorttermobligations</vt:lpstr>
      <vt:lpstr>z_Z99BO00122_MO_CFS_NetCFF</vt:lpstr>
      <vt:lpstr>z_Z99BO00122_MO_CFS_NetCFI</vt:lpstr>
      <vt:lpstr>z_Z99BO00122_MO_CFS_NetCFO</vt:lpstr>
      <vt:lpstr>z_Z99BO00122_MO_CFS_NetChangeinCashBalance</vt:lpstr>
      <vt:lpstr>z_Z99BO00122_MO_CFS_Netdecreaseinotherdeferredcharges</vt:lpstr>
      <vt:lpstr>z_Z99BO00122_MO_CFS_netforeigncurrencyeffects</vt:lpstr>
      <vt:lpstr>z_Z99BO00122_MO_CFS_netincomeattributabletononcontrollinginterests</vt:lpstr>
      <vt:lpstr>z_Z99BO00122_MO_CFS_netincomeloss</vt:lpstr>
      <vt:lpstr>z_Z99BO00122_MO_CFS_netincreaseinoperatingworkingcapital</vt:lpstr>
      <vt:lpstr>z_Z99BO00122_MO_CFS_netmaturitiesoftimedeposits</vt:lpstr>
      <vt:lpstr>z_Z99BO00122_MO_CFS_netsalesofmarketablesecurities</vt:lpstr>
      <vt:lpstr>z_Z99BO00122_MO_CFS_Netsalesofothershortterminvestments</vt:lpstr>
      <vt:lpstr>z_Z99BO00122_MO_CFS_netsalesoftreasuryshares</vt:lpstr>
      <vt:lpstr>z_Z99BO00122_MO_CFS_Other</vt:lpstr>
      <vt:lpstr>z_Z99BO00122_MO_CFS_Otherfinancingactivity</vt:lpstr>
      <vt:lpstr>z_Z99BO00122_MO_CFS_Otherinvestingactivities</vt:lpstr>
      <vt:lpstr>z_Z99BO00122_MO_CFS_proceedsanddepositsrelatedtoassetsales</vt:lpstr>
      <vt:lpstr>z_Z99BO00122_MO_CFS_Proceedsfromissuanceoflongtermdebt</vt:lpstr>
      <vt:lpstr>z_Z99BO00122_MO_CFS_Repaymentsoflongtermdebtandotherfinancingobligations</vt:lpstr>
      <vt:lpstr>z_Z99BO00122_MO_CFS_Sharesrepurchased</vt:lpstr>
      <vt:lpstr>z_Z99BO00122_MO_CFS_stockbasedcompensation</vt:lpstr>
      <vt:lpstr>z_Z99BO00122_MO_CFSum_Acquisitions</vt:lpstr>
      <vt:lpstr>z_Z99BO00122_MO_CFSum_Capex</vt:lpstr>
      <vt:lpstr>z_Z99BO00122_MO_CFSum_CashFlowPerDilutedShare</vt:lpstr>
      <vt:lpstr>z_Z99BO00122_MO_CFSum_CashFlowPerDilutedShare_1</vt:lpstr>
      <vt:lpstr>z_Z99BO00122_MO_CFSum_ChangeinWorkingCapital</vt:lpstr>
      <vt:lpstr>z_Z99BO00122_MO_CFSum_ConsensusEstimatesCapex</vt:lpstr>
      <vt:lpstr>z_Z99BO00122_MO_CFSum_consensusestimatescashflowperdilutedshare</vt:lpstr>
      <vt:lpstr>z_Z99BO00122_MO_CFSum_Divestiture</vt:lpstr>
      <vt:lpstr>z_Z99BO00122_MO_CFSum_DividendPaid</vt:lpstr>
      <vt:lpstr>z_Z99BO00122_MO_CFSum_DividendPerShare</vt:lpstr>
      <vt:lpstr>z_Z99BO00122_MO_CFSum_EstimatedSharePriceforIssuanceBuybacks</vt:lpstr>
      <vt:lpstr>z_Z99BO00122_MO_CFSum_FCF</vt:lpstr>
      <vt:lpstr>z_Z99BO00122_MO_CFSum_FCF_1</vt:lpstr>
      <vt:lpstr>z_Z99BO00122_MO_CFSum_FCF_2</vt:lpstr>
      <vt:lpstr>z_Z99BO00122_MO_CFSum_FCF_4</vt:lpstr>
      <vt:lpstr>z_Z99BO00122_MO_CFSum_FCFPostDiv_1</vt:lpstr>
      <vt:lpstr>z_Z99BO00122_MO_CFSum_FCFPostDiv_2</vt:lpstr>
      <vt:lpstr>z_Z99BO00122_MO_CFSum_FCFPostDivDebtBuyback</vt:lpstr>
      <vt:lpstr>z_Z99BO00122_MO_CFSum_FCFPostDivDebtBuyback_1</vt:lpstr>
      <vt:lpstr>z_Z99BO00122_MO_CFSum_NetDebtIssuanceRepayment</vt:lpstr>
      <vt:lpstr>z_Z99BO00122_MO_CFSum_NetShareIssuanceBuybacks</vt:lpstr>
      <vt:lpstr>z_Z99BO00122_MO_CFSum_OperatingCashFlowafterWC</vt:lpstr>
      <vt:lpstr>z_Z99BO00122_MO_CFSum_OperatingCashFlowbeforeWC</vt:lpstr>
      <vt:lpstr>z_Z99BO00122_MO_Checks_SNA_BalanceSheetisnotRepeated</vt:lpstr>
      <vt:lpstr>z_Z99BO00122_MO_Checks_SNA_CapexisUpdated</vt:lpstr>
      <vt:lpstr>z_Z99BO00122_MO_Checks_SNA_CashFlowisnotRepeated</vt:lpstr>
      <vt:lpstr>z_Z99BO00122_MO_Checks_SNA_CashFlowSummarySignsareCorrect</vt:lpstr>
      <vt:lpstr>z_Z99BO00122_MO_Checks_SNA_CashisPositive</vt:lpstr>
      <vt:lpstr>z_Z99BO00122_MO_Checks_SNA_CFFsubtotalFYSumofQs</vt:lpstr>
      <vt:lpstr>z_Z99BO00122_MO_Checks_SNA_CFIsubtotalFYSumofQs</vt:lpstr>
      <vt:lpstr>z_Z99BO00122_MO_Checks_SNA_CFOBeforeWCsubtotalFYSumofQs</vt:lpstr>
      <vt:lpstr>z_Z99BO00122_MO_Checks_SNA_CFOsubtotalFYSumofQs</vt:lpstr>
      <vt:lpstr>z_Z99BO00122_MO_Checks_SNA_CFSummaryFYSumofQs</vt:lpstr>
      <vt:lpstr>z_Z99BO00122_MO_Checks_SNA_DebtisPositive</vt:lpstr>
      <vt:lpstr>z_Z99BO00122_MO_Checks_SNA_EndingCFEndingCumulativeCF</vt:lpstr>
      <vt:lpstr>z_Z99BO00122_MO_Checks_SNA_IncomeStatementisnotRepeated</vt:lpstr>
      <vt:lpstr>z_Z99BO00122_MO_Checks_SNA_RISAdjustedNIFYSumofQs</vt:lpstr>
      <vt:lpstr>z_Z99BO00122_MO_Checks_SNA_RISNIFYSumofQs</vt:lpstr>
      <vt:lpstr>z_Z99BO00122_MO_Checks_SNA_SegmentedRevenueRevenue</vt:lpstr>
      <vt:lpstr>z_Z99BO00122_MO_Header_ColumnHeader</vt:lpstr>
      <vt:lpstr>z_Z99BO00122_MO_Header_CompanySubTitle</vt:lpstr>
      <vt:lpstr>z_Z99BO00122_MO_Header_CompanyTitle</vt:lpstr>
      <vt:lpstr>z_Z99BO00122_MO_Header_FPDays</vt:lpstr>
      <vt:lpstr>z_Z99BO00122_MO_Header_HeaderRow</vt:lpstr>
      <vt:lpstr>z_Z99BO00122_MO_Header_HeaderRow_1</vt:lpstr>
      <vt:lpstr>z_Z99BO00122_MO_Header_HeaderRow_2</vt:lpstr>
      <vt:lpstr>z_Z99BO00122_MO_Header_HeaderRow_3</vt:lpstr>
      <vt:lpstr>z_Z99BO00122_MO_Header_HeaderRow_4</vt:lpstr>
      <vt:lpstr>z_Z99BO00122_MO_Header_QEndDate</vt:lpstr>
      <vt:lpstr>z_Z99BO00122_MO_IS_depreciation</vt:lpstr>
      <vt:lpstr>z_Z99BO00122_MO_IS_explorationexpenses</vt:lpstr>
      <vt:lpstr>z_Z99BO00122_MO_IS_Incomefromequityaffiliates</vt:lpstr>
      <vt:lpstr>z_Z99BO00122_MO_IS_incomelossbeforeincometaxexpense</vt:lpstr>
      <vt:lpstr>z_Z99BO00122_MO_IS_incometaxexpensebenefit</vt:lpstr>
      <vt:lpstr>z_Z99BO00122_MO_IS_Interestanddebtexpense</vt:lpstr>
      <vt:lpstr>z_Z99BO00122_MO_IS_ISCheck</vt:lpstr>
      <vt:lpstr>z_Z99BO00122_MO_IS_lessnetincomeattributabletononcontrollinginterests</vt:lpstr>
      <vt:lpstr>z_Z99BO00122_MO_IS_netincomeloss</vt:lpstr>
      <vt:lpstr>z_Z99BO00122_MO_IS_netincomelossattributabletochevroncorporation</vt:lpstr>
      <vt:lpstr>z_Z99BO00122_MO_IS_operatingexpenses</vt:lpstr>
      <vt:lpstr>z_Z99BO00122_MO_IS_Othercomponentsofnetperiodicbenefitcosts</vt:lpstr>
      <vt:lpstr>z_Z99BO00122_MO_IS_Otherincome</vt:lpstr>
      <vt:lpstr>z_Z99BO00122_MO_IS_purchasedcrudeoilandproducts</vt:lpstr>
      <vt:lpstr>z_Z99BO00122_MO_IS_Salesandotheroperatingrevenues</vt:lpstr>
      <vt:lpstr>z_Z99BO00122_MO_IS_selling</vt:lpstr>
      <vt:lpstr>z_Z99BO00122_MO_IS_Taxesotherthanonincome</vt:lpstr>
      <vt:lpstr>z_Z99BO00122_MO_IS_TotalCostsandOtherDeductions</vt:lpstr>
      <vt:lpstr>z_Z99BO00122_MO_IS_TotalRevenuesandOtherIncome</vt:lpstr>
      <vt:lpstr>z_Z99BO00122_MO_MA_adjustedebitdaxmargin</vt:lpstr>
      <vt:lpstr>z_Z99BO00122_MO_MA_AverageFXRate</vt:lpstr>
      <vt:lpstr>z_Z99BO00122_MO_MA_COGSMargin</vt:lpstr>
      <vt:lpstr>z_Z99BO00122_MO_MA_ebitdaxmargin</vt:lpstr>
      <vt:lpstr>z_Z99BO00122_MO_MA_EoPFXRate</vt:lpstr>
      <vt:lpstr>z_Z99BO00122_MO_MA_OPEXMargin</vt:lpstr>
      <vt:lpstr>z_Z99BO00122_MO_MA_OtherTaxesMargin</vt:lpstr>
      <vt:lpstr>z_Z99BO00122_MO_MA_SGAMargin</vt:lpstr>
      <vt:lpstr>z_Z99BO00122_MO_MA_StockEoP</vt:lpstr>
      <vt:lpstr>z_Z99BO00122_MO_MA_StockPriceTradingCurAvg</vt:lpstr>
      <vt:lpstr>z_Z99BO00122_MO_OS_AdjustedEBITDAcalculated</vt:lpstr>
      <vt:lpstr>z_Z99BO00122_MO_OS_AffiliatedCompaniesAccretionofdiscount</vt:lpstr>
      <vt:lpstr>z_Z99BO00122_MO_OS_AffiliatedCompaniesBoPPresentValue</vt:lpstr>
      <vt:lpstr>z_Z99BO00122_MO_OS_AffiliatedCompaniesDevelopmentcostsincurred</vt:lpstr>
      <vt:lpstr>z_Z99BO00122_MO_OS_AffiliatedCompaniesExtensionsdiscoveriesandimprovedrecoverylessrelatedcosts</vt:lpstr>
      <vt:lpstr>z_Z99BO00122_MO_OS_AffiliatedCompaniesNetChange_2</vt:lpstr>
      <vt:lpstr>z_Z99BO00122_MO_OS_AffiliatedCompaniesNetchangeinincometax</vt:lpstr>
      <vt:lpstr>z_Z99BO00122_MO_OS_AffiliatedCompaniesNetchangesinpricesdevelopmentandproductioncosts</vt:lpstr>
      <vt:lpstr>z_Z99BO00122_MO_OS_AffiliatedCompaniesPurchasesofreserves</vt:lpstr>
      <vt:lpstr>z_Z99BO00122_MO_OS_AffiliatedCompaniesRevisionsofpreviousquantityestimates</vt:lpstr>
      <vt:lpstr>z_Z99BO00122_MO_OS_AffiliatedCompaniesSalesandtransfersofoilandgasproducednetofproductioncosts</vt:lpstr>
      <vt:lpstr>z_Z99BO00122_MO_OS_AffiliatedCompaniesSalesofreserves</vt:lpstr>
      <vt:lpstr>z_Z99BO00122_MO_OS_Africa10percentmidyearannualdiscountfortimingofestimatedcashflows</vt:lpstr>
      <vt:lpstr>z_Z99BO00122_MO_OS_AfricaAccretionexpense</vt:lpstr>
      <vt:lpstr>z_Z99BO00122_MO_OS_AfricaAccumulatedprovisions</vt:lpstr>
      <vt:lpstr>z_Z99BO00122_MO_OS_AfricaAverageproductioncosts</vt:lpstr>
      <vt:lpstr>z_Z99BO00122_MO_OS_AfricaCrudeaveragesalesprice</vt:lpstr>
      <vt:lpstr>z_Z99BO00122_MO_OS_AfricaCrudeOilCondensateandSyntheticOilBoPReserves</vt:lpstr>
      <vt:lpstr>z_Z99BO00122_MO_OS_AfricaCrudeOilCondensateandSyntheticOilEoPReserves</vt:lpstr>
      <vt:lpstr>z_Z99BO00122_MO_OS_AfricaCrudeOilCondensateandSyntheticOilExtensionsanddiscoveries</vt:lpstr>
      <vt:lpstr>z_Z99BO00122_MO_OS_AfricaCrudeOilCondensateandSyntheticOilImprovedrecovery</vt:lpstr>
      <vt:lpstr>z_Z99BO00122_MO_OS_AfricaCrudeOilCondensateandSyntheticOilProduction</vt:lpstr>
      <vt:lpstr>z_Z99BO00122_MO_OS_AfricaCrudeOilCondensateandSyntheticOilPurchases</vt:lpstr>
      <vt:lpstr>z_Z99BO00122_MO_OS_AfricaCrudeOilCondensateandSyntheticOilRevisions</vt:lpstr>
      <vt:lpstr>z_Z99BO00122_MO_OS_AfricaCrudeOilCondensateandSyntheticOilSales</vt:lpstr>
      <vt:lpstr>z_Z99BO00122_MO_OS_AfricaCrudeOilCondensateProvedDevelopedReserves</vt:lpstr>
      <vt:lpstr>z_Z99BO00122_MO_OS_AfricaCrudeOilCondensateProvedUndevelopedReserves</vt:lpstr>
      <vt:lpstr>z_Z99BO00122_MO_OS_AfricaDeferredexploratorywells</vt:lpstr>
      <vt:lpstr>z_Z99BO00122_MO_OS_AfricaDepreciationanddepletion</vt:lpstr>
      <vt:lpstr>z_Z99BO00122_MO_OS_AfricaDevelopment</vt:lpstr>
      <vt:lpstr>z_Z99BO00122_MO_OS_AfricaExplorationexpenses</vt:lpstr>
      <vt:lpstr>z_Z99BO00122_MO_OS_AfricaFuturecashinflowsfromproduction</vt:lpstr>
      <vt:lpstr>z_Z99BO00122_MO_OS_AfricaFuturedevelopmentcosts</vt:lpstr>
      <vt:lpstr>z_Z99BO00122_MO_OS_AfricaFutureincometaxes</vt:lpstr>
      <vt:lpstr>z_Z99BO00122_MO_OS_AfricaFutureproductioncosts</vt:lpstr>
      <vt:lpstr>z_Z99BO00122_MO_OS_AfricaGeologicalandgeophysical</vt:lpstr>
      <vt:lpstr>z_Z99BO00122_MO_OS_AfricaGrossCapitalizedCosts</vt:lpstr>
      <vt:lpstr>z_Z99BO00122_MO_OS_AfricaGrossGasWells</vt:lpstr>
      <vt:lpstr>z_Z99BO00122_MO_OS_AfricaGrossOilWells</vt:lpstr>
      <vt:lpstr>z_Z99BO00122_MO_OS_AfricaIncometaxexpensebenefit</vt:lpstr>
      <vt:lpstr>z_Z99BO00122_MO_OS_AfricaNaturalgasaveragesalesprice</vt:lpstr>
      <vt:lpstr>z_Z99BO00122_MO_OS_AfricaNaturalGasBoPReserves</vt:lpstr>
      <vt:lpstr>z_Z99BO00122_MO_OS_AfricaNaturalGasEoPReserves</vt:lpstr>
      <vt:lpstr>z_Z99BO00122_MO_OS_AfricaNaturalGasExtensionsanddiscoveries</vt:lpstr>
      <vt:lpstr>z_Z99BO00122_MO_OS_AfricaNaturalGasImprovedrecovery</vt:lpstr>
      <vt:lpstr>z_Z99BO00122_MO_OS_AfricaNaturalgasliquidsaveragesalesprice</vt:lpstr>
      <vt:lpstr>z_Z99BO00122_MO_OS_AfricaNaturalGasProduction</vt:lpstr>
      <vt:lpstr>z_Z99BO00122_MO_OS_AfricaNaturalGasProvedDevelopedReserves</vt:lpstr>
      <vt:lpstr>z_Z99BO00122_MO_OS_AfricaNaturalGasProvedUndevelopedReserves</vt:lpstr>
      <vt:lpstr>z_Z99BO00122_MO_OS_AfricaNaturalGasPurchases</vt:lpstr>
      <vt:lpstr>z_Z99BO00122_MO_OS_AfricaNaturalGasRevisions</vt:lpstr>
      <vt:lpstr>z_Z99BO00122_MO_OS_AfricaNaturalGasSales</vt:lpstr>
      <vt:lpstr>z_Z99BO00122_MO_OS_AfricaNetCapitalizedCosts</vt:lpstr>
      <vt:lpstr>z_Z99BO00122_MO_OS_AfricaNetGasWells</vt:lpstr>
      <vt:lpstr>z_Z99BO00122_MO_OS_AfricaNetOilWells</vt:lpstr>
      <vt:lpstr>z_Z99BO00122_MO_OS_AfricaNGLProvedDevelopedReserves</vt:lpstr>
      <vt:lpstr>z_Z99BO00122_MO_OS_AfricaNGLProvedUndevelopedReserves</vt:lpstr>
      <vt:lpstr>z_Z99BO00122_MO_OS_AfricaOther</vt:lpstr>
      <vt:lpstr>z_Z99BO00122_MO_OS_AfricaOtherincomeloss</vt:lpstr>
      <vt:lpstr>z_Z99BO00122_MO_OS_AfricaOtheruncompletedprojects</vt:lpstr>
      <vt:lpstr>z_Z99BO00122_MO_OS_africapakistan</vt:lpstr>
      <vt:lpstr>z_Z99BO00122_MO_OS_AfricaProductionexpensesexcludingtaxes</vt:lpstr>
      <vt:lpstr>z_Z99BO00122_MO_OS_AfricaProvedNoble</vt:lpstr>
      <vt:lpstr>z_Z99BO00122_MO_OS_AfricaProvedOther</vt:lpstr>
      <vt:lpstr>z_Z99BO00122_MO_OS_AfricaProvedproducingpropertiesDepreciationanddepletion</vt:lpstr>
      <vt:lpstr>z_Z99BO00122_MO_OS_AfricaProvedpropertiesandrelatedproducingassets</vt:lpstr>
      <vt:lpstr>z_Z99BO00122_MO_OS_AfricaResultsbeforeincometaxes</vt:lpstr>
      <vt:lpstr>z_Z99BO00122_MO_OS_AfricaResultsofProducingOperations</vt:lpstr>
      <vt:lpstr>z_Z99BO00122_MO_OS_AfricaSalesrevenuesfromnetproduction</vt:lpstr>
      <vt:lpstr>z_Z99BO00122_MO_OS_AfricaStandardizedMeasureNetCashFlows</vt:lpstr>
      <vt:lpstr>z_Z99BO00122_MO_OS_AfricaSupportequipment</vt:lpstr>
      <vt:lpstr>z_Z99BO00122_MO_OS_AfricaSupportequipmentdepreciation</vt:lpstr>
      <vt:lpstr>z_Z99BO00122_MO_OS_AfricaSyntheticOilProvedDevelopedReserves</vt:lpstr>
      <vt:lpstr>z_Z99BO00122_MO_OS_AfricaSyntheticOilProvedUndevelopedReserves</vt:lpstr>
      <vt:lpstr>z_Z99BO00122_MO_OS_AfricaTaxesotherthanonincome</vt:lpstr>
      <vt:lpstr>z_Z99BO00122_MO_OS_AfricaTotalCostsIncurred</vt:lpstr>
      <vt:lpstr>z_Z99BO00122_MO_OS_AfricaTotalexploration</vt:lpstr>
      <vt:lpstr>z_Z99BO00122_MO_OS_AfricaTotalpropertyacquisitions</vt:lpstr>
      <vt:lpstr>z_Z99BO00122_MO_OS_AfricaTotalRevenuesfromnetproduction</vt:lpstr>
      <vt:lpstr>z_Z99BO00122_MO_OS_AfricaTransfersrevenuesfromnetproduction</vt:lpstr>
      <vt:lpstr>z_Z99BO00122_MO_OS_AfricaUndiscountedfuturenetcashflows</vt:lpstr>
      <vt:lpstr>z_Z99BO00122_MO_OS_AfricaUnprovedNoble</vt:lpstr>
      <vt:lpstr>z_Z99BO00122_MO_OS_AfricaUnprovedOther</vt:lpstr>
      <vt:lpstr>z_Z99BO00122_MO_OS_AfricaUnprovedproperties</vt:lpstr>
      <vt:lpstr>z_Z99BO00122_MO_OS_AfricaUnprovedpropertiesvaluation</vt:lpstr>
      <vt:lpstr>z_Z99BO00122_MO_OS_AfricaUnprovedpropertiesvaluation_1</vt:lpstr>
      <vt:lpstr>z_Z99BO00122_MO_OS_AfricaWells</vt:lpstr>
      <vt:lpstr>z_Z99BO00122_MO_OS_Allotheradjustedearnings</vt:lpstr>
      <vt:lpstr>z_Z99BO00122_MO_OS_Allotherearnings</vt:lpstr>
      <vt:lpstr>z_Z99BO00122_MO_OS_Allotherinterestexpense</vt:lpstr>
      <vt:lpstr>z_Z99BO00122_MO_OS_Allotherinterestincome</vt:lpstr>
      <vt:lpstr>z_Z99BO00122_MO_OS_Allotherinternationalrevenues</vt:lpstr>
      <vt:lpstr>z_Z99BO00122_MO_OS_Allotherother</vt:lpstr>
      <vt:lpstr>z_Z99BO00122_MO_OS_Allotherrevenuessubtotal</vt:lpstr>
      <vt:lpstr>z_Z99BO00122_MO_OS_Allotherspecialitems</vt:lpstr>
      <vt:lpstr>z_Z99BO00122_MO_OS_AllotherUSrevenues</vt:lpstr>
      <vt:lpstr>z_Z99BO00122_MO_OS_angola</vt:lpstr>
      <vt:lpstr>z_Z99BO00122_MO_OS_Angola_1</vt:lpstr>
      <vt:lpstr>z_Z99BO00122_MO_OS_Asia10percentmidyearannualdiscountfortimingofestimatedcashflows</vt:lpstr>
      <vt:lpstr>z_Z99BO00122_MO_OS_AsiaAccretionexpense</vt:lpstr>
      <vt:lpstr>z_Z99BO00122_MO_OS_AsiaAccumulatedprovisions</vt:lpstr>
      <vt:lpstr>z_Z99BO00122_MO_OS_AsiaAverageproductioncosts</vt:lpstr>
      <vt:lpstr>z_Z99BO00122_MO_OS_AsiaCrudeaveragesalesprice</vt:lpstr>
      <vt:lpstr>z_Z99BO00122_MO_OS_AsiaCrudeOilCondensateandSyntheticOilBoPReservesMMbbl</vt:lpstr>
      <vt:lpstr>z_Z99BO00122_MO_OS_AsiaCrudeOilCondensateandSyntheticOilEoPReserves</vt:lpstr>
      <vt:lpstr>z_Z99BO00122_MO_OS_AsiaCrudeOilCondensateandSyntheticOilExtensionsanddiscoveries</vt:lpstr>
      <vt:lpstr>z_Z99BO00122_MO_OS_AsiaCrudeOilCondensateandSyntheticOilImprovedrecovery</vt:lpstr>
      <vt:lpstr>z_Z99BO00122_MO_OS_AsiaCrudeOilCondensateandSyntheticOilProduction</vt:lpstr>
      <vt:lpstr>z_Z99BO00122_MO_OS_AsiaCrudeOilCondensateandSyntheticOilPurchases</vt:lpstr>
      <vt:lpstr>z_Z99BO00122_MO_OS_AsiaCrudeOilCondensateandSyntheticOilRevisions</vt:lpstr>
      <vt:lpstr>z_Z99BO00122_MO_OS_AsiaCrudeOilCondensateandSyntheticOilSales</vt:lpstr>
      <vt:lpstr>z_Z99BO00122_MO_OS_AsiaCrudeOilCondensateProvedDevelopedReserves</vt:lpstr>
      <vt:lpstr>z_Z99BO00122_MO_OS_AsiaCrudeOilCondensateProvedUndevelopedReserves</vt:lpstr>
      <vt:lpstr>z_Z99BO00122_MO_OS_AsiaDeferredexploratorywells</vt:lpstr>
      <vt:lpstr>z_Z99BO00122_MO_OS_AsiaDepreciationanddepletion</vt:lpstr>
      <vt:lpstr>z_Z99BO00122_MO_OS_AsiaDevelopment</vt:lpstr>
      <vt:lpstr>z_Z99BO00122_MO_OS_AsiaExplorationexpenses</vt:lpstr>
      <vt:lpstr>z_Z99BO00122_MO_OS_AsiaFuturecashinflowsfromproduction</vt:lpstr>
      <vt:lpstr>z_Z99BO00122_MO_OS_AsiaFuturedevelopmentcosts</vt:lpstr>
      <vt:lpstr>z_Z99BO00122_MO_OS_AsiaFutureincometaxes</vt:lpstr>
      <vt:lpstr>z_Z99BO00122_MO_OS_AsiaFutureproductioncosts</vt:lpstr>
      <vt:lpstr>z_Z99BO00122_MO_OS_AsiaGeologicalandgeophysical</vt:lpstr>
      <vt:lpstr>z_Z99BO00122_MO_OS_AsiaGrossCapitalizedCosts</vt:lpstr>
      <vt:lpstr>z_Z99BO00122_MO_OS_AsiaGrossGasWells</vt:lpstr>
      <vt:lpstr>z_Z99BO00122_MO_OS_AsiaGrossOilWells</vt:lpstr>
      <vt:lpstr>z_Z99BO00122_MO_OS_AsiaIncometaxexpensebenefit</vt:lpstr>
      <vt:lpstr>z_Z99BO00122_MO_OS_AsiaNaturalgasaveragesalesprice</vt:lpstr>
      <vt:lpstr>z_Z99BO00122_MO_OS_AsiaNaturalGasBoPReserves</vt:lpstr>
      <vt:lpstr>z_Z99BO00122_MO_OS_AsiaNaturalGasEoPReserves</vt:lpstr>
      <vt:lpstr>z_Z99BO00122_MO_OS_AsiaNaturalGasExtensionsanddiscoveries</vt:lpstr>
      <vt:lpstr>z_Z99BO00122_MO_OS_AsiaNaturalGasImprovedrecovery</vt:lpstr>
      <vt:lpstr>z_Z99BO00122_MO_OS_AsiaNaturalgasliquidsaveragesalesprice</vt:lpstr>
      <vt:lpstr>z_Z99BO00122_MO_OS_AsiaNaturalGasProduction</vt:lpstr>
      <vt:lpstr>z_Z99BO00122_MO_OS_AsiaNaturalGasProvedDevelopedReserves</vt:lpstr>
      <vt:lpstr>z_Z99BO00122_MO_OS_AsiaNaturalGasProvedUndevelopedReserves</vt:lpstr>
      <vt:lpstr>z_Z99BO00122_MO_OS_AsiaNaturalGasPurchases</vt:lpstr>
      <vt:lpstr>z_Z99BO00122_MO_OS_AsiaNaturalGasRevisions</vt:lpstr>
      <vt:lpstr>z_Z99BO00122_MO_OS_AsiaNaturalGasSales</vt:lpstr>
      <vt:lpstr>z_Z99BO00122_MO_OS_AsiaNetCapitalizedCosts</vt:lpstr>
      <vt:lpstr>z_Z99BO00122_MO_OS_AsiaNetGasWells</vt:lpstr>
      <vt:lpstr>z_Z99BO00122_MO_OS_AsiaNetOilWells</vt:lpstr>
      <vt:lpstr>z_Z99BO00122_MO_OS_AsiaNGLBoPReserves</vt:lpstr>
      <vt:lpstr>z_Z99BO00122_MO_OS_AsiaNGLEoPReserves</vt:lpstr>
      <vt:lpstr>z_Z99BO00122_MO_OS_AsiaNGLExtensionsanddiscoveries</vt:lpstr>
      <vt:lpstr>z_Z99BO00122_MO_OS_AsiaNGLImprovedrecovery</vt:lpstr>
      <vt:lpstr>z_Z99BO00122_MO_OS_AsiaNGLProduction</vt:lpstr>
      <vt:lpstr>z_Z99BO00122_MO_OS_AsiaNGLProvedDevelopedReserves</vt:lpstr>
      <vt:lpstr>z_Z99BO00122_MO_OS_AsiaNGLProvedUndevelopedReserves</vt:lpstr>
      <vt:lpstr>z_Z99BO00122_MO_OS_AsiaNGLPurchases</vt:lpstr>
      <vt:lpstr>z_Z99BO00122_MO_OS_AsiaNGLRevisions</vt:lpstr>
      <vt:lpstr>z_Z99BO00122_MO_OS_AsiaNGLSales</vt:lpstr>
      <vt:lpstr>z_Z99BO00122_MO_OS_AsiaOther</vt:lpstr>
      <vt:lpstr>z_Z99BO00122_MO_OS_AsiaOtherincomeloss</vt:lpstr>
      <vt:lpstr>z_Z99BO00122_MO_OS_AsiaOtheruncompletedprojects</vt:lpstr>
      <vt:lpstr>z_Z99BO00122_MO_OS_asiapacific</vt:lpstr>
      <vt:lpstr>z_Z99BO00122_MO_OS_AsiaProductionexpensesexcludingtaxes</vt:lpstr>
      <vt:lpstr>z_Z99BO00122_MO_OS_AsiaProvedNoble</vt:lpstr>
      <vt:lpstr>z_Z99BO00122_MO_OS_AsiaProvedOther</vt:lpstr>
      <vt:lpstr>z_Z99BO00122_MO_OS_AsiaProvedproducingpropertiesDepreciationanddepletion</vt:lpstr>
      <vt:lpstr>z_Z99BO00122_MO_OS_AsiaProvedpropertiesandrelatedproducingassets</vt:lpstr>
      <vt:lpstr>z_Z99BO00122_MO_OS_AsiaResultsbeforeincometaxes</vt:lpstr>
      <vt:lpstr>z_Z99BO00122_MO_OS_AsiaResultsofProducingOperations</vt:lpstr>
      <vt:lpstr>z_Z99BO00122_MO_OS_AsiaSalesrevenuesfromnetproduction</vt:lpstr>
      <vt:lpstr>z_Z99BO00122_MO_OS_AsiaStandardizedMeasureNetCashFlows</vt:lpstr>
      <vt:lpstr>z_Z99BO00122_MO_OS_AsiaSupportequipment</vt:lpstr>
      <vt:lpstr>z_Z99BO00122_MO_OS_AsiaSupportequipmentdepreciation</vt:lpstr>
      <vt:lpstr>z_Z99BO00122_MO_OS_AsiaSyntheticOilProvedDevelopedReserves</vt:lpstr>
      <vt:lpstr>z_Z99BO00122_MO_OS_AsiaSyntheticOilProvedUndevelopedReserves</vt:lpstr>
      <vt:lpstr>z_Z99BO00122_MO_OS_AsiaTaxesotherthanonincome</vt:lpstr>
      <vt:lpstr>z_Z99BO00122_MO_OS_AsiaTotalCostsIncurred</vt:lpstr>
      <vt:lpstr>z_Z99BO00122_MO_OS_AsiaTotalexploration</vt:lpstr>
      <vt:lpstr>z_Z99BO00122_MO_OS_AsiaTotalpropertyacquisitions</vt:lpstr>
      <vt:lpstr>z_Z99BO00122_MO_OS_AsiaTotalRevenuesfromnetproduction</vt:lpstr>
      <vt:lpstr>z_Z99BO00122_MO_OS_AsiaTransfersrevenuesfromnetproduction</vt:lpstr>
      <vt:lpstr>z_Z99BO00122_MO_OS_AsiaUndiscountedfuturenetcashflows</vt:lpstr>
      <vt:lpstr>z_Z99BO00122_MO_OS_AsiaUnprovedNoble</vt:lpstr>
      <vt:lpstr>z_Z99BO00122_MO_OS_AsiaUnprovedOther</vt:lpstr>
      <vt:lpstr>z_Z99BO00122_MO_OS_AsiaUnprovedproperties</vt:lpstr>
      <vt:lpstr>z_Z99BO00122_MO_OS_AsiaUnprovedpropertiesvaluation</vt:lpstr>
      <vt:lpstr>z_Z99BO00122_MO_OS_AsiaUnprovedpropertiesvaluation_1</vt:lpstr>
      <vt:lpstr>z_Z99BO00122_MO_OS_AsiaWells</vt:lpstr>
      <vt:lpstr>z_Z99BO00122_MO_OS_australia</vt:lpstr>
      <vt:lpstr>z_Z99BO00122_MO_OS_Australia10percentmidyearannualdiscountfortimingofestimatedcashflows</vt:lpstr>
      <vt:lpstr>z_Z99BO00122_MO_OS_AustraliaAccretionexpense</vt:lpstr>
      <vt:lpstr>z_Z99BO00122_MO_OS_AustraliaAccumulatedprovisions</vt:lpstr>
      <vt:lpstr>z_Z99BO00122_MO_OS_AustraliaAverageproductioncosts</vt:lpstr>
      <vt:lpstr>z_Z99BO00122_MO_OS_AustraliaCrudeaveragesalesprice</vt:lpstr>
      <vt:lpstr>z_Z99BO00122_MO_OS_AustraliaCrudeOilCondensateandSyntheticOilBoPReservesMMbbl</vt:lpstr>
      <vt:lpstr>z_Z99BO00122_MO_OS_AustraliaCrudeOilCondensateandSyntheticOilEoPReserves</vt:lpstr>
      <vt:lpstr>z_Z99BO00122_MO_OS_AustraliaCrudeOilCondensateandSyntheticOilExtensionsanddiscoveries</vt:lpstr>
      <vt:lpstr>z_Z99BO00122_MO_OS_AustraliaCrudeOilCondensateandSyntheticOilImprovedrecovery</vt:lpstr>
      <vt:lpstr>z_Z99BO00122_MO_OS_AustraliaCrudeOilCondensateandSyntheticOilProduction</vt:lpstr>
      <vt:lpstr>z_Z99BO00122_MO_OS_AustraliaCrudeOilCondensateandSyntheticOilPurchases</vt:lpstr>
      <vt:lpstr>z_Z99BO00122_MO_OS_AustraliaCrudeOilCondensateandSyntheticOilRevisions</vt:lpstr>
      <vt:lpstr>z_Z99BO00122_MO_OS_AustraliaCrudeOilCondensateandSyntheticOilSales</vt:lpstr>
      <vt:lpstr>z_Z99BO00122_MO_OS_AustraliaCrudeOilCondensateProvedDevelopedReserves</vt:lpstr>
      <vt:lpstr>z_Z99BO00122_MO_OS_AustraliaCrudeOilCondensateProvedUndevelopedReserves</vt:lpstr>
      <vt:lpstr>z_Z99BO00122_MO_OS_AustraliaDeferredexploratorywells</vt:lpstr>
      <vt:lpstr>z_Z99BO00122_MO_OS_AustraliaDepreciationanddepletion</vt:lpstr>
      <vt:lpstr>z_Z99BO00122_MO_OS_AustraliaDevelopment</vt:lpstr>
      <vt:lpstr>z_Z99BO00122_MO_OS_AustraliaExplorationexpenses</vt:lpstr>
      <vt:lpstr>z_Z99BO00122_MO_OS_AustraliaFuturecashinflowsfromproduction</vt:lpstr>
      <vt:lpstr>z_Z99BO00122_MO_OS_AustraliaFuturedevelopmentcosts</vt:lpstr>
      <vt:lpstr>z_Z99BO00122_MO_OS_AustraliaFutureincometaxes</vt:lpstr>
      <vt:lpstr>z_Z99BO00122_MO_OS_AustraliaFutureproductioncosts</vt:lpstr>
      <vt:lpstr>z_Z99BO00122_MO_OS_AustraliaGeologicalandgeophysical</vt:lpstr>
      <vt:lpstr>z_Z99BO00122_MO_OS_AustraliaGrossCapitalizedCosts</vt:lpstr>
      <vt:lpstr>z_Z99BO00122_MO_OS_AustraliaGrossGasWells</vt:lpstr>
      <vt:lpstr>z_Z99BO00122_MO_OS_AustraliaGrossOilWells</vt:lpstr>
      <vt:lpstr>z_Z99BO00122_MO_OS_AustraliaIncometaxexpensebenefit</vt:lpstr>
      <vt:lpstr>z_Z99BO00122_MO_OS_australiakurnell50crudethroughput</vt:lpstr>
      <vt:lpstr>z_Z99BO00122_MO_OS_australialytton50crudethroughput</vt:lpstr>
      <vt:lpstr>z_Z99BO00122_MO_OS_AustraliaNaturalgasaveragesalesprice</vt:lpstr>
      <vt:lpstr>z_Z99BO00122_MO_OS_AustraliaNaturalGasBoPReserves</vt:lpstr>
      <vt:lpstr>z_Z99BO00122_MO_OS_AustraliaNaturalGasEoPReserves</vt:lpstr>
      <vt:lpstr>z_Z99BO00122_MO_OS_AustraliaNaturalGasExtensionsanddiscoveries</vt:lpstr>
      <vt:lpstr>z_Z99BO00122_MO_OS_AustraliaNaturalGasImprovedrecovery</vt:lpstr>
      <vt:lpstr>z_Z99BO00122_MO_OS_AustraliaNaturalgasliquidsaveragesalesprice</vt:lpstr>
      <vt:lpstr>z_Z99BO00122_MO_OS_AustraliaNaturalGasProduction</vt:lpstr>
      <vt:lpstr>z_Z99BO00122_MO_OS_AustraliaNaturalGasProvedDevelopedReserves</vt:lpstr>
      <vt:lpstr>z_Z99BO00122_MO_OS_AustraliaNaturalGasProvedUndevelopedReserves</vt:lpstr>
      <vt:lpstr>z_Z99BO00122_MO_OS_AustraliaNaturalGasPurchases</vt:lpstr>
      <vt:lpstr>z_Z99BO00122_MO_OS_AustraliaNaturalGasRevisions</vt:lpstr>
      <vt:lpstr>z_Z99BO00122_MO_OS_AustraliaNaturalGasSales</vt:lpstr>
      <vt:lpstr>z_Z99BO00122_MO_OS_AustraliaNetCapitalizedCosts</vt:lpstr>
      <vt:lpstr>z_Z99BO00122_MO_OS_AustraliaNetGasWells</vt:lpstr>
      <vt:lpstr>z_Z99BO00122_MO_OS_AustraliaNetOilWells</vt:lpstr>
      <vt:lpstr>z_Z99BO00122_MO_OS_AustraliaNGLBoPReserves</vt:lpstr>
      <vt:lpstr>z_Z99BO00122_MO_OS_AustraliaNGLEoPReserves</vt:lpstr>
      <vt:lpstr>z_Z99BO00122_MO_OS_AustraliaNGLExtensionsanddiscoveries</vt:lpstr>
      <vt:lpstr>z_Z99BO00122_MO_OS_AustraliaNGLImprovedrecovery</vt:lpstr>
      <vt:lpstr>z_Z99BO00122_MO_OS_AustraliaNGLProduction</vt:lpstr>
      <vt:lpstr>z_Z99BO00122_MO_OS_AustraliaNGLProvedDevelopedReserves</vt:lpstr>
      <vt:lpstr>z_Z99BO00122_MO_OS_AustraliaNGLProvedUndevelopedReserves</vt:lpstr>
      <vt:lpstr>z_Z99BO00122_MO_OS_AustraliaNGLPurchases</vt:lpstr>
      <vt:lpstr>z_Z99BO00122_MO_OS_AustraliaNGLRevisions</vt:lpstr>
      <vt:lpstr>z_Z99BO00122_MO_OS_AustraliaNGLSales</vt:lpstr>
      <vt:lpstr>z_Z99BO00122_MO_OS_AustraliaOther</vt:lpstr>
      <vt:lpstr>z_Z99BO00122_MO_OS_AustraliaOtherincomeloss</vt:lpstr>
      <vt:lpstr>z_Z99BO00122_MO_OS_AustraliaOtheruncompletedprojects</vt:lpstr>
      <vt:lpstr>z_Z99BO00122_MO_OS_AustraliaProductionexpensesexcludingtaxes</vt:lpstr>
      <vt:lpstr>z_Z99BO00122_MO_OS_AustraliaProvedNoble</vt:lpstr>
      <vt:lpstr>z_Z99BO00122_MO_OS_AustraliaProvedOther</vt:lpstr>
      <vt:lpstr>z_Z99BO00122_MO_OS_AustraliaProvedproducingpropertiesDepreciationanddepletion</vt:lpstr>
      <vt:lpstr>z_Z99BO00122_MO_OS_AustraliaProvedpropertiesandrelatedproducingassets</vt:lpstr>
      <vt:lpstr>z_Z99BO00122_MO_OS_AustraliaResultsbeforeincometaxes</vt:lpstr>
      <vt:lpstr>z_Z99BO00122_MO_OS_AustraliaResultsofProducingOperations</vt:lpstr>
      <vt:lpstr>z_Z99BO00122_MO_OS_AustraliaSalesrevenuesfromnetproduction</vt:lpstr>
      <vt:lpstr>z_Z99BO00122_MO_OS_AustraliaStandardizedMeasureNetCashFlows</vt:lpstr>
      <vt:lpstr>z_Z99BO00122_MO_OS_AustraliaSupportequipment</vt:lpstr>
      <vt:lpstr>z_Z99BO00122_MO_OS_AustraliaSupportequipmentdepreciation</vt:lpstr>
      <vt:lpstr>z_Z99BO00122_MO_OS_AustraliaSyntheticOilProvedDevelopedReserves</vt:lpstr>
      <vt:lpstr>z_Z99BO00122_MO_OS_AustraliaSyntheticOilProvedUndevelopedReserves</vt:lpstr>
      <vt:lpstr>z_Z99BO00122_MO_OS_AustraliaTaxesotherthanonincome</vt:lpstr>
      <vt:lpstr>z_Z99BO00122_MO_OS_AustraliaTotalCostsIncurred</vt:lpstr>
      <vt:lpstr>z_Z99BO00122_MO_OS_AustraliaTotalexploration</vt:lpstr>
      <vt:lpstr>z_Z99BO00122_MO_OS_AustraliaTotalpropertyacquisitions</vt:lpstr>
      <vt:lpstr>z_Z99BO00122_MO_OS_AustraliaTotalRevenuesfromnetproduction</vt:lpstr>
      <vt:lpstr>z_Z99BO00122_MO_OS_AustraliaTransfersrevenuesfromnetproduction</vt:lpstr>
      <vt:lpstr>z_Z99BO00122_MO_OS_AustraliaUndiscountedfuturenetcashflows</vt:lpstr>
      <vt:lpstr>z_Z99BO00122_MO_OS_AustraliaUnprovedNoble</vt:lpstr>
      <vt:lpstr>z_Z99BO00122_MO_OS_AustraliaUnprovedOther</vt:lpstr>
      <vt:lpstr>z_Z99BO00122_MO_OS_AustraliaUnprovedproperties</vt:lpstr>
      <vt:lpstr>z_Z99BO00122_MO_OS_AustraliaUnprovedpropertiesvaluation</vt:lpstr>
      <vt:lpstr>z_Z99BO00122_MO_OS_AustraliaUnprovedpropertiesvaluation_1</vt:lpstr>
      <vt:lpstr>z_Z99BO00122_MO_OS_AustraliaWells</vt:lpstr>
      <vt:lpstr>z_Z99BO00122_MO_OS_AverageNaturalGasHenryHubNYMEX</vt:lpstr>
      <vt:lpstr>z_Z99BO00122_MO_OS_AverageWTINYMEX</vt:lpstr>
      <vt:lpstr>z_Z99BO00122_MO_OS_bangladesh</vt:lpstr>
      <vt:lpstr>z_Z99BO00122_MO_OS_Brandedservicestations</vt:lpstr>
      <vt:lpstr>z_Z99BO00122_MO_OS_Canada_1</vt:lpstr>
      <vt:lpstr>z_Z99BO00122_MO_OS_Canada_2</vt:lpstr>
      <vt:lpstr>z_Z99BO00122_MO_OS_canadaburnabybritishcolumbiacrudethroughput</vt:lpstr>
      <vt:lpstr>z_Z99BO00122_MO_OS_CommonstockissuedEoP</vt:lpstr>
      <vt:lpstr>z_Z99BO00122_MO_OS_CommonstockoutstandingEoP</vt:lpstr>
      <vt:lpstr>z_Z99BO00122_MO_OS_consensusestimatestotalaveragedailyproductionvolumes</vt:lpstr>
      <vt:lpstr>z_Z99BO00122_MO_OS_ConsolidatedCompaniesAccretionofdiscount</vt:lpstr>
      <vt:lpstr>z_Z99BO00122_MO_OS_ConsolidatedCompaniesBoPPresentValue</vt:lpstr>
      <vt:lpstr>z_Z99BO00122_MO_OS_ConsolidatedCompaniesDevelopmentcostsincurred</vt:lpstr>
      <vt:lpstr>z_Z99BO00122_MO_OS_ConsolidatedCompaniesEoPPresentValue</vt:lpstr>
      <vt:lpstr>z_Z99BO00122_MO_OS_ConsolidatedCompaniesEoPPresentValue_1</vt:lpstr>
      <vt:lpstr>z_Z99BO00122_MO_OS_ConsolidatedCompaniesExtensionsdiscoveriesandimprovedrecoverylessrelatedcosts</vt:lpstr>
      <vt:lpstr>z_Z99BO00122_MO_OS_ConsolidatedCompaniesNetChange_2</vt:lpstr>
      <vt:lpstr>z_Z99BO00122_MO_OS_ConsolidatedCompaniesNetchangeinincometax</vt:lpstr>
      <vt:lpstr>z_Z99BO00122_MO_OS_ConsolidatedCompaniesNetchangesinpricesdevelopmentandproductioncosts</vt:lpstr>
      <vt:lpstr>z_Z99BO00122_MO_OS_ConsolidatedCompaniesPurchasesofreserves</vt:lpstr>
      <vt:lpstr>z_Z99BO00122_MO_OS_ConsolidatedCompaniesRevisionsofpreviousquantityestimates</vt:lpstr>
      <vt:lpstr>z_Z99BO00122_MO_OS_ConsolidatedCompaniesSalesandtransfersofoilandgasproducednetofproductioncosts</vt:lpstr>
      <vt:lpstr>z_Z99BO00122_MO_OS_ConsolidatedCompaniesSalesofreserves</vt:lpstr>
      <vt:lpstr>z_Z99BO00122_MO_OS_Coverpagecommonstockoutstanding</vt:lpstr>
      <vt:lpstr>z_Z99BO00122_MO_OS_Dateofcoverpagesharecount</vt:lpstr>
      <vt:lpstr>z_Z99BO00122_MO_OS_Dilutedsharecounttobasicsharecountratio</vt:lpstr>
      <vt:lpstr>z_Z99BO00122_MO_OS_Dilutiveshares</vt:lpstr>
      <vt:lpstr>z_Z99BO00122_MO_OS_discrepancy</vt:lpstr>
      <vt:lpstr>z_Z99BO00122_MO_OS_discrepancy_1</vt:lpstr>
      <vt:lpstr>z_Z99BO00122_MO_OS_DownstreamAdjustedEarnings</vt:lpstr>
      <vt:lpstr>z_Z99BO00122_MO_OS_Downstreamearnings</vt:lpstr>
      <vt:lpstr>z_Z99BO00122_MO_OS_downstreamrevenues</vt:lpstr>
      <vt:lpstr>z_Z99BO00122_MO_OS_downstreamtotalrefinedproductssold</vt:lpstr>
      <vt:lpstr>z_Z99BO00122_MO_OS_downstreamtotalrefineryinput</vt:lpstr>
      <vt:lpstr>z_Z99BO00122_MO_OS_EBITcalculated</vt:lpstr>
      <vt:lpstr>z_Z99BO00122_MO_OS_elsegundocaliforniacrudethroughput</vt:lpstr>
      <vt:lpstr>z_Z99BO00122_MO_OS_europe</vt:lpstr>
      <vt:lpstr>z_Z99BO00122_MO_OS_europe_1</vt:lpstr>
      <vt:lpstr>z_Z99BO00122_MO_OS_europe_2</vt:lpstr>
      <vt:lpstr>z_Z99BO00122_MO_OS_Europe10percentmidyearannualdiscountfortimingofestimatedcashflows</vt:lpstr>
      <vt:lpstr>z_Z99BO00122_MO_OS_EuropeAccretionexpense</vt:lpstr>
      <vt:lpstr>z_Z99BO00122_MO_OS_EuropeAccumulatedprovisions</vt:lpstr>
      <vt:lpstr>z_Z99BO00122_MO_OS_EuropeAverageproductioncosts</vt:lpstr>
      <vt:lpstr>z_Z99BO00122_MO_OS_EuropeCrudeaveragesalesprice</vt:lpstr>
      <vt:lpstr>z_Z99BO00122_MO_OS_EuropeCrudeOilCondensateandSyntheticOilBoPReservesMMbbl</vt:lpstr>
      <vt:lpstr>z_Z99BO00122_MO_OS_EuropeCrudeOilCondensateandSyntheticOilEoPReserves</vt:lpstr>
      <vt:lpstr>z_Z99BO00122_MO_OS_EuropeCrudeOilCondensateandSyntheticOilExtensionsanddiscoveries</vt:lpstr>
      <vt:lpstr>z_Z99BO00122_MO_OS_EuropeCrudeOilCondensateandSyntheticOilImprovedrecovery</vt:lpstr>
      <vt:lpstr>z_Z99BO00122_MO_OS_EuropeCrudeOilCondensateandSyntheticOilProduction</vt:lpstr>
      <vt:lpstr>z_Z99BO00122_MO_OS_EuropeCrudeOilCondensateandSyntheticOilPurchases</vt:lpstr>
      <vt:lpstr>z_Z99BO00122_MO_OS_EuropeCrudeOilCondensateandSyntheticOilRevisions</vt:lpstr>
      <vt:lpstr>z_Z99BO00122_MO_OS_EuropeCrudeOilCondensateandSyntheticOilSales</vt:lpstr>
      <vt:lpstr>z_Z99BO00122_MO_OS_EuropeCrudeOilCondensateProvedDevelopedReserves</vt:lpstr>
      <vt:lpstr>z_Z99BO00122_MO_OS_EuropeCrudeOilCondensateProvedUndevelopedReserves</vt:lpstr>
      <vt:lpstr>z_Z99BO00122_MO_OS_EuropeDeferredexploratorywells</vt:lpstr>
      <vt:lpstr>z_Z99BO00122_MO_OS_EuropeDepreciationanddepletion</vt:lpstr>
      <vt:lpstr>z_Z99BO00122_MO_OS_EuropeDevelopment</vt:lpstr>
      <vt:lpstr>z_Z99BO00122_MO_OS_EuropeExplorationexpenses</vt:lpstr>
      <vt:lpstr>z_Z99BO00122_MO_OS_EuropeFuturecashinflowsfromproduction</vt:lpstr>
      <vt:lpstr>z_Z99BO00122_MO_OS_EuropeFuturedevelopmentcosts</vt:lpstr>
      <vt:lpstr>z_Z99BO00122_MO_OS_EuropeFutureincometaxes</vt:lpstr>
      <vt:lpstr>z_Z99BO00122_MO_OS_EuropeFutureproductioncosts</vt:lpstr>
      <vt:lpstr>z_Z99BO00122_MO_OS_EuropeGeologicalandgeophysical</vt:lpstr>
      <vt:lpstr>z_Z99BO00122_MO_OS_EuropeGrossCapitalizedCosts</vt:lpstr>
      <vt:lpstr>z_Z99BO00122_MO_OS_EuropeGrossGasWells</vt:lpstr>
      <vt:lpstr>z_Z99BO00122_MO_OS_EuropeGrossOilWells</vt:lpstr>
      <vt:lpstr>z_Z99BO00122_MO_OS_EuropeIncometaxexpensebenefit</vt:lpstr>
      <vt:lpstr>z_Z99BO00122_MO_OS_EuropeNaturalgasaveragesalesprice</vt:lpstr>
      <vt:lpstr>z_Z99BO00122_MO_OS_EuropeNaturalGasBoPReserves</vt:lpstr>
      <vt:lpstr>z_Z99BO00122_MO_OS_EuropeNaturalGasEoPReserves</vt:lpstr>
      <vt:lpstr>z_Z99BO00122_MO_OS_EuropeNaturalGasExtensionsanddiscoveries</vt:lpstr>
      <vt:lpstr>z_Z99BO00122_MO_OS_EuropeNaturalGasImprovedrecovery</vt:lpstr>
      <vt:lpstr>z_Z99BO00122_MO_OS_EuropeNaturalgasliquidsaveragesalesprice</vt:lpstr>
      <vt:lpstr>z_Z99BO00122_MO_OS_EuropeNaturalGasProduction</vt:lpstr>
      <vt:lpstr>z_Z99BO00122_MO_OS_EuropeNaturalGasProvedDevelopedReserves</vt:lpstr>
      <vt:lpstr>z_Z99BO00122_MO_OS_EuropeNaturalGasProvedUndevelopedReserves</vt:lpstr>
      <vt:lpstr>z_Z99BO00122_MO_OS_EuropeNaturalGasPurchases</vt:lpstr>
      <vt:lpstr>z_Z99BO00122_MO_OS_EuropeNaturalGasRevisions</vt:lpstr>
      <vt:lpstr>z_Z99BO00122_MO_OS_EuropeNaturalGasSales</vt:lpstr>
      <vt:lpstr>z_Z99BO00122_MO_OS_EuropeNetCapitalizedCosts</vt:lpstr>
      <vt:lpstr>z_Z99BO00122_MO_OS_EuropeNetGasWells</vt:lpstr>
      <vt:lpstr>z_Z99BO00122_MO_OS_EuropeNetOilWells</vt:lpstr>
      <vt:lpstr>z_Z99BO00122_MO_OS_EuropeNGLBoPReserves</vt:lpstr>
      <vt:lpstr>z_Z99BO00122_MO_OS_EuropeNGLEoPReserves</vt:lpstr>
      <vt:lpstr>z_Z99BO00122_MO_OS_EuropeNGLExtensionsanddiscoveries</vt:lpstr>
      <vt:lpstr>z_Z99BO00122_MO_OS_EuropeNGLImprovedrecovery</vt:lpstr>
      <vt:lpstr>z_Z99BO00122_MO_OS_EuropeNGLProduction</vt:lpstr>
      <vt:lpstr>z_Z99BO00122_MO_OS_EuropeNGLProvedDevelopedReserves</vt:lpstr>
      <vt:lpstr>z_Z99BO00122_MO_OS_EuropeNGLProvedUndevelopedReserves</vt:lpstr>
      <vt:lpstr>z_Z99BO00122_MO_OS_EuropeNGLPurchases</vt:lpstr>
      <vt:lpstr>z_Z99BO00122_MO_OS_EuropeNGLRevisions</vt:lpstr>
      <vt:lpstr>z_Z99BO00122_MO_OS_EuropeNGLSales</vt:lpstr>
      <vt:lpstr>z_Z99BO00122_MO_OS_EuropeOther</vt:lpstr>
      <vt:lpstr>z_Z99BO00122_MO_OS_EuropeOtherincomeloss</vt:lpstr>
      <vt:lpstr>z_Z99BO00122_MO_OS_EuropeOtheruncompletedprojects</vt:lpstr>
      <vt:lpstr>z_Z99BO00122_MO_OS_EuropeProductionexpensesexcludingtaxes</vt:lpstr>
      <vt:lpstr>z_Z99BO00122_MO_OS_EuropeProvedNoble</vt:lpstr>
      <vt:lpstr>z_Z99BO00122_MO_OS_EuropeProvedOther</vt:lpstr>
      <vt:lpstr>z_Z99BO00122_MO_OS_EuropeProvedproducingpropertiesDepreciationanddepletion</vt:lpstr>
      <vt:lpstr>z_Z99BO00122_MO_OS_EuropeProvedpropertiesandrelatedproducingassets</vt:lpstr>
      <vt:lpstr>z_Z99BO00122_MO_OS_EuropeResultsbeforeincometaxes</vt:lpstr>
      <vt:lpstr>z_Z99BO00122_MO_OS_EuropeResultsofProducingOperations</vt:lpstr>
      <vt:lpstr>z_Z99BO00122_MO_OS_EuropeSalesrevenuesfromnetproduction</vt:lpstr>
      <vt:lpstr>z_Z99BO00122_MO_OS_EuropeStandardizedMeasureNetCashFlows</vt:lpstr>
      <vt:lpstr>z_Z99BO00122_MO_OS_EuropeSupportequipment</vt:lpstr>
      <vt:lpstr>z_Z99BO00122_MO_OS_EuropeSupportequipmentdepreciation</vt:lpstr>
      <vt:lpstr>z_Z99BO00122_MO_OS_EuropeSyntheticOilProvedDevelopedReserves</vt:lpstr>
      <vt:lpstr>z_Z99BO00122_MO_OS_EuropeSyntheticOilProvedUndevelopedReserves</vt:lpstr>
      <vt:lpstr>z_Z99BO00122_MO_OS_EuropeTaxesotherthanonincome</vt:lpstr>
      <vt:lpstr>z_Z99BO00122_MO_OS_EuropeTotalCostsIncurred</vt:lpstr>
      <vt:lpstr>z_Z99BO00122_MO_OS_EuropeTotalexploration</vt:lpstr>
      <vt:lpstr>z_Z99BO00122_MO_OS_EuropeTotalpropertyacquisitions</vt:lpstr>
      <vt:lpstr>z_Z99BO00122_MO_OS_EuropeTotalRevenuesfromnetproduction</vt:lpstr>
      <vt:lpstr>z_Z99BO00122_MO_OS_EuropeTransfersrevenuesfromnetproduction</vt:lpstr>
      <vt:lpstr>z_Z99BO00122_MO_OS_EuropeUndiscountedfuturenetcashflows</vt:lpstr>
      <vt:lpstr>z_Z99BO00122_MO_OS_EuropeUnprovedNoble</vt:lpstr>
      <vt:lpstr>z_Z99BO00122_MO_OS_EuropeUnprovedOther</vt:lpstr>
      <vt:lpstr>z_Z99BO00122_MO_OS_EuropeUnprovedproperties</vt:lpstr>
      <vt:lpstr>z_Z99BO00122_MO_OS_EuropeUnprovedpropertiesvaluation</vt:lpstr>
      <vt:lpstr>z_Z99BO00122_MO_OS_EuropeUnprovedpropertiesvaluation_1</vt:lpstr>
      <vt:lpstr>z_Z99BO00122_MO_OS_EuropeWells</vt:lpstr>
      <vt:lpstr>z_Z99BO00122_MO_OS_fueloilproduction</vt:lpstr>
      <vt:lpstr>z_Z99BO00122_MO_OS_fueloilproduction_1</vt:lpstr>
      <vt:lpstr>z_Z99BO00122_MO_OS_fueloilproduction_2</vt:lpstr>
      <vt:lpstr>z_Z99BO00122_MO_OS_gasoilandkerosenesales</vt:lpstr>
      <vt:lpstr>z_Z99BO00122_MO_OS_gasoilandkerosenesales_1</vt:lpstr>
      <vt:lpstr>z_Z99BO00122_MO_OS_gasoilproduction</vt:lpstr>
      <vt:lpstr>z_Z99BO00122_MO_OS_gasoilproduction_1</vt:lpstr>
      <vt:lpstr>z_Z99BO00122_MO_OS_gasoilproduction_2</vt:lpstr>
      <vt:lpstr>z_Z99BO00122_MO_OS_gasolineproduction</vt:lpstr>
      <vt:lpstr>z_Z99BO00122_MO_OS_gasolineproduction_1</vt:lpstr>
      <vt:lpstr>z_Z99BO00122_MO_OS_gasolineproduction_2</vt:lpstr>
      <vt:lpstr>z_Z99BO00122_MO_OS_gasolinesales</vt:lpstr>
      <vt:lpstr>z_Z99BO00122_MO_OS_gasolinesales_1</vt:lpstr>
      <vt:lpstr>z_Z99BO00122_MO_OS_Guyana</vt:lpstr>
      <vt:lpstr>z_Z99BO00122_MO_OS_Guyana_1</vt:lpstr>
      <vt:lpstr>z_Z99BO00122_MO_OS_impliedinternationalrevenuesfromsalesofliquidsandgas</vt:lpstr>
      <vt:lpstr>z_Z99BO00122_MO_OS_impliedusrevenuesfromsalesofliquidsandgas</vt:lpstr>
      <vt:lpstr>z_Z99BO00122_MO_OS_indonesia</vt:lpstr>
      <vt:lpstr>z_Z99BO00122_MO_OS_indonesia_1</vt:lpstr>
      <vt:lpstr>z_Z99BO00122_MO_OS_InternationalDownstreamAdjustedEarnings</vt:lpstr>
      <vt:lpstr>z_Z99BO00122_MO_OS_internationaldownstreamearnings</vt:lpstr>
      <vt:lpstr>z_Z99BO00122_MO_OS_internationaldownstreamgasolinesales</vt:lpstr>
      <vt:lpstr>z_Z99BO00122_MO_OS_internationaldownstreamgasolinesales_1</vt:lpstr>
      <vt:lpstr>z_Z99BO00122_MO_OS_internationaldownstreamgasolineyield</vt:lpstr>
      <vt:lpstr>z_Z99BO00122_MO_OS_Internationaldownstreamotherrefinedproductsales</vt:lpstr>
      <vt:lpstr>z_Z99BO00122_MO_OS_Internationaldownstreamotherrefinedproductsales_1</vt:lpstr>
      <vt:lpstr>z_Z99BO00122_MO_OS_Internationaldownstreamotherrefinedproductsyield</vt:lpstr>
      <vt:lpstr>z_Z99BO00122_MO_OS_internationaldownstreamproductsales</vt:lpstr>
      <vt:lpstr>z_Z99BO00122_MO_OS_internationaldownstreamrevenuegrossofeliminationsandincludingexciseandsimilartaxes</vt:lpstr>
      <vt:lpstr>z_Z99BO00122_MO_OS_internationaldownstreamrevenueperbarrelofrefinedproductsold</vt:lpstr>
      <vt:lpstr>z_Z99BO00122_MO_OS_internationaldownstreamsalesofnaturalgasliquids</vt:lpstr>
      <vt:lpstr>z_Z99BO00122_MO_OS_internationaldownstreamsalesofnaturalgasliquids_1</vt:lpstr>
      <vt:lpstr>z_Z99BO00122_MO_OS_internationaldownstreamshareofaffiliatesales</vt:lpstr>
      <vt:lpstr>z_Z99BO00122_MO_OS_internationaldownstreamshareofaffiliatesales_1</vt:lpstr>
      <vt:lpstr>z_Z99BO00122_MO_OS_internationaldownstreamtotalrefinedproductsales</vt:lpstr>
      <vt:lpstr>z_Z99BO00122_MO_OS_InternationalFueloilproduction</vt:lpstr>
      <vt:lpstr>z_Z99BO00122_MO_OS_InternationalGasOilandKerosenesales</vt:lpstr>
      <vt:lpstr>z_Z99BO00122_MO_OS_InternationalGasoilproduction</vt:lpstr>
      <vt:lpstr>z_Z99BO00122_MO_OS_InternationalGasolineproduction</vt:lpstr>
      <vt:lpstr>z_Z99BO00122_MO_OS_InternationalGasolinesales</vt:lpstr>
      <vt:lpstr>z_Z99BO00122_MO_OS_internationalintersegmenteliminations</vt:lpstr>
      <vt:lpstr>z_Z99BO00122_MO_OS_internationalintersegmenteliminations_1</vt:lpstr>
      <vt:lpstr>z_Z99BO00122_MO_OS_InternationalJetfuelproduction</vt:lpstr>
      <vt:lpstr>z_Z99BO00122_MO_OS_InternationalJetFuelsales</vt:lpstr>
      <vt:lpstr>z_Z99BO00122_MO_OS_internationalliquids</vt:lpstr>
      <vt:lpstr>z_Z99BO00122_MO_OS_internationalnaturalgas</vt:lpstr>
      <vt:lpstr>z_Z99BO00122_MO_OS_internationalnaturalgassoldbutnotproduced</vt:lpstr>
      <vt:lpstr>z_Z99BO00122_MO_OS_internationalnetliquidsproduction</vt:lpstr>
      <vt:lpstr>z_Z99BO00122_MO_OS_internationalnetnaturalgasproduction</vt:lpstr>
      <vt:lpstr>z_Z99BO00122_MO_OS_InternationalOtherPetroleumProductssales</vt:lpstr>
      <vt:lpstr>z_Z99BO00122_MO_OS_InternationalOtherproduction</vt:lpstr>
      <vt:lpstr>z_Z99BO00122_MO_OS_internationalrefineryinput</vt:lpstr>
      <vt:lpstr>z_Z99BO00122_MO_OS_InternationalResidualFuelOilsales</vt:lpstr>
      <vt:lpstr>z_Z99BO00122_MO_OS_internationalsalesofnaturalgas</vt:lpstr>
      <vt:lpstr>z_Z99BO00122_MO_OS_internationalsalesofnaturalgas_1</vt:lpstr>
      <vt:lpstr>z_Z99BO00122_MO_OS_intersegmenteliminationinternationalrevenues</vt:lpstr>
      <vt:lpstr>z_Z99BO00122_MO_OS_intersegmenteliminationusrevenues</vt:lpstr>
      <vt:lpstr>z_Z99BO00122_MO_OS_Israel</vt:lpstr>
      <vt:lpstr>z_Z99BO00122_MO_OS_jetfuelproduction</vt:lpstr>
      <vt:lpstr>z_Z99BO00122_MO_OS_jetfuelproduction_1</vt:lpstr>
      <vt:lpstr>z_Z99BO00122_MO_OS_jetfuelproduction_2</vt:lpstr>
      <vt:lpstr>z_Z99BO00122_MO_OS_jetfuelsales</vt:lpstr>
      <vt:lpstr>z_Z99BO00122_MO_OS_jetfuelsales_1</vt:lpstr>
      <vt:lpstr>z_Z99BO00122_MO_OS_kapoleihawaiicrudethroughput</vt:lpstr>
      <vt:lpstr>z_Z99BO00122_MO_OS_kazakhstaneurasia</vt:lpstr>
      <vt:lpstr>z_Z99BO00122_MO_OS_kazakhstaneurasia_1</vt:lpstr>
      <vt:lpstr>z_Z99BO00122_MO_OS_Liquids</vt:lpstr>
      <vt:lpstr>z_Z99BO00122_MO_OS_Liquids_1</vt:lpstr>
      <vt:lpstr>z_Z99BO00122_MO_OS_Liquids_2</vt:lpstr>
      <vt:lpstr>z_Z99BO00122_MO_OS_marketingmarginasiapacific</vt:lpstr>
      <vt:lpstr>z_Z99BO00122_MO_OS_marketingmarginuseasthoustonmogasracktospot</vt:lpstr>
      <vt:lpstr>z_Z99BO00122_MO_OS_marketingmarginuswestweighteddtwtospot</vt:lpstr>
      <vt:lpstr>z_Z99BO00122_MO_OS_martiniquefortdefrance115crudethroughput</vt:lpstr>
      <vt:lpstr>z_Z99BO00122_MO_OS_myanmar</vt:lpstr>
      <vt:lpstr>z_Z99BO00122_MO_OS_Naturalgas</vt:lpstr>
      <vt:lpstr>z_Z99BO00122_MO_OS_Naturalgas_1</vt:lpstr>
      <vt:lpstr>z_Z99BO00122_MO_OS_naturalgassales</vt:lpstr>
      <vt:lpstr>z_Z99BO00122_MO_OS_newzealandwhangarei116crudethroughput</vt:lpstr>
      <vt:lpstr>z_Z99BO00122_MO_OS_nigeria</vt:lpstr>
      <vt:lpstr>z_Z99BO00122_MO_OS_nigeria_1</vt:lpstr>
      <vt:lpstr>z_Z99BO00122_MO_OS_Other</vt:lpstr>
      <vt:lpstr>z_Z99BO00122_MO_OS_Other_1</vt:lpstr>
      <vt:lpstr>z_Z99BO00122_MO_OS_Other_2</vt:lpstr>
      <vt:lpstr>z_Z99BO00122_MO_OS_Other10percentmidyearannualdiscountfortimingofestimatedcashflows</vt:lpstr>
      <vt:lpstr>z_Z99BO00122_MO_OS_OtherAccretionexpense</vt:lpstr>
      <vt:lpstr>z_Z99BO00122_MO_OS_OtherAccumulatedprovisions</vt:lpstr>
      <vt:lpstr>z_Z99BO00122_MO_OS_OtherAmericas10percentmidyearannualdiscountfortimingofestimatedcashflows</vt:lpstr>
      <vt:lpstr>z_Z99BO00122_MO_OS_OtherAmericasAccretionexpense</vt:lpstr>
      <vt:lpstr>z_Z99BO00122_MO_OS_OtherAmericasAccumulatedprovisions</vt:lpstr>
      <vt:lpstr>z_Z99BO00122_MO_OS_OtherAmericasAverageproductioncosts</vt:lpstr>
      <vt:lpstr>z_Z99BO00122_MO_OS_OtherAmericasCrudeaveragesalesprice</vt:lpstr>
      <vt:lpstr>z_Z99BO00122_MO_OS_OtherAmericasCrudeOilCondensateandSyntheticOilBoPReserves</vt:lpstr>
      <vt:lpstr>z_Z99BO00122_MO_OS_OtherAmericasCrudeOilCondensateandSyntheticOilEoPReserves</vt:lpstr>
      <vt:lpstr>z_Z99BO00122_MO_OS_OtherAmericasCrudeOilCondensateandSyntheticOilExtensionsanddiscoveries</vt:lpstr>
      <vt:lpstr>z_Z99BO00122_MO_OS_OtherAmericasCrudeOilCondensateandSyntheticOilImprovedrecovery</vt:lpstr>
      <vt:lpstr>z_Z99BO00122_MO_OS_OtherAmericasCrudeOilCondensateandSyntheticOilProduction</vt:lpstr>
      <vt:lpstr>z_Z99BO00122_MO_OS_OtherAmericasCrudeOilCondensateandSyntheticOilPurchases</vt:lpstr>
      <vt:lpstr>z_Z99BO00122_MO_OS_OtherAmericasCrudeOilCondensateandSyntheticOilRevisions</vt:lpstr>
      <vt:lpstr>z_Z99BO00122_MO_OS_OtherAmericasCrudeOilCondensateandSyntheticOilSales</vt:lpstr>
      <vt:lpstr>z_Z99BO00122_MO_OS_OtherAmericasCrudeOilCondensateProvedDevelopedReserves</vt:lpstr>
      <vt:lpstr>z_Z99BO00122_MO_OS_OtherAmericasCrudeOilCondensateProvedUndevelopedReserves</vt:lpstr>
      <vt:lpstr>z_Z99BO00122_MO_OS_OtherAmericasDeferredexploratorywells</vt:lpstr>
      <vt:lpstr>z_Z99BO00122_MO_OS_OtherAmericasDepreciationanddepletion</vt:lpstr>
      <vt:lpstr>z_Z99BO00122_MO_OS_OtherAmericasDevelopment</vt:lpstr>
      <vt:lpstr>z_Z99BO00122_MO_OS_OtherAmericasExplorationexpenses</vt:lpstr>
      <vt:lpstr>z_Z99BO00122_MO_OS_OtherAmericasFuturecashinflowsfromproduction</vt:lpstr>
      <vt:lpstr>z_Z99BO00122_MO_OS_OtherAmericasFuturedevelopmentcosts</vt:lpstr>
      <vt:lpstr>z_Z99BO00122_MO_OS_OtherAmericasFutureincometaxes</vt:lpstr>
      <vt:lpstr>z_Z99BO00122_MO_OS_OtherAmericasFutureproductioncosts</vt:lpstr>
      <vt:lpstr>z_Z99BO00122_MO_OS_OtherAmericasGeologicalandgeophysical</vt:lpstr>
      <vt:lpstr>z_Z99BO00122_MO_OS_OtherAmericasGrossCapitalizedCosts</vt:lpstr>
      <vt:lpstr>z_Z99BO00122_MO_OS_OtherAmericasGrossGasWells</vt:lpstr>
      <vt:lpstr>z_Z99BO00122_MO_OS_OtherAmericasGrossOilWells</vt:lpstr>
      <vt:lpstr>z_Z99BO00122_MO_OS_OtherAmericasIncometaxexpensebenefit</vt:lpstr>
      <vt:lpstr>z_Z99BO00122_MO_OS_OtherAmericasNaturalgasaveragesalesprice</vt:lpstr>
      <vt:lpstr>z_Z99BO00122_MO_OS_OtherAmericasNaturalGasBoPReserves</vt:lpstr>
      <vt:lpstr>z_Z99BO00122_MO_OS_OtherAmericasNaturalGasEoPReserves</vt:lpstr>
      <vt:lpstr>z_Z99BO00122_MO_OS_OtherAmericasNaturalGasExtensionsanddiscoveries</vt:lpstr>
      <vt:lpstr>z_Z99BO00122_MO_OS_OtherAmericasNaturalGasImprovedrecovery</vt:lpstr>
      <vt:lpstr>z_Z99BO00122_MO_OS_OtherAmericasNaturalgasliquidsaveragesalesprice</vt:lpstr>
      <vt:lpstr>z_Z99BO00122_MO_OS_OtherAmericasNaturalGasProduction</vt:lpstr>
      <vt:lpstr>z_Z99BO00122_MO_OS_OtherAmericasNaturalGasProvedDevelopedReserves</vt:lpstr>
      <vt:lpstr>z_Z99BO00122_MO_OS_OtherAmericasNaturalGasProvedUndevelopedReserves</vt:lpstr>
      <vt:lpstr>z_Z99BO00122_MO_OS_OtherAmericasNaturalGasPurchases</vt:lpstr>
      <vt:lpstr>z_Z99BO00122_MO_OS_OtherAmericasNaturalGasRevisions</vt:lpstr>
      <vt:lpstr>z_Z99BO00122_MO_OS_OtherAmericasNaturalGasSales</vt:lpstr>
      <vt:lpstr>z_Z99BO00122_MO_OS_OtherAmericasNetCapitalizedCosts</vt:lpstr>
      <vt:lpstr>z_Z99BO00122_MO_OS_OtherAmericasNetGasWells</vt:lpstr>
      <vt:lpstr>z_Z99BO00122_MO_OS_OtherAmericasNetOilWells</vt:lpstr>
      <vt:lpstr>z_Z99BO00122_MO_OS_OtherAmericasNGLBoPReserves</vt:lpstr>
      <vt:lpstr>z_Z99BO00122_MO_OS_OtherAmericasNGLBoPReserves_1</vt:lpstr>
      <vt:lpstr>z_Z99BO00122_MO_OS_OtherAmericasNGLEoPReserves</vt:lpstr>
      <vt:lpstr>z_Z99BO00122_MO_OS_OtherAmericasNGLEoPReserves_1</vt:lpstr>
      <vt:lpstr>z_Z99BO00122_MO_OS_OtherAmericasNGLExtensionsanddiscoveries</vt:lpstr>
      <vt:lpstr>z_Z99BO00122_MO_OS_OtherAmericasNGLExtensionsanddiscoveries_1</vt:lpstr>
      <vt:lpstr>z_Z99BO00122_MO_OS_OtherAmericasNGLImprovedrecovery</vt:lpstr>
      <vt:lpstr>z_Z99BO00122_MO_OS_OtherAmericasNGLImprovedrecovery_1</vt:lpstr>
      <vt:lpstr>z_Z99BO00122_MO_OS_OtherAmericasNGLProduction</vt:lpstr>
      <vt:lpstr>z_Z99BO00122_MO_OS_OtherAmericasNGLProduction_1</vt:lpstr>
      <vt:lpstr>z_Z99BO00122_MO_OS_OtherAmericasNGLProvedDevelopedReserves</vt:lpstr>
      <vt:lpstr>z_Z99BO00122_MO_OS_OtherAmericasNGLProvedUndevelopedReserves</vt:lpstr>
      <vt:lpstr>z_Z99BO00122_MO_OS_OtherAmericasNGLPurchases</vt:lpstr>
      <vt:lpstr>z_Z99BO00122_MO_OS_OtherAmericasNGLPurchases_1</vt:lpstr>
      <vt:lpstr>z_Z99BO00122_MO_OS_OtherAmericasNGLRevisions</vt:lpstr>
      <vt:lpstr>z_Z99BO00122_MO_OS_OtherAmericasNGLRevisions_1</vt:lpstr>
      <vt:lpstr>z_Z99BO00122_MO_OS_OtherAmericasNGLSales</vt:lpstr>
      <vt:lpstr>z_Z99BO00122_MO_OS_OtherAmericasNGLSales_1</vt:lpstr>
      <vt:lpstr>z_Z99BO00122_MO_OS_OtherAmericasOther</vt:lpstr>
      <vt:lpstr>z_Z99BO00122_MO_OS_OtherAmericasOtherincomeloss</vt:lpstr>
      <vt:lpstr>z_Z99BO00122_MO_OS_OtherAmericasOtheruncompletedprojects</vt:lpstr>
      <vt:lpstr>z_Z99BO00122_MO_OS_OtherAmericasProductionexpensesexcludingtaxes</vt:lpstr>
      <vt:lpstr>z_Z99BO00122_MO_OS_OtherAmericasProvedNoble</vt:lpstr>
      <vt:lpstr>z_Z99BO00122_MO_OS_OtherAmericasProvedOther</vt:lpstr>
      <vt:lpstr>z_Z99BO00122_MO_OS_OtherAmericasProvedproducingpropertiesDepreciationanddepletion</vt:lpstr>
      <vt:lpstr>z_Z99BO00122_MO_OS_OtherAmericasProvedpropertiesandrelatedproducingassets</vt:lpstr>
      <vt:lpstr>z_Z99BO00122_MO_OS_OtherAmericasResultsbeforeincometaxes</vt:lpstr>
      <vt:lpstr>z_Z99BO00122_MO_OS_OtherAmericasResultsofProducingOperations</vt:lpstr>
      <vt:lpstr>z_Z99BO00122_MO_OS_OtherAmericasSalesrevenuesfromnetproduction</vt:lpstr>
      <vt:lpstr>z_Z99BO00122_MO_OS_OtherAmericasStandardizedMeasureNetCashFlows</vt:lpstr>
      <vt:lpstr>z_Z99BO00122_MO_OS_OtherAmericasSupportequipment</vt:lpstr>
      <vt:lpstr>z_Z99BO00122_MO_OS_OtherAmericasSupportequipmentdepreciation</vt:lpstr>
      <vt:lpstr>z_Z99BO00122_MO_OS_OtherAmericasSyntheticOilProvedDevelopedReserves</vt:lpstr>
      <vt:lpstr>z_Z99BO00122_MO_OS_OtherAmericasSyntheticOilProvedUndevelopedReserves</vt:lpstr>
      <vt:lpstr>z_Z99BO00122_MO_OS_OtherAmericasTaxesotherthanonincome</vt:lpstr>
      <vt:lpstr>z_Z99BO00122_MO_OS_OtherAmericasTotalCostsIncurred</vt:lpstr>
      <vt:lpstr>z_Z99BO00122_MO_OS_OtherAmericasTotalexploration</vt:lpstr>
      <vt:lpstr>z_Z99BO00122_MO_OS_OtherAmericasTotalpropertyacquisitions</vt:lpstr>
      <vt:lpstr>z_Z99BO00122_MO_OS_OtherAmericasTotalRevenuesfromnetproduction</vt:lpstr>
      <vt:lpstr>z_Z99BO00122_MO_OS_OtherAmericasTransfersrevenuesfromnetproduction</vt:lpstr>
      <vt:lpstr>z_Z99BO00122_MO_OS_OtherAmericasUndiscountedfuturenetcashflows</vt:lpstr>
      <vt:lpstr>z_Z99BO00122_MO_OS_OtherAmericasUnprovedNoble</vt:lpstr>
      <vt:lpstr>z_Z99BO00122_MO_OS_OtherAmericasUnprovedOther</vt:lpstr>
      <vt:lpstr>z_Z99BO00122_MO_OS_OtherAmericasUnprovedproperties</vt:lpstr>
      <vt:lpstr>z_Z99BO00122_MO_OS_OtherAmericasUnprovedpropertiesvaluation</vt:lpstr>
      <vt:lpstr>z_Z99BO00122_MO_OS_OtherAmericasUnprovedpropertiesvaluation_1</vt:lpstr>
      <vt:lpstr>z_Z99BO00122_MO_OS_OtherAmericasWells</vt:lpstr>
      <vt:lpstr>z_Z99BO00122_MO_OS_OtherAverageproductioncosts</vt:lpstr>
      <vt:lpstr>z_Z99BO00122_MO_OS_OtherCrudeaveragesalesprice</vt:lpstr>
      <vt:lpstr>z_Z99BO00122_MO_OS_OtherCrudeOilCondensateandSyntheticOilBoPReservesMMbbl</vt:lpstr>
      <vt:lpstr>z_Z99BO00122_MO_OS_OtherCrudeOilCondensateandSyntheticOilEoPReserves</vt:lpstr>
      <vt:lpstr>z_Z99BO00122_MO_OS_OtherCrudeOilCondensateandSyntheticOilExtensionsanddiscoveries</vt:lpstr>
      <vt:lpstr>z_Z99BO00122_MO_OS_OtherCrudeOilCondensateandSyntheticOilImprovedrecovery</vt:lpstr>
      <vt:lpstr>z_Z99BO00122_MO_OS_OtherCrudeOilCondensateandSyntheticOilProduction</vt:lpstr>
      <vt:lpstr>z_Z99BO00122_MO_OS_OtherCrudeOilCondensateandSyntheticOilPurchases</vt:lpstr>
      <vt:lpstr>z_Z99BO00122_MO_OS_OtherCrudeOilCondensateandSyntheticOilRevisions</vt:lpstr>
      <vt:lpstr>z_Z99BO00122_MO_OS_OtherCrudeOilCondensateandSyntheticOilSales</vt:lpstr>
      <vt:lpstr>z_Z99BO00122_MO_OS_OtherCrudeOilCondensateProvedDevelopedReserves</vt:lpstr>
      <vt:lpstr>z_Z99BO00122_MO_OS_OtherCrudeOilCondensateProvedUndevelopedReserves</vt:lpstr>
      <vt:lpstr>z_Z99BO00122_MO_OS_OtherDeferredexploratorywells</vt:lpstr>
      <vt:lpstr>z_Z99BO00122_MO_OS_OtherDepreciationanddepletion</vt:lpstr>
      <vt:lpstr>z_Z99BO00122_MO_OS_OtherDevelopment</vt:lpstr>
      <vt:lpstr>z_Z99BO00122_MO_OS_Otherearnings</vt:lpstr>
      <vt:lpstr>z_Z99BO00122_MO_OS_OtherExplorationexpenses</vt:lpstr>
      <vt:lpstr>z_Z99BO00122_MO_OS_OtherFuturecashinflowsfromproduction</vt:lpstr>
      <vt:lpstr>z_Z99BO00122_MO_OS_OtherFuturedevelopmentcosts</vt:lpstr>
      <vt:lpstr>z_Z99BO00122_MO_OS_OtherFutureincometaxes</vt:lpstr>
      <vt:lpstr>z_Z99BO00122_MO_OS_OtherFutureproductioncosts</vt:lpstr>
      <vt:lpstr>z_Z99BO00122_MO_OS_OtherGeologicalandgeophysical</vt:lpstr>
      <vt:lpstr>z_Z99BO00122_MO_OS_OtherGrossCapitalizedCosts</vt:lpstr>
      <vt:lpstr>z_Z99BO00122_MO_OS_OtherIncometaxexpensebenefit</vt:lpstr>
      <vt:lpstr>z_Z99BO00122_MO_OS_OtherNaturalgasaveragesalesprice</vt:lpstr>
      <vt:lpstr>z_Z99BO00122_MO_OS_OtherNaturalGasBoPReserves</vt:lpstr>
      <vt:lpstr>z_Z99BO00122_MO_OS_OtherNaturalGasEoPReserves</vt:lpstr>
      <vt:lpstr>z_Z99BO00122_MO_OS_OtherNaturalGasExtensionsanddiscoveries</vt:lpstr>
      <vt:lpstr>z_Z99BO00122_MO_OS_OtherNaturalGasImprovedrecovery</vt:lpstr>
      <vt:lpstr>z_Z99BO00122_MO_OS_OtherNaturalgasliquidsaveragesalesprice</vt:lpstr>
      <vt:lpstr>z_Z99BO00122_MO_OS_OtherNaturalGasProduction</vt:lpstr>
      <vt:lpstr>z_Z99BO00122_MO_OS_OtherNaturalGasProvedDevelopedReserves</vt:lpstr>
      <vt:lpstr>z_Z99BO00122_MO_OS_OtherNaturalGasProvedUndevelopedReserves</vt:lpstr>
      <vt:lpstr>z_Z99BO00122_MO_OS_OtherNaturalGasPurchases</vt:lpstr>
      <vt:lpstr>z_Z99BO00122_MO_OS_OtherNaturalGasRevisions</vt:lpstr>
      <vt:lpstr>z_Z99BO00122_MO_OS_OtherNaturalGasSales</vt:lpstr>
      <vt:lpstr>z_Z99BO00122_MO_OS_OtherNetCapitalizedCosts</vt:lpstr>
      <vt:lpstr>z_Z99BO00122_MO_OS_OtherNGLBoPReserves</vt:lpstr>
      <vt:lpstr>z_Z99BO00122_MO_OS_OtherNGLEoPReserves</vt:lpstr>
      <vt:lpstr>z_Z99BO00122_MO_OS_OtherNGLExtensionsanddiscoveries</vt:lpstr>
      <vt:lpstr>z_Z99BO00122_MO_OS_OtherNGLImprovedrecovery</vt:lpstr>
      <vt:lpstr>z_Z99BO00122_MO_OS_OtherNGLProduction</vt:lpstr>
      <vt:lpstr>z_Z99BO00122_MO_OS_OtherNGLProvedDevelopedReserves</vt:lpstr>
      <vt:lpstr>z_Z99BO00122_MO_OS_OtherNGLProvedUndevelopedReserves</vt:lpstr>
      <vt:lpstr>z_Z99BO00122_MO_OS_OtherNGLPurchases</vt:lpstr>
      <vt:lpstr>z_Z99BO00122_MO_OS_OtherNGLRevisions</vt:lpstr>
      <vt:lpstr>z_Z99BO00122_MO_OS_OtherNGLSales</vt:lpstr>
      <vt:lpstr>z_Z99BO00122_MO_OS_OtherOther</vt:lpstr>
      <vt:lpstr>z_Z99BO00122_MO_OS_OtherOtherincomeloss</vt:lpstr>
      <vt:lpstr>z_Z99BO00122_MO_OS_OtherOtheruncompletedprojects</vt:lpstr>
      <vt:lpstr>z_Z99BO00122_MO_OS_OtherPetroleumProductssales</vt:lpstr>
      <vt:lpstr>z_Z99BO00122_MO_OS_OtherPetroleumProductssales_1</vt:lpstr>
      <vt:lpstr>z_Z99BO00122_MO_OS_Otherproduction</vt:lpstr>
      <vt:lpstr>z_Z99BO00122_MO_OS_Otherproduction_1</vt:lpstr>
      <vt:lpstr>z_Z99BO00122_MO_OS_Otherproduction_2</vt:lpstr>
      <vt:lpstr>z_Z99BO00122_MO_OS_OtherProductionexpensesexcludingtaxes</vt:lpstr>
      <vt:lpstr>z_Z99BO00122_MO_OS_Company2024</vt:lpstr>
      <vt:lpstr>z_Z99BO00122_MO_OS_OtherProvedOther</vt:lpstr>
      <vt:lpstr>z_Z99BO00122_MO_OS_OtherProvedproducingpropertiesDepreciationanddepletion</vt:lpstr>
      <vt:lpstr>z_Z99BO00122_MO_OS_OtherProvedpropertiesandrelatedproducingassets</vt:lpstr>
      <vt:lpstr>z_Z99BO00122_MO_OS_OtherResultsbeforeincometaxes</vt:lpstr>
      <vt:lpstr>z_Z99BO00122_MO_OS_OtherResultsofProducingOperations</vt:lpstr>
      <vt:lpstr>z_Z99BO00122_MO_OS_Otherrevenues</vt:lpstr>
      <vt:lpstr>z_Z99BO00122_MO_OS_OtherSalesrevenuesfromnetproduction</vt:lpstr>
      <vt:lpstr>z_Z99BO00122_MO_OS_OtherStandardizedMeasureNetCashFlows</vt:lpstr>
      <vt:lpstr>z_Z99BO00122_MO_OS_OtherSupportequipment</vt:lpstr>
      <vt:lpstr>z_Z99BO00122_MO_OS_OtherSupportequipmentdepreciation</vt:lpstr>
      <vt:lpstr>z_Z99BO00122_MO_OS_OtherSyntheticOilProvedDevelopedReserves</vt:lpstr>
      <vt:lpstr>z_Z99BO00122_MO_OS_OtherSyntheticOilProvedUndevelopedReserves</vt:lpstr>
      <vt:lpstr>z_Z99BO00122_MO_OS_OtherTaxesotherthanonincome</vt:lpstr>
      <vt:lpstr>z_Z99BO00122_MO_OS_OtherTotalCostsIncurred</vt:lpstr>
      <vt:lpstr>z_Z99BO00122_MO_OS_OtherTotalexploration</vt:lpstr>
      <vt:lpstr>z_Z99BO00122_MO_OS_OtherTotalpropertyacquisitions</vt:lpstr>
      <vt:lpstr>z_Z99BO00122_MO_OS_OtherTotalRevenuesfromnetproduction</vt:lpstr>
      <vt:lpstr>z_Z99BO00122_MO_OS_OtherTransfersrevenuesfromnetproduction</vt:lpstr>
      <vt:lpstr>z_Z99BO00122_MO_OS_OtherUndiscountedfuturenetcashflows</vt:lpstr>
      <vt:lpstr>z_Z99BO00122_MO_OS_Company2025</vt:lpstr>
      <vt:lpstr>z_Z99BO00122_MO_OS_OtherUnprovedOther</vt:lpstr>
      <vt:lpstr>z_Z99BO00122_MO_OS_OtherUnprovedproperties</vt:lpstr>
      <vt:lpstr>z_Z99BO00122_MO_OS_OtherUnprovedpropertiesvaluation</vt:lpstr>
      <vt:lpstr>z_Z99BO00122_MO_OS_OtherUnprovedpropertiesvaluation_1</vt:lpstr>
      <vt:lpstr>z_Z99BO00122_MO_OS_OtherWells</vt:lpstr>
      <vt:lpstr>z_Z99BO00122_MO_OS_OverallUtilization</vt:lpstr>
      <vt:lpstr>z_Z99BO00122_MO_OS_pakistankarachi75crudethroughput</vt:lpstr>
      <vt:lpstr>z_Z99BO00122_MO_OS_partitionedzone</vt:lpstr>
      <vt:lpstr>z_Z99BO00122_MO_OS_PasadenaCaliforniacrudethroughput</vt:lpstr>
      <vt:lpstr>z_Z99BO00122_MO_OS_pascagoulamississippicrudethroughput</vt:lpstr>
      <vt:lpstr>z_Z99BO00122_MO_OS_perthamboycrudethroughput</vt:lpstr>
      <vt:lpstr>z_Z99BO00122_MO_OS_philippines</vt:lpstr>
      <vt:lpstr>z_Z99BO00122_MO_OS_ProductionGrowthPerShare</vt:lpstr>
      <vt:lpstr>z_Z99BO00122_MO_OS_QQbasicshareexpansionEoP</vt:lpstr>
      <vt:lpstr>z_Z99BO00122_MO_OS_QQbasicshareexpansionfromdilutivesecurities</vt:lpstr>
      <vt:lpstr>z_Z99BO00122_MO_OS_QQbasicshareexpansionfromshareissuancebuyback</vt:lpstr>
      <vt:lpstr>z_Z99BO00122_MO_OS_Product0339</vt:lpstr>
      <vt:lpstr>z_Z99BO00122_MO_OS_realizedinternationalgas</vt:lpstr>
      <vt:lpstr>z_Z99BO00122_MO_OS_realizedinternationalliquids</vt:lpstr>
      <vt:lpstr>z_Z99BO00122_MO_OS_realizedinternationalliquidstowti</vt:lpstr>
      <vt:lpstr>z_Z99BO00122_MO_OS_realizedinternationalnaturalgastohenryhub</vt:lpstr>
      <vt:lpstr>z_Z99BO00122_MO_OS_RealizedOil</vt:lpstr>
      <vt:lpstr>z_Z99BO00122_MO_OS_realizedusgas</vt:lpstr>
      <vt:lpstr>z_Z99BO00122_MO_OS_realizedusliquids</vt:lpstr>
      <vt:lpstr>z_Z99BO00122_MO_OS_realizedusliquidstowti</vt:lpstr>
      <vt:lpstr>z_Z99BO00122_MO_OS_realizedusnaturalgastohenryhub</vt:lpstr>
      <vt:lpstr>z_Z99BO00122_MO_OS_refiningmarginnweuropebrent3111</vt:lpstr>
      <vt:lpstr>z_Z99BO00122_MO_OS_refiningmarginsingaporedubai3111</vt:lpstr>
      <vt:lpstr>z_Z99BO00122_MO_OS_refiningmarginusgulfcoastmayamars532</vt:lpstr>
      <vt:lpstr>z_Z99BO00122_MO_OS_RefiningmarginUSWestCoastBlended532</vt:lpstr>
      <vt:lpstr>z_Z99BO00122_MO_OS_reportedinternationalupstreamrevenues</vt:lpstr>
      <vt:lpstr>z_Z99BO00122_MO_OS_reportedusupstreamrevenues</vt:lpstr>
      <vt:lpstr>z_Z99BO00122_MO_OS_residualfueloilsales</vt:lpstr>
      <vt:lpstr>z_Z99BO00122_MO_OS_residualfueloilsales_1</vt:lpstr>
      <vt:lpstr>z_Z99BO00122_MO_OS_richmondcaliforniacrudethroughput</vt:lpstr>
      <vt:lpstr>z_Z99BO00122_MO_OS_saltlakecityutahcrudethroughput</vt:lpstr>
      <vt:lpstr>z_Z99BO00122_MO_OS_singaporepulaumerlimau50crudethroughput</vt:lpstr>
      <vt:lpstr>z_Z99BO00122_MO_OS_southafricacapetowncrudethroughput</vt:lpstr>
      <vt:lpstr>z_Z99BO00122_MO_OS_southamerica</vt:lpstr>
      <vt:lpstr>z_Z99BO00122_MO_OS_southamerica_1</vt:lpstr>
      <vt:lpstr>z_Z99BO00122_MO_OS_southkoreayeosu50crudethroughput</vt:lpstr>
      <vt:lpstr>z_Z99BO00122_MO_OS_subtotaldownstreamrevenue</vt:lpstr>
      <vt:lpstr>z_Z99BO00122_MO_OS_subtotalupstreamrevenues</vt:lpstr>
      <vt:lpstr>z_Z99BO00122_MO_OS_SyntheticOilBoPReservesMMbbl</vt:lpstr>
      <vt:lpstr>z_Z99BO00122_MO_OS_SyntheticOilBoPReservesMMbbl_1</vt:lpstr>
      <vt:lpstr>z_Z99BO00122_MO_OS_SyntheticOilEoPReserves</vt:lpstr>
      <vt:lpstr>z_Z99BO00122_MO_OS_SyntheticOilEoPReserves_1</vt:lpstr>
      <vt:lpstr>z_Z99BO00122_MO_OS_SyntheticOilExtensionsanddiscoveries</vt:lpstr>
      <vt:lpstr>z_Z99BO00122_MO_OS_SyntheticOilExtensionsanddiscoveries_1</vt:lpstr>
      <vt:lpstr>z_Z99BO00122_MO_OS_SyntheticOilImprovedrecovery</vt:lpstr>
      <vt:lpstr>z_Z99BO00122_MO_OS_SyntheticOilImprovedrecovery_1</vt:lpstr>
      <vt:lpstr>z_Z99BO00122_MO_OS_SyntheticOilProduction</vt:lpstr>
      <vt:lpstr>z_Z99BO00122_MO_OS_SyntheticOilProduction_1</vt:lpstr>
      <vt:lpstr>z_Z99BO00122_MO_OS_SyntheticOilPurchases</vt:lpstr>
      <vt:lpstr>z_Z99BO00122_MO_OS_SyntheticOilPurchases_1</vt:lpstr>
      <vt:lpstr>z_Z99BO00122_MO_OS_SyntheticOilRevisions</vt:lpstr>
      <vt:lpstr>z_Z99BO00122_MO_OS_SyntheticOilRevisions_1</vt:lpstr>
      <vt:lpstr>z_Z99BO00122_MO_OS_SyntheticOilSales</vt:lpstr>
      <vt:lpstr>z_Z99BO00122_MO_OS_SyntheticOilSales_1</vt:lpstr>
      <vt:lpstr>z_Z99BO00122_MO_OS_TCO10percentmidyearannualdiscountfortimingofestimatedcashflows</vt:lpstr>
      <vt:lpstr>z_Z99BO00122_MO_OS_TCOAccretionexpense</vt:lpstr>
      <vt:lpstr>z_Z99BO00122_MO_OS_TCOAccumulatedprovisions</vt:lpstr>
      <vt:lpstr>z_Z99BO00122_MO_OS_TCOAverageproductioncosts</vt:lpstr>
      <vt:lpstr>z_Z99BO00122_MO_OS_TCOCrudeaveragesalesprice</vt:lpstr>
      <vt:lpstr>z_Z99BO00122_MO_OS_TCOCrudeOilCondensateandSyntheticOilBoPReservesMMbbl</vt:lpstr>
      <vt:lpstr>z_Z99BO00122_MO_OS_TCOCrudeOilCondensateandSyntheticOilEoPReserves</vt:lpstr>
      <vt:lpstr>z_Z99BO00122_MO_OS_TCOCrudeOilCondensateandSyntheticOilExtensionsanddiscoveries</vt:lpstr>
      <vt:lpstr>z_Z99BO00122_MO_OS_TCOCrudeOilCondensateandSyntheticOilImprovedrecovery</vt:lpstr>
      <vt:lpstr>z_Z99BO00122_MO_OS_TCOCrudeOilCondensateandSyntheticOilProduction</vt:lpstr>
      <vt:lpstr>z_Z99BO00122_MO_OS_TCOCrudeOilCondensateandSyntheticOilPurchases</vt:lpstr>
      <vt:lpstr>z_Z99BO00122_MO_OS_TCOCrudeOilCondensateandSyntheticOilRevisions</vt:lpstr>
      <vt:lpstr>z_Z99BO00122_MO_OS_TCOCrudeOilCondensateandSyntheticOilSales</vt:lpstr>
      <vt:lpstr>z_Z99BO00122_MO_OS_TCOCrudeOilCondensateProvedDevelopedReserves</vt:lpstr>
      <vt:lpstr>z_Z99BO00122_MO_OS_TCOCrudeOilCondensateProvedUndevelopedReserves</vt:lpstr>
      <vt:lpstr>z_Z99BO00122_MO_OS_TCODeferredexploratorywells</vt:lpstr>
      <vt:lpstr>z_Z99BO00122_MO_OS_TCODepreciationanddepletion</vt:lpstr>
      <vt:lpstr>z_Z99BO00122_MO_OS_TCODevelopment</vt:lpstr>
      <vt:lpstr>z_Z99BO00122_MO_OS_TCOExplorationexpenses</vt:lpstr>
      <vt:lpstr>z_Z99BO00122_MO_OS_TCOFuturecashinflowsfromproduction</vt:lpstr>
      <vt:lpstr>z_Z99BO00122_MO_OS_TCOFuturedevelopmentcosts</vt:lpstr>
      <vt:lpstr>z_Z99BO00122_MO_OS_TCOFutureincometaxes</vt:lpstr>
      <vt:lpstr>z_Z99BO00122_MO_OS_TCOFutureproductioncosts</vt:lpstr>
      <vt:lpstr>z_Z99BO00122_MO_OS_TCOGeologicalandgeophysical</vt:lpstr>
      <vt:lpstr>z_Z99BO00122_MO_OS_TCOGrossCapitalizedCosts</vt:lpstr>
      <vt:lpstr>z_Z99BO00122_MO_OS_TCOIncometaxexpensebenefit</vt:lpstr>
      <vt:lpstr>z_Z99BO00122_MO_OS_TCONaturalgasaveragesalesprice</vt:lpstr>
      <vt:lpstr>z_Z99BO00122_MO_OS_TCONaturalGasBoPReserves</vt:lpstr>
      <vt:lpstr>z_Z99BO00122_MO_OS_TCONaturalGasEoPReserves</vt:lpstr>
      <vt:lpstr>z_Z99BO00122_MO_OS_TCONaturalGasExtensionsanddiscoveries</vt:lpstr>
      <vt:lpstr>z_Z99BO00122_MO_OS_TCONaturalGasImprovedrecovery</vt:lpstr>
      <vt:lpstr>z_Z99BO00122_MO_OS_TCONaturalgasliquidsaveragesalesprice</vt:lpstr>
      <vt:lpstr>z_Z99BO00122_MO_OS_TCONaturalGasProduction</vt:lpstr>
      <vt:lpstr>z_Z99BO00122_MO_OS_TCONaturalGasProvedDevelopedReserves</vt:lpstr>
      <vt:lpstr>z_Z99BO00122_MO_OS_TCONaturalGasProvedUndevelopedReserves</vt:lpstr>
      <vt:lpstr>z_Z99BO00122_MO_OS_TCONaturalGasPurchases</vt:lpstr>
      <vt:lpstr>z_Z99BO00122_MO_OS_TCONaturalGasRevisions</vt:lpstr>
      <vt:lpstr>z_Z99BO00122_MO_OS_TCONaturalGasSales</vt:lpstr>
      <vt:lpstr>z_Z99BO00122_MO_OS_TCONetCapitalizedCosts</vt:lpstr>
      <vt:lpstr>z_Z99BO00122_MO_OS_TCONGLBoPReserves</vt:lpstr>
      <vt:lpstr>z_Z99BO00122_MO_OS_TCONGLEoPReserves</vt:lpstr>
      <vt:lpstr>z_Z99BO00122_MO_OS_TCONGLExtensionsanddiscoveries</vt:lpstr>
      <vt:lpstr>z_Z99BO00122_MO_OS_TCONGLImprovedrecovery</vt:lpstr>
      <vt:lpstr>z_Z99BO00122_MO_OS_TCONGLProduction</vt:lpstr>
      <vt:lpstr>z_Z99BO00122_MO_OS_TCONGLProvedDevelopedReserves</vt:lpstr>
      <vt:lpstr>z_Z99BO00122_MO_OS_TCONGLProvedUndevelopedReserves</vt:lpstr>
      <vt:lpstr>z_Z99BO00122_MO_OS_TCONGLPurchases</vt:lpstr>
      <vt:lpstr>z_Z99BO00122_MO_OS_TCONGLRevisions</vt:lpstr>
      <vt:lpstr>z_Z99BO00122_MO_OS_TCONGLSales</vt:lpstr>
      <vt:lpstr>z_Z99BO00122_MO_OS_TCOOther</vt:lpstr>
      <vt:lpstr>z_Z99BO00122_MO_OS_TCOOtherincomeloss</vt:lpstr>
      <vt:lpstr>z_Z99BO00122_MO_OS_TCOOtheruncompletedprojects</vt:lpstr>
      <vt:lpstr>z_Z99BO00122_MO_OS_TCOProductionexpensesexcludingtaxes</vt:lpstr>
      <vt:lpstr>z_Z99BO00122_MO_OS_Company2625</vt:lpstr>
      <vt:lpstr>z_Z99BO00122_MO_OS_TCOProvedOther</vt:lpstr>
      <vt:lpstr>z_Z99BO00122_MO_OS_TCOProvedproducingpropertiesDepreciationanddepletion</vt:lpstr>
      <vt:lpstr>z_Z99BO00122_MO_OS_TCOProvedpropertiesandrelatedproducingassets</vt:lpstr>
      <vt:lpstr>z_Z99BO00122_MO_OS_TCOResultsbeforeincometaxes</vt:lpstr>
      <vt:lpstr>z_Z99BO00122_MO_OS_TCOResultsofProducingOperations</vt:lpstr>
      <vt:lpstr>z_Z99BO00122_MO_OS_TCOSalesrevenuesfromnetproduction</vt:lpstr>
      <vt:lpstr>z_Z99BO00122_MO_OS_TCOStandardizedMeasureNetCashFlows</vt:lpstr>
      <vt:lpstr>z_Z99BO00122_MO_OS_TCOSupportequipment</vt:lpstr>
      <vt:lpstr>z_Z99BO00122_MO_OS_TCOSupportequipmentdepreciation</vt:lpstr>
      <vt:lpstr>z_Z99BO00122_MO_OS_TCOSyntheticOilProvedDevelopedReserves</vt:lpstr>
      <vt:lpstr>z_Z99BO00122_MO_OS_TCOSyntheticOilProvedUndevelopedReserves</vt:lpstr>
      <vt:lpstr>z_Z99BO00122_MO_OS_TCOTaxesotherthanonincome</vt:lpstr>
      <vt:lpstr>z_Z99BO00122_MO_OS_TCOTotalCostsIncurred</vt:lpstr>
      <vt:lpstr>z_Z99BO00122_MO_OS_TCOTotalexploration</vt:lpstr>
      <vt:lpstr>z_Z99BO00122_MO_OS_TCOTotalpropertyacquisitions</vt:lpstr>
      <vt:lpstr>z_Z99BO00122_MO_OS_TCOTotalRevenuesfromnetproduction</vt:lpstr>
      <vt:lpstr>z_Z99BO00122_MO_OS_TCOTransfersrevenuesfromnetproduction</vt:lpstr>
      <vt:lpstr>z_Z99BO00122_MO_OS_TCOUndiscountedfuturenetcashflows</vt:lpstr>
      <vt:lpstr>z_Z99BO00122_MO_OS_Company2626</vt:lpstr>
      <vt:lpstr>z_Z99BO00122_MO_OS_TCOUnprovedOther</vt:lpstr>
      <vt:lpstr>z_Z99BO00122_MO_OS_TCOUnprovedproperties</vt:lpstr>
      <vt:lpstr>z_Z99BO00122_MO_OS_TCOUnprovedpropertiesvaluation</vt:lpstr>
      <vt:lpstr>z_Z99BO00122_MO_OS_TCOUnprovedpropertiesvaluation_1</vt:lpstr>
      <vt:lpstr>z_Z99BO00122_MO_OS_TCOWells</vt:lpstr>
      <vt:lpstr>z_Z99BO00122_MO_OS_thailand</vt:lpstr>
      <vt:lpstr>z_Z99BO00122_MO_OS_thailandmaptaphut64interestcrudethroughput</vt:lpstr>
      <vt:lpstr>z_Z99BO00122_MO_OS_thailandmaptaphutcrudethroughput</vt:lpstr>
      <vt:lpstr>z_Z99BO00122_MO_OS_TotalAccretionexpense</vt:lpstr>
      <vt:lpstr>z_Z99BO00122_MO_OS_TotalAccumulatedprovisions</vt:lpstr>
      <vt:lpstr>z_Z99BO00122_MO_OS_TotalAffiliatedCompaniesCrudeOilCondensateProvedDevelopedReserves</vt:lpstr>
      <vt:lpstr>z_Z99BO00122_MO_OS_TotalAffiliatedCompaniesCrudeOilCondensateProvedUndevelopedReserves</vt:lpstr>
      <vt:lpstr>z_Z99BO00122_MO_OS_TotalAffiliatedCompaniesNaturalGasProvedDevelopedReserves</vt:lpstr>
      <vt:lpstr>z_Z99BO00122_MO_OS_TotalAffiliatedCompaniesNaturalGasProvedUndevelopedReserves</vt:lpstr>
      <vt:lpstr>z_Z99BO00122_MO_OS_TotalAffiliatedCompaniesNGLProvedDevelopedReserves</vt:lpstr>
      <vt:lpstr>z_Z99BO00122_MO_OS_TotalAffiliatedCompaniesNGLProvedUndevelopedReserves</vt:lpstr>
      <vt:lpstr>z_Z99BO00122_MO_OS_TotalAffiliatedCompaniesSyntheticOilProvedDevelopedReserves</vt:lpstr>
      <vt:lpstr>z_Z99BO00122_MO_OS_TotalAffiliatedCompaniesSyntheticOilProvedUndevelopedReserves</vt:lpstr>
      <vt:lpstr>z_Z99BO00122_MO_OS_Totalallotherrevenues</vt:lpstr>
      <vt:lpstr>z_Z99BO00122_MO_OS_Totalaveragedailyproductionvolumes</vt:lpstr>
      <vt:lpstr>z_Z99BO00122_MO_OS_TotalAverageproductioncosts</vt:lpstr>
      <vt:lpstr>z_Z99BO00122_MO_OS_TotalConsolidatedandAffiliatedCompanies10percentmidyearannualdiscountfortimingofestimatedcashflows</vt:lpstr>
      <vt:lpstr>z_Z99BO00122_MO_OS_TotalConsolidatedandAffiliatedCompaniesAccretionofdiscount</vt:lpstr>
      <vt:lpstr>z_Z99BO00122_MO_OS_TotalConsolidatedandAffiliatedCompaniesBoPPresentValue</vt:lpstr>
      <vt:lpstr>z_Z99BO00122_MO_OS_TotalConsolidatedandAffiliatedCompaniesCrudeOilCondensateandSyntheticOilBoPReservesMMbbl</vt:lpstr>
      <vt:lpstr>z_Z99BO00122_MO_OS_TotalConsolidatedandAffiliatedCompaniesCrudeOilCondensateandSyntheticOilEoPReserves</vt:lpstr>
      <vt:lpstr>z_Z99BO00122_MO_OS_TotalConsolidatedandAffiliatedCompaniesCrudeOilCondensateandSyntheticOilExtensionsanddiscoveries</vt:lpstr>
      <vt:lpstr>z_Z99BO00122_MO_OS_TotalConsolidatedandAffiliatedCompaniesCrudeOilCondensateandSyntheticOilImprovedrecovery</vt:lpstr>
      <vt:lpstr>z_Z99BO00122_MO_OS_TotalConsolidatedandAffiliatedCompaniesCrudeOilCondensateandSyntheticOilProduction</vt:lpstr>
      <vt:lpstr>z_Z99BO00122_MO_OS_TotalConsolidatedandAffiliatedCompaniesCrudeOilCondensateandSyntheticOilPurchases</vt:lpstr>
      <vt:lpstr>z_Z99BO00122_MO_OS_TotalConsolidatedandAffiliatedCompaniesCrudeOilCondensateandSyntheticOilRevisions</vt:lpstr>
      <vt:lpstr>z_Z99BO00122_MO_OS_TotalConsolidatedandAffiliatedCompaniesCrudeOilCondensateandSyntheticOilSales</vt:lpstr>
      <vt:lpstr>z_Z99BO00122_MO_OS_TotalConsolidatedandAffiliatedCompaniesCrudeOilCondensateProvedDevelopedReserves</vt:lpstr>
      <vt:lpstr>z_Z99BO00122_MO_OS_TotalConsolidatedandAffiliatedCompaniesCrudeOilCondensateProvedUndevelopedReserves</vt:lpstr>
      <vt:lpstr>z_Z99BO00122_MO_OS_TotalConsolidatedandAffiliatedCompaniesDevelopmentcostsincurred</vt:lpstr>
      <vt:lpstr>z_Z99BO00122_MO_OS_TotalConsolidatedandAffiliatedCompaniesEoPPresentValue</vt:lpstr>
      <vt:lpstr>z_Z99BO00122_MO_OS_TotalConsolidatedandAffiliatedCompaniesExtensionsdiscoveriesandimprovedrecoverylessrelatedcosts</vt:lpstr>
      <vt:lpstr>z_Z99BO00122_MO_OS_TotalConsolidatedandAffiliatedCompaniesFuturecashinflowsfromproduction</vt:lpstr>
      <vt:lpstr>z_Z99BO00122_MO_OS_TotalConsolidatedandAffiliatedCompaniesFuturedevelopmentcosts</vt:lpstr>
      <vt:lpstr>z_Z99BO00122_MO_OS_TotalConsolidatedandAffiliatedCompaniesFutureincometaxes</vt:lpstr>
      <vt:lpstr>z_Z99BO00122_MO_OS_TotalConsolidatedandAffiliatedCompaniesFutureproductioncosts</vt:lpstr>
      <vt:lpstr>z_Z99BO00122_MO_OS_TotalConsolidatedandAffiliatedCompaniesNaturalGasBoPReserves</vt:lpstr>
      <vt:lpstr>z_Z99BO00122_MO_OS_TotalConsolidatedandAffiliatedCompaniesNaturalGasEoPReserves</vt:lpstr>
      <vt:lpstr>z_Z99BO00122_MO_OS_TotalConsolidatedandAffiliatedCompaniesNaturalGasExtensionsanddiscoveries</vt:lpstr>
      <vt:lpstr>z_Z99BO00122_MO_OS_TotalConsolidatedandAffiliatedCompaniesNaturalGasImprovedrecovery</vt:lpstr>
      <vt:lpstr>z_Z99BO00122_MO_OS_TotalConsolidatedandAffiliatedCompaniesNaturalGasProduction</vt:lpstr>
      <vt:lpstr>z_Z99BO00122_MO_OS_TotalConsolidatedandAffiliatedCompaniesNaturalGasProvedDevelopedReserves</vt:lpstr>
      <vt:lpstr>z_Z99BO00122_MO_OS_TotalConsolidatedandAffiliatedCompaniesNaturalGasProvedUndevelopedReserves</vt:lpstr>
      <vt:lpstr>z_Z99BO00122_MO_OS_TotalConsolidatedandAffiliatedCompaniesNaturalGasPurchases</vt:lpstr>
      <vt:lpstr>z_Z99BO00122_MO_OS_TotalConsolidatedandAffiliatedCompaniesNaturalGasRevisions</vt:lpstr>
      <vt:lpstr>z_Z99BO00122_MO_OS_TotalConsolidatedandAffiliatedCompaniesNaturalGasSales</vt:lpstr>
      <vt:lpstr>z_Z99BO00122_MO_OS_TotalConsolidatedandAffiliatedCompaniesNetChange_2</vt:lpstr>
      <vt:lpstr>z_Z99BO00122_MO_OS_TotalConsolidatedandAffiliatedCompaniesNetchangeinincometax</vt:lpstr>
      <vt:lpstr>z_Z99BO00122_MO_OS_TotalConsolidatedandAffiliatedCompaniesNetchangesinpricesdevelopmentandproductioncosts</vt:lpstr>
      <vt:lpstr>z_Z99BO00122_MO_OS_TotalConsolidatedandAffiliatedCompaniesNGLBoPReserves</vt:lpstr>
      <vt:lpstr>z_Z99BO00122_MO_OS_TotalConsolidatedandAffiliatedCompaniesNGLEoPReserves</vt:lpstr>
      <vt:lpstr>z_Z99BO00122_MO_OS_TotalConsolidatedandAffiliatedCompaniesNGLExtensionsanddiscoveries</vt:lpstr>
      <vt:lpstr>z_Z99BO00122_MO_OS_TotalConsolidatedandAffiliatedCompaniesNGLImprovedrecovery</vt:lpstr>
      <vt:lpstr>z_Z99BO00122_MO_OS_TotalConsolidatedandAffiliatedCompaniesNGLProduction</vt:lpstr>
      <vt:lpstr>z_Z99BO00122_MO_OS_TotalConsolidatedandAffiliatedCompaniesNGLProvedDevelopedReserves</vt:lpstr>
      <vt:lpstr>z_Z99BO00122_MO_OS_TotalConsolidatedandAffiliatedCompaniesNGLProvedUndevelopedReserves</vt:lpstr>
      <vt:lpstr>z_Z99BO00122_MO_OS_TotalConsolidatedandAffiliatedCompaniesNGLPurchases</vt:lpstr>
      <vt:lpstr>z_Z99BO00122_MO_OS_TotalConsolidatedandAffiliatedCompaniesNGLRevisions</vt:lpstr>
      <vt:lpstr>z_Z99BO00122_MO_OS_TotalConsolidatedandAffiliatedCompaniesNGLSales</vt:lpstr>
      <vt:lpstr>z_Z99BO00122_MO_OS_TotalConsolidatedandAffiliatedCompaniesPurchasesofreserves</vt:lpstr>
      <vt:lpstr>z_Z99BO00122_MO_OS_TotalConsolidatedandAffiliatedCompaniesRevisionsofpreviousquantityestimates</vt:lpstr>
      <vt:lpstr>z_Z99BO00122_MO_OS_TotalConsolidatedandAffiliatedCompaniesSalesandtransfersofoilandgasproducednetofproductioncosts</vt:lpstr>
      <vt:lpstr>z_Z99BO00122_MO_OS_TotalConsolidatedandAffiliatedCompaniesSalesofreserves</vt:lpstr>
      <vt:lpstr>z_Z99BO00122_MO_OS_TotalConsolidatedandAffiliatedCompaniesStandardizedMeasureNetCashFlows</vt:lpstr>
      <vt:lpstr>z_Z99BO00122_MO_OS_TotalConsolidatedandAffiliatedCompaniesSyntheticOilProvedDevelopedReserves</vt:lpstr>
      <vt:lpstr>z_Z99BO00122_MO_OS_TotalConsolidatedandAffiliatedCompaniesSyntheticOilProvedUndevelopedReserves</vt:lpstr>
      <vt:lpstr>z_Z99BO00122_MO_OS_TotalConsolidatedandAffiliatedCompaniesUndiscountedfuturenetcashflows</vt:lpstr>
      <vt:lpstr>z_Z99BO00122_MO_OS_TotalConsolidatedCompanies10percentmidyearannualdiscountfortimingofestimatedcashflows</vt:lpstr>
      <vt:lpstr>z_Z99BO00122_MO_OS_TotalConsolidatedCompaniesCrudeOilCondensateandSyntheticOilBoPReservesMMbbl</vt:lpstr>
      <vt:lpstr>z_Z99BO00122_MO_OS_TotalConsolidatedCompaniesCrudeOilCondensateandSyntheticOilEoPReserves</vt:lpstr>
      <vt:lpstr>z_Z99BO00122_MO_OS_TotalConsolidatedCompaniesCrudeOilCondensateandSyntheticOilExtensionsanddiscoveries</vt:lpstr>
      <vt:lpstr>z_Z99BO00122_MO_OS_TotalConsolidatedCompaniesCrudeOilCondensateandSyntheticOilImprovedrecovery</vt:lpstr>
      <vt:lpstr>z_Z99BO00122_MO_OS_TotalConsolidatedCompaniesCrudeOilCondensateandSyntheticOilProduction</vt:lpstr>
      <vt:lpstr>z_Z99BO00122_MO_OS_TotalConsolidatedCompaniesCrudeOilCondensateandSyntheticOilPurchases</vt:lpstr>
      <vt:lpstr>z_Z99BO00122_MO_OS_TotalConsolidatedCompaniesCrudeOilCondensateandSyntheticOilRevisions</vt:lpstr>
      <vt:lpstr>z_Z99BO00122_MO_OS_TotalConsolidatedCompaniesCrudeOilCondensateandSyntheticOilSales</vt:lpstr>
      <vt:lpstr>z_Z99BO00122_MO_OS_TotalConsolidatedCompaniesCrudeOilCondensateProvedDevelopedReserves</vt:lpstr>
      <vt:lpstr>z_Z99BO00122_MO_OS_TotalConsolidatedCompaniesCrudeOilCondensateProvedUndevelopedReserves</vt:lpstr>
      <vt:lpstr>z_Z99BO00122_MO_OS_TotalConsolidatedCompaniesFuturecashinflowsfromproduction</vt:lpstr>
      <vt:lpstr>z_Z99BO00122_MO_OS_TotalConsolidatedCompaniesFuturedevelopmentcosts</vt:lpstr>
      <vt:lpstr>z_Z99BO00122_MO_OS_TotalConsolidatedCompaniesFutureincometaxes</vt:lpstr>
      <vt:lpstr>z_Z99BO00122_MO_OS_TotalConsolidatedCompaniesFutureproductioncosts</vt:lpstr>
      <vt:lpstr>z_Z99BO00122_MO_OS_TotalConsolidatedCompaniesGrossGasWells</vt:lpstr>
      <vt:lpstr>z_Z99BO00122_MO_OS_TotalConsolidatedCompaniesGrossOilWells</vt:lpstr>
      <vt:lpstr>z_Z99BO00122_MO_OS_TotalConsolidatedCompaniesNaturalGasBoPReserves</vt:lpstr>
      <vt:lpstr>z_Z99BO00122_MO_OS_TotalConsolidatedCompaniesNaturalGasEoPReserves</vt:lpstr>
      <vt:lpstr>z_Z99BO00122_MO_OS_TotalConsolidatedCompaniesNaturalGasExtensionsanddiscoveries</vt:lpstr>
      <vt:lpstr>z_Z99BO00122_MO_OS_TotalConsolidatedCompaniesNaturalGasImprovedrecovery</vt:lpstr>
      <vt:lpstr>z_Z99BO00122_MO_OS_TotalConsolidatedCompaniesNaturalGasProduction</vt:lpstr>
      <vt:lpstr>z_Z99BO00122_MO_OS_TotalConsolidatedCompaniesNaturalGasProvedDevelopedReserves</vt:lpstr>
      <vt:lpstr>z_Z99BO00122_MO_OS_TotalConsolidatedCompaniesNaturalGasProvedUndevelopedReserves</vt:lpstr>
      <vt:lpstr>z_Z99BO00122_MO_OS_TotalConsolidatedCompaniesNaturalGasPurchases</vt:lpstr>
      <vt:lpstr>z_Z99BO00122_MO_OS_TotalConsolidatedCompaniesNaturalGasRevisions</vt:lpstr>
      <vt:lpstr>z_Z99BO00122_MO_OS_TotalConsolidatedCompaniesNaturalGasSales</vt:lpstr>
      <vt:lpstr>z_Z99BO00122_MO_OS_TotalConsolidatedCompaniesNetGasWells</vt:lpstr>
      <vt:lpstr>z_Z99BO00122_MO_OS_TotalConsolidatedCompaniesNetOilWells</vt:lpstr>
      <vt:lpstr>z_Z99BO00122_MO_OS_TotalConsolidatedCompaniesNGLBoPReserves</vt:lpstr>
      <vt:lpstr>z_Z99BO00122_MO_OS_TotalConsolidatedCompaniesNGLEoPReserves</vt:lpstr>
      <vt:lpstr>z_Z99BO00122_MO_OS_TotalConsolidatedCompaniesNGLExtensionsanddiscoveries</vt:lpstr>
      <vt:lpstr>z_Z99BO00122_MO_OS_TotalConsolidatedCompaniesNGLImprovedrecovery</vt:lpstr>
      <vt:lpstr>z_Z99BO00122_MO_OS_TotalConsolidatedCompaniesNGLProduction</vt:lpstr>
      <vt:lpstr>z_Z99BO00122_MO_OS_TotalConsolidatedCompaniesNGLProvedDevelopedReserves</vt:lpstr>
      <vt:lpstr>z_Z99BO00122_MO_OS_TotalConsolidatedCompaniesNGLProvedUndevelopedReserves</vt:lpstr>
      <vt:lpstr>z_Z99BO00122_MO_OS_TotalConsolidatedCompaniesNGLPurchases</vt:lpstr>
      <vt:lpstr>z_Z99BO00122_MO_OS_TotalConsolidatedCompaniesNGLRevisions</vt:lpstr>
      <vt:lpstr>z_Z99BO00122_MO_OS_TotalConsolidatedCompaniesNGLSales</vt:lpstr>
      <vt:lpstr>z_Z99BO00122_MO_OS_TotalConsolidatedCompaniesStandardizedMeasureNetCashFlows</vt:lpstr>
      <vt:lpstr>z_Z99BO00122_MO_OS_TotalConsolidatedCompaniesSyntheticOilProvedDevelopedReserves</vt:lpstr>
      <vt:lpstr>z_Z99BO00122_MO_OS_TotalConsolidatedCompaniesSyntheticOilProvedUndevelopedReserves</vt:lpstr>
      <vt:lpstr>z_Z99BO00122_MO_OS_TotalConsolidatedCompaniesUndiscountedfuturenetcashflows</vt:lpstr>
      <vt:lpstr>z_Z99BO00122_MO_OS_TotalCostsIncurred</vt:lpstr>
      <vt:lpstr>z_Z99BO00122_MO_OS_TotalCrudeaveragesalesprice</vt:lpstr>
      <vt:lpstr>z_Z99BO00122_MO_OS_TotalCrudeOilCondensateProvedReserves</vt:lpstr>
      <vt:lpstr>z_Z99BO00122_MO_OS_TotalCrudeOilProduction</vt:lpstr>
      <vt:lpstr>z_Z99BO00122_MO_OS_TotalDeferredexploratorywells</vt:lpstr>
      <vt:lpstr>z_Z99BO00122_MO_OS_TotalDepreciationanddepletion</vt:lpstr>
      <vt:lpstr>z_Z99BO00122_MO_OS_TotalDevelopment</vt:lpstr>
      <vt:lpstr>z_Z99BO00122_MO_OS_TotaldilutedcommonstockoutstandingEoP</vt:lpstr>
      <vt:lpstr>z_Z99BO00122_MO_OS_totaldownstreamearnings</vt:lpstr>
      <vt:lpstr>z_Z99BO00122_MO_OS_totaldownstreamrevenue</vt:lpstr>
      <vt:lpstr>z_Z99BO00122_MO_OS_Totalearnings</vt:lpstr>
      <vt:lpstr>z_Z99BO00122_MO_OS_Totalemployees</vt:lpstr>
      <vt:lpstr>z_Z99BO00122_MO_OS_Totalexploration</vt:lpstr>
      <vt:lpstr>z_Z99BO00122_MO_OS_TotalExplorationexpenses</vt:lpstr>
      <vt:lpstr>z_Z99BO00122_MO_OS_TotalGeologicalandgeophysical</vt:lpstr>
      <vt:lpstr>z_Z99BO00122_MO_OS_TotalGrossCapitalizedCosts</vt:lpstr>
      <vt:lpstr>z_Z99BO00122_MO_OS_TotalGrossWells</vt:lpstr>
      <vt:lpstr>z_Z99BO00122_MO_OS_totalimpliedupstreamrevenue</vt:lpstr>
      <vt:lpstr>z_Z99BO00122_MO_OS_TotalIncometaxexpensebenefit</vt:lpstr>
      <vt:lpstr>z_Z99BO00122_MO_OS_totalinternationalconsolidatedcrudethroughput</vt:lpstr>
      <vt:lpstr>z_Z99BO00122_MO_OS_totalinternationalcrudethroughput</vt:lpstr>
      <vt:lpstr>z_Z99BO00122_MO_OS_TotalInternationalEquityShareinAffiliatescrudethroughput</vt:lpstr>
      <vt:lpstr>z_Z99BO00122_MO_OS_totalinternationalproduction</vt:lpstr>
      <vt:lpstr>z_Z99BO00122_MO_OS_TotalInternationalproduction_1</vt:lpstr>
      <vt:lpstr>z_Z99BO00122_MO_OS_totalinternationalsales</vt:lpstr>
      <vt:lpstr>z_Z99BO00122_MO_OS_TotalInternationalsales_1</vt:lpstr>
      <vt:lpstr>z_Z99BO00122_MO_OS_TotalNaturalgasaveragesalesprice</vt:lpstr>
      <vt:lpstr>z_Z99BO00122_MO_OS_TotalNaturalgasliquidsaveragesalesprice</vt:lpstr>
      <vt:lpstr>z_Z99BO00122_MO_OS_TotalNaturalGasProvedReserves</vt:lpstr>
      <vt:lpstr>z_Z99BO00122_MO_OS_totalnaturalgassales</vt:lpstr>
      <vt:lpstr>z_Z99BO00122_MO_OS_TotalNetCapitalizedCosts</vt:lpstr>
      <vt:lpstr>z_Z99BO00122_MO_OS_TotalNetWells</vt:lpstr>
      <vt:lpstr>z_Z99BO00122_MO_OS_TotalNGLproduction</vt:lpstr>
      <vt:lpstr>z_Z99BO00122_MO_OS_TotalNGLProvedReserves</vt:lpstr>
      <vt:lpstr>z_Z99BO00122_MO_OS_TotalOther</vt:lpstr>
      <vt:lpstr>z_Z99BO00122_MO_OS_TotalOtherincomeloss</vt:lpstr>
      <vt:lpstr>z_Z99BO00122_MO_OS_TotalOtheruncompletedprojects</vt:lpstr>
      <vt:lpstr>z_Z99BO00122_MO_OS_TotalProductionexpensesexcludingtaxes</vt:lpstr>
      <vt:lpstr>z_Z99BO00122_MO_OS_TotalProductionVolumeGrowth</vt:lpstr>
      <vt:lpstr>z_Z99BO00122_MO_OS_Totalproductionvolumes</vt:lpstr>
      <vt:lpstr>z_Z99BO00122_MO_OS_Totalpropertyacquisitions</vt:lpstr>
      <vt:lpstr>z_Z99BO00122_MO_OS_TotalProvedNoble</vt:lpstr>
      <vt:lpstr>z_Z99BO00122_MO_OS_TotalProvedOther</vt:lpstr>
      <vt:lpstr>z_Z99BO00122_MO_OS_TotalProvedproducingpropertiesDepreciationanddepletion</vt:lpstr>
      <vt:lpstr>z_Z99BO00122_MO_OS_TotalProvedpropertiesandrelatedproducingassets</vt:lpstr>
      <vt:lpstr>z_Z99BO00122_MO_OS_TotalResultsbeforeincometaxes</vt:lpstr>
      <vt:lpstr>z_Z99BO00122_MO_OS_TotalResultsofProducingOperations</vt:lpstr>
      <vt:lpstr>z_Z99BO00122_MO_OS_TotalRevenuesfromnetproduction</vt:lpstr>
      <vt:lpstr>z_Z99BO00122_MO_OS_TotalSalesandotheroperatingrevenue</vt:lpstr>
      <vt:lpstr>z_Z99BO00122_MO_OS_TotalSalesrevenuesfromnetproduction</vt:lpstr>
      <vt:lpstr>z_Z99BO00122_MO_OS_TotalSupportequipment</vt:lpstr>
      <vt:lpstr>z_Z99BO00122_MO_OS_TotalSupportequipmentdepreciation</vt:lpstr>
      <vt:lpstr>z_Z99BO00122_MO_OS_TotalSyntheticOilProvedReserves</vt:lpstr>
      <vt:lpstr>z_Z99BO00122_MO_OS_TotalTaxesotherthanonincome</vt:lpstr>
      <vt:lpstr>z_Z99BO00122_MO_OS_TotalTransfersrevenuesfromnetproduction</vt:lpstr>
      <vt:lpstr>z_Z99BO00122_MO_OS_totalunitedstatesconsolidatedcrudethroughput</vt:lpstr>
      <vt:lpstr>z_Z99BO00122_MO_OS_totalunitedstatesproduction</vt:lpstr>
      <vt:lpstr>z_Z99BO00122_MO_OS_TotalUnitedStatesproduction_1</vt:lpstr>
      <vt:lpstr>z_Z99BO00122_MO_OS_totalunitedstatessales</vt:lpstr>
      <vt:lpstr>z_Z99BO00122_MO_OS_TotalUnitedStatessales_1</vt:lpstr>
      <vt:lpstr>z_Z99BO00122_MO_OS_TotalUnprovedNoble</vt:lpstr>
      <vt:lpstr>z_Z99BO00122_MO_OS_TotalUnprovedOther</vt:lpstr>
      <vt:lpstr>z_Z99BO00122_MO_OS_TotalUnprovedproperties</vt:lpstr>
      <vt:lpstr>z_Z99BO00122_MO_OS_TotalUnprovedpropertiesvaluation</vt:lpstr>
      <vt:lpstr>z_Z99BO00122_MO_OS_TotalUnprovedpropertiesvaluation_1</vt:lpstr>
      <vt:lpstr>z_Z99BO00122_MO_OS_totalupstreamrevenues</vt:lpstr>
      <vt:lpstr>z_Z99BO00122_MO_OS_TotalWells</vt:lpstr>
      <vt:lpstr>z_Z99BO00122_MO_OS_totalworldwidecrudethroughput</vt:lpstr>
      <vt:lpstr>z_Z99BO00122_MO_OS_totalworldwideproduction</vt:lpstr>
      <vt:lpstr>z_Z99BO00122_MO_OS_TotalWorldwideproduction_1</vt:lpstr>
      <vt:lpstr>z_Z99BO00122_MO_OS_TotalWorldwiderefiningcapacity</vt:lpstr>
      <vt:lpstr>z_Z99BO00122_MO_OS_totalworldwidesales</vt:lpstr>
      <vt:lpstr>z_Z99BO00122_MO_OS_TotalWorldwidesales_1</vt:lpstr>
      <vt:lpstr>z_Z99BO00122_MO_OS_TreasurystockEoP</vt:lpstr>
      <vt:lpstr>z_Z99BO00122_MO_OS_unitedkingdompembrokecrudethroughput</vt:lpstr>
      <vt:lpstr>z_Z99BO00122_MO_OS_unitedstates</vt:lpstr>
      <vt:lpstr>z_Z99BO00122_MO_OS_UnitedStatesFueloilproduction</vt:lpstr>
      <vt:lpstr>z_Z99BO00122_MO_OS_UnitedStatesGasOilandKerosenesales</vt:lpstr>
      <vt:lpstr>z_Z99BO00122_MO_OS_UnitedStatesGasoilproduction</vt:lpstr>
      <vt:lpstr>z_Z99BO00122_MO_OS_UnitedStatesGasolineproduction</vt:lpstr>
      <vt:lpstr>z_Z99BO00122_MO_OS_UnitedStatesGasolinesales</vt:lpstr>
      <vt:lpstr>z_Z99BO00122_MO_OS_UnitedStatesGrossGasWells</vt:lpstr>
      <vt:lpstr>z_Z99BO00122_MO_OS_UnitedStatesGrossOilWells</vt:lpstr>
      <vt:lpstr>z_Z99BO00122_MO_OS_UnitedStatesJetfuelproduction</vt:lpstr>
      <vt:lpstr>z_Z99BO00122_MO_OS_UnitedStatesJetFuelsales</vt:lpstr>
      <vt:lpstr>z_Z99BO00122_MO_OS_UnitedStatesNetGasWells</vt:lpstr>
      <vt:lpstr>z_Z99BO00122_MO_OS_UnitedStatesNetOilWells</vt:lpstr>
      <vt:lpstr>z_Z99BO00122_MO_OS_UnitedStatesOtherPetroleumProductssales</vt:lpstr>
      <vt:lpstr>z_Z99BO00122_MO_OS_UnitedStatesOtherproduction</vt:lpstr>
      <vt:lpstr>z_Z99BO00122_MO_OS_UnitedStatesResidualFueloilsales</vt:lpstr>
      <vt:lpstr>z_Z99BO00122_MO_OS_UpstreamAdjustedEarnings</vt:lpstr>
      <vt:lpstr>z_Z99BO00122_MO_OS_Upstreamdepreciationanddepletion</vt:lpstr>
      <vt:lpstr>z_Z99BO00122_MO_OS_UpstreamDepreciationandDepletion_1</vt:lpstr>
      <vt:lpstr>z_Z99BO00122_MO_OS_Upstreamearnings</vt:lpstr>
      <vt:lpstr>z_Z99BO00122_MO_OS_Upstreamearnings_1</vt:lpstr>
      <vt:lpstr>z_Z99BO00122_MO_OS_UpstreamInternationalAdjustedEarnings</vt:lpstr>
      <vt:lpstr>z_Z99BO00122_MO_OS_upstreaminternationalearnings</vt:lpstr>
      <vt:lpstr>z_Z99BO00122_MO_OS_Upstreamproductionexpensesexcludingtaxes</vt:lpstr>
      <vt:lpstr>z_Z99BO00122_MO_OS_Upstreamproductionexpensesexcludingtaxes_1</vt:lpstr>
      <vt:lpstr>z_Z99BO00122_MO_OS_upstreamrevenues</vt:lpstr>
      <vt:lpstr>z_Z99BO00122_MO_OS_Upstreamtaxesotherthanonincome</vt:lpstr>
      <vt:lpstr>z_Z99BO00122_MO_OS_Upstreamtaxesotherthanonincome_1</vt:lpstr>
      <vt:lpstr>z_Z99BO00122_MO_OS_upstreamtotalproductionvolumes</vt:lpstr>
      <vt:lpstr>z_Z99BO00122_MO_OS_UpstreamUSAdjustedEarnings</vt:lpstr>
      <vt:lpstr>z_Z99BO00122_MO_OS_upstreamusearnings</vt:lpstr>
      <vt:lpstr>z_Z99BO00122_MO_OS_US10percentmidyearannualdiscountfortimingofestimatedcashflows</vt:lpstr>
      <vt:lpstr>z_Z99BO00122_MO_OS_USAccretionexpense</vt:lpstr>
      <vt:lpstr>z_Z99BO00122_MO_OS_USAccumulatedprovisions</vt:lpstr>
      <vt:lpstr>z_Z99BO00122_MO_OS_USAverageproductioncosts</vt:lpstr>
      <vt:lpstr>z_Z99BO00122_MO_OS_USCrudeaveragesalesprice</vt:lpstr>
      <vt:lpstr>z_Z99BO00122_MO_OS_USCrudeOilCondensateandSyntheticOilBoPReserves</vt:lpstr>
      <vt:lpstr>z_Z99BO00122_MO_OS_USCrudeOilCondensateandSyntheticOilEoPReserves</vt:lpstr>
      <vt:lpstr>z_Z99BO00122_MO_OS_USCrudeOilCondensateandSyntheticOilExtensionsanddiscoveries</vt:lpstr>
      <vt:lpstr>z_Z99BO00122_MO_OS_USCrudeOilCondensateandSyntheticOilImprovedrecovery</vt:lpstr>
      <vt:lpstr>z_Z99BO00122_MO_OS_USCrudeOilCondensateandSyntheticOilProduction</vt:lpstr>
      <vt:lpstr>z_Z99BO00122_MO_OS_USCrudeOilCondensateandSyntheticOilPurchases</vt:lpstr>
      <vt:lpstr>z_Z99BO00122_MO_OS_USCrudeOilCondensateandSyntheticOilRevisions</vt:lpstr>
      <vt:lpstr>z_Z99BO00122_MO_OS_USCrudeOilCondensateandSyntheticOilSales</vt:lpstr>
      <vt:lpstr>z_Z99BO00122_MO_OS_USCrudeOilCondensateProvedDevelopedReserves</vt:lpstr>
      <vt:lpstr>z_Z99BO00122_MO_OS_USCrudeOilCondensateProvedUndevelopedReserves</vt:lpstr>
      <vt:lpstr>z_Z99BO00122_MO_OS_USDeferredexploratorywells</vt:lpstr>
      <vt:lpstr>z_Z99BO00122_MO_OS_USDepreciationanddepletion</vt:lpstr>
      <vt:lpstr>z_Z99BO00122_MO_OS_USDevelopment</vt:lpstr>
      <vt:lpstr>z_Z99BO00122_MO_OS_USDownstreamAdjustedEarnings</vt:lpstr>
      <vt:lpstr>z_Z99BO00122_MO_OS_usdownstreamearnings</vt:lpstr>
      <vt:lpstr>z_Z99BO00122_MO_OS_usdownstreamgasolinesales</vt:lpstr>
      <vt:lpstr>z_Z99BO00122_MO_OS_usdownstreamgasolinesales_1</vt:lpstr>
      <vt:lpstr>z_Z99BO00122_MO_OS_usdownstreamgasolineyield</vt:lpstr>
      <vt:lpstr>z_Z99BO00122_MO_OS_USdownstreamotherrefinedproductsales</vt:lpstr>
      <vt:lpstr>z_Z99BO00122_MO_OS_USdownstreamotherrefinedproductsales_1</vt:lpstr>
      <vt:lpstr>z_Z99BO00122_MO_OS_USdownstreamotherrefinedproductsyield</vt:lpstr>
      <vt:lpstr>z_Z99BO00122_MO_OS_usdownstreamrefineryinput</vt:lpstr>
      <vt:lpstr>z_Z99BO00122_MO_OS_usdownstreamrevenuegrossofeliminationsandincludingexciseandsimilartaxes</vt:lpstr>
      <vt:lpstr>z_Z99BO00122_MO_OS_usdownstreamrevenueperbarrelofrefinedproductsold</vt:lpstr>
      <vt:lpstr>z_Z99BO00122_MO_OS_usdownstreamsalesofnaturalgasliquids</vt:lpstr>
      <vt:lpstr>z_Z99BO00122_MO_OS_usdownstreamsalesofnaturalgasliquids_1</vt:lpstr>
      <vt:lpstr>z_Z99BO00122_MO_OS_usdownstreamtotalproductsales</vt:lpstr>
      <vt:lpstr>z_Z99BO00122_MO_OS_usdownstreamtotalrefinedproductsales</vt:lpstr>
      <vt:lpstr>z_Z99BO00122_MO_OS_USExplorationexpenses</vt:lpstr>
      <vt:lpstr>z_Z99BO00122_MO_OS_USFuturecashinflowsfromproduction</vt:lpstr>
      <vt:lpstr>z_Z99BO00122_MO_OS_USFuturedevelopmentcosts</vt:lpstr>
      <vt:lpstr>z_Z99BO00122_MO_OS_USFutureincometaxes</vt:lpstr>
      <vt:lpstr>z_Z99BO00122_MO_OS_USFutureproductioncosts</vt:lpstr>
      <vt:lpstr>z_Z99BO00122_MO_OS_USGeologicalandgeophysical</vt:lpstr>
      <vt:lpstr>z_Z99BO00122_MO_OS_USGrossCapitalizedCosts</vt:lpstr>
      <vt:lpstr>z_Z99BO00122_MO_OS_USIncometaxexpensebenefit</vt:lpstr>
      <vt:lpstr>z_Z99BO00122_MO_OS_usintersegmenteliminations</vt:lpstr>
      <vt:lpstr>z_Z99BO00122_MO_OS_usintersegmenteliminations_1</vt:lpstr>
      <vt:lpstr>z_Z99BO00122_MO_OS_usliquids</vt:lpstr>
      <vt:lpstr>z_Z99BO00122_MO_OS_usnaturalgas</vt:lpstr>
      <vt:lpstr>z_Z99BO00122_MO_OS_USNaturalgasaveragesalesprice</vt:lpstr>
      <vt:lpstr>z_Z99BO00122_MO_OS_USNaturalGasBoPReserves</vt:lpstr>
      <vt:lpstr>z_Z99BO00122_MO_OS_USNaturalGasEoPReserves</vt:lpstr>
      <vt:lpstr>z_Z99BO00122_MO_OS_USNaturalGasExtensionsanddiscoveries</vt:lpstr>
      <vt:lpstr>z_Z99BO00122_MO_OS_USNaturalGasImprovedrecovery</vt:lpstr>
      <vt:lpstr>z_Z99BO00122_MO_OS_USNaturalgasliquidsaveragesalesprice</vt:lpstr>
      <vt:lpstr>z_Z99BO00122_MO_OS_USNaturalGasProduction</vt:lpstr>
      <vt:lpstr>z_Z99BO00122_MO_OS_USNaturalGasProvedDevelopedReserves</vt:lpstr>
      <vt:lpstr>z_Z99BO00122_MO_OS_USNaturalGasProvedUndevelopedReserves</vt:lpstr>
      <vt:lpstr>z_Z99BO00122_MO_OS_USNaturalGasPurchases</vt:lpstr>
      <vt:lpstr>z_Z99BO00122_MO_OS_USNaturalGasRevisions</vt:lpstr>
      <vt:lpstr>z_Z99BO00122_MO_OS_USNaturalGasSales</vt:lpstr>
      <vt:lpstr>z_Z99BO00122_MO_OS_usnaturalgassoldbutnotproduced</vt:lpstr>
      <vt:lpstr>z_Z99BO00122_MO_OS_USNetCapitalizedCosts</vt:lpstr>
      <vt:lpstr>z_Z99BO00122_MO_OS_usnetliquidsproduction</vt:lpstr>
      <vt:lpstr>z_Z99BO00122_MO_OS_usnetnaturalgasproduction</vt:lpstr>
      <vt:lpstr>z_Z99BO00122_MO_OS_USNGLBoPReserves</vt:lpstr>
      <vt:lpstr>z_Z99BO00122_MO_OS_USNGLEoPReserves</vt:lpstr>
      <vt:lpstr>z_Z99BO00122_MO_OS_USNGLExtensionsanddiscoveries</vt:lpstr>
      <vt:lpstr>z_Z99BO00122_MO_OS_USNGLImprovedrecovery</vt:lpstr>
      <vt:lpstr>z_Z99BO00122_MO_OS_USNGLProduction</vt:lpstr>
      <vt:lpstr>z_Z99BO00122_MO_OS_USNGLProvedDevelopedReserves</vt:lpstr>
      <vt:lpstr>z_Z99BO00122_MO_OS_USNGLProvedUndevelopedReserves</vt:lpstr>
      <vt:lpstr>z_Z99BO00122_MO_OS_USNGLPurchases</vt:lpstr>
      <vt:lpstr>z_Z99BO00122_MO_OS_USNGLRevisions</vt:lpstr>
      <vt:lpstr>z_Z99BO00122_MO_OS_USNGLSales</vt:lpstr>
      <vt:lpstr>z_Z99BO00122_MO_OS_USOther</vt:lpstr>
      <vt:lpstr>z_Z99BO00122_MO_OS_USOtherincomeloss</vt:lpstr>
      <vt:lpstr>z_Z99BO00122_MO_OS_USOtheruncompletedprojects</vt:lpstr>
      <vt:lpstr>z_Z99BO00122_MO_OS_USProductionexpensesexcludingtaxes</vt:lpstr>
      <vt:lpstr>z_Z99BO00122_MO_OS_USProvedNoble</vt:lpstr>
      <vt:lpstr>z_Z99BO00122_MO_OS_USProvedOther</vt:lpstr>
      <vt:lpstr>z_Z99BO00122_MO_OS_USProvedproducingpropertiesDepreciationanddepletion</vt:lpstr>
      <vt:lpstr>z_Z99BO00122_MO_OS_USProvedpropertiesandrelatedproducingassets</vt:lpstr>
      <vt:lpstr>z_Z99BO00122_MO_OS_USResultsbeforeincometaxes</vt:lpstr>
      <vt:lpstr>z_Z99BO00122_MO_OS_USResultsofProducingOperations</vt:lpstr>
      <vt:lpstr>z_Z99BO00122_MO_OS_ussalesofnaturalgas</vt:lpstr>
      <vt:lpstr>z_Z99BO00122_MO_OS_ussalesofnaturalgas_1</vt:lpstr>
      <vt:lpstr>z_Z99BO00122_MO_OS_USSalesrevenuesfromnetproduction</vt:lpstr>
      <vt:lpstr>z_Z99BO00122_MO_OS_USStandardizedMeasureNetCashFlows</vt:lpstr>
      <vt:lpstr>z_Z99BO00122_MO_OS_USSupportequipment</vt:lpstr>
      <vt:lpstr>z_Z99BO00122_MO_OS_USSupportequipmentdepreciation</vt:lpstr>
      <vt:lpstr>z_Z99BO00122_MO_OS_USSyntheticOilProvedDevelopedReserves</vt:lpstr>
      <vt:lpstr>z_Z99BO00122_MO_OS_USSyntheticOilProvedUndevelopedReserves</vt:lpstr>
      <vt:lpstr>z_Z99BO00122_MO_OS_USTaxesotherthanonincome</vt:lpstr>
      <vt:lpstr>z_Z99BO00122_MO_OS_USTotalCostsIncurred</vt:lpstr>
      <vt:lpstr>z_Z99BO00122_MO_OS_USTotalexploration</vt:lpstr>
      <vt:lpstr>z_Z99BO00122_MO_OS_USTotalpropertyacquisitions</vt:lpstr>
      <vt:lpstr>z_Z99BO00122_MO_OS_USTotalRevenuesfromnetproduction</vt:lpstr>
      <vt:lpstr>z_Z99BO00122_MO_OS_USTransfersrevenuesfromnetproduction</vt:lpstr>
      <vt:lpstr>z_Z99BO00122_MO_OS_USUndiscountedfuturenetcashflows</vt:lpstr>
      <vt:lpstr>z_Z99BO00122_MO_OS_USUnprovedNoble</vt:lpstr>
      <vt:lpstr>z_Z99BO00122_MO_OS_USUnprovedOther</vt:lpstr>
      <vt:lpstr>z_Z99BO00122_MO_OS_USUnprovedproperties</vt:lpstr>
      <vt:lpstr>z_Z99BO00122_MO_OS_USUnprovedpropertiesvaluation</vt:lpstr>
      <vt:lpstr>z_Z99BO00122_MO_OS_USUnprovedpropertiesvaluation_1</vt:lpstr>
      <vt:lpstr>z_Z99BO00122_MO_OS_USWells</vt:lpstr>
      <vt:lpstr>z_Z99BO00122_MO_OS_WeightedAverageGrossSalesPriceCalculated</vt:lpstr>
      <vt:lpstr>z_Z99BO00122_MO_OS_worldwide</vt:lpstr>
      <vt:lpstr>z_Z99BO00122_MO_OS_Worldwidedownstreamgasolinesales</vt:lpstr>
      <vt:lpstr>z_Z99BO00122_MO_OS_Worldwidedownstreamgasolinesales_1</vt:lpstr>
      <vt:lpstr>z_Z99BO00122_MO_OS_Worldwidedownstreamgasolineyield</vt:lpstr>
      <vt:lpstr>z_Z99BO00122_MO_OS_Worldwidedownstreamotherrefinedproductsales</vt:lpstr>
      <vt:lpstr>z_Z99BO00122_MO_OS_Worldwidedownstreamotherrefinedproductssales</vt:lpstr>
      <vt:lpstr>z_Z99BO00122_MO_OS_Worldwidedownstreamotherrefinedproductsyield</vt:lpstr>
      <vt:lpstr>z_Z99BO00122_MO_OS_Worldwidedownstreamproductsales</vt:lpstr>
      <vt:lpstr>z_Z99BO00122_MO_OS_Worldwidedownstreamsalesofnaturalgasliquids</vt:lpstr>
      <vt:lpstr>z_Z99BO00122_MO_OS_Worldwidedownstreamsalesofnaturalgasliquids_1</vt:lpstr>
      <vt:lpstr>z_Z99BO00122_MO_OS_Worldwidedownstreamshareofaffiliatesales</vt:lpstr>
      <vt:lpstr>z_Z99BO00122_MO_OS_Worldwidedownstreamshareofaffiliatesales_1</vt:lpstr>
      <vt:lpstr>z_Z99BO00122_MO_OS_Worldwidedownstreamtotalrefinedproductsales</vt:lpstr>
      <vt:lpstr>z_Z99BO00122_MO_OS_WorldwideFueloilproduction</vt:lpstr>
      <vt:lpstr>z_Z99BO00122_MO_OS_WorldwideFueloilsales</vt:lpstr>
      <vt:lpstr>z_Z99BO00122_MO_OS_WorldwideFueloilsales_1</vt:lpstr>
      <vt:lpstr>z_Z99BO00122_MO_OS_WorldwideGasoilproduction</vt:lpstr>
      <vt:lpstr>z_Z99BO00122_MO_OS_WorldwideGasoilsales</vt:lpstr>
      <vt:lpstr>z_Z99BO00122_MO_OS_WorldwideGasoilsales_1</vt:lpstr>
      <vt:lpstr>z_Z99BO00122_MO_OS_WorldwideGasolineproduction</vt:lpstr>
      <vt:lpstr>z_Z99BO00122_MO_OS_WorldwideGasolinesales</vt:lpstr>
      <vt:lpstr>z_Z99BO00122_MO_OS_WorldwideGasolinesales_1</vt:lpstr>
      <vt:lpstr>z_Z99BO00122_MO_OS_WorldwideJetfuelproduction</vt:lpstr>
      <vt:lpstr>z_Z99BO00122_MO_OS_WorldwideJetfuelsales</vt:lpstr>
      <vt:lpstr>z_Z99BO00122_MO_OS_WorldwideJetfuelsales_1</vt:lpstr>
      <vt:lpstr>z_Z99BO00122_MO_OS_WorldwideOtherproduction</vt:lpstr>
      <vt:lpstr>z_Z99BO00122_MO_OS_WorldwideOthersales_1</vt:lpstr>
      <vt:lpstr>z_Z99BO00122_MO_OS_WorldwideOthersales_2</vt:lpstr>
      <vt:lpstr>z_Z99BO00122_MO_OS_Worldwiderefineryinput</vt:lpstr>
      <vt:lpstr>z_Z99BO00122_MO_OS_YYbasicshareexpansionEoP</vt:lpstr>
      <vt:lpstr>z_Z99BO00122_MO_OS_YYbasicshareexpansionfromdilutivesecurities</vt:lpstr>
      <vt:lpstr>z_Z99BO00122_MO_OS_YYbasicshareexpansionfromshareissuancebuyback</vt:lpstr>
      <vt:lpstr>z_Z99BO00122_MO_RIS_AdjustedEarningsPerShareWAD</vt:lpstr>
      <vt:lpstr>z_Z99BO00122_MO_RIS_AdjustedEBITDAXNoAdjustments</vt:lpstr>
      <vt:lpstr>z_Z99BO00122_MO_RIS_AdjustedNetIncome</vt:lpstr>
      <vt:lpstr>z_Z99BO00122_MO_RIS_AdjustedSharesOutstandingWAD</vt:lpstr>
      <vt:lpstr>z_Z99BO00122_MO_RIS_AdjustmentsforConvertibleSecurities</vt:lpstr>
      <vt:lpstr>z_Z99BO00122_MO_RIS_consensusestimatesadjustedearningspersharewad</vt:lpstr>
      <vt:lpstr>z_Z99BO00122_MO_RIS_consensusestimatesadjustedebitdax</vt:lpstr>
      <vt:lpstr>z_Z99BO00122_MO_RIS_CostofGoodsSold</vt:lpstr>
      <vt:lpstr>z_Z99BO00122_MO_RIS_Currenttax</vt:lpstr>
      <vt:lpstr>z_Z99BO00122_MO_RIS_Currenttaxrate</vt:lpstr>
      <vt:lpstr>z_Z99BO00122_MO_RIS_DDA</vt:lpstr>
      <vt:lpstr>z_Z99BO00122_MO_RIS_Deferredtax</vt:lpstr>
      <vt:lpstr>z_Z99BO00122_MO_RIS_Deferredtaxrate</vt:lpstr>
      <vt:lpstr>z_Z99BO00122_MO_RIS_DilutedNetIncometoCommonShareholders</vt:lpstr>
      <vt:lpstr>z_Z99BO00122_MO_RIS_DiscontinuedOperations</vt:lpstr>
      <vt:lpstr>z_Z99BO00122_MO_RIS_EarningsPerShareWAB</vt:lpstr>
      <vt:lpstr>z_Z99BO00122_MO_RIS_EarningsPerShareWAD</vt:lpstr>
      <vt:lpstr>z_Z99BO00122_MO_RIS_EarningstoPreferredandOtherSecurities</vt:lpstr>
      <vt:lpstr>z_Z99BO00122_MO_RIS_EBITDAX</vt:lpstr>
      <vt:lpstr>z_Z99BO00122_MO_RIS_EBT</vt:lpstr>
      <vt:lpstr>z_Z99BO00122_MO_RIS_ExplorationExpense</vt:lpstr>
      <vt:lpstr>z_Z99BO00122_MO_RIS_Impairment</vt:lpstr>
      <vt:lpstr>z_Z99BO00122_MO_RIS_Incomefromequityaffiliates</vt:lpstr>
      <vt:lpstr>z_Z99BO00122_MO_RIS_Interestexpense</vt:lpstr>
      <vt:lpstr>z_Z99BO00122_MO_RIS_Interestincome</vt:lpstr>
      <vt:lpstr>z_Z99BO00122_MO_RIS_NetIncomefromContinuedOperation</vt:lpstr>
      <vt:lpstr>z_Z99BO00122_MO_RIS_NetIncometoCommonShareholders</vt:lpstr>
      <vt:lpstr>z_Z99BO00122_MO_RIS_NetIncometoNCI</vt:lpstr>
      <vt:lpstr>z_Z99BO00122_MO_RIS_NetRevenue</vt:lpstr>
      <vt:lpstr>z_Z99BO00122_MO_RIS_NonGAAPAdjustments</vt:lpstr>
      <vt:lpstr>z_Z99BO00122_MO_RIS_NonGAAPAdjustmentsforDilutiveSecurities</vt:lpstr>
      <vt:lpstr>z_Z99BO00122_MO_RIS_Operatingexpenses</vt:lpstr>
      <vt:lpstr>z_Z99BO00122_MO_RIS_Otherincome</vt:lpstr>
      <vt:lpstr>z_Z99BO00122_MO_RIS_Salesandotheroperatingrevenues</vt:lpstr>
      <vt:lpstr>z_Z99BO00122_MO_RIS_SGA</vt:lpstr>
      <vt:lpstr>z_Z99BO00122_MO_RIS_SharesOutstandingWAB</vt:lpstr>
      <vt:lpstr>z_Z99BO00122_MO_RIS_SharesOutstandingWAD</vt:lpstr>
      <vt:lpstr>z_Z99BO00122_MO_RIS_Taxesotherthanonincome</vt:lpstr>
      <vt:lpstr>z_Z99BO00122_MO_Section_AN_AdjustedNumbersAsReported</vt:lpstr>
      <vt:lpstr>z_Z99BO00122_MO_Section_BS_BalanceSheet</vt:lpstr>
      <vt:lpstr>z_Z99BO00122_MO_Section_BS_ModelChecks</vt:lpstr>
      <vt:lpstr>z_Z99BO00122_MO_Section_BSS_BalanceSheetSummary</vt:lpstr>
      <vt:lpstr>z_Z99BO00122_MO_Section_CCFS_CumulativeCashFlowStatement</vt:lpstr>
      <vt:lpstr>z_Z99BO00122_MO_Section_CFS_CashFlowStatement</vt:lpstr>
      <vt:lpstr>z_Z99BO00122_MO_Section_CFSum_CashFlowSummary</vt:lpstr>
      <vt:lpstr>z_Z99BO00122_MO_Section_IS_IncomeStatement</vt:lpstr>
      <vt:lpstr>z_Z99BO00122_MO_Section_MA_MarginAnalysis</vt:lpstr>
      <vt:lpstr>z_Z99BO00122_MO_Section_OS_AllOtherFinancialResultsMDA</vt:lpstr>
      <vt:lpstr>z_Z99BO00122_MO_Section_OS_BenchmarkPricing</vt:lpstr>
      <vt:lpstr>z_Z99BO00122_MO_Section_OS_CapitalizedCostsRelatedtoOilandGasProducingActivities</vt:lpstr>
      <vt:lpstr>z_Z99BO00122_MO_Section_OS_ChangesintheStandardizedMeasureofDiscountedFutureNetCashFlowsFromProvedReserves</vt:lpstr>
      <vt:lpstr>z_Z99BO00122_MO_Section_OS_CostsIncurredinExplorationPropertyAcquisitionsandDevelopment</vt:lpstr>
      <vt:lpstr>z_Z99BO00122_MO_Section_OS_DownstreamOperatingStatsRefiningVolumesMDASupplemental</vt:lpstr>
      <vt:lpstr>z_Z99BO00122_MO_Section_OS_KeyMetricsDashboardMetricsFS</vt:lpstr>
      <vt:lpstr>z_Z99BO00122_MO_Section_OS_KeyMetricsDownstreamAnnuallyreportedonly10kSupplemental</vt:lpstr>
      <vt:lpstr>z_Z99BO00122_MO_Section_OS_KeyMetricsEmployeesFS</vt:lpstr>
      <vt:lpstr>z_Z99BO00122_MO_Section_OS_KeyMetricsProductiveWellsFS</vt:lpstr>
      <vt:lpstr>z_Z99BO00122_MO_Section_OS_NetProvedReservesofCrudeOilCondensateandSyntheticOil</vt:lpstr>
      <vt:lpstr>z_Z99BO00122_MO_Section_OS_NetProvedReservesofNaturalGas_1</vt:lpstr>
      <vt:lpstr>z_Z99BO00122_MO_Section_OS_NetProvedReservesofNaturalGasLiquids</vt:lpstr>
      <vt:lpstr>z_Z99BO00122_MO_Section_OS_OperatingStatsDifferentialstoBenchmarkPricing</vt:lpstr>
      <vt:lpstr>z_Z99BO00122_MO_Section_OS_OperatingStatsRealizedPricingExcludingEffectsofHedgingMDA</vt:lpstr>
      <vt:lpstr>z_Z99BO00122_MO_Section_OS_ResultsofOperationsforOilandGasProducingActivities</vt:lpstr>
      <vt:lpstr>z_Z99BO00122_MO_Section_OS_ResultsofOperationsforOilandGasProducingActivitiesUnitPricesandCosts</vt:lpstr>
      <vt:lpstr>z_Z99BO00122_MO_Section_OS_RevenueandVolumeSummary</vt:lpstr>
      <vt:lpstr>z_Z99BO00122_MO_Section_OS_SegmentedResultsDownstreamFinancialsMDA</vt:lpstr>
      <vt:lpstr>z_Z99BO00122_MO_Section_OS_SegmentedResultsUpstreamFinancialsFS</vt:lpstr>
      <vt:lpstr>z_Z99BO00122_MO_Section_OS_ShareCountAnalysis</vt:lpstr>
      <vt:lpstr>z_Z99BO00122_MO_Section_OS_StandardizedMeasureofDiscountedFutureNetCashFlowsRelatedtoProvedOilandGasReserves10</vt:lpstr>
      <vt:lpstr>z_Z99BO00122_MO_Section_OS_SummaryofNetOilandGasReserves</vt:lpstr>
      <vt:lpstr>z_Z99BO00122_MO_Section_OS_Company2747</vt:lpstr>
      <vt:lpstr>z_Z99BO00122_MO_Section_OS_UpstreamOperatingStatsNaturalGasSalesVolumesMDA</vt:lpstr>
      <vt:lpstr>z_Z99BO00122_MO_Section_OS_UpstreamOperatingStatsProductionVolumesMDA</vt:lpstr>
      <vt:lpstr>z_Z99BO00122_MO_Section_RIS_RevisedIncomeStatement</vt:lpstr>
      <vt:lpstr>z_Z99BO00122_MO_Section_SNA_Source</vt:lpstr>
      <vt:lpstr>z_Z99BO00122_MO_Section_TB_Tables</vt:lpstr>
      <vt:lpstr>z_Z99BO00122_MO_Section_VA_Valuation</vt:lpstr>
      <vt:lpstr>z_Z99BO00122_MO_SubSection_CCFS_Impairmentofassets</vt:lpstr>
      <vt:lpstr>z_Z99BO00122_MO_Unstructured_SNA_AdjustedEBITDAXNoAdjustments</vt:lpstr>
      <vt:lpstr>z_Z99BO00122_MO_Unstructured_SNA_AnnualGuidanceTable</vt:lpstr>
      <vt:lpstr>z_Z99BO00122_MO_Unstructured_SNA_ApplicablePeriod</vt:lpstr>
      <vt:lpstr>z_Z99BO00122_MO_Unstructured_SNA_ApplicablePeriod_1</vt:lpstr>
      <vt:lpstr>z_Z99BO00122_MO_Unstructured_SNA_ApplyTradeCurrencyScaling</vt:lpstr>
      <vt:lpstr>z_Z99BO00122_MO_Unstructured_SNA_Avg</vt:lpstr>
      <vt:lpstr>z_Z99BO00122_MO_Unstructured_SNA_Bloomberg</vt:lpstr>
      <vt:lpstr>z_Z99BO00122_MO_Unstructured_SNA_Bloomberg_1</vt:lpstr>
      <vt:lpstr>z_Z99BO00122_MO_Unstructured_SNA_Bloomberg_2</vt:lpstr>
      <vt:lpstr>z_Z99BO00122_MO_Unstructured_SNA_Bloomberg_3</vt:lpstr>
      <vt:lpstr>z_Z99BO00122_MO_Unstructured_SNA_CapitalIQ</vt:lpstr>
      <vt:lpstr>z_Z99BO00122_MO_Unstructured_SNA_CapitalIQ_1</vt:lpstr>
      <vt:lpstr>z_Z99BO00122_MO_Unstructured_SNA_CapitalIQ_2</vt:lpstr>
      <vt:lpstr>z_Z99BO00122_MO_Unstructured_SNA_CapitalIQ_3</vt:lpstr>
      <vt:lpstr>z_Z99BO00122_MO_Unstructured_SNA_CashFlowPerDilutedShare</vt:lpstr>
      <vt:lpstr>z_Z99BO00122_MO_Unstructured_SNA_ConsensusEstimatesAdjustedEarningsPerShare</vt:lpstr>
      <vt:lpstr>z_Z99BO00122_MO_Unstructured_SNA_ConsensusEstimatesAdjustedEBITDAX</vt:lpstr>
      <vt:lpstr>z_Z99BO00122_MO_Unstructured_SNA_ConsensusEstimatesCapex</vt:lpstr>
      <vt:lpstr>z_Z99BO00122_MO_Unstructured_SNA_ConsensusEstimatesCashFlowPerDilutedShare</vt:lpstr>
      <vt:lpstr>z_Z99BO00122_MO_Unstructured_SNA_ConsensusEstimatesTotalaveragedailyproductionvolumes</vt:lpstr>
      <vt:lpstr>z_Z99BO00122_MO_Unstructured_SNA_ConsensusEstimateTable</vt:lpstr>
      <vt:lpstr>z_Z99BO00122_MO_Unstructured_SNA_CurrentFiscalYear</vt:lpstr>
      <vt:lpstr>z_Z99BO00122_MO_Unstructured_SNA_Company0642</vt:lpstr>
      <vt:lpstr>z_Z99BO00122_MO_Unstructured_SNA_Company0643</vt:lpstr>
      <vt:lpstr>z_Z99BO00122_MO_Unstructured_SNA_Company0643_1</vt:lpstr>
      <vt:lpstr>z_Z99BO00122_MO_Unstructured_SNA_Company0643_2</vt:lpstr>
      <vt:lpstr>z_Z99BO00122_MO_Unstructured_SNA_DataSourceIndex</vt:lpstr>
      <vt:lpstr>z_Z99BO00122_MO_Unstructured_SNA_EoP</vt:lpstr>
      <vt:lpstr>z_Z99BO00122_MO_Unstructured_SNA_FactSet</vt:lpstr>
      <vt:lpstr>z_Z99BO00122_MO_Unstructured_SNA_FactSet_1</vt:lpstr>
      <vt:lpstr>z_Z99BO00122_MO_Unstructured_SNA_FactSet_2</vt:lpstr>
      <vt:lpstr>z_Z99BO00122_MO_Unstructured_SNA_FactSet_3</vt:lpstr>
      <vt:lpstr>z_Z99BO00122_MO_Unstructured_SNA_FirstForecastFiscalYear</vt:lpstr>
      <vt:lpstr>z_Z99BO00122_MO_Unstructured_SNA_FiscalPeriodStartDate</vt:lpstr>
      <vt:lpstr>z_Z99BO00122_MO_Unstructured_SNA_FXAverageRealTimeOffSource</vt:lpstr>
      <vt:lpstr>z_Z99BO00122_MO_Unstructured_SNA_FXEoP</vt:lpstr>
      <vt:lpstr>z_Z99BO00122_MO_Unstructured_SNA_FYorFQ</vt:lpstr>
      <vt:lpstr>z_Z99BO00122_MO_Unstructured_SNA_GeneralTable</vt:lpstr>
      <vt:lpstr>z_Z99BO00122_MO_Unstructured_SNA_High</vt:lpstr>
      <vt:lpstr>z_Z99BO00122_MO_Unstructured_SNA_IsHistoricalPeriod</vt:lpstr>
      <vt:lpstr>z_Z99BO00122_MO_Unstructured_SNA_IsLatest</vt:lpstr>
      <vt:lpstr>z_Z99BO00122_MO_Unstructured_SNA_KeyOutputs</vt:lpstr>
      <vt:lpstr>z_Z99BO00122_MO_Unstructured_SNA_KPICount</vt:lpstr>
      <vt:lpstr>z_Z99BO00122_MO_Unstructured_SNA_KPIData</vt:lpstr>
      <vt:lpstr>z_Z99BO00122_MO_Unstructured_SNA_LastPrice</vt:lpstr>
      <vt:lpstr>z_Z99BO00122_MO_Unstructured_SNA_LastPriceDate</vt:lpstr>
      <vt:lpstr>z_Z99BO00122_MO_Unstructured_SNA_LastPriceFormula</vt:lpstr>
      <vt:lpstr>z_Z99BO00122_MO_Unstructured_SNA_LastWorkingDayInPeriod</vt:lpstr>
      <vt:lpstr>z_Z99BO00122_MO_Unstructured_SNA_Low</vt:lpstr>
      <vt:lpstr>z_Z99BO00122_MO_Unstructured_SNA_ModelSheetCurrencyHardcoded</vt:lpstr>
      <vt:lpstr>z_Z99BO00122_MO_Unstructured_SNA_MOKPIEnergyAverageDailyProductionNG</vt:lpstr>
      <vt:lpstr>z_Z99BO00122_MO_Unstructured_SNA_MOKPIEnergyAverageDailyProductionTotal</vt:lpstr>
      <vt:lpstr>z_Z99BO00122_MO_Unstructured_SNA_MOKPIEnergyLiquidsPercentage</vt:lpstr>
      <vt:lpstr>z_Z99BO00122_MO_Unstructured_SNA_MOKPIEnergyProductionGrowth</vt:lpstr>
      <vt:lpstr>z_Z99BO00122_MO_Unstructured_SNA_MOKPIEnergyProductionGrowthPerShare</vt:lpstr>
      <vt:lpstr>z_Z99BO00122_MO_Unstructured_SNA_MOKPIEnergyRealizedPriceOil</vt:lpstr>
      <vt:lpstr>z_Z99BO00122_MO_Unstructured_SNA_MOOSEmployeeCount</vt:lpstr>
      <vt:lpstr>z_Z99BO00122_MO_Unstructured_SNA_MORISEPSWADAdj</vt:lpstr>
      <vt:lpstr>z_Z99BO00122_MO_Unstructured_SNA_MORISNINONGAAPDiluted</vt:lpstr>
      <vt:lpstr>z_Z99BO00122_MO_Unstructured_SNA_MORISREV</vt:lpstr>
      <vt:lpstr>z_Z99BO00122_MO_Unstructured_SNA_MostRecentFiscalPeriodMRFP</vt:lpstr>
      <vt:lpstr>z_Z99BO00122_MO_Unstructured_SNA_MostRecentFX</vt:lpstr>
      <vt:lpstr>z_Z99BO00122_MO_Unstructured_SNA_MostRecentFXHardcoded</vt:lpstr>
      <vt:lpstr>z_Z99BO00122_MO_Unstructured_SNA_MRFPColumnNumber</vt:lpstr>
      <vt:lpstr>z_Z99BO00122_MO_Unstructured_SNA_NetDebtCashFlow</vt:lpstr>
      <vt:lpstr>z_Z99BO00122_MO_Unstructured_SNA_Company1923</vt:lpstr>
      <vt:lpstr>z_Z99BO00122_MO_Unstructured_SNA_Period</vt:lpstr>
      <vt:lpstr>z_Z99BO00122_MO_Unstructured_SNA_QuarterlyGuidanceTable</vt:lpstr>
      <vt:lpstr>z_Z99BO00122_MO_Unstructured_SNA_RealTimeOffSource</vt:lpstr>
      <vt:lpstr>z_Z99BO00122_MO_Unstructured_SNA_RealTimeOffSource_1</vt:lpstr>
      <vt:lpstr>z_Z99BO00122_MO_Unstructured_SNA_RealTimeOffSource_2</vt:lpstr>
      <vt:lpstr>z_Z99BO00122_MO_Unstructured_SNA_RealTimeOffSource_3</vt:lpstr>
      <vt:lpstr>z_Z99BO00122_MO_Unstructured_SNA_RealTimeStockPrice</vt:lpstr>
      <vt:lpstr>z_Z99BO00122_MO_Unstructured_SNA_Refinitiv</vt:lpstr>
      <vt:lpstr>z_Z99BO00122_MO_Unstructured_SNA_Refinitiv_1</vt:lpstr>
      <vt:lpstr>z_Z99BO00122_MO_Unstructured_SNA_Refinitiv_2</vt:lpstr>
      <vt:lpstr>z_Z99BO00122_MO_Unstructured_SNA_Refinitiv_3</vt:lpstr>
      <vt:lpstr>z_Z99BO00122_MO_Unstructured_SNA_ReportingDate</vt:lpstr>
      <vt:lpstr>z_Z99BO00122_MO_Unstructured_SNA_ReportingDate_1</vt:lpstr>
      <vt:lpstr>z_Z99BO00122_MO_Unstructured_SNA_StockAverageRealTimeOffSource</vt:lpstr>
      <vt:lpstr>z_Z99BO00122_MO_Unstructured_SNA_StockHighRealTimeOffSource</vt:lpstr>
      <vt:lpstr>z_Z99BO00122_MO_Unstructured_SNA_StockLowRealTimeOffSource</vt:lpstr>
      <vt:lpstr>z_Z99BO00122_MO_Unstructured_SNA_StockPriceEoP</vt:lpstr>
      <vt:lpstr>z_Z99BO00122_MO_Unstructured_SNA_StockPriceTable</vt:lpstr>
      <vt:lpstr>z_Z99BO00122_MO_Unstructured_SNA_TickerSymbol</vt:lpstr>
      <vt:lpstr>z_Z99BO00122_MO_Unstructured_SNA_Totalaveragedailyproductionvolumes</vt:lpstr>
      <vt:lpstr>z_Z99BO00122_MO_Unstructured_SNA_TradeCurrency</vt:lpstr>
      <vt:lpstr>z_Z99BO00122_MO_Unstructured_SNA_TradeCurrencyHardcoded</vt:lpstr>
      <vt:lpstr>z_Z99BO00122_MO_Unstructured_SNA_ValuationToggleTable</vt:lpstr>
      <vt:lpstr>z_Z99BO00122_MO_VA_EnterpriseValueAverage</vt:lpstr>
      <vt:lpstr>z_Z99BO00122_MO_VA_enterprisevaluecomponents</vt:lpstr>
      <vt:lpstr>z_Z99BO00122_MO_VA_EVEBITDAXAverage</vt:lpstr>
      <vt:lpstr>z_Z99BO00122_MO_VA_EVFlowingAverage</vt:lpstr>
      <vt:lpstr>z_Z99BO00122_MO_VA_FCFYieldtoAverageEnterpriseValue</vt:lpstr>
      <vt:lpstr>z_Z99BO00122_MO_VA_FCFYieldtoAverageMarketCap</vt:lpstr>
      <vt:lpstr>z_Z99BO00122_MO_VA_MarketCapAverage</vt:lpstr>
      <vt:lpstr>z_Z99BO00122_MO_VA_NoncontrollingInterest</vt:lpstr>
      <vt:lpstr>z_Z99BO00122_MO_VA_OtherEVComponents</vt:lpstr>
      <vt:lpstr>z_Z99BO00122_MO_VA_PCFAverage</vt:lpstr>
      <vt:lpstr>z_Z99BO00122_MO_VA_PreferredShares</vt:lpstr>
      <vt:lpstr>z_Z99BO00122_MO_VA_StockAvg</vt:lpstr>
      <vt:lpstr>z_Z99BO00122_MO_VA_StockHigh</vt:lpstr>
      <vt:lpstr>z_Z99BO00122_MO_VA_StockLow</vt:lpstr>
      <vt:lpstr>z_Z99BO00122_MO_VA_StockPriceAverage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2026-01-01T00:00:00Z</dcterms:created>
  <dcterms:modified xsi:type="dcterms:W3CDTF">2026-01-01T00:00:00Z</dcterms:modified>
</cp:coreProperties>
</file>